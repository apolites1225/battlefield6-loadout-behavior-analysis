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oli\Desktop\Data Analytics\Battlefield\"/>
    </mc:Choice>
  </mc:AlternateContent>
  <xr:revisionPtr revIDLastSave="0" documentId="8_{9FACC8B5-2BF0-48FC-858D-617E05F794CA}" xr6:coauthVersionLast="47" xr6:coauthVersionMax="47" xr10:uidLastSave="{00000000-0000-0000-0000-000000000000}"/>
  <bookViews>
    <workbookView xWindow="-28920" yWindow="-120" windowWidth="29040" windowHeight="15720" tabRatio="940" firstSheet="2" activeTab="12" xr2:uid="{A11FAA6C-3705-4CE9-B605-F92B8C4671FB}"/>
  </bookViews>
  <sheets>
    <sheet name="Global_Players" sheetId="7" state="hidden" r:id="rId1"/>
    <sheet name="Global_Player_Modes" sheetId="8" state="hidden" r:id="rId2"/>
    <sheet name="Class_Players" sheetId="4" r:id="rId3"/>
    <sheet name="Gadget_Usage_Assault" sheetId="2" r:id="rId4"/>
    <sheet name="Gadget_List" sheetId="6" state="hidden" r:id="rId5"/>
    <sheet name="Gadget_Usage_Engineer" sheetId="10" r:id="rId6"/>
    <sheet name="Gadget_Usage_Recon" sheetId="11" r:id="rId7"/>
    <sheet name="Gadget_Usage_Support" sheetId="12" r:id="rId8"/>
    <sheet name="Analysis_Assault_Defaults" sheetId="14" r:id="rId9"/>
    <sheet name="Analysis_Grenades" sheetId="16" state="hidden" r:id="rId10"/>
    <sheet name="Analysis_Support_Defaults" sheetId="15" r:id="rId11"/>
    <sheet name="Analysis_Engineer_Defaults" sheetId="17" r:id="rId12"/>
    <sheet name="Analysis_Gadgets" sheetId="13" r:id="rId13"/>
    <sheet name="Lookups" sheetId="5" state="hidden" r:id="rId14"/>
    <sheet name="README" sheetId="3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3" l="1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B3" i="17"/>
  <c r="B13" i="17"/>
  <c r="B66" i="17"/>
  <c r="C2" i="17"/>
  <c r="A2" i="17" a="1"/>
  <c r="A2" i="17" s="1"/>
  <c r="A2" i="15" a="1"/>
  <c r="A2" i="15" s="1"/>
  <c r="B12" i="15"/>
  <c r="B24" i="15"/>
  <c r="B25" i="15"/>
  <c r="B43" i="15"/>
  <c r="B51" i="15"/>
  <c r="B62" i="15"/>
  <c r="B63" i="15"/>
  <c r="B75" i="15"/>
  <c r="B77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J3" i="12"/>
  <c r="J4" i="12"/>
  <c r="J5" i="12"/>
  <c r="J6" i="12"/>
  <c r="J7" i="12"/>
  <c r="J8" i="12"/>
  <c r="J9" i="12"/>
  <c r="J10" i="12"/>
  <c r="J2" i="1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785" i="12" a="1"/>
  <c r="A785" i="12" s="1"/>
  <c r="C785" i="12" a="1"/>
  <c r="C785" i="12" s="1"/>
  <c r="D785" i="12" s="1"/>
  <c r="K785" i="12" s="1" a="1"/>
  <c r="K785" i="12" s="1"/>
  <c r="A786" i="12" a="1"/>
  <c r="A786" i="12" s="1"/>
  <c r="C786" i="12" a="1"/>
  <c r="C786" i="12" s="1"/>
  <c r="D786" i="12" s="1"/>
  <c r="K786" i="12" s="1" a="1"/>
  <c r="K786" i="12" s="1"/>
  <c r="A787" i="12" a="1"/>
  <c r="A787" i="12" s="1"/>
  <c r="C787" i="12" a="1"/>
  <c r="C787" i="12" s="1"/>
  <c r="D787" i="12" s="1"/>
  <c r="K787" i="12" s="1" a="1"/>
  <c r="K787" i="12" s="1"/>
  <c r="A788" i="12" a="1"/>
  <c r="A788" i="12" s="1"/>
  <c r="B788" i="12" s="1"/>
  <c r="C788" i="12" a="1"/>
  <c r="C788" i="12" s="1"/>
  <c r="D788" i="12"/>
  <c r="K788" i="12" s="1" a="1"/>
  <c r="K788" i="12" s="1"/>
  <c r="F788" i="12"/>
  <c r="G788" i="12" s="1"/>
  <c r="H788" i="12"/>
  <c r="I788" i="12" s="1"/>
  <c r="A789" i="12" a="1"/>
  <c r="A789" i="12" s="1"/>
  <c r="B789" i="12" s="1"/>
  <c r="C789" i="12" a="1"/>
  <c r="C789" i="12" s="1"/>
  <c r="D789" i="12" s="1"/>
  <c r="K789" i="12" s="1" a="1"/>
  <c r="K789" i="12" s="1"/>
  <c r="F789" i="12"/>
  <c r="G789" i="12" s="1"/>
  <c r="A790" i="12" a="1"/>
  <c r="A790" i="12"/>
  <c r="F790" i="12" s="1"/>
  <c r="G790" i="12" s="1"/>
  <c r="B790" i="12"/>
  <c r="C790" i="12" a="1"/>
  <c r="C790" i="12"/>
  <c r="D790" i="12" s="1"/>
  <c r="K790" i="12" s="1" a="1"/>
  <c r="K790" i="12" s="1"/>
  <c r="H790" i="12"/>
  <c r="I790" i="12" s="1"/>
  <c r="A791" i="12" a="1"/>
  <c r="A791" i="12" s="1"/>
  <c r="C791" i="12" a="1"/>
  <c r="C791" i="12"/>
  <c r="D791" i="12" s="1"/>
  <c r="K791" i="12" s="1" a="1"/>
  <c r="K791" i="12" s="1"/>
  <c r="A792" i="12" a="1"/>
  <c r="A792" i="12" s="1"/>
  <c r="C792" i="12" a="1"/>
  <c r="C792" i="12"/>
  <c r="D792" i="12" s="1"/>
  <c r="K792" i="12" s="1" a="1"/>
  <c r="K792" i="12" s="1"/>
  <c r="A793" i="12" a="1"/>
  <c r="A793" i="12" s="1"/>
  <c r="H793" i="12" s="1"/>
  <c r="I793" i="12" s="1"/>
  <c r="C793" i="12" a="1"/>
  <c r="C793" i="12"/>
  <c r="D793" i="12" s="1"/>
  <c r="K793" i="12" s="1" a="1"/>
  <c r="K793" i="12" s="1"/>
  <c r="A794" i="12" a="1"/>
  <c r="A794" i="12" s="1"/>
  <c r="B794" i="12" s="1"/>
  <c r="C794" i="12" a="1"/>
  <c r="C794" i="12"/>
  <c r="D794" i="12" s="1"/>
  <c r="K794" i="12" s="1" a="1"/>
  <c r="K794" i="12" s="1"/>
  <c r="F794" i="12"/>
  <c r="G794" i="12" s="1"/>
  <c r="A795" i="12" a="1"/>
  <c r="A795" i="12" s="1"/>
  <c r="C795" i="12" a="1"/>
  <c r="C795" i="12"/>
  <c r="D795" i="12" s="1"/>
  <c r="K795" i="12" s="1" a="1"/>
  <c r="K795" i="12" s="1"/>
  <c r="A796" i="12" a="1"/>
  <c r="A796" i="12" s="1"/>
  <c r="C796" i="12" a="1"/>
  <c r="C796" i="12"/>
  <c r="D796" i="12" s="1"/>
  <c r="K796" i="12" s="1" a="1"/>
  <c r="K796" i="12" s="1"/>
  <c r="A797" i="12" a="1"/>
  <c r="A797" i="12" s="1"/>
  <c r="C797" i="12" a="1"/>
  <c r="C797" i="12"/>
  <c r="D797" i="12" s="1"/>
  <c r="K797" i="12" s="1" a="1"/>
  <c r="K797" i="12" s="1"/>
  <c r="A798" i="12" a="1"/>
  <c r="A798" i="12" s="1"/>
  <c r="H798" i="12" s="1"/>
  <c r="I798" i="12" s="1"/>
  <c r="C798" i="12" a="1"/>
  <c r="C798" i="12"/>
  <c r="D798" i="12" s="1"/>
  <c r="K798" i="12" s="1" a="1"/>
  <c r="K798" i="12" s="1"/>
  <c r="A799" i="12" a="1"/>
  <c r="A799" i="12" s="1"/>
  <c r="C799" i="12" a="1"/>
  <c r="C799" i="12"/>
  <c r="D799" i="12" s="1"/>
  <c r="K799" i="12" s="1" a="1"/>
  <c r="K799" i="12" s="1"/>
  <c r="H799" i="12"/>
  <c r="I799" i="12" s="1"/>
  <c r="A800" i="12" a="1"/>
  <c r="A800" i="12" s="1"/>
  <c r="H800" i="12" s="1"/>
  <c r="I800" i="12" s="1"/>
  <c r="C800" i="12" a="1"/>
  <c r="C800" i="12"/>
  <c r="D800" i="12" s="1"/>
  <c r="K800" i="12" s="1" a="1"/>
  <c r="K800" i="12" s="1"/>
  <c r="A801" i="12" a="1"/>
  <c r="A801" i="12" s="1"/>
  <c r="C801" i="12" a="1"/>
  <c r="C801" i="12" s="1"/>
  <c r="D801" i="12" s="1"/>
  <c r="K801" i="12" s="1" a="1"/>
  <c r="K801" i="12" s="1"/>
  <c r="A802" i="12" a="1"/>
  <c r="A802" i="12"/>
  <c r="C802" i="12" a="1"/>
  <c r="C802" i="12"/>
  <c r="D802" i="12" s="1"/>
  <c r="K802" i="12" s="1" a="1"/>
  <c r="K802" i="12" s="1"/>
  <c r="H802" i="12"/>
  <c r="I802" i="12" s="1"/>
  <c r="A803" i="12" a="1"/>
  <c r="A803" i="12" s="1"/>
  <c r="C803" i="12" a="1"/>
  <c r="C803" i="12"/>
  <c r="D803" i="12" s="1"/>
  <c r="K803" i="12" s="1" a="1"/>
  <c r="K803" i="12" s="1"/>
  <c r="A804" i="12" a="1"/>
  <c r="A804" i="12" s="1"/>
  <c r="H804" i="12" s="1"/>
  <c r="I804" i="12" s="1"/>
  <c r="C804" i="12" a="1"/>
  <c r="C804" i="12"/>
  <c r="D804" i="12" s="1"/>
  <c r="K804" i="12" s="1" a="1"/>
  <c r="K804" i="12" s="1"/>
  <c r="A805" i="12" a="1"/>
  <c r="A805" i="12" s="1"/>
  <c r="H805" i="12" s="1"/>
  <c r="I805" i="12" s="1"/>
  <c r="C805" i="12" a="1"/>
  <c r="C805" i="12"/>
  <c r="D805" i="12" s="1"/>
  <c r="K805" i="12" s="1" a="1"/>
  <c r="K805" i="12" s="1"/>
  <c r="A806" i="12" a="1"/>
  <c r="A806" i="12" s="1"/>
  <c r="B806" i="12" s="1"/>
  <c r="C806" i="12" a="1"/>
  <c r="C806" i="12"/>
  <c r="D806" i="12" s="1"/>
  <c r="K806" i="12" s="1" a="1"/>
  <c r="K806" i="12" s="1"/>
  <c r="A807" i="12" a="1"/>
  <c r="A807" i="12" s="1"/>
  <c r="C807" i="12" a="1"/>
  <c r="C807" i="12"/>
  <c r="D807" i="12" s="1"/>
  <c r="K807" i="12" s="1" a="1"/>
  <c r="K807" i="12" s="1"/>
  <c r="A808" i="12" a="1"/>
  <c r="A808" i="12" s="1"/>
  <c r="C808" i="12" a="1"/>
  <c r="C808" i="12"/>
  <c r="D808" i="12" s="1"/>
  <c r="K808" i="12" s="1" a="1"/>
  <c r="K808" i="12" s="1"/>
  <c r="A809" i="12" a="1"/>
  <c r="A809" i="12" s="1"/>
  <c r="C809" i="12" a="1"/>
  <c r="C809" i="12"/>
  <c r="D809" i="12" s="1"/>
  <c r="K809" i="12" s="1" a="1"/>
  <c r="K809" i="12" s="1"/>
  <c r="A810" i="12" a="1"/>
  <c r="A810" i="12" s="1"/>
  <c r="H810" i="12" s="1"/>
  <c r="I810" i="12" s="1"/>
  <c r="C810" i="12" a="1"/>
  <c r="C810" i="12"/>
  <c r="D810" i="12" s="1"/>
  <c r="K810" i="12" s="1" a="1"/>
  <c r="K810" i="12" s="1"/>
  <c r="A811" i="12" a="1"/>
  <c r="A811" i="12" s="1"/>
  <c r="H811" i="12" s="1"/>
  <c r="I811" i="12" s="1"/>
  <c r="C811" i="12" a="1"/>
  <c r="C811" i="12"/>
  <c r="D811" i="12" s="1"/>
  <c r="K811" i="12" s="1" a="1"/>
  <c r="K811" i="12" s="1"/>
  <c r="A812" i="12" a="1"/>
  <c r="A812" i="12" s="1"/>
  <c r="B812" i="12" s="1"/>
  <c r="C812" i="12" a="1"/>
  <c r="C812" i="12"/>
  <c r="D812" i="12" s="1"/>
  <c r="K812" i="12" s="1" a="1"/>
  <c r="K812" i="12" s="1"/>
  <c r="F812" i="12"/>
  <c r="G812" i="12" s="1"/>
  <c r="A813" i="12" a="1"/>
  <c r="A813" i="12" s="1"/>
  <c r="C813" i="12" a="1"/>
  <c r="C813" i="12" s="1"/>
  <c r="D813" i="12" s="1"/>
  <c r="K813" i="12" s="1" a="1"/>
  <c r="K813" i="12" s="1"/>
  <c r="A814" i="12" a="1"/>
  <c r="A814" i="12" s="1"/>
  <c r="C814" i="12" a="1"/>
  <c r="C814" i="12"/>
  <c r="D814" i="12" s="1"/>
  <c r="K814" i="12" s="1" a="1"/>
  <c r="K814" i="12" s="1"/>
  <c r="A815" i="12" a="1"/>
  <c r="A815" i="12" s="1"/>
  <c r="C815" i="12" a="1"/>
  <c r="C815" i="12"/>
  <c r="D815" i="12" s="1"/>
  <c r="K815" i="12" s="1" a="1"/>
  <c r="K815" i="12" s="1"/>
  <c r="A816" i="12" a="1"/>
  <c r="A816" i="12" s="1"/>
  <c r="H816" i="12" s="1"/>
  <c r="I816" i="12" s="1"/>
  <c r="C816" i="12" a="1"/>
  <c r="C816" i="12"/>
  <c r="D816" i="12" s="1"/>
  <c r="K816" i="12" s="1" a="1"/>
  <c r="K816" i="12" s="1"/>
  <c r="A817" i="12" a="1"/>
  <c r="A817" i="12" s="1"/>
  <c r="H817" i="12" s="1"/>
  <c r="I817" i="12" s="1"/>
  <c r="C817" i="12" a="1"/>
  <c r="C817" i="12"/>
  <c r="D817" i="12" s="1"/>
  <c r="K817" i="12" s="1" a="1"/>
  <c r="K817" i="12" s="1"/>
  <c r="A818" i="12" a="1"/>
  <c r="A818" i="12" s="1"/>
  <c r="B818" i="12" s="1"/>
  <c r="C818" i="12" a="1"/>
  <c r="C818" i="12"/>
  <c r="D818" i="12" s="1"/>
  <c r="K818" i="12" s="1" a="1"/>
  <c r="K818" i="12" s="1"/>
  <c r="A819" i="12" a="1"/>
  <c r="A819" i="12" s="1"/>
  <c r="C819" i="12" a="1"/>
  <c r="C819" i="12"/>
  <c r="D819" i="12" s="1"/>
  <c r="K819" i="12" s="1" a="1"/>
  <c r="K819" i="12" s="1"/>
  <c r="A820" i="12" a="1"/>
  <c r="A820" i="12" s="1"/>
  <c r="C820" i="12" a="1"/>
  <c r="C820" i="12"/>
  <c r="D820" i="12" s="1"/>
  <c r="K820" i="12" s="1" a="1"/>
  <c r="K820" i="12" s="1"/>
  <c r="A821" i="12" a="1"/>
  <c r="A821" i="12" s="1"/>
  <c r="C821" i="12" a="1"/>
  <c r="C821" i="12"/>
  <c r="D821" i="12" s="1"/>
  <c r="K821" i="12" s="1" a="1"/>
  <c r="K821" i="12" s="1"/>
  <c r="A822" i="12" a="1"/>
  <c r="A822" i="12" s="1"/>
  <c r="H822" i="12" s="1"/>
  <c r="I822" i="12" s="1"/>
  <c r="C822" i="12" a="1"/>
  <c r="C822" i="12"/>
  <c r="D822" i="12" s="1"/>
  <c r="K822" i="12" s="1" a="1"/>
  <c r="K822" i="12" s="1"/>
  <c r="A823" i="12" a="1"/>
  <c r="A823" i="12" s="1"/>
  <c r="B823" i="12"/>
  <c r="C823" i="12" a="1"/>
  <c r="C823" i="12"/>
  <c r="D823" i="12" s="1"/>
  <c r="K823" i="12" s="1" a="1"/>
  <c r="K823" i="12" s="1"/>
  <c r="A824" i="12" a="1"/>
  <c r="A824" i="12" s="1"/>
  <c r="B824" i="12"/>
  <c r="C824" i="12" a="1"/>
  <c r="C824" i="12"/>
  <c r="D824" i="12"/>
  <c r="K824" i="12" s="1" a="1"/>
  <c r="K824" i="12" s="1"/>
  <c r="A825" i="12" a="1"/>
  <c r="A825" i="12" s="1"/>
  <c r="H825" i="12" s="1"/>
  <c r="I825" i="12" s="1"/>
  <c r="C825" i="12" a="1"/>
  <c r="C825" i="12"/>
  <c r="D825" i="12" s="1"/>
  <c r="K825" i="12" s="1" a="1"/>
  <c r="K825" i="12" s="1"/>
  <c r="A826" i="12" a="1"/>
  <c r="A826" i="12" s="1"/>
  <c r="H826" i="12" s="1"/>
  <c r="I826" i="12" s="1"/>
  <c r="B826" i="12"/>
  <c r="C826" i="12" a="1"/>
  <c r="C826" i="12"/>
  <c r="D826" i="12" s="1"/>
  <c r="K826" i="12" s="1" a="1"/>
  <c r="K826" i="12" s="1"/>
  <c r="A827" i="12" a="1"/>
  <c r="A827" i="12" s="1"/>
  <c r="F827" i="12" s="1"/>
  <c r="G827" i="12" s="1"/>
  <c r="B827" i="12"/>
  <c r="C827" i="12" a="1"/>
  <c r="C827" i="12"/>
  <c r="D827" i="12"/>
  <c r="K827" i="12" s="1" a="1"/>
  <c r="K827" i="12" s="1"/>
  <c r="H827" i="12"/>
  <c r="I827" i="12" s="1"/>
  <c r="A828" i="12" a="1"/>
  <c r="A828" i="12" s="1"/>
  <c r="C828" i="12" a="1"/>
  <c r="C828" i="12"/>
  <c r="D828" i="12" s="1"/>
  <c r="K828" i="12" s="1" a="1"/>
  <c r="K828" i="12" s="1"/>
  <c r="H828" i="12"/>
  <c r="I828" i="12" s="1"/>
  <c r="A829" i="12" a="1"/>
  <c r="A829" i="12" s="1"/>
  <c r="H829" i="12" s="1"/>
  <c r="I829" i="12" s="1"/>
  <c r="B829" i="12"/>
  <c r="C829" i="12" a="1"/>
  <c r="C829" i="12"/>
  <c r="D829" i="12" s="1"/>
  <c r="K829" i="12" s="1" a="1"/>
  <c r="K829" i="12" s="1"/>
  <c r="J829" i="12"/>
  <c r="A830" i="12" a="1"/>
  <c r="A830" i="12" s="1"/>
  <c r="F830" i="12" s="1"/>
  <c r="G830" i="12" s="1"/>
  <c r="B830" i="12"/>
  <c r="C830" i="12" a="1"/>
  <c r="C830" i="12"/>
  <c r="D830" i="12" s="1"/>
  <c r="K830" i="12" s="1" a="1"/>
  <c r="K830" i="12" s="1"/>
  <c r="A831" i="12" a="1"/>
  <c r="A831" i="12" s="1"/>
  <c r="C831" i="12" a="1"/>
  <c r="C831" i="12"/>
  <c r="D831" i="12" s="1"/>
  <c r="K831" i="12" s="1" a="1"/>
  <c r="K831" i="12" s="1"/>
  <c r="H831" i="12"/>
  <c r="I831" i="12"/>
  <c r="A832" i="12" a="1"/>
  <c r="A832" i="12" s="1"/>
  <c r="H832" i="12" s="1"/>
  <c r="I832" i="12" s="1"/>
  <c r="B832" i="12"/>
  <c r="C832" i="12" a="1"/>
  <c r="C832" i="12"/>
  <c r="D832" i="12" s="1"/>
  <c r="K832" i="12" s="1" a="1"/>
  <c r="K832" i="12" s="1"/>
  <c r="F832" i="12"/>
  <c r="G832" i="12"/>
  <c r="A833" i="12" a="1"/>
  <c r="A833" i="12" s="1"/>
  <c r="F833" i="12" s="1"/>
  <c r="G833" i="12" s="1"/>
  <c r="C833" i="12" a="1"/>
  <c r="C833" i="12"/>
  <c r="D833" i="12" s="1"/>
  <c r="K833" i="12" s="1" a="1"/>
  <c r="K833" i="12" s="1"/>
  <c r="A834" i="12" a="1"/>
  <c r="A834" i="12" s="1"/>
  <c r="H834" i="12" s="1"/>
  <c r="I834" i="12" s="1"/>
  <c r="C834" i="12" a="1"/>
  <c r="C834" i="12" s="1"/>
  <c r="D834" i="12" s="1"/>
  <c r="K834" i="12" s="1" a="1"/>
  <c r="K834" i="12" s="1"/>
  <c r="A835" i="12" a="1"/>
  <c r="A835" i="12" s="1"/>
  <c r="H835" i="12" s="1"/>
  <c r="I835" i="12" s="1"/>
  <c r="C835" i="12" a="1"/>
  <c r="C835" i="12"/>
  <c r="D835" i="12" s="1"/>
  <c r="K835" i="12" s="1" a="1"/>
  <c r="K835" i="12" s="1"/>
  <c r="A836" i="12" a="1"/>
  <c r="A836" i="12" s="1"/>
  <c r="F836" i="12" s="1"/>
  <c r="G836" i="12" s="1"/>
  <c r="B836" i="12"/>
  <c r="C836" i="12" a="1"/>
  <c r="C836" i="12"/>
  <c r="D836" i="12"/>
  <c r="K836" i="12" s="1" a="1"/>
  <c r="K836" i="12" s="1"/>
  <c r="H836" i="12"/>
  <c r="I836" i="12" s="1"/>
  <c r="A837" i="12" a="1"/>
  <c r="A837" i="12" s="1"/>
  <c r="C837" i="12" a="1"/>
  <c r="C837" i="12"/>
  <c r="D837" i="12" s="1"/>
  <c r="K837" i="12" s="1" a="1"/>
  <c r="K837" i="12" s="1"/>
  <c r="H837" i="12"/>
  <c r="I837" i="12" s="1"/>
  <c r="A838" i="12" a="1"/>
  <c r="A838" i="12" s="1"/>
  <c r="H838" i="12" s="1"/>
  <c r="I838" i="12" s="1"/>
  <c r="C838" i="12" a="1"/>
  <c r="C838" i="12"/>
  <c r="D838" i="12" s="1"/>
  <c r="K838" i="12" s="1" a="1"/>
  <c r="K838" i="12" s="1"/>
  <c r="A839" i="12" a="1"/>
  <c r="A839" i="12" s="1"/>
  <c r="B839" i="12"/>
  <c r="C839" i="12" a="1"/>
  <c r="C839" i="12"/>
  <c r="D839" i="12"/>
  <c r="K839" i="12" s="1" a="1"/>
  <c r="K839" i="12" s="1"/>
  <c r="A840" i="12" a="1"/>
  <c r="A840" i="12" s="1"/>
  <c r="C840" i="12" a="1"/>
  <c r="C840" i="12"/>
  <c r="D840" i="12" s="1"/>
  <c r="K840" i="12" s="1" a="1"/>
  <c r="K840" i="12" s="1"/>
  <c r="H840" i="12"/>
  <c r="I840" i="12"/>
  <c r="A841" i="12" a="1"/>
  <c r="A841" i="12" s="1"/>
  <c r="H841" i="12" s="1"/>
  <c r="I841" i="12" s="1"/>
  <c r="C841" i="12" a="1"/>
  <c r="C841" i="12"/>
  <c r="D841" i="12" s="1"/>
  <c r="K841" i="12" s="1" a="1"/>
  <c r="K841" i="12" s="1"/>
  <c r="F841" i="12"/>
  <c r="G841" i="12" s="1"/>
  <c r="A842" i="12" a="1"/>
  <c r="A842" i="12" s="1"/>
  <c r="F842" i="12" s="1"/>
  <c r="G842" i="12" s="1"/>
  <c r="C842" i="12" a="1"/>
  <c r="C842" i="12"/>
  <c r="D842" i="12" s="1"/>
  <c r="K842" i="12" s="1" a="1"/>
  <c r="K842" i="12" s="1"/>
  <c r="A843" i="12" a="1"/>
  <c r="A843" i="12" s="1"/>
  <c r="C843" i="12" a="1"/>
  <c r="C843" i="12" s="1"/>
  <c r="D843" i="12" s="1"/>
  <c r="K843" i="12" s="1" a="1"/>
  <c r="K843" i="12" s="1"/>
  <c r="A844" i="12" a="1"/>
  <c r="A844" i="12" s="1"/>
  <c r="C844" i="12" a="1"/>
  <c r="C844" i="12"/>
  <c r="D844" i="12" s="1"/>
  <c r="K844" i="12" s="1" a="1"/>
  <c r="K844" i="12" s="1"/>
  <c r="A845" i="12" a="1"/>
  <c r="A845" i="12" s="1"/>
  <c r="F845" i="12" s="1"/>
  <c r="G845" i="12" s="1"/>
  <c r="C845" i="12" a="1"/>
  <c r="C845" i="12"/>
  <c r="D845" i="12"/>
  <c r="K845" i="12" s="1" a="1"/>
  <c r="K845" i="12" s="1"/>
  <c r="H845" i="12"/>
  <c r="I845" i="12" s="1"/>
  <c r="A846" i="12" a="1"/>
  <c r="A846" i="12" s="1"/>
  <c r="H846" i="12" s="1"/>
  <c r="I846" i="12" s="1"/>
  <c r="C846" i="12" a="1"/>
  <c r="C846" i="12"/>
  <c r="D846" i="12" s="1"/>
  <c r="K846" i="12" s="1" a="1"/>
  <c r="K846" i="12" s="1"/>
  <c r="A847" i="12" a="1"/>
  <c r="A847" i="12" s="1"/>
  <c r="H847" i="12" s="1"/>
  <c r="I847" i="12" s="1"/>
  <c r="C847" i="12" a="1"/>
  <c r="C847" i="12"/>
  <c r="D847" i="12" s="1"/>
  <c r="K847" i="12" s="1" a="1"/>
  <c r="K847" i="12" s="1"/>
  <c r="A848" i="12" a="1"/>
  <c r="A848" i="12" s="1"/>
  <c r="C848" i="12" a="1"/>
  <c r="C848" i="12"/>
  <c r="D848" i="12"/>
  <c r="K848" i="12" s="1" a="1"/>
  <c r="K848" i="12" s="1"/>
  <c r="A849" i="12" a="1"/>
  <c r="A849" i="12" s="1"/>
  <c r="H849" i="12" s="1"/>
  <c r="I849" i="12" s="1"/>
  <c r="C849" i="12" a="1"/>
  <c r="C849" i="12"/>
  <c r="D849" i="12" s="1"/>
  <c r="K849" i="12" s="1" a="1"/>
  <c r="K849" i="12" s="1"/>
  <c r="A850" i="12" a="1"/>
  <c r="A850" i="12" s="1"/>
  <c r="H850" i="12" s="1"/>
  <c r="I850" i="12" s="1"/>
  <c r="C850" i="12" a="1"/>
  <c r="C850" i="12"/>
  <c r="D850" i="12" s="1"/>
  <c r="K850" i="12" s="1" a="1"/>
  <c r="K850" i="12" s="1"/>
  <c r="F850" i="12"/>
  <c r="G850" i="12" s="1"/>
  <c r="A851" i="12" a="1"/>
  <c r="A851" i="12" s="1"/>
  <c r="F851" i="12" s="1"/>
  <c r="G851" i="12" s="1"/>
  <c r="C851" i="12" a="1"/>
  <c r="C851" i="12"/>
  <c r="D851" i="12" s="1"/>
  <c r="K851" i="12" s="1" a="1"/>
  <c r="K851" i="12" s="1"/>
  <c r="A852" i="12" a="1"/>
  <c r="A852" i="12" s="1"/>
  <c r="C852" i="12" a="1"/>
  <c r="C852" i="12" s="1"/>
  <c r="D852" i="12" s="1"/>
  <c r="K852" i="12" s="1" a="1"/>
  <c r="K852" i="12" s="1"/>
  <c r="A853" i="12" a="1"/>
  <c r="A853" i="12" s="1"/>
  <c r="C853" i="12" a="1"/>
  <c r="C853" i="12"/>
  <c r="D853" i="12" s="1"/>
  <c r="K853" i="12" s="1" a="1"/>
  <c r="K853" i="12" s="1"/>
  <c r="A854" i="12" a="1"/>
  <c r="A854" i="12" s="1"/>
  <c r="F854" i="12" s="1"/>
  <c r="G854" i="12" s="1"/>
  <c r="C854" i="12" a="1"/>
  <c r="C854" i="12"/>
  <c r="D854" i="12"/>
  <c r="K854" i="12" s="1" a="1"/>
  <c r="K854" i="12" s="1"/>
  <c r="A855" i="12" a="1"/>
  <c r="A855" i="12" s="1"/>
  <c r="C855" i="12" a="1"/>
  <c r="C855" i="12"/>
  <c r="D855" i="12" s="1"/>
  <c r="K855" i="12" s="1" a="1"/>
  <c r="K855" i="12" s="1"/>
  <c r="H855" i="12"/>
  <c r="I855" i="12" s="1"/>
  <c r="A856" i="12" a="1"/>
  <c r="A856" i="12" s="1"/>
  <c r="C856" i="12" a="1"/>
  <c r="C856" i="12"/>
  <c r="D856" i="12" s="1"/>
  <c r="K856" i="12" s="1" a="1"/>
  <c r="K856" i="12" s="1"/>
  <c r="A857" i="12" a="1"/>
  <c r="A857" i="12" s="1"/>
  <c r="B857" i="12" s="1"/>
  <c r="C857" i="12" a="1"/>
  <c r="C857" i="12"/>
  <c r="D857" i="12"/>
  <c r="K857" i="12" s="1" a="1"/>
  <c r="K857" i="12" s="1"/>
  <c r="A858" i="12" a="1"/>
  <c r="A858" i="12" s="1"/>
  <c r="C858" i="12" a="1"/>
  <c r="C858" i="12"/>
  <c r="D858" i="12" s="1"/>
  <c r="K858" i="12" s="1" a="1"/>
  <c r="K858" i="12" s="1"/>
  <c r="A859" i="12" a="1"/>
  <c r="A859" i="12" s="1"/>
  <c r="F859" i="12" s="1"/>
  <c r="G859" i="12" s="1"/>
  <c r="C859" i="12" a="1"/>
  <c r="C859" i="12"/>
  <c r="D859" i="12" s="1"/>
  <c r="K859" i="12" s="1" a="1"/>
  <c r="K859" i="12" s="1"/>
  <c r="A860" i="12" a="1"/>
  <c r="A860" i="12" s="1"/>
  <c r="C860" i="12" a="1"/>
  <c r="C860" i="12"/>
  <c r="D860" i="12"/>
  <c r="K860" i="12" s="1" a="1"/>
  <c r="K860" i="12" s="1"/>
  <c r="A861" i="12" a="1"/>
  <c r="A861" i="12" s="1"/>
  <c r="C861" i="12" a="1"/>
  <c r="C861" i="12"/>
  <c r="D861" i="12" s="1"/>
  <c r="K861" i="12" s="1" a="1"/>
  <c r="K861" i="12" s="1"/>
  <c r="A862" i="12" a="1"/>
  <c r="A862" i="12" s="1"/>
  <c r="C862" i="12" a="1"/>
  <c r="C862" i="12"/>
  <c r="D862" i="12" s="1"/>
  <c r="K862" i="12" s="1" a="1"/>
  <c r="K862" i="12" s="1"/>
  <c r="A863" i="12" a="1"/>
  <c r="A863" i="12" s="1"/>
  <c r="H863" i="12" s="1"/>
  <c r="I863" i="12" s="1"/>
  <c r="C863" i="12" a="1"/>
  <c r="C863" i="12"/>
  <c r="D863" i="12"/>
  <c r="K863" i="12" s="1" a="1"/>
  <c r="K863" i="12" s="1"/>
  <c r="A864" i="12" a="1"/>
  <c r="A864" i="12" s="1"/>
  <c r="H864" i="12" s="1"/>
  <c r="B864" i="12"/>
  <c r="C864" i="12" a="1"/>
  <c r="C864" i="12" s="1"/>
  <c r="D864" i="12" s="1"/>
  <c r="K864" i="12" s="1" a="1"/>
  <c r="K864" i="12" s="1"/>
  <c r="F864" i="12"/>
  <c r="G864" i="12" s="1"/>
  <c r="I864" i="12"/>
  <c r="A865" i="12" a="1"/>
  <c r="A865" i="12"/>
  <c r="B865" i="12"/>
  <c r="C865" i="12" a="1"/>
  <c r="C865" i="12"/>
  <c r="D865" i="12" s="1"/>
  <c r="K865" i="12" s="1" a="1"/>
  <c r="K865" i="12" s="1"/>
  <c r="A866" i="12" a="1"/>
  <c r="A866" i="12" s="1"/>
  <c r="F866" i="12" s="1"/>
  <c r="G866" i="12" s="1"/>
  <c r="B866" i="12"/>
  <c r="C866" i="12" a="1"/>
  <c r="C866" i="12"/>
  <c r="D866" i="12"/>
  <c r="K866" i="12" s="1" a="1"/>
  <c r="K866" i="12" s="1"/>
  <c r="H866" i="12"/>
  <c r="I866" i="12" s="1"/>
  <c r="A867" i="12" a="1"/>
  <c r="A867" i="12" s="1"/>
  <c r="H867" i="12" s="1"/>
  <c r="I867" i="12" s="1"/>
  <c r="B867" i="12"/>
  <c r="C867" i="12" a="1"/>
  <c r="C867" i="12"/>
  <c r="D867" i="12" s="1"/>
  <c r="K867" i="12" s="1" a="1"/>
  <c r="K867" i="12" s="1"/>
  <c r="F867" i="12"/>
  <c r="G867" i="12"/>
  <c r="A868" i="12" a="1"/>
  <c r="A868" i="12" s="1"/>
  <c r="C868" i="12" a="1"/>
  <c r="C868" i="12"/>
  <c r="D868" i="12"/>
  <c r="K868" i="12" s="1" a="1"/>
  <c r="K868" i="12" s="1"/>
  <c r="H868" i="12"/>
  <c r="I868" i="12" s="1"/>
  <c r="A869" i="12" a="1"/>
  <c r="A869" i="12"/>
  <c r="F869" i="12" s="1"/>
  <c r="G869" i="12" s="1"/>
  <c r="B869" i="12"/>
  <c r="C869" i="12" a="1"/>
  <c r="C869" i="12"/>
  <c r="D869" i="12" s="1"/>
  <c r="K869" i="12" s="1" a="1"/>
  <c r="K869" i="12" s="1"/>
  <c r="A870" i="12" a="1"/>
  <c r="A870" i="12"/>
  <c r="H870" i="12" s="1"/>
  <c r="I870" i="12" s="1"/>
  <c r="J870" i="12" s="1"/>
  <c r="B870" i="12"/>
  <c r="C870" i="12" a="1"/>
  <c r="C870" i="12" s="1"/>
  <c r="D870" i="12" s="1"/>
  <c r="K870" i="12" s="1" a="1"/>
  <c r="K870" i="12" s="1"/>
  <c r="A871" i="12" a="1"/>
  <c r="A871" i="12"/>
  <c r="F871" i="12" s="1"/>
  <c r="G871" i="12" s="1"/>
  <c r="B871" i="12"/>
  <c r="C871" i="12" a="1"/>
  <c r="C871" i="12"/>
  <c r="D871" i="12"/>
  <c r="K871" i="12" s="1" a="1"/>
  <c r="K871" i="12" s="1"/>
  <c r="H871" i="12"/>
  <c r="I871" i="12" s="1"/>
  <c r="A872" i="12" a="1"/>
  <c r="A872" i="12" s="1"/>
  <c r="F872" i="12" s="1"/>
  <c r="G872" i="12" s="1"/>
  <c r="B872" i="12"/>
  <c r="C872" i="12" a="1"/>
  <c r="C872" i="12" s="1"/>
  <c r="D872" i="12" s="1"/>
  <c r="K872" i="12" s="1" a="1"/>
  <c r="K872" i="12" s="1"/>
  <c r="A873" i="12" a="1"/>
  <c r="A873" i="12"/>
  <c r="B873" i="12" s="1"/>
  <c r="C873" i="12" a="1"/>
  <c r="C873" i="12" s="1"/>
  <c r="D873" i="12" s="1"/>
  <c r="K873" i="12" s="1" a="1"/>
  <c r="K873" i="12" s="1"/>
  <c r="H873" i="12"/>
  <c r="I873" i="12" s="1"/>
  <c r="A874" i="12" a="1"/>
  <c r="A874" i="12"/>
  <c r="B874" i="12"/>
  <c r="C874" i="12" a="1"/>
  <c r="C874" i="12" s="1"/>
  <c r="D874" i="12"/>
  <c r="K874" i="12" s="1" a="1"/>
  <c r="K874" i="12" s="1"/>
  <c r="A875" i="12" a="1"/>
  <c r="A875" i="12"/>
  <c r="C875" i="12" a="1"/>
  <c r="C875" i="12"/>
  <c r="D875" i="12" s="1"/>
  <c r="K875" i="12" s="1" a="1"/>
  <c r="K875" i="12" s="1"/>
  <c r="A876" i="12" a="1"/>
  <c r="A876" i="12" s="1"/>
  <c r="C876" i="12" a="1"/>
  <c r="C876" i="12" s="1"/>
  <c r="D876" i="12" s="1"/>
  <c r="K876" i="12" s="1" a="1"/>
  <c r="K876" i="12" s="1"/>
  <c r="F876" i="12"/>
  <c r="G876" i="12" s="1"/>
  <c r="A877" i="12" a="1"/>
  <c r="A877" i="12" s="1"/>
  <c r="C877" i="12" a="1"/>
  <c r="C877" i="12"/>
  <c r="D877" i="12" s="1"/>
  <c r="K877" i="12" s="1" a="1"/>
  <c r="K877" i="12" s="1"/>
  <c r="A878" i="12" a="1"/>
  <c r="A878" i="12" s="1"/>
  <c r="C878" i="12" a="1"/>
  <c r="C878" i="12" s="1"/>
  <c r="D878" i="12"/>
  <c r="K878" i="12" s="1" a="1"/>
  <c r="K878" i="12" s="1"/>
  <c r="H878" i="12"/>
  <c r="I878" i="12"/>
  <c r="A879" i="12" a="1"/>
  <c r="A879" i="12" s="1"/>
  <c r="H879" i="12" s="1"/>
  <c r="I879" i="12" s="1"/>
  <c r="C879" i="12" a="1"/>
  <c r="C879" i="12"/>
  <c r="D879" i="12" s="1"/>
  <c r="K879" i="12" s="1" a="1"/>
  <c r="K879" i="12" s="1"/>
  <c r="A880" i="12" a="1"/>
  <c r="A880" i="12"/>
  <c r="B880" i="12" s="1"/>
  <c r="C880" i="12" a="1"/>
  <c r="C880" i="12" s="1"/>
  <c r="D880" i="12" s="1"/>
  <c r="K880" i="12" s="1" a="1"/>
  <c r="K880" i="12" s="1"/>
  <c r="A881" i="12" a="1"/>
  <c r="A881" i="12" s="1"/>
  <c r="H881" i="12" s="1"/>
  <c r="I881" i="12" s="1"/>
  <c r="B881" i="12"/>
  <c r="C881" i="12" a="1"/>
  <c r="C881" i="12"/>
  <c r="D881" i="12"/>
  <c r="K881" i="12" s="1" a="1"/>
  <c r="K881" i="12" s="1"/>
  <c r="F881" i="12"/>
  <c r="G881" i="12" s="1"/>
  <c r="A882" i="12" a="1"/>
  <c r="A882" i="12"/>
  <c r="F882" i="12" s="1"/>
  <c r="G882" i="12" s="1"/>
  <c r="C882" i="12" a="1"/>
  <c r="C882" i="12"/>
  <c r="D882" i="12" s="1"/>
  <c r="K882" i="12" s="1" a="1"/>
  <c r="K882" i="12" s="1"/>
  <c r="A883" i="12" a="1"/>
  <c r="A883" i="12" s="1"/>
  <c r="B883" i="12" s="1"/>
  <c r="C883" i="12" a="1"/>
  <c r="C883" i="12"/>
  <c r="D883" i="12"/>
  <c r="K883" i="12" s="1" a="1"/>
  <c r="K883" i="12" s="1"/>
  <c r="F883" i="12"/>
  <c r="G883" i="12" s="1"/>
  <c r="H883" i="12"/>
  <c r="I883" i="12" s="1"/>
  <c r="A884" i="12" a="1"/>
  <c r="A884" i="12" s="1"/>
  <c r="B884" i="12" s="1"/>
  <c r="C884" i="12" a="1"/>
  <c r="C884" i="12" s="1"/>
  <c r="D884" i="12" s="1"/>
  <c r="K884" i="12" s="1" a="1"/>
  <c r="K884" i="12" s="1"/>
  <c r="A885" i="12" a="1"/>
  <c r="A885" i="12" s="1"/>
  <c r="C885" i="12" a="1"/>
  <c r="C885" i="12"/>
  <c r="D885" i="12" s="1"/>
  <c r="K885" i="12" s="1" a="1"/>
  <c r="K885" i="12" s="1"/>
  <c r="A886" i="12" a="1"/>
  <c r="A886" i="12" s="1"/>
  <c r="C886" i="12" a="1"/>
  <c r="C886" i="12" s="1"/>
  <c r="D886" i="12" s="1"/>
  <c r="K886" i="12" s="1" a="1"/>
  <c r="K886" i="12" s="1"/>
  <c r="A887" i="12" a="1"/>
  <c r="A887" i="12" s="1"/>
  <c r="F887" i="12" s="1"/>
  <c r="G887" i="12" s="1"/>
  <c r="C887" i="12" a="1"/>
  <c r="C887" i="12"/>
  <c r="D887" i="12" s="1"/>
  <c r="K887" i="12" s="1" a="1"/>
  <c r="K887" i="12" s="1"/>
  <c r="A888" i="12" a="1"/>
  <c r="A888" i="12" s="1"/>
  <c r="C888" i="12" a="1"/>
  <c r="C888" i="12" s="1"/>
  <c r="D888" i="12" s="1"/>
  <c r="K888" i="12" s="1" a="1"/>
  <c r="K888" i="12" s="1"/>
  <c r="A889" i="12" a="1"/>
  <c r="A889" i="12" s="1"/>
  <c r="B889" i="12" s="1"/>
  <c r="C889" i="12" a="1"/>
  <c r="C889" i="12"/>
  <c r="D889" i="12" s="1"/>
  <c r="K889" i="12" s="1" a="1"/>
  <c r="K889" i="12" s="1"/>
  <c r="A890" i="12" a="1"/>
  <c r="A890" i="12" s="1"/>
  <c r="C890" i="12" a="1"/>
  <c r="C890" i="12" s="1"/>
  <c r="D890" i="12" s="1"/>
  <c r="K890" i="12" s="1" a="1"/>
  <c r="K890" i="12" s="1"/>
  <c r="A891" i="12" a="1"/>
  <c r="A891" i="12" s="1"/>
  <c r="B891" i="12" s="1"/>
  <c r="C891" i="12" a="1"/>
  <c r="C891" i="12"/>
  <c r="D891" i="12" s="1"/>
  <c r="K891" i="12" s="1" a="1"/>
  <c r="K891" i="12" s="1"/>
  <c r="F891" i="12"/>
  <c r="G891" i="12" s="1"/>
  <c r="H891" i="12"/>
  <c r="I891" i="12" s="1"/>
  <c r="A892" i="12" a="1"/>
  <c r="A892" i="12"/>
  <c r="C892" i="12" a="1"/>
  <c r="C892" i="12" s="1"/>
  <c r="D892" i="12" s="1"/>
  <c r="K892" i="12" s="1" a="1"/>
  <c r="K892" i="12" s="1"/>
  <c r="H892" i="12"/>
  <c r="I892" i="12" s="1"/>
  <c r="A893" i="12" a="1"/>
  <c r="A893" i="12" s="1"/>
  <c r="F893" i="12" s="1"/>
  <c r="G893" i="12" s="1"/>
  <c r="B893" i="12"/>
  <c r="C893" i="12" a="1"/>
  <c r="C893" i="12"/>
  <c r="D893" i="12" s="1"/>
  <c r="K893" i="12" s="1" a="1"/>
  <c r="K893" i="12" s="1"/>
  <c r="H893" i="12"/>
  <c r="I893" i="12" s="1"/>
  <c r="J893" i="12" s="1"/>
  <c r="A894" i="12" a="1"/>
  <c r="A894" i="12"/>
  <c r="B894" i="12" s="1"/>
  <c r="C894" i="12" a="1"/>
  <c r="C894" i="12"/>
  <c r="D894" i="12" s="1"/>
  <c r="K894" i="12" s="1" a="1"/>
  <c r="K894" i="12" s="1"/>
  <c r="F894" i="12"/>
  <c r="G894" i="12"/>
  <c r="A895" i="12" a="1"/>
  <c r="A895" i="12" s="1"/>
  <c r="B895" i="12" s="1"/>
  <c r="C895" i="12" a="1"/>
  <c r="C895" i="12"/>
  <c r="D895" i="12" s="1"/>
  <c r="K895" i="12" s="1" a="1"/>
  <c r="K895" i="12" s="1"/>
  <c r="A896" i="12" a="1"/>
  <c r="A896" i="12" s="1"/>
  <c r="F896" i="12" s="1"/>
  <c r="B896" i="12"/>
  <c r="C896" i="12" a="1"/>
  <c r="C896" i="12" s="1"/>
  <c r="D896" i="12" s="1"/>
  <c r="K896" i="12" s="1" a="1"/>
  <c r="K896" i="12" s="1"/>
  <c r="G896" i="12"/>
  <c r="A897" i="12" a="1"/>
  <c r="A897" i="12"/>
  <c r="F897" i="12" s="1"/>
  <c r="B897" i="12"/>
  <c r="C897" i="12" a="1"/>
  <c r="C897" i="12"/>
  <c r="D897" i="12" s="1"/>
  <c r="K897" i="12" s="1" a="1"/>
  <c r="K897" i="12" s="1"/>
  <c r="G897" i="12"/>
  <c r="H897" i="12"/>
  <c r="I897" i="12" s="1"/>
  <c r="A898" i="12" a="1"/>
  <c r="A898" i="12"/>
  <c r="B898" i="12"/>
  <c r="C898" i="12" a="1"/>
  <c r="C898" i="12"/>
  <c r="D898" i="12" s="1"/>
  <c r="K898" i="12" s="1" a="1"/>
  <c r="K898" i="12" s="1"/>
  <c r="F898" i="12"/>
  <c r="G898" i="12" s="1"/>
  <c r="H898" i="12"/>
  <c r="I898" i="12" s="1"/>
  <c r="A899" i="12" a="1"/>
  <c r="A899" i="12" s="1"/>
  <c r="B899" i="12" s="1"/>
  <c r="C899" i="12" a="1"/>
  <c r="C899" i="12" s="1"/>
  <c r="D899" i="12" s="1"/>
  <c r="K899" i="12" s="1" a="1"/>
  <c r="K899" i="12" s="1"/>
  <c r="A900" i="12" a="1"/>
  <c r="A900" i="12" s="1"/>
  <c r="C900" i="12" a="1"/>
  <c r="C900" i="12"/>
  <c r="D900" i="12" s="1"/>
  <c r="K900" i="12" s="1" a="1"/>
  <c r="K900" i="12" s="1"/>
  <c r="A901" i="12" a="1"/>
  <c r="A901" i="12" s="1"/>
  <c r="C901" i="12" a="1"/>
  <c r="C901" i="12"/>
  <c r="D901" i="12" s="1"/>
  <c r="K901" i="12" s="1" a="1"/>
  <c r="K901" i="12" s="1"/>
  <c r="A776" i="12" a="1"/>
  <c r="A776" i="12" s="1"/>
  <c r="C776" i="12" a="1"/>
  <c r="C776" i="12" s="1"/>
  <c r="D776" i="12" s="1"/>
  <c r="K776" i="12" s="1" a="1"/>
  <c r="K776" i="12" s="1"/>
  <c r="A777" i="12" a="1"/>
  <c r="A777" i="12" s="1"/>
  <c r="C777" i="12" a="1"/>
  <c r="C777" i="12" s="1"/>
  <c r="D777" i="12" s="1"/>
  <c r="K777" i="12" s="1" a="1"/>
  <c r="K777" i="12" s="1"/>
  <c r="A778" i="12" a="1"/>
  <c r="A778" i="12" s="1"/>
  <c r="C778" i="12" a="1"/>
  <c r="C778" i="12" s="1"/>
  <c r="D778" i="12" s="1"/>
  <c r="K778" i="12" s="1" a="1"/>
  <c r="K778" i="12" s="1"/>
  <c r="A779" i="12" a="1"/>
  <c r="A779" i="12" s="1"/>
  <c r="C779" i="12" a="1"/>
  <c r="C779" i="12" s="1"/>
  <c r="D779" i="12" s="1"/>
  <c r="K779" i="12" s="1" a="1"/>
  <c r="K779" i="12" s="1"/>
  <c r="A780" i="12" a="1"/>
  <c r="A780" i="12" s="1"/>
  <c r="C780" i="12" a="1"/>
  <c r="C780" i="12"/>
  <c r="D780" i="12" s="1"/>
  <c r="K780" i="12" s="1" a="1"/>
  <c r="K780" i="12" s="1"/>
  <c r="A781" i="12" a="1"/>
  <c r="A781" i="12" s="1"/>
  <c r="C781" i="12" a="1"/>
  <c r="C781" i="12"/>
  <c r="D781" i="12" s="1"/>
  <c r="K781" i="12" s="1" a="1"/>
  <c r="K781" i="12" s="1"/>
  <c r="A782" i="12" a="1"/>
  <c r="A782" i="12" s="1"/>
  <c r="C782" i="12" a="1"/>
  <c r="C782" i="12"/>
  <c r="D782" i="12" s="1"/>
  <c r="K782" i="12" s="1" a="1"/>
  <c r="K782" i="12" s="1"/>
  <c r="A783" i="12" a="1"/>
  <c r="A783" i="12" s="1"/>
  <c r="C783" i="12" a="1"/>
  <c r="C783" i="12"/>
  <c r="D783" i="12" s="1"/>
  <c r="K783" i="12" s="1" a="1"/>
  <c r="K783" i="12" s="1"/>
  <c r="A784" i="12" a="1"/>
  <c r="A784" i="12" s="1"/>
  <c r="C784" i="12" a="1"/>
  <c r="C784" i="12"/>
  <c r="D784" i="12" s="1"/>
  <c r="K784" i="12" s="1" a="1"/>
  <c r="K784" i="12" s="1"/>
  <c r="A749" i="12" a="1"/>
  <c r="A749" i="12" s="1"/>
  <c r="C749" i="12" a="1"/>
  <c r="C749" i="12" s="1"/>
  <c r="D749" i="12" s="1"/>
  <c r="K749" i="12" s="1" a="1"/>
  <c r="K749" i="12" s="1"/>
  <c r="A750" i="12" a="1"/>
  <c r="A750" i="12" s="1"/>
  <c r="C750" i="12" a="1"/>
  <c r="C750" i="12" s="1"/>
  <c r="D750" i="12" s="1"/>
  <c r="K750" i="12" s="1" a="1"/>
  <c r="K750" i="12" s="1"/>
  <c r="A751" i="12" a="1"/>
  <c r="A751" i="12" s="1"/>
  <c r="C751" i="12" a="1"/>
  <c r="C751" i="12" s="1"/>
  <c r="D751" i="12" s="1"/>
  <c r="K751" i="12" s="1" a="1"/>
  <c r="K751" i="12" s="1"/>
  <c r="A752" i="12" a="1"/>
  <c r="A752" i="12" s="1"/>
  <c r="C752" i="12" a="1"/>
  <c r="C752" i="12" s="1"/>
  <c r="D752" i="12" s="1"/>
  <c r="K752" i="12" s="1" a="1"/>
  <c r="K752" i="12" s="1"/>
  <c r="A753" i="12" a="1"/>
  <c r="A753" i="12" s="1"/>
  <c r="C753" i="12" a="1"/>
  <c r="C753" i="12" s="1"/>
  <c r="D753" i="12" s="1"/>
  <c r="K753" i="12" s="1" a="1"/>
  <c r="K753" i="12" s="1"/>
  <c r="A754" i="12" a="1"/>
  <c r="A754" i="12" s="1"/>
  <c r="C754" i="12" a="1"/>
  <c r="C754" i="12" s="1"/>
  <c r="D754" i="12" s="1"/>
  <c r="K754" i="12" s="1" a="1"/>
  <c r="K754" i="12" s="1"/>
  <c r="A755" i="12" a="1"/>
  <c r="A755" i="12" s="1"/>
  <c r="C755" i="12" a="1"/>
  <c r="C755" i="12"/>
  <c r="D755" i="12" s="1"/>
  <c r="K755" i="12" s="1" a="1"/>
  <c r="K755" i="12" s="1"/>
  <c r="A756" i="12" a="1"/>
  <c r="A756" i="12" s="1"/>
  <c r="C756" i="12" a="1"/>
  <c r="C756" i="12" s="1"/>
  <c r="D756" i="12" s="1"/>
  <c r="K756" i="12" s="1" a="1"/>
  <c r="K756" i="12" s="1"/>
  <c r="A757" i="12" a="1"/>
  <c r="A757" i="12" s="1"/>
  <c r="C757" i="12" a="1"/>
  <c r="C757" i="12" s="1"/>
  <c r="D757" i="12" s="1"/>
  <c r="K757" i="12" s="1" a="1"/>
  <c r="K757" i="12" s="1"/>
  <c r="A758" i="12" a="1"/>
  <c r="A758" i="12" s="1"/>
  <c r="C758" i="12" a="1"/>
  <c r="C758" i="12" s="1"/>
  <c r="D758" i="12" s="1"/>
  <c r="K758" i="12" s="1" a="1"/>
  <c r="K758" i="12" s="1"/>
  <c r="A759" i="12" a="1"/>
  <c r="A759" i="12" s="1"/>
  <c r="C759" i="12" a="1"/>
  <c r="C759" i="12"/>
  <c r="D759" i="12" s="1"/>
  <c r="K759" i="12" s="1" a="1"/>
  <c r="K759" i="12" s="1"/>
  <c r="A760" i="12" a="1"/>
  <c r="A760" i="12" s="1"/>
  <c r="C760" i="12" a="1"/>
  <c r="C760" i="12" s="1"/>
  <c r="D760" i="12" s="1"/>
  <c r="K760" i="12" s="1" a="1"/>
  <c r="K760" i="12" s="1"/>
  <c r="A761" i="12" a="1"/>
  <c r="A761" i="12" s="1"/>
  <c r="C761" i="12" a="1"/>
  <c r="C761" i="12" s="1"/>
  <c r="D761" i="12" s="1"/>
  <c r="K761" i="12" s="1" a="1"/>
  <c r="K761" i="12" s="1"/>
  <c r="A762" i="12" a="1"/>
  <c r="A762" i="12" s="1"/>
  <c r="C762" i="12" a="1"/>
  <c r="C762" i="12" s="1"/>
  <c r="D762" i="12" s="1"/>
  <c r="K762" i="12" s="1" a="1"/>
  <c r="K762" i="12" s="1"/>
  <c r="A763" i="12" a="1"/>
  <c r="A763" i="12" s="1"/>
  <c r="C763" i="12" a="1"/>
  <c r="C763" i="12"/>
  <c r="D763" i="12" s="1"/>
  <c r="K763" i="12" s="1" a="1"/>
  <c r="K763" i="12" s="1"/>
  <c r="A764" i="12" a="1"/>
  <c r="A764" i="12" s="1"/>
  <c r="C764" i="12" a="1"/>
  <c r="C764" i="12" s="1"/>
  <c r="D764" i="12" s="1"/>
  <c r="K764" i="12" s="1" a="1"/>
  <c r="K764" i="12" s="1"/>
  <c r="A765" i="12" a="1"/>
  <c r="A765" i="12" s="1"/>
  <c r="C765" i="12" a="1"/>
  <c r="C765" i="12" s="1"/>
  <c r="D765" i="12" s="1"/>
  <c r="K765" i="12" s="1" a="1"/>
  <c r="K765" i="12" s="1"/>
  <c r="A766" i="12" a="1"/>
  <c r="A766" i="12" s="1"/>
  <c r="C766" i="12" a="1"/>
  <c r="C766" i="12" s="1"/>
  <c r="D766" i="12" s="1"/>
  <c r="K766" i="12" s="1" a="1"/>
  <c r="K766" i="12" s="1"/>
  <c r="A767" i="12" a="1"/>
  <c r="A767" i="12" s="1"/>
  <c r="C767" i="12" a="1"/>
  <c r="C767" i="12"/>
  <c r="D767" i="12" s="1"/>
  <c r="K767" i="12" s="1" a="1"/>
  <c r="K767" i="12" s="1"/>
  <c r="A768" i="12" a="1"/>
  <c r="A768" i="12" s="1"/>
  <c r="C768" i="12" a="1"/>
  <c r="C768" i="12" s="1"/>
  <c r="D768" i="12" s="1"/>
  <c r="K768" i="12" s="1" a="1"/>
  <c r="K768" i="12" s="1"/>
  <c r="A769" i="12" a="1"/>
  <c r="A769" i="12" s="1"/>
  <c r="C769" i="12" a="1"/>
  <c r="C769" i="12" s="1"/>
  <c r="D769" i="12" s="1"/>
  <c r="K769" i="12" s="1" a="1"/>
  <c r="K769" i="12" s="1"/>
  <c r="A770" i="12" a="1"/>
  <c r="A770" i="12" s="1"/>
  <c r="C770" i="12" a="1"/>
  <c r="C770" i="12" s="1"/>
  <c r="D770" i="12" s="1"/>
  <c r="K770" i="12" s="1" a="1"/>
  <c r="K770" i="12" s="1"/>
  <c r="A771" i="12" a="1"/>
  <c r="A771" i="12" s="1"/>
  <c r="C771" i="12" a="1"/>
  <c r="C771" i="12"/>
  <c r="D771" i="12" s="1"/>
  <c r="K771" i="12" s="1" a="1"/>
  <c r="K771" i="12" s="1"/>
  <c r="A772" i="12" a="1"/>
  <c r="A772" i="12" s="1"/>
  <c r="C772" i="12" a="1"/>
  <c r="C772" i="12" s="1"/>
  <c r="D772" i="12" s="1"/>
  <c r="K772" i="12" s="1" a="1"/>
  <c r="K772" i="12" s="1"/>
  <c r="A773" i="12" a="1"/>
  <c r="A773" i="12" s="1"/>
  <c r="C773" i="12" a="1"/>
  <c r="C773" i="12" s="1"/>
  <c r="D773" i="12" s="1"/>
  <c r="K773" i="12" s="1" a="1"/>
  <c r="K773" i="12" s="1"/>
  <c r="A774" i="12" a="1"/>
  <c r="A774" i="12" s="1"/>
  <c r="C774" i="12" a="1"/>
  <c r="C774" i="12" s="1"/>
  <c r="D774" i="12" s="1"/>
  <c r="K774" i="12" s="1" a="1"/>
  <c r="K774" i="12" s="1"/>
  <c r="A775" i="12" a="1"/>
  <c r="A775" i="12" s="1"/>
  <c r="C775" i="12" a="1"/>
  <c r="C775" i="12"/>
  <c r="D775" i="12" s="1"/>
  <c r="K775" i="12" s="1" a="1"/>
  <c r="K775" i="12" s="1"/>
  <c r="A704" i="12" a="1"/>
  <c r="A704" i="12" s="1"/>
  <c r="C704" i="12" a="1"/>
  <c r="C704" i="12" s="1"/>
  <c r="D704" i="12" s="1"/>
  <c r="K704" i="12" s="1" a="1"/>
  <c r="K704" i="12" s="1"/>
  <c r="A705" i="12" a="1"/>
  <c r="A705" i="12" s="1"/>
  <c r="C705" i="12" a="1"/>
  <c r="C705" i="12" s="1"/>
  <c r="D705" i="12" s="1"/>
  <c r="K705" i="12" s="1" a="1"/>
  <c r="K705" i="12" s="1"/>
  <c r="A706" i="12" a="1"/>
  <c r="A706" i="12" s="1"/>
  <c r="C706" i="12" a="1"/>
  <c r="C706" i="12" s="1"/>
  <c r="D706" i="12" s="1"/>
  <c r="K706" i="12" s="1" a="1"/>
  <c r="K706" i="12" s="1"/>
  <c r="A707" i="12" a="1"/>
  <c r="A707" i="12" s="1"/>
  <c r="C707" i="12" a="1"/>
  <c r="C707" i="12" s="1"/>
  <c r="D707" i="12" s="1"/>
  <c r="K707" i="12" s="1" a="1"/>
  <c r="K707" i="12" s="1"/>
  <c r="A708" i="12" a="1"/>
  <c r="A708" i="12" s="1"/>
  <c r="C708" i="12" a="1"/>
  <c r="C708" i="12" s="1"/>
  <c r="D708" i="12" s="1"/>
  <c r="K708" i="12" s="1" a="1"/>
  <c r="K708" i="12" s="1"/>
  <c r="A709" i="12" a="1"/>
  <c r="A709" i="12" s="1"/>
  <c r="C709" i="12" a="1"/>
  <c r="C709" i="12" s="1"/>
  <c r="D709" i="12" s="1"/>
  <c r="K709" i="12" s="1" a="1"/>
  <c r="K709" i="12" s="1"/>
  <c r="A710" i="12" a="1"/>
  <c r="A710" i="12" s="1"/>
  <c r="C710" i="12" a="1"/>
  <c r="C710" i="12" s="1"/>
  <c r="D710" i="12" s="1"/>
  <c r="K710" i="12" s="1" a="1"/>
  <c r="K710" i="12" s="1"/>
  <c r="A711" i="12" a="1"/>
  <c r="A711" i="12" s="1"/>
  <c r="C711" i="12" a="1"/>
  <c r="C711" i="12" s="1"/>
  <c r="D711" i="12" s="1"/>
  <c r="K711" i="12" s="1" a="1"/>
  <c r="K711" i="12" s="1"/>
  <c r="A712" i="12" a="1"/>
  <c r="A712" i="12" s="1"/>
  <c r="C712" i="12" a="1"/>
  <c r="C712" i="12" s="1"/>
  <c r="D712" i="12" s="1"/>
  <c r="K712" i="12" s="1" a="1"/>
  <c r="K712" i="12" s="1"/>
  <c r="A713" i="12" a="1"/>
  <c r="A713" i="12" s="1"/>
  <c r="C713" i="12" a="1"/>
  <c r="C713" i="12" s="1"/>
  <c r="D713" i="12" s="1"/>
  <c r="K713" i="12" s="1" a="1"/>
  <c r="K713" i="12" s="1"/>
  <c r="A714" i="12" a="1"/>
  <c r="A714" i="12" s="1"/>
  <c r="C714" i="12" a="1"/>
  <c r="C714" i="12" s="1"/>
  <c r="D714" i="12" s="1"/>
  <c r="K714" i="12" s="1" a="1"/>
  <c r="K714" i="12" s="1"/>
  <c r="A715" i="12" a="1"/>
  <c r="A715" i="12" s="1"/>
  <c r="C715" i="12" a="1"/>
  <c r="C715" i="12" s="1"/>
  <c r="D715" i="12" s="1"/>
  <c r="K715" i="12" s="1" a="1"/>
  <c r="K715" i="12" s="1"/>
  <c r="A716" i="12" a="1"/>
  <c r="A716" i="12" s="1"/>
  <c r="C716" i="12" a="1"/>
  <c r="C716" i="12" s="1"/>
  <c r="D716" i="12" s="1"/>
  <c r="K716" i="12" s="1" a="1"/>
  <c r="K716" i="12" s="1"/>
  <c r="A717" i="12" a="1"/>
  <c r="A717" i="12" s="1"/>
  <c r="C717" i="12" a="1"/>
  <c r="C717" i="12" s="1"/>
  <c r="D717" i="12" s="1"/>
  <c r="K717" i="12" s="1" a="1"/>
  <c r="K717" i="12" s="1"/>
  <c r="A718" i="12" a="1"/>
  <c r="A718" i="12" s="1"/>
  <c r="C718" i="12" a="1"/>
  <c r="C718" i="12" s="1"/>
  <c r="D718" i="12" s="1"/>
  <c r="K718" i="12" s="1" a="1"/>
  <c r="K718" i="12" s="1"/>
  <c r="A719" i="12" a="1"/>
  <c r="A719" i="12" s="1"/>
  <c r="C719" i="12" a="1"/>
  <c r="C719" i="12" s="1"/>
  <c r="D719" i="12" s="1"/>
  <c r="K719" i="12" s="1" a="1"/>
  <c r="K719" i="12" s="1"/>
  <c r="A720" i="12" a="1"/>
  <c r="A720" i="12" s="1"/>
  <c r="C720" i="12" a="1"/>
  <c r="C720" i="12" s="1"/>
  <c r="D720" i="12" s="1"/>
  <c r="K720" i="12" s="1" a="1"/>
  <c r="K720" i="12" s="1"/>
  <c r="A721" i="12" a="1"/>
  <c r="A721" i="12" s="1"/>
  <c r="C721" i="12" a="1"/>
  <c r="C721" i="12" s="1"/>
  <c r="D721" i="12" s="1"/>
  <c r="K721" i="12" s="1" a="1"/>
  <c r="K721" i="12" s="1"/>
  <c r="A722" i="12" a="1"/>
  <c r="A722" i="12" s="1"/>
  <c r="C722" i="12" a="1"/>
  <c r="C722" i="12" s="1"/>
  <c r="D722" i="12" s="1"/>
  <c r="K722" i="12" s="1" a="1"/>
  <c r="K722" i="12" s="1"/>
  <c r="A723" i="12" a="1"/>
  <c r="A723" i="12" s="1"/>
  <c r="C723" i="12" a="1"/>
  <c r="C723" i="12" s="1"/>
  <c r="D723" i="12" s="1"/>
  <c r="K723" i="12" s="1" a="1"/>
  <c r="K723" i="12" s="1"/>
  <c r="A724" i="12" a="1"/>
  <c r="A724" i="12" s="1"/>
  <c r="C724" i="12" a="1"/>
  <c r="C724" i="12" s="1"/>
  <c r="D724" i="12" s="1"/>
  <c r="K724" i="12" s="1" a="1"/>
  <c r="K724" i="12" s="1"/>
  <c r="A725" i="12" a="1"/>
  <c r="A725" i="12" s="1"/>
  <c r="C725" i="12" a="1"/>
  <c r="C725" i="12" s="1"/>
  <c r="D725" i="12" s="1"/>
  <c r="K725" i="12" s="1" a="1"/>
  <c r="K725" i="12" s="1"/>
  <c r="A726" i="12" a="1"/>
  <c r="A726" i="12" s="1"/>
  <c r="C726" i="12" a="1"/>
  <c r="C726" i="12" s="1"/>
  <c r="D726" i="12" s="1"/>
  <c r="K726" i="12" s="1" a="1"/>
  <c r="K726" i="12" s="1"/>
  <c r="A727" i="12" a="1"/>
  <c r="A727" i="12" s="1"/>
  <c r="C727" i="12" a="1"/>
  <c r="C727" i="12" s="1"/>
  <c r="D727" i="12" s="1"/>
  <c r="K727" i="12" s="1" a="1"/>
  <c r="K727" i="12" s="1"/>
  <c r="A728" i="12" a="1"/>
  <c r="A728" i="12" s="1"/>
  <c r="C728" i="12" a="1"/>
  <c r="C728" i="12" s="1"/>
  <c r="D728" i="12" s="1"/>
  <c r="K728" i="12" s="1" a="1"/>
  <c r="K728" i="12" s="1"/>
  <c r="A729" i="12" a="1"/>
  <c r="A729" i="12" s="1"/>
  <c r="C729" i="12" a="1"/>
  <c r="C729" i="12" s="1"/>
  <c r="D729" i="12" s="1"/>
  <c r="K729" i="12" s="1" a="1"/>
  <c r="K729" i="12" s="1"/>
  <c r="A730" i="12" a="1"/>
  <c r="A730" i="12" s="1"/>
  <c r="C730" i="12" a="1"/>
  <c r="C730" i="12" s="1"/>
  <c r="D730" i="12" s="1"/>
  <c r="K730" i="12" s="1" a="1"/>
  <c r="K730" i="12" s="1"/>
  <c r="A731" i="12" a="1"/>
  <c r="A731" i="12" s="1"/>
  <c r="C731" i="12" a="1"/>
  <c r="C731" i="12" s="1"/>
  <c r="D731" i="12" s="1"/>
  <c r="K731" i="12" s="1" a="1"/>
  <c r="K731" i="12" s="1"/>
  <c r="A732" i="12" a="1"/>
  <c r="A732" i="12" s="1"/>
  <c r="C732" i="12" a="1"/>
  <c r="C732" i="12" s="1"/>
  <c r="D732" i="12" s="1"/>
  <c r="K732" i="12" s="1" a="1"/>
  <c r="K732" i="12" s="1"/>
  <c r="A733" i="12" a="1"/>
  <c r="A733" i="12" s="1"/>
  <c r="C733" i="12" a="1"/>
  <c r="C733" i="12" s="1"/>
  <c r="D733" i="12" s="1"/>
  <c r="K733" i="12" s="1" a="1"/>
  <c r="K733" i="12" s="1"/>
  <c r="A734" i="12" a="1"/>
  <c r="A734" i="12" s="1"/>
  <c r="C734" i="12" a="1"/>
  <c r="C734" i="12" s="1"/>
  <c r="D734" i="12" s="1"/>
  <c r="K734" i="12" s="1" a="1"/>
  <c r="K734" i="12" s="1"/>
  <c r="A735" i="12" a="1"/>
  <c r="A735" i="12" s="1"/>
  <c r="C735" i="12" a="1"/>
  <c r="C735" i="12" s="1"/>
  <c r="D735" i="12" s="1"/>
  <c r="K735" i="12" s="1" a="1"/>
  <c r="K735" i="12" s="1"/>
  <c r="A736" i="12" a="1"/>
  <c r="A736" i="12" s="1"/>
  <c r="C736" i="12" a="1"/>
  <c r="C736" i="12" s="1"/>
  <c r="D736" i="12" s="1"/>
  <c r="K736" i="12" s="1" a="1"/>
  <c r="K736" i="12" s="1"/>
  <c r="A737" i="12" a="1"/>
  <c r="A737" i="12" s="1"/>
  <c r="C737" i="12" a="1"/>
  <c r="C737" i="12" s="1"/>
  <c r="D737" i="12" s="1"/>
  <c r="K737" i="12" s="1" a="1"/>
  <c r="K737" i="12" s="1"/>
  <c r="A738" i="12" a="1"/>
  <c r="A738" i="12" s="1"/>
  <c r="C738" i="12" a="1"/>
  <c r="C738" i="12" s="1"/>
  <c r="D738" i="12" s="1"/>
  <c r="K738" i="12" s="1" a="1"/>
  <c r="K738" i="12" s="1"/>
  <c r="A739" i="12" a="1"/>
  <c r="A739" i="12" s="1"/>
  <c r="C739" i="12" a="1"/>
  <c r="C739" i="12" s="1"/>
  <c r="D739" i="12" s="1"/>
  <c r="K739" i="12" s="1" a="1"/>
  <c r="K739" i="12" s="1"/>
  <c r="A740" i="12" a="1"/>
  <c r="A740" i="12" s="1"/>
  <c r="C740" i="12" a="1"/>
  <c r="C740" i="12" s="1"/>
  <c r="D740" i="12" s="1"/>
  <c r="K740" i="12" s="1" a="1"/>
  <c r="K740" i="12" s="1"/>
  <c r="A741" i="12" a="1"/>
  <c r="A741" i="12" s="1"/>
  <c r="C741" i="12" a="1"/>
  <c r="C741" i="12" s="1"/>
  <c r="D741" i="12" s="1"/>
  <c r="K741" i="12" s="1" a="1"/>
  <c r="K741" i="12" s="1"/>
  <c r="A742" i="12" a="1"/>
  <c r="A742" i="12" s="1"/>
  <c r="C742" i="12" a="1"/>
  <c r="C742" i="12" s="1"/>
  <c r="D742" i="12" s="1"/>
  <c r="K742" i="12" s="1" a="1"/>
  <c r="K742" i="12" s="1"/>
  <c r="A743" i="12" a="1"/>
  <c r="A743" i="12" s="1"/>
  <c r="C743" i="12" a="1"/>
  <c r="C743" i="12" s="1"/>
  <c r="D743" i="12" s="1"/>
  <c r="K743" i="12" s="1" a="1"/>
  <c r="K743" i="12" s="1"/>
  <c r="A744" i="12" a="1"/>
  <c r="A744" i="12" s="1"/>
  <c r="C744" i="12" a="1"/>
  <c r="C744" i="12" s="1"/>
  <c r="D744" i="12" s="1"/>
  <c r="K744" i="12" s="1" a="1"/>
  <c r="K744" i="12" s="1"/>
  <c r="A745" i="12" a="1"/>
  <c r="A745" i="12" s="1"/>
  <c r="C745" i="12" a="1"/>
  <c r="C745" i="12" s="1"/>
  <c r="D745" i="12" s="1"/>
  <c r="K745" i="12" s="1" a="1"/>
  <c r="K745" i="12" s="1"/>
  <c r="A746" i="12" a="1"/>
  <c r="A746" i="12" s="1"/>
  <c r="C746" i="12" a="1"/>
  <c r="C746" i="12" s="1"/>
  <c r="D746" i="12" s="1"/>
  <c r="K746" i="12" s="1" a="1"/>
  <c r="K746" i="12" s="1"/>
  <c r="A747" i="12" a="1"/>
  <c r="A747" i="12" s="1"/>
  <c r="C747" i="12" a="1"/>
  <c r="C747" i="12" s="1"/>
  <c r="D747" i="12" s="1"/>
  <c r="K747" i="12" s="1" a="1"/>
  <c r="K747" i="12" s="1"/>
  <c r="A748" i="12" a="1"/>
  <c r="A748" i="12" s="1"/>
  <c r="C748" i="12" a="1"/>
  <c r="C748" i="12" s="1"/>
  <c r="D748" i="12" s="1"/>
  <c r="K748" i="12" s="1" a="1"/>
  <c r="K748" i="12" s="1"/>
  <c r="A641" i="12" a="1"/>
  <c r="A641" i="12" s="1"/>
  <c r="C641" i="12" a="1"/>
  <c r="C641" i="12" s="1"/>
  <c r="D641" i="12" s="1"/>
  <c r="K641" i="12" s="1" a="1"/>
  <c r="K641" i="12" s="1"/>
  <c r="A642" i="12" a="1"/>
  <c r="A642" i="12" s="1"/>
  <c r="C642" i="12" a="1"/>
  <c r="C642" i="12" s="1"/>
  <c r="D642" i="12" s="1"/>
  <c r="K642" i="12" s="1" a="1"/>
  <c r="K642" i="12" s="1"/>
  <c r="A643" i="12" a="1"/>
  <c r="A643" i="12" s="1"/>
  <c r="C643" i="12" a="1"/>
  <c r="C643" i="12" s="1"/>
  <c r="D643" i="12" s="1"/>
  <c r="K643" i="12" s="1" a="1"/>
  <c r="K643" i="12" s="1"/>
  <c r="A644" i="12" a="1"/>
  <c r="A644" i="12" s="1"/>
  <c r="C644" i="12" a="1"/>
  <c r="C644" i="12" s="1"/>
  <c r="D644" i="12" s="1"/>
  <c r="K644" i="12" s="1" a="1"/>
  <c r="K644" i="12" s="1"/>
  <c r="A645" i="12" a="1"/>
  <c r="A645" i="12" s="1"/>
  <c r="C645" i="12" a="1"/>
  <c r="C645" i="12" s="1"/>
  <c r="D645" i="12" s="1"/>
  <c r="K645" i="12" s="1" a="1"/>
  <c r="K645" i="12" s="1"/>
  <c r="A646" i="12" a="1"/>
  <c r="A646" i="12" s="1"/>
  <c r="C646" i="12" a="1"/>
  <c r="C646" i="12" s="1"/>
  <c r="D646" i="12" s="1"/>
  <c r="K646" i="12" s="1" a="1"/>
  <c r="K646" i="12" s="1"/>
  <c r="A647" i="12" a="1"/>
  <c r="A647" i="12" s="1"/>
  <c r="C647" i="12" a="1"/>
  <c r="C647" i="12" s="1"/>
  <c r="D647" i="12" s="1"/>
  <c r="K647" i="12" s="1" a="1"/>
  <c r="K647" i="12" s="1"/>
  <c r="A648" i="12" a="1"/>
  <c r="A648" i="12" s="1"/>
  <c r="C648" i="12" a="1"/>
  <c r="C648" i="12" s="1"/>
  <c r="D648" i="12" s="1"/>
  <c r="K648" i="12" s="1" a="1"/>
  <c r="K648" i="12" s="1"/>
  <c r="A649" i="12" a="1"/>
  <c r="A649" i="12" s="1"/>
  <c r="C649" i="12" a="1"/>
  <c r="C649" i="12" s="1"/>
  <c r="D649" i="12" s="1"/>
  <c r="K649" i="12" s="1" a="1"/>
  <c r="K649" i="12" s="1"/>
  <c r="A650" i="12" a="1"/>
  <c r="A650" i="12" s="1"/>
  <c r="C650" i="12" a="1"/>
  <c r="C650" i="12" s="1"/>
  <c r="D650" i="12" s="1"/>
  <c r="K650" i="12" s="1" a="1"/>
  <c r="K650" i="12" s="1"/>
  <c r="A651" i="12" a="1"/>
  <c r="A651" i="12" s="1"/>
  <c r="C651" i="12" a="1"/>
  <c r="C651" i="12" s="1"/>
  <c r="D651" i="12" s="1"/>
  <c r="K651" i="12" s="1" a="1"/>
  <c r="K651" i="12" s="1"/>
  <c r="A652" i="12" a="1"/>
  <c r="A652" i="12" s="1"/>
  <c r="C652" i="12" a="1"/>
  <c r="C652" i="12" s="1"/>
  <c r="D652" i="12" s="1"/>
  <c r="K652" i="12" s="1" a="1"/>
  <c r="K652" i="12" s="1"/>
  <c r="A653" i="12" a="1"/>
  <c r="A653" i="12" s="1"/>
  <c r="C653" i="12" a="1"/>
  <c r="C653" i="12" s="1"/>
  <c r="D653" i="12" s="1"/>
  <c r="K653" i="12" s="1" a="1"/>
  <c r="K653" i="12" s="1"/>
  <c r="A654" i="12" a="1"/>
  <c r="A654" i="12" s="1"/>
  <c r="C654" i="12" a="1"/>
  <c r="C654" i="12" s="1"/>
  <c r="D654" i="12" s="1"/>
  <c r="K654" i="12" s="1" a="1"/>
  <c r="K654" i="12" s="1"/>
  <c r="A655" i="12" a="1"/>
  <c r="A655" i="12" s="1"/>
  <c r="C655" i="12" a="1"/>
  <c r="C655" i="12" s="1"/>
  <c r="D655" i="12" s="1"/>
  <c r="K655" i="12" s="1" a="1"/>
  <c r="K655" i="12" s="1"/>
  <c r="A656" i="12" a="1"/>
  <c r="A656" i="12" s="1"/>
  <c r="C656" i="12" a="1"/>
  <c r="C656" i="12" s="1"/>
  <c r="D656" i="12" s="1"/>
  <c r="K656" i="12" s="1" a="1"/>
  <c r="K656" i="12" s="1"/>
  <c r="A657" i="12" a="1"/>
  <c r="A657" i="12" s="1"/>
  <c r="C657" i="12" a="1"/>
  <c r="C657" i="12" s="1"/>
  <c r="D657" i="12" s="1"/>
  <c r="K657" i="12" s="1" a="1"/>
  <c r="K657" i="12" s="1"/>
  <c r="A658" i="12" a="1"/>
  <c r="A658" i="12" s="1"/>
  <c r="C658" i="12" a="1"/>
  <c r="C658" i="12" s="1"/>
  <c r="D658" i="12" s="1"/>
  <c r="K658" i="12" s="1" a="1"/>
  <c r="K658" i="12" s="1"/>
  <c r="A659" i="12" a="1"/>
  <c r="A659" i="12" s="1"/>
  <c r="C659" i="12" a="1"/>
  <c r="C659" i="12" s="1"/>
  <c r="D659" i="12" s="1"/>
  <c r="K659" i="12" s="1" a="1"/>
  <c r="K659" i="12" s="1"/>
  <c r="A660" i="12" a="1"/>
  <c r="A660" i="12" s="1"/>
  <c r="C660" i="12" a="1"/>
  <c r="C660" i="12" s="1"/>
  <c r="D660" i="12" s="1"/>
  <c r="K660" i="12" s="1" a="1"/>
  <c r="K660" i="12" s="1"/>
  <c r="A661" i="12" a="1"/>
  <c r="A661" i="12" s="1"/>
  <c r="C661" i="12" a="1"/>
  <c r="C661" i="12" s="1"/>
  <c r="D661" i="12" s="1"/>
  <c r="K661" i="12" s="1" a="1"/>
  <c r="K661" i="12" s="1"/>
  <c r="A662" i="12" a="1"/>
  <c r="A662" i="12" s="1"/>
  <c r="C662" i="12" a="1"/>
  <c r="C662" i="12" s="1"/>
  <c r="D662" i="12" s="1"/>
  <c r="K662" i="12" s="1" a="1"/>
  <c r="K662" i="12" s="1"/>
  <c r="A663" i="12" a="1"/>
  <c r="A663" i="12" s="1"/>
  <c r="C663" i="12" a="1"/>
  <c r="C663" i="12" s="1"/>
  <c r="D663" i="12" s="1"/>
  <c r="K663" i="12" s="1" a="1"/>
  <c r="K663" i="12" s="1"/>
  <c r="A664" i="12" a="1"/>
  <c r="A664" i="12" s="1"/>
  <c r="C664" i="12" a="1"/>
  <c r="C664" i="12" s="1"/>
  <c r="D664" i="12" s="1"/>
  <c r="K664" i="12" s="1" a="1"/>
  <c r="K664" i="12" s="1"/>
  <c r="A665" i="12" a="1"/>
  <c r="A665" i="12" s="1"/>
  <c r="C665" i="12" a="1"/>
  <c r="C665" i="12" s="1"/>
  <c r="D665" i="12" s="1"/>
  <c r="K665" i="12" s="1" a="1"/>
  <c r="K665" i="12" s="1"/>
  <c r="A666" i="12" a="1"/>
  <c r="A666" i="12" s="1"/>
  <c r="C666" i="12" a="1"/>
  <c r="C666" i="12" s="1"/>
  <c r="D666" i="12" s="1"/>
  <c r="K666" i="12" s="1" a="1"/>
  <c r="K666" i="12" s="1"/>
  <c r="A667" i="12" a="1"/>
  <c r="A667" i="12" s="1"/>
  <c r="C667" i="12" a="1"/>
  <c r="C667" i="12" s="1"/>
  <c r="D667" i="12" s="1"/>
  <c r="K667" i="12" s="1" a="1"/>
  <c r="K667" i="12" s="1"/>
  <c r="A668" i="12" a="1"/>
  <c r="A668" i="12" s="1"/>
  <c r="C668" i="12" a="1"/>
  <c r="C668" i="12" s="1"/>
  <c r="D668" i="12" s="1"/>
  <c r="K668" i="12" s="1" a="1"/>
  <c r="K668" i="12" s="1"/>
  <c r="A669" i="12" a="1"/>
  <c r="A669" i="12" s="1"/>
  <c r="C669" i="12" a="1"/>
  <c r="C669" i="12" s="1"/>
  <c r="D669" i="12" s="1"/>
  <c r="K669" i="12" s="1" a="1"/>
  <c r="K669" i="12" s="1"/>
  <c r="A670" i="12" a="1"/>
  <c r="A670" i="12" s="1"/>
  <c r="C670" i="12" a="1"/>
  <c r="C670" i="12" s="1"/>
  <c r="D670" i="12" s="1"/>
  <c r="K670" i="12" s="1" a="1"/>
  <c r="K670" i="12" s="1"/>
  <c r="A671" i="12" a="1"/>
  <c r="A671" i="12" s="1"/>
  <c r="C671" i="12" a="1"/>
  <c r="C671" i="12" s="1"/>
  <c r="D671" i="12" s="1"/>
  <c r="K671" i="12" s="1" a="1"/>
  <c r="K671" i="12" s="1"/>
  <c r="A672" i="12" a="1"/>
  <c r="A672" i="12" s="1"/>
  <c r="C672" i="12" a="1"/>
  <c r="C672" i="12" s="1"/>
  <c r="D672" i="12" s="1"/>
  <c r="K672" i="12" s="1" a="1"/>
  <c r="K672" i="12" s="1"/>
  <c r="A673" i="12" a="1"/>
  <c r="A673" i="12" s="1"/>
  <c r="C673" i="12" a="1"/>
  <c r="C673" i="12" s="1"/>
  <c r="D673" i="12" s="1"/>
  <c r="K673" i="12" s="1" a="1"/>
  <c r="K673" i="12" s="1"/>
  <c r="A674" i="12" a="1"/>
  <c r="A674" i="12" s="1"/>
  <c r="C674" i="12" a="1"/>
  <c r="C674" i="12" s="1"/>
  <c r="D674" i="12" s="1"/>
  <c r="K674" i="12" s="1" a="1"/>
  <c r="K674" i="12" s="1"/>
  <c r="A675" i="12" a="1"/>
  <c r="A675" i="12" s="1"/>
  <c r="C675" i="12" a="1"/>
  <c r="C675" i="12" s="1"/>
  <c r="D675" i="12" s="1"/>
  <c r="K675" i="12" s="1" a="1"/>
  <c r="K675" i="12" s="1"/>
  <c r="A676" i="12" a="1"/>
  <c r="A676" i="12" s="1"/>
  <c r="C676" i="12" a="1"/>
  <c r="C676" i="12" s="1"/>
  <c r="D676" i="12" s="1"/>
  <c r="K676" i="12" s="1" a="1"/>
  <c r="K676" i="12" s="1"/>
  <c r="A677" i="12" a="1"/>
  <c r="A677" i="12" s="1"/>
  <c r="C677" i="12" a="1"/>
  <c r="C677" i="12" s="1"/>
  <c r="D677" i="12" s="1"/>
  <c r="K677" i="12" s="1" a="1"/>
  <c r="K677" i="12" s="1"/>
  <c r="A678" i="12" a="1"/>
  <c r="A678" i="12" s="1"/>
  <c r="C678" i="12" a="1"/>
  <c r="C678" i="12" s="1"/>
  <c r="D678" i="12" s="1"/>
  <c r="K678" i="12" s="1" a="1"/>
  <c r="K678" i="12" s="1"/>
  <c r="A679" i="12" a="1"/>
  <c r="A679" i="12" s="1"/>
  <c r="C679" i="12" a="1"/>
  <c r="C679" i="12" s="1"/>
  <c r="D679" i="12" s="1"/>
  <c r="K679" i="12" s="1" a="1"/>
  <c r="K679" i="12" s="1"/>
  <c r="A680" i="12" a="1"/>
  <c r="A680" i="12" s="1"/>
  <c r="C680" i="12" a="1"/>
  <c r="C680" i="12" s="1"/>
  <c r="D680" i="12" s="1"/>
  <c r="K680" i="12" s="1" a="1"/>
  <c r="K680" i="12" s="1"/>
  <c r="A681" i="12" a="1"/>
  <c r="A681" i="12" s="1"/>
  <c r="C681" i="12" a="1"/>
  <c r="C681" i="12" s="1"/>
  <c r="D681" i="12" s="1"/>
  <c r="K681" i="12" s="1" a="1"/>
  <c r="K681" i="12" s="1"/>
  <c r="A682" i="12" a="1"/>
  <c r="A682" i="12" s="1"/>
  <c r="C682" i="12" a="1"/>
  <c r="C682" i="12" s="1"/>
  <c r="D682" i="12" s="1"/>
  <c r="K682" i="12" s="1" a="1"/>
  <c r="K682" i="12" s="1"/>
  <c r="A683" i="12" a="1"/>
  <c r="A683" i="12" s="1"/>
  <c r="C683" i="12" a="1"/>
  <c r="C683" i="12" s="1"/>
  <c r="D683" i="12" s="1"/>
  <c r="K683" i="12" s="1" a="1"/>
  <c r="K683" i="12" s="1"/>
  <c r="A684" i="12" a="1"/>
  <c r="A684" i="12" s="1"/>
  <c r="C684" i="12" a="1"/>
  <c r="C684" i="12" s="1"/>
  <c r="D684" i="12" s="1"/>
  <c r="K684" i="12" s="1" a="1"/>
  <c r="K684" i="12" s="1"/>
  <c r="A685" i="12" a="1"/>
  <c r="A685" i="12" s="1"/>
  <c r="C685" i="12" a="1"/>
  <c r="C685" i="12" s="1"/>
  <c r="D685" i="12" s="1"/>
  <c r="K685" i="12" s="1" a="1"/>
  <c r="K685" i="12" s="1"/>
  <c r="A686" i="12" a="1"/>
  <c r="A686" i="12" s="1"/>
  <c r="B686" i="12" s="1"/>
  <c r="C686" i="12" a="1"/>
  <c r="C686" i="12" s="1"/>
  <c r="D686" i="12" s="1"/>
  <c r="K686" i="12" s="1" a="1"/>
  <c r="K686" i="12" s="1"/>
  <c r="A687" i="12" a="1"/>
  <c r="A687" i="12" s="1"/>
  <c r="B687" i="12" s="1"/>
  <c r="C687" i="12" a="1"/>
  <c r="C687" i="12" s="1"/>
  <c r="D687" i="12" s="1"/>
  <c r="K687" i="12" s="1" a="1"/>
  <c r="K687" i="12" s="1"/>
  <c r="H687" i="12"/>
  <c r="I687" i="12" s="1"/>
  <c r="A688" i="12" a="1"/>
  <c r="A688" i="12" s="1"/>
  <c r="B688" i="12" s="1"/>
  <c r="C688" i="12" a="1"/>
  <c r="C688" i="12"/>
  <c r="D688" i="12" s="1"/>
  <c r="K688" i="12" s="1" a="1"/>
  <c r="K688" i="12" s="1"/>
  <c r="A689" i="12" a="1"/>
  <c r="A689" i="12" s="1"/>
  <c r="B689" i="12" s="1"/>
  <c r="C689" i="12" a="1"/>
  <c r="C689" i="12"/>
  <c r="D689" i="12" s="1"/>
  <c r="K689" i="12" s="1" a="1"/>
  <c r="K689" i="12" s="1"/>
  <c r="A690" i="12" a="1"/>
  <c r="A690" i="12" s="1"/>
  <c r="H690" i="12" s="1"/>
  <c r="I690" i="12" s="1"/>
  <c r="C690" i="12" a="1"/>
  <c r="C690" i="12"/>
  <c r="D690" i="12" s="1"/>
  <c r="K690" i="12" s="1" a="1"/>
  <c r="K690" i="12" s="1"/>
  <c r="A691" i="12" a="1"/>
  <c r="A691" i="12" s="1"/>
  <c r="B691" i="12" s="1"/>
  <c r="C691" i="12" a="1"/>
  <c r="C691" i="12"/>
  <c r="D691" i="12" s="1"/>
  <c r="K691" i="12" s="1" a="1"/>
  <c r="K691" i="12" s="1"/>
  <c r="A692" i="12" a="1"/>
  <c r="A692" i="12" s="1"/>
  <c r="B692" i="12" s="1"/>
  <c r="C692" i="12" a="1"/>
  <c r="C692" i="12"/>
  <c r="D692" i="12" s="1"/>
  <c r="K692" i="12" s="1" a="1"/>
  <c r="K692" i="12" s="1"/>
  <c r="A693" i="12" a="1"/>
  <c r="A693" i="12" s="1"/>
  <c r="H693" i="12" s="1"/>
  <c r="I693" i="12" s="1"/>
  <c r="C693" i="12" a="1"/>
  <c r="C693" i="12"/>
  <c r="D693" i="12" s="1"/>
  <c r="K693" i="12" s="1" a="1"/>
  <c r="K693" i="12" s="1"/>
  <c r="A694" i="12" a="1"/>
  <c r="A694" i="12" s="1"/>
  <c r="B694" i="12" s="1"/>
  <c r="C694" i="12" a="1"/>
  <c r="C694" i="12"/>
  <c r="D694" i="12" s="1"/>
  <c r="K694" i="12" s="1" a="1"/>
  <c r="K694" i="12" s="1"/>
  <c r="A695" i="12" a="1"/>
  <c r="A695" i="12" s="1"/>
  <c r="B695" i="12" s="1"/>
  <c r="C695" i="12" a="1"/>
  <c r="C695" i="12"/>
  <c r="D695" i="12" s="1"/>
  <c r="K695" i="12" s="1" a="1"/>
  <c r="K695" i="12" s="1"/>
  <c r="A696" i="12" a="1"/>
  <c r="A696" i="12" s="1"/>
  <c r="H696" i="12" s="1"/>
  <c r="I696" i="12" s="1"/>
  <c r="C696" i="12" a="1"/>
  <c r="C696" i="12"/>
  <c r="D696" i="12" s="1"/>
  <c r="K696" i="12" s="1" a="1"/>
  <c r="K696" i="12" s="1"/>
  <c r="A697" i="12" a="1"/>
  <c r="A697" i="12" s="1"/>
  <c r="B697" i="12" s="1"/>
  <c r="C697" i="12" a="1"/>
  <c r="C697" i="12"/>
  <c r="D697" i="12" s="1"/>
  <c r="K697" i="12" s="1" a="1"/>
  <c r="K697" i="12" s="1"/>
  <c r="A698" i="12" a="1"/>
  <c r="A698" i="12" s="1"/>
  <c r="B698" i="12" s="1"/>
  <c r="C698" i="12" a="1"/>
  <c r="C698" i="12"/>
  <c r="D698" i="12" s="1"/>
  <c r="K698" i="12" s="1" a="1"/>
  <c r="K698" i="12" s="1"/>
  <c r="A699" i="12" a="1"/>
  <c r="A699" i="12" s="1"/>
  <c r="F699" i="12" s="1"/>
  <c r="G699" i="12" s="1"/>
  <c r="C699" i="12" a="1"/>
  <c r="C699" i="12"/>
  <c r="D699" i="12" s="1"/>
  <c r="K699" i="12" s="1" a="1"/>
  <c r="K699" i="12" s="1"/>
  <c r="A700" i="12" a="1"/>
  <c r="A700" i="12" s="1"/>
  <c r="B700" i="12" s="1"/>
  <c r="C700" i="12" a="1"/>
  <c r="C700" i="12"/>
  <c r="D700" i="12" s="1"/>
  <c r="K700" i="12" s="1" a="1"/>
  <c r="K700" i="12" s="1"/>
  <c r="A701" i="12" a="1"/>
  <c r="A701" i="12" s="1"/>
  <c r="B701" i="12" s="1"/>
  <c r="C701" i="12" a="1"/>
  <c r="C701" i="12"/>
  <c r="D701" i="12" s="1"/>
  <c r="K701" i="12" s="1" a="1"/>
  <c r="K701" i="12" s="1"/>
  <c r="A702" i="12" a="1"/>
  <c r="A702" i="12" s="1"/>
  <c r="H702" i="12" s="1"/>
  <c r="I702" i="12" s="1"/>
  <c r="C702" i="12" a="1"/>
  <c r="C702" i="12"/>
  <c r="D702" i="12" s="1"/>
  <c r="K702" i="12" s="1" a="1"/>
  <c r="K702" i="12" s="1"/>
  <c r="A703" i="12" a="1"/>
  <c r="A703" i="12" s="1"/>
  <c r="B703" i="12" s="1"/>
  <c r="C703" i="12" a="1"/>
  <c r="C703" i="12"/>
  <c r="D703" i="12" s="1"/>
  <c r="K703" i="12" s="1" a="1"/>
  <c r="K703" i="12" s="1"/>
  <c r="A632" i="12" a="1"/>
  <c r="A632" i="12" s="1"/>
  <c r="C632" i="12" a="1"/>
  <c r="C632" i="12" s="1"/>
  <c r="D632" i="12" s="1"/>
  <c r="K632" i="12" s="1" a="1"/>
  <c r="K632" i="12" s="1"/>
  <c r="A633" i="12" a="1"/>
  <c r="A633" i="12" s="1"/>
  <c r="C633" i="12" a="1"/>
  <c r="C633" i="12" s="1"/>
  <c r="D633" i="12" s="1"/>
  <c r="K633" i="12" s="1" a="1"/>
  <c r="K633" i="12" s="1"/>
  <c r="A634" i="12" a="1"/>
  <c r="A634" i="12" s="1"/>
  <c r="C634" i="12" a="1"/>
  <c r="C634" i="12" s="1"/>
  <c r="D634" i="12" s="1"/>
  <c r="K634" i="12" s="1" a="1"/>
  <c r="K634" i="12" s="1"/>
  <c r="A635" i="12" a="1"/>
  <c r="A635" i="12" s="1"/>
  <c r="C635" i="12" a="1"/>
  <c r="C635" i="12" s="1"/>
  <c r="D635" i="12" s="1"/>
  <c r="K635" i="12" s="1" a="1"/>
  <c r="K635" i="12" s="1"/>
  <c r="A636" i="12" a="1"/>
  <c r="A636" i="12" s="1"/>
  <c r="C636" i="12" a="1"/>
  <c r="C636" i="12" s="1"/>
  <c r="D636" i="12" s="1"/>
  <c r="K636" i="12" s="1" a="1"/>
  <c r="K636" i="12" s="1"/>
  <c r="A637" i="12" a="1"/>
  <c r="A637" i="12" s="1"/>
  <c r="C637" i="12" a="1"/>
  <c r="C637" i="12" s="1"/>
  <c r="D637" i="12" s="1"/>
  <c r="K637" i="12" s="1" a="1"/>
  <c r="K637" i="12" s="1"/>
  <c r="A638" i="12" a="1"/>
  <c r="A638" i="12" s="1"/>
  <c r="C638" i="12" a="1"/>
  <c r="C638" i="12" s="1"/>
  <c r="D638" i="12" s="1"/>
  <c r="K638" i="12" s="1" a="1"/>
  <c r="K638" i="12" s="1"/>
  <c r="A639" i="12" a="1"/>
  <c r="A639" i="12" s="1"/>
  <c r="C639" i="12" a="1"/>
  <c r="C639" i="12" s="1"/>
  <c r="D639" i="12" s="1"/>
  <c r="K639" i="12" s="1" a="1"/>
  <c r="K639" i="12" s="1"/>
  <c r="A640" i="12" a="1"/>
  <c r="A640" i="12" s="1"/>
  <c r="C640" i="12" a="1"/>
  <c r="C640" i="12" s="1"/>
  <c r="D640" i="12" s="1"/>
  <c r="K640" i="12" s="1" a="1"/>
  <c r="K640" i="12" s="1"/>
  <c r="A623" i="12" a="1"/>
  <c r="A623" i="12" s="1"/>
  <c r="C623" i="12" a="1"/>
  <c r="C623" i="12" s="1"/>
  <c r="D623" i="12" s="1"/>
  <c r="K623" i="12" s="1" a="1"/>
  <c r="K623" i="12" s="1"/>
  <c r="A624" i="12" a="1"/>
  <c r="A624" i="12" s="1"/>
  <c r="C624" i="12" a="1"/>
  <c r="C624" i="12" s="1"/>
  <c r="D624" i="12" s="1"/>
  <c r="K624" i="12" s="1" a="1"/>
  <c r="K624" i="12" s="1"/>
  <c r="A625" i="12" a="1"/>
  <c r="A625" i="12" s="1"/>
  <c r="C625" i="12" a="1"/>
  <c r="C625" i="12" s="1"/>
  <c r="D625" i="12" s="1"/>
  <c r="K625" i="12" s="1" a="1"/>
  <c r="K625" i="12" s="1"/>
  <c r="A626" i="12" a="1"/>
  <c r="A626" i="12" s="1"/>
  <c r="C626" i="12" a="1"/>
  <c r="C626" i="12" s="1"/>
  <c r="D626" i="12" s="1"/>
  <c r="K626" i="12" s="1" a="1"/>
  <c r="K626" i="12" s="1"/>
  <c r="A627" i="12" a="1"/>
  <c r="A627" i="12" s="1"/>
  <c r="C627" i="12" a="1"/>
  <c r="C627" i="12" s="1"/>
  <c r="D627" i="12" s="1"/>
  <c r="K627" i="12" s="1" a="1"/>
  <c r="K627" i="12" s="1"/>
  <c r="A628" i="12" a="1"/>
  <c r="A628" i="12" s="1"/>
  <c r="C628" i="12" a="1"/>
  <c r="C628" i="12" s="1"/>
  <c r="D628" i="12" s="1"/>
  <c r="K628" i="12" s="1" a="1"/>
  <c r="K628" i="12" s="1"/>
  <c r="A629" i="12" a="1"/>
  <c r="A629" i="12" s="1"/>
  <c r="C629" i="12" a="1"/>
  <c r="C629" i="12" s="1"/>
  <c r="D629" i="12" s="1"/>
  <c r="K629" i="12" s="1" a="1"/>
  <c r="K629" i="12" s="1"/>
  <c r="A630" i="12" a="1"/>
  <c r="A630" i="12" s="1"/>
  <c r="C630" i="12" a="1"/>
  <c r="C630" i="12" s="1"/>
  <c r="D630" i="12" s="1"/>
  <c r="K630" i="12" s="1" a="1"/>
  <c r="K630" i="12" s="1"/>
  <c r="A631" i="12" a="1"/>
  <c r="A631" i="12" s="1"/>
  <c r="C631" i="12" a="1"/>
  <c r="C631" i="12" s="1"/>
  <c r="D631" i="12" s="1"/>
  <c r="K631" i="12" s="1" a="1"/>
  <c r="K631" i="12" s="1"/>
  <c r="A587" i="12" a="1"/>
  <c r="A587" i="12" s="1"/>
  <c r="C587" i="12" a="1"/>
  <c r="C587" i="12" s="1"/>
  <c r="D587" i="12" s="1"/>
  <c r="K587" i="12" s="1" a="1"/>
  <c r="K587" i="12" s="1"/>
  <c r="A588" i="12" a="1"/>
  <c r="A588" i="12" s="1"/>
  <c r="C588" i="12" a="1"/>
  <c r="C588" i="12" s="1"/>
  <c r="D588" i="12" s="1"/>
  <c r="K588" i="12" s="1" a="1"/>
  <c r="K588" i="12" s="1"/>
  <c r="A589" i="12" a="1"/>
  <c r="A589" i="12" s="1"/>
  <c r="C589" i="12" a="1"/>
  <c r="C589" i="12" s="1"/>
  <c r="D589" i="12" s="1"/>
  <c r="K589" i="12" s="1" a="1"/>
  <c r="K589" i="12" s="1"/>
  <c r="A590" i="12" a="1"/>
  <c r="A590" i="12" s="1"/>
  <c r="C590" i="12" a="1"/>
  <c r="C590" i="12" s="1"/>
  <c r="D590" i="12" s="1"/>
  <c r="K590" i="12" s="1" a="1"/>
  <c r="K590" i="12" s="1"/>
  <c r="A591" i="12" a="1"/>
  <c r="A591" i="12" s="1"/>
  <c r="C591" i="12" a="1"/>
  <c r="C591" i="12" s="1"/>
  <c r="D591" i="12" s="1"/>
  <c r="K591" i="12" s="1" a="1"/>
  <c r="K591" i="12" s="1"/>
  <c r="A592" i="12" a="1"/>
  <c r="A592" i="12" s="1"/>
  <c r="C592" i="12" a="1"/>
  <c r="C592" i="12" s="1"/>
  <c r="D592" i="12" s="1"/>
  <c r="K592" i="12" s="1" a="1"/>
  <c r="K592" i="12" s="1"/>
  <c r="A593" i="12" a="1"/>
  <c r="A593" i="12" s="1"/>
  <c r="C593" i="12" a="1"/>
  <c r="C593" i="12" s="1"/>
  <c r="D593" i="12" s="1"/>
  <c r="K593" i="12" s="1" a="1"/>
  <c r="K593" i="12" s="1"/>
  <c r="A594" i="12" a="1"/>
  <c r="A594" i="12" s="1"/>
  <c r="C594" i="12" a="1"/>
  <c r="C594" i="12" s="1"/>
  <c r="D594" i="12" s="1"/>
  <c r="K594" i="12" s="1" a="1"/>
  <c r="K594" i="12" s="1"/>
  <c r="A595" i="12" a="1"/>
  <c r="A595" i="12" s="1"/>
  <c r="C595" i="12" a="1"/>
  <c r="C595" i="12" s="1"/>
  <c r="D595" i="12" s="1"/>
  <c r="K595" i="12" s="1" a="1"/>
  <c r="K595" i="12" s="1"/>
  <c r="A596" i="12" a="1"/>
  <c r="A596" i="12" s="1"/>
  <c r="C596" i="12" a="1"/>
  <c r="C596" i="12" s="1"/>
  <c r="D596" i="12" s="1"/>
  <c r="K596" i="12" s="1" a="1"/>
  <c r="K596" i="12" s="1"/>
  <c r="A597" i="12" a="1"/>
  <c r="A597" i="12" s="1"/>
  <c r="C597" i="12" a="1"/>
  <c r="C597" i="12" s="1"/>
  <c r="D597" i="12" s="1"/>
  <c r="K597" i="12" s="1" a="1"/>
  <c r="K597" i="12" s="1"/>
  <c r="A598" i="12" a="1"/>
  <c r="A598" i="12" s="1"/>
  <c r="C598" i="12" a="1"/>
  <c r="C598" i="12" s="1"/>
  <c r="D598" i="12" s="1"/>
  <c r="K598" i="12" s="1" a="1"/>
  <c r="K598" i="12" s="1"/>
  <c r="A599" i="12" a="1"/>
  <c r="A599" i="12" s="1"/>
  <c r="C599" i="12" a="1"/>
  <c r="C599" i="12" s="1"/>
  <c r="D599" i="12" s="1"/>
  <c r="K599" i="12" s="1" a="1"/>
  <c r="K599" i="12" s="1"/>
  <c r="A600" i="12" a="1"/>
  <c r="A600" i="12" s="1"/>
  <c r="C600" i="12" a="1"/>
  <c r="C600" i="12" s="1"/>
  <c r="D600" i="12" s="1"/>
  <c r="K600" i="12" s="1" a="1"/>
  <c r="K600" i="12" s="1"/>
  <c r="A601" i="12" a="1"/>
  <c r="A601" i="12" s="1"/>
  <c r="C601" i="12" a="1"/>
  <c r="C601" i="12" s="1"/>
  <c r="D601" i="12" s="1"/>
  <c r="K601" i="12" s="1" a="1"/>
  <c r="K601" i="12" s="1"/>
  <c r="A602" i="12" a="1"/>
  <c r="A602" i="12" s="1"/>
  <c r="C602" i="12" a="1"/>
  <c r="C602" i="12" s="1"/>
  <c r="D602" i="12" s="1"/>
  <c r="K602" i="12" s="1" a="1"/>
  <c r="K602" i="12" s="1"/>
  <c r="A603" i="12" a="1"/>
  <c r="A603" i="12" s="1"/>
  <c r="C603" i="12" a="1"/>
  <c r="C603" i="12" s="1"/>
  <c r="D603" i="12" s="1"/>
  <c r="K603" i="12" s="1" a="1"/>
  <c r="K603" i="12" s="1"/>
  <c r="A604" i="12" a="1"/>
  <c r="A604" i="12" s="1"/>
  <c r="C604" i="12" a="1"/>
  <c r="C604" i="12" s="1"/>
  <c r="D604" i="12" s="1"/>
  <c r="K604" i="12" s="1" a="1"/>
  <c r="K604" i="12" s="1"/>
  <c r="A605" i="12" a="1"/>
  <c r="A605" i="12" s="1"/>
  <c r="C605" i="12" a="1"/>
  <c r="C605" i="12" s="1"/>
  <c r="D605" i="12" s="1"/>
  <c r="K605" i="12" s="1" a="1"/>
  <c r="K605" i="12" s="1"/>
  <c r="A606" i="12" a="1"/>
  <c r="A606" i="12" s="1"/>
  <c r="C606" i="12" a="1"/>
  <c r="C606" i="12" s="1"/>
  <c r="D606" i="12" s="1"/>
  <c r="K606" i="12" s="1" a="1"/>
  <c r="K606" i="12" s="1"/>
  <c r="A607" i="12" a="1"/>
  <c r="A607" i="12" s="1"/>
  <c r="C607" i="12" a="1"/>
  <c r="C607" i="12" s="1"/>
  <c r="D607" i="12" s="1"/>
  <c r="K607" i="12" s="1" a="1"/>
  <c r="K607" i="12" s="1"/>
  <c r="A608" i="12" a="1"/>
  <c r="A608" i="12" s="1"/>
  <c r="C608" i="12" a="1"/>
  <c r="C608" i="12" s="1"/>
  <c r="D608" i="12" s="1"/>
  <c r="K608" i="12" s="1" a="1"/>
  <c r="K608" i="12" s="1"/>
  <c r="A609" i="12" a="1"/>
  <c r="A609" i="12" s="1"/>
  <c r="C609" i="12" a="1"/>
  <c r="C609" i="12" s="1"/>
  <c r="D609" i="12" s="1"/>
  <c r="K609" i="12" s="1" a="1"/>
  <c r="K609" i="12" s="1"/>
  <c r="A610" i="12" a="1"/>
  <c r="A610" i="12" s="1"/>
  <c r="C610" i="12" a="1"/>
  <c r="C610" i="12" s="1"/>
  <c r="D610" i="12" s="1"/>
  <c r="K610" i="12" s="1" a="1"/>
  <c r="K610" i="12" s="1"/>
  <c r="A611" i="12" a="1"/>
  <c r="A611" i="12" s="1"/>
  <c r="C611" i="12" a="1"/>
  <c r="C611" i="12" s="1"/>
  <c r="D611" i="12" s="1"/>
  <c r="K611" i="12" s="1" a="1"/>
  <c r="K611" i="12" s="1"/>
  <c r="A612" i="12" a="1"/>
  <c r="A612" i="12" s="1"/>
  <c r="C612" i="12" a="1"/>
  <c r="C612" i="12" s="1"/>
  <c r="D612" i="12" s="1"/>
  <c r="K612" i="12" s="1" a="1"/>
  <c r="K612" i="12" s="1"/>
  <c r="A613" i="12" a="1"/>
  <c r="A613" i="12" s="1"/>
  <c r="C613" i="12" a="1"/>
  <c r="C613" i="12" s="1"/>
  <c r="D613" i="12" s="1"/>
  <c r="K613" i="12" s="1" a="1"/>
  <c r="K613" i="12" s="1"/>
  <c r="A614" i="12" a="1"/>
  <c r="A614" i="12" s="1"/>
  <c r="C614" i="12" a="1"/>
  <c r="C614" i="12" s="1"/>
  <c r="D614" i="12" s="1"/>
  <c r="K614" i="12" s="1" a="1"/>
  <c r="K614" i="12" s="1"/>
  <c r="A615" i="12" a="1"/>
  <c r="A615" i="12" s="1"/>
  <c r="C615" i="12" a="1"/>
  <c r="C615" i="12" s="1"/>
  <c r="D615" i="12" s="1"/>
  <c r="K615" i="12" s="1" a="1"/>
  <c r="K615" i="12" s="1"/>
  <c r="A616" i="12" a="1"/>
  <c r="A616" i="12" s="1"/>
  <c r="C616" i="12" a="1"/>
  <c r="C616" i="12" s="1"/>
  <c r="D616" i="12" s="1"/>
  <c r="K616" i="12" s="1" a="1"/>
  <c r="K616" i="12" s="1"/>
  <c r="A617" i="12" a="1"/>
  <c r="A617" i="12" s="1"/>
  <c r="C617" i="12" a="1"/>
  <c r="C617" i="12" s="1"/>
  <c r="D617" i="12" s="1"/>
  <c r="K617" i="12" s="1" a="1"/>
  <c r="K617" i="12" s="1"/>
  <c r="A618" i="12" a="1"/>
  <c r="A618" i="12" s="1"/>
  <c r="C618" i="12" a="1"/>
  <c r="C618" i="12" s="1"/>
  <c r="D618" i="12" s="1"/>
  <c r="K618" i="12" s="1" a="1"/>
  <c r="K618" i="12" s="1"/>
  <c r="A619" i="12" a="1"/>
  <c r="A619" i="12" s="1"/>
  <c r="C619" i="12" a="1"/>
  <c r="C619" i="12" s="1"/>
  <c r="D619" i="12" s="1"/>
  <c r="K619" i="12" s="1" a="1"/>
  <c r="K619" i="12" s="1"/>
  <c r="A620" i="12" a="1"/>
  <c r="A620" i="12" s="1"/>
  <c r="C620" i="12" a="1"/>
  <c r="C620" i="12" s="1"/>
  <c r="D620" i="12" s="1"/>
  <c r="K620" i="12" s="1" a="1"/>
  <c r="K620" i="12" s="1"/>
  <c r="A621" i="12" a="1"/>
  <c r="A621" i="12" s="1"/>
  <c r="C621" i="12" a="1"/>
  <c r="C621" i="12" s="1"/>
  <c r="D621" i="12" s="1"/>
  <c r="K621" i="12" s="1" a="1"/>
  <c r="K621" i="12" s="1"/>
  <c r="A622" i="12" a="1"/>
  <c r="A622" i="12" s="1"/>
  <c r="C622" i="12" a="1"/>
  <c r="C622" i="12" s="1"/>
  <c r="D622" i="12" s="1"/>
  <c r="K622" i="12" s="1" a="1"/>
  <c r="K622" i="12" s="1"/>
  <c r="A542" i="12" a="1"/>
  <c r="A542" i="12" s="1"/>
  <c r="C542" i="12" a="1"/>
  <c r="C542" i="12" s="1"/>
  <c r="D542" i="12" s="1"/>
  <c r="K542" i="12" s="1" a="1"/>
  <c r="K542" i="12" s="1"/>
  <c r="A543" i="12" a="1"/>
  <c r="A543" i="12" s="1"/>
  <c r="C543" i="12" a="1"/>
  <c r="C543" i="12" s="1"/>
  <c r="D543" i="12" s="1"/>
  <c r="K543" i="12" s="1" a="1"/>
  <c r="K543" i="12" s="1"/>
  <c r="A544" i="12" a="1"/>
  <c r="A544" i="12" s="1"/>
  <c r="C544" i="12" a="1"/>
  <c r="C544" i="12" s="1"/>
  <c r="D544" i="12" s="1"/>
  <c r="K544" i="12" s="1" a="1"/>
  <c r="K544" i="12" s="1"/>
  <c r="A545" i="12" a="1"/>
  <c r="A545" i="12" s="1"/>
  <c r="C545" i="12" a="1"/>
  <c r="C545" i="12" s="1"/>
  <c r="D545" i="12" s="1"/>
  <c r="K545" i="12" s="1" a="1"/>
  <c r="K545" i="12" s="1"/>
  <c r="A546" i="12" a="1"/>
  <c r="A546" i="12" s="1"/>
  <c r="C546" i="12" a="1"/>
  <c r="C546" i="12" s="1"/>
  <c r="D546" i="12" s="1"/>
  <c r="K546" i="12" s="1" a="1"/>
  <c r="K546" i="12" s="1"/>
  <c r="A547" i="12" a="1"/>
  <c r="A547" i="12" s="1"/>
  <c r="C547" i="12" a="1"/>
  <c r="C547" i="12" s="1"/>
  <c r="D547" i="12" s="1"/>
  <c r="K547" i="12" s="1" a="1"/>
  <c r="K547" i="12" s="1"/>
  <c r="A548" i="12" a="1"/>
  <c r="A548" i="12" s="1"/>
  <c r="C548" i="12" a="1"/>
  <c r="C548" i="12" s="1"/>
  <c r="D548" i="12" s="1"/>
  <c r="K548" i="12" s="1" a="1"/>
  <c r="K548" i="12" s="1"/>
  <c r="A549" i="12" a="1"/>
  <c r="A549" i="12" s="1"/>
  <c r="C549" i="12" a="1"/>
  <c r="C549" i="12" s="1"/>
  <c r="D549" i="12" s="1"/>
  <c r="K549" i="12" s="1" a="1"/>
  <c r="K549" i="12" s="1"/>
  <c r="A550" i="12" a="1"/>
  <c r="A550" i="12" s="1"/>
  <c r="C550" i="12" a="1"/>
  <c r="C550" i="12" s="1"/>
  <c r="D550" i="12" s="1"/>
  <c r="K550" i="12" s="1" a="1"/>
  <c r="K550" i="12" s="1"/>
  <c r="A551" i="12" a="1"/>
  <c r="A551" i="12" s="1"/>
  <c r="C551" i="12" a="1"/>
  <c r="C551" i="12" s="1"/>
  <c r="D551" i="12" s="1"/>
  <c r="K551" i="12" s="1" a="1"/>
  <c r="K551" i="12" s="1"/>
  <c r="A552" i="12" a="1"/>
  <c r="A552" i="12" s="1"/>
  <c r="C552" i="12" a="1"/>
  <c r="C552" i="12" s="1"/>
  <c r="D552" i="12" s="1"/>
  <c r="K552" i="12" s="1" a="1"/>
  <c r="K552" i="12" s="1"/>
  <c r="A553" i="12" a="1"/>
  <c r="A553" i="12" s="1"/>
  <c r="C553" i="12" a="1"/>
  <c r="C553" i="12" s="1"/>
  <c r="D553" i="12" s="1"/>
  <c r="K553" i="12" s="1" a="1"/>
  <c r="K553" i="12" s="1"/>
  <c r="A554" i="12" a="1"/>
  <c r="A554" i="12" s="1"/>
  <c r="C554" i="12" a="1"/>
  <c r="C554" i="12" s="1"/>
  <c r="D554" i="12" s="1"/>
  <c r="K554" i="12" s="1" a="1"/>
  <c r="K554" i="12" s="1"/>
  <c r="A555" i="12" a="1"/>
  <c r="A555" i="12" s="1"/>
  <c r="C555" i="12" a="1"/>
  <c r="C555" i="12" s="1"/>
  <c r="D555" i="12" s="1"/>
  <c r="K555" i="12" s="1" a="1"/>
  <c r="K555" i="12" s="1"/>
  <c r="A556" i="12" a="1"/>
  <c r="A556" i="12" s="1"/>
  <c r="C556" i="12" a="1"/>
  <c r="C556" i="12" s="1"/>
  <c r="D556" i="12" s="1"/>
  <c r="K556" i="12" s="1" a="1"/>
  <c r="K556" i="12" s="1"/>
  <c r="A557" i="12" a="1"/>
  <c r="A557" i="12" s="1"/>
  <c r="C557" i="12" a="1"/>
  <c r="C557" i="12" s="1"/>
  <c r="D557" i="12" s="1"/>
  <c r="K557" i="12" s="1" a="1"/>
  <c r="K557" i="12" s="1"/>
  <c r="A558" i="12" a="1"/>
  <c r="A558" i="12" s="1"/>
  <c r="C558" i="12" a="1"/>
  <c r="C558" i="12" s="1"/>
  <c r="D558" i="12" s="1"/>
  <c r="K558" i="12" s="1" a="1"/>
  <c r="K558" i="12" s="1"/>
  <c r="A559" i="12" a="1"/>
  <c r="A559" i="12" s="1"/>
  <c r="C559" i="12" a="1"/>
  <c r="C559" i="12" s="1"/>
  <c r="D559" i="12" s="1"/>
  <c r="K559" i="12" s="1" a="1"/>
  <c r="K559" i="12" s="1"/>
  <c r="A560" i="12" a="1"/>
  <c r="A560" i="12" s="1"/>
  <c r="C560" i="12" a="1"/>
  <c r="C560" i="12" s="1"/>
  <c r="D560" i="12" s="1"/>
  <c r="K560" i="12" s="1" a="1"/>
  <c r="K560" i="12" s="1"/>
  <c r="A561" i="12" a="1"/>
  <c r="A561" i="12" s="1"/>
  <c r="C561" i="12" a="1"/>
  <c r="C561" i="12" s="1"/>
  <c r="D561" i="12" s="1"/>
  <c r="K561" i="12" s="1" a="1"/>
  <c r="K561" i="12" s="1"/>
  <c r="A562" i="12" a="1"/>
  <c r="A562" i="12" s="1"/>
  <c r="C562" i="12" a="1"/>
  <c r="C562" i="12" s="1"/>
  <c r="D562" i="12" s="1"/>
  <c r="K562" i="12" s="1" a="1"/>
  <c r="K562" i="12" s="1"/>
  <c r="A563" i="12" a="1"/>
  <c r="A563" i="12" s="1"/>
  <c r="C563" i="12" a="1"/>
  <c r="C563" i="12" s="1"/>
  <c r="D563" i="12" s="1"/>
  <c r="K563" i="12" s="1" a="1"/>
  <c r="K563" i="12" s="1"/>
  <c r="A564" i="12" a="1"/>
  <c r="A564" i="12" s="1"/>
  <c r="C564" i="12" a="1"/>
  <c r="C564" i="12" s="1"/>
  <c r="D564" i="12" s="1"/>
  <c r="K564" i="12" s="1" a="1"/>
  <c r="K564" i="12" s="1"/>
  <c r="A565" i="12" a="1"/>
  <c r="A565" i="12" s="1"/>
  <c r="C565" i="12" a="1"/>
  <c r="C565" i="12" s="1"/>
  <c r="D565" i="12" s="1"/>
  <c r="K565" i="12" s="1" a="1"/>
  <c r="K565" i="12" s="1"/>
  <c r="A566" i="12" a="1"/>
  <c r="A566" i="12" s="1"/>
  <c r="C566" i="12" a="1"/>
  <c r="C566" i="12" s="1"/>
  <c r="D566" i="12" s="1"/>
  <c r="K566" i="12" s="1" a="1"/>
  <c r="K566" i="12" s="1"/>
  <c r="A567" i="12" a="1"/>
  <c r="A567" i="12" s="1"/>
  <c r="C567" i="12" a="1"/>
  <c r="C567" i="12" s="1"/>
  <c r="D567" i="12" s="1"/>
  <c r="K567" i="12" s="1" a="1"/>
  <c r="K567" i="12" s="1"/>
  <c r="A568" i="12" a="1"/>
  <c r="A568" i="12" s="1"/>
  <c r="C568" i="12" a="1"/>
  <c r="C568" i="12" s="1"/>
  <c r="D568" i="12" s="1"/>
  <c r="K568" i="12" s="1" a="1"/>
  <c r="K568" i="12" s="1"/>
  <c r="A569" i="12" a="1"/>
  <c r="A569" i="12" s="1"/>
  <c r="C569" i="12" a="1"/>
  <c r="C569" i="12" s="1"/>
  <c r="D569" i="12" s="1"/>
  <c r="K569" i="12" s="1" a="1"/>
  <c r="K569" i="12" s="1"/>
  <c r="A570" i="12" a="1"/>
  <c r="A570" i="12" s="1"/>
  <c r="C570" i="12" a="1"/>
  <c r="C570" i="12" s="1"/>
  <c r="D570" i="12" s="1"/>
  <c r="K570" i="12" s="1" a="1"/>
  <c r="K570" i="12" s="1"/>
  <c r="A571" i="12" a="1"/>
  <c r="A571" i="12" s="1"/>
  <c r="C571" i="12" a="1"/>
  <c r="C571" i="12" s="1"/>
  <c r="D571" i="12" s="1"/>
  <c r="K571" i="12" s="1" a="1"/>
  <c r="K571" i="12" s="1"/>
  <c r="A572" i="12" a="1"/>
  <c r="A572" i="12" s="1"/>
  <c r="C572" i="12" a="1"/>
  <c r="C572" i="12" s="1"/>
  <c r="D572" i="12" s="1"/>
  <c r="K572" i="12" s="1" a="1"/>
  <c r="K572" i="12" s="1"/>
  <c r="A573" i="12" a="1"/>
  <c r="A573" i="12" s="1"/>
  <c r="C573" i="12" a="1"/>
  <c r="C573" i="12" s="1"/>
  <c r="D573" i="12" s="1"/>
  <c r="K573" i="12" s="1" a="1"/>
  <c r="K573" i="12" s="1"/>
  <c r="A574" i="12" a="1"/>
  <c r="A574" i="12" s="1"/>
  <c r="C574" i="12" a="1"/>
  <c r="C574" i="12" s="1"/>
  <c r="D574" i="12" s="1"/>
  <c r="K574" i="12" s="1" a="1"/>
  <c r="K574" i="12" s="1"/>
  <c r="A575" i="12" a="1"/>
  <c r="A575" i="12" s="1"/>
  <c r="C575" i="12" a="1"/>
  <c r="C575" i="12" s="1"/>
  <c r="D575" i="12" s="1"/>
  <c r="K575" i="12" s="1" a="1"/>
  <c r="K575" i="12" s="1"/>
  <c r="A576" i="12" a="1"/>
  <c r="A576" i="12" s="1"/>
  <c r="C576" i="12" a="1"/>
  <c r="C576" i="12" s="1"/>
  <c r="D576" i="12" s="1"/>
  <c r="K576" i="12" s="1" a="1"/>
  <c r="K576" i="12" s="1"/>
  <c r="A577" i="12" a="1"/>
  <c r="A577" i="12" s="1"/>
  <c r="C577" i="12" a="1"/>
  <c r="C577" i="12" s="1"/>
  <c r="D577" i="12" s="1"/>
  <c r="K577" i="12" s="1" a="1"/>
  <c r="K577" i="12" s="1"/>
  <c r="A578" i="12" a="1"/>
  <c r="A578" i="12" s="1"/>
  <c r="C578" i="12" a="1"/>
  <c r="C578" i="12" s="1"/>
  <c r="D578" i="12" s="1"/>
  <c r="K578" i="12" s="1" a="1"/>
  <c r="K578" i="12" s="1"/>
  <c r="A579" i="12" a="1"/>
  <c r="A579" i="12" s="1"/>
  <c r="C579" i="12" a="1"/>
  <c r="C579" i="12" s="1"/>
  <c r="D579" i="12" s="1"/>
  <c r="K579" i="12" s="1" a="1"/>
  <c r="K579" i="12" s="1"/>
  <c r="A580" i="12" a="1"/>
  <c r="A580" i="12" s="1"/>
  <c r="C580" i="12" a="1"/>
  <c r="C580" i="12" s="1"/>
  <c r="D580" i="12" s="1"/>
  <c r="K580" i="12" s="1" a="1"/>
  <c r="K580" i="12" s="1"/>
  <c r="A581" i="12" a="1"/>
  <c r="A581" i="12" s="1"/>
  <c r="C581" i="12" a="1"/>
  <c r="C581" i="12" s="1"/>
  <c r="D581" i="12" s="1"/>
  <c r="K581" i="12" s="1" a="1"/>
  <c r="K581" i="12" s="1"/>
  <c r="A582" i="12" a="1"/>
  <c r="A582" i="12" s="1"/>
  <c r="C582" i="12" a="1"/>
  <c r="C582" i="12" s="1"/>
  <c r="D582" i="12" s="1"/>
  <c r="K582" i="12" s="1" a="1"/>
  <c r="K582" i="12" s="1"/>
  <c r="A583" i="12" a="1"/>
  <c r="A583" i="12" s="1"/>
  <c r="C583" i="12" a="1"/>
  <c r="C583" i="12" s="1"/>
  <c r="D583" i="12" s="1"/>
  <c r="K583" i="12" s="1" a="1"/>
  <c r="K583" i="12" s="1"/>
  <c r="A584" i="12" a="1"/>
  <c r="A584" i="12" s="1"/>
  <c r="C584" i="12" a="1"/>
  <c r="C584" i="12" s="1"/>
  <c r="D584" i="12" s="1"/>
  <c r="K584" i="12" s="1" a="1"/>
  <c r="K584" i="12" s="1"/>
  <c r="A585" i="12" a="1"/>
  <c r="A585" i="12" s="1"/>
  <c r="C585" i="12" a="1"/>
  <c r="C585" i="12" s="1"/>
  <c r="D585" i="12" s="1"/>
  <c r="K585" i="12" s="1" a="1"/>
  <c r="K585" i="12" s="1"/>
  <c r="A586" i="12" a="1"/>
  <c r="A586" i="12" s="1"/>
  <c r="C586" i="12" a="1"/>
  <c r="C586" i="12" s="1"/>
  <c r="D586" i="12" s="1"/>
  <c r="K586" i="12" s="1" a="1"/>
  <c r="K586" i="12" s="1"/>
  <c r="A461" i="12" a="1"/>
  <c r="A461" i="12" s="1"/>
  <c r="C461" i="12" a="1"/>
  <c r="C461" i="12" s="1"/>
  <c r="D461" i="12" s="1"/>
  <c r="K461" i="12" s="1" a="1"/>
  <c r="K461" i="12" s="1"/>
  <c r="A462" i="12" a="1"/>
  <c r="A462" i="12" s="1"/>
  <c r="C462" i="12" a="1"/>
  <c r="C462" i="12" s="1"/>
  <c r="D462" i="12" s="1"/>
  <c r="K462" i="12" s="1" a="1"/>
  <c r="K462" i="12" s="1"/>
  <c r="A463" i="12" a="1"/>
  <c r="A463" i="12" s="1"/>
  <c r="C463" i="12" a="1"/>
  <c r="C463" i="12" s="1"/>
  <c r="D463" i="12" s="1"/>
  <c r="K463" i="12" s="1" a="1"/>
  <c r="K463" i="12" s="1"/>
  <c r="A464" i="12" a="1"/>
  <c r="A464" i="12" s="1"/>
  <c r="B464" i="12" s="1"/>
  <c r="C464" i="12" a="1"/>
  <c r="C464" i="12" s="1"/>
  <c r="D464" i="12" s="1"/>
  <c r="K464" i="12" s="1" a="1"/>
  <c r="K464" i="12" s="1"/>
  <c r="A465" i="12" a="1"/>
  <c r="A465" i="12" s="1"/>
  <c r="F465" i="12" s="1"/>
  <c r="G465" i="12" s="1"/>
  <c r="C465" i="12" a="1"/>
  <c r="C465" i="12" s="1"/>
  <c r="D465" i="12" s="1"/>
  <c r="K465" i="12" s="1" a="1"/>
  <c r="K465" i="12" s="1"/>
  <c r="A466" i="12" a="1"/>
  <c r="A466" i="12" s="1"/>
  <c r="B466" i="12" s="1"/>
  <c r="C466" i="12" a="1"/>
  <c r="C466" i="12"/>
  <c r="D466" i="12" s="1"/>
  <c r="K466" i="12" s="1" a="1"/>
  <c r="K466" i="12" s="1"/>
  <c r="A467" i="12" a="1"/>
  <c r="A467" i="12" s="1"/>
  <c r="B467" i="12" s="1"/>
  <c r="C467" i="12" a="1"/>
  <c r="C467" i="12" s="1"/>
  <c r="D467" i="12" s="1"/>
  <c r="K467" i="12" s="1" a="1"/>
  <c r="K467" i="12" s="1"/>
  <c r="A468" i="12" a="1"/>
  <c r="A468" i="12" s="1"/>
  <c r="C468" i="12" a="1"/>
  <c r="C468" i="12"/>
  <c r="D468" i="12" s="1"/>
  <c r="K468" i="12" s="1" a="1"/>
  <c r="K468" i="12" s="1"/>
  <c r="A469" i="12" a="1"/>
  <c r="A469" i="12" s="1"/>
  <c r="F469" i="12" s="1"/>
  <c r="G469" i="12" s="1"/>
  <c r="C469" i="12" a="1"/>
  <c r="C469" i="12" s="1"/>
  <c r="D469" i="12" s="1"/>
  <c r="K469" i="12" s="1" a="1"/>
  <c r="K469" i="12" s="1"/>
  <c r="H469" i="12"/>
  <c r="I469" i="12" s="1"/>
  <c r="A470" i="12" a="1"/>
  <c r="A470" i="12" s="1"/>
  <c r="B470" i="12" s="1"/>
  <c r="C470" i="12" a="1"/>
  <c r="C470" i="12" s="1"/>
  <c r="D470" i="12" s="1"/>
  <c r="K470" i="12" s="1" a="1"/>
  <c r="K470" i="12" s="1"/>
  <c r="A471" i="12" a="1"/>
  <c r="A471" i="12" s="1"/>
  <c r="H471" i="12" s="1"/>
  <c r="I471" i="12" s="1"/>
  <c r="C471" i="12" a="1"/>
  <c r="C471" i="12" s="1"/>
  <c r="D471" i="12" s="1"/>
  <c r="K471" i="12" s="1" a="1"/>
  <c r="K471" i="12" s="1"/>
  <c r="A472" i="12" a="1"/>
  <c r="A472" i="12" s="1"/>
  <c r="C472" i="12" a="1"/>
  <c r="C472" i="12" s="1"/>
  <c r="D472" i="12" s="1"/>
  <c r="K472" i="12" s="1" a="1"/>
  <c r="K472" i="12" s="1"/>
  <c r="A473" i="12" a="1"/>
  <c r="A473" i="12" s="1"/>
  <c r="F473" i="12" s="1"/>
  <c r="G473" i="12" s="1"/>
  <c r="C473" i="12" a="1"/>
  <c r="C473" i="12"/>
  <c r="D473" i="12" s="1"/>
  <c r="K473" i="12" s="1" a="1"/>
  <c r="K473" i="12" s="1"/>
  <c r="A474" i="12" a="1"/>
  <c r="A474" i="12" s="1"/>
  <c r="B474" i="12" s="1"/>
  <c r="C474" i="12" a="1"/>
  <c r="C474" i="12" s="1"/>
  <c r="D474" i="12" s="1"/>
  <c r="K474" i="12" s="1" a="1"/>
  <c r="K474" i="12" s="1"/>
  <c r="A475" i="12" a="1"/>
  <c r="A475" i="12" s="1"/>
  <c r="F475" i="12" s="1"/>
  <c r="G475" i="12" s="1"/>
  <c r="C475" i="12" a="1"/>
  <c r="C475" i="12" s="1"/>
  <c r="D475" i="12" s="1"/>
  <c r="K475" i="12" s="1" a="1"/>
  <c r="K475" i="12" s="1"/>
  <c r="A476" i="12" a="1"/>
  <c r="A476" i="12" s="1"/>
  <c r="F476" i="12" s="1"/>
  <c r="G476" i="12" s="1"/>
  <c r="C476" i="12" a="1"/>
  <c r="C476" i="12" s="1"/>
  <c r="D476" i="12" s="1"/>
  <c r="K476" i="12" s="1" a="1"/>
  <c r="K476" i="12" s="1"/>
  <c r="A477" i="12" a="1"/>
  <c r="A477" i="12" s="1"/>
  <c r="F477" i="12" s="1"/>
  <c r="G477" i="12" s="1"/>
  <c r="C477" i="12" a="1"/>
  <c r="C477" i="12" s="1"/>
  <c r="D477" i="12" s="1"/>
  <c r="K477" i="12" s="1" a="1"/>
  <c r="K477" i="12" s="1"/>
  <c r="A478" i="12" a="1"/>
  <c r="A478" i="12" s="1"/>
  <c r="B478" i="12" s="1"/>
  <c r="C478" i="12" a="1"/>
  <c r="C478" i="12" s="1"/>
  <c r="D478" i="12" s="1"/>
  <c r="K478" i="12" s="1" a="1"/>
  <c r="K478" i="12" s="1"/>
  <c r="A479" i="12" a="1"/>
  <c r="A479" i="12" s="1"/>
  <c r="F479" i="12" s="1"/>
  <c r="G479" i="12" s="1"/>
  <c r="C479" i="12" a="1"/>
  <c r="C479" i="12" s="1"/>
  <c r="D479" i="12" s="1"/>
  <c r="K479" i="12" s="1" a="1"/>
  <c r="K479" i="12" s="1"/>
  <c r="A480" i="12" a="1"/>
  <c r="A480" i="12" s="1"/>
  <c r="H480" i="12" s="1"/>
  <c r="I480" i="12" s="1"/>
  <c r="C480" i="12" a="1"/>
  <c r="C480" i="12" s="1"/>
  <c r="D480" i="12" s="1"/>
  <c r="K480" i="12" s="1" a="1"/>
  <c r="K480" i="12" s="1"/>
  <c r="A481" i="12" a="1"/>
  <c r="A481" i="12" s="1"/>
  <c r="B481" i="12" s="1"/>
  <c r="C481" i="12" a="1"/>
  <c r="C481" i="12" s="1"/>
  <c r="D481" i="12" s="1"/>
  <c r="K481" i="12" s="1" a="1"/>
  <c r="K481" i="12" s="1"/>
  <c r="A482" i="12" a="1"/>
  <c r="A482" i="12" s="1"/>
  <c r="B482" i="12" s="1"/>
  <c r="C482" i="12" a="1"/>
  <c r="C482" i="12" s="1"/>
  <c r="D482" i="12" s="1"/>
  <c r="K482" i="12" s="1" a="1"/>
  <c r="K482" i="12" s="1"/>
  <c r="A483" i="12" a="1"/>
  <c r="A483" i="12" s="1"/>
  <c r="F483" i="12" s="1"/>
  <c r="G483" i="12" s="1"/>
  <c r="C483" i="12" a="1"/>
  <c r="C483" i="12" s="1"/>
  <c r="D483" i="12" s="1"/>
  <c r="K483" i="12" s="1" a="1"/>
  <c r="K483" i="12" s="1"/>
  <c r="A484" i="12" a="1"/>
  <c r="A484" i="12" s="1"/>
  <c r="H484" i="12" s="1"/>
  <c r="I484" i="12" s="1"/>
  <c r="C484" i="12" a="1"/>
  <c r="C484" i="12"/>
  <c r="D484" i="12" s="1"/>
  <c r="K484" i="12" s="1" a="1"/>
  <c r="K484" i="12" s="1"/>
  <c r="A485" i="12" a="1"/>
  <c r="A485" i="12" s="1"/>
  <c r="B485" i="12" s="1"/>
  <c r="C485" i="12" a="1"/>
  <c r="C485" i="12" s="1"/>
  <c r="D485" i="12" s="1"/>
  <c r="K485" i="12" s="1" a="1"/>
  <c r="K485" i="12" s="1"/>
  <c r="A486" i="12" a="1"/>
  <c r="A486" i="12" s="1"/>
  <c r="B486" i="12" s="1"/>
  <c r="C486" i="12" a="1"/>
  <c r="C486" i="12"/>
  <c r="D486" i="12" s="1"/>
  <c r="K486" i="12" s="1" a="1"/>
  <c r="K486" i="12" s="1"/>
  <c r="A487" i="12" a="1"/>
  <c r="A487" i="12" s="1"/>
  <c r="F487" i="12" s="1"/>
  <c r="G487" i="12" s="1"/>
  <c r="C487" i="12" a="1"/>
  <c r="C487" i="12" s="1"/>
  <c r="D487" i="12" s="1"/>
  <c r="K487" i="12" s="1" a="1"/>
  <c r="K487" i="12" s="1"/>
  <c r="A488" i="12" a="1"/>
  <c r="A488" i="12" s="1"/>
  <c r="F488" i="12" s="1"/>
  <c r="G488" i="12" s="1"/>
  <c r="C488" i="12" a="1"/>
  <c r="C488" i="12"/>
  <c r="D488" i="12" s="1"/>
  <c r="K488" i="12" s="1" a="1"/>
  <c r="K488" i="12" s="1"/>
  <c r="A489" i="12" a="1"/>
  <c r="A489" i="12" s="1"/>
  <c r="B489" i="12" s="1"/>
  <c r="C489" i="12" a="1"/>
  <c r="C489" i="12" s="1"/>
  <c r="D489" i="12" s="1"/>
  <c r="K489" i="12" s="1" a="1"/>
  <c r="K489" i="12" s="1"/>
  <c r="A490" i="12" a="1"/>
  <c r="A490" i="12" s="1"/>
  <c r="B490" i="12" s="1"/>
  <c r="C490" i="12" a="1"/>
  <c r="C490" i="12" s="1"/>
  <c r="D490" i="12" s="1"/>
  <c r="K490" i="12" s="1" a="1"/>
  <c r="K490" i="12" s="1"/>
  <c r="A491" i="12" a="1"/>
  <c r="A491" i="12" s="1"/>
  <c r="F491" i="12" s="1"/>
  <c r="G491" i="12" s="1"/>
  <c r="C491" i="12" a="1"/>
  <c r="C491" i="12"/>
  <c r="D491" i="12" s="1"/>
  <c r="K491" i="12" s="1" a="1"/>
  <c r="K491" i="12" s="1"/>
  <c r="A492" i="12" a="1"/>
  <c r="A492" i="12" s="1"/>
  <c r="B492" i="12" s="1"/>
  <c r="C492" i="12" a="1"/>
  <c r="C492" i="12" s="1"/>
  <c r="D492" i="12" s="1"/>
  <c r="K492" i="12" s="1" a="1"/>
  <c r="K492" i="12" s="1"/>
  <c r="A493" i="12" a="1"/>
  <c r="A493" i="12" s="1"/>
  <c r="B493" i="12" s="1"/>
  <c r="C493" i="12" a="1"/>
  <c r="C493" i="12"/>
  <c r="D493" i="12" s="1"/>
  <c r="K493" i="12" s="1" a="1"/>
  <c r="K493" i="12" s="1"/>
  <c r="A494" i="12" a="1"/>
  <c r="A494" i="12" s="1"/>
  <c r="B494" i="12" s="1"/>
  <c r="C494" i="12" a="1"/>
  <c r="C494" i="12" s="1"/>
  <c r="D494" i="12" s="1"/>
  <c r="K494" i="12" s="1" a="1"/>
  <c r="K494" i="12" s="1"/>
  <c r="A495" i="12" a="1"/>
  <c r="A495" i="12" s="1"/>
  <c r="F495" i="12" s="1"/>
  <c r="G495" i="12" s="1"/>
  <c r="C495" i="12" a="1"/>
  <c r="C495" i="12" s="1"/>
  <c r="D495" i="12" s="1"/>
  <c r="K495" i="12" s="1" a="1"/>
  <c r="K495" i="12" s="1"/>
  <c r="A496" i="12" a="1"/>
  <c r="A496" i="12" s="1"/>
  <c r="B496" i="12" s="1"/>
  <c r="C496" i="12" a="1"/>
  <c r="C496" i="12" s="1"/>
  <c r="D496" i="12" s="1"/>
  <c r="K496" i="12" s="1" a="1"/>
  <c r="K496" i="12" s="1"/>
  <c r="A497" i="12" a="1"/>
  <c r="A497" i="12" s="1"/>
  <c r="B497" i="12" s="1"/>
  <c r="C497" i="12" a="1"/>
  <c r="C497" i="12" s="1"/>
  <c r="D497" i="12" s="1"/>
  <c r="K497" i="12" s="1" a="1"/>
  <c r="K497" i="12" s="1"/>
  <c r="A498" i="12" a="1"/>
  <c r="A498" i="12" s="1"/>
  <c r="B498" i="12" s="1"/>
  <c r="C498" i="12" a="1"/>
  <c r="C498" i="12" s="1"/>
  <c r="D498" i="12" s="1"/>
  <c r="K498" i="12" s="1" a="1"/>
  <c r="K498" i="12" s="1"/>
  <c r="A499" i="12" a="1"/>
  <c r="A499" i="12" s="1"/>
  <c r="F499" i="12" s="1"/>
  <c r="G499" i="12" s="1"/>
  <c r="C499" i="12" a="1"/>
  <c r="C499" i="12" s="1"/>
  <c r="D499" i="12" s="1"/>
  <c r="K499" i="12" s="1" a="1"/>
  <c r="K499" i="12" s="1"/>
  <c r="A500" i="12" a="1"/>
  <c r="A500" i="12" s="1"/>
  <c r="H500" i="12" s="1"/>
  <c r="I500" i="12" s="1"/>
  <c r="C500" i="12" a="1"/>
  <c r="C500" i="12" s="1"/>
  <c r="D500" i="12" s="1"/>
  <c r="K500" i="12" s="1" a="1"/>
  <c r="K500" i="12" s="1"/>
  <c r="A501" i="12" a="1"/>
  <c r="A501" i="12" s="1"/>
  <c r="B501" i="12" s="1"/>
  <c r="C501" i="12" a="1"/>
  <c r="C501" i="12" s="1"/>
  <c r="D501" i="12" s="1"/>
  <c r="K501" i="12" s="1" a="1"/>
  <c r="K501" i="12" s="1"/>
  <c r="A502" i="12" a="1"/>
  <c r="A502" i="12" s="1"/>
  <c r="B502" i="12" s="1"/>
  <c r="C502" i="12" a="1"/>
  <c r="C502" i="12" s="1"/>
  <c r="D502" i="12" s="1"/>
  <c r="K502" i="12" s="1" a="1"/>
  <c r="K502" i="12" s="1"/>
  <c r="A503" i="12" a="1"/>
  <c r="A503" i="12" s="1"/>
  <c r="F503" i="12" s="1"/>
  <c r="G503" i="12" s="1"/>
  <c r="C503" i="12" a="1"/>
  <c r="C503" i="12"/>
  <c r="D503" i="12" s="1"/>
  <c r="K503" i="12" s="1" a="1"/>
  <c r="K503" i="12" s="1"/>
  <c r="A504" i="12" a="1"/>
  <c r="A504" i="12" s="1"/>
  <c r="H504" i="12" s="1"/>
  <c r="I504" i="12" s="1"/>
  <c r="C504" i="12" a="1"/>
  <c r="C504" i="12" s="1"/>
  <c r="D504" i="12" s="1"/>
  <c r="K504" i="12" s="1" a="1"/>
  <c r="K504" i="12" s="1"/>
  <c r="A505" i="12" a="1"/>
  <c r="A505" i="12" s="1"/>
  <c r="B505" i="12" s="1"/>
  <c r="C505" i="12" a="1"/>
  <c r="C505" i="12"/>
  <c r="D505" i="12" s="1"/>
  <c r="K505" i="12" s="1" a="1"/>
  <c r="K505" i="12" s="1"/>
  <c r="A506" i="12" a="1"/>
  <c r="A506" i="12" s="1"/>
  <c r="B506" i="12" s="1"/>
  <c r="C506" i="12" a="1"/>
  <c r="C506" i="12" s="1"/>
  <c r="D506" i="12" s="1"/>
  <c r="K506" i="12" s="1" a="1"/>
  <c r="K506" i="12" s="1"/>
  <c r="A507" i="12" a="1"/>
  <c r="A507" i="12" s="1"/>
  <c r="F507" i="12" s="1"/>
  <c r="G507" i="12" s="1"/>
  <c r="C507" i="12" a="1"/>
  <c r="C507" i="12"/>
  <c r="D507" i="12" s="1"/>
  <c r="K507" i="12" s="1" a="1"/>
  <c r="K507" i="12" s="1"/>
  <c r="A508" i="12" a="1"/>
  <c r="A508" i="12" s="1"/>
  <c r="H508" i="12" s="1"/>
  <c r="I508" i="12" s="1"/>
  <c r="C508" i="12" a="1"/>
  <c r="C508" i="12" s="1"/>
  <c r="D508" i="12" s="1"/>
  <c r="K508" i="12" s="1" a="1"/>
  <c r="K508" i="12" s="1"/>
  <c r="A509" i="12" a="1"/>
  <c r="A509" i="12" s="1"/>
  <c r="B509" i="12" s="1"/>
  <c r="C509" i="12" a="1"/>
  <c r="C509" i="12" s="1"/>
  <c r="D509" i="12" s="1"/>
  <c r="K509" i="12" s="1" a="1"/>
  <c r="K509" i="12" s="1"/>
  <c r="A510" i="12" a="1"/>
  <c r="A510" i="12" s="1"/>
  <c r="B510" i="12" s="1"/>
  <c r="C510" i="12" a="1"/>
  <c r="C510" i="12"/>
  <c r="D510" i="12" s="1"/>
  <c r="K510" i="12" s="1" a="1"/>
  <c r="K510" i="12" s="1"/>
  <c r="A511" i="12" a="1"/>
  <c r="A511" i="12" s="1"/>
  <c r="F511" i="12" s="1"/>
  <c r="G511" i="12" s="1"/>
  <c r="C511" i="12" a="1"/>
  <c r="C511" i="12" s="1"/>
  <c r="D511" i="12" s="1"/>
  <c r="K511" i="12" s="1" a="1"/>
  <c r="K511" i="12" s="1"/>
  <c r="A512" i="12" a="1"/>
  <c r="A512" i="12" s="1"/>
  <c r="F512" i="12" s="1"/>
  <c r="G512" i="12" s="1"/>
  <c r="C512" i="12" a="1"/>
  <c r="C512" i="12"/>
  <c r="D512" i="12" s="1"/>
  <c r="K512" i="12" s="1" a="1"/>
  <c r="K512" i="12" s="1"/>
  <c r="A513" i="12" a="1"/>
  <c r="A513" i="12" s="1"/>
  <c r="B513" i="12" s="1"/>
  <c r="C513" i="12" a="1"/>
  <c r="C513" i="12" s="1"/>
  <c r="D513" i="12" s="1"/>
  <c r="K513" i="12" s="1" a="1"/>
  <c r="K513" i="12" s="1"/>
  <c r="A514" i="12" a="1"/>
  <c r="A514" i="12"/>
  <c r="B514" i="12" s="1"/>
  <c r="C514" i="12" a="1"/>
  <c r="C514" i="12" s="1"/>
  <c r="D514" i="12" s="1"/>
  <c r="K514" i="12" s="1" a="1"/>
  <c r="K514" i="12" s="1"/>
  <c r="A515" i="12" a="1"/>
  <c r="A515" i="12" s="1"/>
  <c r="F515" i="12" s="1"/>
  <c r="G515" i="12" s="1"/>
  <c r="C515" i="12" a="1"/>
  <c r="C515" i="12" s="1"/>
  <c r="D515" i="12" s="1"/>
  <c r="K515" i="12" s="1" a="1"/>
  <c r="K515" i="12" s="1"/>
  <c r="A516" i="12" a="1"/>
  <c r="A516" i="12" s="1"/>
  <c r="B516" i="12" s="1"/>
  <c r="C516" i="12" a="1"/>
  <c r="C516" i="12" s="1"/>
  <c r="D516" i="12" s="1"/>
  <c r="K516" i="12" s="1" a="1"/>
  <c r="K516" i="12" s="1"/>
  <c r="A517" i="12" a="1"/>
  <c r="A517" i="12" s="1"/>
  <c r="B517" i="12" s="1"/>
  <c r="C517" i="12" a="1"/>
  <c r="C517" i="12" s="1"/>
  <c r="D517" i="12" s="1"/>
  <c r="K517" i="12" s="1" a="1"/>
  <c r="K517" i="12" s="1"/>
  <c r="A518" i="12" a="1"/>
  <c r="A518" i="12" s="1"/>
  <c r="B518" i="12" s="1"/>
  <c r="C518" i="12" a="1"/>
  <c r="C518" i="12" s="1"/>
  <c r="D518" i="12" s="1"/>
  <c r="K518" i="12" s="1" a="1"/>
  <c r="K518" i="12" s="1"/>
  <c r="A519" i="12" a="1"/>
  <c r="A519" i="12" s="1"/>
  <c r="F519" i="12" s="1"/>
  <c r="G519" i="12" s="1"/>
  <c r="C519" i="12" a="1"/>
  <c r="C519" i="12" s="1"/>
  <c r="D519" i="12" s="1"/>
  <c r="K519" i="12" s="1" a="1"/>
  <c r="K519" i="12" s="1"/>
  <c r="A520" i="12" a="1"/>
  <c r="A520" i="12" s="1"/>
  <c r="B520" i="12" s="1"/>
  <c r="C520" i="12" a="1"/>
  <c r="C520" i="12"/>
  <c r="D520" i="12" s="1"/>
  <c r="K520" i="12" s="1" a="1"/>
  <c r="K520" i="12" s="1"/>
  <c r="A521" i="12" a="1"/>
  <c r="A521" i="12" s="1"/>
  <c r="B521" i="12" s="1"/>
  <c r="C521" i="12" a="1"/>
  <c r="C521" i="12" s="1"/>
  <c r="D521" i="12" s="1"/>
  <c r="K521" i="12" s="1" a="1"/>
  <c r="K521" i="12" s="1"/>
  <c r="A522" i="12" a="1"/>
  <c r="A522" i="12" s="1"/>
  <c r="B522" i="12" s="1"/>
  <c r="C522" i="12" a="1"/>
  <c r="C522" i="12"/>
  <c r="D522" i="12" s="1"/>
  <c r="K522" i="12" s="1" a="1"/>
  <c r="K522" i="12" s="1"/>
  <c r="A523" i="12" a="1"/>
  <c r="A523" i="12" s="1"/>
  <c r="F523" i="12" s="1"/>
  <c r="G523" i="12" s="1"/>
  <c r="C523" i="12" a="1"/>
  <c r="C523" i="12" s="1"/>
  <c r="D523" i="12" s="1"/>
  <c r="K523" i="12" s="1" a="1"/>
  <c r="K523" i="12" s="1"/>
  <c r="A524" i="12" a="1"/>
  <c r="A524" i="12" s="1"/>
  <c r="B524" i="12" s="1"/>
  <c r="C524" i="12" a="1"/>
  <c r="C524" i="12"/>
  <c r="D524" i="12" s="1"/>
  <c r="K524" i="12" s="1" a="1"/>
  <c r="K524" i="12" s="1"/>
  <c r="A525" i="12" a="1"/>
  <c r="A525" i="12" s="1"/>
  <c r="B525" i="12" s="1"/>
  <c r="C525" i="12" a="1"/>
  <c r="C525" i="12" s="1"/>
  <c r="D525" i="12" s="1"/>
  <c r="K525" i="12" s="1" a="1"/>
  <c r="K525" i="12" s="1"/>
  <c r="A526" i="12" a="1"/>
  <c r="A526" i="12" s="1"/>
  <c r="B526" i="12" s="1"/>
  <c r="C526" i="12" a="1"/>
  <c r="C526" i="12"/>
  <c r="D526" i="12" s="1"/>
  <c r="K526" i="12" s="1" a="1"/>
  <c r="K526" i="12" s="1"/>
  <c r="A527" i="12" a="1"/>
  <c r="A527" i="12" s="1"/>
  <c r="F527" i="12" s="1"/>
  <c r="G527" i="12" s="1"/>
  <c r="C527" i="12" a="1"/>
  <c r="C527" i="12" s="1"/>
  <c r="D527" i="12" s="1"/>
  <c r="K527" i="12" s="1" a="1"/>
  <c r="K527" i="12" s="1"/>
  <c r="A528" i="12" a="1"/>
  <c r="A528" i="12" s="1"/>
  <c r="H528" i="12" s="1"/>
  <c r="I528" i="12" s="1"/>
  <c r="C528" i="12" a="1"/>
  <c r="C528" i="12" s="1"/>
  <c r="D528" i="12" s="1"/>
  <c r="K528" i="12" s="1" a="1"/>
  <c r="K528" i="12" s="1"/>
  <c r="A529" i="12" a="1"/>
  <c r="A529" i="12" s="1"/>
  <c r="B529" i="12" s="1"/>
  <c r="C529" i="12" a="1"/>
  <c r="C529" i="12" s="1"/>
  <c r="D529" i="12" s="1"/>
  <c r="K529" i="12" s="1" a="1"/>
  <c r="K529" i="12" s="1"/>
  <c r="A530" i="12" a="1"/>
  <c r="A530" i="12" s="1"/>
  <c r="B530" i="12" s="1"/>
  <c r="C530" i="12" a="1"/>
  <c r="C530" i="12"/>
  <c r="D530" i="12" s="1"/>
  <c r="K530" i="12" s="1" a="1"/>
  <c r="K530" i="12" s="1"/>
  <c r="A531" i="12" a="1"/>
  <c r="A531" i="12" s="1"/>
  <c r="F531" i="12" s="1"/>
  <c r="G531" i="12" s="1"/>
  <c r="C531" i="12" a="1"/>
  <c r="C531" i="12" s="1"/>
  <c r="D531" i="12" s="1"/>
  <c r="K531" i="12" s="1" a="1"/>
  <c r="K531" i="12" s="1"/>
  <c r="A532" i="12" a="1"/>
  <c r="A532" i="12"/>
  <c r="H532" i="12" s="1"/>
  <c r="I532" i="12" s="1"/>
  <c r="C532" i="12" a="1"/>
  <c r="C532" i="12" s="1"/>
  <c r="D532" i="12" s="1"/>
  <c r="K532" i="12" s="1" a="1"/>
  <c r="K532" i="12" s="1"/>
  <c r="A533" i="12" a="1"/>
  <c r="A533" i="12" s="1"/>
  <c r="B533" i="12" s="1"/>
  <c r="C533" i="12" a="1"/>
  <c r="C533" i="12" s="1"/>
  <c r="D533" i="12" s="1"/>
  <c r="K533" i="12" s="1" a="1"/>
  <c r="K533" i="12" s="1"/>
  <c r="A534" i="12" a="1"/>
  <c r="A534" i="12" s="1"/>
  <c r="B534" i="12" s="1"/>
  <c r="C534" i="12" a="1"/>
  <c r="C534" i="12" s="1"/>
  <c r="D534" i="12" s="1"/>
  <c r="K534" i="12" s="1" a="1"/>
  <c r="K534" i="12" s="1"/>
  <c r="A535" i="12" a="1"/>
  <c r="A535" i="12" s="1"/>
  <c r="F535" i="12" s="1"/>
  <c r="G535" i="12" s="1"/>
  <c r="C535" i="12" a="1"/>
  <c r="C535" i="12" s="1"/>
  <c r="D535" i="12" s="1"/>
  <c r="K535" i="12" s="1" a="1"/>
  <c r="K535" i="12" s="1"/>
  <c r="A536" i="12" a="1"/>
  <c r="A536" i="12" s="1"/>
  <c r="F536" i="12" s="1"/>
  <c r="G536" i="12" s="1"/>
  <c r="C536" i="12" a="1"/>
  <c r="C536" i="12" s="1"/>
  <c r="D536" i="12" s="1"/>
  <c r="K536" i="12" s="1" a="1"/>
  <c r="K536" i="12" s="1"/>
  <c r="A537" i="12" a="1"/>
  <c r="A537" i="12" s="1"/>
  <c r="B537" i="12" s="1"/>
  <c r="C537" i="12" a="1"/>
  <c r="C537" i="12" s="1"/>
  <c r="D537" i="12" s="1"/>
  <c r="K537" i="12" s="1" a="1"/>
  <c r="K537" i="12" s="1"/>
  <c r="A538" i="12" a="1"/>
  <c r="A538" i="12" s="1"/>
  <c r="B538" i="12" s="1"/>
  <c r="C538" i="12" a="1"/>
  <c r="C538" i="12"/>
  <c r="D538" i="12" s="1"/>
  <c r="K538" i="12" s="1" a="1"/>
  <c r="K538" i="12" s="1"/>
  <c r="A539" i="12" a="1"/>
  <c r="A539" i="12" s="1"/>
  <c r="F539" i="12" s="1"/>
  <c r="G539" i="12" s="1"/>
  <c r="C539" i="12" a="1"/>
  <c r="C539" i="12" s="1"/>
  <c r="D539" i="12" s="1"/>
  <c r="K539" i="12" s="1" a="1"/>
  <c r="K539" i="12" s="1"/>
  <c r="A540" i="12" a="1"/>
  <c r="A540" i="12" s="1"/>
  <c r="B540" i="12" s="1"/>
  <c r="C540" i="12" a="1"/>
  <c r="C540" i="12"/>
  <c r="D540" i="12" s="1"/>
  <c r="K540" i="12" s="1" a="1"/>
  <c r="K540" i="12" s="1"/>
  <c r="A541" i="12" a="1"/>
  <c r="A541" i="12" s="1"/>
  <c r="B541" i="12" s="1"/>
  <c r="C541" i="12" a="1"/>
  <c r="C541" i="12" s="1"/>
  <c r="D541" i="12" s="1"/>
  <c r="K541" i="12" s="1" a="1"/>
  <c r="K541" i="12" s="1"/>
  <c r="A452" i="12" a="1"/>
  <c r="A452" i="12" s="1"/>
  <c r="C452" i="12" a="1"/>
  <c r="C452" i="12" s="1"/>
  <c r="D452" i="12" s="1"/>
  <c r="K452" i="12" s="1" a="1"/>
  <c r="K452" i="12" s="1"/>
  <c r="A453" i="12" a="1"/>
  <c r="A453" i="12" s="1"/>
  <c r="C453" i="12" a="1"/>
  <c r="C453" i="12" s="1"/>
  <c r="D453" i="12" s="1"/>
  <c r="K453" i="12" s="1" a="1"/>
  <c r="K453" i="12" s="1"/>
  <c r="A454" i="12" a="1"/>
  <c r="A454" i="12" s="1"/>
  <c r="C454" i="12" a="1"/>
  <c r="C454" i="12" s="1"/>
  <c r="D454" i="12" s="1"/>
  <c r="K454" i="12" s="1" a="1"/>
  <c r="K454" i="12" s="1"/>
  <c r="A455" i="12" a="1"/>
  <c r="A455" i="12" s="1"/>
  <c r="C455" i="12" a="1"/>
  <c r="C455" i="12" s="1"/>
  <c r="D455" i="12" s="1"/>
  <c r="K455" i="12" s="1" a="1"/>
  <c r="K455" i="12" s="1"/>
  <c r="A456" i="12" a="1"/>
  <c r="A456" i="12" s="1"/>
  <c r="C456" i="12" a="1"/>
  <c r="C456" i="12"/>
  <c r="D456" i="12" s="1"/>
  <c r="K456" i="12" s="1" a="1"/>
  <c r="K456" i="12" s="1"/>
  <c r="A457" i="12" a="1"/>
  <c r="A457" i="12" s="1"/>
  <c r="C457" i="12" a="1"/>
  <c r="C457" i="12" s="1"/>
  <c r="D457" i="12" s="1"/>
  <c r="K457" i="12" s="1" a="1"/>
  <c r="K457" i="12" s="1"/>
  <c r="A458" i="12" a="1"/>
  <c r="A458" i="12" s="1"/>
  <c r="C458" i="12" a="1"/>
  <c r="C458" i="12" s="1"/>
  <c r="D458" i="12" s="1"/>
  <c r="K458" i="12" s="1" a="1"/>
  <c r="K458" i="12" s="1"/>
  <c r="A459" i="12" a="1"/>
  <c r="A459" i="12" s="1"/>
  <c r="C459" i="12" a="1"/>
  <c r="C459" i="12" s="1"/>
  <c r="D459" i="12" s="1"/>
  <c r="K459" i="12" s="1" a="1"/>
  <c r="K459" i="12" s="1"/>
  <c r="A460" i="12" a="1"/>
  <c r="A460" i="12" s="1"/>
  <c r="C460" i="12" a="1"/>
  <c r="C460" i="12"/>
  <c r="D460" i="12" s="1"/>
  <c r="K460" i="12" s="1" a="1"/>
  <c r="K460" i="12" s="1"/>
  <c r="A443" i="12" a="1"/>
  <c r="A443" i="12" s="1"/>
  <c r="C443" i="12" a="1"/>
  <c r="C443" i="12" s="1"/>
  <c r="D443" i="12" s="1"/>
  <c r="K443" i="12" s="1" a="1"/>
  <c r="K443" i="12" s="1"/>
  <c r="A444" i="12" a="1"/>
  <c r="A444" i="12" s="1"/>
  <c r="C444" i="12" a="1"/>
  <c r="C444" i="12" s="1"/>
  <c r="D444" i="12" s="1"/>
  <c r="K444" i="12" s="1" a="1"/>
  <c r="K444" i="12" s="1"/>
  <c r="A445" i="12" a="1"/>
  <c r="A445" i="12" s="1"/>
  <c r="C445" i="12" a="1"/>
  <c r="C445" i="12" s="1"/>
  <c r="D445" i="12" s="1"/>
  <c r="K445" i="12" s="1" a="1"/>
  <c r="K445" i="12" s="1"/>
  <c r="A446" i="12" a="1"/>
  <c r="A446" i="12" s="1"/>
  <c r="C446" i="12" a="1"/>
  <c r="C446" i="12" s="1"/>
  <c r="D446" i="12" s="1"/>
  <c r="K446" i="12" s="1" a="1"/>
  <c r="K446" i="12" s="1"/>
  <c r="A447" i="12" a="1"/>
  <c r="A447" i="12" s="1"/>
  <c r="C447" i="12" a="1"/>
  <c r="C447" i="12" s="1"/>
  <c r="D447" i="12" s="1"/>
  <c r="K447" i="12" s="1" a="1"/>
  <c r="K447" i="12" s="1"/>
  <c r="A448" i="12" a="1"/>
  <c r="A448" i="12" s="1"/>
  <c r="C448" i="12" a="1"/>
  <c r="C448" i="12" s="1"/>
  <c r="D448" i="12" s="1"/>
  <c r="K448" i="12" s="1" a="1"/>
  <c r="K448" i="12" s="1"/>
  <c r="A449" i="12" a="1"/>
  <c r="A449" i="12" s="1"/>
  <c r="C449" i="12" a="1"/>
  <c r="C449" i="12" s="1"/>
  <c r="D449" i="12" s="1"/>
  <c r="K449" i="12" s="1" a="1"/>
  <c r="K449" i="12" s="1"/>
  <c r="A450" i="12" a="1"/>
  <c r="A450" i="12" s="1"/>
  <c r="C450" i="12" a="1"/>
  <c r="C450" i="12" s="1"/>
  <c r="D450" i="12" s="1"/>
  <c r="K450" i="12" s="1" a="1"/>
  <c r="K450" i="12" s="1"/>
  <c r="A451" i="12" a="1"/>
  <c r="A451" i="12" s="1"/>
  <c r="C451" i="12" a="1"/>
  <c r="C451" i="12" s="1"/>
  <c r="D451" i="12" s="1"/>
  <c r="K451" i="12" s="1" a="1"/>
  <c r="K451" i="12" s="1"/>
  <c r="A371" i="12" a="1"/>
  <c r="A371" i="12" s="1"/>
  <c r="C371" i="12" a="1"/>
  <c r="C371" i="12" s="1"/>
  <c r="D371" i="12" s="1"/>
  <c r="K371" i="12" s="1" a="1"/>
  <c r="K371" i="12" s="1"/>
  <c r="A372" i="12" a="1"/>
  <c r="A372" i="12" s="1"/>
  <c r="C372" i="12" a="1"/>
  <c r="C372" i="12" s="1"/>
  <c r="D372" i="12" s="1"/>
  <c r="K372" i="12" s="1" a="1"/>
  <c r="K372" i="12" s="1"/>
  <c r="A373" i="12" a="1"/>
  <c r="A373" i="12" s="1"/>
  <c r="C373" i="12" a="1"/>
  <c r="C373" i="12" s="1"/>
  <c r="D373" i="12" s="1"/>
  <c r="K373" i="12" s="1" a="1"/>
  <c r="K373" i="12" s="1"/>
  <c r="A374" i="12" a="1"/>
  <c r="A374" i="12" s="1"/>
  <c r="C374" i="12" a="1"/>
  <c r="C374" i="12" s="1"/>
  <c r="D374" i="12" s="1"/>
  <c r="K374" i="12" s="1" a="1"/>
  <c r="K374" i="12" s="1"/>
  <c r="A375" i="12" a="1"/>
  <c r="A375" i="12" s="1"/>
  <c r="C375" i="12" a="1"/>
  <c r="C375" i="12" s="1"/>
  <c r="D375" i="12" s="1"/>
  <c r="K375" i="12" s="1" a="1"/>
  <c r="K375" i="12" s="1"/>
  <c r="A376" i="12" a="1"/>
  <c r="A376" i="12" s="1"/>
  <c r="C376" i="12" a="1"/>
  <c r="C376" i="12" s="1"/>
  <c r="D376" i="12" s="1"/>
  <c r="K376" i="12" s="1" a="1"/>
  <c r="K376" i="12" s="1"/>
  <c r="A377" i="12" a="1"/>
  <c r="A377" i="12" s="1"/>
  <c r="C377" i="12" a="1"/>
  <c r="C377" i="12" s="1"/>
  <c r="D377" i="12" s="1"/>
  <c r="K377" i="12" s="1" a="1"/>
  <c r="K377" i="12" s="1"/>
  <c r="A378" i="12" a="1"/>
  <c r="A378" i="12" s="1"/>
  <c r="C378" i="12" a="1"/>
  <c r="C378" i="12" s="1"/>
  <c r="D378" i="12" s="1"/>
  <c r="K378" i="12" s="1" a="1"/>
  <c r="K378" i="12" s="1"/>
  <c r="A379" i="12" a="1"/>
  <c r="A379" i="12" s="1"/>
  <c r="C379" i="12" a="1"/>
  <c r="C379" i="12" s="1"/>
  <c r="D379" i="12" s="1"/>
  <c r="K379" i="12" s="1" a="1"/>
  <c r="K379" i="12" s="1"/>
  <c r="A380" i="12" a="1"/>
  <c r="A380" i="12" s="1"/>
  <c r="C380" i="12" a="1"/>
  <c r="C380" i="12"/>
  <c r="D380" i="12" s="1"/>
  <c r="K380" i="12" s="1" a="1"/>
  <c r="K380" i="12" s="1"/>
  <c r="A381" i="12" a="1"/>
  <c r="A381" i="12" s="1"/>
  <c r="C381" i="12" a="1"/>
  <c r="C381" i="12" s="1"/>
  <c r="D381" i="12" s="1"/>
  <c r="K381" i="12" s="1" a="1"/>
  <c r="K381" i="12" s="1"/>
  <c r="A382" i="12" a="1"/>
  <c r="A382" i="12" s="1"/>
  <c r="C382" i="12" a="1"/>
  <c r="C382" i="12" s="1"/>
  <c r="D382" i="12" s="1"/>
  <c r="K382" i="12" s="1" a="1"/>
  <c r="K382" i="12" s="1"/>
  <c r="A383" i="12" a="1"/>
  <c r="A383" i="12" s="1"/>
  <c r="C383" i="12" a="1"/>
  <c r="C383" i="12" s="1"/>
  <c r="D383" i="12" s="1"/>
  <c r="K383" i="12" s="1" a="1"/>
  <c r="K383" i="12" s="1"/>
  <c r="A384" i="12" a="1"/>
  <c r="A384" i="12" s="1"/>
  <c r="C384" i="12" a="1"/>
  <c r="C384" i="12" s="1"/>
  <c r="D384" i="12" s="1"/>
  <c r="K384" i="12" s="1" a="1"/>
  <c r="K384" i="12" s="1"/>
  <c r="A385" i="12" a="1"/>
  <c r="A385" i="12" s="1"/>
  <c r="C385" i="12" a="1"/>
  <c r="C385" i="12" s="1"/>
  <c r="D385" i="12" s="1"/>
  <c r="K385" i="12" s="1" a="1"/>
  <c r="K385" i="12" s="1"/>
  <c r="A386" i="12" a="1"/>
  <c r="A386" i="12" s="1"/>
  <c r="C386" i="12" a="1"/>
  <c r="C386" i="12" s="1"/>
  <c r="D386" i="12" s="1"/>
  <c r="K386" i="12" s="1" a="1"/>
  <c r="K386" i="12" s="1"/>
  <c r="A387" i="12" a="1"/>
  <c r="A387" i="12" s="1"/>
  <c r="C387" i="12" a="1"/>
  <c r="C387" i="12" s="1"/>
  <c r="D387" i="12" s="1"/>
  <c r="K387" i="12" s="1" a="1"/>
  <c r="K387" i="12" s="1"/>
  <c r="A388" i="12" a="1"/>
  <c r="A388" i="12" s="1"/>
  <c r="C388" i="12" a="1"/>
  <c r="C388" i="12"/>
  <c r="D388" i="12" s="1"/>
  <c r="K388" i="12" s="1" a="1"/>
  <c r="K388" i="12" s="1"/>
  <c r="A389" i="12" a="1"/>
  <c r="A389" i="12" s="1"/>
  <c r="C389" i="12" a="1"/>
  <c r="C389" i="12" s="1"/>
  <c r="D389" i="12" s="1"/>
  <c r="K389" i="12" s="1" a="1"/>
  <c r="K389" i="12" s="1"/>
  <c r="A390" i="12" a="1"/>
  <c r="A390" i="12" s="1"/>
  <c r="C390" i="12" a="1"/>
  <c r="C390" i="12" s="1"/>
  <c r="D390" i="12" s="1"/>
  <c r="K390" i="12" s="1" a="1"/>
  <c r="K390" i="12" s="1"/>
  <c r="A391" i="12" a="1"/>
  <c r="A391" i="12" s="1"/>
  <c r="C391" i="12" a="1"/>
  <c r="C391" i="12" s="1"/>
  <c r="D391" i="12" s="1"/>
  <c r="K391" i="12" s="1" a="1"/>
  <c r="K391" i="12" s="1"/>
  <c r="A392" i="12" a="1"/>
  <c r="A392" i="12" s="1"/>
  <c r="H392" i="12" s="1"/>
  <c r="I392" i="12" s="1"/>
  <c r="C392" i="12" a="1"/>
  <c r="C392" i="12" s="1"/>
  <c r="D392" i="12" s="1"/>
  <c r="K392" i="12" s="1" a="1"/>
  <c r="K392" i="12" s="1"/>
  <c r="A393" i="12" a="1"/>
  <c r="A393" i="12" s="1"/>
  <c r="B393" i="12" s="1"/>
  <c r="C393" i="12" a="1"/>
  <c r="C393" i="12" s="1"/>
  <c r="D393" i="12" s="1"/>
  <c r="K393" i="12" s="1" a="1"/>
  <c r="K393" i="12" s="1"/>
  <c r="A394" i="12" a="1"/>
  <c r="A394" i="12" s="1"/>
  <c r="F394" i="12" s="1"/>
  <c r="G394" i="12" s="1"/>
  <c r="C394" i="12" a="1"/>
  <c r="C394" i="12"/>
  <c r="D394" i="12" s="1"/>
  <c r="K394" i="12" s="1" a="1"/>
  <c r="K394" i="12" s="1"/>
  <c r="A395" i="12" a="1"/>
  <c r="A395" i="12" s="1"/>
  <c r="F395" i="12" s="1"/>
  <c r="G395" i="12" s="1"/>
  <c r="C395" i="12" a="1"/>
  <c r="C395" i="12" s="1"/>
  <c r="D395" i="12" s="1"/>
  <c r="K395" i="12" s="1" a="1"/>
  <c r="K395" i="12" s="1"/>
  <c r="A396" i="12" a="1"/>
  <c r="A396" i="12" s="1"/>
  <c r="B396" i="12" s="1"/>
  <c r="C396" i="12" a="1"/>
  <c r="C396" i="12" s="1"/>
  <c r="D396" i="12" s="1"/>
  <c r="K396" i="12" s="1" a="1"/>
  <c r="K396" i="12" s="1"/>
  <c r="A397" i="12" a="1"/>
  <c r="A397" i="12" s="1"/>
  <c r="C397" i="12" a="1"/>
  <c r="C397" i="12" s="1"/>
  <c r="D397" i="12" s="1"/>
  <c r="K397" i="12" s="1" a="1"/>
  <c r="K397" i="12" s="1"/>
  <c r="A398" i="12" a="1"/>
  <c r="A398" i="12" s="1"/>
  <c r="B398" i="12" s="1"/>
  <c r="C398" i="12" a="1"/>
  <c r="C398" i="12" s="1"/>
  <c r="D398" i="12" s="1"/>
  <c r="K398" i="12" s="1" a="1"/>
  <c r="K398" i="12" s="1"/>
  <c r="A399" i="12" a="1"/>
  <c r="A399" i="12" s="1"/>
  <c r="B399" i="12" s="1"/>
  <c r="C399" i="12" a="1"/>
  <c r="C399" i="12" s="1"/>
  <c r="D399" i="12" s="1"/>
  <c r="K399" i="12" s="1" a="1"/>
  <c r="K399" i="12" s="1"/>
  <c r="A400" i="12" a="1"/>
  <c r="A400" i="12" s="1"/>
  <c r="H400" i="12" s="1"/>
  <c r="I400" i="12" s="1"/>
  <c r="C400" i="12" a="1"/>
  <c r="C400" i="12" s="1"/>
  <c r="D400" i="12" s="1"/>
  <c r="K400" i="12" s="1" a="1"/>
  <c r="K400" i="12" s="1"/>
  <c r="A401" i="12" a="1"/>
  <c r="A401" i="12" s="1"/>
  <c r="B401" i="12" s="1"/>
  <c r="C401" i="12" a="1"/>
  <c r="C401" i="12" s="1"/>
  <c r="D401" i="12" s="1"/>
  <c r="K401" i="12" s="1" a="1"/>
  <c r="K401" i="12" s="1"/>
  <c r="A402" i="12" a="1"/>
  <c r="A402" i="12" s="1"/>
  <c r="B402" i="12" s="1"/>
  <c r="C402" i="12" a="1"/>
  <c r="C402" i="12" s="1"/>
  <c r="D402" i="12" s="1"/>
  <c r="K402" i="12" s="1" a="1"/>
  <c r="K402" i="12" s="1"/>
  <c r="A403" i="12" a="1"/>
  <c r="A403" i="12" s="1"/>
  <c r="H403" i="12" s="1"/>
  <c r="I403" i="12" s="1"/>
  <c r="C403" i="12" a="1"/>
  <c r="C403" i="12"/>
  <c r="D403" i="12" s="1"/>
  <c r="K403" i="12" s="1" a="1"/>
  <c r="K403" i="12" s="1"/>
  <c r="A404" i="12" a="1"/>
  <c r="A404" i="12" s="1"/>
  <c r="B404" i="12" s="1"/>
  <c r="C404" i="12" a="1"/>
  <c r="C404" i="12" s="1"/>
  <c r="D404" i="12" s="1"/>
  <c r="K404" i="12" s="1" a="1"/>
  <c r="K404" i="12" s="1"/>
  <c r="A405" i="12" a="1"/>
  <c r="A405" i="12" s="1"/>
  <c r="B405" i="12" s="1"/>
  <c r="C405" i="12" a="1"/>
  <c r="C405" i="12" s="1"/>
  <c r="D405" i="12" s="1"/>
  <c r="K405" i="12" s="1" a="1"/>
  <c r="K405" i="12" s="1"/>
  <c r="A406" i="12" a="1"/>
  <c r="A406" i="12" s="1"/>
  <c r="H406" i="12" s="1"/>
  <c r="I406" i="12" s="1"/>
  <c r="C406" i="12" a="1"/>
  <c r="C406" i="12" s="1"/>
  <c r="D406" i="12" s="1"/>
  <c r="K406" i="12" s="1" a="1"/>
  <c r="K406" i="12" s="1"/>
  <c r="A407" i="12" a="1"/>
  <c r="A407" i="12" s="1"/>
  <c r="B407" i="12" s="1"/>
  <c r="C407" i="12" a="1"/>
  <c r="C407" i="12" s="1"/>
  <c r="D407" i="12" s="1"/>
  <c r="K407" i="12" s="1" a="1"/>
  <c r="K407" i="12" s="1"/>
  <c r="A408" i="12" a="1"/>
  <c r="A408" i="12" s="1"/>
  <c r="B408" i="12" s="1"/>
  <c r="C408" i="12" a="1"/>
  <c r="C408" i="12" s="1"/>
  <c r="D408" i="12" s="1"/>
  <c r="K408" i="12" s="1" a="1"/>
  <c r="K408" i="12" s="1"/>
  <c r="A409" i="12" a="1"/>
  <c r="A409" i="12" s="1"/>
  <c r="H409" i="12" s="1"/>
  <c r="I409" i="12" s="1"/>
  <c r="C409" i="12" a="1"/>
  <c r="C409" i="12" s="1"/>
  <c r="D409" i="12" s="1"/>
  <c r="K409" i="12" s="1" a="1"/>
  <c r="K409" i="12" s="1"/>
  <c r="A410" i="12" a="1"/>
  <c r="A410" i="12" s="1"/>
  <c r="B410" i="12" s="1"/>
  <c r="C410" i="12" a="1"/>
  <c r="C410" i="12" s="1"/>
  <c r="D410" i="12" s="1"/>
  <c r="K410" i="12" s="1" a="1"/>
  <c r="K410" i="12" s="1"/>
  <c r="A411" i="12" a="1"/>
  <c r="A411" i="12" s="1"/>
  <c r="B411" i="12" s="1"/>
  <c r="C411" i="12" a="1"/>
  <c r="C411" i="12" s="1"/>
  <c r="D411" i="12" s="1"/>
  <c r="K411" i="12" s="1" a="1"/>
  <c r="K411" i="12" s="1"/>
  <c r="A412" i="12" a="1"/>
  <c r="A412" i="12" s="1"/>
  <c r="H412" i="12" s="1"/>
  <c r="I412" i="12" s="1"/>
  <c r="C412" i="12" a="1"/>
  <c r="C412" i="12" s="1"/>
  <c r="D412" i="12" s="1"/>
  <c r="K412" i="12" s="1" a="1"/>
  <c r="K412" i="12" s="1"/>
  <c r="A413" i="12" a="1"/>
  <c r="A413" i="12" s="1"/>
  <c r="B413" i="12" s="1"/>
  <c r="C413" i="12" a="1"/>
  <c r="C413" i="12" s="1"/>
  <c r="D413" i="12" s="1"/>
  <c r="K413" i="12" s="1" a="1"/>
  <c r="K413" i="12" s="1"/>
  <c r="A414" i="12" a="1"/>
  <c r="A414" i="12" s="1"/>
  <c r="B414" i="12" s="1"/>
  <c r="C414" i="12" a="1"/>
  <c r="C414" i="12" s="1"/>
  <c r="D414" i="12" s="1"/>
  <c r="K414" i="12" s="1" a="1"/>
  <c r="K414" i="12" s="1"/>
  <c r="A415" i="12" a="1"/>
  <c r="A415" i="12" s="1"/>
  <c r="H415" i="12" s="1"/>
  <c r="I415" i="12" s="1"/>
  <c r="C415" i="12" a="1"/>
  <c r="C415" i="12" s="1"/>
  <c r="D415" i="12" s="1"/>
  <c r="K415" i="12" s="1" a="1"/>
  <c r="K415" i="12" s="1"/>
  <c r="A416" i="12" a="1"/>
  <c r="A416" i="12" s="1"/>
  <c r="B416" i="12" s="1"/>
  <c r="C416" i="12" a="1"/>
  <c r="C416" i="12" s="1"/>
  <c r="D416" i="12" s="1"/>
  <c r="K416" i="12" s="1" a="1"/>
  <c r="K416" i="12" s="1"/>
  <c r="A417" i="12" a="1"/>
  <c r="A417" i="12" s="1"/>
  <c r="B417" i="12" s="1"/>
  <c r="C417" i="12" a="1"/>
  <c r="C417" i="12" s="1"/>
  <c r="D417" i="12" s="1"/>
  <c r="K417" i="12" s="1" a="1"/>
  <c r="K417" i="12" s="1"/>
  <c r="A418" i="12" a="1"/>
  <c r="A418" i="12" s="1"/>
  <c r="H418" i="12" s="1"/>
  <c r="I418" i="12" s="1"/>
  <c r="C418" i="12" a="1"/>
  <c r="C418" i="12" s="1"/>
  <c r="D418" i="12" s="1"/>
  <c r="K418" i="12" s="1" a="1"/>
  <c r="K418" i="12" s="1"/>
  <c r="A419" i="12" a="1"/>
  <c r="A419" i="12" s="1"/>
  <c r="B419" i="12" s="1"/>
  <c r="C419" i="12" a="1"/>
  <c r="C419" i="12" s="1"/>
  <c r="D419" i="12" s="1"/>
  <c r="K419" i="12" s="1" a="1"/>
  <c r="K419" i="12" s="1"/>
  <c r="A420" i="12" a="1"/>
  <c r="A420" i="12" s="1"/>
  <c r="B420" i="12" s="1"/>
  <c r="C420" i="12" a="1"/>
  <c r="C420" i="12" s="1"/>
  <c r="D420" i="12" s="1"/>
  <c r="K420" i="12" s="1" a="1"/>
  <c r="K420" i="12" s="1"/>
  <c r="A421" i="12" a="1"/>
  <c r="A421" i="12" s="1"/>
  <c r="H421" i="12" s="1"/>
  <c r="I421" i="12" s="1"/>
  <c r="C421" i="12" a="1"/>
  <c r="C421" i="12" s="1"/>
  <c r="D421" i="12" s="1"/>
  <c r="K421" i="12" s="1" a="1"/>
  <c r="K421" i="12" s="1"/>
  <c r="A422" i="12" a="1"/>
  <c r="A422" i="12" s="1"/>
  <c r="B422" i="12" s="1"/>
  <c r="C422" i="12" a="1"/>
  <c r="C422" i="12" s="1"/>
  <c r="D422" i="12" s="1"/>
  <c r="K422" i="12" s="1" a="1"/>
  <c r="K422" i="12" s="1"/>
  <c r="A423" i="12" a="1"/>
  <c r="A423" i="12" s="1"/>
  <c r="B423" i="12" s="1"/>
  <c r="C423" i="12" a="1"/>
  <c r="C423" i="12"/>
  <c r="D423" i="12" s="1"/>
  <c r="K423" i="12" s="1" a="1"/>
  <c r="K423" i="12" s="1"/>
  <c r="A424" i="12" a="1"/>
  <c r="A424" i="12" s="1"/>
  <c r="H424" i="12" s="1"/>
  <c r="I424" i="12" s="1"/>
  <c r="C424" i="12" a="1"/>
  <c r="C424" i="12" s="1"/>
  <c r="D424" i="12" s="1"/>
  <c r="K424" i="12" s="1" a="1"/>
  <c r="K424" i="12" s="1"/>
  <c r="A425" i="12" a="1"/>
  <c r="A425" i="12" s="1"/>
  <c r="B425" i="12" s="1"/>
  <c r="C425" i="12" a="1"/>
  <c r="C425" i="12"/>
  <c r="D425" i="12" s="1"/>
  <c r="K425" i="12" s="1" a="1"/>
  <c r="K425" i="12" s="1"/>
  <c r="A426" i="12" a="1"/>
  <c r="A426" i="12" s="1"/>
  <c r="B426" i="12" s="1"/>
  <c r="C426" i="12" a="1"/>
  <c r="C426" i="12" s="1"/>
  <c r="D426" i="12" s="1"/>
  <c r="K426" i="12" s="1" a="1"/>
  <c r="K426" i="12" s="1"/>
  <c r="A427" i="12" a="1"/>
  <c r="A427" i="12" s="1"/>
  <c r="H427" i="12" s="1"/>
  <c r="I427" i="12" s="1"/>
  <c r="C427" i="12" a="1"/>
  <c r="C427" i="12"/>
  <c r="D427" i="12" s="1"/>
  <c r="K427" i="12" s="1" a="1"/>
  <c r="K427" i="12" s="1"/>
  <c r="A428" i="12" a="1"/>
  <c r="A428" i="12" s="1"/>
  <c r="B428" i="12" s="1"/>
  <c r="C428" i="12" a="1"/>
  <c r="C428" i="12" s="1"/>
  <c r="D428" i="12" s="1"/>
  <c r="K428" i="12" s="1" a="1"/>
  <c r="K428" i="12" s="1"/>
  <c r="A429" i="12" a="1"/>
  <c r="A429" i="12" s="1"/>
  <c r="B429" i="12" s="1"/>
  <c r="C429" i="12" a="1"/>
  <c r="C429" i="12"/>
  <c r="D429" i="12" s="1"/>
  <c r="K429" i="12" s="1" a="1"/>
  <c r="K429" i="12" s="1"/>
  <c r="A430" i="12" a="1"/>
  <c r="A430" i="12" s="1"/>
  <c r="H430" i="12" s="1"/>
  <c r="I430" i="12" s="1"/>
  <c r="C430" i="12" a="1"/>
  <c r="C430" i="12" s="1"/>
  <c r="D430" i="12" s="1"/>
  <c r="K430" i="12" s="1" a="1"/>
  <c r="K430" i="12" s="1"/>
  <c r="A431" i="12" a="1"/>
  <c r="A431" i="12" s="1"/>
  <c r="B431" i="12" s="1"/>
  <c r="C431" i="12" a="1"/>
  <c r="C431" i="12"/>
  <c r="D431" i="12" s="1"/>
  <c r="K431" i="12" s="1" a="1"/>
  <c r="K431" i="12" s="1"/>
  <c r="A432" i="12" a="1"/>
  <c r="A432" i="12" s="1"/>
  <c r="B432" i="12" s="1"/>
  <c r="C432" i="12" a="1"/>
  <c r="C432" i="12" s="1"/>
  <c r="D432" i="12" s="1"/>
  <c r="K432" i="12" s="1" a="1"/>
  <c r="K432" i="12" s="1"/>
  <c r="A433" i="12" a="1"/>
  <c r="A433" i="12" s="1"/>
  <c r="H433" i="12" s="1"/>
  <c r="I433" i="12" s="1"/>
  <c r="C433" i="12" a="1"/>
  <c r="C433" i="12"/>
  <c r="D433" i="12" s="1"/>
  <c r="K433" i="12" s="1" a="1"/>
  <c r="K433" i="12" s="1"/>
  <c r="A434" i="12" a="1"/>
  <c r="A434" i="12" s="1"/>
  <c r="B434" i="12" s="1"/>
  <c r="C434" i="12" a="1"/>
  <c r="C434" i="12" s="1"/>
  <c r="D434" i="12" s="1"/>
  <c r="K434" i="12" s="1" a="1"/>
  <c r="K434" i="12" s="1"/>
  <c r="A435" i="12" a="1"/>
  <c r="A435" i="12" s="1"/>
  <c r="B435" i="12" s="1"/>
  <c r="C435" i="12" a="1"/>
  <c r="C435" i="12"/>
  <c r="D435" i="12" s="1"/>
  <c r="K435" i="12" s="1" a="1"/>
  <c r="K435" i="12" s="1"/>
  <c r="A436" i="12" a="1"/>
  <c r="A436" i="12" s="1"/>
  <c r="H436" i="12" s="1"/>
  <c r="I436" i="12" s="1"/>
  <c r="C436" i="12" a="1"/>
  <c r="C436" i="12" s="1"/>
  <c r="D436" i="12" s="1"/>
  <c r="K436" i="12" s="1" a="1"/>
  <c r="K436" i="12" s="1"/>
  <c r="A437" i="12" a="1"/>
  <c r="A437" i="12" s="1"/>
  <c r="B437" i="12" s="1"/>
  <c r="C437" i="12" a="1"/>
  <c r="C437" i="12"/>
  <c r="D437" i="12" s="1"/>
  <c r="K437" i="12" s="1" a="1"/>
  <c r="K437" i="12" s="1"/>
  <c r="A438" i="12" a="1"/>
  <c r="A438" i="12" s="1"/>
  <c r="B438" i="12" s="1"/>
  <c r="C438" i="12" a="1"/>
  <c r="C438" i="12" s="1"/>
  <c r="D438" i="12" s="1"/>
  <c r="K438" i="12" s="1" a="1"/>
  <c r="K438" i="12" s="1"/>
  <c r="A439" i="12" a="1"/>
  <c r="A439" i="12" s="1"/>
  <c r="H439" i="12" s="1"/>
  <c r="I439" i="12" s="1"/>
  <c r="C439" i="12" a="1"/>
  <c r="C439" i="12"/>
  <c r="D439" i="12" s="1"/>
  <c r="K439" i="12" s="1" a="1"/>
  <c r="K439" i="12" s="1"/>
  <c r="A440" i="12" a="1"/>
  <c r="A440" i="12" s="1"/>
  <c r="B440" i="12" s="1"/>
  <c r="C440" i="12" a="1"/>
  <c r="C440" i="12" s="1"/>
  <c r="D440" i="12" s="1"/>
  <c r="K440" i="12" s="1" a="1"/>
  <c r="K440" i="12" s="1"/>
  <c r="A441" i="12" a="1"/>
  <c r="A441" i="12" s="1"/>
  <c r="B441" i="12" s="1"/>
  <c r="C441" i="12" a="1"/>
  <c r="C441" i="12"/>
  <c r="D441" i="12" s="1"/>
  <c r="K441" i="12" s="1" a="1"/>
  <c r="K441" i="12" s="1"/>
  <c r="A442" i="12" a="1"/>
  <c r="A442" i="12" s="1"/>
  <c r="H442" i="12" s="1"/>
  <c r="I442" i="12" s="1"/>
  <c r="C442" i="12" a="1"/>
  <c r="C442" i="12" s="1"/>
  <c r="D442" i="12" s="1"/>
  <c r="K442" i="12" s="1" a="1"/>
  <c r="K442" i="12" s="1"/>
  <c r="A362" i="12" a="1"/>
  <c r="A362" i="12" s="1"/>
  <c r="C362" i="12" a="1"/>
  <c r="C362" i="12" s="1"/>
  <c r="D362" i="12" s="1"/>
  <c r="K362" i="12" s="1" a="1"/>
  <c r="K362" i="12" s="1"/>
  <c r="A363" i="12" a="1"/>
  <c r="A363" i="12" s="1"/>
  <c r="C363" i="12" a="1"/>
  <c r="C363" i="12" s="1"/>
  <c r="D363" i="12" s="1"/>
  <c r="K363" i="12" s="1" a="1"/>
  <c r="K363" i="12" s="1"/>
  <c r="A364" i="12" a="1"/>
  <c r="A364" i="12" s="1"/>
  <c r="C364" i="12" a="1"/>
  <c r="C364" i="12" s="1"/>
  <c r="D364" i="12" s="1"/>
  <c r="K364" i="12" s="1" a="1"/>
  <c r="K364" i="12" s="1"/>
  <c r="A365" i="12" a="1"/>
  <c r="A365" i="12" s="1"/>
  <c r="C365" i="12" a="1"/>
  <c r="C365" i="12" s="1"/>
  <c r="D365" i="12" s="1"/>
  <c r="K365" i="12" s="1" a="1"/>
  <c r="K365" i="12" s="1"/>
  <c r="A366" i="12" a="1"/>
  <c r="A366" i="12" s="1"/>
  <c r="C366" i="12" a="1"/>
  <c r="C366" i="12" s="1"/>
  <c r="D366" i="12" s="1"/>
  <c r="K366" i="12" s="1" a="1"/>
  <c r="K366" i="12" s="1"/>
  <c r="A367" i="12" a="1"/>
  <c r="A367" i="12" s="1"/>
  <c r="C367" i="12" a="1"/>
  <c r="C367" i="12" s="1"/>
  <c r="D367" i="12" s="1"/>
  <c r="K367" i="12" s="1" a="1"/>
  <c r="K367" i="12" s="1"/>
  <c r="A368" i="12" a="1"/>
  <c r="A368" i="12" s="1"/>
  <c r="C368" i="12" a="1"/>
  <c r="C368" i="12" s="1"/>
  <c r="D368" i="12" s="1"/>
  <c r="K368" i="12" s="1" a="1"/>
  <c r="K368" i="12" s="1"/>
  <c r="A369" i="12" a="1"/>
  <c r="A369" i="12" s="1"/>
  <c r="C369" i="12" a="1"/>
  <c r="C369" i="12" s="1"/>
  <c r="D369" i="12" s="1"/>
  <c r="K369" i="12" s="1" a="1"/>
  <c r="K369" i="12" s="1"/>
  <c r="A370" i="12" a="1"/>
  <c r="A370" i="12" s="1"/>
  <c r="C370" i="12" a="1"/>
  <c r="C370" i="12" s="1"/>
  <c r="D370" i="12" s="1"/>
  <c r="K370" i="12" s="1" a="1"/>
  <c r="K370" i="12" s="1"/>
  <c r="A308" i="12" a="1"/>
  <c r="A308" i="12" s="1"/>
  <c r="C308" i="12" a="1"/>
  <c r="C308" i="12" s="1"/>
  <c r="D308" i="12" s="1"/>
  <c r="K308" i="12" s="1" a="1"/>
  <c r="K308" i="12" s="1"/>
  <c r="A309" i="12" a="1"/>
  <c r="A309" i="12" s="1"/>
  <c r="C309" i="12" a="1"/>
  <c r="C309" i="12" s="1"/>
  <c r="D309" i="12" s="1"/>
  <c r="K309" i="12" s="1" a="1"/>
  <c r="K309" i="12" s="1"/>
  <c r="A310" i="12" a="1"/>
  <c r="A310" i="12" s="1"/>
  <c r="C310" i="12" a="1"/>
  <c r="C310" i="12" s="1"/>
  <c r="D310" i="12" s="1"/>
  <c r="K310" i="12" s="1" a="1"/>
  <c r="K310" i="12" s="1"/>
  <c r="A311" i="12" a="1"/>
  <c r="A311" i="12" s="1"/>
  <c r="C311" i="12" a="1"/>
  <c r="C311" i="12" s="1"/>
  <c r="D311" i="12" s="1"/>
  <c r="K311" i="12" s="1" a="1"/>
  <c r="K311" i="12" s="1"/>
  <c r="A312" i="12" a="1"/>
  <c r="A312" i="12" s="1"/>
  <c r="C312" i="12" a="1"/>
  <c r="C312" i="12" s="1"/>
  <c r="D312" i="12" s="1"/>
  <c r="K312" i="12" s="1" a="1"/>
  <c r="K312" i="12" s="1"/>
  <c r="A313" i="12" a="1"/>
  <c r="A313" i="12" s="1"/>
  <c r="C313" i="12" a="1"/>
  <c r="C313" i="12" s="1"/>
  <c r="D313" i="12" s="1"/>
  <c r="K313" i="12" s="1" a="1"/>
  <c r="K313" i="12" s="1"/>
  <c r="A314" i="12" a="1"/>
  <c r="A314" i="12" s="1"/>
  <c r="C314" i="12" a="1"/>
  <c r="C314" i="12" s="1"/>
  <c r="D314" i="12" s="1"/>
  <c r="K314" i="12" s="1" a="1"/>
  <c r="K314" i="12" s="1"/>
  <c r="A315" i="12" a="1"/>
  <c r="A315" i="12" s="1"/>
  <c r="C315" i="12" a="1"/>
  <c r="C315" i="12" s="1"/>
  <c r="D315" i="12" s="1"/>
  <c r="K315" i="12" s="1" a="1"/>
  <c r="K315" i="12" s="1"/>
  <c r="A316" i="12" a="1"/>
  <c r="A316" i="12" s="1"/>
  <c r="C316" i="12" a="1"/>
  <c r="C316" i="12" s="1"/>
  <c r="D316" i="12" s="1"/>
  <c r="K316" i="12" s="1" a="1"/>
  <c r="K316" i="12" s="1"/>
  <c r="A317" i="12" a="1"/>
  <c r="A317" i="12" s="1"/>
  <c r="C317" i="12" a="1"/>
  <c r="C317" i="12" s="1"/>
  <c r="D317" i="12" s="1"/>
  <c r="K317" i="12" s="1" a="1"/>
  <c r="K317" i="12" s="1"/>
  <c r="A318" i="12" a="1"/>
  <c r="A318" i="12" s="1"/>
  <c r="C318" i="12" a="1"/>
  <c r="C318" i="12" s="1"/>
  <c r="D318" i="12" s="1"/>
  <c r="K318" i="12" s="1" a="1"/>
  <c r="K318" i="12" s="1"/>
  <c r="A319" i="12" a="1"/>
  <c r="A319" i="12" s="1"/>
  <c r="C319" i="12" a="1"/>
  <c r="C319" i="12" s="1"/>
  <c r="D319" i="12" s="1"/>
  <c r="K319" i="12" s="1" a="1"/>
  <c r="K319" i="12" s="1"/>
  <c r="A320" i="12" a="1"/>
  <c r="A320" i="12" s="1"/>
  <c r="C320" i="12" a="1"/>
  <c r="C320" i="12" s="1"/>
  <c r="D320" i="12" s="1"/>
  <c r="K320" i="12" s="1" a="1"/>
  <c r="K320" i="12" s="1"/>
  <c r="A321" i="12" a="1"/>
  <c r="A321" i="12" s="1"/>
  <c r="C321" i="12" a="1"/>
  <c r="C321" i="12" s="1"/>
  <c r="D321" i="12" s="1"/>
  <c r="K321" i="12" s="1" a="1"/>
  <c r="K321" i="12" s="1"/>
  <c r="A322" i="12" a="1"/>
  <c r="A322" i="12" s="1"/>
  <c r="C322" i="12" a="1"/>
  <c r="C322" i="12" s="1"/>
  <c r="D322" i="12" s="1"/>
  <c r="K322" i="12" s="1" a="1"/>
  <c r="K322" i="12" s="1"/>
  <c r="A323" i="12" a="1"/>
  <c r="A323" i="12" s="1"/>
  <c r="C323" i="12" a="1"/>
  <c r="C323" i="12" s="1"/>
  <c r="D323" i="12" s="1"/>
  <c r="K323" i="12" s="1" a="1"/>
  <c r="K323" i="12" s="1"/>
  <c r="A324" i="12" a="1"/>
  <c r="A324" i="12" s="1"/>
  <c r="C324" i="12" a="1"/>
  <c r="C324" i="12" s="1"/>
  <c r="D324" i="12" s="1"/>
  <c r="K324" i="12" s="1" a="1"/>
  <c r="K324" i="12" s="1"/>
  <c r="A325" i="12" a="1"/>
  <c r="A325" i="12" s="1"/>
  <c r="C325" i="12" a="1"/>
  <c r="C325" i="12" s="1"/>
  <c r="D325" i="12" s="1"/>
  <c r="K325" i="12" s="1" a="1"/>
  <c r="K325" i="12" s="1"/>
  <c r="A326" i="12" a="1"/>
  <c r="A326" i="12" s="1"/>
  <c r="C326" i="12" a="1"/>
  <c r="C326" i="12" s="1"/>
  <c r="D326" i="12" s="1"/>
  <c r="K326" i="12" s="1" a="1"/>
  <c r="K326" i="12" s="1"/>
  <c r="A327" i="12" a="1"/>
  <c r="A327" i="12" s="1"/>
  <c r="C327" i="12" a="1"/>
  <c r="C327" i="12" s="1"/>
  <c r="D327" i="12" s="1"/>
  <c r="K327" i="12" s="1" a="1"/>
  <c r="K327" i="12" s="1"/>
  <c r="A328" i="12" a="1"/>
  <c r="A328" i="12" s="1"/>
  <c r="C328" i="12" a="1"/>
  <c r="C328" i="12" s="1"/>
  <c r="D328" i="12" s="1"/>
  <c r="K328" i="12" s="1" a="1"/>
  <c r="K328" i="12" s="1"/>
  <c r="A329" i="12" a="1"/>
  <c r="A329" i="12" s="1"/>
  <c r="C329" i="12" a="1"/>
  <c r="C329" i="12" s="1"/>
  <c r="D329" i="12" s="1"/>
  <c r="K329" i="12" s="1" a="1"/>
  <c r="K329" i="12" s="1"/>
  <c r="A330" i="12" a="1"/>
  <c r="A330" i="12" s="1"/>
  <c r="C330" i="12" a="1"/>
  <c r="C330" i="12" s="1"/>
  <c r="D330" i="12" s="1"/>
  <c r="K330" i="12" s="1" a="1"/>
  <c r="K330" i="12" s="1"/>
  <c r="A331" i="12" a="1"/>
  <c r="A331" i="12" s="1"/>
  <c r="C331" i="12" a="1"/>
  <c r="C331" i="12" s="1"/>
  <c r="D331" i="12" s="1"/>
  <c r="K331" i="12" s="1" a="1"/>
  <c r="K331" i="12" s="1"/>
  <c r="A332" i="12" a="1"/>
  <c r="A332" i="12" s="1"/>
  <c r="C332" i="12" a="1"/>
  <c r="C332" i="12" s="1"/>
  <c r="D332" i="12" s="1"/>
  <c r="K332" i="12" s="1" a="1"/>
  <c r="K332" i="12" s="1"/>
  <c r="A333" i="12" a="1"/>
  <c r="A333" i="12" s="1"/>
  <c r="C333" i="12" a="1"/>
  <c r="C333" i="12" s="1"/>
  <c r="D333" i="12" s="1"/>
  <c r="K333" i="12" s="1" a="1"/>
  <c r="K333" i="12" s="1"/>
  <c r="A334" i="12" a="1"/>
  <c r="A334" i="12" s="1"/>
  <c r="C334" i="12" a="1"/>
  <c r="C334" i="12" s="1"/>
  <c r="D334" i="12" s="1"/>
  <c r="K334" i="12" s="1" a="1"/>
  <c r="K334" i="12" s="1"/>
  <c r="A335" i="12" a="1"/>
  <c r="A335" i="12" s="1"/>
  <c r="C335" i="12" a="1"/>
  <c r="C335" i="12" s="1"/>
  <c r="D335" i="12" s="1"/>
  <c r="K335" i="12" s="1" a="1"/>
  <c r="K335" i="12" s="1"/>
  <c r="A336" i="12" a="1"/>
  <c r="A336" i="12" s="1"/>
  <c r="C336" i="12" a="1"/>
  <c r="C336" i="12" s="1"/>
  <c r="D336" i="12" s="1"/>
  <c r="K336" i="12" s="1" a="1"/>
  <c r="K336" i="12" s="1"/>
  <c r="A337" i="12" a="1"/>
  <c r="A337" i="12" s="1"/>
  <c r="C337" i="12" a="1"/>
  <c r="C337" i="12" s="1"/>
  <c r="D337" i="12" s="1"/>
  <c r="K337" i="12" s="1" a="1"/>
  <c r="K337" i="12" s="1"/>
  <c r="A338" i="12" a="1"/>
  <c r="A338" i="12" s="1"/>
  <c r="C338" i="12" a="1"/>
  <c r="C338" i="12" s="1"/>
  <c r="D338" i="12" s="1"/>
  <c r="K338" i="12" s="1" a="1"/>
  <c r="K338" i="12" s="1"/>
  <c r="A339" i="12" a="1"/>
  <c r="A339" i="12" s="1"/>
  <c r="C339" i="12" a="1"/>
  <c r="C339" i="12" s="1"/>
  <c r="D339" i="12" s="1"/>
  <c r="K339" i="12" s="1" a="1"/>
  <c r="K339" i="12" s="1"/>
  <c r="A340" i="12" a="1"/>
  <c r="A340" i="12" s="1"/>
  <c r="C340" i="12" a="1"/>
  <c r="C340" i="12" s="1"/>
  <c r="D340" i="12" s="1"/>
  <c r="K340" i="12" s="1" a="1"/>
  <c r="K340" i="12" s="1"/>
  <c r="A341" i="12" a="1"/>
  <c r="A341" i="12" s="1"/>
  <c r="C341" i="12" a="1"/>
  <c r="C341" i="12" s="1"/>
  <c r="D341" i="12" s="1"/>
  <c r="K341" i="12" s="1" a="1"/>
  <c r="K341" i="12" s="1"/>
  <c r="A342" i="12" a="1"/>
  <c r="A342" i="12" s="1"/>
  <c r="C342" i="12" a="1"/>
  <c r="C342" i="12" s="1"/>
  <c r="D342" i="12" s="1"/>
  <c r="K342" i="12" s="1" a="1"/>
  <c r="K342" i="12" s="1"/>
  <c r="A343" i="12" a="1"/>
  <c r="A343" i="12" s="1"/>
  <c r="C343" i="12" a="1"/>
  <c r="C343" i="12" s="1"/>
  <c r="D343" i="12" s="1"/>
  <c r="K343" i="12" s="1" a="1"/>
  <c r="K343" i="12" s="1"/>
  <c r="A344" i="12" a="1"/>
  <c r="A344" i="12" s="1"/>
  <c r="C344" i="12" a="1"/>
  <c r="C344" i="12" s="1"/>
  <c r="D344" i="12" s="1"/>
  <c r="K344" i="12" s="1" a="1"/>
  <c r="K344" i="12" s="1"/>
  <c r="A345" i="12" a="1"/>
  <c r="A345" i="12" s="1"/>
  <c r="C345" i="12" a="1"/>
  <c r="C345" i="12" s="1"/>
  <c r="D345" i="12" s="1"/>
  <c r="K345" i="12" s="1" a="1"/>
  <c r="K345" i="12" s="1"/>
  <c r="A346" i="12" a="1"/>
  <c r="A346" i="12" s="1"/>
  <c r="C346" i="12" a="1"/>
  <c r="C346" i="12" s="1"/>
  <c r="D346" i="12" s="1"/>
  <c r="K346" i="12" s="1" a="1"/>
  <c r="K346" i="12" s="1"/>
  <c r="A347" i="12" a="1"/>
  <c r="A347" i="12" s="1"/>
  <c r="C347" i="12" a="1"/>
  <c r="C347" i="12" s="1"/>
  <c r="D347" i="12" s="1"/>
  <c r="K347" i="12" s="1" a="1"/>
  <c r="K347" i="12" s="1"/>
  <c r="A348" i="12" a="1"/>
  <c r="A348" i="12" s="1"/>
  <c r="C348" i="12" a="1"/>
  <c r="C348" i="12" s="1"/>
  <c r="D348" i="12" s="1"/>
  <c r="K348" i="12" s="1" a="1"/>
  <c r="K348" i="12" s="1"/>
  <c r="A349" i="12" a="1"/>
  <c r="A349" i="12" s="1"/>
  <c r="C349" i="12" a="1"/>
  <c r="C349" i="12" s="1"/>
  <c r="D349" i="12" s="1"/>
  <c r="K349" i="12" s="1" a="1"/>
  <c r="K349" i="12" s="1"/>
  <c r="A350" i="12" a="1"/>
  <c r="A350" i="12" s="1"/>
  <c r="C350" i="12" a="1"/>
  <c r="C350" i="12" s="1"/>
  <c r="D350" i="12" s="1"/>
  <c r="K350" i="12" s="1" a="1"/>
  <c r="K350" i="12" s="1"/>
  <c r="A351" i="12" a="1"/>
  <c r="A351" i="12" s="1"/>
  <c r="C351" i="12" a="1"/>
  <c r="C351" i="12" s="1"/>
  <c r="D351" i="12" s="1"/>
  <c r="K351" i="12" s="1" a="1"/>
  <c r="K351" i="12" s="1"/>
  <c r="A352" i="12" a="1"/>
  <c r="A352" i="12" s="1"/>
  <c r="C352" i="12" a="1"/>
  <c r="C352" i="12" s="1"/>
  <c r="D352" i="12" s="1"/>
  <c r="K352" i="12" s="1" a="1"/>
  <c r="K352" i="12" s="1"/>
  <c r="A353" i="12" a="1"/>
  <c r="A353" i="12" s="1"/>
  <c r="C353" i="12" a="1"/>
  <c r="C353" i="12" s="1"/>
  <c r="D353" i="12" s="1"/>
  <c r="K353" i="12" s="1" a="1"/>
  <c r="K353" i="12" s="1"/>
  <c r="A354" i="12" a="1"/>
  <c r="A354" i="12" s="1"/>
  <c r="C354" i="12" a="1"/>
  <c r="C354" i="12" s="1"/>
  <c r="D354" i="12" s="1"/>
  <c r="K354" i="12" s="1" a="1"/>
  <c r="K354" i="12" s="1"/>
  <c r="A355" i="12" a="1"/>
  <c r="A355" i="12" s="1"/>
  <c r="C355" i="12" a="1"/>
  <c r="C355" i="12" s="1"/>
  <c r="D355" i="12" s="1"/>
  <c r="K355" i="12" s="1" a="1"/>
  <c r="K355" i="12" s="1"/>
  <c r="A356" i="12" a="1"/>
  <c r="A356" i="12" s="1"/>
  <c r="C356" i="12" a="1"/>
  <c r="C356" i="12" s="1"/>
  <c r="D356" i="12" s="1"/>
  <c r="K356" i="12" s="1" a="1"/>
  <c r="K356" i="12" s="1"/>
  <c r="A357" i="12" a="1"/>
  <c r="A357" i="12" s="1"/>
  <c r="C357" i="12" a="1"/>
  <c r="C357" i="12" s="1"/>
  <c r="D357" i="12" s="1"/>
  <c r="K357" i="12" s="1" a="1"/>
  <c r="K357" i="12" s="1"/>
  <c r="A358" i="12" a="1"/>
  <c r="A358" i="12" s="1"/>
  <c r="C358" i="12" a="1"/>
  <c r="C358" i="12" s="1"/>
  <c r="D358" i="12" s="1"/>
  <c r="K358" i="12" s="1" a="1"/>
  <c r="K358" i="12" s="1"/>
  <c r="A359" i="12" a="1"/>
  <c r="A359" i="12" s="1"/>
  <c r="C359" i="12" a="1"/>
  <c r="C359" i="12" s="1"/>
  <c r="D359" i="12" s="1"/>
  <c r="K359" i="12" s="1" a="1"/>
  <c r="K359" i="12" s="1"/>
  <c r="A360" i="12" a="1"/>
  <c r="A360" i="12" s="1"/>
  <c r="C360" i="12" a="1"/>
  <c r="C360" i="12" s="1"/>
  <c r="D360" i="12" s="1"/>
  <c r="K360" i="12" s="1" a="1"/>
  <c r="K360" i="12" s="1"/>
  <c r="A361" i="12" a="1"/>
  <c r="A361" i="12" s="1"/>
  <c r="C361" i="12" a="1"/>
  <c r="C361" i="12" s="1"/>
  <c r="D361" i="12" s="1"/>
  <c r="K361" i="12" s="1" a="1"/>
  <c r="K361" i="12" s="1"/>
  <c r="A263" i="12" a="1"/>
  <c r="A263" i="12" s="1"/>
  <c r="C263" i="12" a="1"/>
  <c r="C263" i="12" s="1"/>
  <c r="D263" i="12" s="1"/>
  <c r="K263" i="12" s="1" a="1"/>
  <c r="K263" i="12" s="1"/>
  <c r="A264" i="12" a="1"/>
  <c r="A264" i="12" s="1"/>
  <c r="C264" i="12" a="1"/>
  <c r="C264" i="12" s="1"/>
  <c r="D264" i="12" s="1"/>
  <c r="K264" i="12" s="1" a="1"/>
  <c r="K264" i="12" s="1"/>
  <c r="A265" i="12" a="1"/>
  <c r="A265" i="12" s="1"/>
  <c r="C265" i="12" a="1"/>
  <c r="C265" i="12" s="1"/>
  <c r="D265" i="12" s="1"/>
  <c r="K265" i="12" s="1" a="1"/>
  <c r="K265" i="12" s="1"/>
  <c r="A266" i="12" a="1"/>
  <c r="A266" i="12" s="1"/>
  <c r="C266" i="12" a="1"/>
  <c r="C266" i="12" s="1"/>
  <c r="D266" i="12" s="1"/>
  <c r="K266" i="12" s="1" a="1"/>
  <c r="K266" i="12" s="1"/>
  <c r="A267" i="12" a="1"/>
  <c r="A267" i="12" s="1"/>
  <c r="C267" i="12" a="1"/>
  <c r="C267" i="12" s="1"/>
  <c r="D267" i="12" s="1"/>
  <c r="K267" i="12" s="1" a="1"/>
  <c r="K267" i="12" s="1"/>
  <c r="A268" i="12" a="1"/>
  <c r="A268" i="12" s="1"/>
  <c r="C268" i="12" a="1"/>
  <c r="C268" i="12" s="1"/>
  <c r="D268" i="12" s="1"/>
  <c r="K268" i="12" s="1" a="1"/>
  <c r="K268" i="12" s="1"/>
  <c r="A269" i="12" a="1"/>
  <c r="A269" i="12" s="1"/>
  <c r="C269" i="12" a="1"/>
  <c r="C269" i="12" s="1"/>
  <c r="D269" i="12" s="1"/>
  <c r="K269" i="12" s="1" a="1"/>
  <c r="K269" i="12" s="1"/>
  <c r="A270" i="12" a="1"/>
  <c r="A270" i="12" s="1"/>
  <c r="C270" i="12" a="1"/>
  <c r="C270" i="12" s="1"/>
  <c r="D270" i="12" s="1"/>
  <c r="K270" i="12" s="1" a="1"/>
  <c r="K270" i="12" s="1"/>
  <c r="A271" i="12" a="1"/>
  <c r="A271" i="12" s="1"/>
  <c r="C271" i="12" a="1"/>
  <c r="C271" i="12" s="1"/>
  <c r="D271" i="12" s="1"/>
  <c r="K271" i="12" s="1" a="1"/>
  <c r="K271" i="12" s="1"/>
  <c r="A272" i="12" a="1"/>
  <c r="A272" i="12" s="1"/>
  <c r="C272" i="12" a="1"/>
  <c r="C272" i="12" s="1"/>
  <c r="D272" i="12" s="1"/>
  <c r="K272" i="12" s="1" a="1"/>
  <c r="K272" i="12" s="1"/>
  <c r="A273" i="12" a="1"/>
  <c r="A273" i="12" s="1"/>
  <c r="C273" i="12" a="1"/>
  <c r="C273" i="12" s="1"/>
  <c r="D273" i="12" s="1"/>
  <c r="K273" i="12" s="1" a="1"/>
  <c r="K273" i="12" s="1"/>
  <c r="A274" i="12" a="1"/>
  <c r="A274" i="12" s="1"/>
  <c r="C274" i="12" a="1"/>
  <c r="C274" i="12"/>
  <c r="D274" i="12" s="1"/>
  <c r="K274" i="12" s="1" a="1"/>
  <c r="K274" i="12" s="1"/>
  <c r="A275" i="12" a="1"/>
  <c r="A275" i="12" s="1"/>
  <c r="C275" i="12" a="1"/>
  <c r="C275" i="12" s="1"/>
  <c r="D275" i="12" s="1"/>
  <c r="K275" i="12" s="1" a="1"/>
  <c r="K275" i="12" s="1"/>
  <c r="A276" i="12" a="1"/>
  <c r="A276" i="12" s="1"/>
  <c r="C276" i="12" a="1"/>
  <c r="C276" i="12"/>
  <c r="D276" i="12" s="1"/>
  <c r="K276" i="12" s="1" a="1"/>
  <c r="K276" i="12" s="1"/>
  <c r="A277" i="12" a="1"/>
  <c r="A277" i="12" s="1"/>
  <c r="C277" i="12" a="1"/>
  <c r="C277" i="12" s="1"/>
  <c r="D277" i="12" s="1"/>
  <c r="K277" i="12" s="1" a="1"/>
  <c r="K277" i="12" s="1"/>
  <c r="A278" i="12" a="1"/>
  <c r="A278" i="12" s="1"/>
  <c r="C278" i="12" a="1"/>
  <c r="C278" i="12" s="1"/>
  <c r="D278" i="12" s="1"/>
  <c r="K278" i="12" s="1" a="1"/>
  <c r="K278" i="12" s="1"/>
  <c r="A279" i="12" a="1"/>
  <c r="A279" i="12" s="1"/>
  <c r="C279" i="12" a="1"/>
  <c r="C279" i="12" s="1"/>
  <c r="D279" i="12" s="1"/>
  <c r="K279" i="12" s="1" a="1"/>
  <c r="K279" i="12" s="1"/>
  <c r="A280" i="12" a="1"/>
  <c r="A280" i="12" s="1"/>
  <c r="C280" i="12" a="1"/>
  <c r="C280" i="12" s="1"/>
  <c r="D280" i="12" s="1"/>
  <c r="K280" i="12" s="1" a="1"/>
  <c r="K280" i="12" s="1"/>
  <c r="A281" i="12" a="1"/>
  <c r="A281" i="12" s="1"/>
  <c r="C281" i="12" a="1"/>
  <c r="C281" i="12" s="1"/>
  <c r="D281" i="12" s="1"/>
  <c r="K281" i="12" s="1" a="1"/>
  <c r="K281" i="12" s="1"/>
  <c r="A282" i="12" a="1"/>
  <c r="A282" i="12" s="1"/>
  <c r="C282" i="12" a="1"/>
  <c r="C282" i="12" s="1"/>
  <c r="D282" i="12" s="1"/>
  <c r="K282" i="12" s="1" a="1"/>
  <c r="K282" i="12" s="1"/>
  <c r="A283" i="12" a="1"/>
  <c r="A283" i="12" s="1"/>
  <c r="C283" i="12" a="1"/>
  <c r="C283" i="12" s="1"/>
  <c r="D283" i="12" s="1"/>
  <c r="K283" i="12" s="1" a="1"/>
  <c r="K283" i="12" s="1"/>
  <c r="A284" i="12" a="1"/>
  <c r="A284" i="12" s="1"/>
  <c r="C284" i="12" a="1"/>
  <c r="C284" i="12" s="1"/>
  <c r="D284" i="12" s="1"/>
  <c r="K284" i="12" s="1" a="1"/>
  <c r="K284" i="12" s="1"/>
  <c r="A285" i="12" a="1"/>
  <c r="A285" i="12" s="1"/>
  <c r="C285" i="12" a="1"/>
  <c r="C285" i="12" s="1"/>
  <c r="D285" i="12" s="1"/>
  <c r="K285" i="12" s="1" a="1"/>
  <c r="K285" i="12" s="1"/>
  <c r="A286" i="12" a="1"/>
  <c r="A286" i="12" s="1"/>
  <c r="C286" i="12" a="1"/>
  <c r="C286" i="12" s="1"/>
  <c r="D286" i="12" s="1"/>
  <c r="K286" i="12" s="1" a="1"/>
  <c r="K286" i="12" s="1"/>
  <c r="A287" i="12" a="1"/>
  <c r="A287" i="12" s="1"/>
  <c r="C287" i="12" a="1"/>
  <c r="C287" i="12"/>
  <c r="D287" i="12" s="1"/>
  <c r="K287" i="12" s="1" a="1"/>
  <c r="K287" i="12" s="1"/>
  <c r="A288" i="12" a="1"/>
  <c r="A288" i="12" s="1"/>
  <c r="C288" i="12" a="1"/>
  <c r="C288" i="12" s="1"/>
  <c r="D288" i="12" s="1"/>
  <c r="K288" i="12" s="1" a="1"/>
  <c r="K288" i="12" s="1"/>
  <c r="A289" i="12" a="1"/>
  <c r="A289" i="12" s="1"/>
  <c r="C289" i="12" a="1"/>
  <c r="C289" i="12" s="1"/>
  <c r="D289" i="12" s="1"/>
  <c r="K289" i="12" s="1" a="1"/>
  <c r="K289" i="12" s="1"/>
  <c r="A290" i="12" a="1"/>
  <c r="A290" i="12" s="1"/>
  <c r="C290" i="12" a="1"/>
  <c r="C290" i="12" s="1"/>
  <c r="D290" i="12" s="1"/>
  <c r="K290" i="12" s="1" a="1"/>
  <c r="K290" i="12" s="1"/>
  <c r="A291" i="12" a="1"/>
  <c r="A291" i="12" s="1"/>
  <c r="C291" i="12" a="1"/>
  <c r="C291" i="12" s="1"/>
  <c r="D291" i="12" s="1"/>
  <c r="K291" i="12" s="1" a="1"/>
  <c r="K291" i="12" s="1"/>
  <c r="A292" i="12" a="1"/>
  <c r="A292" i="12" s="1"/>
  <c r="C292" i="12" a="1"/>
  <c r="C292" i="12" s="1"/>
  <c r="D292" i="12" s="1"/>
  <c r="K292" i="12" s="1" a="1"/>
  <c r="K292" i="12" s="1"/>
  <c r="A293" i="12" a="1"/>
  <c r="A293" i="12" s="1"/>
  <c r="C293" i="12" a="1"/>
  <c r="C293" i="12" s="1"/>
  <c r="D293" i="12" s="1"/>
  <c r="K293" i="12" s="1" a="1"/>
  <c r="K293" i="12" s="1"/>
  <c r="A294" i="12" a="1"/>
  <c r="A294" i="12" s="1"/>
  <c r="C294" i="12" a="1"/>
  <c r="C294" i="12" s="1"/>
  <c r="D294" i="12" s="1"/>
  <c r="K294" i="12" s="1" a="1"/>
  <c r="K294" i="12" s="1"/>
  <c r="A295" i="12" a="1"/>
  <c r="A295" i="12" s="1"/>
  <c r="C295" i="12" a="1"/>
  <c r="C295" i="12" s="1"/>
  <c r="D295" i="12" s="1"/>
  <c r="K295" i="12" s="1" a="1"/>
  <c r="K295" i="12" s="1"/>
  <c r="A296" i="12" a="1"/>
  <c r="A296" i="12" s="1"/>
  <c r="C296" i="12" a="1"/>
  <c r="C296" i="12" s="1"/>
  <c r="D296" i="12" s="1"/>
  <c r="K296" i="12" s="1" a="1"/>
  <c r="K296" i="12" s="1"/>
  <c r="A297" i="12" a="1"/>
  <c r="A297" i="12" s="1"/>
  <c r="C297" i="12" a="1"/>
  <c r="C297" i="12" s="1"/>
  <c r="D297" i="12" s="1"/>
  <c r="K297" i="12" s="1" a="1"/>
  <c r="K297" i="12" s="1"/>
  <c r="A298" i="12" a="1"/>
  <c r="A298" i="12" s="1"/>
  <c r="C298" i="12" a="1"/>
  <c r="C298" i="12"/>
  <c r="D298" i="12" s="1"/>
  <c r="K298" i="12" s="1" a="1"/>
  <c r="K298" i="12" s="1"/>
  <c r="A299" i="12" a="1"/>
  <c r="A299" i="12" s="1"/>
  <c r="C299" i="12" a="1"/>
  <c r="C299" i="12" s="1"/>
  <c r="D299" i="12" s="1"/>
  <c r="K299" i="12" s="1" a="1"/>
  <c r="K299" i="12" s="1"/>
  <c r="A300" i="12" a="1"/>
  <c r="A300" i="12" s="1"/>
  <c r="C300" i="12" a="1"/>
  <c r="C300" i="12"/>
  <c r="D300" i="12" s="1"/>
  <c r="K300" i="12" s="1" a="1"/>
  <c r="K300" i="12" s="1"/>
  <c r="A301" i="12" a="1"/>
  <c r="A301" i="12" s="1"/>
  <c r="C301" i="12" a="1"/>
  <c r="C301" i="12" s="1"/>
  <c r="D301" i="12" s="1"/>
  <c r="K301" i="12" s="1" a="1"/>
  <c r="K301" i="12" s="1"/>
  <c r="A302" i="12" a="1"/>
  <c r="A302" i="12" s="1"/>
  <c r="C302" i="12" a="1"/>
  <c r="C302" i="12" s="1"/>
  <c r="D302" i="12" s="1"/>
  <c r="K302" i="12" s="1" a="1"/>
  <c r="K302" i="12" s="1"/>
  <c r="A303" i="12" a="1"/>
  <c r="A303" i="12" s="1"/>
  <c r="C303" i="12" a="1"/>
  <c r="C303" i="12" s="1"/>
  <c r="D303" i="12" s="1"/>
  <c r="K303" i="12" s="1" a="1"/>
  <c r="K303" i="12" s="1"/>
  <c r="A304" i="12" a="1"/>
  <c r="A304" i="12" s="1"/>
  <c r="C304" i="12" a="1"/>
  <c r="C304" i="12" s="1"/>
  <c r="D304" i="12" s="1"/>
  <c r="K304" i="12" s="1" a="1"/>
  <c r="K304" i="12" s="1"/>
  <c r="A305" i="12" a="1"/>
  <c r="A305" i="12" s="1"/>
  <c r="C305" i="12" a="1"/>
  <c r="C305" i="12" s="1"/>
  <c r="D305" i="12" s="1"/>
  <c r="K305" i="12" s="1" a="1"/>
  <c r="K305" i="12" s="1"/>
  <c r="A306" i="12" a="1"/>
  <c r="A306" i="12" s="1"/>
  <c r="C306" i="12" a="1"/>
  <c r="C306" i="12" s="1"/>
  <c r="D306" i="12" s="1"/>
  <c r="K306" i="12" s="1" a="1"/>
  <c r="K306" i="12" s="1"/>
  <c r="A307" i="12" a="1"/>
  <c r="A307" i="12" s="1"/>
  <c r="C307" i="12" a="1"/>
  <c r="C307" i="12" s="1"/>
  <c r="D307" i="12" s="1"/>
  <c r="K307" i="12" s="1" a="1"/>
  <c r="K307" i="12" s="1"/>
  <c r="A137" i="12" a="1"/>
  <c r="A137" i="12" s="1"/>
  <c r="C137" i="12" a="1"/>
  <c r="C137" i="12" s="1"/>
  <c r="D137" i="12" s="1"/>
  <c r="K137" i="12" s="1" a="1"/>
  <c r="K137" i="12" s="1"/>
  <c r="A138" i="12" a="1"/>
  <c r="A138" i="12" s="1"/>
  <c r="C138" i="12" a="1"/>
  <c r="C138" i="12" s="1"/>
  <c r="D138" i="12" s="1"/>
  <c r="K138" i="12" s="1" a="1"/>
  <c r="K138" i="12" s="1"/>
  <c r="A139" i="12" a="1"/>
  <c r="A139" i="12" s="1"/>
  <c r="H139" i="12" s="1"/>
  <c r="I139" i="12" s="1"/>
  <c r="C139" i="12" a="1"/>
  <c r="C139" i="12" s="1"/>
  <c r="D139" i="12" s="1"/>
  <c r="K139" i="12" s="1" a="1"/>
  <c r="K139" i="12" s="1"/>
  <c r="A140" i="12" a="1"/>
  <c r="A140" i="12" s="1"/>
  <c r="B140" i="12" s="1"/>
  <c r="C140" i="12" a="1"/>
  <c r="C140" i="12" s="1"/>
  <c r="D140" i="12" s="1"/>
  <c r="K140" i="12" s="1" a="1"/>
  <c r="K140" i="12" s="1"/>
  <c r="A141" i="12" a="1"/>
  <c r="A141" i="12" s="1"/>
  <c r="B141" i="12" s="1"/>
  <c r="C141" i="12" a="1"/>
  <c r="C141" i="12" s="1"/>
  <c r="D141" i="12" s="1"/>
  <c r="K141" i="12" s="1" a="1"/>
  <c r="K141" i="12" s="1"/>
  <c r="A142" i="12" a="1"/>
  <c r="A142" i="12" s="1"/>
  <c r="B142" i="12" s="1"/>
  <c r="C142" i="12" a="1"/>
  <c r="C142" i="12" s="1"/>
  <c r="D142" i="12" s="1"/>
  <c r="K142" i="12" s="1" a="1"/>
  <c r="K142" i="12" s="1"/>
  <c r="A143" i="12" a="1"/>
  <c r="A143" i="12" s="1"/>
  <c r="B143" i="12" s="1"/>
  <c r="C143" i="12" a="1"/>
  <c r="C143" i="12" s="1"/>
  <c r="D143" i="12" s="1"/>
  <c r="K143" i="12" s="1" a="1"/>
  <c r="K143" i="12" s="1"/>
  <c r="A144" i="12" a="1"/>
  <c r="A144" i="12" s="1"/>
  <c r="H144" i="12" s="1"/>
  <c r="I144" i="12" s="1"/>
  <c r="C144" i="12" a="1"/>
  <c r="C144" i="12" s="1"/>
  <c r="D144" i="12" s="1"/>
  <c r="K144" i="12" s="1" a="1"/>
  <c r="K144" i="12" s="1"/>
  <c r="A145" i="12" a="1"/>
  <c r="A145" i="12" s="1"/>
  <c r="B145" i="12" s="1"/>
  <c r="C145" i="12" a="1"/>
  <c r="C145" i="12" s="1"/>
  <c r="D145" i="12" s="1"/>
  <c r="K145" i="12" s="1" a="1"/>
  <c r="K145" i="12" s="1"/>
  <c r="A146" i="12" a="1"/>
  <c r="A146" i="12" s="1"/>
  <c r="B146" i="12" s="1"/>
  <c r="C146" i="12" a="1"/>
  <c r="C146" i="12" s="1"/>
  <c r="D146" i="12" s="1"/>
  <c r="K146" i="12" s="1" a="1"/>
  <c r="K146" i="12" s="1"/>
  <c r="A147" i="12" a="1"/>
  <c r="A147" i="12" s="1"/>
  <c r="H147" i="12" s="1"/>
  <c r="I147" i="12" s="1"/>
  <c r="C147" i="12" a="1"/>
  <c r="C147" i="12" s="1"/>
  <c r="D147" i="12" s="1"/>
  <c r="K147" i="12" s="1" a="1"/>
  <c r="K147" i="12" s="1"/>
  <c r="A148" i="12" a="1"/>
  <c r="A148" i="12" s="1"/>
  <c r="B148" i="12" s="1"/>
  <c r="C148" i="12" a="1"/>
  <c r="C148" i="12" s="1"/>
  <c r="D148" i="12" s="1"/>
  <c r="K148" i="12" s="1" a="1"/>
  <c r="K148" i="12" s="1"/>
  <c r="A149" i="12" a="1"/>
  <c r="A149" i="12" s="1"/>
  <c r="B149" i="12" s="1"/>
  <c r="C149" i="12" a="1"/>
  <c r="C149" i="12" s="1"/>
  <c r="D149" i="12" s="1"/>
  <c r="K149" i="12" s="1" a="1"/>
  <c r="K149" i="12" s="1"/>
  <c r="A150" i="12" a="1"/>
  <c r="A150" i="12" s="1"/>
  <c r="H150" i="12" s="1"/>
  <c r="I150" i="12" s="1"/>
  <c r="C150" i="12" a="1"/>
  <c r="C150" i="12" s="1"/>
  <c r="D150" i="12" s="1"/>
  <c r="K150" i="12" s="1" a="1"/>
  <c r="K150" i="12" s="1"/>
  <c r="A151" i="12" a="1"/>
  <c r="A151" i="12" s="1"/>
  <c r="B151" i="12" s="1"/>
  <c r="C151" i="12" a="1"/>
  <c r="C151" i="12" s="1"/>
  <c r="D151" i="12" s="1"/>
  <c r="K151" i="12" s="1" a="1"/>
  <c r="K151" i="12" s="1"/>
  <c r="A152" i="12" a="1"/>
  <c r="A152" i="12" s="1"/>
  <c r="B152" i="12" s="1"/>
  <c r="C152" i="12" a="1"/>
  <c r="C152" i="12" s="1"/>
  <c r="D152" i="12" s="1"/>
  <c r="K152" i="12" s="1" a="1"/>
  <c r="K152" i="12" s="1"/>
  <c r="A153" i="12" a="1"/>
  <c r="A153" i="12" s="1"/>
  <c r="H153" i="12" s="1"/>
  <c r="I153" i="12" s="1"/>
  <c r="C153" i="12" a="1"/>
  <c r="C153" i="12" s="1"/>
  <c r="D153" i="12" s="1"/>
  <c r="K153" i="12" s="1" a="1"/>
  <c r="K153" i="12" s="1"/>
  <c r="A154" i="12" a="1"/>
  <c r="A154" i="12" s="1"/>
  <c r="C154" i="12" a="1"/>
  <c r="C154" i="12" s="1"/>
  <c r="D154" i="12" s="1"/>
  <c r="K154" i="12" s="1" a="1"/>
  <c r="K154" i="12" s="1"/>
  <c r="A155" i="12" a="1"/>
  <c r="A155" i="12" s="1"/>
  <c r="F155" i="12" s="1"/>
  <c r="G155" i="12" s="1"/>
  <c r="C155" i="12" a="1"/>
  <c r="C155" i="12" s="1"/>
  <c r="D155" i="12" s="1"/>
  <c r="K155" i="12" s="1" a="1"/>
  <c r="K155" i="12" s="1"/>
  <c r="A156" i="12" a="1"/>
  <c r="A156" i="12" s="1"/>
  <c r="F156" i="12" s="1"/>
  <c r="G156" i="12" s="1"/>
  <c r="C156" i="12" a="1"/>
  <c r="C156" i="12" s="1"/>
  <c r="D156" i="12" s="1"/>
  <c r="K156" i="12" s="1" a="1"/>
  <c r="K156" i="12" s="1"/>
  <c r="A157" i="12" a="1"/>
  <c r="A157" i="12" s="1"/>
  <c r="C157" i="12" a="1"/>
  <c r="C157" i="12" s="1"/>
  <c r="D157" i="12" s="1"/>
  <c r="K157" i="12" s="1" a="1"/>
  <c r="K157" i="12" s="1"/>
  <c r="A158" i="12" a="1"/>
  <c r="A158" i="12" s="1"/>
  <c r="B158" i="12" s="1"/>
  <c r="C158" i="12" a="1"/>
  <c r="C158" i="12" s="1"/>
  <c r="D158" i="12" s="1"/>
  <c r="K158" i="12" s="1" a="1"/>
  <c r="K158" i="12" s="1"/>
  <c r="A159" i="12" a="1"/>
  <c r="A159" i="12" s="1"/>
  <c r="F159" i="12" s="1"/>
  <c r="G159" i="12" s="1"/>
  <c r="C159" i="12" a="1"/>
  <c r="C159" i="12" s="1"/>
  <c r="D159" i="12" s="1"/>
  <c r="K159" i="12" s="1" a="1"/>
  <c r="K159" i="12" s="1"/>
  <c r="A160" i="12" a="1"/>
  <c r="A160" i="12" s="1"/>
  <c r="F160" i="12" s="1"/>
  <c r="G160" i="12" s="1"/>
  <c r="C160" i="12" a="1"/>
  <c r="C160" i="12" s="1"/>
  <c r="D160" i="12" s="1"/>
  <c r="K160" i="12" s="1" a="1"/>
  <c r="K160" i="12" s="1"/>
  <c r="A161" i="12" a="1"/>
  <c r="A161" i="12" s="1"/>
  <c r="F161" i="12" s="1"/>
  <c r="G161" i="12" s="1"/>
  <c r="C161" i="12" a="1"/>
  <c r="C161" i="12" s="1"/>
  <c r="D161" i="12" s="1"/>
  <c r="K161" i="12" s="1" a="1"/>
  <c r="K161" i="12" s="1"/>
  <c r="A162" i="12" a="1"/>
  <c r="A162" i="12" s="1"/>
  <c r="B162" i="12" s="1"/>
  <c r="C162" i="12" a="1"/>
  <c r="C162" i="12" s="1"/>
  <c r="D162" i="12" s="1"/>
  <c r="K162" i="12" s="1" a="1"/>
  <c r="K162" i="12" s="1"/>
  <c r="A163" i="12" a="1"/>
  <c r="A163" i="12" s="1"/>
  <c r="F163" i="12" s="1"/>
  <c r="G163" i="12" s="1"/>
  <c r="C163" i="12" a="1"/>
  <c r="C163" i="12" s="1"/>
  <c r="D163" i="12" s="1"/>
  <c r="K163" i="12" s="1" a="1"/>
  <c r="K163" i="12" s="1"/>
  <c r="A164" i="12" a="1"/>
  <c r="A164" i="12" s="1"/>
  <c r="F164" i="12" s="1"/>
  <c r="G164" i="12" s="1"/>
  <c r="B164" i="12"/>
  <c r="C164" i="12" a="1"/>
  <c r="C164" i="12"/>
  <c r="D164" i="12" s="1"/>
  <c r="K164" i="12" s="1" a="1"/>
  <c r="K164" i="12" s="1"/>
  <c r="A165" i="12" a="1"/>
  <c r="A165" i="12" s="1"/>
  <c r="F165" i="12" s="1"/>
  <c r="G165" i="12" s="1"/>
  <c r="C165" i="12" a="1"/>
  <c r="C165" i="12" s="1"/>
  <c r="D165" i="12" s="1"/>
  <c r="K165" i="12" s="1" a="1"/>
  <c r="K165" i="12" s="1"/>
  <c r="A166" i="12" a="1"/>
  <c r="A166" i="12" s="1"/>
  <c r="C166" i="12" a="1"/>
  <c r="C166" i="12" s="1"/>
  <c r="D166" i="12" s="1"/>
  <c r="K166" i="12" s="1" a="1"/>
  <c r="K166" i="12" s="1"/>
  <c r="A167" i="12" a="1"/>
  <c r="A167" i="12" s="1"/>
  <c r="F167" i="12" s="1"/>
  <c r="G167" i="12" s="1"/>
  <c r="C167" i="12" a="1"/>
  <c r="C167" i="12" s="1"/>
  <c r="D167" i="12" s="1"/>
  <c r="K167" i="12" s="1" a="1"/>
  <c r="K167" i="12" s="1"/>
  <c r="A168" i="12" a="1"/>
  <c r="A168" i="12" s="1"/>
  <c r="F168" i="12" s="1"/>
  <c r="G168" i="12" s="1"/>
  <c r="B168" i="12"/>
  <c r="C168" i="12" a="1"/>
  <c r="C168" i="12" s="1"/>
  <c r="D168" i="12" s="1"/>
  <c r="K168" i="12" s="1" a="1"/>
  <c r="K168" i="12" s="1"/>
  <c r="H168" i="12"/>
  <c r="I168" i="12" s="1"/>
  <c r="A169" i="12" a="1"/>
  <c r="A169" i="12" s="1"/>
  <c r="F169" i="12" s="1"/>
  <c r="G169" i="12" s="1"/>
  <c r="C169" i="12" a="1"/>
  <c r="C169" i="12" s="1"/>
  <c r="D169" i="12" s="1"/>
  <c r="K169" i="12" s="1" a="1"/>
  <c r="K169" i="12" s="1"/>
  <c r="A170" i="12" a="1"/>
  <c r="A170" i="12" s="1"/>
  <c r="B170" i="12" s="1"/>
  <c r="C170" i="12" a="1"/>
  <c r="C170" i="12"/>
  <c r="D170" i="12" s="1"/>
  <c r="K170" i="12" s="1" a="1"/>
  <c r="K170" i="12" s="1"/>
  <c r="A171" i="12" a="1"/>
  <c r="A171" i="12" s="1"/>
  <c r="C171" i="12" a="1"/>
  <c r="C171" i="12" s="1"/>
  <c r="D171" i="12" s="1"/>
  <c r="K171" i="12" s="1" a="1"/>
  <c r="K171" i="12" s="1"/>
  <c r="A172" i="12" a="1"/>
  <c r="A172" i="12" s="1"/>
  <c r="F172" i="12" s="1"/>
  <c r="G172" i="12" s="1"/>
  <c r="C172" i="12" a="1"/>
  <c r="C172" i="12" s="1"/>
  <c r="D172" i="12" s="1"/>
  <c r="K172" i="12" s="1" a="1"/>
  <c r="K172" i="12" s="1"/>
  <c r="A173" i="12" a="1"/>
  <c r="A173" i="12" s="1"/>
  <c r="F173" i="12" s="1"/>
  <c r="G173" i="12" s="1"/>
  <c r="C173" i="12" a="1"/>
  <c r="C173" i="12" s="1"/>
  <c r="D173" i="12" s="1"/>
  <c r="K173" i="12" s="1" a="1"/>
  <c r="K173" i="12" s="1"/>
  <c r="A174" i="12" a="1"/>
  <c r="A174" i="12" s="1"/>
  <c r="B174" i="12" s="1"/>
  <c r="C174" i="12" a="1"/>
  <c r="C174" i="12" s="1"/>
  <c r="D174" i="12" s="1"/>
  <c r="K174" i="12" s="1" a="1"/>
  <c r="K174" i="12" s="1"/>
  <c r="A175" i="12" a="1"/>
  <c r="A175" i="12" s="1"/>
  <c r="H175" i="12" s="1"/>
  <c r="I175" i="12" s="1"/>
  <c r="C175" i="12" a="1"/>
  <c r="C175" i="12" s="1"/>
  <c r="D175" i="12" s="1"/>
  <c r="K175" i="12" s="1" a="1"/>
  <c r="K175" i="12" s="1"/>
  <c r="A176" i="12" a="1"/>
  <c r="A176" i="12" s="1"/>
  <c r="H176" i="12" s="1"/>
  <c r="I176" i="12" s="1"/>
  <c r="C176" i="12" a="1"/>
  <c r="C176" i="12" s="1"/>
  <c r="D176" i="12" s="1"/>
  <c r="K176" i="12" s="1" a="1"/>
  <c r="K176" i="12" s="1"/>
  <c r="A177" i="12" a="1"/>
  <c r="A177" i="12" s="1"/>
  <c r="F177" i="12" s="1"/>
  <c r="G177" i="12" s="1"/>
  <c r="C177" i="12" a="1"/>
  <c r="C177" i="12" s="1"/>
  <c r="D177" i="12" s="1"/>
  <c r="K177" i="12" s="1" a="1"/>
  <c r="K177" i="12" s="1"/>
  <c r="A178" i="12" a="1"/>
  <c r="A178" i="12" s="1"/>
  <c r="C178" i="12" a="1"/>
  <c r="C178" i="12" s="1"/>
  <c r="D178" i="12" s="1"/>
  <c r="K178" i="12" s="1" a="1"/>
  <c r="K178" i="12" s="1"/>
  <c r="A179" i="12" a="1"/>
  <c r="A179" i="12" s="1"/>
  <c r="C179" i="12" a="1"/>
  <c r="C179" i="12" s="1"/>
  <c r="D179" i="12" s="1"/>
  <c r="K179" i="12" s="1" a="1"/>
  <c r="K179" i="12" s="1"/>
  <c r="A180" i="12" a="1"/>
  <c r="A180" i="12" s="1"/>
  <c r="F180" i="12" s="1"/>
  <c r="G180" i="12" s="1"/>
  <c r="C180" i="12" a="1"/>
  <c r="C180" i="12" s="1"/>
  <c r="D180" i="12" s="1"/>
  <c r="K180" i="12" s="1" a="1"/>
  <c r="K180" i="12" s="1"/>
  <c r="A181" i="12" a="1"/>
  <c r="A181" i="12" s="1"/>
  <c r="B181" i="12" s="1"/>
  <c r="C181" i="12" a="1"/>
  <c r="C181" i="12" s="1"/>
  <c r="D181" i="12" s="1"/>
  <c r="K181" i="12" s="1" a="1"/>
  <c r="K181" i="12" s="1"/>
  <c r="A182" i="12" a="1"/>
  <c r="A182" i="12" s="1"/>
  <c r="C182" i="12" a="1"/>
  <c r="C182" i="12"/>
  <c r="D182" i="12" s="1"/>
  <c r="K182" i="12" s="1" a="1"/>
  <c r="K182" i="12" s="1"/>
  <c r="A183" i="12" a="1"/>
  <c r="A183" i="12" s="1"/>
  <c r="C183" i="12" a="1"/>
  <c r="C183" i="12" s="1"/>
  <c r="D183" i="12" s="1"/>
  <c r="K183" i="12" s="1" a="1"/>
  <c r="K183" i="12" s="1"/>
  <c r="A184" i="12" a="1"/>
  <c r="A184" i="12" s="1"/>
  <c r="F184" i="12" s="1"/>
  <c r="G184" i="12" s="1"/>
  <c r="C184" i="12" a="1"/>
  <c r="C184" i="12" s="1"/>
  <c r="D184" i="12" s="1"/>
  <c r="K184" i="12" s="1" a="1"/>
  <c r="K184" i="12" s="1"/>
  <c r="A185" i="12" a="1"/>
  <c r="A185" i="12" s="1"/>
  <c r="F185" i="12" s="1"/>
  <c r="G185" i="12" s="1"/>
  <c r="C185" i="12" a="1"/>
  <c r="C185" i="12" s="1"/>
  <c r="D185" i="12" s="1"/>
  <c r="K185" i="12" s="1" a="1"/>
  <c r="K185" i="12" s="1"/>
  <c r="A186" i="12" a="1"/>
  <c r="A186" i="12" s="1"/>
  <c r="C186" i="12" a="1"/>
  <c r="C186" i="12" s="1"/>
  <c r="D186" i="12" s="1"/>
  <c r="K186" i="12" s="1" a="1"/>
  <c r="K186" i="12" s="1"/>
  <c r="A187" i="12" a="1"/>
  <c r="A187" i="12" s="1"/>
  <c r="H187" i="12" s="1"/>
  <c r="I187" i="12" s="1"/>
  <c r="C187" i="12" a="1"/>
  <c r="C187" i="12" s="1"/>
  <c r="D187" i="12" s="1"/>
  <c r="K187" i="12" s="1" a="1"/>
  <c r="K187" i="12" s="1"/>
  <c r="A188" i="12" a="1"/>
  <c r="A188" i="12" s="1"/>
  <c r="B188" i="12" s="1"/>
  <c r="C188" i="12" a="1"/>
  <c r="C188" i="12" s="1"/>
  <c r="D188" i="12" s="1"/>
  <c r="K188" i="12" s="1" a="1"/>
  <c r="K188" i="12" s="1"/>
  <c r="A189" i="12" a="1"/>
  <c r="A189" i="12" s="1"/>
  <c r="F189" i="12" s="1"/>
  <c r="G189" i="12" s="1"/>
  <c r="C189" i="12" a="1"/>
  <c r="C189" i="12" s="1"/>
  <c r="D189" i="12" s="1"/>
  <c r="K189" i="12" s="1" a="1"/>
  <c r="K189" i="12" s="1"/>
  <c r="A190" i="12" a="1"/>
  <c r="A190" i="12" s="1"/>
  <c r="C190" i="12" a="1"/>
  <c r="C190" i="12" s="1"/>
  <c r="D190" i="12" s="1"/>
  <c r="K190" i="12" s="1" a="1"/>
  <c r="K190" i="12" s="1"/>
  <c r="A191" i="12" a="1"/>
  <c r="A191" i="12" s="1"/>
  <c r="C191" i="12" a="1"/>
  <c r="C191" i="12" s="1"/>
  <c r="D191" i="12" s="1"/>
  <c r="K191" i="12" s="1" a="1"/>
  <c r="K191" i="12" s="1"/>
  <c r="A192" i="12" a="1"/>
  <c r="A192" i="12" s="1"/>
  <c r="F192" i="12" s="1"/>
  <c r="G192" i="12" s="1"/>
  <c r="C192" i="12" a="1"/>
  <c r="C192" i="12" s="1"/>
  <c r="D192" i="12" s="1"/>
  <c r="K192" i="12" s="1" a="1"/>
  <c r="K192" i="12" s="1"/>
  <c r="A193" i="12" a="1"/>
  <c r="A193" i="12" s="1"/>
  <c r="B193" i="12" s="1"/>
  <c r="C193" i="12" a="1"/>
  <c r="C193" i="12" s="1"/>
  <c r="D193" i="12" s="1"/>
  <c r="K193" i="12" s="1" a="1"/>
  <c r="K193" i="12" s="1"/>
  <c r="A194" i="12" a="1"/>
  <c r="A194" i="12" s="1"/>
  <c r="H194" i="12" s="1"/>
  <c r="I194" i="12" s="1"/>
  <c r="C194" i="12" a="1"/>
  <c r="C194" i="12" s="1"/>
  <c r="D194" i="12" s="1"/>
  <c r="K194" i="12" s="1" a="1"/>
  <c r="K194" i="12" s="1"/>
  <c r="A195" i="12" a="1"/>
  <c r="A195" i="12" s="1"/>
  <c r="C195" i="12" a="1"/>
  <c r="C195" i="12" s="1"/>
  <c r="D195" i="12" s="1"/>
  <c r="K195" i="12" s="1" a="1"/>
  <c r="K195" i="12" s="1"/>
  <c r="A196" i="12" a="1"/>
  <c r="A196" i="12" s="1"/>
  <c r="F196" i="12" s="1"/>
  <c r="G196" i="12" s="1"/>
  <c r="C196" i="12" a="1"/>
  <c r="C196" i="12" s="1"/>
  <c r="D196" i="12" s="1"/>
  <c r="K196" i="12" s="1" a="1"/>
  <c r="K196" i="12" s="1"/>
  <c r="A197" i="12" a="1"/>
  <c r="A197" i="12" s="1"/>
  <c r="F197" i="12" s="1"/>
  <c r="G197" i="12" s="1"/>
  <c r="C197" i="12" a="1"/>
  <c r="C197" i="12" s="1"/>
  <c r="D197" i="12" s="1"/>
  <c r="K197" i="12" s="1" a="1"/>
  <c r="K197" i="12" s="1"/>
  <c r="A198" i="12" a="1"/>
  <c r="A198" i="12" s="1"/>
  <c r="C198" i="12" a="1"/>
  <c r="C198" i="12" s="1"/>
  <c r="D198" i="12" s="1"/>
  <c r="K198" i="12" s="1" a="1"/>
  <c r="K198" i="12" s="1"/>
  <c r="A199" i="12" a="1"/>
  <c r="A199" i="12" s="1"/>
  <c r="H199" i="12" s="1"/>
  <c r="I199" i="12" s="1"/>
  <c r="C199" i="12" a="1"/>
  <c r="C199" i="12" s="1"/>
  <c r="D199" i="12" s="1"/>
  <c r="K199" i="12" s="1" a="1"/>
  <c r="K199" i="12" s="1"/>
  <c r="A200" i="12" a="1"/>
  <c r="A200" i="12" s="1"/>
  <c r="C200" i="12" a="1"/>
  <c r="C200" i="12" s="1"/>
  <c r="D200" i="12" s="1"/>
  <c r="K200" i="12" s="1" a="1"/>
  <c r="K200" i="12" s="1"/>
  <c r="A201" i="12" a="1"/>
  <c r="A201" i="12" s="1"/>
  <c r="H201" i="12" s="1"/>
  <c r="I201" i="12" s="1"/>
  <c r="C201" i="12" a="1"/>
  <c r="C201" i="12" s="1"/>
  <c r="D201" i="12" s="1"/>
  <c r="K201" i="12" s="1" a="1"/>
  <c r="K201" i="12" s="1"/>
  <c r="A202" i="12" a="1"/>
  <c r="A202" i="12" s="1"/>
  <c r="F202" i="12" s="1"/>
  <c r="G202" i="12" s="1"/>
  <c r="C202" i="12" a="1"/>
  <c r="C202" i="12" s="1"/>
  <c r="D202" i="12" s="1"/>
  <c r="K202" i="12" s="1" a="1"/>
  <c r="K202" i="12" s="1"/>
  <c r="A203" i="12" a="1"/>
  <c r="A203" i="12" s="1"/>
  <c r="B203" i="12" s="1"/>
  <c r="C203" i="12" a="1"/>
  <c r="C203" i="12" s="1"/>
  <c r="D203" i="12" s="1"/>
  <c r="K203" i="12" s="1" a="1"/>
  <c r="K203" i="12" s="1"/>
  <c r="A204" i="12" a="1"/>
  <c r="A204" i="12" s="1"/>
  <c r="F204" i="12" s="1"/>
  <c r="G204" i="12" s="1"/>
  <c r="C204" i="12" a="1"/>
  <c r="C204" i="12" s="1"/>
  <c r="D204" i="12" s="1"/>
  <c r="K204" i="12" s="1" a="1"/>
  <c r="K204" i="12" s="1"/>
  <c r="A205" i="12" a="1"/>
  <c r="A205" i="12" s="1"/>
  <c r="H205" i="12" s="1"/>
  <c r="I205" i="12" s="1"/>
  <c r="C205" i="12" a="1"/>
  <c r="C205" i="12" s="1"/>
  <c r="D205" i="12" s="1"/>
  <c r="K205" i="12" s="1" a="1"/>
  <c r="K205" i="12" s="1"/>
  <c r="A206" i="12" a="1"/>
  <c r="A206" i="12" s="1"/>
  <c r="C206" i="12" a="1"/>
  <c r="C206" i="12" s="1"/>
  <c r="D206" i="12" s="1"/>
  <c r="K206" i="12" s="1" a="1"/>
  <c r="K206" i="12" s="1"/>
  <c r="A207" i="12" a="1"/>
  <c r="A207" i="12" s="1"/>
  <c r="H207" i="12" s="1"/>
  <c r="I207" i="12" s="1"/>
  <c r="J207" i="12" s="1"/>
  <c r="C207" i="12" a="1"/>
  <c r="C207" i="12" s="1"/>
  <c r="D207" i="12" s="1"/>
  <c r="K207" i="12" s="1" a="1"/>
  <c r="K207" i="12" s="1"/>
  <c r="A208" i="12" a="1"/>
  <c r="A208" i="12" s="1"/>
  <c r="F208" i="12" s="1"/>
  <c r="G208" i="12" s="1"/>
  <c r="C208" i="12" a="1"/>
  <c r="C208" i="12" s="1"/>
  <c r="D208" i="12" s="1"/>
  <c r="K208" i="12" s="1" a="1"/>
  <c r="K208" i="12" s="1"/>
  <c r="A209" i="12" a="1"/>
  <c r="A209" i="12" s="1"/>
  <c r="B209" i="12" s="1"/>
  <c r="C209" i="12" a="1"/>
  <c r="C209" i="12" s="1"/>
  <c r="D209" i="12" s="1"/>
  <c r="K209" i="12" s="1" a="1"/>
  <c r="K209" i="12" s="1"/>
  <c r="A210" i="12" a="1"/>
  <c r="A210" i="12" s="1"/>
  <c r="F210" i="12" s="1"/>
  <c r="G210" i="12" s="1"/>
  <c r="C210" i="12" a="1"/>
  <c r="C210" i="12" s="1"/>
  <c r="D210" i="12" s="1"/>
  <c r="K210" i="12" s="1" a="1"/>
  <c r="K210" i="12" s="1"/>
  <c r="A211" i="12" a="1"/>
  <c r="A211" i="12" s="1"/>
  <c r="B211" i="12" s="1"/>
  <c r="C211" i="12" a="1"/>
  <c r="C211" i="12" s="1"/>
  <c r="D211" i="12" s="1"/>
  <c r="K211" i="12" s="1" a="1"/>
  <c r="K211" i="12" s="1"/>
  <c r="A212" i="12" a="1"/>
  <c r="A212" i="12"/>
  <c r="H212" i="12" s="1"/>
  <c r="I212" i="12" s="1"/>
  <c r="J212" i="12" s="1"/>
  <c r="C212" i="12" a="1"/>
  <c r="C212" i="12" s="1"/>
  <c r="D212" i="12" s="1"/>
  <c r="K212" i="12" s="1" a="1"/>
  <c r="K212" i="12" s="1"/>
  <c r="A213" i="12" a="1"/>
  <c r="A213" i="12" s="1"/>
  <c r="F213" i="12" s="1"/>
  <c r="G213" i="12" s="1"/>
  <c r="C213" i="12" a="1"/>
  <c r="C213" i="12" s="1"/>
  <c r="D213" i="12" s="1"/>
  <c r="K213" i="12" s="1" a="1"/>
  <c r="K213" i="12" s="1"/>
  <c r="A214" i="12" a="1"/>
  <c r="A214" i="12" s="1"/>
  <c r="C214" i="12" a="1"/>
  <c r="C214" i="12" s="1"/>
  <c r="D214" i="12" s="1"/>
  <c r="K214" i="12" s="1" a="1"/>
  <c r="K214" i="12" s="1"/>
  <c r="A215" i="12" a="1"/>
  <c r="A215" i="12" s="1"/>
  <c r="H215" i="12" s="1"/>
  <c r="I215" i="12" s="1"/>
  <c r="J215" i="12" s="1"/>
  <c r="C215" i="12" a="1"/>
  <c r="C215" i="12" s="1"/>
  <c r="D215" i="12" s="1"/>
  <c r="K215" i="12" s="1" a="1"/>
  <c r="K215" i="12" s="1"/>
  <c r="A216" i="12" a="1"/>
  <c r="A216" i="12" s="1"/>
  <c r="F216" i="12" s="1"/>
  <c r="G216" i="12" s="1"/>
  <c r="C216" i="12" a="1"/>
  <c r="C216" i="12" s="1"/>
  <c r="D216" i="12" s="1"/>
  <c r="K216" i="12" s="1" a="1"/>
  <c r="K216" i="12" s="1"/>
  <c r="A217" i="12" a="1"/>
  <c r="A217" i="12" s="1"/>
  <c r="C217" i="12" a="1"/>
  <c r="C217" i="12" s="1"/>
  <c r="D217" i="12" s="1"/>
  <c r="K217" i="12" s="1" a="1"/>
  <c r="K217" i="12" s="1"/>
  <c r="A218" i="12" a="1"/>
  <c r="A218" i="12" s="1"/>
  <c r="F218" i="12" s="1"/>
  <c r="G218" i="12" s="1"/>
  <c r="C218" i="12" a="1"/>
  <c r="C218" i="12" s="1"/>
  <c r="D218" i="12" s="1"/>
  <c r="K218" i="12" s="1" a="1"/>
  <c r="K218" i="12" s="1"/>
  <c r="A219" i="12" a="1"/>
  <c r="A219" i="12" s="1"/>
  <c r="H219" i="12" s="1"/>
  <c r="I219" i="12" s="1"/>
  <c r="C219" i="12" a="1"/>
  <c r="C219" i="12" s="1"/>
  <c r="D219" i="12" s="1"/>
  <c r="K219" i="12" s="1" a="1"/>
  <c r="K219" i="12" s="1"/>
  <c r="A220" i="12" a="1"/>
  <c r="A220" i="12" s="1"/>
  <c r="C220" i="12" a="1"/>
  <c r="C220" i="12" s="1"/>
  <c r="D220" i="12" s="1"/>
  <c r="K220" i="12" s="1" a="1"/>
  <c r="K220" i="12" s="1"/>
  <c r="A221" i="12" a="1"/>
  <c r="A221" i="12" s="1"/>
  <c r="F221" i="12" s="1"/>
  <c r="G221" i="12" s="1"/>
  <c r="C221" i="12" a="1"/>
  <c r="C221" i="12" s="1"/>
  <c r="D221" i="12" s="1"/>
  <c r="K221" i="12" s="1" a="1"/>
  <c r="K221" i="12" s="1"/>
  <c r="A222" i="12" a="1"/>
  <c r="A222" i="12" s="1"/>
  <c r="C222" i="12" a="1"/>
  <c r="C222" i="12" s="1"/>
  <c r="D222" i="12" s="1"/>
  <c r="K222" i="12" s="1" a="1"/>
  <c r="K222" i="12" s="1"/>
  <c r="A223" i="12" a="1"/>
  <c r="A223" i="12" s="1"/>
  <c r="C223" i="12" a="1"/>
  <c r="C223" i="12" s="1"/>
  <c r="D223" i="12" s="1"/>
  <c r="K223" i="12" s="1" a="1"/>
  <c r="K223" i="12" s="1"/>
  <c r="A224" i="12" a="1"/>
  <c r="A224" i="12" s="1"/>
  <c r="F224" i="12" s="1"/>
  <c r="G224" i="12" s="1"/>
  <c r="C224" i="12" a="1"/>
  <c r="C224" i="12" s="1"/>
  <c r="D224" i="12" s="1"/>
  <c r="K224" i="12" s="1" a="1"/>
  <c r="K224" i="12" s="1"/>
  <c r="A225" i="12" a="1"/>
  <c r="A225" i="12" s="1"/>
  <c r="C225" i="12" a="1"/>
  <c r="C225" i="12" s="1"/>
  <c r="D225" i="12" s="1"/>
  <c r="K225" i="12" s="1" a="1"/>
  <c r="K225" i="12" s="1"/>
  <c r="A226" i="12" a="1"/>
  <c r="A226" i="12" s="1"/>
  <c r="C226" i="12" a="1"/>
  <c r="C226" i="12" s="1"/>
  <c r="D226" i="12" s="1"/>
  <c r="K226" i="12" s="1" a="1"/>
  <c r="K226" i="12" s="1"/>
  <c r="A227" i="12" a="1"/>
  <c r="A227" i="12" s="1"/>
  <c r="C227" i="12" a="1"/>
  <c r="C227" i="12" s="1"/>
  <c r="D227" i="12" s="1"/>
  <c r="K227" i="12" s="1" a="1"/>
  <c r="K227" i="12" s="1"/>
  <c r="A228" i="12" a="1"/>
  <c r="A228" i="12" s="1"/>
  <c r="F228" i="12" s="1"/>
  <c r="G228" i="12" s="1"/>
  <c r="C228" i="12" a="1"/>
  <c r="C228" i="12" s="1"/>
  <c r="D228" i="12" s="1"/>
  <c r="K228" i="12" s="1" a="1"/>
  <c r="K228" i="12" s="1"/>
  <c r="A229" i="12" a="1"/>
  <c r="A229" i="12" s="1"/>
  <c r="C229" i="12" a="1"/>
  <c r="C229" i="12" s="1"/>
  <c r="D229" i="12" s="1"/>
  <c r="K229" i="12" s="1" a="1"/>
  <c r="K229" i="12" s="1"/>
  <c r="A230" i="12" a="1"/>
  <c r="A230" i="12" s="1"/>
  <c r="F230" i="12" s="1"/>
  <c r="G230" i="12" s="1"/>
  <c r="C230" i="12" a="1"/>
  <c r="C230" i="12" s="1"/>
  <c r="D230" i="12" s="1"/>
  <c r="K230" i="12" s="1" a="1"/>
  <c r="K230" i="12" s="1"/>
  <c r="A231" i="12" a="1"/>
  <c r="A231" i="12" s="1"/>
  <c r="F231" i="12" s="1"/>
  <c r="G231" i="12" s="1"/>
  <c r="C231" i="12" a="1"/>
  <c r="C231" i="12" s="1"/>
  <c r="D231" i="12" s="1"/>
  <c r="K231" i="12" s="1" a="1"/>
  <c r="K231" i="12" s="1"/>
  <c r="A232" i="12" a="1"/>
  <c r="A232" i="12" s="1"/>
  <c r="C232" i="12" a="1"/>
  <c r="C232" i="12" s="1"/>
  <c r="D232" i="12" s="1"/>
  <c r="K232" i="12" s="1" a="1"/>
  <c r="K232" i="12" s="1"/>
  <c r="A233" i="12" a="1"/>
  <c r="A233" i="12" s="1"/>
  <c r="F233" i="12" s="1"/>
  <c r="G233" i="12" s="1"/>
  <c r="C233" i="12" a="1"/>
  <c r="C233" i="12" s="1"/>
  <c r="D233" i="12" s="1"/>
  <c r="K233" i="12" s="1" a="1"/>
  <c r="K233" i="12" s="1"/>
  <c r="A234" i="12" a="1"/>
  <c r="A234" i="12" s="1"/>
  <c r="C234" i="12" a="1"/>
  <c r="C234" i="12" s="1"/>
  <c r="D234" i="12" s="1"/>
  <c r="K234" i="12" s="1" a="1"/>
  <c r="K234" i="12" s="1"/>
  <c r="A235" i="12" a="1"/>
  <c r="A235" i="12" s="1"/>
  <c r="H235" i="12" s="1"/>
  <c r="I235" i="12" s="1"/>
  <c r="C235" i="12" a="1"/>
  <c r="C235" i="12" s="1"/>
  <c r="D235" i="12" s="1"/>
  <c r="K235" i="12" s="1" a="1"/>
  <c r="K235" i="12" s="1"/>
  <c r="A236" i="12" a="1"/>
  <c r="A236" i="12" s="1"/>
  <c r="H236" i="12" s="1"/>
  <c r="I236" i="12" s="1"/>
  <c r="C236" i="12" a="1"/>
  <c r="C236" i="12" s="1"/>
  <c r="D236" i="12" s="1"/>
  <c r="K236" i="12" s="1" a="1"/>
  <c r="K236" i="12" s="1"/>
  <c r="A237" i="12" a="1"/>
  <c r="A237" i="12" s="1"/>
  <c r="B237" i="12" s="1"/>
  <c r="C237" i="12" a="1"/>
  <c r="C237" i="12" s="1"/>
  <c r="D237" i="12" s="1"/>
  <c r="K237" i="12" s="1" a="1"/>
  <c r="K237" i="12" s="1"/>
  <c r="A238" i="12" a="1"/>
  <c r="A238" i="12" s="1"/>
  <c r="C238" i="12" a="1"/>
  <c r="C238" i="12" s="1"/>
  <c r="D238" i="12" s="1"/>
  <c r="K238" i="12" s="1" a="1"/>
  <c r="K238" i="12" s="1"/>
  <c r="A239" i="12" a="1"/>
  <c r="A239" i="12" s="1"/>
  <c r="C239" i="12" a="1"/>
  <c r="C239" i="12" s="1"/>
  <c r="D239" i="12" s="1"/>
  <c r="K239" i="12" s="1" a="1"/>
  <c r="K239" i="12" s="1"/>
  <c r="A240" i="12" a="1"/>
  <c r="A240" i="12" s="1"/>
  <c r="C240" i="12" a="1"/>
  <c r="C240" i="12" s="1"/>
  <c r="D240" i="12" s="1"/>
  <c r="K240" i="12" s="1" a="1"/>
  <c r="K240" i="12" s="1"/>
  <c r="A241" i="12" a="1"/>
  <c r="A241" i="12" s="1"/>
  <c r="C241" i="12" a="1"/>
  <c r="C241" i="12" s="1"/>
  <c r="D241" i="12" s="1"/>
  <c r="K241" i="12" s="1" a="1"/>
  <c r="K241" i="12" s="1"/>
  <c r="A242" i="12" a="1"/>
  <c r="A242" i="12" s="1"/>
  <c r="C242" i="12" a="1"/>
  <c r="C242" i="12" s="1"/>
  <c r="D242" i="12" s="1"/>
  <c r="K242" i="12" s="1" a="1"/>
  <c r="K242" i="12" s="1"/>
  <c r="A243" i="12" a="1"/>
  <c r="A243" i="12" s="1"/>
  <c r="B243" i="12" s="1"/>
  <c r="C243" i="12" a="1"/>
  <c r="C243" i="12" s="1"/>
  <c r="D243" i="12" s="1"/>
  <c r="K243" i="12" s="1" a="1"/>
  <c r="K243" i="12" s="1"/>
  <c r="A244" i="12" a="1"/>
  <c r="A244" i="12" s="1"/>
  <c r="C244" i="12" a="1"/>
  <c r="C244" i="12" s="1"/>
  <c r="D244" i="12" s="1"/>
  <c r="K244" i="12" s="1" a="1"/>
  <c r="K244" i="12" s="1"/>
  <c r="A245" i="12" a="1"/>
  <c r="A245" i="12" s="1"/>
  <c r="C245" i="12" a="1"/>
  <c r="C245" i="12"/>
  <c r="D245" i="12" s="1"/>
  <c r="K245" i="12" s="1" a="1"/>
  <c r="K245" i="12" s="1"/>
  <c r="A246" i="12" a="1"/>
  <c r="A246" i="12" s="1"/>
  <c r="C246" i="12" a="1"/>
  <c r="C246" i="12" s="1"/>
  <c r="D246" i="12" s="1"/>
  <c r="K246" i="12" s="1" a="1"/>
  <c r="K246" i="12" s="1"/>
  <c r="A247" i="12" a="1"/>
  <c r="A247" i="12" s="1"/>
  <c r="C247" i="12" a="1"/>
  <c r="C247" i="12" s="1"/>
  <c r="D247" i="12" s="1"/>
  <c r="K247" i="12" s="1" a="1"/>
  <c r="K247" i="12" s="1"/>
  <c r="A248" i="12" a="1"/>
  <c r="A248" i="12" s="1"/>
  <c r="C248" i="12" a="1"/>
  <c r="C248" i="12" s="1"/>
  <c r="D248" i="12" s="1"/>
  <c r="K248" i="12" s="1" a="1"/>
  <c r="K248" i="12" s="1"/>
  <c r="A249" i="12" a="1"/>
  <c r="A249" i="12" s="1"/>
  <c r="B249" i="12" s="1"/>
  <c r="C249" i="12" a="1"/>
  <c r="C249" i="12" s="1"/>
  <c r="D249" i="12" s="1"/>
  <c r="K249" i="12" s="1" a="1"/>
  <c r="K249" i="12" s="1"/>
  <c r="A250" i="12" a="1"/>
  <c r="A250" i="12" s="1"/>
  <c r="H250" i="12" s="1"/>
  <c r="I250" i="12" s="1"/>
  <c r="C250" i="12" a="1"/>
  <c r="C250" i="12" s="1"/>
  <c r="D250" i="12" s="1"/>
  <c r="K250" i="12" s="1" a="1"/>
  <c r="K250" i="12" s="1"/>
  <c r="A251" i="12" a="1"/>
  <c r="A251" i="12" s="1"/>
  <c r="C251" i="12" a="1"/>
  <c r="C251" i="12" s="1"/>
  <c r="D251" i="12" s="1"/>
  <c r="K251" i="12" s="1" a="1"/>
  <c r="K251" i="12" s="1"/>
  <c r="A252" i="12" a="1"/>
  <c r="A252" i="12" s="1"/>
  <c r="C252" i="12" a="1"/>
  <c r="C252" i="12" s="1"/>
  <c r="D252" i="12" s="1"/>
  <c r="K252" i="12" s="1" a="1"/>
  <c r="K252" i="12" s="1"/>
  <c r="A253" i="12" a="1"/>
  <c r="A253" i="12" s="1"/>
  <c r="C253" i="12" a="1"/>
  <c r="C253" i="12" s="1"/>
  <c r="D253" i="12" s="1"/>
  <c r="K253" i="12" s="1" a="1"/>
  <c r="K253" i="12" s="1"/>
  <c r="A254" i="12" a="1"/>
  <c r="A254" i="12" s="1"/>
  <c r="C254" i="12" a="1"/>
  <c r="C254" i="12" s="1"/>
  <c r="D254" i="12" s="1"/>
  <c r="K254" i="12" s="1" a="1"/>
  <c r="K254" i="12" s="1"/>
  <c r="A255" i="12" a="1"/>
  <c r="A255" i="12" s="1"/>
  <c r="F255" i="12" s="1"/>
  <c r="G255" i="12" s="1"/>
  <c r="C255" i="12" a="1"/>
  <c r="C255" i="12" s="1"/>
  <c r="D255" i="12" s="1"/>
  <c r="K255" i="12" s="1" a="1"/>
  <c r="K255" i="12" s="1"/>
  <c r="A256" i="12" a="1"/>
  <c r="A256" i="12" s="1"/>
  <c r="F256" i="12" s="1"/>
  <c r="G256" i="12" s="1"/>
  <c r="C256" i="12" a="1"/>
  <c r="C256" i="12" s="1"/>
  <c r="D256" i="12" s="1"/>
  <c r="K256" i="12" s="1" a="1"/>
  <c r="K256" i="12" s="1"/>
  <c r="A257" i="12" a="1"/>
  <c r="A257" i="12" s="1"/>
  <c r="C257" i="12" a="1"/>
  <c r="C257" i="12" s="1"/>
  <c r="D257" i="12" s="1"/>
  <c r="K257" i="12" s="1" a="1"/>
  <c r="K257" i="12" s="1"/>
  <c r="A258" i="12" a="1"/>
  <c r="A258" i="12" s="1"/>
  <c r="C258" i="12" a="1"/>
  <c r="C258" i="12" s="1"/>
  <c r="D258" i="12" s="1"/>
  <c r="K258" i="12" s="1" a="1"/>
  <c r="K258" i="12" s="1"/>
  <c r="A259" i="12" a="1"/>
  <c r="A259" i="12" s="1"/>
  <c r="C259" i="12" a="1"/>
  <c r="C259" i="12" s="1"/>
  <c r="D259" i="12" s="1"/>
  <c r="K259" i="12" s="1" a="1"/>
  <c r="K259" i="12" s="1"/>
  <c r="A260" i="12" a="1"/>
  <c r="A260" i="12" s="1"/>
  <c r="C260" i="12" a="1"/>
  <c r="C260" i="12" s="1"/>
  <c r="D260" i="12" s="1"/>
  <c r="K260" i="12" s="1" a="1"/>
  <c r="K260" i="12" s="1"/>
  <c r="A261" i="12" a="1"/>
  <c r="A261" i="12" s="1"/>
  <c r="B261" i="12" s="1"/>
  <c r="C261" i="12" a="1"/>
  <c r="C261" i="12" s="1"/>
  <c r="D261" i="12" s="1"/>
  <c r="K261" i="12" s="1" a="1"/>
  <c r="K261" i="12" s="1"/>
  <c r="A262" i="12" a="1"/>
  <c r="A262" i="12" s="1"/>
  <c r="C262" i="12" a="1"/>
  <c r="C262" i="12" s="1"/>
  <c r="D262" i="12" s="1"/>
  <c r="K262" i="12" s="1" a="1"/>
  <c r="K262" i="12" s="1"/>
  <c r="A666" i="11" a="1"/>
  <c r="A666" i="11" s="1"/>
  <c r="C666" i="11" a="1"/>
  <c r="C666" i="11" s="1"/>
  <c r="D666" i="11" s="1"/>
  <c r="K666" i="11" s="1" a="1"/>
  <c r="K666" i="11" s="1"/>
  <c r="A667" i="11" a="1"/>
  <c r="A667" i="11" s="1"/>
  <c r="C667" i="11" a="1"/>
  <c r="C667" i="11" s="1"/>
  <c r="D667" i="11" s="1"/>
  <c r="K667" i="11" s="1" a="1"/>
  <c r="K667" i="11" s="1"/>
  <c r="A668" i="11" a="1"/>
  <c r="A668" i="11" s="1"/>
  <c r="C668" i="11" a="1"/>
  <c r="C668" i="11" s="1"/>
  <c r="D668" i="11" s="1"/>
  <c r="K668" i="11" s="1" a="1"/>
  <c r="K668" i="11" s="1"/>
  <c r="A669" i="11" a="1"/>
  <c r="A669" i="11" s="1"/>
  <c r="B669" i="11" s="1"/>
  <c r="C669" i="11" a="1"/>
  <c r="C669" i="11" s="1"/>
  <c r="D669" i="11" s="1"/>
  <c r="K669" i="11" s="1" a="1"/>
  <c r="K669" i="11" s="1"/>
  <c r="A670" i="11" a="1"/>
  <c r="A670" i="11" s="1"/>
  <c r="C670" i="11" a="1"/>
  <c r="C670" i="11" s="1"/>
  <c r="D670" i="11" s="1"/>
  <c r="K670" i="11" s="1" a="1"/>
  <c r="K670" i="11" s="1"/>
  <c r="A671" i="11" a="1"/>
  <c r="A671" i="11" s="1"/>
  <c r="B671" i="11" s="1"/>
  <c r="C671" i="11" a="1"/>
  <c r="C671" i="11"/>
  <c r="D671" i="11" s="1"/>
  <c r="K671" i="11" s="1" a="1"/>
  <c r="K671" i="11" s="1"/>
  <c r="A672" i="11" a="1"/>
  <c r="A672" i="11" s="1"/>
  <c r="F672" i="11" s="1"/>
  <c r="G672" i="11" s="1"/>
  <c r="C672" i="11" a="1"/>
  <c r="C672" i="11" s="1"/>
  <c r="D672" i="11" s="1"/>
  <c r="K672" i="11" s="1" a="1"/>
  <c r="K672" i="11" s="1"/>
  <c r="A673" i="11" a="1"/>
  <c r="A673" i="11" s="1"/>
  <c r="H673" i="11" s="1"/>
  <c r="I673" i="11" s="1"/>
  <c r="C673" i="11" a="1"/>
  <c r="C673" i="11" s="1"/>
  <c r="D673" i="11" s="1"/>
  <c r="K673" i="11" s="1" a="1"/>
  <c r="K673" i="11" s="1"/>
  <c r="A674" i="11" a="1"/>
  <c r="A674" i="11" s="1"/>
  <c r="H674" i="11" s="1"/>
  <c r="I674" i="11" s="1"/>
  <c r="C674" i="11" a="1"/>
  <c r="C674" i="11" s="1"/>
  <c r="D674" i="11" s="1"/>
  <c r="K674" i="11" s="1" a="1"/>
  <c r="K674" i="11" s="1"/>
  <c r="A675" i="11" a="1"/>
  <c r="A675" i="11" s="1"/>
  <c r="B675" i="11" s="1"/>
  <c r="C675" i="11" a="1"/>
  <c r="C675" i="11" s="1"/>
  <c r="D675" i="11" s="1"/>
  <c r="K675" i="11" s="1" a="1"/>
  <c r="K675" i="11" s="1"/>
  <c r="A676" i="11" a="1"/>
  <c r="A676" i="11" s="1"/>
  <c r="C676" i="11" a="1"/>
  <c r="C676" i="11" s="1"/>
  <c r="D676" i="11" s="1"/>
  <c r="K676" i="11" s="1" a="1"/>
  <c r="K676" i="11" s="1"/>
  <c r="A677" i="11" a="1"/>
  <c r="A677" i="11" s="1"/>
  <c r="C677" i="11" a="1"/>
  <c r="C677" i="11" s="1"/>
  <c r="D677" i="11" s="1"/>
  <c r="K677" i="11" s="1" a="1"/>
  <c r="K677" i="11" s="1"/>
  <c r="A678" i="11" a="1"/>
  <c r="A678" i="11" s="1"/>
  <c r="C678" i="11" a="1"/>
  <c r="C678" i="11" s="1"/>
  <c r="D678" i="11" s="1"/>
  <c r="K678" i="11" s="1" a="1"/>
  <c r="K678" i="11" s="1"/>
  <c r="A679" i="11" a="1"/>
  <c r="A679" i="11" s="1"/>
  <c r="C679" i="11" a="1"/>
  <c r="C679" i="11" s="1"/>
  <c r="D679" i="11" s="1"/>
  <c r="K679" i="11" s="1" a="1"/>
  <c r="K679" i="11" s="1"/>
  <c r="A680" i="11" a="1"/>
  <c r="A680" i="11" s="1"/>
  <c r="C680" i="11" a="1"/>
  <c r="C680" i="11" s="1"/>
  <c r="D680" i="11" s="1"/>
  <c r="K680" i="11" s="1" a="1"/>
  <c r="K680" i="11" s="1"/>
  <c r="A681" i="11" a="1"/>
  <c r="A681" i="11" s="1"/>
  <c r="H681" i="11" s="1"/>
  <c r="I681" i="11" s="1"/>
  <c r="C681" i="11" a="1"/>
  <c r="C681" i="11" s="1"/>
  <c r="D681" i="11" s="1"/>
  <c r="K681" i="11" s="1" a="1"/>
  <c r="K681" i="11" s="1"/>
  <c r="A682" i="11" a="1"/>
  <c r="A682" i="11" s="1"/>
  <c r="F682" i="11" s="1"/>
  <c r="G682" i="11" s="1"/>
  <c r="C682" i="11" a="1"/>
  <c r="C682" i="11" s="1"/>
  <c r="D682" i="11" s="1"/>
  <c r="K682" i="11" s="1" a="1"/>
  <c r="K682" i="11" s="1"/>
  <c r="A683" i="11" a="1"/>
  <c r="A683" i="11" s="1"/>
  <c r="H683" i="11" s="1"/>
  <c r="I683" i="11" s="1"/>
  <c r="C683" i="11" a="1"/>
  <c r="C683" i="11" s="1"/>
  <c r="D683" i="11" s="1"/>
  <c r="K683" i="11" s="1" a="1"/>
  <c r="K683" i="11" s="1"/>
  <c r="A684" i="11" a="1"/>
  <c r="A684" i="11" s="1"/>
  <c r="C684" i="11" a="1"/>
  <c r="C684" i="11" s="1"/>
  <c r="D684" i="11" s="1"/>
  <c r="K684" i="11" s="1" a="1"/>
  <c r="K684" i="11" s="1"/>
  <c r="A685" i="11" a="1"/>
  <c r="A685" i="11" s="1"/>
  <c r="C685" i="11" a="1"/>
  <c r="C685" i="11" s="1"/>
  <c r="D685" i="11" s="1"/>
  <c r="K685" i="11" s="1" a="1"/>
  <c r="K685" i="11" s="1"/>
  <c r="A686" i="11" a="1"/>
  <c r="A686" i="11" s="1"/>
  <c r="C686" i="11" a="1"/>
  <c r="C686" i="11" s="1"/>
  <c r="D686" i="11" s="1"/>
  <c r="K686" i="11" s="1" a="1"/>
  <c r="K686" i="11" s="1"/>
  <c r="A687" i="11" a="1"/>
  <c r="A687" i="11" s="1"/>
  <c r="H687" i="11" s="1"/>
  <c r="I687" i="11" s="1"/>
  <c r="C687" i="11" a="1"/>
  <c r="C687" i="11" s="1"/>
  <c r="D687" i="11"/>
  <c r="K687" i="11" s="1" a="1"/>
  <c r="K687" i="11" s="1"/>
  <c r="A688" i="11" a="1"/>
  <c r="A688" i="11" s="1"/>
  <c r="F688" i="11" s="1"/>
  <c r="G688" i="11" s="1"/>
  <c r="C688" i="11" a="1"/>
  <c r="C688" i="11" s="1"/>
  <c r="D688" i="11" s="1"/>
  <c r="K688" i="11" s="1" a="1"/>
  <c r="K688" i="11" s="1"/>
  <c r="A689" i="11" a="1"/>
  <c r="A689" i="11" s="1"/>
  <c r="H689" i="11" s="1"/>
  <c r="I689" i="11" s="1"/>
  <c r="C689" i="11" a="1"/>
  <c r="C689" i="11" s="1"/>
  <c r="D689" i="11" s="1"/>
  <c r="K689" i="11" s="1" a="1"/>
  <c r="K689" i="11" s="1"/>
  <c r="A690" i="11" a="1"/>
  <c r="A690" i="11" s="1"/>
  <c r="B690" i="11" s="1"/>
  <c r="C690" i="11" a="1"/>
  <c r="C690" i="11" s="1"/>
  <c r="D690" i="11" s="1"/>
  <c r="K690" i="11" s="1" a="1"/>
  <c r="K690" i="11" s="1"/>
  <c r="A691" i="11" a="1"/>
  <c r="A691" i="11" s="1"/>
  <c r="C691" i="11" a="1"/>
  <c r="C691" i="11" s="1"/>
  <c r="D691" i="11" s="1"/>
  <c r="K691" i="11" s="1" a="1"/>
  <c r="K691" i="11" s="1"/>
  <c r="A692" i="11" a="1"/>
  <c r="A692" i="11" s="1"/>
  <c r="B692" i="11" s="1"/>
  <c r="C692" i="11" a="1"/>
  <c r="C692" i="11" s="1"/>
  <c r="D692" i="11" s="1"/>
  <c r="K692" i="11" s="1" a="1"/>
  <c r="K692" i="11" s="1"/>
  <c r="A693" i="11" a="1"/>
  <c r="A693" i="11" s="1"/>
  <c r="H693" i="11" s="1"/>
  <c r="I693" i="11" s="1"/>
  <c r="C693" i="11" a="1"/>
  <c r="C693" i="11" s="1"/>
  <c r="D693" i="11" s="1"/>
  <c r="K693" i="11" s="1" a="1"/>
  <c r="K693" i="11" s="1"/>
  <c r="A694" i="11" a="1"/>
  <c r="A694" i="11" s="1"/>
  <c r="F694" i="11" s="1"/>
  <c r="G694" i="11" s="1"/>
  <c r="C694" i="11" a="1"/>
  <c r="C694" i="11" s="1"/>
  <c r="D694" i="11" s="1"/>
  <c r="K694" i="11" s="1" a="1"/>
  <c r="K694" i="11" s="1"/>
  <c r="A695" i="11" a="1"/>
  <c r="A695" i="11" s="1"/>
  <c r="H695" i="11" s="1"/>
  <c r="I695" i="11" s="1"/>
  <c r="C695" i="11" a="1"/>
  <c r="C695" i="11" s="1"/>
  <c r="D695" i="11" s="1"/>
  <c r="K695" i="11" s="1" a="1"/>
  <c r="K695" i="11" s="1"/>
  <c r="A696" i="11" a="1"/>
  <c r="A696" i="11" s="1"/>
  <c r="C696" i="11" a="1"/>
  <c r="C696" i="11" s="1"/>
  <c r="D696" i="11" s="1"/>
  <c r="K696" i="11" s="1" a="1"/>
  <c r="K696" i="11" s="1"/>
  <c r="A697" i="11" a="1"/>
  <c r="A697" i="11" s="1"/>
  <c r="C697" i="11" a="1"/>
  <c r="C697" i="11" s="1"/>
  <c r="D697" i="11" s="1"/>
  <c r="K697" i="11" s="1" a="1"/>
  <c r="K697" i="11" s="1"/>
  <c r="A698" i="11" a="1"/>
  <c r="A698" i="11" s="1"/>
  <c r="B698" i="11" s="1"/>
  <c r="C698" i="11" a="1"/>
  <c r="C698" i="11" s="1"/>
  <c r="D698" i="11" s="1"/>
  <c r="K698" i="11" s="1" a="1"/>
  <c r="K698" i="11" s="1"/>
  <c r="A699" i="11" a="1"/>
  <c r="A699" i="11" s="1"/>
  <c r="C699" i="11" a="1"/>
  <c r="C699" i="11" s="1"/>
  <c r="D699" i="11" s="1"/>
  <c r="K699" i="11" s="1" a="1"/>
  <c r="K699" i="11" s="1"/>
  <c r="A700" i="11" a="1"/>
  <c r="A700" i="11" s="1"/>
  <c r="F700" i="11" s="1"/>
  <c r="G700" i="11" s="1"/>
  <c r="C700" i="11" a="1"/>
  <c r="C700" i="11" s="1"/>
  <c r="D700" i="11" s="1"/>
  <c r="K700" i="11" s="1" a="1"/>
  <c r="K700" i="11" s="1"/>
  <c r="A701" i="11" a="1"/>
  <c r="A701" i="11" s="1"/>
  <c r="H701" i="11" s="1"/>
  <c r="I701" i="11" s="1"/>
  <c r="C701" i="11" a="1"/>
  <c r="C701" i="11" s="1"/>
  <c r="D701" i="11" s="1"/>
  <c r="K701" i="11" s="1" a="1"/>
  <c r="K701" i="11" s="1"/>
  <c r="A702" i="11" a="1"/>
  <c r="A702" i="11" s="1"/>
  <c r="C702" i="11" a="1"/>
  <c r="C702" i="11" s="1"/>
  <c r="D702" i="11" s="1"/>
  <c r="K702" i="11" s="1" a="1"/>
  <c r="K702" i="11" s="1"/>
  <c r="A703" i="11" a="1"/>
  <c r="A703" i="11" s="1"/>
  <c r="C703" i="11" a="1"/>
  <c r="C703" i="11" s="1"/>
  <c r="D703" i="11" s="1"/>
  <c r="K703" i="11" s="1" a="1"/>
  <c r="K703" i="11" s="1"/>
  <c r="A704" i="11" a="1"/>
  <c r="A704" i="11" s="1"/>
  <c r="B704" i="11" s="1"/>
  <c r="C704" i="11" a="1"/>
  <c r="C704" i="11" s="1"/>
  <c r="D704" i="11" s="1"/>
  <c r="K704" i="11" s="1" a="1"/>
  <c r="K704" i="11" s="1"/>
  <c r="A705" i="11" a="1"/>
  <c r="A705" i="11" s="1"/>
  <c r="F705" i="11" s="1"/>
  <c r="G705" i="11" s="1"/>
  <c r="C705" i="11" a="1"/>
  <c r="C705" i="11" s="1"/>
  <c r="D705" i="11" s="1"/>
  <c r="K705" i="11" s="1" a="1"/>
  <c r="K705" i="11" s="1"/>
  <c r="A706" i="11" a="1"/>
  <c r="A706" i="11" s="1"/>
  <c r="F706" i="11" s="1"/>
  <c r="G706" i="11" s="1"/>
  <c r="C706" i="11" a="1"/>
  <c r="C706" i="11" s="1"/>
  <c r="D706" i="11" s="1"/>
  <c r="K706" i="11" s="1" a="1"/>
  <c r="K706" i="11" s="1"/>
  <c r="A707" i="11" a="1"/>
  <c r="A707" i="11" s="1"/>
  <c r="C707" i="11" a="1"/>
  <c r="C707" i="11" s="1"/>
  <c r="D707" i="11" s="1"/>
  <c r="K707" i="11" s="1" a="1"/>
  <c r="K707" i="11" s="1"/>
  <c r="A708" i="11" a="1"/>
  <c r="A708" i="11" s="1"/>
  <c r="C708" i="11" a="1"/>
  <c r="C708" i="11" s="1"/>
  <c r="D708" i="11" s="1"/>
  <c r="K708" i="11" s="1" a="1"/>
  <c r="K708" i="11" s="1"/>
  <c r="A709" i="11" a="1"/>
  <c r="A709" i="11" s="1"/>
  <c r="B709" i="11" s="1"/>
  <c r="C709" i="11" a="1"/>
  <c r="C709" i="11" s="1"/>
  <c r="D709" i="11" s="1"/>
  <c r="K709" i="11" s="1" a="1"/>
  <c r="K709" i="11" s="1"/>
  <c r="A710" i="11" a="1"/>
  <c r="A710" i="11" s="1"/>
  <c r="B710" i="11" s="1"/>
  <c r="C710" i="11" a="1"/>
  <c r="C710" i="11" s="1"/>
  <c r="D710" i="11" s="1"/>
  <c r="K710" i="11" s="1" a="1"/>
  <c r="K710" i="11" s="1"/>
  <c r="A711" i="11" a="1"/>
  <c r="A711" i="11" s="1"/>
  <c r="F711" i="11" s="1"/>
  <c r="G711" i="11" s="1"/>
  <c r="C711" i="11" a="1"/>
  <c r="C711" i="11" s="1"/>
  <c r="D711" i="11" s="1"/>
  <c r="K711" i="11" s="1" a="1"/>
  <c r="K711" i="11" s="1"/>
  <c r="A712" i="11" a="1"/>
  <c r="A712" i="11" s="1"/>
  <c r="C712" i="11" a="1"/>
  <c r="C712" i="11" s="1"/>
  <c r="D712" i="11" s="1"/>
  <c r="K712" i="11" s="1" a="1"/>
  <c r="K712" i="11" s="1"/>
  <c r="A713" i="11" a="1"/>
  <c r="A713" i="11" s="1"/>
  <c r="C713" i="11" a="1"/>
  <c r="C713" i="11" s="1"/>
  <c r="D713" i="11" s="1"/>
  <c r="K713" i="11" s="1" a="1"/>
  <c r="K713" i="11" s="1"/>
  <c r="A714" i="11" a="1"/>
  <c r="A714" i="11" s="1"/>
  <c r="F714" i="11" s="1"/>
  <c r="G714" i="11" s="1"/>
  <c r="C714" i="11" a="1"/>
  <c r="C714" i="11" s="1"/>
  <c r="D714" i="11" s="1"/>
  <c r="K714" i="11" s="1" a="1"/>
  <c r="K714" i="11" s="1"/>
  <c r="A715" i="11" a="1"/>
  <c r="A715" i="11" s="1"/>
  <c r="C715" i="11" a="1"/>
  <c r="C715" i="11" s="1"/>
  <c r="D715" i="11" s="1"/>
  <c r="K715" i="11" s="1" a="1"/>
  <c r="K715" i="11" s="1"/>
  <c r="A716" i="11" a="1"/>
  <c r="A716" i="11" s="1"/>
  <c r="H716" i="11" s="1"/>
  <c r="I716" i="11" s="1"/>
  <c r="C716" i="11" a="1"/>
  <c r="C716" i="11" s="1"/>
  <c r="D716" i="11" s="1"/>
  <c r="K716" i="11" s="1" a="1"/>
  <c r="K716" i="11" s="1"/>
  <c r="A717" i="11" a="1"/>
  <c r="A717" i="11" s="1"/>
  <c r="H717" i="11" s="1"/>
  <c r="I717" i="11" s="1"/>
  <c r="C717" i="11" a="1"/>
  <c r="C717" i="11" s="1"/>
  <c r="D717" i="11" s="1"/>
  <c r="K717" i="11" s="1" a="1"/>
  <c r="K717" i="11" s="1"/>
  <c r="A718" i="11" a="1"/>
  <c r="A718" i="11" s="1"/>
  <c r="H718" i="11" s="1"/>
  <c r="I718" i="11" s="1"/>
  <c r="C718" i="11" a="1"/>
  <c r="C718" i="11" s="1"/>
  <c r="D718" i="11" s="1"/>
  <c r="K718" i="11" s="1" a="1"/>
  <c r="K718" i="11" s="1"/>
  <c r="A719" i="11" a="1"/>
  <c r="A719" i="11" s="1"/>
  <c r="C719" i="11" a="1"/>
  <c r="C719" i="11" s="1"/>
  <c r="D719" i="11" s="1"/>
  <c r="K719" i="11" s="1" a="1"/>
  <c r="K719" i="11" s="1"/>
  <c r="A720" i="11" a="1"/>
  <c r="A720" i="11" s="1"/>
  <c r="F720" i="11" s="1"/>
  <c r="G720" i="11" s="1"/>
  <c r="C720" i="11" a="1"/>
  <c r="C720" i="11" s="1"/>
  <c r="D720" i="11" s="1"/>
  <c r="K720" i="11" s="1" a="1"/>
  <c r="K720" i="11" s="1"/>
  <c r="A721" i="11" a="1"/>
  <c r="A721" i="11" s="1"/>
  <c r="B721" i="11" s="1"/>
  <c r="C721" i="11" a="1"/>
  <c r="C721" i="11" s="1"/>
  <c r="D721" i="11" s="1"/>
  <c r="K721" i="11" s="1" a="1"/>
  <c r="K721" i="11" s="1"/>
  <c r="A722" i="11" a="1"/>
  <c r="A722" i="11" s="1"/>
  <c r="H722" i="11" s="1"/>
  <c r="I722" i="11" s="1"/>
  <c r="C722" i="11" a="1"/>
  <c r="C722" i="11" s="1"/>
  <c r="D722" i="11" s="1"/>
  <c r="K722" i="11" s="1" a="1"/>
  <c r="K722" i="11" s="1"/>
  <c r="A723" i="11" a="1"/>
  <c r="A723" i="11" s="1"/>
  <c r="C723" i="11" a="1"/>
  <c r="C723" i="11" s="1"/>
  <c r="D723" i="11" s="1"/>
  <c r="K723" i="11" s="1" a="1"/>
  <c r="K723" i="11" s="1"/>
  <c r="A724" i="11" a="1"/>
  <c r="A724" i="11" s="1"/>
  <c r="F724" i="11" s="1"/>
  <c r="G724" i="11" s="1"/>
  <c r="C724" i="11" a="1"/>
  <c r="C724" i="11" s="1"/>
  <c r="D724" i="11" s="1"/>
  <c r="K724" i="11" s="1" a="1"/>
  <c r="K724" i="11" s="1"/>
  <c r="A725" i="11" a="1"/>
  <c r="A725" i="11" s="1"/>
  <c r="B725" i="11" s="1"/>
  <c r="C725" i="11" a="1"/>
  <c r="C725" i="11" s="1"/>
  <c r="D725" i="11" s="1"/>
  <c r="K725" i="11" s="1" a="1"/>
  <c r="K725" i="11" s="1"/>
  <c r="A726" i="11" a="1"/>
  <c r="A726" i="11" s="1"/>
  <c r="F726" i="11" s="1"/>
  <c r="G726" i="11" s="1"/>
  <c r="C726" i="11" a="1"/>
  <c r="C726" i="11" s="1"/>
  <c r="D726" i="11" s="1"/>
  <c r="K726" i="11" s="1" a="1"/>
  <c r="K726" i="11" s="1"/>
  <c r="A727" i="11" a="1"/>
  <c r="A727" i="11" s="1"/>
  <c r="C727" i="11" a="1"/>
  <c r="C727" i="11" s="1"/>
  <c r="D727" i="11" s="1"/>
  <c r="K727" i="11" s="1" a="1"/>
  <c r="K727" i="11" s="1"/>
  <c r="A728" i="11" a="1"/>
  <c r="A728" i="11" s="1"/>
  <c r="H728" i="11" s="1"/>
  <c r="I728" i="11" s="1"/>
  <c r="C728" i="11" a="1"/>
  <c r="C728" i="11" s="1"/>
  <c r="D728" i="11" s="1"/>
  <c r="K728" i="11" s="1" a="1"/>
  <c r="K728" i="11" s="1"/>
  <c r="A729" i="11" a="1"/>
  <c r="A729" i="11" s="1"/>
  <c r="C729" i="11" a="1"/>
  <c r="C729" i="11" s="1"/>
  <c r="D729" i="11" s="1"/>
  <c r="K729" i="11" s="1" a="1"/>
  <c r="K729" i="11" s="1"/>
  <c r="A730" i="11" a="1"/>
  <c r="A730" i="11" s="1"/>
  <c r="B730" i="11" s="1"/>
  <c r="C730" i="11" a="1"/>
  <c r="C730" i="11" s="1"/>
  <c r="D730" i="11" s="1"/>
  <c r="K730" i="11" s="1" a="1"/>
  <c r="K730" i="11" s="1"/>
  <c r="A731" i="11" a="1"/>
  <c r="A731" i="11" s="1"/>
  <c r="C731" i="11" a="1"/>
  <c r="C731" i="11" s="1"/>
  <c r="D731" i="11" s="1"/>
  <c r="K731" i="11" s="1" a="1"/>
  <c r="K731" i="11" s="1"/>
  <c r="A732" i="11" a="1"/>
  <c r="A732" i="11" s="1"/>
  <c r="H732" i="11" s="1"/>
  <c r="I732" i="11" s="1"/>
  <c r="C732" i="11" a="1"/>
  <c r="C732" i="11" s="1"/>
  <c r="D732" i="11" s="1"/>
  <c r="K732" i="11" s="1" a="1"/>
  <c r="K732" i="11" s="1"/>
  <c r="A733" i="11" a="1"/>
  <c r="A733" i="11" s="1"/>
  <c r="B733" i="11" s="1"/>
  <c r="C733" i="11" a="1"/>
  <c r="C733" i="11" s="1"/>
  <c r="D733" i="11" s="1"/>
  <c r="K733" i="11" s="1" a="1"/>
  <c r="K733" i="11" s="1"/>
  <c r="A734" i="11" a="1"/>
  <c r="A734" i="11" s="1"/>
  <c r="C734" i="11" a="1"/>
  <c r="C734" i="11" s="1"/>
  <c r="D734" i="11" s="1"/>
  <c r="K734" i="11" s="1" a="1"/>
  <c r="K734" i="11" s="1"/>
  <c r="A735" i="11" a="1"/>
  <c r="A735" i="11" s="1"/>
  <c r="C735" i="11" a="1"/>
  <c r="C735" i="11" s="1"/>
  <c r="D735" i="11" s="1"/>
  <c r="K735" i="11" s="1" a="1"/>
  <c r="K735" i="11" s="1"/>
  <c r="A736" i="11" a="1"/>
  <c r="A736" i="11" s="1"/>
  <c r="C736" i="11" a="1"/>
  <c r="C736" i="11" s="1"/>
  <c r="D736" i="11" s="1"/>
  <c r="K736" i="11" s="1" a="1"/>
  <c r="K736" i="11" s="1"/>
  <c r="A737" i="11" a="1"/>
  <c r="A737" i="11" s="1"/>
  <c r="C737" i="11" a="1"/>
  <c r="C737" i="11"/>
  <c r="D737" i="11" s="1"/>
  <c r="K737" i="11" s="1" a="1"/>
  <c r="K737" i="11" s="1"/>
  <c r="A738" i="11" a="1"/>
  <c r="A738" i="11" s="1"/>
  <c r="F738" i="11" s="1"/>
  <c r="G738" i="11" s="1"/>
  <c r="C738" i="11" a="1"/>
  <c r="C738" i="11" s="1"/>
  <c r="D738" i="11" s="1"/>
  <c r="K738" i="11" s="1" a="1"/>
  <c r="K738" i="11" s="1"/>
  <c r="A739" i="11" a="1"/>
  <c r="A739" i="11" s="1"/>
  <c r="B739" i="11" s="1"/>
  <c r="C739" i="11" a="1"/>
  <c r="C739" i="11" s="1"/>
  <c r="D739" i="11" s="1"/>
  <c r="K739" i="11" s="1" a="1"/>
  <c r="K739" i="11" s="1"/>
  <c r="A740" i="11" a="1"/>
  <c r="A740" i="11" s="1"/>
  <c r="C740" i="11" a="1"/>
  <c r="C740" i="11" s="1"/>
  <c r="D740" i="11" s="1"/>
  <c r="K740" i="11" s="1" a="1"/>
  <c r="K740" i="11" s="1"/>
  <c r="A741" i="11" a="1"/>
  <c r="A741" i="11" s="1"/>
  <c r="C741" i="11" a="1"/>
  <c r="C741" i="11" s="1"/>
  <c r="D741" i="11" s="1"/>
  <c r="K741" i="11" s="1" a="1"/>
  <c r="K741" i="11" s="1"/>
  <c r="A742" i="11" a="1"/>
  <c r="A742" i="11" s="1"/>
  <c r="B742" i="11" s="1"/>
  <c r="C742" i="11" a="1"/>
  <c r="C742" i="11" s="1"/>
  <c r="D742" i="11" s="1"/>
  <c r="K742" i="11" s="1" a="1"/>
  <c r="K742" i="11" s="1"/>
  <c r="A743" i="11" a="1"/>
  <c r="A743" i="11" s="1"/>
  <c r="C743" i="11" a="1"/>
  <c r="C743" i="11" s="1"/>
  <c r="D743" i="11" s="1"/>
  <c r="K743" i="11" s="1" a="1"/>
  <c r="K743" i="11" s="1"/>
  <c r="A744" i="11" a="1"/>
  <c r="A744" i="11" s="1"/>
  <c r="F744" i="11" s="1"/>
  <c r="G744" i="11" s="1"/>
  <c r="C744" i="11" a="1"/>
  <c r="C744" i="11" s="1"/>
  <c r="D744" i="11" s="1"/>
  <c r="K744" i="11" s="1" a="1"/>
  <c r="K744" i="11" s="1"/>
  <c r="A745" i="11" a="1"/>
  <c r="A745" i="11" s="1"/>
  <c r="F745" i="11" s="1"/>
  <c r="G745" i="11" s="1"/>
  <c r="C745" i="11" a="1"/>
  <c r="C745" i="11" s="1"/>
  <c r="D745" i="11" s="1"/>
  <c r="K745" i="11" s="1" a="1"/>
  <c r="K745" i="11" s="1"/>
  <c r="A746" i="11" a="1"/>
  <c r="A746" i="11" s="1"/>
  <c r="C746" i="11" a="1"/>
  <c r="C746" i="11" s="1"/>
  <c r="D746" i="11" s="1"/>
  <c r="K746" i="11" s="1" a="1"/>
  <c r="K746" i="11" s="1"/>
  <c r="A747" i="11" a="1"/>
  <c r="A747" i="11" s="1"/>
  <c r="F747" i="11" s="1"/>
  <c r="G747" i="11" s="1"/>
  <c r="C747" i="11" a="1"/>
  <c r="C747" i="11" s="1"/>
  <c r="D747" i="11" s="1"/>
  <c r="K747" i="11" s="1" a="1"/>
  <c r="K747" i="11" s="1"/>
  <c r="A748" i="11" a="1"/>
  <c r="A748" i="11" s="1"/>
  <c r="C748" i="11" a="1"/>
  <c r="C748" i="11" s="1"/>
  <c r="D748" i="11" s="1"/>
  <c r="K748" i="11" s="1" a="1"/>
  <c r="K748" i="11" s="1"/>
  <c r="A749" i="11" a="1"/>
  <c r="A749" i="11" s="1"/>
  <c r="C749" i="11" a="1"/>
  <c r="C749" i="11" s="1"/>
  <c r="D749" i="11" s="1"/>
  <c r="K749" i="11" s="1" a="1"/>
  <c r="K749" i="11" s="1"/>
  <c r="A750" i="11" a="1"/>
  <c r="A750" i="11" s="1"/>
  <c r="C750" i="11" a="1"/>
  <c r="C750" i="11" s="1"/>
  <c r="D750" i="11" s="1"/>
  <c r="K750" i="11" s="1" a="1"/>
  <c r="K750" i="11" s="1"/>
  <c r="A751" i="11" a="1"/>
  <c r="A751" i="11" s="1"/>
  <c r="C751" i="11" a="1"/>
  <c r="C751" i="11" s="1"/>
  <c r="D751" i="11" s="1"/>
  <c r="K751" i="11" s="1" a="1"/>
  <c r="K751" i="11" s="1"/>
  <c r="A752" i="11" a="1"/>
  <c r="A752" i="11" s="1"/>
  <c r="C752" i="11" a="1"/>
  <c r="C752" i="11" s="1"/>
  <c r="D752" i="11" s="1"/>
  <c r="K752" i="11" s="1" a="1"/>
  <c r="K752" i="11" s="1"/>
  <c r="A753" i="11" a="1"/>
  <c r="A753" i="11" s="1"/>
  <c r="C753" i="11" a="1"/>
  <c r="C753" i="11" s="1"/>
  <c r="D753" i="11" s="1"/>
  <c r="K753" i="11" s="1" a="1"/>
  <c r="K753" i="11" s="1"/>
  <c r="A754" i="11" a="1"/>
  <c r="A754" i="11" s="1"/>
  <c r="B754" i="11" s="1"/>
  <c r="C754" i="11" a="1"/>
  <c r="C754" i="11" s="1"/>
  <c r="D754" i="11" s="1"/>
  <c r="K754" i="11" s="1" a="1"/>
  <c r="K754" i="11" s="1"/>
  <c r="A755" i="11" a="1"/>
  <c r="A755" i="11"/>
  <c r="C755" i="11" a="1"/>
  <c r="C755" i="11" s="1"/>
  <c r="D755" i="11" s="1"/>
  <c r="K755" i="11" s="1" a="1"/>
  <c r="K755" i="11" s="1"/>
  <c r="A756" i="11" a="1"/>
  <c r="A756" i="11" s="1"/>
  <c r="F756" i="11" s="1"/>
  <c r="G756" i="11" s="1"/>
  <c r="C756" i="11" a="1"/>
  <c r="C756" i="11" s="1"/>
  <c r="D756" i="11" s="1"/>
  <c r="K756" i="11" s="1" a="1"/>
  <c r="K756" i="11" s="1"/>
  <c r="A757" i="11" a="1"/>
  <c r="A757" i="11" s="1"/>
  <c r="H757" i="11" s="1"/>
  <c r="I757" i="11" s="1"/>
  <c r="C757" i="11" a="1"/>
  <c r="C757" i="11" s="1"/>
  <c r="D757" i="11" s="1"/>
  <c r="K757" i="11" s="1" a="1"/>
  <c r="K757" i="11" s="1"/>
  <c r="A758" i="11" a="1"/>
  <c r="A758" i="11" s="1"/>
  <c r="C758" i="11" a="1"/>
  <c r="C758" i="11" s="1"/>
  <c r="D758" i="11" s="1"/>
  <c r="K758" i="11" s="1" a="1"/>
  <c r="K758" i="11" s="1"/>
  <c r="A759" i="11" a="1"/>
  <c r="A759" i="11" s="1"/>
  <c r="F759" i="11" s="1"/>
  <c r="G759" i="11" s="1"/>
  <c r="C759" i="11" a="1"/>
  <c r="C759" i="11" s="1"/>
  <c r="D759" i="11" s="1"/>
  <c r="K759" i="11" s="1" a="1"/>
  <c r="K759" i="11" s="1"/>
  <c r="A760" i="11" a="1"/>
  <c r="A760" i="11" s="1"/>
  <c r="C760" i="11" a="1"/>
  <c r="C760" i="11" s="1"/>
  <c r="D760" i="11" s="1"/>
  <c r="K760" i="11" s="1" a="1"/>
  <c r="K760" i="11" s="1"/>
  <c r="A761" i="11" a="1"/>
  <c r="A761" i="11" s="1"/>
  <c r="C761" i="11" a="1"/>
  <c r="C761" i="11" s="1"/>
  <c r="D761" i="11" s="1"/>
  <c r="K761" i="11" s="1" a="1"/>
  <c r="K761" i="11" s="1"/>
  <c r="A762" i="11" a="1"/>
  <c r="A762" i="11" s="1"/>
  <c r="C762" i="11" a="1"/>
  <c r="C762" i="11" s="1"/>
  <c r="D762" i="11" s="1"/>
  <c r="K762" i="11" s="1" a="1"/>
  <c r="K762" i="11" s="1"/>
  <c r="A763" i="11" a="1"/>
  <c r="A763" i="11" s="1"/>
  <c r="B763" i="11" s="1"/>
  <c r="C763" i="11" a="1"/>
  <c r="C763" i="11" s="1"/>
  <c r="D763" i="11" s="1"/>
  <c r="K763" i="11" s="1" a="1"/>
  <c r="K763" i="11" s="1"/>
  <c r="A764" i="11" a="1"/>
  <c r="A764" i="11" s="1"/>
  <c r="B764" i="11" s="1"/>
  <c r="C764" i="11" a="1"/>
  <c r="C764" i="11" s="1"/>
  <c r="D764" i="11" s="1"/>
  <c r="K764" i="11" s="1" a="1"/>
  <c r="K764" i="11" s="1"/>
  <c r="A765" i="11" a="1"/>
  <c r="A765" i="11" s="1"/>
  <c r="B765" i="11"/>
  <c r="C765" i="11" a="1"/>
  <c r="C765" i="11" s="1"/>
  <c r="D765" i="11" s="1"/>
  <c r="K765" i="11" s="1" a="1"/>
  <c r="K765" i="11" s="1"/>
  <c r="A766" i="11" a="1"/>
  <c r="A766" i="11" s="1"/>
  <c r="B766" i="11" s="1"/>
  <c r="C766" i="11" a="1"/>
  <c r="C766" i="11" s="1"/>
  <c r="D766" i="11" s="1"/>
  <c r="K766" i="11" s="1" a="1"/>
  <c r="K766" i="11" s="1"/>
  <c r="A767" i="11" a="1"/>
  <c r="A767" i="11" s="1"/>
  <c r="C767" i="11" a="1"/>
  <c r="C767" i="11" s="1"/>
  <c r="D767" i="11" s="1"/>
  <c r="K767" i="11" s="1" a="1"/>
  <c r="K767" i="11" s="1"/>
  <c r="A768" i="11" a="1"/>
  <c r="A768" i="11" s="1"/>
  <c r="C768" i="11" a="1"/>
  <c r="C768" i="11" s="1"/>
  <c r="D768" i="11" s="1"/>
  <c r="K768" i="11" s="1" a="1"/>
  <c r="K768" i="11" s="1"/>
  <c r="A769" i="11" a="1"/>
  <c r="A769" i="11" s="1"/>
  <c r="C769" i="11" a="1"/>
  <c r="C769" i="11" s="1"/>
  <c r="D769" i="11" s="1"/>
  <c r="K769" i="11" s="1" a="1"/>
  <c r="K769" i="11" s="1"/>
  <c r="A770" i="11" a="1"/>
  <c r="A770" i="11" s="1"/>
  <c r="F770" i="11" s="1"/>
  <c r="G770" i="11" s="1"/>
  <c r="C770" i="11" a="1"/>
  <c r="C770" i="11" s="1"/>
  <c r="D770" i="11" s="1"/>
  <c r="K770" i="11" s="1" a="1"/>
  <c r="K770" i="11" s="1"/>
  <c r="A771" i="11" a="1"/>
  <c r="A771" i="11" s="1"/>
  <c r="F771" i="11" s="1"/>
  <c r="G771" i="11" s="1"/>
  <c r="C771" i="11" a="1"/>
  <c r="C771" i="11" s="1"/>
  <c r="D771" i="11" s="1"/>
  <c r="K771" i="11" s="1" a="1"/>
  <c r="K771" i="11" s="1"/>
  <c r="A772" i="11" a="1"/>
  <c r="A772" i="11" s="1"/>
  <c r="F772" i="11" s="1"/>
  <c r="G772" i="11" s="1"/>
  <c r="C772" i="11" a="1"/>
  <c r="C772" i="11" s="1"/>
  <c r="D772" i="11" s="1"/>
  <c r="K772" i="11" s="1" a="1"/>
  <c r="K772" i="11" s="1"/>
  <c r="A773" i="11" a="1"/>
  <c r="A773" i="11" s="1"/>
  <c r="F773" i="11" s="1"/>
  <c r="G773" i="11" s="1"/>
  <c r="C773" i="11" a="1"/>
  <c r="C773" i="11" s="1"/>
  <c r="D773" i="11" s="1"/>
  <c r="K773" i="11" s="1" a="1"/>
  <c r="K773" i="11" s="1"/>
  <c r="A774" i="11" a="1"/>
  <c r="A774" i="11" s="1"/>
  <c r="H774" i="11" s="1"/>
  <c r="I774" i="11" s="1"/>
  <c r="C774" i="11" a="1"/>
  <c r="C774" i="11" s="1"/>
  <c r="D774" i="11" s="1"/>
  <c r="K774" i="11" s="1" a="1"/>
  <c r="K774" i="11" s="1"/>
  <c r="A775" i="11" a="1"/>
  <c r="A775" i="11" s="1"/>
  <c r="C775" i="11" a="1"/>
  <c r="C775" i="11" s="1"/>
  <c r="D775" i="11" s="1"/>
  <c r="K775" i="11" s="1" a="1"/>
  <c r="K775" i="11" s="1"/>
  <c r="A776" i="11" a="1"/>
  <c r="A776" i="11" s="1"/>
  <c r="C776" i="11" a="1"/>
  <c r="C776" i="11" s="1"/>
  <c r="D776" i="11" s="1"/>
  <c r="K776" i="11" s="1" a="1"/>
  <c r="K776" i="11" s="1"/>
  <c r="A777" i="11" a="1"/>
  <c r="A777" i="11" s="1"/>
  <c r="C777" i="11" a="1"/>
  <c r="C777" i="11" s="1"/>
  <c r="D777" i="11" s="1"/>
  <c r="K777" i="11" s="1" a="1"/>
  <c r="K777" i="11" s="1"/>
  <c r="A778" i="11" a="1"/>
  <c r="A778" i="11" s="1"/>
  <c r="B778" i="11" s="1"/>
  <c r="C778" i="11" a="1"/>
  <c r="C778" i="11" s="1"/>
  <c r="D778" i="11" s="1"/>
  <c r="K778" i="11" s="1" a="1"/>
  <c r="K778" i="11" s="1"/>
  <c r="A779" i="11" a="1"/>
  <c r="A779" i="11" s="1"/>
  <c r="C779" i="11" a="1"/>
  <c r="C779" i="11" s="1"/>
  <c r="D779" i="11" s="1"/>
  <c r="K779" i="11" s="1" a="1"/>
  <c r="K779" i="11" s="1"/>
  <c r="A780" i="11" a="1"/>
  <c r="A780" i="11" s="1"/>
  <c r="H780" i="11" s="1"/>
  <c r="I780" i="11" s="1"/>
  <c r="C780" i="11" a="1"/>
  <c r="C780" i="11" s="1"/>
  <c r="D780" i="11" s="1"/>
  <c r="K780" i="11" s="1" a="1"/>
  <c r="K780" i="11" s="1"/>
  <c r="A781" i="11" a="1"/>
  <c r="A781" i="11" s="1"/>
  <c r="B781" i="11" s="1"/>
  <c r="C781" i="11" a="1"/>
  <c r="C781" i="11" s="1"/>
  <c r="D781" i="11" s="1"/>
  <c r="K781" i="11" s="1" a="1"/>
  <c r="K781" i="11" s="1"/>
  <c r="A782" i="11" a="1"/>
  <c r="A782" i="11" s="1"/>
  <c r="F782" i="11" s="1"/>
  <c r="G782" i="11" s="1"/>
  <c r="C782" i="11" a="1"/>
  <c r="C782" i="11" s="1"/>
  <c r="D782" i="11" s="1"/>
  <c r="K782" i="11" s="1" a="1"/>
  <c r="K782" i="11" s="1"/>
  <c r="A783" i="11" a="1"/>
  <c r="A783" i="11" s="1"/>
  <c r="B783" i="11" s="1"/>
  <c r="C783" i="11" a="1"/>
  <c r="C783" i="11" s="1"/>
  <c r="D783" i="11" s="1"/>
  <c r="K783" i="11" s="1" a="1"/>
  <c r="K783" i="11" s="1"/>
  <c r="A784" i="11" a="1"/>
  <c r="A784" i="11" s="1"/>
  <c r="C784" i="11" a="1"/>
  <c r="C784" i="11" s="1"/>
  <c r="D784" i="11" s="1"/>
  <c r="K784" i="11" s="1" a="1"/>
  <c r="K784" i="11" s="1"/>
  <c r="A785" i="11" a="1"/>
  <c r="A785" i="11" s="1"/>
  <c r="F785" i="11" s="1"/>
  <c r="G785" i="11" s="1"/>
  <c r="C785" i="11" a="1"/>
  <c r="C785" i="11" s="1"/>
  <c r="D785" i="11" s="1"/>
  <c r="K785" i="11" s="1" a="1"/>
  <c r="K785" i="11" s="1"/>
  <c r="A786" i="11" a="1"/>
  <c r="A786" i="11" s="1"/>
  <c r="H786" i="11" s="1"/>
  <c r="I786" i="11" s="1"/>
  <c r="C786" i="11" a="1"/>
  <c r="C786" i="11" s="1"/>
  <c r="D786" i="11" s="1"/>
  <c r="K786" i="11" s="1" a="1"/>
  <c r="K786" i="11" s="1"/>
  <c r="A787" i="11" a="1"/>
  <c r="A787" i="11" s="1"/>
  <c r="C787" i="11" a="1"/>
  <c r="C787" i="11" s="1"/>
  <c r="D787" i="11" s="1"/>
  <c r="K787" i="11" s="1" a="1"/>
  <c r="K787" i="11" s="1"/>
  <c r="A788" i="11" a="1"/>
  <c r="A788" i="11" s="1"/>
  <c r="B788" i="11" s="1"/>
  <c r="C788" i="11" a="1"/>
  <c r="C788" i="11" s="1"/>
  <c r="D788" i="11" s="1"/>
  <c r="K788" i="11" s="1" a="1"/>
  <c r="K788" i="11" s="1"/>
  <c r="A789" i="11" a="1"/>
  <c r="A789" i="11" s="1"/>
  <c r="C789" i="11" a="1"/>
  <c r="C789" i="11" s="1"/>
  <c r="D789" i="11" s="1"/>
  <c r="K789" i="11" s="1" a="1"/>
  <c r="K789" i="11" s="1"/>
  <c r="A790" i="11" a="1"/>
  <c r="A790" i="11" s="1"/>
  <c r="F790" i="11" s="1"/>
  <c r="G790" i="11" s="1"/>
  <c r="C790" i="11" a="1"/>
  <c r="C790" i="11" s="1"/>
  <c r="D790" i="11" s="1"/>
  <c r="K790" i="11" s="1" a="1"/>
  <c r="K790" i="11" s="1"/>
  <c r="A791" i="11" a="1"/>
  <c r="A791" i="11" s="1"/>
  <c r="C791" i="11" a="1"/>
  <c r="C791" i="11" s="1"/>
  <c r="D791" i="11" s="1"/>
  <c r="K791" i="11" s="1" a="1"/>
  <c r="K791" i="11" s="1"/>
  <c r="A792" i="11" a="1"/>
  <c r="A792" i="11" s="1"/>
  <c r="C792" i="11" a="1"/>
  <c r="C792" i="11" s="1"/>
  <c r="D792" i="11" s="1"/>
  <c r="K792" i="11" s="1" a="1"/>
  <c r="K792" i="11" s="1"/>
  <c r="A793" i="11" a="1"/>
  <c r="A793" i="11" s="1"/>
  <c r="C793" i="11" a="1"/>
  <c r="C793" i="11" s="1"/>
  <c r="D793" i="11" s="1"/>
  <c r="K793" i="11" s="1" a="1"/>
  <c r="K793" i="11" s="1"/>
  <c r="A794" i="11" a="1"/>
  <c r="A794" i="11" s="1"/>
  <c r="B794" i="11" s="1"/>
  <c r="C794" i="11" a="1"/>
  <c r="C794" i="11" s="1"/>
  <c r="D794" i="11" s="1"/>
  <c r="K794" i="11" s="1" a="1"/>
  <c r="K794" i="11" s="1"/>
  <c r="A795" i="11" a="1"/>
  <c r="A795" i="11" s="1"/>
  <c r="B795" i="11" s="1"/>
  <c r="C795" i="11" a="1"/>
  <c r="C795" i="11" s="1"/>
  <c r="D795" i="11" s="1"/>
  <c r="K795" i="11" s="1" a="1"/>
  <c r="K795" i="11" s="1"/>
  <c r="A796" i="11" a="1"/>
  <c r="A796" i="11" s="1"/>
  <c r="B796" i="11" s="1"/>
  <c r="C796" i="11" a="1"/>
  <c r="C796" i="11" s="1"/>
  <c r="D796" i="11" s="1"/>
  <c r="K796" i="11" s="1" a="1"/>
  <c r="K796" i="11" s="1"/>
  <c r="A797" i="11" a="1"/>
  <c r="A797" i="11" s="1"/>
  <c r="C797" i="11" a="1"/>
  <c r="C797" i="11" s="1"/>
  <c r="D797" i="11" s="1"/>
  <c r="K797" i="11" s="1" a="1"/>
  <c r="K797" i="11" s="1"/>
  <c r="A798" i="11" a="1"/>
  <c r="A798" i="11" s="1"/>
  <c r="C798" i="11" a="1"/>
  <c r="C798" i="11" s="1"/>
  <c r="D798" i="11" s="1"/>
  <c r="K798" i="11" s="1" a="1"/>
  <c r="K798" i="11" s="1"/>
  <c r="A799" i="11" a="1"/>
  <c r="A799" i="11" s="1"/>
  <c r="B799" i="11" s="1"/>
  <c r="C799" i="11" a="1"/>
  <c r="C799" i="11" s="1"/>
  <c r="D799" i="11" s="1"/>
  <c r="K799" i="11" s="1" a="1"/>
  <c r="K799" i="11" s="1"/>
  <c r="A800" i="11" a="1"/>
  <c r="A800" i="11" s="1"/>
  <c r="C800" i="11" a="1"/>
  <c r="C800" i="11" s="1"/>
  <c r="D800" i="11" s="1"/>
  <c r="K800" i="11" s="1" a="1"/>
  <c r="K800" i="11" s="1"/>
  <c r="A801" i="11" a="1"/>
  <c r="A801" i="11" s="1"/>
  <c r="C801" i="11" a="1"/>
  <c r="C801" i="11" s="1"/>
  <c r="D801" i="11" s="1"/>
  <c r="K801" i="11" s="1" a="1"/>
  <c r="K801" i="11" s="1"/>
  <c r="A658" i="11" a="1"/>
  <c r="A658" i="11" s="1"/>
  <c r="C658" i="11" a="1"/>
  <c r="C658" i="11" s="1"/>
  <c r="D658" i="11" s="1"/>
  <c r="K658" i="11" s="1" a="1"/>
  <c r="K658" i="11" s="1"/>
  <c r="A659" i="11" a="1"/>
  <c r="A659" i="11" s="1"/>
  <c r="C659" i="11" a="1"/>
  <c r="C659" i="11" s="1"/>
  <c r="D659" i="11" s="1"/>
  <c r="K659" i="11" s="1" a="1"/>
  <c r="K659" i="11" s="1"/>
  <c r="A660" i="11" a="1"/>
  <c r="A660" i="11" s="1"/>
  <c r="C660" i="11" a="1"/>
  <c r="C660" i="11" s="1"/>
  <c r="D660" i="11" s="1"/>
  <c r="K660" i="11" s="1" a="1"/>
  <c r="K660" i="11" s="1"/>
  <c r="A661" i="11" a="1"/>
  <c r="A661" i="11" s="1"/>
  <c r="C661" i="11" a="1"/>
  <c r="C661" i="11" s="1"/>
  <c r="D661" i="11" s="1"/>
  <c r="K661" i="11" s="1" a="1"/>
  <c r="K661" i="11" s="1"/>
  <c r="A662" i="11" a="1"/>
  <c r="A662" i="11" s="1"/>
  <c r="C662" i="11" a="1"/>
  <c r="C662" i="11" s="1"/>
  <c r="D662" i="11" s="1"/>
  <c r="K662" i="11" s="1" a="1"/>
  <c r="K662" i="11" s="1"/>
  <c r="A663" i="11" a="1"/>
  <c r="A663" i="11" s="1"/>
  <c r="C663" i="11" a="1"/>
  <c r="C663" i="11" s="1"/>
  <c r="D663" i="11" s="1"/>
  <c r="K663" i="11" s="1" a="1"/>
  <c r="K663" i="11" s="1"/>
  <c r="A664" i="11" a="1"/>
  <c r="A664" i="11" s="1"/>
  <c r="C664" i="11" a="1"/>
  <c r="C664" i="11" s="1"/>
  <c r="D664" i="11" s="1"/>
  <c r="K664" i="11" s="1" a="1"/>
  <c r="K664" i="11" s="1"/>
  <c r="A665" i="11" a="1"/>
  <c r="A665" i="11" s="1"/>
  <c r="C665" i="11" a="1"/>
  <c r="C665" i="11" s="1"/>
  <c r="D665" i="11" s="1"/>
  <c r="K665" i="11" s="1" a="1"/>
  <c r="K665" i="11" s="1"/>
  <c r="A634" i="11" a="1"/>
  <c r="A634" i="11" s="1"/>
  <c r="C634" i="11" a="1"/>
  <c r="C634" i="11" s="1"/>
  <c r="D634" i="11" s="1"/>
  <c r="K634" i="11" s="1" a="1"/>
  <c r="K634" i="11" s="1"/>
  <c r="A635" i="11" a="1"/>
  <c r="A635" i="11" s="1"/>
  <c r="C635" i="11" a="1"/>
  <c r="C635" i="11" s="1"/>
  <c r="D635" i="11" s="1"/>
  <c r="K635" i="11" s="1" a="1"/>
  <c r="K635" i="11" s="1"/>
  <c r="A636" i="11" a="1"/>
  <c r="A636" i="11" s="1"/>
  <c r="C636" i="11" a="1"/>
  <c r="C636" i="11" s="1"/>
  <c r="D636" i="11" s="1"/>
  <c r="K636" i="11" s="1" a="1"/>
  <c r="K636" i="11" s="1"/>
  <c r="A637" i="11" a="1"/>
  <c r="A637" i="11" s="1"/>
  <c r="C637" i="11" a="1"/>
  <c r="C637" i="11" s="1"/>
  <c r="D637" i="11" s="1"/>
  <c r="K637" i="11" s="1" a="1"/>
  <c r="K637" i="11" s="1"/>
  <c r="A638" i="11" a="1"/>
  <c r="A638" i="11" s="1"/>
  <c r="C638" i="11" a="1"/>
  <c r="C638" i="11" s="1"/>
  <c r="D638" i="11" s="1"/>
  <c r="K638" i="11" s="1" a="1"/>
  <c r="K638" i="11" s="1"/>
  <c r="A639" i="11" a="1"/>
  <c r="A639" i="11" s="1"/>
  <c r="C639" i="11" a="1"/>
  <c r="C639" i="11" s="1"/>
  <c r="D639" i="11" s="1"/>
  <c r="K639" i="11" s="1" a="1"/>
  <c r="K639" i="11" s="1"/>
  <c r="A640" i="11" a="1"/>
  <c r="A640" i="11" s="1"/>
  <c r="C640" i="11" a="1"/>
  <c r="C640" i="11" s="1"/>
  <c r="D640" i="11" s="1"/>
  <c r="K640" i="11" s="1" a="1"/>
  <c r="K640" i="11" s="1"/>
  <c r="A641" i="11" a="1"/>
  <c r="A641" i="11" s="1"/>
  <c r="C641" i="11" a="1"/>
  <c r="C641" i="11" s="1"/>
  <c r="D641" i="11" s="1"/>
  <c r="K641" i="11" s="1" a="1"/>
  <c r="K641" i="11" s="1"/>
  <c r="A642" i="11" a="1"/>
  <c r="A642" i="11" s="1"/>
  <c r="C642" i="11" a="1"/>
  <c r="C642" i="11" s="1"/>
  <c r="D642" i="11" s="1"/>
  <c r="K642" i="11" s="1" a="1"/>
  <c r="K642" i="11" s="1"/>
  <c r="A643" i="11" a="1"/>
  <c r="A643" i="11" s="1"/>
  <c r="C643" i="11" a="1"/>
  <c r="C643" i="11" s="1"/>
  <c r="D643" i="11" s="1"/>
  <c r="K643" i="11" s="1" a="1"/>
  <c r="K643" i="11" s="1"/>
  <c r="A644" i="11" a="1"/>
  <c r="A644" i="11" s="1"/>
  <c r="C644" i="11" a="1"/>
  <c r="C644" i="11" s="1"/>
  <c r="D644" i="11" s="1"/>
  <c r="K644" i="11" s="1" a="1"/>
  <c r="K644" i="11" s="1"/>
  <c r="A645" i="11" a="1"/>
  <c r="A645" i="11" s="1"/>
  <c r="C645" i="11" a="1"/>
  <c r="C645" i="11" s="1"/>
  <c r="D645" i="11" s="1"/>
  <c r="K645" i="11" s="1" a="1"/>
  <c r="K645" i="11" s="1"/>
  <c r="A646" i="11" a="1"/>
  <c r="A646" i="11" s="1"/>
  <c r="C646" i="11" a="1"/>
  <c r="C646" i="11" s="1"/>
  <c r="D646" i="11" s="1"/>
  <c r="K646" i="11" s="1" a="1"/>
  <c r="K646" i="11" s="1"/>
  <c r="A647" i="11" a="1"/>
  <c r="A647" i="11" s="1"/>
  <c r="C647" i="11" a="1"/>
  <c r="C647" i="11" s="1"/>
  <c r="D647" i="11" s="1"/>
  <c r="K647" i="11" s="1" a="1"/>
  <c r="K647" i="11" s="1"/>
  <c r="A648" i="11" a="1"/>
  <c r="A648" i="11" s="1"/>
  <c r="C648" i="11" a="1"/>
  <c r="C648" i="11" s="1"/>
  <c r="D648" i="11" s="1"/>
  <c r="K648" i="11" s="1" a="1"/>
  <c r="K648" i="11" s="1"/>
  <c r="A649" i="11" a="1"/>
  <c r="A649" i="11" s="1"/>
  <c r="C649" i="11" a="1"/>
  <c r="C649" i="11" s="1"/>
  <c r="D649" i="11" s="1"/>
  <c r="K649" i="11" s="1" a="1"/>
  <c r="K649" i="11" s="1"/>
  <c r="A650" i="11" a="1"/>
  <c r="A650" i="11" s="1"/>
  <c r="C650" i="11" a="1"/>
  <c r="C650" i="11" s="1"/>
  <c r="D650" i="11" s="1"/>
  <c r="K650" i="11" s="1" a="1"/>
  <c r="K650" i="11" s="1"/>
  <c r="A651" i="11" a="1"/>
  <c r="A651" i="11" s="1"/>
  <c r="C651" i="11" a="1"/>
  <c r="C651" i="11" s="1"/>
  <c r="D651" i="11" s="1"/>
  <c r="K651" i="11" s="1" a="1"/>
  <c r="K651" i="11" s="1"/>
  <c r="A652" i="11" a="1"/>
  <c r="A652" i="11" s="1"/>
  <c r="C652" i="11" a="1"/>
  <c r="C652" i="11" s="1"/>
  <c r="D652" i="11" s="1"/>
  <c r="K652" i="11" s="1" a="1"/>
  <c r="K652" i="11" s="1"/>
  <c r="A653" i="11" a="1"/>
  <c r="A653" i="11" s="1"/>
  <c r="C653" i="11" a="1"/>
  <c r="C653" i="11" s="1"/>
  <c r="D653" i="11" s="1"/>
  <c r="K653" i="11" s="1" a="1"/>
  <c r="K653" i="11" s="1"/>
  <c r="A654" i="11" a="1"/>
  <c r="A654" i="11" s="1"/>
  <c r="C654" i="11" a="1"/>
  <c r="C654" i="11" s="1"/>
  <c r="D654" i="11" s="1"/>
  <c r="K654" i="11" s="1" a="1"/>
  <c r="K654" i="11" s="1"/>
  <c r="A655" i="11" a="1"/>
  <c r="A655" i="11" s="1"/>
  <c r="C655" i="11" a="1"/>
  <c r="C655" i="11" s="1"/>
  <c r="D655" i="11" s="1"/>
  <c r="K655" i="11" s="1" a="1"/>
  <c r="K655" i="11" s="1"/>
  <c r="A656" i="11" a="1"/>
  <c r="A656" i="11" s="1"/>
  <c r="C656" i="11" a="1"/>
  <c r="C656" i="11" s="1"/>
  <c r="D656" i="11" s="1"/>
  <c r="K656" i="11" s="1" a="1"/>
  <c r="K656" i="11" s="1"/>
  <c r="A657" i="11" a="1"/>
  <c r="A657" i="11" s="1"/>
  <c r="C657" i="11" a="1"/>
  <c r="C657" i="11" s="1"/>
  <c r="D657" i="11" s="1"/>
  <c r="K657" i="11" s="1" a="1"/>
  <c r="K657" i="11" s="1"/>
  <c r="A474" i="11" a="1"/>
  <c r="A474" i="11" s="1"/>
  <c r="C474" i="11" a="1"/>
  <c r="C474" i="11" s="1"/>
  <c r="D474" i="11" s="1"/>
  <c r="K474" i="11" s="1" a="1"/>
  <c r="K474" i="11" s="1"/>
  <c r="A475" i="11" a="1"/>
  <c r="A475" i="11" s="1"/>
  <c r="C475" i="11" a="1"/>
  <c r="C475" i="11" s="1"/>
  <c r="D475" i="11" s="1"/>
  <c r="K475" i="11" s="1" a="1"/>
  <c r="K475" i="11" s="1"/>
  <c r="A476" i="11" a="1"/>
  <c r="A476" i="11" s="1"/>
  <c r="C476" i="11" a="1"/>
  <c r="C476" i="11" s="1"/>
  <c r="D476" i="11" s="1"/>
  <c r="K476" i="11" s="1" a="1"/>
  <c r="K476" i="11" s="1"/>
  <c r="A477" i="11" a="1"/>
  <c r="A477" i="11" s="1"/>
  <c r="B477" i="11" s="1"/>
  <c r="C477" i="11" a="1"/>
  <c r="C477" i="11" s="1"/>
  <c r="D477" i="11" s="1"/>
  <c r="K477" i="11" s="1" a="1"/>
  <c r="K477" i="11" s="1"/>
  <c r="A478" i="11" a="1"/>
  <c r="A478" i="11" s="1"/>
  <c r="B478" i="11" s="1"/>
  <c r="C478" i="11" a="1"/>
  <c r="C478" i="11" s="1"/>
  <c r="D478" i="11" s="1"/>
  <c r="K478" i="11" s="1" a="1"/>
  <c r="K478" i="11" s="1"/>
  <c r="A479" i="11" a="1"/>
  <c r="A479" i="11" s="1"/>
  <c r="C479" i="11" a="1"/>
  <c r="C479" i="11" s="1"/>
  <c r="D479" i="11" s="1"/>
  <c r="K479" i="11" s="1" a="1"/>
  <c r="K479" i="11" s="1"/>
  <c r="A480" i="11" a="1"/>
  <c r="A480" i="11" s="1"/>
  <c r="C480" i="11" a="1"/>
  <c r="C480" i="11" s="1"/>
  <c r="D480" i="11" s="1"/>
  <c r="K480" i="11" s="1" a="1"/>
  <c r="K480" i="11" s="1"/>
  <c r="A481" i="11" a="1"/>
  <c r="A481" i="11" s="1"/>
  <c r="C481" i="11" a="1"/>
  <c r="C481" i="11" s="1"/>
  <c r="D481" i="11" s="1"/>
  <c r="K481" i="11" s="1" a="1"/>
  <c r="K481" i="11" s="1"/>
  <c r="A482" i="11" a="1"/>
  <c r="A482" i="11" s="1"/>
  <c r="F482" i="11" s="1"/>
  <c r="G482" i="11" s="1"/>
  <c r="C482" i="11" a="1"/>
  <c r="C482" i="11" s="1"/>
  <c r="D482" i="11" s="1"/>
  <c r="K482" i="11" s="1" a="1"/>
  <c r="K482" i="11" s="1"/>
  <c r="A483" i="11" a="1"/>
  <c r="A483" i="11" s="1"/>
  <c r="F483" i="11" s="1"/>
  <c r="G483" i="11" s="1"/>
  <c r="C483" i="11" a="1"/>
  <c r="C483" i="11" s="1"/>
  <c r="D483" i="11" s="1"/>
  <c r="K483" i="11" s="1" a="1"/>
  <c r="K483" i="11" s="1"/>
  <c r="A484" i="11" a="1"/>
  <c r="A484" i="11" s="1"/>
  <c r="C484" i="11" a="1"/>
  <c r="C484" i="11"/>
  <c r="D484" i="11" s="1"/>
  <c r="K484" i="11" s="1" a="1"/>
  <c r="K484" i="11" s="1"/>
  <c r="A485" i="11" a="1"/>
  <c r="A485" i="11" s="1"/>
  <c r="C485" i="11" a="1"/>
  <c r="C485" i="11" s="1"/>
  <c r="D485" i="11" s="1"/>
  <c r="K485" i="11" s="1" a="1"/>
  <c r="K485" i="11" s="1"/>
  <c r="A486" i="11" a="1"/>
  <c r="A486" i="11" s="1"/>
  <c r="C486" i="11" a="1"/>
  <c r="C486" i="11" s="1"/>
  <c r="D486" i="11" s="1"/>
  <c r="K486" i="11" s="1" a="1"/>
  <c r="K486" i="11" s="1"/>
  <c r="A487" i="11" a="1"/>
  <c r="A487" i="11" s="1"/>
  <c r="C487" i="11" a="1"/>
  <c r="C487" i="11" s="1"/>
  <c r="D487" i="11" s="1"/>
  <c r="K487" i="11" s="1" a="1"/>
  <c r="K487" i="11" s="1"/>
  <c r="A488" i="11" a="1"/>
  <c r="A488" i="11" s="1"/>
  <c r="H488" i="11" s="1"/>
  <c r="I488" i="11" s="1"/>
  <c r="C488" i="11" a="1"/>
  <c r="C488" i="11" s="1"/>
  <c r="D488" i="11" s="1"/>
  <c r="K488" i="11" s="1" a="1"/>
  <c r="K488" i="11" s="1"/>
  <c r="A489" i="11" a="1"/>
  <c r="A489" i="11" s="1"/>
  <c r="H489" i="11" s="1"/>
  <c r="I489" i="11" s="1"/>
  <c r="C489" i="11" a="1"/>
  <c r="C489" i="11" s="1"/>
  <c r="D489" i="11" s="1"/>
  <c r="K489" i="11" s="1" a="1"/>
  <c r="K489" i="11" s="1"/>
  <c r="A490" i="11" a="1"/>
  <c r="A490" i="11" s="1"/>
  <c r="C490" i="11" a="1"/>
  <c r="C490" i="11" s="1"/>
  <c r="D490" i="11" s="1"/>
  <c r="K490" i="11" s="1" a="1"/>
  <c r="K490" i="11" s="1"/>
  <c r="A491" i="11" a="1"/>
  <c r="A491" i="11" s="1"/>
  <c r="H491" i="11" s="1"/>
  <c r="I491" i="11" s="1"/>
  <c r="C491" i="11" a="1"/>
  <c r="C491" i="11" s="1"/>
  <c r="D491" i="11" s="1"/>
  <c r="K491" i="11" s="1" a="1"/>
  <c r="K491" i="11" s="1"/>
  <c r="A492" i="11" a="1"/>
  <c r="A492" i="11" s="1"/>
  <c r="F492" i="11" s="1"/>
  <c r="G492" i="11" s="1"/>
  <c r="C492" i="11" a="1"/>
  <c r="C492" i="11" s="1"/>
  <c r="D492" i="11" s="1"/>
  <c r="K492" i="11" s="1" a="1"/>
  <c r="K492" i="11" s="1"/>
  <c r="A493" i="11" a="1"/>
  <c r="A493" i="11" s="1"/>
  <c r="C493" i="11" a="1"/>
  <c r="C493" i="11" s="1"/>
  <c r="D493" i="11" s="1"/>
  <c r="K493" i="11" s="1" a="1"/>
  <c r="K493" i="11" s="1"/>
  <c r="A494" i="11" a="1"/>
  <c r="A494" i="11" s="1"/>
  <c r="C494" i="11" a="1"/>
  <c r="C494" i="11" s="1"/>
  <c r="D494" i="11" s="1"/>
  <c r="K494" i="11" s="1" a="1"/>
  <c r="K494" i="11" s="1"/>
  <c r="A495" i="11" a="1"/>
  <c r="A495" i="11" s="1"/>
  <c r="H495" i="11" s="1"/>
  <c r="I495" i="11" s="1"/>
  <c r="C495" i="11" a="1"/>
  <c r="C495" i="11" s="1"/>
  <c r="D495" i="11" s="1"/>
  <c r="K495" i="11" s="1" a="1"/>
  <c r="K495" i="11" s="1"/>
  <c r="A496" i="11" a="1"/>
  <c r="A496" i="11" s="1"/>
  <c r="F496" i="11" s="1"/>
  <c r="G496" i="11" s="1"/>
  <c r="C496" i="11" a="1"/>
  <c r="C496" i="11" s="1"/>
  <c r="D496" i="11" s="1"/>
  <c r="K496" i="11" s="1" a="1"/>
  <c r="K496" i="11" s="1"/>
  <c r="A497" i="11" a="1"/>
  <c r="A497" i="11" s="1"/>
  <c r="C497" i="11" a="1"/>
  <c r="C497" i="11" s="1"/>
  <c r="D497" i="11" s="1"/>
  <c r="K497" i="11" s="1" a="1"/>
  <c r="K497" i="11" s="1"/>
  <c r="A498" i="11" a="1"/>
  <c r="A498" i="11" s="1"/>
  <c r="H498" i="11" s="1"/>
  <c r="I498" i="11" s="1"/>
  <c r="C498" i="11" a="1"/>
  <c r="C498" i="11" s="1"/>
  <c r="D498" i="11" s="1"/>
  <c r="K498" i="11" s="1" a="1"/>
  <c r="K498" i="11" s="1"/>
  <c r="A499" i="11" a="1"/>
  <c r="A499" i="11" s="1"/>
  <c r="B499" i="11" s="1"/>
  <c r="C499" i="11" a="1"/>
  <c r="C499" i="11" s="1"/>
  <c r="D499" i="11" s="1"/>
  <c r="K499" i="11" s="1" a="1"/>
  <c r="K499" i="11" s="1"/>
  <c r="A500" i="11" a="1"/>
  <c r="A500" i="11" s="1"/>
  <c r="H500" i="11" s="1"/>
  <c r="I500" i="11" s="1"/>
  <c r="C500" i="11" a="1"/>
  <c r="C500" i="11" s="1"/>
  <c r="D500" i="11" s="1"/>
  <c r="K500" i="11" s="1" a="1"/>
  <c r="K500" i="11" s="1"/>
  <c r="A501" i="11" a="1"/>
  <c r="A501" i="11" s="1"/>
  <c r="H501" i="11" s="1"/>
  <c r="I501" i="11" s="1"/>
  <c r="C501" i="11" a="1"/>
  <c r="C501" i="11" s="1"/>
  <c r="D501" i="11" s="1"/>
  <c r="K501" i="11" s="1" a="1"/>
  <c r="K501" i="11" s="1"/>
  <c r="A502" i="11" a="1"/>
  <c r="A502" i="11" s="1"/>
  <c r="F502" i="11" s="1"/>
  <c r="G502" i="11" s="1"/>
  <c r="C502" i="11" a="1"/>
  <c r="C502" i="11" s="1"/>
  <c r="D502" i="11" s="1"/>
  <c r="K502" i="11" s="1" a="1"/>
  <c r="K502" i="11" s="1"/>
  <c r="A503" i="11" a="1"/>
  <c r="A503" i="11" s="1"/>
  <c r="C503" i="11" a="1"/>
  <c r="C503" i="11" s="1"/>
  <c r="D503" i="11" s="1"/>
  <c r="K503" i="11" s="1" a="1"/>
  <c r="K503" i="11" s="1"/>
  <c r="A504" i="11" a="1"/>
  <c r="A504" i="11" s="1"/>
  <c r="F504" i="11" s="1"/>
  <c r="G504" i="11" s="1"/>
  <c r="C504" i="11" a="1"/>
  <c r="C504" i="11" s="1"/>
  <c r="D504" i="11" s="1"/>
  <c r="K504" i="11" s="1" a="1"/>
  <c r="K504" i="11" s="1"/>
  <c r="A505" i="11" a="1"/>
  <c r="A505" i="11" s="1"/>
  <c r="H505" i="11" s="1"/>
  <c r="I505" i="11" s="1"/>
  <c r="C505" i="11" a="1"/>
  <c r="C505" i="11" s="1"/>
  <c r="D505" i="11" s="1"/>
  <c r="K505" i="11" s="1" a="1"/>
  <c r="K505" i="11" s="1"/>
  <c r="A506" i="11" a="1"/>
  <c r="A506" i="11" s="1"/>
  <c r="C506" i="11" a="1"/>
  <c r="C506" i="11" s="1"/>
  <c r="D506" i="11" s="1"/>
  <c r="K506" i="11" s="1" a="1"/>
  <c r="K506" i="11" s="1"/>
  <c r="A507" i="11" a="1"/>
  <c r="A507" i="11" s="1"/>
  <c r="H507" i="11" s="1"/>
  <c r="I507" i="11" s="1"/>
  <c r="C507" i="11" a="1"/>
  <c r="C507" i="11" s="1"/>
  <c r="D507" i="11" s="1"/>
  <c r="K507" i="11" s="1" a="1"/>
  <c r="K507" i="11" s="1"/>
  <c r="A508" i="11" a="1"/>
  <c r="A508" i="11" s="1"/>
  <c r="F508" i="11" s="1"/>
  <c r="G508" i="11" s="1"/>
  <c r="C508" i="11" a="1"/>
  <c r="C508" i="11" s="1"/>
  <c r="D508" i="11" s="1"/>
  <c r="K508" i="11" s="1" a="1"/>
  <c r="K508" i="11" s="1"/>
  <c r="A509" i="11" a="1"/>
  <c r="A509" i="11" s="1"/>
  <c r="C509" i="11" a="1"/>
  <c r="C509" i="11" s="1"/>
  <c r="D509" i="11" s="1"/>
  <c r="K509" i="11" s="1" a="1"/>
  <c r="K509" i="11" s="1"/>
  <c r="A510" i="11" a="1"/>
  <c r="A510" i="11" s="1"/>
  <c r="H510" i="11" s="1"/>
  <c r="I510" i="11" s="1"/>
  <c r="C510" i="11" a="1"/>
  <c r="C510" i="11" s="1"/>
  <c r="D510" i="11" s="1"/>
  <c r="K510" i="11" s="1" a="1"/>
  <c r="K510" i="11" s="1"/>
  <c r="A511" i="11" a="1"/>
  <c r="A511" i="11" s="1"/>
  <c r="F511" i="11" s="1"/>
  <c r="G511" i="11" s="1"/>
  <c r="C511" i="11" a="1"/>
  <c r="C511" i="11" s="1"/>
  <c r="D511" i="11" s="1"/>
  <c r="K511" i="11" s="1" a="1"/>
  <c r="K511" i="11" s="1"/>
  <c r="A512" i="11" a="1"/>
  <c r="A512" i="11" s="1"/>
  <c r="H512" i="11" s="1"/>
  <c r="I512" i="11" s="1"/>
  <c r="C512" i="11" a="1"/>
  <c r="C512" i="11" s="1"/>
  <c r="D512" i="11" s="1"/>
  <c r="K512" i="11" s="1" a="1"/>
  <c r="K512" i="11" s="1"/>
  <c r="A513" i="11" a="1"/>
  <c r="A513" i="11" s="1"/>
  <c r="C513" i="11" a="1"/>
  <c r="C513" i="11" s="1"/>
  <c r="D513" i="11" s="1"/>
  <c r="K513" i="11" s="1" a="1"/>
  <c r="K513" i="11" s="1"/>
  <c r="A514" i="11" a="1"/>
  <c r="A514" i="11" s="1"/>
  <c r="F514" i="11" s="1"/>
  <c r="G514" i="11" s="1"/>
  <c r="C514" i="11" a="1"/>
  <c r="C514" i="11" s="1"/>
  <c r="D514" i="11" s="1"/>
  <c r="K514" i="11" s="1" a="1"/>
  <c r="K514" i="11" s="1"/>
  <c r="A515" i="11" a="1"/>
  <c r="A515" i="11" s="1"/>
  <c r="C515" i="11" a="1"/>
  <c r="C515" i="11" s="1"/>
  <c r="D515" i="11" s="1"/>
  <c r="K515" i="11" s="1" a="1"/>
  <c r="K515" i="11" s="1"/>
  <c r="A516" i="11" a="1"/>
  <c r="A516" i="11" s="1"/>
  <c r="F516" i="11" s="1"/>
  <c r="G516" i="11" s="1"/>
  <c r="C516" i="11" a="1"/>
  <c r="C516" i="11" s="1"/>
  <c r="D516" i="11" s="1"/>
  <c r="K516" i="11" s="1" a="1"/>
  <c r="K516" i="11" s="1"/>
  <c r="A517" i="11" a="1"/>
  <c r="A517" i="11" s="1"/>
  <c r="C517" i="11" a="1"/>
  <c r="C517" i="11" s="1"/>
  <c r="D517" i="11" s="1"/>
  <c r="K517" i="11" s="1" a="1"/>
  <c r="K517" i="11" s="1"/>
  <c r="A518" i="11" a="1"/>
  <c r="A518" i="11" s="1"/>
  <c r="C518" i="11" a="1"/>
  <c r="C518" i="11" s="1"/>
  <c r="D518" i="11" s="1"/>
  <c r="K518" i="11" s="1" a="1"/>
  <c r="K518" i="11" s="1"/>
  <c r="A519" i="11" a="1"/>
  <c r="A519" i="11" s="1"/>
  <c r="H519" i="11" s="1"/>
  <c r="I519" i="11" s="1"/>
  <c r="C519" i="11" a="1"/>
  <c r="C519" i="11" s="1"/>
  <c r="D519" i="11" s="1"/>
  <c r="K519" i="11" s="1" a="1"/>
  <c r="K519" i="11" s="1"/>
  <c r="A520" i="11" a="1"/>
  <c r="A520" i="11" s="1"/>
  <c r="F520" i="11" s="1"/>
  <c r="G520" i="11" s="1"/>
  <c r="C520" i="11" a="1"/>
  <c r="C520" i="11" s="1"/>
  <c r="D520" i="11" s="1"/>
  <c r="K520" i="11" s="1" a="1"/>
  <c r="K520" i="11" s="1"/>
  <c r="A521" i="11" a="1"/>
  <c r="A521" i="11" s="1"/>
  <c r="C521" i="11" a="1"/>
  <c r="C521" i="11"/>
  <c r="D521" i="11" s="1"/>
  <c r="K521" i="11" s="1" a="1"/>
  <c r="K521" i="11" s="1"/>
  <c r="A522" i="11" a="1"/>
  <c r="A522" i="11" s="1"/>
  <c r="H522" i="11" s="1"/>
  <c r="I522" i="11" s="1"/>
  <c r="C522" i="11" a="1"/>
  <c r="C522" i="11" s="1"/>
  <c r="D522" i="11" s="1"/>
  <c r="K522" i="11" s="1" a="1"/>
  <c r="K522" i="11" s="1"/>
  <c r="A523" i="11" a="1"/>
  <c r="A523" i="11" s="1"/>
  <c r="B523" i="11" s="1"/>
  <c r="C523" i="11" a="1"/>
  <c r="C523" i="11" s="1"/>
  <c r="D523" i="11" s="1"/>
  <c r="K523" i="11" s="1" a="1"/>
  <c r="K523" i="11" s="1"/>
  <c r="A524" i="11" a="1"/>
  <c r="A524" i="11" s="1"/>
  <c r="H524" i="11" s="1"/>
  <c r="I524" i="11" s="1"/>
  <c r="C524" i="11" a="1"/>
  <c r="C524" i="11" s="1"/>
  <c r="D524" i="11" s="1"/>
  <c r="K524" i="11" s="1" a="1"/>
  <c r="K524" i="11" s="1"/>
  <c r="A525" i="11" a="1"/>
  <c r="A525" i="11" s="1"/>
  <c r="H525" i="11" s="1"/>
  <c r="I525" i="11" s="1"/>
  <c r="C525" i="11" a="1"/>
  <c r="C525" i="11" s="1"/>
  <c r="D525" i="11" s="1"/>
  <c r="K525" i="11" s="1" a="1"/>
  <c r="K525" i="11" s="1"/>
  <c r="A526" i="11" a="1"/>
  <c r="A526" i="11" s="1"/>
  <c r="F526" i="11" s="1"/>
  <c r="G526" i="11" s="1"/>
  <c r="C526" i="11" a="1"/>
  <c r="C526" i="11" s="1"/>
  <c r="D526" i="11" s="1"/>
  <c r="K526" i="11" s="1" a="1"/>
  <c r="K526" i="11" s="1"/>
  <c r="A527" i="11" a="1"/>
  <c r="A527" i="11" s="1"/>
  <c r="C527" i="11" a="1"/>
  <c r="C527" i="11" s="1"/>
  <c r="D527" i="11" s="1"/>
  <c r="K527" i="11" s="1" a="1"/>
  <c r="K527" i="11" s="1"/>
  <c r="A528" i="11" a="1"/>
  <c r="A528" i="11" s="1"/>
  <c r="F528" i="11" s="1"/>
  <c r="G528" i="11" s="1"/>
  <c r="C528" i="11" a="1"/>
  <c r="C528" i="11" s="1"/>
  <c r="D528" i="11" s="1"/>
  <c r="K528" i="11" s="1" a="1"/>
  <c r="K528" i="11" s="1"/>
  <c r="A529" i="11" a="1"/>
  <c r="A529" i="11" s="1"/>
  <c r="H529" i="11" s="1"/>
  <c r="I529" i="11" s="1"/>
  <c r="C529" i="11" a="1"/>
  <c r="C529" i="11" s="1"/>
  <c r="D529" i="11" s="1"/>
  <c r="K529" i="11" s="1" a="1"/>
  <c r="K529" i="11" s="1"/>
  <c r="A530" i="11" a="1"/>
  <c r="A530" i="11" s="1"/>
  <c r="C530" i="11" a="1"/>
  <c r="C530" i="11" s="1"/>
  <c r="D530" i="11" s="1"/>
  <c r="K530" i="11" s="1" a="1"/>
  <c r="K530" i="11" s="1"/>
  <c r="A531" i="11" a="1"/>
  <c r="A531" i="11" s="1"/>
  <c r="H531" i="11" s="1"/>
  <c r="I531" i="11" s="1"/>
  <c r="C531" i="11" a="1"/>
  <c r="C531" i="11" s="1"/>
  <c r="D531" i="11" s="1"/>
  <c r="K531" i="11" s="1" a="1"/>
  <c r="K531" i="11" s="1"/>
  <c r="A532" i="11" a="1"/>
  <c r="A532" i="11" s="1"/>
  <c r="C532" i="11" a="1"/>
  <c r="C532" i="11" s="1"/>
  <c r="D532" i="11" s="1"/>
  <c r="K532" i="11" s="1" a="1"/>
  <c r="K532" i="11" s="1"/>
  <c r="A533" i="11" a="1"/>
  <c r="A533" i="11" s="1"/>
  <c r="C533" i="11" a="1"/>
  <c r="C533" i="11" s="1"/>
  <c r="D533" i="11" s="1"/>
  <c r="K533" i="11" s="1" a="1"/>
  <c r="K533" i="11" s="1"/>
  <c r="A534" i="11" a="1"/>
  <c r="A534" i="11" s="1"/>
  <c r="H534" i="11" s="1"/>
  <c r="I534" i="11" s="1"/>
  <c r="C534" i="11" a="1"/>
  <c r="C534" i="11" s="1"/>
  <c r="D534" i="11" s="1"/>
  <c r="K534" i="11" s="1" a="1"/>
  <c r="K534" i="11" s="1"/>
  <c r="A535" i="11" a="1"/>
  <c r="A535" i="11" s="1"/>
  <c r="F535" i="11" s="1"/>
  <c r="G535" i="11" s="1"/>
  <c r="C535" i="11" a="1"/>
  <c r="C535" i="11" s="1"/>
  <c r="D535" i="11" s="1"/>
  <c r="K535" i="11" s="1" a="1"/>
  <c r="K535" i="11" s="1"/>
  <c r="A536" i="11" a="1"/>
  <c r="A536" i="11" s="1"/>
  <c r="H536" i="11" s="1"/>
  <c r="I536" i="11" s="1"/>
  <c r="C536" i="11" a="1"/>
  <c r="C536" i="11" s="1"/>
  <c r="D536" i="11" s="1"/>
  <c r="K536" i="11" s="1" a="1"/>
  <c r="K536" i="11" s="1"/>
  <c r="A537" i="11" a="1"/>
  <c r="A537" i="11" s="1"/>
  <c r="H537" i="11" s="1"/>
  <c r="I537" i="11" s="1"/>
  <c r="C537" i="11" a="1"/>
  <c r="C537" i="11" s="1"/>
  <c r="D537" i="11" s="1"/>
  <c r="K537" i="11" s="1" a="1"/>
  <c r="K537" i="11" s="1"/>
  <c r="A538" i="11" a="1"/>
  <c r="A538" i="11" s="1"/>
  <c r="F538" i="11" s="1"/>
  <c r="G538" i="11" s="1"/>
  <c r="C538" i="11" a="1"/>
  <c r="C538" i="11" s="1"/>
  <c r="D538" i="11" s="1"/>
  <c r="K538" i="11" s="1" a="1"/>
  <c r="K538" i="11" s="1"/>
  <c r="A539" i="11" a="1"/>
  <c r="A539" i="11" s="1"/>
  <c r="C539" i="11" a="1"/>
  <c r="C539" i="11" s="1"/>
  <c r="D539" i="11" s="1"/>
  <c r="K539" i="11" s="1" a="1"/>
  <c r="K539" i="11" s="1"/>
  <c r="A540" i="11" a="1"/>
  <c r="A540" i="11" s="1"/>
  <c r="F540" i="11" s="1"/>
  <c r="G540" i="11" s="1"/>
  <c r="C540" i="11" a="1"/>
  <c r="C540" i="11" s="1"/>
  <c r="D540" i="11" s="1"/>
  <c r="K540" i="11" s="1" a="1"/>
  <c r="K540" i="11" s="1"/>
  <c r="A541" i="11" a="1"/>
  <c r="A541" i="11" s="1"/>
  <c r="H541" i="11" s="1"/>
  <c r="I541" i="11" s="1"/>
  <c r="C541" i="11" a="1"/>
  <c r="C541" i="11" s="1"/>
  <c r="D541" i="11" s="1"/>
  <c r="K541" i="11" s="1" a="1"/>
  <c r="K541" i="11" s="1"/>
  <c r="A542" i="11" a="1"/>
  <c r="A542" i="11" s="1"/>
  <c r="C542" i="11" a="1"/>
  <c r="C542" i="11" s="1"/>
  <c r="D542" i="11" s="1"/>
  <c r="K542" i="11" s="1" a="1"/>
  <c r="K542" i="11" s="1"/>
  <c r="A543" i="11" a="1"/>
  <c r="A543" i="11" s="1"/>
  <c r="H543" i="11" s="1"/>
  <c r="I543" i="11" s="1"/>
  <c r="C543" i="11" a="1"/>
  <c r="C543" i="11" s="1"/>
  <c r="D543" i="11" s="1"/>
  <c r="K543" i="11" s="1" a="1"/>
  <c r="K543" i="11" s="1"/>
  <c r="A544" i="11" a="1"/>
  <c r="A544" i="11" s="1"/>
  <c r="F544" i="11" s="1"/>
  <c r="C544" i="11" a="1"/>
  <c r="C544" i="11" s="1"/>
  <c r="D544" i="11" s="1"/>
  <c r="K544" i="11" s="1" a="1"/>
  <c r="K544" i="11" s="1"/>
  <c r="A545" i="11" a="1"/>
  <c r="A545" i="11" s="1"/>
  <c r="C545" i="11" a="1"/>
  <c r="C545" i="11" s="1"/>
  <c r="D545" i="11" s="1"/>
  <c r="K545" i="11" s="1" a="1"/>
  <c r="K545" i="11" s="1"/>
  <c r="A546" i="11" a="1"/>
  <c r="A546" i="11" s="1"/>
  <c r="H546" i="11" s="1"/>
  <c r="I546" i="11" s="1"/>
  <c r="C546" i="11" a="1"/>
  <c r="C546" i="11"/>
  <c r="D546" i="11" s="1"/>
  <c r="K546" i="11" s="1" a="1"/>
  <c r="K546" i="11" s="1"/>
  <c r="A547" i="11" a="1"/>
  <c r="A547" i="11" s="1"/>
  <c r="C547" i="11" a="1"/>
  <c r="C547" i="11" s="1"/>
  <c r="D547" i="11" s="1"/>
  <c r="K547" i="11" s="1" a="1"/>
  <c r="K547" i="11" s="1"/>
  <c r="A548" i="11" a="1"/>
  <c r="A548" i="11" s="1"/>
  <c r="H548" i="11" s="1"/>
  <c r="I548" i="11" s="1"/>
  <c r="J548" i="11" s="1"/>
  <c r="C548" i="11" a="1"/>
  <c r="C548" i="11" s="1"/>
  <c r="D548" i="11" s="1"/>
  <c r="K548" i="11" s="1" a="1"/>
  <c r="K548" i="11" s="1"/>
  <c r="A549" i="11" a="1"/>
  <c r="A549" i="11" s="1"/>
  <c r="C549" i="11" a="1"/>
  <c r="C549" i="11" s="1"/>
  <c r="D549" i="11" s="1"/>
  <c r="K549" i="11" s="1" a="1"/>
  <c r="K549" i="11" s="1"/>
  <c r="A550" i="11" a="1"/>
  <c r="A550" i="11" s="1"/>
  <c r="C550" i="11" a="1"/>
  <c r="C550" i="11" s="1"/>
  <c r="D550" i="11" s="1"/>
  <c r="K550" i="11" s="1" a="1"/>
  <c r="K550" i="11" s="1"/>
  <c r="A551" i="11" a="1"/>
  <c r="A551" i="11" s="1"/>
  <c r="B551" i="11" s="1"/>
  <c r="C551" i="11" a="1"/>
  <c r="C551" i="11" s="1"/>
  <c r="D551" i="11" s="1"/>
  <c r="K551" i="11" s="1" a="1"/>
  <c r="K551" i="11" s="1"/>
  <c r="A552" i="11" a="1"/>
  <c r="A552" i="11" s="1"/>
  <c r="F552" i="11" s="1"/>
  <c r="G552" i="11" s="1"/>
  <c r="C552" i="11" a="1"/>
  <c r="C552" i="11" s="1"/>
  <c r="D552" i="11" s="1"/>
  <c r="K552" i="11" s="1" a="1"/>
  <c r="K552" i="11" s="1"/>
  <c r="A553" i="11" a="1"/>
  <c r="A553" i="11" s="1"/>
  <c r="H553" i="11" s="1"/>
  <c r="I553" i="11" s="1"/>
  <c r="C553" i="11" a="1"/>
  <c r="C553" i="11" s="1"/>
  <c r="D553" i="11" s="1"/>
  <c r="K553" i="11" s="1" a="1"/>
  <c r="K553" i="11" s="1"/>
  <c r="A554" i="11" a="1"/>
  <c r="A554" i="11" s="1"/>
  <c r="H554" i="11" s="1"/>
  <c r="I554" i="11" s="1"/>
  <c r="J554" i="11" s="1"/>
  <c r="C554" i="11" a="1"/>
  <c r="C554" i="11" s="1"/>
  <c r="D554" i="11" s="1"/>
  <c r="K554" i="11" s="1" a="1"/>
  <c r="K554" i="11" s="1"/>
  <c r="A555" i="11" a="1"/>
  <c r="A555" i="11" s="1"/>
  <c r="C555" i="11" a="1"/>
  <c r="C555" i="11" s="1"/>
  <c r="D555" i="11" s="1"/>
  <c r="K555" i="11" s="1" a="1"/>
  <c r="K555" i="11" s="1"/>
  <c r="A556" i="11" a="1"/>
  <c r="A556" i="11" s="1"/>
  <c r="H556" i="11" s="1"/>
  <c r="I556" i="11" s="1"/>
  <c r="C556" i="11" a="1"/>
  <c r="C556" i="11" s="1"/>
  <c r="D556" i="11" s="1"/>
  <c r="K556" i="11" s="1" a="1"/>
  <c r="K556" i="11" s="1"/>
  <c r="A557" i="11" a="1"/>
  <c r="A557" i="11" s="1"/>
  <c r="C557" i="11" a="1"/>
  <c r="C557" i="11" s="1"/>
  <c r="D557" i="11" s="1"/>
  <c r="K557" i="11" s="1" a="1"/>
  <c r="K557" i="11" s="1"/>
  <c r="A558" i="11" a="1"/>
  <c r="A558" i="11" s="1"/>
  <c r="C558" i="11" a="1"/>
  <c r="C558" i="11" s="1"/>
  <c r="D558" i="11" s="1"/>
  <c r="K558" i="11" s="1" a="1"/>
  <c r="K558" i="11" s="1"/>
  <c r="A559" i="11" a="1"/>
  <c r="A559" i="11" s="1"/>
  <c r="B559" i="11" s="1"/>
  <c r="C559" i="11" a="1"/>
  <c r="C559" i="11" s="1"/>
  <c r="D559" i="11" s="1"/>
  <c r="K559" i="11" s="1" a="1"/>
  <c r="K559" i="11" s="1"/>
  <c r="A560" i="11" a="1"/>
  <c r="A560" i="11" s="1"/>
  <c r="B560" i="11" s="1"/>
  <c r="C560" i="11" a="1"/>
  <c r="C560" i="11" s="1"/>
  <c r="D560" i="11" s="1"/>
  <c r="K560" i="11" s="1" a="1"/>
  <c r="K560" i="11" s="1"/>
  <c r="A561" i="11" a="1"/>
  <c r="A561" i="11" s="1"/>
  <c r="C561" i="11" a="1"/>
  <c r="C561" i="11" s="1"/>
  <c r="D561" i="11" s="1"/>
  <c r="K561" i="11" s="1" a="1"/>
  <c r="K561" i="11" s="1"/>
  <c r="A562" i="11" a="1"/>
  <c r="A562" i="11" s="1"/>
  <c r="F562" i="11" s="1"/>
  <c r="G562" i="11" s="1"/>
  <c r="C562" i="11" a="1"/>
  <c r="C562" i="11" s="1"/>
  <c r="D562" i="11" s="1"/>
  <c r="K562" i="11" s="1" a="1"/>
  <c r="K562" i="11" s="1"/>
  <c r="A563" i="11" a="1"/>
  <c r="A563" i="11" s="1"/>
  <c r="C563" i="11" a="1"/>
  <c r="C563" i="11" s="1"/>
  <c r="D563" i="11" s="1"/>
  <c r="K563" i="11" s="1" a="1"/>
  <c r="K563" i="11" s="1"/>
  <c r="A564" i="11" a="1"/>
  <c r="A564" i="11" s="1"/>
  <c r="C564" i="11" a="1"/>
  <c r="C564" i="11" s="1"/>
  <c r="D564" i="11" s="1"/>
  <c r="K564" i="11" s="1" a="1"/>
  <c r="K564" i="11" s="1"/>
  <c r="A565" i="11" a="1"/>
  <c r="A565" i="11" s="1"/>
  <c r="F565" i="11" s="1"/>
  <c r="G565" i="11" s="1"/>
  <c r="C565" i="11" a="1"/>
  <c r="C565" i="11" s="1"/>
  <c r="D565" i="11" s="1"/>
  <c r="K565" i="11" s="1" a="1"/>
  <c r="K565" i="11" s="1"/>
  <c r="A566" i="11" a="1"/>
  <c r="A566" i="11" s="1"/>
  <c r="H566" i="11" s="1"/>
  <c r="I566" i="11" s="1"/>
  <c r="C566" i="11" a="1"/>
  <c r="C566" i="11" s="1"/>
  <c r="D566" i="11" s="1"/>
  <c r="K566" i="11" s="1" a="1"/>
  <c r="K566" i="11" s="1"/>
  <c r="A567" i="11" a="1"/>
  <c r="A567" i="11" s="1"/>
  <c r="B567" i="11" s="1"/>
  <c r="C567" i="11" a="1"/>
  <c r="C567" i="11" s="1"/>
  <c r="D567" i="11" s="1"/>
  <c r="K567" i="11" s="1" a="1"/>
  <c r="K567" i="11" s="1"/>
  <c r="A568" i="11" a="1"/>
  <c r="A568" i="11" s="1"/>
  <c r="C568" i="11" a="1"/>
  <c r="C568" i="11" s="1"/>
  <c r="D568" i="11" s="1"/>
  <c r="K568" i="11" s="1" a="1"/>
  <c r="K568" i="11" s="1"/>
  <c r="A569" i="11" a="1"/>
  <c r="A569" i="11" s="1"/>
  <c r="C569" i="11" a="1"/>
  <c r="C569" i="11" s="1"/>
  <c r="D569" i="11" s="1"/>
  <c r="K569" i="11" s="1" a="1"/>
  <c r="K569" i="11" s="1"/>
  <c r="A570" i="11" a="1"/>
  <c r="A570" i="11" s="1"/>
  <c r="F570" i="11" s="1"/>
  <c r="G570" i="11" s="1"/>
  <c r="C570" i="11" a="1"/>
  <c r="C570" i="11" s="1"/>
  <c r="D570" i="11" s="1"/>
  <c r="K570" i="11" s="1" a="1"/>
  <c r="K570" i="11" s="1"/>
  <c r="A571" i="11" a="1"/>
  <c r="A571" i="11" s="1"/>
  <c r="F571" i="11" s="1"/>
  <c r="G571" i="11" s="1"/>
  <c r="C571" i="11" a="1"/>
  <c r="C571" i="11" s="1"/>
  <c r="D571" i="11" s="1"/>
  <c r="K571" i="11" s="1" a="1"/>
  <c r="K571" i="11" s="1"/>
  <c r="A572" i="11" a="1"/>
  <c r="A572" i="11" s="1"/>
  <c r="B572" i="11" s="1"/>
  <c r="C572" i="11" a="1"/>
  <c r="C572" i="11" s="1"/>
  <c r="D572" i="11" s="1"/>
  <c r="K572" i="11" s="1" a="1"/>
  <c r="K572" i="11" s="1"/>
  <c r="A573" i="11" a="1"/>
  <c r="A573" i="11" s="1"/>
  <c r="C573" i="11" a="1"/>
  <c r="C573" i="11" s="1"/>
  <c r="D573" i="11" s="1"/>
  <c r="K573" i="11" s="1" a="1"/>
  <c r="K573" i="11" s="1"/>
  <c r="A574" i="11" a="1"/>
  <c r="A574" i="11" s="1"/>
  <c r="C574" i="11" a="1"/>
  <c r="C574" i="11" s="1"/>
  <c r="D574" i="11" s="1"/>
  <c r="K574" i="11" s="1" a="1"/>
  <c r="K574" i="11" s="1"/>
  <c r="A575" i="11" a="1"/>
  <c r="A575" i="11" s="1"/>
  <c r="B575" i="11" s="1"/>
  <c r="C575" i="11" a="1"/>
  <c r="C575" i="11" s="1"/>
  <c r="D575" i="11" s="1"/>
  <c r="K575" i="11" s="1" a="1"/>
  <c r="K575" i="11" s="1"/>
  <c r="A576" i="11" a="1"/>
  <c r="A576" i="11" s="1"/>
  <c r="C576" i="11" a="1"/>
  <c r="C576" i="11" s="1"/>
  <c r="D576" i="11" s="1"/>
  <c r="K576" i="11" s="1" a="1"/>
  <c r="K576" i="11" s="1"/>
  <c r="A577" i="11" a="1"/>
  <c r="A577" i="11" s="1"/>
  <c r="C577" i="11" a="1"/>
  <c r="C577" i="11" s="1"/>
  <c r="D577" i="11" s="1"/>
  <c r="K577" i="11" s="1" a="1"/>
  <c r="K577" i="11" s="1"/>
  <c r="A578" i="11" a="1"/>
  <c r="A578" i="11" s="1"/>
  <c r="C578" i="11" a="1"/>
  <c r="C578" i="11" s="1"/>
  <c r="D578" i="11" s="1"/>
  <c r="K578" i="11" s="1" a="1"/>
  <c r="K578" i="11" s="1"/>
  <c r="A579" i="11" a="1"/>
  <c r="A579" i="11" s="1"/>
  <c r="C579" i="11" a="1"/>
  <c r="C579" i="11" s="1"/>
  <c r="D579" i="11" s="1"/>
  <c r="K579" i="11" s="1" a="1"/>
  <c r="K579" i="11" s="1"/>
  <c r="A580" i="11" a="1"/>
  <c r="A580" i="11" s="1"/>
  <c r="B580" i="11" s="1"/>
  <c r="C580" i="11" a="1"/>
  <c r="C580" i="11" s="1"/>
  <c r="D580" i="11" s="1"/>
  <c r="K580" i="11" s="1" a="1"/>
  <c r="K580" i="11" s="1"/>
  <c r="A581" i="11" a="1"/>
  <c r="A581" i="11" s="1"/>
  <c r="B581" i="11" s="1"/>
  <c r="C581" i="11" a="1"/>
  <c r="C581" i="11" s="1"/>
  <c r="D581" i="11" s="1"/>
  <c r="K581" i="11" s="1" a="1"/>
  <c r="K581" i="11" s="1"/>
  <c r="A582" i="11" a="1"/>
  <c r="A582" i="11" s="1"/>
  <c r="B582" i="11" s="1"/>
  <c r="C582" i="11" a="1"/>
  <c r="C582" i="11" s="1"/>
  <c r="D582" i="11" s="1"/>
  <c r="K582" i="11" s="1" a="1"/>
  <c r="K582" i="11" s="1"/>
  <c r="A583" i="11" a="1"/>
  <c r="A583" i="11" s="1"/>
  <c r="B583" i="11" s="1"/>
  <c r="C583" i="11" a="1"/>
  <c r="C583" i="11" s="1"/>
  <c r="D583" i="11" s="1"/>
  <c r="K583" i="11" s="1" a="1"/>
  <c r="K583" i="11" s="1"/>
  <c r="A584" i="11" a="1"/>
  <c r="A584" i="11" s="1"/>
  <c r="C584" i="11" a="1"/>
  <c r="C584" i="11" s="1"/>
  <c r="D584" i="11" s="1"/>
  <c r="K584" i="11" s="1" a="1"/>
  <c r="K584" i="11" s="1"/>
  <c r="A585" i="11" a="1"/>
  <c r="A585" i="11" s="1"/>
  <c r="B585" i="11" s="1"/>
  <c r="C585" i="11" a="1"/>
  <c r="C585" i="11" s="1"/>
  <c r="D585" i="11" s="1"/>
  <c r="K585" i="11" s="1" a="1"/>
  <c r="K585" i="11" s="1"/>
  <c r="A586" i="11" a="1"/>
  <c r="A586" i="11" s="1"/>
  <c r="H586" i="11" s="1"/>
  <c r="I586" i="11" s="1"/>
  <c r="C586" i="11" a="1"/>
  <c r="C586" i="11" s="1"/>
  <c r="D586" i="11" s="1"/>
  <c r="K586" i="11" s="1" a="1"/>
  <c r="K586" i="11" s="1"/>
  <c r="A587" i="11" a="1"/>
  <c r="A587" i="11" s="1"/>
  <c r="B587" i="11" s="1"/>
  <c r="C587" i="11" a="1"/>
  <c r="C587" i="11" s="1"/>
  <c r="D587" i="11" s="1"/>
  <c r="K587" i="11" s="1" a="1"/>
  <c r="K587" i="11" s="1"/>
  <c r="A588" i="11" a="1"/>
  <c r="A588" i="11" s="1"/>
  <c r="F588" i="11" s="1"/>
  <c r="G588" i="11" s="1"/>
  <c r="C588" i="11" a="1"/>
  <c r="C588" i="11" s="1"/>
  <c r="D588" i="11" s="1"/>
  <c r="K588" i="11" s="1" a="1"/>
  <c r="K588" i="11" s="1"/>
  <c r="A589" i="11" a="1"/>
  <c r="A589" i="11" s="1"/>
  <c r="C589" i="11" a="1"/>
  <c r="C589" i="11" s="1"/>
  <c r="D589" i="11" s="1"/>
  <c r="K589" i="11" s="1" a="1"/>
  <c r="K589" i="11" s="1"/>
  <c r="A590" i="11" a="1"/>
  <c r="A590" i="11" s="1"/>
  <c r="C590" i="11" a="1"/>
  <c r="C590" i="11" s="1"/>
  <c r="D590" i="11" s="1"/>
  <c r="K590" i="11" s="1" a="1"/>
  <c r="K590" i="11" s="1"/>
  <c r="A591" i="11" a="1"/>
  <c r="A591" i="11" s="1"/>
  <c r="B591" i="11" s="1"/>
  <c r="C591" i="11" a="1"/>
  <c r="C591" i="11" s="1"/>
  <c r="D591" i="11" s="1"/>
  <c r="K591" i="11" s="1" a="1"/>
  <c r="K591" i="11" s="1"/>
  <c r="A592" i="11" a="1"/>
  <c r="A592" i="11" s="1"/>
  <c r="H592" i="11" s="1"/>
  <c r="I592" i="11" s="1"/>
  <c r="J592" i="11" s="1"/>
  <c r="C592" i="11" a="1"/>
  <c r="C592" i="11" s="1"/>
  <c r="D592" i="11" s="1"/>
  <c r="K592" i="11" s="1" a="1"/>
  <c r="K592" i="11" s="1"/>
  <c r="A593" i="11" a="1"/>
  <c r="A593" i="11" s="1"/>
  <c r="C593" i="11" a="1"/>
  <c r="C593" i="11" s="1"/>
  <c r="D593" i="11" s="1"/>
  <c r="K593" i="11" s="1" a="1"/>
  <c r="K593" i="11" s="1"/>
  <c r="A594" i="11" a="1"/>
  <c r="A594" i="11" s="1"/>
  <c r="C594" i="11" a="1"/>
  <c r="C594" i="11" s="1"/>
  <c r="D594" i="11" s="1"/>
  <c r="K594" i="11" s="1" a="1"/>
  <c r="K594" i="11" s="1"/>
  <c r="A595" i="11" a="1"/>
  <c r="A595" i="11" s="1"/>
  <c r="H595" i="11" s="1"/>
  <c r="I595" i="11" s="1"/>
  <c r="C595" i="11" a="1"/>
  <c r="C595" i="11" s="1"/>
  <c r="D595" i="11" s="1"/>
  <c r="K595" i="11" s="1" a="1"/>
  <c r="K595" i="11" s="1"/>
  <c r="A596" i="11" a="1"/>
  <c r="A596" i="11" s="1"/>
  <c r="C596" i="11" a="1"/>
  <c r="C596" i="11" s="1"/>
  <c r="D596" i="11" s="1"/>
  <c r="K596" i="11" s="1" a="1"/>
  <c r="K596" i="11" s="1"/>
  <c r="A597" i="11" a="1"/>
  <c r="A597" i="11" s="1"/>
  <c r="C597" i="11" a="1"/>
  <c r="C597" i="11" s="1"/>
  <c r="D597" i="11" s="1"/>
  <c r="K597" i="11" s="1" a="1"/>
  <c r="K597" i="11" s="1"/>
  <c r="A598" i="11" a="1"/>
  <c r="A598" i="11" s="1"/>
  <c r="H598" i="11" s="1"/>
  <c r="I598" i="11" s="1"/>
  <c r="J598" i="11" s="1"/>
  <c r="C598" i="11" a="1"/>
  <c r="C598" i="11" s="1"/>
  <c r="D598" i="11" s="1"/>
  <c r="K598" i="11" s="1" a="1"/>
  <c r="K598" i="11" s="1"/>
  <c r="A599" i="11" a="1"/>
  <c r="A599" i="11" s="1"/>
  <c r="B599" i="11" s="1"/>
  <c r="C599" i="11" a="1"/>
  <c r="C599" i="11" s="1"/>
  <c r="D599" i="11" s="1"/>
  <c r="K599" i="11" s="1" a="1"/>
  <c r="K599" i="11" s="1"/>
  <c r="A600" i="11" a="1"/>
  <c r="A600" i="11" s="1"/>
  <c r="F600" i="11" s="1"/>
  <c r="G600" i="11" s="1"/>
  <c r="C600" i="11" a="1"/>
  <c r="C600" i="11" s="1"/>
  <c r="D600" i="11" s="1"/>
  <c r="K600" i="11" s="1" a="1"/>
  <c r="K600" i="11" s="1"/>
  <c r="A601" i="11" a="1"/>
  <c r="A601" i="11" s="1"/>
  <c r="B601" i="11" s="1"/>
  <c r="C601" i="11" a="1"/>
  <c r="C601" i="11" s="1"/>
  <c r="D601" i="11" s="1"/>
  <c r="K601" i="11" s="1" a="1"/>
  <c r="K601" i="11" s="1"/>
  <c r="A602" i="11" a="1"/>
  <c r="A602" i="11" s="1"/>
  <c r="C602" i="11" a="1"/>
  <c r="C602" i="11" s="1"/>
  <c r="D602" i="11" s="1"/>
  <c r="K602" i="11" s="1" a="1"/>
  <c r="K602" i="11" s="1"/>
  <c r="A603" i="11" a="1"/>
  <c r="A603" i="11" s="1"/>
  <c r="B603" i="11" s="1"/>
  <c r="C603" i="11" a="1"/>
  <c r="C603" i="11" s="1"/>
  <c r="D603" i="11" s="1"/>
  <c r="K603" i="11" s="1" a="1"/>
  <c r="K603" i="11" s="1"/>
  <c r="A604" i="11" a="1"/>
  <c r="A604" i="11" s="1"/>
  <c r="H604" i="11" s="1"/>
  <c r="I604" i="11" s="1"/>
  <c r="J604" i="11" s="1"/>
  <c r="C604" i="11" a="1"/>
  <c r="C604" i="11" s="1"/>
  <c r="D604" i="11" s="1"/>
  <c r="K604" i="11" s="1" a="1"/>
  <c r="K604" i="11" s="1"/>
  <c r="A605" i="11" a="1"/>
  <c r="A605" i="11" s="1"/>
  <c r="C605" i="11" a="1"/>
  <c r="C605" i="11" s="1"/>
  <c r="D605" i="11" s="1"/>
  <c r="K605" i="11" s="1" a="1"/>
  <c r="K605" i="11" s="1"/>
  <c r="A606" i="11" a="1"/>
  <c r="A606" i="11" s="1"/>
  <c r="C606" i="11" a="1"/>
  <c r="C606" i="11" s="1"/>
  <c r="D606" i="11" s="1"/>
  <c r="K606" i="11" s="1" a="1"/>
  <c r="K606" i="11" s="1"/>
  <c r="A607" i="11" a="1"/>
  <c r="A607" i="11" s="1"/>
  <c r="H607" i="11" s="1"/>
  <c r="I607" i="11" s="1"/>
  <c r="J607" i="11" s="1"/>
  <c r="C607" i="11" a="1"/>
  <c r="C607" i="11" s="1"/>
  <c r="D607" i="11" s="1"/>
  <c r="K607" i="11" s="1" a="1"/>
  <c r="K607" i="11" s="1"/>
  <c r="A608" i="11" a="1"/>
  <c r="A608" i="11" s="1"/>
  <c r="C608" i="11" a="1"/>
  <c r="C608" i="11" s="1"/>
  <c r="D608" i="11" s="1"/>
  <c r="K608" i="11" s="1" a="1"/>
  <c r="K608" i="11" s="1"/>
  <c r="A609" i="11" a="1"/>
  <c r="A609" i="11" s="1"/>
  <c r="C609" i="11" a="1"/>
  <c r="C609" i="11" s="1"/>
  <c r="D609" i="11" s="1"/>
  <c r="K609" i="11" s="1" a="1"/>
  <c r="K609" i="11" s="1"/>
  <c r="A610" i="11" a="1"/>
  <c r="A610" i="11" s="1"/>
  <c r="H610" i="11" s="1"/>
  <c r="I610" i="11" s="1"/>
  <c r="C610" i="11" a="1"/>
  <c r="C610" i="11" s="1"/>
  <c r="D610" i="11" s="1"/>
  <c r="K610" i="11" s="1" a="1"/>
  <c r="K610" i="11" s="1"/>
  <c r="A611" i="11" a="1"/>
  <c r="A611" i="11" s="1"/>
  <c r="B611" i="11" s="1"/>
  <c r="C611" i="11" a="1"/>
  <c r="C611" i="11" s="1"/>
  <c r="D611" i="11" s="1"/>
  <c r="K611" i="11" s="1" a="1"/>
  <c r="K611" i="11" s="1"/>
  <c r="A612" i="11" a="1"/>
  <c r="A612" i="11" s="1"/>
  <c r="B612" i="11" s="1"/>
  <c r="C612" i="11" a="1"/>
  <c r="C612" i="11" s="1"/>
  <c r="D612" i="11" s="1"/>
  <c r="K612" i="11" s="1" a="1"/>
  <c r="K612" i="11" s="1"/>
  <c r="A613" i="11" a="1"/>
  <c r="A613" i="11" s="1"/>
  <c r="H613" i="11" s="1"/>
  <c r="I613" i="11" s="1"/>
  <c r="J613" i="11" s="1"/>
  <c r="C613" i="11" a="1"/>
  <c r="C613" i="11" s="1"/>
  <c r="D613" i="11" s="1"/>
  <c r="K613" i="11" s="1" a="1"/>
  <c r="K613" i="11" s="1"/>
  <c r="A614" i="11" a="1"/>
  <c r="A614" i="11" s="1"/>
  <c r="C614" i="11" a="1"/>
  <c r="C614" i="11" s="1"/>
  <c r="D614" i="11" s="1"/>
  <c r="K614" i="11" s="1" a="1"/>
  <c r="K614" i="11" s="1"/>
  <c r="A615" i="11" a="1"/>
  <c r="A615" i="11" s="1"/>
  <c r="B615" i="11" s="1"/>
  <c r="C615" i="11" a="1"/>
  <c r="C615" i="11" s="1"/>
  <c r="D615" i="11" s="1"/>
  <c r="K615" i="11" s="1" a="1"/>
  <c r="K615" i="11" s="1"/>
  <c r="A616" i="11" a="1"/>
  <c r="A616" i="11" s="1"/>
  <c r="H616" i="11" s="1"/>
  <c r="I616" i="11" s="1"/>
  <c r="C616" i="11" a="1"/>
  <c r="C616" i="11" s="1"/>
  <c r="D616" i="11" s="1"/>
  <c r="K616" i="11" s="1" a="1"/>
  <c r="K616" i="11" s="1"/>
  <c r="A617" i="11" a="1"/>
  <c r="A617" i="11" s="1"/>
  <c r="B617" i="11" s="1"/>
  <c r="C617" i="11" a="1"/>
  <c r="C617" i="11" s="1"/>
  <c r="D617" i="11" s="1"/>
  <c r="K617" i="11" s="1" a="1"/>
  <c r="K617" i="11" s="1"/>
  <c r="A618" i="11" a="1"/>
  <c r="A618" i="11" s="1"/>
  <c r="B618" i="11" s="1"/>
  <c r="C618" i="11" a="1"/>
  <c r="C618" i="11" s="1"/>
  <c r="D618" i="11" s="1"/>
  <c r="K618" i="11" s="1" a="1"/>
  <c r="K618" i="11" s="1"/>
  <c r="A619" i="11" a="1"/>
  <c r="A619" i="11" s="1"/>
  <c r="H619" i="11" s="1"/>
  <c r="I619" i="11" s="1"/>
  <c r="C619" i="11" a="1"/>
  <c r="C619" i="11" s="1"/>
  <c r="D619" i="11" s="1"/>
  <c r="K619" i="11" s="1" a="1"/>
  <c r="K619" i="11" s="1"/>
  <c r="A620" i="11" a="1"/>
  <c r="A620" i="11" s="1"/>
  <c r="C620" i="11" a="1"/>
  <c r="C620" i="11" s="1"/>
  <c r="D620" i="11" s="1"/>
  <c r="K620" i="11" s="1" a="1"/>
  <c r="K620" i="11" s="1"/>
  <c r="A621" i="11" a="1"/>
  <c r="A621" i="11" s="1"/>
  <c r="C621" i="11" a="1"/>
  <c r="C621" i="11" s="1"/>
  <c r="D621" i="11" s="1"/>
  <c r="K621" i="11" s="1" a="1"/>
  <c r="K621" i="11" s="1"/>
  <c r="A622" i="11" a="1"/>
  <c r="A622" i="11" s="1"/>
  <c r="C622" i="11" a="1"/>
  <c r="C622" i="11" s="1"/>
  <c r="D622" i="11" s="1"/>
  <c r="K622" i="11" s="1" a="1"/>
  <c r="K622" i="11" s="1"/>
  <c r="A623" i="11" a="1"/>
  <c r="A623" i="11" s="1"/>
  <c r="B623" i="11" s="1"/>
  <c r="C623" i="11" a="1"/>
  <c r="C623" i="11" s="1"/>
  <c r="D623" i="11" s="1"/>
  <c r="K623" i="11" s="1" a="1"/>
  <c r="K623" i="11" s="1"/>
  <c r="A624" i="11" a="1"/>
  <c r="A624" i="11" s="1"/>
  <c r="C624" i="11" a="1"/>
  <c r="C624" i="11" s="1"/>
  <c r="D624" i="11" s="1"/>
  <c r="K624" i="11" s="1" a="1"/>
  <c r="K624" i="11" s="1"/>
  <c r="A625" i="11" a="1"/>
  <c r="A625" i="11" s="1"/>
  <c r="C625" i="11" a="1"/>
  <c r="C625" i="11" s="1"/>
  <c r="D625" i="11" s="1"/>
  <c r="K625" i="11" s="1" a="1"/>
  <c r="K625" i="11" s="1"/>
  <c r="A626" i="11" a="1"/>
  <c r="A626" i="11" s="1"/>
  <c r="C626" i="11" a="1"/>
  <c r="C626" i="11" s="1"/>
  <c r="D626" i="11" s="1"/>
  <c r="K626" i="11" s="1" a="1"/>
  <c r="K626" i="11" s="1"/>
  <c r="A627" i="11" a="1"/>
  <c r="A627" i="11" s="1"/>
  <c r="C627" i="11" a="1"/>
  <c r="C627" i="11" s="1"/>
  <c r="D627" i="11" s="1"/>
  <c r="K627" i="11" s="1" a="1"/>
  <c r="K627" i="11" s="1"/>
  <c r="A628" i="11" a="1"/>
  <c r="A628" i="11" s="1"/>
  <c r="F628" i="11" s="1"/>
  <c r="G628" i="11" s="1"/>
  <c r="C628" i="11" a="1"/>
  <c r="C628" i="11" s="1"/>
  <c r="D628" i="11" s="1"/>
  <c r="K628" i="11" s="1" a="1"/>
  <c r="K628" i="11" s="1"/>
  <c r="A629" i="11" a="1"/>
  <c r="A629" i="11" s="1"/>
  <c r="C629" i="11" a="1"/>
  <c r="C629" i="11" s="1"/>
  <c r="D629" i="11" s="1"/>
  <c r="K629" i="11" s="1" a="1"/>
  <c r="K629" i="11" s="1"/>
  <c r="A630" i="11" a="1"/>
  <c r="A630" i="11" s="1"/>
  <c r="C630" i="11" a="1"/>
  <c r="C630" i="11" s="1"/>
  <c r="D630" i="11" s="1"/>
  <c r="K630" i="11" s="1" a="1"/>
  <c r="K630" i="11" s="1"/>
  <c r="A631" i="11" a="1"/>
  <c r="A631" i="11" s="1"/>
  <c r="C631" i="11" a="1"/>
  <c r="C631" i="11" s="1"/>
  <c r="D631" i="11" s="1"/>
  <c r="K631" i="11" s="1" a="1"/>
  <c r="K631" i="11" s="1"/>
  <c r="A632" i="11" a="1"/>
  <c r="A632" i="11" s="1"/>
  <c r="C632" i="11" a="1"/>
  <c r="C632" i="11" s="1"/>
  <c r="D632" i="11" s="1"/>
  <c r="K632" i="11" s="1" a="1"/>
  <c r="K632" i="11" s="1"/>
  <c r="A633" i="11" a="1"/>
  <c r="A633" i="11" s="1"/>
  <c r="C633" i="11" a="1"/>
  <c r="C633" i="11" s="1"/>
  <c r="D633" i="11" s="1"/>
  <c r="K633" i="11" s="1" a="1"/>
  <c r="K633" i="11" s="1"/>
  <c r="A466" i="11" a="1"/>
  <c r="A466" i="11" s="1"/>
  <c r="C466" i="11" a="1"/>
  <c r="C466" i="11" s="1"/>
  <c r="D466" i="11" s="1"/>
  <c r="K466" i="11" s="1" a="1"/>
  <c r="K466" i="11" s="1"/>
  <c r="A467" i="11" a="1"/>
  <c r="A467" i="11" s="1"/>
  <c r="C467" i="11" a="1"/>
  <c r="C467" i="11" s="1"/>
  <c r="D467" i="11" s="1"/>
  <c r="K467" i="11" s="1" a="1"/>
  <c r="K467" i="11" s="1"/>
  <c r="A468" i="11" a="1"/>
  <c r="A468" i="11" s="1"/>
  <c r="C468" i="11" a="1"/>
  <c r="C468" i="11" s="1"/>
  <c r="D468" i="11" s="1"/>
  <c r="K468" i="11" s="1" a="1"/>
  <c r="K468" i="11" s="1"/>
  <c r="A469" i="11" a="1"/>
  <c r="A469" i="11" s="1"/>
  <c r="C469" i="11" a="1"/>
  <c r="C469" i="11" s="1"/>
  <c r="D469" i="11" s="1"/>
  <c r="K469" i="11" s="1" a="1"/>
  <c r="K469" i="11" s="1"/>
  <c r="A470" i="11" a="1"/>
  <c r="A470" i="11" s="1"/>
  <c r="C470" i="11" a="1"/>
  <c r="C470" i="11" s="1"/>
  <c r="D470" i="11" s="1"/>
  <c r="K470" i="11" s="1" a="1"/>
  <c r="K470" i="11" s="1"/>
  <c r="A471" i="11" a="1"/>
  <c r="A471" i="11" s="1"/>
  <c r="C471" i="11" a="1"/>
  <c r="C471" i="11" s="1"/>
  <c r="D471" i="11" s="1"/>
  <c r="K471" i="11" s="1" a="1"/>
  <c r="K471" i="11" s="1"/>
  <c r="A472" i="11" a="1"/>
  <c r="A472" i="11" s="1"/>
  <c r="C472" i="11" a="1"/>
  <c r="C472" i="11" s="1"/>
  <c r="D472" i="11" s="1"/>
  <c r="K472" i="11" s="1" a="1"/>
  <c r="K472" i="11" s="1"/>
  <c r="A473" i="11" a="1"/>
  <c r="A473" i="11" s="1"/>
  <c r="C473" i="11" a="1"/>
  <c r="C473" i="11" s="1"/>
  <c r="D473" i="11" s="1"/>
  <c r="K473" i="11" s="1" a="1"/>
  <c r="K473" i="11" s="1"/>
  <c r="A290" i="11" a="1"/>
  <c r="A290" i="11" s="1"/>
  <c r="H290" i="11" s="1"/>
  <c r="I290" i="11" s="1"/>
  <c r="C290" i="11" a="1"/>
  <c r="C290" i="11" s="1"/>
  <c r="D290" i="11" s="1"/>
  <c r="K290" i="11" s="1" a="1"/>
  <c r="K290" i="11" s="1"/>
  <c r="A291" i="11" a="1"/>
  <c r="A291" i="11" s="1"/>
  <c r="F291" i="11" s="1"/>
  <c r="G291" i="11" s="1"/>
  <c r="C291" i="11" a="1"/>
  <c r="C291" i="11" s="1"/>
  <c r="D291" i="11" s="1"/>
  <c r="K291" i="11" s="1" a="1"/>
  <c r="K291" i="11" s="1"/>
  <c r="A292" i="11" a="1"/>
  <c r="A292" i="11" s="1"/>
  <c r="H292" i="11" s="1"/>
  <c r="I292" i="11" s="1"/>
  <c r="C292" i="11" a="1"/>
  <c r="C292" i="11" s="1"/>
  <c r="D292" i="11" s="1"/>
  <c r="K292" i="11" s="1" a="1"/>
  <c r="K292" i="11" s="1"/>
  <c r="A293" i="11" a="1"/>
  <c r="A293" i="11" s="1"/>
  <c r="F293" i="11" s="1"/>
  <c r="G293" i="11" s="1"/>
  <c r="C293" i="11" a="1"/>
  <c r="C293" i="11" s="1"/>
  <c r="D293" i="11" s="1"/>
  <c r="K293" i="11" s="1" a="1"/>
  <c r="K293" i="11" s="1"/>
  <c r="A294" i="11" a="1"/>
  <c r="A294" i="11" s="1"/>
  <c r="C294" i="11" a="1"/>
  <c r="C294" i="11" s="1"/>
  <c r="D294" i="11" s="1"/>
  <c r="K294" i="11" s="1" a="1"/>
  <c r="K294" i="11" s="1"/>
  <c r="A295" i="11" a="1"/>
  <c r="A295" i="11" s="1"/>
  <c r="C295" i="11" a="1"/>
  <c r="C295" i="11" s="1"/>
  <c r="D295" i="11" s="1"/>
  <c r="K295" i="11" s="1" a="1"/>
  <c r="K295" i="11" s="1"/>
  <c r="A296" i="11" a="1"/>
  <c r="A296" i="11" s="1"/>
  <c r="C296" i="11" a="1"/>
  <c r="C296" i="11" s="1"/>
  <c r="D296" i="11" s="1"/>
  <c r="K296" i="11" s="1" a="1"/>
  <c r="K296" i="11" s="1"/>
  <c r="A297" i="11" a="1"/>
  <c r="A297" i="11" s="1"/>
  <c r="B297" i="11" s="1"/>
  <c r="C297" i="11" a="1"/>
  <c r="C297" i="11" s="1"/>
  <c r="D297" i="11" s="1"/>
  <c r="K297" i="11" s="1" a="1"/>
  <c r="K297" i="11" s="1"/>
  <c r="A298" i="11" a="1"/>
  <c r="A298" i="11" s="1"/>
  <c r="C298" i="11" a="1"/>
  <c r="C298" i="11" s="1"/>
  <c r="D298" i="11" s="1"/>
  <c r="K298" i="11" s="1" a="1"/>
  <c r="K298" i="11" s="1"/>
  <c r="A299" i="11" a="1"/>
  <c r="A299" i="11" s="1"/>
  <c r="F299" i="11" s="1"/>
  <c r="G299" i="11" s="1"/>
  <c r="C299" i="11" a="1"/>
  <c r="C299" i="11" s="1"/>
  <c r="D299" i="11" s="1"/>
  <c r="K299" i="11" s="1" a="1"/>
  <c r="K299" i="11" s="1"/>
  <c r="A300" i="11" a="1"/>
  <c r="A300" i="11" s="1"/>
  <c r="C300" i="11" a="1"/>
  <c r="C300" i="11" s="1"/>
  <c r="D300" i="11" s="1"/>
  <c r="K300" i="11" s="1" a="1"/>
  <c r="K300" i="11" s="1"/>
  <c r="A301" i="11" a="1"/>
  <c r="A301" i="11" s="1"/>
  <c r="C301" i="11" a="1"/>
  <c r="C301" i="11" s="1"/>
  <c r="D301" i="11" s="1"/>
  <c r="K301" i="11" s="1" a="1"/>
  <c r="K301" i="11" s="1"/>
  <c r="A302" i="11" a="1"/>
  <c r="A302" i="11" s="1"/>
  <c r="B302" i="11" s="1"/>
  <c r="C302" i="11" a="1"/>
  <c r="C302" i="11" s="1"/>
  <c r="D302" i="11" s="1"/>
  <c r="K302" i="11" s="1" a="1"/>
  <c r="K302" i="11" s="1"/>
  <c r="A303" i="11" a="1"/>
  <c r="A303" i="11" s="1"/>
  <c r="C303" i="11" a="1"/>
  <c r="C303" i="11" s="1"/>
  <c r="D303" i="11" s="1"/>
  <c r="K303" i="11" s="1" a="1"/>
  <c r="K303" i="11" s="1"/>
  <c r="A304" i="11" a="1"/>
  <c r="A304" i="11" s="1"/>
  <c r="C304" i="11" a="1"/>
  <c r="C304" i="11" s="1"/>
  <c r="D304" i="11" s="1"/>
  <c r="K304" i="11" s="1" a="1"/>
  <c r="K304" i="11" s="1"/>
  <c r="A305" i="11" a="1"/>
  <c r="A305" i="11" s="1"/>
  <c r="H305" i="11" s="1"/>
  <c r="I305" i="11" s="1"/>
  <c r="C305" i="11" a="1"/>
  <c r="C305" i="11" s="1"/>
  <c r="D305" i="11" s="1"/>
  <c r="K305" i="11" s="1" a="1"/>
  <c r="K305" i="11" s="1"/>
  <c r="A306" i="11" a="1"/>
  <c r="A306" i="11" s="1"/>
  <c r="F306" i="11" s="1"/>
  <c r="G306" i="11" s="1"/>
  <c r="C306" i="11" a="1"/>
  <c r="C306" i="11" s="1"/>
  <c r="D306" i="11" s="1"/>
  <c r="K306" i="11" s="1" a="1"/>
  <c r="K306" i="11" s="1"/>
  <c r="A307" i="11" a="1"/>
  <c r="A307" i="11" s="1"/>
  <c r="H307" i="11" s="1"/>
  <c r="I307" i="11" s="1"/>
  <c r="C307" i="11" a="1"/>
  <c r="C307" i="11" s="1"/>
  <c r="D307" i="11" s="1"/>
  <c r="K307" i="11" s="1" a="1"/>
  <c r="K307" i="11" s="1"/>
  <c r="A308" i="11" a="1"/>
  <c r="A308" i="11" s="1"/>
  <c r="B308" i="11" s="1"/>
  <c r="C308" i="11" a="1"/>
  <c r="C308" i="11" s="1"/>
  <c r="D308" i="11" s="1"/>
  <c r="K308" i="11" s="1" a="1"/>
  <c r="K308" i="11" s="1"/>
  <c r="A309" i="11" a="1"/>
  <c r="A309" i="11" s="1"/>
  <c r="C309" i="11" a="1"/>
  <c r="C309" i="11" s="1"/>
  <c r="D309" i="11" s="1"/>
  <c r="K309" i="11" s="1" a="1"/>
  <c r="K309" i="11" s="1"/>
  <c r="A310" i="11" a="1"/>
  <c r="A310" i="11" s="1"/>
  <c r="B310" i="11" s="1"/>
  <c r="C310" i="11" a="1"/>
  <c r="C310" i="11" s="1"/>
  <c r="D310" i="11" s="1"/>
  <c r="K310" i="11" s="1" a="1"/>
  <c r="K310" i="11" s="1"/>
  <c r="A311" i="11" a="1"/>
  <c r="A311" i="11" s="1"/>
  <c r="C311" i="11" a="1"/>
  <c r="C311" i="11" s="1"/>
  <c r="D311" i="11" s="1"/>
  <c r="K311" i="11" s="1" a="1"/>
  <c r="K311" i="11" s="1"/>
  <c r="A312" i="11" a="1"/>
  <c r="A312" i="11" s="1"/>
  <c r="F312" i="11" s="1"/>
  <c r="G312" i="11" s="1"/>
  <c r="C312" i="11" a="1"/>
  <c r="C312" i="11" s="1"/>
  <c r="D312" i="11" s="1"/>
  <c r="K312" i="11" s="1" a="1"/>
  <c r="K312" i="11" s="1"/>
  <c r="A313" i="11" a="1"/>
  <c r="A313" i="11" s="1"/>
  <c r="H313" i="11" s="1"/>
  <c r="I313" i="11" s="1"/>
  <c r="C313" i="11" a="1"/>
  <c r="C313" i="11" s="1"/>
  <c r="D313" i="11" s="1"/>
  <c r="K313" i="11" s="1" a="1"/>
  <c r="K313" i="11" s="1"/>
  <c r="A314" i="11" a="1"/>
  <c r="A314" i="11" s="1"/>
  <c r="B314" i="11" s="1"/>
  <c r="C314" i="11" a="1"/>
  <c r="C314" i="11" s="1"/>
  <c r="D314" i="11" s="1"/>
  <c r="K314" i="11" s="1" a="1"/>
  <c r="K314" i="11" s="1"/>
  <c r="A315" i="11" a="1"/>
  <c r="A315" i="11" s="1"/>
  <c r="C315" i="11" a="1"/>
  <c r="C315" i="11" s="1"/>
  <c r="D315" i="11" s="1"/>
  <c r="K315" i="11" s="1" a="1"/>
  <c r="K315" i="11" s="1"/>
  <c r="A316" i="11" a="1"/>
  <c r="A316" i="11" s="1"/>
  <c r="B316" i="11" s="1"/>
  <c r="C316" i="11" a="1"/>
  <c r="C316" i="11" s="1"/>
  <c r="D316" i="11" s="1"/>
  <c r="K316" i="11" s="1" a="1"/>
  <c r="K316" i="11" s="1"/>
  <c r="A317" i="11" a="1"/>
  <c r="A317" i="11" s="1"/>
  <c r="C317" i="11" a="1"/>
  <c r="C317" i="11" s="1"/>
  <c r="D317" i="11" s="1"/>
  <c r="K317" i="11" s="1" a="1"/>
  <c r="K317" i="11" s="1"/>
  <c r="A318" i="11" a="1"/>
  <c r="A318" i="11" s="1"/>
  <c r="F318" i="11" s="1"/>
  <c r="G318" i="11" s="1"/>
  <c r="C318" i="11" a="1"/>
  <c r="C318" i="11" s="1"/>
  <c r="D318" i="11" s="1"/>
  <c r="K318" i="11" s="1" a="1"/>
  <c r="K318" i="11" s="1"/>
  <c r="A319" i="11" a="1"/>
  <c r="A319" i="11" s="1"/>
  <c r="H319" i="11" s="1"/>
  <c r="I319" i="11" s="1"/>
  <c r="C319" i="11" a="1"/>
  <c r="C319" i="11" s="1"/>
  <c r="D319" i="11" s="1"/>
  <c r="K319" i="11" s="1" a="1"/>
  <c r="K319" i="11" s="1"/>
  <c r="A320" i="11" a="1"/>
  <c r="A320" i="11" s="1"/>
  <c r="B320" i="11" s="1"/>
  <c r="C320" i="11" a="1"/>
  <c r="C320" i="11" s="1"/>
  <c r="D320" i="11" s="1"/>
  <c r="K320" i="11" s="1" a="1"/>
  <c r="K320" i="11" s="1"/>
  <c r="A321" i="11" a="1"/>
  <c r="A321" i="11" s="1"/>
  <c r="C321" i="11" a="1"/>
  <c r="C321" i="11" s="1"/>
  <c r="D321" i="11" s="1"/>
  <c r="K321" i="11" s="1" a="1"/>
  <c r="K321" i="11" s="1"/>
  <c r="A322" i="11" a="1"/>
  <c r="A322" i="11" s="1"/>
  <c r="B322" i="11" s="1"/>
  <c r="C322" i="11" a="1"/>
  <c r="C322" i="11" s="1"/>
  <c r="D322" i="11" s="1"/>
  <c r="K322" i="11" s="1" a="1"/>
  <c r="K322" i="11" s="1"/>
  <c r="A323" i="11" a="1"/>
  <c r="A323" i="11" s="1"/>
  <c r="H323" i="11" s="1"/>
  <c r="I323" i="11" s="1"/>
  <c r="C323" i="11" a="1"/>
  <c r="C323" i="11" s="1"/>
  <c r="D323" i="11" s="1"/>
  <c r="K323" i="11" s="1" a="1"/>
  <c r="K323" i="11" s="1"/>
  <c r="A324" i="11" a="1"/>
  <c r="A324" i="11" s="1"/>
  <c r="F324" i="11" s="1"/>
  <c r="G324" i="11" s="1"/>
  <c r="C324" i="11" a="1"/>
  <c r="C324" i="11" s="1"/>
  <c r="D324" i="11" s="1"/>
  <c r="K324" i="11" s="1" a="1"/>
  <c r="K324" i="11" s="1"/>
  <c r="A325" i="11" a="1"/>
  <c r="A325" i="11" s="1"/>
  <c r="H325" i="11" s="1"/>
  <c r="I325" i="11" s="1"/>
  <c r="C325" i="11" a="1"/>
  <c r="C325" i="11" s="1"/>
  <c r="D325" i="11" s="1"/>
  <c r="K325" i="11" s="1" a="1"/>
  <c r="K325" i="11" s="1"/>
  <c r="A326" i="11" a="1"/>
  <c r="A326" i="11" s="1"/>
  <c r="B326" i="11" s="1"/>
  <c r="C326" i="11" a="1"/>
  <c r="C326" i="11" s="1"/>
  <c r="D326" i="11" s="1"/>
  <c r="K326" i="11" s="1" a="1"/>
  <c r="K326" i="11" s="1"/>
  <c r="A327" i="11" a="1"/>
  <c r="A327" i="11" s="1"/>
  <c r="C327" i="11" a="1"/>
  <c r="C327" i="11" s="1"/>
  <c r="D327" i="11" s="1"/>
  <c r="K327" i="11" s="1" a="1"/>
  <c r="K327" i="11" s="1"/>
  <c r="A328" i="11" a="1"/>
  <c r="A328" i="11" s="1"/>
  <c r="B328" i="11" s="1"/>
  <c r="C328" i="11" a="1"/>
  <c r="C328" i="11" s="1"/>
  <c r="D328" i="11" s="1"/>
  <c r="K328" i="11" s="1" a="1"/>
  <c r="K328" i="11" s="1"/>
  <c r="A329" i="11" a="1"/>
  <c r="A329" i="11" s="1"/>
  <c r="H329" i="11" s="1"/>
  <c r="I329" i="11" s="1"/>
  <c r="C329" i="11" a="1"/>
  <c r="C329" i="11" s="1"/>
  <c r="D329" i="11" s="1"/>
  <c r="K329" i="11" s="1" a="1"/>
  <c r="K329" i="11" s="1"/>
  <c r="A330" i="11" a="1"/>
  <c r="A330" i="11" s="1"/>
  <c r="F330" i="11" s="1"/>
  <c r="G330" i="11" s="1"/>
  <c r="C330" i="11" a="1"/>
  <c r="C330" i="11" s="1"/>
  <c r="D330" i="11" s="1"/>
  <c r="K330" i="11" s="1" a="1"/>
  <c r="K330" i="11" s="1"/>
  <c r="A331" i="11" a="1"/>
  <c r="A331" i="11" s="1"/>
  <c r="H331" i="11" s="1"/>
  <c r="I331" i="11" s="1"/>
  <c r="C331" i="11" a="1"/>
  <c r="C331" i="11" s="1"/>
  <c r="D331" i="11" s="1"/>
  <c r="K331" i="11" s="1" a="1"/>
  <c r="K331" i="11" s="1"/>
  <c r="A332" i="11" a="1"/>
  <c r="A332" i="11" s="1"/>
  <c r="B332" i="11" s="1"/>
  <c r="C332" i="11" a="1"/>
  <c r="C332" i="11" s="1"/>
  <c r="D332" i="11" s="1"/>
  <c r="K332" i="11" s="1" a="1"/>
  <c r="K332" i="11" s="1"/>
  <c r="A333" i="11" a="1"/>
  <c r="A333" i="11" s="1"/>
  <c r="C333" i="11" a="1"/>
  <c r="C333" i="11" s="1"/>
  <c r="D333" i="11" s="1"/>
  <c r="K333" i="11" s="1" a="1"/>
  <c r="K333" i="11" s="1"/>
  <c r="A334" i="11" a="1"/>
  <c r="A334" i="11" s="1"/>
  <c r="B334" i="11" s="1"/>
  <c r="C334" i="11" a="1"/>
  <c r="C334" i="11" s="1"/>
  <c r="D334" i="11" s="1"/>
  <c r="K334" i="11" s="1" a="1"/>
  <c r="K334" i="11" s="1"/>
  <c r="A335" i="11" a="1"/>
  <c r="A335" i="11" s="1"/>
  <c r="H335" i="11" s="1"/>
  <c r="I335" i="11" s="1"/>
  <c r="C335" i="11" a="1"/>
  <c r="C335" i="11" s="1"/>
  <c r="D335" i="11" s="1"/>
  <c r="K335" i="11" s="1" a="1"/>
  <c r="K335" i="11" s="1"/>
  <c r="A336" i="11" a="1"/>
  <c r="A336" i="11" s="1"/>
  <c r="F336" i="11" s="1"/>
  <c r="G336" i="11" s="1"/>
  <c r="C336" i="11" a="1"/>
  <c r="C336" i="11" s="1"/>
  <c r="D336" i="11" s="1"/>
  <c r="K336" i="11" s="1" a="1"/>
  <c r="K336" i="11" s="1"/>
  <c r="A337" i="11" a="1"/>
  <c r="A337" i="11" s="1"/>
  <c r="H337" i="11" s="1"/>
  <c r="I337" i="11" s="1"/>
  <c r="C337" i="11" a="1"/>
  <c r="C337" i="11" s="1"/>
  <c r="D337" i="11" s="1"/>
  <c r="K337" i="11" s="1" a="1"/>
  <c r="K337" i="11" s="1"/>
  <c r="A338" i="11" a="1"/>
  <c r="A338" i="11" s="1"/>
  <c r="B338" i="11" s="1"/>
  <c r="C338" i="11" a="1"/>
  <c r="C338" i="11" s="1"/>
  <c r="D338" i="11" s="1"/>
  <c r="K338" i="11" s="1" a="1"/>
  <c r="K338" i="11" s="1"/>
  <c r="A339" i="11" a="1"/>
  <c r="A339" i="11" s="1"/>
  <c r="C339" i="11" a="1"/>
  <c r="C339" i="11" s="1"/>
  <c r="D339" i="11" s="1"/>
  <c r="K339" i="11" s="1" a="1"/>
  <c r="K339" i="11" s="1"/>
  <c r="A340" i="11" a="1"/>
  <c r="A340" i="11" s="1"/>
  <c r="B340" i="11" s="1"/>
  <c r="C340" i="11" a="1"/>
  <c r="C340" i="11" s="1"/>
  <c r="D340" i="11" s="1"/>
  <c r="K340" i="11" s="1" a="1"/>
  <c r="K340" i="11" s="1"/>
  <c r="A341" i="11" a="1"/>
  <c r="A341" i="11" s="1"/>
  <c r="H341" i="11" s="1"/>
  <c r="I341" i="11" s="1"/>
  <c r="C341" i="11" a="1"/>
  <c r="C341" i="11" s="1"/>
  <c r="D341" i="11" s="1"/>
  <c r="K341" i="11" s="1" a="1"/>
  <c r="K341" i="11" s="1"/>
  <c r="A342" i="11" a="1"/>
  <c r="A342" i="11" s="1"/>
  <c r="F342" i="11" s="1"/>
  <c r="G342" i="11" s="1"/>
  <c r="C342" i="11" a="1"/>
  <c r="C342" i="11" s="1"/>
  <c r="D342" i="11" s="1"/>
  <c r="K342" i="11" s="1" a="1"/>
  <c r="K342" i="11" s="1"/>
  <c r="A343" i="11" a="1"/>
  <c r="A343" i="11" s="1"/>
  <c r="H343" i="11" s="1"/>
  <c r="I343" i="11" s="1"/>
  <c r="C343" i="11" a="1"/>
  <c r="C343" i="11" s="1"/>
  <c r="D343" i="11" s="1"/>
  <c r="K343" i="11" s="1" a="1"/>
  <c r="K343" i="11" s="1"/>
  <c r="A344" i="11" a="1"/>
  <c r="A344" i="11" s="1"/>
  <c r="C344" i="11" a="1"/>
  <c r="C344" i="11" s="1"/>
  <c r="D344" i="11" s="1"/>
  <c r="K344" i="11" s="1" a="1"/>
  <c r="K344" i="11" s="1"/>
  <c r="A345" i="11" a="1"/>
  <c r="A345" i="11" s="1"/>
  <c r="B345" i="11" s="1"/>
  <c r="C345" i="11" a="1"/>
  <c r="C345" i="11" s="1"/>
  <c r="D345" i="11" s="1"/>
  <c r="K345" i="11" s="1" a="1"/>
  <c r="K345" i="11" s="1"/>
  <c r="A346" i="11" a="1"/>
  <c r="A346" i="11" s="1"/>
  <c r="F346" i="11" s="1"/>
  <c r="G346" i="11" s="1"/>
  <c r="C346" i="11" a="1"/>
  <c r="C346" i="11" s="1"/>
  <c r="D346" i="11" s="1"/>
  <c r="K346" i="11" s="1" a="1"/>
  <c r="K346" i="11" s="1"/>
  <c r="A347" i="11" a="1"/>
  <c r="A347" i="11" s="1"/>
  <c r="F347" i="11" s="1"/>
  <c r="G347" i="11" s="1"/>
  <c r="C347" i="11" a="1"/>
  <c r="C347" i="11" s="1"/>
  <c r="D347" i="11" s="1"/>
  <c r="K347" i="11" s="1" a="1"/>
  <c r="K347" i="11" s="1"/>
  <c r="A348" i="11" a="1"/>
  <c r="A348" i="11" s="1"/>
  <c r="H348" i="11" s="1"/>
  <c r="I348" i="11" s="1"/>
  <c r="C348" i="11" a="1"/>
  <c r="C348" i="11" s="1"/>
  <c r="D348" i="11" s="1"/>
  <c r="K348" i="11" s="1" a="1"/>
  <c r="K348" i="11" s="1"/>
  <c r="A349" i="11" a="1"/>
  <c r="A349" i="11" s="1"/>
  <c r="C349" i="11" a="1"/>
  <c r="C349" i="11" s="1"/>
  <c r="D349" i="11" s="1"/>
  <c r="K349" i="11" s="1" a="1"/>
  <c r="K349" i="11" s="1"/>
  <c r="A350" i="11" a="1"/>
  <c r="A350" i="11" s="1"/>
  <c r="F350" i="11" s="1"/>
  <c r="G350" i="11" s="1"/>
  <c r="C350" i="11" a="1"/>
  <c r="C350" i="11" s="1"/>
  <c r="D350" i="11" s="1"/>
  <c r="K350" i="11" s="1" a="1"/>
  <c r="K350" i="11" s="1"/>
  <c r="A351" i="11" a="1"/>
  <c r="A351" i="11" s="1"/>
  <c r="F351" i="11" s="1"/>
  <c r="G351" i="11" s="1"/>
  <c r="C351" i="11" a="1"/>
  <c r="C351" i="11" s="1"/>
  <c r="D351" i="11" s="1"/>
  <c r="K351" i="11" s="1" a="1"/>
  <c r="K351" i="11" s="1"/>
  <c r="A352" i="11" a="1"/>
  <c r="A352" i="11" s="1"/>
  <c r="B352" i="11" s="1"/>
  <c r="C352" i="11" a="1"/>
  <c r="C352" i="11" s="1"/>
  <c r="D352" i="11" s="1"/>
  <c r="K352" i="11" s="1" a="1"/>
  <c r="K352" i="11" s="1"/>
  <c r="A353" i="11" a="1"/>
  <c r="A353" i="11" s="1"/>
  <c r="C353" i="11" a="1"/>
  <c r="C353" i="11" s="1"/>
  <c r="D353" i="11" s="1"/>
  <c r="K353" i="11" s="1" a="1"/>
  <c r="K353" i="11" s="1"/>
  <c r="A354" i="11" a="1"/>
  <c r="A354" i="11" s="1"/>
  <c r="C354" i="11" a="1"/>
  <c r="C354" i="11" s="1"/>
  <c r="D354" i="11" s="1"/>
  <c r="K354" i="11" s="1" a="1"/>
  <c r="K354" i="11" s="1"/>
  <c r="A355" i="11" a="1"/>
  <c r="A355" i="11" s="1"/>
  <c r="C355" i="11" a="1"/>
  <c r="C355" i="11" s="1"/>
  <c r="D355" i="11" s="1"/>
  <c r="K355" i="11" s="1" a="1"/>
  <c r="K355" i="11" s="1"/>
  <c r="A356" i="11" a="1"/>
  <c r="A356" i="11" s="1"/>
  <c r="F356" i="11" s="1"/>
  <c r="G356" i="11" s="1"/>
  <c r="C356" i="11" a="1"/>
  <c r="C356" i="11" s="1"/>
  <c r="D356" i="11" s="1"/>
  <c r="K356" i="11" s="1" a="1"/>
  <c r="K356" i="11" s="1"/>
  <c r="A357" i="11" a="1"/>
  <c r="A357" i="11" s="1"/>
  <c r="C357" i="11" a="1"/>
  <c r="C357" i="11" s="1"/>
  <c r="D357" i="11" s="1"/>
  <c r="K357" i="11" s="1" a="1"/>
  <c r="K357" i="11" s="1"/>
  <c r="A358" i="11" a="1"/>
  <c r="A358" i="11" s="1"/>
  <c r="B358" i="11" s="1"/>
  <c r="C358" i="11" a="1"/>
  <c r="C358" i="11" s="1"/>
  <c r="D358" i="11" s="1"/>
  <c r="K358" i="11" s="1" a="1"/>
  <c r="K358" i="11" s="1"/>
  <c r="A359" i="11" a="1"/>
  <c r="A359" i="11" s="1"/>
  <c r="C359" i="11" a="1"/>
  <c r="C359" i="11" s="1"/>
  <c r="D359" i="11" s="1"/>
  <c r="K359" i="11" s="1" a="1"/>
  <c r="K359" i="11" s="1"/>
  <c r="A360" i="11" a="1"/>
  <c r="A360" i="11" s="1"/>
  <c r="C360" i="11" a="1"/>
  <c r="C360" i="11" s="1"/>
  <c r="D360" i="11" s="1"/>
  <c r="K360" i="11" s="1" a="1"/>
  <c r="K360" i="11" s="1"/>
  <c r="A361" i="11" a="1"/>
  <c r="A361" i="11" s="1"/>
  <c r="B361" i="11" s="1"/>
  <c r="C361" i="11" a="1"/>
  <c r="C361" i="11" s="1"/>
  <c r="D361" i="11" s="1"/>
  <c r="K361" i="11" s="1" a="1"/>
  <c r="K361" i="11" s="1"/>
  <c r="A362" i="11" a="1"/>
  <c r="A362" i="11" s="1"/>
  <c r="F362" i="11" s="1"/>
  <c r="G362" i="11" s="1"/>
  <c r="C362" i="11" a="1"/>
  <c r="C362" i="11" s="1"/>
  <c r="D362" i="11" s="1"/>
  <c r="K362" i="11" s="1" a="1"/>
  <c r="K362" i="11" s="1"/>
  <c r="A363" i="11" a="1"/>
  <c r="A363" i="11" s="1"/>
  <c r="C363" i="11" a="1"/>
  <c r="C363" i="11" s="1"/>
  <c r="D363" i="11" s="1"/>
  <c r="K363" i="11" s="1" a="1"/>
  <c r="K363" i="11" s="1"/>
  <c r="A364" i="11" a="1"/>
  <c r="A364" i="11" s="1"/>
  <c r="C364" i="11" a="1"/>
  <c r="C364" i="11" s="1"/>
  <c r="D364" i="11" s="1"/>
  <c r="K364" i="11" s="1" a="1"/>
  <c r="K364" i="11" s="1"/>
  <c r="A365" i="11" a="1"/>
  <c r="A365" i="11" s="1"/>
  <c r="H365" i="11" s="1"/>
  <c r="I365" i="11" s="1"/>
  <c r="C365" i="11" a="1"/>
  <c r="C365" i="11" s="1"/>
  <c r="D365" i="11" s="1"/>
  <c r="K365" i="11" s="1" a="1"/>
  <c r="K365" i="11" s="1"/>
  <c r="A366" i="11" a="1"/>
  <c r="A366" i="11" s="1"/>
  <c r="F366" i="11" s="1"/>
  <c r="G366" i="11" s="1"/>
  <c r="C366" i="11" a="1"/>
  <c r="C366" i="11" s="1"/>
  <c r="D366" i="11" s="1"/>
  <c r="K366" i="11" s="1" a="1"/>
  <c r="K366" i="11" s="1"/>
  <c r="A367" i="11" a="1"/>
  <c r="A367" i="11" s="1"/>
  <c r="H367" i="11" s="1"/>
  <c r="I367" i="11" s="1"/>
  <c r="C367" i="11" a="1"/>
  <c r="C367" i="11" s="1"/>
  <c r="D367" i="11" s="1"/>
  <c r="K367" i="11" s="1" a="1"/>
  <c r="K367" i="11" s="1"/>
  <c r="A368" i="11" a="1"/>
  <c r="A368" i="11" s="1"/>
  <c r="F368" i="11" s="1"/>
  <c r="G368" i="11" s="1"/>
  <c r="C368" i="11" a="1"/>
  <c r="C368" i="11" s="1"/>
  <c r="D368" i="11" s="1"/>
  <c r="K368" i="11" s="1" a="1"/>
  <c r="K368" i="11" s="1"/>
  <c r="A369" i="11" a="1"/>
  <c r="A369" i="11" s="1"/>
  <c r="C369" i="11" a="1"/>
  <c r="C369" i="11" s="1"/>
  <c r="D369" i="11" s="1"/>
  <c r="K369" i="11" s="1" a="1"/>
  <c r="K369" i="11" s="1"/>
  <c r="A370" i="11" a="1"/>
  <c r="A370" i="11" s="1"/>
  <c r="F370" i="11" s="1"/>
  <c r="G370" i="11" s="1"/>
  <c r="C370" i="11" a="1"/>
  <c r="C370" i="11" s="1"/>
  <c r="D370" i="11" s="1"/>
  <c r="K370" i="11" s="1" a="1"/>
  <c r="K370" i="11" s="1"/>
  <c r="A371" i="11" a="1"/>
  <c r="A371" i="11" s="1"/>
  <c r="H371" i="11" s="1"/>
  <c r="I371" i="11" s="1"/>
  <c r="C371" i="11" a="1"/>
  <c r="C371" i="11" s="1"/>
  <c r="D371" i="11" s="1"/>
  <c r="K371" i="11" s="1" a="1"/>
  <c r="K371" i="11" s="1"/>
  <c r="A372" i="11" a="1"/>
  <c r="A372" i="11" s="1"/>
  <c r="C372" i="11" a="1"/>
  <c r="C372" i="11" s="1"/>
  <c r="D372" i="11" s="1"/>
  <c r="K372" i="11" s="1" a="1"/>
  <c r="K372" i="11" s="1"/>
  <c r="A373" i="11" a="1"/>
  <c r="A373" i="11" s="1"/>
  <c r="C373" i="11" a="1"/>
  <c r="C373" i="11" s="1"/>
  <c r="D373" i="11" s="1"/>
  <c r="K373" i="11" s="1" a="1"/>
  <c r="K373" i="11" s="1"/>
  <c r="A374" i="11" a="1"/>
  <c r="A374" i="11" s="1"/>
  <c r="F374" i="11" s="1"/>
  <c r="G374" i="11" s="1"/>
  <c r="C374" i="11" a="1"/>
  <c r="C374" i="11" s="1"/>
  <c r="D374" i="11" s="1"/>
  <c r="K374" i="11" s="1" a="1"/>
  <c r="K374" i="11" s="1"/>
  <c r="A375" i="11" a="1"/>
  <c r="A375" i="11" s="1"/>
  <c r="H375" i="11" s="1"/>
  <c r="I375" i="11" s="1"/>
  <c r="C375" i="11" a="1"/>
  <c r="C375" i="11" s="1"/>
  <c r="D375" i="11" s="1"/>
  <c r="K375" i="11" s="1" a="1"/>
  <c r="K375" i="11" s="1"/>
  <c r="A376" i="11" a="1"/>
  <c r="A376" i="11" s="1"/>
  <c r="C376" i="11" a="1"/>
  <c r="C376" i="11" s="1"/>
  <c r="D376" i="11" s="1"/>
  <c r="K376" i="11" s="1" a="1"/>
  <c r="K376" i="11" s="1"/>
  <c r="A377" i="11" a="1"/>
  <c r="A377" i="11" s="1"/>
  <c r="F377" i="11" s="1"/>
  <c r="G377" i="11" s="1"/>
  <c r="C377" i="11" a="1"/>
  <c r="C377" i="11" s="1"/>
  <c r="D377" i="11" s="1"/>
  <c r="K377" i="11" s="1" a="1"/>
  <c r="K377" i="11" s="1"/>
  <c r="A378" i="11" a="1"/>
  <c r="A378" i="11" s="1"/>
  <c r="C378" i="11" a="1"/>
  <c r="C378" i="11" s="1"/>
  <c r="D378" i="11" s="1"/>
  <c r="K378" i="11" s="1" a="1"/>
  <c r="K378" i="11" s="1"/>
  <c r="A379" i="11" a="1"/>
  <c r="A379" i="11" s="1"/>
  <c r="F379" i="11" s="1"/>
  <c r="G379" i="11" s="1"/>
  <c r="C379" i="11" a="1"/>
  <c r="C379" i="11" s="1"/>
  <c r="D379" i="11" s="1"/>
  <c r="K379" i="11" s="1" a="1"/>
  <c r="K379" i="11" s="1"/>
  <c r="A380" i="11" a="1"/>
  <c r="A380" i="11" s="1"/>
  <c r="C380" i="11" a="1"/>
  <c r="C380" i="11" s="1"/>
  <c r="D380" i="11" s="1"/>
  <c r="K380" i="11" s="1" a="1"/>
  <c r="K380" i="11" s="1"/>
  <c r="A381" i="11" a="1"/>
  <c r="A381" i="11" s="1"/>
  <c r="B381" i="11" s="1"/>
  <c r="C381" i="11" a="1"/>
  <c r="C381" i="11" s="1"/>
  <c r="D381" i="11" s="1"/>
  <c r="K381" i="11" s="1" a="1"/>
  <c r="K381" i="11" s="1"/>
  <c r="A382" i="11" a="1"/>
  <c r="A382" i="11" s="1"/>
  <c r="F382" i="11" s="1"/>
  <c r="G382" i="11" s="1"/>
  <c r="C382" i="11" a="1"/>
  <c r="C382" i="11" s="1"/>
  <c r="D382" i="11" s="1"/>
  <c r="K382" i="11" s="1" a="1"/>
  <c r="K382" i="11" s="1"/>
  <c r="A383" i="11" a="1"/>
  <c r="A383" i="11" s="1"/>
  <c r="C383" i="11" a="1"/>
  <c r="C383" i="11" s="1"/>
  <c r="D383" i="11" s="1"/>
  <c r="K383" i="11" s="1" a="1"/>
  <c r="K383" i="11" s="1"/>
  <c r="A384" i="11" a="1"/>
  <c r="A384" i="11" s="1"/>
  <c r="C384" i="11" a="1"/>
  <c r="C384" i="11" s="1"/>
  <c r="D384" i="11" s="1"/>
  <c r="K384" i="11" s="1" a="1"/>
  <c r="K384" i="11" s="1"/>
  <c r="A385" i="11" a="1"/>
  <c r="A385" i="11" s="1"/>
  <c r="C385" i="11" a="1"/>
  <c r="C385" i="11" s="1"/>
  <c r="D385" i="11" s="1"/>
  <c r="K385" i="11" s="1" a="1"/>
  <c r="K385" i="11" s="1"/>
  <c r="A386" i="11" a="1"/>
  <c r="A386" i="11" s="1"/>
  <c r="C386" i="11" a="1"/>
  <c r="C386" i="11" s="1"/>
  <c r="D386" i="11" s="1"/>
  <c r="K386" i="11" s="1" a="1"/>
  <c r="K386" i="11" s="1"/>
  <c r="A387" i="11" a="1"/>
  <c r="A387" i="11" s="1"/>
  <c r="C387" i="11" a="1"/>
  <c r="C387" i="11" s="1"/>
  <c r="D387" i="11" s="1"/>
  <c r="K387" i="11" s="1" a="1"/>
  <c r="K387" i="11" s="1"/>
  <c r="A388" i="11" a="1"/>
  <c r="A388" i="11" s="1"/>
  <c r="C388" i="11" a="1"/>
  <c r="C388" i="11" s="1"/>
  <c r="D388" i="11" s="1"/>
  <c r="K388" i="11" s="1" a="1"/>
  <c r="K388" i="11" s="1"/>
  <c r="A389" i="11" a="1"/>
  <c r="A389" i="11" s="1"/>
  <c r="C389" i="11" a="1"/>
  <c r="C389" i="11" s="1"/>
  <c r="D389" i="11" s="1"/>
  <c r="K389" i="11" s="1" a="1"/>
  <c r="K389" i="11" s="1"/>
  <c r="A390" i="11" a="1"/>
  <c r="A390" i="11" s="1"/>
  <c r="B390" i="11" s="1"/>
  <c r="C390" i="11" a="1"/>
  <c r="C390" i="11" s="1"/>
  <c r="D390" i="11" s="1"/>
  <c r="K390" i="11" s="1" a="1"/>
  <c r="K390" i="11" s="1"/>
  <c r="A391" i="11" a="1"/>
  <c r="A391" i="11" s="1"/>
  <c r="F391" i="11" s="1"/>
  <c r="G391" i="11" s="1"/>
  <c r="C391" i="11" a="1"/>
  <c r="C391" i="11" s="1"/>
  <c r="D391" i="11" s="1"/>
  <c r="K391" i="11" s="1" a="1"/>
  <c r="K391" i="11" s="1"/>
  <c r="A392" i="11" a="1"/>
  <c r="A392" i="11" s="1"/>
  <c r="C392" i="11" a="1"/>
  <c r="C392" i="11" s="1"/>
  <c r="D392" i="11" s="1"/>
  <c r="K392" i="11" s="1" a="1"/>
  <c r="K392" i="11" s="1"/>
  <c r="A393" i="11" a="1"/>
  <c r="A393" i="11" s="1"/>
  <c r="C393" i="11" a="1"/>
  <c r="C393" i="11" s="1"/>
  <c r="D393" i="11" s="1"/>
  <c r="K393" i="11" s="1" a="1"/>
  <c r="K393" i="11" s="1"/>
  <c r="A394" i="11" a="1"/>
  <c r="A394" i="11" s="1"/>
  <c r="B394" i="11" s="1"/>
  <c r="C394" i="11" a="1"/>
  <c r="C394" i="11" s="1"/>
  <c r="D394" i="11" s="1"/>
  <c r="K394" i="11" s="1" a="1"/>
  <c r="K394" i="11" s="1"/>
  <c r="A395" i="11" a="1"/>
  <c r="A395" i="11" s="1"/>
  <c r="H395" i="11" s="1"/>
  <c r="I395" i="11" s="1"/>
  <c r="C395" i="11" a="1"/>
  <c r="C395" i="11" s="1"/>
  <c r="D395" i="11" s="1"/>
  <c r="K395" i="11" s="1" a="1"/>
  <c r="K395" i="11" s="1"/>
  <c r="A396" i="11" a="1"/>
  <c r="A396" i="11" s="1"/>
  <c r="C396" i="11" a="1"/>
  <c r="C396" i="11" s="1"/>
  <c r="D396" i="11" s="1"/>
  <c r="K396" i="11" s="1" a="1"/>
  <c r="K396" i="11" s="1"/>
  <c r="A397" i="11" a="1"/>
  <c r="A397" i="11" s="1"/>
  <c r="B397" i="11" s="1"/>
  <c r="C397" i="11" a="1"/>
  <c r="C397" i="11" s="1"/>
  <c r="D397" i="11" s="1"/>
  <c r="K397" i="11" s="1" a="1"/>
  <c r="K397" i="11" s="1"/>
  <c r="A398" i="11" a="1"/>
  <c r="A398" i="11" s="1"/>
  <c r="F398" i="11" s="1"/>
  <c r="G398" i="11" s="1"/>
  <c r="C398" i="11" a="1"/>
  <c r="C398" i="11" s="1"/>
  <c r="D398" i="11" s="1"/>
  <c r="K398" i="11" s="1" a="1"/>
  <c r="K398" i="11" s="1"/>
  <c r="A399" i="11" a="1"/>
  <c r="A399" i="11" s="1"/>
  <c r="B399" i="11" s="1"/>
  <c r="C399" i="11" a="1"/>
  <c r="C399" i="11" s="1"/>
  <c r="D399" i="11" s="1"/>
  <c r="K399" i="11" s="1" a="1"/>
  <c r="K399" i="11" s="1"/>
  <c r="A400" i="11" a="1"/>
  <c r="A400" i="11" s="1"/>
  <c r="H400" i="11" s="1"/>
  <c r="I400" i="11" s="1"/>
  <c r="C400" i="11" a="1"/>
  <c r="C400" i="11" s="1"/>
  <c r="D400" i="11" s="1"/>
  <c r="K400" i="11" s="1" a="1"/>
  <c r="K400" i="11" s="1"/>
  <c r="A401" i="11" a="1"/>
  <c r="A401" i="11" s="1"/>
  <c r="C401" i="11" a="1"/>
  <c r="C401" i="11" s="1"/>
  <c r="D401" i="11" s="1"/>
  <c r="K401" i="11" s="1" a="1"/>
  <c r="K401" i="11" s="1"/>
  <c r="A402" i="11" a="1"/>
  <c r="A402" i="11" s="1"/>
  <c r="H402" i="11" s="1"/>
  <c r="I402" i="11" s="1"/>
  <c r="J402" i="11" s="1"/>
  <c r="C402" i="11" a="1"/>
  <c r="C402" i="11" s="1"/>
  <c r="D402" i="11" s="1"/>
  <c r="K402" i="11" s="1" a="1"/>
  <c r="K402" i="11" s="1"/>
  <c r="A403" i="11" a="1"/>
  <c r="A403" i="11" s="1"/>
  <c r="C403" i="11" a="1"/>
  <c r="C403" i="11" s="1"/>
  <c r="D403" i="11" s="1"/>
  <c r="K403" i="11" s="1" a="1"/>
  <c r="K403" i="11" s="1"/>
  <c r="A404" i="11" a="1"/>
  <c r="A404" i="11" s="1"/>
  <c r="C404" i="11" a="1"/>
  <c r="C404" i="11" s="1"/>
  <c r="D404" i="11" s="1"/>
  <c r="K404" i="11" s="1" a="1"/>
  <c r="K404" i="11" s="1"/>
  <c r="A405" i="11" a="1"/>
  <c r="A405" i="11" s="1"/>
  <c r="B405" i="11" s="1"/>
  <c r="C405" i="11" a="1"/>
  <c r="C405" i="11" s="1"/>
  <c r="D405" i="11" s="1"/>
  <c r="K405" i="11" s="1" a="1"/>
  <c r="K405" i="11" s="1"/>
  <c r="A406" i="11" a="1"/>
  <c r="A406" i="11" s="1"/>
  <c r="F406" i="11" s="1"/>
  <c r="G406" i="11" s="1"/>
  <c r="C406" i="11" a="1"/>
  <c r="C406" i="11" s="1"/>
  <c r="D406" i="11" s="1"/>
  <c r="K406" i="11" s="1" a="1"/>
  <c r="K406" i="11" s="1"/>
  <c r="A407" i="11" a="1"/>
  <c r="A407" i="11" s="1"/>
  <c r="C407" i="11" a="1"/>
  <c r="C407" i="11" s="1"/>
  <c r="D407" i="11" s="1"/>
  <c r="K407" i="11" s="1" a="1"/>
  <c r="K407" i="11" s="1"/>
  <c r="A408" i="11" a="1"/>
  <c r="A408" i="11" s="1"/>
  <c r="C408" i="11" a="1"/>
  <c r="C408" i="11" s="1"/>
  <c r="D408" i="11" s="1"/>
  <c r="K408" i="11" s="1" a="1"/>
  <c r="K408" i="11" s="1"/>
  <c r="A409" i="11" a="1"/>
  <c r="A409" i="11" s="1"/>
  <c r="C409" i="11" a="1"/>
  <c r="C409" i="11" s="1"/>
  <c r="D409" i="11" s="1"/>
  <c r="K409" i="11" s="1" a="1"/>
  <c r="K409" i="11" s="1"/>
  <c r="A410" i="11" a="1"/>
  <c r="A410" i="11" s="1"/>
  <c r="C410" i="11" a="1"/>
  <c r="C410" i="11" s="1"/>
  <c r="D410" i="11" s="1"/>
  <c r="K410" i="11" s="1" a="1"/>
  <c r="K410" i="11" s="1"/>
  <c r="A411" i="11" a="1"/>
  <c r="A411" i="11" s="1"/>
  <c r="C411" i="11" a="1"/>
  <c r="C411" i="11" s="1"/>
  <c r="D411" i="11" s="1"/>
  <c r="K411" i="11" s="1" a="1"/>
  <c r="K411" i="11" s="1"/>
  <c r="A412" i="11" a="1"/>
  <c r="A412" i="11" s="1"/>
  <c r="B412" i="11" s="1"/>
  <c r="C412" i="11" a="1"/>
  <c r="C412" i="11" s="1"/>
  <c r="D412" i="11" s="1"/>
  <c r="K412" i="11" s="1" a="1"/>
  <c r="K412" i="11" s="1"/>
  <c r="A413" i="11" a="1"/>
  <c r="A413" i="11" s="1"/>
  <c r="C413" i="11" a="1"/>
  <c r="C413" i="11" s="1"/>
  <c r="D413" i="11" s="1"/>
  <c r="K413" i="11" s="1" a="1"/>
  <c r="K413" i="11" s="1"/>
  <c r="A414" i="11" a="1"/>
  <c r="A414" i="11" s="1"/>
  <c r="C414" i="11" a="1"/>
  <c r="C414" i="11" s="1"/>
  <c r="D414" i="11" s="1"/>
  <c r="K414" i="11" s="1" a="1"/>
  <c r="K414" i="11" s="1"/>
  <c r="A415" i="11" a="1"/>
  <c r="A415" i="11" s="1"/>
  <c r="C415" i="11" a="1"/>
  <c r="C415" i="11" s="1"/>
  <c r="D415" i="11" s="1"/>
  <c r="K415" i="11" s="1" a="1"/>
  <c r="K415" i="11" s="1"/>
  <c r="A416" i="11" a="1"/>
  <c r="A416" i="11" s="1"/>
  <c r="C416" i="11" a="1"/>
  <c r="C416" i="11" s="1"/>
  <c r="D416" i="11" s="1"/>
  <c r="K416" i="11" s="1" a="1"/>
  <c r="K416" i="11" s="1"/>
  <c r="A417" i="11" a="1"/>
  <c r="A417" i="11" s="1"/>
  <c r="B417" i="11" s="1"/>
  <c r="C417" i="11" a="1"/>
  <c r="C417" i="11" s="1"/>
  <c r="D417" i="11" s="1"/>
  <c r="K417" i="11" s="1" a="1"/>
  <c r="K417" i="11" s="1"/>
  <c r="A418" i="11" a="1"/>
  <c r="A418" i="11" s="1"/>
  <c r="B418" i="11" s="1"/>
  <c r="C418" i="11" a="1"/>
  <c r="C418" i="11" s="1"/>
  <c r="D418" i="11" s="1"/>
  <c r="K418" i="11" s="1" a="1"/>
  <c r="K418" i="11" s="1"/>
  <c r="A419" i="11" a="1"/>
  <c r="A419" i="11" s="1"/>
  <c r="C419" i="11" a="1"/>
  <c r="C419" i="11" s="1"/>
  <c r="D419" i="11" s="1"/>
  <c r="K419" i="11" s="1" a="1"/>
  <c r="K419" i="11" s="1"/>
  <c r="A420" i="11" a="1"/>
  <c r="A420" i="11" s="1"/>
  <c r="C420" i="11" a="1"/>
  <c r="C420" i="11" s="1"/>
  <c r="D420" i="11" s="1"/>
  <c r="K420" i="11" s="1" a="1"/>
  <c r="K420" i="11" s="1"/>
  <c r="A421" i="11" a="1"/>
  <c r="A421" i="11" s="1"/>
  <c r="C421" i="11" a="1"/>
  <c r="C421" i="11" s="1"/>
  <c r="D421" i="11" s="1"/>
  <c r="K421" i="11" s="1" a="1"/>
  <c r="K421" i="11" s="1"/>
  <c r="A422" i="11" a="1"/>
  <c r="A422" i="11" s="1"/>
  <c r="C422" i="11" a="1"/>
  <c r="C422" i="11" s="1"/>
  <c r="D422" i="11" s="1"/>
  <c r="K422" i="11" s="1" a="1"/>
  <c r="K422" i="11" s="1"/>
  <c r="A423" i="11" a="1"/>
  <c r="A423" i="11" s="1"/>
  <c r="C423" i="11" a="1"/>
  <c r="C423" i="11" s="1"/>
  <c r="D423" i="11" s="1"/>
  <c r="K423" i="11" s="1" a="1"/>
  <c r="K423" i="11" s="1"/>
  <c r="A424" i="11" a="1"/>
  <c r="A424" i="11" s="1"/>
  <c r="B424" i="11" s="1"/>
  <c r="C424" i="11" a="1"/>
  <c r="C424" i="11" s="1"/>
  <c r="D424" i="11" s="1"/>
  <c r="K424" i="11" s="1" a="1"/>
  <c r="K424" i="11" s="1"/>
  <c r="A425" i="11" a="1"/>
  <c r="A425" i="11" s="1"/>
  <c r="C425" i="11" a="1"/>
  <c r="C425" i="11" s="1"/>
  <c r="D425" i="11" s="1"/>
  <c r="K425" i="11" s="1" a="1"/>
  <c r="K425" i="11" s="1"/>
  <c r="A426" i="11" a="1"/>
  <c r="A426" i="11" s="1"/>
  <c r="C426" i="11" a="1"/>
  <c r="C426" i="11" s="1"/>
  <c r="D426" i="11" s="1"/>
  <c r="K426" i="11" s="1" a="1"/>
  <c r="K426" i="11" s="1"/>
  <c r="A427" i="11" a="1"/>
  <c r="A427" i="11" s="1"/>
  <c r="C427" i="11" a="1"/>
  <c r="C427" i="11" s="1"/>
  <c r="D427" i="11" s="1"/>
  <c r="K427" i="11" s="1" a="1"/>
  <c r="K427" i="11" s="1"/>
  <c r="A428" i="11" a="1"/>
  <c r="A428" i="11" s="1"/>
  <c r="C428" i="11" a="1"/>
  <c r="C428" i="11" s="1"/>
  <c r="D428" i="11" s="1"/>
  <c r="K428" i="11" s="1" a="1"/>
  <c r="K428" i="11" s="1"/>
  <c r="A429" i="11" a="1"/>
  <c r="A429" i="11" s="1"/>
  <c r="H429" i="11" s="1"/>
  <c r="I429" i="11" s="1"/>
  <c r="C429" i="11" a="1"/>
  <c r="C429" i="11" s="1"/>
  <c r="D429" i="11" s="1"/>
  <c r="K429" i="11" s="1" a="1"/>
  <c r="K429" i="11" s="1"/>
  <c r="A430" i="11" a="1"/>
  <c r="A430" i="11" s="1"/>
  <c r="B430" i="11" s="1"/>
  <c r="C430" i="11" a="1"/>
  <c r="C430" i="11" s="1"/>
  <c r="D430" i="11" s="1"/>
  <c r="K430" i="11" s="1" a="1"/>
  <c r="K430" i="11" s="1"/>
  <c r="A431" i="11" a="1"/>
  <c r="A431" i="11" s="1"/>
  <c r="C431" i="11" a="1"/>
  <c r="C431" i="11" s="1"/>
  <c r="D431" i="11" s="1"/>
  <c r="K431" i="11" s="1" a="1"/>
  <c r="K431" i="11" s="1"/>
  <c r="A432" i="11" a="1"/>
  <c r="A432" i="11" s="1"/>
  <c r="C432" i="11" a="1"/>
  <c r="C432" i="11" s="1"/>
  <c r="D432" i="11" s="1"/>
  <c r="K432" i="11" s="1" a="1"/>
  <c r="K432" i="11" s="1"/>
  <c r="A433" i="11" a="1"/>
  <c r="A433" i="11" s="1"/>
  <c r="C433" i="11" a="1"/>
  <c r="C433" i="11" s="1"/>
  <c r="D433" i="11" s="1"/>
  <c r="K433" i="11" s="1" a="1"/>
  <c r="K433" i="11" s="1"/>
  <c r="A434" i="11" a="1"/>
  <c r="A434" i="11" s="1"/>
  <c r="C434" i="11" a="1"/>
  <c r="C434" i="11" s="1"/>
  <c r="D434" i="11" s="1"/>
  <c r="K434" i="11" s="1" a="1"/>
  <c r="K434" i="11" s="1"/>
  <c r="A435" i="11" a="1"/>
  <c r="A435" i="11" s="1"/>
  <c r="C435" i="11" a="1"/>
  <c r="C435" i="11" s="1"/>
  <c r="D435" i="11" s="1"/>
  <c r="K435" i="11" s="1" a="1"/>
  <c r="K435" i="11" s="1"/>
  <c r="A436" i="11" a="1"/>
  <c r="A436" i="11" s="1"/>
  <c r="B436" i="11" s="1"/>
  <c r="C436" i="11" a="1"/>
  <c r="C436" i="11" s="1"/>
  <c r="D436" i="11" s="1"/>
  <c r="K436" i="11" s="1" a="1"/>
  <c r="K436" i="11" s="1"/>
  <c r="A437" i="11" a="1"/>
  <c r="A437" i="11" s="1"/>
  <c r="C437" i="11" a="1"/>
  <c r="C437" i="11" s="1"/>
  <c r="D437" i="11" s="1"/>
  <c r="K437" i="11" s="1" a="1"/>
  <c r="K437" i="11" s="1"/>
  <c r="A438" i="11" a="1"/>
  <c r="A438" i="11" s="1"/>
  <c r="C438" i="11" a="1"/>
  <c r="C438" i="11" s="1"/>
  <c r="D438" i="11" s="1"/>
  <c r="K438" i="11" s="1" a="1"/>
  <c r="K438" i="11" s="1"/>
  <c r="A439" i="11" a="1"/>
  <c r="A439" i="11" s="1"/>
  <c r="F439" i="11" s="1"/>
  <c r="G439" i="11" s="1"/>
  <c r="C439" i="11" a="1"/>
  <c r="C439" i="11" s="1"/>
  <c r="D439" i="11" s="1"/>
  <c r="K439" i="11" s="1" a="1"/>
  <c r="K439" i="11" s="1"/>
  <c r="A440" i="11" a="1"/>
  <c r="A440" i="11" s="1"/>
  <c r="C440" i="11" a="1"/>
  <c r="C440" i="11" s="1"/>
  <c r="D440" i="11" s="1"/>
  <c r="K440" i="11" s="1" a="1"/>
  <c r="K440" i="11" s="1"/>
  <c r="A441" i="11" a="1"/>
  <c r="A441" i="11" s="1"/>
  <c r="H441" i="11" s="1"/>
  <c r="I441" i="11" s="1"/>
  <c r="C441" i="11" a="1"/>
  <c r="C441" i="11" s="1"/>
  <c r="D441" i="11" s="1"/>
  <c r="K441" i="11" s="1" a="1"/>
  <c r="K441" i="11" s="1"/>
  <c r="F441" i="11"/>
  <c r="G441" i="11" s="1"/>
  <c r="A442" i="11" a="1"/>
  <c r="A442" i="11" s="1"/>
  <c r="F442" i="11" s="1"/>
  <c r="G442" i="11" s="1"/>
  <c r="C442" i="11" a="1"/>
  <c r="C442" i="11" s="1"/>
  <c r="D442" i="11" s="1"/>
  <c r="K442" i="11" s="1" a="1"/>
  <c r="K442" i="11" s="1"/>
  <c r="A443" i="11" a="1"/>
  <c r="A443" i="11" s="1"/>
  <c r="B443" i="11" s="1"/>
  <c r="C443" i="11" a="1"/>
  <c r="C443" i="11" s="1"/>
  <c r="D443" i="11" s="1"/>
  <c r="K443" i="11" s="1" a="1"/>
  <c r="K443" i="11" s="1"/>
  <c r="A444" i="11" a="1"/>
  <c r="A444" i="11" s="1"/>
  <c r="H444" i="11" s="1"/>
  <c r="I444" i="11" s="1"/>
  <c r="C444" i="11" a="1"/>
  <c r="C444" i="11" s="1"/>
  <c r="D444" i="11" s="1"/>
  <c r="K444" i="11" s="1" a="1"/>
  <c r="K444" i="11" s="1"/>
  <c r="A445" i="11" a="1"/>
  <c r="A445" i="11" s="1"/>
  <c r="C445" i="11" a="1"/>
  <c r="C445" i="11" s="1"/>
  <c r="D445" i="11" s="1"/>
  <c r="K445" i="11" s="1" a="1"/>
  <c r="K445" i="11" s="1"/>
  <c r="A446" i="11" a="1"/>
  <c r="A446" i="11" s="1"/>
  <c r="C446" i="11" a="1"/>
  <c r="C446" i="11" s="1"/>
  <c r="D446" i="11" s="1"/>
  <c r="K446" i="11" s="1" a="1"/>
  <c r="K446" i="11" s="1"/>
  <c r="A447" i="11" a="1"/>
  <c r="A447" i="11" s="1"/>
  <c r="B447" i="11" s="1"/>
  <c r="C447" i="11" a="1"/>
  <c r="C447" i="11" s="1"/>
  <c r="D447" i="11" s="1"/>
  <c r="K447" i="11" s="1" a="1"/>
  <c r="K447" i="11" s="1"/>
  <c r="A448" i="11" a="1"/>
  <c r="A448" i="11" s="1"/>
  <c r="F448" i="11" s="1"/>
  <c r="G448" i="11" s="1"/>
  <c r="C448" i="11" a="1"/>
  <c r="C448" i="11" s="1"/>
  <c r="D448" i="11" s="1"/>
  <c r="K448" i="11" s="1" a="1"/>
  <c r="K448" i="11" s="1"/>
  <c r="A449" i="11" a="1"/>
  <c r="A449" i="11" s="1"/>
  <c r="C449" i="11" a="1"/>
  <c r="C449" i="11" s="1"/>
  <c r="D449" i="11" s="1"/>
  <c r="K449" i="11" s="1" a="1"/>
  <c r="K449" i="11" s="1"/>
  <c r="A450" i="11" a="1"/>
  <c r="A450" i="11" s="1"/>
  <c r="C450" i="11" a="1"/>
  <c r="C450" i="11" s="1"/>
  <c r="D450" i="11" s="1"/>
  <c r="K450" i="11" s="1" a="1"/>
  <c r="K450" i="11" s="1"/>
  <c r="A451" i="11" a="1"/>
  <c r="A451" i="11" s="1"/>
  <c r="C451" i="11" a="1"/>
  <c r="C451" i="11" s="1"/>
  <c r="D451" i="11" s="1"/>
  <c r="K451" i="11" s="1" a="1"/>
  <c r="K451" i="11" s="1"/>
  <c r="A452" i="11" a="1"/>
  <c r="A452" i="11" s="1"/>
  <c r="C452" i="11" a="1"/>
  <c r="C452" i="11" s="1"/>
  <c r="D452" i="11" s="1"/>
  <c r="K452" i="11" s="1" a="1"/>
  <c r="K452" i="11" s="1"/>
  <c r="A453" i="11" a="1"/>
  <c r="A453" i="11" s="1"/>
  <c r="B453" i="11" s="1"/>
  <c r="C453" i="11" a="1"/>
  <c r="C453" i="11" s="1"/>
  <c r="D453" i="11" s="1"/>
  <c r="K453" i="11" s="1" a="1"/>
  <c r="K453" i="11" s="1"/>
  <c r="A454" i="11" a="1"/>
  <c r="A454" i="11" s="1"/>
  <c r="F454" i="11" s="1"/>
  <c r="G454" i="11" s="1"/>
  <c r="C454" i="11" a="1"/>
  <c r="C454" i="11" s="1"/>
  <c r="D454" i="11" s="1"/>
  <c r="K454" i="11" s="1" a="1"/>
  <c r="K454" i="11" s="1"/>
  <c r="A455" i="11" a="1"/>
  <c r="A455" i="11" s="1"/>
  <c r="C455" i="11" a="1"/>
  <c r="C455" i="11" s="1"/>
  <c r="D455" i="11" s="1"/>
  <c r="K455" i="11" s="1" a="1"/>
  <c r="K455" i="11" s="1"/>
  <c r="A456" i="11" a="1"/>
  <c r="A456" i="11" s="1"/>
  <c r="C456" i="11" a="1"/>
  <c r="C456" i="11" s="1"/>
  <c r="D456" i="11" s="1"/>
  <c r="K456" i="11" s="1" a="1"/>
  <c r="K456" i="11" s="1"/>
  <c r="A457" i="11" a="1"/>
  <c r="A457" i="11" s="1"/>
  <c r="F457" i="11" s="1"/>
  <c r="G457" i="11" s="1"/>
  <c r="C457" i="11" a="1"/>
  <c r="C457" i="11" s="1"/>
  <c r="D457" i="11" s="1"/>
  <c r="K457" i="11" s="1" a="1"/>
  <c r="K457" i="11" s="1"/>
  <c r="A458" i="11" a="1"/>
  <c r="A458" i="11" s="1"/>
  <c r="C458" i="11" a="1"/>
  <c r="C458" i="11" s="1"/>
  <c r="D458" i="11" s="1"/>
  <c r="K458" i="11" s="1" a="1"/>
  <c r="K458" i="11" s="1"/>
  <c r="A459" i="11" a="1"/>
  <c r="A459" i="11" s="1"/>
  <c r="F459" i="11" s="1"/>
  <c r="G459" i="11" s="1"/>
  <c r="C459" i="11" a="1"/>
  <c r="C459" i="11" s="1"/>
  <c r="D459" i="11" s="1"/>
  <c r="K459" i="11" s="1" a="1"/>
  <c r="K459" i="11" s="1"/>
  <c r="A460" i="11" a="1"/>
  <c r="A460" i="11" s="1"/>
  <c r="F460" i="11" s="1"/>
  <c r="G460" i="11" s="1"/>
  <c r="C460" i="11" a="1"/>
  <c r="C460" i="11" s="1"/>
  <c r="D460" i="11" s="1"/>
  <c r="K460" i="11" s="1" a="1"/>
  <c r="K460" i="11" s="1"/>
  <c r="A461" i="11" a="1"/>
  <c r="A461" i="11" s="1"/>
  <c r="C461" i="11" a="1"/>
  <c r="C461" i="11" s="1"/>
  <c r="D461" i="11" s="1"/>
  <c r="K461" i="11" s="1" a="1"/>
  <c r="K461" i="11" s="1"/>
  <c r="A462" i="11" a="1"/>
  <c r="A462" i="11" s="1"/>
  <c r="B462" i="11" s="1"/>
  <c r="C462" i="11" a="1"/>
  <c r="C462" i="11" s="1"/>
  <c r="D462" i="11" s="1"/>
  <c r="K462" i="11" s="1" a="1"/>
  <c r="K462" i="11" s="1"/>
  <c r="A463" i="11" a="1"/>
  <c r="A463" i="11" s="1"/>
  <c r="C463" i="11" a="1"/>
  <c r="C463" i="11" s="1"/>
  <c r="D463" i="11" s="1"/>
  <c r="K463" i="11" s="1" a="1"/>
  <c r="K463" i="11" s="1"/>
  <c r="A464" i="11" a="1"/>
  <c r="A464" i="11" s="1"/>
  <c r="C464" i="11" a="1"/>
  <c r="C464" i="11" s="1"/>
  <c r="D464" i="11" s="1"/>
  <c r="K464" i="11" s="1" a="1"/>
  <c r="K464" i="11" s="1"/>
  <c r="A465" i="11" a="1"/>
  <c r="A465" i="11" s="1"/>
  <c r="B465" i="11" s="1"/>
  <c r="C465" i="11" a="1"/>
  <c r="C465" i="11" s="1"/>
  <c r="D465" i="11" s="1"/>
  <c r="K465" i="11" s="1" a="1"/>
  <c r="K465" i="11" s="1"/>
  <c r="A282" i="11" a="1"/>
  <c r="A282" i="11" s="1"/>
  <c r="C282" i="11" a="1"/>
  <c r="C282" i="11" s="1"/>
  <c r="D282" i="11" s="1"/>
  <c r="K282" i="11" s="1" a="1"/>
  <c r="K282" i="11" s="1"/>
  <c r="A283" i="11" a="1"/>
  <c r="A283" i="11" s="1"/>
  <c r="C283" i="11" a="1"/>
  <c r="C283" i="11" s="1"/>
  <c r="D283" i="11" s="1"/>
  <c r="K283" i="11" s="1" a="1"/>
  <c r="K283" i="11" s="1"/>
  <c r="A284" i="11" a="1"/>
  <c r="A284" i="11" s="1"/>
  <c r="C284" i="11" a="1"/>
  <c r="C284" i="11" s="1"/>
  <c r="D284" i="11" s="1"/>
  <c r="K284" i="11" s="1" a="1"/>
  <c r="K284" i="11" s="1"/>
  <c r="A285" i="11" a="1"/>
  <c r="A285" i="11" s="1"/>
  <c r="C285" i="11" a="1"/>
  <c r="C285" i="11" s="1"/>
  <c r="D285" i="11" s="1"/>
  <c r="K285" i="11" s="1" a="1"/>
  <c r="K285" i="11" s="1"/>
  <c r="A286" i="11" a="1"/>
  <c r="A286" i="11" s="1"/>
  <c r="C286" i="11" a="1"/>
  <c r="C286" i="11" s="1"/>
  <c r="D286" i="11" s="1"/>
  <c r="K286" i="11" s="1" a="1"/>
  <c r="K286" i="11" s="1"/>
  <c r="A287" i="11" a="1"/>
  <c r="A287" i="11" s="1"/>
  <c r="C287" i="11" a="1"/>
  <c r="C287" i="11" s="1"/>
  <c r="D287" i="11" s="1"/>
  <c r="K287" i="11" s="1" a="1"/>
  <c r="K287" i="11" s="1"/>
  <c r="A288" i="11" a="1"/>
  <c r="A288" i="11" s="1"/>
  <c r="C288" i="11" a="1"/>
  <c r="C288" i="11" s="1"/>
  <c r="D288" i="11" s="1"/>
  <c r="K288" i="11" s="1" a="1"/>
  <c r="K288" i="11" s="1"/>
  <c r="A289" i="11" a="1"/>
  <c r="A289" i="11" s="1"/>
  <c r="C289" i="11" a="1"/>
  <c r="C289" i="11" s="1"/>
  <c r="D289" i="11" s="1"/>
  <c r="K289" i="11" s="1" a="1"/>
  <c r="K289" i="11" s="1"/>
  <c r="A130" i="11" a="1"/>
  <c r="A130" i="11" s="1"/>
  <c r="C130" i="11" a="1"/>
  <c r="C130" i="11" s="1"/>
  <c r="D130" i="11" s="1"/>
  <c r="K130" i="11" s="1" a="1"/>
  <c r="K130" i="11" s="1"/>
  <c r="A131" i="11" a="1"/>
  <c r="A131" i="11" s="1"/>
  <c r="C131" i="11" a="1"/>
  <c r="C131" i="11" s="1"/>
  <c r="D131" i="11" s="1"/>
  <c r="K131" i="11" s="1" a="1"/>
  <c r="K131" i="11" s="1"/>
  <c r="A132" i="11" a="1"/>
  <c r="A132" i="11" s="1"/>
  <c r="C132" i="11" a="1"/>
  <c r="C132" i="11" s="1"/>
  <c r="D132" i="11" s="1"/>
  <c r="K132" i="11" s="1" a="1"/>
  <c r="K132" i="11" s="1"/>
  <c r="A133" i="11" a="1"/>
  <c r="A133" i="11" s="1"/>
  <c r="B133" i="11" s="1"/>
  <c r="C133" i="11" a="1"/>
  <c r="C133" i="11" s="1"/>
  <c r="D133" i="11" s="1"/>
  <c r="K133" i="11" s="1" a="1"/>
  <c r="K133" i="11" s="1"/>
  <c r="A134" i="11" a="1"/>
  <c r="A134" i="11" s="1"/>
  <c r="C134" i="11" a="1"/>
  <c r="C134" i="11" s="1"/>
  <c r="D134" i="11" s="1"/>
  <c r="K134" i="11" s="1" a="1"/>
  <c r="K134" i="11" s="1"/>
  <c r="A135" i="11" a="1"/>
  <c r="A135" i="11" s="1"/>
  <c r="H135" i="11" s="1"/>
  <c r="I135" i="11" s="1"/>
  <c r="C135" i="11" a="1"/>
  <c r="C135" i="11" s="1"/>
  <c r="D135" i="11" s="1"/>
  <c r="K135" i="11" s="1" a="1"/>
  <c r="K135" i="11" s="1"/>
  <c r="A136" i="11" a="1"/>
  <c r="A136" i="11" s="1"/>
  <c r="C136" i="11" a="1"/>
  <c r="C136" i="11" s="1"/>
  <c r="D136" i="11" s="1"/>
  <c r="K136" i="11" s="1" a="1"/>
  <c r="K136" i="11" s="1"/>
  <c r="A137" i="11" a="1"/>
  <c r="A137" i="11" s="1"/>
  <c r="C137" i="11" a="1"/>
  <c r="C137" i="11" s="1"/>
  <c r="D137" i="11" s="1"/>
  <c r="K137" i="11" s="1" a="1"/>
  <c r="K137" i="11" s="1"/>
  <c r="A138" i="11" a="1"/>
  <c r="A138" i="11" s="1"/>
  <c r="F138" i="11" s="1"/>
  <c r="G138" i="11" s="1"/>
  <c r="C138" i="11" a="1"/>
  <c r="C138" i="11" s="1"/>
  <c r="D138" i="11" s="1"/>
  <c r="K138" i="11" s="1" a="1"/>
  <c r="K138" i="11" s="1"/>
  <c r="A139" i="11" a="1"/>
  <c r="A139" i="11" s="1"/>
  <c r="C139" i="11" a="1"/>
  <c r="C139" i="11" s="1"/>
  <c r="D139" i="11" s="1"/>
  <c r="K139" i="11" s="1" a="1"/>
  <c r="K139" i="11" s="1"/>
  <c r="A140" i="11" a="1"/>
  <c r="A140" i="11" s="1"/>
  <c r="C140" i="11" a="1"/>
  <c r="C140" i="11" s="1"/>
  <c r="D140" i="11" s="1"/>
  <c r="K140" i="11" s="1" a="1"/>
  <c r="K140" i="11" s="1"/>
  <c r="A141" i="11" a="1"/>
  <c r="A141" i="11" s="1"/>
  <c r="C141" i="11" a="1"/>
  <c r="C141" i="11" s="1"/>
  <c r="D141" i="11" s="1"/>
  <c r="K141" i="11" s="1" a="1"/>
  <c r="K141" i="11" s="1"/>
  <c r="A142" i="11" a="1"/>
  <c r="A142" i="11" s="1"/>
  <c r="B142" i="11" s="1"/>
  <c r="C142" i="11" a="1"/>
  <c r="C142" i="11" s="1"/>
  <c r="D142" i="11" s="1"/>
  <c r="K142" i="11" s="1" a="1"/>
  <c r="K142" i="11" s="1"/>
  <c r="A143" i="11" a="1"/>
  <c r="A143" i="11" s="1"/>
  <c r="B143" i="11" s="1"/>
  <c r="C143" i="11" a="1"/>
  <c r="C143" i="11" s="1"/>
  <c r="D143" i="11" s="1"/>
  <c r="K143" i="11" s="1" a="1"/>
  <c r="K143" i="11" s="1"/>
  <c r="A144" i="11" a="1"/>
  <c r="A144" i="11" s="1"/>
  <c r="H144" i="11" s="1"/>
  <c r="I144" i="11" s="1"/>
  <c r="C144" i="11" a="1"/>
  <c r="C144" i="11" s="1"/>
  <c r="D144" i="11" s="1"/>
  <c r="K144" i="11" s="1" a="1"/>
  <c r="K144" i="11" s="1"/>
  <c r="A145" i="11" a="1"/>
  <c r="A145" i="11" s="1"/>
  <c r="H145" i="11" s="1"/>
  <c r="I145" i="11" s="1"/>
  <c r="C145" i="11" a="1"/>
  <c r="C145" i="11" s="1"/>
  <c r="D145" i="11" s="1"/>
  <c r="K145" i="11" s="1" a="1"/>
  <c r="K145" i="11" s="1"/>
  <c r="A146" i="11" a="1"/>
  <c r="A146" i="11" s="1"/>
  <c r="B146" i="11" s="1"/>
  <c r="C146" i="11" a="1"/>
  <c r="C146" i="11" s="1"/>
  <c r="D146" i="11" s="1"/>
  <c r="K146" i="11" s="1" a="1"/>
  <c r="K146" i="11" s="1"/>
  <c r="A147" i="11" a="1"/>
  <c r="A147" i="11" s="1"/>
  <c r="B147" i="11" s="1"/>
  <c r="C147" i="11" a="1"/>
  <c r="C147" i="11" s="1"/>
  <c r="D147" i="11" s="1"/>
  <c r="K147" i="11" s="1" a="1"/>
  <c r="K147" i="11" s="1"/>
  <c r="A148" i="11" a="1"/>
  <c r="A148" i="11" s="1"/>
  <c r="C148" i="11" a="1"/>
  <c r="C148" i="11" s="1"/>
  <c r="D148" i="11" s="1"/>
  <c r="K148" i="11" s="1" a="1"/>
  <c r="K148" i="11" s="1"/>
  <c r="A149" i="11" a="1"/>
  <c r="A149" i="11" s="1"/>
  <c r="H149" i="11" s="1"/>
  <c r="I149" i="11" s="1"/>
  <c r="C149" i="11" a="1"/>
  <c r="C149" i="11" s="1"/>
  <c r="D149" i="11" s="1"/>
  <c r="K149" i="11" s="1" a="1"/>
  <c r="K149" i="11" s="1"/>
  <c r="A150" i="11" a="1"/>
  <c r="A150" i="11" s="1"/>
  <c r="F150" i="11" s="1"/>
  <c r="G150" i="11" s="1"/>
  <c r="C150" i="11" a="1"/>
  <c r="C150" i="11" s="1"/>
  <c r="D150" i="11" s="1"/>
  <c r="K150" i="11" s="1" a="1"/>
  <c r="K150" i="11" s="1"/>
  <c r="A151" i="11" a="1"/>
  <c r="A151" i="11" s="1"/>
  <c r="B151" i="11" s="1"/>
  <c r="C151" i="11" a="1"/>
  <c r="C151" i="11" s="1"/>
  <c r="D151" i="11" s="1"/>
  <c r="K151" i="11" s="1" a="1"/>
  <c r="K151" i="11" s="1"/>
  <c r="A152" i="11" a="1"/>
  <c r="A152" i="11" s="1"/>
  <c r="F152" i="11" s="1"/>
  <c r="G152" i="11" s="1"/>
  <c r="C152" i="11" a="1"/>
  <c r="C152" i="11" s="1"/>
  <c r="D152" i="11" s="1"/>
  <c r="K152" i="11" s="1" a="1"/>
  <c r="K152" i="11" s="1"/>
  <c r="A153" i="11" a="1"/>
  <c r="A153" i="11" s="1"/>
  <c r="C153" i="11" a="1"/>
  <c r="C153" i="11" s="1"/>
  <c r="D153" i="11" s="1"/>
  <c r="K153" i="11" s="1" a="1"/>
  <c r="K153" i="11" s="1"/>
  <c r="A154" i="11" a="1"/>
  <c r="A154" i="11" s="1"/>
  <c r="B154" i="11" s="1"/>
  <c r="C154" i="11" a="1"/>
  <c r="C154" i="11" s="1"/>
  <c r="D154" i="11" s="1"/>
  <c r="K154" i="11" s="1" a="1"/>
  <c r="K154" i="11" s="1"/>
  <c r="A155" i="11" a="1"/>
  <c r="A155" i="11" s="1"/>
  <c r="B155" i="11" s="1"/>
  <c r="C155" i="11" a="1"/>
  <c r="C155" i="11" s="1"/>
  <c r="D155" i="11" s="1"/>
  <c r="K155" i="11" s="1" a="1"/>
  <c r="K155" i="11" s="1"/>
  <c r="A156" i="11" a="1"/>
  <c r="A156" i="11" s="1"/>
  <c r="B156" i="11" s="1"/>
  <c r="C156" i="11" a="1"/>
  <c r="C156" i="11" s="1"/>
  <c r="D156" i="11" s="1"/>
  <c r="K156" i="11" s="1" a="1"/>
  <c r="K156" i="11" s="1"/>
  <c r="A157" i="11" a="1"/>
  <c r="A157" i="11" s="1"/>
  <c r="B157" i="11" s="1"/>
  <c r="C157" i="11" a="1"/>
  <c r="C157" i="11" s="1"/>
  <c r="D157" i="11" s="1"/>
  <c r="K157" i="11" s="1" a="1"/>
  <c r="K157" i="11" s="1"/>
  <c r="A158" i="11" a="1"/>
  <c r="A158" i="11" s="1"/>
  <c r="B158" i="11" s="1"/>
  <c r="C158" i="11" a="1"/>
  <c r="C158" i="11" s="1"/>
  <c r="D158" i="11" s="1"/>
  <c r="K158" i="11" s="1" a="1"/>
  <c r="K158" i="11" s="1"/>
  <c r="A159" i="11" a="1"/>
  <c r="A159" i="11" s="1"/>
  <c r="C159" i="11" a="1"/>
  <c r="C159" i="11" s="1"/>
  <c r="D159" i="11" s="1"/>
  <c r="K159" i="11" s="1" a="1"/>
  <c r="K159" i="11" s="1"/>
  <c r="A160" i="11" a="1"/>
  <c r="A160" i="11" s="1"/>
  <c r="F160" i="11" s="1"/>
  <c r="G160" i="11" s="1"/>
  <c r="C160" i="11" a="1"/>
  <c r="C160" i="11" s="1"/>
  <c r="D160" i="11" s="1"/>
  <c r="K160" i="11" s="1" a="1"/>
  <c r="K160" i="11" s="1"/>
  <c r="A161" i="11" a="1"/>
  <c r="A161" i="11" s="1"/>
  <c r="C161" i="11" a="1"/>
  <c r="C161" i="11" s="1"/>
  <c r="D161" i="11" s="1"/>
  <c r="K161" i="11" s="1" a="1"/>
  <c r="K161" i="11" s="1"/>
  <c r="A162" i="11" a="1"/>
  <c r="A162" i="11" s="1"/>
  <c r="F162" i="11" s="1"/>
  <c r="G162" i="11" s="1"/>
  <c r="C162" i="11" a="1"/>
  <c r="C162" i="11" s="1"/>
  <c r="D162" i="11" s="1"/>
  <c r="K162" i="11" s="1" a="1"/>
  <c r="K162" i="11" s="1"/>
  <c r="A163" i="11" a="1"/>
  <c r="A163" i="11" s="1"/>
  <c r="B163" i="11" s="1"/>
  <c r="C163" i="11" a="1"/>
  <c r="C163" i="11" s="1"/>
  <c r="D163" i="11" s="1"/>
  <c r="K163" i="11" s="1" a="1"/>
  <c r="K163" i="11" s="1"/>
  <c r="A164" i="11" a="1"/>
  <c r="A164" i="11" s="1"/>
  <c r="F164" i="11" s="1"/>
  <c r="G164" i="11" s="1"/>
  <c r="C164" i="11" a="1"/>
  <c r="C164" i="11" s="1"/>
  <c r="D164" i="11" s="1"/>
  <c r="K164" i="11" s="1" a="1"/>
  <c r="K164" i="11" s="1"/>
  <c r="A165" i="11" a="1"/>
  <c r="A165" i="11" s="1"/>
  <c r="C165" i="11" a="1"/>
  <c r="C165" i="11" s="1"/>
  <c r="D165" i="11" s="1"/>
  <c r="K165" i="11" s="1" a="1"/>
  <c r="K165" i="11" s="1"/>
  <c r="A166" i="11" a="1"/>
  <c r="A166" i="11" s="1"/>
  <c r="B166" i="11" s="1"/>
  <c r="C166" i="11" a="1"/>
  <c r="C166" i="11" s="1"/>
  <c r="D166" i="11" s="1"/>
  <c r="K166" i="11" s="1" a="1"/>
  <c r="K166" i="11" s="1"/>
  <c r="A167" i="11" a="1"/>
  <c r="A167" i="11" s="1"/>
  <c r="B167" i="11" s="1"/>
  <c r="C167" i="11" a="1"/>
  <c r="C167" i="11" s="1"/>
  <c r="D167" i="11" s="1"/>
  <c r="K167" i="11" s="1" a="1"/>
  <c r="K167" i="11" s="1"/>
  <c r="A168" i="11" a="1"/>
  <c r="A168" i="11" s="1"/>
  <c r="B168" i="11" s="1"/>
  <c r="C168" i="11" a="1"/>
  <c r="C168" i="11" s="1"/>
  <c r="D168" i="11" s="1"/>
  <c r="K168" i="11" s="1" a="1"/>
  <c r="K168" i="11" s="1"/>
  <c r="A169" i="11" a="1"/>
  <c r="A169" i="11" s="1"/>
  <c r="B169" i="11" s="1"/>
  <c r="C169" i="11" a="1"/>
  <c r="C169" i="11" s="1"/>
  <c r="D169" i="11" s="1"/>
  <c r="K169" i="11" s="1" a="1"/>
  <c r="K169" i="11" s="1"/>
  <c r="A170" i="11" a="1"/>
  <c r="A170" i="11" s="1"/>
  <c r="B170" i="11" s="1"/>
  <c r="C170" i="11" a="1"/>
  <c r="C170" i="11" s="1"/>
  <c r="D170" i="11" s="1"/>
  <c r="K170" i="11" s="1" a="1"/>
  <c r="K170" i="11" s="1"/>
  <c r="A171" i="11" a="1"/>
  <c r="A171" i="11" s="1"/>
  <c r="B171" i="11" s="1"/>
  <c r="C171" i="11" a="1"/>
  <c r="C171" i="11" s="1"/>
  <c r="D171" i="11" s="1"/>
  <c r="K171" i="11" s="1" a="1"/>
  <c r="K171" i="11" s="1"/>
  <c r="A172" i="11" a="1"/>
  <c r="A172" i="11" s="1"/>
  <c r="F172" i="11" s="1"/>
  <c r="G172" i="11" s="1"/>
  <c r="C172" i="11" a="1"/>
  <c r="C172" i="11" s="1"/>
  <c r="D172" i="11" s="1"/>
  <c r="K172" i="11" s="1" a="1"/>
  <c r="K172" i="11" s="1"/>
  <c r="A173" i="11" a="1"/>
  <c r="A173" i="11" s="1"/>
  <c r="H173" i="11" s="1"/>
  <c r="I173" i="11" s="1"/>
  <c r="C173" i="11" a="1"/>
  <c r="C173" i="11" s="1"/>
  <c r="D173" i="11" s="1"/>
  <c r="K173" i="11" s="1" a="1"/>
  <c r="K173" i="11" s="1"/>
  <c r="A174" i="11" a="1"/>
  <c r="A174" i="11" s="1"/>
  <c r="C174" i="11" a="1"/>
  <c r="C174" i="11" s="1"/>
  <c r="D174" i="11" s="1"/>
  <c r="K174" i="11" s="1" a="1"/>
  <c r="K174" i="11" s="1"/>
  <c r="A175" i="11" a="1"/>
  <c r="A175" i="11" s="1"/>
  <c r="B175" i="11" s="1"/>
  <c r="C175" i="11" a="1"/>
  <c r="C175" i="11" s="1"/>
  <c r="D175" i="11" s="1"/>
  <c r="K175" i="11" s="1" a="1"/>
  <c r="K175" i="11" s="1"/>
  <c r="A176" i="11" a="1"/>
  <c r="A176" i="11" s="1"/>
  <c r="B176" i="11" s="1"/>
  <c r="C176" i="11" a="1"/>
  <c r="C176" i="11" s="1"/>
  <c r="D176" i="11" s="1"/>
  <c r="K176" i="11" s="1" a="1"/>
  <c r="K176" i="11" s="1"/>
  <c r="A177" i="11" a="1"/>
  <c r="A177" i="11" s="1"/>
  <c r="F177" i="11" s="1"/>
  <c r="G177" i="11" s="1"/>
  <c r="C177" i="11" a="1"/>
  <c r="C177" i="11" s="1"/>
  <c r="D177" i="11" s="1"/>
  <c r="K177" i="11" s="1" a="1"/>
  <c r="K177" i="11" s="1"/>
  <c r="A178" i="11" a="1"/>
  <c r="A178" i="11" s="1"/>
  <c r="B178" i="11" s="1"/>
  <c r="C178" i="11" a="1"/>
  <c r="C178" i="11" s="1"/>
  <c r="D178" i="11" s="1"/>
  <c r="K178" i="11" s="1" a="1"/>
  <c r="K178" i="11" s="1"/>
  <c r="A179" i="11" a="1"/>
  <c r="A179" i="11" s="1"/>
  <c r="H179" i="11" s="1"/>
  <c r="I179" i="11" s="1"/>
  <c r="C179" i="11" a="1"/>
  <c r="C179" i="11" s="1"/>
  <c r="D179" i="11" s="1"/>
  <c r="K179" i="11" s="1" a="1"/>
  <c r="K179" i="11" s="1"/>
  <c r="A180" i="11" a="1"/>
  <c r="A180" i="11" s="1"/>
  <c r="C180" i="11" a="1"/>
  <c r="C180" i="11" s="1"/>
  <c r="D180" i="11" s="1"/>
  <c r="K180" i="11" s="1" a="1"/>
  <c r="K180" i="11" s="1"/>
  <c r="A181" i="11" a="1"/>
  <c r="A181" i="11" s="1"/>
  <c r="F181" i="11" s="1"/>
  <c r="G181" i="11" s="1"/>
  <c r="C181" i="11" a="1"/>
  <c r="C181" i="11" s="1"/>
  <c r="D181" i="11" s="1"/>
  <c r="K181" i="11" s="1" a="1"/>
  <c r="K181" i="11" s="1"/>
  <c r="A182" i="11" a="1"/>
  <c r="A182" i="11" s="1"/>
  <c r="B182" i="11" s="1"/>
  <c r="C182" i="11" a="1"/>
  <c r="C182" i="11" s="1"/>
  <c r="D182" i="11" s="1"/>
  <c r="K182" i="11" s="1" a="1"/>
  <c r="K182" i="11" s="1"/>
  <c r="A183" i="11" a="1"/>
  <c r="A183" i="11" s="1"/>
  <c r="H183" i="11" s="1"/>
  <c r="I183" i="11" s="1"/>
  <c r="C183" i="11" a="1"/>
  <c r="C183" i="11" s="1"/>
  <c r="D183" i="11" s="1"/>
  <c r="K183" i="11" s="1" a="1"/>
  <c r="K183" i="11" s="1"/>
  <c r="A184" i="11" a="1"/>
  <c r="A184" i="11" s="1"/>
  <c r="B184" i="11" s="1"/>
  <c r="C184" i="11" a="1"/>
  <c r="C184" i="11" s="1"/>
  <c r="D184" i="11" s="1"/>
  <c r="K184" i="11" s="1" a="1"/>
  <c r="K184" i="11" s="1"/>
  <c r="A185" i="11" a="1"/>
  <c r="A185" i="11" s="1"/>
  <c r="H185" i="11" s="1"/>
  <c r="I185" i="11" s="1"/>
  <c r="C185" i="11" a="1"/>
  <c r="C185" i="11" s="1"/>
  <c r="D185" i="11" s="1"/>
  <c r="K185" i="11" s="1" a="1"/>
  <c r="K185" i="11" s="1"/>
  <c r="A186" i="11" a="1"/>
  <c r="A186" i="11" s="1"/>
  <c r="C186" i="11" a="1"/>
  <c r="C186" i="11" s="1"/>
  <c r="D186" i="11" s="1"/>
  <c r="K186" i="11" s="1" a="1"/>
  <c r="K186" i="11" s="1"/>
  <c r="A187" i="11" a="1"/>
  <c r="A187" i="11" s="1"/>
  <c r="F187" i="11" s="1"/>
  <c r="G187" i="11" s="1"/>
  <c r="C187" i="11" a="1"/>
  <c r="C187" i="11" s="1"/>
  <c r="D187" i="11" s="1"/>
  <c r="K187" i="11" s="1" a="1"/>
  <c r="K187" i="11" s="1"/>
  <c r="A188" i="11" a="1"/>
  <c r="A188" i="11" s="1"/>
  <c r="F188" i="11" s="1"/>
  <c r="G188" i="11" s="1"/>
  <c r="C188" i="11" a="1"/>
  <c r="C188" i="11" s="1"/>
  <c r="D188" i="11" s="1"/>
  <c r="K188" i="11" s="1" a="1"/>
  <c r="K188" i="11" s="1"/>
  <c r="A189" i="11" a="1"/>
  <c r="A189" i="11" s="1"/>
  <c r="H189" i="11" s="1"/>
  <c r="I189" i="11" s="1"/>
  <c r="C189" i="11" a="1"/>
  <c r="C189" i="11" s="1"/>
  <c r="D189" i="11" s="1"/>
  <c r="K189" i="11" s="1" a="1"/>
  <c r="K189" i="11" s="1"/>
  <c r="A190" i="11" a="1"/>
  <c r="A190" i="11" s="1"/>
  <c r="B190" i="11" s="1"/>
  <c r="C190" i="11" a="1"/>
  <c r="C190" i="11" s="1"/>
  <c r="D190" i="11" s="1"/>
  <c r="K190" i="11" s="1" a="1"/>
  <c r="K190" i="11" s="1"/>
  <c r="A191" i="11" a="1"/>
  <c r="A191" i="11" s="1"/>
  <c r="H191" i="11" s="1"/>
  <c r="I191" i="11" s="1"/>
  <c r="C191" i="11" a="1"/>
  <c r="C191" i="11" s="1"/>
  <c r="D191" i="11" s="1"/>
  <c r="K191" i="11" s="1" a="1"/>
  <c r="K191" i="11" s="1"/>
  <c r="A192" i="11" a="1"/>
  <c r="A192" i="11" s="1"/>
  <c r="C192" i="11" a="1"/>
  <c r="C192" i="11" s="1"/>
  <c r="D192" i="11" s="1"/>
  <c r="K192" i="11" s="1" a="1"/>
  <c r="K192" i="11" s="1"/>
  <c r="A193" i="11" a="1"/>
  <c r="A193" i="11" s="1"/>
  <c r="F193" i="11" s="1"/>
  <c r="G193" i="11" s="1"/>
  <c r="C193" i="11" a="1"/>
  <c r="C193" i="11" s="1"/>
  <c r="D193" i="11" s="1"/>
  <c r="K193" i="11" s="1" a="1"/>
  <c r="K193" i="11" s="1"/>
  <c r="A194" i="11" a="1"/>
  <c r="A194" i="11" s="1"/>
  <c r="B194" i="11" s="1"/>
  <c r="C194" i="11" a="1"/>
  <c r="C194" i="11" s="1"/>
  <c r="D194" i="11" s="1"/>
  <c r="K194" i="11" s="1" a="1"/>
  <c r="K194" i="11" s="1"/>
  <c r="A195" i="11" a="1"/>
  <c r="A195" i="11" s="1"/>
  <c r="F195" i="11" s="1"/>
  <c r="G195" i="11" s="1"/>
  <c r="C195" i="11" a="1"/>
  <c r="C195" i="11" s="1"/>
  <c r="D195" i="11" s="1"/>
  <c r="K195" i="11" s="1" a="1"/>
  <c r="K195" i="11" s="1"/>
  <c r="A196" i="11" a="1"/>
  <c r="A196" i="11" s="1"/>
  <c r="H196" i="11" s="1"/>
  <c r="I196" i="11" s="1"/>
  <c r="C196" i="11" a="1"/>
  <c r="C196" i="11" s="1"/>
  <c r="D196" i="11" s="1"/>
  <c r="K196" i="11" s="1" a="1"/>
  <c r="K196" i="11" s="1"/>
  <c r="A197" i="11" a="1"/>
  <c r="A197" i="11" s="1"/>
  <c r="H197" i="11" s="1"/>
  <c r="I197" i="11" s="1"/>
  <c r="C197" i="11" a="1"/>
  <c r="C197" i="11" s="1"/>
  <c r="D197" i="11" s="1"/>
  <c r="K197" i="11" s="1" a="1"/>
  <c r="K197" i="11" s="1"/>
  <c r="A198" i="11" a="1"/>
  <c r="A198" i="11" s="1"/>
  <c r="C198" i="11" a="1"/>
  <c r="C198" i="11" s="1"/>
  <c r="D198" i="11" s="1"/>
  <c r="K198" i="11" s="1" a="1"/>
  <c r="K198" i="11" s="1"/>
  <c r="A199" i="11" a="1"/>
  <c r="A199" i="11" s="1"/>
  <c r="F199" i="11" s="1"/>
  <c r="G199" i="11" s="1"/>
  <c r="C199" i="11" a="1"/>
  <c r="C199" i="11" s="1"/>
  <c r="D199" i="11" s="1"/>
  <c r="K199" i="11" s="1" a="1"/>
  <c r="K199" i="11" s="1"/>
  <c r="A200" i="11" a="1"/>
  <c r="A200" i="11" s="1"/>
  <c r="C200" i="11" a="1"/>
  <c r="C200" i="11" s="1"/>
  <c r="D200" i="11" s="1"/>
  <c r="K200" i="11" s="1" a="1"/>
  <c r="K200" i="11" s="1"/>
  <c r="A201" i="11" a="1"/>
  <c r="A201" i="11" s="1"/>
  <c r="B201" i="11" s="1"/>
  <c r="C201" i="11" a="1"/>
  <c r="C201" i="11" s="1"/>
  <c r="D201" i="11" s="1"/>
  <c r="K201" i="11" s="1" a="1"/>
  <c r="K201" i="11" s="1"/>
  <c r="A202" i="11" a="1"/>
  <c r="A202" i="11" s="1"/>
  <c r="B202" i="11" s="1"/>
  <c r="C202" i="11" a="1"/>
  <c r="C202" i="11" s="1"/>
  <c r="D202" i="11" s="1"/>
  <c r="K202" i="11" s="1" a="1"/>
  <c r="K202" i="11" s="1"/>
  <c r="A203" i="11" a="1"/>
  <c r="A203" i="11" s="1"/>
  <c r="H203" i="11" s="1"/>
  <c r="I203" i="11" s="1"/>
  <c r="C203" i="11" a="1"/>
  <c r="C203" i="11" s="1"/>
  <c r="D203" i="11" s="1"/>
  <c r="K203" i="11" s="1" a="1"/>
  <c r="K203" i="11" s="1"/>
  <c r="A204" i="11" a="1"/>
  <c r="A204" i="11" s="1"/>
  <c r="C204" i="11" a="1"/>
  <c r="C204" i="11" s="1"/>
  <c r="D204" i="11" s="1"/>
  <c r="K204" i="11" s="1" a="1"/>
  <c r="K204" i="11" s="1"/>
  <c r="A205" i="11" a="1"/>
  <c r="A205" i="11" s="1"/>
  <c r="F205" i="11" s="1"/>
  <c r="G205" i="11" s="1"/>
  <c r="C205" i="11" a="1"/>
  <c r="C205" i="11" s="1"/>
  <c r="D205" i="11" s="1"/>
  <c r="K205" i="11" s="1" a="1"/>
  <c r="K205" i="11" s="1"/>
  <c r="A206" i="11" a="1"/>
  <c r="A206" i="11" s="1"/>
  <c r="C206" i="11" a="1"/>
  <c r="C206" i="11" s="1"/>
  <c r="D206" i="11" s="1"/>
  <c r="K206" i="11" s="1" a="1"/>
  <c r="K206" i="11" s="1"/>
  <c r="A207" i="11" a="1"/>
  <c r="A207" i="11" s="1"/>
  <c r="C207" i="11" a="1"/>
  <c r="C207" i="11" s="1"/>
  <c r="D207" i="11" s="1"/>
  <c r="K207" i="11" s="1" a="1"/>
  <c r="K207" i="11" s="1"/>
  <c r="A208" i="11" a="1"/>
  <c r="A208" i="11" s="1"/>
  <c r="B208" i="11" s="1"/>
  <c r="C208" i="11" a="1"/>
  <c r="C208" i="11" s="1"/>
  <c r="D208" i="11" s="1"/>
  <c r="K208" i="11" s="1" a="1"/>
  <c r="K208" i="11" s="1"/>
  <c r="A209" i="11" a="1"/>
  <c r="A209" i="11" s="1"/>
  <c r="H209" i="11" s="1"/>
  <c r="I209" i="11" s="1"/>
  <c r="C209" i="11" a="1"/>
  <c r="C209" i="11" s="1"/>
  <c r="D209" i="11" s="1"/>
  <c r="K209" i="11" s="1" a="1"/>
  <c r="K209" i="11" s="1"/>
  <c r="A210" i="11" a="1"/>
  <c r="A210" i="11" s="1"/>
  <c r="C210" i="11" a="1"/>
  <c r="C210" i="11" s="1"/>
  <c r="D210" i="11" s="1"/>
  <c r="K210" i="11" s="1" a="1"/>
  <c r="K210" i="11" s="1"/>
  <c r="A211" i="11" a="1"/>
  <c r="A211" i="11" s="1"/>
  <c r="C211" i="11" a="1"/>
  <c r="C211" i="11" s="1"/>
  <c r="D211" i="11" s="1"/>
  <c r="K211" i="11" s="1" a="1"/>
  <c r="K211" i="11" s="1"/>
  <c r="A212" i="11" a="1"/>
  <c r="A212" i="11" s="1"/>
  <c r="B212" i="11" s="1"/>
  <c r="C212" i="11" a="1"/>
  <c r="C212" i="11" s="1"/>
  <c r="D212" i="11" s="1"/>
  <c r="K212" i="11" s="1" a="1"/>
  <c r="K212" i="11" s="1"/>
  <c r="A213" i="11" a="1"/>
  <c r="A213" i="11" s="1"/>
  <c r="C213" i="11" a="1"/>
  <c r="C213" i="11" s="1"/>
  <c r="D213" i="11" s="1"/>
  <c r="K213" i="11" s="1" a="1"/>
  <c r="K213" i="11" s="1"/>
  <c r="A214" i="11" a="1"/>
  <c r="A214" i="11" s="1"/>
  <c r="B214" i="11" s="1"/>
  <c r="C214" i="11" a="1"/>
  <c r="C214" i="11" s="1"/>
  <c r="D214" i="11" s="1"/>
  <c r="K214" i="11" s="1" a="1"/>
  <c r="K214" i="11" s="1"/>
  <c r="A215" i="11" a="1"/>
  <c r="A215" i="11" s="1"/>
  <c r="C215" i="11" a="1"/>
  <c r="C215" i="11" s="1"/>
  <c r="D215" i="11" s="1"/>
  <c r="K215" i="11" s="1" a="1"/>
  <c r="K215" i="11" s="1"/>
  <c r="A216" i="11" a="1"/>
  <c r="A216" i="11" s="1"/>
  <c r="B216" i="11" s="1"/>
  <c r="C216" i="11" a="1"/>
  <c r="C216" i="11" s="1"/>
  <c r="D216" i="11" s="1"/>
  <c r="K216" i="11" s="1" a="1"/>
  <c r="K216" i="11" s="1"/>
  <c r="A217" i="11" a="1"/>
  <c r="A217" i="11" s="1"/>
  <c r="B217" i="11" s="1"/>
  <c r="C217" i="11" a="1"/>
  <c r="C217" i="11" s="1"/>
  <c r="D217" i="11" s="1"/>
  <c r="K217" i="11" s="1" a="1"/>
  <c r="K217" i="11" s="1"/>
  <c r="A218" i="11" a="1"/>
  <c r="A218" i="11" s="1"/>
  <c r="C218" i="11" a="1"/>
  <c r="C218" i="11" s="1"/>
  <c r="D218" i="11" s="1"/>
  <c r="K218" i="11" s="1" a="1"/>
  <c r="K218" i="11" s="1"/>
  <c r="A219" i="11" a="1"/>
  <c r="A219" i="11" s="1"/>
  <c r="C219" i="11" a="1"/>
  <c r="C219" i="11"/>
  <c r="D219" i="11" s="1"/>
  <c r="K219" i="11" s="1" a="1"/>
  <c r="K219" i="11" s="1"/>
  <c r="A220" i="11" a="1"/>
  <c r="A220" i="11" s="1"/>
  <c r="H220" i="11" s="1"/>
  <c r="I220" i="11" s="1"/>
  <c r="C220" i="11" a="1"/>
  <c r="C220" i="11" s="1"/>
  <c r="D220" i="11" s="1"/>
  <c r="K220" i="11" s="1" a="1"/>
  <c r="K220" i="11" s="1"/>
  <c r="A221" i="11" a="1"/>
  <c r="A221" i="11" s="1"/>
  <c r="C221" i="11" a="1"/>
  <c r="C221" i="11" s="1"/>
  <c r="D221" i="11" s="1"/>
  <c r="K221" i="11" s="1" a="1"/>
  <c r="K221" i="11" s="1"/>
  <c r="A222" i="11" a="1"/>
  <c r="A222" i="11" s="1"/>
  <c r="B222" i="11" s="1"/>
  <c r="C222" i="11" a="1"/>
  <c r="C222" i="11" s="1"/>
  <c r="D222" i="11" s="1"/>
  <c r="K222" i="11" s="1" a="1"/>
  <c r="K222" i="11" s="1"/>
  <c r="A223" i="11" a="1"/>
  <c r="A223" i="11" s="1"/>
  <c r="H223" i="11" s="1"/>
  <c r="I223" i="11" s="1"/>
  <c r="C223" i="11" a="1"/>
  <c r="C223" i="11" s="1"/>
  <c r="D223" i="11" s="1"/>
  <c r="K223" i="11" s="1" a="1"/>
  <c r="K223" i="11" s="1"/>
  <c r="A224" i="11" a="1"/>
  <c r="A224" i="11" s="1"/>
  <c r="C224" i="11" a="1"/>
  <c r="C224" i="11" s="1"/>
  <c r="D224" i="11" s="1"/>
  <c r="K224" i="11" s="1" a="1"/>
  <c r="K224" i="11" s="1"/>
  <c r="A225" i="11" a="1"/>
  <c r="A225" i="11" s="1"/>
  <c r="C225" i="11" a="1"/>
  <c r="C225" i="11" s="1"/>
  <c r="D225" i="11" s="1"/>
  <c r="K225" i="11" s="1" a="1"/>
  <c r="K225" i="11" s="1"/>
  <c r="A226" i="11" a="1"/>
  <c r="A226" i="11" s="1"/>
  <c r="F226" i="11" s="1"/>
  <c r="G226" i="11" s="1"/>
  <c r="C226" i="11" a="1"/>
  <c r="C226" i="11" s="1"/>
  <c r="D226" i="11" s="1"/>
  <c r="K226" i="11" s="1" a="1"/>
  <c r="K226" i="11" s="1"/>
  <c r="A227" i="11" a="1"/>
  <c r="A227" i="11" s="1"/>
  <c r="C227" i="11" a="1"/>
  <c r="C227" i="11" s="1"/>
  <c r="D227" i="11" s="1"/>
  <c r="K227" i="11" s="1" a="1"/>
  <c r="K227" i="11" s="1"/>
  <c r="A228" i="11" a="1"/>
  <c r="A228" i="11" s="1"/>
  <c r="F228" i="11" s="1"/>
  <c r="G228" i="11" s="1"/>
  <c r="C228" i="11" a="1"/>
  <c r="C228" i="11" s="1"/>
  <c r="D228" i="11" s="1"/>
  <c r="K228" i="11" s="1" a="1"/>
  <c r="K228" i="11" s="1"/>
  <c r="A229" i="11" a="1"/>
  <c r="A229" i="11" s="1"/>
  <c r="C229" i="11" a="1"/>
  <c r="C229" i="11" s="1"/>
  <c r="D229" i="11" s="1"/>
  <c r="K229" i="11" s="1" a="1"/>
  <c r="K229" i="11" s="1"/>
  <c r="A230" i="11" a="1"/>
  <c r="A230" i="11" s="1"/>
  <c r="C230" i="11" a="1"/>
  <c r="C230" i="11" s="1"/>
  <c r="D230" i="11" s="1"/>
  <c r="K230" i="11" s="1" a="1"/>
  <c r="K230" i="11" s="1"/>
  <c r="A231" i="11" a="1"/>
  <c r="A231" i="11" s="1"/>
  <c r="C231" i="11" a="1"/>
  <c r="C231" i="11" s="1"/>
  <c r="D231" i="11" s="1"/>
  <c r="K231" i="11" s="1" a="1"/>
  <c r="K231" i="11" s="1"/>
  <c r="A232" i="11" a="1"/>
  <c r="A232" i="11" s="1"/>
  <c r="H232" i="11" s="1"/>
  <c r="I232" i="11" s="1"/>
  <c r="C232" i="11" a="1"/>
  <c r="C232" i="11" s="1"/>
  <c r="D232" i="11" s="1"/>
  <c r="K232" i="11" s="1" a="1"/>
  <c r="K232" i="11" s="1"/>
  <c r="A233" i="11" a="1"/>
  <c r="A233" i="11" s="1"/>
  <c r="F233" i="11" s="1"/>
  <c r="G233" i="11" s="1"/>
  <c r="C233" i="11" a="1"/>
  <c r="C233" i="11" s="1"/>
  <c r="D233" i="11" s="1"/>
  <c r="K233" i="11" s="1" a="1"/>
  <c r="K233" i="11" s="1"/>
  <c r="A234" i="11" a="1"/>
  <c r="A234" i="11" s="1"/>
  <c r="C234" i="11" a="1"/>
  <c r="C234" i="11" s="1"/>
  <c r="D234" i="11" s="1"/>
  <c r="K234" i="11" s="1" a="1"/>
  <c r="K234" i="11" s="1"/>
  <c r="A235" i="11" a="1"/>
  <c r="A235" i="11" s="1"/>
  <c r="H235" i="11" s="1"/>
  <c r="I235" i="11" s="1"/>
  <c r="C235" i="11" a="1"/>
  <c r="C235" i="11" s="1"/>
  <c r="D235" i="11" s="1"/>
  <c r="K235" i="11" s="1" a="1"/>
  <c r="K235" i="11" s="1"/>
  <c r="A236" i="11" a="1"/>
  <c r="A236" i="11" s="1"/>
  <c r="H236" i="11" s="1"/>
  <c r="I236" i="11" s="1"/>
  <c r="C236" i="11" a="1"/>
  <c r="C236" i="11" s="1"/>
  <c r="D236" i="11" s="1"/>
  <c r="K236" i="11" s="1" a="1"/>
  <c r="K236" i="11" s="1"/>
  <c r="A237" i="11" a="1"/>
  <c r="A237" i="11" s="1"/>
  <c r="B237" i="11" s="1"/>
  <c r="C237" i="11" a="1"/>
  <c r="C237" i="11" s="1"/>
  <c r="D237" i="11" s="1"/>
  <c r="K237" i="11" s="1" a="1"/>
  <c r="K237" i="11" s="1"/>
  <c r="A238" i="11" a="1"/>
  <c r="A238" i="11" s="1"/>
  <c r="F238" i="11" s="1"/>
  <c r="G238" i="11" s="1"/>
  <c r="C238" i="11" a="1"/>
  <c r="C238" i="11" s="1"/>
  <c r="D238" i="11" s="1"/>
  <c r="K238" i="11" s="1" a="1"/>
  <c r="K238" i="11" s="1"/>
  <c r="A239" i="11" a="1"/>
  <c r="A239" i="11" s="1"/>
  <c r="H239" i="11" s="1"/>
  <c r="I239" i="11" s="1"/>
  <c r="J239" i="11" s="1"/>
  <c r="C239" i="11" a="1"/>
  <c r="C239" i="11" s="1"/>
  <c r="D239" i="11" s="1"/>
  <c r="K239" i="11" s="1" a="1"/>
  <c r="K239" i="11" s="1"/>
  <c r="A240" i="11" a="1"/>
  <c r="A240" i="11" s="1"/>
  <c r="F240" i="11" s="1"/>
  <c r="G240" i="11" s="1"/>
  <c r="C240" i="11" a="1"/>
  <c r="C240" i="11" s="1"/>
  <c r="D240" i="11" s="1"/>
  <c r="K240" i="11" s="1" a="1"/>
  <c r="K240" i="11" s="1"/>
  <c r="A241" i="11" a="1"/>
  <c r="A241" i="11" s="1"/>
  <c r="H241" i="11" s="1"/>
  <c r="I241" i="11" s="1"/>
  <c r="C241" i="11" a="1"/>
  <c r="C241" i="11" s="1"/>
  <c r="D241" i="11" s="1"/>
  <c r="K241" i="11" s="1" a="1"/>
  <c r="K241" i="11" s="1"/>
  <c r="A242" i="11" a="1"/>
  <c r="A242" i="11" s="1"/>
  <c r="F242" i="11" s="1"/>
  <c r="G242" i="11" s="1"/>
  <c r="C242" i="11" a="1"/>
  <c r="C242" i="11" s="1"/>
  <c r="D242" i="11" s="1"/>
  <c r="K242" i="11" s="1" a="1"/>
  <c r="K242" i="11" s="1"/>
  <c r="A243" i="11" a="1"/>
  <c r="A243" i="11" s="1"/>
  <c r="H243" i="11" s="1"/>
  <c r="I243" i="11" s="1"/>
  <c r="C243" i="11" a="1"/>
  <c r="C243" i="11" s="1"/>
  <c r="D243" i="11" s="1"/>
  <c r="K243" i="11" s="1" a="1"/>
  <c r="K243" i="11" s="1"/>
  <c r="A244" i="11" a="1"/>
  <c r="A244" i="11" s="1"/>
  <c r="H244" i="11" s="1"/>
  <c r="I244" i="11" s="1"/>
  <c r="C244" i="11" a="1"/>
  <c r="C244" i="11" s="1"/>
  <c r="D244" i="11" s="1"/>
  <c r="K244" i="11" s="1" a="1"/>
  <c r="K244" i="11" s="1"/>
  <c r="A245" i="11" a="1"/>
  <c r="A245" i="11" s="1"/>
  <c r="H245" i="11" s="1"/>
  <c r="I245" i="11" s="1"/>
  <c r="C245" i="11" a="1"/>
  <c r="C245" i="11" s="1"/>
  <c r="D245" i="11" s="1"/>
  <c r="K245" i="11" s="1" a="1"/>
  <c r="K245" i="11" s="1"/>
  <c r="A246" i="11" a="1"/>
  <c r="A246" i="11" s="1"/>
  <c r="C246" i="11" a="1"/>
  <c r="C246" i="11" s="1"/>
  <c r="D246" i="11" s="1"/>
  <c r="K246" i="11" s="1" a="1"/>
  <c r="K246" i="11" s="1"/>
  <c r="A247" i="11" a="1"/>
  <c r="A247" i="11" s="1"/>
  <c r="B247" i="11" s="1"/>
  <c r="C247" i="11" a="1"/>
  <c r="C247" i="11" s="1"/>
  <c r="D247" i="11" s="1"/>
  <c r="K247" i="11" s="1" a="1"/>
  <c r="K247" i="11" s="1"/>
  <c r="A248" i="11" a="1"/>
  <c r="A248" i="11" s="1"/>
  <c r="H248" i="11" s="1"/>
  <c r="I248" i="11" s="1"/>
  <c r="C248" i="11" a="1"/>
  <c r="C248" i="11" s="1"/>
  <c r="D248" i="11" s="1"/>
  <c r="K248" i="11" s="1" a="1"/>
  <c r="K248" i="11" s="1"/>
  <c r="A249" i="11" a="1"/>
  <c r="A249" i="11" s="1"/>
  <c r="C249" i="11" a="1"/>
  <c r="C249" i="11" s="1"/>
  <c r="D249" i="11" s="1"/>
  <c r="K249" i="11" s="1" a="1"/>
  <c r="K249" i="11" s="1"/>
  <c r="A250" i="11" a="1"/>
  <c r="A250" i="11" s="1"/>
  <c r="H250" i="11" s="1"/>
  <c r="I250" i="11" s="1"/>
  <c r="J250" i="11" s="1"/>
  <c r="C250" i="11" a="1"/>
  <c r="C250" i="11" s="1"/>
  <c r="D250" i="11" s="1"/>
  <c r="K250" i="11" s="1" a="1"/>
  <c r="K250" i="11" s="1"/>
  <c r="A251" i="11" a="1"/>
  <c r="A251" i="11" s="1"/>
  <c r="H251" i="11" s="1"/>
  <c r="I251" i="11" s="1"/>
  <c r="C251" i="11" a="1"/>
  <c r="C251" i="11" s="1"/>
  <c r="D251" i="11" s="1"/>
  <c r="K251" i="11" s="1" a="1"/>
  <c r="K251" i="11" s="1"/>
  <c r="A252" i="11" a="1"/>
  <c r="A252" i="11" s="1"/>
  <c r="C252" i="11" a="1"/>
  <c r="C252" i="11" s="1"/>
  <c r="D252" i="11" s="1"/>
  <c r="K252" i="11" s="1" a="1"/>
  <c r="K252" i="11" s="1"/>
  <c r="A253" i="11" a="1"/>
  <c r="A253" i="11" s="1"/>
  <c r="B253" i="11" s="1"/>
  <c r="C253" i="11" a="1"/>
  <c r="C253" i="11" s="1"/>
  <c r="D253" i="11" s="1"/>
  <c r="K253" i="11" s="1" a="1"/>
  <c r="K253" i="11" s="1"/>
  <c r="A254" i="11" a="1"/>
  <c r="A254" i="11" s="1"/>
  <c r="H254" i="11" s="1"/>
  <c r="I254" i="11" s="1"/>
  <c r="C254" i="11" a="1"/>
  <c r="C254" i="11" s="1"/>
  <c r="D254" i="11" s="1"/>
  <c r="K254" i="11" s="1" a="1"/>
  <c r="K254" i="11" s="1"/>
  <c r="A255" i="11" a="1"/>
  <c r="A255" i="11" s="1"/>
  <c r="C255" i="11" a="1"/>
  <c r="C255" i="11" s="1"/>
  <c r="D255" i="11" s="1"/>
  <c r="K255" i="11" s="1" a="1"/>
  <c r="K255" i="11" s="1"/>
  <c r="A256" i="11" a="1"/>
  <c r="A256" i="11" s="1"/>
  <c r="H256" i="11" s="1"/>
  <c r="I256" i="11" s="1"/>
  <c r="J256" i="11" s="1"/>
  <c r="C256" i="11" a="1"/>
  <c r="C256" i="11" s="1"/>
  <c r="D256" i="11" s="1"/>
  <c r="K256" i="11" s="1" a="1"/>
  <c r="K256" i="11" s="1"/>
  <c r="A257" i="11" a="1"/>
  <c r="A257" i="11" s="1"/>
  <c r="H257" i="11" s="1"/>
  <c r="I257" i="11" s="1"/>
  <c r="C257" i="11" a="1"/>
  <c r="C257" i="11" s="1"/>
  <c r="D257" i="11" s="1"/>
  <c r="K257" i="11" s="1" a="1"/>
  <c r="K257" i="11" s="1"/>
  <c r="A258" i="11" a="1"/>
  <c r="A258" i="11" s="1"/>
  <c r="C258" i="11" a="1"/>
  <c r="C258" i="11" s="1"/>
  <c r="D258" i="11" s="1"/>
  <c r="K258" i="11" s="1" a="1"/>
  <c r="K258" i="11" s="1"/>
  <c r="A259" i="11" a="1"/>
  <c r="A259" i="11" s="1"/>
  <c r="B259" i="11" s="1"/>
  <c r="C259" i="11" a="1"/>
  <c r="C259" i="11" s="1"/>
  <c r="D259" i="11" s="1"/>
  <c r="K259" i="11" s="1" a="1"/>
  <c r="K259" i="11" s="1"/>
  <c r="A260" i="11" a="1"/>
  <c r="A260" i="11" s="1"/>
  <c r="H260" i="11" s="1"/>
  <c r="I260" i="11" s="1"/>
  <c r="C260" i="11" a="1"/>
  <c r="C260" i="11" s="1"/>
  <c r="D260" i="11" s="1"/>
  <c r="K260" i="11" s="1" a="1"/>
  <c r="K260" i="11" s="1"/>
  <c r="A261" i="11" a="1"/>
  <c r="A261" i="11" s="1"/>
  <c r="C261" i="11" a="1"/>
  <c r="C261" i="11" s="1"/>
  <c r="D261" i="11" s="1"/>
  <c r="K261" i="11" s="1" a="1"/>
  <c r="K261" i="11" s="1"/>
  <c r="A262" i="11" a="1"/>
  <c r="A262" i="11" s="1"/>
  <c r="F262" i="11" s="1"/>
  <c r="G262" i="11" s="1"/>
  <c r="C262" i="11" a="1"/>
  <c r="C262" i="11" s="1"/>
  <c r="D262" i="11" s="1"/>
  <c r="K262" i="11" s="1" a="1"/>
  <c r="K262" i="11" s="1"/>
  <c r="A263" i="11" a="1"/>
  <c r="A263" i="11" s="1"/>
  <c r="B263" i="11" s="1"/>
  <c r="C263" i="11" a="1"/>
  <c r="C263" i="11" s="1"/>
  <c r="D263" i="11" s="1"/>
  <c r="K263" i="11" s="1" a="1"/>
  <c r="K263" i="11" s="1"/>
  <c r="A264" i="11" a="1"/>
  <c r="A264" i="11" s="1"/>
  <c r="C264" i="11" a="1"/>
  <c r="C264" i="11" s="1"/>
  <c r="D264" i="11" s="1"/>
  <c r="K264" i="11" s="1" a="1"/>
  <c r="K264" i="11" s="1"/>
  <c r="A265" i="11" a="1"/>
  <c r="A265" i="11" s="1"/>
  <c r="F265" i="11" s="1"/>
  <c r="G265" i="11" s="1"/>
  <c r="C265" i="11" a="1"/>
  <c r="C265" i="11" s="1"/>
  <c r="D265" i="11" s="1"/>
  <c r="K265" i="11" s="1" a="1"/>
  <c r="K265" i="11" s="1"/>
  <c r="A266" i="11" a="1"/>
  <c r="A266" i="11" s="1"/>
  <c r="B266" i="11" s="1"/>
  <c r="C266" i="11" a="1"/>
  <c r="C266" i="11" s="1"/>
  <c r="D266" i="11" s="1"/>
  <c r="K266" i="11" s="1" a="1"/>
  <c r="K266" i="11" s="1"/>
  <c r="A267" i="11" a="1"/>
  <c r="A267" i="11" s="1"/>
  <c r="C267" i="11" a="1"/>
  <c r="C267" i="11" s="1"/>
  <c r="D267" i="11" s="1"/>
  <c r="K267" i="11" s="1" a="1"/>
  <c r="K267" i="11" s="1"/>
  <c r="A268" i="11" a="1"/>
  <c r="A268" i="11" s="1"/>
  <c r="F268" i="11" s="1"/>
  <c r="G268" i="11" s="1"/>
  <c r="C268" i="11" a="1"/>
  <c r="C268" i="11" s="1"/>
  <c r="D268" i="11" s="1"/>
  <c r="K268" i="11" s="1" a="1"/>
  <c r="K268" i="11" s="1"/>
  <c r="A269" i="11" a="1"/>
  <c r="A269" i="11" s="1"/>
  <c r="B269" i="11" s="1"/>
  <c r="C269" i="11" a="1"/>
  <c r="C269" i="11" s="1"/>
  <c r="D269" i="11" s="1"/>
  <c r="K269" i="11" s="1" a="1"/>
  <c r="K269" i="11" s="1"/>
  <c r="A270" i="11" a="1"/>
  <c r="A270" i="11" s="1"/>
  <c r="C270" i="11" a="1"/>
  <c r="C270" i="11" s="1"/>
  <c r="D270" i="11" s="1"/>
  <c r="K270" i="11" s="1" a="1"/>
  <c r="K270" i="11" s="1"/>
  <c r="A271" i="11" a="1"/>
  <c r="A271" i="11" s="1"/>
  <c r="F271" i="11" s="1"/>
  <c r="G271" i="11" s="1"/>
  <c r="C271" i="11" a="1"/>
  <c r="C271" i="11" s="1"/>
  <c r="D271" i="11" s="1"/>
  <c r="K271" i="11" s="1" a="1"/>
  <c r="K271" i="11" s="1"/>
  <c r="A272" i="11" a="1"/>
  <c r="A272" i="11" s="1"/>
  <c r="B272" i="11" s="1"/>
  <c r="C272" i="11" a="1"/>
  <c r="C272" i="11" s="1"/>
  <c r="D272" i="11" s="1"/>
  <c r="K272" i="11" s="1" a="1"/>
  <c r="K272" i="11" s="1"/>
  <c r="A273" i="11" a="1"/>
  <c r="A273" i="11" s="1"/>
  <c r="C273" i="11" a="1"/>
  <c r="C273" i="11" s="1"/>
  <c r="D273" i="11" s="1"/>
  <c r="K273" i="11" s="1" a="1"/>
  <c r="K273" i="11" s="1"/>
  <c r="A274" i="11" a="1"/>
  <c r="A274" i="11" s="1"/>
  <c r="F274" i="11" s="1"/>
  <c r="G274" i="11" s="1"/>
  <c r="C274" i="11" a="1"/>
  <c r="C274" i="11" s="1"/>
  <c r="D274" i="11" s="1"/>
  <c r="K274" i="11" s="1" a="1"/>
  <c r="K274" i="11" s="1"/>
  <c r="A275" i="11" a="1"/>
  <c r="A275" i="11" s="1"/>
  <c r="B275" i="11" s="1"/>
  <c r="C275" i="11" a="1"/>
  <c r="C275" i="11" s="1"/>
  <c r="D275" i="11" s="1"/>
  <c r="K275" i="11" s="1" a="1"/>
  <c r="K275" i="11" s="1"/>
  <c r="A276" i="11" a="1"/>
  <c r="A276" i="11" s="1"/>
  <c r="C276" i="11" a="1"/>
  <c r="C276" i="11" s="1"/>
  <c r="D276" i="11" s="1"/>
  <c r="K276" i="11" s="1" a="1"/>
  <c r="K276" i="11" s="1"/>
  <c r="A277" i="11" a="1"/>
  <c r="A277" i="11" s="1"/>
  <c r="H277" i="11" s="1"/>
  <c r="I277" i="11" s="1"/>
  <c r="C277" i="11" a="1"/>
  <c r="C277" i="11" s="1"/>
  <c r="D277" i="11" s="1"/>
  <c r="K277" i="11" s="1" a="1"/>
  <c r="K277" i="11" s="1"/>
  <c r="A278" i="11" a="1"/>
  <c r="A278" i="11" s="1"/>
  <c r="B278" i="11" s="1"/>
  <c r="C278" i="11" a="1"/>
  <c r="C278" i="11" s="1"/>
  <c r="D278" i="11" s="1"/>
  <c r="K278" i="11" s="1" a="1"/>
  <c r="K278" i="11" s="1"/>
  <c r="A279" i="11" a="1"/>
  <c r="A279" i="11" s="1"/>
  <c r="C279" i="11" a="1"/>
  <c r="C279" i="11" s="1"/>
  <c r="D279" i="11" s="1"/>
  <c r="K279" i="11" s="1" a="1"/>
  <c r="K279" i="11" s="1"/>
  <c r="A280" i="11" a="1"/>
  <c r="A280" i="11" s="1"/>
  <c r="B280" i="11" s="1"/>
  <c r="C280" i="11" a="1"/>
  <c r="C280" i="11" s="1"/>
  <c r="D280" i="11" s="1"/>
  <c r="K280" i="11" s="1" a="1"/>
  <c r="K280" i="11" s="1"/>
  <c r="A281" i="11" a="1"/>
  <c r="A281" i="11" s="1"/>
  <c r="C281" i="11" a="1"/>
  <c r="C281" i="11" s="1"/>
  <c r="D281" i="11" s="1"/>
  <c r="K281" i="11" s="1" a="1"/>
  <c r="K281" i="11" s="1"/>
  <c r="A122" i="11" a="1"/>
  <c r="A122" i="11" s="1"/>
  <c r="C122" i="11" a="1"/>
  <c r="C122" i="11" s="1"/>
  <c r="D122" i="11" s="1"/>
  <c r="K122" i="11" s="1" a="1"/>
  <c r="K122" i="11" s="1"/>
  <c r="A123" i="11" a="1"/>
  <c r="A123" i="11" s="1"/>
  <c r="C123" i="11" a="1"/>
  <c r="C123" i="11" s="1"/>
  <c r="D123" i="11" s="1"/>
  <c r="K123" i="11" s="1" a="1"/>
  <c r="K123" i="11" s="1"/>
  <c r="A124" i="11" a="1"/>
  <c r="A124" i="11" s="1"/>
  <c r="C124" i="11" a="1"/>
  <c r="C124" i="11" s="1"/>
  <c r="D124" i="11" s="1"/>
  <c r="K124" i="11" s="1" a="1"/>
  <c r="K124" i="11" s="1"/>
  <c r="A125" i="11" a="1"/>
  <c r="A125" i="11" s="1"/>
  <c r="C125" i="11" a="1"/>
  <c r="C125" i="11" s="1"/>
  <c r="D125" i="11" s="1"/>
  <c r="K125" i="11" s="1" a="1"/>
  <c r="K125" i="11" s="1"/>
  <c r="A126" i="11" a="1"/>
  <c r="A126" i="11" s="1"/>
  <c r="C126" i="11" a="1"/>
  <c r="C126" i="11" s="1"/>
  <c r="D126" i="11" s="1"/>
  <c r="K126" i="11" s="1" a="1"/>
  <c r="K126" i="11" s="1"/>
  <c r="A127" i="11" a="1"/>
  <c r="A127" i="11" s="1"/>
  <c r="C127" i="11" a="1"/>
  <c r="C127" i="11" s="1"/>
  <c r="D127" i="11" s="1"/>
  <c r="K127" i="11" s="1" a="1"/>
  <c r="K127" i="11" s="1"/>
  <c r="A128" i="11" a="1"/>
  <c r="A128" i="11" s="1"/>
  <c r="C128" i="11" a="1"/>
  <c r="C128" i="11" s="1"/>
  <c r="D128" i="11" s="1"/>
  <c r="K128" i="11" s="1" a="1"/>
  <c r="K128" i="11" s="1"/>
  <c r="A129" i="11" a="1"/>
  <c r="A129" i="11" s="1"/>
  <c r="C129" i="11" a="1"/>
  <c r="C129" i="11" s="1"/>
  <c r="D129" i="11" s="1"/>
  <c r="K129" i="11" s="1" a="1"/>
  <c r="K129" i="11" s="1"/>
  <c r="A1166" i="10" a="1"/>
  <c r="A1166" i="10" s="1"/>
  <c r="C1166" i="10" a="1"/>
  <c r="C1166" i="10" s="1"/>
  <c r="D1166" i="10" s="1"/>
  <c r="K1166" i="10" s="1" a="1"/>
  <c r="K1166" i="10" s="1"/>
  <c r="A1167" i="10" a="1"/>
  <c r="A1167" i="10" s="1"/>
  <c r="C1167" i="10" a="1"/>
  <c r="C1167" i="10" s="1"/>
  <c r="D1167" i="10" s="1"/>
  <c r="K1167" i="10" s="1" a="1"/>
  <c r="K1167" i="10" s="1"/>
  <c r="A1168" i="10" a="1"/>
  <c r="A1168" i="10" s="1"/>
  <c r="C1168" i="10" a="1"/>
  <c r="C1168" i="10" s="1"/>
  <c r="D1168" i="10" s="1"/>
  <c r="K1168" i="10" s="1" a="1"/>
  <c r="K1168" i="10" s="1"/>
  <c r="A1169" i="10" a="1"/>
  <c r="A1169" i="10" s="1"/>
  <c r="C1169" i="10" a="1"/>
  <c r="C1169" i="10" s="1"/>
  <c r="D1169" i="10" s="1"/>
  <c r="K1169" i="10" s="1" a="1"/>
  <c r="K1169" i="10" s="1"/>
  <c r="A1170" i="10" a="1"/>
  <c r="A1170" i="10" s="1"/>
  <c r="C1170" i="10" a="1"/>
  <c r="C1170" i="10" s="1"/>
  <c r="D1170" i="10" s="1"/>
  <c r="K1170" i="10" s="1" a="1"/>
  <c r="K1170" i="10" s="1"/>
  <c r="A1171" i="10" a="1"/>
  <c r="A1171" i="10" s="1"/>
  <c r="C1171" i="10" a="1"/>
  <c r="C1171" i="10" s="1"/>
  <c r="D1171" i="10" s="1"/>
  <c r="K1171" i="10" s="1" a="1"/>
  <c r="K1171" i="10" s="1"/>
  <c r="A1172" i="10" a="1"/>
  <c r="A1172" i="10" s="1"/>
  <c r="C1172" i="10" a="1"/>
  <c r="C1172" i="10" s="1"/>
  <c r="D1172" i="10" s="1"/>
  <c r="K1172" i="10" s="1" a="1"/>
  <c r="K1172" i="10" s="1"/>
  <c r="A1173" i="10" a="1"/>
  <c r="A1173" i="10" s="1"/>
  <c r="C1173" i="10" a="1"/>
  <c r="C1173" i="10" s="1"/>
  <c r="D1173" i="10" s="1"/>
  <c r="K1173" i="10" s="1" a="1"/>
  <c r="K1173" i="10" s="1"/>
  <c r="A1174" i="10" a="1"/>
  <c r="A1174" i="10" s="1"/>
  <c r="C1174" i="10" a="1"/>
  <c r="C1174" i="10" s="1"/>
  <c r="D1174" i="10" s="1"/>
  <c r="K1174" i="10" s="1" a="1"/>
  <c r="K1174" i="10" s="1"/>
  <c r="A1175" i="10" a="1"/>
  <c r="A1175" i="10" s="1"/>
  <c r="C1175" i="10" a="1"/>
  <c r="C1175" i="10" s="1"/>
  <c r="D1175" i="10" s="1"/>
  <c r="K1175" i="10" s="1" a="1"/>
  <c r="K1175" i="10" s="1"/>
  <c r="A1176" i="10" a="1"/>
  <c r="A1176" i="10" s="1"/>
  <c r="C1176" i="10" a="1"/>
  <c r="C1176" i="10" s="1"/>
  <c r="D1176" i="10" s="1"/>
  <c r="K1176" i="10" s="1" a="1"/>
  <c r="K1176" i="10" s="1"/>
  <c r="A1177" i="10" a="1"/>
  <c r="A1177" i="10" s="1"/>
  <c r="C1177" i="10" a="1"/>
  <c r="C1177" i="10" s="1"/>
  <c r="D1177" i="10" s="1"/>
  <c r="K1177" i="10" s="1" a="1"/>
  <c r="K1177" i="10" s="1"/>
  <c r="A1178" i="10" a="1"/>
  <c r="A1178" i="10" s="1"/>
  <c r="C1178" i="10" a="1"/>
  <c r="C1178" i="10" s="1"/>
  <c r="D1178" i="10" s="1"/>
  <c r="K1178" i="10" s="1" a="1"/>
  <c r="K1178" i="10" s="1"/>
  <c r="A1179" i="10" a="1"/>
  <c r="A1179" i="10" s="1"/>
  <c r="C1179" i="10" a="1"/>
  <c r="C1179" i="10" s="1"/>
  <c r="D1179" i="10" s="1"/>
  <c r="K1179" i="10" s="1" a="1"/>
  <c r="K1179" i="10" s="1"/>
  <c r="A1180" i="10" a="1"/>
  <c r="A1180" i="10" s="1"/>
  <c r="C1180" i="10" a="1"/>
  <c r="C1180" i="10" s="1"/>
  <c r="D1180" i="10" s="1"/>
  <c r="K1180" i="10" s="1" a="1"/>
  <c r="K1180" i="10" s="1"/>
  <c r="A1181" i="10" a="1"/>
  <c r="A1181" i="10" s="1"/>
  <c r="C1181" i="10" a="1"/>
  <c r="C1181" i="10" s="1"/>
  <c r="D1181" i="10" s="1"/>
  <c r="K1181" i="10" s="1" a="1"/>
  <c r="K1181" i="10" s="1"/>
  <c r="A1182" i="10" a="1"/>
  <c r="A1182" i="10" s="1"/>
  <c r="C1182" i="10" a="1"/>
  <c r="C1182" i="10" s="1"/>
  <c r="D1182" i="10" s="1"/>
  <c r="K1182" i="10" s="1" a="1"/>
  <c r="K1182" i="10" s="1"/>
  <c r="A1183" i="10" a="1"/>
  <c r="A1183" i="10" s="1"/>
  <c r="C1183" i="10" a="1"/>
  <c r="C1183" i="10" s="1"/>
  <c r="D1183" i="10" s="1"/>
  <c r="K1183" i="10" s="1" a="1"/>
  <c r="K1183" i="10" s="1"/>
  <c r="A1184" i="10" a="1"/>
  <c r="A1184" i="10" s="1"/>
  <c r="C1184" i="10" a="1"/>
  <c r="C1184" i="10" s="1"/>
  <c r="D1184" i="10" s="1"/>
  <c r="K1184" i="10" s="1" a="1"/>
  <c r="K1184" i="10" s="1"/>
  <c r="A1185" i="10" a="1"/>
  <c r="A1185" i="10" s="1"/>
  <c r="C1185" i="10" a="1"/>
  <c r="C1185" i="10" s="1"/>
  <c r="D1185" i="10" s="1"/>
  <c r="K1185" i="10" s="1" a="1"/>
  <c r="K1185" i="10" s="1"/>
  <c r="A1186" i="10" a="1"/>
  <c r="A1186" i="10" s="1"/>
  <c r="C1186" i="10" a="1"/>
  <c r="C1186" i="10" s="1"/>
  <c r="D1186" i="10" s="1"/>
  <c r="K1186" i="10" s="1" a="1"/>
  <c r="K1186" i="10" s="1"/>
  <c r="A1187" i="10" a="1"/>
  <c r="A1187" i="10" s="1"/>
  <c r="C1187" i="10" a="1"/>
  <c r="C1187" i="10" s="1"/>
  <c r="D1187" i="10" s="1"/>
  <c r="K1187" i="10" s="1" a="1"/>
  <c r="K1187" i="10" s="1"/>
  <c r="A1188" i="10" a="1"/>
  <c r="A1188" i="10" s="1"/>
  <c r="C1188" i="10" a="1"/>
  <c r="C1188" i="10" s="1"/>
  <c r="D1188" i="10" s="1"/>
  <c r="K1188" i="10" s="1" a="1"/>
  <c r="K1188" i="10" s="1"/>
  <c r="A1189" i="10" a="1"/>
  <c r="A1189" i="10" s="1"/>
  <c r="C1189" i="10" a="1"/>
  <c r="C1189" i="10" s="1"/>
  <c r="D1189" i="10" s="1"/>
  <c r="K1189" i="10" s="1" a="1"/>
  <c r="K1189" i="10" s="1"/>
  <c r="A1190" i="10" a="1"/>
  <c r="A1190" i="10" s="1"/>
  <c r="C1190" i="10" a="1"/>
  <c r="C1190" i="10" s="1"/>
  <c r="D1190" i="10" s="1"/>
  <c r="K1190" i="10" s="1" a="1"/>
  <c r="K1190" i="10" s="1"/>
  <c r="A1191" i="10" a="1"/>
  <c r="A1191" i="10" s="1"/>
  <c r="C1191" i="10" a="1"/>
  <c r="C1191" i="10" s="1"/>
  <c r="D1191" i="10" s="1"/>
  <c r="K1191" i="10" s="1" a="1"/>
  <c r="K1191" i="10" s="1"/>
  <c r="A1192" i="10" a="1"/>
  <c r="A1192" i="10" s="1"/>
  <c r="C1192" i="10" a="1"/>
  <c r="C1192" i="10" s="1"/>
  <c r="D1192" i="10" s="1"/>
  <c r="K1192" i="10" s="1" a="1"/>
  <c r="K1192" i="10" s="1"/>
  <c r="A1193" i="10" a="1"/>
  <c r="A1193" i="10" s="1"/>
  <c r="C1193" i="10" a="1"/>
  <c r="C1193" i="10" s="1"/>
  <c r="D1193" i="10" s="1"/>
  <c r="K1193" i="10" s="1" a="1"/>
  <c r="K1193" i="10" s="1"/>
  <c r="A1194" i="10" a="1"/>
  <c r="A1194" i="10" s="1"/>
  <c r="C1194" i="10" a="1"/>
  <c r="C1194" i="10" s="1"/>
  <c r="D1194" i="10" s="1"/>
  <c r="K1194" i="10" s="1" a="1"/>
  <c r="K1194" i="10" s="1"/>
  <c r="A1195" i="10" a="1"/>
  <c r="A1195" i="10" s="1"/>
  <c r="C1195" i="10" a="1"/>
  <c r="C1195" i="10" s="1"/>
  <c r="D1195" i="10" s="1"/>
  <c r="K1195" i="10" s="1" a="1"/>
  <c r="K1195" i="10" s="1"/>
  <c r="A1196" i="10" a="1"/>
  <c r="A1196" i="10" s="1"/>
  <c r="C1196" i="10" a="1"/>
  <c r="C1196" i="10" s="1"/>
  <c r="D1196" i="10" s="1"/>
  <c r="K1196" i="10" s="1" a="1"/>
  <c r="K1196" i="10" s="1"/>
  <c r="A1197" i="10" a="1"/>
  <c r="A1197" i="10" s="1"/>
  <c r="C1197" i="10" a="1"/>
  <c r="C1197" i="10" s="1"/>
  <c r="D1197" i="10" s="1"/>
  <c r="K1197" i="10" s="1" a="1"/>
  <c r="K1197" i="10" s="1"/>
  <c r="A1198" i="10" a="1"/>
  <c r="A1198" i="10" s="1"/>
  <c r="C1198" i="10" a="1"/>
  <c r="C1198" i="10" s="1"/>
  <c r="D1198" i="10" s="1"/>
  <c r="K1198" i="10" s="1" a="1"/>
  <c r="K1198" i="10" s="1"/>
  <c r="A1199" i="10" a="1"/>
  <c r="A1199" i="10" s="1"/>
  <c r="C1199" i="10" a="1"/>
  <c r="C1199" i="10" s="1"/>
  <c r="D1199" i="10" s="1"/>
  <c r="K1199" i="10" s="1" a="1"/>
  <c r="K1199" i="10" s="1"/>
  <c r="A1200" i="10" a="1"/>
  <c r="A1200" i="10" s="1"/>
  <c r="C1200" i="10" a="1"/>
  <c r="C1200" i="10" s="1"/>
  <c r="D1200" i="10" s="1"/>
  <c r="K1200" i="10" s="1" a="1"/>
  <c r="K1200" i="10" s="1"/>
  <c r="A1201" i="10" a="1"/>
  <c r="A1201" i="10" s="1"/>
  <c r="C1201" i="10" a="1"/>
  <c r="C1201" i="10" s="1"/>
  <c r="D1201" i="10" s="1"/>
  <c r="K1201" i="10" s="1" a="1"/>
  <c r="K1201" i="10" s="1"/>
  <c r="A1130" i="10" a="1"/>
  <c r="A1130" i="10" s="1"/>
  <c r="C1130" i="10" a="1"/>
  <c r="C1130" i="10" s="1"/>
  <c r="D1130" i="10" s="1"/>
  <c r="K1130" i="10" s="1" a="1"/>
  <c r="K1130" i="10" s="1"/>
  <c r="A1131" i="10" a="1"/>
  <c r="A1131" i="10" s="1"/>
  <c r="C1131" i="10" a="1"/>
  <c r="C1131" i="10" s="1"/>
  <c r="D1131" i="10" s="1"/>
  <c r="K1131" i="10" s="1" a="1"/>
  <c r="K1131" i="10" s="1"/>
  <c r="A1132" i="10" a="1"/>
  <c r="A1132" i="10" s="1"/>
  <c r="C1132" i="10" a="1"/>
  <c r="C1132" i="10" s="1"/>
  <c r="D1132" i="10" s="1"/>
  <c r="K1132" i="10" s="1" a="1"/>
  <c r="K1132" i="10" s="1"/>
  <c r="A1133" i="10" a="1"/>
  <c r="A1133" i="10" s="1"/>
  <c r="C1133" i="10" a="1"/>
  <c r="C1133" i="10" s="1"/>
  <c r="D1133" i="10" s="1"/>
  <c r="K1133" i="10" s="1" a="1"/>
  <c r="K1133" i="10" s="1"/>
  <c r="A1134" i="10" a="1"/>
  <c r="A1134" i="10" s="1"/>
  <c r="C1134" i="10" a="1"/>
  <c r="C1134" i="10" s="1"/>
  <c r="D1134" i="10" s="1"/>
  <c r="K1134" i="10" s="1" a="1"/>
  <c r="K1134" i="10" s="1"/>
  <c r="A1135" i="10" a="1"/>
  <c r="A1135" i="10" s="1"/>
  <c r="C1135" i="10" a="1"/>
  <c r="C1135" i="10" s="1"/>
  <c r="D1135" i="10" s="1"/>
  <c r="K1135" i="10" s="1" a="1"/>
  <c r="K1135" i="10" s="1"/>
  <c r="A1136" i="10" a="1"/>
  <c r="A1136" i="10" s="1"/>
  <c r="C1136" i="10" a="1"/>
  <c r="C1136" i="10" s="1"/>
  <c r="D1136" i="10" s="1"/>
  <c r="K1136" i="10" s="1" a="1"/>
  <c r="K1136" i="10" s="1"/>
  <c r="A1137" i="10" a="1"/>
  <c r="A1137" i="10" s="1"/>
  <c r="C1137" i="10" a="1"/>
  <c r="C1137" i="10" s="1"/>
  <c r="D1137" i="10" s="1"/>
  <c r="K1137" i="10" s="1" a="1"/>
  <c r="K1137" i="10" s="1"/>
  <c r="A1138" i="10" a="1"/>
  <c r="A1138" i="10" s="1"/>
  <c r="C1138" i="10" a="1"/>
  <c r="C1138" i="10" s="1"/>
  <c r="D1138" i="10" s="1"/>
  <c r="K1138" i="10" s="1" a="1"/>
  <c r="K1138" i="10" s="1"/>
  <c r="A1139" i="10" a="1"/>
  <c r="A1139" i="10" s="1"/>
  <c r="C1139" i="10" a="1"/>
  <c r="C1139" i="10" s="1"/>
  <c r="D1139" i="10" s="1"/>
  <c r="K1139" i="10" s="1" a="1"/>
  <c r="K1139" i="10" s="1"/>
  <c r="A1140" i="10" a="1"/>
  <c r="A1140" i="10" s="1"/>
  <c r="C1140" i="10" a="1"/>
  <c r="C1140" i="10" s="1"/>
  <c r="D1140" i="10" s="1"/>
  <c r="K1140" i="10" s="1" a="1"/>
  <c r="K1140" i="10" s="1"/>
  <c r="A1141" i="10" a="1"/>
  <c r="A1141" i="10" s="1"/>
  <c r="C1141" i="10" a="1"/>
  <c r="C1141" i="10" s="1"/>
  <c r="D1141" i="10" s="1"/>
  <c r="K1141" i="10" s="1" a="1"/>
  <c r="K1141" i="10" s="1"/>
  <c r="A1142" i="10" a="1"/>
  <c r="A1142" i="10" s="1"/>
  <c r="C1142" i="10" a="1"/>
  <c r="C1142" i="10" s="1"/>
  <c r="D1142" i="10" s="1"/>
  <c r="K1142" i="10" s="1" a="1"/>
  <c r="K1142" i="10" s="1"/>
  <c r="A1143" i="10" a="1"/>
  <c r="A1143" i="10" s="1"/>
  <c r="C1143" i="10" a="1"/>
  <c r="C1143" i="10" s="1"/>
  <c r="D1143" i="10" s="1"/>
  <c r="K1143" i="10" s="1" a="1"/>
  <c r="K1143" i="10" s="1"/>
  <c r="A1144" i="10" a="1"/>
  <c r="A1144" i="10" s="1"/>
  <c r="C1144" i="10" a="1"/>
  <c r="C1144" i="10" s="1"/>
  <c r="D1144" i="10" s="1"/>
  <c r="K1144" i="10" s="1" a="1"/>
  <c r="K1144" i="10" s="1"/>
  <c r="A1145" i="10" a="1"/>
  <c r="A1145" i="10" s="1"/>
  <c r="C1145" i="10" a="1"/>
  <c r="C1145" i="10" s="1"/>
  <c r="D1145" i="10" s="1"/>
  <c r="K1145" i="10" s="1" a="1"/>
  <c r="K1145" i="10" s="1"/>
  <c r="A1146" i="10" a="1"/>
  <c r="A1146" i="10" s="1"/>
  <c r="C1146" i="10" a="1"/>
  <c r="C1146" i="10" s="1"/>
  <c r="D1146" i="10" s="1"/>
  <c r="K1146" i="10" s="1" a="1"/>
  <c r="K1146" i="10" s="1"/>
  <c r="A1147" i="10" a="1"/>
  <c r="A1147" i="10" s="1"/>
  <c r="C1147" i="10" a="1"/>
  <c r="C1147" i="10" s="1"/>
  <c r="D1147" i="10" s="1"/>
  <c r="K1147" i="10" s="1" a="1"/>
  <c r="K1147" i="10" s="1"/>
  <c r="A1148" i="10" a="1"/>
  <c r="A1148" i="10" s="1"/>
  <c r="C1148" i="10" a="1"/>
  <c r="C1148" i="10" s="1"/>
  <c r="D1148" i="10" s="1"/>
  <c r="K1148" i="10" s="1" a="1"/>
  <c r="K1148" i="10" s="1"/>
  <c r="A1149" i="10" a="1"/>
  <c r="A1149" i="10" s="1"/>
  <c r="C1149" i="10" a="1"/>
  <c r="C1149" i="10" s="1"/>
  <c r="D1149" i="10" s="1"/>
  <c r="K1149" i="10" s="1" a="1"/>
  <c r="K1149" i="10" s="1"/>
  <c r="A1150" i="10" a="1"/>
  <c r="A1150" i="10" s="1"/>
  <c r="C1150" i="10" a="1"/>
  <c r="C1150" i="10" s="1"/>
  <c r="D1150" i="10" s="1"/>
  <c r="K1150" i="10" s="1" a="1"/>
  <c r="K1150" i="10" s="1"/>
  <c r="A1151" i="10" a="1"/>
  <c r="A1151" i="10" s="1"/>
  <c r="C1151" i="10" a="1"/>
  <c r="C1151" i="10" s="1"/>
  <c r="D1151" i="10" s="1"/>
  <c r="K1151" i="10" s="1" a="1"/>
  <c r="K1151" i="10" s="1"/>
  <c r="A1152" i="10" a="1"/>
  <c r="A1152" i="10" s="1"/>
  <c r="C1152" i="10" a="1"/>
  <c r="C1152" i="10" s="1"/>
  <c r="D1152" i="10" s="1"/>
  <c r="K1152" i="10" s="1" a="1"/>
  <c r="K1152" i="10" s="1"/>
  <c r="A1153" i="10" a="1"/>
  <c r="A1153" i="10" s="1"/>
  <c r="C1153" i="10" a="1"/>
  <c r="C1153" i="10" s="1"/>
  <c r="D1153" i="10" s="1"/>
  <c r="K1153" i="10" s="1" a="1"/>
  <c r="K1153" i="10" s="1"/>
  <c r="A1154" i="10" a="1"/>
  <c r="A1154" i="10" s="1"/>
  <c r="C1154" i="10" a="1"/>
  <c r="C1154" i="10" s="1"/>
  <c r="D1154" i="10" s="1"/>
  <c r="K1154" i="10" s="1" a="1"/>
  <c r="K1154" i="10" s="1"/>
  <c r="A1155" i="10" a="1"/>
  <c r="A1155" i="10" s="1"/>
  <c r="C1155" i="10" a="1"/>
  <c r="C1155" i="10" s="1"/>
  <c r="D1155" i="10" s="1"/>
  <c r="K1155" i="10" s="1" a="1"/>
  <c r="K1155" i="10" s="1"/>
  <c r="A1156" i="10" a="1"/>
  <c r="A1156" i="10" s="1"/>
  <c r="C1156" i="10" a="1"/>
  <c r="C1156" i="10" s="1"/>
  <c r="D1156" i="10" s="1"/>
  <c r="K1156" i="10" s="1" a="1"/>
  <c r="K1156" i="10" s="1"/>
  <c r="A1157" i="10" a="1"/>
  <c r="A1157" i="10" s="1"/>
  <c r="C1157" i="10" a="1"/>
  <c r="C1157" i="10" s="1"/>
  <c r="D1157" i="10" s="1"/>
  <c r="K1157" i="10" s="1" a="1"/>
  <c r="K1157" i="10" s="1"/>
  <c r="A1158" i="10" a="1"/>
  <c r="A1158" i="10" s="1"/>
  <c r="C1158" i="10" a="1"/>
  <c r="C1158" i="10" s="1"/>
  <c r="D1158" i="10" s="1"/>
  <c r="K1158" i="10" s="1" a="1"/>
  <c r="K1158" i="10" s="1"/>
  <c r="A1159" i="10" a="1"/>
  <c r="A1159" i="10" s="1"/>
  <c r="C1159" i="10" a="1"/>
  <c r="C1159" i="10" s="1"/>
  <c r="D1159" i="10" s="1"/>
  <c r="K1159" i="10" s="1" a="1"/>
  <c r="K1159" i="10" s="1"/>
  <c r="A1160" i="10" a="1"/>
  <c r="A1160" i="10" s="1"/>
  <c r="C1160" i="10" a="1"/>
  <c r="C1160" i="10" s="1"/>
  <c r="D1160" i="10" s="1"/>
  <c r="K1160" i="10" s="1" a="1"/>
  <c r="K1160" i="10" s="1"/>
  <c r="A1161" i="10" a="1"/>
  <c r="A1161" i="10" s="1"/>
  <c r="C1161" i="10" a="1"/>
  <c r="C1161" i="10" s="1"/>
  <c r="D1161" i="10" s="1"/>
  <c r="K1161" i="10" s="1" a="1"/>
  <c r="K1161" i="10" s="1"/>
  <c r="A1162" i="10" a="1"/>
  <c r="A1162" i="10" s="1"/>
  <c r="C1162" i="10" a="1"/>
  <c r="C1162" i="10" s="1"/>
  <c r="D1162" i="10" s="1"/>
  <c r="K1162" i="10" s="1" a="1"/>
  <c r="K1162" i="10" s="1"/>
  <c r="A1163" i="10" a="1"/>
  <c r="A1163" i="10" s="1"/>
  <c r="C1163" i="10" a="1"/>
  <c r="C1163" i="10" s="1"/>
  <c r="D1163" i="10" s="1"/>
  <c r="K1163" i="10" s="1" a="1"/>
  <c r="K1163" i="10" s="1"/>
  <c r="A1164" i="10" a="1"/>
  <c r="A1164" i="10" s="1"/>
  <c r="C1164" i="10" a="1"/>
  <c r="C1164" i="10" s="1"/>
  <c r="D1164" i="10" s="1"/>
  <c r="K1164" i="10" s="1" a="1"/>
  <c r="K1164" i="10" s="1"/>
  <c r="A1165" i="10" a="1"/>
  <c r="A1165" i="10" s="1"/>
  <c r="C1165" i="10" a="1"/>
  <c r="C1165" i="10" s="1"/>
  <c r="D1165" i="10" s="1"/>
  <c r="K1165" i="10" s="1" a="1"/>
  <c r="K1165" i="10" s="1"/>
  <c r="A1034" i="10" a="1"/>
  <c r="A1034" i="10" s="1"/>
  <c r="C1034" i="10" a="1"/>
  <c r="C1034" i="10" s="1"/>
  <c r="D1034" i="10" s="1"/>
  <c r="K1034" i="10" s="1" a="1"/>
  <c r="K1034" i="10" s="1"/>
  <c r="A1035" i="10" a="1"/>
  <c r="A1035" i="10" s="1"/>
  <c r="C1035" i="10" a="1"/>
  <c r="C1035" i="10" s="1"/>
  <c r="D1035" i="10" s="1"/>
  <c r="K1035" i="10" s="1" a="1"/>
  <c r="K1035" i="10" s="1"/>
  <c r="A1036" i="10" a="1"/>
  <c r="A1036" i="10" s="1"/>
  <c r="H1036" i="10" s="1"/>
  <c r="I1036" i="10" s="1"/>
  <c r="C1036" i="10" a="1"/>
  <c r="C1036" i="10" s="1"/>
  <c r="D1036" i="10" s="1"/>
  <c r="K1036" i="10" s="1" a="1"/>
  <c r="K1036" i="10" s="1"/>
  <c r="A1037" i="10" a="1"/>
  <c r="A1037" i="10" s="1"/>
  <c r="B1037" i="10" s="1"/>
  <c r="C1037" i="10" a="1"/>
  <c r="C1037" i="10" s="1"/>
  <c r="D1037" i="10" s="1"/>
  <c r="K1037" i="10" s="1" a="1"/>
  <c r="K1037" i="10" s="1"/>
  <c r="A1038" i="10" a="1"/>
  <c r="A1038" i="10" s="1"/>
  <c r="B1038" i="10" s="1"/>
  <c r="C1038" i="10" a="1"/>
  <c r="C1038" i="10" s="1"/>
  <c r="D1038" i="10" s="1"/>
  <c r="K1038" i="10" s="1" a="1"/>
  <c r="K1038" i="10" s="1"/>
  <c r="A1039" i="10" a="1"/>
  <c r="A1039" i="10" s="1"/>
  <c r="F1039" i="10" s="1"/>
  <c r="G1039" i="10" s="1"/>
  <c r="C1039" i="10" a="1"/>
  <c r="C1039" i="10" s="1"/>
  <c r="D1039" i="10" s="1"/>
  <c r="K1039" i="10" s="1" a="1"/>
  <c r="K1039" i="10" s="1"/>
  <c r="A1040" i="10" a="1"/>
  <c r="A1040" i="10" s="1"/>
  <c r="B1040" i="10" s="1"/>
  <c r="C1040" i="10" a="1"/>
  <c r="C1040" i="10" s="1"/>
  <c r="D1040" i="10" s="1"/>
  <c r="K1040" i="10" s="1" a="1"/>
  <c r="K1040" i="10" s="1"/>
  <c r="A1041" i="10" a="1"/>
  <c r="A1041" i="10" s="1"/>
  <c r="H1041" i="10" s="1"/>
  <c r="I1041" i="10" s="1"/>
  <c r="C1041" i="10" a="1"/>
  <c r="C1041" i="10" s="1"/>
  <c r="D1041" i="10" s="1"/>
  <c r="K1041" i="10" s="1" a="1"/>
  <c r="K1041" i="10" s="1"/>
  <c r="A1042" i="10" a="1"/>
  <c r="A1042" i="10" s="1"/>
  <c r="B1042" i="10" s="1"/>
  <c r="C1042" i="10" a="1"/>
  <c r="C1042" i="10" s="1"/>
  <c r="D1042" i="10" s="1"/>
  <c r="K1042" i="10" s="1" a="1"/>
  <c r="K1042" i="10" s="1"/>
  <c r="A1043" i="10" a="1"/>
  <c r="A1043" i="10" s="1"/>
  <c r="B1043" i="10" s="1"/>
  <c r="C1043" i="10" a="1"/>
  <c r="C1043" i="10" s="1"/>
  <c r="D1043" i="10" s="1"/>
  <c r="K1043" i="10" s="1" a="1"/>
  <c r="K1043" i="10" s="1"/>
  <c r="A1044" i="10" a="1"/>
  <c r="A1044" i="10" s="1"/>
  <c r="H1044" i="10" s="1"/>
  <c r="I1044" i="10" s="1"/>
  <c r="C1044" i="10" a="1"/>
  <c r="C1044" i="10" s="1"/>
  <c r="D1044" i="10" s="1"/>
  <c r="K1044" i="10" s="1" a="1"/>
  <c r="K1044" i="10" s="1"/>
  <c r="A1045" i="10" a="1"/>
  <c r="A1045" i="10" s="1"/>
  <c r="B1045" i="10" s="1"/>
  <c r="C1045" i="10" a="1"/>
  <c r="C1045" i="10" s="1"/>
  <c r="D1045" i="10" s="1"/>
  <c r="K1045" i="10" s="1" a="1"/>
  <c r="K1045" i="10" s="1"/>
  <c r="A1046" i="10" a="1"/>
  <c r="A1046" i="10" s="1"/>
  <c r="B1046" i="10" s="1"/>
  <c r="C1046" i="10" a="1"/>
  <c r="C1046" i="10" s="1"/>
  <c r="D1046" i="10" s="1"/>
  <c r="K1046" i="10" s="1" a="1"/>
  <c r="K1046" i="10" s="1"/>
  <c r="A1047" i="10" a="1"/>
  <c r="A1047" i="10" s="1"/>
  <c r="H1047" i="10" s="1"/>
  <c r="I1047" i="10" s="1"/>
  <c r="C1047" i="10" a="1"/>
  <c r="C1047" i="10" s="1"/>
  <c r="D1047" i="10" s="1"/>
  <c r="K1047" i="10" s="1" a="1"/>
  <c r="K1047" i="10" s="1"/>
  <c r="A1048" i="10" a="1"/>
  <c r="A1048" i="10" s="1"/>
  <c r="B1048" i="10" s="1"/>
  <c r="C1048" i="10" a="1"/>
  <c r="C1048" i="10" s="1"/>
  <c r="D1048" i="10" s="1"/>
  <c r="K1048" i="10" s="1" a="1"/>
  <c r="K1048" i="10" s="1"/>
  <c r="A1049" i="10" a="1"/>
  <c r="A1049" i="10" s="1"/>
  <c r="B1049" i="10" s="1"/>
  <c r="C1049" i="10" a="1"/>
  <c r="C1049" i="10" s="1"/>
  <c r="D1049" i="10" s="1"/>
  <c r="K1049" i="10" s="1" a="1"/>
  <c r="K1049" i="10" s="1"/>
  <c r="A1050" i="10" a="1"/>
  <c r="A1050" i="10" s="1"/>
  <c r="H1050" i="10" s="1"/>
  <c r="I1050" i="10" s="1"/>
  <c r="C1050" i="10" a="1"/>
  <c r="C1050" i="10" s="1"/>
  <c r="D1050" i="10" s="1"/>
  <c r="K1050" i="10" s="1" a="1"/>
  <c r="K1050" i="10" s="1"/>
  <c r="A1051" i="10" a="1"/>
  <c r="A1051" i="10" s="1"/>
  <c r="B1051" i="10" s="1"/>
  <c r="C1051" i="10" a="1"/>
  <c r="C1051" i="10" s="1"/>
  <c r="D1051" i="10" s="1"/>
  <c r="K1051" i="10" s="1" a="1"/>
  <c r="K1051" i="10" s="1"/>
  <c r="A1052" i="10" a="1"/>
  <c r="A1052" i="10" s="1"/>
  <c r="B1052" i="10" s="1"/>
  <c r="C1052" i="10" a="1"/>
  <c r="C1052" i="10" s="1"/>
  <c r="D1052" i="10" s="1"/>
  <c r="K1052" i="10" s="1" a="1"/>
  <c r="K1052" i="10" s="1"/>
  <c r="A1053" i="10" a="1"/>
  <c r="A1053" i="10" s="1"/>
  <c r="H1053" i="10" s="1"/>
  <c r="I1053" i="10" s="1"/>
  <c r="C1053" i="10" a="1"/>
  <c r="C1053" i="10" s="1"/>
  <c r="D1053" i="10" s="1"/>
  <c r="K1053" i="10" s="1" a="1"/>
  <c r="K1053" i="10" s="1"/>
  <c r="A1054" i="10" a="1"/>
  <c r="A1054" i="10" s="1"/>
  <c r="B1054" i="10" s="1"/>
  <c r="C1054" i="10" a="1"/>
  <c r="C1054" i="10" s="1"/>
  <c r="D1054" i="10" s="1"/>
  <c r="K1054" i="10" s="1" a="1"/>
  <c r="K1054" i="10" s="1"/>
  <c r="A1055" i="10" a="1"/>
  <c r="A1055" i="10" s="1"/>
  <c r="B1055" i="10" s="1"/>
  <c r="C1055" i="10" a="1"/>
  <c r="C1055" i="10" s="1"/>
  <c r="D1055" i="10" s="1"/>
  <c r="K1055" i="10" s="1" a="1"/>
  <c r="K1055" i="10" s="1"/>
  <c r="A1056" i="10" a="1"/>
  <c r="A1056" i="10" s="1"/>
  <c r="H1056" i="10" s="1"/>
  <c r="I1056" i="10" s="1"/>
  <c r="C1056" i="10" a="1"/>
  <c r="C1056" i="10" s="1"/>
  <c r="D1056" i="10" s="1"/>
  <c r="K1056" i="10" s="1" a="1"/>
  <c r="K1056" i="10" s="1"/>
  <c r="A1057" i="10" a="1"/>
  <c r="A1057" i="10" s="1"/>
  <c r="B1057" i="10" s="1"/>
  <c r="C1057" i="10" a="1"/>
  <c r="C1057" i="10" s="1"/>
  <c r="D1057" i="10" s="1"/>
  <c r="K1057" i="10" s="1" a="1"/>
  <c r="K1057" i="10" s="1"/>
  <c r="A1058" i="10" a="1"/>
  <c r="A1058" i="10" s="1"/>
  <c r="B1058" i="10" s="1"/>
  <c r="C1058" i="10" a="1"/>
  <c r="C1058" i="10" s="1"/>
  <c r="D1058" i="10" s="1"/>
  <c r="K1058" i="10" s="1" a="1"/>
  <c r="K1058" i="10" s="1"/>
  <c r="A1059" i="10" a="1"/>
  <c r="A1059" i="10" s="1"/>
  <c r="H1059" i="10" s="1"/>
  <c r="I1059" i="10" s="1"/>
  <c r="C1059" i="10" a="1"/>
  <c r="C1059" i="10" s="1"/>
  <c r="D1059" i="10" s="1"/>
  <c r="K1059" i="10" s="1" a="1"/>
  <c r="K1059" i="10" s="1"/>
  <c r="A1060" i="10" a="1"/>
  <c r="A1060" i="10" s="1"/>
  <c r="B1060" i="10" s="1"/>
  <c r="C1060" i="10" a="1"/>
  <c r="C1060" i="10" s="1"/>
  <c r="D1060" i="10" s="1"/>
  <c r="K1060" i="10" s="1" a="1"/>
  <c r="K1060" i="10" s="1"/>
  <c r="A1061" i="10" a="1"/>
  <c r="A1061" i="10" s="1"/>
  <c r="B1061" i="10" s="1"/>
  <c r="C1061" i="10" a="1"/>
  <c r="C1061" i="10" s="1"/>
  <c r="D1061" i="10" s="1"/>
  <c r="K1061" i="10" s="1" a="1"/>
  <c r="K1061" i="10" s="1"/>
  <c r="A1062" i="10" a="1"/>
  <c r="A1062" i="10" s="1"/>
  <c r="H1062" i="10" s="1"/>
  <c r="I1062" i="10" s="1"/>
  <c r="C1062" i="10" a="1"/>
  <c r="C1062" i="10" s="1"/>
  <c r="D1062" i="10" s="1"/>
  <c r="K1062" i="10" s="1" a="1"/>
  <c r="K1062" i="10" s="1"/>
  <c r="A1063" i="10" a="1"/>
  <c r="A1063" i="10" s="1"/>
  <c r="B1063" i="10" s="1"/>
  <c r="C1063" i="10" a="1"/>
  <c r="C1063" i="10" s="1"/>
  <c r="D1063" i="10" s="1"/>
  <c r="K1063" i="10" s="1" a="1"/>
  <c r="K1063" i="10" s="1"/>
  <c r="A1064" i="10" a="1"/>
  <c r="A1064" i="10" s="1"/>
  <c r="B1064" i="10" s="1"/>
  <c r="C1064" i="10" a="1"/>
  <c r="C1064" i="10" s="1"/>
  <c r="D1064" i="10" s="1"/>
  <c r="K1064" i="10" s="1" a="1"/>
  <c r="K1064" i="10" s="1"/>
  <c r="A1065" i="10" a="1"/>
  <c r="A1065" i="10" s="1"/>
  <c r="H1065" i="10" s="1"/>
  <c r="I1065" i="10" s="1"/>
  <c r="C1065" i="10" a="1"/>
  <c r="C1065" i="10" s="1"/>
  <c r="D1065" i="10" s="1"/>
  <c r="K1065" i="10" s="1" a="1"/>
  <c r="K1065" i="10" s="1"/>
  <c r="A1066" i="10" a="1"/>
  <c r="A1066" i="10" s="1"/>
  <c r="B1066" i="10" s="1"/>
  <c r="C1066" i="10" a="1"/>
  <c r="C1066" i="10" s="1"/>
  <c r="D1066" i="10" s="1"/>
  <c r="K1066" i="10" s="1" a="1"/>
  <c r="K1066" i="10" s="1"/>
  <c r="A1067" i="10" a="1"/>
  <c r="A1067" i="10" s="1"/>
  <c r="B1067" i="10" s="1"/>
  <c r="C1067" i="10" a="1"/>
  <c r="C1067" i="10" s="1"/>
  <c r="D1067" i="10" s="1"/>
  <c r="K1067" i="10" s="1" a="1"/>
  <c r="K1067" i="10" s="1"/>
  <c r="A1068" i="10" a="1"/>
  <c r="A1068" i="10" s="1"/>
  <c r="H1068" i="10" s="1"/>
  <c r="I1068" i="10" s="1"/>
  <c r="C1068" i="10" a="1"/>
  <c r="C1068" i="10" s="1"/>
  <c r="D1068" i="10" s="1"/>
  <c r="K1068" i="10" s="1" a="1"/>
  <c r="K1068" i="10" s="1"/>
  <c r="A1069" i="10" a="1"/>
  <c r="A1069" i="10" s="1"/>
  <c r="B1069" i="10" s="1"/>
  <c r="C1069" i="10" a="1"/>
  <c r="C1069" i="10" s="1"/>
  <c r="D1069" i="10" s="1"/>
  <c r="K1069" i="10" s="1" a="1"/>
  <c r="K1069" i="10" s="1"/>
  <c r="A1070" i="10" a="1"/>
  <c r="A1070" i="10" s="1"/>
  <c r="B1070" i="10" s="1"/>
  <c r="C1070" i="10" a="1"/>
  <c r="C1070" i="10" s="1"/>
  <c r="D1070" i="10" s="1"/>
  <c r="K1070" i="10" s="1" a="1"/>
  <c r="K1070" i="10" s="1"/>
  <c r="A1071" i="10" a="1"/>
  <c r="A1071" i="10" s="1"/>
  <c r="H1071" i="10" s="1"/>
  <c r="I1071" i="10" s="1"/>
  <c r="C1071" i="10" a="1"/>
  <c r="C1071" i="10" s="1"/>
  <c r="D1071" i="10" s="1"/>
  <c r="K1071" i="10" s="1" a="1"/>
  <c r="K1071" i="10" s="1"/>
  <c r="A1072" i="10" a="1"/>
  <c r="A1072" i="10" s="1"/>
  <c r="B1072" i="10" s="1"/>
  <c r="C1072" i="10" a="1"/>
  <c r="C1072" i="10" s="1"/>
  <c r="D1072" i="10" s="1"/>
  <c r="K1072" i="10" s="1" a="1"/>
  <c r="K1072" i="10" s="1"/>
  <c r="A1073" i="10" a="1"/>
  <c r="A1073" i="10" s="1"/>
  <c r="B1073" i="10" s="1"/>
  <c r="C1073" i="10" a="1"/>
  <c r="C1073" i="10" s="1"/>
  <c r="D1073" i="10" s="1"/>
  <c r="K1073" i="10" s="1" a="1"/>
  <c r="K1073" i="10" s="1"/>
  <c r="A1074" i="10" a="1"/>
  <c r="A1074" i="10" s="1"/>
  <c r="H1074" i="10" s="1"/>
  <c r="I1074" i="10" s="1"/>
  <c r="C1074" i="10" a="1"/>
  <c r="C1074" i="10" s="1"/>
  <c r="D1074" i="10" s="1"/>
  <c r="K1074" i="10" s="1" a="1"/>
  <c r="K1074" i="10" s="1"/>
  <c r="A1075" i="10" a="1"/>
  <c r="A1075" i="10" s="1"/>
  <c r="B1075" i="10" s="1"/>
  <c r="C1075" i="10" a="1"/>
  <c r="C1075" i="10" s="1"/>
  <c r="D1075" i="10" s="1"/>
  <c r="K1075" i="10" s="1" a="1"/>
  <c r="K1075" i="10" s="1"/>
  <c r="A1076" i="10" a="1"/>
  <c r="A1076" i="10" s="1"/>
  <c r="C1076" i="10" a="1"/>
  <c r="C1076" i="10" s="1"/>
  <c r="D1076" i="10" s="1"/>
  <c r="K1076" i="10" s="1" a="1"/>
  <c r="K1076" i="10" s="1"/>
  <c r="A1077" i="10" a="1"/>
  <c r="A1077" i="10" s="1"/>
  <c r="H1077" i="10" s="1"/>
  <c r="I1077" i="10" s="1"/>
  <c r="C1077" i="10" a="1"/>
  <c r="C1077" i="10" s="1"/>
  <c r="D1077" i="10" s="1"/>
  <c r="K1077" i="10" s="1" a="1"/>
  <c r="K1077" i="10" s="1"/>
  <c r="A1078" i="10" a="1"/>
  <c r="A1078" i="10" s="1"/>
  <c r="C1078" i="10" a="1"/>
  <c r="C1078" i="10" s="1"/>
  <c r="D1078" i="10" s="1"/>
  <c r="K1078" i="10" s="1" a="1"/>
  <c r="K1078" i="10" s="1"/>
  <c r="A1079" i="10" a="1"/>
  <c r="A1079" i="10" s="1"/>
  <c r="C1079" i="10" a="1"/>
  <c r="C1079" i="10" s="1"/>
  <c r="D1079" i="10" s="1"/>
  <c r="K1079" i="10" s="1" a="1"/>
  <c r="K1079" i="10" s="1"/>
  <c r="A1080" i="10" a="1"/>
  <c r="A1080" i="10" s="1"/>
  <c r="H1080" i="10" s="1"/>
  <c r="I1080" i="10" s="1"/>
  <c r="C1080" i="10" a="1"/>
  <c r="C1080" i="10" s="1"/>
  <c r="D1080" i="10" s="1"/>
  <c r="K1080" i="10" s="1" a="1"/>
  <c r="K1080" i="10" s="1"/>
  <c r="A1081" i="10" a="1"/>
  <c r="A1081" i="10" s="1"/>
  <c r="C1081" i="10" a="1"/>
  <c r="C1081" i="10" s="1"/>
  <c r="D1081" i="10" s="1"/>
  <c r="K1081" i="10" s="1" a="1"/>
  <c r="K1081" i="10" s="1"/>
  <c r="A1082" i="10" a="1"/>
  <c r="A1082" i="10" s="1"/>
  <c r="C1082" i="10" a="1"/>
  <c r="C1082" i="10" s="1"/>
  <c r="D1082" i="10" s="1"/>
  <c r="K1082" i="10" s="1" a="1"/>
  <c r="K1082" i="10" s="1"/>
  <c r="A1083" i="10" a="1"/>
  <c r="A1083" i="10" s="1"/>
  <c r="H1083" i="10" s="1"/>
  <c r="I1083" i="10" s="1"/>
  <c r="C1083" i="10" a="1"/>
  <c r="C1083" i="10" s="1"/>
  <c r="D1083" i="10" s="1"/>
  <c r="K1083" i="10" s="1" a="1"/>
  <c r="K1083" i="10" s="1"/>
  <c r="A1084" i="10" a="1"/>
  <c r="A1084" i="10" s="1"/>
  <c r="C1084" i="10" a="1"/>
  <c r="C1084" i="10"/>
  <c r="D1084" i="10" s="1"/>
  <c r="K1084" i="10" s="1" a="1"/>
  <c r="K1084" i="10" s="1"/>
  <c r="A1085" i="10" a="1"/>
  <c r="A1085" i="10" s="1"/>
  <c r="C1085" i="10" a="1"/>
  <c r="C1085" i="10" s="1"/>
  <c r="D1085" i="10" s="1"/>
  <c r="K1085" i="10" s="1" a="1"/>
  <c r="K1085" i="10" s="1"/>
  <c r="A1086" i="10" a="1"/>
  <c r="A1086" i="10" s="1"/>
  <c r="F1086" i="10" s="1"/>
  <c r="G1086" i="10" s="1"/>
  <c r="C1086" i="10" a="1"/>
  <c r="C1086" i="10" s="1"/>
  <c r="D1086" i="10" s="1"/>
  <c r="K1086" i="10" s="1" a="1"/>
  <c r="K1086" i="10" s="1"/>
  <c r="A1087" i="10" a="1"/>
  <c r="A1087" i="10" s="1"/>
  <c r="C1087" i="10" a="1"/>
  <c r="C1087" i="10" s="1"/>
  <c r="D1087" i="10" s="1"/>
  <c r="K1087" i="10" s="1" a="1"/>
  <c r="K1087" i="10" s="1"/>
  <c r="A1088" i="10" a="1"/>
  <c r="A1088" i="10" s="1"/>
  <c r="F1088" i="10" s="1"/>
  <c r="G1088" i="10" s="1"/>
  <c r="C1088" i="10" a="1"/>
  <c r="C1088" i="10" s="1"/>
  <c r="D1088" i="10" s="1"/>
  <c r="K1088" i="10" s="1" a="1"/>
  <c r="K1088" i="10" s="1"/>
  <c r="A1089" i="10" a="1"/>
  <c r="A1089" i="10" s="1"/>
  <c r="F1089" i="10" s="1"/>
  <c r="G1089" i="10" s="1"/>
  <c r="C1089" i="10" a="1"/>
  <c r="C1089" i="10" s="1"/>
  <c r="D1089" i="10" s="1"/>
  <c r="K1089" i="10" s="1" a="1"/>
  <c r="K1089" i="10" s="1"/>
  <c r="A1090" i="10" a="1"/>
  <c r="A1090" i="10" s="1"/>
  <c r="C1090" i="10" a="1"/>
  <c r="C1090" i="10" s="1"/>
  <c r="D1090" i="10" s="1"/>
  <c r="K1090" i="10" s="1" a="1"/>
  <c r="K1090" i="10" s="1"/>
  <c r="A1091" i="10" a="1"/>
  <c r="A1091" i="10" s="1"/>
  <c r="F1091" i="10" s="1"/>
  <c r="G1091" i="10" s="1"/>
  <c r="C1091" i="10" a="1"/>
  <c r="C1091" i="10" s="1"/>
  <c r="D1091" i="10" s="1"/>
  <c r="K1091" i="10" s="1" a="1"/>
  <c r="K1091" i="10" s="1"/>
  <c r="A1092" i="10" a="1"/>
  <c r="A1092" i="10" s="1"/>
  <c r="C1092" i="10" a="1"/>
  <c r="C1092" i="10" s="1"/>
  <c r="D1092" i="10" s="1"/>
  <c r="K1092" i="10" s="1" a="1"/>
  <c r="K1092" i="10" s="1"/>
  <c r="A1093" i="10" a="1"/>
  <c r="A1093" i="10" s="1"/>
  <c r="C1093" i="10" a="1"/>
  <c r="C1093" i="10" s="1"/>
  <c r="D1093" i="10" s="1"/>
  <c r="K1093" i="10" s="1" a="1"/>
  <c r="K1093" i="10" s="1"/>
  <c r="A1094" i="10" a="1"/>
  <c r="A1094" i="10" s="1"/>
  <c r="F1094" i="10" s="1"/>
  <c r="G1094" i="10" s="1"/>
  <c r="C1094" i="10" a="1"/>
  <c r="C1094" i="10" s="1"/>
  <c r="D1094" i="10" s="1"/>
  <c r="K1094" i="10" s="1" a="1"/>
  <c r="K1094" i="10" s="1"/>
  <c r="A1095" i="10" a="1"/>
  <c r="A1095" i="10" s="1"/>
  <c r="C1095" i="10" a="1"/>
  <c r="C1095" i="10" s="1"/>
  <c r="D1095" i="10" s="1"/>
  <c r="K1095" i="10" s="1" a="1"/>
  <c r="K1095" i="10" s="1"/>
  <c r="A1096" i="10" a="1"/>
  <c r="A1096" i="10" s="1"/>
  <c r="F1096" i="10" s="1"/>
  <c r="G1096" i="10" s="1"/>
  <c r="C1096" i="10" a="1"/>
  <c r="C1096" i="10" s="1"/>
  <c r="D1096" i="10" s="1"/>
  <c r="K1096" i="10" s="1" a="1"/>
  <c r="K1096" i="10" s="1"/>
  <c r="A1097" i="10" a="1"/>
  <c r="A1097" i="10" s="1"/>
  <c r="F1097" i="10" s="1"/>
  <c r="G1097" i="10" s="1"/>
  <c r="C1097" i="10" a="1"/>
  <c r="C1097" i="10" s="1"/>
  <c r="D1097" i="10" s="1"/>
  <c r="K1097" i="10" s="1" a="1"/>
  <c r="K1097" i="10" s="1"/>
  <c r="A1098" i="10" a="1"/>
  <c r="A1098" i="10" s="1"/>
  <c r="C1098" i="10" a="1"/>
  <c r="C1098" i="10" s="1"/>
  <c r="D1098" i="10" s="1"/>
  <c r="K1098" i="10" s="1" a="1"/>
  <c r="K1098" i="10" s="1"/>
  <c r="A1099" i="10" a="1"/>
  <c r="A1099" i="10" s="1"/>
  <c r="F1099" i="10" s="1"/>
  <c r="G1099" i="10" s="1"/>
  <c r="C1099" i="10" a="1"/>
  <c r="C1099" i="10" s="1"/>
  <c r="D1099" i="10" s="1"/>
  <c r="K1099" i="10" s="1" a="1"/>
  <c r="K1099" i="10" s="1"/>
  <c r="A1100" i="10" a="1"/>
  <c r="A1100" i="10" s="1"/>
  <c r="F1100" i="10" s="1"/>
  <c r="G1100" i="10" s="1"/>
  <c r="C1100" i="10" a="1"/>
  <c r="C1100" i="10" s="1"/>
  <c r="D1100" i="10" s="1"/>
  <c r="K1100" i="10" s="1" a="1"/>
  <c r="K1100" i="10" s="1"/>
  <c r="A1101" i="10" a="1"/>
  <c r="A1101" i="10" s="1"/>
  <c r="C1101" i="10" a="1"/>
  <c r="C1101" i="10" s="1"/>
  <c r="D1101" i="10" s="1"/>
  <c r="K1101" i="10" s="1" a="1"/>
  <c r="K1101" i="10" s="1"/>
  <c r="A1102" i="10" a="1"/>
  <c r="A1102" i="10" s="1"/>
  <c r="F1102" i="10" s="1"/>
  <c r="G1102" i="10" s="1"/>
  <c r="C1102" i="10" a="1"/>
  <c r="C1102" i="10" s="1"/>
  <c r="D1102" i="10" s="1"/>
  <c r="K1102" i="10" s="1" a="1"/>
  <c r="K1102" i="10" s="1"/>
  <c r="A1103" i="10" a="1"/>
  <c r="A1103" i="10" s="1"/>
  <c r="F1103" i="10" s="1"/>
  <c r="G1103" i="10" s="1"/>
  <c r="C1103" i="10" a="1"/>
  <c r="C1103" i="10" s="1"/>
  <c r="D1103" i="10" s="1"/>
  <c r="K1103" i="10" s="1" a="1"/>
  <c r="K1103" i="10" s="1"/>
  <c r="A1104" i="10" a="1"/>
  <c r="A1104" i="10" s="1"/>
  <c r="C1104" i="10" a="1"/>
  <c r="C1104" i="10" s="1"/>
  <c r="D1104" i="10" s="1"/>
  <c r="K1104" i="10" s="1" a="1"/>
  <c r="K1104" i="10" s="1"/>
  <c r="A1105" i="10" a="1"/>
  <c r="A1105" i="10" s="1"/>
  <c r="F1105" i="10" s="1"/>
  <c r="G1105" i="10" s="1"/>
  <c r="C1105" i="10" a="1"/>
  <c r="C1105" i="10" s="1"/>
  <c r="D1105" i="10" s="1"/>
  <c r="K1105" i="10" s="1" a="1"/>
  <c r="K1105" i="10" s="1"/>
  <c r="A1106" i="10" a="1"/>
  <c r="A1106" i="10" s="1"/>
  <c r="F1106" i="10" s="1"/>
  <c r="G1106" i="10" s="1"/>
  <c r="C1106" i="10" a="1"/>
  <c r="C1106" i="10" s="1"/>
  <c r="D1106" i="10" s="1"/>
  <c r="K1106" i="10" s="1" a="1"/>
  <c r="K1106" i="10" s="1"/>
  <c r="A1107" i="10" a="1"/>
  <c r="A1107" i="10" s="1"/>
  <c r="C1107" i="10" a="1"/>
  <c r="C1107" i="10" s="1"/>
  <c r="D1107" i="10" s="1"/>
  <c r="K1107" i="10" s="1" a="1"/>
  <c r="K1107" i="10" s="1"/>
  <c r="A1108" i="10" a="1"/>
  <c r="A1108" i="10" s="1"/>
  <c r="B1108" i="10" s="1"/>
  <c r="C1108" i="10" a="1"/>
  <c r="C1108" i="10" s="1"/>
  <c r="D1108" i="10" s="1"/>
  <c r="K1108" i="10" s="1" a="1"/>
  <c r="K1108" i="10" s="1"/>
  <c r="A1109" i="10" a="1"/>
  <c r="A1109" i="10" s="1"/>
  <c r="F1109" i="10" s="1"/>
  <c r="G1109" i="10" s="1"/>
  <c r="C1109" i="10" a="1"/>
  <c r="C1109" i="10" s="1"/>
  <c r="D1109" i="10" s="1"/>
  <c r="K1109" i="10" s="1" a="1"/>
  <c r="K1109" i="10" s="1"/>
  <c r="A1110" i="10" a="1"/>
  <c r="A1110" i="10" s="1"/>
  <c r="B1110" i="10" s="1"/>
  <c r="C1110" i="10" a="1"/>
  <c r="C1110" i="10" s="1"/>
  <c r="D1110" i="10" s="1"/>
  <c r="K1110" i="10" s="1" a="1"/>
  <c r="K1110" i="10" s="1"/>
  <c r="A1111" i="10" a="1"/>
  <c r="A1111" i="10" s="1"/>
  <c r="C1111" i="10" a="1"/>
  <c r="C1111" i="10" s="1"/>
  <c r="D1111" i="10" s="1"/>
  <c r="K1111" i="10" s="1" a="1"/>
  <c r="K1111" i="10" s="1"/>
  <c r="A1112" i="10" a="1"/>
  <c r="A1112" i="10" s="1"/>
  <c r="F1112" i="10" s="1"/>
  <c r="G1112" i="10" s="1"/>
  <c r="C1112" i="10" a="1"/>
  <c r="C1112" i="10" s="1"/>
  <c r="D1112" i="10" s="1"/>
  <c r="K1112" i="10" s="1" a="1"/>
  <c r="K1112" i="10" s="1"/>
  <c r="A1113" i="10" a="1"/>
  <c r="A1113" i="10" s="1"/>
  <c r="H1113" i="10" s="1"/>
  <c r="I1113" i="10" s="1"/>
  <c r="C1113" i="10" a="1"/>
  <c r="C1113" i="10" s="1"/>
  <c r="D1113" i="10" s="1"/>
  <c r="K1113" i="10" s="1" a="1"/>
  <c r="K1113" i="10" s="1"/>
  <c r="A1114" i="10" a="1"/>
  <c r="A1114" i="10" s="1"/>
  <c r="F1114" i="10" s="1"/>
  <c r="G1114" i="10" s="1"/>
  <c r="C1114" i="10" a="1"/>
  <c r="C1114" i="10" s="1"/>
  <c r="D1114" i="10" s="1"/>
  <c r="K1114" i="10" s="1" a="1"/>
  <c r="K1114" i="10" s="1"/>
  <c r="A1115" i="10" a="1"/>
  <c r="A1115" i="10" s="1"/>
  <c r="H1115" i="10" s="1"/>
  <c r="I1115" i="10" s="1"/>
  <c r="C1115" i="10" a="1"/>
  <c r="C1115" i="10" s="1"/>
  <c r="D1115" i="10" s="1"/>
  <c r="K1115" i="10" s="1" a="1"/>
  <c r="K1115" i="10" s="1"/>
  <c r="A1116" i="10" a="1"/>
  <c r="A1116" i="10" s="1"/>
  <c r="C1116" i="10" a="1"/>
  <c r="C1116" i="10" s="1"/>
  <c r="D1116" i="10" s="1"/>
  <c r="K1116" i="10" s="1" a="1"/>
  <c r="K1116" i="10" s="1"/>
  <c r="A1117" i="10" a="1"/>
  <c r="A1117" i="10" s="1"/>
  <c r="C1117" i="10" a="1"/>
  <c r="C1117" i="10" s="1"/>
  <c r="D1117" i="10" s="1"/>
  <c r="K1117" i="10" s="1" a="1"/>
  <c r="K1117" i="10" s="1"/>
  <c r="A1118" i="10" a="1"/>
  <c r="A1118" i="10" s="1"/>
  <c r="B1118" i="10" s="1"/>
  <c r="C1118" i="10" a="1"/>
  <c r="C1118" i="10" s="1"/>
  <c r="D1118" i="10" s="1"/>
  <c r="K1118" i="10" s="1" a="1"/>
  <c r="K1118" i="10" s="1"/>
  <c r="A1119" i="10" a="1"/>
  <c r="A1119" i="10" s="1"/>
  <c r="H1119" i="10" s="1"/>
  <c r="I1119" i="10" s="1"/>
  <c r="C1119" i="10" a="1"/>
  <c r="C1119" i="10" s="1"/>
  <c r="D1119" i="10" s="1"/>
  <c r="K1119" i="10" s="1" a="1"/>
  <c r="K1119" i="10" s="1"/>
  <c r="A1120" i="10" a="1"/>
  <c r="A1120" i="10" s="1"/>
  <c r="H1120" i="10" s="1"/>
  <c r="I1120" i="10" s="1"/>
  <c r="C1120" i="10" a="1"/>
  <c r="C1120" i="10" s="1"/>
  <c r="D1120" i="10" s="1"/>
  <c r="K1120" i="10" s="1" a="1"/>
  <c r="K1120" i="10" s="1"/>
  <c r="A1121" i="10" a="1"/>
  <c r="A1121" i="10" s="1"/>
  <c r="H1121" i="10" s="1"/>
  <c r="I1121" i="10" s="1"/>
  <c r="C1121" i="10" a="1"/>
  <c r="C1121" i="10" s="1"/>
  <c r="D1121" i="10" s="1"/>
  <c r="K1121" i="10" s="1" a="1"/>
  <c r="K1121" i="10" s="1"/>
  <c r="A1122" i="10" a="1"/>
  <c r="A1122" i="10" s="1"/>
  <c r="H1122" i="10" s="1"/>
  <c r="I1122" i="10" s="1"/>
  <c r="C1122" i="10" a="1"/>
  <c r="C1122" i="10" s="1"/>
  <c r="D1122" i="10" s="1"/>
  <c r="K1122" i="10" s="1" a="1"/>
  <c r="K1122" i="10" s="1"/>
  <c r="A1123" i="10" a="1"/>
  <c r="A1123" i="10" s="1"/>
  <c r="H1123" i="10" s="1"/>
  <c r="I1123" i="10" s="1"/>
  <c r="C1123" i="10" a="1"/>
  <c r="C1123" i="10" s="1"/>
  <c r="D1123" i="10" s="1"/>
  <c r="K1123" i="10" s="1" a="1"/>
  <c r="K1123" i="10" s="1"/>
  <c r="A1124" i="10" a="1"/>
  <c r="A1124" i="10" s="1"/>
  <c r="C1124" i="10" a="1"/>
  <c r="C1124" i="10" s="1"/>
  <c r="D1124" i="10" s="1"/>
  <c r="K1124" i="10" s="1" a="1"/>
  <c r="K1124" i="10" s="1"/>
  <c r="A1125" i="10" a="1"/>
  <c r="A1125" i="10" s="1"/>
  <c r="H1125" i="10" s="1"/>
  <c r="I1125" i="10" s="1"/>
  <c r="C1125" i="10" a="1"/>
  <c r="C1125" i="10" s="1"/>
  <c r="D1125" i="10" s="1"/>
  <c r="K1125" i="10" s="1" a="1"/>
  <c r="K1125" i="10" s="1"/>
  <c r="A1126" i="10" a="1"/>
  <c r="A1126" i="10" s="1"/>
  <c r="H1126" i="10" s="1"/>
  <c r="I1126" i="10" s="1"/>
  <c r="C1126" i="10" a="1"/>
  <c r="C1126" i="10" s="1"/>
  <c r="D1126" i="10" s="1"/>
  <c r="K1126" i="10" s="1" a="1"/>
  <c r="K1126" i="10" s="1"/>
  <c r="A1127" i="10" a="1"/>
  <c r="A1127" i="10" s="1"/>
  <c r="H1127" i="10" s="1"/>
  <c r="I1127" i="10" s="1"/>
  <c r="C1127" i="10" a="1"/>
  <c r="C1127" i="10" s="1"/>
  <c r="D1127" i="10" s="1"/>
  <c r="K1127" i="10" s="1" a="1"/>
  <c r="K1127" i="10" s="1"/>
  <c r="A1128" i="10" a="1"/>
  <c r="A1128" i="10" s="1"/>
  <c r="H1128" i="10" s="1"/>
  <c r="I1128" i="10" s="1"/>
  <c r="C1128" i="10" a="1"/>
  <c r="C1128" i="10" s="1"/>
  <c r="D1128" i="10" s="1"/>
  <c r="K1128" i="10" s="1" a="1"/>
  <c r="K1128" i="10" s="1"/>
  <c r="A1129" i="10" a="1"/>
  <c r="A1129" i="10" s="1"/>
  <c r="H1129" i="10" s="1"/>
  <c r="I1129" i="10" s="1"/>
  <c r="C1129" i="10" a="1"/>
  <c r="C1129" i="10" s="1"/>
  <c r="D1129" i="10" s="1"/>
  <c r="K1129" i="10" s="1" a="1"/>
  <c r="K1129" i="10" s="1"/>
  <c r="A962" i="10" a="1"/>
  <c r="A962" i="10" s="1"/>
  <c r="C962" i="10" a="1"/>
  <c r="C962" i="10" s="1"/>
  <c r="D962" i="10" s="1"/>
  <c r="K962" i="10" s="1" a="1"/>
  <c r="K962" i="10" s="1"/>
  <c r="A963" i="10" a="1"/>
  <c r="A963" i="10" s="1"/>
  <c r="H963" i="10" s="1"/>
  <c r="I963" i="10" s="1"/>
  <c r="C963" i="10" a="1"/>
  <c r="C963" i="10" s="1"/>
  <c r="D963" i="10" s="1"/>
  <c r="K963" i="10" s="1" a="1"/>
  <c r="K963" i="10" s="1"/>
  <c r="A964" i="10" a="1"/>
  <c r="A964" i="10" s="1"/>
  <c r="B964" i="10" s="1"/>
  <c r="C964" i="10" a="1"/>
  <c r="C964" i="10" s="1"/>
  <c r="D964" i="10" s="1"/>
  <c r="B82" i="17" s="1"/>
  <c r="A965" i="10" a="1"/>
  <c r="A965" i="10" s="1"/>
  <c r="B965" i="10" s="1"/>
  <c r="C965" i="10" a="1"/>
  <c r="C965" i="10" s="1"/>
  <c r="D965" i="10" s="1"/>
  <c r="K965" i="10" s="1" a="1"/>
  <c r="K965" i="10" s="1"/>
  <c r="A966" i="10" a="1"/>
  <c r="A966" i="10" s="1"/>
  <c r="B966" i="10" s="1"/>
  <c r="C966" i="10" a="1"/>
  <c r="C966" i="10" s="1"/>
  <c r="D966" i="10" s="1"/>
  <c r="K966" i="10" s="1" a="1"/>
  <c r="K966" i="10" s="1"/>
  <c r="A967" i="10" a="1"/>
  <c r="A967" i="10" s="1"/>
  <c r="C967" i="10" a="1"/>
  <c r="C967" i="10" s="1"/>
  <c r="D967" i="10" s="1"/>
  <c r="K967" i="10" s="1" a="1"/>
  <c r="K967" i="10" s="1"/>
  <c r="A968" i="10" a="1"/>
  <c r="A968" i="10" s="1"/>
  <c r="F968" i="10" s="1"/>
  <c r="G968" i="10" s="1"/>
  <c r="C968" i="10" a="1"/>
  <c r="C968" i="10" s="1"/>
  <c r="D968" i="10" s="1"/>
  <c r="K968" i="10" s="1" a="1"/>
  <c r="K968" i="10" s="1"/>
  <c r="A969" i="10" a="1"/>
  <c r="A969" i="10" s="1"/>
  <c r="B969" i="10" s="1"/>
  <c r="C969" i="10" a="1"/>
  <c r="C969" i="10" s="1"/>
  <c r="D969" i="10" s="1"/>
  <c r="K969" i="10" s="1" a="1"/>
  <c r="K969" i="10" s="1"/>
  <c r="A970" i="10" a="1"/>
  <c r="A970" i="10" s="1"/>
  <c r="B970" i="10" s="1"/>
  <c r="C970" i="10" a="1"/>
  <c r="C970" i="10" s="1"/>
  <c r="D970" i="10" s="1"/>
  <c r="K970" i="10" s="1" a="1"/>
  <c r="K970" i="10" s="1"/>
  <c r="A971" i="10" a="1"/>
  <c r="A971" i="10" s="1"/>
  <c r="B971" i="10" s="1"/>
  <c r="C971" i="10" a="1"/>
  <c r="C971" i="10" s="1"/>
  <c r="D971" i="10" s="1"/>
  <c r="K971" i="10" s="1" a="1"/>
  <c r="K971" i="10" s="1"/>
  <c r="A972" i="10" a="1"/>
  <c r="A972" i="10" s="1"/>
  <c r="C972" i="10" a="1"/>
  <c r="C972" i="10" s="1"/>
  <c r="D972" i="10" s="1"/>
  <c r="K972" i="10" s="1" a="1"/>
  <c r="K972" i="10" s="1"/>
  <c r="A973" i="10" a="1"/>
  <c r="A973" i="10" s="1"/>
  <c r="C973" i="10" a="1"/>
  <c r="C973" i="10" s="1"/>
  <c r="D973" i="10" s="1"/>
  <c r="K973" i="10" s="1" a="1"/>
  <c r="K973" i="10" s="1"/>
  <c r="A974" i="10" a="1"/>
  <c r="A974" i="10" s="1"/>
  <c r="C974" i="10" a="1"/>
  <c r="C974" i="10" s="1"/>
  <c r="D974" i="10" s="1"/>
  <c r="K974" i="10" s="1" a="1"/>
  <c r="K974" i="10" s="1"/>
  <c r="A975" i="10" a="1"/>
  <c r="A975" i="10" s="1"/>
  <c r="C975" i="10" a="1"/>
  <c r="C975" i="10" s="1"/>
  <c r="D975" i="10" s="1"/>
  <c r="K975" i="10" s="1" a="1"/>
  <c r="K975" i="10" s="1"/>
  <c r="A976" i="10" a="1"/>
  <c r="A976" i="10" s="1"/>
  <c r="C976" i="10" a="1"/>
  <c r="C976" i="10" s="1"/>
  <c r="D976" i="10" s="1"/>
  <c r="A977" i="10" a="1"/>
  <c r="A977" i="10" s="1"/>
  <c r="B977" i="10" s="1"/>
  <c r="C977" i="10" a="1"/>
  <c r="C977" i="10" s="1"/>
  <c r="D977" i="10" s="1"/>
  <c r="K977" i="10" s="1" a="1"/>
  <c r="K977" i="10" s="1"/>
  <c r="A978" i="10" a="1"/>
  <c r="A978" i="10" s="1"/>
  <c r="C978" i="10" a="1"/>
  <c r="C978" i="10" s="1"/>
  <c r="D978" i="10" s="1"/>
  <c r="K978" i="10" s="1" a="1"/>
  <c r="K978" i="10" s="1"/>
  <c r="A979" i="10" a="1"/>
  <c r="A979" i="10" s="1"/>
  <c r="C979" i="10" a="1"/>
  <c r="C979" i="10" s="1"/>
  <c r="D979" i="10" s="1"/>
  <c r="K979" i="10" s="1" a="1"/>
  <c r="K979" i="10" s="1"/>
  <c r="A980" i="10" a="1"/>
  <c r="A980" i="10" s="1"/>
  <c r="C980" i="10" a="1"/>
  <c r="C980" i="10" s="1"/>
  <c r="D980" i="10" s="1"/>
  <c r="K980" i="10" s="1" a="1"/>
  <c r="K980" i="10" s="1"/>
  <c r="A981" i="10" a="1"/>
  <c r="A981" i="10" s="1"/>
  <c r="C981" i="10" a="1"/>
  <c r="C981" i="10" s="1"/>
  <c r="D981" i="10" s="1"/>
  <c r="K981" i="10" s="1" a="1"/>
  <c r="K981" i="10" s="1"/>
  <c r="A982" i="10" a="1"/>
  <c r="A982" i="10" s="1"/>
  <c r="C982" i="10" a="1"/>
  <c r="C982" i="10" s="1"/>
  <c r="D982" i="10" s="1"/>
  <c r="K982" i="10" s="1" a="1"/>
  <c r="K982" i="10" s="1"/>
  <c r="A983" i="10" a="1"/>
  <c r="A983" i="10" s="1"/>
  <c r="H983" i="10" s="1"/>
  <c r="I983" i="10" s="1"/>
  <c r="C983" i="10" a="1"/>
  <c r="C983" i="10" s="1"/>
  <c r="D983" i="10" s="1"/>
  <c r="K983" i="10" s="1" a="1"/>
  <c r="K983" i="10" s="1"/>
  <c r="A984" i="10" a="1"/>
  <c r="A984" i="10" s="1"/>
  <c r="C984" i="10" a="1"/>
  <c r="C984" i="10" s="1"/>
  <c r="D984" i="10" s="1"/>
  <c r="K984" i="10" s="1" a="1"/>
  <c r="K984" i="10" s="1"/>
  <c r="A985" i="10" a="1"/>
  <c r="A985" i="10" s="1"/>
  <c r="C985" i="10" a="1"/>
  <c r="C985" i="10" s="1"/>
  <c r="D985" i="10" s="1"/>
  <c r="K985" i="10" s="1" a="1"/>
  <c r="K985" i="10" s="1"/>
  <c r="A986" i="10" a="1"/>
  <c r="A986" i="10" s="1"/>
  <c r="C986" i="10" a="1"/>
  <c r="C986" i="10" s="1"/>
  <c r="D986" i="10" s="1"/>
  <c r="K986" i="10" s="1" a="1"/>
  <c r="K986" i="10" s="1"/>
  <c r="A987" i="10" a="1"/>
  <c r="A987" i="10" s="1"/>
  <c r="C987" i="10" a="1"/>
  <c r="C987" i="10" s="1"/>
  <c r="D987" i="10" s="1"/>
  <c r="K987" i="10" s="1" a="1"/>
  <c r="K987" i="10" s="1"/>
  <c r="A988" i="10" a="1"/>
  <c r="A988" i="10" s="1"/>
  <c r="H988" i="10" s="1"/>
  <c r="I988" i="10" s="1"/>
  <c r="C988" i="10" a="1"/>
  <c r="C988" i="10" s="1"/>
  <c r="D988" i="10" s="1"/>
  <c r="A989" i="10" a="1"/>
  <c r="A989" i="10" s="1"/>
  <c r="H989" i="10" s="1"/>
  <c r="I989" i="10" s="1"/>
  <c r="C989" i="10" a="1"/>
  <c r="C989" i="10" s="1"/>
  <c r="D989" i="10" s="1"/>
  <c r="K989" i="10" s="1" a="1"/>
  <c r="K989" i="10" s="1"/>
  <c r="A990" i="10" a="1"/>
  <c r="A990" i="10" s="1"/>
  <c r="C990" i="10" a="1"/>
  <c r="C990" i="10" s="1"/>
  <c r="D990" i="10" s="1"/>
  <c r="K990" i="10" s="1" a="1"/>
  <c r="K990" i="10" s="1"/>
  <c r="A991" i="10" a="1"/>
  <c r="A991" i="10" s="1"/>
  <c r="C991" i="10" a="1"/>
  <c r="C991" i="10" s="1"/>
  <c r="D991" i="10" s="1"/>
  <c r="K991" i="10" s="1" a="1"/>
  <c r="K991" i="10" s="1"/>
  <c r="A992" i="10" a="1"/>
  <c r="A992" i="10" s="1"/>
  <c r="C992" i="10" a="1"/>
  <c r="C992" i="10" s="1"/>
  <c r="D992" i="10" s="1"/>
  <c r="K992" i="10" s="1" a="1"/>
  <c r="K992" i="10" s="1"/>
  <c r="A993" i="10" a="1"/>
  <c r="A993" i="10" s="1"/>
  <c r="C993" i="10" a="1"/>
  <c r="C993" i="10" s="1"/>
  <c r="D993" i="10" s="1"/>
  <c r="K993" i="10" s="1" a="1"/>
  <c r="K993" i="10" s="1"/>
  <c r="A994" i="10" a="1"/>
  <c r="A994" i="10" s="1"/>
  <c r="H994" i="10" s="1"/>
  <c r="I994" i="10" s="1"/>
  <c r="C994" i="10" a="1"/>
  <c r="C994" i="10" s="1"/>
  <c r="D994" i="10" s="1"/>
  <c r="K994" i="10" s="1" a="1"/>
  <c r="K994" i="10" s="1"/>
  <c r="A995" i="10" a="1"/>
  <c r="A995" i="10" s="1"/>
  <c r="H995" i="10" s="1"/>
  <c r="I995" i="10" s="1"/>
  <c r="C995" i="10" a="1"/>
  <c r="C995" i="10" s="1"/>
  <c r="D995" i="10" s="1"/>
  <c r="K995" i="10" s="1" a="1"/>
  <c r="K995" i="10" s="1"/>
  <c r="A996" i="10" a="1"/>
  <c r="A996" i="10" s="1"/>
  <c r="C996" i="10" a="1"/>
  <c r="C996" i="10" s="1"/>
  <c r="D996" i="10" s="1"/>
  <c r="K996" i="10" s="1" a="1"/>
  <c r="K996" i="10" s="1"/>
  <c r="A997" i="10" a="1"/>
  <c r="A997" i="10" s="1"/>
  <c r="H997" i="10" s="1"/>
  <c r="I997" i="10" s="1"/>
  <c r="C997" i="10" a="1"/>
  <c r="C997" i="10" s="1"/>
  <c r="D997" i="10" s="1"/>
  <c r="K997" i="10" s="1" a="1"/>
  <c r="K997" i="10" s="1"/>
  <c r="A998" i="10" a="1"/>
  <c r="A998" i="10" s="1"/>
  <c r="C998" i="10" a="1"/>
  <c r="C998" i="10" s="1"/>
  <c r="D998" i="10" s="1"/>
  <c r="K998" i="10" s="1" a="1"/>
  <c r="K998" i="10" s="1"/>
  <c r="A999" i="10" a="1"/>
  <c r="A999" i="10" s="1"/>
  <c r="H999" i="10" s="1"/>
  <c r="I999" i="10" s="1"/>
  <c r="C999" i="10" a="1"/>
  <c r="C999" i="10" s="1"/>
  <c r="D999" i="10" s="1"/>
  <c r="K999" i="10" s="1" a="1"/>
  <c r="K999" i="10" s="1"/>
  <c r="A1000" i="10" a="1"/>
  <c r="A1000" i="10" s="1"/>
  <c r="H1000" i="10" s="1"/>
  <c r="I1000" i="10" s="1"/>
  <c r="C1000" i="10" a="1"/>
  <c r="C1000" i="10" s="1"/>
  <c r="D1000" i="10" s="1"/>
  <c r="A1001" i="10" a="1"/>
  <c r="A1001" i="10" s="1"/>
  <c r="B1001" i="10" s="1"/>
  <c r="C1001" i="10" a="1"/>
  <c r="C1001" i="10" s="1"/>
  <c r="D1001" i="10" s="1"/>
  <c r="K1001" i="10" s="1" a="1"/>
  <c r="K1001" i="10" s="1"/>
  <c r="A1002" i="10" a="1"/>
  <c r="A1002" i="10" s="1"/>
  <c r="C1002" i="10" a="1"/>
  <c r="C1002" i="10" s="1"/>
  <c r="D1002" i="10" s="1"/>
  <c r="K1002" i="10" s="1" a="1"/>
  <c r="K1002" i="10" s="1"/>
  <c r="A1003" i="10" a="1"/>
  <c r="A1003" i="10" s="1"/>
  <c r="C1003" i="10" a="1"/>
  <c r="C1003" i="10" s="1"/>
  <c r="D1003" i="10" s="1"/>
  <c r="K1003" i="10" s="1" a="1"/>
  <c r="K1003" i="10" s="1"/>
  <c r="A1004" i="10" a="1"/>
  <c r="A1004" i="10" s="1"/>
  <c r="C1004" i="10" a="1"/>
  <c r="C1004" i="10" s="1"/>
  <c r="D1004" i="10" s="1"/>
  <c r="K1004" i="10" s="1" a="1"/>
  <c r="K1004" i="10" s="1"/>
  <c r="A1005" i="10" a="1"/>
  <c r="A1005" i="10" s="1"/>
  <c r="H1005" i="10" s="1"/>
  <c r="I1005" i="10" s="1"/>
  <c r="C1005" i="10" a="1"/>
  <c r="C1005" i="10" s="1"/>
  <c r="D1005" i="10" s="1"/>
  <c r="K1005" i="10" s="1" a="1"/>
  <c r="K1005" i="10" s="1"/>
  <c r="A1006" i="10" a="1"/>
  <c r="A1006" i="10" s="1"/>
  <c r="H1006" i="10" s="1"/>
  <c r="I1006" i="10" s="1"/>
  <c r="C1006" i="10" a="1"/>
  <c r="C1006" i="10" s="1"/>
  <c r="D1006" i="10" s="1"/>
  <c r="K1006" i="10" s="1" a="1"/>
  <c r="K1006" i="10" s="1"/>
  <c r="A1007" i="10" a="1"/>
  <c r="A1007" i="10" s="1"/>
  <c r="B1007" i="10" s="1"/>
  <c r="C1007" i="10" a="1"/>
  <c r="C1007" i="10" s="1"/>
  <c r="D1007" i="10" s="1"/>
  <c r="K1007" i="10" s="1" a="1"/>
  <c r="K1007" i="10" s="1"/>
  <c r="A1008" i="10" a="1"/>
  <c r="A1008" i="10" s="1"/>
  <c r="C1008" i="10" a="1"/>
  <c r="C1008" i="10" s="1"/>
  <c r="D1008" i="10" s="1"/>
  <c r="K1008" i="10" s="1" a="1"/>
  <c r="K1008" i="10" s="1"/>
  <c r="A1009" i="10" a="1"/>
  <c r="A1009" i="10" s="1"/>
  <c r="C1009" i="10" a="1"/>
  <c r="C1009" i="10" s="1"/>
  <c r="D1009" i="10" s="1"/>
  <c r="K1009" i="10" s="1" a="1"/>
  <c r="K1009" i="10" s="1"/>
  <c r="A1010" i="10" a="1"/>
  <c r="A1010" i="10" s="1"/>
  <c r="C1010" i="10" a="1"/>
  <c r="C1010" i="10" s="1"/>
  <c r="D1010" i="10" s="1"/>
  <c r="K1010" i="10" s="1" a="1"/>
  <c r="K1010" i="10" s="1"/>
  <c r="A1011" i="10" a="1"/>
  <c r="A1011" i="10" s="1"/>
  <c r="H1011" i="10" s="1"/>
  <c r="I1011" i="10" s="1"/>
  <c r="C1011" i="10" a="1"/>
  <c r="C1011" i="10" s="1"/>
  <c r="D1011" i="10" s="1"/>
  <c r="K1011" i="10" s="1" a="1"/>
  <c r="K1011" i="10" s="1"/>
  <c r="A1012" i="10" a="1"/>
  <c r="A1012" i="10" s="1"/>
  <c r="H1012" i="10" s="1"/>
  <c r="I1012" i="10" s="1"/>
  <c r="C1012" i="10" a="1"/>
  <c r="C1012" i="10" s="1"/>
  <c r="D1012" i="10" s="1"/>
  <c r="A1013" i="10" a="1"/>
  <c r="A1013" i="10" s="1"/>
  <c r="B1013" i="10" s="1"/>
  <c r="C1013" i="10" a="1"/>
  <c r="C1013" i="10" s="1"/>
  <c r="D1013" i="10" s="1"/>
  <c r="K1013" i="10" s="1" a="1"/>
  <c r="K1013" i="10" s="1"/>
  <c r="A1014" i="10" a="1"/>
  <c r="A1014" i="10" s="1"/>
  <c r="C1014" i="10" a="1"/>
  <c r="C1014" i="10" s="1"/>
  <c r="D1014" i="10" s="1"/>
  <c r="K1014" i="10" s="1" a="1"/>
  <c r="K1014" i="10" s="1"/>
  <c r="A1015" i="10" a="1"/>
  <c r="A1015" i="10" s="1"/>
  <c r="C1015" i="10" a="1"/>
  <c r="C1015" i="10" s="1"/>
  <c r="D1015" i="10" s="1"/>
  <c r="K1015" i="10" s="1" a="1"/>
  <c r="K1015" i="10" s="1"/>
  <c r="A1016" i="10" a="1"/>
  <c r="A1016" i="10" s="1"/>
  <c r="C1016" i="10" a="1"/>
  <c r="C1016" i="10" s="1"/>
  <c r="D1016" i="10" s="1"/>
  <c r="K1016" i="10" s="1" a="1"/>
  <c r="K1016" i="10" s="1"/>
  <c r="A1017" i="10" a="1"/>
  <c r="A1017" i="10" s="1"/>
  <c r="H1017" i="10" s="1"/>
  <c r="I1017" i="10" s="1"/>
  <c r="C1017" i="10" a="1"/>
  <c r="C1017" i="10" s="1"/>
  <c r="D1017" i="10" s="1"/>
  <c r="K1017" i="10" s="1" a="1"/>
  <c r="K1017" i="10" s="1"/>
  <c r="A1018" i="10" a="1"/>
  <c r="A1018" i="10" s="1"/>
  <c r="H1018" i="10" s="1"/>
  <c r="I1018" i="10" s="1"/>
  <c r="C1018" i="10" a="1"/>
  <c r="C1018" i="10" s="1"/>
  <c r="D1018" i="10" s="1"/>
  <c r="K1018" i="10" s="1" a="1"/>
  <c r="K1018" i="10" s="1"/>
  <c r="A1019" i="10" a="1"/>
  <c r="A1019" i="10" s="1"/>
  <c r="B1019" i="10" s="1"/>
  <c r="C1019" i="10" a="1"/>
  <c r="C1019" i="10" s="1"/>
  <c r="D1019" i="10" s="1"/>
  <c r="K1019" i="10" s="1" a="1"/>
  <c r="K1019" i="10" s="1"/>
  <c r="A1020" i="10" a="1"/>
  <c r="A1020" i="10" s="1"/>
  <c r="C1020" i="10" a="1"/>
  <c r="C1020" i="10" s="1"/>
  <c r="D1020" i="10" s="1"/>
  <c r="K1020" i="10" s="1" a="1"/>
  <c r="K1020" i="10" s="1"/>
  <c r="A1021" i="10" a="1"/>
  <c r="A1021" i="10" s="1"/>
  <c r="C1021" i="10" a="1"/>
  <c r="C1021" i="10" s="1"/>
  <c r="D1021" i="10" s="1"/>
  <c r="K1021" i="10" s="1" a="1"/>
  <c r="K1021" i="10" s="1"/>
  <c r="A1022" i="10" a="1"/>
  <c r="A1022" i="10" s="1"/>
  <c r="C1022" i="10" a="1"/>
  <c r="C1022" i="10" s="1"/>
  <c r="D1022" i="10" s="1"/>
  <c r="K1022" i="10" s="1" a="1"/>
  <c r="K1022" i="10" s="1"/>
  <c r="A1023" i="10" a="1"/>
  <c r="A1023" i="10" s="1"/>
  <c r="H1023" i="10" s="1"/>
  <c r="I1023" i="10" s="1"/>
  <c r="C1023" i="10" a="1"/>
  <c r="C1023" i="10" s="1"/>
  <c r="D1023" i="10" s="1"/>
  <c r="K1023" i="10" s="1" a="1"/>
  <c r="K1023" i="10" s="1"/>
  <c r="A1024" i="10" a="1"/>
  <c r="A1024" i="10" s="1"/>
  <c r="H1024" i="10" s="1"/>
  <c r="I1024" i="10" s="1"/>
  <c r="C1024" i="10" a="1"/>
  <c r="C1024" i="10" s="1"/>
  <c r="D1024" i="10" s="1"/>
  <c r="B87" i="17" s="1"/>
  <c r="A1025" i="10" a="1"/>
  <c r="A1025" i="10" s="1"/>
  <c r="B1025" i="10" s="1"/>
  <c r="C1025" i="10" a="1"/>
  <c r="C1025" i="10" s="1"/>
  <c r="D1025" i="10" s="1"/>
  <c r="K1025" i="10" s="1" a="1"/>
  <c r="K1025" i="10" s="1"/>
  <c r="A1026" i="10" a="1"/>
  <c r="A1026" i="10" s="1"/>
  <c r="C1026" i="10" a="1"/>
  <c r="C1026" i="10" s="1"/>
  <c r="D1026" i="10" s="1"/>
  <c r="K1026" i="10" s="1" a="1"/>
  <c r="K1026" i="10" s="1"/>
  <c r="A1027" i="10" a="1"/>
  <c r="A1027" i="10" s="1"/>
  <c r="C1027" i="10" a="1"/>
  <c r="C1027" i="10" s="1"/>
  <c r="D1027" i="10" s="1"/>
  <c r="K1027" i="10" s="1" a="1"/>
  <c r="K1027" i="10" s="1"/>
  <c r="A1028" i="10" a="1"/>
  <c r="A1028" i="10" s="1"/>
  <c r="C1028" i="10" a="1"/>
  <c r="C1028" i="10" s="1"/>
  <c r="D1028" i="10" s="1"/>
  <c r="K1028" i="10" s="1" a="1"/>
  <c r="K1028" i="10" s="1"/>
  <c r="A1029" i="10" a="1"/>
  <c r="A1029" i="10" s="1"/>
  <c r="B1029" i="10" s="1"/>
  <c r="C1029" i="10" a="1"/>
  <c r="C1029" i="10" s="1"/>
  <c r="D1029" i="10" s="1"/>
  <c r="K1029" i="10" s="1" a="1"/>
  <c r="K1029" i="10" s="1"/>
  <c r="A1030" i="10" a="1"/>
  <c r="A1030" i="10" s="1"/>
  <c r="F1030" i="10" s="1"/>
  <c r="G1030" i="10" s="1"/>
  <c r="C1030" i="10" a="1"/>
  <c r="C1030" i="10" s="1"/>
  <c r="D1030" i="10" s="1"/>
  <c r="K1030" i="10" s="1" a="1"/>
  <c r="K1030" i="10" s="1"/>
  <c r="A1031" i="10" a="1"/>
  <c r="A1031" i="10" s="1"/>
  <c r="B1031" i="10" s="1"/>
  <c r="C1031" i="10" a="1"/>
  <c r="C1031" i="10" s="1"/>
  <c r="D1031" i="10" s="1"/>
  <c r="K1031" i="10" s="1" a="1"/>
  <c r="K1031" i="10" s="1"/>
  <c r="A1032" i="10" a="1"/>
  <c r="A1032" i="10" s="1"/>
  <c r="H1032" i="10" s="1"/>
  <c r="I1032" i="10" s="1"/>
  <c r="C1032" i="10" a="1"/>
  <c r="C1032" i="10" s="1"/>
  <c r="D1032" i="10" s="1"/>
  <c r="K1032" i="10" s="1" a="1"/>
  <c r="K1032" i="10" s="1"/>
  <c r="A1033" i="10" a="1"/>
  <c r="A1033" i="10" s="1"/>
  <c r="F1033" i="10" s="1"/>
  <c r="G1033" i="10" s="1"/>
  <c r="C1033" i="10" a="1"/>
  <c r="C1033" i="10" s="1"/>
  <c r="D1033" i="10" s="1"/>
  <c r="K1033" i="10" s="1" a="1"/>
  <c r="K1033" i="10" s="1"/>
  <c r="A854" i="10" a="1"/>
  <c r="A854" i="10" s="1"/>
  <c r="C854" i="10" a="1"/>
  <c r="C854" i="10" s="1"/>
  <c r="D854" i="10" s="1"/>
  <c r="K854" i="10" s="1" a="1"/>
  <c r="K854" i="10" s="1"/>
  <c r="A855" i="10" a="1"/>
  <c r="A855" i="10" s="1"/>
  <c r="H855" i="10" s="1"/>
  <c r="I855" i="10" s="1"/>
  <c r="C855" i="10" a="1"/>
  <c r="C855" i="10" s="1"/>
  <c r="D855" i="10" s="1"/>
  <c r="K855" i="10" s="1" a="1"/>
  <c r="K855" i="10" s="1"/>
  <c r="A856" i="10" a="1"/>
  <c r="A856" i="10" s="1"/>
  <c r="B856" i="10" s="1"/>
  <c r="C856" i="10" a="1"/>
  <c r="C856" i="10" s="1"/>
  <c r="D856" i="10" s="1"/>
  <c r="B73" i="17" s="1"/>
  <c r="A857" i="10" a="1"/>
  <c r="A857" i="10" s="1"/>
  <c r="B857" i="10" s="1"/>
  <c r="C857" i="10" a="1"/>
  <c r="C857" i="10" s="1"/>
  <c r="D857" i="10" s="1"/>
  <c r="K857" i="10" s="1" a="1"/>
  <c r="K857" i="10" s="1"/>
  <c r="A858" i="10" a="1"/>
  <c r="A858" i="10" s="1"/>
  <c r="B858" i="10" s="1"/>
  <c r="C858" i="10" a="1"/>
  <c r="C858" i="10" s="1"/>
  <c r="D858" i="10" s="1"/>
  <c r="K858" i="10" s="1" a="1"/>
  <c r="K858" i="10" s="1"/>
  <c r="A859" i="10" a="1"/>
  <c r="A859" i="10" s="1"/>
  <c r="C859" i="10" a="1"/>
  <c r="C859" i="10" s="1"/>
  <c r="D859" i="10" s="1"/>
  <c r="K859" i="10" s="1" a="1"/>
  <c r="K859" i="10" s="1"/>
  <c r="A860" i="10" a="1"/>
  <c r="A860" i="10" s="1"/>
  <c r="C860" i="10" a="1"/>
  <c r="C860" i="10" s="1"/>
  <c r="D860" i="10" s="1"/>
  <c r="K860" i="10" s="1" a="1"/>
  <c r="K860" i="10" s="1"/>
  <c r="A861" i="10" a="1"/>
  <c r="A861" i="10" s="1"/>
  <c r="H861" i="10" s="1"/>
  <c r="I861" i="10" s="1"/>
  <c r="C861" i="10" a="1"/>
  <c r="C861" i="10" s="1"/>
  <c r="D861" i="10" s="1"/>
  <c r="K861" i="10" s="1" a="1"/>
  <c r="K861" i="10" s="1"/>
  <c r="A862" i="10" a="1"/>
  <c r="A862" i="10" s="1"/>
  <c r="C862" i="10" a="1"/>
  <c r="C862" i="10" s="1"/>
  <c r="D862" i="10" s="1"/>
  <c r="K862" i="10" s="1" a="1"/>
  <c r="K862" i="10" s="1"/>
  <c r="A863" i="10" a="1"/>
  <c r="A863" i="10" s="1"/>
  <c r="C863" i="10" a="1"/>
  <c r="C863" i="10" s="1"/>
  <c r="D863" i="10" s="1"/>
  <c r="K863" i="10" s="1" a="1"/>
  <c r="K863" i="10" s="1"/>
  <c r="A864" i="10" a="1"/>
  <c r="A864" i="10" s="1"/>
  <c r="C864" i="10" a="1"/>
  <c r="C864" i="10" s="1"/>
  <c r="D864" i="10" s="1"/>
  <c r="K864" i="10" s="1" a="1"/>
  <c r="K864" i="10" s="1"/>
  <c r="A865" i="10" a="1"/>
  <c r="A865" i="10" s="1"/>
  <c r="H865" i="10" s="1"/>
  <c r="I865" i="10" s="1"/>
  <c r="C865" i="10" a="1"/>
  <c r="C865" i="10" s="1"/>
  <c r="D865" i="10" s="1"/>
  <c r="K865" i="10" s="1" a="1"/>
  <c r="K865" i="10" s="1"/>
  <c r="A866" i="10" a="1"/>
  <c r="A866" i="10" s="1"/>
  <c r="C866" i="10" a="1"/>
  <c r="C866" i="10" s="1"/>
  <c r="D866" i="10" s="1"/>
  <c r="K866" i="10" s="1" a="1"/>
  <c r="K866" i="10" s="1"/>
  <c r="A867" i="10" a="1"/>
  <c r="A867" i="10" s="1"/>
  <c r="H867" i="10" s="1"/>
  <c r="I867" i="10" s="1"/>
  <c r="C867" i="10" a="1"/>
  <c r="C867" i="10" s="1"/>
  <c r="D867" i="10" s="1"/>
  <c r="K867" i="10" s="1" a="1"/>
  <c r="K867" i="10" s="1"/>
  <c r="A868" i="10" a="1"/>
  <c r="A868" i="10" s="1"/>
  <c r="H868" i="10" s="1"/>
  <c r="I868" i="10" s="1"/>
  <c r="C868" i="10" a="1"/>
  <c r="C868" i="10" s="1"/>
  <c r="D868" i="10" s="1"/>
  <c r="A869" i="10" a="1"/>
  <c r="A869" i="10" s="1"/>
  <c r="B869" i="10" s="1"/>
  <c r="C869" i="10" a="1"/>
  <c r="C869" i="10" s="1"/>
  <c r="D869" i="10" s="1"/>
  <c r="K869" i="10" s="1" a="1"/>
  <c r="K869" i="10" s="1"/>
  <c r="A870" i="10" a="1"/>
  <c r="A870" i="10" s="1"/>
  <c r="C870" i="10" a="1"/>
  <c r="C870" i="10" s="1"/>
  <c r="D870" i="10" s="1"/>
  <c r="K870" i="10" s="1" a="1"/>
  <c r="K870" i="10" s="1"/>
  <c r="A871" i="10" a="1"/>
  <c r="A871" i="10" s="1"/>
  <c r="C871" i="10" a="1"/>
  <c r="C871" i="10" s="1"/>
  <c r="D871" i="10" s="1"/>
  <c r="K871" i="10" s="1" a="1"/>
  <c r="K871" i="10" s="1"/>
  <c r="A872" i="10" a="1"/>
  <c r="A872" i="10" s="1"/>
  <c r="C872" i="10" a="1"/>
  <c r="C872" i="10" s="1"/>
  <c r="D872" i="10" s="1"/>
  <c r="K872" i="10" s="1" a="1"/>
  <c r="K872" i="10" s="1"/>
  <c r="A873" i="10" a="1"/>
  <c r="A873" i="10" s="1"/>
  <c r="C873" i="10" a="1"/>
  <c r="C873" i="10" s="1"/>
  <c r="D873" i="10" s="1"/>
  <c r="K873" i="10" s="1" a="1"/>
  <c r="K873" i="10" s="1"/>
  <c r="A874" i="10" a="1"/>
  <c r="A874" i="10" s="1"/>
  <c r="H874" i="10" s="1"/>
  <c r="I874" i="10" s="1"/>
  <c r="C874" i="10" a="1"/>
  <c r="C874" i="10" s="1"/>
  <c r="D874" i="10" s="1"/>
  <c r="K874" i="10" s="1" a="1"/>
  <c r="K874" i="10" s="1"/>
  <c r="A875" i="10" a="1"/>
  <c r="A875" i="10" s="1"/>
  <c r="B875" i="10" s="1"/>
  <c r="C875" i="10" a="1"/>
  <c r="C875" i="10" s="1"/>
  <c r="D875" i="10" s="1"/>
  <c r="K875" i="10" s="1" a="1"/>
  <c r="K875" i="10" s="1"/>
  <c r="A876" i="10" a="1"/>
  <c r="A876" i="10" s="1"/>
  <c r="C876" i="10" a="1"/>
  <c r="C876" i="10" s="1"/>
  <c r="D876" i="10" s="1"/>
  <c r="K876" i="10" s="1" a="1"/>
  <c r="K876" i="10" s="1"/>
  <c r="A877" i="10" a="1"/>
  <c r="A877" i="10" s="1"/>
  <c r="C877" i="10" a="1"/>
  <c r="C877" i="10" s="1"/>
  <c r="D877" i="10" s="1"/>
  <c r="K877" i="10" s="1" a="1"/>
  <c r="K877" i="10" s="1"/>
  <c r="A878" i="10" a="1"/>
  <c r="A878" i="10" s="1"/>
  <c r="C878" i="10" a="1"/>
  <c r="C878" i="10" s="1"/>
  <c r="D878" i="10" s="1"/>
  <c r="K878" i="10" s="1" a="1"/>
  <c r="K878" i="10" s="1"/>
  <c r="A879" i="10" a="1"/>
  <c r="A879" i="10" s="1"/>
  <c r="H879" i="10" s="1"/>
  <c r="I879" i="10" s="1"/>
  <c r="C879" i="10" a="1"/>
  <c r="C879" i="10" s="1"/>
  <c r="D879" i="10" s="1"/>
  <c r="K879" i="10" s="1" a="1"/>
  <c r="K879" i="10" s="1"/>
  <c r="A880" i="10" a="1"/>
  <c r="A880" i="10" s="1"/>
  <c r="H880" i="10" s="1"/>
  <c r="I880" i="10" s="1"/>
  <c r="C880" i="10" a="1"/>
  <c r="C880" i="10" s="1"/>
  <c r="D880" i="10" s="1"/>
  <c r="B75" i="17" s="1"/>
  <c r="A881" i="10" a="1"/>
  <c r="A881" i="10" s="1"/>
  <c r="B881" i="10" s="1"/>
  <c r="C881" i="10" a="1"/>
  <c r="C881" i="10" s="1"/>
  <c r="D881" i="10" s="1"/>
  <c r="K881" i="10" s="1" a="1"/>
  <c r="K881" i="10" s="1"/>
  <c r="A882" i="10" a="1"/>
  <c r="A882" i="10" s="1"/>
  <c r="C882" i="10" a="1"/>
  <c r="C882" i="10" s="1"/>
  <c r="D882" i="10" s="1"/>
  <c r="K882" i="10" s="1" a="1"/>
  <c r="K882" i="10" s="1"/>
  <c r="A883" i="10" a="1"/>
  <c r="A883" i="10" s="1"/>
  <c r="C883" i="10" a="1"/>
  <c r="C883" i="10" s="1"/>
  <c r="D883" i="10" s="1"/>
  <c r="K883" i="10" s="1" a="1"/>
  <c r="K883" i="10" s="1"/>
  <c r="A884" i="10" a="1"/>
  <c r="A884" i="10" s="1"/>
  <c r="C884" i="10" a="1"/>
  <c r="C884" i="10" s="1"/>
  <c r="D884" i="10" s="1"/>
  <c r="K884" i="10" s="1" a="1"/>
  <c r="K884" i="10" s="1"/>
  <c r="A885" i="10" a="1"/>
  <c r="A885" i="10" s="1"/>
  <c r="C885" i="10" a="1"/>
  <c r="C885" i="10" s="1"/>
  <c r="D885" i="10" s="1"/>
  <c r="K885" i="10" s="1" a="1"/>
  <c r="K885" i="10" s="1"/>
  <c r="A886" i="10" a="1"/>
  <c r="A886" i="10" s="1"/>
  <c r="H886" i="10" s="1"/>
  <c r="I886" i="10" s="1"/>
  <c r="C886" i="10" a="1"/>
  <c r="C886" i="10" s="1"/>
  <c r="D886" i="10" s="1"/>
  <c r="K886" i="10" s="1" a="1"/>
  <c r="K886" i="10" s="1"/>
  <c r="A887" i="10" a="1"/>
  <c r="A887" i="10" s="1"/>
  <c r="B887" i="10" s="1"/>
  <c r="C887" i="10" a="1"/>
  <c r="C887" i="10" s="1"/>
  <c r="D887" i="10" s="1"/>
  <c r="K887" i="10" s="1" a="1"/>
  <c r="K887" i="10" s="1"/>
  <c r="A888" i="10" a="1"/>
  <c r="A888" i="10" s="1"/>
  <c r="C888" i="10" a="1"/>
  <c r="C888" i="10" s="1"/>
  <c r="D888" i="10" s="1"/>
  <c r="K888" i="10" s="1" a="1"/>
  <c r="K888" i="10" s="1"/>
  <c r="A889" i="10" a="1"/>
  <c r="A889" i="10" s="1"/>
  <c r="C889" i="10" a="1"/>
  <c r="C889" i="10" s="1"/>
  <c r="D889" i="10" s="1"/>
  <c r="K889" i="10" s="1" a="1"/>
  <c r="K889" i="10" s="1"/>
  <c r="A890" i="10" a="1"/>
  <c r="A890" i="10" s="1"/>
  <c r="C890" i="10" a="1"/>
  <c r="C890" i="10" s="1"/>
  <c r="D890" i="10" s="1"/>
  <c r="K890" i="10" s="1" a="1"/>
  <c r="K890" i="10" s="1"/>
  <c r="A891" i="10" a="1"/>
  <c r="A891" i="10" s="1"/>
  <c r="H891" i="10" s="1"/>
  <c r="I891" i="10" s="1"/>
  <c r="C891" i="10" a="1"/>
  <c r="C891" i="10" s="1"/>
  <c r="D891" i="10" s="1"/>
  <c r="K891" i="10" s="1" a="1"/>
  <c r="K891" i="10" s="1"/>
  <c r="A892" i="10" a="1"/>
  <c r="A892" i="10" s="1"/>
  <c r="H892" i="10" s="1"/>
  <c r="I892" i="10" s="1"/>
  <c r="C892" i="10" a="1"/>
  <c r="C892" i="10" s="1"/>
  <c r="D892" i="10" s="1"/>
  <c r="B76" i="17" s="1"/>
  <c r="A893" i="10" a="1"/>
  <c r="A893" i="10" s="1"/>
  <c r="B893" i="10" s="1"/>
  <c r="C893" i="10" a="1"/>
  <c r="C893" i="10" s="1"/>
  <c r="D893" i="10" s="1"/>
  <c r="K893" i="10" s="1" a="1"/>
  <c r="K893" i="10" s="1"/>
  <c r="A894" i="10" a="1"/>
  <c r="A894" i="10" s="1"/>
  <c r="C894" i="10" a="1"/>
  <c r="C894" i="10" s="1"/>
  <c r="D894" i="10" s="1"/>
  <c r="K894" i="10" s="1" a="1"/>
  <c r="K894" i="10" s="1"/>
  <c r="A895" i="10" a="1"/>
  <c r="A895" i="10" s="1"/>
  <c r="C895" i="10" a="1"/>
  <c r="C895" i="10" s="1"/>
  <c r="D895" i="10" s="1"/>
  <c r="K895" i="10" s="1" a="1"/>
  <c r="K895" i="10" s="1"/>
  <c r="A896" i="10" a="1"/>
  <c r="A896" i="10" s="1"/>
  <c r="C896" i="10" a="1"/>
  <c r="C896" i="10" s="1"/>
  <c r="D896" i="10" s="1"/>
  <c r="K896" i="10" s="1" a="1"/>
  <c r="K896" i="10" s="1"/>
  <c r="A897" i="10" a="1"/>
  <c r="A897" i="10" s="1"/>
  <c r="H897" i="10" s="1"/>
  <c r="I897" i="10" s="1"/>
  <c r="C897" i="10" a="1"/>
  <c r="C897" i="10" s="1"/>
  <c r="D897" i="10" s="1"/>
  <c r="K897" i="10" s="1" a="1"/>
  <c r="K897" i="10" s="1"/>
  <c r="A898" i="10" a="1"/>
  <c r="A898" i="10" s="1"/>
  <c r="H898" i="10" s="1"/>
  <c r="I898" i="10" s="1"/>
  <c r="C898" i="10" a="1"/>
  <c r="C898" i="10" s="1"/>
  <c r="D898" i="10" s="1"/>
  <c r="K898" i="10" s="1" a="1"/>
  <c r="K898" i="10" s="1"/>
  <c r="A899" i="10" a="1"/>
  <c r="A899" i="10" s="1"/>
  <c r="B899" i="10" s="1"/>
  <c r="C899" i="10" a="1"/>
  <c r="C899" i="10" s="1"/>
  <c r="D899" i="10" s="1"/>
  <c r="K899" i="10" s="1" a="1"/>
  <c r="K899" i="10" s="1"/>
  <c r="A900" i="10" a="1"/>
  <c r="A900" i="10" s="1"/>
  <c r="C900" i="10" a="1"/>
  <c r="C900" i="10" s="1"/>
  <c r="D900" i="10" s="1"/>
  <c r="K900" i="10" s="1" a="1"/>
  <c r="K900" i="10" s="1"/>
  <c r="A901" i="10" a="1"/>
  <c r="A901" i="10" s="1"/>
  <c r="C901" i="10" a="1"/>
  <c r="C901" i="10" s="1"/>
  <c r="D901" i="10" s="1"/>
  <c r="K901" i="10" s="1" a="1"/>
  <c r="K901" i="10" s="1"/>
  <c r="A902" i="10" a="1"/>
  <c r="A902" i="10" s="1"/>
  <c r="C902" i="10" a="1"/>
  <c r="C902" i="10" s="1"/>
  <c r="D902" i="10" s="1"/>
  <c r="K902" i="10" s="1" a="1"/>
  <c r="K902" i="10" s="1"/>
  <c r="A903" i="10" a="1"/>
  <c r="A903" i="10" s="1"/>
  <c r="H903" i="10" s="1"/>
  <c r="I903" i="10" s="1"/>
  <c r="C903" i="10" a="1"/>
  <c r="C903" i="10" s="1"/>
  <c r="D903" i="10" s="1"/>
  <c r="K903" i="10" s="1" a="1"/>
  <c r="K903" i="10" s="1"/>
  <c r="A904" i="10" a="1"/>
  <c r="A904" i="10" s="1"/>
  <c r="H904" i="10" s="1"/>
  <c r="I904" i="10" s="1"/>
  <c r="C904" i="10" a="1"/>
  <c r="C904" i="10" s="1"/>
  <c r="D904" i="10" s="1"/>
  <c r="B77" i="17" s="1"/>
  <c r="A905" i="10" a="1"/>
  <c r="A905" i="10" s="1"/>
  <c r="B905" i="10" s="1"/>
  <c r="C905" i="10" a="1"/>
  <c r="C905" i="10" s="1"/>
  <c r="D905" i="10" s="1"/>
  <c r="K905" i="10" s="1" a="1"/>
  <c r="K905" i="10" s="1"/>
  <c r="A906" i="10" a="1"/>
  <c r="A906" i="10" s="1"/>
  <c r="C906" i="10" a="1"/>
  <c r="C906" i="10" s="1"/>
  <c r="D906" i="10" s="1"/>
  <c r="K906" i="10" s="1" a="1"/>
  <c r="K906" i="10" s="1"/>
  <c r="A907" i="10" a="1"/>
  <c r="A907" i="10" s="1"/>
  <c r="C907" i="10" a="1"/>
  <c r="C907" i="10" s="1"/>
  <c r="D907" i="10" s="1"/>
  <c r="K907" i="10" s="1" a="1"/>
  <c r="K907" i="10" s="1"/>
  <c r="A908" i="10" a="1"/>
  <c r="A908" i="10" s="1"/>
  <c r="C908" i="10" a="1"/>
  <c r="C908" i="10" s="1"/>
  <c r="D908" i="10" s="1"/>
  <c r="K908" i="10" s="1" a="1"/>
  <c r="K908" i="10" s="1"/>
  <c r="A909" i="10" a="1"/>
  <c r="A909" i="10" s="1"/>
  <c r="H909" i="10" s="1"/>
  <c r="I909" i="10" s="1"/>
  <c r="C909" i="10" a="1"/>
  <c r="C909" i="10" s="1"/>
  <c r="D909" i="10" s="1"/>
  <c r="K909" i="10" s="1" a="1"/>
  <c r="K909" i="10" s="1"/>
  <c r="A910" i="10" a="1"/>
  <c r="A910" i="10" s="1"/>
  <c r="H910" i="10" s="1"/>
  <c r="I910" i="10" s="1"/>
  <c r="C910" i="10" a="1"/>
  <c r="C910" i="10" s="1"/>
  <c r="D910" i="10" s="1"/>
  <c r="K910" i="10" s="1" a="1"/>
  <c r="K910" i="10" s="1"/>
  <c r="A911" i="10" a="1"/>
  <c r="A911" i="10" s="1"/>
  <c r="B911" i="10" s="1"/>
  <c r="C911" i="10" a="1"/>
  <c r="C911" i="10" s="1"/>
  <c r="D911" i="10" s="1"/>
  <c r="K911" i="10" s="1" a="1"/>
  <c r="K911" i="10" s="1"/>
  <c r="A912" i="10" a="1"/>
  <c r="A912" i="10" s="1"/>
  <c r="C912" i="10" a="1"/>
  <c r="C912" i="10" s="1"/>
  <c r="D912" i="10" s="1"/>
  <c r="K912" i="10" s="1" a="1"/>
  <c r="K912" i="10" s="1"/>
  <c r="A913" i="10" a="1"/>
  <c r="A913" i="10" s="1"/>
  <c r="C913" i="10" a="1"/>
  <c r="C913" i="10" s="1"/>
  <c r="D913" i="10" s="1"/>
  <c r="K913" i="10" s="1" a="1"/>
  <c r="K913" i="10" s="1"/>
  <c r="A914" i="10" a="1"/>
  <c r="A914" i="10" s="1"/>
  <c r="C914" i="10" a="1"/>
  <c r="C914" i="10" s="1"/>
  <c r="D914" i="10" s="1"/>
  <c r="K914" i="10" s="1" a="1"/>
  <c r="K914" i="10" s="1"/>
  <c r="A915" i="10" a="1"/>
  <c r="A915" i="10" s="1"/>
  <c r="H915" i="10" s="1"/>
  <c r="I915" i="10" s="1"/>
  <c r="C915" i="10" a="1"/>
  <c r="C915" i="10" s="1"/>
  <c r="D915" i="10" s="1"/>
  <c r="K915" i="10" s="1" a="1"/>
  <c r="K915" i="10" s="1"/>
  <c r="A916" i="10" a="1"/>
  <c r="A916" i="10" s="1"/>
  <c r="H916" i="10" s="1"/>
  <c r="I916" i="10" s="1"/>
  <c r="C916" i="10" a="1"/>
  <c r="C916" i="10" s="1"/>
  <c r="D916" i="10" s="1"/>
  <c r="B78" i="17" s="1"/>
  <c r="A917" i="10" a="1"/>
  <c r="A917" i="10" s="1"/>
  <c r="B917" i="10" s="1"/>
  <c r="C917" i="10" a="1"/>
  <c r="C917" i="10" s="1"/>
  <c r="D917" i="10" s="1"/>
  <c r="K917" i="10" s="1" a="1"/>
  <c r="K917" i="10" s="1"/>
  <c r="A918" i="10" a="1"/>
  <c r="A918" i="10" s="1"/>
  <c r="C918" i="10" a="1"/>
  <c r="C918" i="10" s="1"/>
  <c r="D918" i="10" s="1"/>
  <c r="K918" i="10" s="1" a="1"/>
  <c r="K918" i="10" s="1"/>
  <c r="A919" i="10" a="1"/>
  <c r="A919" i="10" s="1"/>
  <c r="C919" i="10" a="1"/>
  <c r="C919" i="10" s="1"/>
  <c r="D919" i="10" s="1"/>
  <c r="K919" i="10" s="1" a="1"/>
  <c r="K919" i="10" s="1"/>
  <c r="A920" i="10" a="1"/>
  <c r="A920" i="10" s="1"/>
  <c r="C920" i="10" a="1"/>
  <c r="C920" i="10" s="1"/>
  <c r="D920" i="10" s="1"/>
  <c r="K920" i="10" s="1" a="1"/>
  <c r="K920" i="10" s="1"/>
  <c r="A921" i="10" a="1"/>
  <c r="A921" i="10" s="1"/>
  <c r="C921" i="10" a="1"/>
  <c r="C921" i="10" s="1"/>
  <c r="D921" i="10" s="1"/>
  <c r="K921" i="10" s="1" a="1"/>
  <c r="K921" i="10" s="1"/>
  <c r="A922" i="10" a="1"/>
  <c r="A922" i="10" s="1"/>
  <c r="H922" i="10" s="1"/>
  <c r="I922" i="10" s="1"/>
  <c r="C922" i="10" a="1"/>
  <c r="C922" i="10" s="1"/>
  <c r="D922" i="10" s="1"/>
  <c r="K922" i="10" s="1" a="1"/>
  <c r="K922" i="10" s="1"/>
  <c r="A923" i="10" a="1"/>
  <c r="A923" i="10" s="1"/>
  <c r="B923" i="10" s="1"/>
  <c r="C923" i="10" a="1"/>
  <c r="C923" i="10" s="1"/>
  <c r="D923" i="10" s="1"/>
  <c r="K923" i="10" s="1" a="1"/>
  <c r="K923" i="10" s="1"/>
  <c r="A924" i="10" a="1"/>
  <c r="A924" i="10" s="1"/>
  <c r="F924" i="10" s="1"/>
  <c r="G924" i="10" s="1"/>
  <c r="C924" i="10" a="1"/>
  <c r="C924" i="10" s="1"/>
  <c r="D924" i="10" s="1"/>
  <c r="K924" i="10" s="1" a="1"/>
  <c r="K924" i="10" s="1"/>
  <c r="A925" i="10" a="1"/>
  <c r="A925" i="10" s="1"/>
  <c r="H925" i="10" s="1"/>
  <c r="I925" i="10" s="1"/>
  <c r="J925" i="10" s="1"/>
  <c r="C925" i="10" a="1"/>
  <c r="C925" i="10" s="1"/>
  <c r="D925" i="10" s="1"/>
  <c r="K925" i="10" s="1" a="1"/>
  <c r="K925" i="10" s="1"/>
  <c r="A926" i="10" a="1"/>
  <c r="A926" i="10" s="1"/>
  <c r="F926" i="10" s="1"/>
  <c r="G926" i="10" s="1"/>
  <c r="C926" i="10" a="1"/>
  <c r="C926" i="10" s="1"/>
  <c r="D926" i="10" s="1"/>
  <c r="K926" i="10" s="1" a="1"/>
  <c r="K926" i="10" s="1"/>
  <c r="A927" i="10" a="1"/>
  <c r="A927" i="10" s="1"/>
  <c r="C927" i="10" a="1"/>
  <c r="C927" i="10" s="1"/>
  <c r="D927" i="10" s="1"/>
  <c r="K927" i="10" s="1" a="1"/>
  <c r="K927" i="10" s="1"/>
  <c r="A928" i="10" a="1"/>
  <c r="A928" i="10" s="1"/>
  <c r="C928" i="10" a="1"/>
  <c r="C928" i="10" s="1"/>
  <c r="D928" i="10" s="1"/>
  <c r="B79" i="17" s="1"/>
  <c r="A929" i="10" a="1"/>
  <c r="A929" i="10" s="1"/>
  <c r="F929" i="10" s="1"/>
  <c r="G929" i="10" s="1"/>
  <c r="C929" i="10" a="1"/>
  <c r="C929" i="10" s="1"/>
  <c r="D929" i="10" s="1"/>
  <c r="K929" i="10" s="1" a="1"/>
  <c r="K929" i="10" s="1"/>
  <c r="A930" i="10" a="1"/>
  <c r="A930" i="10" s="1"/>
  <c r="F930" i="10" s="1"/>
  <c r="G930" i="10" s="1"/>
  <c r="C930" i="10" a="1"/>
  <c r="C930" i="10" s="1"/>
  <c r="D930" i="10" s="1"/>
  <c r="K930" i="10" s="1" a="1"/>
  <c r="K930" i="10" s="1"/>
  <c r="A931" i="10" a="1"/>
  <c r="A931" i="10" s="1"/>
  <c r="C931" i="10" a="1"/>
  <c r="C931" i="10" s="1"/>
  <c r="D931" i="10" s="1"/>
  <c r="K931" i="10" s="1" a="1"/>
  <c r="K931" i="10" s="1"/>
  <c r="A932" i="10" a="1"/>
  <c r="A932" i="10" s="1"/>
  <c r="F932" i="10" s="1"/>
  <c r="G932" i="10" s="1"/>
  <c r="C932" i="10" a="1"/>
  <c r="C932" i="10" s="1"/>
  <c r="D932" i="10" s="1"/>
  <c r="K932" i="10" s="1" a="1"/>
  <c r="K932" i="10" s="1"/>
  <c r="A933" i="10" a="1"/>
  <c r="A933" i="10" s="1"/>
  <c r="C933" i="10" a="1"/>
  <c r="C933" i="10" s="1"/>
  <c r="D933" i="10" s="1"/>
  <c r="K933" i="10" s="1" a="1"/>
  <c r="K933" i="10" s="1"/>
  <c r="A934" i="10" a="1"/>
  <c r="A934" i="10" s="1"/>
  <c r="C934" i="10" a="1"/>
  <c r="C934" i="10" s="1"/>
  <c r="D934" i="10" s="1"/>
  <c r="K934" i="10" s="1" a="1"/>
  <c r="K934" i="10" s="1"/>
  <c r="A935" i="10" a="1"/>
  <c r="A935" i="10" s="1"/>
  <c r="F935" i="10" s="1"/>
  <c r="G935" i="10" s="1"/>
  <c r="C935" i="10" a="1"/>
  <c r="C935" i="10" s="1"/>
  <c r="D935" i="10" s="1"/>
  <c r="K935" i="10" s="1" a="1"/>
  <c r="K935" i="10" s="1"/>
  <c r="A936" i="10" a="1"/>
  <c r="A936" i="10" s="1"/>
  <c r="C936" i="10" a="1"/>
  <c r="C936" i="10" s="1"/>
  <c r="D936" i="10" s="1"/>
  <c r="K936" i="10" s="1" a="1"/>
  <c r="K936" i="10" s="1"/>
  <c r="A937" i="10" a="1"/>
  <c r="A937" i="10" s="1"/>
  <c r="C937" i="10" a="1"/>
  <c r="C937" i="10" s="1"/>
  <c r="D937" i="10" s="1"/>
  <c r="K937" i="10" s="1" a="1"/>
  <c r="K937" i="10" s="1"/>
  <c r="A938" i="10" a="1"/>
  <c r="A938" i="10" s="1"/>
  <c r="F938" i="10" s="1"/>
  <c r="G938" i="10" s="1"/>
  <c r="C938" i="10" a="1"/>
  <c r="C938" i="10" s="1"/>
  <c r="D938" i="10" s="1"/>
  <c r="K938" i="10" s="1" a="1"/>
  <c r="K938" i="10" s="1"/>
  <c r="A939" i="10" a="1"/>
  <c r="A939" i="10" s="1"/>
  <c r="C939" i="10" a="1"/>
  <c r="C939" i="10" s="1"/>
  <c r="D939" i="10" s="1"/>
  <c r="K939" i="10" s="1" a="1"/>
  <c r="K939" i="10" s="1"/>
  <c r="A940" i="10" a="1"/>
  <c r="A940" i="10" s="1"/>
  <c r="F940" i="10" s="1"/>
  <c r="G940" i="10" s="1"/>
  <c r="C940" i="10" a="1"/>
  <c r="C940" i="10" s="1"/>
  <c r="D940" i="10" s="1"/>
  <c r="B80" i="17" s="1"/>
  <c r="A941" i="10" a="1"/>
  <c r="A941" i="10" s="1"/>
  <c r="F941" i="10" s="1"/>
  <c r="G941" i="10" s="1"/>
  <c r="C941" i="10" a="1"/>
  <c r="C941" i="10" s="1"/>
  <c r="D941" i="10" s="1"/>
  <c r="K941" i="10" s="1" a="1"/>
  <c r="K941" i="10" s="1"/>
  <c r="A942" i="10" a="1"/>
  <c r="A942" i="10" s="1"/>
  <c r="C942" i="10" a="1"/>
  <c r="C942" i="10" s="1"/>
  <c r="D942" i="10" s="1"/>
  <c r="K942" i="10" s="1" a="1"/>
  <c r="K942" i="10" s="1"/>
  <c r="A943" i="10" a="1"/>
  <c r="A943" i="10" s="1"/>
  <c r="H943" i="10" s="1"/>
  <c r="I943" i="10" s="1"/>
  <c r="C943" i="10" a="1"/>
  <c r="C943" i="10" s="1"/>
  <c r="D943" i="10" s="1"/>
  <c r="K943" i="10" s="1" a="1"/>
  <c r="K943" i="10" s="1"/>
  <c r="A944" i="10" a="1"/>
  <c r="A944" i="10" s="1"/>
  <c r="C944" i="10" a="1"/>
  <c r="C944" i="10" s="1"/>
  <c r="D944" i="10" s="1"/>
  <c r="K944" i="10" s="1" a="1"/>
  <c r="K944" i="10" s="1"/>
  <c r="A945" i="10" a="1"/>
  <c r="A945" i="10" s="1"/>
  <c r="B945" i="10" s="1"/>
  <c r="C945" i="10" a="1"/>
  <c r="C945" i="10" s="1"/>
  <c r="D945" i="10" s="1"/>
  <c r="K945" i="10" s="1" a="1"/>
  <c r="K945" i="10" s="1"/>
  <c r="A946" i="10" a="1"/>
  <c r="A946" i="10" s="1"/>
  <c r="H946" i="10" s="1"/>
  <c r="I946" i="10" s="1"/>
  <c r="C946" i="10" a="1"/>
  <c r="C946" i="10" s="1"/>
  <c r="D946" i="10" s="1"/>
  <c r="K946" i="10" s="1" a="1"/>
  <c r="K946" i="10" s="1"/>
  <c r="A947" i="10" a="1"/>
  <c r="A947" i="10" s="1"/>
  <c r="B947" i="10" s="1"/>
  <c r="C947" i="10" a="1"/>
  <c r="C947" i="10" s="1"/>
  <c r="D947" i="10" s="1"/>
  <c r="K947" i="10" s="1" a="1"/>
  <c r="K947" i="10" s="1"/>
  <c r="A948" i="10" a="1"/>
  <c r="A948" i="10" s="1"/>
  <c r="C948" i="10" a="1"/>
  <c r="C948" i="10" s="1"/>
  <c r="D948" i="10" s="1"/>
  <c r="K948" i="10" s="1" a="1"/>
  <c r="K948" i="10" s="1"/>
  <c r="A949" i="10" a="1"/>
  <c r="A949" i="10" s="1"/>
  <c r="F949" i="10" s="1"/>
  <c r="G949" i="10" s="1"/>
  <c r="C949" i="10" a="1"/>
  <c r="C949" i="10" s="1"/>
  <c r="D949" i="10" s="1"/>
  <c r="K949" i="10" s="1" a="1"/>
  <c r="K949" i="10" s="1"/>
  <c r="A950" i="10" a="1"/>
  <c r="A950" i="10" s="1"/>
  <c r="C950" i="10" a="1"/>
  <c r="C950" i="10" s="1"/>
  <c r="D950" i="10" s="1"/>
  <c r="K950" i="10" s="1" a="1"/>
  <c r="K950" i="10" s="1"/>
  <c r="A951" i="10" a="1"/>
  <c r="A951" i="10" s="1"/>
  <c r="C951" i="10" a="1"/>
  <c r="C951" i="10" s="1"/>
  <c r="D951" i="10" s="1"/>
  <c r="K951" i="10" s="1" a="1"/>
  <c r="K951" i="10" s="1"/>
  <c r="A952" i="10" a="1"/>
  <c r="A952" i="10" s="1"/>
  <c r="H952" i="10" s="1"/>
  <c r="I952" i="10" s="1"/>
  <c r="C952" i="10" a="1"/>
  <c r="C952" i="10" s="1"/>
  <c r="D952" i="10" s="1"/>
  <c r="B81" i="17" s="1"/>
  <c r="A953" i="10" a="1"/>
  <c r="A953" i="10" s="1"/>
  <c r="F953" i="10" s="1"/>
  <c r="G953" i="10" s="1"/>
  <c r="C953" i="10" a="1"/>
  <c r="C953" i="10" s="1"/>
  <c r="D953" i="10" s="1"/>
  <c r="K953" i="10" s="1" a="1"/>
  <c r="K953" i="10" s="1"/>
  <c r="A954" i="10" a="1"/>
  <c r="A954" i="10" s="1"/>
  <c r="F954" i="10" s="1"/>
  <c r="G954" i="10" s="1"/>
  <c r="C954" i="10" a="1"/>
  <c r="C954" i="10" s="1"/>
  <c r="D954" i="10" s="1"/>
  <c r="K954" i="10" s="1" a="1"/>
  <c r="K954" i="10" s="1"/>
  <c r="A955" i="10" a="1"/>
  <c r="A955" i="10" s="1"/>
  <c r="H955" i="10" s="1"/>
  <c r="I955" i="10" s="1"/>
  <c r="C955" i="10" a="1"/>
  <c r="C955" i="10" s="1"/>
  <c r="D955" i="10" s="1"/>
  <c r="K955" i="10" s="1" a="1"/>
  <c r="K955" i="10" s="1"/>
  <c r="A956" i="10" a="1"/>
  <c r="A956" i="10" s="1"/>
  <c r="C956" i="10" a="1"/>
  <c r="C956" i="10" s="1"/>
  <c r="D956" i="10" s="1"/>
  <c r="K956" i="10" s="1" a="1"/>
  <c r="K956" i="10" s="1"/>
  <c r="A957" i="10" a="1"/>
  <c r="A957" i="10" s="1"/>
  <c r="C957" i="10" a="1"/>
  <c r="C957" i="10" s="1"/>
  <c r="D957" i="10" s="1"/>
  <c r="K957" i="10" s="1" a="1"/>
  <c r="K957" i="10" s="1"/>
  <c r="A958" i="10" a="1"/>
  <c r="A958" i="10" s="1"/>
  <c r="H958" i="10" s="1"/>
  <c r="I958" i="10" s="1"/>
  <c r="C958" i="10" a="1"/>
  <c r="C958" i="10" s="1"/>
  <c r="D958" i="10" s="1"/>
  <c r="K958" i="10" s="1" a="1"/>
  <c r="K958" i="10" s="1"/>
  <c r="A959" i="10" a="1"/>
  <c r="A959" i="10" s="1"/>
  <c r="B959" i="10" s="1"/>
  <c r="C959" i="10" a="1"/>
  <c r="C959" i="10" s="1"/>
  <c r="D959" i="10" s="1"/>
  <c r="K959" i="10" s="1" a="1"/>
  <c r="K959" i="10" s="1"/>
  <c r="A960" i="10" a="1"/>
  <c r="A960" i="10" s="1"/>
  <c r="C960" i="10" a="1"/>
  <c r="C960" i="10" s="1"/>
  <c r="D960" i="10" s="1"/>
  <c r="K960" i="10" s="1" a="1"/>
  <c r="K960" i="10" s="1"/>
  <c r="A961" i="10" a="1"/>
  <c r="A961" i="10" s="1"/>
  <c r="F961" i="10" s="1"/>
  <c r="G961" i="10" s="1"/>
  <c r="C961" i="10" a="1"/>
  <c r="C961" i="10" s="1"/>
  <c r="D961" i="10" s="1"/>
  <c r="K961" i="10" s="1" a="1"/>
  <c r="K961" i="10" s="1"/>
  <c r="A842" i="10" a="1"/>
  <c r="A842" i="10" s="1"/>
  <c r="C842" i="10" a="1"/>
  <c r="C842" i="10" s="1"/>
  <c r="D842" i="10" s="1"/>
  <c r="K842" i="10" s="1" a="1"/>
  <c r="K842" i="10" s="1"/>
  <c r="A843" i="10" a="1"/>
  <c r="A843" i="10" s="1"/>
  <c r="C843" i="10" a="1"/>
  <c r="C843" i="10" s="1"/>
  <c r="D843" i="10" s="1"/>
  <c r="K843" i="10" s="1" a="1"/>
  <c r="K843" i="10" s="1"/>
  <c r="A844" i="10" a="1"/>
  <c r="A844" i="10" s="1"/>
  <c r="C844" i="10" a="1"/>
  <c r="C844" i="10" s="1"/>
  <c r="D844" i="10" s="1"/>
  <c r="B72" i="17" s="1"/>
  <c r="A845" i="10" a="1"/>
  <c r="A845" i="10" s="1"/>
  <c r="C845" i="10" a="1"/>
  <c r="C845" i="10" s="1"/>
  <c r="D845" i="10" s="1"/>
  <c r="K845" i="10" s="1" a="1"/>
  <c r="K845" i="10" s="1"/>
  <c r="A846" i="10" a="1"/>
  <c r="A846" i="10" s="1"/>
  <c r="C846" i="10" a="1"/>
  <c r="C846" i="10" s="1"/>
  <c r="D846" i="10" s="1"/>
  <c r="K846" i="10" s="1" a="1"/>
  <c r="K846" i="10" s="1"/>
  <c r="A847" i="10" a="1"/>
  <c r="A847" i="10" s="1"/>
  <c r="C847" i="10" a="1"/>
  <c r="C847" i="10" s="1"/>
  <c r="D847" i="10" s="1"/>
  <c r="K847" i="10" s="1" a="1"/>
  <c r="K847" i="10" s="1"/>
  <c r="A848" i="10" a="1"/>
  <c r="A848" i="10" s="1"/>
  <c r="C848" i="10" a="1"/>
  <c r="C848" i="10" s="1"/>
  <c r="D848" i="10" s="1"/>
  <c r="K848" i="10" s="1" a="1"/>
  <c r="K848" i="10" s="1"/>
  <c r="A849" i="10" a="1"/>
  <c r="A849" i="10" s="1"/>
  <c r="C849" i="10" a="1"/>
  <c r="C849" i="10" s="1"/>
  <c r="D849" i="10" s="1"/>
  <c r="K849" i="10" s="1" a="1"/>
  <c r="K849" i="10" s="1"/>
  <c r="A850" i="10" a="1"/>
  <c r="A850" i="10" s="1"/>
  <c r="C850" i="10" a="1"/>
  <c r="C850" i="10" s="1"/>
  <c r="D850" i="10" s="1"/>
  <c r="K850" i="10" s="1" a="1"/>
  <c r="K850" i="10" s="1"/>
  <c r="A851" i="10" a="1"/>
  <c r="A851" i="10" s="1"/>
  <c r="C851" i="10" a="1"/>
  <c r="C851" i="10" s="1"/>
  <c r="D851" i="10" s="1"/>
  <c r="K851" i="10" s="1" a="1"/>
  <c r="K851" i="10" s="1"/>
  <c r="A852" i="10" a="1"/>
  <c r="A852" i="10" s="1"/>
  <c r="C852" i="10" a="1"/>
  <c r="C852" i="10" s="1"/>
  <c r="D852" i="10" s="1"/>
  <c r="K852" i="10" s="1" a="1"/>
  <c r="K852" i="10" s="1"/>
  <c r="A853" i="10" a="1"/>
  <c r="A853" i="10" s="1"/>
  <c r="C853" i="10" a="1"/>
  <c r="C853" i="10" s="1"/>
  <c r="D853" i="10" s="1"/>
  <c r="K853" i="10" s="1" a="1"/>
  <c r="K853" i="10" s="1"/>
  <c r="A686" i="10" a="1"/>
  <c r="A686" i="10" s="1"/>
  <c r="C686" i="10" a="1"/>
  <c r="C686" i="10" s="1"/>
  <c r="D686" i="10" s="1"/>
  <c r="K686" i="10" s="1" a="1"/>
  <c r="K686" i="10" s="1"/>
  <c r="A687" i="10" a="1"/>
  <c r="A687" i="10" s="1"/>
  <c r="H687" i="10" s="1"/>
  <c r="I687" i="10" s="1"/>
  <c r="C687" i="10" a="1"/>
  <c r="C687" i="10" s="1"/>
  <c r="D687" i="10" s="1"/>
  <c r="K687" i="10" s="1" a="1"/>
  <c r="K687" i="10" s="1"/>
  <c r="A688" i="10" a="1"/>
  <c r="A688" i="10" s="1"/>
  <c r="C688" i="10" a="1"/>
  <c r="C688" i="10" s="1"/>
  <c r="D688" i="10" s="1"/>
  <c r="B59" i="17" s="1"/>
  <c r="A689" i="10" a="1"/>
  <c r="A689" i="10" s="1"/>
  <c r="B689" i="10" s="1"/>
  <c r="C689" i="10" a="1"/>
  <c r="C689" i="10" s="1"/>
  <c r="D689" i="10" s="1"/>
  <c r="K689" i="10" s="1" a="1"/>
  <c r="K689" i="10" s="1"/>
  <c r="A690" i="10" a="1"/>
  <c r="A690" i="10" s="1"/>
  <c r="B690" i="10" s="1"/>
  <c r="C690" i="10" a="1"/>
  <c r="C690" i="10" s="1"/>
  <c r="D690" i="10" s="1"/>
  <c r="K690" i="10" s="1" a="1"/>
  <c r="K690" i="10" s="1"/>
  <c r="A691" i="10" a="1"/>
  <c r="A691" i="10" s="1"/>
  <c r="C691" i="10" a="1"/>
  <c r="C691" i="10" s="1"/>
  <c r="D691" i="10" s="1"/>
  <c r="K691" i="10" s="1" a="1"/>
  <c r="K691" i="10" s="1"/>
  <c r="A692" i="10" a="1"/>
  <c r="A692" i="10" s="1"/>
  <c r="C692" i="10" a="1"/>
  <c r="C692" i="10" s="1"/>
  <c r="D692" i="10" s="1"/>
  <c r="K692" i="10" s="1" a="1"/>
  <c r="K692" i="10" s="1"/>
  <c r="A693" i="10" a="1"/>
  <c r="A693" i="10" s="1"/>
  <c r="H693" i="10" s="1"/>
  <c r="I693" i="10" s="1"/>
  <c r="C693" i="10" a="1"/>
  <c r="C693" i="10" s="1"/>
  <c r="D693" i="10" s="1"/>
  <c r="K693" i="10" s="1" a="1"/>
  <c r="K693" i="10" s="1"/>
  <c r="A694" i="10" a="1"/>
  <c r="A694" i="10" s="1"/>
  <c r="H694" i="10" s="1"/>
  <c r="I694" i="10" s="1"/>
  <c r="C694" i="10" a="1"/>
  <c r="C694" i="10" s="1"/>
  <c r="D694" i="10" s="1"/>
  <c r="K694" i="10" s="1" a="1"/>
  <c r="K694" i="10" s="1"/>
  <c r="A695" i="10" a="1"/>
  <c r="A695" i="10" s="1"/>
  <c r="C695" i="10" a="1"/>
  <c r="C695" i="10" s="1"/>
  <c r="D695" i="10" s="1"/>
  <c r="K695" i="10" s="1" a="1"/>
  <c r="K695" i="10" s="1"/>
  <c r="A696" i="10" a="1"/>
  <c r="A696" i="10" s="1"/>
  <c r="C696" i="10" a="1"/>
  <c r="C696" i="10" s="1"/>
  <c r="D696" i="10" s="1"/>
  <c r="K696" i="10" s="1" a="1"/>
  <c r="K696" i="10" s="1"/>
  <c r="A697" i="10" a="1"/>
  <c r="A697" i="10" s="1"/>
  <c r="H697" i="10" s="1"/>
  <c r="I697" i="10" s="1"/>
  <c r="C697" i="10" a="1"/>
  <c r="C697" i="10" s="1"/>
  <c r="D697" i="10" s="1"/>
  <c r="K697" i="10" s="1" a="1"/>
  <c r="K697" i="10" s="1"/>
  <c r="A698" i="10" a="1"/>
  <c r="A698" i="10" s="1"/>
  <c r="C698" i="10" a="1"/>
  <c r="C698" i="10" s="1"/>
  <c r="D698" i="10" s="1"/>
  <c r="K698" i="10" s="1" a="1"/>
  <c r="K698" i="10" s="1"/>
  <c r="A699" i="10" a="1"/>
  <c r="A699" i="10" s="1"/>
  <c r="H699" i="10" s="1"/>
  <c r="I699" i="10" s="1"/>
  <c r="C699" i="10" a="1"/>
  <c r="C699" i="10" s="1"/>
  <c r="D699" i="10" s="1"/>
  <c r="K699" i="10" s="1" a="1"/>
  <c r="K699" i="10" s="1"/>
  <c r="A700" i="10" a="1"/>
  <c r="A700" i="10" s="1"/>
  <c r="C700" i="10" a="1"/>
  <c r="C700" i="10" s="1"/>
  <c r="D700" i="10" s="1"/>
  <c r="B60" i="17" s="1"/>
  <c r="A701" i="10" a="1"/>
  <c r="A701" i="10" s="1"/>
  <c r="B701" i="10" s="1"/>
  <c r="C701" i="10" a="1"/>
  <c r="C701" i="10" s="1"/>
  <c r="D701" i="10" s="1"/>
  <c r="K701" i="10" s="1" a="1"/>
  <c r="K701" i="10" s="1"/>
  <c r="A702" i="10" a="1"/>
  <c r="A702" i="10" s="1"/>
  <c r="C702" i="10" a="1"/>
  <c r="C702" i="10" s="1"/>
  <c r="D702" i="10" s="1"/>
  <c r="K702" i="10" s="1" a="1"/>
  <c r="K702" i="10" s="1"/>
  <c r="A703" i="10" a="1"/>
  <c r="A703" i="10" s="1"/>
  <c r="C703" i="10" a="1"/>
  <c r="C703" i="10" s="1"/>
  <c r="D703" i="10" s="1"/>
  <c r="K703" i="10" s="1" a="1"/>
  <c r="K703" i="10" s="1"/>
  <c r="A704" i="10" a="1"/>
  <c r="A704" i="10" s="1"/>
  <c r="C704" i="10" a="1"/>
  <c r="C704" i="10" s="1"/>
  <c r="D704" i="10" s="1"/>
  <c r="K704" i="10" s="1" a="1"/>
  <c r="K704" i="10" s="1"/>
  <c r="A705" i="10" a="1"/>
  <c r="A705" i="10" s="1"/>
  <c r="C705" i="10" a="1"/>
  <c r="C705" i="10" s="1"/>
  <c r="D705" i="10" s="1"/>
  <c r="K705" i="10" s="1" a="1"/>
  <c r="K705" i="10" s="1"/>
  <c r="A706" i="10" a="1"/>
  <c r="A706" i="10" s="1"/>
  <c r="H706" i="10" s="1"/>
  <c r="I706" i="10" s="1"/>
  <c r="C706" i="10" a="1"/>
  <c r="C706" i="10" s="1"/>
  <c r="D706" i="10" s="1"/>
  <c r="K706" i="10" s="1" a="1"/>
  <c r="K706" i="10" s="1"/>
  <c r="A707" i="10" a="1"/>
  <c r="A707" i="10" s="1"/>
  <c r="B707" i="10" s="1"/>
  <c r="C707" i="10" a="1"/>
  <c r="C707" i="10" s="1"/>
  <c r="D707" i="10" s="1"/>
  <c r="K707" i="10" s="1" a="1"/>
  <c r="K707" i="10" s="1"/>
  <c r="A708" i="10" a="1"/>
  <c r="A708" i="10" s="1"/>
  <c r="C708" i="10" a="1"/>
  <c r="C708" i="10" s="1"/>
  <c r="D708" i="10" s="1"/>
  <c r="K708" i="10" s="1" a="1"/>
  <c r="K708" i="10" s="1"/>
  <c r="A709" i="10" a="1"/>
  <c r="A709" i="10" s="1"/>
  <c r="C709" i="10" a="1"/>
  <c r="C709" i="10" s="1"/>
  <c r="D709" i="10" s="1"/>
  <c r="K709" i="10" s="1" a="1"/>
  <c r="K709" i="10" s="1"/>
  <c r="A710" i="10" a="1"/>
  <c r="A710" i="10" s="1"/>
  <c r="C710" i="10" a="1"/>
  <c r="C710" i="10" s="1"/>
  <c r="D710" i="10" s="1"/>
  <c r="K710" i="10" s="1" a="1"/>
  <c r="K710" i="10" s="1"/>
  <c r="A711" i="10" a="1"/>
  <c r="A711" i="10" s="1"/>
  <c r="B711" i="10" s="1"/>
  <c r="C711" i="10" a="1"/>
  <c r="C711" i="10" s="1"/>
  <c r="D711" i="10" s="1"/>
  <c r="K711" i="10" s="1" a="1"/>
  <c r="K711" i="10" s="1"/>
  <c r="A712" i="10" a="1"/>
  <c r="A712" i="10" s="1"/>
  <c r="F712" i="10" s="1"/>
  <c r="G712" i="10" s="1"/>
  <c r="C712" i="10" a="1"/>
  <c r="C712" i="10"/>
  <c r="D712" i="10" s="1"/>
  <c r="A713" i="10" a="1"/>
  <c r="A713" i="10" s="1"/>
  <c r="H713" i="10" s="1"/>
  <c r="I713" i="10" s="1"/>
  <c r="C713" i="10" a="1"/>
  <c r="C713" i="10" s="1"/>
  <c r="D713" i="10" s="1"/>
  <c r="K713" i="10" s="1" a="1"/>
  <c r="K713" i="10" s="1"/>
  <c r="A714" i="10" a="1"/>
  <c r="A714" i="10" s="1"/>
  <c r="F714" i="10" s="1"/>
  <c r="G714" i="10" s="1"/>
  <c r="C714" i="10" a="1"/>
  <c r="C714" i="10" s="1"/>
  <c r="D714" i="10" s="1"/>
  <c r="K714" i="10" s="1" a="1"/>
  <c r="K714" i="10" s="1"/>
  <c r="A715" i="10" a="1"/>
  <c r="A715" i="10" s="1"/>
  <c r="F715" i="10" s="1"/>
  <c r="G715" i="10" s="1"/>
  <c r="C715" i="10" a="1"/>
  <c r="C715" i="10" s="1"/>
  <c r="D715" i="10" s="1"/>
  <c r="K715" i="10" s="1" a="1"/>
  <c r="K715" i="10" s="1"/>
  <c r="A716" i="10" a="1"/>
  <c r="A716" i="10" s="1"/>
  <c r="H716" i="10" s="1"/>
  <c r="I716" i="10" s="1"/>
  <c r="C716" i="10" a="1"/>
  <c r="C716" i="10" s="1"/>
  <c r="D716" i="10" s="1"/>
  <c r="K716" i="10" s="1" a="1"/>
  <c r="K716" i="10" s="1"/>
  <c r="A717" i="10" a="1"/>
  <c r="A717" i="10" s="1"/>
  <c r="B717" i="10" s="1"/>
  <c r="C717" i="10" a="1"/>
  <c r="C717" i="10" s="1"/>
  <c r="D717" i="10" s="1"/>
  <c r="K717" i="10" s="1" a="1"/>
  <c r="K717" i="10" s="1"/>
  <c r="A718" i="10" a="1"/>
  <c r="A718" i="10" s="1"/>
  <c r="B718" i="10" s="1"/>
  <c r="C718" i="10" a="1"/>
  <c r="C718" i="10" s="1"/>
  <c r="D718" i="10" s="1"/>
  <c r="K718" i="10" s="1" a="1"/>
  <c r="K718" i="10" s="1"/>
  <c r="A719" i="10" a="1"/>
  <c r="A719" i="10" s="1"/>
  <c r="H719" i="10" s="1"/>
  <c r="I719" i="10" s="1"/>
  <c r="C719" i="10" a="1"/>
  <c r="C719" i="10" s="1"/>
  <c r="D719" i="10" s="1"/>
  <c r="K719" i="10" s="1" a="1"/>
  <c r="K719" i="10" s="1"/>
  <c r="A720" i="10" a="1"/>
  <c r="A720" i="10" s="1"/>
  <c r="F720" i="10" s="1"/>
  <c r="G720" i="10" s="1"/>
  <c r="C720" i="10" a="1"/>
  <c r="C720" i="10" s="1"/>
  <c r="D720" i="10" s="1"/>
  <c r="K720" i="10" s="1" a="1"/>
  <c r="K720" i="10" s="1"/>
  <c r="A721" i="10" a="1"/>
  <c r="A721" i="10" s="1"/>
  <c r="C721" i="10" a="1"/>
  <c r="C721" i="10" s="1"/>
  <c r="D721" i="10" s="1"/>
  <c r="K721" i="10" s="1" a="1"/>
  <c r="K721" i="10" s="1"/>
  <c r="A722" i="10" a="1"/>
  <c r="A722" i="10" s="1"/>
  <c r="H722" i="10" s="1"/>
  <c r="I722" i="10" s="1"/>
  <c r="C722" i="10" a="1"/>
  <c r="C722" i="10" s="1"/>
  <c r="D722" i="10" s="1"/>
  <c r="K722" i="10" s="1" a="1"/>
  <c r="K722" i="10" s="1"/>
  <c r="A723" i="10" a="1"/>
  <c r="A723" i="10" s="1"/>
  <c r="B723" i="10" s="1"/>
  <c r="C723" i="10" a="1"/>
  <c r="C723" i="10" s="1"/>
  <c r="D723" i="10" s="1"/>
  <c r="B62" i="17" s="1"/>
  <c r="A724" i="10" a="1"/>
  <c r="A724" i="10" s="1"/>
  <c r="F724" i="10" s="1"/>
  <c r="G724" i="10" s="1"/>
  <c r="C724" i="10" a="1"/>
  <c r="C724" i="10" s="1"/>
  <c r="D724" i="10" s="1"/>
  <c r="K724" i="10" s="1" a="1"/>
  <c r="K724" i="10" s="1"/>
  <c r="A725" i="10" a="1"/>
  <c r="A725" i="10" s="1"/>
  <c r="H725" i="10" s="1"/>
  <c r="I725" i="10" s="1"/>
  <c r="C725" i="10" a="1"/>
  <c r="C725" i="10" s="1"/>
  <c r="D725" i="10" s="1"/>
  <c r="K725" i="10" s="1" a="1"/>
  <c r="K725" i="10" s="1"/>
  <c r="A726" i="10" a="1"/>
  <c r="A726" i="10" s="1"/>
  <c r="F726" i="10" s="1"/>
  <c r="G726" i="10" s="1"/>
  <c r="C726" i="10" a="1"/>
  <c r="C726" i="10" s="1"/>
  <c r="D726" i="10" s="1"/>
  <c r="K726" i="10" s="1" a="1"/>
  <c r="K726" i="10" s="1"/>
  <c r="A727" i="10" a="1"/>
  <c r="A727" i="10" s="1"/>
  <c r="C727" i="10" a="1"/>
  <c r="C727" i="10" s="1"/>
  <c r="D727" i="10" s="1"/>
  <c r="K727" i="10" s="1" a="1"/>
  <c r="K727" i="10" s="1"/>
  <c r="A728" i="10" a="1"/>
  <c r="A728" i="10" s="1"/>
  <c r="H728" i="10" s="1"/>
  <c r="I728" i="10" s="1"/>
  <c r="C728" i="10" a="1"/>
  <c r="C728" i="10" s="1"/>
  <c r="D728" i="10" s="1"/>
  <c r="K728" i="10" s="1" a="1"/>
  <c r="K728" i="10" s="1"/>
  <c r="A729" i="10" a="1"/>
  <c r="A729" i="10" s="1"/>
  <c r="B729" i="10" s="1"/>
  <c r="C729" i="10" a="1"/>
  <c r="C729" i="10" s="1"/>
  <c r="D729" i="10" s="1"/>
  <c r="K729" i="10" s="1" a="1"/>
  <c r="K729" i="10" s="1"/>
  <c r="A730" i="10" a="1"/>
  <c r="A730" i="10" s="1"/>
  <c r="B730" i="10" s="1"/>
  <c r="C730" i="10" a="1"/>
  <c r="C730" i="10" s="1"/>
  <c r="D730" i="10" s="1"/>
  <c r="K730" i="10" s="1" a="1"/>
  <c r="K730" i="10" s="1"/>
  <c r="A731" i="10" a="1"/>
  <c r="A731" i="10" s="1"/>
  <c r="H731" i="10" s="1"/>
  <c r="I731" i="10" s="1"/>
  <c r="C731" i="10" a="1"/>
  <c r="C731" i="10" s="1"/>
  <c r="D731" i="10" s="1"/>
  <c r="K731" i="10" s="1" a="1"/>
  <c r="K731" i="10" s="1"/>
  <c r="A732" i="10" a="1"/>
  <c r="A732" i="10" s="1"/>
  <c r="F732" i="10" s="1"/>
  <c r="G732" i="10" s="1"/>
  <c r="C732" i="10" a="1"/>
  <c r="C732" i="10" s="1"/>
  <c r="D732" i="10" s="1"/>
  <c r="K732" i="10" s="1" a="1"/>
  <c r="K732" i="10" s="1"/>
  <c r="A733" i="10" a="1"/>
  <c r="A733" i="10" s="1"/>
  <c r="C733" i="10" a="1"/>
  <c r="C733" i="10" s="1"/>
  <c r="D733" i="10" s="1"/>
  <c r="K733" i="10" s="1" a="1"/>
  <c r="K733" i="10" s="1"/>
  <c r="A734" i="10" a="1"/>
  <c r="A734" i="10" s="1"/>
  <c r="C734" i="10" a="1"/>
  <c r="C734" i="10" s="1"/>
  <c r="D734" i="10" s="1"/>
  <c r="K734" i="10" s="1" a="1"/>
  <c r="K734" i="10" s="1"/>
  <c r="A735" i="10" a="1"/>
  <c r="A735" i="10" s="1"/>
  <c r="B735" i="10" s="1"/>
  <c r="C735" i="10" a="1"/>
  <c r="C735" i="10" s="1"/>
  <c r="D735" i="10" s="1"/>
  <c r="K735" i="10" s="1" a="1"/>
  <c r="K735" i="10" s="1"/>
  <c r="A736" i="10" a="1"/>
  <c r="A736" i="10" s="1"/>
  <c r="C736" i="10" a="1"/>
  <c r="C736" i="10" s="1"/>
  <c r="D736" i="10" s="1"/>
  <c r="A737" i="10" a="1"/>
  <c r="A737" i="10" s="1"/>
  <c r="H737" i="10" s="1"/>
  <c r="I737" i="10" s="1"/>
  <c r="C737" i="10" a="1"/>
  <c r="C737" i="10" s="1"/>
  <c r="D737" i="10" s="1"/>
  <c r="K737" i="10" s="1" a="1"/>
  <c r="K737" i="10" s="1"/>
  <c r="A738" i="10" a="1"/>
  <c r="A738" i="10" s="1"/>
  <c r="F738" i="10" s="1"/>
  <c r="G738" i="10" s="1"/>
  <c r="C738" i="10" a="1"/>
  <c r="C738" i="10" s="1"/>
  <c r="D738" i="10" s="1"/>
  <c r="K738" i="10" s="1" a="1"/>
  <c r="K738" i="10" s="1"/>
  <c r="A739" i="10" a="1"/>
  <c r="A739" i="10" s="1"/>
  <c r="C739" i="10" a="1"/>
  <c r="C739" i="10" s="1"/>
  <c r="D739" i="10" s="1"/>
  <c r="K739" i="10" s="1" a="1"/>
  <c r="K739" i="10" s="1"/>
  <c r="A740" i="10" a="1"/>
  <c r="A740" i="10" s="1"/>
  <c r="C740" i="10" a="1"/>
  <c r="C740" i="10" s="1"/>
  <c r="D740" i="10" s="1"/>
  <c r="K740" i="10" s="1" a="1"/>
  <c r="K740" i="10" s="1"/>
  <c r="A741" i="10" a="1"/>
  <c r="A741" i="10" s="1"/>
  <c r="C741" i="10" a="1"/>
  <c r="C741" i="10" s="1"/>
  <c r="D741" i="10" s="1"/>
  <c r="K741" i="10" s="1" a="1"/>
  <c r="K741" i="10" s="1"/>
  <c r="A742" i="10" a="1"/>
  <c r="A742" i="10" s="1"/>
  <c r="H742" i="10" s="1"/>
  <c r="I742" i="10" s="1"/>
  <c r="C742" i="10" a="1"/>
  <c r="C742" i="10" s="1"/>
  <c r="D742" i="10" s="1"/>
  <c r="K742" i="10" s="1" a="1"/>
  <c r="K742" i="10" s="1"/>
  <c r="A743" i="10" a="1"/>
  <c r="A743" i="10" s="1"/>
  <c r="H743" i="10" s="1"/>
  <c r="I743" i="10" s="1"/>
  <c r="C743" i="10" a="1"/>
  <c r="C743" i="10" s="1"/>
  <c r="D743" i="10" s="1"/>
  <c r="K743" i="10" s="1" a="1"/>
  <c r="K743" i="10" s="1"/>
  <c r="A744" i="10" a="1"/>
  <c r="A744" i="10" s="1"/>
  <c r="C744" i="10" a="1"/>
  <c r="C744" i="10" s="1"/>
  <c r="D744" i="10" s="1"/>
  <c r="K744" i="10" s="1" a="1"/>
  <c r="K744" i="10" s="1"/>
  <c r="A745" i="10" a="1"/>
  <c r="A745" i="10" s="1"/>
  <c r="C745" i="10" a="1"/>
  <c r="C745" i="10" s="1"/>
  <c r="D745" i="10" s="1"/>
  <c r="K745" i="10" s="1" a="1"/>
  <c r="K745" i="10" s="1"/>
  <c r="A746" i="10" a="1"/>
  <c r="A746" i="10" s="1"/>
  <c r="C746" i="10" a="1"/>
  <c r="C746" i="10" s="1"/>
  <c r="D746" i="10" s="1"/>
  <c r="K746" i="10" s="1" a="1"/>
  <c r="K746" i="10" s="1"/>
  <c r="A747" i="10" a="1"/>
  <c r="A747" i="10" s="1"/>
  <c r="B747" i="10" s="1"/>
  <c r="C747" i="10" a="1"/>
  <c r="C747" i="10" s="1"/>
  <c r="D747" i="10" s="1"/>
  <c r="K747" i="10" s="1" a="1"/>
  <c r="K747" i="10" s="1"/>
  <c r="A748" i="10" a="1"/>
  <c r="A748" i="10" s="1"/>
  <c r="C748" i="10" a="1"/>
  <c r="C748" i="10" s="1"/>
  <c r="D748" i="10" s="1"/>
  <c r="A749" i="10" a="1"/>
  <c r="A749" i="10" s="1"/>
  <c r="H749" i="10" s="1"/>
  <c r="I749" i="10" s="1"/>
  <c r="C749" i="10" a="1"/>
  <c r="C749" i="10" s="1"/>
  <c r="D749" i="10" s="1"/>
  <c r="K749" i="10" s="1" a="1"/>
  <c r="K749" i="10" s="1"/>
  <c r="A750" i="10" a="1"/>
  <c r="A750" i="10" s="1"/>
  <c r="F750" i="10" s="1"/>
  <c r="G750" i="10" s="1"/>
  <c r="C750" i="10" a="1"/>
  <c r="C750" i="10" s="1"/>
  <c r="D750" i="10" s="1"/>
  <c r="K750" i="10" s="1" a="1"/>
  <c r="K750" i="10" s="1"/>
  <c r="A751" i="10" a="1"/>
  <c r="A751" i="10" s="1"/>
  <c r="H751" i="10" s="1"/>
  <c r="I751" i="10" s="1"/>
  <c r="C751" i="10" a="1"/>
  <c r="C751" i="10" s="1"/>
  <c r="D751" i="10" s="1"/>
  <c r="K751" i="10" s="1" a="1"/>
  <c r="K751" i="10" s="1"/>
  <c r="A752" i="10" a="1"/>
  <c r="A752" i="10" s="1"/>
  <c r="C752" i="10" a="1"/>
  <c r="C752" i="10" s="1"/>
  <c r="D752" i="10" s="1"/>
  <c r="K752" i="10" s="1" a="1"/>
  <c r="K752" i="10" s="1"/>
  <c r="A753" i="10" a="1"/>
  <c r="A753" i="10" s="1"/>
  <c r="C753" i="10" a="1"/>
  <c r="C753" i="10" s="1"/>
  <c r="D753" i="10" s="1"/>
  <c r="K753" i="10" s="1" a="1"/>
  <c r="K753" i="10" s="1"/>
  <c r="A754" i="10" a="1"/>
  <c r="A754" i="10" s="1"/>
  <c r="B754" i="10" s="1"/>
  <c r="C754" i="10" a="1"/>
  <c r="C754" i="10" s="1"/>
  <c r="D754" i="10" s="1"/>
  <c r="K754" i="10" s="1" a="1"/>
  <c r="K754" i="10" s="1"/>
  <c r="A755" i="10" a="1"/>
  <c r="A755" i="10" s="1"/>
  <c r="H755" i="10" s="1"/>
  <c r="I755" i="10" s="1"/>
  <c r="C755" i="10" a="1"/>
  <c r="C755" i="10" s="1"/>
  <c r="D755" i="10" s="1"/>
  <c r="K755" i="10" s="1" a="1"/>
  <c r="K755" i="10" s="1"/>
  <c r="A756" i="10" a="1"/>
  <c r="A756" i="10" s="1"/>
  <c r="F756" i="10" s="1"/>
  <c r="G756" i="10" s="1"/>
  <c r="C756" i="10" a="1"/>
  <c r="C756" i="10" s="1"/>
  <c r="D756" i="10" s="1"/>
  <c r="K756" i="10" s="1" a="1"/>
  <c r="K756" i="10" s="1"/>
  <c r="A757" i="10" a="1"/>
  <c r="A757" i="10" s="1"/>
  <c r="H757" i="10" s="1"/>
  <c r="I757" i="10" s="1"/>
  <c r="C757" i="10" a="1"/>
  <c r="C757" i="10" s="1"/>
  <c r="D757" i="10" s="1"/>
  <c r="K757" i="10" s="1" a="1"/>
  <c r="K757" i="10" s="1"/>
  <c r="A758" i="10" a="1"/>
  <c r="A758" i="10" s="1"/>
  <c r="F758" i="10" s="1"/>
  <c r="G758" i="10" s="1"/>
  <c r="C758" i="10" a="1"/>
  <c r="C758" i="10" s="1"/>
  <c r="D758" i="10" s="1"/>
  <c r="K758" i="10" s="1" a="1"/>
  <c r="K758" i="10" s="1"/>
  <c r="A759" i="10" a="1"/>
  <c r="A759" i="10" s="1"/>
  <c r="F759" i="10" s="1"/>
  <c r="G759" i="10" s="1"/>
  <c r="C759" i="10" a="1"/>
  <c r="C759" i="10" s="1"/>
  <c r="D759" i="10" s="1"/>
  <c r="K759" i="10" s="1" a="1"/>
  <c r="K759" i="10" s="1"/>
  <c r="A760" i="10" a="1"/>
  <c r="A760" i="10" s="1"/>
  <c r="H760" i="10" s="1"/>
  <c r="I760" i="10" s="1"/>
  <c r="C760" i="10" a="1"/>
  <c r="C760" i="10" s="1"/>
  <c r="D760" i="10" s="1"/>
  <c r="A761" i="10" a="1"/>
  <c r="A761" i="10" s="1"/>
  <c r="H761" i="10" s="1"/>
  <c r="I761" i="10" s="1"/>
  <c r="C761" i="10" a="1"/>
  <c r="C761" i="10" s="1"/>
  <c r="D761" i="10" s="1"/>
  <c r="K761" i="10" s="1" a="1"/>
  <c r="K761" i="10" s="1"/>
  <c r="A762" i="10" a="1"/>
  <c r="A762" i="10" s="1"/>
  <c r="C762" i="10" a="1"/>
  <c r="C762" i="10" s="1"/>
  <c r="D762" i="10" s="1"/>
  <c r="K762" i="10" s="1" a="1"/>
  <c r="K762" i="10" s="1"/>
  <c r="A763" i="10" a="1"/>
  <c r="A763" i="10" s="1"/>
  <c r="F763" i="10" s="1"/>
  <c r="G763" i="10" s="1"/>
  <c r="C763" i="10" a="1"/>
  <c r="C763" i="10" s="1"/>
  <c r="D763" i="10" s="1"/>
  <c r="K763" i="10" s="1" a="1"/>
  <c r="K763" i="10" s="1"/>
  <c r="A764" i="10" a="1"/>
  <c r="A764" i="10" s="1"/>
  <c r="B764" i="10" s="1"/>
  <c r="C764" i="10" a="1"/>
  <c r="C764" i="10" s="1"/>
  <c r="D764" i="10" s="1"/>
  <c r="K764" i="10" s="1" a="1"/>
  <c r="K764" i="10" s="1"/>
  <c r="A765" i="10" a="1"/>
  <c r="A765" i="10" s="1"/>
  <c r="B765" i="10" s="1"/>
  <c r="C765" i="10" a="1"/>
  <c r="C765" i="10" s="1"/>
  <c r="D765" i="10" s="1"/>
  <c r="K765" i="10" s="1" a="1"/>
  <c r="K765" i="10" s="1"/>
  <c r="A766" i="10" a="1"/>
  <c r="A766" i="10" s="1"/>
  <c r="F766" i="10" s="1"/>
  <c r="G766" i="10" s="1"/>
  <c r="C766" i="10" a="1"/>
  <c r="C766" i="10" s="1"/>
  <c r="D766" i="10" s="1"/>
  <c r="K766" i="10" s="1" a="1"/>
  <c r="K766" i="10" s="1"/>
  <c r="A767" i="10" a="1"/>
  <c r="A767" i="10" s="1"/>
  <c r="H767" i="10" s="1"/>
  <c r="I767" i="10" s="1"/>
  <c r="C767" i="10" a="1"/>
  <c r="C767" i="10" s="1"/>
  <c r="D767" i="10" s="1"/>
  <c r="K767" i="10" s="1" a="1"/>
  <c r="K767" i="10" s="1"/>
  <c r="A768" i="10" a="1"/>
  <c r="A768" i="10" s="1"/>
  <c r="H768" i="10" s="1"/>
  <c r="I768" i="10" s="1"/>
  <c r="C768" i="10" a="1"/>
  <c r="C768" i="10" s="1"/>
  <c r="D768" i="10" s="1"/>
  <c r="K768" i="10" s="1" a="1"/>
  <c r="K768" i="10" s="1"/>
  <c r="A769" i="10" a="1"/>
  <c r="A769" i="10" s="1"/>
  <c r="C769" i="10" a="1"/>
  <c r="C769" i="10" s="1"/>
  <c r="D769" i="10" s="1"/>
  <c r="K769" i="10" s="1" a="1"/>
  <c r="K769" i="10" s="1"/>
  <c r="A770" i="10" a="1"/>
  <c r="A770" i="10" s="1"/>
  <c r="C770" i="10" a="1"/>
  <c r="C770" i="10" s="1"/>
  <c r="D770" i="10" s="1"/>
  <c r="K770" i="10" s="1" a="1"/>
  <c r="K770" i="10" s="1"/>
  <c r="A771" i="10" a="1"/>
  <c r="A771" i="10" s="1"/>
  <c r="B771" i="10" s="1"/>
  <c r="C771" i="10" a="1"/>
  <c r="C771" i="10" s="1"/>
  <c r="D771" i="10" s="1"/>
  <c r="K771" i="10" s="1" a="1"/>
  <c r="K771" i="10" s="1"/>
  <c r="A772" i="10" a="1"/>
  <c r="A772" i="10" s="1"/>
  <c r="C772" i="10" a="1"/>
  <c r="C772" i="10" s="1"/>
  <c r="D772" i="10" s="1"/>
  <c r="K772" i="10" s="1" a="1"/>
  <c r="K772" i="10" s="1"/>
  <c r="A773" i="10" a="1"/>
  <c r="A773" i="10" s="1"/>
  <c r="F773" i="10" s="1"/>
  <c r="G773" i="10" s="1"/>
  <c r="C773" i="10" a="1"/>
  <c r="C773" i="10" s="1"/>
  <c r="D773" i="10" s="1"/>
  <c r="K773" i="10" s="1" a="1"/>
  <c r="K773" i="10" s="1"/>
  <c r="A774" i="10" a="1"/>
  <c r="A774" i="10" s="1"/>
  <c r="C774" i="10" a="1"/>
  <c r="C774" i="10" s="1"/>
  <c r="D774" i="10" s="1"/>
  <c r="K774" i="10" s="1" a="1"/>
  <c r="K774" i="10" s="1"/>
  <c r="A775" i="10" a="1"/>
  <c r="A775" i="10" s="1"/>
  <c r="C775" i="10" a="1"/>
  <c r="C775" i="10" s="1"/>
  <c r="D775" i="10" s="1"/>
  <c r="K775" i="10" s="1" a="1"/>
  <c r="K775" i="10" s="1"/>
  <c r="A776" i="10" a="1"/>
  <c r="A776" i="10" s="1"/>
  <c r="C776" i="10" a="1"/>
  <c r="C776" i="10" s="1"/>
  <c r="D776" i="10" s="1"/>
  <c r="K776" i="10" s="1" a="1"/>
  <c r="K776" i="10" s="1"/>
  <c r="A777" i="10" a="1"/>
  <c r="A777" i="10" s="1"/>
  <c r="B777" i="10" s="1"/>
  <c r="C777" i="10" a="1"/>
  <c r="C777" i="10" s="1"/>
  <c r="D777" i="10" s="1"/>
  <c r="K777" i="10" s="1" a="1"/>
  <c r="K777" i="10" s="1"/>
  <c r="A778" i="10" a="1"/>
  <c r="A778" i="10" s="1"/>
  <c r="F778" i="10" s="1"/>
  <c r="G778" i="10" s="1"/>
  <c r="C778" i="10" a="1"/>
  <c r="C778" i="10" s="1"/>
  <c r="D778" i="10" s="1"/>
  <c r="K778" i="10" s="1" a="1"/>
  <c r="K778" i="10" s="1"/>
  <c r="A779" i="10" a="1"/>
  <c r="A779" i="10" s="1"/>
  <c r="C779" i="10" a="1"/>
  <c r="C779" i="10" s="1"/>
  <c r="D779" i="10" s="1"/>
  <c r="K779" i="10" s="1" a="1"/>
  <c r="K779" i="10" s="1"/>
  <c r="A780" i="10" a="1"/>
  <c r="A780" i="10" s="1"/>
  <c r="C780" i="10" a="1"/>
  <c r="C780" i="10" s="1"/>
  <c r="D780" i="10" s="1"/>
  <c r="K780" i="10" s="1" a="1"/>
  <c r="K780" i="10" s="1"/>
  <c r="A781" i="10" a="1"/>
  <c r="A781" i="10" s="1"/>
  <c r="H781" i="10" s="1"/>
  <c r="I781" i="10" s="1"/>
  <c r="C781" i="10" a="1"/>
  <c r="C781" i="10" s="1"/>
  <c r="D781" i="10" s="1"/>
  <c r="K781" i="10" s="1" a="1"/>
  <c r="K781" i="10" s="1"/>
  <c r="A782" i="10" a="1"/>
  <c r="A782" i="10" s="1"/>
  <c r="B782" i="10" s="1"/>
  <c r="C782" i="10" a="1"/>
  <c r="C782" i="10" s="1"/>
  <c r="D782" i="10" s="1"/>
  <c r="K782" i="10" s="1" a="1"/>
  <c r="K782" i="10" s="1"/>
  <c r="A783" i="10" a="1"/>
  <c r="A783" i="10" s="1"/>
  <c r="B783" i="10" s="1"/>
  <c r="C783" i="10" a="1"/>
  <c r="C783" i="10" s="1"/>
  <c r="D783" i="10" s="1"/>
  <c r="K783" i="10" s="1" a="1"/>
  <c r="K783" i="10" s="1"/>
  <c r="A784" i="10" a="1"/>
  <c r="A784" i="10" s="1"/>
  <c r="C784" i="10" a="1"/>
  <c r="C784" i="10" s="1"/>
  <c r="D784" i="10" s="1"/>
  <c r="B67" i="17" s="1"/>
  <c r="A785" i="10" a="1"/>
  <c r="A785" i="10" s="1"/>
  <c r="F785" i="10" s="1"/>
  <c r="G785" i="10" s="1"/>
  <c r="C785" i="10" a="1"/>
  <c r="C785" i="10" s="1"/>
  <c r="D785" i="10" s="1"/>
  <c r="K785" i="10" s="1" a="1"/>
  <c r="K785" i="10" s="1"/>
  <c r="A786" i="10" a="1"/>
  <c r="A786" i="10" s="1"/>
  <c r="C786" i="10" a="1"/>
  <c r="C786" i="10" s="1"/>
  <c r="D786" i="10" s="1"/>
  <c r="K786" i="10" s="1" a="1"/>
  <c r="K786" i="10" s="1"/>
  <c r="A787" i="10" a="1"/>
  <c r="A787" i="10" s="1"/>
  <c r="C787" i="10" a="1"/>
  <c r="C787" i="10" s="1"/>
  <c r="D787" i="10" s="1"/>
  <c r="K787" i="10" s="1" a="1"/>
  <c r="K787" i="10" s="1"/>
  <c r="A788" i="10" a="1"/>
  <c r="A788" i="10" s="1"/>
  <c r="C788" i="10" a="1"/>
  <c r="C788" i="10" s="1"/>
  <c r="D788" i="10" s="1"/>
  <c r="K788" i="10" s="1" a="1"/>
  <c r="K788" i="10" s="1"/>
  <c r="A789" i="10" a="1"/>
  <c r="A789" i="10" s="1"/>
  <c r="B789" i="10" s="1"/>
  <c r="C789" i="10" a="1"/>
  <c r="C789" i="10" s="1"/>
  <c r="D789" i="10" s="1"/>
  <c r="K789" i="10" s="1" a="1"/>
  <c r="K789" i="10" s="1"/>
  <c r="A790" i="10" a="1"/>
  <c r="A790" i="10" s="1"/>
  <c r="F790" i="10" s="1"/>
  <c r="G790" i="10" s="1"/>
  <c r="C790" i="10" a="1"/>
  <c r="C790" i="10" s="1"/>
  <c r="D790" i="10" s="1"/>
  <c r="K790" i="10" s="1" a="1"/>
  <c r="K790" i="10" s="1"/>
  <c r="A791" i="10" a="1"/>
  <c r="A791" i="10" s="1"/>
  <c r="C791" i="10" a="1"/>
  <c r="C791" i="10" s="1"/>
  <c r="D791" i="10" s="1"/>
  <c r="K791" i="10" s="1" a="1"/>
  <c r="K791" i="10" s="1"/>
  <c r="A792" i="10" a="1"/>
  <c r="A792" i="10" s="1"/>
  <c r="C792" i="10" a="1"/>
  <c r="C792" i="10" s="1"/>
  <c r="D792" i="10" s="1"/>
  <c r="K792" i="10" s="1" a="1"/>
  <c r="K792" i="10" s="1"/>
  <c r="A793" i="10" a="1"/>
  <c r="A793" i="10" s="1"/>
  <c r="C793" i="10" a="1"/>
  <c r="C793" i="10" s="1"/>
  <c r="D793" i="10" s="1"/>
  <c r="K793" i="10" s="1" a="1"/>
  <c r="K793" i="10" s="1"/>
  <c r="A794" i="10" a="1"/>
  <c r="A794" i="10" s="1"/>
  <c r="F794" i="10" s="1"/>
  <c r="G794" i="10" s="1"/>
  <c r="C794" i="10" a="1"/>
  <c r="C794" i="10" s="1"/>
  <c r="D794" i="10" s="1"/>
  <c r="K794" i="10" s="1" a="1"/>
  <c r="K794" i="10" s="1"/>
  <c r="A795" i="10" a="1"/>
  <c r="A795" i="10" s="1"/>
  <c r="B795" i="10" s="1"/>
  <c r="C795" i="10" a="1"/>
  <c r="C795" i="10" s="1"/>
  <c r="D795" i="10" s="1"/>
  <c r="K795" i="10" s="1" a="1"/>
  <c r="K795" i="10" s="1"/>
  <c r="A796" i="10" a="1"/>
  <c r="A796" i="10" s="1"/>
  <c r="C796" i="10" a="1"/>
  <c r="C796" i="10" s="1"/>
  <c r="D796" i="10" s="1"/>
  <c r="A797" i="10" a="1"/>
  <c r="A797" i="10" s="1"/>
  <c r="F797" i="10" s="1"/>
  <c r="G797" i="10" s="1"/>
  <c r="C797" i="10" a="1"/>
  <c r="C797" i="10" s="1"/>
  <c r="D797" i="10" s="1"/>
  <c r="K797" i="10" s="1" a="1"/>
  <c r="K797" i="10" s="1"/>
  <c r="A798" i="10" a="1"/>
  <c r="A798" i="10" s="1"/>
  <c r="F798" i="10" s="1"/>
  <c r="G798" i="10" s="1"/>
  <c r="C798" i="10" a="1"/>
  <c r="C798" i="10" s="1"/>
  <c r="D798" i="10" s="1"/>
  <c r="K798" i="10" s="1" a="1"/>
  <c r="K798" i="10" s="1"/>
  <c r="A799" i="10" a="1"/>
  <c r="A799" i="10" s="1"/>
  <c r="H799" i="10" s="1"/>
  <c r="I799" i="10" s="1"/>
  <c r="C799" i="10" a="1"/>
  <c r="C799" i="10" s="1"/>
  <c r="D799" i="10" s="1"/>
  <c r="K799" i="10" s="1" a="1"/>
  <c r="K799" i="10" s="1"/>
  <c r="A800" i="10" a="1"/>
  <c r="A800" i="10" s="1"/>
  <c r="F800" i="10" s="1"/>
  <c r="G800" i="10" s="1"/>
  <c r="C800" i="10" a="1"/>
  <c r="C800" i="10" s="1"/>
  <c r="D800" i="10" s="1"/>
  <c r="K800" i="10" s="1" a="1"/>
  <c r="K800" i="10" s="1"/>
  <c r="A801" i="10" a="1"/>
  <c r="A801" i="10" s="1"/>
  <c r="F801" i="10" s="1"/>
  <c r="G801" i="10" s="1"/>
  <c r="C801" i="10" a="1"/>
  <c r="C801" i="10" s="1"/>
  <c r="D801" i="10" s="1"/>
  <c r="K801" i="10" s="1" a="1"/>
  <c r="K801" i="10" s="1"/>
  <c r="A802" i="10" a="1"/>
  <c r="A802" i="10" s="1"/>
  <c r="C802" i="10" a="1"/>
  <c r="C802" i="10" s="1"/>
  <c r="D802" i="10" s="1"/>
  <c r="K802" i="10" s="1" a="1"/>
  <c r="K802" i="10" s="1"/>
  <c r="A803" i="10" a="1"/>
  <c r="A803" i="10" s="1"/>
  <c r="C803" i="10" a="1"/>
  <c r="C803" i="10" s="1"/>
  <c r="D803" i="10" s="1"/>
  <c r="K803" i="10" s="1" a="1"/>
  <c r="K803" i="10" s="1"/>
  <c r="A804" i="10" a="1"/>
  <c r="A804" i="10" s="1"/>
  <c r="B804" i="10" s="1"/>
  <c r="C804" i="10" a="1"/>
  <c r="C804" i="10" s="1"/>
  <c r="D804" i="10" s="1"/>
  <c r="K804" i="10" s="1" a="1"/>
  <c r="K804" i="10" s="1"/>
  <c r="A805" i="10" a="1"/>
  <c r="A805" i="10" s="1"/>
  <c r="C805" i="10" a="1"/>
  <c r="C805" i="10" s="1"/>
  <c r="D805" i="10" s="1"/>
  <c r="K805" i="10" s="1" a="1"/>
  <c r="K805" i="10" s="1"/>
  <c r="A806" i="10" a="1"/>
  <c r="A806" i="10" s="1"/>
  <c r="F806" i="10" s="1"/>
  <c r="G806" i="10" s="1"/>
  <c r="C806" i="10" a="1"/>
  <c r="C806" i="10" s="1"/>
  <c r="D806" i="10" s="1"/>
  <c r="K806" i="10" s="1" a="1"/>
  <c r="K806" i="10" s="1"/>
  <c r="A807" i="10" a="1"/>
  <c r="A807" i="10" s="1"/>
  <c r="B807" i="10" s="1"/>
  <c r="C807" i="10" a="1"/>
  <c r="C807" i="10" s="1"/>
  <c r="D807" i="10" s="1"/>
  <c r="B69" i="17" s="1"/>
  <c r="A808" i="10" a="1"/>
  <c r="A808" i="10" s="1"/>
  <c r="C808" i="10" a="1"/>
  <c r="C808" i="10" s="1"/>
  <c r="D808" i="10" s="1"/>
  <c r="K808" i="10" s="1" a="1"/>
  <c r="K808" i="10" s="1"/>
  <c r="A809" i="10" a="1"/>
  <c r="A809" i="10" s="1"/>
  <c r="C809" i="10" a="1"/>
  <c r="C809" i="10" s="1"/>
  <c r="D809" i="10" s="1"/>
  <c r="K809" i="10" s="1" a="1"/>
  <c r="K809" i="10" s="1"/>
  <c r="A810" i="10" a="1"/>
  <c r="A810" i="10" s="1"/>
  <c r="C810" i="10" a="1"/>
  <c r="C810" i="10" s="1"/>
  <c r="D810" i="10" s="1"/>
  <c r="K810" i="10" s="1" a="1"/>
  <c r="K810" i="10" s="1"/>
  <c r="A811" i="10" a="1"/>
  <c r="A811" i="10" s="1"/>
  <c r="C811" i="10" a="1"/>
  <c r="C811" i="10" s="1"/>
  <c r="D811" i="10" s="1"/>
  <c r="K811" i="10" s="1" a="1"/>
  <c r="K811" i="10" s="1"/>
  <c r="A812" i="10" a="1"/>
  <c r="A812" i="10" s="1"/>
  <c r="F812" i="10" s="1"/>
  <c r="G812" i="10" s="1"/>
  <c r="C812" i="10" a="1"/>
  <c r="C812" i="10" s="1"/>
  <c r="D812" i="10" s="1"/>
  <c r="K812" i="10" s="1" a="1"/>
  <c r="K812" i="10" s="1"/>
  <c r="A813" i="10" a="1"/>
  <c r="A813" i="10" s="1"/>
  <c r="B813" i="10" s="1"/>
  <c r="C813" i="10" a="1"/>
  <c r="C813" i="10" s="1"/>
  <c r="D813" i="10" s="1"/>
  <c r="K813" i="10" s="1" a="1"/>
  <c r="K813" i="10" s="1"/>
  <c r="A814" i="10" a="1"/>
  <c r="A814" i="10" s="1"/>
  <c r="F814" i="10" s="1"/>
  <c r="G814" i="10" s="1"/>
  <c r="C814" i="10" a="1"/>
  <c r="C814" i="10" s="1"/>
  <c r="D814" i="10" s="1"/>
  <c r="K814" i="10" s="1" a="1"/>
  <c r="K814" i="10" s="1"/>
  <c r="A815" i="10" a="1"/>
  <c r="A815" i="10" s="1"/>
  <c r="C815" i="10" a="1"/>
  <c r="C815" i="10" s="1"/>
  <c r="D815" i="10" s="1"/>
  <c r="K815" i="10" s="1" a="1"/>
  <c r="K815" i="10" s="1"/>
  <c r="A816" i="10" a="1"/>
  <c r="A816" i="10" s="1"/>
  <c r="F816" i="10" s="1"/>
  <c r="G816" i="10" s="1"/>
  <c r="C816" i="10" a="1"/>
  <c r="C816" i="10" s="1"/>
  <c r="D816" i="10" s="1"/>
  <c r="K816" i="10" s="1" a="1"/>
  <c r="K816" i="10" s="1"/>
  <c r="A817" i="10" a="1"/>
  <c r="A817" i="10" s="1"/>
  <c r="H817" i="10" s="1"/>
  <c r="I817" i="10" s="1"/>
  <c r="C817" i="10" a="1"/>
  <c r="C817" i="10" s="1"/>
  <c r="D817" i="10" s="1"/>
  <c r="K817" i="10" s="1" a="1"/>
  <c r="K817" i="10" s="1"/>
  <c r="A818" i="10" a="1"/>
  <c r="A818" i="10" s="1"/>
  <c r="B818" i="10" s="1"/>
  <c r="C818" i="10" a="1"/>
  <c r="C818" i="10" s="1"/>
  <c r="D818" i="10" s="1"/>
  <c r="K818" i="10" s="1" a="1"/>
  <c r="K818" i="10" s="1"/>
  <c r="A819" i="10" a="1"/>
  <c r="A819" i="10" s="1"/>
  <c r="C819" i="10" a="1"/>
  <c r="C819" i="10" s="1"/>
  <c r="D819" i="10" s="1"/>
  <c r="K819" i="10" s="1" a="1"/>
  <c r="K819" i="10" s="1"/>
  <c r="A820" i="10" a="1"/>
  <c r="A820" i="10" s="1"/>
  <c r="B820" i="10" s="1"/>
  <c r="C820" i="10" a="1"/>
  <c r="C820" i="10" s="1"/>
  <c r="D820" i="10" s="1"/>
  <c r="A821" i="10" a="1"/>
  <c r="A821" i="10" s="1"/>
  <c r="H821" i="10" s="1"/>
  <c r="I821" i="10" s="1"/>
  <c r="C821" i="10" a="1"/>
  <c r="C821" i="10" s="1"/>
  <c r="D821" i="10" s="1"/>
  <c r="K821" i="10" s="1" a="1"/>
  <c r="K821" i="10" s="1"/>
  <c r="A822" i="10" a="1"/>
  <c r="A822" i="10" s="1"/>
  <c r="H822" i="10" s="1"/>
  <c r="I822" i="10" s="1"/>
  <c r="C822" i="10" a="1"/>
  <c r="C822" i="10" s="1"/>
  <c r="D822" i="10" s="1"/>
  <c r="K822" i="10" s="1" a="1"/>
  <c r="K822" i="10" s="1"/>
  <c r="A823" i="10" a="1"/>
  <c r="A823" i="10" s="1"/>
  <c r="C823" i="10" a="1"/>
  <c r="C823" i="10" s="1"/>
  <c r="D823" i="10" s="1"/>
  <c r="K823" i="10" s="1" a="1"/>
  <c r="K823" i="10" s="1"/>
  <c r="A824" i="10" a="1"/>
  <c r="A824" i="10" s="1"/>
  <c r="B824" i="10" s="1"/>
  <c r="C824" i="10" a="1"/>
  <c r="C824" i="10" s="1"/>
  <c r="D824" i="10" s="1"/>
  <c r="K824" i="10" s="1" a="1"/>
  <c r="K824" i="10" s="1"/>
  <c r="A825" i="10" a="1"/>
  <c r="A825" i="10" s="1"/>
  <c r="F825" i="10" s="1"/>
  <c r="G825" i="10" s="1"/>
  <c r="C825" i="10" a="1"/>
  <c r="C825" i="10" s="1"/>
  <c r="D825" i="10" s="1"/>
  <c r="K825" i="10" s="1" a="1"/>
  <c r="K825" i="10" s="1"/>
  <c r="A826" i="10" a="1"/>
  <c r="A826" i="10" s="1"/>
  <c r="H826" i="10" s="1"/>
  <c r="I826" i="10" s="1"/>
  <c r="C826" i="10" a="1"/>
  <c r="C826" i="10" s="1"/>
  <c r="D826" i="10" s="1"/>
  <c r="K826" i="10" s="1" a="1"/>
  <c r="K826" i="10" s="1"/>
  <c r="A827" i="10" a="1"/>
  <c r="A827" i="10" s="1"/>
  <c r="C827" i="10" a="1"/>
  <c r="C827" i="10" s="1"/>
  <c r="D827" i="10" s="1"/>
  <c r="K827" i="10" s="1" a="1"/>
  <c r="K827" i="10" s="1"/>
  <c r="A828" i="10" a="1"/>
  <c r="A828" i="10" s="1"/>
  <c r="F828" i="10" s="1"/>
  <c r="G828" i="10" s="1"/>
  <c r="C828" i="10" a="1"/>
  <c r="C828" i="10" s="1"/>
  <c r="D828" i="10" s="1"/>
  <c r="K828" i="10" s="1" a="1"/>
  <c r="K828" i="10" s="1"/>
  <c r="A829" i="10" a="1"/>
  <c r="A829" i="10" s="1"/>
  <c r="H829" i="10" s="1"/>
  <c r="I829" i="10" s="1"/>
  <c r="J829" i="10" s="1"/>
  <c r="C829" i="10" a="1"/>
  <c r="C829" i="10" s="1"/>
  <c r="D829" i="10" s="1"/>
  <c r="K829" i="10" s="1" a="1"/>
  <c r="K829" i="10" s="1"/>
  <c r="A830" i="10" a="1"/>
  <c r="A830" i="10" s="1"/>
  <c r="F830" i="10" s="1"/>
  <c r="G830" i="10" s="1"/>
  <c r="C830" i="10" a="1"/>
  <c r="C830" i="10" s="1"/>
  <c r="D830" i="10" s="1"/>
  <c r="K830" i="10" s="1" a="1"/>
  <c r="K830" i="10" s="1"/>
  <c r="A831" i="10" a="1"/>
  <c r="A831" i="10" s="1"/>
  <c r="F831" i="10" s="1"/>
  <c r="G831" i="10" s="1"/>
  <c r="C831" i="10" a="1"/>
  <c r="C831" i="10" s="1"/>
  <c r="D831" i="10" s="1"/>
  <c r="K831" i="10" s="1" a="1"/>
  <c r="K831" i="10" s="1"/>
  <c r="A832" i="10" a="1"/>
  <c r="A832" i="10" s="1"/>
  <c r="B832" i="10" s="1"/>
  <c r="C832" i="10" a="1"/>
  <c r="C832" i="10" s="1"/>
  <c r="D832" i="10" s="1"/>
  <c r="B71" i="17" s="1"/>
  <c r="A833" i="10" a="1"/>
  <c r="A833" i="10" s="1"/>
  <c r="C833" i="10" a="1"/>
  <c r="C833" i="10" s="1"/>
  <c r="D833" i="10" s="1"/>
  <c r="K833" i="10" s="1" a="1"/>
  <c r="K833" i="10" s="1"/>
  <c r="A834" i="10" a="1"/>
  <c r="A834" i="10" s="1"/>
  <c r="F834" i="10" s="1"/>
  <c r="G834" i="10" s="1"/>
  <c r="C834" i="10" a="1"/>
  <c r="C834" i="10" s="1"/>
  <c r="D834" i="10" s="1"/>
  <c r="K834" i="10" s="1" a="1"/>
  <c r="K834" i="10" s="1"/>
  <c r="A835" i="10" a="1"/>
  <c r="A835" i="10" s="1"/>
  <c r="C835" i="10" a="1"/>
  <c r="C835" i="10" s="1"/>
  <c r="D835" i="10" s="1"/>
  <c r="K835" i="10" s="1" a="1"/>
  <c r="K835" i="10" s="1"/>
  <c r="A836" i="10" a="1"/>
  <c r="A836" i="10" s="1"/>
  <c r="C836" i="10" a="1"/>
  <c r="C836" i="10" s="1"/>
  <c r="D836" i="10" s="1"/>
  <c r="K836" i="10" s="1" a="1"/>
  <c r="K836" i="10" s="1"/>
  <c r="A837" i="10" a="1"/>
  <c r="A837" i="10" s="1"/>
  <c r="F837" i="10" s="1"/>
  <c r="G837" i="10" s="1"/>
  <c r="C837" i="10" a="1"/>
  <c r="C837" i="10" s="1"/>
  <c r="D837" i="10" s="1"/>
  <c r="K837" i="10" s="1" a="1"/>
  <c r="K837" i="10" s="1"/>
  <c r="A838" i="10" a="1"/>
  <c r="A838" i="10" s="1"/>
  <c r="C838" i="10" a="1"/>
  <c r="C838" i="10" s="1"/>
  <c r="D838" i="10" s="1"/>
  <c r="K838" i="10" s="1" a="1"/>
  <c r="K838" i="10" s="1"/>
  <c r="A839" i="10" a="1"/>
  <c r="A839" i="10" s="1"/>
  <c r="C839" i="10" a="1"/>
  <c r="C839" i="10" s="1"/>
  <c r="D839" i="10" s="1"/>
  <c r="K839" i="10" s="1" a="1"/>
  <c r="K839" i="10" s="1"/>
  <c r="A840" i="10" a="1"/>
  <c r="A840" i="10" s="1"/>
  <c r="F840" i="10" s="1"/>
  <c r="G840" i="10" s="1"/>
  <c r="C840" i="10" a="1"/>
  <c r="C840" i="10" s="1"/>
  <c r="D840" i="10" s="1"/>
  <c r="K840" i="10" s="1" a="1"/>
  <c r="K840" i="10" s="1"/>
  <c r="A841" i="10" a="1"/>
  <c r="A841" i="10" s="1"/>
  <c r="F841" i="10" s="1"/>
  <c r="G841" i="10" s="1"/>
  <c r="C841" i="10" a="1"/>
  <c r="C841" i="10" s="1"/>
  <c r="D841" i="10" s="1"/>
  <c r="K841" i="10" s="1" a="1"/>
  <c r="K841" i="10" s="1"/>
  <c r="A614" i="10" a="1"/>
  <c r="A614" i="10" s="1"/>
  <c r="C614" i="10" a="1"/>
  <c r="C614" i="10" s="1"/>
  <c r="D614" i="10" s="1"/>
  <c r="K614" i="10" s="1" a="1"/>
  <c r="K614" i="10" s="1"/>
  <c r="A615" i="10" a="1"/>
  <c r="A615" i="10" s="1"/>
  <c r="C615" i="10" a="1"/>
  <c r="C615" i="10" s="1"/>
  <c r="D615" i="10" s="1"/>
  <c r="K615" i="10" s="1" a="1"/>
  <c r="K615" i="10" s="1"/>
  <c r="A616" i="10" a="1"/>
  <c r="A616" i="10" s="1"/>
  <c r="C616" i="10" a="1"/>
  <c r="C616" i="10" s="1"/>
  <c r="D616" i="10" s="1"/>
  <c r="A617" i="10" a="1"/>
  <c r="A617" i="10" s="1"/>
  <c r="C617" i="10" a="1"/>
  <c r="C617" i="10" s="1"/>
  <c r="D617" i="10" s="1"/>
  <c r="K617" i="10" s="1" a="1"/>
  <c r="K617" i="10" s="1"/>
  <c r="A618" i="10" a="1"/>
  <c r="A618" i="10" s="1"/>
  <c r="C618" i="10" a="1"/>
  <c r="C618" i="10" s="1"/>
  <c r="D618" i="10" s="1"/>
  <c r="K618" i="10" s="1" a="1"/>
  <c r="K618" i="10" s="1"/>
  <c r="A619" i="10" a="1"/>
  <c r="A619" i="10" s="1"/>
  <c r="C619" i="10" a="1"/>
  <c r="C619" i="10" s="1"/>
  <c r="D619" i="10" s="1"/>
  <c r="K619" i="10" s="1" a="1"/>
  <c r="K619" i="10" s="1"/>
  <c r="A620" i="10" a="1"/>
  <c r="A620" i="10" s="1"/>
  <c r="C620" i="10" a="1"/>
  <c r="C620" i="10" s="1"/>
  <c r="D620" i="10" s="1"/>
  <c r="K620" i="10" s="1" a="1"/>
  <c r="K620" i="10" s="1"/>
  <c r="A621" i="10" a="1"/>
  <c r="A621" i="10" s="1"/>
  <c r="C621" i="10" a="1"/>
  <c r="C621" i="10" s="1"/>
  <c r="D621" i="10" s="1"/>
  <c r="K621" i="10" s="1" a="1"/>
  <c r="K621" i="10" s="1"/>
  <c r="A622" i="10" a="1"/>
  <c r="A622" i="10" s="1"/>
  <c r="C622" i="10" a="1"/>
  <c r="C622" i="10" s="1"/>
  <c r="D622" i="10" s="1"/>
  <c r="K622" i="10" s="1" a="1"/>
  <c r="K622" i="10" s="1"/>
  <c r="A623" i="10" a="1"/>
  <c r="A623" i="10" s="1"/>
  <c r="C623" i="10" a="1"/>
  <c r="C623" i="10" s="1"/>
  <c r="D623" i="10" s="1"/>
  <c r="K623" i="10" s="1" a="1"/>
  <c r="K623" i="10" s="1"/>
  <c r="A624" i="10" a="1"/>
  <c r="A624" i="10" s="1"/>
  <c r="C624" i="10" a="1"/>
  <c r="C624" i="10" s="1"/>
  <c r="D624" i="10" s="1"/>
  <c r="K624" i="10" s="1" a="1"/>
  <c r="K624" i="10" s="1"/>
  <c r="A625" i="10" a="1"/>
  <c r="A625" i="10" s="1"/>
  <c r="C625" i="10" a="1"/>
  <c r="C625" i="10" s="1"/>
  <c r="D625" i="10" s="1"/>
  <c r="K625" i="10" s="1" a="1"/>
  <c r="K625" i="10" s="1"/>
  <c r="A626" i="10" a="1"/>
  <c r="A626" i="10" s="1"/>
  <c r="C626" i="10" a="1"/>
  <c r="C626" i="10" s="1"/>
  <c r="D626" i="10" s="1"/>
  <c r="K626" i="10" s="1" a="1"/>
  <c r="K626" i="10" s="1"/>
  <c r="A627" i="10" a="1"/>
  <c r="A627" i="10" s="1"/>
  <c r="C627" i="10" a="1"/>
  <c r="C627" i="10" s="1"/>
  <c r="D627" i="10" s="1"/>
  <c r="K627" i="10" s="1" a="1"/>
  <c r="K627" i="10" s="1"/>
  <c r="A628" i="10" a="1"/>
  <c r="A628" i="10" s="1"/>
  <c r="C628" i="10" a="1"/>
  <c r="C628" i="10" s="1"/>
  <c r="D628" i="10" s="1"/>
  <c r="A629" i="10" a="1"/>
  <c r="A629" i="10" s="1"/>
  <c r="C629" i="10" a="1"/>
  <c r="C629" i="10" s="1"/>
  <c r="D629" i="10" s="1"/>
  <c r="K629" i="10" s="1" a="1"/>
  <c r="K629" i="10" s="1"/>
  <c r="A630" i="10" a="1"/>
  <c r="A630" i="10" s="1"/>
  <c r="C630" i="10" a="1"/>
  <c r="C630" i="10" s="1"/>
  <c r="D630" i="10" s="1"/>
  <c r="K630" i="10" s="1" a="1"/>
  <c r="K630" i="10" s="1"/>
  <c r="A631" i="10" a="1"/>
  <c r="A631" i="10" s="1"/>
  <c r="C631" i="10" a="1"/>
  <c r="C631" i="10" s="1"/>
  <c r="D631" i="10" s="1"/>
  <c r="K631" i="10" s="1" a="1"/>
  <c r="K631" i="10" s="1"/>
  <c r="A632" i="10" a="1"/>
  <c r="A632" i="10" s="1"/>
  <c r="C632" i="10" a="1"/>
  <c r="C632" i="10" s="1"/>
  <c r="D632" i="10" s="1"/>
  <c r="K632" i="10" s="1" a="1"/>
  <c r="K632" i="10" s="1"/>
  <c r="A633" i="10" a="1"/>
  <c r="A633" i="10" s="1"/>
  <c r="C633" i="10" a="1"/>
  <c r="C633" i="10" s="1"/>
  <c r="D633" i="10" s="1"/>
  <c r="K633" i="10" s="1" a="1"/>
  <c r="K633" i="10" s="1"/>
  <c r="A634" i="10" a="1"/>
  <c r="A634" i="10" s="1"/>
  <c r="C634" i="10" a="1"/>
  <c r="C634" i="10" s="1"/>
  <c r="D634" i="10" s="1"/>
  <c r="K634" i="10" s="1" a="1"/>
  <c r="K634" i="10" s="1"/>
  <c r="A635" i="10" a="1"/>
  <c r="A635" i="10" s="1"/>
  <c r="H635" i="10" s="1"/>
  <c r="I635" i="10" s="1"/>
  <c r="C635" i="10" a="1"/>
  <c r="C635" i="10" s="1"/>
  <c r="D635" i="10" s="1"/>
  <c r="K635" i="10" s="1" a="1"/>
  <c r="K635" i="10" s="1"/>
  <c r="A636" i="10" a="1"/>
  <c r="A636" i="10" s="1"/>
  <c r="B636" i="10" s="1"/>
  <c r="C636" i="10" a="1"/>
  <c r="C636" i="10" s="1"/>
  <c r="D636" i="10" s="1"/>
  <c r="K636" i="10" s="1" a="1"/>
  <c r="K636" i="10" s="1"/>
  <c r="A637" i="10" a="1"/>
  <c r="A637" i="10" s="1"/>
  <c r="F637" i="10" s="1"/>
  <c r="G637" i="10" s="1"/>
  <c r="C637" i="10" a="1"/>
  <c r="C637" i="10" s="1"/>
  <c r="D637" i="10" s="1"/>
  <c r="K637" i="10" s="1" a="1"/>
  <c r="K637" i="10" s="1"/>
  <c r="A638" i="10" a="1"/>
  <c r="A638" i="10" s="1"/>
  <c r="F638" i="10" s="1"/>
  <c r="G638" i="10" s="1"/>
  <c r="C638" i="10" a="1"/>
  <c r="C638" i="10" s="1"/>
  <c r="D638" i="10" s="1"/>
  <c r="K638" i="10" s="1" a="1"/>
  <c r="K638" i="10" s="1"/>
  <c r="A639" i="10" a="1"/>
  <c r="A639" i="10" s="1"/>
  <c r="H639" i="10" s="1"/>
  <c r="I639" i="10" s="1"/>
  <c r="C639" i="10" a="1"/>
  <c r="C639" i="10" s="1"/>
  <c r="D639" i="10" s="1"/>
  <c r="K639" i="10" s="1" a="1"/>
  <c r="K639" i="10" s="1"/>
  <c r="A640" i="10" a="1"/>
  <c r="A640" i="10" s="1"/>
  <c r="C640" i="10" a="1"/>
  <c r="C640" i="10" s="1"/>
  <c r="D640" i="10" s="1"/>
  <c r="A641" i="10" a="1"/>
  <c r="A641" i="10" s="1"/>
  <c r="B641" i="10" s="1"/>
  <c r="C641" i="10" a="1"/>
  <c r="C641" i="10" s="1"/>
  <c r="D641" i="10" s="1"/>
  <c r="K641" i="10" s="1" a="1"/>
  <c r="K641" i="10" s="1"/>
  <c r="A642" i="10" a="1"/>
  <c r="A642" i="10" s="1"/>
  <c r="B642" i="10" s="1"/>
  <c r="C642" i="10" a="1"/>
  <c r="C642" i="10" s="1"/>
  <c r="D642" i="10" s="1"/>
  <c r="K642" i="10" s="1" a="1"/>
  <c r="K642" i="10" s="1"/>
  <c r="A643" i="10" a="1"/>
  <c r="A643" i="10" s="1"/>
  <c r="H643" i="10" s="1"/>
  <c r="I643" i="10" s="1"/>
  <c r="C643" i="10" a="1"/>
  <c r="C643" i="10" s="1"/>
  <c r="D643" i="10" s="1"/>
  <c r="K643" i="10" s="1" a="1"/>
  <c r="K643" i="10" s="1"/>
  <c r="A644" i="10" a="1"/>
  <c r="A644" i="10" s="1"/>
  <c r="B644" i="10" s="1"/>
  <c r="C644" i="10" a="1"/>
  <c r="C644" i="10" s="1"/>
  <c r="D644" i="10" s="1"/>
  <c r="K644" i="10" s="1" a="1"/>
  <c r="K644" i="10" s="1"/>
  <c r="A645" i="10" a="1"/>
  <c r="A645" i="10" s="1"/>
  <c r="H645" i="10" s="1"/>
  <c r="I645" i="10" s="1"/>
  <c r="C645" i="10" a="1"/>
  <c r="C645" i="10" s="1"/>
  <c r="D645" i="10" s="1"/>
  <c r="K645" i="10" s="1" a="1"/>
  <c r="K645" i="10" s="1"/>
  <c r="A646" i="10" a="1"/>
  <c r="A646" i="10" s="1"/>
  <c r="B646" i="10" s="1"/>
  <c r="C646" i="10" a="1"/>
  <c r="C646" i="10" s="1"/>
  <c r="D646" i="10" s="1"/>
  <c r="K646" i="10" s="1" a="1"/>
  <c r="K646" i="10" s="1"/>
  <c r="A647" i="10" a="1"/>
  <c r="A647" i="10" s="1"/>
  <c r="B647" i="10" s="1"/>
  <c r="C647" i="10" a="1"/>
  <c r="C647" i="10" s="1"/>
  <c r="D647" i="10" s="1"/>
  <c r="K647" i="10" s="1" a="1"/>
  <c r="K647" i="10" s="1"/>
  <c r="A648" i="10" a="1"/>
  <c r="A648" i="10" s="1"/>
  <c r="H648" i="10" s="1"/>
  <c r="I648" i="10" s="1"/>
  <c r="C648" i="10" a="1"/>
  <c r="C648" i="10" s="1"/>
  <c r="D648" i="10" s="1"/>
  <c r="K648" i="10" s="1" a="1"/>
  <c r="K648" i="10" s="1"/>
  <c r="A649" i="10" a="1"/>
  <c r="A649" i="10" s="1"/>
  <c r="B649" i="10" s="1"/>
  <c r="C649" i="10" a="1"/>
  <c r="C649" i="10" s="1"/>
  <c r="D649" i="10" s="1"/>
  <c r="K649" i="10" s="1" a="1"/>
  <c r="K649" i="10" s="1"/>
  <c r="A650" i="10" a="1"/>
  <c r="A650" i="10" s="1"/>
  <c r="B650" i="10" s="1"/>
  <c r="C650" i="10" a="1"/>
  <c r="C650" i="10" s="1"/>
  <c r="D650" i="10" s="1"/>
  <c r="K650" i="10" s="1" a="1"/>
  <c r="K650" i="10" s="1"/>
  <c r="A651" i="10" a="1"/>
  <c r="A651" i="10" s="1"/>
  <c r="H651" i="10" s="1"/>
  <c r="I651" i="10" s="1"/>
  <c r="C651" i="10" a="1"/>
  <c r="C651" i="10" s="1"/>
  <c r="D651" i="10" s="1"/>
  <c r="K651" i="10" s="1" a="1"/>
  <c r="K651" i="10" s="1"/>
  <c r="A652" i="10" a="1"/>
  <c r="A652" i="10" s="1"/>
  <c r="B652" i="10" s="1"/>
  <c r="C652" i="10" a="1"/>
  <c r="C652" i="10" s="1"/>
  <c r="D652" i="10" s="1"/>
  <c r="A653" i="10" a="1"/>
  <c r="A653" i="10" s="1"/>
  <c r="B653" i="10" s="1"/>
  <c r="C653" i="10" a="1"/>
  <c r="C653" i="10" s="1"/>
  <c r="D653" i="10" s="1"/>
  <c r="K653" i="10" s="1" a="1"/>
  <c r="K653" i="10" s="1"/>
  <c r="A654" i="10" a="1"/>
  <c r="A654" i="10" s="1"/>
  <c r="H654" i="10" s="1"/>
  <c r="I654" i="10" s="1"/>
  <c r="C654" i="10" a="1"/>
  <c r="C654" i="10" s="1"/>
  <c r="D654" i="10" s="1"/>
  <c r="K654" i="10" s="1" a="1"/>
  <c r="K654" i="10" s="1"/>
  <c r="A655" i="10" a="1"/>
  <c r="A655" i="10" s="1"/>
  <c r="B655" i="10" s="1"/>
  <c r="C655" i="10" a="1"/>
  <c r="C655" i="10" s="1"/>
  <c r="D655" i="10" s="1"/>
  <c r="K655" i="10" s="1" a="1"/>
  <c r="K655" i="10" s="1"/>
  <c r="A656" i="10" a="1"/>
  <c r="A656" i="10" s="1"/>
  <c r="B656" i="10" s="1"/>
  <c r="C656" i="10" a="1"/>
  <c r="C656" i="10" s="1"/>
  <c r="D656" i="10" s="1"/>
  <c r="K656" i="10" s="1" a="1"/>
  <c r="K656" i="10" s="1"/>
  <c r="A657" i="10" a="1"/>
  <c r="A657" i="10" s="1"/>
  <c r="H657" i="10" s="1"/>
  <c r="I657" i="10" s="1"/>
  <c r="C657" i="10" a="1"/>
  <c r="C657" i="10" s="1"/>
  <c r="D657" i="10" s="1"/>
  <c r="K657" i="10" s="1" a="1"/>
  <c r="K657" i="10" s="1"/>
  <c r="A658" i="10" a="1"/>
  <c r="A658" i="10" s="1"/>
  <c r="B658" i="10" s="1"/>
  <c r="C658" i="10" a="1"/>
  <c r="C658" i="10" s="1"/>
  <c r="D658" i="10" s="1"/>
  <c r="K658" i="10" s="1" a="1"/>
  <c r="K658" i="10" s="1"/>
  <c r="A659" i="10" a="1"/>
  <c r="A659" i="10" s="1"/>
  <c r="B659" i="10" s="1"/>
  <c r="C659" i="10" a="1"/>
  <c r="C659" i="10" s="1"/>
  <c r="D659" i="10" s="1"/>
  <c r="K659" i="10" s="1" a="1"/>
  <c r="K659" i="10" s="1"/>
  <c r="A660" i="10" a="1"/>
  <c r="A660" i="10" s="1"/>
  <c r="H660" i="10" s="1"/>
  <c r="I660" i="10" s="1"/>
  <c r="C660" i="10" a="1"/>
  <c r="C660" i="10" s="1"/>
  <c r="D660" i="10" s="1"/>
  <c r="K660" i="10" s="1" a="1"/>
  <c r="K660" i="10" s="1"/>
  <c r="A661" i="10" a="1"/>
  <c r="A661" i="10" s="1"/>
  <c r="B661" i="10" s="1"/>
  <c r="C661" i="10" a="1"/>
  <c r="C661" i="10" s="1"/>
  <c r="D661" i="10" s="1"/>
  <c r="K661" i="10" s="1" a="1"/>
  <c r="K661" i="10" s="1"/>
  <c r="A662" i="10" a="1"/>
  <c r="A662" i="10" s="1"/>
  <c r="B662" i="10" s="1"/>
  <c r="C662" i="10" a="1"/>
  <c r="C662" i="10" s="1"/>
  <c r="D662" i="10" s="1"/>
  <c r="K662" i="10" s="1" a="1"/>
  <c r="K662" i="10" s="1"/>
  <c r="A663" i="10" a="1"/>
  <c r="A663" i="10" s="1"/>
  <c r="H663" i="10" s="1"/>
  <c r="I663" i="10" s="1"/>
  <c r="C663" i="10" a="1"/>
  <c r="C663" i="10" s="1"/>
  <c r="D663" i="10" s="1"/>
  <c r="K663" i="10" s="1" a="1"/>
  <c r="K663" i="10" s="1"/>
  <c r="A664" i="10" a="1"/>
  <c r="A664" i="10" s="1"/>
  <c r="B664" i="10" s="1"/>
  <c r="C664" i="10" a="1"/>
  <c r="C664" i="10" s="1"/>
  <c r="D664" i="10" s="1"/>
  <c r="A665" i="10" a="1"/>
  <c r="A665" i="10" s="1"/>
  <c r="B665" i="10" s="1"/>
  <c r="C665" i="10" a="1"/>
  <c r="C665" i="10" s="1"/>
  <c r="D665" i="10" s="1"/>
  <c r="K665" i="10" s="1" a="1"/>
  <c r="K665" i="10" s="1"/>
  <c r="A666" i="10" a="1"/>
  <c r="A666" i="10" s="1"/>
  <c r="H666" i="10" s="1"/>
  <c r="I666" i="10" s="1"/>
  <c r="C666" i="10" a="1"/>
  <c r="C666" i="10" s="1"/>
  <c r="D666" i="10" s="1"/>
  <c r="K666" i="10" s="1" a="1"/>
  <c r="K666" i="10" s="1"/>
  <c r="A667" i="10" a="1"/>
  <c r="A667" i="10" s="1"/>
  <c r="B667" i="10" s="1"/>
  <c r="C667" i="10" a="1"/>
  <c r="C667" i="10" s="1"/>
  <c r="D667" i="10" s="1"/>
  <c r="K667" i="10" s="1" a="1"/>
  <c r="K667" i="10" s="1"/>
  <c r="A668" i="10" a="1"/>
  <c r="A668" i="10" s="1"/>
  <c r="B668" i="10" s="1"/>
  <c r="C668" i="10" a="1"/>
  <c r="C668" i="10" s="1"/>
  <c r="D668" i="10" s="1"/>
  <c r="K668" i="10" s="1" a="1"/>
  <c r="K668" i="10" s="1"/>
  <c r="A669" i="10" a="1"/>
  <c r="A669" i="10" s="1"/>
  <c r="H669" i="10" s="1"/>
  <c r="I669" i="10" s="1"/>
  <c r="C669" i="10" a="1"/>
  <c r="C669" i="10" s="1"/>
  <c r="D669" i="10" s="1"/>
  <c r="K669" i="10" s="1" a="1"/>
  <c r="K669" i="10" s="1"/>
  <c r="A670" i="10" a="1"/>
  <c r="A670" i="10" s="1"/>
  <c r="B670" i="10" s="1"/>
  <c r="C670" i="10" a="1"/>
  <c r="C670" i="10" s="1"/>
  <c r="D670" i="10" s="1"/>
  <c r="K670" i="10" s="1" a="1"/>
  <c r="K670" i="10" s="1"/>
  <c r="A671" i="10" a="1"/>
  <c r="A671" i="10" s="1"/>
  <c r="B671" i="10" s="1"/>
  <c r="C671" i="10" a="1"/>
  <c r="C671" i="10" s="1"/>
  <c r="D671" i="10" s="1"/>
  <c r="K671" i="10" s="1" a="1"/>
  <c r="K671" i="10" s="1"/>
  <c r="A672" i="10" a="1"/>
  <c r="A672" i="10" s="1"/>
  <c r="H672" i="10" s="1"/>
  <c r="I672" i="10" s="1"/>
  <c r="C672" i="10" a="1"/>
  <c r="C672" i="10" s="1"/>
  <c r="D672" i="10" s="1"/>
  <c r="K672" i="10" s="1" a="1"/>
  <c r="K672" i="10" s="1"/>
  <c r="A673" i="10" a="1"/>
  <c r="A673" i="10" s="1"/>
  <c r="B673" i="10" s="1"/>
  <c r="C673" i="10" a="1"/>
  <c r="C673" i="10" s="1"/>
  <c r="D673" i="10" s="1"/>
  <c r="K673" i="10" s="1" a="1"/>
  <c r="K673" i="10" s="1"/>
  <c r="A674" i="10" a="1"/>
  <c r="A674" i="10" s="1"/>
  <c r="B674" i="10" s="1"/>
  <c r="C674" i="10" a="1"/>
  <c r="C674" i="10" s="1"/>
  <c r="D674" i="10" s="1"/>
  <c r="K674" i="10" s="1" a="1"/>
  <c r="K674" i="10" s="1"/>
  <c r="A675" i="10" a="1"/>
  <c r="A675" i="10" s="1"/>
  <c r="H675" i="10" s="1"/>
  <c r="I675" i="10" s="1"/>
  <c r="C675" i="10" a="1"/>
  <c r="C675" i="10" s="1"/>
  <c r="D675" i="10" s="1"/>
  <c r="K675" i="10" s="1" a="1"/>
  <c r="K675" i="10" s="1"/>
  <c r="A676" i="10" a="1"/>
  <c r="A676" i="10" s="1"/>
  <c r="B676" i="10" s="1"/>
  <c r="C676" i="10" a="1"/>
  <c r="C676" i="10" s="1"/>
  <c r="D676" i="10" s="1"/>
  <c r="A677" i="10" a="1"/>
  <c r="A677" i="10" s="1"/>
  <c r="B677" i="10" s="1"/>
  <c r="C677" i="10" a="1"/>
  <c r="C677" i="10" s="1"/>
  <c r="D677" i="10" s="1"/>
  <c r="K677" i="10" s="1" a="1"/>
  <c r="K677" i="10" s="1"/>
  <c r="A678" i="10" a="1"/>
  <c r="A678" i="10" s="1"/>
  <c r="H678" i="10" s="1"/>
  <c r="I678" i="10" s="1"/>
  <c r="C678" i="10" a="1"/>
  <c r="C678" i="10" s="1"/>
  <c r="D678" i="10" s="1"/>
  <c r="K678" i="10" s="1" a="1"/>
  <c r="K678" i="10" s="1"/>
  <c r="A679" i="10" a="1"/>
  <c r="A679" i="10" s="1"/>
  <c r="B679" i="10" s="1"/>
  <c r="C679" i="10" a="1"/>
  <c r="C679" i="10" s="1"/>
  <c r="D679" i="10" s="1"/>
  <c r="K679" i="10" s="1" a="1"/>
  <c r="K679" i="10" s="1"/>
  <c r="A680" i="10" a="1"/>
  <c r="A680" i="10" s="1"/>
  <c r="B680" i="10" s="1"/>
  <c r="C680" i="10" a="1"/>
  <c r="C680" i="10" s="1"/>
  <c r="D680" i="10" s="1"/>
  <c r="K680" i="10" s="1" a="1"/>
  <c r="K680" i="10" s="1"/>
  <c r="A681" i="10" a="1"/>
  <c r="A681" i="10" s="1"/>
  <c r="H681" i="10" s="1"/>
  <c r="I681" i="10" s="1"/>
  <c r="C681" i="10" a="1"/>
  <c r="C681" i="10" s="1"/>
  <c r="D681" i="10" s="1"/>
  <c r="K681" i="10" s="1" a="1"/>
  <c r="K681" i="10" s="1"/>
  <c r="A682" i="10" a="1"/>
  <c r="A682" i="10" s="1"/>
  <c r="B682" i="10" s="1"/>
  <c r="C682" i="10" a="1"/>
  <c r="C682" i="10" s="1"/>
  <c r="D682" i="10" s="1"/>
  <c r="K682" i="10" s="1" a="1"/>
  <c r="K682" i="10" s="1"/>
  <c r="A683" i="10" a="1"/>
  <c r="A683" i="10" s="1"/>
  <c r="B683" i="10" s="1"/>
  <c r="C683" i="10" a="1"/>
  <c r="C683" i="10" s="1"/>
  <c r="D683" i="10" s="1"/>
  <c r="K683" i="10" s="1" a="1"/>
  <c r="K683" i="10" s="1"/>
  <c r="A684" i="10" a="1"/>
  <c r="A684" i="10" s="1"/>
  <c r="H684" i="10" s="1"/>
  <c r="I684" i="10" s="1"/>
  <c r="C684" i="10" a="1"/>
  <c r="C684" i="10" s="1"/>
  <c r="D684" i="10" s="1"/>
  <c r="K684" i="10" s="1" a="1"/>
  <c r="K684" i="10" s="1"/>
  <c r="A685" i="10" a="1"/>
  <c r="A685" i="10" s="1"/>
  <c r="B685" i="10" s="1"/>
  <c r="C685" i="10" a="1"/>
  <c r="C685" i="10" s="1"/>
  <c r="D685" i="10" s="1"/>
  <c r="K685" i="10" s="1" a="1"/>
  <c r="K685" i="10" s="1"/>
  <c r="A602" i="10" a="1"/>
  <c r="A602" i="10" s="1"/>
  <c r="C602" i="10" a="1"/>
  <c r="C602" i="10" s="1"/>
  <c r="D602" i="10" s="1"/>
  <c r="K602" i="10" s="1" a="1"/>
  <c r="K602" i="10" s="1"/>
  <c r="A603" i="10" a="1"/>
  <c r="A603" i="10" s="1"/>
  <c r="C603" i="10" a="1"/>
  <c r="C603" i="10" s="1"/>
  <c r="D603" i="10" s="1"/>
  <c r="K603" i="10" s="1" a="1"/>
  <c r="K603" i="10" s="1"/>
  <c r="A604" i="10" a="1"/>
  <c r="A604" i="10" s="1"/>
  <c r="C604" i="10" a="1"/>
  <c r="C604" i="10" s="1"/>
  <c r="D604" i="10" s="1"/>
  <c r="A605" i="10" a="1"/>
  <c r="A605" i="10" s="1"/>
  <c r="C605" i="10" a="1"/>
  <c r="C605" i="10" s="1"/>
  <c r="D605" i="10" s="1"/>
  <c r="K605" i="10" s="1" a="1"/>
  <c r="K605" i="10" s="1"/>
  <c r="A606" i="10" a="1"/>
  <c r="A606" i="10" s="1"/>
  <c r="C606" i="10" a="1"/>
  <c r="C606" i="10" s="1"/>
  <c r="D606" i="10" s="1"/>
  <c r="K606" i="10" s="1" a="1"/>
  <c r="K606" i="10" s="1"/>
  <c r="A607" i="10" a="1"/>
  <c r="A607" i="10" s="1"/>
  <c r="C607" i="10" a="1"/>
  <c r="C607" i="10" s="1"/>
  <c r="D607" i="10" s="1"/>
  <c r="K607" i="10" s="1" a="1"/>
  <c r="K607" i="10" s="1"/>
  <c r="A608" i="10" a="1"/>
  <c r="A608" i="10" s="1"/>
  <c r="C608" i="10" a="1"/>
  <c r="C608" i="10" s="1"/>
  <c r="D608" i="10" s="1"/>
  <c r="K608" i="10" s="1" a="1"/>
  <c r="K608" i="10" s="1"/>
  <c r="A609" i="10" a="1"/>
  <c r="A609" i="10" s="1"/>
  <c r="C609" i="10" a="1"/>
  <c r="C609" i="10" s="1"/>
  <c r="D609" i="10" s="1"/>
  <c r="K609" i="10" s="1" a="1"/>
  <c r="K609" i="10" s="1"/>
  <c r="A610" i="10" a="1"/>
  <c r="A610" i="10" s="1"/>
  <c r="C610" i="10" a="1"/>
  <c r="C610" i="10" s="1"/>
  <c r="D610" i="10" s="1"/>
  <c r="K610" i="10" s="1" a="1"/>
  <c r="K610" i="10" s="1"/>
  <c r="A611" i="10" a="1"/>
  <c r="A611" i="10" s="1"/>
  <c r="C611" i="10" a="1"/>
  <c r="C611" i="10" s="1"/>
  <c r="D611" i="10" s="1"/>
  <c r="K611" i="10" s="1" a="1"/>
  <c r="K611" i="10" s="1"/>
  <c r="A612" i="10" a="1"/>
  <c r="A612" i="10" s="1"/>
  <c r="C612" i="10" a="1"/>
  <c r="C612" i="10" s="1"/>
  <c r="D612" i="10" s="1"/>
  <c r="K612" i="10" s="1" a="1"/>
  <c r="K612" i="10" s="1"/>
  <c r="A613" i="10" a="1"/>
  <c r="A613" i="10" s="1"/>
  <c r="C613" i="10" a="1"/>
  <c r="C613" i="10" s="1"/>
  <c r="D613" i="10" s="1"/>
  <c r="K613" i="10" s="1" a="1"/>
  <c r="K613" i="10" s="1"/>
  <c r="A542" i="10" a="1"/>
  <c r="A542" i="10" s="1"/>
  <c r="C542" i="10" a="1"/>
  <c r="C542" i="10" s="1"/>
  <c r="D542" i="10" s="1"/>
  <c r="K542" i="10" s="1" a="1"/>
  <c r="K542" i="10" s="1"/>
  <c r="A543" i="10" a="1"/>
  <c r="A543" i="10" s="1"/>
  <c r="C543" i="10" a="1"/>
  <c r="C543" i="10" s="1"/>
  <c r="D543" i="10" s="1"/>
  <c r="K543" i="10" s="1" a="1"/>
  <c r="K543" i="10" s="1"/>
  <c r="A544" i="10" a="1"/>
  <c r="A544" i="10" s="1"/>
  <c r="C544" i="10" a="1"/>
  <c r="C544" i="10" s="1"/>
  <c r="D544" i="10" s="1"/>
  <c r="A545" i="10" a="1"/>
  <c r="A545" i="10" s="1"/>
  <c r="C545" i="10" a="1"/>
  <c r="C545" i="10" s="1"/>
  <c r="D545" i="10" s="1"/>
  <c r="K545" i="10" s="1" a="1"/>
  <c r="K545" i="10" s="1"/>
  <c r="A546" i="10" a="1"/>
  <c r="A546" i="10" s="1"/>
  <c r="C546" i="10" a="1"/>
  <c r="C546" i="10" s="1"/>
  <c r="D546" i="10" s="1"/>
  <c r="K546" i="10" s="1" a="1"/>
  <c r="K546" i="10" s="1"/>
  <c r="A547" i="10" a="1"/>
  <c r="A547" i="10" s="1"/>
  <c r="C547" i="10" a="1"/>
  <c r="C547" i="10" s="1"/>
  <c r="D547" i="10" s="1"/>
  <c r="K547" i="10" s="1" a="1"/>
  <c r="K547" i="10" s="1"/>
  <c r="A548" i="10" a="1"/>
  <c r="A548" i="10" s="1"/>
  <c r="C548" i="10" a="1"/>
  <c r="C548" i="10" s="1"/>
  <c r="D548" i="10" s="1"/>
  <c r="K548" i="10" s="1" a="1"/>
  <c r="K548" i="10" s="1"/>
  <c r="A549" i="10" a="1"/>
  <c r="A549" i="10" s="1"/>
  <c r="C549" i="10" a="1"/>
  <c r="C549" i="10" s="1"/>
  <c r="D549" i="10" s="1"/>
  <c r="K549" i="10" s="1" a="1"/>
  <c r="K549" i="10" s="1"/>
  <c r="A550" i="10" a="1"/>
  <c r="A550" i="10" s="1"/>
  <c r="C550" i="10" a="1"/>
  <c r="C550" i="10" s="1"/>
  <c r="D550" i="10" s="1"/>
  <c r="K550" i="10" s="1" a="1"/>
  <c r="K550" i="10" s="1"/>
  <c r="A551" i="10" a="1"/>
  <c r="A551" i="10" s="1"/>
  <c r="C551" i="10" a="1"/>
  <c r="C551" i="10" s="1"/>
  <c r="D551" i="10" s="1"/>
  <c r="K551" i="10" s="1" a="1"/>
  <c r="K551" i="10" s="1"/>
  <c r="A552" i="10" a="1"/>
  <c r="A552" i="10" s="1"/>
  <c r="C552" i="10" a="1"/>
  <c r="C552" i="10" s="1"/>
  <c r="D552" i="10" s="1"/>
  <c r="K552" i="10" s="1" a="1"/>
  <c r="K552" i="10" s="1"/>
  <c r="A553" i="10" a="1"/>
  <c r="A553" i="10" s="1"/>
  <c r="C553" i="10" a="1"/>
  <c r="C553" i="10" s="1"/>
  <c r="D553" i="10" s="1"/>
  <c r="K553" i="10" s="1" a="1"/>
  <c r="K553" i="10" s="1"/>
  <c r="A554" i="10" a="1"/>
  <c r="A554" i="10" s="1"/>
  <c r="C554" i="10" a="1"/>
  <c r="C554" i="10" s="1"/>
  <c r="D554" i="10" s="1"/>
  <c r="K554" i="10" s="1" a="1"/>
  <c r="K554" i="10" s="1"/>
  <c r="A555" i="10" a="1"/>
  <c r="A555" i="10" s="1"/>
  <c r="C555" i="10" a="1"/>
  <c r="C555" i="10" s="1"/>
  <c r="D555" i="10" s="1"/>
  <c r="K555" i="10" s="1" a="1"/>
  <c r="K555" i="10" s="1"/>
  <c r="A556" i="10" a="1"/>
  <c r="A556" i="10" s="1"/>
  <c r="C556" i="10" a="1"/>
  <c r="C556" i="10" s="1"/>
  <c r="D556" i="10" s="1"/>
  <c r="B48" i="17" s="1"/>
  <c r="A557" i="10" a="1"/>
  <c r="A557" i="10" s="1"/>
  <c r="C557" i="10" a="1"/>
  <c r="C557" i="10" s="1"/>
  <c r="D557" i="10" s="1"/>
  <c r="K557" i="10" s="1" a="1"/>
  <c r="K557" i="10" s="1"/>
  <c r="A558" i="10" a="1"/>
  <c r="A558" i="10" s="1"/>
  <c r="C558" i="10" a="1"/>
  <c r="C558" i="10" s="1"/>
  <c r="D558" i="10" s="1"/>
  <c r="K558" i="10" s="1" a="1"/>
  <c r="K558" i="10" s="1"/>
  <c r="A559" i="10" a="1"/>
  <c r="A559" i="10" s="1"/>
  <c r="C559" i="10" a="1"/>
  <c r="C559" i="10" s="1"/>
  <c r="D559" i="10" s="1"/>
  <c r="K559" i="10" s="1" a="1"/>
  <c r="K559" i="10" s="1"/>
  <c r="A560" i="10" a="1"/>
  <c r="A560" i="10" s="1"/>
  <c r="C560" i="10" a="1"/>
  <c r="C560" i="10" s="1"/>
  <c r="D560" i="10" s="1"/>
  <c r="K560" i="10" s="1" a="1"/>
  <c r="K560" i="10" s="1"/>
  <c r="A561" i="10" a="1"/>
  <c r="A561" i="10" s="1"/>
  <c r="C561" i="10" a="1"/>
  <c r="C561" i="10" s="1"/>
  <c r="D561" i="10" s="1"/>
  <c r="K561" i="10" s="1" a="1"/>
  <c r="K561" i="10" s="1"/>
  <c r="A562" i="10" a="1"/>
  <c r="A562" i="10" s="1"/>
  <c r="C562" i="10" a="1"/>
  <c r="C562" i="10" s="1"/>
  <c r="D562" i="10" s="1"/>
  <c r="K562" i="10" s="1" a="1"/>
  <c r="K562" i="10" s="1"/>
  <c r="A563" i="10" a="1"/>
  <c r="A563" i="10" s="1"/>
  <c r="C563" i="10" a="1"/>
  <c r="C563" i="10" s="1"/>
  <c r="D563" i="10" s="1"/>
  <c r="K563" i="10" s="1" a="1"/>
  <c r="K563" i="10" s="1"/>
  <c r="A564" i="10" a="1"/>
  <c r="A564" i="10" s="1"/>
  <c r="C564" i="10" a="1"/>
  <c r="C564" i="10" s="1"/>
  <c r="D564" i="10" s="1"/>
  <c r="K564" i="10" s="1" a="1"/>
  <c r="K564" i="10" s="1"/>
  <c r="A565" i="10" a="1"/>
  <c r="A565" i="10" s="1"/>
  <c r="C565" i="10" a="1"/>
  <c r="C565" i="10" s="1"/>
  <c r="D565" i="10" s="1"/>
  <c r="K565" i="10" s="1" a="1"/>
  <c r="K565" i="10" s="1"/>
  <c r="A566" i="10" a="1"/>
  <c r="A566" i="10" s="1"/>
  <c r="C566" i="10" a="1"/>
  <c r="C566" i="10" s="1"/>
  <c r="D566" i="10" s="1"/>
  <c r="K566" i="10" s="1" a="1"/>
  <c r="K566" i="10" s="1"/>
  <c r="A567" i="10" a="1"/>
  <c r="A567" i="10" s="1"/>
  <c r="C567" i="10" a="1"/>
  <c r="C567" i="10" s="1"/>
  <c r="D567" i="10" s="1"/>
  <c r="K567" i="10" s="1" a="1"/>
  <c r="K567" i="10" s="1"/>
  <c r="A568" i="10" a="1"/>
  <c r="A568" i="10" s="1"/>
  <c r="C568" i="10" a="1"/>
  <c r="C568" i="10" s="1"/>
  <c r="D568" i="10" s="1"/>
  <c r="A569" i="10" a="1"/>
  <c r="A569" i="10" s="1"/>
  <c r="C569" i="10" a="1"/>
  <c r="C569" i="10" s="1"/>
  <c r="D569" i="10" s="1"/>
  <c r="K569" i="10" s="1" a="1"/>
  <c r="K569" i="10" s="1"/>
  <c r="A570" i="10" a="1"/>
  <c r="A570" i="10" s="1"/>
  <c r="C570" i="10" a="1"/>
  <c r="C570" i="10" s="1"/>
  <c r="D570" i="10" s="1"/>
  <c r="K570" i="10" s="1" a="1"/>
  <c r="K570" i="10" s="1"/>
  <c r="A571" i="10" a="1"/>
  <c r="A571" i="10" s="1"/>
  <c r="C571" i="10" a="1"/>
  <c r="C571" i="10" s="1"/>
  <c r="D571" i="10" s="1"/>
  <c r="K571" i="10" s="1" a="1"/>
  <c r="K571" i="10" s="1"/>
  <c r="A572" i="10" a="1"/>
  <c r="A572" i="10" s="1"/>
  <c r="C572" i="10" a="1"/>
  <c r="C572" i="10" s="1"/>
  <c r="D572" i="10" s="1"/>
  <c r="K572" i="10" s="1" a="1"/>
  <c r="K572" i="10" s="1"/>
  <c r="A573" i="10" a="1"/>
  <c r="A573" i="10" s="1"/>
  <c r="C573" i="10" a="1"/>
  <c r="C573" i="10" s="1"/>
  <c r="D573" i="10" s="1"/>
  <c r="K573" i="10" s="1" a="1"/>
  <c r="K573" i="10" s="1"/>
  <c r="A574" i="10" a="1"/>
  <c r="A574" i="10" s="1"/>
  <c r="C574" i="10" a="1"/>
  <c r="C574" i="10" s="1"/>
  <c r="D574" i="10" s="1"/>
  <c r="K574" i="10" s="1" a="1"/>
  <c r="K574" i="10" s="1"/>
  <c r="A575" i="10" a="1"/>
  <c r="A575" i="10" s="1"/>
  <c r="C575" i="10" a="1"/>
  <c r="C575" i="10" s="1"/>
  <c r="D575" i="10" s="1"/>
  <c r="K575" i="10" s="1" a="1"/>
  <c r="K575" i="10" s="1"/>
  <c r="A576" i="10" a="1"/>
  <c r="A576" i="10" s="1"/>
  <c r="C576" i="10" a="1"/>
  <c r="C576" i="10" s="1"/>
  <c r="D576" i="10" s="1"/>
  <c r="K576" i="10" s="1" a="1"/>
  <c r="K576" i="10" s="1"/>
  <c r="A577" i="10" a="1"/>
  <c r="A577" i="10" s="1"/>
  <c r="C577" i="10" a="1"/>
  <c r="C577" i="10" s="1"/>
  <c r="D577" i="10" s="1"/>
  <c r="K577" i="10" s="1" a="1"/>
  <c r="K577" i="10" s="1"/>
  <c r="A578" i="10" a="1"/>
  <c r="A578" i="10" s="1"/>
  <c r="C578" i="10" a="1"/>
  <c r="C578" i="10" s="1"/>
  <c r="D578" i="10" s="1"/>
  <c r="K578" i="10" s="1" a="1"/>
  <c r="K578" i="10" s="1"/>
  <c r="A579" i="10" a="1"/>
  <c r="A579" i="10" s="1"/>
  <c r="C579" i="10" a="1"/>
  <c r="C579" i="10" s="1"/>
  <c r="D579" i="10" s="1"/>
  <c r="K579" i="10" s="1" a="1"/>
  <c r="K579" i="10" s="1"/>
  <c r="A580" i="10" a="1"/>
  <c r="A580" i="10" s="1"/>
  <c r="C580" i="10" a="1"/>
  <c r="C580" i="10" s="1"/>
  <c r="D580" i="10" s="1"/>
  <c r="A581" i="10" a="1"/>
  <c r="A581" i="10" s="1"/>
  <c r="C581" i="10" a="1"/>
  <c r="C581" i="10" s="1"/>
  <c r="D581" i="10" s="1"/>
  <c r="K581" i="10" s="1" a="1"/>
  <c r="K581" i="10" s="1"/>
  <c r="A582" i="10" a="1"/>
  <c r="A582" i="10" s="1"/>
  <c r="C582" i="10" a="1"/>
  <c r="C582" i="10" s="1"/>
  <c r="D582" i="10" s="1"/>
  <c r="K582" i="10" s="1" a="1"/>
  <c r="K582" i="10" s="1"/>
  <c r="A583" i="10" a="1"/>
  <c r="A583" i="10" s="1"/>
  <c r="C583" i="10" a="1"/>
  <c r="C583" i="10" s="1"/>
  <c r="D583" i="10" s="1"/>
  <c r="K583" i="10" s="1" a="1"/>
  <c r="K583" i="10" s="1"/>
  <c r="A584" i="10" a="1"/>
  <c r="A584" i="10" s="1"/>
  <c r="C584" i="10" a="1"/>
  <c r="C584" i="10" s="1"/>
  <c r="D584" i="10" s="1"/>
  <c r="K584" i="10" s="1" a="1"/>
  <c r="K584" i="10" s="1"/>
  <c r="A585" i="10" a="1"/>
  <c r="A585" i="10" s="1"/>
  <c r="C585" i="10" a="1"/>
  <c r="C585" i="10" s="1"/>
  <c r="D585" i="10" s="1"/>
  <c r="K585" i="10" s="1" a="1"/>
  <c r="K585" i="10" s="1"/>
  <c r="A586" i="10" a="1"/>
  <c r="A586" i="10" s="1"/>
  <c r="H586" i="10" s="1"/>
  <c r="I586" i="10" s="1"/>
  <c r="C586" i="10" a="1"/>
  <c r="C586" i="10" s="1"/>
  <c r="D586" i="10" s="1"/>
  <c r="K586" i="10" s="1" a="1"/>
  <c r="K586" i="10" s="1"/>
  <c r="A587" i="10" a="1"/>
  <c r="A587" i="10" s="1"/>
  <c r="F587" i="10" s="1"/>
  <c r="G587" i="10" s="1"/>
  <c r="C587" i="10" a="1"/>
  <c r="C587" i="10" s="1"/>
  <c r="D587" i="10" s="1"/>
  <c r="K587" i="10" s="1" a="1"/>
  <c r="K587" i="10" s="1"/>
  <c r="A588" i="10" a="1"/>
  <c r="A588" i="10" s="1"/>
  <c r="C588" i="10" a="1"/>
  <c r="C588" i="10" s="1"/>
  <c r="D588" i="10" s="1"/>
  <c r="K588" i="10" s="1" a="1"/>
  <c r="K588" i="10" s="1"/>
  <c r="A589" i="10" a="1"/>
  <c r="A589" i="10" s="1"/>
  <c r="H589" i="10" s="1"/>
  <c r="I589" i="10" s="1"/>
  <c r="C589" i="10" a="1"/>
  <c r="C589" i="10" s="1"/>
  <c r="D589" i="10" s="1"/>
  <c r="K589" i="10" s="1" a="1"/>
  <c r="K589" i="10" s="1"/>
  <c r="A590" i="10" a="1"/>
  <c r="A590" i="10" s="1"/>
  <c r="C590" i="10" a="1"/>
  <c r="C590" i="10" s="1"/>
  <c r="D590" i="10" s="1"/>
  <c r="K590" i="10" s="1" a="1"/>
  <c r="K590" i="10" s="1"/>
  <c r="A591" i="10" a="1"/>
  <c r="A591" i="10" s="1"/>
  <c r="F591" i="10" s="1"/>
  <c r="G591" i="10" s="1"/>
  <c r="C591" i="10" a="1"/>
  <c r="C591" i="10" s="1"/>
  <c r="D591" i="10" s="1"/>
  <c r="K591" i="10" s="1" a="1"/>
  <c r="K591" i="10" s="1"/>
  <c r="A592" i="10" a="1"/>
  <c r="A592" i="10" s="1"/>
  <c r="B592" i="10" s="1"/>
  <c r="C592" i="10" a="1"/>
  <c r="C592" i="10" s="1"/>
  <c r="D592" i="10" s="1"/>
  <c r="B51" i="17" s="1"/>
  <c r="A593" i="10" a="1"/>
  <c r="A593" i="10" s="1"/>
  <c r="F593" i="10" s="1"/>
  <c r="G593" i="10" s="1"/>
  <c r="C593" i="10" a="1"/>
  <c r="C593" i="10" s="1"/>
  <c r="D593" i="10" s="1"/>
  <c r="K593" i="10" s="1" a="1"/>
  <c r="K593" i="10" s="1"/>
  <c r="A594" i="10" a="1"/>
  <c r="A594" i="10" s="1"/>
  <c r="F594" i="10" s="1"/>
  <c r="G594" i="10" s="1"/>
  <c r="C594" i="10" a="1"/>
  <c r="C594" i="10" s="1"/>
  <c r="D594" i="10" s="1"/>
  <c r="K594" i="10" s="1" a="1"/>
  <c r="K594" i="10" s="1"/>
  <c r="A595" i="10" a="1"/>
  <c r="A595" i="10" s="1"/>
  <c r="B595" i="10" s="1"/>
  <c r="C595" i="10" a="1"/>
  <c r="C595" i="10" s="1"/>
  <c r="D595" i="10" s="1"/>
  <c r="K595" i="10" s="1" a="1"/>
  <c r="K595" i="10" s="1"/>
  <c r="A596" i="10" a="1"/>
  <c r="A596" i="10" s="1"/>
  <c r="B596" i="10" s="1"/>
  <c r="C596" i="10" a="1"/>
  <c r="C596" i="10" s="1"/>
  <c r="D596" i="10" s="1"/>
  <c r="K596" i="10" s="1" a="1"/>
  <c r="K596" i="10" s="1"/>
  <c r="A597" i="10" a="1"/>
  <c r="A597" i="10" s="1"/>
  <c r="B597" i="10" s="1"/>
  <c r="C597" i="10" a="1"/>
  <c r="C597" i="10" s="1"/>
  <c r="D597" i="10" s="1"/>
  <c r="K597" i="10" s="1" a="1"/>
  <c r="K597" i="10" s="1"/>
  <c r="A598" i="10" a="1"/>
  <c r="A598" i="10" s="1"/>
  <c r="B598" i="10" s="1"/>
  <c r="C598" i="10" a="1"/>
  <c r="C598" i="10" s="1"/>
  <c r="D598" i="10" s="1"/>
  <c r="K598" i="10" s="1" a="1"/>
  <c r="K598" i="10" s="1"/>
  <c r="A599" i="10" a="1"/>
  <c r="A599" i="10" s="1"/>
  <c r="F599" i="10" s="1"/>
  <c r="G599" i="10" s="1"/>
  <c r="C599" i="10" a="1"/>
  <c r="C599" i="10" s="1"/>
  <c r="D599" i="10" s="1"/>
  <c r="K599" i="10" s="1" a="1"/>
  <c r="K599" i="10" s="1"/>
  <c r="A600" i="10" a="1"/>
  <c r="A600" i="10" s="1"/>
  <c r="H600" i="10" s="1"/>
  <c r="I600" i="10" s="1"/>
  <c r="C600" i="10" a="1"/>
  <c r="C600" i="10" s="1"/>
  <c r="D600" i="10" s="1"/>
  <c r="K600" i="10" s="1" a="1"/>
  <c r="K600" i="10" s="1"/>
  <c r="A601" i="10" a="1"/>
  <c r="A601" i="10" s="1"/>
  <c r="B601" i="10" s="1"/>
  <c r="C601" i="10" a="1"/>
  <c r="C601" i="10" s="1"/>
  <c r="D601" i="10" s="1"/>
  <c r="K601" i="10" s="1" a="1"/>
  <c r="K601" i="10" s="1"/>
  <c r="A374" i="10" a="1"/>
  <c r="A374" i="10" s="1"/>
  <c r="C374" i="10" a="1"/>
  <c r="C374" i="10" s="1"/>
  <c r="D374" i="10" s="1"/>
  <c r="K374" i="10" s="1" a="1"/>
  <c r="K374" i="10" s="1"/>
  <c r="A375" i="10" a="1"/>
  <c r="A375" i="10" s="1"/>
  <c r="C375" i="10" a="1"/>
  <c r="C375" i="10" s="1"/>
  <c r="D375" i="10" s="1"/>
  <c r="K375" i="10" s="1" a="1"/>
  <c r="K375" i="10" s="1"/>
  <c r="A376" i="10" a="1"/>
  <c r="A376" i="10" s="1"/>
  <c r="C376" i="10" a="1"/>
  <c r="C376" i="10" s="1"/>
  <c r="D376" i="10" s="1"/>
  <c r="A377" i="10" a="1"/>
  <c r="A377" i="10" s="1"/>
  <c r="B377" i="10" s="1"/>
  <c r="C377" i="10" a="1"/>
  <c r="C377" i="10" s="1"/>
  <c r="D377" i="10" s="1"/>
  <c r="K377" i="10" s="1" a="1"/>
  <c r="K377" i="10" s="1"/>
  <c r="A378" i="10" a="1"/>
  <c r="A378" i="10" s="1"/>
  <c r="B378" i="10" s="1"/>
  <c r="C378" i="10" a="1"/>
  <c r="C378" i="10" s="1"/>
  <c r="D378" i="10" s="1"/>
  <c r="K378" i="10" s="1" a="1"/>
  <c r="K378" i="10" s="1"/>
  <c r="A379" i="10" a="1"/>
  <c r="A379" i="10" s="1"/>
  <c r="C379" i="10" a="1"/>
  <c r="C379" i="10" s="1"/>
  <c r="D379" i="10" s="1"/>
  <c r="K379" i="10" s="1" a="1"/>
  <c r="K379" i="10" s="1"/>
  <c r="A380" i="10" a="1"/>
  <c r="A380" i="10" s="1"/>
  <c r="B380" i="10" s="1"/>
  <c r="C380" i="10" a="1"/>
  <c r="C380" i="10" s="1"/>
  <c r="D380" i="10" s="1"/>
  <c r="K380" i="10" s="1" a="1"/>
  <c r="K380" i="10" s="1"/>
  <c r="A381" i="10" a="1"/>
  <c r="A381" i="10" s="1"/>
  <c r="B381" i="10" s="1"/>
  <c r="C381" i="10" a="1"/>
  <c r="C381" i="10" s="1"/>
  <c r="D381" i="10" s="1"/>
  <c r="K381" i="10" s="1" a="1"/>
  <c r="K381" i="10" s="1"/>
  <c r="A382" i="10" a="1"/>
  <c r="A382" i="10" s="1"/>
  <c r="F382" i="10" s="1"/>
  <c r="G382" i="10" s="1"/>
  <c r="C382" i="10" a="1"/>
  <c r="C382" i="10" s="1"/>
  <c r="D382" i="10" s="1"/>
  <c r="K382" i="10" s="1" a="1"/>
  <c r="K382" i="10" s="1"/>
  <c r="A383" i="10" a="1"/>
  <c r="A383" i="10" s="1"/>
  <c r="F383" i="10" s="1"/>
  <c r="G383" i="10" s="1"/>
  <c r="C383" i="10" a="1"/>
  <c r="C383" i="10" s="1"/>
  <c r="D383" i="10" s="1"/>
  <c r="K383" i="10" s="1" a="1"/>
  <c r="K383" i="10" s="1"/>
  <c r="A384" i="10" a="1"/>
  <c r="A384" i="10" s="1"/>
  <c r="C384" i="10" a="1"/>
  <c r="C384" i="10" s="1"/>
  <c r="D384" i="10" s="1"/>
  <c r="K384" i="10" s="1" a="1"/>
  <c r="K384" i="10" s="1"/>
  <c r="A385" i="10" a="1"/>
  <c r="A385" i="10" s="1"/>
  <c r="B385" i="10" s="1"/>
  <c r="C385" i="10" a="1"/>
  <c r="C385" i="10" s="1"/>
  <c r="D385" i="10" s="1"/>
  <c r="K385" i="10" s="1" a="1"/>
  <c r="K385" i="10" s="1"/>
  <c r="A386" i="10" a="1"/>
  <c r="A386" i="10" s="1"/>
  <c r="F386" i="10" s="1"/>
  <c r="G386" i="10" s="1"/>
  <c r="C386" i="10" a="1"/>
  <c r="C386" i="10" s="1"/>
  <c r="D386" i="10" s="1"/>
  <c r="K386" i="10" s="1" a="1"/>
  <c r="K386" i="10" s="1"/>
  <c r="A387" i="10" a="1"/>
  <c r="A387" i="10" s="1"/>
  <c r="C387" i="10" a="1"/>
  <c r="C387" i="10" s="1"/>
  <c r="D387" i="10" s="1"/>
  <c r="K387" i="10" s="1" a="1"/>
  <c r="K387" i="10" s="1"/>
  <c r="A388" i="10" a="1"/>
  <c r="A388" i="10" s="1"/>
  <c r="C388" i="10" a="1"/>
  <c r="C388" i="10" s="1"/>
  <c r="D388" i="10" s="1"/>
  <c r="A389" i="10" a="1"/>
  <c r="A389" i="10" s="1"/>
  <c r="H389" i="10" s="1"/>
  <c r="I389" i="10" s="1"/>
  <c r="C389" i="10" a="1"/>
  <c r="C389" i="10" s="1"/>
  <c r="D389" i="10" s="1"/>
  <c r="K389" i="10" s="1" a="1"/>
  <c r="K389" i="10" s="1"/>
  <c r="A390" i="10" a="1"/>
  <c r="A390" i="10" s="1"/>
  <c r="C390" i="10" a="1"/>
  <c r="C390" i="10" s="1"/>
  <c r="D390" i="10" s="1"/>
  <c r="K390" i="10" s="1" a="1"/>
  <c r="K390" i="10" s="1"/>
  <c r="A391" i="10" a="1"/>
  <c r="A391" i="10" s="1"/>
  <c r="C391" i="10" a="1"/>
  <c r="C391" i="10" s="1"/>
  <c r="D391" i="10" s="1"/>
  <c r="K391" i="10" s="1" a="1"/>
  <c r="K391" i="10" s="1"/>
  <c r="A392" i="10" a="1"/>
  <c r="A392" i="10" s="1"/>
  <c r="C392" i="10" a="1"/>
  <c r="C392" i="10" s="1"/>
  <c r="D392" i="10" s="1"/>
  <c r="K392" i="10" s="1" a="1"/>
  <c r="K392" i="10" s="1"/>
  <c r="A393" i="10" a="1"/>
  <c r="A393" i="10" s="1"/>
  <c r="C393" i="10" a="1"/>
  <c r="C393" i="10" s="1"/>
  <c r="D393" i="10" s="1"/>
  <c r="K393" i="10" s="1" a="1"/>
  <c r="K393" i="10" s="1"/>
  <c r="A394" i="10" a="1"/>
  <c r="A394" i="10" s="1"/>
  <c r="H394" i="10" s="1"/>
  <c r="I394" i="10" s="1"/>
  <c r="C394" i="10" a="1"/>
  <c r="C394" i="10" s="1"/>
  <c r="D394" i="10" s="1"/>
  <c r="K394" i="10" s="1" a="1"/>
  <c r="K394" i="10" s="1"/>
  <c r="A395" i="10" a="1"/>
  <c r="A395" i="10" s="1"/>
  <c r="H395" i="10" s="1"/>
  <c r="I395" i="10" s="1"/>
  <c r="C395" i="10" a="1"/>
  <c r="C395" i="10" s="1"/>
  <c r="D395" i="10" s="1"/>
  <c r="K395" i="10" s="1" a="1"/>
  <c r="K395" i="10" s="1"/>
  <c r="A396" i="10" a="1"/>
  <c r="A396" i="10" s="1"/>
  <c r="C396" i="10" a="1"/>
  <c r="C396" i="10" s="1"/>
  <c r="D396" i="10" s="1"/>
  <c r="K396" i="10" s="1" a="1"/>
  <c r="K396" i="10" s="1"/>
  <c r="A397" i="10" a="1"/>
  <c r="A397" i="10" s="1"/>
  <c r="C397" i="10" a="1"/>
  <c r="C397" i="10" s="1"/>
  <c r="D397" i="10" s="1"/>
  <c r="K397" i="10" s="1" a="1"/>
  <c r="K397" i="10" s="1"/>
  <c r="A398" i="10" a="1"/>
  <c r="A398" i="10" s="1"/>
  <c r="C398" i="10" a="1"/>
  <c r="C398" i="10" s="1"/>
  <c r="D398" i="10" s="1"/>
  <c r="K398" i="10" s="1" a="1"/>
  <c r="K398" i="10" s="1"/>
  <c r="A399" i="10" a="1"/>
  <c r="A399" i="10" s="1"/>
  <c r="C399" i="10" a="1"/>
  <c r="C399" i="10" s="1"/>
  <c r="D399" i="10" s="1"/>
  <c r="K399" i="10" s="1" a="1"/>
  <c r="K399" i="10" s="1"/>
  <c r="A400" i="10" a="1"/>
  <c r="A400" i="10" s="1"/>
  <c r="H400" i="10" s="1"/>
  <c r="I400" i="10" s="1"/>
  <c r="C400" i="10" a="1"/>
  <c r="C400" i="10" s="1"/>
  <c r="D400" i="10" s="1"/>
  <c r="B35" i="17" s="1"/>
  <c r="A401" i="10" a="1"/>
  <c r="A401" i="10" s="1"/>
  <c r="H401" i="10" s="1"/>
  <c r="I401" i="10" s="1"/>
  <c r="C401" i="10" a="1"/>
  <c r="C401" i="10" s="1"/>
  <c r="D401" i="10" s="1"/>
  <c r="K401" i="10" s="1" a="1"/>
  <c r="K401" i="10" s="1"/>
  <c r="A402" i="10" a="1"/>
  <c r="A402" i="10" s="1"/>
  <c r="C402" i="10" a="1"/>
  <c r="C402" i="10" s="1"/>
  <c r="D402" i="10" s="1"/>
  <c r="K402" i="10" s="1" a="1"/>
  <c r="K402" i="10" s="1"/>
  <c r="A403" i="10" a="1"/>
  <c r="A403" i="10" s="1"/>
  <c r="C403" i="10" a="1"/>
  <c r="C403" i="10" s="1"/>
  <c r="D403" i="10" s="1"/>
  <c r="K403" i="10" s="1" a="1"/>
  <c r="K403" i="10" s="1"/>
  <c r="A404" i="10" a="1"/>
  <c r="A404" i="10" s="1"/>
  <c r="C404" i="10" a="1"/>
  <c r="C404" i="10" s="1"/>
  <c r="D404" i="10" s="1"/>
  <c r="K404" i="10" s="1" a="1"/>
  <c r="K404" i="10" s="1"/>
  <c r="A405" i="10" a="1"/>
  <c r="A405" i="10" s="1"/>
  <c r="C405" i="10" a="1"/>
  <c r="C405" i="10" s="1"/>
  <c r="D405" i="10" s="1"/>
  <c r="K405" i="10" s="1" a="1"/>
  <c r="K405" i="10" s="1"/>
  <c r="A406" i="10" a="1"/>
  <c r="A406" i="10" s="1"/>
  <c r="H406" i="10" s="1"/>
  <c r="I406" i="10" s="1"/>
  <c r="C406" i="10" a="1"/>
  <c r="C406" i="10" s="1"/>
  <c r="D406" i="10" s="1"/>
  <c r="K406" i="10" s="1" a="1"/>
  <c r="K406" i="10" s="1"/>
  <c r="A407" i="10" a="1"/>
  <c r="A407" i="10" s="1"/>
  <c r="H407" i="10" s="1"/>
  <c r="I407" i="10" s="1"/>
  <c r="C407" i="10" a="1"/>
  <c r="C407" i="10" s="1"/>
  <c r="D407" i="10" s="1"/>
  <c r="K407" i="10" s="1" a="1"/>
  <c r="K407" i="10" s="1"/>
  <c r="A408" i="10" a="1"/>
  <c r="A408" i="10" s="1"/>
  <c r="C408" i="10" a="1"/>
  <c r="C408" i="10" s="1"/>
  <c r="D408" i="10" s="1"/>
  <c r="K408" i="10" s="1" a="1"/>
  <c r="K408" i="10" s="1"/>
  <c r="A409" i="10" a="1"/>
  <c r="A409" i="10" s="1"/>
  <c r="C409" i="10" a="1"/>
  <c r="C409" i="10" s="1"/>
  <c r="D409" i="10" s="1"/>
  <c r="K409" i="10" s="1" a="1"/>
  <c r="K409" i="10" s="1"/>
  <c r="A410" i="10" a="1"/>
  <c r="A410" i="10" s="1"/>
  <c r="H410" i="10" s="1"/>
  <c r="I410" i="10" s="1"/>
  <c r="C410" i="10" a="1"/>
  <c r="C410" i="10" s="1"/>
  <c r="D410" i="10" s="1"/>
  <c r="K410" i="10" s="1" a="1"/>
  <c r="K410" i="10" s="1"/>
  <c r="A411" i="10" a="1"/>
  <c r="A411" i="10" s="1"/>
  <c r="B411" i="10" s="1"/>
  <c r="C411" i="10" a="1"/>
  <c r="C411" i="10" s="1"/>
  <c r="D411" i="10" s="1"/>
  <c r="K411" i="10" s="1" a="1"/>
  <c r="K411" i="10" s="1"/>
  <c r="A412" i="10" a="1"/>
  <c r="A412" i="10" s="1"/>
  <c r="H412" i="10" s="1"/>
  <c r="I412" i="10" s="1"/>
  <c r="C412" i="10" a="1"/>
  <c r="C412" i="10" s="1"/>
  <c r="D412" i="10" s="1"/>
  <c r="B36" i="17" s="1"/>
  <c r="A413" i="10" a="1"/>
  <c r="A413" i="10" s="1"/>
  <c r="H413" i="10" s="1"/>
  <c r="I413" i="10" s="1"/>
  <c r="J413" i="10" s="1"/>
  <c r="C413" i="10" a="1"/>
  <c r="C413" i="10" s="1"/>
  <c r="D413" i="10" s="1"/>
  <c r="K413" i="10" s="1" a="1"/>
  <c r="K413" i="10" s="1"/>
  <c r="A414" i="10" a="1"/>
  <c r="A414" i="10" s="1"/>
  <c r="B414" i="10" s="1"/>
  <c r="C414" i="10" a="1"/>
  <c r="C414" i="10" s="1"/>
  <c r="D414" i="10" s="1"/>
  <c r="K414" i="10" s="1" a="1"/>
  <c r="K414" i="10" s="1"/>
  <c r="A415" i="10" a="1"/>
  <c r="A415" i="10" s="1"/>
  <c r="H415" i="10" s="1"/>
  <c r="I415" i="10" s="1"/>
  <c r="C415" i="10" a="1"/>
  <c r="C415" i="10" s="1"/>
  <c r="D415" i="10" s="1"/>
  <c r="K415" i="10" s="1" a="1"/>
  <c r="K415" i="10" s="1"/>
  <c r="A416" i="10" a="1"/>
  <c r="A416" i="10" s="1"/>
  <c r="F416" i="10" s="1"/>
  <c r="G416" i="10" s="1"/>
  <c r="C416" i="10" a="1"/>
  <c r="C416" i="10" s="1"/>
  <c r="D416" i="10" s="1"/>
  <c r="K416" i="10" s="1" a="1"/>
  <c r="K416" i="10" s="1"/>
  <c r="A417" i="10" a="1"/>
  <c r="A417" i="10" s="1"/>
  <c r="B417" i="10" s="1"/>
  <c r="C417" i="10" a="1"/>
  <c r="C417" i="10" s="1"/>
  <c r="D417" i="10" s="1"/>
  <c r="K417" i="10" s="1" a="1"/>
  <c r="K417" i="10" s="1"/>
  <c r="A418" i="10" a="1"/>
  <c r="A418" i="10" s="1"/>
  <c r="F418" i="10" s="1"/>
  <c r="G418" i="10" s="1"/>
  <c r="C418" i="10" a="1"/>
  <c r="C418" i="10" s="1"/>
  <c r="D418" i="10" s="1"/>
  <c r="K418" i="10" s="1" a="1"/>
  <c r="K418" i="10" s="1"/>
  <c r="A419" i="10" a="1"/>
  <c r="A419" i="10" s="1"/>
  <c r="F419" i="10" s="1"/>
  <c r="G419" i="10" s="1"/>
  <c r="C419" i="10" a="1"/>
  <c r="C419" i="10" s="1"/>
  <c r="D419" i="10" s="1"/>
  <c r="K419" i="10" s="1" a="1"/>
  <c r="K419" i="10" s="1"/>
  <c r="A420" i="10" a="1"/>
  <c r="A420" i="10" s="1"/>
  <c r="H420" i="10" s="1"/>
  <c r="I420" i="10" s="1"/>
  <c r="C420" i="10" a="1"/>
  <c r="C420" i="10" s="1"/>
  <c r="D420" i="10" s="1"/>
  <c r="K420" i="10" s="1" a="1"/>
  <c r="K420" i="10" s="1"/>
  <c r="A421" i="10" a="1"/>
  <c r="A421" i="10" s="1"/>
  <c r="C421" i="10" a="1"/>
  <c r="C421" i="10" s="1"/>
  <c r="D421" i="10" s="1"/>
  <c r="K421" i="10" s="1" a="1"/>
  <c r="K421" i="10" s="1"/>
  <c r="A422" i="10" a="1"/>
  <c r="A422" i="10" s="1"/>
  <c r="F422" i="10" s="1"/>
  <c r="G422" i="10" s="1"/>
  <c r="C422" i="10" a="1"/>
  <c r="C422" i="10" s="1"/>
  <c r="D422" i="10" s="1"/>
  <c r="K422" i="10" s="1" a="1"/>
  <c r="K422" i="10" s="1"/>
  <c r="A423" i="10" a="1"/>
  <c r="A423" i="10" s="1"/>
  <c r="B423" i="10" s="1"/>
  <c r="C423" i="10" a="1"/>
  <c r="C423" i="10" s="1"/>
  <c r="D423" i="10" s="1"/>
  <c r="K423" i="10" s="1" a="1"/>
  <c r="K423" i="10" s="1"/>
  <c r="A424" i="10" a="1"/>
  <c r="A424" i="10" s="1"/>
  <c r="H424" i="10" s="1"/>
  <c r="I424" i="10" s="1"/>
  <c r="C424" i="10" a="1"/>
  <c r="C424" i="10" s="1"/>
  <c r="D424" i="10" s="1"/>
  <c r="B37" i="17" s="1"/>
  <c r="A425" i="10" a="1"/>
  <c r="A425" i="10" s="1"/>
  <c r="F425" i="10" s="1"/>
  <c r="G425" i="10" s="1"/>
  <c r="C425" i="10" a="1"/>
  <c r="C425" i="10" s="1"/>
  <c r="D425" i="10" s="1"/>
  <c r="K425" i="10" s="1" a="1"/>
  <c r="K425" i="10" s="1"/>
  <c r="A426" i="10" a="1"/>
  <c r="A426" i="10" s="1"/>
  <c r="H426" i="10" s="1"/>
  <c r="I426" i="10" s="1"/>
  <c r="C426" i="10" a="1"/>
  <c r="C426" i="10" s="1"/>
  <c r="D426" i="10" s="1"/>
  <c r="K426" i="10" s="1" a="1"/>
  <c r="K426" i="10" s="1"/>
  <c r="A427" i="10" a="1"/>
  <c r="A427" i="10" s="1"/>
  <c r="C427" i="10" a="1"/>
  <c r="C427" i="10" s="1"/>
  <c r="D427" i="10" s="1"/>
  <c r="K427" i="10" s="1" a="1"/>
  <c r="K427" i="10" s="1"/>
  <c r="A428" i="10" a="1"/>
  <c r="A428" i="10" s="1"/>
  <c r="F428" i="10" s="1"/>
  <c r="G428" i="10" s="1"/>
  <c r="C428" i="10" a="1"/>
  <c r="C428" i="10" s="1"/>
  <c r="D428" i="10" s="1"/>
  <c r="K428" i="10" s="1" a="1"/>
  <c r="K428" i="10" s="1"/>
  <c r="A429" i="10" a="1"/>
  <c r="A429" i="10" s="1"/>
  <c r="B429" i="10" s="1"/>
  <c r="C429" i="10" a="1"/>
  <c r="C429" i="10" s="1"/>
  <c r="D429" i="10" s="1"/>
  <c r="K429" i="10" s="1" a="1"/>
  <c r="K429" i="10" s="1"/>
  <c r="A430" i="10" a="1"/>
  <c r="A430" i="10" s="1"/>
  <c r="C430" i="10" a="1"/>
  <c r="C430" i="10" s="1"/>
  <c r="D430" i="10" s="1"/>
  <c r="K430" i="10" s="1" a="1"/>
  <c r="K430" i="10" s="1"/>
  <c r="A431" i="10" a="1"/>
  <c r="A431" i="10" s="1"/>
  <c r="C431" i="10" a="1"/>
  <c r="C431" i="10" s="1"/>
  <c r="D431" i="10" s="1"/>
  <c r="K431" i="10" s="1" a="1"/>
  <c r="K431" i="10" s="1"/>
  <c r="A432" i="10" a="1"/>
  <c r="A432" i="10" s="1"/>
  <c r="H432" i="10" s="1"/>
  <c r="I432" i="10" s="1"/>
  <c r="C432" i="10" a="1"/>
  <c r="C432" i="10" s="1"/>
  <c r="D432" i="10" s="1"/>
  <c r="K432" i="10" s="1" a="1"/>
  <c r="K432" i="10" s="1"/>
  <c r="A433" i="10" a="1"/>
  <c r="A433" i="10" s="1"/>
  <c r="C433" i="10" a="1"/>
  <c r="C433" i="10" s="1"/>
  <c r="D433" i="10" s="1"/>
  <c r="K433" i="10" s="1" a="1"/>
  <c r="K433" i="10" s="1"/>
  <c r="A434" i="10" a="1"/>
  <c r="A434" i="10" s="1"/>
  <c r="C434" i="10" a="1"/>
  <c r="C434" i="10" s="1"/>
  <c r="D434" i="10" s="1"/>
  <c r="K434" i="10" s="1" a="1"/>
  <c r="K434" i="10" s="1"/>
  <c r="A435" i="10" a="1"/>
  <c r="A435" i="10" s="1"/>
  <c r="B435" i="10" s="1"/>
  <c r="C435" i="10" a="1"/>
  <c r="C435" i="10" s="1"/>
  <c r="D435" i="10" s="1"/>
  <c r="K435" i="10" s="1" a="1"/>
  <c r="K435" i="10" s="1"/>
  <c r="A436" i="10" a="1"/>
  <c r="A436" i="10" s="1"/>
  <c r="C436" i="10" a="1"/>
  <c r="C436" i="10" s="1"/>
  <c r="D436" i="10" s="1"/>
  <c r="B38" i="17" s="1"/>
  <c r="A437" i="10" a="1"/>
  <c r="A437" i="10" s="1"/>
  <c r="C437" i="10" a="1"/>
  <c r="C437" i="10" s="1"/>
  <c r="D437" i="10" s="1"/>
  <c r="K437" i="10" s="1" a="1"/>
  <c r="K437" i="10" s="1"/>
  <c r="A438" i="10" a="1"/>
  <c r="A438" i="10" s="1"/>
  <c r="C438" i="10" a="1"/>
  <c r="C438" i="10" s="1"/>
  <c r="D438" i="10" s="1"/>
  <c r="K438" i="10" s="1" a="1"/>
  <c r="K438" i="10" s="1"/>
  <c r="A439" i="10" a="1"/>
  <c r="A439" i="10" s="1"/>
  <c r="C439" i="10" a="1"/>
  <c r="C439" i="10" s="1"/>
  <c r="D439" i="10" s="1"/>
  <c r="K439" i="10" s="1" a="1"/>
  <c r="K439" i="10" s="1"/>
  <c r="A440" i="10" a="1"/>
  <c r="A440" i="10" s="1"/>
  <c r="C440" i="10" a="1"/>
  <c r="C440" i="10" s="1"/>
  <c r="D440" i="10" s="1"/>
  <c r="K440" i="10" s="1" a="1"/>
  <c r="K440" i="10" s="1"/>
  <c r="A441" i="10" a="1"/>
  <c r="A441" i="10" s="1"/>
  <c r="B441" i="10" s="1"/>
  <c r="C441" i="10" a="1"/>
  <c r="C441" i="10" s="1"/>
  <c r="D441" i="10" s="1"/>
  <c r="K441" i="10" s="1" a="1"/>
  <c r="K441" i="10" s="1"/>
  <c r="A442" i="10" a="1"/>
  <c r="A442" i="10" s="1"/>
  <c r="H442" i="10" s="1"/>
  <c r="I442" i="10" s="1"/>
  <c r="C442" i="10" a="1"/>
  <c r="C442" i="10" s="1"/>
  <c r="D442" i="10" s="1"/>
  <c r="K442" i="10" s="1" a="1"/>
  <c r="K442" i="10" s="1"/>
  <c r="A443" i="10" a="1"/>
  <c r="A443" i="10" s="1"/>
  <c r="C443" i="10" a="1"/>
  <c r="C443" i="10" s="1"/>
  <c r="D443" i="10" s="1"/>
  <c r="K443" i="10" s="1" a="1"/>
  <c r="K443" i="10" s="1"/>
  <c r="A444" i="10" a="1"/>
  <c r="A444" i="10" s="1"/>
  <c r="H444" i="10" s="1"/>
  <c r="I444" i="10" s="1"/>
  <c r="C444" i="10" a="1"/>
  <c r="C444" i="10" s="1"/>
  <c r="D444" i="10" s="1"/>
  <c r="K444" i="10" s="1" a="1"/>
  <c r="K444" i="10" s="1"/>
  <c r="A445" i="10" a="1"/>
  <c r="A445" i="10" s="1"/>
  <c r="C445" i="10" a="1"/>
  <c r="C445" i="10" s="1"/>
  <c r="D445" i="10" s="1"/>
  <c r="K445" i="10" s="1" a="1"/>
  <c r="K445" i="10" s="1"/>
  <c r="A446" i="10" a="1"/>
  <c r="A446" i="10" s="1"/>
  <c r="C446" i="10" a="1"/>
  <c r="C446" i="10" s="1"/>
  <c r="D446" i="10" s="1"/>
  <c r="K446" i="10" s="1" a="1"/>
  <c r="K446" i="10" s="1"/>
  <c r="A447" i="10" a="1"/>
  <c r="A447" i="10" s="1"/>
  <c r="H447" i="10" s="1"/>
  <c r="I447" i="10" s="1"/>
  <c r="C447" i="10" a="1"/>
  <c r="C447" i="10" s="1"/>
  <c r="D447" i="10" s="1"/>
  <c r="K447" i="10" s="1" a="1"/>
  <c r="K447" i="10" s="1"/>
  <c r="A448" i="10" a="1"/>
  <c r="A448" i="10" s="1"/>
  <c r="C448" i="10" a="1"/>
  <c r="C448" i="10" s="1"/>
  <c r="D448" i="10" s="1"/>
  <c r="A449" i="10" a="1"/>
  <c r="A449" i="10" s="1"/>
  <c r="C449" i="10" a="1"/>
  <c r="C449" i="10" s="1"/>
  <c r="D449" i="10" s="1"/>
  <c r="K449" i="10" s="1" a="1"/>
  <c r="K449" i="10" s="1"/>
  <c r="A450" i="10" a="1"/>
  <c r="A450" i="10" s="1"/>
  <c r="H450" i="10" s="1"/>
  <c r="I450" i="10" s="1"/>
  <c r="C450" i="10" a="1"/>
  <c r="C450" i="10" s="1"/>
  <c r="D450" i="10" s="1"/>
  <c r="K450" i="10" s="1" a="1"/>
  <c r="K450" i="10" s="1"/>
  <c r="A451" i="10" a="1"/>
  <c r="A451" i="10" s="1"/>
  <c r="F451" i="10" s="1"/>
  <c r="G451" i="10" s="1"/>
  <c r="C451" i="10" a="1"/>
  <c r="C451" i="10" s="1"/>
  <c r="D451" i="10" s="1"/>
  <c r="K451" i="10" s="1" a="1"/>
  <c r="K451" i="10" s="1"/>
  <c r="A452" i="10" a="1"/>
  <c r="A452" i="10" s="1"/>
  <c r="C452" i="10" a="1"/>
  <c r="C452" i="10" s="1"/>
  <c r="D452" i="10" s="1"/>
  <c r="K452" i="10" s="1" a="1"/>
  <c r="K452" i="10" s="1"/>
  <c r="A453" i="10" a="1"/>
  <c r="A453" i="10" s="1"/>
  <c r="H453" i="10" s="1"/>
  <c r="I453" i="10" s="1"/>
  <c r="C453" i="10" a="1"/>
  <c r="C453" i="10" s="1"/>
  <c r="D453" i="10" s="1"/>
  <c r="K453" i="10" s="1" a="1"/>
  <c r="K453" i="10" s="1"/>
  <c r="A454" i="10" a="1"/>
  <c r="A454" i="10" s="1"/>
  <c r="H454" i="10" s="1"/>
  <c r="I454" i="10" s="1"/>
  <c r="C454" i="10" a="1"/>
  <c r="C454" i="10" s="1"/>
  <c r="D454" i="10" s="1"/>
  <c r="K454" i="10" s="1" a="1"/>
  <c r="K454" i="10" s="1"/>
  <c r="A455" i="10" a="1"/>
  <c r="A455" i="10" s="1"/>
  <c r="C455" i="10" a="1"/>
  <c r="C455" i="10" s="1"/>
  <c r="D455" i="10" s="1"/>
  <c r="K455" i="10" s="1" a="1"/>
  <c r="K455" i="10" s="1"/>
  <c r="A456" i="10" a="1"/>
  <c r="A456" i="10" s="1"/>
  <c r="H456" i="10" s="1"/>
  <c r="I456" i="10" s="1"/>
  <c r="C456" i="10" a="1"/>
  <c r="C456" i="10" s="1"/>
  <c r="D456" i="10" s="1"/>
  <c r="K456" i="10" s="1" a="1"/>
  <c r="K456" i="10" s="1"/>
  <c r="A457" i="10" a="1"/>
  <c r="A457" i="10" s="1"/>
  <c r="F457" i="10" s="1"/>
  <c r="G457" i="10" s="1"/>
  <c r="C457" i="10" a="1"/>
  <c r="C457" i="10" s="1"/>
  <c r="D457" i="10" s="1"/>
  <c r="K457" i="10" s="1" a="1"/>
  <c r="K457" i="10" s="1"/>
  <c r="A458" i="10" a="1"/>
  <c r="A458" i="10" s="1"/>
  <c r="C458" i="10" a="1"/>
  <c r="C458" i="10" s="1"/>
  <c r="D458" i="10" s="1"/>
  <c r="K458" i="10" s="1" a="1"/>
  <c r="K458" i="10" s="1"/>
  <c r="A459" i="10" a="1"/>
  <c r="A459" i="10" s="1"/>
  <c r="C459" i="10" a="1"/>
  <c r="C459" i="10" s="1"/>
  <c r="D459" i="10" s="1"/>
  <c r="K459" i="10" s="1" a="1"/>
  <c r="K459" i="10" s="1"/>
  <c r="A460" i="10" a="1"/>
  <c r="A460" i="10" s="1"/>
  <c r="C460" i="10" a="1"/>
  <c r="C460" i="10" s="1"/>
  <c r="D460" i="10" s="1"/>
  <c r="B40" i="17" s="1"/>
  <c r="A461" i="10" a="1"/>
  <c r="A461" i="10" s="1"/>
  <c r="C461" i="10" a="1"/>
  <c r="C461" i="10" s="1"/>
  <c r="D461" i="10" s="1"/>
  <c r="K461" i="10" s="1" a="1"/>
  <c r="K461" i="10" s="1"/>
  <c r="A462" i="10" a="1"/>
  <c r="A462" i="10" s="1"/>
  <c r="C462" i="10" a="1"/>
  <c r="C462" i="10" s="1"/>
  <c r="D462" i="10" s="1"/>
  <c r="K462" i="10" s="1" a="1"/>
  <c r="K462" i="10" s="1"/>
  <c r="A463" i="10" a="1"/>
  <c r="A463" i="10" s="1"/>
  <c r="F463" i="10" s="1"/>
  <c r="G463" i="10" s="1"/>
  <c r="C463" i="10" a="1"/>
  <c r="C463" i="10" s="1"/>
  <c r="D463" i="10" s="1"/>
  <c r="K463" i="10" s="1" a="1"/>
  <c r="K463" i="10" s="1"/>
  <c r="A464" i="10" a="1"/>
  <c r="A464" i="10" s="1"/>
  <c r="F464" i="10" s="1"/>
  <c r="G464" i="10" s="1"/>
  <c r="C464" i="10" a="1"/>
  <c r="C464" i="10" s="1"/>
  <c r="D464" i="10" s="1"/>
  <c r="K464" i="10" s="1" a="1"/>
  <c r="K464" i="10" s="1"/>
  <c r="A465" i="10" a="1"/>
  <c r="A465" i="10" s="1"/>
  <c r="F465" i="10" s="1"/>
  <c r="G465" i="10" s="1"/>
  <c r="C465" i="10" a="1"/>
  <c r="C465" i="10" s="1"/>
  <c r="D465" i="10" s="1"/>
  <c r="K465" i="10" s="1" a="1"/>
  <c r="K465" i="10" s="1"/>
  <c r="A466" i="10" a="1"/>
  <c r="A466" i="10" s="1"/>
  <c r="C466" i="10" a="1"/>
  <c r="C466" i="10" s="1"/>
  <c r="D466" i="10" s="1"/>
  <c r="K466" i="10" s="1" a="1"/>
  <c r="K466" i="10" s="1"/>
  <c r="A467" i="10" a="1"/>
  <c r="A467" i="10" s="1"/>
  <c r="H467" i="10" s="1"/>
  <c r="I467" i="10" s="1"/>
  <c r="C467" i="10" a="1"/>
  <c r="C467" i="10" s="1"/>
  <c r="D467" i="10" s="1"/>
  <c r="K467" i="10" s="1" a="1"/>
  <c r="K467" i="10" s="1"/>
  <c r="A468" i="10" a="1"/>
  <c r="A468" i="10" s="1"/>
  <c r="H468" i="10" s="1"/>
  <c r="I468" i="10" s="1"/>
  <c r="C468" i="10" a="1"/>
  <c r="C468" i="10" s="1"/>
  <c r="D468" i="10" s="1"/>
  <c r="K468" i="10" s="1" a="1"/>
  <c r="K468" i="10" s="1"/>
  <c r="A469" i="10" a="1"/>
  <c r="A469" i="10" s="1"/>
  <c r="F469" i="10" s="1"/>
  <c r="G469" i="10" s="1"/>
  <c r="C469" i="10" a="1"/>
  <c r="C469" i="10" s="1"/>
  <c r="D469" i="10" s="1"/>
  <c r="K469" i="10" s="1" a="1"/>
  <c r="K469" i="10" s="1"/>
  <c r="A470" i="10" a="1"/>
  <c r="A470" i="10" s="1"/>
  <c r="C470" i="10" a="1"/>
  <c r="C470" i="10" s="1"/>
  <c r="D470" i="10" s="1"/>
  <c r="K470" i="10" s="1" a="1"/>
  <c r="K470" i="10" s="1"/>
  <c r="A471" i="10" a="1"/>
  <c r="A471" i="10" s="1"/>
  <c r="H471" i="10" s="1"/>
  <c r="I471" i="10" s="1"/>
  <c r="C471" i="10" a="1"/>
  <c r="C471" i="10" s="1"/>
  <c r="D471" i="10" s="1"/>
  <c r="K471" i="10" s="1" a="1"/>
  <c r="K471" i="10" s="1"/>
  <c r="A472" i="10" a="1"/>
  <c r="A472" i="10" s="1"/>
  <c r="B472" i="10" s="1"/>
  <c r="C472" i="10" a="1"/>
  <c r="C472" i="10" s="1"/>
  <c r="D472" i="10" s="1"/>
  <c r="B41" i="17" s="1"/>
  <c r="A473" i="10" a="1"/>
  <c r="A473" i="10" s="1"/>
  <c r="H473" i="10" s="1"/>
  <c r="I473" i="10" s="1"/>
  <c r="C473" i="10" a="1"/>
  <c r="C473" i="10" s="1"/>
  <c r="D473" i="10" s="1"/>
  <c r="K473" i="10" s="1" a="1"/>
  <c r="K473" i="10" s="1"/>
  <c r="A474" i="10" a="1"/>
  <c r="A474" i="10" s="1"/>
  <c r="F474" i="10" s="1"/>
  <c r="G474" i="10" s="1"/>
  <c r="C474" i="10" a="1"/>
  <c r="C474" i="10" s="1"/>
  <c r="D474" i="10" s="1"/>
  <c r="K474" i="10" s="1" a="1"/>
  <c r="K474" i="10" s="1"/>
  <c r="A475" i="10" a="1"/>
  <c r="A475" i="10" s="1"/>
  <c r="H475" i="10" s="1"/>
  <c r="I475" i="10" s="1"/>
  <c r="J475" i="10" s="1"/>
  <c r="C475" i="10" a="1"/>
  <c r="C475" i="10" s="1"/>
  <c r="D475" i="10" s="1"/>
  <c r="K475" i="10" s="1" a="1"/>
  <c r="K475" i="10" s="1"/>
  <c r="A476" i="10" a="1"/>
  <c r="A476" i="10" s="1"/>
  <c r="H476" i="10" s="1"/>
  <c r="I476" i="10" s="1"/>
  <c r="C476" i="10" a="1"/>
  <c r="C476" i="10" s="1"/>
  <c r="D476" i="10" s="1"/>
  <c r="K476" i="10" s="1" a="1"/>
  <c r="K476" i="10" s="1"/>
  <c r="A477" i="10" a="1"/>
  <c r="A477" i="10" s="1"/>
  <c r="C477" i="10" a="1"/>
  <c r="C477" i="10" s="1"/>
  <c r="D477" i="10" s="1"/>
  <c r="K477" i="10" s="1" a="1"/>
  <c r="K477" i="10" s="1"/>
  <c r="A478" i="10" a="1"/>
  <c r="A478" i="10" s="1"/>
  <c r="B478" i="10" s="1"/>
  <c r="C478" i="10" a="1"/>
  <c r="C478" i="10" s="1"/>
  <c r="D478" i="10" s="1"/>
  <c r="K478" i="10" s="1" a="1"/>
  <c r="K478" i="10" s="1"/>
  <c r="A479" i="10" a="1"/>
  <c r="A479" i="10" s="1"/>
  <c r="C479" i="10" a="1"/>
  <c r="C479" i="10" s="1"/>
  <c r="D479" i="10" s="1"/>
  <c r="K479" i="10" s="1" a="1"/>
  <c r="K479" i="10" s="1"/>
  <c r="A480" i="10" a="1"/>
  <c r="A480" i="10" s="1"/>
  <c r="F480" i="10" s="1"/>
  <c r="G480" i="10" s="1"/>
  <c r="C480" i="10" a="1"/>
  <c r="C480" i="10" s="1"/>
  <c r="D480" i="10" s="1"/>
  <c r="K480" i="10" s="1" a="1"/>
  <c r="K480" i="10" s="1"/>
  <c r="A481" i="10" a="1"/>
  <c r="A481" i="10" s="1"/>
  <c r="H481" i="10" s="1"/>
  <c r="I481" i="10" s="1"/>
  <c r="C481" i="10" a="1"/>
  <c r="C481" i="10" s="1"/>
  <c r="D481" i="10" s="1"/>
  <c r="K481" i="10" s="1" a="1"/>
  <c r="K481" i="10" s="1"/>
  <c r="A482" i="10" a="1"/>
  <c r="A482" i="10" s="1"/>
  <c r="C482" i="10" a="1"/>
  <c r="C482" i="10" s="1"/>
  <c r="D482" i="10" s="1"/>
  <c r="K482" i="10" s="1" a="1"/>
  <c r="K482" i="10" s="1"/>
  <c r="A483" i="10" a="1"/>
  <c r="A483" i="10" s="1"/>
  <c r="H483" i="10" s="1"/>
  <c r="I483" i="10" s="1"/>
  <c r="C483" i="10" a="1"/>
  <c r="C483" i="10" s="1"/>
  <c r="D483" i="10" s="1"/>
  <c r="K483" i="10" s="1" a="1"/>
  <c r="K483" i="10" s="1"/>
  <c r="A484" i="10" a="1"/>
  <c r="A484" i="10" s="1"/>
  <c r="C484" i="10" a="1"/>
  <c r="C484" i="10" s="1"/>
  <c r="D484" i="10" s="1"/>
  <c r="A485" i="10" a="1"/>
  <c r="A485" i="10" s="1"/>
  <c r="C485" i="10" a="1"/>
  <c r="C485" i="10" s="1"/>
  <c r="D485" i="10" s="1"/>
  <c r="K485" i="10" s="1" a="1"/>
  <c r="K485" i="10" s="1"/>
  <c r="A486" i="10" a="1"/>
  <c r="A486" i="10" s="1"/>
  <c r="C486" i="10" a="1"/>
  <c r="C486" i="10" s="1"/>
  <c r="D486" i="10" s="1"/>
  <c r="K486" i="10" s="1" a="1"/>
  <c r="K486" i="10" s="1"/>
  <c r="A487" i="10" a="1"/>
  <c r="A487" i="10" s="1"/>
  <c r="F487" i="10" s="1"/>
  <c r="G487" i="10" s="1"/>
  <c r="C487" i="10" a="1"/>
  <c r="C487" i="10" s="1"/>
  <c r="D487" i="10" s="1"/>
  <c r="K487" i="10" s="1" a="1"/>
  <c r="K487" i="10" s="1"/>
  <c r="A488" i="10" a="1"/>
  <c r="A488" i="10" s="1"/>
  <c r="C488" i="10" a="1"/>
  <c r="C488" i="10" s="1"/>
  <c r="D488" i="10" s="1"/>
  <c r="K488" i="10" s="1" a="1"/>
  <c r="K488" i="10" s="1"/>
  <c r="A489" i="10" a="1"/>
  <c r="A489" i="10" s="1"/>
  <c r="C489" i="10" a="1"/>
  <c r="C489" i="10" s="1"/>
  <c r="D489" i="10" s="1"/>
  <c r="K489" i="10" s="1" a="1"/>
  <c r="K489" i="10" s="1"/>
  <c r="A490" i="10" a="1"/>
  <c r="A490" i="10" s="1"/>
  <c r="H490" i="10" s="1"/>
  <c r="I490" i="10" s="1"/>
  <c r="C490" i="10" a="1"/>
  <c r="C490" i="10" s="1"/>
  <c r="D490" i="10" s="1"/>
  <c r="K490" i="10" s="1" a="1"/>
  <c r="K490" i="10" s="1"/>
  <c r="A491" i="10" a="1"/>
  <c r="A491" i="10" s="1"/>
  <c r="F491" i="10" s="1"/>
  <c r="G491" i="10" s="1"/>
  <c r="C491" i="10" a="1"/>
  <c r="C491" i="10" s="1"/>
  <c r="D491" i="10" s="1"/>
  <c r="K491" i="10" s="1" a="1"/>
  <c r="K491" i="10" s="1"/>
  <c r="A492" i="10" a="1"/>
  <c r="A492" i="10" s="1"/>
  <c r="H492" i="10" s="1"/>
  <c r="I492" i="10" s="1"/>
  <c r="C492" i="10" a="1"/>
  <c r="C492" i="10" s="1"/>
  <c r="D492" i="10" s="1"/>
  <c r="K492" i="10" s="1" a="1"/>
  <c r="K492" i="10" s="1"/>
  <c r="A493" i="10" a="1"/>
  <c r="A493" i="10" s="1"/>
  <c r="C493" i="10" a="1"/>
  <c r="C493" i="10" s="1"/>
  <c r="D493" i="10" s="1"/>
  <c r="K493" i="10" s="1" a="1"/>
  <c r="K493" i="10" s="1"/>
  <c r="A494" i="10" a="1"/>
  <c r="A494" i="10" s="1"/>
  <c r="B494" i="10" s="1"/>
  <c r="C494" i="10" a="1"/>
  <c r="C494" i="10" s="1"/>
  <c r="D494" i="10" s="1"/>
  <c r="K494" i="10" s="1" a="1"/>
  <c r="K494" i="10" s="1"/>
  <c r="A495" i="10" a="1"/>
  <c r="A495" i="10" s="1"/>
  <c r="C495" i="10" a="1"/>
  <c r="C495" i="10" s="1"/>
  <c r="D495" i="10" s="1"/>
  <c r="K495" i="10" s="1" a="1"/>
  <c r="K495" i="10" s="1"/>
  <c r="A496" i="10" a="1"/>
  <c r="A496" i="10" s="1"/>
  <c r="B496" i="10" s="1"/>
  <c r="C496" i="10" a="1"/>
  <c r="C496" i="10" s="1"/>
  <c r="D496" i="10" s="1"/>
  <c r="B43" i="17" s="1"/>
  <c r="A497" i="10" a="1"/>
  <c r="A497" i="10" s="1"/>
  <c r="C497" i="10" a="1"/>
  <c r="C497" i="10" s="1"/>
  <c r="D497" i="10" s="1"/>
  <c r="K497" i="10" s="1" a="1"/>
  <c r="K497" i="10" s="1"/>
  <c r="A498" i="10" a="1"/>
  <c r="A498" i="10" s="1"/>
  <c r="B498" i="10" s="1"/>
  <c r="C498" i="10" a="1"/>
  <c r="C498" i="10" s="1"/>
  <c r="D498" i="10" s="1"/>
  <c r="K498" i="10" s="1" a="1"/>
  <c r="K498" i="10" s="1"/>
  <c r="A499" i="10" a="1"/>
  <c r="A499" i="10" s="1"/>
  <c r="C499" i="10" a="1"/>
  <c r="C499" i="10" s="1"/>
  <c r="D499" i="10" s="1"/>
  <c r="K499" i="10" s="1" a="1"/>
  <c r="K499" i="10" s="1"/>
  <c r="A500" i="10" a="1"/>
  <c r="A500" i="10" s="1"/>
  <c r="B500" i="10" s="1"/>
  <c r="C500" i="10" a="1"/>
  <c r="C500" i="10" s="1"/>
  <c r="D500" i="10" s="1"/>
  <c r="K500" i="10" s="1" a="1"/>
  <c r="K500" i="10" s="1"/>
  <c r="A501" i="10" a="1"/>
  <c r="A501" i="10" s="1"/>
  <c r="F501" i="10" s="1"/>
  <c r="G501" i="10" s="1"/>
  <c r="C501" i="10" a="1"/>
  <c r="C501" i="10" s="1"/>
  <c r="D501" i="10" s="1"/>
  <c r="K501" i="10" s="1" a="1"/>
  <c r="K501" i="10" s="1"/>
  <c r="A502" i="10" a="1"/>
  <c r="A502" i="10" s="1"/>
  <c r="C502" i="10" a="1"/>
  <c r="C502" i="10" s="1"/>
  <c r="D502" i="10" s="1"/>
  <c r="K502" i="10" s="1" a="1"/>
  <c r="K502" i="10" s="1"/>
  <c r="A503" i="10" a="1"/>
  <c r="A503" i="10" s="1"/>
  <c r="C503" i="10" a="1"/>
  <c r="C503" i="10" s="1"/>
  <c r="D503" i="10" s="1"/>
  <c r="K503" i="10" s="1" a="1"/>
  <c r="K503" i="10" s="1"/>
  <c r="A504" i="10" a="1"/>
  <c r="A504" i="10" s="1"/>
  <c r="C504" i="10" a="1"/>
  <c r="C504" i="10" s="1"/>
  <c r="D504" i="10" s="1"/>
  <c r="K504" i="10" s="1" a="1"/>
  <c r="K504" i="10" s="1"/>
  <c r="A505" i="10" a="1"/>
  <c r="A505" i="10" s="1"/>
  <c r="B505" i="10" s="1"/>
  <c r="C505" i="10" a="1"/>
  <c r="C505" i="10" s="1"/>
  <c r="D505" i="10" s="1"/>
  <c r="K505" i="10" s="1" a="1"/>
  <c r="K505" i="10" s="1"/>
  <c r="A506" i="10" a="1"/>
  <c r="A506" i="10" s="1"/>
  <c r="B506" i="10" s="1"/>
  <c r="C506" i="10" a="1"/>
  <c r="C506" i="10" s="1"/>
  <c r="D506" i="10" s="1"/>
  <c r="K506" i="10" s="1" a="1"/>
  <c r="K506" i="10" s="1"/>
  <c r="A507" i="10" a="1"/>
  <c r="A507" i="10" s="1"/>
  <c r="C507" i="10" a="1"/>
  <c r="C507" i="10" s="1"/>
  <c r="D507" i="10" s="1"/>
  <c r="K507" i="10" s="1" a="1"/>
  <c r="K507" i="10" s="1"/>
  <c r="A508" i="10" a="1"/>
  <c r="A508" i="10" s="1"/>
  <c r="C508" i="10" a="1"/>
  <c r="C508" i="10" s="1"/>
  <c r="D508" i="10" s="1"/>
  <c r="B44" i="17" s="1"/>
  <c r="A509" i="10" a="1"/>
  <c r="A509" i="10" s="1"/>
  <c r="H509" i="10" s="1"/>
  <c r="I509" i="10" s="1"/>
  <c r="C509" i="10" a="1"/>
  <c r="C509" i="10" s="1"/>
  <c r="D509" i="10" s="1"/>
  <c r="K509" i="10" s="1" a="1"/>
  <c r="K509" i="10" s="1"/>
  <c r="A510" i="10" a="1"/>
  <c r="A510" i="10" s="1"/>
  <c r="F510" i="10" s="1"/>
  <c r="G510" i="10" s="1"/>
  <c r="C510" i="10" a="1"/>
  <c r="C510" i="10" s="1"/>
  <c r="D510" i="10" s="1"/>
  <c r="K510" i="10" s="1" a="1"/>
  <c r="K510" i="10" s="1"/>
  <c r="A511" i="10" a="1"/>
  <c r="A511" i="10" s="1"/>
  <c r="C511" i="10" a="1"/>
  <c r="C511" i="10" s="1"/>
  <c r="D511" i="10" s="1"/>
  <c r="K511" i="10" s="1" a="1"/>
  <c r="K511" i="10" s="1"/>
  <c r="A512" i="10" a="1"/>
  <c r="A512" i="10" s="1"/>
  <c r="F512" i="10" s="1"/>
  <c r="G512" i="10" s="1"/>
  <c r="C512" i="10" a="1"/>
  <c r="C512" i="10" s="1"/>
  <c r="D512" i="10" s="1"/>
  <c r="K512" i="10" s="1" a="1"/>
  <c r="K512" i="10" s="1"/>
  <c r="A513" i="10" a="1"/>
  <c r="A513" i="10" s="1"/>
  <c r="C513" i="10" a="1"/>
  <c r="C513" i="10" s="1"/>
  <c r="D513" i="10" s="1"/>
  <c r="K513" i="10" s="1" a="1"/>
  <c r="K513" i="10" s="1"/>
  <c r="A514" i="10" a="1"/>
  <c r="A514" i="10" s="1"/>
  <c r="C514" i="10" a="1"/>
  <c r="C514" i="10" s="1"/>
  <c r="D514" i="10" s="1"/>
  <c r="K514" i="10" s="1" a="1"/>
  <c r="K514" i="10" s="1"/>
  <c r="A515" i="10" a="1"/>
  <c r="A515" i="10" s="1"/>
  <c r="C515" i="10" a="1"/>
  <c r="C515" i="10" s="1"/>
  <c r="D515" i="10" s="1"/>
  <c r="K515" i="10" s="1" a="1"/>
  <c r="K515" i="10" s="1"/>
  <c r="A516" i="10" a="1"/>
  <c r="A516" i="10" s="1"/>
  <c r="C516" i="10" a="1"/>
  <c r="C516" i="10" s="1"/>
  <c r="D516" i="10" s="1"/>
  <c r="K516" i="10" s="1" a="1"/>
  <c r="K516" i="10" s="1"/>
  <c r="A517" i="10" a="1"/>
  <c r="A517" i="10" s="1"/>
  <c r="F517" i="10" s="1"/>
  <c r="G517" i="10" s="1"/>
  <c r="C517" i="10" a="1"/>
  <c r="C517" i="10" s="1"/>
  <c r="D517" i="10" s="1"/>
  <c r="K517" i="10" s="1" a="1"/>
  <c r="K517" i="10" s="1"/>
  <c r="A518" i="10" a="1"/>
  <c r="A518" i="10" s="1"/>
  <c r="C518" i="10" a="1"/>
  <c r="C518" i="10" s="1"/>
  <c r="D518" i="10" s="1"/>
  <c r="K518" i="10" s="1" a="1"/>
  <c r="K518" i="10" s="1"/>
  <c r="A519" i="10" a="1"/>
  <c r="A519" i="10" s="1"/>
  <c r="C519" i="10" a="1"/>
  <c r="C519" i="10" s="1"/>
  <c r="D519" i="10" s="1"/>
  <c r="K519" i="10" s="1" a="1"/>
  <c r="K519" i="10" s="1"/>
  <c r="A520" i="10" a="1"/>
  <c r="A520" i="10" s="1"/>
  <c r="C520" i="10" a="1"/>
  <c r="C520" i="10" s="1"/>
  <c r="D520" i="10" s="1"/>
  <c r="B45" i="17" s="1"/>
  <c r="A521" i="10" a="1"/>
  <c r="A521" i="10" s="1"/>
  <c r="C521" i="10" a="1"/>
  <c r="C521" i="10" s="1"/>
  <c r="D521" i="10" s="1"/>
  <c r="K521" i="10" s="1" a="1"/>
  <c r="K521" i="10" s="1"/>
  <c r="A522" i="10" a="1"/>
  <c r="A522" i="10" s="1"/>
  <c r="H522" i="10" s="1"/>
  <c r="I522" i="10" s="1"/>
  <c r="C522" i="10" a="1"/>
  <c r="C522" i="10" s="1"/>
  <c r="D522" i="10" s="1"/>
  <c r="K522" i="10" s="1" a="1"/>
  <c r="K522" i="10" s="1"/>
  <c r="A523" i="10" a="1"/>
  <c r="A523" i="10" s="1"/>
  <c r="C523" i="10" a="1"/>
  <c r="C523" i="10" s="1"/>
  <c r="D523" i="10" s="1"/>
  <c r="K523" i="10" s="1" a="1"/>
  <c r="K523" i="10" s="1"/>
  <c r="A524" i="10" a="1"/>
  <c r="A524" i="10" s="1"/>
  <c r="C524" i="10" a="1"/>
  <c r="C524" i="10" s="1"/>
  <c r="D524" i="10" s="1"/>
  <c r="K524" i="10" s="1" a="1"/>
  <c r="K524" i="10" s="1"/>
  <c r="A525" i="10" a="1"/>
  <c r="A525" i="10" s="1"/>
  <c r="C525" i="10" a="1"/>
  <c r="C525" i="10" s="1"/>
  <c r="D525" i="10" s="1"/>
  <c r="K525" i="10" s="1" a="1"/>
  <c r="K525" i="10" s="1"/>
  <c r="A526" i="10" a="1"/>
  <c r="A526" i="10" s="1"/>
  <c r="C526" i="10" a="1"/>
  <c r="C526" i="10" s="1"/>
  <c r="D526" i="10" s="1"/>
  <c r="K526" i="10" s="1" a="1"/>
  <c r="K526" i="10" s="1"/>
  <c r="A527" i="10" a="1"/>
  <c r="A527" i="10" s="1"/>
  <c r="C527" i="10" a="1"/>
  <c r="C527" i="10" s="1"/>
  <c r="D527" i="10" s="1"/>
  <c r="K527" i="10" s="1" a="1"/>
  <c r="K527" i="10" s="1"/>
  <c r="A528" i="10" a="1"/>
  <c r="A528" i="10" s="1"/>
  <c r="H528" i="10" s="1"/>
  <c r="I528" i="10" s="1"/>
  <c r="C528" i="10" a="1"/>
  <c r="C528" i="10" s="1"/>
  <c r="D528" i="10" s="1"/>
  <c r="K528" i="10" s="1" a="1"/>
  <c r="K528" i="10" s="1"/>
  <c r="A529" i="10" a="1"/>
  <c r="A529" i="10" s="1"/>
  <c r="B529" i="10" s="1"/>
  <c r="C529" i="10" a="1"/>
  <c r="C529" i="10" s="1"/>
  <c r="D529" i="10" s="1"/>
  <c r="K529" i="10" s="1" a="1"/>
  <c r="K529" i="10" s="1"/>
  <c r="A530" i="10" a="1"/>
  <c r="A530" i="10" s="1"/>
  <c r="B530" i="10" s="1"/>
  <c r="C530" i="10" a="1"/>
  <c r="C530" i="10" s="1"/>
  <c r="D530" i="10" s="1"/>
  <c r="K530" i="10" s="1" a="1"/>
  <c r="K530" i="10" s="1"/>
  <c r="A531" i="10" a="1"/>
  <c r="A531" i="10" s="1"/>
  <c r="C531" i="10" a="1"/>
  <c r="C531" i="10" s="1"/>
  <c r="D531" i="10" s="1"/>
  <c r="K531" i="10" s="1" a="1"/>
  <c r="K531" i="10" s="1"/>
  <c r="A532" i="10" a="1"/>
  <c r="A532" i="10" s="1"/>
  <c r="C532" i="10" a="1"/>
  <c r="C532" i="10" s="1"/>
  <c r="D532" i="10" s="1"/>
  <c r="K532" i="10" s="1" a="1"/>
  <c r="K532" i="10" s="1"/>
  <c r="A533" i="10" a="1"/>
  <c r="A533" i="10" s="1"/>
  <c r="C533" i="10" a="1"/>
  <c r="C533" i="10" s="1"/>
  <c r="D533" i="10" s="1"/>
  <c r="K533" i="10" s="1" a="1"/>
  <c r="K533" i="10" s="1"/>
  <c r="A534" i="10" a="1"/>
  <c r="A534" i="10" s="1"/>
  <c r="H534" i="10" s="1"/>
  <c r="I534" i="10" s="1"/>
  <c r="C534" i="10" a="1"/>
  <c r="C534" i="10" s="1"/>
  <c r="D534" i="10" s="1"/>
  <c r="K534" i="10" s="1" a="1"/>
  <c r="K534" i="10" s="1"/>
  <c r="A535" i="10" a="1"/>
  <c r="A535" i="10" s="1"/>
  <c r="C535" i="10" a="1"/>
  <c r="C535" i="10" s="1"/>
  <c r="D535" i="10" s="1"/>
  <c r="K535" i="10" s="1" a="1"/>
  <c r="K535" i="10" s="1"/>
  <c r="A536" i="10" a="1"/>
  <c r="A536" i="10" s="1"/>
  <c r="B536" i="10" s="1"/>
  <c r="C536" i="10" a="1"/>
  <c r="C536" i="10" s="1"/>
  <c r="D536" i="10" s="1"/>
  <c r="B46" i="17" s="1"/>
  <c r="A537" i="10" a="1"/>
  <c r="A537" i="10" s="1"/>
  <c r="C537" i="10" a="1"/>
  <c r="C537" i="10" s="1"/>
  <c r="D537" i="10" s="1"/>
  <c r="K537" i="10" s="1" a="1"/>
  <c r="K537" i="10" s="1"/>
  <c r="A538" i="10" a="1"/>
  <c r="A538" i="10" s="1"/>
  <c r="C538" i="10" a="1"/>
  <c r="C538" i="10" s="1"/>
  <c r="D538" i="10" s="1"/>
  <c r="K538" i="10" s="1" a="1"/>
  <c r="K538" i="10" s="1"/>
  <c r="A539" i="10" a="1"/>
  <c r="A539" i="10" s="1"/>
  <c r="C539" i="10" a="1"/>
  <c r="C539" i="10" s="1"/>
  <c r="D539" i="10" s="1"/>
  <c r="K539" i="10" s="1" a="1"/>
  <c r="K539" i="10" s="1"/>
  <c r="A540" i="10" a="1"/>
  <c r="A540" i="10" s="1"/>
  <c r="B540" i="10" s="1"/>
  <c r="C540" i="10" a="1"/>
  <c r="C540" i="10" s="1"/>
  <c r="D540" i="10" s="1"/>
  <c r="K540" i="10" s="1" a="1"/>
  <c r="K540" i="10" s="1"/>
  <c r="A541" i="10" a="1"/>
  <c r="A541" i="10" s="1"/>
  <c r="C541" i="10" a="1"/>
  <c r="C541" i="10" s="1"/>
  <c r="D541" i="10" s="1"/>
  <c r="K541" i="10" s="1" a="1"/>
  <c r="K541" i="10" s="1"/>
  <c r="A362" i="10" a="1"/>
  <c r="A362" i="10" s="1"/>
  <c r="C362" i="10" a="1"/>
  <c r="C362" i="10" s="1"/>
  <c r="D362" i="10" s="1"/>
  <c r="K362" i="10" s="1" a="1"/>
  <c r="K362" i="10" s="1"/>
  <c r="A363" i="10" a="1"/>
  <c r="A363" i="10" s="1"/>
  <c r="C363" i="10" a="1"/>
  <c r="C363" i="10" s="1"/>
  <c r="D363" i="10" s="1"/>
  <c r="K363" i="10" s="1" a="1"/>
  <c r="K363" i="10" s="1"/>
  <c r="A364" i="10" a="1"/>
  <c r="A364" i="10" s="1"/>
  <c r="C364" i="10" a="1"/>
  <c r="C364" i="10" s="1"/>
  <c r="D364" i="10" s="1"/>
  <c r="B32" i="17" s="1"/>
  <c r="A365" i="10" a="1"/>
  <c r="A365" i="10" s="1"/>
  <c r="C365" i="10" a="1"/>
  <c r="C365" i="10" s="1"/>
  <c r="D365" i="10" s="1"/>
  <c r="K365" i="10" s="1" a="1"/>
  <c r="K365" i="10" s="1"/>
  <c r="A366" i="10" a="1"/>
  <c r="A366" i="10" s="1"/>
  <c r="C366" i="10" a="1"/>
  <c r="C366" i="10" s="1"/>
  <c r="D366" i="10" s="1"/>
  <c r="K366" i="10" s="1" a="1"/>
  <c r="K366" i="10" s="1"/>
  <c r="A367" i="10" a="1"/>
  <c r="A367" i="10" s="1"/>
  <c r="C367" i="10" a="1"/>
  <c r="C367" i="10"/>
  <c r="D367" i="10" s="1"/>
  <c r="K367" i="10" s="1" a="1"/>
  <c r="K367" i="10" s="1"/>
  <c r="A368" i="10" a="1"/>
  <c r="A368" i="10" s="1"/>
  <c r="C368" i="10" a="1"/>
  <c r="C368" i="10" s="1"/>
  <c r="D368" i="10" s="1"/>
  <c r="K368" i="10" s="1" a="1"/>
  <c r="K368" i="10" s="1"/>
  <c r="A369" i="10" a="1"/>
  <c r="A369" i="10" s="1"/>
  <c r="C369" i="10" a="1"/>
  <c r="C369" i="10" s="1"/>
  <c r="D369" i="10" s="1"/>
  <c r="K369" i="10" s="1" a="1"/>
  <c r="K369" i="10" s="1"/>
  <c r="A370" i="10" a="1"/>
  <c r="A370" i="10" s="1"/>
  <c r="C370" i="10" a="1"/>
  <c r="C370" i="10" s="1"/>
  <c r="D370" i="10" s="1"/>
  <c r="K370" i="10" s="1" a="1"/>
  <c r="K370" i="10" s="1"/>
  <c r="A371" i="10" a="1"/>
  <c r="A371" i="10" s="1"/>
  <c r="C371" i="10" a="1"/>
  <c r="C371" i="10" s="1"/>
  <c r="D371" i="10" s="1"/>
  <c r="K371" i="10" s="1" a="1"/>
  <c r="K371" i="10" s="1"/>
  <c r="A372" i="10" a="1"/>
  <c r="A372" i="10" s="1"/>
  <c r="C372" i="10" a="1"/>
  <c r="C372" i="10" s="1"/>
  <c r="D372" i="10" s="1"/>
  <c r="K372" i="10" s="1" a="1"/>
  <c r="K372" i="10" s="1"/>
  <c r="A373" i="10" a="1"/>
  <c r="A373" i="10" s="1"/>
  <c r="C373" i="10" a="1"/>
  <c r="C373" i="10" s="1"/>
  <c r="D373" i="10" s="1"/>
  <c r="K373" i="10" s="1" a="1"/>
  <c r="K373" i="10" s="1"/>
  <c r="A326" i="10" a="1"/>
  <c r="A326" i="10" s="1"/>
  <c r="C326" i="10" a="1"/>
  <c r="C326" i="10" s="1"/>
  <c r="D326" i="10" s="1"/>
  <c r="K326" i="10" s="1" a="1"/>
  <c r="K326" i="10" s="1"/>
  <c r="A327" i="10" a="1"/>
  <c r="A327" i="10" s="1"/>
  <c r="C327" i="10" a="1"/>
  <c r="C327" i="10" s="1"/>
  <c r="D327" i="10" s="1"/>
  <c r="K327" i="10" s="1" a="1"/>
  <c r="K327" i="10" s="1"/>
  <c r="A328" i="10" a="1"/>
  <c r="A328" i="10" s="1"/>
  <c r="C328" i="10" a="1"/>
  <c r="C328" i="10" s="1"/>
  <c r="D328" i="10" s="1"/>
  <c r="B29" i="17" s="1"/>
  <c r="A329" i="10" a="1"/>
  <c r="A329" i="10" s="1"/>
  <c r="C329" i="10" a="1"/>
  <c r="C329" i="10" s="1"/>
  <c r="D329" i="10" s="1"/>
  <c r="K329" i="10" s="1" a="1"/>
  <c r="K329" i="10" s="1"/>
  <c r="A330" i="10" a="1"/>
  <c r="A330" i="10" s="1"/>
  <c r="C330" i="10" a="1"/>
  <c r="C330" i="10" s="1"/>
  <c r="D330" i="10" s="1"/>
  <c r="K330" i="10" s="1" a="1"/>
  <c r="K330" i="10" s="1"/>
  <c r="A331" i="10" a="1"/>
  <c r="A331" i="10" s="1"/>
  <c r="C331" i="10" a="1"/>
  <c r="C331" i="10" s="1"/>
  <c r="D331" i="10" s="1"/>
  <c r="K331" i="10" s="1" a="1"/>
  <c r="K331" i="10" s="1"/>
  <c r="A332" i="10" a="1"/>
  <c r="A332" i="10" s="1"/>
  <c r="C332" i="10" a="1"/>
  <c r="C332" i="10" s="1"/>
  <c r="D332" i="10" s="1"/>
  <c r="K332" i="10" s="1" a="1"/>
  <c r="K332" i="10" s="1"/>
  <c r="A333" i="10" a="1"/>
  <c r="A333" i="10" s="1"/>
  <c r="C333" i="10" a="1"/>
  <c r="C333" i="10" s="1"/>
  <c r="D333" i="10" s="1"/>
  <c r="K333" i="10" s="1" a="1"/>
  <c r="K333" i="10" s="1"/>
  <c r="A334" i="10" a="1"/>
  <c r="A334" i="10" s="1"/>
  <c r="F334" i="10" s="1"/>
  <c r="G334" i="10" s="1"/>
  <c r="C334" i="10" a="1"/>
  <c r="C334" i="10" s="1"/>
  <c r="D334" i="10" s="1"/>
  <c r="K334" i="10" s="1" a="1"/>
  <c r="K334" i="10" s="1"/>
  <c r="A335" i="10" a="1"/>
  <c r="A335" i="10" s="1"/>
  <c r="C335" i="10" a="1"/>
  <c r="C335" i="10" s="1"/>
  <c r="D335" i="10" s="1"/>
  <c r="K335" i="10" s="1" a="1"/>
  <c r="K335" i="10" s="1"/>
  <c r="A336" i="10" a="1"/>
  <c r="A336" i="10" s="1"/>
  <c r="C336" i="10" a="1"/>
  <c r="C336" i="10" s="1"/>
  <c r="D336" i="10" s="1"/>
  <c r="K336" i="10" s="1" a="1"/>
  <c r="K336" i="10" s="1"/>
  <c r="A337" i="10" a="1"/>
  <c r="A337" i="10" s="1"/>
  <c r="C337" i="10" a="1"/>
  <c r="C337" i="10" s="1"/>
  <c r="D337" i="10" s="1"/>
  <c r="K337" i="10" s="1" a="1"/>
  <c r="K337" i="10" s="1"/>
  <c r="A338" i="10" a="1"/>
  <c r="A338" i="10" s="1"/>
  <c r="C338" i="10" a="1"/>
  <c r="C338" i="10" s="1"/>
  <c r="D338" i="10" s="1"/>
  <c r="K338" i="10" s="1" a="1"/>
  <c r="K338" i="10" s="1"/>
  <c r="A339" i="10" a="1"/>
  <c r="A339" i="10" s="1"/>
  <c r="C339" i="10" a="1"/>
  <c r="C339" i="10" s="1"/>
  <c r="D339" i="10" s="1"/>
  <c r="K339" i="10" s="1" a="1"/>
  <c r="K339" i="10" s="1"/>
  <c r="A340" i="10" a="1"/>
  <c r="A340" i="10" s="1"/>
  <c r="F340" i="10" s="1"/>
  <c r="G340" i="10" s="1"/>
  <c r="C340" i="10" a="1"/>
  <c r="C340" i="10" s="1"/>
  <c r="D340" i="10" s="1"/>
  <c r="B30" i="17" s="1"/>
  <c r="A341" i="10" a="1"/>
  <c r="A341" i="10" s="1"/>
  <c r="C341" i="10" a="1"/>
  <c r="C341" i="10" s="1"/>
  <c r="D341" i="10" s="1"/>
  <c r="K341" i="10" s="1" a="1"/>
  <c r="K341" i="10" s="1"/>
  <c r="A342" i="10" a="1"/>
  <c r="A342" i="10" s="1"/>
  <c r="C342" i="10" a="1"/>
  <c r="C342" i="10" s="1"/>
  <c r="D342" i="10" s="1"/>
  <c r="K342" i="10" s="1" a="1"/>
  <c r="K342" i="10" s="1"/>
  <c r="A343" i="10" a="1"/>
  <c r="A343" i="10" s="1"/>
  <c r="C343" i="10" a="1"/>
  <c r="C343" i="10" s="1"/>
  <c r="D343" i="10" s="1"/>
  <c r="K343" i="10" s="1" a="1"/>
  <c r="K343" i="10" s="1"/>
  <c r="A344" i="10" a="1"/>
  <c r="A344" i="10" s="1"/>
  <c r="C344" i="10" a="1"/>
  <c r="C344" i="10" s="1"/>
  <c r="D344" i="10" s="1"/>
  <c r="K344" i="10" s="1" a="1"/>
  <c r="K344" i="10" s="1"/>
  <c r="A345" i="10" a="1"/>
  <c r="A345" i="10" s="1"/>
  <c r="C345" i="10" a="1"/>
  <c r="C345" i="10" s="1"/>
  <c r="D345" i="10" s="1"/>
  <c r="K345" i="10" s="1" a="1"/>
  <c r="K345" i="10" s="1"/>
  <c r="A346" i="10" a="1"/>
  <c r="A346" i="10" s="1"/>
  <c r="B346" i="10" s="1"/>
  <c r="C346" i="10" a="1"/>
  <c r="C346" i="10" s="1"/>
  <c r="D346" i="10" s="1"/>
  <c r="K346" i="10" s="1" a="1"/>
  <c r="K346" i="10" s="1"/>
  <c r="A347" i="10" a="1"/>
  <c r="A347" i="10" s="1"/>
  <c r="C347" i="10" a="1"/>
  <c r="C347" i="10" s="1"/>
  <c r="D347" i="10" s="1"/>
  <c r="K347" i="10" s="1" a="1"/>
  <c r="K347" i="10" s="1"/>
  <c r="A348" i="10" a="1"/>
  <c r="A348" i="10" s="1"/>
  <c r="C348" i="10" a="1"/>
  <c r="C348" i="10" s="1"/>
  <c r="D348" i="10" s="1"/>
  <c r="K348" i="10" s="1" a="1"/>
  <c r="K348" i="10" s="1"/>
  <c r="A349" i="10" a="1"/>
  <c r="A349" i="10" s="1"/>
  <c r="C349" i="10" a="1"/>
  <c r="C349" i="10" s="1"/>
  <c r="D349" i="10" s="1"/>
  <c r="K349" i="10" s="1" a="1"/>
  <c r="K349" i="10" s="1"/>
  <c r="A350" i="10" a="1"/>
  <c r="A350" i="10" s="1"/>
  <c r="C350" i="10" a="1"/>
  <c r="C350" i="10" s="1"/>
  <c r="D350" i="10" s="1"/>
  <c r="K350" i="10" s="1" a="1"/>
  <c r="K350" i="10" s="1"/>
  <c r="A351" i="10" a="1"/>
  <c r="A351" i="10" s="1"/>
  <c r="C351" i="10" a="1"/>
  <c r="C351" i="10" s="1"/>
  <c r="D351" i="10" s="1"/>
  <c r="K351" i="10" s="1" a="1"/>
  <c r="K351" i="10" s="1"/>
  <c r="A352" i="10" a="1"/>
  <c r="A352" i="10" s="1"/>
  <c r="B352" i="10" s="1"/>
  <c r="C352" i="10" a="1"/>
  <c r="C352" i="10" s="1"/>
  <c r="D352" i="10" s="1"/>
  <c r="B31" i="17" s="1"/>
  <c r="A353" i="10" a="1"/>
  <c r="A353" i="10" s="1"/>
  <c r="C353" i="10" a="1"/>
  <c r="C353" i="10" s="1"/>
  <c r="D353" i="10" s="1"/>
  <c r="K353" i="10" s="1" a="1"/>
  <c r="K353" i="10" s="1"/>
  <c r="A354" i="10" a="1"/>
  <c r="A354" i="10" s="1"/>
  <c r="C354" i="10" a="1"/>
  <c r="C354" i="10" s="1"/>
  <c r="D354" i="10" s="1"/>
  <c r="K354" i="10" s="1" a="1"/>
  <c r="K354" i="10" s="1"/>
  <c r="A355" i="10" a="1"/>
  <c r="A355" i="10" s="1"/>
  <c r="C355" i="10" a="1"/>
  <c r="C355" i="10" s="1"/>
  <c r="D355" i="10" s="1"/>
  <c r="K355" i="10" s="1" a="1"/>
  <c r="K355" i="10" s="1"/>
  <c r="A356" i="10" a="1"/>
  <c r="A356" i="10" s="1"/>
  <c r="C356" i="10" a="1"/>
  <c r="C356" i="10" s="1"/>
  <c r="D356" i="10" s="1"/>
  <c r="K356" i="10" s="1" a="1"/>
  <c r="K356" i="10" s="1"/>
  <c r="A357" i="10" a="1"/>
  <c r="A357" i="10" s="1"/>
  <c r="C357" i="10" a="1"/>
  <c r="C357" i="10" s="1"/>
  <c r="D357" i="10" s="1"/>
  <c r="K357" i="10" s="1" a="1"/>
  <c r="K357" i="10" s="1"/>
  <c r="A358" i="10" a="1"/>
  <c r="A358" i="10" s="1"/>
  <c r="B358" i="10" s="1"/>
  <c r="C358" i="10" a="1"/>
  <c r="C358" i="10" s="1"/>
  <c r="D358" i="10" s="1"/>
  <c r="K358" i="10" s="1" a="1"/>
  <c r="K358" i="10" s="1"/>
  <c r="A359" i="10" a="1"/>
  <c r="A359" i="10" s="1"/>
  <c r="C359" i="10" a="1"/>
  <c r="C359" i="10" s="1"/>
  <c r="D359" i="10" s="1"/>
  <c r="K359" i="10" s="1" a="1"/>
  <c r="K359" i="10" s="1"/>
  <c r="A360" i="10" a="1"/>
  <c r="A360" i="10" s="1"/>
  <c r="C360" i="10" a="1"/>
  <c r="C360" i="10" s="1"/>
  <c r="D360" i="10" s="1"/>
  <c r="K360" i="10" s="1" a="1"/>
  <c r="K360" i="10" s="1"/>
  <c r="A361" i="10" a="1"/>
  <c r="A361" i="10" s="1"/>
  <c r="C361" i="10" a="1"/>
  <c r="C361" i="10" s="1"/>
  <c r="D361" i="10" s="1"/>
  <c r="K361" i="10" s="1" a="1"/>
  <c r="K361" i="10" s="1"/>
  <c r="A242" i="10" a="1"/>
  <c r="A242" i="10" s="1"/>
  <c r="C242" i="10" a="1"/>
  <c r="C242" i="10" s="1"/>
  <c r="D242" i="10" s="1"/>
  <c r="K242" i="10" s="1" a="1"/>
  <c r="K242" i="10" s="1"/>
  <c r="A243" i="10" a="1"/>
  <c r="A243" i="10" s="1"/>
  <c r="C243" i="10" a="1"/>
  <c r="C243" i="10" s="1"/>
  <c r="D243" i="10" s="1"/>
  <c r="K243" i="10" s="1" a="1"/>
  <c r="K243" i="10" s="1"/>
  <c r="A244" i="10" a="1"/>
  <c r="A244" i="10" s="1"/>
  <c r="C244" i="10" a="1"/>
  <c r="C244" i="10" s="1"/>
  <c r="D244" i="10" s="1"/>
  <c r="B22" i="17" s="1"/>
  <c r="A245" i="10" a="1"/>
  <c r="A245" i="10" s="1"/>
  <c r="B245" i="10" s="1"/>
  <c r="C245" i="10" a="1"/>
  <c r="C245" i="10" s="1"/>
  <c r="D245" i="10" s="1"/>
  <c r="K245" i="10" s="1" a="1"/>
  <c r="K245" i="10" s="1"/>
  <c r="A246" i="10" a="1"/>
  <c r="A246" i="10" s="1"/>
  <c r="B246" i="10" s="1"/>
  <c r="C246" i="10" a="1"/>
  <c r="C246" i="10" s="1"/>
  <c r="D246" i="10" s="1"/>
  <c r="K246" i="10" s="1" a="1"/>
  <c r="K246" i="10" s="1"/>
  <c r="A247" i="10" a="1"/>
  <c r="A247" i="10" s="1"/>
  <c r="C247" i="10" a="1"/>
  <c r="C247" i="10" s="1"/>
  <c r="D247" i="10" s="1"/>
  <c r="K247" i="10" s="1" a="1"/>
  <c r="K247" i="10" s="1"/>
  <c r="A248" i="10" a="1"/>
  <c r="A248" i="10" s="1"/>
  <c r="B248" i="10" s="1"/>
  <c r="C248" i="10" a="1"/>
  <c r="C248" i="10" s="1"/>
  <c r="D248" i="10" s="1"/>
  <c r="K248" i="10" s="1" a="1"/>
  <c r="K248" i="10" s="1"/>
  <c r="A249" i="10" a="1"/>
  <c r="A249" i="10" s="1"/>
  <c r="B249" i="10" s="1"/>
  <c r="C249" i="10" a="1"/>
  <c r="C249" i="10" s="1"/>
  <c r="D249" i="10" s="1"/>
  <c r="K249" i="10" s="1" a="1"/>
  <c r="K249" i="10" s="1"/>
  <c r="A250" i="10" a="1"/>
  <c r="A250" i="10" s="1"/>
  <c r="F250" i="10" s="1"/>
  <c r="G250" i="10" s="1"/>
  <c r="C250" i="10" a="1"/>
  <c r="C250" i="10" s="1"/>
  <c r="D250" i="10" s="1"/>
  <c r="K250" i="10" s="1" a="1"/>
  <c r="K250" i="10" s="1"/>
  <c r="A251" i="10" a="1"/>
  <c r="A251" i="10" s="1"/>
  <c r="H251" i="10" s="1"/>
  <c r="I251" i="10" s="1"/>
  <c r="C251" i="10" a="1"/>
  <c r="C251" i="10" s="1"/>
  <c r="D251" i="10" s="1"/>
  <c r="K251" i="10" s="1" a="1"/>
  <c r="K251" i="10" s="1"/>
  <c r="A252" i="10" a="1"/>
  <c r="A252" i="10" s="1"/>
  <c r="B252" i="10" s="1"/>
  <c r="C252" i="10" a="1"/>
  <c r="C252" i="10" s="1"/>
  <c r="D252" i="10" s="1"/>
  <c r="K252" i="10" s="1" a="1"/>
  <c r="K252" i="10" s="1"/>
  <c r="A253" i="10" a="1"/>
  <c r="A253" i="10" s="1"/>
  <c r="C253" i="10" a="1"/>
  <c r="C253" i="10" s="1"/>
  <c r="D253" i="10" s="1"/>
  <c r="K253" i="10" s="1" a="1"/>
  <c r="K253" i="10" s="1"/>
  <c r="A254" i="10" a="1"/>
  <c r="A254" i="10" s="1"/>
  <c r="F254" i="10" s="1"/>
  <c r="G254" i="10" s="1"/>
  <c r="C254" i="10" a="1"/>
  <c r="C254" i="10" s="1"/>
  <c r="D254" i="10" s="1"/>
  <c r="K254" i="10" s="1" a="1"/>
  <c r="K254" i="10" s="1"/>
  <c r="A255" i="10" a="1"/>
  <c r="A255" i="10" s="1"/>
  <c r="B255" i="10" s="1"/>
  <c r="C255" i="10" a="1"/>
  <c r="C255" i="10" s="1"/>
  <c r="D255" i="10" s="1"/>
  <c r="K255" i="10" s="1" a="1"/>
  <c r="K255" i="10" s="1"/>
  <c r="A256" i="10" a="1"/>
  <c r="A256" i="10" s="1"/>
  <c r="B256" i="10" s="1"/>
  <c r="C256" i="10" a="1"/>
  <c r="C256" i="10" s="1"/>
  <c r="D256" i="10" s="1"/>
  <c r="B23" i="17" s="1"/>
  <c r="A257" i="10" a="1"/>
  <c r="A257" i="10" s="1"/>
  <c r="B257" i="10" s="1"/>
  <c r="C257" i="10" a="1"/>
  <c r="C257" i="10" s="1"/>
  <c r="D257" i="10" s="1"/>
  <c r="K257" i="10" s="1" a="1"/>
  <c r="K257" i="10" s="1"/>
  <c r="A258" i="10" a="1"/>
  <c r="A258" i="10" s="1"/>
  <c r="F258" i="10" s="1"/>
  <c r="G258" i="10" s="1"/>
  <c r="C258" i="10" a="1"/>
  <c r="C258" i="10" s="1"/>
  <c r="D258" i="10" s="1"/>
  <c r="K258" i="10" s="1" a="1"/>
  <c r="K258" i="10" s="1"/>
  <c r="A259" i="10" a="1"/>
  <c r="A259" i="10" s="1"/>
  <c r="B259" i="10" s="1"/>
  <c r="C259" i="10" a="1"/>
  <c r="C259" i="10" s="1"/>
  <c r="D259" i="10" s="1"/>
  <c r="K259" i="10" s="1" a="1"/>
  <c r="K259" i="10" s="1"/>
  <c r="A260" i="10" a="1"/>
  <c r="A260" i="10" s="1"/>
  <c r="B260" i="10" s="1"/>
  <c r="C260" i="10" a="1"/>
  <c r="C260" i="10" s="1"/>
  <c r="D260" i="10" s="1"/>
  <c r="K260" i="10" s="1" a="1"/>
  <c r="K260" i="10" s="1"/>
  <c r="A261" i="10" a="1"/>
  <c r="A261" i="10" s="1"/>
  <c r="B261" i="10" s="1"/>
  <c r="C261" i="10" a="1"/>
  <c r="C261" i="10" s="1"/>
  <c r="D261" i="10" s="1"/>
  <c r="K261" i="10" s="1" a="1"/>
  <c r="K261" i="10" s="1"/>
  <c r="A262" i="10" a="1"/>
  <c r="A262" i="10" s="1"/>
  <c r="F262" i="10" s="1"/>
  <c r="G262" i="10" s="1"/>
  <c r="C262" i="10" a="1"/>
  <c r="C262" i="10" s="1"/>
  <c r="D262" i="10" s="1"/>
  <c r="K262" i="10" s="1" a="1"/>
  <c r="K262" i="10" s="1"/>
  <c r="A263" i="10" a="1"/>
  <c r="A263" i="10" s="1"/>
  <c r="H263" i="10" s="1"/>
  <c r="I263" i="10" s="1"/>
  <c r="C263" i="10" a="1"/>
  <c r="C263" i="10" s="1"/>
  <c r="D263" i="10" s="1"/>
  <c r="K263" i="10" s="1" a="1"/>
  <c r="K263" i="10" s="1"/>
  <c r="A264" i="10" a="1"/>
  <c r="A264" i="10" s="1"/>
  <c r="B264" i="10" s="1"/>
  <c r="C264" i="10" a="1"/>
  <c r="C264" i="10" s="1"/>
  <c r="D264" i="10" s="1"/>
  <c r="K264" i="10" s="1" a="1"/>
  <c r="K264" i="10" s="1"/>
  <c r="A265" i="10" a="1"/>
  <c r="A265" i="10" s="1"/>
  <c r="B265" i="10" s="1"/>
  <c r="C265" i="10" a="1"/>
  <c r="C265" i="10" s="1"/>
  <c r="D265" i="10" s="1"/>
  <c r="K265" i="10" s="1" a="1"/>
  <c r="K265" i="10" s="1"/>
  <c r="A266" i="10" a="1"/>
  <c r="A266" i="10" s="1"/>
  <c r="F266" i="10" s="1"/>
  <c r="G266" i="10" s="1"/>
  <c r="C266" i="10" a="1"/>
  <c r="C266" i="10" s="1"/>
  <c r="D266" i="10" s="1"/>
  <c r="K266" i="10" s="1" a="1"/>
  <c r="K266" i="10" s="1"/>
  <c r="A267" i="10" a="1"/>
  <c r="A267" i="10" s="1"/>
  <c r="B267" i="10" s="1"/>
  <c r="C267" i="10" a="1"/>
  <c r="C267" i="10" s="1"/>
  <c r="D267" i="10" s="1"/>
  <c r="K267" i="10" s="1" a="1"/>
  <c r="K267" i="10" s="1"/>
  <c r="A268" i="10" a="1"/>
  <c r="A268" i="10" s="1"/>
  <c r="B268" i="10" s="1"/>
  <c r="C268" i="10" a="1"/>
  <c r="C268" i="10" s="1"/>
  <c r="D268" i="10" s="1"/>
  <c r="B24" i="17" s="1"/>
  <c r="A269" i="10" a="1"/>
  <c r="A269" i="10" s="1"/>
  <c r="B269" i="10" s="1"/>
  <c r="C269" i="10" a="1"/>
  <c r="C269" i="10" s="1"/>
  <c r="D269" i="10" s="1"/>
  <c r="K269" i="10" s="1" a="1"/>
  <c r="K269" i="10" s="1"/>
  <c r="A270" i="10" a="1"/>
  <c r="A270" i="10" s="1"/>
  <c r="F270" i="10" s="1"/>
  <c r="G270" i="10" s="1"/>
  <c r="C270" i="10" a="1"/>
  <c r="C270" i="10" s="1"/>
  <c r="D270" i="10" s="1"/>
  <c r="K270" i="10" s="1" a="1"/>
  <c r="K270" i="10" s="1"/>
  <c r="A271" i="10" a="1"/>
  <c r="A271" i="10" s="1"/>
  <c r="B271" i="10" s="1"/>
  <c r="C271" i="10" a="1"/>
  <c r="C271" i="10" s="1"/>
  <c r="D271" i="10" s="1"/>
  <c r="K271" i="10" s="1" a="1"/>
  <c r="K271" i="10" s="1"/>
  <c r="A272" i="10" a="1"/>
  <c r="A272" i="10" s="1"/>
  <c r="B272" i="10" s="1"/>
  <c r="C272" i="10" a="1"/>
  <c r="C272" i="10" s="1"/>
  <c r="D272" i="10" s="1"/>
  <c r="K272" i="10" s="1" a="1"/>
  <c r="K272" i="10" s="1"/>
  <c r="A273" i="10" a="1"/>
  <c r="A273" i="10" s="1"/>
  <c r="B273" i="10" s="1"/>
  <c r="C273" i="10" a="1"/>
  <c r="C273" i="10" s="1"/>
  <c r="D273" i="10" s="1"/>
  <c r="K273" i="10" s="1" a="1"/>
  <c r="K273" i="10" s="1"/>
  <c r="A274" i="10" a="1"/>
  <c r="A274" i="10" s="1"/>
  <c r="F274" i="10" s="1"/>
  <c r="G274" i="10" s="1"/>
  <c r="C274" i="10" a="1"/>
  <c r="C274" i="10" s="1"/>
  <c r="D274" i="10" s="1"/>
  <c r="K274" i="10" s="1" a="1"/>
  <c r="K274" i="10" s="1"/>
  <c r="A275" i="10" a="1"/>
  <c r="A275" i="10" s="1"/>
  <c r="B275" i="10" s="1"/>
  <c r="C275" i="10" a="1"/>
  <c r="C275" i="10" s="1"/>
  <c r="D275" i="10" s="1"/>
  <c r="K275" i="10" s="1" a="1"/>
  <c r="K275" i="10" s="1"/>
  <c r="A276" i="10" a="1"/>
  <c r="A276" i="10" s="1"/>
  <c r="B276" i="10" s="1"/>
  <c r="C276" i="10" a="1"/>
  <c r="C276" i="10" s="1"/>
  <c r="D276" i="10" s="1"/>
  <c r="K276" i="10" s="1" a="1"/>
  <c r="K276" i="10" s="1"/>
  <c r="A277" i="10" a="1"/>
  <c r="A277" i="10" s="1"/>
  <c r="B277" i="10" s="1"/>
  <c r="C277" i="10" a="1"/>
  <c r="C277" i="10" s="1"/>
  <c r="D277" i="10" s="1"/>
  <c r="K277" i="10" s="1" a="1"/>
  <c r="K277" i="10" s="1"/>
  <c r="A278" i="10" a="1"/>
  <c r="A278" i="10" s="1"/>
  <c r="F278" i="10" s="1"/>
  <c r="G278" i="10" s="1"/>
  <c r="C278" i="10" a="1"/>
  <c r="C278" i="10" s="1"/>
  <c r="D278" i="10" s="1"/>
  <c r="K278" i="10" s="1" a="1"/>
  <c r="K278" i="10" s="1"/>
  <c r="A279" i="10" a="1"/>
  <c r="A279" i="10" s="1"/>
  <c r="B279" i="10" s="1"/>
  <c r="C279" i="10" a="1"/>
  <c r="C279" i="10" s="1"/>
  <c r="D279" i="10" s="1"/>
  <c r="K279" i="10" s="1" a="1"/>
  <c r="K279" i="10" s="1"/>
  <c r="A280" i="10" a="1"/>
  <c r="A280" i="10" s="1"/>
  <c r="B280" i="10" s="1"/>
  <c r="C280" i="10" a="1"/>
  <c r="C280" i="10" s="1"/>
  <c r="D280" i="10" s="1"/>
  <c r="B25" i="17" s="1"/>
  <c r="A281" i="10" a="1"/>
  <c r="A281" i="10" s="1"/>
  <c r="B281" i="10" s="1"/>
  <c r="C281" i="10" a="1"/>
  <c r="C281" i="10" s="1"/>
  <c r="D281" i="10" s="1"/>
  <c r="K281" i="10" s="1" a="1"/>
  <c r="K281" i="10" s="1"/>
  <c r="A282" i="10" a="1"/>
  <c r="A282" i="10" s="1"/>
  <c r="F282" i="10" s="1"/>
  <c r="G282" i="10" s="1"/>
  <c r="C282" i="10" a="1"/>
  <c r="C282" i="10" s="1"/>
  <c r="D282" i="10" s="1"/>
  <c r="K282" i="10" s="1" a="1"/>
  <c r="K282" i="10" s="1"/>
  <c r="A283" i="10" a="1"/>
  <c r="A283" i="10" s="1"/>
  <c r="B283" i="10" s="1"/>
  <c r="C283" i="10" a="1"/>
  <c r="C283" i="10" s="1"/>
  <c r="D283" i="10" s="1"/>
  <c r="K283" i="10" s="1" a="1"/>
  <c r="K283" i="10" s="1"/>
  <c r="A284" i="10" a="1"/>
  <c r="A284" i="10" s="1"/>
  <c r="B284" i="10" s="1"/>
  <c r="C284" i="10" a="1"/>
  <c r="C284" i="10" s="1"/>
  <c r="D284" i="10" s="1"/>
  <c r="K284" i="10" s="1" a="1"/>
  <c r="K284" i="10" s="1"/>
  <c r="A285" i="10" a="1"/>
  <c r="A285" i="10" s="1"/>
  <c r="C285" i="10" a="1"/>
  <c r="C285" i="10" s="1"/>
  <c r="D285" i="10" s="1"/>
  <c r="K285" i="10" s="1" a="1"/>
  <c r="K285" i="10" s="1"/>
  <c r="A286" i="10" a="1"/>
  <c r="A286" i="10" s="1"/>
  <c r="F286" i="10" s="1"/>
  <c r="G286" i="10" s="1"/>
  <c r="C286" i="10" a="1"/>
  <c r="C286" i="10" s="1"/>
  <c r="D286" i="10" s="1"/>
  <c r="K286" i="10" s="1" a="1"/>
  <c r="K286" i="10" s="1"/>
  <c r="A287" i="10" a="1"/>
  <c r="A287" i="10" s="1"/>
  <c r="B287" i="10" s="1"/>
  <c r="C287" i="10" a="1"/>
  <c r="C287" i="10" s="1"/>
  <c r="D287" i="10" s="1"/>
  <c r="K287" i="10" s="1" a="1"/>
  <c r="K287" i="10" s="1"/>
  <c r="A288" i="10" a="1"/>
  <c r="A288" i="10" s="1"/>
  <c r="B288" i="10" s="1"/>
  <c r="C288" i="10" a="1"/>
  <c r="C288" i="10" s="1"/>
  <c r="D288" i="10" s="1"/>
  <c r="K288" i="10" s="1" a="1"/>
  <c r="K288" i="10" s="1"/>
  <c r="A289" i="10" a="1"/>
  <c r="A289" i="10" s="1"/>
  <c r="B289" i="10" s="1"/>
  <c r="C289" i="10" a="1"/>
  <c r="C289" i="10" s="1"/>
  <c r="D289" i="10" s="1"/>
  <c r="K289" i="10" s="1" a="1"/>
  <c r="K289" i="10" s="1"/>
  <c r="A290" i="10" a="1"/>
  <c r="A290" i="10" s="1"/>
  <c r="F290" i="10" s="1"/>
  <c r="G290" i="10" s="1"/>
  <c r="C290" i="10" a="1"/>
  <c r="C290" i="10" s="1"/>
  <c r="D290" i="10" s="1"/>
  <c r="K290" i="10" s="1" a="1"/>
  <c r="K290" i="10" s="1"/>
  <c r="A291" i="10" a="1"/>
  <c r="A291" i="10" s="1"/>
  <c r="B291" i="10" s="1"/>
  <c r="C291" i="10" a="1"/>
  <c r="C291" i="10" s="1"/>
  <c r="D291" i="10" s="1"/>
  <c r="K291" i="10" s="1" a="1"/>
  <c r="K291" i="10" s="1"/>
  <c r="A292" i="10" a="1"/>
  <c r="A292" i="10" s="1"/>
  <c r="C292" i="10" a="1"/>
  <c r="C292" i="10" s="1"/>
  <c r="D292" i="10" s="1"/>
  <c r="B26" i="17" s="1"/>
  <c r="A293" i="10" a="1"/>
  <c r="A293" i="10" s="1"/>
  <c r="C293" i="10" a="1"/>
  <c r="C293" i="10" s="1"/>
  <c r="D293" i="10" s="1"/>
  <c r="K293" i="10" s="1" a="1"/>
  <c r="K293" i="10" s="1"/>
  <c r="A294" i="10" a="1"/>
  <c r="A294" i="10" s="1"/>
  <c r="F294" i="10" s="1"/>
  <c r="G294" i="10" s="1"/>
  <c r="C294" i="10" a="1"/>
  <c r="C294" i="10" s="1"/>
  <c r="D294" i="10" s="1"/>
  <c r="K294" i="10" s="1" a="1"/>
  <c r="K294" i="10" s="1"/>
  <c r="A295" i="10" a="1"/>
  <c r="A295" i="10" s="1"/>
  <c r="B295" i="10" s="1"/>
  <c r="C295" i="10" a="1"/>
  <c r="C295" i="10" s="1"/>
  <c r="D295" i="10" s="1"/>
  <c r="K295" i="10" s="1" a="1"/>
  <c r="K295" i="10" s="1"/>
  <c r="A296" i="10" a="1"/>
  <c r="A296" i="10" s="1"/>
  <c r="C296" i="10" a="1"/>
  <c r="C296" i="10" s="1"/>
  <c r="D296" i="10" s="1"/>
  <c r="K296" i="10" s="1" a="1"/>
  <c r="K296" i="10" s="1"/>
  <c r="A297" i="10" a="1"/>
  <c r="A297" i="10" s="1"/>
  <c r="C297" i="10" a="1"/>
  <c r="C297" i="10" s="1"/>
  <c r="D297" i="10" s="1"/>
  <c r="K297" i="10" s="1" a="1"/>
  <c r="K297" i="10" s="1"/>
  <c r="A298" i="10" a="1"/>
  <c r="A298" i="10" s="1"/>
  <c r="F298" i="10" s="1"/>
  <c r="G298" i="10" s="1"/>
  <c r="C298" i="10" a="1"/>
  <c r="C298" i="10" s="1"/>
  <c r="D298" i="10" s="1"/>
  <c r="K298" i="10" s="1" a="1"/>
  <c r="K298" i="10" s="1"/>
  <c r="A299" i="10" a="1"/>
  <c r="A299" i="10" s="1"/>
  <c r="B299" i="10" s="1"/>
  <c r="C299" i="10" a="1"/>
  <c r="C299" i="10" s="1"/>
  <c r="D299" i="10" s="1"/>
  <c r="K299" i="10" s="1" a="1"/>
  <c r="K299" i="10" s="1"/>
  <c r="A300" i="10" a="1"/>
  <c r="A300" i="10" s="1"/>
  <c r="C300" i="10" a="1"/>
  <c r="C300" i="10" s="1"/>
  <c r="D300" i="10" s="1"/>
  <c r="K300" i="10" s="1" a="1"/>
  <c r="K300" i="10" s="1"/>
  <c r="A301" i="10" a="1"/>
  <c r="A301" i="10" s="1"/>
  <c r="C301" i="10" a="1"/>
  <c r="C301" i="10" s="1"/>
  <c r="D301" i="10" s="1"/>
  <c r="K301" i="10" s="1" a="1"/>
  <c r="K301" i="10" s="1"/>
  <c r="A302" i="10" a="1"/>
  <c r="A302" i="10" s="1"/>
  <c r="C302" i="10" a="1"/>
  <c r="C302" i="10" s="1"/>
  <c r="D302" i="10" s="1"/>
  <c r="K302" i="10" s="1" a="1"/>
  <c r="K302" i="10" s="1"/>
  <c r="A303" i="10" a="1"/>
  <c r="A303" i="10" s="1"/>
  <c r="C303" i="10" a="1"/>
  <c r="C303" i="10" s="1"/>
  <c r="D303" i="10" s="1"/>
  <c r="K303" i="10" s="1" a="1"/>
  <c r="K303" i="10" s="1"/>
  <c r="A304" i="10" a="1"/>
  <c r="A304" i="10" s="1"/>
  <c r="C304" i="10" a="1"/>
  <c r="C304" i="10" s="1"/>
  <c r="D304" i="10" s="1"/>
  <c r="B27" i="17" s="1"/>
  <c r="A305" i="10" a="1"/>
  <c r="A305" i="10" s="1"/>
  <c r="C305" i="10" a="1"/>
  <c r="C305" i="10" s="1"/>
  <c r="D305" i="10" s="1"/>
  <c r="K305" i="10" s="1" a="1"/>
  <c r="K305" i="10" s="1"/>
  <c r="A306" i="10" a="1"/>
  <c r="A306" i="10" s="1"/>
  <c r="C306" i="10" a="1"/>
  <c r="C306" i="10" s="1"/>
  <c r="D306" i="10" s="1"/>
  <c r="K306" i="10" s="1" a="1"/>
  <c r="K306" i="10" s="1"/>
  <c r="A307" i="10" a="1"/>
  <c r="A307" i="10" s="1"/>
  <c r="B307" i="10" s="1"/>
  <c r="C307" i="10" a="1"/>
  <c r="C307" i="10" s="1"/>
  <c r="D307" i="10" s="1"/>
  <c r="K307" i="10" s="1" a="1"/>
  <c r="K307" i="10" s="1"/>
  <c r="A308" i="10" a="1"/>
  <c r="A308" i="10" s="1"/>
  <c r="C308" i="10" a="1"/>
  <c r="C308" i="10" s="1"/>
  <c r="D308" i="10" s="1"/>
  <c r="K308" i="10" s="1" a="1"/>
  <c r="K308" i="10" s="1"/>
  <c r="A309" i="10" a="1"/>
  <c r="A309" i="10" s="1"/>
  <c r="C309" i="10" a="1"/>
  <c r="C309" i="10" s="1"/>
  <c r="D309" i="10" s="1"/>
  <c r="K309" i="10" s="1" a="1"/>
  <c r="K309" i="10" s="1"/>
  <c r="A310" i="10" a="1"/>
  <c r="A310" i="10" s="1"/>
  <c r="H310" i="10" s="1"/>
  <c r="I310" i="10" s="1"/>
  <c r="C310" i="10" a="1"/>
  <c r="C310" i="10" s="1"/>
  <c r="D310" i="10" s="1"/>
  <c r="K310" i="10" s="1" a="1"/>
  <c r="K310" i="10" s="1"/>
  <c r="A311" i="10" a="1"/>
  <c r="A311" i="10" s="1"/>
  <c r="H311" i="10" s="1"/>
  <c r="I311" i="10" s="1"/>
  <c r="C311" i="10" a="1"/>
  <c r="C311" i="10" s="1"/>
  <c r="D311" i="10" s="1"/>
  <c r="K311" i="10" s="1" a="1"/>
  <c r="K311" i="10" s="1"/>
  <c r="A312" i="10" a="1"/>
  <c r="A312" i="10" s="1"/>
  <c r="C312" i="10" a="1"/>
  <c r="C312" i="10" s="1"/>
  <c r="D312" i="10" s="1"/>
  <c r="K312" i="10" s="1" a="1"/>
  <c r="K312" i="10" s="1"/>
  <c r="A313" i="10" a="1"/>
  <c r="A313" i="10" s="1"/>
  <c r="C313" i="10" a="1"/>
  <c r="C313" i="10" s="1"/>
  <c r="D313" i="10" s="1"/>
  <c r="K313" i="10" s="1" a="1"/>
  <c r="K313" i="10" s="1"/>
  <c r="A314" i="10" a="1"/>
  <c r="A314" i="10" s="1"/>
  <c r="C314" i="10" a="1"/>
  <c r="C314" i="10" s="1"/>
  <c r="D314" i="10" s="1"/>
  <c r="K314" i="10" s="1" a="1"/>
  <c r="K314" i="10" s="1"/>
  <c r="A315" i="10" a="1"/>
  <c r="A315" i="10" s="1"/>
  <c r="C315" i="10" a="1"/>
  <c r="C315" i="10" s="1"/>
  <c r="D315" i="10" s="1"/>
  <c r="K315" i="10" s="1" a="1"/>
  <c r="K315" i="10" s="1"/>
  <c r="A316" i="10" a="1"/>
  <c r="A316" i="10" s="1"/>
  <c r="H316" i="10" s="1"/>
  <c r="I316" i="10" s="1"/>
  <c r="C316" i="10" a="1"/>
  <c r="C316" i="10" s="1"/>
  <c r="D316" i="10" s="1"/>
  <c r="B28" i="17" s="1"/>
  <c r="A317" i="10" a="1"/>
  <c r="A317" i="10" s="1"/>
  <c r="C317" i="10" a="1"/>
  <c r="C317" i="10" s="1"/>
  <c r="D317" i="10" s="1"/>
  <c r="K317" i="10" s="1" a="1"/>
  <c r="K317" i="10" s="1"/>
  <c r="A318" i="10" a="1"/>
  <c r="A318" i="10" s="1"/>
  <c r="C318" i="10" a="1"/>
  <c r="C318" i="10" s="1"/>
  <c r="D318" i="10" s="1"/>
  <c r="K318" i="10" s="1" a="1"/>
  <c r="K318" i="10" s="1"/>
  <c r="A319" i="10" a="1"/>
  <c r="A319" i="10" s="1"/>
  <c r="C319" i="10" a="1"/>
  <c r="C319" i="10" s="1"/>
  <c r="D319" i="10" s="1"/>
  <c r="K319" i="10" s="1" a="1"/>
  <c r="K319" i="10" s="1"/>
  <c r="A320" i="10" a="1"/>
  <c r="A320" i="10" s="1"/>
  <c r="C320" i="10" a="1"/>
  <c r="C320" i="10" s="1"/>
  <c r="D320" i="10" s="1"/>
  <c r="K320" i="10" s="1" a="1"/>
  <c r="K320" i="10" s="1"/>
  <c r="A321" i="10" a="1"/>
  <c r="A321" i="10" s="1"/>
  <c r="C321" i="10" a="1"/>
  <c r="C321" i="10" s="1"/>
  <c r="D321" i="10" s="1"/>
  <c r="K321" i="10" s="1" a="1"/>
  <c r="K321" i="10" s="1"/>
  <c r="A322" i="10" a="1"/>
  <c r="A322" i="10" s="1"/>
  <c r="H322" i="10" s="1"/>
  <c r="I322" i="10" s="1"/>
  <c r="C322" i="10" a="1"/>
  <c r="C322" i="10" s="1"/>
  <c r="D322" i="10" s="1"/>
  <c r="K322" i="10" s="1" a="1"/>
  <c r="K322" i="10" s="1"/>
  <c r="A323" i="10" a="1"/>
  <c r="A323" i="10" s="1"/>
  <c r="C323" i="10" a="1"/>
  <c r="C323" i="10" s="1"/>
  <c r="D323" i="10" s="1"/>
  <c r="K323" i="10" s="1" a="1"/>
  <c r="K323" i="10" s="1"/>
  <c r="A324" i="10" a="1"/>
  <c r="A324" i="10" s="1"/>
  <c r="C324" i="10" a="1"/>
  <c r="C324" i="10" s="1"/>
  <c r="D324" i="10" s="1"/>
  <c r="K324" i="10" s="1" a="1"/>
  <c r="K324" i="10" s="1"/>
  <c r="A325" i="10" a="1"/>
  <c r="A325" i="10" s="1"/>
  <c r="C325" i="10" a="1"/>
  <c r="C325" i="10" s="1"/>
  <c r="D325" i="10" s="1"/>
  <c r="K325" i="10" s="1" a="1"/>
  <c r="K325" i="10" s="1"/>
  <c r="A218" i="10" a="1"/>
  <c r="A218" i="10" s="1"/>
  <c r="C218" i="10" a="1"/>
  <c r="C218" i="10" s="1"/>
  <c r="D218" i="10" s="1"/>
  <c r="K218" i="10" s="1" a="1"/>
  <c r="K218" i="10" s="1"/>
  <c r="A219" i="10" a="1"/>
  <c r="A219" i="10" s="1"/>
  <c r="C219" i="10" a="1"/>
  <c r="C219" i="10" s="1"/>
  <c r="D219" i="10" s="1"/>
  <c r="K219" i="10" s="1" a="1"/>
  <c r="K219" i="10" s="1"/>
  <c r="A220" i="10" a="1"/>
  <c r="A220" i="10" s="1"/>
  <c r="C220" i="10" a="1"/>
  <c r="C220" i="10" s="1"/>
  <c r="D220" i="10" s="1"/>
  <c r="B20" i="17" s="1"/>
  <c r="A221" i="10" a="1"/>
  <c r="A221" i="10" s="1"/>
  <c r="C221" i="10" a="1"/>
  <c r="C221" i="10" s="1"/>
  <c r="D221" i="10" s="1"/>
  <c r="K221" i="10" s="1" a="1"/>
  <c r="K221" i="10" s="1"/>
  <c r="A222" i="10" a="1"/>
  <c r="A222" i="10" s="1"/>
  <c r="C222" i="10" a="1"/>
  <c r="C222" i="10" s="1"/>
  <c r="D222" i="10" s="1"/>
  <c r="K222" i="10" s="1" a="1"/>
  <c r="K222" i="10" s="1"/>
  <c r="A223" i="10" a="1"/>
  <c r="A223" i="10" s="1"/>
  <c r="C223" i="10" a="1"/>
  <c r="C223" i="10" s="1"/>
  <c r="D223" i="10" s="1"/>
  <c r="K223" i="10" s="1" a="1"/>
  <c r="K223" i="10" s="1"/>
  <c r="A224" i="10" a="1"/>
  <c r="A224" i="10" s="1"/>
  <c r="C224" i="10" a="1"/>
  <c r="C224" i="10" s="1"/>
  <c r="D224" i="10" s="1"/>
  <c r="K224" i="10" s="1" a="1"/>
  <c r="K224" i="10" s="1"/>
  <c r="A225" i="10" a="1"/>
  <c r="A225" i="10" s="1"/>
  <c r="C225" i="10" a="1"/>
  <c r="C225" i="10" s="1"/>
  <c r="D225" i="10" s="1"/>
  <c r="K225" i="10" s="1" a="1"/>
  <c r="K225" i="10" s="1"/>
  <c r="A226" i="10" a="1"/>
  <c r="A226" i="10" s="1"/>
  <c r="C226" i="10" a="1"/>
  <c r="C226" i="10" s="1"/>
  <c r="D226" i="10" s="1"/>
  <c r="K226" i="10" s="1" a="1"/>
  <c r="K226" i="10" s="1"/>
  <c r="A227" i="10" a="1"/>
  <c r="A227" i="10" s="1"/>
  <c r="C227" i="10" a="1"/>
  <c r="C227" i="10" s="1"/>
  <c r="D227" i="10" s="1"/>
  <c r="K227" i="10" s="1" a="1"/>
  <c r="K227" i="10" s="1"/>
  <c r="A228" i="10" a="1"/>
  <c r="A228" i="10" s="1"/>
  <c r="C228" i="10" a="1"/>
  <c r="C228" i="10" s="1"/>
  <c r="D228" i="10" s="1"/>
  <c r="K228" i="10" s="1" a="1"/>
  <c r="K228" i="10" s="1"/>
  <c r="A229" i="10" a="1"/>
  <c r="A229" i="10" s="1"/>
  <c r="C229" i="10" a="1"/>
  <c r="C229" i="10" s="1"/>
  <c r="D229" i="10" s="1"/>
  <c r="K229" i="10" s="1" a="1"/>
  <c r="K229" i="10" s="1"/>
  <c r="A230" i="10" a="1"/>
  <c r="A230" i="10" s="1"/>
  <c r="C230" i="10" a="1"/>
  <c r="C230" i="10" s="1"/>
  <c r="D230" i="10" s="1"/>
  <c r="K230" i="10" s="1" a="1"/>
  <c r="K230" i="10" s="1"/>
  <c r="A231" i="10" a="1"/>
  <c r="A231" i="10" s="1"/>
  <c r="C231" i="10" a="1"/>
  <c r="C231" i="10" s="1"/>
  <c r="D231" i="10" s="1"/>
  <c r="K231" i="10" s="1" a="1"/>
  <c r="K231" i="10" s="1"/>
  <c r="A232" i="10" a="1"/>
  <c r="A232" i="10" s="1"/>
  <c r="C232" i="10" a="1"/>
  <c r="C232" i="10" s="1"/>
  <c r="D232" i="10" s="1"/>
  <c r="B21" i="17" s="1"/>
  <c r="A233" i="10" a="1"/>
  <c r="A233" i="10" s="1"/>
  <c r="C233" i="10" a="1"/>
  <c r="C233" i="10" s="1"/>
  <c r="D233" i="10" s="1"/>
  <c r="K233" i="10" s="1" a="1"/>
  <c r="K233" i="10" s="1"/>
  <c r="A234" i="10" a="1"/>
  <c r="A234" i="10" s="1"/>
  <c r="C234" i="10" a="1"/>
  <c r="C234" i="10" s="1"/>
  <c r="D234" i="10" s="1"/>
  <c r="K234" i="10" s="1" a="1"/>
  <c r="K234" i="10" s="1"/>
  <c r="A235" i="10" a="1"/>
  <c r="A235" i="10" s="1"/>
  <c r="C235" i="10" a="1"/>
  <c r="C235" i="10" s="1"/>
  <c r="D235" i="10" s="1"/>
  <c r="K235" i="10" s="1" a="1"/>
  <c r="K235" i="10" s="1"/>
  <c r="A236" i="10" a="1"/>
  <c r="A236" i="10" s="1"/>
  <c r="C236" i="10" a="1"/>
  <c r="C236" i="10" s="1"/>
  <c r="D236" i="10" s="1"/>
  <c r="K236" i="10" s="1" a="1"/>
  <c r="K236" i="10" s="1"/>
  <c r="A237" i="10" a="1"/>
  <c r="A237" i="10" s="1"/>
  <c r="C237" i="10" a="1"/>
  <c r="C237" i="10" s="1"/>
  <c r="D237" i="10" s="1"/>
  <c r="K237" i="10" s="1" a="1"/>
  <c r="K237" i="10" s="1"/>
  <c r="A238" i="10" a="1"/>
  <c r="A238" i="10" s="1"/>
  <c r="C238" i="10" a="1"/>
  <c r="C238" i="10" s="1"/>
  <c r="D238" i="10" s="1"/>
  <c r="K238" i="10" s="1" a="1"/>
  <c r="K238" i="10" s="1"/>
  <c r="A239" i="10" a="1"/>
  <c r="A239" i="10" s="1"/>
  <c r="C239" i="10" a="1"/>
  <c r="C239" i="10" s="1"/>
  <c r="D239" i="10" s="1"/>
  <c r="K239" i="10" s="1" a="1"/>
  <c r="K239" i="10" s="1"/>
  <c r="A240" i="10" a="1"/>
  <c r="A240" i="10" s="1"/>
  <c r="C240" i="10" a="1"/>
  <c r="C240" i="10" s="1"/>
  <c r="D240" i="10" s="1"/>
  <c r="K240" i="10" s="1" a="1"/>
  <c r="K240" i="10" s="1"/>
  <c r="A241" i="10" a="1"/>
  <c r="A241" i="10" s="1"/>
  <c r="C241" i="10" a="1"/>
  <c r="C241" i="10" s="1"/>
  <c r="D241" i="10" s="1"/>
  <c r="K241" i="10" s="1" a="1"/>
  <c r="K241" i="10" s="1"/>
  <c r="A206" i="10" a="1"/>
  <c r="A206" i="10" s="1"/>
  <c r="C206" i="10" a="1"/>
  <c r="C206" i="10" s="1"/>
  <c r="D206" i="10" s="1"/>
  <c r="K206" i="10" s="1" a="1"/>
  <c r="K206" i="10" s="1"/>
  <c r="A207" i="10" a="1"/>
  <c r="A207" i="10" s="1"/>
  <c r="C207" i="10" a="1"/>
  <c r="C207" i="10" s="1"/>
  <c r="D207" i="10" s="1"/>
  <c r="K207" i="10" s="1" a="1"/>
  <c r="K207" i="10" s="1"/>
  <c r="A208" i="10" a="1"/>
  <c r="A208" i="10" s="1"/>
  <c r="C208" i="10" a="1"/>
  <c r="C208" i="10" s="1"/>
  <c r="D208" i="10" s="1"/>
  <c r="B19" i="17" s="1"/>
  <c r="A209" i="10" a="1"/>
  <c r="A209" i="10" s="1"/>
  <c r="C209" i="10" a="1"/>
  <c r="C209" i="10" s="1"/>
  <c r="D209" i="10" s="1"/>
  <c r="K209" i="10" s="1" a="1"/>
  <c r="K209" i="10" s="1"/>
  <c r="A210" i="10" a="1"/>
  <c r="A210" i="10" s="1"/>
  <c r="C210" i="10" a="1"/>
  <c r="C210" i="10" s="1"/>
  <c r="D210" i="10" s="1"/>
  <c r="K210" i="10" s="1" a="1"/>
  <c r="K210" i="10" s="1"/>
  <c r="A211" i="10" a="1"/>
  <c r="A211" i="10" s="1"/>
  <c r="C211" i="10" a="1"/>
  <c r="C211" i="10" s="1"/>
  <c r="D211" i="10" s="1"/>
  <c r="K211" i="10" s="1" a="1"/>
  <c r="K211" i="10" s="1"/>
  <c r="A212" i="10" a="1"/>
  <c r="A212" i="10" s="1"/>
  <c r="C212" i="10" a="1"/>
  <c r="C212" i="10" s="1"/>
  <c r="D212" i="10" s="1"/>
  <c r="K212" i="10" s="1" a="1"/>
  <c r="K212" i="10" s="1"/>
  <c r="A213" i="10" a="1"/>
  <c r="A213" i="10" s="1"/>
  <c r="C213" i="10" a="1"/>
  <c r="C213" i="10" s="1"/>
  <c r="D213" i="10" s="1"/>
  <c r="K213" i="10" s="1" a="1"/>
  <c r="K213" i="10" s="1"/>
  <c r="A214" i="10" a="1"/>
  <c r="A214" i="10" s="1"/>
  <c r="C214" i="10" a="1"/>
  <c r="C214" i="10" s="1"/>
  <c r="D214" i="10" s="1"/>
  <c r="K214" i="10" s="1" a="1"/>
  <c r="K214" i="10" s="1"/>
  <c r="A215" i="10" a="1"/>
  <c r="A215" i="10" s="1"/>
  <c r="C215" i="10" a="1"/>
  <c r="C215" i="10" s="1"/>
  <c r="D215" i="10" s="1"/>
  <c r="K215" i="10" s="1" a="1"/>
  <c r="K215" i="10" s="1"/>
  <c r="A216" i="10" a="1"/>
  <c r="A216" i="10" s="1"/>
  <c r="C216" i="10" a="1"/>
  <c r="C216" i="10" s="1"/>
  <c r="D216" i="10" s="1"/>
  <c r="K216" i="10" s="1" a="1"/>
  <c r="K216" i="10" s="1"/>
  <c r="A217" i="10" a="1"/>
  <c r="A217" i="10" s="1"/>
  <c r="C217" i="10" a="1"/>
  <c r="C217" i="10" s="1"/>
  <c r="D217" i="10" s="1"/>
  <c r="K217" i="10" s="1" a="1"/>
  <c r="K217" i="10" s="1"/>
  <c r="A194" i="10" a="1"/>
  <c r="A194" i="10" s="1"/>
  <c r="C194" i="10" a="1"/>
  <c r="C194" i="10" s="1"/>
  <c r="D194" i="10" s="1"/>
  <c r="K194" i="10" s="1" a="1"/>
  <c r="K194" i="10" s="1"/>
  <c r="A195" i="10" a="1"/>
  <c r="A195" i="10" s="1"/>
  <c r="C195" i="10" a="1"/>
  <c r="C195" i="10" s="1"/>
  <c r="D195" i="10" s="1"/>
  <c r="K195" i="10" s="1" a="1"/>
  <c r="K195" i="10" s="1"/>
  <c r="A196" i="10" a="1"/>
  <c r="A196" i="10" s="1"/>
  <c r="C196" i="10" a="1"/>
  <c r="C196" i="10" s="1"/>
  <c r="D196" i="10" s="1"/>
  <c r="B18" i="17" s="1"/>
  <c r="A197" i="10" a="1"/>
  <c r="A197" i="10" s="1"/>
  <c r="C197" i="10" a="1"/>
  <c r="C197" i="10" s="1"/>
  <c r="D197" i="10" s="1"/>
  <c r="K197" i="10" s="1" a="1"/>
  <c r="K197" i="10" s="1"/>
  <c r="A198" i="10" a="1"/>
  <c r="A198" i="10" s="1"/>
  <c r="C198" i="10" a="1"/>
  <c r="C198" i="10" s="1"/>
  <c r="D198" i="10" s="1"/>
  <c r="K198" i="10" s="1" a="1"/>
  <c r="K198" i="10" s="1"/>
  <c r="A199" i="10" a="1"/>
  <c r="A199" i="10" s="1"/>
  <c r="C199" i="10" a="1"/>
  <c r="C199" i="10" s="1"/>
  <c r="D199" i="10" s="1"/>
  <c r="K199" i="10" s="1" a="1"/>
  <c r="K199" i="10" s="1"/>
  <c r="A200" i="10" a="1"/>
  <c r="A200" i="10" s="1"/>
  <c r="C200" i="10" a="1"/>
  <c r="C200" i="10" s="1"/>
  <c r="D200" i="10" s="1"/>
  <c r="K200" i="10" s="1" a="1"/>
  <c r="K200" i="10" s="1"/>
  <c r="A201" i="10" a="1"/>
  <c r="A201" i="10" s="1"/>
  <c r="C201" i="10" a="1"/>
  <c r="C201" i="10" s="1"/>
  <c r="D201" i="10" s="1"/>
  <c r="K201" i="10" s="1" a="1"/>
  <c r="K201" i="10" s="1"/>
  <c r="A202" i="10" a="1"/>
  <c r="A202" i="10" s="1"/>
  <c r="C202" i="10" a="1"/>
  <c r="C202" i="10" s="1"/>
  <c r="D202" i="10" s="1"/>
  <c r="K202" i="10" s="1" a="1"/>
  <c r="K202" i="10" s="1"/>
  <c r="A203" i="10" a="1"/>
  <c r="A203" i="10" s="1"/>
  <c r="C203" i="10" a="1"/>
  <c r="C203" i="10" s="1"/>
  <c r="D203" i="10" s="1"/>
  <c r="K203" i="10" s="1" a="1"/>
  <c r="K203" i="10" s="1"/>
  <c r="A204" i="10" a="1"/>
  <c r="A204" i="10" s="1"/>
  <c r="C204" i="10" a="1"/>
  <c r="C204" i="10" s="1"/>
  <c r="D204" i="10" s="1"/>
  <c r="K204" i="10" s="1" a="1"/>
  <c r="K204" i="10" s="1"/>
  <c r="A205" i="10" a="1"/>
  <c r="A205" i="10" s="1"/>
  <c r="C205" i="10" a="1"/>
  <c r="C205" i="10" s="1"/>
  <c r="D205" i="10" s="1"/>
  <c r="K205" i="10" s="1" a="1"/>
  <c r="K205" i="10" s="1"/>
  <c r="A182" i="10" a="1"/>
  <c r="A182" i="10" s="1"/>
  <c r="C182" i="10" a="1"/>
  <c r="C182" i="10" s="1"/>
  <c r="D182" i="10" s="1"/>
  <c r="K182" i="10" s="1" a="1"/>
  <c r="K182" i="10" s="1"/>
  <c r="A183" i="10" a="1"/>
  <c r="A183" i="10" s="1"/>
  <c r="C183" i="10" a="1"/>
  <c r="C183" i="10" s="1"/>
  <c r="D183" i="10" s="1"/>
  <c r="K183" i="10" s="1" a="1"/>
  <c r="K183" i="10" s="1"/>
  <c r="A184" i="10" a="1"/>
  <c r="A184" i="10" s="1"/>
  <c r="C184" i="10" a="1"/>
  <c r="C184" i="10" s="1"/>
  <c r="D184" i="10" s="1"/>
  <c r="B17" i="17" s="1"/>
  <c r="A185" i="10" a="1"/>
  <c r="A185" i="10" s="1"/>
  <c r="C185" i="10" a="1"/>
  <c r="C185" i="10" s="1"/>
  <c r="D185" i="10" s="1"/>
  <c r="K185" i="10" s="1" a="1"/>
  <c r="K185" i="10" s="1"/>
  <c r="A186" i="10" a="1"/>
  <c r="A186" i="10" s="1"/>
  <c r="C186" i="10" a="1"/>
  <c r="C186" i="10" s="1"/>
  <c r="D186" i="10" s="1"/>
  <c r="K186" i="10" s="1" a="1"/>
  <c r="K186" i="10" s="1"/>
  <c r="A187" i="10" a="1"/>
  <c r="A187" i="10" s="1"/>
  <c r="C187" i="10" a="1"/>
  <c r="C187" i="10" s="1"/>
  <c r="D187" i="10" s="1"/>
  <c r="K187" i="10" s="1" a="1"/>
  <c r="K187" i="10" s="1"/>
  <c r="A188" i="10" a="1"/>
  <c r="A188" i="10" s="1"/>
  <c r="C188" i="10" a="1"/>
  <c r="C188" i="10" s="1"/>
  <c r="D188" i="10" s="1"/>
  <c r="K188" i="10" s="1" a="1"/>
  <c r="K188" i="10" s="1"/>
  <c r="A189" i="10" a="1"/>
  <c r="A189" i="10" s="1"/>
  <c r="C189" i="10" a="1"/>
  <c r="C189" i="10" s="1"/>
  <c r="D189" i="10" s="1"/>
  <c r="K189" i="10" s="1" a="1"/>
  <c r="K189" i="10" s="1"/>
  <c r="A190" i="10" a="1"/>
  <c r="A190" i="10" s="1"/>
  <c r="C190" i="10" a="1"/>
  <c r="C190" i="10" s="1"/>
  <c r="D190" i="10" s="1"/>
  <c r="K190" i="10" s="1" a="1"/>
  <c r="K190" i="10" s="1"/>
  <c r="A191" i="10" a="1"/>
  <c r="A191" i="10" s="1"/>
  <c r="C191" i="10" a="1"/>
  <c r="C191" i="10" s="1"/>
  <c r="D191" i="10" s="1"/>
  <c r="K191" i="10" s="1" a="1"/>
  <c r="K191" i="10" s="1"/>
  <c r="A192" i="10" a="1"/>
  <c r="A192" i="10" s="1"/>
  <c r="C192" i="10" a="1"/>
  <c r="C192" i="10" s="1"/>
  <c r="D192" i="10" s="1"/>
  <c r="K192" i="10" s="1" a="1"/>
  <c r="K192" i="10" s="1"/>
  <c r="A193" i="10" a="1"/>
  <c r="A193" i="10" s="1"/>
  <c r="C193" i="10" a="1"/>
  <c r="C193" i="10" s="1"/>
  <c r="D193" i="10" s="1"/>
  <c r="K193" i="10" s="1" a="1"/>
  <c r="K193" i="10" s="1"/>
  <c r="A688" i="2" a="1"/>
  <c r="A688" i="2" s="1"/>
  <c r="C688" i="2" a="1"/>
  <c r="C688" i="2" s="1"/>
  <c r="D688" i="2" s="1"/>
  <c r="K688" i="2" s="1" a="1"/>
  <c r="K688" i="2" s="1"/>
  <c r="A689" i="2" a="1"/>
  <c r="A689" i="2" s="1"/>
  <c r="C689" i="2" a="1"/>
  <c r="C689" i="2" s="1"/>
  <c r="D689" i="2" s="1"/>
  <c r="K689" i="2" s="1" a="1"/>
  <c r="K689" i="2" s="1"/>
  <c r="A690" i="2" a="1"/>
  <c r="A690" i="2" s="1"/>
  <c r="C690" i="2" a="1"/>
  <c r="C690" i="2" s="1"/>
  <c r="D690" i="2" s="1"/>
  <c r="K690" i="2" s="1" a="1"/>
  <c r="K690" i="2" s="1"/>
  <c r="A691" i="2" a="1"/>
  <c r="A691" i="2" s="1"/>
  <c r="C691" i="2" a="1"/>
  <c r="C691" i="2" s="1"/>
  <c r="D691" i="2" s="1"/>
  <c r="K691" i="2" s="1" a="1"/>
  <c r="K691" i="2" s="1"/>
  <c r="A692" i="2" a="1"/>
  <c r="A692" i="2" s="1"/>
  <c r="C692" i="2" a="1"/>
  <c r="C692" i="2" s="1"/>
  <c r="D692" i="2" s="1"/>
  <c r="K692" i="2" s="1" a="1"/>
  <c r="K692" i="2" s="1"/>
  <c r="A693" i="2" a="1"/>
  <c r="A693" i="2" s="1"/>
  <c r="C693" i="2" a="1"/>
  <c r="C693" i="2" s="1"/>
  <c r="D693" i="2" s="1"/>
  <c r="K693" i="2" s="1" a="1"/>
  <c r="K693" i="2" s="1"/>
  <c r="A694" i="2" a="1"/>
  <c r="A694" i="2" s="1"/>
  <c r="C694" i="2" a="1"/>
  <c r="C694" i="2" s="1"/>
  <c r="D694" i="2" s="1"/>
  <c r="K694" i="2" s="1" a="1"/>
  <c r="K694" i="2" s="1"/>
  <c r="A695" i="2" a="1"/>
  <c r="A695" i="2" s="1"/>
  <c r="C695" i="2" a="1"/>
  <c r="C695" i="2" s="1"/>
  <c r="D695" i="2" s="1"/>
  <c r="K695" i="2" s="1" a="1"/>
  <c r="K695" i="2" s="1"/>
  <c r="A696" i="2" a="1"/>
  <c r="A696" i="2" s="1"/>
  <c r="C696" i="2" a="1"/>
  <c r="C696" i="2" s="1"/>
  <c r="D696" i="2" s="1"/>
  <c r="K696" i="2" s="1" a="1"/>
  <c r="K696" i="2" s="1"/>
  <c r="A697" i="2" a="1"/>
  <c r="A697" i="2" s="1"/>
  <c r="C697" i="2" a="1"/>
  <c r="C697" i="2" s="1"/>
  <c r="D697" i="2" s="1"/>
  <c r="K697" i="2" s="1" a="1"/>
  <c r="K697" i="2" s="1"/>
  <c r="A698" i="2" a="1"/>
  <c r="A698" i="2" s="1"/>
  <c r="C698" i="2" a="1"/>
  <c r="C698" i="2" s="1"/>
  <c r="D698" i="2" s="1"/>
  <c r="K698" i="2" s="1" a="1"/>
  <c r="K698" i="2" s="1"/>
  <c r="A699" i="2" a="1"/>
  <c r="A699" i="2" s="1"/>
  <c r="C699" i="2" a="1"/>
  <c r="C699" i="2" s="1"/>
  <c r="D699" i="2" s="1"/>
  <c r="K699" i="2" s="1" a="1"/>
  <c r="K699" i="2" s="1"/>
  <c r="A700" i="2" a="1"/>
  <c r="A700" i="2" s="1"/>
  <c r="C700" i="2" a="1"/>
  <c r="C700" i="2" s="1"/>
  <c r="D700" i="2" s="1"/>
  <c r="K700" i="2" s="1" a="1"/>
  <c r="K700" i="2" s="1"/>
  <c r="A701" i="2" a="1"/>
  <c r="A701" i="2" s="1"/>
  <c r="C701" i="2" a="1"/>
  <c r="C701" i="2" s="1"/>
  <c r="D701" i="2" s="1"/>
  <c r="K701" i="2" s="1" a="1"/>
  <c r="K701" i="2" s="1"/>
  <c r="A667" i="2" a="1"/>
  <c r="A667" i="2" s="1"/>
  <c r="C667" i="2" a="1"/>
  <c r="C667" i="2" s="1"/>
  <c r="D667" i="2" s="1"/>
  <c r="K667" i="2" s="1" a="1"/>
  <c r="K667" i="2" s="1"/>
  <c r="A668" i="2" a="1"/>
  <c r="A668" i="2" s="1"/>
  <c r="C668" i="2" a="1"/>
  <c r="C668" i="2" s="1"/>
  <c r="D668" i="2" s="1"/>
  <c r="K668" i="2" s="1" a="1"/>
  <c r="K668" i="2" s="1"/>
  <c r="A669" i="2" a="1"/>
  <c r="A669" i="2" s="1"/>
  <c r="C669" i="2" a="1"/>
  <c r="C669" i="2" s="1"/>
  <c r="D669" i="2" s="1"/>
  <c r="K669" i="2" s="1" a="1"/>
  <c r="K669" i="2" s="1"/>
  <c r="A670" i="2" a="1"/>
  <c r="A670" i="2" s="1"/>
  <c r="C670" i="2" a="1"/>
  <c r="C670" i="2" s="1"/>
  <c r="D670" i="2" s="1"/>
  <c r="K670" i="2" s="1" a="1"/>
  <c r="K670" i="2" s="1"/>
  <c r="A671" i="2" a="1"/>
  <c r="A671" i="2" s="1"/>
  <c r="C671" i="2" a="1"/>
  <c r="C671" i="2" s="1"/>
  <c r="D671" i="2" s="1"/>
  <c r="K671" i="2" s="1" a="1"/>
  <c r="K671" i="2" s="1"/>
  <c r="A672" i="2" a="1"/>
  <c r="A672" i="2" s="1"/>
  <c r="C672" i="2" a="1"/>
  <c r="C672" i="2" s="1"/>
  <c r="D672" i="2" s="1"/>
  <c r="K672" i="2" s="1" a="1"/>
  <c r="K672" i="2" s="1"/>
  <c r="A673" i="2" a="1"/>
  <c r="A673" i="2" s="1"/>
  <c r="C673" i="2" a="1"/>
  <c r="C673" i="2" s="1"/>
  <c r="D673" i="2" s="1"/>
  <c r="K673" i="2" s="1" a="1"/>
  <c r="K673" i="2" s="1"/>
  <c r="A674" i="2" a="1"/>
  <c r="A674" i="2" s="1"/>
  <c r="C674" i="2" a="1"/>
  <c r="C674" i="2" s="1"/>
  <c r="D674" i="2" s="1"/>
  <c r="K674" i="2" s="1" a="1"/>
  <c r="K674" i="2" s="1"/>
  <c r="A675" i="2" a="1"/>
  <c r="A675" i="2" s="1"/>
  <c r="C675" i="2" a="1"/>
  <c r="C675" i="2" s="1"/>
  <c r="D675" i="2" s="1"/>
  <c r="K675" i="2" s="1" a="1"/>
  <c r="K675" i="2" s="1"/>
  <c r="A676" i="2" a="1"/>
  <c r="A676" i="2" s="1"/>
  <c r="C676" i="2" a="1"/>
  <c r="C676" i="2" s="1"/>
  <c r="D676" i="2" s="1"/>
  <c r="K676" i="2" s="1" a="1"/>
  <c r="K676" i="2" s="1"/>
  <c r="A677" i="2" a="1"/>
  <c r="A677" i="2" s="1"/>
  <c r="C677" i="2" a="1"/>
  <c r="C677" i="2" s="1"/>
  <c r="D677" i="2" s="1"/>
  <c r="K677" i="2" s="1" a="1"/>
  <c r="K677" i="2" s="1"/>
  <c r="A678" i="2" a="1"/>
  <c r="A678" i="2" s="1"/>
  <c r="C678" i="2" a="1"/>
  <c r="C678" i="2" s="1"/>
  <c r="D678" i="2" s="1"/>
  <c r="K678" i="2" s="1" a="1"/>
  <c r="K678" i="2" s="1"/>
  <c r="A679" i="2" a="1"/>
  <c r="A679" i="2" s="1"/>
  <c r="C679" i="2" a="1"/>
  <c r="C679" i="2" s="1"/>
  <c r="D679" i="2" s="1"/>
  <c r="K679" i="2" s="1" a="1"/>
  <c r="K679" i="2" s="1"/>
  <c r="A680" i="2" a="1"/>
  <c r="A680" i="2" s="1"/>
  <c r="C680" i="2" a="1"/>
  <c r="C680" i="2" s="1"/>
  <c r="D680" i="2" s="1"/>
  <c r="K680" i="2" s="1" a="1"/>
  <c r="K680" i="2" s="1"/>
  <c r="A681" i="2" a="1"/>
  <c r="A681" i="2" s="1"/>
  <c r="C681" i="2" a="1"/>
  <c r="C681" i="2" s="1"/>
  <c r="D681" i="2" s="1"/>
  <c r="K681" i="2" s="1" a="1"/>
  <c r="K681" i="2" s="1"/>
  <c r="A682" i="2" a="1"/>
  <c r="A682" i="2" s="1"/>
  <c r="C682" i="2" a="1"/>
  <c r="C682" i="2" s="1"/>
  <c r="D682" i="2" s="1"/>
  <c r="K682" i="2" s="1" a="1"/>
  <c r="K682" i="2" s="1"/>
  <c r="A683" i="2" a="1"/>
  <c r="A683" i="2" s="1"/>
  <c r="C683" i="2" a="1"/>
  <c r="C683" i="2" s="1"/>
  <c r="D683" i="2" s="1"/>
  <c r="K683" i="2" s="1" a="1"/>
  <c r="K683" i="2" s="1"/>
  <c r="A684" i="2" a="1"/>
  <c r="A684" i="2" s="1"/>
  <c r="C684" i="2" a="1"/>
  <c r="C684" i="2" s="1"/>
  <c r="D684" i="2" s="1"/>
  <c r="K684" i="2" s="1" a="1"/>
  <c r="K684" i="2" s="1"/>
  <c r="A685" i="2" a="1"/>
  <c r="A685" i="2" s="1"/>
  <c r="C685" i="2" a="1"/>
  <c r="C685" i="2" s="1"/>
  <c r="D685" i="2" s="1"/>
  <c r="K685" i="2" s="1" a="1"/>
  <c r="K685" i="2" s="1"/>
  <c r="A686" i="2" a="1"/>
  <c r="A686" i="2" s="1"/>
  <c r="C686" i="2" a="1"/>
  <c r="C686" i="2" s="1"/>
  <c r="D686" i="2" s="1"/>
  <c r="K686" i="2" s="1" a="1"/>
  <c r="K686" i="2" s="1"/>
  <c r="A687" i="2" a="1"/>
  <c r="A687" i="2" s="1"/>
  <c r="C687" i="2" a="1"/>
  <c r="C687" i="2" s="1"/>
  <c r="D687" i="2" s="1"/>
  <c r="K687" i="2" s="1" a="1"/>
  <c r="K687" i="2" s="1"/>
  <c r="A632" i="2" a="1"/>
  <c r="A632" i="2" s="1"/>
  <c r="C632" i="2" a="1"/>
  <c r="C632" i="2" s="1"/>
  <c r="D632" i="2" s="1"/>
  <c r="K632" i="2" s="1" a="1"/>
  <c r="K632" i="2" s="1"/>
  <c r="A633" i="2" a="1"/>
  <c r="A633" i="2" s="1"/>
  <c r="C633" i="2" a="1"/>
  <c r="C633" i="2" s="1"/>
  <c r="D633" i="2" s="1"/>
  <c r="K633" i="2" s="1" a="1"/>
  <c r="K633" i="2" s="1"/>
  <c r="A634" i="2" a="1"/>
  <c r="A634" i="2" s="1"/>
  <c r="C634" i="2" a="1"/>
  <c r="C634" i="2" s="1"/>
  <c r="D634" i="2" s="1"/>
  <c r="K634" i="2" s="1" a="1"/>
  <c r="K634" i="2" s="1"/>
  <c r="A635" i="2" a="1"/>
  <c r="A635" i="2" s="1"/>
  <c r="C635" i="2" a="1"/>
  <c r="C635" i="2" s="1"/>
  <c r="D635" i="2" s="1"/>
  <c r="K635" i="2" s="1" a="1"/>
  <c r="K635" i="2" s="1"/>
  <c r="A636" i="2" a="1"/>
  <c r="A636" i="2" s="1"/>
  <c r="C636" i="2" a="1"/>
  <c r="C636" i="2" s="1"/>
  <c r="D636" i="2" s="1"/>
  <c r="K636" i="2" s="1" a="1"/>
  <c r="K636" i="2" s="1"/>
  <c r="A637" i="2" a="1"/>
  <c r="A637" i="2" s="1"/>
  <c r="C637" i="2" a="1"/>
  <c r="C637" i="2" s="1"/>
  <c r="D637" i="2" s="1"/>
  <c r="K637" i="2" s="1" a="1"/>
  <c r="K637" i="2" s="1"/>
  <c r="A638" i="2" a="1"/>
  <c r="A638" i="2" s="1"/>
  <c r="C638" i="2" a="1"/>
  <c r="C638" i="2" s="1"/>
  <c r="D638" i="2" s="1"/>
  <c r="K638" i="2" s="1" a="1"/>
  <c r="K638" i="2" s="1"/>
  <c r="A639" i="2" a="1"/>
  <c r="A639" i="2" s="1"/>
  <c r="C639" i="2" a="1"/>
  <c r="C639" i="2" s="1"/>
  <c r="D639" i="2" s="1"/>
  <c r="K639" i="2" s="1" a="1"/>
  <c r="K639" i="2" s="1"/>
  <c r="A640" i="2" a="1"/>
  <c r="A640" i="2" s="1"/>
  <c r="C640" i="2" a="1"/>
  <c r="C640" i="2" s="1"/>
  <c r="D640" i="2" s="1"/>
  <c r="K640" i="2" s="1" a="1"/>
  <c r="K640" i="2" s="1"/>
  <c r="A641" i="2" a="1"/>
  <c r="A641" i="2" s="1"/>
  <c r="C641" i="2" a="1"/>
  <c r="C641" i="2" s="1"/>
  <c r="D641" i="2" s="1"/>
  <c r="K641" i="2" s="1" a="1"/>
  <c r="K641" i="2" s="1"/>
  <c r="A642" i="2" a="1"/>
  <c r="A642" i="2" s="1"/>
  <c r="C642" i="2" a="1"/>
  <c r="C642" i="2" s="1"/>
  <c r="D642" i="2" s="1"/>
  <c r="K642" i="2" s="1" a="1"/>
  <c r="K642" i="2" s="1"/>
  <c r="A643" i="2" a="1"/>
  <c r="A643" i="2" s="1"/>
  <c r="C643" i="2" a="1"/>
  <c r="C643" i="2" s="1"/>
  <c r="D643" i="2" s="1"/>
  <c r="K643" i="2" s="1" a="1"/>
  <c r="K643" i="2" s="1"/>
  <c r="A644" i="2" a="1"/>
  <c r="A644" i="2" s="1"/>
  <c r="C644" i="2" a="1"/>
  <c r="C644" i="2" s="1"/>
  <c r="D644" i="2" s="1"/>
  <c r="K644" i="2" s="1" a="1"/>
  <c r="K644" i="2" s="1"/>
  <c r="A645" i="2" a="1"/>
  <c r="A645" i="2" s="1"/>
  <c r="C645" i="2" a="1"/>
  <c r="C645" i="2" s="1"/>
  <c r="D645" i="2" s="1"/>
  <c r="K645" i="2" s="1" a="1"/>
  <c r="K645" i="2" s="1"/>
  <c r="A646" i="2" a="1"/>
  <c r="A646" i="2" s="1"/>
  <c r="C646" i="2" a="1"/>
  <c r="C646" i="2" s="1"/>
  <c r="D646" i="2" s="1"/>
  <c r="K646" i="2" s="1" a="1"/>
  <c r="K646" i="2" s="1"/>
  <c r="A647" i="2" a="1"/>
  <c r="A647" i="2" s="1"/>
  <c r="C647" i="2" a="1"/>
  <c r="C647" i="2" s="1"/>
  <c r="D647" i="2" s="1"/>
  <c r="K647" i="2" s="1" a="1"/>
  <c r="K647" i="2" s="1"/>
  <c r="A648" i="2" a="1"/>
  <c r="A648" i="2" s="1"/>
  <c r="C648" i="2" a="1"/>
  <c r="C648" i="2" s="1"/>
  <c r="D648" i="2" s="1"/>
  <c r="K648" i="2" s="1" a="1"/>
  <c r="K648" i="2" s="1"/>
  <c r="A649" i="2" a="1"/>
  <c r="A649" i="2" s="1"/>
  <c r="C649" i="2" a="1"/>
  <c r="C649" i="2" s="1"/>
  <c r="D649" i="2" s="1"/>
  <c r="K649" i="2" s="1" a="1"/>
  <c r="K649" i="2" s="1"/>
  <c r="A650" i="2" a="1"/>
  <c r="A650" i="2" s="1"/>
  <c r="C650" i="2" a="1"/>
  <c r="C650" i="2" s="1"/>
  <c r="D650" i="2" s="1"/>
  <c r="K650" i="2" s="1" a="1"/>
  <c r="K650" i="2" s="1"/>
  <c r="A651" i="2" a="1"/>
  <c r="A651" i="2" s="1"/>
  <c r="C651" i="2" a="1"/>
  <c r="C651" i="2" s="1"/>
  <c r="D651" i="2" s="1"/>
  <c r="K651" i="2" s="1" a="1"/>
  <c r="K651" i="2" s="1"/>
  <c r="A652" i="2" a="1"/>
  <c r="A652" i="2" s="1"/>
  <c r="C652" i="2" a="1"/>
  <c r="C652" i="2" s="1"/>
  <c r="D652" i="2" s="1"/>
  <c r="K652" i="2" s="1" a="1"/>
  <c r="K652" i="2" s="1"/>
  <c r="A653" i="2" a="1"/>
  <c r="A653" i="2" s="1"/>
  <c r="C653" i="2" a="1"/>
  <c r="C653" i="2" s="1"/>
  <c r="D653" i="2" s="1"/>
  <c r="K653" i="2" s="1" a="1"/>
  <c r="K653" i="2" s="1"/>
  <c r="A654" i="2" a="1"/>
  <c r="A654" i="2" s="1"/>
  <c r="C654" i="2" a="1"/>
  <c r="C654" i="2" s="1"/>
  <c r="D654" i="2" s="1"/>
  <c r="K654" i="2" s="1" a="1"/>
  <c r="K654" i="2" s="1"/>
  <c r="A655" i="2" a="1"/>
  <c r="A655" i="2" s="1"/>
  <c r="C655" i="2" a="1"/>
  <c r="C655" i="2" s="1"/>
  <c r="D655" i="2" s="1"/>
  <c r="K655" i="2" s="1" a="1"/>
  <c r="K655" i="2" s="1"/>
  <c r="A656" i="2" a="1"/>
  <c r="A656" i="2" s="1"/>
  <c r="C656" i="2" a="1"/>
  <c r="C656" i="2" s="1"/>
  <c r="D656" i="2" s="1"/>
  <c r="K656" i="2" s="1" a="1"/>
  <c r="K656" i="2" s="1"/>
  <c r="A657" i="2" a="1"/>
  <c r="A657" i="2" s="1"/>
  <c r="C657" i="2" a="1"/>
  <c r="C657" i="2" s="1"/>
  <c r="D657" i="2" s="1"/>
  <c r="K657" i="2" s="1" a="1"/>
  <c r="K657" i="2" s="1"/>
  <c r="A658" i="2" a="1"/>
  <c r="A658" i="2" s="1"/>
  <c r="C658" i="2" a="1"/>
  <c r="C658" i="2" s="1"/>
  <c r="D658" i="2" s="1"/>
  <c r="K658" i="2" s="1" a="1"/>
  <c r="K658" i="2" s="1"/>
  <c r="A659" i="2" a="1"/>
  <c r="A659" i="2" s="1"/>
  <c r="C659" i="2" a="1"/>
  <c r="C659" i="2" s="1"/>
  <c r="D659" i="2" s="1"/>
  <c r="K659" i="2" s="1" a="1"/>
  <c r="K659" i="2" s="1"/>
  <c r="A660" i="2" a="1"/>
  <c r="A660" i="2" s="1"/>
  <c r="C660" i="2" a="1"/>
  <c r="C660" i="2" s="1"/>
  <c r="D660" i="2" s="1"/>
  <c r="K660" i="2" s="1" a="1"/>
  <c r="K660" i="2" s="1"/>
  <c r="A661" i="2" a="1"/>
  <c r="A661" i="2" s="1"/>
  <c r="C661" i="2" a="1"/>
  <c r="C661" i="2" s="1"/>
  <c r="D661" i="2" s="1"/>
  <c r="K661" i="2" s="1" a="1"/>
  <c r="K661" i="2" s="1"/>
  <c r="A662" i="2" a="1"/>
  <c r="A662" i="2" s="1"/>
  <c r="C662" i="2" a="1"/>
  <c r="C662" i="2" s="1"/>
  <c r="D662" i="2" s="1"/>
  <c r="K662" i="2" s="1" a="1"/>
  <c r="K662" i="2" s="1"/>
  <c r="A663" i="2" a="1"/>
  <c r="A663" i="2" s="1"/>
  <c r="C663" i="2" a="1"/>
  <c r="C663" i="2" s="1"/>
  <c r="D663" i="2" s="1"/>
  <c r="K663" i="2" s="1" a="1"/>
  <c r="K663" i="2" s="1"/>
  <c r="A664" i="2" a="1"/>
  <c r="A664" i="2" s="1"/>
  <c r="C664" i="2" a="1"/>
  <c r="C664" i="2" s="1"/>
  <c r="D664" i="2" s="1"/>
  <c r="K664" i="2" s="1" a="1"/>
  <c r="K664" i="2" s="1"/>
  <c r="A665" i="2" a="1"/>
  <c r="A665" i="2" s="1"/>
  <c r="C665" i="2" a="1"/>
  <c r="C665" i="2" s="1"/>
  <c r="D665" i="2" s="1"/>
  <c r="K665" i="2" s="1" a="1"/>
  <c r="K665" i="2" s="1"/>
  <c r="A666" i="2" a="1"/>
  <c r="A666" i="2" s="1"/>
  <c r="C666" i="2" a="1"/>
  <c r="C666" i="2" s="1"/>
  <c r="D666" i="2" s="1"/>
  <c r="K666" i="2" s="1" a="1"/>
  <c r="K666" i="2" s="1"/>
  <c r="A618" i="2" a="1"/>
  <c r="A618" i="2" s="1"/>
  <c r="C618" i="2" a="1"/>
  <c r="C618" i="2" s="1"/>
  <c r="D618" i="2" s="1"/>
  <c r="K618" i="2" s="1" a="1"/>
  <c r="K618" i="2" s="1"/>
  <c r="A619" i="2" a="1"/>
  <c r="A619" i="2" s="1"/>
  <c r="C619" i="2" a="1"/>
  <c r="C619" i="2" s="1"/>
  <c r="D619" i="2" s="1"/>
  <c r="K619" i="2" s="1" a="1"/>
  <c r="K619" i="2" s="1"/>
  <c r="A620" i="2" a="1"/>
  <c r="A620" i="2" s="1"/>
  <c r="C620" i="2" a="1"/>
  <c r="C620" i="2" s="1"/>
  <c r="D620" i="2" s="1"/>
  <c r="K620" i="2" s="1" a="1"/>
  <c r="K620" i="2" s="1"/>
  <c r="A621" i="2" a="1"/>
  <c r="A621" i="2" s="1"/>
  <c r="C621" i="2" a="1"/>
  <c r="C621" i="2" s="1"/>
  <c r="D621" i="2" s="1"/>
  <c r="K621" i="2" s="1" a="1"/>
  <c r="K621" i="2" s="1"/>
  <c r="A622" i="2" a="1"/>
  <c r="A622" i="2" s="1"/>
  <c r="C622" i="2" a="1"/>
  <c r="C622" i="2" s="1"/>
  <c r="D622" i="2" s="1"/>
  <c r="K622" i="2" s="1" a="1"/>
  <c r="K622" i="2" s="1"/>
  <c r="A623" i="2" a="1"/>
  <c r="A623" i="2" s="1"/>
  <c r="C623" i="2" a="1"/>
  <c r="C623" i="2" s="1"/>
  <c r="D623" i="2" s="1"/>
  <c r="K623" i="2" s="1" a="1"/>
  <c r="K623" i="2" s="1"/>
  <c r="A624" i="2" a="1"/>
  <c r="A624" i="2" s="1"/>
  <c r="C624" i="2" a="1"/>
  <c r="C624" i="2" s="1"/>
  <c r="D624" i="2" s="1"/>
  <c r="K624" i="2" s="1" a="1"/>
  <c r="K624" i="2" s="1"/>
  <c r="A625" i="2" a="1"/>
  <c r="A625" i="2" s="1"/>
  <c r="C625" i="2" a="1"/>
  <c r="C625" i="2" s="1"/>
  <c r="D625" i="2" s="1"/>
  <c r="K625" i="2" s="1" a="1"/>
  <c r="K625" i="2" s="1"/>
  <c r="A626" i="2" a="1"/>
  <c r="A626" i="2" s="1"/>
  <c r="C626" i="2" a="1"/>
  <c r="C626" i="2" s="1"/>
  <c r="D626" i="2" s="1"/>
  <c r="K626" i="2" s="1" a="1"/>
  <c r="K626" i="2" s="1"/>
  <c r="A627" i="2" a="1"/>
  <c r="A627" i="2" s="1"/>
  <c r="C627" i="2" a="1"/>
  <c r="C627" i="2" s="1"/>
  <c r="D627" i="2" s="1"/>
  <c r="K627" i="2" s="1" a="1"/>
  <c r="K627" i="2" s="1"/>
  <c r="A628" i="2" a="1"/>
  <c r="A628" i="2" s="1"/>
  <c r="C628" i="2" a="1"/>
  <c r="C628" i="2" s="1"/>
  <c r="D628" i="2" s="1"/>
  <c r="K628" i="2" s="1" a="1"/>
  <c r="K628" i="2" s="1"/>
  <c r="A629" i="2" a="1"/>
  <c r="A629" i="2" s="1"/>
  <c r="C629" i="2" a="1"/>
  <c r="C629" i="2" s="1"/>
  <c r="D629" i="2" s="1"/>
  <c r="K629" i="2" s="1" a="1"/>
  <c r="K629" i="2" s="1"/>
  <c r="A630" i="2" a="1"/>
  <c r="A630" i="2" s="1"/>
  <c r="C630" i="2" a="1"/>
  <c r="C630" i="2" s="1"/>
  <c r="D630" i="2" s="1"/>
  <c r="K630" i="2" s="1" a="1"/>
  <c r="K630" i="2" s="1"/>
  <c r="A631" i="2" a="1"/>
  <c r="A631" i="2" s="1"/>
  <c r="C631" i="2" a="1"/>
  <c r="C631" i="2" s="1"/>
  <c r="D631" i="2" s="1"/>
  <c r="K631" i="2" s="1" a="1"/>
  <c r="K631" i="2" s="1"/>
  <c r="A611" i="2" a="1"/>
  <c r="A611" i="2" s="1"/>
  <c r="C611" i="2" a="1"/>
  <c r="C611" i="2" s="1"/>
  <c r="D611" i="2" s="1"/>
  <c r="K611" i="2" s="1" a="1"/>
  <c r="K611" i="2" s="1"/>
  <c r="A612" i="2" a="1"/>
  <c r="A612" i="2" s="1"/>
  <c r="C612" i="2" a="1"/>
  <c r="C612" i="2" s="1"/>
  <c r="D612" i="2" s="1"/>
  <c r="K612" i="2" s="1" a="1"/>
  <c r="K612" i="2" s="1"/>
  <c r="A613" i="2" a="1"/>
  <c r="A613" i="2" s="1"/>
  <c r="C613" i="2" a="1"/>
  <c r="C613" i="2" s="1"/>
  <c r="D613" i="2" s="1"/>
  <c r="K613" i="2" s="1" a="1"/>
  <c r="K613" i="2" s="1"/>
  <c r="A614" i="2" a="1"/>
  <c r="A614" i="2" s="1"/>
  <c r="C614" i="2" a="1"/>
  <c r="C614" i="2" s="1"/>
  <c r="D614" i="2" s="1"/>
  <c r="K614" i="2" s="1" a="1"/>
  <c r="K614" i="2" s="1"/>
  <c r="A615" i="2" a="1"/>
  <c r="A615" i="2" s="1"/>
  <c r="C615" i="2" a="1"/>
  <c r="C615" i="2" s="1"/>
  <c r="D615" i="2" s="1"/>
  <c r="K615" i="2" s="1" a="1"/>
  <c r="K615" i="2" s="1"/>
  <c r="A616" i="2" a="1"/>
  <c r="A616" i="2" s="1"/>
  <c r="C616" i="2" a="1"/>
  <c r="C616" i="2" s="1"/>
  <c r="D616" i="2" s="1"/>
  <c r="K616" i="2" s="1" a="1"/>
  <c r="K616" i="2" s="1"/>
  <c r="A617" i="2" a="1"/>
  <c r="A617" i="2" s="1"/>
  <c r="C617" i="2" a="1"/>
  <c r="C617" i="2" s="1"/>
  <c r="D617" i="2" s="1"/>
  <c r="K617" i="2" s="1" a="1"/>
  <c r="K617" i="2" s="1"/>
  <c r="A604" i="2" a="1"/>
  <c r="A604" i="2" s="1"/>
  <c r="C604" i="2" a="1"/>
  <c r="C604" i="2" s="1"/>
  <c r="D604" i="2" s="1"/>
  <c r="K604" i="2" s="1" a="1"/>
  <c r="K604" i="2" s="1"/>
  <c r="A605" i="2" a="1"/>
  <c r="A605" i="2" s="1"/>
  <c r="C605" i="2" a="1"/>
  <c r="C605" i="2" s="1"/>
  <c r="D605" i="2" s="1"/>
  <c r="K605" i="2" s="1" a="1"/>
  <c r="K605" i="2" s="1"/>
  <c r="A606" i="2" a="1"/>
  <c r="A606" i="2" s="1"/>
  <c r="C606" i="2" a="1"/>
  <c r="C606" i="2" s="1"/>
  <c r="D606" i="2" s="1"/>
  <c r="K606" i="2" s="1" a="1"/>
  <c r="K606" i="2" s="1"/>
  <c r="A607" i="2" a="1"/>
  <c r="A607" i="2" s="1"/>
  <c r="C607" i="2" a="1"/>
  <c r="C607" i="2" s="1"/>
  <c r="D607" i="2" s="1"/>
  <c r="K607" i="2" s="1" a="1"/>
  <c r="K607" i="2" s="1"/>
  <c r="A608" i="2" a="1"/>
  <c r="A608" i="2" s="1"/>
  <c r="C608" i="2" a="1"/>
  <c r="C608" i="2" s="1"/>
  <c r="D608" i="2" s="1"/>
  <c r="K608" i="2" s="1" a="1"/>
  <c r="K608" i="2" s="1"/>
  <c r="A609" i="2" a="1"/>
  <c r="A609" i="2" s="1"/>
  <c r="C609" i="2" a="1"/>
  <c r="C609" i="2" s="1"/>
  <c r="D609" i="2" s="1"/>
  <c r="K609" i="2" s="1" a="1"/>
  <c r="K609" i="2" s="1"/>
  <c r="A610" i="2" a="1"/>
  <c r="A610" i="2" s="1"/>
  <c r="C610" i="2" a="1"/>
  <c r="C610" i="2" s="1"/>
  <c r="D610" i="2" s="1"/>
  <c r="K610" i="2" s="1" a="1"/>
  <c r="K610" i="2" s="1"/>
  <c r="A583" i="2" a="1"/>
  <c r="A583" i="2" s="1"/>
  <c r="C583" i="2" a="1"/>
  <c r="C583" i="2" s="1"/>
  <c r="D583" i="2" s="1"/>
  <c r="K583" i="2" s="1" a="1"/>
  <c r="K583" i="2" s="1"/>
  <c r="A584" i="2" a="1"/>
  <c r="A584" i="2" s="1"/>
  <c r="C584" i="2" a="1"/>
  <c r="C584" i="2" s="1"/>
  <c r="D584" i="2" s="1"/>
  <c r="K584" i="2" s="1" a="1"/>
  <c r="K584" i="2" s="1"/>
  <c r="A585" i="2" a="1"/>
  <c r="A585" i="2" s="1"/>
  <c r="C585" i="2" a="1"/>
  <c r="C585" i="2" s="1"/>
  <c r="D585" i="2" s="1"/>
  <c r="K585" i="2" s="1" a="1"/>
  <c r="K585" i="2" s="1"/>
  <c r="A586" i="2" a="1"/>
  <c r="A586" i="2" s="1"/>
  <c r="C586" i="2" a="1"/>
  <c r="C586" i="2" s="1"/>
  <c r="D586" i="2" s="1"/>
  <c r="K586" i="2" s="1" a="1"/>
  <c r="K586" i="2" s="1"/>
  <c r="A587" i="2" a="1"/>
  <c r="A587" i="2" s="1"/>
  <c r="C587" i="2" a="1"/>
  <c r="C587" i="2" s="1"/>
  <c r="D587" i="2" s="1"/>
  <c r="K587" i="2" s="1" a="1"/>
  <c r="K587" i="2" s="1"/>
  <c r="A588" i="2" a="1"/>
  <c r="A588" i="2" s="1"/>
  <c r="C588" i="2" a="1"/>
  <c r="C588" i="2" s="1"/>
  <c r="D588" i="2" s="1"/>
  <c r="K588" i="2" s="1" a="1"/>
  <c r="K588" i="2" s="1"/>
  <c r="A589" i="2" a="1"/>
  <c r="A589" i="2" s="1"/>
  <c r="C589" i="2" a="1"/>
  <c r="C589" i="2" s="1"/>
  <c r="D589" i="2" s="1"/>
  <c r="K589" i="2" s="1" a="1"/>
  <c r="K589" i="2" s="1"/>
  <c r="A590" i="2" a="1"/>
  <c r="A590" i="2" s="1"/>
  <c r="C590" i="2" a="1"/>
  <c r="C590" i="2" s="1"/>
  <c r="D590" i="2" s="1"/>
  <c r="K590" i="2" s="1" a="1"/>
  <c r="K590" i="2" s="1"/>
  <c r="A591" i="2" a="1"/>
  <c r="A591" i="2" s="1"/>
  <c r="C591" i="2" a="1"/>
  <c r="C591" i="2" s="1"/>
  <c r="D591" i="2" s="1"/>
  <c r="K591" i="2" s="1" a="1"/>
  <c r="K591" i="2" s="1"/>
  <c r="A592" i="2" a="1"/>
  <c r="A592" i="2" s="1"/>
  <c r="C592" i="2" a="1"/>
  <c r="C592" i="2" s="1"/>
  <c r="D592" i="2" s="1"/>
  <c r="K592" i="2" s="1" a="1"/>
  <c r="K592" i="2" s="1"/>
  <c r="A593" i="2" a="1"/>
  <c r="A593" i="2" s="1"/>
  <c r="C593" i="2" a="1"/>
  <c r="C593" i="2" s="1"/>
  <c r="D593" i="2" s="1"/>
  <c r="K593" i="2" s="1" a="1"/>
  <c r="K593" i="2" s="1"/>
  <c r="A594" i="2" a="1"/>
  <c r="A594" i="2" s="1"/>
  <c r="C594" i="2" a="1"/>
  <c r="C594" i="2" s="1"/>
  <c r="D594" i="2" s="1"/>
  <c r="K594" i="2" s="1" a="1"/>
  <c r="K594" i="2" s="1"/>
  <c r="A595" i="2" a="1"/>
  <c r="A595" i="2" s="1"/>
  <c r="C595" i="2" a="1"/>
  <c r="C595" i="2" s="1"/>
  <c r="D595" i="2" s="1"/>
  <c r="K595" i="2" s="1" a="1"/>
  <c r="K595" i="2" s="1"/>
  <c r="A596" i="2" a="1"/>
  <c r="A596" i="2" s="1"/>
  <c r="C596" i="2" a="1"/>
  <c r="C596" i="2" s="1"/>
  <c r="D596" i="2" s="1"/>
  <c r="K596" i="2" s="1" a="1"/>
  <c r="K596" i="2" s="1"/>
  <c r="A597" i="2" a="1"/>
  <c r="A597" i="2" s="1"/>
  <c r="C597" i="2" a="1"/>
  <c r="C597" i="2" s="1"/>
  <c r="D597" i="2" s="1"/>
  <c r="K597" i="2" s="1" a="1"/>
  <c r="K597" i="2" s="1"/>
  <c r="A598" i="2" a="1"/>
  <c r="A598" i="2" s="1"/>
  <c r="C598" i="2" a="1"/>
  <c r="C598" i="2" s="1"/>
  <c r="D598" i="2" s="1"/>
  <c r="K598" i="2" s="1" a="1"/>
  <c r="K598" i="2" s="1"/>
  <c r="A599" i="2" a="1"/>
  <c r="A599" i="2" s="1"/>
  <c r="C599" i="2" a="1"/>
  <c r="C599" i="2" s="1"/>
  <c r="D599" i="2" s="1"/>
  <c r="K599" i="2" s="1" a="1"/>
  <c r="K599" i="2" s="1"/>
  <c r="A600" i="2" a="1"/>
  <c r="A600" i="2" s="1"/>
  <c r="C600" i="2" a="1"/>
  <c r="C600" i="2" s="1"/>
  <c r="D600" i="2" s="1"/>
  <c r="K600" i="2" s="1" a="1"/>
  <c r="K600" i="2" s="1"/>
  <c r="A601" i="2" a="1"/>
  <c r="A601" i="2" s="1"/>
  <c r="C601" i="2" a="1"/>
  <c r="C601" i="2" s="1"/>
  <c r="D601" i="2" s="1"/>
  <c r="K601" i="2" s="1" a="1"/>
  <c r="K601" i="2" s="1"/>
  <c r="A602" i="2" a="1"/>
  <c r="A602" i="2" s="1"/>
  <c r="C602" i="2" a="1"/>
  <c r="C602" i="2" s="1"/>
  <c r="D602" i="2" s="1"/>
  <c r="K602" i="2" s="1" a="1"/>
  <c r="K602" i="2" s="1"/>
  <c r="A603" i="2" a="1"/>
  <c r="A603" i="2" s="1"/>
  <c r="C603" i="2" a="1"/>
  <c r="C603" i="2" s="1"/>
  <c r="D603" i="2" s="1"/>
  <c r="K603" i="2" s="1" a="1"/>
  <c r="K603" i="2" s="1"/>
  <c r="A555" i="2" a="1"/>
  <c r="A555" i="2" s="1"/>
  <c r="C555" i="2" a="1"/>
  <c r="C555" i="2" s="1"/>
  <c r="D555" i="2" s="1"/>
  <c r="K555" i="2" s="1" a="1"/>
  <c r="K555" i="2" s="1"/>
  <c r="A556" i="2" a="1"/>
  <c r="A556" i="2" s="1"/>
  <c r="C556" i="2" a="1"/>
  <c r="C556" i="2" s="1"/>
  <c r="D556" i="2" s="1"/>
  <c r="K556" i="2" s="1" a="1"/>
  <c r="K556" i="2" s="1"/>
  <c r="A557" i="2" a="1"/>
  <c r="A557" i="2" s="1"/>
  <c r="C557" i="2" a="1"/>
  <c r="C557" i="2" s="1"/>
  <c r="D557" i="2" s="1"/>
  <c r="K557" i="2" s="1" a="1"/>
  <c r="K557" i="2" s="1"/>
  <c r="A558" i="2" a="1"/>
  <c r="A558" i="2" s="1"/>
  <c r="C558" i="2" a="1"/>
  <c r="C558" i="2" s="1"/>
  <c r="D558" i="2" s="1"/>
  <c r="K558" i="2" s="1" a="1"/>
  <c r="K558" i="2" s="1"/>
  <c r="A559" i="2" a="1"/>
  <c r="A559" i="2" s="1"/>
  <c r="C559" i="2" a="1"/>
  <c r="C559" i="2" s="1"/>
  <c r="D559" i="2" s="1"/>
  <c r="K559" i="2" s="1" a="1"/>
  <c r="K559" i="2" s="1"/>
  <c r="A560" i="2" a="1"/>
  <c r="A560" i="2" s="1"/>
  <c r="C560" i="2" a="1"/>
  <c r="C560" i="2" s="1"/>
  <c r="D560" i="2" s="1"/>
  <c r="K560" i="2" s="1" a="1"/>
  <c r="K560" i="2" s="1"/>
  <c r="A561" i="2" a="1"/>
  <c r="A561" i="2" s="1"/>
  <c r="C561" i="2" a="1"/>
  <c r="C561" i="2" s="1"/>
  <c r="D561" i="2" s="1"/>
  <c r="K561" i="2" s="1" a="1"/>
  <c r="K561" i="2" s="1"/>
  <c r="A562" i="2" a="1"/>
  <c r="A562" i="2" s="1"/>
  <c r="C562" i="2" a="1"/>
  <c r="C562" i="2" s="1"/>
  <c r="D562" i="2" s="1"/>
  <c r="K562" i="2" s="1" a="1"/>
  <c r="K562" i="2" s="1"/>
  <c r="A563" i="2" a="1"/>
  <c r="A563" i="2" s="1"/>
  <c r="C563" i="2" a="1"/>
  <c r="C563" i="2" s="1"/>
  <c r="D563" i="2" s="1"/>
  <c r="K563" i="2" s="1" a="1"/>
  <c r="K563" i="2" s="1"/>
  <c r="A564" i="2" a="1"/>
  <c r="A564" i="2" s="1"/>
  <c r="C564" i="2" a="1"/>
  <c r="C564" i="2" s="1"/>
  <c r="D564" i="2" s="1"/>
  <c r="K564" i="2" s="1" a="1"/>
  <c r="K564" i="2" s="1"/>
  <c r="A565" i="2" a="1"/>
  <c r="A565" i="2" s="1"/>
  <c r="C565" i="2" a="1"/>
  <c r="C565" i="2" s="1"/>
  <c r="D565" i="2" s="1"/>
  <c r="K565" i="2" s="1" a="1"/>
  <c r="K565" i="2" s="1"/>
  <c r="A566" i="2" a="1"/>
  <c r="A566" i="2" s="1"/>
  <c r="C566" i="2" a="1"/>
  <c r="C566" i="2" s="1"/>
  <c r="D566" i="2" s="1"/>
  <c r="K566" i="2" s="1" a="1"/>
  <c r="K566" i="2" s="1"/>
  <c r="A567" i="2" a="1"/>
  <c r="A567" i="2" s="1"/>
  <c r="C567" i="2" a="1"/>
  <c r="C567" i="2" s="1"/>
  <c r="D567" i="2" s="1"/>
  <c r="K567" i="2" s="1" a="1"/>
  <c r="K567" i="2" s="1"/>
  <c r="A568" i="2" a="1"/>
  <c r="A568" i="2" s="1"/>
  <c r="C568" i="2" a="1"/>
  <c r="C568" i="2" s="1"/>
  <c r="D568" i="2" s="1"/>
  <c r="K568" i="2" s="1" a="1"/>
  <c r="K568" i="2" s="1"/>
  <c r="A569" i="2" a="1"/>
  <c r="A569" i="2" s="1"/>
  <c r="C569" i="2" a="1"/>
  <c r="C569" i="2" s="1"/>
  <c r="D569" i="2" s="1"/>
  <c r="K569" i="2" s="1" a="1"/>
  <c r="K569" i="2" s="1"/>
  <c r="A570" i="2" a="1"/>
  <c r="A570" i="2" s="1"/>
  <c r="C570" i="2" a="1"/>
  <c r="C570" i="2" s="1"/>
  <c r="D570" i="2" s="1"/>
  <c r="K570" i="2" s="1" a="1"/>
  <c r="K570" i="2" s="1"/>
  <c r="A571" i="2" a="1"/>
  <c r="A571" i="2" s="1"/>
  <c r="C571" i="2" a="1"/>
  <c r="C571" i="2" s="1"/>
  <c r="D571" i="2" s="1"/>
  <c r="K571" i="2" s="1" a="1"/>
  <c r="K571" i="2" s="1"/>
  <c r="A572" i="2" a="1"/>
  <c r="A572" i="2" s="1"/>
  <c r="C572" i="2" a="1"/>
  <c r="C572" i="2" s="1"/>
  <c r="D572" i="2" s="1"/>
  <c r="K572" i="2" s="1" a="1"/>
  <c r="K572" i="2" s="1"/>
  <c r="A573" i="2" a="1"/>
  <c r="A573" i="2" s="1"/>
  <c r="C573" i="2" a="1"/>
  <c r="C573" i="2" s="1"/>
  <c r="D573" i="2" s="1"/>
  <c r="K573" i="2" s="1" a="1"/>
  <c r="K573" i="2" s="1"/>
  <c r="A574" i="2" a="1"/>
  <c r="A574" i="2" s="1"/>
  <c r="C574" i="2" a="1"/>
  <c r="C574" i="2" s="1"/>
  <c r="D574" i="2" s="1"/>
  <c r="K574" i="2" s="1" a="1"/>
  <c r="K574" i="2" s="1"/>
  <c r="A575" i="2" a="1"/>
  <c r="A575" i="2" s="1"/>
  <c r="C575" i="2" a="1"/>
  <c r="C575" i="2" s="1"/>
  <c r="D575" i="2" s="1"/>
  <c r="K575" i="2" s="1" a="1"/>
  <c r="K575" i="2" s="1"/>
  <c r="A576" i="2" a="1"/>
  <c r="A576" i="2" s="1"/>
  <c r="C576" i="2" a="1"/>
  <c r="C576" i="2" s="1"/>
  <c r="D576" i="2" s="1"/>
  <c r="K576" i="2" s="1" a="1"/>
  <c r="K576" i="2" s="1"/>
  <c r="A577" i="2" a="1"/>
  <c r="A577" i="2" s="1"/>
  <c r="C577" i="2" a="1"/>
  <c r="C577" i="2" s="1"/>
  <c r="D577" i="2" s="1"/>
  <c r="K577" i="2" s="1" a="1"/>
  <c r="K577" i="2" s="1"/>
  <c r="A578" i="2" a="1"/>
  <c r="A578" i="2" s="1"/>
  <c r="C578" i="2" a="1"/>
  <c r="C578" i="2" s="1"/>
  <c r="D578" i="2" s="1"/>
  <c r="K578" i="2" s="1" a="1"/>
  <c r="K578" i="2" s="1"/>
  <c r="A579" i="2" a="1"/>
  <c r="A579" i="2" s="1"/>
  <c r="C579" i="2" a="1"/>
  <c r="C579" i="2" s="1"/>
  <c r="D579" i="2" s="1"/>
  <c r="K579" i="2" s="1" a="1"/>
  <c r="K579" i="2" s="1"/>
  <c r="A580" i="2" a="1"/>
  <c r="A580" i="2" s="1"/>
  <c r="C580" i="2" a="1"/>
  <c r="C580" i="2" s="1"/>
  <c r="D580" i="2" s="1"/>
  <c r="K580" i="2" s="1" a="1"/>
  <c r="K580" i="2" s="1"/>
  <c r="A581" i="2" a="1"/>
  <c r="A581" i="2" s="1"/>
  <c r="C581" i="2" a="1"/>
  <c r="C581" i="2" s="1"/>
  <c r="D581" i="2" s="1"/>
  <c r="K581" i="2" s="1" a="1"/>
  <c r="K581" i="2" s="1"/>
  <c r="A582" i="2" a="1"/>
  <c r="A582" i="2" s="1"/>
  <c r="C582" i="2" a="1"/>
  <c r="C582" i="2" s="1"/>
  <c r="D582" i="2" s="1"/>
  <c r="K582" i="2" s="1" a="1"/>
  <c r="K582" i="2" s="1"/>
  <c r="A492" i="2" a="1"/>
  <c r="A492" i="2" s="1"/>
  <c r="C492" i="2" a="1"/>
  <c r="C492" i="2" s="1"/>
  <c r="D492" i="2" s="1"/>
  <c r="K492" i="2" s="1" a="1"/>
  <c r="K492" i="2" s="1"/>
  <c r="A493" i="2" a="1"/>
  <c r="A493" i="2" s="1"/>
  <c r="C493" i="2" a="1"/>
  <c r="C493" i="2" s="1"/>
  <c r="D493" i="2" s="1"/>
  <c r="K493" i="2" s="1" a="1"/>
  <c r="K493" i="2" s="1"/>
  <c r="A494" i="2" a="1"/>
  <c r="A494" i="2" s="1"/>
  <c r="C494" i="2" a="1"/>
  <c r="C494" i="2" s="1"/>
  <c r="D494" i="2" s="1"/>
  <c r="K494" i="2" s="1" a="1"/>
  <c r="K494" i="2" s="1"/>
  <c r="A495" i="2" a="1"/>
  <c r="A495" i="2" s="1"/>
  <c r="C495" i="2" a="1"/>
  <c r="C495" i="2" s="1"/>
  <c r="D495" i="2" s="1"/>
  <c r="K495" i="2" s="1" a="1"/>
  <c r="K495" i="2" s="1"/>
  <c r="A496" i="2" a="1"/>
  <c r="A496" i="2" s="1"/>
  <c r="C496" i="2" a="1"/>
  <c r="C496" i="2" s="1"/>
  <c r="D496" i="2" s="1"/>
  <c r="K496" i="2" s="1" a="1"/>
  <c r="K496" i="2" s="1"/>
  <c r="A497" i="2" a="1"/>
  <c r="A497" i="2" s="1"/>
  <c r="C497" i="2" a="1"/>
  <c r="C497" i="2" s="1"/>
  <c r="D497" i="2" s="1"/>
  <c r="K497" i="2" s="1" a="1"/>
  <c r="K497" i="2" s="1"/>
  <c r="A498" i="2" a="1"/>
  <c r="A498" i="2" s="1"/>
  <c r="C498" i="2" a="1"/>
  <c r="C498" i="2" s="1"/>
  <c r="D498" i="2" s="1"/>
  <c r="K498" i="2" s="1" a="1"/>
  <c r="K498" i="2" s="1"/>
  <c r="A499" i="2" a="1"/>
  <c r="A499" i="2" s="1"/>
  <c r="C499" i="2" a="1"/>
  <c r="C499" i="2" s="1"/>
  <c r="D499" i="2" s="1"/>
  <c r="K499" i="2" s="1" a="1"/>
  <c r="K499" i="2" s="1"/>
  <c r="A500" i="2" a="1"/>
  <c r="A500" i="2" s="1"/>
  <c r="C500" i="2" a="1"/>
  <c r="C500" i="2" s="1"/>
  <c r="D500" i="2" s="1"/>
  <c r="K500" i="2" s="1" a="1"/>
  <c r="K500" i="2" s="1"/>
  <c r="A501" i="2" a="1"/>
  <c r="A501" i="2" s="1"/>
  <c r="C501" i="2" a="1"/>
  <c r="C501" i="2" s="1"/>
  <c r="D501" i="2" s="1"/>
  <c r="K501" i="2" s="1" a="1"/>
  <c r="K501" i="2" s="1"/>
  <c r="A502" i="2" a="1"/>
  <c r="A502" i="2" s="1"/>
  <c r="C502" i="2" a="1"/>
  <c r="C502" i="2" s="1"/>
  <c r="D502" i="2" s="1"/>
  <c r="K502" i="2" s="1" a="1"/>
  <c r="K502" i="2" s="1"/>
  <c r="A503" i="2" a="1"/>
  <c r="A503" i="2" s="1"/>
  <c r="C503" i="2" a="1"/>
  <c r="C503" i="2" s="1"/>
  <c r="D503" i="2" s="1"/>
  <c r="K503" i="2" s="1" a="1"/>
  <c r="K503" i="2" s="1"/>
  <c r="A504" i="2" a="1"/>
  <c r="A504" i="2" s="1"/>
  <c r="C504" i="2" a="1"/>
  <c r="C504" i="2" s="1"/>
  <c r="D504" i="2" s="1"/>
  <c r="K504" i="2" s="1" a="1"/>
  <c r="K504" i="2" s="1"/>
  <c r="A505" i="2" a="1"/>
  <c r="A505" i="2" s="1"/>
  <c r="C505" i="2" a="1"/>
  <c r="C505" i="2" s="1"/>
  <c r="D505" i="2" s="1"/>
  <c r="K505" i="2" s="1" a="1"/>
  <c r="K505" i="2" s="1"/>
  <c r="A506" i="2" a="1"/>
  <c r="A506" i="2" s="1"/>
  <c r="C506" i="2" a="1"/>
  <c r="C506" i="2" s="1"/>
  <c r="D506" i="2" s="1"/>
  <c r="K506" i="2" s="1" a="1"/>
  <c r="K506" i="2" s="1"/>
  <c r="A507" i="2" a="1"/>
  <c r="A507" i="2" s="1"/>
  <c r="C507" i="2" a="1"/>
  <c r="C507" i="2" s="1"/>
  <c r="D507" i="2" s="1"/>
  <c r="K507" i="2" s="1" a="1"/>
  <c r="K507" i="2" s="1"/>
  <c r="A508" i="2" a="1"/>
  <c r="A508" i="2" s="1"/>
  <c r="C508" i="2" a="1"/>
  <c r="C508" i="2" s="1"/>
  <c r="D508" i="2" s="1"/>
  <c r="K508" i="2" s="1" a="1"/>
  <c r="K508" i="2" s="1"/>
  <c r="A509" i="2" a="1"/>
  <c r="A509" i="2" s="1"/>
  <c r="C509" i="2" a="1"/>
  <c r="C509" i="2" s="1"/>
  <c r="D509" i="2" s="1"/>
  <c r="K509" i="2" s="1" a="1"/>
  <c r="K509" i="2" s="1"/>
  <c r="A510" i="2" a="1"/>
  <c r="A510" i="2" s="1"/>
  <c r="C510" i="2" a="1"/>
  <c r="C510" i="2" s="1"/>
  <c r="D510" i="2" s="1"/>
  <c r="K510" i="2" s="1" a="1"/>
  <c r="K510" i="2" s="1"/>
  <c r="A511" i="2" a="1"/>
  <c r="A511" i="2" s="1"/>
  <c r="C511" i="2" a="1"/>
  <c r="C511" i="2" s="1"/>
  <c r="D511" i="2" s="1"/>
  <c r="K511" i="2" s="1" a="1"/>
  <c r="K511" i="2" s="1"/>
  <c r="A512" i="2" a="1"/>
  <c r="A512" i="2" s="1"/>
  <c r="C512" i="2" a="1"/>
  <c r="C512" i="2" s="1"/>
  <c r="D512" i="2" s="1"/>
  <c r="K512" i="2" s="1" a="1"/>
  <c r="K512" i="2" s="1"/>
  <c r="A513" i="2" a="1"/>
  <c r="A513" i="2" s="1"/>
  <c r="C513" i="2" a="1"/>
  <c r="C513" i="2" s="1"/>
  <c r="D513" i="2" s="1"/>
  <c r="K513" i="2" s="1" a="1"/>
  <c r="K513" i="2" s="1"/>
  <c r="A514" i="2" a="1"/>
  <c r="A514" i="2" s="1"/>
  <c r="C514" i="2" a="1"/>
  <c r="C514" i="2" s="1"/>
  <c r="D514" i="2" s="1"/>
  <c r="K514" i="2" s="1" a="1"/>
  <c r="K514" i="2" s="1"/>
  <c r="A515" i="2" a="1"/>
  <c r="A515" i="2" s="1"/>
  <c r="C515" i="2" a="1"/>
  <c r="C515" i="2" s="1"/>
  <c r="D515" i="2" s="1"/>
  <c r="K515" i="2" s="1" a="1"/>
  <c r="K515" i="2" s="1"/>
  <c r="A516" i="2" a="1"/>
  <c r="A516" i="2" s="1"/>
  <c r="C516" i="2" a="1"/>
  <c r="C516" i="2" s="1"/>
  <c r="D516" i="2" s="1"/>
  <c r="K516" i="2" s="1" a="1"/>
  <c r="K516" i="2" s="1"/>
  <c r="A517" i="2" a="1"/>
  <c r="A517" i="2" s="1"/>
  <c r="C517" i="2" a="1"/>
  <c r="C517" i="2" s="1"/>
  <c r="D517" i="2" s="1"/>
  <c r="K517" i="2" s="1" a="1"/>
  <c r="K517" i="2" s="1"/>
  <c r="A518" i="2" a="1"/>
  <c r="A518" i="2" s="1"/>
  <c r="C518" i="2" a="1"/>
  <c r="C518" i="2" s="1"/>
  <c r="D518" i="2" s="1"/>
  <c r="K518" i="2" s="1" a="1"/>
  <c r="K518" i="2" s="1"/>
  <c r="A519" i="2" a="1"/>
  <c r="A519" i="2" s="1"/>
  <c r="C519" i="2" a="1"/>
  <c r="C519" i="2" s="1"/>
  <c r="D519" i="2" s="1"/>
  <c r="K519" i="2" s="1" a="1"/>
  <c r="K519" i="2" s="1"/>
  <c r="A520" i="2" a="1"/>
  <c r="A520" i="2" s="1"/>
  <c r="C520" i="2" a="1"/>
  <c r="C520" i="2" s="1"/>
  <c r="D520" i="2" s="1"/>
  <c r="K520" i="2" s="1" a="1"/>
  <c r="K520" i="2" s="1"/>
  <c r="A521" i="2" a="1"/>
  <c r="A521" i="2" s="1"/>
  <c r="C521" i="2" a="1"/>
  <c r="C521" i="2" s="1"/>
  <c r="D521" i="2" s="1"/>
  <c r="K521" i="2" s="1" a="1"/>
  <c r="K521" i="2" s="1"/>
  <c r="A522" i="2" a="1"/>
  <c r="A522" i="2" s="1"/>
  <c r="C522" i="2" a="1"/>
  <c r="C522" i="2" s="1"/>
  <c r="D522" i="2" s="1"/>
  <c r="K522" i="2" s="1" a="1"/>
  <c r="K522" i="2" s="1"/>
  <c r="A523" i="2" a="1"/>
  <c r="A523" i="2" s="1"/>
  <c r="C523" i="2" a="1"/>
  <c r="C523" i="2" s="1"/>
  <c r="D523" i="2" s="1"/>
  <c r="K523" i="2" s="1" a="1"/>
  <c r="K523" i="2" s="1"/>
  <c r="A524" i="2" a="1"/>
  <c r="A524" i="2" s="1"/>
  <c r="C524" i="2" a="1"/>
  <c r="C524" i="2" s="1"/>
  <c r="D524" i="2" s="1"/>
  <c r="K524" i="2" s="1" a="1"/>
  <c r="K524" i="2" s="1"/>
  <c r="A525" i="2" a="1"/>
  <c r="A525" i="2" s="1"/>
  <c r="C525" i="2" a="1"/>
  <c r="C525" i="2" s="1"/>
  <c r="D525" i="2" s="1"/>
  <c r="K525" i="2" s="1" a="1"/>
  <c r="K525" i="2" s="1"/>
  <c r="A526" i="2" a="1"/>
  <c r="A526" i="2" s="1"/>
  <c r="C526" i="2" a="1"/>
  <c r="C526" i="2" s="1"/>
  <c r="D526" i="2" s="1"/>
  <c r="K526" i="2" s="1" a="1"/>
  <c r="K526" i="2" s="1"/>
  <c r="A527" i="2" a="1"/>
  <c r="A527" i="2" s="1"/>
  <c r="C527" i="2" a="1"/>
  <c r="C527" i="2" s="1"/>
  <c r="D527" i="2" s="1"/>
  <c r="K527" i="2" s="1" a="1"/>
  <c r="K527" i="2" s="1"/>
  <c r="A528" i="2" a="1"/>
  <c r="A528" i="2" s="1"/>
  <c r="C528" i="2" a="1"/>
  <c r="C528" i="2" s="1"/>
  <c r="D528" i="2" s="1"/>
  <c r="K528" i="2" s="1" a="1"/>
  <c r="K528" i="2" s="1"/>
  <c r="A529" i="2" a="1"/>
  <c r="A529" i="2" s="1"/>
  <c r="C529" i="2" a="1"/>
  <c r="C529" i="2" s="1"/>
  <c r="D529" i="2" s="1"/>
  <c r="K529" i="2" s="1" a="1"/>
  <c r="K529" i="2" s="1"/>
  <c r="A530" i="2" a="1"/>
  <c r="A530" i="2" s="1"/>
  <c r="C530" i="2" a="1"/>
  <c r="C530" i="2" s="1"/>
  <c r="D530" i="2" s="1"/>
  <c r="K530" i="2" s="1" a="1"/>
  <c r="K530" i="2" s="1"/>
  <c r="A531" i="2" a="1"/>
  <c r="A531" i="2" s="1"/>
  <c r="C531" i="2" a="1"/>
  <c r="C531" i="2" s="1"/>
  <c r="D531" i="2" s="1"/>
  <c r="K531" i="2" s="1" a="1"/>
  <c r="K531" i="2" s="1"/>
  <c r="A532" i="2" a="1"/>
  <c r="A532" i="2" s="1"/>
  <c r="C532" i="2" a="1"/>
  <c r="C532" i="2" s="1"/>
  <c r="D532" i="2" s="1"/>
  <c r="K532" i="2" s="1" a="1"/>
  <c r="K532" i="2" s="1"/>
  <c r="A533" i="2" a="1"/>
  <c r="A533" i="2" s="1"/>
  <c r="C533" i="2" a="1"/>
  <c r="C533" i="2" s="1"/>
  <c r="D533" i="2" s="1"/>
  <c r="K533" i="2" s="1" a="1"/>
  <c r="K533" i="2" s="1"/>
  <c r="A534" i="2" a="1"/>
  <c r="A534" i="2" s="1"/>
  <c r="H534" i="2" s="1"/>
  <c r="I534" i="2" s="1"/>
  <c r="C534" i="2" a="1"/>
  <c r="C534" i="2" s="1"/>
  <c r="D534" i="2" s="1"/>
  <c r="K534" i="2" s="1" a="1"/>
  <c r="K534" i="2" s="1"/>
  <c r="A535" i="2" a="1"/>
  <c r="A535" i="2" s="1"/>
  <c r="F535" i="2" s="1"/>
  <c r="G535" i="2" s="1"/>
  <c r="C535" i="2" a="1"/>
  <c r="C535" i="2" s="1"/>
  <c r="D535" i="2" s="1"/>
  <c r="K535" i="2" s="1" a="1"/>
  <c r="K535" i="2" s="1"/>
  <c r="A536" i="2" a="1"/>
  <c r="A536" i="2" s="1"/>
  <c r="C536" i="2" a="1"/>
  <c r="C536" i="2" s="1"/>
  <c r="D536" i="2" s="1"/>
  <c r="K536" i="2" s="1" a="1"/>
  <c r="K536" i="2" s="1"/>
  <c r="A537" i="2" a="1"/>
  <c r="A537" i="2" s="1"/>
  <c r="F537" i="2" s="1"/>
  <c r="G537" i="2" s="1"/>
  <c r="C537" i="2" a="1"/>
  <c r="C537" i="2" s="1"/>
  <c r="D537" i="2" s="1"/>
  <c r="K537" i="2" s="1" a="1"/>
  <c r="K537" i="2" s="1"/>
  <c r="A538" i="2" a="1"/>
  <c r="A538" i="2" s="1"/>
  <c r="B538" i="2" s="1"/>
  <c r="C538" i="2" a="1"/>
  <c r="C538" i="2" s="1"/>
  <c r="D538" i="2" s="1"/>
  <c r="K538" i="2" s="1" a="1"/>
  <c r="K538" i="2" s="1"/>
  <c r="A539" i="2" a="1"/>
  <c r="A539" i="2" s="1"/>
  <c r="F539" i="2" s="1"/>
  <c r="G539" i="2" s="1"/>
  <c r="C539" i="2" a="1"/>
  <c r="C539" i="2" s="1"/>
  <c r="D539" i="2" s="1"/>
  <c r="K539" i="2" s="1" a="1"/>
  <c r="K539" i="2" s="1"/>
  <c r="A540" i="2" a="1"/>
  <c r="A540" i="2" s="1"/>
  <c r="F540" i="2" s="1"/>
  <c r="G540" i="2" s="1"/>
  <c r="C540" i="2" a="1"/>
  <c r="C540" i="2" s="1"/>
  <c r="D540" i="2" s="1"/>
  <c r="K540" i="2" s="1" a="1"/>
  <c r="K540" i="2" s="1"/>
  <c r="A541" i="2" a="1"/>
  <c r="A541" i="2" s="1"/>
  <c r="B541" i="2" s="1"/>
  <c r="C541" i="2" a="1"/>
  <c r="C541" i="2" s="1"/>
  <c r="D541" i="2" s="1"/>
  <c r="K541" i="2" s="1" a="1"/>
  <c r="K541" i="2" s="1"/>
  <c r="A542" i="2" a="1"/>
  <c r="A542" i="2" s="1"/>
  <c r="B542" i="2" s="1"/>
  <c r="C542" i="2" a="1"/>
  <c r="C542" i="2" s="1"/>
  <c r="D542" i="2" s="1"/>
  <c r="K542" i="2" s="1" a="1"/>
  <c r="K542" i="2" s="1"/>
  <c r="A543" i="2" a="1"/>
  <c r="A543" i="2" s="1"/>
  <c r="F543" i="2" s="1"/>
  <c r="G543" i="2" s="1"/>
  <c r="C543" i="2" a="1"/>
  <c r="C543" i="2" s="1"/>
  <c r="D543" i="2" s="1"/>
  <c r="K543" i="2" s="1" a="1"/>
  <c r="K543" i="2" s="1"/>
  <c r="A544" i="2" a="1"/>
  <c r="A544" i="2" s="1"/>
  <c r="B544" i="2" s="1"/>
  <c r="C544" i="2" a="1"/>
  <c r="C544" i="2" s="1"/>
  <c r="D544" i="2" s="1"/>
  <c r="K544" i="2" s="1" a="1"/>
  <c r="K544" i="2" s="1"/>
  <c r="A545" i="2" a="1"/>
  <c r="A545" i="2" s="1"/>
  <c r="B545" i="2" s="1"/>
  <c r="C545" i="2" a="1"/>
  <c r="C545" i="2" s="1"/>
  <c r="D545" i="2" s="1"/>
  <c r="K545" i="2" s="1" a="1"/>
  <c r="K545" i="2" s="1"/>
  <c r="A546" i="2" a="1"/>
  <c r="A546" i="2" s="1"/>
  <c r="H546" i="2" s="1"/>
  <c r="I546" i="2" s="1"/>
  <c r="C546" i="2" a="1"/>
  <c r="C546" i="2" s="1"/>
  <c r="D546" i="2" s="1"/>
  <c r="K546" i="2" s="1" a="1"/>
  <c r="K546" i="2" s="1"/>
  <c r="A547" i="2" a="1"/>
  <c r="A547" i="2" s="1"/>
  <c r="B547" i="2" s="1"/>
  <c r="C547" i="2" a="1"/>
  <c r="C547" i="2" s="1"/>
  <c r="D547" i="2" s="1"/>
  <c r="K547" i="2" s="1" a="1"/>
  <c r="K547" i="2" s="1"/>
  <c r="A548" i="2" a="1"/>
  <c r="A548" i="2" s="1"/>
  <c r="B548" i="2" s="1"/>
  <c r="C548" i="2" a="1"/>
  <c r="C548" i="2" s="1"/>
  <c r="D548" i="2" s="1"/>
  <c r="K548" i="2" s="1" a="1"/>
  <c r="K548" i="2" s="1"/>
  <c r="A549" i="2" a="1"/>
  <c r="A549" i="2" s="1"/>
  <c r="H549" i="2" s="1"/>
  <c r="I549" i="2" s="1"/>
  <c r="C549" i="2" a="1"/>
  <c r="C549" i="2" s="1"/>
  <c r="D549" i="2" s="1"/>
  <c r="K549" i="2" s="1" a="1"/>
  <c r="K549" i="2" s="1"/>
  <c r="A550" i="2" a="1"/>
  <c r="A550" i="2" s="1"/>
  <c r="H550" i="2" s="1"/>
  <c r="I550" i="2" s="1"/>
  <c r="C550" i="2" a="1"/>
  <c r="C550" i="2" s="1"/>
  <c r="D550" i="2" s="1"/>
  <c r="K550" i="2" s="1" a="1"/>
  <c r="K550" i="2" s="1"/>
  <c r="A551" i="2" a="1"/>
  <c r="A551" i="2" s="1"/>
  <c r="B551" i="2" s="1"/>
  <c r="C551" i="2" a="1"/>
  <c r="C551" i="2" s="1"/>
  <c r="D551" i="2" s="1"/>
  <c r="K551" i="2" s="1" a="1"/>
  <c r="K551" i="2" s="1"/>
  <c r="A552" i="2" a="1"/>
  <c r="A552" i="2" s="1"/>
  <c r="H552" i="2" s="1"/>
  <c r="I552" i="2" s="1"/>
  <c r="C552" i="2" a="1"/>
  <c r="C552" i="2" s="1"/>
  <c r="D552" i="2" s="1"/>
  <c r="K552" i="2" s="1" a="1"/>
  <c r="K552" i="2" s="1"/>
  <c r="A553" i="2" a="1"/>
  <c r="A553" i="2" s="1"/>
  <c r="F553" i="2" s="1"/>
  <c r="G553" i="2" s="1"/>
  <c r="C553" i="2" a="1"/>
  <c r="C553" i="2" s="1"/>
  <c r="D553" i="2" s="1"/>
  <c r="K553" i="2" s="1" a="1"/>
  <c r="K553" i="2" s="1"/>
  <c r="A554" i="2" a="1"/>
  <c r="A554" i="2" s="1"/>
  <c r="B554" i="2" s="1"/>
  <c r="C554" i="2" a="1"/>
  <c r="C554" i="2" s="1"/>
  <c r="D554" i="2" s="1"/>
  <c r="K554" i="2" s="1" a="1"/>
  <c r="K554" i="2" s="1"/>
  <c r="A464" i="2" a="1"/>
  <c r="A464" i="2" s="1"/>
  <c r="C464" i="2" a="1"/>
  <c r="C464" i="2" s="1"/>
  <c r="D464" i="2" s="1"/>
  <c r="K464" i="2" s="1" a="1"/>
  <c r="K464" i="2" s="1"/>
  <c r="A465" i="2" a="1"/>
  <c r="A465" i="2" s="1"/>
  <c r="C465" i="2" a="1"/>
  <c r="C465" i="2" s="1"/>
  <c r="D465" i="2" s="1"/>
  <c r="K465" i="2" s="1" a="1"/>
  <c r="K465" i="2" s="1"/>
  <c r="A466" i="2" a="1"/>
  <c r="A466" i="2" s="1"/>
  <c r="C466" i="2" a="1"/>
  <c r="C466" i="2" s="1"/>
  <c r="D466" i="2" s="1"/>
  <c r="K466" i="2" s="1" a="1"/>
  <c r="K466" i="2" s="1"/>
  <c r="A467" i="2" a="1"/>
  <c r="A467" i="2" s="1"/>
  <c r="C467" i="2" a="1"/>
  <c r="C467" i="2" s="1"/>
  <c r="D467" i="2" s="1"/>
  <c r="K467" i="2" s="1" a="1"/>
  <c r="K467" i="2" s="1"/>
  <c r="A468" i="2" a="1"/>
  <c r="A468" i="2" s="1"/>
  <c r="C468" i="2" a="1"/>
  <c r="C468" i="2" s="1"/>
  <c r="D468" i="2" s="1"/>
  <c r="K468" i="2" s="1" a="1"/>
  <c r="K468" i="2" s="1"/>
  <c r="A469" i="2" a="1"/>
  <c r="A469" i="2" s="1"/>
  <c r="C469" i="2" a="1"/>
  <c r="C469" i="2" s="1"/>
  <c r="D469" i="2" s="1"/>
  <c r="K469" i="2" s="1" a="1"/>
  <c r="K469" i="2" s="1"/>
  <c r="A470" i="2" a="1"/>
  <c r="A470" i="2" s="1"/>
  <c r="C470" i="2" a="1"/>
  <c r="C470" i="2" s="1"/>
  <c r="D470" i="2" s="1"/>
  <c r="K470" i="2" s="1" a="1"/>
  <c r="K470" i="2" s="1"/>
  <c r="A471" i="2" a="1"/>
  <c r="A471" i="2" s="1"/>
  <c r="C471" i="2" a="1"/>
  <c r="C471" i="2" s="1"/>
  <c r="D471" i="2" s="1"/>
  <c r="K471" i="2" s="1" a="1"/>
  <c r="K471" i="2" s="1"/>
  <c r="A472" i="2" a="1"/>
  <c r="A472" i="2" s="1"/>
  <c r="B472" i="2" s="1"/>
  <c r="C472" i="2" a="1"/>
  <c r="C472" i="2" s="1"/>
  <c r="D472" i="2" s="1"/>
  <c r="K472" i="2" s="1" a="1"/>
  <c r="K472" i="2" s="1"/>
  <c r="A473" i="2" a="1"/>
  <c r="A473" i="2" s="1"/>
  <c r="C473" i="2" a="1"/>
  <c r="C473" i="2" s="1"/>
  <c r="D473" i="2" s="1"/>
  <c r="K473" i="2" s="1" a="1"/>
  <c r="K473" i="2" s="1"/>
  <c r="A474" i="2" a="1"/>
  <c r="A474" i="2" s="1"/>
  <c r="C474" i="2" a="1"/>
  <c r="C474" i="2" s="1"/>
  <c r="D474" i="2" s="1"/>
  <c r="K474" i="2" s="1" a="1"/>
  <c r="K474" i="2" s="1"/>
  <c r="A475" i="2" a="1"/>
  <c r="A475" i="2" s="1"/>
  <c r="C475" i="2" a="1"/>
  <c r="C475" i="2" s="1"/>
  <c r="D475" i="2" s="1"/>
  <c r="K475" i="2" s="1" a="1"/>
  <c r="K475" i="2" s="1"/>
  <c r="A476" i="2" a="1"/>
  <c r="A476" i="2" s="1"/>
  <c r="C476" i="2" a="1"/>
  <c r="C476" i="2" s="1"/>
  <c r="D476" i="2" s="1"/>
  <c r="K476" i="2" s="1" a="1"/>
  <c r="K476" i="2" s="1"/>
  <c r="A477" i="2" a="1"/>
  <c r="A477" i="2" s="1"/>
  <c r="C477" i="2" a="1"/>
  <c r="C477" i="2" s="1"/>
  <c r="D477" i="2" s="1"/>
  <c r="K477" i="2" s="1" a="1"/>
  <c r="K477" i="2" s="1"/>
  <c r="A478" i="2" a="1"/>
  <c r="A478" i="2" s="1"/>
  <c r="B478" i="2" s="1"/>
  <c r="C478" i="2" a="1"/>
  <c r="C478" i="2" s="1"/>
  <c r="D478" i="2" s="1"/>
  <c r="K478" i="2" s="1" a="1"/>
  <c r="K478" i="2" s="1"/>
  <c r="A479" i="2" a="1"/>
  <c r="A479" i="2" s="1"/>
  <c r="C479" i="2" a="1"/>
  <c r="C479" i="2" s="1"/>
  <c r="D479" i="2" s="1"/>
  <c r="K479" i="2" s="1" a="1"/>
  <c r="K479" i="2" s="1"/>
  <c r="A480" i="2" a="1"/>
  <c r="A480" i="2" s="1"/>
  <c r="C480" i="2" a="1"/>
  <c r="C480" i="2" s="1"/>
  <c r="D480" i="2" s="1"/>
  <c r="K480" i="2" s="1" a="1"/>
  <c r="K480" i="2" s="1"/>
  <c r="A481" i="2" a="1"/>
  <c r="A481" i="2" s="1"/>
  <c r="C481" i="2" a="1"/>
  <c r="C481" i="2" s="1"/>
  <c r="D481" i="2" s="1"/>
  <c r="K481" i="2" s="1" a="1"/>
  <c r="K481" i="2" s="1"/>
  <c r="A482" i="2" a="1"/>
  <c r="A482" i="2" s="1"/>
  <c r="C482" i="2" a="1"/>
  <c r="C482" i="2" s="1"/>
  <c r="D482" i="2" s="1"/>
  <c r="K482" i="2" s="1" a="1"/>
  <c r="K482" i="2" s="1"/>
  <c r="A483" i="2" a="1"/>
  <c r="A483" i="2" s="1"/>
  <c r="C483" i="2" a="1"/>
  <c r="C483" i="2" s="1"/>
  <c r="D483" i="2" s="1"/>
  <c r="K483" i="2" s="1" a="1"/>
  <c r="K483" i="2" s="1"/>
  <c r="A484" i="2" a="1"/>
  <c r="A484" i="2" s="1"/>
  <c r="F484" i="2" s="1"/>
  <c r="G484" i="2" s="1"/>
  <c r="C484" i="2" a="1"/>
  <c r="C484" i="2" s="1"/>
  <c r="D484" i="2" s="1"/>
  <c r="K484" i="2" s="1" a="1"/>
  <c r="K484" i="2" s="1"/>
  <c r="A485" i="2" a="1"/>
  <c r="A485" i="2" s="1"/>
  <c r="C485" i="2" a="1"/>
  <c r="C485" i="2" s="1"/>
  <c r="D485" i="2" s="1"/>
  <c r="K485" i="2" s="1" a="1"/>
  <c r="K485" i="2" s="1"/>
  <c r="A486" i="2" a="1"/>
  <c r="A486" i="2" s="1"/>
  <c r="C486" i="2" a="1"/>
  <c r="C486" i="2" s="1"/>
  <c r="D486" i="2" s="1"/>
  <c r="K486" i="2" s="1" a="1"/>
  <c r="K486" i="2" s="1"/>
  <c r="A487" i="2" a="1"/>
  <c r="A487" i="2" s="1"/>
  <c r="C487" i="2" a="1"/>
  <c r="C487" i="2" s="1"/>
  <c r="D487" i="2" s="1"/>
  <c r="K487" i="2" s="1" a="1"/>
  <c r="K487" i="2" s="1"/>
  <c r="A488" i="2" a="1"/>
  <c r="A488" i="2" s="1"/>
  <c r="C488" i="2" a="1"/>
  <c r="C488" i="2" s="1"/>
  <c r="D488" i="2" s="1"/>
  <c r="K488" i="2" s="1" a="1"/>
  <c r="K488" i="2" s="1"/>
  <c r="A489" i="2" a="1"/>
  <c r="A489" i="2" s="1"/>
  <c r="C489" i="2" a="1"/>
  <c r="C489" i="2" s="1"/>
  <c r="D489" i="2" s="1"/>
  <c r="K489" i="2" s="1" a="1"/>
  <c r="K489" i="2" s="1"/>
  <c r="A490" i="2" a="1"/>
  <c r="A490" i="2" s="1"/>
  <c r="B490" i="2" s="1"/>
  <c r="C490" i="2" a="1"/>
  <c r="C490" i="2" s="1"/>
  <c r="D490" i="2" s="1"/>
  <c r="K490" i="2" s="1" a="1"/>
  <c r="K490" i="2" s="1"/>
  <c r="A491" i="2" a="1"/>
  <c r="A491" i="2" s="1"/>
  <c r="C491" i="2" a="1"/>
  <c r="C491" i="2" s="1"/>
  <c r="D491" i="2" s="1"/>
  <c r="K491" i="2" s="1" a="1"/>
  <c r="K491" i="2" s="1"/>
  <c r="A380" i="2" a="1"/>
  <c r="A380" i="2" s="1"/>
  <c r="C380" i="2" a="1"/>
  <c r="C380" i="2" s="1"/>
  <c r="D380" i="2" s="1"/>
  <c r="K380" i="2" s="1" a="1"/>
  <c r="K380" i="2" s="1"/>
  <c r="A381" i="2" a="1"/>
  <c r="A381" i="2" s="1"/>
  <c r="C381" i="2" a="1"/>
  <c r="C381" i="2" s="1"/>
  <c r="D381" i="2" s="1"/>
  <c r="K381" i="2" s="1" a="1"/>
  <c r="K381" i="2" s="1"/>
  <c r="A382" i="2" a="1"/>
  <c r="A382" i="2" s="1"/>
  <c r="H382" i="2" s="1"/>
  <c r="I382" i="2" s="1"/>
  <c r="C382" i="2" a="1"/>
  <c r="C382" i="2" s="1"/>
  <c r="D382" i="2" s="1"/>
  <c r="K382" i="2" s="1" a="1"/>
  <c r="K382" i="2" s="1"/>
  <c r="A383" i="2" a="1"/>
  <c r="A383" i="2" s="1"/>
  <c r="B383" i="2" s="1"/>
  <c r="C383" i="2" a="1"/>
  <c r="C383" i="2" s="1"/>
  <c r="D383" i="2" s="1"/>
  <c r="K383" i="2" s="1" a="1"/>
  <c r="K383" i="2" s="1"/>
  <c r="A384" i="2" a="1"/>
  <c r="A384" i="2" s="1"/>
  <c r="B384" i="2" s="1"/>
  <c r="C384" i="2" a="1"/>
  <c r="C384" i="2" s="1"/>
  <c r="D384" i="2" s="1"/>
  <c r="K384" i="2" s="1" a="1"/>
  <c r="K384" i="2" s="1"/>
  <c r="A385" i="2" a="1"/>
  <c r="A385" i="2" s="1"/>
  <c r="C385" i="2" a="1"/>
  <c r="C385" i="2" s="1"/>
  <c r="D385" i="2" s="1"/>
  <c r="K385" i="2" s="1" a="1"/>
  <c r="K385" i="2" s="1"/>
  <c r="A386" i="2" a="1"/>
  <c r="A386" i="2" s="1"/>
  <c r="B386" i="2" s="1"/>
  <c r="C386" i="2" a="1"/>
  <c r="C386" i="2" s="1"/>
  <c r="D386" i="2" s="1"/>
  <c r="K386" i="2" s="1" a="1"/>
  <c r="K386" i="2" s="1"/>
  <c r="A387" i="2" a="1"/>
  <c r="A387" i="2" s="1"/>
  <c r="B387" i="2" s="1"/>
  <c r="C387" i="2" a="1"/>
  <c r="C387" i="2" s="1"/>
  <c r="D387" i="2" s="1"/>
  <c r="K387" i="2" s="1" a="1"/>
  <c r="K387" i="2" s="1"/>
  <c r="A388" i="2" a="1"/>
  <c r="A388" i="2" s="1"/>
  <c r="F388" i="2" s="1"/>
  <c r="G388" i="2" s="1"/>
  <c r="C388" i="2" a="1"/>
  <c r="C388" i="2" s="1"/>
  <c r="D388" i="2" s="1"/>
  <c r="K388" i="2" s="1" a="1"/>
  <c r="K388" i="2" s="1"/>
  <c r="A389" i="2" a="1"/>
  <c r="A389" i="2" s="1"/>
  <c r="B389" i="2" s="1"/>
  <c r="C389" i="2" a="1"/>
  <c r="C389" i="2" s="1"/>
  <c r="D389" i="2" s="1"/>
  <c r="K389" i="2" s="1" a="1"/>
  <c r="K389" i="2" s="1"/>
  <c r="A390" i="2" a="1"/>
  <c r="A390" i="2" s="1"/>
  <c r="B390" i="2" s="1"/>
  <c r="C390" i="2" a="1"/>
  <c r="C390" i="2" s="1"/>
  <c r="D390" i="2" s="1"/>
  <c r="K390" i="2" s="1" a="1"/>
  <c r="K390" i="2" s="1"/>
  <c r="A391" i="2" a="1"/>
  <c r="A391" i="2" s="1"/>
  <c r="C391" i="2" a="1"/>
  <c r="C391" i="2" s="1"/>
  <c r="D391" i="2" s="1"/>
  <c r="K391" i="2" s="1" a="1"/>
  <c r="K391" i="2" s="1"/>
  <c r="A392" i="2" a="1"/>
  <c r="A392" i="2" s="1"/>
  <c r="F392" i="2" s="1"/>
  <c r="G392" i="2" s="1"/>
  <c r="C392" i="2" a="1"/>
  <c r="C392" i="2" s="1"/>
  <c r="D392" i="2" s="1"/>
  <c r="K392" i="2" s="1" a="1"/>
  <c r="K392" i="2" s="1"/>
  <c r="A393" i="2" a="1"/>
  <c r="A393" i="2" s="1"/>
  <c r="B393" i="2" s="1"/>
  <c r="C393" i="2" a="1"/>
  <c r="C393" i="2" s="1"/>
  <c r="D393" i="2" s="1"/>
  <c r="K393" i="2" s="1" a="1"/>
  <c r="K393" i="2" s="1"/>
  <c r="A394" i="2" a="1"/>
  <c r="A394" i="2" s="1"/>
  <c r="B394" i="2" s="1"/>
  <c r="C394" i="2" a="1"/>
  <c r="C394" i="2" s="1"/>
  <c r="D394" i="2" s="1"/>
  <c r="K394" i="2" s="1" a="1"/>
  <c r="K394" i="2" s="1"/>
  <c r="A395" i="2" a="1"/>
  <c r="A395" i="2" s="1"/>
  <c r="B395" i="2" s="1"/>
  <c r="C395" i="2" a="1"/>
  <c r="C395" i="2" s="1"/>
  <c r="D395" i="2" s="1"/>
  <c r="K395" i="2" s="1" a="1"/>
  <c r="K395" i="2" s="1"/>
  <c r="A396" i="2" a="1"/>
  <c r="A396" i="2" s="1"/>
  <c r="F396" i="2" s="1"/>
  <c r="G396" i="2" s="1"/>
  <c r="C396" i="2" a="1"/>
  <c r="C396" i="2" s="1"/>
  <c r="D396" i="2" s="1"/>
  <c r="K396" i="2" s="1" a="1"/>
  <c r="K396" i="2" s="1"/>
  <c r="A397" i="2" a="1"/>
  <c r="A397" i="2" s="1"/>
  <c r="B397" i="2" s="1"/>
  <c r="C397" i="2" a="1"/>
  <c r="C397" i="2" s="1"/>
  <c r="D397" i="2" s="1"/>
  <c r="K397" i="2" s="1" a="1"/>
  <c r="K397" i="2" s="1"/>
  <c r="A398" i="2" a="1"/>
  <c r="A398" i="2" s="1"/>
  <c r="B398" i="2" s="1"/>
  <c r="C398" i="2" a="1"/>
  <c r="C398" i="2" s="1"/>
  <c r="D398" i="2" s="1"/>
  <c r="K398" i="2" s="1" a="1"/>
  <c r="K398" i="2" s="1"/>
  <c r="A399" i="2" a="1"/>
  <c r="A399" i="2" s="1"/>
  <c r="B399" i="2" s="1"/>
  <c r="C399" i="2" a="1"/>
  <c r="C399" i="2" s="1"/>
  <c r="D399" i="2" s="1"/>
  <c r="K399" i="2" s="1" a="1"/>
  <c r="K399" i="2" s="1"/>
  <c r="A400" i="2" a="1"/>
  <c r="A400" i="2" s="1"/>
  <c r="F400" i="2" s="1"/>
  <c r="G400" i="2" s="1"/>
  <c r="C400" i="2" a="1"/>
  <c r="C400" i="2" s="1"/>
  <c r="D400" i="2" s="1"/>
  <c r="K400" i="2" s="1" a="1"/>
  <c r="K400" i="2" s="1"/>
  <c r="A401" i="2" a="1"/>
  <c r="A401" i="2" s="1"/>
  <c r="B401" i="2" s="1"/>
  <c r="C401" i="2" a="1"/>
  <c r="C401" i="2" s="1"/>
  <c r="D401" i="2" s="1"/>
  <c r="K401" i="2" s="1" a="1"/>
  <c r="K401" i="2" s="1"/>
  <c r="A402" i="2" a="1"/>
  <c r="A402" i="2" s="1"/>
  <c r="B402" i="2" s="1"/>
  <c r="C402" i="2" a="1"/>
  <c r="C402" i="2" s="1"/>
  <c r="D402" i="2" s="1"/>
  <c r="K402" i="2" s="1" a="1"/>
  <c r="K402" i="2" s="1"/>
  <c r="A403" i="2" a="1"/>
  <c r="A403" i="2" s="1"/>
  <c r="B403" i="2" s="1"/>
  <c r="C403" i="2" a="1"/>
  <c r="C403" i="2" s="1"/>
  <c r="D403" i="2" s="1"/>
  <c r="K403" i="2" s="1" a="1"/>
  <c r="K403" i="2" s="1"/>
  <c r="A404" i="2" a="1"/>
  <c r="A404" i="2" s="1"/>
  <c r="F404" i="2" s="1"/>
  <c r="G404" i="2" s="1"/>
  <c r="C404" i="2" a="1"/>
  <c r="C404" i="2" s="1"/>
  <c r="D404" i="2" s="1"/>
  <c r="K404" i="2" s="1" a="1"/>
  <c r="K404" i="2" s="1"/>
  <c r="A405" i="2" a="1"/>
  <c r="A405" i="2" s="1"/>
  <c r="B405" i="2" s="1"/>
  <c r="C405" i="2" a="1"/>
  <c r="C405" i="2" s="1"/>
  <c r="D405" i="2" s="1"/>
  <c r="K405" i="2" s="1" a="1"/>
  <c r="K405" i="2" s="1"/>
  <c r="A406" i="2" a="1"/>
  <c r="A406" i="2" s="1"/>
  <c r="B406" i="2" s="1"/>
  <c r="C406" i="2" a="1"/>
  <c r="C406" i="2" s="1"/>
  <c r="D406" i="2" s="1"/>
  <c r="K406" i="2" s="1" a="1"/>
  <c r="K406" i="2" s="1"/>
  <c r="A407" i="2" a="1"/>
  <c r="A407" i="2" s="1"/>
  <c r="B407" i="2" s="1"/>
  <c r="C407" i="2" a="1"/>
  <c r="C407" i="2" s="1"/>
  <c r="D407" i="2" s="1"/>
  <c r="K407" i="2" s="1" a="1"/>
  <c r="K407" i="2" s="1"/>
  <c r="A408" i="2" a="1"/>
  <c r="A408" i="2" s="1"/>
  <c r="F408" i="2" s="1"/>
  <c r="G408" i="2" s="1"/>
  <c r="C408" i="2" a="1"/>
  <c r="C408" i="2" s="1"/>
  <c r="D408" i="2" s="1"/>
  <c r="K408" i="2" s="1" a="1"/>
  <c r="K408" i="2" s="1"/>
  <c r="A409" i="2" a="1"/>
  <c r="A409" i="2" s="1"/>
  <c r="B409" i="2" s="1"/>
  <c r="C409" i="2" a="1"/>
  <c r="C409" i="2" s="1"/>
  <c r="D409" i="2" s="1"/>
  <c r="K409" i="2" s="1" a="1"/>
  <c r="K409" i="2" s="1"/>
  <c r="A410" i="2" a="1"/>
  <c r="A410" i="2" s="1"/>
  <c r="B410" i="2" s="1"/>
  <c r="C410" i="2" a="1"/>
  <c r="C410" i="2" s="1"/>
  <c r="D410" i="2" s="1"/>
  <c r="K410" i="2" s="1" a="1"/>
  <c r="K410" i="2" s="1"/>
  <c r="A411" i="2" a="1"/>
  <c r="A411" i="2" s="1"/>
  <c r="B411" i="2" s="1"/>
  <c r="C411" i="2" a="1"/>
  <c r="C411" i="2" s="1"/>
  <c r="D411" i="2" s="1"/>
  <c r="K411" i="2" s="1" a="1"/>
  <c r="K411" i="2" s="1"/>
  <c r="A412" i="2" a="1"/>
  <c r="A412" i="2" s="1"/>
  <c r="F412" i="2" s="1"/>
  <c r="G412" i="2" s="1"/>
  <c r="C412" i="2" a="1"/>
  <c r="C412" i="2" s="1"/>
  <c r="D412" i="2" s="1"/>
  <c r="K412" i="2" s="1" a="1"/>
  <c r="K412" i="2" s="1"/>
  <c r="A413" i="2" a="1"/>
  <c r="A413" i="2" s="1"/>
  <c r="B413" i="2" s="1"/>
  <c r="C413" i="2" a="1"/>
  <c r="C413" i="2" s="1"/>
  <c r="D413" i="2" s="1"/>
  <c r="K413" i="2" s="1" a="1"/>
  <c r="K413" i="2" s="1"/>
  <c r="A414" i="2" a="1"/>
  <c r="A414" i="2" s="1"/>
  <c r="B414" i="2" s="1"/>
  <c r="C414" i="2" a="1"/>
  <c r="C414" i="2" s="1"/>
  <c r="D414" i="2" s="1"/>
  <c r="K414" i="2" s="1" a="1"/>
  <c r="K414" i="2" s="1"/>
  <c r="A415" i="2" a="1"/>
  <c r="A415" i="2" s="1"/>
  <c r="B415" i="2" s="1"/>
  <c r="C415" i="2" a="1"/>
  <c r="C415" i="2" s="1"/>
  <c r="D415" i="2" s="1"/>
  <c r="K415" i="2" s="1" a="1"/>
  <c r="K415" i="2" s="1"/>
  <c r="A416" i="2" a="1"/>
  <c r="A416" i="2" s="1"/>
  <c r="F416" i="2" s="1"/>
  <c r="G416" i="2" s="1"/>
  <c r="C416" i="2" a="1"/>
  <c r="C416" i="2" s="1"/>
  <c r="D416" i="2" s="1"/>
  <c r="K416" i="2" s="1" a="1"/>
  <c r="K416" i="2" s="1"/>
  <c r="A417" i="2" a="1"/>
  <c r="A417" i="2" s="1"/>
  <c r="B417" i="2" s="1"/>
  <c r="C417" i="2" a="1"/>
  <c r="C417" i="2" s="1"/>
  <c r="D417" i="2" s="1"/>
  <c r="K417" i="2" s="1" a="1"/>
  <c r="K417" i="2" s="1"/>
  <c r="A418" i="2" a="1"/>
  <c r="A418" i="2" s="1"/>
  <c r="B418" i="2" s="1"/>
  <c r="C418" i="2" a="1"/>
  <c r="C418" i="2" s="1"/>
  <c r="D418" i="2" s="1"/>
  <c r="K418" i="2" s="1" a="1"/>
  <c r="K418" i="2" s="1"/>
  <c r="A419" i="2" a="1"/>
  <c r="A419" i="2" s="1"/>
  <c r="B419" i="2" s="1"/>
  <c r="C419" i="2" a="1"/>
  <c r="C419" i="2" s="1"/>
  <c r="D419" i="2" s="1"/>
  <c r="K419" i="2" s="1" a="1"/>
  <c r="K419" i="2" s="1"/>
  <c r="A420" i="2" a="1"/>
  <c r="A420" i="2" s="1"/>
  <c r="F420" i="2" s="1"/>
  <c r="G420" i="2" s="1"/>
  <c r="C420" i="2" a="1"/>
  <c r="C420" i="2" s="1"/>
  <c r="D420" i="2" s="1"/>
  <c r="K420" i="2" s="1" a="1"/>
  <c r="K420" i="2" s="1"/>
  <c r="A421" i="2" a="1"/>
  <c r="A421" i="2" s="1"/>
  <c r="B421" i="2" s="1"/>
  <c r="C421" i="2" a="1"/>
  <c r="C421" i="2" s="1"/>
  <c r="D421" i="2" s="1"/>
  <c r="K421" i="2" s="1" a="1"/>
  <c r="K421" i="2" s="1"/>
  <c r="A422" i="2" a="1"/>
  <c r="A422" i="2" s="1"/>
  <c r="B422" i="2" s="1"/>
  <c r="C422" i="2" a="1"/>
  <c r="C422" i="2" s="1"/>
  <c r="D422" i="2" s="1"/>
  <c r="K422" i="2" s="1" a="1"/>
  <c r="K422" i="2" s="1"/>
  <c r="A423" i="2" a="1"/>
  <c r="A423" i="2" s="1"/>
  <c r="B423" i="2" s="1"/>
  <c r="C423" i="2" a="1"/>
  <c r="C423" i="2" s="1"/>
  <c r="D423" i="2" s="1"/>
  <c r="K423" i="2" s="1" a="1"/>
  <c r="K423" i="2" s="1"/>
  <c r="A424" i="2" a="1"/>
  <c r="A424" i="2" s="1"/>
  <c r="F424" i="2" s="1"/>
  <c r="G424" i="2" s="1"/>
  <c r="C424" i="2" a="1"/>
  <c r="C424" i="2" s="1"/>
  <c r="D424" i="2" s="1"/>
  <c r="K424" i="2" s="1" a="1"/>
  <c r="K424" i="2" s="1"/>
  <c r="A425" i="2" a="1"/>
  <c r="A425" i="2" s="1"/>
  <c r="B425" i="2" s="1"/>
  <c r="C425" i="2" a="1"/>
  <c r="C425" i="2" s="1"/>
  <c r="D425" i="2" s="1"/>
  <c r="K425" i="2" s="1" a="1"/>
  <c r="K425" i="2" s="1"/>
  <c r="A426" i="2" a="1"/>
  <c r="A426" i="2" s="1"/>
  <c r="B426" i="2" s="1"/>
  <c r="C426" i="2" a="1"/>
  <c r="C426" i="2" s="1"/>
  <c r="D426" i="2" s="1"/>
  <c r="K426" i="2" s="1" a="1"/>
  <c r="K426" i="2" s="1"/>
  <c r="A427" i="2" a="1"/>
  <c r="A427" i="2" s="1"/>
  <c r="B427" i="2" s="1"/>
  <c r="C427" i="2" a="1"/>
  <c r="C427" i="2" s="1"/>
  <c r="D427" i="2" s="1"/>
  <c r="K427" i="2" s="1" a="1"/>
  <c r="K427" i="2" s="1"/>
  <c r="A428" i="2" a="1"/>
  <c r="A428" i="2" s="1"/>
  <c r="F428" i="2" s="1"/>
  <c r="G428" i="2" s="1"/>
  <c r="C428" i="2" a="1"/>
  <c r="C428" i="2" s="1"/>
  <c r="D428" i="2" s="1"/>
  <c r="K428" i="2" s="1" a="1"/>
  <c r="K428" i="2" s="1"/>
  <c r="A429" i="2" a="1"/>
  <c r="A429" i="2" s="1"/>
  <c r="B429" i="2" s="1"/>
  <c r="C429" i="2" a="1"/>
  <c r="C429" i="2" s="1"/>
  <c r="D429" i="2" s="1"/>
  <c r="K429" i="2" s="1" a="1"/>
  <c r="K429" i="2" s="1"/>
  <c r="A430" i="2" a="1"/>
  <c r="A430" i="2" s="1"/>
  <c r="B430" i="2" s="1"/>
  <c r="C430" i="2" a="1"/>
  <c r="C430" i="2" s="1"/>
  <c r="D430" i="2" s="1"/>
  <c r="K430" i="2" s="1" a="1"/>
  <c r="K430" i="2" s="1"/>
  <c r="A431" i="2" a="1"/>
  <c r="A431" i="2" s="1"/>
  <c r="B431" i="2" s="1"/>
  <c r="C431" i="2" a="1"/>
  <c r="C431" i="2" s="1"/>
  <c r="D431" i="2" s="1"/>
  <c r="K431" i="2" s="1" a="1"/>
  <c r="K431" i="2" s="1"/>
  <c r="A432" i="2" a="1"/>
  <c r="A432" i="2" s="1"/>
  <c r="F432" i="2" s="1"/>
  <c r="G432" i="2" s="1"/>
  <c r="C432" i="2" a="1"/>
  <c r="C432" i="2" s="1"/>
  <c r="D432" i="2" s="1"/>
  <c r="K432" i="2" s="1" a="1"/>
  <c r="K432" i="2" s="1"/>
  <c r="A433" i="2" a="1"/>
  <c r="A433" i="2" s="1"/>
  <c r="B433" i="2" s="1"/>
  <c r="C433" i="2" a="1"/>
  <c r="C433" i="2" s="1"/>
  <c r="D433" i="2" s="1"/>
  <c r="K433" i="2" s="1" a="1"/>
  <c r="K433" i="2" s="1"/>
  <c r="A434" i="2" a="1"/>
  <c r="A434" i="2" s="1"/>
  <c r="B434" i="2" s="1"/>
  <c r="C434" i="2" a="1"/>
  <c r="C434" i="2" s="1"/>
  <c r="D434" i="2" s="1"/>
  <c r="K434" i="2" s="1" a="1"/>
  <c r="K434" i="2" s="1"/>
  <c r="A435" i="2" a="1"/>
  <c r="A435" i="2" s="1"/>
  <c r="B435" i="2" s="1"/>
  <c r="C435" i="2" a="1"/>
  <c r="C435" i="2" s="1"/>
  <c r="D435" i="2" s="1"/>
  <c r="K435" i="2" s="1" a="1"/>
  <c r="K435" i="2" s="1"/>
  <c r="A436" i="2" a="1"/>
  <c r="A436" i="2" s="1"/>
  <c r="F436" i="2" s="1"/>
  <c r="G436" i="2" s="1"/>
  <c r="C436" i="2" a="1"/>
  <c r="C436" i="2" s="1"/>
  <c r="D436" i="2" s="1"/>
  <c r="K436" i="2" s="1" a="1"/>
  <c r="K436" i="2" s="1"/>
  <c r="A437" i="2" a="1"/>
  <c r="A437" i="2" s="1"/>
  <c r="B437" i="2" s="1"/>
  <c r="C437" i="2" a="1"/>
  <c r="C437" i="2" s="1"/>
  <c r="D437" i="2" s="1"/>
  <c r="K437" i="2" s="1" a="1"/>
  <c r="K437" i="2" s="1"/>
  <c r="A438" i="2" a="1"/>
  <c r="A438" i="2" s="1"/>
  <c r="B438" i="2" s="1"/>
  <c r="C438" i="2" a="1"/>
  <c r="C438" i="2" s="1"/>
  <c r="D438" i="2" s="1"/>
  <c r="K438" i="2" s="1" a="1"/>
  <c r="K438" i="2" s="1"/>
  <c r="A439" i="2" a="1"/>
  <c r="A439" i="2" s="1"/>
  <c r="B439" i="2" s="1"/>
  <c r="C439" i="2" a="1"/>
  <c r="C439" i="2" s="1"/>
  <c r="D439" i="2" s="1"/>
  <c r="K439" i="2" s="1" a="1"/>
  <c r="K439" i="2" s="1"/>
  <c r="A440" i="2" a="1"/>
  <c r="A440" i="2" s="1"/>
  <c r="F440" i="2" s="1"/>
  <c r="G440" i="2" s="1"/>
  <c r="C440" i="2" a="1"/>
  <c r="C440" i="2" s="1"/>
  <c r="D440" i="2" s="1"/>
  <c r="K440" i="2" s="1" a="1"/>
  <c r="K440" i="2" s="1"/>
  <c r="A441" i="2" a="1"/>
  <c r="A441" i="2" s="1"/>
  <c r="B441" i="2" s="1"/>
  <c r="C441" i="2" a="1"/>
  <c r="C441" i="2" s="1"/>
  <c r="D441" i="2" s="1"/>
  <c r="K441" i="2" s="1" a="1"/>
  <c r="K441" i="2" s="1"/>
  <c r="A442" i="2" a="1"/>
  <c r="A442" i="2" s="1"/>
  <c r="B442" i="2" s="1"/>
  <c r="C442" i="2" a="1"/>
  <c r="C442" i="2" s="1"/>
  <c r="D442" i="2" s="1"/>
  <c r="K442" i="2" s="1" a="1"/>
  <c r="K442" i="2" s="1"/>
  <c r="A443" i="2" a="1"/>
  <c r="A443" i="2" s="1"/>
  <c r="B443" i="2" s="1"/>
  <c r="C443" i="2" a="1"/>
  <c r="C443" i="2" s="1"/>
  <c r="D443" i="2" s="1"/>
  <c r="K443" i="2" s="1" a="1"/>
  <c r="K443" i="2" s="1"/>
  <c r="A444" i="2" a="1"/>
  <c r="A444" i="2" s="1"/>
  <c r="F444" i="2" s="1"/>
  <c r="G444" i="2" s="1"/>
  <c r="C444" i="2" a="1"/>
  <c r="C444" i="2" s="1"/>
  <c r="D444" i="2" s="1"/>
  <c r="K444" i="2" s="1" a="1"/>
  <c r="K444" i="2" s="1"/>
  <c r="A445" i="2" a="1"/>
  <c r="A445" i="2" s="1"/>
  <c r="B445" i="2" s="1"/>
  <c r="C445" i="2" a="1"/>
  <c r="C445" i="2" s="1"/>
  <c r="D445" i="2" s="1"/>
  <c r="K445" i="2" s="1" a="1"/>
  <c r="K445" i="2" s="1"/>
  <c r="A446" i="2" a="1"/>
  <c r="A446" i="2" s="1"/>
  <c r="B446" i="2" s="1"/>
  <c r="C446" i="2" a="1"/>
  <c r="C446" i="2" s="1"/>
  <c r="D446" i="2" s="1"/>
  <c r="K446" i="2" s="1" a="1"/>
  <c r="K446" i="2" s="1"/>
  <c r="A447" i="2" a="1"/>
  <c r="A447" i="2" s="1"/>
  <c r="B447" i="2" s="1"/>
  <c r="C447" i="2" a="1"/>
  <c r="C447" i="2" s="1"/>
  <c r="D447" i="2" s="1"/>
  <c r="K447" i="2" s="1" a="1"/>
  <c r="K447" i="2" s="1"/>
  <c r="A448" i="2" a="1"/>
  <c r="A448" i="2" s="1"/>
  <c r="F448" i="2" s="1"/>
  <c r="G448" i="2" s="1"/>
  <c r="C448" i="2" a="1"/>
  <c r="C448" i="2" s="1"/>
  <c r="D448" i="2" s="1"/>
  <c r="K448" i="2" s="1" a="1"/>
  <c r="K448" i="2" s="1"/>
  <c r="A449" i="2" a="1"/>
  <c r="A449" i="2" s="1"/>
  <c r="B449" i="2" s="1"/>
  <c r="C449" i="2" a="1"/>
  <c r="C449" i="2" s="1"/>
  <c r="D449" i="2" s="1"/>
  <c r="K449" i="2" s="1" a="1"/>
  <c r="K449" i="2" s="1"/>
  <c r="A450" i="2" a="1"/>
  <c r="A450" i="2" s="1"/>
  <c r="B450" i="2" s="1"/>
  <c r="C450" i="2" a="1"/>
  <c r="C450" i="2" s="1"/>
  <c r="D450" i="2" s="1"/>
  <c r="K450" i="2" s="1" a="1"/>
  <c r="K450" i="2" s="1"/>
  <c r="A451" i="2" a="1"/>
  <c r="A451" i="2" s="1"/>
  <c r="B451" i="2" s="1"/>
  <c r="C451" i="2" a="1"/>
  <c r="C451" i="2" s="1"/>
  <c r="D451" i="2" s="1"/>
  <c r="K451" i="2" s="1" a="1"/>
  <c r="K451" i="2" s="1"/>
  <c r="A452" i="2" a="1"/>
  <c r="A452" i="2" s="1"/>
  <c r="F452" i="2" s="1"/>
  <c r="G452" i="2" s="1"/>
  <c r="C452" i="2" a="1"/>
  <c r="C452" i="2" s="1"/>
  <c r="D452" i="2" s="1"/>
  <c r="K452" i="2" s="1" a="1"/>
  <c r="K452" i="2" s="1"/>
  <c r="A453" i="2" a="1"/>
  <c r="A453" i="2" s="1"/>
  <c r="B453" i="2" s="1"/>
  <c r="C453" i="2" a="1"/>
  <c r="C453" i="2" s="1"/>
  <c r="D453" i="2" s="1"/>
  <c r="K453" i="2" s="1" a="1"/>
  <c r="K453" i="2" s="1"/>
  <c r="A454" i="2" a="1"/>
  <c r="A454" i="2" s="1"/>
  <c r="B454" i="2" s="1"/>
  <c r="C454" i="2" a="1"/>
  <c r="C454" i="2" s="1"/>
  <c r="D454" i="2" s="1"/>
  <c r="K454" i="2" s="1" a="1"/>
  <c r="K454" i="2" s="1"/>
  <c r="A455" i="2" a="1"/>
  <c r="A455" i="2" s="1"/>
  <c r="B455" i="2" s="1"/>
  <c r="C455" i="2" a="1"/>
  <c r="C455" i="2" s="1"/>
  <c r="D455" i="2" s="1"/>
  <c r="K455" i="2" s="1" a="1"/>
  <c r="K455" i="2" s="1"/>
  <c r="A456" i="2" a="1"/>
  <c r="A456" i="2" s="1"/>
  <c r="F456" i="2" s="1"/>
  <c r="G456" i="2" s="1"/>
  <c r="C456" i="2" a="1"/>
  <c r="C456" i="2" s="1"/>
  <c r="D456" i="2" s="1"/>
  <c r="K456" i="2" s="1" a="1"/>
  <c r="K456" i="2" s="1"/>
  <c r="A457" i="2" a="1"/>
  <c r="A457" i="2" s="1"/>
  <c r="B457" i="2" s="1"/>
  <c r="C457" i="2" a="1"/>
  <c r="C457" i="2" s="1"/>
  <c r="D457" i="2" s="1"/>
  <c r="K457" i="2" s="1" a="1"/>
  <c r="K457" i="2" s="1"/>
  <c r="A458" i="2" a="1"/>
  <c r="A458" i="2" s="1"/>
  <c r="B458" i="2" s="1"/>
  <c r="C458" i="2" a="1"/>
  <c r="C458" i="2" s="1"/>
  <c r="D458" i="2" s="1"/>
  <c r="K458" i="2" s="1" a="1"/>
  <c r="K458" i="2" s="1"/>
  <c r="A459" i="2" a="1"/>
  <c r="A459" i="2" s="1"/>
  <c r="B459" i="2" s="1"/>
  <c r="C459" i="2" a="1"/>
  <c r="C459" i="2" s="1"/>
  <c r="D459" i="2" s="1"/>
  <c r="K459" i="2" s="1" a="1"/>
  <c r="K459" i="2" s="1"/>
  <c r="A460" i="2" a="1"/>
  <c r="A460" i="2" s="1"/>
  <c r="F460" i="2" s="1"/>
  <c r="G460" i="2" s="1"/>
  <c r="C460" i="2" a="1"/>
  <c r="C460" i="2" s="1"/>
  <c r="D460" i="2" s="1"/>
  <c r="K460" i="2" s="1" a="1"/>
  <c r="K460" i="2" s="1"/>
  <c r="A461" i="2" a="1"/>
  <c r="A461" i="2" s="1"/>
  <c r="B461" i="2" s="1"/>
  <c r="C461" i="2" a="1"/>
  <c r="C461" i="2" s="1"/>
  <c r="D461" i="2" s="1"/>
  <c r="K461" i="2" s="1" a="1"/>
  <c r="K461" i="2" s="1"/>
  <c r="A462" i="2" a="1"/>
  <c r="A462" i="2" s="1"/>
  <c r="B462" i="2" s="1"/>
  <c r="C462" i="2" a="1"/>
  <c r="C462" i="2" s="1"/>
  <c r="D462" i="2" s="1"/>
  <c r="K462" i="2" s="1" a="1"/>
  <c r="K462" i="2" s="1"/>
  <c r="A463" i="2" a="1"/>
  <c r="A463" i="2" s="1"/>
  <c r="B463" i="2" s="1"/>
  <c r="C463" i="2" a="1"/>
  <c r="C463" i="2" s="1"/>
  <c r="D463" i="2" s="1"/>
  <c r="K463" i="2" s="1" a="1"/>
  <c r="K463" i="2" s="1"/>
  <c r="A359" i="2" a="1"/>
  <c r="A359" i="2" s="1"/>
  <c r="C359" i="2" a="1"/>
  <c r="C359" i="2" s="1"/>
  <c r="D359" i="2" s="1"/>
  <c r="K359" i="2" s="1" a="1"/>
  <c r="K359" i="2" s="1"/>
  <c r="A360" i="2" a="1"/>
  <c r="A360" i="2" s="1"/>
  <c r="C360" i="2" a="1"/>
  <c r="C360" i="2" s="1"/>
  <c r="D360" i="2" s="1"/>
  <c r="K360" i="2" s="1" a="1"/>
  <c r="K360" i="2" s="1"/>
  <c r="A361" i="2" a="1"/>
  <c r="A361" i="2" s="1"/>
  <c r="C361" i="2" a="1"/>
  <c r="C361" i="2" s="1"/>
  <c r="D361" i="2" s="1"/>
  <c r="K361" i="2" s="1" a="1"/>
  <c r="K361" i="2" s="1"/>
  <c r="A362" i="2" a="1"/>
  <c r="A362" i="2" s="1"/>
  <c r="C362" i="2" a="1"/>
  <c r="C362" i="2" s="1"/>
  <c r="D362" i="2" s="1"/>
  <c r="K362" i="2" s="1" a="1"/>
  <c r="K362" i="2" s="1"/>
  <c r="A363" i="2" a="1"/>
  <c r="A363" i="2" s="1"/>
  <c r="C363" i="2" a="1"/>
  <c r="C363" i="2" s="1"/>
  <c r="D363" i="2" s="1"/>
  <c r="K363" i="2" s="1" a="1"/>
  <c r="K363" i="2" s="1"/>
  <c r="A364" i="2" a="1"/>
  <c r="A364" i="2" s="1"/>
  <c r="C364" i="2" a="1"/>
  <c r="C364" i="2" s="1"/>
  <c r="D364" i="2" s="1"/>
  <c r="K364" i="2" s="1" a="1"/>
  <c r="K364" i="2" s="1"/>
  <c r="A365" i="2" a="1"/>
  <c r="A365" i="2" s="1"/>
  <c r="C365" i="2" a="1"/>
  <c r="C365" i="2" s="1"/>
  <c r="D365" i="2" s="1"/>
  <c r="K365" i="2" s="1" a="1"/>
  <c r="K365" i="2" s="1"/>
  <c r="A366" i="2" a="1"/>
  <c r="A366" i="2" s="1"/>
  <c r="C366" i="2" a="1"/>
  <c r="C366" i="2" s="1"/>
  <c r="D366" i="2" s="1"/>
  <c r="K366" i="2" s="1" a="1"/>
  <c r="K366" i="2" s="1"/>
  <c r="A367" i="2" a="1"/>
  <c r="A367" i="2" s="1"/>
  <c r="C367" i="2" a="1"/>
  <c r="C367" i="2" s="1"/>
  <c r="D367" i="2" s="1"/>
  <c r="K367" i="2" s="1" a="1"/>
  <c r="K367" i="2" s="1"/>
  <c r="A368" i="2" a="1"/>
  <c r="A368" i="2" s="1"/>
  <c r="C368" i="2" a="1"/>
  <c r="C368" i="2" s="1"/>
  <c r="D368" i="2" s="1"/>
  <c r="K368" i="2" s="1" a="1"/>
  <c r="K368" i="2" s="1"/>
  <c r="A369" i="2" a="1"/>
  <c r="A369" i="2" s="1"/>
  <c r="C369" i="2" a="1"/>
  <c r="C369" i="2" s="1"/>
  <c r="D369" i="2" s="1"/>
  <c r="K369" i="2" s="1" a="1"/>
  <c r="K369" i="2" s="1"/>
  <c r="A370" i="2" a="1"/>
  <c r="A370" i="2" s="1"/>
  <c r="C370" i="2" a="1"/>
  <c r="C370" i="2" s="1"/>
  <c r="D370" i="2" s="1"/>
  <c r="K370" i="2" s="1" a="1"/>
  <c r="K370" i="2" s="1"/>
  <c r="A371" i="2" a="1"/>
  <c r="A371" i="2" s="1"/>
  <c r="C371" i="2" a="1"/>
  <c r="C371" i="2" s="1"/>
  <c r="D371" i="2" s="1"/>
  <c r="K371" i="2" s="1" a="1"/>
  <c r="K371" i="2" s="1"/>
  <c r="A372" i="2" a="1"/>
  <c r="A372" i="2" s="1"/>
  <c r="C372" i="2" a="1"/>
  <c r="C372" i="2" s="1"/>
  <c r="D372" i="2" s="1"/>
  <c r="K372" i="2" s="1" a="1"/>
  <c r="K372" i="2" s="1"/>
  <c r="A373" i="2" a="1"/>
  <c r="A373" i="2" s="1"/>
  <c r="C373" i="2" a="1"/>
  <c r="C373" i="2" s="1"/>
  <c r="D373" i="2" s="1"/>
  <c r="K373" i="2" s="1" a="1"/>
  <c r="K373" i="2" s="1"/>
  <c r="A374" i="2" a="1"/>
  <c r="A374" i="2" s="1"/>
  <c r="C374" i="2" a="1"/>
  <c r="C374" i="2" s="1"/>
  <c r="D374" i="2" s="1"/>
  <c r="K374" i="2" s="1" a="1"/>
  <c r="K374" i="2" s="1"/>
  <c r="A375" i="2" a="1"/>
  <c r="A375" i="2" s="1"/>
  <c r="C375" i="2" a="1"/>
  <c r="C375" i="2" s="1"/>
  <c r="D375" i="2" s="1"/>
  <c r="K375" i="2" s="1" a="1"/>
  <c r="K375" i="2" s="1"/>
  <c r="A376" i="2" a="1"/>
  <c r="A376" i="2" s="1"/>
  <c r="C376" i="2" a="1"/>
  <c r="C376" i="2" s="1"/>
  <c r="D376" i="2" s="1"/>
  <c r="K376" i="2" s="1" a="1"/>
  <c r="K376" i="2" s="1"/>
  <c r="A377" i="2" a="1"/>
  <c r="A377" i="2" s="1"/>
  <c r="C377" i="2" a="1"/>
  <c r="C377" i="2" s="1"/>
  <c r="D377" i="2" s="1"/>
  <c r="K377" i="2" s="1" a="1"/>
  <c r="K377" i="2" s="1"/>
  <c r="A378" i="2" a="1"/>
  <c r="A378" i="2" s="1"/>
  <c r="C378" i="2" a="1"/>
  <c r="C378" i="2" s="1"/>
  <c r="D378" i="2" s="1"/>
  <c r="K378" i="2" s="1" a="1"/>
  <c r="K378" i="2" s="1"/>
  <c r="A379" i="2" a="1"/>
  <c r="A379" i="2" s="1"/>
  <c r="C379" i="2" a="1"/>
  <c r="C379" i="2" s="1"/>
  <c r="D379" i="2" s="1"/>
  <c r="K379" i="2" s="1" a="1"/>
  <c r="K379" i="2" s="1"/>
  <c r="A352" i="2" a="1"/>
  <c r="A352" i="2" s="1"/>
  <c r="C352" i="2" a="1"/>
  <c r="C352" i="2" s="1"/>
  <c r="D352" i="2" s="1"/>
  <c r="K352" i="2" s="1" a="1"/>
  <c r="K352" i="2" s="1"/>
  <c r="A353" i="2" a="1"/>
  <c r="A353" i="2" s="1"/>
  <c r="C353" i="2" a="1"/>
  <c r="C353" i="2" s="1"/>
  <c r="D353" i="2" s="1"/>
  <c r="K353" i="2" s="1" a="1"/>
  <c r="K353" i="2" s="1"/>
  <c r="A354" i="2" a="1"/>
  <c r="A354" i="2" s="1"/>
  <c r="C354" i="2" a="1"/>
  <c r="C354" i="2" s="1"/>
  <c r="D354" i="2" s="1"/>
  <c r="K354" i="2" s="1" a="1"/>
  <c r="K354" i="2" s="1"/>
  <c r="A355" i="2" a="1"/>
  <c r="A355" i="2" s="1"/>
  <c r="C355" i="2" a="1"/>
  <c r="C355" i="2" s="1"/>
  <c r="D355" i="2" s="1"/>
  <c r="K355" i="2" s="1" a="1"/>
  <c r="K355" i="2" s="1"/>
  <c r="A356" i="2" a="1"/>
  <c r="A356" i="2" s="1"/>
  <c r="C356" i="2" a="1"/>
  <c r="C356" i="2" s="1"/>
  <c r="D356" i="2" s="1"/>
  <c r="K356" i="2" s="1" a="1"/>
  <c r="K356" i="2" s="1"/>
  <c r="A357" i="2" a="1"/>
  <c r="A357" i="2" s="1"/>
  <c r="C357" i="2" a="1"/>
  <c r="C357" i="2" s="1"/>
  <c r="D357" i="2" s="1"/>
  <c r="K357" i="2" s="1" a="1"/>
  <c r="K357" i="2" s="1"/>
  <c r="A358" i="2" a="1"/>
  <c r="A358" i="2" s="1"/>
  <c r="C358" i="2" a="1"/>
  <c r="C358" i="2" s="1"/>
  <c r="D358" i="2" s="1"/>
  <c r="K358" i="2" s="1" a="1"/>
  <c r="K358" i="2" s="1"/>
  <c r="A289" i="2" a="1"/>
  <c r="A289" i="2" s="1"/>
  <c r="C289" i="2" a="1"/>
  <c r="C289" i="2" s="1"/>
  <c r="D289" i="2" s="1"/>
  <c r="K289" i="2" s="1" a="1"/>
  <c r="K289" i="2" s="1"/>
  <c r="A290" i="2" a="1"/>
  <c r="A290" i="2" s="1"/>
  <c r="C290" i="2" a="1"/>
  <c r="C290" i="2" s="1"/>
  <c r="D290" i="2" s="1"/>
  <c r="K290" i="2" s="1" a="1"/>
  <c r="K290" i="2" s="1"/>
  <c r="A291" i="2" a="1"/>
  <c r="A291" i="2" s="1"/>
  <c r="C291" i="2" a="1"/>
  <c r="C291" i="2" s="1"/>
  <c r="D291" i="2" s="1"/>
  <c r="K291" i="2" s="1" a="1"/>
  <c r="K291" i="2" s="1"/>
  <c r="A292" i="2" a="1"/>
  <c r="A292" i="2" s="1"/>
  <c r="C292" i="2" a="1"/>
  <c r="C292" i="2" s="1"/>
  <c r="D292" i="2" s="1"/>
  <c r="K292" i="2" s="1" a="1"/>
  <c r="K292" i="2" s="1"/>
  <c r="A293" i="2" a="1"/>
  <c r="A293" i="2" s="1"/>
  <c r="C293" i="2" a="1"/>
  <c r="C293" i="2" s="1"/>
  <c r="D293" i="2" s="1"/>
  <c r="K293" i="2" s="1" a="1"/>
  <c r="K293" i="2" s="1"/>
  <c r="A294" i="2" a="1"/>
  <c r="A294" i="2" s="1"/>
  <c r="C294" i="2" a="1"/>
  <c r="C294" i="2" s="1"/>
  <c r="D294" i="2" s="1"/>
  <c r="K294" i="2" s="1" a="1"/>
  <c r="K294" i="2" s="1"/>
  <c r="A295" i="2" a="1"/>
  <c r="A295" i="2" s="1"/>
  <c r="C295" i="2" a="1"/>
  <c r="C295" i="2" s="1"/>
  <c r="D295" i="2" s="1"/>
  <c r="K295" i="2" s="1" a="1"/>
  <c r="K295" i="2" s="1"/>
  <c r="A296" i="2" a="1"/>
  <c r="A296" i="2" s="1"/>
  <c r="C296" i="2" a="1"/>
  <c r="C296" i="2" s="1"/>
  <c r="D296" i="2" s="1"/>
  <c r="K296" i="2" s="1" a="1"/>
  <c r="K296" i="2" s="1"/>
  <c r="A297" i="2" a="1"/>
  <c r="A297" i="2" s="1"/>
  <c r="C297" i="2" a="1"/>
  <c r="C297" i="2" s="1"/>
  <c r="D297" i="2" s="1"/>
  <c r="K297" i="2" s="1" a="1"/>
  <c r="K297" i="2" s="1"/>
  <c r="A298" i="2" a="1"/>
  <c r="A298" i="2" s="1"/>
  <c r="C298" i="2" a="1"/>
  <c r="C298" i="2" s="1"/>
  <c r="D298" i="2" s="1"/>
  <c r="K298" i="2" s="1" a="1"/>
  <c r="K298" i="2" s="1"/>
  <c r="A299" i="2" a="1"/>
  <c r="A299" i="2" s="1"/>
  <c r="C299" i="2" a="1"/>
  <c r="C299" i="2" s="1"/>
  <c r="D299" i="2" s="1"/>
  <c r="K299" i="2" s="1" a="1"/>
  <c r="K299" i="2" s="1"/>
  <c r="A300" i="2" a="1"/>
  <c r="A300" i="2" s="1"/>
  <c r="C300" i="2" a="1"/>
  <c r="C300" i="2" s="1"/>
  <c r="D300" i="2" s="1"/>
  <c r="K300" i="2" s="1" a="1"/>
  <c r="K300" i="2" s="1"/>
  <c r="A301" i="2" a="1"/>
  <c r="A301" i="2" s="1"/>
  <c r="C301" i="2" a="1"/>
  <c r="C301" i="2" s="1"/>
  <c r="D301" i="2" s="1"/>
  <c r="K301" i="2" s="1" a="1"/>
  <c r="K301" i="2" s="1"/>
  <c r="A302" i="2" a="1"/>
  <c r="A302" i="2" s="1"/>
  <c r="C302" i="2" a="1"/>
  <c r="C302" i="2" s="1"/>
  <c r="D302" i="2" s="1"/>
  <c r="K302" i="2" s="1" a="1"/>
  <c r="K302" i="2" s="1"/>
  <c r="A303" i="2" a="1"/>
  <c r="A303" i="2" s="1"/>
  <c r="C303" i="2" a="1"/>
  <c r="C303" i="2" s="1"/>
  <c r="D303" i="2" s="1"/>
  <c r="K303" i="2" s="1" a="1"/>
  <c r="K303" i="2" s="1"/>
  <c r="A304" i="2" a="1"/>
  <c r="A304" i="2" s="1"/>
  <c r="C304" i="2" a="1"/>
  <c r="C304" i="2" s="1"/>
  <c r="D304" i="2" s="1"/>
  <c r="K304" i="2" s="1" a="1"/>
  <c r="K304" i="2" s="1"/>
  <c r="A305" i="2" a="1"/>
  <c r="A305" i="2" s="1"/>
  <c r="C305" i="2" a="1"/>
  <c r="C305" i="2" s="1"/>
  <c r="D305" i="2" s="1"/>
  <c r="K305" i="2" s="1" a="1"/>
  <c r="K305" i="2" s="1"/>
  <c r="A306" i="2" a="1"/>
  <c r="A306" i="2" s="1"/>
  <c r="C306" i="2" a="1"/>
  <c r="C306" i="2" s="1"/>
  <c r="D306" i="2" s="1"/>
  <c r="K306" i="2" s="1" a="1"/>
  <c r="K306" i="2" s="1"/>
  <c r="A307" i="2" a="1"/>
  <c r="A307" i="2" s="1"/>
  <c r="C307" i="2" a="1"/>
  <c r="C307" i="2" s="1"/>
  <c r="D307" i="2" s="1"/>
  <c r="K307" i="2" s="1" a="1"/>
  <c r="K307" i="2" s="1"/>
  <c r="A308" i="2" a="1"/>
  <c r="A308" i="2" s="1"/>
  <c r="C308" i="2" a="1"/>
  <c r="C308" i="2" s="1"/>
  <c r="D308" i="2" s="1"/>
  <c r="K308" i="2" s="1" a="1"/>
  <c r="K308" i="2" s="1"/>
  <c r="A309" i="2" a="1"/>
  <c r="A309" i="2" s="1"/>
  <c r="C309" i="2" a="1"/>
  <c r="C309" i="2" s="1"/>
  <c r="D309" i="2" s="1"/>
  <c r="K309" i="2" s="1" a="1"/>
  <c r="K309" i="2" s="1"/>
  <c r="A310" i="2" a="1"/>
  <c r="A310" i="2" s="1"/>
  <c r="C310" i="2" a="1"/>
  <c r="C310" i="2" s="1"/>
  <c r="D310" i="2" s="1"/>
  <c r="K310" i="2" s="1" a="1"/>
  <c r="K310" i="2" s="1"/>
  <c r="A311" i="2" a="1"/>
  <c r="A311" i="2" s="1"/>
  <c r="C311" i="2" a="1"/>
  <c r="C311" i="2" s="1"/>
  <c r="D311" i="2" s="1"/>
  <c r="K311" i="2" s="1" a="1"/>
  <c r="K311" i="2" s="1"/>
  <c r="A312" i="2" a="1"/>
  <c r="A312" i="2" s="1"/>
  <c r="C312" i="2" a="1"/>
  <c r="C312" i="2" s="1"/>
  <c r="D312" i="2" s="1"/>
  <c r="K312" i="2" s="1" a="1"/>
  <c r="K312" i="2" s="1"/>
  <c r="A313" i="2" a="1"/>
  <c r="A313" i="2" s="1"/>
  <c r="C313" i="2" a="1"/>
  <c r="C313" i="2" s="1"/>
  <c r="D313" i="2" s="1"/>
  <c r="K313" i="2" s="1" a="1"/>
  <c r="K313" i="2" s="1"/>
  <c r="A314" i="2" a="1"/>
  <c r="A314" i="2" s="1"/>
  <c r="C314" i="2" a="1"/>
  <c r="C314" i="2" s="1"/>
  <c r="D314" i="2" s="1"/>
  <c r="K314" i="2" s="1" a="1"/>
  <c r="K314" i="2" s="1"/>
  <c r="A315" i="2" a="1"/>
  <c r="A315" i="2" s="1"/>
  <c r="C315" i="2" a="1"/>
  <c r="C315" i="2" s="1"/>
  <c r="D315" i="2" s="1"/>
  <c r="K315" i="2" s="1" a="1"/>
  <c r="K315" i="2" s="1"/>
  <c r="A316" i="2" a="1"/>
  <c r="A316" i="2" s="1"/>
  <c r="C316" i="2" a="1"/>
  <c r="C316" i="2" s="1"/>
  <c r="D316" i="2" s="1"/>
  <c r="K316" i="2" s="1" a="1"/>
  <c r="K316" i="2" s="1"/>
  <c r="A317" i="2" a="1"/>
  <c r="A317" i="2" s="1"/>
  <c r="C317" i="2" a="1"/>
  <c r="C317" i="2" s="1"/>
  <c r="D317" i="2" s="1"/>
  <c r="K317" i="2" s="1" a="1"/>
  <c r="K317" i="2" s="1"/>
  <c r="A318" i="2" a="1"/>
  <c r="A318" i="2" s="1"/>
  <c r="C318" i="2" a="1"/>
  <c r="C318" i="2" s="1"/>
  <c r="D318" i="2" s="1"/>
  <c r="K318" i="2" s="1" a="1"/>
  <c r="K318" i="2" s="1"/>
  <c r="A319" i="2" a="1"/>
  <c r="A319" i="2" s="1"/>
  <c r="C319" i="2" a="1"/>
  <c r="C319" i="2" s="1"/>
  <c r="D319" i="2" s="1"/>
  <c r="K319" i="2" s="1" a="1"/>
  <c r="K319" i="2" s="1"/>
  <c r="A320" i="2" a="1"/>
  <c r="A320" i="2" s="1"/>
  <c r="C320" i="2" a="1"/>
  <c r="C320" i="2" s="1"/>
  <c r="D320" i="2" s="1"/>
  <c r="K320" i="2" s="1" a="1"/>
  <c r="K320" i="2" s="1"/>
  <c r="A321" i="2" a="1"/>
  <c r="A321" i="2" s="1"/>
  <c r="C321" i="2" a="1"/>
  <c r="C321" i="2" s="1"/>
  <c r="D321" i="2" s="1"/>
  <c r="K321" i="2" s="1" a="1"/>
  <c r="K321" i="2" s="1"/>
  <c r="A322" i="2" a="1"/>
  <c r="A322" i="2" s="1"/>
  <c r="C322" i="2" a="1"/>
  <c r="C322" i="2" s="1"/>
  <c r="D322" i="2" s="1"/>
  <c r="K322" i="2" s="1" a="1"/>
  <c r="K322" i="2" s="1"/>
  <c r="A323" i="2" a="1"/>
  <c r="A323" i="2" s="1"/>
  <c r="C323" i="2" a="1"/>
  <c r="C323" i="2" s="1"/>
  <c r="D323" i="2" s="1"/>
  <c r="K323" i="2" s="1" a="1"/>
  <c r="K323" i="2" s="1"/>
  <c r="A324" i="2" a="1"/>
  <c r="A324" i="2" s="1"/>
  <c r="C324" i="2" a="1"/>
  <c r="C324" i="2" s="1"/>
  <c r="D324" i="2" s="1"/>
  <c r="K324" i="2" s="1" a="1"/>
  <c r="K324" i="2" s="1"/>
  <c r="A325" i="2" a="1"/>
  <c r="A325" i="2" s="1"/>
  <c r="C325" i="2" a="1"/>
  <c r="C325" i="2" s="1"/>
  <c r="D325" i="2" s="1"/>
  <c r="K325" i="2" s="1" a="1"/>
  <c r="K325" i="2" s="1"/>
  <c r="A326" i="2" a="1"/>
  <c r="A326" i="2" s="1"/>
  <c r="C326" i="2" a="1"/>
  <c r="C326" i="2" s="1"/>
  <c r="D326" i="2" s="1"/>
  <c r="K326" i="2" s="1" a="1"/>
  <c r="K326" i="2" s="1"/>
  <c r="A327" i="2" a="1"/>
  <c r="A327" i="2" s="1"/>
  <c r="C327" i="2" a="1"/>
  <c r="C327" i="2" s="1"/>
  <c r="D327" i="2" s="1"/>
  <c r="K327" i="2" s="1" a="1"/>
  <c r="K327" i="2" s="1"/>
  <c r="A328" i="2" a="1"/>
  <c r="A328" i="2" s="1"/>
  <c r="C328" i="2" a="1"/>
  <c r="C328" i="2" s="1"/>
  <c r="D328" i="2" s="1"/>
  <c r="K328" i="2" s="1" a="1"/>
  <c r="K328" i="2" s="1"/>
  <c r="A329" i="2" a="1"/>
  <c r="A329" i="2" s="1"/>
  <c r="C329" i="2" a="1"/>
  <c r="C329" i="2" s="1"/>
  <c r="D329" i="2" s="1"/>
  <c r="K329" i="2" s="1" a="1"/>
  <c r="K329" i="2" s="1"/>
  <c r="A330" i="2" a="1"/>
  <c r="A330" i="2" s="1"/>
  <c r="C330" i="2" a="1"/>
  <c r="C330" i="2" s="1"/>
  <c r="D330" i="2" s="1"/>
  <c r="K330" i="2" s="1" a="1"/>
  <c r="K330" i="2" s="1"/>
  <c r="A331" i="2" a="1"/>
  <c r="A331" i="2" s="1"/>
  <c r="C331" i="2" a="1"/>
  <c r="C331" i="2" s="1"/>
  <c r="D331" i="2" s="1"/>
  <c r="K331" i="2" s="1" a="1"/>
  <c r="K331" i="2" s="1"/>
  <c r="A332" i="2" a="1"/>
  <c r="A332" i="2" s="1"/>
  <c r="C332" i="2" a="1"/>
  <c r="C332" i="2" s="1"/>
  <c r="D332" i="2" s="1"/>
  <c r="K332" i="2" s="1" a="1"/>
  <c r="K332" i="2" s="1"/>
  <c r="A333" i="2" a="1"/>
  <c r="A333" i="2" s="1"/>
  <c r="C333" i="2" a="1"/>
  <c r="C333" i="2" s="1"/>
  <c r="D333" i="2" s="1"/>
  <c r="K333" i="2" s="1" a="1"/>
  <c r="K333" i="2" s="1"/>
  <c r="A334" i="2" a="1"/>
  <c r="A334" i="2" s="1"/>
  <c r="H334" i="2" s="1"/>
  <c r="I334" i="2" s="1"/>
  <c r="C334" i="2" a="1"/>
  <c r="C334" i="2" s="1"/>
  <c r="D334" i="2" s="1"/>
  <c r="K334" i="2" s="1" a="1"/>
  <c r="K334" i="2" s="1"/>
  <c r="A335" i="2" a="1"/>
  <c r="A335" i="2" s="1"/>
  <c r="B335" i="2" s="1"/>
  <c r="C335" i="2" a="1"/>
  <c r="C335" i="2" s="1"/>
  <c r="D335" i="2" s="1"/>
  <c r="K335" i="2" s="1" a="1"/>
  <c r="K335" i="2" s="1"/>
  <c r="A336" i="2" a="1"/>
  <c r="A336" i="2" s="1"/>
  <c r="B336" i="2" s="1"/>
  <c r="C336" i="2" a="1"/>
  <c r="C336" i="2" s="1"/>
  <c r="D336" i="2" s="1"/>
  <c r="K336" i="2" s="1" a="1"/>
  <c r="K336" i="2" s="1"/>
  <c r="A337" i="2" a="1"/>
  <c r="A337" i="2" s="1"/>
  <c r="H337" i="2" s="1"/>
  <c r="I337" i="2" s="1"/>
  <c r="C337" i="2" a="1"/>
  <c r="C337" i="2" s="1"/>
  <c r="D337" i="2" s="1"/>
  <c r="K337" i="2" s="1" a="1"/>
  <c r="K337" i="2" s="1"/>
  <c r="A338" i="2" a="1"/>
  <c r="A338" i="2" s="1"/>
  <c r="B338" i="2" s="1"/>
  <c r="C338" i="2" a="1"/>
  <c r="C338" i="2" s="1"/>
  <c r="D338" i="2" s="1"/>
  <c r="K338" i="2" s="1" a="1"/>
  <c r="K338" i="2" s="1"/>
  <c r="A339" i="2" a="1"/>
  <c r="A339" i="2" s="1"/>
  <c r="B339" i="2" s="1"/>
  <c r="C339" i="2" a="1"/>
  <c r="C339" i="2" s="1"/>
  <c r="D339" i="2" s="1"/>
  <c r="K339" i="2" s="1" a="1"/>
  <c r="K339" i="2" s="1"/>
  <c r="A340" i="2" a="1"/>
  <c r="A340" i="2" s="1"/>
  <c r="F340" i="2" s="1"/>
  <c r="G340" i="2" s="1"/>
  <c r="C340" i="2" a="1"/>
  <c r="C340" i="2" s="1"/>
  <c r="D340" i="2" s="1"/>
  <c r="K340" i="2" s="1" a="1"/>
  <c r="K340" i="2" s="1"/>
  <c r="A341" i="2" a="1"/>
  <c r="A341" i="2" s="1"/>
  <c r="B341" i="2" s="1"/>
  <c r="C341" i="2" a="1"/>
  <c r="C341" i="2" s="1"/>
  <c r="D341" i="2" s="1"/>
  <c r="K341" i="2" s="1" a="1"/>
  <c r="K341" i="2" s="1"/>
  <c r="A342" i="2" a="1"/>
  <c r="A342" i="2" s="1"/>
  <c r="B342" i="2" s="1"/>
  <c r="C342" i="2" a="1"/>
  <c r="C342" i="2" s="1"/>
  <c r="D342" i="2" s="1"/>
  <c r="K342" i="2" s="1" a="1"/>
  <c r="K342" i="2" s="1"/>
  <c r="A343" i="2" a="1"/>
  <c r="A343" i="2" s="1"/>
  <c r="H343" i="2" s="1"/>
  <c r="I343" i="2" s="1"/>
  <c r="C343" i="2" a="1"/>
  <c r="C343" i="2" s="1"/>
  <c r="D343" i="2" s="1"/>
  <c r="K343" i="2" s="1" a="1"/>
  <c r="K343" i="2" s="1"/>
  <c r="A344" i="2" a="1"/>
  <c r="A344" i="2" s="1"/>
  <c r="B344" i="2" s="1"/>
  <c r="C344" i="2" a="1"/>
  <c r="C344" i="2" s="1"/>
  <c r="D344" i="2" s="1"/>
  <c r="K344" i="2" s="1" a="1"/>
  <c r="K344" i="2" s="1"/>
  <c r="A345" i="2" a="1"/>
  <c r="A345" i="2" s="1"/>
  <c r="B345" i="2" s="1"/>
  <c r="C345" i="2" a="1"/>
  <c r="C345" i="2" s="1"/>
  <c r="D345" i="2" s="1"/>
  <c r="K345" i="2" s="1" a="1"/>
  <c r="K345" i="2" s="1"/>
  <c r="A346" i="2" a="1"/>
  <c r="A346" i="2" s="1"/>
  <c r="F346" i="2" s="1"/>
  <c r="G346" i="2" s="1"/>
  <c r="C346" i="2" a="1"/>
  <c r="C346" i="2" s="1"/>
  <c r="D346" i="2" s="1"/>
  <c r="K346" i="2" s="1" a="1"/>
  <c r="K346" i="2" s="1"/>
  <c r="A347" i="2" a="1"/>
  <c r="A347" i="2" s="1"/>
  <c r="B347" i="2" s="1"/>
  <c r="C347" i="2" a="1"/>
  <c r="C347" i="2" s="1"/>
  <c r="D347" i="2" s="1"/>
  <c r="K347" i="2" s="1" a="1"/>
  <c r="K347" i="2" s="1"/>
  <c r="A348" i="2" a="1"/>
  <c r="A348" i="2" s="1"/>
  <c r="B348" i="2" s="1"/>
  <c r="C348" i="2" a="1"/>
  <c r="C348" i="2" s="1"/>
  <c r="D348" i="2" s="1"/>
  <c r="K348" i="2" s="1" a="1"/>
  <c r="K348" i="2" s="1"/>
  <c r="A349" i="2" a="1"/>
  <c r="A349" i="2" s="1"/>
  <c r="H349" i="2" s="1"/>
  <c r="I349" i="2" s="1"/>
  <c r="C349" i="2" a="1"/>
  <c r="C349" i="2" s="1"/>
  <c r="D349" i="2" s="1"/>
  <c r="K349" i="2" s="1" a="1"/>
  <c r="K349" i="2" s="1"/>
  <c r="A350" i="2" a="1"/>
  <c r="A350" i="2" s="1"/>
  <c r="B350" i="2" s="1"/>
  <c r="C350" i="2" a="1"/>
  <c r="C350" i="2" s="1"/>
  <c r="D350" i="2" s="1"/>
  <c r="K350" i="2" s="1" a="1"/>
  <c r="K350" i="2" s="1"/>
  <c r="A351" i="2" a="1"/>
  <c r="A351" i="2" s="1"/>
  <c r="B351" i="2" s="1"/>
  <c r="C351" i="2" a="1"/>
  <c r="C351" i="2" s="1"/>
  <c r="D351" i="2" s="1"/>
  <c r="K351" i="2" s="1" a="1"/>
  <c r="K351" i="2" s="1"/>
  <c r="A282" i="2" a="1"/>
  <c r="A282" i="2" s="1"/>
  <c r="B282" i="2" s="1"/>
  <c r="C282" i="2" a="1"/>
  <c r="C282" i="2" s="1"/>
  <c r="D282" i="2" s="1"/>
  <c r="K282" i="2" s="1" a="1"/>
  <c r="K282" i="2" s="1"/>
  <c r="A283" i="2" a="1"/>
  <c r="A283" i="2" s="1"/>
  <c r="C283" i="2" a="1"/>
  <c r="C283" i="2" s="1"/>
  <c r="D283" i="2" s="1"/>
  <c r="K283" i="2" s="1" a="1"/>
  <c r="K283" i="2" s="1"/>
  <c r="A284" i="2" a="1"/>
  <c r="A284" i="2" s="1"/>
  <c r="B284" i="2" s="1"/>
  <c r="C284" i="2" a="1"/>
  <c r="C284" i="2" s="1"/>
  <c r="D284" i="2" s="1"/>
  <c r="K284" i="2" s="1" a="1"/>
  <c r="K284" i="2" s="1"/>
  <c r="A285" i="2" a="1"/>
  <c r="A285" i="2" s="1"/>
  <c r="C285" i="2" a="1"/>
  <c r="C285" i="2" s="1"/>
  <c r="D285" i="2" s="1"/>
  <c r="K285" i="2" s="1" a="1"/>
  <c r="K285" i="2" s="1"/>
  <c r="A286" i="2" a="1"/>
  <c r="A286" i="2" s="1"/>
  <c r="F286" i="2" s="1"/>
  <c r="G286" i="2" s="1"/>
  <c r="C286" i="2" a="1"/>
  <c r="C286" i="2" s="1"/>
  <c r="D286" i="2" s="1"/>
  <c r="K286" i="2" s="1" a="1"/>
  <c r="K286" i="2" s="1"/>
  <c r="A287" i="2" a="1"/>
  <c r="A287" i="2" s="1"/>
  <c r="C287" i="2" a="1"/>
  <c r="C287" i="2" s="1"/>
  <c r="D287" i="2" s="1"/>
  <c r="K287" i="2" s="1" a="1"/>
  <c r="K287" i="2" s="1"/>
  <c r="A288" i="2" a="1"/>
  <c r="A288" i="2" s="1"/>
  <c r="C288" i="2" a="1"/>
  <c r="C288" i="2" s="1"/>
  <c r="D288" i="2" s="1"/>
  <c r="K288" i="2" s="1" a="1"/>
  <c r="K288" i="2" s="1"/>
  <c r="A212" i="2" a="1"/>
  <c r="A212" i="2" s="1"/>
  <c r="C212" i="2" a="1"/>
  <c r="C212" i="2" s="1"/>
  <c r="D212" i="2" s="1"/>
  <c r="K212" i="2" s="1" a="1"/>
  <c r="K212" i="2" s="1"/>
  <c r="A213" i="2" a="1"/>
  <c r="A213" i="2" s="1"/>
  <c r="H213" i="2" s="1"/>
  <c r="I213" i="2" s="1"/>
  <c r="C213" i="2" a="1"/>
  <c r="C213" i="2" s="1"/>
  <c r="D213" i="2" s="1"/>
  <c r="K213" i="2" s="1" a="1"/>
  <c r="K213" i="2" s="1"/>
  <c r="A214" i="2" a="1"/>
  <c r="A214" i="2" s="1"/>
  <c r="B214" i="2" s="1"/>
  <c r="C214" i="2" a="1"/>
  <c r="C214" i="2" s="1"/>
  <c r="D214" i="2" s="1"/>
  <c r="K214" i="2" s="1" a="1"/>
  <c r="K214" i="2" s="1"/>
  <c r="A215" i="2" a="1"/>
  <c r="A215" i="2" s="1"/>
  <c r="B215" i="2" s="1"/>
  <c r="C215" i="2" a="1"/>
  <c r="C215" i="2" s="1"/>
  <c r="D215" i="2" s="1"/>
  <c r="K215" i="2" s="1" a="1"/>
  <c r="K215" i="2" s="1"/>
  <c r="A216" i="2" a="1"/>
  <c r="A216" i="2" s="1"/>
  <c r="B216" i="2" s="1"/>
  <c r="C216" i="2" a="1"/>
  <c r="C216" i="2" s="1"/>
  <c r="D216" i="2" s="1"/>
  <c r="K216" i="2" s="1" a="1"/>
  <c r="K216" i="2" s="1"/>
  <c r="A217" i="2" a="1"/>
  <c r="A217" i="2" s="1"/>
  <c r="C217" i="2" a="1"/>
  <c r="C217" i="2" s="1"/>
  <c r="D217" i="2" s="1"/>
  <c r="K217" i="2" s="1" a="1"/>
  <c r="K217" i="2" s="1"/>
  <c r="A218" i="2" a="1"/>
  <c r="A218" i="2" s="1"/>
  <c r="F218" i="2" s="1"/>
  <c r="G218" i="2" s="1"/>
  <c r="C218" i="2" a="1"/>
  <c r="C218" i="2" s="1"/>
  <c r="D218" i="2" s="1"/>
  <c r="K218" i="2" s="1" a="1"/>
  <c r="K218" i="2" s="1"/>
  <c r="A219" i="2" a="1"/>
  <c r="A219" i="2" s="1"/>
  <c r="B219" i="2" s="1"/>
  <c r="C219" i="2" a="1"/>
  <c r="C219" i="2" s="1"/>
  <c r="D219" i="2" s="1"/>
  <c r="K219" i="2" s="1" a="1"/>
  <c r="K219" i="2" s="1"/>
  <c r="A220" i="2" a="1"/>
  <c r="A220" i="2" s="1"/>
  <c r="B220" i="2" s="1"/>
  <c r="C220" i="2" a="1"/>
  <c r="C220" i="2" s="1"/>
  <c r="D220" i="2" s="1"/>
  <c r="K220" i="2" s="1" a="1"/>
  <c r="K220" i="2" s="1"/>
  <c r="A221" i="2" a="1"/>
  <c r="A221" i="2" s="1"/>
  <c r="B221" i="2" s="1"/>
  <c r="C221" i="2" a="1"/>
  <c r="C221" i="2" s="1"/>
  <c r="D221" i="2" s="1"/>
  <c r="K221" i="2" s="1" a="1"/>
  <c r="K221" i="2" s="1"/>
  <c r="A222" i="2" a="1"/>
  <c r="A222" i="2" s="1"/>
  <c r="F222" i="2" s="1"/>
  <c r="G222" i="2" s="1"/>
  <c r="C222" i="2" a="1"/>
  <c r="C222" i="2" s="1"/>
  <c r="D222" i="2" s="1"/>
  <c r="K222" i="2" s="1" a="1"/>
  <c r="K222" i="2" s="1"/>
  <c r="A223" i="2" a="1"/>
  <c r="A223" i="2" s="1"/>
  <c r="B223" i="2" s="1"/>
  <c r="C223" i="2" a="1"/>
  <c r="C223" i="2" s="1"/>
  <c r="D223" i="2" s="1"/>
  <c r="K223" i="2" s="1" a="1"/>
  <c r="K223" i="2" s="1"/>
  <c r="A224" i="2" a="1"/>
  <c r="A224" i="2" s="1"/>
  <c r="B224" i="2" s="1"/>
  <c r="C224" i="2" a="1"/>
  <c r="C224" i="2" s="1"/>
  <c r="D224" i="2" s="1"/>
  <c r="K224" i="2" s="1" a="1"/>
  <c r="K224" i="2" s="1"/>
  <c r="A225" i="2" a="1"/>
  <c r="A225" i="2" s="1"/>
  <c r="B225" i="2" s="1"/>
  <c r="C225" i="2" a="1"/>
  <c r="C225" i="2" s="1"/>
  <c r="D225" i="2" s="1"/>
  <c r="K225" i="2" s="1" a="1"/>
  <c r="K225" i="2" s="1"/>
  <c r="A226" i="2" a="1"/>
  <c r="A226" i="2" s="1"/>
  <c r="F226" i="2" s="1"/>
  <c r="G226" i="2" s="1"/>
  <c r="C226" i="2" a="1"/>
  <c r="C226" i="2" s="1"/>
  <c r="D226" i="2" s="1"/>
  <c r="K226" i="2" s="1" a="1"/>
  <c r="K226" i="2" s="1"/>
  <c r="A227" i="2" a="1"/>
  <c r="A227" i="2" s="1"/>
  <c r="B227" i="2" s="1"/>
  <c r="C227" i="2" a="1"/>
  <c r="C227" i="2" s="1"/>
  <c r="D227" i="2" s="1"/>
  <c r="K227" i="2" s="1" a="1"/>
  <c r="K227" i="2" s="1"/>
  <c r="A228" i="2" a="1"/>
  <c r="A228" i="2" s="1"/>
  <c r="B228" i="2" s="1"/>
  <c r="C228" i="2" a="1"/>
  <c r="C228" i="2" s="1"/>
  <c r="D228" i="2" s="1"/>
  <c r="K228" i="2" s="1" a="1"/>
  <c r="K228" i="2" s="1"/>
  <c r="A229" i="2" a="1"/>
  <c r="A229" i="2" s="1"/>
  <c r="C229" i="2" a="1"/>
  <c r="C229" i="2" s="1"/>
  <c r="D229" i="2" s="1"/>
  <c r="K229" i="2" s="1" a="1"/>
  <c r="K229" i="2" s="1"/>
  <c r="A230" i="2" a="1"/>
  <c r="A230" i="2" s="1"/>
  <c r="F230" i="2" s="1"/>
  <c r="G230" i="2" s="1"/>
  <c r="C230" i="2" a="1"/>
  <c r="C230" i="2" s="1"/>
  <c r="D230" i="2" s="1"/>
  <c r="K230" i="2" s="1" a="1"/>
  <c r="K230" i="2" s="1"/>
  <c r="A231" i="2" a="1"/>
  <c r="A231" i="2" s="1"/>
  <c r="B231" i="2" s="1"/>
  <c r="C231" i="2" a="1"/>
  <c r="C231" i="2" s="1"/>
  <c r="D231" i="2" s="1"/>
  <c r="K231" i="2" s="1" a="1"/>
  <c r="K231" i="2" s="1"/>
  <c r="A232" i="2" a="1"/>
  <c r="A232" i="2" s="1"/>
  <c r="B232" i="2" s="1"/>
  <c r="C232" i="2" a="1"/>
  <c r="C232" i="2" s="1"/>
  <c r="D232" i="2" s="1"/>
  <c r="K232" i="2" s="1" a="1"/>
  <c r="K232" i="2" s="1"/>
  <c r="A233" i="2" a="1"/>
  <c r="A233" i="2" s="1"/>
  <c r="B233" i="2" s="1"/>
  <c r="C233" i="2" a="1"/>
  <c r="C233" i="2" s="1"/>
  <c r="D233" i="2" s="1"/>
  <c r="K233" i="2" s="1" a="1"/>
  <c r="K233" i="2" s="1"/>
  <c r="A234" i="2" a="1"/>
  <c r="A234" i="2" s="1"/>
  <c r="C234" i="2" a="1"/>
  <c r="C234" i="2" s="1"/>
  <c r="D234" i="2" s="1"/>
  <c r="K234" i="2" s="1" a="1"/>
  <c r="K234" i="2" s="1"/>
  <c r="A235" i="2" a="1"/>
  <c r="A235" i="2" s="1"/>
  <c r="B235" i="2" s="1"/>
  <c r="C235" i="2" a="1"/>
  <c r="C235" i="2" s="1"/>
  <c r="D235" i="2" s="1"/>
  <c r="K235" i="2" s="1" a="1"/>
  <c r="K235" i="2" s="1"/>
  <c r="A236" i="2" a="1"/>
  <c r="A236" i="2" s="1"/>
  <c r="C236" i="2" a="1"/>
  <c r="C236" i="2" s="1"/>
  <c r="D236" i="2" s="1"/>
  <c r="K236" i="2" s="1" a="1"/>
  <c r="K236" i="2" s="1"/>
  <c r="A237" i="2" a="1"/>
  <c r="A237" i="2" s="1"/>
  <c r="C237" i="2" a="1"/>
  <c r="C237" i="2" s="1"/>
  <c r="D237" i="2" s="1"/>
  <c r="K237" i="2" s="1" a="1"/>
  <c r="K237" i="2" s="1"/>
  <c r="A238" i="2" a="1"/>
  <c r="A238" i="2" s="1"/>
  <c r="H238" i="2" s="1"/>
  <c r="I238" i="2" s="1"/>
  <c r="C238" i="2" a="1"/>
  <c r="C238" i="2" s="1"/>
  <c r="D238" i="2" s="1"/>
  <c r="K238" i="2" s="1" a="1"/>
  <c r="K238" i="2" s="1"/>
  <c r="A239" i="2" a="1"/>
  <c r="A239" i="2" s="1"/>
  <c r="H239" i="2" s="1"/>
  <c r="I239" i="2" s="1"/>
  <c r="C239" i="2" a="1"/>
  <c r="C239" i="2" s="1"/>
  <c r="D239" i="2" s="1"/>
  <c r="K239" i="2" s="1" a="1"/>
  <c r="K239" i="2" s="1"/>
  <c r="A240" i="2" a="1"/>
  <c r="A240" i="2" s="1"/>
  <c r="C240" i="2" a="1"/>
  <c r="C240" i="2" s="1"/>
  <c r="D240" i="2" s="1"/>
  <c r="K240" i="2" s="1" a="1"/>
  <c r="K240" i="2" s="1"/>
  <c r="A241" i="2" a="1"/>
  <c r="A241" i="2" s="1"/>
  <c r="C241" i="2" a="1"/>
  <c r="C241" i="2" s="1"/>
  <c r="D241" i="2" s="1"/>
  <c r="K241" i="2" s="1" a="1"/>
  <c r="K241" i="2" s="1"/>
  <c r="A242" i="2" a="1"/>
  <c r="A242" i="2" s="1"/>
  <c r="C242" i="2" a="1"/>
  <c r="C242" i="2" s="1"/>
  <c r="D242" i="2" s="1"/>
  <c r="K242" i="2" s="1" a="1"/>
  <c r="K242" i="2" s="1"/>
  <c r="A243" i="2" a="1"/>
  <c r="A243" i="2" s="1"/>
  <c r="C243" i="2" a="1"/>
  <c r="C243" i="2" s="1"/>
  <c r="D243" i="2" s="1"/>
  <c r="K243" i="2" s="1" a="1"/>
  <c r="K243" i="2" s="1"/>
  <c r="A244" i="2" a="1"/>
  <c r="A244" i="2" s="1"/>
  <c r="H244" i="2" s="1"/>
  <c r="I244" i="2" s="1"/>
  <c r="C244" i="2" a="1"/>
  <c r="C244" i="2" s="1"/>
  <c r="D244" i="2" s="1"/>
  <c r="K244" i="2" s="1" a="1"/>
  <c r="K244" i="2" s="1"/>
  <c r="A245" i="2" a="1"/>
  <c r="A245" i="2" s="1"/>
  <c r="H245" i="2" s="1"/>
  <c r="I245" i="2" s="1"/>
  <c r="C245" i="2" a="1"/>
  <c r="C245" i="2" s="1"/>
  <c r="D245" i="2" s="1"/>
  <c r="K245" i="2" s="1" a="1"/>
  <c r="K245" i="2" s="1"/>
  <c r="A246" i="2" a="1"/>
  <c r="A246" i="2" s="1"/>
  <c r="C246" i="2" a="1"/>
  <c r="C246" i="2" s="1"/>
  <c r="D246" i="2" s="1"/>
  <c r="K246" i="2" s="1" a="1"/>
  <c r="K246" i="2" s="1"/>
  <c r="A247" i="2" a="1"/>
  <c r="A247" i="2" s="1"/>
  <c r="C247" i="2" a="1"/>
  <c r="C247" i="2" s="1"/>
  <c r="D247" i="2" s="1"/>
  <c r="K247" i="2" s="1" a="1"/>
  <c r="K247" i="2" s="1"/>
  <c r="A248" i="2" a="1"/>
  <c r="A248" i="2" s="1"/>
  <c r="C248" i="2" a="1"/>
  <c r="C248" i="2" s="1"/>
  <c r="D248" i="2" s="1"/>
  <c r="K248" i="2" s="1" a="1"/>
  <c r="K248" i="2" s="1"/>
  <c r="A249" i="2" a="1"/>
  <c r="A249" i="2" s="1"/>
  <c r="C249" i="2" a="1"/>
  <c r="C249" i="2" s="1"/>
  <c r="D249" i="2" s="1"/>
  <c r="K249" i="2" s="1" a="1"/>
  <c r="K249" i="2" s="1"/>
  <c r="A250" i="2" a="1"/>
  <c r="A250" i="2" s="1"/>
  <c r="H250" i="2" s="1"/>
  <c r="I250" i="2" s="1"/>
  <c r="C250" i="2" a="1"/>
  <c r="C250" i="2" s="1"/>
  <c r="D250" i="2" s="1"/>
  <c r="K250" i="2" s="1" a="1"/>
  <c r="K250" i="2" s="1"/>
  <c r="A251" i="2" a="1"/>
  <c r="A251" i="2" s="1"/>
  <c r="H251" i="2" s="1"/>
  <c r="I251" i="2" s="1"/>
  <c r="C251" i="2" a="1"/>
  <c r="C251" i="2" s="1"/>
  <c r="D251" i="2" s="1"/>
  <c r="K251" i="2" s="1" a="1"/>
  <c r="K251" i="2" s="1"/>
  <c r="A252" i="2" a="1"/>
  <c r="A252" i="2" s="1"/>
  <c r="C252" i="2" a="1"/>
  <c r="C252" i="2" s="1"/>
  <c r="D252" i="2" s="1"/>
  <c r="K252" i="2" s="1" a="1"/>
  <c r="K252" i="2" s="1"/>
  <c r="A253" i="2" a="1"/>
  <c r="A253" i="2" s="1"/>
  <c r="C253" i="2" a="1"/>
  <c r="C253" i="2" s="1"/>
  <c r="D253" i="2" s="1"/>
  <c r="K253" i="2" s="1" a="1"/>
  <c r="K253" i="2" s="1"/>
  <c r="A254" i="2" a="1"/>
  <c r="A254" i="2" s="1"/>
  <c r="C254" i="2" a="1"/>
  <c r="C254" i="2" s="1"/>
  <c r="D254" i="2" s="1"/>
  <c r="K254" i="2" s="1" a="1"/>
  <c r="K254" i="2" s="1"/>
  <c r="A255" i="2" a="1"/>
  <c r="A255" i="2" s="1"/>
  <c r="H255" i="2" s="1"/>
  <c r="I255" i="2" s="1"/>
  <c r="C255" i="2" a="1"/>
  <c r="C255" i="2" s="1"/>
  <c r="D255" i="2" s="1"/>
  <c r="K255" i="2" s="1" a="1"/>
  <c r="K255" i="2" s="1"/>
  <c r="A256" i="2" a="1"/>
  <c r="A256" i="2" s="1"/>
  <c r="H256" i="2" s="1"/>
  <c r="I256" i="2" s="1"/>
  <c r="C256" i="2" a="1"/>
  <c r="C256" i="2" s="1"/>
  <c r="D256" i="2" s="1"/>
  <c r="K256" i="2" s="1" a="1"/>
  <c r="K256" i="2" s="1"/>
  <c r="A257" i="2" a="1"/>
  <c r="A257" i="2" s="1"/>
  <c r="H257" i="2" s="1"/>
  <c r="I257" i="2" s="1"/>
  <c r="C257" i="2" a="1"/>
  <c r="C257" i="2" s="1"/>
  <c r="D257" i="2" s="1"/>
  <c r="K257" i="2" s="1" a="1"/>
  <c r="K257" i="2" s="1"/>
  <c r="A258" i="2" a="1"/>
  <c r="A258" i="2" s="1"/>
  <c r="C258" i="2" a="1"/>
  <c r="C258" i="2" s="1"/>
  <c r="D258" i="2" s="1"/>
  <c r="K258" i="2" s="1" a="1"/>
  <c r="K258" i="2" s="1"/>
  <c r="A259" i="2" a="1"/>
  <c r="A259" i="2" s="1"/>
  <c r="H259" i="2" s="1"/>
  <c r="I259" i="2" s="1"/>
  <c r="C259" i="2" a="1"/>
  <c r="C259" i="2" s="1"/>
  <c r="D259" i="2" s="1"/>
  <c r="K259" i="2" s="1" a="1"/>
  <c r="K259" i="2" s="1"/>
  <c r="A260" i="2" a="1"/>
  <c r="A260" i="2" s="1"/>
  <c r="C260" i="2" a="1"/>
  <c r="C260" i="2" s="1"/>
  <c r="D260" i="2" s="1"/>
  <c r="K260" i="2" s="1" a="1"/>
  <c r="K260" i="2" s="1"/>
  <c r="A261" i="2" a="1"/>
  <c r="A261" i="2" s="1"/>
  <c r="H261" i="2" s="1"/>
  <c r="I261" i="2" s="1"/>
  <c r="C261" i="2" a="1"/>
  <c r="C261" i="2" s="1"/>
  <c r="D261" i="2" s="1"/>
  <c r="K261" i="2" s="1" a="1"/>
  <c r="K261" i="2" s="1"/>
  <c r="A262" i="2" a="1"/>
  <c r="A262" i="2" s="1"/>
  <c r="H262" i="2" s="1"/>
  <c r="I262" i="2" s="1"/>
  <c r="C262" i="2" a="1"/>
  <c r="C262" i="2" s="1"/>
  <c r="D262" i="2" s="1"/>
  <c r="K262" i="2" s="1" a="1"/>
  <c r="K262" i="2" s="1"/>
  <c r="A263" i="2" a="1"/>
  <c r="A263" i="2" s="1"/>
  <c r="F263" i="2" s="1"/>
  <c r="G263" i="2" s="1"/>
  <c r="C263" i="2" a="1"/>
  <c r="C263" i="2" s="1"/>
  <c r="D263" i="2" s="1"/>
  <c r="K263" i="2" s="1" a="1"/>
  <c r="K263" i="2" s="1"/>
  <c r="A264" i="2" a="1"/>
  <c r="A264" i="2" s="1"/>
  <c r="H264" i="2" s="1"/>
  <c r="I264" i="2" s="1"/>
  <c r="C264" i="2" a="1"/>
  <c r="C264" i="2" s="1"/>
  <c r="D264" i="2" s="1"/>
  <c r="K264" i="2" s="1" a="1"/>
  <c r="K264" i="2" s="1"/>
  <c r="A265" i="2" a="1"/>
  <c r="A265" i="2" s="1"/>
  <c r="H265" i="2" s="1"/>
  <c r="I265" i="2" s="1"/>
  <c r="C265" i="2" a="1"/>
  <c r="C265" i="2" s="1"/>
  <c r="D265" i="2" s="1"/>
  <c r="K265" i="2" s="1" a="1"/>
  <c r="K265" i="2" s="1"/>
  <c r="A266" i="2" a="1"/>
  <c r="A266" i="2" s="1"/>
  <c r="H266" i="2" s="1"/>
  <c r="I266" i="2" s="1"/>
  <c r="C266" i="2" a="1"/>
  <c r="C266" i="2" s="1"/>
  <c r="D266" i="2" s="1"/>
  <c r="K266" i="2" s="1" a="1"/>
  <c r="K266" i="2" s="1"/>
  <c r="A267" i="2" a="1"/>
  <c r="A267" i="2" s="1"/>
  <c r="H267" i="2" s="1"/>
  <c r="I267" i="2" s="1"/>
  <c r="C267" i="2" a="1"/>
  <c r="C267" i="2" s="1"/>
  <c r="D267" i="2" s="1"/>
  <c r="K267" i="2" s="1" a="1"/>
  <c r="K267" i="2" s="1"/>
  <c r="A268" i="2" a="1"/>
  <c r="A268" i="2" s="1"/>
  <c r="B268" i="2" s="1"/>
  <c r="C268" i="2" a="1"/>
  <c r="C268" i="2" s="1"/>
  <c r="D268" i="2" s="1"/>
  <c r="K268" i="2" s="1" a="1"/>
  <c r="K268" i="2" s="1"/>
  <c r="A269" i="2" a="1"/>
  <c r="A269" i="2" s="1"/>
  <c r="F269" i="2" s="1"/>
  <c r="G269" i="2" s="1"/>
  <c r="C269" i="2" a="1"/>
  <c r="C269" i="2" s="1"/>
  <c r="D269" i="2" s="1"/>
  <c r="K269" i="2" s="1" a="1"/>
  <c r="K269" i="2" s="1"/>
  <c r="A270" i="2" a="1"/>
  <c r="A270" i="2" s="1"/>
  <c r="H270" i="2" s="1"/>
  <c r="I270" i="2" s="1"/>
  <c r="C270" i="2" a="1"/>
  <c r="C270" i="2" s="1"/>
  <c r="D270" i="2" s="1"/>
  <c r="K270" i="2" s="1" a="1"/>
  <c r="K270" i="2" s="1"/>
  <c r="A271" i="2" a="1"/>
  <c r="A271" i="2" s="1"/>
  <c r="H271" i="2" s="1"/>
  <c r="I271" i="2" s="1"/>
  <c r="C271" i="2" a="1"/>
  <c r="C271" i="2" s="1"/>
  <c r="D271" i="2" s="1"/>
  <c r="K271" i="2" s="1" a="1"/>
  <c r="K271" i="2" s="1"/>
  <c r="A272" i="2" a="1"/>
  <c r="A272" i="2" s="1"/>
  <c r="H272" i="2" s="1"/>
  <c r="I272" i="2" s="1"/>
  <c r="C272" i="2" a="1"/>
  <c r="C272" i="2" s="1"/>
  <c r="D272" i="2" s="1"/>
  <c r="K272" i="2" s="1" a="1"/>
  <c r="K272" i="2" s="1"/>
  <c r="A273" i="2" a="1"/>
  <c r="A273" i="2" s="1"/>
  <c r="H273" i="2" s="1"/>
  <c r="I273" i="2" s="1"/>
  <c r="C273" i="2" a="1"/>
  <c r="C273" i="2" s="1"/>
  <c r="D273" i="2" s="1"/>
  <c r="K273" i="2" s="1" a="1"/>
  <c r="K273" i="2" s="1"/>
  <c r="A274" i="2" a="1"/>
  <c r="A274" i="2" s="1"/>
  <c r="F274" i="2" s="1"/>
  <c r="G274" i="2" s="1"/>
  <c r="C274" i="2" a="1"/>
  <c r="C274" i="2" s="1"/>
  <c r="D274" i="2" s="1"/>
  <c r="K274" i="2" s="1" a="1"/>
  <c r="K274" i="2" s="1"/>
  <c r="A275" i="2" a="1"/>
  <c r="A275" i="2" s="1"/>
  <c r="F275" i="2" s="1"/>
  <c r="G275" i="2" s="1"/>
  <c r="C275" i="2" a="1"/>
  <c r="C275" i="2" s="1"/>
  <c r="D275" i="2" s="1"/>
  <c r="K275" i="2" s="1" a="1"/>
  <c r="K275" i="2" s="1"/>
  <c r="A276" i="2" a="1"/>
  <c r="A276" i="2" s="1"/>
  <c r="H276" i="2" s="1"/>
  <c r="I276" i="2" s="1"/>
  <c r="C276" i="2" a="1"/>
  <c r="C276" i="2" s="1"/>
  <c r="D276" i="2" s="1"/>
  <c r="K276" i="2" s="1" a="1"/>
  <c r="K276" i="2" s="1"/>
  <c r="A277" i="2" a="1"/>
  <c r="A277" i="2" s="1"/>
  <c r="F277" i="2" s="1"/>
  <c r="G277" i="2" s="1"/>
  <c r="C277" i="2" a="1"/>
  <c r="C277" i="2" s="1"/>
  <c r="D277" i="2" s="1"/>
  <c r="K277" i="2" s="1" a="1"/>
  <c r="K277" i="2" s="1"/>
  <c r="A278" i="2" a="1"/>
  <c r="A278" i="2" s="1"/>
  <c r="H278" i="2" s="1"/>
  <c r="I278" i="2" s="1"/>
  <c r="C278" i="2" a="1"/>
  <c r="C278" i="2" s="1"/>
  <c r="D278" i="2" s="1"/>
  <c r="K278" i="2" s="1" a="1"/>
  <c r="K278" i="2" s="1"/>
  <c r="A279" i="2" a="1"/>
  <c r="A279" i="2" s="1"/>
  <c r="H279" i="2" s="1"/>
  <c r="I279" i="2" s="1"/>
  <c r="C279" i="2" a="1"/>
  <c r="C279" i="2" s="1"/>
  <c r="D279" i="2" s="1"/>
  <c r="K279" i="2" s="1" a="1"/>
  <c r="K279" i="2" s="1"/>
  <c r="A280" i="2" a="1"/>
  <c r="A280" i="2" s="1"/>
  <c r="F280" i="2" s="1"/>
  <c r="G280" i="2" s="1"/>
  <c r="C280" i="2" a="1"/>
  <c r="C280" i="2" s="1"/>
  <c r="D280" i="2" s="1"/>
  <c r="K280" i="2" s="1" a="1"/>
  <c r="K280" i="2" s="1"/>
  <c r="A281" i="2" a="1"/>
  <c r="A281" i="2" s="1"/>
  <c r="H281" i="2" s="1"/>
  <c r="I281" i="2" s="1"/>
  <c r="C281" i="2" a="1"/>
  <c r="C281" i="2" s="1"/>
  <c r="D281" i="2" s="1"/>
  <c r="K281" i="2" s="1" a="1"/>
  <c r="K281" i="2" s="1"/>
  <c r="A184" i="2" a="1"/>
  <c r="A184" i="2" s="1"/>
  <c r="C184" i="2" a="1"/>
  <c r="C184" i="2" s="1"/>
  <c r="D184" i="2" s="1"/>
  <c r="K184" i="2" s="1" a="1"/>
  <c r="K184" i="2" s="1"/>
  <c r="A185" i="2" a="1"/>
  <c r="A185" i="2" s="1"/>
  <c r="C185" i="2" a="1"/>
  <c r="C185" i="2" s="1"/>
  <c r="D185" i="2" s="1"/>
  <c r="K185" i="2" s="1" a="1"/>
  <c r="K185" i="2" s="1"/>
  <c r="A186" i="2" a="1"/>
  <c r="A186" i="2" s="1"/>
  <c r="C186" i="2" a="1"/>
  <c r="C186" i="2" s="1"/>
  <c r="D186" i="2" s="1"/>
  <c r="K186" i="2" s="1" a="1"/>
  <c r="K186" i="2" s="1"/>
  <c r="A187" i="2" a="1"/>
  <c r="A187" i="2" s="1"/>
  <c r="C187" i="2" a="1"/>
  <c r="C187" i="2" s="1"/>
  <c r="D187" i="2" s="1"/>
  <c r="K187" i="2" s="1" a="1"/>
  <c r="K187" i="2" s="1"/>
  <c r="A188" i="2" a="1"/>
  <c r="A188" i="2" s="1"/>
  <c r="C188" i="2" a="1"/>
  <c r="C188" i="2" s="1"/>
  <c r="D188" i="2" s="1"/>
  <c r="K188" i="2" s="1" a="1"/>
  <c r="K188" i="2" s="1"/>
  <c r="A189" i="2" a="1"/>
  <c r="A189" i="2" s="1"/>
  <c r="C189" i="2" a="1"/>
  <c r="C189" i="2" s="1"/>
  <c r="D189" i="2" s="1"/>
  <c r="K189" i="2" s="1" a="1"/>
  <c r="K189" i="2" s="1"/>
  <c r="A190" i="2" a="1"/>
  <c r="A190" i="2" s="1"/>
  <c r="C190" i="2" a="1"/>
  <c r="C190" i="2" s="1"/>
  <c r="D190" i="2" s="1"/>
  <c r="K190" i="2" s="1" a="1"/>
  <c r="K190" i="2" s="1"/>
  <c r="A191" i="2" a="1"/>
  <c r="A191" i="2" s="1"/>
  <c r="C191" i="2" a="1"/>
  <c r="C191" i="2" s="1"/>
  <c r="D191" i="2" s="1"/>
  <c r="K191" i="2" s="1" a="1"/>
  <c r="K191" i="2" s="1"/>
  <c r="A192" i="2" a="1"/>
  <c r="A192" i="2" s="1"/>
  <c r="C192" i="2" a="1"/>
  <c r="C192" i="2" s="1"/>
  <c r="D192" i="2" s="1"/>
  <c r="K192" i="2" s="1" a="1"/>
  <c r="K192" i="2" s="1"/>
  <c r="A193" i="2" a="1"/>
  <c r="A193" i="2" s="1"/>
  <c r="C193" i="2" a="1"/>
  <c r="C193" i="2" s="1"/>
  <c r="D193" i="2" s="1"/>
  <c r="K193" i="2" s="1" a="1"/>
  <c r="K193" i="2" s="1"/>
  <c r="A194" i="2" a="1"/>
  <c r="A194" i="2" s="1"/>
  <c r="C194" i="2" a="1"/>
  <c r="C194" i="2" s="1"/>
  <c r="D194" i="2" s="1"/>
  <c r="K194" i="2" s="1" a="1"/>
  <c r="K194" i="2" s="1"/>
  <c r="A195" i="2" a="1"/>
  <c r="A195" i="2" s="1"/>
  <c r="C195" i="2" a="1"/>
  <c r="C195" i="2" s="1"/>
  <c r="D195" i="2" s="1"/>
  <c r="K195" i="2" s="1" a="1"/>
  <c r="K195" i="2" s="1"/>
  <c r="A196" i="2" a="1"/>
  <c r="A196" i="2" s="1"/>
  <c r="C196" i="2" a="1"/>
  <c r="C196" i="2" s="1"/>
  <c r="D196" i="2" s="1"/>
  <c r="K196" i="2" s="1" a="1"/>
  <c r="K196" i="2" s="1"/>
  <c r="A197" i="2" a="1"/>
  <c r="A197" i="2" s="1"/>
  <c r="C197" i="2" a="1"/>
  <c r="C197" i="2" s="1"/>
  <c r="D197" i="2" s="1"/>
  <c r="K197" i="2" s="1" a="1"/>
  <c r="K197" i="2" s="1"/>
  <c r="A198" i="2" a="1"/>
  <c r="A198" i="2" s="1"/>
  <c r="C198" i="2" a="1"/>
  <c r="C198" i="2" s="1"/>
  <c r="D198" i="2" s="1"/>
  <c r="K198" i="2" s="1" a="1"/>
  <c r="K198" i="2" s="1"/>
  <c r="A199" i="2" a="1"/>
  <c r="A199" i="2" s="1"/>
  <c r="C199" i="2" a="1"/>
  <c r="C199" i="2" s="1"/>
  <c r="D199" i="2" s="1"/>
  <c r="K199" i="2" s="1" a="1"/>
  <c r="K199" i="2" s="1"/>
  <c r="A200" i="2" a="1"/>
  <c r="A200" i="2" s="1"/>
  <c r="C200" i="2" a="1"/>
  <c r="C200" i="2" s="1"/>
  <c r="D200" i="2" s="1"/>
  <c r="K200" i="2" s="1" a="1"/>
  <c r="K200" i="2" s="1"/>
  <c r="A201" i="2" a="1"/>
  <c r="A201" i="2" s="1"/>
  <c r="C201" i="2" a="1"/>
  <c r="C201" i="2" s="1"/>
  <c r="D201" i="2" s="1"/>
  <c r="K201" i="2" s="1" a="1"/>
  <c r="K201" i="2" s="1"/>
  <c r="A202" i="2" a="1"/>
  <c r="A202" i="2" s="1"/>
  <c r="C202" i="2" a="1"/>
  <c r="C202" i="2" s="1"/>
  <c r="D202" i="2" s="1"/>
  <c r="K202" i="2" s="1" a="1"/>
  <c r="K202" i="2" s="1"/>
  <c r="A203" i="2" a="1"/>
  <c r="A203" i="2" s="1"/>
  <c r="C203" i="2" a="1"/>
  <c r="C203" i="2" s="1"/>
  <c r="D203" i="2" s="1"/>
  <c r="K203" i="2" s="1" a="1"/>
  <c r="K203" i="2" s="1"/>
  <c r="A204" i="2" a="1"/>
  <c r="A204" i="2" s="1"/>
  <c r="C204" i="2" a="1"/>
  <c r="C204" i="2" s="1"/>
  <c r="D204" i="2" s="1"/>
  <c r="K204" i="2" s="1" a="1"/>
  <c r="K204" i="2" s="1"/>
  <c r="A205" i="2" a="1"/>
  <c r="A205" i="2" s="1"/>
  <c r="C205" i="2" a="1"/>
  <c r="C205" i="2" s="1"/>
  <c r="D205" i="2" s="1"/>
  <c r="K205" i="2" s="1" a="1"/>
  <c r="K205" i="2" s="1"/>
  <c r="A206" i="2" a="1"/>
  <c r="A206" i="2" s="1"/>
  <c r="C206" i="2" a="1"/>
  <c r="C206" i="2" s="1"/>
  <c r="D206" i="2" s="1"/>
  <c r="K206" i="2" s="1" a="1"/>
  <c r="K206" i="2" s="1"/>
  <c r="A207" i="2" a="1"/>
  <c r="A207" i="2" s="1"/>
  <c r="C207" i="2" a="1"/>
  <c r="C207" i="2" s="1"/>
  <c r="D207" i="2" s="1"/>
  <c r="K207" i="2" s="1" a="1"/>
  <c r="K207" i="2" s="1"/>
  <c r="A208" i="2" a="1"/>
  <c r="A208" i="2" s="1"/>
  <c r="C208" i="2" a="1"/>
  <c r="C208" i="2" s="1"/>
  <c r="D208" i="2" s="1"/>
  <c r="K208" i="2" s="1" a="1"/>
  <c r="K208" i="2" s="1"/>
  <c r="A209" i="2" a="1"/>
  <c r="A209" i="2" s="1"/>
  <c r="C209" i="2" a="1"/>
  <c r="C209" i="2" s="1"/>
  <c r="D209" i="2" s="1"/>
  <c r="K209" i="2" s="1" a="1"/>
  <c r="K209" i="2" s="1"/>
  <c r="A210" i="2" a="1"/>
  <c r="A210" i="2" s="1"/>
  <c r="C210" i="2" a="1"/>
  <c r="C210" i="2" s="1"/>
  <c r="D210" i="2" s="1"/>
  <c r="K210" i="2" s="1" a="1"/>
  <c r="K210" i="2" s="1"/>
  <c r="A211" i="2" a="1"/>
  <c r="A211" i="2" s="1"/>
  <c r="C211" i="2" a="1"/>
  <c r="C211" i="2" s="1"/>
  <c r="D211" i="2" s="1"/>
  <c r="K211" i="2" s="1" a="1"/>
  <c r="K211" i="2" s="1"/>
  <c r="A163" i="2" a="1"/>
  <c r="A163" i="2" s="1"/>
  <c r="C163" i="2" a="1"/>
  <c r="C163" i="2" s="1"/>
  <c r="D163" i="2" s="1"/>
  <c r="K163" i="2" s="1" a="1"/>
  <c r="K163" i="2" s="1"/>
  <c r="A164" i="2" a="1"/>
  <c r="A164" i="2" s="1"/>
  <c r="C164" i="2" a="1"/>
  <c r="C164" i="2" s="1"/>
  <c r="D164" i="2" s="1"/>
  <c r="K164" i="2" s="1" a="1"/>
  <c r="K164" i="2" s="1"/>
  <c r="A165" i="2" a="1"/>
  <c r="A165" i="2" s="1"/>
  <c r="C165" i="2" a="1"/>
  <c r="C165" i="2" s="1"/>
  <c r="D165" i="2" s="1"/>
  <c r="K165" i="2" s="1" a="1"/>
  <c r="K165" i="2" s="1"/>
  <c r="A166" i="2" a="1"/>
  <c r="A166" i="2" s="1"/>
  <c r="C166" i="2" a="1"/>
  <c r="C166" i="2" s="1"/>
  <c r="D166" i="2" s="1"/>
  <c r="K166" i="2" s="1" a="1"/>
  <c r="K166" i="2" s="1"/>
  <c r="A167" i="2" a="1"/>
  <c r="A167" i="2" s="1"/>
  <c r="C167" i="2" a="1"/>
  <c r="C167" i="2" s="1"/>
  <c r="D167" i="2" s="1"/>
  <c r="K167" i="2" s="1" a="1"/>
  <c r="K167" i="2" s="1"/>
  <c r="A168" i="2" a="1"/>
  <c r="A168" i="2" s="1"/>
  <c r="C168" i="2" a="1"/>
  <c r="C168" i="2" s="1"/>
  <c r="D168" i="2" s="1"/>
  <c r="K168" i="2" s="1" a="1"/>
  <c r="K168" i="2" s="1"/>
  <c r="A169" i="2" a="1"/>
  <c r="A169" i="2" s="1"/>
  <c r="C169" i="2" a="1"/>
  <c r="C169" i="2" s="1"/>
  <c r="D169" i="2" s="1"/>
  <c r="K169" i="2" s="1" a="1"/>
  <c r="K169" i="2" s="1"/>
  <c r="A170" i="2" a="1"/>
  <c r="A170" i="2" s="1"/>
  <c r="C170" i="2" a="1"/>
  <c r="C170" i="2" s="1"/>
  <c r="D170" i="2" s="1"/>
  <c r="K170" i="2" s="1" a="1"/>
  <c r="K170" i="2" s="1"/>
  <c r="A171" i="2" a="1"/>
  <c r="A171" i="2" s="1"/>
  <c r="C171" i="2" a="1"/>
  <c r="C171" i="2" s="1"/>
  <c r="D171" i="2" s="1"/>
  <c r="K171" i="2" s="1" a="1"/>
  <c r="K171" i="2" s="1"/>
  <c r="A172" i="2" a="1"/>
  <c r="A172" i="2" s="1"/>
  <c r="C172" i="2" a="1"/>
  <c r="C172" i="2" s="1"/>
  <c r="D172" i="2" s="1"/>
  <c r="K172" i="2" s="1" a="1"/>
  <c r="K172" i="2" s="1"/>
  <c r="A173" i="2" a="1"/>
  <c r="A173" i="2" s="1"/>
  <c r="C173" i="2" a="1"/>
  <c r="C173" i="2" s="1"/>
  <c r="D173" i="2" s="1"/>
  <c r="K173" i="2" s="1" a="1"/>
  <c r="K173" i="2" s="1"/>
  <c r="A174" i="2" a="1"/>
  <c r="A174" i="2" s="1"/>
  <c r="C174" i="2" a="1"/>
  <c r="C174" i="2" s="1"/>
  <c r="D174" i="2" s="1"/>
  <c r="K174" i="2" s="1" a="1"/>
  <c r="K174" i="2" s="1"/>
  <c r="A175" i="2" a="1"/>
  <c r="A175" i="2" s="1"/>
  <c r="C175" i="2" a="1"/>
  <c r="C175" i="2" s="1"/>
  <c r="D175" i="2" s="1"/>
  <c r="K175" i="2" s="1" a="1"/>
  <c r="K175" i="2" s="1"/>
  <c r="A176" i="2" a="1"/>
  <c r="A176" i="2" s="1"/>
  <c r="C176" i="2" a="1"/>
  <c r="C176" i="2" s="1"/>
  <c r="D176" i="2" s="1"/>
  <c r="K176" i="2" s="1" a="1"/>
  <c r="K176" i="2" s="1"/>
  <c r="A177" i="2" a="1"/>
  <c r="A177" i="2" s="1"/>
  <c r="C177" i="2" a="1"/>
  <c r="C177" i="2" s="1"/>
  <c r="D177" i="2" s="1"/>
  <c r="K177" i="2" s="1" a="1"/>
  <c r="K177" i="2" s="1"/>
  <c r="A178" i="2" a="1"/>
  <c r="A178" i="2" s="1"/>
  <c r="C178" i="2" a="1"/>
  <c r="C178" i="2" s="1"/>
  <c r="D178" i="2" s="1"/>
  <c r="K178" i="2" s="1" a="1"/>
  <c r="K178" i="2" s="1"/>
  <c r="A179" i="2" a="1"/>
  <c r="A179" i="2" s="1"/>
  <c r="C179" i="2" a="1"/>
  <c r="C179" i="2" s="1"/>
  <c r="D179" i="2" s="1"/>
  <c r="K179" i="2" s="1" a="1"/>
  <c r="K179" i="2" s="1"/>
  <c r="A180" i="2" a="1"/>
  <c r="A180" i="2" s="1"/>
  <c r="C180" i="2" a="1"/>
  <c r="C180" i="2" s="1"/>
  <c r="D180" i="2" s="1"/>
  <c r="K180" i="2" s="1" a="1"/>
  <c r="K180" i="2" s="1"/>
  <c r="A181" i="2" a="1"/>
  <c r="A181" i="2" s="1"/>
  <c r="C181" i="2" a="1"/>
  <c r="C181" i="2" s="1"/>
  <c r="D181" i="2" s="1"/>
  <c r="K181" i="2" s="1" a="1"/>
  <c r="K181" i="2" s="1"/>
  <c r="A182" i="2" a="1"/>
  <c r="A182" i="2" s="1"/>
  <c r="C182" i="2" a="1"/>
  <c r="C182" i="2" s="1"/>
  <c r="D182" i="2" s="1"/>
  <c r="K182" i="2" s="1" a="1"/>
  <c r="K182" i="2" s="1"/>
  <c r="A183" i="2" a="1"/>
  <c r="A183" i="2" s="1"/>
  <c r="C183" i="2" a="1"/>
  <c r="C183" i="2" s="1"/>
  <c r="D183" i="2" s="1"/>
  <c r="K183" i="2" s="1" a="1"/>
  <c r="K183" i="2" s="1"/>
  <c r="A149" i="2" a="1"/>
  <c r="A149" i="2" s="1"/>
  <c r="C149" i="2" a="1"/>
  <c r="C149" i="2" s="1"/>
  <c r="D149" i="2" s="1"/>
  <c r="K149" i="2" s="1" a="1"/>
  <c r="K149" i="2" s="1"/>
  <c r="A150" i="2" a="1"/>
  <c r="A150" i="2" s="1"/>
  <c r="C150" i="2" a="1"/>
  <c r="C150" i="2" s="1"/>
  <c r="D150" i="2" s="1"/>
  <c r="K150" i="2" s="1" a="1"/>
  <c r="K150" i="2" s="1"/>
  <c r="A151" i="2" a="1"/>
  <c r="A151" i="2" s="1"/>
  <c r="C151" i="2" a="1"/>
  <c r="C151" i="2" s="1"/>
  <c r="D151" i="2" s="1"/>
  <c r="K151" i="2" s="1" a="1"/>
  <c r="K151" i="2" s="1"/>
  <c r="A152" i="2" a="1"/>
  <c r="A152" i="2" s="1"/>
  <c r="C152" i="2" a="1"/>
  <c r="C152" i="2" s="1"/>
  <c r="D152" i="2" s="1"/>
  <c r="K152" i="2" s="1" a="1"/>
  <c r="K152" i="2" s="1"/>
  <c r="A153" i="2" a="1"/>
  <c r="A153" i="2" s="1"/>
  <c r="C153" i="2" a="1"/>
  <c r="C153" i="2" s="1"/>
  <c r="D153" i="2" s="1"/>
  <c r="K153" i="2" s="1" a="1"/>
  <c r="K153" i="2" s="1"/>
  <c r="A154" i="2" a="1"/>
  <c r="A154" i="2" s="1"/>
  <c r="C154" i="2" a="1"/>
  <c r="C154" i="2" s="1"/>
  <c r="D154" i="2" s="1"/>
  <c r="K154" i="2" s="1" a="1"/>
  <c r="K154" i="2" s="1"/>
  <c r="A155" i="2" a="1"/>
  <c r="A155" i="2" s="1"/>
  <c r="C155" i="2" a="1"/>
  <c r="C155" i="2" s="1"/>
  <c r="D155" i="2" s="1"/>
  <c r="K155" i="2" s="1" a="1"/>
  <c r="K155" i="2" s="1"/>
  <c r="A156" i="2" a="1"/>
  <c r="A156" i="2" s="1"/>
  <c r="C156" i="2" a="1"/>
  <c r="C156" i="2" s="1"/>
  <c r="D156" i="2" s="1"/>
  <c r="K156" i="2" s="1" a="1"/>
  <c r="K156" i="2" s="1"/>
  <c r="A157" i="2" a="1"/>
  <c r="A157" i="2" s="1"/>
  <c r="C157" i="2" a="1"/>
  <c r="C157" i="2" s="1"/>
  <c r="D157" i="2" s="1"/>
  <c r="K157" i="2" s="1" a="1"/>
  <c r="K157" i="2" s="1"/>
  <c r="A158" i="2" a="1"/>
  <c r="A158" i="2" s="1"/>
  <c r="C158" i="2" a="1"/>
  <c r="C158" i="2" s="1"/>
  <c r="D158" i="2" s="1"/>
  <c r="K158" i="2" s="1" a="1"/>
  <c r="K158" i="2" s="1"/>
  <c r="A159" i="2" a="1"/>
  <c r="A159" i="2" s="1"/>
  <c r="C159" i="2" a="1"/>
  <c r="C159" i="2" s="1"/>
  <c r="D159" i="2" s="1"/>
  <c r="K159" i="2" s="1" a="1"/>
  <c r="K159" i="2" s="1"/>
  <c r="A160" i="2" a="1"/>
  <c r="A160" i="2" s="1"/>
  <c r="C160" i="2" a="1"/>
  <c r="C160" i="2" s="1"/>
  <c r="D160" i="2" s="1"/>
  <c r="K160" i="2" s="1" a="1"/>
  <c r="K160" i="2" s="1"/>
  <c r="A161" i="2" a="1"/>
  <c r="A161" i="2" s="1"/>
  <c r="C161" i="2" a="1"/>
  <c r="C161" i="2" s="1"/>
  <c r="D161" i="2" s="1"/>
  <c r="K161" i="2" s="1" a="1"/>
  <c r="K161" i="2" s="1"/>
  <c r="A162" i="2" a="1"/>
  <c r="A162" i="2" s="1"/>
  <c r="C162" i="2" a="1"/>
  <c r="C162" i="2" s="1"/>
  <c r="D162" i="2" s="1"/>
  <c r="K162" i="2" s="1" a="1"/>
  <c r="K162" i="2" s="1"/>
  <c r="A142" i="2" a="1"/>
  <c r="A142" i="2" s="1"/>
  <c r="C142" i="2" a="1"/>
  <c r="C142" i="2" s="1"/>
  <c r="D142" i="2" s="1"/>
  <c r="K142" i="2" s="1" a="1"/>
  <c r="K142" i="2" s="1"/>
  <c r="A143" i="2" a="1"/>
  <c r="A143" i="2" s="1"/>
  <c r="C143" i="2" a="1"/>
  <c r="C143" i="2" s="1"/>
  <c r="D143" i="2" s="1"/>
  <c r="K143" i="2" s="1" a="1"/>
  <c r="K143" i="2" s="1"/>
  <c r="A144" i="2" a="1"/>
  <c r="A144" i="2" s="1"/>
  <c r="C144" i="2" a="1"/>
  <c r="C144" i="2" s="1"/>
  <c r="D144" i="2" s="1"/>
  <c r="K144" i="2" s="1" a="1"/>
  <c r="K144" i="2" s="1"/>
  <c r="A145" i="2" a="1"/>
  <c r="A145" i="2" s="1"/>
  <c r="C145" i="2" a="1"/>
  <c r="C145" i="2" s="1"/>
  <c r="D145" i="2" s="1"/>
  <c r="K145" i="2" s="1" a="1"/>
  <c r="K145" i="2" s="1"/>
  <c r="A146" i="2" a="1"/>
  <c r="A146" i="2" s="1"/>
  <c r="C146" i="2" a="1"/>
  <c r="C146" i="2" s="1"/>
  <c r="D146" i="2" s="1"/>
  <c r="K146" i="2" s="1" a="1"/>
  <c r="K146" i="2" s="1"/>
  <c r="A147" i="2" a="1"/>
  <c r="A147" i="2" s="1"/>
  <c r="C147" i="2" a="1"/>
  <c r="C147" i="2" s="1"/>
  <c r="D147" i="2" s="1"/>
  <c r="K147" i="2" s="1" a="1"/>
  <c r="K147" i="2" s="1"/>
  <c r="A148" i="2" a="1"/>
  <c r="A148" i="2" s="1"/>
  <c r="C148" i="2" a="1"/>
  <c r="C148" i="2" s="1"/>
  <c r="D148" i="2" s="1"/>
  <c r="K148" i="2" s="1" a="1"/>
  <c r="K148" i="2" s="1"/>
  <c r="C15" i="2" a="1"/>
  <c r="C15" i="2" s="1"/>
  <c r="D15" i="2" s="1"/>
  <c r="K15" i="2" s="1" a="1"/>
  <c r="K15" i="2" s="1"/>
  <c r="A107" i="2" a="1"/>
  <c r="A107" i="2" s="1"/>
  <c r="C107" i="2" a="1"/>
  <c r="C107" i="2" s="1"/>
  <c r="D107" i="2" s="1"/>
  <c r="K107" i="2" s="1" a="1"/>
  <c r="K107" i="2" s="1"/>
  <c r="A108" i="2" a="1"/>
  <c r="A108" i="2" s="1"/>
  <c r="C108" i="2" a="1"/>
  <c r="C108" i="2" s="1"/>
  <c r="D108" i="2" s="1"/>
  <c r="K108" i="2" s="1" a="1"/>
  <c r="K108" i="2" s="1"/>
  <c r="A109" i="2" a="1"/>
  <c r="A109" i="2" s="1"/>
  <c r="C109" i="2" a="1"/>
  <c r="C109" i="2" s="1"/>
  <c r="D109" i="2" s="1"/>
  <c r="K109" i="2" s="1" a="1"/>
  <c r="K109" i="2" s="1"/>
  <c r="A110" i="2" a="1"/>
  <c r="A110" i="2" s="1"/>
  <c r="C110" i="2" a="1"/>
  <c r="C110" i="2" s="1"/>
  <c r="D110" i="2" s="1"/>
  <c r="K110" i="2" s="1" a="1"/>
  <c r="K110" i="2" s="1"/>
  <c r="A111" i="2" a="1"/>
  <c r="A111" i="2" s="1"/>
  <c r="C111" i="2" a="1"/>
  <c r="C111" i="2" s="1"/>
  <c r="D111" i="2" s="1"/>
  <c r="K111" i="2" s="1" a="1"/>
  <c r="K111" i="2" s="1"/>
  <c r="A112" i="2" a="1"/>
  <c r="A112" i="2" s="1"/>
  <c r="C112" i="2" a="1"/>
  <c r="C112" i="2" s="1"/>
  <c r="D112" i="2" s="1"/>
  <c r="K112" i="2" s="1" a="1"/>
  <c r="K112" i="2" s="1"/>
  <c r="A113" i="2" a="1"/>
  <c r="A113" i="2" s="1"/>
  <c r="C113" i="2" a="1"/>
  <c r="C113" i="2" s="1"/>
  <c r="D113" i="2" s="1"/>
  <c r="K113" i="2" s="1" a="1"/>
  <c r="K113" i="2" s="1"/>
  <c r="A114" i="2" a="1"/>
  <c r="A114" i="2" s="1"/>
  <c r="C114" i="2" a="1"/>
  <c r="C114" i="2" s="1"/>
  <c r="D114" i="2" s="1"/>
  <c r="K114" i="2" s="1" a="1"/>
  <c r="K114" i="2" s="1"/>
  <c r="A115" i="2" a="1"/>
  <c r="A115" i="2" s="1"/>
  <c r="C115" i="2" a="1"/>
  <c r="C115" i="2" s="1"/>
  <c r="D115" i="2" s="1"/>
  <c r="K115" i="2" s="1" a="1"/>
  <c r="K115" i="2" s="1"/>
  <c r="A116" i="2" a="1"/>
  <c r="A116" i="2" s="1"/>
  <c r="C116" i="2" a="1"/>
  <c r="C116" i="2" s="1"/>
  <c r="D116" i="2" s="1"/>
  <c r="K116" i="2" s="1" a="1"/>
  <c r="K116" i="2" s="1"/>
  <c r="A117" i="2" a="1"/>
  <c r="A117" i="2" s="1"/>
  <c r="C117" i="2" a="1"/>
  <c r="C117" i="2" s="1"/>
  <c r="D117" i="2" s="1"/>
  <c r="K117" i="2" s="1" a="1"/>
  <c r="K117" i="2" s="1"/>
  <c r="A118" i="2" a="1"/>
  <c r="A118" i="2" s="1"/>
  <c r="C118" i="2" a="1"/>
  <c r="C118" i="2" s="1"/>
  <c r="D118" i="2" s="1"/>
  <c r="K118" i="2" s="1" a="1"/>
  <c r="K118" i="2" s="1"/>
  <c r="A119" i="2" a="1"/>
  <c r="A119" i="2" s="1"/>
  <c r="C119" i="2" a="1"/>
  <c r="C119" i="2" s="1"/>
  <c r="D119" i="2" s="1"/>
  <c r="K119" i="2" s="1" a="1"/>
  <c r="K119" i="2" s="1"/>
  <c r="A120" i="2" a="1"/>
  <c r="A120" i="2" s="1"/>
  <c r="C120" i="2" a="1"/>
  <c r="C120" i="2" s="1"/>
  <c r="D120" i="2" s="1"/>
  <c r="K120" i="2" s="1" a="1"/>
  <c r="K120" i="2" s="1"/>
  <c r="A121" i="2" a="1"/>
  <c r="A121" i="2" s="1"/>
  <c r="C121" i="2" a="1"/>
  <c r="C121" i="2" s="1"/>
  <c r="D121" i="2" s="1"/>
  <c r="K121" i="2" s="1" a="1"/>
  <c r="K121" i="2" s="1"/>
  <c r="A122" i="2" a="1"/>
  <c r="A122" i="2" s="1"/>
  <c r="C122" i="2" a="1"/>
  <c r="C122" i="2" s="1"/>
  <c r="D122" i="2" s="1"/>
  <c r="K122" i="2" s="1" a="1"/>
  <c r="K122" i="2" s="1"/>
  <c r="A123" i="2" a="1"/>
  <c r="A123" i="2" s="1"/>
  <c r="C123" i="2" a="1"/>
  <c r="C123" i="2" s="1"/>
  <c r="D123" i="2" s="1"/>
  <c r="K123" i="2" s="1" a="1"/>
  <c r="K123" i="2" s="1"/>
  <c r="A124" i="2" a="1"/>
  <c r="A124" i="2" s="1"/>
  <c r="C124" i="2" a="1"/>
  <c r="C124" i="2" s="1"/>
  <c r="D124" i="2" s="1"/>
  <c r="K124" i="2" s="1" a="1"/>
  <c r="K124" i="2" s="1"/>
  <c r="A125" i="2" a="1"/>
  <c r="A125" i="2" s="1"/>
  <c r="C125" i="2" a="1"/>
  <c r="C125" i="2" s="1"/>
  <c r="D125" i="2" s="1"/>
  <c r="K125" i="2" s="1" a="1"/>
  <c r="K125" i="2" s="1"/>
  <c r="A126" i="2" a="1"/>
  <c r="A126" i="2" s="1"/>
  <c r="C126" i="2" a="1"/>
  <c r="C126" i="2" s="1"/>
  <c r="D126" i="2" s="1"/>
  <c r="K126" i="2" s="1" a="1"/>
  <c r="K126" i="2" s="1"/>
  <c r="A127" i="2" a="1"/>
  <c r="A127" i="2" s="1"/>
  <c r="C127" i="2" a="1"/>
  <c r="C127" i="2" s="1"/>
  <c r="D127" i="2" s="1"/>
  <c r="K127" i="2" s="1" a="1"/>
  <c r="K127" i="2" s="1"/>
  <c r="A128" i="2" a="1"/>
  <c r="A128" i="2" s="1"/>
  <c r="C128" i="2" a="1"/>
  <c r="C128" i="2" s="1"/>
  <c r="D128" i="2" s="1"/>
  <c r="K128" i="2" s="1" a="1"/>
  <c r="K128" i="2" s="1"/>
  <c r="A129" i="2" a="1"/>
  <c r="A129" i="2" s="1"/>
  <c r="C129" i="2" a="1"/>
  <c r="C129" i="2" s="1"/>
  <c r="D129" i="2" s="1"/>
  <c r="K129" i="2" s="1" a="1"/>
  <c r="K129" i="2" s="1"/>
  <c r="A130" i="2" a="1"/>
  <c r="A130" i="2" s="1"/>
  <c r="C130" i="2" a="1"/>
  <c r="C130" i="2" s="1"/>
  <c r="D130" i="2" s="1"/>
  <c r="K130" i="2" s="1" a="1"/>
  <c r="K130" i="2" s="1"/>
  <c r="A131" i="2" a="1"/>
  <c r="A131" i="2" s="1"/>
  <c r="C131" i="2" a="1"/>
  <c r="C131" i="2" s="1"/>
  <c r="D131" i="2" s="1"/>
  <c r="K131" i="2" s="1" a="1"/>
  <c r="K131" i="2" s="1"/>
  <c r="A132" i="2" a="1"/>
  <c r="A132" i="2" s="1"/>
  <c r="C132" i="2" a="1"/>
  <c r="C132" i="2" s="1"/>
  <c r="D132" i="2" s="1"/>
  <c r="K132" i="2" s="1" a="1"/>
  <c r="K132" i="2" s="1"/>
  <c r="A133" i="2" a="1"/>
  <c r="A133" i="2" s="1"/>
  <c r="C133" i="2" a="1"/>
  <c r="C133" i="2" s="1"/>
  <c r="D133" i="2" s="1"/>
  <c r="K133" i="2" s="1" a="1"/>
  <c r="K133" i="2" s="1"/>
  <c r="A134" i="2" a="1"/>
  <c r="A134" i="2" s="1"/>
  <c r="C134" i="2" a="1"/>
  <c r="C134" i="2" s="1"/>
  <c r="D134" i="2" s="1"/>
  <c r="K134" i="2" s="1" a="1"/>
  <c r="K134" i="2" s="1"/>
  <c r="A135" i="2" a="1"/>
  <c r="A135" i="2" s="1"/>
  <c r="C135" i="2" a="1"/>
  <c r="C135" i="2" s="1"/>
  <c r="D135" i="2" s="1"/>
  <c r="K135" i="2" s="1" a="1"/>
  <c r="K135" i="2" s="1"/>
  <c r="A136" i="2" a="1"/>
  <c r="A136" i="2" s="1"/>
  <c r="C136" i="2" a="1"/>
  <c r="C136" i="2" s="1"/>
  <c r="D136" i="2" s="1"/>
  <c r="K136" i="2" s="1" a="1"/>
  <c r="K136" i="2" s="1"/>
  <c r="A137" i="2" a="1"/>
  <c r="A137" i="2" s="1"/>
  <c r="C137" i="2" a="1"/>
  <c r="C137" i="2" s="1"/>
  <c r="D137" i="2" s="1"/>
  <c r="K137" i="2" s="1" a="1"/>
  <c r="K137" i="2" s="1"/>
  <c r="A138" i="2" a="1"/>
  <c r="A138" i="2" s="1"/>
  <c r="C138" i="2" a="1"/>
  <c r="C138" i="2" s="1"/>
  <c r="D138" i="2" s="1"/>
  <c r="K138" i="2" s="1" a="1"/>
  <c r="K138" i="2" s="1"/>
  <c r="A139" i="2" a="1"/>
  <c r="A139" i="2" s="1"/>
  <c r="C139" i="2" a="1"/>
  <c r="C139" i="2" s="1"/>
  <c r="D139" i="2" s="1"/>
  <c r="K139" i="2" s="1" a="1"/>
  <c r="K139" i="2" s="1"/>
  <c r="A140" i="2" a="1"/>
  <c r="A140" i="2" s="1"/>
  <c r="C140" i="2" a="1"/>
  <c r="C140" i="2" s="1"/>
  <c r="D140" i="2" s="1"/>
  <c r="K140" i="2" s="1" a="1"/>
  <c r="K140" i="2" s="1"/>
  <c r="A141" i="2" a="1"/>
  <c r="A141" i="2" s="1"/>
  <c r="C141" i="2" a="1"/>
  <c r="C141" i="2" s="1"/>
  <c r="D141" i="2" s="1"/>
  <c r="K141" i="2" s="1" a="1"/>
  <c r="K141" i="2" s="1"/>
  <c r="A92" i="12" a="1"/>
  <c r="A92" i="12" s="1"/>
  <c r="C92" i="12" a="1"/>
  <c r="C92" i="12" s="1"/>
  <c r="D92" i="12" s="1"/>
  <c r="K92" i="12" s="1" a="1"/>
  <c r="K92" i="12" s="1"/>
  <c r="A93" i="12" a="1"/>
  <c r="A93" i="12" s="1"/>
  <c r="C93" i="12" a="1"/>
  <c r="C93" i="12" s="1"/>
  <c r="D93" i="12" s="1"/>
  <c r="K93" i="12" s="1" a="1"/>
  <c r="K93" i="12" s="1"/>
  <c r="A94" i="12" a="1"/>
  <c r="A94" i="12" s="1"/>
  <c r="C94" i="12" a="1"/>
  <c r="C94" i="12" s="1"/>
  <c r="D94" i="12" s="1"/>
  <c r="K94" i="12" s="1" a="1"/>
  <c r="K94" i="12" s="1"/>
  <c r="A95" i="12" a="1"/>
  <c r="A95" i="12" s="1"/>
  <c r="C95" i="12" a="1"/>
  <c r="C95" i="12" s="1"/>
  <c r="D95" i="12" s="1"/>
  <c r="K95" i="12" s="1" a="1"/>
  <c r="K95" i="12" s="1"/>
  <c r="A96" i="12" a="1"/>
  <c r="A96" i="12" s="1"/>
  <c r="C96" i="12" a="1"/>
  <c r="C96" i="12" s="1"/>
  <c r="D96" i="12" s="1"/>
  <c r="K96" i="12" s="1" a="1"/>
  <c r="K96" i="12" s="1"/>
  <c r="A97" i="12" a="1"/>
  <c r="A97" i="12" s="1"/>
  <c r="C97" i="12" a="1"/>
  <c r="C97" i="12" s="1"/>
  <c r="D97" i="12" s="1"/>
  <c r="K97" i="12" s="1" a="1"/>
  <c r="K97" i="12" s="1"/>
  <c r="A98" i="12" a="1"/>
  <c r="A98" i="12" s="1"/>
  <c r="C98" i="12" a="1"/>
  <c r="C98" i="12" s="1"/>
  <c r="D98" i="12" s="1"/>
  <c r="K98" i="12" s="1" a="1"/>
  <c r="K98" i="12" s="1"/>
  <c r="A99" i="12" a="1"/>
  <c r="A99" i="12" s="1"/>
  <c r="C99" i="12" a="1"/>
  <c r="C99" i="12" s="1"/>
  <c r="D99" i="12" s="1"/>
  <c r="K99" i="12" s="1" a="1"/>
  <c r="K99" i="12" s="1"/>
  <c r="A100" i="12" a="1"/>
  <c r="A100" i="12" s="1"/>
  <c r="C100" i="12" a="1"/>
  <c r="C100" i="12" s="1"/>
  <c r="D100" i="12" s="1"/>
  <c r="K100" i="12" s="1" a="1"/>
  <c r="K100" i="12" s="1"/>
  <c r="A101" i="12" a="1"/>
  <c r="A101" i="12" s="1"/>
  <c r="C101" i="12" a="1"/>
  <c r="C101" i="12" s="1"/>
  <c r="D101" i="12" s="1"/>
  <c r="K101" i="12" s="1" a="1"/>
  <c r="K101" i="12" s="1"/>
  <c r="A102" i="12" a="1"/>
  <c r="A102" i="12" s="1"/>
  <c r="C102" i="12" a="1"/>
  <c r="C102" i="12" s="1"/>
  <c r="D102" i="12" s="1"/>
  <c r="K102" i="12" s="1" a="1"/>
  <c r="K102" i="12" s="1"/>
  <c r="A103" i="12" a="1"/>
  <c r="A103" i="12" s="1"/>
  <c r="C103" i="12" a="1"/>
  <c r="C103" i="12" s="1"/>
  <c r="D103" i="12" s="1"/>
  <c r="K103" i="12" s="1" a="1"/>
  <c r="K103" i="12" s="1"/>
  <c r="A104" i="12" a="1"/>
  <c r="A104" i="12" s="1"/>
  <c r="C104" i="12" a="1"/>
  <c r="C104" i="12" s="1"/>
  <c r="D104" i="12" s="1"/>
  <c r="K104" i="12" s="1" a="1"/>
  <c r="K104" i="12" s="1"/>
  <c r="A105" i="12" a="1"/>
  <c r="A105" i="12" s="1"/>
  <c r="C105" i="12" a="1"/>
  <c r="C105" i="12" s="1"/>
  <c r="D105" i="12" s="1"/>
  <c r="K105" i="12" s="1" a="1"/>
  <c r="K105" i="12" s="1"/>
  <c r="A106" i="12" a="1"/>
  <c r="A106" i="12" s="1"/>
  <c r="C106" i="12" a="1"/>
  <c r="C106" i="12" s="1"/>
  <c r="D106" i="12" s="1"/>
  <c r="K106" i="12" s="1" a="1"/>
  <c r="K106" i="12" s="1"/>
  <c r="A107" i="12" a="1"/>
  <c r="A107" i="12" s="1"/>
  <c r="C107" i="12" a="1"/>
  <c r="C107" i="12" s="1"/>
  <c r="D107" i="12" s="1"/>
  <c r="K107" i="12" s="1" a="1"/>
  <c r="K107" i="12" s="1"/>
  <c r="A108" i="12" a="1"/>
  <c r="A108" i="12" s="1"/>
  <c r="C108" i="12" a="1"/>
  <c r="C108" i="12" s="1"/>
  <c r="D108" i="12" s="1"/>
  <c r="K108" i="12" s="1" a="1"/>
  <c r="K108" i="12" s="1"/>
  <c r="A109" i="12" a="1"/>
  <c r="A109" i="12" s="1"/>
  <c r="C109" i="12" a="1"/>
  <c r="C109" i="12" s="1"/>
  <c r="D109" i="12" s="1"/>
  <c r="K109" i="12" s="1" a="1"/>
  <c r="K109" i="12" s="1"/>
  <c r="A110" i="12" a="1"/>
  <c r="A110" i="12" s="1"/>
  <c r="C110" i="12" a="1"/>
  <c r="C110" i="12" s="1"/>
  <c r="D110" i="12" s="1"/>
  <c r="K110" i="12" s="1" a="1"/>
  <c r="K110" i="12" s="1"/>
  <c r="A111" i="12" a="1"/>
  <c r="A111" i="12" s="1"/>
  <c r="C111" i="12" a="1"/>
  <c r="C111" i="12" s="1"/>
  <c r="D111" i="12" s="1"/>
  <c r="K111" i="12" s="1" a="1"/>
  <c r="K111" i="12" s="1"/>
  <c r="A112" i="12" a="1"/>
  <c r="A112" i="12" s="1"/>
  <c r="C112" i="12" a="1"/>
  <c r="C112" i="12" s="1"/>
  <c r="D112" i="12" s="1"/>
  <c r="K112" i="12" s="1" a="1"/>
  <c r="K112" i="12" s="1"/>
  <c r="A113" i="12" a="1"/>
  <c r="A113" i="12" s="1"/>
  <c r="C113" i="12" a="1"/>
  <c r="C113" i="12" s="1"/>
  <c r="D113" i="12" s="1"/>
  <c r="K113" i="12" s="1" a="1"/>
  <c r="K113" i="12" s="1"/>
  <c r="A114" i="12" a="1"/>
  <c r="A114" i="12" s="1"/>
  <c r="C114" i="12" a="1"/>
  <c r="C114" i="12" s="1"/>
  <c r="D114" i="12" s="1"/>
  <c r="K114" i="12" s="1" a="1"/>
  <c r="K114" i="12" s="1"/>
  <c r="A115" i="12" a="1"/>
  <c r="A115" i="12" s="1"/>
  <c r="C115" i="12" a="1"/>
  <c r="C115" i="12" s="1"/>
  <c r="D115" i="12" s="1"/>
  <c r="K115" i="12" s="1" a="1"/>
  <c r="K115" i="12" s="1"/>
  <c r="A116" i="12" a="1"/>
  <c r="A116" i="12" s="1"/>
  <c r="C116" i="12" a="1"/>
  <c r="C116" i="12" s="1"/>
  <c r="D116" i="12" s="1"/>
  <c r="K116" i="12" s="1" a="1"/>
  <c r="K116" i="12" s="1"/>
  <c r="A117" i="12" a="1"/>
  <c r="A117" i="12" s="1"/>
  <c r="C117" i="12" a="1"/>
  <c r="C117" i="12" s="1"/>
  <c r="D117" i="12" s="1"/>
  <c r="K117" i="12" s="1" a="1"/>
  <c r="K117" i="12" s="1"/>
  <c r="A118" i="12" a="1"/>
  <c r="A118" i="12" s="1"/>
  <c r="C118" i="12" a="1"/>
  <c r="C118" i="12" s="1"/>
  <c r="D118" i="12" s="1"/>
  <c r="K118" i="12" s="1" a="1"/>
  <c r="K118" i="12" s="1"/>
  <c r="A119" i="12" a="1"/>
  <c r="A119" i="12" s="1"/>
  <c r="C119" i="12" a="1"/>
  <c r="C119" i="12" s="1"/>
  <c r="D119" i="12" s="1"/>
  <c r="K119" i="12" s="1" a="1"/>
  <c r="K119" i="12" s="1"/>
  <c r="A120" i="12" a="1"/>
  <c r="A120" i="12" s="1"/>
  <c r="C120" i="12" a="1"/>
  <c r="C120" i="12" s="1"/>
  <c r="D120" i="12" s="1"/>
  <c r="K120" i="12" s="1" a="1"/>
  <c r="K120" i="12" s="1"/>
  <c r="A121" i="12" a="1"/>
  <c r="A121" i="12" s="1"/>
  <c r="C121" i="12" a="1"/>
  <c r="C121" i="12" s="1"/>
  <c r="D121" i="12" s="1"/>
  <c r="K121" i="12" s="1" a="1"/>
  <c r="K121" i="12" s="1"/>
  <c r="A122" i="12" a="1"/>
  <c r="A122" i="12" s="1"/>
  <c r="C122" i="12" a="1"/>
  <c r="C122" i="12" s="1"/>
  <c r="D122" i="12" s="1"/>
  <c r="K122" i="12" s="1" a="1"/>
  <c r="K122" i="12" s="1"/>
  <c r="A123" i="12" a="1"/>
  <c r="A123" i="12" s="1"/>
  <c r="C123" i="12" a="1"/>
  <c r="C123" i="12" s="1"/>
  <c r="D123" i="12" s="1"/>
  <c r="K123" i="12" s="1" a="1"/>
  <c r="K123" i="12" s="1"/>
  <c r="A124" i="12" a="1"/>
  <c r="A124" i="12" s="1"/>
  <c r="C124" i="12" a="1"/>
  <c r="C124" i="12" s="1"/>
  <c r="D124" i="12" s="1"/>
  <c r="K124" i="12" s="1" a="1"/>
  <c r="K124" i="12" s="1"/>
  <c r="A125" i="12" a="1"/>
  <c r="A125" i="12" s="1"/>
  <c r="C125" i="12" a="1"/>
  <c r="C125" i="12" s="1"/>
  <c r="D125" i="12" s="1"/>
  <c r="K125" i="12" s="1" a="1"/>
  <c r="K125" i="12" s="1"/>
  <c r="A126" i="12" a="1"/>
  <c r="A126" i="12" s="1"/>
  <c r="C126" i="12" a="1"/>
  <c r="C126" i="12" s="1"/>
  <c r="D126" i="12" s="1"/>
  <c r="K126" i="12" s="1" a="1"/>
  <c r="K126" i="12" s="1"/>
  <c r="A127" i="12" a="1"/>
  <c r="A127" i="12" s="1"/>
  <c r="C127" i="12" a="1"/>
  <c r="C127" i="12" s="1"/>
  <c r="D127" i="12" s="1"/>
  <c r="K127" i="12" s="1" a="1"/>
  <c r="K127" i="12" s="1"/>
  <c r="A128" i="12" a="1"/>
  <c r="A128" i="12" s="1"/>
  <c r="C128" i="12" a="1"/>
  <c r="C128" i="12" s="1"/>
  <c r="D128" i="12" s="1"/>
  <c r="K128" i="12" s="1" a="1"/>
  <c r="K128" i="12" s="1"/>
  <c r="A129" i="12" a="1"/>
  <c r="A129" i="12" s="1"/>
  <c r="C129" i="12" a="1"/>
  <c r="C129" i="12" s="1"/>
  <c r="D129" i="12" s="1"/>
  <c r="K129" i="12" s="1" a="1"/>
  <c r="K129" i="12" s="1"/>
  <c r="A130" i="12" a="1"/>
  <c r="A130" i="12" s="1"/>
  <c r="C130" i="12" a="1"/>
  <c r="C130" i="12" s="1"/>
  <c r="D130" i="12" s="1"/>
  <c r="K130" i="12" s="1" a="1"/>
  <c r="K130" i="12" s="1"/>
  <c r="A131" i="12" a="1"/>
  <c r="A131" i="12" s="1"/>
  <c r="C131" i="12" a="1"/>
  <c r="C131" i="12" s="1"/>
  <c r="D131" i="12" s="1"/>
  <c r="K131" i="12" s="1" a="1"/>
  <c r="K131" i="12" s="1"/>
  <c r="A132" i="12" a="1"/>
  <c r="A132" i="12" s="1"/>
  <c r="C132" i="12" a="1"/>
  <c r="C132" i="12" s="1"/>
  <c r="D132" i="12" s="1"/>
  <c r="K132" i="12" s="1" a="1"/>
  <c r="K132" i="12" s="1"/>
  <c r="A133" i="12" a="1"/>
  <c r="A133" i="12" s="1"/>
  <c r="C133" i="12" a="1"/>
  <c r="C133" i="12" s="1"/>
  <c r="D133" i="12" s="1"/>
  <c r="K133" i="12" s="1" a="1"/>
  <c r="K133" i="12" s="1"/>
  <c r="A134" i="12" a="1"/>
  <c r="A134" i="12" s="1"/>
  <c r="C134" i="12" a="1"/>
  <c r="C134" i="12" s="1"/>
  <c r="D134" i="12" s="1"/>
  <c r="K134" i="12" s="1" a="1"/>
  <c r="K134" i="12" s="1"/>
  <c r="A135" i="12" a="1"/>
  <c r="A135" i="12" s="1"/>
  <c r="C135" i="12" a="1"/>
  <c r="C135" i="12" s="1"/>
  <c r="D135" i="12" s="1"/>
  <c r="K135" i="12" s="1" a="1"/>
  <c r="K135" i="12" s="1"/>
  <c r="A136" i="12" a="1"/>
  <c r="A136" i="12" s="1"/>
  <c r="C136" i="12" a="1"/>
  <c r="C136" i="12" s="1"/>
  <c r="D136" i="12" s="1"/>
  <c r="K136" i="12" s="1" a="1"/>
  <c r="K136" i="12" s="1"/>
  <c r="A82" i="11" a="1"/>
  <c r="A82" i="11" s="1"/>
  <c r="C82" i="11" a="1"/>
  <c r="C82" i="11" s="1"/>
  <c r="D82" i="11" s="1"/>
  <c r="K82" i="11" s="1" a="1"/>
  <c r="K82" i="11" s="1"/>
  <c r="A83" i="11" a="1"/>
  <c r="A83" i="11" s="1"/>
  <c r="C83" i="11" a="1"/>
  <c r="C83" i="11" s="1"/>
  <c r="D83" i="11" s="1"/>
  <c r="K83" i="11" s="1" a="1"/>
  <c r="K83" i="11" s="1"/>
  <c r="A84" i="11" a="1"/>
  <c r="A84" i="11" s="1"/>
  <c r="C84" i="11" a="1"/>
  <c r="C84" i="11" s="1"/>
  <c r="D84" i="11" s="1"/>
  <c r="K84" i="11" s="1" a="1"/>
  <c r="K84" i="11" s="1"/>
  <c r="A85" i="11" a="1"/>
  <c r="A85" i="11" s="1"/>
  <c r="C85" i="11" a="1"/>
  <c r="C85" i="11" s="1"/>
  <c r="D85" i="11" s="1"/>
  <c r="K85" i="11" s="1" a="1"/>
  <c r="K85" i="11" s="1"/>
  <c r="A86" i="11" a="1"/>
  <c r="A86" i="11" s="1"/>
  <c r="C86" i="11" a="1"/>
  <c r="C86" i="11" s="1"/>
  <c r="D86" i="11" s="1"/>
  <c r="K86" i="11" s="1" a="1"/>
  <c r="K86" i="11" s="1"/>
  <c r="A87" i="11" a="1"/>
  <c r="A87" i="11" s="1"/>
  <c r="C87" i="11" a="1"/>
  <c r="C87" i="11" s="1"/>
  <c r="D87" i="11" s="1"/>
  <c r="K87" i="11" s="1" a="1"/>
  <c r="K87" i="11" s="1"/>
  <c r="A88" i="11" a="1"/>
  <c r="A88" i="11" s="1"/>
  <c r="C88" i="11" a="1"/>
  <c r="C88" i="11" s="1"/>
  <c r="D88" i="11" s="1"/>
  <c r="K88" i="11" s="1" a="1"/>
  <c r="K88" i="11" s="1"/>
  <c r="A89" i="11" a="1"/>
  <c r="A89" i="11" s="1"/>
  <c r="C89" i="11" a="1"/>
  <c r="C89" i="11" s="1"/>
  <c r="D89" i="11" s="1"/>
  <c r="K89" i="11" s="1" a="1"/>
  <c r="K89" i="11" s="1"/>
  <c r="A90" i="11" a="1"/>
  <c r="A90" i="11" s="1"/>
  <c r="C90" i="11" a="1"/>
  <c r="C90" i="11" s="1"/>
  <c r="D90" i="11" s="1"/>
  <c r="K90" i="11" s="1" a="1"/>
  <c r="K90" i="11" s="1"/>
  <c r="A91" i="11" a="1"/>
  <c r="A91" i="11" s="1"/>
  <c r="C91" i="11" a="1"/>
  <c r="C91" i="11" s="1"/>
  <c r="D91" i="11" s="1"/>
  <c r="K91" i="11" s="1" a="1"/>
  <c r="K91" i="11" s="1"/>
  <c r="A92" i="11" a="1"/>
  <c r="A92" i="11" s="1"/>
  <c r="C92" i="11" a="1"/>
  <c r="C92" i="11" s="1"/>
  <c r="D92" i="11" s="1"/>
  <c r="K92" i="11" s="1" a="1"/>
  <c r="K92" i="11" s="1"/>
  <c r="A93" i="11" a="1"/>
  <c r="A93" i="11" s="1"/>
  <c r="C93" i="11" a="1"/>
  <c r="C93" i="11" s="1"/>
  <c r="D93" i="11" s="1"/>
  <c r="K93" i="11" s="1" a="1"/>
  <c r="K93" i="11" s="1"/>
  <c r="A94" i="11" a="1"/>
  <c r="A94" i="11" s="1"/>
  <c r="C94" i="11" a="1"/>
  <c r="C94" i="11" s="1"/>
  <c r="D94" i="11" s="1"/>
  <c r="K94" i="11" s="1" a="1"/>
  <c r="K94" i="11" s="1"/>
  <c r="A95" i="11" a="1"/>
  <c r="A95" i="11" s="1"/>
  <c r="C95" i="11" a="1"/>
  <c r="C95" i="11" s="1"/>
  <c r="D95" i="11" s="1"/>
  <c r="K95" i="11" s="1" a="1"/>
  <c r="K95" i="11" s="1"/>
  <c r="A96" i="11" a="1"/>
  <c r="A96" i="11" s="1"/>
  <c r="C96" i="11" a="1"/>
  <c r="C96" i="11" s="1"/>
  <c r="D96" i="11" s="1"/>
  <c r="K96" i="11" s="1" a="1"/>
  <c r="K96" i="11" s="1"/>
  <c r="A97" i="11" a="1"/>
  <c r="A97" i="11" s="1"/>
  <c r="C97" i="11" a="1"/>
  <c r="C97" i="11" s="1"/>
  <c r="D97" i="11" s="1"/>
  <c r="K97" i="11" s="1" a="1"/>
  <c r="K97" i="11" s="1"/>
  <c r="A98" i="11" a="1"/>
  <c r="A98" i="11" s="1"/>
  <c r="C98" i="11" a="1"/>
  <c r="C98" i="11" s="1"/>
  <c r="D98" i="11" s="1"/>
  <c r="K98" i="11" s="1" a="1"/>
  <c r="K98" i="11" s="1"/>
  <c r="A99" i="11" a="1"/>
  <c r="A99" i="11" s="1"/>
  <c r="C99" i="11" a="1"/>
  <c r="C99" i="11" s="1"/>
  <c r="D99" i="11" s="1"/>
  <c r="K99" i="11" s="1" a="1"/>
  <c r="K99" i="11" s="1"/>
  <c r="A100" i="11" a="1"/>
  <c r="A100" i="11" s="1"/>
  <c r="C100" i="11" a="1"/>
  <c r="C100" i="11" s="1"/>
  <c r="D100" i="11" s="1"/>
  <c r="K100" i="11" s="1" a="1"/>
  <c r="K100" i="11" s="1"/>
  <c r="A101" i="11" a="1"/>
  <c r="A101" i="11" s="1"/>
  <c r="C101" i="11" a="1"/>
  <c r="C101" i="11" s="1"/>
  <c r="D101" i="11" s="1"/>
  <c r="K101" i="11" s="1" a="1"/>
  <c r="K101" i="11" s="1"/>
  <c r="A102" i="11" a="1"/>
  <c r="A102" i="11" s="1"/>
  <c r="C102" i="11" a="1"/>
  <c r="C102" i="11" s="1"/>
  <c r="D102" i="11" s="1"/>
  <c r="K102" i="11" s="1" a="1"/>
  <c r="K102" i="11" s="1"/>
  <c r="A103" i="11" a="1"/>
  <c r="A103" i="11" s="1"/>
  <c r="C103" i="11" a="1"/>
  <c r="C103" i="11" s="1"/>
  <c r="D103" i="11" s="1"/>
  <c r="K103" i="11" s="1" a="1"/>
  <c r="K103" i="11" s="1"/>
  <c r="A104" i="11" a="1"/>
  <c r="A104" i="11" s="1"/>
  <c r="C104" i="11" a="1"/>
  <c r="C104" i="11" s="1"/>
  <c r="D104" i="11" s="1"/>
  <c r="K104" i="11" s="1" a="1"/>
  <c r="K104" i="11" s="1"/>
  <c r="A105" i="11" a="1"/>
  <c r="A105" i="11" s="1"/>
  <c r="C105" i="11" a="1"/>
  <c r="C105" i="11" s="1"/>
  <c r="D105" i="11" s="1"/>
  <c r="K105" i="11" s="1" a="1"/>
  <c r="K105" i="11" s="1"/>
  <c r="A106" i="11" a="1"/>
  <c r="A106" i="11" s="1"/>
  <c r="C106" i="11" a="1"/>
  <c r="C106" i="11" s="1"/>
  <c r="D106" i="11" s="1"/>
  <c r="K106" i="11" s="1" a="1"/>
  <c r="K106" i="11" s="1"/>
  <c r="A107" i="11" a="1"/>
  <c r="A107" i="11" s="1"/>
  <c r="C107" i="11" a="1"/>
  <c r="C107" i="11" s="1"/>
  <c r="D107" i="11" s="1"/>
  <c r="K107" i="11" s="1" a="1"/>
  <c r="K107" i="11" s="1"/>
  <c r="A108" i="11" a="1"/>
  <c r="A108" i="11" s="1"/>
  <c r="C108" i="11" a="1"/>
  <c r="C108" i="11" s="1"/>
  <c r="D108" i="11" s="1"/>
  <c r="K108" i="11" s="1" a="1"/>
  <c r="K108" i="11" s="1"/>
  <c r="A109" i="11" a="1"/>
  <c r="A109" i="11" s="1"/>
  <c r="C109" i="11" a="1"/>
  <c r="C109" i="11" s="1"/>
  <c r="D109" i="11" s="1"/>
  <c r="K109" i="11" s="1" a="1"/>
  <c r="K109" i="11" s="1"/>
  <c r="A110" i="11" a="1"/>
  <c r="A110" i="11" s="1"/>
  <c r="C110" i="11" a="1"/>
  <c r="C110" i="11" s="1"/>
  <c r="D110" i="11" s="1"/>
  <c r="K110" i="11" s="1" a="1"/>
  <c r="K110" i="11" s="1"/>
  <c r="A111" i="11" a="1"/>
  <c r="A111" i="11" s="1"/>
  <c r="C111" i="11" a="1"/>
  <c r="C111" i="11" s="1"/>
  <c r="D111" i="11" s="1"/>
  <c r="K111" i="11" s="1" a="1"/>
  <c r="K111" i="11" s="1"/>
  <c r="A112" i="11" a="1"/>
  <c r="A112" i="11" s="1"/>
  <c r="C112" i="11" a="1"/>
  <c r="C112" i="11" s="1"/>
  <c r="D112" i="11" s="1"/>
  <c r="K112" i="11" s="1" a="1"/>
  <c r="K112" i="11" s="1"/>
  <c r="A113" i="11" a="1"/>
  <c r="A113" i="11" s="1"/>
  <c r="C113" i="11" a="1"/>
  <c r="C113" i="11" s="1"/>
  <c r="D113" i="11" s="1"/>
  <c r="K113" i="11" s="1" a="1"/>
  <c r="K113" i="11" s="1"/>
  <c r="A114" i="11" a="1"/>
  <c r="A114" i="11" s="1"/>
  <c r="C114" i="11" a="1"/>
  <c r="C114" i="11" s="1"/>
  <c r="D114" i="11" s="1"/>
  <c r="K114" i="11" s="1" a="1"/>
  <c r="K114" i="11" s="1"/>
  <c r="A115" i="11" a="1"/>
  <c r="A115" i="11" s="1"/>
  <c r="C115" i="11" a="1"/>
  <c r="C115" i="11" s="1"/>
  <c r="D115" i="11" s="1"/>
  <c r="K115" i="11" s="1" a="1"/>
  <c r="K115" i="11" s="1"/>
  <c r="A116" i="11" a="1"/>
  <c r="A116" i="11" s="1"/>
  <c r="C116" i="11" a="1"/>
  <c r="C116" i="11" s="1"/>
  <c r="D116" i="11" s="1"/>
  <c r="K116" i="11" s="1" a="1"/>
  <c r="K116" i="11" s="1"/>
  <c r="A117" i="11" a="1"/>
  <c r="A117" i="11" s="1"/>
  <c r="C117" i="11" a="1"/>
  <c r="C117" i="11" s="1"/>
  <c r="D117" i="11" s="1"/>
  <c r="K117" i="11" s="1" a="1"/>
  <c r="K117" i="11" s="1"/>
  <c r="A118" i="11" a="1"/>
  <c r="A118" i="11" s="1"/>
  <c r="C118" i="11" a="1"/>
  <c r="C118" i="11" s="1"/>
  <c r="D118" i="11" s="1"/>
  <c r="K118" i="11" s="1" a="1"/>
  <c r="K118" i="11" s="1"/>
  <c r="A119" i="11" a="1"/>
  <c r="A119" i="11" s="1"/>
  <c r="C119" i="11" a="1"/>
  <c r="C119" i="11" s="1"/>
  <c r="D119" i="11" s="1"/>
  <c r="K119" i="11" s="1" a="1"/>
  <c r="K119" i="11" s="1"/>
  <c r="A120" i="11" a="1"/>
  <c r="A120" i="11" s="1"/>
  <c r="C120" i="11" a="1"/>
  <c r="C120" i="11" s="1"/>
  <c r="D120" i="11" s="1"/>
  <c r="K120" i="11" s="1" a="1"/>
  <c r="K120" i="11" s="1"/>
  <c r="A121" i="11" a="1"/>
  <c r="A121" i="11" s="1"/>
  <c r="C121" i="11" a="1"/>
  <c r="C121" i="11" s="1"/>
  <c r="D121" i="11" s="1"/>
  <c r="K121" i="11" s="1" a="1"/>
  <c r="K121" i="11" s="1"/>
  <c r="A170" i="10" a="1"/>
  <c r="A170" i="10" s="1"/>
  <c r="C170" i="10" a="1"/>
  <c r="C170" i="10" s="1"/>
  <c r="D170" i="10" s="1"/>
  <c r="K170" i="10" s="1" a="1"/>
  <c r="K170" i="10" s="1"/>
  <c r="A171" i="10" a="1"/>
  <c r="A171" i="10" s="1"/>
  <c r="C171" i="10" a="1"/>
  <c r="C171" i="10" s="1"/>
  <c r="D171" i="10" s="1"/>
  <c r="K171" i="10" s="1" a="1"/>
  <c r="K171" i="10" s="1"/>
  <c r="A172" i="10" a="1"/>
  <c r="A172" i="10" s="1"/>
  <c r="C172" i="10" a="1"/>
  <c r="C172" i="10" s="1"/>
  <c r="D172" i="10" s="1"/>
  <c r="A173" i="10" a="1"/>
  <c r="A173" i="10" s="1"/>
  <c r="C173" i="10" a="1"/>
  <c r="C173" i="10" s="1"/>
  <c r="D173" i="10" s="1"/>
  <c r="K173" i="10" s="1" a="1"/>
  <c r="K173" i="10" s="1"/>
  <c r="A174" i="10" a="1"/>
  <c r="A174" i="10" s="1"/>
  <c r="C174" i="10" a="1"/>
  <c r="C174" i="10" s="1"/>
  <c r="D174" i="10" s="1"/>
  <c r="K174" i="10" s="1" a="1"/>
  <c r="K174" i="10" s="1"/>
  <c r="A175" i="10" a="1"/>
  <c r="A175" i="10" s="1"/>
  <c r="C175" i="10" a="1"/>
  <c r="C175" i="10" s="1"/>
  <c r="D175" i="10" s="1"/>
  <c r="K175" i="10" s="1" a="1"/>
  <c r="K175" i="10" s="1"/>
  <c r="A176" i="10" a="1"/>
  <c r="A176" i="10" s="1"/>
  <c r="C176" i="10" a="1"/>
  <c r="C176" i="10" s="1"/>
  <c r="D176" i="10" s="1"/>
  <c r="K176" i="10" s="1" a="1"/>
  <c r="K176" i="10" s="1"/>
  <c r="A177" i="10" a="1"/>
  <c r="A177" i="10" s="1"/>
  <c r="C177" i="10" a="1"/>
  <c r="C177" i="10" s="1"/>
  <c r="D177" i="10" s="1"/>
  <c r="K177" i="10" s="1" a="1"/>
  <c r="K177" i="10" s="1"/>
  <c r="A178" i="10" a="1"/>
  <c r="A178" i="10" s="1"/>
  <c r="C178" i="10" a="1"/>
  <c r="C178" i="10" s="1"/>
  <c r="D178" i="10" s="1"/>
  <c r="K178" i="10" s="1" a="1"/>
  <c r="K178" i="10" s="1"/>
  <c r="A179" i="10" a="1"/>
  <c r="A179" i="10" s="1"/>
  <c r="C179" i="10" a="1"/>
  <c r="C179" i="10" s="1"/>
  <c r="D179" i="10" s="1"/>
  <c r="K179" i="10" s="1" a="1"/>
  <c r="K179" i="10" s="1"/>
  <c r="A180" i="10" a="1"/>
  <c r="A180" i="10" s="1"/>
  <c r="C180" i="10" a="1"/>
  <c r="C180" i="10" s="1"/>
  <c r="D180" i="10" s="1"/>
  <c r="K180" i="10" s="1" a="1"/>
  <c r="K180" i="10" s="1"/>
  <c r="A181" i="10" a="1"/>
  <c r="A181" i="10" s="1"/>
  <c r="C181" i="10" a="1"/>
  <c r="C181" i="10" s="1"/>
  <c r="D181" i="10" s="1"/>
  <c r="K181" i="10" s="1" a="1"/>
  <c r="K181" i="10" s="1"/>
  <c r="A122" i="10" a="1"/>
  <c r="A122" i="10" s="1"/>
  <c r="C122" i="10" a="1"/>
  <c r="C122" i="10" s="1"/>
  <c r="D122" i="10" s="1"/>
  <c r="K122" i="10" s="1" a="1"/>
  <c r="K122" i="10" s="1"/>
  <c r="A123" i="10" a="1"/>
  <c r="A123" i="10" s="1"/>
  <c r="C123" i="10" a="1"/>
  <c r="C123" i="10" s="1"/>
  <c r="D123" i="10" s="1"/>
  <c r="K123" i="10" s="1" a="1"/>
  <c r="K123" i="10" s="1"/>
  <c r="A124" i="10" a="1"/>
  <c r="A124" i="10" s="1"/>
  <c r="C124" i="10" a="1"/>
  <c r="C124" i="10" s="1"/>
  <c r="D124" i="10" s="1"/>
  <c r="A125" i="10" a="1"/>
  <c r="A125" i="10" s="1"/>
  <c r="C125" i="10" a="1"/>
  <c r="C125" i="10" s="1"/>
  <c r="D125" i="10" s="1"/>
  <c r="K125" i="10" s="1" a="1"/>
  <c r="K125" i="10" s="1"/>
  <c r="A126" i="10" a="1"/>
  <c r="A126" i="10" s="1"/>
  <c r="C126" i="10" a="1"/>
  <c r="C126" i="10" s="1"/>
  <c r="D126" i="10" s="1"/>
  <c r="K126" i="10" s="1" a="1"/>
  <c r="K126" i="10" s="1"/>
  <c r="A127" i="10" a="1"/>
  <c r="A127" i="10" s="1"/>
  <c r="C127" i="10" a="1"/>
  <c r="C127" i="10" s="1"/>
  <c r="D127" i="10" s="1"/>
  <c r="K127" i="10" s="1" a="1"/>
  <c r="K127" i="10" s="1"/>
  <c r="A128" i="10" a="1"/>
  <c r="A128" i="10" s="1"/>
  <c r="C128" i="10" a="1"/>
  <c r="C128" i="10" s="1"/>
  <c r="D128" i="10" s="1"/>
  <c r="K128" i="10" s="1" a="1"/>
  <c r="K128" i="10" s="1"/>
  <c r="A129" i="10" a="1"/>
  <c r="A129" i="10" s="1"/>
  <c r="C129" i="10" a="1"/>
  <c r="C129" i="10" s="1"/>
  <c r="D129" i="10" s="1"/>
  <c r="K129" i="10" s="1" a="1"/>
  <c r="K129" i="10" s="1"/>
  <c r="A130" i="10" a="1"/>
  <c r="A130" i="10" s="1"/>
  <c r="C130" i="10" a="1"/>
  <c r="C130" i="10" s="1"/>
  <c r="D130" i="10" s="1"/>
  <c r="K130" i="10" s="1" a="1"/>
  <c r="K130" i="10" s="1"/>
  <c r="A131" i="10" a="1"/>
  <c r="A131" i="10" s="1"/>
  <c r="C131" i="10" a="1"/>
  <c r="C131" i="10" s="1"/>
  <c r="D131" i="10" s="1"/>
  <c r="K131" i="10" s="1" a="1"/>
  <c r="K131" i="10" s="1"/>
  <c r="A132" i="10" a="1"/>
  <c r="A132" i="10" s="1"/>
  <c r="C132" i="10" a="1"/>
  <c r="C132" i="10" s="1"/>
  <c r="D132" i="10" s="1"/>
  <c r="K132" i="10" s="1" a="1"/>
  <c r="K132" i="10" s="1"/>
  <c r="A133" i="10" a="1"/>
  <c r="A133" i="10" s="1"/>
  <c r="C133" i="10" a="1"/>
  <c r="C133" i="10" s="1"/>
  <c r="D133" i="10" s="1"/>
  <c r="K133" i="10" s="1" a="1"/>
  <c r="K133" i="10" s="1"/>
  <c r="A134" i="10" a="1"/>
  <c r="A134" i="10" s="1"/>
  <c r="C134" i="10" a="1"/>
  <c r="C134" i="10" s="1"/>
  <c r="D134" i="10" s="1"/>
  <c r="K134" i="10" s="1" a="1"/>
  <c r="K134" i="10" s="1"/>
  <c r="A135" i="10" a="1"/>
  <c r="A135" i="10" s="1"/>
  <c r="C135" i="10" a="1"/>
  <c r="C135" i="10" s="1"/>
  <c r="D135" i="10" s="1"/>
  <c r="K135" i="10" s="1" a="1"/>
  <c r="K135" i="10" s="1"/>
  <c r="A136" i="10" a="1"/>
  <c r="A136" i="10" s="1"/>
  <c r="C136" i="10" a="1"/>
  <c r="C136" i="10" s="1"/>
  <c r="D136" i="10" s="1"/>
  <c r="K136" i="10" s="1" a="1"/>
  <c r="K136" i="10" s="1"/>
  <c r="A137" i="10" a="1"/>
  <c r="A137" i="10" s="1"/>
  <c r="C137" i="10" a="1"/>
  <c r="C137" i="10" s="1"/>
  <c r="D137" i="10" s="1"/>
  <c r="K137" i="10" s="1" a="1"/>
  <c r="K137" i="10" s="1"/>
  <c r="A138" i="10" a="1"/>
  <c r="A138" i="10" s="1"/>
  <c r="C138" i="10" a="1"/>
  <c r="C138" i="10" s="1"/>
  <c r="D138" i="10" s="1"/>
  <c r="K138" i="10" s="1" a="1"/>
  <c r="K138" i="10" s="1"/>
  <c r="A139" i="10" a="1"/>
  <c r="A139" i="10" s="1"/>
  <c r="C139" i="10" a="1"/>
  <c r="C139" i="10" s="1"/>
  <c r="D139" i="10" s="1"/>
  <c r="K139" i="10" s="1" a="1"/>
  <c r="K139" i="10" s="1"/>
  <c r="A140" i="10" a="1"/>
  <c r="A140" i="10" s="1"/>
  <c r="C140" i="10" a="1"/>
  <c r="C140" i="10" s="1"/>
  <c r="D140" i="10" s="1"/>
  <c r="K140" i="10" s="1" a="1"/>
  <c r="K140" i="10" s="1"/>
  <c r="A141" i="10" a="1"/>
  <c r="A141" i="10" s="1"/>
  <c r="C141" i="10" a="1"/>
  <c r="C141" i="10" s="1"/>
  <c r="D141" i="10" s="1"/>
  <c r="K141" i="10" s="1" a="1"/>
  <c r="K141" i="10" s="1"/>
  <c r="A142" i="10" a="1"/>
  <c r="A142" i="10" s="1"/>
  <c r="C142" i="10" a="1"/>
  <c r="C142" i="10" s="1"/>
  <c r="D142" i="10" s="1"/>
  <c r="K142" i="10" s="1" a="1"/>
  <c r="K142" i="10" s="1"/>
  <c r="A143" i="10" a="1"/>
  <c r="A143" i="10" s="1"/>
  <c r="C143" i="10" a="1"/>
  <c r="C143" i="10" s="1"/>
  <c r="D143" i="10" s="1"/>
  <c r="K143" i="10" s="1" a="1"/>
  <c r="K143" i="10" s="1"/>
  <c r="A144" i="10" a="1"/>
  <c r="A144" i="10" s="1"/>
  <c r="C144" i="10" a="1"/>
  <c r="C144" i="10" s="1"/>
  <c r="D144" i="10" s="1"/>
  <c r="K144" i="10" s="1" a="1"/>
  <c r="K144" i="10" s="1"/>
  <c r="A145" i="10" a="1"/>
  <c r="A145" i="10" s="1"/>
  <c r="C145" i="10" a="1"/>
  <c r="C145" i="10" s="1"/>
  <c r="D145" i="10" s="1"/>
  <c r="K145" i="10" s="1" a="1"/>
  <c r="K145" i="10" s="1"/>
  <c r="A146" i="10" a="1"/>
  <c r="A146" i="10" s="1"/>
  <c r="C146" i="10" a="1"/>
  <c r="C146" i="10" s="1"/>
  <c r="D146" i="10" s="1"/>
  <c r="K146" i="10" s="1" a="1"/>
  <c r="K146" i="10" s="1"/>
  <c r="A147" i="10" a="1"/>
  <c r="A147" i="10" s="1"/>
  <c r="C147" i="10" a="1"/>
  <c r="C147" i="10" s="1"/>
  <c r="D147" i="10" s="1"/>
  <c r="K147" i="10" s="1" a="1"/>
  <c r="K147" i="10" s="1"/>
  <c r="A148" i="10" a="1"/>
  <c r="A148" i="10" s="1"/>
  <c r="C148" i="10" a="1"/>
  <c r="C148" i="10" s="1"/>
  <c r="D148" i="10" s="1"/>
  <c r="A149" i="10" a="1"/>
  <c r="A149" i="10" s="1"/>
  <c r="C149" i="10" a="1"/>
  <c r="C149" i="10" s="1"/>
  <c r="D149" i="10" s="1"/>
  <c r="K149" i="10" s="1" a="1"/>
  <c r="K149" i="10" s="1"/>
  <c r="A150" i="10" a="1"/>
  <c r="A150" i="10" s="1"/>
  <c r="C150" i="10" a="1"/>
  <c r="C150" i="10" s="1"/>
  <c r="D150" i="10" s="1"/>
  <c r="K150" i="10" s="1" a="1"/>
  <c r="K150" i="10" s="1"/>
  <c r="A151" i="10" a="1"/>
  <c r="A151" i="10" s="1"/>
  <c r="C151" i="10" a="1"/>
  <c r="C151" i="10" s="1"/>
  <c r="D151" i="10" s="1"/>
  <c r="K151" i="10" s="1" a="1"/>
  <c r="K151" i="10" s="1"/>
  <c r="A152" i="10" a="1"/>
  <c r="A152" i="10" s="1"/>
  <c r="C152" i="10" a="1"/>
  <c r="C152" i="10" s="1"/>
  <c r="D152" i="10" s="1"/>
  <c r="K152" i="10" s="1" a="1"/>
  <c r="K152" i="10" s="1"/>
  <c r="A153" i="10" a="1"/>
  <c r="A153" i="10" s="1"/>
  <c r="C153" i="10" a="1"/>
  <c r="C153" i="10" s="1"/>
  <c r="D153" i="10" s="1"/>
  <c r="K153" i="10" s="1" a="1"/>
  <c r="K153" i="10" s="1"/>
  <c r="A154" i="10" a="1"/>
  <c r="A154" i="10" s="1"/>
  <c r="C154" i="10" a="1"/>
  <c r="C154" i="10" s="1"/>
  <c r="D154" i="10" s="1"/>
  <c r="K154" i="10" s="1" a="1"/>
  <c r="K154" i="10" s="1"/>
  <c r="A155" i="10" a="1"/>
  <c r="A155" i="10" s="1"/>
  <c r="C155" i="10" a="1"/>
  <c r="C155" i="10" s="1"/>
  <c r="D155" i="10" s="1"/>
  <c r="K155" i="10" s="1" a="1"/>
  <c r="K155" i="10" s="1"/>
  <c r="A156" i="10" a="1"/>
  <c r="A156" i="10" s="1"/>
  <c r="C156" i="10" a="1"/>
  <c r="C156" i="10" s="1"/>
  <c r="D156" i="10" s="1"/>
  <c r="K156" i="10" s="1" a="1"/>
  <c r="K156" i="10" s="1"/>
  <c r="A157" i="10" a="1"/>
  <c r="A157" i="10" s="1"/>
  <c r="C157" i="10" a="1"/>
  <c r="C157" i="10" s="1"/>
  <c r="D157" i="10" s="1"/>
  <c r="K157" i="10" s="1" a="1"/>
  <c r="K157" i="10" s="1"/>
  <c r="A158" i="10" a="1"/>
  <c r="A158" i="10" s="1"/>
  <c r="C158" i="10" a="1"/>
  <c r="C158" i="10" s="1"/>
  <c r="D158" i="10" s="1"/>
  <c r="K158" i="10" s="1" a="1"/>
  <c r="K158" i="10" s="1"/>
  <c r="A159" i="10" a="1"/>
  <c r="A159" i="10" s="1"/>
  <c r="C159" i="10" a="1"/>
  <c r="C159" i="10" s="1"/>
  <c r="D159" i="10" s="1"/>
  <c r="A160" i="10" a="1"/>
  <c r="A160" i="10" s="1"/>
  <c r="C160" i="10" a="1"/>
  <c r="C160" i="10" s="1"/>
  <c r="D160" i="10" s="1"/>
  <c r="K160" i="10" s="1" a="1"/>
  <c r="K160" i="10" s="1"/>
  <c r="A161" i="10" a="1"/>
  <c r="A161" i="10" s="1"/>
  <c r="C161" i="10" a="1"/>
  <c r="C161" i="10" s="1"/>
  <c r="D161" i="10" s="1"/>
  <c r="K161" i="10" s="1" a="1"/>
  <c r="K161" i="10" s="1"/>
  <c r="A162" i="10" a="1"/>
  <c r="A162" i="10" s="1"/>
  <c r="C162" i="10" a="1"/>
  <c r="C162" i="10" s="1"/>
  <c r="D162" i="10" s="1"/>
  <c r="K162" i="10" s="1" a="1"/>
  <c r="K162" i="10" s="1"/>
  <c r="A163" i="10" a="1"/>
  <c r="A163" i="10" s="1"/>
  <c r="C163" i="10" a="1"/>
  <c r="C163" i="10" s="1"/>
  <c r="D163" i="10" s="1"/>
  <c r="K163" i="10" s="1" a="1"/>
  <c r="K163" i="10" s="1"/>
  <c r="A164" i="10" a="1"/>
  <c r="A164" i="10" s="1"/>
  <c r="C164" i="10" a="1"/>
  <c r="C164" i="10" s="1"/>
  <c r="D164" i="10" s="1"/>
  <c r="K164" i="10" s="1" a="1"/>
  <c r="K164" i="10" s="1"/>
  <c r="A165" i="10" a="1"/>
  <c r="A165" i="10" s="1"/>
  <c r="C165" i="10" a="1"/>
  <c r="C165" i="10" s="1"/>
  <c r="D165" i="10" s="1"/>
  <c r="K165" i="10" s="1" a="1"/>
  <c r="K165" i="10" s="1"/>
  <c r="A166" i="10" a="1"/>
  <c r="A166" i="10" s="1"/>
  <c r="C166" i="10" a="1"/>
  <c r="C166" i="10" s="1"/>
  <c r="D166" i="10" s="1"/>
  <c r="K166" i="10" s="1" a="1"/>
  <c r="K166" i="10" s="1"/>
  <c r="A167" i="10" a="1"/>
  <c r="A167" i="10" s="1"/>
  <c r="C167" i="10" a="1"/>
  <c r="C167" i="10" s="1"/>
  <c r="D167" i="10" s="1"/>
  <c r="K167" i="10" s="1" a="1"/>
  <c r="K167" i="10" s="1"/>
  <c r="A168" i="10" a="1"/>
  <c r="A168" i="10" s="1"/>
  <c r="C168" i="10" a="1"/>
  <c r="C168" i="10" s="1"/>
  <c r="D168" i="10" s="1"/>
  <c r="K168" i="10" s="1" a="1"/>
  <c r="K168" i="10" s="1"/>
  <c r="A169" i="10" a="1"/>
  <c r="A169" i="10" s="1"/>
  <c r="C169" i="10" a="1"/>
  <c r="C169" i="10" s="1"/>
  <c r="D169" i="10" s="1"/>
  <c r="K169" i="10" s="1" a="1"/>
  <c r="K169" i="10" s="1"/>
  <c r="A100" i="2" a="1"/>
  <c r="A100" i="2" s="1"/>
  <c r="C100" i="2" a="1"/>
  <c r="C100" i="2" s="1"/>
  <c r="D100" i="2" s="1"/>
  <c r="K100" i="2" s="1" a="1"/>
  <c r="K100" i="2" s="1"/>
  <c r="A101" i="2" a="1"/>
  <c r="A101" i="2" s="1"/>
  <c r="C101" i="2" a="1"/>
  <c r="C101" i="2" s="1"/>
  <c r="D101" i="2" s="1"/>
  <c r="K101" i="2" s="1" a="1"/>
  <c r="K101" i="2" s="1"/>
  <c r="A102" i="2" a="1"/>
  <c r="A102" i="2" s="1"/>
  <c r="C102" i="2" a="1"/>
  <c r="C102" i="2" s="1"/>
  <c r="D102" i="2" s="1"/>
  <c r="K102" i="2" s="1" a="1"/>
  <c r="K102" i="2" s="1"/>
  <c r="A103" i="2" a="1"/>
  <c r="A103" i="2" s="1"/>
  <c r="C103" i="2" a="1"/>
  <c r="C103" i="2" s="1"/>
  <c r="D103" i="2" s="1"/>
  <c r="K103" i="2" s="1" a="1"/>
  <c r="K103" i="2" s="1"/>
  <c r="A104" i="2" a="1"/>
  <c r="A104" i="2" s="1"/>
  <c r="C104" i="2" a="1"/>
  <c r="C104" i="2" s="1"/>
  <c r="D104" i="2" s="1"/>
  <c r="K104" i="2" s="1" a="1"/>
  <c r="K104" i="2" s="1"/>
  <c r="A105" i="2" a="1"/>
  <c r="A105" i="2" s="1"/>
  <c r="C105" i="2" a="1"/>
  <c r="C105" i="2" s="1"/>
  <c r="D105" i="2" s="1"/>
  <c r="K105" i="2" s="1" a="1"/>
  <c r="K105" i="2" s="1"/>
  <c r="A106" i="2" a="1"/>
  <c r="A106" i="2" s="1"/>
  <c r="C106" i="2" a="1"/>
  <c r="C106" i="2" s="1"/>
  <c r="D106" i="2" s="1"/>
  <c r="K106" i="2" s="1" a="1"/>
  <c r="K106" i="2" s="1"/>
  <c r="A79" i="2" a="1"/>
  <c r="A79" i="2" s="1"/>
  <c r="C79" i="2" a="1"/>
  <c r="C79" i="2" s="1"/>
  <c r="D79" i="2" s="1"/>
  <c r="K79" i="2" s="1" a="1"/>
  <c r="K79" i="2" s="1"/>
  <c r="A80" i="2" a="1"/>
  <c r="A80" i="2" s="1"/>
  <c r="C80" i="2" a="1"/>
  <c r="C80" i="2" s="1"/>
  <c r="D80" i="2" s="1"/>
  <c r="K80" i="2" s="1" a="1"/>
  <c r="K80" i="2" s="1"/>
  <c r="A81" i="2" a="1"/>
  <c r="A81" i="2" s="1"/>
  <c r="C81" i="2" a="1"/>
  <c r="C81" i="2" s="1"/>
  <c r="D81" i="2" s="1"/>
  <c r="K81" i="2" s="1" a="1"/>
  <c r="K81" i="2" s="1"/>
  <c r="A82" i="2" a="1"/>
  <c r="A82" i="2" s="1"/>
  <c r="C82" i="2" a="1"/>
  <c r="C82" i="2" s="1"/>
  <c r="D82" i="2" s="1"/>
  <c r="K82" i="2" s="1" a="1"/>
  <c r="K82" i="2" s="1"/>
  <c r="A83" i="2" a="1"/>
  <c r="A83" i="2" s="1"/>
  <c r="C83" i="2" a="1"/>
  <c r="C83" i="2" s="1"/>
  <c r="D83" i="2" s="1"/>
  <c r="K83" i="2" s="1" a="1"/>
  <c r="K83" i="2" s="1"/>
  <c r="A84" i="2" a="1"/>
  <c r="A84" i="2" s="1"/>
  <c r="C84" i="2" a="1"/>
  <c r="C84" i="2" s="1"/>
  <c r="D84" i="2" s="1"/>
  <c r="K84" i="2" s="1" a="1"/>
  <c r="K84" i="2" s="1"/>
  <c r="A85" i="2" a="1"/>
  <c r="A85" i="2" s="1"/>
  <c r="C85" i="2" a="1"/>
  <c r="C85" i="2" s="1"/>
  <c r="D85" i="2" s="1"/>
  <c r="K85" i="2" s="1" a="1"/>
  <c r="K85" i="2" s="1"/>
  <c r="A86" i="2" a="1"/>
  <c r="A86" i="2" s="1"/>
  <c r="C86" i="2" a="1"/>
  <c r="C86" i="2" s="1"/>
  <c r="D86" i="2" s="1"/>
  <c r="K86" i="2" s="1" a="1"/>
  <c r="K86" i="2" s="1"/>
  <c r="A87" i="2" a="1"/>
  <c r="A87" i="2" s="1"/>
  <c r="C87" i="2" a="1"/>
  <c r="C87" i="2" s="1"/>
  <c r="D87" i="2" s="1"/>
  <c r="K87" i="2" s="1" a="1"/>
  <c r="K87" i="2" s="1"/>
  <c r="A88" i="2" a="1"/>
  <c r="A88" i="2" s="1"/>
  <c r="C88" i="2" a="1"/>
  <c r="C88" i="2" s="1"/>
  <c r="D88" i="2" s="1"/>
  <c r="K88" i="2" s="1" a="1"/>
  <c r="K88" i="2" s="1"/>
  <c r="A89" i="2" a="1"/>
  <c r="A89" i="2" s="1"/>
  <c r="C89" i="2" a="1"/>
  <c r="C89" i="2" s="1"/>
  <c r="D89" i="2" s="1"/>
  <c r="K89" i="2" s="1" a="1"/>
  <c r="K89" i="2" s="1"/>
  <c r="A90" i="2" a="1"/>
  <c r="A90" i="2" s="1"/>
  <c r="C90" i="2" a="1"/>
  <c r="C90" i="2" s="1"/>
  <c r="D90" i="2" s="1"/>
  <c r="K90" i="2" s="1" a="1"/>
  <c r="K90" i="2" s="1"/>
  <c r="A91" i="2" a="1"/>
  <c r="A91" i="2" s="1"/>
  <c r="C91" i="2" a="1"/>
  <c r="C91" i="2" s="1"/>
  <c r="D91" i="2" s="1"/>
  <c r="K91" i="2" s="1" a="1"/>
  <c r="K91" i="2" s="1"/>
  <c r="A92" i="2" a="1"/>
  <c r="A92" i="2" s="1"/>
  <c r="C92" i="2" a="1"/>
  <c r="C92" i="2" s="1"/>
  <c r="D92" i="2" s="1"/>
  <c r="K92" i="2" s="1" a="1"/>
  <c r="K92" i="2" s="1"/>
  <c r="A93" i="2" a="1"/>
  <c r="A93" i="2" s="1"/>
  <c r="C93" i="2" a="1"/>
  <c r="C93" i="2" s="1"/>
  <c r="D93" i="2" s="1"/>
  <c r="K93" i="2" s="1" a="1"/>
  <c r="K93" i="2" s="1"/>
  <c r="A94" i="2" a="1"/>
  <c r="A94" i="2" s="1"/>
  <c r="C94" i="2" a="1"/>
  <c r="C94" i="2" s="1"/>
  <c r="D94" i="2" s="1"/>
  <c r="K94" i="2" s="1" a="1"/>
  <c r="K94" i="2" s="1"/>
  <c r="A95" i="2" a="1"/>
  <c r="A95" i="2" s="1"/>
  <c r="C95" i="2" a="1"/>
  <c r="C95" i="2" s="1"/>
  <c r="D95" i="2" s="1"/>
  <c r="K95" i="2" s="1" a="1"/>
  <c r="K95" i="2" s="1"/>
  <c r="A96" i="2" a="1"/>
  <c r="A96" i="2" s="1"/>
  <c r="C96" i="2" a="1"/>
  <c r="C96" i="2" s="1"/>
  <c r="D96" i="2" s="1"/>
  <c r="K96" i="2" s="1" a="1"/>
  <c r="K96" i="2" s="1"/>
  <c r="A97" i="2" a="1"/>
  <c r="A97" i="2" s="1"/>
  <c r="C97" i="2" a="1"/>
  <c r="C97" i="2" s="1"/>
  <c r="D97" i="2" s="1"/>
  <c r="K97" i="2" s="1" a="1"/>
  <c r="K97" i="2" s="1"/>
  <c r="A98" i="2" a="1"/>
  <c r="A98" i="2" s="1"/>
  <c r="C98" i="2" a="1"/>
  <c r="C98" i="2" s="1"/>
  <c r="D98" i="2" s="1"/>
  <c r="K98" i="2" s="1" a="1"/>
  <c r="K98" i="2" s="1"/>
  <c r="A99" i="2" a="1"/>
  <c r="A99" i="2" s="1"/>
  <c r="C99" i="2" a="1"/>
  <c r="C99" i="2" s="1"/>
  <c r="D99" i="2" s="1"/>
  <c r="K99" i="2" s="1" a="1"/>
  <c r="K99" i="2" s="1"/>
  <c r="A72" i="2" a="1"/>
  <c r="A72" i="2" s="1"/>
  <c r="C72" i="2" a="1"/>
  <c r="C72" i="2" s="1"/>
  <c r="D72" i="2" s="1"/>
  <c r="K72" i="2" s="1" a="1"/>
  <c r="K72" i="2" s="1"/>
  <c r="A73" i="2" a="1"/>
  <c r="A73" i="2" s="1"/>
  <c r="C73" i="2" a="1"/>
  <c r="C73" i="2" s="1"/>
  <c r="D73" i="2" s="1"/>
  <c r="K73" i="2" s="1" a="1"/>
  <c r="K73" i="2" s="1"/>
  <c r="A74" i="2" a="1"/>
  <c r="A74" i="2" s="1"/>
  <c r="C74" i="2" a="1"/>
  <c r="C74" i="2" s="1"/>
  <c r="D74" i="2" s="1"/>
  <c r="K74" i="2" s="1" a="1"/>
  <c r="K74" i="2" s="1"/>
  <c r="A75" i="2" a="1"/>
  <c r="A75" i="2" s="1"/>
  <c r="C75" i="2" a="1"/>
  <c r="C75" i="2" s="1"/>
  <c r="D75" i="2" s="1"/>
  <c r="K75" i="2" s="1" a="1"/>
  <c r="K75" i="2" s="1"/>
  <c r="A76" i="2" a="1"/>
  <c r="A76" i="2" s="1"/>
  <c r="C76" i="2" a="1"/>
  <c r="C76" i="2" s="1"/>
  <c r="D76" i="2" s="1"/>
  <c r="K76" i="2" s="1" a="1"/>
  <c r="K76" i="2" s="1"/>
  <c r="A77" i="2" a="1"/>
  <c r="A77" i="2" s="1"/>
  <c r="C77" i="2" a="1"/>
  <c r="C77" i="2" s="1"/>
  <c r="D77" i="2" s="1"/>
  <c r="K77" i="2" s="1" a="1"/>
  <c r="K77" i="2" s="1"/>
  <c r="A78" i="2" a="1"/>
  <c r="A78" i="2" s="1"/>
  <c r="C78" i="2" a="1"/>
  <c r="C78" i="2" s="1"/>
  <c r="D78" i="2" s="1"/>
  <c r="K78" i="2" s="1" a="1"/>
  <c r="K78" i="2" s="1"/>
  <c r="B5" i="16" a="1"/>
  <c r="B5" i="16" s="1"/>
  <c r="B2" i="16" a="1"/>
  <c r="B2" i="16" s="1"/>
  <c r="B3" i="16" a="1"/>
  <c r="B3" i="16" s="1"/>
  <c r="B4" i="16" a="1"/>
  <c r="B4" i="16" s="1"/>
  <c r="C10" i="11" a="1"/>
  <c r="C10" i="11" s="1"/>
  <c r="D10" i="11" s="1"/>
  <c r="K10" i="11" s="1" a="1"/>
  <c r="K10" i="11" s="1"/>
  <c r="C11" i="11" a="1"/>
  <c r="C11" i="11" s="1"/>
  <c r="D11" i="11" s="1"/>
  <c r="K11" i="11" s="1" a="1"/>
  <c r="K11" i="11" s="1"/>
  <c r="C12" i="11" a="1"/>
  <c r="C12" i="11" s="1"/>
  <c r="D12" i="11" s="1"/>
  <c r="K12" i="11" s="1" a="1"/>
  <c r="K12" i="11" s="1"/>
  <c r="C13" i="11" a="1"/>
  <c r="C13" i="11" s="1"/>
  <c r="D13" i="11" s="1"/>
  <c r="K13" i="11" s="1" a="1"/>
  <c r="K13" i="11" s="1"/>
  <c r="C14" i="11" a="1"/>
  <c r="C14" i="11" s="1"/>
  <c r="D14" i="11" s="1"/>
  <c r="K14" i="11" s="1" a="1"/>
  <c r="K14" i="11" s="1"/>
  <c r="C15" i="11" a="1"/>
  <c r="C15" i="11" s="1"/>
  <c r="D15" i="11" s="1"/>
  <c r="K15" i="11" s="1" a="1"/>
  <c r="K15" i="11" s="1"/>
  <c r="C16" i="11" a="1"/>
  <c r="C16" i="11" s="1"/>
  <c r="D16" i="11" s="1"/>
  <c r="K16" i="11" s="1" a="1"/>
  <c r="K16" i="11" s="1"/>
  <c r="C17" i="11" a="1"/>
  <c r="C17" i="11" s="1"/>
  <c r="D17" i="11" s="1"/>
  <c r="K17" i="11" s="1" a="1"/>
  <c r="K17" i="11" s="1"/>
  <c r="C18" i="11" a="1"/>
  <c r="C18" i="11" s="1"/>
  <c r="D18" i="11" s="1"/>
  <c r="K18" i="11" s="1" a="1"/>
  <c r="K18" i="11" s="1"/>
  <c r="C19" i="11" a="1"/>
  <c r="C19" i="11" s="1"/>
  <c r="D19" i="11" s="1"/>
  <c r="K19" i="11" s="1" a="1"/>
  <c r="K19" i="11" s="1"/>
  <c r="C20" i="11" a="1"/>
  <c r="C20" i="11" s="1"/>
  <c r="D20" i="11" s="1"/>
  <c r="K20" i="11" s="1" a="1"/>
  <c r="K20" i="11" s="1"/>
  <c r="C21" i="11" a="1"/>
  <c r="C21" i="11" s="1"/>
  <c r="D21" i="11" s="1"/>
  <c r="K21" i="11" s="1" a="1"/>
  <c r="K21" i="11" s="1"/>
  <c r="C22" i="11" a="1"/>
  <c r="C22" i="11" s="1"/>
  <c r="D22" i="11" s="1"/>
  <c r="K22" i="11" s="1" a="1"/>
  <c r="K22" i="11" s="1"/>
  <c r="C23" i="11" a="1"/>
  <c r="C23" i="11" s="1"/>
  <c r="D23" i="11" s="1"/>
  <c r="K23" i="11" s="1" a="1"/>
  <c r="K23" i="11" s="1"/>
  <c r="C24" i="11" a="1"/>
  <c r="C24" i="11" s="1"/>
  <c r="D24" i="11" s="1"/>
  <c r="K24" i="11" s="1" a="1"/>
  <c r="K24" i="11" s="1"/>
  <c r="C25" i="11" a="1"/>
  <c r="C25" i="11" s="1"/>
  <c r="D25" i="11" s="1"/>
  <c r="K25" i="11" s="1" a="1"/>
  <c r="K25" i="11" s="1"/>
  <c r="C26" i="11" a="1"/>
  <c r="C26" i="11" s="1"/>
  <c r="D26" i="11" s="1"/>
  <c r="K26" i="11" s="1" a="1"/>
  <c r="K26" i="11" s="1"/>
  <c r="C27" i="11" a="1"/>
  <c r="C27" i="11" s="1"/>
  <c r="D27" i="11" s="1"/>
  <c r="K27" i="11" s="1" a="1"/>
  <c r="K27" i="11" s="1"/>
  <c r="C28" i="11" a="1"/>
  <c r="C28" i="11" s="1"/>
  <c r="D28" i="11" s="1"/>
  <c r="K28" i="11" s="1" a="1"/>
  <c r="K28" i="11" s="1"/>
  <c r="C29" i="11" a="1"/>
  <c r="C29" i="11" s="1"/>
  <c r="D29" i="11" s="1"/>
  <c r="K29" i="11" s="1" a="1"/>
  <c r="K29" i="11" s="1"/>
  <c r="C30" i="11" a="1"/>
  <c r="C30" i="11" s="1"/>
  <c r="D30" i="11" s="1"/>
  <c r="K30" i="11" s="1" a="1"/>
  <c r="K30" i="11" s="1"/>
  <c r="C31" i="11" a="1"/>
  <c r="C31" i="11" s="1"/>
  <c r="D31" i="11" s="1"/>
  <c r="K31" i="11" s="1" a="1"/>
  <c r="K31" i="11" s="1"/>
  <c r="C32" i="11" a="1"/>
  <c r="C32" i="11" s="1"/>
  <c r="D32" i="11" s="1"/>
  <c r="K32" i="11" s="1" a="1"/>
  <c r="K32" i="11" s="1"/>
  <c r="C33" i="11" a="1"/>
  <c r="C33" i="11" s="1"/>
  <c r="D33" i="11" s="1"/>
  <c r="K33" i="11" s="1" a="1"/>
  <c r="K33" i="11" s="1"/>
  <c r="C34" i="11" a="1"/>
  <c r="C34" i="11" s="1"/>
  <c r="D34" i="11" s="1"/>
  <c r="K34" i="11" s="1" a="1"/>
  <c r="K34" i="11" s="1"/>
  <c r="C35" i="11" a="1"/>
  <c r="C35" i="11" s="1"/>
  <c r="D35" i="11" s="1"/>
  <c r="K35" i="11" s="1" a="1"/>
  <c r="K35" i="11" s="1"/>
  <c r="C36" i="11" a="1"/>
  <c r="C36" i="11" s="1"/>
  <c r="D36" i="11" s="1"/>
  <c r="K36" i="11" s="1" a="1"/>
  <c r="K36" i="11" s="1"/>
  <c r="C37" i="11" a="1"/>
  <c r="C37" i="11" s="1"/>
  <c r="D37" i="11" s="1"/>
  <c r="K37" i="11" s="1" a="1"/>
  <c r="K37" i="11" s="1"/>
  <c r="C38" i="11" a="1"/>
  <c r="C38" i="11" s="1"/>
  <c r="D38" i="11" s="1"/>
  <c r="K38" i="11" s="1" a="1"/>
  <c r="K38" i="11" s="1"/>
  <c r="C39" i="11" a="1"/>
  <c r="C39" i="11" s="1"/>
  <c r="D39" i="11" s="1"/>
  <c r="K39" i="11" s="1" a="1"/>
  <c r="K39" i="11" s="1"/>
  <c r="C40" i="11" a="1"/>
  <c r="C40" i="11" s="1"/>
  <c r="D40" i="11" s="1"/>
  <c r="K40" i="11" s="1" a="1"/>
  <c r="K40" i="11" s="1"/>
  <c r="C41" i="11" a="1"/>
  <c r="C41" i="11" s="1"/>
  <c r="D41" i="11" s="1"/>
  <c r="K41" i="11" s="1" a="1"/>
  <c r="K41" i="11" s="1"/>
  <c r="C42" i="11" a="1"/>
  <c r="C42" i="11" s="1"/>
  <c r="D42" i="11" s="1"/>
  <c r="K42" i="11" s="1" a="1"/>
  <c r="K42" i="11" s="1"/>
  <c r="C43" i="11" a="1"/>
  <c r="C43" i="11" s="1"/>
  <c r="D43" i="11" s="1"/>
  <c r="K43" i="11" s="1" a="1"/>
  <c r="K43" i="11" s="1"/>
  <c r="C44" i="11" a="1"/>
  <c r="C44" i="11" s="1"/>
  <c r="D44" i="11" s="1"/>
  <c r="K44" i="11" s="1" a="1"/>
  <c r="K44" i="11" s="1"/>
  <c r="C45" i="11" a="1"/>
  <c r="C45" i="11" s="1"/>
  <c r="D45" i="11" s="1"/>
  <c r="K45" i="11" s="1" a="1"/>
  <c r="K45" i="11" s="1"/>
  <c r="C46" i="11" a="1"/>
  <c r="C46" i="11" s="1"/>
  <c r="D46" i="11" s="1"/>
  <c r="K46" i="11" s="1" a="1"/>
  <c r="K46" i="11" s="1"/>
  <c r="C47" i="11" a="1"/>
  <c r="C47" i="11" s="1"/>
  <c r="D47" i="11" s="1"/>
  <c r="K47" i="11" s="1" a="1"/>
  <c r="K47" i="11" s="1"/>
  <c r="C48" i="11" a="1"/>
  <c r="C48" i="11" s="1"/>
  <c r="D48" i="11" s="1"/>
  <c r="K48" i="11" s="1" a="1"/>
  <c r="K48" i="11" s="1"/>
  <c r="C49" i="11" a="1"/>
  <c r="C49" i="11" s="1"/>
  <c r="D49" i="11" s="1"/>
  <c r="K49" i="11" s="1" a="1"/>
  <c r="K49" i="11" s="1"/>
  <c r="C50" i="11" a="1"/>
  <c r="C50" i="11" s="1"/>
  <c r="D50" i="11" s="1"/>
  <c r="K50" i="11" s="1" a="1"/>
  <c r="K50" i="11" s="1"/>
  <c r="C51" i="11" a="1"/>
  <c r="C51" i="11" s="1"/>
  <c r="D51" i="11" s="1"/>
  <c r="K51" i="11" s="1" a="1"/>
  <c r="K51" i="11" s="1"/>
  <c r="C52" i="11" a="1"/>
  <c r="C52" i="11" s="1"/>
  <c r="D52" i="11" s="1"/>
  <c r="K52" i="11" s="1" a="1"/>
  <c r="K52" i="11" s="1"/>
  <c r="C53" i="11" a="1"/>
  <c r="C53" i="11" s="1"/>
  <c r="D53" i="11" s="1"/>
  <c r="K53" i="11" s="1" a="1"/>
  <c r="K53" i="11" s="1"/>
  <c r="C54" i="11" a="1"/>
  <c r="C54" i="11" s="1"/>
  <c r="D54" i="11" s="1"/>
  <c r="K54" i="11" s="1" a="1"/>
  <c r="K54" i="11" s="1"/>
  <c r="C55" i="11" a="1"/>
  <c r="C55" i="11" s="1"/>
  <c r="D55" i="11" s="1"/>
  <c r="K55" i="11" s="1" a="1"/>
  <c r="K55" i="11" s="1"/>
  <c r="C56" i="11" a="1"/>
  <c r="C56" i="11" s="1"/>
  <c r="D56" i="11" s="1"/>
  <c r="K56" i="11" s="1" a="1"/>
  <c r="K56" i="11" s="1"/>
  <c r="C57" i="11" a="1"/>
  <c r="C57" i="11" s="1"/>
  <c r="D57" i="11" s="1"/>
  <c r="K57" i="11" s="1" a="1"/>
  <c r="K57" i="11" s="1"/>
  <c r="C58" i="11" a="1"/>
  <c r="C58" i="11" s="1"/>
  <c r="D58" i="11" s="1"/>
  <c r="K58" i="11" s="1" a="1"/>
  <c r="K58" i="11" s="1"/>
  <c r="C59" i="11" a="1"/>
  <c r="C59" i="11" s="1"/>
  <c r="D59" i="11" s="1"/>
  <c r="K59" i="11" s="1" a="1"/>
  <c r="K59" i="11" s="1"/>
  <c r="C60" i="11" a="1"/>
  <c r="C60" i="11" s="1"/>
  <c r="D60" i="11" s="1"/>
  <c r="K60" i="11" s="1" a="1"/>
  <c r="K60" i="11" s="1"/>
  <c r="C61" i="11" a="1"/>
  <c r="C61" i="11" s="1"/>
  <c r="D61" i="11" s="1"/>
  <c r="K61" i="11" s="1" a="1"/>
  <c r="K61" i="11" s="1"/>
  <c r="C62" i="11" a="1"/>
  <c r="C62" i="11" s="1"/>
  <c r="D62" i="11" s="1"/>
  <c r="K62" i="11" s="1" a="1"/>
  <c r="K62" i="11" s="1"/>
  <c r="C63" i="11" a="1"/>
  <c r="C63" i="11" s="1"/>
  <c r="D63" i="11" s="1"/>
  <c r="K63" i="11" s="1" a="1"/>
  <c r="K63" i="11" s="1"/>
  <c r="C64" i="11" a="1"/>
  <c r="C64" i="11" s="1"/>
  <c r="D64" i="11" s="1"/>
  <c r="K64" i="11" s="1" a="1"/>
  <c r="K64" i="11" s="1"/>
  <c r="C65" i="11" a="1"/>
  <c r="C65" i="11" s="1"/>
  <c r="D65" i="11" s="1"/>
  <c r="K65" i="11" s="1" a="1"/>
  <c r="K65" i="11" s="1"/>
  <c r="C66" i="11" a="1"/>
  <c r="C66" i="11" s="1"/>
  <c r="D66" i="11" s="1"/>
  <c r="K66" i="11" s="1" a="1"/>
  <c r="K66" i="11" s="1"/>
  <c r="C67" i="11" a="1"/>
  <c r="C67" i="11" s="1"/>
  <c r="D67" i="11" s="1"/>
  <c r="K67" i="11" s="1" a="1"/>
  <c r="K67" i="11" s="1"/>
  <c r="C68" i="11" a="1"/>
  <c r="C68" i="11" s="1"/>
  <c r="D68" i="11" s="1"/>
  <c r="K68" i="11" s="1" a="1"/>
  <c r="K68" i="11" s="1"/>
  <c r="C69" i="11" a="1"/>
  <c r="C69" i="11" s="1"/>
  <c r="D69" i="11" s="1"/>
  <c r="K69" i="11" s="1" a="1"/>
  <c r="K69" i="11" s="1"/>
  <c r="C70" i="11" a="1"/>
  <c r="C70" i="11" s="1"/>
  <c r="D70" i="11" s="1"/>
  <c r="K70" i="11" s="1" a="1"/>
  <c r="K70" i="11" s="1"/>
  <c r="C71" i="11" a="1"/>
  <c r="C71" i="11" s="1"/>
  <c r="D71" i="11" s="1"/>
  <c r="K71" i="11" s="1" a="1"/>
  <c r="K71" i="11" s="1"/>
  <c r="C72" i="11" a="1"/>
  <c r="C72" i="11" s="1"/>
  <c r="D72" i="11" s="1"/>
  <c r="K72" i="11" s="1" a="1"/>
  <c r="K72" i="11" s="1"/>
  <c r="C73" i="11" a="1"/>
  <c r="C73" i="11" s="1"/>
  <c r="D73" i="11" s="1"/>
  <c r="K73" i="11" s="1" a="1"/>
  <c r="K73" i="11" s="1"/>
  <c r="C74" i="11" a="1"/>
  <c r="C74" i="11" s="1"/>
  <c r="D74" i="11" s="1"/>
  <c r="K74" i="11" s="1" a="1"/>
  <c r="K74" i="11" s="1"/>
  <c r="C75" i="11" a="1"/>
  <c r="C75" i="11" s="1"/>
  <c r="D75" i="11" s="1"/>
  <c r="K75" i="11" s="1" a="1"/>
  <c r="K75" i="11" s="1"/>
  <c r="C76" i="11" a="1"/>
  <c r="C76" i="11" s="1"/>
  <c r="D76" i="11" s="1"/>
  <c r="K76" i="11" s="1" a="1"/>
  <c r="K76" i="11" s="1"/>
  <c r="C77" i="11" a="1"/>
  <c r="C77" i="11" s="1"/>
  <c r="D77" i="11" s="1"/>
  <c r="K77" i="11" s="1" a="1"/>
  <c r="K77" i="11" s="1"/>
  <c r="C78" i="11" a="1"/>
  <c r="C78" i="11" s="1"/>
  <c r="D78" i="11" s="1"/>
  <c r="K78" i="11" s="1" a="1"/>
  <c r="K78" i="11" s="1"/>
  <c r="C79" i="11" a="1"/>
  <c r="C79" i="11" s="1"/>
  <c r="D79" i="11" s="1"/>
  <c r="K79" i="11" s="1" a="1"/>
  <c r="K79" i="11" s="1"/>
  <c r="C80" i="11" a="1"/>
  <c r="C80" i="11" s="1"/>
  <c r="D80" i="11" s="1"/>
  <c r="K80" i="11" s="1" a="1"/>
  <c r="K80" i="11" s="1"/>
  <c r="C81" i="11" a="1"/>
  <c r="C81" i="11" s="1"/>
  <c r="D81" i="11" s="1"/>
  <c r="K81" i="11" s="1" a="1"/>
  <c r="K81" i="11" s="1"/>
  <c r="A10" i="11" a="1"/>
  <c r="A10" i="11" s="1"/>
  <c r="A11" i="11" a="1"/>
  <c r="A11" i="11" s="1"/>
  <c r="A12" i="11" a="1"/>
  <c r="A12" i="11" s="1"/>
  <c r="A13" i="11" a="1"/>
  <c r="A13" i="11" s="1"/>
  <c r="A14" i="11" a="1"/>
  <c r="A14" i="11" s="1"/>
  <c r="A15" i="11" a="1"/>
  <c r="A15" i="11" s="1"/>
  <c r="A16" i="11" a="1"/>
  <c r="A16" i="11" s="1"/>
  <c r="A17" i="11" a="1"/>
  <c r="A17" i="11" s="1"/>
  <c r="A18" i="11" a="1"/>
  <c r="A18" i="11" s="1"/>
  <c r="A19" i="11" a="1"/>
  <c r="A19" i="11" s="1"/>
  <c r="A20" i="11" a="1"/>
  <c r="A20" i="11" s="1"/>
  <c r="A21" i="11" a="1"/>
  <c r="A21" i="11" s="1"/>
  <c r="A22" i="11" a="1"/>
  <c r="A22" i="11" s="1"/>
  <c r="A23" i="11" a="1"/>
  <c r="A23" i="11" s="1"/>
  <c r="A24" i="11" a="1"/>
  <c r="A24" i="11" s="1"/>
  <c r="A25" i="11" a="1"/>
  <c r="A25" i="11" s="1"/>
  <c r="A26" i="11" a="1"/>
  <c r="A26" i="11" s="1"/>
  <c r="A27" i="11" a="1"/>
  <c r="A27" i="11" s="1"/>
  <c r="A28" i="11" a="1"/>
  <c r="A28" i="11" s="1"/>
  <c r="A29" i="11" a="1"/>
  <c r="A29" i="11" s="1"/>
  <c r="A30" i="11" a="1"/>
  <c r="A30" i="11" s="1"/>
  <c r="A31" i="11" a="1"/>
  <c r="A31" i="11" s="1"/>
  <c r="A32" i="11" a="1"/>
  <c r="A32" i="11" s="1"/>
  <c r="A33" i="11" a="1"/>
  <c r="A33" i="11" s="1"/>
  <c r="A34" i="11" a="1"/>
  <c r="A34" i="11" s="1"/>
  <c r="A35" i="11" a="1"/>
  <c r="A35" i="11" s="1"/>
  <c r="A36" i="11" a="1"/>
  <c r="A36" i="11" s="1"/>
  <c r="A37" i="11" a="1"/>
  <c r="A37" i="11" s="1"/>
  <c r="A38" i="11" a="1"/>
  <c r="A38" i="11" s="1"/>
  <c r="A39" i="11" a="1"/>
  <c r="A39" i="11" s="1"/>
  <c r="A40" i="11" a="1"/>
  <c r="A40" i="11" s="1"/>
  <c r="A41" i="11" a="1"/>
  <c r="A41" i="11" s="1"/>
  <c r="A42" i="11" a="1"/>
  <c r="A42" i="11" s="1"/>
  <c r="A43" i="11" a="1"/>
  <c r="A43" i="11" s="1"/>
  <c r="A44" i="11" a="1"/>
  <c r="A44" i="11" s="1"/>
  <c r="A45" i="11" a="1"/>
  <c r="A45" i="11" s="1"/>
  <c r="A46" i="11" a="1"/>
  <c r="A46" i="11" s="1"/>
  <c r="A47" i="11" a="1"/>
  <c r="A47" i="11" s="1"/>
  <c r="A48" i="11" a="1"/>
  <c r="A48" i="11" s="1"/>
  <c r="A49" i="11" a="1"/>
  <c r="A49" i="11" s="1"/>
  <c r="A50" i="11" a="1"/>
  <c r="A50" i="11" s="1"/>
  <c r="A51" i="11" a="1"/>
  <c r="A51" i="11" s="1"/>
  <c r="A52" i="11" a="1"/>
  <c r="A52" i="11" s="1"/>
  <c r="A53" i="11" a="1"/>
  <c r="A53" i="11" s="1"/>
  <c r="A54" i="11" a="1"/>
  <c r="A54" i="11" s="1"/>
  <c r="A55" i="11" a="1"/>
  <c r="A55" i="11" s="1"/>
  <c r="A56" i="11" a="1"/>
  <c r="A56" i="11" s="1"/>
  <c r="A57" i="11" a="1"/>
  <c r="A57" i="11" s="1"/>
  <c r="A58" i="11" a="1"/>
  <c r="A58" i="11" s="1"/>
  <c r="A59" i="11" a="1"/>
  <c r="A59" i="11" s="1"/>
  <c r="A60" i="11" a="1"/>
  <c r="A60" i="11" s="1"/>
  <c r="A61" i="11" a="1"/>
  <c r="A61" i="11" s="1"/>
  <c r="A62" i="11" a="1"/>
  <c r="A62" i="11" s="1"/>
  <c r="A63" i="11" a="1"/>
  <c r="A63" i="11" s="1"/>
  <c r="A64" i="11" a="1"/>
  <c r="A64" i="11" s="1"/>
  <c r="A65" i="11" a="1"/>
  <c r="A65" i="11" s="1"/>
  <c r="A66" i="11" a="1"/>
  <c r="A66" i="11" s="1"/>
  <c r="A67" i="11" a="1"/>
  <c r="A67" i="11" s="1"/>
  <c r="A68" i="11" a="1"/>
  <c r="A68" i="11" s="1"/>
  <c r="A69" i="11" a="1"/>
  <c r="A69" i="11" s="1"/>
  <c r="A70" i="11" a="1"/>
  <c r="A70" i="11" s="1"/>
  <c r="A71" i="11" a="1"/>
  <c r="A71" i="11" s="1"/>
  <c r="A72" i="11" a="1"/>
  <c r="A72" i="11" s="1"/>
  <c r="A73" i="11" a="1"/>
  <c r="A73" i="11" s="1"/>
  <c r="A74" i="11" a="1"/>
  <c r="A74" i="11" s="1"/>
  <c r="A75" i="11" a="1"/>
  <c r="A75" i="11" s="1"/>
  <c r="A76" i="11" a="1"/>
  <c r="A76" i="11" s="1"/>
  <c r="A77" i="11" a="1"/>
  <c r="A77" i="11" s="1"/>
  <c r="A78" i="11" a="1"/>
  <c r="A78" i="11" s="1"/>
  <c r="A79" i="11" a="1"/>
  <c r="A79" i="11" s="1"/>
  <c r="A80" i="11" a="1"/>
  <c r="A80" i="11" s="1"/>
  <c r="A81" i="11" a="1"/>
  <c r="A81" i="11" s="1"/>
  <c r="C11" i="12" a="1"/>
  <c r="C11" i="12" s="1"/>
  <c r="D11" i="12" s="1"/>
  <c r="K11" i="12" s="1" a="1"/>
  <c r="K11" i="12" s="1"/>
  <c r="C12" i="12" a="1"/>
  <c r="C12" i="12" s="1"/>
  <c r="D12" i="12" s="1"/>
  <c r="K12" i="12" s="1" a="1"/>
  <c r="K12" i="12" s="1"/>
  <c r="C13" i="12" a="1"/>
  <c r="C13" i="12" s="1"/>
  <c r="D13" i="12" s="1"/>
  <c r="K13" i="12" s="1" a="1"/>
  <c r="K13" i="12" s="1"/>
  <c r="C14" i="12" a="1"/>
  <c r="C14" i="12" s="1"/>
  <c r="D14" i="12" s="1"/>
  <c r="K14" i="12" s="1" a="1"/>
  <c r="K14" i="12" s="1"/>
  <c r="C15" i="12" a="1"/>
  <c r="C15" i="12" s="1"/>
  <c r="D15" i="12" s="1"/>
  <c r="K15" i="12" s="1" a="1"/>
  <c r="K15" i="12" s="1"/>
  <c r="C16" i="12" a="1"/>
  <c r="C16" i="12" s="1"/>
  <c r="D16" i="12" s="1"/>
  <c r="K16" i="12" s="1" a="1"/>
  <c r="K16" i="12" s="1"/>
  <c r="C17" i="12" a="1"/>
  <c r="C17" i="12" s="1"/>
  <c r="D17" i="12" s="1"/>
  <c r="K17" i="12" s="1" a="1"/>
  <c r="K17" i="12" s="1"/>
  <c r="C18" i="12" a="1"/>
  <c r="C18" i="12" s="1"/>
  <c r="D18" i="12" s="1"/>
  <c r="K18" i="12" s="1" a="1"/>
  <c r="K18" i="12" s="1"/>
  <c r="C19" i="12" a="1"/>
  <c r="C19" i="12" s="1"/>
  <c r="D19" i="12" s="1"/>
  <c r="K19" i="12" s="1" a="1"/>
  <c r="K19" i="12" s="1"/>
  <c r="C20" i="12" a="1"/>
  <c r="C20" i="12" s="1"/>
  <c r="D20" i="12" s="1"/>
  <c r="K20" i="12" s="1" a="1"/>
  <c r="K20" i="12" s="1"/>
  <c r="C21" i="12" a="1"/>
  <c r="C21" i="12" s="1"/>
  <c r="D21" i="12" s="1"/>
  <c r="K21" i="12" s="1" a="1"/>
  <c r="K21" i="12" s="1"/>
  <c r="C22" i="12" a="1"/>
  <c r="C22" i="12" s="1"/>
  <c r="D22" i="12" s="1"/>
  <c r="K22" i="12" s="1" a="1"/>
  <c r="K22" i="12" s="1"/>
  <c r="C23" i="12" a="1"/>
  <c r="C23" i="12" s="1"/>
  <c r="D23" i="12" s="1"/>
  <c r="K23" i="12" s="1" a="1"/>
  <c r="K23" i="12" s="1"/>
  <c r="C24" i="12" a="1"/>
  <c r="C24" i="12" s="1"/>
  <c r="D24" i="12" s="1"/>
  <c r="K24" i="12" s="1" a="1"/>
  <c r="K24" i="12" s="1"/>
  <c r="C25" i="12" a="1"/>
  <c r="C25" i="12" s="1"/>
  <c r="D25" i="12" s="1"/>
  <c r="K25" i="12" s="1" a="1"/>
  <c r="K25" i="12" s="1"/>
  <c r="C26" i="12" a="1"/>
  <c r="C26" i="12" s="1"/>
  <c r="D26" i="12" s="1"/>
  <c r="K26" i="12" s="1" a="1"/>
  <c r="K26" i="12" s="1"/>
  <c r="C27" i="12" a="1"/>
  <c r="C27" i="12" s="1"/>
  <c r="D27" i="12" s="1"/>
  <c r="K27" i="12" s="1" a="1"/>
  <c r="K27" i="12" s="1"/>
  <c r="C28" i="12" a="1"/>
  <c r="C28" i="12" s="1"/>
  <c r="D28" i="12" s="1"/>
  <c r="K28" i="12" s="1" a="1"/>
  <c r="K28" i="12" s="1"/>
  <c r="C29" i="12" a="1"/>
  <c r="C29" i="12" s="1"/>
  <c r="D29" i="12" s="1"/>
  <c r="K29" i="12" s="1" a="1"/>
  <c r="K29" i="12" s="1"/>
  <c r="C30" i="12" a="1"/>
  <c r="C30" i="12" s="1"/>
  <c r="D30" i="12" s="1"/>
  <c r="K30" i="12" s="1" a="1"/>
  <c r="K30" i="12" s="1"/>
  <c r="C31" i="12" a="1"/>
  <c r="C31" i="12" s="1"/>
  <c r="D31" i="12" s="1"/>
  <c r="K31" i="12" s="1" a="1"/>
  <c r="K31" i="12" s="1"/>
  <c r="C32" i="12" a="1"/>
  <c r="C32" i="12" s="1"/>
  <c r="D32" i="12" s="1"/>
  <c r="K32" i="12" s="1" a="1"/>
  <c r="K32" i="12" s="1"/>
  <c r="C33" i="12" a="1"/>
  <c r="C33" i="12" s="1"/>
  <c r="D33" i="12" s="1"/>
  <c r="K33" i="12" s="1" a="1"/>
  <c r="K33" i="12" s="1"/>
  <c r="C34" i="12" a="1"/>
  <c r="C34" i="12" s="1"/>
  <c r="D34" i="12" s="1"/>
  <c r="K34" i="12" s="1" a="1"/>
  <c r="K34" i="12" s="1"/>
  <c r="C35" i="12" a="1"/>
  <c r="C35" i="12" s="1"/>
  <c r="D35" i="12" s="1"/>
  <c r="K35" i="12" s="1" a="1"/>
  <c r="K35" i="12" s="1"/>
  <c r="C36" i="12" a="1"/>
  <c r="C36" i="12" s="1"/>
  <c r="D36" i="12" s="1"/>
  <c r="K36" i="12" s="1" a="1"/>
  <c r="K36" i="12" s="1"/>
  <c r="C37" i="12" a="1"/>
  <c r="C37" i="12" s="1"/>
  <c r="D37" i="12" s="1"/>
  <c r="K37" i="12" s="1" a="1"/>
  <c r="K37" i="12" s="1"/>
  <c r="C38" i="12" a="1"/>
  <c r="C38" i="12" s="1"/>
  <c r="D38" i="12" s="1"/>
  <c r="K38" i="12" s="1" a="1"/>
  <c r="K38" i="12" s="1"/>
  <c r="C39" i="12" a="1"/>
  <c r="C39" i="12" s="1"/>
  <c r="D39" i="12" s="1"/>
  <c r="K39" i="12" s="1" a="1"/>
  <c r="K39" i="12" s="1"/>
  <c r="C40" i="12" a="1"/>
  <c r="C40" i="12" s="1"/>
  <c r="D40" i="12" s="1"/>
  <c r="K40" i="12" s="1" a="1"/>
  <c r="K40" i="12" s="1"/>
  <c r="C41" i="12" a="1"/>
  <c r="C41" i="12" s="1"/>
  <c r="D41" i="12" s="1"/>
  <c r="K41" i="12" s="1" a="1"/>
  <c r="K41" i="12" s="1"/>
  <c r="C42" i="12" a="1"/>
  <c r="C42" i="12" s="1"/>
  <c r="D42" i="12" s="1"/>
  <c r="K42" i="12" s="1" a="1"/>
  <c r="K42" i="12" s="1"/>
  <c r="C43" i="12" a="1"/>
  <c r="C43" i="12" s="1"/>
  <c r="D43" i="12" s="1"/>
  <c r="K43" i="12" s="1" a="1"/>
  <c r="K43" i="12" s="1"/>
  <c r="C44" i="12" a="1"/>
  <c r="C44" i="12" s="1"/>
  <c r="D44" i="12" s="1"/>
  <c r="K44" i="12" s="1" a="1"/>
  <c r="K44" i="12" s="1"/>
  <c r="C45" i="12" a="1"/>
  <c r="C45" i="12" s="1"/>
  <c r="D45" i="12" s="1"/>
  <c r="K45" i="12" s="1" a="1"/>
  <c r="K45" i="12" s="1"/>
  <c r="C46" i="12" a="1"/>
  <c r="C46" i="12" s="1"/>
  <c r="D46" i="12" s="1"/>
  <c r="K46" i="12" s="1" a="1"/>
  <c r="K46" i="12" s="1"/>
  <c r="C47" i="12" a="1"/>
  <c r="C47" i="12" s="1"/>
  <c r="D47" i="12" s="1"/>
  <c r="K47" i="12" s="1" a="1"/>
  <c r="K47" i="12" s="1"/>
  <c r="C48" i="12" a="1"/>
  <c r="C48" i="12" s="1"/>
  <c r="D48" i="12" s="1"/>
  <c r="K48" i="12" s="1" a="1"/>
  <c r="K48" i="12" s="1"/>
  <c r="C49" i="12" a="1"/>
  <c r="C49" i="12" s="1"/>
  <c r="D49" i="12" s="1"/>
  <c r="K49" i="12" s="1" a="1"/>
  <c r="K49" i="12" s="1"/>
  <c r="C50" i="12" a="1"/>
  <c r="C50" i="12" s="1"/>
  <c r="D50" i="12" s="1"/>
  <c r="K50" i="12" s="1" a="1"/>
  <c r="K50" i="12" s="1"/>
  <c r="C51" i="12" a="1"/>
  <c r="C51" i="12" s="1"/>
  <c r="D51" i="12" s="1"/>
  <c r="K51" i="12" s="1" a="1"/>
  <c r="K51" i="12" s="1"/>
  <c r="C52" i="12" a="1"/>
  <c r="C52" i="12" s="1"/>
  <c r="D52" i="12" s="1"/>
  <c r="K52" i="12" s="1" a="1"/>
  <c r="K52" i="12" s="1"/>
  <c r="C53" i="12" a="1"/>
  <c r="C53" i="12" s="1"/>
  <c r="D53" i="12" s="1"/>
  <c r="K53" i="12" s="1" a="1"/>
  <c r="K53" i="12" s="1"/>
  <c r="C54" i="12" a="1"/>
  <c r="C54" i="12" s="1"/>
  <c r="D54" i="12" s="1"/>
  <c r="K54" i="12" s="1" a="1"/>
  <c r="K54" i="12" s="1"/>
  <c r="C55" i="12" a="1"/>
  <c r="C55" i="12" s="1"/>
  <c r="D55" i="12" s="1"/>
  <c r="K55" i="12" s="1" a="1"/>
  <c r="K55" i="12" s="1"/>
  <c r="C56" i="12" a="1"/>
  <c r="C56" i="12" s="1"/>
  <c r="D56" i="12" s="1"/>
  <c r="K56" i="12" s="1" a="1"/>
  <c r="K56" i="12" s="1"/>
  <c r="C57" i="12" a="1"/>
  <c r="C57" i="12" s="1"/>
  <c r="D57" i="12" s="1"/>
  <c r="K57" i="12" s="1" a="1"/>
  <c r="K57" i="12" s="1"/>
  <c r="C58" i="12" a="1"/>
  <c r="C58" i="12" s="1"/>
  <c r="D58" i="12" s="1"/>
  <c r="K58" i="12" s="1" a="1"/>
  <c r="K58" i="12" s="1"/>
  <c r="C59" i="12" a="1"/>
  <c r="C59" i="12" s="1"/>
  <c r="D59" i="12" s="1"/>
  <c r="K59" i="12" s="1" a="1"/>
  <c r="K59" i="12" s="1"/>
  <c r="C60" i="12" a="1"/>
  <c r="C60" i="12" s="1"/>
  <c r="D60" i="12" s="1"/>
  <c r="K60" i="12" s="1" a="1"/>
  <c r="K60" i="12" s="1"/>
  <c r="C61" i="12" a="1"/>
  <c r="C61" i="12" s="1"/>
  <c r="D61" i="12" s="1"/>
  <c r="K61" i="12" s="1" a="1"/>
  <c r="K61" i="12" s="1"/>
  <c r="C62" i="12" a="1"/>
  <c r="C62" i="12" s="1"/>
  <c r="D62" i="12" s="1"/>
  <c r="K62" i="12" s="1" a="1"/>
  <c r="K62" i="12" s="1"/>
  <c r="C63" i="12" a="1"/>
  <c r="C63" i="12" s="1"/>
  <c r="D63" i="12" s="1"/>
  <c r="K63" i="12" s="1" a="1"/>
  <c r="K63" i="12" s="1"/>
  <c r="C64" i="12" a="1"/>
  <c r="C64" i="12" s="1"/>
  <c r="D64" i="12" s="1"/>
  <c r="K64" i="12" s="1" a="1"/>
  <c r="K64" i="12" s="1"/>
  <c r="C65" i="12" a="1"/>
  <c r="C65" i="12" s="1"/>
  <c r="D65" i="12" s="1"/>
  <c r="K65" i="12" s="1" a="1"/>
  <c r="K65" i="12" s="1"/>
  <c r="C66" i="12" a="1"/>
  <c r="C66" i="12" s="1"/>
  <c r="D66" i="12" s="1"/>
  <c r="K66" i="12" s="1" a="1"/>
  <c r="K66" i="12" s="1"/>
  <c r="C67" i="12" a="1"/>
  <c r="C67" i="12" s="1"/>
  <c r="D67" i="12" s="1"/>
  <c r="K67" i="12" s="1" a="1"/>
  <c r="K67" i="12" s="1"/>
  <c r="C68" i="12" a="1"/>
  <c r="C68" i="12" s="1"/>
  <c r="D68" i="12" s="1"/>
  <c r="K68" i="12" s="1" a="1"/>
  <c r="K68" i="12" s="1"/>
  <c r="C69" i="12" a="1"/>
  <c r="C69" i="12" s="1"/>
  <c r="D69" i="12" s="1"/>
  <c r="K69" i="12" s="1" a="1"/>
  <c r="K69" i="12" s="1"/>
  <c r="C70" i="12" a="1"/>
  <c r="C70" i="12" s="1"/>
  <c r="D70" i="12" s="1"/>
  <c r="K70" i="12" s="1" a="1"/>
  <c r="K70" i="12" s="1"/>
  <c r="C71" i="12" a="1"/>
  <c r="C71" i="12" s="1"/>
  <c r="D71" i="12" s="1"/>
  <c r="K71" i="12" s="1" a="1"/>
  <c r="K71" i="12" s="1"/>
  <c r="C72" i="12" a="1"/>
  <c r="C72" i="12" s="1"/>
  <c r="D72" i="12" s="1"/>
  <c r="K72" i="12" s="1" a="1"/>
  <c r="K72" i="12" s="1"/>
  <c r="C73" i="12" a="1"/>
  <c r="C73" i="12" s="1"/>
  <c r="D73" i="12" s="1"/>
  <c r="K73" i="12" s="1" a="1"/>
  <c r="K73" i="12" s="1"/>
  <c r="C74" i="12" a="1"/>
  <c r="C74" i="12" s="1"/>
  <c r="D74" i="12" s="1"/>
  <c r="K74" i="12" s="1" a="1"/>
  <c r="K74" i="12" s="1"/>
  <c r="C75" i="12" a="1"/>
  <c r="C75" i="12" s="1"/>
  <c r="D75" i="12" s="1"/>
  <c r="K75" i="12" s="1" a="1"/>
  <c r="K75" i="12" s="1"/>
  <c r="C76" i="12" a="1"/>
  <c r="C76" i="12" s="1"/>
  <c r="D76" i="12" s="1"/>
  <c r="K76" i="12" s="1" a="1"/>
  <c r="K76" i="12" s="1"/>
  <c r="C77" i="12" a="1"/>
  <c r="C77" i="12" s="1"/>
  <c r="D77" i="12" s="1"/>
  <c r="K77" i="12" s="1" a="1"/>
  <c r="K77" i="12" s="1"/>
  <c r="C78" i="12" a="1"/>
  <c r="C78" i="12" s="1"/>
  <c r="D78" i="12" s="1"/>
  <c r="K78" i="12" s="1" a="1"/>
  <c r="K78" i="12" s="1"/>
  <c r="C79" i="12" a="1"/>
  <c r="C79" i="12" s="1"/>
  <c r="D79" i="12" s="1"/>
  <c r="K79" i="12" s="1" a="1"/>
  <c r="K79" i="12" s="1"/>
  <c r="C80" i="12" a="1"/>
  <c r="C80" i="12" s="1"/>
  <c r="D80" i="12" s="1"/>
  <c r="K80" i="12" s="1" a="1"/>
  <c r="K80" i="12" s="1"/>
  <c r="C81" i="12" a="1"/>
  <c r="C81" i="12" s="1"/>
  <c r="D81" i="12" s="1"/>
  <c r="K81" i="12" s="1" a="1"/>
  <c r="K81" i="12" s="1"/>
  <c r="C82" i="12" a="1"/>
  <c r="C82" i="12" s="1"/>
  <c r="D82" i="12" s="1"/>
  <c r="K82" i="12" s="1" a="1"/>
  <c r="K82" i="12" s="1"/>
  <c r="C83" i="12" a="1"/>
  <c r="C83" i="12" s="1"/>
  <c r="D83" i="12" s="1"/>
  <c r="K83" i="12" s="1" a="1"/>
  <c r="K83" i="12" s="1"/>
  <c r="C84" i="12" a="1"/>
  <c r="C84" i="12" s="1"/>
  <c r="D84" i="12" s="1"/>
  <c r="K84" i="12" s="1" a="1"/>
  <c r="K84" i="12" s="1"/>
  <c r="C85" i="12" a="1"/>
  <c r="C85" i="12" s="1"/>
  <c r="D85" i="12" s="1"/>
  <c r="K85" i="12" s="1" a="1"/>
  <c r="K85" i="12" s="1"/>
  <c r="C86" i="12" a="1"/>
  <c r="C86" i="12" s="1"/>
  <c r="D86" i="12" s="1"/>
  <c r="K86" i="12" s="1" a="1"/>
  <c r="K86" i="12" s="1"/>
  <c r="C87" i="12" a="1"/>
  <c r="C87" i="12" s="1"/>
  <c r="D87" i="12" s="1"/>
  <c r="K87" i="12" s="1" a="1"/>
  <c r="K87" i="12" s="1"/>
  <c r="C88" i="12" a="1"/>
  <c r="C88" i="12" s="1"/>
  <c r="D88" i="12" s="1"/>
  <c r="K88" i="12" s="1" a="1"/>
  <c r="K88" i="12" s="1"/>
  <c r="C89" i="12" a="1"/>
  <c r="C89" i="12" s="1"/>
  <c r="D89" i="12" s="1"/>
  <c r="K89" i="12" s="1" a="1"/>
  <c r="K89" i="12" s="1"/>
  <c r="C90" i="12" a="1"/>
  <c r="C90" i="12" s="1"/>
  <c r="D90" i="12" s="1"/>
  <c r="K90" i="12" s="1" a="1"/>
  <c r="K90" i="12" s="1"/>
  <c r="C91" i="12" a="1"/>
  <c r="C91" i="12" s="1"/>
  <c r="D91" i="12" s="1"/>
  <c r="K91" i="12" s="1" a="1"/>
  <c r="K91" i="12" s="1"/>
  <c r="C3" i="12" a="1"/>
  <c r="C3" i="12" s="1"/>
  <c r="D3" i="12" s="1"/>
  <c r="K3" i="12" s="1" a="1"/>
  <c r="K3" i="12" s="1"/>
  <c r="C4" i="12" a="1"/>
  <c r="C4" i="12" s="1"/>
  <c r="D4" i="12" s="1"/>
  <c r="K4" i="12" s="1" a="1"/>
  <c r="K4" i="12" s="1"/>
  <c r="C5" i="12" a="1"/>
  <c r="C5" i="12" s="1"/>
  <c r="D5" i="12" s="1"/>
  <c r="K5" i="12" s="1" a="1"/>
  <c r="K5" i="12" s="1"/>
  <c r="C6" i="12" a="1"/>
  <c r="C6" i="12" s="1"/>
  <c r="D6" i="12" s="1"/>
  <c r="K6" i="12" s="1" a="1"/>
  <c r="K6" i="12" s="1"/>
  <c r="C7" i="12" a="1"/>
  <c r="C7" i="12" s="1"/>
  <c r="D7" i="12" s="1"/>
  <c r="K7" i="12" s="1" a="1"/>
  <c r="K7" i="12" s="1"/>
  <c r="C8" i="12" a="1"/>
  <c r="C8" i="12" s="1"/>
  <c r="D8" i="12" s="1"/>
  <c r="K8" i="12" s="1" a="1"/>
  <c r="K8" i="12" s="1"/>
  <c r="C9" i="12" a="1"/>
  <c r="C9" i="12" s="1"/>
  <c r="D9" i="12" s="1"/>
  <c r="K9" i="12" s="1" a="1"/>
  <c r="K9" i="12" s="1"/>
  <c r="C10" i="12" a="1"/>
  <c r="C10" i="12" s="1"/>
  <c r="D10" i="12" s="1"/>
  <c r="K10" i="12" s="1" a="1"/>
  <c r="K10" i="12" s="1"/>
  <c r="C2" i="12" a="1"/>
  <c r="C2" i="12" s="1"/>
  <c r="D2" i="12" s="1"/>
  <c r="K2" i="12" s="1" a="1"/>
  <c r="K2" i="12" s="1"/>
  <c r="A3" i="12" a="1"/>
  <c r="A3" i="12" s="1"/>
  <c r="A4" i="12" a="1"/>
  <c r="A4" i="12" s="1"/>
  <c r="A5" i="12" a="1"/>
  <c r="A5" i="12" s="1"/>
  <c r="A6" i="12" a="1"/>
  <c r="A6" i="12" s="1"/>
  <c r="A7" i="12" a="1"/>
  <c r="A7" i="12" s="1"/>
  <c r="A8" i="12" a="1"/>
  <c r="A8" i="12" s="1"/>
  <c r="A9" i="12" a="1"/>
  <c r="A9" i="12" s="1"/>
  <c r="A10" i="12" a="1"/>
  <c r="A10" i="12" s="1"/>
  <c r="A11" i="12" a="1"/>
  <c r="A11" i="12" s="1"/>
  <c r="H11" i="12" s="1"/>
  <c r="A12" i="12" a="1"/>
  <c r="A12" i="12" s="1"/>
  <c r="H12" i="12" s="1"/>
  <c r="A13" i="12" a="1"/>
  <c r="A13" i="12" s="1"/>
  <c r="H13" i="12" s="1"/>
  <c r="A14" i="12" a="1"/>
  <c r="A14" i="12" s="1"/>
  <c r="H14" i="12" s="1"/>
  <c r="A15" i="12" a="1"/>
  <c r="A15" i="12" s="1"/>
  <c r="H15" i="12" s="1"/>
  <c r="A16" i="12" a="1"/>
  <c r="A16" i="12" s="1"/>
  <c r="H16" i="12" s="1"/>
  <c r="A17" i="12" a="1"/>
  <c r="A17" i="12" s="1"/>
  <c r="H17" i="12" s="1"/>
  <c r="A18" i="12" a="1"/>
  <c r="A18" i="12" s="1"/>
  <c r="H18" i="12" s="1"/>
  <c r="A19" i="12" a="1"/>
  <c r="A19" i="12" s="1"/>
  <c r="H19" i="12" s="1"/>
  <c r="A20" i="12" a="1"/>
  <c r="A20" i="12" s="1"/>
  <c r="A21" i="12" a="1"/>
  <c r="A21" i="12" s="1"/>
  <c r="A22" i="12" a="1"/>
  <c r="A22" i="12" s="1"/>
  <c r="A23" i="12" a="1"/>
  <c r="A23" i="12" s="1"/>
  <c r="A24" i="12" a="1"/>
  <c r="A24" i="12" s="1"/>
  <c r="A25" i="12" a="1"/>
  <c r="A25" i="12" s="1"/>
  <c r="A26" i="12" a="1"/>
  <c r="A26" i="12" s="1"/>
  <c r="A27" i="12" a="1"/>
  <c r="A27" i="12" s="1"/>
  <c r="A28" i="12" a="1"/>
  <c r="A28" i="12" s="1"/>
  <c r="A29" i="12" a="1"/>
  <c r="A29" i="12" s="1"/>
  <c r="A30" i="12" a="1"/>
  <c r="A30" i="12" s="1"/>
  <c r="A31" i="12" a="1"/>
  <c r="A31" i="12" s="1"/>
  <c r="A32" i="12" a="1"/>
  <c r="A32" i="12" s="1"/>
  <c r="A33" i="12" a="1"/>
  <c r="A33" i="12" s="1"/>
  <c r="A34" i="12" a="1"/>
  <c r="A34" i="12" s="1"/>
  <c r="A35" i="12" a="1"/>
  <c r="A35" i="12" s="1"/>
  <c r="A36" i="12" a="1"/>
  <c r="A36" i="12" s="1"/>
  <c r="A37" i="12" a="1"/>
  <c r="A37" i="12" s="1"/>
  <c r="A38" i="12" a="1"/>
  <c r="A38" i="12" s="1"/>
  <c r="A39" i="12" a="1"/>
  <c r="A39" i="12" s="1"/>
  <c r="A40" i="12" a="1"/>
  <c r="A40" i="12" s="1"/>
  <c r="A41" i="12" a="1"/>
  <c r="A41" i="12" s="1"/>
  <c r="A42" i="12" a="1"/>
  <c r="A42" i="12" s="1"/>
  <c r="A43" i="12" a="1"/>
  <c r="A43" i="12" s="1"/>
  <c r="A44" i="12" a="1"/>
  <c r="A44" i="12" s="1"/>
  <c r="A45" i="12" a="1"/>
  <c r="A45" i="12" s="1"/>
  <c r="A46" i="12" a="1"/>
  <c r="A46" i="12" s="1"/>
  <c r="A47" i="12" a="1"/>
  <c r="A47" i="12" s="1"/>
  <c r="A48" i="12" a="1"/>
  <c r="A48" i="12" s="1"/>
  <c r="A49" i="12" a="1"/>
  <c r="A49" i="12" s="1"/>
  <c r="A50" i="12" a="1"/>
  <c r="A50" i="12" s="1"/>
  <c r="A51" i="12" a="1"/>
  <c r="A51" i="12" s="1"/>
  <c r="A52" i="12" a="1"/>
  <c r="A52" i="12" s="1"/>
  <c r="A53" i="12" a="1"/>
  <c r="A53" i="12" s="1"/>
  <c r="A54" i="12" a="1"/>
  <c r="A54" i="12" s="1"/>
  <c r="A55" i="12" a="1"/>
  <c r="A55" i="12" s="1"/>
  <c r="A56" i="12" a="1"/>
  <c r="A56" i="12" s="1"/>
  <c r="A57" i="12" a="1"/>
  <c r="A57" i="12" s="1"/>
  <c r="A58" i="12" a="1"/>
  <c r="A58" i="12" s="1"/>
  <c r="A59" i="12" a="1"/>
  <c r="A59" i="12" s="1"/>
  <c r="A60" i="12" a="1"/>
  <c r="A60" i="12" s="1"/>
  <c r="A61" i="12" a="1"/>
  <c r="A61" i="12" s="1"/>
  <c r="A62" i="12" a="1"/>
  <c r="A62" i="12" s="1"/>
  <c r="A63" i="12" a="1"/>
  <c r="A63" i="12" s="1"/>
  <c r="A64" i="12" a="1"/>
  <c r="A64" i="12" s="1"/>
  <c r="A65" i="12" a="1"/>
  <c r="A65" i="12" s="1"/>
  <c r="A66" i="12" a="1"/>
  <c r="A66" i="12" s="1"/>
  <c r="A67" i="12" a="1"/>
  <c r="A67" i="12" s="1"/>
  <c r="A68" i="12" a="1"/>
  <c r="A68" i="12" s="1"/>
  <c r="A69" i="12" a="1"/>
  <c r="A69" i="12" s="1"/>
  <c r="A70" i="12" a="1"/>
  <c r="A70" i="12" s="1"/>
  <c r="A71" i="12" a="1"/>
  <c r="A71" i="12" s="1"/>
  <c r="A72" i="12" a="1"/>
  <c r="A72" i="12" s="1"/>
  <c r="A73" i="12" a="1"/>
  <c r="A73" i="12" s="1"/>
  <c r="A74" i="12" a="1"/>
  <c r="A74" i="12" s="1"/>
  <c r="A75" i="12" a="1"/>
  <c r="A75" i="12" s="1"/>
  <c r="A76" i="12" a="1"/>
  <c r="A76" i="12" s="1"/>
  <c r="A77" i="12" a="1"/>
  <c r="A77" i="12" s="1"/>
  <c r="A78" i="12" a="1"/>
  <c r="A78" i="12" s="1"/>
  <c r="A79" i="12" a="1"/>
  <c r="A79" i="12" s="1"/>
  <c r="A80" i="12" a="1"/>
  <c r="A80" i="12" s="1"/>
  <c r="A81" i="12" a="1"/>
  <c r="A81" i="12" s="1"/>
  <c r="H81" i="12" s="1"/>
  <c r="A82" i="12" a="1"/>
  <c r="A82" i="12" s="1"/>
  <c r="A83" i="12" a="1"/>
  <c r="A83" i="12" s="1"/>
  <c r="A84" i="12" a="1"/>
  <c r="A84" i="12" s="1"/>
  <c r="A85" i="12" a="1"/>
  <c r="A85" i="12" s="1"/>
  <c r="A86" i="12" a="1"/>
  <c r="A86" i="12" s="1"/>
  <c r="A87" i="12" a="1"/>
  <c r="A87" i="12" s="1"/>
  <c r="A88" i="12" a="1"/>
  <c r="A88" i="12" s="1"/>
  <c r="A89" i="12" a="1"/>
  <c r="A89" i="12" s="1"/>
  <c r="A90" i="12" a="1"/>
  <c r="A90" i="12" s="1"/>
  <c r="A91" i="12" a="1"/>
  <c r="A91" i="12" s="1"/>
  <c r="A2" i="12" a="1"/>
  <c r="A2" i="12" s="1"/>
  <c r="A15" i="10" a="1"/>
  <c r="A15" i="10" s="1"/>
  <c r="H2" i="7"/>
  <c r="H3" i="7"/>
  <c r="H4" i="7"/>
  <c r="H5" i="7"/>
  <c r="H6" i="7"/>
  <c r="H7" i="7"/>
  <c r="H8" i="7"/>
  <c r="H9" i="7"/>
  <c r="H10" i="7"/>
  <c r="M9" i="7"/>
  <c r="F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N4" i="7" a="1"/>
  <c r="N4" i="7" s="1"/>
  <c r="A4" i="8"/>
  <c r="A5" i="8"/>
  <c r="A6" i="8"/>
  <c r="A7" i="8"/>
  <c r="A8" i="8"/>
  <c r="A9" i="8"/>
  <c r="A10" i="8"/>
  <c r="A11" i="8"/>
  <c r="A3" i="8"/>
  <c r="A2" i="8"/>
  <c r="O2" i="7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C752" i="4"/>
  <c r="D752" i="4" s="1" a="1"/>
  <c r="D752" i="4" s="1"/>
  <c r="C753" i="4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502" i="4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D502" i="4" a="1"/>
  <c r="D502" i="4" s="1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A3" i="11" a="1"/>
  <c r="A3" i="11" s="1"/>
  <c r="A4" i="11" a="1"/>
  <c r="A4" i="11" s="1"/>
  <c r="A5" i="11" a="1"/>
  <c r="A5" i="11" s="1"/>
  <c r="A6" i="11" a="1"/>
  <c r="A6" i="11" s="1"/>
  <c r="A7" i="11" a="1"/>
  <c r="A7" i="11" s="1"/>
  <c r="A8" i="11" a="1"/>
  <c r="A8" i="11" s="1"/>
  <c r="A9" i="11" a="1"/>
  <c r="A9" i="11" s="1"/>
  <c r="A2" i="11" a="1"/>
  <c r="A2" i="11" s="1"/>
  <c r="C3" i="11" a="1"/>
  <c r="C3" i="11" s="1"/>
  <c r="D3" i="11" s="1"/>
  <c r="K3" i="11" s="1" a="1"/>
  <c r="K3" i="11" s="1"/>
  <c r="C4" i="11" a="1"/>
  <c r="C4" i="11" s="1"/>
  <c r="D4" i="11" s="1"/>
  <c r="K4" i="11" s="1" a="1"/>
  <c r="K4" i="11" s="1"/>
  <c r="C5" i="11" a="1"/>
  <c r="C5" i="11" s="1"/>
  <c r="D5" i="11" s="1"/>
  <c r="K5" i="11" s="1" a="1"/>
  <c r="K5" i="11" s="1"/>
  <c r="C6" i="11" a="1"/>
  <c r="C6" i="11" s="1"/>
  <c r="D6" i="11" s="1"/>
  <c r="K6" i="11" s="1" a="1"/>
  <c r="K6" i="11" s="1"/>
  <c r="C7" i="11" a="1"/>
  <c r="C7" i="11" s="1"/>
  <c r="D7" i="11" s="1"/>
  <c r="K7" i="11" s="1" a="1"/>
  <c r="K7" i="11" s="1"/>
  <c r="C8" i="11" a="1"/>
  <c r="C8" i="11" s="1"/>
  <c r="D8" i="11" s="1"/>
  <c r="K8" i="11" s="1" a="1"/>
  <c r="K8" i="11" s="1"/>
  <c r="C9" i="11" a="1"/>
  <c r="C9" i="11" s="1"/>
  <c r="D9" i="11" s="1"/>
  <c r="K9" i="11" s="1" a="1"/>
  <c r="K9" i="11" s="1"/>
  <c r="C2" i="11" a="1"/>
  <c r="C2" i="11" s="1"/>
  <c r="D2" i="11" s="1"/>
  <c r="K2" i="11" s="1" a="1"/>
  <c r="K2" i="11" s="1"/>
  <c r="A63" i="10" a="1"/>
  <c r="A63" i="10" s="1"/>
  <c r="C63" i="10" a="1"/>
  <c r="C63" i="10" s="1"/>
  <c r="D63" i="10" s="1"/>
  <c r="K63" i="10" s="1" a="1"/>
  <c r="K63" i="10" s="1"/>
  <c r="A64" i="10" a="1"/>
  <c r="A64" i="10" s="1"/>
  <c r="C64" i="10" a="1"/>
  <c r="C64" i="10" s="1"/>
  <c r="D64" i="10" s="1"/>
  <c r="A65" i="10" a="1"/>
  <c r="A65" i="10" s="1"/>
  <c r="C65" i="10" a="1"/>
  <c r="C65" i="10" s="1"/>
  <c r="D65" i="10" s="1"/>
  <c r="K65" i="10" s="1" a="1"/>
  <c r="K65" i="10" s="1"/>
  <c r="A66" i="10" a="1"/>
  <c r="A66" i="10" s="1"/>
  <c r="C66" i="10" a="1"/>
  <c r="C66" i="10" s="1"/>
  <c r="D66" i="10" s="1"/>
  <c r="K66" i="10" s="1" a="1"/>
  <c r="K66" i="10" s="1"/>
  <c r="A67" i="10" a="1"/>
  <c r="A67" i="10" s="1"/>
  <c r="C67" i="10" a="1"/>
  <c r="C67" i="10" s="1"/>
  <c r="D67" i="10" s="1"/>
  <c r="K67" i="10" s="1" a="1"/>
  <c r="K67" i="10" s="1"/>
  <c r="A68" i="10" a="1"/>
  <c r="A68" i="10" s="1"/>
  <c r="C68" i="10" a="1"/>
  <c r="C68" i="10" s="1"/>
  <c r="D68" i="10" s="1"/>
  <c r="K68" i="10" s="1" a="1"/>
  <c r="K68" i="10" s="1"/>
  <c r="A69" i="10" a="1"/>
  <c r="A69" i="10" s="1"/>
  <c r="C69" i="10" a="1"/>
  <c r="C69" i="10" s="1"/>
  <c r="D69" i="10" s="1"/>
  <c r="K69" i="10" s="1" a="1"/>
  <c r="K69" i="10" s="1"/>
  <c r="A70" i="10" a="1"/>
  <c r="A70" i="10" s="1"/>
  <c r="C70" i="10" a="1"/>
  <c r="C70" i="10" s="1"/>
  <c r="D70" i="10" s="1"/>
  <c r="K70" i="10" s="1" a="1"/>
  <c r="K70" i="10" s="1"/>
  <c r="A71" i="10" a="1"/>
  <c r="A71" i="10" s="1"/>
  <c r="C71" i="10" a="1"/>
  <c r="C71" i="10" s="1"/>
  <c r="D71" i="10" s="1"/>
  <c r="K71" i="10" s="1" a="1"/>
  <c r="K71" i="10" s="1"/>
  <c r="A72" i="10" a="1"/>
  <c r="A72" i="10" s="1"/>
  <c r="C72" i="10" a="1"/>
  <c r="C72" i="10" s="1"/>
  <c r="D72" i="10" s="1"/>
  <c r="K72" i="10" s="1" a="1"/>
  <c r="K72" i="10" s="1"/>
  <c r="A73" i="10" a="1"/>
  <c r="A73" i="10" s="1"/>
  <c r="C73" i="10" a="1"/>
  <c r="C73" i="10" s="1"/>
  <c r="D73" i="10" s="1"/>
  <c r="K73" i="10" s="1" a="1"/>
  <c r="K73" i="10" s="1"/>
  <c r="A74" i="10" a="1"/>
  <c r="A74" i="10" s="1"/>
  <c r="C74" i="10" a="1"/>
  <c r="C74" i="10" s="1"/>
  <c r="D74" i="10" s="1"/>
  <c r="K74" i="10" s="1" a="1"/>
  <c r="K74" i="10" s="1"/>
  <c r="A75" i="10" a="1"/>
  <c r="A75" i="10" s="1"/>
  <c r="C75" i="10" a="1"/>
  <c r="C75" i="10" s="1"/>
  <c r="D75" i="10" s="1"/>
  <c r="K75" i="10" s="1" a="1"/>
  <c r="K75" i="10" s="1"/>
  <c r="A76" i="10" a="1"/>
  <c r="A76" i="10" s="1"/>
  <c r="C76" i="10" a="1"/>
  <c r="C76" i="10" s="1"/>
  <c r="D76" i="10" s="1"/>
  <c r="B8" i="17" s="1"/>
  <c r="A77" i="10" a="1"/>
  <c r="A77" i="10" s="1"/>
  <c r="C77" i="10" a="1"/>
  <c r="C77" i="10" s="1"/>
  <c r="D77" i="10" s="1"/>
  <c r="K77" i="10" s="1" a="1"/>
  <c r="K77" i="10" s="1"/>
  <c r="A78" i="10" a="1"/>
  <c r="A78" i="10" s="1"/>
  <c r="C78" i="10" a="1"/>
  <c r="C78" i="10" s="1"/>
  <c r="D78" i="10" s="1"/>
  <c r="K78" i="10" s="1" a="1"/>
  <c r="K78" i="10" s="1"/>
  <c r="A79" i="10" a="1"/>
  <c r="A79" i="10" s="1"/>
  <c r="C79" i="10" a="1"/>
  <c r="C79" i="10" s="1"/>
  <c r="D79" i="10" s="1"/>
  <c r="K79" i="10" s="1" a="1"/>
  <c r="K79" i="10" s="1"/>
  <c r="A80" i="10" a="1"/>
  <c r="A80" i="10" s="1"/>
  <c r="C80" i="10" a="1"/>
  <c r="C80" i="10" s="1"/>
  <c r="D80" i="10" s="1"/>
  <c r="K80" i="10" s="1" a="1"/>
  <c r="K80" i="10" s="1"/>
  <c r="A81" i="10" a="1"/>
  <c r="A81" i="10" s="1"/>
  <c r="C81" i="10" a="1"/>
  <c r="C81" i="10" s="1"/>
  <c r="D81" i="10" s="1"/>
  <c r="K81" i="10" s="1" a="1"/>
  <c r="K81" i="10" s="1"/>
  <c r="A82" i="10" a="1"/>
  <c r="A82" i="10" s="1"/>
  <c r="C82" i="10" a="1"/>
  <c r="C82" i="10" s="1"/>
  <c r="D82" i="10" s="1"/>
  <c r="K82" i="10" s="1" a="1"/>
  <c r="K82" i="10" s="1"/>
  <c r="A83" i="10" a="1"/>
  <c r="A83" i="10" s="1"/>
  <c r="C83" i="10" a="1"/>
  <c r="C83" i="10" s="1"/>
  <c r="D83" i="10" s="1"/>
  <c r="K83" i="10" s="1" a="1"/>
  <c r="K83" i="10" s="1"/>
  <c r="A84" i="10" a="1"/>
  <c r="A84" i="10" s="1"/>
  <c r="C84" i="10" a="1"/>
  <c r="C84" i="10" s="1"/>
  <c r="D84" i="10" s="1"/>
  <c r="K84" i="10" s="1" a="1"/>
  <c r="K84" i="10" s="1"/>
  <c r="A85" i="10" a="1"/>
  <c r="A85" i="10" s="1"/>
  <c r="C85" i="10" a="1"/>
  <c r="C85" i="10" s="1"/>
  <c r="D85" i="10" s="1"/>
  <c r="K85" i="10" s="1" a="1"/>
  <c r="K85" i="10" s="1"/>
  <c r="A86" i="10" a="1"/>
  <c r="A86" i="10" s="1"/>
  <c r="C86" i="10" a="1"/>
  <c r="C86" i="10" s="1"/>
  <c r="D86" i="10" s="1"/>
  <c r="K86" i="10" s="1" a="1"/>
  <c r="K86" i="10" s="1"/>
  <c r="A87" i="10" a="1"/>
  <c r="A87" i="10" s="1"/>
  <c r="C87" i="10" a="1"/>
  <c r="C87" i="10" s="1"/>
  <c r="D87" i="10" s="1"/>
  <c r="K87" i="10" s="1" a="1"/>
  <c r="K87" i="10" s="1"/>
  <c r="A88" i="10" a="1"/>
  <c r="A88" i="10" s="1"/>
  <c r="C88" i="10" a="1"/>
  <c r="C88" i="10" s="1"/>
  <c r="D88" i="10" s="1"/>
  <c r="A89" i="10" a="1"/>
  <c r="A89" i="10" s="1"/>
  <c r="C89" i="10" a="1"/>
  <c r="C89" i="10" s="1"/>
  <c r="D89" i="10" s="1"/>
  <c r="K89" i="10" s="1" a="1"/>
  <c r="K89" i="10" s="1"/>
  <c r="A90" i="10" a="1"/>
  <c r="A90" i="10" s="1"/>
  <c r="C90" i="10" a="1"/>
  <c r="C90" i="10" s="1"/>
  <c r="D90" i="10" s="1"/>
  <c r="K90" i="10" s="1" a="1"/>
  <c r="K90" i="10" s="1"/>
  <c r="A91" i="10" a="1"/>
  <c r="A91" i="10" s="1"/>
  <c r="C91" i="10" a="1"/>
  <c r="C91" i="10" s="1"/>
  <c r="D91" i="10" s="1"/>
  <c r="K91" i="10" s="1" a="1"/>
  <c r="K91" i="10" s="1"/>
  <c r="A92" i="10" a="1"/>
  <c r="A92" i="10" s="1"/>
  <c r="C92" i="10" a="1"/>
  <c r="C92" i="10" s="1"/>
  <c r="D92" i="10" s="1"/>
  <c r="K92" i="10" s="1" a="1"/>
  <c r="K92" i="10" s="1"/>
  <c r="A93" i="10" a="1"/>
  <c r="A93" i="10" s="1"/>
  <c r="C93" i="10" a="1"/>
  <c r="C93" i="10" s="1"/>
  <c r="D93" i="10" s="1"/>
  <c r="K93" i="10" s="1" a="1"/>
  <c r="K93" i="10" s="1"/>
  <c r="A94" i="10" a="1"/>
  <c r="A94" i="10" s="1"/>
  <c r="C94" i="10" a="1"/>
  <c r="C94" i="10" s="1"/>
  <c r="D94" i="10" s="1"/>
  <c r="K94" i="10" s="1" a="1"/>
  <c r="K94" i="10" s="1"/>
  <c r="A95" i="10" a="1"/>
  <c r="A95" i="10" s="1"/>
  <c r="C95" i="10" a="1"/>
  <c r="C95" i="10" s="1"/>
  <c r="D95" i="10" s="1"/>
  <c r="K95" i="10" s="1" a="1"/>
  <c r="K95" i="10" s="1"/>
  <c r="A96" i="10" a="1"/>
  <c r="A96" i="10" s="1"/>
  <c r="C96" i="10" a="1"/>
  <c r="C96" i="10" s="1"/>
  <c r="D96" i="10" s="1"/>
  <c r="K96" i="10" s="1" a="1"/>
  <c r="K96" i="10" s="1"/>
  <c r="A97" i="10" a="1"/>
  <c r="A97" i="10" s="1"/>
  <c r="C97" i="10" a="1"/>
  <c r="C97" i="10" s="1"/>
  <c r="D97" i="10" s="1"/>
  <c r="K97" i="10" s="1" a="1"/>
  <c r="K97" i="10" s="1"/>
  <c r="A98" i="10" a="1"/>
  <c r="A98" i="10" s="1"/>
  <c r="C98" i="10" a="1"/>
  <c r="C98" i="10" s="1"/>
  <c r="D98" i="10" s="1"/>
  <c r="K98" i="10" s="1" a="1"/>
  <c r="K98" i="10" s="1"/>
  <c r="A99" i="10" a="1"/>
  <c r="A99" i="10" s="1"/>
  <c r="C99" i="10" a="1"/>
  <c r="C99" i="10" s="1"/>
  <c r="D99" i="10" s="1"/>
  <c r="K99" i="10" s="1" a="1"/>
  <c r="K99" i="10" s="1"/>
  <c r="A100" i="10" a="1"/>
  <c r="A100" i="10" s="1"/>
  <c r="C100" i="10" a="1"/>
  <c r="C100" i="10" s="1"/>
  <c r="D100" i="10" s="1"/>
  <c r="A101" i="10" a="1"/>
  <c r="A101" i="10" s="1"/>
  <c r="C101" i="10" a="1"/>
  <c r="C101" i="10" s="1"/>
  <c r="D101" i="10" s="1"/>
  <c r="K101" i="10" s="1" a="1"/>
  <c r="K101" i="10" s="1"/>
  <c r="A102" i="10" a="1"/>
  <c r="A102" i="10" s="1"/>
  <c r="C102" i="10" a="1"/>
  <c r="C102" i="10" s="1"/>
  <c r="D102" i="10" s="1"/>
  <c r="K102" i="10" s="1" a="1"/>
  <c r="K102" i="10" s="1"/>
  <c r="A103" i="10" a="1"/>
  <c r="A103" i="10" s="1"/>
  <c r="C103" i="10" a="1"/>
  <c r="C103" i="10" s="1"/>
  <c r="D103" i="10" s="1"/>
  <c r="K103" i="10" s="1" a="1"/>
  <c r="K103" i="10" s="1"/>
  <c r="A104" i="10" a="1"/>
  <c r="A104" i="10" s="1"/>
  <c r="C104" i="10" a="1"/>
  <c r="C104" i="10" s="1"/>
  <c r="D104" i="10" s="1"/>
  <c r="K104" i="10" s="1" a="1"/>
  <c r="K104" i="10" s="1"/>
  <c r="A105" i="10" a="1"/>
  <c r="A105" i="10" s="1"/>
  <c r="C105" i="10" a="1"/>
  <c r="C105" i="10" s="1"/>
  <c r="D105" i="10" s="1"/>
  <c r="K105" i="10" s="1" a="1"/>
  <c r="K105" i="10" s="1"/>
  <c r="A106" i="10" a="1"/>
  <c r="A106" i="10" s="1"/>
  <c r="C106" i="10" a="1"/>
  <c r="C106" i="10" s="1"/>
  <c r="D106" i="10" s="1"/>
  <c r="K106" i="10" s="1" a="1"/>
  <c r="K106" i="10" s="1"/>
  <c r="A107" i="10" a="1"/>
  <c r="A107" i="10" s="1"/>
  <c r="C107" i="10" a="1"/>
  <c r="C107" i="10" s="1"/>
  <c r="D107" i="10" s="1"/>
  <c r="K107" i="10" s="1" a="1"/>
  <c r="K107" i="10" s="1"/>
  <c r="A108" i="10" a="1"/>
  <c r="A108" i="10" s="1"/>
  <c r="C108" i="10" a="1"/>
  <c r="C108" i="10" s="1"/>
  <c r="D108" i="10" s="1"/>
  <c r="K108" i="10" s="1" a="1"/>
  <c r="K108" i="10" s="1"/>
  <c r="A109" i="10" a="1"/>
  <c r="A109" i="10" s="1"/>
  <c r="C109" i="10" a="1"/>
  <c r="C109" i="10" s="1"/>
  <c r="D109" i="10" s="1"/>
  <c r="K109" i="10" s="1" a="1"/>
  <c r="K109" i="10" s="1"/>
  <c r="A110" i="10" a="1"/>
  <c r="A110" i="10" s="1"/>
  <c r="C110" i="10" a="1"/>
  <c r="C110" i="10" s="1"/>
  <c r="D110" i="10" s="1"/>
  <c r="K110" i="10" s="1" a="1"/>
  <c r="K110" i="10" s="1"/>
  <c r="A111" i="10" a="1"/>
  <c r="A111" i="10" s="1"/>
  <c r="C111" i="10" a="1"/>
  <c r="C111" i="10" s="1"/>
  <c r="D111" i="10" s="1"/>
  <c r="K111" i="10" s="1" a="1"/>
  <c r="K111" i="10" s="1"/>
  <c r="A112" i="10" a="1"/>
  <c r="A112" i="10" s="1"/>
  <c r="C112" i="10" a="1"/>
  <c r="C112" i="10" s="1"/>
  <c r="D112" i="10" s="1"/>
  <c r="A113" i="10" a="1"/>
  <c r="A113" i="10" s="1"/>
  <c r="C113" i="10" a="1"/>
  <c r="C113" i="10" s="1"/>
  <c r="D113" i="10" s="1"/>
  <c r="K113" i="10" s="1" a="1"/>
  <c r="K113" i="10" s="1"/>
  <c r="A114" i="10" a="1"/>
  <c r="A114" i="10" s="1"/>
  <c r="C114" i="10" a="1"/>
  <c r="C114" i="10" s="1"/>
  <c r="D114" i="10" s="1"/>
  <c r="K114" i="10" s="1" a="1"/>
  <c r="K114" i="10" s="1"/>
  <c r="A115" i="10" a="1"/>
  <c r="A115" i="10" s="1"/>
  <c r="C115" i="10" a="1"/>
  <c r="C115" i="10" s="1"/>
  <c r="D115" i="10" s="1"/>
  <c r="K115" i="10" s="1" a="1"/>
  <c r="K115" i="10" s="1"/>
  <c r="A116" i="10" a="1"/>
  <c r="A116" i="10" s="1"/>
  <c r="C116" i="10" a="1"/>
  <c r="C116" i="10" s="1"/>
  <c r="D116" i="10" s="1"/>
  <c r="K116" i="10" s="1" a="1"/>
  <c r="K116" i="10" s="1"/>
  <c r="A117" i="10" a="1"/>
  <c r="A117" i="10" s="1"/>
  <c r="C117" i="10" a="1"/>
  <c r="C117" i="10" s="1"/>
  <c r="D117" i="10" s="1"/>
  <c r="K117" i="10" s="1" a="1"/>
  <c r="K117" i="10" s="1"/>
  <c r="A118" i="10" a="1"/>
  <c r="A118" i="10" s="1"/>
  <c r="C118" i="10" a="1"/>
  <c r="C118" i="10" s="1"/>
  <c r="D118" i="10" s="1"/>
  <c r="K118" i="10" s="1" a="1"/>
  <c r="K118" i="10" s="1"/>
  <c r="A119" i="10" a="1"/>
  <c r="A119" i="10" s="1"/>
  <c r="C119" i="10" a="1"/>
  <c r="C119" i="10" s="1"/>
  <c r="D119" i="10" s="1"/>
  <c r="K119" i="10" s="1" a="1"/>
  <c r="K119" i="10" s="1"/>
  <c r="A120" i="10" a="1"/>
  <c r="A120" i="10" s="1"/>
  <c r="C120" i="10" a="1"/>
  <c r="C120" i="10" s="1"/>
  <c r="D120" i="10" s="1"/>
  <c r="K120" i="10" s="1" a="1"/>
  <c r="K120" i="10" s="1"/>
  <c r="A121" i="10" a="1"/>
  <c r="A121" i="10" s="1"/>
  <c r="C121" i="10" a="1"/>
  <c r="C121" i="10" s="1"/>
  <c r="D121" i="10" s="1"/>
  <c r="K121" i="10" s="1" a="1"/>
  <c r="K121" i="10" s="1"/>
  <c r="A56" i="10" a="1"/>
  <c r="A56" i="10" s="1"/>
  <c r="C56" i="10" a="1"/>
  <c r="C56" i="10" s="1"/>
  <c r="D56" i="10" s="1"/>
  <c r="K56" i="10" s="1" a="1"/>
  <c r="K56" i="10" s="1"/>
  <c r="A57" i="10" a="1"/>
  <c r="A57" i="10" s="1"/>
  <c r="C57" i="10" a="1"/>
  <c r="C57" i="10" s="1"/>
  <c r="D57" i="10" s="1"/>
  <c r="K57" i="10" s="1" a="1"/>
  <c r="K57" i="10" s="1"/>
  <c r="A58" i="10" a="1"/>
  <c r="A58" i="10" s="1"/>
  <c r="C58" i="10" a="1"/>
  <c r="C58" i="10" s="1"/>
  <c r="D58" i="10" s="1"/>
  <c r="K58" i="10" s="1" a="1"/>
  <c r="K58" i="10" s="1"/>
  <c r="A59" i="10" a="1"/>
  <c r="A59" i="10" s="1"/>
  <c r="C59" i="10" a="1"/>
  <c r="C59" i="10" s="1"/>
  <c r="D59" i="10" s="1"/>
  <c r="K59" i="10" s="1" a="1"/>
  <c r="K59" i="10" s="1"/>
  <c r="A60" i="10" a="1"/>
  <c r="A60" i="10" s="1"/>
  <c r="C60" i="10" a="1"/>
  <c r="C60" i="10" s="1"/>
  <c r="D60" i="10" s="1"/>
  <c r="K60" i="10" s="1" a="1"/>
  <c r="K60" i="10" s="1"/>
  <c r="A61" i="10" a="1"/>
  <c r="A61" i="10" s="1"/>
  <c r="C61" i="10" a="1"/>
  <c r="C61" i="10" s="1"/>
  <c r="D61" i="10" s="1"/>
  <c r="K61" i="10" s="1" a="1"/>
  <c r="K61" i="10" s="1"/>
  <c r="A62" i="10" a="1"/>
  <c r="A62" i="10" s="1"/>
  <c r="C62" i="10" a="1"/>
  <c r="C62" i="10" s="1"/>
  <c r="D62" i="10" s="1"/>
  <c r="K62" i="10" s="1" a="1"/>
  <c r="K62" i="10" s="1"/>
  <c r="A50" i="10" a="1"/>
  <c r="A50" i="10" s="1"/>
  <c r="C50" i="10" a="1"/>
  <c r="C50" i="10" s="1"/>
  <c r="D50" i="10" s="1"/>
  <c r="K50" i="10" s="1" a="1"/>
  <c r="K50" i="10" s="1"/>
  <c r="A51" i="10" a="1"/>
  <c r="A51" i="10" s="1"/>
  <c r="C51" i="10" a="1"/>
  <c r="C51" i="10" s="1"/>
  <c r="D51" i="10" s="1"/>
  <c r="K51" i="10" s="1" a="1"/>
  <c r="K51" i="10" s="1"/>
  <c r="A52" i="10" a="1"/>
  <c r="A52" i="10" s="1"/>
  <c r="C52" i="10" a="1"/>
  <c r="C52" i="10" s="1"/>
  <c r="D52" i="10" s="1"/>
  <c r="B6" i="17" s="1"/>
  <c r="A53" i="10" a="1"/>
  <c r="A53" i="10" s="1"/>
  <c r="C53" i="10" a="1"/>
  <c r="C53" i="10" s="1"/>
  <c r="D53" i="10" s="1"/>
  <c r="K53" i="10" s="1" a="1"/>
  <c r="K53" i="10" s="1"/>
  <c r="A54" i="10" a="1"/>
  <c r="A54" i="10" s="1"/>
  <c r="C54" i="10" a="1"/>
  <c r="C54" i="10" s="1"/>
  <c r="D54" i="10" s="1"/>
  <c r="K54" i="10" s="1" a="1"/>
  <c r="K54" i="10" s="1"/>
  <c r="A55" i="10" a="1"/>
  <c r="A55" i="10" s="1"/>
  <c r="C55" i="10" a="1"/>
  <c r="C55" i="10" s="1"/>
  <c r="D55" i="10" s="1"/>
  <c r="K55" i="10" s="1" a="1"/>
  <c r="K55" i="10" s="1"/>
  <c r="A49" i="10" a="1"/>
  <c r="A49" i="10" s="1"/>
  <c r="C49" i="10" a="1"/>
  <c r="C49" i="10" s="1"/>
  <c r="D49" i="10" s="1"/>
  <c r="K49" i="10" s="1" a="1"/>
  <c r="K49" i="10" s="1"/>
  <c r="A47" i="10" a="1"/>
  <c r="A47" i="10" s="1"/>
  <c r="C47" i="10" a="1"/>
  <c r="C47" i="10" s="1"/>
  <c r="D47" i="10" s="1"/>
  <c r="K47" i="10" s="1" a="1"/>
  <c r="K47" i="10" s="1"/>
  <c r="A48" i="10" a="1"/>
  <c r="A48" i="10" s="1"/>
  <c r="C48" i="10" a="1"/>
  <c r="C48" i="10" s="1"/>
  <c r="D48" i="10" s="1"/>
  <c r="K48" i="10" s="1" a="1"/>
  <c r="K48" i="10" s="1"/>
  <c r="A38" i="10" a="1"/>
  <c r="A38" i="10" s="1"/>
  <c r="C38" i="10" a="1"/>
  <c r="C38" i="10" s="1"/>
  <c r="D38" i="10" s="1"/>
  <c r="K38" i="10" s="1" a="1"/>
  <c r="K38" i="10" s="1"/>
  <c r="A39" i="10" a="1"/>
  <c r="A39" i="10" s="1"/>
  <c r="C39" i="10" a="1"/>
  <c r="C39" i="10" s="1"/>
  <c r="D39" i="10" s="1"/>
  <c r="K39" i="10" s="1" a="1"/>
  <c r="K39" i="10" s="1"/>
  <c r="A40" i="10" a="1"/>
  <c r="A40" i="10" s="1"/>
  <c r="C40" i="10" a="1"/>
  <c r="C40" i="10" s="1"/>
  <c r="D40" i="10" s="1"/>
  <c r="A41" i="10" a="1"/>
  <c r="A41" i="10" s="1"/>
  <c r="C41" i="10" a="1"/>
  <c r="C41" i="10" s="1"/>
  <c r="D41" i="10" s="1"/>
  <c r="K41" i="10" s="1" a="1"/>
  <c r="K41" i="10" s="1"/>
  <c r="A42" i="10" a="1"/>
  <c r="A42" i="10" s="1"/>
  <c r="C42" i="10" a="1"/>
  <c r="C42" i="10" s="1"/>
  <c r="D42" i="10" s="1"/>
  <c r="K42" i="10" s="1" a="1"/>
  <c r="K42" i="10" s="1"/>
  <c r="A43" i="10" a="1"/>
  <c r="A43" i="10" s="1"/>
  <c r="C43" i="10" a="1"/>
  <c r="C43" i="10" s="1"/>
  <c r="D43" i="10" s="1"/>
  <c r="K43" i="10" s="1" a="1"/>
  <c r="K43" i="10" s="1"/>
  <c r="A44" i="10" a="1"/>
  <c r="A44" i="10" s="1"/>
  <c r="C44" i="10" a="1"/>
  <c r="C44" i="10" s="1"/>
  <c r="D44" i="10" s="1"/>
  <c r="K44" i="10" s="1" a="1"/>
  <c r="K44" i="10" s="1"/>
  <c r="A45" i="10" a="1"/>
  <c r="A45" i="10" s="1"/>
  <c r="C45" i="10" a="1"/>
  <c r="C45" i="10" s="1"/>
  <c r="D45" i="10" s="1"/>
  <c r="K45" i="10" s="1" a="1"/>
  <c r="K45" i="10" s="1"/>
  <c r="A46" i="10" a="1"/>
  <c r="A46" i="10" s="1"/>
  <c r="C46" i="10" a="1"/>
  <c r="C46" i="10" s="1"/>
  <c r="D46" i="10" s="1"/>
  <c r="K46" i="10" s="1" a="1"/>
  <c r="K46" i="10" s="1"/>
  <c r="A29" i="10" a="1"/>
  <c r="A29" i="10" s="1"/>
  <c r="C29" i="10" a="1"/>
  <c r="C29" i="10" s="1"/>
  <c r="D29" i="10" s="1"/>
  <c r="K29" i="10" s="1" a="1"/>
  <c r="K29" i="10" s="1"/>
  <c r="A30" i="10" a="1"/>
  <c r="A30" i="10" s="1"/>
  <c r="C30" i="10" a="1"/>
  <c r="C30" i="10" s="1"/>
  <c r="D30" i="10" s="1"/>
  <c r="K30" i="10" s="1" a="1"/>
  <c r="K30" i="10" s="1"/>
  <c r="A31" i="10" a="1"/>
  <c r="A31" i="10" s="1"/>
  <c r="C31" i="10" a="1"/>
  <c r="C31" i="10" s="1"/>
  <c r="D31" i="10" s="1"/>
  <c r="K31" i="10" s="1" a="1"/>
  <c r="K31" i="10" s="1"/>
  <c r="A32" i="10" a="1"/>
  <c r="A32" i="10" s="1"/>
  <c r="C32" i="10" a="1"/>
  <c r="C32" i="10" s="1"/>
  <c r="D32" i="10" s="1"/>
  <c r="K32" i="10" s="1" a="1"/>
  <c r="K32" i="10" s="1"/>
  <c r="A33" i="10" a="1"/>
  <c r="A33" i="10" s="1"/>
  <c r="C33" i="10" a="1"/>
  <c r="C33" i="10" s="1"/>
  <c r="D33" i="10" s="1"/>
  <c r="K33" i="10" s="1" a="1"/>
  <c r="K33" i="10" s="1"/>
  <c r="A34" i="10" a="1"/>
  <c r="A34" i="10" s="1"/>
  <c r="C34" i="10" a="1"/>
  <c r="C34" i="10" s="1"/>
  <c r="D34" i="10" s="1"/>
  <c r="K34" i="10" s="1" a="1"/>
  <c r="K34" i="10" s="1"/>
  <c r="A35" i="10" a="1"/>
  <c r="A35" i="10" s="1"/>
  <c r="C35" i="10" a="1"/>
  <c r="C35" i="10" s="1"/>
  <c r="D35" i="10" s="1"/>
  <c r="K35" i="10" s="1" a="1"/>
  <c r="K35" i="10" s="1"/>
  <c r="A36" i="10" a="1"/>
  <c r="A36" i="10" s="1"/>
  <c r="C36" i="10" a="1"/>
  <c r="C36" i="10" s="1"/>
  <c r="D36" i="10" s="1"/>
  <c r="K36" i="10" s="1" a="1"/>
  <c r="K36" i="10" s="1"/>
  <c r="A37" i="10" a="1"/>
  <c r="A37" i="10" s="1"/>
  <c r="C37" i="10" a="1"/>
  <c r="C37" i="10" s="1"/>
  <c r="D37" i="10" s="1"/>
  <c r="K37" i="10" s="1" a="1"/>
  <c r="K37" i="10" s="1"/>
  <c r="A27" i="10" a="1"/>
  <c r="A27" i="10" s="1"/>
  <c r="C27" i="10" a="1"/>
  <c r="C27" i="10" s="1"/>
  <c r="D27" i="10" s="1"/>
  <c r="K27" i="10" s="1" a="1"/>
  <c r="K27" i="10" s="1"/>
  <c r="A28" i="10" a="1"/>
  <c r="A28" i="10" s="1"/>
  <c r="C28" i="10" a="1"/>
  <c r="C28" i="10" s="1"/>
  <c r="D28" i="10" s="1"/>
  <c r="C26" i="10" a="1"/>
  <c r="C26" i="10" s="1"/>
  <c r="D26" i="10" s="1"/>
  <c r="K26" i="10" s="1" a="1"/>
  <c r="K26" i="10" s="1"/>
  <c r="A26" i="10" a="1"/>
  <c r="A26" i="10" s="1"/>
  <c r="A14" i="10" a="1"/>
  <c r="A14" i="10" s="1"/>
  <c r="C14" i="10" a="1"/>
  <c r="C14" i="10" s="1"/>
  <c r="D14" i="10" s="1"/>
  <c r="K14" i="10" s="1" a="1"/>
  <c r="K14" i="10" s="1"/>
  <c r="C15" i="10" a="1"/>
  <c r="C15" i="10" s="1"/>
  <c r="D15" i="10" s="1"/>
  <c r="K15" i="10" s="1" a="1"/>
  <c r="K15" i="10" s="1"/>
  <c r="A16" i="10" a="1"/>
  <c r="A16" i="10" s="1"/>
  <c r="C16" i="10" a="1"/>
  <c r="C16" i="10" s="1"/>
  <c r="D16" i="10" s="1"/>
  <c r="K16" i="10" s="1" a="1"/>
  <c r="K16" i="10" s="1"/>
  <c r="A17" i="10" a="1"/>
  <c r="A17" i="10" s="1"/>
  <c r="C17" i="10" a="1"/>
  <c r="C17" i="10" s="1"/>
  <c r="D17" i="10" s="1"/>
  <c r="K17" i="10" s="1" a="1"/>
  <c r="K17" i="10" s="1"/>
  <c r="A18" i="10" a="1"/>
  <c r="A18" i="10" s="1"/>
  <c r="C18" i="10" a="1"/>
  <c r="C18" i="10" s="1"/>
  <c r="D18" i="10" s="1"/>
  <c r="K18" i="10" s="1" a="1"/>
  <c r="K18" i="10" s="1"/>
  <c r="A19" i="10" a="1"/>
  <c r="A19" i="10" s="1"/>
  <c r="C19" i="10" a="1"/>
  <c r="C19" i="10" s="1"/>
  <c r="D19" i="10" s="1"/>
  <c r="K19" i="10" s="1" a="1"/>
  <c r="K19" i="10" s="1"/>
  <c r="A20" i="10" a="1"/>
  <c r="A20" i="10" s="1"/>
  <c r="C20" i="10" a="1"/>
  <c r="C20" i="10" s="1"/>
  <c r="D20" i="10" s="1"/>
  <c r="K20" i="10" s="1" a="1"/>
  <c r="K20" i="10" s="1"/>
  <c r="A21" i="10" a="1"/>
  <c r="A21" i="10" s="1"/>
  <c r="C21" i="10" a="1"/>
  <c r="C21" i="10" s="1"/>
  <c r="D21" i="10" s="1"/>
  <c r="K21" i="10" s="1" a="1"/>
  <c r="K21" i="10" s="1"/>
  <c r="A22" i="10" a="1"/>
  <c r="A22" i="10" s="1"/>
  <c r="C22" i="10" a="1"/>
  <c r="C22" i="10" s="1"/>
  <c r="D22" i="10" s="1"/>
  <c r="K22" i="10" s="1" a="1"/>
  <c r="K22" i="10" s="1"/>
  <c r="A23" i="10" a="1"/>
  <c r="A23" i="10" s="1"/>
  <c r="C23" i="10" a="1"/>
  <c r="C23" i="10" s="1"/>
  <c r="D23" i="10" s="1"/>
  <c r="K23" i="10" s="1" a="1"/>
  <c r="K23" i="10" s="1"/>
  <c r="A24" i="10" a="1"/>
  <c r="A24" i="10" s="1"/>
  <c r="C24" i="10" a="1"/>
  <c r="C24" i="10" s="1"/>
  <c r="D24" i="10" s="1"/>
  <c r="K24" i="10" s="1" a="1"/>
  <c r="K24" i="10" s="1"/>
  <c r="A25" i="10" a="1"/>
  <c r="A25" i="10" s="1"/>
  <c r="C25" i="10" a="1"/>
  <c r="C25" i="10" s="1"/>
  <c r="D25" i="10" s="1"/>
  <c r="K25" i="10" s="1" a="1"/>
  <c r="K25" i="10" s="1"/>
  <c r="C3" i="2" a="1"/>
  <c r="C3" i="2" s="1"/>
  <c r="D3" i="2" s="1"/>
  <c r="K3" i="2" s="1" a="1"/>
  <c r="K3" i="2" s="1"/>
  <c r="C4" i="2" a="1"/>
  <c r="C4" i="2" s="1"/>
  <c r="D4" i="2" s="1"/>
  <c r="K4" i="2" s="1" a="1"/>
  <c r="K4" i="2" s="1"/>
  <c r="C5" i="2" a="1"/>
  <c r="C5" i="2" s="1"/>
  <c r="D5" i="2" s="1"/>
  <c r="K5" i="2" s="1" a="1"/>
  <c r="K5" i="2" s="1"/>
  <c r="C6" i="2" a="1"/>
  <c r="C6" i="2" s="1"/>
  <c r="D6" i="2" s="1"/>
  <c r="K6" i="2" s="1" a="1"/>
  <c r="K6" i="2" s="1"/>
  <c r="C7" i="2" a="1"/>
  <c r="C7" i="2" s="1"/>
  <c r="D7" i="2" s="1"/>
  <c r="K7" i="2" s="1" a="1"/>
  <c r="K7" i="2" s="1"/>
  <c r="C8" i="2" a="1"/>
  <c r="C8" i="2" s="1"/>
  <c r="D8" i="2" s="1"/>
  <c r="K8" i="2" s="1" a="1"/>
  <c r="K8" i="2" s="1"/>
  <c r="C9" i="2" a="1"/>
  <c r="C9" i="2" s="1"/>
  <c r="D9" i="2" s="1"/>
  <c r="K9" i="2" s="1" a="1"/>
  <c r="K9" i="2" s="1"/>
  <c r="C10" i="2" a="1"/>
  <c r="C10" i="2" s="1"/>
  <c r="D10" i="2" s="1"/>
  <c r="K10" i="2" s="1" a="1"/>
  <c r="K10" i="2" s="1"/>
  <c r="C11" i="2" a="1"/>
  <c r="C11" i="2" s="1"/>
  <c r="D11" i="2" s="1"/>
  <c r="K11" i="2" s="1" a="1"/>
  <c r="K11" i="2" s="1"/>
  <c r="C12" i="2" a="1"/>
  <c r="C12" i="2" s="1"/>
  <c r="D12" i="2" s="1"/>
  <c r="K12" i="2" s="1" a="1"/>
  <c r="K12" i="2" s="1"/>
  <c r="C13" i="2" a="1"/>
  <c r="C13" i="2" s="1"/>
  <c r="D13" i="2" s="1"/>
  <c r="K13" i="2" s="1" a="1"/>
  <c r="K13" i="2" s="1"/>
  <c r="C14" i="2" a="1"/>
  <c r="C14" i="2" s="1"/>
  <c r="D14" i="2" s="1"/>
  <c r="K14" i="2" s="1" a="1"/>
  <c r="K14" i="2" s="1"/>
  <c r="C16" i="2" a="1"/>
  <c r="C16" i="2" s="1"/>
  <c r="D16" i="2" s="1"/>
  <c r="K16" i="2" s="1" a="1"/>
  <c r="K16" i="2" s="1"/>
  <c r="C17" i="2" a="1"/>
  <c r="C17" i="2" s="1"/>
  <c r="D17" i="2" s="1"/>
  <c r="K17" i="2" s="1" a="1"/>
  <c r="K17" i="2" s="1"/>
  <c r="C18" i="2" a="1"/>
  <c r="C18" i="2" s="1"/>
  <c r="D18" i="2" s="1"/>
  <c r="K18" i="2" s="1" a="1"/>
  <c r="K18" i="2" s="1"/>
  <c r="C19" i="2" a="1"/>
  <c r="C19" i="2" s="1"/>
  <c r="D19" i="2" s="1"/>
  <c r="K19" i="2" s="1" a="1"/>
  <c r="K19" i="2" s="1"/>
  <c r="C20" i="2" a="1"/>
  <c r="C20" i="2" s="1"/>
  <c r="D20" i="2" s="1"/>
  <c r="K20" i="2" s="1" a="1"/>
  <c r="K20" i="2" s="1"/>
  <c r="C21" i="2" a="1"/>
  <c r="C21" i="2" s="1"/>
  <c r="D21" i="2" s="1"/>
  <c r="K21" i="2" s="1" a="1"/>
  <c r="K21" i="2" s="1"/>
  <c r="C22" i="2" a="1"/>
  <c r="C22" i="2" s="1"/>
  <c r="D22" i="2" s="1"/>
  <c r="K22" i="2" s="1" a="1"/>
  <c r="K22" i="2" s="1"/>
  <c r="C23" i="2" a="1"/>
  <c r="C23" i="2" s="1"/>
  <c r="D23" i="2" s="1"/>
  <c r="K23" i="2" s="1" a="1"/>
  <c r="K23" i="2" s="1"/>
  <c r="C24" i="2" a="1"/>
  <c r="C24" i="2" s="1"/>
  <c r="D24" i="2" s="1"/>
  <c r="K24" i="2" s="1" a="1"/>
  <c r="K24" i="2" s="1"/>
  <c r="C25" i="2" a="1"/>
  <c r="C25" i="2" s="1"/>
  <c r="D25" i="2" s="1"/>
  <c r="K25" i="2" s="1" a="1"/>
  <c r="K25" i="2" s="1"/>
  <c r="C26" i="2" a="1"/>
  <c r="C26" i="2" s="1"/>
  <c r="D26" i="2" s="1"/>
  <c r="K26" i="2" s="1" a="1"/>
  <c r="K26" i="2" s="1"/>
  <c r="C27" i="2" a="1"/>
  <c r="C27" i="2" s="1"/>
  <c r="D27" i="2" s="1"/>
  <c r="K27" i="2" s="1" a="1"/>
  <c r="K27" i="2" s="1"/>
  <c r="C28" i="2" a="1"/>
  <c r="C28" i="2" s="1"/>
  <c r="D28" i="2" s="1"/>
  <c r="K28" i="2" s="1" a="1"/>
  <c r="K28" i="2" s="1"/>
  <c r="C29" i="2" a="1"/>
  <c r="C29" i="2" s="1"/>
  <c r="D29" i="2" s="1"/>
  <c r="K29" i="2" s="1" a="1"/>
  <c r="K29" i="2" s="1"/>
  <c r="C30" i="2" a="1"/>
  <c r="C30" i="2" s="1"/>
  <c r="D30" i="2" s="1"/>
  <c r="K30" i="2" s="1" a="1"/>
  <c r="K30" i="2" s="1"/>
  <c r="C31" i="2" a="1"/>
  <c r="C31" i="2" s="1"/>
  <c r="D31" i="2" s="1"/>
  <c r="K31" i="2" s="1" a="1"/>
  <c r="K31" i="2" s="1"/>
  <c r="C32" i="2" a="1"/>
  <c r="C32" i="2" s="1"/>
  <c r="D32" i="2" s="1"/>
  <c r="K32" i="2" s="1" a="1"/>
  <c r="K32" i="2" s="1"/>
  <c r="C33" i="2" a="1"/>
  <c r="C33" i="2" s="1"/>
  <c r="D33" i="2" s="1"/>
  <c r="K33" i="2" s="1" a="1"/>
  <c r="K33" i="2" s="1"/>
  <c r="C34" i="2" a="1"/>
  <c r="C34" i="2" s="1"/>
  <c r="D34" i="2" s="1"/>
  <c r="K34" i="2" s="1" a="1"/>
  <c r="K34" i="2" s="1"/>
  <c r="C35" i="2" a="1"/>
  <c r="C35" i="2" s="1"/>
  <c r="D35" i="2" s="1"/>
  <c r="K35" i="2" s="1" a="1"/>
  <c r="K35" i="2" s="1"/>
  <c r="C36" i="2" a="1"/>
  <c r="C36" i="2" s="1"/>
  <c r="D36" i="2" s="1"/>
  <c r="K36" i="2" s="1" a="1"/>
  <c r="K36" i="2" s="1"/>
  <c r="C37" i="2" a="1"/>
  <c r="C37" i="2" s="1"/>
  <c r="D37" i="2" s="1"/>
  <c r="K37" i="2" s="1" a="1"/>
  <c r="K37" i="2" s="1"/>
  <c r="C38" i="2" a="1"/>
  <c r="C38" i="2" s="1"/>
  <c r="D38" i="2" s="1"/>
  <c r="K38" i="2" s="1" a="1"/>
  <c r="K38" i="2" s="1"/>
  <c r="C39" i="2" a="1"/>
  <c r="C39" i="2" s="1"/>
  <c r="D39" i="2" s="1"/>
  <c r="K39" i="2" s="1" a="1"/>
  <c r="K39" i="2" s="1"/>
  <c r="C40" i="2" a="1"/>
  <c r="C40" i="2" s="1"/>
  <c r="D40" i="2" s="1"/>
  <c r="K40" i="2" s="1" a="1"/>
  <c r="K40" i="2" s="1"/>
  <c r="C41" i="2" a="1"/>
  <c r="C41" i="2" s="1"/>
  <c r="D41" i="2" s="1"/>
  <c r="K41" i="2" s="1" a="1"/>
  <c r="K41" i="2" s="1"/>
  <c r="C42" i="2" a="1"/>
  <c r="C42" i="2" s="1"/>
  <c r="D42" i="2" s="1"/>
  <c r="K42" i="2" s="1" a="1"/>
  <c r="K42" i="2" s="1"/>
  <c r="C43" i="2" a="1"/>
  <c r="C43" i="2" s="1"/>
  <c r="D43" i="2" s="1"/>
  <c r="K43" i="2" s="1" a="1"/>
  <c r="K43" i="2" s="1"/>
  <c r="C44" i="2" a="1"/>
  <c r="C44" i="2" s="1"/>
  <c r="D44" i="2" s="1"/>
  <c r="K44" i="2" s="1" a="1"/>
  <c r="K44" i="2" s="1"/>
  <c r="C45" i="2" a="1"/>
  <c r="C45" i="2" s="1"/>
  <c r="D45" i="2" s="1"/>
  <c r="K45" i="2" s="1" a="1"/>
  <c r="K45" i="2" s="1"/>
  <c r="C46" i="2" a="1"/>
  <c r="C46" i="2" s="1"/>
  <c r="D46" i="2" s="1"/>
  <c r="K46" i="2" s="1" a="1"/>
  <c r="K46" i="2" s="1"/>
  <c r="C47" i="2" a="1"/>
  <c r="C47" i="2" s="1"/>
  <c r="D47" i="2" s="1"/>
  <c r="K47" i="2" s="1" a="1"/>
  <c r="K47" i="2" s="1"/>
  <c r="C48" i="2" a="1"/>
  <c r="C48" i="2" s="1"/>
  <c r="D48" i="2" s="1"/>
  <c r="K48" i="2" s="1" a="1"/>
  <c r="K48" i="2" s="1"/>
  <c r="C49" i="2" a="1"/>
  <c r="C49" i="2" s="1"/>
  <c r="D49" i="2" s="1"/>
  <c r="K49" i="2" s="1" a="1"/>
  <c r="K49" i="2" s="1"/>
  <c r="C50" i="2" a="1"/>
  <c r="C50" i="2" s="1"/>
  <c r="D50" i="2" s="1"/>
  <c r="K50" i="2" s="1" a="1"/>
  <c r="K50" i="2" s="1"/>
  <c r="C51" i="2" a="1"/>
  <c r="C51" i="2" s="1"/>
  <c r="D51" i="2" s="1"/>
  <c r="K51" i="2" s="1" a="1"/>
  <c r="K51" i="2" s="1"/>
  <c r="C52" i="2" a="1"/>
  <c r="C52" i="2" s="1"/>
  <c r="D52" i="2" s="1"/>
  <c r="K52" i="2" s="1" a="1"/>
  <c r="K52" i="2" s="1"/>
  <c r="C53" i="2" a="1"/>
  <c r="C53" i="2" s="1"/>
  <c r="D53" i="2" s="1"/>
  <c r="K53" i="2" s="1" a="1"/>
  <c r="K53" i="2" s="1"/>
  <c r="C54" i="2" a="1"/>
  <c r="C54" i="2" s="1"/>
  <c r="D54" i="2" s="1"/>
  <c r="K54" i="2" s="1" a="1"/>
  <c r="K54" i="2" s="1"/>
  <c r="C55" i="2" a="1"/>
  <c r="C55" i="2" s="1"/>
  <c r="D55" i="2" s="1"/>
  <c r="K55" i="2" s="1" a="1"/>
  <c r="K55" i="2" s="1"/>
  <c r="C56" i="2" a="1"/>
  <c r="C56" i="2" s="1"/>
  <c r="D56" i="2" s="1"/>
  <c r="K56" i="2" s="1" a="1"/>
  <c r="K56" i="2" s="1"/>
  <c r="C57" i="2" a="1"/>
  <c r="C57" i="2" s="1"/>
  <c r="D57" i="2" s="1"/>
  <c r="K57" i="2" s="1" a="1"/>
  <c r="K57" i="2" s="1"/>
  <c r="C58" i="2" a="1"/>
  <c r="C58" i="2" s="1"/>
  <c r="D58" i="2" s="1"/>
  <c r="K58" i="2" s="1" a="1"/>
  <c r="K58" i="2" s="1"/>
  <c r="C59" i="2" a="1"/>
  <c r="C59" i="2" s="1"/>
  <c r="D59" i="2" s="1"/>
  <c r="K59" i="2" s="1" a="1"/>
  <c r="K59" i="2" s="1"/>
  <c r="C60" i="2" a="1"/>
  <c r="C60" i="2" s="1"/>
  <c r="D60" i="2" s="1"/>
  <c r="K60" i="2" s="1" a="1"/>
  <c r="K60" i="2" s="1"/>
  <c r="C61" i="2" a="1"/>
  <c r="C61" i="2" s="1"/>
  <c r="D61" i="2" s="1"/>
  <c r="K61" i="2" s="1" a="1"/>
  <c r="K61" i="2" s="1"/>
  <c r="C62" i="2" a="1"/>
  <c r="C62" i="2" s="1"/>
  <c r="D62" i="2" s="1"/>
  <c r="K62" i="2" s="1" a="1"/>
  <c r="K62" i="2" s="1"/>
  <c r="C63" i="2" a="1"/>
  <c r="C63" i="2" s="1"/>
  <c r="D63" i="2" s="1"/>
  <c r="K63" i="2" s="1" a="1"/>
  <c r="K63" i="2" s="1"/>
  <c r="C64" i="2" a="1"/>
  <c r="C64" i="2" s="1"/>
  <c r="D64" i="2" s="1"/>
  <c r="K64" i="2" s="1" a="1"/>
  <c r="K64" i="2" s="1"/>
  <c r="C65" i="2" a="1"/>
  <c r="C65" i="2" s="1"/>
  <c r="D65" i="2" s="1"/>
  <c r="K65" i="2" s="1" a="1"/>
  <c r="K65" i="2" s="1"/>
  <c r="C66" i="2" a="1"/>
  <c r="C66" i="2" s="1"/>
  <c r="D66" i="2" s="1"/>
  <c r="K66" i="2" s="1" a="1"/>
  <c r="K66" i="2" s="1"/>
  <c r="C67" i="2" a="1"/>
  <c r="C67" i="2" s="1"/>
  <c r="D67" i="2" s="1"/>
  <c r="K67" i="2" s="1" a="1"/>
  <c r="K67" i="2" s="1"/>
  <c r="C68" i="2" a="1"/>
  <c r="C68" i="2" s="1"/>
  <c r="D68" i="2" s="1"/>
  <c r="K68" i="2" s="1" a="1"/>
  <c r="K68" i="2" s="1"/>
  <c r="C69" i="2" a="1"/>
  <c r="C69" i="2" s="1"/>
  <c r="D69" i="2" s="1"/>
  <c r="K69" i="2" s="1" a="1"/>
  <c r="K69" i="2" s="1"/>
  <c r="C70" i="2" a="1"/>
  <c r="C70" i="2" s="1"/>
  <c r="D70" i="2" s="1"/>
  <c r="K70" i="2" s="1" a="1"/>
  <c r="K70" i="2" s="1"/>
  <c r="C71" i="2" a="1"/>
  <c r="C71" i="2" s="1"/>
  <c r="D71" i="2" s="1"/>
  <c r="K71" i="2" s="1" a="1"/>
  <c r="K71" i="2" s="1"/>
  <c r="C2" i="2" a="1"/>
  <c r="C2" i="2" s="1"/>
  <c r="D2" i="2" s="1"/>
  <c r="K2" i="2" s="1" a="1"/>
  <c r="K2" i="2" s="1"/>
  <c r="C3" i="10" a="1"/>
  <c r="C3" i="10" s="1"/>
  <c r="D3" i="10" s="1"/>
  <c r="K3" i="10" s="1" a="1"/>
  <c r="K3" i="10" s="1"/>
  <c r="C4" i="10" a="1"/>
  <c r="C4" i="10" s="1"/>
  <c r="D4" i="10" s="1"/>
  <c r="C5" i="10" a="1"/>
  <c r="C5" i="10" s="1"/>
  <c r="D5" i="10" s="1"/>
  <c r="K5" i="10" s="1" a="1"/>
  <c r="K5" i="10" s="1"/>
  <c r="C6" i="10" a="1"/>
  <c r="C6" i="10" s="1"/>
  <c r="D6" i="10" s="1"/>
  <c r="K6" i="10" s="1" a="1"/>
  <c r="K6" i="10" s="1"/>
  <c r="C7" i="10" a="1"/>
  <c r="C7" i="10" s="1"/>
  <c r="D7" i="10" s="1"/>
  <c r="K7" i="10" s="1" a="1"/>
  <c r="K7" i="10" s="1"/>
  <c r="C8" i="10" a="1"/>
  <c r="C8" i="10" s="1"/>
  <c r="D8" i="10" s="1"/>
  <c r="K8" i="10" s="1" a="1"/>
  <c r="K8" i="10" s="1"/>
  <c r="C9" i="10" a="1"/>
  <c r="C9" i="10" s="1"/>
  <c r="D9" i="10" s="1"/>
  <c r="K9" i="10" s="1" a="1"/>
  <c r="K9" i="10" s="1"/>
  <c r="C10" i="10" a="1"/>
  <c r="C10" i="10" s="1"/>
  <c r="D10" i="10" s="1"/>
  <c r="K10" i="10" s="1" a="1"/>
  <c r="K10" i="10" s="1"/>
  <c r="C11" i="10" a="1"/>
  <c r="C11" i="10" s="1"/>
  <c r="D11" i="10" s="1"/>
  <c r="K11" i="10" s="1" a="1"/>
  <c r="K11" i="10" s="1"/>
  <c r="C12" i="10" a="1"/>
  <c r="C12" i="10" s="1"/>
  <c r="D12" i="10" s="1"/>
  <c r="K12" i="10" s="1" a="1"/>
  <c r="K12" i="10" s="1"/>
  <c r="C13" i="10" a="1"/>
  <c r="C13" i="10" s="1"/>
  <c r="D13" i="10" s="1"/>
  <c r="K13" i="10" s="1" a="1"/>
  <c r="K13" i="10" s="1"/>
  <c r="C2" i="10" a="1"/>
  <c r="C2" i="10" s="1"/>
  <c r="D2" i="10" s="1"/>
  <c r="K2" i="10" s="1" a="1"/>
  <c r="K2" i="10" s="1"/>
  <c r="A3" i="10" a="1"/>
  <c r="A3" i="10" s="1"/>
  <c r="A4" i="10" a="1"/>
  <c r="A4" i="10" s="1"/>
  <c r="A5" i="10" a="1"/>
  <c r="A5" i="10" s="1"/>
  <c r="A6" i="10" a="1"/>
  <c r="A6" i="10" s="1"/>
  <c r="A7" i="10" a="1"/>
  <c r="A7" i="10" s="1"/>
  <c r="A8" i="10" a="1"/>
  <c r="A8" i="10" s="1"/>
  <c r="A9" i="10" a="1"/>
  <c r="A9" i="10" s="1"/>
  <c r="A10" i="10" a="1"/>
  <c r="A10" i="10" s="1"/>
  <c r="A11" i="10" a="1"/>
  <c r="A11" i="10" s="1"/>
  <c r="A12" i="10" a="1"/>
  <c r="A12" i="10" s="1"/>
  <c r="A13" i="10" a="1"/>
  <c r="A13" i="10" s="1"/>
  <c r="A2" i="10" a="1"/>
  <c r="A2" i="10" s="1"/>
  <c r="A3" i="2" a="1"/>
  <c r="A3" i="2" s="1"/>
  <c r="A4" i="2" a="1"/>
  <c r="A4" i="2" s="1"/>
  <c r="A5" i="2" a="1"/>
  <c r="A5" i="2" s="1"/>
  <c r="A6" i="2" a="1"/>
  <c r="A6" i="2" s="1"/>
  <c r="A7" i="2" a="1"/>
  <c r="A7" i="2" s="1"/>
  <c r="A8" i="2" a="1"/>
  <c r="A8" i="2" s="1"/>
  <c r="A9" i="2" a="1"/>
  <c r="A9" i="2" s="1"/>
  <c r="A10" i="2" a="1"/>
  <c r="A10" i="2" s="1"/>
  <c r="A11" i="2" a="1"/>
  <c r="A11" i="2" s="1"/>
  <c r="A12" i="2" a="1"/>
  <c r="A12" i="2" s="1"/>
  <c r="A13" i="2" a="1"/>
  <c r="A13" i="2" s="1"/>
  <c r="A14" i="2" a="1"/>
  <c r="A14" i="2" s="1"/>
  <c r="A15" i="2" a="1"/>
  <c r="A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40" i="2" a="1"/>
  <c r="A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  <c r="A46" i="2" a="1"/>
  <c r="A46" i="2" s="1"/>
  <c r="A47" i="2" a="1"/>
  <c r="A47" i="2" s="1"/>
  <c r="A48" i="2" a="1"/>
  <c r="A48" i="2" s="1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55" i="2" a="1"/>
  <c r="A55" i="2" s="1"/>
  <c r="A56" i="2" a="1"/>
  <c r="A56" i="2" s="1"/>
  <c r="A57" i="2" a="1"/>
  <c r="A57" i="2" s="1"/>
  <c r="A58" i="2" a="1"/>
  <c r="A58" i="2" s="1"/>
  <c r="A59" i="2" a="1"/>
  <c r="A59" i="2" s="1"/>
  <c r="A60" i="2" a="1"/>
  <c r="A60" i="2" s="1"/>
  <c r="A61" i="2" a="1"/>
  <c r="A61" i="2" s="1"/>
  <c r="A62" i="2" a="1"/>
  <c r="A62" i="2" s="1"/>
  <c r="A63" i="2" a="1"/>
  <c r="A63" i="2" s="1"/>
  <c r="A64" i="2" a="1"/>
  <c r="A64" i="2" s="1"/>
  <c r="A65" i="2" a="1"/>
  <c r="A65" i="2" s="1"/>
  <c r="A66" i="2" a="1"/>
  <c r="A66" i="2" s="1"/>
  <c r="A67" i="2" a="1"/>
  <c r="A67" i="2" s="1"/>
  <c r="A68" i="2" a="1"/>
  <c r="A68" i="2" s="1"/>
  <c r="A69" i="2" a="1"/>
  <c r="A69" i="2" s="1"/>
  <c r="A70" i="2" a="1"/>
  <c r="A70" i="2" s="1"/>
  <c r="A71" i="2" a="1"/>
  <c r="A71" i="2" s="1"/>
  <c r="A2" i="2" a="1"/>
  <c r="A2" i="2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" i="4"/>
  <c r="D5" i="7"/>
  <c r="E5" i="7"/>
  <c r="F5" i="7"/>
  <c r="G5" i="7"/>
  <c r="D6" i="7"/>
  <c r="E6" i="7"/>
  <c r="G6" i="7"/>
  <c r="D7" i="7"/>
  <c r="E7" i="7"/>
  <c r="G7" i="7"/>
  <c r="D8" i="7"/>
  <c r="E8" i="7"/>
  <c r="G8" i="7"/>
  <c r="D9" i="7"/>
  <c r="E9" i="7"/>
  <c r="F9" i="7"/>
  <c r="G9" i="7"/>
  <c r="D10" i="7"/>
  <c r="E10" i="7"/>
  <c r="F10" i="7"/>
  <c r="G10" i="7"/>
  <c r="D11" i="7"/>
  <c r="E11" i="7"/>
  <c r="G11" i="7"/>
  <c r="D3" i="7"/>
  <c r="E3" i="7"/>
  <c r="F3" i="7"/>
  <c r="G3" i="7"/>
  <c r="D4" i="7"/>
  <c r="E4" i="7"/>
  <c r="F4" i="7"/>
  <c r="G4" i="7"/>
  <c r="G2" i="7"/>
  <c r="F2" i="7"/>
  <c r="E2" i="7"/>
  <c r="D2" i="7"/>
  <c r="F8" i="7"/>
  <c r="F7" i="7"/>
  <c r="F6" i="7"/>
  <c r="B2" i="8" a="1"/>
  <c r="B2" i="8" s="1"/>
  <c r="O3" i="7"/>
  <c r="O4" i="7"/>
  <c r="N3" i="7" a="1"/>
  <c r="N3" i="7" s="1"/>
  <c r="N2" i="7" a="1"/>
  <c r="N2" i="7" s="1"/>
  <c r="M3" i="7"/>
  <c r="P3" i="7"/>
  <c r="M4" i="7"/>
  <c r="P4" i="7"/>
  <c r="M5" i="7"/>
  <c r="N5" i="7" a="1"/>
  <c r="N5" i="7" s="1"/>
  <c r="O5" i="7"/>
  <c r="P5" i="7"/>
  <c r="M6" i="7"/>
  <c r="N6" i="7" a="1"/>
  <c r="N6" i="7" s="1"/>
  <c r="O6" i="7"/>
  <c r="P6" i="7"/>
  <c r="M7" i="7"/>
  <c r="N7" i="7" a="1"/>
  <c r="N7" i="7" s="1"/>
  <c r="O7" i="7"/>
  <c r="P7" i="7"/>
  <c r="M8" i="7"/>
  <c r="N8" i="7" a="1"/>
  <c r="N8" i="7" s="1"/>
  <c r="O8" i="7"/>
  <c r="P8" i="7"/>
  <c r="N9" i="7" a="1"/>
  <c r="N9" i="7" s="1"/>
  <c r="O9" i="7"/>
  <c r="P9" i="7"/>
  <c r="M10" i="7"/>
  <c r="N10" i="7" a="1"/>
  <c r="N10" i="7" s="1"/>
  <c r="O10" i="7"/>
  <c r="P10" i="7"/>
  <c r="M11" i="7"/>
  <c r="N11" i="7" a="1"/>
  <c r="N11" i="7" s="1"/>
  <c r="O11" i="7"/>
  <c r="P11" i="7"/>
  <c r="M12" i="7"/>
  <c r="N12" i="7" a="1"/>
  <c r="N12" i="7" s="1"/>
  <c r="O12" i="7"/>
  <c r="P12" i="7"/>
  <c r="M13" i="7"/>
  <c r="N13" i="7" a="1"/>
  <c r="N13" i="7" s="1"/>
  <c r="O13" i="7"/>
  <c r="P13" i="7"/>
  <c r="M14" i="7"/>
  <c r="N14" i="7" a="1"/>
  <c r="N14" i="7" s="1"/>
  <c r="O14" i="7"/>
  <c r="P14" i="7"/>
  <c r="M15" i="7"/>
  <c r="N15" i="7" a="1"/>
  <c r="N15" i="7" s="1"/>
  <c r="O15" i="7"/>
  <c r="P15" i="7"/>
  <c r="M16" i="7"/>
  <c r="N16" i="7" a="1"/>
  <c r="N16" i="7" s="1"/>
  <c r="O16" i="7"/>
  <c r="P16" i="7"/>
  <c r="M17" i="7"/>
  <c r="N17" i="7" a="1"/>
  <c r="N17" i="7" s="1"/>
  <c r="O17" i="7"/>
  <c r="P17" i="7"/>
  <c r="M18" i="7"/>
  <c r="N18" i="7" a="1"/>
  <c r="N18" i="7" s="1"/>
  <c r="O18" i="7"/>
  <c r="P18" i="7"/>
  <c r="M19" i="7"/>
  <c r="N19" i="7" a="1"/>
  <c r="N19" i="7" s="1"/>
  <c r="O19" i="7"/>
  <c r="P19" i="7"/>
  <c r="M20" i="7"/>
  <c r="N20" i="7" a="1"/>
  <c r="N20" i="7" s="1"/>
  <c r="O20" i="7"/>
  <c r="P20" i="7"/>
  <c r="M21" i="7"/>
  <c r="N21" i="7" a="1"/>
  <c r="N21" i="7" s="1"/>
  <c r="O21" i="7"/>
  <c r="P21" i="7"/>
  <c r="M22" i="7"/>
  <c r="N22" i="7" a="1"/>
  <c r="N22" i="7" s="1"/>
  <c r="O22" i="7"/>
  <c r="P22" i="7"/>
  <c r="M23" i="7"/>
  <c r="N23" i="7" a="1"/>
  <c r="N23" i="7" s="1"/>
  <c r="O23" i="7"/>
  <c r="P23" i="7"/>
  <c r="M24" i="7"/>
  <c r="N24" i="7" a="1"/>
  <c r="N24" i="7" s="1"/>
  <c r="O24" i="7"/>
  <c r="P24" i="7"/>
  <c r="M25" i="7"/>
  <c r="N25" i="7" a="1"/>
  <c r="N25" i="7" s="1"/>
  <c r="O25" i="7"/>
  <c r="P25" i="7"/>
  <c r="M26" i="7"/>
  <c r="N26" i="7" a="1"/>
  <c r="N26" i="7" s="1"/>
  <c r="O26" i="7"/>
  <c r="P26" i="7"/>
  <c r="M27" i="7"/>
  <c r="N27" i="7" a="1"/>
  <c r="N27" i="7" s="1"/>
  <c r="O27" i="7"/>
  <c r="P27" i="7"/>
  <c r="M28" i="7"/>
  <c r="N28" i="7" a="1"/>
  <c r="N28" i="7" s="1"/>
  <c r="O28" i="7"/>
  <c r="P28" i="7"/>
  <c r="M29" i="7"/>
  <c r="N29" i="7" a="1"/>
  <c r="N29" i="7" s="1"/>
  <c r="O29" i="7"/>
  <c r="P29" i="7"/>
  <c r="M30" i="7"/>
  <c r="N30" i="7" a="1"/>
  <c r="N30" i="7" s="1"/>
  <c r="O30" i="7"/>
  <c r="P30" i="7"/>
  <c r="M31" i="7"/>
  <c r="N31" i="7" a="1"/>
  <c r="N31" i="7" s="1"/>
  <c r="O31" i="7"/>
  <c r="P31" i="7"/>
  <c r="M32" i="7"/>
  <c r="N32" i="7" a="1"/>
  <c r="N32" i="7" s="1"/>
  <c r="O32" i="7"/>
  <c r="P32" i="7"/>
  <c r="M33" i="7"/>
  <c r="N33" i="7" a="1"/>
  <c r="N33" i="7" s="1"/>
  <c r="O33" i="7"/>
  <c r="P33" i="7"/>
  <c r="M34" i="7"/>
  <c r="N34" i="7" a="1"/>
  <c r="N34" i="7" s="1"/>
  <c r="O34" i="7"/>
  <c r="P34" i="7"/>
  <c r="M35" i="7"/>
  <c r="N35" i="7" a="1"/>
  <c r="N35" i="7" s="1"/>
  <c r="O35" i="7"/>
  <c r="P35" i="7"/>
  <c r="M36" i="7"/>
  <c r="N36" i="7" a="1"/>
  <c r="N36" i="7" s="1"/>
  <c r="O36" i="7"/>
  <c r="P36" i="7"/>
  <c r="M37" i="7"/>
  <c r="N37" i="7" a="1"/>
  <c r="N37" i="7" s="1"/>
  <c r="O37" i="7"/>
  <c r="P37" i="7"/>
  <c r="M38" i="7"/>
  <c r="N38" i="7" a="1"/>
  <c r="N38" i="7" s="1"/>
  <c r="O38" i="7"/>
  <c r="P38" i="7"/>
  <c r="M39" i="7"/>
  <c r="N39" i="7" a="1"/>
  <c r="N39" i="7" s="1"/>
  <c r="O39" i="7"/>
  <c r="P39" i="7"/>
  <c r="M40" i="7"/>
  <c r="N40" i="7" a="1"/>
  <c r="N40" i="7" s="1"/>
  <c r="O40" i="7"/>
  <c r="P40" i="7"/>
  <c r="M41" i="7"/>
  <c r="N41" i="7" a="1"/>
  <c r="N41" i="7" s="1"/>
  <c r="O41" i="7"/>
  <c r="P41" i="7"/>
  <c r="M42" i="7"/>
  <c r="N42" i="7" a="1"/>
  <c r="N42" i="7" s="1"/>
  <c r="O42" i="7"/>
  <c r="P42" i="7"/>
  <c r="M43" i="7"/>
  <c r="N43" i="7" a="1"/>
  <c r="N43" i="7" s="1"/>
  <c r="O43" i="7"/>
  <c r="P43" i="7"/>
  <c r="M44" i="7"/>
  <c r="N44" i="7" a="1"/>
  <c r="N44" i="7" s="1"/>
  <c r="O44" i="7"/>
  <c r="P44" i="7"/>
  <c r="M45" i="7"/>
  <c r="N45" i="7" a="1"/>
  <c r="N45" i="7" s="1"/>
  <c r="O45" i="7"/>
  <c r="P45" i="7"/>
  <c r="M46" i="7"/>
  <c r="N46" i="7" a="1"/>
  <c r="N46" i="7" s="1"/>
  <c r="O46" i="7"/>
  <c r="P46" i="7"/>
  <c r="M47" i="7"/>
  <c r="N47" i="7" a="1"/>
  <c r="N47" i="7" s="1"/>
  <c r="O47" i="7"/>
  <c r="P47" i="7"/>
  <c r="M48" i="7"/>
  <c r="N48" i="7" a="1"/>
  <c r="N48" i="7" s="1"/>
  <c r="O48" i="7"/>
  <c r="P48" i="7"/>
  <c r="M49" i="7"/>
  <c r="N49" i="7" a="1"/>
  <c r="N49" i="7" s="1"/>
  <c r="O49" i="7"/>
  <c r="P49" i="7"/>
  <c r="M50" i="7"/>
  <c r="N50" i="7" a="1"/>
  <c r="N50" i="7" s="1"/>
  <c r="O50" i="7"/>
  <c r="P50" i="7"/>
  <c r="M51" i="7"/>
  <c r="N51" i="7" a="1"/>
  <c r="N51" i="7" s="1"/>
  <c r="O51" i="7"/>
  <c r="P51" i="7"/>
  <c r="M52" i="7"/>
  <c r="N52" i="7" a="1"/>
  <c r="N52" i="7" s="1"/>
  <c r="O52" i="7"/>
  <c r="P52" i="7"/>
  <c r="M53" i="7"/>
  <c r="N53" i="7" a="1"/>
  <c r="N53" i="7" s="1"/>
  <c r="O53" i="7"/>
  <c r="P53" i="7"/>
  <c r="M54" i="7"/>
  <c r="N54" i="7" a="1"/>
  <c r="N54" i="7" s="1"/>
  <c r="O54" i="7"/>
  <c r="P54" i="7"/>
  <c r="M55" i="7"/>
  <c r="N55" i="7" a="1"/>
  <c r="N55" i="7" s="1"/>
  <c r="O55" i="7"/>
  <c r="P55" i="7"/>
  <c r="M56" i="7"/>
  <c r="N56" i="7" a="1"/>
  <c r="N56" i="7" s="1"/>
  <c r="O56" i="7"/>
  <c r="P56" i="7"/>
  <c r="M57" i="7"/>
  <c r="N57" i="7" a="1"/>
  <c r="N57" i="7" s="1"/>
  <c r="O57" i="7"/>
  <c r="P57" i="7"/>
  <c r="M58" i="7"/>
  <c r="N58" i="7" a="1"/>
  <c r="N58" i="7" s="1"/>
  <c r="O58" i="7"/>
  <c r="P58" i="7"/>
  <c r="M59" i="7"/>
  <c r="N59" i="7" a="1"/>
  <c r="N59" i="7" s="1"/>
  <c r="O59" i="7"/>
  <c r="P59" i="7"/>
  <c r="M60" i="7"/>
  <c r="N60" i="7" a="1"/>
  <c r="N60" i="7" s="1"/>
  <c r="O60" i="7"/>
  <c r="P60" i="7"/>
  <c r="M61" i="7"/>
  <c r="N61" i="7" a="1"/>
  <c r="N61" i="7" s="1"/>
  <c r="O61" i="7"/>
  <c r="P61" i="7"/>
  <c r="M62" i="7"/>
  <c r="N62" i="7" a="1"/>
  <c r="N62" i="7" s="1"/>
  <c r="O62" i="7"/>
  <c r="P62" i="7"/>
  <c r="M63" i="7"/>
  <c r="N63" i="7" a="1"/>
  <c r="N63" i="7" s="1"/>
  <c r="O63" i="7"/>
  <c r="P63" i="7"/>
  <c r="M64" i="7"/>
  <c r="N64" i="7" a="1"/>
  <c r="N64" i="7" s="1"/>
  <c r="O64" i="7"/>
  <c r="P64" i="7"/>
  <c r="M65" i="7"/>
  <c r="N65" i="7" a="1"/>
  <c r="N65" i="7" s="1"/>
  <c r="O65" i="7"/>
  <c r="P65" i="7"/>
  <c r="M66" i="7"/>
  <c r="N66" i="7" a="1"/>
  <c r="N66" i="7" s="1"/>
  <c r="O66" i="7"/>
  <c r="P66" i="7"/>
  <c r="M67" i="7"/>
  <c r="N67" i="7" a="1"/>
  <c r="N67" i="7" s="1"/>
  <c r="O67" i="7"/>
  <c r="P67" i="7"/>
  <c r="M68" i="7"/>
  <c r="N68" i="7" a="1"/>
  <c r="N68" i="7" s="1"/>
  <c r="O68" i="7"/>
  <c r="P68" i="7"/>
  <c r="M69" i="7"/>
  <c r="N69" i="7" a="1"/>
  <c r="N69" i="7" s="1"/>
  <c r="O69" i="7"/>
  <c r="P69" i="7"/>
  <c r="M70" i="7"/>
  <c r="N70" i="7" a="1"/>
  <c r="N70" i="7" s="1"/>
  <c r="O70" i="7"/>
  <c r="P70" i="7"/>
  <c r="M71" i="7"/>
  <c r="N71" i="7" a="1"/>
  <c r="N71" i="7" s="1"/>
  <c r="O71" i="7"/>
  <c r="P71" i="7"/>
  <c r="M72" i="7"/>
  <c r="N72" i="7" a="1"/>
  <c r="N72" i="7" s="1"/>
  <c r="O72" i="7"/>
  <c r="P72" i="7"/>
  <c r="M73" i="7"/>
  <c r="N73" i="7" a="1"/>
  <c r="N73" i="7" s="1"/>
  <c r="O73" i="7"/>
  <c r="P73" i="7"/>
  <c r="M74" i="7"/>
  <c r="N74" i="7" a="1"/>
  <c r="N74" i="7" s="1"/>
  <c r="O74" i="7"/>
  <c r="P74" i="7"/>
  <c r="M75" i="7"/>
  <c r="N75" i="7" a="1"/>
  <c r="N75" i="7" s="1"/>
  <c r="O75" i="7"/>
  <c r="P75" i="7"/>
  <c r="M76" i="7"/>
  <c r="N76" i="7" a="1"/>
  <c r="N76" i="7" s="1"/>
  <c r="O76" i="7"/>
  <c r="P76" i="7"/>
  <c r="M77" i="7"/>
  <c r="N77" i="7" a="1"/>
  <c r="N77" i="7" s="1"/>
  <c r="O77" i="7"/>
  <c r="P77" i="7"/>
  <c r="M78" i="7"/>
  <c r="N78" i="7" a="1"/>
  <c r="N78" i="7" s="1"/>
  <c r="O78" i="7"/>
  <c r="P78" i="7"/>
  <c r="M79" i="7"/>
  <c r="N79" i="7" a="1"/>
  <c r="N79" i="7" s="1"/>
  <c r="O79" i="7"/>
  <c r="P79" i="7"/>
  <c r="M80" i="7"/>
  <c r="N80" i="7" a="1"/>
  <c r="N80" i="7" s="1"/>
  <c r="O80" i="7"/>
  <c r="P80" i="7"/>
  <c r="M81" i="7"/>
  <c r="N81" i="7" a="1"/>
  <c r="N81" i="7" s="1"/>
  <c r="O81" i="7"/>
  <c r="P81" i="7"/>
  <c r="M82" i="7"/>
  <c r="N82" i="7" a="1"/>
  <c r="N82" i="7" s="1"/>
  <c r="O82" i="7"/>
  <c r="P82" i="7"/>
  <c r="M83" i="7"/>
  <c r="N83" i="7" a="1"/>
  <c r="N83" i="7" s="1"/>
  <c r="O83" i="7"/>
  <c r="P83" i="7"/>
  <c r="M84" i="7"/>
  <c r="N84" i="7" a="1"/>
  <c r="N84" i="7" s="1"/>
  <c r="O84" i="7"/>
  <c r="P84" i="7"/>
  <c r="M85" i="7"/>
  <c r="N85" i="7" a="1"/>
  <c r="N85" i="7" s="1"/>
  <c r="O85" i="7"/>
  <c r="P85" i="7"/>
  <c r="M86" i="7"/>
  <c r="N86" i="7" a="1"/>
  <c r="N86" i="7" s="1"/>
  <c r="O86" i="7"/>
  <c r="P86" i="7"/>
  <c r="M87" i="7"/>
  <c r="N87" i="7" a="1"/>
  <c r="N87" i="7" s="1"/>
  <c r="O87" i="7"/>
  <c r="P87" i="7"/>
  <c r="M88" i="7"/>
  <c r="N88" i="7" a="1"/>
  <c r="N88" i="7" s="1"/>
  <c r="O88" i="7"/>
  <c r="P88" i="7"/>
  <c r="M89" i="7"/>
  <c r="N89" i="7" a="1"/>
  <c r="N89" i="7" s="1"/>
  <c r="O89" i="7"/>
  <c r="P89" i="7"/>
  <c r="M90" i="7"/>
  <c r="N90" i="7" a="1"/>
  <c r="N90" i="7" s="1"/>
  <c r="O90" i="7"/>
  <c r="P90" i="7"/>
  <c r="M91" i="7"/>
  <c r="N91" i="7" a="1"/>
  <c r="N91" i="7" s="1"/>
  <c r="O91" i="7"/>
  <c r="P91" i="7"/>
  <c r="M92" i="7"/>
  <c r="N92" i="7" a="1"/>
  <c r="N92" i="7" s="1"/>
  <c r="O92" i="7"/>
  <c r="P92" i="7"/>
  <c r="M93" i="7"/>
  <c r="N93" i="7" a="1"/>
  <c r="N93" i="7" s="1"/>
  <c r="O93" i="7"/>
  <c r="P93" i="7"/>
  <c r="M94" i="7"/>
  <c r="N94" i="7" a="1"/>
  <c r="N94" i="7" s="1"/>
  <c r="O94" i="7"/>
  <c r="P94" i="7"/>
  <c r="M95" i="7"/>
  <c r="N95" i="7" a="1"/>
  <c r="N95" i="7" s="1"/>
  <c r="O95" i="7"/>
  <c r="P95" i="7"/>
  <c r="M96" i="7"/>
  <c r="N96" i="7" a="1"/>
  <c r="N96" i="7" s="1"/>
  <c r="O96" i="7"/>
  <c r="P96" i="7"/>
  <c r="M97" i="7"/>
  <c r="N97" i="7" a="1"/>
  <c r="N97" i="7" s="1"/>
  <c r="O97" i="7"/>
  <c r="P97" i="7"/>
  <c r="M98" i="7"/>
  <c r="N98" i="7" a="1"/>
  <c r="N98" i="7" s="1"/>
  <c r="O98" i="7"/>
  <c r="P98" i="7"/>
  <c r="M99" i="7"/>
  <c r="N99" i="7" a="1"/>
  <c r="N99" i="7" s="1"/>
  <c r="O99" i="7"/>
  <c r="P99" i="7"/>
  <c r="M100" i="7"/>
  <c r="N100" i="7" a="1"/>
  <c r="N100" i="7" s="1"/>
  <c r="O100" i="7"/>
  <c r="P100" i="7"/>
  <c r="M101" i="7"/>
  <c r="N101" i="7" a="1"/>
  <c r="N101" i="7" s="1"/>
  <c r="O101" i="7"/>
  <c r="P101" i="7"/>
  <c r="M102" i="7"/>
  <c r="N102" i="7" a="1"/>
  <c r="N102" i="7" s="1"/>
  <c r="O102" i="7"/>
  <c r="P102" i="7"/>
  <c r="M103" i="7"/>
  <c r="N103" i="7" a="1"/>
  <c r="N103" i="7" s="1"/>
  <c r="O103" i="7"/>
  <c r="P103" i="7"/>
  <c r="M104" i="7"/>
  <c r="N104" i="7" a="1"/>
  <c r="N104" i="7" s="1"/>
  <c r="O104" i="7"/>
  <c r="P104" i="7"/>
  <c r="M105" i="7"/>
  <c r="N105" i="7" a="1"/>
  <c r="N105" i="7" s="1"/>
  <c r="O105" i="7"/>
  <c r="P105" i="7"/>
  <c r="M106" i="7"/>
  <c r="N106" i="7" a="1"/>
  <c r="N106" i="7" s="1"/>
  <c r="O106" i="7"/>
  <c r="P106" i="7"/>
  <c r="M107" i="7"/>
  <c r="N107" i="7" a="1"/>
  <c r="N107" i="7" s="1"/>
  <c r="O107" i="7"/>
  <c r="P107" i="7"/>
  <c r="M108" i="7"/>
  <c r="N108" i="7" a="1"/>
  <c r="N108" i="7" s="1"/>
  <c r="O108" i="7"/>
  <c r="P108" i="7"/>
  <c r="M109" i="7"/>
  <c r="N109" i="7" a="1"/>
  <c r="N109" i="7" s="1"/>
  <c r="O109" i="7"/>
  <c r="P109" i="7"/>
  <c r="M110" i="7"/>
  <c r="N110" i="7" a="1"/>
  <c r="N110" i="7" s="1"/>
  <c r="O110" i="7"/>
  <c r="P110" i="7"/>
  <c r="M111" i="7"/>
  <c r="N111" i="7" a="1"/>
  <c r="N111" i="7" s="1"/>
  <c r="O111" i="7"/>
  <c r="P111" i="7"/>
  <c r="M112" i="7"/>
  <c r="N112" i="7" a="1"/>
  <c r="N112" i="7" s="1"/>
  <c r="O112" i="7"/>
  <c r="P112" i="7"/>
  <c r="M113" i="7"/>
  <c r="N113" i="7" a="1"/>
  <c r="N113" i="7" s="1"/>
  <c r="O113" i="7"/>
  <c r="P113" i="7"/>
  <c r="M114" i="7"/>
  <c r="N114" i="7" a="1"/>
  <c r="N114" i="7" s="1"/>
  <c r="O114" i="7"/>
  <c r="P114" i="7"/>
  <c r="M115" i="7"/>
  <c r="N115" i="7" a="1"/>
  <c r="N115" i="7" s="1"/>
  <c r="O115" i="7"/>
  <c r="P115" i="7"/>
  <c r="M116" i="7"/>
  <c r="N116" i="7" a="1"/>
  <c r="N116" i="7" s="1"/>
  <c r="O116" i="7"/>
  <c r="P116" i="7"/>
  <c r="M117" i="7"/>
  <c r="N117" i="7" a="1"/>
  <c r="N117" i="7" s="1"/>
  <c r="O117" i="7"/>
  <c r="P117" i="7"/>
  <c r="M118" i="7"/>
  <c r="N118" i="7" a="1"/>
  <c r="N118" i="7" s="1"/>
  <c r="O118" i="7"/>
  <c r="P118" i="7"/>
  <c r="M119" i="7"/>
  <c r="N119" i="7" a="1"/>
  <c r="N119" i="7" s="1"/>
  <c r="O119" i="7"/>
  <c r="P119" i="7"/>
  <c r="M120" i="7"/>
  <c r="N120" i="7" a="1"/>
  <c r="N120" i="7" s="1"/>
  <c r="O120" i="7"/>
  <c r="P120" i="7"/>
  <c r="M121" i="7"/>
  <c r="N121" i="7" a="1"/>
  <c r="N121" i="7" s="1"/>
  <c r="O121" i="7"/>
  <c r="P121" i="7"/>
  <c r="M122" i="7"/>
  <c r="N122" i="7" a="1"/>
  <c r="N122" i="7" s="1"/>
  <c r="O122" i="7"/>
  <c r="P122" i="7"/>
  <c r="M123" i="7"/>
  <c r="N123" i="7" a="1"/>
  <c r="N123" i="7" s="1"/>
  <c r="O123" i="7"/>
  <c r="P123" i="7"/>
  <c r="M124" i="7"/>
  <c r="N124" i="7" a="1"/>
  <c r="N124" i="7" s="1"/>
  <c r="O124" i="7"/>
  <c r="P124" i="7"/>
  <c r="M125" i="7"/>
  <c r="N125" i="7" a="1"/>
  <c r="N125" i="7" s="1"/>
  <c r="O125" i="7"/>
  <c r="P125" i="7"/>
  <c r="M126" i="7"/>
  <c r="N126" i="7" a="1"/>
  <c r="N126" i="7" s="1"/>
  <c r="O126" i="7"/>
  <c r="P126" i="7"/>
  <c r="M127" i="7"/>
  <c r="N127" i="7" a="1"/>
  <c r="N127" i="7" s="1"/>
  <c r="O127" i="7"/>
  <c r="P127" i="7"/>
  <c r="M128" i="7"/>
  <c r="N128" i="7" a="1"/>
  <c r="N128" i="7" s="1"/>
  <c r="O128" i="7"/>
  <c r="P128" i="7"/>
  <c r="M129" i="7"/>
  <c r="N129" i="7" a="1"/>
  <c r="N129" i="7" s="1"/>
  <c r="O129" i="7"/>
  <c r="P129" i="7"/>
  <c r="M130" i="7"/>
  <c r="N130" i="7" a="1"/>
  <c r="N130" i="7" s="1"/>
  <c r="O130" i="7"/>
  <c r="P130" i="7"/>
  <c r="M131" i="7"/>
  <c r="N131" i="7" a="1"/>
  <c r="N131" i="7" s="1"/>
  <c r="O131" i="7"/>
  <c r="P131" i="7"/>
  <c r="M132" i="7"/>
  <c r="N132" i="7" a="1"/>
  <c r="N132" i="7" s="1"/>
  <c r="O132" i="7"/>
  <c r="P132" i="7"/>
  <c r="M133" i="7"/>
  <c r="N133" i="7" a="1"/>
  <c r="N133" i="7" s="1"/>
  <c r="O133" i="7"/>
  <c r="P133" i="7"/>
  <c r="M134" i="7"/>
  <c r="N134" i="7" a="1"/>
  <c r="N134" i="7" s="1"/>
  <c r="O134" i="7"/>
  <c r="P134" i="7"/>
  <c r="M135" i="7"/>
  <c r="N135" i="7" a="1"/>
  <c r="N135" i="7" s="1"/>
  <c r="O135" i="7"/>
  <c r="P135" i="7"/>
  <c r="M136" i="7"/>
  <c r="N136" i="7" a="1"/>
  <c r="N136" i="7" s="1"/>
  <c r="O136" i="7"/>
  <c r="P136" i="7"/>
  <c r="M137" i="7"/>
  <c r="N137" i="7" a="1"/>
  <c r="N137" i="7" s="1"/>
  <c r="O137" i="7"/>
  <c r="P137" i="7"/>
  <c r="M138" i="7"/>
  <c r="N138" i="7" a="1"/>
  <c r="N138" i="7" s="1"/>
  <c r="O138" i="7"/>
  <c r="P138" i="7"/>
  <c r="M139" i="7"/>
  <c r="N139" i="7" a="1"/>
  <c r="N139" i="7" s="1"/>
  <c r="O139" i="7"/>
  <c r="P139" i="7"/>
  <c r="M140" i="7"/>
  <c r="N140" i="7" a="1"/>
  <c r="N140" i="7" s="1"/>
  <c r="O140" i="7"/>
  <c r="P140" i="7"/>
  <c r="M141" i="7"/>
  <c r="N141" i="7" a="1"/>
  <c r="N141" i="7" s="1"/>
  <c r="O141" i="7"/>
  <c r="P141" i="7"/>
  <c r="M142" i="7"/>
  <c r="N142" i="7" a="1"/>
  <c r="N142" i="7" s="1"/>
  <c r="O142" i="7"/>
  <c r="P142" i="7"/>
  <c r="M143" i="7"/>
  <c r="N143" i="7" a="1"/>
  <c r="N143" i="7" s="1"/>
  <c r="O143" i="7"/>
  <c r="P143" i="7"/>
  <c r="M144" i="7"/>
  <c r="N144" i="7" a="1"/>
  <c r="N144" i="7" s="1"/>
  <c r="O144" i="7"/>
  <c r="P144" i="7"/>
  <c r="M145" i="7"/>
  <c r="N145" i="7" a="1"/>
  <c r="N145" i="7" s="1"/>
  <c r="O145" i="7"/>
  <c r="P145" i="7"/>
  <c r="M146" i="7"/>
  <c r="N146" i="7" a="1"/>
  <c r="N146" i="7" s="1"/>
  <c r="O146" i="7"/>
  <c r="P146" i="7"/>
  <c r="M147" i="7"/>
  <c r="N147" i="7" a="1"/>
  <c r="N147" i="7" s="1"/>
  <c r="O147" i="7"/>
  <c r="P147" i="7"/>
  <c r="M148" i="7"/>
  <c r="N148" i="7" a="1"/>
  <c r="N148" i="7" s="1"/>
  <c r="O148" i="7"/>
  <c r="P148" i="7"/>
  <c r="M149" i="7"/>
  <c r="N149" i="7" a="1"/>
  <c r="N149" i="7" s="1"/>
  <c r="O149" i="7"/>
  <c r="P149" i="7"/>
  <c r="M150" i="7"/>
  <c r="N150" i="7" a="1"/>
  <c r="N150" i="7" s="1"/>
  <c r="O150" i="7"/>
  <c r="P150" i="7"/>
  <c r="M151" i="7"/>
  <c r="N151" i="7" a="1"/>
  <c r="N151" i="7" s="1"/>
  <c r="O151" i="7"/>
  <c r="P151" i="7"/>
  <c r="M152" i="7"/>
  <c r="N152" i="7" a="1"/>
  <c r="N152" i="7" s="1"/>
  <c r="O152" i="7"/>
  <c r="P152" i="7"/>
  <c r="M153" i="7"/>
  <c r="N153" i="7" a="1"/>
  <c r="N153" i="7" s="1"/>
  <c r="O153" i="7"/>
  <c r="P153" i="7"/>
  <c r="M154" i="7"/>
  <c r="N154" i="7" a="1"/>
  <c r="N154" i="7" s="1"/>
  <c r="O154" i="7"/>
  <c r="P154" i="7"/>
  <c r="M155" i="7"/>
  <c r="N155" i="7" a="1"/>
  <c r="N155" i="7" s="1"/>
  <c r="O155" i="7"/>
  <c r="P155" i="7"/>
  <c r="M156" i="7"/>
  <c r="N156" i="7" a="1"/>
  <c r="N156" i="7" s="1"/>
  <c r="O156" i="7"/>
  <c r="P156" i="7"/>
  <c r="M157" i="7"/>
  <c r="N157" i="7" a="1"/>
  <c r="N157" i="7" s="1"/>
  <c r="O157" i="7"/>
  <c r="P157" i="7"/>
  <c r="M158" i="7"/>
  <c r="N158" i="7" a="1"/>
  <c r="N158" i="7" s="1"/>
  <c r="O158" i="7"/>
  <c r="P158" i="7"/>
  <c r="M159" i="7"/>
  <c r="N159" i="7" a="1"/>
  <c r="N159" i="7" s="1"/>
  <c r="O159" i="7"/>
  <c r="P159" i="7"/>
  <c r="M160" i="7"/>
  <c r="N160" i="7" a="1"/>
  <c r="N160" i="7" s="1"/>
  <c r="O160" i="7"/>
  <c r="P160" i="7"/>
  <c r="M161" i="7"/>
  <c r="N161" i="7" a="1"/>
  <c r="N161" i="7" s="1"/>
  <c r="O161" i="7"/>
  <c r="P161" i="7"/>
  <c r="M162" i="7"/>
  <c r="N162" i="7" a="1"/>
  <c r="N162" i="7" s="1"/>
  <c r="O162" i="7"/>
  <c r="P162" i="7"/>
  <c r="M163" i="7"/>
  <c r="N163" i="7" a="1"/>
  <c r="N163" i="7" s="1"/>
  <c r="O163" i="7"/>
  <c r="P163" i="7"/>
  <c r="M164" i="7"/>
  <c r="N164" i="7" a="1"/>
  <c r="N164" i="7" s="1"/>
  <c r="O164" i="7"/>
  <c r="P164" i="7"/>
  <c r="M165" i="7"/>
  <c r="N165" i="7" a="1"/>
  <c r="N165" i="7" s="1"/>
  <c r="O165" i="7"/>
  <c r="P165" i="7"/>
  <c r="M166" i="7"/>
  <c r="N166" i="7" a="1"/>
  <c r="N166" i="7" s="1"/>
  <c r="O166" i="7"/>
  <c r="P166" i="7"/>
  <c r="M167" i="7"/>
  <c r="N167" i="7" a="1"/>
  <c r="N167" i="7" s="1"/>
  <c r="O167" i="7"/>
  <c r="P167" i="7"/>
  <c r="M168" i="7"/>
  <c r="N168" i="7" a="1"/>
  <c r="N168" i="7" s="1"/>
  <c r="O168" i="7"/>
  <c r="P168" i="7"/>
  <c r="M169" i="7"/>
  <c r="N169" i="7" a="1"/>
  <c r="N169" i="7" s="1"/>
  <c r="O169" i="7"/>
  <c r="P169" i="7"/>
  <c r="M170" i="7"/>
  <c r="N170" i="7" a="1"/>
  <c r="N170" i="7" s="1"/>
  <c r="O170" i="7"/>
  <c r="P170" i="7"/>
  <c r="M171" i="7"/>
  <c r="N171" i="7" a="1"/>
  <c r="N171" i="7" s="1"/>
  <c r="O171" i="7"/>
  <c r="P171" i="7"/>
  <c r="M172" i="7"/>
  <c r="N172" i="7" a="1"/>
  <c r="N172" i="7" s="1"/>
  <c r="O172" i="7"/>
  <c r="P172" i="7"/>
  <c r="M173" i="7"/>
  <c r="N173" i="7" a="1"/>
  <c r="N173" i="7" s="1"/>
  <c r="O173" i="7"/>
  <c r="P173" i="7"/>
  <c r="M174" i="7"/>
  <c r="N174" i="7" a="1"/>
  <c r="N174" i="7" s="1"/>
  <c r="O174" i="7"/>
  <c r="P174" i="7"/>
  <c r="M175" i="7"/>
  <c r="N175" i="7" a="1"/>
  <c r="N175" i="7" s="1"/>
  <c r="O175" i="7"/>
  <c r="P175" i="7"/>
  <c r="M176" i="7"/>
  <c r="N176" i="7" a="1"/>
  <c r="N176" i="7" s="1"/>
  <c r="O176" i="7"/>
  <c r="P176" i="7"/>
  <c r="M177" i="7"/>
  <c r="N177" i="7" a="1"/>
  <c r="N177" i="7" s="1"/>
  <c r="O177" i="7"/>
  <c r="P177" i="7"/>
  <c r="M178" i="7"/>
  <c r="N178" i="7" a="1"/>
  <c r="N178" i="7" s="1"/>
  <c r="O178" i="7"/>
  <c r="P178" i="7"/>
  <c r="M179" i="7"/>
  <c r="N179" i="7" a="1"/>
  <c r="N179" i="7" s="1"/>
  <c r="O179" i="7"/>
  <c r="P179" i="7"/>
  <c r="M180" i="7"/>
  <c r="N180" i="7" a="1"/>
  <c r="N180" i="7" s="1"/>
  <c r="O180" i="7"/>
  <c r="P180" i="7"/>
  <c r="M181" i="7"/>
  <c r="N181" i="7" a="1"/>
  <c r="N181" i="7" s="1"/>
  <c r="O181" i="7"/>
  <c r="P181" i="7"/>
  <c r="M182" i="7"/>
  <c r="N182" i="7" a="1"/>
  <c r="N182" i="7" s="1"/>
  <c r="O182" i="7"/>
  <c r="P182" i="7"/>
  <c r="M183" i="7"/>
  <c r="N183" i="7" a="1"/>
  <c r="N183" i="7" s="1"/>
  <c r="O183" i="7"/>
  <c r="P183" i="7"/>
  <c r="M184" i="7"/>
  <c r="N184" i="7" a="1"/>
  <c r="N184" i="7" s="1"/>
  <c r="O184" i="7"/>
  <c r="P184" i="7"/>
  <c r="M185" i="7"/>
  <c r="N185" i="7" a="1"/>
  <c r="N185" i="7" s="1"/>
  <c r="O185" i="7"/>
  <c r="P185" i="7"/>
  <c r="M186" i="7"/>
  <c r="N186" i="7" a="1"/>
  <c r="N186" i="7" s="1"/>
  <c r="O186" i="7"/>
  <c r="P186" i="7"/>
  <c r="M187" i="7"/>
  <c r="N187" i="7" a="1"/>
  <c r="N187" i="7" s="1"/>
  <c r="O187" i="7"/>
  <c r="P187" i="7"/>
  <c r="M188" i="7"/>
  <c r="N188" i="7" a="1"/>
  <c r="N188" i="7" s="1"/>
  <c r="O188" i="7"/>
  <c r="P188" i="7"/>
  <c r="M189" i="7"/>
  <c r="N189" i="7" a="1"/>
  <c r="N189" i="7" s="1"/>
  <c r="O189" i="7"/>
  <c r="P189" i="7"/>
  <c r="M190" i="7"/>
  <c r="N190" i="7" a="1"/>
  <c r="N190" i="7" s="1"/>
  <c r="O190" i="7"/>
  <c r="P190" i="7"/>
  <c r="M191" i="7"/>
  <c r="N191" i="7" a="1"/>
  <c r="N191" i="7" s="1"/>
  <c r="O191" i="7"/>
  <c r="P191" i="7"/>
  <c r="M192" i="7"/>
  <c r="N192" i="7" a="1"/>
  <c r="N192" i="7" s="1"/>
  <c r="O192" i="7"/>
  <c r="P192" i="7"/>
  <c r="M193" i="7"/>
  <c r="N193" i="7" a="1"/>
  <c r="N193" i="7" s="1"/>
  <c r="O193" i="7"/>
  <c r="P193" i="7"/>
  <c r="M194" i="7"/>
  <c r="N194" i="7" a="1"/>
  <c r="N194" i="7" s="1"/>
  <c r="O194" i="7"/>
  <c r="P194" i="7"/>
  <c r="M195" i="7"/>
  <c r="N195" i="7" a="1"/>
  <c r="N195" i="7" s="1"/>
  <c r="O195" i="7"/>
  <c r="P195" i="7"/>
  <c r="M196" i="7"/>
  <c r="N196" i="7" a="1"/>
  <c r="N196" i="7" s="1"/>
  <c r="O196" i="7"/>
  <c r="P196" i="7"/>
  <c r="M197" i="7"/>
  <c r="N197" i="7" a="1"/>
  <c r="N197" i="7" s="1"/>
  <c r="O197" i="7"/>
  <c r="P197" i="7"/>
  <c r="M198" i="7"/>
  <c r="N198" i="7" a="1"/>
  <c r="N198" i="7" s="1"/>
  <c r="O198" i="7"/>
  <c r="P198" i="7"/>
  <c r="M199" i="7"/>
  <c r="N199" i="7" a="1"/>
  <c r="N199" i="7" s="1"/>
  <c r="O199" i="7"/>
  <c r="P199" i="7"/>
  <c r="M200" i="7"/>
  <c r="N200" i="7" a="1"/>
  <c r="N200" i="7" s="1"/>
  <c r="O200" i="7"/>
  <c r="P200" i="7"/>
  <c r="M201" i="7"/>
  <c r="N201" i="7" a="1"/>
  <c r="N201" i="7" s="1"/>
  <c r="O201" i="7"/>
  <c r="P201" i="7"/>
  <c r="M202" i="7"/>
  <c r="N202" i="7" a="1"/>
  <c r="N202" i="7" s="1"/>
  <c r="O202" i="7"/>
  <c r="P202" i="7"/>
  <c r="M203" i="7"/>
  <c r="N203" i="7" a="1"/>
  <c r="N203" i="7" s="1"/>
  <c r="O203" i="7"/>
  <c r="P203" i="7"/>
  <c r="M204" i="7"/>
  <c r="N204" i="7" a="1"/>
  <c r="N204" i="7" s="1"/>
  <c r="O204" i="7"/>
  <c r="P204" i="7"/>
  <c r="M205" i="7"/>
  <c r="N205" i="7" a="1"/>
  <c r="N205" i="7" s="1"/>
  <c r="O205" i="7"/>
  <c r="P205" i="7"/>
  <c r="M206" i="7"/>
  <c r="N206" i="7" a="1"/>
  <c r="N206" i="7" s="1"/>
  <c r="O206" i="7"/>
  <c r="P206" i="7"/>
  <c r="M207" i="7"/>
  <c r="N207" i="7" a="1"/>
  <c r="N207" i="7" s="1"/>
  <c r="O207" i="7"/>
  <c r="P207" i="7"/>
  <c r="M208" i="7"/>
  <c r="N208" i="7" a="1"/>
  <c r="N208" i="7" s="1"/>
  <c r="O208" i="7"/>
  <c r="P208" i="7"/>
  <c r="M209" i="7"/>
  <c r="N209" i="7" a="1"/>
  <c r="N209" i="7" s="1"/>
  <c r="O209" i="7"/>
  <c r="P209" i="7"/>
  <c r="M210" i="7"/>
  <c r="N210" i="7" a="1"/>
  <c r="N210" i="7" s="1"/>
  <c r="O210" i="7"/>
  <c r="P210" i="7"/>
  <c r="M211" i="7"/>
  <c r="N211" i="7" a="1"/>
  <c r="N211" i="7" s="1"/>
  <c r="O211" i="7"/>
  <c r="P211" i="7"/>
  <c r="M212" i="7"/>
  <c r="N212" i="7" a="1"/>
  <c r="N212" i="7" s="1"/>
  <c r="O212" i="7"/>
  <c r="P212" i="7"/>
  <c r="M213" i="7"/>
  <c r="N213" i="7" a="1"/>
  <c r="N213" i="7" s="1"/>
  <c r="O213" i="7"/>
  <c r="P213" i="7"/>
  <c r="M214" i="7"/>
  <c r="N214" i="7" a="1"/>
  <c r="N214" i="7" s="1"/>
  <c r="O214" i="7"/>
  <c r="P214" i="7"/>
  <c r="M215" i="7"/>
  <c r="N215" i="7" a="1"/>
  <c r="N215" i="7" s="1"/>
  <c r="O215" i="7"/>
  <c r="P215" i="7"/>
  <c r="M216" i="7"/>
  <c r="N216" i="7" a="1"/>
  <c r="N216" i="7" s="1"/>
  <c r="O216" i="7"/>
  <c r="P216" i="7"/>
  <c r="M217" i="7"/>
  <c r="N217" i="7" a="1"/>
  <c r="N217" i="7" s="1"/>
  <c r="O217" i="7"/>
  <c r="P217" i="7"/>
  <c r="M218" i="7"/>
  <c r="N218" i="7" a="1"/>
  <c r="N218" i="7" s="1"/>
  <c r="O218" i="7"/>
  <c r="P218" i="7"/>
  <c r="M219" i="7"/>
  <c r="N219" i="7" a="1"/>
  <c r="N219" i="7" s="1"/>
  <c r="O219" i="7"/>
  <c r="P219" i="7"/>
  <c r="M220" i="7"/>
  <c r="N220" i="7" a="1"/>
  <c r="N220" i="7" s="1"/>
  <c r="O220" i="7"/>
  <c r="P220" i="7"/>
  <c r="M221" i="7"/>
  <c r="N221" i="7" a="1"/>
  <c r="N221" i="7" s="1"/>
  <c r="O221" i="7"/>
  <c r="P221" i="7"/>
  <c r="M222" i="7"/>
  <c r="N222" i="7" a="1"/>
  <c r="N222" i="7" s="1"/>
  <c r="O222" i="7"/>
  <c r="P222" i="7"/>
  <c r="M223" i="7"/>
  <c r="N223" i="7" a="1"/>
  <c r="N223" i="7" s="1"/>
  <c r="O223" i="7"/>
  <c r="P223" i="7"/>
  <c r="M224" i="7"/>
  <c r="N224" i="7" a="1"/>
  <c r="N224" i="7" s="1"/>
  <c r="O224" i="7"/>
  <c r="P224" i="7"/>
  <c r="M225" i="7"/>
  <c r="N225" i="7" a="1"/>
  <c r="N225" i="7" s="1"/>
  <c r="O225" i="7"/>
  <c r="P225" i="7"/>
  <c r="M226" i="7"/>
  <c r="N226" i="7" a="1"/>
  <c r="N226" i="7" s="1"/>
  <c r="O226" i="7"/>
  <c r="P226" i="7"/>
  <c r="M227" i="7"/>
  <c r="N227" i="7" a="1"/>
  <c r="N227" i="7" s="1"/>
  <c r="O227" i="7"/>
  <c r="P227" i="7"/>
  <c r="M228" i="7"/>
  <c r="N228" i="7" a="1"/>
  <c r="N228" i="7" s="1"/>
  <c r="O228" i="7"/>
  <c r="P228" i="7"/>
  <c r="M229" i="7"/>
  <c r="N229" i="7" a="1"/>
  <c r="N229" i="7" s="1"/>
  <c r="O229" i="7"/>
  <c r="P229" i="7"/>
  <c r="M230" i="7"/>
  <c r="N230" i="7" a="1"/>
  <c r="N230" i="7" s="1"/>
  <c r="O230" i="7"/>
  <c r="P230" i="7"/>
  <c r="M231" i="7"/>
  <c r="N231" i="7" a="1"/>
  <c r="N231" i="7" s="1"/>
  <c r="O231" i="7"/>
  <c r="P231" i="7"/>
  <c r="M232" i="7"/>
  <c r="N232" i="7" a="1"/>
  <c r="N232" i="7" s="1"/>
  <c r="O232" i="7"/>
  <c r="P232" i="7"/>
  <c r="M233" i="7"/>
  <c r="N233" i="7" a="1"/>
  <c r="N233" i="7" s="1"/>
  <c r="O233" i="7"/>
  <c r="P233" i="7"/>
  <c r="M234" i="7"/>
  <c r="N234" i="7" a="1"/>
  <c r="N234" i="7" s="1"/>
  <c r="O234" i="7"/>
  <c r="P234" i="7"/>
  <c r="M235" i="7"/>
  <c r="N235" i="7" a="1"/>
  <c r="N235" i="7" s="1"/>
  <c r="O235" i="7"/>
  <c r="P235" i="7"/>
  <c r="M236" i="7"/>
  <c r="N236" i="7" a="1"/>
  <c r="N236" i="7" s="1"/>
  <c r="O236" i="7"/>
  <c r="P236" i="7"/>
  <c r="M237" i="7"/>
  <c r="N237" i="7" a="1"/>
  <c r="N237" i="7" s="1"/>
  <c r="O237" i="7"/>
  <c r="P237" i="7"/>
  <c r="M238" i="7"/>
  <c r="N238" i="7" a="1"/>
  <c r="N238" i="7" s="1"/>
  <c r="O238" i="7"/>
  <c r="P238" i="7"/>
  <c r="M239" i="7"/>
  <c r="N239" i="7" a="1"/>
  <c r="N239" i="7" s="1"/>
  <c r="O239" i="7"/>
  <c r="P239" i="7"/>
  <c r="M240" i="7"/>
  <c r="N240" i="7" a="1"/>
  <c r="N240" i="7" s="1"/>
  <c r="O240" i="7"/>
  <c r="P240" i="7"/>
  <c r="M241" i="7"/>
  <c r="N241" i="7" a="1"/>
  <c r="N241" i="7" s="1"/>
  <c r="O241" i="7"/>
  <c r="P241" i="7"/>
  <c r="M242" i="7"/>
  <c r="N242" i="7" a="1"/>
  <c r="N242" i="7" s="1"/>
  <c r="O242" i="7"/>
  <c r="P242" i="7"/>
  <c r="M243" i="7"/>
  <c r="N243" i="7" a="1"/>
  <c r="N243" i="7" s="1"/>
  <c r="O243" i="7"/>
  <c r="P243" i="7"/>
  <c r="M244" i="7"/>
  <c r="N244" i="7" a="1"/>
  <c r="N244" i="7" s="1"/>
  <c r="O244" i="7"/>
  <c r="P244" i="7"/>
  <c r="M245" i="7"/>
  <c r="N245" i="7" a="1"/>
  <c r="N245" i="7" s="1"/>
  <c r="O245" i="7"/>
  <c r="P245" i="7"/>
  <c r="M246" i="7"/>
  <c r="N246" i="7" a="1"/>
  <c r="N246" i="7" s="1"/>
  <c r="O246" i="7"/>
  <c r="P246" i="7"/>
  <c r="M247" i="7"/>
  <c r="N247" i="7" a="1"/>
  <c r="N247" i="7" s="1"/>
  <c r="O247" i="7"/>
  <c r="P247" i="7"/>
  <c r="M248" i="7"/>
  <c r="N248" i="7" a="1"/>
  <c r="N248" i="7" s="1"/>
  <c r="O248" i="7"/>
  <c r="P248" i="7"/>
  <c r="M249" i="7"/>
  <c r="N249" i="7" a="1"/>
  <c r="N249" i="7" s="1"/>
  <c r="O249" i="7"/>
  <c r="P249" i="7"/>
  <c r="M250" i="7"/>
  <c r="N250" i="7" a="1"/>
  <c r="N250" i="7" s="1"/>
  <c r="O250" i="7"/>
  <c r="P250" i="7"/>
  <c r="M251" i="7"/>
  <c r="N251" i="7" a="1"/>
  <c r="N251" i="7" s="1"/>
  <c r="O251" i="7"/>
  <c r="P251" i="7"/>
  <c r="M252" i="7"/>
  <c r="N252" i="7" a="1"/>
  <c r="N252" i="7" s="1"/>
  <c r="O252" i="7"/>
  <c r="P252" i="7"/>
  <c r="M253" i="7"/>
  <c r="N253" i="7" a="1"/>
  <c r="N253" i="7" s="1"/>
  <c r="O253" i="7"/>
  <c r="P253" i="7"/>
  <c r="M254" i="7"/>
  <c r="N254" i="7" a="1"/>
  <c r="N254" i="7" s="1"/>
  <c r="O254" i="7"/>
  <c r="P254" i="7"/>
  <c r="M255" i="7"/>
  <c r="N255" i="7" a="1"/>
  <c r="N255" i="7" s="1"/>
  <c r="O255" i="7"/>
  <c r="P255" i="7"/>
  <c r="M256" i="7"/>
  <c r="N256" i="7" a="1"/>
  <c r="N256" i="7" s="1"/>
  <c r="O256" i="7"/>
  <c r="P256" i="7"/>
  <c r="M257" i="7"/>
  <c r="N257" i="7" a="1"/>
  <c r="N257" i="7" s="1"/>
  <c r="O257" i="7"/>
  <c r="P257" i="7"/>
  <c r="M258" i="7"/>
  <c r="N258" i="7" a="1"/>
  <c r="N258" i="7" s="1"/>
  <c r="O258" i="7"/>
  <c r="P258" i="7"/>
  <c r="M259" i="7"/>
  <c r="N259" i="7" a="1"/>
  <c r="N259" i="7" s="1"/>
  <c r="O259" i="7"/>
  <c r="P259" i="7"/>
  <c r="M260" i="7"/>
  <c r="N260" i="7" a="1"/>
  <c r="N260" i="7" s="1"/>
  <c r="O260" i="7"/>
  <c r="P260" i="7"/>
  <c r="M261" i="7"/>
  <c r="N261" i="7" a="1"/>
  <c r="N261" i="7" s="1"/>
  <c r="O261" i="7"/>
  <c r="P261" i="7"/>
  <c r="M262" i="7"/>
  <c r="N262" i="7" a="1"/>
  <c r="N262" i="7" s="1"/>
  <c r="O262" i="7"/>
  <c r="P262" i="7"/>
  <c r="M263" i="7"/>
  <c r="N263" i="7" a="1"/>
  <c r="N263" i="7" s="1"/>
  <c r="O263" i="7"/>
  <c r="P263" i="7"/>
  <c r="M264" i="7"/>
  <c r="N264" i="7" a="1"/>
  <c r="N264" i="7" s="1"/>
  <c r="O264" i="7"/>
  <c r="P264" i="7"/>
  <c r="M265" i="7"/>
  <c r="N265" i="7" a="1"/>
  <c r="N265" i="7" s="1"/>
  <c r="O265" i="7"/>
  <c r="P265" i="7"/>
  <c r="M266" i="7"/>
  <c r="N266" i="7" a="1"/>
  <c r="N266" i="7" s="1"/>
  <c r="O266" i="7"/>
  <c r="P266" i="7"/>
  <c r="M267" i="7"/>
  <c r="N267" i="7" a="1"/>
  <c r="N267" i="7" s="1"/>
  <c r="O267" i="7"/>
  <c r="P267" i="7"/>
  <c r="M268" i="7"/>
  <c r="N268" i="7" a="1"/>
  <c r="N268" i="7" s="1"/>
  <c r="O268" i="7"/>
  <c r="P268" i="7"/>
  <c r="M269" i="7"/>
  <c r="N269" i="7" a="1"/>
  <c r="N269" i="7" s="1"/>
  <c r="O269" i="7"/>
  <c r="P269" i="7"/>
  <c r="M270" i="7"/>
  <c r="N270" i="7" a="1"/>
  <c r="N270" i="7" s="1"/>
  <c r="O270" i="7"/>
  <c r="P270" i="7"/>
  <c r="M271" i="7"/>
  <c r="N271" i="7" a="1"/>
  <c r="N271" i="7" s="1"/>
  <c r="O271" i="7"/>
  <c r="P271" i="7"/>
  <c r="M272" i="7"/>
  <c r="N272" i="7" a="1"/>
  <c r="N272" i="7" s="1"/>
  <c r="O272" i="7"/>
  <c r="P272" i="7"/>
  <c r="M273" i="7"/>
  <c r="N273" i="7" a="1"/>
  <c r="N273" i="7" s="1"/>
  <c r="O273" i="7"/>
  <c r="P273" i="7"/>
  <c r="M274" i="7"/>
  <c r="N274" i="7" a="1"/>
  <c r="N274" i="7" s="1"/>
  <c r="O274" i="7"/>
  <c r="P274" i="7"/>
  <c r="M275" i="7"/>
  <c r="N275" i="7" a="1"/>
  <c r="N275" i="7" s="1"/>
  <c r="O275" i="7"/>
  <c r="P275" i="7"/>
  <c r="M276" i="7"/>
  <c r="N276" i="7" a="1"/>
  <c r="N276" i="7" s="1"/>
  <c r="O276" i="7"/>
  <c r="P276" i="7"/>
  <c r="M277" i="7"/>
  <c r="N277" i="7" a="1"/>
  <c r="N277" i="7" s="1"/>
  <c r="O277" i="7"/>
  <c r="P277" i="7"/>
  <c r="M278" i="7"/>
  <c r="N278" i="7" a="1"/>
  <c r="N278" i="7" s="1"/>
  <c r="O278" i="7"/>
  <c r="P278" i="7"/>
  <c r="M279" i="7"/>
  <c r="N279" i="7" a="1"/>
  <c r="N279" i="7" s="1"/>
  <c r="O279" i="7"/>
  <c r="P279" i="7"/>
  <c r="M280" i="7"/>
  <c r="N280" i="7" a="1"/>
  <c r="N280" i="7" s="1"/>
  <c r="O280" i="7"/>
  <c r="P280" i="7"/>
  <c r="M281" i="7"/>
  <c r="N281" i="7" a="1"/>
  <c r="N281" i="7" s="1"/>
  <c r="O281" i="7"/>
  <c r="P281" i="7"/>
  <c r="M282" i="7"/>
  <c r="N282" i="7" a="1"/>
  <c r="N282" i="7" s="1"/>
  <c r="O282" i="7"/>
  <c r="P282" i="7"/>
  <c r="M283" i="7"/>
  <c r="N283" i="7" a="1"/>
  <c r="N283" i="7" s="1"/>
  <c r="O283" i="7"/>
  <c r="P283" i="7"/>
  <c r="M284" i="7"/>
  <c r="N284" i="7" a="1"/>
  <c r="N284" i="7" s="1"/>
  <c r="O284" i="7"/>
  <c r="P284" i="7"/>
  <c r="M285" i="7"/>
  <c r="N285" i="7" a="1"/>
  <c r="N285" i="7" s="1"/>
  <c r="O285" i="7"/>
  <c r="P285" i="7"/>
  <c r="M286" i="7"/>
  <c r="N286" i="7" a="1"/>
  <c r="N286" i="7" s="1"/>
  <c r="O286" i="7"/>
  <c r="P286" i="7"/>
  <c r="M287" i="7"/>
  <c r="N287" i="7" a="1"/>
  <c r="N287" i="7" s="1"/>
  <c r="O287" i="7"/>
  <c r="P287" i="7"/>
  <c r="M288" i="7"/>
  <c r="N288" i="7" a="1"/>
  <c r="N288" i="7" s="1"/>
  <c r="O288" i="7"/>
  <c r="P288" i="7"/>
  <c r="M289" i="7"/>
  <c r="N289" i="7" a="1"/>
  <c r="N289" i="7" s="1"/>
  <c r="O289" i="7"/>
  <c r="P289" i="7"/>
  <c r="M290" i="7"/>
  <c r="N290" i="7" a="1"/>
  <c r="N290" i="7" s="1"/>
  <c r="O290" i="7"/>
  <c r="P290" i="7"/>
  <c r="M291" i="7"/>
  <c r="N291" i="7" a="1"/>
  <c r="N291" i="7" s="1"/>
  <c r="O291" i="7"/>
  <c r="P291" i="7"/>
  <c r="M292" i="7"/>
  <c r="N292" i="7" a="1"/>
  <c r="N292" i="7" s="1"/>
  <c r="O292" i="7"/>
  <c r="P292" i="7"/>
  <c r="M293" i="7"/>
  <c r="N293" i="7" a="1"/>
  <c r="N293" i="7" s="1"/>
  <c r="O293" i="7"/>
  <c r="P293" i="7"/>
  <c r="M294" i="7"/>
  <c r="N294" i="7" a="1"/>
  <c r="N294" i="7" s="1"/>
  <c r="O294" i="7"/>
  <c r="P294" i="7"/>
  <c r="M295" i="7"/>
  <c r="N295" i="7" a="1"/>
  <c r="N295" i="7" s="1"/>
  <c r="O295" i="7"/>
  <c r="P295" i="7"/>
  <c r="M296" i="7"/>
  <c r="N296" i="7" a="1"/>
  <c r="N296" i="7" s="1"/>
  <c r="O296" i="7"/>
  <c r="P296" i="7"/>
  <c r="M297" i="7"/>
  <c r="N297" i="7" a="1"/>
  <c r="N297" i="7" s="1"/>
  <c r="O297" i="7"/>
  <c r="P297" i="7"/>
  <c r="M298" i="7"/>
  <c r="N298" i="7" a="1"/>
  <c r="N298" i="7" s="1"/>
  <c r="O298" i="7"/>
  <c r="P298" i="7"/>
  <c r="M299" i="7"/>
  <c r="N299" i="7" a="1"/>
  <c r="N299" i="7" s="1"/>
  <c r="O299" i="7"/>
  <c r="P299" i="7"/>
  <c r="M300" i="7"/>
  <c r="N300" i="7" a="1"/>
  <c r="N300" i="7" s="1"/>
  <c r="O300" i="7"/>
  <c r="P300" i="7"/>
  <c r="M301" i="7"/>
  <c r="N301" i="7" a="1"/>
  <c r="N301" i="7" s="1"/>
  <c r="O301" i="7"/>
  <c r="P301" i="7"/>
  <c r="M302" i="7"/>
  <c r="N302" i="7" a="1"/>
  <c r="N302" i="7" s="1"/>
  <c r="O302" i="7"/>
  <c r="P302" i="7"/>
  <c r="M303" i="7"/>
  <c r="N303" i="7" a="1"/>
  <c r="N303" i="7" s="1"/>
  <c r="O303" i="7"/>
  <c r="P303" i="7"/>
  <c r="M304" i="7"/>
  <c r="N304" i="7" a="1"/>
  <c r="N304" i="7" s="1"/>
  <c r="O304" i="7"/>
  <c r="P304" i="7"/>
  <c r="M305" i="7"/>
  <c r="N305" i="7" a="1"/>
  <c r="N305" i="7" s="1"/>
  <c r="O305" i="7"/>
  <c r="P305" i="7"/>
  <c r="M306" i="7"/>
  <c r="N306" i="7" a="1"/>
  <c r="N306" i="7" s="1"/>
  <c r="O306" i="7"/>
  <c r="P306" i="7"/>
  <c r="M307" i="7"/>
  <c r="N307" i="7" a="1"/>
  <c r="N307" i="7" s="1"/>
  <c r="O307" i="7"/>
  <c r="P307" i="7"/>
  <c r="M308" i="7"/>
  <c r="N308" i="7" a="1"/>
  <c r="N308" i="7" s="1"/>
  <c r="O308" i="7"/>
  <c r="P308" i="7"/>
  <c r="M309" i="7"/>
  <c r="N309" i="7" a="1"/>
  <c r="N309" i="7" s="1"/>
  <c r="O309" i="7"/>
  <c r="P309" i="7"/>
  <c r="M310" i="7"/>
  <c r="N310" i="7" a="1"/>
  <c r="N310" i="7" s="1"/>
  <c r="O310" i="7"/>
  <c r="P310" i="7"/>
  <c r="M311" i="7"/>
  <c r="N311" i="7" a="1"/>
  <c r="N311" i="7" s="1"/>
  <c r="O311" i="7"/>
  <c r="P311" i="7"/>
  <c r="M312" i="7"/>
  <c r="N312" i="7" a="1"/>
  <c r="N312" i="7" s="1"/>
  <c r="O312" i="7"/>
  <c r="P312" i="7"/>
  <c r="M313" i="7"/>
  <c r="N313" i="7" a="1"/>
  <c r="N313" i="7" s="1"/>
  <c r="O313" i="7"/>
  <c r="P313" i="7"/>
  <c r="M314" i="7"/>
  <c r="N314" i="7" a="1"/>
  <c r="N314" i="7" s="1"/>
  <c r="O314" i="7"/>
  <c r="P314" i="7"/>
  <c r="M315" i="7"/>
  <c r="N315" i="7" a="1"/>
  <c r="N315" i="7" s="1"/>
  <c r="O315" i="7"/>
  <c r="P315" i="7"/>
  <c r="M316" i="7"/>
  <c r="N316" i="7" a="1"/>
  <c r="N316" i="7" s="1"/>
  <c r="O316" i="7"/>
  <c r="P316" i="7"/>
  <c r="M317" i="7"/>
  <c r="N317" i="7" a="1"/>
  <c r="N317" i="7" s="1"/>
  <c r="O317" i="7"/>
  <c r="P317" i="7"/>
  <c r="M318" i="7"/>
  <c r="N318" i="7" a="1"/>
  <c r="N318" i="7" s="1"/>
  <c r="O318" i="7"/>
  <c r="P318" i="7"/>
  <c r="M319" i="7"/>
  <c r="N319" i="7" a="1"/>
  <c r="N319" i="7" s="1"/>
  <c r="O319" i="7"/>
  <c r="P319" i="7"/>
  <c r="M320" i="7"/>
  <c r="N320" i="7" a="1"/>
  <c r="N320" i="7" s="1"/>
  <c r="O320" i="7"/>
  <c r="P320" i="7"/>
  <c r="M321" i="7"/>
  <c r="N321" i="7" a="1"/>
  <c r="N321" i="7" s="1"/>
  <c r="O321" i="7"/>
  <c r="P321" i="7"/>
  <c r="M322" i="7"/>
  <c r="N322" i="7" a="1"/>
  <c r="N322" i="7" s="1"/>
  <c r="O322" i="7"/>
  <c r="P322" i="7"/>
  <c r="M323" i="7"/>
  <c r="N323" i="7" a="1"/>
  <c r="N323" i="7" s="1"/>
  <c r="O323" i="7"/>
  <c r="P323" i="7"/>
  <c r="M324" i="7"/>
  <c r="N324" i="7" a="1"/>
  <c r="N324" i="7" s="1"/>
  <c r="O324" i="7"/>
  <c r="P324" i="7"/>
  <c r="M325" i="7"/>
  <c r="N325" i="7" a="1"/>
  <c r="N325" i="7" s="1"/>
  <c r="O325" i="7"/>
  <c r="P325" i="7"/>
  <c r="M326" i="7"/>
  <c r="N326" i="7" a="1"/>
  <c r="N326" i="7" s="1"/>
  <c r="O326" i="7"/>
  <c r="P326" i="7"/>
  <c r="M327" i="7"/>
  <c r="N327" i="7" a="1"/>
  <c r="N327" i="7" s="1"/>
  <c r="O327" i="7"/>
  <c r="P327" i="7"/>
  <c r="M328" i="7"/>
  <c r="N328" i="7" a="1"/>
  <c r="N328" i="7" s="1"/>
  <c r="O328" i="7"/>
  <c r="P328" i="7"/>
  <c r="M329" i="7"/>
  <c r="N329" i="7" a="1"/>
  <c r="N329" i="7" s="1"/>
  <c r="O329" i="7"/>
  <c r="P329" i="7"/>
  <c r="M330" i="7"/>
  <c r="N330" i="7" a="1"/>
  <c r="N330" i="7" s="1"/>
  <c r="O330" i="7"/>
  <c r="P330" i="7"/>
  <c r="M331" i="7"/>
  <c r="N331" i="7" a="1"/>
  <c r="N331" i="7" s="1"/>
  <c r="O331" i="7"/>
  <c r="P331" i="7"/>
  <c r="M332" i="7"/>
  <c r="N332" i="7" a="1"/>
  <c r="N332" i="7" s="1"/>
  <c r="O332" i="7"/>
  <c r="P332" i="7"/>
  <c r="M333" i="7"/>
  <c r="N333" i="7" a="1"/>
  <c r="N333" i="7" s="1"/>
  <c r="O333" i="7"/>
  <c r="P333" i="7"/>
  <c r="M334" i="7"/>
  <c r="N334" i="7" a="1"/>
  <c r="N334" i="7" s="1"/>
  <c r="O334" i="7"/>
  <c r="P334" i="7"/>
  <c r="M335" i="7"/>
  <c r="N335" i="7" a="1"/>
  <c r="N335" i="7" s="1"/>
  <c r="O335" i="7"/>
  <c r="P335" i="7"/>
  <c r="M336" i="7"/>
  <c r="N336" i="7" a="1"/>
  <c r="N336" i="7" s="1"/>
  <c r="O336" i="7"/>
  <c r="P336" i="7"/>
  <c r="M337" i="7"/>
  <c r="N337" i="7" a="1"/>
  <c r="N337" i="7" s="1"/>
  <c r="O337" i="7"/>
  <c r="P337" i="7"/>
  <c r="M338" i="7"/>
  <c r="N338" i="7" a="1"/>
  <c r="N338" i="7" s="1"/>
  <c r="O338" i="7"/>
  <c r="P338" i="7"/>
  <c r="M339" i="7"/>
  <c r="N339" i="7" a="1"/>
  <c r="N339" i="7" s="1"/>
  <c r="O339" i="7"/>
  <c r="P339" i="7"/>
  <c r="M340" i="7"/>
  <c r="N340" i="7" a="1"/>
  <c r="N340" i="7" s="1"/>
  <c r="O340" i="7"/>
  <c r="P340" i="7"/>
  <c r="M341" i="7"/>
  <c r="N341" i="7" a="1"/>
  <c r="N341" i="7" s="1"/>
  <c r="O341" i="7"/>
  <c r="P341" i="7"/>
  <c r="M342" i="7"/>
  <c r="N342" i="7" a="1"/>
  <c r="N342" i="7" s="1"/>
  <c r="O342" i="7"/>
  <c r="P342" i="7"/>
  <c r="M343" i="7"/>
  <c r="N343" i="7" a="1"/>
  <c r="N343" i="7" s="1"/>
  <c r="O343" i="7"/>
  <c r="P343" i="7"/>
  <c r="M344" i="7"/>
  <c r="N344" i="7" a="1"/>
  <c r="N344" i="7" s="1"/>
  <c r="O344" i="7"/>
  <c r="P344" i="7"/>
  <c r="M345" i="7"/>
  <c r="N345" i="7" a="1"/>
  <c r="N345" i="7" s="1"/>
  <c r="O345" i="7"/>
  <c r="P345" i="7"/>
  <c r="M346" i="7"/>
  <c r="N346" i="7" a="1"/>
  <c r="N346" i="7" s="1"/>
  <c r="O346" i="7"/>
  <c r="P346" i="7"/>
  <c r="M347" i="7"/>
  <c r="N347" i="7" a="1"/>
  <c r="N347" i="7" s="1"/>
  <c r="O347" i="7"/>
  <c r="P347" i="7"/>
  <c r="M348" i="7"/>
  <c r="N348" i="7" a="1"/>
  <c r="N348" i="7" s="1"/>
  <c r="O348" i="7"/>
  <c r="P348" i="7"/>
  <c r="M349" i="7"/>
  <c r="N349" i="7" a="1"/>
  <c r="N349" i="7" s="1"/>
  <c r="O349" i="7"/>
  <c r="P349" i="7"/>
  <c r="M350" i="7"/>
  <c r="N350" i="7" a="1"/>
  <c r="N350" i="7" s="1"/>
  <c r="O350" i="7"/>
  <c r="P350" i="7"/>
  <c r="M351" i="7"/>
  <c r="N351" i="7" a="1"/>
  <c r="N351" i="7" s="1"/>
  <c r="O351" i="7"/>
  <c r="P351" i="7"/>
  <c r="M352" i="7"/>
  <c r="N352" i="7" a="1"/>
  <c r="N352" i="7" s="1"/>
  <c r="O352" i="7"/>
  <c r="P352" i="7"/>
  <c r="M353" i="7"/>
  <c r="N353" i="7" a="1"/>
  <c r="N353" i="7" s="1"/>
  <c r="O353" i="7"/>
  <c r="P353" i="7"/>
  <c r="M354" i="7"/>
  <c r="N354" i="7" a="1"/>
  <c r="N354" i="7" s="1"/>
  <c r="O354" i="7"/>
  <c r="P354" i="7"/>
  <c r="M355" i="7"/>
  <c r="N355" i="7" a="1"/>
  <c r="N355" i="7" s="1"/>
  <c r="O355" i="7"/>
  <c r="P355" i="7"/>
  <c r="M356" i="7"/>
  <c r="N356" i="7" a="1"/>
  <c r="N356" i="7" s="1"/>
  <c r="O356" i="7"/>
  <c r="P356" i="7"/>
  <c r="M357" i="7"/>
  <c r="N357" i="7" a="1"/>
  <c r="N357" i="7" s="1"/>
  <c r="O357" i="7"/>
  <c r="P357" i="7"/>
  <c r="M358" i="7"/>
  <c r="N358" i="7" a="1"/>
  <c r="N358" i="7" s="1"/>
  <c r="O358" i="7"/>
  <c r="P358" i="7"/>
  <c r="M359" i="7"/>
  <c r="N359" i="7" a="1"/>
  <c r="N359" i="7" s="1"/>
  <c r="O359" i="7"/>
  <c r="P359" i="7"/>
  <c r="M360" i="7"/>
  <c r="N360" i="7" a="1"/>
  <c r="N360" i="7" s="1"/>
  <c r="O360" i="7"/>
  <c r="P360" i="7"/>
  <c r="M361" i="7"/>
  <c r="N361" i="7" a="1"/>
  <c r="N361" i="7" s="1"/>
  <c r="O361" i="7"/>
  <c r="P361" i="7"/>
  <c r="M362" i="7"/>
  <c r="N362" i="7" a="1"/>
  <c r="N362" i="7" s="1"/>
  <c r="O362" i="7"/>
  <c r="P362" i="7"/>
  <c r="M363" i="7"/>
  <c r="N363" i="7" a="1"/>
  <c r="N363" i="7" s="1"/>
  <c r="O363" i="7"/>
  <c r="P363" i="7"/>
  <c r="M364" i="7"/>
  <c r="N364" i="7" a="1"/>
  <c r="N364" i="7"/>
  <c r="O364" i="7"/>
  <c r="P364" i="7"/>
  <c r="M365" i="7"/>
  <c r="N365" i="7" a="1"/>
  <c r="N365" i="7"/>
  <c r="O365" i="7"/>
  <c r="P365" i="7"/>
  <c r="M366" i="7"/>
  <c r="N366" i="7" a="1"/>
  <c r="N366" i="7"/>
  <c r="O366" i="7"/>
  <c r="P366" i="7"/>
  <c r="M367" i="7"/>
  <c r="N367" i="7" a="1"/>
  <c r="N367" i="7"/>
  <c r="O367" i="7"/>
  <c r="P367" i="7"/>
  <c r="M368" i="7"/>
  <c r="N368" i="7" a="1"/>
  <c r="N368" i="7"/>
  <c r="O368" i="7"/>
  <c r="P368" i="7"/>
  <c r="M369" i="7"/>
  <c r="N369" i="7" a="1"/>
  <c r="N369" i="7"/>
  <c r="O369" i="7"/>
  <c r="P369" i="7"/>
  <c r="M370" i="7"/>
  <c r="N370" i="7" a="1"/>
  <c r="N370" i="7"/>
  <c r="O370" i="7"/>
  <c r="P370" i="7"/>
  <c r="M371" i="7"/>
  <c r="N371" i="7" a="1"/>
  <c r="N371" i="7"/>
  <c r="O371" i="7"/>
  <c r="P371" i="7"/>
  <c r="M372" i="7"/>
  <c r="N372" i="7" a="1"/>
  <c r="N372" i="7"/>
  <c r="O372" i="7"/>
  <c r="P372" i="7"/>
  <c r="M373" i="7"/>
  <c r="N373" i="7" a="1"/>
  <c r="N373" i="7"/>
  <c r="O373" i="7"/>
  <c r="P373" i="7"/>
  <c r="M374" i="7"/>
  <c r="N374" i="7" a="1"/>
  <c r="N374" i="7"/>
  <c r="O374" i="7"/>
  <c r="P374" i="7"/>
  <c r="M375" i="7"/>
  <c r="N375" i="7" a="1"/>
  <c r="N375" i="7"/>
  <c r="O375" i="7"/>
  <c r="P375" i="7"/>
  <c r="M376" i="7"/>
  <c r="N376" i="7" a="1"/>
  <c r="N376" i="7"/>
  <c r="O376" i="7"/>
  <c r="P376" i="7"/>
  <c r="M377" i="7"/>
  <c r="N377" i="7" a="1"/>
  <c r="N377" i="7"/>
  <c r="O377" i="7"/>
  <c r="P377" i="7"/>
  <c r="M378" i="7"/>
  <c r="N378" i="7" a="1"/>
  <c r="N378" i="7"/>
  <c r="O378" i="7"/>
  <c r="P378" i="7"/>
  <c r="M379" i="7"/>
  <c r="N379" i="7" a="1"/>
  <c r="N379" i="7"/>
  <c r="O379" i="7"/>
  <c r="P379" i="7"/>
  <c r="M380" i="7"/>
  <c r="N380" i="7" a="1"/>
  <c r="N380" i="7"/>
  <c r="O380" i="7"/>
  <c r="P380" i="7"/>
  <c r="M381" i="7"/>
  <c r="N381" i="7" a="1"/>
  <c r="N381" i="7" s="1"/>
  <c r="O381" i="7"/>
  <c r="P381" i="7"/>
  <c r="M382" i="7"/>
  <c r="N382" i="7" a="1"/>
  <c r="N382" i="7" s="1"/>
  <c r="O382" i="7"/>
  <c r="P382" i="7"/>
  <c r="M383" i="7"/>
  <c r="N383" i="7" a="1"/>
  <c r="N383" i="7" s="1"/>
  <c r="O383" i="7"/>
  <c r="P383" i="7"/>
  <c r="M384" i="7"/>
  <c r="N384" i="7" a="1"/>
  <c r="N384" i="7" s="1"/>
  <c r="O384" i="7"/>
  <c r="P384" i="7"/>
  <c r="M385" i="7"/>
  <c r="N385" i="7" a="1"/>
  <c r="N385" i="7" s="1"/>
  <c r="O385" i="7"/>
  <c r="P385" i="7"/>
  <c r="M386" i="7"/>
  <c r="N386" i="7" a="1"/>
  <c r="N386" i="7" s="1"/>
  <c r="O386" i="7"/>
  <c r="P386" i="7"/>
  <c r="M387" i="7"/>
  <c r="N387" i="7" a="1"/>
  <c r="N387" i="7" s="1"/>
  <c r="O387" i="7"/>
  <c r="P387" i="7"/>
  <c r="M388" i="7"/>
  <c r="N388" i="7" a="1"/>
  <c r="N388" i="7" s="1"/>
  <c r="O388" i="7"/>
  <c r="P388" i="7"/>
  <c r="M389" i="7"/>
  <c r="N389" i="7" a="1"/>
  <c r="N389" i="7" s="1"/>
  <c r="O389" i="7"/>
  <c r="P389" i="7"/>
  <c r="M390" i="7"/>
  <c r="N390" i="7" a="1"/>
  <c r="N390" i="7" s="1"/>
  <c r="O390" i="7"/>
  <c r="P390" i="7"/>
  <c r="M391" i="7"/>
  <c r="N391" i="7" a="1"/>
  <c r="N391" i="7" s="1"/>
  <c r="O391" i="7"/>
  <c r="P391" i="7"/>
  <c r="M392" i="7"/>
  <c r="N392" i="7" a="1"/>
  <c r="N392" i="7" s="1"/>
  <c r="O392" i="7"/>
  <c r="P392" i="7"/>
  <c r="M393" i="7"/>
  <c r="N393" i="7" a="1"/>
  <c r="N393" i="7" s="1"/>
  <c r="O393" i="7"/>
  <c r="P393" i="7"/>
  <c r="M394" i="7"/>
  <c r="N394" i="7" a="1"/>
  <c r="N394" i="7" s="1"/>
  <c r="O394" i="7"/>
  <c r="P394" i="7"/>
  <c r="M395" i="7"/>
  <c r="N395" i="7" a="1"/>
  <c r="N395" i="7" s="1"/>
  <c r="O395" i="7"/>
  <c r="P395" i="7"/>
  <c r="M396" i="7"/>
  <c r="N396" i="7" a="1"/>
  <c r="N396" i="7" s="1"/>
  <c r="O396" i="7"/>
  <c r="P396" i="7"/>
  <c r="M397" i="7"/>
  <c r="N397" i="7" a="1"/>
  <c r="N397" i="7" s="1"/>
  <c r="O397" i="7"/>
  <c r="P397" i="7"/>
  <c r="M398" i="7"/>
  <c r="N398" i="7" a="1"/>
  <c r="N398" i="7" s="1"/>
  <c r="O398" i="7"/>
  <c r="P398" i="7"/>
  <c r="M399" i="7"/>
  <c r="N399" i="7" a="1"/>
  <c r="N399" i="7" s="1"/>
  <c r="O399" i="7"/>
  <c r="P399" i="7"/>
  <c r="M400" i="7"/>
  <c r="N400" i="7" a="1"/>
  <c r="N400" i="7" s="1"/>
  <c r="O400" i="7"/>
  <c r="P400" i="7"/>
  <c r="M401" i="7"/>
  <c r="N401" i="7" a="1"/>
  <c r="N401" i="7" s="1"/>
  <c r="O401" i="7"/>
  <c r="P401" i="7"/>
  <c r="M402" i="7"/>
  <c r="N402" i="7" a="1"/>
  <c r="N402" i="7" s="1"/>
  <c r="O402" i="7"/>
  <c r="P402" i="7"/>
  <c r="M403" i="7"/>
  <c r="N403" i="7" a="1"/>
  <c r="N403" i="7" s="1"/>
  <c r="O403" i="7"/>
  <c r="P403" i="7"/>
  <c r="M404" i="7"/>
  <c r="N404" i="7" a="1"/>
  <c r="N404" i="7" s="1"/>
  <c r="O404" i="7"/>
  <c r="P404" i="7"/>
  <c r="M405" i="7"/>
  <c r="N405" i="7" a="1"/>
  <c r="N405" i="7" s="1"/>
  <c r="O405" i="7"/>
  <c r="P405" i="7"/>
  <c r="M406" i="7"/>
  <c r="N406" i="7" a="1"/>
  <c r="N406" i="7" s="1"/>
  <c r="O406" i="7"/>
  <c r="P406" i="7"/>
  <c r="M407" i="7"/>
  <c r="N407" i="7" a="1"/>
  <c r="N407" i="7" s="1"/>
  <c r="O407" i="7"/>
  <c r="P407" i="7"/>
  <c r="M408" i="7"/>
  <c r="N408" i="7" a="1"/>
  <c r="N408" i="7" s="1"/>
  <c r="O408" i="7"/>
  <c r="P408" i="7"/>
  <c r="M409" i="7"/>
  <c r="N409" i="7" a="1"/>
  <c r="N409" i="7" s="1"/>
  <c r="O409" i="7"/>
  <c r="P409" i="7"/>
  <c r="M410" i="7"/>
  <c r="N410" i="7" a="1"/>
  <c r="N410" i="7" s="1"/>
  <c r="O410" i="7"/>
  <c r="P410" i="7"/>
  <c r="M411" i="7"/>
  <c r="N411" i="7" a="1"/>
  <c r="N411" i="7" s="1"/>
  <c r="O411" i="7"/>
  <c r="P411" i="7"/>
  <c r="M412" i="7"/>
  <c r="N412" i="7" a="1"/>
  <c r="N412" i="7" s="1"/>
  <c r="O412" i="7"/>
  <c r="P412" i="7"/>
  <c r="M413" i="7"/>
  <c r="N413" i="7" a="1"/>
  <c r="N413" i="7" s="1"/>
  <c r="O413" i="7"/>
  <c r="P413" i="7"/>
  <c r="M414" i="7"/>
  <c r="N414" i="7" a="1"/>
  <c r="N414" i="7" s="1"/>
  <c r="O414" i="7"/>
  <c r="P414" i="7"/>
  <c r="M415" i="7"/>
  <c r="N415" i="7" a="1"/>
  <c r="N415" i="7" s="1"/>
  <c r="O415" i="7"/>
  <c r="P415" i="7"/>
  <c r="M416" i="7"/>
  <c r="N416" i="7" a="1"/>
  <c r="N416" i="7" s="1"/>
  <c r="O416" i="7"/>
  <c r="P416" i="7"/>
  <c r="M417" i="7"/>
  <c r="N417" i="7" a="1"/>
  <c r="N417" i="7" s="1"/>
  <c r="O417" i="7"/>
  <c r="P417" i="7"/>
  <c r="M418" i="7"/>
  <c r="N418" i="7" a="1"/>
  <c r="N418" i="7" s="1"/>
  <c r="O418" i="7"/>
  <c r="P418" i="7"/>
  <c r="M419" i="7"/>
  <c r="N419" i="7" a="1"/>
  <c r="N419" i="7" s="1"/>
  <c r="O419" i="7"/>
  <c r="P419" i="7"/>
  <c r="M420" i="7"/>
  <c r="N420" i="7" a="1"/>
  <c r="N420" i="7" s="1"/>
  <c r="O420" i="7"/>
  <c r="P420" i="7"/>
  <c r="M421" i="7"/>
  <c r="N421" i="7" a="1"/>
  <c r="N421" i="7" s="1"/>
  <c r="O421" i="7"/>
  <c r="P421" i="7"/>
  <c r="M422" i="7"/>
  <c r="N422" i="7" a="1"/>
  <c r="N422" i="7" s="1"/>
  <c r="O422" i="7"/>
  <c r="P422" i="7"/>
  <c r="M423" i="7"/>
  <c r="N423" i="7" a="1"/>
  <c r="N423" i="7" s="1"/>
  <c r="O423" i="7"/>
  <c r="P423" i="7"/>
  <c r="M424" i="7"/>
  <c r="N424" i="7" a="1"/>
  <c r="N424" i="7" s="1"/>
  <c r="O424" i="7"/>
  <c r="P424" i="7"/>
  <c r="M425" i="7"/>
  <c r="N425" i="7" a="1"/>
  <c r="N425" i="7" s="1"/>
  <c r="O425" i="7"/>
  <c r="P425" i="7"/>
  <c r="M426" i="7"/>
  <c r="N426" i="7" a="1"/>
  <c r="N426" i="7" s="1"/>
  <c r="O426" i="7"/>
  <c r="P426" i="7"/>
  <c r="M427" i="7"/>
  <c r="N427" i="7" a="1"/>
  <c r="N427" i="7" s="1"/>
  <c r="O427" i="7"/>
  <c r="P427" i="7"/>
  <c r="M428" i="7"/>
  <c r="N428" i="7" a="1"/>
  <c r="N428" i="7" s="1"/>
  <c r="O428" i="7"/>
  <c r="P428" i="7"/>
  <c r="M429" i="7"/>
  <c r="N429" i="7" a="1"/>
  <c r="N429" i="7" s="1"/>
  <c r="O429" i="7"/>
  <c r="P429" i="7"/>
  <c r="M430" i="7"/>
  <c r="N430" i="7" a="1"/>
  <c r="N430" i="7" s="1"/>
  <c r="O430" i="7"/>
  <c r="P430" i="7"/>
  <c r="M431" i="7"/>
  <c r="N431" i="7" a="1"/>
  <c r="N431" i="7" s="1"/>
  <c r="O431" i="7"/>
  <c r="P431" i="7"/>
  <c r="M432" i="7"/>
  <c r="N432" i="7" a="1"/>
  <c r="N432" i="7" s="1"/>
  <c r="O432" i="7"/>
  <c r="P432" i="7"/>
  <c r="M433" i="7"/>
  <c r="N433" i="7" a="1"/>
  <c r="N433" i="7" s="1"/>
  <c r="O433" i="7"/>
  <c r="P433" i="7"/>
  <c r="M434" i="7"/>
  <c r="N434" i="7" a="1"/>
  <c r="N434" i="7" s="1"/>
  <c r="O434" i="7"/>
  <c r="P434" i="7"/>
  <c r="M435" i="7"/>
  <c r="N435" i="7" a="1"/>
  <c r="N435" i="7" s="1"/>
  <c r="O435" i="7"/>
  <c r="P435" i="7"/>
  <c r="M436" i="7"/>
  <c r="N436" i="7" a="1"/>
  <c r="N436" i="7" s="1"/>
  <c r="O436" i="7"/>
  <c r="P436" i="7"/>
  <c r="M437" i="7"/>
  <c r="N437" i="7" a="1"/>
  <c r="N437" i="7" s="1"/>
  <c r="O437" i="7"/>
  <c r="P437" i="7"/>
  <c r="M438" i="7"/>
  <c r="N438" i="7" a="1"/>
  <c r="N438" i="7" s="1"/>
  <c r="O438" i="7"/>
  <c r="P438" i="7"/>
  <c r="M439" i="7"/>
  <c r="N439" i="7" a="1"/>
  <c r="N439" i="7" s="1"/>
  <c r="O439" i="7"/>
  <c r="P439" i="7"/>
  <c r="M440" i="7"/>
  <c r="N440" i="7" a="1"/>
  <c r="N440" i="7" s="1"/>
  <c r="O440" i="7"/>
  <c r="P440" i="7"/>
  <c r="M441" i="7"/>
  <c r="N441" i="7" a="1"/>
  <c r="N441" i="7" s="1"/>
  <c r="O441" i="7"/>
  <c r="P441" i="7"/>
  <c r="M442" i="7"/>
  <c r="N442" i="7" a="1"/>
  <c r="N442" i="7" s="1"/>
  <c r="O442" i="7"/>
  <c r="P442" i="7"/>
  <c r="M443" i="7"/>
  <c r="N443" i="7" a="1"/>
  <c r="N443" i="7" s="1"/>
  <c r="O443" i="7"/>
  <c r="P443" i="7"/>
  <c r="M444" i="7"/>
  <c r="N444" i="7" a="1"/>
  <c r="N444" i="7" s="1"/>
  <c r="O444" i="7"/>
  <c r="P444" i="7"/>
  <c r="M445" i="7"/>
  <c r="N445" i="7" a="1"/>
  <c r="N445" i="7" s="1"/>
  <c r="O445" i="7"/>
  <c r="P445" i="7"/>
  <c r="M446" i="7"/>
  <c r="N446" i="7" a="1"/>
  <c r="N446" i="7" s="1"/>
  <c r="O446" i="7"/>
  <c r="P446" i="7"/>
  <c r="M447" i="7"/>
  <c r="N447" i="7" a="1"/>
  <c r="N447" i="7" s="1"/>
  <c r="O447" i="7"/>
  <c r="P447" i="7"/>
  <c r="M448" i="7"/>
  <c r="N448" i="7" a="1"/>
  <c r="N448" i="7" s="1"/>
  <c r="O448" i="7"/>
  <c r="P448" i="7"/>
  <c r="M449" i="7"/>
  <c r="N449" i="7" a="1"/>
  <c r="N449" i="7" s="1"/>
  <c r="O449" i="7"/>
  <c r="P449" i="7"/>
  <c r="M450" i="7"/>
  <c r="N450" i="7" a="1"/>
  <c r="N450" i="7" s="1"/>
  <c r="O450" i="7"/>
  <c r="P450" i="7"/>
  <c r="M451" i="7"/>
  <c r="N451" i="7" a="1"/>
  <c r="N451" i="7" s="1"/>
  <c r="O451" i="7"/>
  <c r="P451" i="7"/>
  <c r="M452" i="7"/>
  <c r="N452" i="7" a="1"/>
  <c r="N452" i="7" s="1"/>
  <c r="O452" i="7"/>
  <c r="P452" i="7"/>
  <c r="M453" i="7"/>
  <c r="N453" i="7" a="1"/>
  <c r="N453" i="7" s="1"/>
  <c r="O453" i="7"/>
  <c r="P453" i="7"/>
  <c r="M454" i="7"/>
  <c r="N454" i="7" a="1"/>
  <c r="N454" i="7" s="1"/>
  <c r="O454" i="7"/>
  <c r="P454" i="7"/>
  <c r="M455" i="7"/>
  <c r="N455" i="7" a="1"/>
  <c r="N455" i="7" s="1"/>
  <c r="O455" i="7"/>
  <c r="P455" i="7"/>
  <c r="M456" i="7"/>
  <c r="N456" i="7" a="1"/>
  <c r="N456" i="7" s="1"/>
  <c r="O456" i="7"/>
  <c r="P456" i="7"/>
  <c r="M457" i="7"/>
  <c r="N457" i="7" a="1"/>
  <c r="N457" i="7" s="1"/>
  <c r="O457" i="7"/>
  <c r="P457" i="7"/>
  <c r="M458" i="7"/>
  <c r="N458" i="7" a="1"/>
  <c r="N458" i="7" s="1"/>
  <c r="O458" i="7"/>
  <c r="P458" i="7"/>
  <c r="M459" i="7"/>
  <c r="N459" i="7" a="1"/>
  <c r="N459" i="7" s="1"/>
  <c r="O459" i="7"/>
  <c r="P459" i="7"/>
  <c r="M460" i="7"/>
  <c r="N460" i="7" a="1"/>
  <c r="N460" i="7" s="1"/>
  <c r="O460" i="7"/>
  <c r="P460" i="7"/>
  <c r="M461" i="7"/>
  <c r="N461" i="7" a="1"/>
  <c r="N461" i="7" s="1"/>
  <c r="O461" i="7"/>
  <c r="P461" i="7"/>
  <c r="M462" i="7"/>
  <c r="N462" i="7" a="1"/>
  <c r="N462" i="7" s="1"/>
  <c r="O462" i="7"/>
  <c r="P462" i="7"/>
  <c r="M463" i="7"/>
  <c r="N463" i="7" a="1"/>
  <c r="N463" i="7" s="1"/>
  <c r="O463" i="7"/>
  <c r="P463" i="7"/>
  <c r="M464" i="7"/>
  <c r="N464" i="7" a="1"/>
  <c r="N464" i="7" s="1"/>
  <c r="O464" i="7"/>
  <c r="P464" i="7"/>
  <c r="M465" i="7"/>
  <c r="N465" i="7" a="1"/>
  <c r="N465" i="7" s="1"/>
  <c r="O465" i="7"/>
  <c r="P465" i="7"/>
  <c r="M466" i="7"/>
  <c r="N466" i="7" a="1"/>
  <c r="N466" i="7" s="1"/>
  <c r="O466" i="7"/>
  <c r="P466" i="7"/>
  <c r="M467" i="7"/>
  <c r="N467" i="7" a="1"/>
  <c r="N467" i="7" s="1"/>
  <c r="O467" i="7"/>
  <c r="P467" i="7"/>
  <c r="M468" i="7"/>
  <c r="N468" i="7" a="1"/>
  <c r="N468" i="7" s="1"/>
  <c r="O468" i="7"/>
  <c r="P468" i="7"/>
  <c r="M469" i="7"/>
  <c r="N469" i="7" a="1"/>
  <c r="N469" i="7" s="1"/>
  <c r="O469" i="7"/>
  <c r="P469" i="7"/>
  <c r="M470" i="7"/>
  <c r="N470" i="7" a="1"/>
  <c r="N470" i="7" s="1"/>
  <c r="O470" i="7"/>
  <c r="P470" i="7"/>
  <c r="M471" i="7"/>
  <c r="N471" i="7" a="1"/>
  <c r="N471" i="7" s="1"/>
  <c r="O471" i="7"/>
  <c r="P471" i="7"/>
  <c r="M472" i="7"/>
  <c r="N472" i="7" a="1"/>
  <c r="N472" i="7" s="1"/>
  <c r="O472" i="7"/>
  <c r="P472" i="7"/>
  <c r="M473" i="7"/>
  <c r="N473" i="7" a="1"/>
  <c r="N473" i="7" s="1"/>
  <c r="O473" i="7"/>
  <c r="P473" i="7"/>
  <c r="M474" i="7"/>
  <c r="N474" i="7" a="1"/>
  <c r="N474" i="7" s="1"/>
  <c r="O474" i="7"/>
  <c r="P474" i="7"/>
  <c r="M475" i="7"/>
  <c r="N475" i="7" a="1"/>
  <c r="N475" i="7" s="1"/>
  <c r="O475" i="7"/>
  <c r="P475" i="7"/>
  <c r="M476" i="7"/>
  <c r="N476" i="7" a="1"/>
  <c r="N476" i="7" s="1"/>
  <c r="O476" i="7"/>
  <c r="P476" i="7"/>
  <c r="M477" i="7"/>
  <c r="N477" i="7" a="1"/>
  <c r="N477" i="7" s="1"/>
  <c r="O477" i="7"/>
  <c r="P477" i="7"/>
  <c r="M478" i="7"/>
  <c r="N478" i="7" a="1"/>
  <c r="N478" i="7" s="1"/>
  <c r="O478" i="7"/>
  <c r="P478" i="7"/>
  <c r="M479" i="7"/>
  <c r="N479" i="7" a="1"/>
  <c r="N479" i="7" s="1"/>
  <c r="O479" i="7"/>
  <c r="P479" i="7"/>
  <c r="M480" i="7"/>
  <c r="N480" i="7" a="1"/>
  <c r="N480" i="7" s="1"/>
  <c r="O480" i="7"/>
  <c r="P480" i="7"/>
  <c r="M481" i="7"/>
  <c r="N481" i="7" a="1"/>
  <c r="N481" i="7" s="1"/>
  <c r="O481" i="7"/>
  <c r="P481" i="7"/>
  <c r="M482" i="7"/>
  <c r="N482" i="7" a="1"/>
  <c r="N482" i="7" s="1"/>
  <c r="O482" i="7"/>
  <c r="P482" i="7"/>
  <c r="M483" i="7"/>
  <c r="N483" i="7" a="1"/>
  <c r="N483" i="7" s="1"/>
  <c r="O483" i="7"/>
  <c r="P483" i="7"/>
  <c r="M484" i="7"/>
  <c r="N484" i="7" a="1"/>
  <c r="N484" i="7" s="1"/>
  <c r="O484" i="7"/>
  <c r="P484" i="7"/>
  <c r="M485" i="7"/>
  <c r="N485" i="7" a="1"/>
  <c r="N485" i="7" s="1"/>
  <c r="O485" i="7"/>
  <c r="P485" i="7"/>
  <c r="M486" i="7"/>
  <c r="N486" i="7" a="1"/>
  <c r="N486" i="7" s="1"/>
  <c r="O486" i="7"/>
  <c r="P486" i="7"/>
  <c r="M487" i="7"/>
  <c r="N487" i="7" a="1"/>
  <c r="N487" i="7" s="1"/>
  <c r="O487" i="7"/>
  <c r="P487" i="7"/>
  <c r="M488" i="7"/>
  <c r="N488" i="7" a="1"/>
  <c r="N488" i="7" s="1"/>
  <c r="O488" i="7"/>
  <c r="P488" i="7"/>
  <c r="M489" i="7"/>
  <c r="N489" i="7" a="1"/>
  <c r="N489" i="7" s="1"/>
  <c r="O489" i="7"/>
  <c r="P489" i="7"/>
  <c r="M490" i="7"/>
  <c r="N490" i="7" a="1"/>
  <c r="N490" i="7" s="1"/>
  <c r="O490" i="7"/>
  <c r="P490" i="7"/>
  <c r="M491" i="7"/>
  <c r="N491" i="7" a="1"/>
  <c r="N491" i="7" s="1"/>
  <c r="O491" i="7"/>
  <c r="P491" i="7"/>
  <c r="M492" i="7"/>
  <c r="N492" i="7" a="1"/>
  <c r="N492" i="7" s="1"/>
  <c r="O492" i="7"/>
  <c r="P492" i="7"/>
  <c r="M493" i="7"/>
  <c r="N493" i="7" a="1"/>
  <c r="N493" i="7" s="1"/>
  <c r="O493" i="7"/>
  <c r="P493" i="7"/>
  <c r="M494" i="7"/>
  <c r="N494" i="7" a="1"/>
  <c r="N494" i="7" s="1"/>
  <c r="O494" i="7"/>
  <c r="P494" i="7"/>
  <c r="M495" i="7"/>
  <c r="N495" i="7" a="1"/>
  <c r="N495" i="7" s="1"/>
  <c r="O495" i="7"/>
  <c r="P495" i="7"/>
  <c r="M496" i="7"/>
  <c r="N496" i="7" a="1"/>
  <c r="N496" i="7" s="1"/>
  <c r="O496" i="7"/>
  <c r="P496" i="7"/>
  <c r="M497" i="7"/>
  <c r="N497" i="7" a="1"/>
  <c r="N497" i="7" s="1"/>
  <c r="O497" i="7"/>
  <c r="P497" i="7"/>
  <c r="M498" i="7"/>
  <c r="N498" i="7" a="1"/>
  <c r="N498" i="7" s="1"/>
  <c r="O498" i="7"/>
  <c r="P498" i="7"/>
  <c r="M499" i="7"/>
  <c r="N499" i="7" a="1"/>
  <c r="N499" i="7" s="1"/>
  <c r="O499" i="7"/>
  <c r="P499" i="7"/>
  <c r="M500" i="7"/>
  <c r="N500" i="7" a="1"/>
  <c r="N500" i="7" s="1"/>
  <c r="O500" i="7"/>
  <c r="P500" i="7"/>
  <c r="M501" i="7"/>
  <c r="N501" i="7" a="1"/>
  <c r="N501" i="7" s="1"/>
  <c r="O501" i="7"/>
  <c r="P501" i="7"/>
  <c r="M502" i="7"/>
  <c r="N502" i="7" a="1"/>
  <c r="N502" i="7" s="1"/>
  <c r="O502" i="7"/>
  <c r="P502" i="7"/>
  <c r="M503" i="7"/>
  <c r="N503" i="7" a="1"/>
  <c r="N503" i="7" s="1"/>
  <c r="O503" i="7"/>
  <c r="P503" i="7"/>
  <c r="M504" i="7"/>
  <c r="N504" i="7" a="1"/>
  <c r="N504" i="7" s="1"/>
  <c r="O504" i="7"/>
  <c r="P504" i="7"/>
  <c r="M505" i="7"/>
  <c r="N505" i="7" a="1"/>
  <c r="N505" i="7" s="1"/>
  <c r="O505" i="7"/>
  <c r="P505" i="7"/>
  <c r="M506" i="7"/>
  <c r="N506" i="7" a="1"/>
  <c r="N506" i="7" s="1"/>
  <c r="O506" i="7"/>
  <c r="P506" i="7"/>
  <c r="M507" i="7"/>
  <c r="N507" i="7" a="1"/>
  <c r="N507" i="7" s="1"/>
  <c r="O507" i="7"/>
  <c r="P507" i="7"/>
  <c r="M508" i="7"/>
  <c r="N508" i="7" a="1"/>
  <c r="N508" i="7" s="1"/>
  <c r="O508" i="7"/>
  <c r="P508" i="7"/>
  <c r="M509" i="7"/>
  <c r="N509" i="7" a="1"/>
  <c r="N509" i="7" s="1"/>
  <c r="O509" i="7"/>
  <c r="P509" i="7"/>
  <c r="M510" i="7"/>
  <c r="N510" i="7" a="1"/>
  <c r="N510" i="7" s="1"/>
  <c r="O510" i="7"/>
  <c r="P510" i="7"/>
  <c r="M511" i="7"/>
  <c r="N511" i="7" a="1"/>
  <c r="N511" i="7" s="1"/>
  <c r="O511" i="7"/>
  <c r="P511" i="7"/>
  <c r="M512" i="7"/>
  <c r="N512" i="7" a="1"/>
  <c r="N512" i="7" s="1"/>
  <c r="O512" i="7"/>
  <c r="P512" i="7"/>
  <c r="M513" i="7"/>
  <c r="N513" i="7" a="1"/>
  <c r="N513" i="7" s="1"/>
  <c r="O513" i="7"/>
  <c r="P513" i="7"/>
  <c r="M514" i="7"/>
  <c r="N514" i="7" a="1"/>
  <c r="N514" i="7" s="1"/>
  <c r="O514" i="7"/>
  <c r="P514" i="7"/>
  <c r="M515" i="7"/>
  <c r="N515" i="7" a="1"/>
  <c r="N515" i="7" s="1"/>
  <c r="O515" i="7"/>
  <c r="P515" i="7"/>
  <c r="M516" i="7"/>
  <c r="N516" i="7" a="1"/>
  <c r="N516" i="7" s="1"/>
  <c r="O516" i="7"/>
  <c r="P516" i="7"/>
  <c r="M517" i="7"/>
  <c r="N517" i="7" a="1"/>
  <c r="N517" i="7" s="1"/>
  <c r="O517" i="7"/>
  <c r="P517" i="7"/>
  <c r="M518" i="7"/>
  <c r="N518" i="7" a="1"/>
  <c r="N518" i="7" s="1"/>
  <c r="O518" i="7"/>
  <c r="P518" i="7"/>
  <c r="M519" i="7"/>
  <c r="N519" i="7" a="1"/>
  <c r="N519" i="7" s="1"/>
  <c r="O519" i="7"/>
  <c r="P519" i="7"/>
  <c r="M520" i="7"/>
  <c r="N520" i="7" a="1"/>
  <c r="N520" i="7" s="1"/>
  <c r="O520" i="7"/>
  <c r="P520" i="7"/>
  <c r="M521" i="7"/>
  <c r="N521" i="7" a="1"/>
  <c r="N521" i="7" s="1"/>
  <c r="O521" i="7"/>
  <c r="P521" i="7"/>
  <c r="M522" i="7"/>
  <c r="N522" i="7" a="1"/>
  <c r="N522" i="7" s="1"/>
  <c r="O522" i="7"/>
  <c r="P522" i="7"/>
  <c r="M523" i="7"/>
  <c r="N523" i="7" a="1"/>
  <c r="N523" i="7" s="1"/>
  <c r="O523" i="7"/>
  <c r="P523" i="7"/>
  <c r="M524" i="7"/>
  <c r="N524" i="7" a="1"/>
  <c r="N524" i="7" s="1"/>
  <c r="O524" i="7"/>
  <c r="P524" i="7"/>
  <c r="M525" i="7"/>
  <c r="N525" i="7" a="1"/>
  <c r="N525" i="7" s="1"/>
  <c r="O525" i="7"/>
  <c r="P525" i="7"/>
  <c r="M526" i="7"/>
  <c r="N526" i="7" a="1"/>
  <c r="N526" i="7" s="1"/>
  <c r="O526" i="7"/>
  <c r="P526" i="7"/>
  <c r="M527" i="7"/>
  <c r="N527" i="7" a="1"/>
  <c r="N527" i="7" s="1"/>
  <c r="O527" i="7"/>
  <c r="P527" i="7"/>
  <c r="M528" i="7"/>
  <c r="N528" i="7" a="1"/>
  <c r="N528" i="7" s="1"/>
  <c r="O528" i="7"/>
  <c r="P528" i="7"/>
  <c r="M529" i="7"/>
  <c r="N529" i="7" a="1"/>
  <c r="N529" i="7" s="1"/>
  <c r="O529" i="7"/>
  <c r="P529" i="7"/>
  <c r="M530" i="7"/>
  <c r="N530" i="7" a="1"/>
  <c r="N530" i="7" s="1"/>
  <c r="O530" i="7"/>
  <c r="P530" i="7"/>
  <c r="M531" i="7"/>
  <c r="N531" i="7" a="1"/>
  <c r="N531" i="7" s="1"/>
  <c r="O531" i="7"/>
  <c r="P531" i="7"/>
  <c r="M532" i="7"/>
  <c r="N532" i="7" a="1"/>
  <c r="N532" i="7"/>
  <c r="O532" i="7"/>
  <c r="P532" i="7"/>
  <c r="M533" i="7"/>
  <c r="N533" i="7" a="1"/>
  <c r="N533" i="7"/>
  <c r="O533" i="7"/>
  <c r="P533" i="7"/>
  <c r="M534" i="7"/>
  <c r="N534" i="7" a="1"/>
  <c r="N534" i="7"/>
  <c r="O534" i="7"/>
  <c r="P534" i="7"/>
  <c r="M535" i="7"/>
  <c r="N535" i="7" a="1"/>
  <c r="N535" i="7"/>
  <c r="O535" i="7"/>
  <c r="P535" i="7"/>
  <c r="M536" i="7"/>
  <c r="N536" i="7" a="1"/>
  <c r="N536" i="7"/>
  <c r="O536" i="7"/>
  <c r="P536" i="7"/>
  <c r="M537" i="7"/>
  <c r="N537" i="7" a="1"/>
  <c r="N537" i="7"/>
  <c r="O537" i="7"/>
  <c r="P537" i="7"/>
  <c r="M538" i="7"/>
  <c r="N538" i="7" a="1"/>
  <c r="N538" i="7"/>
  <c r="O538" i="7"/>
  <c r="P538" i="7"/>
  <c r="M539" i="7"/>
  <c r="N539" i="7" a="1"/>
  <c r="N539" i="7"/>
  <c r="O539" i="7"/>
  <c r="P539" i="7"/>
  <c r="M540" i="7"/>
  <c r="N540" i="7" a="1"/>
  <c r="N540" i="7"/>
  <c r="O540" i="7"/>
  <c r="P540" i="7"/>
  <c r="M541" i="7"/>
  <c r="N541" i="7" a="1"/>
  <c r="N541" i="7"/>
  <c r="O541" i="7"/>
  <c r="P541" i="7"/>
  <c r="M542" i="7"/>
  <c r="N542" i="7" a="1"/>
  <c r="N542" i="7"/>
  <c r="O542" i="7"/>
  <c r="P542" i="7"/>
  <c r="M543" i="7"/>
  <c r="N543" i="7" a="1"/>
  <c r="N543" i="7"/>
  <c r="O543" i="7"/>
  <c r="P543" i="7"/>
  <c r="M544" i="7"/>
  <c r="N544" i="7" a="1"/>
  <c r="N544" i="7"/>
  <c r="O544" i="7"/>
  <c r="P544" i="7"/>
  <c r="M545" i="7"/>
  <c r="N545" i="7" a="1"/>
  <c r="N545" i="7"/>
  <c r="O545" i="7"/>
  <c r="P545" i="7"/>
  <c r="M546" i="7"/>
  <c r="N546" i="7" a="1"/>
  <c r="N546" i="7"/>
  <c r="O546" i="7"/>
  <c r="P546" i="7"/>
  <c r="M547" i="7"/>
  <c r="N547" i="7" a="1"/>
  <c r="N547" i="7"/>
  <c r="O547" i="7"/>
  <c r="P547" i="7"/>
  <c r="M548" i="7"/>
  <c r="N548" i="7" a="1"/>
  <c r="N548" i="7"/>
  <c r="O548" i="7"/>
  <c r="P548" i="7"/>
  <c r="M549" i="7"/>
  <c r="N549" i="7" a="1"/>
  <c r="N549" i="7"/>
  <c r="O549" i="7"/>
  <c r="P549" i="7"/>
  <c r="M550" i="7"/>
  <c r="N550" i="7" a="1"/>
  <c r="N550" i="7"/>
  <c r="O550" i="7"/>
  <c r="P550" i="7"/>
  <c r="M551" i="7"/>
  <c r="N551" i="7" a="1"/>
  <c r="N551" i="7"/>
  <c r="O551" i="7"/>
  <c r="P551" i="7"/>
  <c r="M552" i="7"/>
  <c r="N552" i="7" a="1"/>
  <c r="N552" i="7"/>
  <c r="O552" i="7"/>
  <c r="P552" i="7"/>
  <c r="M553" i="7"/>
  <c r="N553" i="7" a="1"/>
  <c r="N553" i="7"/>
  <c r="O553" i="7"/>
  <c r="P553" i="7"/>
  <c r="M554" i="7"/>
  <c r="N554" i="7" a="1"/>
  <c r="N554" i="7"/>
  <c r="O554" i="7"/>
  <c r="P554" i="7"/>
  <c r="M555" i="7"/>
  <c r="N555" i="7" a="1"/>
  <c r="N555" i="7"/>
  <c r="O555" i="7"/>
  <c r="P555" i="7"/>
  <c r="M556" i="7"/>
  <c r="N556" i="7" a="1"/>
  <c r="N556" i="7"/>
  <c r="O556" i="7"/>
  <c r="P556" i="7"/>
  <c r="M557" i="7"/>
  <c r="N557" i="7" a="1"/>
  <c r="N557" i="7"/>
  <c r="O557" i="7"/>
  <c r="P557" i="7"/>
  <c r="M558" i="7"/>
  <c r="N558" i="7" a="1"/>
  <c r="N558" i="7"/>
  <c r="O558" i="7"/>
  <c r="P558" i="7"/>
  <c r="M559" i="7"/>
  <c r="N559" i="7" a="1"/>
  <c r="N559" i="7"/>
  <c r="O559" i="7"/>
  <c r="P559" i="7"/>
  <c r="M560" i="7"/>
  <c r="N560" i="7" a="1"/>
  <c r="N560" i="7"/>
  <c r="O560" i="7"/>
  <c r="P560" i="7"/>
  <c r="M561" i="7"/>
  <c r="N561" i="7" a="1"/>
  <c r="N561" i="7"/>
  <c r="O561" i="7"/>
  <c r="P561" i="7"/>
  <c r="M562" i="7"/>
  <c r="N562" i="7" a="1"/>
  <c r="N562" i="7"/>
  <c r="O562" i="7"/>
  <c r="P562" i="7"/>
  <c r="M563" i="7"/>
  <c r="N563" i="7" a="1"/>
  <c r="N563" i="7"/>
  <c r="O563" i="7"/>
  <c r="P563" i="7"/>
  <c r="M564" i="7"/>
  <c r="N564" i="7" a="1"/>
  <c r="N564" i="7"/>
  <c r="O564" i="7"/>
  <c r="P564" i="7"/>
  <c r="M565" i="7"/>
  <c r="N565" i="7" a="1"/>
  <c r="N565" i="7"/>
  <c r="O565" i="7"/>
  <c r="P565" i="7"/>
  <c r="M566" i="7"/>
  <c r="N566" i="7" a="1"/>
  <c r="N566" i="7"/>
  <c r="O566" i="7"/>
  <c r="P566" i="7"/>
  <c r="M567" i="7"/>
  <c r="N567" i="7" a="1"/>
  <c r="N567" i="7"/>
  <c r="O567" i="7"/>
  <c r="P567" i="7"/>
  <c r="M568" i="7"/>
  <c r="N568" i="7" a="1"/>
  <c r="N568" i="7"/>
  <c r="O568" i="7"/>
  <c r="P568" i="7"/>
  <c r="M569" i="7"/>
  <c r="N569" i="7" a="1"/>
  <c r="N569" i="7"/>
  <c r="O569" i="7"/>
  <c r="P569" i="7"/>
  <c r="M570" i="7"/>
  <c r="N570" i="7" a="1"/>
  <c r="N570" i="7"/>
  <c r="O570" i="7"/>
  <c r="P570" i="7"/>
  <c r="M571" i="7"/>
  <c r="N571" i="7" a="1"/>
  <c r="N571" i="7"/>
  <c r="O571" i="7"/>
  <c r="P571" i="7"/>
  <c r="M572" i="7"/>
  <c r="N572" i="7" a="1"/>
  <c r="N572" i="7"/>
  <c r="O572" i="7"/>
  <c r="P572" i="7"/>
  <c r="M573" i="7"/>
  <c r="N573" i="7" a="1"/>
  <c r="N573" i="7"/>
  <c r="O573" i="7"/>
  <c r="P573" i="7"/>
  <c r="M574" i="7"/>
  <c r="N574" i="7" a="1"/>
  <c r="N574" i="7"/>
  <c r="O574" i="7"/>
  <c r="P574" i="7"/>
  <c r="M575" i="7"/>
  <c r="N575" i="7" a="1"/>
  <c r="N575" i="7"/>
  <c r="O575" i="7"/>
  <c r="P575" i="7"/>
  <c r="M576" i="7"/>
  <c r="N576" i="7" a="1"/>
  <c r="N576" i="7"/>
  <c r="O576" i="7"/>
  <c r="P576" i="7"/>
  <c r="M577" i="7"/>
  <c r="N577" i="7" a="1"/>
  <c r="N577" i="7"/>
  <c r="O577" i="7"/>
  <c r="P577" i="7"/>
  <c r="M578" i="7"/>
  <c r="N578" i="7" a="1"/>
  <c r="N578" i="7"/>
  <c r="O578" i="7"/>
  <c r="P578" i="7"/>
  <c r="M579" i="7"/>
  <c r="N579" i="7" a="1"/>
  <c r="N579" i="7"/>
  <c r="O579" i="7"/>
  <c r="P579" i="7"/>
  <c r="M580" i="7"/>
  <c r="N580" i="7" a="1"/>
  <c r="N580" i="7"/>
  <c r="O580" i="7"/>
  <c r="P580" i="7"/>
  <c r="M581" i="7"/>
  <c r="N581" i="7" a="1"/>
  <c r="N581" i="7"/>
  <c r="O581" i="7"/>
  <c r="P581" i="7"/>
  <c r="M582" i="7"/>
  <c r="N582" i="7" a="1"/>
  <c r="N582" i="7"/>
  <c r="O582" i="7"/>
  <c r="P582" i="7"/>
  <c r="M583" i="7"/>
  <c r="N583" i="7" a="1"/>
  <c r="N583" i="7"/>
  <c r="O583" i="7"/>
  <c r="P583" i="7"/>
  <c r="M584" i="7"/>
  <c r="N584" i="7" a="1"/>
  <c r="N584" i="7"/>
  <c r="O584" i="7"/>
  <c r="P584" i="7"/>
  <c r="M585" i="7"/>
  <c r="N585" i="7" a="1"/>
  <c r="N585" i="7"/>
  <c r="O585" i="7"/>
  <c r="P585" i="7"/>
  <c r="M586" i="7"/>
  <c r="N586" i="7" a="1"/>
  <c r="N586" i="7"/>
  <c r="O586" i="7"/>
  <c r="P586" i="7"/>
  <c r="M587" i="7"/>
  <c r="N587" i="7" a="1"/>
  <c r="N587" i="7"/>
  <c r="O587" i="7"/>
  <c r="P587" i="7"/>
  <c r="M588" i="7"/>
  <c r="N588" i="7" a="1"/>
  <c r="N588" i="7" s="1"/>
  <c r="O588" i="7"/>
  <c r="P588" i="7"/>
  <c r="M589" i="7"/>
  <c r="N589" i="7" a="1"/>
  <c r="N589" i="7" s="1"/>
  <c r="O589" i="7"/>
  <c r="P589" i="7"/>
  <c r="M590" i="7"/>
  <c r="N590" i="7" a="1"/>
  <c r="N590" i="7" s="1"/>
  <c r="O590" i="7"/>
  <c r="P590" i="7"/>
  <c r="M591" i="7"/>
  <c r="N591" i="7" a="1"/>
  <c r="N591" i="7" s="1"/>
  <c r="O591" i="7"/>
  <c r="P591" i="7"/>
  <c r="M592" i="7"/>
  <c r="N592" i="7" a="1"/>
  <c r="N592" i="7" s="1"/>
  <c r="O592" i="7"/>
  <c r="P592" i="7"/>
  <c r="M593" i="7"/>
  <c r="N593" i="7" a="1"/>
  <c r="N593" i="7" s="1"/>
  <c r="O593" i="7"/>
  <c r="P593" i="7"/>
  <c r="M594" i="7"/>
  <c r="N594" i="7" a="1"/>
  <c r="N594" i="7" s="1"/>
  <c r="O594" i="7"/>
  <c r="P594" i="7"/>
  <c r="M595" i="7"/>
  <c r="N595" i="7" a="1"/>
  <c r="N595" i="7" s="1"/>
  <c r="O595" i="7"/>
  <c r="P595" i="7"/>
  <c r="M596" i="7"/>
  <c r="N596" i="7" a="1"/>
  <c r="N596" i="7" s="1"/>
  <c r="O596" i="7"/>
  <c r="P596" i="7"/>
  <c r="M597" i="7"/>
  <c r="N597" i="7" a="1"/>
  <c r="N597" i="7" s="1"/>
  <c r="O597" i="7"/>
  <c r="P597" i="7"/>
  <c r="M598" i="7"/>
  <c r="N598" i="7" a="1"/>
  <c r="N598" i="7" s="1"/>
  <c r="O598" i="7"/>
  <c r="P598" i="7"/>
  <c r="M599" i="7"/>
  <c r="N599" i="7" a="1"/>
  <c r="N599" i="7" s="1"/>
  <c r="O599" i="7"/>
  <c r="P599" i="7"/>
  <c r="M600" i="7"/>
  <c r="N600" i="7" a="1"/>
  <c r="N600" i="7" s="1"/>
  <c r="O600" i="7"/>
  <c r="P600" i="7"/>
  <c r="M601" i="7"/>
  <c r="N601" i="7" a="1"/>
  <c r="N601" i="7" s="1"/>
  <c r="O601" i="7"/>
  <c r="P601" i="7"/>
  <c r="M602" i="7"/>
  <c r="N602" i="7" a="1"/>
  <c r="N602" i="7" s="1"/>
  <c r="O602" i="7"/>
  <c r="P602" i="7"/>
  <c r="M603" i="7"/>
  <c r="N603" i="7" a="1"/>
  <c r="N603" i="7" s="1"/>
  <c r="O603" i="7"/>
  <c r="P603" i="7"/>
  <c r="M604" i="7"/>
  <c r="N604" i="7" a="1"/>
  <c r="N604" i="7" s="1"/>
  <c r="O604" i="7"/>
  <c r="P604" i="7"/>
  <c r="M605" i="7"/>
  <c r="N605" i="7" a="1"/>
  <c r="N605" i="7" s="1"/>
  <c r="O605" i="7"/>
  <c r="P605" i="7"/>
  <c r="M606" i="7"/>
  <c r="N606" i="7" a="1"/>
  <c r="N606" i="7" s="1"/>
  <c r="O606" i="7"/>
  <c r="P606" i="7"/>
  <c r="M607" i="7"/>
  <c r="N607" i="7" a="1"/>
  <c r="N607" i="7" s="1"/>
  <c r="O607" i="7"/>
  <c r="P607" i="7"/>
  <c r="M608" i="7"/>
  <c r="N608" i="7" a="1"/>
  <c r="N608" i="7" s="1"/>
  <c r="O608" i="7"/>
  <c r="P608" i="7"/>
  <c r="M609" i="7"/>
  <c r="N609" i="7" a="1"/>
  <c r="N609" i="7" s="1"/>
  <c r="O609" i="7"/>
  <c r="P609" i="7"/>
  <c r="M610" i="7"/>
  <c r="N610" i="7" a="1"/>
  <c r="N610" i="7" s="1"/>
  <c r="O610" i="7"/>
  <c r="P610" i="7"/>
  <c r="M611" i="7"/>
  <c r="N611" i="7" a="1"/>
  <c r="N611" i="7" s="1"/>
  <c r="O611" i="7"/>
  <c r="P611" i="7"/>
  <c r="M612" i="7"/>
  <c r="N612" i="7" a="1"/>
  <c r="N612" i="7" s="1"/>
  <c r="O612" i="7"/>
  <c r="P612" i="7"/>
  <c r="M613" i="7"/>
  <c r="N613" i="7" a="1"/>
  <c r="N613" i="7" s="1"/>
  <c r="O613" i="7"/>
  <c r="P613" i="7"/>
  <c r="M614" i="7"/>
  <c r="N614" i="7" a="1"/>
  <c r="N614" i="7" s="1"/>
  <c r="O614" i="7"/>
  <c r="P614" i="7"/>
  <c r="M615" i="7"/>
  <c r="N615" i="7" a="1"/>
  <c r="N615" i="7" s="1"/>
  <c r="O615" i="7"/>
  <c r="P615" i="7"/>
  <c r="M616" i="7"/>
  <c r="N616" i="7" a="1"/>
  <c r="N616" i="7" s="1"/>
  <c r="O616" i="7"/>
  <c r="P616" i="7"/>
  <c r="M617" i="7"/>
  <c r="N617" i="7" a="1"/>
  <c r="N617" i="7" s="1"/>
  <c r="O617" i="7"/>
  <c r="P617" i="7"/>
  <c r="M618" i="7"/>
  <c r="N618" i="7" a="1"/>
  <c r="N618" i="7" s="1"/>
  <c r="O618" i="7"/>
  <c r="P618" i="7"/>
  <c r="M619" i="7"/>
  <c r="N619" i="7" a="1"/>
  <c r="N619" i="7" s="1"/>
  <c r="O619" i="7"/>
  <c r="P619" i="7"/>
  <c r="M620" i="7"/>
  <c r="N620" i="7" a="1"/>
  <c r="N620" i="7" s="1"/>
  <c r="O620" i="7"/>
  <c r="P620" i="7"/>
  <c r="M621" i="7"/>
  <c r="N621" i="7" a="1"/>
  <c r="N621" i="7" s="1"/>
  <c r="O621" i="7"/>
  <c r="P621" i="7"/>
  <c r="M622" i="7"/>
  <c r="N622" i="7" a="1"/>
  <c r="N622" i="7" s="1"/>
  <c r="O622" i="7"/>
  <c r="P622" i="7"/>
  <c r="M623" i="7"/>
  <c r="N623" i="7" a="1"/>
  <c r="N623" i="7" s="1"/>
  <c r="O623" i="7"/>
  <c r="P623" i="7"/>
  <c r="M624" i="7"/>
  <c r="N624" i="7" a="1"/>
  <c r="N624" i="7" s="1"/>
  <c r="O624" i="7"/>
  <c r="P624" i="7"/>
  <c r="M625" i="7"/>
  <c r="N625" i="7" a="1"/>
  <c r="N625" i="7" s="1"/>
  <c r="O625" i="7"/>
  <c r="P625" i="7"/>
  <c r="M626" i="7"/>
  <c r="N626" i="7" a="1"/>
  <c r="N626" i="7" s="1"/>
  <c r="O626" i="7"/>
  <c r="P626" i="7"/>
  <c r="M627" i="7"/>
  <c r="N627" i="7" a="1"/>
  <c r="N627" i="7" s="1"/>
  <c r="O627" i="7"/>
  <c r="P627" i="7"/>
  <c r="M628" i="7"/>
  <c r="N628" i="7" a="1"/>
  <c r="N628" i="7" s="1"/>
  <c r="O628" i="7"/>
  <c r="P628" i="7"/>
  <c r="M629" i="7"/>
  <c r="N629" i="7" a="1"/>
  <c r="N629" i="7" s="1"/>
  <c r="O629" i="7"/>
  <c r="P629" i="7"/>
  <c r="M630" i="7"/>
  <c r="N630" i="7" a="1"/>
  <c r="N630" i="7" s="1"/>
  <c r="O630" i="7"/>
  <c r="P630" i="7"/>
  <c r="M631" i="7"/>
  <c r="N631" i="7" a="1"/>
  <c r="N631" i="7" s="1"/>
  <c r="O631" i="7"/>
  <c r="P631" i="7"/>
  <c r="M632" i="7"/>
  <c r="N632" i="7" a="1"/>
  <c r="N632" i="7" s="1"/>
  <c r="O632" i="7"/>
  <c r="P632" i="7"/>
  <c r="M633" i="7"/>
  <c r="N633" i="7" a="1"/>
  <c r="N633" i="7" s="1"/>
  <c r="O633" i="7"/>
  <c r="P633" i="7"/>
  <c r="M634" i="7"/>
  <c r="N634" i="7" a="1"/>
  <c r="N634" i="7" s="1"/>
  <c r="O634" i="7"/>
  <c r="P634" i="7"/>
  <c r="M635" i="7"/>
  <c r="N635" i="7" a="1"/>
  <c r="N635" i="7" s="1"/>
  <c r="O635" i="7"/>
  <c r="P635" i="7"/>
  <c r="M636" i="7"/>
  <c r="N636" i="7" a="1"/>
  <c r="N636" i="7" s="1"/>
  <c r="O636" i="7"/>
  <c r="P636" i="7"/>
  <c r="M637" i="7"/>
  <c r="N637" i="7" a="1"/>
  <c r="N637" i="7" s="1"/>
  <c r="O637" i="7"/>
  <c r="P637" i="7"/>
  <c r="M638" i="7"/>
  <c r="N638" i="7" a="1"/>
  <c r="N638" i="7" s="1"/>
  <c r="O638" i="7"/>
  <c r="P638" i="7"/>
  <c r="M639" i="7"/>
  <c r="N639" i="7" a="1"/>
  <c r="N639" i="7" s="1"/>
  <c r="O639" i="7"/>
  <c r="P639" i="7"/>
  <c r="M640" i="7"/>
  <c r="N640" i="7" a="1"/>
  <c r="N640" i="7" s="1"/>
  <c r="O640" i="7"/>
  <c r="P640" i="7"/>
  <c r="M641" i="7"/>
  <c r="N641" i="7" a="1"/>
  <c r="N641" i="7" s="1"/>
  <c r="O641" i="7"/>
  <c r="P641" i="7"/>
  <c r="M642" i="7"/>
  <c r="N642" i="7" a="1"/>
  <c r="N642" i="7" s="1"/>
  <c r="O642" i="7"/>
  <c r="P642" i="7"/>
  <c r="M643" i="7"/>
  <c r="N643" i="7" a="1"/>
  <c r="N643" i="7" s="1"/>
  <c r="O643" i="7"/>
  <c r="P643" i="7"/>
  <c r="M644" i="7"/>
  <c r="N644" i="7" a="1"/>
  <c r="N644" i="7" s="1"/>
  <c r="O644" i="7"/>
  <c r="P644" i="7"/>
  <c r="M645" i="7"/>
  <c r="N645" i="7" a="1"/>
  <c r="N645" i="7" s="1"/>
  <c r="O645" i="7"/>
  <c r="P645" i="7"/>
  <c r="M646" i="7"/>
  <c r="N646" i="7" a="1"/>
  <c r="N646" i="7" s="1"/>
  <c r="O646" i="7"/>
  <c r="P646" i="7"/>
  <c r="M647" i="7"/>
  <c r="N647" i="7" a="1"/>
  <c r="N647" i="7" s="1"/>
  <c r="O647" i="7"/>
  <c r="P647" i="7"/>
  <c r="M648" i="7"/>
  <c r="N648" i="7" a="1"/>
  <c r="N648" i="7" s="1"/>
  <c r="O648" i="7"/>
  <c r="P648" i="7"/>
  <c r="M649" i="7"/>
  <c r="N649" i="7" a="1"/>
  <c r="N649" i="7" s="1"/>
  <c r="O649" i="7"/>
  <c r="P649" i="7"/>
  <c r="M650" i="7"/>
  <c r="N650" i="7" a="1"/>
  <c r="N650" i="7" s="1"/>
  <c r="O650" i="7"/>
  <c r="P650" i="7"/>
  <c r="M651" i="7"/>
  <c r="N651" i="7" a="1"/>
  <c r="N651" i="7" s="1"/>
  <c r="O651" i="7"/>
  <c r="P651" i="7"/>
  <c r="M652" i="7"/>
  <c r="N652" i="7" a="1"/>
  <c r="N652" i="7" s="1"/>
  <c r="O652" i="7"/>
  <c r="P652" i="7"/>
  <c r="M653" i="7"/>
  <c r="N653" i="7" a="1"/>
  <c r="N653" i="7" s="1"/>
  <c r="O653" i="7"/>
  <c r="P653" i="7"/>
  <c r="M654" i="7"/>
  <c r="N654" i="7" a="1"/>
  <c r="N654" i="7" s="1"/>
  <c r="O654" i="7"/>
  <c r="P654" i="7"/>
  <c r="M655" i="7"/>
  <c r="N655" i="7" a="1"/>
  <c r="N655" i="7" s="1"/>
  <c r="O655" i="7"/>
  <c r="P655" i="7"/>
  <c r="M656" i="7"/>
  <c r="N656" i="7" a="1"/>
  <c r="N656" i="7" s="1"/>
  <c r="O656" i="7"/>
  <c r="P656" i="7"/>
  <c r="M657" i="7"/>
  <c r="N657" i="7" a="1"/>
  <c r="N657" i="7" s="1"/>
  <c r="O657" i="7"/>
  <c r="P657" i="7"/>
  <c r="M658" i="7"/>
  <c r="N658" i="7" a="1"/>
  <c r="N658" i="7" s="1"/>
  <c r="O658" i="7"/>
  <c r="P658" i="7"/>
  <c r="M659" i="7"/>
  <c r="N659" i="7" a="1"/>
  <c r="N659" i="7" s="1"/>
  <c r="O659" i="7"/>
  <c r="P659" i="7"/>
  <c r="M660" i="7"/>
  <c r="N660" i="7" a="1"/>
  <c r="N660" i="7" s="1"/>
  <c r="O660" i="7"/>
  <c r="P660" i="7"/>
  <c r="M661" i="7"/>
  <c r="N661" i="7" a="1"/>
  <c r="N661" i="7" s="1"/>
  <c r="O661" i="7"/>
  <c r="P661" i="7"/>
  <c r="M662" i="7"/>
  <c r="N662" i="7" a="1"/>
  <c r="N662" i="7" s="1"/>
  <c r="O662" i="7"/>
  <c r="P662" i="7"/>
  <c r="M663" i="7"/>
  <c r="N663" i="7" a="1"/>
  <c r="N663" i="7" s="1"/>
  <c r="O663" i="7"/>
  <c r="P663" i="7"/>
  <c r="M664" i="7"/>
  <c r="N664" i="7" a="1"/>
  <c r="N664" i="7" s="1"/>
  <c r="O664" i="7"/>
  <c r="P664" i="7"/>
  <c r="M665" i="7"/>
  <c r="N665" i="7" a="1"/>
  <c r="N665" i="7" s="1"/>
  <c r="O665" i="7"/>
  <c r="P665" i="7"/>
  <c r="M666" i="7"/>
  <c r="N666" i="7" a="1"/>
  <c r="N666" i="7" s="1"/>
  <c r="O666" i="7"/>
  <c r="P666" i="7"/>
  <c r="M667" i="7"/>
  <c r="N667" i="7" a="1"/>
  <c r="N667" i="7" s="1"/>
  <c r="O667" i="7"/>
  <c r="P667" i="7"/>
  <c r="M668" i="7"/>
  <c r="N668" i="7" a="1"/>
  <c r="N668" i="7" s="1"/>
  <c r="O668" i="7"/>
  <c r="P668" i="7"/>
  <c r="M669" i="7"/>
  <c r="N669" i="7" a="1"/>
  <c r="N669" i="7" s="1"/>
  <c r="O669" i="7"/>
  <c r="P669" i="7"/>
  <c r="M670" i="7"/>
  <c r="N670" i="7" a="1"/>
  <c r="N670" i="7" s="1"/>
  <c r="O670" i="7"/>
  <c r="P670" i="7"/>
  <c r="M671" i="7"/>
  <c r="N671" i="7" a="1"/>
  <c r="N671" i="7" s="1"/>
  <c r="O671" i="7"/>
  <c r="P671" i="7"/>
  <c r="M672" i="7"/>
  <c r="N672" i="7" a="1"/>
  <c r="N672" i="7" s="1"/>
  <c r="O672" i="7"/>
  <c r="P672" i="7"/>
  <c r="M673" i="7"/>
  <c r="N673" i="7" a="1"/>
  <c r="N673" i="7" s="1"/>
  <c r="O673" i="7"/>
  <c r="P673" i="7"/>
  <c r="M674" i="7"/>
  <c r="N674" i="7" a="1"/>
  <c r="N674" i="7" s="1"/>
  <c r="O674" i="7"/>
  <c r="P674" i="7"/>
  <c r="M675" i="7"/>
  <c r="N675" i="7" a="1"/>
  <c r="N675" i="7" s="1"/>
  <c r="O675" i="7"/>
  <c r="P675" i="7"/>
  <c r="M676" i="7"/>
  <c r="N676" i="7" a="1"/>
  <c r="N676" i="7" s="1"/>
  <c r="O676" i="7"/>
  <c r="P676" i="7"/>
  <c r="M677" i="7"/>
  <c r="N677" i="7" a="1"/>
  <c r="N677" i="7" s="1"/>
  <c r="O677" i="7"/>
  <c r="P677" i="7"/>
  <c r="M678" i="7"/>
  <c r="N678" i="7" a="1"/>
  <c r="N678" i="7" s="1"/>
  <c r="O678" i="7"/>
  <c r="P678" i="7"/>
  <c r="M679" i="7"/>
  <c r="N679" i="7" a="1"/>
  <c r="N679" i="7" s="1"/>
  <c r="O679" i="7"/>
  <c r="P679" i="7"/>
  <c r="M680" i="7"/>
  <c r="N680" i="7" a="1"/>
  <c r="N680" i="7" s="1"/>
  <c r="O680" i="7"/>
  <c r="P680" i="7"/>
  <c r="M681" i="7"/>
  <c r="N681" i="7" a="1"/>
  <c r="N681" i="7" s="1"/>
  <c r="O681" i="7"/>
  <c r="P681" i="7"/>
  <c r="M682" i="7"/>
  <c r="N682" i="7" a="1"/>
  <c r="N682" i="7" s="1"/>
  <c r="O682" i="7"/>
  <c r="P682" i="7"/>
  <c r="M683" i="7"/>
  <c r="N683" i="7" a="1"/>
  <c r="N683" i="7" s="1"/>
  <c r="O683" i="7"/>
  <c r="P683" i="7"/>
  <c r="M684" i="7"/>
  <c r="N684" i="7" a="1"/>
  <c r="N684" i="7" s="1"/>
  <c r="O684" i="7"/>
  <c r="P684" i="7"/>
  <c r="M685" i="7"/>
  <c r="N685" i="7" a="1"/>
  <c r="N685" i="7" s="1"/>
  <c r="O685" i="7"/>
  <c r="P685" i="7"/>
  <c r="M686" i="7"/>
  <c r="N686" i="7" a="1"/>
  <c r="N686" i="7" s="1"/>
  <c r="O686" i="7"/>
  <c r="P686" i="7"/>
  <c r="M687" i="7"/>
  <c r="N687" i="7" a="1"/>
  <c r="N687" i="7" s="1"/>
  <c r="O687" i="7"/>
  <c r="P687" i="7"/>
  <c r="M688" i="7"/>
  <c r="N688" i="7" a="1"/>
  <c r="N688" i="7" s="1"/>
  <c r="O688" i="7"/>
  <c r="P688" i="7"/>
  <c r="M689" i="7"/>
  <c r="N689" i="7" a="1"/>
  <c r="N689" i="7" s="1"/>
  <c r="O689" i="7"/>
  <c r="P689" i="7"/>
  <c r="M690" i="7"/>
  <c r="N690" i="7" a="1"/>
  <c r="N690" i="7" s="1"/>
  <c r="O690" i="7"/>
  <c r="P690" i="7"/>
  <c r="M691" i="7"/>
  <c r="N691" i="7" a="1"/>
  <c r="N691" i="7" s="1"/>
  <c r="O691" i="7"/>
  <c r="P691" i="7"/>
  <c r="M692" i="7"/>
  <c r="N692" i="7" a="1"/>
  <c r="N692" i="7" s="1"/>
  <c r="O692" i="7"/>
  <c r="P692" i="7"/>
  <c r="M693" i="7"/>
  <c r="N693" i="7" a="1"/>
  <c r="N693" i="7" s="1"/>
  <c r="O693" i="7"/>
  <c r="P693" i="7"/>
  <c r="M694" i="7"/>
  <c r="N694" i="7" a="1"/>
  <c r="N694" i="7" s="1"/>
  <c r="O694" i="7"/>
  <c r="P694" i="7"/>
  <c r="M695" i="7"/>
  <c r="N695" i="7" a="1"/>
  <c r="N695" i="7" s="1"/>
  <c r="O695" i="7"/>
  <c r="P695" i="7"/>
  <c r="M696" i="7"/>
  <c r="N696" i="7" a="1"/>
  <c r="N696" i="7" s="1"/>
  <c r="O696" i="7"/>
  <c r="P696" i="7"/>
  <c r="M697" i="7"/>
  <c r="N697" i="7" a="1"/>
  <c r="N697" i="7" s="1"/>
  <c r="O697" i="7"/>
  <c r="P697" i="7"/>
  <c r="M698" i="7"/>
  <c r="N698" i="7" a="1"/>
  <c r="N698" i="7" s="1"/>
  <c r="O698" i="7"/>
  <c r="P698" i="7"/>
  <c r="M699" i="7"/>
  <c r="N699" i="7" a="1"/>
  <c r="N699" i="7" s="1"/>
  <c r="O699" i="7"/>
  <c r="P699" i="7"/>
  <c r="M700" i="7"/>
  <c r="N700" i="7" a="1"/>
  <c r="N700" i="7" s="1"/>
  <c r="O700" i="7"/>
  <c r="P700" i="7"/>
  <c r="M701" i="7"/>
  <c r="N701" i="7" a="1"/>
  <c r="N701" i="7" s="1"/>
  <c r="O701" i="7"/>
  <c r="P701" i="7"/>
  <c r="M702" i="7"/>
  <c r="N702" i="7" a="1"/>
  <c r="N702" i="7" s="1"/>
  <c r="O702" i="7"/>
  <c r="P702" i="7"/>
  <c r="M703" i="7"/>
  <c r="N703" i="7" a="1"/>
  <c r="N703" i="7" s="1"/>
  <c r="O703" i="7"/>
  <c r="P703" i="7"/>
  <c r="M704" i="7"/>
  <c r="N704" i="7" a="1"/>
  <c r="N704" i="7" s="1"/>
  <c r="O704" i="7"/>
  <c r="P704" i="7"/>
  <c r="M705" i="7"/>
  <c r="N705" i="7" a="1"/>
  <c r="N705" i="7" s="1"/>
  <c r="O705" i="7"/>
  <c r="P705" i="7"/>
  <c r="M706" i="7"/>
  <c r="N706" i="7" a="1"/>
  <c r="N706" i="7" s="1"/>
  <c r="O706" i="7"/>
  <c r="P706" i="7"/>
  <c r="M707" i="7"/>
  <c r="N707" i="7" a="1"/>
  <c r="N707" i="7" s="1"/>
  <c r="O707" i="7"/>
  <c r="P707" i="7"/>
  <c r="M708" i="7"/>
  <c r="N708" i="7" a="1"/>
  <c r="N708" i="7" s="1"/>
  <c r="O708" i="7"/>
  <c r="P708" i="7"/>
  <c r="M709" i="7"/>
  <c r="N709" i="7" a="1"/>
  <c r="N709" i="7" s="1"/>
  <c r="O709" i="7"/>
  <c r="P709" i="7"/>
  <c r="M710" i="7"/>
  <c r="N710" i="7" a="1"/>
  <c r="N710" i="7" s="1"/>
  <c r="O710" i="7"/>
  <c r="P710" i="7"/>
  <c r="M711" i="7"/>
  <c r="N711" i="7" a="1"/>
  <c r="N711" i="7" s="1"/>
  <c r="O711" i="7"/>
  <c r="P711" i="7"/>
  <c r="M712" i="7"/>
  <c r="N712" i="7" a="1"/>
  <c r="N712" i="7" s="1"/>
  <c r="O712" i="7"/>
  <c r="P712" i="7"/>
  <c r="M713" i="7"/>
  <c r="N713" i="7" a="1"/>
  <c r="N713" i="7" s="1"/>
  <c r="O713" i="7"/>
  <c r="P713" i="7"/>
  <c r="M714" i="7"/>
  <c r="N714" i="7" a="1"/>
  <c r="N714" i="7" s="1"/>
  <c r="O714" i="7"/>
  <c r="P714" i="7"/>
  <c r="M715" i="7"/>
  <c r="N715" i="7" a="1"/>
  <c r="N715" i="7" s="1"/>
  <c r="O715" i="7"/>
  <c r="P715" i="7"/>
  <c r="M716" i="7"/>
  <c r="N716" i="7" a="1"/>
  <c r="N716" i="7" s="1"/>
  <c r="O716" i="7"/>
  <c r="P716" i="7"/>
  <c r="M717" i="7"/>
  <c r="N717" i="7" a="1"/>
  <c r="N717" i="7" s="1"/>
  <c r="O717" i="7"/>
  <c r="P717" i="7"/>
  <c r="M718" i="7"/>
  <c r="N718" i="7" a="1"/>
  <c r="N718" i="7" s="1"/>
  <c r="O718" i="7"/>
  <c r="P718" i="7"/>
  <c r="M719" i="7"/>
  <c r="N719" i="7" a="1"/>
  <c r="N719" i="7" s="1"/>
  <c r="O719" i="7"/>
  <c r="P719" i="7"/>
  <c r="M720" i="7"/>
  <c r="N720" i="7" a="1"/>
  <c r="N720" i="7" s="1"/>
  <c r="O720" i="7"/>
  <c r="P720" i="7"/>
  <c r="M721" i="7"/>
  <c r="N721" i="7" a="1"/>
  <c r="N721" i="7" s="1"/>
  <c r="O721" i="7"/>
  <c r="P721" i="7"/>
  <c r="M722" i="7"/>
  <c r="N722" i="7" a="1"/>
  <c r="N722" i="7" s="1"/>
  <c r="O722" i="7"/>
  <c r="P722" i="7"/>
  <c r="M723" i="7"/>
  <c r="N723" i="7" a="1"/>
  <c r="N723" i="7" s="1"/>
  <c r="O723" i="7"/>
  <c r="P723" i="7"/>
  <c r="M724" i="7"/>
  <c r="N724" i="7" a="1"/>
  <c r="N724" i="7" s="1"/>
  <c r="O724" i="7"/>
  <c r="P724" i="7"/>
  <c r="M725" i="7"/>
  <c r="N725" i="7" a="1"/>
  <c r="N725" i="7" s="1"/>
  <c r="O725" i="7"/>
  <c r="P725" i="7"/>
  <c r="M726" i="7"/>
  <c r="N726" i="7" a="1"/>
  <c r="N726" i="7" s="1"/>
  <c r="O726" i="7"/>
  <c r="P726" i="7"/>
  <c r="M727" i="7"/>
  <c r="N727" i="7" a="1"/>
  <c r="N727" i="7" s="1"/>
  <c r="O727" i="7"/>
  <c r="P727" i="7"/>
  <c r="M728" i="7"/>
  <c r="N728" i="7" a="1"/>
  <c r="N728" i="7" s="1"/>
  <c r="O728" i="7"/>
  <c r="P728" i="7"/>
  <c r="M729" i="7"/>
  <c r="N729" i="7" a="1"/>
  <c r="N729" i="7" s="1"/>
  <c r="O729" i="7"/>
  <c r="P729" i="7"/>
  <c r="M730" i="7"/>
  <c r="N730" i="7" a="1"/>
  <c r="N730" i="7" s="1"/>
  <c r="O730" i="7"/>
  <c r="P730" i="7"/>
  <c r="M731" i="7"/>
  <c r="N731" i="7" a="1"/>
  <c r="N731" i="7" s="1"/>
  <c r="O731" i="7"/>
  <c r="P731" i="7"/>
  <c r="M732" i="7"/>
  <c r="N732" i="7" a="1"/>
  <c r="N732" i="7" s="1"/>
  <c r="O732" i="7"/>
  <c r="P732" i="7"/>
  <c r="M733" i="7"/>
  <c r="N733" i="7" a="1"/>
  <c r="N733" i="7" s="1"/>
  <c r="O733" i="7"/>
  <c r="P733" i="7"/>
  <c r="M734" i="7"/>
  <c r="N734" i="7" a="1"/>
  <c r="N734" i="7" s="1"/>
  <c r="O734" i="7"/>
  <c r="P734" i="7"/>
  <c r="M735" i="7"/>
  <c r="N735" i="7" a="1"/>
  <c r="N735" i="7" s="1"/>
  <c r="O735" i="7"/>
  <c r="P735" i="7"/>
  <c r="M736" i="7"/>
  <c r="N736" i="7" a="1"/>
  <c r="N736" i="7" s="1"/>
  <c r="O736" i="7"/>
  <c r="P736" i="7"/>
  <c r="M737" i="7"/>
  <c r="N737" i="7" a="1"/>
  <c r="N737" i="7" s="1"/>
  <c r="O737" i="7"/>
  <c r="P737" i="7"/>
  <c r="M738" i="7"/>
  <c r="N738" i="7" a="1"/>
  <c r="N738" i="7" s="1"/>
  <c r="O738" i="7"/>
  <c r="P738" i="7"/>
  <c r="M739" i="7"/>
  <c r="N739" i="7" a="1"/>
  <c r="N739" i="7" s="1"/>
  <c r="O739" i="7"/>
  <c r="P739" i="7"/>
  <c r="M740" i="7"/>
  <c r="N740" i="7" a="1"/>
  <c r="N740" i="7" s="1"/>
  <c r="O740" i="7"/>
  <c r="P740" i="7"/>
  <c r="M741" i="7"/>
  <c r="N741" i="7" a="1"/>
  <c r="N741" i="7" s="1"/>
  <c r="O741" i="7"/>
  <c r="P741" i="7"/>
  <c r="M742" i="7"/>
  <c r="N742" i="7" a="1"/>
  <c r="N742" i="7" s="1"/>
  <c r="O742" i="7"/>
  <c r="P742" i="7"/>
  <c r="M743" i="7"/>
  <c r="N743" i="7" a="1"/>
  <c r="N743" i="7" s="1"/>
  <c r="O743" i="7"/>
  <c r="P743" i="7"/>
  <c r="M744" i="7"/>
  <c r="N744" i="7" a="1"/>
  <c r="N744" i="7" s="1"/>
  <c r="O744" i="7"/>
  <c r="P744" i="7"/>
  <c r="M745" i="7"/>
  <c r="N745" i="7" a="1"/>
  <c r="N745" i="7" s="1"/>
  <c r="O745" i="7"/>
  <c r="P745" i="7"/>
  <c r="M746" i="7"/>
  <c r="N746" i="7" a="1"/>
  <c r="N746" i="7" s="1"/>
  <c r="O746" i="7"/>
  <c r="P746" i="7"/>
  <c r="M747" i="7"/>
  <c r="N747" i="7" a="1"/>
  <c r="N747" i="7" s="1"/>
  <c r="O747" i="7"/>
  <c r="P747" i="7"/>
  <c r="M748" i="7"/>
  <c r="N748" i="7" a="1"/>
  <c r="N748" i="7" s="1"/>
  <c r="O748" i="7"/>
  <c r="P748" i="7"/>
  <c r="M749" i="7"/>
  <c r="N749" i="7" a="1"/>
  <c r="N749" i="7" s="1"/>
  <c r="O749" i="7"/>
  <c r="P749" i="7"/>
  <c r="M750" i="7"/>
  <c r="N750" i="7" a="1"/>
  <c r="N750" i="7" s="1"/>
  <c r="O750" i="7"/>
  <c r="P750" i="7"/>
  <c r="M751" i="7"/>
  <c r="N751" i="7" a="1"/>
  <c r="N751" i="7" s="1"/>
  <c r="O751" i="7"/>
  <c r="P751" i="7"/>
  <c r="M752" i="7"/>
  <c r="N752" i="7" a="1"/>
  <c r="N752" i="7" s="1"/>
  <c r="O752" i="7"/>
  <c r="P752" i="7"/>
  <c r="M753" i="7"/>
  <c r="N753" i="7" a="1"/>
  <c r="N753" i="7" s="1"/>
  <c r="O753" i="7"/>
  <c r="P753" i="7"/>
  <c r="M754" i="7"/>
  <c r="N754" i="7" a="1"/>
  <c r="N754" i="7" s="1"/>
  <c r="O754" i="7"/>
  <c r="P754" i="7"/>
  <c r="M755" i="7"/>
  <c r="N755" i="7" a="1"/>
  <c r="N755" i="7" s="1"/>
  <c r="O755" i="7"/>
  <c r="P755" i="7"/>
  <c r="M756" i="7"/>
  <c r="N756" i="7" a="1"/>
  <c r="N756" i="7" s="1"/>
  <c r="O756" i="7"/>
  <c r="P756" i="7"/>
  <c r="M757" i="7"/>
  <c r="N757" i="7" a="1"/>
  <c r="N757" i="7" s="1"/>
  <c r="O757" i="7"/>
  <c r="P757" i="7"/>
  <c r="M758" i="7"/>
  <c r="N758" i="7" a="1"/>
  <c r="N758" i="7" s="1"/>
  <c r="O758" i="7"/>
  <c r="P758" i="7"/>
  <c r="M759" i="7"/>
  <c r="N759" i="7" a="1"/>
  <c r="N759" i="7" s="1"/>
  <c r="O759" i="7"/>
  <c r="P759" i="7"/>
  <c r="M760" i="7"/>
  <c r="N760" i="7" a="1"/>
  <c r="N760" i="7" s="1"/>
  <c r="O760" i="7"/>
  <c r="P760" i="7"/>
  <c r="M761" i="7"/>
  <c r="N761" i="7" a="1"/>
  <c r="N761" i="7" s="1"/>
  <c r="O761" i="7"/>
  <c r="P761" i="7"/>
  <c r="M762" i="7"/>
  <c r="N762" i="7" a="1"/>
  <c r="N762" i="7" s="1"/>
  <c r="O762" i="7"/>
  <c r="P762" i="7"/>
  <c r="M763" i="7"/>
  <c r="N763" i="7" a="1"/>
  <c r="N763" i="7" s="1"/>
  <c r="O763" i="7"/>
  <c r="P763" i="7"/>
  <c r="M764" i="7"/>
  <c r="N764" i="7" a="1"/>
  <c r="N764" i="7" s="1"/>
  <c r="O764" i="7"/>
  <c r="P764" i="7"/>
  <c r="M765" i="7"/>
  <c r="N765" i="7" a="1"/>
  <c r="N765" i="7" s="1"/>
  <c r="O765" i="7"/>
  <c r="P765" i="7"/>
  <c r="M766" i="7"/>
  <c r="N766" i="7" a="1"/>
  <c r="N766" i="7" s="1"/>
  <c r="O766" i="7"/>
  <c r="P766" i="7"/>
  <c r="M767" i="7"/>
  <c r="N767" i="7" a="1"/>
  <c r="N767" i="7" s="1"/>
  <c r="O767" i="7"/>
  <c r="P767" i="7"/>
  <c r="M768" i="7"/>
  <c r="N768" i="7" a="1"/>
  <c r="N768" i="7" s="1"/>
  <c r="O768" i="7"/>
  <c r="P768" i="7"/>
  <c r="M769" i="7"/>
  <c r="N769" i="7" a="1"/>
  <c r="N769" i="7" s="1"/>
  <c r="O769" i="7"/>
  <c r="P769" i="7"/>
  <c r="M770" i="7"/>
  <c r="N770" i="7" a="1"/>
  <c r="N770" i="7" s="1"/>
  <c r="O770" i="7"/>
  <c r="P770" i="7"/>
  <c r="M771" i="7"/>
  <c r="N771" i="7" a="1"/>
  <c r="N771" i="7" s="1"/>
  <c r="O771" i="7"/>
  <c r="P771" i="7"/>
  <c r="M772" i="7"/>
  <c r="N772" i="7" a="1"/>
  <c r="N772" i="7" s="1"/>
  <c r="O772" i="7"/>
  <c r="P772" i="7"/>
  <c r="M773" i="7"/>
  <c r="N773" i="7" a="1"/>
  <c r="N773" i="7" s="1"/>
  <c r="O773" i="7"/>
  <c r="P773" i="7"/>
  <c r="M774" i="7"/>
  <c r="N774" i="7" a="1"/>
  <c r="N774" i="7" s="1"/>
  <c r="O774" i="7"/>
  <c r="P774" i="7"/>
  <c r="M775" i="7"/>
  <c r="N775" i="7" a="1"/>
  <c r="N775" i="7" s="1"/>
  <c r="O775" i="7"/>
  <c r="P775" i="7"/>
  <c r="M776" i="7"/>
  <c r="N776" i="7" a="1"/>
  <c r="N776" i="7" s="1"/>
  <c r="O776" i="7"/>
  <c r="P776" i="7"/>
  <c r="M777" i="7"/>
  <c r="N777" i="7" a="1"/>
  <c r="N777" i="7" s="1"/>
  <c r="O777" i="7"/>
  <c r="P777" i="7"/>
  <c r="M778" i="7"/>
  <c r="N778" i="7" a="1"/>
  <c r="N778" i="7" s="1"/>
  <c r="O778" i="7"/>
  <c r="P778" i="7"/>
  <c r="M779" i="7"/>
  <c r="N779" i="7" a="1"/>
  <c r="N779" i="7" s="1"/>
  <c r="O779" i="7"/>
  <c r="P779" i="7"/>
  <c r="M780" i="7"/>
  <c r="N780" i="7" a="1"/>
  <c r="N780" i="7" s="1"/>
  <c r="O780" i="7"/>
  <c r="P780" i="7"/>
  <c r="M781" i="7"/>
  <c r="N781" i="7" a="1"/>
  <c r="N781" i="7" s="1"/>
  <c r="O781" i="7"/>
  <c r="P781" i="7"/>
  <c r="M782" i="7"/>
  <c r="N782" i="7" a="1"/>
  <c r="N782" i="7" s="1"/>
  <c r="O782" i="7"/>
  <c r="P782" i="7"/>
  <c r="M783" i="7"/>
  <c r="N783" i="7" a="1"/>
  <c r="N783" i="7" s="1"/>
  <c r="O783" i="7"/>
  <c r="P783" i="7"/>
  <c r="M784" i="7"/>
  <c r="N784" i="7" a="1"/>
  <c r="N784" i="7" s="1"/>
  <c r="O784" i="7"/>
  <c r="P784" i="7"/>
  <c r="M785" i="7"/>
  <c r="N785" i="7" a="1"/>
  <c r="N785" i="7" s="1"/>
  <c r="O785" i="7"/>
  <c r="P785" i="7"/>
  <c r="M786" i="7"/>
  <c r="N786" i="7" a="1"/>
  <c r="N786" i="7" s="1"/>
  <c r="O786" i="7"/>
  <c r="P786" i="7"/>
  <c r="M787" i="7"/>
  <c r="N787" i="7" a="1"/>
  <c r="N787" i="7" s="1"/>
  <c r="O787" i="7"/>
  <c r="P787" i="7"/>
  <c r="M788" i="7"/>
  <c r="N788" i="7" a="1"/>
  <c r="N788" i="7" s="1"/>
  <c r="O788" i="7"/>
  <c r="P788" i="7"/>
  <c r="M789" i="7"/>
  <c r="N789" i="7" a="1"/>
  <c r="N789" i="7" s="1"/>
  <c r="O789" i="7"/>
  <c r="P789" i="7"/>
  <c r="M790" i="7"/>
  <c r="N790" i="7" a="1"/>
  <c r="N790" i="7" s="1"/>
  <c r="O790" i="7"/>
  <c r="P790" i="7"/>
  <c r="M791" i="7"/>
  <c r="N791" i="7" a="1"/>
  <c r="N791" i="7" s="1"/>
  <c r="O791" i="7"/>
  <c r="P791" i="7"/>
  <c r="M792" i="7"/>
  <c r="N792" i="7" a="1"/>
  <c r="N792" i="7" s="1"/>
  <c r="O792" i="7"/>
  <c r="P792" i="7"/>
  <c r="M793" i="7"/>
  <c r="N793" i="7" a="1"/>
  <c r="N793" i="7" s="1"/>
  <c r="O793" i="7"/>
  <c r="P793" i="7"/>
  <c r="M794" i="7"/>
  <c r="N794" i="7" a="1"/>
  <c r="N794" i="7" s="1"/>
  <c r="O794" i="7"/>
  <c r="P794" i="7"/>
  <c r="M795" i="7"/>
  <c r="N795" i="7" a="1"/>
  <c r="N795" i="7" s="1"/>
  <c r="O795" i="7"/>
  <c r="P795" i="7"/>
  <c r="M796" i="7"/>
  <c r="N796" i="7" a="1"/>
  <c r="N796" i="7" s="1"/>
  <c r="O796" i="7"/>
  <c r="P796" i="7"/>
  <c r="M797" i="7"/>
  <c r="N797" i="7" a="1"/>
  <c r="N797" i="7" s="1"/>
  <c r="O797" i="7"/>
  <c r="P797" i="7"/>
  <c r="M798" i="7"/>
  <c r="N798" i="7" a="1"/>
  <c r="N798" i="7" s="1"/>
  <c r="O798" i="7"/>
  <c r="P798" i="7"/>
  <c r="M799" i="7"/>
  <c r="N799" i="7" a="1"/>
  <c r="N799" i="7" s="1"/>
  <c r="O799" i="7"/>
  <c r="P799" i="7"/>
  <c r="M800" i="7"/>
  <c r="N800" i="7" a="1"/>
  <c r="N800" i="7" s="1"/>
  <c r="O800" i="7"/>
  <c r="P800" i="7"/>
  <c r="M801" i="7"/>
  <c r="N801" i="7" a="1"/>
  <c r="N801" i="7" s="1"/>
  <c r="O801" i="7"/>
  <c r="P801" i="7"/>
  <c r="M802" i="7"/>
  <c r="N802" i="7" a="1"/>
  <c r="N802" i="7" s="1"/>
  <c r="O802" i="7"/>
  <c r="P802" i="7"/>
  <c r="M803" i="7"/>
  <c r="N803" i="7" a="1"/>
  <c r="N803" i="7"/>
  <c r="O803" i="7"/>
  <c r="P803" i="7"/>
  <c r="M804" i="7"/>
  <c r="N804" i="7" a="1"/>
  <c r="N804" i="7"/>
  <c r="O804" i="7"/>
  <c r="P804" i="7"/>
  <c r="M805" i="7"/>
  <c r="N805" i="7" a="1"/>
  <c r="N805" i="7"/>
  <c r="O805" i="7"/>
  <c r="P805" i="7"/>
  <c r="M806" i="7"/>
  <c r="N806" i="7" a="1"/>
  <c r="N806" i="7"/>
  <c r="O806" i="7"/>
  <c r="P806" i="7"/>
  <c r="M807" i="7"/>
  <c r="N807" i="7" a="1"/>
  <c r="N807" i="7"/>
  <c r="O807" i="7"/>
  <c r="P807" i="7"/>
  <c r="M808" i="7"/>
  <c r="N808" i="7" a="1"/>
  <c r="N808" i="7"/>
  <c r="O808" i="7"/>
  <c r="P808" i="7"/>
  <c r="M809" i="7"/>
  <c r="N809" i="7" a="1"/>
  <c r="N809" i="7"/>
  <c r="O809" i="7"/>
  <c r="P809" i="7"/>
  <c r="M810" i="7"/>
  <c r="N810" i="7" a="1"/>
  <c r="N810" i="7"/>
  <c r="O810" i="7"/>
  <c r="P810" i="7"/>
  <c r="M811" i="7"/>
  <c r="N811" i="7" a="1"/>
  <c r="N811" i="7"/>
  <c r="O811" i="7"/>
  <c r="P811" i="7"/>
  <c r="M812" i="7"/>
  <c r="N812" i="7" a="1"/>
  <c r="N812" i="7"/>
  <c r="O812" i="7"/>
  <c r="P812" i="7"/>
  <c r="M813" i="7"/>
  <c r="N813" i="7" a="1"/>
  <c r="N813" i="7"/>
  <c r="O813" i="7"/>
  <c r="P813" i="7"/>
  <c r="M814" i="7"/>
  <c r="N814" i="7" a="1"/>
  <c r="N814" i="7"/>
  <c r="O814" i="7"/>
  <c r="P814" i="7"/>
  <c r="M815" i="7"/>
  <c r="N815" i="7" a="1"/>
  <c r="N815" i="7"/>
  <c r="O815" i="7"/>
  <c r="P815" i="7"/>
  <c r="M816" i="7"/>
  <c r="N816" i="7" a="1"/>
  <c r="N816" i="7"/>
  <c r="O816" i="7"/>
  <c r="P816" i="7"/>
  <c r="M817" i="7"/>
  <c r="N817" i="7" a="1"/>
  <c r="N817" i="7"/>
  <c r="O817" i="7"/>
  <c r="P817" i="7"/>
  <c r="M818" i="7"/>
  <c r="N818" i="7" a="1"/>
  <c r="N818" i="7"/>
  <c r="O818" i="7"/>
  <c r="P818" i="7"/>
  <c r="M819" i="7"/>
  <c r="N819" i="7" a="1"/>
  <c r="N819" i="7"/>
  <c r="O819" i="7"/>
  <c r="P819" i="7"/>
  <c r="M820" i="7"/>
  <c r="N820" i="7" a="1"/>
  <c r="N820" i="7"/>
  <c r="O820" i="7"/>
  <c r="P820" i="7"/>
  <c r="M821" i="7"/>
  <c r="N821" i="7" a="1"/>
  <c r="N821" i="7" s="1"/>
  <c r="O821" i="7"/>
  <c r="P821" i="7"/>
  <c r="M822" i="7"/>
  <c r="N822" i="7" a="1"/>
  <c r="N822" i="7" s="1"/>
  <c r="O822" i="7"/>
  <c r="P822" i="7"/>
  <c r="M823" i="7"/>
  <c r="N823" i="7" a="1"/>
  <c r="N823" i="7" s="1"/>
  <c r="O823" i="7"/>
  <c r="P823" i="7"/>
  <c r="M824" i="7"/>
  <c r="N824" i="7" a="1"/>
  <c r="N824" i="7" s="1"/>
  <c r="O824" i="7"/>
  <c r="P824" i="7"/>
  <c r="M825" i="7"/>
  <c r="N825" i="7" a="1"/>
  <c r="N825" i="7" s="1"/>
  <c r="O825" i="7"/>
  <c r="P825" i="7"/>
  <c r="M826" i="7"/>
  <c r="N826" i="7" a="1"/>
  <c r="N826" i="7" s="1"/>
  <c r="O826" i="7"/>
  <c r="P826" i="7"/>
  <c r="M827" i="7"/>
  <c r="N827" i="7" a="1"/>
  <c r="N827" i="7" s="1"/>
  <c r="O827" i="7"/>
  <c r="P827" i="7"/>
  <c r="M828" i="7"/>
  <c r="N828" i="7" a="1"/>
  <c r="N828" i="7" s="1"/>
  <c r="O828" i="7"/>
  <c r="P828" i="7"/>
  <c r="M829" i="7"/>
  <c r="N829" i="7" a="1"/>
  <c r="N829" i="7" s="1"/>
  <c r="O829" i="7"/>
  <c r="P829" i="7"/>
  <c r="M830" i="7"/>
  <c r="N830" i="7" a="1"/>
  <c r="N830" i="7" s="1"/>
  <c r="O830" i="7"/>
  <c r="P830" i="7"/>
  <c r="M831" i="7"/>
  <c r="N831" i="7" a="1"/>
  <c r="N831" i="7" s="1"/>
  <c r="O831" i="7"/>
  <c r="P831" i="7"/>
  <c r="M832" i="7"/>
  <c r="N832" i="7" a="1"/>
  <c r="N832" i="7" s="1"/>
  <c r="O832" i="7"/>
  <c r="P832" i="7"/>
  <c r="M833" i="7"/>
  <c r="N833" i="7" a="1"/>
  <c r="N833" i="7" s="1"/>
  <c r="O833" i="7"/>
  <c r="P833" i="7"/>
  <c r="M834" i="7"/>
  <c r="N834" i="7" a="1"/>
  <c r="N834" i="7" s="1"/>
  <c r="O834" i="7"/>
  <c r="P834" i="7"/>
  <c r="M835" i="7"/>
  <c r="N835" i="7" a="1"/>
  <c r="N835" i="7" s="1"/>
  <c r="O835" i="7"/>
  <c r="P835" i="7"/>
  <c r="M836" i="7"/>
  <c r="N836" i="7" a="1"/>
  <c r="N836" i="7" s="1"/>
  <c r="O836" i="7"/>
  <c r="P836" i="7"/>
  <c r="M837" i="7"/>
  <c r="N837" i="7" a="1"/>
  <c r="N837" i="7" s="1"/>
  <c r="O837" i="7"/>
  <c r="P837" i="7"/>
  <c r="M838" i="7"/>
  <c r="N838" i="7" a="1"/>
  <c r="N838" i="7" s="1"/>
  <c r="O838" i="7"/>
  <c r="P838" i="7"/>
  <c r="M839" i="7"/>
  <c r="N839" i="7" a="1"/>
  <c r="N839" i="7" s="1"/>
  <c r="O839" i="7"/>
  <c r="P839" i="7"/>
  <c r="M840" i="7"/>
  <c r="N840" i="7" a="1"/>
  <c r="N840" i="7" s="1"/>
  <c r="O840" i="7"/>
  <c r="P840" i="7"/>
  <c r="M841" i="7"/>
  <c r="N841" i="7" a="1"/>
  <c r="N841" i="7" s="1"/>
  <c r="O841" i="7"/>
  <c r="P841" i="7"/>
  <c r="M842" i="7"/>
  <c r="N842" i="7" a="1"/>
  <c r="N842" i="7" s="1"/>
  <c r="O842" i="7"/>
  <c r="P842" i="7"/>
  <c r="M843" i="7"/>
  <c r="N843" i="7" a="1"/>
  <c r="N843" i="7" s="1"/>
  <c r="O843" i="7"/>
  <c r="P843" i="7"/>
  <c r="M844" i="7"/>
  <c r="N844" i="7" a="1"/>
  <c r="N844" i="7" s="1"/>
  <c r="O844" i="7"/>
  <c r="P844" i="7"/>
  <c r="M845" i="7"/>
  <c r="N845" i="7" a="1"/>
  <c r="N845" i="7" s="1"/>
  <c r="O845" i="7"/>
  <c r="P845" i="7"/>
  <c r="M846" i="7"/>
  <c r="N846" i="7" a="1"/>
  <c r="N846" i="7" s="1"/>
  <c r="O846" i="7"/>
  <c r="P846" i="7"/>
  <c r="M847" i="7"/>
  <c r="N847" i="7" a="1"/>
  <c r="N847" i="7" s="1"/>
  <c r="O847" i="7"/>
  <c r="P847" i="7"/>
  <c r="M848" i="7"/>
  <c r="N848" i="7" a="1"/>
  <c r="N848" i="7" s="1"/>
  <c r="O848" i="7"/>
  <c r="P848" i="7"/>
  <c r="M849" i="7"/>
  <c r="N849" i="7" a="1"/>
  <c r="N849" i="7" s="1"/>
  <c r="O849" i="7"/>
  <c r="P849" i="7"/>
  <c r="M850" i="7"/>
  <c r="N850" i="7" a="1"/>
  <c r="N850" i="7" s="1"/>
  <c r="O850" i="7"/>
  <c r="P850" i="7"/>
  <c r="M851" i="7"/>
  <c r="N851" i="7" a="1"/>
  <c r="N851" i="7" s="1"/>
  <c r="O851" i="7"/>
  <c r="P851" i="7"/>
  <c r="M852" i="7"/>
  <c r="N852" i="7" a="1"/>
  <c r="N852" i="7" s="1"/>
  <c r="O852" i="7"/>
  <c r="P852" i="7"/>
  <c r="M853" i="7"/>
  <c r="N853" i="7" a="1"/>
  <c r="N853" i="7" s="1"/>
  <c r="O853" i="7"/>
  <c r="P853" i="7"/>
  <c r="M854" i="7"/>
  <c r="N854" i="7" a="1"/>
  <c r="N854" i="7" s="1"/>
  <c r="O854" i="7"/>
  <c r="P854" i="7"/>
  <c r="M855" i="7"/>
  <c r="N855" i="7" a="1"/>
  <c r="N855" i="7" s="1"/>
  <c r="O855" i="7"/>
  <c r="P855" i="7"/>
  <c r="M856" i="7"/>
  <c r="N856" i="7" a="1"/>
  <c r="N856" i="7" s="1"/>
  <c r="O856" i="7"/>
  <c r="P856" i="7"/>
  <c r="M857" i="7"/>
  <c r="N857" i="7" a="1"/>
  <c r="N857" i="7" s="1"/>
  <c r="O857" i="7"/>
  <c r="P857" i="7"/>
  <c r="M858" i="7"/>
  <c r="N858" i="7" a="1"/>
  <c r="N858" i="7" s="1"/>
  <c r="O858" i="7"/>
  <c r="P858" i="7"/>
  <c r="M859" i="7"/>
  <c r="N859" i="7" a="1"/>
  <c r="N859" i="7" s="1"/>
  <c r="O859" i="7"/>
  <c r="P859" i="7"/>
  <c r="M860" i="7"/>
  <c r="N860" i="7" a="1"/>
  <c r="N860" i="7" s="1"/>
  <c r="O860" i="7"/>
  <c r="P860" i="7"/>
  <c r="M861" i="7"/>
  <c r="N861" i="7" a="1"/>
  <c r="N861" i="7" s="1"/>
  <c r="O861" i="7"/>
  <c r="P861" i="7"/>
  <c r="M862" i="7"/>
  <c r="N862" i="7" a="1"/>
  <c r="N862" i="7" s="1"/>
  <c r="O862" i="7"/>
  <c r="P862" i="7"/>
  <c r="M863" i="7"/>
  <c r="N863" i="7" a="1"/>
  <c r="N863" i="7" s="1"/>
  <c r="O863" i="7"/>
  <c r="P863" i="7"/>
  <c r="M864" i="7"/>
  <c r="N864" i="7" a="1"/>
  <c r="N864" i="7" s="1"/>
  <c r="O864" i="7"/>
  <c r="P864" i="7"/>
  <c r="M865" i="7"/>
  <c r="N865" i="7" a="1"/>
  <c r="N865" i="7" s="1"/>
  <c r="O865" i="7"/>
  <c r="P865" i="7"/>
  <c r="M866" i="7"/>
  <c r="N866" i="7" a="1"/>
  <c r="N866" i="7" s="1"/>
  <c r="O866" i="7"/>
  <c r="P866" i="7"/>
  <c r="M867" i="7"/>
  <c r="N867" i="7" a="1"/>
  <c r="N867" i="7" s="1"/>
  <c r="O867" i="7"/>
  <c r="P867" i="7"/>
  <c r="M868" i="7"/>
  <c r="N868" i="7" a="1"/>
  <c r="N868" i="7" s="1"/>
  <c r="O868" i="7"/>
  <c r="P868" i="7"/>
  <c r="M869" i="7"/>
  <c r="N869" i="7" a="1"/>
  <c r="N869" i="7" s="1"/>
  <c r="O869" i="7"/>
  <c r="P869" i="7"/>
  <c r="M870" i="7"/>
  <c r="N870" i="7" a="1"/>
  <c r="N870" i="7" s="1"/>
  <c r="O870" i="7"/>
  <c r="P870" i="7"/>
  <c r="M871" i="7"/>
  <c r="N871" i="7" a="1"/>
  <c r="N871" i="7" s="1"/>
  <c r="O871" i="7"/>
  <c r="P871" i="7"/>
  <c r="M872" i="7"/>
  <c r="N872" i="7" a="1"/>
  <c r="N872" i="7" s="1"/>
  <c r="O872" i="7"/>
  <c r="P872" i="7"/>
  <c r="M873" i="7"/>
  <c r="N873" i="7" a="1"/>
  <c r="N873" i="7" s="1"/>
  <c r="O873" i="7"/>
  <c r="P873" i="7"/>
  <c r="M874" i="7"/>
  <c r="N874" i="7" a="1"/>
  <c r="N874" i="7" s="1"/>
  <c r="O874" i="7"/>
  <c r="P874" i="7"/>
  <c r="M875" i="7"/>
  <c r="N875" i="7" a="1"/>
  <c r="N875" i="7" s="1"/>
  <c r="O875" i="7"/>
  <c r="P875" i="7"/>
  <c r="M876" i="7"/>
  <c r="N876" i="7" a="1"/>
  <c r="N876" i="7" s="1"/>
  <c r="O876" i="7"/>
  <c r="P876" i="7"/>
  <c r="M877" i="7"/>
  <c r="N877" i="7" a="1"/>
  <c r="N877" i="7" s="1"/>
  <c r="O877" i="7"/>
  <c r="P877" i="7"/>
  <c r="M878" i="7"/>
  <c r="N878" i="7" a="1"/>
  <c r="N878" i="7" s="1"/>
  <c r="O878" i="7"/>
  <c r="P878" i="7"/>
  <c r="M879" i="7"/>
  <c r="N879" i="7" a="1"/>
  <c r="N879" i="7" s="1"/>
  <c r="O879" i="7"/>
  <c r="P879" i="7"/>
  <c r="M880" i="7"/>
  <c r="N880" i="7" a="1"/>
  <c r="N880" i="7" s="1"/>
  <c r="O880" i="7"/>
  <c r="P880" i="7"/>
  <c r="M881" i="7"/>
  <c r="N881" i="7" a="1"/>
  <c r="N881" i="7" s="1"/>
  <c r="O881" i="7"/>
  <c r="P881" i="7"/>
  <c r="M882" i="7"/>
  <c r="N882" i="7" a="1"/>
  <c r="N882" i="7" s="1"/>
  <c r="O882" i="7"/>
  <c r="P882" i="7"/>
  <c r="M883" i="7"/>
  <c r="N883" i="7" a="1"/>
  <c r="N883" i="7" s="1"/>
  <c r="O883" i="7"/>
  <c r="P883" i="7"/>
  <c r="M884" i="7"/>
  <c r="N884" i="7" a="1"/>
  <c r="N884" i="7" s="1"/>
  <c r="O884" i="7"/>
  <c r="P884" i="7"/>
  <c r="M885" i="7"/>
  <c r="N885" i="7" a="1"/>
  <c r="N885" i="7" s="1"/>
  <c r="O885" i="7"/>
  <c r="P885" i="7"/>
  <c r="M886" i="7"/>
  <c r="N886" i="7" a="1"/>
  <c r="N886" i="7" s="1"/>
  <c r="O886" i="7"/>
  <c r="P886" i="7"/>
  <c r="M887" i="7"/>
  <c r="N887" i="7" a="1"/>
  <c r="N887" i="7" s="1"/>
  <c r="O887" i="7"/>
  <c r="P887" i="7"/>
  <c r="M888" i="7"/>
  <c r="N888" i="7" a="1"/>
  <c r="N888" i="7" s="1"/>
  <c r="O888" i="7"/>
  <c r="P888" i="7"/>
  <c r="M889" i="7"/>
  <c r="N889" i="7" a="1"/>
  <c r="N889" i="7" s="1"/>
  <c r="O889" i="7"/>
  <c r="P889" i="7"/>
  <c r="M890" i="7"/>
  <c r="N890" i="7" a="1"/>
  <c r="N890" i="7" s="1"/>
  <c r="O890" i="7"/>
  <c r="P890" i="7"/>
  <c r="M891" i="7"/>
  <c r="N891" i="7" a="1"/>
  <c r="N891" i="7" s="1"/>
  <c r="O891" i="7"/>
  <c r="P891" i="7"/>
  <c r="M892" i="7"/>
  <c r="N892" i="7" a="1"/>
  <c r="N892" i="7" s="1"/>
  <c r="O892" i="7"/>
  <c r="P892" i="7"/>
  <c r="M893" i="7"/>
  <c r="N893" i="7" a="1"/>
  <c r="N893" i="7" s="1"/>
  <c r="O893" i="7"/>
  <c r="P893" i="7"/>
  <c r="M894" i="7"/>
  <c r="N894" i="7" a="1"/>
  <c r="N894" i="7" s="1"/>
  <c r="O894" i="7"/>
  <c r="P894" i="7"/>
  <c r="M895" i="7"/>
  <c r="N895" i="7" a="1"/>
  <c r="N895" i="7" s="1"/>
  <c r="O895" i="7"/>
  <c r="P895" i="7"/>
  <c r="M896" i="7"/>
  <c r="N896" i="7" a="1"/>
  <c r="N896" i="7" s="1"/>
  <c r="O896" i="7"/>
  <c r="P896" i="7"/>
  <c r="M897" i="7"/>
  <c r="N897" i="7" a="1"/>
  <c r="N897" i="7" s="1"/>
  <c r="O897" i="7"/>
  <c r="P897" i="7"/>
  <c r="M898" i="7"/>
  <c r="N898" i="7" a="1"/>
  <c r="N898" i="7" s="1"/>
  <c r="O898" i="7"/>
  <c r="P898" i="7"/>
  <c r="M899" i="7"/>
  <c r="N899" i="7" a="1"/>
  <c r="N899" i="7" s="1"/>
  <c r="O899" i="7"/>
  <c r="P899" i="7"/>
  <c r="M900" i="7"/>
  <c r="N900" i="7" a="1"/>
  <c r="N900" i="7" s="1"/>
  <c r="O900" i="7"/>
  <c r="P900" i="7"/>
  <c r="M901" i="7"/>
  <c r="N901" i="7" a="1"/>
  <c r="N901" i="7" s="1"/>
  <c r="O901" i="7"/>
  <c r="P901" i="7"/>
  <c r="M902" i="7"/>
  <c r="N902" i="7" a="1"/>
  <c r="N902" i="7" s="1"/>
  <c r="O902" i="7"/>
  <c r="P902" i="7"/>
  <c r="M903" i="7"/>
  <c r="N903" i="7" a="1"/>
  <c r="N903" i="7" s="1"/>
  <c r="O903" i="7"/>
  <c r="P903" i="7"/>
  <c r="M904" i="7"/>
  <c r="N904" i="7" a="1"/>
  <c r="N904" i="7"/>
  <c r="O904" i="7"/>
  <c r="P904" i="7"/>
  <c r="M905" i="7"/>
  <c r="N905" i="7" a="1"/>
  <c r="N905" i="7"/>
  <c r="O905" i="7"/>
  <c r="P905" i="7"/>
  <c r="M906" i="7"/>
  <c r="N906" i="7" a="1"/>
  <c r="N906" i="7"/>
  <c r="O906" i="7"/>
  <c r="P906" i="7"/>
  <c r="M907" i="7"/>
  <c r="N907" i="7" a="1"/>
  <c r="N907" i="7"/>
  <c r="O907" i="7"/>
  <c r="P907" i="7"/>
  <c r="M908" i="7"/>
  <c r="N908" i="7" a="1"/>
  <c r="N908" i="7"/>
  <c r="O908" i="7"/>
  <c r="P908" i="7"/>
  <c r="M909" i="7"/>
  <c r="N909" i="7" a="1"/>
  <c r="N909" i="7"/>
  <c r="O909" i="7"/>
  <c r="P909" i="7"/>
  <c r="M910" i="7"/>
  <c r="N910" i="7" a="1"/>
  <c r="N910" i="7"/>
  <c r="O910" i="7"/>
  <c r="P910" i="7"/>
  <c r="M911" i="7"/>
  <c r="N911" i="7" a="1"/>
  <c r="N911" i="7"/>
  <c r="O911" i="7"/>
  <c r="P911" i="7"/>
  <c r="M912" i="7"/>
  <c r="N912" i="7" a="1"/>
  <c r="N912" i="7"/>
  <c r="O912" i="7"/>
  <c r="P912" i="7"/>
  <c r="M913" i="7"/>
  <c r="N913" i="7" a="1"/>
  <c r="N913" i="7"/>
  <c r="O913" i="7"/>
  <c r="P913" i="7"/>
  <c r="M914" i="7"/>
  <c r="N914" i="7" a="1"/>
  <c r="N914" i="7"/>
  <c r="O914" i="7"/>
  <c r="P914" i="7"/>
  <c r="M915" i="7"/>
  <c r="N915" i="7" a="1"/>
  <c r="N915" i="7"/>
  <c r="O915" i="7"/>
  <c r="P915" i="7"/>
  <c r="M916" i="7"/>
  <c r="N916" i="7" a="1"/>
  <c r="N916" i="7"/>
  <c r="O916" i="7"/>
  <c r="P916" i="7"/>
  <c r="M917" i="7"/>
  <c r="N917" i="7" a="1"/>
  <c r="N917" i="7"/>
  <c r="O917" i="7"/>
  <c r="P917" i="7"/>
  <c r="M918" i="7"/>
  <c r="N918" i="7" a="1"/>
  <c r="N918" i="7"/>
  <c r="O918" i="7"/>
  <c r="P918" i="7"/>
  <c r="M919" i="7"/>
  <c r="N919" i="7" a="1"/>
  <c r="N919" i="7"/>
  <c r="O919" i="7"/>
  <c r="P919" i="7"/>
  <c r="M920" i="7"/>
  <c r="N920" i="7" a="1"/>
  <c r="N920" i="7"/>
  <c r="O920" i="7"/>
  <c r="P920" i="7"/>
  <c r="M921" i="7"/>
  <c r="N921" i="7" a="1"/>
  <c r="N921" i="7"/>
  <c r="O921" i="7"/>
  <c r="P921" i="7"/>
  <c r="M922" i="7"/>
  <c r="N922" i="7" a="1"/>
  <c r="N922" i="7"/>
  <c r="O922" i="7"/>
  <c r="P922" i="7"/>
  <c r="M923" i="7"/>
  <c r="N923" i="7" a="1"/>
  <c r="N923" i="7"/>
  <c r="O923" i="7"/>
  <c r="P923" i="7"/>
  <c r="M924" i="7"/>
  <c r="N924" i="7" a="1"/>
  <c r="N924" i="7"/>
  <c r="O924" i="7"/>
  <c r="P924" i="7"/>
  <c r="M925" i="7"/>
  <c r="N925" i="7" a="1"/>
  <c r="N925" i="7"/>
  <c r="O925" i="7"/>
  <c r="P925" i="7"/>
  <c r="M926" i="7"/>
  <c r="N926" i="7" a="1"/>
  <c r="N926" i="7"/>
  <c r="O926" i="7"/>
  <c r="P926" i="7"/>
  <c r="M927" i="7"/>
  <c r="N927" i="7" a="1"/>
  <c r="N927" i="7"/>
  <c r="O927" i="7"/>
  <c r="P927" i="7"/>
  <c r="M928" i="7"/>
  <c r="N928" i="7" a="1"/>
  <c r="N928" i="7"/>
  <c r="O928" i="7"/>
  <c r="P928" i="7"/>
  <c r="M929" i="7"/>
  <c r="N929" i="7" a="1"/>
  <c r="N929" i="7"/>
  <c r="O929" i="7"/>
  <c r="P929" i="7"/>
  <c r="M930" i="7"/>
  <c r="N930" i="7" a="1"/>
  <c r="N930" i="7"/>
  <c r="O930" i="7"/>
  <c r="P930" i="7"/>
  <c r="M931" i="7"/>
  <c r="N931" i="7" a="1"/>
  <c r="N931" i="7"/>
  <c r="O931" i="7"/>
  <c r="P931" i="7"/>
  <c r="M932" i="7"/>
  <c r="N932" i="7" a="1"/>
  <c r="N932" i="7"/>
  <c r="O932" i="7"/>
  <c r="P932" i="7"/>
  <c r="M933" i="7"/>
  <c r="N933" i="7" a="1"/>
  <c r="N933" i="7" s="1"/>
  <c r="O933" i="7"/>
  <c r="P933" i="7"/>
  <c r="M934" i="7"/>
  <c r="N934" i="7" a="1"/>
  <c r="N934" i="7" s="1"/>
  <c r="O934" i="7"/>
  <c r="P934" i="7"/>
  <c r="M935" i="7"/>
  <c r="N935" i="7" a="1"/>
  <c r="N935" i="7" s="1"/>
  <c r="O935" i="7"/>
  <c r="P935" i="7"/>
  <c r="M936" i="7"/>
  <c r="N936" i="7" a="1"/>
  <c r="N936" i="7" s="1"/>
  <c r="O936" i="7"/>
  <c r="P936" i="7"/>
  <c r="M937" i="7"/>
  <c r="N937" i="7" a="1"/>
  <c r="N937" i="7" s="1"/>
  <c r="O937" i="7"/>
  <c r="P937" i="7"/>
  <c r="M938" i="7"/>
  <c r="N938" i="7" a="1"/>
  <c r="N938" i="7" s="1"/>
  <c r="O938" i="7"/>
  <c r="P938" i="7"/>
  <c r="M939" i="7"/>
  <c r="N939" i="7" a="1"/>
  <c r="N939" i="7" s="1"/>
  <c r="O939" i="7"/>
  <c r="P939" i="7"/>
  <c r="M940" i="7"/>
  <c r="N940" i="7" a="1"/>
  <c r="N940" i="7" s="1"/>
  <c r="O940" i="7"/>
  <c r="P940" i="7"/>
  <c r="M941" i="7"/>
  <c r="N941" i="7" a="1"/>
  <c r="N941" i="7" s="1"/>
  <c r="O941" i="7"/>
  <c r="P941" i="7"/>
  <c r="M942" i="7"/>
  <c r="N942" i="7" a="1"/>
  <c r="N942" i="7" s="1"/>
  <c r="O942" i="7"/>
  <c r="P942" i="7"/>
  <c r="M943" i="7"/>
  <c r="N943" i="7" a="1"/>
  <c r="N943" i="7" s="1"/>
  <c r="O943" i="7"/>
  <c r="P943" i="7"/>
  <c r="M944" i="7"/>
  <c r="N944" i="7" a="1"/>
  <c r="N944" i="7" s="1"/>
  <c r="O944" i="7"/>
  <c r="P944" i="7"/>
  <c r="M945" i="7"/>
  <c r="N945" i="7" a="1"/>
  <c r="N945" i="7" s="1"/>
  <c r="O945" i="7"/>
  <c r="P945" i="7"/>
  <c r="M946" i="7"/>
  <c r="N946" i="7" a="1"/>
  <c r="N946" i="7" s="1"/>
  <c r="O946" i="7"/>
  <c r="P946" i="7"/>
  <c r="M947" i="7"/>
  <c r="N947" i="7" a="1"/>
  <c r="N947" i="7" s="1"/>
  <c r="O947" i="7"/>
  <c r="P947" i="7"/>
  <c r="M948" i="7"/>
  <c r="N948" i="7" a="1"/>
  <c r="N948" i="7" s="1"/>
  <c r="O948" i="7"/>
  <c r="P948" i="7"/>
  <c r="M949" i="7"/>
  <c r="N949" i="7" a="1"/>
  <c r="N949" i="7" s="1"/>
  <c r="O949" i="7"/>
  <c r="P949" i="7"/>
  <c r="M950" i="7"/>
  <c r="N950" i="7" a="1"/>
  <c r="N950" i="7" s="1"/>
  <c r="O950" i="7"/>
  <c r="P950" i="7"/>
  <c r="M951" i="7"/>
  <c r="N951" i="7" a="1"/>
  <c r="N951" i="7" s="1"/>
  <c r="O951" i="7"/>
  <c r="P951" i="7"/>
  <c r="M952" i="7"/>
  <c r="N952" i="7" a="1"/>
  <c r="N952" i="7" s="1"/>
  <c r="O952" i="7"/>
  <c r="P952" i="7"/>
  <c r="M953" i="7"/>
  <c r="N953" i="7" a="1"/>
  <c r="N953" i="7" s="1"/>
  <c r="O953" i="7"/>
  <c r="P953" i="7"/>
  <c r="M954" i="7"/>
  <c r="N954" i="7" a="1"/>
  <c r="N954" i="7" s="1"/>
  <c r="O954" i="7"/>
  <c r="P954" i="7"/>
  <c r="M955" i="7"/>
  <c r="N955" i="7" a="1"/>
  <c r="N955" i="7" s="1"/>
  <c r="O955" i="7"/>
  <c r="P955" i="7"/>
  <c r="M956" i="7"/>
  <c r="N956" i="7" a="1"/>
  <c r="N956" i="7" s="1"/>
  <c r="O956" i="7"/>
  <c r="P956" i="7"/>
  <c r="M957" i="7"/>
  <c r="N957" i="7" a="1"/>
  <c r="N957" i="7" s="1"/>
  <c r="O957" i="7"/>
  <c r="P957" i="7"/>
  <c r="M958" i="7"/>
  <c r="N958" i="7" a="1"/>
  <c r="N958" i="7" s="1"/>
  <c r="O958" i="7"/>
  <c r="P958" i="7"/>
  <c r="M959" i="7"/>
  <c r="N959" i="7" a="1"/>
  <c r="N959" i="7" s="1"/>
  <c r="O959" i="7"/>
  <c r="P959" i="7"/>
  <c r="M960" i="7"/>
  <c r="N960" i="7" a="1"/>
  <c r="N960" i="7" s="1"/>
  <c r="O960" i="7"/>
  <c r="P960" i="7"/>
  <c r="M961" i="7"/>
  <c r="N961" i="7" a="1"/>
  <c r="N961" i="7" s="1"/>
  <c r="O961" i="7"/>
  <c r="P961" i="7"/>
  <c r="M962" i="7"/>
  <c r="N962" i="7" a="1"/>
  <c r="N962" i="7" s="1"/>
  <c r="O962" i="7"/>
  <c r="P962" i="7"/>
  <c r="M963" i="7"/>
  <c r="N963" i="7" a="1"/>
  <c r="N963" i="7" s="1"/>
  <c r="O963" i="7"/>
  <c r="P963" i="7"/>
  <c r="M964" i="7"/>
  <c r="N964" i="7" a="1"/>
  <c r="N964" i="7" s="1"/>
  <c r="O964" i="7"/>
  <c r="P964" i="7"/>
  <c r="M965" i="7"/>
  <c r="N965" i="7" a="1"/>
  <c r="N965" i="7" s="1"/>
  <c r="O965" i="7"/>
  <c r="P965" i="7"/>
  <c r="M966" i="7"/>
  <c r="N966" i="7" a="1"/>
  <c r="N966" i="7" s="1"/>
  <c r="O966" i="7"/>
  <c r="P966" i="7"/>
  <c r="M967" i="7"/>
  <c r="N967" i="7" a="1"/>
  <c r="N967" i="7" s="1"/>
  <c r="O967" i="7"/>
  <c r="P967" i="7"/>
  <c r="M968" i="7"/>
  <c r="N968" i="7" a="1"/>
  <c r="N968" i="7" s="1"/>
  <c r="O968" i="7"/>
  <c r="P968" i="7"/>
  <c r="M969" i="7"/>
  <c r="N969" i="7" a="1"/>
  <c r="N969" i="7" s="1"/>
  <c r="O969" i="7"/>
  <c r="P969" i="7"/>
  <c r="M970" i="7"/>
  <c r="N970" i="7" a="1"/>
  <c r="N970" i="7" s="1"/>
  <c r="O970" i="7"/>
  <c r="P970" i="7"/>
  <c r="M971" i="7"/>
  <c r="N971" i="7" a="1"/>
  <c r="N971" i="7" s="1"/>
  <c r="O971" i="7"/>
  <c r="P971" i="7"/>
  <c r="M972" i="7"/>
  <c r="N972" i="7" a="1"/>
  <c r="N972" i="7" s="1"/>
  <c r="O972" i="7"/>
  <c r="P972" i="7"/>
  <c r="M973" i="7"/>
  <c r="N973" i="7" a="1"/>
  <c r="N973" i="7" s="1"/>
  <c r="O973" i="7"/>
  <c r="P973" i="7"/>
  <c r="M974" i="7"/>
  <c r="N974" i="7" a="1"/>
  <c r="N974" i="7" s="1"/>
  <c r="O974" i="7"/>
  <c r="P974" i="7"/>
  <c r="M975" i="7"/>
  <c r="N975" i="7" a="1"/>
  <c r="N975" i="7" s="1"/>
  <c r="O975" i="7"/>
  <c r="P975" i="7"/>
  <c r="M976" i="7"/>
  <c r="N976" i="7" a="1"/>
  <c r="N976" i="7" s="1"/>
  <c r="O976" i="7"/>
  <c r="P976" i="7"/>
  <c r="M977" i="7"/>
  <c r="N977" i="7" a="1"/>
  <c r="N977" i="7" s="1"/>
  <c r="O977" i="7"/>
  <c r="P977" i="7"/>
  <c r="M978" i="7"/>
  <c r="N978" i="7" a="1"/>
  <c r="N978" i="7" s="1"/>
  <c r="O978" i="7"/>
  <c r="P978" i="7"/>
  <c r="M979" i="7"/>
  <c r="N979" i="7" a="1"/>
  <c r="N979" i="7" s="1"/>
  <c r="O979" i="7"/>
  <c r="P979" i="7"/>
  <c r="M980" i="7"/>
  <c r="N980" i="7" a="1"/>
  <c r="N980" i="7" s="1"/>
  <c r="O980" i="7"/>
  <c r="P980" i="7"/>
  <c r="M981" i="7"/>
  <c r="N981" i="7" a="1"/>
  <c r="N981" i="7" s="1"/>
  <c r="O981" i="7"/>
  <c r="P981" i="7"/>
  <c r="M982" i="7"/>
  <c r="N982" i="7" a="1"/>
  <c r="N982" i="7" s="1"/>
  <c r="O982" i="7"/>
  <c r="P982" i="7"/>
  <c r="M983" i="7"/>
  <c r="N983" i="7" a="1"/>
  <c r="N983" i="7" s="1"/>
  <c r="O983" i="7"/>
  <c r="P983" i="7"/>
  <c r="M984" i="7"/>
  <c r="N984" i="7" a="1"/>
  <c r="N984" i="7" s="1"/>
  <c r="O984" i="7"/>
  <c r="P984" i="7"/>
  <c r="M985" i="7"/>
  <c r="N985" i="7" a="1"/>
  <c r="N985" i="7" s="1"/>
  <c r="O985" i="7"/>
  <c r="P985" i="7"/>
  <c r="M986" i="7"/>
  <c r="N986" i="7" a="1"/>
  <c r="N986" i="7" s="1"/>
  <c r="O986" i="7"/>
  <c r="P986" i="7"/>
  <c r="M987" i="7"/>
  <c r="N987" i="7" a="1"/>
  <c r="N987" i="7" s="1"/>
  <c r="O987" i="7"/>
  <c r="P987" i="7"/>
  <c r="M988" i="7"/>
  <c r="N988" i="7" a="1"/>
  <c r="N988" i="7" s="1"/>
  <c r="O988" i="7"/>
  <c r="P988" i="7"/>
  <c r="M989" i="7"/>
  <c r="N989" i="7" a="1"/>
  <c r="N989" i="7" s="1"/>
  <c r="O989" i="7"/>
  <c r="P989" i="7"/>
  <c r="M990" i="7"/>
  <c r="N990" i="7" a="1"/>
  <c r="N990" i="7" s="1"/>
  <c r="O990" i="7"/>
  <c r="P990" i="7"/>
  <c r="M991" i="7"/>
  <c r="N991" i="7" a="1"/>
  <c r="N991" i="7" s="1"/>
  <c r="O991" i="7"/>
  <c r="P991" i="7"/>
  <c r="M992" i="7"/>
  <c r="N992" i="7" a="1"/>
  <c r="N992" i="7" s="1"/>
  <c r="O992" i="7"/>
  <c r="P992" i="7"/>
  <c r="M993" i="7"/>
  <c r="N993" i="7" a="1"/>
  <c r="N993" i="7" s="1"/>
  <c r="O993" i="7"/>
  <c r="P993" i="7"/>
  <c r="M994" i="7"/>
  <c r="N994" i="7" a="1"/>
  <c r="N994" i="7" s="1"/>
  <c r="O994" i="7"/>
  <c r="P994" i="7"/>
  <c r="M995" i="7"/>
  <c r="N995" i="7" a="1"/>
  <c r="N995" i="7" s="1"/>
  <c r="O995" i="7"/>
  <c r="P995" i="7"/>
  <c r="M996" i="7"/>
  <c r="N996" i="7" a="1"/>
  <c r="N996" i="7" s="1"/>
  <c r="O996" i="7"/>
  <c r="P996" i="7"/>
  <c r="M997" i="7"/>
  <c r="N997" i="7" a="1"/>
  <c r="N997" i="7" s="1"/>
  <c r="O997" i="7"/>
  <c r="P997" i="7"/>
  <c r="M998" i="7"/>
  <c r="N998" i="7" a="1"/>
  <c r="N998" i="7" s="1"/>
  <c r="O998" i="7"/>
  <c r="P998" i="7"/>
  <c r="M999" i="7"/>
  <c r="N999" i="7" a="1"/>
  <c r="N999" i="7" s="1"/>
  <c r="O999" i="7"/>
  <c r="P999" i="7"/>
  <c r="M1000" i="7"/>
  <c r="N1000" i="7" a="1"/>
  <c r="N1000" i="7" s="1"/>
  <c r="O1000" i="7"/>
  <c r="P1000" i="7"/>
  <c r="M1001" i="7"/>
  <c r="N1001" i="7" a="1"/>
  <c r="N1001" i="7" s="1"/>
  <c r="O1001" i="7"/>
  <c r="P1001" i="7"/>
  <c r="P2" i="7"/>
  <c r="M2" i="7"/>
  <c r="B2" i="7" a="1"/>
  <c r="C252" i="4"/>
  <c r="D252" i="4" s="1" a="1"/>
  <c r="D252" i="4" s="1"/>
  <c r="C2" i="4"/>
  <c r="D2" i="4" s="1" a="1"/>
  <c r="D2" i="4" s="1"/>
  <c r="B73" i="15" l="1"/>
  <c r="B42" i="17"/>
  <c r="B39" i="17"/>
  <c r="B34" i="17"/>
  <c r="B33" i="17"/>
  <c r="B50" i="17"/>
  <c r="B49" i="17"/>
  <c r="B47" i="17"/>
  <c r="B52" i="17"/>
  <c r="B58" i="17"/>
  <c r="B57" i="17"/>
  <c r="B56" i="17"/>
  <c r="B55" i="17"/>
  <c r="B54" i="17"/>
  <c r="B53" i="17"/>
  <c r="B70" i="17"/>
  <c r="B68" i="17"/>
  <c r="B65" i="17"/>
  <c r="B64" i="17"/>
  <c r="B63" i="17"/>
  <c r="B61" i="17"/>
  <c r="B74" i="17"/>
  <c r="B86" i="17"/>
  <c r="B85" i="17"/>
  <c r="B84" i="17"/>
  <c r="B83" i="17"/>
  <c r="B53" i="15"/>
  <c r="B11" i="17"/>
  <c r="B10" i="17"/>
  <c r="B9" i="17"/>
  <c r="B7" i="17"/>
  <c r="B49" i="15"/>
  <c r="B14" i="17"/>
  <c r="B12" i="17"/>
  <c r="B16" i="17"/>
  <c r="B41" i="15"/>
  <c r="B5" i="17"/>
  <c r="B39" i="15"/>
  <c r="B15" i="17"/>
  <c r="B37" i="15"/>
  <c r="B2" i="17"/>
  <c r="B4" i="17"/>
  <c r="B27" i="15"/>
  <c r="B87" i="15"/>
  <c r="B15" i="15"/>
  <c r="B3" i="15"/>
  <c r="B86" i="15"/>
  <c r="B74" i="15"/>
  <c r="B50" i="15"/>
  <c r="B38" i="15"/>
  <c r="B26" i="15"/>
  <c r="B14" i="15"/>
  <c r="B85" i="15"/>
  <c r="B61" i="15"/>
  <c r="B13" i="15"/>
  <c r="B84" i="15"/>
  <c r="B72" i="15"/>
  <c r="B60" i="15"/>
  <c r="B48" i="15"/>
  <c r="B36" i="15"/>
  <c r="B83" i="15"/>
  <c r="B71" i="15"/>
  <c r="B59" i="15"/>
  <c r="B47" i="15"/>
  <c r="B35" i="15"/>
  <c r="B23" i="15"/>
  <c r="B11" i="15"/>
  <c r="B82" i="15"/>
  <c r="B70" i="15"/>
  <c r="B58" i="15"/>
  <c r="B46" i="15"/>
  <c r="B34" i="15"/>
  <c r="B22" i="15"/>
  <c r="B10" i="15"/>
  <c r="B81" i="15"/>
  <c r="B69" i="15"/>
  <c r="B57" i="15"/>
  <c r="B45" i="15"/>
  <c r="B33" i="15"/>
  <c r="B21" i="15"/>
  <c r="B9" i="15"/>
  <c r="B80" i="15"/>
  <c r="B68" i="15"/>
  <c r="B56" i="15"/>
  <c r="B44" i="15"/>
  <c r="B32" i="15"/>
  <c r="B20" i="15"/>
  <c r="B8" i="15"/>
  <c r="B79" i="15"/>
  <c r="B67" i="15"/>
  <c r="B55" i="15"/>
  <c r="B31" i="15"/>
  <c r="B19" i="15"/>
  <c r="B7" i="15"/>
  <c r="E20" i="13" a="1"/>
  <c r="E20" i="13" s="1"/>
  <c r="F20" i="13" s="1" a="1"/>
  <c r="F20" i="13" s="1"/>
  <c r="B78" i="15"/>
  <c r="B66" i="15"/>
  <c r="B54" i="15"/>
  <c r="B42" i="15"/>
  <c r="B30" i="15"/>
  <c r="B18" i="15"/>
  <c r="B6" i="15"/>
  <c r="B65" i="15"/>
  <c r="B29" i="15"/>
  <c r="B17" i="15"/>
  <c r="B5" i="15"/>
  <c r="B76" i="15"/>
  <c r="B64" i="15"/>
  <c r="B52" i="15"/>
  <c r="B40" i="15"/>
  <c r="B28" i="15"/>
  <c r="B16" i="15"/>
  <c r="B4" i="15"/>
  <c r="B2" i="15"/>
  <c r="C2" i="15"/>
  <c r="L722" i="10"/>
  <c r="L348" i="11"/>
  <c r="L196" i="11"/>
  <c r="L395" i="11"/>
  <c r="K184" i="10" a="1"/>
  <c r="K184" i="10" s="1"/>
  <c r="K196" i="10" a="1"/>
  <c r="K196" i="10" s="1"/>
  <c r="K208" i="10" a="1"/>
  <c r="K208" i="10" s="1"/>
  <c r="K232" i="10" a="1"/>
  <c r="K232" i="10" s="1"/>
  <c r="K220" i="10" a="1"/>
  <c r="K220" i="10" s="1"/>
  <c r="K316" i="10" a="1"/>
  <c r="K316" i="10" s="1"/>
  <c r="K304" i="10" a="1"/>
  <c r="K304" i="10" s="1"/>
  <c r="K292" i="10" a="1"/>
  <c r="K292" i="10" s="1"/>
  <c r="K280" i="10" a="1"/>
  <c r="K280" i="10" s="1"/>
  <c r="K268" i="10" a="1"/>
  <c r="K268" i="10" s="1"/>
  <c r="K256" i="10" a="1"/>
  <c r="K256" i="10" s="1"/>
  <c r="K244" i="10" a="1"/>
  <c r="K244" i="10" s="1"/>
  <c r="K352" i="10" a="1"/>
  <c r="K352" i="10" s="1"/>
  <c r="K340" i="10" a="1"/>
  <c r="K340" i="10" s="1"/>
  <c r="K328" i="10" a="1"/>
  <c r="K328" i="10" s="1"/>
  <c r="L509" i="10"/>
  <c r="L469" i="12"/>
  <c r="K364" i="10" a="1"/>
  <c r="K364" i="10" s="1"/>
  <c r="K520" i="10" a="1"/>
  <c r="K520" i="10" s="1"/>
  <c r="K508" i="10" a="1"/>
  <c r="K508" i="10" s="1"/>
  <c r="K496" i="10" a="1"/>
  <c r="K496" i="10" s="1"/>
  <c r="K484" i="10" a="1"/>
  <c r="K484" i="10" s="1"/>
  <c r="K472" i="10" a="1"/>
  <c r="K472" i="10" s="1"/>
  <c r="K460" i="10" a="1"/>
  <c r="K460" i="10" s="1"/>
  <c r="K448" i="10" a="1"/>
  <c r="K448" i="10" s="1"/>
  <c r="K436" i="10" a="1"/>
  <c r="K436" i="10" s="1"/>
  <c r="K424" i="10" a="1"/>
  <c r="K424" i="10" s="1"/>
  <c r="K412" i="10" a="1"/>
  <c r="K412" i="10" s="1"/>
  <c r="K400" i="10" a="1"/>
  <c r="K400" i="10" s="1"/>
  <c r="K388" i="10" a="1"/>
  <c r="K388" i="10" s="1"/>
  <c r="K376" i="10" a="1"/>
  <c r="K376" i="10" s="1"/>
  <c r="K592" i="10" a="1"/>
  <c r="K592" i="10" s="1"/>
  <c r="K580" i="10" a="1"/>
  <c r="K580" i="10" s="1"/>
  <c r="K568" i="10" a="1"/>
  <c r="K568" i="10" s="1"/>
  <c r="K556" i="10" a="1"/>
  <c r="K556" i="10" s="1"/>
  <c r="K544" i="10" a="1"/>
  <c r="K544" i="10" s="1"/>
  <c r="K604" i="10" a="1"/>
  <c r="K604" i="10" s="1"/>
  <c r="K676" i="10" a="1"/>
  <c r="K676" i="10" s="1"/>
  <c r="K664" i="10" a="1"/>
  <c r="K664" i="10" s="1"/>
  <c r="K652" i="10" a="1"/>
  <c r="K652" i="10" s="1"/>
  <c r="K640" i="10" a="1"/>
  <c r="K640" i="10" s="1"/>
  <c r="K628" i="10" a="1"/>
  <c r="K628" i="10" s="1"/>
  <c r="K616" i="10" a="1"/>
  <c r="K616" i="10" s="1"/>
  <c r="K832" i="10" a="1"/>
  <c r="K832" i="10" s="1"/>
  <c r="K820" i="10" a="1"/>
  <c r="K820" i="10" s="1"/>
  <c r="K796" i="10" a="1"/>
  <c r="K796" i="10" s="1"/>
  <c r="K784" i="10" a="1"/>
  <c r="K784" i="10" s="1"/>
  <c r="K760" i="10" a="1"/>
  <c r="K760" i="10" s="1"/>
  <c r="K748" i="10" a="1"/>
  <c r="K748" i="10" s="1"/>
  <c r="K736" i="10" a="1"/>
  <c r="K736" i="10" s="1"/>
  <c r="K712" i="10" a="1"/>
  <c r="K712" i="10" s="1"/>
  <c r="K700" i="10" a="1"/>
  <c r="K700" i="10" s="1"/>
  <c r="K688" i="10" a="1"/>
  <c r="K688" i="10" s="1"/>
  <c r="K844" i="10" a="1"/>
  <c r="K844" i="10" s="1"/>
  <c r="K952" i="10" a="1"/>
  <c r="K952" i="10" s="1"/>
  <c r="K940" i="10" a="1"/>
  <c r="K940" i="10" s="1"/>
  <c r="K928" i="10" a="1"/>
  <c r="K928" i="10" s="1"/>
  <c r="K916" i="10" a="1"/>
  <c r="K916" i="10" s="1"/>
  <c r="K904" i="10" a="1"/>
  <c r="K904" i="10" s="1"/>
  <c r="K892" i="10" a="1"/>
  <c r="K892" i="10" s="1"/>
  <c r="K880" i="10" a="1"/>
  <c r="K880" i="10" s="1"/>
  <c r="K868" i="10" a="1"/>
  <c r="K868" i="10" s="1"/>
  <c r="K856" i="10" a="1"/>
  <c r="K856" i="10" s="1"/>
  <c r="K1024" i="10" a="1"/>
  <c r="K1024" i="10" s="1"/>
  <c r="K1012" i="10" a="1"/>
  <c r="K1012" i="10" s="1"/>
  <c r="K1000" i="10" a="1"/>
  <c r="K1000" i="10" s="1"/>
  <c r="K988" i="10" a="1"/>
  <c r="K988" i="10" s="1"/>
  <c r="K976" i="10" a="1"/>
  <c r="K976" i="10" s="1"/>
  <c r="K964" i="10" a="1"/>
  <c r="K964" i="10" s="1"/>
  <c r="K807" i="10" a="1"/>
  <c r="K807" i="10" s="1"/>
  <c r="K723" i="10" a="1"/>
  <c r="K723" i="10" s="1"/>
  <c r="K40" i="10" a="1"/>
  <c r="K40" i="10" s="1"/>
  <c r="K112" i="10" a="1"/>
  <c r="K112" i="10" s="1"/>
  <c r="K100" i="10" a="1"/>
  <c r="K100" i="10" s="1"/>
  <c r="K88" i="10" a="1"/>
  <c r="K88" i="10" s="1"/>
  <c r="K76" i="10" a="1"/>
  <c r="K76" i="10" s="1"/>
  <c r="K64" i="10" a="1"/>
  <c r="K64" i="10" s="1"/>
  <c r="L639" i="10"/>
  <c r="L244" i="11"/>
  <c r="L337" i="11"/>
  <c r="L313" i="11"/>
  <c r="K52" i="10" a="1"/>
  <c r="K52" i="10" s="1"/>
  <c r="K536" i="10" a="1"/>
  <c r="K536" i="10" s="1"/>
  <c r="K148" i="10" a="1"/>
  <c r="K148" i="10" s="1"/>
  <c r="K124" i="10" a="1"/>
  <c r="K124" i="10" s="1"/>
  <c r="K172" i="10" a="1"/>
  <c r="K172" i="10" s="1"/>
  <c r="L334" i="2"/>
  <c r="K159" i="10" a="1"/>
  <c r="K159" i="10" s="1"/>
  <c r="L1129" i="10"/>
  <c r="L1123" i="10"/>
  <c r="K4" i="10" a="1"/>
  <c r="K4" i="10" s="1"/>
  <c r="K28" i="10" a="1"/>
  <c r="K28" i="10" s="1"/>
  <c r="L1127" i="10"/>
  <c r="L1115" i="10"/>
  <c r="L635" i="10"/>
  <c r="L643" i="10"/>
  <c r="L697" i="10"/>
  <c r="L865" i="10"/>
  <c r="L510" i="11"/>
  <c r="L209" i="11"/>
  <c r="L556" i="11"/>
  <c r="L728" i="11"/>
  <c r="L716" i="11"/>
  <c r="L305" i="11"/>
  <c r="L701" i="11"/>
  <c r="L689" i="11"/>
  <c r="L683" i="11"/>
  <c r="L553" i="11"/>
  <c r="L836" i="12"/>
  <c r="L832" i="12"/>
  <c r="L829" i="12"/>
  <c r="L838" i="12"/>
  <c r="L850" i="12"/>
  <c r="L802" i="12"/>
  <c r="L788" i="12"/>
  <c r="L847" i="12"/>
  <c r="L883" i="12"/>
  <c r="L841" i="12"/>
  <c r="J898" i="12"/>
  <c r="L892" i="12"/>
  <c r="J873" i="12"/>
  <c r="J850" i="12"/>
  <c r="J835" i="12"/>
  <c r="B888" i="12"/>
  <c r="F888" i="12"/>
  <c r="G888" i="12" s="1"/>
  <c r="H888" i="12"/>
  <c r="I888" i="12" s="1"/>
  <c r="L891" i="12"/>
  <c r="J891" i="12"/>
  <c r="H901" i="12"/>
  <c r="I901" i="12" s="1"/>
  <c r="B901" i="12"/>
  <c r="F901" i="12"/>
  <c r="G901" i="12" s="1"/>
  <c r="F900" i="12"/>
  <c r="G900" i="12" s="1"/>
  <c r="H900" i="12"/>
  <c r="I900" i="12" s="1"/>
  <c r="B900" i="12"/>
  <c r="L897" i="12"/>
  <c r="J897" i="12"/>
  <c r="H885" i="12"/>
  <c r="I885" i="12" s="1"/>
  <c r="B885" i="12"/>
  <c r="F885" i="12"/>
  <c r="G885" i="12" s="1"/>
  <c r="J879" i="12"/>
  <c r="H889" i="12"/>
  <c r="I889" i="12" s="1"/>
  <c r="F886" i="12"/>
  <c r="G886" i="12" s="1"/>
  <c r="H886" i="12"/>
  <c r="I886" i="12" s="1"/>
  <c r="B877" i="12"/>
  <c r="F877" i="12"/>
  <c r="G877" i="12" s="1"/>
  <c r="H877" i="12"/>
  <c r="I877" i="12" s="1"/>
  <c r="J863" i="12"/>
  <c r="L863" i="12"/>
  <c r="F889" i="12"/>
  <c r="G889" i="12" s="1"/>
  <c r="H895" i="12"/>
  <c r="I895" i="12" s="1"/>
  <c r="L867" i="12"/>
  <c r="J867" i="12"/>
  <c r="F895" i="12"/>
  <c r="G895" i="12" s="1"/>
  <c r="B879" i="12"/>
  <c r="F879" i="12"/>
  <c r="G879" i="12" s="1"/>
  <c r="B876" i="12"/>
  <c r="H876" i="12"/>
  <c r="I876" i="12" s="1"/>
  <c r="H862" i="12"/>
  <c r="I862" i="12" s="1"/>
  <c r="B862" i="12"/>
  <c r="F862" i="12"/>
  <c r="G862" i="12" s="1"/>
  <c r="J892" i="12"/>
  <c r="J878" i="12"/>
  <c r="L868" i="12"/>
  <c r="J868" i="12"/>
  <c r="H899" i="12"/>
  <c r="I899" i="12" s="1"/>
  <c r="H887" i="12"/>
  <c r="I887" i="12" s="1"/>
  <c r="B887" i="12"/>
  <c r="J881" i="12"/>
  <c r="H844" i="12"/>
  <c r="I844" i="12" s="1"/>
  <c r="F844" i="12"/>
  <c r="G844" i="12" s="1"/>
  <c r="B844" i="12"/>
  <c r="F899" i="12"/>
  <c r="G899" i="12" s="1"/>
  <c r="B861" i="12"/>
  <c r="F861" i="12"/>
  <c r="G861" i="12" s="1"/>
  <c r="H861" i="12"/>
  <c r="I861" i="12" s="1"/>
  <c r="H896" i="12"/>
  <c r="I896" i="12" s="1"/>
  <c r="L893" i="12"/>
  <c r="B892" i="12"/>
  <c r="F892" i="12"/>
  <c r="G892" i="12" s="1"/>
  <c r="H875" i="12"/>
  <c r="I875" i="12" s="1"/>
  <c r="B875" i="12"/>
  <c r="F875" i="12"/>
  <c r="G875" i="12" s="1"/>
  <c r="F884" i="12"/>
  <c r="G884" i="12" s="1"/>
  <c r="H884" i="12"/>
  <c r="I884" i="12" s="1"/>
  <c r="B882" i="12"/>
  <c r="H882" i="12"/>
  <c r="I882" i="12" s="1"/>
  <c r="B890" i="12"/>
  <c r="F890" i="12"/>
  <c r="G890" i="12" s="1"/>
  <c r="H890" i="12"/>
  <c r="I890" i="12" s="1"/>
  <c r="B886" i="12"/>
  <c r="J883" i="12"/>
  <c r="L871" i="12"/>
  <c r="J871" i="12"/>
  <c r="L849" i="12"/>
  <c r="J849" i="12"/>
  <c r="L811" i="12"/>
  <c r="J811" i="12"/>
  <c r="F873" i="12"/>
  <c r="G873" i="12" s="1"/>
  <c r="F870" i="12"/>
  <c r="G870" i="12" s="1"/>
  <c r="H856" i="12"/>
  <c r="I856" i="12" s="1"/>
  <c r="B856" i="12"/>
  <c r="F856" i="12"/>
  <c r="G856" i="12" s="1"/>
  <c r="J855" i="12"/>
  <c r="H853" i="12"/>
  <c r="I853" i="12" s="1"/>
  <c r="B853" i="12"/>
  <c r="F853" i="12"/>
  <c r="G853" i="12" s="1"/>
  <c r="L840" i="12"/>
  <c r="J840" i="12"/>
  <c r="L827" i="12"/>
  <c r="J827" i="12"/>
  <c r="L837" i="12"/>
  <c r="J837" i="12"/>
  <c r="L825" i="12"/>
  <c r="J825" i="12"/>
  <c r="L822" i="12"/>
  <c r="J822" i="12"/>
  <c r="B814" i="12"/>
  <c r="F814" i="12"/>
  <c r="G814" i="12" s="1"/>
  <c r="H814" i="12"/>
  <c r="I814" i="12" s="1"/>
  <c r="L810" i="12"/>
  <c r="J810" i="12"/>
  <c r="H865" i="12"/>
  <c r="I865" i="12" s="1"/>
  <c r="F865" i="12"/>
  <c r="G865" i="12" s="1"/>
  <c r="B852" i="12"/>
  <c r="F852" i="12"/>
  <c r="G852" i="12" s="1"/>
  <c r="H852" i="12"/>
  <c r="I852" i="12" s="1"/>
  <c r="J866" i="12"/>
  <c r="F863" i="12"/>
  <c r="G863" i="12" s="1"/>
  <c r="B863" i="12"/>
  <c r="B855" i="12"/>
  <c r="F855" i="12"/>
  <c r="G855" i="12" s="1"/>
  <c r="L846" i="12"/>
  <c r="J846" i="12"/>
  <c r="B843" i="12"/>
  <c r="F843" i="12"/>
  <c r="G843" i="12" s="1"/>
  <c r="H843" i="12"/>
  <c r="I843" i="12" s="1"/>
  <c r="J798" i="12"/>
  <c r="J864" i="12"/>
  <c r="J845" i="12"/>
  <c r="J817" i="12"/>
  <c r="L805" i="12"/>
  <c r="J805" i="12"/>
  <c r="H880" i="12"/>
  <c r="I880" i="12" s="1"/>
  <c r="B868" i="12"/>
  <c r="F868" i="12"/>
  <c r="G868" i="12" s="1"/>
  <c r="F860" i="12"/>
  <c r="G860" i="12" s="1"/>
  <c r="B860" i="12"/>
  <c r="H860" i="12"/>
  <c r="I860" i="12" s="1"/>
  <c r="L834" i="12"/>
  <c r="J834" i="12"/>
  <c r="B878" i="12"/>
  <c r="F878" i="12"/>
  <c r="G878" i="12" s="1"/>
  <c r="H894" i="12"/>
  <c r="I894" i="12" s="1"/>
  <c r="F874" i="12"/>
  <c r="G874" i="12" s="1"/>
  <c r="H874" i="12"/>
  <c r="I874" i="12" s="1"/>
  <c r="H872" i="12"/>
  <c r="I872" i="12" s="1"/>
  <c r="H869" i="12"/>
  <c r="I869" i="12" s="1"/>
  <c r="F880" i="12"/>
  <c r="G880" i="12" s="1"/>
  <c r="B820" i="12"/>
  <c r="F820" i="12"/>
  <c r="G820" i="12" s="1"/>
  <c r="H820" i="12"/>
  <c r="I820" i="12" s="1"/>
  <c r="J816" i="12"/>
  <c r="B808" i="12"/>
  <c r="F808" i="12"/>
  <c r="G808" i="12" s="1"/>
  <c r="H808" i="12"/>
  <c r="I808" i="12" s="1"/>
  <c r="J804" i="12"/>
  <c r="L793" i="12"/>
  <c r="J793" i="12"/>
  <c r="F857" i="12"/>
  <c r="G857" i="12" s="1"/>
  <c r="H857" i="12"/>
  <c r="I857" i="12" s="1"/>
  <c r="L828" i="12"/>
  <c r="J828" i="12"/>
  <c r="J800" i="12"/>
  <c r="H859" i="12"/>
  <c r="I859" i="12" s="1"/>
  <c r="B859" i="12"/>
  <c r="F848" i="12"/>
  <c r="G848" i="12" s="1"/>
  <c r="H848" i="12"/>
  <c r="I848" i="12" s="1"/>
  <c r="B848" i="12"/>
  <c r="F839" i="12"/>
  <c r="G839" i="12" s="1"/>
  <c r="H839" i="12"/>
  <c r="I839" i="12" s="1"/>
  <c r="B796" i="12"/>
  <c r="F796" i="12"/>
  <c r="G796" i="12" s="1"/>
  <c r="H796" i="12"/>
  <c r="I796" i="12" s="1"/>
  <c r="J838" i="12"/>
  <c r="B837" i="12"/>
  <c r="F837" i="12"/>
  <c r="G837" i="12" s="1"/>
  <c r="F835" i="12"/>
  <c r="G835" i="12" s="1"/>
  <c r="H851" i="12"/>
  <c r="I851" i="12" s="1"/>
  <c r="B850" i="12"/>
  <c r="B845" i="12"/>
  <c r="H833" i="12"/>
  <c r="I833" i="12" s="1"/>
  <c r="B819" i="12"/>
  <c r="F819" i="12"/>
  <c r="G819" i="12" s="1"/>
  <c r="H819" i="12"/>
  <c r="I819" i="12" s="1"/>
  <c r="B807" i="12"/>
  <c r="F807" i="12"/>
  <c r="G807" i="12" s="1"/>
  <c r="H807" i="12"/>
  <c r="I807" i="12" s="1"/>
  <c r="J799" i="12"/>
  <c r="F797" i="12"/>
  <c r="G797" i="12" s="1"/>
  <c r="H797" i="12"/>
  <c r="I797" i="12" s="1"/>
  <c r="B797" i="12"/>
  <c r="B858" i="12"/>
  <c r="F858" i="12"/>
  <c r="G858" i="12" s="1"/>
  <c r="J841" i="12"/>
  <c r="B840" i="12"/>
  <c r="F840" i="12"/>
  <c r="G840" i="12" s="1"/>
  <c r="F838" i="12"/>
  <c r="G838" i="12" s="1"/>
  <c r="J836" i="12"/>
  <c r="H818" i="12"/>
  <c r="I818" i="12" s="1"/>
  <c r="H806" i="12"/>
  <c r="I806" i="12" s="1"/>
  <c r="B802" i="12"/>
  <c r="F802" i="12"/>
  <c r="G802" i="12" s="1"/>
  <c r="B791" i="12"/>
  <c r="F791" i="12"/>
  <c r="G791" i="12" s="1"/>
  <c r="H791" i="12"/>
  <c r="I791" i="12" s="1"/>
  <c r="H854" i="12"/>
  <c r="I854" i="12" s="1"/>
  <c r="B835" i="12"/>
  <c r="B825" i="12"/>
  <c r="F825" i="12"/>
  <c r="G825" i="12" s="1"/>
  <c r="F821" i="12"/>
  <c r="G821" i="12" s="1"/>
  <c r="H821" i="12"/>
  <c r="I821" i="12" s="1"/>
  <c r="B821" i="12"/>
  <c r="F818" i="12"/>
  <c r="G818" i="12" s="1"/>
  <c r="F809" i="12"/>
  <c r="G809" i="12" s="1"/>
  <c r="H809" i="12"/>
  <c r="I809" i="12" s="1"/>
  <c r="B809" i="12"/>
  <c r="F806" i="12"/>
  <c r="G806" i="12" s="1"/>
  <c r="J790" i="12"/>
  <c r="L831" i="12"/>
  <c r="J831" i="12"/>
  <c r="J826" i="12"/>
  <c r="B816" i="12"/>
  <c r="F816" i="12"/>
  <c r="G816" i="12" s="1"/>
  <c r="B804" i="12"/>
  <c r="F804" i="12"/>
  <c r="G804" i="12" s="1"/>
  <c r="B799" i="12"/>
  <c r="F799" i="12"/>
  <c r="G799" i="12" s="1"/>
  <c r="B851" i="12"/>
  <c r="B838" i="12"/>
  <c r="B833" i="12"/>
  <c r="F823" i="12"/>
  <c r="G823" i="12" s="1"/>
  <c r="H823" i="12"/>
  <c r="I823" i="12" s="1"/>
  <c r="B811" i="12"/>
  <c r="F811" i="12"/>
  <c r="G811" i="12" s="1"/>
  <c r="B846" i="12"/>
  <c r="F846" i="12"/>
  <c r="G846" i="12" s="1"/>
  <c r="J847" i="12"/>
  <c r="B828" i="12"/>
  <c r="F828" i="12"/>
  <c r="G828" i="12" s="1"/>
  <c r="F826" i="12"/>
  <c r="G826" i="12" s="1"/>
  <c r="B854" i="12"/>
  <c r="H842" i="12"/>
  <c r="I842" i="12" s="1"/>
  <c r="B841" i="12"/>
  <c r="F813" i="12"/>
  <c r="G813" i="12" s="1"/>
  <c r="H813" i="12"/>
  <c r="I813" i="12" s="1"/>
  <c r="B813" i="12"/>
  <c r="F801" i="12"/>
  <c r="G801" i="12" s="1"/>
  <c r="H801" i="12"/>
  <c r="I801" i="12" s="1"/>
  <c r="B801" i="12"/>
  <c r="F793" i="12"/>
  <c r="G793" i="12" s="1"/>
  <c r="B793" i="12"/>
  <c r="B849" i="12"/>
  <c r="F849" i="12"/>
  <c r="G849" i="12" s="1"/>
  <c r="F847" i="12"/>
  <c r="G847" i="12" s="1"/>
  <c r="J832" i="12"/>
  <c r="B831" i="12"/>
  <c r="F831" i="12"/>
  <c r="G831" i="12" s="1"/>
  <c r="F829" i="12"/>
  <c r="G829" i="12" s="1"/>
  <c r="H812" i="12"/>
  <c r="I812" i="12" s="1"/>
  <c r="B815" i="12"/>
  <c r="F815" i="12"/>
  <c r="G815" i="12" s="1"/>
  <c r="H815" i="12"/>
  <c r="I815" i="12" s="1"/>
  <c r="B803" i="12"/>
  <c r="F803" i="12"/>
  <c r="G803" i="12" s="1"/>
  <c r="H803" i="12"/>
  <c r="I803" i="12" s="1"/>
  <c r="B798" i="12"/>
  <c r="F798" i="12"/>
  <c r="G798" i="12" s="1"/>
  <c r="B834" i="12"/>
  <c r="F834" i="12"/>
  <c r="G834" i="12" s="1"/>
  <c r="F824" i="12"/>
  <c r="G824" i="12" s="1"/>
  <c r="H824" i="12"/>
  <c r="I824" i="12" s="1"/>
  <c r="B822" i="12"/>
  <c r="F822" i="12"/>
  <c r="G822" i="12" s="1"/>
  <c r="B810" i="12"/>
  <c r="F810" i="12"/>
  <c r="G810" i="12" s="1"/>
  <c r="J802" i="12"/>
  <c r="B795" i="12"/>
  <c r="F795" i="12"/>
  <c r="G795" i="12" s="1"/>
  <c r="H795" i="12"/>
  <c r="I795" i="12" s="1"/>
  <c r="B792" i="12"/>
  <c r="F792" i="12"/>
  <c r="G792" i="12" s="1"/>
  <c r="H792" i="12"/>
  <c r="I792" i="12" s="1"/>
  <c r="H858" i="12"/>
  <c r="I858" i="12" s="1"/>
  <c r="B847" i="12"/>
  <c r="B842" i="12"/>
  <c r="H830" i="12"/>
  <c r="I830" i="12" s="1"/>
  <c r="F817" i="12"/>
  <c r="G817" i="12" s="1"/>
  <c r="B817" i="12"/>
  <c r="F805" i="12"/>
  <c r="G805" i="12" s="1"/>
  <c r="B805" i="12"/>
  <c r="B800" i="12"/>
  <c r="F800" i="12"/>
  <c r="G800" i="12" s="1"/>
  <c r="H794" i="12"/>
  <c r="I794" i="12" s="1"/>
  <c r="B787" i="12"/>
  <c r="F787" i="12"/>
  <c r="G787" i="12" s="1"/>
  <c r="J788" i="12"/>
  <c r="B786" i="12"/>
  <c r="F786" i="12"/>
  <c r="G786" i="12" s="1"/>
  <c r="H786" i="12"/>
  <c r="I786" i="12" s="1"/>
  <c r="H789" i="12"/>
  <c r="I789" i="12" s="1"/>
  <c r="H787" i="12"/>
  <c r="I787" i="12" s="1"/>
  <c r="B785" i="12"/>
  <c r="F785" i="12"/>
  <c r="G785" i="12" s="1"/>
  <c r="H785" i="12"/>
  <c r="I785" i="12" s="1"/>
  <c r="F781" i="12"/>
  <c r="G781" i="12" s="1"/>
  <c r="H781" i="12"/>
  <c r="I781" i="12" s="1"/>
  <c r="B781" i="12"/>
  <c r="B784" i="12"/>
  <c r="H784" i="12"/>
  <c r="I784" i="12" s="1"/>
  <c r="F784" i="12"/>
  <c r="G784" i="12" s="1"/>
  <c r="F780" i="12"/>
  <c r="G780" i="12" s="1"/>
  <c r="H780" i="12"/>
  <c r="I780" i="12" s="1"/>
  <c r="B780" i="12"/>
  <c r="H779" i="12"/>
  <c r="I779" i="12" s="1"/>
  <c r="F779" i="12"/>
  <c r="G779" i="12" s="1"/>
  <c r="B779" i="12"/>
  <c r="B783" i="12"/>
  <c r="F783" i="12"/>
  <c r="G783" i="12" s="1"/>
  <c r="H783" i="12"/>
  <c r="I783" i="12" s="1"/>
  <c r="B778" i="12"/>
  <c r="F778" i="12"/>
  <c r="G778" i="12" s="1"/>
  <c r="H778" i="12"/>
  <c r="I778" i="12" s="1"/>
  <c r="B782" i="12"/>
  <c r="F782" i="12"/>
  <c r="G782" i="12" s="1"/>
  <c r="H782" i="12"/>
  <c r="I782" i="12" s="1"/>
  <c r="B777" i="12"/>
  <c r="F777" i="12"/>
  <c r="G777" i="12" s="1"/>
  <c r="H777" i="12"/>
  <c r="I777" i="12" s="1"/>
  <c r="B776" i="12"/>
  <c r="F776" i="12"/>
  <c r="G776" i="12" s="1"/>
  <c r="H776" i="12"/>
  <c r="I776" i="12" s="1"/>
  <c r="H213" i="12"/>
  <c r="I213" i="12" s="1"/>
  <c r="B213" i="12"/>
  <c r="H476" i="12"/>
  <c r="I476" i="12" s="1"/>
  <c r="H464" i="12"/>
  <c r="I464" i="12" s="1"/>
  <c r="F470" i="12"/>
  <c r="G470" i="12" s="1"/>
  <c r="B744" i="11"/>
  <c r="F709" i="11"/>
  <c r="G709" i="11" s="1"/>
  <c r="F421" i="12"/>
  <c r="G421" i="12" s="1"/>
  <c r="F754" i="12"/>
  <c r="G754" i="12" s="1"/>
  <c r="H754" i="12"/>
  <c r="I754" i="12" s="1"/>
  <c r="B754" i="12"/>
  <c r="F758" i="12"/>
  <c r="G758" i="12" s="1"/>
  <c r="H758" i="12"/>
  <c r="I758" i="12" s="1"/>
  <c r="B758" i="12"/>
  <c r="B774" i="12"/>
  <c r="F774" i="12"/>
  <c r="G774" i="12" s="1"/>
  <c r="H774" i="12"/>
  <c r="I774" i="12" s="1"/>
  <c r="F773" i="12"/>
  <c r="G773" i="12" s="1"/>
  <c r="H773" i="12"/>
  <c r="I773" i="12" s="1"/>
  <c r="B773" i="12"/>
  <c r="H769" i="12"/>
  <c r="I769" i="12" s="1"/>
  <c r="B769" i="12"/>
  <c r="F769" i="12"/>
  <c r="G769" i="12" s="1"/>
  <c r="F765" i="12"/>
  <c r="G765" i="12" s="1"/>
  <c r="H765" i="12"/>
  <c r="I765" i="12" s="1"/>
  <c r="B765" i="12"/>
  <c r="B761" i="12"/>
  <c r="F761" i="12"/>
  <c r="G761" i="12" s="1"/>
  <c r="H761" i="12"/>
  <c r="I761" i="12" s="1"/>
  <c r="H757" i="12"/>
  <c r="I757" i="12" s="1"/>
  <c r="B757" i="12"/>
  <c r="F757" i="12"/>
  <c r="G757" i="12" s="1"/>
  <c r="F753" i="12"/>
  <c r="G753" i="12" s="1"/>
  <c r="H753" i="12"/>
  <c r="I753" i="12" s="1"/>
  <c r="B753" i="12"/>
  <c r="B762" i="12"/>
  <c r="F762" i="12"/>
  <c r="G762" i="12" s="1"/>
  <c r="H762" i="12"/>
  <c r="I762" i="12" s="1"/>
  <c r="F766" i="12"/>
  <c r="G766" i="12" s="1"/>
  <c r="H766" i="12"/>
  <c r="I766" i="12" s="1"/>
  <c r="B766" i="12"/>
  <c r="H752" i="12"/>
  <c r="I752" i="12" s="1"/>
  <c r="B752" i="12"/>
  <c r="F752" i="12"/>
  <c r="G752" i="12" s="1"/>
  <c r="F770" i="12"/>
  <c r="G770" i="12" s="1"/>
  <c r="B770" i="12"/>
  <c r="H770" i="12"/>
  <c r="I770" i="12" s="1"/>
  <c r="B772" i="12"/>
  <c r="F772" i="12"/>
  <c r="G772" i="12" s="1"/>
  <c r="H772" i="12"/>
  <c r="I772" i="12" s="1"/>
  <c r="B768" i="12"/>
  <c r="F768" i="12"/>
  <c r="G768" i="12" s="1"/>
  <c r="H768" i="12"/>
  <c r="I768" i="12" s="1"/>
  <c r="H764" i="12"/>
  <c r="I764" i="12" s="1"/>
  <c r="B764" i="12"/>
  <c r="F764" i="12"/>
  <c r="G764" i="12" s="1"/>
  <c r="B760" i="12"/>
  <c r="F760" i="12"/>
  <c r="G760" i="12" s="1"/>
  <c r="H760" i="12"/>
  <c r="I760" i="12" s="1"/>
  <c r="B756" i="12"/>
  <c r="F756" i="12"/>
  <c r="G756" i="12" s="1"/>
  <c r="H756" i="12"/>
  <c r="I756" i="12" s="1"/>
  <c r="B751" i="12"/>
  <c r="F751" i="12"/>
  <c r="G751" i="12" s="1"/>
  <c r="H751" i="12"/>
  <c r="I751" i="12" s="1"/>
  <c r="B775" i="12"/>
  <c r="F775" i="12"/>
  <c r="G775" i="12" s="1"/>
  <c r="H775" i="12"/>
  <c r="I775" i="12" s="1"/>
  <c r="H771" i="12"/>
  <c r="I771" i="12" s="1"/>
  <c r="B771" i="12"/>
  <c r="F771" i="12"/>
  <c r="G771" i="12" s="1"/>
  <c r="B767" i="12"/>
  <c r="F767" i="12"/>
  <c r="G767" i="12" s="1"/>
  <c r="H767" i="12"/>
  <c r="I767" i="12" s="1"/>
  <c r="B763" i="12"/>
  <c r="F763" i="12"/>
  <c r="G763" i="12" s="1"/>
  <c r="H763" i="12"/>
  <c r="I763" i="12" s="1"/>
  <c r="F759" i="12"/>
  <c r="G759" i="12" s="1"/>
  <c r="H759" i="12"/>
  <c r="I759" i="12" s="1"/>
  <c r="B759" i="12"/>
  <c r="B755" i="12"/>
  <c r="F755" i="12"/>
  <c r="G755" i="12" s="1"/>
  <c r="H755" i="12"/>
  <c r="I755" i="12" s="1"/>
  <c r="B750" i="12"/>
  <c r="F750" i="12"/>
  <c r="G750" i="12" s="1"/>
  <c r="H750" i="12"/>
  <c r="I750" i="12" s="1"/>
  <c r="B749" i="12"/>
  <c r="F749" i="12"/>
  <c r="G749" i="12" s="1"/>
  <c r="H749" i="12"/>
  <c r="I749" i="12" s="1"/>
  <c r="F745" i="12"/>
  <c r="G745" i="12" s="1"/>
  <c r="H745" i="12"/>
  <c r="I745" i="12" s="1"/>
  <c r="B745" i="12"/>
  <c r="B741" i="12"/>
  <c r="F741" i="12"/>
  <c r="G741" i="12" s="1"/>
  <c r="H741" i="12"/>
  <c r="I741" i="12" s="1"/>
  <c r="F737" i="12"/>
  <c r="G737" i="12" s="1"/>
  <c r="H737" i="12"/>
  <c r="I737" i="12" s="1"/>
  <c r="B737" i="12"/>
  <c r="F733" i="12"/>
  <c r="G733" i="12" s="1"/>
  <c r="H733" i="12"/>
  <c r="I733" i="12" s="1"/>
  <c r="B733" i="12"/>
  <c r="B729" i="12"/>
  <c r="F729" i="12"/>
  <c r="G729" i="12" s="1"/>
  <c r="H729" i="12"/>
  <c r="I729" i="12" s="1"/>
  <c r="F725" i="12"/>
  <c r="G725" i="12" s="1"/>
  <c r="H725" i="12"/>
  <c r="I725" i="12" s="1"/>
  <c r="B725" i="12"/>
  <c r="F721" i="12"/>
  <c r="G721" i="12" s="1"/>
  <c r="H721" i="12"/>
  <c r="I721" i="12" s="1"/>
  <c r="B721" i="12"/>
  <c r="B717" i="12"/>
  <c r="F717" i="12"/>
  <c r="G717" i="12" s="1"/>
  <c r="H717" i="12"/>
  <c r="I717" i="12" s="1"/>
  <c r="F713" i="12"/>
  <c r="G713" i="12" s="1"/>
  <c r="H713" i="12"/>
  <c r="I713" i="12" s="1"/>
  <c r="B713" i="12"/>
  <c r="F709" i="12"/>
  <c r="G709" i="12" s="1"/>
  <c r="H709" i="12"/>
  <c r="I709" i="12" s="1"/>
  <c r="B709" i="12"/>
  <c r="B748" i="12"/>
  <c r="F748" i="12"/>
  <c r="G748" i="12" s="1"/>
  <c r="H748" i="12"/>
  <c r="I748" i="12" s="1"/>
  <c r="H744" i="12"/>
  <c r="I744" i="12" s="1"/>
  <c r="F744" i="12"/>
  <c r="G744" i="12" s="1"/>
  <c r="B744" i="12"/>
  <c r="B740" i="12"/>
  <c r="F740" i="12"/>
  <c r="G740" i="12" s="1"/>
  <c r="H740" i="12"/>
  <c r="I740" i="12" s="1"/>
  <c r="H736" i="12"/>
  <c r="I736" i="12" s="1"/>
  <c r="B736" i="12"/>
  <c r="F736" i="12"/>
  <c r="G736" i="12" s="1"/>
  <c r="F732" i="12"/>
  <c r="G732" i="12" s="1"/>
  <c r="H732" i="12"/>
  <c r="I732" i="12" s="1"/>
  <c r="B732" i="12"/>
  <c r="B728" i="12"/>
  <c r="F728" i="12"/>
  <c r="G728" i="12" s="1"/>
  <c r="H728" i="12"/>
  <c r="I728" i="12" s="1"/>
  <c r="H724" i="12"/>
  <c r="I724" i="12" s="1"/>
  <c r="B724" i="12"/>
  <c r="F724" i="12"/>
  <c r="G724" i="12" s="1"/>
  <c r="F720" i="12"/>
  <c r="G720" i="12" s="1"/>
  <c r="H720" i="12"/>
  <c r="I720" i="12" s="1"/>
  <c r="B720" i="12"/>
  <c r="B716" i="12"/>
  <c r="F716" i="12"/>
  <c r="G716" i="12" s="1"/>
  <c r="H716" i="12"/>
  <c r="I716" i="12" s="1"/>
  <c r="H712" i="12"/>
  <c r="I712" i="12" s="1"/>
  <c r="B712" i="12"/>
  <c r="F712" i="12"/>
  <c r="G712" i="12" s="1"/>
  <c r="F708" i="12"/>
  <c r="G708" i="12" s="1"/>
  <c r="H708" i="12"/>
  <c r="I708" i="12" s="1"/>
  <c r="B708" i="12"/>
  <c r="H707" i="12"/>
  <c r="I707" i="12" s="1"/>
  <c r="B707" i="12"/>
  <c r="F707" i="12"/>
  <c r="G707" i="12" s="1"/>
  <c r="B747" i="12"/>
  <c r="F747" i="12"/>
  <c r="G747" i="12" s="1"/>
  <c r="H747" i="12"/>
  <c r="I747" i="12" s="1"/>
  <c r="H743" i="12"/>
  <c r="I743" i="12" s="1"/>
  <c r="B743" i="12"/>
  <c r="F743" i="12"/>
  <c r="G743" i="12" s="1"/>
  <c r="B739" i="12"/>
  <c r="F739" i="12"/>
  <c r="G739" i="12" s="1"/>
  <c r="H739" i="12"/>
  <c r="I739" i="12" s="1"/>
  <c r="B735" i="12"/>
  <c r="F735" i="12"/>
  <c r="G735" i="12" s="1"/>
  <c r="H735" i="12"/>
  <c r="I735" i="12" s="1"/>
  <c r="H731" i="12"/>
  <c r="I731" i="12" s="1"/>
  <c r="B731" i="12"/>
  <c r="F731" i="12"/>
  <c r="G731" i="12" s="1"/>
  <c r="B727" i="12"/>
  <c r="F727" i="12"/>
  <c r="G727" i="12" s="1"/>
  <c r="H727" i="12"/>
  <c r="I727" i="12" s="1"/>
  <c r="B723" i="12"/>
  <c r="F723" i="12"/>
  <c r="G723" i="12" s="1"/>
  <c r="H723" i="12"/>
  <c r="I723" i="12" s="1"/>
  <c r="H719" i="12"/>
  <c r="I719" i="12" s="1"/>
  <c r="B719" i="12"/>
  <c r="F719" i="12"/>
  <c r="G719" i="12" s="1"/>
  <c r="B715" i="12"/>
  <c r="F715" i="12"/>
  <c r="G715" i="12" s="1"/>
  <c r="H715" i="12"/>
  <c r="I715" i="12" s="1"/>
  <c r="B711" i="12"/>
  <c r="F711" i="12"/>
  <c r="G711" i="12" s="1"/>
  <c r="H711" i="12"/>
  <c r="I711" i="12" s="1"/>
  <c r="B706" i="12"/>
  <c r="F706" i="12"/>
  <c r="G706" i="12" s="1"/>
  <c r="H706" i="12"/>
  <c r="I706" i="12" s="1"/>
  <c r="F746" i="12"/>
  <c r="G746" i="12" s="1"/>
  <c r="H746" i="12"/>
  <c r="I746" i="12" s="1"/>
  <c r="B746" i="12"/>
  <c r="B742" i="12"/>
  <c r="F742" i="12"/>
  <c r="G742" i="12" s="1"/>
  <c r="H742" i="12"/>
  <c r="I742" i="12" s="1"/>
  <c r="F738" i="12"/>
  <c r="G738" i="12" s="1"/>
  <c r="H738" i="12"/>
  <c r="I738" i="12" s="1"/>
  <c r="B738" i="12"/>
  <c r="B734" i="12"/>
  <c r="F734" i="12"/>
  <c r="G734" i="12" s="1"/>
  <c r="H734" i="12"/>
  <c r="I734" i="12" s="1"/>
  <c r="B730" i="12"/>
  <c r="F730" i="12"/>
  <c r="G730" i="12" s="1"/>
  <c r="H730" i="12"/>
  <c r="I730" i="12" s="1"/>
  <c r="F726" i="12"/>
  <c r="G726" i="12" s="1"/>
  <c r="H726" i="12"/>
  <c r="I726" i="12" s="1"/>
  <c r="B726" i="12"/>
  <c r="B722" i="12"/>
  <c r="F722" i="12"/>
  <c r="G722" i="12" s="1"/>
  <c r="H722" i="12"/>
  <c r="I722" i="12" s="1"/>
  <c r="B718" i="12"/>
  <c r="F718" i="12"/>
  <c r="G718" i="12" s="1"/>
  <c r="H718" i="12"/>
  <c r="I718" i="12" s="1"/>
  <c r="F714" i="12"/>
  <c r="G714" i="12" s="1"/>
  <c r="H714" i="12"/>
  <c r="I714" i="12" s="1"/>
  <c r="B714" i="12"/>
  <c r="B710" i="12"/>
  <c r="F710" i="12"/>
  <c r="G710" i="12" s="1"/>
  <c r="H710" i="12"/>
  <c r="I710" i="12" s="1"/>
  <c r="B705" i="12"/>
  <c r="F705" i="12"/>
  <c r="G705" i="12" s="1"/>
  <c r="H705" i="12"/>
  <c r="I705" i="12" s="1"/>
  <c r="B704" i="12"/>
  <c r="F704" i="12"/>
  <c r="G704" i="12" s="1"/>
  <c r="H704" i="12"/>
  <c r="I704" i="12" s="1"/>
  <c r="J693" i="12"/>
  <c r="L696" i="12"/>
  <c r="J696" i="12"/>
  <c r="J702" i="12"/>
  <c r="L690" i="12"/>
  <c r="J690" i="12"/>
  <c r="F702" i="12"/>
  <c r="G702" i="12" s="1"/>
  <c r="F696" i="12"/>
  <c r="G696" i="12" s="1"/>
  <c r="F693" i="12"/>
  <c r="G693" i="12" s="1"/>
  <c r="B685" i="12"/>
  <c r="F685" i="12"/>
  <c r="G685" i="12" s="1"/>
  <c r="B682" i="12"/>
  <c r="F682" i="12"/>
  <c r="G682" i="12" s="1"/>
  <c r="H682" i="12"/>
  <c r="I682" i="12" s="1"/>
  <c r="B678" i="12"/>
  <c r="F678" i="12"/>
  <c r="G678" i="12" s="1"/>
  <c r="H678" i="12"/>
  <c r="I678" i="12" s="1"/>
  <c r="H674" i="12"/>
  <c r="I674" i="12" s="1"/>
  <c r="B674" i="12"/>
  <c r="F674" i="12"/>
  <c r="G674" i="12" s="1"/>
  <c r="B670" i="12"/>
  <c r="F670" i="12"/>
  <c r="G670" i="12" s="1"/>
  <c r="H670" i="12"/>
  <c r="I670" i="12" s="1"/>
  <c r="B666" i="12"/>
  <c r="F666" i="12"/>
  <c r="G666" i="12" s="1"/>
  <c r="H666" i="12"/>
  <c r="I666" i="12" s="1"/>
  <c r="H662" i="12"/>
  <c r="I662" i="12" s="1"/>
  <c r="B662" i="12"/>
  <c r="F662" i="12"/>
  <c r="G662" i="12" s="1"/>
  <c r="F658" i="12"/>
  <c r="G658" i="12" s="1"/>
  <c r="H658" i="12"/>
  <c r="I658" i="12" s="1"/>
  <c r="B658" i="12"/>
  <c r="B654" i="12"/>
  <c r="F654" i="12"/>
  <c r="G654" i="12" s="1"/>
  <c r="H654" i="12"/>
  <c r="I654" i="12" s="1"/>
  <c r="F650" i="12"/>
  <c r="G650" i="12" s="1"/>
  <c r="H650" i="12"/>
  <c r="I650" i="12" s="1"/>
  <c r="B650" i="12"/>
  <c r="F646" i="12"/>
  <c r="G646" i="12" s="1"/>
  <c r="H646" i="12"/>
  <c r="I646" i="12" s="1"/>
  <c r="B646" i="12"/>
  <c r="F690" i="12"/>
  <c r="G690" i="12" s="1"/>
  <c r="H703" i="12"/>
  <c r="I703" i="12" s="1"/>
  <c r="B702" i="12"/>
  <c r="H700" i="12"/>
  <c r="I700" i="12" s="1"/>
  <c r="B699" i="12"/>
  <c r="H697" i="12"/>
  <c r="I697" i="12" s="1"/>
  <c r="B696" i="12"/>
  <c r="H694" i="12"/>
  <c r="I694" i="12" s="1"/>
  <c r="B693" i="12"/>
  <c r="H691" i="12"/>
  <c r="I691" i="12" s="1"/>
  <c r="B690" i="12"/>
  <c r="H688" i="12"/>
  <c r="I688" i="12" s="1"/>
  <c r="F700" i="12"/>
  <c r="G700" i="12" s="1"/>
  <c r="F688" i="12"/>
  <c r="G688" i="12" s="1"/>
  <c r="H686" i="12"/>
  <c r="I686" i="12" s="1"/>
  <c r="F691" i="12"/>
  <c r="G691" i="12" s="1"/>
  <c r="F686" i="12"/>
  <c r="G686" i="12" s="1"/>
  <c r="F681" i="12"/>
  <c r="G681" i="12" s="1"/>
  <c r="H681" i="12"/>
  <c r="I681" i="12" s="1"/>
  <c r="B681" i="12"/>
  <c r="B677" i="12"/>
  <c r="F677" i="12"/>
  <c r="G677" i="12" s="1"/>
  <c r="H677" i="12"/>
  <c r="I677" i="12" s="1"/>
  <c r="B673" i="12"/>
  <c r="F673" i="12"/>
  <c r="G673" i="12" s="1"/>
  <c r="H673" i="12"/>
  <c r="I673" i="12" s="1"/>
  <c r="F669" i="12"/>
  <c r="G669" i="12" s="1"/>
  <c r="H669" i="12"/>
  <c r="I669" i="12" s="1"/>
  <c r="B669" i="12"/>
  <c r="B665" i="12"/>
  <c r="F665" i="12"/>
  <c r="G665" i="12" s="1"/>
  <c r="H665" i="12"/>
  <c r="I665" i="12" s="1"/>
  <c r="B661" i="12"/>
  <c r="F661" i="12"/>
  <c r="G661" i="12" s="1"/>
  <c r="H661" i="12"/>
  <c r="I661" i="12" s="1"/>
  <c r="F657" i="12"/>
  <c r="G657" i="12" s="1"/>
  <c r="H657" i="12"/>
  <c r="I657" i="12" s="1"/>
  <c r="B657" i="12"/>
  <c r="B653" i="12"/>
  <c r="F653" i="12"/>
  <c r="G653" i="12" s="1"/>
  <c r="H653" i="12"/>
  <c r="I653" i="12" s="1"/>
  <c r="H649" i="12"/>
  <c r="I649" i="12" s="1"/>
  <c r="B649" i="12"/>
  <c r="F649" i="12"/>
  <c r="G649" i="12" s="1"/>
  <c r="F645" i="12"/>
  <c r="G645" i="12" s="1"/>
  <c r="H645" i="12"/>
  <c r="I645" i="12" s="1"/>
  <c r="B645" i="12"/>
  <c r="F703" i="12"/>
  <c r="G703" i="12" s="1"/>
  <c r="F697" i="12"/>
  <c r="G697" i="12" s="1"/>
  <c r="F694" i="12"/>
  <c r="G694" i="12" s="1"/>
  <c r="H701" i="12"/>
  <c r="I701" i="12" s="1"/>
  <c r="H698" i="12"/>
  <c r="I698" i="12" s="1"/>
  <c r="H695" i="12"/>
  <c r="I695" i="12" s="1"/>
  <c r="H692" i="12"/>
  <c r="I692" i="12" s="1"/>
  <c r="H689" i="12"/>
  <c r="I689" i="12" s="1"/>
  <c r="B684" i="12"/>
  <c r="F684" i="12"/>
  <c r="G684" i="12" s="1"/>
  <c r="H684" i="12"/>
  <c r="I684" i="12" s="1"/>
  <c r="H644" i="12"/>
  <c r="I644" i="12" s="1"/>
  <c r="B644" i="12"/>
  <c r="F644" i="12"/>
  <c r="G644" i="12" s="1"/>
  <c r="F701" i="12"/>
  <c r="G701" i="12" s="1"/>
  <c r="F689" i="12"/>
  <c r="G689" i="12" s="1"/>
  <c r="F680" i="12"/>
  <c r="G680" i="12" s="1"/>
  <c r="H680" i="12"/>
  <c r="I680" i="12" s="1"/>
  <c r="B680" i="12"/>
  <c r="F676" i="12"/>
  <c r="G676" i="12" s="1"/>
  <c r="H676" i="12"/>
  <c r="I676" i="12" s="1"/>
  <c r="B676" i="12"/>
  <c r="B672" i="12"/>
  <c r="F672" i="12"/>
  <c r="G672" i="12" s="1"/>
  <c r="H672" i="12"/>
  <c r="I672" i="12" s="1"/>
  <c r="F668" i="12"/>
  <c r="G668" i="12" s="1"/>
  <c r="H668" i="12"/>
  <c r="I668" i="12" s="1"/>
  <c r="B668" i="12"/>
  <c r="F664" i="12"/>
  <c r="G664" i="12" s="1"/>
  <c r="H664" i="12"/>
  <c r="I664" i="12" s="1"/>
  <c r="B664" i="12"/>
  <c r="B660" i="12"/>
  <c r="F660" i="12"/>
  <c r="G660" i="12" s="1"/>
  <c r="H660" i="12"/>
  <c r="I660" i="12" s="1"/>
  <c r="H656" i="12"/>
  <c r="I656" i="12" s="1"/>
  <c r="B656" i="12"/>
  <c r="F656" i="12"/>
  <c r="G656" i="12" s="1"/>
  <c r="B652" i="12"/>
  <c r="F652" i="12"/>
  <c r="G652" i="12" s="1"/>
  <c r="H652" i="12"/>
  <c r="I652" i="12" s="1"/>
  <c r="B648" i="12"/>
  <c r="F648" i="12"/>
  <c r="G648" i="12" s="1"/>
  <c r="H648" i="12"/>
  <c r="I648" i="12" s="1"/>
  <c r="F692" i="12"/>
  <c r="G692" i="12" s="1"/>
  <c r="B643" i="12"/>
  <c r="F643" i="12"/>
  <c r="G643" i="12" s="1"/>
  <c r="H643" i="12"/>
  <c r="I643" i="12" s="1"/>
  <c r="J687" i="12"/>
  <c r="L687" i="12"/>
  <c r="F698" i="12"/>
  <c r="G698" i="12" s="1"/>
  <c r="F695" i="12"/>
  <c r="G695" i="12" s="1"/>
  <c r="H699" i="12"/>
  <c r="I699" i="12" s="1"/>
  <c r="F687" i="12"/>
  <c r="G687" i="12" s="1"/>
  <c r="H685" i="12"/>
  <c r="I685" i="12" s="1"/>
  <c r="B683" i="12"/>
  <c r="F683" i="12"/>
  <c r="G683" i="12" s="1"/>
  <c r="H683" i="12"/>
  <c r="I683" i="12" s="1"/>
  <c r="H679" i="12"/>
  <c r="I679" i="12" s="1"/>
  <c r="B679" i="12"/>
  <c r="F679" i="12"/>
  <c r="G679" i="12" s="1"/>
  <c r="F675" i="12"/>
  <c r="G675" i="12" s="1"/>
  <c r="H675" i="12"/>
  <c r="I675" i="12" s="1"/>
  <c r="B675" i="12"/>
  <c r="B671" i="12"/>
  <c r="F671" i="12"/>
  <c r="G671" i="12" s="1"/>
  <c r="H671" i="12"/>
  <c r="I671" i="12" s="1"/>
  <c r="H667" i="12"/>
  <c r="I667" i="12" s="1"/>
  <c r="B667" i="12"/>
  <c r="F667" i="12"/>
  <c r="G667" i="12" s="1"/>
  <c r="F663" i="12"/>
  <c r="G663" i="12" s="1"/>
  <c r="H663" i="12"/>
  <c r="I663" i="12" s="1"/>
  <c r="B663" i="12"/>
  <c r="B659" i="12"/>
  <c r="F659" i="12"/>
  <c r="G659" i="12" s="1"/>
  <c r="H659" i="12"/>
  <c r="I659" i="12" s="1"/>
  <c r="B655" i="12"/>
  <c r="F655" i="12"/>
  <c r="G655" i="12" s="1"/>
  <c r="H655" i="12"/>
  <c r="I655" i="12" s="1"/>
  <c r="F651" i="12"/>
  <c r="G651" i="12" s="1"/>
  <c r="H651" i="12"/>
  <c r="I651" i="12" s="1"/>
  <c r="B651" i="12"/>
  <c r="B647" i="12"/>
  <c r="F647" i="12"/>
  <c r="G647" i="12" s="1"/>
  <c r="H647" i="12"/>
  <c r="I647" i="12" s="1"/>
  <c r="B642" i="12"/>
  <c r="F642" i="12"/>
  <c r="G642" i="12" s="1"/>
  <c r="H642" i="12"/>
  <c r="I642" i="12" s="1"/>
  <c r="B641" i="12"/>
  <c r="F641" i="12"/>
  <c r="G641" i="12" s="1"/>
  <c r="H641" i="12"/>
  <c r="I641" i="12" s="1"/>
  <c r="F637" i="12"/>
  <c r="G637" i="12" s="1"/>
  <c r="H637" i="12"/>
  <c r="I637" i="12" s="1"/>
  <c r="B637" i="12"/>
  <c r="B640" i="12"/>
  <c r="H640" i="12"/>
  <c r="I640" i="12" s="1"/>
  <c r="F640" i="12"/>
  <c r="G640" i="12" s="1"/>
  <c r="F636" i="12"/>
  <c r="G636" i="12" s="1"/>
  <c r="H636" i="12"/>
  <c r="I636" i="12" s="1"/>
  <c r="B636" i="12"/>
  <c r="H635" i="12"/>
  <c r="I635" i="12" s="1"/>
  <c r="B635" i="12"/>
  <c r="F635" i="12"/>
  <c r="G635" i="12" s="1"/>
  <c r="B639" i="12"/>
  <c r="F639" i="12"/>
  <c r="G639" i="12" s="1"/>
  <c r="H639" i="12"/>
  <c r="I639" i="12" s="1"/>
  <c r="B634" i="12"/>
  <c r="H634" i="12"/>
  <c r="I634" i="12" s="1"/>
  <c r="F634" i="12"/>
  <c r="G634" i="12" s="1"/>
  <c r="B638" i="12"/>
  <c r="F638" i="12"/>
  <c r="G638" i="12" s="1"/>
  <c r="H638" i="12"/>
  <c r="I638" i="12" s="1"/>
  <c r="B633" i="12"/>
  <c r="F633" i="12"/>
  <c r="G633" i="12" s="1"/>
  <c r="H633" i="12"/>
  <c r="I633" i="12" s="1"/>
  <c r="B632" i="12"/>
  <c r="F632" i="12"/>
  <c r="G632" i="12" s="1"/>
  <c r="H632" i="12"/>
  <c r="I632" i="12" s="1"/>
  <c r="H352" i="11"/>
  <c r="I352" i="11" s="1"/>
  <c r="H570" i="11"/>
  <c r="I570" i="11" s="1"/>
  <c r="B738" i="11"/>
  <c r="H216" i="12"/>
  <c r="I216" i="12" s="1"/>
  <c r="H180" i="12"/>
  <c r="I180" i="12" s="1"/>
  <c r="H1039" i="10"/>
  <c r="I1039" i="10" s="1"/>
  <c r="L1039" i="10" s="1"/>
  <c r="H255" i="12"/>
  <c r="I255" i="12" s="1"/>
  <c r="B475" i="12"/>
  <c r="F471" i="12"/>
  <c r="G471" i="12" s="1"/>
  <c r="H164" i="12"/>
  <c r="I164" i="12" s="1"/>
  <c r="F393" i="12"/>
  <c r="G393" i="12" s="1"/>
  <c r="H795" i="11"/>
  <c r="I795" i="11" s="1"/>
  <c r="B774" i="11"/>
  <c r="B477" i="12"/>
  <c r="B471" i="12"/>
  <c r="B454" i="11"/>
  <c r="B562" i="11"/>
  <c r="B483" i="11"/>
  <c r="F406" i="12"/>
  <c r="G406" i="12" s="1"/>
  <c r="F464" i="12"/>
  <c r="G464" i="12" s="1"/>
  <c r="B473" i="12"/>
  <c r="F628" i="12"/>
  <c r="G628" i="12" s="1"/>
  <c r="H628" i="12"/>
  <c r="I628" i="12" s="1"/>
  <c r="B628" i="12"/>
  <c r="B631" i="12"/>
  <c r="H631" i="12"/>
  <c r="I631" i="12" s="1"/>
  <c r="F631" i="12"/>
  <c r="G631" i="12" s="1"/>
  <c r="F627" i="12"/>
  <c r="G627" i="12" s="1"/>
  <c r="H627" i="12"/>
  <c r="I627" i="12" s="1"/>
  <c r="B627" i="12"/>
  <c r="H626" i="12"/>
  <c r="I626" i="12" s="1"/>
  <c r="B626" i="12"/>
  <c r="F626" i="12"/>
  <c r="G626" i="12" s="1"/>
  <c r="B630" i="12"/>
  <c r="F630" i="12"/>
  <c r="G630" i="12" s="1"/>
  <c r="H630" i="12"/>
  <c r="I630" i="12" s="1"/>
  <c r="B625" i="12"/>
  <c r="F625" i="12"/>
  <c r="G625" i="12" s="1"/>
  <c r="H625" i="12"/>
  <c r="I625" i="12" s="1"/>
  <c r="B629" i="12"/>
  <c r="F629" i="12"/>
  <c r="G629" i="12" s="1"/>
  <c r="H629" i="12"/>
  <c r="I629" i="12" s="1"/>
  <c r="B624" i="12"/>
  <c r="F624" i="12"/>
  <c r="G624" i="12" s="1"/>
  <c r="H624" i="12"/>
  <c r="I624" i="12" s="1"/>
  <c r="B623" i="12"/>
  <c r="F623" i="12"/>
  <c r="G623" i="12" s="1"/>
  <c r="H623" i="12"/>
  <c r="I623" i="12" s="1"/>
  <c r="F620" i="12"/>
  <c r="G620" i="12" s="1"/>
  <c r="H620" i="12"/>
  <c r="I620" i="12" s="1"/>
  <c r="B620" i="12"/>
  <c r="F616" i="12"/>
  <c r="G616" i="12" s="1"/>
  <c r="H616" i="12"/>
  <c r="I616" i="12" s="1"/>
  <c r="B616" i="12"/>
  <c r="B612" i="12"/>
  <c r="F612" i="12"/>
  <c r="G612" i="12" s="1"/>
  <c r="H612" i="12"/>
  <c r="I612" i="12" s="1"/>
  <c r="F608" i="12"/>
  <c r="G608" i="12" s="1"/>
  <c r="H608" i="12"/>
  <c r="I608" i="12" s="1"/>
  <c r="B608" i="12"/>
  <c r="F604" i="12"/>
  <c r="G604" i="12" s="1"/>
  <c r="H604" i="12"/>
  <c r="I604" i="12" s="1"/>
  <c r="B604" i="12"/>
  <c r="B600" i="12"/>
  <c r="F600" i="12"/>
  <c r="G600" i="12" s="1"/>
  <c r="H600" i="12"/>
  <c r="I600" i="12" s="1"/>
  <c r="F596" i="12"/>
  <c r="G596" i="12" s="1"/>
  <c r="H596" i="12"/>
  <c r="I596" i="12" s="1"/>
  <c r="B596" i="12"/>
  <c r="F592" i="12"/>
  <c r="G592" i="12" s="1"/>
  <c r="H592" i="12"/>
  <c r="I592" i="12" s="1"/>
  <c r="B592" i="12"/>
  <c r="H619" i="12"/>
  <c r="I619" i="12" s="1"/>
  <c r="B619" i="12"/>
  <c r="F619" i="12"/>
  <c r="G619" i="12" s="1"/>
  <c r="F615" i="12"/>
  <c r="G615" i="12" s="1"/>
  <c r="H615" i="12"/>
  <c r="I615" i="12" s="1"/>
  <c r="B615" i="12"/>
  <c r="B611" i="12"/>
  <c r="F611" i="12"/>
  <c r="G611" i="12" s="1"/>
  <c r="H611" i="12"/>
  <c r="I611" i="12" s="1"/>
  <c r="H607" i="12"/>
  <c r="I607" i="12" s="1"/>
  <c r="B607" i="12"/>
  <c r="F607" i="12"/>
  <c r="G607" i="12" s="1"/>
  <c r="F603" i="12"/>
  <c r="G603" i="12" s="1"/>
  <c r="H603" i="12"/>
  <c r="I603" i="12" s="1"/>
  <c r="B603" i="12"/>
  <c r="B599" i="12"/>
  <c r="F599" i="12"/>
  <c r="G599" i="12" s="1"/>
  <c r="H599" i="12"/>
  <c r="I599" i="12" s="1"/>
  <c r="H595" i="12"/>
  <c r="I595" i="12" s="1"/>
  <c r="B595" i="12"/>
  <c r="F595" i="12"/>
  <c r="G595" i="12" s="1"/>
  <c r="F591" i="12"/>
  <c r="G591" i="12" s="1"/>
  <c r="H591" i="12"/>
  <c r="I591" i="12" s="1"/>
  <c r="B591" i="12"/>
  <c r="H590" i="12"/>
  <c r="I590" i="12" s="1"/>
  <c r="B590" i="12"/>
  <c r="F590" i="12"/>
  <c r="G590" i="12" s="1"/>
  <c r="B622" i="12"/>
  <c r="F622" i="12"/>
  <c r="G622" i="12" s="1"/>
  <c r="H622" i="12"/>
  <c r="I622" i="12" s="1"/>
  <c r="B618" i="12"/>
  <c r="F618" i="12"/>
  <c r="G618" i="12" s="1"/>
  <c r="H618" i="12"/>
  <c r="I618" i="12" s="1"/>
  <c r="H614" i="12"/>
  <c r="I614" i="12" s="1"/>
  <c r="B614" i="12"/>
  <c r="F614" i="12"/>
  <c r="G614" i="12" s="1"/>
  <c r="B610" i="12"/>
  <c r="F610" i="12"/>
  <c r="G610" i="12" s="1"/>
  <c r="H610" i="12"/>
  <c r="I610" i="12" s="1"/>
  <c r="B606" i="12"/>
  <c r="F606" i="12"/>
  <c r="G606" i="12" s="1"/>
  <c r="H606" i="12"/>
  <c r="I606" i="12" s="1"/>
  <c r="H602" i="12"/>
  <c r="I602" i="12" s="1"/>
  <c r="B602" i="12"/>
  <c r="F602" i="12"/>
  <c r="G602" i="12" s="1"/>
  <c r="B598" i="12"/>
  <c r="F598" i="12"/>
  <c r="G598" i="12" s="1"/>
  <c r="H598" i="12"/>
  <c r="I598" i="12" s="1"/>
  <c r="B594" i="12"/>
  <c r="F594" i="12"/>
  <c r="G594" i="12" s="1"/>
  <c r="H594" i="12"/>
  <c r="I594" i="12" s="1"/>
  <c r="B589" i="12"/>
  <c r="F589" i="12"/>
  <c r="G589" i="12" s="1"/>
  <c r="H589" i="12"/>
  <c r="I589" i="12" s="1"/>
  <c r="F621" i="12"/>
  <c r="G621" i="12" s="1"/>
  <c r="H621" i="12"/>
  <c r="I621" i="12" s="1"/>
  <c r="B621" i="12"/>
  <c r="B617" i="12"/>
  <c r="F617" i="12"/>
  <c r="G617" i="12" s="1"/>
  <c r="H617" i="12"/>
  <c r="I617" i="12" s="1"/>
  <c r="B613" i="12"/>
  <c r="F613" i="12"/>
  <c r="G613" i="12" s="1"/>
  <c r="H613" i="12"/>
  <c r="I613" i="12" s="1"/>
  <c r="F609" i="12"/>
  <c r="G609" i="12" s="1"/>
  <c r="H609" i="12"/>
  <c r="I609" i="12" s="1"/>
  <c r="B609" i="12"/>
  <c r="B605" i="12"/>
  <c r="F605" i="12"/>
  <c r="G605" i="12" s="1"/>
  <c r="H605" i="12"/>
  <c r="I605" i="12" s="1"/>
  <c r="B601" i="12"/>
  <c r="F601" i="12"/>
  <c r="G601" i="12" s="1"/>
  <c r="H601" i="12"/>
  <c r="I601" i="12" s="1"/>
  <c r="F597" i="12"/>
  <c r="G597" i="12" s="1"/>
  <c r="H597" i="12"/>
  <c r="I597" i="12" s="1"/>
  <c r="B597" i="12"/>
  <c r="B593" i="12"/>
  <c r="F593" i="12"/>
  <c r="G593" i="12" s="1"/>
  <c r="H593" i="12"/>
  <c r="I593" i="12" s="1"/>
  <c r="B588" i="12"/>
  <c r="F588" i="12"/>
  <c r="G588" i="12" s="1"/>
  <c r="H588" i="12"/>
  <c r="I588" i="12" s="1"/>
  <c r="B587" i="12"/>
  <c r="F587" i="12"/>
  <c r="G587" i="12" s="1"/>
  <c r="H587" i="12"/>
  <c r="I587" i="12" s="1"/>
  <c r="F583" i="12"/>
  <c r="G583" i="12" s="1"/>
  <c r="H583" i="12"/>
  <c r="I583" i="12" s="1"/>
  <c r="B583" i="12"/>
  <c r="B579" i="12"/>
  <c r="F579" i="12"/>
  <c r="G579" i="12" s="1"/>
  <c r="H579" i="12"/>
  <c r="I579" i="12" s="1"/>
  <c r="F575" i="12"/>
  <c r="G575" i="12" s="1"/>
  <c r="B575" i="12"/>
  <c r="H575" i="12"/>
  <c r="I575" i="12" s="1"/>
  <c r="F571" i="12"/>
  <c r="G571" i="12" s="1"/>
  <c r="H571" i="12"/>
  <c r="I571" i="12" s="1"/>
  <c r="B571" i="12"/>
  <c r="B567" i="12"/>
  <c r="F567" i="12"/>
  <c r="G567" i="12" s="1"/>
  <c r="H567" i="12"/>
  <c r="I567" i="12" s="1"/>
  <c r="F563" i="12"/>
  <c r="G563" i="12" s="1"/>
  <c r="H563" i="12"/>
  <c r="I563" i="12" s="1"/>
  <c r="B563" i="12"/>
  <c r="F559" i="12"/>
  <c r="G559" i="12" s="1"/>
  <c r="H559" i="12"/>
  <c r="I559" i="12" s="1"/>
  <c r="B559" i="12"/>
  <c r="B555" i="12"/>
  <c r="F555" i="12"/>
  <c r="G555" i="12" s="1"/>
  <c r="H555" i="12"/>
  <c r="I555" i="12" s="1"/>
  <c r="F551" i="12"/>
  <c r="G551" i="12" s="1"/>
  <c r="H551" i="12"/>
  <c r="I551" i="12" s="1"/>
  <c r="B551" i="12"/>
  <c r="F547" i="12"/>
  <c r="G547" i="12" s="1"/>
  <c r="H547" i="12"/>
  <c r="I547" i="12" s="1"/>
  <c r="B547" i="12"/>
  <c r="B586" i="12"/>
  <c r="F586" i="12"/>
  <c r="G586" i="12" s="1"/>
  <c r="H586" i="12"/>
  <c r="I586" i="12" s="1"/>
  <c r="F582" i="12"/>
  <c r="G582" i="12" s="1"/>
  <c r="H582" i="12"/>
  <c r="I582" i="12" s="1"/>
  <c r="B582" i="12"/>
  <c r="F578" i="12"/>
  <c r="G578" i="12" s="1"/>
  <c r="H578" i="12"/>
  <c r="I578" i="12" s="1"/>
  <c r="B578" i="12"/>
  <c r="H574" i="12"/>
  <c r="I574" i="12" s="1"/>
  <c r="B574" i="12"/>
  <c r="F574" i="12"/>
  <c r="G574" i="12" s="1"/>
  <c r="F570" i="12"/>
  <c r="G570" i="12" s="1"/>
  <c r="H570" i="12"/>
  <c r="I570" i="12" s="1"/>
  <c r="B570" i="12"/>
  <c r="B566" i="12"/>
  <c r="F566" i="12"/>
  <c r="G566" i="12" s="1"/>
  <c r="H566" i="12"/>
  <c r="I566" i="12" s="1"/>
  <c r="H562" i="12"/>
  <c r="I562" i="12" s="1"/>
  <c r="B562" i="12"/>
  <c r="F562" i="12"/>
  <c r="G562" i="12" s="1"/>
  <c r="F558" i="12"/>
  <c r="G558" i="12" s="1"/>
  <c r="H558" i="12"/>
  <c r="I558" i="12" s="1"/>
  <c r="B558" i="12"/>
  <c r="B554" i="12"/>
  <c r="F554" i="12"/>
  <c r="G554" i="12" s="1"/>
  <c r="H554" i="12"/>
  <c r="I554" i="12" s="1"/>
  <c r="H550" i="12"/>
  <c r="I550" i="12" s="1"/>
  <c r="B550" i="12"/>
  <c r="F550" i="12"/>
  <c r="G550" i="12" s="1"/>
  <c r="F546" i="12"/>
  <c r="G546" i="12" s="1"/>
  <c r="H546" i="12"/>
  <c r="I546" i="12" s="1"/>
  <c r="B546" i="12"/>
  <c r="H545" i="12"/>
  <c r="I545" i="12" s="1"/>
  <c r="B545" i="12"/>
  <c r="F545" i="12"/>
  <c r="G545" i="12" s="1"/>
  <c r="B585" i="12"/>
  <c r="F585" i="12"/>
  <c r="G585" i="12" s="1"/>
  <c r="H585" i="12"/>
  <c r="I585" i="12" s="1"/>
  <c r="H581" i="12"/>
  <c r="I581" i="12" s="1"/>
  <c r="B581" i="12"/>
  <c r="F581" i="12"/>
  <c r="G581" i="12" s="1"/>
  <c r="B577" i="12"/>
  <c r="F577" i="12"/>
  <c r="G577" i="12" s="1"/>
  <c r="H577" i="12"/>
  <c r="I577" i="12" s="1"/>
  <c r="B573" i="12"/>
  <c r="F573" i="12"/>
  <c r="G573" i="12" s="1"/>
  <c r="H573" i="12"/>
  <c r="I573" i="12" s="1"/>
  <c r="H569" i="12"/>
  <c r="I569" i="12" s="1"/>
  <c r="B569" i="12"/>
  <c r="F569" i="12"/>
  <c r="G569" i="12" s="1"/>
  <c r="B565" i="12"/>
  <c r="F565" i="12"/>
  <c r="G565" i="12" s="1"/>
  <c r="H565" i="12"/>
  <c r="I565" i="12" s="1"/>
  <c r="B561" i="12"/>
  <c r="F561" i="12"/>
  <c r="G561" i="12" s="1"/>
  <c r="H561" i="12"/>
  <c r="I561" i="12" s="1"/>
  <c r="H557" i="12"/>
  <c r="I557" i="12" s="1"/>
  <c r="B557" i="12"/>
  <c r="F557" i="12"/>
  <c r="G557" i="12" s="1"/>
  <c r="B553" i="12"/>
  <c r="F553" i="12"/>
  <c r="G553" i="12" s="1"/>
  <c r="H553" i="12"/>
  <c r="I553" i="12" s="1"/>
  <c r="B549" i="12"/>
  <c r="F549" i="12"/>
  <c r="G549" i="12" s="1"/>
  <c r="H549" i="12"/>
  <c r="I549" i="12" s="1"/>
  <c r="B544" i="12"/>
  <c r="F544" i="12"/>
  <c r="G544" i="12" s="1"/>
  <c r="H544" i="12"/>
  <c r="I544" i="12" s="1"/>
  <c r="B584" i="12"/>
  <c r="F584" i="12"/>
  <c r="G584" i="12" s="1"/>
  <c r="H584" i="12"/>
  <c r="I584" i="12" s="1"/>
  <c r="B580" i="12"/>
  <c r="F580" i="12"/>
  <c r="G580" i="12" s="1"/>
  <c r="H580" i="12"/>
  <c r="I580" i="12" s="1"/>
  <c r="H576" i="12"/>
  <c r="I576" i="12" s="1"/>
  <c r="B576" i="12"/>
  <c r="F576" i="12"/>
  <c r="G576" i="12" s="1"/>
  <c r="B572" i="12"/>
  <c r="F572" i="12"/>
  <c r="G572" i="12" s="1"/>
  <c r="H572" i="12"/>
  <c r="I572" i="12" s="1"/>
  <c r="B568" i="12"/>
  <c r="F568" i="12"/>
  <c r="G568" i="12" s="1"/>
  <c r="H568" i="12"/>
  <c r="I568" i="12" s="1"/>
  <c r="F564" i="12"/>
  <c r="G564" i="12" s="1"/>
  <c r="H564" i="12"/>
  <c r="I564" i="12" s="1"/>
  <c r="B564" i="12"/>
  <c r="B560" i="12"/>
  <c r="F560" i="12"/>
  <c r="G560" i="12" s="1"/>
  <c r="H560" i="12"/>
  <c r="I560" i="12" s="1"/>
  <c r="B556" i="12"/>
  <c r="F556" i="12"/>
  <c r="G556" i="12" s="1"/>
  <c r="H556" i="12"/>
  <c r="I556" i="12" s="1"/>
  <c r="F552" i="12"/>
  <c r="G552" i="12" s="1"/>
  <c r="H552" i="12"/>
  <c r="I552" i="12" s="1"/>
  <c r="B552" i="12"/>
  <c r="B548" i="12"/>
  <c r="F548" i="12"/>
  <c r="G548" i="12" s="1"/>
  <c r="H548" i="12"/>
  <c r="I548" i="12" s="1"/>
  <c r="B543" i="12"/>
  <c r="F543" i="12"/>
  <c r="G543" i="12" s="1"/>
  <c r="H543" i="12"/>
  <c r="I543" i="12" s="1"/>
  <c r="B542" i="12"/>
  <c r="F542" i="12"/>
  <c r="G542" i="12" s="1"/>
  <c r="H542" i="12"/>
  <c r="I542" i="12" s="1"/>
  <c r="L484" i="12"/>
  <c r="J484" i="12"/>
  <c r="L471" i="12"/>
  <c r="J471" i="12"/>
  <c r="L480" i="12"/>
  <c r="J480" i="12"/>
  <c r="J532" i="12"/>
  <c r="L528" i="12"/>
  <c r="J528" i="12"/>
  <c r="H472" i="12"/>
  <c r="I472" i="12" s="1"/>
  <c r="B472" i="12"/>
  <c r="F472" i="12"/>
  <c r="G472" i="12" s="1"/>
  <c r="L508" i="12"/>
  <c r="J508" i="12"/>
  <c r="J504" i="12"/>
  <c r="J500" i="12"/>
  <c r="H524" i="12"/>
  <c r="I524" i="12" s="1"/>
  <c r="H488" i="12"/>
  <c r="I488" i="12" s="1"/>
  <c r="H540" i="12"/>
  <c r="I540" i="12" s="1"/>
  <c r="F524" i="12"/>
  <c r="G524" i="12" s="1"/>
  <c r="H520" i="12"/>
  <c r="I520" i="12" s="1"/>
  <c r="H516" i="12"/>
  <c r="I516" i="12" s="1"/>
  <c r="F500" i="12"/>
  <c r="G500" i="12" s="1"/>
  <c r="H496" i="12"/>
  <c r="I496" i="12" s="1"/>
  <c r="H492" i="12"/>
  <c r="I492" i="12" s="1"/>
  <c r="F540" i="12"/>
  <c r="G540" i="12" s="1"/>
  <c r="B539" i="12"/>
  <c r="B535" i="12"/>
  <c r="F532" i="12"/>
  <c r="G532" i="12" s="1"/>
  <c r="B531" i="12"/>
  <c r="F528" i="12"/>
  <c r="G528" i="12" s="1"/>
  <c r="B527" i="12"/>
  <c r="B523" i="12"/>
  <c r="F520" i="12"/>
  <c r="G520" i="12" s="1"/>
  <c r="B519" i="12"/>
  <c r="F516" i="12"/>
  <c r="G516" i="12" s="1"/>
  <c r="B515" i="12"/>
  <c r="B511" i="12"/>
  <c r="F508" i="12"/>
  <c r="G508" i="12" s="1"/>
  <c r="B507" i="12"/>
  <c r="F504" i="12"/>
  <c r="G504" i="12" s="1"/>
  <c r="B503" i="12"/>
  <c r="B499" i="12"/>
  <c r="F496" i="12"/>
  <c r="G496" i="12" s="1"/>
  <c r="B495" i="12"/>
  <c r="F492" i="12"/>
  <c r="G492" i="12" s="1"/>
  <c r="B491" i="12"/>
  <c r="B487" i="12"/>
  <c r="F484" i="12"/>
  <c r="G484" i="12" s="1"/>
  <c r="B483" i="12"/>
  <c r="F480" i="12"/>
  <c r="G480" i="12" s="1"/>
  <c r="B479" i="12"/>
  <c r="F468" i="12"/>
  <c r="G468" i="12" s="1"/>
  <c r="H468" i="12"/>
  <c r="I468" i="12" s="1"/>
  <c r="H536" i="12"/>
  <c r="I536" i="12" s="1"/>
  <c r="H541" i="12"/>
  <c r="I541" i="12" s="1"/>
  <c r="H505" i="12"/>
  <c r="I505" i="12" s="1"/>
  <c r="H493" i="12"/>
  <c r="I493" i="12" s="1"/>
  <c r="H481" i="12"/>
  <c r="I481" i="12" s="1"/>
  <c r="H537" i="12"/>
  <c r="I537" i="12" s="1"/>
  <c r="H533" i="12"/>
  <c r="I533" i="12" s="1"/>
  <c r="H525" i="12"/>
  <c r="I525" i="12" s="1"/>
  <c r="H521" i="12"/>
  <c r="I521" i="12" s="1"/>
  <c r="H513" i="12"/>
  <c r="I513" i="12" s="1"/>
  <c r="H509" i="12"/>
  <c r="I509" i="12" s="1"/>
  <c r="H501" i="12"/>
  <c r="I501" i="12" s="1"/>
  <c r="H497" i="12"/>
  <c r="I497" i="12" s="1"/>
  <c r="H489" i="12"/>
  <c r="I489" i="12" s="1"/>
  <c r="H485" i="12"/>
  <c r="I485" i="12" s="1"/>
  <c r="H477" i="12"/>
  <c r="I477" i="12" s="1"/>
  <c r="H473" i="12"/>
  <c r="I473" i="12" s="1"/>
  <c r="B463" i="12"/>
  <c r="F463" i="12"/>
  <c r="G463" i="12" s="1"/>
  <c r="H529" i="12"/>
  <c r="I529" i="12" s="1"/>
  <c r="H517" i="12"/>
  <c r="I517" i="12" s="1"/>
  <c r="F541" i="12"/>
  <c r="G541" i="12" s="1"/>
  <c r="F537" i="12"/>
  <c r="G537" i="12" s="1"/>
  <c r="B536" i="12"/>
  <c r="F533" i="12"/>
  <c r="G533" i="12" s="1"/>
  <c r="B532" i="12"/>
  <c r="F529" i="12"/>
  <c r="G529" i="12" s="1"/>
  <c r="B528" i="12"/>
  <c r="F525" i="12"/>
  <c r="G525" i="12" s="1"/>
  <c r="F521" i="12"/>
  <c r="G521" i="12" s="1"/>
  <c r="F517" i="12"/>
  <c r="G517" i="12" s="1"/>
  <c r="F513" i="12"/>
  <c r="G513" i="12" s="1"/>
  <c r="B512" i="12"/>
  <c r="F509" i="12"/>
  <c r="G509" i="12" s="1"/>
  <c r="B508" i="12"/>
  <c r="F505" i="12"/>
  <c r="G505" i="12" s="1"/>
  <c r="B504" i="12"/>
  <c r="F501" i="12"/>
  <c r="G501" i="12" s="1"/>
  <c r="B500" i="12"/>
  <c r="F497" i="12"/>
  <c r="G497" i="12" s="1"/>
  <c r="F493" i="12"/>
  <c r="G493" i="12" s="1"/>
  <c r="F489" i="12"/>
  <c r="G489" i="12" s="1"/>
  <c r="B488" i="12"/>
  <c r="F485" i="12"/>
  <c r="G485" i="12" s="1"/>
  <c r="B484" i="12"/>
  <c r="F481" i="12"/>
  <c r="G481" i="12" s="1"/>
  <c r="B480" i="12"/>
  <c r="B476" i="12"/>
  <c r="H506" i="12"/>
  <c r="I506" i="12" s="1"/>
  <c r="H482" i="12"/>
  <c r="I482" i="12" s="1"/>
  <c r="H470" i="12"/>
  <c r="I470" i="12" s="1"/>
  <c r="B469" i="12"/>
  <c r="H465" i="12"/>
  <c r="I465" i="12" s="1"/>
  <c r="B465" i="12"/>
  <c r="H494" i="12"/>
  <c r="I494" i="12" s="1"/>
  <c r="H538" i="12"/>
  <c r="I538" i="12" s="1"/>
  <c r="H534" i="12"/>
  <c r="I534" i="12" s="1"/>
  <c r="F518" i="12"/>
  <c r="G518" i="12" s="1"/>
  <c r="H514" i="12"/>
  <c r="I514" i="12" s="1"/>
  <c r="H510" i="12"/>
  <c r="I510" i="12" s="1"/>
  <c r="F506" i="12"/>
  <c r="G506" i="12" s="1"/>
  <c r="H502" i="12"/>
  <c r="I502" i="12" s="1"/>
  <c r="H498" i="12"/>
  <c r="I498" i="12" s="1"/>
  <c r="J464" i="12"/>
  <c r="L464" i="12"/>
  <c r="H518" i="12"/>
  <c r="I518" i="12" s="1"/>
  <c r="F530" i="12"/>
  <c r="G530" i="12" s="1"/>
  <c r="H526" i="12"/>
  <c r="I526" i="12" s="1"/>
  <c r="H522" i="12"/>
  <c r="I522" i="12" s="1"/>
  <c r="F494" i="12"/>
  <c r="G494" i="12" s="1"/>
  <c r="H490" i="12"/>
  <c r="I490" i="12" s="1"/>
  <c r="H486" i="12"/>
  <c r="I486" i="12" s="1"/>
  <c r="F482" i="12"/>
  <c r="G482" i="12" s="1"/>
  <c r="H478" i="12"/>
  <c r="I478" i="12" s="1"/>
  <c r="H474" i="12"/>
  <c r="I474" i="12" s="1"/>
  <c r="F538" i="12"/>
  <c r="G538" i="12" s="1"/>
  <c r="F534" i="12"/>
  <c r="G534" i="12" s="1"/>
  <c r="F526" i="12"/>
  <c r="G526" i="12" s="1"/>
  <c r="F522" i="12"/>
  <c r="G522" i="12" s="1"/>
  <c r="F514" i="12"/>
  <c r="G514" i="12" s="1"/>
  <c r="F510" i="12"/>
  <c r="G510" i="12" s="1"/>
  <c r="F502" i="12"/>
  <c r="G502" i="12" s="1"/>
  <c r="F498" i="12"/>
  <c r="G498" i="12" s="1"/>
  <c r="F490" i="12"/>
  <c r="G490" i="12" s="1"/>
  <c r="F486" i="12"/>
  <c r="G486" i="12" s="1"/>
  <c r="F478" i="12"/>
  <c r="G478" i="12" s="1"/>
  <c r="F474" i="12"/>
  <c r="G474" i="12" s="1"/>
  <c r="F467" i="12"/>
  <c r="G467" i="12" s="1"/>
  <c r="H467" i="12"/>
  <c r="I467" i="12" s="1"/>
  <c r="H530" i="12"/>
  <c r="I530" i="12" s="1"/>
  <c r="B462" i="12"/>
  <c r="F462" i="12"/>
  <c r="G462" i="12" s="1"/>
  <c r="H462" i="12"/>
  <c r="I462" i="12" s="1"/>
  <c r="H475" i="12"/>
  <c r="I475" i="12" s="1"/>
  <c r="H539" i="12"/>
  <c r="I539" i="12" s="1"/>
  <c r="H531" i="12"/>
  <c r="I531" i="12" s="1"/>
  <c r="H527" i="12"/>
  <c r="I527" i="12" s="1"/>
  <c r="H519" i="12"/>
  <c r="I519" i="12" s="1"/>
  <c r="H515" i="12"/>
  <c r="I515" i="12" s="1"/>
  <c r="H507" i="12"/>
  <c r="I507" i="12" s="1"/>
  <c r="H503" i="12"/>
  <c r="I503" i="12" s="1"/>
  <c r="H495" i="12"/>
  <c r="I495" i="12" s="1"/>
  <c r="H491" i="12"/>
  <c r="I491" i="12" s="1"/>
  <c r="H483" i="12"/>
  <c r="I483" i="12" s="1"/>
  <c r="H479" i="12"/>
  <c r="I479" i="12" s="1"/>
  <c r="H535" i="12"/>
  <c r="I535" i="12" s="1"/>
  <c r="H523" i="12"/>
  <c r="I523" i="12" s="1"/>
  <c r="H511" i="12"/>
  <c r="I511" i="12" s="1"/>
  <c r="H499" i="12"/>
  <c r="I499" i="12" s="1"/>
  <c r="H487" i="12"/>
  <c r="I487" i="12" s="1"/>
  <c r="J476" i="12"/>
  <c r="H512" i="12"/>
  <c r="I512" i="12" s="1"/>
  <c r="J469" i="12"/>
  <c r="B468" i="12"/>
  <c r="F466" i="12"/>
  <c r="G466" i="12" s="1"/>
  <c r="H466" i="12"/>
  <c r="I466" i="12" s="1"/>
  <c r="H463" i="12"/>
  <c r="I463" i="12" s="1"/>
  <c r="B461" i="12"/>
  <c r="F461" i="12"/>
  <c r="G461" i="12" s="1"/>
  <c r="H461" i="12"/>
  <c r="I461" i="12" s="1"/>
  <c r="B460" i="12"/>
  <c r="H460" i="12"/>
  <c r="I460" i="12" s="1"/>
  <c r="F460" i="12"/>
  <c r="G460" i="12" s="1"/>
  <c r="F456" i="12"/>
  <c r="G456" i="12" s="1"/>
  <c r="H456" i="12"/>
  <c r="I456" i="12" s="1"/>
  <c r="B456" i="12"/>
  <c r="H455" i="12"/>
  <c r="I455" i="12" s="1"/>
  <c r="B455" i="12"/>
  <c r="F455" i="12"/>
  <c r="G455" i="12" s="1"/>
  <c r="B459" i="12"/>
  <c r="F459" i="12"/>
  <c r="G459" i="12" s="1"/>
  <c r="H459" i="12"/>
  <c r="I459" i="12" s="1"/>
  <c r="B458" i="12"/>
  <c r="F458" i="12"/>
  <c r="G458" i="12" s="1"/>
  <c r="H458" i="12"/>
  <c r="I458" i="12" s="1"/>
  <c r="B454" i="12"/>
  <c r="F454" i="12"/>
  <c r="G454" i="12" s="1"/>
  <c r="H454" i="12"/>
  <c r="I454" i="12" s="1"/>
  <c r="B453" i="12"/>
  <c r="F453" i="12"/>
  <c r="G453" i="12" s="1"/>
  <c r="H453" i="12"/>
  <c r="I453" i="12" s="1"/>
  <c r="F457" i="12"/>
  <c r="G457" i="12" s="1"/>
  <c r="H457" i="12"/>
  <c r="I457" i="12" s="1"/>
  <c r="B457" i="12"/>
  <c r="B452" i="12"/>
  <c r="F452" i="12"/>
  <c r="G452" i="12" s="1"/>
  <c r="H452" i="12"/>
  <c r="I452" i="12" s="1"/>
  <c r="H398" i="12"/>
  <c r="I398" i="12" s="1"/>
  <c r="F409" i="12"/>
  <c r="G409" i="12" s="1"/>
  <c r="F176" i="12"/>
  <c r="G176" i="12" s="1"/>
  <c r="F144" i="12"/>
  <c r="G144" i="12" s="1"/>
  <c r="H140" i="12"/>
  <c r="I140" i="12" s="1"/>
  <c r="F243" i="12"/>
  <c r="G243" i="12" s="1"/>
  <c r="B180" i="12"/>
  <c r="H163" i="12"/>
  <c r="I163" i="12" s="1"/>
  <c r="F209" i="12"/>
  <c r="G209" i="12" s="1"/>
  <c r="B255" i="12"/>
  <c r="H249" i="12"/>
  <c r="I249" i="12" s="1"/>
  <c r="J249" i="12" s="1"/>
  <c r="B451" i="12"/>
  <c r="F451" i="12"/>
  <c r="G451" i="12" s="1"/>
  <c r="H451" i="12"/>
  <c r="I451" i="12" s="1"/>
  <c r="F447" i="12"/>
  <c r="G447" i="12" s="1"/>
  <c r="H447" i="12"/>
  <c r="I447" i="12" s="1"/>
  <c r="B447" i="12"/>
  <c r="B450" i="12"/>
  <c r="F450" i="12"/>
  <c r="G450" i="12" s="1"/>
  <c r="H450" i="12"/>
  <c r="I450" i="12" s="1"/>
  <c r="H446" i="12"/>
  <c r="I446" i="12" s="1"/>
  <c r="F446" i="12"/>
  <c r="G446" i="12" s="1"/>
  <c r="B446" i="12"/>
  <c r="B445" i="12"/>
  <c r="H445" i="12"/>
  <c r="I445" i="12" s="1"/>
  <c r="F445" i="12"/>
  <c r="G445" i="12" s="1"/>
  <c r="B449" i="12"/>
  <c r="F449" i="12"/>
  <c r="G449" i="12" s="1"/>
  <c r="H449" i="12"/>
  <c r="I449" i="12" s="1"/>
  <c r="B444" i="12"/>
  <c r="F444" i="12"/>
  <c r="G444" i="12" s="1"/>
  <c r="H444" i="12"/>
  <c r="I444" i="12" s="1"/>
  <c r="F448" i="12"/>
  <c r="G448" i="12" s="1"/>
  <c r="H448" i="12"/>
  <c r="I448" i="12" s="1"/>
  <c r="B448" i="12"/>
  <c r="B443" i="12"/>
  <c r="F443" i="12"/>
  <c r="G443" i="12" s="1"/>
  <c r="H443" i="12"/>
  <c r="I443" i="12" s="1"/>
  <c r="L433" i="12"/>
  <c r="J433" i="12"/>
  <c r="J406" i="12"/>
  <c r="J421" i="12"/>
  <c r="L409" i="12"/>
  <c r="J409" i="12"/>
  <c r="L436" i="12"/>
  <c r="J436" i="12"/>
  <c r="J424" i="12"/>
  <c r="J412" i="12"/>
  <c r="J439" i="12"/>
  <c r="L427" i="12"/>
  <c r="J427" i="12"/>
  <c r="L400" i="12"/>
  <c r="J400" i="12"/>
  <c r="J415" i="12"/>
  <c r="J442" i="12"/>
  <c r="L430" i="12"/>
  <c r="J430" i="12"/>
  <c r="J403" i="12"/>
  <c r="L418" i="12"/>
  <c r="J418" i="12"/>
  <c r="J392" i="12"/>
  <c r="F433" i="12"/>
  <c r="G433" i="12" s="1"/>
  <c r="F427" i="12"/>
  <c r="G427" i="12" s="1"/>
  <c r="F415" i="12"/>
  <c r="G415" i="12" s="1"/>
  <c r="H391" i="12"/>
  <c r="I391" i="12" s="1"/>
  <c r="B391" i="12"/>
  <c r="F391" i="12"/>
  <c r="G391" i="12" s="1"/>
  <c r="F430" i="12"/>
  <c r="G430" i="12" s="1"/>
  <c r="F418" i="12"/>
  <c r="G418" i="12" s="1"/>
  <c r="B397" i="12"/>
  <c r="H397" i="12"/>
  <c r="I397" i="12" s="1"/>
  <c r="B395" i="12"/>
  <c r="F387" i="12"/>
  <c r="G387" i="12" s="1"/>
  <c r="H387" i="12"/>
  <c r="I387" i="12" s="1"/>
  <c r="B387" i="12"/>
  <c r="B383" i="12"/>
  <c r="F383" i="12"/>
  <c r="G383" i="12" s="1"/>
  <c r="H383" i="12"/>
  <c r="I383" i="12" s="1"/>
  <c r="H379" i="12"/>
  <c r="I379" i="12" s="1"/>
  <c r="B379" i="12"/>
  <c r="F379" i="12"/>
  <c r="G379" i="12" s="1"/>
  <c r="F375" i="12"/>
  <c r="G375" i="12" s="1"/>
  <c r="H375" i="12"/>
  <c r="I375" i="12" s="1"/>
  <c r="B375" i="12"/>
  <c r="F436" i="12"/>
  <c r="G436" i="12" s="1"/>
  <c r="F424" i="12"/>
  <c r="G424" i="12" s="1"/>
  <c r="F412" i="12"/>
  <c r="G412" i="12" s="1"/>
  <c r="F403" i="12"/>
  <c r="G403" i="12" s="1"/>
  <c r="F400" i="12"/>
  <c r="G400" i="12" s="1"/>
  <c r="B442" i="12"/>
  <c r="H440" i="12"/>
  <c r="I440" i="12" s="1"/>
  <c r="B439" i="12"/>
  <c r="H437" i="12"/>
  <c r="I437" i="12" s="1"/>
  <c r="B436" i="12"/>
  <c r="H434" i="12"/>
  <c r="I434" i="12" s="1"/>
  <c r="B433" i="12"/>
  <c r="H431" i="12"/>
  <c r="I431" i="12" s="1"/>
  <c r="B430" i="12"/>
  <c r="H428" i="12"/>
  <c r="I428" i="12" s="1"/>
  <c r="B427" i="12"/>
  <c r="H425" i="12"/>
  <c r="I425" i="12" s="1"/>
  <c r="B424" i="12"/>
  <c r="H422" i="12"/>
  <c r="I422" i="12" s="1"/>
  <c r="B421" i="12"/>
  <c r="H419" i="12"/>
  <c r="I419" i="12" s="1"/>
  <c r="B418" i="12"/>
  <c r="H416" i="12"/>
  <c r="I416" i="12" s="1"/>
  <c r="B415" i="12"/>
  <c r="H413" i="12"/>
  <c r="I413" i="12" s="1"/>
  <c r="B412" i="12"/>
  <c r="H410" i="12"/>
  <c r="I410" i="12" s="1"/>
  <c r="B409" i="12"/>
  <c r="H407" i="12"/>
  <c r="I407" i="12" s="1"/>
  <c r="B406" i="12"/>
  <c r="H404" i="12"/>
  <c r="I404" i="12" s="1"/>
  <c r="B403" i="12"/>
  <c r="H401" i="12"/>
  <c r="I401" i="12" s="1"/>
  <c r="B400" i="12"/>
  <c r="F434" i="12"/>
  <c r="G434" i="12" s="1"/>
  <c r="F425" i="12"/>
  <c r="G425" i="12" s="1"/>
  <c r="F413" i="12"/>
  <c r="G413" i="12" s="1"/>
  <c r="F398" i="12"/>
  <c r="G398" i="12" s="1"/>
  <c r="H396" i="12"/>
  <c r="I396" i="12" s="1"/>
  <c r="F439" i="12"/>
  <c r="G439" i="12" s="1"/>
  <c r="F431" i="12"/>
  <c r="G431" i="12" s="1"/>
  <c r="F416" i="12"/>
  <c r="G416" i="12" s="1"/>
  <c r="F396" i="12"/>
  <c r="G396" i="12" s="1"/>
  <c r="B390" i="12"/>
  <c r="F390" i="12"/>
  <c r="G390" i="12" s="1"/>
  <c r="H390" i="12"/>
  <c r="I390" i="12" s="1"/>
  <c r="H386" i="12"/>
  <c r="I386" i="12" s="1"/>
  <c r="B386" i="12"/>
  <c r="F386" i="12"/>
  <c r="G386" i="12" s="1"/>
  <c r="B382" i="12"/>
  <c r="F382" i="12"/>
  <c r="G382" i="12" s="1"/>
  <c r="H382" i="12"/>
  <c r="I382" i="12" s="1"/>
  <c r="B378" i="12"/>
  <c r="F378" i="12"/>
  <c r="G378" i="12" s="1"/>
  <c r="H378" i="12"/>
  <c r="I378" i="12" s="1"/>
  <c r="H374" i="12"/>
  <c r="I374" i="12" s="1"/>
  <c r="B374" i="12"/>
  <c r="F374" i="12"/>
  <c r="G374" i="12" s="1"/>
  <c r="F437" i="12"/>
  <c r="G437" i="12" s="1"/>
  <c r="F422" i="12"/>
  <c r="G422" i="12" s="1"/>
  <c r="F410" i="12"/>
  <c r="G410" i="12" s="1"/>
  <c r="F401" i="12"/>
  <c r="G401" i="12" s="1"/>
  <c r="F440" i="12"/>
  <c r="G440" i="12" s="1"/>
  <c r="F428" i="12"/>
  <c r="G428" i="12" s="1"/>
  <c r="F419" i="12"/>
  <c r="G419" i="12" s="1"/>
  <c r="F407" i="12"/>
  <c r="G407" i="12" s="1"/>
  <c r="F404" i="12"/>
  <c r="G404" i="12" s="1"/>
  <c r="H441" i="12"/>
  <c r="I441" i="12" s="1"/>
  <c r="H438" i="12"/>
  <c r="I438" i="12" s="1"/>
  <c r="H435" i="12"/>
  <c r="I435" i="12" s="1"/>
  <c r="H432" i="12"/>
  <c r="I432" i="12" s="1"/>
  <c r="H429" i="12"/>
  <c r="I429" i="12" s="1"/>
  <c r="H426" i="12"/>
  <c r="I426" i="12" s="1"/>
  <c r="H423" i="12"/>
  <c r="I423" i="12" s="1"/>
  <c r="H420" i="12"/>
  <c r="I420" i="12" s="1"/>
  <c r="H417" i="12"/>
  <c r="I417" i="12" s="1"/>
  <c r="H414" i="12"/>
  <c r="I414" i="12" s="1"/>
  <c r="H411" i="12"/>
  <c r="I411" i="12" s="1"/>
  <c r="H408" i="12"/>
  <c r="I408" i="12" s="1"/>
  <c r="H405" i="12"/>
  <c r="I405" i="12" s="1"/>
  <c r="H402" i="12"/>
  <c r="I402" i="12" s="1"/>
  <c r="H399" i="12"/>
  <c r="I399" i="12" s="1"/>
  <c r="B373" i="12"/>
  <c r="F373" i="12"/>
  <c r="G373" i="12" s="1"/>
  <c r="H373" i="12"/>
  <c r="I373" i="12" s="1"/>
  <c r="F432" i="12"/>
  <c r="G432" i="12" s="1"/>
  <c r="F423" i="12"/>
  <c r="G423" i="12" s="1"/>
  <c r="F408" i="12"/>
  <c r="G408" i="12" s="1"/>
  <c r="F399" i="12"/>
  <c r="G399" i="12" s="1"/>
  <c r="F392" i="12"/>
  <c r="G392" i="12" s="1"/>
  <c r="B392" i="12"/>
  <c r="B389" i="12"/>
  <c r="F389" i="12"/>
  <c r="G389" i="12" s="1"/>
  <c r="H389" i="12"/>
  <c r="I389" i="12" s="1"/>
  <c r="B385" i="12"/>
  <c r="F385" i="12"/>
  <c r="G385" i="12" s="1"/>
  <c r="H385" i="12"/>
  <c r="I385" i="12" s="1"/>
  <c r="F381" i="12"/>
  <c r="G381" i="12" s="1"/>
  <c r="H381" i="12"/>
  <c r="I381" i="12" s="1"/>
  <c r="B381" i="12"/>
  <c r="B377" i="12"/>
  <c r="F377" i="12"/>
  <c r="G377" i="12" s="1"/>
  <c r="H377" i="12"/>
  <c r="I377" i="12" s="1"/>
  <c r="F435" i="12"/>
  <c r="G435" i="12" s="1"/>
  <c r="F426" i="12"/>
  <c r="G426" i="12" s="1"/>
  <c r="F414" i="12"/>
  <c r="G414" i="12" s="1"/>
  <c r="F411" i="12"/>
  <c r="G411" i="12" s="1"/>
  <c r="B394" i="12"/>
  <c r="H394" i="12"/>
  <c r="I394" i="12" s="1"/>
  <c r="B372" i="12"/>
  <c r="F372" i="12"/>
  <c r="G372" i="12" s="1"/>
  <c r="H372" i="12"/>
  <c r="I372" i="12" s="1"/>
  <c r="F442" i="12"/>
  <c r="G442" i="12" s="1"/>
  <c r="F441" i="12"/>
  <c r="G441" i="12" s="1"/>
  <c r="F429" i="12"/>
  <c r="G429" i="12" s="1"/>
  <c r="F417" i="12"/>
  <c r="G417" i="12" s="1"/>
  <c r="F438" i="12"/>
  <c r="G438" i="12" s="1"/>
  <c r="F420" i="12"/>
  <c r="G420" i="12" s="1"/>
  <c r="F405" i="12"/>
  <c r="G405" i="12" s="1"/>
  <c r="F402" i="12"/>
  <c r="G402" i="12" s="1"/>
  <c r="F397" i="12"/>
  <c r="G397" i="12" s="1"/>
  <c r="H395" i="12"/>
  <c r="I395" i="12" s="1"/>
  <c r="H393" i="12"/>
  <c r="I393" i="12" s="1"/>
  <c r="F388" i="12"/>
  <c r="G388" i="12" s="1"/>
  <c r="H388" i="12"/>
  <c r="I388" i="12" s="1"/>
  <c r="B388" i="12"/>
  <c r="B384" i="12"/>
  <c r="F384" i="12"/>
  <c r="G384" i="12" s="1"/>
  <c r="H384" i="12"/>
  <c r="I384" i="12" s="1"/>
  <c r="F380" i="12"/>
  <c r="G380" i="12" s="1"/>
  <c r="H380" i="12"/>
  <c r="I380" i="12" s="1"/>
  <c r="B380" i="12"/>
  <c r="F376" i="12"/>
  <c r="G376" i="12" s="1"/>
  <c r="H376" i="12"/>
  <c r="I376" i="12" s="1"/>
  <c r="B376" i="12"/>
  <c r="B371" i="12"/>
  <c r="F371" i="12"/>
  <c r="G371" i="12" s="1"/>
  <c r="H371" i="12"/>
  <c r="I371" i="12" s="1"/>
  <c r="F367" i="12"/>
  <c r="G367" i="12" s="1"/>
  <c r="H367" i="12"/>
  <c r="I367" i="12" s="1"/>
  <c r="B367" i="12"/>
  <c r="B370" i="12"/>
  <c r="F370" i="12"/>
  <c r="G370" i="12" s="1"/>
  <c r="H370" i="12"/>
  <c r="I370" i="12" s="1"/>
  <c r="F366" i="12"/>
  <c r="G366" i="12" s="1"/>
  <c r="H366" i="12"/>
  <c r="I366" i="12" s="1"/>
  <c r="B366" i="12"/>
  <c r="H365" i="12"/>
  <c r="I365" i="12" s="1"/>
  <c r="B365" i="12"/>
  <c r="F365" i="12"/>
  <c r="G365" i="12" s="1"/>
  <c r="B369" i="12"/>
  <c r="F369" i="12"/>
  <c r="G369" i="12" s="1"/>
  <c r="H369" i="12"/>
  <c r="I369" i="12" s="1"/>
  <c r="B364" i="12"/>
  <c r="H364" i="12"/>
  <c r="I364" i="12" s="1"/>
  <c r="F364" i="12"/>
  <c r="G364" i="12" s="1"/>
  <c r="B368" i="12"/>
  <c r="F368" i="12"/>
  <c r="G368" i="12" s="1"/>
  <c r="H368" i="12"/>
  <c r="I368" i="12" s="1"/>
  <c r="B363" i="12"/>
  <c r="F363" i="12"/>
  <c r="G363" i="12" s="1"/>
  <c r="H363" i="12"/>
  <c r="I363" i="12" s="1"/>
  <c r="B362" i="12"/>
  <c r="F362" i="12"/>
  <c r="G362" i="12" s="1"/>
  <c r="H362" i="12"/>
  <c r="I362" i="12" s="1"/>
  <c r="B323" i="12"/>
  <c r="F323" i="12"/>
  <c r="G323" i="12" s="1"/>
  <c r="H323" i="12"/>
  <c r="I323" i="12" s="1"/>
  <c r="J323" i="12" s="1"/>
  <c r="B326" i="12"/>
  <c r="F326" i="12"/>
  <c r="G326" i="12" s="1"/>
  <c r="H326" i="12"/>
  <c r="I326" i="12" s="1"/>
  <c r="F260" i="12"/>
  <c r="G260" i="12" s="1"/>
  <c r="H260" i="12"/>
  <c r="I260" i="12" s="1"/>
  <c r="B260" i="12"/>
  <c r="F217" i="12"/>
  <c r="G217" i="12" s="1"/>
  <c r="B217" i="12"/>
  <c r="B319" i="12"/>
  <c r="F319" i="12"/>
  <c r="G319" i="12" s="1"/>
  <c r="H319" i="12"/>
  <c r="I319" i="12" s="1"/>
  <c r="J319" i="12" s="1"/>
  <c r="H242" i="12"/>
  <c r="I242" i="12" s="1"/>
  <c r="J242" i="12" s="1"/>
  <c r="B242" i="12"/>
  <c r="F242" i="12"/>
  <c r="G242" i="12" s="1"/>
  <c r="B343" i="12"/>
  <c r="F343" i="12"/>
  <c r="G343" i="12" s="1"/>
  <c r="H343" i="12"/>
  <c r="I343" i="12" s="1"/>
  <c r="B355" i="12"/>
  <c r="F355" i="12"/>
  <c r="G355" i="12" s="1"/>
  <c r="H355" i="12"/>
  <c r="I355" i="12" s="1"/>
  <c r="B335" i="12"/>
  <c r="F335" i="12"/>
  <c r="G335" i="12" s="1"/>
  <c r="H335" i="12"/>
  <c r="I335" i="12" s="1"/>
  <c r="H220" i="12"/>
  <c r="I220" i="12" s="1"/>
  <c r="J220" i="12" s="1"/>
  <c r="B220" i="12"/>
  <c r="F220" i="12"/>
  <c r="G220" i="12" s="1"/>
  <c r="B314" i="12"/>
  <c r="F314" i="12"/>
  <c r="G314" i="12" s="1"/>
  <c r="H314" i="12"/>
  <c r="I314" i="12" s="1"/>
  <c r="B359" i="12"/>
  <c r="F359" i="12"/>
  <c r="G359" i="12" s="1"/>
  <c r="H359" i="12"/>
  <c r="I359" i="12" s="1"/>
  <c r="F351" i="12"/>
  <c r="G351" i="12" s="1"/>
  <c r="H351" i="12"/>
  <c r="I351" i="12" s="1"/>
  <c r="B351" i="12"/>
  <c r="F339" i="12"/>
  <c r="G339" i="12" s="1"/>
  <c r="H339" i="12"/>
  <c r="I339" i="12" s="1"/>
  <c r="J339" i="12" s="1"/>
  <c r="B339" i="12"/>
  <c r="B310" i="12"/>
  <c r="F310" i="12"/>
  <c r="G310" i="12" s="1"/>
  <c r="H310" i="12"/>
  <c r="I310" i="12" s="1"/>
  <c r="J310" i="12" s="1"/>
  <c r="F762" i="11"/>
  <c r="G762" i="11" s="1"/>
  <c r="B762" i="11"/>
  <c r="F227" i="12"/>
  <c r="G227" i="12" s="1"/>
  <c r="B227" i="12"/>
  <c r="H227" i="12"/>
  <c r="I227" i="12" s="1"/>
  <c r="J227" i="12" s="1"/>
  <c r="J219" i="12"/>
  <c r="F315" i="12"/>
  <c r="G315" i="12" s="1"/>
  <c r="H315" i="12"/>
  <c r="I315" i="12" s="1"/>
  <c r="B315" i="12"/>
  <c r="B322" i="12"/>
  <c r="F322" i="12"/>
  <c r="G322" i="12" s="1"/>
  <c r="H322" i="12"/>
  <c r="I322" i="12" s="1"/>
  <c r="H248" i="12"/>
  <c r="I248" i="12" s="1"/>
  <c r="J248" i="12" s="1"/>
  <c r="B248" i="12"/>
  <c r="F248" i="12"/>
  <c r="G248" i="12" s="1"/>
  <c r="H244" i="12"/>
  <c r="I244" i="12" s="1"/>
  <c r="B244" i="12"/>
  <c r="F244" i="12"/>
  <c r="G244" i="12" s="1"/>
  <c r="B361" i="12"/>
  <c r="F361" i="12"/>
  <c r="G361" i="12" s="1"/>
  <c r="H361" i="12"/>
  <c r="I361" i="12" s="1"/>
  <c r="F357" i="12"/>
  <c r="G357" i="12" s="1"/>
  <c r="H357" i="12"/>
  <c r="I357" i="12" s="1"/>
  <c r="J357" i="12" s="1"/>
  <c r="B357" i="12"/>
  <c r="B353" i="12"/>
  <c r="F353" i="12"/>
  <c r="G353" i="12" s="1"/>
  <c r="H353" i="12"/>
  <c r="I353" i="12" s="1"/>
  <c r="B349" i="12"/>
  <c r="F349" i="12"/>
  <c r="G349" i="12" s="1"/>
  <c r="H349" i="12"/>
  <c r="I349" i="12" s="1"/>
  <c r="F345" i="12"/>
  <c r="G345" i="12" s="1"/>
  <c r="H345" i="12"/>
  <c r="I345" i="12" s="1"/>
  <c r="J345" i="12" s="1"/>
  <c r="B345" i="12"/>
  <c r="B341" i="12"/>
  <c r="F341" i="12"/>
  <c r="G341" i="12" s="1"/>
  <c r="H341" i="12"/>
  <c r="I341" i="12" s="1"/>
  <c r="B337" i="12"/>
  <c r="F337" i="12"/>
  <c r="G337" i="12" s="1"/>
  <c r="H337" i="12"/>
  <c r="I337" i="12" s="1"/>
  <c r="J337" i="12" s="1"/>
  <c r="F333" i="12"/>
  <c r="G333" i="12" s="1"/>
  <c r="H333" i="12"/>
  <c r="I333" i="12" s="1"/>
  <c r="J333" i="12" s="1"/>
  <c r="B333" i="12"/>
  <c r="B329" i="12"/>
  <c r="F329" i="12"/>
  <c r="G329" i="12" s="1"/>
  <c r="H329" i="12"/>
  <c r="I329" i="12" s="1"/>
  <c r="B325" i="12"/>
  <c r="F325" i="12"/>
  <c r="G325" i="12" s="1"/>
  <c r="H325" i="12"/>
  <c r="I325" i="12" s="1"/>
  <c r="F321" i="12"/>
  <c r="G321" i="12" s="1"/>
  <c r="H321" i="12"/>
  <c r="I321" i="12" s="1"/>
  <c r="J321" i="12" s="1"/>
  <c r="B321" i="12"/>
  <c r="B317" i="12"/>
  <c r="F317" i="12"/>
  <c r="G317" i="12" s="1"/>
  <c r="H317" i="12"/>
  <c r="I317" i="12" s="1"/>
  <c r="J317" i="12" s="1"/>
  <c r="B313" i="12"/>
  <c r="F313" i="12"/>
  <c r="G313" i="12" s="1"/>
  <c r="H313" i="12"/>
  <c r="I313" i="12" s="1"/>
  <c r="J313" i="12" s="1"/>
  <c r="F309" i="12"/>
  <c r="G309" i="12" s="1"/>
  <c r="H309" i="12"/>
  <c r="I309" i="12" s="1"/>
  <c r="L309" i="12" s="1"/>
  <c r="B309" i="12"/>
  <c r="B331" i="12"/>
  <c r="F331" i="12"/>
  <c r="G331" i="12" s="1"/>
  <c r="H331" i="12"/>
  <c r="I331" i="12" s="1"/>
  <c r="B334" i="12"/>
  <c r="F334" i="12"/>
  <c r="G334" i="12" s="1"/>
  <c r="H334" i="12"/>
  <c r="I334" i="12" s="1"/>
  <c r="B347" i="12"/>
  <c r="F347" i="12"/>
  <c r="G347" i="12" s="1"/>
  <c r="H347" i="12"/>
  <c r="I347" i="12" s="1"/>
  <c r="J347" i="12" s="1"/>
  <c r="B358" i="12"/>
  <c r="F358" i="12"/>
  <c r="G358" i="12" s="1"/>
  <c r="H358" i="12"/>
  <c r="I358" i="12" s="1"/>
  <c r="F354" i="12"/>
  <c r="G354" i="12" s="1"/>
  <c r="H354" i="12"/>
  <c r="I354" i="12" s="1"/>
  <c r="B354" i="12"/>
  <c r="B350" i="12"/>
  <c r="F350" i="12"/>
  <c r="G350" i="12" s="1"/>
  <c r="H350" i="12"/>
  <c r="I350" i="12" s="1"/>
  <c r="J350" i="12" s="1"/>
  <c r="B346" i="12"/>
  <c r="F346" i="12"/>
  <c r="G346" i="12" s="1"/>
  <c r="H346" i="12"/>
  <c r="I346" i="12" s="1"/>
  <c r="F342" i="12"/>
  <c r="G342" i="12" s="1"/>
  <c r="H342" i="12"/>
  <c r="I342" i="12" s="1"/>
  <c r="J342" i="12" s="1"/>
  <c r="B342" i="12"/>
  <c r="B338" i="12"/>
  <c r="F338" i="12"/>
  <c r="G338" i="12" s="1"/>
  <c r="H338" i="12"/>
  <c r="I338" i="12" s="1"/>
  <c r="B311" i="12"/>
  <c r="F311" i="12"/>
  <c r="G311" i="12" s="1"/>
  <c r="H311" i="12"/>
  <c r="I311" i="12" s="1"/>
  <c r="J311" i="12" s="1"/>
  <c r="F318" i="12"/>
  <c r="G318" i="12" s="1"/>
  <c r="H318" i="12"/>
  <c r="I318" i="12" s="1"/>
  <c r="B318" i="12"/>
  <c r="H238" i="12"/>
  <c r="I238" i="12" s="1"/>
  <c r="B238" i="12"/>
  <c r="F238" i="12"/>
  <c r="G238" i="12" s="1"/>
  <c r="F360" i="12"/>
  <c r="G360" i="12" s="1"/>
  <c r="H360" i="12"/>
  <c r="I360" i="12" s="1"/>
  <c r="B360" i="12"/>
  <c r="B356" i="12"/>
  <c r="F356" i="12"/>
  <c r="G356" i="12" s="1"/>
  <c r="H356" i="12"/>
  <c r="I356" i="12" s="1"/>
  <c r="B352" i="12"/>
  <c r="F352" i="12"/>
  <c r="G352" i="12" s="1"/>
  <c r="H352" i="12"/>
  <c r="I352" i="12" s="1"/>
  <c r="F348" i="12"/>
  <c r="G348" i="12" s="1"/>
  <c r="H348" i="12"/>
  <c r="I348" i="12" s="1"/>
  <c r="J348" i="12" s="1"/>
  <c r="B348" i="12"/>
  <c r="B344" i="12"/>
  <c r="F344" i="12"/>
  <c r="G344" i="12" s="1"/>
  <c r="H344" i="12"/>
  <c r="I344" i="12" s="1"/>
  <c r="B340" i="12"/>
  <c r="F340" i="12"/>
  <c r="G340" i="12" s="1"/>
  <c r="H340" i="12"/>
  <c r="I340" i="12" s="1"/>
  <c r="F336" i="12"/>
  <c r="G336" i="12" s="1"/>
  <c r="H336" i="12"/>
  <c r="I336" i="12" s="1"/>
  <c r="J336" i="12" s="1"/>
  <c r="B336" i="12"/>
  <c r="B332" i="12"/>
  <c r="F332" i="12"/>
  <c r="G332" i="12" s="1"/>
  <c r="H332" i="12"/>
  <c r="I332" i="12" s="1"/>
  <c r="J332" i="12" s="1"/>
  <c r="B328" i="12"/>
  <c r="F328" i="12"/>
  <c r="G328" i="12" s="1"/>
  <c r="H328" i="12"/>
  <c r="I328" i="12" s="1"/>
  <c r="F324" i="12"/>
  <c r="G324" i="12" s="1"/>
  <c r="H324" i="12"/>
  <c r="I324" i="12" s="1"/>
  <c r="B324" i="12"/>
  <c r="B320" i="12"/>
  <c r="F320" i="12"/>
  <c r="G320" i="12" s="1"/>
  <c r="H320" i="12"/>
  <c r="I320" i="12" s="1"/>
  <c r="B316" i="12"/>
  <c r="F316" i="12"/>
  <c r="G316" i="12" s="1"/>
  <c r="H316" i="12"/>
  <c r="I316" i="12" s="1"/>
  <c r="J316" i="12" s="1"/>
  <c r="F312" i="12"/>
  <c r="G312" i="12" s="1"/>
  <c r="H312" i="12"/>
  <c r="I312" i="12" s="1"/>
  <c r="J312" i="12" s="1"/>
  <c r="B312" i="12"/>
  <c r="F327" i="12"/>
  <c r="G327" i="12" s="1"/>
  <c r="H327" i="12"/>
  <c r="I327" i="12" s="1"/>
  <c r="L327" i="12" s="1"/>
  <c r="B327" i="12"/>
  <c r="F330" i="12"/>
  <c r="G330" i="12" s="1"/>
  <c r="H330" i="12"/>
  <c r="I330" i="12" s="1"/>
  <c r="J330" i="12" s="1"/>
  <c r="B330" i="12"/>
  <c r="B308" i="12"/>
  <c r="F308" i="12"/>
  <c r="G308" i="12" s="1"/>
  <c r="H308" i="12"/>
  <c r="I308" i="12" s="1"/>
  <c r="J308" i="12" s="1"/>
  <c r="H730" i="11"/>
  <c r="I730" i="11" s="1"/>
  <c r="J730" i="11" s="1"/>
  <c r="F140" i="12"/>
  <c r="G140" i="12" s="1"/>
  <c r="H759" i="11"/>
  <c r="I759" i="11" s="1"/>
  <c r="J759" i="11" s="1"/>
  <c r="H224" i="12"/>
  <c r="I224" i="12" s="1"/>
  <c r="J224" i="12" s="1"/>
  <c r="H203" i="12"/>
  <c r="I203" i="12" s="1"/>
  <c r="J203" i="12" s="1"/>
  <c r="B176" i="12"/>
  <c r="H142" i="12"/>
  <c r="I142" i="12" s="1"/>
  <c r="F142" i="12"/>
  <c r="G142" i="12" s="1"/>
  <c r="H514" i="11"/>
  <c r="I514" i="11" s="1"/>
  <c r="B224" i="12"/>
  <c r="H209" i="12"/>
  <c r="I209" i="12" s="1"/>
  <c r="J209" i="12" s="1"/>
  <c r="F203" i="12"/>
  <c r="G203" i="12" s="1"/>
  <c r="B172" i="12"/>
  <c r="B460" i="11"/>
  <c r="F352" i="11"/>
  <c r="G352" i="11" s="1"/>
  <c r="F774" i="11"/>
  <c r="G774" i="11" s="1"/>
  <c r="B256" i="12"/>
  <c r="B218" i="12"/>
  <c r="H188" i="12"/>
  <c r="I188" i="12" s="1"/>
  <c r="F188" i="12"/>
  <c r="G188" i="12" s="1"/>
  <c r="B592" i="11"/>
  <c r="F607" i="11"/>
  <c r="G607" i="11" s="1"/>
  <c r="H447" i="11"/>
  <c r="I447" i="11" s="1"/>
  <c r="J447" i="11" s="1"/>
  <c r="H526" i="11"/>
  <c r="I526" i="11" s="1"/>
  <c r="H714" i="11"/>
  <c r="I714" i="11" s="1"/>
  <c r="J714" i="11" s="1"/>
  <c r="J139" i="12"/>
  <c r="J140" i="12"/>
  <c r="J250" i="12"/>
  <c r="J201" i="12"/>
  <c r="J361" i="12"/>
  <c r="J358" i="12"/>
  <c r="J352" i="12"/>
  <c r="J346" i="12"/>
  <c r="J340" i="12"/>
  <c r="J331" i="12"/>
  <c r="J328" i="12"/>
  <c r="J325" i="12"/>
  <c r="J322" i="12"/>
  <c r="J359" i="12"/>
  <c r="J353" i="12"/>
  <c r="J344" i="12"/>
  <c r="J341" i="12"/>
  <c r="J338" i="12"/>
  <c r="J335" i="12"/>
  <c r="J329" i="12"/>
  <c r="J326" i="12"/>
  <c r="J320" i="12"/>
  <c r="J360" i="12"/>
  <c r="L345" i="12"/>
  <c r="J327" i="12"/>
  <c r="J324" i="12"/>
  <c r="J315" i="12"/>
  <c r="L315" i="12"/>
  <c r="F307" i="12"/>
  <c r="G307" i="12" s="1"/>
  <c r="H307" i="12"/>
  <c r="I307" i="12" s="1"/>
  <c r="B307" i="12"/>
  <c r="H303" i="12"/>
  <c r="I303" i="12" s="1"/>
  <c r="F303" i="12"/>
  <c r="G303" i="12" s="1"/>
  <c r="B303" i="12"/>
  <c r="B299" i="12"/>
  <c r="F299" i="12"/>
  <c r="G299" i="12" s="1"/>
  <c r="H299" i="12"/>
  <c r="I299" i="12" s="1"/>
  <c r="B295" i="12"/>
  <c r="F295" i="12"/>
  <c r="G295" i="12" s="1"/>
  <c r="H295" i="12"/>
  <c r="I295" i="12" s="1"/>
  <c r="F291" i="12"/>
  <c r="G291" i="12" s="1"/>
  <c r="H291" i="12"/>
  <c r="I291" i="12" s="1"/>
  <c r="B291" i="12"/>
  <c r="B287" i="12"/>
  <c r="F287" i="12"/>
  <c r="G287" i="12" s="1"/>
  <c r="H287" i="12"/>
  <c r="I287" i="12" s="1"/>
  <c r="B283" i="12"/>
  <c r="F283" i="12"/>
  <c r="G283" i="12" s="1"/>
  <c r="H283" i="12"/>
  <c r="I283" i="12" s="1"/>
  <c r="F279" i="12"/>
  <c r="G279" i="12" s="1"/>
  <c r="H279" i="12"/>
  <c r="I279" i="12" s="1"/>
  <c r="B279" i="12"/>
  <c r="B275" i="12"/>
  <c r="F275" i="12"/>
  <c r="G275" i="12" s="1"/>
  <c r="H275" i="12"/>
  <c r="I275" i="12" s="1"/>
  <c r="B271" i="12"/>
  <c r="F271" i="12"/>
  <c r="G271" i="12" s="1"/>
  <c r="H271" i="12"/>
  <c r="I271" i="12" s="1"/>
  <c r="F267" i="12"/>
  <c r="G267" i="12" s="1"/>
  <c r="H267" i="12"/>
  <c r="I267" i="12" s="1"/>
  <c r="B267" i="12"/>
  <c r="B306" i="12"/>
  <c r="F306" i="12"/>
  <c r="G306" i="12" s="1"/>
  <c r="H306" i="12"/>
  <c r="I306" i="12" s="1"/>
  <c r="F302" i="12"/>
  <c r="G302" i="12" s="1"/>
  <c r="B302" i="12"/>
  <c r="H302" i="12"/>
  <c r="I302" i="12" s="1"/>
  <c r="F298" i="12"/>
  <c r="G298" i="12" s="1"/>
  <c r="H298" i="12"/>
  <c r="I298" i="12" s="1"/>
  <c r="B298" i="12"/>
  <c r="B294" i="12"/>
  <c r="F294" i="12"/>
  <c r="G294" i="12" s="1"/>
  <c r="H294" i="12"/>
  <c r="I294" i="12" s="1"/>
  <c r="F290" i="12"/>
  <c r="G290" i="12" s="1"/>
  <c r="H290" i="12"/>
  <c r="I290" i="12" s="1"/>
  <c r="B290" i="12"/>
  <c r="F286" i="12"/>
  <c r="G286" i="12" s="1"/>
  <c r="H286" i="12"/>
  <c r="I286" i="12" s="1"/>
  <c r="B286" i="12"/>
  <c r="B282" i="12"/>
  <c r="F282" i="12"/>
  <c r="G282" i="12" s="1"/>
  <c r="H282" i="12"/>
  <c r="I282" i="12" s="1"/>
  <c r="F278" i="12"/>
  <c r="G278" i="12" s="1"/>
  <c r="H278" i="12"/>
  <c r="I278" i="12" s="1"/>
  <c r="B278" i="12"/>
  <c r="F274" i="12"/>
  <c r="G274" i="12" s="1"/>
  <c r="H274" i="12"/>
  <c r="I274" i="12" s="1"/>
  <c r="B274" i="12"/>
  <c r="B270" i="12"/>
  <c r="F270" i="12"/>
  <c r="G270" i="12" s="1"/>
  <c r="H270" i="12"/>
  <c r="I270" i="12" s="1"/>
  <c r="H266" i="12"/>
  <c r="I266" i="12" s="1"/>
  <c r="B266" i="12"/>
  <c r="F266" i="12"/>
  <c r="G266" i="12" s="1"/>
  <c r="B265" i="12"/>
  <c r="F265" i="12"/>
  <c r="G265" i="12" s="1"/>
  <c r="H265" i="12"/>
  <c r="I265" i="12" s="1"/>
  <c r="H305" i="12"/>
  <c r="I305" i="12" s="1"/>
  <c r="B305" i="12"/>
  <c r="F305" i="12"/>
  <c r="G305" i="12" s="1"/>
  <c r="H301" i="12"/>
  <c r="I301" i="12" s="1"/>
  <c r="B301" i="12"/>
  <c r="F301" i="12"/>
  <c r="G301" i="12" s="1"/>
  <c r="F297" i="12"/>
  <c r="G297" i="12" s="1"/>
  <c r="H297" i="12"/>
  <c r="I297" i="12" s="1"/>
  <c r="B297" i="12"/>
  <c r="B293" i="12"/>
  <c r="F293" i="12"/>
  <c r="G293" i="12" s="1"/>
  <c r="H293" i="12"/>
  <c r="I293" i="12" s="1"/>
  <c r="H289" i="12"/>
  <c r="I289" i="12" s="1"/>
  <c r="B289" i="12"/>
  <c r="F289" i="12"/>
  <c r="G289" i="12" s="1"/>
  <c r="F285" i="12"/>
  <c r="G285" i="12" s="1"/>
  <c r="H285" i="12"/>
  <c r="I285" i="12" s="1"/>
  <c r="B285" i="12"/>
  <c r="B281" i="12"/>
  <c r="F281" i="12"/>
  <c r="G281" i="12" s="1"/>
  <c r="H281" i="12"/>
  <c r="I281" i="12" s="1"/>
  <c r="H277" i="12"/>
  <c r="I277" i="12" s="1"/>
  <c r="B277" i="12"/>
  <c r="F277" i="12"/>
  <c r="G277" i="12" s="1"/>
  <c r="F273" i="12"/>
  <c r="G273" i="12" s="1"/>
  <c r="H273" i="12"/>
  <c r="I273" i="12" s="1"/>
  <c r="B273" i="12"/>
  <c r="B269" i="12"/>
  <c r="F269" i="12"/>
  <c r="G269" i="12" s="1"/>
  <c r="H269" i="12"/>
  <c r="I269" i="12" s="1"/>
  <c r="B264" i="12"/>
  <c r="F264" i="12"/>
  <c r="G264" i="12" s="1"/>
  <c r="H264" i="12"/>
  <c r="I264" i="12" s="1"/>
  <c r="B304" i="12"/>
  <c r="F304" i="12"/>
  <c r="G304" i="12" s="1"/>
  <c r="H304" i="12"/>
  <c r="I304" i="12" s="1"/>
  <c r="B300" i="12"/>
  <c r="F300" i="12"/>
  <c r="G300" i="12" s="1"/>
  <c r="H300" i="12"/>
  <c r="I300" i="12" s="1"/>
  <c r="H296" i="12"/>
  <c r="I296" i="12" s="1"/>
  <c r="B296" i="12"/>
  <c r="F296" i="12"/>
  <c r="G296" i="12" s="1"/>
  <c r="B292" i="12"/>
  <c r="F292" i="12"/>
  <c r="G292" i="12" s="1"/>
  <c r="H292" i="12"/>
  <c r="I292" i="12" s="1"/>
  <c r="B288" i="12"/>
  <c r="F288" i="12"/>
  <c r="G288" i="12" s="1"/>
  <c r="H288" i="12"/>
  <c r="I288" i="12" s="1"/>
  <c r="H284" i="12"/>
  <c r="I284" i="12" s="1"/>
  <c r="B284" i="12"/>
  <c r="F284" i="12"/>
  <c r="G284" i="12" s="1"/>
  <c r="B280" i="12"/>
  <c r="F280" i="12"/>
  <c r="G280" i="12" s="1"/>
  <c r="H280" i="12"/>
  <c r="I280" i="12" s="1"/>
  <c r="B276" i="12"/>
  <c r="F276" i="12"/>
  <c r="G276" i="12" s="1"/>
  <c r="H276" i="12"/>
  <c r="I276" i="12" s="1"/>
  <c r="H272" i="12"/>
  <c r="I272" i="12" s="1"/>
  <c r="B272" i="12"/>
  <c r="F272" i="12"/>
  <c r="G272" i="12" s="1"/>
  <c r="F268" i="12"/>
  <c r="G268" i="12" s="1"/>
  <c r="H268" i="12"/>
  <c r="I268" i="12" s="1"/>
  <c r="B268" i="12"/>
  <c r="B263" i="12"/>
  <c r="F263" i="12"/>
  <c r="G263" i="12" s="1"/>
  <c r="H263" i="12"/>
  <c r="I263" i="12" s="1"/>
  <c r="J255" i="12"/>
  <c r="H252" i="12"/>
  <c r="I252" i="12" s="1"/>
  <c r="B252" i="12"/>
  <c r="F252" i="12"/>
  <c r="G252" i="12" s="1"/>
  <c r="F239" i="12"/>
  <c r="G239" i="12" s="1"/>
  <c r="B239" i="12"/>
  <c r="H239" i="12"/>
  <c r="I239" i="12" s="1"/>
  <c r="J187" i="12"/>
  <c r="H206" i="12"/>
  <c r="I206" i="12" s="1"/>
  <c r="B206" i="12"/>
  <c r="F206" i="12"/>
  <c r="G206" i="12" s="1"/>
  <c r="B258" i="12"/>
  <c r="F258" i="12"/>
  <c r="G258" i="12" s="1"/>
  <c r="H258" i="12"/>
  <c r="I258" i="12" s="1"/>
  <c r="F251" i="12"/>
  <c r="G251" i="12" s="1"/>
  <c r="H251" i="12"/>
  <c r="I251" i="12" s="1"/>
  <c r="B251" i="12"/>
  <c r="J235" i="12"/>
  <c r="H214" i="12"/>
  <c r="I214" i="12" s="1"/>
  <c r="B214" i="12"/>
  <c r="F214" i="12"/>
  <c r="G214" i="12" s="1"/>
  <c r="H246" i="12"/>
  <c r="I246" i="12" s="1"/>
  <c r="F246" i="12"/>
  <c r="G246" i="12" s="1"/>
  <c r="B246" i="12"/>
  <c r="H262" i="12"/>
  <c r="I262" i="12" s="1"/>
  <c r="B262" i="12"/>
  <c r="F262" i="12"/>
  <c r="G262" i="12" s="1"/>
  <c r="F254" i="12"/>
  <c r="G254" i="12" s="1"/>
  <c r="H254" i="12"/>
  <c r="I254" i="12" s="1"/>
  <c r="B254" i="12"/>
  <c r="H222" i="12"/>
  <c r="I222" i="12" s="1"/>
  <c r="B222" i="12"/>
  <c r="F222" i="12"/>
  <c r="G222" i="12" s="1"/>
  <c r="F257" i="12"/>
  <c r="G257" i="12" s="1"/>
  <c r="H257" i="12"/>
  <c r="I257" i="12" s="1"/>
  <c r="B257" i="12"/>
  <c r="F241" i="12"/>
  <c r="G241" i="12" s="1"/>
  <c r="B241" i="12"/>
  <c r="H241" i="12"/>
  <c r="I241" i="12" s="1"/>
  <c r="J175" i="12"/>
  <c r="J199" i="12"/>
  <c r="B253" i="12"/>
  <c r="H253" i="12"/>
  <c r="I253" i="12" s="1"/>
  <c r="F253" i="12"/>
  <c r="G253" i="12" s="1"/>
  <c r="F245" i="12"/>
  <c r="G245" i="12" s="1"/>
  <c r="B245" i="12"/>
  <c r="H245" i="12"/>
  <c r="I245" i="12" s="1"/>
  <c r="H240" i="12"/>
  <c r="I240" i="12" s="1"/>
  <c r="B240" i="12"/>
  <c r="F240" i="12"/>
  <c r="G240" i="12" s="1"/>
  <c r="B259" i="12"/>
  <c r="H259" i="12"/>
  <c r="I259" i="12" s="1"/>
  <c r="F259" i="12"/>
  <c r="G259" i="12" s="1"/>
  <c r="J236" i="12"/>
  <c r="J194" i="12"/>
  <c r="B190" i="12"/>
  <c r="F190" i="12"/>
  <c r="G190" i="12" s="1"/>
  <c r="H190" i="12"/>
  <c r="I190" i="12" s="1"/>
  <c r="F236" i="12"/>
  <c r="G236" i="12" s="1"/>
  <c r="B215" i="12"/>
  <c r="F212" i="12"/>
  <c r="G212" i="12" s="1"/>
  <c r="B212" i="12"/>
  <c r="B207" i="12"/>
  <c r="H200" i="12"/>
  <c r="I200" i="12" s="1"/>
  <c r="B200" i="12"/>
  <c r="B198" i="12"/>
  <c r="F198" i="12"/>
  <c r="G198" i="12" s="1"/>
  <c r="H193" i="12"/>
  <c r="I193" i="12" s="1"/>
  <c r="B189" i="12"/>
  <c r="H189" i="12"/>
  <c r="I189" i="12" s="1"/>
  <c r="H181" i="12"/>
  <c r="I181" i="12" s="1"/>
  <c r="F237" i="12"/>
  <c r="G237" i="12" s="1"/>
  <c r="F229" i="12"/>
  <c r="G229" i="12" s="1"/>
  <c r="H229" i="12"/>
  <c r="I229" i="12" s="1"/>
  <c r="B229" i="12"/>
  <c r="F205" i="12"/>
  <c r="G205" i="12" s="1"/>
  <c r="B205" i="12"/>
  <c r="F193" i="12"/>
  <c r="G193" i="12" s="1"/>
  <c r="J188" i="12"/>
  <c r="B184" i="12"/>
  <c r="F181" i="12"/>
  <c r="G181" i="12" s="1"/>
  <c r="F179" i="12"/>
  <c r="G179" i="12" s="1"/>
  <c r="H179" i="12"/>
  <c r="I179" i="12" s="1"/>
  <c r="B179" i="12"/>
  <c r="F171" i="12"/>
  <c r="G171" i="12" s="1"/>
  <c r="H171" i="12"/>
  <c r="I171" i="12" s="1"/>
  <c r="B171" i="12"/>
  <c r="B160" i="12"/>
  <c r="B154" i="12"/>
  <c r="F154" i="12"/>
  <c r="G154" i="12" s="1"/>
  <c r="H154" i="12"/>
  <c r="I154" i="12" s="1"/>
  <c r="J150" i="12"/>
  <c r="F191" i="12"/>
  <c r="G191" i="12" s="1"/>
  <c r="H191" i="12"/>
  <c r="I191" i="12" s="1"/>
  <c r="B191" i="12"/>
  <c r="B186" i="12"/>
  <c r="F186" i="12"/>
  <c r="G186" i="12" s="1"/>
  <c r="H186" i="12"/>
  <c r="I186" i="12" s="1"/>
  <c r="B165" i="12"/>
  <c r="H165" i="12"/>
  <c r="I165" i="12" s="1"/>
  <c r="B157" i="12"/>
  <c r="H157" i="12"/>
  <c r="I157" i="12" s="1"/>
  <c r="H234" i="12"/>
  <c r="I234" i="12" s="1"/>
  <c r="B234" i="12"/>
  <c r="B250" i="12"/>
  <c r="B230" i="12"/>
  <c r="F219" i="12"/>
  <c r="G219" i="12" s="1"/>
  <c r="B210" i="12"/>
  <c r="F201" i="12"/>
  <c r="G201" i="12" s="1"/>
  <c r="F247" i="12"/>
  <c r="G247" i="12" s="1"/>
  <c r="B247" i="12"/>
  <c r="F261" i="12"/>
  <c r="G261" i="12" s="1"/>
  <c r="H243" i="12"/>
  <c r="I243" i="12" s="1"/>
  <c r="B236" i="12"/>
  <c r="F235" i="12"/>
  <c r="G235" i="12" s="1"/>
  <c r="B235" i="12"/>
  <c r="B226" i="12"/>
  <c r="F226" i="12"/>
  <c r="G226" i="12" s="1"/>
  <c r="H226" i="12"/>
  <c r="I226" i="12" s="1"/>
  <c r="H204" i="12"/>
  <c r="I204" i="12" s="1"/>
  <c r="J153" i="12"/>
  <c r="B219" i="12"/>
  <c r="H217" i="12"/>
  <c r="I217" i="12" s="1"/>
  <c r="B216" i="12"/>
  <c r="B201" i="12"/>
  <c r="F195" i="12"/>
  <c r="G195" i="12" s="1"/>
  <c r="H195" i="12"/>
  <c r="I195" i="12" s="1"/>
  <c r="B195" i="12"/>
  <c r="J180" i="12"/>
  <c r="B178" i="12"/>
  <c r="F178" i="12"/>
  <c r="G178" i="12" s="1"/>
  <c r="H178" i="12"/>
  <c r="I178" i="12" s="1"/>
  <c r="B173" i="12"/>
  <c r="H173" i="12"/>
  <c r="I173" i="12" s="1"/>
  <c r="B231" i="12"/>
  <c r="H231" i="12"/>
  <c r="I231" i="12" s="1"/>
  <c r="B197" i="12"/>
  <c r="H197" i="12"/>
  <c r="I197" i="12" s="1"/>
  <c r="H192" i="12"/>
  <c r="I192" i="12" s="1"/>
  <c r="F183" i="12"/>
  <c r="G183" i="12" s="1"/>
  <c r="H183" i="12"/>
  <c r="I183" i="12" s="1"/>
  <c r="B183" i="12"/>
  <c r="H172" i="12"/>
  <c r="I172" i="12" s="1"/>
  <c r="H156" i="12"/>
  <c r="I156" i="12" s="1"/>
  <c r="B156" i="12"/>
  <c r="B208" i="12"/>
  <c r="H208" i="12"/>
  <c r="I208" i="12" s="1"/>
  <c r="F199" i="12"/>
  <c r="G199" i="12" s="1"/>
  <c r="B199" i="12"/>
  <c r="H256" i="12"/>
  <c r="I256" i="12" s="1"/>
  <c r="H233" i="12"/>
  <c r="I233" i="12" s="1"/>
  <c r="F223" i="12"/>
  <c r="G223" i="12" s="1"/>
  <c r="H223" i="12"/>
  <c r="I223" i="12" s="1"/>
  <c r="B223" i="12"/>
  <c r="F175" i="12"/>
  <c r="G175" i="12" s="1"/>
  <c r="B175" i="12"/>
  <c r="H221" i="12"/>
  <c r="I221" i="12" s="1"/>
  <c r="F211" i="12"/>
  <c r="G211" i="12" s="1"/>
  <c r="H211" i="12"/>
  <c r="I211" i="12" s="1"/>
  <c r="B204" i="12"/>
  <c r="F200" i="12"/>
  <c r="G200" i="12" s="1"/>
  <c r="H196" i="12"/>
  <c r="I196" i="12" s="1"/>
  <c r="B185" i="12"/>
  <c r="H185" i="12"/>
  <c r="I185" i="12" s="1"/>
  <c r="J144" i="12"/>
  <c r="H198" i="12"/>
  <c r="I198" i="12" s="1"/>
  <c r="B192" i="12"/>
  <c r="B177" i="12"/>
  <c r="H177" i="12"/>
  <c r="I177" i="12" s="1"/>
  <c r="J163" i="12"/>
  <c r="B161" i="12"/>
  <c r="H161" i="12"/>
  <c r="I161" i="12" s="1"/>
  <c r="B225" i="12"/>
  <c r="H225" i="12"/>
  <c r="I225" i="12" s="1"/>
  <c r="B221" i="12"/>
  <c r="J216" i="12"/>
  <c r="H261" i="12"/>
  <c r="I261" i="12" s="1"/>
  <c r="B232" i="12"/>
  <c r="F232" i="12"/>
  <c r="G232" i="12" s="1"/>
  <c r="H232" i="12"/>
  <c r="I232" i="12" s="1"/>
  <c r="F215" i="12"/>
  <c r="G215" i="12" s="1"/>
  <c r="H247" i="12"/>
  <c r="I247" i="12" s="1"/>
  <c r="B194" i="12"/>
  <c r="F194" i="12"/>
  <c r="G194" i="12" s="1"/>
  <c r="F187" i="12"/>
  <c r="G187" i="12" s="1"/>
  <c r="B187" i="12"/>
  <c r="H184" i="12"/>
  <c r="I184" i="12" s="1"/>
  <c r="B182" i="12"/>
  <c r="F182" i="12"/>
  <c r="G182" i="12" s="1"/>
  <c r="H182" i="12"/>
  <c r="I182" i="12" s="1"/>
  <c r="B169" i="12"/>
  <c r="H169" i="12"/>
  <c r="I169" i="12" s="1"/>
  <c r="H160" i="12"/>
  <c r="I160" i="12" s="1"/>
  <c r="B155" i="12"/>
  <c r="H155" i="12"/>
  <c r="I155" i="12" s="1"/>
  <c r="J147" i="12"/>
  <c r="H230" i="12"/>
  <c r="I230" i="12" s="1"/>
  <c r="H228" i="12"/>
  <c r="I228" i="12" s="1"/>
  <c r="B228" i="12"/>
  <c r="F225" i="12"/>
  <c r="G225" i="12" s="1"/>
  <c r="H218" i="12"/>
  <c r="I218" i="12" s="1"/>
  <c r="F207" i="12"/>
  <c r="G207" i="12" s="1"/>
  <c r="J205" i="12"/>
  <c r="F250" i="12"/>
  <c r="G250" i="12" s="1"/>
  <c r="F249" i="12"/>
  <c r="G249" i="12" s="1"/>
  <c r="H237" i="12"/>
  <c r="I237" i="12" s="1"/>
  <c r="F234" i="12"/>
  <c r="G234" i="12" s="1"/>
  <c r="B233" i="12"/>
  <c r="J213" i="12"/>
  <c r="H210" i="12"/>
  <c r="I210" i="12" s="1"/>
  <c r="B202" i="12"/>
  <c r="H202" i="12"/>
  <c r="I202" i="12" s="1"/>
  <c r="B196" i="12"/>
  <c r="J168" i="12"/>
  <c r="B166" i="12"/>
  <c r="F166" i="12"/>
  <c r="G166" i="12" s="1"/>
  <c r="H166" i="12"/>
  <c r="I166" i="12" s="1"/>
  <c r="F157" i="12"/>
  <c r="G157" i="12" s="1"/>
  <c r="F153" i="12"/>
  <c r="G153" i="12" s="1"/>
  <c r="F150" i="12"/>
  <c r="G150" i="12" s="1"/>
  <c r="F147" i="12"/>
  <c r="G147" i="12" s="1"/>
  <c r="F141" i="12"/>
  <c r="G141" i="12" s="1"/>
  <c r="B167" i="12"/>
  <c r="B163" i="12"/>
  <c r="B159" i="12"/>
  <c r="B153" i="12"/>
  <c r="H151" i="12"/>
  <c r="I151" i="12" s="1"/>
  <c r="B150" i="12"/>
  <c r="H148" i="12"/>
  <c r="I148" i="12" s="1"/>
  <c r="B147" i="12"/>
  <c r="H145" i="12"/>
  <c r="I145" i="12" s="1"/>
  <c r="B144" i="12"/>
  <c r="F151" i="12"/>
  <c r="G151" i="12" s="1"/>
  <c r="F148" i="12"/>
  <c r="G148" i="12" s="1"/>
  <c r="F145" i="12"/>
  <c r="G145" i="12" s="1"/>
  <c r="B139" i="12"/>
  <c r="F139" i="12"/>
  <c r="G139" i="12" s="1"/>
  <c r="H170" i="12"/>
  <c r="I170" i="12" s="1"/>
  <c r="H158" i="12"/>
  <c r="I158" i="12" s="1"/>
  <c r="H174" i="12"/>
  <c r="I174" i="12" s="1"/>
  <c r="F170" i="12"/>
  <c r="G170" i="12" s="1"/>
  <c r="H162" i="12"/>
  <c r="I162" i="12" s="1"/>
  <c r="F158" i="12"/>
  <c r="G158" i="12" s="1"/>
  <c r="F174" i="12"/>
  <c r="G174" i="12" s="1"/>
  <c r="F162" i="12"/>
  <c r="G162" i="12" s="1"/>
  <c r="H152" i="12"/>
  <c r="I152" i="12" s="1"/>
  <c r="H149" i="12"/>
  <c r="I149" i="12" s="1"/>
  <c r="H146" i="12"/>
  <c r="I146" i="12" s="1"/>
  <c r="H143" i="12"/>
  <c r="I143" i="12" s="1"/>
  <c r="F152" i="12"/>
  <c r="G152" i="12" s="1"/>
  <c r="F149" i="12"/>
  <c r="G149" i="12" s="1"/>
  <c r="F146" i="12"/>
  <c r="G146" i="12" s="1"/>
  <c r="F143" i="12"/>
  <c r="G143" i="12" s="1"/>
  <c r="B138" i="12"/>
  <c r="F138" i="12"/>
  <c r="G138" i="12" s="1"/>
  <c r="H138" i="12"/>
  <c r="I138" i="12" s="1"/>
  <c r="H167" i="12"/>
  <c r="I167" i="12" s="1"/>
  <c r="H159" i="12"/>
  <c r="I159" i="12" s="1"/>
  <c r="J176" i="12"/>
  <c r="J164" i="12"/>
  <c r="H141" i="12"/>
  <c r="I141" i="12" s="1"/>
  <c r="B137" i="12"/>
  <c r="F137" i="12"/>
  <c r="G137" i="12" s="1"/>
  <c r="H137" i="12"/>
  <c r="I137" i="12" s="1"/>
  <c r="F713" i="11"/>
  <c r="G713" i="11" s="1"/>
  <c r="B713" i="11"/>
  <c r="B712" i="11"/>
  <c r="F712" i="11"/>
  <c r="G712" i="11" s="1"/>
  <c r="B670" i="11"/>
  <c r="H670" i="11"/>
  <c r="I670" i="11" s="1"/>
  <c r="L670" i="11" s="1"/>
  <c r="B784" i="11"/>
  <c r="F784" i="11"/>
  <c r="G784" i="11" s="1"/>
  <c r="H784" i="11"/>
  <c r="I784" i="11" s="1"/>
  <c r="B608" i="11"/>
  <c r="F608" i="11"/>
  <c r="G608" i="11" s="1"/>
  <c r="F596" i="11"/>
  <c r="G596" i="11" s="1"/>
  <c r="B596" i="11"/>
  <c r="B793" i="11"/>
  <c r="F793" i="11"/>
  <c r="G793" i="11" s="1"/>
  <c r="H793" i="11"/>
  <c r="I793" i="11" s="1"/>
  <c r="B769" i="11"/>
  <c r="F769" i="11"/>
  <c r="G769" i="11" s="1"/>
  <c r="H769" i="11"/>
  <c r="I769" i="11" s="1"/>
  <c r="L769" i="11" s="1"/>
  <c r="F748" i="11"/>
  <c r="G748" i="11" s="1"/>
  <c r="B748" i="11"/>
  <c r="H748" i="11"/>
  <c r="I748" i="11" s="1"/>
  <c r="B590" i="11"/>
  <c r="H590" i="11"/>
  <c r="I590" i="11" s="1"/>
  <c r="J590" i="11" s="1"/>
  <c r="H754" i="11"/>
  <c r="I754" i="11" s="1"/>
  <c r="H744" i="11"/>
  <c r="I744" i="11" s="1"/>
  <c r="J744" i="11" s="1"/>
  <c r="H340" i="11"/>
  <c r="I340" i="11" s="1"/>
  <c r="F592" i="11"/>
  <c r="G592" i="11" s="1"/>
  <c r="H483" i="11"/>
  <c r="I483" i="11" s="1"/>
  <c r="L483" i="11" s="1"/>
  <c r="B786" i="11"/>
  <c r="H762" i="11"/>
  <c r="I762" i="11" s="1"/>
  <c r="B757" i="11"/>
  <c r="H709" i="11"/>
  <c r="I709" i="11" s="1"/>
  <c r="J709" i="11" s="1"/>
  <c r="F795" i="11"/>
  <c r="G795" i="11" s="1"/>
  <c r="J716" i="11"/>
  <c r="B714" i="11"/>
  <c r="H711" i="11"/>
  <c r="I711" i="11" s="1"/>
  <c r="J711" i="11" s="1"/>
  <c r="B706" i="11"/>
  <c r="H781" i="11"/>
  <c r="I781" i="11" s="1"/>
  <c r="L781" i="11" s="1"/>
  <c r="F728" i="11"/>
  <c r="G728" i="11" s="1"/>
  <c r="H562" i="11"/>
  <c r="I562" i="11" s="1"/>
  <c r="L562" i="11" s="1"/>
  <c r="F212" i="11"/>
  <c r="G212" i="11" s="1"/>
  <c r="F178" i="11"/>
  <c r="G178" i="11" s="1"/>
  <c r="B441" i="11"/>
  <c r="H733" i="11"/>
  <c r="I733" i="11" s="1"/>
  <c r="F730" i="11"/>
  <c r="G730" i="11" s="1"/>
  <c r="F718" i="11"/>
  <c r="G718" i="11" s="1"/>
  <c r="B711" i="11"/>
  <c r="F701" i="11"/>
  <c r="G701" i="11" s="1"/>
  <c r="H745" i="11"/>
  <c r="I745" i="11" s="1"/>
  <c r="L745" i="11" s="1"/>
  <c r="F733" i="11"/>
  <c r="G733" i="11" s="1"/>
  <c r="B728" i="11"/>
  <c r="H721" i="11"/>
  <c r="I721" i="11" s="1"/>
  <c r="B495" i="11"/>
  <c r="H739" i="11"/>
  <c r="I739" i="11" s="1"/>
  <c r="F721" i="11"/>
  <c r="G721" i="11" s="1"/>
  <c r="F710" i="11"/>
  <c r="G710" i="11" s="1"/>
  <c r="H167" i="11"/>
  <c r="I167" i="11" s="1"/>
  <c r="B570" i="11"/>
  <c r="F523" i="11"/>
  <c r="G523" i="11" s="1"/>
  <c r="H772" i="11"/>
  <c r="I772" i="11" s="1"/>
  <c r="J772" i="11" s="1"/>
  <c r="F757" i="11"/>
  <c r="G757" i="11" s="1"/>
  <c r="B745" i="11"/>
  <c r="H742" i="11"/>
  <c r="I742" i="11" s="1"/>
  <c r="L742" i="11" s="1"/>
  <c r="B718" i="11"/>
  <c r="B1125" i="10"/>
  <c r="F244" i="11"/>
  <c r="G244" i="11" s="1"/>
  <c r="F692" i="11"/>
  <c r="G692" i="11" s="1"/>
  <c r="J769" i="11"/>
  <c r="J780" i="11"/>
  <c r="H798" i="11"/>
  <c r="I798" i="11" s="1"/>
  <c r="B798" i="11"/>
  <c r="F798" i="11"/>
  <c r="G798" i="11" s="1"/>
  <c r="B801" i="11"/>
  <c r="H801" i="11"/>
  <c r="I801" i="11" s="1"/>
  <c r="F801" i="11"/>
  <c r="G801" i="11" s="1"/>
  <c r="B792" i="11"/>
  <c r="H792" i="11"/>
  <c r="I792" i="11" s="1"/>
  <c r="F792" i="11"/>
  <c r="G792" i="11" s="1"/>
  <c r="H800" i="11"/>
  <c r="I800" i="11" s="1"/>
  <c r="B800" i="11"/>
  <c r="F800" i="11"/>
  <c r="G800" i="11" s="1"/>
  <c r="H796" i="11"/>
  <c r="I796" i="11" s="1"/>
  <c r="B775" i="11"/>
  <c r="F775" i="11"/>
  <c r="G775" i="11" s="1"/>
  <c r="H775" i="11"/>
  <c r="I775" i="11" s="1"/>
  <c r="B761" i="11"/>
  <c r="H761" i="11"/>
  <c r="I761" i="11" s="1"/>
  <c r="F761" i="11"/>
  <c r="G761" i="11" s="1"/>
  <c r="F736" i="11"/>
  <c r="G736" i="11" s="1"/>
  <c r="B736" i="11"/>
  <c r="H736" i="11"/>
  <c r="I736" i="11" s="1"/>
  <c r="F796" i="11"/>
  <c r="G796" i="11" s="1"/>
  <c r="F786" i="11"/>
  <c r="G786" i="11" s="1"/>
  <c r="H782" i="11"/>
  <c r="I782" i="11" s="1"/>
  <c r="B782" i="11"/>
  <c r="H790" i="11"/>
  <c r="I790" i="11" s="1"/>
  <c r="F778" i="11"/>
  <c r="G778" i="11" s="1"/>
  <c r="H778" i="11"/>
  <c r="I778" i="11" s="1"/>
  <c r="B768" i="11"/>
  <c r="F768" i="11"/>
  <c r="G768" i="11" s="1"/>
  <c r="F765" i="11"/>
  <c r="G765" i="11" s="1"/>
  <c r="H765" i="11"/>
  <c r="I765" i="11" s="1"/>
  <c r="J762" i="11"/>
  <c r="F758" i="11"/>
  <c r="G758" i="11" s="1"/>
  <c r="H758" i="11"/>
  <c r="I758" i="11" s="1"/>
  <c r="B758" i="11"/>
  <c r="B780" i="11"/>
  <c r="F780" i="11"/>
  <c r="G780" i="11" s="1"/>
  <c r="B760" i="11"/>
  <c r="F760" i="11"/>
  <c r="G760" i="11" s="1"/>
  <c r="H760" i="11"/>
  <c r="I760" i="11" s="1"/>
  <c r="F750" i="11"/>
  <c r="G750" i="11" s="1"/>
  <c r="B750" i="11"/>
  <c r="H750" i="11"/>
  <c r="I750" i="11" s="1"/>
  <c r="J732" i="11"/>
  <c r="L732" i="11"/>
  <c r="H794" i="11"/>
  <c r="I794" i="11" s="1"/>
  <c r="B790" i="11"/>
  <c r="J786" i="11"/>
  <c r="H783" i="11"/>
  <c r="I783" i="11" s="1"/>
  <c r="B777" i="11"/>
  <c r="F777" i="11"/>
  <c r="G777" i="11" s="1"/>
  <c r="H777" i="11"/>
  <c r="I777" i="11" s="1"/>
  <c r="B767" i="11"/>
  <c r="F767" i="11"/>
  <c r="G767" i="11" s="1"/>
  <c r="H767" i="11"/>
  <c r="I767" i="11" s="1"/>
  <c r="F753" i="11"/>
  <c r="G753" i="11" s="1"/>
  <c r="B753" i="11"/>
  <c r="H753" i="11"/>
  <c r="I753" i="11" s="1"/>
  <c r="J717" i="11"/>
  <c r="F794" i="11"/>
  <c r="G794" i="11" s="1"/>
  <c r="F788" i="11"/>
  <c r="G788" i="11" s="1"/>
  <c r="H788" i="11"/>
  <c r="I788" i="11" s="1"/>
  <c r="F783" i="11"/>
  <c r="G783" i="11" s="1"/>
  <c r="J774" i="11"/>
  <c r="H771" i="11"/>
  <c r="I771" i="11" s="1"/>
  <c r="B771" i="11"/>
  <c r="F764" i="11"/>
  <c r="G764" i="11" s="1"/>
  <c r="H764" i="11"/>
  <c r="I764" i="11" s="1"/>
  <c r="B734" i="11"/>
  <c r="F734" i="11"/>
  <c r="G734" i="11" s="1"/>
  <c r="H734" i="11"/>
  <c r="I734" i="11" s="1"/>
  <c r="B731" i="11"/>
  <c r="F731" i="11"/>
  <c r="G731" i="11" s="1"/>
  <c r="H731" i="11"/>
  <c r="I731" i="11" s="1"/>
  <c r="F799" i="11"/>
  <c r="G799" i="11" s="1"/>
  <c r="H799" i="11"/>
  <c r="I799" i="11" s="1"/>
  <c r="J795" i="11"/>
  <c r="B779" i="11"/>
  <c r="F779" i="11"/>
  <c r="G779" i="11" s="1"/>
  <c r="H779" i="11"/>
  <c r="I779" i="11" s="1"/>
  <c r="H749" i="11"/>
  <c r="I749" i="11" s="1"/>
  <c r="B749" i="11"/>
  <c r="F749" i="11"/>
  <c r="G749" i="11" s="1"/>
  <c r="B776" i="11"/>
  <c r="F776" i="11"/>
  <c r="G776" i="11" s="1"/>
  <c r="H776" i="11"/>
  <c r="I776" i="11" s="1"/>
  <c r="F752" i="11"/>
  <c r="G752" i="11" s="1"/>
  <c r="H752" i="11"/>
  <c r="I752" i="11" s="1"/>
  <c r="B752" i="11"/>
  <c r="H746" i="11"/>
  <c r="I746" i="11" s="1"/>
  <c r="B746" i="11"/>
  <c r="F746" i="11"/>
  <c r="G746" i="11" s="1"/>
  <c r="B737" i="11"/>
  <c r="F737" i="11"/>
  <c r="G737" i="11" s="1"/>
  <c r="H737" i="11"/>
  <c r="I737" i="11" s="1"/>
  <c r="F797" i="11"/>
  <c r="G797" i="11" s="1"/>
  <c r="H797" i="11"/>
  <c r="I797" i="11" s="1"/>
  <c r="B797" i="11"/>
  <c r="B791" i="11"/>
  <c r="F791" i="11"/>
  <c r="G791" i="11" s="1"/>
  <c r="H791" i="11"/>
  <c r="I791" i="11" s="1"/>
  <c r="B787" i="11"/>
  <c r="F787" i="11"/>
  <c r="G787" i="11" s="1"/>
  <c r="H787" i="11"/>
  <c r="I787" i="11" s="1"/>
  <c r="H768" i="11"/>
  <c r="I768" i="11" s="1"/>
  <c r="F766" i="11"/>
  <c r="G766" i="11" s="1"/>
  <c r="H766" i="11"/>
  <c r="I766" i="11" s="1"/>
  <c r="J757" i="11"/>
  <c r="L757" i="11"/>
  <c r="J754" i="11"/>
  <c r="L754" i="11"/>
  <c r="J745" i="11"/>
  <c r="B740" i="11"/>
  <c r="F740" i="11"/>
  <c r="G740" i="11" s="1"/>
  <c r="H740" i="11"/>
  <c r="I740" i="11" s="1"/>
  <c r="B789" i="11"/>
  <c r="F789" i="11"/>
  <c r="G789" i="11" s="1"/>
  <c r="H789" i="11"/>
  <c r="I789" i="11" s="1"/>
  <c r="H770" i="11"/>
  <c r="I770" i="11" s="1"/>
  <c r="B770" i="11"/>
  <c r="H751" i="11"/>
  <c r="I751" i="11" s="1"/>
  <c r="B751" i="11"/>
  <c r="F751" i="11"/>
  <c r="G751" i="11" s="1"/>
  <c r="B743" i="11"/>
  <c r="F743" i="11"/>
  <c r="G743" i="11" s="1"/>
  <c r="H743" i="11"/>
  <c r="I743" i="11" s="1"/>
  <c r="F725" i="11"/>
  <c r="G725" i="11" s="1"/>
  <c r="B719" i="11"/>
  <c r="F719" i="11"/>
  <c r="G719" i="11" s="1"/>
  <c r="H719" i="11"/>
  <c r="I719" i="11" s="1"/>
  <c r="B785" i="11"/>
  <c r="F781" i="11"/>
  <c r="G781" i="11" s="1"/>
  <c r="B773" i="11"/>
  <c r="F723" i="11"/>
  <c r="G723" i="11" s="1"/>
  <c r="B723" i="11"/>
  <c r="J693" i="11"/>
  <c r="B772" i="11"/>
  <c r="B756" i="11"/>
  <c r="B755" i="11"/>
  <c r="H755" i="11"/>
  <c r="I755" i="11" s="1"/>
  <c r="B732" i="11"/>
  <c r="B741" i="11"/>
  <c r="F741" i="11"/>
  <c r="G741" i="11" s="1"/>
  <c r="F735" i="11"/>
  <c r="G735" i="11" s="1"/>
  <c r="B735" i="11"/>
  <c r="B729" i="11"/>
  <c r="F729" i="11"/>
  <c r="G729" i="11" s="1"/>
  <c r="B727" i="11"/>
  <c r="F727" i="11"/>
  <c r="G727" i="11" s="1"/>
  <c r="H727" i="11"/>
  <c r="I727" i="11" s="1"/>
  <c r="L722" i="11"/>
  <c r="J722" i="11"/>
  <c r="B707" i="11"/>
  <c r="F707" i="11"/>
  <c r="G707" i="11" s="1"/>
  <c r="H707" i="11"/>
  <c r="I707" i="11" s="1"/>
  <c r="F742" i="11"/>
  <c r="G742" i="11" s="1"/>
  <c r="J728" i="11"/>
  <c r="B759" i="11"/>
  <c r="F739" i="11"/>
  <c r="G739" i="11" s="1"/>
  <c r="H724" i="11"/>
  <c r="I724" i="11" s="1"/>
  <c r="L718" i="11"/>
  <c r="J718" i="11"/>
  <c r="F696" i="11"/>
  <c r="G696" i="11" s="1"/>
  <c r="H696" i="11"/>
  <c r="I696" i="11" s="1"/>
  <c r="B696" i="11"/>
  <c r="H747" i="11"/>
  <c r="I747" i="11" s="1"/>
  <c r="B722" i="11"/>
  <c r="F722" i="11"/>
  <c r="G722" i="11" s="1"/>
  <c r="H785" i="11"/>
  <c r="I785" i="11" s="1"/>
  <c r="H773" i="11"/>
  <c r="I773" i="11" s="1"/>
  <c r="H720" i="11"/>
  <c r="I720" i="11" s="1"/>
  <c r="B720" i="11"/>
  <c r="B699" i="11"/>
  <c r="F699" i="11"/>
  <c r="G699" i="11" s="1"/>
  <c r="H699" i="11"/>
  <c r="I699" i="11" s="1"/>
  <c r="B724" i="11"/>
  <c r="H715" i="11"/>
  <c r="I715" i="11" s="1"/>
  <c r="B715" i="11"/>
  <c r="F715" i="11"/>
  <c r="G715" i="11" s="1"/>
  <c r="L687" i="11"/>
  <c r="J687" i="11"/>
  <c r="H763" i="11"/>
  <c r="I763" i="11" s="1"/>
  <c r="F763" i="11"/>
  <c r="G763" i="11" s="1"/>
  <c r="H756" i="11"/>
  <c r="I756" i="11" s="1"/>
  <c r="B726" i="11"/>
  <c r="H726" i="11"/>
  <c r="I726" i="11" s="1"/>
  <c r="F702" i="11"/>
  <c r="G702" i="11" s="1"/>
  <c r="H702" i="11"/>
  <c r="I702" i="11" s="1"/>
  <c r="B702" i="11"/>
  <c r="F755" i="11"/>
  <c r="G755" i="11" s="1"/>
  <c r="F754" i="11"/>
  <c r="G754" i="11" s="1"/>
  <c r="B747" i="11"/>
  <c r="H738" i="11"/>
  <c r="I738" i="11" s="1"/>
  <c r="H723" i="11"/>
  <c r="I723" i="11" s="1"/>
  <c r="H741" i="11"/>
  <c r="I741" i="11" s="1"/>
  <c r="H735" i="11"/>
  <c r="I735" i="11" s="1"/>
  <c r="F732" i="11"/>
  <c r="G732" i="11" s="1"/>
  <c r="H729" i="11"/>
  <c r="I729" i="11" s="1"/>
  <c r="H725" i="11"/>
  <c r="I725" i="11" s="1"/>
  <c r="B717" i="11"/>
  <c r="F717" i="11"/>
  <c r="G717" i="11" s="1"/>
  <c r="H708" i="11"/>
  <c r="I708" i="11" s="1"/>
  <c r="B708" i="11"/>
  <c r="F708" i="11"/>
  <c r="G708" i="11" s="1"/>
  <c r="H697" i="11"/>
  <c r="I697" i="11" s="1"/>
  <c r="B697" i="11"/>
  <c r="F697" i="11"/>
  <c r="G697" i="11" s="1"/>
  <c r="B695" i="11"/>
  <c r="H692" i="11"/>
  <c r="I692" i="11" s="1"/>
  <c r="L681" i="11"/>
  <c r="J681" i="11"/>
  <c r="L674" i="11"/>
  <c r="J674" i="11"/>
  <c r="B686" i="11"/>
  <c r="F686" i="11"/>
  <c r="G686" i="11" s="1"/>
  <c r="J683" i="11"/>
  <c r="F678" i="11"/>
  <c r="G678" i="11" s="1"/>
  <c r="H678" i="11"/>
  <c r="I678" i="11" s="1"/>
  <c r="B678" i="11"/>
  <c r="B716" i="11"/>
  <c r="B705" i="11"/>
  <c r="H705" i="11"/>
  <c r="I705" i="11" s="1"/>
  <c r="H703" i="11"/>
  <c r="I703" i="11" s="1"/>
  <c r="B703" i="11"/>
  <c r="F703" i="11"/>
  <c r="G703" i="11" s="1"/>
  <c r="B701" i="11"/>
  <c r="H698" i="11"/>
  <c r="I698" i="11" s="1"/>
  <c r="F683" i="11"/>
  <c r="G683" i="11" s="1"/>
  <c r="F698" i="11"/>
  <c r="G698" i="11" s="1"/>
  <c r="B681" i="11"/>
  <c r="F681" i="11"/>
  <c r="G681" i="11" s="1"/>
  <c r="L673" i="11"/>
  <c r="J673" i="11"/>
  <c r="F690" i="11"/>
  <c r="G690" i="11" s="1"/>
  <c r="H690" i="11"/>
  <c r="I690" i="11" s="1"/>
  <c r="B688" i="11"/>
  <c r="H688" i="11"/>
  <c r="I688" i="11" s="1"/>
  <c r="B677" i="11"/>
  <c r="F677" i="11"/>
  <c r="G677" i="11" s="1"/>
  <c r="H677" i="11"/>
  <c r="I677" i="11" s="1"/>
  <c r="H706" i="11"/>
  <c r="I706" i="11" s="1"/>
  <c r="B683" i="11"/>
  <c r="B694" i="11"/>
  <c r="H694" i="11"/>
  <c r="I694" i="11" s="1"/>
  <c r="J689" i="11"/>
  <c r="H685" i="11"/>
  <c r="I685" i="11" s="1"/>
  <c r="B685" i="11"/>
  <c r="F685" i="11"/>
  <c r="G685" i="11" s="1"/>
  <c r="B676" i="11"/>
  <c r="F676" i="11"/>
  <c r="G676" i="11" s="1"/>
  <c r="H676" i="11"/>
  <c r="I676" i="11" s="1"/>
  <c r="H712" i="11"/>
  <c r="I712" i="11" s="1"/>
  <c r="F689" i="11"/>
  <c r="G689" i="11" s="1"/>
  <c r="H680" i="11"/>
  <c r="I680" i="11" s="1"/>
  <c r="B680" i="11"/>
  <c r="F680" i="11"/>
  <c r="G680" i="11" s="1"/>
  <c r="B700" i="11"/>
  <c r="H700" i="11"/>
  <c r="I700" i="11" s="1"/>
  <c r="J695" i="11"/>
  <c r="B687" i="11"/>
  <c r="F687" i="11"/>
  <c r="G687" i="11" s="1"/>
  <c r="H704" i="11"/>
  <c r="I704" i="11" s="1"/>
  <c r="F704" i="11"/>
  <c r="G704" i="11" s="1"/>
  <c r="F695" i="11"/>
  <c r="G695" i="11" s="1"/>
  <c r="H686" i="11"/>
  <c r="I686" i="11" s="1"/>
  <c r="F716" i="11"/>
  <c r="G716" i="11" s="1"/>
  <c r="H713" i="11"/>
  <c r="I713" i="11" s="1"/>
  <c r="H710" i="11"/>
  <c r="I710" i="11" s="1"/>
  <c r="J701" i="11"/>
  <c r="H691" i="11"/>
  <c r="I691" i="11" s="1"/>
  <c r="B691" i="11"/>
  <c r="F691" i="11"/>
  <c r="G691" i="11" s="1"/>
  <c r="B689" i="11"/>
  <c r="H679" i="11"/>
  <c r="I679" i="11" s="1"/>
  <c r="B679" i="11"/>
  <c r="F679" i="11"/>
  <c r="G679" i="11" s="1"/>
  <c r="B693" i="11"/>
  <c r="F693" i="11"/>
  <c r="G693" i="11" s="1"/>
  <c r="F684" i="11"/>
  <c r="G684" i="11" s="1"/>
  <c r="H684" i="11"/>
  <c r="I684" i="11" s="1"/>
  <c r="B684" i="11"/>
  <c r="B682" i="11"/>
  <c r="H682" i="11"/>
  <c r="I682" i="11" s="1"/>
  <c r="F673" i="11"/>
  <c r="G673" i="11" s="1"/>
  <c r="B668" i="11"/>
  <c r="F668" i="11"/>
  <c r="G668" i="11" s="1"/>
  <c r="F674" i="11"/>
  <c r="G674" i="11" s="1"/>
  <c r="B672" i="11"/>
  <c r="H669" i="11"/>
  <c r="I669" i="11" s="1"/>
  <c r="H675" i="11"/>
  <c r="I675" i="11" s="1"/>
  <c r="F669" i="11"/>
  <c r="G669" i="11" s="1"/>
  <c r="F675" i="11"/>
  <c r="G675" i="11" s="1"/>
  <c r="B673" i="11"/>
  <c r="J670" i="11"/>
  <c r="B674" i="11"/>
  <c r="F670" i="11"/>
  <c r="G670" i="11" s="1"/>
  <c r="B667" i="11"/>
  <c r="F667" i="11"/>
  <c r="G667" i="11" s="1"/>
  <c r="H667" i="11"/>
  <c r="I667" i="11" s="1"/>
  <c r="H671" i="11"/>
  <c r="I671" i="11" s="1"/>
  <c r="F671" i="11"/>
  <c r="G671" i="11" s="1"/>
  <c r="H668" i="11"/>
  <c r="I668" i="11" s="1"/>
  <c r="H672" i="11"/>
  <c r="I672" i="11" s="1"/>
  <c r="B666" i="11"/>
  <c r="F666" i="11"/>
  <c r="G666" i="11" s="1"/>
  <c r="H666" i="11"/>
  <c r="I666" i="11" s="1"/>
  <c r="F662" i="11"/>
  <c r="G662" i="11" s="1"/>
  <c r="H662" i="11"/>
  <c r="I662" i="11" s="1"/>
  <c r="B662" i="11"/>
  <c r="B665" i="11"/>
  <c r="F665" i="11"/>
  <c r="G665" i="11" s="1"/>
  <c r="H665" i="11"/>
  <c r="I665" i="11" s="1"/>
  <c r="H661" i="11"/>
  <c r="I661" i="11" s="1"/>
  <c r="B661" i="11"/>
  <c r="F661" i="11"/>
  <c r="G661" i="11" s="1"/>
  <c r="B664" i="11"/>
  <c r="F664" i="11"/>
  <c r="G664" i="11" s="1"/>
  <c r="H664" i="11"/>
  <c r="I664" i="11" s="1"/>
  <c r="B660" i="11"/>
  <c r="F660" i="11"/>
  <c r="G660" i="11" s="1"/>
  <c r="H660" i="11"/>
  <c r="I660" i="11" s="1"/>
  <c r="B659" i="11"/>
  <c r="F659" i="11"/>
  <c r="G659" i="11" s="1"/>
  <c r="H659" i="11"/>
  <c r="I659" i="11" s="1"/>
  <c r="F663" i="11"/>
  <c r="G663" i="11" s="1"/>
  <c r="H663" i="11"/>
  <c r="I663" i="11" s="1"/>
  <c r="B663" i="11"/>
  <c r="B658" i="11"/>
  <c r="F658" i="11"/>
  <c r="G658" i="11" s="1"/>
  <c r="H658" i="11"/>
  <c r="I658" i="11" s="1"/>
  <c r="B578" i="11"/>
  <c r="F578" i="11"/>
  <c r="G578" i="11" s="1"/>
  <c r="H578" i="11"/>
  <c r="I578" i="11" s="1"/>
  <c r="B561" i="11"/>
  <c r="H561" i="11"/>
  <c r="I561" i="11" s="1"/>
  <c r="J561" i="11" s="1"/>
  <c r="B547" i="11"/>
  <c r="H547" i="11"/>
  <c r="I547" i="11" s="1"/>
  <c r="B593" i="11"/>
  <c r="F593" i="11"/>
  <c r="G593" i="11" s="1"/>
  <c r="H593" i="11"/>
  <c r="I593" i="11" s="1"/>
  <c r="L593" i="11" s="1"/>
  <c r="B527" i="11"/>
  <c r="H527" i="11"/>
  <c r="I527" i="11" s="1"/>
  <c r="F577" i="11"/>
  <c r="G577" i="11" s="1"/>
  <c r="B577" i="11"/>
  <c r="H577" i="11"/>
  <c r="I577" i="11" s="1"/>
  <c r="J577" i="11" s="1"/>
  <c r="B555" i="11"/>
  <c r="H555" i="11"/>
  <c r="I555" i="11" s="1"/>
  <c r="H479" i="11"/>
  <c r="I479" i="11" s="1"/>
  <c r="B479" i="11"/>
  <c r="F479" i="11"/>
  <c r="G479" i="11" s="1"/>
  <c r="B631" i="11"/>
  <c r="H631" i="11"/>
  <c r="I631" i="11" s="1"/>
  <c r="J631" i="11" s="1"/>
  <c r="H563" i="11"/>
  <c r="I563" i="11" s="1"/>
  <c r="J563" i="11" s="1"/>
  <c r="B563" i="11"/>
  <c r="H625" i="11"/>
  <c r="I625" i="11" s="1"/>
  <c r="L625" i="11" s="1"/>
  <c r="B625" i="11"/>
  <c r="H549" i="11"/>
  <c r="I549" i="11" s="1"/>
  <c r="J549" i="11" s="1"/>
  <c r="B549" i="11"/>
  <c r="F549" i="11"/>
  <c r="G549" i="11" s="1"/>
  <c r="B349" i="11"/>
  <c r="F349" i="11"/>
  <c r="G349" i="11" s="1"/>
  <c r="H349" i="11"/>
  <c r="I349" i="11" s="1"/>
  <c r="H579" i="11"/>
  <c r="I579" i="11" s="1"/>
  <c r="J579" i="11" s="1"/>
  <c r="B579" i="11"/>
  <c r="F579" i="11"/>
  <c r="G579" i="11" s="1"/>
  <c r="L500" i="11"/>
  <c r="J500" i="11"/>
  <c r="F380" i="11"/>
  <c r="G380" i="11" s="1"/>
  <c r="B380" i="11"/>
  <c r="H380" i="11"/>
  <c r="I380" i="11" s="1"/>
  <c r="L380" i="11" s="1"/>
  <c r="B374" i="11"/>
  <c r="B538" i="11"/>
  <c r="H608" i="11"/>
  <c r="I608" i="11" s="1"/>
  <c r="J608" i="11" s="1"/>
  <c r="F548" i="11"/>
  <c r="G548" i="11" s="1"/>
  <c r="B535" i="11"/>
  <c r="B511" i="11"/>
  <c r="F196" i="11"/>
  <c r="G196" i="11" s="1"/>
  <c r="H617" i="11"/>
  <c r="I617" i="11" s="1"/>
  <c r="L617" i="11" s="1"/>
  <c r="H560" i="11"/>
  <c r="I560" i="11" s="1"/>
  <c r="J560" i="11" s="1"/>
  <c r="H499" i="11"/>
  <c r="I499" i="11" s="1"/>
  <c r="H477" i="11"/>
  <c r="I477" i="11" s="1"/>
  <c r="B196" i="11"/>
  <c r="H611" i="11"/>
  <c r="I611" i="11" s="1"/>
  <c r="J611" i="11" s="1"/>
  <c r="F560" i="11"/>
  <c r="G560" i="11" s="1"/>
  <c r="F499" i="11"/>
  <c r="G499" i="11" s="1"/>
  <c r="F477" i="11"/>
  <c r="G477" i="11" s="1"/>
  <c r="H571" i="11"/>
  <c r="I571" i="11" s="1"/>
  <c r="J571" i="11" s="1"/>
  <c r="H523" i="11"/>
  <c r="I523" i="11" s="1"/>
  <c r="F905" i="10"/>
  <c r="G905" i="10" s="1"/>
  <c r="H430" i="11"/>
  <c r="I430" i="11" s="1"/>
  <c r="J430" i="11" s="1"/>
  <c r="F595" i="11"/>
  <c r="G595" i="11" s="1"/>
  <c r="F747" i="10"/>
  <c r="G747" i="10" s="1"/>
  <c r="B571" i="11"/>
  <c r="F553" i="11"/>
  <c r="G553" i="11" s="1"/>
  <c r="F495" i="11"/>
  <c r="G495" i="11" s="1"/>
  <c r="H628" i="11"/>
  <c r="I628" i="11" s="1"/>
  <c r="J628" i="11" s="1"/>
  <c r="B613" i="11"/>
  <c r="B595" i="11"/>
  <c r="H535" i="11"/>
  <c r="I535" i="11" s="1"/>
  <c r="B526" i="11"/>
  <c r="B482" i="11"/>
  <c r="F1123" i="10"/>
  <c r="G1123" i="10" s="1"/>
  <c r="B1039" i="10"/>
  <c r="B607" i="11"/>
  <c r="B604" i="11"/>
  <c r="F567" i="11"/>
  <c r="G567" i="11" s="1"/>
  <c r="F559" i="11"/>
  <c r="G559" i="11" s="1"/>
  <c r="H511" i="11"/>
  <c r="I511" i="11" s="1"/>
  <c r="B628" i="11"/>
  <c r="H612" i="11"/>
  <c r="I612" i="11" s="1"/>
  <c r="L612" i="11" s="1"/>
  <c r="H478" i="11"/>
  <c r="I478" i="11" s="1"/>
  <c r="L592" i="11"/>
  <c r="J562" i="11"/>
  <c r="G544" i="11"/>
  <c r="J498" i="11"/>
  <c r="B655" i="11"/>
  <c r="F655" i="11"/>
  <c r="G655" i="11" s="1"/>
  <c r="H655" i="11"/>
  <c r="I655" i="11" s="1"/>
  <c r="B651" i="11"/>
  <c r="F651" i="11"/>
  <c r="G651" i="11" s="1"/>
  <c r="H651" i="11"/>
  <c r="I651" i="11" s="1"/>
  <c r="B647" i="11"/>
  <c r="F647" i="11"/>
  <c r="G647" i="11" s="1"/>
  <c r="H647" i="11"/>
  <c r="I647" i="11" s="1"/>
  <c r="H643" i="11"/>
  <c r="I643" i="11" s="1"/>
  <c r="B643" i="11"/>
  <c r="F643" i="11"/>
  <c r="G643" i="11" s="1"/>
  <c r="F639" i="11"/>
  <c r="G639" i="11" s="1"/>
  <c r="H639" i="11"/>
  <c r="I639" i="11" s="1"/>
  <c r="B639" i="11"/>
  <c r="B654" i="11"/>
  <c r="F654" i="11"/>
  <c r="G654" i="11" s="1"/>
  <c r="H654" i="11"/>
  <c r="I654" i="11" s="1"/>
  <c r="F650" i="11"/>
  <c r="G650" i="11" s="1"/>
  <c r="H650" i="11"/>
  <c r="I650" i="11" s="1"/>
  <c r="B650" i="11"/>
  <c r="B646" i="11"/>
  <c r="F646" i="11"/>
  <c r="G646" i="11" s="1"/>
  <c r="H646" i="11"/>
  <c r="I646" i="11" s="1"/>
  <c r="B642" i="11"/>
  <c r="F642" i="11"/>
  <c r="G642" i="11" s="1"/>
  <c r="H642" i="11"/>
  <c r="I642" i="11" s="1"/>
  <c r="F638" i="11"/>
  <c r="G638" i="11" s="1"/>
  <c r="H638" i="11"/>
  <c r="I638" i="11" s="1"/>
  <c r="B638" i="11"/>
  <c r="H637" i="11"/>
  <c r="I637" i="11" s="1"/>
  <c r="B637" i="11"/>
  <c r="F637" i="11"/>
  <c r="G637" i="11" s="1"/>
  <c r="F657" i="11"/>
  <c r="G657" i="11" s="1"/>
  <c r="H657" i="11"/>
  <c r="I657" i="11" s="1"/>
  <c r="B657" i="11"/>
  <c r="B653" i="11"/>
  <c r="F653" i="11"/>
  <c r="G653" i="11" s="1"/>
  <c r="H653" i="11"/>
  <c r="I653" i="11" s="1"/>
  <c r="F649" i="11"/>
  <c r="G649" i="11" s="1"/>
  <c r="H649" i="11"/>
  <c r="I649" i="11" s="1"/>
  <c r="B649" i="11"/>
  <c r="F645" i="11"/>
  <c r="G645" i="11" s="1"/>
  <c r="H645" i="11"/>
  <c r="I645" i="11" s="1"/>
  <c r="B645" i="11"/>
  <c r="B641" i="11"/>
  <c r="F641" i="11"/>
  <c r="G641" i="11" s="1"/>
  <c r="H641" i="11"/>
  <c r="I641" i="11" s="1"/>
  <c r="B636" i="11"/>
  <c r="F636" i="11"/>
  <c r="G636" i="11" s="1"/>
  <c r="H636" i="11"/>
  <c r="I636" i="11" s="1"/>
  <c r="H656" i="11"/>
  <c r="I656" i="11" s="1"/>
  <c r="B656" i="11"/>
  <c r="F656" i="11"/>
  <c r="G656" i="11" s="1"/>
  <c r="B652" i="11"/>
  <c r="F652" i="11"/>
  <c r="G652" i="11" s="1"/>
  <c r="H652" i="11"/>
  <c r="I652" i="11" s="1"/>
  <c r="H648" i="11"/>
  <c r="I648" i="11" s="1"/>
  <c r="B648" i="11"/>
  <c r="F648" i="11"/>
  <c r="G648" i="11" s="1"/>
  <c r="F644" i="11"/>
  <c r="G644" i="11" s="1"/>
  <c r="H644" i="11"/>
  <c r="I644" i="11" s="1"/>
  <c r="B644" i="11"/>
  <c r="B640" i="11"/>
  <c r="F640" i="11"/>
  <c r="G640" i="11" s="1"/>
  <c r="H640" i="11"/>
  <c r="I640" i="11" s="1"/>
  <c r="B635" i="11"/>
  <c r="F635" i="11"/>
  <c r="G635" i="11" s="1"/>
  <c r="H635" i="11"/>
  <c r="I635" i="11" s="1"/>
  <c r="B634" i="11"/>
  <c r="F634" i="11"/>
  <c r="G634" i="11" s="1"/>
  <c r="H634" i="11"/>
  <c r="I634" i="11" s="1"/>
  <c r="J610" i="11"/>
  <c r="J619" i="11"/>
  <c r="L590" i="11"/>
  <c r="B584" i="11"/>
  <c r="H584" i="11"/>
  <c r="I584" i="11" s="1"/>
  <c r="F584" i="11"/>
  <c r="G584" i="11" s="1"/>
  <c r="J616" i="11"/>
  <c r="F622" i="11"/>
  <c r="G622" i="11" s="1"/>
  <c r="B622" i="11"/>
  <c r="H622" i="11"/>
  <c r="I622" i="11" s="1"/>
  <c r="B609" i="11"/>
  <c r="F609" i="11"/>
  <c r="G609" i="11" s="1"/>
  <c r="H609" i="11"/>
  <c r="I609" i="11" s="1"/>
  <c r="H597" i="11"/>
  <c r="I597" i="11" s="1"/>
  <c r="F597" i="11"/>
  <c r="G597" i="11" s="1"/>
  <c r="B597" i="11"/>
  <c r="B630" i="11"/>
  <c r="H630" i="11"/>
  <c r="I630" i="11" s="1"/>
  <c r="F630" i="11"/>
  <c r="G630" i="11" s="1"/>
  <c r="H621" i="11"/>
  <c r="I621" i="11" s="1"/>
  <c r="B621" i="11"/>
  <c r="F621" i="11"/>
  <c r="G621" i="11" s="1"/>
  <c r="H627" i="11"/>
  <c r="I627" i="11" s="1"/>
  <c r="F627" i="11"/>
  <c r="G627" i="11" s="1"/>
  <c r="B627" i="11"/>
  <c r="B624" i="11"/>
  <c r="F624" i="11"/>
  <c r="G624" i="11" s="1"/>
  <c r="H624" i="11"/>
  <c r="I624" i="11" s="1"/>
  <c r="J586" i="11"/>
  <c r="L586" i="11"/>
  <c r="B633" i="11"/>
  <c r="F633" i="11"/>
  <c r="G633" i="11" s="1"/>
  <c r="H633" i="11"/>
  <c r="I633" i="11" s="1"/>
  <c r="F629" i="11"/>
  <c r="G629" i="11" s="1"/>
  <c r="H629" i="11"/>
  <c r="I629" i="11" s="1"/>
  <c r="B629" i="11"/>
  <c r="F614" i="11"/>
  <c r="G614" i="11" s="1"/>
  <c r="H614" i="11"/>
  <c r="I614" i="11" s="1"/>
  <c r="B614" i="11"/>
  <c r="F620" i="11"/>
  <c r="G620" i="11" s="1"/>
  <c r="B620" i="11"/>
  <c r="H620" i="11"/>
  <c r="I620" i="11" s="1"/>
  <c r="B605" i="11"/>
  <c r="F605" i="11"/>
  <c r="G605" i="11" s="1"/>
  <c r="H605" i="11"/>
  <c r="I605" i="11" s="1"/>
  <c r="B632" i="11"/>
  <c r="H632" i="11"/>
  <c r="I632" i="11" s="1"/>
  <c r="F632" i="11"/>
  <c r="G632" i="11" s="1"/>
  <c r="H626" i="11"/>
  <c r="I626" i="11" s="1"/>
  <c r="B626" i="11"/>
  <c r="F626" i="11"/>
  <c r="G626" i="11" s="1"/>
  <c r="F625" i="11"/>
  <c r="G625" i="11" s="1"/>
  <c r="L604" i="11"/>
  <c r="B602" i="11"/>
  <c r="F602" i="11"/>
  <c r="G602" i="11" s="1"/>
  <c r="F591" i="11"/>
  <c r="G591" i="11" s="1"/>
  <c r="F574" i="11"/>
  <c r="G574" i="11" s="1"/>
  <c r="H574" i="11"/>
  <c r="I574" i="11" s="1"/>
  <c r="B574" i="11"/>
  <c r="B558" i="11"/>
  <c r="F558" i="11"/>
  <c r="G558" i="11" s="1"/>
  <c r="H558" i="11"/>
  <c r="I558" i="11" s="1"/>
  <c r="L537" i="11"/>
  <c r="J537" i="11"/>
  <c r="L524" i="11"/>
  <c r="J524" i="11"/>
  <c r="H623" i="11"/>
  <c r="I623" i="11" s="1"/>
  <c r="H618" i="11"/>
  <c r="I618" i="11" s="1"/>
  <c r="F603" i="11"/>
  <c r="G603" i="11" s="1"/>
  <c r="F599" i="11"/>
  <c r="G599" i="11" s="1"/>
  <c r="H599" i="11"/>
  <c r="I599" i="11" s="1"/>
  <c r="J595" i="11"/>
  <c r="F616" i="11"/>
  <c r="G616" i="11" s="1"/>
  <c r="B616" i="11"/>
  <c r="B606" i="11"/>
  <c r="F606" i="11"/>
  <c r="G606" i="11" s="1"/>
  <c r="H606" i="11"/>
  <c r="I606" i="11" s="1"/>
  <c r="B594" i="11"/>
  <c r="F594" i="11"/>
  <c r="G594" i="11" s="1"/>
  <c r="H594" i="11"/>
  <c r="I594" i="11" s="1"/>
  <c r="H588" i="11"/>
  <c r="I588" i="11" s="1"/>
  <c r="B588" i="11"/>
  <c r="B568" i="11"/>
  <c r="F568" i="11"/>
  <c r="G568" i="11" s="1"/>
  <c r="H568" i="11"/>
  <c r="I568" i="11" s="1"/>
  <c r="F619" i="11"/>
  <c r="G619" i="11" s="1"/>
  <c r="F623" i="11"/>
  <c r="G623" i="11" s="1"/>
  <c r="F618" i="11"/>
  <c r="G618" i="11" s="1"/>
  <c r="F617" i="11"/>
  <c r="G617" i="11" s="1"/>
  <c r="F604" i="11"/>
  <c r="G604" i="11" s="1"/>
  <c r="L598" i="11"/>
  <c r="F576" i="11"/>
  <c r="G576" i="11" s="1"/>
  <c r="H576" i="11"/>
  <c r="I576" i="11" s="1"/>
  <c r="B576" i="11"/>
  <c r="F550" i="11"/>
  <c r="G550" i="11" s="1"/>
  <c r="H550" i="11"/>
  <c r="I550" i="11" s="1"/>
  <c r="B550" i="11"/>
  <c r="H600" i="11"/>
  <c r="I600" i="11" s="1"/>
  <c r="B600" i="11"/>
  <c r="F586" i="11"/>
  <c r="G586" i="11" s="1"/>
  <c r="B586" i="11"/>
  <c r="F582" i="11"/>
  <c r="G582" i="11" s="1"/>
  <c r="H582" i="11"/>
  <c r="I582" i="11" s="1"/>
  <c r="F580" i="11"/>
  <c r="G580" i="11" s="1"/>
  <c r="H580" i="11"/>
  <c r="I580" i="11" s="1"/>
  <c r="B573" i="11"/>
  <c r="F573" i="11"/>
  <c r="G573" i="11" s="1"/>
  <c r="H573" i="11"/>
  <c r="I573" i="11" s="1"/>
  <c r="H557" i="11"/>
  <c r="I557" i="11" s="1"/>
  <c r="B557" i="11"/>
  <c r="F557" i="11"/>
  <c r="G557" i="11" s="1"/>
  <c r="B564" i="11"/>
  <c r="F564" i="11"/>
  <c r="G564" i="11" s="1"/>
  <c r="H564" i="11"/>
  <c r="I564" i="11" s="1"/>
  <c r="B539" i="11"/>
  <c r="F539" i="11"/>
  <c r="G539" i="11" s="1"/>
  <c r="H539" i="11"/>
  <c r="I539" i="11" s="1"/>
  <c r="L529" i="11"/>
  <c r="J529" i="11"/>
  <c r="J512" i="11"/>
  <c r="L505" i="11"/>
  <c r="J505" i="11"/>
  <c r="J501" i="11"/>
  <c r="F631" i="11"/>
  <c r="G631" i="11" s="1"/>
  <c r="B619" i="11"/>
  <c r="H596" i="11"/>
  <c r="I596" i="11" s="1"/>
  <c r="L577" i="11"/>
  <c r="F598" i="11"/>
  <c r="G598" i="11" s="1"/>
  <c r="B598" i="11"/>
  <c r="F515" i="11"/>
  <c r="G515" i="11" s="1"/>
  <c r="H515" i="11"/>
  <c r="I515" i="11" s="1"/>
  <c r="B515" i="11"/>
  <c r="H615" i="11"/>
  <c r="I615" i="11" s="1"/>
  <c r="F615" i="11"/>
  <c r="G615" i="11" s="1"/>
  <c r="B589" i="11"/>
  <c r="F589" i="11"/>
  <c r="G589" i="11" s="1"/>
  <c r="H589" i="11"/>
  <c r="I589" i="11" s="1"/>
  <c r="F613" i="11"/>
  <c r="G613" i="11" s="1"/>
  <c r="F612" i="11"/>
  <c r="G612" i="11" s="1"/>
  <c r="F611" i="11"/>
  <c r="G611" i="11" s="1"/>
  <c r="H602" i="11"/>
  <c r="I602" i="11" s="1"/>
  <c r="H575" i="11"/>
  <c r="I575" i="11" s="1"/>
  <c r="F575" i="11"/>
  <c r="G575" i="11" s="1"/>
  <c r="B569" i="11"/>
  <c r="F569" i="11"/>
  <c r="G569" i="11" s="1"/>
  <c r="H569" i="11"/>
  <c r="I569" i="11" s="1"/>
  <c r="L563" i="11"/>
  <c r="L525" i="11"/>
  <c r="J525" i="11"/>
  <c r="J522" i="11"/>
  <c r="J491" i="11"/>
  <c r="F601" i="11"/>
  <c r="G601" i="11" s="1"/>
  <c r="H601" i="11"/>
  <c r="I601" i="11" s="1"/>
  <c r="H591" i="11"/>
  <c r="I591" i="11" s="1"/>
  <c r="H583" i="11"/>
  <c r="I583" i="11" s="1"/>
  <c r="F583" i="11"/>
  <c r="G583" i="11" s="1"/>
  <c r="H581" i="11"/>
  <c r="I581" i="11" s="1"/>
  <c r="F581" i="11"/>
  <c r="G581" i="11" s="1"/>
  <c r="L566" i="11"/>
  <c r="J566" i="11"/>
  <c r="F610" i="11"/>
  <c r="G610" i="11" s="1"/>
  <c r="B610" i="11"/>
  <c r="H603" i="11"/>
  <c r="I603" i="11" s="1"/>
  <c r="F587" i="11"/>
  <c r="G587" i="11" s="1"/>
  <c r="H587" i="11"/>
  <c r="I587" i="11" s="1"/>
  <c r="F585" i="11"/>
  <c r="G585" i="11" s="1"/>
  <c r="H585" i="11"/>
  <c r="I585" i="11" s="1"/>
  <c r="J541" i="11"/>
  <c r="B503" i="11"/>
  <c r="F503" i="11"/>
  <c r="G503" i="11" s="1"/>
  <c r="H503" i="11"/>
  <c r="I503" i="11" s="1"/>
  <c r="F563" i="11"/>
  <c r="G563" i="11" s="1"/>
  <c r="B556" i="11"/>
  <c r="B553" i="11"/>
  <c r="H551" i="11"/>
  <c r="I551" i="11" s="1"/>
  <c r="H538" i="11"/>
  <c r="I538" i="11" s="1"/>
  <c r="B532" i="11"/>
  <c r="H532" i="11"/>
  <c r="I532" i="11" s="1"/>
  <c r="F530" i="11"/>
  <c r="G530" i="11" s="1"/>
  <c r="B530" i="11"/>
  <c r="H530" i="11"/>
  <c r="I530" i="11" s="1"/>
  <c r="H502" i="11"/>
  <c r="I502" i="11" s="1"/>
  <c r="F490" i="11"/>
  <c r="G490" i="11" s="1"/>
  <c r="B490" i="11"/>
  <c r="B487" i="11"/>
  <c r="F487" i="11"/>
  <c r="G487" i="11" s="1"/>
  <c r="H487" i="11"/>
  <c r="I487" i="11" s="1"/>
  <c r="H567" i="11"/>
  <c r="I567" i="11" s="1"/>
  <c r="H565" i="11"/>
  <c r="I565" i="11" s="1"/>
  <c r="F551" i="11"/>
  <c r="G551" i="11" s="1"/>
  <c r="L548" i="11"/>
  <c r="B517" i="11"/>
  <c r="F517" i="11"/>
  <c r="G517" i="11" s="1"/>
  <c r="B513" i="11"/>
  <c r="F513" i="11"/>
  <c r="G513" i="11" s="1"/>
  <c r="L489" i="11"/>
  <c r="J489" i="11"/>
  <c r="J570" i="11"/>
  <c r="J546" i="11"/>
  <c r="B536" i="11"/>
  <c r="F536" i="11"/>
  <c r="G536" i="11" s="1"/>
  <c r="F534" i="11"/>
  <c r="G534" i="11" s="1"/>
  <c r="B534" i="11"/>
  <c r="F531" i="11"/>
  <c r="G531" i="11" s="1"/>
  <c r="F527" i="11"/>
  <c r="G527" i="11" s="1"/>
  <c r="B519" i="11"/>
  <c r="J510" i="11"/>
  <c r="B500" i="11"/>
  <c r="F500" i="11"/>
  <c r="G500" i="11" s="1"/>
  <c r="F498" i="11"/>
  <c r="G498" i="11" s="1"/>
  <c r="B498" i="11"/>
  <c r="B554" i="11"/>
  <c r="F554" i="11"/>
  <c r="G554" i="11" s="1"/>
  <c r="B540" i="11"/>
  <c r="H540" i="11"/>
  <c r="I540" i="11" s="1"/>
  <c r="B521" i="11"/>
  <c r="F521" i="11"/>
  <c r="G521" i="11" s="1"/>
  <c r="H521" i="11"/>
  <c r="I521" i="11" s="1"/>
  <c r="J519" i="11"/>
  <c r="B504" i="11"/>
  <c r="H504" i="11"/>
  <c r="I504" i="11" s="1"/>
  <c r="B502" i="11"/>
  <c r="F486" i="11"/>
  <c r="G486" i="11" s="1"/>
  <c r="H486" i="11"/>
  <c r="I486" i="11" s="1"/>
  <c r="B486" i="11"/>
  <c r="B544" i="11"/>
  <c r="H544" i="11"/>
  <c r="I544" i="11" s="1"/>
  <c r="F542" i="11"/>
  <c r="G542" i="11" s="1"/>
  <c r="B542" i="11"/>
  <c r="H542" i="11"/>
  <c r="I542" i="11" s="1"/>
  <c r="L514" i="11"/>
  <c r="J514" i="11"/>
  <c r="B508" i="11"/>
  <c r="H508" i="11"/>
  <c r="I508" i="11" s="1"/>
  <c r="F506" i="11"/>
  <c r="G506" i="11" s="1"/>
  <c r="B506" i="11"/>
  <c r="H506" i="11"/>
  <c r="I506" i="11" s="1"/>
  <c r="J495" i="11"/>
  <c r="B489" i="11"/>
  <c r="F489" i="11"/>
  <c r="G489" i="11" s="1"/>
  <c r="H572" i="11"/>
  <c r="I572" i="11" s="1"/>
  <c r="B565" i="11"/>
  <c r="H559" i="11"/>
  <c r="I559" i="11" s="1"/>
  <c r="F555" i="11"/>
  <c r="G555" i="11" s="1"/>
  <c r="B548" i="11"/>
  <c r="B529" i="11"/>
  <c r="F529" i="11"/>
  <c r="G529" i="11" s="1"/>
  <c r="B525" i="11"/>
  <c r="F525" i="11"/>
  <c r="G525" i="11" s="1"/>
  <c r="L488" i="11"/>
  <c r="J488" i="11"/>
  <c r="B566" i="11"/>
  <c r="F566" i="11"/>
  <c r="G566" i="11" s="1"/>
  <c r="J553" i="11"/>
  <c r="F546" i="11"/>
  <c r="G546" i="11" s="1"/>
  <c r="B546" i="11"/>
  <c r="F543" i="11"/>
  <c r="G543" i="11" s="1"/>
  <c r="B531" i="11"/>
  <c r="B512" i="11"/>
  <c r="F512" i="11"/>
  <c r="G512" i="11" s="1"/>
  <c r="F510" i="11"/>
  <c r="G510" i="11" s="1"/>
  <c r="B510" i="11"/>
  <c r="F507" i="11"/>
  <c r="G507" i="11" s="1"/>
  <c r="B497" i="11"/>
  <c r="F497" i="11"/>
  <c r="G497" i="11" s="1"/>
  <c r="H497" i="11"/>
  <c r="I497" i="11" s="1"/>
  <c r="F590" i="11"/>
  <c r="G590" i="11" s="1"/>
  <c r="F572" i="11"/>
  <c r="G572" i="11" s="1"/>
  <c r="B533" i="11"/>
  <c r="F533" i="11"/>
  <c r="G533" i="11" s="1"/>
  <c r="H533" i="11"/>
  <c r="I533" i="11" s="1"/>
  <c r="J531" i="11"/>
  <c r="B516" i="11"/>
  <c r="H516" i="11"/>
  <c r="I516" i="11" s="1"/>
  <c r="B514" i="11"/>
  <c r="B491" i="11"/>
  <c r="F491" i="11"/>
  <c r="G491" i="11" s="1"/>
  <c r="J556" i="11"/>
  <c r="B552" i="11"/>
  <c r="H552" i="11"/>
  <c r="I552" i="11" s="1"/>
  <c r="L526" i="11"/>
  <c r="J526" i="11"/>
  <c r="B520" i="11"/>
  <c r="H520" i="11"/>
  <c r="I520" i="11" s="1"/>
  <c r="F518" i="11"/>
  <c r="G518" i="11" s="1"/>
  <c r="B518" i="11"/>
  <c r="H518" i="11"/>
  <c r="I518" i="11" s="1"/>
  <c r="J511" i="11"/>
  <c r="F494" i="11"/>
  <c r="G494" i="11" s="1"/>
  <c r="B494" i="11"/>
  <c r="H494" i="11"/>
  <c r="I494" i="11" s="1"/>
  <c r="B488" i="11"/>
  <c r="F488" i="11"/>
  <c r="G488" i="11" s="1"/>
  <c r="F561" i="11"/>
  <c r="G561" i="11" s="1"/>
  <c r="F547" i="11"/>
  <c r="G547" i="11" s="1"/>
  <c r="B541" i="11"/>
  <c r="F541" i="11"/>
  <c r="G541" i="11" s="1"/>
  <c r="B537" i="11"/>
  <c r="F537" i="11"/>
  <c r="G537" i="11" s="1"/>
  <c r="B505" i="11"/>
  <c r="F505" i="11"/>
  <c r="G505" i="11" s="1"/>
  <c r="B501" i="11"/>
  <c r="F501" i="11"/>
  <c r="G501" i="11" s="1"/>
  <c r="H490" i="11"/>
  <c r="I490" i="11" s="1"/>
  <c r="F556" i="11"/>
  <c r="G556" i="11" s="1"/>
  <c r="B543" i="11"/>
  <c r="J536" i="11"/>
  <c r="J534" i="11"/>
  <c r="F532" i="11"/>
  <c r="G532" i="11" s="1"/>
  <c r="B524" i="11"/>
  <c r="F524" i="11"/>
  <c r="G524" i="11" s="1"/>
  <c r="F522" i="11"/>
  <c r="G522" i="11" s="1"/>
  <c r="B522" i="11"/>
  <c r="F519" i="11"/>
  <c r="G519" i="11" s="1"/>
  <c r="H517" i="11"/>
  <c r="I517" i="11" s="1"/>
  <c r="H513" i="11"/>
  <c r="I513" i="11" s="1"/>
  <c r="B507" i="11"/>
  <c r="B496" i="11"/>
  <c r="H496" i="11"/>
  <c r="I496" i="11" s="1"/>
  <c r="B484" i="11"/>
  <c r="H484" i="11"/>
  <c r="I484" i="11" s="1"/>
  <c r="F484" i="11"/>
  <c r="G484" i="11" s="1"/>
  <c r="B545" i="11"/>
  <c r="F545" i="11"/>
  <c r="G545" i="11" s="1"/>
  <c r="H545" i="11"/>
  <c r="I545" i="11" s="1"/>
  <c r="J543" i="11"/>
  <c r="B528" i="11"/>
  <c r="H528" i="11"/>
  <c r="I528" i="11" s="1"/>
  <c r="B509" i="11"/>
  <c r="F509" i="11"/>
  <c r="G509" i="11" s="1"/>
  <c r="H509" i="11"/>
  <c r="I509" i="11" s="1"/>
  <c r="J507" i="11"/>
  <c r="B493" i="11"/>
  <c r="F493" i="11"/>
  <c r="G493" i="11" s="1"/>
  <c r="H493" i="11"/>
  <c r="I493" i="11" s="1"/>
  <c r="B480" i="11"/>
  <c r="H480" i="11"/>
  <c r="I480" i="11" s="1"/>
  <c r="B485" i="11"/>
  <c r="F485" i="11"/>
  <c r="G485" i="11" s="1"/>
  <c r="H485" i="11"/>
  <c r="I485" i="11" s="1"/>
  <c r="B481" i="11"/>
  <c r="F481" i="11"/>
  <c r="G481" i="11" s="1"/>
  <c r="H481" i="11"/>
  <c r="I481" i="11" s="1"/>
  <c r="B492" i="11"/>
  <c r="H492" i="11"/>
  <c r="I492" i="11" s="1"/>
  <c r="F480" i="11"/>
  <c r="G480" i="11" s="1"/>
  <c r="H482" i="11"/>
  <c r="I482" i="11" s="1"/>
  <c r="J477" i="11"/>
  <c r="B476" i="11"/>
  <c r="F476" i="11"/>
  <c r="G476" i="11" s="1"/>
  <c r="B475" i="11"/>
  <c r="F475" i="11"/>
  <c r="G475" i="11" s="1"/>
  <c r="H475" i="11"/>
  <c r="I475" i="11" s="1"/>
  <c r="F478" i="11"/>
  <c r="G478" i="11" s="1"/>
  <c r="H476" i="11"/>
  <c r="I476" i="11" s="1"/>
  <c r="B474" i="11"/>
  <c r="F474" i="11"/>
  <c r="G474" i="11" s="1"/>
  <c r="H474" i="11"/>
  <c r="I474" i="11" s="1"/>
  <c r="F471" i="11"/>
  <c r="G471" i="11" s="1"/>
  <c r="H471" i="11"/>
  <c r="I471" i="11" s="1"/>
  <c r="B471" i="11"/>
  <c r="F470" i="11"/>
  <c r="G470" i="11" s="1"/>
  <c r="H470" i="11"/>
  <c r="I470" i="11" s="1"/>
  <c r="B470" i="11"/>
  <c r="H469" i="11"/>
  <c r="I469" i="11" s="1"/>
  <c r="B469" i="11"/>
  <c r="F469" i="11"/>
  <c r="G469" i="11" s="1"/>
  <c r="B473" i="11"/>
  <c r="F473" i="11"/>
  <c r="G473" i="11" s="1"/>
  <c r="H473" i="11"/>
  <c r="I473" i="11" s="1"/>
  <c r="B468" i="11"/>
  <c r="F468" i="11"/>
  <c r="G468" i="11" s="1"/>
  <c r="H468" i="11"/>
  <c r="I468" i="11" s="1"/>
  <c r="B472" i="11"/>
  <c r="F472" i="11"/>
  <c r="G472" i="11" s="1"/>
  <c r="H472" i="11"/>
  <c r="I472" i="11" s="1"/>
  <c r="B467" i="11"/>
  <c r="F467" i="11"/>
  <c r="G467" i="11" s="1"/>
  <c r="H467" i="11"/>
  <c r="I467" i="11" s="1"/>
  <c r="B466" i="11"/>
  <c r="F466" i="11"/>
  <c r="G466" i="11" s="1"/>
  <c r="H466" i="11"/>
  <c r="I466" i="11" s="1"/>
  <c r="B354" i="11"/>
  <c r="F354" i="11"/>
  <c r="G354" i="11" s="1"/>
  <c r="H354" i="11"/>
  <c r="I354" i="11" s="1"/>
  <c r="F445" i="11"/>
  <c r="G445" i="11" s="1"/>
  <c r="H445" i="11"/>
  <c r="I445" i="11" s="1"/>
  <c r="J445" i="11" s="1"/>
  <c r="B445" i="11"/>
  <c r="H295" i="11"/>
  <c r="I295" i="11" s="1"/>
  <c r="J295" i="11" s="1"/>
  <c r="B295" i="11"/>
  <c r="F295" i="11"/>
  <c r="G295" i="11" s="1"/>
  <c r="B401" i="11"/>
  <c r="H401" i="11"/>
  <c r="I401" i="11" s="1"/>
  <c r="J401" i="11" s="1"/>
  <c r="F401" i="11"/>
  <c r="G401" i="11" s="1"/>
  <c r="F386" i="11"/>
  <c r="G386" i="11" s="1"/>
  <c r="H386" i="11"/>
  <c r="I386" i="11" s="1"/>
  <c r="B386" i="11"/>
  <c r="B456" i="11"/>
  <c r="F456" i="11"/>
  <c r="G456" i="11" s="1"/>
  <c r="B450" i="11"/>
  <c r="H450" i="11"/>
  <c r="I450" i="11" s="1"/>
  <c r="H403" i="11"/>
  <c r="I403" i="11" s="1"/>
  <c r="L403" i="11" s="1"/>
  <c r="B403" i="11"/>
  <c r="F403" i="11"/>
  <c r="G403" i="11" s="1"/>
  <c r="B300" i="11"/>
  <c r="F300" i="11"/>
  <c r="G300" i="11" s="1"/>
  <c r="B439" i="11"/>
  <c r="F394" i="11"/>
  <c r="G394" i="11" s="1"/>
  <c r="H381" i="11"/>
  <c r="I381" i="11" s="1"/>
  <c r="B377" i="11"/>
  <c r="B366" i="11"/>
  <c r="B346" i="11"/>
  <c r="B293" i="11"/>
  <c r="H858" i="10"/>
  <c r="I858" i="10" s="1"/>
  <c r="L858" i="10" s="1"/>
  <c r="F1044" i="10"/>
  <c r="G1044" i="10" s="1"/>
  <c r="H168" i="11"/>
  <c r="I168" i="11" s="1"/>
  <c r="H156" i="11"/>
  <c r="I156" i="11" s="1"/>
  <c r="L156" i="11" s="1"/>
  <c r="H459" i="11"/>
  <c r="I459" i="11" s="1"/>
  <c r="J459" i="11" s="1"/>
  <c r="F381" i="11"/>
  <c r="G381" i="11" s="1"/>
  <c r="F168" i="11"/>
  <c r="G168" i="11" s="1"/>
  <c r="J319" i="11"/>
  <c r="F241" i="11"/>
  <c r="G241" i="11" s="1"/>
  <c r="H406" i="11"/>
  <c r="I406" i="11" s="1"/>
  <c r="J406" i="11" s="1"/>
  <c r="F322" i="11"/>
  <c r="G322" i="11" s="1"/>
  <c r="F319" i="11"/>
  <c r="G319" i="11" s="1"/>
  <c r="H216" i="11"/>
  <c r="I216" i="11" s="1"/>
  <c r="J216" i="11" s="1"/>
  <c r="H155" i="11"/>
  <c r="I155" i="11" s="1"/>
  <c r="J155" i="11" s="1"/>
  <c r="B459" i="11"/>
  <c r="H297" i="11"/>
  <c r="I297" i="11" s="1"/>
  <c r="J297" i="11" s="1"/>
  <c r="F1115" i="10"/>
  <c r="G1115" i="10" s="1"/>
  <c r="H390" i="11"/>
  <c r="I390" i="11" s="1"/>
  <c r="L390" i="11" s="1"/>
  <c r="F337" i="11"/>
  <c r="G337" i="11" s="1"/>
  <c r="F1019" i="10"/>
  <c r="G1019" i="10" s="1"/>
  <c r="H265" i="11"/>
  <c r="I265" i="11" s="1"/>
  <c r="L265" i="11" s="1"/>
  <c r="H418" i="11"/>
  <c r="I418" i="11" s="1"/>
  <c r="J418" i="11" s="1"/>
  <c r="F390" i="11"/>
  <c r="G390" i="11" s="1"/>
  <c r="F340" i="11"/>
  <c r="G340" i="11" s="1"/>
  <c r="B319" i="11"/>
  <c r="B1030" i="10"/>
  <c r="B1115" i="10"/>
  <c r="H448" i="11"/>
  <c r="I448" i="11" s="1"/>
  <c r="J448" i="11" s="1"/>
  <c r="H346" i="11"/>
  <c r="I346" i="11" s="1"/>
  <c r="F194" i="11"/>
  <c r="G194" i="11" s="1"/>
  <c r="H157" i="11"/>
  <c r="I157" i="11" s="1"/>
  <c r="H460" i="11"/>
  <c r="I460" i="11" s="1"/>
  <c r="H442" i="11"/>
  <c r="I442" i="11" s="1"/>
  <c r="B402" i="11"/>
  <c r="H377" i="11"/>
  <c r="I377" i="11" s="1"/>
  <c r="L377" i="11" s="1"/>
  <c r="H299" i="11"/>
  <c r="I299" i="11" s="1"/>
  <c r="L299" i="11" s="1"/>
  <c r="H293" i="11"/>
  <c r="I293" i="11" s="1"/>
  <c r="B260" i="11"/>
  <c r="B448" i="11"/>
  <c r="J352" i="11"/>
  <c r="B452" i="11"/>
  <c r="F452" i="11"/>
  <c r="G452" i="11" s="1"/>
  <c r="H452" i="11"/>
  <c r="I452" i="11" s="1"/>
  <c r="B449" i="11"/>
  <c r="F449" i="11"/>
  <c r="G449" i="11" s="1"/>
  <c r="H449" i="11"/>
  <c r="I449" i="11" s="1"/>
  <c r="B446" i="11"/>
  <c r="F446" i="11"/>
  <c r="G446" i="11" s="1"/>
  <c r="H446" i="11"/>
  <c r="I446" i="11" s="1"/>
  <c r="L444" i="11"/>
  <c r="J444" i="11"/>
  <c r="H433" i="11"/>
  <c r="I433" i="11" s="1"/>
  <c r="B433" i="11"/>
  <c r="F433" i="11"/>
  <c r="G433" i="11" s="1"/>
  <c r="F419" i="11"/>
  <c r="G419" i="11" s="1"/>
  <c r="H419" i="11"/>
  <c r="I419" i="11" s="1"/>
  <c r="B419" i="11"/>
  <c r="B458" i="11"/>
  <c r="F458" i="11"/>
  <c r="G458" i="11" s="1"/>
  <c r="J441" i="11"/>
  <c r="L441" i="11"/>
  <c r="H437" i="11"/>
  <c r="I437" i="11" s="1"/>
  <c r="B437" i="11"/>
  <c r="F437" i="11"/>
  <c r="G437" i="11" s="1"/>
  <c r="B428" i="11"/>
  <c r="H428" i="11"/>
  <c r="I428" i="11" s="1"/>
  <c r="F428" i="11"/>
  <c r="G428" i="11" s="1"/>
  <c r="H415" i="11"/>
  <c r="I415" i="11" s="1"/>
  <c r="F415" i="11"/>
  <c r="G415" i="11" s="1"/>
  <c r="B415" i="11"/>
  <c r="H411" i="11"/>
  <c r="I411" i="11" s="1"/>
  <c r="F411" i="11"/>
  <c r="G411" i="11" s="1"/>
  <c r="B411" i="11"/>
  <c r="H455" i="11"/>
  <c r="I455" i="11" s="1"/>
  <c r="B455" i="11"/>
  <c r="F455" i="11"/>
  <c r="G455" i="11" s="1"/>
  <c r="F432" i="11"/>
  <c r="G432" i="11" s="1"/>
  <c r="H432" i="11"/>
  <c r="I432" i="11" s="1"/>
  <c r="B432" i="11"/>
  <c r="H414" i="11"/>
  <c r="I414" i="11" s="1"/>
  <c r="B414" i="11"/>
  <c r="F414" i="11"/>
  <c r="G414" i="11" s="1"/>
  <c r="H410" i="11"/>
  <c r="I410" i="11" s="1"/>
  <c r="F410" i="11"/>
  <c r="G410" i="11" s="1"/>
  <c r="B410" i="11"/>
  <c r="J400" i="11"/>
  <c r="F465" i="11"/>
  <c r="G465" i="11" s="1"/>
  <c r="H465" i="11"/>
  <c r="I465" i="11" s="1"/>
  <c r="F451" i="11"/>
  <c r="G451" i="11" s="1"/>
  <c r="H451" i="11"/>
  <c r="I451" i="11" s="1"/>
  <c r="B451" i="11"/>
  <c r="B440" i="11"/>
  <c r="F440" i="11"/>
  <c r="G440" i="11" s="1"/>
  <c r="H440" i="11"/>
  <c r="I440" i="11" s="1"/>
  <c r="B431" i="11"/>
  <c r="F431" i="11"/>
  <c r="G431" i="11" s="1"/>
  <c r="H431" i="11"/>
  <c r="I431" i="11" s="1"/>
  <c r="H423" i="11"/>
  <c r="I423" i="11" s="1"/>
  <c r="F423" i="11"/>
  <c r="G423" i="11" s="1"/>
  <c r="B423" i="11"/>
  <c r="B396" i="11"/>
  <c r="F396" i="11"/>
  <c r="G396" i="11" s="1"/>
  <c r="H396" i="11"/>
  <c r="I396" i="11" s="1"/>
  <c r="H427" i="11"/>
  <c r="I427" i="11" s="1"/>
  <c r="B427" i="11"/>
  <c r="F427" i="11"/>
  <c r="G427" i="11" s="1"/>
  <c r="H413" i="11"/>
  <c r="I413" i="11" s="1"/>
  <c r="B413" i="11"/>
  <c r="F413" i="11"/>
  <c r="G413" i="11" s="1"/>
  <c r="H409" i="11"/>
  <c r="I409" i="11" s="1"/>
  <c r="B409" i="11"/>
  <c r="F409" i="11"/>
  <c r="G409" i="11" s="1"/>
  <c r="B464" i="11"/>
  <c r="H464" i="11"/>
  <c r="I464" i="11" s="1"/>
  <c r="F464" i="11"/>
  <c r="G464" i="11" s="1"/>
  <c r="B457" i="11"/>
  <c r="H457" i="11"/>
  <c r="I457" i="11" s="1"/>
  <c r="H422" i="11"/>
  <c r="I422" i="11" s="1"/>
  <c r="B422" i="11"/>
  <c r="F422" i="11"/>
  <c r="G422" i="11" s="1"/>
  <c r="B404" i="11"/>
  <c r="H404" i="11"/>
  <c r="I404" i="11" s="1"/>
  <c r="F404" i="11"/>
  <c r="G404" i="11" s="1"/>
  <c r="H426" i="11"/>
  <c r="I426" i="11" s="1"/>
  <c r="B426" i="11"/>
  <c r="F426" i="11"/>
  <c r="G426" i="11" s="1"/>
  <c r="B408" i="11"/>
  <c r="F408" i="11"/>
  <c r="G408" i="11" s="1"/>
  <c r="H408" i="11"/>
  <c r="I408" i="11" s="1"/>
  <c r="H435" i="11"/>
  <c r="I435" i="11" s="1"/>
  <c r="B435" i="11"/>
  <c r="F435" i="11"/>
  <c r="G435" i="11" s="1"/>
  <c r="H421" i="11"/>
  <c r="I421" i="11" s="1"/>
  <c r="B421" i="11"/>
  <c r="F421" i="11"/>
  <c r="G421" i="11" s="1"/>
  <c r="B389" i="11"/>
  <c r="F389" i="11"/>
  <c r="G389" i="11" s="1"/>
  <c r="H389" i="11"/>
  <c r="I389" i="11" s="1"/>
  <c r="B461" i="11"/>
  <c r="F461" i="11"/>
  <c r="G461" i="11" s="1"/>
  <c r="H461" i="11"/>
  <c r="I461" i="11" s="1"/>
  <c r="H425" i="11"/>
  <c r="I425" i="11" s="1"/>
  <c r="B425" i="11"/>
  <c r="F425" i="11"/>
  <c r="G425" i="11" s="1"/>
  <c r="B416" i="11"/>
  <c r="H416" i="11"/>
  <c r="I416" i="11" s="1"/>
  <c r="F416" i="11"/>
  <c r="G416" i="11" s="1"/>
  <c r="H407" i="11"/>
  <c r="I407" i="11" s="1"/>
  <c r="B407" i="11"/>
  <c r="F407" i="11"/>
  <c r="G407" i="11" s="1"/>
  <c r="H458" i="11"/>
  <c r="I458" i="11" s="1"/>
  <c r="H453" i="11"/>
  <c r="I453" i="11" s="1"/>
  <c r="F453" i="11"/>
  <c r="G453" i="11" s="1"/>
  <c r="H434" i="11"/>
  <c r="I434" i="11" s="1"/>
  <c r="B434" i="11"/>
  <c r="F434" i="11"/>
  <c r="G434" i="11" s="1"/>
  <c r="H420" i="11"/>
  <c r="I420" i="11" s="1"/>
  <c r="B420" i="11"/>
  <c r="F420" i="11"/>
  <c r="G420" i="11" s="1"/>
  <c r="B463" i="11"/>
  <c r="F463" i="11"/>
  <c r="G463" i="11" s="1"/>
  <c r="H463" i="11"/>
  <c r="I463" i="11" s="1"/>
  <c r="B438" i="11"/>
  <c r="F438" i="11"/>
  <c r="G438" i="11" s="1"/>
  <c r="H438" i="11"/>
  <c r="I438" i="11" s="1"/>
  <c r="J429" i="11"/>
  <c r="H456" i="11"/>
  <c r="I456" i="11" s="1"/>
  <c r="B442" i="11"/>
  <c r="F436" i="11"/>
  <c r="G436" i="11" s="1"/>
  <c r="H436" i="11"/>
  <c r="I436" i="11" s="1"/>
  <c r="F429" i="11"/>
  <c r="G429" i="11" s="1"/>
  <c r="B406" i="11"/>
  <c r="F402" i="11"/>
  <c r="G402" i="11" s="1"/>
  <c r="H399" i="11"/>
  <c r="I399" i="11" s="1"/>
  <c r="H387" i="11"/>
  <c r="I387" i="11" s="1"/>
  <c r="B387" i="11"/>
  <c r="H383" i="11"/>
  <c r="I383" i="11" s="1"/>
  <c r="B383" i="11"/>
  <c r="F383" i="11"/>
  <c r="G383" i="11" s="1"/>
  <c r="F444" i="11"/>
  <c r="G444" i="11" s="1"/>
  <c r="F399" i="11"/>
  <c r="G399" i="11" s="1"/>
  <c r="B398" i="11"/>
  <c r="B395" i="11"/>
  <c r="H417" i="11"/>
  <c r="I417" i="11" s="1"/>
  <c r="F385" i="11"/>
  <c r="G385" i="11" s="1"/>
  <c r="B385" i="11"/>
  <c r="H385" i="11"/>
  <c r="I385" i="11" s="1"/>
  <c r="F447" i="11"/>
  <c r="G447" i="11" s="1"/>
  <c r="H439" i="11"/>
  <c r="I439" i="11" s="1"/>
  <c r="F430" i="11"/>
  <c r="G430" i="11" s="1"/>
  <c r="F424" i="11"/>
  <c r="G424" i="11" s="1"/>
  <c r="H424" i="11"/>
  <c r="I424" i="11" s="1"/>
  <c r="F417" i="11"/>
  <c r="G417" i="11" s="1"/>
  <c r="H391" i="11"/>
  <c r="I391" i="11" s="1"/>
  <c r="B444" i="11"/>
  <c r="B429" i="11"/>
  <c r="H394" i="11"/>
  <c r="I394" i="11" s="1"/>
  <c r="H382" i="11"/>
  <c r="I382" i="11" s="1"/>
  <c r="B382" i="11"/>
  <c r="H405" i="11"/>
  <c r="I405" i="11" s="1"/>
  <c r="H393" i="11"/>
  <c r="I393" i="11" s="1"/>
  <c r="B393" i="11"/>
  <c r="F393" i="11"/>
  <c r="G393" i="11" s="1"/>
  <c r="F388" i="11"/>
  <c r="G388" i="11" s="1"/>
  <c r="H388" i="11"/>
  <c r="I388" i="11" s="1"/>
  <c r="B388" i="11"/>
  <c r="F418" i="11"/>
  <c r="G418" i="11" s="1"/>
  <c r="F412" i="11"/>
  <c r="G412" i="11" s="1"/>
  <c r="H412" i="11"/>
  <c r="I412" i="11" s="1"/>
  <c r="F405" i="11"/>
  <c r="G405" i="11" s="1"/>
  <c r="B378" i="11"/>
  <c r="F378" i="11"/>
  <c r="G378" i="11" s="1"/>
  <c r="H378" i="11"/>
  <c r="I378" i="11" s="1"/>
  <c r="J375" i="11"/>
  <c r="J371" i="11"/>
  <c r="B391" i="11"/>
  <c r="B384" i="11"/>
  <c r="F384" i="11"/>
  <c r="G384" i="11" s="1"/>
  <c r="H384" i="11"/>
  <c r="I384" i="11" s="1"/>
  <c r="F450" i="11"/>
  <c r="G450" i="11" s="1"/>
  <c r="F400" i="11"/>
  <c r="G400" i="11" s="1"/>
  <c r="B400" i="11"/>
  <c r="J395" i="11"/>
  <c r="F387" i="11"/>
  <c r="G387" i="11" s="1"/>
  <c r="H454" i="11"/>
  <c r="I454" i="11" s="1"/>
  <c r="H443" i="11"/>
  <c r="I443" i="11" s="1"/>
  <c r="L402" i="11"/>
  <c r="H462" i="11"/>
  <c r="I462" i="11" s="1"/>
  <c r="F462" i="11"/>
  <c r="G462" i="11" s="1"/>
  <c r="H398" i="11"/>
  <c r="I398" i="11" s="1"/>
  <c r="F397" i="11"/>
  <c r="G397" i="11" s="1"/>
  <c r="H397" i="11"/>
  <c r="I397" i="11" s="1"/>
  <c r="F395" i="11"/>
  <c r="G395" i="11" s="1"/>
  <c r="F443" i="11"/>
  <c r="G443" i="11" s="1"/>
  <c r="B392" i="11"/>
  <c r="H392" i="11"/>
  <c r="I392" i="11" s="1"/>
  <c r="F392" i="11"/>
  <c r="G392" i="11" s="1"/>
  <c r="F375" i="11"/>
  <c r="G375" i="11" s="1"/>
  <c r="F357" i="11"/>
  <c r="G357" i="11" s="1"/>
  <c r="H357" i="11"/>
  <c r="I357" i="11" s="1"/>
  <c r="B357" i="11"/>
  <c r="B364" i="11"/>
  <c r="F364" i="11"/>
  <c r="G364" i="11" s="1"/>
  <c r="J335" i="11"/>
  <c r="F373" i="11"/>
  <c r="G373" i="11" s="1"/>
  <c r="H373" i="11"/>
  <c r="I373" i="11" s="1"/>
  <c r="B373" i="11"/>
  <c r="H370" i="11"/>
  <c r="I370" i="11" s="1"/>
  <c r="B370" i="11"/>
  <c r="B367" i="11"/>
  <c r="F367" i="11"/>
  <c r="G367" i="11" s="1"/>
  <c r="J323" i="11"/>
  <c r="B375" i="11"/>
  <c r="F363" i="11"/>
  <c r="G363" i="11" s="1"/>
  <c r="H363" i="11"/>
  <c r="I363" i="11" s="1"/>
  <c r="B363" i="11"/>
  <c r="F360" i="11"/>
  <c r="G360" i="11" s="1"/>
  <c r="H360" i="11"/>
  <c r="I360" i="11" s="1"/>
  <c r="B360" i="11"/>
  <c r="J341" i="11"/>
  <c r="B369" i="11"/>
  <c r="F369" i="11"/>
  <c r="G369" i="11" s="1"/>
  <c r="H369" i="11"/>
  <c r="I369" i="11" s="1"/>
  <c r="B355" i="11"/>
  <c r="F355" i="11"/>
  <c r="G355" i="11" s="1"/>
  <c r="H355" i="11"/>
  <c r="I355" i="11" s="1"/>
  <c r="H376" i="11"/>
  <c r="I376" i="11" s="1"/>
  <c r="B376" i="11"/>
  <c r="F376" i="11"/>
  <c r="G376" i="11" s="1"/>
  <c r="F372" i="11"/>
  <c r="G372" i="11" s="1"/>
  <c r="B372" i="11"/>
  <c r="H372" i="11"/>
  <c r="I372" i="11" s="1"/>
  <c r="B359" i="11"/>
  <c r="F359" i="11"/>
  <c r="G359" i="11" s="1"/>
  <c r="H359" i="11"/>
  <c r="I359" i="11" s="1"/>
  <c r="J377" i="11"/>
  <c r="J365" i="11"/>
  <c r="L329" i="11"/>
  <c r="J329" i="11"/>
  <c r="B379" i="11"/>
  <c r="H379" i="11"/>
  <c r="I379" i="11" s="1"/>
  <c r="B365" i="11"/>
  <c r="F365" i="11"/>
  <c r="G365" i="11" s="1"/>
  <c r="J343" i="11"/>
  <c r="B371" i="11"/>
  <c r="F371" i="11"/>
  <c r="G371" i="11" s="1"/>
  <c r="J367" i="11"/>
  <c r="H364" i="11"/>
  <c r="I364" i="11" s="1"/>
  <c r="F311" i="11"/>
  <c r="G311" i="11" s="1"/>
  <c r="B311" i="11"/>
  <c r="H374" i="11"/>
  <c r="I374" i="11" s="1"/>
  <c r="H361" i="11"/>
  <c r="I361" i="11" s="1"/>
  <c r="H358" i="11"/>
  <c r="I358" i="11" s="1"/>
  <c r="B353" i="11"/>
  <c r="F353" i="11"/>
  <c r="G353" i="11" s="1"/>
  <c r="B348" i="11"/>
  <c r="F332" i="11"/>
  <c r="G332" i="11" s="1"/>
  <c r="H332" i="11"/>
  <c r="I332" i="11" s="1"/>
  <c r="B330" i="11"/>
  <c r="H330" i="11"/>
  <c r="I330" i="11" s="1"/>
  <c r="J325" i="11"/>
  <c r="B315" i="11"/>
  <c r="F315" i="11"/>
  <c r="G315" i="11" s="1"/>
  <c r="H315" i="11"/>
  <c r="I315" i="11" s="1"/>
  <c r="B313" i="11"/>
  <c r="H310" i="11"/>
  <c r="I310" i="11" s="1"/>
  <c r="F361" i="11"/>
  <c r="G361" i="11" s="1"/>
  <c r="F325" i="11"/>
  <c r="G325" i="11" s="1"/>
  <c r="F317" i="11"/>
  <c r="G317" i="11" s="1"/>
  <c r="B317" i="11"/>
  <c r="F310" i="11"/>
  <c r="G310" i="11" s="1"/>
  <c r="H368" i="11"/>
  <c r="I368" i="11" s="1"/>
  <c r="F358" i="11"/>
  <c r="G358" i="11" s="1"/>
  <c r="B351" i="11"/>
  <c r="F338" i="11"/>
  <c r="G338" i="11" s="1"/>
  <c r="H338" i="11"/>
  <c r="I338" i="11" s="1"/>
  <c r="B336" i="11"/>
  <c r="H336" i="11"/>
  <c r="I336" i="11" s="1"/>
  <c r="J331" i="11"/>
  <c r="B321" i="11"/>
  <c r="F321" i="11"/>
  <c r="G321" i="11" s="1"/>
  <c r="H321" i="11"/>
  <c r="I321" i="11" s="1"/>
  <c r="H316" i="11"/>
  <c r="I316" i="11" s="1"/>
  <c r="H304" i="11"/>
  <c r="I304" i="11" s="1"/>
  <c r="B304" i="11"/>
  <c r="B301" i="11"/>
  <c r="F301" i="11"/>
  <c r="G301" i="11" s="1"/>
  <c r="H301" i="11"/>
  <c r="I301" i="11" s="1"/>
  <c r="F298" i="11"/>
  <c r="G298" i="11" s="1"/>
  <c r="H298" i="11"/>
  <c r="I298" i="11" s="1"/>
  <c r="B298" i="11"/>
  <c r="B344" i="11"/>
  <c r="F344" i="11"/>
  <c r="G344" i="11" s="1"/>
  <c r="H344" i="11"/>
  <c r="I344" i="11" s="1"/>
  <c r="F331" i="11"/>
  <c r="G331" i="11" s="1"/>
  <c r="F323" i="11"/>
  <c r="G323" i="11" s="1"/>
  <c r="B323" i="11"/>
  <c r="F316" i="11"/>
  <c r="G316" i="11" s="1"/>
  <c r="L297" i="11"/>
  <c r="H362" i="11"/>
  <c r="I362" i="11" s="1"/>
  <c r="B342" i="11"/>
  <c r="H342" i="11"/>
  <c r="I342" i="11" s="1"/>
  <c r="J337" i="11"/>
  <c r="B327" i="11"/>
  <c r="F327" i="11"/>
  <c r="G327" i="11" s="1"/>
  <c r="H327" i="11"/>
  <c r="I327" i="11" s="1"/>
  <c r="B325" i="11"/>
  <c r="H322" i="11"/>
  <c r="I322" i="11" s="1"/>
  <c r="F308" i="11"/>
  <c r="G308" i="11" s="1"/>
  <c r="H308" i="11"/>
  <c r="I308" i="11" s="1"/>
  <c r="B306" i="11"/>
  <c r="H306" i="11"/>
  <c r="I306" i="11" s="1"/>
  <c r="L292" i="11"/>
  <c r="J292" i="11"/>
  <c r="B368" i="11"/>
  <c r="H350" i="11"/>
  <c r="I350" i="11" s="1"/>
  <c r="F329" i="11"/>
  <c r="G329" i="11" s="1"/>
  <c r="B329" i="11"/>
  <c r="J305" i="11"/>
  <c r="B303" i="11"/>
  <c r="F303" i="11"/>
  <c r="G303" i="11" s="1"/>
  <c r="H303" i="11"/>
  <c r="I303" i="11" s="1"/>
  <c r="H356" i="11"/>
  <c r="I356" i="11" s="1"/>
  <c r="B347" i="11"/>
  <c r="H347" i="11"/>
  <c r="I347" i="11" s="1"/>
  <c r="B333" i="11"/>
  <c r="F333" i="11"/>
  <c r="G333" i="11" s="1"/>
  <c r="H333" i="11"/>
  <c r="I333" i="11" s="1"/>
  <c r="B331" i="11"/>
  <c r="H328" i="11"/>
  <c r="I328" i="11" s="1"/>
  <c r="F314" i="11"/>
  <c r="G314" i="11" s="1"/>
  <c r="H314" i="11"/>
  <c r="I314" i="11" s="1"/>
  <c r="B312" i="11"/>
  <c r="H312" i="11"/>
  <c r="I312" i="11" s="1"/>
  <c r="J307" i="11"/>
  <c r="H366" i="11"/>
  <c r="I366" i="11" s="1"/>
  <c r="B362" i="11"/>
  <c r="F343" i="11"/>
  <c r="G343" i="11" s="1"/>
  <c r="F335" i="11"/>
  <c r="G335" i="11" s="1"/>
  <c r="B335" i="11"/>
  <c r="F328" i="11"/>
  <c r="G328" i="11" s="1"/>
  <c r="F307" i="11"/>
  <c r="G307" i="11" s="1"/>
  <c r="B294" i="11"/>
  <c r="F294" i="11"/>
  <c r="G294" i="11" s="1"/>
  <c r="H294" i="11"/>
  <c r="I294" i="11" s="1"/>
  <c r="H353" i="11"/>
  <c r="I353" i="11" s="1"/>
  <c r="J348" i="11"/>
  <c r="B339" i="11"/>
  <c r="F339" i="11"/>
  <c r="G339" i="11" s="1"/>
  <c r="H339" i="11"/>
  <c r="I339" i="11" s="1"/>
  <c r="B337" i="11"/>
  <c r="H334" i="11"/>
  <c r="I334" i="11" s="1"/>
  <c r="F320" i="11"/>
  <c r="G320" i="11" s="1"/>
  <c r="H320" i="11"/>
  <c r="I320" i="11" s="1"/>
  <c r="B318" i="11"/>
  <c r="H318" i="11"/>
  <c r="I318" i="11" s="1"/>
  <c r="J313" i="11"/>
  <c r="H311" i="11"/>
  <c r="I311" i="11" s="1"/>
  <c r="J299" i="11"/>
  <c r="J290" i="11"/>
  <c r="H351" i="11"/>
  <c r="I351" i="11" s="1"/>
  <c r="B350" i="11"/>
  <c r="F348" i="11"/>
  <c r="G348" i="11" s="1"/>
  <c r="F345" i="11"/>
  <c r="G345" i="11" s="1"/>
  <c r="H345" i="11"/>
  <c r="I345" i="11" s="1"/>
  <c r="F341" i="11"/>
  <c r="G341" i="11" s="1"/>
  <c r="B341" i="11"/>
  <c r="F334" i="11"/>
  <c r="G334" i="11" s="1"/>
  <c r="F313" i="11"/>
  <c r="G313" i="11" s="1"/>
  <c r="F305" i="11"/>
  <c r="G305" i="11" s="1"/>
  <c r="B305" i="11"/>
  <c r="B296" i="11"/>
  <c r="F296" i="11"/>
  <c r="G296" i="11" s="1"/>
  <c r="H296" i="11"/>
  <c r="I296" i="11" s="1"/>
  <c r="B356" i="11"/>
  <c r="B343" i="11"/>
  <c r="L340" i="11"/>
  <c r="J340" i="11"/>
  <c r="F326" i="11"/>
  <c r="G326" i="11" s="1"/>
  <c r="H326" i="11"/>
  <c r="I326" i="11" s="1"/>
  <c r="B324" i="11"/>
  <c r="H324" i="11"/>
  <c r="I324" i="11" s="1"/>
  <c r="H317" i="11"/>
  <c r="I317" i="11" s="1"/>
  <c r="B309" i="11"/>
  <c r="F309" i="11"/>
  <c r="G309" i="11" s="1"/>
  <c r="H309" i="11"/>
  <c r="I309" i="11" s="1"/>
  <c r="B307" i="11"/>
  <c r="F304" i="11"/>
  <c r="G304" i="11" s="1"/>
  <c r="F302" i="11"/>
  <c r="G302" i="11" s="1"/>
  <c r="H302" i="11"/>
  <c r="I302" i="11" s="1"/>
  <c r="H300" i="11"/>
  <c r="I300" i="11" s="1"/>
  <c r="B299" i="11"/>
  <c r="B291" i="11"/>
  <c r="H291" i="11"/>
  <c r="I291" i="11" s="1"/>
  <c r="F297" i="11"/>
  <c r="G297" i="11" s="1"/>
  <c r="B292" i="11"/>
  <c r="F292" i="11"/>
  <c r="G292" i="11" s="1"/>
  <c r="B290" i="11"/>
  <c r="F290" i="11"/>
  <c r="G290" i="11" s="1"/>
  <c r="F286" i="11"/>
  <c r="G286" i="11" s="1"/>
  <c r="H286" i="11"/>
  <c r="I286" i="11" s="1"/>
  <c r="B286" i="11"/>
  <c r="H285" i="11"/>
  <c r="I285" i="11" s="1"/>
  <c r="B285" i="11"/>
  <c r="F285" i="11"/>
  <c r="G285" i="11" s="1"/>
  <c r="B289" i="11"/>
  <c r="F289" i="11"/>
  <c r="G289" i="11" s="1"/>
  <c r="H289" i="11"/>
  <c r="I289" i="11" s="1"/>
  <c r="B288" i="11"/>
  <c r="F288" i="11"/>
  <c r="G288" i="11" s="1"/>
  <c r="H288" i="11"/>
  <c r="I288" i="11" s="1"/>
  <c r="B284" i="11"/>
  <c r="F284" i="11"/>
  <c r="G284" i="11" s="1"/>
  <c r="H284" i="11"/>
  <c r="I284" i="11" s="1"/>
  <c r="B283" i="11"/>
  <c r="F283" i="11"/>
  <c r="G283" i="11" s="1"/>
  <c r="H283" i="11"/>
  <c r="I283" i="11" s="1"/>
  <c r="F287" i="11"/>
  <c r="G287" i="11" s="1"/>
  <c r="H287" i="11"/>
  <c r="I287" i="11" s="1"/>
  <c r="B287" i="11"/>
  <c r="B282" i="11"/>
  <c r="F282" i="11"/>
  <c r="G282" i="11" s="1"/>
  <c r="H282" i="11"/>
  <c r="I282" i="11" s="1"/>
  <c r="B258" i="11"/>
  <c r="F258" i="11"/>
  <c r="G258" i="11" s="1"/>
  <c r="H258" i="11"/>
  <c r="I258" i="11" s="1"/>
  <c r="L258" i="11" s="1"/>
  <c r="H186" i="11"/>
  <c r="I186" i="11" s="1"/>
  <c r="B186" i="11"/>
  <c r="B252" i="11"/>
  <c r="F252" i="11"/>
  <c r="G252" i="11" s="1"/>
  <c r="H204" i="11"/>
  <c r="I204" i="11" s="1"/>
  <c r="L204" i="11" s="1"/>
  <c r="B204" i="11"/>
  <c r="B215" i="11"/>
  <c r="F215" i="11"/>
  <c r="G215" i="11" s="1"/>
  <c r="H215" i="11"/>
  <c r="I215" i="11" s="1"/>
  <c r="J215" i="11" s="1"/>
  <c r="H246" i="11"/>
  <c r="I246" i="11" s="1"/>
  <c r="L246" i="11" s="1"/>
  <c r="B246" i="11"/>
  <c r="F246" i="11"/>
  <c r="G246" i="11" s="1"/>
  <c r="H281" i="11"/>
  <c r="I281" i="11" s="1"/>
  <c r="J281" i="11" s="1"/>
  <c r="B281" i="11"/>
  <c r="B225" i="11"/>
  <c r="F225" i="11"/>
  <c r="G225" i="11" s="1"/>
  <c r="H225" i="11"/>
  <c r="I225" i="11" s="1"/>
  <c r="L225" i="11" s="1"/>
  <c r="F1041" i="10"/>
  <c r="G1041" i="10" s="1"/>
  <c r="H271" i="11"/>
  <c r="I271" i="11" s="1"/>
  <c r="H214" i="11"/>
  <c r="I214" i="11" s="1"/>
  <c r="J214" i="11" s="1"/>
  <c r="J196" i="11"/>
  <c r="H163" i="11"/>
  <c r="I163" i="11" s="1"/>
  <c r="H133" i="11"/>
  <c r="I133" i="11" s="1"/>
  <c r="B955" i="10"/>
  <c r="B932" i="10"/>
  <c r="B244" i="11"/>
  <c r="H228" i="11"/>
  <c r="I228" i="11" s="1"/>
  <c r="F216" i="11"/>
  <c r="G216" i="11" s="1"/>
  <c r="F214" i="11"/>
  <c r="G214" i="11" s="1"/>
  <c r="F183" i="11"/>
  <c r="G183" i="11" s="1"/>
  <c r="B177" i="11"/>
  <c r="F133" i="11"/>
  <c r="G133" i="11" s="1"/>
  <c r="H240" i="11"/>
  <c r="I240" i="11" s="1"/>
  <c r="J240" i="11" s="1"/>
  <c r="H237" i="11"/>
  <c r="I237" i="11" s="1"/>
  <c r="J237" i="11" s="1"/>
  <c r="F169" i="11"/>
  <c r="G169" i="11" s="1"/>
  <c r="F1119" i="10"/>
  <c r="G1119" i="10" s="1"/>
  <c r="H1110" i="10"/>
  <c r="I1110" i="10" s="1"/>
  <c r="L1110" i="10" s="1"/>
  <c r="B265" i="11"/>
  <c r="F237" i="11"/>
  <c r="G237" i="11" s="1"/>
  <c r="F156" i="11"/>
  <c r="G156" i="11" s="1"/>
  <c r="B150" i="11"/>
  <c r="F135" i="11"/>
  <c r="G135" i="11" s="1"/>
  <c r="B271" i="11"/>
  <c r="B183" i="11"/>
  <c r="H178" i="11"/>
  <c r="I178" i="11" s="1"/>
  <c r="J178" i="11" s="1"/>
  <c r="F248" i="11"/>
  <c r="G248" i="11" s="1"/>
  <c r="H138" i="11"/>
  <c r="I138" i="11" s="1"/>
  <c r="L138" i="11" s="1"/>
  <c r="F260" i="11"/>
  <c r="G260" i="11" s="1"/>
  <c r="B135" i="11"/>
  <c r="F783" i="10"/>
  <c r="G783" i="10" s="1"/>
  <c r="H857" i="10"/>
  <c r="I857" i="10" s="1"/>
  <c r="L857" i="10" s="1"/>
  <c r="F266" i="11"/>
  <c r="G266" i="11" s="1"/>
  <c r="F254" i="11"/>
  <c r="G254" i="11" s="1"/>
  <c r="B162" i="11"/>
  <c r="F1125" i="10"/>
  <c r="G1125" i="10" s="1"/>
  <c r="F1047" i="10"/>
  <c r="G1047" i="10" s="1"/>
  <c r="F201" i="11"/>
  <c r="G201" i="11" s="1"/>
  <c r="F155" i="11"/>
  <c r="G155" i="11" s="1"/>
  <c r="B254" i="11"/>
  <c r="J244" i="11"/>
  <c r="F157" i="11"/>
  <c r="G157" i="11" s="1"/>
  <c r="J254" i="11"/>
  <c r="J209" i="11"/>
  <c r="J277" i="11"/>
  <c r="F267" i="11"/>
  <c r="G267" i="11" s="1"/>
  <c r="H267" i="11"/>
  <c r="I267" i="11" s="1"/>
  <c r="B267" i="11"/>
  <c r="F261" i="11"/>
  <c r="G261" i="11" s="1"/>
  <c r="H261" i="11"/>
  <c r="I261" i="11" s="1"/>
  <c r="B261" i="11"/>
  <c r="L241" i="11"/>
  <c r="J241" i="11"/>
  <c r="F273" i="11"/>
  <c r="G273" i="11" s="1"/>
  <c r="H273" i="11"/>
  <c r="I273" i="11" s="1"/>
  <c r="B273" i="11"/>
  <c r="J223" i="11"/>
  <c r="B270" i="11"/>
  <c r="F270" i="11"/>
  <c r="G270" i="11" s="1"/>
  <c r="H270" i="11"/>
  <c r="I270" i="11" s="1"/>
  <c r="B264" i="11"/>
  <c r="F264" i="11"/>
  <c r="G264" i="11" s="1"/>
  <c r="H264" i="11"/>
  <c r="I264" i="11" s="1"/>
  <c r="F255" i="11"/>
  <c r="G255" i="11" s="1"/>
  <c r="B255" i="11"/>
  <c r="H255" i="11"/>
  <c r="I255" i="11" s="1"/>
  <c r="F249" i="11"/>
  <c r="G249" i="11" s="1"/>
  <c r="B249" i="11"/>
  <c r="H249" i="11"/>
  <c r="I249" i="11" s="1"/>
  <c r="F276" i="11"/>
  <c r="G276" i="11" s="1"/>
  <c r="B276" i="11"/>
  <c r="H276" i="11"/>
  <c r="I276" i="11" s="1"/>
  <c r="J246" i="11"/>
  <c r="J243" i="11"/>
  <c r="L235" i="11"/>
  <c r="J235" i="11"/>
  <c r="H279" i="11"/>
  <c r="I279" i="11" s="1"/>
  <c r="B279" i="11"/>
  <c r="F279" i="11"/>
  <c r="G279" i="11" s="1"/>
  <c r="L260" i="11"/>
  <c r="J260" i="11"/>
  <c r="L248" i="11"/>
  <c r="J248" i="11"/>
  <c r="J245" i="11"/>
  <c r="L251" i="11"/>
  <c r="J251" i="11"/>
  <c r="L257" i="11"/>
  <c r="J257" i="11"/>
  <c r="H280" i="11"/>
  <c r="I280" i="11" s="1"/>
  <c r="B277" i="11"/>
  <c r="F280" i="11"/>
  <c r="G280" i="11" s="1"/>
  <c r="F281" i="11"/>
  <c r="G281" i="11" s="1"/>
  <c r="B219" i="11"/>
  <c r="F219" i="11"/>
  <c r="G219" i="11" s="1"/>
  <c r="H219" i="11"/>
  <c r="I219" i="11" s="1"/>
  <c r="H210" i="11"/>
  <c r="I210" i="11" s="1"/>
  <c r="F210" i="11"/>
  <c r="G210" i="11" s="1"/>
  <c r="B210" i="11"/>
  <c r="F239" i="11"/>
  <c r="G239" i="11" s="1"/>
  <c r="B239" i="11"/>
  <c r="F213" i="11"/>
  <c r="G213" i="11" s="1"/>
  <c r="H213" i="11"/>
  <c r="I213" i="11" s="1"/>
  <c r="B213" i="11"/>
  <c r="L179" i="11"/>
  <c r="J179" i="11"/>
  <c r="J173" i="11"/>
  <c r="H242" i="11"/>
  <c r="I242" i="11" s="1"/>
  <c r="F229" i="11"/>
  <c r="G229" i="11" s="1"/>
  <c r="H229" i="11"/>
  <c r="I229" i="11" s="1"/>
  <c r="H226" i="11"/>
  <c r="I226" i="11" s="1"/>
  <c r="B226" i="11"/>
  <c r="B224" i="11"/>
  <c r="F224" i="11"/>
  <c r="G224" i="11" s="1"/>
  <c r="H224" i="11"/>
  <c r="I224" i="11" s="1"/>
  <c r="H275" i="11"/>
  <c r="I275" i="11" s="1"/>
  <c r="H269" i="11"/>
  <c r="I269" i="11" s="1"/>
  <c r="H263" i="11"/>
  <c r="I263" i="11" s="1"/>
  <c r="F275" i="11"/>
  <c r="G275" i="11" s="1"/>
  <c r="F269" i="11"/>
  <c r="G269" i="11" s="1"/>
  <c r="F263" i="11"/>
  <c r="G263" i="11" s="1"/>
  <c r="H252" i="11"/>
  <c r="I252" i="11" s="1"/>
  <c r="J189" i="11"/>
  <c r="B262" i="11"/>
  <c r="B257" i="11"/>
  <c r="F257" i="11"/>
  <c r="G257" i="11" s="1"/>
  <c r="B248" i="11"/>
  <c r="B242" i="11"/>
  <c r="B221" i="11"/>
  <c r="H221" i="11"/>
  <c r="I221" i="11" s="1"/>
  <c r="L185" i="11"/>
  <c r="J185" i="11"/>
  <c r="J183" i="11"/>
  <c r="H259" i="11"/>
  <c r="I259" i="11" s="1"/>
  <c r="B251" i="11"/>
  <c r="F251" i="11"/>
  <c r="G251" i="11" s="1"/>
  <c r="B231" i="11"/>
  <c r="F231" i="11"/>
  <c r="G231" i="11" s="1"/>
  <c r="H231" i="11"/>
  <c r="I231" i="11" s="1"/>
  <c r="B223" i="11"/>
  <c r="F223" i="11"/>
  <c r="G223" i="11" s="1"/>
  <c r="B274" i="11"/>
  <c r="F277" i="11"/>
  <c r="G277" i="11" s="1"/>
  <c r="F259" i="11"/>
  <c r="G259" i="11" s="1"/>
  <c r="L256" i="11"/>
  <c r="B235" i="11"/>
  <c r="F235" i="11"/>
  <c r="G235" i="11" s="1"/>
  <c r="J220" i="11"/>
  <c r="L220" i="11"/>
  <c r="F218" i="11"/>
  <c r="G218" i="11" s="1"/>
  <c r="H218" i="11"/>
  <c r="I218" i="11" s="1"/>
  <c r="B218" i="11"/>
  <c r="H198" i="11"/>
  <c r="I198" i="11" s="1"/>
  <c r="B198" i="11"/>
  <c r="F198" i="11"/>
  <c r="G198" i="11" s="1"/>
  <c r="H192" i="11"/>
  <c r="I192" i="11" s="1"/>
  <c r="F192" i="11"/>
  <c r="G192" i="11" s="1"/>
  <c r="B192" i="11"/>
  <c r="F159" i="11"/>
  <c r="G159" i="11" s="1"/>
  <c r="H159" i="11"/>
  <c r="I159" i="11" s="1"/>
  <c r="B159" i="11"/>
  <c r="H253" i="11"/>
  <c r="I253" i="11" s="1"/>
  <c r="L250" i="11"/>
  <c r="B245" i="11"/>
  <c r="F245" i="11"/>
  <c r="G245" i="11" s="1"/>
  <c r="B233" i="11"/>
  <c r="H233" i="11"/>
  <c r="I233" i="11" s="1"/>
  <c r="B153" i="11"/>
  <c r="F153" i="11"/>
  <c r="G153" i="11" s="1"/>
  <c r="H153" i="11"/>
  <c r="I153" i="11" s="1"/>
  <c r="H278" i="11"/>
  <c r="I278" i="11" s="1"/>
  <c r="H272" i="11"/>
  <c r="I272" i="11" s="1"/>
  <c r="H266" i="11"/>
  <c r="I266" i="11" s="1"/>
  <c r="F256" i="11"/>
  <c r="G256" i="11" s="1"/>
  <c r="F253" i="11"/>
  <c r="G253" i="11" s="1"/>
  <c r="H247" i="11"/>
  <c r="I247" i="11" s="1"/>
  <c r="F230" i="11"/>
  <c r="G230" i="11" s="1"/>
  <c r="H230" i="11"/>
  <c r="I230" i="11" s="1"/>
  <c r="B230" i="11"/>
  <c r="B220" i="11"/>
  <c r="F220" i="11"/>
  <c r="G220" i="11" s="1"/>
  <c r="J197" i="11"/>
  <c r="L149" i="11"/>
  <c r="J149" i="11"/>
  <c r="B268" i="11"/>
  <c r="F278" i="11"/>
  <c r="G278" i="11" s="1"/>
  <c r="F272" i="11"/>
  <c r="G272" i="11" s="1"/>
  <c r="F250" i="11"/>
  <c r="G250" i="11" s="1"/>
  <c r="F247" i="11"/>
  <c r="G247" i="11" s="1"/>
  <c r="H238" i="11"/>
  <c r="I238" i="11" s="1"/>
  <c r="B238" i="11"/>
  <c r="J236" i="11"/>
  <c r="L236" i="11"/>
  <c r="F227" i="11"/>
  <c r="G227" i="11" s="1"/>
  <c r="H227" i="11"/>
  <c r="I227" i="11" s="1"/>
  <c r="B227" i="11"/>
  <c r="J191" i="11"/>
  <c r="B165" i="11"/>
  <c r="F165" i="11"/>
  <c r="G165" i="11" s="1"/>
  <c r="H165" i="11"/>
  <c r="I165" i="11" s="1"/>
  <c r="L145" i="11"/>
  <c r="J145" i="11"/>
  <c r="B243" i="11"/>
  <c r="F243" i="11"/>
  <c r="G243" i="11" s="1"/>
  <c r="J232" i="11"/>
  <c r="L232" i="11"/>
  <c r="F211" i="11"/>
  <c r="G211" i="11" s="1"/>
  <c r="B211" i="11"/>
  <c r="H211" i="11"/>
  <c r="I211" i="11" s="1"/>
  <c r="H207" i="11"/>
  <c r="I207" i="11" s="1"/>
  <c r="B207" i="11"/>
  <c r="F207" i="11"/>
  <c r="G207" i="11" s="1"/>
  <c r="H274" i="11"/>
  <c r="I274" i="11" s="1"/>
  <c r="H268" i="11"/>
  <c r="I268" i="11" s="1"/>
  <c r="H262" i="11"/>
  <c r="I262" i="11" s="1"/>
  <c r="B256" i="11"/>
  <c r="B241" i="11"/>
  <c r="F217" i="11"/>
  <c r="G217" i="11" s="1"/>
  <c r="H217" i="11"/>
  <c r="I217" i="11" s="1"/>
  <c r="J203" i="11"/>
  <c r="B200" i="11"/>
  <c r="F200" i="11"/>
  <c r="G200" i="11" s="1"/>
  <c r="H200" i="11"/>
  <c r="I200" i="11" s="1"/>
  <c r="F174" i="11"/>
  <c r="G174" i="11" s="1"/>
  <c r="H174" i="11"/>
  <c r="I174" i="11" s="1"/>
  <c r="B174" i="11"/>
  <c r="B250" i="11"/>
  <c r="B236" i="11"/>
  <c r="F236" i="11"/>
  <c r="G236" i="11" s="1"/>
  <c r="B234" i="11"/>
  <c r="F234" i="11"/>
  <c r="G234" i="11" s="1"/>
  <c r="H234" i="11"/>
  <c r="I234" i="11" s="1"/>
  <c r="B232" i="11"/>
  <c r="F232" i="11"/>
  <c r="G232" i="11" s="1"/>
  <c r="B229" i="11"/>
  <c r="F221" i="11"/>
  <c r="G221" i="11" s="1"/>
  <c r="F206" i="11"/>
  <c r="G206" i="11" s="1"/>
  <c r="H206" i="11"/>
  <c r="I206" i="11" s="1"/>
  <c r="B206" i="11"/>
  <c r="H180" i="11"/>
  <c r="I180" i="11" s="1"/>
  <c r="B180" i="11"/>
  <c r="F180" i="11"/>
  <c r="G180" i="11" s="1"/>
  <c r="J167" i="11"/>
  <c r="L144" i="11"/>
  <c r="J144" i="11"/>
  <c r="B199" i="11"/>
  <c r="B195" i="11"/>
  <c r="H193" i="11"/>
  <c r="I193" i="11" s="1"/>
  <c r="B188" i="11"/>
  <c r="H182" i="11"/>
  <c r="I182" i="11" s="1"/>
  <c r="B181" i="11"/>
  <c r="B161" i="11"/>
  <c r="F161" i="11"/>
  <c r="G161" i="11" s="1"/>
  <c r="H151" i="11"/>
  <c r="I151" i="11" s="1"/>
  <c r="F189" i="11"/>
  <c r="G189" i="11" s="1"/>
  <c r="F182" i="11"/>
  <c r="G182" i="11" s="1"/>
  <c r="B172" i="11"/>
  <c r="H172" i="11"/>
  <c r="I172" i="11" s="1"/>
  <c r="F151" i="11"/>
  <c r="G151" i="11" s="1"/>
  <c r="B148" i="11"/>
  <c r="H148" i="11"/>
  <c r="I148" i="11" s="1"/>
  <c r="F146" i="11"/>
  <c r="G146" i="11" s="1"/>
  <c r="H146" i="11"/>
  <c r="I146" i="11" s="1"/>
  <c r="H143" i="11"/>
  <c r="I143" i="11" s="1"/>
  <c r="F139" i="11"/>
  <c r="G139" i="11" s="1"/>
  <c r="B139" i="11"/>
  <c r="B136" i="11"/>
  <c r="F136" i="11"/>
  <c r="G136" i="11" s="1"/>
  <c r="H136" i="11"/>
  <c r="I136" i="11" s="1"/>
  <c r="B240" i="11"/>
  <c r="B228" i="11"/>
  <c r="H222" i="11"/>
  <c r="I222" i="11" s="1"/>
  <c r="H208" i="11"/>
  <c r="I208" i="11" s="1"/>
  <c r="F204" i="11"/>
  <c r="G204" i="11" s="1"/>
  <c r="B203" i="11"/>
  <c r="F203" i="11"/>
  <c r="G203" i="11" s="1"/>
  <c r="H190" i="11"/>
  <c r="I190" i="11" s="1"/>
  <c r="F186" i="11"/>
  <c r="G186" i="11" s="1"/>
  <c r="B185" i="11"/>
  <c r="F185" i="11"/>
  <c r="G185" i="11" s="1"/>
  <c r="F170" i="11"/>
  <c r="G170" i="11" s="1"/>
  <c r="H170" i="11"/>
  <c r="I170" i="11" s="1"/>
  <c r="H162" i="11"/>
  <c r="I162" i="11" s="1"/>
  <c r="F143" i="11"/>
  <c r="G143" i="11" s="1"/>
  <c r="B141" i="11"/>
  <c r="F141" i="11"/>
  <c r="G141" i="11" s="1"/>
  <c r="H141" i="11"/>
  <c r="I141" i="11" s="1"/>
  <c r="F208" i="11"/>
  <c r="G208" i="11" s="1"/>
  <c r="H201" i="11"/>
  <c r="I201" i="11" s="1"/>
  <c r="F190" i="11"/>
  <c r="G190" i="11" s="1"/>
  <c r="H176" i="11"/>
  <c r="I176" i="11" s="1"/>
  <c r="F175" i="11"/>
  <c r="G175" i="11" s="1"/>
  <c r="H175" i="11"/>
  <c r="I175" i="11" s="1"/>
  <c r="H171" i="11"/>
  <c r="I171" i="11" s="1"/>
  <c r="H147" i="11"/>
  <c r="I147" i="11" s="1"/>
  <c r="F222" i="11"/>
  <c r="G222" i="11" s="1"/>
  <c r="H212" i="11"/>
  <c r="I212" i="11" s="1"/>
  <c r="H205" i="11"/>
  <c r="I205" i="11" s="1"/>
  <c r="H194" i="11"/>
  <c r="I194" i="11" s="1"/>
  <c r="B193" i="11"/>
  <c r="B189" i="11"/>
  <c r="H187" i="11"/>
  <c r="I187" i="11" s="1"/>
  <c r="F176" i="11"/>
  <c r="G176" i="11" s="1"/>
  <c r="F171" i="11"/>
  <c r="G171" i="11" s="1"/>
  <c r="H169" i="11"/>
  <c r="I169" i="11" s="1"/>
  <c r="F166" i="11"/>
  <c r="G166" i="11" s="1"/>
  <c r="H166" i="11"/>
  <c r="I166" i="11" s="1"/>
  <c r="J156" i="11"/>
  <c r="F147" i="11"/>
  <c r="G147" i="11" s="1"/>
  <c r="B164" i="11"/>
  <c r="H164" i="11"/>
  <c r="I164" i="11" s="1"/>
  <c r="B145" i="11"/>
  <c r="F145" i="11"/>
  <c r="G145" i="11" s="1"/>
  <c r="B138" i="11"/>
  <c r="H202" i="11"/>
  <c r="I202" i="11" s="1"/>
  <c r="B197" i="11"/>
  <c r="F197" i="11"/>
  <c r="G197" i="11" s="1"/>
  <c r="H184" i="11"/>
  <c r="I184" i="11" s="1"/>
  <c r="B179" i="11"/>
  <c r="F179" i="11"/>
  <c r="G179" i="11" s="1"/>
  <c r="B173" i="11"/>
  <c r="F173" i="11"/>
  <c r="G173" i="11" s="1"/>
  <c r="F167" i="11"/>
  <c r="G167" i="11" s="1"/>
  <c r="B149" i="11"/>
  <c r="F149" i="11"/>
  <c r="G149" i="11" s="1"/>
  <c r="J135" i="11"/>
  <c r="F202" i="11"/>
  <c r="G202" i="11" s="1"/>
  <c r="H195" i="11"/>
  <c r="I195" i="11" s="1"/>
  <c r="F184" i="11"/>
  <c r="G184" i="11" s="1"/>
  <c r="H177" i="11"/>
  <c r="I177" i="11" s="1"/>
  <c r="F163" i="11"/>
  <c r="G163" i="11" s="1"/>
  <c r="B160" i="11"/>
  <c r="H160" i="11"/>
  <c r="I160" i="11" s="1"/>
  <c r="B205" i="11"/>
  <c r="H199" i="11"/>
  <c r="I199" i="11" s="1"/>
  <c r="H188" i="11"/>
  <c r="I188" i="11" s="1"/>
  <c r="B187" i="11"/>
  <c r="H181" i="11"/>
  <c r="I181" i="11" s="1"/>
  <c r="F158" i="11"/>
  <c r="G158" i="11" s="1"/>
  <c r="H158" i="11"/>
  <c r="I158" i="11" s="1"/>
  <c r="H150" i="11"/>
  <c r="I150" i="11" s="1"/>
  <c r="B140" i="11"/>
  <c r="F140" i="11"/>
  <c r="G140" i="11" s="1"/>
  <c r="H140" i="11"/>
  <c r="I140" i="11" s="1"/>
  <c r="H161" i="11"/>
  <c r="I161" i="11" s="1"/>
  <c r="J157" i="11"/>
  <c r="H139" i="11"/>
  <c r="I139" i="11" s="1"/>
  <c r="B137" i="11"/>
  <c r="F137" i="11"/>
  <c r="G137" i="11" s="1"/>
  <c r="H137" i="11"/>
  <c r="I137" i="11" s="1"/>
  <c r="B209" i="11"/>
  <c r="F209" i="11"/>
  <c r="G209" i="11" s="1"/>
  <c r="B191" i="11"/>
  <c r="F191" i="11"/>
  <c r="G191" i="11" s="1"/>
  <c r="F154" i="11"/>
  <c r="G154" i="11" s="1"/>
  <c r="H154" i="11"/>
  <c r="I154" i="11" s="1"/>
  <c r="F148" i="11"/>
  <c r="G148" i="11" s="1"/>
  <c r="F142" i="11"/>
  <c r="G142" i="11" s="1"/>
  <c r="H142" i="11"/>
  <c r="I142" i="11" s="1"/>
  <c r="B134" i="11"/>
  <c r="F134" i="11"/>
  <c r="G134" i="11" s="1"/>
  <c r="H134" i="11"/>
  <c r="I134" i="11" s="1"/>
  <c r="B152" i="11"/>
  <c r="H152" i="11"/>
  <c r="I152" i="11" s="1"/>
  <c r="B144" i="11"/>
  <c r="F144" i="11"/>
  <c r="G144" i="11" s="1"/>
  <c r="B132" i="11"/>
  <c r="F132" i="11"/>
  <c r="G132" i="11" s="1"/>
  <c r="B131" i="11"/>
  <c r="F131" i="11"/>
  <c r="G131" i="11" s="1"/>
  <c r="H131" i="11"/>
  <c r="I131" i="11" s="1"/>
  <c r="H132" i="11"/>
  <c r="I132" i="11" s="1"/>
  <c r="B130" i="11"/>
  <c r="F130" i="11"/>
  <c r="G130" i="11" s="1"/>
  <c r="H130" i="11"/>
  <c r="I130" i="11" s="1"/>
  <c r="F127" i="11"/>
  <c r="G127" i="11" s="1"/>
  <c r="H127" i="11"/>
  <c r="I127" i="11" s="1"/>
  <c r="B127" i="11"/>
  <c r="F126" i="11"/>
  <c r="G126" i="11" s="1"/>
  <c r="H126" i="11"/>
  <c r="I126" i="11" s="1"/>
  <c r="B126" i="11"/>
  <c r="H125" i="11"/>
  <c r="I125" i="11" s="1"/>
  <c r="F125" i="11"/>
  <c r="G125" i="11" s="1"/>
  <c r="B125" i="11"/>
  <c r="B129" i="11"/>
  <c r="F129" i="11"/>
  <c r="G129" i="11" s="1"/>
  <c r="H129" i="11"/>
  <c r="I129" i="11" s="1"/>
  <c r="B124" i="11"/>
  <c r="H124" i="11"/>
  <c r="I124" i="11" s="1"/>
  <c r="F124" i="11"/>
  <c r="G124" i="11" s="1"/>
  <c r="B128" i="11"/>
  <c r="F128" i="11"/>
  <c r="G128" i="11" s="1"/>
  <c r="H128" i="11"/>
  <c r="I128" i="11" s="1"/>
  <c r="B123" i="11"/>
  <c r="F123" i="11"/>
  <c r="G123" i="11" s="1"/>
  <c r="H123" i="11"/>
  <c r="I123" i="11" s="1"/>
  <c r="B122" i="11"/>
  <c r="F122" i="11"/>
  <c r="G122" i="11" s="1"/>
  <c r="H122" i="11"/>
  <c r="I122" i="11" s="1"/>
  <c r="B925" i="10"/>
  <c r="F1025" i="10"/>
  <c r="G1025" i="10" s="1"/>
  <c r="F1077" i="10"/>
  <c r="G1077" i="10" s="1"/>
  <c r="H717" i="10"/>
  <c r="I717" i="10" s="1"/>
  <c r="L717" i="10" s="1"/>
  <c r="H924" i="10"/>
  <c r="I924" i="10" s="1"/>
  <c r="J924" i="10" s="1"/>
  <c r="B1121" i="10"/>
  <c r="F1037" i="10"/>
  <c r="G1037" i="10" s="1"/>
  <c r="F716" i="10"/>
  <c r="G716" i="10" s="1"/>
  <c r="F923" i="10"/>
  <c r="G923" i="10" s="1"/>
  <c r="F893" i="10"/>
  <c r="G893" i="10" s="1"/>
  <c r="F1001" i="10"/>
  <c r="G1001" i="10" s="1"/>
  <c r="B1129" i="10"/>
  <c r="F1068" i="10"/>
  <c r="G1068" i="10" s="1"/>
  <c r="F1053" i="10"/>
  <c r="G1053" i="10" s="1"/>
  <c r="H783" i="10"/>
  <c r="I783" i="10" s="1"/>
  <c r="F857" i="10"/>
  <c r="G857" i="10" s="1"/>
  <c r="F1071" i="10"/>
  <c r="G1071" i="10" s="1"/>
  <c r="F1056" i="10"/>
  <c r="G1056" i="10" s="1"/>
  <c r="H1038" i="10"/>
  <c r="I1038" i="10" s="1"/>
  <c r="L1038" i="10" s="1"/>
  <c r="F925" i="10"/>
  <c r="G925" i="10" s="1"/>
  <c r="F911" i="10"/>
  <c r="G911" i="10" s="1"/>
  <c r="H1112" i="10"/>
  <c r="I1112" i="10" s="1"/>
  <c r="J1112" i="10" s="1"/>
  <c r="F1059" i="10"/>
  <c r="G1059" i="10" s="1"/>
  <c r="F1038" i="10"/>
  <c r="G1038" i="10" s="1"/>
  <c r="F1013" i="10"/>
  <c r="G1013" i="10" s="1"/>
  <c r="F1127" i="10"/>
  <c r="G1127" i="10" s="1"/>
  <c r="F1121" i="10"/>
  <c r="G1121" i="10" s="1"/>
  <c r="H1118" i="10"/>
  <c r="I1118" i="10" s="1"/>
  <c r="J1118" i="10" s="1"/>
  <c r="J1129" i="10"/>
  <c r="J1115" i="10"/>
  <c r="J1125" i="10"/>
  <c r="J1121" i="10"/>
  <c r="H1198" i="10"/>
  <c r="I1198" i="10" s="1"/>
  <c r="B1198" i="10"/>
  <c r="F1198" i="10"/>
  <c r="G1198" i="10" s="1"/>
  <c r="B1201" i="10"/>
  <c r="F1201" i="10"/>
  <c r="G1201" i="10" s="1"/>
  <c r="H1201" i="10"/>
  <c r="I1201" i="10" s="1"/>
  <c r="B1197" i="10"/>
  <c r="F1197" i="10"/>
  <c r="G1197" i="10" s="1"/>
  <c r="H1197" i="10"/>
  <c r="I1197" i="10" s="1"/>
  <c r="H1193" i="10"/>
  <c r="I1193" i="10" s="1"/>
  <c r="B1193" i="10"/>
  <c r="F1193" i="10"/>
  <c r="G1193" i="10" s="1"/>
  <c r="B1189" i="10"/>
  <c r="F1189" i="10"/>
  <c r="G1189" i="10" s="1"/>
  <c r="H1189" i="10"/>
  <c r="I1189" i="10" s="1"/>
  <c r="B1185" i="10"/>
  <c r="F1185" i="10"/>
  <c r="G1185" i="10" s="1"/>
  <c r="H1185" i="10"/>
  <c r="I1185" i="10" s="1"/>
  <c r="H1181" i="10"/>
  <c r="I1181" i="10" s="1"/>
  <c r="B1181" i="10"/>
  <c r="F1181" i="10"/>
  <c r="G1181" i="10" s="1"/>
  <c r="B1177" i="10"/>
  <c r="F1177" i="10"/>
  <c r="G1177" i="10" s="1"/>
  <c r="H1177" i="10"/>
  <c r="I1177" i="10" s="1"/>
  <c r="H1169" i="10"/>
  <c r="I1169" i="10" s="1"/>
  <c r="B1169" i="10"/>
  <c r="F1169" i="10"/>
  <c r="G1169" i="10" s="1"/>
  <c r="B1190" i="10"/>
  <c r="F1190" i="10"/>
  <c r="G1190" i="10" s="1"/>
  <c r="H1190" i="10"/>
  <c r="I1190" i="10" s="1"/>
  <c r="B1173" i="10"/>
  <c r="F1173" i="10"/>
  <c r="G1173" i="10" s="1"/>
  <c r="H1173" i="10"/>
  <c r="I1173" i="10" s="1"/>
  <c r="H1186" i="10"/>
  <c r="I1186" i="10" s="1"/>
  <c r="B1186" i="10"/>
  <c r="F1186" i="10"/>
  <c r="G1186" i="10" s="1"/>
  <c r="F1200" i="10"/>
  <c r="G1200" i="10" s="1"/>
  <c r="H1200" i="10"/>
  <c r="I1200" i="10" s="1"/>
  <c r="B1200" i="10"/>
  <c r="B1196" i="10"/>
  <c r="F1196" i="10"/>
  <c r="G1196" i="10" s="1"/>
  <c r="H1196" i="10"/>
  <c r="I1196" i="10" s="1"/>
  <c r="B1192" i="10"/>
  <c r="F1192" i="10"/>
  <c r="G1192" i="10" s="1"/>
  <c r="H1192" i="10"/>
  <c r="I1192" i="10" s="1"/>
  <c r="F1188" i="10"/>
  <c r="G1188" i="10" s="1"/>
  <c r="H1188" i="10"/>
  <c r="I1188" i="10" s="1"/>
  <c r="B1188" i="10"/>
  <c r="B1184" i="10"/>
  <c r="F1184" i="10"/>
  <c r="G1184" i="10" s="1"/>
  <c r="H1184" i="10"/>
  <c r="I1184" i="10" s="1"/>
  <c r="B1180" i="10"/>
  <c r="F1180" i="10"/>
  <c r="G1180" i="10" s="1"/>
  <c r="H1180" i="10"/>
  <c r="I1180" i="10" s="1"/>
  <c r="F1176" i="10"/>
  <c r="G1176" i="10" s="1"/>
  <c r="H1176" i="10"/>
  <c r="I1176" i="10" s="1"/>
  <c r="B1176" i="10"/>
  <c r="F1194" i="10"/>
  <c r="G1194" i="10" s="1"/>
  <c r="H1194" i="10"/>
  <c r="I1194" i="10" s="1"/>
  <c r="B1194" i="10"/>
  <c r="H1174" i="10"/>
  <c r="I1174" i="10" s="1"/>
  <c r="B1174" i="10"/>
  <c r="F1174" i="10"/>
  <c r="G1174" i="10" s="1"/>
  <c r="B1172" i="10"/>
  <c r="F1172" i="10"/>
  <c r="G1172" i="10" s="1"/>
  <c r="H1172" i="10"/>
  <c r="I1172" i="10" s="1"/>
  <c r="B1168" i="10"/>
  <c r="F1168" i="10"/>
  <c r="G1168" i="10" s="1"/>
  <c r="H1168" i="10"/>
  <c r="I1168" i="10" s="1"/>
  <c r="H1199" i="10"/>
  <c r="I1199" i="10" s="1"/>
  <c r="F1199" i="10"/>
  <c r="G1199" i="10" s="1"/>
  <c r="B1199" i="10"/>
  <c r="F1195" i="10"/>
  <c r="G1195" i="10" s="1"/>
  <c r="H1195" i="10"/>
  <c r="I1195" i="10" s="1"/>
  <c r="B1195" i="10"/>
  <c r="B1191" i="10"/>
  <c r="F1191" i="10"/>
  <c r="G1191" i="10" s="1"/>
  <c r="H1191" i="10"/>
  <c r="I1191" i="10" s="1"/>
  <c r="F1187" i="10"/>
  <c r="G1187" i="10" s="1"/>
  <c r="H1187" i="10"/>
  <c r="I1187" i="10" s="1"/>
  <c r="B1187" i="10"/>
  <c r="F1183" i="10"/>
  <c r="G1183" i="10" s="1"/>
  <c r="H1183" i="10"/>
  <c r="I1183" i="10" s="1"/>
  <c r="B1183" i="10"/>
  <c r="B1179" i="10"/>
  <c r="F1179" i="10"/>
  <c r="G1179" i="10" s="1"/>
  <c r="H1179" i="10"/>
  <c r="I1179" i="10" s="1"/>
  <c r="F1175" i="10"/>
  <c r="G1175" i="10" s="1"/>
  <c r="H1175" i="10"/>
  <c r="I1175" i="10" s="1"/>
  <c r="B1175" i="10"/>
  <c r="B1167" i="10"/>
  <c r="F1167" i="10"/>
  <c r="G1167" i="10" s="1"/>
  <c r="H1167" i="10"/>
  <c r="I1167" i="10" s="1"/>
  <c r="F1182" i="10"/>
  <c r="G1182" i="10" s="1"/>
  <c r="H1182" i="10"/>
  <c r="I1182" i="10" s="1"/>
  <c r="B1182" i="10"/>
  <c r="F1171" i="10"/>
  <c r="G1171" i="10" s="1"/>
  <c r="H1171" i="10"/>
  <c r="I1171" i="10" s="1"/>
  <c r="B1171" i="10"/>
  <c r="B1178" i="10"/>
  <c r="F1178" i="10"/>
  <c r="G1178" i="10" s="1"/>
  <c r="H1178" i="10"/>
  <c r="I1178" i="10" s="1"/>
  <c r="F1170" i="10"/>
  <c r="G1170" i="10" s="1"/>
  <c r="H1170" i="10"/>
  <c r="I1170" i="10" s="1"/>
  <c r="B1170" i="10"/>
  <c r="B1166" i="10"/>
  <c r="F1166" i="10"/>
  <c r="G1166" i="10" s="1"/>
  <c r="H1166" i="10"/>
  <c r="I1166" i="10" s="1"/>
  <c r="H1138" i="10"/>
  <c r="I1138" i="10" s="1"/>
  <c r="B1138" i="10"/>
  <c r="F1138" i="10"/>
  <c r="G1138" i="10" s="1"/>
  <c r="F1134" i="10"/>
  <c r="G1134" i="10" s="1"/>
  <c r="H1134" i="10"/>
  <c r="I1134" i="10" s="1"/>
  <c r="B1134" i="10"/>
  <c r="H1150" i="10"/>
  <c r="I1150" i="10" s="1"/>
  <c r="B1150" i="10"/>
  <c r="F1150" i="10"/>
  <c r="G1150" i="10" s="1"/>
  <c r="B1154" i="10"/>
  <c r="F1154" i="10"/>
  <c r="G1154" i="10" s="1"/>
  <c r="H1154" i="10"/>
  <c r="I1154" i="10" s="1"/>
  <c r="H1165" i="10"/>
  <c r="I1165" i="10" s="1"/>
  <c r="B1165" i="10"/>
  <c r="F1165" i="10"/>
  <c r="G1165" i="10" s="1"/>
  <c r="B1161" i="10"/>
  <c r="F1161" i="10"/>
  <c r="G1161" i="10" s="1"/>
  <c r="H1161" i="10"/>
  <c r="I1161" i="10" s="1"/>
  <c r="H1157" i="10"/>
  <c r="I1157" i="10" s="1"/>
  <c r="B1157" i="10"/>
  <c r="F1157" i="10"/>
  <c r="G1157" i="10" s="1"/>
  <c r="B1153" i="10"/>
  <c r="F1153" i="10"/>
  <c r="G1153" i="10" s="1"/>
  <c r="H1153" i="10"/>
  <c r="I1153" i="10" s="1"/>
  <c r="B1149" i="10"/>
  <c r="F1149" i="10"/>
  <c r="G1149" i="10" s="1"/>
  <c r="H1149" i="10"/>
  <c r="I1149" i="10" s="1"/>
  <c r="H1145" i="10"/>
  <c r="I1145" i="10" s="1"/>
  <c r="B1145" i="10"/>
  <c r="F1145" i="10"/>
  <c r="G1145" i="10" s="1"/>
  <c r="B1141" i="10"/>
  <c r="F1141" i="10"/>
  <c r="G1141" i="10" s="1"/>
  <c r="H1141" i="10"/>
  <c r="I1141" i="10" s="1"/>
  <c r="B1137" i="10"/>
  <c r="F1137" i="10"/>
  <c r="G1137" i="10" s="1"/>
  <c r="H1137" i="10"/>
  <c r="I1137" i="10" s="1"/>
  <c r="F1146" i="10"/>
  <c r="G1146" i="10" s="1"/>
  <c r="H1146" i="10"/>
  <c r="I1146" i="10" s="1"/>
  <c r="B1146" i="10"/>
  <c r="H1133" i="10"/>
  <c r="I1133" i="10" s="1"/>
  <c r="B1133" i="10"/>
  <c r="F1133" i="10"/>
  <c r="G1133" i="10" s="1"/>
  <c r="B1142" i="10"/>
  <c r="F1142" i="10"/>
  <c r="G1142" i="10" s="1"/>
  <c r="H1142" i="10"/>
  <c r="I1142" i="10" s="1"/>
  <c r="F1164" i="10"/>
  <c r="G1164" i="10" s="1"/>
  <c r="H1164" i="10"/>
  <c r="I1164" i="10" s="1"/>
  <c r="B1164" i="10"/>
  <c r="B1160" i="10"/>
  <c r="F1160" i="10"/>
  <c r="G1160" i="10" s="1"/>
  <c r="H1160" i="10"/>
  <c r="I1160" i="10" s="1"/>
  <c r="B1156" i="10"/>
  <c r="F1156" i="10"/>
  <c r="G1156" i="10" s="1"/>
  <c r="H1156" i="10"/>
  <c r="I1156" i="10" s="1"/>
  <c r="F1152" i="10"/>
  <c r="G1152" i="10" s="1"/>
  <c r="H1152" i="10"/>
  <c r="I1152" i="10" s="1"/>
  <c r="B1152" i="10"/>
  <c r="B1148" i="10"/>
  <c r="F1148" i="10"/>
  <c r="G1148" i="10" s="1"/>
  <c r="H1148" i="10"/>
  <c r="I1148" i="10" s="1"/>
  <c r="B1144" i="10"/>
  <c r="F1144" i="10"/>
  <c r="G1144" i="10" s="1"/>
  <c r="H1144" i="10"/>
  <c r="I1144" i="10" s="1"/>
  <c r="F1140" i="10"/>
  <c r="G1140" i="10" s="1"/>
  <c r="H1140" i="10"/>
  <c r="I1140" i="10" s="1"/>
  <c r="B1140" i="10"/>
  <c r="F1158" i="10"/>
  <c r="G1158" i="10" s="1"/>
  <c r="H1158" i="10"/>
  <c r="I1158" i="10" s="1"/>
  <c r="B1158" i="10"/>
  <c r="B1136" i="10"/>
  <c r="F1136" i="10"/>
  <c r="G1136" i="10" s="1"/>
  <c r="H1136" i="10"/>
  <c r="I1136" i="10" s="1"/>
  <c r="B1132" i="10"/>
  <c r="F1132" i="10"/>
  <c r="G1132" i="10" s="1"/>
  <c r="H1132" i="10"/>
  <c r="I1132" i="10" s="1"/>
  <c r="F1163" i="10"/>
  <c r="G1163" i="10" s="1"/>
  <c r="H1163" i="10"/>
  <c r="I1163" i="10" s="1"/>
  <c r="B1163" i="10"/>
  <c r="F1159" i="10"/>
  <c r="G1159" i="10" s="1"/>
  <c r="H1159" i="10"/>
  <c r="I1159" i="10" s="1"/>
  <c r="B1159" i="10"/>
  <c r="B1155" i="10"/>
  <c r="F1155" i="10"/>
  <c r="G1155" i="10" s="1"/>
  <c r="H1155" i="10"/>
  <c r="I1155" i="10" s="1"/>
  <c r="F1151" i="10"/>
  <c r="G1151" i="10" s="1"/>
  <c r="H1151" i="10"/>
  <c r="I1151" i="10" s="1"/>
  <c r="B1151" i="10"/>
  <c r="F1147" i="10"/>
  <c r="G1147" i="10" s="1"/>
  <c r="H1147" i="10"/>
  <c r="I1147" i="10" s="1"/>
  <c r="B1147" i="10"/>
  <c r="B1143" i="10"/>
  <c r="F1143" i="10"/>
  <c r="G1143" i="10" s="1"/>
  <c r="H1143" i="10"/>
  <c r="I1143" i="10" s="1"/>
  <c r="B1131" i="10"/>
  <c r="F1131" i="10"/>
  <c r="G1131" i="10" s="1"/>
  <c r="H1131" i="10"/>
  <c r="I1131" i="10" s="1"/>
  <c r="B1162" i="10"/>
  <c r="H1162" i="10"/>
  <c r="I1162" i="10" s="1"/>
  <c r="F1162" i="10"/>
  <c r="G1162" i="10" s="1"/>
  <c r="F1139" i="10"/>
  <c r="G1139" i="10" s="1"/>
  <c r="H1139" i="10"/>
  <c r="I1139" i="10" s="1"/>
  <c r="B1139" i="10"/>
  <c r="F1135" i="10"/>
  <c r="G1135" i="10" s="1"/>
  <c r="H1135" i="10"/>
  <c r="I1135" i="10" s="1"/>
  <c r="B1135" i="10"/>
  <c r="B1130" i="10"/>
  <c r="F1130" i="10"/>
  <c r="G1130" i="10" s="1"/>
  <c r="H1130" i="10"/>
  <c r="I1130" i="10" s="1"/>
  <c r="J1120" i="10"/>
  <c r="J1128" i="10"/>
  <c r="L1128" i="10"/>
  <c r="H1104" i="10"/>
  <c r="I1104" i="10" s="1"/>
  <c r="B1104" i="10"/>
  <c r="J1122" i="10"/>
  <c r="J1126" i="10"/>
  <c r="L1126" i="10"/>
  <c r="F1122" i="10"/>
  <c r="G1122" i="10" s="1"/>
  <c r="B1122" i="10"/>
  <c r="J1119" i="10"/>
  <c r="H1092" i="10"/>
  <c r="I1092" i="10" s="1"/>
  <c r="B1092" i="10"/>
  <c r="L1044" i="10"/>
  <c r="J1044" i="10"/>
  <c r="H1098" i="10"/>
  <c r="I1098" i="10" s="1"/>
  <c r="B1098" i="10"/>
  <c r="H1095" i="10"/>
  <c r="I1095" i="10" s="1"/>
  <c r="B1095" i="10"/>
  <c r="B1085" i="10"/>
  <c r="F1085" i="10"/>
  <c r="G1085" i="10" s="1"/>
  <c r="H1085" i="10"/>
  <c r="I1085" i="10" s="1"/>
  <c r="B1081" i="10"/>
  <c r="F1081" i="10"/>
  <c r="G1081" i="10" s="1"/>
  <c r="H1081" i="10"/>
  <c r="I1081" i="10" s="1"/>
  <c r="L1062" i="10"/>
  <c r="J1062" i="10"/>
  <c r="B1124" i="10"/>
  <c r="F1124" i="10"/>
  <c r="G1124" i="10" s="1"/>
  <c r="H1101" i="10"/>
  <c r="I1101" i="10" s="1"/>
  <c r="B1101" i="10"/>
  <c r="B1126" i="10"/>
  <c r="F1126" i="10"/>
  <c r="G1126" i="10" s="1"/>
  <c r="J1123" i="10"/>
  <c r="J1077" i="10"/>
  <c r="L1047" i="10"/>
  <c r="J1047" i="10"/>
  <c r="F1128" i="10"/>
  <c r="G1128" i="10" s="1"/>
  <c r="B1128" i="10"/>
  <c r="B1088" i="10"/>
  <c r="H1088" i="10"/>
  <c r="I1088" i="10" s="1"/>
  <c r="B1117" i="10"/>
  <c r="F1117" i="10"/>
  <c r="G1117" i="10" s="1"/>
  <c r="H1117" i="10"/>
  <c r="I1117" i="10" s="1"/>
  <c r="J1127" i="10"/>
  <c r="B1119" i="10"/>
  <c r="B1109" i="10"/>
  <c r="H1109" i="10"/>
  <c r="I1109" i="10" s="1"/>
  <c r="B1091" i="10"/>
  <c r="H1091" i="10"/>
  <c r="I1091" i="10" s="1"/>
  <c r="B1084" i="10"/>
  <c r="F1084" i="10"/>
  <c r="G1084" i="10" s="1"/>
  <c r="H1084" i="10"/>
  <c r="I1084" i="10" s="1"/>
  <c r="J1080" i="10"/>
  <c r="L1065" i="10"/>
  <c r="J1065" i="10"/>
  <c r="L1050" i="10"/>
  <c r="J1050" i="10"/>
  <c r="F1107" i="10"/>
  <c r="G1107" i="10" s="1"/>
  <c r="H1107" i="10"/>
  <c r="I1107" i="10" s="1"/>
  <c r="B1107" i="10"/>
  <c r="B1100" i="10"/>
  <c r="H1100" i="10"/>
  <c r="I1100" i="10" s="1"/>
  <c r="B1094" i="10"/>
  <c r="H1094" i="10"/>
  <c r="I1094" i="10" s="1"/>
  <c r="B1076" i="10"/>
  <c r="F1076" i="10"/>
  <c r="G1076" i="10" s="1"/>
  <c r="H1076" i="10"/>
  <c r="I1076" i="10" s="1"/>
  <c r="B1106" i="10"/>
  <c r="H1106" i="10"/>
  <c r="I1106" i="10" s="1"/>
  <c r="B1097" i="10"/>
  <c r="H1097" i="10"/>
  <c r="I1097" i="10" s="1"/>
  <c r="F1129" i="10"/>
  <c r="G1129" i="10" s="1"/>
  <c r="B1123" i="10"/>
  <c r="B1087" i="10"/>
  <c r="F1087" i="10"/>
  <c r="G1087" i="10" s="1"/>
  <c r="H1087" i="10"/>
  <c r="I1087" i="10" s="1"/>
  <c r="B1103" i="10"/>
  <c r="H1103" i="10"/>
  <c r="I1103" i="10" s="1"/>
  <c r="B1116" i="10"/>
  <c r="F1116" i="10"/>
  <c r="G1116" i="10" s="1"/>
  <c r="H1116" i="10"/>
  <c r="I1116" i="10" s="1"/>
  <c r="B1090" i="10"/>
  <c r="F1090" i="10"/>
  <c r="G1090" i="10" s="1"/>
  <c r="H1090" i="10"/>
  <c r="I1090" i="10" s="1"/>
  <c r="L1083" i="10"/>
  <c r="J1083" i="10"/>
  <c r="B1079" i="10"/>
  <c r="F1079" i="10"/>
  <c r="G1079" i="10" s="1"/>
  <c r="H1079" i="10"/>
  <c r="I1079" i="10" s="1"/>
  <c r="L1068" i="10"/>
  <c r="J1068" i="10"/>
  <c r="L1053" i="10"/>
  <c r="J1053" i="10"/>
  <c r="B1111" i="10"/>
  <c r="F1111" i="10"/>
  <c r="G1111" i="10" s="1"/>
  <c r="H1111" i="10"/>
  <c r="I1111" i="10" s="1"/>
  <c r="B1127" i="10"/>
  <c r="J1113" i="10"/>
  <c r="B1093" i="10"/>
  <c r="F1093" i="10"/>
  <c r="G1093" i="10" s="1"/>
  <c r="H1093" i="10"/>
  <c r="I1093" i="10" s="1"/>
  <c r="B1102" i="10"/>
  <c r="H1102" i="10"/>
  <c r="I1102" i="10" s="1"/>
  <c r="B1096" i="10"/>
  <c r="H1096" i="10"/>
  <c r="I1096" i="10" s="1"/>
  <c r="F1092" i="10"/>
  <c r="G1092" i="10" s="1"/>
  <c r="L1071" i="10"/>
  <c r="J1071" i="10"/>
  <c r="L1056" i="10"/>
  <c r="J1056" i="10"/>
  <c r="B1105" i="10"/>
  <c r="H1105" i="10"/>
  <c r="I1105" i="10" s="1"/>
  <c r="B1099" i="10"/>
  <c r="H1099" i="10"/>
  <c r="I1099" i="10" s="1"/>
  <c r="H1124" i="10"/>
  <c r="I1124" i="10" s="1"/>
  <c r="F1104" i="10"/>
  <c r="G1104" i="10" s="1"/>
  <c r="F1101" i="10"/>
  <c r="G1101" i="10" s="1"/>
  <c r="F1098" i="10"/>
  <c r="G1098" i="10" s="1"/>
  <c r="F1095" i="10"/>
  <c r="G1095" i="10" s="1"/>
  <c r="H1086" i="10"/>
  <c r="I1086" i="10" s="1"/>
  <c r="B1086" i="10"/>
  <c r="B1082" i="10"/>
  <c r="F1082" i="10"/>
  <c r="G1082" i="10" s="1"/>
  <c r="H1082" i="10"/>
  <c r="I1082" i="10" s="1"/>
  <c r="B1078" i="10"/>
  <c r="F1078" i="10"/>
  <c r="G1078" i="10" s="1"/>
  <c r="H1078" i="10"/>
  <c r="I1078" i="10" s="1"/>
  <c r="L1041" i="10"/>
  <c r="J1041" i="10"/>
  <c r="B1120" i="10"/>
  <c r="F1120" i="10"/>
  <c r="G1120" i="10" s="1"/>
  <c r="F1113" i="10"/>
  <c r="G1113" i="10" s="1"/>
  <c r="B1113" i="10"/>
  <c r="H1089" i="10"/>
  <c r="I1089" i="10" s="1"/>
  <c r="B1089" i="10"/>
  <c r="L1074" i="10"/>
  <c r="J1074" i="10"/>
  <c r="L1059" i="10"/>
  <c r="J1059" i="10"/>
  <c r="F1074" i="10"/>
  <c r="G1074" i="10" s="1"/>
  <c r="F1062" i="10"/>
  <c r="G1062" i="10" s="1"/>
  <c r="F1050" i="10"/>
  <c r="G1050" i="10" s="1"/>
  <c r="J1036" i="10"/>
  <c r="F1083" i="10"/>
  <c r="G1083" i="10" s="1"/>
  <c r="B1114" i="10"/>
  <c r="B1112" i="10"/>
  <c r="H1108" i="10"/>
  <c r="I1108" i="10" s="1"/>
  <c r="F1065" i="10"/>
  <c r="G1065" i="10" s="1"/>
  <c r="F1108" i="10"/>
  <c r="G1108" i="10" s="1"/>
  <c r="J1039" i="10"/>
  <c r="F1080" i="10"/>
  <c r="G1080" i="10" s="1"/>
  <c r="B1083" i="10"/>
  <c r="B1080" i="10"/>
  <c r="B1077" i="10"/>
  <c r="H1075" i="10"/>
  <c r="I1075" i="10" s="1"/>
  <c r="B1074" i="10"/>
  <c r="H1072" i="10"/>
  <c r="I1072" i="10" s="1"/>
  <c r="B1071" i="10"/>
  <c r="H1069" i="10"/>
  <c r="I1069" i="10" s="1"/>
  <c r="B1068" i="10"/>
  <c r="H1066" i="10"/>
  <c r="I1066" i="10" s="1"/>
  <c r="B1065" i="10"/>
  <c r="H1063" i="10"/>
  <c r="I1063" i="10" s="1"/>
  <c r="B1062" i="10"/>
  <c r="H1060" i="10"/>
  <c r="I1060" i="10" s="1"/>
  <c r="B1059" i="10"/>
  <c r="H1057" i="10"/>
  <c r="I1057" i="10" s="1"/>
  <c r="B1056" i="10"/>
  <c r="H1054" i="10"/>
  <c r="I1054" i="10" s="1"/>
  <c r="B1053" i="10"/>
  <c r="H1051" i="10"/>
  <c r="I1051" i="10" s="1"/>
  <c r="B1050" i="10"/>
  <c r="H1048" i="10"/>
  <c r="I1048" i="10" s="1"/>
  <c r="B1047" i="10"/>
  <c r="H1045" i="10"/>
  <c r="I1045" i="10" s="1"/>
  <c r="B1044" i="10"/>
  <c r="H1042" i="10"/>
  <c r="I1042" i="10" s="1"/>
  <c r="B1041" i="10"/>
  <c r="F1072" i="10"/>
  <c r="G1072" i="10" s="1"/>
  <c r="F1060" i="10"/>
  <c r="G1060" i="10" s="1"/>
  <c r="B1036" i="10"/>
  <c r="F1036" i="10"/>
  <c r="G1036" i="10" s="1"/>
  <c r="F1066" i="10"/>
  <c r="G1066" i="10" s="1"/>
  <c r="F1054" i="10"/>
  <c r="G1054" i="10" s="1"/>
  <c r="F1045" i="10"/>
  <c r="G1045" i="10" s="1"/>
  <c r="F1042" i="10"/>
  <c r="G1042" i="10" s="1"/>
  <c r="F1075" i="10"/>
  <c r="G1075" i="10" s="1"/>
  <c r="F1063" i="10"/>
  <c r="G1063" i="10" s="1"/>
  <c r="F1051" i="10"/>
  <c r="G1051" i="10" s="1"/>
  <c r="F1048" i="10"/>
  <c r="G1048" i="10" s="1"/>
  <c r="H1037" i="10"/>
  <c r="I1037" i="10" s="1"/>
  <c r="F1069" i="10"/>
  <c r="G1069" i="10" s="1"/>
  <c r="F1057" i="10"/>
  <c r="G1057" i="10" s="1"/>
  <c r="F1118" i="10"/>
  <c r="G1118" i="10" s="1"/>
  <c r="F1110" i="10"/>
  <c r="G1110" i="10" s="1"/>
  <c r="H1114" i="10"/>
  <c r="I1114" i="10" s="1"/>
  <c r="H1073" i="10"/>
  <c r="I1073" i="10" s="1"/>
  <c r="H1070" i="10"/>
  <c r="I1070" i="10" s="1"/>
  <c r="H1067" i="10"/>
  <c r="I1067" i="10" s="1"/>
  <c r="H1064" i="10"/>
  <c r="I1064" i="10" s="1"/>
  <c r="H1061" i="10"/>
  <c r="I1061" i="10" s="1"/>
  <c r="H1058" i="10"/>
  <c r="I1058" i="10" s="1"/>
  <c r="H1055" i="10"/>
  <c r="I1055" i="10" s="1"/>
  <c r="H1052" i="10"/>
  <c r="I1052" i="10" s="1"/>
  <c r="H1049" i="10"/>
  <c r="I1049" i="10" s="1"/>
  <c r="H1046" i="10"/>
  <c r="I1046" i="10" s="1"/>
  <c r="H1043" i="10"/>
  <c r="I1043" i="10" s="1"/>
  <c r="H1040" i="10"/>
  <c r="I1040" i="10" s="1"/>
  <c r="F1067" i="10"/>
  <c r="G1067" i="10" s="1"/>
  <c r="F1055" i="10"/>
  <c r="G1055" i="10" s="1"/>
  <c r="F1046" i="10"/>
  <c r="G1046" i="10" s="1"/>
  <c r="F1040" i="10"/>
  <c r="G1040" i="10" s="1"/>
  <c r="B1035" i="10"/>
  <c r="F1035" i="10"/>
  <c r="G1035" i="10" s="1"/>
  <c r="H1035" i="10"/>
  <c r="I1035" i="10" s="1"/>
  <c r="F1061" i="10"/>
  <c r="G1061" i="10" s="1"/>
  <c r="F1049" i="10"/>
  <c r="G1049" i="10" s="1"/>
  <c r="F1043" i="10"/>
  <c r="G1043" i="10" s="1"/>
  <c r="F1070" i="10"/>
  <c r="G1070" i="10" s="1"/>
  <c r="F1058" i="10"/>
  <c r="G1058" i="10" s="1"/>
  <c r="F1073" i="10"/>
  <c r="G1073" i="10" s="1"/>
  <c r="F1064" i="10"/>
  <c r="G1064" i="10" s="1"/>
  <c r="F1052" i="10"/>
  <c r="G1052" i="10" s="1"/>
  <c r="B1034" i="10"/>
  <c r="F1034" i="10"/>
  <c r="G1034" i="10" s="1"/>
  <c r="H1034" i="10"/>
  <c r="I1034" i="10" s="1"/>
  <c r="F948" i="10"/>
  <c r="G948" i="10" s="1"/>
  <c r="B948" i="10"/>
  <c r="F927" i="10"/>
  <c r="G927" i="10" s="1"/>
  <c r="B927" i="10"/>
  <c r="H927" i="10"/>
  <c r="I927" i="10" s="1"/>
  <c r="J927" i="10" s="1"/>
  <c r="F960" i="10"/>
  <c r="G960" i="10" s="1"/>
  <c r="B960" i="10"/>
  <c r="B951" i="10"/>
  <c r="H951" i="10"/>
  <c r="I951" i="10" s="1"/>
  <c r="J951" i="10" s="1"/>
  <c r="B936" i="10"/>
  <c r="F936" i="10"/>
  <c r="G936" i="10" s="1"/>
  <c r="H936" i="10"/>
  <c r="I936" i="10" s="1"/>
  <c r="L936" i="10" s="1"/>
  <c r="F931" i="10"/>
  <c r="G931" i="10" s="1"/>
  <c r="B931" i="10"/>
  <c r="F934" i="10"/>
  <c r="G934" i="10" s="1"/>
  <c r="H934" i="10"/>
  <c r="I934" i="10" s="1"/>
  <c r="J934" i="10" s="1"/>
  <c r="B589" i="10"/>
  <c r="F643" i="10"/>
  <c r="G643" i="10" s="1"/>
  <c r="F789" i="10"/>
  <c r="G789" i="10" s="1"/>
  <c r="B952" i="10"/>
  <c r="B943" i="10"/>
  <c r="F917" i="10"/>
  <c r="G917" i="10" s="1"/>
  <c r="F965" i="10"/>
  <c r="G965" i="10" s="1"/>
  <c r="B954" i="10"/>
  <c r="B949" i="10"/>
  <c r="B946" i="10"/>
  <c r="H1001" i="10"/>
  <c r="I1001" i="10" s="1"/>
  <c r="L1001" i="10" s="1"/>
  <c r="B643" i="10"/>
  <c r="F707" i="10"/>
  <c r="G707" i="10" s="1"/>
  <c r="B924" i="10"/>
  <c r="F858" i="10"/>
  <c r="G858" i="10" s="1"/>
  <c r="B716" i="10"/>
  <c r="H938" i="10"/>
  <c r="I938" i="10" s="1"/>
  <c r="J938" i="10" s="1"/>
  <c r="F765" i="10"/>
  <c r="G765" i="10" s="1"/>
  <c r="H953" i="10"/>
  <c r="I953" i="10" s="1"/>
  <c r="F1007" i="10"/>
  <c r="G1007" i="10" s="1"/>
  <c r="F475" i="10"/>
  <c r="G475" i="10" s="1"/>
  <c r="B938" i="10"/>
  <c r="H966" i="10"/>
  <c r="I966" i="10" s="1"/>
  <c r="L966" i="10" s="1"/>
  <c r="B953" i="10"/>
  <c r="F899" i="10"/>
  <c r="G899" i="10" s="1"/>
  <c r="H977" i="10"/>
  <c r="I977" i="10" s="1"/>
  <c r="L977" i="10" s="1"/>
  <c r="F966" i="10"/>
  <c r="G966" i="10" s="1"/>
  <c r="F887" i="10"/>
  <c r="G887" i="10" s="1"/>
  <c r="H969" i="10"/>
  <c r="I969" i="10" s="1"/>
  <c r="L969" i="10" s="1"/>
  <c r="B961" i="10"/>
  <c r="H954" i="10"/>
  <c r="I954" i="10" s="1"/>
  <c r="B940" i="10"/>
  <c r="B1033" i="10"/>
  <c r="H965" i="10"/>
  <c r="I965" i="10" s="1"/>
  <c r="L965" i="10" s="1"/>
  <c r="J865" i="10"/>
  <c r="B1021" i="10"/>
  <c r="F1021" i="10"/>
  <c r="G1021" i="10" s="1"/>
  <c r="H1021" i="10"/>
  <c r="I1021" i="10" s="1"/>
  <c r="J1017" i="10"/>
  <c r="L1032" i="10"/>
  <c r="J1032" i="10"/>
  <c r="B1009" i="10"/>
  <c r="F1009" i="10"/>
  <c r="G1009" i="10" s="1"/>
  <c r="H1009" i="10"/>
  <c r="I1009" i="10" s="1"/>
  <c r="L994" i="10"/>
  <c r="J994" i="10"/>
  <c r="J983" i="10"/>
  <c r="L1005" i="10"/>
  <c r="J1005" i="10"/>
  <c r="J1024" i="10"/>
  <c r="J1012" i="10"/>
  <c r="L997" i="10"/>
  <c r="J997" i="10"/>
  <c r="B1027" i="10"/>
  <c r="F1027" i="10"/>
  <c r="G1027" i="10" s="1"/>
  <c r="H1027" i="10"/>
  <c r="I1027" i="10" s="1"/>
  <c r="L989" i="10"/>
  <c r="J989" i="10"/>
  <c r="L1023" i="10"/>
  <c r="J1023" i="10"/>
  <c r="B1015" i="10"/>
  <c r="F1015" i="10"/>
  <c r="G1015" i="10" s="1"/>
  <c r="H1015" i="10"/>
  <c r="I1015" i="10" s="1"/>
  <c r="J1011" i="10"/>
  <c r="J1000" i="10"/>
  <c r="B1003" i="10"/>
  <c r="F1003" i="10"/>
  <c r="G1003" i="10" s="1"/>
  <c r="H1003" i="10"/>
  <c r="I1003" i="10" s="1"/>
  <c r="L1018" i="10"/>
  <c r="J1018" i="10"/>
  <c r="L999" i="10"/>
  <c r="J999" i="10"/>
  <c r="J995" i="10"/>
  <c r="F1020" i="10"/>
  <c r="G1020" i="10" s="1"/>
  <c r="H1020" i="10"/>
  <c r="I1020" i="10" s="1"/>
  <c r="B1020" i="10"/>
  <c r="F996" i="10"/>
  <c r="G996" i="10" s="1"/>
  <c r="H996" i="10"/>
  <c r="I996" i="10" s="1"/>
  <c r="B996" i="10"/>
  <c r="B982" i="10"/>
  <c r="F982" i="10"/>
  <c r="G982" i="10" s="1"/>
  <c r="F976" i="10"/>
  <c r="G976" i="10" s="1"/>
  <c r="B976" i="10"/>
  <c r="F1029" i="10"/>
  <c r="G1029" i="10" s="1"/>
  <c r="F1008" i="10"/>
  <c r="G1008" i="10" s="1"/>
  <c r="H1008" i="10"/>
  <c r="I1008" i="10" s="1"/>
  <c r="B1008" i="10"/>
  <c r="H1019" i="10"/>
  <c r="I1019" i="10" s="1"/>
  <c r="H1007" i="10"/>
  <c r="I1007" i="10" s="1"/>
  <c r="F972" i="10"/>
  <c r="G972" i="10" s="1"/>
  <c r="H972" i="10"/>
  <c r="I972" i="10" s="1"/>
  <c r="B972" i="10"/>
  <c r="B1022" i="10"/>
  <c r="F1022" i="10"/>
  <c r="G1022" i="10" s="1"/>
  <c r="H1022" i="10"/>
  <c r="I1022" i="10" s="1"/>
  <c r="B1010" i="10"/>
  <c r="F1010" i="10"/>
  <c r="G1010" i="10" s="1"/>
  <c r="H1010" i="10"/>
  <c r="I1010" i="10" s="1"/>
  <c r="B998" i="10"/>
  <c r="F998" i="10"/>
  <c r="G998" i="10" s="1"/>
  <c r="H998" i="10"/>
  <c r="I998" i="10" s="1"/>
  <c r="B993" i="10"/>
  <c r="F993" i="10"/>
  <c r="G993" i="10" s="1"/>
  <c r="B1017" i="10"/>
  <c r="F1017" i="10"/>
  <c r="G1017" i="10" s="1"/>
  <c r="B1005" i="10"/>
  <c r="F1005" i="10"/>
  <c r="G1005" i="10" s="1"/>
  <c r="B990" i="10"/>
  <c r="F990" i="10"/>
  <c r="G990" i="10" s="1"/>
  <c r="H990" i="10"/>
  <c r="I990" i="10" s="1"/>
  <c r="B987" i="10"/>
  <c r="F987" i="10"/>
  <c r="G987" i="10" s="1"/>
  <c r="H987" i="10"/>
  <c r="I987" i="10" s="1"/>
  <c r="B975" i="10"/>
  <c r="F975" i="10"/>
  <c r="G975" i="10" s="1"/>
  <c r="H975" i="10"/>
  <c r="I975" i="10" s="1"/>
  <c r="F1031" i="10"/>
  <c r="G1031" i="10" s="1"/>
  <c r="H1031" i="10"/>
  <c r="I1031" i="10" s="1"/>
  <c r="F1024" i="10"/>
  <c r="G1024" i="10" s="1"/>
  <c r="B1024" i="10"/>
  <c r="F1000" i="10"/>
  <c r="G1000" i="10" s="1"/>
  <c r="B1000" i="10"/>
  <c r="F984" i="10"/>
  <c r="G984" i="10" s="1"/>
  <c r="H984" i="10"/>
  <c r="I984" i="10" s="1"/>
  <c r="B984" i="10"/>
  <c r="B981" i="10"/>
  <c r="F981" i="10"/>
  <c r="G981" i="10" s="1"/>
  <c r="H981" i="10"/>
  <c r="I981" i="10" s="1"/>
  <c r="B978" i="10"/>
  <c r="F978" i="10"/>
  <c r="G978" i="10" s="1"/>
  <c r="H978" i="10"/>
  <c r="I978" i="10" s="1"/>
  <c r="F1012" i="10"/>
  <c r="G1012" i="10" s="1"/>
  <c r="B1012" i="10"/>
  <c r="B995" i="10"/>
  <c r="F995" i="10"/>
  <c r="G995" i="10" s="1"/>
  <c r="B967" i="10"/>
  <c r="F967" i="10"/>
  <c r="G967" i="10" s="1"/>
  <c r="H967" i="10"/>
  <c r="I967" i="10" s="1"/>
  <c r="B1014" i="10"/>
  <c r="F1014" i="10"/>
  <c r="G1014" i="10" s="1"/>
  <c r="H1014" i="10"/>
  <c r="I1014" i="10" s="1"/>
  <c r="B1002" i="10"/>
  <c r="F1002" i="10"/>
  <c r="G1002" i="10" s="1"/>
  <c r="H1002" i="10"/>
  <c r="I1002" i="10" s="1"/>
  <c r="F992" i="10"/>
  <c r="G992" i="10" s="1"/>
  <c r="H992" i="10"/>
  <c r="I992" i="10" s="1"/>
  <c r="B992" i="10"/>
  <c r="B1026" i="10"/>
  <c r="F1026" i="10"/>
  <c r="G1026" i="10" s="1"/>
  <c r="H1026" i="10"/>
  <c r="I1026" i="10" s="1"/>
  <c r="H1025" i="10"/>
  <c r="I1025" i="10" s="1"/>
  <c r="H1013" i="10"/>
  <c r="I1013" i="10" s="1"/>
  <c r="L1006" i="10"/>
  <c r="J1006" i="10"/>
  <c r="B997" i="10"/>
  <c r="F997" i="10"/>
  <c r="G997" i="10" s="1"/>
  <c r="B989" i="10"/>
  <c r="F989" i="10"/>
  <c r="G989" i="10" s="1"/>
  <c r="B986" i="10"/>
  <c r="F986" i="10"/>
  <c r="G986" i="10" s="1"/>
  <c r="H986" i="10"/>
  <c r="I986" i="10" s="1"/>
  <c r="B974" i="10"/>
  <c r="F974" i="10"/>
  <c r="G974" i="10" s="1"/>
  <c r="H974" i="10"/>
  <c r="I974" i="10" s="1"/>
  <c r="L963" i="10"/>
  <c r="J963" i="10"/>
  <c r="B1032" i="10"/>
  <c r="F1032" i="10"/>
  <c r="G1032" i="10" s="1"/>
  <c r="F1004" i="10"/>
  <c r="G1004" i="10" s="1"/>
  <c r="H1004" i="10"/>
  <c r="I1004" i="10" s="1"/>
  <c r="B1004" i="10"/>
  <c r="J988" i="10"/>
  <c r="B983" i="10"/>
  <c r="F983" i="10"/>
  <c r="G983" i="10" s="1"/>
  <c r="F980" i="10"/>
  <c r="G980" i="10" s="1"/>
  <c r="H980" i="10"/>
  <c r="I980" i="10" s="1"/>
  <c r="B980" i="10"/>
  <c r="B1011" i="10"/>
  <c r="F1011" i="10"/>
  <c r="G1011" i="10" s="1"/>
  <c r="B999" i="10"/>
  <c r="F999" i="10"/>
  <c r="G999" i="10" s="1"/>
  <c r="B994" i="10"/>
  <c r="F994" i="10"/>
  <c r="G994" i="10" s="1"/>
  <c r="H982" i="10"/>
  <c r="I982" i="10" s="1"/>
  <c r="H976" i="10"/>
  <c r="I976" i="10" s="1"/>
  <c r="F1016" i="10"/>
  <c r="G1016" i="10" s="1"/>
  <c r="H1016" i="10"/>
  <c r="I1016" i="10" s="1"/>
  <c r="B1016" i="10"/>
  <c r="B1023" i="10"/>
  <c r="F1023" i="10"/>
  <c r="G1023" i="10" s="1"/>
  <c r="B1018" i="10"/>
  <c r="F1018" i="10"/>
  <c r="G1018" i="10" s="1"/>
  <c r="B1006" i="10"/>
  <c r="F1006" i="10"/>
  <c r="G1006" i="10" s="1"/>
  <c r="B991" i="10"/>
  <c r="F991" i="10"/>
  <c r="G991" i="10" s="1"/>
  <c r="H991" i="10"/>
  <c r="I991" i="10" s="1"/>
  <c r="B973" i="10"/>
  <c r="F973" i="10"/>
  <c r="G973" i="10" s="1"/>
  <c r="H973" i="10"/>
  <c r="I973" i="10" s="1"/>
  <c r="F1028" i="10"/>
  <c r="G1028" i="10" s="1"/>
  <c r="H1028" i="10"/>
  <c r="I1028" i="10" s="1"/>
  <c r="B1028" i="10"/>
  <c r="H1033" i="10"/>
  <c r="I1033" i="10" s="1"/>
  <c r="H1029" i="10"/>
  <c r="I1029" i="10" s="1"/>
  <c r="H993" i="10"/>
  <c r="I993" i="10" s="1"/>
  <c r="F988" i="10"/>
  <c r="G988" i="10" s="1"/>
  <c r="B988" i="10"/>
  <c r="B985" i="10"/>
  <c r="F985" i="10"/>
  <c r="G985" i="10" s="1"/>
  <c r="H985" i="10"/>
  <c r="I985" i="10" s="1"/>
  <c r="B979" i="10"/>
  <c r="F979" i="10"/>
  <c r="G979" i="10" s="1"/>
  <c r="H979" i="10"/>
  <c r="I979" i="10" s="1"/>
  <c r="F977" i="10"/>
  <c r="G977" i="10" s="1"/>
  <c r="H1030" i="10"/>
  <c r="I1030" i="10" s="1"/>
  <c r="F969" i="10"/>
  <c r="G969" i="10" s="1"/>
  <c r="B968" i="10"/>
  <c r="H970" i="10"/>
  <c r="I970" i="10" s="1"/>
  <c r="F970" i="10"/>
  <c r="G970" i="10" s="1"/>
  <c r="H971" i="10"/>
  <c r="I971" i="10" s="1"/>
  <c r="B963" i="10"/>
  <c r="F963" i="10"/>
  <c r="G963" i="10" s="1"/>
  <c r="F971" i="10"/>
  <c r="G971" i="10" s="1"/>
  <c r="H964" i="10"/>
  <c r="I964" i="10" s="1"/>
  <c r="H968" i="10"/>
  <c r="I968" i="10" s="1"/>
  <c r="F964" i="10"/>
  <c r="G964" i="10" s="1"/>
  <c r="B962" i="10"/>
  <c r="F962" i="10"/>
  <c r="G962" i="10" s="1"/>
  <c r="H962" i="10"/>
  <c r="I962" i="10" s="1"/>
  <c r="B957" i="10"/>
  <c r="H957" i="10"/>
  <c r="I957" i="10" s="1"/>
  <c r="F957" i="10"/>
  <c r="G957" i="10" s="1"/>
  <c r="L903" i="10"/>
  <c r="J903" i="10"/>
  <c r="B895" i="10"/>
  <c r="F895" i="10"/>
  <c r="G895" i="10" s="1"/>
  <c r="H895" i="10"/>
  <c r="I895" i="10" s="1"/>
  <c r="B871" i="10"/>
  <c r="F871" i="10"/>
  <c r="G871" i="10" s="1"/>
  <c r="H871" i="10"/>
  <c r="I871" i="10" s="1"/>
  <c r="L867" i="10"/>
  <c r="J867" i="10"/>
  <c r="F937" i="10"/>
  <c r="G937" i="10" s="1"/>
  <c r="H937" i="10"/>
  <c r="I937" i="10" s="1"/>
  <c r="B937" i="10"/>
  <c r="F928" i="10"/>
  <c r="G928" i="10" s="1"/>
  <c r="B928" i="10"/>
  <c r="H928" i="10"/>
  <c r="I928" i="10" s="1"/>
  <c r="L922" i="10"/>
  <c r="J922" i="10"/>
  <c r="J891" i="10"/>
  <c r="B883" i="10"/>
  <c r="F883" i="10"/>
  <c r="G883" i="10" s="1"/>
  <c r="H883" i="10"/>
  <c r="I883" i="10" s="1"/>
  <c r="L879" i="10"/>
  <c r="J879" i="10"/>
  <c r="L910" i="10"/>
  <c r="J910" i="10"/>
  <c r="B956" i="10"/>
  <c r="F956" i="10"/>
  <c r="G956" i="10" s="1"/>
  <c r="H956" i="10"/>
  <c r="I956" i="10" s="1"/>
  <c r="J952" i="10"/>
  <c r="J943" i="10"/>
  <c r="L943" i="10"/>
  <c r="L898" i="10"/>
  <c r="J898" i="10"/>
  <c r="J874" i="10"/>
  <c r="L946" i="10"/>
  <c r="J946" i="10"/>
  <c r="H939" i="10"/>
  <c r="I939" i="10" s="1"/>
  <c r="B939" i="10"/>
  <c r="F939" i="10"/>
  <c r="G939" i="10" s="1"/>
  <c r="L886" i="10"/>
  <c r="J886" i="10"/>
  <c r="B913" i="10"/>
  <c r="F913" i="10"/>
  <c r="G913" i="10" s="1"/>
  <c r="H913" i="10"/>
  <c r="I913" i="10" s="1"/>
  <c r="J909" i="10"/>
  <c r="B942" i="10"/>
  <c r="F942" i="10"/>
  <c r="G942" i="10" s="1"/>
  <c r="H942" i="10"/>
  <c r="I942" i="10" s="1"/>
  <c r="F933" i="10"/>
  <c r="G933" i="10" s="1"/>
  <c r="H933" i="10"/>
  <c r="I933" i="10" s="1"/>
  <c r="B933" i="10"/>
  <c r="B901" i="10"/>
  <c r="F901" i="10"/>
  <c r="G901" i="10" s="1"/>
  <c r="H901" i="10"/>
  <c r="I901" i="10" s="1"/>
  <c r="J897" i="10"/>
  <c r="B889" i="10"/>
  <c r="F889" i="10"/>
  <c r="G889" i="10" s="1"/>
  <c r="H889" i="10"/>
  <c r="I889" i="10" s="1"/>
  <c r="B877" i="10"/>
  <c r="F877" i="10"/>
  <c r="G877" i="10" s="1"/>
  <c r="H877" i="10"/>
  <c r="I877" i="10" s="1"/>
  <c r="J955" i="10"/>
  <c r="J916" i="10"/>
  <c r="L958" i="10"/>
  <c r="J958" i="10"/>
  <c r="J904" i="10"/>
  <c r="J868" i="10"/>
  <c r="B944" i="10"/>
  <c r="F944" i="10"/>
  <c r="G944" i="10" s="1"/>
  <c r="H944" i="10"/>
  <c r="I944" i="10" s="1"/>
  <c r="B919" i="10"/>
  <c r="F919" i="10"/>
  <c r="G919" i="10" s="1"/>
  <c r="H919" i="10"/>
  <c r="I919" i="10" s="1"/>
  <c r="J892" i="10"/>
  <c r="J880" i="10"/>
  <c r="B950" i="10"/>
  <c r="F950" i="10"/>
  <c r="G950" i="10" s="1"/>
  <c r="H950" i="10"/>
  <c r="I950" i="10" s="1"/>
  <c r="L915" i="10"/>
  <c r="J915" i="10"/>
  <c r="B907" i="10"/>
  <c r="F907" i="10"/>
  <c r="G907" i="10" s="1"/>
  <c r="H907" i="10"/>
  <c r="I907" i="10" s="1"/>
  <c r="F952" i="10"/>
  <c r="G952" i="10" s="1"/>
  <c r="F951" i="10"/>
  <c r="G951" i="10" s="1"/>
  <c r="H931" i="10"/>
  <c r="I931" i="10" s="1"/>
  <c r="F912" i="10"/>
  <c r="G912" i="10" s="1"/>
  <c r="H912" i="10"/>
  <c r="I912" i="10" s="1"/>
  <c r="B912" i="10"/>
  <c r="F900" i="10"/>
  <c r="G900" i="10" s="1"/>
  <c r="H900" i="10"/>
  <c r="I900" i="10" s="1"/>
  <c r="B900" i="10"/>
  <c r="F955" i="10"/>
  <c r="G955" i="10" s="1"/>
  <c r="F943" i="10"/>
  <c r="G943" i="10" s="1"/>
  <c r="B941" i="10"/>
  <c r="B930" i="10"/>
  <c r="L925" i="10"/>
  <c r="H923" i="10"/>
  <c r="I923" i="10" s="1"/>
  <c r="H911" i="10"/>
  <c r="I911" i="10" s="1"/>
  <c r="H899" i="10"/>
  <c r="I899" i="10" s="1"/>
  <c r="H887" i="10"/>
  <c r="I887" i="10" s="1"/>
  <c r="H875" i="10"/>
  <c r="I875" i="10" s="1"/>
  <c r="B902" i="10"/>
  <c r="F902" i="10"/>
  <c r="G902" i="10" s="1"/>
  <c r="H902" i="10"/>
  <c r="I902" i="10" s="1"/>
  <c r="B890" i="10"/>
  <c r="F890" i="10"/>
  <c r="G890" i="10" s="1"/>
  <c r="H890" i="10"/>
  <c r="I890" i="10" s="1"/>
  <c r="B878" i="10"/>
  <c r="F878" i="10"/>
  <c r="G878" i="10" s="1"/>
  <c r="H878" i="10"/>
  <c r="I878" i="10" s="1"/>
  <c r="F875" i="10"/>
  <c r="G875" i="10" s="1"/>
  <c r="B866" i="10"/>
  <c r="F866" i="10"/>
  <c r="G866" i="10" s="1"/>
  <c r="H866" i="10"/>
  <c r="I866" i="10" s="1"/>
  <c r="F860" i="10"/>
  <c r="G860" i="10" s="1"/>
  <c r="H860" i="10"/>
  <c r="I860" i="10" s="1"/>
  <c r="B860" i="10"/>
  <c r="H945" i="10"/>
  <c r="I945" i="10" s="1"/>
  <c r="B921" i="10"/>
  <c r="F921" i="10"/>
  <c r="G921" i="10" s="1"/>
  <c r="B909" i="10"/>
  <c r="F909" i="10"/>
  <c r="G909" i="10" s="1"/>
  <c r="B897" i="10"/>
  <c r="F897" i="10"/>
  <c r="G897" i="10" s="1"/>
  <c r="B885" i="10"/>
  <c r="F885" i="10"/>
  <c r="G885" i="10" s="1"/>
  <c r="B873" i="10"/>
  <c r="F873" i="10"/>
  <c r="G873" i="10" s="1"/>
  <c r="B863" i="10"/>
  <c r="F863" i="10"/>
  <c r="G863" i="10" s="1"/>
  <c r="B958" i="10"/>
  <c r="H948" i="10"/>
  <c r="I948" i="10" s="1"/>
  <c r="H947" i="10"/>
  <c r="I947" i="10" s="1"/>
  <c r="F946" i="10"/>
  <c r="G946" i="10" s="1"/>
  <c r="F945" i="10"/>
  <c r="G945" i="10" s="1"/>
  <c r="H935" i="10"/>
  <c r="I935" i="10" s="1"/>
  <c r="B934" i="10"/>
  <c r="F916" i="10"/>
  <c r="G916" i="10" s="1"/>
  <c r="B916" i="10"/>
  <c r="F904" i="10"/>
  <c r="G904" i="10" s="1"/>
  <c r="B904" i="10"/>
  <c r="F892" i="10"/>
  <c r="G892" i="10" s="1"/>
  <c r="B892" i="10"/>
  <c r="F880" i="10"/>
  <c r="G880" i="10" s="1"/>
  <c r="B880" i="10"/>
  <c r="F868" i="10"/>
  <c r="G868" i="10" s="1"/>
  <c r="B868" i="10"/>
  <c r="H960" i="10"/>
  <c r="I960" i="10" s="1"/>
  <c r="H959" i="10"/>
  <c r="I959" i="10" s="1"/>
  <c r="F958" i="10"/>
  <c r="G958" i="10" s="1"/>
  <c r="B859" i="10"/>
  <c r="F859" i="10"/>
  <c r="G859" i="10" s="1"/>
  <c r="H859" i="10"/>
  <c r="I859" i="10" s="1"/>
  <c r="H929" i="10"/>
  <c r="I929" i="10" s="1"/>
  <c r="B894" i="10"/>
  <c r="F894" i="10"/>
  <c r="G894" i="10" s="1"/>
  <c r="H894" i="10"/>
  <c r="I894" i="10" s="1"/>
  <c r="B882" i="10"/>
  <c r="F882" i="10"/>
  <c r="G882" i="10" s="1"/>
  <c r="H882" i="10"/>
  <c r="I882" i="10" s="1"/>
  <c r="B870" i="10"/>
  <c r="F870" i="10"/>
  <c r="G870" i="10" s="1"/>
  <c r="H870" i="10"/>
  <c r="I870" i="10" s="1"/>
  <c r="B914" i="10"/>
  <c r="F914" i="10"/>
  <c r="G914" i="10" s="1"/>
  <c r="H914" i="10"/>
  <c r="I914" i="10" s="1"/>
  <c r="H932" i="10"/>
  <c r="I932" i="10" s="1"/>
  <c r="H961" i="10"/>
  <c r="I961" i="10" s="1"/>
  <c r="F959" i="10"/>
  <c r="G959" i="10" s="1"/>
  <c r="H949" i="10"/>
  <c r="I949" i="10" s="1"/>
  <c r="F947" i="10"/>
  <c r="G947" i="10" s="1"/>
  <c r="B918" i="10"/>
  <c r="F918" i="10"/>
  <c r="G918" i="10" s="1"/>
  <c r="H918" i="10"/>
  <c r="I918" i="10" s="1"/>
  <c r="B906" i="10"/>
  <c r="F906" i="10"/>
  <c r="G906" i="10" s="1"/>
  <c r="H906" i="10"/>
  <c r="I906" i="10" s="1"/>
  <c r="H940" i="10"/>
  <c r="I940" i="10" s="1"/>
  <c r="B935" i="10"/>
  <c r="H926" i="10"/>
  <c r="I926" i="10" s="1"/>
  <c r="H917" i="10"/>
  <c r="I917" i="10" s="1"/>
  <c r="H905" i="10"/>
  <c r="I905" i="10" s="1"/>
  <c r="H893" i="10"/>
  <c r="I893" i="10" s="1"/>
  <c r="H881" i="10"/>
  <c r="I881" i="10" s="1"/>
  <c r="H869" i="10"/>
  <c r="I869" i="10" s="1"/>
  <c r="B865" i="10"/>
  <c r="F865" i="10"/>
  <c r="G865" i="10" s="1"/>
  <c r="B862" i="10"/>
  <c r="F862" i="10"/>
  <c r="G862" i="10" s="1"/>
  <c r="H862" i="10"/>
  <c r="I862" i="10" s="1"/>
  <c r="F908" i="10"/>
  <c r="G908" i="10" s="1"/>
  <c r="H908" i="10"/>
  <c r="I908" i="10" s="1"/>
  <c r="B908" i="10"/>
  <c r="F896" i="10"/>
  <c r="G896" i="10" s="1"/>
  <c r="H896" i="10"/>
  <c r="I896" i="10" s="1"/>
  <c r="B896" i="10"/>
  <c r="F884" i="10"/>
  <c r="G884" i="10" s="1"/>
  <c r="H884" i="10"/>
  <c r="I884" i="10" s="1"/>
  <c r="B884" i="10"/>
  <c r="F881" i="10"/>
  <c r="G881" i="10" s="1"/>
  <c r="F872" i="10"/>
  <c r="G872" i="10" s="1"/>
  <c r="H872" i="10"/>
  <c r="I872" i="10" s="1"/>
  <c r="B872" i="10"/>
  <c r="F869" i="10"/>
  <c r="G869" i="10" s="1"/>
  <c r="L861" i="10"/>
  <c r="J861" i="10"/>
  <c r="L855" i="10"/>
  <c r="J855" i="10"/>
  <c r="F920" i="10"/>
  <c r="G920" i="10" s="1"/>
  <c r="H920" i="10"/>
  <c r="I920" i="10" s="1"/>
  <c r="B920" i="10"/>
  <c r="H941" i="10"/>
  <c r="I941" i="10" s="1"/>
  <c r="B929" i="10"/>
  <c r="B915" i="10"/>
  <c r="F915" i="10"/>
  <c r="G915" i="10" s="1"/>
  <c r="B903" i="10"/>
  <c r="F903" i="10"/>
  <c r="G903" i="10" s="1"/>
  <c r="B891" i="10"/>
  <c r="F891" i="10"/>
  <c r="G891" i="10" s="1"/>
  <c r="B879" i="10"/>
  <c r="F879" i="10"/>
  <c r="G879" i="10" s="1"/>
  <c r="B867" i="10"/>
  <c r="F867" i="10"/>
  <c r="G867" i="10" s="1"/>
  <c r="H930" i="10"/>
  <c r="I930" i="10" s="1"/>
  <c r="B926" i="10"/>
  <c r="B922" i="10"/>
  <c r="F922" i="10"/>
  <c r="G922" i="10" s="1"/>
  <c r="B910" i="10"/>
  <c r="F910" i="10"/>
  <c r="G910" i="10" s="1"/>
  <c r="B898" i="10"/>
  <c r="F898" i="10"/>
  <c r="G898" i="10" s="1"/>
  <c r="B886" i="10"/>
  <c r="F886" i="10"/>
  <c r="G886" i="10" s="1"/>
  <c r="B874" i="10"/>
  <c r="F874" i="10"/>
  <c r="G874" i="10" s="1"/>
  <c r="F864" i="10"/>
  <c r="G864" i="10" s="1"/>
  <c r="H864" i="10"/>
  <c r="I864" i="10" s="1"/>
  <c r="B864" i="10"/>
  <c r="B861" i="10"/>
  <c r="F861" i="10"/>
  <c r="G861" i="10" s="1"/>
  <c r="H921" i="10"/>
  <c r="I921" i="10" s="1"/>
  <c r="F888" i="10"/>
  <c r="G888" i="10" s="1"/>
  <c r="H888" i="10"/>
  <c r="I888" i="10" s="1"/>
  <c r="B888" i="10"/>
  <c r="H885" i="10"/>
  <c r="I885" i="10" s="1"/>
  <c r="F876" i="10"/>
  <c r="G876" i="10" s="1"/>
  <c r="H876" i="10"/>
  <c r="I876" i="10" s="1"/>
  <c r="B876" i="10"/>
  <c r="H873" i="10"/>
  <c r="I873" i="10" s="1"/>
  <c r="H863" i="10"/>
  <c r="I863" i="10" s="1"/>
  <c r="J858" i="10"/>
  <c r="B855" i="10"/>
  <c r="F855" i="10"/>
  <c r="G855" i="10" s="1"/>
  <c r="H856" i="10"/>
  <c r="I856" i="10" s="1"/>
  <c r="F856" i="10"/>
  <c r="G856" i="10" s="1"/>
  <c r="B854" i="10"/>
  <c r="F854" i="10"/>
  <c r="G854" i="10" s="1"/>
  <c r="H854" i="10"/>
  <c r="I854" i="10" s="1"/>
  <c r="F846" i="10"/>
  <c r="G846" i="10" s="1"/>
  <c r="H846" i="10"/>
  <c r="I846" i="10" s="1"/>
  <c r="B846" i="10"/>
  <c r="B850" i="10"/>
  <c r="H850" i="10"/>
  <c r="I850" i="10" s="1"/>
  <c r="F850" i="10"/>
  <c r="G850" i="10" s="1"/>
  <c r="F853" i="10"/>
  <c r="G853" i="10" s="1"/>
  <c r="H853" i="10"/>
  <c r="I853" i="10" s="1"/>
  <c r="B853" i="10"/>
  <c r="B849" i="10"/>
  <c r="F849" i="10"/>
  <c r="G849" i="10" s="1"/>
  <c r="H849" i="10"/>
  <c r="I849" i="10" s="1"/>
  <c r="H845" i="10"/>
  <c r="I845" i="10" s="1"/>
  <c r="B845" i="10"/>
  <c r="F845" i="10"/>
  <c r="G845" i="10" s="1"/>
  <c r="H852" i="10"/>
  <c r="I852" i="10" s="1"/>
  <c r="F852" i="10"/>
  <c r="G852" i="10" s="1"/>
  <c r="B852" i="10"/>
  <c r="B848" i="10"/>
  <c r="F848" i="10"/>
  <c r="G848" i="10" s="1"/>
  <c r="H848" i="10"/>
  <c r="I848" i="10" s="1"/>
  <c r="B844" i="10"/>
  <c r="F844" i="10"/>
  <c r="G844" i="10" s="1"/>
  <c r="H844" i="10"/>
  <c r="I844" i="10" s="1"/>
  <c r="B843" i="10"/>
  <c r="F843" i="10"/>
  <c r="G843" i="10" s="1"/>
  <c r="H843" i="10"/>
  <c r="I843" i="10" s="1"/>
  <c r="H851" i="10"/>
  <c r="I851" i="10" s="1"/>
  <c r="B851" i="10"/>
  <c r="F851" i="10"/>
  <c r="G851" i="10" s="1"/>
  <c r="F847" i="10"/>
  <c r="G847" i="10" s="1"/>
  <c r="H847" i="10"/>
  <c r="I847" i="10" s="1"/>
  <c r="B847" i="10"/>
  <c r="B842" i="10"/>
  <c r="F842" i="10"/>
  <c r="G842" i="10" s="1"/>
  <c r="H842" i="10"/>
  <c r="I842" i="10" s="1"/>
  <c r="H784" i="10"/>
  <c r="I784" i="10" s="1"/>
  <c r="F784" i="10"/>
  <c r="G784" i="10" s="1"/>
  <c r="F779" i="10"/>
  <c r="G779" i="10" s="1"/>
  <c r="H779" i="10"/>
  <c r="I779" i="10" s="1"/>
  <c r="J779" i="10" s="1"/>
  <c r="B779" i="10"/>
  <c r="F641" i="10"/>
  <c r="G641" i="10" s="1"/>
  <c r="H689" i="10"/>
  <c r="I689" i="10" s="1"/>
  <c r="L689" i="10" s="1"/>
  <c r="B422" i="10"/>
  <c r="H816" i="10"/>
  <c r="I816" i="10" s="1"/>
  <c r="J816" i="10" s="1"/>
  <c r="H807" i="10"/>
  <c r="I807" i="10" s="1"/>
  <c r="J807" i="10" s="1"/>
  <c r="H765" i="10"/>
  <c r="I765" i="10" s="1"/>
  <c r="L765" i="10" s="1"/>
  <c r="H789" i="10"/>
  <c r="I789" i="10" s="1"/>
  <c r="J789" i="10" s="1"/>
  <c r="F666" i="10"/>
  <c r="G666" i="10" s="1"/>
  <c r="H690" i="10"/>
  <c r="I690" i="10" s="1"/>
  <c r="L690" i="10" s="1"/>
  <c r="B767" i="10"/>
  <c r="F690" i="10"/>
  <c r="G690" i="10" s="1"/>
  <c r="B487" i="10"/>
  <c r="B419" i="10"/>
  <c r="H638" i="10"/>
  <c r="I638" i="10" s="1"/>
  <c r="L638" i="10" s="1"/>
  <c r="B801" i="10"/>
  <c r="F722" i="10"/>
  <c r="G722" i="10" s="1"/>
  <c r="B712" i="10"/>
  <c r="H422" i="10"/>
  <c r="I422" i="10" s="1"/>
  <c r="L422" i="10" s="1"/>
  <c r="H833" i="10"/>
  <c r="I833" i="10" s="1"/>
  <c r="L833" i="10" s="1"/>
  <c r="B833" i="10"/>
  <c r="J768" i="10"/>
  <c r="L768" i="10"/>
  <c r="F810" i="10"/>
  <c r="G810" i="10" s="1"/>
  <c r="B810" i="10"/>
  <c r="B793" i="10"/>
  <c r="H793" i="10"/>
  <c r="I793" i="10" s="1"/>
  <c r="J793" i="10" s="1"/>
  <c r="F412" i="10"/>
  <c r="G412" i="10" s="1"/>
  <c r="B830" i="10"/>
  <c r="B760" i="10"/>
  <c r="H423" i="10"/>
  <c r="I423" i="10" s="1"/>
  <c r="J423" i="10" s="1"/>
  <c r="B412" i="10"/>
  <c r="F654" i="10"/>
  <c r="G654" i="10" s="1"/>
  <c r="H435" i="10"/>
  <c r="I435" i="10" s="1"/>
  <c r="H795" i="10"/>
  <c r="I795" i="10" s="1"/>
  <c r="J795" i="10" s="1"/>
  <c r="B475" i="10"/>
  <c r="F414" i="10"/>
  <c r="G414" i="10" s="1"/>
  <c r="H411" i="10"/>
  <c r="I411" i="10" s="1"/>
  <c r="L411" i="10" s="1"/>
  <c r="F795" i="10"/>
  <c r="G795" i="10" s="1"/>
  <c r="H500" i="10"/>
  <c r="I500" i="10" s="1"/>
  <c r="F821" i="10"/>
  <c r="G821" i="10" s="1"/>
  <c r="F417" i="10"/>
  <c r="G417" i="10" s="1"/>
  <c r="H771" i="10"/>
  <c r="I771" i="10" s="1"/>
  <c r="J771" i="10" s="1"/>
  <c r="H487" i="10"/>
  <c r="I487" i="10" s="1"/>
  <c r="L487" i="10" s="1"/>
  <c r="H641" i="10"/>
  <c r="I641" i="10" s="1"/>
  <c r="L641" i="10" s="1"/>
  <c r="B821" i="10"/>
  <c r="B798" i="10"/>
  <c r="H429" i="10"/>
  <c r="I429" i="10" s="1"/>
  <c r="L429" i="10" s="1"/>
  <c r="B594" i="10"/>
  <c r="F589" i="10"/>
  <c r="G589" i="10" s="1"/>
  <c r="B638" i="10"/>
  <c r="J716" i="10"/>
  <c r="J643" i="10"/>
  <c r="J783" i="10"/>
  <c r="J725" i="10"/>
  <c r="F838" i="10"/>
  <c r="G838" i="10" s="1"/>
  <c r="B838" i="10"/>
  <c r="H838" i="10"/>
  <c r="I838" i="10" s="1"/>
  <c r="J817" i="10"/>
  <c r="L817" i="10"/>
  <c r="B827" i="10"/>
  <c r="F827" i="10"/>
  <c r="G827" i="10" s="1"/>
  <c r="H827" i="10"/>
  <c r="I827" i="10" s="1"/>
  <c r="B823" i="10"/>
  <c r="F823" i="10"/>
  <c r="G823" i="10" s="1"/>
  <c r="H823" i="10"/>
  <c r="I823" i="10" s="1"/>
  <c r="J826" i="10"/>
  <c r="H836" i="10"/>
  <c r="I836" i="10" s="1"/>
  <c r="F836" i="10"/>
  <c r="G836" i="10" s="1"/>
  <c r="B836" i="10"/>
  <c r="J822" i="10"/>
  <c r="L822" i="10"/>
  <c r="F835" i="10"/>
  <c r="G835" i="10" s="1"/>
  <c r="B835" i="10"/>
  <c r="H835" i="10"/>
  <c r="I835" i="10" s="1"/>
  <c r="H839" i="10"/>
  <c r="I839" i="10" s="1"/>
  <c r="F839" i="10"/>
  <c r="G839" i="10" s="1"/>
  <c r="B839" i="10"/>
  <c r="J799" i="10"/>
  <c r="L799" i="10"/>
  <c r="F815" i="10"/>
  <c r="G815" i="10" s="1"/>
  <c r="B815" i="10"/>
  <c r="B805" i="10"/>
  <c r="F805" i="10"/>
  <c r="G805" i="10" s="1"/>
  <c r="F803" i="10"/>
  <c r="G803" i="10" s="1"/>
  <c r="H803" i="10"/>
  <c r="I803" i="10" s="1"/>
  <c r="B803" i="10"/>
  <c r="L829" i="10"/>
  <c r="H828" i="10"/>
  <c r="I828" i="10" s="1"/>
  <c r="H824" i="10"/>
  <c r="I824" i="10" s="1"/>
  <c r="H820" i="10"/>
  <c r="I820" i="10" s="1"/>
  <c r="B811" i="10"/>
  <c r="F811" i="10"/>
  <c r="G811" i="10" s="1"/>
  <c r="B809" i="10"/>
  <c r="H809" i="10"/>
  <c r="I809" i="10" s="1"/>
  <c r="B794" i="10"/>
  <c r="H794" i="10"/>
  <c r="I794" i="10" s="1"/>
  <c r="B780" i="10"/>
  <c r="F780" i="10"/>
  <c r="G780" i="10" s="1"/>
  <c r="H780" i="10"/>
  <c r="I780" i="10" s="1"/>
  <c r="F824" i="10"/>
  <c r="G824" i="10" s="1"/>
  <c r="B819" i="10"/>
  <c r="F819" i="10"/>
  <c r="G819" i="10" s="1"/>
  <c r="F813" i="10"/>
  <c r="G813" i="10" s="1"/>
  <c r="H813" i="10"/>
  <c r="I813" i="10" s="1"/>
  <c r="B772" i="10"/>
  <c r="F772" i="10"/>
  <c r="G772" i="10" s="1"/>
  <c r="H772" i="10"/>
  <c r="I772" i="10" s="1"/>
  <c r="H800" i="10"/>
  <c r="I800" i="10" s="1"/>
  <c r="B800" i="10"/>
  <c r="F791" i="10"/>
  <c r="G791" i="10" s="1"/>
  <c r="H791" i="10"/>
  <c r="I791" i="10" s="1"/>
  <c r="B791" i="10"/>
  <c r="F820" i="10"/>
  <c r="G820" i="10" s="1"/>
  <c r="H830" i="10"/>
  <c r="I830" i="10" s="1"/>
  <c r="H825" i="10"/>
  <c r="I825" i="10" s="1"/>
  <c r="J821" i="10"/>
  <c r="B816" i="10"/>
  <c r="F802" i="10"/>
  <c r="G802" i="10" s="1"/>
  <c r="H802" i="10"/>
  <c r="I802" i="10" s="1"/>
  <c r="B802" i="10"/>
  <c r="L761" i="10"/>
  <c r="J761" i="10"/>
  <c r="H831" i="10"/>
  <c r="I831" i="10" s="1"/>
  <c r="B828" i="10"/>
  <c r="H776" i="10"/>
  <c r="I776" i="10" s="1"/>
  <c r="F776" i="10"/>
  <c r="G776" i="10" s="1"/>
  <c r="B776" i="10"/>
  <c r="L755" i="10"/>
  <c r="J755" i="10"/>
  <c r="H818" i="10"/>
  <c r="I818" i="10" s="1"/>
  <c r="B808" i="10"/>
  <c r="F808" i="10"/>
  <c r="G808" i="10" s="1"/>
  <c r="H808" i="10"/>
  <c r="I808" i="10" s="1"/>
  <c r="B797" i="10"/>
  <c r="H797" i="10"/>
  <c r="I797" i="10" s="1"/>
  <c r="H788" i="10"/>
  <c r="I788" i="10" s="1"/>
  <c r="B788" i="10"/>
  <c r="F788" i="10"/>
  <c r="G788" i="10" s="1"/>
  <c r="H841" i="10"/>
  <c r="I841" i="10" s="1"/>
  <c r="H840" i="10"/>
  <c r="I840" i="10" s="1"/>
  <c r="H837" i="10"/>
  <c r="I837" i="10" s="1"/>
  <c r="H834" i="10"/>
  <c r="I834" i="10" s="1"/>
  <c r="H832" i="10"/>
  <c r="I832" i="10" s="1"/>
  <c r="B829" i="10"/>
  <c r="F829" i="10"/>
  <c r="G829" i="10" s="1"/>
  <c r="F822" i="10"/>
  <c r="G822" i="10" s="1"/>
  <c r="F818" i="10"/>
  <c r="G818" i="10" s="1"/>
  <c r="B817" i="10"/>
  <c r="F817" i="10"/>
  <c r="G817" i="10" s="1"/>
  <c r="H814" i="10"/>
  <c r="I814" i="10" s="1"/>
  <c r="B814" i="10"/>
  <c r="B806" i="10"/>
  <c r="H806" i="10"/>
  <c r="I806" i="10" s="1"/>
  <c r="B799" i="10"/>
  <c r="F799" i="10"/>
  <c r="G799" i="10" s="1"/>
  <c r="H775" i="10"/>
  <c r="I775" i="10" s="1"/>
  <c r="B775" i="10"/>
  <c r="F775" i="10"/>
  <c r="G775" i="10" s="1"/>
  <c r="B841" i="10"/>
  <c r="B840" i="10"/>
  <c r="B837" i="10"/>
  <c r="B834" i="10"/>
  <c r="F833" i="10"/>
  <c r="G833" i="10" s="1"/>
  <c r="F826" i="10"/>
  <c r="G826" i="10" s="1"/>
  <c r="B825" i="10"/>
  <c r="H812" i="10"/>
  <c r="I812" i="10" s="1"/>
  <c r="B812" i="10"/>
  <c r="F804" i="10"/>
  <c r="G804" i="10" s="1"/>
  <c r="H804" i="10"/>
  <c r="I804" i="10" s="1"/>
  <c r="B787" i="10"/>
  <c r="F787" i="10"/>
  <c r="G787" i="10" s="1"/>
  <c r="H787" i="10"/>
  <c r="I787" i="10" s="1"/>
  <c r="F770" i="10"/>
  <c r="G770" i="10" s="1"/>
  <c r="B770" i="10"/>
  <c r="H770" i="10"/>
  <c r="I770" i="10" s="1"/>
  <c r="J767" i="10"/>
  <c r="F832" i="10"/>
  <c r="G832" i="10" s="1"/>
  <c r="H819" i="10"/>
  <c r="I819" i="10" s="1"/>
  <c r="H815" i="10"/>
  <c r="I815" i="10" s="1"/>
  <c r="H805" i="10"/>
  <c r="I805" i="10" s="1"/>
  <c r="H774" i="10"/>
  <c r="I774" i="10" s="1"/>
  <c r="B774" i="10"/>
  <c r="F774" i="10"/>
  <c r="G774" i="10" s="1"/>
  <c r="B831" i="10"/>
  <c r="H811" i="10"/>
  <c r="I811" i="10" s="1"/>
  <c r="B786" i="10"/>
  <c r="F786" i="10"/>
  <c r="G786" i="10" s="1"/>
  <c r="H786" i="10"/>
  <c r="I786" i="10" s="1"/>
  <c r="L781" i="10"/>
  <c r="J781" i="10"/>
  <c r="B826" i="10"/>
  <c r="B822" i="10"/>
  <c r="F809" i="10"/>
  <c r="G809" i="10" s="1"/>
  <c r="B796" i="10"/>
  <c r="F796" i="10"/>
  <c r="G796" i="10" s="1"/>
  <c r="H796" i="10"/>
  <c r="I796" i="10" s="1"/>
  <c r="F792" i="10"/>
  <c r="G792" i="10" s="1"/>
  <c r="H792" i="10"/>
  <c r="I792" i="10" s="1"/>
  <c r="B792" i="10"/>
  <c r="F769" i="10"/>
  <c r="G769" i="10" s="1"/>
  <c r="B769" i="10"/>
  <c r="H769" i="10"/>
  <c r="I769" i="10" s="1"/>
  <c r="L757" i="10"/>
  <c r="J757" i="10"/>
  <c r="B748" i="10"/>
  <c r="F748" i="10"/>
  <c r="G748" i="10" s="1"/>
  <c r="H748" i="10"/>
  <c r="I748" i="10" s="1"/>
  <c r="F739" i="10"/>
  <c r="G739" i="10" s="1"/>
  <c r="H739" i="10"/>
  <c r="I739" i="10" s="1"/>
  <c r="B739" i="10"/>
  <c r="B736" i="10"/>
  <c r="F736" i="10"/>
  <c r="G736" i="10" s="1"/>
  <c r="H736" i="10"/>
  <c r="I736" i="10" s="1"/>
  <c r="H810" i="10"/>
  <c r="I810" i="10" s="1"/>
  <c r="H798" i="10"/>
  <c r="I798" i="10" s="1"/>
  <c r="F782" i="10"/>
  <c r="G782" i="10" s="1"/>
  <c r="F781" i="10"/>
  <c r="G781" i="10" s="1"/>
  <c r="B773" i="10"/>
  <c r="H763" i="10"/>
  <c r="I763" i="10" s="1"/>
  <c r="F745" i="10"/>
  <c r="G745" i="10" s="1"/>
  <c r="B745" i="10"/>
  <c r="J742" i="10"/>
  <c r="L742" i="10"/>
  <c r="B790" i="10"/>
  <c r="B753" i="10"/>
  <c r="H753" i="10"/>
  <c r="I753" i="10" s="1"/>
  <c r="F721" i="10"/>
  <c r="G721" i="10" s="1"/>
  <c r="B721" i="10"/>
  <c r="H721" i="10"/>
  <c r="I721" i="10" s="1"/>
  <c r="B703" i="10"/>
  <c r="F703" i="10"/>
  <c r="G703" i="10" s="1"/>
  <c r="H703" i="10"/>
  <c r="I703" i="10" s="1"/>
  <c r="L699" i="10"/>
  <c r="J699" i="10"/>
  <c r="B785" i="10"/>
  <c r="B784" i="10"/>
  <c r="B781" i="10"/>
  <c r="F771" i="10"/>
  <c r="G771" i="10" s="1"/>
  <c r="F757" i="10"/>
  <c r="G757" i="10" s="1"/>
  <c r="B757" i="10"/>
  <c r="J731" i="10"/>
  <c r="F807" i="10"/>
  <c r="G807" i="10" s="1"/>
  <c r="H777" i="10"/>
  <c r="I777" i="10" s="1"/>
  <c r="H766" i="10"/>
  <c r="I766" i="10" s="1"/>
  <c r="B763" i="10"/>
  <c r="F761" i="10"/>
  <c r="G761" i="10" s="1"/>
  <c r="B761" i="10"/>
  <c r="L749" i="10"/>
  <c r="J749" i="10"/>
  <c r="B741" i="10"/>
  <c r="F741" i="10"/>
  <c r="G741" i="10" s="1"/>
  <c r="H741" i="10"/>
  <c r="I741" i="10" s="1"/>
  <c r="L706" i="10"/>
  <c r="J706" i="10"/>
  <c r="F777" i="10"/>
  <c r="G777" i="10" s="1"/>
  <c r="B759" i="10"/>
  <c r="H759" i="10"/>
  <c r="I759" i="10" s="1"/>
  <c r="H752" i="10"/>
  <c r="I752" i="10" s="1"/>
  <c r="B752" i="10"/>
  <c r="F752" i="10"/>
  <c r="G752" i="10" s="1"/>
  <c r="L743" i="10"/>
  <c r="J743" i="10"/>
  <c r="L737" i="10"/>
  <c r="J737" i="10"/>
  <c r="H734" i="10"/>
  <c r="I734" i="10" s="1"/>
  <c r="F734" i="10"/>
  <c r="G734" i="10" s="1"/>
  <c r="B734" i="10"/>
  <c r="F727" i="10"/>
  <c r="G727" i="10" s="1"/>
  <c r="H727" i="10"/>
  <c r="I727" i="10" s="1"/>
  <c r="B727" i="10"/>
  <c r="H778" i="10"/>
  <c r="I778" i="10" s="1"/>
  <c r="J760" i="10"/>
  <c r="L751" i="10"/>
  <c r="J751" i="10"/>
  <c r="L713" i="10"/>
  <c r="J713" i="10"/>
  <c r="F793" i="10"/>
  <c r="G793" i="10" s="1"/>
  <c r="H790" i="10"/>
  <c r="I790" i="10" s="1"/>
  <c r="H773" i="10"/>
  <c r="I773" i="10" s="1"/>
  <c r="H764" i="10"/>
  <c r="I764" i="10" s="1"/>
  <c r="H746" i="10"/>
  <c r="I746" i="10" s="1"/>
  <c r="B746" i="10"/>
  <c r="F746" i="10"/>
  <c r="G746" i="10" s="1"/>
  <c r="H740" i="10"/>
  <c r="I740" i="10" s="1"/>
  <c r="B740" i="10"/>
  <c r="F740" i="10"/>
  <c r="G740" i="10" s="1"/>
  <c r="B709" i="10"/>
  <c r="F709" i="10"/>
  <c r="G709" i="10" s="1"/>
  <c r="H709" i="10"/>
  <c r="I709" i="10" s="1"/>
  <c r="L693" i="10"/>
  <c r="J693" i="10"/>
  <c r="H801" i="10"/>
  <c r="I801" i="10" s="1"/>
  <c r="B766" i="10"/>
  <c r="F764" i="10"/>
  <c r="G764" i="10" s="1"/>
  <c r="F760" i="10"/>
  <c r="G760" i="10" s="1"/>
  <c r="F754" i="10"/>
  <c r="G754" i="10" s="1"/>
  <c r="H754" i="10"/>
  <c r="I754" i="10" s="1"/>
  <c r="H745" i="10"/>
  <c r="I745" i="10" s="1"/>
  <c r="J719" i="10"/>
  <c r="F767" i="10"/>
  <c r="G767" i="10" s="1"/>
  <c r="F733" i="10"/>
  <c r="G733" i="10" s="1"/>
  <c r="B733" i="10"/>
  <c r="H733" i="10"/>
  <c r="I733" i="10" s="1"/>
  <c r="H785" i="10"/>
  <c r="I785" i="10" s="1"/>
  <c r="H782" i="10"/>
  <c r="I782" i="10" s="1"/>
  <c r="B778" i="10"/>
  <c r="H762" i="10"/>
  <c r="I762" i="10" s="1"/>
  <c r="F762" i="10"/>
  <c r="G762" i="10" s="1"/>
  <c r="B762" i="10"/>
  <c r="H758" i="10"/>
  <c r="I758" i="10" s="1"/>
  <c r="B758" i="10"/>
  <c r="F753" i="10"/>
  <c r="G753" i="10" s="1"/>
  <c r="F751" i="10"/>
  <c r="G751" i="10" s="1"/>
  <c r="B751" i="10"/>
  <c r="F749" i="10"/>
  <c r="G749" i="10" s="1"/>
  <c r="B749" i="10"/>
  <c r="H747" i="10"/>
  <c r="I747" i="10" s="1"/>
  <c r="H744" i="10"/>
  <c r="I744" i="10" s="1"/>
  <c r="B744" i="10"/>
  <c r="F742" i="10"/>
  <c r="G742" i="10" s="1"/>
  <c r="H730" i="10"/>
  <c r="I730" i="10" s="1"/>
  <c r="B724" i="10"/>
  <c r="F717" i="10"/>
  <c r="G717" i="10" s="1"/>
  <c r="H715" i="10"/>
  <c r="I715" i="10" s="1"/>
  <c r="B705" i="10"/>
  <c r="F705" i="10"/>
  <c r="G705" i="10" s="1"/>
  <c r="J697" i="10"/>
  <c r="F700" i="10"/>
  <c r="G700" i="10" s="1"/>
  <c r="B700" i="10"/>
  <c r="B695" i="10"/>
  <c r="F695" i="10"/>
  <c r="G695" i="10" s="1"/>
  <c r="F737" i="10"/>
  <c r="G737" i="10" s="1"/>
  <c r="B737" i="10"/>
  <c r="H735" i="10"/>
  <c r="I735" i="10" s="1"/>
  <c r="H732" i="10"/>
  <c r="I732" i="10" s="1"/>
  <c r="B732" i="10"/>
  <c r="F730" i="10"/>
  <c r="G730" i="10" s="1"/>
  <c r="B722" i="10"/>
  <c r="H718" i="10"/>
  <c r="I718" i="10" s="1"/>
  <c r="H711" i="10"/>
  <c r="I711" i="10" s="1"/>
  <c r="F692" i="10"/>
  <c r="G692" i="10" s="1"/>
  <c r="H692" i="10"/>
  <c r="I692" i="10" s="1"/>
  <c r="B692" i="10"/>
  <c r="B742" i="10"/>
  <c r="F735" i="10"/>
  <c r="G735" i="10" s="1"/>
  <c r="J728" i="10"/>
  <c r="F711" i="10"/>
  <c r="G711" i="10" s="1"/>
  <c r="B702" i="10"/>
  <c r="F702" i="10"/>
  <c r="G702" i="10" s="1"/>
  <c r="H702" i="10"/>
  <c r="I702" i="10" s="1"/>
  <c r="L694" i="10"/>
  <c r="J694" i="10"/>
  <c r="F728" i="10"/>
  <c r="G728" i="10" s="1"/>
  <c r="F725" i="10"/>
  <c r="G725" i="10" s="1"/>
  <c r="B725" i="10"/>
  <c r="H723" i="10"/>
  <c r="I723" i="10" s="1"/>
  <c r="H720" i="10"/>
  <c r="I720" i="10" s="1"/>
  <c r="B720" i="10"/>
  <c r="F718" i="10"/>
  <c r="G718" i="10" s="1"/>
  <c r="B715" i="10"/>
  <c r="H701" i="10"/>
  <c r="I701" i="10" s="1"/>
  <c r="B697" i="10"/>
  <c r="F697" i="10"/>
  <c r="G697" i="10" s="1"/>
  <c r="F755" i="10"/>
  <c r="G755" i="10" s="1"/>
  <c r="B755" i="10"/>
  <c r="H750" i="10"/>
  <c r="I750" i="10" s="1"/>
  <c r="B750" i="10"/>
  <c r="F723" i="10"/>
  <c r="G723" i="10" s="1"/>
  <c r="F713" i="10"/>
  <c r="G713" i="10" s="1"/>
  <c r="B713" i="10"/>
  <c r="F704" i="10"/>
  <c r="G704" i="10" s="1"/>
  <c r="H704" i="10"/>
  <c r="I704" i="10" s="1"/>
  <c r="B704" i="10"/>
  <c r="F701" i="10"/>
  <c r="G701" i="10" s="1"/>
  <c r="B691" i="10"/>
  <c r="F691" i="10"/>
  <c r="G691" i="10" s="1"/>
  <c r="H691" i="10"/>
  <c r="I691" i="10" s="1"/>
  <c r="B699" i="10"/>
  <c r="F699" i="10"/>
  <c r="G699" i="10" s="1"/>
  <c r="B694" i="10"/>
  <c r="F694" i="10"/>
  <c r="G694" i="10" s="1"/>
  <c r="B688" i="10"/>
  <c r="F688" i="10"/>
  <c r="G688" i="10" s="1"/>
  <c r="H688" i="10"/>
  <c r="I688" i="10" s="1"/>
  <c r="F743" i="10"/>
  <c r="G743" i="10" s="1"/>
  <c r="B743" i="10"/>
  <c r="H738" i="10"/>
  <c r="I738" i="10" s="1"/>
  <c r="B738" i="10"/>
  <c r="B728" i="10"/>
  <c r="H724" i="10"/>
  <c r="I724" i="10" s="1"/>
  <c r="H712" i="10"/>
  <c r="I712" i="10" s="1"/>
  <c r="B706" i="10"/>
  <c r="F706" i="10"/>
  <c r="G706" i="10" s="1"/>
  <c r="L687" i="10"/>
  <c r="J687" i="10"/>
  <c r="F731" i="10"/>
  <c r="G731" i="10" s="1"/>
  <c r="B731" i="10"/>
  <c r="H729" i="10"/>
  <c r="I729" i="10" s="1"/>
  <c r="H726" i="10"/>
  <c r="I726" i="10" s="1"/>
  <c r="B726" i="10"/>
  <c r="F708" i="10"/>
  <c r="G708" i="10" s="1"/>
  <c r="H708" i="10"/>
  <c r="I708" i="10" s="1"/>
  <c r="B708" i="10"/>
  <c r="H705" i="10"/>
  <c r="I705" i="10" s="1"/>
  <c r="F696" i="10"/>
  <c r="G696" i="10" s="1"/>
  <c r="H696" i="10"/>
  <c r="I696" i="10" s="1"/>
  <c r="B696" i="10"/>
  <c r="F768" i="10"/>
  <c r="G768" i="10" s="1"/>
  <c r="B768" i="10"/>
  <c r="H756" i="10"/>
  <c r="I756" i="10" s="1"/>
  <c r="B756" i="10"/>
  <c r="F744" i="10"/>
  <c r="G744" i="10" s="1"/>
  <c r="F729" i="10"/>
  <c r="G729" i="10" s="1"/>
  <c r="J722" i="10"/>
  <c r="H707" i="10"/>
  <c r="I707" i="10" s="1"/>
  <c r="H700" i="10"/>
  <c r="I700" i="10" s="1"/>
  <c r="H695" i="10"/>
  <c r="I695" i="10" s="1"/>
  <c r="F719" i="10"/>
  <c r="G719" i="10" s="1"/>
  <c r="B719" i="10"/>
  <c r="H714" i="10"/>
  <c r="I714" i="10" s="1"/>
  <c r="B714" i="10"/>
  <c r="B710" i="10"/>
  <c r="F710" i="10"/>
  <c r="G710" i="10" s="1"/>
  <c r="H710" i="10"/>
  <c r="I710" i="10" s="1"/>
  <c r="B698" i="10"/>
  <c r="F698" i="10"/>
  <c r="G698" i="10" s="1"/>
  <c r="H698" i="10"/>
  <c r="I698" i="10" s="1"/>
  <c r="B693" i="10"/>
  <c r="F693" i="10"/>
  <c r="G693" i="10" s="1"/>
  <c r="F689" i="10"/>
  <c r="G689" i="10" s="1"/>
  <c r="B687" i="10"/>
  <c r="F687" i="10"/>
  <c r="G687" i="10" s="1"/>
  <c r="B686" i="10"/>
  <c r="F686" i="10"/>
  <c r="G686" i="10" s="1"/>
  <c r="H686" i="10"/>
  <c r="I686" i="10" s="1"/>
  <c r="L651" i="10"/>
  <c r="J651" i="10"/>
  <c r="L678" i="10"/>
  <c r="J678" i="10"/>
  <c r="J666" i="10"/>
  <c r="L654" i="10"/>
  <c r="J654" i="10"/>
  <c r="J681" i="10"/>
  <c r="J669" i="10"/>
  <c r="L657" i="10"/>
  <c r="J657" i="10"/>
  <c r="L645" i="10"/>
  <c r="J645" i="10"/>
  <c r="J672" i="10"/>
  <c r="L660" i="10"/>
  <c r="J660" i="10"/>
  <c r="L648" i="10"/>
  <c r="J648" i="10"/>
  <c r="J675" i="10"/>
  <c r="L684" i="10"/>
  <c r="J684" i="10"/>
  <c r="J663" i="10"/>
  <c r="F672" i="10"/>
  <c r="G672" i="10" s="1"/>
  <c r="F660" i="10"/>
  <c r="G660" i="10" s="1"/>
  <c r="F648" i="10"/>
  <c r="G648" i="10" s="1"/>
  <c r="H634" i="10"/>
  <c r="I634" i="10" s="1"/>
  <c r="B634" i="10"/>
  <c r="F634" i="10"/>
  <c r="G634" i="10" s="1"/>
  <c r="F669" i="10"/>
  <c r="G669" i="10" s="1"/>
  <c r="F657" i="10"/>
  <c r="G657" i="10" s="1"/>
  <c r="F630" i="10"/>
  <c r="G630" i="10" s="1"/>
  <c r="H630" i="10"/>
  <c r="I630" i="10" s="1"/>
  <c r="B630" i="10"/>
  <c r="B626" i="10"/>
  <c r="F626" i="10"/>
  <c r="G626" i="10" s="1"/>
  <c r="H626" i="10"/>
  <c r="I626" i="10" s="1"/>
  <c r="H622" i="10"/>
  <c r="I622" i="10" s="1"/>
  <c r="B622" i="10"/>
  <c r="F622" i="10"/>
  <c r="G622" i="10" s="1"/>
  <c r="F618" i="10"/>
  <c r="G618" i="10" s="1"/>
  <c r="H618" i="10"/>
  <c r="I618" i="10" s="1"/>
  <c r="B618" i="10"/>
  <c r="F675" i="10"/>
  <c r="G675" i="10" s="1"/>
  <c r="F663" i="10"/>
  <c r="G663" i="10" s="1"/>
  <c r="F651" i="10"/>
  <c r="G651" i="10" s="1"/>
  <c r="B640" i="10"/>
  <c r="F640" i="10"/>
  <c r="G640" i="10" s="1"/>
  <c r="F678" i="10"/>
  <c r="G678" i="10" s="1"/>
  <c r="F645" i="10"/>
  <c r="G645" i="10" s="1"/>
  <c r="H685" i="10"/>
  <c r="I685" i="10" s="1"/>
  <c r="B684" i="10"/>
  <c r="H682" i="10"/>
  <c r="I682" i="10" s="1"/>
  <c r="B681" i="10"/>
  <c r="H679" i="10"/>
  <c r="I679" i="10" s="1"/>
  <c r="B678" i="10"/>
  <c r="H676" i="10"/>
  <c r="I676" i="10" s="1"/>
  <c r="B675" i="10"/>
  <c r="H673" i="10"/>
  <c r="I673" i="10" s="1"/>
  <c r="B672" i="10"/>
  <c r="H670" i="10"/>
  <c r="I670" i="10" s="1"/>
  <c r="B669" i="10"/>
  <c r="H667" i="10"/>
  <c r="I667" i="10" s="1"/>
  <c r="B666" i="10"/>
  <c r="H664" i="10"/>
  <c r="I664" i="10" s="1"/>
  <c r="B663" i="10"/>
  <c r="H661" i="10"/>
  <c r="I661" i="10" s="1"/>
  <c r="B660" i="10"/>
  <c r="H658" i="10"/>
  <c r="I658" i="10" s="1"/>
  <c r="B657" i="10"/>
  <c r="H655" i="10"/>
  <c r="I655" i="10" s="1"/>
  <c r="B654" i="10"/>
  <c r="H652" i="10"/>
  <c r="I652" i="10" s="1"/>
  <c r="B651" i="10"/>
  <c r="H649" i="10"/>
  <c r="I649" i="10" s="1"/>
  <c r="B648" i="10"/>
  <c r="H646" i="10"/>
  <c r="I646" i="10" s="1"/>
  <c r="B645" i="10"/>
  <c r="J635" i="10"/>
  <c r="F683" i="10"/>
  <c r="G683" i="10" s="1"/>
  <c r="F684" i="10"/>
  <c r="G684" i="10" s="1"/>
  <c r="F681" i="10"/>
  <c r="G681" i="10" s="1"/>
  <c r="F685" i="10"/>
  <c r="G685" i="10" s="1"/>
  <c r="F676" i="10"/>
  <c r="G676" i="10" s="1"/>
  <c r="F655" i="10"/>
  <c r="G655" i="10" s="1"/>
  <c r="J639" i="10"/>
  <c r="B633" i="10"/>
  <c r="F633" i="10"/>
  <c r="G633" i="10" s="1"/>
  <c r="H633" i="10"/>
  <c r="I633" i="10" s="1"/>
  <c r="H629" i="10"/>
  <c r="I629" i="10" s="1"/>
  <c r="B629" i="10"/>
  <c r="F629" i="10"/>
  <c r="G629" i="10" s="1"/>
  <c r="B625" i="10"/>
  <c r="F625" i="10"/>
  <c r="G625" i="10" s="1"/>
  <c r="H625" i="10"/>
  <c r="I625" i="10" s="1"/>
  <c r="B621" i="10"/>
  <c r="F621" i="10"/>
  <c r="G621" i="10" s="1"/>
  <c r="H621" i="10"/>
  <c r="I621" i="10" s="1"/>
  <c r="F673" i="10"/>
  <c r="G673" i="10" s="1"/>
  <c r="F664" i="10"/>
  <c r="G664" i="10" s="1"/>
  <c r="F649" i="10"/>
  <c r="G649" i="10" s="1"/>
  <c r="F646" i="10"/>
  <c r="G646" i="10" s="1"/>
  <c r="F639" i="10"/>
  <c r="G639" i="10" s="1"/>
  <c r="H617" i="10"/>
  <c r="I617" i="10" s="1"/>
  <c r="B617" i="10"/>
  <c r="F617" i="10"/>
  <c r="G617" i="10" s="1"/>
  <c r="F679" i="10"/>
  <c r="G679" i="10" s="1"/>
  <c r="F667" i="10"/>
  <c r="G667" i="10" s="1"/>
  <c r="F658" i="10"/>
  <c r="G658" i="10" s="1"/>
  <c r="F682" i="10"/>
  <c r="G682" i="10" s="1"/>
  <c r="F670" i="10"/>
  <c r="G670" i="10" s="1"/>
  <c r="F661" i="10"/>
  <c r="G661" i="10" s="1"/>
  <c r="F652" i="10"/>
  <c r="G652" i="10" s="1"/>
  <c r="H683" i="10"/>
  <c r="I683" i="10" s="1"/>
  <c r="H680" i="10"/>
  <c r="I680" i="10" s="1"/>
  <c r="H677" i="10"/>
  <c r="I677" i="10" s="1"/>
  <c r="H674" i="10"/>
  <c r="I674" i="10" s="1"/>
  <c r="H671" i="10"/>
  <c r="I671" i="10" s="1"/>
  <c r="H668" i="10"/>
  <c r="I668" i="10" s="1"/>
  <c r="H665" i="10"/>
  <c r="I665" i="10" s="1"/>
  <c r="H662" i="10"/>
  <c r="I662" i="10" s="1"/>
  <c r="H659" i="10"/>
  <c r="I659" i="10" s="1"/>
  <c r="H656" i="10"/>
  <c r="I656" i="10" s="1"/>
  <c r="H653" i="10"/>
  <c r="I653" i="10" s="1"/>
  <c r="H650" i="10"/>
  <c r="I650" i="10" s="1"/>
  <c r="H647" i="10"/>
  <c r="I647" i="10" s="1"/>
  <c r="H644" i="10"/>
  <c r="I644" i="10" s="1"/>
  <c r="F635" i="10"/>
  <c r="G635" i="10" s="1"/>
  <c r="B635" i="10"/>
  <c r="B632" i="10"/>
  <c r="F632" i="10"/>
  <c r="G632" i="10" s="1"/>
  <c r="H632" i="10"/>
  <c r="I632" i="10" s="1"/>
  <c r="B628" i="10"/>
  <c r="F628" i="10"/>
  <c r="G628" i="10" s="1"/>
  <c r="H628" i="10"/>
  <c r="I628" i="10" s="1"/>
  <c r="F624" i="10"/>
  <c r="G624" i="10" s="1"/>
  <c r="H624" i="10"/>
  <c r="I624" i="10" s="1"/>
  <c r="B624" i="10"/>
  <c r="B620" i="10"/>
  <c r="F620" i="10"/>
  <c r="G620" i="10" s="1"/>
  <c r="H620" i="10"/>
  <c r="I620" i="10" s="1"/>
  <c r="B616" i="10"/>
  <c r="F616" i="10"/>
  <c r="G616" i="10" s="1"/>
  <c r="H616" i="10"/>
  <c r="I616" i="10" s="1"/>
  <c r="F680" i="10"/>
  <c r="G680" i="10" s="1"/>
  <c r="F668" i="10"/>
  <c r="G668" i="10" s="1"/>
  <c r="F653" i="10"/>
  <c r="G653" i="10" s="1"/>
  <c r="F644" i="10"/>
  <c r="G644" i="10" s="1"/>
  <c r="B639" i="10"/>
  <c r="B637" i="10"/>
  <c r="H637" i="10"/>
  <c r="I637" i="10" s="1"/>
  <c r="F677" i="10"/>
  <c r="G677" i="10" s="1"/>
  <c r="F665" i="10"/>
  <c r="G665" i="10" s="1"/>
  <c r="F656" i="10"/>
  <c r="G656" i="10" s="1"/>
  <c r="B615" i="10"/>
  <c r="F615" i="10"/>
  <c r="G615" i="10" s="1"/>
  <c r="H615" i="10"/>
  <c r="I615" i="10" s="1"/>
  <c r="F674" i="10"/>
  <c r="G674" i="10" s="1"/>
  <c r="F659" i="10"/>
  <c r="G659" i="10" s="1"/>
  <c r="F650" i="10"/>
  <c r="G650" i="10" s="1"/>
  <c r="H642" i="10"/>
  <c r="I642" i="10" s="1"/>
  <c r="F642" i="10"/>
  <c r="G642" i="10" s="1"/>
  <c r="H636" i="10"/>
  <c r="I636" i="10" s="1"/>
  <c r="F631" i="10"/>
  <c r="G631" i="10" s="1"/>
  <c r="H631" i="10"/>
  <c r="I631" i="10" s="1"/>
  <c r="B631" i="10"/>
  <c r="B627" i="10"/>
  <c r="F627" i="10"/>
  <c r="G627" i="10" s="1"/>
  <c r="H627" i="10"/>
  <c r="I627" i="10" s="1"/>
  <c r="F623" i="10"/>
  <c r="G623" i="10" s="1"/>
  <c r="H623" i="10"/>
  <c r="I623" i="10" s="1"/>
  <c r="B623" i="10"/>
  <c r="F619" i="10"/>
  <c r="G619" i="10" s="1"/>
  <c r="H619" i="10"/>
  <c r="I619" i="10" s="1"/>
  <c r="B619" i="10"/>
  <c r="F671" i="10"/>
  <c r="G671" i="10" s="1"/>
  <c r="F662" i="10"/>
  <c r="G662" i="10" s="1"/>
  <c r="F647" i="10"/>
  <c r="G647" i="10" s="1"/>
  <c r="H640" i="10"/>
  <c r="I640" i="10" s="1"/>
  <c r="F636" i="10"/>
  <c r="G636" i="10" s="1"/>
  <c r="B614" i="10"/>
  <c r="F614" i="10"/>
  <c r="G614" i="10" s="1"/>
  <c r="H614" i="10"/>
  <c r="I614" i="10" s="1"/>
  <c r="H610" i="10"/>
  <c r="I610" i="10" s="1"/>
  <c r="B610" i="10"/>
  <c r="F610" i="10"/>
  <c r="G610" i="10" s="1"/>
  <c r="F606" i="10"/>
  <c r="G606" i="10" s="1"/>
  <c r="H606" i="10"/>
  <c r="I606" i="10" s="1"/>
  <c r="B606" i="10"/>
  <c r="F611" i="10"/>
  <c r="G611" i="10" s="1"/>
  <c r="H611" i="10"/>
  <c r="I611" i="10" s="1"/>
  <c r="B611" i="10"/>
  <c r="B613" i="10"/>
  <c r="H613" i="10"/>
  <c r="I613" i="10" s="1"/>
  <c r="F613" i="10"/>
  <c r="G613" i="10" s="1"/>
  <c r="H605" i="10"/>
  <c r="I605" i="10" s="1"/>
  <c r="B605" i="10"/>
  <c r="F605" i="10"/>
  <c r="G605" i="10" s="1"/>
  <c r="B609" i="10"/>
  <c r="F609" i="10"/>
  <c r="G609" i="10" s="1"/>
  <c r="H609" i="10"/>
  <c r="I609" i="10" s="1"/>
  <c r="B604" i="10"/>
  <c r="F604" i="10"/>
  <c r="G604" i="10" s="1"/>
  <c r="H604" i="10"/>
  <c r="I604" i="10" s="1"/>
  <c r="H612" i="10"/>
  <c r="I612" i="10" s="1"/>
  <c r="B612" i="10"/>
  <c r="F612" i="10"/>
  <c r="G612" i="10" s="1"/>
  <c r="B608" i="10"/>
  <c r="F608" i="10"/>
  <c r="G608" i="10" s="1"/>
  <c r="H608" i="10"/>
  <c r="I608" i="10" s="1"/>
  <c r="B603" i="10"/>
  <c r="F603" i="10"/>
  <c r="G603" i="10" s="1"/>
  <c r="H603" i="10"/>
  <c r="I603" i="10" s="1"/>
  <c r="F607" i="10"/>
  <c r="G607" i="10" s="1"/>
  <c r="H607" i="10"/>
  <c r="I607" i="10" s="1"/>
  <c r="B607" i="10"/>
  <c r="B602" i="10"/>
  <c r="F602" i="10"/>
  <c r="G602" i="10" s="1"/>
  <c r="H602" i="10"/>
  <c r="I602" i="10" s="1"/>
  <c r="F511" i="10"/>
  <c r="G511" i="10" s="1"/>
  <c r="H511" i="10"/>
  <c r="I511" i="10" s="1"/>
  <c r="L511" i="10" s="1"/>
  <c r="B511" i="10"/>
  <c r="B479" i="10"/>
  <c r="H479" i="10"/>
  <c r="I479" i="10" s="1"/>
  <c r="J479" i="10" s="1"/>
  <c r="H379" i="10"/>
  <c r="I379" i="10" s="1"/>
  <c r="J379" i="10" s="1"/>
  <c r="F379" i="10"/>
  <c r="G379" i="10" s="1"/>
  <c r="B379" i="10"/>
  <c r="F459" i="10"/>
  <c r="G459" i="10" s="1"/>
  <c r="H459" i="10"/>
  <c r="I459" i="10" s="1"/>
  <c r="J459" i="10" s="1"/>
  <c r="H525" i="10"/>
  <c r="I525" i="10" s="1"/>
  <c r="J525" i="10" s="1"/>
  <c r="B525" i="10"/>
  <c r="F525" i="10"/>
  <c r="G525" i="10" s="1"/>
  <c r="H495" i="10"/>
  <c r="I495" i="10" s="1"/>
  <c r="B495" i="10"/>
  <c r="F495" i="10"/>
  <c r="G495" i="10" s="1"/>
  <c r="F541" i="10"/>
  <c r="G541" i="10" s="1"/>
  <c r="B541" i="10"/>
  <c r="F508" i="10"/>
  <c r="G508" i="10" s="1"/>
  <c r="B508" i="10"/>
  <c r="J412" i="10"/>
  <c r="F462" i="10"/>
  <c r="G462" i="10" s="1"/>
  <c r="B462" i="10"/>
  <c r="F415" i="10"/>
  <c r="G415" i="10" s="1"/>
  <c r="H382" i="10"/>
  <c r="I382" i="10" s="1"/>
  <c r="L382" i="10" s="1"/>
  <c r="H463" i="10"/>
  <c r="I463" i="10" s="1"/>
  <c r="J463" i="10" s="1"/>
  <c r="H287" i="10"/>
  <c r="I287" i="10" s="1"/>
  <c r="L287" i="10" s="1"/>
  <c r="F529" i="10"/>
  <c r="G529" i="10" s="1"/>
  <c r="B483" i="10"/>
  <c r="H591" i="10"/>
  <c r="I591" i="10" s="1"/>
  <c r="H441" i="10"/>
  <c r="I441" i="10" s="1"/>
  <c r="J441" i="10" s="1"/>
  <c r="H417" i="10"/>
  <c r="I417" i="10" s="1"/>
  <c r="J417" i="10" s="1"/>
  <c r="H414" i="10"/>
  <c r="I414" i="10" s="1"/>
  <c r="L414" i="10" s="1"/>
  <c r="B591" i="10"/>
  <c r="H377" i="10"/>
  <c r="I377" i="10" s="1"/>
  <c r="L377" i="10" s="1"/>
  <c r="F468" i="10"/>
  <c r="G468" i="10" s="1"/>
  <c r="F423" i="10"/>
  <c r="G423" i="10" s="1"/>
  <c r="H419" i="10"/>
  <c r="I419" i="10" s="1"/>
  <c r="J419" i="10" s="1"/>
  <c r="H383" i="10"/>
  <c r="I383" i="10" s="1"/>
  <c r="L383" i="10" s="1"/>
  <c r="F377" i="10"/>
  <c r="G377" i="10" s="1"/>
  <c r="F411" i="10"/>
  <c r="G411" i="10" s="1"/>
  <c r="H530" i="10"/>
  <c r="I530" i="10" s="1"/>
  <c r="J530" i="10" s="1"/>
  <c r="B523" i="10"/>
  <c r="H523" i="10"/>
  <c r="I523" i="10" s="1"/>
  <c r="L523" i="10" s="1"/>
  <c r="B535" i="10"/>
  <c r="F535" i="10"/>
  <c r="G535" i="10" s="1"/>
  <c r="F502" i="10"/>
  <c r="G502" i="10" s="1"/>
  <c r="B502" i="10"/>
  <c r="H502" i="10"/>
  <c r="I502" i="10" s="1"/>
  <c r="F538" i="10"/>
  <c r="G538" i="10" s="1"/>
  <c r="B538" i="10"/>
  <c r="H537" i="10"/>
  <c r="I537" i="10" s="1"/>
  <c r="L537" i="10" s="1"/>
  <c r="B537" i="10"/>
  <c r="H531" i="10"/>
  <c r="I531" i="10" s="1"/>
  <c r="J531" i="10" s="1"/>
  <c r="B531" i="10"/>
  <c r="F531" i="10"/>
  <c r="G531" i="10" s="1"/>
  <c r="B524" i="10"/>
  <c r="F524" i="10"/>
  <c r="G524" i="10" s="1"/>
  <c r="H524" i="10"/>
  <c r="I524" i="10" s="1"/>
  <c r="J524" i="10" s="1"/>
  <c r="B488" i="10"/>
  <c r="F488" i="10"/>
  <c r="G488" i="10" s="1"/>
  <c r="H488" i="10"/>
  <c r="I488" i="10" s="1"/>
  <c r="F490" i="10"/>
  <c r="G490" i="10" s="1"/>
  <c r="H512" i="10"/>
  <c r="I512" i="10" s="1"/>
  <c r="J512" i="10" s="1"/>
  <c r="H536" i="10"/>
  <c r="I536" i="10" s="1"/>
  <c r="J536" i="10" s="1"/>
  <c r="H469" i="10"/>
  <c r="I469" i="10" s="1"/>
  <c r="L469" i="10" s="1"/>
  <c r="F536" i="10"/>
  <c r="G536" i="10" s="1"/>
  <c r="B490" i="10"/>
  <c r="B469" i="10"/>
  <c r="F471" i="10"/>
  <c r="G471" i="10" s="1"/>
  <c r="B471" i="10"/>
  <c r="J471" i="10"/>
  <c r="J483" i="10"/>
  <c r="J586" i="10"/>
  <c r="L586" i="10"/>
  <c r="J600" i="10"/>
  <c r="F592" i="10"/>
  <c r="G592" i="10" s="1"/>
  <c r="F588" i="10"/>
  <c r="G588" i="10" s="1"/>
  <c r="B588" i="10"/>
  <c r="F582" i="10"/>
  <c r="G582" i="10" s="1"/>
  <c r="H582" i="10"/>
  <c r="I582" i="10" s="1"/>
  <c r="B582" i="10"/>
  <c r="B578" i="10"/>
  <c r="F578" i="10"/>
  <c r="G578" i="10" s="1"/>
  <c r="H578" i="10"/>
  <c r="I578" i="10" s="1"/>
  <c r="B574" i="10"/>
  <c r="F574" i="10"/>
  <c r="G574" i="10" s="1"/>
  <c r="H574" i="10"/>
  <c r="I574" i="10" s="1"/>
  <c r="F570" i="10"/>
  <c r="G570" i="10" s="1"/>
  <c r="H570" i="10"/>
  <c r="I570" i="10" s="1"/>
  <c r="B570" i="10"/>
  <c r="B566" i="10"/>
  <c r="F566" i="10"/>
  <c r="G566" i="10" s="1"/>
  <c r="H566" i="10"/>
  <c r="I566" i="10" s="1"/>
  <c r="B562" i="10"/>
  <c r="F562" i="10"/>
  <c r="G562" i="10" s="1"/>
  <c r="H562" i="10"/>
  <c r="I562" i="10" s="1"/>
  <c r="F558" i="10"/>
  <c r="G558" i="10" s="1"/>
  <c r="H558" i="10"/>
  <c r="I558" i="10" s="1"/>
  <c r="B558" i="10"/>
  <c r="B554" i="10"/>
  <c r="F554" i="10"/>
  <c r="G554" i="10" s="1"/>
  <c r="H554" i="10"/>
  <c r="I554" i="10" s="1"/>
  <c r="F597" i="10"/>
  <c r="G597" i="10" s="1"/>
  <c r="H550" i="10"/>
  <c r="I550" i="10" s="1"/>
  <c r="B550" i="10"/>
  <c r="F550" i="10"/>
  <c r="G550" i="10" s="1"/>
  <c r="F546" i="10"/>
  <c r="G546" i="10" s="1"/>
  <c r="H546" i="10"/>
  <c r="I546" i="10" s="1"/>
  <c r="B546" i="10"/>
  <c r="B590" i="10"/>
  <c r="F590" i="10"/>
  <c r="G590" i="10" s="1"/>
  <c r="H590" i="10"/>
  <c r="I590" i="10" s="1"/>
  <c r="B585" i="10"/>
  <c r="F585" i="10"/>
  <c r="G585" i="10" s="1"/>
  <c r="H585" i="10"/>
  <c r="I585" i="10" s="1"/>
  <c r="F581" i="10"/>
  <c r="G581" i="10" s="1"/>
  <c r="H581" i="10"/>
  <c r="I581" i="10" s="1"/>
  <c r="B581" i="10"/>
  <c r="F577" i="10"/>
  <c r="G577" i="10" s="1"/>
  <c r="H577" i="10"/>
  <c r="I577" i="10" s="1"/>
  <c r="B577" i="10"/>
  <c r="B573" i="10"/>
  <c r="F573" i="10"/>
  <c r="G573" i="10" s="1"/>
  <c r="H573" i="10"/>
  <c r="I573" i="10" s="1"/>
  <c r="F569" i="10"/>
  <c r="G569" i="10" s="1"/>
  <c r="H569" i="10"/>
  <c r="I569" i="10" s="1"/>
  <c r="B569" i="10"/>
  <c r="F565" i="10"/>
  <c r="G565" i="10" s="1"/>
  <c r="H565" i="10"/>
  <c r="I565" i="10" s="1"/>
  <c r="B565" i="10"/>
  <c r="B561" i="10"/>
  <c r="F561" i="10"/>
  <c r="G561" i="10" s="1"/>
  <c r="H561" i="10"/>
  <c r="I561" i="10" s="1"/>
  <c r="H557" i="10"/>
  <c r="I557" i="10" s="1"/>
  <c r="B557" i="10"/>
  <c r="F557" i="10"/>
  <c r="G557" i="10" s="1"/>
  <c r="B553" i="10"/>
  <c r="F553" i="10"/>
  <c r="G553" i="10" s="1"/>
  <c r="H553" i="10"/>
  <c r="I553" i="10" s="1"/>
  <c r="H597" i="10"/>
  <c r="I597" i="10" s="1"/>
  <c r="F600" i="10"/>
  <c r="G600" i="10" s="1"/>
  <c r="H595" i="10"/>
  <c r="I595" i="10" s="1"/>
  <c r="H601" i="10"/>
  <c r="I601" i="10" s="1"/>
  <c r="B600" i="10"/>
  <c r="H598" i="10"/>
  <c r="I598" i="10" s="1"/>
  <c r="F595" i="10"/>
  <c r="G595" i="10" s="1"/>
  <c r="B549" i="10"/>
  <c r="F549" i="10"/>
  <c r="G549" i="10" s="1"/>
  <c r="H549" i="10"/>
  <c r="I549" i="10" s="1"/>
  <c r="H587" i="10"/>
  <c r="I587" i="10" s="1"/>
  <c r="B587" i="10"/>
  <c r="H545" i="10"/>
  <c r="I545" i="10" s="1"/>
  <c r="B545" i="10"/>
  <c r="F545" i="10"/>
  <c r="G545" i="10" s="1"/>
  <c r="F598" i="10"/>
  <c r="G598" i="10" s="1"/>
  <c r="B584" i="10"/>
  <c r="F584" i="10"/>
  <c r="G584" i="10" s="1"/>
  <c r="H584" i="10"/>
  <c r="I584" i="10" s="1"/>
  <c r="H580" i="10"/>
  <c r="I580" i="10" s="1"/>
  <c r="B580" i="10"/>
  <c r="F580" i="10"/>
  <c r="G580" i="10" s="1"/>
  <c r="F576" i="10"/>
  <c r="G576" i="10" s="1"/>
  <c r="H576" i="10"/>
  <c r="I576" i="10" s="1"/>
  <c r="B576" i="10"/>
  <c r="B572" i="10"/>
  <c r="F572" i="10"/>
  <c r="G572" i="10" s="1"/>
  <c r="H572" i="10"/>
  <c r="I572" i="10" s="1"/>
  <c r="H568" i="10"/>
  <c r="I568" i="10" s="1"/>
  <c r="B568" i="10"/>
  <c r="F568" i="10"/>
  <c r="G568" i="10" s="1"/>
  <c r="F564" i="10"/>
  <c r="G564" i="10" s="1"/>
  <c r="H564" i="10"/>
  <c r="I564" i="10" s="1"/>
  <c r="B564" i="10"/>
  <c r="B560" i="10"/>
  <c r="F560" i="10"/>
  <c r="G560" i="10" s="1"/>
  <c r="H560" i="10"/>
  <c r="I560" i="10" s="1"/>
  <c r="B556" i="10"/>
  <c r="F556" i="10"/>
  <c r="G556" i="10" s="1"/>
  <c r="H556" i="10"/>
  <c r="I556" i="10" s="1"/>
  <c r="F552" i="10"/>
  <c r="G552" i="10" s="1"/>
  <c r="H552" i="10"/>
  <c r="I552" i="10" s="1"/>
  <c r="B552" i="10"/>
  <c r="B548" i="10"/>
  <c r="F548" i="10"/>
  <c r="G548" i="10" s="1"/>
  <c r="H548" i="10"/>
  <c r="I548" i="10" s="1"/>
  <c r="B544" i="10"/>
  <c r="F544" i="10"/>
  <c r="G544" i="10" s="1"/>
  <c r="H544" i="10"/>
  <c r="I544" i="10" s="1"/>
  <c r="J589" i="10"/>
  <c r="L589" i="10"/>
  <c r="F596" i="10"/>
  <c r="G596" i="10" s="1"/>
  <c r="H593" i="10"/>
  <c r="I593" i="10" s="1"/>
  <c r="B593" i="10"/>
  <c r="H588" i="10"/>
  <c r="I588" i="10" s="1"/>
  <c r="B583" i="10"/>
  <c r="F583" i="10"/>
  <c r="G583" i="10" s="1"/>
  <c r="H583" i="10"/>
  <c r="I583" i="10" s="1"/>
  <c r="B579" i="10"/>
  <c r="F579" i="10"/>
  <c r="G579" i="10" s="1"/>
  <c r="H579" i="10"/>
  <c r="I579" i="10" s="1"/>
  <c r="H575" i="10"/>
  <c r="I575" i="10" s="1"/>
  <c r="B575" i="10"/>
  <c r="F575" i="10"/>
  <c r="G575" i="10" s="1"/>
  <c r="B571" i="10"/>
  <c r="F571" i="10"/>
  <c r="G571" i="10" s="1"/>
  <c r="H571" i="10"/>
  <c r="I571" i="10" s="1"/>
  <c r="B567" i="10"/>
  <c r="F567" i="10"/>
  <c r="G567" i="10" s="1"/>
  <c r="H567" i="10"/>
  <c r="I567" i="10" s="1"/>
  <c r="H563" i="10"/>
  <c r="I563" i="10" s="1"/>
  <c r="B563" i="10"/>
  <c r="F563" i="10"/>
  <c r="G563" i="10" s="1"/>
  <c r="F559" i="10"/>
  <c r="G559" i="10" s="1"/>
  <c r="H559" i="10"/>
  <c r="I559" i="10" s="1"/>
  <c r="B559" i="10"/>
  <c r="B555" i="10"/>
  <c r="F555" i="10"/>
  <c r="G555" i="10" s="1"/>
  <c r="H555" i="10"/>
  <c r="I555" i="10" s="1"/>
  <c r="B543" i="10"/>
  <c r="F543" i="10"/>
  <c r="G543" i="10" s="1"/>
  <c r="H543" i="10"/>
  <c r="I543" i="10" s="1"/>
  <c r="B599" i="10"/>
  <c r="F601" i="10"/>
  <c r="G601" i="10" s="1"/>
  <c r="H599" i="10"/>
  <c r="I599" i="10" s="1"/>
  <c r="H596" i="10"/>
  <c r="I596" i="10" s="1"/>
  <c r="B586" i="10"/>
  <c r="F586" i="10"/>
  <c r="G586" i="10" s="1"/>
  <c r="F551" i="10"/>
  <c r="G551" i="10" s="1"/>
  <c r="H551" i="10"/>
  <c r="I551" i="10" s="1"/>
  <c r="B551" i="10"/>
  <c r="F547" i="10"/>
  <c r="G547" i="10" s="1"/>
  <c r="H547" i="10"/>
  <c r="I547" i="10" s="1"/>
  <c r="B547" i="10"/>
  <c r="H594" i="10"/>
  <c r="I594" i="10" s="1"/>
  <c r="H592" i="10"/>
  <c r="I592" i="10" s="1"/>
  <c r="B542" i="10"/>
  <c r="F542" i="10"/>
  <c r="G542" i="10" s="1"/>
  <c r="H542" i="10"/>
  <c r="I542" i="10" s="1"/>
  <c r="F532" i="10"/>
  <c r="G532" i="10" s="1"/>
  <c r="H532" i="10"/>
  <c r="I532" i="10" s="1"/>
  <c r="B532" i="10"/>
  <c r="F527" i="10"/>
  <c r="G527" i="10" s="1"/>
  <c r="H527" i="10"/>
  <c r="I527" i="10" s="1"/>
  <c r="B527" i="10"/>
  <c r="F514" i="10"/>
  <c r="G514" i="10" s="1"/>
  <c r="H514" i="10"/>
  <c r="I514" i="10" s="1"/>
  <c r="B514" i="10"/>
  <c r="F526" i="10"/>
  <c r="G526" i="10" s="1"/>
  <c r="H526" i="10"/>
  <c r="I526" i="10" s="1"/>
  <c r="B526" i="10"/>
  <c r="B521" i="10"/>
  <c r="F521" i="10"/>
  <c r="G521" i="10" s="1"/>
  <c r="H521" i="10"/>
  <c r="I521" i="10" s="1"/>
  <c r="H513" i="10"/>
  <c r="I513" i="10" s="1"/>
  <c r="F513" i="10"/>
  <c r="G513" i="10" s="1"/>
  <c r="B513" i="10"/>
  <c r="B504" i="10"/>
  <c r="H504" i="10"/>
  <c r="I504" i="10" s="1"/>
  <c r="F504" i="10"/>
  <c r="G504" i="10" s="1"/>
  <c r="B539" i="10"/>
  <c r="F539" i="10"/>
  <c r="G539" i="10" s="1"/>
  <c r="H539" i="10"/>
  <c r="I539" i="10" s="1"/>
  <c r="J534" i="10"/>
  <c r="L534" i="10"/>
  <c r="J528" i="10"/>
  <c r="F520" i="10"/>
  <c r="G520" i="10" s="1"/>
  <c r="H520" i="10"/>
  <c r="I520" i="10" s="1"/>
  <c r="B520" i="10"/>
  <c r="J476" i="10"/>
  <c r="F533" i="10"/>
  <c r="G533" i="10" s="1"/>
  <c r="H533" i="10"/>
  <c r="I533" i="10" s="1"/>
  <c r="B533" i="10"/>
  <c r="B516" i="10"/>
  <c r="H516" i="10"/>
  <c r="I516" i="10" s="1"/>
  <c r="F516" i="10"/>
  <c r="G516" i="10" s="1"/>
  <c r="J492" i="10"/>
  <c r="H519" i="10"/>
  <c r="I519" i="10" s="1"/>
  <c r="B519" i="10"/>
  <c r="F519" i="10"/>
  <c r="G519" i="10" s="1"/>
  <c r="J522" i="10"/>
  <c r="L522" i="10"/>
  <c r="H515" i="10"/>
  <c r="I515" i="10" s="1"/>
  <c r="B515" i="10"/>
  <c r="F515" i="10"/>
  <c r="G515" i="10" s="1"/>
  <c r="F499" i="10"/>
  <c r="G499" i="10" s="1"/>
  <c r="B499" i="10"/>
  <c r="J473" i="10"/>
  <c r="L473" i="10"/>
  <c r="B486" i="10"/>
  <c r="H486" i="10"/>
  <c r="I486" i="10" s="1"/>
  <c r="J468" i="10"/>
  <c r="L468" i="10"/>
  <c r="L442" i="10"/>
  <c r="J442" i="10"/>
  <c r="F518" i="10"/>
  <c r="G518" i="10" s="1"/>
  <c r="H518" i="10"/>
  <c r="I518" i="10" s="1"/>
  <c r="H541" i="10"/>
  <c r="I541" i="10" s="1"/>
  <c r="H538" i="10"/>
  <c r="I538" i="10" s="1"/>
  <c r="H540" i="10"/>
  <c r="I540" i="10" s="1"/>
  <c r="B522" i="10"/>
  <c r="F522" i="10"/>
  <c r="G522" i="10" s="1"/>
  <c r="B509" i="10"/>
  <c r="F540" i="10"/>
  <c r="G540" i="10" s="1"/>
  <c r="F537" i="10"/>
  <c r="G537" i="10" s="1"/>
  <c r="F523" i="10"/>
  <c r="G523" i="10" s="1"/>
  <c r="H529" i="10"/>
  <c r="I529" i="10" s="1"/>
  <c r="H517" i="10"/>
  <c r="I517" i="10" s="1"/>
  <c r="H507" i="10"/>
  <c r="I507" i="10" s="1"/>
  <c r="B507" i="10"/>
  <c r="F507" i="10"/>
  <c r="G507" i="10" s="1"/>
  <c r="J490" i="10"/>
  <c r="L490" i="10"/>
  <c r="L450" i="10"/>
  <c r="J450" i="10"/>
  <c r="F505" i="10"/>
  <c r="G505" i="10" s="1"/>
  <c r="H505" i="10"/>
  <c r="I505" i="10" s="1"/>
  <c r="F498" i="10"/>
  <c r="G498" i="10" s="1"/>
  <c r="H498" i="10"/>
  <c r="I498" i="10" s="1"/>
  <c r="H494" i="10"/>
  <c r="I494" i="10" s="1"/>
  <c r="F494" i="10"/>
  <c r="G494" i="10" s="1"/>
  <c r="B492" i="10"/>
  <c r="F492" i="10"/>
  <c r="G492" i="10" s="1"/>
  <c r="B485" i="10"/>
  <c r="F485" i="10"/>
  <c r="G485" i="10" s="1"/>
  <c r="H485" i="10"/>
  <c r="I485" i="10" s="1"/>
  <c r="B503" i="10"/>
  <c r="F503" i="10"/>
  <c r="G503" i="10" s="1"/>
  <c r="H503" i="10"/>
  <c r="I503" i="10" s="1"/>
  <c r="J467" i="10"/>
  <c r="L467" i="10"/>
  <c r="B528" i="10"/>
  <c r="F528" i="10"/>
  <c r="G528" i="10" s="1"/>
  <c r="B512" i="10"/>
  <c r="B489" i="10"/>
  <c r="F489" i="10"/>
  <c r="G489" i="10" s="1"/>
  <c r="H489" i="10"/>
  <c r="I489" i="10" s="1"/>
  <c r="H535" i="10"/>
  <c r="I535" i="10" s="1"/>
  <c r="F530" i="10"/>
  <c r="G530" i="10" s="1"/>
  <c r="B517" i="10"/>
  <c r="F482" i="10"/>
  <c r="G482" i="10" s="1"/>
  <c r="H482" i="10"/>
  <c r="I482" i="10" s="1"/>
  <c r="B482" i="10"/>
  <c r="B466" i="10"/>
  <c r="F466" i="10"/>
  <c r="G466" i="10" s="1"/>
  <c r="H466" i="10"/>
  <c r="I466" i="10" s="1"/>
  <c r="J453" i="10"/>
  <c r="L444" i="10"/>
  <c r="J444" i="10"/>
  <c r="H499" i="10"/>
  <c r="I499" i="10" s="1"/>
  <c r="B497" i="10"/>
  <c r="F497" i="10"/>
  <c r="G497" i="10" s="1"/>
  <c r="H497" i="10"/>
  <c r="I497" i="10" s="1"/>
  <c r="J481" i="10"/>
  <c r="L481" i="10"/>
  <c r="B510" i="10"/>
  <c r="H510" i="10"/>
  <c r="I510" i="10" s="1"/>
  <c r="F506" i="10"/>
  <c r="G506" i="10" s="1"/>
  <c r="H506" i="10"/>
  <c r="I506" i="10" s="1"/>
  <c r="F493" i="10"/>
  <c r="G493" i="10" s="1"/>
  <c r="B493" i="10"/>
  <c r="H493" i="10"/>
  <c r="I493" i="10" s="1"/>
  <c r="B491" i="10"/>
  <c r="H491" i="10"/>
  <c r="I491" i="10" s="1"/>
  <c r="B534" i="10"/>
  <c r="F534" i="10"/>
  <c r="G534" i="10" s="1"/>
  <c r="J509" i="10"/>
  <c r="F486" i="10"/>
  <c r="G486" i="10" s="1"/>
  <c r="F484" i="10"/>
  <c r="G484" i="10" s="1"/>
  <c r="H484" i="10"/>
  <c r="I484" i="10" s="1"/>
  <c r="B484" i="10"/>
  <c r="L456" i="10"/>
  <c r="J456" i="10"/>
  <c r="B518" i="10"/>
  <c r="F509" i="10"/>
  <c r="G509" i="10" s="1"/>
  <c r="H501" i="10"/>
  <c r="I501" i="10" s="1"/>
  <c r="B501" i="10"/>
  <c r="J447" i="10"/>
  <c r="L454" i="10"/>
  <c r="J454" i="10"/>
  <c r="B438" i="10"/>
  <c r="F438" i="10"/>
  <c r="G438" i="10" s="1"/>
  <c r="F434" i="10"/>
  <c r="G434" i="10" s="1"/>
  <c r="B434" i="10"/>
  <c r="H434" i="10"/>
  <c r="I434" i="10" s="1"/>
  <c r="H430" i="10"/>
  <c r="I430" i="10" s="1"/>
  <c r="B430" i="10"/>
  <c r="F430" i="10"/>
  <c r="G430" i="10" s="1"/>
  <c r="L395" i="10"/>
  <c r="J395" i="10"/>
  <c r="H478" i="10"/>
  <c r="I478" i="10" s="1"/>
  <c r="B477" i="10"/>
  <c r="F477" i="10"/>
  <c r="G477" i="10" s="1"/>
  <c r="B474" i="10"/>
  <c r="H474" i="10"/>
  <c r="I474" i="10" s="1"/>
  <c r="F470" i="10"/>
  <c r="G470" i="10" s="1"/>
  <c r="H470" i="10"/>
  <c r="I470" i="10" s="1"/>
  <c r="B470" i="10"/>
  <c r="H445" i="10"/>
  <c r="I445" i="10" s="1"/>
  <c r="F445" i="10"/>
  <c r="G445" i="10" s="1"/>
  <c r="B445" i="10"/>
  <c r="F500" i="10"/>
  <c r="G500" i="10" s="1"/>
  <c r="F483" i="10"/>
  <c r="G483" i="10" s="1"/>
  <c r="H480" i="10"/>
  <c r="I480" i="10" s="1"/>
  <c r="B480" i="10"/>
  <c r="F478" i="10"/>
  <c r="G478" i="10" s="1"/>
  <c r="F472" i="10"/>
  <c r="G472" i="10" s="1"/>
  <c r="H472" i="10"/>
  <c r="I472" i="10" s="1"/>
  <c r="H464" i="10"/>
  <c r="I464" i="10" s="1"/>
  <c r="B464" i="10"/>
  <c r="H451" i="10"/>
  <c r="I451" i="10" s="1"/>
  <c r="B451" i="10"/>
  <c r="B448" i="10"/>
  <c r="F448" i="10"/>
  <c r="G448" i="10" s="1"/>
  <c r="F437" i="10"/>
  <c r="G437" i="10" s="1"/>
  <c r="B437" i="10"/>
  <c r="H437" i="10"/>
  <c r="I437" i="10" s="1"/>
  <c r="H433" i="10"/>
  <c r="I433" i="10" s="1"/>
  <c r="F433" i="10"/>
  <c r="G433" i="10" s="1"/>
  <c r="B433" i="10"/>
  <c r="L394" i="10"/>
  <c r="J394" i="10"/>
  <c r="H457" i="10"/>
  <c r="I457" i="10" s="1"/>
  <c r="B457" i="10"/>
  <c r="B454" i="10"/>
  <c r="F454" i="10"/>
  <c r="G454" i="10" s="1"/>
  <c r="B444" i="10"/>
  <c r="F444" i="10"/>
  <c r="G444" i="10" s="1"/>
  <c r="L432" i="10"/>
  <c r="J432" i="10"/>
  <c r="L401" i="10"/>
  <c r="J401" i="10"/>
  <c r="F440" i="10"/>
  <c r="G440" i="10" s="1"/>
  <c r="B440" i="10"/>
  <c r="H440" i="10"/>
  <c r="I440" i="10" s="1"/>
  <c r="J424" i="10"/>
  <c r="F479" i="10"/>
  <c r="G479" i="10" s="1"/>
  <c r="B461" i="10"/>
  <c r="H461" i="10"/>
  <c r="I461" i="10" s="1"/>
  <c r="F461" i="10"/>
  <c r="G461" i="10" s="1"/>
  <c r="B450" i="10"/>
  <c r="F450" i="10"/>
  <c r="G450" i="10" s="1"/>
  <c r="B447" i="10"/>
  <c r="F447" i="10"/>
  <c r="G447" i="10" s="1"/>
  <c r="H436" i="10"/>
  <c r="I436" i="10" s="1"/>
  <c r="B436" i="10"/>
  <c r="F436" i="10"/>
  <c r="G436" i="10" s="1"/>
  <c r="F481" i="10"/>
  <c r="G481" i="10" s="1"/>
  <c r="B481" i="10"/>
  <c r="B476" i="10"/>
  <c r="F476" i="10"/>
  <c r="G476" i="10" s="1"/>
  <c r="B473" i="10"/>
  <c r="F473" i="10"/>
  <c r="G473" i="10" s="1"/>
  <c r="B456" i="10"/>
  <c r="F456" i="10"/>
  <c r="G456" i="10" s="1"/>
  <c r="B453" i="10"/>
  <c r="F453" i="10"/>
  <c r="G453" i="10" s="1"/>
  <c r="F443" i="10"/>
  <c r="G443" i="10" s="1"/>
  <c r="B443" i="10"/>
  <c r="H443" i="10"/>
  <c r="I443" i="10" s="1"/>
  <c r="H421" i="10"/>
  <c r="I421" i="10" s="1"/>
  <c r="F421" i="10"/>
  <c r="G421" i="10" s="1"/>
  <c r="B421" i="10"/>
  <c r="F496" i="10"/>
  <c r="G496" i="10" s="1"/>
  <c r="H496" i="10"/>
  <c r="I496" i="10" s="1"/>
  <c r="H508" i="10"/>
  <c r="I508" i="10" s="1"/>
  <c r="L475" i="10"/>
  <c r="F446" i="10"/>
  <c r="G446" i="10" s="1"/>
  <c r="B446" i="10"/>
  <c r="H446" i="10"/>
  <c r="I446" i="10" s="1"/>
  <c r="H439" i="10"/>
  <c r="I439" i="10" s="1"/>
  <c r="F439" i="10"/>
  <c r="G439" i="10" s="1"/>
  <c r="B439" i="10"/>
  <c r="F431" i="10"/>
  <c r="G431" i="10" s="1"/>
  <c r="B431" i="10"/>
  <c r="H431" i="10"/>
  <c r="I431" i="10" s="1"/>
  <c r="H427" i="10"/>
  <c r="I427" i="10" s="1"/>
  <c r="F427" i="10"/>
  <c r="G427" i="10" s="1"/>
  <c r="B427" i="10"/>
  <c r="H477" i="10"/>
  <c r="I477" i="10" s="1"/>
  <c r="B467" i="10"/>
  <c r="F467" i="10"/>
  <c r="G467" i="10" s="1"/>
  <c r="F452" i="10"/>
  <c r="G452" i="10" s="1"/>
  <c r="B452" i="10"/>
  <c r="H452" i="10"/>
  <c r="I452" i="10" s="1"/>
  <c r="F449" i="10"/>
  <c r="G449" i="10" s="1"/>
  <c r="B449" i="10"/>
  <c r="H449" i="10"/>
  <c r="I449" i="10" s="1"/>
  <c r="H438" i="10"/>
  <c r="I438" i="10" s="1"/>
  <c r="L420" i="10"/>
  <c r="J420" i="10"/>
  <c r="B460" i="10"/>
  <c r="F460" i="10"/>
  <c r="G460" i="10" s="1"/>
  <c r="H460" i="10"/>
  <c r="I460" i="10" s="1"/>
  <c r="F458" i="10"/>
  <c r="G458" i="10" s="1"/>
  <c r="B458" i="10"/>
  <c r="H458" i="10"/>
  <c r="I458" i="10" s="1"/>
  <c r="F455" i="10"/>
  <c r="G455" i="10" s="1"/>
  <c r="B455" i="10"/>
  <c r="H455" i="10"/>
  <c r="I455" i="10" s="1"/>
  <c r="H448" i="10"/>
  <c r="I448" i="10" s="1"/>
  <c r="B442" i="10"/>
  <c r="F442" i="10"/>
  <c r="G442" i="10" s="1"/>
  <c r="L426" i="10"/>
  <c r="J426" i="10"/>
  <c r="B463" i="10"/>
  <c r="F424" i="10"/>
  <c r="G424" i="10" s="1"/>
  <c r="J410" i="10"/>
  <c r="L410" i="10"/>
  <c r="B408" i="10"/>
  <c r="F408" i="10"/>
  <c r="G408" i="10" s="1"/>
  <c r="H408" i="10"/>
  <c r="I408" i="10" s="1"/>
  <c r="B405" i="10"/>
  <c r="F405" i="10"/>
  <c r="G405" i="10" s="1"/>
  <c r="H405" i="10"/>
  <c r="I405" i="10" s="1"/>
  <c r="B384" i="10"/>
  <c r="F384" i="10"/>
  <c r="G384" i="10" s="1"/>
  <c r="H384" i="10"/>
  <c r="I384" i="10" s="1"/>
  <c r="J407" i="10"/>
  <c r="F402" i="10"/>
  <c r="G402" i="10" s="1"/>
  <c r="H402" i="10"/>
  <c r="I402" i="10" s="1"/>
  <c r="B402" i="10"/>
  <c r="H399" i="10"/>
  <c r="I399" i="10" s="1"/>
  <c r="B399" i="10"/>
  <c r="F399" i="10"/>
  <c r="G399" i="10" s="1"/>
  <c r="H387" i="10"/>
  <c r="I387" i="10" s="1"/>
  <c r="B387" i="10"/>
  <c r="F387" i="10"/>
  <c r="G387" i="10" s="1"/>
  <c r="B468" i="10"/>
  <c r="B465" i="10"/>
  <c r="H428" i="10"/>
  <c r="I428" i="10" s="1"/>
  <c r="H425" i="10"/>
  <c r="I425" i="10" s="1"/>
  <c r="B418" i="10"/>
  <c r="B416" i="10"/>
  <c r="B396" i="10"/>
  <c r="F396" i="10"/>
  <c r="G396" i="10" s="1"/>
  <c r="H396" i="10"/>
  <c r="I396" i="10" s="1"/>
  <c r="B393" i="10"/>
  <c r="F393" i="10"/>
  <c r="G393" i="10" s="1"/>
  <c r="H393" i="10"/>
  <c r="I393" i="10" s="1"/>
  <c r="B424" i="10"/>
  <c r="F410" i="10"/>
  <c r="G410" i="10" s="1"/>
  <c r="B410" i="10"/>
  <c r="F390" i="10"/>
  <c r="G390" i="10" s="1"/>
  <c r="H390" i="10"/>
  <c r="I390" i="10" s="1"/>
  <c r="B390" i="10"/>
  <c r="J415" i="10"/>
  <c r="F407" i="10"/>
  <c r="G407" i="10" s="1"/>
  <c r="B407" i="10"/>
  <c r="B404" i="10"/>
  <c r="F404" i="10"/>
  <c r="G404" i="10" s="1"/>
  <c r="H404" i="10"/>
  <c r="I404" i="10" s="1"/>
  <c r="L389" i="10"/>
  <c r="J389" i="10"/>
  <c r="L413" i="10"/>
  <c r="J406" i="10"/>
  <c r="B401" i="10"/>
  <c r="F401" i="10"/>
  <c r="G401" i="10" s="1"/>
  <c r="F398" i="10"/>
  <c r="G398" i="10" s="1"/>
  <c r="H398" i="10"/>
  <c r="I398" i="10" s="1"/>
  <c r="B398" i="10"/>
  <c r="H462" i="10"/>
  <c r="I462" i="10" s="1"/>
  <c r="B428" i="10"/>
  <c r="B425" i="10"/>
  <c r="J400" i="10"/>
  <c r="F395" i="10"/>
  <c r="G395" i="10" s="1"/>
  <c r="B395" i="10"/>
  <c r="B392" i="10"/>
  <c r="F392" i="10"/>
  <c r="G392" i="10" s="1"/>
  <c r="H392" i="10"/>
  <c r="I392" i="10" s="1"/>
  <c r="B409" i="10"/>
  <c r="F409" i="10"/>
  <c r="G409" i="10" s="1"/>
  <c r="H409" i="10"/>
  <c r="I409" i="10" s="1"/>
  <c r="B389" i="10"/>
  <c r="F389" i="10"/>
  <c r="G389" i="10" s="1"/>
  <c r="B459" i="10"/>
  <c r="F441" i="10"/>
  <c r="G441" i="10" s="1"/>
  <c r="F435" i="10"/>
  <c r="G435" i="10" s="1"/>
  <c r="F429" i="10"/>
  <c r="G429" i="10" s="1"/>
  <c r="B415" i="10"/>
  <c r="F406" i="10"/>
  <c r="G406" i="10" s="1"/>
  <c r="B406" i="10"/>
  <c r="H403" i="10"/>
  <c r="I403" i="10" s="1"/>
  <c r="B403" i="10"/>
  <c r="F403" i="10"/>
  <c r="G403" i="10" s="1"/>
  <c r="H465" i="10"/>
  <c r="I465" i="10" s="1"/>
  <c r="H418" i="10"/>
  <c r="I418" i="10" s="1"/>
  <c r="B413" i="10"/>
  <c r="F413" i="10"/>
  <c r="G413" i="10" s="1"/>
  <c r="B400" i="10"/>
  <c r="F400" i="10"/>
  <c r="G400" i="10" s="1"/>
  <c r="B397" i="10"/>
  <c r="F397" i="10"/>
  <c r="G397" i="10" s="1"/>
  <c r="H397" i="10"/>
  <c r="I397" i="10" s="1"/>
  <c r="B432" i="10"/>
  <c r="F432" i="10"/>
  <c r="G432" i="10" s="1"/>
  <c r="B426" i="10"/>
  <c r="F426" i="10"/>
  <c r="G426" i="10" s="1"/>
  <c r="B420" i="10"/>
  <c r="F420" i="10"/>
  <c r="G420" i="10" s="1"/>
  <c r="F394" i="10"/>
  <c r="G394" i="10" s="1"/>
  <c r="B394" i="10"/>
  <c r="H391" i="10"/>
  <c r="I391" i="10" s="1"/>
  <c r="B391" i="10"/>
  <c r="F391" i="10"/>
  <c r="G391" i="10" s="1"/>
  <c r="B388" i="10"/>
  <c r="F388" i="10"/>
  <c r="G388" i="10" s="1"/>
  <c r="H388" i="10"/>
  <c r="I388" i="10" s="1"/>
  <c r="H416" i="10"/>
  <c r="I416" i="10" s="1"/>
  <c r="B386" i="10"/>
  <c r="B382" i="10"/>
  <c r="H380" i="10"/>
  <c r="I380" i="10" s="1"/>
  <c r="B376" i="10"/>
  <c r="F376" i="10"/>
  <c r="G376" i="10" s="1"/>
  <c r="B383" i="10"/>
  <c r="F380" i="10"/>
  <c r="G380" i="10" s="1"/>
  <c r="H385" i="10"/>
  <c r="I385" i="10" s="1"/>
  <c r="H381" i="10"/>
  <c r="I381" i="10" s="1"/>
  <c r="F385" i="10"/>
  <c r="G385" i="10" s="1"/>
  <c r="F381" i="10"/>
  <c r="G381" i="10" s="1"/>
  <c r="B375" i="10"/>
  <c r="F375" i="10"/>
  <c r="G375" i="10" s="1"/>
  <c r="H375" i="10"/>
  <c r="I375" i="10" s="1"/>
  <c r="H386" i="10"/>
  <c r="I386" i="10" s="1"/>
  <c r="H378" i="10"/>
  <c r="I378" i="10" s="1"/>
  <c r="F378" i="10"/>
  <c r="G378" i="10" s="1"/>
  <c r="H376" i="10"/>
  <c r="I376" i="10" s="1"/>
  <c r="B374" i="10"/>
  <c r="F374" i="10"/>
  <c r="G374" i="10" s="1"/>
  <c r="H374" i="10"/>
  <c r="I374" i="10" s="1"/>
  <c r="B371" i="10"/>
  <c r="F371" i="10"/>
  <c r="G371" i="10" s="1"/>
  <c r="H371" i="10"/>
  <c r="I371" i="10" s="1"/>
  <c r="F367" i="10"/>
  <c r="G367" i="10" s="1"/>
  <c r="H367" i="10"/>
  <c r="I367" i="10" s="1"/>
  <c r="B367" i="10"/>
  <c r="B370" i="10"/>
  <c r="H370" i="10"/>
  <c r="I370" i="10" s="1"/>
  <c r="F370" i="10"/>
  <c r="G370" i="10" s="1"/>
  <c r="F366" i="10"/>
  <c r="G366" i="10" s="1"/>
  <c r="H366" i="10"/>
  <c r="I366" i="10" s="1"/>
  <c r="B366" i="10"/>
  <c r="H365" i="10"/>
  <c r="I365" i="10" s="1"/>
  <c r="B365" i="10"/>
  <c r="F365" i="10"/>
  <c r="G365" i="10" s="1"/>
  <c r="B373" i="10"/>
  <c r="F373" i="10"/>
  <c r="G373" i="10" s="1"/>
  <c r="H373" i="10"/>
  <c r="I373" i="10" s="1"/>
  <c r="B369" i="10"/>
  <c r="F369" i="10"/>
  <c r="G369" i="10" s="1"/>
  <c r="H369" i="10"/>
  <c r="I369" i="10" s="1"/>
  <c r="B364" i="10"/>
  <c r="F364" i="10"/>
  <c r="G364" i="10" s="1"/>
  <c r="H364" i="10"/>
  <c r="I364" i="10" s="1"/>
  <c r="F372" i="10"/>
  <c r="G372" i="10" s="1"/>
  <c r="H372" i="10"/>
  <c r="I372" i="10" s="1"/>
  <c r="B372" i="10"/>
  <c r="B368" i="10"/>
  <c r="F368" i="10"/>
  <c r="G368" i="10" s="1"/>
  <c r="H368" i="10"/>
  <c r="I368" i="10" s="1"/>
  <c r="B363" i="10"/>
  <c r="F363" i="10"/>
  <c r="G363" i="10" s="1"/>
  <c r="H363" i="10"/>
  <c r="I363" i="10" s="1"/>
  <c r="B362" i="10"/>
  <c r="F362" i="10"/>
  <c r="G362" i="10" s="1"/>
  <c r="H362" i="10"/>
  <c r="I362" i="10" s="1"/>
  <c r="B247" i="10"/>
  <c r="F247" i="10"/>
  <c r="G247" i="10" s="1"/>
  <c r="B359" i="10"/>
  <c r="F359" i="10"/>
  <c r="G359" i="10" s="1"/>
  <c r="H359" i="10"/>
  <c r="I359" i="10" s="1"/>
  <c r="J359" i="10" s="1"/>
  <c r="B355" i="10"/>
  <c r="F355" i="10"/>
  <c r="G355" i="10" s="1"/>
  <c r="H355" i="10"/>
  <c r="I355" i="10" s="1"/>
  <c r="J355" i="10" s="1"/>
  <c r="B351" i="10"/>
  <c r="F351" i="10"/>
  <c r="G351" i="10" s="1"/>
  <c r="H351" i="10"/>
  <c r="I351" i="10" s="1"/>
  <c r="J351" i="10" s="1"/>
  <c r="F347" i="10"/>
  <c r="G347" i="10" s="1"/>
  <c r="H347" i="10"/>
  <c r="I347" i="10" s="1"/>
  <c r="J347" i="10" s="1"/>
  <c r="B347" i="10"/>
  <c r="B343" i="10"/>
  <c r="F343" i="10"/>
  <c r="G343" i="10" s="1"/>
  <c r="H343" i="10"/>
  <c r="I343" i="10" s="1"/>
  <c r="L343" i="10" s="1"/>
  <c r="B339" i="10"/>
  <c r="F339" i="10"/>
  <c r="G339" i="10" s="1"/>
  <c r="H339" i="10"/>
  <c r="I339" i="10" s="1"/>
  <c r="J339" i="10" s="1"/>
  <c r="B335" i="10"/>
  <c r="F335" i="10"/>
  <c r="G335" i="10" s="1"/>
  <c r="H335" i="10"/>
  <c r="I335" i="10" s="1"/>
  <c r="L335" i="10" s="1"/>
  <c r="B330" i="10"/>
  <c r="F330" i="10"/>
  <c r="G330" i="10" s="1"/>
  <c r="H330" i="10"/>
  <c r="I330" i="10" s="1"/>
  <c r="J330" i="10" s="1"/>
  <c r="F354" i="10"/>
  <c r="G354" i="10" s="1"/>
  <c r="H354" i="10"/>
  <c r="I354" i="10" s="1"/>
  <c r="L354" i="10" s="1"/>
  <c r="B354" i="10"/>
  <c r="F350" i="10"/>
  <c r="G350" i="10" s="1"/>
  <c r="H350" i="10"/>
  <c r="I350" i="10" s="1"/>
  <c r="L350" i="10" s="1"/>
  <c r="B350" i="10"/>
  <c r="B342" i="10"/>
  <c r="F342" i="10"/>
  <c r="G342" i="10" s="1"/>
  <c r="H342" i="10"/>
  <c r="I342" i="10" s="1"/>
  <c r="L342" i="10" s="1"/>
  <c r="B338" i="10"/>
  <c r="F338" i="10"/>
  <c r="G338" i="10" s="1"/>
  <c r="H338" i="10"/>
  <c r="I338" i="10" s="1"/>
  <c r="J338" i="10" s="1"/>
  <c r="B329" i="10"/>
  <c r="F329" i="10"/>
  <c r="G329" i="10" s="1"/>
  <c r="H329" i="10"/>
  <c r="I329" i="10" s="1"/>
  <c r="J329" i="10" s="1"/>
  <c r="B361" i="10"/>
  <c r="F361" i="10"/>
  <c r="G361" i="10" s="1"/>
  <c r="H361" i="10"/>
  <c r="I361" i="10" s="1"/>
  <c r="L361" i="10" s="1"/>
  <c r="F357" i="10"/>
  <c r="G357" i="10" s="1"/>
  <c r="H357" i="10"/>
  <c r="I357" i="10" s="1"/>
  <c r="J357" i="10" s="1"/>
  <c r="B357" i="10"/>
  <c r="B353" i="10"/>
  <c r="F353" i="10"/>
  <c r="G353" i="10" s="1"/>
  <c r="H353" i="10"/>
  <c r="I353" i="10" s="1"/>
  <c r="L353" i="10" s="1"/>
  <c r="B349" i="10"/>
  <c r="F349" i="10"/>
  <c r="G349" i="10" s="1"/>
  <c r="H349" i="10"/>
  <c r="I349" i="10" s="1"/>
  <c r="J349" i="10" s="1"/>
  <c r="B345" i="10"/>
  <c r="F345" i="10"/>
  <c r="G345" i="10" s="1"/>
  <c r="H345" i="10"/>
  <c r="I345" i="10" s="1"/>
  <c r="J345" i="10" s="1"/>
  <c r="F341" i="10"/>
  <c r="G341" i="10" s="1"/>
  <c r="H341" i="10"/>
  <c r="I341" i="10" s="1"/>
  <c r="J341" i="10" s="1"/>
  <c r="B341" i="10"/>
  <c r="F337" i="10"/>
  <c r="G337" i="10" s="1"/>
  <c r="H337" i="10"/>
  <c r="I337" i="10" s="1"/>
  <c r="J337" i="10" s="1"/>
  <c r="B337" i="10"/>
  <c r="B333" i="10"/>
  <c r="F333" i="10"/>
  <c r="G333" i="10" s="1"/>
  <c r="H333" i="10"/>
  <c r="I333" i="10" s="1"/>
  <c r="J333" i="10" s="1"/>
  <c r="H328" i="10"/>
  <c r="I328" i="10" s="1"/>
  <c r="B328" i="10"/>
  <c r="F328" i="10"/>
  <c r="G328" i="10" s="1"/>
  <c r="B332" i="10"/>
  <c r="F332" i="10"/>
  <c r="G332" i="10" s="1"/>
  <c r="H332" i="10"/>
  <c r="I332" i="10" s="1"/>
  <c r="J332" i="10" s="1"/>
  <c r="F360" i="10"/>
  <c r="G360" i="10" s="1"/>
  <c r="H360" i="10"/>
  <c r="I360" i="10" s="1"/>
  <c r="J360" i="10" s="1"/>
  <c r="B360" i="10"/>
  <c r="B356" i="10"/>
  <c r="F356" i="10"/>
  <c r="G356" i="10" s="1"/>
  <c r="H356" i="10"/>
  <c r="I356" i="10" s="1"/>
  <c r="J356" i="10" s="1"/>
  <c r="B348" i="10"/>
  <c r="F348" i="10"/>
  <c r="G348" i="10" s="1"/>
  <c r="H348" i="10"/>
  <c r="I348" i="10" s="1"/>
  <c r="L348" i="10" s="1"/>
  <c r="F344" i="10"/>
  <c r="G344" i="10" s="1"/>
  <c r="H344" i="10"/>
  <c r="I344" i="10" s="1"/>
  <c r="J344" i="10" s="1"/>
  <c r="B344" i="10"/>
  <c r="B336" i="10"/>
  <c r="F336" i="10"/>
  <c r="G336" i="10" s="1"/>
  <c r="H336" i="10"/>
  <c r="I336" i="10" s="1"/>
  <c r="J336" i="10" s="1"/>
  <c r="F327" i="10"/>
  <c r="G327" i="10" s="1"/>
  <c r="H327" i="10"/>
  <c r="I327" i="10" s="1"/>
  <c r="J327" i="10" s="1"/>
  <c r="B327" i="10"/>
  <c r="F331" i="10"/>
  <c r="G331" i="10" s="1"/>
  <c r="H331" i="10"/>
  <c r="I331" i="10" s="1"/>
  <c r="J331" i="10" s="1"/>
  <c r="B331" i="10"/>
  <c r="B326" i="10"/>
  <c r="F326" i="10"/>
  <c r="G326" i="10" s="1"/>
  <c r="H326" i="10"/>
  <c r="I326" i="10" s="1"/>
  <c r="J326" i="10" s="1"/>
  <c r="H245" i="10"/>
  <c r="I245" i="10" s="1"/>
  <c r="L245" i="10" s="1"/>
  <c r="H358" i="10"/>
  <c r="I358" i="10" s="1"/>
  <c r="J358" i="10" s="1"/>
  <c r="B340" i="10"/>
  <c r="F245" i="10"/>
  <c r="G245" i="10" s="1"/>
  <c r="H299" i="10"/>
  <c r="I299" i="10" s="1"/>
  <c r="J299" i="10" s="1"/>
  <c r="H247" i="10"/>
  <c r="I247" i="10" s="1"/>
  <c r="L247" i="10" s="1"/>
  <c r="F358" i="10"/>
  <c r="G358" i="10" s="1"/>
  <c r="H352" i="10"/>
  <c r="I352" i="10" s="1"/>
  <c r="B334" i="10"/>
  <c r="F352" i="10"/>
  <c r="G352" i="10" s="1"/>
  <c r="H346" i="10"/>
  <c r="I346" i="10" s="1"/>
  <c r="J346" i="10" s="1"/>
  <c r="H257" i="10"/>
  <c r="I257" i="10" s="1"/>
  <c r="L257" i="10" s="1"/>
  <c r="F346" i="10"/>
  <c r="G346" i="10" s="1"/>
  <c r="H340" i="10"/>
  <c r="I340" i="10" s="1"/>
  <c r="J340" i="10" s="1"/>
  <c r="H275" i="10"/>
  <c r="I275" i="10" s="1"/>
  <c r="L275" i="10" s="1"/>
  <c r="H334" i="10"/>
  <c r="I334" i="10" s="1"/>
  <c r="J334" i="10" s="1"/>
  <c r="J311" i="10"/>
  <c r="J322" i="10"/>
  <c r="J316" i="10"/>
  <c r="B317" i="10"/>
  <c r="F317" i="10"/>
  <c r="G317" i="10" s="1"/>
  <c r="B323" i="10"/>
  <c r="F323" i="10"/>
  <c r="G323" i="10" s="1"/>
  <c r="L310" i="10"/>
  <c r="J310" i="10"/>
  <c r="B325" i="10"/>
  <c r="F325" i="10"/>
  <c r="G325" i="10" s="1"/>
  <c r="H325" i="10"/>
  <c r="I325" i="10" s="1"/>
  <c r="B303" i="10"/>
  <c r="F303" i="10"/>
  <c r="G303" i="10" s="1"/>
  <c r="H303" i="10"/>
  <c r="I303" i="10" s="1"/>
  <c r="B296" i="10"/>
  <c r="F296" i="10"/>
  <c r="G296" i="10" s="1"/>
  <c r="H296" i="10"/>
  <c r="I296" i="10" s="1"/>
  <c r="L263" i="10"/>
  <c r="J263" i="10"/>
  <c r="B285" i="10"/>
  <c r="F285" i="10"/>
  <c r="G285" i="10" s="1"/>
  <c r="H285" i="10"/>
  <c r="I285" i="10" s="1"/>
  <c r="B321" i="10"/>
  <c r="F321" i="10"/>
  <c r="G321" i="10" s="1"/>
  <c r="H321" i="10"/>
  <c r="I321" i="10" s="1"/>
  <c r="B309" i="10"/>
  <c r="F309" i="10"/>
  <c r="G309" i="10" s="1"/>
  <c r="H309" i="10"/>
  <c r="I309" i="10" s="1"/>
  <c r="F306" i="10"/>
  <c r="G306" i="10" s="1"/>
  <c r="H306" i="10"/>
  <c r="I306" i="10" s="1"/>
  <c r="B306" i="10"/>
  <c r="B292" i="10"/>
  <c r="F292" i="10"/>
  <c r="G292" i="10" s="1"/>
  <c r="H292" i="10"/>
  <c r="I292" i="10" s="1"/>
  <c r="F318" i="10"/>
  <c r="G318" i="10" s="1"/>
  <c r="H318" i="10"/>
  <c r="I318" i="10" s="1"/>
  <c r="B318" i="10"/>
  <c r="B312" i="10"/>
  <c r="F312" i="10"/>
  <c r="G312" i="10" s="1"/>
  <c r="H312" i="10"/>
  <c r="I312" i="10" s="1"/>
  <c r="L251" i="10"/>
  <c r="J251" i="10"/>
  <c r="B315" i="10"/>
  <c r="F315" i="10"/>
  <c r="G315" i="10" s="1"/>
  <c r="H315" i="10"/>
  <c r="I315" i="10" s="1"/>
  <c r="H317" i="10"/>
  <c r="I317" i="10" s="1"/>
  <c r="F302" i="10"/>
  <c r="G302" i="10" s="1"/>
  <c r="H302" i="10"/>
  <c r="I302" i="10" s="1"/>
  <c r="B302" i="10"/>
  <c r="B308" i="10"/>
  <c r="F308" i="10"/>
  <c r="G308" i="10" s="1"/>
  <c r="H308" i="10"/>
  <c r="I308" i="10" s="1"/>
  <c r="B305" i="10"/>
  <c r="F305" i="10"/>
  <c r="G305" i="10" s="1"/>
  <c r="H305" i="10"/>
  <c r="I305" i="10" s="1"/>
  <c r="B320" i="10"/>
  <c r="F320" i="10"/>
  <c r="G320" i="10" s="1"/>
  <c r="H320" i="10"/>
  <c r="I320" i="10" s="1"/>
  <c r="F314" i="10"/>
  <c r="G314" i="10" s="1"/>
  <c r="H314" i="10"/>
  <c r="I314" i="10" s="1"/>
  <c r="B314" i="10"/>
  <c r="B311" i="10"/>
  <c r="F311" i="10"/>
  <c r="G311" i="10" s="1"/>
  <c r="B301" i="10"/>
  <c r="F301" i="10"/>
  <c r="G301" i="10" s="1"/>
  <c r="H301" i="10"/>
  <c r="I301" i="10" s="1"/>
  <c r="B304" i="10"/>
  <c r="F304" i="10"/>
  <c r="G304" i="10" s="1"/>
  <c r="H304" i="10"/>
  <c r="I304" i="10" s="1"/>
  <c r="B253" i="10"/>
  <c r="F253" i="10"/>
  <c r="G253" i="10" s="1"/>
  <c r="H253" i="10"/>
  <c r="I253" i="10" s="1"/>
  <c r="B297" i="10"/>
  <c r="F297" i="10"/>
  <c r="G297" i="10" s="1"/>
  <c r="H297" i="10"/>
  <c r="I297" i="10" s="1"/>
  <c r="F322" i="10"/>
  <c r="G322" i="10" s="1"/>
  <c r="B322" i="10"/>
  <c r="B319" i="10"/>
  <c r="F319" i="10"/>
  <c r="G319" i="10" s="1"/>
  <c r="H319" i="10"/>
  <c r="I319" i="10" s="1"/>
  <c r="B313" i="10"/>
  <c r="F313" i="10"/>
  <c r="G313" i="10" s="1"/>
  <c r="H313" i="10"/>
  <c r="I313" i="10" s="1"/>
  <c r="B324" i="10"/>
  <c r="F324" i="10"/>
  <c r="G324" i="10" s="1"/>
  <c r="H324" i="10"/>
  <c r="I324" i="10" s="1"/>
  <c r="H323" i="10"/>
  <c r="I323" i="10" s="1"/>
  <c r="B316" i="10"/>
  <c r="F316" i="10"/>
  <c r="G316" i="10" s="1"/>
  <c r="F310" i="10"/>
  <c r="G310" i="10" s="1"/>
  <c r="B310" i="10"/>
  <c r="B300" i="10"/>
  <c r="F300" i="10"/>
  <c r="G300" i="10" s="1"/>
  <c r="H300" i="10"/>
  <c r="I300" i="10" s="1"/>
  <c r="B293" i="10"/>
  <c r="F293" i="10"/>
  <c r="G293" i="10" s="1"/>
  <c r="H293" i="10"/>
  <c r="I293" i="10" s="1"/>
  <c r="H307" i="10"/>
  <c r="I307" i="10" s="1"/>
  <c r="F275" i="10"/>
  <c r="G275" i="10" s="1"/>
  <c r="H271" i="10"/>
  <c r="I271" i="10" s="1"/>
  <c r="H267" i="10"/>
  <c r="I267" i="10" s="1"/>
  <c r="F263" i="10"/>
  <c r="G263" i="10" s="1"/>
  <c r="H259" i="10"/>
  <c r="I259" i="10" s="1"/>
  <c r="H255" i="10"/>
  <c r="I255" i="10" s="1"/>
  <c r="F299" i="10"/>
  <c r="G299" i="10" s="1"/>
  <c r="H295" i="10"/>
  <c r="I295" i="10" s="1"/>
  <c r="H291" i="10"/>
  <c r="I291" i="10" s="1"/>
  <c r="F287" i="10"/>
  <c r="G287" i="10" s="1"/>
  <c r="H283" i="10"/>
  <c r="I283" i="10" s="1"/>
  <c r="H279" i="10"/>
  <c r="I279" i="10" s="1"/>
  <c r="F251" i="10"/>
  <c r="G251" i="10" s="1"/>
  <c r="F307" i="10"/>
  <c r="G307" i="10" s="1"/>
  <c r="B298" i="10"/>
  <c r="F295" i="10"/>
  <c r="G295" i="10" s="1"/>
  <c r="B294" i="10"/>
  <c r="F291" i="10"/>
  <c r="G291" i="10" s="1"/>
  <c r="B290" i="10"/>
  <c r="B286" i="10"/>
  <c r="F283" i="10"/>
  <c r="G283" i="10" s="1"/>
  <c r="B282" i="10"/>
  <c r="F279" i="10"/>
  <c r="G279" i="10" s="1"/>
  <c r="B278" i="10"/>
  <c r="B274" i="10"/>
  <c r="F271" i="10"/>
  <c r="G271" i="10" s="1"/>
  <c r="B270" i="10"/>
  <c r="F267" i="10"/>
  <c r="G267" i="10" s="1"/>
  <c r="B266" i="10"/>
  <c r="B262" i="10"/>
  <c r="F259" i="10"/>
  <c r="G259" i="10" s="1"/>
  <c r="B258" i="10"/>
  <c r="F255" i="10"/>
  <c r="G255" i="10" s="1"/>
  <c r="B254" i="10"/>
  <c r="B250" i="10"/>
  <c r="B244" i="10"/>
  <c r="F244" i="10"/>
  <c r="G244" i="10" s="1"/>
  <c r="H280" i="10"/>
  <c r="I280" i="10" s="1"/>
  <c r="H268" i="10"/>
  <c r="I268" i="10" s="1"/>
  <c r="H288" i="10"/>
  <c r="I288" i="10" s="1"/>
  <c r="H284" i="10"/>
  <c r="I284" i="10" s="1"/>
  <c r="H276" i="10"/>
  <c r="I276" i="10" s="1"/>
  <c r="H272" i="10"/>
  <c r="I272" i="10" s="1"/>
  <c r="H264" i="10"/>
  <c r="I264" i="10" s="1"/>
  <c r="H260" i="10"/>
  <c r="I260" i="10" s="1"/>
  <c r="H252" i="10"/>
  <c r="I252" i="10" s="1"/>
  <c r="H248" i="10"/>
  <c r="I248" i="10" s="1"/>
  <c r="H256" i="10"/>
  <c r="I256" i="10" s="1"/>
  <c r="F288" i="10"/>
  <c r="G288" i="10" s="1"/>
  <c r="F284" i="10"/>
  <c r="G284" i="10" s="1"/>
  <c r="F280" i="10"/>
  <c r="G280" i="10" s="1"/>
  <c r="F276" i="10"/>
  <c r="G276" i="10" s="1"/>
  <c r="F272" i="10"/>
  <c r="G272" i="10" s="1"/>
  <c r="F268" i="10"/>
  <c r="G268" i="10" s="1"/>
  <c r="F264" i="10"/>
  <c r="G264" i="10" s="1"/>
  <c r="B263" i="10"/>
  <c r="F260" i="10"/>
  <c r="G260" i="10" s="1"/>
  <c r="F256" i="10"/>
  <c r="G256" i="10" s="1"/>
  <c r="F252" i="10"/>
  <c r="G252" i="10" s="1"/>
  <c r="B251" i="10"/>
  <c r="F248" i="10"/>
  <c r="G248" i="10" s="1"/>
  <c r="H281" i="10"/>
  <c r="I281" i="10" s="1"/>
  <c r="H269" i="10"/>
  <c r="I269" i="10" s="1"/>
  <c r="H289" i="10"/>
  <c r="I289" i="10" s="1"/>
  <c r="F257" i="10"/>
  <c r="G257" i="10" s="1"/>
  <c r="H249" i="10"/>
  <c r="I249" i="10" s="1"/>
  <c r="F281" i="10"/>
  <c r="G281" i="10" s="1"/>
  <c r="H277" i="10"/>
  <c r="I277" i="10" s="1"/>
  <c r="H273" i="10"/>
  <c r="I273" i="10" s="1"/>
  <c r="F269" i="10"/>
  <c r="G269" i="10" s="1"/>
  <c r="H265" i="10"/>
  <c r="I265" i="10" s="1"/>
  <c r="H261" i="10"/>
  <c r="I261" i="10" s="1"/>
  <c r="F289" i="10"/>
  <c r="G289" i="10" s="1"/>
  <c r="F277" i="10"/>
  <c r="G277" i="10" s="1"/>
  <c r="F273" i="10"/>
  <c r="G273" i="10" s="1"/>
  <c r="F265" i="10"/>
  <c r="G265" i="10" s="1"/>
  <c r="F261" i="10"/>
  <c r="G261" i="10" s="1"/>
  <c r="F249" i="10"/>
  <c r="G249" i="10" s="1"/>
  <c r="B243" i="10"/>
  <c r="F243" i="10"/>
  <c r="G243" i="10" s="1"/>
  <c r="H243" i="10"/>
  <c r="I243" i="10" s="1"/>
  <c r="H298" i="10"/>
  <c r="I298" i="10" s="1"/>
  <c r="H286" i="10"/>
  <c r="I286" i="10" s="1"/>
  <c r="H246" i="10"/>
  <c r="I246" i="10" s="1"/>
  <c r="H274" i="10"/>
  <c r="I274" i="10" s="1"/>
  <c r="H262" i="10"/>
  <c r="I262" i="10" s="1"/>
  <c r="H250" i="10"/>
  <c r="I250" i="10" s="1"/>
  <c r="H294" i="10"/>
  <c r="I294" i="10" s="1"/>
  <c r="H290" i="10"/>
  <c r="I290" i="10" s="1"/>
  <c r="H282" i="10"/>
  <c r="I282" i="10" s="1"/>
  <c r="H278" i="10"/>
  <c r="I278" i="10" s="1"/>
  <c r="H270" i="10"/>
  <c r="I270" i="10" s="1"/>
  <c r="H266" i="10"/>
  <c r="I266" i="10" s="1"/>
  <c r="H258" i="10"/>
  <c r="I258" i="10" s="1"/>
  <c r="H254" i="10"/>
  <c r="I254" i="10" s="1"/>
  <c r="F246" i="10"/>
  <c r="G246" i="10" s="1"/>
  <c r="H244" i="10"/>
  <c r="I244" i="10" s="1"/>
  <c r="B242" i="10"/>
  <c r="F242" i="10"/>
  <c r="G242" i="10" s="1"/>
  <c r="H242" i="10"/>
  <c r="I242" i="10" s="1"/>
  <c r="H238" i="10"/>
  <c r="I238" i="10" s="1"/>
  <c r="B238" i="10"/>
  <c r="F238" i="10"/>
  <c r="G238" i="10" s="1"/>
  <c r="F234" i="10"/>
  <c r="G234" i="10" s="1"/>
  <c r="H234" i="10"/>
  <c r="I234" i="10" s="1"/>
  <c r="B234" i="10"/>
  <c r="B230" i="10"/>
  <c r="F230" i="10"/>
  <c r="G230" i="10" s="1"/>
  <c r="H230" i="10"/>
  <c r="I230" i="10" s="1"/>
  <c r="H226" i="10"/>
  <c r="I226" i="10" s="1"/>
  <c r="B226" i="10"/>
  <c r="F226" i="10"/>
  <c r="G226" i="10" s="1"/>
  <c r="F222" i="10"/>
  <c r="G222" i="10" s="1"/>
  <c r="H222" i="10"/>
  <c r="I222" i="10" s="1"/>
  <c r="B222" i="10"/>
  <c r="F241" i="10"/>
  <c r="G241" i="10" s="1"/>
  <c r="H241" i="10"/>
  <c r="I241" i="10" s="1"/>
  <c r="B241" i="10"/>
  <c r="B237" i="10"/>
  <c r="F237" i="10"/>
  <c r="G237" i="10" s="1"/>
  <c r="H237" i="10"/>
  <c r="I237" i="10" s="1"/>
  <c r="H233" i="10"/>
  <c r="I233" i="10" s="1"/>
  <c r="B233" i="10"/>
  <c r="F233" i="10"/>
  <c r="G233" i="10" s="1"/>
  <c r="B229" i="10"/>
  <c r="F229" i="10"/>
  <c r="G229" i="10" s="1"/>
  <c r="H229" i="10"/>
  <c r="I229" i="10" s="1"/>
  <c r="B225" i="10"/>
  <c r="F225" i="10"/>
  <c r="G225" i="10" s="1"/>
  <c r="H225" i="10"/>
  <c r="I225" i="10" s="1"/>
  <c r="H221" i="10"/>
  <c r="I221" i="10" s="1"/>
  <c r="B221" i="10"/>
  <c r="F221" i="10"/>
  <c r="G221" i="10" s="1"/>
  <c r="F240" i="10"/>
  <c r="G240" i="10" s="1"/>
  <c r="H240" i="10"/>
  <c r="I240" i="10" s="1"/>
  <c r="B240" i="10"/>
  <c r="B236" i="10"/>
  <c r="F236" i="10"/>
  <c r="G236" i="10" s="1"/>
  <c r="H236" i="10"/>
  <c r="I236" i="10" s="1"/>
  <c r="B232" i="10"/>
  <c r="F232" i="10"/>
  <c r="G232" i="10" s="1"/>
  <c r="H232" i="10"/>
  <c r="I232" i="10" s="1"/>
  <c r="F228" i="10"/>
  <c r="G228" i="10" s="1"/>
  <c r="H228" i="10"/>
  <c r="I228" i="10" s="1"/>
  <c r="B228" i="10"/>
  <c r="B224" i="10"/>
  <c r="F224" i="10"/>
  <c r="G224" i="10" s="1"/>
  <c r="H224" i="10"/>
  <c r="I224" i="10" s="1"/>
  <c r="B220" i="10"/>
  <c r="F220" i="10"/>
  <c r="G220" i="10" s="1"/>
  <c r="H220" i="10"/>
  <c r="I220" i="10" s="1"/>
  <c r="B219" i="10"/>
  <c r="F219" i="10"/>
  <c r="G219" i="10" s="1"/>
  <c r="H219" i="10"/>
  <c r="I219" i="10" s="1"/>
  <c r="H239" i="10"/>
  <c r="I239" i="10" s="1"/>
  <c r="F239" i="10"/>
  <c r="G239" i="10" s="1"/>
  <c r="B239" i="10"/>
  <c r="F235" i="10"/>
  <c r="G235" i="10" s="1"/>
  <c r="H235" i="10"/>
  <c r="I235" i="10" s="1"/>
  <c r="B235" i="10"/>
  <c r="B231" i="10"/>
  <c r="F231" i="10"/>
  <c r="G231" i="10" s="1"/>
  <c r="H231" i="10"/>
  <c r="I231" i="10" s="1"/>
  <c r="F227" i="10"/>
  <c r="G227" i="10" s="1"/>
  <c r="H227" i="10"/>
  <c r="I227" i="10" s="1"/>
  <c r="B227" i="10"/>
  <c r="F223" i="10"/>
  <c r="G223" i="10" s="1"/>
  <c r="H223" i="10"/>
  <c r="I223" i="10" s="1"/>
  <c r="B223" i="10"/>
  <c r="B218" i="10"/>
  <c r="F218" i="10"/>
  <c r="G218" i="10" s="1"/>
  <c r="H218" i="10"/>
  <c r="I218" i="10" s="1"/>
  <c r="B214" i="10"/>
  <c r="H214" i="10"/>
  <c r="I214" i="10" s="1"/>
  <c r="F214" i="10"/>
  <c r="G214" i="10" s="1"/>
  <c r="F210" i="10"/>
  <c r="G210" i="10" s="1"/>
  <c r="H210" i="10"/>
  <c r="I210" i="10" s="1"/>
  <c r="B210" i="10"/>
  <c r="F217" i="10"/>
  <c r="G217" i="10" s="1"/>
  <c r="H217" i="10"/>
  <c r="I217" i="10" s="1"/>
  <c r="B217" i="10"/>
  <c r="H209" i="10"/>
  <c r="I209" i="10" s="1"/>
  <c r="B209" i="10"/>
  <c r="F209" i="10"/>
  <c r="G209" i="10" s="1"/>
  <c r="B213" i="10"/>
  <c r="F213" i="10"/>
  <c r="G213" i="10" s="1"/>
  <c r="H213" i="10"/>
  <c r="I213" i="10" s="1"/>
  <c r="F216" i="10"/>
  <c r="G216" i="10" s="1"/>
  <c r="H216" i="10"/>
  <c r="I216" i="10" s="1"/>
  <c r="B216" i="10"/>
  <c r="B212" i="10"/>
  <c r="F212" i="10"/>
  <c r="G212" i="10" s="1"/>
  <c r="H212" i="10"/>
  <c r="I212" i="10" s="1"/>
  <c r="B208" i="10"/>
  <c r="F208" i="10"/>
  <c r="G208" i="10" s="1"/>
  <c r="H208" i="10"/>
  <c r="I208" i="10" s="1"/>
  <c r="B207" i="10"/>
  <c r="F207" i="10"/>
  <c r="G207" i="10" s="1"/>
  <c r="H207" i="10"/>
  <c r="I207" i="10" s="1"/>
  <c r="H215" i="10"/>
  <c r="I215" i="10" s="1"/>
  <c r="F215" i="10"/>
  <c r="G215" i="10" s="1"/>
  <c r="B215" i="10"/>
  <c r="F211" i="10"/>
  <c r="G211" i="10" s="1"/>
  <c r="H211" i="10"/>
  <c r="I211" i="10" s="1"/>
  <c r="B211" i="10"/>
  <c r="B206" i="10"/>
  <c r="F206" i="10"/>
  <c r="G206" i="10" s="1"/>
  <c r="H206" i="10"/>
  <c r="I206" i="10" s="1"/>
  <c r="B202" i="10"/>
  <c r="H202" i="10"/>
  <c r="I202" i="10" s="1"/>
  <c r="F202" i="10"/>
  <c r="G202" i="10" s="1"/>
  <c r="F198" i="10"/>
  <c r="G198" i="10" s="1"/>
  <c r="H198" i="10"/>
  <c r="I198" i="10" s="1"/>
  <c r="B198" i="10"/>
  <c r="H205" i="10"/>
  <c r="I205" i="10" s="1"/>
  <c r="B205" i="10"/>
  <c r="F205" i="10"/>
  <c r="G205" i="10" s="1"/>
  <c r="B201" i="10"/>
  <c r="F201" i="10"/>
  <c r="G201" i="10" s="1"/>
  <c r="H201" i="10"/>
  <c r="I201" i="10" s="1"/>
  <c r="H197" i="10"/>
  <c r="I197" i="10" s="1"/>
  <c r="B197" i="10"/>
  <c r="F197" i="10"/>
  <c r="G197" i="10" s="1"/>
  <c r="F204" i="10"/>
  <c r="G204" i="10" s="1"/>
  <c r="H204" i="10"/>
  <c r="I204" i="10" s="1"/>
  <c r="B204" i="10"/>
  <c r="B200" i="10"/>
  <c r="F200" i="10"/>
  <c r="G200" i="10" s="1"/>
  <c r="H200" i="10"/>
  <c r="I200" i="10" s="1"/>
  <c r="B196" i="10"/>
  <c r="F196" i="10"/>
  <c r="G196" i="10" s="1"/>
  <c r="H196" i="10"/>
  <c r="I196" i="10" s="1"/>
  <c r="B195" i="10"/>
  <c r="F195" i="10"/>
  <c r="G195" i="10" s="1"/>
  <c r="H195" i="10"/>
  <c r="I195" i="10" s="1"/>
  <c r="B203" i="10"/>
  <c r="F203" i="10"/>
  <c r="G203" i="10" s="1"/>
  <c r="H203" i="10"/>
  <c r="I203" i="10" s="1"/>
  <c r="F199" i="10"/>
  <c r="G199" i="10" s="1"/>
  <c r="H199" i="10"/>
  <c r="I199" i="10" s="1"/>
  <c r="B199" i="10"/>
  <c r="B194" i="10"/>
  <c r="F194" i="10"/>
  <c r="G194" i="10" s="1"/>
  <c r="H194" i="10"/>
  <c r="I194" i="10" s="1"/>
  <c r="B193" i="10"/>
  <c r="F193" i="10"/>
  <c r="G193" i="10" s="1"/>
  <c r="H193" i="10"/>
  <c r="I193" i="10" s="1"/>
  <c r="B189" i="10"/>
  <c r="F189" i="10"/>
  <c r="G189" i="10" s="1"/>
  <c r="H189" i="10"/>
  <c r="I189" i="10" s="1"/>
  <c r="H185" i="10"/>
  <c r="I185" i="10" s="1"/>
  <c r="B185" i="10"/>
  <c r="F185" i="10"/>
  <c r="G185" i="10" s="1"/>
  <c r="B188" i="10"/>
  <c r="F188" i="10"/>
  <c r="G188" i="10" s="1"/>
  <c r="H188" i="10"/>
  <c r="I188" i="10" s="1"/>
  <c r="B184" i="10"/>
  <c r="F184" i="10"/>
  <c r="G184" i="10" s="1"/>
  <c r="H184" i="10"/>
  <c r="I184" i="10" s="1"/>
  <c r="B191" i="10"/>
  <c r="F191" i="10"/>
  <c r="G191" i="10" s="1"/>
  <c r="H191" i="10"/>
  <c r="I191" i="10" s="1"/>
  <c r="F187" i="10"/>
  <c r="G187" i="10" s="1"/>
  <c r="H187" i="10"/>
  <c r="I187" i="10" s="1"/>
  <c r="B187" i="10"/>
  <c r="F192" i="10"/>
  <c r="G192" i="10" s="1"/>
  <c r="H192" i="10"/>
  <c r="I192" i="10" s="1"/>
  <c r="B192" i="10"/>
  <c r="B183" i="10"/>
  <c r="F183" i="10"/>
  <c r="G183" i="10" s="1"/>
  <c r="H183" i="10"/>
  <c r="I183" i="10" s="1"/>
  <c r="B190" i="10"/>
  <c r="H190" i="10"/>
  <c r="I190" i="10" s="1"/>
  <c r="F190" i="10"/>
  <c r="G190" i="10" s="1"/>
  <c r="F186" i="10"/>
  <c r="G186" i="10" s="1"/>
  <c r="H186" i="10"/>
  <c r="I186" i="10" s="1"/>
  <c r="B186" i="10"/>
  <c r="B182" i="10"/>
  <c r="F182" i="10"/>
  <c r="G182" i="10" s="1"/>
  <c r="H182" i="10"/>
  <c r="I182" i="10" s="1"/>
  <c r="H543" i="2"/>
  <c r="I543" i="2" s="1"/>
  <c r="B700" i="2"/>
  <c r="F700" i="2"/>
  <c r="G700" i="2" s="1"/>
  <c r="H700" i="2"/>
  <c r="I700" i="2" s="1"/>
  <c r="B696" i="2"/>
  <c r="H696" i="2"/>
  <c r="I696" i="2" s="1"/>
  <c r="F696" i="2"/>
  <c r="G696" i="2" s="1"/>
  <c r="F692" i="2"/>
  <c r="G692" i="2" s="1"/>
  <c r="H692" i="2"/>
  <c r="I692" i="2" s="1"/>
  <c r="B692" i="2"/>
  <c r="F699" i="2"/>
  <c r="G699" i="2" s="1"/>
  <c r="H699" i="2"/>
  <c r="I699" i="2" s="1"/>
  <c r="B699" i="2"/>
  <c r="B695" i="2"/>
  <c r="F695" i="2"/>
  <c r="G695" i="2" s="1"/>
  <c r="H695" i="2"/>
  <c r="I695" i="2" s="1"/>
  <c r="H691" i="2"/>
  <c r="I691" i="2" s="1"/>
  <c r="B691" i="2"/>
  <c r="F691" i="2"/>
  <c r="G691" i="2" s="1"/>
  <c r="F698" i="2"/>
  <c r="G698" i="2" s="1"/>
  <c r="H698" i="2"/>
  <c r="I698" i="2" s="1"/>
  <c r="B698" i="2"/>
  <c r="B694" i="2"/>
  <c r="F694" i="2"/>
  <c r="G694" i="2" s="1"/>
  <c r="H694" i="2"/>
  <c r="I694" i="2" s="1"/>
  <c r="B690" i="2"/>
  <c r="F690" i="2"/>
  <c r="G690" i="2" s="1"/>
  <c r="H690" i="2"/>
  <c r="I690" i="2" s="1"/>
  <c r="B701" i="2"/>
  <c r="F701" i="2"/>
  <c r="G701" i="2" s="1"/>
  <c r="H701" i="2"/>
  <c r="I701" i="2" s="1"/>
  <c r="B689" i="2"/>
  <c r="F689" i="2"/>
  <c r="G689" i="2" s="1"/>
  <c r="H689" i="2"/>
  <c r="I689" i="2" s="1"/>
  <c r="H697" i="2"/>
  <c r="I697" i="2" s="1"/>
  <c r="F697" i="2"/>
  <c r="G697" i="2" s="1"/>
  <c r="B697" i="2"/>
  <c r="F693" i="2"/>
  <c r="G693" i="2" s="1"/>
  <c r="H693" i="2"/>
  <c r="I693" i="2" s="1"/>
  <c r="B693" i="2"/>
  <c r="B688" i="2"/>
  <c r="F688" i="2"/>
  <c r="G688" i="2" s="1"/>
  <c r="H688" i="2"/>
  <c r="I688" i="2" s="1"/>
  <c r="B686" i="2"/>
  <c r="F686" i="2"/>
  <c r="G686" i="2" s="1"/>
  <c r="H686" i="2"/>
  <c r="I686" i="2" s="1"/>
  <c r="H682" i="2"/>
  <c r="I682" i="2" s="1"/>
  <c r="B682" i="2"/>
  <c r="F682" i="2"/>
  <c r="G682" i="2" s="1"/>
  <c r="F678" i="2"/>
  <c r="G678" i="2" s="1"/>
  <c r="H678" i="2"/>
  <c r="I678" i="2" s="1"/>
  <c r="B678" i="2"/>
  <c r="B674" i="2"/>
  <c r="F674" i="2"/>
  <c r="G674" i="2" s="1"/>
  <c r="H674" i="2"/>
  <c r="I674" i="2" s="1"/>
  <c r="H670" i="2"/>
  <c r="I670" i="2" s="1"/>
  <c r="B670" i="2"/>
  <c r="F670" i="2"/>
  <c r="G670" i="2" s="1"/>
  <c r="B685" i="2"/>
  <c r="F685" i="2"/>
  <c r="G685" i="2" s="1"/>
  <c r="H685" i="2"/>
  <c r="I685" i="2" s="1"/>
  <c r="B681" i="2"/>
  <c r="H681" i="2"/>
  <c r="I681" i="2" s="1"/>
  <c r="F681" i="2"/>
  <c r="G681" i="2" s="1"/>
  <c r="F677" i="2"/>
  <c r="G677" i="2" s="1"/>
  <c r="H677" i="2"/>
  <c r="I677" i="2" s="1"/>
  <c r="B677" i="2"/>
  <c r="B673" i="2"/>
  <c r="F673" i="2"/>
  <c r="G673" i="2" s="1"/>
  <c r="H673" i="2"/>
  <c r="I673" i="2" s="1"/>
  <c r="F684" i="2"/>
  <c r="G684" i="2" s="1"/>
  <c r="H684" i="2"/>
  <c r="I684" i="2" s="1"/>
  <c r="B684" i="2"/>
  <c r="B680" i="2"/>
  <c r="F680" i="2"/>
  <c r="G680" i="2" s="1"/>
  <c r="H680" i="2"/>
  <c r="I680" i="2" s="1"/>
  <c r="B669" i="2"/>
  <c r="F669" i="2"/>
  <c r="G669" i="2" s="1"/>
  <c r="H669" i="2"/>
  <c r="I669" i="2" s="1"/>
  <c r="H676" i="2"/>
  <c r="I676" i="2" s="1"/>
  <c r="B676" i="2"/>
  <c r="F676" i="2"/>
  <c r="G676" i="2" s="1"/>
  <c r="F672" i="2"/>
  <c r="G672" i="2" s="1"/>
  <c r="H672" i="2"/>
  <c r="I672" i="2" s="1"/>
  <c r="B672" i="2"/>
  <c r="B668" i="2"/>
  <c r="F668" i="2"/>
  <c r="G668" i="2" s="1"/>
  <c r="H668" i="2"/>
  <c r="I668" i="2" s="1"/>
  <c r="H687" i="2"/>
  <c r="I687" i="2" s="1"/>
  <c r="B687" i="2"/>
  <c r="F687" i="2"/>
  <c r="G687" i="2" s="1"/>
  <c r="F683" i="2"/>
  <c r="G683" i="2" s="1"/>
  <c r="H683" i="2"/>
  <c r="I683" i="2" s="1"/>
  <c r="B683" i="2"/>
  <c r="B679" i="2"/>
  <c r="H679" i="2"/>
  <c r="I679" i="2" s="1"/>
  <c r="F679" i="2"/>
  <c r="G679" i="2" s="1"/>
  <c r="B675" i="2"/>
  <c r="F675" i="2"/>
  <c r="G675" i="2" s="1"/>
  <c r="H675" i="2"/>
  <c r="I675" i="2" s="1"/>
  <c r="F671" i="2"/>
  <c r="G671" i="2" s="1"/>
  <c r="H671" i="2"/>
  <c r="I671" i="2" s="1"/>
  <c r="B671" i="2"/>
  <c r="B667" i="2"/>
  <c r="F667" i="2"/>
  <c r="G667" i="2" s="1"/>
  <c r="H667" i="2"/>
  <c r="I667" i="2" s="1"/>
  <c r="F641" i="2"/>
  <c r="G641" i="2" s="1"/>
  <c r="H641" i="2"/>
  <c r="I641" i="2" s="1"/>
  <c r="B641" i="2"/>
  <c r="F637" i="2"/>
  <c r="G637" i="2" s="1"/>
  <c r="H637" i="2"/>
  <c r="I637" i="2" s="1"/>
  <c r="B637" i="2"/>
  <c r="B664" i="2"/>
  <c r="F664" i="2"/>
  <c r="G664" i="2" s="1"/>
  <c r="H664" i="2"/>
  <c r="I664" i="2" s="1"/>
  <c r="F660" i="2"/>
  <c r="G660" i="2" s="1"/>
  <c r="H660" i="2"/>
  <c r="I660" i="2" s="1"/>
  <c r="B660" i="2"/>
  <c r="B656" i="2"/>
  <c r="F656" i="2"/>
  <c r="G656" i="2" s="1"/>
  <c r="H656" i="2"/>
  <c r="I656" i="2" s="1"/>
  <c r="H652" i="2"/>
  <c r="I652" i="2" s="1"/>
  <c r="B652" i="2"/>
  <c r="F652" i="2"/>
  <c r="G652" i="2" s="1"/>
  <c r="F648" i="2"/>
  <c r="G648" i="2" s="1"/>
  <c r="H648" i="2"/>
  <c r="I648" i="2" s="1"/>
  <c r="B648" i="2"/>
  <c r="B644" i="2"/>
  <c r="F644" i="2"/>
  <c r="G644" i="2" s="1"/>
  <c r="H644" i="2"/>
  <c r="I644" i="2" s="1"/>
  <c r="H640" i="2"/>
  <c r="I640" i="2" s="1"/>
  <c r="B640" i="2"/>
  <c r="F640" i="2"/>
  <c r="G640" i="2" s="1"/>
  <c r="F636" i="2"/>
  <c r="G636" i="2" s="1"/>
  <c r="H636" i="2"/>
  <c r="I636" i="2" s="1"/>
  <c r="B636" i="2"/>
  <c r="B663" i="2"/>
  <c r="F663" i="2"/>
  <c r="G663" i="2" s="1"/>
  <c r="H663" i="2"/>
  <c r="I663" i="2" s="1"/>
  <c r="H659" i="2"/>
  <c r="I659" i="2" s="1"/>
  <c r="B659" i="2"/>
  <c r="F659" i="2"/>
  <c r="G659" i="2" s="1"/>
  <c r="B655" i="2"/>
  <c r="F655" i="2"/>
  <c r="G655" i="2" s="1"/>
  <c r="H655" i="2"/>
  <c r="I655" i="2" s="1"/>
  <c r="B651" i="2"/>
  <c r="F651" i="2"/>
  <c r="G651" i="2" s="1"/>
  <c r="H651" i="2"/>
  <c r="I651" i="2" s="1"/>
  <c r="H647" i="2"/>
  <c r="I647" i="2" s="1"/>
  <c r="B647" i="2"/>
  <c r="F647" i="2"/>
  <c r="G647" i="2" s="1"/>
  <c r="B643" i="2"/>
  <c r="F643" i="2"/>
  <c r="G643" i="2" s="1"/>
  <c r="H643" i="2"/>
  <c r="I643" i="2" s="1"/>
  <c r="H635" i="2"/>
  <c r="I635" i="2" s="1"/>
  <c r="B635" i="2"/>
  <c r="F635" i="2"/>
  <c r="G635" i="2" s="1"/>
  <c r="B639" i="2"/>
  <c r="F639" i="2"/>
  <c r="G639" i="2" s="1"/>
  <c r="H639" i="2"/>
  <c r="I639" i="2" s="1"/>
  <c r="B634" i="2"/>
  <c r="F634" i="2"/>
  <c r="G634" i="2" s="1"/>
  <c r="H634" i="2"/>
  <c r="I634" i="2" s="1"/>
  <c r="B666" i="2"/>
  <c r="F666" i="2"/>
  <c r="G666" i="2" s="1"/>
  <c r="H666" i="2"/>
  <c r="I666" i="2" s="1"/>
  <c r="B662" i="2"/>
  <c r="F662" i="2"/>
  <c r="G662" i="2" s="1"/>
  <c r="H662" i="2"/>
  <c r="I662" i="2" s="1"/>
  <c r="B658" i="2"/>
  <c r="H658" i="2"/>
  <c r="I658" i="2" s="1"/>
  <c r="F658" i="2"/>
  <c r="G658" i="2" s="1"/>
  <c r="F654" i="2"/>
  <c r="G654" i="2" s="1"/>
  <c r="H654" i="2"/>
  <c r="I654" i="2" s="1"/>
  <c r="B654" i="2"/>
  <c r="B650" i="2"/>
  <c r="F650" i="2"/>
  <c r="G650" i="2" s="1"/>
  <c r="H650" i="2"/>
  <c r="I650" i="2" s="1"/>
  <c r="B646" i="2"/>
  <c r="F646" i="2"/>
  <c r="G646" i="2" s="1"/>
  <c r="H646" i="2"/>
  <c r="I646" i="2" s="1"/>
  <c r="F642" i="2"/>
  <c r="G642" i="2" s="1"/>
  <c r="H642" i="2"/>
  <c r="I642" i="2" s="1"/>
  <c r="B642" i="2"/>
  <c r="B638" i="2"/>
  <c r="F638" i="2"/>
  <c r="G638" i="2" s="1"/>
  <c r="H638" i="2"/>
  <c r="I638" i="2" s="1"/>
  <c r="B633" i="2"/>
  <c r="F633" i="2"/>
  <c r="G633" i="2" s="1"/>
  <c r="H633" i="2"/>
  <c r="I633" i="2" s="1"/>
  <c r="B665" i="2"/>
  <c r="F665" i="2"/>
  <c r="G665" i="2" s="1"/>
  <c r="H665" i="2"/>
  <c r="I665" i="2" s="1"/>
  <c r="F661" i="2"/>
  <c r="G661" i="2" s="1"/>
  <c r="H661" i="2"/>
  <c r="I661" i="2" s="1"/>
  <c r="B661" i="2"/>
  <c r="B657" i="2"/>
  <c r="F657" i="2"/>
  <c r="G657" i="2" s="1"/>
  <c r="H657" i="2"/>
  <c r="I657" i="2" s="1"/>
  <c r="F653" i="2"/>
  <c r="G653" i="2" s="1"/>
  <c r="H653" i="2"/>
  <c r="I653" i="2" s="1"/>
  <c r="B653" i="2"/>
  <c r="F649" i="2"/>
  <c r="G649" i="2" s="1"/>
  <c r="H649" i="2"/>
  <c r="I649" i="2" s="1"/>
  <c r="B649" i="2"/>
  <c r="B645" i="2"/>
  <c r="F645" i="2"/>
  <c r="G645" i="2" s="1"/>
  <c r="H645" i="2"/>
  <c r="I645" i="2" s="1"/>
  <c r="B632" i="2"/>
  <c r="F632" i="2"/>
  <c r="G632" i="2" s="1"/>
  <c r="H632" i="2"/>
  <c r="I632" i="2" s="1"/>
  <c r="F630" i="2"/>
  <c r="G630" i="2" s="1"/>
  <c r="H630" i="2"/>
  <c r="I630" i="2" s="1"/>
  <c r="B630" i="2"/>
  <c r="B626" i="2"/>
  <c r="H626" i="2"/>
  <c r="I626" i="2" s="1"/>
  <c r="F626" i="2"/>
  <c r="G626" i="2" s="1"/>
  <c r="F622" i="2"/>
  <c r="G622" i="2" s="1"/>
  <c r="H622" i="2"/>
  <c r="I622" i="2" s="1"/>
  <c r="B622" i="2"/>
  <c r="F629" i="2"/>
  <c r="G629" i="2" s="1"/>
  <c r="H629" i="2"/>
  <c r="I629" i="2" s="1"/>
  <c r="B629" i="2"/>
  <c r="B625" i="2"/>
  <c r="F625" i="2"/>
  <c r="G625" i="2" s="1"/>
  <c r="H625" i="2"/>
  <c r="I625" i="2" s="1"/>
  <c r="H621" i="2"/>
  <c r="I621" i="2" s="1"/>
  <c r="B621" i="2"/>
  <c r="F621" i="2"/>
  <c r="G621" i="2" s="1"/>
  <c r="H628" i="2"/>
  <c r="I628" i="2" s="1"/>
  <c r="F628" i="2"/>
  <c r="G628" i="2" s="1"/>
  <c r="B628" i="2"/>
  <c r="B624" i="2"/>
  <c r="F624" i="2"/>
  <c r="G624" i="2" s="1"/>
  <c r="H624" i="2"/>
  <c r="I624" i="2" s="1"/>
  <c r="B620" i="2"/>
  <c r="F620" i="2"/>
  <c r="G620" i="2" s="1"/>
  <c r="H620" i="2"/>
  <c r="I620" i="2" s="1"/>
  <c r="B631" i="2"/>
  <c r="F631" i="2"/>
  <c r="G631" i="2" s="1"/>
  <c r="H631" i="2"/>
  <c r="I631" i="2" s="1"/>
  <c r="B619" i="2"/>
  <c r="F619" i="2"/>
  <c r="G619" i="2" s="1"/>
  <c r="H619" i="2"/>
  <c r="I619" i="2" s="1"/>
  <c r="H627" i="2"/>
  <c r="I627" i="2" s="1"/>
  <c r="F627" i="2"/>
  <c r="G627" i="2" s="1"/>
  <c r="B627" i="2"/>
  <c r="F623" i="2"/>
  <c r="G623" i="2" s="1"/>
  <c r="H623" i="2"/>
  <c r="I623" i="2" s="1"/>
  <c r="B623" i="2"/>
  <c r="B618" i="2"/>
  <c r="F618" i="2"/>
  <c r="G618" i="2" s="1"/>
  <c r="H618" i="2"/>
  <c r="I618" i="2" s="1"/>
  <c r="F615" i="2"/>
  <c r="G615" i="2" s="1"/>
  <c r="H615" i="2"/>
  <c r="I615" i="2" s="1"/>
  <c r="B615" i="2"/>
  <c r="H614" i="2"/>
  <c r="I614" i="2" s="1"/>
  <c r="F614" i="2"/>
  <c r="G614" i="2" s="1"/>
  <c r="B614" i="2"/>
  <c r="B617" i="2"/>
  <c r="F617" i="2"/>
  <c r="G617" i="2" s="1"/>
  <c r="H617" i="2"/>
  <c r="I617" i="2" s="1"/>
  <c r="H613" i="2"/>
  <c r="I613" i="2" s="1"/>
  <c r="B613" i="2"/>
  <c r="F613" i="2"/>
  <c r="G613" i="2" s="1"/>
  <c r="B612" i="2"/>
  <c r="F612" i="2"/>
  <c r="G612" i="2" s="1"/>
  <c r="H612" i="2"/>
  <c r="I612" i="2" s="1"/>
  <c r="F616" i="2"/>
  <c r="G616" i="2" s="1"/>
  <c r="H616" i="2"/>
  <c r="I616" i="2" s="1"/>
  <c r="B616" i="2"/>
  <c r="B611" i="2"/>
  <c r="F611" i="2"/>
  <c r="G611" i="2" s="1"/>
  <c r="H611" i="2"/>
  <c r="I611" i="2" s="1"/>
  <c r="F608" i="2"/>
  <c r="G608" i="2" s="1"/>
  <c r="H608" i="2"/>
  <c r="I608" i="2" s="1"/>
  <c r="B608" i="2"/>
  <c r="H607" i="2"/>
  <c r="I607" i="2" s="1"/>
  <c r="F607" i="2"/>
  <c r="G607" i="2" s="1"/>
  <c r="B607" i="2"/>
  <c r="B610" i="2"/>
  <c r="F610" i="2"/>
  <c r="G610" i="2" s="1"/>
  <c r="H610" i="2"/>
  <c r="I610" i="2" s="1"/>
  <c r="H606" i="2"/>
  <c r="I606" i="2" s="1"/>
  <c r="B606" i="2"/>
  <c r="F606" i="2"/>
  <c r="G606" i="2" s="1"/>
  <c r="B605" i="2"/>
  <c r="F605" i="2"/>
  <c r="G605" i="2" s="1"/>
  <c r="H605" i="2"/>
  <c r="I605" i="2" s="1"/>
  <c r="H609" i="2"/>
  <c r="I609" i="2" s="1"/>
  <c r="F609" i="2"/>
  <c r="G609" i="2" s="1"/>
  <c r="B609" i="2"/>
  <c r="B604" i="2"/>
  <c r="F604" i="2"/>
  <c r="G604" i="2" s="1"/>
  <c r="H604" i="2"/>
  <c r="I604" i="2" s="1"/>
  <c r="B537" i="2"/>
  <c r="F550" i="2"/>
  <c r="G550" i="2" s="1"/>
  <c r="B550" i="2"/>
  <c r="H537" i="2"/>
  <c r="I537" i="2" s="1"/>
  <c r="L549" i="2"/>
  <c r="B603" i="2"/>
  <c r="F603" i="2"/>
  <c r="G603" i="2" s="1"/>
  <c r="H603" i="2"/>
  <c r="I603" i="2" s="1"/>
  <c r="F599" i="2"/>
  <c r="G599" i="2" s="1"/>
  <c r="H599" i="2"/>
  <c r="I599" i="2" s="1"/>
  <c r="B599" i="2"/>
  <c r="B595" i="2"/>
  <c r="F595" i="2"/>
  <c r="G595" i="2" s="1"/>
  <c r="H595" i="2"/>
  <c r="I595" i="2" s="1"/>
  <c r="H591" i="2"/>
  <c r="I591" i="2" s="1"/>
  <c r="B591" i="2"/>
  <c r="F591" i="2"/>
  <c r="G591" i="2" s="1"/>
  <c r="F587" i="2"/>
  <c r="G587" i="2" s="1"/>
  <c r="H587" i="2"/>
  <c r="I587" i="2" s="1"/>
  <c r="B587" i="2"/>
  <c r="B602" i="2"/>
  <c r="F602" i="2"/>
  <c r="G602" i="2" s="1"/>
  <c r="H602" i="2"/>
  <c r="I602" i="2" s="1"/>
  <c r="H598" i="2"/>
  <c r="I598" i="2" s="1"/>
  <c r="B598" i="2"/>
  <c r="F598" i="2"/>
  <c r="G598" i="2" s="1"/>
  <c r="B594" i="2"/>
  <c r="H594" i="2"/>
  <c r="I594" i="2" s="1"/>
  <c r="F594" i="2"/>
  <c r="G594" i="2" s="1"/>
  <c r="H586" i="2"/>
  <c r="I586" i="2" s="1"/>
  <c r="B586" i="2"/>
  <c r="F586" i="2"/>
  <c r="G586" i="2" s="1"/>
  <c r="B590" i="2"/>
  <c r="F590" i="2"/>
  <c r="G590" i="2" s="1"/>
  <c r="H590" i="2"/>
  <c r="I590" i="2" s="1"/>
  <c r="B585" i="2"/>
  <c r="F585" i="2"/>
  <c r="G585" i="2" s="1"/>
  <c r="H585" i="2"/>
  <c r="I585" i="2" s="1"/>
  <c r="B601" i="2"/>
  <c r="F601" i="2"/>
  <c r="G601" i="2" s="1"/>
  <c r="H601" i="2"/>
  <c r="I601" i="2" s="1"/>
  <c r="B597" i="2"/>
  <c r="F597" i="2"/>
  <c r="G597" i="2" s="1"/>
  <c r="H597" i="2"/>
  <c r="I597" i="2" s="1"/>
  <c r="F593" i="2"/>
  <c r="G593" i="2" s="1"/>
  <c r="H593" i="2"/>
  <c r="I593" i="2" s="1"/>
  <c r="B593" i="2"/>
  <c r="B589" i="2"/>
  <c r="F589" i="2"/>
  <c r="G589" i="2" s="1"/>
  <c r="H589" i="2"/>
  <c r="I589" i="2" s="1"/>
  <c r="F600" i="2"/>
  <c r="G600" i="2" s="1"/>
  <c r="H600" i="2"/>
  <c r="I600" i="2" s="1"/>
  <c r="B600" i="2"/>
  <c r="B596" i="2"/>
  <c r="F596" i="2"/>
  <c r="G596" i="2" s="1"/>
  <c r="H596" i="2"/>
  <c r="I596" i="2" s="1"/>
  <c r="F592" i="2"/>
  <c r="G592" i="2" s="1"/>
  <c r="H592" i="2"/>
  <c r="I592" i="2" s="1"/>
  <c r="B592" i="2"/>
  <c r="B584" i="2"/>
  <c r="F584" i="2"/>
  <c r="G584" i="2" s="1"/>
  <c r="H584" i="2"/>
  <c r="I584" i="2" s="1"/>
  <c r="F588" i="2"/>
  <c r="G588" i="2" s="1"/>
  <c r="H588" i="2"/>
  <c r="I588" i="2" s="1"/>
  <c r="B588" i="2"/>
  <c r="B583" i="2"/>
  <c r="F583" i="2"/>
  <c r="G583" i="2" s="1"/>
  <c r="H583" i="2"/>
  <c r="I583" i="2" s="1"/>
  <c r="H563" i="2"/>
  <c r="I563" i="2" s="1"/>
  <c r="B563" i="2"/>
  <c r="F563" i="2"/>
  <c r="G563" i="2" s="1"/>
  <c r="F559" i="2"/>
  <c r="G559" i="2" s="1"/>
  <c r="H559" i="2"/>
  <c r="I559" i="2" s="1"/>
  <c r="B559" i="2"/>
  <c r="H582" i="2"/>
  <c r="I582" i="2" s="1"/>
  <c r="B582" i="2"/>
  <c r="F582" i="2"/>
  <c r="G582" i="2" s="1"/>
  <c r="F578" i="2"/>
  <c r="G578" i="2" s="1"/>
  <c r="B578" i="2"/>
  <c r="H578" i="2"/>
  <c r="I578" i="2" s="1"/>
  <c r="B574" i="2"/>
  <c r="F574" i="2"/>
  <c r="G574" i="2" s="1"/>
  <c r="H574" i="2"/>
  <c r="I574" i="2" s="1"/>
  <c r="L574" i="2" s="1"/>
  <c r="H570" i="2"/>
  <c r="I570" i="2" s="1"/>
  <c r="B570" i="2"/>
  <c r="F570" i="2"/>
  <c r="G570" i="2" s="1"/>
  <c r="B566" i="2"/>
  <c r="F566" i="2"/>
  <c r="G566" i="2" s="1"/>
  <c r="H566" i="2"/>
  <c r="I566" i="2" s="1"/>
  <c r="B562" i="2"/>
  <c r="F562" i="2"/>
  <c r="G562" i="2" s="1"/>
  <c r="H562" i="2"/>
  <c r="I562" i="2" s="1"/>
  <c r="F581" i="2"/>
  <c r="G581" i="2" s="1"/>
  <c r="H581" i="2"/>
  <c r="I581" i="2" s="1"/>
  <c r="B581" i="2"/>
  <c r="H577" i="2"/>
  <c r="I577" i="2" s="1"/>
  <c r="F577" i="2"/>
  <c r="G577" i="2" s="1"/>
  <c r="B577" i="2"/>
  <c r="B573" i="2"/>
  <c r="F573" i="2"/>
  <c r="G573" i="2" s="1"/>
  <c r="H573" i="2"/>
  <c r="I573" i="2" s="1"/>
  <c r="B569" i="2"/>
  <c r="F569" i="2"/>
  <c r="G569" i="2" s="1"/>
  <c r="H569" i="2"/>
  <c r="I569" i="2" s="1"/>
  <c r="F565" i="2"/>
  <c r="G565" i="2" s="1"/>
  <c r="H565" i="2"/>
  <c r="I565" i="2" s="1"/>
  <c r="B565" i="2"/>
  <c r="H558" i="2"/>
  <c r="I558" i="2" s="1"/>
  <c r="B558" i="2"/>
  <c r="F558" i="2"/>
  <c r="G558" i="2" s="1"/>
  <c r="B561" i="2"/>
  <c r="F561" i="2"/>
  <c r="G561" i="2" s="1"/>
  <c r="H561" i="2"/>
  <c r="I561" i="2" s="1"/>
  <c r="B557" i="2"/>
  <c r="F557" i="2"/>
  <c r="G557" i="2" s="1"/>
  <c r="H557" i="2"/>
  <c r="I557" i="2" s="1"/>
  <c r="B580" i="2"/>
  <c r="F580" i="2"/>
  <c r="G580" i="2" s="1"/>
  <c r="H580" i="2"/>
  <c r="I580" i="2" s="1"/>
  <c r="F576" i="2"/>
  <c r="G576" i="2" s="1"/>
  <c r="B576" i="2"/>
  <c r="H576" i="2"/>
  <c r="I576" i="2" s="1"/>
  <c r="F572" i="2"/>
  <c r="G572" i="2" s="1"/>
  <c r="H572" i="2"/>
  <c r="I572" i="2" s="1"/>
  <c r="B572" i="2"/>
  <c r="B568" i="2"/>
  <c r="F568" i="2"/>
  <c r="G568" i="2" s="1"/>
  <c r="H568" i="2"/>
  <c r="I568" i="2" s="1"/>
  <c r="F564" i="2"/>
  <c r="G564" i="2" s="1"/>
  <c r="H564" i="2"/>
  <c r="I564" i="2" s="1"/>
  <c r="B564" i="2"/>
  <c r="B556" i="2"/>
  <c r="F556" i="2"/>
  <c r="G556" i="2" s="1"/>
  <c r="H556" i="2"/>
  <c r="I556" i="2" s="1"/>
  <c r="F560" i="2"/>
  <c r="G560" i="2" s="1"/>
  <c r="H560" i="2"/>
  <c r="I560" i="2" s="1"/>
  <c r="B560" i="2"/>
  <c r="H579" i="2"/>
  <c r="I579" i="2" s="1"/>
  <c r="B579" i="2"/>
  <c r="F579" i="2"/>
  <c r="G579" i="2" s="1"/>
  <c r="B575" i="2"/>
  <c r="H575" i="2"/>
  <c r="I575" i="2" s="1"/>
  <c r="F575" i="2"/>
  <c r="G575" i="2" s="1"/>
  <c r="F571" i="2"/>
  <c r="G571" i="2" s="1"/>
  <c r="H571" i="2"/>
  <c r="I571" i="2" s="1"/>
  <c r="B571" i="2"/>
  <c r="B567" i="2"/>
  <c r="F567" i="2"/>
  <c r="G567" i="2" s="1"/>
  <c r="H567" i="2"/>
  <c r="I567" i="2" s="1"/>
  <c r="B555" i="2"/>
  <c r="F555" i="2"/>
  <c r="G555" i="2" s="1"/>
  <c r="H555" i="2"/>
  <c r="I555" i="2" s="1"/>
  <c r="F552" i="2"/>
  <c r="G552" i="2" s="1"/>
  <c r="F549" i="2"/>
  <c r="G549" i="2" s="1"/>
  <c r="B543" i="2"/>
  <c r="F541" i="2"/>
  <c r="G541" i="2" s="1"/>
  <c r="B529" i="2"/>
  <c r="F529" i="2"/>
  <c r="G529" i="2" s="1"/>
  <c r="H529" i="2"/>
  <c r="I529" i="2" s="1"/>
  <c r="F525" i="2"/>
  <c r="G525" i="2" s="1"/>
  <c r="H525" i="2"/>
  <c r="I525" i="2" s="1"/>
  <c r="B525" i="2"/>
  <c r="F521" i="2"/>
  <c r="G521" i="2" s="1"/>
  <c r="H521" i="2"/>
  <c r="I521" i="2" s="1"/>
  <c r="B521" i="2"/>
  <c r="B517" i="2"/>
  <c r="F517" i="2"/>
  <c r="G517" i="2" s="1"/>
  <c r="H517" i="2"/>
  <c r="I517" i="2" s="1"/>
  <c r="F513" i="2"/>
  <c r="G513" i="2" s="1"/>
  <c r="H513" i="2"/>
  <c r="I513" i="2" s="1"/>
  <c r="B513" i="2"/>
  <c r="F509" i="2"/>
  <c r="G509" i="2" s="1"/>
  <c r="H509" i="2"/>
  <c r="I509" i="2" s="1"/>
  <c r="B509" i="2"/>
  <c r="B505" i="2"/>
  <c r="F505" i="2"/>
  <c r="G505" i="2" s="1"/>
  <c r="H505" i="2"/>
  <c r="I505" i="2" s="1"/>
  <c r="F501" i="2"/>
  <c r="G501" i="2" s="1"/>
  <c r="H501" i="2"/>
  <c r="I501" i="2" s="1"/>
  <c r="B501" i="2"/>
  <c r="F497" i="2"/>
  <c r="G497" i="2" s="1"/>
  <c r="H497" i="2"/>
  <c r="I497" i="2" s="1"/>
  <c r="B497" i="2"/>
  <c r="H541" i="2"/>
  <c r="I541" i="2" s="1"/>
  <c r="H544" i="2"/>
  <c r="I544" i="2" s="1"/>
  <c r="F546" i="2"/>
  <c r="G546" i="2" s="1"/>
  <c r="H553" i="2"/>
  <c r="I553" i="2" s="1"/>
  <c r="B552" i="2"/>
  <c r="B549" i="2"/>
  <c r="H547" i="2"/>
  <c r="I547" i="2" s="1"/>
  <c r="B546" i="2"/>
  <c r="F544" i="2"/>
  <c r="G544" i="2" s="1"/>
  <c r="B535" i="2"/>
  <c r="H535" i="2"/>
  <c r="I535" i="2" s="1"/>
  <c r="F532" i="2"/>
  <c r="G532" i="2" s="1"/>
  <c r="H532" i="2"/>
  <c r="I532" i="2" s="1"/>
  <c r="B532" i="2"/>
  <c r="B528" i="2"/>
  <c r="F528" i="2"/>
  <c r="G528" i="2" s="1"/>
  <c r="H528" i="2"/>
  <c r="I528" i="2" s="1"/>
  <c r="H524" i="2"/>
  <c r="I524" i="2" s="1"/>
  <c r="B524" i="2"/>
  <c r="F524" i="2"/>
  <c r="G524" i="2" s="1"/>
  <c r="F520" i="2"/>
  <c r="G520" i="2" s="1"/>
  <c r="H520" i="2"/>
  <c r="I520" i="2" s="1"/>
  <c r="B520" i="2"/>
  <c r="B516" i="2"/>
  <c r="F516" i="2"/>
  <c r="G516" i="2" s="1"/>
  <c r="H516" i="2"/>
  <c r="I516" i="2" s="1"/>
  <c r="H512" i="2"/>
  <c r="I512" i="2" s="1"/>
  <c r="B512" i="2"/>
  <c r="F512" i="2"/>
  <c r="G512" i="2" s="1"/>
  <c r="F508" i="2"/>
  <c r="G508" i="2" s="1"/>
  <c r="H508" i="2"/>
  <c r="I508" i="2" s="1"/>
  <c r="B508" i="2"/>
  <c r="B504" i="2"/>
  <c r="F504" i="2"/>
  <c r="G504" i="2" s="1"/>
  <c r="H504" i="2"/>
  <c r="I504" i="2" s="1"/>
  <c r="H500" i="2"/>
  <c r="I500" i="2" s="1"/>
  <c r="B500" i="2"/>
  <c r="F500" i="2"/>
  <c r="G500" i="2" s="1"/>
  <c r="F496" i="2"/>
  <c r="G496" i="2" s="1"/>
  <c r="H496" i="2"/>
  <c r="I496" i="2" s="1"/>
  <c r="B496" i="2"/>
  <c r="F547" i="2"/>
  <c r="G547" i="2" s="1"/>
  <c r="H542" i="2"/>
  <c r="I542" i="2" s="1"/>
  <c r="F542" i="2"/>
  <c r="G542" i="2" s="1"/>
  <c r="B539" i="2"/>
  <c r="H539" i="2"/>
  <c r="I539" i="2" s="1"/>
  <c r="H495" i="2"/>
  <c r="I495" i="2" s="1"/>
  <c r="B495" i="2"/>
  <c r="F495" i="2"/>
  <c r="G495" i="2" s="1"/>
  <c r="B553" i="2"/>
  <c r="H531" i="2"/>
  <c r="I531" i="2" s="1"/>
  <c r="B531" i="2"/>
  <c r="F531" i="2"/>
  <c r="G531" i="2" s="1"/>
  <c r="B527" i="2"/>
  <c r="F527" i="2"/>
  <c r="G527" i="2" s="1"/>
  <c r="H527" i="2"/>
  <c r="I527" i="2" s="1"/>
  <c r="B523" i="2"/>
  <c r="F523" i="2"/>
  <c r="G523" i="2" s="1"/>
  <c r="H523" i="2"/>
  <c r="I523" i="2" s="1"/>
  <c r="H519" i="2"/>
  <c r="I519" i="2" s="1"/>
  <c r="B519" i="2"/>
  <c r="F519" i="2"/>
  <c r="G519" i="2" s="1"/>
  <c r="B515" i="2"/>
  <c r="F515" i="2"/>
  <c r="G515" i="2" s="1"/>
  <c r="H515" i="2"/>
  <c r="I515" i="2" s="1"/>
  <c r="B511" i="2"/>
  <c r="F511" i="2"/>
  <c r="G511" i="2" s="1"/>
  <c r="H511" i="2"/>
  <c r="I511" i="2" s="1"/>
  <c r="H507" i="2"/>
  <c r="I507" i="2" s="1"/>
  <c r="B507" i="2"/>
  <c r="F507" i="2"/>
  <c r="G507" i="2" s="1"/>
  <c r="B503" i="2"/>
  <c r="F503" i="2"/>
  <c r="G503" i="2" s="1"/>
  <c r="H503" i="2"/>
  <c r="I503" i="2" s="1"/>
  <c r="B499" i="2"/>
  <c r="F499" i="2"/>
  <c r="G499" i="2" s="1"/>
  <c r="H499" i="2"/>
  <c r="I499" i="2" s="1"/>
  <c r="F545" i="2"/>
  <c r="G545" i="2" s="1"/>
  <c r="H540" i="2"/>
  <c r="I540" i="2" s="1"/>
  <c r="H538" i="2"/>
  <c r="I538" i="2" s="1"/>
  <c r="B534" i="2"/>
  <c r="F534" i="2"/>
  <c r="G534" i="2" s="1"/>
  <c r="B494" i="2"/>
  <c r="F494" i="2"/>
  <c r="G494" i="2" s="1"/>
  <c r="H494" i="2"/>
  <c r="I494" i="2" s="1"/>
  <c r="F538" i="2"/>
  <c r="G538" i="2" s="1"/>
  <c r="F551" i="2"/>
  <c r="G551" i="2" s="1"/>
  <c r="F548" i="2"/>
  <c r="G548" i="2" s="1"/>
  <c r="B530" i="2"/>
  <c r="F530" i="2"/>
  <c r="G530" i="2" s="1"/>
  <c r="H530" i="2"/>
  <c r="I530" i="2" s="1"/>
  <c r="F526" i="2"/>
  <c r="G526" i="2" s="1"/>
  <c r="H526" i="2"/>
  <c r="I526" i="2" s="1"/>
  <c r="B526" i="2"/>
  <c r="B522" i="2"/>
  <c r="F522" i="2"/>
  <c r="G522" i="2" s="1"/>
  <c r="H522" i="2"/>
  <c r="I522" i="2" s="1"/>
  <c r="B518" i="2"/>
  <c r="F518" i="2"/>
  <c r="G518" i="2" s="1"/>
  <c r="H518" i="2"/>
  <c r="I518" i="2" s="1"/>
  <c r="F514" i="2"/>
  <c r="G514" i="2" s="1"/>
  <c r="H514" i="2"/>
  <c r="I514" i="2" s="1"/>
  <c r="B514" i="2"/>
  <c r="B510" i="2"/>
  <c r="F510" i="2"/>
  <c r="G510" i="2" s="1"/>
  <c r="H510" i="2"/>
  <c r="I510" i="2" s="1"/>
  <c r="B506" i="2"/>
  <c r="F506" i="2"/>
  <c r="G506" i="2" s="1"/>
  <c r="H506" i="2"/>
  <c r="I506" i="2" s="1"/>
  <c r="F502" i="2"/>
  <c r="G502" i="2" s="1"/>
  <c r="H502" i="2"/>
  <c r="I502" i="2" s="1"/>
  <c r="B502" i="2"/>
  <c r="B498" i="2"/>
  <c r="F498" i="2"/>
  <c r="G498" i="2" s="1"/>
  <c r="H498" i="2"/>
  <c r="I498" i="2" s="1"/>
  <c r="B493" i="2"/>
  <c r="F493" i="2"/>
  <c r="G493" i="2" s="1"/>
  <c r="H493" i="2"/>
  <c r="I493" i="2" s="1"/>
  <c r="H554" i="2"/>
  <c r="I554" i="2" s="1"/>
  <c r="H551" i="2"/>
  <c r="I551" i="2" s="1"/>
  <c r="H548" i="2"/>
  <c r="I548" i="2" s="1"/>
  <c r="H545" i="2"/>
  <c r="I545" i="2" s="1"/>
  <c r="F554" i="2"/>
  <c r="G554" i="2" s="1"/>
  <c r="B540" i="2"/>
  <c r="H536" i="2"/>
  <c r="I536" i="2" s="1"/>
  <c r="B536" i="2"/>
  <c r="F536" i="2"/>
  <c r="G536" i="2" s="1"/>
  <c r="F533" i="2"/>
  <c r="G533" i="2" s="1"/>
  <c r="H533" i="2"/>
  <c r="I533" i="2" s="1"/>
  <c r="B533" i="2"/>
  <c r="B492" i="2"/>
  <c r="F492" i="2"/>
  <c r="G492" i="2" s="1"/>
  <c r="H492" i="2"/>
  <c r="I492" i="2" s="1"/>
  <c r="H385" i="2"/>
  <c r="I385" i="2" s="1"/>
  <c r="L385" i="2" s="1"/>
  <c r="B385" i="2"/>
  <c r="F385" i="2"/>
  <c r="G385" i="2" s="1"/>
  <c r="F216" i="2"/>
  <c r="G216" i="2" s="1"/>
  <c r="B278" i="2"/>
  <c r="F272" i="2"/>
  <c r="G272" i="2" s="1"/>
  <c r="H268" i="2"/>
  <c r="I268" i="2" s="1"/>
  <c r="B272" i="2"/>
  <c r="H389" i="2"/>
  <c r="I389" i="2" s="1"/>
  <c r="B488" i="2"/>
  <c r="F488" i="2"/>
  <c r="G488" i="2" s="1"/>
  <c r="H488" i="2"/>
  <c r="I488" i="2" s="1"/>
  <c r="F469" i="2"/>
  <c r="G469" i="2" s="1"/>
  <c r="H469" i="2"/>
  <c r="I469" i="2" s="1"/>
  <c r="B469" i="2"/>
  <c r="F480" i="2"/>
  <c r="G480" i="2" s="1"/>
  <c r="H480" i="2"/>
  <c r="I480" i="2" s="1"/>
  <c r="B480" i="2"/>
  <c r="F491" i="2"/>
  <c r="G491" i="2" s="1"/>
  <c r="H491" i="2"/>
  <c r="I491" i="2" s="1"/>
  <c r="B491" i="2"/>
  <c r="F476" i="2"/>
  <c r="G476" i="2" s="1"/>
  <c r="H476" i="2"/>
  <c r="I476" i="2" s="1"/>
  <c r="B476" i="2"/>
  <c r="F487" i="2"/>
  <c r="G487" i="2" s="1"/>
  <c r="H487" i="2"/>
  <c r="I487" i="2" s="1"/>
  <c r="B487" i="2"/>
  <c r="B468" i="2"/>
  <c r="F468" i="2"/>
  <c r="G468" i="2" s="1"/>
  <c r="H468" i="2"/>
  <c r="I468" i="2" s="1"/>
  <c r="B467" i="2"/>
  <c r="F467" i="2"/>
  <c r="G467" i="2" s="1"/>
  <c r="H467" i="2"/>
  <c r="I467" i="2" s="1"/>
  <c r="B486" i="2"/>
  <c r="F486" i="2"/>
  <c r="G486" i="2" s="1"/>
  <c r="H486" i="2"/>
  <c r="I486" i="2" s="1"/>
  <c r="B471" i="2"/>
  <c r="F471" i="2"/>
  <c r="G471" i="2" s="1"/>
  <c r="H471" i="2"/>
  <c r="I471" i="2" s="1"/>
  <c r="B482" i="2"/>
  <c r="F482" i="2"/>
  <c r="G482" i="2" s="1"/>
  <c r="H482" i="2"/>
  <c r="I482" i="2" s="1"/>
  <c r="F466" i="2"/>
  <c r="G466" i="2" s="1"/>
  <c r="H466" i="2"/>
  <c r="I466" i="2" s="1"/>
  <c r="B466" i="2"/>
  <c r="B475" i="2"/>
  <c r="F475" i="2"/>
  <c r="G475" i="2" s="1"/>
  <c r="H475" i="2"/>
  <c r="I475" i="2" s="1"/>
  <c r="B474" i="2"/>
  <c r="F474" i="2"/>
  <c r="G474" i="2" s="1"/>
  <c r="H474" i="2"/>
  <c r="I474" i="2" s="1"/>
  <c r="B489" i="2"/>
  <c r="F489" i="2"/>
  <c r="G489" i="2" s="1"/>
  <c r="H489" i="2"/>
  <c r="I489" i="2" s="1"/>
  <c r="B485" i="2"/>
  <c r="F485" i="2"/>
  <c r="G485" i="2" s="1"/>
  <c r="H485" i="2"/>
  <c r="I485" i="2" s="1"/>
  <c r="B470" i="2"/>
  <c r="F470" i="2"/>
  <c r="G470" i="2" s="1"/>
  <c r="H470" i="2"/>
  <c r="I470" i="2" s="1"/>
  <c r="F465" i="2"/>
  <c r="G465" i="2" s="1"/>
  <c r="H465" i="2"/>
  <c r="I465" i="2" s="1"/>
  <c r="B465" i="2"/>
  <c r="B479" i="2"/>
  <c r="F479" i="2"/>
  <c r="G479" i="2" s="1"/>
  <c r="H479" i="2"/>
  <c r="I479" i="2" s="1"/>
  <c r="L479" i="2" s="1"/>
  <c r="B481" i="2"/>
  <c r="F481" i="2"/>
  <c r="G481" i="2" s="1"/>
  <c r="H481" i="2"/>
  <c r="I481" i="2" s="1"/>
  <c r="F483" i="2"/>
  <c r="G483" i="2" s="1"/>
  <c r="H483" i="2"/>
  <c r="I483" i="2" s="1"/>
  <c r="B483" i="2"/>
  <c r="H477" i="2"/>
  <c r="I477" i="2" s="1"/>
  <c r="B477" i="2"/>
  <c r="F477" i="2"/>
  <c r="G477" i="2" s="1"/>
  <c r="F473" i="2"/>
  <c r="G473" i="2" s="1"/>
  <c r="H473" i="2"/>
  <c r="I473" i="2" s="1"/>
  <c r="B473" i="2"/>
  <c r="B464" i="2"/>
  <c r="F464" i="2"/>
  <c r="G464" i="2" s="1"/>
  <c r="H464" i="2"/>
  <c r="I464" i="2" s="1"/>
  <c r="H478" i="2"/>
  <c r="I478" i="2" s="1"/>
  <c r="L478" i="2" s="1"/>
  <c r="B266" i="2"/>
  <c r="B484" i="2"/>
  <c r="F478" i="2"/>
  <c r="G478" i="2" s="1"/>
  <c r="H395" i="2"/>
  <c r="I395" i="2" s="1"/>
  <c r="L395" i="2" s="1"/>
  <c r="H490" i="2"/>
  <c r="I490" i="2" s="1"/>
  <c r="L490" i="2" s="1"/>
  <c r="H472" i="2"/>
  <c r="I472" i="2" s="1"/>
  <c r="F490" i="2"/>
  <c r="G490" i="2" s="1"/>
  <c r="F472" i="2"/>
  <c r="G472" i="2" s="1"/>
  <c r="H484" i="2"/>
  <c r="I484" i="2" s="1"/>
  <c r="H383" i="2"/>
  <c r="I383" i="2" s="1"/>
  <c r="L383" i="2" s="1"/>
  <c r="F383" i="2"/>
  <c r="G383" i="2" s="1"/>
  <c r="B391" i="2"/>
  <c r="F391" i="2"/>
  <c r="G391" i="2" s="1"/>
  <c r="H391" i="2"/>
  <c r="I391" i="2" s="1"/>
  <c r="H449" i="2"/>
  <c r="I449" i="2" s="1"/>
  <c r="H401" i="2"/>
  <c r="I401" i="2" s="1"/>
  <c r="H460" i="2"/>
  <c r="I460" i="2" s="1"/>
  <c r="H461" i="2"/>
  <c r="I461" i="2" s="1"/>
  <c r="H425" i="2"/>
  <c r="I425" i="2" s="1"/>
  <c r="F449" i="2"/>
  <c r="G449" i="2" s="1"/>
  <c r="H445" i="2"/>
  <c r="I445" i="2" s="1"/>
  <c r="H441" i="2"/>
  <c r="I441" i="2" s="1"/>
  <c r="F425" i="2"/>
  <c r="G425" i="2" s="1"/>
  <c r="H421" i="2"/>
  <c r="I421" i="2" s="1"/>
  <c r="H417" i="2"/>
  <c r="I417" i="2" s="1"/>
  <c r="F389" i="2"/>
  <c r="G389" i="2" s="1"/>
  <c r="H437" i="2"/>
  <c r="I437" i="2" s="1"/>
  <c r="H413" i="2"/>
  <c r="I413" i="2" s="1"/>
  <c r="F461" i="2"/>
  <c r="G461" i="2" s="1"/>
  <c r="H457" i="2"/>
  <c r="I457" i="2" s="1"/>
  <c r="H453" i="2"/>
  <c r="I453" i="2" s="1"/>
  <c r="F437" i="2"/>
  <c r="G437" i="2" s="1"/>
  <c r="H433" i="2"/>
  <c r="I433" i="2" s="1"/>
  <c r="H429" i="2"/>
  <c r="I429" i="2" s="1"/>
  <c r="F413" i="2"/>
  <c r="G413" i="2" s="1"/>
  <c r="H409" i="2"/>
  <c r="I409" i="2" s="1"/>
  <c r="H405" i="2"/>
  <c r="I405" i="2" s="1"/>
  <c r="F401" i="2"/>
  <c r="G401" i="2" s="1"/>
  <c r="H397" i="2"/>
  <c r="I397" i="2" s="1"/>
  <c r="H393" i="2"/>
  <c r="I393" i="2" s="1"/>
  <c r="B460" i="2"/>
  <c r="F457" i="2"/>
  <c r="G457" i="2" s="1"/>
  <c r="B456" i="2"/>
  <c r="F453" i="2"/>
  <c r="G453" i="2" s="1"/>
  <c r="B452" i="2"/>
  <c r="B448" i="2"/>
  <c r="F445" i="2"/>
  <c r="G445" i="2" s="1"/>
  <c r="B444" i="2"/>
  <c r="F441" i="2"/>
  <c r="G441" i="2" s="1"/>
  <c r="B440" i="2"/>
  <c r="B436" i="2"/>
  <c r="F433" i="2"/>
  <c r="G433" i="2" s="1"/>
  <c r="B432" i="2"/>
  <c r="F429" i="2"/>
  <c r="G429" i="2" s="1"/>
  <c r="B428" i="2"/>
  <c r="B424" i="2"/>
  <c r="F421" i="2"/>
  <c r="G421" i="2" s="1"/>
  <c r="B420" i="2"/>
  <c r="F417" i="2"/>
  <c r="G417" i="2" s="1"/>
  <c r="B416" i="2"/>
  <c r="B412" i="2"/>
  <c r="F409" i="2"/>
  <c r="G409" i="2" s="1"/>
  <c r="B408" i="2"/>
  <c r="F405" i="2"/>
  <c r="G405" i="2" s="1"/>
  <c r="B404" i="2"/>
  <c r="B400" i="2"/>
  <c r="F397" i="2"/>
  <c r="G397" i="2" s="1"/>
  <c r="B396" i="2"/>
  <c r="F393" i="2"/>
  <c r="G393" i="2" s="1"/>
  <c r="B392" i="2"/>
  <c r="B388" i="2"/>
  <c r="H454" i="2"/>
  <c r="I454" i="2" s="1"/>
  <c r="B382" i="2"/>
  <c r="F382" i="2"/>
  <c r="G382" i="2" s="1"/>
  <c r="H394" i="2"/>
  <c r="I394" i="2" s="1"/>
  <c r="H462" i="2"/>
  <c r="I462" i="2" s="1"/>
  <c r="H458" i="2"/>
  <c r="I458" i="2" s="1"/>
  <c r="H450" i="2"/>
  <c r="I450" i="2" s="1"/>
  <c r="H446" i="2"/>
  <c r="I446" i="2" s="1"/>
  <c r="H438" i="2"/>
  <c r="I438" i="2" s="1"/>
  <c r="H434" i="2"/>
  <c r="I434" i="2" s="1"/>
  <c r="H426" i="2"/>
  <c r="I426" i="2" s="1"/>
  <c r="H422" i="2"/>
  <c r="I422" i="2" s="1"/>
  <c r="H414" i="2"/>
  <c r="I414" i="2" s="1"/>
  <c r="H410" i="2"/>
  <c r="I410" i="2" s="1"/>
  <c r="H402" i="2"/>
  <c r="I402" i="2" s="1"/>
  <c r="H398" i="2"/>
  <c r="I398" i="2" s="1"/>
  <c r="H390" i="2"/>
  <c r="I390" i="2" s="1"/>
  <c r="H386" i="2"/>
  <c r="I386" i="2" s="1"/>
  <c r="H442" i="2"/>
  <c r="I442" i="2" s="1"/>
  <c r="H430" i="2"/>
  <c r="I430" i="2" s="1"/>
  <c r="H418" i="2"/>
  <c r="I418" i="2" s="1"/>
  <c r="H406" i="2"/>
  <c r="I406" i="2" s="1"/>
  <c r="F462" i="2"/>
  <c r="G462" i="2" s="1"/>
  <c r="F458" i="2"/>
  <c r="G458" i="2" s="1"/>
  <c r="F454" i="2"/>
  <c r="G454" i="2" s="1"/>
  <c r="F450" i="2"/>
  <c r="G450" i="2" s="1"/>
  <c r="F446" i="2"/>
  <c r="G446" i="2" s="1"/>
  <c r="F442" i="2"/>
  <c r="G442" i="2" s="1"/>
  <c r="F438" i="2"/>
  <c r="G438" i="2" s="1"/>
  <c r="F434" i="2"/>
  <c r="G434" i="2" s="1"/>
  <c r="F430" i="2"/>
  <c r="G430" i="2" s="1"/>
  <c r="F426" i="2"/>
  <c r="G426" i="2" s="1"/>
  <c r="F422" i="2"/>
  <c r="G422" i="2" s="1"/>
  <c r="F418" i="2"/>
  <c r="G418" i="2" s="1"/>
  <c r="F414" i="2"/>
  <c r="G414" i="2" s="1"/>
  <c r="F410" i="2"/>
  <c r="G410" i="2" s="1"/>
  <c r="F406" i="2"/>
  <c r="G406" i="2" s="1"/>
  <c r="F402" i="2"/>
  <c r="G402" i="2" s="1"/>
  <c r="F398" i="2"/>
  <c r="G398" i="2" s="1"/>
  <c r="F394" i="2"/>
  <c r="G394" i="2" s="1"/>
  <c r="F390" i="2"/>
  <c r="G390" i="2" s="1"/>
  <c r="F386" i="2"/>
  <c r="G386" i="2" s="1"/>
  <c r="H455" i="2"/>
  <c r="I455" i="2" s="1"/>
  <c r="H431" i="2"/>
  <c r="I431" i="2" s="1"/>
  <c r="H443" i="2"/>
  <c r="I443" i="2" s="1"/>
  <c r="H419" i="2"/>
  <c r="I419" i="2" s="1"/>
  <c r="H463" i="2"/>
  <c r="I463" i="2" s="1"/>
  <c r="H459" i="2"/>
  <c r="I459" i="2" s="1"/>
  <c r="F443" i="2"/>
  <c r="G443" i="2" s="1"/>
  <c r="H439" i="2"/>
  <c r="I439" i="2" s="1"/>
  <c r="H435" i="2"/>
  <c r="I435" i="2" s="1"/>
  <c r="F419" i="2"/>
  <c r="G419" i="2" s="1"/>
  <c r="H415" i="2"/>
  <c r="I415" i="2" s="1"/>
  <c r="H411" i="2"/>
  <c r="I411" i="2" s="1"/>
  <c r="F395" i="2"/>
  <c r="G395" i="2" s="1"/>
  <c r="H387" i="2"/>
  <c r="I387" i="2" s="1"/>
  <c r="B381" i="2"/>
  <c r="F381" i="2"/>
  <c r="G381" i="2" s="1"/>
  <c r="H381" i="2"/>
  <c r="I381" i="2" s="1"/>
  <c r="H407" i="2"/>
  <c r="I407" i="2" s="1"/>
  <c r="F455" i="2"/>
  <c r="G455" i="2" s="1"/>
  <c r="H451" i="2"/>
  <c r="I451" i="2" s="1"/>
  <c r="H447" i="2"/>
  <c r="I447" i="2" s="1"/>
  <c r="F431" i="2"/>
  <c r="G431" i="2" s="1"/>
  <c r="H427" i="2"/>
  <c r="I427" i="2" s="1"/>
  <c r="H423" i="2"/>
  <c r="I423" i="2" s="1"/>
  <c r="F407" i="2"/>
  <c r="G407" i="2" s="1"/>
  <c r="H403" i="2"/>
  <c r="I403" i="2" s="1"/>
  <c r="H399" i="2"/>
  <c r="I399" i="2" s="1"/>
  <c r="F463" i="2"/>
  <c r="G463" i="2" s="1"/>
  <c r="F459" i="2"/>
  <c r="G459" i="2" s="1"/>
  <c r="F451" i="2"/>
  <c r="G451" i="2" s="1"/>
  <c r="F447" i="2"/>
  <c r="G447" i="2" s="1"/>
  <c r="F439" i="2"/>
  <c r="G439" i="2" s="1"/>
  <c r="F435" i="2"/>
  <c r="G435" i="2" s="1"/>
  <c r="F427" i="2"/>
  <c r="G427" i="2" s="1"/>
  <c r="F423" i="2"/>
  <c r="G423" i="2" s="1"/>
  <c r="F415" i="2"/>
  <c r="G415" i="2" s="1"/>
  <c r="F411" i="2"/>
  <c r="G411" i="2" s="1"/>
  <c r="F403" i="2"/>
  <c r="G403" i="2" s="1"/>
  <c r="F399" i="2"/>
  <c r="G399" i="2" s="1"/>
  <c r="F387" i="2"/>
  <c r="G387" i="2" s="1"/>
  <c r="H448" i="2"/>
  <c r="I448" i="2" s="1"/>
  <c r="H436" i="2"/>
  <c r="I436" i="2" s="1"/>
  <c r="H424" i="2"/>
  <c r="I424" i="2" s="1"/>
  <c r="H412" i="2"/>
  <c r="I412" i="2" s="1"/>
  <c r="H400" i="2"/>
  <c r="I400" i="2" s="1"/>
  <c r="H456" i="2"/>
  <c r="I456" i="2" s="1"/>
  <c r="H452" i="2"/>
  <c r="I452" i="2" s="1"/>
  <c r="H444" i="2"/>
  <c r="I444" i="2" s="1"/>
  <c r="H440" i="2"/>
  <c r="I440" i="2" s="1"/>
  <c r="H432" i="2"/>
  <c r="I432" i="2" s="1"/>
  <c r="H428" i="2"/>
  <c r="I428" i="2" s="1"/>
  <c r="H420" i="2"/>
  <c r="I420" i="2" s="1"/>
  <c r="H416" i="2"/>
  <c r="I416" i="2" s="1"/>
  <c r="H408" i="2"/>
  <c r="I408" i="2" s="1"/>
  <c r="H404" i="2"/>
  <c r="I404" i="2" s="1"/>
  <c r="H396" i="2"/>
  <c r="I396" i="2" s="1"/>
  <c r="H392" i="2"/>
  <c r="I392" i="2" s="1"/>
  <c r="H384" i="2"/>
  <c r="I384" i="2" s="1"/>
  <c r="H388" i="2"/>
  <c r="I388" i="2" s="1"/>
  <c r="F384" i="2"/>
  <c r="G384" i="2" s="1"/>
  <c r="B380" i="2"/>
  <c r="F380" i="2"/>
  <c r="G380" i="2" s="1"/>
  <c r="H380" i="2"/>
  <c r="I380" i="2" s="1"/>
  <c r="H367" i="2"/>
  <c r="I367" i="2" s="1"/>
  <c r="B367" i="2"/>
  <c r="F367" i="2"/>
  <c r="G367" i="2" s="1"/>
  <c r="F363" i="2"/>
  <c r="G363" i="2" s="1"/>
  <c r="H363" i="2"/>
  <c r="I363" i="2" s="1"/>
  <c r="B363" i="2"/>
  <c r="B371" i="2"/>
  <c r="F371" i="2"/>
  <c r="G371" i="2" s="1"/>
  <c r="H371" i="2"/>
  <c r="I371" i="2" s="1"/>
  <c r="B378" i="2"/>
  <c r="F378" i="2"/>
  <c r="G378" i="2" s="1"/>
  <c r="H378" i="2"/>
  <c r="I378" i="2" s="1"/>
  <c r="B374" i="2"/>
  <c r="F374" i="2"/>
  <c r="G374" i="2" s="1"/>
  <c r="H374" i="2"/>
  <c r="I374" i="2" s="1"/>
  <c r="B370" i="2"/>
  <c r="F370" i="2"/>
  <c r="G370" i="2" s="1"/>
  <c r="H370" i="2"/>
  <c r="I370" i="2" s="1"/>
  <c r="B366" i="2"/>
  <c r="F366" i="2"/>
  <c r="G366" i="2" s="1"/>
  <c r="H366" i="2"/>
  <c r="I366" i="2" s="1"/>
  <c r="H362" i="2"/>
  <c r="I362" i="2" s="1"/>
  <c r="B362" i="2"/>
  <c r="F362" i="2"/>
  <c r="G362" i="2" s="1"/>
  <c r="F377" i="2"/>
  <c r="G377" i="2" s="1"/>
  <c r="H377" i="2"/>
  <c r="I377" i="2" s="1"/>
  <c r="B377" i="2"/>
  <c r="B373" i="2"/>
  <c r="H373" i="2"/>
  <c r="I373" i="2" s="1"/>
  <c r="F373" i="2"/>
  <c r="G373" i="2" s="1"/>
  <c r="F369" i="2"/>
  <c r="G369" i="2" s="1"/>
  <c r="H369" i="2"/>
  <c r="I369" i="2" s="1"/>
  <c r="B369" i="2"/>
  <c r="B365" i="2"/>
  <c r="F365" i="2"/>
  <c r="G365" i="2" s="1"/>
  <c r="H365" i="2"/>
  <c r="I365" i="2" s="1"/>
  <c r="B361" i="2"/>
  <c r="F361" i="2"/>
  <c r="G361" i="2" s="1"/>
  <c r="H361" i="2"/>
  <c r="I361" i="2" s="1"/>
  <c r="H375" i="2"/>
  <c r="I375" i="2" s="1"/>
  <c r="F375" i="2"/>
  <c r="G375" i="2" s="1"/>
  <c r="B375" i="2"/>
  <c r="F376" i="2"/>
  <c r="G376" i="2" s="1"/>
  <c r="H376" i="2"/>
  <c r="I376" i="2" s="1"/>
  <c r="B376" i="2"/>
  <c r="B372" i="2"/>
  <c r="F372" i="2"/>
  <c r="G372" i="2" s="1"/>
  <c r="H372" i="2"/>
  <c r="I372" i="2" s="1"/>
  <c r="B360" i="2"/>
  <c r="F360" i="2"/>
  <c r="G360" i="2" s="1"/>
  <c r="H360" i="2"/>
  <c r="I360" i="2" s="1"/>
  <c r="F368" i="2"/>
  <c r="G368" i="2" s="1"/>
  <c r="H368" i="2"/>
  <c r="I368" i="2" s="1"/>
  <c r="B368" i="2"/>
  <c r="F364" i="2"/>
  <c r="G364" i="2" s="1"/>
  <c r="H364" i="2"/>
  <c r="I364" i="2" s="1"/>
  <c r="B364" i="2"/>
  <c r="B379" i="2"/>
  <c r="F379" i="2"/>
  <c r="G379" i="2" s="1"/>
  <c r="H379" i="2"/>
  <c r="I379" i="2" s="1"/>
  <c r="B359" i="2"/>
  <c r="F359" i="2"/>
  <c r="G359" i="2" s="1"/>
  <c r="H359" i="2"/>
  <c r="I359" i="2" s="1"/>
  <c r="F356" i="2"/>
  <c r="G356" i="2" s="1"/>
  <c r="H356" i="2"/>
  <c r="I356" i="2" s="1"/>
  <c r="B356" i="2"/>
  <c r="H355" i="2"/>
  <c r="I355" i="2" s="1"/>
  <c r="F355" i="2"/>
  <c r="G355" i="2" s="1"/>
  <c r="B355" i="2"/>
  <c r="B358" i="2"/>
  <c r="F358" i="2"/>
  <c r="G358" i="2" s="1"/>
  <c r="H358" i="2"/>
  <c r="I358" i="2" s="1"/>
  <c r="H354" i="2"/>
  <c r="I354" i="2" s="1"/>
  <c r="B354" i="2"/>
  <c r="F354" i="2"/>
  <c r="G354" i="2" s="1"/>
  <c r="B353" i="2"/>
  <c r="H353" i="2"/>
  <c r="I353" i="2" s="1"/>
  <c r="F353" i="2"/>
  <c r="G353" i="2" s="1"/>
  <c r="H357" i="2"/>
  <c r="I357" i="2" s="1"/>
  <c r="F357" i="2"/>
  <c r="G357" i="2" s="1"/>
  <c r="B357" i="2"/>
  <c r="B352" i="2"/>
  <c r="F352" i="2"/>
  <c r="G352" i="2" s="1"/>
  <c r="H352" i="2"/>
  <c r="I352" i="2" s="1"/>
  <c r="F283" i="2"/>
  <c r="G283" i="2" s="1"/>
  <c r="H283" i="2"/>
  <c r="I283" i="2" s="1"/>
  <c r="B283" i="2"/>
  <c r="F288" i="2"/>
  <c r="G288" i="2" s="1"/>
  <c r="B288" i="2"/>
  <c r="H288" i="2"/>
  <c r="I288" i="2" s="1"/>
  <c r="H280" i="2"/>
  <c r="I280" i="2" s="1"/>
  <c r="L280" i="2" s="1"/>
  <c r="H336" i="2"/>
  <c r="I336" i="2" s="1"/>
  <c r="B280" i="2"/>
  <c r="H220" i="2"/>
  <c r="I220" i="2" s="1"/>
  <c r="F266" i="2"/>
  <c r="G266" i="2" s="1"/>
  <c r="H275" i="2"/>
  <c r="I275" i="2" s="1"/>
  <c r="H233" i="2"/>
  <c r="I233" i="2" s="1"/>
  <c r="H221" i="2"/>
  <c r="I221" i="2" s="1"/>
  <c r="F285" i="2"/>
  <c r="G285" i="2" s="1"/>
  <c r="H285" i="2"/>
  <c r="I285" i="2" s="1"/>
  <c r="B285" i="2"/>
  <c r="H287" i="2"/>
  <c r="I287" i="2" s="1"/>
  <c r="B287" i="2"/>
  <c r="F287" i="2"/>
  <c r="G287" i="2" s="1"/>
  <c r="F262" i="2"/>
  <c r="G262" i="2" s="1"/>
  <c r="F278" i="2"/>
  <c r="G278" i="2" s="1"/>
  <c r="B269" i="2"/>
  <c r="B286" i="2"/>
  <c r="H282" i="2"/>
  <c r="I282" i="2" s="1"/>
  <c r="F335" i="2"/>
  <c r="G335" i="2" s="1"/>
  <c r="B274" i="2"/>
  <c r="B262" i="2"/>
  <c r="F282" i="2"/>
  <c r="G282" i="2" s="1"/>
  <c r="F268" i="2"/>
  <c r="G268" i="2" s="1"/>
  <c r="H216" i="2"/>
  <c r="I216" i="2" s="1"/>
  <c r="H284" i="2"/>
  <c r="I284" i="2" s="1"/>
  <c r="F337" i="2"/>
  <c r="G337" i="2" s="1"/>
  <c r="H277" i="2"/>
  <c r="I277" i="2" s="1"/>
  <c r="F284" i="2"/>
  <c r="G284" i="2" s="1"/>
  <c r="B275" i="2"/>
  <c r="H286" i="2"/>
  <c r="I286" i="2" s="1"/>
  <c r="B337" i="2"/>
  <c r="F281" i="2"/>
  <c r="G281" i="2" s="1"/>
  <c r="B277" i="2"/>
  <c r="B263" i="2"/>
  <c r="H274" i="2"/>
  <c r="I274" i="2" s="1"/>
  <c r="H215" i="2"/>
  <c r="I215" i="2" s="1"/>
  <c r="B281" i="2"/>
  <c r="F215" i="2"/>
  <c r="G215" i="2" s="1"/>
  <c r="L343" i="2"/>
  <c r="L337" i="2"/>
  <c r="F343" i="2"/>
  <c r="G343" i="2" s="1"/>
  <c r="H350" i="2"/>
  <c r="I350" i="2" s="1"/>
  <c r="B349" i="2"/>
  <c r="H347" i="2"/>
  <c r="I347" i="2" s="1"/>
  <c r="B346" i="2"/>
  <c r="H344" i="2"/>
  <c r="I344" i="2" s="1"/>
  <c r="B343" i="2"/>
  <c r="H341" i="2"/>
  <c r="I341" i="2" s="1"/>
  <c r="B340" i="2"/>
  <c r="H338" i="2"/>
  <c r="I338" i="2" s="1"/>
  <c r="H333" i="2"/>
  <c r="I333" i="2" s="1"/>
  <c r="B333" i="2"/>
  <c r="F333" i="2"/>
  <c r="G333" i="2" s="1"/>
  <c r="F338" i="2"/>
  <c r="G338" i="2" s="1"/>
  <c r="F329" i="2"/>
  <c r="G329" i="2" s="1"/>
  <c r="H329" i="2"/>
  <c r="I329" i="2" s="1"/>
  <c r="B329" i="2"/>
  <c r="B325" i="2"/>
  <c r="F325" i="2"/>
  <c r="G325" i="2" s="1"/>
  <c r="H325" i="2"/>
  <c r="I325" i="2" s="1"/>
  <c r="H321" i="2"/>
  <c r="I321" i="2" s="1"/>
  <c r="B321" i="2"/>
  <c r="F321" i="2"/>
  <c r="G321" i="2" s="1"/>
  <c r="F317" i="2"/>
  <c r="G317" i="2" s="1"/>
  <c r="H317" i="2"/>
  <c r="I317" i="2" s="1"/>
  <c r="B317" i="2"/>
  <c r="B313" i="2"/>
  <c r="F313" i="2"/>
  <c r="G313" i="2" s="1"/>
  <c r="H313" i="2"/>
  <c r="I313" i="2" s="1"/>
  <c r="H309" i="2"/>
  <c r="I309" i="2" s="1"/>
  <c r="B309" i="2"/>
  <c r="F309" i="2"/>
  <c r="G309" i="2" s="1"/>
  <c r="F305" i="2"/>
  <c r="G305" i="2" s="1"/>
  <c r="H305" i="2"/>
  <c r="I305" i="2" s="1"/>
  <c r="B305" i="2"/>
  <c r="B301" i="2"/>
  <c r="F301" i="2"/>
  <c r="G301" i="2" s="1"/>
  <c r="H301" i="2"/>
  <c r="I301" i="2" s="1"/>
  <c r="H297" i="2"/>
  <c r="I297" i="2" s="1"/>
  <c r="B297" i="2"/>
  <c r="F297" i="2"/>
  <c r="G297" i="2" s="1"/>
  <c r="F293" i="2"/>
  <c r="G293" i="2" s="1"/>
  <c r="H293" i="2"/>
  <c r="I293" i="2" s="1"/>
  <c r="B293" i="2"/>
  <c r="F351" i="2"/>
  <c r="G351" i="2" s="1"/>
  <c r="F348" i="2"/>
  <c r="G348" i="2" s="1"/>
  <c r="F349" i="2"/>
  <c r="G349" i="2" s="1"/>
  <c r="F350" i="2"/>
  <c r="G350" i="2" s="1"/>
  <c r="F341" i="2"/>
  <c r="G341" i="2" s="1"/>
  <c r="F336" i="2"/>
  <c r="G336" i="2" s="1"/>
  <c r="F347" i="2"/>
  <c r="G347" i="2" s="1"/>
  <c r="F344" i="2"/>
  <c r="G344" i="2" s="1"/>
  <c r="H351" i="2"/>
  <c r="I351" i="2" s="1"/>
  <c r="H348" i="2"/>
  <c r="I348" i="2" s="1"/>
  <c r="H345" i="2"/>
  <c r="I345" i="2" s="1"/>
  <c r="H342" i="2"/>
  <c r="I342" i="2" s="1"/>
  <c r="H339" i="2"/>
  <c r="I339" i="2" s="1"/>
  <c r="B332" i="2"/>
  <c r="F332" i="2"/>
  <c r="G332" i="2" s="1"/>
  <c r="H332" i="2"/>
  <c r="I332" i="2" s="1"/>
  <c r="H328" i="2"/>
  <c r="I328" i="2" s="1"/>
  <c r="B328" i="2"/>
  <c r="F328" i="2"/>
  <c r="G328" i="2" s="1"/>
  <c r="B324" i="2"/>
  <c r="F324" i="2"/>
  <c r="G324" i="2" s="1"/>
  <c r="H324" i="2"/>
  <c r="I324" i="2" s="1"/>
  <c r="B320" i="2"/>
  <c r="F320" i="2"/>
  <c r="G320" i="2" s="1"/>
  <c r="H320" i="2"/>
  <c r="I320" i="2" s="1"/>
  <c r="H316" i="2"/>
  <c r="I316" i="2" s="1"/>
  <c r="B316" i="2"/>
  <c r="F316" i="2"/>
  <c r="G316" i="2" s="1"/>
  <c r="B312" i="2"/>
  <c r="F312" i="2"/>
  <c r="G312" i="2" s="1"/>
  <c r="H312" i="2"/>
  <c r="I312" i="2" s="1"/>
  <c r="B308" i="2"/>
  <c r="F308" i="2"/>
  <c r="G308" i="2" s="1"/>
  <c r="H308" i="2"/>
  <c r="I308" i="2" s="1"/>
  <c r="H304" i="2"/>
  <c r="I304" i="2" s="1"/>
  <c r="B304" i="2"/>
  <c r="F304" i="2"/>
  <c r="G304" i="2" s="1"/>
  <c r="B300" i="2"/>
  <c r="F300" i="2"/>
  <c r="G300" i="2" s="1"/>
  <c r="H300" i="2"/>
  <c r="I300" i="2" s="1"/>
  <c r="B296" i="2"/>
  <c r="F296" i="2"/>
  <c r="G296" i="2" s="1"/>
  <c r="H296" i="2"/>
  <c r="I296" i="2" s="1"/>
  <c r="H292" i="2"/>
  <c r="I292" i="2" s="1"/>
  <c r="B292" i="2"/>
  <c r="F292" i="2"/>
  <c r="G292" i="2" s="1"/>
  <c r="F339" i="2"/>
  <c r="G339" i="2" s="1"/>
  <c r="F334" i="2"/>
  <c r="G334" i="2" s="1"/>
  <c r="B334" i="2"/>
  <c r="B331" i="2"/>
  <c r="F331" i="2"/>
  <c r="G331" i="2" s="1"/>
  <c r="H331" i="2"/>
  <c r="I331" i="2" s="1"/>
  <c r="B327" i="2"/>
  <c r="F327" i="2"/>
  <c r="G327" i="2" s="1"/>
  <c r="H327" i="2"/>
  <c r="I327" i="2" s="1"/>
  <c r="F323" i="2"/>
  <c r="G323" i="2" s="1"/>
  <c r="H323" i="2"/>
  <c r="I323" i="2" s="1"/>
  <c r="B323" i="2"/>
  <c r="B319" i="2"/>
  <c r="F319" i="2"/>
  <c r="G319" i="2" s="1"/>
  <c r="H319" i="2"/>
  <c r="I319" i="2" s="1"/>
  <c r="B315" i="2"/>
  <c r="F315" i="2"/>
  <c r="G315" i="2" s="1"/>
  <c r="H315" i="2"/>
  <c r="I315" i="2" s="1"/>
  <c r="F311" i="2"/>
  <c r="G311" i="2" s="1"/>
  <c r="H311" i="2"/>
  <c r="I311" i="2" s="1"/>
  <c r="B311" i="2"/>
  <c r="B307" i="2"/>
  <c r="F307" i="2"/>
  <c r="G307" i="2" s="1"/>
  <c r="H307" i="2"/>
  <c r="I307" i="2" s="1"/>
  <c r="B303" i="2"/>
  <c r="F303" i="2"/>
  <c r="G303" i="2" s="1"/>
  <c r="H303" i="2"/>
  <c r="I303" i="2" s="1"/>
  <c r="F299" i="2"/>
  <c r="G299" i="2" s="1"/>
  <c r="H299" i="2"/>
  <c r="I299" i="2" s="1"/>
  <c r="B299" i="2"/>
  <c r="B295" i="2"/>
  <c r="F295" i="2"/>
  <c r="G295" i="2" s="1"/>
  <c r="H295" i="2"/>
  <c r="I295" i="2" s="1"/>
  <c r="B291" i="2"/>
  <c r="F291" i="2"/>
  <c r="G291" i="2" s="1"/>
  <c r="H291" i="2"/>
  <c r="I291" i="2" s="1"/>
  <c r="F345" i="2"/>
  <c r="G345" i="2" s="1"/>
  <c r="F342" i="2"/>
  <c r="G342" i="2" s="1"/>
  <c r="H346" i="2"/>
  <c r="I346" i="2" s="1"/>
  <c r="H340" i="2"/>
  <c r="I340" i="2" s="1"/>
  <c r="H335" i="2"/>
  <c r="I335" i="2" s="1"/>
  <c r="B290" i="2"/>
  <c r="F290" i="2"/>
  <c r="G290" i="2" s="1"/>
  <c r="H290" i="2"/>
  <c r="I290" i="2" s="1"/>
  <c r="F330" i="2"/>
  <c r="G330" i="2" s="1"/>
  <c r="H330" i="2"/>
  <c r="I330" i="2" s="1"/>
  <c r="B330" i="2"/>
  <c r="B326" i="2"/>
  <c r="F326" i="2"/>
  <c r="G326" i="2" s="1"/>
  <c r="H326" i="2"/>
  <c r="I326" i="2" s="1"/>
  <c r="F322" i="2"/>
  <c r="G322" i="2" s="1"/>
  <c r="H322" i="2"/>
  <c r="I322" i="2" s="1"/>
  <c r="B322" i="2"/>
  <c r="F318" i="2"/>
  <c r="G318" i="2" s="1"/>
  <c r="H318" i="2"/>
  <c r="I318" i="2" s="1"/>
  <c r="B318" i="2"/>
  <c r="B314" i="2"/>
  <c r="F314" i="2"/>
  <c r="G314" i="2" s="1"/>
  <c r="H314" i="2"/>
  <c r="I314" i="2" s="1"/>
  <c r="F310" i="2"/>
  <c r="G310" i="2" s="1"/>
  <c r="H310" i="2"/>
  <c r="I310" i="2" s="1"/>
  <c r="B310" i="2"/>
  <c r="F306" i="2"/>
  <c r="G306" i="2" s="1"/>
  <c r="H306" i="2"/>
  <c r="I306" i="2" s="1"/>
  <c r="B306" i="2"/>
  <c r="B302" i="2"/>
  <c r="F302" i="2"/>
  <c r="G302" i="2" s="1"/>
  <c r="H302" i="2"/>
  <c r="I302" i="2" s="1"/>
  <c r="F298" i="2"/>
  <c r="G298" i="2" s="1"/>
  <c r="H298" i="2"/>
  <c r="I298" i="2" s="1"/>
  <c r="B298" i="2"/>
  <c r="F294" i="2"/>
  <c r="G294" i="2" s="1"/>
  <c r="H294" i="2"/>
  <c r="I294" i="2" s="1"/>
  <c r="B294" i="2"/>
  <c r="B289" i="2"/>
  <c r="F289" i="2"/>
  <c r="G289" i="2" s="1"/>
  <c r="H289" i="2"/>
  <c r="I289" i="2" s="1"/>
  <c r="B279" i="2"/>
  <c r="F279" i="2"/>
  <c r="G279" i="2" s="1"/>
  <c r="B276" i="2"/>
  <c r="F276" i="2"/>
  <c r="G276" i="2" s="1"/>
  <c r="B273" i="2"/>
  <c r="F273" i="2"/>
  <c r="G273" i="2" s="1"/>
  <c r="B271" i="2"/>
  <c r="F271" i="2"/>
  <c r="G271" i="2" s="1"/>
  <c r="B270" i="2"/>
  <c r="F270" i="2"/>
  <c r="G270" i="2" s="1"/>
  <c r="L267" i="2"/>
  <c r="B267" i="2"/>
  <c r="F267" i="2"/>
  <c r="G267" i="2" s="1"/>
  <c r="B265" i="2"/>
  <c r="F265" i="2"/>
  <c r="G265" i="2" s="1"/>
  <c r="B264" i="2"/>
  <c r="F264" i="2"/>
  <c r="G264" i="2" s="1"/>
  <c r="B261" i="2"/>
  <c r="F261" i="2"/>
  <c r="G261" i="2" s="1"/>
  <c r="B260" i="2"/>
  <c r="F260" i="2"/>
  <c r="G260" i="2" s="1"/>
  <c r="H260" i="2"/>
  <c r="I260" i="2" s="1"/>
  <c r="B259" i="2"/>
  <c r="F259" i="2"/>
  <c r="G259" i="2" s="1"/>
  <c r="F258" i="2"/>
  <c r="G258" i="2" s="1"/>
  <c r="H258" i="2"/>
  <c r="I258" i="2" s="1"/>
  <c r="B258" i="2"/>
  <c r="B257" i="2"/>
  <c r="F257" i="2"/>
  <c r="G257" i="2" s="1"/>
  <c r="B256" i="2"/>
  <c r="F256" i="2"/>
  <c r="G256" i="2" s="1"/>
  <c r="B255" i="2"/>
  <c r="F255" i="2"/>
  <c r="G255" i="2" s="1"/>
  <c r="F254" i="2"/>
  <c r="G254" i="2" s="1"/>
  <c r="H254" i="2"/>
  <c r="I254" i="2" s="1"/>
  <c r="B254" i="2"/>
  <c r="B253" i="2"/>
  <c r="F253" i="2"/>
  <c r="G253" i="2" s="1"/>
  <c r="H253" i="2"/>
  <c r="I253" i="2" s="1"/>
  <c r="B252" i="2"/>
  <c r="F252" i="2"/>
  <c r="G252" i="2" s="1"/>
  <c r="H252" i="2"/>
  <c r="I252" i="2" s="1"/>
  <c r="B251" i="2"/>
  <c r="F251" i="2"/>
  <c r="G251" i="2" s="1"/>
  <c r="F250" i="2"/>
  <c r="G250" i="2" s="1"/>
  <c r="B250" i="2"/>
  <c r="B249" i="2"/>
  <c r="F249" i="2"/>
  <c r="G249" i="2" s="1"/>
  <c r="H249" i="2"/>
  <c r="I249" i="2" s="1"/>
  <c r="B248" i="2"/>
  <c r="F248" i="2"/>
  <c r="G248" i="2" s="1"/>
  <c r="H248" i="2"/>
  <c r="I248" i="2" s="1"/>
  <c r="B247" i="2"/>
  <c r="F247" i="2"/>
  <c r="G247" i="2" s="1"/>
  <c r="H247" i="2"/>
  <c r="I247" i="2" s="1"/>
  <c r="F246" i="2"/>
  <c r="G246" i="2" s="1"/>
  <c r="H246" i="2"/>
  <c r="I246" i="2" s="1"/>
  <c r="B246" i="2"/>
  <c r="B245" i="2"/>
  <c r="F245" i="2"/>
  <c r="G245" i="2" s="1"/>
  <c r="B244" i="2"/>
  <c r="F244" i="2"/>
  <c r="G244" i="2" s="1"/>
  <c r="B243" i="2"/>
  <c r="F243" i="2"/>
  <c r="G243" i="2" s="1"/>
  <c r="H243" i="2"/>
  <c r="I243" i="2" s="1"/>
  <c r="F242" i="2"/>
  <c r="G242" i="2" s="1"/>
  <c r="H242" i="2"/>
  <c r="I242" i="2" s="1"/>
  <c r="B242" i="2"/>
  <c r="B241" i="2"/>
  <c r="F241" i="2"/>
  <c r="G241" i="2" s="1"/>
  <c r="H241" i="2"/>
  <c r="I241" i="2" s="1"/>
  <c r="B240" i="2"/>
  <c r="F240" i="2"/>
  <c r="G240" i="2" s="1"/>
  <c r="H240" i="2"/>
  <c r="I240" i="2" s="1"/>
  <c r="L239" i="2"/>
  <c r="B239" i="2"/>
  <c r="F239" i="2"/>
  <c r="G239" i="2" s="1"/>
  <c r="F238" i="2"/>
  <c r="G238" i="2" s="1"/>
  <c r="B238" i="2"/>
  <c r="B237" i="2"/>
  <c r="F237" i="2"/>
  <c r="G237" i="2" s="1"/>
  <c r="H237" i="2"/>
  <c r="I237" i="2" s="1"/>
  <c r="B236" i="2"/>
  <c r="F236" i="2"/>
  <c r="G236" i="2" s="1"/>
  <c r="H236" i="2"/>
  <c r="I236" i="2" s="1"/>
  <c r="F234" i="2"/>
  <c r="G234" i="2" s="1"/>
  <c r="H234" i="2"/>
  <c r="I234" i="2" s="1"/>
  <c r="B234" i="2"/>
  <c r="B229" i="2"/>
  <c r="F229" i="2"/>
  <c r="G229" i="2" s="1"/>
  <c r="H229" i="2"/>
  <c r="I229" i="2" s="1"/>
  <c r="B217" i="2"/>
  <c r="F217" i="2"/>
  <c r="G217" i="2" s="1"/>
  <c r="H217" i="2"/>
  <c r="I217" i="2" s="1"/>
  <c r="H227" i="2"/>
  <c r="I227" i="2" s="1"/>
  <c r="H235" i="2"/>
  <c r="I235" i="2" s="1"/>
  <c r="H231" i="2"/>
  <c r="I231" i="2" s="1"/>
  <c r="F227" i="2"/>
  <c r="G227" i="2" s="1"/>
  <c r="H223" i="2"/>
  <c r="I223" i="2" s="1"/>
  <c r="H219" i="2"/>
  <c r="I219" i="2" s="1"/>
  <c r="F235" i="2"/>
  <c r="G235" i="2" s="1"/>
  <c r="F231" i="2"/>
  <c r="G231" i="2" s="1"/>
  <c r="B230" i="2"/>
  <c r="B226" i="2"/>
  <c r="F223" i="2"/>
  <c r="G223" i="2" s="1"/>
  <c r="B222" i="2"/>
  <c r="F219" i="2"/>
  <c r="G219" i="2" s="1"/>
  <c r="B218" i="2"/>
  <c r="H232" i="2"/>
  <c r="I232" i="2" s="1"/>
  <c r="H228" i="2"/>
  <c r="I228" i="2" s="1"/>
  <c r="H224" i="2"/>
  <c r="I224" i="2" s="1"/>
  <c r="F232" i="2"/>
  <c r="G232" i="2" s="1"/>
  <c r="F228" i="2"/>
  <c r="G228" i="2" s="1"/>
  <c r="F224" i="2"/>
  <c r="G224" i="2" s="1"/>
  <c r="F220" i="2"/>
  <c r="G220" i="2" s="1"/>
  <c r="B213" i="2"/>
  <c r="F213" i="2"/>
  <c r="G213" i="2" s="1"/>
  <c r="F233" i="2"/>
  <c r="G233" i="2" s="1"/>
  <c r="H225" i="2"/>
  <c r="I225" i="2" s="1"/>
  <c r="F221" i="2"/>
  <c r="G221" i="2" s="1"/>
  <c r="F225" i="2"/>
  <c r="G225" i="2" s="1"/>
  <c r="H214" i="2"/>
  <c r="I214" i="2" s="1"/>
  <c r="H226" i="2"/>
  <c r="I226" i="2" s="1"/>
  <c r="H269" i="2"/>
  <c r="I269" i="2" s="1"/>
  <c r="H263" i="2"/>
  <c r="I263" i="2" s="1"/>
  <c r="H230" i="2"/>
  <c r="I230" i="2" s="1"/>
  <c r="H222" i="2"/>
  <c r="I222" i="2" s="1"/>
  <c r="H218" i="2"/>
  <c r="I218" i="2" s="1"/>
  <c r="F214" i="2"/>
  <c r="G214" i="2" s="1"/>
  <c r="B212" i="2"/>
  <c r="F212" i="2"/>
  <c r="G212" i="2" s="1"/>
  <c r="H212" i="2"/>
  <c r="I212" i="2" s="1"/>
  <c r="B192" i="2"/>
  <c r="F192" i="2"/>
  <c r="G192" i="2" s="1"/>
  <c r="H192" i="2"/>
  <c r="I192" i="2" s="1"/>
  <c r="F188" i="2"/>
  <c r="G188" i="2" s="1"/>
  <c r="H188" i="2"/>
  <c r="I188" i="2" s="1"/>
  <c r="B188" i="2"/>
  <c r="H211" i="2"/>
  <c r="I211" i="2" s="1"/>
  <c r="F211" i="2"/>
  <c r="G211" i="2" s="1"/>
  <c r="B211" i="2"/>
  <c r="B207" i="2"/>
  <c r="F207" i="2"/>
  <c r="G207" i="2" s="1"/>
  <c r="H207" i="2"/>
  <c r="I207" i="2" s="1"/>
  <c r="B203" i="2"/>
  <c r="F203" i="2"/>
  <c r="G203" i="2" s="1"/>
  <c r="H203" i="2"/>
  <c r="I203" i="2" s="1"/>
  <c r="F199" i="2"/>
  <c r="G199" i="2" s="1"/>
  <c r="H199" i="2"/>
  <c r="I199" i="2" s="1"/>
  <c r="B199" i="2"/>
  <c r="F195" i="2"/>
  <c r="G195" i="2" s="1"/>
  <c r="H195" i="2"/>
  <c r="I195" i="2" s="1"/>
  <c r="B195" i="2"/>
  <c r="B196" i="2"/>
  <c r="F196" i="2"/>
  <c r="G196" i="2" s="1"/>
  <c r="H196" i="2"/>
  <c r="I196" i="2" s="1"/>
  <c r="B191" i="2"/>
  <c r="F191" i="2"/>
  <c r="G191" i="2" s="1"/>
  <c r="H191" i="2"/>
  <c r="I191" i="2" s="1"/>
  <c r="H187" i="2"/>
  <c r="I187" i="2" s="1"/>
  <c r="B187" i="2"/>
  <c r="F187" i="2"/>
  <c r="G187" i="2" s="1"/>
  <c r="B210" i="2"/>
  <c r="F210" i="2"/>
  <c r="G210" i="2" s="1"/>
  <c r="H210" i="2"/>
  <c r="I210" i="2" s="1"/>
  <c r="F206" i="2"/>
  <c r="G206" i="2" s="1"/>
  <c r="H206" i="2"/>
  <c r="I206" i="2" s="1"/>
  <c r="B206" i="2"/>
  <c r="B202" i="2"/>
  <c r="F202" i="2"/>
  <c r="G202" i="2" s="1"/>
  <c r="H202" i="2"/>
  <c r="I202" i="2" s="1"/>
  <c r="H198" i="2"/>
  <c r="I198" i="2" s="1"/>
  <c r="B198" i="2"/>
  <c r="F198" i="2"/>
  <c r="G198" i="2" s="1"/>
  <c r="F194" i="2"/>
  <c r="G194" i="2" s="1"/>
  <c r="H194" i="2"/>
  <c r="I194" i="2" s="1"/>
  <c r="B194" i="2"/>
  <c r="B208" i="2"/>
  <c r="F208" i="2"/>
  <c r="G208" i="2" s="1"/>
  <c r="H208" i="2"/>
  <c r="I208" i="2" s="1"/>
  <c r="B190" i="2"/>
  <c r="F190" i="2"/>
  <c r="G190" i="2" s="1"/>
  <c r="H190" i="2"/>
  <c r="I190" i="2" s="1"/>
  <c r="B186" i="2"/>
  <c r="F186" i="2"/>
  <c r="G186" i="2" s="1"/>
  <c r="H186" i="2"/>
  <c r="I186" i="2" s="1"/>
  <c r="F200" i="2"/>
  <c r="G200" i="2" s="1"/>
  <c r="H200" i="2"/>
  <c r="I200" i="2" s="1"/>
  <c r="B200" i="2"/>
  <c r="B209" i="2"/>
  <c r="H209" i="2"/>
  <c r="I209" i="2" s="1"/>
  <c r="F209" i="2"/>
  <c r="G209" i="2" s="1"/>
  <c r="F205" i="2"/>
  <c r="G205" i="2" s="1"/>
  <c r="H205" i="2"/>
  <c r="I205" i="2" s="1"/>
  <c r="B205" i="2"/>
  <c r="B201" i="2"/>
  <c r="F201" i="2"/>
  <c r="G201" i="2" s="1"/>
  <c r="H201" i="2"/>
  <c r="I201" i="2" s="1"/>
  <c r="B197" i="2"/>
  <c r="F197" i="2"/>
  <c r="G197" i="2" s="1"/>
  <c r="H197" i="2"/>
  <c r="I197" i="2" s="1"/>
  <c r="B185" i="2"/>
  <c r="F185" i="2"/>
  <c r="G185" i="2" s="1"/>
  <c r="H185" i="2"/>
  <c r="I185" i="2" s="1"/>
  <c r="H193" i="2"/>
  <c r="I193" i="2" s="1"/>
  <c r="B193" i="2"/>
  <c r="F193" i="2"/>
  <c r="G193" i="2" s="1"/>
  <c r="F189" i="2"/>
  <c r="G189" i="2" s="1"/>
  <c r="H189" i="2"/>
  <c r="I189" i="2" s="1"/>
  <c r="B189" i="2"/>
  <c r="H204" i="2"/>
  <c r="I204" i="2" s="1"/>
  <c r="B204" i="2"/>
  <c r="F204" i="2"/>
  <c r="G204" i="2" s="1"/>
  <c r="B184" i="2"/>
  <c r="F184" i="2"/>
  <c r="G184" i="2" s="1"/>
  <c r="H184" i="2"/>
  <c r="I184" i="2" s="1"/>
  <c r="F167" i="2"/>
  <c r="G167" i="2" s="1"/>
  <c r="H167" i="2"/>
  <c r="I167" i="2" s="1"/>
  <c r="B167" i="2"/>
  <c r="F182" i="2"/>
  <c r="G182" i="2" s="1"/>
  <c r="H182" i="2"/>
  <c r="I182" i="2" s="1"/>
  <c r="B182" i="2"/>
  <c r="F178" i="2"/>
  <c r="G178" i="2" s="1"/>
  <c r="B178" i="2"/>
  <c r="H178" i="2"/>
  <c r="I178" i="2" s="1"/>
  <c r="B174" i="2"/>
  <c r="F174" i="2"/>
  <c r="G174" i="2" s="1"/>
  <c r="H174" i="2"/>
  <c r="I174" i="2" s="1"/>
  <c r="H171" i="2"/>
  <c r="I171" i="2" s="1"/>
  <c r="B171" i="2"/>
  <c r="F171" i="2"/>
  <c r="G171" i="2" s="1"/>
  <c r="B170" i="2"/>
  <c r="F170" i="2"/>
  <c r="G170" i="2" s="1"/>
  <c r="H170" i="2"/>
  <c r="I170" i="2" s="1"/>
  <c r="H166" i="2"/>
  <c r="I166" i="2" s="1"/>
  <c r="B166" i="2"/>
  <c r="F166" i="2"/>
  <c r="G166" i="2" s="1"/>
  <c r="B183" i="2"/>
  <c r="F183" i="2"/>
  <c r="G183" i="2" s="1"/>
  <c r="H183" i="2"/>
  <c r="I183" i="2" s="1"/>
  <c r="F181" i="2"/>
  <c r="G181" i="2" s="1"/>
  <c r="H181" i="2"/>
  <c r="I181" i="2" s="1"/>
  <c r="B181" i="2"/>
  <c r="B177" i="2"/>
  <c r="H177" i="2"/>
  <c r="I177" i="2" s="1"/>
  <c r="F177" i="2"/>
  <c r="G177" i="2" s="1"/>
  <c r="F173" i="2"/>
  <c r="G173" i="2" s="1"/>
  <c r="H173" i="2"/>
  <c r="I173" i="2" s="1"/>
  <c r="B173" i="2"/>
  <c r="H179" i="2"/>
  <c r="I179" i="2" s="1"/>
  <c r="B179" i="2"/>
  <c r="F179" i="2"/>
  <c r="G179" i="2" s="1"/>
  <c r="B169" i="2"/>
  <c r="F169" i="2"/>
  <c r="G169" i="2" s="1"/>
  <c r="H169" i="2"/>
  <c r="I169" i="2" s="1"/>
  <c r="B165" i="2"/>
  <c r="F165" i="2"/>
  <c r="G165" i="2" s="1"/>
  <c r="H165" i="2"/>
  <c r="I165" i="2" s="1"/>
  <c r="H180" i="2"/>
  <c r="I180" i="2" s="1"/>
  <c r="B180" i="2"/>
  <c r="F180" i="2"/>
  <c r="G180" i="2" s="1"/>
  <c r="B176" i="2"/>
  <c r="F176" i="2"/>
  <c r="G176" i="2" s="1"/>
  <c r="H176" i="2"/>
  <c r="I176" i="2" s="1"/>
  <c r="B164" i="2"/>
  <c r="F164" i="2"/>
  <c r="G164" i="2" s="1"/>
  <c r="H164" i="2"/>
  <c r="I164" i="2" s="1"/>
  <c r="F172" i="2"/>
  <c r="G172" i="2" s="1"/>
  <c r="H172" i="2"/>
  <c r="I172" i="2" s="1"/>
  <c r="B172" i="2"/>
  <c r="F168" i="2"/>
  <c r="G168" i="2" s="1"/>
  <c r="H168" i="2"/>
  <c r="I168" i="2" s="1"/>
  <c r="B168" i="2"/>
  <c r="B175" i="2"/>
  <c r="F175" i="2"/>
  <c r="G175" i="2" s="1"/>
  <c r="H175" i="2"/>
  <c r="I175" i="2" s="1"/>
  <c r="B163" i="2"/>
  <c r="F163" i="2"/>
  <c r="G163" i="2" s="1"/>
  <c r="H163" i="2"/>
  <c r="I163" i="2" s="1"/>
  <c r="H157" i="2"/>
  <c r="I157" i="2" s="1"/>
  <c r="B157" i="2"/>
  <c r="F157" i="2"/>
  <c r="G157" i="2" s="1"/>
  <c r="F153" i="2"/>
  <c r="G153" i="2" s="1"/>
  <c r="H153" i="2"/>
  <c r="I153" i="2" s="1"/>
  <c r="B153" i="2"/>
  <c r="B160" i="2"/>
  <c r="F160" i="2"/>
  <c r="G160" i="2" s="1"/>
  <c r="H160" i="2"/>
  <c r="I160" i="2" s="1"/>
  <c r="B156" i="2"/>
  <c r="F156" i="2"/>
  <c r="G156" i="2" s="1"/>
  <c r="H156" i="2"/>
  <c r="I156" i="2" s="1"/>
  <c r="H152" i="2"/>
  <c r="I152" i="2" s="1"/>
  <c r="B152" i="2"/>
  <c r="F152" i="2"/>
  <c r="G152" i="2" s="1"/>
  <c r="H159" i="2"/>
  <c r="I159" i="2" s="1"/>
  <c r="F159" i="2"/>
  <c r="G159" i="2" s="1"/>
  <c r="B159" i="2"/>
  <c r="B155" i="2"/>
  <c r="F155" i="2"/>
  <c r="G155" i="2" s="1"/>
  <c r="H155" i="2"/>
  <c r="I155" i="2" s="1"/>
  <c r="B151" i="2"/>
  <c r="F151" i="2"/>
  <c r="G151" i="2" s="1"/>
  <c r="H151" i="2"/>
  <c r="I151" i="2" s="1"/>
  <c r="F161" i="2"/>
  <c r="G161" i="2" s="1"/>
  <c r="B161" i="2"/>
  <c r="H161" i="2"/>
  <c r="I161" i="2" s="1"/>
  <c r="B162" i="2"/>
  <c r="F162" i="2"/>
  <c r="G162" i="2" s="1"/>
  <c r="H162" i="2"/>
  <c r="I162" i="2" s="1"/>
  <c r="B150" i="2"/>
  <c r="F150" i="2"/>
  <c r="G150" i="2" s="1"/>
  <c r="H150" i="2"/>
  <c r="I150" i="2" s="1"/>
  <c r="F158" i="2"/>
  <c r="G158" i="2" s="1"/>
  <c r="H158" i="2"/>
  <c r="I158" i="2" s="1"/>
  <c r="B158" i="2"/>
  <c r="F154" i="2"/>
  <c r="G154" i="2" s="1"/>
  <c r="H154" i="2"/>
  <c r="I154" i="2" s="1"/>
  <c r="B154" i="2"/>
  <c r="B149" i="2"/>
  <c r="F149" i="2"/>
  <c r="G149" i="2" s="1"/>
  <c r="H149" i="2"/>
  <c r="I149" i="2" s="1"/>
  <c r="H147" i="2"/>
  <c r="I147" i="2" s="1"/>
  <c r="B147" i="2"/>
  <c r="F147" i="2"/>
  <c r="G147" i="2" s="1"/>
  <c r="F146" i="2"/>
  <c r="G146" i="2" s="1"/>
  <c r="H146" i="2"/>
  <c r="I146" i="2" s="1"/>
  <c r="B146" i="2"/>
  <c r="H145" i="2"/>
  <c r="I145" i="2" s="1"/>
  <c r="F145" i="2"/>
  <c r="G145" i="2" s="1"/>
  <c r="B145" i="2"/>
  <c r="B144" i="2"/>
  <c r="H144" i="2"/>
  <c r="I144" i="2" s="1"/>
  <c r="F144" i="2"/>
  <c r="G144" i="2" s="1"/>
  <c r="B148" i="2"/>
  <c r="F148" i="2"/>
  <c r="G148" i="2" s="1"/>
  <c r="H148" i="2"/>
  <c r="I148" i="2" s="1"/>
  <c r="B143" i="2"/>
  <c r="F143" i="2"/>
  <c r="G143" i="2" s="1"/>
  <c r="H143" i="2"/>
  <c r="I143" i="2" s="1"/>
  <c r="B142" i="2"/>
  <c r="F142" i="2"/>
  <c r="G142" i="2" s="1"/>
  <c r="H142" i="2"/>
  <c r="I142" i="2" s="1"/>
  <c r="B139" i="2"/>
  <c r="F139" i="2"/>
  <c r="G139" i="2" s="1"/>
  <c r="H139" i="2"/>
  <c r="I139" i="2" s="1"/>
  <c r="F135" i="2"/>
  <c r="G135" i="2" s="1"/>
  <c r="H135" i="2"/>
  <c r="I135" i="2" s="1"/>
  <c r="B135" i="2"/>
  <c r="B131" i="2"/>
  <c r="F131" i="2"/>
  <c r="G131" i="2" s="1"/>
  <c r="H131" i="2"/>
  <c r="I131" i="2" s="1"/>
  <c r="B127" i="2"/>
  <c r="F127" i="2"/>
  <c r="G127" i="2" s="1"/>
  <c r="H127" i="2"/>
  <c r="I127" i="2" s="1"/>
  <c r="F123" i="2"/>
  <c r="G123" i="2" s="1"/>
  <c r="H123" i="2"/>
  <c r="I123" i="2" s="1"/>
  <c r="B123" i="2"/>
  <c r="B119" i="2"/>
  <c r="F119" i="2"/>
  <c r="G119" i="2" s="1"/>
  <c r="H119" i="2"/>
  <c r="I119" i="2" s="1"/>
  <c r="B115" i="2"/>
  <c r="F115" i="2"/>
  <c r="G115" i="2" s="1"/>
  <c r="H115" i="2"/>
  <c r="I115" i="2" s="1"/>
  <c r="F111" i="2"/>
  <c r="G111" i="2" s="1"/>
  <c r="H111" i="2"/>
  <c r="I111" i="2" s="1"/>
  <c r="B111" i="2"/>
  <c r="B138" i="2"/>
  <c r="F138" i="2"/>
  <c r="G138" i="2" s="1"/>
  <c r="H138" i="2"/>
  <c r="I138" i="2" s="1"/>
  <c r="F134" i="2"/>
  <c r="G134" i="2" s="1"/>
  <c r="H134" i="2"/>
  <c r="I134" i="2" s="1"/>
  <c r="B134" i="2"/>
  <c r="F130" i="2"/>
  <c r="G130" i="2" s="1"/>
  <c r="H130" i="2"/>
  <c r="I130" i="2" s="1"/>
  <c r="B130" i="2"/>
  <c r="B126" i="2"/>
  <c r="F126" i="2"/>
  <c r="G126" i="2" s="1"/>
  <c r="H126" i="2"/>
  <c r="I126" i="2" s="1"/>
  <c r="F122" i="2"/>
  <c r="G122" i="2" s="1"/>
  <c r="H122" i="2"/>
  <c r="I122" i="2" s="1"/>
  <c r="B122" i="2"/>
  <c r="F118" i="2"/>
  <c r="G118" i="2" s="1"/>
  <c r="H118" i="2"/>
  <c r="I118" i="2" s="1"/>
  <c r="B118" i="2"/>
  <c r="B114" i="2"/>
  <c r="F114" i="2"/>
  <c r="G114" i="2" s="1"/>
  <c r="H114" i="2"/>
  <c r="I114" i="2" s="1"/>
  <c r="H110" i="2"/>
  <c r="I110" i="2" s="1"/>
  <c r="B110" i="2"/>
  <c r="F110" i="2"/>
  <c r="G110" i="2" s="1"/>
  <c r="B109" i="2"/>
  <c r="F109" i="2"/>
  <c r="G109" i="2" s="1"/>
  <c r="H109" i="2"/>
  <c r="I109" i="2" s="1"/>
  <c r="B141" i="2"/>
  <c r="F141" i="2"/>
  <c r="G141" i="2" s="1"/>
  <c r="H141" i="2"/>
  <c r="I141" i="2" s="1"/>
  <c r="B137" i="2"/>
  <c r="F137" i="2"/>
  <c r="G137" i="2" s="1"/>
  <c r="H137" i="2"/>
  <c r="I137" i="2" s="1"/>
  <c r="H133" i="2"/>
  <c r="I133" i="2" s="1"/>
  <c r="B133" i="2"/>
  <c r="F133" i="2"/>
  <c r="G133" i="2" s="1"/>
  <c r="F129" i="2"/>
  <c r="G129" i="2" s="1"/>
  <c r="H129" i="2"/>
  <c r="I129" i="2" s="1"/>
  <c r="B129" i="2"/>
  <c r="B125" i="2"/>
  <c r="F125" i="2"/>
  <c r="G125" i="2" s="1"/>
  <c r="H125" i="2"/>
  <c r="I125" i="2" s="1"/>
  <c r="H121" i="2"/>
  <c r="I121" i="2" s="1"/>
  <c r="B121" i="2"/>
  <c r="F121" i="2"/>
  <c r="G121" i="2" s="1"/>
  <c r="F117" i="2"/>
  <c r="G117" i="2" s="1"/>
  <c r="H117" i="2"/>
  <c r="I117" i="2" s="1"/>
  <c r="B117" i="2"/>
  <c r="B113" i="2"/>
  <c r="F113" i="2"/>
  <c r="G113" i="2" s="1"/>
  <c r="H113" i="2"/>
  <c r="I113" i="2" s="1"/>
  <c r="B108" i="2"/>
  <c r="F108" i="2"/>
  <c r="G108" i="2" s="1"/>
  <c r="H108" i="2"/>
  <c r="I108" i="2" s="1"/>
  <c r="B140" i="2"/>
  <c r="F140" i="2"/>
  <c r="G140" i="2" s="1"/>
  <c r="H140" i="2"/>
  <c r="I140" i="2" s="1"/>
  <c r="B136" i="2"/>
  <c r="F136" i="2"/>
  <c r="G136" i="2" s="1"/>
  <c r="H136" i="2"/>
  <c r="I136" i="2" s="1"/>
  <c r="B132" i="2"/>
  <c r="F132" i="2"/>
  <c r="G132" i="2" s="1"/>
  <c r="H132" i="2"/>
  <c r="I132" i="2" s="1"/>
  <c r="H128" i="2"/>
  <c r="I128" i="2" s="1"/>
  <c r="B128" i="2"/>
  <c r="F128" i="2"/>
  <c r="G128" i="2" s="1"/>
  <c r="B124" i="2"/>
  <c r="F124" i="2"/>
  <c r="G124" i="2" s="1"/>
  <c r="H124" i="2"/>
  <c r="I124" i="2" s="1"/>
  <c r="B120" i="2"/>
  <c r="F120" i="2"/>
  <c r="G120" i="2" s="1"/>
  <c r="H120" i="2"/>
  <c r="I120" i="2" s="1"/>
  <c r="H116" i="2"/>
  <c r="I116" i="2" s="1"/>
  <c r="B116" i="2"/>
  <c r="F116" i="2"/>
  <c r="G116" i="2" s="1"/>
  <c r="F112" i="2"/>
  <c r="G112" i="2" s="1"/>
  <c r="H112" i="2"/>
  <c r="I112" i="2" s="1"/>
  <c r="B112" i="2"/>
  <c r="B107" i="2"/>
  <c r="F107" i="2"/>
  <c r="G107" i="2" s="1"/>
  <c r="H107" i="2"/>
  <c r="I107" i="2" s="1"/>
  <c r="E23" i="13" a="1"/>
  <c r="E23" i="13" s="1"/>
  <c r="E40" i="13" a="1"/>
  <c r="E40" i="13" s="1"/>
  <c r="E10" i="13" a="1"/>
  <c r="E10" i="13" s="1"/>
  <c r="E32" i="13" a="1"/>
  <c r="E32" i="13" s="1"/>
  <c r="E7" i="13" a="1"/>
  <c r="E7" i="13" s="1"/>
  <c r="E43" i="13" a="1"/>
  <c r="E43" i="13" s="1"/>
  <c r="F92" i="12"/>
  <c r="G92" i="12" s="1"/>
  <c r="B92" i="12"/>
  <c r="H92" i="12"/>
  <c r="I92" i="12" s="1"/>
  <c r="L92" i="12" s="1"/>
  <c r="B93" i="12"/>
  <c r="H93" i="12"/>
  <c r="I93" i="12" s="1"/>
  <c r="L93" i="12" s="1"/>
  <c r="F93" i="12"/>
  <c r="G93" i="12" s="1"/>
  <c r="H94" i="12"/>
  <c r="I94" i="12" s="1"/>
  <c r="L94" i="12" s="1"/>
  <c r="F94" i="12"/>
  <c r="G94" i="12" s="1"/>
  <c r="B94" i="12"/>
  <c r="F95" i="12"/>
  <c r="G95" i="12" s="1"/>
  <c r="H95" i="12"/>
  <c r="I95" i="12" s="1"/>
  <c r="B95" i="12"/>
  <c r="H96" i="12"/>
  <c r="I96" i="12" s="1"/>
  <c r="L96" i="12" s="1"/>
  <c r="F96" i="12"/>
  <c r="G96" i="12" s="1"/>
  <c r="B96" i="12"/>
  <c r="H97" i="12"/>
  <c r="I97" i="12" s="1"/>
  <c r="F97" i="12"/>
  <c r="G97" i="12" s="1"/>
  <c r="B97" i="12"/>
  <c r="F98" i="12"/>
  <c r="G98" i="12" s="1"/>
  <c r="B98" i="12"/>
  <c r="H98" i="12"/>
  <c r="I98" i="12" s="1"/>
  <c r="L98" i="12" s="1"/>
  <c r="H99" i="12"/>
  <c r="I99" i="12" s="1"/>
  <c r="F99" i="12"/>
  <c r="G99" i="12" s="1"/>
  <c r="B99" i="12"/>
  <c r="H100" i="12"/>
  <c r="I100" i="12" s="1"/>
  <c r="L100" i="12" s="1"/>
  <c r="F100" i="12"/>
  <c r="G100" i="12" s="1"/>
  <c r="B100" i="12"/>
  <c r="H101" i="12"/>
  <c r="I101" i="12" s="1"/>
  <c r="F101" i="12"/>
  <c r="G101" i="12" s="1"/>
  <c r="B101" i="12"/>
  <c r="H102" i="12"/>
  <c r="I102" i="12" s="1"/>
  <c r="L102" i="12" s="1"/>
  <c r="F102" i="12"/>
  <c r="G102" i="12" s="1"/>
  <c r="B102" i="12"/>
  <c r="H103" i="12"/>
  <c r="I103" i="12" s="1"/>
  <c r="L103" i="12" s="1"/>
  <c r="F103" i="12"/>
  <c r="G103" i="12" s="1"/>
  <c r="B103" i="12"/>
  <c r="H104" i="12"/>
  <c r="I104" i="12" s="1"/>
  <c r="F104" i="12"/>
  <c r="G104" i="12" s="1"/>
  <c r="B104" i="12"/>
  <c r="H105" i="12"/>
  <c r="I105" i="12" s="1"/>
  <c r="F105" i="12"/>
  <c r="G105" i="12" s="1"/>
  <c r="B105" i="12"/>
  <c r="H106" i="12"/>
  <c r="I106" i="12" s="1"/>
  <c r="L106" i="12" s="1"/>
  <c r="F106" i="12"/>
  <c r="G106" i="12" s="1"/>
  <c r="B106" i="12"/>
  <c r="H107" i="12"/>
  <c r="I107" i="12" s="1"/>
  <c r="F107" i="12"/>
  <c r="G107" i="12" s="1"/>
  <c r="B107" i="12"/>
  <c r="H108" i="12"/>
  <c r="I108" i="12" s="1"/>
  <c r="F108" i="12"/>
  <c r="G108" i="12" s="1"/>
  <c r="B108" i="12"/>
  <c r="H109" i="12"/>
  <c r="I109" i="12" s="1"/>
  <c r="L109" i="12" s="1"/>
  <c r="F109" i="12"/>
  <c r="G109" i="12" s="1"/>
  <c r="B109" i="12"/>
  <c r="H110" i="12"/>
  <c r="I110" i="12" s="1"/>
  <c r="L110" i="12" s="1"/>
  <c r="F110" i="12"/>
  <c r="G110" i="12" s="1"/>
  <c r="B110" i="12"/>
  <c r="H111" i="12"/>
  <c r="I111" i="12" s="1"/>
  <c r="L111" i="12" s="1"/>
  <c r="F111" i="12"/>
  <c r="G111" i="12" s="1"/>
  <c r="B111" i="12"/>
  <c r="H112" i="12"/>
  <c r="I112" i="12" s="1"/>
  <c r="L112" i="12" s="1"/>
  <c r="F112" i="12"/>
  <c r="G112" i="12" s="1"/>
  <c r="B112" i="12"/>
  <c r="H113" i="12"/>
  <c r="I113" i="12" s="1"/>
  <c r="F113" i="12"/>
  <c r="G113" i="12" s="1"/>
  <c r="B113" i="12"/>
  <c r="H114" i="12"/>
  <c r="I114" i="12" s="1"/>
  <c r="F114" i="12"/>
  <c r="G114" i="12" s="1"/>
  <c r="B114" i="12"/>
  <c r="H115" i="12"/>
  <c r="I115" i="12" s="1"/>
  <c r="F115" i="12"/>
  <c r="G115" i="12" s="1"/>
  <c r="B115" i="12"/>
  <c r="H116" i="12"/>
  <c r="I116" i="12" s="1"/>
  <c r="L116" i="12" s="1"/>
  <c r="F116" i="12"/>
  <c r="G116" i="12" s="1"/>
  <c r="B116" i="12"/>
  <c r="H117" i="12"/>
  <c r="I117" i="12" s="1"/>
  <c r="F117" i="12"/>
  <c r="G117" i="12" s="1"/>
  <c r="B117" i="12"/>
  <c r="H118" i="12"/>
  <c r="I118" i="12" s="1"/>
  <c r="F118" i="12"/>
  <c r="G118" i="12" s="1"/>
  <c r="B118" i="12"/>
  <c r="H119" i="12"/>
  <c r="I119" i="12" s="1"/>
  <c r="F119" i="12"/>
  <c r="G119" i="12" s="1"/>
  <c r="B119" i="12"/>
  <c r="H120" i="12"/>
  <c r="I120" i="12" s="1"/>
  <c r="L120" i="12" s="1"/>
  <c r="F120" i="12"/>
  <c r="G120" i="12" s="1"/>
  <c r="B120" i="12"/>
  <c r="H121" i="12"/>
  <c r="I121" i="12" s="1"/>
  <c r="L121" i="12" s="1"/>
  <c r="F121" i="12"/>
  <c r="G121" i="12" s="1"/>
  <c r="B121" i="12"/>
  <c r="H122" i="12"/>
  <c r="I122" i="12" s="1"/>
  <c r="F122" i="12"/>
  <c r="G122" i="12" s="1"/>
  <c r="B122" i="12"/>
  <c r="H123" i="12"/>
  <c r="I123" i="12" s="1"/>
  <c r="L123" i="12" s="1"/>
  <c r="F123" i="12"/>
  <c r="G123" i="12" s="1"/>
  <c r="B123" i="12"/>
  <c r="H124" i="12"/>
  <c r="I124" i="12" s="1"/>
  <c r="F124" i="12"/>
  <c r="G124" i="12" s="1"/>
  <c r="B124" i="12"/>
  <c r="H125" i="12"/>
  <c r="I125" i="12" s="1"/>
  <c r="F125" i="12"/>
  <c r="G125" i="12" s="1"/>
  <c r="B125" i="12"/>
  <c r="H126" i="12"/>
  <c r="I126" i="12" s="1"/>
  <c r="F126" i="12"/>
  <c r="G126" i="12" s="1"/>
  <c r="B126" i="12"/>
  <c r="H127" i="12"/>
  <c r="I127" i="12" s="1"/>
  <c r="L127" i="12" s="1"/>
  <c r="F127" i="12"/>
  <c r="G127" i="12" s="1"/>
  <c r="B127" i="12"/>
  <c r="H128" i="12"/>
  <c r="I128" i="12" s="1"/>
  <c r="F128" i="12"/>
  <c r="G128" i="12" s="1"/>
  <c r="B128" i="12"/>
  <c r="H129" i="12"/>
  <c r="I129" i="12" s="1"/>
  <c r="L129" i="12" s="1"/>
  <c r="F129" i="12"/>
  <c r="G129" i="12" s="1"/>
  <c r="B129" i="12"/>
  <c r="H130" i="12"/>
  <c r="I130" i="12" s="1"/>
  <c r="L130" i="12" s="1"/>
  <c r="F130" i="12"/>
  <c r="G130" i="12" s="1"/>
  <c r="B130" i="12"/>
  <c r="H131" i="12"/>
  <c r="I131" i="12" s="1"/>
  <c r="L131" i="12" s="1"/>
  <c r="F131" i="12"/>
  <c r="G131" i="12" s="1"/>
  <c r="B131" i="12"/>
  <c r="H132" i="12"/>
  <c r="I132" i="12" s="1"/>
  <c r="F132" i="12"/>
  <c r="G132" i="12" s="1"/>
  <c r="B132" i="12"/>
  <c r="H133" i="12"/>
  <c r="I133" i="12" s="1"/>
  <c r="L133" i="12" s="1"/>
  <c r="F133" i="12"/>
  <c r="G133" i="12" s="1"/>
  <c r="B133" i="12"/>
  <c r="H134" i="12"/>
  <c r="I134" i="12" s="1"/>
  <c r="L134" i="12" s="1"/>
  <c r="F134" i="12"/>
  <c r="G134" i="12" s="1"/>
  <c r="B134" i="12"/>
  <c r="H135" i="12"/>
  <c r="I135" i="12" s="1"/>
  <c r="F135" i="12"/>
  <c r="G135" i="12" s="1"/>
  <c r="B135" i="12"/>
  <c r="H136" i="12"/>
  <c r="I136" i="12" s="1"/>
  <c r="F136" i="12"/>
  <c r="G136" i="12" s="1"/>
  <c r="B136" i="12"/>
  <c r="H82" i="11"/>
  <c r="I82" i="11" s="1"/>
  <c r="B82" i="11"/>
  <c r="F82" i="11"/>
  <c r="G82" i="11" s="1"/>
  <c r="F83" i="11"/>
  <c r="G83" i="11" s="1"/>
  <c r="H83" i="11"/>
  <c r="I83" i="11" s="1"/>
  <c r="B83" i="11"/>
  <c r="H84" i="11"/>
  <c r="I84" i="11" s="1"/>
  <c r="F84" i="11"/>
  <c r="G84" i="11" s="1"/>
  <c r="B84" i="11"/>
  <c r="F85" i="11"/>
  <c r="G85" i="11" s="1"/>
  <c r="B85" i="11"/>
  <c r="H85" i="11"/>
  <c r="I85" i="11" s="1"/>
  <c r="F86" i="11"/>
  <c r="G86" i="11" s="1"/>
  <c r="H86" i="11"/>
  <c r="I86" i="11" s="1"/>
  <c r="B86" i="11"/>
  <c r="H87" i="11"/>
  <c r="I87" i="11" s="1"/>
  <c r="F87" i="11"/>
  <c r="G87" i="11" s="1"/>
  <c r="B87" i="11"/>
  <c r="H88" i="11"/>
  <c r="I88" i="11" s="1"/>
  <c r="F88" i="11"/>
  <c r="G88" i="11" s="1"/>
  <c r="B88" i="11"/>
  <c r="H89" i="11"/>
  <c r="I89" i="11" s="1"/>
  <c r="F89" i="11"/>
  <c r="G89" i="11" s="1"/>
  <c r="B89" i="11"/>
  <c r="H90" i="11"/>
  <c r="I90" i="11" s="1"/>
  <c r="F90" i="11"/>
  <c r="G90" i="11" s="1"/>
  <c r="B90" i="11"/>
  <c r="H91" i="11"/>
  <c r="I91" i="11" s="1"/>
  <c r="F91" i="11"/>
  <c r="G91" i="11" s="1"/>
  <c r="B91" i="11"/>
  <c r="H92" i="11"/>
  <c r="I92" i="11" s="1"/>
  <c r="F92" i="11"/>
  <c r="G92" i="11" s="1"/>
  <c r="B92" i="11"/>
  <c r="H93" i="11"/>
  <c r="I93" i="11" s="1"/>
  <c r="F93" i="11"/>
  <c r="G93" i="11" s="1"/>
  <c r="B93" i="11"/>
  <c r="H94" i="11"/>
  <c r="I94" i="11" s="1"/>
  <c r="F94" i="11"/>
  <c r="G94" i="11" s="1"/>
  <c r="B94" i="11"/>
  <c r="H95" i="11"/>
  <c r="I95" i="11" s="1"/>
  <c r="F95" i="11"/>
  <c r="G95" i="11" s="1"/>
  <c r="B95" i="11"/>
  <c r="H96" i="11"/>
  <c r="I96" i="11" s="1"/>
  <c r="F96" i="11"/>
  <c r="G96" i="11" s="1"/>
  <c r="B96" i="11"/>
  <c r="H97" i="11"/>
  <c r="I97" i="11" s="1"/>
  <c r="F97" i="11"/>
  <c r="G97" i="11" s="1"/>
  <c r="B97" i="11"/>
  <c r="H98" i="11"/>
  <c r="I98" i="11" s="1"/>
  <c r="F98" i="11"/>
  <c r="G98" i="11" s="1"/>
  <c r="B98" i="11"/>
  <c r="H99" i="11"/>
  <c r="I99" i="11" s="1"/>
  <c r="F99" i="11"/>
  <c r="G99" i="11" s="1"/>
  <c r="B99" i="11"/>
  <c r="H100" i="11"/>
  <c r="I100" i="11" s="1"/>
  <c r="F100" i="11"/>
  <c r="G100" i="11" s="1"/>
  <c r="B100" i="11"/>
  <c r="H101" i="11"/>
  <c r="I101" i="11" s="1"/>
  <c r="F101" i="11"/>
  <c r="G101" i="11" s="1"/>
  <c r="B101" i="11"/>
  <c r="H102" i="11"/>
  <c r="I102" i="11" s="1"/>
  <c r="F102" i="11"/>
  <c r="G102" i="11" s="1"/>
  <c r="B102" i="11"/>
  <c r="H103" i="11"/>
  <c r="I103" i="11" s="1"/>
  <c r="F103" i="11"/>
  <c r="G103" i="11" s="1"/>
  <c r="B103" i="11"/>
  <c r="H104" i="11"/>
  <c r="I104" i="11" s="1"/>
  <c r="F104" i="11"/>
  <c r="G104" i="11" s="1"/>
  <c r="B104" i="11"/>
  <c r="H105" i="11"/>
  <c r="I105" i="11" s="1"/>
  <c r="F105" i="11"/>
  <c r="G105" i="11" s="1"/>
  <c r="B105" i="11"/>
  <c r="H106" i="11"/>
  <c r="I106" i="11" s="1"/>
  <c r="F106" i="11"/>
  <c r="G106" i="11" s="1"/>
  <c r="B106" i="11"/>
  <c r="H107" i="11"/>
  <c r="I107" i="11" s="1"/>
  <c r="F107" i="11"/>
  <c r="G107" i="11" s="1"/>
  <c r="B107" i="11"/>
  <c r="H108" i="11"/>
  <c r="I108" i="11" s="1"/>
  <c r="F108" i="11"/>
  <c r="G108" i="11" s="1"/>
  <c r="B108" i="11"/>
  <c r="H109" i="11"/>
  <c r="I109" i="11" s="1"/>
  <c r="F109" i="11"/>
  <c r="G109" i="11" s="1"/>
  <c r="B109" i="11"/>
  <c r="H110" i="11"/>
  <c r="I110" i="11" s="1"/>
  <c r="F110" i="11"/>
  <c r="G110" i="11" s="1"/>
  <c r="B110" i="11"/>
  <c r="H111" i="11"/>
  <c r="I111" i="11" s="1"/>
  <c r="F111" i="11"/>
  <c r="G111" i="11" s="1"/>
  <c r="B111" i="11"/>
  <c r="H112" i="11"/>
  <c r="I112" i="11" s="1"/>
  <c r="F112" i="11"/>
  <c r="G112" i="11" s="1"/>
  <c r="B112" i="11"/>
  <c r="H113" i="11"/>
  <c r="I113" i="11" s="1"/>
  <c r="F113" i="11"/>
  <c r="G113" i="11" s="1"/>
  <c r="B113" i="11"/>
  <c r="H114" i="11"/>
  <c r="I114" i="11" s="1"/>
  <c r="F114" i="11"/>
  <c r="G114" i="11" s="1"/>
  <c r="B114" i="11"/>
  <c r="H115" i="11"/>
  <c r="I115" i="11" s="1"/>
  <c r="F115" i="11"/>
  <c r="G115" i="11" s="1"/>
  <c r="B115" i="11"/>
  <c r="H116" i="11"/>
  <c r="I116" i="11" s="1"/>
  <c r="F116" i="11"/>
  <c r="G116" i="11" s="1"/>
  <c r="B116" i="11"/>
  <c r="H117" i="11"/>
  <c r="I117" i="11" s="1"/>
  <c r="F117" i="11"/>
  <c r="G117" i="11" s="1"/>
  <c r="B117" i="11"/>
  <c r="H118" i="11"/>
  <c r="I118" i="11" s="1"/>
  <c r="F118" i="11"/>
  <c r="G118" i="11" s="1"/>
  <c r="B118" i="11"/>
  <c r="H119" i="11"/>
  <c r="I119" i="11" s="1"/>
  <c r="F119" i="11"/>
  <c r="G119" i="11" s="1"/>
  <c r="B119" i="11"/>
  <c r="H120" i="11"/>
  <c r="I120" i="11" s="1"/>
  <c r="F120" i="11"/>
  <c r="G120" i="11" s="1"/>
  <c r="B120" i="11"/>
  <c r="H121" i="11"/>
  <c r="I121" i="11" s="1"/>
  <c r="F121" i="11"/>
  <c r="G121" i="11" s="1"/>
  <c r="B121" i="11"/>
  <c r="B170" i="10"/>
  <c r="F170" i="10"/>
  <c r="G170" i="10" s="1"/>
  <c r="H170" i="10"/>
  <c r="I170" i="10" s="1"/>
  <c r="B171" i="10"/>
  <c r="H171" i="10"/>
  <c r="I171" i="10" s="1"/>
  <c r="F171" i="10"/>
  <c r="G171" i="10" s="1"/>
  <c r="H172" i="10"/>
  <c r="I172" i="10" s="1"/>
  <c r="F172" i="10"/>
  <c r="G172" i="10" s="1"/>
  <c r="B172" i="10"/>
  <c r="H173" i="10"/>
  <c r="I173" i="10" s="1"/>
  <c r="B173" i="10"/>
  <c r="F173" i="10"/>
  <c r="G173" i="10" s="1"/>
  <c r="H174" i="10"/>
  <c r="I174" i="10" s="1"/>
  <c r="F174" i="10"/>
  <c r="G174" i="10" s="1"/>
  <c r="B174" i="10"/>
  <c r="H175" i="10"/>
  <c r="I175" i="10" s="1"/>
  <c r="F175" i="10"/>
  <c r="G175" i="10" s="1"/>
  <c r="B175" i="10"/>
  <c r="H176" i="10"/>
  <c r="I176" i="10" s="1"/>
  <c r="F176" i="10"/>
  <c r="G176" i="10" s="1"/>
  <c r="B176" i="10"/>
  <c r="H177" i="10"/>
  <c r="I177" i="10" s="1"/>
  <c r="F177" i="10"/>
  <c r="G177" i="10" s="1"/>
  <c r="B177" i="10"/>
  <c r="H178" i="10"/>
  <c r="I178" i="10" s="1"/>
  <c r="F178" i="10"/>
  <c r="G178" i="10" s="1"/>
  <c r="B178" i="10"/>
  <c r="H179" i="10"/>
  <c r="I179" i="10" s="1"/>
  <c r="F179" i="10"/>
  <c r="G179" i="10" s="1"/>
  <c r="B179" i="10"/>
  <c r="H180" i="10"/>
  <c r="I180" i="10" s="1"/>
  <c r="F180" i="10"/>
  <c r="G180" i="10" s="1"/>
  <c r="B180" i="10"/>
  <c r="H181" i="10"/>
  <c r="I181" i="10" s="1"/>
  <c r="F181" i="10"/>
  <c r="G181" i="10" s="1"/>
  <c r="B181" i="10"/>
  <c r="B122" i="10"/>
  <c r="H122" i="10"/>
  <c r="I122" i="10" s="1"/>
  <c r="F122" i="10"/>
  <c r="G122" i="10" s="1"/>
  <c r="H123" i="10"/>
  <c r="I123" i="10" s="1"/>
  <c r="F123" i="10"/>
  <c r="G123" i="10" s="1"/>
  <c r="B123" i="10"/>
  <c r="F124" i="10"/>
  <c r="G124" i="10" s="1"/>
  <c r="H124" i="10"/>
  <c r="I124" i="10" s="1"/>
  <c r="B124" i="10"/>
  <c r="H125" i="10"/>
  <c r="I125" i="10" s="1"/>
  <c r="F125" i="10"/>
  <c r="G125" i="10" s="1"/>
  <c r="B125" i="10"/>
  <c r="F126" i="10"/>
  <c r="G126" i="10" s="1"/>
  <c r="H126" i="10"/>
  <c r="I126" i="10" s="1"/>
  <c r="B126" i="10"/>
  <c r="H127" i="10"/>
  <c r="I127" i="10" s="1"/>
  <c r="F127" i="10"/>
  <c r="G127" i="10" s="1"/>
  <c r="B127" i="10"/>
  <c r="H128" i="10"/>
  <c r="I128" i="10" s="1"/>
  <c r="F128" i="10"/>
  <c r="G128" i="10" s="1"/>
  <c r="B128" i="10"/>
  <c r="H129" i="10"/>
  <c r="I129" i="10" s="1"/>
  <c r="F129" i="10"/>
  <c r="G129" i="10" s="1"/>
  <c r="B129" i="10"/>
  <c r="H130" i="10"/>
  <c r="I130" i="10" s="1"/>
  <c r="F130" i="10"/>
  <c r="G130" i="10" s="1"/>
  <c r="B130" i="10"/>
  <c r="H131" i="10"/>
  <c r="I131" i="10" s="1"/>
  <c r="F131" i="10"/>
  <c r="G131" i="10" s="1"/>
  <c r="B131" i="10"/>
  <c r="H132" i="10"/>
  <c r="I132" i="10" s="1"/>
  <c r="F132" i="10"/>
  <c r="G132" i="10" s="1"/>
  <c r="B132" i="10"/>
  <c r="H133" i="10"/>
  <c r="I133" i="10" s="1"/>
  <c r="F133" i="10"/>
  <c r="G133" i="10" s="1"/>
  <c r="B133" i="10"/>
  <c r="H134" i="10"/>
  <c r="I134" i="10" s="1"/>
  <c r="F134" i="10"/>
  <c r="G134" i="10" s="1"/>
  <c r="B134" i="10"/>
  <c r="H135" i="10"/>
  <c r="I135" i="10" s="1"/>
  <c r="F135" i="10"/>
  <c r="G135" i="10" s="1"/>
  <c r="B135" i="10"/>
  <c r="H136" i="10"/>
  <c r="I136" i="10" s="1"/>
  <c r="F136" i="10"/>
  <c r="G136" i="10" s="1"/>
  <c r="B136" i="10"/>
  <c r="H137" i="10"/>
  <c r="I137" i="10" s="1"/>
  <c r="F137" i="10"/>
  <c r="G137" i="10" s="1"/>
  <c r="B137" i="10"/>
  <c r="H138" i="10"/>
  <c r="I138" i="10" s="1"/>
  <c r="F138" i="10"/>
  <c r="G138" i="10" s="1"/>
  <c r="B138" i="10"/>
  <c r="H139" i="10"/>
  <c r="I139" i="10" s="1"/>
  <c r="F139" i="10"/>
  <c r="G139" i="10" s="1"/>
  <c r="B139" i="10"/>
  <c r="H140" i="10"/>
  <c r="I140" i="10" s="1"/>
  <c r="F140" i="10"/>
  <c r="G140" i="10" s="1"/>
  <c r="B140" i="10"/>
  <c r="H141" i="10"/>
  <c r="I141" i="10" s="1"/>
  <c r="F141" i="10"/>
  <c r="G141" i="10" s="1"/>
  <c r="B141" i="10"/>
  <c r="H142" i="10"/>
  <c r="I142" i="10" s="1"/>
  <c r="F142" i="10"/>
  <c r="G142" i="10" s="1"/>
  <c r="B142" i="10"/>
  <c r="H143" i="10"/>
  <c r="I143" i="10" s="1"/>
  <c r="F143" i="10"/>
  <c r="G143" i="10" s="1"/>
  <c r="B143" i="10"/>
  <c r="H144" i="10"/>
  <c r="I144" i="10" s="1"/>
  <c r="F144" i="10"/>
  <c r="G144" i="10" s="1"/>
  <c r="B144" i="10"/>
  <c r="H145" i="10"/>
  <c r="I145" i="10" s="1"/>
  <c r="F145" i="10"/>
  <c r="G145" i="10" s="1"/>
  <c r="B145" i="10"/>
  <c r="H146" i="10"/>
  <c r="I146" i="10" s="1"/>
  <c r="F146" i="10"/>
  <c r="G146" i="10" s="1"/>
  <c r="B146" i="10"/>
  <c r="H147" i="10"/>
  <c r="I147" i="10" s="1"/>
  <c r="F147" i="10"/>
  <c r="G147" i="10" s="1"/>
  <c r="B147" i="10"/>
  <c r="H148" i="10"/>
  <c r="I148" i="10" s="1"/>
  <c r="F148" i="10"/>
  <c r="G148" i="10" s="1"/>
  <c r="B148" i="10"/>
  <c r="H149" i="10"/>
  <c r="I149" i="10" s="1"/>
  <c r="F149" i="10"/>
  <c r="G149" i="10" s="1"/>
  <c r="B149" i="10"/>
  <c r="H150" i="10"/>
  <c r="I150" i="10" s="1"/>
  <c r="F150" i="10"/>
  <c r="G150" i="10" s="1"/>
  <c r="B150" i="10"/>
  <c r="H151" i="10"/>
  <c r="I151" i="10" s="1"/>
  <c r="F151" i="10"/>
  <c r="G151" i="10" s="1"/>
  <c r="B151" i="10"/>
  <c r="H152" i="10"/>
  <c r="I152" i="10" s="1"/>
  <c r="F152" i="10"/>
  <c r="G152" i="10" s="1"/>
  <c r="B152" i="10"/>
  <c r="H153" i="10"/>
  <c r="I153" i="10" s="1"/>
  <c r="F153" i="10"/>
  <c r="G153" i="10" s="1"/>
  <c r="B153" i="10"/>
  <c r="H154" i="10"/>
  <c r="I154" i="10" s="1"/>
  <c r="F154" i="10"/>
  <c r="G154" i="10" s="1"/>
  <c r="B154" i="10"/>
  <c r="H155" i="10"/>
  <c r="I155" i="10" s="1"/>
  <c r="F155" i="10"/>
  <c r="G155" i="10" s="1"/>
  <c r="B155" i="10"/>
  <c r="H156" i="10"/>
  <c r="I156" i="10" s="1"/>
  <c r="F156" i="10"/>
  <c r="G156" i="10" s="1"/>
  <c r="B156" i="10"/>
  <c r="H157" i="10"/>
  <c r="I157" i="10" s="1"/>
  <c r="F157" i="10"/>
  <c r="G157" i="10" s="1"/>
  <c r="B157" i="10"/>
  <c r="H158" i="10"/>
  <c r="I158" i="10" s="1"/>
  <c r="F158" i="10"/>
  <c r="G158" i="10" s="1"/>
  <c r="B158" i="10"/>
  <c r="H159" i="10"/>
  <c r="I159" i="10" s="1"/>
  <c r="F159" i="10"/>
  <c r="G159" i="10" s="1"/>
  <c r="B159" i="10"/>
  <c r="H160" i="10"/>
  <c r="I160" i="10" s="1"/>
  <c r="F160" i="10"/>
  <c r="G160" i="10" s="1"/>
  <c r="B160" i="10"/>
  <c r="H161" i="10"/>
  <c r="I161" i="10" s="1"/>
  <c r="F161" i="10"/>
  <c r="G161" i="10" s="1"/>
  <c r="B161" i="10"/>
  <c r="H162" i="10"/>
  <c r="I162" i="10" s="1"/>
  <c r="F162" i="10"/>
  <c r="G162" i="10" s="1"/>
  <c r="B162" i="10"/>
  <c r="H163" i="10"/>
  <c r="I163" i="10" s="1"/>
  <c r="F163" i="10"/>
  <c r="G163" i="10" s="1"/>
  <c r="B163" i="10"/>
  <c r="H164" i="10"/>
  <c r="I164" i="10" s="1"/>
  <c r="F164" i="10"/>
  <c r="G164" i="10" s="1"/>
  <c r="B164" i="10"/>
  <c r="H165" i="10"/>
  <c r="I165" i="10" s="1"/>
  <c r="F165" i="10"/>
  <c r="G165" i="10" s="1"/>
  <c r="B165" i="10"/>
  <c r="H166" i="10"/>
  <c r="I166" i="10" s="1"/>
  <c r="F166" i="10"/>
  <c r="G166" i="10" s="1"/>
  <c r="B166" i="10"/>
  <c r="H167" i="10"/>
  <c r="I167" i="10" s="1"/>
  <c r="F167" i="10"/>
  <c r="G167" i="10" s="1"/>
  <c r="B167" i="10"/>
  <c r="H168" i="10"/>
  <c r="I168" i="10" s="1"/>
  <c r="F168" i="10"/>
  <c r="G168" i="10" s="1"/>
  <c r="B168" i="10"/>
  <c r="H169" i="10"/>
  <c r="I169" i="10" s="1"/>
  <c r="F169" i="10"/>
  <c r="G169" i="10" s="1"/>
  <c r="B169" i="10"/>
  <c r="A2" i="14" a="1"/>
  <c r="H100" i="2"/>
  <c r="I100" i="2" s="1"/>
  <c r="B100" i="2"/>
  <c r="F100" i="2"/>
  <c r="G100" i="2" s="1"/>
  <c r="H101" i="2"/>
  <c r="I101" i="2" s="1"/>
  <c r="B101" i="2"/>
  <c r="F101" i="2"/>
  <c r="G101" i="2" s="1"/>
  <c r="F102" i="2"/>
  <c r="G102" i="2" s="1"/>
  <c r="H102" i="2"/>
  <c r="I102" i="2" s="1"/>
  <c r="B102" i="2"/>
  <c r="H103" i="2"/>
  <c r="I103" i="2" s="1"/>
  <c r="F103" i="2"/>
  <c r="G103" i="2" s="1"/>
  <c r="B103" i="2"/>
  <c r="F104" i="2"/>
  <c r="G104" i="2" s="1"/>
  <c r="H104" i="2"/>
  <c r="I104" i="2" s="1"/>
  <c r="B104" i="2"/>
  <c r="F105" i="2"/>
  <c r="G105" i="2" s="1"/>
  <c r="B105" i="2"/>
  <c r="H105" i="2"/>
  <c r="I105" i="2" s="1"/>
  <c r="H106" i="2"/>
  <c r="I106" i="2" s="1"/>
  <c r="F106" i="2"/>
  <c r="G106" i="2" s="1"/>
  <c r="B106" i="2"/>
  <c r="F79" i="2"/>
  <c r="G79" i="2" s="1"/>
  <c r="B79" i="2"/>
  <c r="H79" i="2"/>
  <c r="I79" i="2" s="1"/>
  <c r="H80" i="2"/>
  <c r="I80" i="2" s="1"/>
  <c r="L80" i="2" s="1"/>
  <c r="F80" i="2"/>
  <c r="G80" i="2" s="1"/>
  <c r="B80" i="2"/>
  <c r="F81" i="2"/>
  <c r="G81" i="2" s="1"/>
  <c r="H81" i="2"/>
  <c r="I81" i="2" s="1"/>
  <c r="B81" i="2"/>
  <c r="H82" i="2"/>
  <c r="I82" i="2" s="1"/>
  <c r="F82" i="2"/>
  <c r="G82" i="2" s="1"/>
  <c r="B82" i="2"/>
  <c r="B83" i="2"/>
  <c r="H83" i="2"/>
  <c r="I83" i="2" s="1"/>
  <c r="F83" i="2"/>
  <c r="G83" i="2" s="1"/>
  <c r="H84" i="2"/>
  <c r="I84" i="2" s="1"/>
  <c r="F84" i="2"/>
  <c r="G84" i="2" s="1"/>
  <c r="B84" i="2"/>
  <c r="H85" i="2"/>
  <c r="I85" i="2" s="1"/>
  <c r="F85" i="2"/>
  <c r="G85" i="2" s="1"/>
  <c r="B85" i="2"/>
  <c r="H86" i="2"/>
  <c r="I86" i="2" s="1"/>
  <c r="L86" i="2" s="1"/>
  <c r="F86" i="2"/>
  <c r="G86" i="2" s="1"/>
  <c r="B86" i="2"/>
  <c r="H87" i="2"/>
  <c r="I87" i="2" s="1"/>
  <c r="F87" i="2"/>
  <c r="G87" i="2" s="1"/>
  <c r="B87" i="2"/>
  <c r="H88" i="2"/>
  <c r="I88" i="2" s="1"/>
  <c r="F88" i="2"/>
  <c r="G88" i="2" s="1"/>
  <c r="B88" i="2"/>
  <c r="H89" i="2"/>
  <c r="I89" i="2" s="1"/>
  <c r="F89" i="2"/>
  <c r="G89" i="2" s="1"/>
  <c r="B89" i="2"/>
  <c r="H90" i="2"/>
  <c r="I90" i="2" s="1"/>
  <c r="F90" i="2"/>
  <c r="G90" i="2" s="1"/>
  <c r="B90" i="2"/>
  <c r="H91" i="2"/>
  <c r="I91" i="2" s="1"/>
  <c r="F91" i="2"/>
  <c r="G91" i="2" s="1"/>
  <c r="B91" i="2"/>
  <c r="H92" i="2"/>
  <c r="I92" i="2" s="1"/>
  <c r="F92" i="2"/>
  <c r="G92" i="2" s="1"/>
  <c r="B92" i="2"/>
  <c r="H93" i="2"/>
  <c r="I93" i="2" s="1"/>
  <c r="L93" i="2" s="1"/>
  <c r="F93" i="2"/>
  <c r="G93" i="2" s="1"/>
  <c r="B93" i="2"/>
  <c r="H94" i="2"/>
  <c r="I94" i="2" s="1"/>
  <c r="F94" i="2"/>
  <c r="G94" i="2" s="1"/>
  <c r="B94" i="2"/>
  <c r="H95" i="2"/>
  <c r="I95" i="2" s="1"/>
  <c r="F95" i="2"/>
  <c r="G95" i="2" s="1"/>
  <c r="B95" i="2"/>
  <c r="H96" i="2"/>
  <c r="I96" i="2" s="1"/>
  <c r="F96" i="2"/>
  <c r="G96" i="2" s="1"/>
  <c r="B96" i="2"/>
  <c r="H97" i="2"/>
  <c r="I97" i="2" s="1"/>
  <c r="F97" i="2"/>
  <c r="G97" i="2" s="1"/>
  <c r="B97" i="2"/>
  <c r="H98" i="2"/>
  <c r="I98" i="2" s="1"/>
  <c r="F98" i="2"/>
  <c r="G98" i="2" s="1"/>
  <c r="B98" i="2"/>
  <c r="H99" i="2"/>
  <c r="I99" i="2" s="1"/>
  <c r="F99" i="2"/>
  <c r="G99" i="2" s="1"/>
  <c r="B99" i="2"/>
  <c r="H72" i="2"/>
  <c r="I72" i="2" s="1"/>
  <c r="L72" i="2" s="1"/>
  <c r="F72" i="2"/>
  <c r="G72" i="2" s="1"/>
  <c r="B72" i="2"/>
  <c r="H73" i="2"/>
  <c r="I73" i="2" s="1"/>
  <c r="F73" i="2"/>
  <c r="G73" i="2" s="1"/>
  <c r="B73" i="2"/>
  <c r="F74" i="2"/>
  <c r="G74" i="2" s="1"/>
  <c r="B74" i="2"/>
  <c r="H74" i="2"/>
  <c r="I74" i="2" s="1"/>
  <c r="H75" i="2"/>
  <c r="I75" i="2" s="1"/>
  <c r="F75" i="2"/>
  <c r="G75" i="2" s="1"/>
  <c r="B75" i="2"/>
  <c r="H76" i="2"/>
  <c r="I76" i="2" s="1"/>
  <c r="F76" i="2"/>
  <c r="G76" i="2" s="1"/>
  <c r="B76" i="2"/>
  <c r="B77" i="2"/>
  <c r="H77" i="2"/>
  <c r="I77" i="2" s="1"/>
  <c r="F77" i="2"/>
  <c r="G77" i="2" s="1"/>
  <c r="H78" i="2"/>
  <c r="I78" i="2" s="1"/>
  <c r="F78" i="2"/>
  <c r="G78" i="2" s="1"/>
  <c r="B78" i="2"/>
  <c r="F10" i="11"/>
  <c r="G10" i="11" s="1"/>
  <c r="H10" i="11"/>
  <c r="I10" i="11" s="1"/>
  <c r="F11" i="11"/>
  <c r="G11" i="11" s="1"/>
  <c r="H11" i="11"/>
  <c r="I11" i="11" s="1"/>
  <c r="H12" i="11"/>
  <c r="I12" i="11" s="1"/>
  <c r="F12" i="11"/>
  <c r="G12" i="11" s="1"/>
  <c r="H13" i="11"/>
  <c r="I13" i="11" s="1"/>
  <c r="F13" i="11"/>
  <c r="G13" i="11" s="1"/>
  <c r="H14" i="11"/>
  <c r="I14" i="11" s="1"/>
  <c r="F14" i="11"/>
  <c r="G14" i="11" s="1"/>
  <c r="H15" i="11"/>
  <c r="I15" i="11" s="1"/>
  <c r="F15" i="11"/>
  <c r="G15" i="11" s="1"/>
  <c r="H16" i="11"/>
  <c r="I16" i="11" s="1"/>
  <c r="F16" i="11"/>
  <c r="G16" i="11" s="1"/>
  <c r="H17" i="11"/>
  <c r="I17" i="11" s="1"/>
  <c r="F17" i="11"/>
  <c r="G17" i="11" s="1"/>
  <c r="F18" i="11"/>
  <c r="G18" i="11" s="1"/>
  <c r="H18" i="11"/>
  <c r="I18" i="11" s="1"/>
  <c r="F19" i="11"/>
  <c r="G19" i="11" s="1"/>
  <c r="H19" i="11"/>
  <c r="I19" i="11" s="1"/>
  <c r="F20" i="11"/>
  <c r="G20" i="11" s="1"/>
  <c r="H20" i="11"/>
  <c r="I20" i="11" s="1"/>
  <c r="F21" i="11"/>
  <c r="G21" i="11" s="1"/>
  <c r="H21" i="11"/>
  <c r="I21" i="11" s="1"/>
  <c r="H22" i="11"/>
  <c r="I22" i="11" s="1"/>
  <c r="F22" i="11"/>
  <c r="G22" i="11" s="1"/>
  <c r="F23" i="11"/>
  <c r="G23" i="11" s="1"/>
  <c r="H23" i="11"/>
  <c r="I23" i="11" s="1"/>
  <c r="F24" i="11"/>
  <c r="G24" i="11" s="1"/>
  <c r="H24" i="11"/>
  <c r="I24" i="11" s="1"/>
  <c r="F25" i="11"/>
  <c r="G25" i="11" s="1"/>
  <c r="H25" i="11"/>
  <c r="I25" i="11" s="1"/>
  <c r="F26" i="11"/>
  <c r="G26" i="11" s="1"/>
  <c r="H26" i="11"/>
  <c r="I26" i="11" s="1"/>
  <c r="F27" i="11"/>
  <c r="G27" i="11" s="1"/>
  <c r="H27" i="11"/>
  <c r="I27" i="11" s="1"/>
  <c r="F28" i="11"/>
  <c r="G28" i="11" s="1"/>
  <c r="H28" i="11"/>
  <c r="I28" i="11" s="1"/>
  <c r="F29" i="11"/>
  <c r="G29" i="11" s="1"/>
  <c r="H29" i="11"/>
  <c r="I29" i="11" s="1"/>
  <c r="F30" i="11"/>
  <c r="G30" i="11" s="1"/>
  <c r="H30" i="11"/>
  <c r="I30" i="11" s="1"/>
  <c r="F31" i="11"/>
  <c r="G31" i="11" s="1"/>
  <c r="H31" i="11"/>
  <c r="I31" i="11" s="1"/>
  <c r="F32" i="11"/>
  <c r="G32" i="11" s="1"/>
  <c r="H32" i="11"/>
  <c r="I32" i="11" s="1"/>
  <c r="F33" i="11"/>
  <c r="G33" i="11" s="1"/>
  <c r="H33" i="11"/>
  <c r="I33" i="11" s="1"/>
  <c r="F34" i="11"/>
  <c r="G34" i="11" s="1"/>
  <c r="H34" i="11"/>
  <c r="I34" i="11" s="1"/>
  <c r="H35" i="11"/>
  <c r="I35" i="11" s="1"/>
  <c r="F35" i="11"/>
  <c r="G35" i="11" s="1"/>
  <c r="F36" i="11"/>
  <c r="G36" i="11" s="1"/>
  <c r="H36" i="11"/>
  <c r="I36" i="11" s="1"/>
  <c r="H37" i="11"/>
  <c r="I37" i="11" s="1"/>
  <c r="F37" i="11"/>
  <c r="G37" i="11" s="1"/>
  <c r="H38" i="11"/>
  <c r="I38" i="11" s="1"/>
  <c r="F38" i="11"/>
  <c r="G38" i="11" s="1"/>
  <c r="F39" i="11"/>
  <c r="G39" i="11" s="1"/>
  <c r="H39" i="11"/>
  <c r="I39" i="11" s="1"/>
  <c r="F40" i="11"/>
  <c r="G40" i="11" s="1"/>
  <c r="H40" i="11"/>
  <c r="I40" i="11" s="1"/>
  <c r="F41" i="11"/>
  <c r="G41" i="11" s="1"/>
  <c r="H41" i="11"/>
  <c r="I41" i="11" s="1"/>
  <c r="H42" i="11"/>
  <c r="I42" i="11" s="1"/>
  <c r="F42" i="11"/>
  <c r="G42" i="11" s="1"/>
  <c r="H43" i="11"/>
  <c r="I43" i="11" s="1"/>
  <c r="F43" i="11"/>
  <c r="G43" i="11" s="1"/>
  <c r="F44" i="11"/>
  <c r="G44" i="11" s="1"/>
  <c r="H44" i="11"/>
  <c r="I44" i="11" s="1"/>
  <c r="H45" i="11"/>
  <c r="I45" i="11" s="1"/>
  <c r="F45" i="11"/>
  <c r="G45" i="11" s="1"/>
  <c r="F46" i="11"/>
  <c r="G46" i="11" s="1"/>
  <c r="H46" i="11"/>
  <c r="I46" i="11" s="1"/>
  <c r="F47" i="11"/>
  <c r="G47" i="11" s="1"/>
  <c r="H47" i="11"/>
  <c r="I47" i="11" s="1"/>
  <c r="F48" i="11"/>
  <c r="G48" i="11" s="1"/>
  <c r="H48" i="11"/>
  <c r="I48" i="11" s="1"/>
  <c r="H49" i="11"/>
  <c r="I49" i="11" s="1"/>
  <c r="F49" i="11"/>
  <c r="G49" i="11" s="1"/>
  <c r="H50" i="11"/>
  <c r="I50" i="11" s="1"/>
  <c r="F50" i="11"/>
  <c r="G50" i="11" s="1"/>
  <c r="F51" i="11"/>
  <c r="G51" i="11" s="1"/>
  <c r="H51" i="11"/>
  <c r="I51" i="11" s="1"/>
  <c r="F52" i="11"/>
  <c r="G52" i="11" s="1"/>
  <c r="H52" i="11"/>
  <c r="I52" i="11" s="1"/>
  <c r="F53" i="11"/>
  <c r="G53" i="11" s="1"/>
  <c r="H53" i="11"/>
  <c r="I53" i="11" s="1"/>
  <c r="F54" i="11"/>
  <c r="G54" i="11" s="1"/>
  <c r="H54" i="11"/>
  <c r="I54" i="11" s="1"/>
  <c r="F55" i="11"/>
  <c r="G55" i="11" s="1"/>
  <c r="H55" i="11"/>
  <c r="I55" i="11" s="1"/>
  <c r="H56" i="11"/>
  <c r="I56" i="11" s="1"/>
  <c r="F56" i="11"/>
  <c r="G56" i="11" s="1"/>
  <c r="H57" i="11"/>
  <c r="I57" i="11" s="1"/>
  <c r="F57" i="11"/>
  <c r="G57" i="11" s="1"/>
  <c r="H58" i="11"/>
  <c r="I58" i="11" s="1"/>
  <c r="F58" i="11"/>
  <c r="G58" i="11" s="1"/>
  <c r="H59" i="11"/>
  <c r="I59" i="11" s="1"/>
  <c r="F59" i="11"/>
  <c r="G59" i="11" s="1"/>
  <c r="H60" i="11"/>
  <c r="I60" i="11" s="1"/>
  <c r="F60" i="11"/>
  <c r="G60" i="11" s="1"/>
  <c r="H61" i="11"/>
  <c r="I61" i="11" s="1"/>
  <c r="F61" i="11"/>
  <c r="G61" i="11" s="1"/>
  <c r="F62" i="11"/>
  <c r="G62" i="11" s="1"/>
  <c r="H62" i="11"/>
  <c r="I62" i="11" s="1"/>
  <c r="F63" i="11"/>
  <c r="G63" i="11" s="1"/>
  <c r="H63" i="11"/>
  <c r="I63" i="11" s="1"/>
  <c r="F64" i="11"/>
  <c r="G64" i="11" s="1"/>
  <c r="H64" i="11"/>
  <c r="I64" i="11" s="1"/>
  <c r="F65" i="11"/>
  <c r="G65" i="11" s="1"/>
  <c r="H65" i="11"/>
  <c r="I65" i="11" s="1"/>
  <c r="F66" i="11"/>
  <c r="G66" i="11" s="1"/>
  <c r="H66" i="11"/>
  <c r="I66" i="11" s="1"/>
  <c r="F67" i="11"/>
  <c r="G67" i="11" s="1"/>
  <c r="H67" i="11"/>
  <c r="I67" i="11" s="1"/>
  <c r="F68" i="11"/>
  <c r="G68" i="11" s="1"/>
  <c r="H68" i="11"/>
  <c r="I68" i="11" s="1"/>
  <c r="F69" i="11"/>
  <c r="G69" i="11" s="1"/>
  <c r="H69" i="11"/>
  <c r="I69" i="11" s="1"/>
  <c r="F70" i="11"/>
  <c r="G70" i="11" s="1"/>
  <c r="H70" i="11"/>
  <c r="I70" i="11" s="1"/>
  <c r="F71" i="11"/>
  <c r="G71" i="11" s="1"/>
  <c r="H71" i="11"/>
  <c r="I71" i="11" s="1"/>
  <c r="H72" i="11"/>
  <c r="I72" i="11" s="1"/>
  <c r="F72" i="11"/>
  <c r="G72" i="11" s="1"/>
  <c r="F73" i="11"/>
  <c r="G73" i="11" s="1"/>
  <c r="H73" i="11"/>
  <c r="I73" i="11" s="1"/>
  <c r="F74" i="11"/>
  <c r="G74" i="11" s="1"/>
  <c r="H74" i="11"/>
  <c r="I74" i="11" s="1"/>
  <c r="F75" i="11"/>
  <c r="G75" i="11" s="1"/>
  <c r="H75" i="11"/>
  <c r="I75" i="11" s="1"/>
  <c r="F76" i="11"/>
  <c r="G76" i="11" s="1"/>
  <c r="H76" i="11"/>
  <c r="I76" i="11" s="1"/>
  <c r="H77" i="11"/>
  <c r="I77" i="11" s="1"/>
  <c r="F77" i="11"/>
  <c r="G77" i="11" s="1"/>
  <c r="H78" i="11"/>
  <c r="I78" i="11" s="1"/>
  <c r="F78" i="11"/>
  <c r="G78" i="11" s="1"/>
  <c r="H79" i="11"/>
  <c r="I79" i="11" s="1"/>
  <c r="F79" i="11"/>
  <c r="G79" i="11" s="1"/>
  <c r="H80" i="11"/>
  <c r="I80" i="11" s="1"/>
  <c r="F80" i="11"/>
  <c r="G80" i="11" s="1"/>
  <c r="B81" i="11"/>
  <c r="F81" i="11"/>
  <c r="G81" i="11" s="1"/>
  <c r="H81" i="11"/>
  <c r="I81" i="11" s="1"/>
  <c r="F20" i="12"/>
  <c r="G20" i="12" s="1"/>
  <c r="H20" i="12"/>
  <c r="I20" i="12" s="1"/>
  <c r="F21" i="12"/>
  <c r="G21" i="12" s="1"/>
  <c r="H21" i="12"/>
  <c r="I21" i="12" s="1"/>
  <c r="L21" i="12" s="1"/>
  <c r="F22" i="12"/>
  <c r="G22" i="12" s="1"/>
  <c r="H22" i="12"/>
  <c r="I22" i="12" s="1"/>
  <c r="L22" i="12" s="1"/>
  <c r="F23" i="12"/>
  <c r="G23" i="12" s="1"/>
  <c r="H23" i="12"/>
  <c r="I23" i="12" s="1"/>
  <c r="L23" i="12" s="1"/>
  <c r="F24" i="12"/>
  <c r="G24" i="12" s="1"/>
  <c r="H24" i="12"/>
  <c r="I24" i="12" s="1"/>
  <c r="F25" i="12"/>
  <c r="G25" i="12" s="1"/>
  <c r="H25" i="12"/>
  <c r="I25" i="12" s="1"/>
  <c r="F26" i="12"/>
  <c r="G26" i="12" s="1"/>
  <c r="H26" i="12"/>
  <c r="I26" i="12" s="1"/>
  <c r="L26" i="12" s="1"/>
  <c r="F27" i="12"/>
  <c r="G27" i="12" s="1"/>
  <c r="H27" i="12"/>
  <c r="I27" i="12" s="1"/>
  <c r="F28" i="12"/>
  <c r="G28" i="12" s="1"/>
  <c r="H28" i="12"/>
  <c r="I28" i="12" s="1"/>
  <c r="F29" i="12"/>
  <c r="G29" i="12" s="1"/>
  <c r="H29" i="12"/>
  <c r="I29" i="12" s="1"/>
  <c r="L29" i="12" s="1"/>
  <c r="F30" i="12"/>
  <c r="G30" i="12" s="1"/>
  <c r="H30" i="12"/>
  <c r="I30" i="12" s="1"/>
  <c r="L30" i="12" s="1"/>
  <c r="F31" i="12"/>
  <c r="G31" i="12" s="1"/>
  <c r="H31" i="12"/>
  <c r="I31" i="12" s="1"/>
  <c r="L31" i="12" s="1"/>
  <c r="F32" i="12"/>
  <c r="G32" i="12" s="1"/>
  <c r="H32" i="12"/>
  <c r="I32" i="12" s="1"/>
  <c r="L32" i="12" s="1"/>
  <c r="F33" i="12"/>
  <c r="G33" i="12" s="1"/>
  <c r="H33" i="12"/>
  <c r="I33" i="12" s="1"/>
  <c r="L33" i="12" s="1"/>
  <c r="F34" i="12"/>
  <c r="G34" i="12" s="1"/>
  <c r="H34" i="12"/>
  <c r="I34" i="12" s="1"/>
  <c r="F35" i="12"/>
  <c r="G35" i="12" s="1"/>
  <c r="H35" i="12"/>
  <c r="I35" i="12" s="1"/>
  <c r="L35" i="12" s="1"/>
  <c r="F36" i="12"/>
  <c r="G36" i="12" s="1"/>
  <c r="H36" i="12"/>
  <c r="I36" i="12" s="1"/>
  <c r="F37" i="12"/>
  <c r="G37" i="12" s="1"/>
  <c r="H37" i="12"/>
  <c r="I37" i="12" s="1"/>
  <c r="F38" i="12"/>
  <c r="G38" i="12" s="1"/>
  <c r="H38" i="12"/>
  <c r="I38" i="12" s="1"/>
  <c r="L38" i="12" s="1"/>
  <c r="F39" i="12"/>
  <c r="G39" i="12" s="1"/>
  <c r="H39" i="12"/>
  <c r="I39" i="12" s="1"/>
  <c r="L39" i="12" s="1"/>
  <c r="F40" i="12"/>
  <c r="G40" i="12" s="1"/>
  <c r="H40" i="12"/>
  <c r="I40" i="12" s="1"/>
  <c r="L40" i="12" s="1"/>
  <c r="F41" i="12"/>
  <c r="G41" i="12" s="1"/>
  <c r="H41" i="12"/>
  <c r="I41" i="12" s="1"/>
  <c r="F42" i="12"/>
  <c r="G42" i="12" s="1"/>
  <c r="H42" i="12"/>
  <c r="I42" i="12" s="1"/>
  <c r="F43" i="12"/>
  <c r="G43" i="12" s="1"/>
  <c r="H43" i="12"/>
  <c r="I43" i="12" s="1"/>
  <c r="F44" i="12"/>
  <c r="G44" i="12" s="1"/>
  <c r="H44" i="12"/>
  <c r="I44" i="12" s="1"/>
  <c r="F45" i="12"/>
  <c r="G45" i="12" s="1"/>
  <c r="H45" i="12"/>
  <c r="I45" i="12" s="1"/>
  <c r="F46" i="12"/>
  <c r="G46" i="12" s="1"/>
  <c r="H46" i="12"/>
  <c r="I46" i="12" s="1"/>
  <c r="L46" i="12" s="1"/>
  <c r="F47" i="12"/>
  <c r="G47" i="12" s="1"/>
  <c r="H47" i="12"/>
  <c r="I47" i="12" s="1"/>
  <c r="L47" i="12" s="1"/>
  <c r="F48" i="12"/>
  <c r="G48" i="12" s="1"/>
  <c r="H48" i="12"/>
  <c r="I48" i="12" s="1"/>
  <c r="L48" i="12" s="1"/>
  <c r="F49" i="12"/>
  <c r="G49" i="12" s="1"/>
  <c r="H49" i="12"/>
  <c r="I49" i="12" s="1"/>
  <c r="L49" i="12" s="1"/>
  <c r="F50" i="12"/>
  <c r="G50" i="12" s="1"/>
  <c r="H50" i="12"/>
  <c r="I50" i="12" s="1"/>
  <c r="L50" i="12" s="1"/>
  <c r="F51" i="12"/>
  <c r="G51" i="12" s="1"/>
  <c r="H51" i="12"/>
  <c r="I51" i="12" s="1"/>
  <c r="L51" i="12" s="1"/>
  <c r="F52" i="12"/>
  <c r="G52" i="12" s="1"/>
  <c r="H52" i="12"/>
  <c r="I52" i="12" s="1"/>
  <c r="F53" i="12"/>
  <c r="G53" i="12" s="1"/>
  <c r="H53" i="12"/>
  <c r="I53" i="12" s="1"/>
  <c r="F54" i="12"/>
  <c r="G54" i="12" s="1"/>
  <c r="H54" i="12"/>
  <c r="I54" i="12" s="1"/>
  <c r="F55" i="12"/>
  <c r="G55" i="12" s="1"/>
  <c r="H55" i="12"/>
  <c r="I55" i="12" s="1"/>
  <c r="L55" i="12" s="1"/>
  <c r="F56" i="12"/>
  <c r="G56" i="12" s="1"/>
  <c r="H56" i="12"/>
  <c r="I56" i="12" s="1"/>
  <c r="F57" i="12"/>
  <c r="G57" i="12" s="1"/>
  <c r="H57" i="12"/>
  <c r="I57" i="12" s="1"/>
  <c r="L57" i="12" s="1"/>
  <c r="F58" i="12"/>
  <c r="G58" i="12" s="1"/>
  <c r="H58" i="12"/>
  <c r="I58" i="12" s="1"/>
  <c r="L58" i="12" s="1"/>
  <c r="F59" i="12"/>
  <c r="G59" i="12" s="1"/>
  <c r="H59" i="12"/>
  <c r="I59" i="12" s="1"/>
  <c r="F60" i="12"/>
  <c r="G60" i="12" s="1"/>
  <c r="H60" i="12"/>
  <c r="I60" i="12" s="1"/>
  <c r="F61" i="12"/>
  <c r="G61" i="12" s="1"/>
  <c r="H61" i="12"/>
  <c r="I61" i="12" s="1"/>
  <c r="F62" i="12"/>
  <c r="G62" i="12" s="1"/>
  <c r="H62" i="12"/>
  <c r="I62" i="12" s="1"/>
  <c r="L62" i="12" s="1"/>
  <c r="F63" i="12"/>
  <c r="G63" i="12" s="1"/>
  <c r="H63" i="12"/>
  <c r="I63" i="12" s="1"/>
  <c r="F64" i="12"/>
  <c r="G64" i="12" s="1"/>
  <c r="H64" i="12"/>
  <c r="I64" i="12" s="1"/>
  <c r="F65" i="12"/>
  <c r="G65" i="12" s="1"/>
  <c r="H65" i="12"/>
  <c r="I65" i="12" s="1"/>
  <c r="L65" i="12" s="1"/>
  <c r="F66" i="12"/>
  <c r="G66" i="12" s="1"/>
  <c r="H66" i="12"/>
  <c r="I66" i="12" s="1"/>
  <c r="L66" i="12" s="1"/>
  <c r="F67" i="12"/>
  <c r="G67" i="12" s="1"/>
  <c r="H67" i="12"/>
  <c r="I67" i="12" s="1"/>
  <c r="L67" i="12" s="1"/>
  <c r="F68" i="12"/>
  <c r="G68" i="12" s="1"/>
  <c r="H68" i="12"/>
  <c r="I68" i="12" s="1"/>
  <c r="L68" i="12" s="1"/>
  <c r="F69" i="12"/>
  <c r="G69" i="12" s="1"/>
  <c r="H69" i="12"/>
  <c r="I69" i="12" s="1"/>
  <c r="F70" i="12"/>
  <c r="G70" i="12" s="1"/>
  <c r="H70" i="12"/>
  <c r="I70" i="12" s="1"/>
  <c r="F71" i="12"/>
  <c r="G71" i="12" s="1"/>
  <c r="H71" i="12"/>
  <c r="I71" i="12" s="1"/>
  <c r="F72" i="12"/>
  <c r="G72" i="12" s="1"/>
  <c r="H72" i="12"/>
  <c r="I72" i="12" s="1"/>
  <c r="F73" i="12"/>
  <c r="G73" i="12" s="1"/>
  <c r="H73" i="12"/>
  <c r="I73" i="12" s="1"/>
  <c r="F74" i="12"/>
  <c r="G74" i="12" s="1"/>
  <c r="H74" i="12"/>
  <c r="I74" i="12" s="1"/>
  <c r="L74" i="12" s="1"/>
  <c r="F75" i="12"/>
  <c r="G75" i="12" s="1"/>
  <c r="H75" i="12"/>
  <c r="I75" i="12" s="1"/>
  <c r="L75" i="12" s="1"/>
  <c r="F76" i="12"/>
  <c r="G76" i="12" s="1"/>
  <c r="H76" i="12"/>
  <c r="I76" i="12" s="1"/>
  <c r="L76" i="12" s="1"/>
  <c r="F77" i="12"/>
  <c r="G77" i="12" s="1"/>
  <c r="H77" i="12"/>
  <c r="I77" i="12" s="1"/>
  <c r="F78" i="12"/>
  <c r="G78" i="12" s="1"/>
  <c r="H78" i="12"/>
  <c r="I78" i="12" s="1"/>
  <c r="F79" i="12"/>
  <c r="G79" i="12" s="1"/>
  <c r="H79" i="12"/>
  <c r="I79" i="12" s="1"/>
  <c r="L79" i="12" s="1"/>
  <c r="F80" i="12"/>
  <c r="G80" i="12" s="1"/>
  <c r="H80" i="12"/>
  <c r="I80" i="12" s="1"/>
  <c r="L80" i="12" s="1"/>
  <c r="F82" i="12"/>
  <c r="G82" i="12" s="1"/>
  <c r="H82" i="12"/>
  <c r="I82" i="12" s="1"/>
  <c r="L82" i="12" s="1"/>
  <c r="F83" i="12"/>
  <c r="G83" i="12" s="1"/>
  <c r="H83" i="12"/>
  <c r="I83" i="12" s="1"/>
  <c r="L83" i="12" s="1"/>
  <c r="F84" i="12"/>
  <c r="G84" i="12" s="1"/>
  <c r="H84" i="12"/>
  <c r="I84" i="12" s="1"/>
  <c r="L84" i="12" s="1"/>
  <c r="F85" i="12"/>
  <c r="G85" i="12" s="1"/>
  <c r="H85" i="12"/>
  <c r="I85" i="12" s="1"/>
  <c r="L85" i="12" s="1"/>
  <c r="F86" i="12"/>
  <c r="G86" i="12" s="1"/>
  <c r="H86" i="12"/>
  <c r="I86" i="12" s="1"/>
  <c r="F87" i="12"/>
  <c r="G87" i="12" s="1"/>
  <c r="H87" i="12"/>
  <c r="I87" i="12" s="1"/>
  <c r="L87" i="12" s="1"/>
  <c r="F88" i="12"/>
  <c r="G88" i="12" s="1"/>
  <c r="H88" i="12"/>
  <c r="I88" i="12" s="1"/>
  <c r="F89" i="12"/>
  <c r="G89" i="12" s="1"/>
  <c r="H89" i="12"/>
  <c r="I89" i="12" s="1"/>
  <c r="F90" i="12"/>
  <c r="G90" i="12" s="1"/>
  <c r="H90" i="12"/>
  <c r="I90" i="12" s="1"/>
  <c r="F91" i="12"/>
  <c r="G91" i="12" s="1"/>
  <c r="H91" i="12"/>
  <c r="I91" i="12" s="1"/>
  <c r="F15" i="10"/>
  <c r="G15" i="10" s="1"/>
  <c r="H15" i="10"/>
  <c r="I15" i="10" s="1"/>
  <c r="F63" i="10"/>
  <c r="G63" i="10" s="1"/>
  <c r="H63" i="10"/>
  <c r="I63" i="10" s="1"/>
  <c r="F64" i="10"/>
  <c r="G64" i="10" s="1"/>
  <c r="H64" i="10"/>
  <c r="I64" i="10" s="1"/>
  <c r="H65" i="10"/>
  <c r="I65" i="10" s="1"/>
  <c r="F65" i="10"/>
  <c r="G65" i="10" s="1"/>
  <c r="F66" i="10"/>
  <c r="G66" i="10" s="1"/>
  <c r="H66" i="10"/>
  <c r="I66" i="10" s="1"/>
  <c r="H67" i="10"/>
  <c r="I67" i="10" s="1"/>
  <c r="F67" i="10"/>
  <c r="G67" i="10" s="1"/>
  <c r="H68" i="10"/>
  <c r="I68" i="10" s="1"/>
  <c r="F68" i="10"/>
  <c r="G68" i="10" s="1"/>
  <c r="H69" i="10"/>
  <c r="I69" i="10" s="1"/>
  <c r="F69" i="10"/>
  <c r="G69" i="10" s="1"/>
  <c r="F70" i="10"/>
  <c r="G70" i="10" s="1"/>
  <c r="H70" i="10"/>
  <c r="I70" i="10" s="1"/>
  <c r="H71" i="10"/>
  <c r="I71" i="10" s="1"/>
  <c r="F71" i="10"/>
  <c r="G71" i="10" s="1"/>
  <c r="F72" i="10"/>
  <c r="G72" i="10" s="1"/>
  <c r="H72" i="10"/>
  <c r="I72" i="10" s="1"/>
  <c r="H73" i="10"/>
  <c r="I73" i="10" s="1"/>
  <c r="F73" i="10"/>
  <c r="G73" i="10" s="1"/>
  <c r="H74" i="10"/>
  <c r="I74" i="10" s="1"/>
  <c r="F74" i="10"/>
  <c r="G74" i="10" s="1"/>
  <c r="F75" i="10"/>
  <c r="G75" i="10" s="1"/>
  <c r="H75" i="10"/>
  <c r="I75" i="10" s="1"/>
  <c r="F76" i="10"/>
  <c r="G76" i="10" s="1"/>
  <c r="H76" i="10"/>
  <c r="I76" i="10" s="1"/>
  <c r="F77" i="10"/>
  <c r="G77" i="10" s="1"/>
  <c r="H77" i="10"/>
  <c r="I77" i="10" s="1"/>
  <c r="H78" i="10"/>
  <c r="I78" i="10" s="1"/>
  <c r="F78" i="10"/>
  <c r="G78" i="10" s="1"/>
  <c r="F79" i="10"/>
  <c r="G79" i="10" s="1"/>
  <c r="H79" i="10"/>
  <c r="I79" i="10" s="1"/>
  <c r="F80" i="10"/>
  <c r="G80" i="10" s="1"/>
  <c r="H80" i="10"/>
  <c r="I80" i="10" s="1"/>
  <c r="F81" i="10"/>
  <c r="G81" i="10" s="1"/>
  <c r="H81" i="10"/>
  <c r="I81" i="10" s="1"/>
  <c r="F82" i="10"/>
  <c r="G82" i="10" s="1"/>
  <c r="H82" i="10"/>
  <c r="I82" i="10" s="1"/>
  <c r="F83" i="10"/>
  <c r="G83" i="10" s="1"/>
  <c r="H83" i="10"/>
  <c r="I83" i="10" s="1"/>
  <c r="H84" i="10"/>
  <c r="I84" i="10" s="1"/>
  <c r="F84" i="10"/>
  <c r="G84" i="10" s="1"/>
  <c r="F85" i="10"/>
  <c r="G85" i="10" s="1"/>
  <c r="H85" i="10"/>
  <c r="I85" i="10" s="1"/>
  <c r="H86" i="10"/>
  <c r="I86" i="10" s="1"/>
  <c r="F86" i="10"/>
  <c r="G86" i="10" s="1"/>
  <c r="H87" i="10"/>
  <c r="I87" i="10" s="1"/>
  <c r="F87" i="10"/>
  <c r="G87" i="10" s="1"/>
  <c r="H88" i="10"/>
  <c r="I88" i="10" s="1"/>
  <c r="F88" i="10"/>
  <c r="G88" i="10" s="1"/>
  <c r="H89" i="10"/>
  <c r="I89" i="10" s="1"/>
  <c r="F89" i="10"/>
  <c r="G89" i="10" s="1"/>
  <c r="H90" i="10"/>
  <c r="I90" i="10" s="1"/>
  <c r="F90" i="10"/>
  <c r="G90" i="10" s="1"/>
  <c r="H91" i="10"/>
  <c r="I91" i="10" s="1"/>
  <c r="F91" i="10"/>
  <c r="G91" i="10" s="1"/>
  <c r="F92" i="10"/>
  <c r="G92" i="10" s="1"/>
  <c r="H92" i="10"/>
  <c r="I92" i="10" s="1"/>
  <c r="H93" i="10"/>
  <c r="I93" i="10" s="1"/>
  <c r="F93" i="10"/>
  <c r="G93" i="10" s="1"/>
  <c r="F94" i="10"/>
  <c r="G94" i="10" s="1"/>
  <c r="H94" i="10"/>
  <c r="I94" i="10" s="1"/>
  <c r="F95" i="10"/>
  <c r="G95" i="10" s="1"/>
  <c r="H95" i="10"/>
  <c r="I95" i="10" s="1"/>
  <c r="F96" i="10"/>
  <c r="G96" i="10" s="1"/>
  <c r="H96" i="10"/>
  <c r="I96" i="10" s="1"/>
  <c r="F97" i="10"/>
  <c r="G97" i="10" s="1"/>
  <c r="H97" i="10"/>
  <c r="I97" i="10" s="1"/>
  <c r="H98" i="10"/>
  <c r="I98" i="10" s="1"/>
  <c r="F98" i="10"/>
  <c r="G98" i="10" s="1"/>
  <c r="F99" i="10"/>
  <c r="G99" i="10" s="1"/>
  <c r="H99" i="10"/>
  <c r="I99" i="10" s="1"/>
  <c r="F100" i="10"/>
  <c r="G100" i="10" s="1"/>
  <c r="H100" i="10"/>
  <c r="I100" i="10" s="1"/>
  <c r="F101" i="10"/>
  <c r="G101" i="10" s="1"/>
  <c r="H101" i="10"/>
  <c r="I101" i="10" s="1"/>
  <c r="F102" i="10"/>
  <c r="G102" i="10" s="1"/>
  <c r="H102" i="10"/>
  <c r="I102" i="10" s="1"/>
  <c r="H103" i="10"/>
  <c r="I103" i="10" s="1"/>
  <c r="F103" i="10"/>
  <c r="G103" i="10" s="1"/>
  <c r="F104" i="10"/>
  <c r="G104" i="10" s="1"/>
  <c r="H104" i="10"/>
  <c r="I104" i="10" s="1"/>
  <c r="F105" i="10"/>
  <c r="G105" i="10" s="1"/>
  <c r="H105" i="10"/>
  <c r="I105" i="10" s="1"/>
  <c r="F106" i="10"/>
  <c r="G106" i="10" s="1"/>
  <c r="H106" i="10"/>
  <c r="I106" i="10" s="1"/>
  <c r="H107" i="10"/>
  <c r="I107" i="10" s="1"/>
  <c r="F107" i="10"/>
  <c r="G107" i="10" s="1"/>
  <c r="H108" i="10"/>
  <c r="I108" i="10" s="1"/>
  <c r="F108" i="10"/>
  <c r="G108" i="10" s="1"/>
  <c r="H109" i="10"/>
  <c r="I109" i="10" s="1"/>
  <c r="F109" i="10"/>
  <c r="G109" i="10" s="1"/>
  <c r="H110" i="10"/>
  <c r="I110" i="10" s="1"/>
  <c r="F110" i="10"/>
  <c r="G110" i="10" s="1"/>
  <c r="H111" i="10"/>
  <c r="I111" i="10" s="1"/>
  <c r="F111" i="10"/>
  <c r="G111" i="10" s="1"/>
  <c r="F112" i="10"/>
  <c r="G112" i="10" s="1"/>
  <c r="H112" i="10"/>
  <c r="I112" i="10" s="1"/>
  <c r="H113" i="10"/>
  <c r="I113" i="10" s="1"/>
  <c r="F113" i="10"/>
  <c r="G113" i="10" s="1"/>
  <c r="F114" i="10"/>
  <c r="G114" i="10" s="1"/>
  <c r="H114" i="10"/>
  <c r="I114" i="10" s="1"/>
  <c r="H115" i="10"/>
  <c r="I115" i="10" s="1"/>
  <c r="F115" i="10"/>
  <c r="G115" i="10" s="1"/>
  <c r="F116" i="10"/>
  <c r="G116" i="10" s="1"/>
  <c r="H116" i="10"/>
  <c r="I116" i="10" s="1"/>
  <c r="F117" i="10"/>
  <c r="G117" i="10" s="1"/>
  <c r="H117" i="10"/>
  <c r="I117" i="10" s="1"/>
  <c r="F118" i="10"/>
  <c r="G118" i="10" s="1"/>
  <c r="H118" i="10"/>
  <c r="I118" i="10" s="1"/>
  <c r="H119" i="10"/>
  <c r="I119" i="10" s="1"/>
  <c r="F119" i="10"/>
  <c r="G119" i="10" s="1"/>
  <c r="H120" i="10"/>
  <c r="I120" i="10" s="1"/>
  <c r="F120" i="10"/>
  <c r="G120" i="10" s="1"/>
  <c r="F121" i="10"/>
  <c r="G121" i="10" s="1"/>
  <c r="H121" i="10"/>
  <c r="I121" i="10" s="1"/>
  <c r="H56" i="10"/>
  <c r="I56" i="10" s="1"/>
  <c r="F56" i="10"/>
  <c r="G56" i="10" s="1"/>
  <c r="H57" i="10"/>
  <c r="I57" i="10" s="1"/>
  <c r="F57" i="10"/>
  <c r="G57" i="10" s="1"/>
  <c r="H58" i="10"/>
  <c r="I58" i="10" s="1"/>
  <c r="F58" i="10"/>
  <c r="G58" i="10" s="1"/>
  <c r="F59" i="10"/>
  <c r="G59" i="10" s="1"/>
  <c r="H59" i="10"/>
  <c r="I59" i="10" s="1"/>
  <c r="F60" i="10"/>
  <c r="G60" i="10" s="1"/>
  <c r="H60" i="10"/>
  <c r="I60" i="10" s="1"/>
  <c r="H61" i="10"/>
  <c r="I61" i="10" s="1"/>
  <c r="F61" i="10"/>
  <c r="G61" i="10" s="1"/>
  <c r="H62" i="10"/>
  <c r="I62" i="10" s="1"/>
  <c r="F62" i="10"/>
  <c r="G62" i="10" s="1"/>
  <c r="H50" i="10"/>
  <c r="I50" i="10" s="1"/>
  <c r="F50" i="10"/>
  <c r="G50" i="10" s="1"/>
  <c r="H51" i="10"/>
  <c r="I51" i="10" s="1"/>
  <c r="F51" i="10"/>
  <c r="G51" i="10" s="1"/>
  <c r="H52" i="10"/>
  <c r="I52" i="10" s="1"/>
  <c r="F52" i="10"/>
  <c r="G52" i="10" s="1"/>
  <c r="H53" i="10"/>
  <c r="I53" i="10" s="1"/>
  <c r="F53" i="10"/>
  <c r="G53" i="10" s="1"/>
  <c r="H54" i="10"/>
  <c r="I54" i="10" s="1"/>
  <c r="F54" i="10"/>
  <c r="G54" i="10" s="1"/>
  <c r="F55" i="10"/>
  <c r="G55" i="10" s="1"/>
  <c r="H55" i="10"/>
  <c r="I55" i="10" s="1"/>
  <c r="F49" i="10"/>
  <c r="G49" i="10" s="1"/>
  <c r="H49" i="10"/>
  <c r="I49" i="10" s="1"/>
  <c r="F47" i="10"/>
  <c r="G47" i="10" s="1"/>
  <c r="H47" i="10"/>
  <c r="I47" i="10" s="1"/>
  <c r="H48" i="10"/>
  <c r="I48" i="10" s="1"/>
  <c r="F48" i="10"/>
  <c r="G48" i="10" s="1"/>
  <c r="H38" i="10"/>
  <c r="I38" i="10" s="1"/>
  <c r="F38" i="10"/>
  <c r="G38" i="10" s="1"/>
  <c r="F39" i="10"/>
  <c r="G39" i="10" s="1"/>
  <c r="H39" i="10"/>
  <c r="I39" i="10" s="1"/>
  <c r="H40" i="10"/>
  <c r="I40" i="10" s="1"/>
  <c r="F40" i="10"/>
  <c r="G40" i="10" s="1"/>
  <c r="F41" i="10"/>
  <c r="G41" i="10" s="1"/>
  <c r="H41" i="10"/>
  <c r="I41" i="10" s="1"/>
  <c r="H42" i="10"/>
  <c r="I42" i="10" s="1"/>
  <c r="F42" i="10"/>
  <c r="G42" i="10" s="1"/>
  <c r="H43" i="10"/>
  <c r="I43" i="10" s="1"/>
  <c r="F43" i="10"/>
  <c r="G43" i="10" s="1"/>
  <c r="F44" i="10"/>
  <c r="G44" i="10" s="1"/>
  <c r="H44" i="10"/>
  <c r="I44" i="10" s="1"/>
  <c r="F45" i="10"/>
  <c r="G45" i="10" s="1"/>
  <c r="H45" i="10"/>
  <c r="I45" i="10" s="1"/>
  <c r="H46" i="10"/>
  <c r="I46" i="10" s="1"/>
  <c r="F46" i="10"/>
  <c r="G46" i="10" s="1"/>
  <c r="B29" i="10"/>
  <c r="H29" i="10"/>
  <c r="I29" i="10" s="1"/>
  <c r="F29" i="10"/>
  <c r="G29" i="10" s="1"/>
  <c r="B30" i="10"/>
  <c r="H30" i="10"/>
  <c r="I30" i="10" s="1"/>
  <c r="F30" i="10"/>
  <c r="G30" i="10" s="1"/>
  <c r="B31" i="10"/>
  <c r="H31" i="10"/>
  <c r="I31" i="10" s="1"/>
  <c r="F31" i="10"/>
  <c r="G31" i="10" s="1"/>
  <c r="B32" i="10"/>
  <c r="F32" i="10"/>
  <c r="G32" i="10" s="1"/>
  <c r="H32" i="10"/>
  <c r="I32" i="10" s="1"/>
  <c r="B33" i="10"/>
  <c r="F33" i="10"/>
  <c r="G33" i="10" s="1"/>
  <c r="H33" i="10"/>
  <c r="I33" i="10" s="1"/>
  <c r="B34" i="10"/>
  <c r="H34" i="10"/>
  <c r="I34" i="10" s="1"/>
  <c r="F34" i="10"/>
  <c r="G34" i="10" s="1"/>
  <c r="B35" i="10"/>
  <c r="H35" i="10"/>
  <c r="I35" i="10" s="1"/>
  <c r="F35" i="10"/>
  <c r="G35" i="10" s="1"/>
  <c r="B36" i="10"/>
  <c r="F36" i="10"/>
  <c r="G36" i="10" s="1"/>
  <c r="H36" i="10"/>
  <c r="I36" i="10" s="1"/>
  <c r="F37" i="10"/>
  <c r="G37" i="10" s="1"/>
  <c r="H37" i="10"/>
  <c r="I37" i="10" s="1"/>
  <c r="B27" i="10"/>
  <c r="F27" i="10"/>
  <c r="G27" i="10" s="1"/>
  <c r="H27" i="10"/>
  <c r="I27" i="10" s="1"/>
  <c r="B28" i="10"/>
  <c r="F28" i="10"/>
  <c r="G28" i="10" s="1"/>
  <c r="H28" i="10"/>
  <c r="I28" i="10" s="1"/>
  <c r="B26" i="10"/>
  <c r="H26" i="10"/>
  <c r="I26" i="10" s="1"/>
  <c r="F26" i="10"/>
  <c r="G26" i="10" s="1"/>
  <c r="F14" i="10"/>
  <c r="G14" i="10" s="1"/>
  <c r="H14" i="10"/>
  <c r="I14" i="10" s="1"/>
  <c r="H16" i="10"/>
  <c r="I16" i="10" s="1"/>
  <c r="F16" i="10"/>
  <c r="G16" i="10" s="1"/>
  <c r="H17" i="10"/>
  <c r="I17" i="10" s="1"/>
  <c r="F17" i="10"/>
  <c r="G17" i="10" s="1"/>
  <c r="F18" i="10"/>
  <c r="G18" i="10" s="1"/>
  <c r="H18" i="10"/>
  <c r="I18" i="10" s="1"/>
  <c r="H19" i="10"/>
  <c r="I19" i="10" s="1"/>
  <c r="F19" i="10"/>
  <c r="G19" i="10" s="1"/>
  <c r="F20" i="10"/>
  <c r="G20" i="10" s="1"/>
  <c r="H20" i="10"/>
  <c r="I20" i="10" s="1"/>
  <c r="H21" i="10"/>
  <c r="I21" i="10" s="1"/>
  <c r="F21" i="10"/>
  <c r="G21" i="10" s="1"/>
  <c r="H22" i="10"/>
  <c r="I22" i="10" s="1"/>
  <c r="F22" i="10"/>
  <c r="G22" i="10" s="1"/>
  <c r="H23" i="10"/>
  <c r="I23" i="10" s="1"/>
  <c r="F23" i="10"/>
  <c r="G23" i="10" s="1"/>
  <c r="H24" i="10"/>
  <c r="I24" i="10" s="1"/>
  <c r="F24" i="10"/>
  <c r="G24" i="10" s="1"/>
  <c r="F25" i="10"/>
  <c r="G25" i="10" s="1"/>
  <c r="H25" i="10"/>
  <c r="I25" i="10" s="1"/>
  <c r="B10" i="11"/>
  <c r="B11" i="11"/>
  <c r="B12" i="11"/>
  <c r="B13" i="11"/>
  <c r="B14" i="11"/>
  <c r="B15" i="11"/>
  <c r="B16" i="11"/>
  <c r="B17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81" i="12"/>
  <c r="F81" i="12"/>
  <c r="G81" i="12" s="1"/>
  <c r="H11" i="7"/>
  <c r="B2" i="7"/>
  <c r="B80" i="12"/>
  <c r="I81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F19" i="12"/>
  <c r="G19" i="12" s="1"/>
  <c r="I19" i="12"/>
  <c r="B18" i="12"/>
  <c r="F18" i="12"/>
  <c r="G18" i="12" s="1"/>
  <c r="I18" i="12"/>
  <c r="B17" i="12"/>
  <c r="F17" i="12"/>
  <c r="G17" i="12" s="1"/>
  <c r="I17" i="12"/>
  <c r="B16" i="12"/>
  <c r="F16" i="12"/>
  <c r="G16" i="12" s="1"/>
  <c r="I16" i="12"/>
  <c r="B15" i="12"/>
  <c r="F15" i="12"/>
  <c r="G15" i="12" s="1"/>
  <c r="I15" i="12"/>
  <c r="B14" i="12"/>
  <c r="F14" i="12"/>
  <c r="G14" i="12" s="1"/>
  <c r="I14" i="12"/>
  <c r="L14" i="12" s="1"/>
  <c r="B13" i="12"/>
  <c r="F13" i="12"/>
  <c r="G13" i="12" s="1"/>
  <c r="I13" i="12"/>
  <c r="L13" i="12" s="1"/>
  <c r="B12" i="12"/>
  <c r="F12" i="12"/>
  <c r="G12" i="12" s="1"/>
  <c r="I12" i="12"/>
  <c r="L12" i="12" s="1"/>
  <c r="B11" i="12"/>
  <c r="F11" i="12"/>
  <c r="G11" i="12" s="1"/>
  <c r="I11" i="12"/>
  <c r="L11" i="12" s="1"/>
  <c r="B10" i="12"/>
  <c r="F10" i="12"/>
  <c r="G10" i="12" s="1"/>
  <c r="H10" i="12"/>
  <c r="I10" i="12" s="1"/>
  <c r="L10" i="12" s="1"/>
  <c r="B9" i="12"/>
  <c r="F9" i="12"/>
  <c r="G9" i="12" s="1"/>
  <c r="H9" i="12"/>
  <c r="I9" i="12" s="1"/>
  <c r="B8" i="12"/>
  <c r="F8" i="12"/>
  <c r="G8" i="12" s="1"/>
  <c r="H8" i="12"/>
  <c r="I8" i="12" s="1"/>
  <c r="B7" i="12"/>
  <c r="F7" i="12"/>
  <c r="G7" i="12" s="1"/>
  <c r="H7" i="12"/>
  <c r="I7" i="12" s="1"/>
  <c r="B6" i="12"/>
  <c r="F6" i="12"/>
  <c r="G6" i="12" s="1"/>
  <c r="H6" i="12"/>
  <c r="I6" i="12" s="1"/>
  <c r="L6" i="12" s="1"/>
  <c r="B5" i="12"/>
  <c r="F5" i="12"/>
  <c r="G5" i="12" s="1"/>
  <c r="H5" i="12"/>
  <c r="I5" i="12" s="1"/>
  <c r="L5" i="12" s="1"/>
  <c r="B4" i="12"/>
  <c r="F4" i="12"/>
  <c r="G4" i="12" s="1"/>
  <c r="H4" i="12"/>
  <c r="I4" i="12" s="1"/>
  <c r="L4" i="12" s="1"/>
  <c r="B3" i="12"/>
  <c r="F3" i="12"/>
  <c r="G3" i="12" s="1"/>
  <c r="H3" i="12"/>
  <c r="I3" i="12" s="1"/>
  <c r="B2" i="12"/>
  <c r="F2" i="12"/>
  <c r="G2" i="12" s="1"/>
  <c r="H2" i="12"/>
  <c r="I2" i="12" s="1"/>
  <c r="L2" i="12" s="1"/>
  <c r="B91" i="12"/>
  <c r="B90" i="12"/>
  <c r="B89" i="12"/>
  <c r="B88" i="12"/>
  <c r="B87" i="12"/>
  <c r="B86" i="12"/>
  <c r="B85" i="12"/>
  <c r="B84" i="12"/>
  <c r="B83" i="12"/>
  <c r="B82" i="12"/>
  <c r="B2" i="11"/>
  <c r="F2" i="11"/>
  <c r="G2" i="11" s="1"/>
  <c r="H2" i="11"/>
  <c r="I2" i="11" s="1"/>
  <c r="B9" i="11"/>
  <c r="F9" i="11"/>
  <c r="G9" i="11" s="1"/>
  <c r="H9" i="11"/>
  <c r="I9" i="11" s="1"/>
  <c r="B8" i="11"/>
  <c r="F8" i="11"/>
  <c r="G8" i="11" s="1"/>
  <c r="H8" i="11"/>
  <c r="I8" i="11" s="1"/>
  <c r="B7" i="11"/>
  <c r="F7" i="11"/>
  <c r="G7" i="11" s="1"/>
  <c r="H7" i="11"/>
  <c r="I7" i="11" s="1"/>
  <c r="B6" i="11"/>
  <c r="F6" i="11"/>
  <c r="G6" i="11" s="1"/>
  <c r="H6" i="11"/>
  <c r="I6" i="11" s="1"/>
  <c r="B5" i="11"/>
  <c r="F5" i="11"/>
  <c r="G5" i="11" s="1"/>
  <c r="H5" i="11"/>
  <c r="I5" i="11" s="1"/>
  <c r="B4" i="11"/>
  <c r="F4" i="11"/>
  <c r="G4" i="11" s="1"/>
  <c r="H4" i="11"/>
  <c r="I4" i="11" s="1"/>
  <c r="B3" i="11"/>
  <c r="F3" i="11"/>
  <c r="G3" i="11" s="1"/>
  <c r="H3" i="11"/>
  <c r="I3" i="11" s="1"/>
  <c r="B62" i="10"/>
  <c r="B49" i="10"/>
  <c r="B48" i="10"/>
  <c r="B46" i="10"/>
  <c r="B37" i="10"/>
  <c r="B55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56" i="10"/>
  <c r="B57" i="10"/>
  <c r="B58" i="10"/>
  <c r="B59" i="10"/>
  <c r="B60" i="10"/>
  <c r="B61" i="10"/>
  <c r="B50" i="10"/>
  <c r="B51" i="10"/>
  <c r="B52" i="10"/>
  <c r="B53" i="10"/>
  <c r="B54" i="10"/>
  <c r="B47" i="10"/>
  <c r="B38" i="10"/>
  <c r="B39" i="10"/>
  <c r="B40" i="10"/>
  <c r="B41" i="10"/>
  <c r="B42" i="10"/>
  <c r="B43" i="10"/>
  <c r="B44" i="10"/>
  <c r="B45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16" i="2"/>
  <c r="F16" i="2"/>
  <c r="G16" i="2" s="1"/>
  <c r="H16" i="2"/>
  <c r="I16" i="2" s="1"/>
  <c r="F17" i="2"/>
  <c r="G17" i="2" s="1"/>
  <c r="H17" i="2"/>
  <c r="I17" i="2" s="1"/>
  <c r="B17" i="2"/>
  <c r="F18" i="2"/>
  <c r="G18" i="2" s="1"/>
  <c r="H18" i="2"/>
  <c r="I18" i="2" s="1"/>
  <c r="B18" i="2"/>
  <c r="F19" i="2"/>
  <c r="G19" i="2" s="1"/>
  <c r="H19" i="2"/>
  <c r="I19" i="2" s="1"/>
  <c r="B19" i="2"/>
  <c r="F20" i="2"/>
  <c r="G20" i="2" s="1"/>
  <c r="H20" i="2"/>
  <c r="I20" i="2" s="1"/>
  <c r="B20" i="2"/>
  <c r="F21" i="2"/>
  <c r="G21" i="2" s="1"/>
  <c r="H21" i="2"/>
  <c r="I21" i="2" s="1"/>
  <c r="B21" i="2"/>
  <c r="F22" i="2"/>
  <c r="G22" i="2" s="1"/>
  <c r="H22" i="2"/>
  <c r="I22" i="2" s="1"/>
  <c r="B22" i="2"/>
  <c r="B23" i="2"/>
  <c r="F23" i="2"/>
  <c r="G23" i="2" s="1"/>
  <c r="H23" i="2"/>
  <c r="I23" i="2" s="1"/>
  <c r="B24" i="2"/>
  <c r="F24" i="2"/>
  <c r="G24" i="2" s="1"/>
  <c r="H24" i="2"/>
  <c r="I24" i="2" s="1"/>
  <c r="B25" i="2"/>
  <c r="F25" i="2"/>
  <c r="G25" i="2" s="1"/>
  <c r="H25" i="2"/>
  <c r="I25" i="2" s="1"/>
  <c r="B26" i="2"/>
  <c r="F26" i="2"/>
  <c r="G26" i="2" s="1"/>
  <c r="H26" i="2"/>
  <c r="I26" i="2" s="1"/>
  <c r="B27" i="2"/>
  <c r="F27" i="2"/>
  <c r="G27" i="2" s="1"/>
  <c r="H27" i="2"/>
  <c r="I27" i="2" s="1"/>
  <c r="B28" i="2"/>
  <c r="F28" i="2"/>
  <c r="G28" i="2" s="1"/>
  <c r="H28" i="2"/>
  <c r="I28" i="2" s="1"/>
  <c r="B29" i="2"/>
  <c r="F29" i="2"/>
  <c r="G29" i="2" s="1"/>
  <c r="H29" i="2"/>
  <c r="I29" i="2" s="1"/>
  <c r="B30" i="2"/>
  <c r="F30" i="2"/>
  <c r="G30" i="2" s="1"/>
  <c r="H30" i="2"/>
  <c r="I30" i="2" s="1"/>
  <c r="B31" i="2"/>
  <c r="F31" i="2"/>
  <c r="G31" i="2" s="1"/>
  <c r="H31" i="2"/>
  <c r="I31" i="2" s="1"/>
  <c r="B32" i="2"/>
  <c r="F32" i="2"/>
  <c r="G32" i="2" s="1"/>
  <c r="H32" i="2"/>
  <c r="I32" i="2" s="1"/>
  <c r="B33" i="2"/>
  <c r="F33" i="2"/>
  <c r="G33" i="2" s="1"/>
  <c r="H33" i="2"/>
  <c r="I33" i="2" s="1"/>
  <c r="B34" i="2"/>
  <c r="F34" i="2"/>
  <c r="G34" i="2" s="1"/>
  <c r="H34" i="2"/>
  <c r="I34" i="2" s="1"/>
  <c r="B35" i="2"/>
  <c r="F35" i="2"/>
  <c r="G35" i="2" s="1"/>
  <c r="H35" i="2"/>
  <c r="I35" i="2" s="1"/>
  <c r="B36" i="2"/>
  <c r="F36" i="2"/>
  <c r="G36" i="2" s="1"/>
  <c r="H36" i="2"/>
  <c r="I36" i="2" s="1"/>
  <c r="B37" i="2"/>
  <c r="F37" i="2"/>
  <c r="G37" i="2" s="1"/>
  <c r="H37" i="2"/>
  <c r="I37" i="2" s="1"/>
  <c r="B38" i="2"/>
  <c r="F38" i="2"/>
  <c r="G38" i="2" s="1"/>
  <c r="H38" i="2"/>
  <c r="I38" i="2" s="1"/>
  <c r="B39" i="2"/>
  <c r="F39" i="2"/>
  <c r="G39" i="2" s="1"/>
  <c r="H39" i="2"/>
  <c r="I39" i="2" s="1"/>
  <c r="B40" i="2"/>
  <c r="F40" i="2"/>
  <c r="G40" i="2" s="1"/>
  <c r="H40" i="2"/>
  <c r="I40" i="2" s="1"/>
  <c r="B41" i="2"/>
  <c r="F41" i="2"/>
  <c r="G41" i="2" s="1"/>
  <c r="H41" i="2"/>
  <c r="I41" i="2" s="1"/>
  <c r="L41" i="2" s="1"/>
  <c r="B42" i="2"/>
  <c r="F42" i="2"/>
  <c r="G42" i="2" s="1"/>
  <c r="H42" i="2"/>
  <c r="I42" i="2" s="1"/>
  <c r="B43" i="2"/>
  <c r="F43" i="2"/>
  <c r="G43" i="2" s="1"/>
  <c r="H43" i="2"/>
  <c r="I43" i="2" s="1"/>
  <c r="B44" i="2"/>
  <c r="F44" i="2"/>
  <c r="G44" i="2" s="1"/>
  <c r="H44" i="2"/>
  <c r="I44" i="2" s="1"/>
  <c r="B45" i="2"/>
  <c r="F45" i="2"/>
  <c r="G45" i="2" s="1"/>
  <c r="H45" i="2"/>
  <c r="I45" i="2" s="1"/>
  <c r="B46" i="2"/>
  <c r="F46" i="2"/>
  <c r="G46" i="2" s="1"/>
  <c r="H46" i="2"/>
  <c r="I46" i="2" s="1"/>
  <c r="B47" i="2"/>
  <c r="F47" i="2"/>
  <c r="G47" i="2" s="1"/>
  <c r="H47" i="2"/>
  <c r="I47" i="2" s="1"/>
  <c r="B48" i="2"/>
  <c r="F48" i="2"/>
  <c r="G48" i="2" s="1"/>
  <c r="H48" i="2"/>
  <c r="I48" i="2" s="1"/>
  <c r="B49" i="2"/>
  <c r="F49" i="2"/>
  <c r="G49" i="2" s="1"/>
  <c r="H49" i="2"/>
  <c r="I49" i="2" s="1"/>
  <c r="B50" i="2"/>
  <c r="F50" i="2"/>
  <c r="G50" i="2" s="1"/>
  <c r="H50" i="2"/>
  <c r="I50" i="2" s="1"/>
  <c r="B51" i="2"/>
  <c r="F51" i="2"/>
  <c r="G51" i="2" s="1"/>
  <c r="H51" i="2"/>
  <c r="I51" i="2" s="1"/>
  <c r="L51" i="2" s="1"/>
  <c r="B52" i="2"/>
  <c r="F52" i="2"/>
  <c r="G52" i="2" s="1"/>
  <c r="H52" i="2"/>
  <c r="I52" i="2" s="1"/>
  <c r="B53" i="2"/>
  <c r="F53" i="2"/>
  <c r="G53" i="2" s="1"/>
  <c r="H53" i="2"/>
  <c r="I53" i="2" s="1"/>
  <c r="B54" i="2"/>
  <c r="F54" i="2"/>
  <c r="G54" i="2" s="1"/>
  <c r="H54" i="2"/>
  <c r="I54" i="2" s="1"/>
  <c r="B55" i="2"/>
  <c r="F55" i="2"/>
  <c r="G55" i="2" s="1"/>
  <c r="H55" i="2"/>
  <c r="I55" i="2" s="1"/>
  <c r="B56" i="2"/>
  <c r="F56" i="2"/>
  <c r="G56" i="2" s="1"/>
  <c r="H56" i="2"/>
  <c r="I56" i="2" s="1"/>
  <c r="B57" i="2"/>
  <c r="F57" i="2"/>
  <c r="G57" i="2" s="1"/>
  <c r="H57" i="2"/>
  <c r="I57" i="2" s="1"/>
  <c r="B58" i="2"/>
  <c r="F58" i="2"/>
  <c r="G58" i="2" s="1"/>
  <c r="H58" i="2"/>
  <c r="I58" i="2" s="1"/>
  <c r="B59" i="2"/>
  <c r="F59" i="2"/>
  <c r="G59" i="2" s="1"/>
  <c r="H59" i="2"/>
  <c r="I59" i="2" s="1"/>
  <c r="L59" i="2" s="1"/>
  <c r="B60" i="2"/>
  <c r="F60" i="2"/>
  <c r="G60" i="2" s="1"/>
  <c r="H60" i="2"/>
  <c r="I60" i="2" s="1"/>
  <c r="B61" i="2"/>
  <c r="F61" i="2"/>
  <c r="G61" i="2" s="1"/>
  <c r="H61" i="2"/>
  <c r="I61" i="2" s="1"/>
  <c r="B62" i="2"/>
  <c r="F62" i="2"/>
  <c r="G62" i="2" s="1"/>
  <c r="H62" i="2"/>
  <c r="I62" i="2" s="1"/>
  <c r="B63" i="2"/>
  <c r="F63" i="2"/>
  <c r="G63" i="2" s="1"/>
  <c r="H63" i="2"/>
  <c r="I63" i="2" s="1"/>
  <c r="B64" i="2"/>
  <c r="F64" i="2"/>
  <c r="G64" i="2" s="1"/>
  <c r="H64" i="2"/>
  <c r="I64" i="2" s="1"/>
  <c r="B65" i="2"/>
  <c r="F65" i="2"/>
  <c r="G65" i="2" s="1"/>
  <c r="H65" i="2"/>
  <c r="I65" i="2" s="1"/>
  <c r="B66" i="2"/>
  <c r="F66" i="2"/>
  <c r="G66" i="2" s="1"/>
  <c r="H66" i="2"/>
  <c r="I66" i="2" s="1"/>
  <c r="B67" i="2"/>
  <c r="F67" i="2"/>
  <c r="G67" i="2" s="1"/>
  <c r="H67" i="2"/>
  <c r="I67" i="2" s="1"/>
  <c r="B68" i="2"/>
  <c r="F68" i="2"/>
  <c r="G68" i="2" s="1"/>
  <c r="H68" i="2"/>
  <c r="I68" i="2" s="1"/>
  <c r="B69" i="2"/>
  <c r="F69" i="2"/>
  <c r="G69" i="2" s="1"/>
  <c r="H69" i="2"/>
  <c r="I69" i="2" s="1"/>
  <c r="B70" i="2"/>
  <c r="F70" i="2"/>
  <c r="G70" i="2" s="1"/>
  <c r="H70" i="2"/>
  <c r="I70" i="2" s="1"/>
  <c r="B71" i="2"/>
  <c r="F71" i="2"/>
  <c r="G71" i="2" s="1"/>
  <c r="H71" i="2"/>
  <c r="I71" i="2" s="1"/>
  <c r="H10" i="2"/>
  <c r="I10" i="2" s="1"/>
  <c r="B10" i="2"/>
  <c r="F10" i="2"/>
  <c r="G10" i="2" s="1"/>
  <c r="F11" i="2"/>
  <c r="G11" i="2" s="1"/>
  <c r="H11" i="2"/>
  <c r="I11" i="2" s="1"/>
  <c r="B11" i="2"/>
  <c r="B12" i="2"/>
  <c r="F12" i="2"/>
  <c r="G12" i="2" s="1"/>
  <c r="H12" i="2"/>
  <c r="I12" i="2" s="1"/>
  <c r="B13" i="2"/>
  <c r="H13" i="2"/>
  <c r="I13" i="2" s="1"/>
  <c r="F13" i="2"/>
  <c r="G13" i="2" s="1"/>
  <c r="F14" i="2"/>
  <c r="G14" i="2" s="1"/>
  <c r="H14" i="2"/>
  <c r="I14" i="2" s="1"/>
  <c r="B14" i="2"/>
  <c r="H15" i="2"/>
  <c r="I15" i="2" s="1"/>
  <c r="B15" i="2"/>
  <c r="F15" i="2"/>
  <c r="G15" i="2" s="1"/>
  <c r="B9" i="2"/>
  <c r="F9" i="2"/>
  <c r="G9" i="2" s="1"/>
  <c r="H9" i="2"/>
  <c r="I9" i="2" s="1"/>
  <c r="L9" i="2" s="1"/>
  <c r="F3" i="2"/>
  <c r="G3" i="2" s="1"/>
  <c r="B3" i="2"/>
  <c r="H3" i="2"/>
  <c r="I3" i="2" s="1"/>
  <c r="H4" i="2"/>
  <c r="I4" i="2" s="1"/>
  <c r="B4" i="2"/>
  <c r="F4" i="2"/>
  <c r="G4" i="2" s="1"/>
  <c r="H5" i="2"/>
  <c r="I5" i="2" s="1"/>
  <c r="B5" i="2"/>
  <c r="F5" i="2"/>
  <c r="G5" i="2" s="1"/>
  <c r="B6" i="2"/>
  <c r="F6" i="2"/>
  <c r="G6" i="2" s="1"/>
  <c r="H6" i="2"/>
  <c r="I6" i="2" s="1"/>
  <c r="B7" i="2"/>
  <c r="F7" i="2"/>
  <c r="G7" i="2" s="1"/>
  <c r="H7" i="2"/>
  <c r="I7" i="2" s="1"/>
  <c r="F8" i="2"/>
  <c r="G8" i="2" s="1"/>
  <c r="H8" i="2"/>
  <c r="I8" i="2" s="1"/>
  <c r="B8" i="2"/>
  <c r="B3" i="10"/>
  <c r="F3" i="10"/>
  <c r="G3" i="10" s="1"/>
  <c r="H3" i="10"/>
  <c r="I3" i="10" s="1"/>
  <c r="B4" i="10"/>
  <c r="F4" i="10"/>
  <c r="G4" i="10" s="1"/>
  <c r="H4" i="10"/>
  <c r="I4" i="10" s="1"/>
  <c r="B5" i="10"/>
  <c r="F5" i="10"/>
  <c r="G5" i="10" s="1"/>
  <c r="H5" i="10"/>
  <c r="I5" i="10" s="1"/>
  <c r="B6" i="10"/>
  <c r="F6" i="10"/>
  <c r="G6" i="10" s="1"/>
  <c r="H6" i="10"/>
  <c r="I6" i="10" s="1"/>
  <c r="B7" i="10"/>
  <c r="F7" i="10"/>
  <c r="G7" i="10" s="1"/>
  <c r="H7" i="10"/>
  <c r="I7" i="10" s="1"/>
  <c r="B8" i="10"/>
  <c r="F8" i="10"/>
  <c r="G8" i="10" s="1"/>
  <c r="H8" i="10"/>
  <c r="I8" i="10" s="1"/>
  <c r="B9" i="10"/>
  <c r="H9" i="10"/>
  <c r="I9" i="10" s="1"/>
  <c r="F9" i="10"/>
  <c r="G9" i="10" s="1"/>
  <c r="B10" i="10"/>
  <c r="H10" i="10"/>
  <c r="I10" i="10" s="1"/>
  <c r="F10" i="10"/>
  <c r="G10" i="10" s="1"/>
  <c r="B11" i="10"/>
  <c r="H11" i="10"/>
  <c r="I11" i="10" s="1"/>
  <c r="F11" i="10"/>
  <c r="G11" i="10" s="1"/>
  <c r="B12" i="10"/>
  <c r="H12" i="10"/>
  <c r="I12" i="10" s="1"/>
  <c r="F12" i="10"/>
  <c r="G12" i="10" s="1"/>
  <c r="B13" i="10"/>
  <c r="H13" i="10"/>
  <c r="I13" i="10" s="1"/>
  <c r="F13" i="10"/>
  <c r="G13" i="10" s="1"/>
  <c r="H2" i="10"/>
  <c r="I2" i="10" s="1"/>
  <c r="F2" i="10"/>
  <c r="G2" i="10" s="1"/>
  <c r="B2" i="10"/>
  <c r="B2" i="2"/>
  <c r="F2" i="2"/>
  <c r="G2" i="2" s="1"/>
  <c r="H2" i="2"/>
  <c r="I2" i="2" s="1"/>
  <c r="D503" i="4" a="1"/>
  <c r="D503" i="4" s="1"/>
  <c r="E502" i="4" a="1"/>
  <c r="E502" i="4" s="1"/>
  <c r="C3" i="4"/>
  <c r="D753" i="4" a="1"/>
  <c r="D753" i="4" s="1"/>
  <c r="C253" i="4"/>
  <c r="D253" i="4" s="1" a="1"/>
  <c r="D253" i="4" s="1"/>
  <c r="E252" i="4" a="1"/>
  <c r="E252" i="4" s="1"/>
  <c r="E752" i="4" a="1"/>
  <c r="E752" i="4" s="1"/>
  <c r="E2" i="17" l="1" a="1"/>
  <c r="E2" i="17" s="1"/>
  <c r="D56" i="17" s="1" a="1"/>
  <c r="D56" i="17" s="1"/>
  <c r="L866" i="12"/>
  <c r="L864" i="12"/>
  <c r="L790" i="12"/>
  <c r="J830" i="12"/>
  <c r="J815" i="12"/>
  <c r="L809" i="12"/>
  <c r="J809" i="12"/>
  <c r="J869" i="12"/>
  <c r="L869" i="12"/>
  <c r="L852" i="12"/>
  <c r="J852" i="12"/>
  <c r="J888" i="12"/>
  <c r="L888" i="12"/>
  <c r="J797" i="12"/>
  <c r="L848" i="12"/>
  <c r="J848" i="12"/>
  <c r="J872" i="12"/>
  <c r="L843" i="12"/>
  <c r="J843" i="12"/>
  <c r="L886" i="12"/>
  <c r="J886" i="12"/>
  <c r="L801" i="12"/>
  <c r="J801" i="12"/>
  <c r="L851" i="12"/>
  <c r="J851" i="12"/>
  <c r="J874" i="12"/>
  <c r="J880" i="12"/>
  <c r="J890" i="12"/>
  <c r="L890" i="12"/>
  <c r="L858" i="12"/>
  <c r="J858" i="12"/>
  <c r="L824" i="12"/>
  <c r="J824" i="12"/>
  <c r="J812" i="12"/>
  <c r="L806" i="12"/>
  <c r="J806" i="12"/>
  <c r="J808" i="12"/>
  <c r="L856" i="12"/>
  <c r="J856" i="12"/>
  <c r="J875" i="12"/>
  <c r="J895" i="12"/>
  <c r="L895" i="12"/>
  <c r="J889" i="12"/>
  <c r="L792" i="12"/>
  <c r="J792" i="12"/>
  <c r="L821" i="12"/>
  <c r="J821" i="12"/>
  <c r="J818" i="12"/>
  <c r="L859" i="12"/>
  <c r="J859" i="12"/>
  <c r="J894" i="12"/>
  <c r="L894" i="12"/>
  <c r="L865" i="12"/>
  <c r="J865" i="12"/>
  <c r="J794" i="12"/>
  <c r="L813" i="12"/>
  <c r="J813" i="12"/>
  <c r="L807" i="12"/>
  <c r="J807" i="12"/>
  <c r="L882" i="12"/>
  <c r="J882" i="12"/>
  <c r="L844" i="12"/>
  <c r="J844" i="12"/>
  <c r="L787" i="12"/>
  <c r="J787" i="12"/>
  <c r="L803" i="12"/>
  <c r="J803" i="12"/>
  <c r="L854" i="12"/>
  <c r="J854" i="12"/>
  <c r="L857" i="12"/>
  <c r="J857" i="12"/>
  <c r="L860" i="12"/>
  <c r="J860" i="12"/>
  <c r="J887" i="12"/>
  <c r="L887" i="12"/>
  <c r="L789" i="12"/>
  <c r="J789" i="12"/>
  <c r="J791" i="12"/>
  <c r="L791" i="12"/>
  <c r="L839" i="12"/>
  <c r="J839" i="12"/>
  <c r="L853" i="12"/>
  <c r="J853" i="12"/>
  <c r="L861" i="12"/>
  <c r="J861" i="12"/>
  <c r="L899" i="12"/>
  <c r="J899" i="12"/>
  <c r="J877" i="12"/>
  <c r="L877" i="12"/>
  <c r="J900" i="12"/>
  <c r="L786" i="12"/>
  <c r="J786" i="12"/>
  <c r="L833" i="12"/>
  <c r="J833" i="12"/>
  <c r="J785" i="12"/>
  <c r="L785" i="12"/>
  <c r="J823" i="12"/>
  <c r="L885" i="12"/>
  <c r="J885" i="12"/>
  <c r="L795" i="12"/>
  <c r="J795" i="12"/>
  <c r="L796" i="12"/>
  <c r="J796" i="12"/>
  <c r="L814" i="12"/>
  <c r="J814" i="12"/>
  <c r="J884" i="12"/>
  <c r="L884" i="12"/>
  <c r="J896" i="12"/>
  <c r="J862" i="12"/>
  <c r="L842" i="12"/>
  <c r="J842" i="12"/>
  <c r="L819" i="12"/>
  <c r="J819" i="12"/>
  <c r="L820" i="12"/>
  <c r="J820" i="12"/>
  <c r="J876" i="12"/>
  <c r="L876" i="12"/>
  <c r="L901" i="12"/>
  <c r="J901" i="12"/>
  <c r="J777" i="12"/>
  <c r="J779" i="12"/>
  <c r="J782" i="12"/>
  <c r="J780" i="12"/>
  <c r="J778" i="12"/>
  <c r="L784" i="12"/>
  <c r="J784" i="12"/>
  <c r="J776" i="12"/>
  <c r="J783" i="12"/>
  <c r="J781" i="12"/>
  <c r="J479" i="11"/>
  <c r="J343" i="12"/>
  <c r="J547" i="11"/>
  <c r="L351" i="12"/>
  <c r="J309" i="12"/>
  <c r="L349" i="12"/>
  <c r="J349" i="12"/>
  <c r="L357" i="12"/>
  <c r="J356" i="12"/>
  <c r="L401" i="11"/>
  <c r="J314" i="12"/>
  <c r="J334" i="12"/>
  <c r="L318" i="12"/>
  <c r="J398" i="12"/>
  <c r="J260" i="12"/>
  <c r="J759" i="12"/>
  <c r="L759" i="12"/>
  <c r="J773" i="12"/>
  <c r="L773" i="12"/>
  <c r="J764" i="12"/>
  <c r="L764" i="12"/>
  <c r="J752" i="12"/>
  <c r="L752" i="12"/>
  <c r="J757" i="12"/>
  <c r="J749" i="12"/>
  <c r="L749" i="12"/>
  <c r="J763" i="12"/>
  <c r="J751" i="12"/>
  <c r="L751" i="12"/>
  <c r="J768" i="12"/>
  <c r="L768" i="12"/>
  <c r="J761" i="12"/>
  <c r="L774" i="12"/>
  <c r="J774" i="12"/>
  <c r="J766" i="12"/>
  <c r="L750" i="12"/>
  <c r="J750" i="12"/>
  <c r="J767" i="12"/>
  <c r="L767" i="12"/>
  <c r="J756" i="12"/>
  <c r="L756" i="12"/>
  <c r="J772" i="12"/>
  <c r="L772" i="12"/>
  <c r="L762" i="12"/>
  <c r="J762" i="12"/>
  <c r="L775" i="12"/>
  <c r="J775" i="12"/>
  <c r="J765" i="12"/>
  <c r="L765" i="12"/>
  <c r="J758" i="12"/>
  <c r="L758" i="12"/>
  <c r="J755" i="12"/>
  <c r="L755" i="12"/>
  <c r="J760" i="12"/>
  <c r="L760" i="12"/>
  <c r="J770" i="12"/>
  <c r="J753" i="12"/>
  <c r="L753" i="12"/>
  <c r="J754" i="12"/>
  <c r="J771" i="12"/>
  <c r="L771" i="12"/>
  <c r="L769" i="12"/>
  <c r="J769" i="12"/>
  <c r="L705" i="12"/>
  <c r="J705" i="12"/>
  <c r="J722" i="12"/>
  <c r="L722" i="12"/>
  <c r="J711" i="12"/>
  <c r="L711" i="12"/>
  <c r="J727" i="12"/>
  <c r="J728" i="12"/>
  <c r="J717" i="12"/>
  <c r="J738" i="12"/>
  <c r="L738" i="12"/>
  <c r="J733" i="12"/>
  <c r="L733" i="12"/>
  <c r="J743" i="12"/>
  <c r="J712" i="12"/>
  <c r="L712" i="12"/>
  <c r="J744" i="12"/>
  <c r="L744" i="12"/>
  <c r="J710" i="12"/>
  <c r="L710" i="12"/>
  <c r="L742" i="12"/>
  <c r="J742" i="12"/>
  <c r="J715" i="12"/>
  <c r="L715" i="12"/>
  <c r="L747" i="12"/>
  <c r="J747" i="12"/>
  <c r="J716" i="12"/>
  <c r="L716" i="12"/>
  <c r="J748" i="12"/>
  <c r="L748" i="12"/>
  <c r="J726" i="12"/>
  <c r="L726" i="12"/>
  <c r="J732" i="12"/>
  <c r="L732" i="12"/>
  <c r="J721" i="12"/>
  <c r="J737" i="12"/>
  <c r="J731" i="12"/>
  <c r="L731" i="12"/>
  <c r="J730" i="12"/>
  <c r="L730" i="12"/>
  <c r="J735" i="12"/>
  <c r="L735" i="12"/>
  <c r="L741" i="12"/>
  <c r="J741" i="12"/>
  <c r="J714" i="12"/>
  <c r="L714" i="12"/>
  <c r="J746" i="12"/>
  <c r="L746" i="12"/>
  <c r="J720" i="12"/>
  <c r="L720" i="12"/>
  <c r="J709" i="12"/>
  <c r="J725" i="12"/>
  <c r="L725" i="12"/>
  <c r="J719" i="12"/>
  <c r="J707" i="12"/>
  <c r="L707" i="12"/>
  <c r="J736" i="12"/>
  <c r="J704" i="12"/>
  <c r="L704" i="12"/>
  <c r="J718" i="12"/>
  <c r="L718" i="12"/>
  <c r="J734" i="12"/>
  <c r="J706" i="12"/>
  <c r="L706" i="12"/>
  <c r="J723" i="12"/>
  <c r="L723" i="12"/>
  <c r="J739" i="12"/>
  <c r="L739" i="12"/>
  <c r="J740" i="12"/>
  <c r="L729" i="12"/>
  <c r="J729" i="12"/>
  <c r="J708" i="12"/>
  <c r="L708" i="12"/>
  <c r="J713" i="12"/>
  <c r="L713" i="12"/>
  <c r="J745" i="12"/>
  <c r="J724" i="12"/>
  <c r="L724" i="12"/>
  <c r="J641" i="12"/>
  <c r="L641" i="12"/>
  <c r="J655" i="12"/>
  <c r="L655" i="12"/>
  <c r="J671" i="12"/>
  <c r="L671" i="12"/>
  <c r="L685" i="12"/>
  <c r="J685" i="12"/>
  <c r="J664" i="12"/>
  <c r="L664" i="12"/>
  <c r="J680" i="12"/>
  <c r="L680" i="12"/>
  <c r="J695" i="12"/>
  <c r="J653" i="12"/>
  <c r="L653" i="12"/>
  <c r="L698" i="12"/>
  <c r="J698" i="12"/>
  <c r="J669" i="12"/>
  <c r="L669" i="12"/>
  <c r="L700" i="12"/>
  <c r="J700" i="12"/>
  <c r="J699" i="12"/>
  <c r="J652" i="12"/>
  <c r="L652" i="12"/>
  <c r="J701" i="12"/>
  <c r="J686" i="12"/>
  <c r="L642" i="12"/>
  <c r="J642" i="12"/>
  <c r="J659" i="12"/>
  <c r="J668" i="12"/>
  <c r="L668" i="12"/>
  <c r="J673" i="12"/>
  <c r="L703" i="12"/>
  <c r="J703" i="12"/>
  <c r="J658" i="12"/>
  <c r="L658" i="12"/>
  <c r="J675" i="12"/>
  <c r="J657" i="12"/>
  <c r="L657" i="12"/>
  <c r="J674" i="12"/>
  <c r="L672" i="12"/>
  <c r="J672" i="12"/>
  <c r="L688" i="12"/>
  <c r="J688" i="12"/>
  <c r="J678" i="12"/>
  <c r="L678" i="12"/>
  <c r="J647" i="12"/>
  <c r="J644" i="12"/>
  <c r="L644" i="12"/>
  <c r="J661" i="12"/>
  <c r="L661" i="12"/>
  <c r="J677" i="12"/>
  <c r="L677" i="12"/>
  <c r="J646" i="12"/>
  <c r="J663" i="12"/>
  <c r="L663" i="12"/>
  <c r="J643" i="12"/>
  <c r="L643" i="12"/>
  <c r="J656" i="12"/>
  <c r="L656" i="12"/>
  <c r="L684" i="12"/>
  <c r="J684" i="12"/>
  <c r="J645" i="12"/>
  <c r="L645" i="12"/>
  <c r="L691" i="12"/>
  <c r="J691" i="12"/>
  <c r="J662" i="12"/>
  <c r="L662" i="12"/>
  <c r="J666" i="12"/>
  <c r="J682" i="12"/>
  <c r="J683" i="12"/>
  <c r="L683" i="12"/>
  <c r="J676" i="12"/>
  <c r="L676" i="12"/>
  <c r="J665" i="12"/>
  <c r="L665" i="12"/>
  <c r="L694" i="12"/>
  <c r="J694" i="12"/>
  <c r="J650" i="12"/>
  <c r="J651" i="12"/>
  <c r="L651" i="12"/>
  <c r="J689" i="12"/>
  <c r="J681" i="12"/>
  <c r="J679" i="12"/>
  <c r="L679" i="12"/>
  <c r="L660" i="12"/>
  <c r="J660" i="12"/>
  <c r="J667" i="12"/>
  <c r="L667" i="12"/>
  <c r="J648" i="12"/>
  <c r="L648" i="12"/>
  <c r="L692" i="12"/>
  <c r="J692" i="12"/>
  <c r="J649" i="12"/>
  <c r="L649" i="12"/>
  <c r="L697" i="12"/>
  <c r="J697" i="12"/>
  <c r="J654" i="12"/>
  <c r="J670" i="12"/>
  <c r="L670" i="12"/>
  <c r="J633" i="12"/>
  <c r="J635" i="12"/>
  <c r="J638" i="12"/>
  <c r="J636" i="12"/>
  <c r="J634" i="12"/>
  <c r="L640" i="12"/>
  <c r="J640" i="12"/>
  <c r="J632" i="12"/>
  <c r="L639" i="12"/>
  <c r="J639" i="12"/>
  <c r="J637" i="12"/>
  <c r="J163" i="11"/>
  <c r="L730" i="11"/>
  <c r="L714" i="11"/>
  <c r="L360" i="12"/>
  <c r="L561" i="11"/>
  <c r="J523" i="11"/>
  <c r="J555" i="11"/>
  <c r="J318" i="12"/>
  <c r="L324" i="12"/>
  <c r="L624" i="12"/>
  <c r="J624" i="12"/>
  <c r="J626" i="12"/>
  <c r="J629" i="12"/>
  <c r="L629" i="12"/>
  <c r="J627" i="12"/>
  <c r="L627" i="12"/>
  <c r="J625" i="12"/>
  <c r="L625" i="12"/>
  <c r="L631" i="12"/>
  <c r="J631" i="12"/>
  <c r="J623" i="12"/>
  <c r="J630" i="12"/>
  <c r="J628" i="12"/>
  <c r="J587" i="12"/>
  <c r="L587" i="12"/>
  <c r="J601" i="12"/>
  <c r="L601" i="12"/>
  <c r="J617" i="12"/>
  <c r="J598" i="12"/>
  <c r="L598" i="12"/>
  <c r="J591" i="12"/>
  <c r="J592" i="12"/>
  <c r="J608" i="12"/>
  <c r="J614" i="12"/>
  <c r="J607" i="12"/>
  <c r="L607" i="12"/>
  <c r="L588" i="12"/>
  <c r="J588" i="12"/>
  <c r="J605" i="12"/>
  <c r="L605" i="12"/>
  <c r="J618" i="12"/>
  <c r="J611" i="12"/>
  <c r="J612" i="12"/>
  <c r="J621" i="12"/>
  <c r="J596" i="12"/>
  <c r="J602" i="12"/>
  <c r="J595" i="12"/>
  <c r="L595" i="12"/>
  <c r="J593" i="12"/>
  <c r="L593" i="12"/>
  <c r="J589" i="12"/>
  <c r="L589" i="12"/>
  <c r="J606" i="12"/>
  <c r="L606" i="12"/>
  <c r="J622" i="12"/>
  <c r="L622" i="12"/>
  <c r="J599" i="12"/>
  <c r="L600" i="12"/>
  <c r="J600" i="12"/>
  <c r="J609" i="12"/>
  <c r="L609" i="12"/>
  <c r="J615" i="12"/>
  <c r="L615" i="12"/>
  <c r="J616" i="12"/>
  <c r="L616" i="12"/>
  <c r="J613" i="12"/>
  <c r="L613" i="12"/>
  <c r="J594" i="12"/>
  <c r="L594" i="12"/>
  <c r="J610" i="12"/>
  <c r="L610" i="12"/>
  <c r="J597" i="12"/>
  <c r="L597" i="12"/>
  <c r="J603" i="12"/>
  <c r="L603" i="12"/>
  <c r="J604" i="12"/>
  <c r="L604" i="12"/>
  <c r="J620" i="12"/>
  <c r="L620" i="12"/>
  <c r="J590" i="12"/>
  <c r="L590" i="12"/>
  <c r="J619" i="12"/>
  <c r="L619" i="12"/>
  <c r="L543" i="12"/>
  <c r="J543" i="12"/>
  <c r="J560" i="12"/>
  <c r="J549" i="12"/>
  <c r="L549" i="12"/>
  <c r="J565" i="12"/>
  <c r="J566" i="12"/>
  <c r="L566" i="12"/>
  <c r="L555" i="12"/>
  <c r="J555" i="12"/>
  <c r="J574" i="12"/>
  <c r="J582" i="12"/>
  <c r="J571" i="12"/>
  <c r="L571" i="12"/>
  <c r="J548" i="12"/>
  <c r="L548" i="12"/>
  <c r="J580" i="12"/>
  <c r="L580" i="12"/>
  <c r="J553" i="12"/>
  <c r="L553" i="12"/>
  <c r="J585" i="12"/>
  <c r="J554" i="12"/>
  <c r="L554" i="12"/>
  <c r="L586" i="12"/>
  <c r="J586" i="12"/>
  <c r="J575" i="12"/>
  <c r="J564" i="12"/>
  <c r="J570" i="12"/>
  <c r="L570" i="12"/>
  <c r="J559" i="12"/>
  <c r="L559" i="12"/>
  <c r="J557" i="12"/>
  <c r="L557" i="12"/>
  <c r="J576" i="12"/>
  <c r="J550" i="12"/>
  <c r="J569" i="12"/>
  <c r="L569" i="12"/>
  <c r="J581" i="12"/>
  <c r="J568" i="12"/>
  <c r="L568" i="12"/>
  <c r="J584" i="12"/>
  <c r="J573" i="12"/>
  <c r="L579" i="12"/>
  <c r="J579" i="12"/>
  <c r="J552" i="12"/>
  <c r="L552" i="12"/>
  <c r="J558" i="12"/>
  <c r="J547" i="12"/>
  <c r="J563" i="12"/>
  <c r="L563" i="12"/>
  <c r="J542" i="12"/>
  <c r="J556" i="12"/>
  <c r="J572" i="12"/>
  <c r="J544" i="12"/>
  <c r="L544" i="12"/>
  <c r="J561" i="12"/>
  <c r="L561" i="12"/>
  <c r="J577" i="12"/>
  <c r="L577" i="12"/>
  <c r="J567" i="12"/>
  <c r="J546" i="12"/>
  <c r="L546" i="12"/>
  <c r="J578" i="12"/>
  <c r="J551" i="12"/>
  <c r="L551" i="12"/>
  <c r="J583" i="12"/>
  <c r="J545" i="12"/>
  <c r="L545" i="12"/>
  <c r="J562" i="12"/>
  <c r="L562" i="12"/>
  <c r="L505" i="12"/>
  <c r="J505" i="12"/>
  <c r="J520" i="12"/>
  <c r="J485" i="12"/>
  <c r="L485" i="12"/>
  <c r="L487" i="12"/>
  <c r="J487" i="12"/>
  <c r="J519" i="12"/>
  <c r="L478" i="12"/>
  <c r="J478" i="12"/>
  <c r="J502" i="12"/>
  <c r="L482" i="12"/>
  <c r="J482" i="12"/>
  <c r="L489" i="12"/>
  <c r="J489" i="12"/>
  <c r="L541" i="12"/>
  <c r="J541" i="12"/>
  <c r="L472" i="12"/>
  <c r="J472" i="12"/>
  <c r="L499" i="12"/>
  <c r="J499" i="12"/>
  <c r="J527" i="12"/>
  <c r="L506" i="12"/>
  <c r="J506" i="12"/>
  <c r="J497" i="12"/>
  <c r="L497" i="12"/>
  <c r="L536" i="12"/>
  <c r="J536" i="12"/>
  <c r="J540" i="12"/>
  <c r="J461" i="12"/>
  <c r="L511" i="12"/>
  <c r="J511" i="12"/>
  <c r="L531" i="12"/>
  <c r="J531" i="12"/>
  <c r="J486" i="12"/>
  <c r="J510" i="12"/>
  <c r="J501" i="12"/>
  <c r="L468" i="12"/>
  <c r="J468" i="12"/>
  <c r="L488" i="12"/>
  <c r="J488" i="12"/>
  <c r="J523" i="12"/>
  <c r="J539" i="12"/>
  <c r="L490" i="12"/>
  <c r="J490" i="12"/>
  <c r="L514" i="12"/>
  <c r="J514" i="12"/>
  <c r="J509" i="12"/>
  <c r="L524" i="12"/>
  <c r="J524" i="12"/>
  <c r="L535" i="12"/>
  <c r="J535" i="12"/>
  <c r="J475" i="12"/>
  <c r="L513" i="12"/>
  <c r="J513" i="12"/>
  <c r="L463" i="12"/>
  <c r="J463" i="12"/>
  <c r="J479" i="12"/>
  <c r="L462" i="12"/>
  <c r="J462" i="12"/>
  <c r="L522" i="12"/>
  <c r="J522" i="12"/>
  <c r="L534" i="12"/>
  <c r="J534" i="12"/>
  <c r="L517" i="12"/>
  <c r="J517" i="12"/>
  <c r="J521" i="12"/>
  <c r="L521" i="12"/>
  <c r="J474" i="12"/>
  <c r="J466" i="12"/>
  <c r="J483" i="12"/>
  <c r="L526" i="12"/>
  <c r="J526" i="12"/>
  <c r="J538" i="12"/>
  <c r="J529" i="12"/>
  <c r="L525" i="12"/>
  <c r="J525" i="12"/>
  <c r="L498" i="12"/>
  <c r="J498" i="12"/>
  <c r="J491" i="12"/>
  <c r="L494" i="12"/>
  <c r="J494" i="12"/>
  <c r="J533" i="12"/>
  <c r="L492" i="12"/>
  <c r="J492" i="12"/>
  <c r="L495" i="12"/>
  <c r="J495" i="12"/>
  <c r="L530" i="12"/>
  <c r="J530" i="12"/>
  <c r="L518" i="12"/>
  <c r="J518" i="12"/>
  <c r="J537" i="12"/>
  <c r="L496" i="12"/>
  <c r="J496" i="12"/>
  <c r="L470" i="12"/>
  <c r="J470" i="12"/>
  <c r="J503" i="12"/>
  <c r="J467" i="12"/>
  <c r="J465" i="12"/>
  <c r="L465" i="12"/>
  <c r="J473" i="12"/>
  <c r="L473" i="12"/>
  <c r="L481" i="12"/>
  <c r="J481" i="12"/>
  <c r="J515" i="12"/>
  <c r="J512" i="12"/>
  <c r="L507" i="12"/>
  <c r="J507" i="12"/>
  <c r="J477" i="12"/>
  <c r="J493" i="12"/>
  <c r="L516" i="12"/>
  <c r="J516" i="12"/>
  <c r="J459" i="12"/>
  <c r="J457" i="12"/>
  <c r="J453" i="12"/>
  <c r="J455" i="12"/>
  <c r="J454" i="12"/>
  <c r="J456" i="12"/>
  <c r="L456" i="12"/>
  <c r="J452" i="12"/>
  <c r="J458" i="12"/>
  <c r="J460" i="12"/>
  <c r="L536" i="11"/>
  <c r="J238" i="12"/>
  <c r="L333" i="12"/>
  <c r="J351" i="12"/>
  <c r="J380" i="11"/>
  <c r="L560" i="11"/>
  <c r="L924" i="10"/>
  <c r="J1110" i="10"/>
  <c r="J403" i="11"/>
  <c r="J142" i="12"/>
  <c r="J244" i="12"/>
  <c r="J593" i="11"/>
  <c r="L352" i="12"/>
  <c r="J739" i="11"/>
  <c r="L342" i="12"/>
  <c r="L772" i="11"/>
  <c r="J293" i="11"/>
  <c r="J784" i="11"/>
  <c r="J168" i="11"/>
  <c r="J487" i="10"/>
  <c r="L934" i="10"/>
  <c r="L608" i="11"/>
  <c r="J625" i="11"/>
  <c r="L744" i="11"/>
  <c r="J448" i="12"/>
  <c r="J446" i="12"/>
  <c r="L444" i="12"/>
  <c r="J444" i="12"/>
  <c r="J450" i="12"/>
  <c r="J449" i="12"/>
  <c r="J447" i="12"/>
  <c r="J443" i="12"/>
  <c r="L443" i="12"/>
  <c r="L451" i="12"/>
  <c r="J451" i="12"/>
  <c r="J445" i="12"/>
  <c r="L445" i="12"/>
  <c r="J388" i="12"/>
  <c r="L414" i="12"/>
  <c r="J414" i="12"/>
  <c r="L407" i="12"/>
  <c r="J407" i="12"/>
  <c r="J425" i="12"/>
  <c r="L391" i="12"/>
  <c r="J391" i="12"/>
  <c r="L372" i="12"/>
  <c r="J372" i="12"/>
  <c r="J417" i="12"/>
  <c r="J382" i="12"/>
  <c r="L382" i="12"/>
  <c r="J393" i="12"/>
  <c r="J381" i="12"/>
  <c r="L381" i="12"/>
  <c r="J420" i="12"/>
  <c r="J396" i="12"/>
  <c r="J410" i="12"/>
  <c r="L428" i="12"/>
  <c r="J428" i="12"/>
  <c r="J376" i="12"/>
  <c r="L376" i="12"/>
  <c r="J395" i="12"/>
  <c r="L423" i="12"/>
  <c r="J423" i="12"/>
  <c r="J387" i="12"/>
  <c r="L387" i="12"/>
  <c r="J394" i="12"/>
  <c r="J385" i="12"/>
  <c r="J373" i="12"/>
  <c r="L373" i="12"/>
  <c r="L426" i="12"/>
  <c r="J426" i="12"/>
  <c r="J413" i="12"/>
  <c r="L431" i="12"/>
  <c r="J431" i="12"/>
  <c r="L429" i="12"/>
  <c r="J429" i="12"/>
  <c r="J380" i="12"/>
  <c r="L432" i="12"/>
  <c r="J432" i="12"/>
  <c r="J386" i="12"/>
  <c r="J416" i="12"/>
  <c r="L434" i="12"/>
  <c r="J434" i="12"/>
  <c r="J375" i="12"/>
  <c r="J397" i="12"/>
  <c r="J389" i="12"/>
  <c r="L399" i="12"/>
  <c r="J399" i="12"/>
  <c r="L435" i="12"/>
  <c r="J435" i="12"/>
  <c r="J390" i="12"/>
  <c r="L390" i="12"/>
  <c r="J384" i="12"/>
  <c r="L402" i="12"/>
  <c r="J402" i="12"/>
  <c r="J438" i="12"/>
  <c r="J401" i="12"/>
  <c r="J419" i="12"/>
  <c r="J437" i="12"/>
  <c r="L405" i="12"/>
  <c r="J405" i="12"/>
  <c r="L441" i="12"/>
  <c r="J441" i="12"/>
  <c r="J374" i="12"/>
  <c r="J377" i="12"/>
  <c r="L377" i="12"/>
  <c r="L408" i="12"/>
  <c r="J408" i="12"/>
  <c r="J378" i="12"/>
  <c r="L378" i="12"/>
  <c r="J404" i="12"/>
  <c r="J422" i="12"/>
  <c r="J440" i="12"/>
  <c r="J379" i="12"/>
  <c r="J371" i="12"/>
  <c r="J411" i="12"/>
  <c r="J383" i="12"/>
  <c r="J363" i="12"/>
  <c r="J365" i="12"/>
  <c r="J368" i="12"/>
  <c r="J366" i="12"/>
  <c r="L370" i="12"/>
  <c r="J370" i="12"/>
  <c r="J364" i="12"/>
  <c r="L364" i="12"/>
  <c r="J362" i="12"/>
  <c r="J369" i="12"/>
  <c r="J367" i="12"/>
  <c r="J435" i="10"/>
  <c r="L216" i="11"/>
  <c r="J527" i="11"/>
  <c r="J354" i="12"/>
  <c r="J355" i="12"/>
  <c r="L400" i="11"/>
  <c r="J390" i="11"/>
  <c r="J535" i="11"/>
  <c r="L406" i="11"/>
  <c r="J483" i="11"/>
  <c r="J1001" i="10"/>
  <c r="L448" i="11"/>
  <c r="J478" i="11"/>
  <c r="J499" i="11"/>
  <c r="J742" i="11"/>
  <c r="J748" i="11"/>
  <c r="J617" i="11"/>
  <c r="L312" i="12"/>
  <c r="J781" i="11"/>
  <c r="L281" i="11"/>
  <c r="J966" i="10"/>
  <c r="J349" i="11"/>
  <c r="L523" i="11"/>
  <c r="L527" i="11"/>
  <c r="L339" i="12"/>
  <c r="L308" i="12"/>
  <c r="L326" i="12"/>
  <c r="L344" i="12"/>
  <c r="L310" i="12"/>
  <c r="L328" i="12"/>
  <c r="L346" i="12"/>
  <c r="L330" i="12"/>
  <c r="L311" i="12"/>
  <c r="L329" i="12"/>
  <c r="L347" i="12"/>
  <c r="L313" i="12"/>
  <c r="L331" i="12"/>
  <c r="L314" i="12"/>
  <c r="L332" i="12"/>
  <c r="L316" i="12"/>
  <c r="L334" i="12"/>
  <c r="L336" i="12"/>
  <c r="L354" i="12"/>
  <c r="L335" i="12"/>
  <c r="L353" i="12"/>
  <c r="L319" i="12"/>
  <c r="L337" i="12"/>
  <c r="L355" i="12"/>
  <c r="L320" i="12"/>
  <c r="L338" i="12"/>
  <c r="L356" i="12"/>
  <c r="L340" i="12"/>
  <c r="L358" i="12"/>
  <c r="L341" i="12"/>
  <c r="L359" i="12"/>
  <c r="L325" i="12"/>
  <c r="L343" i="12"/>
  <c r="L361" i="12"/>
  <c r="J300" i="12"/>
  <c r="L306" i="12"/>
  <c r="J306" i="12"/>
  <c r="J295" i="12"/>
  <c r="J268" i="12"/>
  <c r="J273" i="12"/>
  <c r="J274" i="12"/>
  <c r="J290" i="12"/>
  <c r="J279" i="12"/>
  <c r="J284" i="12"/>
  <c r="J289" i="12"/>
  <c r="L289" i="12"/>
  <c r="J305" i="12"/>
  <c r="J288" i="12"/>
  <c r="J304" i="12"/>
  <c r="J293" i="12"/>
  <c r="J265" i="12"/>
  <c r="J294" i="12"/>
  <c r="J283" i="12"/>
  <c r="J299" i="12"/>
  <c r="L299" i="12"/>
  <c r="J278" i="12"/>
  <c r="L278" i="12"/>
  <c r="J267" i="12"/>
  <c r="J272" i="12"/>
  <c r="J277" i="12"/>
  <c r="J276" i="12"/>
  <c r="J292" i="12"/>
  <c r="J264" i="12"/>
  <c r="J281" i="12"/>
  <c r="J282" i="12"/>
  <c r="J271" i="12"/>
  <c r="L271" i="12"/>
  <c r="J287" i="12"/>
  <c r="J297" i="12"/>
  <c r="J298" i="12"/>
  <c r="J266" i="12"/>
  <c r="J303" i="12"/>
  <c r="J263" i="12"/>
  <c r="J280" i="12"/>
  <c r="J269" i="12"/>
  <c r="L269" i="12"/>
  <c r="J270" i="12"/>
  <c r="J302" i="12"/>
  <c r="J275" i="12"/>
  <c r="J285" i="12"/>
  <c r="J286" i="12"/>
  <c r="J291" i="12"/>
  <c r="L291" i="12"/>
  <c r="J307" i="12"/>
  <c r="J296" i="12"/>
  <c r="L301" i="12"/>
  <c r="J301" i="12"/>
  <c r="J148" i="12"/>
  <c r="J228" i="12"/>
  <c r="J261" i="12"/>
  <c r="J221" i="12"/>
  <c r="L208" i="12"/>
  <c r="J208" i="12"/>
  <c r="J259" i="12"/>
  <c r="J222" i="12"/>
  <c r="J246" i="12"/>
  <c r="L181" i="12"/>
  <c r="J181" i="12"/>
  <c r="J166" i="12"/>
  <c r="J158" i="12"/>
  <c r="J184" i="12"/>
  <c r="J173" i="12"/>
  <c r="J243" i="12"/>
  <c r="J234" i="12"/>
  <c r="L234" i="12"/>
  <c r="J189" i="12"/>
  <c r="J230" i="12"/>
  <c r="J151" i="12"/>
  <c r="J170" i="12"/>
  <c r="J156" i="12"/>
  <c r="L217" i="12"/>
  <c r="J217" i="12"/>
  <c r="J157" i="12"/>
  <c r="L154" i="12"/>
  <c r="J154" i="12"/>
  <c r="L190" i="12"/>
  <c r="J190" i="12"/>
  <c r="J241" i="12"/>
  <c r="J239" i="12"/>
  <c r="J141" i="12"/>
  <c r="J143" i="12"/>
  <c r="J225" i="12"/>
  <c r="J185" i="12"/>
  <c r="J172" i="12"/>
  <c r="J178" i="12"/>
  <c r="J193" i="12"/>
  <c r="J240" i="12"/>
  <c r="J254" i="12"/>
  <c r="J251" i="12"/>
  <c r="L147" i="12"/>
  <c r="J146" i="12"/>
  <c r="J155" i="12"/>
  <c r="J223" i="12"/>
  <c r="J165" i="12"/>
  <c r="J245" i="12"/>
  <c r="J237" i="12"/>
  <c r="L237" i="12"/>
  <c r="L198" i="12"/>
  <c r="J198" i="12"/>
  <c r="L149" i="12"/>
  <c r="J149" i="12"/>
  <c r="J161" i="12"/>
  <c r="J196" i="12"/>
  <c r="J183" i="12"/>
  <c r="J258" i="12"/>
  <c r="J159" i="12"/>
  <c r="J152" i="12"/>
  <c r="J202" i="12"/>
  <c r="J160" i="12"/>
  <c r="J247" i="12"/>
  <c r="L247" i="12"/>
  <c r="J233" i="12"/>
  <c r="L204" i="12"/>
  <c r="J204" i="12"/>
  <c r="J186" i="12"/>
  <c r="J257" i="12"/>
  <c r="L174" i="12"/>
  <c r="J174" i="12"/>
  <c r="J171" i="12"/>
  <c r="L205" i="12"/>
  <c r="J200" i="12"/>
  <c r="J262" i="12"/>
  <c r="J214" i="12"/>
  <c r="J252" i="12"/>
  <c r="J137" i="12"/>
  <c r="J229" i="12"/>
  <c r="J253" i="12"/>
  <c r="L145" i="12"/>
  <c r="J145" i="12"/>
  <c r="J177" i="12"/>
  <c r="J211" i="12"/>
  <c r="L195" i="12"/>
  <c r="J195" i="12"/>
  <c r="L255" i="12"/>
  <c r="L167" i="12"/>
  <c r="J167" i="12"/>
  <c r="J169" i="12"/>
  <c r="J192" i="12"/>
  <c r="L180" i="12"/>
  <c r="J226" i="12"/>
  <c r="J138" i="12"/>
  <c r="L215" i="12"/>
  <c r="J210" i="12"/>
  <c r="L224" i="12"/>
  <c r="J218" i="12"/>
  <c r="J232" i="12"/>
  <c r="J256" i="12"/>
  <c r="J197" i="12"/>
  <c r="L162" i="12"/>
  <c r="J162" i="12"/>
  <c r="L182" i="12"/>
  <c r="J182" i="12"/>
  <c r="J231" i="12"/>
  <c r="J191" i="12"/>
  <c r="J179" i="12"/>
  <c r="L235" i="12"/>
  <c r="J206" i="12"/>
  <c r="L938" i="10"/>
  <c r="J133" i="11"/>
  <c r="J733" i="11"/>
  <c r="J138" i="11"/>
  <c r="J258" i="11"/>
  <c r="L616" i="11"/>
  <c r="L721" i="11"/>
  <c r="J721" i="11"/>
  <c r="L423" i="10"/>
  <c r="J857" i="10"/>
  <c r="J450" i="11"/>
  <c r="L793" i="11"/>
  <c r="J793" i="11"/>
  <c r="J346" i="11"/>
  <c r="J965" i="10"/>
  <c r="J186" i="11"/>
  <c r="J799" i="11"/>
  <c r="J702" i="11"/>
  <c r="J707" i="11"/>
  <c r="J672" i="11"/>
  <c r="L672" i="11"/>
  <c r="J713" i="11"/>
  <c r="L713" i="11"/>
  <c r="J741" i="11"/>
  <c r="J755" i="11"/>
  <c r="J770" i="11"/>
  <c r="J750" i="11"/>
  <c r="J736" i="11"/>
  <c r="L668" i="11"/>
  <c r="J668" i="11"/>
  <c r="J675" i="11"/>
  <c r="L680" i="11"/>
  <c r="J680" i="11"/>
  <c r="J678" i="11"/>
  <c r="J723" i="11"/>
  <c r="J756" i="11"/>
  <c r="L756" i="11"/>
  <c r="J789" i="11"/>
  <c r="J791" i="11"/>
  <c r="J749" i="11"/>
  <c r="J765" i="11"/>
  <c r="J671" i="11"/>
  <c r="L712" i="11"/>
  <c r="J712" i="11"/>
  <c r="J677" i="11"/>
  <c r="J763" i="11"/>
  <c r="J773" i="11"/>
  <c r="J766" i="11"/>
  <c r="J760" i="11"/>
  <c r="L760" i="11"/>
  <c r="L801" i="11"/>
  <c r="J801" i="11"/>
  <c r="L688" i="11"/>
  <c r="J688" i="11"/>
  <c r="J669" i="11"/>
  <c r="L686" i="11"/>
  <c r="J686" i="11"/>
  <c r="J706" i="11"/>
  <c r="L697" i="11"/>
  <c r="J697" i="11"/>
  <c r="J738" i="11"/>
  <c r="L738" i="11"/>
  <c r="L720" i="11"/>
  <c r="J720" i="11"/>
  <c r="J724" i="11"/>
  <c r="J727" i="11"/>
  <c r="J746" i="11"/>
  <c r="J779" i="11"/>
  <c r="J764" i="11"/>
  <c r="J783" i="11"/>
  <c r="J800" i="11"/>
  <c r="J798" i="11"/>
  <c r="J667" i="11"/>
  <c r="L676" i="11"/>
  <c r="J676" i="11"/>
  <c r="J698" i="11"/>
  <c r="J785" i="11"/>
  <c r="L785" i="11"/>
  <c r="J752" i="11"/>
  <c r="L752" i="11"/>
  <c r="J679" i="11"/>
  <c r="L704" i="11"/>
  <c r="J704" i="11"/>
  <c r="L708" i="11"/>
  <c r="J708" i="11"/>
  <c r="J743" i="11"/>
  <c r="L768" i="11"/>
  <c r="J768" i="11"/>
  <c r="J797" i="11"/>
  <c r="J771" i="11"/>
  <c r="J753" i="11"/>
  <c r="L753" i="11"/>
  <c r="J778" i="11"/>
  <c r="L682" i="11"/>
  <c r="J682" i="11"/>
  <c r="J690" i="11"/>
  <c r="J703" i="11"/>
  <c r="J725" i="11"/>
  <c r="L715" i="11"/>
  <c r="J715" i="11"/>
  <c r="J747" i="11"/>
  <c r="J731" i="11"/>
  <c r="J767" i="11"/>
  <c r="J775" i="11"/>
  <c r="J666" i="11"/>
  <c r="J691" i="11"/>
  <c r="J700" i="11"/>
  <c r="L685" i="11"/>
  <c r="J685" i="11"/>
  <c r="L705" i="11"/>
  <c r="J705" i="11"/>
  <c r="J729" i="11"/>
  <c r="L729" i="11"/>
  <c r="J737" i="11"/>
  <c r="L737" i="11"/>
  <c r="J758" i="11"/>
  <c r="J782" i="11"/>
  <c r="L782" i="11"/>
  <c r="L740" i="11"/>
  <c r="J740" i="11"/>
  <c r="J776" i="11"/>
  <c r="L776" i="11"/>
  <c r="J794" i="11"/>
  <c r="L794" i="11"/>
  <c r="J761" i="11"/>
  <c r="L761" i="11"/>
  <c r="L792" i="11"/>
  <c r="J792" i="11"/>
  <c r="J790" i="11"/>
  <c r="J692" i="11"/>
  <c r="J699" i="11"/>
  <c r="J696" i="11"/>
  <c r="L696" i="11"/>
  <c r="J751" i="11"/>
  <c r="L751" i="11"/>
  <c r="J787" i="11"/>
  <c r="J684" i="11"/>
  <c r="L684" i="11"/>
  <c r="L710" i="11"/>
  <c r="J710" i="11"/>
  <c r="L694" i="11"/>
  <c r="J694" i="11"/>
  <c r="J735" i="11"/>
  <c r="J726" i="11"/>
  <c r="L726" i="11"/>
  <c r="L719" i="11"/>
  <c r="J719" i="11"/>
  <c r="L734" i="11"/>
  <c r="J734" i="11"/>
  <c r="J788" i="11"/>
  <c r="L788" i="11"/>
  <c r="J777" i="11"/>
  <c r="L777" i="11"/>
  <c r="J796" i="11"/>
  <c r="J664" i="11"/>
  <c r="J663" i="11"/>
  <c r="L663" i="11"/>
  <c r="J658" i="11"/>
  <c r="J661" i="11"/>
  <c r="J659" i="11"/>
  <c r="L665" i="11"/>
  <c r="J665" i="11"/>
  <c r="J660" i="11"/>
  <c r="J662" i="11"/>
  <c r="L662" i="11"/>
  <c r="J833" i="10"/>
  <c r="J265" i="11"/>
  <c r="J442" i="11"/>
  <c r="J460" i="11"/>
  <c r="J612" i="11"/>
  <c r="L628" i="11"/>
  <c r="L1118" i="10"/>
  <c r="J271" i="11"/>
  <c r="J717" i="10"/>
  <c r="L522" i="11"/>
  <c r="J578" i="11"/>
  <c r="J657" i="11"/>
  <c r="L657" i="11"/>
  <c r="J648" i="11"/>
  <c r="J643" i="11"/>
  <c r="J635" i="11"/>
  <c r="J652" i="11"/>
  <c r="L652" i="11"/>
  <c r="J647" i="11"/>
  <c r="L641" i="11"/>
  <c r="J641" i="11"/>
  <c r="J645" i="11"/>
  <c r="J650" i="11"/>
  <c r="J646" i="11"/>
  <c r="J637" i="11"/>
  <c r="J640" i="11"/>
  <c r="L640" i="11"/>
  <c r="L654" i="11"/>
  <c r="J654" i="11"/>
  <c r="J651" i="11"/>
  <c r="J649" i="11"/>
  <c r="J638" i="11"/>
  <c r="L638" i="11"/>
  <c r="J634" i="11"/>
  <c r="L634" i="11"/>
  <c r="J656" i="11"/>
  <c r="J636" i="11"/>
  <c r="L636" i="11"/>
  <c r="J653" i="11"/>
  <c r="J642" i="11"/>
  <c r="L642" i="11"/>
  <c r="J655" i="11"/>
  <c r="J644" i="11"/>
  <c r="L644" i="11"/>
  <c r="J639" i="11"/>
  <c r="J624" i="11"/>
  <c r="L624" i="11"/>
  <c r="J618" i="11"/>
  <c r="L632" i="11"/>
  <c r="J632" i="11"/>
  <c r="J623" i="11"/>
  <c r="J597" i="11"/>
  <c r="J552" i="11"/>
  <c r="L552" i="11"/>
  <c r="J594" i="11"/>
  <c r="L508" i="11"/>
  <c r="J508" i="11"/>
  <c r="J503" i="11"/>
  <c r="L484" i="11"/>
  <c r="J484" i="11"/>
  <c r="L518" i="11"/>
  <c r="J518" i="11"/>
  <c r="L497" i="11"/>
  <c r="J497" i="11"/>
  <c r="J557" i="11"/>
  <c r="J606" i="11"/>
  <c r="J605" i="11"/>
  <c r="J629" i="11"/>
  <c r="J609" i="11"/>
  <c r="L609" i="11"/>
  <c r="L502" i="11"/>
  <c r="J502" i="11"/>
  <c r="J602" i="11"/>
  <c r="J485" i="11"/>
  <c r="J559" i="11"/>
  <c r="J540" i="11"/>
  <c r="J509" i="11"/>
  <c r="J572" i="11"/>
  <c r="L572" i="11"/>
  <c r="L486" i="11"/>
  <c r="J486" i="11"/>
  <c r="J530" i="11"/>
  <c r="J589" i="11"/>
  <c r="J600" i="11"/>
  <c r="L600" i="11"/>
  <c r="J584" i="11"/>
  <c r="L482" i="11"/>
  <c r="J482" i="11"/>
  <c r="L496" i="11"/>
  <c r="J496" i="11"/>
  <c r="J565" i="11"/>
  <c r="J581" i="11"/>
  <c r="J596" i="11"/>
  <c r="L596" i="11"/>
  <c r="J539" i="11"/>
  <c r="L633" i="11"/>
  <c r="J633" i="11"/>
  <c r="J627" i="11"/>
  <c r="J474" i="11"/>
  <c r="L474" i="11"/>
  <c r="L520" i="11"/>
  <c r="J520" i="11"/>
  <c r="J516" i="11"/>
  <c r="L516" i="11"/>
  <c r="J567" i="11"/>
  <c r="J573" i="11"/>
  <c r="J550" i="11"/>
  <c r="J620" i="11"/>
  <c r="L620" i="11"/>
  <c r="J614" i="11"/>
  <c r="L492" i="11"/>
  <c r="J492" i="11"/>
  <c r="J528" i="11"/>
  <c r="L528" i="11"/>
  <c r="J504" i="11"/>
  <c r="L504" i="11"/>
  <c r="J487" i="11"/>
  <c r="J532" i="11"/>
  <c r="J585" i="11"/>
  <c r="L585" i="11"/>
  <c r="J583" i="11"/>
  <c r="L583" i="11"/>
  <c r="L569" i="11"/>
  <c r="J569" i="11"/>
  <c r="J558" i="11"/>
  <c r="J568" i="11"/>
  <c r="L568" i="11"/>
  <c r="L513" i="11"/>
  <c r="J513" i="11"/>
  <c r="L542" i="11"/>
  <c r="J542" i="11"/>
  <c r="J591" i="11"/>
  <c r="J615" i="11"/>
  <c r="J564" i="11"/>
  <c r="L564" i="11"/>
  <c r="J621" i="11"/>
  <c r="J622" i="11"/>
  <c r="L476" i="11"/>
  <c r="J476" i="11"/>
  <c r="J480" i="11"/>
  <c r="L480" i="11"/>
  <c r="J517" i="11"/>
  <c r="J490" i="11"/>
  <c r="J538" i="11"/>
  <c r="J587" i="11"/>
  <c r="J601" i="11"/>
  <c r="L601" i="11"/>
  <c r="J580" i="11"/>
  <c r="L580" i="11"/>
  <c r="J576" i="11"/>
  <c r="L576" i="11"/>
  <c r="L494" i="11"/>
  <c r="J494" i="11"/>
  <c r="J533" i="11"/>
  <c r="J551" i="11"/>
  <c r="J515" i="11"/>
  <c r="J599" i="11"/>
  <c r="J630" i="11"/>
  <c r="J475" i="11"/>
  <c r="L481" i="11"/>
  <c r="J481" i="11"/>
  <c r="J493" i="11"/>
  <c r="J545" i="11"/>
  <c r="L506" i="11"/>
  <c r="J506" i="11"/>
  <c r="L544" i="11"/>
  <c r="J544" i="11"/>
  <c r="L521" i="11"/>
  <c r="J521" i="11"/>
  <c r="L603" i="11"/>
  <c r="J603" i="11"/>
  <c r="J575" i="11"/>
  <c r="J582" i="11"/>
  <c r="J588" i="11"/>
  <c r="L588" i="11"/>
  <c r="J574" i="11"/>
  <c r="L574" i="11"/>
  <c r="J626" i="11"/>
  <c r="L626" i="11"/>
  <c r="J466" i="11"/>
  <c r="L473" i="11"/>
  <c r="J473" i="11"/>
  <c r="J467" i="11"/>
  <c r="J469" i="11"/>
  <c r="J472" i="11"/>
  <c r="L472" i="11"/>
  <c r="J470" i="11"/>
  <c r="L470" i="11"/>
  <c r="J468" i="11"/>
  <c r="L468" i="11"/>
  <c r="J471" i="11"/>
  <c r="J225" i="11"/>
  <c r="L178" i="11"/>
  <c r="J204" i="11"/>
  <c r="L214" i="11"/>
  <c r="L240" i="11"/>
  <c r="J381" i="11"/>
  <c r="J354" i="11"/>
  <c r="J386" i="11"/>
  <c r="L417" i="10"/>
  <c r="J344" i="11"/>
  <c r="L344" i="11"/>
  <c r="L321" i="11"/>
  <c r="J321" i="11"/>
  <c r="J291" i="11"/>
  <c r="J317" i="11"/>
  <c r="J397" i="11"/>
  <c r="J378" i="11"/>
  <c r="J393" i="11"/>
  <c r="L393" i="11"/>
  <c r="L425" i="11"/>
  <c r="J425" i="11"/>
  <c r="J389" i="11"/>
  <c r="J446" i="11"/>
  <c r="J324" i="11"/>
  <c r="J339" i="11"/>
  <c r="J342" i="11"/>
  <c r="J405" i="11"/>
  <c r="J439" i="11"/>
  <c r="J383" i="11"/>
  <c r="L456" i="11"/>
  <c r="J456" i="11"/>
  <c r="J461" i="11"/>
  <c r="J414" i="11"/>
  <c r="J455" i="11"/>
  <c r="J415" i="11"/>
  <c r="J347" i="11"/>
  <c r="L298" i="11"/>
  <c r="J298" i="11"/>
  <c r="L336" i="11"/>
  <c r="J336" i="11"/>
  <c r="J310" i="11"/>
  <c r="J359" i="11"/>
  <c r="L369" i="11"/>
  <c r="J369" i="11"/>
  <c r="J398" i="11"/>
  <c r="L420" i="11"/>
  <c r="J420" i="11"/>
  <c r="L408" i="11"/>
  <c r="J408" i="11"/>
  <c r="J413" i="11"/>
  <c r="J451" i="11"/>
  <c r="J326" i="11"/>
  <c r="L326" i="11"/>
  <c r="L366" i="11"/>
  <c r="J366" i="11"/>
  <c r="J306" i="11"/>
  <c r="J362" i="11"/>
  <c r="J382" i="11"/>
  <c r="L382" i="11"/>
  <c r="J385" i="11"/>
  <c r="L385" i="11"/>
  <c r="J387" i="11"/>
  <c r="J422" i="11"/>
  <c r="L422" i="11"/>
  <c r="L449" i="11"/>
  <c r="J449" i="11"/>
  <c r="L300" i="11"/>
  <c r="J300" i="11"/>
  <c r="J356" i="11"/>
  <c r="L356" i="11"/>
  <c r="L301" i="11"/>
  <c r="J301" i="11"/>
  <c r="J338" i="11"/>
  <c r="J315" i="11"/>
  <c r="J358" i="11"/>
  <c r="J357" i="11"/>
  <c r="L384" i="11"/>
  <c r="J384" i="11"/>
  <c r="L412" i="11"/>
  <c r="J412" i="11"/>
  <c r="J394" i="11"/>
  <c r="L394" i="11"/>
  <c r="J399" i="11"/>
  <c r="L438" i="11"/>
  <c r="J438" i="11"/>
  <c r="J457" i="11"/>
  <c r="L457" i="11"/>
  <c r="J423" i="11"/>
  <c r="J465" i="11"/>
  <c r="J302" i="11"/>
  <c r="L302" i="11"/>
  <c r="J311" i="11"/>
  <c r="J353" i="11"/>
  <c r="L312" i="11"/>
  <c r="J312" i="11"/>
  <c r="J303" i="11"/>
  <c r="J308" i="11"/>
  <c r="L308" i="11"/>
  <c r="J361" i="11"/>
  <c r="L361" i="11"/>
  <c r="L372" i="11"/>
  <c r="J372" i="11"/>
  <c r="J434" i="11"/>
  <c r="L434" i="11"/>
  <c r="J421" i="11"/>
  <c r="J427" i="11"/>
  <c r="J431" i="11"/>
  <c r="L428" i="11"/>
  <c r="J428" i="11"/>
  <c r="J419" i="11"/>
  <c r="L345" i="11"/>
  <c r="J345" i="11"/>
  <c r="J294" i="11"/>
  <c r="J374" i="11"/>
  <c r="J379" i="11"/>
  <c r="J462" i="11"/>
  <c r="J417" i="11"/>
  <c r="L417" i="11"/>
  <c r="J407" i="11"/>
  <c r="J452" i="11"/>
  <c r="J318" i="11"/>
  <c r="J314" i="11"/>
  <c r="J322" i="11"/>
  <c r="J370" i="11"/>
  <c r="L370" i="11"/>
  <c r="J463" i="11"/>
  <c r="J453" i="11"/>
  <c r="J426" i="11"/>
  <c r="L464" i="11"/>
  <c r="J464" i="11"/>
  <c r="L304" i="11"/>
  <c r="J304" i="11"/>
  <c r="J368" i="11"/>
  <c r="L330" i="11"/>
  <c r="J330" i="11"/>
  <c r="L360" i="11"/>
  <c r="J360" i="11"/>
  <c r="L392" i="11"/>
  <c r="J392" i="11"/>
  <c r="J443" i="11"/>
  <c r="L388" i="11"/>
  <c r="J388" i="11"/>
  <c r="J391" i="11"/>
  <c r="L436" i="11"/>
  <c r="J436" i="11"/>
  <c r="J458" i="11"/>
  <c r="L416" i="11"/>
  <c r="J416" i="11"/>
  <c r="J435" i="11"/>
  <c r="J440" i="11"/>
  <c r="L440" i="11"/>
  <c r="J309" i="11"/>
  <c r="J296" i="11"/>
  <c r="L296" i="11"/>
  <c r="J320" i="11"/>
  <c r="L328" i="11"/>
  <c r="J328" i="11"/>
  <c r="J327" i="11"/>
  <c r="L316" i="11"/>
  <c r="J316" i="11"/>
  <c r="J364" i="11"/>
  <c r="J373" i="11"/>
  <c r="J454" i="11"/>
  <c r="J432" i="11"/>
  <c r="J437" i="11"/>
  <c r="J433" i="11"/>
  <c r="L433" i="11"/>
  <c r="J376" i="11"/>
  <c r="L376" i="11"/>
  <c r="J410" i="11"/>
  <c r="J334" i="11"/>
  <c r="J333" i="11"/>
  <c r="J350" i="11"/>
  <c r="J355" i="11"/>
  <c r="L363" i="11"/>
  <c r="J363" i="11"/>
  <c r="L404" i="11"/>
  <c r="J404" i="11"/>
  <c r="J409" i="11"/>
  <c r="L409" i="11"/>
  <c r="L396" i="11"/>
  <c r="J396" i="11"/>
  <c r="J411" i="11"/>
  <c r="J351" i="11"/>
  <c r="J332" i="11"/>
  <c r="L424" i="11"/>
  <c r="J424" i="11"/>
  <c r="J282" i="11"/>
  <c r="J288" i="11"/>
  <c r="L288" i="11"/>
  <c r="L289" i="11"/>
  <c r="J289" i="11"/>
  <c r="J287" i="11"/>
  <c r="J283" i="11"/>
  <c r="J285" i="11"/>
  <c r="J284" i="11"/>
  <c r="J286" i="11"/>
  <c r="J936" i="10"/>
  <c r="J969" i="10"/>
  <c r="J228" i="11"/>
  <c r="L228" i="11"/>
  <c r="L951" i="10"/>
  <c r="J511" i="10"/>
  <c r="J411" i="10"/>
  <c r="J690" i="10"/>
  <c r="J1038" i="10"/>
  <c r="L795" i="10"/>
  <c r="L927" i="10"/>
  <c r="J953" i="10"/>
  <c r="L242" i="11"/>
  <c r="J242" i="11"/>
  <c r="J261" i="11"/>
  <c r="J263" i="11"/>
  <c r="L210" i="11"/>
  <c r="J210" i="11"/>
  <c r="L276" i="11"/>
  <c r="J276" i="11"/>
  <c r="L270" i="11"/>
  <c r="J270" i="11"/>
  <c r="J198" i="11"/>
  <c r="L252" i="11"/>
  <c r="J252" i="11"/>
  <c r="L134" i="11"/>
  <c r="J134" i="11"/>
  <c r="J208" i="11"/>
  <c r="L208" i="11"/>
  <c r="L206" i="11"/>
  <c r="J206" i="11"/>
  <c r="J231" i="11"/>
  <c r="L142" i="11"/>
  <c r="J142" i="11"/>
  <c r="L170" i="11"/>
  <c r="J170" i="11"/>
  <c r="J172" i="11"/>
  <c r="L172" i="11"/>
  <c r="L200" i="11"/>
  <c r="J200" i="11"/>
  <c r="J274" i="11"/>
  <c r="L238" i="11"/>
  <c r="J238" i="11"/>
  <c r="L153" i="11"/>
  <c r="J153" i="11"/>
  <c r="L188" i="11"/>
  <c r="J188" i="11"/>
  <c r="J202" i="11"/>
  <c r="L176" i="11"/>
  <c r="J176" i="11"/>
  <c r="J136" i="11"/>
  <c r="L136" i="11"/>
  <c r="J165" i="11"/>
  <c r="J159" i="11"/>
  <c r="J269" i="11"/>
  <c r="J219" i="11"/>
  <c r="J255" i="11"/>
  <c r="L177" i="11"/>
  <c r="J177" i="11"/>
  <c r="J227" i="11"/>
  <c r="L182" i="11"/>
  <c r="J182" i="11"/>
  <c r="J158" i="11"/>
  <c r="L166" i="11"/>
  <c r="J166" i="11"/>
  <c r="J272" i="11"/>
  <c r="J221" i="11"/>
  <c r="J131" i="11"/>
  <c r="J181" i="11"/>
  <c r="J175" i="11"/>
  <c r="J139" i="11"/>
  <c r="J199" i="11"/>
  <c r="L187" i="11"/>
  <c r="J187" i="11"/>
  <c r="J275" i="11"/>
  <c r="J279" i="11"/>
  <c r="L267" i="11"/>
  <c r="J267" i="11"/>
  <c r="L161" i="11"/>
  <c r="J161" i="11"/>
  <c r="J160" i="11"/>
  <c r="L160" i="11"/>
  <c r="J151" i="11"/>
  <c r="J211" i="11"/>
  <c r="J259" i="11"/>
  <c r="L259" i="11"/>
  <c r="J224" i="11"/>
  <c r="L224" i="11"/>
  <c r="J205" i="11"/>
  <c r="J143" i="11"/>
  <c r="L273" i="11"/>
  <c r="J273" i="11"/>
  <c r="J130" i="11"/>
  <c r="L130" i="11"/>
  <c r="L152" i="11"/>
  <c r="J152" i="11"/>
  <c r="L212" i="11"/>
  <c r="J212" i="11"/>
  <c r="J141" i="11"/>
  <c r="L146" i="11"/>
  <c r="J146" i="11"/>
  <c r="L180" i="11"/>
  <c r="J180" i="11"/>
  <c r="L150" i="11"/>
  <c r="J150" i="11"/>
  <c r="J266" i="11"/>
  <c r="J226" i="11"/>
  <c r="J280" i="11"/>
  <c r="J195" i="11"/>
  <c r="J147" i="11"/>
  <c r="J148" i="11"/>
  <c r="L148" i="11"/>
  <c r="J229" i="11"/>
  <c r="L137" i="11"/>
  <c r="J137" i="11"/>
  <c r="J169" i="11"/>
  <c r="J162" i="11"/>
  <c r="J268" i="11"/>
  <c r="L268" i="11"/>
  <c r="L154" i="11"/>
  <c r="J154" i="11"/>
  <c r="L201" i="11"/>
  <c r="J201" i="11"/>
  <c r="L234" i="11"/>
  <c r="J234" i="11"/>
  <c r="J207" i="11"/>
  <c r="L230" i="11"/>
  <c r="J230" i="11"/>
  <c r="J249" i="11"/>
  <c r="L249" i="11"/>
  <c r="L140" i="11"/>
  <c r="J140" i="11"/>
  <c r="L164" i="11"/>
  <c r="J164" i="11"/>
  <c r="J194" i="11"/>
  <c r="J190" i="11"/>
  <c r="L217" i="11"/>
  <c r="J217" i="11"/>
  <c r="J247" i="11"/>
  <c r="L233" i="11"/>
  <c r="J233" i="11"/>
  <c r="L192" i="11"/>
  <c r="J192" i="11"/>
  <c r="J213" i="11"/>
  <c r="L264" i="11"/>
  <c r="J264" i="11"/>
  <c r="L132" i="11"/>
  <c r="J132" i="11"/>
  <c r="J184" i="11"/>
  <c r="L184" i="11"/>
  <c r="J171" i="11"/>
  <c r="J222" i="11"/>
  <c r="L193" i="11"/>
  <c r="J193" i="11"/>
  <c r="L174" i="11"/>
  <c r="J174" i="11"/>
  <c r="L262" i="11"/>
  <c r="J262" i="11"/>
  <c r="L278" i="11"/>
  <c r="J278" i="11"/>
  <c r="J253" i="11"/>
  <c r="L218" i="11"/>
  <c r="J218" i="11"/>
  <c r="L122" i="11"/>
  <c r="J122" i="11"/>
  <c r="L129" i="11"/>
  <c r="J129" i="11"/>
  <c r="J123" i="11"/>
  <c r="J125" i="11"/>
  <c r="J128" i="11"/>
  <c r="L128" i="11"/>
  <c r="J126" i="11"/>
  <c r="L126" i="11"/>
  <c r="J124" i="11"/>
  <c r="L124" i="11"/>
  <c r="J127" i="11"/>
  <c r="J422" i="10"/>
  <c r="J765" i="10"/>
  <c r="J977" i="10"/>
  <c r="J500" i="10"/>
  <c r="L779" i="10"/>
  <c r="J784" i="10"/>
  <c r="L359" i="10"/>
  <c r="L333" i="10"/>
  <c r="J429" i="10"/>
  <c r="L1121" i="10"/>
  <c r="J1183" i="10"/>
  <c r="L1183" i="10"/>
  <c r="J1194" i="10"/>
  <c r="J1188" i="10"/>
  <c r="J1166" i="10"/>
  <c r="L1166" i="10"/>
  <c r="J1182" i="10"/>
  <c r="L1182" i="10"/>
  <c r="J1199" i="10"/>
  <c r="J1186" i="10"/>
  <c r="L1186" i="10"/>
  <c r="J1193" i="10"/>
  <c r="L1167" i="10"/>
  <c r="J1167" i="10"/>
  <c r="J1168" i="10"/>
  <c r="J1192" i="10"/>
  <c r="J1173" i="10"/>
  <c r="L1173" i="10"/>
  <c r="J1197" i="10"/>
  <c r="J1170" i="10"/>
  <c r="J1187" i="10"/>
  <c r="L1187" i="10"/>
  <c r="J1176" i="10"/>
  <c r="J1181" i="10"/>
  <c r="L1181" i="10"/>
  <c r="J1178" i="10"/>
  <c r="L1178" i="10"/>
  <c r="J1191" i="10"/>
  <c r="J1172" i="10"/>
  <c r="J1180" i="10"/>
  <c r="J1196" i="10"/>
  <c r="J1190" i="10"/>
  <c r="L1190" i="10"/>
  <c r="J1185" i="10"/>
  <c r="J1201" i="10"/>
  <c r="L1201" i="10"/>
  <c r="J1175" i="10"/>
  <c r="J1177" i="10"/>
  <c r="L1177" i="10"/>
  <c r="L1179" i="10"/>
  <c r="J1179" i="10"/>
  <c r="J1184" i="10"/>
  <c r="J1189" i="10"/>
  <c r="L1189" i="10"/>
  <c r="J1171" i="10"/>
  <c r="L1171" i="10"/>
  <c r="J1195" i="10"/>
  <c r="L1195" i="10"/>
  <c r="J1200" i="10"/>
  <c r="L1200" i="10"/>
  <c r="J1174" i="10"/>
  <c r="L1174" i="10"/>
  <c r="J1169" i="10"/>
  <c r="L1169" i="10"/>
  <c r="J1198" i="10"/>
  <c r="L1198" i="10"/>
  <c r="J1154" i="10"/>
  <c r="L1154" i="10"/>
  <c r="J1164" i="10"/>
  <c r="L1164" i="10"/>
  <c r="J1137" i="10"/>
  <c r="J1143" i="10"/>
  <c r="J1142" i="10"/>
  <c r="L1142" i="10"/>
  <c r="J1141" i="10"/>
  <c r="L1141" i="10"/>
  <c r="J1136" i="10"/>
  <c r="J1135" i="10"/>
  <c r="L1135" i="10"/>
  <c r="J1159" i="10"/>
  <c r="L1159" i="10"/>
  <c r="J1158" i="10"/>
  <c r="J1152" i="10"/>
  <c r="L1152" i="10"/>
  <c r="J1153" i="10"/>
  <c r="L1153" i="10"/>
  <c r="J1157" i="10"/>
  <c r="L1157" i="10"/>
  <c r="J1150" i="10"/>
  <c r="L1150" i="10"/>
  <c r="J1148" i="10"/>
  <c r="J1156" i="10"/>
  <c r="L1161" i="10"/>
  <c r="J1161" i="10"/>
  <c r="J1139" i="10"/>
  <c r="J1147" i="10"/>
  <c r="L1147" i="10"/>
  <c r="L1163" i="10"/>
  <c r="J1163" i="10"/>
  <c r="J1140" i="10"/>
  <c r="L1140" i="10"/>
  <c r="J1134" i="10"/>
  <c r="L1134" i="10"/>
  <c r="J1133" i="10"/>
  <c r="J1145" i="10"/>
  <c r="L1145" i="10"/>
  <c r="J1130" i="10"/>
  <c r="L1130" i="10"/>
  <c r="J1132" i="10"/>
  <c r="J1144" i="10"/>
  <c r="J1160" i="10"/>
  <c r="J1149" i="10"/>
  <c r="J1131" i="10"/>
  <c r="L1162" i="10"/>
  <c r="J1162" i="10"/>
  <c r="J1151" i="10"/>
  <c r="J1146" i="10"/>
  <c r="L1146" i="10"/>
  <c r="L1155" i="10"/>
  <c r="J1155" i="10"/>
  <c r="J1165" i="10"/>
  <c r="L1165" i="10"/>
  <c r="J1138" i="10"/>
  <c r="L1138" i="10"/>
  <c r="J1052" i="10"/>
  <c r="J1086" i="10"/>
  <c r="J1034" i="10"/>
  <c r="L1034" i="10"/>
  <c r="L1035" i="10"/>
  <c r="J1035" i="10"/>
  <c r="L1055" i="10"/>
  <c r="J1055" i="10"/>
  <c r="L1037" i="10"/>
  <c r="J1037" i="10"/>
  <c r="L1057" i="10"/>
  <c r="J1057" i="10"/>
  <c r="L1075" i="10"/>
  <c r="J1075" i="10"/>
  <c r="L1087" i="10"/>
  <c r="J1087" i="10"/>
  <c r="L1094" i="10"/>
  <c r="J1094" i="10"/>
  <c r="L1058" i="10"/>
  <c r="J1058" i="10"/>
  <c r="J1084" i="10"/>
  <c r="J1088" i="10"/>
  <c r="J1101" i="10"/>
  <c r="L1095" i="10"/>
  <c r="J1095" i="10"/>
  <c r="L1061" i="10"/>
  <c r="J1061" i="10"/>
  <c r="L1042" i="10"/>
  <c r="J1042" i="10"/>
  <c r="J1060" i="10"/>
  <c r="J1096" i="10"/>
  <c r="L1111" i="10"/>
  <c r="J1111" i="10"/>
  <c r="L1090" i="10"/>
  <c r="J1090" i="10"/>
  <c r="J1100" i="10"/>
  <c r="J1064" i="10"/>
  <c r="L1098" i="10"/>
  <c r="J1098" i="10"/>
  <c r="L1067" i="10"/>
  <c r="J1067" i="10"/>
  <c r="L1045" i="10"/>
  <c r="J1045" i="10"/>
  <c r="L1063" i="10"/>
  <c r="J1063" i="10"/>
  <c r="L1078" i="10"/>
  <c r="J1078" i="10"/>
  <c r="J1124" i="10"/>
  <c r="L1102" i="10"/>
  <c r="J1102" i="10"/>
  <c r="J1091" i="10"/>
  <c r="L1070" i="10"/>
  <c r="J1070" i="10"/>
  <c r="L1099" i="10"/>
  <c r="J1099" i="10"/>
  <c r="J1116" i="10"/>
  <c r="L1097" i="10"/>
  <c r="J1097" i="10"/>
  <c r="J1107" i="10"/>
  <c r="L1073" i="10"/>
  <c r="J1073" i="10"/>
  <c r="J1048" i="10"/>
  <c r="L1066" i="10"/>
  <c r="J1066" i="10"/>
  <c r="L1093" i="10"/>
  <c r="J1093" i="10"/>
  <c r="L1109" i="10"/>
  <c r="J1109" i="10"/>
  <c r="L1081" i="10"/>
  <c r="J1081" i="10"/>
  <c r="L1104" i="10"/>
  <c r="J1104" i="10"/>
  <c r="J1040" i="10"/>
  <c r="J1114" i="10"/>
  <c r="L1082" i="10"/>
  <c r="J1082" i="10"/>
  <c r="L1105" i="10"/>
  <c r="J1105" i="10"/>
  <c r="L1106" i="10"/>
  <c r="J1106" i="10"/>
  <c r="J1092" i="10"/>
  <c r="L1043" i="10"/>
  <c r="J1043" i="10"/>
  <c r="L1051" i="10"/>
  <c r="J1051" i="10"/>
  <c r="L1069" i="10"/>
  <c r="J1069" i="10"/>
  <c r="J1108" i="10"/>
  <c r="L1046" i="10"/>
  <c r="J1046" i="10"/>
  <c r="J1089" i="10"/>
  <c r="L1079" i="10"/>
  <c r="J1079" i="10"/>
  <c r="L1076" i="10"/>
  <c r="J1076" i="10"/>
  <c r="L1085" i="10"/>
  <c r="J1085" i="10"/>
  <c r="L1049" i="10"/>
  <c r="J1049" i="10"/>
  <c r="L1054" i="10"/>
  <c r="J1054" i="10"/>
  <c r="J1072" i="10"/>
  <c r="L1103" i="10"/>
  <c r="J1103" i="10"/>
  <c r="J1117" i="10"/>
  <c r="L1117" i="10"/>
  <c r="L816" i="10"/>
  <c r="J689" i="10"/>
  <c r="J954" i="10"/>
  <c r="J638" i="10"/>
  <c r="L329" i="10"/>
  <c r="L379" i="10"/>
  <c r="L789" i="10"/>
  <c r="J382" i="10"/>
  <c r="J469" i="10"/>
  <c r="J343" i="10"/>
  <c r="J1014" i="10"/>
  <c r="L1031" i="10"/>
  <c r="J1031" i="10"/>
  <c r="J1020" i="10"/>
  <c r="L1015" i="10"/>
  <c r="J1015" i="10"/>
  <c r="L1009" i="10"/>
  <c r="J1009" i="10"/>
  <c r="L1003" i="10"/>
  <c r="J1003" i="10"/>
  <c r="L1027" i="10"/>
  <c r="J1027" i="10"/>
  <c r="L996" i="10"/>
  <c r="J996" i="10"/>
  <c r="L1021" i="10"/>
  <c r="J1021" i="10"/>
  <c r="L1028" i="10"/>
  <c r="J1028" i="10"/>
  <c r="L982" i="10"/>
  <c r="J982" i="10"/>
  <c r="J962" i="10"/>
  <c r="L962" i="10"/>
  <c r="L1026" i="10"/>
  <c r="J1026" i="10"/>
  <c r="L1022" i="10"/>
  <c r="J1022" i="10"/>
  <c r="L1008" i="10"/>
  <c r="J1008" i="10"/>
  <c r="L970" i="10"/>
  <c r="J970" i="10"/>
  <c r="J981" i="10"/>
  <c r="J975" i="10"/>
  <c r="L993" i="10"/>
  <c r="J993" i="10"/>
  <c r="L973" i="10"/>
  <c r="J973" i="10"/>
  <c r="L1029" i="10"/>
  <c r="J1029" i="10"/>
  <c r="J980" i="10"/>
  <c r="L1030" i="10"/>
  <c r="J1030" i="10"/>
  <c r="L1033" i="10"/>
  <c r="J1033" i="10"/>
  <c r="L974" i="10"/>
  <c r="J974" i="10"/>
  <c r="L987" i="10"/>
  <c r="J987" i="10"/>
  <c r="L972" i="10"/>
  <c r="J972" i="10"/>
  <c r="J968" i="10"/>
  <c r="L991" i="10"/>
  <c r="J991" i="10"/>
  <c r="L984" i="10"/>
  <c r="J984" i="10"/>
  <c r="J964" i="10"/>
  <c r="L979" i="10"/>
  <c r="J979" i="10"/>
  <c r="L1013" i="10"/>
  <c r="J1013" i="10"/>
  <c r="J992" i="10"/>
  <c r="L998" i="10"/>
  <c r="J998" i="10"/>
  <c r="L1007" i="10"/>
  <c r="J1007" i="10"/>
  <c r="L986" i="10"/>
  <c r="J986" i="10"/>
  <c r="L1025" i="10"/>
  <c r="J1025" i="10"/>
  <c r="L990" i="10"/>
  <c r="J990" i="10"/>
  <c r="L1019" i="10"/>
  <c r="J1019" i="10"/>
  <c r="J1016" i="10"/>
  <c r="L1002" i="10"/>
  <c r="J1002" i="10"/>
  <c r="L967" i="10"/>
  <c r="J967" i="10"/>
  <c r="L985" i="10"/>
  <c r="J985" i="10"/>
  <c r="L1010" i="10"/>
  <c r="J1010" i="10"/>
  <c r="L971" i="10"/>
  <c r="J971" i="10"/>
  <c r="J976" i="10"/>
  <c r="J1004" i="10"/>
  <c r="J978" i="10"/>
  <c r="J908" i="10"/>
  <c r="J926" i="10"/>
  <c r="L926" i="10"/>
  <c r="L894" i="10"/>
  <c r="J894" i="10"/>
  <c r="L899" i="10"/>
  <c r="J899" i="10"/>
  <c r="J912" i="10"/>
  <c r="L889" i="10"/>
  <c r="J889" i="10"/>
  <c r="L871" i="10"/>
  <c r="J871" i="10"/>
  <c r="J854" i="10"/>
  <c r="L854" i="10"/>
  <c r="L876" i="10"/>
  <c r="J876" i="10"/>
  <c r="L864" i="10"/>
  <c r="J864" i="10"/>
  <c r="L961" i="10"/>
  <c r="J961" i="10"/>
  <c r="L878" i="10"/>
  <c r="J878" i="10"/>
  <c r="L911" i="10"/>
  <c r="J911" i="10"/>
  <c r="L942" i="10"/>
  <c r="J942" i="10"/>
  <c r="L930" i="10"/>
  <c r="J930" i="10"/>
  <c r="J872" i="10"/>
  <c r="L862" i="10"/>
  <c r="J862" i="10"/>
  <c r="J940" i="10"/>
  <c r="J932" i="10"/>
  <c r="L947" i="10"/>
  <c r="J947" i="10"/>
  <c r="L923" i="10"/>
  <c r="J923" i="10"/>
  <c r="J931" i="10"/>
  <c r="L931" i="10"/>
  <c r="L873" i="10"/>
  <c r="J873" i="10"/>
  <c r="J885" i="10"/>
  <c r="L906" i="10"/>
  <c r="J906" i="10"/>
  <c r="L914" i="10"/>
  <c r="J914" i="10"/>
  <c r="J929" i="10"/>
  <c r="L929" i="10"/>
  <c r="J948" i="10"/>
  <c r="L895" i="10"/>
  <c r="J895" i="10"/>
  <c r="L917" i="10"/>
  <c r="J917" i="10"/>
  <c r="J939" i="10"/>
  <c r="L941" i="10"/>
  <c r="J941" i="10"/>
  <c r="L859" i="10"/>
  <c r="J859" i="10"/>
  <c r="L890" i="10"/>
  <c r="J890" i="10"/>
  <c r="L913" i="10"/>
  <c r="J913" i="10"/>
  <c r="J928" i="10"/>
  <c r="J935" i="10"/>
  <c r="L935" i="10"/>
  <c r="J888" i="10"/>
  <c r="L945" i="10"/>
  <c r="J945" i="10"/>
  <c r="L907" i="10"/>
  <c r="J907" i="10"/>
  <c r="L919" i="10"/>
  <c r="J919" i="10"/>
  <c r="L901" i="10"/>
  <c r="J901" i="10"/>
  <c r="J856" i="10"/>
  <c r="J920" i="10"/>
  <c r="J884" i="10"/>
  <c r="L918" i="10"/>
  <c r="J918" i="10"/>
  <c r="L870" i="10"/>
  <c r="J870" i="10"/>
  <c r="L887" i="10"/>
  <c r="J887" i="10"/>
  <c r="L921" i="10"/>
  <c r="J921" i="10"/>
  <c r="L869" i="10"/>
  <c r="J869" i="10"/>
  <c r="J860" i="10"/>
  <c r="L902" i="10"/>
  <c r="J902" i="10"/>
  <c r="L881" i="10"/>
  <c r="J881" i="10"/>
  <c r="J959" i="10"/>
  <c r="J944" i="10"/>
  <c r="J937" i="10"/>
  <c r="L937" i="10"/>
  <c r="J896" i="10"/>
  <c r="L893" i="10"/>
  <c r="J893" i="10"/>
  <c r="J882" i="10"/>
  <c r="J960" i="10"/>
  <c r="L866" i="10"/>
  <c r="J866" i="10"/>
  <c r="J900" i="10"/>
  <c r="L877" i="10"/>
  <c r="J877" i="10"/>
  <c r="L933" i="10"/>
  <c r="J933" i="10"/>
  <c r="L883" i="10"/>
  <c r="J883" i="10"/>
  <c r="J957" i="10"/>
  <c r="L863" i="10"/>
  <c r="J863" i="10"/>
  <c r="L905" i="10"/>
  <c r="J905" i="10"/>
  <c r="J949" i="10"/>
  <c r="L949" i="10"/>
  <c r="L875" i="10"/>
  <c r="J875" i="10"/>
  <c r="L950" i="10"/>
  <c r="J950" i="10"/>
  <c r="J956" i="10"/>
  <c r="J842" i="10"/>
  <c r="L842" i="10"/>
  <c r="J848" i="10"/>
  <c r="J844" i="10"/>
  <c r="J847" i="10"/>
  <c r="L847" i="10"/>
  <c r="J853" i="10"/>
  <c r="L853" i="10"/>
  <c r="J849" i="10"/>
  <c r="L850" i="10"/>
  <c r="J850" i="10"/>
  <c r="J851" i="10"/>
  <c r="J852" i="10"/>
  <c r="L852" i="10"/>
  <c r="J843" i="10"/>
  <c r="J846" i="10"/>
  <c r="L846" i="10"/>
  <c r="J845" i="10"/>
  <c r="L845" i="10"/>
  <c r="L349" i="10"/>
  <c r="L463" i="10"/>
  <c r="J377" i="10"/>
  <c r="L793" i="10"/>
  <c r="L360" i="10"/>
  <c r="J383" i="10"/>
  <c r="L441" i="10"/>
  <c r="J287" i="10"/>
  <c r="J591" i="10"/>
  <c r="L771" i="10"/>
  <c r="J641" i="10"/>
  <c r="L357" i="10"/>
  <c r="L479" i="10"/>
  <c r="L331" i="10"/>
  <c r="L334" i="10"/>
  <c r="J488" i="10"/>
  <c r="L419" i="10"/>
  <c r="J714" i="10"/>
  <c r="L790" i="10"/>
  <c r="J790" i="10"/>
  <c r="L703" i="10"/>
  <c r="J703" i="10"/>
  <c r="J792" i="10"/>
  <c r="L792" i="10"/>
  <c r="J806" i="10"/>
  <c r="L806" i="10"/>
  <c r="J837" i="10"/>
  <c r="L837" i="10"/>
  <c r="L802" i="10"/>
  <c r="J802" i="10"/>
  <c r="J839" i="10"/>
  <c r="L839" i="10"/>
  <c r="L732" i="10"/>
  <c r="J732" i="10"/>
  <c r="L696" i="10"/>
  <c r="J696" i="10"/>
  <c r="L735" i="10"/>
  <c r="J735" i="10"/>
  <c r="L715" i="10"/>
  <c r="J715" i="10"/>
  <c r="L709" i="10"/>
  <c r="J709" i="10"/>
  <c r="L734" i="10"/>
  <c r="J734" i="10"/>
  <c r="L739" i="10"/>
  <c r="J739" i="10"/>
  <c r="J840" i="10"/>
  <c r="L840" i="10"/>
  <c r="J800" i="10"/>
  <c r="L835" i="10"/>
  <c r="J835" i="10"/>
  <c r="L720" i="10"/>
  <c r="J720" i="10"/>
  <c r="J741" i="10"/>
  <c r="J796" i="10"/>
  <c r="J811" i="10"/>
  <c r="L811" i="10"/>
  <c r="L770" i="10"/>
  <c r="J770" i="10"/>
  <c r="L841" i="10"/>
  <c r="J841" i="10"/>
  <c r="J772" i="10"/>
  <c r="J794" i="10"/>
  <c r="L794" i="10"/>
  <c r="L803" i="10"/>
  <c r="J803" i="10"/>
  <c r="L695" i="10"/>
  <c r="J695" i="10"/>
  <c r="J700" i="10"/>
  <c r="L705" i="10"/>
  <c r="J705" i="10"/>
  <c r="J723" i="10"/>
  <c r="L758" i="10"/>
  <c r="J758" i="10"/>
  <c r="L721" i="10"/>
  <c r="J721" i="10"/>
  <c r="L763" i="10"/>
  <c r="J763" i="10"/>
  <c r="J748" i="10"/>
  <c r="L814" i="10"/>
  <c r="J814" i="10"/>
  <c r="L698" i="10"/>
  <c r="J698" i="10"/>
  <c r="L707" i="10"/>
  <c r="J707" i="10"/>
  <c r="J712" i="10"/>
  <c r="J730" i="10"/>
  <c r="L745" i="10"/>
  <c r="J745" i="10"/>
  <c r="J776" i="10"/>
  <c r="L776" i="10"/>
  <c r="J825" i="10"/>
  <c r="L809" i="10"/>
  <c r="J809" i="10"/>
  <c r="L827" i="10"/>
  <c r="J827" i="10"/>
  <c r="L708" i="10"/>
  <c r="J708" i="10"/>
  <c r="J724" i="10"/>
  <c r="L750" i="10"/>
  <c r="J750" i="10"/>
  <c r="J692" i="10"/>
  <c r="J754" i="10"/>
  <c r="L754" i="10"/>
  <c r="J787" i="10"/>
  <c r="J788" i="10"/>
  <c r="J830" i="10"/>
  <c r="L830" i="10"/>
  <c r="J691" i="10"/>
  <c r="L762" i="10"/>
  <c r="J762" i="10"/>
  <c r="L740" i="10"/>
  <c r="J740" i="10"/>
  <c r="J753" i="10"/>
  <c r="L774" i="10"/>
  <c r="J774" i="10"/>
  <c r="L797" i="10"/>
  <c r="J797" i="10"/>
  <c r="J813" i="10"/>
  <c r="L813" i="10"/>
  <c r="J686" i="10"/>
  <c r="L686" i="10"/>
  <c r="L710" i="10"/>
  <c r="J710" i="10"/>
  <c r="L711" i="10"/>
  <c r="J711" i="10"/>
  <c r="L744" i="10"/>
  <c r="J744" i="10"/>
  <c r="L778" i="10"/>
  <c r="J778" i="10"/>
  <c r="J798" i="10"/>
  <c r="J726" i="10"/>
  <c r="L738" i="10"/>
  <c r="J738" i="10"/>
  <c r="J718" i="10"/>
  <c r="L718" i="10"/>
  <c r="L747" i="10"/>
  <c r="J747" i="10"/>
  <c r="J782" i="10"/>
  <c r="L782" i="10"/>
  <c r="J752" i="10"/>
  <c r="J810" i="10"/>
  <c r="L810" i="10"/>
  <c r="L769" i="10"/>
  <c r="J769" i="10"/>
  <c r="J805" i="10"/>
  <c r="L805" i="10"/>
  <c r="J804" i="10"/>
  <c r="J808" i="10"/>
  <c r="J831" i="10"/>
  <c r="L831" i="10"/>
  <c r="J820" i="10"/>
  <c r="J836" i="10"/>
  <c r="L756" i="10"/>
  <c r="J756" i="10"/>
  <c r="L729" i="10"/>
  <c r="J729" i="10"/>
  <c r="L702" i="10"/>
  <c r="J702" i="10"/>
  <c r="J785" i="10"/>
  <c r="L785" i="10"/>
  <c r="L746" i="10"/>
  <c r="J746" i="10"/>
  <c r="L727" i="10"/>
  <c r="J727" i="10"/>
  <c r="J759" i="10"/>
  <c r="J736" i="10"/>
  <c r="J815" i="10"/>
  <c r="J775" i="10"/>
  <c r="L775" i="10"/>
  <c r="J824" i="10"/>
  <c r="L838" i="10"/>
  <c r="J838" i="10"/>
  <c r="L701" i="10"/>
  <c r="J701" i="10"/>
  <c r="L733" i="10"/>
  <c r="J733" i="10"/>
  <c r="J801" i="10"/>
  <c r="L801" i="10"/>
  <c r="J764" i="10"/>
  <c r="J766" i="10"/>
  <c r="L766" i="10"/>
  <c r="J819" i="10"/>
  <c r="J832" i="10"/>
  <c r="L791" i="10"/>
  <c r="J791" i="10"/>
  <c r="J828" i="10"/>
  <c r="L828" i="10"/>
  <c r="J688" i="10"/>
  <c r="J704" i="10"/>
  <c r="J773" i="10"/>
  <c r="L773" i="10"/>
  <c r="J777" i="10"/>
  <c r="L777" i="10"/>
  <c r="J786" i="10"/>
  <c r="L786" i="10"/>
  <c r="J812" i="10"/>
  <c r="J834" i="10"/>
  <c r="L834" i="10"/>
  <c r="L818" i="10"/>
  <c r="J818" i="10"/>
  <c r="J780" i="10"/>
  <c r="L780" i="10"/>
  <c r="J823" i="10"/>
  <c r="L823" i="10"/>
  <c r="J644" i="10"/>
  <c r="J619" i="10"/>
  <c r="L647" i="10"/>
  <c r="J647" i="10"/>
  <c r="J683" i="10"/>
  <c r="J629" i="10"/>
  <c r="L629" i="10"/>
  <c r="J618" i="10"/>
  <c r="L618" i="10"/>
  <c r="J614" i="10"/>
  <c r="L614" i="10"/>
  <c r="J642" i="10"/>
  <c r="L642" i="10"/>
  <c r="J624" i="10"/>
  <c r="L624" i="10"/>
  <c r="L650" i="10"/>
  <c r="J650" i="10"/>
  <c r="J633" i="10"/>
  <c r="L633" i="10"/>
  <c r="L646" i="10"/>
  <c r="J646" i="10"/>
  <c r="J664" i="10"/>
  <c r="J682" i="10"/>
  <c r="L679" i="10"/>
  <c r="J679" i="10"/>
  <c r="L653" i="10"/>
  <c r="J653" i="10"/>
  <c r="J623" i="10"/>
  <c r="L623" i="10"/>
  <c r="J628" i="10"/>
  <c r="J656" i="10"/>
  <c r="L649" i="10"/>
  <c r="J649" i="10"/>
  <c r="L667" i="10"/>
  <c r="J667" i="10"/>
  <c r="L685" i="10"/>
  <c r="J685" i="10"/>
  <c r="L634" i="10"/>
  <c r="J634" i="10"/>
  <c r="L637" i="10"/>
  <c r="J637" i="10"/>
  <c r="L659" i="10"/>
  <c r="J659" i="10"/>
  <c r="J621" i="10"/>
  <c r="L621" i="10"/>
  <c r="J622" i="10"/>
  <c r="L622" i="10"/>
  <c r="J636" i="10"/>
  <c r="L636" i="10"/>
  <c r="L627" i="10"/>
  <c r="J627" i="10"/>
  <c r="L615" i="10"/>
  <c r="J615" i="10"/>
  <c r="L662" i="10"/>
  <c r="J662" i="10"/>
  <c r="J652" i="10"/>
  <c r="J670" i="10"/>
  <c r="J626" i="10"/>
  <c r="L626" i="10"/>
  <c r="J616" i="10"/>
  <c r="J632" i="10"/>
  <c r="J665" i="10"/>
  <c r="J680" i="10"/>
  <c r="J640" i="10"/>
  <c r="J668" i="10"/>
  <c r="J625" i="10"/>
  <c r="L625" i="10"/>
  <c r="L655" i="10"/>
  <c r="J655" i="10"/>
  <c r="L673" i="10"/>
  <c r="J673" i="10"/>
  <c r="J671" i="10"/>
  <c r="L661" i="10"/>
  <c r="J661" i="10"/>
  <c r="J631" i="10"/>
  <c r="L631" i="10"/>
  <c r="J620" i="10"/>
  <c r="L674" i="10"/>
  <c r="J674" i="10"/>
  <c r="L658" i="10"/>
  <c r="J658" i="10"/>
  <c r="J676" i="10"/>
  <c r="J630" i="10"/>
  <c r="L630" i="10"/>
  <c r="L677" i="10"/>
  <c r="J677" i="10"/>
  <c r="J617" i="10"/>
  <c r="J613" i="10"/>
  <c r="L613" i="10"/>
  <c r="J612" i="10"/>
  <c r="L612" i="10"/>
  <c r="J604" i="10"/>
  <c r="J607" i="10"/>
  <c r="L607" i="10"/>
  <c r="L611" i="10"/>
  <c r="J611" i="10"/>
  <c r="L603" i="10"/>
  <c r="J603" i="10"/>
  <c r="J609" i="10"/>
  <c r="L609" i="10"/>
  <c r="J602" i="10"/>
  <c r="L602" i="10"/>
  <c r="J606" i="10"/>
  <c r="L606" i="10"/>
  <c r="J608" i="10"/>
  <c r="J605" i="10"/>
  <c r="L605" i="10"/>
  <c r="L610" i="10"/>
  <c r="J610" i="10"/>
  <c r="L459" i="10"/>
  <c r="J414" i="10"/>
  <c r="L530" i="10"/>
  <c r="J335" i="10"/>
  <c r="L531" i="10"/>
  <c r="J495" i="10"/>
  <c r="J247" i="10"/>
  <c r="J352" i="10"/>
  <c r="J328" i="10"/>
  <c r="L326" i="10"/>
  <c r="J502" i="10"/>
  <c r="L502" i="10"/>
  <c r="J257" i="10"/>
  <c r="J523" i="10"/>
  <c r="L347" i="10"/>
  <c r="L512" i="10"/>
  <c r="J537" i="10"/>
  <c r="L351" i="10"/>
  <c r="J342" i="10"/>
  <c r="J572" i="10"/>
  <c r="J556" i="10"/>
  <c r="L601" i="10"/>
  <c r="J601" i="10"/>
  <c r="J542" i="10"/>
  <c r="L542" i="10"/>
  <c r="J559" i="10"/>
  <c r="L559" i="10"/>
  <c r="L595" i="10"/>
  <c r="J595" i="10"/>
  <c r="J596" i="10"/>
  <c r="J565" i="10"/>
  <c r="L565" i="10"/>
  <c r="J581" i="10"/>
  <c r="L581" i="10"/>
  <c r="J566" i="10"/>
  <c r="L566" i="10"/>
  <c r="L599" i="10"/>
  <c r="J599" i="10"/>
  <c r="J579" i="10"/>
  <c r="L579" i="10"/>
  <c r="J544" i="10"/>
  <c r="J560" i="10"/>
  <c r="J545" i="10"/>
  <c r="L545" i="10"/>
  <c r="L597" i="10"/>
  <c r="J597" i="10"/>
  <c r="J550" i="10"/>
  <c r="L550" i="10"/>
  <c r="J582" i="10"/>
  <c r="L582" i="10"/>
  <c r="J575" i="10"/>
  <c r="L575" i="10"/>
  <c r="J592" i="10"/>
  <c r="L594" i="10"/>
  <c r="J594" i="10"/>
  <c r="J563" i="10"/>
  <c r="L563" i="10"/>
  <c r="J587" i="10"/>
  <c r="J569" i="10"/>
  <c r="L569" i="10"/>
  <c r="J554" i="10"/>
  <c r="L554" i="10"/>
  <c r="J543" i="10"/>
  <c r="J567" i="10"/>
  <c r="L567" i="10"/>
  <c r="J583" i="10"/>
  <c r="L583" i="10"/>
  <c r="J548" i="10"/>
  <c r="J549" i="10"/>
  <c r="J570" i="10"/>
  <c r="L570" i="10"/>
  <c r="J576" i="10"/>
  <c r="L576" i="10"/>
  <c r="J547" i="10"/>
  <c r="L547" i="10"/>
  <c r="J564" i="10"/>
  <c r="L573" i="10"/>
  <c r="J573" i="10"/>
  <c r="L590" i="10"/>
  <c r="J590" i="10"/>
  <c r="J553" i="10"/>
  <c r="L553" i="10"/>
  <c r="J580" i="10"/>
  <c r="J574" i="10"/>
  <c r="L574" i="10"/>
  <c r="J555" i="10"/>
  <c r="J571" i="10"/>
  <c r="L571" i="10"/>
  <c r="J588" i="10"/>
  <c r="L588" i="10"/>
  <c r="J584" i="10"/>
  <c r="J557" i="10"/>
  <c r="L557" i="10"/>
  <c r="J558" i="10"/>
  <c r="L558" i="10"/>
  <c r="J551" i="10"/>
  <c r="L551" i="10"/>
  <c r="J552" i="10"/>
  <c r="J598" i="10"/>
  <c r="L561" i="10"/>
  <c r="J561" i="10"/>
  <c r="L585" i="10"/>
  <c r="J585" i="10"/>
  <c r="L593" i="10"/>
  <c r="J593" i="10"/>
  <c r="J568" i="10"/>
  <c r="J577" i="10"/>
  <c r="L577" i="10"/>
  <c r="J546" i="10"/>
  <c r="L546" i="10"/>
  <c r="J562" i="10"/>
  <c r="L562" i="10"/>
  <c r="J578" i="10"/>
  <c r="L578" i="10"/>
  <c r="L458" i="10"/>
  <c r="J458" i="10"/>
  <c r="J452" i="10"/>
  <c r="L421" i="10"/>
  <c r="J421" i="10"/>
  <c r="J461" i="10"/>
  <c r="L461" i="10"/>
  <c r="L433" i="10"/>
  <c r="J433" i="10"/>
  <c r="L494" i="10"/>
  <c r="J494" i="10"/>
  <c r="L378" i="10"/>
  <c r="J378" i="10"/>
  <c r="L391" i="10"/>
  <c r="J391" i="10"/>
  <c r="L462" i="10"/>
  <c r="J462" i="10"/>
  <c r="L384" i="10"/>
  <c r="J384" i="10"/>
  <c r="J437" i="10"/>
  <c r="L437" i="10"/>
  <c r="J474" i="10"/>
  <c r="L474" i="10"/>
  <c r="J497" i="10"/>
  <c r="L497" i="10"/>
  <c r="J498" i="10"/>
  <c r="L498" i="10"/>
  <c r="J507" i="10"/>
  <c r="L386" i="10"/>
  <c r="J386" i="10"/>
  <c r="J392" i="10"/>
  <c r="J404" i="10"/>
  <c r="J393" i="10"/>
  <c r="L439" i="10"/>
  <c r="J439" i="10"/>
  <c r="J480" i="10"/>
  <c r="L480" i="10"/>
  <c r="J491" i="10"/>
  <c r="L482" i="10"/>
  <c r="J482" i="10"/>
  <c r="J517" i="10"/>
  <c r="L517" i="10"/>
  <c r="J540" i="10"/>
  <c r="L519" i="10"/>
  <c r="J519" i="10"/>
  <c r="J520" i="10"/>
  <c r="J504" i="10"/>
  <c r="L504" i="10"/>
  <c r="J375" i="10"/>
  <c r="L398" i="10"/>
  <c r="J398" i="10"/>
  <c r="J460" i="10"/>
  <c r="L446" i="10"/>
  <c r="J446" i="10"/>
  <c r="J443" i="10"/>
  <c r="L443" i="10"/>
  <c r="J503" i="10"/>
  <c r="L503" i="10"/>
  <c r="L505" i="10"/>
  <c r="J505" i="10"/>
  <c r="L529" i="10"/>
  <c r="J529" i="10"/>
  <c r="J538" i="10"/>
  <c r="L538" i="10"/>
  <c r="J380" i="10"/>
  <c r="L387" i="10"/>
  <c r="J387" i="10"/>
  <c r="J405" i="10"/>
  <c r="J493" i="10"/>
  <c r="L493" i="10"/>
  <c r="J499" i="10"/>
  <c r="L499" i="10"/>
  <c r="L541" i="10"/>
  <c r="J541" i="10"/>
  <c r="L514" i="10"/>
  <c r="J514" i="10"/>
  <c r="J418" i="10"/>
  <c r="J396" i="10"/>
  <c r="L477" i="10"/>
  <c r="J477" i="10"/>
  <c r="J440" i="10"/>
  <c r="L457" i="10"/>
  <c r="J457" i="10"/>
  <c r="J478" i="10"/>
  <c r="J484" i="10"/>
  <c r="J518" i="10"/>
  <c r="L518" i="10"/>
  <c r="J465" i="10"/>
  <c r="L465" i="10"/>
  <c r="J436" i="10"/>
  <c r="L535" i="10"/>
  <c r="J535" i="10"/>
  <c r="J485" i="10"/>
  <c r="L516" i="10"/>
  <c r="J516" i="10"/>
  <c r="L513" i="10"/>
  <c r="J513" i="10"/>
  <c r="J374" i="10"/>
  <c r="L374" i="10"/>
  <c r="J416" i="10"/>
  <c r="J399" i="10"/>
  <c r="J408" i="10"/>
  <c r="J508" i="10"/>
  <c r="L451" i="10"/>
  <c r="J451" i="10"/>
  <c r="J506" i="10"/>
  <c r="L506" i="10"/>
  <c r="L489" i="10"/>
  <c r="J489" i="10"/>
  <c r="L515" i="10"/>
  <c r="J515" i="10"/>
  <c r="L521" i="10"/>
  <c r="J521" i="10"/>
  <c r="J527" i="10"/>
  <c r="J388" i="10"/>
  <c r="J448" i="10"/>
  <c r="L438" i="10"/>
  <c r="J438" i="10"/>
  <c r="L427" i="10"/>
  <c r="J427" i="10"/>
  <c r="J496" i="10"/>
  <c r="L381" i="10"/>
  <c r="J381" i="10"/>
  <c r="J403" i="10"/>
  <c r="L409" i="10"/>
  <c r="J409" i="10"/>
  <c r="L390" i="10"/>
  <c r="J390" i="10"/>
  <c r="J402" i="10"/>
  <c r="J455" i="10"/>
  <c r="L455" i="10"/>
  <c r="J449" i="10"/>
  <c r="L449" i="10"/>
  <c r="J431" i="10"/>
  <c r="L431" i="10"/>
  <c r="J464" i="10"/>
  <c r="L445" i="10"/>
  <c r="J445" i="10"/>
  <c r="L510" i="10"/>
  <c r="J510" i="10"/>
  <c r="J533" i="10"/>
  <c r="L533" i="10"/>
  <c r="J376" i="10"/>
  <c r="L385" i="10"/>
  <c r="J385" i="10"/>
  <c r="L397" i="10"/>
  <c r="J397" i="10"/>
  <c r="J425" i="10"/>
  <c r="L425" i="10"/>
  <c r="J472" i="10"/>
  <c r="L430" i="10"/>
  <c r="J430" i="10"/>
  <c r="J466" i="10"/>
  <c r="L466" i="10"/>
  <c r="L539" i="10"/>
  <c r="J539" i="10"/>
  <c r="J532" i="10"/>
  <c r="J428" i="10"/>
  <c r="L470" i="10"/>
  <c r="J470" i="10"/>
  <c r="L434" i="10"/>
  <c r="J434" i="10"/>
  <c r="J501" i="10"/>
  <c r="J486" i="10"/>
  <c r="J526" i="10"/>
  <c r="L526" i="10"/>
  <c r="J362" i="10"/>
  <c r="L362" i="10"/>
  <c r="J364" i="10"/>
  <c r="J366" i="10"/>
  <c r="L366" i="10"/>
  <c r="L363" i="10"/>
  <c r="J363" i="10"/>
  <c r="L369" i="10"/>
  <c r="J369" i="10"/>
  <c r="L370" i="10"/>
  <c r="J370" i="10"/>
  <c r="J368" i="10"/>
  <c r="J373" i="10"/>
  <c r="L373" i="10"/>
  <c r="J367" i="10"/>
  <c r="L367" i="10"/>
  <c r="J371" i="10"/>
  <c r="L371" i="10"/>
  <c r="L372" i="10"/>
  <c r="J372" i="10"/>
  <c r="J365" i="10"/>
  <c r="L365" i="10"/>
  <c r="L337" i="10"/>
  <c r="L358" i="10"/>
  <c r="J353" i="10"/>
  <c r="J361" i="10"/>
  <c r="L299" i="10"/>
  <c r="L338" i="10"/>
  <c r="L330" i="10"/>
  <c r="L327" i="10"/>
  <c r="J275" i="10"/>
  <c r="J348" i="10"/>
  <c r="J354" i="10"/>
  <c r="J350" i="10"/>
  <c r="L339" i="10"/>
  <c r="L341" i="10"/>
  <c r="L346" i="10"/>
  <c r="L345" i="10"/>
  <c r="J245" i="10"/>
  <c r="L355" i="10"/>
  <c r="L306" i="10"/>
  <c r="J306" i="10"/>
  <c r="L274" i="10"/>
  <c r="J274" i="10"/>
  <c r="J280" i="10"/>
  <c r="J267" i="10"/>
  <c r="J296" i="10"/>
  <c r="L246" i="10"/>
  <c r="J246" i="10"/>
  <c r="J261" i="10"/>
  <c r="L271" i="10"/>
  <c r="J271" i="10"/>
  <c r="J308" i="10"/>
  <c r="L312" i="10"/>
  <c r="J312" i="10"/>
  <c r="L309" i="10"/>
  <c r="J309" i="10"/>
  <c r="L262" i="10"/>
  <c r="J262" i="10"/>
  <c r="J254" i="10"/>
  <c r="L254" i="10"/>
  <c r="L286" i="10"/>
  <c r="J286" i="10"/>
  <c r="L265" i="10"/>
  <c r="J265" i="10"/>
  <c r="J256" i="10"/>
  <c r="J323" i="10"/>
  <c r="L297" i="10"/>
  <c r="J297" i="10"/>
  <c r="L281" i="10"/>
  <c r="J281" i="10"/>
  <c r="L258" i="10"/>
  <c r="J258" i="10"/>
  <c r="L298" i="10"/>
  <c r="J298" i="10"/>
  <c r="J248" i="10"/>
  <c r="L279" i="10"/>
  <c r="J279" i="10"/>
  <c r="L307" i="10"/>
  <c r="J307" i="10"/>
  <c r="L324" i="10"/>
  <c r="J324" i="10"/>
  <c r="J268" i="10"/>
  <c r="J266" i="10"/>
  <c r="L266" i="10"/>
  <c r="J243" i="10"/>
  <c r="J273" i="10"/>
  <c r="L252" i="10"/>
  <c r="J252" i="10"/>
  <c r="J283" i="10"/>
  <c r="L293" i="10"/>
  <c r="J293" i="10"/>
  <c r="J321" i="10"/>
  <c r="L301" i="10"/>
  <c r="J301" i="10"/>
  <c r="J270" i="10"/>
  <c r="L277" i="10"/>
  <c r="J277" i="10"/>
  <c r="J260" i="10"/>
  <c r="L253" i="10"/>
  <c r="J253" i="10"/>
  <c r="L314" i="10"/>
  <c r="J314" i="10"/>
  <c r="L302" i="10"/>
  <c r="J302" i="10"/>
  <c r="J318" i="10"/>
  <c r="L303" i="10"/>
  <c r="J303" i="10"/>
  <c r="J242" i="10"/>
  <c r="L242" i="10"/>
  <c r="J278" i="10"/>
  <c r="L278" i="10"/>
  <c r="L264" i="10"/>
  <c r="J264" i="10"/>
  <c r="L291" i="10"/>
  <c r="J291" i="10"/>
  <c r="L313" i="10"/>
  <c r="J313" i="10"/>
  <c r="L282" i="10"/>
  <c r="J282" i="10"/>
  <c r="L249" i="10"/>
  <c r="J249" i="10"/>
  <c r="J272" i="10"/>
  <c r="L295" i="10"/>
  <c r="J295" i="10"/>
  <c r="L300" i="10"/>
  <c r="J300" i="10"/>
  <c r="J320" i="10"/>
  <c r="L317" i="10"/>
  <c r="J317" i="10"/>
  <c r="J292" i="10"/>
  <c r="L285" i="10"/>
  <c r="J285" i="10"/>
  <c r="J290" i="10"/>
  <c r="L290" i="10"/>
  <c r="J276" i="10"/>
  <c r="J304" i="10"/>
  <c r="J315" i="10"/>
  <c r="L325" i="10"/>
  <c r="J325" i="10"/>
  <c r="J244" i="10"/>
  <c r="L294" i="10"/>
  <c r="J294" i="10"/>
  <c r="L289" i="10"/>
  <c r="J289" i="10"/>
  <c r="J284" i="10"/>
  <c r="L255" i="10"/>
  <c r="J255" i="10"/>
  <c r="L319" i="10"/>
  <c r="J319" i="10"/>
  <c r="L250" i="10"/>
  <c r="J250" i="10"/>
  <c r="L269" i="10"/>
  <c r="J269" i="10"/>
  <c r="L288" i="10"/>
  <c r="J288" i="10"/>
  <c r="L259" i="10"/>
  <c r="J259" i="10"/>
  <c r="L305" i="10"/>
  <c r="J305" i="10"/>
  <c r="J218" i="10"/>
  <c r="L218" i="10"/>
  <c r="J224" i="10"/>
  <c r="J235" i="10"/>
  <c r="L235" i="10"/>
  <c r="J240" i="10"/>
  <c r="L240" i="10"/>
  <c r="J233" i="10"/>
  <c r="L233" i="10"/>
  <c r="J226" i="10"/>
  <c r="L226" i="10"/>
  <c r="J237" i="10"/>
  <c r="J230" i="10"/>
  <c r="L230" i="10"/>
  <c r="J228" i="10"/>
  <c r="L228" i="10"/>
  <c r="J239" i="10"/>
  <c r="J221" i="10"/>
  <c r="L221" i="10"/>
  <c r="J219" i="10"/>
  <c r="J232" i="10"/>
  <c r="J225" i="10"/>
  <c r="J227" i="10"/>
  <c r="L227" i="10"/>
  <c r="J241" i="10"/>
  <c r="L241" i="10"/>
  <c r="J234" i="10"/>
  <c r="J231" i="10"/>
  <c r="J220" i="10"/>
  <c r="J236" i="10"/>
  <c r="J229" i="10"/>
  <c r="L229" i="10"/>
  <c r="J222" i="10"/>
  <c r="L222" i="10"/>
  <c r="J223" i="10"/>
  <c r="L223" i="10"/>
  <c r="J238" i="10"/>
  <c r="L238" i="10"/>
  <c r="J209" i="10"/>
  <c r="L209" i="10"/>
  <c r="J212" i="10"/>
  <c r="L212" i="10"/>
  <c r="J211" i="10"/>
  <c r="J217" i="10"/>
  <c r="L217" i="10"/>
  <c r="J206" i="10"/>
  <c r="L206" i="10"/>
  <c r="J208" i="10"/>
  <c r="J216" i="10"/>
  <c r="J210" i="10"/>
  <c r="L210" i="10"/>
  <c r="J215" i="10"/>
  <c r="J207" i="10"/>
  <c r="J213" i="10"/>
  <c r="J214" i="10"/>
  <c r="L214" i="10"/>
  <c r="J200" i="10"/>
  <c r="J199" i="10"/>
  <c r="L199" i="10"/>
  <c r="J205" i="10"/>
  <c r="L205" i="10"/>
  <c r="L203" i="10"/>
  <c r="J203" i="10"/>
  <c r="J204" i="10"/>
  <c r="L204" i="10"/>
  <c r="J198" i="10"/>
  <c r="L198" i="10"/>
  <c r="J201" i="10"/>
  <c r="J196" i="10"/>
  <c r="L195" i="10"/>
  <c r="J195" i="10"/>
  <c r="J194" i="10"/>
  <c r="L194" i="10"/>
  <c r="L202" i="10"/>
  <c r="J202" i="10"/>
  <c r="J197" i="10"/>
  <c r="L197" i="10"/>
  <c r="J182" i="10"/>
  <c r="J188" i="10"/>
  <c r="L192" i="10"/>
  <c r="J192" i="10"/>
  <c r="J185" i="10"/>
  <c r="J186" i="10"/>
  <c r="L186" i="10"/>
  <c r="L191" i="10"/>
  <c r="J191" i="10"/>
  <c r="L189" i="10"/>
  <c r="J189" i="10"/>
  <c r="L190" i="10"/>
  <c r="J190" i="10"/>
  <c r="J183" i="10"/>
  <c r="J184" i="10"/>
  <c r="J193" i="10"/>
  <c r="L193" i="10"/>
  <c r="J187" i="10"/>
  <c r="C52" i="14"/>
  <c r="C58" i="14"/>
  <c r="C69" i="14"/>
  <c r="C80" i="14"/>
  <c r="C86" i="14"/>
  <c r="C97" i="14"/>
  <c r="C35" i="14"/>
  <c r="C41" i="14"/>
  <c r="C47" i="14"/>
  <c r="C75" i="14"/>
  <c r="C92" i="14"/>
  <c r="C53" i="14"/>
  <c r="C59" i="14"/>
  <c r="C64" i="14"/>
  <c r="C70" i="14"/>
  <c r="C81" i="14"/>
  <c r="C87" i="14"/>
  <c r="C98" i="14"/>
  <c r="C36" i="14"/>
  <c r="C42" i="14"/>
  <c r="C93" i="14"/>
  <c r="C48" i="14"/>
  <c r="C54" i="14"/>
  <c r="C65" i="14"/>
  <c r="C71" i="14"/>
  <c r="C76" i="14"/>
  <c r="C82" i="14"/>
  <c r="C88" i="14"/>
  <c r="C99" i="14"/>
  <c r="C37" i="14"/>
  <c r="C43" i="14"/>
  <c r="C60" i="14"/>
  <c r="B83" i="14"/>
  <c r="C94" i="14"/>
  <c r="C49" i="14"/>
  <c r="C55" i="14"/>
  <c r="C66" i="14"/>
  <c r="C77" i="14"/>
  <c r="C83" i="14"/>
  <c r="C89" i="14"/>
  <c r="C32" i="14"/>
  <c r="C38" i="14"/>
  <c r="C44" i="14"/>
  <c r="C61" i="14"/>
  <c r="C72" i="14"/>
  <c r="B78" i="14"/>
  <c r="C95" i="14"/>
  <c r="C100" i="14"/>
  <c r="C50" i="14"/>
  <c r="C56" i="14"/>
  <c r="C67" i="14"/>
  <c r="C78" i="14"/>
  <c r="C84" i="14"/>
  <c r="C90" i="14"/>
  <c r="C33" i="14"/>
  <c r="C39" i="14"/>
  <c r="C45" i="14"/>
  <c r="C62" i="14"/>
  <c r="C73" i="14"/>
  <c r="C101" i="14"/>
  <c r="C51" i="14"/>
  <c r="C57" i="14"/>
  <c r="C68" i="14"/>
  <c r="C79" i="14"/>
  <c r="C85" i="14"/>
  <c r="C91" i="14"/>
  <c r="C96" i="14"/>
  <c r="C34" i="14"/>
  <c r="C40" i="14"/>
  <c r="C46" i="14"/>
  <c r="C63" i="14"/>
  <c r="C74" i="14"/>
  <c r="L477" i="2"/>
  <c r="B71" i="14"/>
  <c r="L507" i="2"/>
  <c r="L481" i="2"/>
  <c r="L689" i="2"/>
  <c r="L701" i="2"/>
  <c r="L696" i="2"/>
  <c r="L695" i="2"/>
  <c r="L700" i="2"/>
  <c r="L693" i="2"/>
  <c r="L694" i="2"/>
  <c r="L674" i="2"/>
  <c r="L675" i="2"/>
  <c r="L668" i="2"/>
  <c r="L680" i="2"/>
  <c r="L682" i="2"/>
  <c r="L667" i="2"/>
  <c r="L673" i="2"/>
  <c r="L666" i="2"/>
  <c r="L653" i="2"/>
  <c r="L660" i="2"/>
  <c r="L659" i="2"/>
  <c r="L632" i="2"/>
  <c r="L638" i="2"/>
  <c r="L664" i="2"/>
  <c r="L647" i="2"/>
  <c r="L661" i="2"/>
  <c r="L645" i="2"/>
  <c r="L639" i="2"/>
  <c r="L651" i="2"/>
  <c r="L636" i="2"/>
  <c r="L637" i="2"/>
  <c r="L658" i="2"/>
  <c r="L652" i="2"/>
  <c r="L665" i="2"/>
  <c r="L649" i="2"/>
  <c r="L641" i="2"/>
  <c r="L640" i="2"/>
  <c r="L624" i="2"/>
  <c r="L619" i="2"/>
  <c r="L628" i="2"/>
  <c r="L631" i="2"/>
  <c r="L626" i="2"/>
  <c r="L621" i="2"/>
  <c r="L623" i="2"/>
  <c r="L611" i="2"/>
  <c r="L617" i="2"/>
  <c r="L614" i="2"/>
  <c r="L612" i="2"/>
  <c r="L610" i="2"/>
  <c r="L609" i="2"/>
  <c r="L607" i="2"/>
  <c r="L605" i="2"/>
  <c r="L589" i="2"/>
  <c r="L511" i="2"/>
  <c r="L525" i="2"/>
  <c r="L523" i="2"/>
  <c r="L502" i="2"/>
  <c r="L561" i="2"/>
  <c r="L514" i="2"/>
  <c r="L573" i="2"/>
  <c r="L526" i="2"/>
  <c r="L582" i="2"/>
  <c r="L521" i="2"/>
  <c r="L568" i="2"/>
  <c r="L591" i="2"/>
  <c r="L569" i="2"/>
  <c r="L603" i="2"/>
  <c r="B80" i="14"/>
  <c r="L500" i="2"/>
  <c r="L469" i="2"/>
  <c r="B73" i="14"/>
  <c r="L516" i="2"/>
  <c r="L509" i="2"/>
  <c r="L512" i="2"/>
  <c r="L577" i="2"/>
  <c r="L472" i="2"/>
  <c r="L495" i="2"/>
  <c r="L497" i="2"/>
  <c r="L556" i="2"/>
  <c r="L576" i="2"/>
  <c r="L535" i="2"/>
  <c r="L548" i="2"/>
  <c r="L493" i="2"/>
  <c r="L539" i="2"/>
  <c r="L520" i="2"/>
  <c r="L547" i="2"/>
  <c r="L600" i="2"/>
  <c r="L506" i="2"/>
  <c r="L588" i="2"/>
  <c r="L598" i="2"/>
  <c r="L563" i="2"/>
  <c r="L594" i="2"/>
  <c r="L590" i="2"/>
  <c r="L602" i="2"/>
  <c r="L555" i="2"/>
  <c r="L584" i="2"/>
  <c r="L498" i="2"/>
  <c r="L530" i="2"/>
  <c r="L542" i="2"/>
  <c r="L575" i="2"/>
  <c r="L565" i="2"/>
  <c r="L581" i="2"/>
  <c r="L567" i="2"/>
  <c r="L596" i="2"/>
  <c r="L528" i="2"/>
  <c r="L505" i="2"/>
  <c r="L595" i="2"/>
  <c r="L570" i="2"/>
  <c r="L486" i="2"/>
  <c r="L488" i="2"/>
  <c r="L288" i="2"/>
  <c r="L476" i="2"/>
  <c r="L278" i="2"/>
  <c r="L465" i="2"/>
  <c r="L336" i="2"/>
  <c r="L484" i="2"/>
  <c r="L470" i="2"/>
  <c r="B68" i="14"/>
  <c r="L471" i="2"/>
  <c r="L491" i="2"/>
  <c r="L467" i="2"/>
  <c r="L283" i="2"/>
  <c r="L434" i="2"/>
  <c r="L430" i="2"/>
  <c r="L444" i="2"/>
  <c r="L442" i="2"/>
  <c r="L446" i="2"/>
  <c r="L453" i="2"/>
  <c r="L425" i="2"/>
  <c r="L388" i="2"/>
  <c r="L427" i="2"/>
  <c r="L415" i="2"/>
  <c r="L450" i="2"/>
  <c r="L457" i="2"/>
  <c r="L461" i="2"/>
  <c r="L400" i="2"/>
  <c r="L435" i="2"/>
  <c r="L390" i="2"/>
  <c r="L462" i="2"/>
  <c r="L386" i="2"/>
  <c r="L451" i="2"/>
  <c r="L397" i="2"/>
  <c r="L437" i="2"/>
  <c r="L449" i="2"/>
  <c r="L404" i="2"/>
  <c r="L402" i="2"/>
  <c r="L411" i="2"/>
  <c r="L458" i="2"/>
  <c r="L436" i="2"/>
  <c r="L432" i="2"/>
  <c r="L416" i="2"/>
  <c r="L448" i="2"/>
  <c r="L381" i="2"/>
  <c r="L463" i="2"/>
  <c r="L414" i="2"/>
  <c r="L409" i="2"/>
  <c r="L421" i="2"/>
  <c r="L455" i="2"/>
  <c r="L423" i="2"/>
  <c r="L456" i="2"/>
  <c r="L420" i="2"/>
  <c r="L419" i="2"/>
  <c r="L387" i="2"/>
  <c r="L399" i="2"/>
  <c r="L443" i="2"/>
  <c r="L406" i="2"/>
  <c r="L429" i="2"/>
  <c r="L441" i="2"/>
  <c r="L379" i="2"/>
  <c r="L372" i="2"/>
  <c r="L365" i="2"/>
  <c r="L366" i="2"/>
  <c r="L364" i="2"/>
  <c r="L369" i="2"/>
  <c r="L362" i="2"/>
  <c r="L373" i="2"/>
  <c r="L363" i="2"/>
  <c r="L359" i="2"/>
  <c r="L360" i="2"/>
  <c r="L374" i="2"/>
  <c r="L367" i="2"/>
  <c r="L354" i="2"/>
  <c r="L352" i="2"/>
  <c r="L358" i="2"/>
  <c r="L357" i="2"/>
  <c r="L355" i="2"/>
  <c r="L353" i="2"/>
  <c r="L356" i="2"/>
  <c r="B41" i="14"/>
  <c r="L287" i="2"/>
  <c r="L273" i="2"/>
  <c r="L274" i="2"/>
  <c r="L282" i="2"/>
  <c r="L330" i="2"/>
  <c r="L344" i="2"/>
  <c r="L295" i="2"/>
  <c r="L327" i="2"/>
  <c r="L296" i="2"/>
  <c r="L329" i="2"/>
  <c r="L290" i="2"/>
  <c r="L311" i="2"/>
  <c r="L297" i="2"/>
  <c r="L318" i="2"/>
  <c r="L328" i="2"/>
  <c r="L315" i="2"/>
  <c r="L331" i="2"/>
  <c r="L332" i="2"/>
  <c r="L289" i="2"/>
  <c r="L299" i="2"/>
  <c r="L306" i="2"/>
  <c r="L316" i="2"/>
  <c r="L346" i="2"/>
  <c r="L320" i="2"/>
  <c r="L339" i="2"/>
  <c r="L313" i="2"/>
  <c r="L342" i="2"/>
  <c r="L338" i="2"/>
  <c r="L310" i="2"/>
  <c r="L304" i="2"/>
  <c r="L345" i="2"/>
  <c r="L325" i="2"/>
  <c r="L307" i="2"/>
  <c r="L308" i="2"/>
  <c r="L324" i="2"/>
  <c r="L293" i="2"/>
  <c r="L351" i="2"/>
  <c r="L309" i="2"/>
  <c r="L41" i="12"/>
  <c r="L243" i="2"/>
  <c r="L263" i="2"/>
  <c r="B39" i="14"/>
  <c r="L246" i="2"/>
  <c r="L275" i="2"/>
  <c r="L281" i="2"/>
  <c r="L262" i="2"/>
  <c r="L238" i="2"/>
  <c r="L264" i="2"/>
  <c r="L252" i="2"/>
  <c r="L255" i="2"/>
  <c r="L247" i="2"/>
  <c r="L245" i="2"/>
  <c r="L266" i="2"/>
  <c r="L224" i="2"/>
  <c r="L223" i="2"/>
  <c r="L231" i="2"/>
  <c r="L229" i="2"/>
  <c r="C23" i="14"/>
  <c r="C29" i="14"/>
  <c r="C24" i="14"/>
  <c r="C30" i="14"/>
  <c r="C25" i="14"/>
  <c r="C31" i="14"/>
  <c r="C26" i="14"/>
  <c r="C27" i="14"/>
  <c r="C28" i="14"/>
  <c r="L206" i="2"/>
  <c r="L197" i="2"/>
  <c r="L195" i="2"/>
  <c r="L208" i="2"/>
  <c r="L204" i="2"/>
  <c r="L211" i="2"/>
  <c r="L201" i="2"/>
  <c r="L186" i="2"/>
  <c r="L199" i="2"/>
  <c r="L184" i="2"/>
  <c r="L187" i="2"/>
  <c r="L185" i="2"/>
  <c r="L190" i="2"/>
  <c r="L191" i="2"/>
  <c r="L203" i="2"/>
  <c r="L192" i="2"/>
  <c r="L205" i="2"/>
  <c r="L178" i="2"/>
  <c r="L168" i="2"/>
  <c r="L173" i="2"/>
  <c r="L166" i="2"/>
  <c r="L182" i="2"/>
  <c r="L183" i="2"/>
  <c r="L163" i="2"/>
  <c r="L164" i="2"/>
  <c r="L169" i="2"/>
  <c r="L167" i="2"/>
  <c r="L171" i="2"/>
  <c r="L150" i="2"/>
  <c r="L155" i="2"/>
  <c r="L162" i="2"/>
  <c r="L153" i="2"/>
  <c r="L159" i="2"/>
  <c r="L154" i="2"/>
  <c r="L157" i="2"/>
  <c r="L145" i="2"/>
  <c r="L143" i="2"/>
  <c r="L148" i="2"/>
  <c r="L147" i="2"/>
  <c r="C17" i="14"/>
  <c r="C18" i="14"/>
  <c r="C19" i="14"/>
  <c r="C20" i="14"/>
  <c r="C21" i="14"/>
  <c r="C22" i="14"/>
  <c r="L120" i="2"/>
  <c r="L127" i="2"/>
  <c r="L133" i="2"/>
  <c r="L136" i="2"/>
  <c r="L124" i="2"/>
  <c r="L115" i="2"/>
  <c r="L108" i="2"/>
  <c r="L141" i="2"/>
  <c r="L134" i="2"/>
  <c r="L135" i="2"/>
  <c r="L113" i="2"/>
  <c r="L138" i="2"/>
  <c r="L139" i="2"/>
  <c r="L129" i="2"/>
  <c r="L122" i="2"/>
  <c r="L108" i="12"/>
  <c r="L27" i="12"/>
  <c r="L72" i="12"/>
  <c r="L54" i="12"/>
  <c r="L37" i="12"/>
  <c r="L89" i="12"/>
  <c r="L81" i="12"/>
  <c r="L115" i="12"/>
  <c r="L91" i="12"/>
  <c r="L42" i="12"/>
  <c r="L136" i="12"/>
  <c r="L132" i="12"/>
  <c r="L9" i="12"/>
  <c r="L78" i="12"/>
  <c r="L60" i="12"/>
  <c r="L77" i="12"/>
  <c r="L19" i="12"/>
  <c r="L88" i="12"/>
  <c r="L69" i="12"/>
  <c r="L64" i="12"/>
  <c r="L45" i="12"/>
  <c r="L28" i="12"/>
  <c r="L126" i="12"/>
  <c r="L122" i="12"/>
  <c r="L117" i="12"/>
  <c r="L114" i="12"/>
  <c r="L71" i="12"/>
  <c r="L36" i="12"/>
  <c r="L135" i="12"/>
  <c r="L107" i="12"/>
  <c r="L90" i="12"/>
  <c r="L53" i="12"/>
  <c r="L95" i="12"/>
  <c r="L119" i="12"/>
  <c r="L52" i="12"/>
  <c r="L61" i="12"/>
  <c r="L44" i="12"/>
  <c r="L20" i="12"/>
  <c r="L125" i="12"/>
  <c r="L105" i="12"/>
  <c r="L97" i="12"/>
  <c r="L56" i="12"/>
  <c r="L86" i="12"/>
  <c r="L73" i="12"/>
  <c r="L25" i="12"/>
  <c r="L124" i="12"/>
  <c r="L16" i="12"/>
  <c r="L7" i="12"/>
  <c r="L17" i="12"/>
  <c r="L3" i="12"/>
  <c r="L15" i="12"/>
  <c r="L18" i="12"/>
  <c r="J27" i="10"/>
  <c r="L27" i="10"/>
  <c r="J34" i="10"/>
  <c r="L34" i="10"/>
  <c r="J30" i="10"/>
  <c r="L30" i="10"/>
  <c r="J43" i="10"/>
  <c r="L43" i="10"/>
  <c r="J48" i="10"/>
  <c r="L48" i="10"/>
  <c r="J52" i="10"/>
  <c r="J119" i="10"/>
  <c r="J113" i="10"/>
  <c r="L113" i="10"/>
  <c r="J65" i="10"/>
  <c r="L65" i="10"/>
  <c r="J54" i="11"/>
  <c r="L54" i="11"/>
  <c r="J76" i="10"/>
  <c r="L59" i="12"/>
  <c r="J66" i="11"/>
  <c r="L66" i="11"/>
  <c r="J36" i="11"/>
  <c r="L36" i="11"/>
  <c r="J18" i="11"/>
  <c r="L18" i="11"/>
  <c r="L89" i="2"/>
  <c r="J4" i="10"/>
  <c r="L66" i="2"/>
  <c r="L42" i="2"/>
  <c r="J23" i="10"/>
  <c r="L23" i="10"/>
  <c r="J47" i="10"/>
  <c r="L47" i="10"/>
  <c r="J112" i="10"/>
  <c r="J94" i="10"/>
  <c r="L94" i="10"/>
  <c r="J64" i="10"/>
  <c r="J72" i="11"/>
  <c r="L72" i="11"/>
  <c r="J159" i="10"/>
  <c r="J143" i="10"/>
  <c r="L143" i="10"/>
  <c r="J123" i="10"/>
  <c r="L123" i="10"/>
  <c r="J107" i="11"/>
  <c r="J103" i="11"/>
  <c r="L103" i="11"/>
  <c r="J42" i="10"/>
  <c r="J88" i="10"/>
  <c r="J71" i="11"/>
  <c r="J47" i="11"/>
  <c r="J170" i="10"/>
  <c r="L170" i="10"/>
  <c r="L104" i="12"/>
  <c r="J16" i="10"/>
  <c r="J63" i="10"/>
  <c r="L63" i="10"/>
  <c r="J77" i="11"/>
  <c r="J59" i="11"/>
  <c r="L96" i="2"/>
  <c r="J122" i="10"/>
  <c r="L122" i="10"/>
  <c r="J166" i="10"/>
  <c r="L166" i="10"/>
  <c r="J162" i="10"/>
  <c r="L162" i="10"/>
  <c r="J158" i="10"/>
  <c r="L158" i="10"/>
  <c r="J154" i="10"/>
  <c r="L154" i="10"/>
  <c r="J150" i="10"/>
  <c r="J146" i="10"/>
  <c r="L146" i="10"/>
  <c r="J142" i="10"/>
  <c r="L142" i="10"/>
  <c r="J138" i="10"/>
  <c r="L138" i="10"/>
  <c r="J134" i="10"/>
  <c r="L134" i="10"/>
  <c r="J130" i="10"/>
  <c r="L130" i="10"/>
  <c r="J178" i="10"/>
  <c r="L178" i="10"/>
  <c r="J174" i="10"/>
  <c r="L174" i="10"/>
  <c r="J118" i="11"/>
  <c r="L118" i="11"/>
  <c r="J114" i="11"/>
  <c r="J110" i="11"/>
  <c r="L110" i="11"/>
  <c r="J106" i="11"/>
  <c r="J102" i="11"/>
  <c r="L102" i="11"/>
  <c r="J98" i="11"/>
  <c r="L98" i="11"/>
  <c r="J94" i="11"/>
  <c r="L94" i="11"/>
  <c r="J90" i="11"/>
  <c r="L90" i="11"/>
  <c r="J82" i="11"/>
  <c r="J107" i="10"/>
  <c r="L107" i="10"/>
  <c r="J24" i="11"/>
  <c r="L24" i="11"/>
  <c r="L85" i="2"/>
  <c r="J83" i="11"/>
  <c r="L38" i="2"/>
  <c r="L26" i="2"/>
  <c r="J17" i="10"/>
  <c r="L17" i="10"/>
  <c r="J118" i="10"/>
  <c r="L118" i="10"/>
  <c r="J155" i="10"/>
  <c r="J139" i="10"/>
  <c r="L139" i="10"/>
  <c r="J175" i="10"/>
  <c r="L175" i="10"/>
  <c r="J111" i="11"/>
  <c r="J99" i="11"/>
  <c r="L99" i="11"/>
  <c r="J87" i="11"/>
  <c r="L128" i="12"/>
  <c r="L24" i="12"/>
  <c r="J4" i="11"/>
  <c r="J53" i="11"/>
  <c r="J23" i="11"/>
  <c r="L113" i="12"/>
  <c r="J22" i="10"/>
  <c r="L22" i="10"/>
  <c r="J49" i="10"/>
  <c r="L49" i="10"/>
  <c r="J99" i="10"/>
  <c r="L99" i="10"/>
  <c r="J75" i="10"/>
  <c r="L75" i="10"/>
  <c r="J35" i="11"/>
  <c r="L35" i="11"/>
  <c r="J17" i="11"/>
  <c r="L17" i="11"/>
  <c r="L92" i="2"/>
  <c r="L84" i="2"/>
  <c r="J126" i="10"/>
  <c r="L126" i="10"/>
  <c r="J86" i="11"/>
  <c r="L86" i="11"/>
  <c r="L118" i="12"/>
  <c r="J2" i="2"/>
  <c r="J7" i="10"/>
  <c r="J3" i="10"/>
  <c r="L61" i="2"/>
  <c r="L49" i="2"/>
  <c r="L45" i="2"/>
  <c r="L37" i="2"/>
  <c r="L29" i="2"/>
  <c r="L25" i="2"/>
  <c r="J14" i="10"/>
  <c r="L14" i="10"/>
  <c r="J50" i="10"/>
  <c r="L50" i="10"/>
  <c r="J57" i="10"/>
  <c r="L57" i="10"/>
  <c r="J111" i="10"/>
  <c r="L111" i="10"/>
  <c r="J93" i="10"/>
  <c r="J87" i="10"/>
  <c r="J69" i="10"/>
  <c r="L69" i="10"/>
  <c r="J76" i="11"/>
  <c r="L76" i="11"/>
  <c r="J70" i="11"/>
  <c r="L70" i="11"/>
  <c r="J64" i="11"/>
  <c r="J52" i="11"/>
  <c r="L52" i="11"/>
  <c r="J46" i="11"/>
  <c r="L46" i="11"/>
  <c r="J40" i="11"/>
  <c r="L40" i="11"/>
  <c r="J34" i="11"/>
  <c r="L34" i="11"/>
  <c r="J28" i="11"/>
  <c r="L28" i="11"/>
  <c r="J10" i="11"/>
  <c r="L10" i="11"/>
  <c r="J11" i="10"/>
  <c r="L21" i="2"/>
  <c r="L17" i="2"/>
  <c r="J5" i="11"/>
  <c r="J9" i="11"/>
  <c r="J21" i="10"/>
  <c r="L21" i="10"/>
  <c r="J36" i="10"/>
  <c r="L36" i="10"/>
  <c r="J32" i="10"/>
  <c r="J55" i="10"/>
  <c r="L55" i="10"/>
  <c r="J116" i="10"/>
  <c r="J104" i="10"/>
  <c r="J92" i="10"/>
  <c r="J80" i="10"/>
  <c r="J15" i="10"/>
  <c r="L15" i="10"/>
  <c r="J81" i="11"/>
  <c r="L81" i="11"/>
  <c r="J58" i="11"/>
  <c r="L58" i="11"/>
  <c r="J22" i="11"/>
  <c r="L22" i="11"/>
  <c r="J16" i="11"/>
  <c r="J85" i="11"/>
  <c r="J89" i="10"/>
  <c r="L89" i="10"/>
  <c r="J30" i="11"/>
  <c r="L30" i="11"/>
  <c r="L73" i="2"/>
  <c r="L101" i="2"/>
  <c r="L62" i="2"/>
  <c r="L30" i="2"/>
  <c r="J70" i="10"/>
  <c r="L70" i="10"/>
  <c r="J78" i="11"/>
  <c r="L78" i="11"/>
  <c r="J60" i="11"/>
  <c r="L60" i="11"/>
  <c r="J42" i="11"/>
  <c r="J12" i="11"/>
  <c r="L12" i="11"/>
  <c r="J163" i="10"/>
  <c r="L163" i="10"/>
  <c r="J127" i="10"/>
  <c r="L127" i="10"/>
  <c r="J12" i="10"/>
  <c r="L22" i="2"/>
  <c r="J58" i="10"/>
  <c r="L58" i="10"/>
  <c r="L101" i="12"/>
  <c r="J117" i="10"/>
  <c r="L117" i="10"/>
  <c r="J81" i="10"/>
  <c r="L81" i="10"/>
  <c r="J46" i="10"/>
  <c r="L46" i="10"/>
  <c r="J40" i="10"/>
  <c r="J62" i="10"/>
  <c r="L62" i="10"/>
  <c r="J110" i="10"/>
  <c r="L110" i="10"/>
  <c r="J75" i="11"/>
  <c r="L75" i="11"/>
  <c r="J51" i="11"/>
  <c r="L51" i="11"/>
  <c r="J39" i="11"/>
  <c r="J33" i="11"/>
  <c r="L33" i="11"/>
  <c r="J27" i="11"/>
  <c r="J21" i="11"/>
  <c r="L75" i="2"/>
  <c r="L99" i="2"/>
  <c r="L87" i="2"/>
  <c r="L103" i="2"/>
  <c r="L8" i="12"/>
  <c r="J29" i="10"/>
  <c r="L29" i="10"/>
  <c r="J98" i="10"/>
  <c r="L98" i="10"/>
  <c r="J68" i="10"/>
  <c r="L68" i="10"/>
  <c r="J69" i="11"/>
  <c r="L68" i="2"/>
  <c r="L56" i="2"/>
  <c r="L44" i="2"/>
  <c r="L28" i="2"/>
  <c r="L16" i="2"/>
  <c r="J85" i="10"/>
  <c r="L85" i="10"/>
  <c r="J57" i="11"/>
  <c r="L57" i="11"/>
  <c r="J45" i="11"/>
  <c r="L45" i="11"/>
  <c r="J15" i="11"/>
  <c r="L74" i="2"/>
  <c r="J169" i="10"/>
  <c r="L169" i="10"/>
  <c r="J165" i="10"/>
  <c r="L165" i="10"/>
  <c r="J161" i="10"/>
  <c r="L161" i="10"/>
  <c r="J157" i="10"/>
  <c r="L157" i="10"/>
  <c r="J153" i="10"/>
  <c r="J149" i="10"/>
  <c r="L149" i="10"/>
  <c r="J145" i="10"/>
  <c r="L145" i="10"/>
  <c r="J141" i="10"/>
  <c r="L141" i="10"/>
  <c r="J137" i="10"/>
  <c r="L137" i="10"/>
  <c r="J133" i="10"/>
  <c r="L133" i="10"/>
  <c r="J129" i="10"/>
  <c r="J125" i="10"/>
  <c r="L125" i="10"/>
  <c r="J181" i="10"/>
  <c r="L181" i="10"/>
  <c r="J177" i="10"/>
  <c r="L177" i="10"/>
  <c r="J173" i="10"/>
  <c r="L173" i="10"/>
  <c r="J121" i="11"/>
  <c r="L121" i="11"/>
  <c r="J117" i="11"/>
  <c r="L117" i="11"/>
  <c r="J113" i="11"/>
  <c r="L113" i="11"/>
  <c r="J109" i="11"/>
  <c r="L109" i="11"/>
  <c r="J105" i="11"/>
  <c r="L105" i="11"/>
  <c r="J101" i="11"/>
  <c r="J97" i="11"/>
  <c r="L97" i="11"/>
  <c r="J93" i="11"/>
  <c r="J89" i="11"/>
  <c r="L89" i="11"/>
  <c r="L99" i="12"/>
  <c r="J10" i="10"/>
  <c r="L14" i="2"/>
  <c r="J6" i="11"/>
  <c r="J2" i="11"/>
  <c r="J25" i="10"/>
  <c r="L25" i="10"/>
  <c r="J54" i="10"/>
  <c r="L54" i="10"/>
  <c r="J61" i="10"/>
  <c r="L61" i="10"/>
  <c r="J115" i="10"/>
  <c r="L115" i="10"/>
  <c r="J109" i="10"/>
  <c r="L109" i="10"/>
  <c r="J103" i="10"/>
  <c r="L103" i="10"/>
  <c r="J91" i="10"/>
  <c r="L91" i="10"/>
  <c r="J73" i="10"/>
  <c r="L73" i="10"/>
  <c r="J67" i="10"/>
  <c r="L67" i="10"/>
  <c r="J74" i="11"/>
  <c r="L74" i="11"/>
  <c r="J68" i="11"/>
  <c r="L68" i="11"/>
  <c r="J62" i="11"/>
  <c r="L62" i="11"/>
  <c r="J44" i="11"/>
  <c r="L44" i="11"/>
  <c r="J32" i="11"/>
  <c r="L32" i="11"/>
  <c r="J26" i="11"/>
  <c r="L26" i="11"/>
  <c r="J20" i="11"/>
  <c r="L20" i="11"/>
  <c r="J71" i="10"/>
  <c r="L71" i="10"/>
  <c r="J48" i="11"/>
  <c r="L48" i="11"/>
  <c r="L97" i="2"/>
  <c r="J8" i="10"/>
  <c r="L34" i="2"/>
  <c r="J106" i="10"/>
  <c r="L106" i="10"/>
  <c r="J82" i="10"/>
  <c r="L82" i="10"/>
  <c r="J151" i="10"/>
  <c r="L151" i="10"/>
  <c r="J135" i="10"/>
  <c r="L135" i="10"/>
  <c r="J179" i="10"/>
  <c r="J115" i="11"/>
  <c r="J95" i="11"/>
  <c r="J8" i="11"/>
  <c r="J33" i="10"/>
  <c r="L33" i="10"/>
  <c r="J51" i="10"/>
  <c r="L51" i="10"/>
  <c r="J41" i="11"/>
  <c r="L41" i="11"/>
  <c r="J11" i="11"/>
  <c r="L11" i="11"/>
  <c r="L34" i="12"/>
  <c r="L43" i="12"/>
  <c r="J41" i="10"/>
  <c r="L41" i="10"/>
  <c r="J6" i="10"/>
  <c r="L64" i="2"/>
  <c r="L52" i="2"/>
  <c r="J26" i="10"/>
  <c r="L26" i="10"/>
  <c r="J45" i="10"/>
  <c r="L45" i="10"/>
  <c r="J19" i="10"/>
  <c r="L19" i="10"/>
  <c r="J31" i="10"/>
  <c r="L31" i="10"/>
  <c r="J60" i="10"/>
  <c r="L60" i="10"/>
  <c r="J114" i="10"/>
  <c r="L114" i="10"/>
  <c r="J102" i="10"/>
  <c r="J66" i="10"/>
  <c r="L66" i="10"/>
  <c r="J50" i="11"/>
  <c r="L50" i="11"/>
  <c r="J14" i="11"/>
  <c r="L14" i="11"/>
  <c r="L94" i="2"/>
  <c r="L106" i="2"/>
  <c r="J124" i="10"/>
  <c r="J5" i="10"/>
  <c r="L71" i="2"/>
  <c r="L67" i="2"/>
  <c r="L43" i="2"/>
  <c r="L35" i="2"/>
  <c r="L31" i="2"/>
  <c r="L23" i="2"/>
  <c r="J18" i="10"/>
  <c r="L18" i="10"/>
  <c r="J38" i="10"/>
  <c r="L38" i="10"/>
  <c r="J53" i="10"/>
  <c r="L53" i="10"/>
  <c r="J120" i="10"/>
  <c r="L120" i="10"/>
  <c r="J108" i="10"/>
  <c r="J90" i="10"/>
  <c r="L90" i="10"/>
  <c r="J84" i="10"/>
  <c r="L84" i="10"/>
  <c r="J78" i="10"/>
  <c r="L78" i="10"/>
  <c r="J73" i="11"/>
  <c r="L73" i="11"/>
  <c r="J67" i="11"/>
  <c r="L67" i="11"/>
  <c r="J55" i="11"/>
  <c r="J31" i="11"/>
  <c r="J25" i="11"/>
  <c r="L25" i="11"/>
  <c r="J19" i="11"/>
  <c r="L19" i="11"/>
  <c r="L105" i="2"/>
  <c r="J168" i="10"/>
  <c r="L168" i="10"/>
  <c r="J164" i="10"/>
  <c r="J160" i="10"/>
  <c r="J156" i="10"/>
  <c r="L156" i="10"/>
  <c r="J152" i="10"/>
  <c r="L152" i="10"/>
  <c r="J148" i="10"/>
  <c r="J144" i="10"/>
  <c r="L144" i="10"/>
  <c r="J140" i="10"/>
  <c r="J136" i="10"/>
  <c r="J132" i="10"/>
  <c r="J128" i="10"/>
  <c r="J180" i="10"/>
  <c r="L180" i="10"/>
  <c r="J176" i="10"/>
  <c r="J172" i="10"/>
  <c r="J120" i="11"/>
  <c r="J116" i="11"/>
  <c r="L116" i="11"/>
  <c r="J112" i="11"/>
  <c r="L112" i="11"/>
  <c r="J108" i="11"/>
  <c r="L108" i="11"/>
  <c r="J104" i="11"/>
  <c r="L104" i="11"/>
  <c r="J100" i="11"/>
  <c r="L100" i="11"/>
  <c r="J96" i="11"/>
  <c r="L96" i="11"/>
  <c r="J92" i="11"/>
  <c r="L92" i="11"/>
  <c r="J88" i="11"/>
  <c r="L88" i="11"/>
  <c r="J84" i="11"/>
  <c r="L63" i="12"/>
  <c r="J171" i="10"/>
  <c r="L50" i="2"/>
  <c r="J100" i="10"/>
  <c r="J167" i="10"/>
  <c r="L167" i="10"/>
  <c r="J147" i="10"/>
  <c r="L147" i="10"/>
  <c r="J131" i="10"/>
  <c r="L131" i="10"/>
  <c r="J119" i="11"/>
  <c r="J91" i="11"/>
  <c r="L91" i="11"/>
  <c r="J65" i="11"/>
  <c r="J29" i="11"/>
  <c r="J37" i="10"/>
  <c r="L37" i="10"/>
  <c r="J105" i="10"/>
  <c r="L105" i="10"/>
  <c r="L15" i="2"/>
  <c r="J20" i="10"/>
  <c r="J56" i="10"/>
  <c r="J86" i="10"/>
  <c r="L86" i="10"/>
  <c r="J74" i="10"/>
  <c r="L74" i="10"/>
  <c r="J63" i="11"/>
  <c r="L36" i="2"/>
  <c r="L24" i="2"/>
  <c r="J39" i="10"/>
  <c r="L39" i="10"/>
  <c r="J121" i="10"/>
  <c r="L121" i="10"/>
  <c r="J97" i="10"/>
  <c r="L97" i="10"/>
  <c r="J79" i="10"/>
  <c r="L79" i="10"/>
  <c r="J2" i="10"/>
  <c r="C3" i="16" s="1" a="1"/>
  <c r="C3" i="16" s="1"/>
  <c r="D3" i="16" s="1"/>
  <c r="D23" i="13" s="1"/>
  <c r="F23" i="13" s="1" a="1"/>
  <c r="F23" i="13" s="1"/>
  <c r="L10" i="2"/>
  <c r="J28" i="10"/>
  <c r="J35" i="10"/>
  <c r="L35" i="10"/>
  <c r="J44" i="10"/>
  <c r="J96" i="10"/>
  <c r="L96" i="10"/>
  <c r="J72" i="10"/>
  <c r="J80" i="11"/>
  <c r="L80" i="11"/>
  <c r="J56" i="11"/>
  <c r="L56" i="11"/>
  <c r="J38" i="11"/>
  <c r="L38" i="11"/>
  <c r="L78" i="2"/>
  <c r="L98" i="2"/>
  <c r="L82" i="2"/>
  <c r="L70" i="12"/>
  <c r="J13" i="10"/>
  <c r="J9" i="10"/>
  <c r="L19" i="2"/>
  <c r="J3" i="11"/>
  <c r="J7" i="11"/>
  <c r="J24" i="10"/>
  <c r="L24" i="10"/>
  <c r="J59" i="10"/>
  <c r="L59" i="10"/>
  <c r="J101" i="10"/>
  <c r="L101" i="10"/>
  <c r="J95" i="10"/>
  <c r="J83" i="10"/>
  <c r="L83" i="10"/>
  <c r="J77" i="10"/>
  <c r="L77" i="10"/>
  <c r="J79" i="11"/>
  <c r="J61" i="11"/>
  <c r="J49" i="11"/>
  <c r="J43" i="11"/>
  <c r="J37" i="11"/>
  <c r="J13" i="11"/>
  <c r="L77" i="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5" i="12"/>
  <c r="J46" i="12"/>
  <c r="J48" i="12"/>
  <c r="J49" i="12"/>
  <c r="J50" i="12"/>
  <c r="J51" i="12"/>
  <c r="J52" i="12"/>
  <c r="J53" i="12"/>
  <c r="J54" i="12"/>
  <c r="J55" i="12"/>
  <c r="J57" i="12"/>
  <c r="J58" i="12"/>
  <c r="J59" i="12"/>
  <c r="J60" i="12"/>
  <c r="J61" i="12"/>
  <c r="J62" i="12"/>
  <c r="J63" i="12"/>
  <c r="J64" i="12"/>
  <c r="J65" i="12"/>
  <c r="J66" i="12"/>
  <c r="J67" i="12"/>
  <c r="J69" i="12"/>
  <c r="J70" i="12"/>
  <c r="J71" i="12"/>
  <c r="J72" i="12"/>
  <c r="J73" i="12"/>
  <c r="J75" i="12"/>
  <c r="J76" i="12"/>
  <c r="J77" i="12"/>
  <c r="J78" i="12"/>
  <c r="J79" i="12"/>
  <c r="J80" i="12"/>
  <c r="J82" i="12"/>
  <c r="J84" i="12"/>
  <c r="J85" i="12"/>
  <c r="J86" i="12"/>
  <c r="J87" i="12"/>
  <c r="J88" i="12"/>
  <c r="J89" i="12"/>
  <c r="J90" i="12"/>
  <c r="J91" i="12"/>
  <c r="J81" i="12"/>
  <c r="J19" i="12"/>
  <c r="J18" i="12"/>
  <c r="J17" i="12"/>
  <c r="J16" i="12"/>
  <c r="J15" i="12"/>
  <c r="J14" i="12"/>
  <c r="J13" i="12"/>
  <c r="J12" i="12"/>
  <c r="J11" i="12"/>
  <c r="A2" i="14"/>
  <c r="C16" i="14"/>
  <c r="C13" i="14"/>
  <c r="C14" i="14"/>
  <c r="C15" i="14"/>
  <c r="C12" i="14"/>
  <c r="C4" i="16" a="1"/>
  <c r="C4" i="16" s="1"/>
  <c r="D4" i="16" s="1"/>
  <c r="D32" i="13" s="1"/>
  <c r="F32" i="13" s="1" a="1"/>
  <c r="F32" i="13" s="1"/>
  <c r="J44" i="12"/>
  <c r="J47" i="12"/>
  <c r="J56" i="12"/>
  <c r="J68" i="12"/>
  <c r="J74" i="12"/>
  <c r="J83" i="12"/>
  <c r="C6" i="14"/>
  <c r="C5" i="14"/>
  <c r="C4" i="14"/>
  <c r="C7" i="14"/>
  <c r="C8" i="14"/>
  <c r="C9" i="14"/>
  <c r="C10" i="14"/>
  <c r="C11" i="14"/>
  <c r="C3" i="14"/>
  <c r="D3" i="4" a="1"/>
  <c r="D3" i="4" s="1"/>
  <c r="C4" i="4"/>
  <c r="E503" i="4" a="1"/>
  <c r="E503" i="4" s="1"/>
  <c r="D504" i="4" a="1"/>
  <c r="D504" i="4" s="1"/>
  <c r="E753" i="4" a="1"/>
  <c r="E753" i="4" s="1"/>
  <c r="D754" i="4" a="1"/>
  <c r="D754" i="4" s="1"/>
  <c r="E253" i="4" a="1"/>
  <c r="E253" i="4" s="1"/>
  <c r="C254" i="4"/>
  <c r="D254" i="4" s="1" a="1"/>
  <c r="D254" i="4" s="1"/>
  <c r="E2" i="4" a="1"/>
  <c r="E2" i="4" s="1"/>
  <c r="D23" i="17" l="1" a="1"/>
  <c r="D23" i="17" s="1"/>
  <c r="D62" i="17" a="1"/>
  <c r="D62" i="17" s="1"/>
  <c r="D6" i="17" a="1"/>
  <c r="D6" i="17" s="1"/>
  <c r="D38" i="17" a="1"/>
  <c r="D38" i="17" s="1"/>
  <c r="D87" i="17" a="1"/>
  <c r="D87" i="17" s="1"/>
  <c r="D11" i="17" a="1"/>
  <c r="D11" i="17" s="1"/>
  <c r="D34" i="17" a="1"/>
  <c r="D34" i="17" s="1"/>
  <c r="D59" i="17" a="1"/>
  <c r="D59" i="17" s="1"/>
  <c r="D36" i="17" a="1"/>
  <c r="D36" i="17" s="1"/>
  <c r="D42" i="17" a="1"/>
  <c r="D42" i="17" s="1"/>
  <c r="D74" i="17" a="1"/>
  <c r="D74" i="17" s="1"/>
  <c r="D66" i="17" a="1"/>
  <c r="D66" i="17" s="1"/>
  <c r="D47" i="17" a="1"/>
  <c r="D47" i="17" s="1"/>
  <c r="D70" i="17" a="1"/>
  <c r="D70" i="17" s="1"/>
  <c r="D33" i="17" a="1"/>
  <c r="D33" i="17" s="1"/>
  <c r="D72" i="17" a="1"/>
  <c r="D72" i="17" s="1"/>
  <c r="D78" i="17" a="1"/>
  <c r="D78" i="17" s="1"/>
  <c r="D12" i="17" a="1"/>
  <c r="D12" i="17" s="1"/>
  <c r="D25" i="17" a="1"/>
  <c r="D25" i="17" s="1"/>
  <c r="D83" i="17" a="1"/>
  <c r="D83" i="17" s="1"/>
  <c r="D17" i="17" a="1"/>
  <c r="D17" i="17" s="1"/>
  <c r="D69" i="17" a="1"/>
  <c r="D69" i="17" s="1"/>
  <c r="D46" i="17" a="1"/>
  <c r="D46" i="17" s="1"/>
  <c r="D16" i="17" a="1"/>
  <c r="D16" i="17" s="1"/>
  <c r="D48" i="17" a="1"/>
  <c r="D48" i="17" s="1"/>
  <c r="D61" i="17" a="1"/>
  <c r="D61" i="17" s="1"/>
  <c r="D21" i="17" a="1"/>
  <c r="D21" i="17" s="1"/>
  <c r="D53" i="17" a="1"/>
  <c r="D53" i="17" s="1"/>
  <c r="D82" i="17" a="1"/>
  <c r="D82" i="17" s="1"/>
  <c r="D65" i="17" a="1"/>
  <c r="D65" i="17" s="1"/>
  <c r="D52" i="17" a="1"/>
  <c r="D52" i="17" s="1"/>
  <c r="D84" i="17" a="1"/>
  <c r="D84" i="17" s="1"/>
  <c r="D8" i="17" a="1"/>
  <c r="D8" i="17" s="1"/>
  <c r="D57" i="17" a="1"/>
  <c r="D57" i="17" s="1"/>
  <c r="D2" i="17" a="1"/>
  <c r="D2" i="17" s="1"/>
  <c r="D3" i="17" a="1"/>
  <c r="D3" i="17" s="1"/>
  <c r="D10" i="17" a="1"/>
  <c r="D10" i="17" s="1"/>
  <c r="D71" i="17" a="1"/>
  <c r="D71" i="17" s="1"/>
  <c r="D58" i="17" a="1"/>
  <c r="D58" i="17" s="1"/>
  <c r="D80" i="17" a="1"/>
  <c r="D80" i="17" s="1"/>
  <c r="D67" i="17" a="1"/>
  <c r="D67" i="17" s="1"/>
  <c r="D27" i="17" a="1"/>
  <c r="D27" i="17" s="1"/>
  <c r="D31" i="17" a="1"/>
  <c r="D31" i="17" s="1"/>
  <c r="D75" i="17" a="1"/>
  <c r="D75" i="17" s="1"/>
  <c r="D13" i="17" a="1"/>
  <c r="D13" i="17" s="1"/>
  <c r="D9" i="17" a="1"/>
  <c r="D9" i="17" s="1"/>
  <c r="D5" i="17" a="1"/>
  <c r="D5" i="17" s="1"/>
  <c r="D18" i="17" a="1"/>
  <c r="D18" i="17" s="1"/>
  <c r="D14" i="17" a="1"/>
  <c r="D14" i="17" s="1"/>
  <c r="D63" i="17" a="1"/>
  <c r="D63" i="17" s="1"/>
  <c r="D29" i="17" a="1"/>
  <c r="D29" i="17" s="1"/>
  <c r="D39" i="17" a="1"/>
  <c r="D39" i="17" s="1"/>
  <c r="D22" i="17" a="1"/>
  <c r="D22" i="17" s="1"/>
  <c r="D7" i="17" a="1"/>
  <c r="D7" i="17" s="1"/>
  <c r="D49" i="17" a="1"/>
  <c r="D49" i="17" s="1"/>
  <c r="D45" i="17" a="1"/>
  <c r="D45" i="17" s="1"/>
  <c r="D41" i="17" a="1"/>
  <c r="D41" i="17" s="1"/>
  <c r="D54" i="17" a="1"/>
  <c r="D54" i="17" s="1"/>
  <c r="D50" i="17" a="1"/>
  <c r="D50" i="17" s="1"/>
  <c r="D37" i="17" a="1"/>
  <c r="D37" i="17" s="1"/>
  <c r="D35" i="17" a="1"/>
  <c r="D35" i="17" s="1"/>
  <c r="D4" i="17" a="1"/>
  <c r="D4" i="17" s="1"/>
  <c r="D43" i="17" a="1"/>
  <c r="D43" i="17" s="1"/>
  <c r="D85" i="17" a="1"/>
  <c r="D85" i="17" s="1"/>
  <c r="D81" i="17" a="1"/>
  <c r="D81" i="17" s="1"/>
  <c r="D77" i="17" a="1"/>
  <c r="D77" i="17" s="1"/>
  <c r="D30" i="17" a="1"/>
  <c r="D30" i="17" s="1"/>
  <c r="D86" i="17" a="1"/>
  <c r="D86" i="17" s="1"/>
  <c r="D73" i="17" a="1"/>
  <c r="D73" i="17" s="1"/>
  <c r="D40" i="17" a="1"/>
  <c r="D40" i="17" s="1"/>
  <c r="D79" i="17" a="1"/>
  <c r="D79" i="17" s="1"/>
  <c r="D32" i="17" a="1"/>
  <c r="D32" i="17" s="1"/>
  <c r="D19" i="17" a="1"/>
  <c r="D19" i="17" s="1"/>
  <c r="D15" i="17" a="1"/>
  <c r="D15" i="17" s="1"/>
  <c r="D28" i="17" a="1"/>
  <c r="D28" i="17" s="1"/>
  <c r="D24" i="17" a="1"/>
  <c r="D24" i="17" s="1"/>
  <c r="D20" i="17" a="1"/>
  <c r="D20" i="17" s="1"/>
  <c r="D44" i="17" a="1"/>
  <c r="D44" i="17" s="1"/>
  <c r="D76" i="17" a="1"/>
  <c r="D76" i="17" s="1"/>
  <c r="D26" i="17" a="1"/>
  <c r="D26" i="17" s="1"/>
  <c r="D68" i="17" a="1"/>
  <c r="D68" i="17" s="1"/>
  <c r="D55" i="17" a="1"/>
  <c r="D55" i="17" s="1"/>
  <c r="D51" i="17" a="1"/>
  <c r="D51" i="17" s="1"/>
  <c r="D64" i="17" a="1"/>
  <c r="D64" i="17" s="1"/>
  <c r="D60" i="17" a="1"/>
  <c r="D60" i="17" s="1"/>
  <c r="L900" i="12"/>
  <c r="L896" i="12"/>
  <c r="L898" i="12"/>
  <c r="L889" i="12"/>
  <c r="L875" i="12"/>
  <c r="L881" i="12"/>
  <c r="L880" i="12"/>
  <c r="L879" i="12"/>
  <c r="L878" i="12"/>
  <c r="L874" i="12"/>
  <c r="L873" i="12"/>
  <c r="L872" i="12"/>
  <c r="L870" i="12"/>
  <c r="L862" i="12"/>
  <c r="L855" i="12"/>
  <c r="L845" i="12"/>
  <c r="L830" i="12"/>
  <c r="L835" i="12"/>
  <c r="L823" i="12"/>
  <c r="L826" i="12"/>
  <c r="L818" i="12"/>
  <c r="L815" i="12"/>
  <c r="L812" i="12"/>
  <c r="L816" i="12"/>
  <c r="L817" i="12"/>
  <c r="L808" i="12"/>
  <c r="L804" i="12"/>
  <c r="L794" i="12"/>
  <c r="L797" i="12"/>
  <c r="L800" i="12"/>
  <c r="L799" i="12"/>
  <c r="L798" i="12"/>
  <c r="L783" i="12"/>
  <c r="L777" i="12"/>
  <c r="L776" i="12"/>
  <c r="L778" i="12"/>
  <c r="L780" i="12"/>
  <c r="L781" i="12"/>
  <c r="L782" i="12"/>
  <c r="L779" i="12"/>
  <c r="L262" i="12"/>
  <c r="L323" i="12"/>
  <c r="L317" i="12"/>
  <c r="L321" i="12"/>
  <c r="L415" i="12"/>
  <c r="L689" i="12"/>
  <c r="L659" i="12"/>
  <c r="L721" i="12"/>
  <c r="L770" i="12"/>
  <c r="L757" i="12"/>
  <c r="L225" i="12"/>
  <c r="L322" i="12"/>
  <c r="L348" i="12"/>
  <c r="L404" i="12"/>
  <c r="L417" i="12"/>
  <c r="L424" i="12"/>
  <c r="L486" i="12"/>
  <c r="L666" i="12"/>
  <c r="L298" i="12"/>
  <c r="L396" i="12"/>
  <c r="L533" i="11"/>
  <c r="L747" i="11"/>
  <c r="L350" i="12"/>
  <c r="L686" i="12"/>
  <c r="L280" i="11"/>
  <c r="L646" i="12"/>
  <c r="L709" i="12"/>
  <c r="L479" i="12"/>
  <c r="L504" i="12"/>
  <c r="L236" i="12"/>
  <c r="L369" i="12"/>
  <c r="L540" i="12"/>
  <c r="L761" i="12"/>
  <c r="L763" i="12"/>
  <c r="L766" i="12"/>
  <c r="L754" i="12"/>
  <c r="L740" i="12"/>
  <c r="L743" i="12"/>
  <c r="L745" i="12"/>
  <c r="L736" i="12"/>
  <c r="L734" i="12"/>
  <c r="L737" i="12"/>
  <c r="L728" i="12"/>
  <c r="L727" i="12"/>
  <c r="L717" i="12"/>
  <c r="L719" i="12"/>
  <c r="L699" i="12"/>
  <c r="L701" i="12"/>
  <c r="L695" i="12"/>
  <c r="L702" i="12"/>
  <c r="L693" i="12"/>
  <c r="L682" i="12"/>
  <c r="L681" i="12"/>
  <c r="L674" i="12"/>
  <c r="L673" i="12"/>
  <c r="L675" i="12"/>
  <c r="L654" i="12"/>
  <c r="L650" i="12"/>
  <c r="L647" i="12"/>
  <c r="L637" i="12"/>
  <c r="L634" i="12"/>
  <c r="L636" i="12"/>
  <c r="L638" i="12"/>
  <c r="L635" i="12"/>
  <c r="L632" i="12"/>
  <c r="L633" i="12"/>
  <c r="L351" i="11"/>
  <c r="L533" i="12"/>
  <c r="L583" i="12"/>
  <c r="L547" i="12"/>
  <c r="L614" i="11"/>
  <c r="L432" i="11"/>
  <c r="L253" i="12"/>
  <c r="L249" i="12"/>
  <c r="L477" i="12"/>
  <c r="L138" i="12"/>
  <c r="L421" i="12"/>
  <c r="L460" i="12"/>
  <c r="L379" i="12"/>
  <c r="L584" i="12"/>
  <c r="L582" i="12"/>
  <c r="L501" i="12"/>
  <c r="L612" i="12"/>
  <c r="L585" i="12"/>
  <c r="L558" i="12"/>
  <c r="L581" i="12"/>
  <c r="L628" i="12"/>
  <c r="L450" i="12"/>
  <c r="L493" i="12"/>
  <c r="L537" i="12"/>
  <c r="L578" i="12"/>
  <c r="L599" i="12"/>
  <c r="L626" i="12"/>
  <c r="L483" i="12"/>
  <c r="L523" i="12"/>
  <c r="L630" i="12"/>
  <c r="L467" i="12"/>
  <c r="L466" i="12"/>
  <c r="L596" i="12"/>
  <c r="L623" i="12"/>
  <c r="L503" i="12"/>
  <c r="L509" i="12"/>
  <c r="L461" i="12"/>
  <c r="L542" i="12"/>
  <c r="L573" i="12"/>
  <c r="L576" i="12"/>
  <c r="L512" i="12"/>
  <c r="L567" i="12"/>
  <c r="L532" i="12"/>
  <c r="L617" i="12"/>
  <c r="L621" i="12"/>
  <c r="L614" i="12"/>
  <c r="L618" i="12"/>
  <c r="L611" i="12"/>
  <c r="L608" i="12"/>
  <c r="L602" i="12"/>
  <c r="L592" i="12"/>
  <c r="L591" i="12"/>
  <c r="L574" i="12"/>
  <c r="L572" i="12"/>
  <c r="L575" i="12"/>
  <c r="L560" i="12"/>
  <c r="L564" i="12"/>
  <c r="L565" i="12"/>
  <c r="L556" i="12"/>
  <c r="L550" i="12"/>
  <c r="L538" i="12"/>
  <c r="L539" i="12"/>
  <c r="L529" i="12"/>
  <c r="L527" i="12"/>
  <c r="L515" i="12"/>
  <c r="L519" i="12"/>
  <c r="L520" i="12"/>
  <c r="L510" i="12"/>
  <c r="L500" i="12"/>
  <c r="L502" i="12"/>
  <c r="L491" i="12"/>
  <c r="L474" i="12"/>
  <c r="L476" i="12"/>
  <c r="L475" i="12"/>
  <c r="L454" i="12"/>
  <c r="L455" i="12"/>
  <c r="L453" i="12"/>
  <c r="L458" i="12"/>
  <c r="L457" i="12"/>
  <c r="L452" i="12"/>
  <c r="L459" i="12"/>
  <c r="L775" i="11"/>
  <c r="L582" i="11"/>
  <c r="L675" i="11"/>
  <c r="L159" i="12"/>
  <c r="L374" i="12"/>
  <c r="L447" i="12"/>
  <c r="E42" i="13" a="1"/>
  <c r="E42" i="13" s="1"/>
  <c r="E39" i="13" a="1"/>
  <c r="E39" i="13" s="1"/>
  <c r="L440" i="12"/>
  <c r="L438" i="12"/>
  <c r="L406" i="12"/>
  <c r="L247" i="11"/>
  <c r="L320" i="11"/>
  <c r="L380" i="12"/>
  <c r="L552" i="10"/>
  <c r="L153" i="12"/>
  <c r="L397" i="12"/>
  <c r="L383" i="12"/>
  <c r="L375" i="12"/>
  <c r="L388" i="12"/>
  <c r="L538" i="11"/>
  <c r="L595" i="11"/>
  <c r="L411" i="12"/>
  <c r="L442" i="12"/>
  <c r="L371" i="12"/>
  <c r="L419" i="12"/>
  <c r="L416" i="12"/>
  <c r="L449" i="12"/>
  <c r="L446" i="12"/>
  <c r="L448" i="12"/>
  <c r="L437" i="12"/>
  <c r="L439" i="12"/>
  <c r="L425" i="12"/>
  <c r="L420" i="12"/>
  <c r="L422" i="12"/>
  <c r="L413" i="12"/>
  <c r="L410" i="12"/>
  <c r="L412" i="12"/>
  <c r="L403" i="12"/>
  <c r="L401" i="12"/>
  <c r="L398" i="12"/>
  <c r="L389" i="12"/>
  <c r="L393" i="12"/>
  <c r="L394" i="12"/>
  <c r="L395" i="12"/>
  <c r="L392" i="12"/>
  <c r="L385" i="12"/>
  <c r="L384" i="12"/>
  <c r="L386" i="12"/>
  <c r="L367" i="12"/>
  <c r="L366" i="12"/>
  <c r="L368" i="12"/>
  <c r="L365" i="12"/>
  <c r="L362" i="12"/>
  <c r="L363" i="12"/>
  <c r="E37" i="13" a="1"/>
  <c r="E37" i="13" s="1"/>
  <c r="L677" i="11"/>
  <c r="L286" i="12"/>
  <c r="L280" i="12"/>
  <c r="L295" i="11"/>
  <c r="L743" i="11"/>
  <c r="L790" i="11"/>
  <c r="E35" i="13" a="1"/>
  <c r="E35" i="13" s="1"/>
  <c r="L558" i="11"/>
  <c r="L206" i="12"/>
  <c r="L171" i="12"/>
  <c r="L242" i="12"/>
  <c r="L691" i="11"/>
  <c r="L664" i="11"/>
  <c r="L666" i="11"/>
  <c r="E36" i="13" a="1"/>
  <c r="E36" i="13" s="1"/>
  <c r="L1120" i="10"/>
  <c r="L207" i="12"/>
  <c r="L189" i="12"/>
  <c r="L307" i="12"/>
  <c r="L763" i="11"/>
  <c r="L741" i="11"/>
  <c r="L288" i="12"/>
  <c r="L649" i="11"/>
  <c r="L703" i="11"/>
  <c r="L231" i="12"/>
  <c r="L232" i="12"/>
  <c r="L302" i="12"/>
  <c r="L304" i="12"/>
  <c r="L296" i="12"/>
  <c r="L257" i="12"/>
  <c r="E33" i="13" a="1"/>
  <c r="E33" i="13" s="1"/>
  <c r="E34" i="13" a="1"/>
  <c r="E34" i="13" s="1"/>
  <c r="E38" i="13" a="1"/>
  <c r="E38" i="13" s="1"/>
  <c r="E41" i="13" a="1"/>
  <c r="E41" i="13" s="1"/>
  <c r="L297" i="12"/>
  <c r="L292" i="12"/>
  <c r="L274" i="12"/>
  <c r="L287" i="12"/>
  <c r="L276" i="12"/>
  <c r="L283" i="12"/>
  <c r="L305" i="12"/>
  <c r="L273" i="12"/>
  <c r="L285" i="12"/>
  <c r="L263" i="12"/>
  <c r="L277" i="12"/>
  <c r="L268" i="12"/>
  <c r="L294" i="12"/>
  <c r="L275" i="12"/>
  <c r="L272" i="12"/>
  <c r="L265" i="12"/>
  <c r="L284" i="12"/>
  <c r="L295" i="12"/>
  <c r="L303" i="12"/>
  <c r="L282" i="12"/>
  <c r="L266" i="12"/>
  <c r="L281" i="12"/>
  <c r="L267" i="12"/>
  <c r="L293" i="12"/>
  <c r="L279" i="12"/>
  <c r="L290" i="12"/>
  <c r="L300" i="12"/>
  <c r="L270" i="12"/>
  <c r="L264" i="12"/>
  <c r="L211" i="12"/>
  <c r="L183" i="12"/>
  <c r="L245" i="12"/>
  <c r="L250" i="12"/>
  <c r="L251" i="12"/>
  <c r="L172" i="12"/>
  <c r="L238" i="12"/>
  <c r="L156" i="12"/>
  <c r="L158" i="12"/>
  <c r="L191" i="12"/>
  <c r="L163" i="12"/>
  <c r="L160" i="12"/>
  <c r="L241" i="12"/>
  <c r="L150" i="12"/>
  <c r="L259" i="12"/>
  <c r="L192" i="12"/>
  <c r="L177" i="12"/>
  <c r="L252" i="12"/>
  <c r="L196" i="12"/>
  <c r="L254" i="12"/>
  <c r="L260" i="12"/>
  <c r="L185" i="12"/>
  <c r="L166" i="12"/>
  <c r="L194" i="12"/>
  <c r="L202" i="12"/>
  <c r="L161" i="12"/>
  <c r="L165" i="12"/>
  <c r="L164" i="12"/>
  <c r="L170" i="12"/>
  <c r="L187" i="12"/>
  <c r="L214" i="12"/>
  <c r="L240" i="12"/>
  <c r="L243" i="12"/>
  <c r="L244" i="12"/>
  <c r="L221" i="12"/>
  <c r="L218" i="12"/>
  <c r="L219" i="12"/>
  <c r="L169" i="12"/>
  <c r="L220" i="12"/>
  <c r="L186" i="12"/>
  <c r="L152" i="12"/>
  <c r="L223" i="12"/>
  <c r="L151" i="12"/>
  <c r="L144" i="12"/>
  <c r="L210" i="12"/>
  <c r="L212" i="12"/>
  <c r="L213" i="12"/>
  <c r="L209" i="12"/>
  <c r="L155" i="12"/>
  <c r="L193" i="12"/>
  <c r="L143" i="12"/>
  <c r="L230" i="12"/>
  <c r="L173" i="12"/>
  <c r="L176" i="12"/>
  <c r="L246" i="12"/>
  <c r="L261" i="12"/>
  <c r="L200" i="12"/>
  <c r="L203" i="12"/>
  <c r="L201" i="12"/>
  <c r="L233" i="12"/>
  <c r="L258" i="12"/>
  <c r="L168" i="12"/>
  <c r="L188" i="12"/>
  <c r="L157" i="12"/>
  <c r="L216" i="12"/>
  <c r="L228" i="12"/>
  <c r="L227" i="12"/>
  <c r="L197" i="12"/>
  <c r="L229" i="12"/>
  <c r="L141" i="12"/>
  <c r="L248" i="12"/>
  <c r="L222" i="12"/>
  <c r="L146" i="12"/>
  <c r="L178" i="12"/>
  <c r="L239" i="12"/>
  <c r="L175" i="12"/>
  <c r="L184" i="12"/>
  <c r="L179" i="12"/>
  <c r="L256" i="12"/>
  <c r="L226" i="12"/>
  <c r="L137" i="12"/>
  <c r="L140" i="12"/>
  <c r="L139" i="12"/>
  <c r="L142" i="12"/>
  <c r="L199" i="12"/>
  <c r="L148" i="12"/>
  <c r="L724" i="10"/>
  <c r="L615" i="11"/>
  <c r="L597" i="11"/>
  <c r="L702" i="11"/>
  <c r="L667" i="11"/>
  <c r="L766" i="11"/>
  <c r="L804" i="10"/>
  <c r="L773" i="11"/>
  <c r="L749" i="11"/>
  <c r="L739" i="11"/>
  <c r="L211" i="11"/>
  <c r="L515" i="11"/>
  <c r="L724" i="11"/>
  <c r="L669" i="11"/>
  <c r="L762" i="11"/>
  <c r="L454" i="11"/>
  <c r="L690" i="11"/>
  <c r="L334" i="11"/>
  <c r="L531" i="11"/>
  <c r="L1004" i="10"/>
  <c r="L731" i="11"/>
  <c r="L639" i="11"/>
  <c r="L512" i="11"/>
  <c r="L671" i="11"/>
  <c r="L750" i="11"/>
  <c r="L1072" i="10"/>
  <c r="L1089" i="10"/>
  <c r="L309" i="11"/>
  <c r="L419" i="11"/>
  <c r="L446" i="11"/>
  <c r="L800" i="11"/>
  <c r="L797" i="11"/>
  <c r="L796" i="11"/>
  <c r="L798" i="11"/>
  <c r="L799" i="11"/>
  <c r="L795" i="11"/>
  <c r="L789" i="11"/>
  <c r="L787" i="11"/>
  <c r="L791" i="11"/>
  <c r="L786" i="11"/>
  <c r="L784" i="11"/>
  <c r="L783" i="11"/>
  <c r="L779" i="11"/>
  <c r="L778" i="11"/>
  <c r="L780" i="11"/>
  <c r="L770" i="11"/>
  <c r="L771" i="11"/>
  <c r="L774" i="11"/>
  <c r="L767" i="11"/>
  <c r="L764" i="11"/>
  <c r="L765" i="11"/>
  <c r="L758" i="11"/>
  <c r="L759" i="11"/>
  <c r="L755" i="11"/>
  <c r="L746" i="11"/>
  <c r="L748" i="11"/>
  <c r="L736" i="11"/>
  <c r="L735" i="11"/>
  <c r="L733" i="11"/>
  <c r="L723" i="11"/>
  <c r="L725" i="11"/>
  <c r="L727" i="11"/>
  <c r="L717" i="11"/>
  <c r="L707" i="11"/>
  <c r="L706" i="11"/>
  <c r="L711" i="11"/>
  <c r="L709" i="11"/>
  <c r="L699" i="11"/>
  <c r="L698" i="11"/>
  <c r="L700" i="11"/>
  <c r="L693" i="11"/>
  <c r="L692" i="11"/>
  <c r="L695" i="11"/>
  <c r="L678" i="11"/>
  <c r="L679" i="11"/>
  <c r="L661" i="11"/>
  <c r="L659" i="11"/>
  <c r="L658" i="11"/>
  <c r="L660" i="11"/>
  <c r="L479" i="11"/>
  <c r="L490" i="11"/>
  <c r="L478" i="11"/>
  <c r="L322" i="11"/>
  <c r="L539" i="11"/>
  <c r="L509" i="11"/>
  <c r="L511" i="11"/>
  <c r="L469" i="11"/>
  <c r="L540" i="11"/>
  <c r="L535" i="11"/>
  <c r="L543" i="11"/>
  <c r="L650" i="11"/>
  <c r="L541" i="11"/>
  <c r="L427" i="11"/>
  <c r="L125" i="11"/>
  <c r="L471" i="11"/>
  <c r="L551" i="11"/>
  <c r="L651" i="11"/>
  <c r="L357" i="11"/>
  <c r="L339" i="11"/>
  <c r="L587" i="11"/>
  <c r="L622" i="11"/>
  <c r="L532" i="11"/>
  <c r="L530" i="11"/>
  <c r="L534" i="11"/>
  <c r="L255" i="11"/>
  <c r="L410" i="11"/>
  <c r="L557" i="11"/>
  <c r="L507" i="11"/>
  <c r="L594" i="11"/>
  <c r="L498" i="11"/>
  <c r="L656" i="11"/>
  <c r="L653" i="11"/>
  <c r="L655" i="11"/>
  <c r="L645" i="11"/>
  <c r="L647" i="11"/>
  <c r="L646" i="11"/>
  <c r="L643" i="11"/>
  <c r="L648" i="11"/>
  <c r="L637" i="11"/>
  <c r="L635" i="11"/>
  <c r="L627" i="11"/>
  <c r="L630" i="11"/>
  <c r="L629" i="11"/>
  <c r="L631" i="11"/>
  <c r="L618" i="11"/>
  <c r="L621" i="11"/>
  <c r="L623" i="11"/>
  <c r="L619" i="11"/>
  <c r="L613" i="11"/>
  <c r="L610" i="11"/>
  <c r="L611" i="11"/>
  <c r="L602" i="11"/>
  <c r="L606" i="11"/>
  <c r="L605" i="11"/>
  <c r="L607" i="11"/>
  <c r="L599" i="11"/>
  <c r="L589" i="11"/>
  <c r="L591" i="11"/>
  <c r="L584" i="11"/>
  <c r="L581" i="11"/>
  <c r="L578" i="11"/>
  <c r="L579" i="11"/>
  <c r="L575" i="11"/>
  <c r="L573" i="11"/>
  <c r="L570" i="11"/>
  <c r="L571" i="11"/>
  <c r="L567" i="11"/>
  <c r="L565" i="11"/>
  <c r="L559" i="11"/>
  <c r="L555" i="11"/>
  <c r="L554" i="11"/>
  <c r="L550" i="11"/>
  <c r="L546" i="11"/>
  <c r="L549" i="11"/>
  <c r="L547" i="11"/>
  <c r="L545" i="11"/>
  <c r="L517" i="11"/>
  <c r="L519" i="11"/>
  <c r="L503" i="11"/>
  <c r="L501" i="11"/>
  <c r="L499" i="11"/>
  <c r="L493" i="11"/>
  <c r="L495" i="11"/>
  <c r="L491" i="11"/>
  <c r="L485" i="11"/>
  <c r="L487" i="11"/>
  <c r="L475" i="11"/>
  <c r="L477" i="11"/>
  <c r="L467" i="11"/>
  <c r="L466" i="11"/>
  <c r="L285" i="11"/>
  <c r="L373" i="11"/>
  <c r="L123" i="11"/>
  <c r="L195" i="11"/>
  <c r="L386" i="11"/>
  <c r="L364" i="11"/>
  <c r="L1092" i="10"/>
  <c r="L207" i="11"/>
  <c r="L141" i="11"/>
  <c r="L311" i="11"/>
  <c r="L347" i="11"/>
  <c r="L1185" i="10"/>
  <c r="L1060" i="10"/>
  <c r="L387" i="11"/>
  <c r="L415" i="11"/>
  <c r="L291" i="11"/>
  <c r="L379" i="11"/>
  <c r="L1064" i="10"/>
  <c r="L229" i="11"/>
  <c r="L1176" i="10"/>
  <c r="L333" i="11"/>
  <c r="L303" i="11"/>
  <c r="L423" i="11"/>
  <c r="L413" i="11"/>
  <c r="L342" i="11"/>
  <c r="L452" i="11"/>
  <c r="L346" i="11"/>
  <c r="L418" i="11"/>
  <c r="L465" i="11"/>
  <c r="L463" i="11"/>
  <c r="L462" i="11"/>
  <c r="L460" i="11"/>
  <c r="L458" i="11"/>
  <c r="L461" i="11"/>
  <c r="L459" i="11"/>
  <c r="L455" i="11"/>
  <c r="L451" i="11"/>
  <c r="L453" i="11"/>
  <c r="L450" i="11"/>
  <c r="L443" i="11"/>
  <c r="L447" i="11"/>
  <c r="L442" i="11"/>
  <c r="L445" i="11"/>
  <c r="L437" i="11"/>
  <c r="L439" i="11"/>
  <c r="L435" i="11"/>
  <c r="L431" i="11"/>
  <c r="L426" i="11"/>
  <c r="L429" i="11"/>
  <c r="L430" i="11"/>
  <c r="L421" i="11"/>
  <c r="L411" i="11"/>
  <c r="L414" i="11"/>
  <c r="L407" i="11"/>
  <c r="L405" i="11"/>
  <c r="L397" i="11"/>
  <c r="L399" i="11"/>
  <c r="L398" i="11"/>
  <c r="L389" i="11"/>
  <c r="L391" i="11"/>
  <c r="L383" i="11"/>
  <c r="L378" i="11"/>
  <c r="L381" i="11"/>
  <c r="L371" i="11"/>
  <c r="L374" i="11"/>
  <c r="L375" i="11"/>
  <c r="L368" i="11"/>
  <c r="L362" i="11"/>
  <c r="L365" i="11"/>
  <c r="L367" i="11"/>
  <c r="L355" i="11"/>
  <c r="L359" i="11"/>
  <c r="L358" i="11"/>
  <c r="L354" i="11"/>
  <c r="L353" i="11"/>
  <c r="L352" i="11"/>
  <c r="L350" i="11"/>
  <c r="L349" i="11"/>
  <c r="L338" i="11"/>
  <c r="L341" i="11"/>
  <c r="L343" i="11"/>
  <c r="L332" i="11"/>
  <c r="L331" i="11"/>
  <c r="L335" i="11"/>
  <c r="L324" i="11"/>
  <c r="L325" i="11"/>
  <c r="L323" i="11"/>
  <c r="L327" i="11"/>
  <c r="L315" i="11"/>
  <c r="L318" i="11"/>
  <c r="L317" i="11"/>
  <c r="L314" i="11"/>
  <c r="L319" i="11"/>
  <c r="L306" i="11"/>
  <c r="L307" i="11"/>
  <c r="L310" i="11"/>
  <c r="L294" i="11"/>
  <c r="L293" i="11"/>
  <c r="L290" i="11"/>
  <c r="L286" i="11"/>
  <c r="L284" i="11"/>
  <c r="L283" i="11"/>
  <c r="L287" i="11"/>
  <c r="L282" i="11"/>
  <c r="L162" i="11"/>
  <c r="L143" i="11"/>
  <c r="L1077" i="10"/>
  <c r="L205" i="11"/>
  <c r="L139" i="11"/>
  <c r="L202" i="11"/>
  <c r="L213" i="11"/>
  <c r="L279" i="11"/>
  <c r="L181" i="11"/>
  <c r="L253" i="11"/>
  <c r="L155" i="11"/>
  <c r="L203" i="11"/>
  <c r="L239" i="11"/>
  <c r="L243" i="11"/>
  <c r="L254" i="11"/>
  <c r="L274" i="11"/>
  <c r="L275" i="11"/>
  <c r="L277" i="11"/>
  <c r="L272" i="11"/>
  <c r="L269" i="11"/>
  <c r="L266" i="11"/>
  <c r="L271" i="11"/>
  <c r="L263" i="11"/>
  <c r="L261" i="11"/>
  <c r="L245" i="11"/>
  <c r="L237" i="11"/>
  <c r="L226" i="11"/>
  <c r="L227" i="11"/>
  <c r="L231" i="11"/>
  <c r="L222" i="11"/>
  <c r="L221" i="11"/>
  <c r="L219" i="11"/>
  <c r="L223" i="11"/>
  <c r="L215" i="11"/>
  <c r="L199" i="11"/>
  <c r="L194" i="11"/>
  <c r="L198" i="11"/>
  <c r="L197" i="11"/>
  <c r="L190" i="11"/>
  <c r="L186" i="11"/>
  <c r="L191" i="11"/>
  <c r="L189" i="11"/>
  <c r="L183" i="11"/>
  <c r="L171" i="11"/>
  <c r="L175" i="11"/>
  <c r="L173" i="11"/>
  <c r="L169" i="11"/>
  <c r="L168" i="11"/>
  <c r="L165" i="11"/>
  <c r="L163" i="11"/>
  <c r="L167" i="11"/>
  <c r="L159" i="11"/>
  <c r="L158" i="11"/>
  <c r="L157" i="11"/>
  <c r="L147" i="11"/>
  <c r="L151" i="11"/>
  <c r="L131" i="11"/>
  <c r="L133" i="11"/>
  <c r="L135" i="11"/>
  <c r="L127" i="11"/>
  <c r="L1149" i="10"/>
  <c r="L1133" i="10"/>
  <c r="L1184" i="10"/>
  <c r="L1192" i="10"/>
  <c r="L1116" i="10"/>
  <c r="L1137" i="10"/>
  <c r="L948" i="10"/>
  <c r="L976" i="10"/>
  <c r="L1016" i="10"/>
  <c r="L1193" i="10"/>
  <c r="L1196" i="10"/>
  <c r="L1194" i="10"/>
  <c r="L1191" i="10"/>
  <c r="L1197" i="10"/>
  <c r="L1199" i="10"/>
  <c r="L1188" i="10"/>
  <c r="L1180" i="10"/>
  <c r="L1175" i="10"/>
  <c r="L1168" i="10"/>
  <c r="L1170" i="10"/>
  <c r="L1172" i="10"/>
  <c r="L1160" i="10"/>
  <c r="L1158" i="10"/>
  <c r="L1156" i="10"/>
  <c r="L1151" i="10"/>
  <c r="L1148" i="10"/>
  <c r="L1143" i="10"/>
  <c r="L1144" i="10"/>
  <c r="L1139" i="10"/>
  <c r="L1132" i="10"/>
  <c r="L1136" i="10"/>
  <c r="L1131" i="10"/>
  <c r="L1124" i="10"/>
  <c r="L1119" i="10"/>
  <c r="L1125" i="10"/>
  <c r="L1122" i="10"/>
  <c r="L1107" i="10"/>
  <c r="L1114" i="10"/>
  <c r="L1108" i="10"/>
  <c r="L1113" i="10"/>
  <c r="L1112" i="10"/>
  <c r="L1101" i="10"/>
  <c r="L1100" i="10"/>
  <c r="L1096" i="10"/>
  <c r="L1086" i="10"/>
  <c r="L1091" i="10"/>
  <c r="L1084" i="10"/>
  <c r="L1088" i="10"/>
  <c r="L1080" i="10"/>
  <c r="L1048" i="10"/>
  <c r="L1052" i="10"/>
  <c r="L1040" i="10"/>
  <c r="L1036" i="10"/>
  <c r="L812" i="10"/>
  <c r="L896" i="10"/>
  <c r="L884" i="10"/>
  <c r="L944" i="10"/>
  <c r="L939" i="10"/>
  <c r="L759" i="10"/>
  <c r="L928" i="10"/>
  <c r="L940" i="10"/>
  <c r="L960" i="10"/>
  <c r="L978" i="10"/>
  <c r="L891" i="10"/>
  <c r="L912" i="10"/>
  <c r="L975" i="10"/>
  <c r="L983" i="10"/>
  <c r="L981" i="10"/>
  <c r="B69" i="14"/>
  <c r="L844" i="10"/>
  <c r="L992" i="10"/>
  <c r="L980" i="10"/>
  <c r="L900" i="10"/>
  <c r="L888" i="10"/>
  <c r="L1024" i="10"/>
  <c r="L1020" i="10"/>
  <c r="L1017" i="10"/>
  <c r="L1011" i="10"/>
  <c r="L1014" i="10"/>
  <c r="L1012" i="10"/>
  <c r="L1000" i="10"/>
  <c r="L995" i="10"/>
  <c r="L988" i="10"/>
  <c r="L968" i="10"/>
  <c r="L964" i="10"/>
  <c r="L955" i="10"/>
  <c r="L959" i="10"/>
  <c r="L953" i="10"/>
  <c r="L956" i="10"/>
  <c r="L954" i="10"/>
  <c r="L957" i="10"/>
  <c r="L952" i="10"/>
  <c r="L932" i="10"/>
  <c r="L920" i="10"/>
  <c r="L916" i="10"/>
  <c r="L908" i="10"/>
  <c r="L909" i="10"/>
  <c r="L904" i="10"/>
  <c r="L897" i="10"/>
  <c r="L892" i="10"/>
  <c r="L882" i="10"/>
  <c r="L885" i="10"/>
  <c r="L880" i="10"/>
  <c r="L872" i="10"/>
  <c r="L874" i="10"/>
  <c r="L868" i="10"/>
  <c r="L860" i="10"/>
  <c r="L856" i="10"/>
  <c r="L843" i="10"/>
  <c r="L851" i="10"/>
  <c r="L848" i="10"/>
  <c r="L849" i="10"/>
  <c r="L407" i="10"/>
  <c r="B40" i="14"/>
  <c r="B38" i="14"/>
  <c r="L807" i="10"/>
  <c r="L600" i="10"/>
  <c r="L753" i="10"/>
  <c r="L617" i="10"/>
  <c r="L564" i="10"/>
  <c r="L772" i="10"/>
  <c r="L276" i="10"/>
  <c r="B70" i="14"/>
  <c r="L752" i="10"/>
  <c r="B81" i="14"/>
  <c r="L616" i="2"/>
  <c r="L748" i="10"/>
  <c r="L676" i="10"/>
  <c r="L815" i="10"/>
  <c r="L832" i="10"/>
  <c r="L836" i="10"/>
  <c r="L820" i="10"/>
  <c r="L819" i="10"/>
  <c r="L824" i="10"/>
  <c r="L826" i="10"/>
  <c r="L825" i="10"/>
  <c r="L821" i="10"/>
  <c r="L808" i="10"/>
  <c r="L796" i="10"/>
  <c r="L798" i="10"/>
  <c r="L800" i="10"/>
  <c r="L788" i="10"/>
  <c r="L784" i="10"/>
  <c r="L787" i="10"/>
  <c r="L783" i="10"/>
  <c r="L767" i="10"/>
  <c r="L764" i="10"/>
  <c r="L760" i="10"/>
  <c r="L741" i="10"/>
  <c r="L736" i="10"/>
  <c r="L731" i="10"/>
  <c r="L726" i="10"/>
  <c r="L725" i="10"/>
  <c r="L723" i="10"/>
  <c r="L730" i="10"/>
  <c r="L728" i="10"/>
  <c r="L712" i="10"/>
  <c r="L719" i="10"/>
  <c r="L714" i="10"/>
  <c r="L716" i="10"/>
  <c r="L704" i="10"/>
  <c r="L700" i="10"/>
  <c r="L688" i="10"/>
  <c r="L691" i="10"/>
  <c r="L692" i="10"/>
  <c r="L683" i="10"/>
  <c r="L680" i="10"/>
  <c r="L682" i="10"/>
  <c r="L681" i="10"/>
  <c r="L675" i="10"/>
  <c r="L672" i="10"/>
  <c r="L665" i="10"/>
  <c r="L664" i="10"/>
  <c r="L668" i="10"/>
  <c r="L670" i="10"/>
  <c r="L671" i="10"/>
  <c r="L669" i="10"/>
  <c r="L663" i="10"/>
  <c r="L666" i="10"/>
  <c r="L656" i="10"/>
  <c r="L652" i="10"/>
  <c r="L492" i="10"/>
  <c r="L418" i="10"/>
  <c r="L620" i="10"/>
  <c r="L616" i="10"/>
  <c r="L608" i="10"/>
  <c r="L619" i="10"/>
  <c r="L352" i="10"/>
  <c r="L356" i="10"/>
  <c r="L640" i="10"/>
  <c r="L644" i="10"/>
  <c r="L632" i="10"/>
  <c r="L628" i="10"/>
  <c r="L604" i="10"/>
  <c r="L553" i="2"/>
  <c r="L536" i="2"/>
  <c r="L332" i="10"/>
  <c r="L464" i="10"/>
  <c r="L375" i="10"/>
  <c r="L392" i="10"/>
  <c r="L320" i="10"/>
  <c r="L328" i="10"/>
  <c r="L403" i="10"/>
  <c r="L388" i="10"/>
  <c r="L405" i="10"/>
  <c r="L336" i="10"/>
  <c r="L527" i="10"/>
  <c r="L548" i="10"/>
  <c r="L528" i="10"/>
  <c r="L344" i="10"/>
  <c r="L376" i="10"/>
  <c r="L508" i="10"/>
  <c r="L587" i="10"/>
  <c r="L380" i="10"/>
  <c r="L555" i="10"/>
  <c r="L364" i="10"/>
  <c r="L402" i="10"/>
  <c r="L393" i="10"/>
  <c r="L415" i="10"/>
  <c r="L368" i="10"/>
  <c r="L598" i="10"/>
  <c r="L592" i="10"/>
  <c r="L596" i="10"/>
  <c r="L591" i="10"/>
  <c r="L584" i="10"/>
  <c r="L580" i="10"/>
  <c r="L568" i="10"/>
  <c r="L572" i="10"/>
  <c r="L560" i="10"/>
  <c r="L556" i="10"/>
  <c r="L543" i="10"/>
  <c r="L544" i="10"/>
  <c r="L549" i="10"/>
  <c r="L540" i="10"/>
  <c r="L532" i="10"/>
  <c r="L536" i="10"/>
  <c r="L520" i="10"/>
  <c r="L525" i="10"/>
  <c r="L524" i="10"/>
  <c r="L507" i="10"/>
  <c r="L501" i="10"/>
  <c r="L495" i="10"/>
  <c r="L496" i="10"/>
  <c r="L500" i="10"/>
  <c r="L485" i="10"/>
  <c r="L488" i="10"/>
  <c r="L486" i="10"/>
  <c r="L484" i="10"/>
  <c r="L491" i="10"/>
  <c r="L483" i="10"/>
  <c r="L478" i="10"/>
  <c r="L471" i="10"/>
  <c r="L472" i="10"/>
  <c r="L476" i="10"/>
  <c r="L460" i="10"/>
  <c r="L448" i="10"/>
  <c r="L452" i="10"/>
  <c r="L453" i="10"/>
  <c r="L447" i="10"/>
  <c r="L436" i="10"/>
  <c r="L440" i="10"/>
  <c r="L435" i="10"/>
  <c r="L428" i="10"/>
  <c r="L424" i="10"/>
  <c r="L416" i="10"/>
  <c r="L412" i="10"/>
  <c r="L408" i="10"/>
  <c r="L399" i="10"/>
  <c r="L404" i="10"/>
  <c r="L406" i="10"/>
  <c r="L400" i="10"/>
  <c r="L396" i="10"/>
  <c r="L270" i="10"/>
  <c r="L608" i="2"/>
  <c r="L533" i="2"/>
  <c r="L340" i="10"/>
  <c r="L219" i="10"/>
  <c r="B60" i="14"/>
  <c r="B84" i="14"/>
  <c r="B82" i="14"/>
  <c r="B51" i="14"/>
  <c r="B87" i="14"/>
  <c r="B91" i="14"/>
  <c r="L644" i="2"/>
  <c r="L676" i="2"/>
  <c r="B52" i="14"/>
  <c r="B88" i="14"/>
  <c r="L216" i="10"/>
  <c r="L654" i="2"/>
  <c r="L686" i="2"/>
  <c r="L292" i="10"/>
  <c r="B100" i="14"/>
  <c r="L239" i="10"/>
  <c r="L256" i="10"/>
  <c r="L267" i="10"/>
  <c r="B90" i="14"/>
  <c r="B96" i="14"/>
  <c r="B99" i="14"/>
  <c r="L215" i="10"/>
  <c r="B59" i="14"/>
  <c r="L684" i="2"/>
  <c r="L690" i="2"/>
  <c r="L225" i="10"/>
  <c r="B94" i="14"/>
  <c r="L220" i="10"/>
  <c r="L260" i="10"/>
  <c r="B97" i="14"/>
  <c r="L283" i="10"/>
  <c r="L261" i="10"/>
  <c r="B45" i="14"/>
  <c r="B93" i="14"/>
  <c r="B35" i="14"/>
  <c r="B42" i="14"/>
  <c r="B57" i="14"/>
  <c r="L315" i="10"/>
  <c r="L630" i="2"/>
  <c r="L273" i="10"/>
  <c r="L318" i="10"/>
  <c r="L323" i="10"/>
  <c r="L321" i="10"/>
  <c r="L322" i="10"/>
  <c r="L316" i="10"/>
  <c r="L311" i="10"/>
  <c r="L304" i="10"/>
  <c r="L308" i="10"/>
  <c r="L296" i="10"/>
  <c r="L284" i="10"/>
  <c r="L280" i="10"/>
  <c r="L272" i="10"/>
  <c r="L268" i="10"/>
  <c r="L248" i="10"/>
  <c r="L243" i="10"/>
  <c r="L244" i="10"/>
  <c r="L234" i="10"/>
  <c r="L231" i="10"/>
  <c r="L236" i="10"/>
  <c r="L237" i="10"/>
  <c r="L232" i="10"/>
  <c r="L224" i="10"/>
  <c r="L208" i="10"/>
  <c r="L213" i="10"/>
  <c r="L207" i="10"/>
  <c r="L211" i="10"/>
  <c r="L196" i="10"/>
  <c r="L200" i="10"/>
  <c r="L201" i="10"/>
  <c r="L188" i="10"/>
  <c r="L187" i="10"/>
  <c r="L184" i="10"/>
  <c r="L185" i="10"/>
  <c r="L183" i="10"/>
  <c r="L182" i="10"/>
  <c r="B62" i="14"/>
  <c r="B89" i="14"/>
  <c r="B46" i="14"/>
  <c r="B53" i="14"/>
  <c r="B92" i="14"/>
  <c r="B101" i="14"/>
  <c r="B33" i="14"/>
  <c r="B34" i="14"/>
  <c r="B37" i="14"/>
  <c r="B64" i="14"/>
  <c r="L473" i="2"/>
  <c r="L522" i="2"/>
  <c r="B75" i="14"/>
  <c r="B44" i="14"/>
  <c r="B54" i="14"/>
  <c r="L277" i="2"/>
  <c r="L276" i="2"/>
  <c r="B50" i="14"/>
  <c r="B65" i="14"/>
  <c r="B58" i="14"/>
  <c r="B67" i="14"/>
  <c r="B43" i="14"/>
  <c r="B49" i="14"/>
  <c r="B72" i="14"/>
  <c r="B36" i="14"/>
  <c r="B55" i="14"/>
  <c r="B66" i="14"/>
  <c r="B76" i="14"/>
  <c r="B74" i="14"/>
  <c r="B95" i="14"/>
  <c r="B61" i="14"/>
  <c r="L698" i="2"/>
  <c r="B48" i="14"/>
  <c r="B56" i="14"/>
  <c r="B86" i="14"/>
  <c r="B79" i="14"/>
  <c r="B63" i="14"/>
  <c r="B32" i="14"/>
  <c r="B85" i="14"/>
  <c r="B98" i="14"/>
  <c r="B47" i="14"/>
  <c r="B77" i="14"/>
  <c r="L625" i="2"/>
  <c r="L669" i="2"/>
  <c r="L671" i="2"/>
  <c r="L620" i="2"/>
  <c r="L622" i="2"/>
  <c r="L635" i="2"/>
  <c r="L646" i="2"/>
  <c r="L683" i="2"/>
  <c r="L672" i="2"/>
  <c r="L691" i="2"/>
  <c r="L601" i="2"/>
  <c r="L593" i="2"/>
  <c r="L627" i="2"/>
  <c r="L699" i="2"/>
  <c r="L480" i="2"/>
  <c r="L571" i="2"/>
  <c r="L554" i="2"/>
  <c r="L540" i="2"/>
  <c r="L629" i="2"/>
  <c r="L678" i="2"/>
  <c r="L687" i="2"/>
  <c r="L688" i="2"/>
  <c r="L618" i="2"/>
  <c r="L670" i="2"/>
  <c r="L681" i="2"/>
  <c r="L677" i="2"/>
  <c r="L692" i="2"/>
  <c r="L697" i="2"/>
  <c r="L685" i="2"/>
  <c r="L679" i="2"/>
  <c r="L663" i="2"/>
  <c r="L662" i="2"/>
  <c r="L657" i="2"/>
  <c r="L656" i="2"/>
  <c r="L655" i="2"/>
  <c r="L648" i="2"/>
  <c r="L650" i="2"/>
  <c r="L643" i="2"/>
  <c r="L642" i="2"/>
  <c r="L634" i="2"/>
  <c r="L633" i="2"/>
  <c r="L604" i="2"/>
  <c r="L560" i="2"/>
  <c r="L524" i="2"/>
  <c r="L564" i="2"/>
  <c r="L519" i="2"/>
  <c r="L615" i="2"/>
  <c r="L508" i="2"/>
  <c r="L592" i="2"/>
  <c r="L515" i="2"/>
  <c r="L613" i="2"/>
  <c r="L606" i="2"/>
  <c r="L279" i="2"/>
  <c r="L537" i="2"/>
  <c r="L541" i="2"/>
  <c r="L585" i="2"/>
  <c r="L294" i="2"/>
  <c r="L378" i="2"/>
  <c r="L538" i="2"/>
  <c r="L586" i="2"/>
  <c r="L587" i="2"/>
  <c r="L579" i="2"/>
  <c r="L496" i="2"/>
  <c r="L534" i="2"/>
  <c r="L499" i="2"/>
  <c r="L503" i="2"/>
  <c r="L578" i="2"/>
  <c r="L545" i="2"/>
  <c r="L504" i="2"/>
  <c r="L597" i="2"/>
  <c r="L562" i="2"/>
  <c r="L566" i="2"/>
  <c r="L572" i="2"/>
  <c r="L531" i="2"/>
  <c r="L583" i="2"/>
  <c r="L543" i="2"/>
  <c r="L580" i="2"/>
  <c r="L546" i="2"/>
  <c r="L599" i="2"/>
  <c r="L559" i="2"/>
  <c r="L544" i="2"/>
  <c r="L517" i="2"/>
  <c r="L552" i="2"/>
  <c r="L494" i="2"/>
  <c r="L475" i="2"/>
  <c r="L485" i="2"/>
  <c r="L518" i="2"/>
  <c r="L551" i="2"/>
  <c r="L527" i="2"/>
  <c r="L550" i="2"/>
  <c r="L532" i="2"/>
  <c r="L513" i="2"/>
  <c r="L558" i="2"/>
  <c r="L529" i="2"/>
  <c r="L501" i="2"/>
  <c r="L557" i="2"/>
  <c r="L492" i="2"/>
  <c r="L510" i="2"/>
  <c r="L474" i="2"/>
  <c r="L333" i="2"/>
  <c r="L39" i="2"/>
  <c r="L284" i="2"/>
  <c r="L285" i="2"/>
  <c r="L341" i="2"/>
  <c r="L426" i="2"/>
  <c r="L407" i="2"/>
  <c r="L482" i="2"/>
  <c r="L132" i="2"/>
  <c r="L119" i="2"/>
  <c r="L487" i="2"/>
  <c r="L394" i="2"/>
  <c r="L489" i="2"/>
  <c r="L428" i="2"/>
  <c r="L454" i="2"/>
  <c r="L464" i="2"/>
  <c r="L393" i="2"/>
  <c r="L483" i="2"/>
  <c r="L392" i="2"/>
  <c r="L452" i="2"/>
  <c r="L466" i="2"/>
  <c r="L412" i="2"/>
  <c r="L418" i="2"/>
  <c r="L361" i="2"/>
  <c r="L422" i="2"/>
  <c r="L240" i="2"/>
  <c r="L417" i="2"/>
  <c r="L408" i="2"/>
  <c r="L258" i="2"/>
  <c r="L322" i="2"/>
  <c r="L398" i="2"/>
  <c r="L368" i="2"/>
  <c r="L371" i="2"/>
  <c r="L380" i="2"/>
  <c r="L468" i="2"/>
  <c r="L459" i="2"/>
  <c r="L460" i="2"/>
  <c r="L445" i="2"/>
  <c r="L447" i="2"/>
  <c r="L440" i="2"/>
  <c r="L438" i="2"/>
  <c r="L439" i="2"/>
  <c r="L433" i="2"/>
  <c r="L431" i="2"/>
  <c r="L424" i="2"/>
  <c r="L413" i="2"/>
  <c r="L410" i="2"/>
  <c r="L405" i="2"/>
  <c r="L401" i="2"/>
  <c r="L403" i="2"/>
  <c r="L396" i="2"/>
  <c r="L391" i="2"/>
  <c r="L389" i="2"/>
  <c r="L384" i="2"/>
  <c r="L382" i="2"/>
  <c r="L375" i="2"/>
  <c r="L376" i="2"/>
  <c r="L377" i="2"/>
  <c r="L370" i="2"/>
  <c r="L217" i="2"/>
  <c r="B20" i="14"/>
  <c r="L301" i="2"/>
  <c r="L114" i="2"/>
  <c r="L161" i="2"/>
  <c r="L126" i="2"/>
  <c r="L291" i="2"/>
  <c r="L300" i="2"/>
  <c r="L286" i="2"/>
  <c r="E6" i="13" a="1"/>
  <c r="E6" i="13" s="1"/>
  <c r="L302" i="2"/>
  <c r="L265" i="2"/>
  <c r="L303" i="2"/>
  <c r="L312" i="2"/>
  <c r="L335" i="2"/>
  <c r="L305" i="2"/>
  <c r="L218" i="2"/>
  <c r="L350" i="2"/>
  <c r="L348" i="2"/>
  <c r="L349" i="2"/>
  <c r="L347" i="2"/>
  <c r="L340" i="2"/>
  <c r="L326" i="2"/>
  <c r="L323" i="2"/>
  <c r="L321" i="2"/>
  <c r="L317" i="2"/>
  <c r="L319" i="2"/>
  <c r="L314" i="2"/>
  <c r="L298" i="2"/>
  <c r="L292" i="2"/>
  <c r="L160" i="2"/>
  <c r="B29" i="14"/>
  <c r="L196" i="2"/>
  <c r="L214" i="2"/>
  <c r="B28" i="14"/>
  <c r="L256" i="2"/>
  <c r="L232" i="2"/>
  <c r="L236" i="2"/>
  <c r="L269" i="2"/>
  <c r="L271" i="2"/>
  <c r="L268" i="2"/>
  <c r="L272" i="2"/>
  <c r="L270" i="2"/>
  <c r="L244" i="2"/>
  <c r="L227" i="2"/>
  <c r="L228" i="2"/>
  <c r="L222" i="2"/>
  <c r="L261" i="2"/>
  <c r="L253" i="2"/>
  <c r="L257" i="2"/>
  <c r="L235" i="2"/>
  <c r="L249" i="2"/>
  <c r="L212" i="2"/>
  <c r="L216" i="2"/>
  <c r="L215" i="2"/>
  <c r="L248" i="2"/>
  <c r="L237" i="2"/>
  <c r="L225" i="2"/>
  <c r="L251" i="2"/>
  <c r="L254" i="2"/>
  <c r="L234" i="2"/>
  <c r="L233" i="2"/>
  <c r="L250" i="2"/>
  <c r="L242" i="2"/>
  <c r="L219" i="2"/>
  <c r="L221" i="2"/>
  <c r="L220" i="2"/>
  <c r="L226" i="2"/>
  <c r="L260" i="2"/>
  <c r="L259" i="2"/>
  <c r="L241" i="2"/>
  <c r="L230" i="2"/>
  <c r="L213" i="2"/>
  <c r="B25" i="14"/>
  <c r="B26" i="14"/>
  <c r="L175" i="2"/>
  <c r="B27" i="14"/>
  <c r="L188" i="2"/>
  <c r="L210" i="2"/>
  <c r="B16" i="14"/>
  <c r="L158" i="2"/>
  <c r="L172" i="2"/>
  <c r="L65" i="11"/>
  <c r="B31" i="14"/>
  <c r="B30" i="14"/>
  <c r="L209" i="2"/>
  <c r="L48" i="2"/>
  <c r="B23" i="14"/>
  <c r="B24" i="14"/>
  <c r="L37" i="11"/>
  <c r="B17" i="14"/>
  <c r="B21" i="14"/>
  <c r="L149" i="2"/>
  <c r="L156" i="2"/>
  <c r="L20" i="10"/>
  <c r="B18" i="14"/>
  <c r="L207" i="2"/>
  <c r="L194" i="2"/>
  <c r="B19" i="14"/>
  <c r="L140" i="2"/>
  <c r="B22" i="14"/>
  <c r="L142" i="2"/>
  <c r="L176" i="2"/>
  <c r="L193" i="2"/>
  <c r="L177" i="2"/>
  <c r="L202" i="2"/>
  <c r="L198" i="2"/>
  <c r="L200" i="2"/>
  <c r="L189" i="2"/>
  <c r="L179" i="2"/>
  <c r="L181" i="2"/>
  <c r="L180" i="2"/>
  <c r="L174" i="2"/>
  <c r="L170" i="2"/>
  <c r="L165" i="2"/>
  <c r="L151" i="2"/>
  <c r="L152" i="2"/>
  <c r="L146" i="2"/>
  <c r="L144" i="2"/>
  <c r="L137" i="2"/>
  <c r="L117" i="2"/>
  <c r="D11" i="13"/>
  <c r="B5" i="14"/>
  <c r="L90" i="2"/>
  <c r="L29" i="11"/>
  <c r="L132" i="10"/>
  <c r="L130" i="2"/>
  <c r="L128" i="2"/>
  <c r="L131" i="2"/>
  <c r="L123" i="2"/>
  <c r="L121" i="2"/>
  <c r="L125" i="2"/>
  <c r="L116" i="2"/>
  <c r="L118" i="2"/>
  <c r="L110" i="2"/>
  <c r="L109" i="2"/>
  <c r="L112" i="2"/>
  <c r="L111" i="2"/>
  <c r="L107" i="2"/>
  <c r="L120" i="11"/>
  <c r="L60" i="2"/>
  <c r="L119" i="11"/>
  <c r="L84" i="11"/>
  <c r="D28" i="13"/>
  <c r="L95" i="11"/>
  <c r="D38" i="13"/>
  <c r="L12" i="2"/>
  <c r="B6" i="14"/>
  <c r="D12" i="13"/>
  <c r="D29" i="13"/>
  <c r="D35" i="13"/>
  <c r="D16" i="13"/>
  <c r="D19" i="13"/>
  <c r="D24" i="13"/>
  <c r="L128" i="10"/>
  <c r="D27" i="13"/>
  <c r="D15" i="13"/>
  <c r="B9" i="14"/>
  <c r="L54" i="2"/>
  <c r="L102" i="2"/>
  <c r="L72" i="10"/>
  <c r="D31" i="13"/>
  <c r="D13" i="13"/>
  <c r="D22" i="13"/>
  <c r="L43" i="11"/>
  <c r="D8" i="13"/>
  <c r="D18" i="13"/>
  <c r="D30" i="13"/>
  <c r="D9" i="13"/>
  <c r="D41" i="13"/>
  <c r="D25" i="13"/>
  <c r="D5" i="13"/>
  <c r="D14" i="13"/>
  <c r="D21" i="13"/>
  <c r="L83" i="2"/>
  <c r="D42" i="13"/>
  <c r="B12" i="14"/>
  <c r="D37" i="13"/>
  <c r="D34" i="13"/>
  <c r="L95" i="10"/>
  <c r="D17" i="13"/>
  <c r="L63" i="11"/>
  <c r="B14" i="14"/>
  <c r="B4" i="14"/>
  <c r="D26" i="13"/>
  <c r="B2" i="14"/>
  <c r="L176" i="10"/>
  <c r="L63" i="2"/>
  <c r="L124" i="10"/>
  <c r="L8" i="11"/>
  <c r="E30" i="13" a="1"/>
  <c r="E30" i="13" s="1"/>
  <c r="E16" i="13" a="1"/>
  <c r="E16" i="13" s="1"/>
  <c r="L8" i="10"/>
  <c r="L95" i="2"/>
  <c r="L39" i="11"/>
  <c r="L64" i="10"/>
  <c r="L28" i="10"/>
  <c r="B11" i="14"/>
  <c r="L79" i="11"/>
  <c r="L13" i="10"/>
  <c r="E22" i="13" a="1"/>
  <c r="E22" i="13" s="1"/>
  <c r="B13" i="14"/>
  <c r="L101" i="11"/>
  <c r="L116" i="10"/>
  <c r="L5" i="11"/>
  <c r="E27" i="13" a="1"/>
  <c r="E27" i="13" s="1"/>
  <c r="L64" i="11"/>
  <c r="L33" i="2"/>
  <c r="L53" i="11"/>
  <c r="L82" i="11"/>
  <c r="L52" i="10"/>
  <c r="L13" i="11"/>
  <c r="L7" i="11"/>
  <c r="E29" i="13" a="1"/>
  <c r="E29" i="13" s="1"/>
  <c r="L148" i="10"/>
  <c r="L102" i="10"/>
  <c r="L18" i="2"/>
  <c r="L8" i="2"/>
  <c r="E9" i="13" a="1"/>
  <c r="E9" i="13" s="1"/>
  <c r="L107" i="11"/>
  <c r="L4" i="2"/>
  <c r="E4" i="13" a="1"/>
  <c r="E4" i="13" s="1"/>
  <c r="L69" i="2"/>
  <c r="L4" i="11"/>
  <c r="E26" i="13" a="1"/>
  <c r="E26" i="13" s="1"/>
  <c r="L58" i="2"/>
  <c r="L114" i="11"/>
  <c r="L76" i="2"/>
  <c r="L76" i="10"/>
  <c r="L40" i="2"/>
  <c r="L3" i="11"/>
  <c r="E25" i="13" a="1"/>
  <c r="E25" i="13" s="1"/>
  <c r="L10" i="10"/>
  <c r="E18" i="13" a="1"/>
  <c r="E18" i="13" s="1"/>
  <c r="L47" i="11"/>
  <c r="L112" i="10"/>
  <c r="L4" i="10"/>
  <c r="E12" i="13" a="1"/>
  <c r="E12" i="13" s="1"/>
  <c r="L2" i="10"/>
  <c r="L56" i="10"/>
  <c r="L100" i="10"/>
  <c r="L69" i="11"/>
  <c r="L85" i="11"/>
  <c r="L32" i="10"/>
  <c r="E11" i="13" a="1"/>
  <c r="E11" i="13" s="1"/>
  <c r="L3" i="10"/>
  <c r="L155" i="10"/>
  <c r="L83" i="11"/>
  <c r="L59" i="11"/>
  <c r="L3" i="2"/>
  <c r="E3" i="13" a="1"/>
  <c r="E3" i="13" s="1"/>
  <c r="L115" i="11"/>
  <c r="L2" i="11"/>
  <c r="E24" i="13" a="1"/>
  <c r="E24" i="13" s="1"/>
  <c r="L21" i="11"/>
  <c r="L71" i="11"/>
  <c r="L46" i="2"/>
  <c r="L80" i="10"/>
  <c r="L11" i="2"/>
  <c r="L7" i="10"/>
  <c r="E15" i="13" a="1"/>
  <c r="E15" i="13" s="1"/>
  <c r="L87" i="11"/>
  <c r="L77" i="11"/>
  <c r="L44" i="10"/>
  <c r="L42" i="11"/>
  <c r="L6" i="2"/>
  <c r="B7" i="14"/>
  <c r="L49" i="11"/>
  <c r="L13" i="2"/>
  <c r="L136" i="10"/>
  <c r="L160" i="10"/>
  <c r="L31" i="11"/>
  <c r="L47" i="2"/>
  <c r="L7" i="2"/>
  <c r="E8" i="13" a="1"/>
  <c r="E8" i="13" s="1"/>
  <c r="L179" i="10"/>
  <c r="L6" i="11"/>
  <c r="E28" i="13" a="1"/>
  <c r="E28" i="13" s="1"/>
  <c r="L27" i="11"/>
  <c r="L88" i="10"/>
  <c r="L159" i="10"/>
  <c r="B15" i="14"/>
  <c r="L171" i="10"/>
  <c r="L93" i="11"/>
  <c r="L129" i="10"/>
  <c r="L153" i="10"/>
  <c r="L15" i="11"/>
  <c r="L32" i="2"/>
  <c r="L16" i="11"/>
  <c r="L92" i="10"/>
  <c r="L11" i="10"/>
  <c r="E19" i="13" a="1"/>
  <c r="E19" i="13" s="1"/>
  <c r="L87" i="10"/>
  <c r="L53" i="2"/>
  <c r="L2" i="2"/>
  <c r="E2" i="13" a="1"/>
  <c r="E2" i="13" s="1"/>
  <c r="L104" i="2"/>
  <c r="L150" i="10"/>
  <c r="L100" i="2"/>
  <c r="L81" i="2"/>
  <c r="L61" i="11"/>
  <c r="L9" i="10"/>
  <c r="E17" i="13" a="1"/>
  <c r="E17" i="13" s="1"/>
  <c r="L172" i="10"/>
  <c r="L140" i="10"/>
  <c r="L164" i="10"/>
  <c r="L55" i="11"/>
  <c r="L108" i="10"/>
  <c r="L27" i="2"/>
  <c r="L55" i="2"/>
  <c r="L5" i="10"/>
  <c r="E13" i="13" a="1"/>
  <c r="E13" i="13" s="1"/>
  <c r="L6" i="10"/>
  <c r="E14" i="13" a="1"/>
  <c r="E14" i="13" s="1"/>
  <c r="L70" i="2"/>
  <c r="L20" i="2"/>
  <c r="L91" i="2"/>
  <c r="L40" i="10"/>
  <c r="L42" i="10"/>
  <c r="L65" i="2"/>
  <c r="L5" i="2"/>
  <c r="E5" i="13" a="1"/>
  <c r="E5" i="13" s="1"/>
  <c r="L12" i="10"/>
  <c r="E21" i="13" a="1"/>
  <c r="E21" i="13" s="1"/>
  <c r="L104" i="10"/>
  <c r="L9" i="11"/>
  <c r="E31" i="13" a="1"/>
  <c r="E31" i="13" s="1"/>
  <c r="L79" i="2"/>
  <c r="L93" i="10"/>
  <c r="L57" i="2"/>
  <c r="L23" i="11"/>
  <c r="L111" i="11"/>
  <c r="L106" i="11"/>
  <c r="L88" i="2"/>
  <c r="L16" i="10"/>
  <c r="L119" i="10"/>
  <c r="C2" i="16" a="1"/>
  <c r="C2" i="16" s="1"/>
  <c r="D2" i="16" s="1"/>
  <c r="D10" i="13" s="1"/>
  <c r="F10" i="13" s="1" a="1"/>
  <c r="F10" i="13" s="1"/>
  <c r="B3" i="14"/>
  <c r="B10" i="14"/>
  <c r="D3" i="13"/>
  <c r="E2" i="15" a="1"/>
  <c r="E2" i="15" s="1"/>
  <c r="D33" i="15" s="1" a="1"/>
  <c r="D33" i="15" s="1"/>
  <c r="C5" i="16" a="1"/>
  <c r="C5" i="16" s="1"/>
  <c r="D5" i="16" s="1"/>
  <c r="D43" i="13" s="1"/>
  <c r="F43" i="13" s="1" a="1"/>
  <c r="F43" i="13" s="1"/>
  <c r="D4" i="13"/>
  <c r="B8" i="14"/>
  <c r="D39" i="13"/>
  <c r="D33" i="13"/>
  <c r="D36" i="13"/>
  <c r="C2" i="14"/>
  <c r="D6" i="13"/>
  <c r="D2" i="13"/>
  <c r="D4" i="4" a="1"/>
  <c r="D4" i="4" s="1"/>
  <c r="C5" i="4"/>
  <c r="E504" i="4" a="1"/>
  <c r="E504" i="4" s="1"/>
  <c r="D505" i="4" a="1"/>
  <c r="D505" i="4" s="1"/>
  <c r="E754" i="4" a="1"/>
  <c r="E754" i="4" s="1"/>
  <c r="D755" i="4" a="1"/>
  <c r="D755" i="4" s="1"/>
  <c r="E254" i="4" a="1"/>
  <c r="E254" i="4" s="1"/>
  <c r="C255" i="4"/>
  <c r="D255" i="4" s="1" a="1"/>
  <c r="D255" i="4" s="1"/>
  <c r="E3" i="4" a="1"/>
  <c r="E3" i="4" s="1"/>
  <c r="E2" i="14" l="1" a="1"/>
  <c r="E2" i="14" s="1"/>
  <c r="D77" i="14" s="1" a="1"/>
  <c r="D77" i="14" s="1"/>
  <c r="D62" i="15" a="1"/>
  <c r="D62" i="15" s="1"/>
  <c r="D35" i="15" a="1"/>
  <c r="D35" i="15" s="1"/>
  <c r="D6" i="15" a="1"/>
  <c r="D6" i="15" s="1"/>
  <c r="D50" i="15" a="1"/>
  <c r="D50" i="15" s="1"/>
  <c r="D38" i="15" a="1"/>
  <c r="D38" i="15" s="1"/>
  <c r="D55" i="15" a="1"/>
  <c r="D55" i="15" s="1"/>
  <c r="D63" i="15" a="1"/>
  <c r="D63" i="15" s="1"/>
  <c r="D17" i="15" a="1"/>
  <c r="D17" i="15" s="1"/>
  <c r="D20" i="15" a="1"/>
  <c r="D20" i="15" s="1"/>
  <c r="D25" i="15" a="1"/>
  <c r="D25" i="15" s="1"/>
  <c r="D14" i="15" a="1"/>
  <c r="D14" i="15" s="1"/>
  <c r="D82" i="15" a="1"/>
  <c r="D82" i="15" s="1"/>
  <c r="D37" i="15" a="1"/>
  <c r="D37" i="15" s="1"/>
  <c r="D51" i="15" a="1"/>
  <c r="D51" i="15" s="1"/>
  <c r="D42" i="15" a="1"/>
  <c r="D42" i="15" s="1"/>
  <c r="D21" i="15" a="1"/>
  <c r="D21" i="15" s="1"/>
  <c r="D75" i="15" a="1"/>
  <c r="D75" i="15" s="1"/>
  <c r="D52" i="15" a="1"/>
  <c r="D52" i="15" s="1"/>
  <c r="D15" i="15" a="1"/>
  <c r="D15" i="15" s="1"/>
  <c r="D39" i="15" a="1"/>
  <c r="D39" i="15" s="1"/>
  <c r="D32" i="15" a="1"/>
  <c r="D32" i="15" s="1"/>
  <c r="D48" i="15" a="1"/>
  <c r="D48" i="15" s="1"/>
  <c r="D67" i="15" a="1"/>
  <c r="D67" i="15" s="1"/>
  <c r="D74" i="15" a="1"/>
  <c r="D74" i="15" s="1"/>
  <c r="D71" i="15" a="1"/>
  <c r="D71" i="15" s="1"/>
  <c r="D9" i="15" a="1"/>
  <c r="D9" i="15" s="1"/>
  <c r="D57" i="15" a="1"/>
  <c r="D57" i="15" s="1"/>
  <c r="D3" i="15" a="1"/>
  <c r="D3" i="15" s="1"/>
  <c r="D13" i="15" a="1"/>
  <c r="D13" i="15" s="1"/>
  <c r="D40" i="15" a="1"/>
  <c r="D40" i="15" s="1"/>
  <c r="D83" i="15" a="1"/>
  <c r="D83" i="15" s="1"/>
  <c r="D41" i="15" a="1"/>
  <c r="D41" i="15" s="1"/>
  <c r="D73" i="15" a="1"/>
  <c r="D73" i="15" s="1"/>
  <c r="D69" i="15" a="1"/>
  <c r="D69" i="15" s="1"/>
  <c r="D59" i="15" a="1"/>
  <c r="D59" i="15" s="1"/>
  <c r="D34" i="15" a="1"/>
  <c r="D34" i="15" s="1"/>
  <c r="D78" i="15" a="1"/>
  <c r="D78" i="15" s="1"/>
  <c r="D49" i="15" a="1"/>
  <c r="D49" i="15" s="1"/>
  <c r="D8" i="15" a="1"/>
  <c r="D8" i="15" s="1"/>
  <c r="D7" i="15" a="1"/>
  <c r="D7" i="15" s="1"/>
  <c r="D29" i="15" a="1"/>
  <c r="D29" i="15" s="1"/>
  <c r="D28" i="15" a="1"/>
  <c r="D28" i="15" s="1"/>
  <c r="D36" i="15" a="1"/>
  <c r="D36" i="15" s="1"/>
  <c r="D64" i="15" a="1"/>
  <c r="D64" i="15" s="1"/>
  <c r="D65" i="15" a="1"/>
  <c r="D65" i="15" s="1"/>
  <c r="D85" i="15" a="1"/>
  <c r="D85" i="15" s="1"/>
  <c r="D4" i="15" a="1"/>
  <c r="D4" i="15" s="1"/>
  <c r="D31" i="15" a="1"/>
  <c r="D31" i="15" s="1"/>
  <c r="D43" i="15" a="1"/>
  <c r="D43" i="15" s="1"/>
  <c r="D61" i="15" a="1"/>
  <c r="D61" i="15" s="1"/>
  <c r="D22" i="15" a="1"/>
  <c r="D22" i="15" s="1"/>
  <c r="D58" i="15" a="1"/>
  <c r="D58" i="15" s="1"/>
  <c r="D86" i="15" a="1"/>
  <c r="D86" i="15" s="1"/>
  <c r="D11" i="15" a="1"/>
  <c r="D11" i="15" s="1"/>
  <c r="D10" i="15" a="1"/>
  <c r="D10" i="15" s="1"/>
  <c r="D24" i="15" a="1"/>
  <c r="D24" i="15" s="1"/>
  <c r="D44" i="15" a="1"/>
  <c r="D44" i="15" s="1"/>
  <c r="D77" i="15" a="1"/>
  <c r="D77" i="15" s="1"/>
  <c r="D18" i="15" a="1"/>
  <c r="D18" i="15" s="1"/>
  <c r="D53" i="15" a="1"/>
  <c r="D53" i="15" s="1"/>
  <c r="D81" i="15" a="1"/>
  <c r="D81" i="15" s="1"/>
  <c r="D80" i="15" a="1"/>
  <c r="D80" i="15" s="1"/>
  <c r="D19" i="15" a="1"/>
  <c r="D19" i="15" s="1"/>
  <c r="D56" i="15" a="1"/>
  <c r="D56" i="15" s="1"/>
  <c r="D87" i="15" a="1"/>
  <c r="D87" i="15" s="1"/>
  <c r="D76" i="15" a="1"/>
  <c r="D76" i="15" s="1"/>
  <c r="D66" i="15" a="1"/>
  <c r="D66" i="15" s="1"/>
  <c r="D70" i="15" a="1"/>
  <c r="D70" i="15" s="1"/>
  <c r="D5" i="15" a="1"/>
  <c r="D5" i="15" s="1"/>
  <c r="D27" i="15" a="1"/>
  <c r="D27" i="15" s="1"/>
  <c r="D46" i="15" a="1"/>
  <c r="D46" i="15" s="1"/>
  <c r="D84" i="15" a="1"/>
  <c r="D84" i="15" s="1"/>
  <c r="D60" i="15" a="1"/>
  <c r="D60" i="15" s="1"/>
  <c r="D79" i="15" a="1"/>
  <c r="D79" i="15" s="1"/>
  <c r="D23" i="15" a="1"/>
  <c r="D23" i="15" s="1"/>
  <c r="D45" i="15" a="1"/>
  <c r="D45" i="15" s="1"/>
  <c r="D16" i="15" a="1"/>
  <c r="D16" i="15" s="1"/>
  <c r="D47" i="15" a="1"/>
  <c r="D47" i="15" s="1"/>
  <c r="D2" i="15" a="1"/>
  <c r="D2" i="15" s="1"/>
  <c r="D12" i="15" a="1"/>
  <c r="D12" i="15" s="1"/>
  <c r="D26" i="15" a="1"/>
  <c r="D26" i="15" s="1"/>
  <c r="D30" i="15" a="1"/>
  <c r="D30" i="15" s="1"/>
  <c r="D54" i="15" a="1"/>
  <c r="D54" i="15" s="1"/>
  <c r="D68" i="15" a="1"/>
  <c r="D68" i="15" s="1"/>
  <c r="D72" i="15" a="1"/>
  <c r="D72" i="15" s="1"/>
  <c r="F37" i="13" a="1"/>
  <c r="F37" i="13" s="1"/>
  <c r="F41" i="13" a="1"/>
  <c r="F41" i="13" s="1"/>
  <c r="F36" i="13" a="1"/>
  <c r="F36" i="13" s="1"/>
  <c r="F39" i="13" a="1"/>
  <c r="F39" i="13" s="1"/>
  <c r="F42" i="13" a="1"/>
  <c r="F42" i="13" s="1"/>
  <c r="F33" i="13" a="1"/>
  <c r="F33" i="13" s="1"/>
  <c r="F35" i="13" a="1"/>
  <c r="F35" i="13" s="1"/>
  <c r="F38" i="13" a="1"/>
  <c r="F38" i="13" s="1"/>
  <c r="F34" i="13" a="1"/>
  <c r="F34" i="13" s="1"/>
  <c r="F26" i="13" a="1"/>
  <c r="F26" i="13" s="1"/>
  <c r="F6" i="13" a="1"/>
  <c r="F6" i="13" s="1"/>
  <c r="F24" i="13" a="1"/>
  <c r="F24" i="13" s="1"/>
  <c r="F21" i="13" a="1"/>
  <c r="F21" i="13" s="1"/>
  <c r="F14" i="13" a="1"/>
  <c r="F14" i="13" s="1"/>
  <c r="F22" i="13" a="1"/>
  <c r="F22" i="13" s="1"/>
  <c r="F4" i="13" a="1"/>
  <c r="F4" i="13" s="1"/>
  <c r="F13" i="13" a="1"/>
  <c r="F13" i="13" s="1"/>
  <c r="F16" i="13" a="1"/>
  <c r="F16" i="13" s="1"/>
  <c r="F17" i="13" a="1"/>
  <c r="F17" i="13" s="1"/>
  <c r="F5" i="13" a="1"/>
  <c r="F5" i="13" s="1"/>
  <c r="F31" i="13" a="1"/>
  <c r="F31" i="13" s="1"/>
  <c r="F25" i="13" a="1"/>
  <c r="F25" i="13" s="1"/>
  <c r="F29" i="13" a="1"/>
  <c r="F29" i="13" s="1"/>
  <c r="F2" i="13" a="1"/>
  <c r="F2" i="13" s="1"/>
  <c r="F3" i="13" a="1"/>
  <c r="F3" i="13" s="1"/>
  <c r="F9" i="13" a="1"/>
  <c r="F9" i="13" s="1"/>
  <c r="F12" i="13" a="1"/>
  <c r="F12" i="13" s="1"/>
  <c r="F30" i="13" a="1"/>
  <c r="F30" i="13" s="1"/>
  <c r="F18" i="13" a="1"/>
  <c r="F18" i="13" s="1"/>
  <c r="F15" i="13" a="1"/>
  <c r="F15" i="13" s="1"/>
  <c r="F27" i="13" a="1"/>
  <c r="F27" i="13" s="1"/>
  <c r="F11" i="13" a="1"/>
  <c r="F11" i="13" s="1"/>
  <c r="F8" i="13" a="1"/>
  <c r="F8" i="13" s="1"/>
  <c r="F28" i="13" a="1"/>
  <c r="F28" i="13" s="1"/>
  <c r="F19" i="13" a="1"/>
  <c r="F19" i="13" s="1"/>
  <c r="D5" i="4" a="1"/>
  <c r="D5" i="4" s="1"/>
  <c r="C6" i="4"/>
  <c r="E505" i="4" a="1"/>
  <c r="E505" i="4" s="1"/>
  <c r="D506" i="4" a="1"/>
  <c r="D506" i="4" s="1"/>
  <c r="E755" i="4" a="1"/>
  <c r="E755" i="4" s="1"/>
  <c r="D756" i="4" a="1"/>
  <c r="D756" i="4" s="1"/>
  <c r="E255" i="4" a="1"/>
  <c r="E255" i="4" s="1"/>
  <c r="C256" i="4"/>
  <c r="D256" i="4" s="1" a="1"/>
  <c r="D256" i="4" s="1"/>
  <c r="E4" i="4" a="1"/>
  <c r="E4" i="4" s="1"/>
  <c r="D32" i="14" l="1" a="1"/>
  <c r="D32" i="14" s="1"/>
  <c r="D58" i="14" a="1"/>
  <c r="D58" i="14" s="1"/>
  <c r="D43" i="14" a="1"/>
  <c r="D43" i="14" s="1"/>
  <c r="D82" i="14" a="1"/>
  <c r="D82" i="14" s="1"/>
  <c r="D36" i="14" a="1"/>
  <c r="D36" i="14" s="1"/>
  <c r="D38" i="14" a="1"/>
  <c r="D38" i="14" s="1"/>
  <c r="D7" i="14" a="1"/>
  <c r="D7" i="14" s="1"/>
  <c r="D74" i="14" a="1"/>
  <c r="D74" i="14" s="1"/>
  <c r="D31" i="14" a="1"/>
  <c r="D31" i="14" s="1"/>
  <c r="D56" i="14" a="1"/>
  <c r="D56" i="14" s="1"/>
  <c r="D100" i="14" a="1"/>
  <c r="D100" i="14" s="1"/>
  <c r="D63" i="14" a="1"/>
  <c r="D63" i="14" s="1"/>
  <c r="D91" i="14" a="1"/>
  <c r="D91" i="14" s="1"/>
  <c r="D90" i="14" a="1"/>
  <c r="D90" i="14" s="1"/>
  <c r="D47" i="14" a="1"/>
  <c r="D47" i="14" s="1"/>
  <c r="D5" i="14" a="1"/>
  <c r="D5" i="14" s="1"/>
  <c r="D88" i="14" a="1"/>
  <c r="D88" i="14" s="1"/>
  <c r="D18" i="14" a="1"/>
  <c r="D18" i="14" s="1"/>
  <c r="D20" i="14" a="1"/>
  <c r="D20" i="14" s="1"/>
  <c r="D94" i="14" a="1"/>
  <c r="D94" i="14" s="1"/>
  <c r="D27" i="14" a="1"/>
  <c r="D27" i="14" s="1"/>
  <c r="D97" i="14" a="1"/>
  <c r="D97" i="14" s="1"/>
  <c r="D53" i="14" a="1"/>
  <c r="D53" i="14" s="1"/>
  <c r="D52" i="14" a="1"/>
  <c r="D52" i="14" s="1"/>
  <c r="D75" i="14" a="1"/>
  <c r="D75" i="14" s="1"/>
  <c r="D93" i="14" a="1"/>
  <c r="D93" i="14" s="1"/>
  <c r="D10" i="14" a="1"/>
  <c r="D10" i="14" s="1"/>
  <c r="D25" i="14" a="1"/>
  <c r="D25" i="14" s="1"/>
  <c r="D72" i="14" a="1"/>
  <c r="D72" i="14" s="1"/>
  <c r="D24" i="14" a="1"/>
  <c r="D24" i="14" s="1"/>
  <c r="D46" i="14" a="1"/>
  <c r="D46" i="14" s="1"/>
  <c r="D76" i="14" a="1"/>
  <c r="D76" i="14" s="1"/>
  <c r="D99" i="14" a="1"/>
  <c r="D99" i="14" s="1"/>
  <c r="D34" i="14" a="1"/>
  <c r="D34" i="14" s="1"/>
  <c r="D3" i="14" a="1"/>
  <c r="D3" i="14" s="1"/>
  <c r="D33" i="14" a="1"/>
  <c r="D33" i="14" s="1"/>
  <c r="D42" i="14" a="1"/>
  <c r="D42" i="14" s="1"/>
  <c r="D9" i="14" a="1"/>
  <c r="D9" i="14" s="1"/>
  <c r="D79" i="14" a="1"/>
  <c r="D79" i="14" s="1"/>
  <c r="D22" i="14" a="1"/>
  <c r="D22" i="14" s="1"/>
  <c r="D54" i="14" a="1"/>
  <c r="D54" i="14" s="1"/>
  <c r="D98" i="14" a="1"/>
  <c r="D98" i="14" s="1"/>
  <c r="D45" i="14" a="1"/>
  <c r="D45" i="14" s="1"/>
  <c r="D92" i="14" a="1"/>
  <c r="D92" i="14" s="1"/>
  <c r="D65" i="14" a="1"/>
  <c r="D65" i="14" s="1"/>
  <c r="D37" i="14" a="1"/>
  <c r="D37" i="14" s="1"/>
  <c r="D70" i="14" a="1"/>
  <c r="D70" i="14" s="1"/>
  <c r="D23" i="14" a="1"/>
  <c r="D23" i="14" s="1"/>
  <c r="D4" i="14" a="1"/>
  <c r="D4" i="14" s="1"/>
  <c r="D66" i="14" a="1"/>
  <c r="D66" i="14" s="1"/>
  <c r="D29" i="14" a="1"/>
  <c r="D29" i="14" s="1"/>
  <c r="D101" i="14" a="1"/>
  <c r="D101" i="14" s="1"/>
  <c r="D61" i="14" a="1"/>
  <c r="D61" i="14" s="1"/>
  <c r="D67" i="14" a="1"/>
  <c r="D67" i="14" s="1"/>
  <c r="D84" i="14" a="1"/>
  <c r="D84" i="14" s="1"/>
  <c r="D6" i="14" a="1"/>
  <c r="D6" i="14" s="1"/>
  <c r="D40" i="14" a="1"/>
  <c r="D40" i="14" s="1"/>
  <c r="D85" i="14" a="1"/>
  <c r="D85" i="14" s="1"/>
  <c r="D16" i="14" a="1"/>
  <c r="D16" i="14" s="1"/>
  <c r="D50" i="14" a="1"/>
  <c r="D50" i="14" s="1"/>
  <c r="D64" i="14" a="1"/>
  <c r="D64" i="14" s="1"/>
  <c r="D28" i="14" a="1"/>
  <c r="D28" i="14" s="1"/>
  <c r="D48" i="14" a="1"/>
  <c r="D48" i="14" s="1"/>
  <c r="D49" i="14" a="1"/>
  <c r="D49" i="14" s="1"/>
  <c r="D14" i="14" a="1"/>
  <c r="D14" i="14" s="1"/>
  <c r="D87" i="14" a="1"/>
  <c r="D87" i="14" s="1"/>
  <c r="D17" i="14" a="1"/>
  <c r="D17" i="14" s="1"/>
  <c r="D21" i="14" a="1"/>
  <c r="D21" i="14" s="1"/>
  <c r="D95" i="14" a="1"/>
  <c r="D95" i="14" s="1"/>
  <c r="D13" i="14" a="1"/>
  <c r="D13" i="14" s="1"/>
  <c r="D30" i="14" a="1"/>
  <c r="D30" i="14" s="1"/>
  <c r="D86" i="14" a="1"/>
  <c r="D86" i="14" s="1"/>
  <c r="D81" i="14" a="1"/>
  <c r="D81" i="14" s="1"/>
  <c r="D89" i="14" a="1"/>
  <c r="D89" i="14" s="1"/>
  <c r="D2" i="14" a="1"/>
  <c r="D2" i="14" s="1"/>
  <c r="D15" i="14" a="1"/>
  <c r="D15" i="14" s="1"/>
  <c r="D78" i="14" a="1"/>
  <c r="D78" i="14" s="1"/>
  <c r="D80" i="14" a="1"/>
  <c r="D80" i="14" s="1"/>
  <c r="D83" i="14" a="1"/>
  <c r="D83" i="14" s="1"/>
  <c r="D39" i="14" a="1"/>
  <c r="D39" i="14" s="1"/>
  <c r="D41" i="14" a="1"/>
  <c r="D41" i="14" s="1"/>
  <c r="D71" i="14" a="1"/>
  <c r="D71" i="14" s="1"/>
  <c r="D73" i="14" a="1"/>
  <c r="D73" i="14" s="1"/>
  <c r="D68" i="14" a="1"/>
  <c r="D68" i="14" s="1"/>
  <c r="D69" i="14" a="1"/>
  <c r="D69" i="14" s="1"/>
  <c r="D12" i="14" a="1"/>
  <c r="D12" i="14" s="1"/>
  <c r="D59" i="14" a="1"/>
  <c r="D59" i="14" s="1"/>
  <c r="D60" i="14" a="1"/>
  <c r="D60" i="14" s="1"/>
  <c r="D26" i="14" a="1"/>
  <c r="D26" i="14" s="1"/>
  <c r="D51" i="14" a="1"/>
  <c r="D51" i="14" s="1"/>
  <c r="D44" i="14" a="1"/>
  <c r="D44" i="14" s="1"/>
  <c r="D35" i="14" a="1"/>
  <c r="D35" i="14" s="1"/>
  <c r="D57" i="14" a="1"/>
  <c r="D57" i="14" s="1"/>
  <c r="D19" i="14" a="1"/>
  <c r="D19" i="14" s="1"/>
  <c r="D62" i="14" a="1"/>
  <c r="D62" i="14" s="1"/>
  <c r="D55" i="14" a="1"/>
  <c r="D55" i="14" s="1"/>
  <c r="D11" i="14" a="1"/>
  <c r="D11" i="14" s="1"/>
  <c r="D96" i="14" a="1"/>
  <c r="D96" i="14" s="1"/>
  <c r="D8" i="14" a="1"/>
  <c r="D8" i="14" s="1"/>
  <c r="D40" i="13"/>
  <c r="F40" i="13" s="1" a="1"/>
  <c r="F40" i="13" s="1"/>
  <c r="D6" i="4" a="1"/>
  <c r="D6" i="4" s="1"/>
  <c r="C7" i="4"/>
  <c r="E506" i="4" a="1"/>
  <c r="E506" i="4" s="1"/>
  <c r="D507" i="4" a="1"/>
  <c r="D507" i="4" s="1"/>
  <c r="E756" i="4" a="1"/>
  <c r="E756" i="4" s="1"/>
  <c r="D757" i="4" a="1"/>
  <c r="D757" i="4" s="1"/>
  <c r="E256" i="4" a="1"/>
  <c r="E256" i="4" s="1"/>
  <c r="C257" i="4"/>
  <c r="D257" i="4" s="1" a="1"/>
  <c r="D257" i="4" s="1"/>
  <c r="E5" i="4" a="1"/>
  <c r="E5" i="4" s="1"/>
  <c r="D7" i="13" l="1"/>
  <c r="F7" i="13" s="1" a="1"/>
  <c r="F7" i="13" s="1"/>
  <c r="D7" i="4" a="1"/>
  <c r="D7" i="4" s="1"/>
  <c r="C8" i="4"/>
  <c r="E507" i="4" a="1"/>
  <c r="E507" i="4" s="1"/>
  <c r="D508" i="4" a="1"/>
  <c r="D508" i="4" s="1"/>
  <c r="E757" i="4" a="1"/>
  <c r="E757" i="4" s="1"/>
  <c r="D758" i="4" a="1"/>
  <c r="D758" i="4" s="1"/>
  <c r="E257" i="4" a="1"/>
  <c r="E257" i="4" s="1"/>
  <c r="C258" i="4"/>
  <c r="D258" i="4" s="1" a="1"/>
  <c r="D258" i="4" s="1"/>
  <c r="E6" i="4" a="1"/>
  <c r="E6" i="4" s="1"/>
  <c r="D8" i="4" l="1" a="1"/>
  <c r="D8" i="4" s="1"/>
  <c r="C9" i="4"/>
  <c r="E508" i="4" a="1"/>
  <c r="E508" i="4" s="1"/>
  <c r="D509" i="4" a="1"/>
  <c r="D509" i="4" s="1"/>
  <c r="E758" i="4" a="1"/>
  <c r="E758" i="4" s="1"/>
  <c r="D759" i="4" a="1"/>
  <c r="D759" i="4" s="1"/>
  <c r="E258" i="4" a="1"/>
  <c r="E258" i="4" s="1"/>
  <c r="C259" i="4"/>
  <c r="D259" i="4" s="1" a="1"/>
  <c r="D259" i="4" s="1"/>
  <c r="E7" i="4" a="1"/>
  <c r="E7" i="4" s="1"/>
  <c r="D9" i="4" l="1" a="1"/>
  <c r="D9" i="4" s="1"/>
  <c r="C10" i="4"/>
  <c r="E509" i="4" a="1"/>
  <c r="E509" i="4" s="1"/>
  <c r="D510" i="4" a="1"/>
  <c r="D510" i="4" s="1"/>
  <c r="E759" i="4" a="1"/>
  <c r="E759" i="4" s="1"/>
  <c r="D760" i="4" a="1"/>
  <c r="D760" i="4" s="1"/>
  <c r="E259" i="4" a="1"/>
  <c r="E259" i="4" s="1"/>
  <c r="C260" i="4"/>
  <c r="D260" i="4" s="1" a="1"/>
  <c r="D260" i="4" s="1"/>
  <c r="E8" i="4" a="1"/>
  <c r="E8" i="4" s="1"/>
  <c r="D10" i="4" l="1" a="1"/>
  <c r="D10" i="4" s="1"/>
  <c r="C11" i="4"/>
  <c r="D11" i="4" s="1" a="1"/>
  <c r="D11" i="4" s="1"/>
  <c r="E510" i="4" a="1"/>
  <c r="E510" i="4" s="1"/>
  <c r="D511" i="4" a="1"/>
  <c r="D511" i="4" s="1"/>
  <c r="E760" i="4" a="1"/>
  <c r="E760" i="4" s="1"/>
  <c r="D761" i="4" a="1"/>
  <c r="D761" i="4" s="1"/>
  <c r="E260" i="4" a="1"/>
  <c r="E260" i="4" s="1"/>
  <c r="C261" i="4"/>
  <c r="D261" i="4" s="1" a="1"/>
  <c r="D261" i="4" s="1"/>
  <c r="C12" i="4"/>
  <c r="D12" i="4" s="1" a="1"/>
  <c r="D12" i="4" s="1"/>
  <c r="E9" i="4" a="1"/>
  <c r="E9" i="4" s="1"/>
  <c r="E511" i="4" l="1" a="1"/>
  <c r="E511" i="4" s="1"/>
  <c r="D512" i="4" a="1"/>
  <c r="D512" i="4" s="1"/>
  <c r="E761" i="4" a="1"/>
  <c r="E761" i="4" s="1"/>
  <c r="D762" i="4" a="1"/>
  <c r="D762" i="4" s="1"/>
  <c r="E261" i="4" a="1"/>
  <c r="E261" i="4" s="1"/>
  <c r="C262" i="4"/>
  <c r="D262" i="4" s="1" a="1"/>
  <c r="D262" i="4" s="1"/>
  <c r="C13" i="4"/>
  <c r="D13" i="4" s="1" a="1"/>
  <c r="D13" i="4" s="1"/>
  <c r="E10" i="4" a="1"/>
  <c r="E10" i="4" s="1"/>
  <c r="E512" i="4" l="1" a="1"/>
  <c r="E512" i="4" s="1"/>
  <c r="D513" i="4" a="1"/>
  <c r="D513" i="4" s="1"/>
  <c r="E762" i="4" a="1"/>
  <c r="E762" i="4" s="1"/>
  <c r="D763" i="4" a="1"/>
  <c r="D763" i="4" s="1"/>
  <c r="E262" i="4" a="1"/>
  <c r="E262" i="4" s="1"/>
  <c r="C263" i="4"/>
  <c r="D263" i="4" s="1" a="1"/>
  <c r="D263" i="4" s="1"/>
  <c r="C14" i="4"/>
  <c r="D14" i="4" s="1" a="1"/>
  <c r="D14" i="4" s="1"/>
  <c r="E11" i="4" a="1"/>
  <c r="E11" i="4" s="1"/>
  <c r="E513" i="4" l="1" a="1"/>
  <c r="E513" i="4" s="1"/>
  <c r="D514" i="4" a="1"/>
  <c r="D514" i="4" s="1"/>
  <c r="E763" i="4" a="1"/>
  <c r="E763" i="4" s="1"/>
  <c r="D764" i="4" a="1"/>
  <c r="D764" i="4" s="1"/>
  <c r="E263" i="4" a="1"/>
  <c r="E263" i="4" s="1"/>
  <c r="C264" i="4"/>
  <c r="D264" i="4" s="1" a="1"/>
  <c r="D264" i="4" s="1"/>
  <c r="C15" i="4"/>
  <c r="D15" i="4" s="1" a="1"/>
  <c r="D15" i="4" s="1"/>
  <c r="E12" i="4" a="1"/>
  <c r="E12" i="4" s="1"/>
  <c r="E514" i="4" l="1" a="1"/>
  <c r="E514" i="4" s="1"/>
  <c r="D515" i="4" a="1"/>
  <c r="D515" i="4" s="1"/>
  <c r="E764" i="4" a="1"/>
  <c r="E764" i="4" s="1"/>
  <c r="D765" i="4" a="1"/>
  <c r="D765" i="4" s="1"/>
  <c r="E264" i="4" a="1"/>
  <c r="E264" i="4" s="1"/>
  <c r="C265" i="4"/>
  <c r="D265" i="4" s="1" a="1"/>
  <c r="D265" i="4" s="1"/>
  <c r="C16" i="4"/>
  <c r="D16" i="4" s="1" a="1"/>
  <c r="D16" i="4" s="1"/>
  <c r="E13" i="4" a="1"/>
  <c r="E13" i="4" s="1"/>
  <c r="E515" i="4" l="1" a="1"/>
  <c r="E515" i="4" s="1"/>
  <c r="D516" i="4" a="1"/>
  <c r="D516" i="4" s="1"/>
  <c r="E765" i="4" a="1"/>
  <c r="E765" i="4" s="1"/>
  <c r="D766" i="4" a="1"/>
  <c r="D766" i="4" s="1"/>
  <c r="E265" i="4" a="1"/>
  <c r="E265" i="4" s="1"/>
  <c r="C266" i="4"/>
  <c r="D266" i="4" s="1" a="1"/>
  <c r="D266" i="4" s="1"/>
  <c r="C17" i="4"/>
  <c r="D17" i="4" s="1" a="1"/>
  <c r="D17" i="4" s="1"/>
  <c r="E14" i="4" a="1"/>
  <c r="E14" i="4" s="1"/>
  <c r="E516" i="4" l="1" a="1"/>
  <c r="E516" i="4" s="1"/>
  <c r="D517" i="4" a="1"/>
  <c r="D517" i="4" s="1"/>
  <c r="E766" i="4" a="1"/>
  <c r="E766" i="4" s="1"/>
  <c r="D767" i="4" a="1"/>
  <c r="D767" i="4" s="1"/>
  <c r="E266" i="4" a="1"/>
  <c r="E266" i="4" s="1"/>
  <c r="C267" i="4"/>
  <c r="D267" i="4" s="1" a="1"/>
  <c r="D267" i="4" s="1"/>
  <c r="C18" i="4"/>
  <c r="D18" i="4" s="1" a="1"/>
  <c r="D18" i="4" s="1"/>
  <c r="E15" i="4" a="1"/>
  <c r="E15" i="4" s="1"/>
  <c r="D518" i="4" l="1" a="1"/>
  <c r="D518" i="4" s="1"/>
  <c r="E517" i="4" a="1"/>
  <c r="E517" i="4" s="1"/>
  <c r="E767" i="4" a="1"/>
  <c r="E767" i="4" s="1"/>
  <c r="D768" i="4" a="1"/>
  <c r="D768" i="4" s="1"/>
  <c r="E267" i="4" a="1"/>
  <c r="E267" i="4" s="1"/>
  <c r="C268" i="4"/>
  <c r="D268" i="4" s="1" a="1"/>
  <c r="D268" i="4" s="1"/>
  <c r="C19" i="4"/>
  <c r="D19" i="4" s="1" a="1"/>
  <c r="D19" i="4" s="1"/>
  <c r="E16" i="4" a="1"/>
  <c r="E16" i="4" s="1"/>
  <c r="D519" i="4" l="1" a="1"/>
  <c r="D519" i="4" s="1"/>
  <c r="E518" i="4" a="1"/>
  <c r="E518" i="4" s="1"/>
  <c r="E768" i="4" a="1"/>
  <c r="E768" i="4" s="1"/>
  <c r="D769" i="4" a="1"/>
  <c r="D769" i="4" s="1"/>
  <c r="E268" i="4" a="1"/>
  <c r="E268" i="4" s="1"/>
  <c r="C269" i="4"/>
  <c r="D269" i="4" s="1" a="1"/>
  <c r="D269" i="4" s="1"/>
  <c r="C20" i="4"/>
  <c r="D20" i="4" s="1" a="1"/>
  <c r="D20" i="4" s="1"/>
  <c r="E17" i="4" a="1"/>
  <c r="E17" i="4" s="1"/>
  <c r="D520" i="4" l="1" a="1"/>
  <c r="D520" i="4" s="1"/>
  <c r="E519" i="4" a="1"/>
  <c r="E519" i="4" s="1"/>
  <c r="E769" i="4" a="1"/>
  <c r="E769" i="4" s="1"/>
  <c r="D770" i="4" a="1"/>
  <c r="D770" i="4" s="1"/>
  <c r="E269" i="4" a="1"/>
  <c r="E269" i="4" s="1"/>
  <c r="C270" i="4"/>
  <c r="D270" i="4" s="1" a="1"/>
  <c r="D270" i="4" s="1"/>
  <c r="C21" i="4"/>
  <c r="D21" i="4" s="1" a="1"/>
  <c r="D21" i="4" s="1"/>
  <c r="E18" i="4" a="1"/>
  <c r="E18" i="4" s="1"/>
  <c r="D521" i="4" l="1" a="1"/>
  <c r="D521" i="4" s="1"/>
  <c r="E520" i="4" a="1"/>
  <c r="E520" i="4" s="1"/>
  <c r="E770" i="4" a="1"/>
  <c r="E770" i="4" s="1"/>
  <c r="D771" i="4" a="1"/>
  <c r="D771" i="4" s="1"/>
  <c r="E270" i="4" a="1"/>
  <c r="E270" i="4" s="1"/>
  <c r="C271" i="4"/>
  <c r="D271" i="4" s="1" a="1"/>
  <c r="D271" i="4" s="1"/>
  <c r="C22" i="4"/>
  <c r="D22" i="4" s="1" a="1"/>
  <c r="D22" i="4" s="1"/>
  <c r="E19" i="4" a="1"/>
  <c r="E19" i="4" s="1"/>
  <c r="D522" i="4" l="1" a="1"/>
  <c r="D522" i="4" s="1"/>
  <c r="E521" i="4" a="1"/>
  <c r="E521" i="4" s="1"/>
  <c r="E771" i="4" a="1"/>
  <c r="E771" i="4" s="1"/>
  <c r="D772" i="4" a="1"/>
  <c r="D772" i="4" s="1"/>
  <c r="E271" i="4" a="1"/>
  <c r="E271" i="4" s="1"/>
  <c r="C272" i="4"/>
  <c r="D272" i="4" s="1" a="1"/>
  <c r="D272" i="4" s="1"/>
  <c r="C23" i="4"/>
  <c r="D23" i="4" s="1" a="1"/>
  <c r="D23" i="4" s="1"/>
  <c r="E20" i="4" a="1"/>
  <c r="E20" i="4" s="1"/>
  <c r="E522" i="4" l="1" a="1"/>
  <c r="E522" i="4" s="1"/>
  <c r="D523" i="4" a="1"/>
  <c r="D523" i="4" s="1"/>
  <c r="E772" i="4" a="1"/>
  <c r="E772" i="4" s="1"/>
  <c r="D773" i="4" a="1"/>
  <c r="D773" i="4" s="1"/>
  <c r="E272" i="4" a="1"/>
  <c r="E272" i="4" s="1"/>
  <c r="C273" i="4"/>
  <c r="D273" i="4" s="1" a="1"/>
  <c r="D273" i="4" s="1"/>
  <c r="C24" i="4"/>
  <c r="D24" i="4" s="1" a="1"/>
  <c r="D24" i="4" s="1"/>
  <c r="E21" i="4" a="1"/>
  <c r="E21" i="4" s="1"/>
  <c r="D524" i="4" l="1" a="1"/>
  <c r="D524" i="4" s="1"/>
  <c r="E523" i="4" a="1"/>
  <c r="E523" i="4" s="1"/>
  <c r="E773" i="4" a="1"/>
  <c r="E773" i="4" s="1"/>
  <c r="D774" i="4" a="1"/>
  <c r="D774" i="4" s="1"/>
  <c r="E273" i="4" a="1"/>
  <c r="E273" i="4" s="1"/>
  <c r="C274" i="4"/>
  <c r="D274" i="4" s="1" a="1"/>
  <c r="D274" i="4" s="1"/>
  <c r="C25" i="4"/>
  <c r="D25" i="4" s="1" a="1"/>
  <c r="D25" i="4" s="1"/>
  <c r="E22" i="4" a="1"/>
  <c r="E22" i="4" s="1"/>
  <c r="D525" i="4" l="1" a="1"/>
  <c r="D525" i="4" s="1"/>
  <c r="E524" i="4" a="1"/>
  <c r="E524" i="4" s="1"/>
  <c r="E774" i="4" a="1"/>
  <c r="E774" i="4" s="1"/>
  <c r="D775" i="4" a="1"/>
  <c r="D775" i="4" s="1"/>
  <c r="E274" i="4" a="1"/>
  <c r="E274" i="4" s="1"/>
  <c r="C275" i="4"/>
  <c r="D275" i="4" s="1" a="1"/>
  <c r="D275" i="4" s="1"/>
  <c r="C26" i="4"/>
  <c r="D26" i="4" s="1" a="1"/>
  <c r="D26" i="4" s="1"/>
  <c r="E23" i="4" a="1"/>
  <c r="E23" i="4" s="1"/>
  <c r="D526" i="4" l="1" a="1"/>
  <c r="D526" i="4" s="1"/>
  <c r="E525" i="4" a="1"/>
  <c r="E525" i="4" s="1"/>
  <c r="E775" i="4" a="1"/>
  <c r="E775" i="4" s="1"/>
  <c r="D776" i="4" a="1"/>
  <c r="D776" i="4" s="1"/>
  <c r="E275" i="4" a="1"/>
  <c r="E275" i="4" s="1"/>
  <c r="C276" i="4"/>
  <c r="D276" i="4" s="1" a="1"/>
  <c r="D276" i="4" s="1"/>
  <c r="C27" i="4"/>
  <c r="D27" i="4" s="1" a="1"/>
  <c r="D27" i="4" s="1"/>
  <c r="E24" i="4" a="1"/>
  <c r="E24" i="4" s="1"/>
  <c r="E526" i="4" l="1" a="1"/>
  <c r="E526" i="4" s="1"/>
  <c r="D527" i="4" a="1"/>
  <c r="D527" i="4" s="1"/>
  <c r="E776" i="4" a="1"/>
  <c r="E776" i="4" s="1"/>
  <c r="D777" i="4" a="1"/>
  <c r="D777" i="4" s="1"/>
  <c r="E276" i="4" a="1"/>
  <c r="E276" i="4" s="1"/>
  <c r="C277" i="4"/>
  <c r="D277" i="4" s="1" a="1"/>
  <c r="D277" i="4" s="1"/>
  <c r="C28" i="4"/>
  <c r="D28" i="4" s="1" a="1"/>
  <c r="D28" i="4" s="1"/>
  <c r="E25" i="4" a="1"/>
  <c r="E25" i="4" s="1"/>
  <c r="E527" i="4" l="1" a="1"/>
  <c r="E527" i="4" s="1"/>
  <c r="D528" i="4" a="1"/>
  <c r="D528" i="4" s="1"/>
  <c r="E777" i="4" a="1"/>
  <c r="E777" i="4" s="1"/>
  <c r="D778" i="4" a="1"/>
  <c r="D778" i="4" s="1"/>
  <c r="E277" i="4" a="1"/>
  <c r="E277" i="4" s="1"/>
  <c r="C278" i="4"/>
  <c r="D278" i="4" s="1" a="1"/>
  <c r="D278" i="4" s="1"/>
  <c r="C29" i="4"/>
  <c r="D29" i="4" s="1" a="1"/>
  <c r="D29" i="4" s="1"/>
  <c r="E26" i="4" a="1"/>
  <c r="E26" i="4" s="1"/>
  <c r="D529" i="4" l="1" a="1"/>
  <c r="D529" i="4" s="1"/>
  <c r="E528" i="4" a="1"/>
  <c r="E528" i="4" s="1"/>
  <c r="E778" i="4" a="1"/>
  <c r="E778" i="4" s="1"/>
  <c r="D779" i="4" a="1"/>
  <c r="D779" i="4" s="1"/>
  <c r="E278" i="4" a="1"/>
  <c r="E278" i="4" s="1"/>
  <c r="C279" i="4"/>
  <c r="D279" i="4" s="1" a="1"/>
  <c r="D279" i="4" s="1"/>
  <c r="C30" i="4"/>
  <c r="D30" i="4" s="1" a="1"/>
  <c r="D30" i="4" s="1"/>
  <c r="E27" i="4" a="1"/>
  <c r="E27" i="4" s="1"/>
  <c r="D530" i="4" l="1" a="1"/>
  <c r="D530" i="4" s="1"/>
  <c r="E529" i="4" a="1"/>
  <c r="E529" i="4" s="1"/>
  <c r="E779" i="4" a="1"/>
  <c r="E779" i="4" s="1"/>
  <c r="D780" i="4" a="1"/>
  <c r="D780" i="4" s="1"/>
  <c r="E279" i="4" a="1"/>
  <c r="E279" i="4" s="1"/>
  <c r="C280" i="4"/>
  <c r="D280" i="4" s="1" a="1"/>
  <c r="D280" i="4" s="1"/>
  <c r="C31" i="4"/>
  <c r="D31" i="4" s="1" a="1"/>
  <c r="D31" i="4" s="1"/>
  <c r="E28" i="4" a="1"/>
  <c r="E28" i="4" s="1"/>
  <c r="D531" i="4" l="1" a="1"/>
  <c r="D531" i="4" s="1"/>
  <c r="E530" i="4" a="1"/>
  <c r="E530" i="4" s="1"/>
  <c r="E780" i="4" a="1"/>
  <c r="E780" i="4" s="1"/>
  <c r="D781" i="4" a="1"/>
  <c r="D781" i="4" s="1"/>
  <c r="E280" i="4" a="1"/>
  <c r="E280" i="4" s="1"/>
  <c r="C281" i="4"/>
  <c r="D281" i="4" s="1" a="1"/>
  <c r="D281" i="4" s="1"/>
  <c r="C32" i="4"/>
  <c r="D32" i="4" s="1" a="1"/>
  <c r="D32" i="4" s="1"/>
  <c r="E29" i="4" a="1"/>
  <c r="E29" i="4" s="1"/>
  <c r="D532" i="4" l="1" a="1"/>
  <c r="D532" i="4" s="1"/>
  <c r="E531" i="4" a="1"/>
  <c r="E531" i="4" s="1"/>
  <c r="E781" i="4" a="1"/>
  <c r="E781" i="4" s="1"/>
  <c r="D782" i="4" a="1"/>
  <c r="D782" i="4" s="1"/>
  <c r="E281" i="4" a="1"/>
  <c r="E281" i="4" s="1"/>
  <c r="C282" i="4"/>
  <c r="D282" i="4" s="1" a="1"/>
  <c r="D282" i="4" s="1"/>
  <c r="C33" i="4"/>
  <c r="D33" i="4" s="1" a="1"/>
  <c r="D33" i="4" s="1"/>
  <c r="E30" i="4" a="1"/>
  <c r="E30" i="4" s="1"/>
  <c r="D533" i="4" l="1" a="1"/>
  <c r="D533" i="4" s="1"/>
  <c r="E532" i="4" a="1"/>
  <c r="E532" i="4" s="1"/>
  <c r="E782" i="4" a="1"/>
  <c r="E782" i="4" s="1"/>
  <c r="D783" i="4" a="1"/>
  <c r="D783" i="4" s="1"/>
  <c r="E282" i="4" a="1"/>
  <c r="E282" i="4" s="1"/>
  <c r="C283" i="4"/>
  <c r="D283" i="4" s="1" a="1"/>
  <c r="D283" i="4" s="1"/>
  <c r="C34" i="4"/>
  <c r="D34" i="4" s="1" a="1"/>
  <c r="D34" i="4" s="1"/>
  <c r="E31" i="4" a="1"/>
  <c r="E31" i="4" s="1"/>
  <c r="D534" i="4" l="1" a="1"/>
  <c r="D534" i="4" s="1"/>
  <c r="E533" i="4" a="1"/>
  <c r="E533" i="4" s="1"/>
  <c r="E783" i="4" a="1"/>
  <c r="E783" i="4" s="1"/>
  <c r="D784" i="4" a="1"/>
  <c r="D784" i="4" s="1"/>
  <c r="E283" i="4" a="1"/>
  <c r="E283" i="4" s="1"/>
  <c r="C284" i="4"/>
  <c r="D284" i="4" s="1" a="1"/>
  <c r="D284" i="4" s="1"/>
  <c r="C35" i="4"/>
  <c r="D35" i="4" s="1" a="1"/>
  <c r="D35" i="4" s="1"/>
  <c r="E32" i="4" a="1"/>
  <c r="E32" i="4" s="1"/>
  <c r="E33" i="4" a="1"/>
  <c r="E33" i="4" s="1"/>
  <c r="E534" i="4" l="1" a="1"/>
  <c r="E534" i="4" s="1"/>
  <c r="D535" i="4" a="1"/>
  <c r="D535" i="4" s="1"/>
  <c r="E784" i="4" a="1"/>
  <c r="E784" i="4" s="1"/>
  <c r="D785" i="4" a="1"/>
  <c r="D785" i="4" s="1"/>
  <c r="E284" i="4" a="1"/>
  <c r="E284" i="4" s="1"/>
  <c r="C285" i="4"/>
  <c r="D285" i="4" s="1" a="1"/>
  <c r="D285" i="4" s="1"/>
  <c r="C36" i="4"/>
  <c r="D36" i="4" s="1" a="1"/>
  <c r="D36" i="4" s="1"/>
  <c r="E34" i="4" a="1"/>
  <c r="E34" i="4" s="1"/>
  <c r="E535" i="4" l="1" a="1"/>
  <c r="E535" i="4" s="1"/>
  <c r="D536" i="4" a="1"/>
  <c r="D536" i="4" s="1"/>
  <c r="E785" i="4" a="1"/>
  <c r="E785" i="4" s="1"/>
  <c r="D786" i="4" a="1"/>
  <c r="D786" i="4" s="1"/>
  <c r="E285" i="4" a="1"/>
  <c r="E285" i="4" s="1"/>
  <c r="C286" i="4"/>
  <c r="D286" i="4" s="1" a="1"/>
  <c r="D286" i="4" s="1"/>
  <c r="C37" i="4"/>
  <c r="D37" i="4" s="1" a="1"/>
  <c r="D37" i="4" s="1"/>
  <c r="E35" i="4" a="1"/>
  <c r="E35" i="4" s="1"/>
  <c r="D537" i="4" l="1" a="1"/>
  <c r="D537" i="4" s="1"/>
  <c r="E536" i="4" a="1"/>
  <c r="E536" i="4" s="1"/>
  <c r="E786" i="4" a="1"/>
  <c r="E786" i="4" s="1"/>
  <c r="D787" i="4" a="1"/>
  <c r="D787" i="4" s="1"/>
  <c r="E286" i="4" a="1"/>
  <c r="E286" i="4" s="1"/>
  <c r="C287" i="4"/>
  <c r="D287" i="4" s="1" a="1"/>
  <c r="D287" i="4" s="1"/>
  <c r="C38" i="4"/>
  <c r="D38" i="4" s="1" a="1"/>
  <c r="D38" i="4" s="1"/>
  <c r="E36" i="4" a="1"/>
  <c r="E36" i="4" s="1"/>
  <c r="D538" i="4" l="1" a="1"/>
  <c r="D538" i="4" s="1"/>
  <c r="E537" i="4" a="1"/>
  <c r="E537" i="4" s="1"/>
  <c r="E787" i="4" a="1"/>
  <c r="E787" i="4" s="1"/>
  <c r="D788" i="4" a="1"/>
  <c r="D788" i="4" s="1"/>
  <c r="E287" i="4" a="1"/>
  <c r="E287" i="4" s="1"/>
  <c r="C288" i="4"/>
  <c r="D288" i="4" s="1" a="1"/>
  <c r="D288" i="4" s="1"/>
  <c r="C39" i="4"/>
  <c r="D39" i="4" s="1" a="1"/>
  <c r="D39" i="4" s="1"/>
  <c r="E37" i="4" a="1"/>
  <c r="E37" i="4" s="1"/>
  <c r="D539" i="4" l="1" a="1"/>
  <c r="D539" i="4" s="1"/>
  <c r="E538" i="4" a="1"/>
  <c r="E538" i="4" s="1"/>
  <c r="E788" i="4" a="1"/>
  <c r="E788" i="4" s="1"/>
  <c r="D789" i="4" a="1"/>
  <c r="D789" i="4" s="1"/>
  <c r="E288" i="4" a="1"/>
  <c r="E288" i="4" s="1"/>
  <c r="C289" i="4"/>
  <c r="D289" i="4" s="1" a="1"/>
  <c r="D289" i="4" s="1"/>
  <c r="C40" i="4"/>
  <c r="D40" i="4" s="1" a="1"/>
  <c r="D40" i="4" s="1"/>
  <c r="E38" i="4" a="1"/>
  <c r="E38" i="4" s="1"/>
  <c r="E539" i="4" l="1" a="1"/>
  <c r="E539" i="4" s="1"/>
  <c r="D540" i="4" a="1"/>
  <c r="D540" i="4" s="1"/>
  <c r="E789" i="4" a="1"/>
  <c r="E789" i="4" s="1"/>
  <c r="D790" i="4" a="1"/>
  <c r="D790" i="4" s="1"/>
  <c r="E289" i="4" a="1"/>
  <c r="E289" i="4" s="1"/>
  <c r="C290" i="4"/>
  <c r="D290" i="4" s="1" a="1"/>
  <c r="D290" i="4" s="1"/>
  <c r="C41" i="4"/>
  <c r="D41" i="4" s="1" a="1"/>
  <c r="D41" i="4" s="1"/>
  <c r="E39" i="4" a="1"/>
  <c r="E39" i="4" s="1"/>
  <c r="D541" i="4" l="1" a="1"/>
  <c r="D541" i="4" s="1"/>
  <c r="E540" i="4" a="1"/>
  <c r="E540" i="4" s="1"/>
  <c r="E790" i="4" a="1"/>
  <c r="E790" i="4" s="1"/>
  <c r="D791" i="4" a="1"/>
  <c r="D791" i="4" s="1"/>
  <c r="E290" i="4" a="1"/>
  <c r="E290" i="4" s="1"/>
  <c r="C291" i="4"/>
  <c r="D291" i="4" s="1" a="1"/>
  <c r="D291" i="4" s="1"/>
  <c r="C42" i="4"/>
  <c r="D42" i="4" s="1" a="1"/>
  <c r="D42" i="4" s="1"/>
  <c r="E40" i="4" a="1"/>
  <c r="E40" i="4" s="1"/>
  <c r="D542" i="4" l="1" a="1"/>
  <c r="D542" i="4" s="1"/>
  <c r="E541" i="4" a="1"/>
  <c r="E541" i="4" s="1"/>
  <c r="E791" i="4" a="1"/>
  <c r="E791" i="4" s="1"/>
  <c r="D792" i="4" a="1"/>
  <c r="D792" i="4" s="1"/>
  <c r="E291" i="4" a="1"/>
  <c r="E291" i="4" s="1"/>
  <c r="C292" i="4"/>
  <c r="D292" i="4" s="1" a="1"/>
  <c r="D292" i="4" s="1"/>
  <c r="C43" i="4"/>
  <c r="D43" i="4" s="1" a="1"/>
  <c r="D43" i="4" s="1"/>
  <c r="E41" i="4" a="1"/>
  <c r="E41" i="4" s="1"/>
  <c r="D543" i="4" l="1" a="1"/>
  <c r="D543" i="4" s="1"/>
  <c r="E542" i="4" a="1"/>
  <c r="E542" i="4" s="1"/>
  <c r="E792" i="4" a="1"/>
  <c r="E792" i="4" s="1"/>
  <c r="D793" i="4" a="1"/>
  <c r="D793" i="4" s="1"/>
  <c r="E292" i="4" a="1"/>
  <c r="E292" i="4" s="1"/>
  <c r="C293" i="4"/>
  <c r="D293" i="4" s="1" a="1"/>
  <c r="D293" i="4" s="1"/>
  <c r="C44" i="4"/>
  <c r="D44" i="4" s="1" a="1"/>
  <c r="D44" i="4" s="1"/>
  <c r="E42" i="4" a="1"/>
  <c r="E42" i="4" s="1"/>
  <c r="D544" i="4" l="1" a="1"/>
  <c r="D544" i="4" s="1"/>
  <c r="E543" i="4" a="1"/>
  <c r="E543" i="4" s="1"/>
  <c r="E793" i="4" a="1"/>
  <c r="E793" i="4" s="1"/>
  <c r="D794" i="4" a="1"/>
  <c r="D794" i="4" s="1"/>
  <c r="E293" i="4" a="1"/>
  <c r="E293" i="4" s="1"/>
  <c r="C294" i="4"/>
  <c r="D294" i="4" s="1" a="1"/>
  <c r="D294" i="4" s="1"/>
  <c r="C45" i="4"/>
  <c r="D45" i="4" s="1" a="1"/>
  <c r="D45" i="4" s="1"/>
  <c r="E43" i="4" a="1"/>
  <c r="E43" i="4" s="1"/>
  <c r="D545" i="4" l="1" a="1"/>
  <c r="D545" i="4" s="1"/>
  <c r="E544" i="4" a="1"/>
  <c r="E544" i="4" s="1"/>
  <c r="E794" i="4" a="1"/>
  <c r="E794" i="4" s="1"/>
  <c r="D795" i="4" a="1"/>
  <c r="D795" i="4" s="1"/>
  <c r="E294" i="4" a="1"/>
  <c r="E294" i="4" s="1"/>
  <c r="C295" i="4"/>
  <c r="D295" i="4" s="1" a="1"/>
  <c r="D295" i="4" s="1"/>
  <c r="C46" i="4"/>
  <c r="D46" i="4" s="1" a="1"/>
  <c r="D46" i="4" s="1"/>
  <c r="E44" i="4" a="1"/>
  <c r="E44" i="4" s="1"/>
  <c r="E545" i="4" l="1" a="1"/>
  <c r="E545" i="4" s="1"/>
  <c r="D546" i="4" a="1"/>
  <c r="D546" i="4" s="1"/>
  <c r="E795" i="4" a="1"/>
  <c r="E795" i="4" s="1"/>
  <c r="D796" i="4" a="1"/>
  <c r="D796" i="4" s="1"/>
  <c r="E295" i="4" a="1"/>
  <c r="E295" i="4" s="1"/>
  <c r="C296" i="4"/>
  <c r="D296" i="4" s="1" a="1"/>
  <c r="D296" i="4" s="1"/>
  <c r="C47" i="4"/>
  <c r="D47" i="4" s="1" a="1"/>
  <c r="D47" i="4" s="1"/>
  <c r="E45" i="4" a="1"/>
  <c r="E45" i="4" s="1"/>
  <c r="E546" i="4" l="1" a="1"/>
  <c r="E546" i="4" s="1"/>
  <c r="D547" i="4" a="1"/>
  <c r="D547" i="4" s="1"/>
  <c r="E796" i="4" a="1"/>
  <c r="E796" i="4" s="1"/>
  <c r="D797" i="4" a="1"/>
  <c r="D797" i="4" s="1"/>
  <c r="E296" i="4" a="1"/>
  <c r="E296" i="4" s="1"/>
  <c r="C297" i="4"/>
  <c r="D297" i="4" s="1" a="1"/>
  <c r="D297" i="4" s="1"/>
  <c r="C48" i="4"/>
  <c r="D48" i="4" s="1" a="1"/>
  <c r="D48" i="4" s="1"/>
  <c r="E46" i="4" a="1"/>
  <c r="E46" i="4" s="1"/>
  <c r="D548" i="4" l="1" a="1"/>
  <c r="D548" i="4" s="1"/>
  <c r="E547" i="4" a="1"/>
  <c r="E547" i="4" s="1"/>
  <c r="E797" i="4" a="1"/>
  <c r="E797" i="4" s="1"/>
  <c r="D798" i="4" a="1"/>
  <c r="D798" i="4" s="1"/>
  <c r="E297" i="4" a="1"/>
  <c r="E297" i="4" s="1"/>
  <c r="C298" i="4"/>
  <c r="D298" i="4" s="1" a="1"/>
  <c r="D298" i="4" s="1"/>
  <c r="C49" i="4"/>
  <c r="D49" i="4" s="1" a="1"/>
  <c r="D49" i="4" s="1"/>
  <c r="E47" i="4" a="1"/>
  <c r="E47" i="4" s="1"/>
  <c r="D549" i="4" l="1" a="1"/>
  <c r="D549" i="4" s="1"/>
  <c r="E548" i="4" a="1"/>
  <c r="E548" i="4" s="1"/>
  <c r="E798" i="4" a="1"/>
  <c r="E798" i="4" s="1"/>
  <c r="D799" i="4" a="1"/>
  <c r="D799" i="4" s="1"/>
  <c r="E298" i="4" a="1"/>
  <c r="E298" i="4" s="1"/>
  <c r="C299" i="4"/>
  <c r="D299" i="4" s="1" a="1"/>
  <c r="D299" i="4" s="1"/>
  <c r="C50" i="4"/>
  <c r="D50" i="4" s="1" a="1"/>
  <c r="D50" i="4" s="1"/>
  <c r="E48" i="4" a="1"/>
  <c r="E48" i="4" s="1"/>
  <c r="D550" i="4" l="1" a="1"/>
  <c r="D550" i="4" s="1"/>
  <c r="E549" i="4" a="1"/>
  <c r="E549" i="4" s="1"/>
  <c r="E799" i="4" a="1"/>
  <c r="E799" i="4" s="1"/>
  <c r="D800" i="4" a="1"/>
  <c r="D800" i="4" s="1"/>
  <c r="E299" i="4" a="1"/>
  <c r="E299" i="4" s="1"/>
  <c r="C300" i="4"/>
  <c r="D300" i="4" s="1" a="1"/>
  <c r="D300" i="4" s="1"/>
  <c r="C51" i="4"/>
  <c r="D51" i="4" s="1" a="1"/>
  <c r="D51" i="4" s="1"/>
  <c r="E49" i="4" a="1"/>
  <c r="E49" i="4" s="1"/>
  <c r="D551" i="4" l="1" a="1"/>
  <c r="D551" i="4" s="1"/>
  <c r="E550" i="4" a="1"/>
  <c r="E550" i="4" s="1"/>
  <c r="E800" i="4" a="1"/>
  <c r="E800" i="4" s="1"/>
  <c r="D801" i="4" a="1"/>
  <c r="D801" i="4" s="1"/>
  <c r="E300" i="4" a="1"/>
  <c r="E300" i="4" s="1"/>
  <c r="C301" i="4"/>
  <c r="D301" i="4" s="1" a="1"/>
  <c r="D301" i="4" s="1"/>
  <c r="C52" i="4"/>
  <c r="D52" i="4" s="1" a="1"/>
  <c r="D52" i="4" s="1"/>
  <c r="E50" i="4" a="1"/>
  <c r="E50" i="4" s="1"/>
  <c r="D552" i="4" l="1" a="1"/>
  <c r="D552" i="4" s="1"/>
  <c r="E551" i="4" a="1"/>
  <c r="E551" i="4" s="1"/>
  <c r="E801" i="4" a="1"/>
  <c r="E801" i="4" s="1"/>
  <c r="D802" i="4" a="1"/>
  <c r="D802" i="4" s="1"/>
  <c r="E301" i="4" a="1"/>
  <c r="E301" i="4" s="1"/>
  <c r="C302" i="4"/>
  <c r="D302" i="4" s="1" a="1"/>
  <c r="D302" i="4" s="1"/>
  <c r="C53" i="4"/>
  <c r="D53" i="4" s="1" a="1"/>
  <c r="D53" i="4" s="1"/>
  <c r="E51" i="4" a="1"/>
  <c r="E51" i="4" s="1"/>
  <c r="D553" i="4" l="1" a="1"/>
  <c r="D553" i="4" s="1"/>
  <c r="E552" i="4" a="1"/>
  <c r="E552" i="4" s="1"/>
  <c r="E802" i="4" a="1"/>
  <c r="E802" i="4" s="1"/>
  <c r="D803" i="4" a="1"/>
  <c r="D803" i="4" s="1"/>
  <c r="E302" i="4" a="1"/>
  <c r="E302" i="4" s="1"/>
  <c r="C303" i="4"/>
  <c r="D303" i="4" s="1" a="1"/>
  <c r="D303" i="4" s="1"/>
  <c r="C54" i="4"/>
  <c r="D54" i="4" s="1" a="1"/>
  <c r="D54" i="4" s="1"/>
  <c r="E52" i="4" a="1"/>
  <c r="E52" i="4" s="1"/>
  <c r="D554" i="4" l="1" a="1"/>
  <c r="D554" i="4" s="1"/>
  <c r="E553" i="4" a="1"/>
  <c r="E553" i="4" s="1"/>
  <c r="E803" i="4" a="1"/>
  <c r="E803" i="4" s="1"/>
  <c r="D804" i="4" a="1"/>
  <c r="D804" i="4" s="1"/>
  <c r="E303" i="4" a="1"/>
  <c r="E303" i="4" s="1"/>
  <c r="C304" i="4"/>
  <c r="D304" i="4" s="1" a="1"/>
  <c r="D304" i="4" s="1"/>
  <c r="C55" i="4"/>
  <c r="D55" i="4" s="1" a="1"/>
  <c r="D55" i="4" s="1"/>
  <c r="E53" i="4" a="1"/>
  <c r="E53" i="4" s="1"/>
  <c r="D555" i="4" l="1" a="1"/>
  <c r="D555" i="4" s="1"/>
  <c r="E554" i="4" a="1"/>
  <c r="E554" i="4" s="1"/>
  <c r="E804" i="4" a="1"/>
  <c r="E804" i="4" s="1"/>
  <c r="D805" i="4" a="1"/>
  <c r="D805" i="4" s="1"/>
  <c r="E304" i="4" a="1"/>
  <c r="E304" i="4" s="1"/>
  <c r="C305" i="4"/>
  <c r="D305" i="4" s="1" a="1"/>
  <c r="D305" i="4" s="1"/>
  <c r="C56" i="4"/>
  <c r="D56" i="4" s="1" a="1"/>
  <c r="D56" i="4" s="1"/>
  <c r="E54" i="4" a="1"/>
  <c r="E54" i="4" s="1"/>
  <c r="D556" i="4" l="1" a="1"/>
  <c r="D556" i="4" s="1"/>
  <c r="E555" i="4" a="1"/>
  <c r="E555" i="4" s="1"/>
  <c r="E805" i="4" a="1"/>
  <c r="E805" i="4" s="1"/>
  <c r="D806" i="4" a="1"/>
  <c r="D806" i="4" s="1"/>
  <c r="E305" i="4" a="1"/>
  <c r="E305" i="4" s="1"/>
  <c r="C306" i="4"/>
  <c r="D306" i="4" s="1" a="1"/>
  <c r="D306" i="4" s="1"/>
  <c r="C57" i="4"/>
  <c r="D57" i="4" s="1" a="1"/>
  <c r="D57" i="4" s="1"/>
  <c r="E55" i="4" a="1"/>
  <c r="E55" i="4" s="1"/>
  <c r="D557" i="4" l="1" a="1"/>
  <c r="D557" i="4" s="1"/>
  <c r="E556" i="4" a="1"/>
  <c r="E556" i="4" s="1"/>
  <c r="E806" i="4" a="1"/>
  <c r="E806" i="4" s="1"/>
  <c r="D807" i="4" a="1"/>
  <c r="D807" i="4" s="1"/>
  <c r="E306" i="4" a="1"/>
  <c r="E306" i="4" s="1"/>
  <c r="C307" i="4"/>
  <c r="D307" i="4" s="1" a="1"/>
  <c r="D307" i="4" s="1"/>
  <c r="C58" i="4"/>
  <c r="D58" i="4" s="1" a="1"/>
  <c r="D58" i="4" s="1"/>
  <c r="E56" i="4" a="1"/>
  <c r="E56" i="4" s="1"/>
  <c r="D558" i="4" l="1" a="1"/>
  <c r="D558" i="4" s="1"/>
  <c r="E557" i="4" a="1"/>
  <c r="E557" i="4" s="1"/>
  <c r="E807" i="4" a="1"/>
  <c r="E807" i="4" s="1"/>
  <c r="D808" i="4" a="1"/>
  <c r="D808" i="4" s="1"/>
  <c r="E307" i="4" a="1"/>
  <c r="E307" i="4" s="1"/>
  <c r="C308" i="4"/>
  <c r="D308" i="4" s="1" a="1"/>
  <c r="D308" i="4" s="1"/>
  <c r="C59" i="4"/>
  <c r="D59" i="4" s="1" a="1"/>
  <c r="D59" i="4" s="1"/>
  <c r="E57" i="4" a="1"/>
  <c r="E57" i="4" s="1"/>
  <c r="D559" i="4" l="1" a="1"/>
  <c r="D559" i="4" s="1"/>
  <c r="E558" i="4" a="1"/>
  <c r="E558" i="4" s="1"/>
  <c r="E808" i="4" a="1"/>
  <c r="E808" i="4" s="1"/>
  <c r="D809" i="4" a="1"/>
  <c r="D809" i="4" s="1"/>
  <c r="E308" i="4" a="1"/>
  <c r="E308" i="4" s="1"/>
  <c r="C309" i="4"/>
  <c r="D309" i="4" s="1" a="1"/>
  <c r="D309" i="4" s="1"/>
  <c r="C60" i="4"/>
  <c r="D60" i="4" s="1" a="1"/>
  <c r="D60" i="4" s="1"/>
  <c r="E58" i="4" a="1"/>
  <c r="E58" i="4" s="1"/>
  <c r="D560" i="4" l="1" a="1"/>
  <c r="D560" i="4" s="1"/>
  <c r="E559" i="4" a="1"/>
  <c r="E559" i="4" s="1"/>
  <c r="E809" i="4" a="1"/>
  <c r="E809" i="4" s="1"/>
  <c r="D810" i="4" a="1"/>
  <c r="D810" i="4" s="1"/>
  <c r="E309" i="4" a="1"/>
  <c r="E309" i="4" s="1"/>
  <c r="C310" i="4"/>
  <c r="D310" i="4" s="1" a="1"/>
  <c r="D310" i="4" s="1"/>
  <c r="C61" i="4"/>
  <c r="D61" i="4" s="1" a="1"/>
  <c r="D61" i="4" s="1"/>
  <c r="E59" i="4" a="1"/>
  <c r="E59" i="4" s="1"/>
  <c r="D561" i="4" l="1" a="1"/>
  <c r="D561" i="4" s="1"/>
  <c r="E560" i="4" a="1"/>
  <c r="E560" i="4" s="1"/>
  <c r="E810" i="4" a="1"/>
  <c r="E810" i="4" s="1"/>
  <c r="D811" i="4" a="1"/>
  <c r="D811" i="4" s="1"/>
  <c r="E310" i="4" a="1"/>
  <c r="E310" i="4" s="1"/>
  <c r="C311" i="4"/>
  <c r="D311" i="4" s="1" a="1"/>
  <c r="D311" i="4" s="1"/>
  <c r="C62" i="4"/>
  <c r="D62" i="4" s="1" a="1"/>
  <c r="D62" i="4" s="1"/>
  <c r="E60" i="4" a="1"/>
  <c r="E60" i="4" s="1"/>
  <c r="E561" i="4" l="1" a="1"/>
  <c r="E561" i="4" s="1"/>
  <c r="D562" i="4" a="1"/>
  <c r="D562" i="4" s="1"/>
  <c r="E811" i="4" a="1"/>
  <c r="E811" i="4" s="1"/>
  <c r="D812" i="4" a="1"/>
  <c r="D812" i="4" s="1"/>
  <c r="E311" i="4" a="1"/>
  <c r="E311" i="4" s="1"/>
  <c r="C312" i="4"/>
  <c r="D312" i="4" s="1" a="1"/>
  <c r="D312" i="4" s="1"/>
  <c r="C63" i="4"/>
  <c r="D63" i="4" s="1" a="1"/>
  <c r="D63" i="4" s="1"/>
  <c r="E61" i="4" a="1"/>
  <c r="E61" i="4" s="1"/>
  <c r="D563" i="4" l="1" a="1"/>
  <c r="D563" i="4" s="1"/>
  <c r="E562" i="4" a="1"/>
  <c r="E562" i="4" s="1"/>
  <c r="E812" i="4" a="1"/>
  <c r="E812" i="4" s="1"/>
  <c r="D813" i="4" a="1"/>
  <c r="D813" i="4" s="1"/>
  <c r="E312" i="4" a="1"/>
  <c r="E312" i="4" s="1"/>
  <c r="C313" i="4"/>
  <c r="D313" i="4" s="1" a="1"/>
  <c r="D313" i="4" s="1"/>
  <c r="C64" i="4"/>
  <c r="D64" i="4" s="1" a="1"/>
  <c r="D64" i="4" s="1"/>
  <c r="E62" i="4" a="1"/>
  <c r="E62" i="4" s="1"/>
  <c r="D564" i="4" l="1" a="1"/>
  <c r="D564" i="4" s="1"/>
  <c r="E563" i="4" a="1"/>
  <c r="E563" i="4" s="1"/>
  <c r="E813" i="4" a="1"/>
  <c r="E813" i="4" s="1"/>
  <c r="D814" i="4" a="1"/>
  <c r="D814" i="4" s="1"/>
  <c r="E313" i="4" a="1"/>
  <c r="E313" i="4" s="1"/>
  <c r="C314" i="4"/>
  <c r="D314" i="4" s="1" a="1"/>
  <c r="D314" i="4" s="1"/>
  <c r="C65" i="4"/>
  <c r="D65" i="4" s="1" a="1"/>
  <c r="D65" i="4" s="1"/>
  <c r="E63" i="4" a="1"/>
  <c r="E63" i="4" s="1"/>
  <c r="D565" i="4" l="1" a="1"/>
  <c r="D565" i="4" s="1"/>
  <c r="E564" i="4" a="1"/>
  <c r="E564" i="4" s="1"/>
  <c r="E814" i="4" a="1"/>
  <c r="E814" i="4" s="1"/>
  <c r="D815" i="4" a="1"/>
  <c r="D815" i="4" s="1"/>
  <c r="E314" i="4" a="1"/>
  <c r="E314" i="4" s="1"/>
  <c r="C315" i="4"/>
  <c r="D315" i="4" s="1" a="1"/>
  <c r="D315" i="4" s="1"/>
  <c r="C66" i="4"/>
  <c r="D66" i="4" s="1" a="1"/>
  <c r="D66" i="4" s="1"/>
  <c r="E64" i="4" a="1"/>
  <c r="E64" i="4" s="1"/>
  <c r="D566" i="4" l="1" a="1"/>
  <c r="D566" i="4" s="1"/>
  <c r="E565" i="4" a="1"/>
  <c r="E565" i="4" s="1"/>
  <c r="E815" i="4" a="1"/>
  <c r="E815" i="4" s="1"/>
  <c r="D816" i="4" a="1"/>
  <c r="D816" i="4" s="1"/>
  <c r="E315" i="4" a="1"/>
  <c r="E315" i="4" s="1"/>
  <c r="C316" i="4"/>
  <c r="D316" i="4" s="1" a="1"/>
  <c r="D316" i="4" s="1"/>
  <c r="C67" i="4"/>
  <c r="D67" i="4" s="1" a="1"/>
  <c r="D67" i="4" s="1"/>
  <c r="E65" i="4" a="1"/>
  <c r="E65" i="4" s="1"/>
  <c r="D567" i="4" l="1" a="1"/>
  <c r="D567" i="4" s="1"/>
  <c r="E566" i="4" a="1"/>
  <c r="E566" i="4" s="1"/>
  <c r="E816" i="4" a="1"/>
  <c r="E816" i="4" s="1"/>
  <c r="D817" i="4" a="1"/>
  <c r="D817" i="4" s="1"/>
  <c r="E316" i="4" a="1"/>
  <c r="E316" i="4" s="1"/>
  <c r="C317" i="4"/>
  <c r="D317" i="4" s="1" a="1"/>
  <c r="D317" i="4" s="1"/>
  <c r="C68" i="4"/>
  <c r="D68" i="4" s="1" a="1"/>
  <c r="D68" i="4" s="1"/>
  <c r="E66" i="4" a="1"/>
  <c r="E66" i="4" s="1"/>
  <c r="D568" i="4" l="1" a="1"/>
  <c r="D568" i="4" s="1"/>
  <c r="E567" i="4" a="1"/>
  <c r="E567" i="4" s="1"/>
  <c r="E817" i="4" a="1"/>
  <c r="E817" i="4" s="1"/>
  <c r="D818" i="4" a="1"/>
  <c r="D818" i="4" s="1"/>
  <c r="E317" i="4" a="1"/>
  <c r="E317" i="4" s="1"/>
  <c r="C318" i="4"/>
  <c r="D318" i="4" s="1" a="1"/>
  <c r="D318" i="4" s="1"/>
  <c r="C69" i="4"/>
  <c r="D69" i="4" s="1" a="1"/>
  <c r="D69" i="4" s="1"/>
  <c r="E67" i="4" a="1"/>
  <c r="E67" i="4" s="1"/>
  <c r="D569" i="4" l="1" a="1"/>
  <c r="D569" i="4" s="1"/>
  <c r="E568" i="4" a="1"/>
  <c r="E568" i="4" s="1"/>
  <c r="E818" i="4" a="1"/>
  <c r="E818" i="4" s="1"/>
  <c r="D819" i="4" a="1"/>
  <c r="D819" i="4" s="1"/>
  <c r="E318" i="4" a="1"/>
  <c r="E318" i="4" s="1"/>
  <c r="C319" i="4"/>
  <c r="D319" i="4" s="1" a="1"/>
  <c r="D319" i="4" s="1"/>
  <c r="C70" i="4"/>
  <c r="D70" i="4" s="1" a="1"/>
  <c r="D70" i="4" s="1"/>
  <c r="E68" i="4" a="1"/>
  <c r="E68" i="4" s="1"/>
  <c r="D570" i="4" l="1" a="1"/>
  <c r="D570" i="4" s="1"/>
  <c r="E569" i="4" a="1"/>
  <c r="E569" i="4" s="1"/>
  <c r="E819" i="4" a="1"/>
  <c r="E819" i="4" s="1"/>
  <c r="D820" i="4" a="1"/>
  <c r="D820" i="4" s="1"/>
  <c r="E319" i="4" a="1"/>
  <c r="E319" i="4" s="1"/>
  <c r="C320" i="4"/>
  <c r="D320" i="4" s="1" a="1"/>
  <c r="D320" i="4" s="1"/>
  <c r="C71" i="4"/>
  <c r="D71" i="4" s="1" a="1"/>
  <c r="D71" i="4" s="1"/>
  <c r="E69" i="4" a="1"/>
  <c r="E69" i="4" s="1"/>
  <c r="D571" i="4" l="1" a="1"/>
  <c r="D571" i="4" s="1"/>
  <c r="E570" i="4" a="1"/>
  <c r="E570" i="4" s="1"/>
  <c r="E820" i="4" a="1"/>
  <c r="E820" i="4" s="1"/>
  <c r="D821" i="4" a="1"/>
  <c r="D821" i="4" s="1"/>
  <c r="E320" i="4" a="1"/>
  <c r="E320" i="4" s="1"/>
  <c r="C321" i="4"/>
  <c r="D321" i="4" s="1" a="1"/>
  <c r="D321" i="4" s="1"/>
  <c r="C72" i="4"/>
  <c r="D72" i="4" s="1" a="1"/>
  <c r="D72" i="4" s="1"/>
  <c r="E70" i="4" a="1"/>
  <c r="E70" i="4" s="1"/>
  <c r="D572" i="4" l="1" a="1"/>
  <c r="D572" i="4" s="1"/>
  <c r="E571" i="4" a="1"/>
  <c r="E571" i="4" s="1"/>
  <c r="E821" i="4" a="1"/>
  <c r="E821" i="4" s="1"/>
  <c r="D822" i="4" a="1"/>
  <c r="D822" i="4" s="1"/>
  <c r="E321" i="4" a="1"/>
  <c r="E321" i="4" s="1"/>
  <c r="C322" i="4"/>
  <c r="D322" i="4" s="1" a="1"/>
  <c r="D322" i="4" s="1"/>
  <c r="C73" i="4"/>
  <c r="D73" i="4" s="1" a="1"/>
  <c r="D73" i="4" s="1"/>
  <c r="E71" i="4" a="1"/>
  <c r="E71" i="4" s="1"/>
  <c r="D573" i="4" l="1" a="1"/>
  <c r="D573" i="4" s="1"/>
  <c r="E572" i="4" a="1"/>
  <c r="E572" i="4" s="1"/>
  <c r="E822" i="4" a="1"/>
  <c r="E822" i="4" s="1"/>
  <c r="D823" i="4" a="1"/>
  <c r="D823" i="4" s="1"/>
  <c r="E322" i="4" a="1"/>
  <c r="E322" i="4" s="1"/>
  <c r="C323" i="4"/>
  <c r="D323" i="4" s="1" a="1"/>
  <c r="D323" i="4" s="1"/>
  <c r="C74" i="4"/>
  <c r="D74" i="4" s="1" a="1"/>
  <c r="D74" i="4" s="1"/>
  <c r="E72" i="4" a="1"/>
  <c r="E72" i="4" s="1"/>
  <c r="E573" i="4" l="1" a="1"/>
  <c r="E573" i="4" s="1"/>
  <c r="D574" i="4" a="1"/>
  <c r="D574" i="4" s="1"/>
  <c r="E823" i="4" a="1"/>
  <c r="E823" i="4" s="1"/>
  <c r="D824" i="4" a="1"/>
  <c r="D824" i="4" s="1"/>
  <c r="E323" i="4" a="1"/>
  <c r="E323" i="4" s="1"/>
  <c r="C324" i="4"/>
  <c r="D324" i="4" s="1" a="1"/>
  <c r="D324" i="4" s="1"/>
  <c r="C75" i="4"/>
  <c r="D75" i="4" s="1" a="1"/>
  <c r="D75" i="4" s="1"/>
  <c r="E73" i="4" a="1"/>
  <c r="E73" i="4" s="1"/>
  <c r="D575" i="4" l="1" a="1"/>
  <c r="D575" i="4" s="1"/>
  <c r="E574" i="4" a="1"/>
  <c r="E574" i="4" s="1"/>
  <c r="E824" i="4" a="1"/>
  <c r="E824" i="4" s="1"/>
  <c r="D825" i="4" a="1"/>
  <c r="D825" i="4" s="1"/>
  <c r="E324" i="4" a="1"/>
  <c r="E324" i="4" s="1"/>
  <c r="C325" i="4"/>
  <c r="D325" i="4" s="1" a="1"/>
  <c r="D325" i="4" s="1"/>
  <c r="C76" i="4"/>
  <c r="D76" i="4" s="1" a="1"/>
  <c r="D76" i="4" s="1"/>
  <c r="E74" i="4" a="1"/>
  <c r="E74" i="4" s="1"/>
  <c r="D576" i="4" l="1" a="1"/>
  <c r="D576" i="4" s="1"/>
  <c r="E575" i="4" a="1"/>
  <c r="E575" i="4" s="1"/>
  <c r="E825" i="4" a="1"/>
  <c r="E825" i="4" s="1"/>
  <c r="D826" i="4" a="1"/>
  <c r="D826" i="4" s="1"/>
  <c r="E325" i="4" a="1"/>
  <c r="E325" i="4" s="1"/>
  <c r="C326" i="4"/>
  <c r="D326" i="4" s="1" a="1"/>
  <c r="D326" i="4" s="1"/>
  <c r="C77" i="4"/>
  <c r="D77" i="4" s="1" a="1"/>
  <c r="D77" i="4" s="1"/>
  <c r="E75" i="4" a="1"/>
  <c r="E75" i="4" s="1"/>
  <c r="D577" i="4" l="1" a="1"/>
  <c r="D577" i="4" s="1"/>
  <c r="E576" i="4" a="1"/>
  <c r="E576" i="4" s="1"/>
  <c r="E826" i="4" a="1"/>
  <c r="E826" i="4" s="1"/>
  <c r="D827" i="4" a="1"/>
  <c r="D827" i="4" s="1"/>
  <c r="E326" i="4" a="1"/>
  <c r="E326" i="4" s="1"/>
  <c r="C327" i="4"/>
  <c r="D327" i="4" s="1" a="1"/>
  <c r="D327" i="4" s="1"/>
  <c r="C78" i="4"/>
  <c r="D78" i="4" s="1" a="1"/>
  <c r="D78" i="4" s="1"/>
  <c r="E76" i="4" a="1"/>
  <c r="E76" i="4" s="1"/>
  <c r="D578" i="4" l="1" a="1"/>
  <c r="D578" i="4" s="1"/>
  <c r="E577" i="4" a="1"/>
  <c r="E577" i="4" s="1"/>
  <c r="E827" i="4" a="1"/>
  <c r="E827" i="4" s="1"/>
  <c r="D828" i="4" a="1"/>
  <c r="D828" i="4" s="1"/>
  <c r="E327" i="4" a="1"/>
  <c r="E327" i="4" s="1"/>
  <c r="C328" i="4"/>
  <c r="D328" i="4" s="1" a="1"/>
  <c r="D328" i="4" s="1"/>
  <c r="C79" i="4"/>
  <c r="D79" i="4" s="1" a="1"/>
  <c r="D79" i="4" s="1"/>
  <c r="E77" i="4" a="1"/>
  <c r="E77" i="4" s="1"/>
  <c r="D579" i="4" l="1" a="1"/>
  <c r="D579" i="4" s="1"/>
  <c r="E578" i="4" a="1"/>
  <c r="E578" i="4" s="1"/>
  <c r="E828" i="4" a="1"/>
  <c r="E828" i="4" s="1"/>
  <c r="D829" i="4" a="1"/>
  <c r="D829" i="4" s="1"/>
  <c r="E328" i="4" a="1"/>
  <c r="E328" i="4" s="1"/>
  <c r="C329" i="4"/>
  <c r="D329" i="4" s="1" a="1"/>
  <c r="D329" i="4" s="1"/>
  <c r="C80" i="4"/>
  <c r="D80" i="4" s="1" a="1"/>
  <c r="D80" i="4" s="1"/>
  <c r="E78" i="4" a="1"/>
  <c r="E78" i="4" s="1"/>
  <c r="D580" i="4" l="1" a="1"/>
  <c r="D580" i="4" s="1"/>
  <c r="E579" i="4" a="1"/>
  <c r="E579" i="4" s="1"/>
  <c r="E829" i="4" a="1"/>
  <c r="E829" i="4" s="1"/>
  <c r="D830" i="4" a="1"/>
  <c r="D830" i="4" s="1"/>
  <c r="E329" i="4" a="1"/>
  <c r="E329" i="4" s="1"/>
  <c r="C330" i="4"/>
  <c r="D330" i="4" s="1" a="1"/>
  <c r="D330" i="4" s="1"/>
  <c r="C81" i="4"/>
  <c r="D81" i="4" s="1" a="1"/>
  <c r="D81" i="4" s="1"/>
  <c r="E79" i="4" a="1"/>
  <c r="E79" i="4" s="1"/>
  <c r="D581" i="4" l="1" a="1"/>
  <c r="D581" i="4" s="1"/>
  <c r="E580" i="4" a="1"/>
  <c r="E580" i="4" s="1"/>
  <c r="E830" i="4" a="1"/>
  <c r="E830" i="4" s="1"/>
  <c r="D831" i="4" a="1"/>
  <c r="D831" i="4" s="1"/>
  <c r="E330" i="4" a="1"/>
  <c r="E330" i="4" s="1"/>
  <c r="C331" i="4"/>
  <c r="D331" i="4" s="1" a="1"/>
  <c r="D331" i="4" s="1"/>
  <c r="C82" i="4"/>
  <c r="D82" i="4" s="1" a="1"/>
  <c r="D82" i="4" s="1"/>
  <c r="E80" i="4" a="1"/>
  <c r="E80" i="4" s="1"/>
  <c r="D582" i="4" l="1" a="1"/>
  <c r="D582" i="4" s="1"/>
  <c r="E581" i="4" a="1"/>
  <c r="E581" i="4" s="1"/>
  <c r="E831" i="4" a="1"/>
  <c r="E831" i="4" s="1"/>
  <c r="D832" i="4" a="1"/>
  <c r="D832" i="4" s="1"/>
  <c r="E331" i="4" a="1"/>
  <c r="E331" i="4" s="1"/>
  <c r="C332" i="4"/>
  <c r="D332" i="4" s="1" a="1"/>
  <c r="D332" i="4" s="1"/>
  <c r="C83" i="4"/>
  <c r="D83" i="4" s="1" a="1"/>
  <c r="D83" i="4" s="1"/>
  <c r="E81" i="4" a="1"/>
  <c r="E81" i="4" s="1"/>
  <c r="D583" i="4" l="1" a="1"/>
  <c r="D583" i="4" s="1"/>
  <c r="E582" i="4" a="1"/>
  <c r="E582" i="4" s="1"/>
  <c r="E832" i="4" a="1"/>
  <c r="E832" i="4" s="1"/>
  <c r="D833" i="4" a="1"/>
  <c r="D833" i="4" s="1"/>
  <c r="E332" i="4" a="1"/>
  <c r="E332" i="4" s="1"/>
  <c r="C333" i="4"/>
  <c r="D333" i="4" s="1" a="1"/>
  <c r="D333" i="4" s="1"/>
  <c r="C84" i="4"/>
  <c r="D84" i="4" s="1" a="1"/>
  <c r="D84" i="4" s="1"/>
  <c r="E82" i="4" a="1"/>
  <c r="E82" i="4" s="1"/>
  <c r="E583" i="4" l="1" a="1"/>
  <c r="E583" i="4" s="1"/>
  <c r="D584" i="4" a="1"/>
  <c r="D584" i="4" s="1"/>
  <c r="E833" i="4" a="1"/>
  <c r="E833" i="4" s="1"/>
  <c r="D834" i="4" a="1"/>
  <c r="D834" i="4" s="1"/>
  <c r="E333" i="4" a="1"/>
  <c r="E333" i="4" s="1"/>
  <c r="C334" i="4"/>
  <c r="D334" i="4" s="1" a="1"/>
  <c r="D334" i="4" s="1"/>
  <c r="C85" i="4"/>
  <c r="D85" i="4" s="1" a="1"/>
  <c r="D85" i="4" s="1"/>
  <c r="E83" i="4" a="1"/>
  <c r="E83" i="4" s="1"/>
  <c r="D585" i="4" l="1" a="1"/>
  <c r="D585" i="4" s="1"/>
  <c r="E584" i="4" a="1"/>
  <c r="E584" i="4" s="1"/>
  <c r="E834" i="4" a="1"/>
  <c r="E834" i="4" s="1"/>
  <c r="D835" i="4" a="1"/>
  <c r="D835" i="4" s="1"/>
  <c r="E334" i="4" a="1"/>
  <c r="E334" i="4" s="1"/>
  <c r="C335" i="4"/>
  <c r="D335" i="4" s="1" a="1"/>
  <c r="D335" i="4" s="1"/>
  <c r="C86" i="4"/>
  <c r="D86" i="4" s="1" a="1"/>
  <c r="D86" i="4" s="1"/>
  <c r="E84" i="4" a="1"/>
  <c r="E84" i="4" s="1"/>
  <c r="D586" i="4" l="1" a="1"/>
  <c r="D586" i="4" s="1"/>
  <c r="E585" i="4" a="1"/>
  <c r="E585" i="4" s="1"/>
  <c r="E835" i="4" a="1"/>
  <c r="E835" i="4" s="1"/>
  <c r="D836" i="4" a="1"/>
  <c r="D836" i="4" s="1"/>
  <c r="E335" i="4" a="1"/>
  <c r="E335" i="4" s="1"/>
  <c r="C336" i="4"/>
  <c r="D336" i="4" s="1" a="1"/>
  <c r="D336" i="4" s="1"/>
  <c r="C87" i="4"/>
  <c r="D87" i="4" s="1" a="1"/>
  <c r="D87" i="4" s="1"/>
  <c r="E85" i="4" a="1"/>
  <c r="E85" i="4" s="1"/>
  <c r="D587" i="4" l="1" a="1"/>
  <c r="D587" i="4" s="1"/>
  <c r="E586" i="4" a="1"/>
  <c r="E586" i="4" s="1"/>
  <c r="E836" i="4" a="1"/>
  <c r="E836" i="4" s="1"/>
  <c r="D837" i="4" a="1"/>
  <c r="D837" i="4" s="1"/>
  <c r="E336" i="4" a="1"/>
  <c r="E336" i="4" s="1"/>
  <c r="C337" i="4"/>
  <c r="D337" i="4" s="1" a="1"/>
  <c r="D337" i="4" s="1"/>
  <c r="C88" i="4"/>
  <c r="D88" i="4" s="1" a="1"/>
  <c r="D88" i="4" s="1"/>
  <c r="E86" i="4" a="1"/>
  <c r="E86" i="4" s="1"/>
  <c r="D588" i="4" l="1" a="1"/>
  <c r="D588" i="4" s="1"/>
  <c r="E587" i="4" a="1"/>
  <c r="E587" i="4" s="1"/>
  <c r="E837" i="4" a="1"/>
  <c r="E837" i="4" s="1"/>
  <c r="D838" i="4" a="1"/>
  <c r="D838" i="4" s="1"/>
  <c r="E337" i="4" a="1"/>
  <c r="E337" i="4" s="1"/>
  <c r="C338" i="4"/>
  <c r="D338" i="4" s="1" a="1"/>
  <c r="D338" i="4" s="1"/>
  <c r="C89" i="4"/>
  <c r="D89" i="4" s="1" a="1"/>
  <c r="D89" i="4" s="1"/>
  <c r="E87" i="4" a="1"/>
  <c r="E87" i="4" s="1"/>
  <c r="D589" i="4" l="1" a="1"/>
  <c r="D589" i="4" s="1"/>
  <c r="E588" i="4" a="1"/>
  <c r="E588" i="4" s="1"/>
  <c r="E838" i="4" a="1"/>
  <c r="E838" i="4" s="1"/>
  <c r="D839" i="4" a="1"/>
  <c r="D839" i="4" s="1"/>
  <c r="E338" i="4" a="1"/>
  <c r="E338" i="4" s="1"/>
  <c r="C339" i="4"/>
  <c r="D339" i="4" s="1" a="1"/>
  <c r="D339" i="4" s="1"/>
  <c r="C90" i="4"/>
  <c r="D90" i="4" s="1" a="1"/>
  <c r="D90" i="4" s="1"/>
  <c r="E88" i="4" a="1"/>
  <c r="E88" i="4" s="1"/>
  <c r="D590" i="4" l="1" a="1"/>
  <c r="D590" i="4" s="1"/>
  <c r="E589" i="4" a="1"/>
  <c r="E589" i="4" s="1"/>
  <c r="E839" i="4" a="1"/>
  <c r="E839" i="4" s="1"/>
  <c r="D840" i="4" a="1"/>
  <c r="D840" i="4" s="1"/>
  <c r="E339" i="4" a="1"/>
  <c r="E339" i="4" s="1"/>
  <c r="C340" i="4"/>
  <c r="D340" i="4" s="1" a="1"/>
  <c r="D340" i="4" s="1"/>
  <c r="C91" i="4"/>
  <c r="D91" i="4" s="1" a="1"/>
  <c r="D91" i="4" s="1"/>
  <c r="E89" i="4" a="1"/>
  <c r="E89" i="4" s="1"/>
  <c r="D591" i="4" l="1" a="1"/>
  <c r="D591" i="4" s="1"/>
  <c r="E590" i="4" a="1"/>
  <c r="E590" i="4" s="1"/>
  <c r="E840" i="4" a="1"/>
  <c r="E840" i="4" s="1"/>
  <c r="D841" i="4" a="1"/>
  <c r="D841" i="4" s="1"/>
  <c r="E340" i="4" a="1"/>
  <c r="E340" i="4" s="1"/>
  <c r="C341" i="4"/>
  <c r="D341" i="4" s="1" a="1"/>
  <c r="D341" i="4" s="1"/>
  <c r="C92" i="4"/>
  <c r="D92" i="4" s="1" a="1"/>
  <c r="D92" i="4" s="1"/>
  <c r="E90" i="4" a="1"/>
  <c r="E90" i="4" s="1"/>
  <c r="D592" i="4" l="1" a="1"/>
  <c r="D592" i="4" s="1"/>
  <c r="E591" i="4" a="1"/>
  <c r="E591" i="4" s="1"/>
  <c r="E841" i="4" a="1"/>
  <c r="E841" i="4" s="1"/>
  <c r="D842" i="4" a="1"/>
  <c r="D842" i="4" s="1"/>
  <c r="E341" i="4" a="1"/>
  <c r="E341" i="4" s="1"/>
  <c r="C342" i="4"/>
  <c r="D342" i="4" s="1" a="1"/>
  <c r="D342" i="4" s="1"/>
  <c r="C93" i="4"/>
  <c r="D93" i="4" s="1" a="1"/>
  <c r="D93" i="4" s="1"/>
  <c r="E91" i="4" a="1"/>
  <c r="E91" i="4" s="1"/>
  <c r="D593" i="4" l="1" a="1"/>
  <c r="D593" i="4" s="1"/>
  <c r="E592" i="4" a="1"/>
  <c r="E592" i="4" s="1"/>
  <c r="E842" i="4" a="1"/>
  <c r="E842" i="4" s="1"/>
  <c r="D843" i="4" a="1"/>
  <c r="D843" i="4" s="1"/>
  <c r="E342" i="4" a="1"/>
  <c r="E342" i="4" s="1"/>
  <c r="C343" i="4"/>
  <c r="D343" i="4" s="1" a="1"/>
  <c r="D343" i="4" s="1"/>
  <c r="C94" i="4"/>
  <c r="D94" i="4" s="1" a="1"/>
  <c r="D94" i="4" s="1"/>
  <c r="E92" i="4" a="1"/>
  <c r="E92" i="4" s="1"/>
  <c r="D594" i="4" l="1" a="1"/>
  <c r="D594" i="4" s="1"/>
  <c r="E593" i="4" a="1"/>
  <c r="E593" i="4" s="1"/>
  <c r="E843" i="4" a="1"/>
  <c r="E843" i="4" s="1"/>
  <c r="D844" i="4" a="1"/>
  <c r="D844" i="4" s="1"/>
  <c r="E343" i="4" a="1"/>
  <c r="E343" i="4" s="1"/>
  <c r="C344" i="4"/>
  <c r="D344" i="4" s="1" a="1"/>
  <c r="D344" i="4" s="1"/>
  <c r="C95" i="4"/>
  <c r="D95" i="4" s="1" a="1"/>
  <c r="D95" i="4" s="1"/>
  <c r="E93" i="4" a="1"/>
  <c r="E93" i="4" s="1"/>
  <c r="D595" i="4" l="1" a="1"/>
  <c r="D595" i="4" s="1"/>
  <c r="E594" i="4" a="1"/>
  <c r="E594" i="4" s="1"/>
  <c r="E844" i="4" a="1"/>
  <c r="E844" i="4" s="1"/>
  <c r="D845" i="4" a="1"/>
  <c r="D845" i="4" s="1"/>
  <c r="E344" i="4" a="1"/>
  <c r="E344" i="4" s="1"/>
  <c r="C345" i="4"/>
  <c r="D345" i="4" s="1" a="1"/>
  <c r="D345" i="4" s="1"/>
  <c r="C96" i="4"/>
  <c r="D96" i="4" s="1" a="1"/>
  <c r="D96" i="4" s="1"/>
  <c r="E94" i="4" a="1"/>
  <c r="E94" i="4" s="1"/>
  <c r="D596" i="4" l="1" a="1"/>
  <c r="D596" i="4" s="1"/>
  <c r="E595" i="4" a="1"/>
  <c r="E595" i="4" s="1"/>
  <c r="E845" i="4" a="1"/>
  <c r="E845" i="4" s="1"/>
  <c r="D846" i="4" a="1"/>
  <c r="D846" i="4" s="1"/>
  <c r="E345" i="4" a="1"/>
  <c r="E345" i="4" s="1"/>
  <c r="C346" i="4"/>
  <c r="D346" i="4" s="1" a="1"/>
  <c r="D346" i="4" s="1"/>
  <c r="C97" i="4"/>
  <c r="D97" i="4" s="1" a="1"/>
  <c r="D97" i="4" s="1"/>
  <c r="E95" i="4" a="1"/>
  <c r="E95" i="4" s="1"/>
  <c r="D597" i="4" l="1" a="1"/>
  <c r="D597" i="4" s="1"/>
  <c r="E596" i="4" a="1"/>
  <c r="E596" i="4" s="1"/>
  <c r="E846" i="4" a="1"/>
  <c r="E846" i="4" s="1"/>
  <c r="D847" i="4" a="1"/>
  <c r="D847" i="4" s="1"/>
  <c r="E346" i="4" a="1"/>
  <c r="E346" i="4" s="1"/>
  <c r="C347" i="4"/>
  <c r="D347" i="4" s="1" a="1"/>
  <c r="D347" i="4" s="1"/>
  <c r="C98" i="4"/>
  <c r="D98" i="4" s="1" a="1"/>
  <c r="D98" i="4" s="1"/>
  <c r="E96" i="4" a="1"/>
  <c r="E96" i="4" s="1"/>
  <c r="D598" i="4" l="1" a="1"/>
  <c r="D598" i="4" s="1"/>
  <c r="E597" i="4" a="1"/>
  <c r="E597" i="4" s="1"/>
  <c r="E847" i="4" a="1"/>
  <c r="E847" i="4" s="1"/>
  <c r="D848" i="4" a="1"/>
  <c r="D848" i="4" s="1"/>
  <c r="E347" i="4" a="1"/>
  <c r="E347" i="4" s="1"/>
  <c r="C348" i="4"/>
  <c r="D348" i="4" s="1" a="1"/>
  <c r="D348" i="4" s="1"/>
  <c r="C99" i="4"/>
  <c r="D99" i="4" s="1" a="1"/>
  <c r="D99" i="4" s="1"/>
  <c r="E97" i="4" a="1"/>
  <c r="E97" i="4" s="1"/>
  <c r="D599" i="4" l="1" a="1"/>
  <c r="D599" i="4" s="1"/>
  <c r="E598" i="4" a="1"/>
  <c r="E598" i="4" s="1"/>
  <c r="E848" i="4" a="1"/>
  <c r="E848" i="4" s="1"/>
  <c r="D849" i="4" a="1"/>
  <c r="D849" i="4" s="1"/>
  <c r="E348" i="4" a="1"/>
  <c r="E348" i="4" s="1"/>
  <c r="C349" i="4"/>
  <c r="D349" i="4" s="1" a="1"/>
  <c r="D349" i="4" s="1"/>
  <c r="C100" i="4"/>
  <c r="D100" i="4" s="1" a="1"/>
  <c r="D100" i="4" s="1"/>
  <c r="E98" i="4" a="1"/>
  <c r="E98" i="4" s="1"/>
  <c r="D600" i="4" l="1" a="1"/>
  <c r="D600" i="4" s="1"/>
  <c r="E599" i="4" a="1"/>
  <c r="E599" i="4" s="1"/>
  <c r="E849" i="4" a="1"/>
  <c r="E849" i="4" s="1"/>
  <c r="D850" i="4" a="1"/>
  <c r="D850" i="4" s="1"/>
  <c r="E349" i="4" a="1"/>
  <c r="E349" i="4" s="1"/>
  <c r="C350" i="4"/>
  <c r="D350" i="4" s="1" a="1"/>
  <c r="D350" i="4" s="1"/>
  <c r="C101" i="4"/>
  <c r="D101" i="4" s="1" a="1"/>
  <c r="D101" i="4" s="1"/>
  <c r="E99" i="4" a="1"/>
  <c r="E99" i="4" s="1"/>
  <c r="D601" i="4" l="1" a="1"/>
  <c r="D601" i="4" s="1"/>
  <c r="E600" i="4" a="1"/>
  <c r="E600" i="4" s="1"/>
  <c r="E850" i="4" a="1"/>
  <c r="E850" i="4" s="1"/>
  <c r="D851" i="4" a="1"/>
  <c r="D851" i="4" s="1"/>
  <c r="E350" i="4" a="1"/>
  <c r="E350" i="4" s="1"/>
  <c r="C351" i="4"/>
  <c r="D351" i="4" s="1" a="1"/>
  <c r="D351" i="4" s="1"/>
  <c r="C102" i="4"/>
  <c r="D102" i="4" s="1" a="1"/>
  <c r="D102" i="4" s="1"/>
  <c r="E100" i="4" a="1"/>
  <c r="E100" i="4" s="1"/>
  <c r="E601" i="4" l="1" a="1"/>
  <c r="E601" i="4" s="1"/>
  <c r="D602" i="4" a="1"/>
  <c r="D602" i="4" s="1"/>
  <c r="E851" i="4" a="1"/>
  <c r="E851" i="4" s="1"/>
  <c r="D852" i="4" a="1"/>
  <c r="D852" i="4" s="1"/>
  <c r="E351" i="4" a="1"/>
  <c r="E351" i="4" s="1"/>
  <c r="C352" i="4"/>
  <c r="D352" i="4" s="1" a="1"/>
  <c r="D352" i="4" s="1"/>
  <c r="C103" i="4"/>
  <c r="D103" i="4" s="1" a="1"/>
  <c r="D103" i="4" s="1"/>
  <c r="E101" i="4" a="1"/>
  <c r="E101" i="4" s="1"/>
  <c r="D603" i="4" l="1" a="1"/>
  <c r="D603" i="4" s="1"/>
  <c r="E602" i="4" a="1"/>
  <c r="E602" i="4" s="1"/>
  <c r="E852" i="4" a="1"/>
  <c r="E852" i="4" s="1"/>
  <c r="D853" i="4" a="1"/>
  <c r="D853" i="4" s="1"/>
  <c r="E352" i="4" a="1"/>
  <c r="E352" i="4" s="1"/>
  <c r="C353" i="4"/>
  <c r="D353" i="4" s="1" a="1"/>
  <c r="D353" i="4" s="1"/>
  <c r="C104" i="4"/>
  <c r="D104" i="4" s="1" a="1"/>
  <c r="D104" i="4" s="1"/>
  <c r="E102" i="4" a="1"/>
  <c r="E102" i="4" s="1"/>
  <c r="D604" i="4" l="1" a="1"/>
  <c r="D604" i="4" s="1"/>
  <c r="E603" i="4" a="1"/>
  <c r="E603" i="4" s="1"/>
  <c r="E853" i="4" a="1"/>
  <c r="E853" i="4" s="1"/>
  <c r="D854" i="4" a="1"/>
  <c r="D854" i="4" s="1"/>
  <c r="E353" i="4" a="1"/>
  <c r="E353" i="4" s="1"/>
  <c r="C354" i="4"/>
  <c r="D354" i="4" s="1" a="1"/>
  <c r="D354" i="4" s="1"/>
  <c r="C105" i="4"/>
  <c r="D105" i="4" s="1" a="1"/>
  <c r="D105" i="4" s="1"/>
  <c r="E103" i="4" a="1"/>
  <c r="E103" i="4" s="1"/>
  <c r="D605" i="4" l="1" a="1"/>
  <c r="D605" i="4" s="1"/>
  <c r="E604" i="4" a="1"/>
  <c r="E604" i="4" s="1"/>
  <c r="E854" i="4" a="1"/>
  <c r="E854" i="4" s="1"/>
  <c r="D855" i="4" a="1"/>
  <c r="D855" i="4" s="1"/>
  <c r="E354" i="4" a="1"/>
  <c r="E354" i="4" s="1"/>
  <c r="C355" i="4"/>
  <c r="D355" i="4" s="1" a="1"/>
  <c r="D355" i="4" s="1"/>
  <c r="C106" i="4"/>
  <c r="D106" i="4" s="1" a="1"/>
  <c r="D106" i="4" s="1"/>
  <c r="E104" i="4" a="1"/>
  <c r="E104" i="4" s="1"/>
  <c r="D606" i="4" l="1" a="1"/>
  <c r="D606" i="4" s="1"/>
  <c r="E605" i="4" a="1"/>
  <c r="E605" i="4" s="1"/>
  <c r="E855" i="4" a="1"/>
  <c r="E855" i="4" s="1"/>
  <c r="D856" i="4" a="1"/>
  <c r="D856" i="4" s="1"/>
  <c r="E355" i="4" a="1"/>
  <c r="E355" i="4" s="1"/>
  <c r="C356" i="4"/>
  <c r="D356" i="4" s="1" a="1"/>
  <c r="D356" i="4" s="1"/>
  <c r="C107" i="4"/>
  <c r="D107" i="4" s="1" a="1"/>
  <c r="D107" i="4" s="1"/>
  <c r="E105" i="4" a="1"/>
  <c r="E105" i="4" s="1"/>
  <c r="D607" i="4" l="1" a="1"/>
  <c r="D607" i="4" s="1"/>
  <c r="E606" i="4" a="1"/>
  <c r="E606" i="4" s="1"/>
  <c r="E856" i="4" a="1"/>
  <c r="E856" i="4" s="1"/>
  <c r="D857" i="4" a="1"/>
  <c r="D857" i="4" s="1"/>
  <c r="E356" i="4" a="1"/>
  <c r="E356" i="4" s="1"/>
  <c r="C357" i="4"/>
  <c r="D357" i="4" s="1" a="1"/>
  <c r="D357" i="4" s="1"/>
  <c r="C108" i="4"/>
  <c r="D108" i="4" s="1" a="1"/>
  <c r="D108" i="4" s="1"/>
  <c r="E106" i="4" a="1"/>
  <c r="E106" i="4" s="1"/>
  <c r="D608" i="4" l="1" a="1"/>
  <c r="D608" i="4" s="1"/>
  <c r="E607" i="4" a="1"/>
  <c r="E607" i="4" s="1"/>
  <c r="E857" i="4" a="1"/>
  <c r="E857" i="4" s="1"/>
  <c r="D858" i="4" a="1"/>
  <c r="D858" i="4" s="1"/>
  <c r="E357" i="4" a="1"/>
  <c r="E357" i="4" s="1"/>
  <c r="C358" i="4"/>
  <c r="D358" i="4" s="1" a="1"/>
  <c r="D358" i="4" s="1"/>
  <c r="C109" i="4"/>
  <c r="D109" i="4" s="1" a="1"/>
  <c r="D109" i="4" s="1"/>
  <c r="E107" i="4" a="1"/>
  <c r="E107" i="4" s="1"/>
  <c r="D609" i="4" l="1" a="1"/>
  <c r="D609" i="4" s="1"/>
  <c r="E608" i="4" a="1"/>
  <c r="E608" i="4" s="1"/>
  <c r="E858" i="4" a="1"/>
  <c r="E858" i="4" s="1"/>
  <c r="D859" i="4" a="1"/>
  <c r="D859" i="4" s="1"/>
  <c r="E358" i="4" a="1"/>
  <c r="E358" i="4" s="1"/>
  <c r="C359" i="4"/>
  <c r="D359" i="4" s="1" a="1"/>
  <c r="D359" i="4" s="1"/>
  <c r="C110" i="4"/>
  <c r="D110" i="4" s="1" a="1"/>
  <c r="D110" i="4" s="1"/>
  <c r="E108" i="4" a="1"/>
  <c r="E108" i="4" s="1"/>
  <c r="D610" i="4" l="1" a="1"/>
  <c r="D610" i="4" s="1"/>
  <c r="E609" i="4" a="1"/>
  <c r="E609" i="4" s="1"/>
  <c r="E859" i="4" a="1"/>
  <c r="E859" i="4" s="1"/>
  <c r="D860" i="4" a="1"/>
  <c r="D860" i="4" s="1"/>
  <c r="E359" i="4" a="1"/>
  <c r="E359" i="4" s="1"/>
  <c r="C360" i="4"/>
  <c r="D360" i="4" s="1" a="1"/>
  <c r="D360" i="4" s="1"/>
  <c r="C111" i="4"/>
  <c r="D111" i="4" s="1" a="1"/>
  <c r="D111" i="4" s="1"/>
  <c r="E109" i="4" a="1"/>
  <c r="E109" i="4" s="1"/>
  <c r="D611" i="4" l="1" a="1"/>
  <c r="D611" i="4" s="1"/>
  <c r="E610" i="4" a="1"/>
  <c r="E610" i="4" s="1"/>
  <c r="E860" i="4" a="1"/>
  <c r="E860" i="4" s="1"/>
  <c r="D861" i="4" a="1"/>
  <c r="D861" i="4" s="1"/>
  <c r="E360" i="4" a="1"/>
  <c r="E360" i="4" s="1"/>
  <c r="C361" i="4"/>
  <c r="D361" i="4" s="1" a="1"/>
  <c r="D361" i="4" s="1"/>
  <c r="C112" i="4"/>
  <c r="D112" i="4" s="1" a="1"/>
  <c r="D112" i="4" s="1"/>
  <c r="E110" i="4" a="1"/>
  <c r="E110" i="4" s="1"/>
  <c r="D612" i="4" l="1" a="1"/>
  <c r="D612" i="4" s="1"/>
  <c r="E611" i="4" a="1"/>
  <c r="E611" i="4" s="1"/>
  <c r="E861" i="4" a="1"/>
  <c r="E861" i="4" s="1"/>
  <c r="D862" i="4" a="1"/>
  <c r="D862" i="4" s="1"/>
  <c r="E361" i="4" a="1"/>
  <c r="E361" i="4" s="1"/>
  <c r="C362" i="4"/>
  <c r="D362" i="4" s="1" a="1"/>
  <c r="D362" i="4" s="1"/>
  <c r="C113" i="4"/>
  <c r="D113" i="4" s="1" a="1"/>
  <c r="D113" i="4" s="1"/>
  <c r="E111" i="4" a="1"/>
  <c r="E111" i="4" s="1"/>
  <c r="D613" i="4" l="1" a="1"/>
  <c r="D613" i="4" s="1"/>
  <c r="E612" i="4" a="1"/>
  <c r="E612" i="4" s="1"/>
  <c r="E862" i="4" a="1"/>
  <c r="E862" i="4" s="1"/>
  <c r="D863" i="4" a="1"/>
  <c r="D863" i="4" s="1"/>
  <c r="E362" i="4" a="1"/>
  <c r="E362" i="4" s="1"/>
  <c r="C363" i="4"/>
  <c r="D363" i="4" s="1" a="1"/>
  <c r="D363" i="4" s="1"/>
  <c r="C114" i="4"/>
  <c r="D114" i="4" s="1" a="1"/>
  <c r="D114" i="4" s="1"/>
  <c r="E112" i="4" a="1"/>
  <c r="E112" i="4" s="1"/>
  <c r="D614" i="4" l="1" a="1"/>
  <c r="D614" i="4" s="1"/>
  <c r="E613" i="4" a="1"/>
  <c r="E613" i="4" s="1"/>
  <c r="E863" i="4" a="1"/>
  <c r="E863" i="4" s="1"/>
  <c r="D864" i="4" a="1"/>
  <c r="D864" i="4" s="1"/>
  <c r="E363" i="4" a="1"/>
  <c r="E363" i="4" s="1"/>
  <c r="C364" i="4"/>
  <c r="D364" i="4" s="1" a="1"/>
  <c r="D364" i="4" s="1"/>
  <c r="C115" i="4"/>
  <c r="D115" i="4" s="1" a="1"/>
  <c r="D115" i="4" s="1"/>
  <c r="E113" i="4" a="1"/>
  <c r="E113" i="4" s="1"/>
  <c r="D615" i="4" l="1" a="1"/>
  <c r="D615" i="4" s="1"/>
  <c r="E615" i="4" s="1" a="1"/>
  <c r="E615" i="4" s="1"/>
  <c r="E614" i="4" a="1"/>
  <c r="E614" i="4" s="1"/>
  <c r="E864" i="4" a="1"/>
  <c r="E864" i="4" s="1"/>
  <c r="D865" i="4" a="1"/>
  <c r="D865" i="4" s="1"/>
  <c r="E364" i="4" a="1"/>
  <c r="E364" i="4" s="1"/>
  <c r="C365" i="4"/>
  <c r="D365" i="4" s="1" a="1"/>
  <c r="D365" i="4" s="1"/>
  <c r="C116" i="4"/>
  <c r="D116" i="4" s="1" a="1"/>
  <c r="D116" i="4" s="1"/>
  <c r="E114" i="4" a="1"/>
  <c r="E114" i="4" s="1"/>
  <c r="D616" i="4" l="1" a="1"/>
  <c r="D616" i="4" s="1"/>
  <c r="E865" i="4" a="1"/>
  <c r="E865" i="4" s="1"/>
  <c r="D866" i="4" a="1"/>
  <c r="D866" i="4" s="1"/>
  <c r="E365" i="4" a="1"/>
  <c r="E365" i="4" s="1"/>
  <c r="C366" i="4"/>
  <c r="D366" i="4" s="1" a="1"/>
  <c r="D366" i="4" s="1"/>
  <c r="C117" i="4"/>
  <c r="D117" i="4" s="1" a="1"/>
  <c r="D117" i="4" s="1"/>
  <c r="E115" i="4" a="1"/>
  <c r="E115" i="4" s="1"/>
  <c r="D617" i="4" l="1" a="1"/>
  <c r="D617" i="4" s="1"/>
  <c r="E616" i="4" a="1"/>
  <c r="E616" i="4" s="1"/>
  <c r="E866" i="4" a="1"/>
  <c r="E866" i="4" s="1"/>
  <c r="D867" i="4" a="1"/>
  <c r="D867" i="4" s="1"/>
  <c r="E366" i="4" a="1"/>
  <c r="E366" i="4" s="1"/>
  <c r="C367" i="4"/>
  <c r="D367" i="4" s="1" a="1"/>
  <c r="D367" i="4" s="1"/>
  <c r="C118" i="4"/>
  <c r="D118" i="4" s="1" a="1"/>
  <c r="D118" i="4" s="1"/>
  <c r="E116" i="4" a="1"/>
  <c r="E116" i="4" s="1"/>
  <c r="E617" i="4" l="1" a="1"/>
  <c r="E617" i="4" s="1"/>
  <c r="D618" i="4" a="1"/>
  <c r="D618" i="4" s="1"/>
  <c r="E867" i="4" a="1"/>
  <c r="E867" i="4" s="1"/>
  <c r="D868" i="4" a="1"/>
  <c r="D868" i="4" s="1"/>
  <c r="E367" i="4" a="1"/>
  <c r="E367" i="4" s="1"/>
  <c r="C368" i="4"/>
  <c r="D368" i="4" s="1" a="1"/>
  <c r="D368" i="4" s="1"/>
  <c r="C119" i="4"/>
  <c r="D119" i="4" s="1" a="1"/>
  <c r="D119" i="4" s="1"/>
  <c r="E117" i="4" a="1"/>
  <c r="E117" i="4" s="1"/>
  <c r="D619" i="4" l="1" a="1"/>
  <c r="D619" i="4" s="1"/>
  <c r="E618" i="4" a="1"/>
  <c r="E618" i="4" s="1"/>
  <c r="E868" i="4" a="1"/>
  <c r="E868" i="4" s="1"/>
  <c r="D869" i="4" a="1"/>
  <c r="D869" i="4" s="1"/>
  <c r="E368" i="4" a="1"/>
  <c r="E368" i="4" s="1"/>
  <c r="C369" i="4"/>
  <c r="D369" i="4" s="1" a="1"/>
  <c r="D369" i="4" s="1"/>
  <c r="C120" i="4"/>
  <c r="D120" i="4" s="1" a="1"/>
  <c r="D120" i="4" s="1"/>
  <c r="E118" i="4" a="1"/>
  <c r="E118" i="4" s="1"/>
  <c r="E619" i="4" l="1" a="1"/>
  <c r="E619" i="4" s="1"/>
  <c r="D620" i="4" a="1"/>
  <c r="D620" i="4" s="1"/>
  <c r="E869" i="4" a="1"/>
  <c r="E869" i="4" s="1"/>
  <c r="D870" i="4" a="1"/>
  <c r="D870" i="4" s="1"/>
  <c r="E369" i="4" a="1"/>
  <c r="E369" i="4" s="1"/>
  <c r="C370" i="4"/>
  <c r="D370" i="4" s="1" a="1"/>
  <c r="D370" i="4" s="1"/>
  <c r="C121" i="4"/>
  <c r="D121" i="4" s="1" a="1"/>
  <c r="D121" i="4" s="1"/>
  <c r="E119" i="4" a="1"/>
  <c r="E119" i="4" s="1"/>
  <c r="D621" i="4" l="1" a="1"/>
  <c r="D621" i="4" s="1"/>
  <c r="E620" i="4" a="1"/>
  <c r="E620" i="4" s="1"/>
  <c r="E870" i="4" a="1"/>
  <c r="E870" i="4" s="1"/>
  <c r="D871" i="4" a="1"/>
  <c r="D871" i="4" s="1"/>
  <c r="E370" i="4" a="1"/>
  <c r="E370" i="4" s="1"/>
  <c r="C371" i="4"/>
  <c r="D371" i="4" s="1" a="1"/>
  <c r="D371" i="4" s="1"/>
  <c r="C122" i="4"/>
  <c r="D122" i="4" s="1" a="1"/>
  <c r="D122" i="4" s="1"/>
  <c r="E120" i="4" a="1"/>
  <c r="E120" i="4" s="1"/>
  <c r="D622" i="4" l="1" a="1"/>
  <c r="D622" i="4" s="1"/>
  <c r="E621" i="4" a="1"/>
  <c r="E621" i="4" s="1"/>
  <c r="E871" i="4" a="1"/>
  <c r="E871" i="4" s="1"/>
  <c r="D872" i="4" a="1"/>
  <c r="D872" i="4" s="1"/>
  <c r="E371" i="4" a="1"/>
  <c r="E371" i="4" s="1"/>
  <c r="C372" i="4"/>
  <c r="D372" i="4" s="1" a="1"/>
  <c r="D372" i="4" s="1"/>
  <c r="C123" i="4"/>
  <c r="D123" i="4" s="1" a="1"/>
  <c r="D123" i="4" s="1"/>
  <c r="E121" i="4" a="1"/>
  <c r="E121" i="4" s="1"/>
  <c r="D623" i="4" l="1" a="1"/>
  <c r="D623" i="4" s="1"/>
  <c r="E622" i="4" a="1"/>
  <c r="E622" i="4" s="1"/>
  <c r="E872" i="4" a="1"/>
  <c r="E872" i="4" s="1"/>
  <c r="D873" i="4" a="1"/>
  <c r="D873" i="4" s="1"/>
  <c r="E372" i="4" a="1"/>
  <c r="E372" i="4" s="1"/>
  <c r="C373" i="4"/>
  <c r="D373" i="4" s="1" a="1"/>
  <c r="D373" i="4" s="1"/>
  <c r="C124" i="4"/>
  <c r="D124" i="4" s="1" a="1"/>
  <c r="D124" i="4" s="1"/>
  <c r="E122" i="4" a="1"/>
  <c r="E122" i="4" s="1"/>
  <c r="D624" i="4" l="1" a="1"/>
  <c r="D624" i="4" s="1"/>
  <c r="E623" i="4" a="1"/>
  <c r="E623" i="4" s="1"/>
  <c r="E873" i="4" a="1"/>
  <c r="E873" i="4" s="1"/>
  <c r="D874" i="4" a="1"/>
  <c r="D874" i="4" s="1"/>
  <c r="E373" i="4" a="1"/>
  <c r="E373" i="4" s="1"/>
  <c r="C374" i="4"/>
  <c r="D374" i="4" s="1" a="1"/>
  <c r="D374" i="4" s="1"/>
  <c r="C125" i="4"/>
  <c r="D125" i="4" s="1" a="1"/>
  <c r="D125" i="4" s="1"/>
  <c r="E123" i="4" a="1"/>
  <c r="E123" i="4" s="1"/>
  <c r="D625" i="4" l="1" a="1"/>
  <c r="D625" i="4" s="1"/>
  <c r="E624" i="4" a="1"/>
  <c r="E624" i="4" s="1"/>
  <c r="E874" i="4" a="1"/>
  <c r="E874" i="4" s="1"/>
  <c r="D875" i="4" a="1"/>
  <c r="D875" i="4" s="1"/>
  <c r="E374" i="4" a="1"/>
  <c r="E374" i="4" s="1"/>
  <c r="C375" i="4"/>
  <c r="D375" i="4" s="1" a="1"/>
  <c r="D375" i="4" s="1"/>
  <c r="C126" i="4"/>
  <c r="D126" i="4" s="1" a="1"/>
  <c r="D126" i="4" s="1"/>
  <c r="E124" i="4" a="1"/>
  <c r="E124" i="4" s="1"/>
  <c r="D626" i="4" l="1" a="1"/>
  <c r="D626" i="4" s="1"/>
  <c r="E625" i="4" a="1"/>
  <c r="E625" i="4" s="1"/>
  <c r="E875" i="4" a="1"/>
  <c r="E875" i="4" s="1"/>
  <c r="D876" i="4" a="1"/>
  <c r="D876" i="4" s="1"/>
  <c r="E375" i="4" a="1"/>
  <c r="E375" i="4" s="1"/>
  <c r="C376" i="4"/>
  <c r="D376" i="4" s="1" a="1"/>
  <c r="D376" i="4" s="1"/>
  <c r="C127" i="4"/>
  <c r="D127" i="4" s="1" a="1"/>
  <c r="D127" i="4" s="1"/>
  <c r="E125" i="4" a="1"/>
  <c r="E125" i="4" s="1"/>
  <c r="D627" i="4" l="1" a="1"/>
  <c r="D627" i="4" s="1"/>
  <c r="E626" i="4" a="1"/>
  <c r="E626" i="4" s="1"/>
  <c r="E876" i="4" a="1"/>
  <c r="E876" i="4" s="1"/>
  <c r="D877" i="4" a="1"/>
  <c r="D877" i="4" s="1"/>
  <c r="E376" i="4" a="1"/>
  <c r="E376" i="4" s="1"/>
  <c r="C377" i="4"/>
  <c r="D377" i="4" s="1" a="1"/>
  <c r="D377" i="4" s="1"/>
  <c r="C128" i="4"/>
  <c r="D128" i="4" s="1" a="1"/>
  <c r="D128" i="4" s="1"/>
  <c r="E126" i="4" a="1"/>
  <c r="E126" i="4" s="1"/>
  <c r="D628" i="4" l="1" a="1"/>
  <c r="D628" i="4" s="1"/>
  <c r="E627" i="4" a="1"/>
  <c r="E627" i="4" s="1"/>
  <c r="E877" i="4" a="1"/>
  <c r="E877" i="4" s="1"/>
  <c r="D878" i="4" a="1"/>
  <c r="D878" i="4" s="1"/>
  <c r="E377" i="4" a="1"/>
  <c r="E377" i="4" s="1"/>
  <c r="C378" i="4"/>
  <c r="D378" i="4" s="1" a="1"/>
  <c r="D378" i="4" s="1"/>
  <c r="C129" i="4"/>
  <c r="D129" i="4" s="1" a="1"/>
  <c r="D129" i="4" s="1"/>
  <c r="E127" i="4" a="1"/>
  <c r="E127" i="4" s="1"/>
  <c r="D629" i="4" l="1" a="1"/>
  <c r="D629" i="4" s="1"/>
  <c r="E628" i="4" a="1"/>
  <c r="E628" i="4" s="1"/>
  <c r="E878" i="4" a="1"/>
  <c r="E878" i="4" s="1"/>
  <c r="D879" i="4" a="1"/>
  <c r="D879" i="4" s="1"/>
  <c r="E378" i="4" a="1"/>
  <c r="E378" i="4" s="1"/>
  <c r="C379" i="4"/>
  <c r="D379" i="4" s="1" a="1"/>
  <c r="D379" i="4" s="1"/>
  <c r="C130" i="4"/>
  <c r="D130" i="4" s="1" a="1"/>
  <c r="D130" i="4" s="1"/>
  <c r="E128" i="4" a="1"/>
  <c r="E128" i="4" s="1"/>
  <c r="D630" i="4" l="1" a="1"/>
  <c r="D630" i="4" s="1"/>
  <c r="E629" i="4" a="1"/>
  <c r="E629" i="4" s="1"/>
  <c r="E879" i="4" a="1"/>
  <c r="E879" i="4" s="1"/>
  <c r="D880" i="4" a="1"/>
  <c r="D880" i="4" s="1"/>
  <c r="E379" i="4" a="1"/>
  <c r="E379" i="4" s="1"/>
  <c r="C380" i="4"/>
  <c r="D380" i="4" s="1" a="1"/>
  <c r="D380" i="4" s="1"/>
  <c r="C131" i="4"/>
  <c r="D131" i="4" s="1" a="1"/>
  <c r="D131" i="4" s="1"/>
  <c r="E129" i="4" a="1"/>
  <c r="E129" i="4" s="1"/>
  <c r="D631" i="4" l="1" a="1"/>
  <c r="D631" i="4" s="1"/>
  <c r="E630" i="4" a="1"/>
  <c r="E630" i="4" s="1"/>
  <c r="E880" i="4" a="1"/>
  <c r="E880" i="4" s="1"/>
  <c r="D881" i="4" a="1"/>
  <c r="D881" i="4" s="1"/>
  <c r="E380" i="4" a="1"/>
  <c r="E380" i="4" s="1"/>
  <c r="C381" i="4"/>
  <c r="D381" i="4" s="1" a="1"/>
  <c r="D381" i="4" s="1"/>
  <c r="C132" i="4"/>
  <c r="D132" i="4" s="1" a="1"/>
  <c r="D132" i="4" s="1"/>
  <c r="E130" i="4" a="1"/>
  <c r="E130" i="4" s="1"/>
  <c r="D632" i="4" l="1" a="1"/>
  <c r="D632" i="4" s="1"/>
  <c r="E631" i="4" a="1"/>
  <c r="E631" i="4" s="1"/>
  <c r="E881" i="4" a="1"/>
  <c r="E881" i="4" s="1"/>
  <c r="D882" i="4" a="1"/>
  <c r="D882" i="4" s="1"/>
  <c r="E381" i="4" a="1"/>
  <c r="E381" i="4" s="1"/>
  <c r="C382" i="4"/>
  <c r="D382" i="4" s="1" a="1"/>
  <c r="D382" i="4" s="1"/>
  <c r="C133" i="4"/>
  <c r="D133" i="4" s="1" a="1"/>
  <c r="D133" i="4" s="1"/>
  <c r="E131" i="4" a="1"/>
  <c r="E131" i="4" s="1"/>
  <c r="D633" i="4" l="1" a="1"/>
  <c r="D633" i="4" s="1"/>
  <c r="E632" i="4" a="1"/>
  <c r="E632" i="4" s="1"/>
  <c r="E882" i="4" a="1"/>
  <c r="E882" i="4" s="1"/>
  <c r="D883" i="4" a="1"/>
  <c r="D883" i="4" s="1"/>
  <c r="E382" i="4" a="1"/>
  <c r="E382" i="4" s="1"/>
  <c r="C383" i="4"/>
  <c r="D383" i="4" s="1" a="1"/>
  <c r="D383" i="4" s="1"/>
  <c r="C134" i="4"/>
  <c r="D134" i="4" s="1" a="1"/>
  <c r="D134" i="4" s="1"/>
  <c r="E132" i="4" a="1"/>
  <c r="E132" i="4" s="1"/>
  <c r="D634" i="4" l="1" a="1"/>
  <c r="D634" i="4" s="1"/>
  <c r="E633" i="4" a="1"/>
  <c r="E633" i="4" s="1"/>
  <c r="E883" i="4" a="1"/>
  <c r="E883" i="4" s="1"/>
  <c r="D884" i="4" a="1"/>
  <c r="D884" i="4" s="1"/>
  <c r="E383" i="4" a="1"/>
  <c r="E383" i="4" s="1"/>
  <c r="C384" i="4"/>
  <c r="D384" i="4" s="1" a="1"/>
  <c r="D384" i="4" s="1"/>
  <c r="C135" i="4"/>
  <c r="D135" i="4" s="1" a="1"/>
  <c r="D135" i="4" s="1"/>
  <c r="E133" i="4" a="1"/>
  <c r="E133" i="4" s="1"/>
  <c r="D635" i="4" l="1" a="1"/>
  <c r="D635" i="4" s="1"/>
  <c r="E634" i="4" a="1"/>
  <c r="E634" i="4" s="1"/>
  <c r="E884" i="4" a="1"/>
  <c r="E884" i="4" s="1"/>
  <c r="D885" i="4" a="1"/>
  <c r="D885" i="4" s="1"/>
  <c r="E384" i="4" a="1"/>
  <c r="E384" i="4" s="1"/>
  <c r="C385" i="4"/>
  <c r="D385" i="4" s="1" a="1"/>
  <c r="D385" i="4" s="1"/>
  <c r="C136" i="4"/>
  <c r="D136" i="4" s="1" a="1"/>
  <c r="D136" i="4" s="1"/>
  <c r="E134" i="4" a="1"/>
  <c r="E134" i="4" s="1"/>
  <c r="D636" i="4" l="1" a="1"/>
  <c r="D636" i="4" s="1"/>
  <c r="E635" i="4" a="1"/>
  <c r="E635" i="4" s="1"/>
  <c r="E885" i="4" a="1"/>
  <c r="E885" i="4" s="1"/>
  <c r="D886" i="4" a="1"/>
  <c r="D886" i="4" s="1"/>
  <c r="E385" i="4" a="1"/>
  <c r="E385" i="4" s="1"/>
  <c r="C386" i="4"/>
  <c r="D386" i="4" s="1" a="1"/>
  <c r="D386" i="4" s="1"/>
  <c r="C137" i="4"/>
  <c r="D137" i="4" s="1" a="1"/>
  <c r="D137" i="4" s="1"/>
  <c r="E135" i="4" a="1"/>
  <c r="E135" i="4" s="1"/>
  <c r="E636" i="4" l="1" a="1"/>
  <c r="E636" i="4" s="1"/>
  <c r="D637" i="4" a="1"/>
  <c r="D637" i="4" s="1"/>
  <c r="E886" i="4" a="1"/>
  <c r="E886" i="4" s="1"/>
  <c r="D887" i="4" a="1"/>
  <c r="D887" i="4" s="1"/>
  <c r="E386" i="4" a="1"/>
  <c r="E386" i="4" s="1"/>
  <c r="C387" i="4"/>
  <c r="D387" i="4" s="1" a="1"/>
  <c r="D387" i="4" s="1"/>
  <c r="C138" i="4"/>
  <c r="D138" i="4" s="1" a="1"/>
  <c r="D138" i="4" s="1"/>
  <c r="E136" i="4" a="1"/>
  <c r="E136" i="4" s="1"/>
  <c r="D638" i="4" l="1" a="1"/>
  <c r="D638" i="4" s="1"/>
  <c r="E637" i="4" a="1"/>
  <c r="E637" i="4" s="1"/>
  <c r="E887" i="4" a="1"/>
  <c r="E887" i="4" s="1"/>
  <c r="D888" i="4" a="1"/>
  <c r="D888" i="4" s="1"/>
  <c r="E387" i="4" a="1"/>
  <c r="E387" i="4" s="1"/>
  <c r="C388" i="4"/>
  <c r="D388" i="4" s="1" a="1"/>
  <c r="D388" i="4" s="1"/>
  <c r="C139" i="4"/>
  <c r="D139" i="4" s="1" a="1"/>
  <c r="D139" i="4" s="1"/>
  <c r="E137" i="4" a="1"/>
  <c r="E137" i="4" s="1"/>
  <c r="E638" i="4" l="1" a="1"/>
  <c r="E638" i="4" s="1"/>
  <c r="D639" i="4" a="1"/>
  <c r="D639" i="4" s="1"/>
  <c r="E888" i="4" a="1"/>
  <c r="E888" i="4" s="1"/>
  <c r="D889" i="4" a="1"/>
  <c r="D889" i="4" s="1"/>
  <c r="E388" i="4" a="1"/>
  <c r="E388" i="4" s="1"/>
  <c r="C389" i="4"/>
  <c r="D389" i="4" s="1" a="1"/>
  <c r="D389" i="4" s="1"/>
  <c r="C140" i="4"/>
  <c r="D140" i="4" s="1" a="1"/>
  <c r="D140" i="4" s="1"/>
  <c r="E138" i="4" a="1"/>
  <c r="E138" i="4" s="1"/>
  <c r="D640" i="4" l="1" a="1"/>
  <c r="D640" i="4" s="1"/>
  <c r="E639" i="4" a="1"/>
  <c r="E639" i="4" s="1"/>
  <c r="E889" i="4" a="1"/>
  <c r="E889" i="4" s="1"/>
  <c r="D890" i="4" a="1"/>
  <c r="D890" i="4" s="1"/>
  <c r="E389" i="4" a="1"/>
  <c r="E389" i="4" s="1"/>
  <c r="C390" i="4"/>
  <c r="D390" i="4" s="1" a="1"/>
  <c r="D390" i="4" s="1"/>
  <c r="C141" i="4"/>
  <c r="D141" i="4" s="1" a="1"/>
  <c r="D141" i="4" s="1"/>
  <c r="E139" i="4" a="1"/>
  <c r="E139" i="4" s="1"/>
  <c r="D641" i="4" l="1" a="1"/>
  <c r="D641" i="4" s="1"/>
  <c r="E640" i="4" a="1"/>
  <c r="E640" i="4" s="1"/>
  <c r="E890" i="4" a="1"/>
  <c r="E890" i="4" s="1"/>
  <c r="D891" i="4" a="1"/>
  <c r="D891" i="4" s="1"/>
  <c r="E390" i="4" a="1"/>
  <c r="E390" i="4" s="1"/>
  <c r="C391" i="4"/>
  <c r="D391" i="4" s="1" a="1"/>
  <c r="D391" i="4" s="1"/>
  <c r="C142" i="4"/>
  <c r="D142" i="4" s="1" a="1"/>
  <c r="D142" i="4" s="1"/>
  <c r="E140" i="4" a="1"/>
  <c r="E140" i="4" s="1"/>
  <c r="D642" i="4" l="1" a="1"/>
  <c r="D642" i="4" s="1"/>
  <c r="E641" i="4" a="1"/>
  <c r="E641" i="4" s="1"/>
  <c r="E891" i="4" a="1"/>
  <c r="E891" i="4" s="1"/>
  <c r="D892" i="4" a="1"/>
  <c r="D892" i="4" s="1"/>
  <c r="E391" i="4" a="1"/>
  <c r="E391" i="4" s="1"/>
  <c r="C392" i="4"/>
  <c r="D392" i="4" s="1" a="1"/>
  <c r="D392" i="4" s="1"/>
  <c r="C143" i="4"/>
  <c r="D143" i="4" s="1" a="1"/>
  <c r="D143" i="4" s="1"/>
  <c r="E141" i="4" a="1"/>
  <c r="E141" i="4" s="1"/>
  <c r="E642" i="4" l="1" a="1"/>
  <c r="E642" i="4" s="1"/>
  <c r="D643" i="4" a="1"/>
  <c r="D643" i="4" s="1"/>
  <c r="E892" i="4" a="1"/>
  <c r="E892" i="4" s="1"/>
  <c r="D893" i="4" a="1"/>
  <c r="D893" i="4" s="1"/>
  <c r="E392" i="4" a="1"/>
  <c r="E392" i="4" s="1"/>
  <c r="C393" i="4"/>
  <c r="D393" i="4" s="1" a="1"/>
  <c r="D393" i="4" s="1"/>
  <c r="C144" i="4"/>
  <c r="D144" i="4" s="1" a="1"/>
  <c r="D144" i="4" s="1"/>
  <c r="E142" i="4" a="1"/>
  <c r="E142" i="4" s="1"/>
  <c r="D644" i="4" l="1" a="1"/>
  <c r="D644" i="4" s="1"/>
  <c r="E643" i="4" a="1"/>
  <c r="E643" i="4" s="1"/>
  <c r="E893" i="4" a="1"/>
  <c r="E893" i="4" s="1"/>
  <c r="D894" i="4" a="1"/>
  <c r="D894" i="4" s="1"/>
  <c r="C394" i="4"/>
  <c r="D394" i="4" s="1" a="1"/>
  <c r="D394" i="4" s="1"/>
  <c r="C145" i="4"/>
  <c r="D145" i="4" s="1" a="1"/>
  <c r="D145" i="4" s="1"/>
  <c r="E393" i="4" a="1"/>
  <c r="E393" i="4" s="1"/>
  <c r="E143" i="4" a="1"/>
  <c r="E143" i="4" s="1"/>
  <c r="D645" i="4" l="1" a="1"/>
  <c r="D645" i="4" s="1"/>
  <c r="E644" i="4" a="1"/>
  <c r="E644" i="4" s="1"/>
  <c r="E894" i="4" a="1"/>
  <c r="E894" i="4" s="1"/>
  <c r="D895" i="4" a="1"/>
  <c r="D895" i="4" s="1"/>
  <c r="E394" i="4" a="1"/>
  <c r="E394" i="4" s="1"/>
  <c r="C395" i="4"/>
  <c r="D395" i="4" s="1" a="1"/>
  <c r="D395" i="4" s="1"/>
  <c r="C146" i="4"/>
  <c r="D146" i="4" s="1" a="1"/>
  <c r="D146" i="4" s="1"/>
  <c r="E144" i="4" a="1"/>
  <c r="E144" i="4" s="1"/>
  <c r="D646" i="4" l="1" a="1"/>
  <c r="D646" i="4" s="1"/>
  <c r="E645" i="4" a="1"/>
  <c r="E645" i="4" s="1"/>
  <c r="E895" i="4" a="1"/>
  <c r="E895" i="4" s="1"/>
  <c r="D896" i="4" a="1"/>
  <c r="D896" i="4" s="1"/>
  <c r="E395" i="4" a="1"/>
  <c r="E395" i="4" s="1"/>
  <c r="C396" i="4"/>
  <c r="D396" i="4" s="1" a="1"/>
  <c r="D396" i="4" s="1"/>
  <c r="C147" i="4"/>
  <c r="D147" i="4" s="1" a="1"/>
  <c r="D147" i="4" s="1"/>
  <c r="E145" i="4" a="1"/>
  <c r="E145" i="4" s="1"/>
  <c r="D647" i="4" l="1" a="1"/>
  <c r="D647" i="4" s="1"/>
  <c r="E646" i="4" a="1"/>
  <c r="E646" i="4" s="1"/>
  <c r="E896" i="4" a="1"/>
  <c r="E896" i="4" s="1"/>
  <c r="D897" i="4" a="1"/>
  <c r="D897" i="4" s="1"/>
  <c r="E396" i="4" a="1"/>
  <c r="E396" i="4" s="1"/>
  <c r="C397" i="4"/>
  <c r="D397" i="4" s="1" a="1"/>
  <c r="D397" i="4" s="1"/>
  <c r="C148" i="4"/>
  <c r="D148" i="4" s="1" a="1"/>
  <c r="D148" i="4" s="1"/>
  <c r="E146" i="4" a="1"/>
  <c r="E146" i="4" s="1"/>
  <c r="D648" i="4" l="1" a="1"/>
  <c r="D648" i="4" s="1"/>
  <c r="E647" i="4" a="1"/>
  <c r="E647" i="4" s="1"/>
  <c r="E897" i="4" a="1"/>
  <c r="E897" i="4" s="1"/>
  <c r="D898" i="4" a="1"/>
  <c r="D898" i="4" s="1"/>
  <c r="E397" i="4" a="1"/>
  <c r="E397" i="4" s="1"/>
  <c r="C398" i="4"/>
  <c r="D398" i="4" s="1" a="1"/>
  <c r="D398" i="4" s="1"/>
  <c r="C149" i="4"/>
  <c r="D149" i="4" s="1" a="1"/>
  <c r="D149" i="4" s="1"/>
  <c r="E147" i="4" a="1"/>
  <c r="E147" i="4" s="1"/>
  <c r="D649" i="4" l="1" a="1"/>
  <c r="D649" i="4" s="1"/>
  <c r="E648" i="4" a="1"/>
  <c r="E648" i="4" s="1"/>
  <c r="E898" i="4" a="1"/>
  <c r="E898" i="4" s="1"/>
  <c r="D899" i="4" a="1"/>
  <c r="D899" i="4" s="1"/>
  <c r="E398" i="4" a="1"/>
  <c r="E398" i="4" s="1"/>
  <c r="C399" i="4"/>
  <c r="D399" i="4" s="1" a="1"/>
  <c r="D399" i="4" s="1"/>
  <c r="C150" i="4"/>
  <c r="D150" i="4" s="1" a="1"/>
  <c r="D150" i="4" s="1"/>
  <c r="E148" i="4" a="1"/>
  <c r="E148" i="4" s="1"/>
  <c r="D650" i="4" l="1" a="1"/>
  <c r="D650" i="4" s="1"/>
  <c r="E649" i="4" a="1"/>
  <c r="E649" i="4" s="1"/>
  <c r="E899" i="4" a="1"/>
  <c r="E899" i="4" s="1"/>
  <c r="D900" i="4" a="1"/>
  <c r="D900" i="4" s="1"/>
  <c r="E399" i="4" a="1"/>
  <c r="E399" i="4" s="1"/>
  <c r="C400" i="4"/>
  <c r="D400" i="4" s="1" a="1"/>
  <c r="D400" i="4" s="1"/>
  <c r="C151" i="4"/>
  <c r="D151" i="4" s="1" a="1"/>
  <c r="D151" i="4" s="1"/>
  <c r="E149" i="4" a="1"/>
  <c r="E149" i="4" s="1"/>
  <c r="D651" i="4" l="1" a="1"/>
  <c r="D651" i="4" s="1"/>
  <c r="E650" i="4" a="1"/>
  <c r="E650" i="4" s="1"/>
  <c r="E900" i="4" a="1"/>
  <c r="E900" i="4" s="1"/>
  <c r="D901" i="4" a="1"/>
  <c r="D901" i="4" s="1"/>
  <c r="E400" i="4" a="1"/>
  <c r="E400" i="4" s="1"/>
  <c r="C401" i="4"/>
  <c r="D401" i="4" s="1" a="1"/>
  <c r="D401" i="4" s="1"/>
  <c r="C152" i="4"/>
  <c r="D152" i="4" s="1" a="1"/>
  <c r="D152" i="4" s="1"/>
  <c r="E150" i="4" a="1"/>
  <c r="E150" i="4" s="1"/>
  <c r="E651" i="4" l="1" a="1"/>
  <c r="E651" i="4" s="1"/>
  <c r="D652" i="4" a="1"/>
  <c r="D652" i="4" s="1"/>
  <c r="E901" i="4" a="1"/>
  <c r="E901" i="4" s="1"/>
  <c r="D902" i="4" a="1"/>
  <c r="D902" i="4" s="1"/>
  <c r="E401" i="4" a="1"/>
  <c r="E401" i="4" s="1"/>
  <c r="C402" i="4"/>
  <c r="D402" i="4" s="1" a="1"/>
  <c r="D402" i="4" s="1"/>
  <c r="C153" i="4"/>
  <c r="D153" i="4" s="1" a="1"/>
  <c r="D153" i="4" s="1"/>
  <c r="E151" i="4" a="1"/>
  <c r="E151" i="4" s="1"/>
  <c r="E652" i="4" l="1" a="1"/>
  <c r="E652" i="4" s="1"/>
  <c r="D653" i="4" a="1"/>
  <c r="D653" i="4" s="1"/>
  <c r="E902" i="4" a="1"/>
  <c r="E902" i="4" s="1"/>
  <c r="D903" i="4" a="1"/>
  <c r="D903" i="4" s="1"/>
  <c r="E402" i="4" a="1"/>
  <c r="E402" i="4" s="1"/>
  <c r="C403" i="4"/>
  <c r="D403" i="4" s="1" a="1"/>
  <c r="D403" i="4" s="1"/>
  <c r="C154" i="4"/>
  <c r="D154" i="4" s="1" a="1"/>
  <c r="D154" i="4" s="1"/>
  <c r="E152" i="4" a="1"/>
  <c r="E152" i="4" s="1"/>
  <c r="D654" i="4" l="1" a="1"/>
  <c r="D654" i="4" s="1"/>
  <c r="E653" i="4" a="1"/>
  <c r="E653" i="4" s="1"/>
  <c r="E903" i="4" a="1"/>
  <c r="E903" i="4" s="1"/>
  <c r="D904" i="4" a="1"/>
  <c r="D904" i="4" s="1"/>
  <c r="E403" i="4" a="1"/>
  <c r="E403" i="4" s="1"/>
  <c r="C404" i="4"/>
  <c r="D404" i="4" s="1" a="1"/>
  <c r="D404" i="4" s="1"/>
  <c r="C155" i="4"/>
  <c r="D155" i="4" s="1" a="1"/>
  <c r="D155" i="4" s="1"/>
  <c r="E153" i="4" a="1"/>
  <c r="E153" i="4" s="1"/>
  <c r="D655" i="4" l="1" a="1"/>
  <c r="D655" i="4" s="1"/>
  <c r="E654" i="4" a="1"/>
  <c r="E654" i="4" s="1"/>
  <c r="E904" i="4" a="1"/>
  <c r="E904" i="4" s="1"/>
  <c r="D905" i="4" a="1"/>
  <c r="D905" i="4" s="1"/>
  <c r="E404" i="4" a="1"/>
  <c r="E404" i="4" s="1"/>
  <c r="C405" i="4"/>
  <c r="D405" i="4" s="1" a="1"/>
  <c r="D405" i="4" s="1"/>
  <c r="C156" i="4"/>
  <c r="D156" i="4" s="1" a="1"/>
  <c r="D156" i="4" s="1"/>
  <c r="E154" i="4" a="1"/>
  <c r="E154" i="4" s="1"/>
  <c r="E655" i="4" l="1" a="1"/>
  <c r="E655" i="4" s="1"/>
  <c r="D656" i="4" a="1"/>
  <c r="D656" i="4" s="1"/>
  <c r="E905" i="4" a="1"/>
  <c r="E905" i="4" s="1"/>
  <c r="D906" i="4" a="1"/>
  <c r="D906" i="4" s="1"/>
  <c r="E405" i="4" a="1"/>
  <c r="E405" i="4" s="1"/>
  <c r="C406" i="4"/>
  <c r="D406" i="4" s="1" a="1"/>
  <c r="D406" i="4" s="1"/>
  <c r="C157" i="4"/>
  <c r="D157" i="4" s="1" a="1"/>
  <c r="D157" i="4" s="1"/>
  <c r="E155" i="4" a="1"/>
  <c r="E155" i="4" s="1"/>
  <c r="D657" i="4" l="1" a="1"/>
  <c r="D657" i="4" s="1"/>
  <c r="E656" i="4" a="1"/>
  <c r="E656" i="4" s="1"/>
  <c r="E906" i="4" a="1"/>
  <c r="E906" i="4" s="1"/>
  <c r="D907" i="4" a="1"/>
  <c r="D907" i="4" s="1"/>
  <c r="E406" i="4" a="1"/>
  <c r="E406" i="4" s="1"/>
  <c r="C407" i="4"/>
  <c r="D407" i="4" s="1" a="1"/>
  <c r="D407" i="4" s="1"/>
  <c r="C158" i="4"/>
  <c r="D158" i="4" s="1" a="1"/>
  <c r="D158" i="4" s="1"/>
  <c r="E156" i="4" a="1"/>
  <c r="E156" i="4" s="1"/>
  <c r="D658" i="4" l="1" a="1"/>
  <c r="D658" i="4" s="1"/>
  <c r="E657" i="4" a="1"/>
  <c r="E657" i="4" s="1"/>
  <c r="E907" i="4" a="1"/>
  <c r="E907" i="4" s="1"/>
  <c r="D908" i="4" a="1"/>
  <c r="D908" i="4" s="1"/>
  <c r="E407" i="4" a="1"/>
  <c r="E407" i="4" s="1"/>
  <c r="C408" i="4"/>
  <c r="D408" i="4" s="1" a="1"/>
  <c r="D408" i="4" s="1"/>
  <c r="C159" i="4"/>
  <c r="D159" i="4" s="1" a="1"/>
  <c r="D159" i="4" s="1"/>
  <c r="E157" i="4" a="1"/>
  <c r="E157" i="4" s="1"/>
  <c r="D659" i="4" l="1" a="1"/>
  <c r="D659" i="4" s="1"/>
  <c r="E658" i="4" a="1"/>
  <c r="E658" i="4" s="1"/>
  <c r="E908" i="4" a="1"/>
  <c r="E908" i="4" s="1"/>
  <c r="D909" i="4" a="1"/>
  <c r="D909" i="4" s="1"/>
  <c r="E408" i="4" a="1"/>
  <c r="E408" i="4" s="1"/>
  <c r="C409" i="4"/>
  <c r="D409" i="4" s="1" a="1"/>
  <c r="D409" i="4" s="1"/>
  <c r="C160" i="4"/>
  <c r="D160" i="4" s="1" a="1"/>
  <c r="D160" i="4" s="1"/>
  <c r="E158" i="4" a="1"/>
  <c r="E158" i="4" s="1"/>
  <c r="D660" i="4" l="1" a="1"/>
  <c r="D660" i="4" s="1"/>
  <c r="E659" i="4" a="1"/>
  <c r="E659" i="4" s="1"/>
  <c r="E909" i="4" a="1"/>
  <c r="E909" i="4" s="1"/>
  <c r="D910" i="4" a="1"/>
  <c r="D910" i="4" s="1"/>
  <c r="E409" i="4" a="1"/>
  <c r="E409" i="4" s="1"/>
  <c r="C410" i="4"/>
  <c r="D410" i="4" s="1" a="1"/>
  <c r="D410" i="4" s="1"/>
  <c r="C161" i="4"/>
  <c r="D161" i="4" s="1" a="1"/>
  <c r="D161" i="4" s="1"/>
  <c r="E159" i="4" a="1"/>
  <c r="E159" i="4" s="1"/>
  <c r="D661" i="4" l="1" a="1"/>
  <c r="D661" i="4" s="1"/>
  <c r="E660" i="4" a="1"/>
  <c r="E660" i="4" s="1"/>
  <c r="E910" i="4" a="1"/>
  <c r="E910" i="4" s="1"/>
  <c r="D911" i="4" a="1"/>
  <c r="D911" i="4" s="1"/>
  <c r="E410" i="4" a="1"/>
  <c r="E410" i="4" s="1"/>
  <c r="C411" i="4"/>
  <c r="D411" i="4" s="1" a="1"/>
  <c r="D411" i="4" s="1"/>
  <c r="C162" i="4"/>
  <c r="D162" i="4" s="1" a="1"/>
  <c r="D162" i="4" s="1"/>
  <c r="E160" i="4" a="1"/>
  <c r="E160" i="4" s="1"/>
  <c r="D662" i="4" l="1" a="1"/>
  <c r="D662" i="4" s="1"/>
  <c r="E661" i="4" a="1"/>
  <c r="E661" i="4" s="1"/>
  <c r="E911" i="4" a="1"/>
  <c r="E911" i="4" s="1"/>
  <c r="D912" i="4" a="1"/>
  <c r="D912" i="4" s="1"/>
  <c r="E411" i="4" a="1"/>
  <c r="E411" i="4" s="1"/>
  <c r="C412" i="4"/>
  <c r="D412" i="4" s="1" a="1"/>
  <c r="D412" i="4" s="1"/>
  <c r="C163" i="4"/>
  <c r="D163" i="4" s="1" a="1"/>
  <c r="D163" i="4" s="1"/>
  <c r="E161" i="4" a="1"/>
  <c r="E161" i="4" s="1"/>
  <c r="E662" i="4" l="1" a="1"/>
  <c r="E662" i="4" s="1"/>
  <c r="D663" i="4" a="1"/>
  <c r="D663" i="4" s="1"/>
  <c r="E912" i="4" a="1"/>
  <c r="E912" i="4" s="1"/>
  <c r="D913" i="4" a="1"/>
  <c r="D913" i="4" s="1"/>
  <c r="E412" i="4" a="1"/>
  <c r="E412" i="4" s="1"/>
  <c r="C413" i="4"/>
  <c r="D413" i="4" s="1" a="1"/>
  <c r="D413" i="4" s="1"/>
  <c r="C164" i="4"/>
  <c r="D164" i="4" s="1" a="1"/>
  <c r="D164" i="4" s="1"/>
  <c r="E162" i="4" a="1"/>
  <c r="E162" i="4" s="1"/>
  <c r="D664" i="4" l="1" a="1"/>
  <c r="D664" i="4" s="1"/>
  <c r="E663" i="4" a="1"/>
  <c r="E663" i="4" s="1"/>
  <c r="E913" i="4" a="1"/>
  <c r="E913" i="4" s="1"/>
  <c r="D914" i="4" a="1"/>
  <c r="D914" i="4" s="1"/>
  <c r="E413" i="4" a="1"/>
  <c r="E413" i="4" s="1"/>
  <c r="C414" i="4"/>
  <c r="D414" i="4" s="1" a="1"/>
  <c r="D414" i="4" s="1"/>
  <c r="C165" i="4"/>
  <c r="D165" i="4" s="1" a="1"/>
  <c r="D165" i="4" s="1"/>
  <c r="E163" i="4" a="1"/>
  <c r="E163" i="4" s="1"/>
  <c r="D665" i="4" l="1" a="1"/>
  <c r="D665" i="4" s="1"/>
  <c r="E664" i="4" a="1"/>
  <c r="E664" i="4" s="1"/>
  <c r="E914" i="4" a="1"/>
  <c r="E914" i="4" s="1"/>
  <c r="D915" i="4" a="1"/>
  <c r="D915" i="4" s="1"/>
  <c r="E414" i="4" a="1"/>
  <c r="E414" i="4" s="1"/>
  <c r="C415" i="4"/>
  <c r="D415" i="4" s="1" a="1"/>
  <c r="D415" i="4" s="1"/>
  <c r="C166" i="4"/>
  <c r="D166" i="4" s="1" a="1"/>
  <c r="D166" i="4" s="1"/>
  <c r="E164" i="4" a="1"/>
  <c r="E164" i="4" s="1"/>
  <c r="D666" i="4" l="1" a="1"/>
  <c r="D666" i="4" s="1"/>
  <c r="E665" i="4" a="1"/>
  <c r="E665" i="4" s="1"/>
  <c r="E915" i="4" a="1"/>
  <c r="E915" i="4" s="1"/>
  <c r="D916" i="4" a="1"/>
  <c r="D916" i="4" s="1"/>
  <c r="E415" i="4" a="1"/>
  <c r="E415" i="4" s="1"/>
  <c r="C416" i="4"/>
  <c r="D416" i="4" s="1" a="1"/>
  <c r="D416" i="4" s="1"/>
  <c r="C167" i="4"/>
  <c r="D167" i="4" s="1" a="1"/>
  <c r="D167" i="4" s="1"/>
  <c r="E165" i="4" a="1"/>
  <c r="E165" i="4" s="1"/>
  <c r="D667" i="4" l="1" a="1"/>
  <c r="D667" i="4" s="1"/>
  <c r="E666" i="4" a="1"/>
  <c r="E666" i="4" s="1"/>
  <c r="E916" i="4" a="1"/>
  <c r="E916" i="4" s="1"/>
  <c r="D917" i="4" a="1"/>
  <c r="D917" i="4" s="1"/>
  <c r="E416" i="4" a="1"/>
  <c r="E416" i="4" s="1"/>
  <c r="C417" i="4"/>
  <c r="D417" i="4" s="1" a="1"/>
  <c r="D417" i="4" s="1"/>
  <c r="C168" i="4"/>
  <c r="D168" i="4" s="1" a="1"/>
  <c r="D168" i="4" s="1"/>
  <c r="E166" i="4" a="1"/>
  <c r="E166" i="4" s="1"/>
  <c r="E667" i="4" l="1" a="1"/>
  <c r="E667" i="4" s="1"/>
  <c r="D668" i="4" a="1"/>
  <c r="D668" i="4" s="1"/>
  <c r="E917" i="4" a="1"/>
  <c r="E917" i="4" s="1"/>
  <c r="D918" i="4" a="1"/>
  <c r="D918" i="4" s="1"/>
  <c r="E417" i="4" a="1"/>
  <c r="E417" i="4" s="1"/>
  <c r="C418" i="4"/>
  <c r="D418" i="4" s="1" a="1"/>
  <c r="D418" i="4" s="1"/>
  <c r="C169" i="4"/>
  <c r="D169" i="4" s="1" a="1"/>
  <c r="D169" i="4" s="1"/>
  <c r="E167" i="4" a="1"/>
  <c r="E167" i="4" s="1"/>
  <c r="D669" i="4" l="1" a="1"/>
  <c r="D669" i="4" s="1"/>
  <c r="E668" i="4" a="1"/>
  <c r="E668" i="4" s="1"/>
  <c r="E918" i="4" a="1"/>
  <c r="E918" i="4" s="1"/>
  <c r="D919" i="4" a="1"/>
  <c r="D919" i="4" s="1"/>
  <c r="E418" i="4" a="1"/>
  <c r="E418" i="4" s="1"/>
  <c r="C419" i="4"/>
  <c r="D419" i="4" s="1" a="1"/>
  <c r="D419" i="4" s="1"/>
  <c r="C170" i="4"/>
  <c r="D170" i="4" s="1" a="1"/>
  <c r="D170" i="4" s="1"/>
  <c r="E168" i="4" a="1"/>
  <c r="E168" i="4" s="1"/>
  <c r="D670" i="4" l="1" a="1"/>
  <c r="D670" i="4" s="1"/>
  <c r="E669" i="4" a="1"/>
  <c r="E669" i="4" s="1"/>
  <c r="E919" i="4" a="1"/>
  <c r="E919" i="4" s="1"/>
  <c r="D920" i="4" a="1"/>
  <c r="D920" i="4" s="1"/>
  <c r="E419" i="4" a="1"/>
  <c r="E419" i="4" s="1"/>
  <c r="C420" i="4"/>
  <c r="D420" i="4" s="1" a="1"/>
  <c r="D420" i="4" s="1"/>
  <c r="C171" i="4"/>
  <c r="D171" i="4" s="1" a="1"/>
  <c r="D171" i="4" s="1"/>
  <c r="E169" i="4" a="1"/>
  <c r="E169" i="4" s="1"/>
  <c r="D671" i="4" l="1" a="1"/>
  <c r="D671" i="4" s="1"/>
  <c r="E670" i="4" a="1"/>
  <c r="E670" i="4" s="1"/>
  <c r="E920" i="4" a="1"/>
  <c r="E920" i="4" s="1"/>
  <c r="D921" i="4" a="1"/>
  <c r="D921" i="4" s="1"/>
  <c r="E420" i="4" a="1"/>
  <c r="E420" i="4" s="1"/>
  <c r="C421" i="4"/>
  <c r="D421" i="4" s="1" a="1"/>
  <c r="D421" i="4" s="1"/>
  <c r="C172" i="4"/>
  <c r="D172" i="4" s="1" a="1"/>
  <c r="D172" i="4" s="1"/>
  <c r="E170" i="4" a="1"/>
  <c r="E170" i="4" s="1"/>
  <c r="D672" i="4" l="1" a="1"/>
  <c r="D672" i="4" s="1"/>
  <c r="E671" i="4" a="1"/>
  <c r="E671" i="4" s="1"/>
  <c r="E921" i="4" a="1"/>
  <c r="E921" i="4" s="1"/>
  <c r="D922" i="4" a="1"/>
  <c r="D922" i="4" s="1"/>
  <c r="E421" i="4" a="1"/>
  <c r="E421" i="4" s="1"/>
  <c r="C422" i="4"/>
  <c r="D422" i="4" s="1" a="1"/>
  <c r="D422" i="4" s="1"/>
  <c r="C173" i="4"/>
  <c r="D173" i="4" s="1" a="1"/>
  <c r="D173" i="4" s="1"/>
  <c r="E171" i="4" a="1"/>
  <c r="E171" i="4" s="1"/>
  <c r="D673" i="4" l="1" a="1"/>
  <c r="D673" i="4" s="1"/>
  <c r="E672" i="4" a="1"/>
  <c r="E672" i="4" s="1"/>
  <c r="E922" i="4" a="1"/>
  <c r="E922" i="4" s="1"/>
  <c r="D923" i="4" a="1"/>
  <c r="D923" i="4" s="1"/>
  <c r="E422" i="4" a="1"/>
  <c r="E422" i="4" s="1"/>
  <c r="C423" i="4"/>
  <c r="D423" i="4" s="1" a="1"/>
  <c r="D423" i="4" s="1"/>
  <c r="C174" i="4"/>
  <c r="D174" i="4" s="1" a="1"/>
  <c r="D174" i="4" s="1"/>
  <c r="E172" i="4" a="1"/>
  <c r="E172" i="4" s="1"/>
  <c r="D674" i="4" l="1" a="1"/>
  <c r="D674" i="4" s="1"/>
  <c r="E673" i="4" a="1"/>
  <c r="E673" i="4" s="1"/>
  <c r="E923" i="4" a="1"/>
  <c r="E923" i="4" s="1"/>
  <c r="D924" i="4" a="1"/>
  <c r="D924" i="4" s="1"/>
  <c r="E423" i="4" a="1"/>
  <c r="E423" i="4" s="1"/>
  <c r="C424" i="4"/>
  <c r="D424" i="4" s="1" a="1"/>
  <c r="D424" i="4" s="1"/>
  <c r="C175" i="4"/>
  <c r="D175" i="4" s="1" a="1"/>
  <c r="D175" i="4" s="1"/>
  <c r="E173" i="4" a="1"/>
  <c r="E173" i="4" s="1"/>
  <c r="D675" i="4" l="1" a="1"/>
  <c r="D675" i="4" s="1"/>
  <c r="E674" i="4" a="1"/>
  <c r="E674" i="4" s="1"/>
  <c r="E924" i="4" a="1"/>
  <c r="E924" i="4" s="1"/>
  <c r="D925" i="4" a="1"/>
  <c r="D925" i="4" s="1"/>
  <c r="E424" i="4" a="1"/>
  <c r="E424" i="4" s="1"/>
  <c r="C425" i="4"/>
  <c r="D425" i="4" s="1" a="1"/>
  <c r="D425" i="4" s="1"/>
  <c r="C176" i="4"/>
  <c r="D176" i="4" s="1" a="1"/>
  <c r="D176" i="4" s="1"/>
  <c r="E174" i="4" a="1"/>
  <c r="E174" i="4" s="1"/>
  <c r="D676" i="4" l="1" a="1"/>
  <c r="D676" i="4" s="1"/>
  <c r="E675" i="4" a="1"/>
  <c r="E675" i="4" s="1"/>
  <c r="E925" i="4" a="1"/>
  <c r="E925" i="4" s="1"/>
  <c r="D926" i="4" a="1"/>
  <c r="D926" i="4" s="1"/>
  <c r="E425" i="4" a="1"/>
  <c r="E425" i="4" s="1"/>
  <c r="C426" i="4"/>
  <c r="D426" i="4" s="1" a="1"/>
  <c r="D426" i="4" s="1"/>
  <c r="C177" i="4"/>
  <c r="D177" i="4" s="1" a="1"/>
  <c r="D177" i="4" s="1"/>
  <c r="E175" i="4" a="1"/>
  <c r="E175" i="4" s="1"/>
  <c r="D677" i="4" l="1" a="1"/>
  <c r="D677" i="4" s="1"/>
  <c r="E676" i="4" a="1"/>
  <c r="E676" i="4" s="1"/>
  <c r="E926" i="4" a="1"/>
  <c r="E926" i="4" s="1"/>
  <c r="D927" i="4" a="1"/>
  <c r="D927" i="4" s="1"/>
  <c r="E426" i="4" a="1"/>
  <c r="E426" i="4" s="1"/>
  <c r="C427" i="4"/>
  <c r="D427" i="4" s="1" a="1"/>
  <c r="D427" i="4" s="1"/>
  <c r="C178" i="4"/>
  <c r="D178" i="4" s="1" a="1"/>
  <c r="D178" i="4" s="1"/>
  <c r="E176" i="4" a="1"/>
  <c r="E176" i="4" s="1"/>
  <c r="D678" i="4" l="1" a="1"/>
  <c r="D678" i="4" s="1"/>
  <c r="E677" i="4" a="1"/>
  <c r="E677" i="4" s="1"/>
  <c r="E927" i="4" a="1"/>
  <c r="E927" i="4" s="1"/>
  <c r="D928" i="4" a="1"/>
  <c r="D928" i="4" s="1"/>
  <c r="E427" i="4" a="1"/>
  <c r="E427" i="4" s="1"/>
  <c r="C428" i="4"/>
  <c r="D428" i="4" s="1" a="1"/>
  <c r="D428" i="4" s="1"/>
  <c r="C179" i="4"/>
  <c r="D179" i="4" s="1" a="1"/>
  <c r="D179" i="4" s="1"/>
  <c r="E177" i="4" a="1"/>
  <c r="E177" i="4" s="1"/>
  <c r="D679" i="4" l="1" a="1"/>
  <c r="D679" i="4" s="1"/>
  <c r="E678" i="4" a="1"/>
  <c r="E678" i="4" s="1"/>
  <c r="E928" i="4" a="1"/>
  <c r="E928" i="4" s="1"/>
  <c r="D929" i="4" a="1"/>
  <c r="D929" i="4" s="1"/>
  <c r="E428" i="4" a="1"/>
  <c r="E428" i="4" s="1"/>
  <c r="C429" i="4"/>
  <c r="D429" i="4" s="1" a="1"/>
  <c r="D429" i="4" s="1"/>
  <c r="C180" i="4"/>
  <c r="D180" i="4" s="1" a="1"/>
  <c r="D180" i="4" s="1"/>
  <c r="E178" i="4" a="1"/>
  <c r="E178" i="4" s="1"/>
  <c r="D680" i="4" l="1" a="1"/>
  <c r="D680" i="4" s="1"/>
  <c r="E679" i="4" a="1"/>
  <c r="E679" i="4" s="1"/>
  <c r="E929" i="4" a="1"/>
  <c r="E929" i="4" s="1"/>
  <c r="D930" i="4" a="1"/>
  <c r="D930" i="4" s="1"/>
  <c r="E429" i="4" a="1"/>
  <c r="E429" i="4" s="1"/>
  <c r="C430" i="4"/>
  <c r="D430" i="4" s="1" a="1"/>
  <c r="D430" i="4" s="1"/>
  <c r="C181" i="4"/>
  <c r="D181" i="4" s="1" a="1"/>
  <c r="D181" i="4" s="1"/>
  <c r="E179" i="4" a="1"/>
  <c r="E179" i="4" s="1"/>
  <c r="E680" i="4" l="1" a="1"/>
  <c r="E680" i="4" s="1"/>
  <c r="D681" i="4" a="1"/>
  <c r="D681" i="4" s="1"/>
  <c r="E930" i="4" a="1"/>
  <c r="E930" i="4" s="1"/>
  <c r="D931" i="4" a="1"/>
  <c r="D931" i="4" s="1"/>
  <c r="E430" i="4" a="1"/>
  <c r="E430" i="4" s="1"/>
  <c r="C431" i="4"/>
  <c r="D431" i="4" s="1" a="1"/>
  <c r="D431" i="4" s="1"/>
  <c r="C182" i="4"/>
  <c r="D182" i="4" s="1" a="1"/>
  <c r="D182" i="4" s="1"/>
  <c r="E180" i="4" a="1"/>
  <c r="E180" i="4" s="1"/>
  <c r="D682" i="4" l="1" a="1"/>
  <c r="D682" i="4" s="1"/>
  <c r="E681" i="4" a="1"/>
  <c r="E681" i="4" s="1"/>
  <c r="E931" i="4" a="1"/>
  <c r="E931" i="4" s="1"/>
  <c r="D932" i="4" a="1"/>
  <c r="D932" i="4" s="1"/>
  <c r="E431" i="4" a="1"/>
  <c r="E431" i="4" s="1"/>
  <c r="C432" i="4"/>
  <c r="D432" i="4" s="1" a="1"/>
  <c r="D432" i="4" s="1"/>
  <c r="C183" i="4"/>
  <c r="D183" i="4" s="1" a="1"/>
  <c r="D183" i="4" s="1"/>
  <c r="E181" i="4" a="1"/>
  <c r="E181" i="4" s="1"/>
  <c r="D683" i="4" l="1" a="1"/>
  <c r="D683" i="4" s="1"/>
  <c r="E682" i="4" a="1"/>
  <c r="E682" i="4" s="1"/>
  <c r="E932" i="4" a="1"/>
  <c r="E932" i="4" s="1"/>
  <c r="D933" i="4" a="1"/>
  <c r="D933" i="4" s="1"/>
  <c r="E432" i="4" a="1"/>
  <c r="E432" i="4" s="1"/>
  <c r="C433" i="4"/>
  <c r="D433" i="4" s="1" a="1"/>
  <c r="D433" i="4" s="1"/>
  <c r="C184" i="4"/>
  <c r="D184" i="4" s="1" a="1"/>
  <c r="D184" i="4" s="1"/>
  <c r="E182" i="4" a="1"/>
  <c r="E182" i="4" s="1"/>
  <c r="D684" i="4" l="1" a="1"/>
  <c r="D684" i="4" s="1"/>
  <c r="E683" i="4" a="1"/>
  <c r="E683" i="4" s="1"/>
  <c r="E933" i="4" a="1"/>
  <c r="E933" i="4" s="1"/>
  <c r="D934" i="4" a="1"/>
  <c r="D934" i="4" s="1"/>
  <c r="E433" i="4" a="1"/>
  <c r="E433" i="4" s="1"/>
  <c r="C434" i="4"/>
  <c r="D434" i="4" s="1" a="1"/>
  <c r="D434" i="4" s="1"/>
  <c r="C185" i="4"/>
  <c r="D185" i="4" s="1" a="1"/>
  <c r="D185" i="4" s="1"/>
  <c r="E183" i="4" a="1"/>
  <c r="E183" i="4" s="1"/>
  <c r="D685" i="4" l="1" a="1"/>
  <c r="D685" i="4" s="1"/>
  <c r="E684" i="4" a="1"/>
  <c r="E684" i="4" s="1"/>
  <c r="E934" i="4" a="1"/>
  <c r="E934" i="4" s="1"/>
  <c r="D935" i="4" a="1"/>
  <c r="D935" i="4" s="1"/>
  <c r="E434" i="4" a="1"/>
  <c r="E434" i="4" s="1"/>
  <c r="C435" i="4"/>
  <c r="D435" i="4" s="1" a="1"/>
  <c r="D435" i="4" s="1"/>
  <c r="C186" i="4"/>
  <c r="D186" i="4" s="1" a="1"/>
  <c r="D186" i="4" s="1"/>
  <c r="E184" i="4" a="1"/>
  <c r="E184" i="4" s="1"/>
  <c r="D686" i="4" l="1" a="1"/>
  <c r="D686" i="4" s="1"/>
  <c r="E685" i="4" a="1"/>
  <c r="E685" i="4" s="1"/>
  <c r="E935" i="4" a="1"/>
  <c r="E935" i="4" s="1"/>
  <c r="D936" i="4" a="1"/>
  <c r="D936" i="4" s="1"/>
  <c r="E435" i="4" a="1"/>
  <c r="E435" i="4" s="1"/>
  <c r="C436" i="4"/>
  <c r="D436" i="4" s="1" a="1"/>
  <c r="D436" i="4" s="1"/>
  <c r="C187" i="4"/>
  <c r="D187" i="4" s="1" a="1"/>
  <c r="D187" i="4" s="1"/>
  <c r="E185" i="4" a="1"/>
  <c r="E185" i="4" s="1"/>
  <c r="D687" i="4" l="1" a="1"/>
  <c r="D687" i="4" s="1"/>
  <c r="E686" i="4" a="1"/>
  <c r="E686" i="4" s="1"/>
  <c r="E936" i="4" a="1"/>
  <c r="E936" i="4" s="1"/>
  <c r="D937" i="4" a="1"/>
  <c r="D937" i="4" s="1"/>
  <c r="E436" i="4" a="1"/>
  <c r="E436" i="4" s="1"/>
  <c r="C437" i="4"/>
  <c r="D437" i="4" s="1" a="1"/>
  <c r="D437" i="4" s="1"/>
  <c r="C188" i="4"/>
  <c r="D188" i="4" s="1" a="1"/>
  <c r="D188" i="4" s="1"/>
  <c r="E186" i="4" a="1"/>
  <c r="E186" i="4" s="1"/>
  <c r="D688" i="4" l="1" a="1"/>
  <c r="D688" i="4" s="1"/>
  <c r="E687" i="4" a="1"/>
  <c r="E687" i="4" s="1"/>
  <c r="E937" i="4" a="1"/>
  <c r="E937" i="4" s="1"/>
  <c r="D938" i="4" a="1"/>
  <c r="D938" i="4" s="1"/>
  <c r="E437" i="4" a="1"/>
  <c r="E437" i="4" s="1"/>
  <c r="C438" i="4"/>
  <c r="D438" i="4" s="1" a="1"/>
  <c r="D438" i="4" s="1"/>
  <c r="C189" i="4"/>
  <c r="D189" i="4" s="1" a="1"/>
  <c r="D189" i="4" s="1"/>
  <c r="E187" i="4" a="1"/>
  <c r="E187" i="4" s="1"/>
  <c r="D689" i="4" l="1" a="1"/>
  <c r="D689" i="4" s="1"/>
  <c r="E688" i="4" a="1"/>
  <c r="E688" i="4" s="1"/>
  <c r="E938" i="4" a="1"/>
  <c r="E938" i="4" s="1"/>
  <c r="D939" i="4" a="1"/>
  <c r="D939" i="4" s="1"/>
  <c r="E438" i="4" a="1"/>
  <c r="E438" i="4" s="1"/>
  <c r="C439" i="4"/>
  <c r="D439" i="4" s="1" a="1"/>
  <c r="D439" i="4" s="1"/>
  <c r="C190" i="4"/>
  <c r="D190" i="4" s="1" a="1"/>
  <c r="D190" i="4" s="1"/>
  <c r="E188" i="4" a="1"/>
  <c r="E188" i="4" s="1"/>
  <c r="D690" i="4" l="1" a="1"/>
  <c r="D690" i="4" s="1"/>
  <c r="E689" i="4" a="1"/>
  <c r="E689" i="4" s="1"/>
  <c r="E939" i="4" a="1"/>
  <c r="E939" i="4" s="1"/>
  <c r="D940" i="4" a="1"/>
  <c r="D940" i="4" s="1"/>
  <c r="E439" i="4" a="1"/>
  <c r="E439" i="4" s="1"/>
  <c r="C440" i="4"/>
  <c r="D440" i="4" s="1" a="1"/>
  <c r="D440" i="4" s="1"/>
  <c r="C191" i="4"/>
  <c r="D191" i="4" s="1" a="1"/>
  <c r="D191" i="4" s="1"/>
  <c r="E189" i="4" a="1"/>
  <c r="E189" i="4" s="1"/>
  <c r="D691" i="4" l="1" a="1"/>
  <c r="D691" i="4" s="1"/>
  <c r="E690" i="4" a="1"/>
  <c r="E690" i="4" s="1"/>
  <c r="E940" i="4" a="1"/>
  <c r="E940" i="4" s="1"/>
  <c r="D941" i="4" a="1"/>
  <c r="D941" i="4" s="1"/>
  <c r="E440" i="4" a="1"/>
  <c r="E440" i="4" s="1"/>
  <c r="C441" i="4"/>
  <c r="D441" i="4" s="1" a="1"/>
  <c r="D441" i="4" s="1"/>
  <c r="C192" i="4"/>
  <c r="D192" i="4" s="1" a="1"/>
  <c r="D192" i="4" s="1"/>
  <c r="E190" i="4" a="1"/>
  <c r="E190" i="4" s="1"/>
  <c r="D692" i="4" l="1" a="1"/>
  <c r="D692" i="4" s="1"/>
  <c r="E691" i="4" a="1"/>
  <c r="E691" i="4" s="1"/>
  <c r="E941" i="4" a="1"/>
  <c r="E941" i="4" s="1"/>
  <c r="D942" i="4" a="1"/>
  <c r="D942" i="4" s="1"/>
  <c r="E441" i="4" a="1"/>
  <c r="E441" i="4" s="1"/>
  <c r="C442" i="4"/>
  <c r="D442" i="4" s="1" a="1"/>
  <c r="D442" i="4" s="1"/>
  <c r="C193" i="4"/>
  <c r="D193" i="4" s="1" a="1"/>
  <c r="D193" i="4" s="1"/>
  <c r="E191" i="4" a="1"/>
  <c r="E191" i="4" s="1"/>
  <c r="E692" i="4" l="1" a="1"/>
  <c r="E692" i="4" s="1"/>
  <c r="D693" i="4" a="1"/>
  <c r="D693" i="4" s="1"/>
  <c r="E942" i="4" a="1"/>
  <c r="E942" i="4" s="1"/>
  <c r="D943" i="4" a="1"/>
  <c r="D943" i="4" s="1"/>
  <c r="E442" i="4" a="1"/>
  <c r="E442" i="4" s="1"/>
  <c r="C443" i="4"/>
  <c r="D443" i="4" s="1" a="1"/>
  <c r="D443" i="4" s="1"/>
  <c r="C194" i="4"/>
  <c r="D194" i="4" s="1" a="1"/>
  <c r="D194" i="4" s="1"/>
  <c r="E192" i="4" a="1"/>
  <c r="E192" i="4" s="1"/>
  <c r="D694" i="4" l="1" a="1"/>
  <c r="D694" i="4" s="1"/>
  <c r="E693" i="4" a="1"/>
  <c r="E693" i="4" s="1"/>
  <c r="E943" i="4" a="1"/>
  <c r="E943" i="4" s="1"/>
  <c r="D944" i="4" a="1"/>
  <c r="D944" i="4" s="1"/>
  <c r="E443" i="4" a="1"/>
  <c r="E443" i="4" s="1"/>
  <c r="C444" i="4"/>
  <c r="D444" i="4" s="1" a="1"/>
  <c r="D444" i="4" s="1"/>
  <c r="C195" i="4"/>
  <c r="D195" i="4" s="1" a="1"/>
  <c r="D195" i="4" s="1"/>
  <c r="E193" i="4" a="1"/>
  <c r="E193" i="4" s="1"/>
  <c r="D695" i="4" l="1" a="1"/>
  <c r="D695" i="4" s="1"/>
  <c r="E694" i="4" a="1"/>
  <c r="E694" i="4" s="1"/>
  <c r="E944" i="4" a="1"/>
  <c r="E944" i="4" s="1"/>
  <c r="D945" i="4" a="1"/>
  <c r="D945" i="4" s="1"/>
  <c r="E444" i="4" a="1"/>
  <c r="E444" i="4" s="1"/>
  <c r="C445" i="4"/>
  <c r="D445" i="4" s="1" a="1"/>
  <c r="D445" i="4" s="1"/>
  <c r="C196" i="4"/>
  <c r="D196" i="4" s="1" a="1"/>
  <c r="D196" i="4" s="1"/>
  <c r="E194" i="4" a="1"/>
  <c r="E194" i="4" s="1"/>
  <c r="D696" i="4" l="1" a="1"/>
  <c r="D696" i="4" s="1"/>
  <c r="E695" i="4" a="1"/>
  <c r="E695" i="4" s="1"/>
  <c r="E945" i="4" a="1"/>
  <c r="E945" i="4" s="1"/>
  <c r="D946" i="4" a="1"/>
  <c r="D946" i="4" s="1"/>
  <c r="E445" i="4" a="1"/>
  <c r="E445" i="4" s="1"/>
  <c r="C446" i="4"/>
  <c r="D446" i="4" s="1" a="1"/>
  <c r="D446" i="4" s="1"/>
  <c r="C197" i="4"/>
  <c r="D197" i="4" s="1" a="1"/>
  <c r="D197" i="4" s="1"/>
  <c r="E195" i="4" a="1"/>
  <c r="E195" i="4" s="1"/>
  <c r="D697" i="4" l="1" a="1"/>
  <c r="D697" i="4" s="1"/>
  <c r="E696" i="4" a="1"/>
  <c r="E696" i="4" s="1"/>
  <c r="E946" i="4" a="1"/>
  <c r="E946" i="4" s="1"/>
  <c r="D947" i="4" a="1"/>
  <c r="D947" i="4" s="1"/>
  <c r="E446" i="4" a="1"/>
  <c r="E446" i="4" s="1"/>
  <c r="C447" i="4"/>
  <c r="D447" i="4" s="1" a="1"/>
  <c r="D447" i="4" s="1"/>
  <c r="C198" i="4"/>
  <c r="D198" i="4" s="1" a="1"/>
  <c r="D198" i="4" s="1"/>
  <c r="E196" i="4" a="1"/>
  <c r="E196" i="4" s="1"/>
  <c r="D698" i="4" l="1" a="1"/>
  <c r="D698" i="4" s="1"/>
  <c r="E697" i="4" a="1"/>
  <c r="E697" i="4" s="1"/>
  <c r="E947" i="4" a="1"/>
  <c r="E947" i="4" s="1"/>
  <c r="D948" i="4" a="1"/>
  <c r="D948" i="4" s="1"/>
  <c r="E447" i="4" a="1"/>
  <c r="E447" i="4" s="1"/>
  <c r="C448" i="4"/>
  <c r="D448" i="4" s="1" a="1"/>
  <c r="D448" i="4" s="1"/>
  <c r="C199" i="4"/>
  <c r="D199" i="4" s="1" a="1"/>
  <c r="D199" i="4" s="1"/>
  <c r="E197" i="4" a="1"/>
  <c r="E197" i="4" s="1"/>
  <c r="D699" i="4" l="1" a="1"/>
  <c r="D699" i="4" s="1"/>
  <c r="E698" i="4" a="1"/>
  <c r="E698" i="4" s="1"/>
  <c r="E948" i="4" a="1"/>
  <c r="E948" i="4" s="1"/>
  <c r="D949" i="4" a="1"/>
  <c r="D949" i="4" s="1"/>
  <c r="E448" i="4" a="1"/>
  <c r="E448" i="4" s="1"/>
  <c r="C449" i="4"/>
  <c r="D449" i="4" s="1" a="1"/>
  <c r="D449" i="4" s="1"/>
  <c r="C200" i="4"/>
  <c r="D200" i="4" s="1" a="1"/>
  <c r="D200" i="4" s="1"/>
  <c r="E198" i="4" a="1"/>
  <c r="E198" i="4" s="1"/>
  <c r="D700" i="4" l="1" a="1"/>
  <c r="D700" i="4" s="1"/>
  <c r="E699" i="4" a="1"/>
  <c r="E699" i="4" s="1"/>
  <c r="E949" i="4" a="1"/>
  <c r="E949" i="4" s="1"/>
  <c r="D950" i="4" a="1"/>
  <c r="D950" i="4" s="1"/>
  <c r="E449" i="4" a="1"/>
  <c r="E449" i="4" s="1"/>
  <c r="C450" i="4"/>
  <c r="D450" i="4" s="1" a="1"/>
  <c r="D450" i="4" s="1"/>
  <c r="C201" i="4"/>
  <c r="D201" i="4" s="1" a="1"/>
  <c r="D201" i="4" s="1"/>
  <c r="E199" i="4" a="1"/>
  <c r="E199" i="4" s="1"/>
  <c r="D701" i="4" l="1" a="1"/>
  <c r="D701" i="4" s="1"/>
  <c r="E700" i="4" a="1"/>
  <c r="E700" i="4" s="1"/>
  <c r="E950" i="4" a="1"/>
  <c r="E950" i="4" s="1"/>
  <c r="D951" i="4" a="1"/>
  <c r="D951" i="4" s="1"/>
  <c r="E450" i="4" a="1"/>
  <c r="E450" i="4" s="1"/>
  <c r="C451" i="4"/>
  <c r="D451" i="4" s="1" a="1"/>
  <c r="D451" i="4" s="1"/>
  <c r="C202" i="4"/>
  <c r="D202" i="4" s="1" a="1"/>
  <c r="D202" i="4" s="1"/>
  <c r="E200" i="4" a="1"/>
  <c r="E200" i="4" s="1"/>
  <c r="D702" i="4" l="1" a="1"/>
  <c r="D702" i="4" s="1"/>
  <c r="E701" i="4" a="1"/>
  <c r="E701" i="4" s="1"/>
  <c r="E951" i="4" a="1"/>
  <c r="E951" i="4" s="1"/>
  <c r="D952" i="4" a="1"/>
  <c r="D952" i="4" s="1"/>
  <c r="E451" i="4" a="1"/>
  <c r="E451" i="4" s="1"/>
  <c r="C452" i="4"/>
  <c r="D452" i="4" s="1" a="1"/>
  <c r="D452" i="4" s="1"/>
  <c r="C203" i="4"/>
  <c r="D203" i="4" s="1" a="1"/>
  <c r="D203" i="4" s="1"/>
  <c r="E201" i="4" a="1"/>
  <c r="E201" i="4" s="1"/>
  <c r="D703" i="4" l="1" a="1"/>
  <c r="D703" i="4" s="1"/>
  <c r="E702" i="4" a="1"/>
  <c r="E702" i="4" s="1"/>
  <c r="E952" i="4" a="1"/>
  <c r="E952" i="4" s="1"/>
  <c r="D953" i="4" a="1"/>
  <c r="D953" i="4" s="1"/>
  <c r="E452" i="4" a="1"/>
  <c r="E452" i="4" s="1"/>
  <c r="C453" i="4"/>
  <c r="D453" i="4" s="1" a="1"/>
  <c r="D453" i="4" s="1"/>
  <c r="C204" i="4"/>
  <c r="D204" i="4" s="1" a="1"/>
  <c r="D204" i="4" s="1"/>
  <c r="E202" i="4" a="1"/>
  <c r="E202" i="4" s="1"/>
  <c r="D704" i="4" l="1" a="1"/>
  <c r="D704" i="4" s="1"/>
  <c r="E703" i="4" a="1"/>
  <c r="E703" i="4" s="1"/>
  <c r="E953" i="4" a="1"/>
  <c r="E953" i="4" s="1"/>
  <c r="D954" i="4" a="1"/>
  <c r="D954" i="4" s="1"/>
  <c r="E453" i="4" a="1"/>
  <c r="E453" i="4" s="1"/>
  <c r="C454" i="4"/>
  <c r="D454" i="4" s="1" a="1"/>
  <c r="D454" i="4" s="1"/>
  <c r="C205" i="4"/>
  <c r="D205" i="4" s="1" a="1"/>
  <c r="D205" i="4" s="1"/>
  <c r="E203" i="4" a="1"/>
  <c r="E203" i="4" s="1"/>
  <c r="D705" i="4" l="1" a="1"/>
  <c r="D705" i="4" s="1"/>
  <c r="E704" i="4" a="1"/>
  <c r="E704" i="4" s="1"/>
  <c r="E954" i="4" a="1"/>
  <c r="E954" i="4" s="1"/>
  <c r="D955" i="4" a="1"/>
  <c r="D955" i="4" s="1"/>
  <c r="E454" i="4" a="1"/>
  <c r="E454" i="4" s="1"/>
  <c r="C455" i="4"/>
  <c r="D455" i="4" s="1" a="1"/>
  <c r="D455" i="4" s="1"/>
  <c r="C206" i="4"/>
  <c r="D206" i="4" s="1" a="1"/>
  <c r="D206" i="4" s="1"/>
  <c r="E204" i="4" a="1"/>
  <c r="E204" i="4" s="1"/>
  <c r="D706" i="4" l="1" a="1"/>
  <c r="D706" i="4" s="1"/>
  <c r="E705" i="4" a="1"/>
  <c r="E705" i="4" s="1"/>
  <c r="E955" i="4" a="1"/>
  <c r="E955" i="4" s="1"/>
  <c r="D956" i="4" a="1"/>
  <c r="D956" i="4" s="1"/>
  <c r="E455" i="4" a="1"/>
  <c r="E455" i="4" s="1"/>
  <c r="C456" i="4"/>
  <c r="D456" i="4" s="1" a="1"/>
  <c r="D456" i="4" s="1"/>
  <c r="C207" i="4"/>
  <c r="D207" i="4" s="1" a="1"/>
  <c r="D207" i="4" s="1"/>
  <c r="E205" i="4" a="1"/>
  <c r="E205" i="4" s="1"/>
  <c r="D707" i="4" l="1" a="1"/>
  <c r="D707" i="4" s="1"/>
  <c r="E706" i="4" a="1"/>
  <c r="E706" i="4" s="1"/>
  <c r="E956" i="4" a="1"/>
  <c r="E956" i="4" s="1"/>
  <c r="D957" i="4" a="1"/>
  <c r="D957" i="4" s="1"/>
  <c r="E456" i="4" a="1"/>
  <c r="E456" i="4" s="1"/>
  <c r="C457" i="4"/>
  <c r="D457" i="4" s="1" a="1"/>
  <c r="D457" i="4" s="1"/>
  <c r="C208" i="4"/>
  <c r="D208" i="4" s="1" a="1"/>
  <c r="D208" i="4" s="1"/>
  <c r="E206" i="4" a="1"/>
  <c r="E206" i="4" s="1"/>
  <c r="D708" i="4" l="1" a="1"/>
  <c r="D708" i="4" s="1"/>
  <c r="E707" i="4" a="1"/>
  <c r="E707" i="4" s="1"/>
  <c r="E957" i="4" a="1"/>
  <c r="E957" i="4" s="1"/>
  <c r="D958" i="4" a="1"/>
  <c r="D958" i="4" s="1"/>
  <c r="E457" i="4" a="1"/>
  <c r="E457" i="4" s="1"/>
  <c r="C458" i="4"/>
  <c r="D458" i="4" s="1" a="1"/>
  <c r="D458" i="4" s="1"/>
  <c r="C209" i="4"/>
  <c r="D209" i="4" s="1" a="1"/>
  <c r="D209" i="4" s="1"/>
  <c r="E207" i="4" a="1"/>
  <c r="E207" i="4" s="1"/>
  <c r="E708" i="4" l="1" a="1"/>
  <c r="E708" i="4" s="1"/>
  <c r="D709" i="4" a="1"/>
  <c r="D709" i="4" s="1"/>
  <c r="E958" i="4" a="1"/>
  <c r="E958" i="4" s="1"/>
  <c r="D959" i="4" a="1"/>
  <c r="D959" i="4" s="1"/>
  <c r="E458" i="4" a="1"/>
  <c r="E458" i="4" s="1"/>
  <c r="C459" i="4"/>
  <c r="D459" i="4" s="1" a="1"/>
  <c r="D459" i="4" s="1"/>
  <c r="C210" i="4"/>
  <c r="D210" i="4" s="1" a="1"/>
  <c r="D210" i="4" s="1"/>
  <c r="E208" i="4" a="1"/>
  <c r="E208" i="4" s="1"/>
  <c r="D710" i="4" l="1" a="1"/>
  <c r="D710" i="4" s="1"/>
  <c r="E709" i="4" a="1"/>
  <c r="E709" i="4" s="1"/>
  <c r="E959" i="4" a="1"/>
  <c r="E959" i="4" s="1"/>
  <c r="D960" i="4" a="1"/>
  <c r="D960" i="4" s="1"/>
  <c r="E459" i="4" a="1"/>
  <c r="E459" i="4" s="1"/>
  <c r="C460" i="4"/>
  <c r="D460" i="4" s="1" a="1"/>
  <c r="D460" i="4" s="1"/>
  <c r="C211" i="4"/>
  <c r="D211" i="4" s="1" a="1"/>
  <c r="D211" i="4" s="1"/>
  <c r="E209" i="4" a="1"/>
  <c r="E209" i="4" s="1"/>
  <c r="D711" i="4" l="1" a="1"/>
  <c r="D711" i="4" s="1"/>
  <c r="E710" i="4" a="1"/>
  <c r="E710" i="4" s="1"/>
  <c r="E960" i="4" a="1"/>
  <c r="E960" i="4" s="1"/>
  <c r="D961" i="4" a="1"/>
  <c r="D961" i="4" s="1"/>
  <c r="E460" i="4" a="1"/>
  <c r="E460" i="4" s="1"/>
  <c r="C461" i="4"/>
  <c r="D461" i="4" s="1" a="1"/>
  <c r="D461" i="4" s="1"/>
  <c r="C212" i="4"/>
  <c r="D212" i="4" s="1" a="1"/>
  <c r="D212" i="4" s="1"/>
  <c r="E210" i="4" a="1"/>
  <c r="E210" i="4" s="1"/>
  <c r="D712" i="4" l="1" a="1"/>
  <c r="D712" i="4" s="1"/>
  <c r="E711" i="4" a="1"/>
  <c r="E711" i="4" s="1"/>
  <c r="E961" i="4" a="1"/>
  <c r="E961" i="4" s="1"/>
  <c r="D962" i="4" a="1"/>
  <c r="D962" i="4" s="1"/>
  <c r="E461" i="4" a="1"/>
  <c r="E461" i="4" s="1"/>
  <c r="C462" i="4"/>
  <c r="D462" i="4" s="1" a="1"/>
  <c r="D462" i="4" s="1"/>
  <c r="C213" i="4"/>
  <c r="D213" i="4" s="1" a="1"/>
  <c r="D213" i="4" s="1"/>
  <c r="E211" i="4" a="1"/>
  <c r="E211" i="4" s="1"/>
  <c r="D713" i="4" l="1" a="1"/>
  <c r="D713" i="4" s="1"/>
  <c r="E712" i="4" a="1"/>
  <c r="E712" i="4" s="1"/>
  <c r="E962" i="4" a="1"/>
  <c r="E962" i="4" s="1"/>
  <c r="D963" i="4" a="1"/>
  <c r="D963" i="4" s="1"/>
  <c r="E462" i="4" a="1"/>
  <c r="E462" i="4" s="1"/>
  <c r="C463" i="4"/>
  <c r="D463" i="4" s="1" a="1"/>
  <c r="D463" i="4" s="1"/>
  <c r="C214" i="4"/>
  <c r="D214" i="4" s="1" a="1"/>
  <c r="D214" i="4" s="1"/>
  <c r="E212" i="4" a="1"/>
  <c r="E212" i="4" s="1"/>
  <c r="D714" i="4" l="1" a="1"/>
  <c r="D714" i="4" s="1"/>
  <c r="E713" i="4" a="1"/>
  <c r="E713" i="4" s="1"/>
  <c r="E963" i="4" a="1"/>
  <c r="E963" i="4" s="1"/>
  <c r="D964" i="4" a="1"/>
  <c r="D964" i="4" s="1"/>
  <c r="E463" i="4" a="1"/>
  <c r="E463" i="4" s="1"/>
  <c r="C464" i="4"/>
  <c r="D464" i="4" s="1" a="1"/>
  <c r="D464" i="4" s="1"/>
  <c r="C215" i="4"/>
  <c r="D215" i="4" s="1" a="1"/>
  <c r="D215" i="4" s="1"/>
  <c r="E213" i="4" a="1"/>
  <c r="E213" i="4" s="1"/>
  <c r="D715" i="4" l="1" a="1"/>
  <c r="D715" i="4" s="1"/>
  <c r="E714" i="4" a="1"/>
  <c r="E714" i="4" s="1"/>
  <c r="E964" i="4" a="1"/>
  <c r="E964" i="4" s="1"/>
  <c r="D965" i="4" a="1"/>
  <c r="D965" i="4" s="1"/>
  <c r="E464" i="4" a="1"/>
  <c r="E464" i="4" s="1"/>
  <c r="C465" i="4"/>
  <c r="D465" i="4" s="1" a="1"/>
  <c r="D465" i="4" s="1"/>
  <c r="C216" i="4"/>
  <c r="D216" i="4" s="1" a="1"/>
  <c r="D216" i="4" s="1"/>
  <c r="E214" i="4" a="1"/>
  <c r="E214" i="4" s="1"/>
  <c r="E715" i="4" l="1" a="1"/>
  <c r="E715" i="4" s="1"/>
  <c r="D716" i="4" a="1"/>
  <c r="D716" i="4" s="1"/>
  <c r="E965" i="4" a="1"/>
  <c r="E965" i="4" s="1"/>
  <c r="D966" i="4" a="1"/>
  <c r="D966" i="4" s="1"/>
  <c r="E465" i="4" a="1"/>
  <c r="E465" i="4" s="1"/>
  <c r="C466" i="4"/>
  <c r="D466" i="4" s="1" a="1"/>
  <c r="D466" i="4" s="1"/>
  <c r="C217" i="4"/>
  <c r="D217" i="4" s="1" a="1"/>
  <c r="D217" i="4" s="1"/>
  <c r="E215" i="4" a="1"/>
  <c r="E215" i="4" s="1"/>
  <c r="D717" i="4" l="1" a="1"/>
  <c r="D717" i="4" s="1"/>
  <c r="E716" i="4" a="1"/>
  <c r="E716" i="4" s="1"/>
  <c r="E966" i="4" a="1"/>
  <c r="E966" i="4" s="1"/>
  <c r="D967" i="4" a="1"/>
  <c r="D967" i="4" s="1"/>
  <c r="E466" i="4" a="1"/>
  <c r="E466" i="4" s="1"/>
  <c r="C467" i="4"/>
  <c r="D467" i="4" s="1" a="1"/>
  <c r="D467" i="4" s="1"/>
  <c r="C218" i="4"/>
  <c r="D218" i="4" s="1" a="1"/>
  <c r="D218" i="4" s="1"/>
  <c r="E216" i="4" a="1"/>
  <c r="E216" i="4" s="1"/>
  <c r="D718" i="4" l="1" a="1"/>
  <c r="D718" i="4" s="1"/>
  <c r="E717" i="4" a="1"/>
  <c r="E717" i="4" s="1"/>
  <c r="E967" i="4" a="1"/>
  <c r="E967" i="4" s="1"/>
  <c r="D968" i="4" a="1"/>
  <c r="D968" i="4" s="1"/>
  <c r="E467" i="4" a="1"/>
  <c r="E467" i="4" s="1"/>
  <c r="C468" i="4"/>
  <c r="D468" i="4" s="1" a="1"/>
  <c r="D468" i="4" s="1"/>
  <c r="C219" i="4"/>
  <c r="D219" i="4" s="1" a="1"/>
  <c r="D219" i="4" s="1"/>
  <c r="E217" i="4" a="1"/>
  <c r="E217" i="4" s="1"/>
  <c r="D719" i="4" l="1" a="1"/>
  <c r="D719" i="4" s="1"/>
  <c r="E718" i="4" a="1"/>
  <c r="E718" i="4" s="1"/>
  <c r="E968" i="4" a="1"/>
  <c r="E968" i="4" s="1"/>
  <c r="D969" i="4" a="1"/>
  <c r="D969" i="4" s="1"/>
  <c r="E468" i="4" a="1"/>
  <c r="E468" i="4" s="1"/>
  <c r="C469" i="4"/>
  <c r="D469" i="4" s="1" a="1"/>
  <c r="D469" i="4" s="1"/>
  <c r="C220" i="4"/>
  <c r="D220" i="4" s="1" a="1"/>
  <c r="D220" i="4" s="1"/>
  <c r="E218" i="4" a="1"/>
  <c r="E218" i="4" s="1"/>
  <c r="D720" i="4" l="1" a="1"/>
  <c r="D720" i="4" s="1"/>
  <c r="E719" i="4" a="1"/>
  <c r="E719" i="4" s="1"/>
  <c r="E969" i="4" a="1"/>
  <c r="E969" i="4" s="1"/>
  <c r="D970" i="4" a="1"/>
  <c r="D970" i="4" s="1"/>
  <c r="E469" i="4" a="1"/>
  <c r="E469" i="4" s="1"/>
  <c r="C470" i="4"/>
  <c r="D470" i="4" s="1" a="1"/>
  <c r="D470" i="4" s="1"/>
  <c r="C221" i="4"/>
  <c r="D221" i="4" s="1" a="1"/>
  <c r="D221" i="4" s="1"/>
  <c r="E219" i="4" a="1"/>
  <c r="E219" i="4" s="1"/>
  <c r="E720" i="4" l="1" a="1"/>
  <c r="E720" i="4" s="1"/>
  <c r="D721" i="4" a="1"/>
  <c r="D721" i="4" s="1"/>
  <c r="E970" i="4" a="1"/>
  <c r="E970" i="4" s="1"/>
  <c r="D971" i="4" a="1"/>
  <c r="D971" i="4" s="1"/>
  <c r="E470" i="4" a="1"/>
  <c r="E470" i="4" s="1"/>
  <c r="C471" i="4"/>
  <c r="D471" i="4" s="1" a="1"/>
  <c r="D471" i="4" s="1"/>
  <c r="C222" i="4"/>
  <c r="D222" i="4" s="1" a="1"/>
  <c r="D222" i="4" s="1"/>
  <c r="E220" i="4" a="1"/>
  <c r="E220" i="4" s="1"/>
  <c r="D722" i="4" l="1" a="1"/>
  <c r="D722" i="4" s="1"/>
  <c r="E721" i="4" a="1"/>
  <c r="E721" i="4" s="1"/>
  <c r="E971" i="4" a="1"/>
  <c r="E971" i="4" s="1"/>
  <c r="D972" i="4" a="1"/>
  <c r="D972" i="4" s="1"/>
  <c r="E471" i="4" a="1"/>
  <c r="E471" i="4" s="1"/>
  <c r="C472" i="4"/>
  <c r="D472" i="4" s="1" a="1"/>
  <c r="D472" i="4" s="1"/>
  <c r="C223" i="4"/>
  <c r="D223" i="4" s="1" a="1"/>
  <c r="D223" i="4" s="1"/>
  <c r="E221" i="4" a="1"/>
  <c r="E221" i="4" s="1"/>
  <c r="D723" i="4" l="1" a="1"/>
  <c r="D723" i="4" s="1"/>
  <c r="E722" i="4" a="1"/>
  <c r="E722" i="4" s="1"/>
  <c r="E972" i="4" a="1"/>
  <c r="E972" i="4" s="1"/>
  <c r="D973" i="4" a="1"/>
  <c r="D973" i="4" s="1"/>
  <c r="E472" i="4" a="1"/>
  <c r="E472" i="4" s="1"/>
  <c r="C473" i="4"/>
  <c r="D473" i="4" s="1" a="1"/>
  <c r="D473" i="4" s="1"/>
  <c r="C224" i="4"/>
  <c r="D224" i="4" s="1" a="1"/>
  <c r="D224" i="4" s="1"/>
  <c r="E222" i="4" a="1"/>
  <c r="E222" i="4" s="1"/>
  <c r="D724" i="4" l="1" a="1"/>
  <c r="D724" i="4" s="1"/>
  <c r="E723" i="4" a="1"/>
  <c r="E723" i="4" s="1"/>
  <c r="E973" i="4" a="1"/>
  <c r="E973" i="4" s="1"/>
  <c r="D974" i="4" a="1"/>
  <c r="D974" i="4" s="1"/>
  <c r="E473" i="4" a="1"/>
  <c r="E473" i="4" s="1"/>
  <c r="C474" i="4"/>
  <c r="D474" i="4" s="1" a="1"/>
  <c r="D474" i="4" s="1"/>
  <c r="C225" i="4"/>
  <c r="D225" i="4" s="1" a="1"/>
  <c r="D225" i="4" s="1"/>
  <c r="E223" i="4" a="1"/>
  <c r="E223" i="4" s="1"/>
  <c r="E724" i="4" l="1" a="1"/>
  <c r="E724" i="4" s="1"/>
  <c r="D725" i="4" a="1"/>
  <c r="D725" i="4" s="1"/>
  <c r="E974" i="4" a="1"/>
  <c r="E974" i="4" s="1"/>
  <c r="D975" i="4" a="1"/>
  <c r="D975" i="4" s="1"/>
  <c r="E474" i="4" a="1"/>
  <c r="E474" i="4" s="1"/>
  <c r="C475" i="4"/>
  <c r="D475" i="4" s="1" a="1"/>
  <c r="D475" i="4" s="1"/>
  <c r="C226" i="4"/>
  <c r="D226" i="4" s="1" a="1"/>
  <c r="D226" i="4" s="1"/>
  <c r="E224" i="4" a="1"/>
  <c r="E224" i="4" s="1"/>
  <c r="D726" i="4" l="1" a="1"/>
  <c r="D726" i="4" s="1"/>
  <c r="E725" i="4" a="1"/>
  <c r="E725" i="4" s="1"/>
  <c r="E975" i="4" a="1"/>
  <c r="E975" i="4" s="1"/>
  <c r="D976" i="4" a="1"/>
  <c r="D976" i="4" s="1"/>
  <c r="E475" i="4" a="1"/>
  <c r="E475" i="4" s="1"/>
  <c r="C476" i="4"/>
  <c r="D476" i="4" s="1" a="1"/>
  <c r="D476" i="4" s="1"/>
  <c r="C227" i="4"/>
  <c r="D227" i="4" s="1" a="1"/>
  <c r="D227" i="4" s="1"/>
  <c r="E225" i="4" a="1"/>
  <c r="E225" i="4" s="1"/>
  <c r="D727" i="4" l="1" a="1"/>
  <c r="D727" i="4" s="1"/>
  <c r="E726" i="4" a="1"/>
  <c r="E726" i="4" s="1"/>
  <c r="E976" i="4" a="1"/>
  <c r="E976" i="4" s="1"/>
  <c r="D977" i="4" a="1"/>
  <c r="D977" i="4" s="1"/>
  <c r="E476" i="4" a="1"/>
  <c r="E476" i="4" s="1"/>
  <c r="C477" i="4"/>
  <c r="D477" i="4" s="1" a="1"/>
  <c r="D477" i="4" s="1"/>
  <c r="C228" i="4"/>
  <c r="D228" i="4" s="1" a="1"/>
  <c r="D228" i="4" s="1"/>
  <c r="E226" i="4" a="1"/>
  <c r="E226" i="4" s="1"/>
  <c r="D728" i="4" l="1" a="1"/>
  <c r="D728" i="4" s="1"/>
  <c r="E727" i="4" a="1"/>
  <c r="E727" i="4" s="1"/>
  <c r="E977" i="4" a="1"/>
  <c r="E977" i="4" s="1"/>
  <c r="D978" i="4" a="1"/>
  <c r="D978" i="4" s="1"/>
  <c r="E477" i="4" a="1"/>
  <c r="E477" i="4" s="1"/>
  <c r="C478" i="4"/>
  <c r="D478" i="4" s="1" a="1"/>
  <c r="D478" i="4" s="1"/>
  <c r="C229" i="4"/>
  <c r="D229" i="4" s="1" a="1"/>
  <c r="D229" i="4" s="1"/>
  <c r="E227" i="4" a="1"/>
  <c r="E227" i="4" s="1"/>
  <c r="E728" i="4" l="1" a="1"/>
  <c r="E728" i="4" s="1"/>
  <c r="D729" i="4" a="1"/>
  <c r="D729" i="4" s="1"/>
  <c r="E978" i="4" a="1"/>
  <c r="E978" i="4" s="1"/>
  <c r="D979" i="4" a="1"/>
  <c r="D979" i="4" s="1"/>
  <c r="E478" i="4" a="1"/>
  <c r="E478" i="4" s="1"/>
  <c r="C479" i="4"/>
  <c r="D479" i="4" s="1" a="1"/>
  <c r="D479" i="4" s="1"/>
  <c r="C230" i="4"/>
  <c r="D230" i="4" s="1" a="1"/>
  <c r="D230" i="4" s="1"/>
  <c r="E228" i="4" a="1"/>
  <c r="E228" i="4" s="1"/>
  <c r="E729" i="4" l="1" a="1"/>
  <c r="E729" i="4" s="1"/>
  <c r="D730" i="4" a="1"/>
  <c r="D730" i="4" s="1"/>
  <c r="E979" i="4" a="1"/>
  <c r="E979" i="4" s="1"/>
  <c r="D980" i="4" a="1"/>
  <c r="D980" i="4" s="1"/>
  <c r="E479" i="4" a="1"/>
  <c r="E479" i="4" s="1"/>
  <c r="C480" i="4"/>
  <c r="D480" i="4" s="1" a="1"/>
  <c r="D480" i="4" s="1"/>
  <c r="C231" i="4"/>
  <c r="D231" i="4" s="1" a="1"/>
  <c r="D231" i="4" s="1"/>
  <c r="E229" i="4" a="1"/>
  <c r="E229" i="4" s="1"/>
  <c r="D731" i="4" l="1" a="1"/>
  <c r="D731" i="4" s="1"/>
  <c r="E730" i="4" a="1"/>
  <c r="E730" i="4" s="1"/>
  <c r="E980" i="4" a="1"/>
  <c r="E980" i="4" s="1"/>
  <c r="D981" i="4" a="1"/>
  <c r="D981" i="4" s="1"/>
  <c r="E480" i="4" a="1"/>
  <c r="E480" i="4" s="1"/>
  <c r="C481" i="4"/>
  <c r="D481" i="4" s="1" a="1"/>
  <c r="D481" i="4" s="1"/>
  <c r="C232" i="4"/>
  <c r="D232" i="4" s="1" a="1"/>
  <c r="D232" i="4" s="1"/>
  <c r="E230" i="4" a="1"/>
  <c r="E230" i="4" s="1"/>
  <c r="D732" i="4" l="1" a="1"/>
  <c r="D732" i="4" s="1"/>
  <c r="E731" i="4" a="1"/>
  <c r="E731" i="4" s="1"/>
  <c r="E981" i="4" a="1"/>
  <c r="E981" i="4" s="1"/>
  <c r="D982" i="4" a="1"/>
  <c r="D982" i="4" s="1"/>
  <c r="E481" i="4" a="1"/>
  <c r="E481" i="4" s="1"/>
  <c r="C482" i="4"/>
  <c r="D482" i="4" s="1" a="1"/>
  <c r="D482" i="4" s="1"/>
  <c r="C233" i="4"/>
  <c r="D233" i="4" s="1" a="1"/>
  <c r="D233" i="4" s="1"/>
  <c r="E231" i="4" a="1"/>
  <c r="E231" i="4" s="1"/>
  <c r="E732" i="4" l="1" a="1"/>
  <c r="E732" i="4" s="1"/>
  <c r="D733" i="4" a="1"/>
  <c r="D733" i="4" s="1"/>
  <c r="E982" i="4" a="1"/>
  <c r="E982" i="4" s="1"/>
  <c r="D983" i="4" a="1"/>
  <c r="D983" i="4" s="1"/>
  <c r="E482" i="4" a="1"/>
  <c r="E482" i="4" s="1"/>
  <c r="C483" i="4"/>
  <c r="D483" i="4" s="1" a="1"/>
  <c r="D483" i="4" s="1"/>
  <c r="C234" i="4"/>
  <c r="D234" i="4" s="1" a="1"/>
  <c r="D234" i="4" s="1"/>
  <c r="E232" i="4" a="1"/>
  <c r="E232" i="4" s="1"/>
  <c r="E733" i="4" l="1" a="1"/>
  <c r="E733" i="4" s="1"/>
  <c r="D734" i="4" a="1"/>
  <c r="D734" i="4" s="1"/>
  <c r="E983" i="4" a="1"/>
  <c r="E983" i="4" s="1"/>
  <c r="D984" i="4" a="1"/>
  <c r="D984" i="4" s="1"/>
  <c r="E483" i="4" a="1"/>
  <c r="E483" i="4" s="1"/>
  <c r="C484" i="4"/>
  <c r="D484" i="4" s="1" a="1"/>
  <c r="D484" i="4" s="1"/>
  <c r="C235" i="4"/>
  <c r="D235" i="4" s="1" a="1"/>
  <c r="D235" i="4" s="1"/>
  <c r="E233" i="4" a="1"/>
  <c r="E233" i="4" s="1"/>
  <c r="D735" i="4" l="1" a="1"/>
  <c r="D735" i="4" s="1"/>
  <c r="E734" i="4" a="1"/>
  <c r="E734" i="4" s="1"/>
  <c r="E984" i="4" a="1"/>
  <c r="E984" i="4" s="1"/>
  <c r="D985" i="4" a="1"/>
  <c r="D985" i="4" s="1"/>
  <c r="E484" i="4" a="1"/>
  <c r="E484" i="4" s="1"/>
  <c r="C485" i="4"/>
  <c r="D485" i="4" s="1" a="1"/>
  <c r="D485" i="4" s="1"/>
  <c r="C236" i="4"/>
  <c r="D236" i="4" s="1" a="1"/>
  <c r="D236" i="4" s="1"/>
  <c r="E234" i="4" a="1"/>
  <c r="E234" i="4" s="1"/>
  <c r="D736" i="4" l="1" a="1"/>
  <c r="D736" i="4" s="1"/>
  <c r="E735" i="4" a="1"/>
  <c r="E735" i="4" s="1"/>
  <c r="E985" i="4" a="1"/>
  <c r="E985" i="4" s="1"/>
  <c r="D986" i="4" a="1"/>
  <c r="D986" i="4" s="1"/>
  <c r="E485" i="4" a="1"/>
  <c r="E485" i="4" s="1"/>
  <c r="C486" i="4"/>
  <c r="D486" i="4" s="1" a="1"/>
  <c r="D486" i="4" s="1"/>
  <c r="C237" i="4"/>
  <c r="D237" i="4" s="1" a="1"/>
  <c r="D237" i="4" s="1"/>
  <c r="E235" i="4" a="1"/>
  <c r="E235" i="4" s="1"/>
  <c r="D737" i="4" l="1" a="1"/>
  <c r="D737" i="4" s="1"/>
  <c r="E736" i="4" a="1"/>
  <c r="E736" i="4" s="1"/>
  <c r="E986" i="4" a="1"/>
  <c r="E986" i="4" s="1"/>
  <c r="D987" i="4" a="1"/>
  <c r="D987" i="4" s="1"/>
  <c r="E486" i="4" a="1"/>
  <c r="E486" i="4" s="1"/>
  <c r="C487" i="4"/>
  <c r="D487" i="4" s="1" a="1"/>
  <c r="D487" i="4" s="1"/>
  <c r="C238" i="4"/>
  <c r="D238" i="4" s="1" a="1"/>
  <c r="D238" i="4" s="1"/>
  <c r="E236" i="4" a="1"/>
  <c r="E236" i="4" s="1"/>
  <c r="D738" i="4" l="1" a="1"/>
  <c r="D738" i="4" s="1"/>
  <c r="E737" i="4" a="1"/>
  <c r="E737" i="4" s="1"/>
  <c r="E987" i="4" a="1"/>
  <c r="E987" i="4" s="1"/>
  <c r="D988" i="4" a="1"/>
  <c r="D988" i="4" s="1"/>
  <c r="E487" i="4" a="1"/>
  <c r="E487" i="4" s="1"/>
  <c r="C488" i="4"/>
  <c r="D488" i="4" s="1" a="1"/>
  <c r="D488" i="4" s="1"/>
  <c r="C239" i="4"/>
  <c r="D239" i="4" s="1" a="1"/>
  <c r="D239" i="4" s="1"/>
  <c r="E237" i="4" a="1"/>
  <c r="E237" i="4" s="1"/>
  <c r="D739" i="4" l="1" a="1"/>
  <c r="D739" i="4" s="1"/>
  <c r="E738" i="4" a="1"/>
  <c r="E738" i="4" s="1"/>
  <c r="E988" i="4" a="1"/>
  <c r="E988" i="4" s="1"/>
  <c r="D989" i="4" a="1"/>
  <c r="D989" i="4" s="1"/>
  <c r="E488" i="4" a="1"/>
  <c r="E488" i="4" s="1"/>
  <c r="C489" i="4"/>
  <c r="D489" i="4" s="1" a="1"/>
  <c r="D489" i="4" s="1"/>
  <c r="C240" i="4"/>
  <c r="D240" i="4" s="1" a="1"/>
  <c r="D240" i="4" s="1"/>
  <c r="E238" i="4" a="1"/>
  <c r="E238" i="4" s="1"/>
  <c r="D740" i="4" l="1" a="1"/>
  <c r="D740" i="4" s="1"/>
  <c r="E739" i="4" a="1"/>
  <c r="E739" i="4" s="1"/>
  <c r="E989" i="4" a="1"/>
  <c r="E989" i="4" s="1"/>
  <c r="D990" i="4" a="1"/>
  <c r="D990" i="4" s="1"/>
  <c r="E489" i="4" a="1"/>
  <c r="E489" i="4" s="1"/>
  <c r="C490" i="4"/>
  <c r="D490" i="4" s="1" a="1"/>
  <c r="D490" i="4" s="1"/>
  <c r="C241" i="4"/>
  <c r="D241" i="4" s="1" a="1"/>
  <c r="D241" i="4" s="1"/>
  <c r="E239" i="4" a="1"/>
  <c r="E239" i="4" s="1"/>
  <c r="D741" i="4" l="1" a="1"/>
  <c r="D741" i="4" s="1"/>
  <c r="E740" i="4" a="1"/>
  <c r="E740" i="4" s="1"/>
  <c r="E990" i="4" a="1"/>
  <c r="E990" i="4" s="1"/>
  <c r="D991" i="4" a="1"/>
  <c r="D991" i="4" s="1"/>
  <c r="E490" i="4" a="1"/>
  <c r="E490" i="4" s="1"/>
  <c r="C491" i="4"/>
  <c r="D491" i="4" s="1" a="1"/>
  <c r="D491" i="4" s="1"/>
  <c r="C242" i="4"/>
  <c r="D242" i="4" s="1" a="1"/>
  <c r="D242" i="4" s="1"/>
  <c r="E240" i="4" a="1"/>
  <c r="E240" i="4" s="1"/>
  <c r="D742" i="4" l="1" a="1"/>
  <c r="D742" i="4" s="1"/>
  <c r="E741" i="4" a="1"/>
  <c r="E741" i="4" s="1"/>
  <c r="E991" i="4" a="1"/>
  <c r="E991" i="4" s="1"/>
  <c r="D992" i="4" a="1"/>
  <c r="D992" i="4" s="1"/>
  <c r="E491" i="4" a="1"/>
  <c r="E491" i="4" s="1"/>
  <c r="C492" i="4"/>
  <c r="D492" i="4" s="1" a="1"/>
  <c r="D492" i="4" s="1"/>
  <c r="C243" i="4"/>
  <c r="D243" i="4" s="1" a="1"/>
  <c r="D243" i="4" s="1"/>
  <c r="E241" i="4" a="1"/>
  <c r="E241" i="4" s="1"/>
  <c r="D743" i="4" l="1" a="1"/>
  <c r="D743" i="4" s="1"/>
  <c r="E742" i="4" a="1"/>
  <c r="E742" i="4" s="1"/>
  <c r="E992" i="4" a="1"/>
  <c r="E992" i="4" s="1"/>
  <c r="D993" i="4" a="1"/>
  <c r="D993" i="4" s="1"/>
  <c r="E492" i="4" a="1"/>
  <c r="E492" i="4" s="1"/>
  <c r="C493" i="4"/>
  <c r="D493" i="4" s="1" a="1"/>
  <c r="D493" i="4" s="1"/>
  <c r="C244" i="4"/>
  <c r="D244" i="4" s="1" a="1"/>
  <c r="D244" i="4" s="1"/>
  <c r="E242" i="4" a="1"/>
  <c r="E242" i="4" s="1"/>
  <c r="D744" i="4" l="1" a="1"/>
  <c r="D744" i="4" s="1"/>
  <c r="E743" i="4" a="1"/>
  <c r="E743" i="4" s="1"/>
  <c r="E993" i="4" a="1"/>
  <c r="E993" i="4" s="1"/>
  <c r="D994" i="4" a="1"/>
  <c r="D994" i="4" s="1"/>
  <c r="E493" i="4" a="1"/>
  <c r="E493" i="4" s="1"/>
  <c r="C494" i="4"/>
  <c r="D494" i="4" s="1" a="1"/>
  <c r="D494" i="4" s="1"/>
  <c r="C245" i="4"/>
  <c r="D245" i="4" s="1" a="1"/>
  <c r="D245" i="4" s="1"/>
  <c r="E243" i="4" a="1"/>
  <c r="E243" i="4" s="1"/>
  <c r="D745" i="4" l="1" a="1"/>
  <c r="D745" i="4" s="1"/>
  <c r="E744" i="4" a="1"/>
  <c r="E744" i="4" s="1"/>
  <c r="E994" i="4" a="1"/>
  <c r="E994" i="4" s="1"/>
  <c r="D995" i="4" a="1"/>
  <c r="D995" i="4" s="1"/>
  <c r="E494" i="4" a="1"/>
  <c r="E494" i="4" s="1"/>
  <c r="C495" i="4"/>
  <c r="D495" i="4" s="1" a="1"/>
  <c r="D495" i="4" s="1"/>
  <c r="C246" i="4"/>
  <c r="D246" i="4" s="1" a="1"/>
  <c r="D246" i="4" s="1"/>
  <c r="E244" i="4" a="1"/>
  <c r="E244" i="4" s="1"/>
  <c r="D746" i="4" l="1" a="1"/>
  <c r="D746" i="4" s="1"/>
  <c r="E745" i="4" a="1"/>
  <c r="E745" i="4" s="1"/>
  <c r="E995" i="4" a="1"/>
  <c r="E995" i="4" s="1"/>
  <c r="D996" i="4" a="1"/>
  <c r="D996" i="4" s="1"/>
  <c r="E495" i="4" a="1"/>
  <c r="E495" i="4" s="1"/>
  <c r="C496" i="4"/>
  <c r="D496" i="4" s="1" a="1"/>
  <c r="D496" i="4" s="1"/>
  <c r="C247" i="4"/>
  <c r="D247" i="4" s="1" a="1"/>
  <c r="D247" i="4" s="1"/>
  <c r="E245" i="4" a="1"/>
  <c r="E245" i="4" s="1"/>
  <c r="E746" i="4" l="1" a="1"/>
  <c r="E746" i="4" s="1"/>
  <c r="D747" i="4" a="1"/>
  <c r="D747" i="4" s="1"/>
  <c r="E996" i="4" a="1"/>
  <c r="E996" i="4" s="1"/>
  <c r="D997" i="4" a="1"/>
  <c r="D997" i="4" s="1"/>
  <c r="E496" i="4" a="1"/>
  <c r="E496" i="4" s="1"/>
  <c r="C497" i="4"/>
  <c r="D497" i="4" s="1" a="1"/>
  <c r="D497" i="4" s="1"/>
  <c r="C248" i="4"/>
  <c r="D248" i="4" s="1" a="1"/>
  <c r="D248" i="4" s="1"/>
  <c r="E246" i="4" a="1"/>
  <c r="E246" i="4" s="1"/>
  <c r="E747" i="4" l="1" a="1"/>
  <c r="E747" i="4" s="1"/>
  <c r="D748" i="4" a="1"/>
  <c r="D748" i="4" s="1"/>
  <c r="E997" i="4" a="1"/>
  <c r="E997" i="4" s="1"/>
  <c r="D998" i="4" a="1"/>
  <c r="D998" i="4" s="1"/>
  <c r="E497" i="4" a="1"/>
  <c r="E497" i="4" s="1"/>
  <c r="C498" i="4"/>
  <c r="D498" i="4" s="1" a="1"/>
  <c r="D498" i="4" s="1"/>
  <c r="C249" i="4"/>
  <c r="D249" i="4" s="1" a="1"/>
  <c r="D249" i="4" s="1"/>
  <c r="E247" i="4" a="1"/>
  <c r="E247" i="4" s="1"/>
  <c r="D749" i="4" l="1" a="1"/>
  <c r="D749" i="4" s="1"/>
  <c r="E748" i="4" a="1"/>
  <c r="E748" i="4" s="1"/>
  <c r="E998" i="4" a="1"/>
  <c r="E998" i="4" s="1"/>
  <c r="D999" i="4" a="1"/>
  <c r="D999" i="4" s="1"/>
  <c r="E498" i="4" a="1"/>
  <c r="E498" i="4" s="1"/>
  <c r="C499" i="4"/>
  <c r="D499" i="4" s="1" a="1"/>
  <c r="D499" i="4" s="1"/>
  <c r="C250" i="4"/>
  <c r="D250" i="4" s="1" a="1"/>
  <c r="D250" i="4" s="1"/>
  <c r="E248" i="4" a="1"/>
  <c r="E248" i="4" s="1"/>
  <c r="D750" i="4" l="1" a="1"/>
  <c r="D750" i="4" s="1"/>
  <c r="E749" i="4" a="1"/>
  <c r="E749" i="4" s="1"/>
  <c r="E999" i="4" a="1"/>
  <c r="E999" i="4" s="1"/>
  <c r="D1000" i="4" a="1"/>
  <c r="D1000" i="4" s="1"/>
  <c r="E499" i="4" a="1"/>
  <c r="E499" i="4" s="1"/>
  <c r="C500" i="4"/>
  <c r="D500" i="4" s="1" a="1"/>
  <c r="D500" i="4" s="1"/>
  <c r="C251" i="4"/>
  <c r="D251" i="4" s="1" a="1"/>
  <c r="D251" i="4" s="1"/>
  <c r="E249" i="4" a="1"/>
  <c r="E249" i="4" s="1"/>
  <c r="E750" i="4" l="1" a="1"/>
  <c r="E750" i="4" s="1"/>
  <c r="D751" i="4" a="1"/>
  <c r="D751" i="4" s="1"/>
  <c r="E751" i="4" s="1" a="1"/>
  <c r="E751" i="4" s="1"/>
  <c r="E1000" i="4" a="1"/>
  <c r="E1000" i="4" s="1"/>
  <c r="D1001" i="4" a="1"/>
  <c r="D1001" i="4" s="1"/>
  <c r="E1001" i="4" s="1" a="1"/>
  <c r="E1001" i="4" s="1"/>
  <c r="E500" i="4" a="1"/>
  <c r="E500" i="4" s="1"/>
  <c r="C501" i="4"/>
  <c r="D501" i="4" s="1" a="1"/>
  <c r="D501" i="4" s="1"/>
  <c r="E501" i="4" s="1" a="1"/>
  <c r="E501" i="4" s="1"/>
  <c r="E251" i="4" a="1"/>
  <c r="E251" i="4" s="1"/>
  <c r="E250" i="4" a="1"/>
  <c r="E25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<sst xmlns="http://schemas.openxmlformats.org/spreadsheetml/2006/main" count="1835" uniqueCount="587">
  <si>
    <t>Player_ID</t>
  </si>
  <si>
    <t>Rank_Segment</t>
  </si>
  <si>
    <t>Class</t>
  </si>
  <si>
    <t>Class_Deployments</t>
  </si>
  <si>
    <t>Snapshot_Date</t>
  </si>
  <si>
    <t>Gadget_Name</t>
  </si>
  <si>
    <t>Usage_Count</t>
  </si>
  <si>
    <t>Uses_Per_Hour</t>
  </si>
  <si>
    <t>Rank Segment</t>
  </si>
  <si>
    <t>1–100</t>
  </si>
  <si>
    <t>101–300</t>
  </si>
  <si>
    <t>301–600</t>
  </si>
  <si>
    <t>Total</t>
  </si>
  <si>
    <t>Leaderboard_Rank</t>
  </si>
  <si>
    <t>Step</t>
  </si>
  <si>
    <t>1–500</t>
  </si>
  <si>
    <t>501–2,000</t>
  </si>
  <si>
    <t>2,001–5,000</t>
  </si>
  <si>
    <t>5,001–10,000</t>
  </si>
  <si>
    <t>Assault</t>
  </si>
  <si>
    <t>Engineer</t>
  </si>
  <si>
    <t>Support</t>
  </si>
  <si>
    <t>Recon</t>
  </si>
  <si>
    <t>locked</t>
  </si>
  <si>
    <t>Class_Row_Index</t>
  </si>
  <si>
    <t>Infantry_Time_Hour</t>
  </si>
  <si>
    <t>Vehicle_Time_Hour</t>
  </si>
  <si>
    <t>Mixed_Time_Hour</t>
  </si>
  <si>
    <t>Map_Tendency</t>
  </si>
  <si>
    <t>Assault Ladder</t>
  </si>
  <si>
    <t>Supply Crate</t>
  </si>
  <si>
    <t>EOD Bot</t>
  </si>
  <si>
    <t>Gadgets</t>
  </si>
  <si>
    <t>Defibrillator</t>
  </si>
  <si>
    <t>Deployable Cover</t>
  </si>
  <si>
    <t>Supply Pouch</t>
  </si>
  <si>
    <t>Deploy Beacon</t>
  </si>
  <si>
    <r>
      <t>X95 BRE</t>
    </r>
    <r>
      <rPr>
        <sz val="11"/>
        <color theme="1"/>
        <rFont val="Aptos Narrow"/>
        <family val="2"/>
        <scheme val="minor"/>
      </rPr>
      <t> (Breaching Projectile Launcher)</t>
    </r>
  </si>
  <si>
    <r>
      <t>M320A1 HE</t>
    </r>
    <r>
      <rPr>
        <sz val="11"/>
        <color theme="1"/>
        <rFont val="Aptos Narrow"/>
        <family val="2"/>
        <scheme val="minor"/>
      </rPr>
      <t> (HE Grenade Launcher)</t>
    </r>
  </si>
  <si>
    <r>
      <t>M320A1 THRM</t>
    </r>
    <r>
      <rPr>
        <sz val="11"/>
        <color theme="1"/>
        <rFont val="Aptos Narrow"/>
        <family val="2"/>
        <scheme val="minor"/>
      </rPr>
      <t> (Incendiary Grenade Launcher)</t>
    </r>
  </si>
  <si>
    <r>
      <t>SS26</t>
    </r>
    <r>
      <rPr>
        <sz val="11"/>
        <color theme="1"/>
        <rFont val="Aptos Narrow"/>
        <family val="2"/>
        <scheme val="minor"/>
      </rPr>
      <t> (Incendiary-Round Shotgun)</t>
    </r>
  </si>
  <si>
    <r>
      <t>Weapon Sling</t>
    </r>
    <r>
      <rPr>
        <sz val="11"/>
        <color theme="1"/>
        <rFont val="Aptos Narrow"/>
        <family val="2"/>
        <scheme val="minor"/>
      </rPr>
      <t> - (Carbine, DMR or Shotgun)</t>
    </r>
  </si>
  <si>
    <r>
      <t>GPDIS</t>
    </r>
    <r>
      <rPr>
        <sz val="11"/>
        <color theme="1"/>
        <rFont val="Aptos Narrow"/>
        <family val="2"/>
        <scheme val="minor"/>
      </rPr>
      <t> (Grenade intercept system)</t>
    </r>
  </si>
  <si>
    <r>
      <t>MP-APS</t>
    </r>
    <r>
      <rPr>
        <sz val="11"/>
        <color theme="1"/>
        <rFont val="Aptos Narrow"/>
        <family val="2"/>
        <scheme val="minor"/>
      </rPr>
      <t> (Missile intercept system)</t>
    </r>
  </si>
  <si>
    <r>
      <t>LWCMS</t>
    </r>
    <r>
      <rPr>
        <sz val="11"/>
        <color theme="1"/>
        <rFont val="Aptos Narrow"/>
        <family val="2"/>
        <scheme val="minor"/>
      </rPr>
      <t> (Mortar)</t>
    </r>
  </si>
  <si>
    <r>
      <t>M320A1 SMK</t>
    </r>
    <r>
      <rPr>
        <sz val="11"/>
        <color theme="1"/>
        <rFont val="Aptos Narrow"/>
        <family val="2"/>
        <scheme val="minor"/>
      </rPr>
      <t> (Smoke Grenade Launcher)</t>
    </r>
  </si>
  <si>
    <r>
      <t>SICH G1 WP</t>
    </r>
    <r>
      <rPr>
        <sz val="11"/>
        <color theme="1"/>
        <rFont val="Aptos Narrow"/>
        <family val="2"/>
        <scheme val="minor"/>
      </rPr>
      <t> (Incendiary Airburst Launcher)</t>
    </r>
  </si>
  <si>
    <t>Laser Designator</t>
  </si>
  <si>
    <t>Recon Drone</t>
  </si>
  <si>
    <t>Tracer Dart</t>
  </si>
  <si>
    <t>Claymore</t>
  </si>
  <si>
    <t>Sniper Decoy</t>
  </si>
  <si>
    <t>C-4 Explosives</t>
  </si>
  <si>
    <t>Duplicate_Key</t>
  </si>
  <si>
    <t>ENGINEER</t>
  </si>
  <si>
    <t>RECON</t>
  </si>
  <si>
    <t>SUPPORT</t>
  </si>
  <si>
    <t>ASSAULT</t>
  </si>
  <si>
    <t>Grenades</t>
  </si>
  <si>
    <t>Stun Grenade</t>
  </si>
  <si>
    <r>
      <rPr>
        <b/>
        <sz val="11"/>
        <color theme="1"/>
        <rFont val="Aptos Narrow"/>
        <family val="2"/>
        <scheme val="minor"/>
      </rPr>
      <t>MBT-LAW</t>
    </r>
    <r>
      <rPr>
        <sz val="11"/>
        <color theme="1"/>
        <rFont val="Aptos Narrow"/>
        <family val="2"/>
        <scheme val="minor"/>
      </rPr>
      <t> (Auto-Guided Launcher)</t>
    </r>
  </si>
  <si>
    <r>
      <rPr>
        <b/>
        <sz val="11"/>
        <color theme="1"/>
        <rFont val="Aptos Narrow"/>
        <family val="2"/>
        <scheme val="minor"/>
      </rPr>
      <t>SLM-93A</t>
    </r>
    <r>
      <rPr>
        <sz val="11"/>
        <color theme="1"/>
        <rFont val="Aptos Narrow"/>
        <family val="2"/>
        <scheme val="minor"/>
      </rPr>
      <t> (Air-Defense Launcher)</t>
    </r>
  </si>
  <si>
    <r>
      <rPr>
        <b/>
        <sz val="11"/>
        <color theme="1"/>
        <rFont val="Aptos Narrow"/>
        <family val="2"/>
        <scheme val="minor"/>
      </rPr>
      <t>RPG-7V2</t>
    </r>
    <r>
      <rPr>
        <sz val="11"/>
        <color theme="1"/>
        <rFont val="Aptos Narrow"/>
        <family val="2"/>
        <scheme val="minor"/>
      </rPr>
      <t> (Unguided Rocket Launcher)</t>
    </r>
  </si>
  <si>
    <r>
      <rPr>
        <b/>
        <sz val="11"/>
        <color theme="1"/>
        <rFont val="Aptos Narrow"/>
        <family val="2"/>
        <scheme val="minor"/>
      </rPr>
      <t>MAS 148</t>
    </r>
    <r>
      <rPr>
        <sz val="11"/>
        <color theme="1"/>
        <rFont val="Aptos Narrow"/>
        <family val="2"/>
        <scheme val="minor"/>
      </rPr>
      <t> (Long-Range Launcher)</t>
    </r>
  </si>
  <si>
    <r>
      <rPr>
        <b/>
        <sz val="11"/>
        <color theme="1"/>
        <rFont val="Aptos Narrow"/>
        <family val="2"/>
        <scheme val="minor"/>
      </rPr>
      <t>M136 AT</t>
    </r>
    <r>
      <rPr>
        <sz val="11"/>
        <color theme="1"/>
        <rFont val="Aptos Narrow"/>
        <family val="2"/>
        <scheme val="minor"/>
      </rPr>
      <t> (Aim-Guided Launcher)</t>
    </r>
  </si>
  <si>
    <r>
      <rPr>
        <b/>
        <sz val="11"/>
        <color theme="1"/>
        <rFont val="Aptos Narrow"/>
        <family val="2"/>
        <scheme val="minor"/>
      </rPr>
      <t>M15</t>
    </r>
    <r>
      <rPr>
        <sz val="11"/>
        <color theme="1"/>
        <rFont val="Aptos Narrow"/>
        <family val="2"/>
        <scheme val="minor"/>
      </rPr>
      <t> (Anti-Vehicle Mine)</t>
    </r>
  </si>
  <si>
    <r>
      <rPr>
        <b/>
        <sz val="11"/>
        <color theme="1"/>
        <rFont val="Aptos Narrow"/>
        <family val="2"/>
        <scheme val="minor"/>
      </rPr>
      <t>PTKM-1R </t>
    </r>
    <r>
      <rPr>
        <sz val="11"/>
        <color theme="1"/>
        <rFont val="Aptos Narrow"/>
        <family val="2"/>
        <scheme val="minor"/>
      </rPr>
      <t>(Acoustic Sensor AV Mine)</t>
    </r>
  </si>
  <si>
    <r>
      <rPr>
        <b/>
        <sz val="11"/>
        <color theme="1"/>
        <rFont val="Aptos Narrow"/>
        <family val="2"/>
        <scheme val="minor"/>
      </rPr>
      <t>M4A1 SLAM</t>
    </r>
    <r>
      <rPr>
        <sz val="11"/>
        <color theme="1"/>
        <rFont val="Aptos Narrow"/>
        <family val="2"/>
        <scheme val="minor"/>
      </rPr>
      <t> (Tripwire Sensor AV Mine)</t>
    </r>
  </si>
  <si>
    <t>Fragmentation Grenade</t>
  </si>
  <si>
    <t>Flash Grenade</t>
  </si>
  <si>
    <t>Mini Frag Grenade</t>
  </si>
  <si>
    <t>Anti-Vehicle Grenade</t>
  </si>
  <si>
    <t>Smoke Grenade</t>
  </si>
  <si>
    <t>Incendiary Grenade</t>
  </si>
  <si>
    <t>Throwable Proximity Grenade</t>
  </si>
  <si>
    <t>Throwing Knife</t>
  </si>
  <si>
    <t>Engineer_Time_Hour</t>
  </si>
  <si>
    <t>Assault_Time_Hour</t>
  </si>
  <si>
    <t>Recon_Time_Hour</t>
  </si>
  <si>
    <t>Support_Time_Hour</t>
  </si>
  <si>
    <t>Primary_Class</t>
  </si>
  <si>
    <r>
      <t xml:space="preserve">Player map context was inferred from aggregate playtime. Players were classified as </t>
    </r>
    <r>
      <rPr>
        <i/>
        <sz val="11"/>
        <color theme="1"/>
        <rFont val="Aptos Narrow"/>
        <family val="2"/>
        <scheme val="minor"/>
      </rPr>
      <t>Vehicle-Heavy</t>
    </r>
    <r>
      <rPr>
        <sz val="11"/>
        <color theme="1"/>
        <rFont val="Aptos Narrow"/>
        <family val="2"/>
        <scheme val="minor"/>
      </rPr>
      <t xml:space="preserve"> if at least 70% of total playtime involved vehicles (including mixed play), </t>
    </r>
    <r>
      <rPr>
        <i/>
        <sz val="11"/>
        <color theme="1"/>
        <rFont val="Aptos Narrow"/>
        <family val="2"/>
        <scheme val="minor"/>
      </rPr>
      <t>Infantry-Heavy</t>
    </r>
    <r>
      <rPr>
        <sz val="11"/>
        <color theme="1"/>
        <rFont val="Aptos Narrow"/>
        <family val="2"/>
        <scheme val="minor"/>
      </rPr>
      <t xml:space="preserve"> if at least 60% of playtime was infantry-only, and </t>
    </r>
    <r>
      <rPr>
        <i/>
        <sz val="11"/>
        <color theme="1"/>
        <rFont val="Aptos Narrow"/>
        <family val="2"/>
        <scheme val="minor"/>
      </rPr>
      <t>Mixed</t>
    </r>
    <r>
      <rPr>
        <sz val="11"/>
        <color theme="1"/>
        <rFont val="Aptos Narrow"/>
        <family val="2"/>
        <scheme val="minor"/>
      </rPr>
      <t xml:space="preserve"> otherwise. Thresholds were chosen to reflect clear majority behavior while avoiding ambiguous classifications.</t>
    </r>
  </si>
  <si>
    <t>Total_Time_Hour</t>
  </si>
  <si>
    <t>For class–map context analysis, players were assigned a dominant class only if a single class accounted for at least 50% of their total class playtime. Players without a dominant class were retained in the dataset but excluded from class representation calculations to avoid diluting distributional signals with mixed-preference behavior.</t>
  </si>
  <si>
    <t>Dominance Percentage</t>
  </si>
  <si>
    <t>Dominant-Class</t>
  </si>
  <si>
    <t>Class Leaderboard Sampling (per class, n = 250)</t>
  </si>
  <si>
    <t>Rank Band</t>
  </si>
  <si>
    <t>Picks</t>
  </si>
  <si>
    <t>Sampled Ranks (Pattern)</t>
  </si>
  <si>
    <t>7, 17, 27, …, 497</t>
  </si>
  <si>
    <t>507, 532, 557, …</t>
  </si>
  <si>
    <t>2007, 2057, 2107, …</t>
  </si>
  <si>
    <t>5007, 5057, 5107, …</t>
  </si>
  <si>
    <t>Each class leaderboard is sampled independently using the same band structure and offset.</t>
  </si>
  <si>
    <t>Global Leaderboard Sampling (n = 1,000)</t>
  </si>
  <si>
    <t>Population</t>
  </si>
  <si>
    <t>Start</t>
  </si>
  <si>
    <t>Pattern</t>
  </si>
  <si>
    <t>Top 10,000 Global</t>
  </si>
  <si>
    <t>7, 17, 27, …, 9997</t>
  </si>
  <si>
    <r>
      <t xml:space="preserve">This sample is used </t>
    </r>
    <r>
      <rPr>
        <b/>
        <sz val="11"/>
        <color theme="1"/>
        <rFont val="Aptos Narrow"/>
        <family val="2"/>
        <scheme val="minor"/>
      </rPr>
      <t>only</t>
    </r>
    <r>
      <rPr>
        <sz val="11"/>
        <color theme="1"/>
        <rFont val="Aptos Narrow"/>
        <family val="2"/>
        <scheme val="minor"/>
      </rPr>
      <t xml:space="preserve"> for class–map context analysis (Q3/Q4), not gadget analysis.</t>
    </r>
  </si>
  <si>
    <t>Gadget Profile Sampling (per class, n = 100)</t>
  </si>
  <si>
    <t>Profiles Selected</t>
  </si>
  <si>
    <t>601–1,000</t>
  </si>
  <si>
    <r>
      <t xml:space="preserve">Used for </t>
    </r>
    <r>
      <rPr>
        <b/>
        <sz val="11"/>
        <color theme="1"/>
        <rFont val="Aptos Narrow"/>
        <family val="2"/>
        <scheme val="minor"/>
      </rPr>
      <t>deep gadget inspection</t>
    </r>
    <r>
      <rPr>
        <sz val="11"/>
        <color theme="1"/>
        <rFont val="Aptos Narrow"/>
        <family val="2"/>
        <scheme val="minor"/>
      </rPr>
      <t>, not population inference.</t>
    </r>
  </si>
  <si>
    <t>Battle_Royale_Hour</t>
  </si>
  <si>
    <t>Deployments</t>
  </si>
  <si>
    <t>Stann83cz</t>
  </si>
  <si>
    <t>Sir Jekyll</t>
  </si>
  <si>
    <t>Conquest_Hours</t>
  </si>
  <si>
    <t>Escalation_Hours</t>
  </si>
  <si>
    <t>Rush_Hours</t>
  </si>
  <si>
    <t>Breakthrough_Hours</t>
  </si>
  <si>
    <t>TDM</t>
  </si>
  <si>
    <t>Domination</t>
  </si>
  <si>
    <t>KotH</t>
  </si>
  <si>
    <t>SDM</t>
  </si>
  <si>
    <t>Strikepoint</t>
  </si>
  <si>
    <t>Gauntlet</t>
  </si>
  <si>
    <t>Sabotage</t>
  </si>
  <si>
    <t>BR Quads</t>
  </si>
  <si>
    <t>BR Duos</t>
  </si>
  <si>
    <t>mirovampiro</t>
  </si>
  <si>
    <t>Uses_Per_Deployment</t>
  </si>
  <si>
    <t>Select_Flag</t>
  </si>
  <si>
    <t>Francko Escobar</t>
  </si>
  <si>
    <t>avengerhawk</t>
  </si>
  <si>
    <t>CFGBOT</t>
  </si>
  <si>
    <t>Chopppppperrrrr</t>
  </si>
  <si>
    <t>d00hn!e+</t>
  </si>
  <si>
    <t>Wiesiu_PL</t>
  </si>
  <si>
    <t>Nathanchor</t>
  </si>
  <si>
    <t>Sempire90</t>
  </si>
  <si>
    <t>frothandbubble</t>
  </si>
  <si>
    <r>
      <t>SS26</t>
    </r>
    <r>
      <rPr>
        <sz val="11"/>
        <color rgb="FFFF0000"/>
        <rFont val="Aptos Narrow"/>
        <family val="2"/>
        <scheme val="minor"/>
      </rPr>
      <t> (Incendiary-Round Shotgun)</t>
    </r>
  </si>
  <si>
    <r>
      <t>Weapon Sling</t>
    </r>
    <r>
      <rPr>
        <sz val="11"/>
        <color rgb="FFFF0000"/>
        <rFont val="Aptos Narrow"/>
        <family val="2"/>
        <scheme val="minor"/>
      </rPr>
      <t> - (Carbine, DMR or Shotgun)</t>
    </r>
  </si>
  <si>
    <t>For classification purposes, Mixed time is treated as 70% vehicle-weighted.</t>
  </si>
  <si>
    <t>gym-imperator-ju</t>
  </si>
  <si>
    <t>Samyt4040</t>
  </si>
  <si>
    <r>
      <t xml:space="preserve">M320A1 THRM   </t>
    </r>
    <r>
      <rPr>
        <sz val="11"/>
        <color theme="1"/>
        <rFont val="Aptos Narrow"/>
        <family val="2"/>
        <scheme val="minor"/>
      </rPr>
      <t> (Incendiary Grenade Launcher)</t>
    </r>
  </si>
  <si>
    <r>
      <t>M320A1 HE</t>
    </r>
    <r>
      <rPr>
        <sz val="11"/>
        <color theme="1"/>
        <rFont val="Aptos Narrow"/>
        <family val="2"/>
        <scheme val="minor"/>
      </rPr>
      <t> (Grenade Launcher)</t>
    </r>
  </si>
  <si>
    <t>Dc-Duck</t>
  </si>
  <si>
    <t>BIGBaNANaBender</t>
  </si>
  <si>
    <t>tangsifuuu</t>
  </si>
  <si>
    <t>|bulletproof64</t>
  </si>
  <si>
    <t>SilverBullet479</t>
  </si>
  <si>
    <t>Formerly_AL</t>
  </si>
  <si>
    <t>OleksandrEighty9</t>
  </si>
  <si>
    <t>CubanMafia</t>
  </si>
  <si>
    <t>ImKruss</t>
  </si>
  <si>
    <t>RASHxYT</t>
  </si>
  <si>
    <t>AutomotiveVP</t>
  </si>
  <si>
    <t>O_WOLF_SNIPER_O</t>
  </si>
  <si>
    <t>Colonel_Ghostman</t>
  </si>
  <si>
    <t>Baaghdaddy</t>
  </si>
  <si>
    <t>chrischwa_75</t>
  </si>
  <si>
    <t>Tha_Gingerbread</t>
  </si>
  <si>
    <t>Heimi72</t>
  </si>
  <si>
    <t>Slimline67</t>
  </si>
  <si>
    <t>I SELECT DEPLOYMENTS, CLASS &gt; CLICK ON PLAYER THEM VIEW CLASS BREAKDOWN TO ESTABLISH NUMBER (DIFFERS FROM WHAT IS LISTED IN THE LEADERBOARD)</t>
  </si>
  <si>
    <t>R3NAULT125</t>
  </si>
  <si>
    <t>HerEmpathy</t>
  </si>
  <si>
    <t>TricksterX21</t>
  </si>
  <si>
    <t>BREOGAN89</t>
  </si>
  <si>
    <t>1st-GrimReaper</t>
  </si>
  <si>
    <t>Clay-_-x</t>
  </si>
  <si>
    <t>o3koga</t>
  </si>
  <si>
    <t>Veh</t>
  </si>
  <si>
    <t>l_0NeaL_l</t>
  </si>
  <si>
    <t>elkikisk</t>
  </si>
  <si>
    <t>HSBxEWIKKED</t>
  </si>
  <si>
    <t>TheBishopDeath</t>
  </si>
  <si>
    <t>AncientWizardGuy</t>
  </si>
  <si>
    <t>M5_eaglez</t>
  </si>
  <si>
    <t>xCPC464x</t>
  </si>
  <si>
    <t>Benzo_</t>
  </si>
  <si>
    <t>Ragefast2311</t>
  </si>
  <si>
    <t>Class_Time_Hour</t>
  </si>
  <si>
    <t>M18A1 (Claymore)</t>
  </si>
  <si>
    <r>
      <t>GPDIS</t>
    </r>
    <r>
      <rPr>
        <sz val="11"/>
        <color theme="1"/>
        <rFont val="Aptos Narrow"/>
        <family val="2"/>
        <scheme val="minor"/>
      </rPr>
      <t> (Grenade intercept system)</t>
    </r>
  </si>
  <si>
    <r>
      <t>X95 BRE</t>
    </r>
    <r>
      <rPr>
        <sz val="11"/>
        <color theme="1"/>
        <rFont val="Aptos Narrow"/>
        <family val="2"/>
        <scheme val="minor"/>
      </rPr>
      <t> (Breaching Projectile Launcher)</t>
    </r>
  </si>
  <si>
    <r>
      <t>MP-APS</t>
    </r>
    <r>
      <rPr>
        <sz val="11"/>
        <color theme="1"/>
        <rFont val="Aptos Narrow"/>
        <family val="2"/>
        <scheme val="minor"/>
      </rPr>
      <t> (Missile intercept system)</t>
    </r>
  </si>
  <si>
    <r>
      <t>M320A1 HE</t>
    </r>
    <r>
      <rPr>
        <sz val="11"/>
        <color theme="1"/>
        <rFont val="Aptos Narrow"/>
        <family val="2"/>
        <scheme val="minor"/>
      </rPr>
      <t> (Grenade Launcher)</t>
    </r>
  </si>
  <si>
    <r>
      <t>LWCMS</t>
    </r>
    <r>
      <rPr>
        <sz val="11"/>
        <color theme="1"/>
        <rFont val="Aptos Narrow"/>
        <family val="2"/>
        <scheme val="minor"/>
      </rPr>
      <t> (Mortar)</t>
    </r>
  </si>
  <si>
    <r>
      <t xml:space="preserve">M320A1 THRM   </t>
    </r>
    <r>
      <rPr>
        <sz val="11"/>
        <color theme="1"/>
        <rFont val="Aptos Narrow"/>
        <family val="2"/>
        <scheme val="minor"/>
      </rPr>
      <t> (Incendiary Grenade Launcher)</t>
    </r>
  </si>
  <si>
    <r>
      <t>M320A1 SMK</t>
    </r>
    <r>
      <rPr>
        <sz val="11"/>
        <color theme="1"/>
        <rFont val="Aptos Narrow"/>
        <family val="2"/>
        <scheme val="minor"/>
      </rPr>
      <t> (Smoke Grenade Launcher)</t>
    </r>
  </si>
  <si>
    <r>
      <t>SICH G1 WP</t>
    </r>
    <r>
      <rPr>
        <sz val="11"/>
        <color theme="1"/>
        <rFont val="Aptos Narrow"/>
        <family val="2"/>
        <scheme val="minor"/>
      </rPr>
      <t> (Incendiary Airburst Launcher)</t>
    </r>
  </si>
  <si>
    <t>CTGxCBLostSoulx</t>
  </si>
  <si>
    <t>Gadget</t>
  </si>
  <si>
    <t>Equipment_Type</t>
  </si>
  <si>
    <t>Grenade</t>
  </si>
  <si>
    <t>Weapon Sling (or SS26)</t>
  </si>
  <si>
    <t>Frag Grenade</t>
  </si>
  <si>
    <t>Selectable_Observable_Gadgets</t>
  </si>
  <si>
    <t>Total_Uses_Per_Deployment</t>
  </si>
  <si>
    <t>Passive_Likelihood</t>
  </si>
  <si>
    <t>Total_Players</t>
  </si>
  <si>
    <t>Player_Using_Alt_Grenade</t>
  </si>
  <si>
    <t>Inferred Frag %</t>
  </si>
  <si>
    <r>
      <rPr>
        <b/>
        <sz val="11"/>
        <color theme="1"/>
        <rFont val="Aptos Narrow"/>
        <family val="2"/>
        <scheme val="minor"/>
      </rPr>
      <t>SLM-93A</t>
    </r>
    <r>
      <rPr>
        <sz val="11"/>
        <color theme="1"/>
        <rFont val="Aptos Narrow"/>
        <family val="2"/>
        <scheme val="minor"/>
      </rPr>
      <t> (Air-Defense Launcher)</t>
    </r>
  </si>
  <si>
    <r>
      <rPr>
        <b/>
        <sz val="11"/>
        <color theme="1"/>
        <rFont val="Aptos Narrow"/>
        <family val="2"/>
        <scheme val="minor"/>
      </rPr>
      <t>RPG-7V2</t>
    </r>
    <r>
      <rPr>
        <sz val="11"/>
        <color theme="1"/>
        <rFont val="Aptos Narrow"/>
        <family val="2"/>
        <scheme val="minor"/>
      </rPr>
      <t> (Unguided Rocket Launcher)</t>
    </r>
  </si>
  <si>
    <r>
      <rPr>
        <b/>
        <sz val="11"/>
        <color theme="1"/>
        <rFont val="Aptos Narrow"/>
        <family val="2"/>
        <scheme val="minor"/>
      </rPr>
      <t>MAS 148</t>
    </r>
    <r>
      <rPr>
        <sz val="11"/>
        <color theme="1"/>
        <rFont val="Aptos Narrow"/>
        <family val="2"/>
        <scheme val="minor"/>
      </rPr>
      <t> (Long-Range Launcher)</t>
    </r>
  </si>
  <si>
    <r>
      <rPr>
        <b/>
        <sz val="11"/>
        <color theme="1"/>
        <rFont val="Aptos Narrow"/>
        <family val="2"/>
        <scheme val="minor"/>
      </rPr>
      <t>M136 AT</t>
    </r>
    <r>
      <rPr>
        <sz val="11"/>
        <color theme="1"/>
        <rFont val="Aptos Narrow"/>
        <family val="2"/>
        <scheme val="minor"/>
      </rPr>
      <t> (Aim-Guided Launcher)</t>
    </r>
  </si>
  <si>
    <r>
      <rPr>
        <b/>
        <sz val="11"/>
        <color theme="1"/>
        <rFont val="Aptos Narrow"/>
        <family val="2"/>
        <scheme val="minor"/>
      </rPr>
      <t>M15</t>
    </r>
    <r>
      <rPr>
        <sz val="11"/>
        <color theme="1"/>
        <rFont val="Aptos Narrow"/>
        <family val="2"/>
        <scheme val="minor"/>
      </rPr>
      <t> (Anti-Vehicle Mine)</t>
    </r>
  </si>
  <si>
    <r>
      <rPr>
        <b/>
        <sz val="11"/>
        <color theme="1"/>
        <rFont val="Aptos Narrow"/>
        <family val="2"/>
        <scheme val="minor"/>
      </rPr>
      <t>PTKM-1R </t>
    </r>
    <r>
      <rPr>
        <sz val="11"/>
        <color theme="1"/>
        <rFont val="Aptos Narrow"/>
        <family val="2"/>
        <scheme val="minor"/>
      </rPr>
      <t>(Acoustic Sensor AV Mine)</t>
    </r>
  </si>
  <si>
    <r>
      <rPr>
        <b/>
        <sz val="11"/>
        <color theme="1"/>
        <rFont val="Aptos Narrow"/>
        <family val="2"/>
        <scheme val="minor"/>
      </rPr>
      <t>M4A1 SLAM</t>
    </r>
    <r>
      <rPr>
        <sz val="11"/>
        <color theme="1"/>
        <rFont val="Aptos Narrow"/>
        <family val="2"/>
        <scheme val="minor"/>
      </rPr>
      <t> (Tripwire Sensor AV Mine)</t>
    </r>
  </si>
  <si>
    <t>See Analysis_Assault_Defaults</t>
  </si>
  <si>
    <t>See Analysis_Grenades</t>
  </si>
  <si>
    <t>See Analysis_Support_Defaults</t>
  </si>
  <si>
    <t>Source</t>
  </si>
  <si>
    <t>VARIIANT99</t>
  </si>
  <si>
    <t>Plasem</t>
  </si>
  <si>
    <t>devilferreira</t>
  </si>
  <si>
    <t>呆呆梦末兽520</t>
  </si>
  <si>
    <t>michieI</t>
  </si>
  <si>
    <r>
      <t xml:space="preserve">QLINK </t>
    </r>
    <r>
      <rPr>
        <sz val="11"/>
        <color theme="1"/>
        <rFont val="Aptos Narrow"/>
        <family val="2"/>
        <scheme val="minor"/>
      </rPr>
      <t>(Deploy Beacon)</t>
    </r>
  </si>
  <si>
    <t>QLINK (Deploy Beacon)</t>
  </si>
  <si>
    <t>NooterzXD</t>
  </si>
  <si>
    <t>ylari</t>
  </si>
  <si>
    <t>ShamRkn</t>
  </si>
  <si>
    <t>xzvirus600</t>
  </si>
  <si>
    <t>OdinJens-Junior-</t>
  </si>
  <si>
    <t>Eucharion</t>
  </si>
  <si>
    <t>llZeroHeroll</t>
  </si>
  <si>
    <t>SpotUpLevi</t>
  </si>
  <si>
    <t>TAKAMAS4</t>
  </si>
  <si>
    <t>Brock Xx Samson</t>
  </si>
  <si>
    <t>Proximity Detector</t>
  </si>
  <si>
    <t>CptShoook</t>
  </si>
  <si>
    <t>soju</t>
  </si>
  <si>
    <t>PEB ZeneK</t>
  </si>
  <si>
    <t>&lt;3 KANRA___TTV &lt;3</t>
  </si>
  <si>
    <t>Nezmooo--</t>
  </si>
  <si>
    <t>Selection_Weight</t>
  </si>
  <si>
    <t>Gadget_Share</t>
  </si>
  <si>
    <t>Selection_Rate (Weighted)</t>
  </si>
  <si>
    <t>Selection_Rate</t>
  </si>
  <si>
    <t>Adoption_Category</t>
  </si>
  <si>
    <t>Gadget_Usage_Assault</t>
  </si>
  <si>
    <t>Gadget_Usage_Engineer</t>
  </si>
  <si>
    <t>Gadget_Usage_Recon</t>
  </si>
  <si>
    <t>Gadget_Usage_Support</t>
  </si>
  <si>
    <t>Usage Threshold</t>
  </si>
  <si>
    <t>Yuri__S94</t>
  </si>
  <si>
    <t>Morgue</t>
  </si>
  <si>
    <t>sukapower</t>
  </si>
  <si>
    <t>MiaoSangSSS</t>
  </si>
  <si>
    <t>1st1hautor</t>
  </si>
  <si>
    <t>ProngBastard</t>
  </si>
  <si>
    <t>Tboss_3000</t>
  </si>
  <si>
    <t>手柄PRO哥</t>
  </si>
  <si>
    <t>11edenprod</t>
  </si>
  <si>
    <t>YunaTatski</t>
  </si>
  <si>
    <t>SilverVenom</t>
  </si>
  <si>
    <t>EL FARY 1986</t>
  </si>
  <si>
    <t>AlciroMadara</t>
  </si>
  <si>
    <t>Bentsen</t>
  </si>
  <si>
    <t>Rekyon</t>
  </si>
  <si>
    <t>Rinnez</t>
  </si>
  <si>
    <t>Aleksandr_rich</t>
  </si>
  <si>
    <t>Lukas Nguyen</t>
  </si>
  <si>
    <t>BoaConstrictor42</t>
  </si>
  <si>
    <t>-Duke-</t>
  </si>
  <si>
    <t>L1nniker</t>
  </si>
  <si>
    <t>besthua</t>
  </si>
  <si>
    <t>Teebeutel_D3luXE</t>
  </si>
  <si>
    <t>pittasmama</t>
  </si>
  <si>
    <t>Schulz_9393</t>
  </si>
  <si>
    <t>Bail</t>
  </si>
  <si>
    <t>BrewCitySiggy</t>
  </si>
  <si>
    <t>B站风雨连尘</t>
  </si>
  <si>
    <t>AlchemistMac</t>
  </si>
  <si>
    <t>ManChild174790</t>
  </si>
  <si>
    <t>BlulessBlueberry</t>
  </si>
  <si>
    <t>Parashade</t>
  </si>
  <si>
    <t>KingEpyon1</t>
  </si>
  <si>
    <t>EMA.Losec</t>
  </si>
  <si>
    <t>NoEsc4pe</t>
  </si>
  <si>
    <t>Tonylovakmer</t>
  </si>
  <si>
    <t>2Scrap</t>
  </si>
  <si>
    <t>Jason275</t>
  </si>
  <si>
    <t>MA5TER_D</t>
  </si>
  <si>
    <t>milet</t>
  </si>
  <si>
    <t>SynCole</t>
  </si>
  <si>
    <t>Arzabv</t>
  </si>
  <si>
    <t>Night Fusion</t>
  </si>
  <si>
    <t>Captain Dell</t>
  </si>
  <si>
    <t>An Army of Kiel</t>
  </si>
  <si>
    <t>rOve_DeCOy</t>
  </si>
  <si>
    <t>Romacdc</t>
  </si>
  <si>
    <t>Vang-262</t>
  </si>
  <si>
    <t>CrazyHorsse13</t>
  </si>
  <si>
    <t>adriacus11</t>
  </si>
  <si>
    <t>Flipovsy</t>
  </si>
  <si>
    <t>Ctrl</t>
  </si>
  <si>
    <t>Krzysiek--777</t>
  </si>
  <si>
    <t>DzzzNt</t>
  </si>
  <si>
    <t>Replenishment Oiler</t>
  </si>
  <si>
    <t>Situ Sifang</t>
  </si>
  <si>
    <t>TsaDiNi</t>
  </si>
  <si>
    <t>Villkiss</t>
  </si>
  <si>
    <t>L O V E</t>
  </si>
  <si>
    <t>theG</t>
  </si>
  <si>
    <t>Supaeydjent</t>
  </si>
  <si>
    <t>TwinTurbo86</t>
  </si>
  <si>
    <t>xBeerMeJesus</t>
  </si>
  <si>
    <t>Ira</t>
  </si>
  <si>
    <t>Grey Poupon</t>
  </si>
  <si>
    <t>GHOST123</t>
  </si>
  <si>
    <t>MACTEP</t>
  </si>
  <si>
    <t>apt-foot49</t>
  </si>
  <si>
    <t>Blacha</t>
  </si>
  <si>
    <t>FiftyWeevil348</t>
  </si>
  <si>
    <t>Dellguy</t>
  </si>
  <si>
    <t>파워오버웰밍</t>
  </si>
  <si>
    <t>origamii</t>
  </si>
  <si>
    <t>TGR Alexz</t>
  </si>
  <si>
    <t>iAm_ineviTable66</t>
  </si>
  <si>
    <t>GoddMustaine</t>
  </si>
  <si>
    <t>ilovethisgameoko</t>
  </si>
  <si>
    <t>ZulCul</t>
  </si>
  <si>
    <t>amekpl</t>
  </si>
  <si>
    <t>xaRwN</t>
  </si>
  <si>
    <t>Krypt Monky</t>
  </si>
  <si>
    <t>ggenghis</t>
  </si>
  <si>
    <t>SalkiN</t>
  </si>
  <si>
    <t>zoppp</t>
  </si>
  <si>
    <t>ARMIS-INVAR-RUSH</t>
  </si>
  <si>
    <t>EBV_LiptoN</t>
  </si>
  <si>
    <t>Robertois</t>
  </si>
  <si>
    <t>SrMuTe-</t>
  </si>
  <si>
    <t>Ricardo Milos</t>
  </si>
  <si>
    <t>Sphinx</t>
  </si>
  <si>
    <t>xCOMK-E-Streetx</t>
  </si>
  <si>
    <t>L_uka</t>
  </si>
  <si>
    <t>Korben__Dallas1</t>
  </si>
  <si>
    <t>FartOnCopz</t>
  </si>
  <si>
    <t>shabiru</t>
  </si>
  <si>
    <t>drchacal78</t>
  </si>
  <si>
    <t>RTuesdays-YT</t>
  </si>
  <si>
    <t>OndrejPCR</t>
  </si>
  <si>
    <t>giorgi92</t>
  </si>
  <si>
    <t>bbisTyLeZ</t>
  </si>
  <si>
    <t>csyphi</t>
  </si>
  <si>
    <t>Rakit</t>
  </si>
  <si>
    <t>53Zents</t>
  </si>
  <si>
    <t>Jah-Munkey</t>
  </si>
  <si>
    <t>SuBj3cT [Bot]</t>
  </si>
  <si>
    <t>CammedSS2015</t>
  </si>
  <si>
    <t>CtrlAltMatt</t>
  </si>
  <si>
    <t>Sledgehammer enjoyer</t>
  </si>
  <si>
    <t>ThicccjMartian</t>
  </si>
  <si>
    <t>psdarazum</t>
  </si>
  <si>
    <t>mzklopyu</t>
  </si>
  <si>
    <t>Ali-Productionz</t>
  </si>
  <si>
    <t>Remesso</t>
  </si>
  <si>
    <t>Reglope</t>
  </si>
  <si>
    <t>jerjorey</t>
  </si>
  <si>
    <t>Пирожок</t>
  </si>
  <si>
    <t>Ta.Toki</t>
  </si>
  <si>
    <t>Unreal413</t>
  </si>
  <si>
    <t>Klerm</t>
  </si>
  <si>
    <t>HastyTh3 END</t>
  </si>
  <si>
    <t>Sir_Spongey_</t>
  </si>
  <si>
    <t>Darth_Cloud</t>
  </si>
  <si>
    <t>Tx_Lightning</t>
  </si>
  <si>
    <t>-BC-pawel23nammu</t>
  </si>
  <si>
    <t>TexasAce</t>
  </si>
  <si>
    <t>Casios</t>
  </si>
  <si>
    <t>TICSoL9mm</t>
  </si>
  <si>
    <t>Timone311</t>
  </si>
  <si>
    <t>z_leo9</t>
  </si>
  <si>
    <t>SatterPL</t>
  </si>
  <si>
    <t>alexia_00</t>
  </si>
  <si>
    <t>Bronator_youtube</t>
  </si>
  <si>
    <t>JustCallMeCatt</t>
  </si>
  <si>
    <t>Docquafina</t>
  </si>
  <si>
    <t>Cyrus Lupus</t>
  </si>
  <si>
    <t>BruceWayne001</t>
  </si>
  <si>
    <t>xBakedKoalax</t>
  </si>
  <si>
    <t>jacklamatrakk</t>
  </si>
  <si>
    <t>McFlusher</t>
  </si>
  <si>
    <t>spicolli123</t>
  </si>
  <si>
    <t>NNJAkingbob</t>
  </si>
  <si>
    <t>GuyutesGhost</t>
  </si>
  <si>
    <t>Xiph1</t>
  </si>
  <si>
    <t>conway47</t>
  </si>
  <si>
    <t>Dodge1947</t>
  </si>
  <si>
    <t>240kmmh</t>
  </si>
  <si>
    <t>andy-eon</t>
  </si>
  <si>
    <t>M-o-e-r-d-e-r</t>
  </si>
  <si>
    <t>vladi6716</t>
  </si>
  <si>
    <t>DevilsReject170</t>
  </si>
  <si>
    <t>DESOLATION TREY</t>
  </si>
  <si>
    <t>firefighterdc74</t>
  </si>
  <si>
    <t>Vovan-Fizruk</t>
  </si>
  <si>
    <t>Jonny_Deathbox</t>
  </si>
  <si>
    <t>ChaosReigns143</t>
  </si>
  <si>
    <t>rodrilondon10</t>
  </si>
  <si>
    <t>LRT-JEMSYS-787</t>
  </si>
  <si>
    <t>CCB-PLAAF-咕噜咕噜</t>
  </si>
  <si>
    <t>SYM-Shadowlerks</t>
  </si>
  <si>
    <t>madmac80</t>
  </si>
  <si>
    <t>DirtY Kiri</t>
  </si>
  <si>
    <t>bunny bunny bunny bunny bunny</t>
  </si>
  <si>
    <t>kaltkopf</t>
  </si>
  <si>
    <t>John Maçarico</t>
  </si>
  <si>
    <t>BIG2907</t>
  </si>
  <si>
    <t>free_example9</t>
  </si>
  <si>
    <t>duty7837</t>
  </si>
  <si>
    <t>thredzzzz</t>
  </si>
  <si>
    <t>MD-Trooper1984</t>
  </si>
  <si>
    <t>II STRICK9 II</t>
  </si>
  <si>
    <t>Youngling Force Kin</t>
  </si>
  <si>
    <t>ikuzza</t>
  </si>
  <si>
    <t>L10nhear</t>
  </si>
  <si>
    <t>CAP Mifune</t>
  </si>
  <si>
    <t>Veom18</t>
  </si>
  <si>
    <t>NotPravnikk</t>
  </si>
  <si>
    <t>Special_Foxs</t>
  </si>
  <si>
    <t>M3ThatGuy</t>
  </si>
  <si>
    <t>John Battledive</t>
  </si>
  <si>
    <t>Shotgun Savant</t>
  </si>
  <si>
    <t>ken640</t>
  </si>
  <si>
    <t>LukLira_14</t>
  </si>
  <si>
    <t>Fate by Fenrir</t>
  </si>
  <si>
    <t>//M34_</t>
  </si>
  <si>
    <t>Quagsie</t>
  </si>
  <si>
    <t>TheDumbLucky</t>
  </si>
  <si>
    <t>fxlive</t>
  </si>
  <si>
    <t>I-TomAce-I</t>
  </si>
  <si>
    <t>Vogge</t>
  </si>
  <si>
    <t>HeRbY-007</t>
  </si>
  <si>
    <t>Oldman2025xx</t>
  </si>
  <si>
    <t>ImSwiftt</t>
  </si>
  <si>
    <t>PinTao - Keep the Peace</t>
  </si>
  <si>
    <t>Gop-Stop Petroleum</t>
  </si>
  <si>
    <t>CisnBlack2393</t>
  </si>
  <si>
    <t>PapaSmurf_549</t>
  </si>
  <si>
    <t>JAYGGUERNAUT</t>
  </si>
  <si>
    <t>Squeaky4all</t>
  </si>
  <si>
    <t>Xeo_TV | YT</t>
  </si>
  <si>
    <t>Silenko</t>
  </si>
  <si>
    <t>THE_CLEANER-VIP-</t>
  </si>
  <si>
    <t>Mxyu</t>
  </si>
  <si>
    <t>zekim21TTV</t>
  </si>
  <si>
    <t>paid actor</t>
  </si>
  <si>
    <t>Too_Shiko</t>
  </si>
  <si>
    <t>AkudamaX</t>
  </si>
  <si>
    <t>Spark</t>
  </si>
  <si>
    <t>Curtron</t>
  </si>
  <si>
    <t>maverickman23=MM=</t>
  </si>
  <si>
    <t>Mr. Todello</t>
  </si>
  <si>
    <t>Stoned10thMtnVet</t>
  </si>
  <si>
    <t>Dark_Drunick is Free-ABH</t>
  </si>
  <si>
    <t>THE_MAJESTIC_PTERODACTYL</t>
  </si>
  <si>
    <t>miecugow</t>
  </si>
  <si>
    <t>Valdise</t>
  </si>
  <si>
    <t>Duvdevan-1</t>
  </si>
  <si>
    <t>Taojie-117</t>
  </si>
  <si>
    <t>LandingSupport</t>
  </si>
  <si>
    <t>t-money360</t>
  </si>
  <si>
    <t>alexolibaz</t>
  </si>
  <si>
    <t>XND-RAZIEL</t>
  </si>
  <si>
    <t>MMMDOGSOLDIER13</t>
  </si>
  <si>
    <t>BilibiLi-iDSGDAi</t>
  </si>
  <si>
    <t>性感蛤P在线打枪</t>
  </si>
  <si>
    <t>louco_007-YT_T</t>
  </si>
  <si>
    <t>ade_do</t>
  </si>
  <si>
    <t>showgunkid</t>
  </si>
  <si>
    <t>PrimalX23</t>
  </si>
  <si>
    <t>K1ng999</t>
  </si>
  <si>
    <t>macamarcos</t>
  </si>
  <si>
    <t>OneGekko</t>
  </si>
  <si>
    <t>Toobbee00</t>
  </si>
  <si>
    <t>Bombardier</t>
  </si>
  <si>
    <t>x Noxious Goat</t>
  </si>
  <si>
    <t>eln2</t>
  </si>
  <si>
    <t>xTempe</t>
  </si>
  <si>
    <t>ZokaloneLGRX</t>
  </si>
  <si>
    <t>BigYum</t>
  </si>
  <si>
    <t>El-Cuco1</t>
  </si>
  <si>
    <t>newrulesjkl</t>
  </si>
  <si>
    <t>MoXie_Br0</t>
  </si>
  <si>
    <t>Lightrift</t>
  </si>
  <si>
    <t>siiderilehma</t>
  </si>
  <si>
    <t>Alialy</t>
  </si>
  <si>
    <t>teddy-juliana</t>
  </si>
  <si>
    <t>tomaAR</t>
  </si>
  <si>
    <t>SCZ</t>
  </si>
  <si>
    <t>уволень</t>
  </si>
  <si>
    <t>-F-Skelion</t>
  </si>
  <si>
    <t>secondtoughestuk</t>
  </si>
  <si>
    <t>Max White AT</t>
  </si>
  <si>
    <t>imorimax-_-JET</t>
  </si>
  <si>
    <t>WillhelmTheWise</t>
  </si>
  <si>
    <t>slayerbear8</t>
  </si>
  <si>
    <t>Kiu8</t>
  </si>
  <si>
    <t>GreatAlaskan_907</t>
  </si>
  <si>
    <t>TrapShotzTV</t>
  </si>
  <si>
    <t>Barylak.</t>
  </si>
  <si>
    <t>XX_Kichon_IV</t>
  </si>
  <si>
    <t>SadControllerPlayerOnPC</t>
  </si>
  <si>
    <t>SGT_KHALIL</t>
  </si>
  <si>
    <t>OCTOGUE</t>
  </si>
  <si>
    <t>Akrokaiser</t>
  </si>
  <si>
    <t>DEMONIO1988</t>
  </si>
  <si>
    <t>R3V0LUTION</t>
  </si>
  <si>
    <t>Major-Quimby-5th</t>
  </si>
  <si>
    <t>Dezz</t>
  </si>
  <si>
    <t>sguglio</t>
  </si>
  <si>
    <t>Dodeyx</t>
  </si>
  <si>
    <t>ramikingx1</t>
  </si>
  <si>
    <t>ARMSQUADNYPD-TTV</t>
  </si>
  <si>
    <t>Tsumarai</t>
  </si>
  <si>
    <t>lB-A-G-D-A-lD</t>
  </si>
  <si>
    <t>超威蓝猫Tom</t>
  </si>
  <si>
    <t>-VCOR-Akagami</t>
  </si>
  <si>
    <t>ego9__</t>
  </si>
  <si>
    <t>Man_of_SteeI_93</t>
  </si>
  <si>
    <t>invincibleKORE</t>
  </si>
  <si>
    <t>NinjaDark34</t>
  </si>
  <si>
    <t>FinsWishes</t>
  </si>
  <si>
    <t>SaltyMtDew77</t>
  </si>
  <si>
    <t>AG3NTHauser</t>
  </si>
  <si>
    <t>YUZURU</t>
  </si>
  <si>
    <t>sasquatchseesu</t>
  </si>
  <si>
    <t>Unreal_Insanity</t>
  </si>
  <si>
    <t>danix1999x</t>
  </si>
  <si>
    <t>SMALLS1984XB</t>
  </si>
  <si>
    <t>IKISUGIA1M</t>
  </si>
  <si>
    <t>BeEatinU7533</t>
  </si>
  <si>
    <t>Ayye1985</t>
  </si>
  <si>
    <t>Mbalmer</t>
  </si>
  <si>
    <t>BabyFatherYC</t>
  </si>
  <si>
    <t>Twofastforum8</t>
  </si>
  <si>
    <t>esojguy</t>
  </si>
  <si>
    <t>ITyCE</t>
  </si>
  <si>
    <t>Nardong Putik</t>
  </si>
  <si>
    <t>xDLoadingx-</t>
  </si>
  <si>
    <t>OnE-N-OnLy-GREEN</t>
  </si>
  <si>
    <t>macdo12</t>
  </si>
  <si>
    <t>VII-PHASZR</t>
  </si>
  <si>
    <t>Tuffmiester</t>
  </si>
  <si>
    <t>I ain't gonna die today</t>
  </si>
  <si>
    <t>oHuey-</t>
  </si>
  <si>
    <t>PesoKNG</t>
  </si>
  <si>
    <t>etozhechase</t>
  </si>
  <si>
    <t>Buchanan008</t>
  </si>
  <si>
    <t>I-FriTuly-I</t>
  </si>
  <si>
    <t>A_S_H_L_E_Y__13</t>
  </si>
  <si>
    <t>AlpiMiami19</t>
  </si>
  <si>
    <t>xMirkax</t>
  </si>
  <si>
    <t>reme!</t>
  </si>
  <si>
    <t>Negima-2896</t>
  </si>
  <si>
    <t>XXXnqXXX</t>
  </si>
  <si>
    <t>HerrAutonom</t>
  </si>
  <si>
    <t>Enigmafication</t>
  </si>
  <si>
    <t>baLzaN</t>
  </si>
  <si>
    <t>Markkkkkkk</t>
  </si>
  <si>
    <t>ttvtntoftwie</t>
  </si>
  <si>
    <t>mazovenozo</t>
  </si>
  <si>
    <t>DaLaoJM_233</t>
  </si>
  <si>
    <t>Ptooey</t>
  </si>
  <si>
    <t>DarthR0b</t>
  </si>
  <si>
    <t>public_enemy_sa</t>
  </si>
  <si>
    <t>peanut17</t>
  </si>
  <si>
    <t>xKobra1</t>
  </si>
  <si>
    <t>BenRoberts24</t>
  </si>
  <si>
    <t>SmokeyPac</t>
  </si>
  <si>
    <t>Sceptos-Tamai</t>
  </si>
  <si>
    <t>NikitaTopStrelok</t>
  </si>
  <si>
    <t>LegendaryChampion</t>
  </si>
  <si>
    <t>THiRDEYEAiM</t>
  </si>
  <si>
    <t>trinity</t>
  </si>
  <si>
    <t>DieselChad</t>
  </si>
  <si>
    <t>偷屁眼儿</t>
  </si>
  <si>
    <t>x8_PRIMETlME_8x</t>
  </si>
  <si>
    <t>Pisu_RGB_Defib</t>
  </si>
  <si>
    <t>SKOWZER</t>
  </si>
  <si>
    <t>DasBomsom</t>
  </si>
  <si>
    <t>TheVAG4BOND</t>
  </si>
  <si>
    <t>sF-S1D656TTV</t>
  </si>
  <si>
    <t>rgayregger</t>
  </si>
  <si>
    <r>
      <rPr>
        <b/>
        <sz val="11"/>
        <color rgb="FFFF0000"/>
        <rFont val="Aptos Narrow"/>
        <family val="2"/>
        <scheme val="minor"/>
      </rPr>
      <t>MBT-LAW</t>
    </r>
    <r>
      <rPr>
        <sz val="11"/>
        <color rgb="FFFF0000"/>
        <rFont val="Aptos Narrow"/>
        <family val="2"/>
        <scheme val="minor"/>
      </rPr>
      <t> (Auto-Guided Launcher)</t>
    </r>
  </si>
  <si>
    <t>See Analysis_Engineer_Defaults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</si>
</sst>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1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/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3" borderId="3" xfId="0" applyFill="1" applyBorder="1"/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0" fillId="0" borderId="5" xfId="0" applyBorder="1"/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9" fontId="1" fillId="2" borderId="1" xfId="1" applyFont="1" applyFill="1" applyBorder="1" applyAlignment="1">
      <alignment horizontal="center"/>
    </xf>
    <xf numFmtId="9" fontId="0" fillId="0" borderId="0" xfId="1" applyFont="1"/>
    <xf numFmtId="0" fontId="1" fillId="2" borderId="6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0" fillId="0" borderId="3" xfId="0" applyNumberFormat="1" applyBorder="1"/>
    <xf numFmtId="1" fontId="1" fillId="2" borderId="6" xfId="0" applyNumberFormat="1" applyFont="1" applyFill="1" applyBorder="1" applyAlignment="1">
      <alignment horizontal="center"/>
    </xf>
    <xf numFmtId="1" fontId="0" fillId="0" borderId="3" xfId="0" applyNumberFormat="1" applyBorder="1"/>
    <xf numFmtId="1" fontId="0" fillId="0" borderId="8" xfId="0" applyNumberFormat="1" applyBorder="1"/>
    <xf numFmtId="164" fontId="1" fillId="2" borderId="7" xfId="0" applyNumberFormat="1" applyFont="1" applyFill="1" applyBorder="1" applyAlignment="1">
      <alignment horizontal="center"/>
    </xf>
    <xf numFmtId="164" fontId="0" fillId="0" borderId="8" xfId="0" applyNumberFormat="1" applyBorder="1"/>
    <xf numFmtId="0" fontId="1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/>
    <xf numFmtId="0" fontId="0" fillId="3" borderId="0" xfId="0" applyFill="1" applyAlignment="1">
      <alignment horizontal="center"/>
    </xf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  <xf numFmtId="0" fontId="8" fillId="3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0" fillId="2" borderId="0" xfId="0" applyFill="1"/>
    <xf numFmtId="2" fontId="0" fillId="0" borderId="0" xfId="0" applyNumberFormat="1"/>
    <xf numFmtId="9" fontId="1" fillId="2" borderId="1" xfId="1" applyFont="1" applyFill="1" applyBorder="1" applyAlignment="1">
      <alignment horizontal="center" vertical="center"/>
    </xf>
    <xf numFmtId="9" fontId="0" fillId="0" borderId="0" xfId="1" applyFont="1" applyAlignment="1"/>
    <xf numFmtId="1" fontId="1" fillId="2" borderId="1" xfId="0" applyNumberFormat="1" applyFont="1" applyFill="1" applyBorder="1" applyAlignment="1">
      <alignment horizontal="center" vertical="center"/>
    </xf>
    <xf numFmtId="9" fontId="0" fillId="3" borderId="0" xfId="1" applyFont="1" applyFill="1"/>
    <xf numFmtId="0" fontId="1" fillId="2" borderId="9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9" fontId="1" fillId="2" borderId="9" xfId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9" xfId="0" applyBorder="1"/>
    <xf numFmtId="9" fontId="0" fillId="0" borderId="9" xfId="0" applyNumberFormat="1" applyBorder="1" applyAlignment="1">
      <alignment vertical="center"/>
    </xf>
    <xf numFmtId="9" fontId="0" fillId="0" borderId="0" xfId="1" applyFont="1" applyAlignment="1">
      <alignment vertical="center"/>
    </xf>
    <xf numFmtId="0" fontId="7" fillId="3" borderId="9" xfId="0" applyFont="1" applyFill="1" applyBorder="1" applyAlignment="1">
      <alignment vertical="center"/>
    </xf>
    <xf numFmtId="9" fontId="7" fillId="3" borderId="9" xfId="0" applyNumberFormat="1" applyFont="1" applyFill="1" applyBorder="1" applyAlignment="1">
      <alignment vertical="center"/>
    </xf>
    <xf numFmtId="9" fontId="0" fillId="0" borderId="0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/>
    <xf numFmtId="9" fontId="6" fillId="3" borderId="0" xfId="0" applyNumberFormat="1" applyFont="1" applyFill="1" applyAlignment="1">
      <alignment vertical="center"/>
    </xf>
    <xf numFmtId="9" fontId="6" fillId="3" borderId="0" xfId="1" applyFont="1" applyFill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/>
    <xf numFmtId="9" fontId="9" fillId="3" borderId="1" xfId="0" applyNumberFormat="1" applyFont="1" applyFill="1" applyBorder="1" applyAlignment="1">
      <alignment vertical="center"/>
    </xf>
    <xf numFmtId="9" fontId="6" fillId="3" borderId="1" xfId="1" applyFont="1" applyFill="1" applyBorder="1" applyAlignment="1">
      <alignment vertical="center"/>
    </xf>
    <xf numFmtId="0" fontId="9" fillId="4" borderId="1" xfId="0" applyFont="1" applyFill="1" applyBorder="1"/>
    <xf numFmtId="9" fontId="6" fillId="3" borderId="0" xfId="1" applyFont="1" applyFill="1" applyBorder="1" applyAlignment="1">
      <alignment vertical="center"/>
    </xf>
    <xf numFmtId="0" fontId="8" fillId="3" borderId="9" xfId="0" applyFont="1" applyFill="1" applyBorder="1" applyAlignment="1">
      <alignment vertical="center" wrapText="1"/>
    </xf>
    <xf numFmtId="9" fontId="0" fillId="0" borderId="9" xfId="1" applyFont="1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9" xfId="0" applyFont="1" applyBorder="1"/>
    <xf numFmtId="0" fontId="1" fillId="3" borderId="9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9" fontId="7" fillId="0" borderId="9" xfId="0" applyNumberFormat="1" applyFont="1" applyBorder="1" applyAlignment="1">
      <alignment vertical="center"/>
    </xf>
    <xf numFmtId="9" fontId="0" fillId="0" borderId="0" xfId="0" applyNumberFormat="1"/>
    <xf numFmtId="9" fontId="7" fillId="0" borderId="0" xfId="0" applyNumberFormat="1" applyFont="1"/>
    <xf numFmtId="0" fontId="0" fillId="0" borderId="0" xfId="0" quotePrefix="1"/>
    <xf numFmtId="9" fontId="7" fillId="0" borderId="9" xfId="1" applyFont="1" applyBorder="1" applyAlignment="1">
      <alignment vertical="center"/>
    </xf>
    <xf numFmtId="0" fontId="7" fillId="3" borderId="9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7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0F7AD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0.14996795556505021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0F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FABA-407A-433C-BAF9-BEE91E5C9F41}">
  <dimension ref="A1:Q1001"/>
  <sheetViews>
    <sheetView zoomScale="90" zoomScaleNormal="90"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7.28515625" bestFit="1" customWidth="1"/>
    <col min="2" max="2" width="17.85546875" customWidth="1"/>
    <col min="3" max="3" width="13.28515625" bestFit="1" customWidth="1"/>
    <col min="4" max="4" width="18.5703125" style="33" bestFit="1" customWidth="1"/>
    <col min="5" max="5" width="17.28515625" style="7" bestFit="1" customWidth="1"/>
    <col min="6" max="6" width="18.85546875" style="7" bestFit="1" customWidth="1"/>
    <col min="7" max="7" width="19.28515625" style="7" customWidth="1"/>
    <col min="8" max="8" width="19.28515625" customWidth="1"/>
    <col min="9" max="9" width="18.42578125" style="18" bestFit="1" customWidth="1"/>
    <col min="10" max="10" width="19.85546875" bestFit="1" customWidth="1"/>
    <col min="11" max="11" width="17.5703125" bestFit="1" customWidth="1"/>
    <col min="12" max="12" width="19" bestFit="1" customWidth="1"/>
    <col min="13" max="13" width="16.140625" bestFit="1" customWidth="1"/>
    <col min="14" max="14" width="13.85546875" bestFit="1" customWidth="1"/>
    <col min="15" max="15" width="15.7109375" bestFit="1" customWidth="1"/>
    <col min="16" max="16" width="7.5703125" style="28" customWidth="1"/>
    <col min="17" max="17" width="14.7109375" style="13" bestFit="1" customWidth="1"/>
  </cols>
  <sheetData>
    <row r="1" spans="1:17" s="9" customFormat="1" ht="15.75" thickBot="1" x14ac:dyDescent="0.3">
      <c r="A1" s="9" t="s">
        <v>0</v>
      </c>
      <c r="B1" s="9" t="s">
        <v>13</v>
      </c>
      <c r="C1" s="9" t="s">
        <v>107</v>
      </c>
      <c r="D1" s="32" t="s">
        <v>26</v>
      </c>
      <c r="E1" s="11" t="s">
        <v>27</v>
      </c>
      <c r="F1" s="11" t="s">
        <v>25</v>
      </c>
      <c r="G1" s="11" t="s">
        <v>106</v>
      </c>
      <c r="H1" s="9" t="s">
        <v>28</v>
      </c>
      <c r="I1" s="29" t="s">
        <v>77</v>
      </c>
      <c r="J1" s="9" t="s">
        <v>76</v>
      </c>
      <c r="K1" s="9" t="s">
        <v>78</v>
      </c>
      <c r="L1" s="9" t="s">
        <v>79</v>
      </c>
      <c r="M1" s="9" t="s">
        <v>82</v>
      </c>
      <c r="N1" s="9" t="s">
        <v>80</v>
      </c>
      <c r="O1" s="9" t="s">
        <v>85</v>
      </c>
      <c r="P1" s="27" t="s">
        <v>84</v>
      </c>
      <c r="Q1" s="14" t="s">
        <v>4</v>
      </c>
    </row>
    <row r="2" spans="1:17" x14ac:dyDescent="0.25">
      <c r="A2" t="s">
        <v>108</v>
      </c>
      <c r="B2" cm="1">
        <f t="array" ref="B2:B1001">_xlfn.SEQUENCE(1000,1,7,10)</f>
        <v>7</v>
      </c>
      <c r="C2">
        <v>42845</v>
      </c>
      <c r="D2" s="33">
        <f>SUM(Global_Player_Modes!C2:D2)</f>
        <v>224</v>
      </c>
      <c r="E2" s="7">
        <f>SUM(Global_Player_Modes!E2:F2)</f>
        <v>105.5</v>
      </c>
      <c r="F2" s="7">
        <f>SUM(Global_Player_Modes!G2:M2)</f>
        <v>325.5</v>
      </c>
      <c r="G2" s="7">
        <f>SUM(Global_Player_Modes!N2:O2)</f>
        <v>11</v>
      </c>
      <c r="H2" t="str">
        <f t="shared" ref="H2:H10" si="0">IF(SUM(D2:G2)=0,"",IF(G2/SUM(D2:G2)&gt;=0.5,"Battle Royale",IF(F2/SUM(D2:F2)&gt;=0.6,"Infantry-Heavy",IF((D2+0.7*E2)/SUM(D2:F2)&gt;=0.65,"Vehicle-Heavy","Mixed"))))</f>
        <v>Mixed</v>
      </c>
      <c r="I2" s="18">
        <v>290</v>
      </c>
      <c r="J2">
        <v>42</v>
      </c>
      <c r="K2">
        <v>150</v>
      </c>
      <c r="L2">
        <v>65</v>
      </c>
      <c r="M2">
        <f>SUM(I2:L2)</f>
        <v>547</v>
      </c>
      <c r="N2" t="str" cm="1">
        <f t="array" ref="N2">_xlfn.LET(_xlpm.total,SUM(I2:L2),_xlpm.maxv,MAX(I2:L2),IF(_xlpm.total=0,"",IF(_xlpm.maxv/_xlpm.total&lt;0.45,"Mixed-Class",_xlfn.IFS(_xlpm.maxv=I2,"Assault",_xlpm.maxv=J2,"Engineer",_xlpm.maxv=K2,"Recon",_xlpm.maxv=L2,"Support"))))</f>
        <v>Assault</v>
      </c>
      <c r="O2" t="b">
        <f>_xlfn.LET(_xlpm.total,SUM(I2:L2),IF(_xlpm.total=0,"",MAX(I2:L2)/_xlpm.total&gt;=0.45))</f>
        <v>1</v>
      </c>
      <c r="P2" s="28">
        <f>_xlfn.LET(_xlpm.total,SUM(I2:L2),IF(_xlpm.total=0,"",MAX(I2:L2)/_xlpm.total))</f>
        <v>0.53016453382084094</v>
      </c>
      <c r="Q2" s="13">
        <v>46046</v>
      </c>
    </row>
    <row r="3" spans="1:17" x14ac:dyDescent="0.25">
      <c r="A3" t="s">
        <v>109</v>
      </c>
      <c r="B3">
        <v>17</v>
      </c>
      <c r="C3">
        <v>38077</v>
      </c>
      <c r="D3" s="33">
        <f>SUM(Global_Player_Modes!C3:D3)</f>
        <v>349</v>
      </c>
      <c r="E3" s="7">
        <f>SUM(Global_Player_Modes!E3:F3)</f>
        <v>106.5</v>
      </c>
      <c r="F3" s="7">
        <f>SUM(Global_Player_Modes!G3:M3)</f>
        <v>101.5</v>
      </c>
      <c r="G3" s="7">
        <f>SUM(Global_Player_Modes!N3:O3)</f>
        <v>124</v>
      </c>
      <c r="H3" t="str">
        <f t="shared" si="0"/>
        <v>Vehicle-Heavy</v>
      </c>
      <c r="I3" s="18">
        <v>176</v>
      </c>
      <c r="J3">
        <v>216</v>
      </c>
      <c r="K3">
        <v>66</v>
      </c>
      <c r="L3">
        <v>130</v>
      </c>
      <c r="M3">
        <f t="shared" ref="M3:M66" si="1">SUM(I3:L3)</f>
        <v>588</v>
      </c>
      <c r="N3" t="str" cm="1">
        <f t="array" ref="N3">_xlfn.LET(_xlpm.total,SUM(I3:L3),_xlpm.maxv,MAX(I3:L3),IF(_xlpm.total=0,"",IF(_xlpm.maxv/_xlpm.total&lt;0.45,"Mixed-Class",_xlfn.IFS(_xlpm.maxv=I3,"Assault",_xlpm.maxv=J3,"Engineer",_xlpm.maxv=K3,"Recon",_xlpm.maxv=L3,"Support"))))</f>
        <v>Mixed-Class</v>
      </c>
      <c r="O3" t="b">
        <f t="shared" ref="O3:O4" si="2">_xlfn.LET(_xlpm.total,SUM(I3:L3),IF(_xlpm.total=0,"",MAX(I3:L3)/_xlpm.total&gt;=0.45))</f>
        <v>0</v>
      </c>
      <c r="P3" s="28">
        <f t="shared" ref="P3:P66" si="3">_xlfn.LET(_xlpm.total,SUM(I3:L3),IF(_xlpm.total=0,"",MAX(I3:L3)/_xlpm.total))</f>
        <v>0.36734693877551022</v>
      </c>
      <c r="Q3" s="13">
        <v>46046</v>
      </c>
    </row>
    <row r="4" spans="1:17" x14ac:dyDescent="0.25">
      <c r="A4" t="s">
        <v>170</v>
      </c>
      <c r="B4">
        <v>27</v>
      </c>
      <c r="C4">
        <v>36961</v>
      </c>
      <c r="D4" s="33">
        <f>SUM(Global_Player_Modes!C4:D4)</f>
        <v>801</v>
      </c>
      <c r="E4" s="7">
        <f>SUM(Global_Player_Modes!E4:F4)</f>
        <v>122</v>
      </c>
      <c r="F4" s="7">
        <f>SUM(Global_Player_Modes!G4:M4)</f>
        <v>14</v>
      </c>
      <c r="G4" s="7">
        <f>SUM(Global_Player_Modes!N4:O4)</f>
        <v>0.35</v>
      </c>
      <c r="H4" t="str">
        <f t="shared" si="0"/>
        <v>Vehicle-Heavy</v>
      </c>
      <c r="I4" s="18">
        <v>326</v>
      </c>
      <c r="J4">
        <v>196</v>
      </c>
      <c r="K4">
        <v>41</v>
      </c>
      <c r="L4">
        <v>223</v>
      </c>
      <c r="M4">
        <f t="shared" si="1"/>
        <v>786</v>
      </c>
      <c r="N4" t="str" cm="1">
        <f t="array" ref="N4">_xlfn.LET(_xlpm.total,SUM(I4:L4),_xlpm.maxv,MAX(I4:L4),IF(_xlpm.total=0,"",IF(_xlpm.maxv/_xlpm.total&lt;0.45,"Mixed-Class",_xlfn.IFS(_xlpm.maxv=I4,"Assault",_xlpm.maxv=J4,"Engineer",_xlpm.maxv=K4,"Recon",_xlpm.maxv=L4,"Support"))))</f>
        <v>Mixed-Class</v>
      </c>
      <c r="O4" t="b">
        <f t="shared" si="2"/>
        <v>0</v>
      </c>
      <c r="P4" s="28">
        <f t="shared" si="3"/>
        <v>0.41475826972010177</v>
      </c>
      <c r="Q4" s="13">
        <v>46048</v>
      </c>
    </row>
    <row r="5" spans="1:17" x14ac:dyDescent="0.25">
      <c r="A5" t="s">
        <v>171</v>
      </c>
      <c r="B5">
        <v>37</v>
      </c>
      <c r="C5">
        <v>35380</v>
      </c>
      <c r="D5" s="33">
        <f>SUM(Global_Player_Modes!C5:D5)</f>
        <v>100.25</v>
      </c>
      <c r="E5" s="7">
        <f>SUM(Global_Player_Modes!E5:F5)</f>
        <v>93</v>
      </c>
      <c r="F5" s="7">
        <f>SUM(Global_Player_Modes!G5:M5)</f>
        <v>601</v>
      </c>
      <c r="G5" s="7">
        <f>SUM(Global_Player_Modes!N5:O5)</f>
        <v>115</v>
      </c>
      <c r="H5" t="str">
        <f t="shared" si="0"/>
        <v>Infantry-Heavy</v>
      </c>
      <c r="I5" s="18">
        <v>1</v>
      </c>
      <c r="J5">
        <v>8</v>
      </c>
      <c r="K5">
        <v>105</v>
      </c>
      <c r="L5">
        <v>671</v>
      </c>
      <c r="M5">
        <f t="shared" si="1"/>
        <v>785</v>
      </c>
      <c r="N5" t="str" cm="1">
        <f t="array" ref="N5">_xlfn.LET(_xlpm.total,SUM(I5:L5),_xlpm.maxv,MAX(I5:L5),IF(_xlpm.total=0,"",IF(_xlpm.maxv/_xlpm.total&lt;0.5,"Mixed-Class",_xlfn.IFS(_xlpm.maxv=I5,"Assault",_xlpm.maxv=J5,"Engineer",_xlpm.maxv=K5,"Recon",_xlpm.maxv=L5,"Support"))))</f>
        <v>Support</v>
      </c>
      <c r="O5" t="b">
        <f t="shared" ref="O5:O66" si="4">_xlfn.LET(_xlpm.total,SUM(I5:L5),IF(_xlpm.total=0,"",MAX(I5:L5)/_xlpm.total&gt;=0.5))</f>
        <v>1</v>
      </c>
      <c r="P5" s="28">
        <f t="shared" si="3"/>
        <v>0.8547770700636943</v>
      </c>
      <c r="Q5" s="13">
        <v>46048</v>
      </c>
    </row>
    <row r="6" spans="1:17" x14ac:dyDescent="0.25">
      <c r="A6" t="s">
        <v>172</v>
      </c>
      <c r="B6">
        <v>47</v>
      </c>
      <c r="C6">
        <v>34290</v>
      </c>
      <c r="D6" s="33">
        <f>SUM(Global_Player_Modes!C6:D6)</f>
        <v>549.5</v>
      </c>
      <c r="E6" s="7">
        <f>SUM(Global_Player_Modes!E6:F6)</f>
        <v>83.75</v>
      </c>
      <c r="F6" s="7">
        <f>SUM(Global_Player_Modes!G6:M6)</f>
        <v>42</v>
      </c>
      <c r="G6" s="7">
        <f>SUM(Global_Player_Modes!N6:O6)</f>
        <v>3.75</v>
      </c>
      <c r="H6" t="str">
        <f t="shared" si="0"/>
        <v>Vehicle-Heavy</v>
      </c>
      <c r="I6" s="18">
        <v>105</v>
      </c>
      <c r="J6">
        <v>390</v>
      </c>
      <c r="K6">
        <v>3</v>
      </c>
      <c r="L6">
        <v>37</v>
      </c>
      <c r="M6">
        <f t="shared" si="1"/>
        <v>535</v>
      </c>
      <c r="N6" t="str" cm="1">
        <f t="array" ref="N6">_xlfn.LET(_xlpm.total,SUM(I6:L6),_xlpm.maxv,MAX(I6:L6),IF(_xlpm.total=0,"",IF(_xlpm.maxv/_xlpm.total&lt;0.5,"Mixed-Class",_xlfn.IFS(_xlpm.maxv=I6,"Assault",_xlpm.maxv=J6,"Engineer",_xlpm.maxv=K6,"Recon",_xlpm.maxv=L6,"Support"))))</f>
        <v>Engineer</v>
      </c>
      <c r="O6" t="b">
        <f t="shared" si="4"/>
        <v>1</v>
      </c>
      <c r="P6" s="28">
        <f t="shared" si="3"/>
        <v>0.7289719626168224</v>
      </c>
      <c r="Q6" s="13">
        <v>46048</v>
      </c>
    </row>
    <row r="7" spans="1:17" x14ac:dyDescent="0.25">
      <c r="A7" t="s">
        <v>173</v>
      </c>
      <c r="B7">
        <v>57</v>
      </c>
      <c r="C7">
        <v>33277</v>
      </c>
      <c r="D7" s="33">
        <f>SUM(Global_Player_Modes!C7:D7)</f>
        <v>476</v>
      </c>
      <c r="E7" s="7">
        <f>SUM(Global_Player_Modes!E7:F7)</f>
        <v>250</v>
      </c>
      <c r="F7" s="7">
        <f>SUM(Global_Player_Modes!G7:M7)</f>
        <v>2</v>
      </c>
      <c r="G7" s="7">
        <f>SUM(Global_Player_Modes!N7:O7)</f>
        <v>0</v>
      </c>
      <c r="H7" t="str">
        <f t="shared" si="0"/>
        <v>Vehicle-Heavy</v>
      </c>
      <c r="I7" s="18">
        <v>104</v>
      </c>
      <c r="J7">
        <v>156</v>
      </c>
      <c r="K7">
        <v>126</v>
      </c>
      <c r="L7">
        <v>211</v>
      </c>
      <c r="M7">
        <f t="shared" si="1"/>
        <v>597</v>
      </c>
      <c r="N7" t="str" cm="1">
        <f t="array" ref="N7">_xlfn.LET(_xlpm.total,SUM(I7:L7),_xlpm.maxv,MAX(I7:L7),IF(_xlpm.total=0,"",IF(_xlpm.maxv/_xlpm.total&lt;0.5,"Mixed-Class",_xlfn.IFS(_xlpm.maxv=I7,"Assault",_xlpm.maxv=J7,"Engineer",_xlpm.maxv=K7,"Recon",_xlpm.maxv=L7,"Support"))))</f>
        <v>Mixed-Class</v>
      </c>
      <c r="O7" t="b">
        <f t="shared" si="4"/>
        <v>0</v>
      </c>
      <c r="P7" s="28">
        <f t="shared" si="3"/>
        <v>0.35343383584589616</v>
      </c>
      <c r="Q7" s="13">
        <v>46048</v>
      </c>
    </row>
    <row r="8" spans="1:17" x14ac:dyDescent="0.25">
      <c r="A8" t="s">
        <v>174</v>
      </c>
      <c r="B8">
        <v>67</v>
      </c>
      <c r="C8">
        <v>32631</v>
      </c>
      <c r="D8" s="33">
        <f>SUM(Global_Player_Modes!C8:D8)</f>
        <v>214</v>
      </c>
      <c r="E8" s="7">
        <f>SUM(Global_Player_Modes!E8:F8)</f>
        <v>453.5</v>
      </c>
      <c r="F8" s="7">
        <f>SUM(Global_Player_Modes!G8:M8)</f>
        <v>0.25</v>
      </c>
      <c r="G8" s="7">
        <f>SUM(Global_Player_Modes!N8:O8)</f>
        <v>0</v>
      </c>
      <c r="H8" t="str">
        <f t="shared" si="0"/>
        <v>Vehicle-Heavy</v>
      </c>
      <c r="I8" s="18">
        <v>233</v>
      </c>
      <c r="J8">
        <v>68</v>
      </c>
      <c r="K8">
        <v>62</v>
      </c>
      <c r="L8">
        <v>85</v>
      </c>
      <c r="M8">
        <f t="shared" si="1"/>
        <v>448</v>
      </c>
      <c r="N8" t="str" cm="1">
        <f t="array" ref="N8">_xlfn.LET(_xlpm.total,SUM(I8:L8),_xlpm.maxv,MAX(I8:L8),IF(_xlpm.total=0,"",IF(_xlpm.maxv/_xlpm.total&lt;0.5,"Mixed-Class",_xlfn.IFS(_xlpm.maxv=I8,"Assault",_xlpm.maxv=J8,"Engineer",_xlpm.maxv=K8,"Recon",_xlpm.maxv=L8,"Support"))))</f>
        <v>Assault</v>
      </c>
      <c r="O8" t="b">
        <f t="shared" si="4"/>
        <v>1</v>
      </c>
      <c r="P8" s="28">
        <f t="shared" si="3"/>
        <v>0.5200892857142857</v>
      </c>
      <c r="Q8" s="13">
        <v>46048</v>
      </c>
    </row>
    <row r="9" spans="1:17" x14ac:dyDescent="0.25">
      <c r="A9" t="s">
        <v>177</v>
      </c>
      <c r="B9">
        <v>77</v>
      </c>
      <c r="C9">
        <v>32224</v>
      </c>
      <c r="D9" s="33">
        <f>SUM(Global_Player_Modes!C9:D9)</f>
        <v>43</v>
      </c>
      <c r="E9" s="7">
        <f>SUM(Global_Player_Modes!E9:F9)</f>
        <v>49.5</v>
      </c>
      <c r="F9" s="7">
        <f>SUM(Global_Player_Modes!G9:M9)</f>
        <v>363.75</v>
      </c>
      <c r="G9" s="7">
        <f>SUM(Global_Player_Modes!N9:O9)</f>
        <v>15.25</v>
      </c>
      <c r="H9" t="str">
        <f t="shared" si="0"/>
        <v>Infantry-Heavy</v>
      </c>
      <c r="I9" s="18">
        <v>10</v>
      </c>
      <c r="J9">
        <v>9</v>
      </c>
      <c r="K9">
        <v>12</v>
      </c>
      <c r="L9">
        <v>409</v>
      </c>
      <c r="M9">
        <f t="shared" si="1"/>
        <v>440</v>
      </c>
      <c r="N9" t="str" cm="1">
        <f t="array" ref="N9">_xlfn.LET(_xlpm.total,SUM(I9:L9),_xlpm.maxv,MAX(I9:L9),IF(_xlpm.total=0,"",IF(_xlpm.maxv/_xlpm.total&lt;0.5,"Mixed-Class",_xlfn.IFS(_xlpm.maxv=I9,"Assault",_xlpm.maxv=J9,"Engineer",_xlpm.maxv=K9,"Recon",_xlpm.maxv=L9,"Support"))))</f>
        <v>Support</v>
      </c>
      <c r="O9" t="b">
        <f t="shared" si="4"/>
        <v>1</v>
      </c>
      <c r="P9" s="28">
        <f t="shared" si="3"/>
        <v>0.92954545454545456</v>
      </c>
      <c r="Q9" s="13">
        <v>46048</v>
      </c>
    </row>
    <row r="10" spans="1:17" x14ac:dyDescent="0.25">
      <c r="A10" t="s">
        <v>175</v>
      </c>
      <c r="B10">
        <v>87</v>
      </c>
      <c r="C10">
        <v>31404</v>
      </c>
      <c r="D10" s="33">
        <f>SUM(Global_Player_Modes!C10:D10)</f>
        <v>472</v>
      </c>
      <c r="E10" s="7">
        <f>SUM(Global_Player_Modes!E10:F10)</f>
        <v>171</v>
      </c>
      <c r="F10" s="7">
        <f>SUM(Global_Player_Modes!G10:M10)</f>
        <v>217</v>
      </c>
      <c r="G10" s="7">
        <f>SUM(Global_Player_Modes!N10:O10)</f>
        <v>128</v>
      </c>
      <c r="H10" t="str">
        <f t="shared" si="0"/>
        <v>Vehicle-Heavy</v>
      </c>
      <c r="I10" s="18">
        <v>360</v>
      </c>
      <c r="J10">
        <v>35</v>
      </c>
      <c r="K10">
        <v>204</v>
      </c>
      <c r="L10">
        <v>56</v>
      </c>
      <c r="M10">
        <f t="shared" si="1"/>
        <v>655</v>
      </c>
      <c r="N10" t="str" cm="1">
        <f t="array" ref="N10">_xlfn.LET(_xlpm.total,SUM(I10:L10),_xlpm.maxv,MAX(I10:L10),IF(_xlpm.total=0,"",IF(_xlpm.maxv/_xlpm.total&lt;0.5,"Mixed-Class",_xlfn.IFS(_xlpm.maxv=I10,"Assault",_xlpm.maxv=J10,"Engineer",_xlpm.maxv=K10,"Recon",_xlpm.maxv=L10,"Support"))))</f>
        <v>Assault</v>
      </c>
      <c r="O10" t="b">
        <f t="shared" si="4"/>
        <v>1</v>
      </c>
      <c r="P10" s="28">
        <f t="shared" si="3"/>
        <v>0.54961832061068705</v>
      </c>
      <c r="Q10" s="13">
        <v>46048</v>
      </c>
    </row>
    <row r="11" spans="1:17" x14ac:dyDescent="0.25">
      <c r="A11" t="s">
        <v>176</v>
      </c>
      <c r="B11">
        <v>97</v>
      </c>
      <c r="C11">
        <v>30772</v>
      </c>
      <c r="D11" s="33">
        <f>SUM(Global_Player_Modes!C11:D11)</f>
        <v>78</v>
      </c>
      <c r="E11" s="7">
        <f>SUM(Global_Player_Modes!E11:F11)</f>
        <v>635.25</v>
      </c>
      <c r="F11" s="7">
        <f>SUM(Global_Player_Modes!G11:M11)</f>
        <v>11.5</v>
      </c>
      <c r="G11" s="7">
        <f>SUM(Global_Player_Modes!N11:O11)</f>
        <v>20.25</v>
      </c>
      <c r="H11" t="str">
        <f>IF(SUM(D11:G11)=0,"",IF(G11/SUM(D11:G11)&gt;=0.5,"Battle Royale",IF(F11/SUM(D11:F11)&gt;=0.6,"Infantry-Heavy",IF((D11+0.7*E11)/SUM(D11:F11)&gt;=0.65,"Vehicle-Heavy","Mixed"))))</f>
        <v>Vehicle-Heavy</v>
      </c>
      <c r="I11" s="18">
        <v>27</v>
      </c>
      <c r="J11">
        <v>152</v>
      </c>
      <c r="K11">
        <v>140</v>
      </c>
      <c r="L11">
        <v>203</v>
      </c>
      <c r="M11">
        <f t="shared" si="1"/>
        <v>522</v>
      </c>
      <c r="N11" t="str" cm="1">
        <f t="array" ref="N11">_xlfn.LET(_xlpm.total,SUM(I11:L11),_xlpm.maxv,MAX(I11:L11),IF(_xlpm.total=0,"",IF(_xlpm.maxv/_xlpm.total&lt;0.5,"Mixed-Class",_xlfn.IFS(_xlpm.maxv=I11,"Assault",_xlpm.maxv=J11,"Engineer",_xlpm.maxv=K11,"Recon",_xlpm.maxv=L11,"Support"))))</f>
        <v>Mixed-Class</v>
      </c>
      <c r="O11" t="b">
        <f t="shared" si="4"/>
        <v>0</v>
      </c>
      <c r="P11" s="28">
        <f t="shared" si="3"/>
        <v>0.3888888888888889</v>
      </c>
      <c r="Q11" s="13">
        <v>46048</v>
      </c>
    </row>
    <row r="12" spans="1:17" x14ac:dyDescent="0.25">
      <c r="A12" t="s">
        <v>584</v>
      </c>
      <c r="B12">
        <v>107</v>
      </c>
      <c r="C12">
        <v>31795</v>
      </c>
      <c r="H12" t="str">
        <f t="shared" ref="H12:H66" si="5">IF(SUM(D12:G12)=0,"",IF(G12/SUM(D12:G12)&gt;=0.5,"Battle Royale",IF(F12/SUM(D12:F12)&gt;=0.6,"Infantry-Heavy",IF((D12+0.7*E12)/SUM(D12:F12)&gt;=0.7,"Vehicle-Heavy","Mixed"))))</f>
        <v/>
      </c>
      <c r="I12" s="18">
        <v>252</v>
      </c>
      <c r="J12">
        <v>59</v>
      </c>
      <c r="K12">
        <v>30</v>
      </c>
      <c r="L12">
        <v>22</v>
      </c>
      <c r="M12">
        <f t="shared" si="1"/>
        <v>363</v>
      </c>
      <c r="N12" t="str" cm="1">
        <f t="array" ref="N12">_xlfn.LET(_xlpm.total,SUM(I12:L12),_xlpm.maxv,MAX(I12:L12),IF(_xlpm.total=0,"",IF(_xlpm.maxv/_xlpm.total&lt;0.5,"Mixed-Class",_xlfn.IFS(_xlpm.maxv=I12,"Assault",_xlpm.maxv=J12,"Engineer",_xlpm.maxv=K12,"Recon",_xlpm.maxv=L12,"Support"))))</f>
        <v>Assault</v>
      </c>
      <c r="O12" t="b">
        <f t="shared" si="4"/>
        <v>1</v>
      </c>
      <c r="P12" s="28">
        <f t="shared" si="3"/>
        <v>0.69421487603305787</v>
      </c>
      <c r="Q12" s="13">
        <v>46056</v>
      </c>
    </row>
    <row r="13" spans="1:17" x14ac:dyDescent="0.25">
      <c r="B13">
        <v>117</v>
      </c>
      <c r="H13" t="str">
        <f t="shared" si="5"/>
        <v/>
      </c>
      <c r="M13">
        <f t="shared" si="1"/>
        <v>0</v>
      </c>
      <c r="N13" t="str" cm="1">
        <f t="array" ref="N13">_xlfn.LET(_xlpm.total,SUM(I13:L13),_xlpm.maxv,MAX(I13:L13),IF(_xlpm.total=0,"",IF(_xlpm.maxv/_xlpm.total&lt;0.5,"Mixed-Class",_xlfn.IFS(_xlpm.maxv=I13,"Assault",_xlpm.maxv=J13,"Engineer",_xlpm.maxv=K13,"Recon",_xlpm.maxv=L13,"Support"))))</f>
        <v/>
      </c>
      <c r="O13" t="str">
        <f t="shared" si="4"/>
        <v/>
      </c>
      <c r="P13" s="28" t="str">
        <f t="shared" si="3"/>
        <v/>
      </c>
    </row>
    <row r="14" spans="1:17" x14ac:dyDescent="0.25">
      <c r="B14">
        <v>127</v>
      </c>
      <c r="H14" t="str">
        <f t="shared" si="5"/>
        <v/>
      </c>
      <c r="M14">
        <f t="shared" si="1"/>
        <v>0</v>
      </c>
      <c r="N14" t="str" cm="1">
        <f t="array" ref="N14">_xlfn.LET(_xlpm.total,SUM(I14:L14),_xlpm.maxv,MAX(I14:L14),IF(_xlpm.total=0,"",IF(_xlpm.maxv/_xlpm.total&lt;0.5,"Mixed-Class",_xlfn.IFS(_xlpm.maxv=I14,"Assault",_xlpm.maxv=J14,"Engineer",_xlpm.maxv=K14,"Recon",_xlpm.maxv=L14,"Support"))))</f>
        <v/>
      </c>
      <c r="O14" t="str">
        <f t="shared" si="4"/>
        <v/>
      </c>
      <c r="P14" s="28" t="str">
        <f t="shared" si="3"/>
        <v/>
      </c>
    </row>
    <row r="15" spans="1:17" x14ac:dyDescent="0.25">
      <c r="B15">
        <v>137</v>
      </c>
      <c r="H15" t="str">
        <f t="shared" si="5"/>
        <v/>
      </c>
      <c r="M15">
        <f t="shared" si="1"/>
        <v>0</v>
      </c>
      <c r="N15" t="str" cm="1">
        <f t="array" ref="N15">_xlfn.LET(_xlpm.total,SUM(I15:L15),_xlpm.maxv,MAX(I15:L15),IF(_xlpm.total=0,"",IF(_xlpm.maxv/_xlpm.total&lt;0.5,"Mixed-Class",_xlfn.IFS(_xlpm.maxv=I15,"Assault",_xlpm.maxv=J15,"Engineer",_xlpm.maxv=K15,"Recon",_xlpm.maxv=L15,"Support"))))</f>
        <v/>
      </c>
      <c r="O15" t="str">
        <f t="shared" si="4"/>
        <v/>
      </c>
      <c r="P15" s="28" t="str">
        <f t="shared" si="3"/>
        <v/>
      </c>
    </row>
    <row r="16" spans="1:17" x14ac:dyDescent="0.25">
      <c r="B16">
        <v>147</v>
      </c>
      <c r="H16" t="str">
        <f t="shared" si="5"/>
        <v/>
      </c>
      <c r="M16">
        <f t="shared" si="1"/>
        <v>0</v>
      </c>
      <c r="N16" t="str" cm="1">
        <f t="array" ref="N16">_xlfn.LET(_xlpm.total,SUM(I16:L16),_xlpm.maxv,MAX(I16:L16),IF(_xlpm.total=0,"",IF(_xlpm.maxv/_xlpm.total&lt;0.5,"Mixed-Class",_xlfn.IFS(_xlpm.maxv=I16,"Assault",_xlpm.maxv=J16,"Engineer",_xlpm.maxv=K16,"Recon",_xlpm.maxv=L16,"Support"))))</f>
        <v/>
      </c>
      <c r="O16" t="str">
        <f t="shared" si="4"/>
        <v/>
      </c>
      <c r="P16" s="28" t="str">
        <f t="shared" si="3"/>
        <v/>
      </c>
    </row>
    <row r="17" spans="2:16" x14ac:dyDescent="0.25">
      <c r="B17">
        <v>157</v>
      </c>
      <c r="H17" t="str">
        <f t="shared" si="5"/>
        <v/>
      </c>
      <c r="M17">
        <f t="shared" si="1"/>
        <v>0</v>
      </c>
      <c r="N17" t="str" cm="1">
        <f t="array" ref="N17">_xlfn.LET(_xlpm.total,SUM(I17:L17),_xlpm.maxv,MAX(I17:L17),IF(_xlpm.total=0,"",IF(_xlpm.maxv/_xlpm.total&lt;0.5,"Mixed-Class",_xlfn.IFS(_xlpm.maxv=I17,"Assault",_xlpm.maxv=J17,"Engineer",_xlpm.maxv=K17,"Recon",_xlpm.maxv=L17,"Support"))))</f>
        <v/>
      </c>
      <c r="O17" t="str">
        <f t="shared" si="4"/>
        <v/>
      </c>
      <c r="P17" s="28" t="str">
        <f t="shared" si="3"/>
        <v/>
      </c>
    </row>
    <row r="18" spans="2:16" x14ac:dyDescent="0.25">
      <c r="B18">
        <v>167</v>
      </c>
      <c r="H18" t="str">
        <f t="shared" si="5"/>
        <v/>
      </c>
      <c r="M18">
        <f t="shared" si="1"/>
        <v>0</v>
      </c>
      <c r="N18" t="str" cm="1">
        <f t="array" ref="N18">_xlfn.LET(_xlpm.total,SUM(I18:L18),_xlpm.maxv,MAX(I18:L18),IF(_xlpm.total=0,"",IF(_xlpm.maxv/_xlpm.total&lt;0.5,"Mixed-Class",_xlfn.IFS(_xlpm.maxv=I18,"Assault",_xlpm.maxv=J18,"Engineer",_xlpm.maxv=K18,"Recon",_xlpm.maxv=L18,"Support"))))</f>
        <v/>
      </c>
      <c r="O18" t="str">
        <f t="shared" si="4"/>
        <v/>
      </c>
      <c r="P18" s="28" t="str">
        <f t="shared" si="3"/>
        <v/>
      </c>
    </row>
    <row r="19" spans="2:16" x14ac:dyDescent="0.25">
      <c r="B19">
        <v>177</v>
      </c>
      <c r="H19" t="str">
        <f t="shared" si="5"/>
        <v/>
      </c>
      <c r="M19">
        <f t="shared" si="1"/>
        <v>0</v>
      </c>
      <c r="N19" t="str" cm="1">
        <f t="array" ref="N19">_xlfn.LET(_xlpm.total,SUM(I19:L19),_xlpm.maxv,MAX(I19:L19),IF(_xlpm.total=0,"",IF(_xlpm.maxv/_xlpm.total&lt;0.5,"Mixed-Class",_xlfn.IFS(_xlpm.maxv=I19,"Assault",_xlpm.maxv=J19,"Engineer",_xlpm.maxv=K19,"Recon",_xlpm.maxv=L19,"Support"))))</f>
        <v/>
      </c>
      <c r="O19" t="str">
        <f t="shared" si="4"/>
        <v/>
      </c>
      <c r="P19" s="28" t="str">
        <f t="shared" si="3"/>
        <v/>
      </c>
    </row>
    <row r="20" spans="2:16" x14ac:dyDescent="0.25">
      <c r="B20">
        <v>187</v>
      </c>
      <c r="H20" t="str">
        <f t="shared" si="5"/>
        <v/>
      </c>
      <c r="M20">
        <f t="shared" si="1"/>
        <v>0</v>
      </c>
      <c r="N20" t="str" cm="1">
        <f t="array" ref="N20">_xlfn.LET(_xlpm.total,SUM(I20:L20),_xlpm.maxv,MAX(I20:L20),IF(_xlpm.total=0,"",IF(_xlpm.maxv/_xlpm.total&lt;0.5,"Mixed-Class",_xlfn.IFS(_xlpm.maxv=I20,"Assault",_xlpm.maxv=J20,"Engineer",_xlpm.maxv=K20,"Recon",_xlpm.maxv=L20,"Support"))))</f>
        <v/>
      </c>
      <c r="O20" t="str">
        <f t="shared" si="4"/>
        <v/>
      </c>
      <c r="P20" s="28" t="str">
        <f t="shared" si="3"/>
        <v/>
      </c>
    </row>
    <row r="21" spans="2:16" x14ac:dyDescent="0.25">
      <c r="B21">
        <v>197</v>
      </c>
      <c r="H21" t="str">
        <f t="shared" si="5"/>
        <v/>
      </c>
      <c r="M21">
        <f t="shared" si="1"/>
        <v>0</v>
      </c>
      <c r="N21" t="str" cm="1">
        <f t="array" ref="N21">_xlfn.LET(_xlpm.total,SUM(I21:L21),_xlpm.maxv,MAX(I21:L21),IF(_xlpm.total=0,"",IF(_xlpm.maxv/_xlpm.total&lt;0.5,"Mixed-Class",_xlfn.IFS(_xlpm.maxv=I21,"Assault",_xlpm.maxv=J21,"Engineer",_xlpm.maxv=K21,"Recon",_xlpm.maxv=L21,"Support"))))</f>
        <v/>
      </c>
      <c r="O21" t="str">
        <f t="shared" si="4"/>
        <v/>
      </c>
      <c r="P21" s="28" t="str">
        <f t="shared" si="3"/>
        <v/>
      </c>
    </row>
    <row r="22" spans="2:16" x14ac:dyDescent="0.25">
      <c r="B22">
        <v>207</v>
      </c>
      <c r="H22" t="str">
        <f t="shared" si="5"/>
        <v/>
      </c>
      <c r="M22">
        <f t="shared" si="1"/>
        <v>0</v>
      </c>
      <c r="N22" t="str" cm="1">
        <f t="array" ref="N22">_xlfn.LET(_xlpm.total,SUM(I22:L22),_xlpm.maxv,MAX(I22:L22),IF(_xlpm.total=0,"",IF(_xlpm.maxv/_xlpm.total&lt;0.5,"Mixed-Class",_xlfn.IFS(_xlpm.maxv=I22,"Assault",_xlpm.maxv=J22,"Engineer",_xlpm.maxv=K22,"Recon",_xlpm.maxv=L22,"Support"))))</f>
        <v/>
      </c>
      <c r="O22" t="str">
        <f t="shared" si="4"/>
        <v/>
      </c>
      <c r="P22" s="28" t="str">
        <f t="shared" si="3"/>
        <v/>
      </c>
    </row>
    <row r="23" spans="2:16" x14ac:dyDescent="0.25">
      <c r="B23">
        <v>217</v>
      </c>
      <c r="H23" t="str">
        <f t="shared" si="5"/>
        <v/>
      </c>
      <c r="M23">
        <f t="shared" si="1"/>
        <v>0</v>
      </c>
      <c r="N23" t="str" cm="1">
        <f t="array" ref="N23">_xlfn.LET(_xlpm.total,SUM(I23:L23),_xlpm.maxv,MAX(I23:L23),IF(_xlpm.total=0,"",IF(_xlpm.maxv/_xlpm.total&lt;0.5,"Mixed-Class",_xlfn.IFS(_xlpm.maxv=I23,"Assault",_xlpm.maxv=J23,"Engineer",_xlpm.maxv=K23,"Recon",_xlpm.maxv=L23,"Support"))))</f>
        <v/>
      </c>
      <c r="O23" t="str">
        <f t="shared" si="4"/>
        <v/>
      </c>
      <c r="P23" s="28" t="str">
        <f t="shared" si="3"/>
        <v/>
      </c>
    </row>
    <row r="24" spans="2:16" x14ac:dyDescent="0.25">
      <c r="B24">
        <v>227</v>
      </c>
      <c r="H24" t="str">
        <f t="shared" si="5"/>
        <v/>
      </c>
      <c r="M24">
        <f t="shared" si="1"/>
        <v>0</v>
      </c>
      <c r="N24" t="str" cm="1">
        <f t="array" ref="N24">_xlfn.LET(_xlpm.total,SUM(I24:L24),_xlpm.maxv,MAX(I24:L24),IF(_xlpm.total=0,"",IF(_xlpm.maxv/_xlpm.total&lt;0.5,"Mixed-Class",_xlfn.IFS(_xlpm.maxv=I24,"Assault",_xlpm.maxv=J24,"Engineer",_xlpm.maxv=K24,"Recon",_xlpm.maxv=L24,"Support"))))</f>
        <v/>
      </c>
      <c r="O24" t="str">
        <f t="shared" si="4"/>
        <v/>
      </c>
      <c r="P24" s="28" t="str">
        <f t="shared" si="3"/>
        <v/>
      </c>
    </row>
    <row r="25" spans="2:16" x14ac:dyDescent="0.25">
      <c r="B25">
        <v>237</v>
      </c>
      <c r="H25" t="str">
        <f t="shared" si="5"/>
        <v/>
      </c>
      <c r="M25">
        <f t="shared" si="1"/>
        <v>0</v>
      </c>
      <c r="N25" t="str" cm="1">
        <f t="array" ref="N25">_xlfn.LET(_xlpm.total,SUM(I25:L25),_xlpm.maxv,MAX(I25:L25),IF(_xlpm.total=0,"",IF(_xlpm.maxv/_xlpm.total&lt;0.5,"Mixed-Class",_xlfn.IFS(_xlpm.maxv=I25,"Assault",_xlpm.maxv=J25,"Engineer",_xlpm.maxv=K25,"Recon",_xlpm.maxv=L25,"Support"))))</f>
        <v/>
      </c>
      <c r="O25" t="str">
        <f t="shared" si="4"/>
        <v/>
      </c>
      <c r="P25" s="28" t="str">
        <f t="shared" si="3"/>
        <v/>
      </c>
    </row>
    <row r="26" spans="2:16" x14ac:dyDescent="0.25">
      <c r="B26">
        <v>247</v>
      </c>
      <c r="H26" t="str">
        <f t="shared" si="5"/>
        <v/>
      </c>
      <c r="M26">
        <f t="shared" si="1"/>
        <v>0</v>
      </c>
      <c r="N26" t="str" cm="1">
        <f t="array" ref="N26">_xlfn.LET(_xlpm.total,SUM(I26:L26),_xlpm.maxv,MAX(I26:L26),IF(_xlpm.total=0,"",IF(_xlpm.maxv/_xlpm.total&lt;0.5,"Mixed-Class",_xlfn.IFS(_xlpm.maxv=I26,"Assault",_xlpm.maxv=J26,"Engineer",_xlpm.maxv=K26,"Recon",_xlpm.maxv=L26,"Support"))))</f>
        <v/>
      </c>
      <c r="O26" t="str">
        <f t="shared" si="4"/>
        <v/>
      </c>
      <c r="P26" s="28" t="str">
        <f t="shared" si="3"/>
        <v/>
      </c>
    </row>
    <row r="27" spans="2:16" x14ac:dyDescent="0.25">
      <c r="B27">
        <v>257</v>
      </c>
      <c r="H27" t="str">
        <f t="shared" si="5"/>
        <v/>
      </c>
      <c r="M27">
        <f t="shared" si="1"/>
        <v>0</v>
      </c>
      <c r="N27" t="str" cm="1">
        <f t="array" ref="N27">_xlfn.LET(_xlpm.total,SUM(I27:L27),_xlpm.maxv,MAX(I27:L27),IF(_xlpm.total=0,"",IF(_xlpm.maxv/_xlpm.total&lt;0.5,"Mixed-Class",_xlfn.IFS(_xlpm.maxv=I27,"Assault",_xlpm.maxv=J27,"Engineer",_xlpm.maxv=K27,"Recon",_xlpm.maxv=L27,"Support"))))</f>
        <v/>
      </c>
      <c r="O27" t="str">
        <f t="shared" si="4"/>
        <v/>
      </c>
      <c r="P27" s="28" t="str">
        <f t="shared" si="3"/>
        <v/>
      </c>
    </row>
    <row r="28" spans="2:16" x14ac:dyDescent="0.25">
      <c r="B28">
        <v>267</v>
      </c>
      <c r="H28" t="str">
        <f t="shared" si="5"/>
        <v/>
      </c>
      <c r="M28">
        <f t="shared" si="1"/>
        <v>0</v>
      </c>
      <c r="N28" t="str" cm="1">
        <f t="array" ref="N28">_xlfn.LET(_xlpm.total,SUM(I28:L28),_xlpm.maxv,MAX(I28:L28),IF(_xlpm.total=0,"",IF(_xlpm.maxv/_xlpm.total&lt;0.5,"Mixed-Class",_xlfn.IFS(_xlpm.maxv=I28,"Assault",_xlpm.maxv=J28,"Engineer",_xlpm.maxv=K28,"Recon",_xlpm.maxv=L28,"Support"))))</f>
        <v/>
      </c>
      <c r="O28" t="str">
        <f t="shared" si="4"/>
        <v/>
      </c>
      <c r="P28" s="28" t="str">
        <f t="shared" si="3"/>
        <v/>
      </c>
    </row>
    <row r="29" spans="2:16" x14ac:dyDescent="0.25">
      <c r="B29">
        <v>277</v>
      </c>
      <c r="H29" t="str">
        <f t="shared" si="5"/>
        <v/>
      </c>
      <c r="M29">
        <f t="shared" si="1"/>
        <v>0</v>
      </c>
      <c r="N29" t="str" cm="1">
        <f t="array" ref="N29">_xlfn.LET(_xlpm.total,SUM(I29:L29),_xlpm.maxv,MAX(I29:L29),IF(_xlpm.total=0,"",IF(_xlpm.maxv/_xlpm.total&lt;0.5,"Mixed-Class",_xlfn.IFS(_xlpm.maxv=I29,"Assault",_xlpm.maxv=J29,"Engineer",_xlpm.maxv=K29,"Recon",_xlpm.maxv=L29,"Support"))))</f>
        <v/>
      </c>
      <c r="O29" t="str">
        <f t="shared" si="4"/>
        <v/>
      </c>
      <c r="P29" s="28" t="str">
        <f t="shared" si="3"/>
        <v/>
      </c>
    </row>
    <row r="30" spans="2:16" x14ac:dyDescent="0.25">
      <c r="B30">
        <v>287</v>
      </c>
      <c r="H30" t="str">
        <f t="shared" si="5"/>
        <v/>
      </c>
      <c r="M30">
        <f t="shared" si="1"/>
        <v>0</v>
      </c>
      <c r="N30" t="str" cm="1">
        <f t="array" ref="N30">_xlfn.LET(_xlpm.total,SUM(I30:L30),_xlpm.maxv,MAX(I30:L30),IF(_xlpm.total=0,"",IF(_xlpm.maxv/_xlpm.total&lt;0.5,"Mixed-Class",_xlfn.IFS(_xlpm.maxv=I30,"Assault",_xlpm.maxv=J30,"Engineer",_xlpm.maxv=K30,"Recon",_xlpm.maxv=L30,"Support"))))</f>
        <v/>
      </c>
      <c r="O30" t="str">
        <f t="shared" si="4"/>
        <v/>
      </c>
      <c r="P30" s="28" t="str">
        <f t="shared" si="3"/>
        <v/>
      </c>
    </row>
    <row r="31" spans="2:16" x14ac:dyDescent="0.25">
      <c r="B31">
        <v>297</v>
      </c>
      <c r="H31" t="str">
        <f t="shared" si="5"/>
        <v/>
      </c>
      <c r="M31">
        <f t="shared" si="1"/>
        <v>0</v>
      </c>
      <c r="N31" t="str" cm="1">
        <f t="array" ref="N31">_xlfn.LET(_xlpm.total,SUM(I31:L31),_xlpm.maxv,MAX(I31:L31),IF(_xlpm.total=0,"",IF(_xlpm.maxv/_xlpm.total&lt;0.5,"Mixed-Class",_xlfn.IFS(_xlpm.maxv=I31,"Assault",_xlpm.maxv=J31,"Engineer",_xlpm.maxv=K31,"Recon",_xlpm.maxv=L31,"Support"))))</f>
        <v/>
      </c>
      <c r="O31" t="str">
        <f t="shared" si="4"/>
        <v/>
      </c>
      <c r="P31" s="28" t="str">
        <f t="shared" si="3"/>
        <v/>
      </c>
    </row>
    <row r="32" spans="2:16" x14ac:dyDescent="0.25">
      <c r="B32">
        <v>307</v>
      </c>
      <c r="H32" t="str">
        <f t="shared" si="5"/>
        <v/>
      </c>
      <c r="M32">
        <f t="shared" si="1"/>
        <v>0</v>
      </c>
      <c r="N32" t="str" cm="1">
        <f t="array" ref="N32">_xlfn.LET(_xlpm.total,SUM(I32:L32),_xlpm.maxv,MAX(I32:L32),IF(_xlpm.total=0,"",IF(_xlpm.maxv/_xlpm.total&lt;0.5,"Mixed-Class",_xlfn.IFS(_xlpm.maxv=I32,"Assault",_xlpm.maxv=J32,"Engineer",_xlpm.maxv=K32,"Recon",_xlpm.maxv=L32,"Support"))))</f>
        <v/>
      </c>
      <c r="O32" t="str">
        <f t="shared" si="4"/>
        <v/>
      </c>
      <c r="P32" s="28" t="str">
        <f t="shared" si="3"/>
        <v/>
      </c>
    </row>
    <row r="33" spans="2:16" x14ac:dyDescent="0.25">
      <c r="B33">
        <v>317</v>
      </c>
      <c r="H33" t="str">
        <f t="shared" si="5"/>
        <v/>
      </c>
      <c r="M33">
        <f t="shared" si="1"/>
        <v>0</v>
      </c>
      <c r="N33" t="str" cm="1">
        <f t="array" ref="N33">_xlfn.LET(_xlpm.total,SUM(I33:L33),_xlpm.maxv,MAX(I33:L33),IF(_xlpm.total=0,"",IF(_xlpm.maxv/_xlpm.total&lt;0.5,"Mixed-Class",_xlfn.IFS(_xlpm.maxv=I33,"Assault",_xlpm.maxv=J33,"Engineer",_xlpm.maxv=K33,"Recon",_xlpm.maxv=L33,"Support"))))</f>
        <v/>
      </c>
      <c r="O33" t="str">
        <f t="shared" si="4"/>
        <v/>
      </c>
      <c r="P33" s="28" t="str">
        <f t="shared" si="3"/>
        <v/>
      </c>
    </row>
    <row r="34" spans="2:16" x14ac:dyDescent="0.25">
      <c r="B34">
        <v>327</v>
      </c>
      <c r="H34" t="str">
        <f t="shared" si="5"/>
        <v/>
      </c>
      <c r="M34">
        <f t="shared" si="1"/>
        <v>0</v>
      </c>
      <c r="N34" t="str" cm="1">
        <f t="array" ref="N34">_xlfn.LET(_xlpm.total,SUM(I34:L34),_xlpm.maxv,MAX(I34:L34),IF(_xlpm.total=0,"",IF(_xlpm.maxv/_xlpm.total&lt;0.5,"Mixed-Class",_xlfn.IFS(_xlpm.maxv=I34,"Assault",_xlpm.maxv=J34,"Engineer",_xlpm.maxv=K34,"Recon",_xlpm.maxv=L34,"Support"))))</f>
        <v/>
      </c>
      <c r="O34" t="str">
        <f t="shared" si="4"/>
        <v/>
      </c>
      <c r="P34" s="28" t="str">
        <f t="shared" si="3"/>
        <v/>
      </c>
    </row>
    <row r="35" spans="2:16" x14ac:dyDescent="0.25">
      <c r="B35">
        <v>337</v>
      </c>
      <c r="H35" t="str">
        <f t="shared" si="5"/>
        <v/>
      </c>
      <c r="M35">
        <f t="shared" si="1"/>
        <v>0</v>
      </c>
      <c r="N35" t="str" cm="1">
        <f t="array" ref="N35">_xlfn.LET(_xlpm.total,SUM(I35:L35),_xlpm.maxv,MAX(I35:L35),IF(_xlpm.total=0,"",IF(_xlpm.maxv/_xlpm.total&lt;0.5,"Mixed-Class",_xlfn.IFS(_xlpm.maxv=I35,"Assault",_xlpm.maxv=J35,"Engineer",_xlpm.maxv=K35,"Recon",_xlpm.maxv=L35,"Support"))))</f>
        <v/>
      </c>
      <c r="O35" t="str">
        <f t="shared" si="4"/>
        <v/>
      </c>
      <c r="P35" s="28" t="str">
        <f t="shared" si="3"/>
        <v/>
      </c>
    </row>
    <row r="36" spans="2:16" x14ac:dyDescent="0.25">
      <c r="B36">
        <v>347</v>
      </c>
      <c r="H36" t="str">
        <f t="shared" si="5"/>
        <v/>
      </c>
      <c r="M36">
        <f t="shared" si="1"/>
        <v>0</v>
      </c>
      <c r="N36" t="str" cm="1">
        <f t="array" ref="N36">_xlfn.LET(_xlpm.total,SUM(I36:L36),_xlpm.maxv,MAX(I36:L36),IF(_xlpm.total=0,"",IF(_xlpm.maxv/_xlpm.total&lt;0.5,"Mixed-Class",_xlfn.IFS(_xlpm.maxv=I36,"Assault",_xlpm.maxv=J36,"Engineer",_xlpm.maxv=K36,"Recon",_xlpm.maxv=L36,"Support"))))</f>
        <v/>
      </c>
      <c r="O36" t="str">
        <f t="shared" si="4"/>
        <v/>
      </c>
      <c r="P36" s="28" t="str">
        <f t="shared" si="3"/>
        <v/>
      </c>
    </row>
    <row r="37" spans="2:16" x14ac:dyDescent="0.25">
      <c r="B37">
        <v>357</v>
      </c>
      <c r="H37" t="str">
        <f t="shared" si="5"/>
        <v/>
      </c>
      <c r="M37">
        <f t="shared" si="1"/>
        <v>0</v>
      </c>
      <c r="N37" t="str" cm="1">
        <f t="array" ref="N37">_xlfn.LET(_xlpm.total,SUM(I37:L37),_xlpm.maxv,MAX(I37:L37),IF(_xlpm.total=0,"",IF(_xlpm.maxv/_xlpm.total&lt;0.5,"Mixed-Class",_xlfn.IFS(_xlpm.maxv=I37,"Assault",_xlpm.maxv=J37,"Engineer",_xlpm.maxv=K37,"Recon",_xlpm.maxv=L37,"Support"))))</f>
        <v/>
      </c>
      <c r="O37" t="str">
        <f t="shared" si="4"/>
        <v/>
      </c>
      <c r="P37" s="28" t="str">
        <f t="shared" si="3"/>
        <v/>
      </c>
    </row>
    <row r="38" spans="2:16" x14ac:dyDescent="0.25">
      <c r="B38">
        <v>367</v>
      </c>
      <c r="H38" t="str">
        <f t="shared" si="5"/>
        <v/>
      </c>
      <c r="M38">
        <f t="shared" si="1"/>
        <v>0</v>
      </c>
      <c r="N38" t="str" cm="1">
        <f t="array" ref="N38">_xlfn.LET(_xlpm.total,SUM(I38:L38),_xlpm.maxv,MAX(I38:L38),IF(_xlpm.total=0,"",IF(_xlpm.maxv/_xlpm.total&lt;0.5,"Mixed-Class",_xlfn.IFS(_xlpm.maxv=I38,"Assault",_xlpm.maxv=J38,"Engineer",_xlpm.maxv=K38,"Recon",_xlpm.maxv=L38,"Support"))))</f>
        <v/>
      </c>
      <c r="O38" t="str">
        <f t="shared" si="4"/>
        <v/>
      </c>
      <c r="P38" s="28" t="str">
        <f t="shared" si="3"/>
        <v/>
      </c>
    </row>
    <row r="39" spans="2:16" x14ac:dyDescent="0.25">
      <c r="B39">
        <v>377</v>
      </c>
      <c r="H39" t="str">
        <f t="shared" si="5"/>
        <v/>
      </c>
      <c r="M39">
        <f t="shared" si="1"/>
        <v>0</v>
      </c>
      <c r="N39" t="str" cm="1">
        <f t="array" ref="N39">_xlfn.LET(_xlpm.total,SUM(I39:L39),_xlpm.maxv,MAX(I39:L39),IF(_xlpm.total=0,"",IF(_xlpm.maxv/_xlpm.total&lt;0.5,"Mixed-Class",_xlfn.IFS(_xlpm.maxv=I39,"Assault",_xlpm.maxv=J39,"Engineer",_xlpm.maxv=K39,"Recon",_xlpm.maxv=L39,"Support"))))</f>
        <v/>
      </c>
      <c r="O39" t="str">
        <f t="shared" si="4"/>
        <v/>
      </c>
      <c r="P39" s="28" t="str">
        <f t="shared" si="3"/>
        <v/>
      </c>
    </row>
    <row r="40" spans="2:16" x14ac:dyDescent="0.25">
      <c r="B40">
        <v>387</v>
      </c>
      <c r="H40" t="str">
        <f t="shared" si="5"/>
        <v/>
      </c>
      <c r="M40">
        <f t="shared" si="1"/>
        <v>0</v>
      </c>
      <c r="N40" t="str" cm="1">
        <f t="array" ref="N40">_xlfn.LET(_xlpm.total,SUM(I40:L40),_xlpm.maxv,MAX(I40:L40),IF(_xlpm.total=0,"",IF(_xlpm.maxv/_xlpm.total&lt;0.5,"Mixed-Class",_xlfn.IFS(_xlpm.maxv=I40,"Assault",_xlpm.maxv=J40,"Engineer",_xlpm.maxv=K40,"Recon",_xlpm.maxv=L40,"Support"))))</f>
        <v/>
      </c>
      <c r="O40" t="str">
        <f t="shared" si="4"/>
        <v/>
      </c>
      <c r="P40" s="28" t="str">
        <f t="shared" si="3"/>
        <v/>
      </c>
    </row>
    <row r="41" spans="2:16" x14ac:dyDescent="0.25">
      <c r="B41">
        <v>397</v>
      </c>
      <c r="H41" t="str">
        <f t="shared" si="5"/>
        <v/>
      </c>
      <c r="M41">
        <f t="shared" si="1"/>
        <v>0</v>
      </c>
      <c r="N41" t="str" cm="1">
        <f t="array" ref="N41">_xlfn.LET(_xlpm.total,SUM(I41:L41),_xlpm.maxv,MAX(I41:L41),IF(_xlpm.total=0,"",IF(_xlpm.maxv/_xlpm.total&lt;0.5,"Mixed-Class",_xlfn.IFS(_xlpm.maxv=I41,"Assault",_xlpm.maxv=J41,"Engineer",_xlpm.maxv=K41,"Recon",_xlpm.maxv=L41,"Support"))))</f>
        <v/>
      </c>
      <c r="O41" t="str">
        <f t="shared" si="4"/>
        <v/>
      </c>
      <c r="P41" s="28" t="str">
        <f t="shared" si="3"/>
        <v/>
      </c>
    </row>
    <row r="42" spans="2:16" x14ac:dyDescent="0.25">
      <c r="B42">
        <v>407</v>
      </c>
      <c r="H42" t="str">
        <f t="shared" si="5"/>
        <v/>
      </c>
      <c r="M42">
        <f t="shared" si="1"/>
        <v>0</v>
      </c>
      <c r="N42" t="str" cm="1">
        <f t="array" ref="N42">_xlfn.LET(_xlpm.total,SUM(I42:L42),_xlpm.maxv,MAX(I42:L42),IF(_xlpm.total=0,"",IF(_xlpm.maxv/_xlpm.total&lt;0.5,"Mixed-Class",_xlfn.IFS(_xlpm.maxv=I42,"Assault",_xlpm.maxv=J42,"Engineer",_xlpm.maxv=K42,"Recon",_xlpm.maxv=L42,"Support"))))</f>
        <v/>
      </c>
      <c r="O42" t="str">
        <f t="shared" si="4"/>
        <v/>
      </c>
      <c r="P42" s="28" t="str">
        <f t="shared" si="3"/>
        <v/>
      </c>
    </row>
    <row r="43" spans="2:16" x14ac:dyDescent="0.25">
      <c r="B43">
        <v>417</v>
      </c>
      <c r="H43" t="str">
        <f t="shared" si="5"/>
        <v/>
      </c>
      <c r="M43">
        <f t="shared" si="1"/>
        <v>0</v>
      </c>
      <c r="N43" t="str" cm="1">
        <f t="array" ref="N43">_xlfn.LET(_xlpm.total,SUM(I43:L43),_xlpm.maxv,MAX(I43:L43),IF(_xlpm.total=0,"",IF(_xlpm.maxv/_xlpm.total&lt;0.5,"Mixed-Class",_xlfn.IFS(_xlpm.maxv=I43,"Assault",_xlpm.maxv=J43,"Engineer",_xlpm.maxv=K43,"Recon",_xlpm.maxv=L43,"Support"))))</f>
        <v/>
      </c>
      <c r="O43" t="str">
        <f t="shared" si="4"/>
        <v/>
      </c>
      <c r="P43" s="28" t="str">
        <f t="shared" si="3"/>
        <v/>
      </c>
    </row>
    <row r="44" spans="2:16" x14ac:dyDescent="0.25">
      <c r="B44">
        <v>427</v>
      </c>
      <c r="H44" t="str">
        <f t="shared" si="5"/>
        <v/>
      </c>
      <c r="M44">
        <f t="shared" si="1"/>
        <v>0</v>
      </c>
      <c r="N44" t="str" cm="1">
        <f t="array" ref="N44">_xlfn.LET(_xlpm.total,SUM(I44:L44),_xlpm.maxv,MAX(I44:L44),IF(_xlpm.total=0,"",IF(_xlpm.maxv/_xlpm.total&lt;0.5,"Mixed-Class",_xlfn.IFS(_xlpm.maxv=I44,"Assault",_xlpm.maxv=J44,"Engineer",_xlpm.maxv=K44,"Recon",_xlpm.maxv=L44,"Support"))))</f>
        <v/>
      </c>
      <c r="O44" t="str">
        <f t="shared" si="4"/>
        <v/>
      </c>
      <c r="P44" s="28" t="str">
        <f t="shared" si="3"/>
        <v/>
      </c>
    </row>
    <row r="45" spans="2:16" x14ac:dyDescent="0.25">
      <c r="B45">
        <v>437</v>
      </c>
      <c r="H45" t="str">
        <f t="shared" si="5"/>
        <v/>
      </c>
      <c r="M45">
        <f t="shared" si="1"/>
        <v>0</v>
      </c>
      <c r="N45" t="str" cm="1">
        <f t="array" ref="N45">_xlfn.LET(_xlpm.total,SUM(I45:L45),_xlpm.maxv,MAX(I45:L45),IF(_xlpm.total=0,"",IF(_xlpm.maxv/_xlpm.total&lt;0.5,"Mixed-Class",_xlfn.IFS(_xlpm.maxv=I45,"Assault",_xlpm.maxv=J45,"Engineer",_xlpm.maxv=K45,"Recon",_xlpm.maxv=L45,"Support"))))</f>
        <v/>
      </c>
      <c r="O45" t="str">
        <f t="shared" si="4"/>
        <v/>
      </c>
      <c r="P45" s="28" t="str">
        <f t="shared" si="3"/>
        <v/>
      </c>
    </row>
    <row r="46" spans="2:16" x14ac:dyDescent="0.25">
      <c r="B46">
        <v>447</v>
      </c>
      <c r="H46" t="str">
        <f t="shared" si="5"/>
        <v/>
      </c>
      <c r="M46">
        <f t="shared" si="1"/>
        <v>0</v>
      </c>
      <c r="N46" t="str" cm="1">
        <f t="array" ref="N46">_xlfn.LET(_xlpm.total,SUM(I46:L46),_xlpm.maxv,MAX(I46:L46),IF(_xlpm.total=0,"",IF(_xlpm.maxv/_xlpm.total&lt;0.5,"Mixed-Class",_xlfn.IFS(_xlpm.maxv=I46,"Assault",_xlpm.maxv=J46,"Engineer",_xlpm.maxv=K46,"Recon",_xlpm.maxv=L46,"Support"))))</f>
        <v/>
      </c>
      <c r="O46" t="str">
        <f t="shared" si="4"/>
        <v/>
      </c>
      <c r="P46" s="28" t="str">
        <f t="shared" si="3"/>
        <v/>
      </c>
    </row>
    <row r="47" spans="2:16" x14ac:dyDescent="0.25">
      <c r="B47">
        <v>457</v>
      </c>
      <c r="H47" t="str">
        <f t="shared" si="5"/>
        <v/>
      </c>
      <c r="M47">
        <f t="shared" si="1"/>
        <v>0</v>
      </c>
      <c r="N47" t="str" cm="1">
        <f t="array" ref="N47">_xlfn.LET(_xlpm.total,SUM(I47:L47),_xlpm.maxv,MAX(I47:L47),IF(_xlpm.total=0,"",IF(_xlpm.maxv/_xlpm.total&lt;0.5,"Mixed-Class",_xlfn.IFS(_xlpm.maxv=I47,"Assault",_xlpm.maxv=J47,"Engineer",_xlpm.maxv=K47,"Recon",_xlpm.maxv=L47,"Support"))))</f>
        <v/>
      </c>
      <c r="O47" t="str">
        <f t="shared" si="4"/>
        <v/>
      </c>
      <c r="P47" s="28" t="str">
        <f t="shared" si="3"/>
        <v/>
      </c>
    </row>
    <row r="48" spans="2:16" x14ac:dyDescent="0.25">
      <c r="B48">
        <v>467</v>
      </c>
      <c r="H48" t="str">
        <f t="shared" si="5"/>
        <v/>
      </c>
      <c r="M48">
        <f t="shared" si="1"/>
        <v>0</v>
      </c>
      <c r="N48" t="str" cm="1">
        <f t="array" ref="N48">_xlfn.LET(_xlpm.total,SUM(I48:L48),_xlpm.maxv,MAX(I48:L48),IF(_xlpm.total=0,"",IF(_xlpm.maxv/_xlpm.total&lt;0.5,"Mixed-Class",_xlfn.IFS(_xlpm.maxv=I48,"Assault",_xlpm.maxv=J48,"Engineer",_xlpm.maxv=K48,"Recon",_xlpm.maxv=L48,"Support"))))</f>
        <v/>
      </c>
      <c r="O48" t="str">
        <f t="shared" si="4"/>
        <v/>
      </c>
      <c r="P48" s="28" t="str">
        <f t="shared" si="3"/>
        <v/>
      </c>
    </row>
    <row r="49" spans="2:16" x14ac:dyDescent="0.25">
      <c r="B49">
        <v>477</v>
      </c>
      <c r="H49" t="str">
        <f t="shared" si="5"/>
        <v/>
      </c>
      <c r="M49">
        <f t="shared" si="1"/>
        <v>0</v>
      </c>
      <c r="N49" t="str" cm="1">
        <f t="array" ref="N49">_xlfn.LET(_xlpm.total,SUM(I49:L49),_xlpm.maxv,MAX(I49:L49),IF(_xlpm.total=0,"",IF(_xlpm.maxv/_xlpm.total&lt;0.5,"Mixed-Class",_xlfn.IFS(_xlpm.maxv=I49,"Assault",_xlpm.maxv=J49,"Engineer",_xlpm.maxv=K49,"Recon",_xlpm.maxv=L49,"Support"))))</f>
        <v/>
      </c>
      <c r="O49" t="str">
        <f t="shared" si="4"/>
        <v/>
      </c>
      <c r="P49" s="28" t="str">
        <f t="shared" si="3"/>
        <v/>
      </c>
    </row>
    <row r="50" spans="2:16" x14ac:dyDescent="0.25">
      <c r="B50">
        <v>487</v>
      </c>
      <c r="H50" t="str">
        <f t="shared" si="5"/>
        <v/>
      </c>
      <c r="M50">
        <f t="shared" si="1"/>
        <v>0</v>
      </c>
      <c r="N50" t="str" cm="1">
        <f t="array" ref="N50">_xlfn.LET(_xlpm.total,SUM(I50:L50),_xlpm.maxv,MAX(I50:L50),IF(_xlpm.total=0,"",IF(_xlpm.maxv/_xlpm.total&lt;0.5,"Mixed-Class",_xlfn.IFS(_xlpm.maxv=I50,"Assault",_xlpm.maxv=J50,"Engineer",_xlpm.maxv=K50,"Recon",_xlpm.maxv=L50,"Support"))))</f>
        <v/>
      </c>
      <c r="O50" t="str">
        <f t="shared" si="4"/>
        <v/>
      </c>
      <c r="P50" s="28" t="str">
        <f t="shared" si="3"/>
        <v/>
      </c>
    </row>
    <row r="51" spans="2:16" x14ac:dyDescent="0.25">
      <c r="B51">
        <v>497</v>
      </c>
      <c r="H51" t="str">
        <f t="shared" si="5"/>
        <v/>
      </c>
      <c r="M51">
        <f t="shared" si="1"/>
        <v>0</v>
      </c>
      <c r="N51" t="str" cm="1">
        <f t="array" ref="N51">_xlfn.LET(_xlpm.total,SUM(I51:L51),_xlpm.maxv,MAX(I51:L51),IF(_xlpm.total=0,"",IF(_xlpm.maxv/_xlpm.total&lt;0.5,"Mixed-Class",_xlfn.IFS(_xlpm.maxv=I51,"Assault",_xlpm.maxv=J51,"Engineer",_xlpm.maxv=K51,"Recon",_xlpm.maxv=L51,"Support"))))</f>
        <v/>
      </c>
      <c r="O51" t="str">
        <f t="shared" si="4"/>
        <v/>
      </c>
      <c r="P51" s="28" t="str">
        <f t="shared" si="3"/>
        <v/>
      </c>
    </row>
    <row r="52" spans="2:16" x14ac:dyDescent="0.25">
      <c r="B52">
        <v>507</v>
      </c>
      <c r="H52" t="str">
        <f t="shared" si="5"/>
        <v/>
      </c>
      <c r="M52">
        <f t="shared" si="1"/>
        <v>0</v>
      </c>
      <c r="N52" t="str" cm="1">
        <f t="array" ref="N52">_xlfn.LET(_xlpm.total,SUM(I52:L52),_xlpm.maxv,MAX(I52:L52),IF(_xlpm.total=0,"",IF(_xlpm.maxv/_xlpm.total&lt;0.5,"Mixed-Class",_xlfn.IFS(_xlpm.maxv=I52,"Assault",_xlpm.maxv=J52,"Engineer",_xlpm.maxv=K52,"Recon",_xlpm.maxv=L52,"Support"))))</f>
        <v/>
      </c>
      <c r="O52" t="str">
        <f t="shared" si="4"/>
        <v/>
      </c>
      <c r="P52" s="28" t="str">
        <f t="shared" si="3"/>
        <v/>
      </c>
    </row>
    <row r="53" spans="2:16" x14ac:dyDescent="0.25">
      <c r="B53">
        <v>517</v>
      </c>
      <c r="H53" t="str">
        <f t="shared" si="5"/>
        <v/>
      </c>
      <c r="M53">
        <f t="shared" si="1"/>
        <v>0</v>
      </c>
      <c r="N53" t="str" cm="1">
        <f t="array" ref="N53">_xlfn.LET(_xlpm.total,SUM(I53:L53),_xlpm.maxv,MAX(I53:L53),IF(_xlpm.total=0,"",IF(_xlpm.maxv/_xlpm.total&lt;0.5,"Mixed-Class",_xlfn.IFS(_xlpm.maxv=I53,"Assault",_xlpm.maxv=J53,"Engineer",_xlpm.maxv=K53,"Recon",_xlpm.maxv=L53,"Support"))))</f>
        <v/>
      </c>
      <c r="O53" t="str">
        <f t="shared" si="4"/>
        <v/>
      </c>
      <c r="P53" s="28" t="str">
        <f t="shared" si="3"/>
        <v/>
      </c>
    </row>
    <row r="54" spans="2:16" x14ac:dyDescent="0.25">
      <c r="B54">
        <v>527</v>
      </c>
      <c r="H54" t="str">
        <f t="shared" si="5"/>
        <v/>
      </c>
      <c r="M54">
        <f t="shared" si="1"/>
        <v>0</v>
      </c>
      <c r="N54" t="str" cm="1">
        <f t="array" ref="N54">_xlfn.LET(_xlpm.total,SUM(I54:L54),_xlpm.maxv,MAX(I54:L54),IF(_xlpm.total=0,"",IF(_xlpm.maxv/_xlpm.total&lt;0.5,"Mixed-Class",_xlfn.IFS(_xlpm.maxv=I54,"Assault",_xlpm.maxv=J54,"Engineer",_xlpm.maxv=K54,"Recon",_xlpm.maxv=L54,"Support"))))</f>
        <v/>
      </c>
      <c r="O54" t="str">
        <f t="shared" si="4"/>
        <v/>
      </c>
      <c r="P54" s="28" t="str">
        <f t="shared" si="3"/>
        <v/>
      </c>
    </row>
    <row r="55" spans="2:16" x14ac:dyDescent="0.25">
      <c r="B55">
        <v>537</v>
      </c>
      <c r="H55" t="str">
        <f t="shared" si="5"/>
        <v/>
      </c>
      <c r="M55">
        <f t="shared" si="1"/>
        <v>0</v>
      </c>
      <c r="N55" t="str" cm="1">
        <f t="array" ref="N55">_xlfn.LET(_xlpm.total,SUM(I55:L55),_xlpm.maxv,MAX(I55:L55),IF(_xlpm.total=0,"",IF(_xlpm.maxv/_xlpm.total&lt;0.5,"Mixed-Class",_xlfn.IFS(_xlpm.maxv=I55,"Assault",_xlpm.maxv=J55,"Engineer",_xlpm.maxv=K55,"Recon",_xlpm.maxv=L55,"Support"))))</f>
        <v/>
      </c>
      <c r="O55" t="str">
        <f t="shared" si="4"/>
        <v/>
      </c>
      <c r="P55" s="28" t="str">
        <f t="shared" si="3"/>
        <v/>
      </c>
    </row>
    <row r="56" spans="2:16" x14ac:dyDescent="0.25">
      <c r="B56">
        <v>547</v>
      </c>
      <c r="H56" t="str">
        <f t="shared" si="5"/>
        <v/>
      </c>
      <c r="M56">
        <f t="shared" si="1"/>
        <v>0</v>
      </c>
      <c r="N56" t="str" cm="1">
        <f t="array" ref="N56">_xlfn.LET(_xlpm.total,SUM(I56:L56),_xlpm.maxv,MAX(I56:L56),IF(_xlpm.total=0,"",IF(_xlpm.maxv/_xlpm.total&lt;0.5,"Mixed-Class",_xlfn.IFS(_xlpm.maxv=I56,"Assault",_xlpm.maxv=J56,"Engineer",_xlpm.maxv=K56,"Recon",_xlpm.maxv=L56,"Support"))))</f>
        <v/>
      </c>
      <c r="O56" t="str">
        <f t="shared" si="4"/>
        <v/>
      </c>
      <c r="P56" s="28" t="str">
        <f t="shared" si="3"/>
        <v/>
      </c>
    </row>
    <row r="57" spans="2:16" x14ac:dyDescent="0.25">
      <c r="B57">
        <v>557</v>
      </c>
      <c r="H57" t="str">
        <f t="shared" si="5"/>
        <v/>
      </c>
      <c r="M57">
        <f t="shared" si="1"/>
        <v>0</v>
      </c>
      <c r="N57" t="str" cm="1">
        <f t="array" ref="N57">_xlfn.LET(_xlpm.total,SUM(I57:L57),_xlpm.maxv,MAX(I57:L57),IF(_xlpm.total=0,"",IF(_xlpm.maxv/_xlpm.total&lt;0.5,"Mixed-Class",_xlfn.IFS(_xlpm.maxv=I57,"Assault",_xlpm.maxv=J57,"Engineer",_xlpm.maxv=K57,"Recon",_xlpm.maxv=L57,"Support"))))</f>
        <v/>
      </c>
      <c r="O57" t="str">
        <f t="shared" si="4"/>
        <v/>
      </c>
      <c r="P57" s="28" t="str">
        <f t="shared" si="3"/>
        <v/>
      </c>
    </row>
    <row r="58" spans="2:16" x14ac:dyDescent="0.25">
      <c r="B58">
        <v>567</v>
      </c>
      <c r="H58" t="str">
        <f t="shared" si="5"/>
        <v/>
      </c>
      <c r="M58">
        <f t="shared" si="1"/>
        <v>0</v>
      </c>
      <c r="N58" t="str" cm="1">
        <f t="array" ref="N58">_xlfn.LET(_xlpm.total,SUM(I58:L58),_xlpm.maxv,MAX(I58:L58),IF(_xlpm.total=0,"",IF(_xlpm.maxv/_xlpm.total&lt;0.5,"Mixed-Class",_xlfn.IFS(_xlpm.maxv=I58,"Assault",_xlpm.maxv=J58,"Engineer",_xlpm.maxv=K58,"Recon",_xlpm.maxv=L58,"Support"))))</f>
        <v/>
      </c>
      <c r="O58" t="str">
        <f t="shared" si="4"/>
        <v/>
      </c>
      <c r="P58" s="28" t="str">
        <f t="shared" si="3"/>
        <v/>
      </c>
    </row>
    <row r="59" spans="2:16" x14ac:dyDescent="0.25">
      <c r="B59">
        <v>577</v>
      </c>
      <c r="H59" t="str">
        <f t="shared" si="5"/>
        <v/>
      </c>
      <c r="M59">
        <f t="shared" si="1"/>
        <v>0</v>
      </c>
      <c r="N59" t="str" cm="1">
        <f t="array" ref="N59">_xlfn.LET(_xlpm.total,SUM(I59:L59),_xlpm.maxv,MAX(I59:L59),IF(_xlpm.total=0,"",IF(_xlpm.maxv/_xlpm.total&lt;0.5,"Mixed-Class",_xlfn.IFS(_xlpm.maxv=I59,"Assault",_xlpm.maxv=J59,"Engineer",_xlpm.maxv=K59,"Recon",_xlpm.maxv=L59,"Support"))))</f>
        <v/>
      </c>
      <c r="O59" t="str">
        <f t="shared" si="4"/>
        <v/>
      </c>
      <c r="P59" s="28" t="str">
        <f t="shared" si="3"/>
        <v/>
      </c>
    </row>
    <row r="60" spans="2:16" x14ac:dyDescent="0.25">
      <c r="B60">
        <v>587</v>
      </c>
      <c r="H60" t="str">
        <f t="shared" si="5"/>
        <v/>
      </c>
      <c r="M60">
        <f t="shared" si="1"/>
        <v>0</v>
      </c>
      <c r="N60" t="str" cm="1">
        <f t="array" ref="N60">_xlfn.LET(_xlpm.total,SUM(I60:L60),_xlpm.maxv,MAX(I60:L60),IF(_xlpm.total=0,"",IF(_xlpm.maxv/_xlpm.total&lt;0.5,"Mixed-Class",_xlfn.IFS(_xlpm.maxv=I60,"Assault",_xlpm.maxv=J60,"Engineer",_xlpm.maxv=K60,"Recon",_xlpm.maxv=L60,"Support"))))</f>
        <v/>
      </c>
      <c r="O60" t="str">
        <f t="shared" si="4"/>
        <v/>
      </c>
      <c r="P60" s="28" t="str">
        <f t="shared" si="3"/>
        <v/>
      </c>
    </row>
    <row r="61" spans="2:16" x14ac:dyDescent="0.25">
      <c r="B61">
        <v>597</v>
      </c>
      <c r="H61" t="str">
        <f t="shared" si="5"/>
        <v/>
      </c>
      <c r="M61">
        <f t="shared" si="1"/>
        <v>0</v>
      </c>
      <c r="N61" t="str" cm="1">
        <f t="array" ref="N61">_xlfn.LET(_xlpm.total,SUM(I61:L61),_xlpm.maxv,MAX(I61:L61),IF(_xlpm.total=0,"",IF(_xlpm.maxv/_xlpm.total&lt;0.5,"Mixed-Class",_xlfn.IFS(_xlpm.maxv=I61,"Assault",_xlpm.maxv=J61,"Engineer",_xlpm.maxv=K61,"Recon",_xlpm.maxv=L61,"Support"))))</f>
        <v/>
      </c>
      <c r="O61" t="str">
        <f t="shared" si="4"/>
        <v/>
      </c>
      <c r="P61" s="28" t="str">
        <f t="shared" si="3"/>
        <v/>
      </c>
    </row>
    <row r="62" spans="2:16" x14ac:dyDescent="0.25">
      <c r="B62">
        <v>607</v>
      </c>
      <c r="H62" t="str">
        <f t="shared" si="5"/>
        <v/>
      </c>
      <c r="M62">
        <f t="shared" si="1"/>
        <v>0</v>
      </c>
      <c r="N62" t="str" cm="1">
        <f t="array" ref="N62">_xlfn.LET(_xlpm.total,SUM(I62:L62),_xlpm.maxv,MAX(I62:L62),IF(_xlpm.total=0,"",IF(_xlpm.maxv/_xlpm.total&lt;0.5,"Mixed-Class",_xlfn.IFS(_xlpm.maxv=I62,"Assault",_xlpm.maxv=J62,"Engineer",_xlpm.maxv=K62,"Recon",_xlpm.maxv=L62,"Support"))))</f>
        <v/>
      </c>
      <c r="O62" t="str">
        <f t="shared" si="4"/>
        <v/>
      </c>
      <c r="P62" s="28" t="str">
        <f t="shared" si="3"/>
        <v/>
      </c>
    </row>
    <row r="63" spans="2:16" x14ac:dyDescent="0.25">
      <c r="B63">
        <v>617</v>
      </c>
      <c r="H63" t="str">
        <f t="shared" si="5"/>
        <v/>
      </c>
      <c r="M63">
        <f t="shared" si="1"/>
        <v>0</v>
      </c>
      <c r="N63" t="str" cm="1">
        <f t="array" ref="N63">_xlfn.LET(_xlpm.total,SUM(I63:L63),_xlpm.maxv,MAX(I63:L63),IF(_xlpm.total=0,"",IF(_xlpm.maxv/_xlpm.total&lt;0.5,"Mixed-Class",_xlfn.IFS(_xlpm.maxv=I63,"Assault",_xlpm.maxv=J63,"Engineer",_xlpm.maxv=K63,"Recon",_xlpm.maxv=L63,"Support"))))</f>
        <v/>
      </c>
      <c r="O63" t="str">
        <f t="shared" si="4"/>
        <v/>
      </c>
      <c r="P63" s="28" t="str">
        <f t="shared" si="3"/>
        <v/>
      </c>
    </row>
    <row r="64" spans="2:16" x14ac:dyDescent="0.25">
      <c r="B64">
        <v>627</v>
      </c>
      <c r="H64" t="str">
        <f t="shared" si="5"/>
        <v/>
      </c>
      <c r="M64">
        <f t="shared" si="1"/>
        <v>0</v>
      </c>
      <c r="N64" t="str" cm="1">
        <f t="array" ref="N64">_xlfn.LET(_xlpm.total,SUM(I64:L64),_xlpm.maxv,MAX(I64:L64),IF(_xlpm.total=0,"",IF(_xlpm.maxv/_xlpm.total&lt;0.5,"Mixed-Class",_xlfn.IFS(_xlpm.maxv=I64,"Assault",_xlpm.maxv=J64,"Engineer",_xlpm.maxv=K64,"Recon",_xlpm.maxv=L64,"Support"))))</f>
        <v/>
      </c>
      <c r="O64" t="str">
        <f t="shared" si="4"/>
        <v/>
      </c>
      <c r="P64" s="28" t="str">
        <f t="shared" si="3"/>
        <v/>
      </c>
    </row>
    <row r="65" spans="2:16" x14ac:dyDescent="0.25">
      <c r="B65">
        <v>637</v>
      </c>
      <c r="H65" t="str">
        <f t="shared" si="5"/>
        <v/>
      </c>
      <c r="M65">
        <f t="shared" si="1"/>
        <v>0</v>
      </c>
      <c r="N65" t="str" cm="1">
        <f t="array" ref="N65">_xlfn.LET(_xlpm.total,SUM(I65:L65),_xlpm.maxv,MAX(I65:L65),IF(_xlpm.total=0,"",IF(_xlpm.maxv/_xlpm.total&lt;0.5,"Mixed-Class",_xlfn.IFS(_xlpm.maxv=I65,"Assault",_xlpm.maxv=J65,"Engineer",_xlpm.maxv=K65,"Recon",_xlpm.maxv=L65,"Support"))))</f>
        <v/>
      </c>
      <c r="O65" t="str">
        <f t="shared" si="4"/>
        <v/>
      </c>
      <c r="P65" s="28" t="str">
        <f t="shared" si="3"/>
        <v/>
      </c>
    </row>
    <row r="66" spans="2:16" x14ac:dyDescent="0.25">
      <c r="B66">
        <v>647</v>
      </c>
      <c r="H66" t="str">
        <f t="shared" si="5"/>
        <v/>
      </c>
      <c r="M66">
        <f t="shared" si="1"/>
        <v>0</v>
      </c>
      <c r="N66" t="str" cm="1">
        <f t="array" ref="N66">_xlfn.LET(_xlpm.total,SUM(I66:L66),_xlpm.maxv,MAX(I66:L66),IF(_xlpm.total=0,"",IF(_xlpm.maxv/_xlpm.total&lt;0.5,"Mixed-Class",_xlfn.IFS(_xlpm.maxv=I66,"Assault",_xlpm.maxv=J66,"Engineer",_xlpm.maxv=K66,"Recon",_xlpm.maxv=L66,"Support"))))</f>
        <v/>
      </c>
      <c r="O66" t="str">
        <f t="shared" si="4"/>
        <v/>
      </c>
      <c r="P66" s="28" t="str">
        <f t="shared" si="3"/>
        <v/>
      </c>
    </row>
    <row r="67" spans="2:16" x14ac:dyDescent="0.25">
      <c r="B67">
        <v>657</v>
      </c>
      <c r="H67" t="str">
        <f t="shared" ref="H67:H130" si="6">IF(SUM(D67:G67)=0,"",IF(G67/SUM(D67:G67)&gt;=0.5,"Battle Royale",IF(F67/SUM(D67:F67)&gt;=0.6,"Infantry-Heavy",IF((D67+0.7*E67)/SUM(D67:F67)&gt;=0.7,"Vehicle-Heavy","Mixed"))))</f>
        <v/>
      </c>
      <c r="M67">
        <f t="shared" ref="M67:M130" si="7">SUM(I67:L67)</f>
        <v>0</v>
      </c>
      <c r="N67" t="str" cm="1">
        <f t="array" ref="N67">_xlfn.LET(_xlpm.total,SUM(I67:L67),_xlpm.maxv,MAX(I67:L67),IF(_xlpm.total=0,"",IF(_xlpm.maxv/_xlpm.total&lt;0.5,"Mixed-Class",_xlfn.IFS(_xlpm.maxv=I67,"Assault",_xlpm.maxv=J67,"Engineer",_xlpm.maxv=K67,"Recon",_xlpm.maxv=L67,"Support"))))</f>
        <v/>
      </c>
      <c r="O67" t="str">
        <f t="shared" ref="O67:O130" si="8">_xlfn.LET(_xlpm.total,SUM(I67:L67),IF(_xlpm.total=0,"",MAX(I67:L67)/_xlpm.total&gt;=0.5))</f>
        <v/>
      </c>
      <c r="P67" s="28" t="str">
        <f t="shared" ref="P67:P130" si="9">_xlfn.LET(_xlpm.total,SUM(I67:L67),IF(_xlpm.total=0,"",MAX(I67:L67)/_xlpm.total))</f>
        <v/>
      </c>
    </row>
    <row r="68" spans="2:16" x14ac:dyDescent="0.25">
      <c r="B68">
        <v>667</v>
      </c>
      <c r="H68" t="str">
        <f t="shared" si="6"/>
        <v/>
      </c>
      <c r="M68">
        <f t="shared" si="7"/>
        <v>0</v>
      </c>
      <c r="N68" t="str" cm="1">
        <f t="array" ref="N68">_xlfn.LET(_xlpm.total,SUM(I68:L68),_xlpm.maxv,MAX(I68:L68),IF(_xlpm.total=0,"",IF(_xlpm.maxv/_xlpm.total&lt;0.5,"Mixed-Class",_xlfn.IFS(_xlpm.maxv=I68,"Assault",_xlpm.maxv=J68,"Engineer",_xlpm.maxv=K68,"Recon",_xlpm.maxv=L68,"Support"))))</f>
        <v/>
      </c>
      <c r="O68" t="str">
        <f t="shared" si="8"/>
        <v/>
      </c>
      <c r="P68" s="28" t="str">
        <f t="shared" si="9"/>
        <v/>
      </c>
    </row>
    <row r="69" spans="2:16" x14ac:dyDescent="0.25">
      <c r="B69">
        <v>677</v>
      </c>
      <c r="H69" t="str">
        <f t="shared" si="6"/>
        <v/>
      </c>
      <c r="M69">
        <f t="shared" si="7"/>
        <v>0</v>
      </c>
      <c r="N69" t="str" cm="1">
        <f t="array" ref="N69">_xlfn.LET(_xlpm.total,SUM(I69:L69),_xlpm.maxv,MAX(I69:L69),IF(_xlpm.total=0,"",IF(_xlpm.maxv/_xlpm.total&lt;0.5,"Mixed-Class",_xlfn.IFS(_xlpm.maxv=I69,"Assault",_xlpm.maxv=J69,"Engineer",_xlpm.maxv=K69,"Recon",_xlpm.maxv=L69,"Support"))))</f>
        <v/>
      </c>
      <c r="O69" t="str">
        <f t="shared" si="8"/>
        <v/>
      </c>
      <c r="P69" s="28" t="str">
        <f t="shared" si="9"/>
        <v/>
      </c>
    </row>
    <row r="70" spans="2:16" x14ac:dyDescent="0.25">
      <c r="B70">
        <v>687</v>
      </c>
      <c r="H70" t="str">
        <f t="shared" si="6"/>
        <v/>
      </c>
      <c r="M70">
        <f t="shared" si="7"/>
        <v>0</v>
      </c>
      <c r="N70" t="str" cm="1">
        <f t="array" ref="N70">_xlfn.LET(_xlpm.total,SUM(I70:L70),_xlpm.maxv,MAX(I70:L70),IF(_xlpm.total=0,"",IF(_xlpm.maxv/_xlpm.total&lt;0.5,"Mixed-Class",_xlfn.IFS(_xlpm.maxv=I70,"Assault",_xlpm.maxv=J70,"Engineer",_xlpm.maxv=K70,"Recon",_xlpm.maxv=L70,"Support"))))</f>
        <v/>
      </c>
      <c r="O70" t="str">
        <f t="shared" si="8"/>
        <v/>
      </c>
      <c r="P70" s="28" t="str">
        <f t="shared" si="9"/>
        <v/>
      </c>
    </row>
    <row r="71" spans="2:16" x14ac:dyDescent="0.25">
      <c r="B71">
        <v>697</v>
      </c>
      <c r="H71" t="str">
        <f t="shared" si="6"/>
        <v/>
      </c>
      <c r="M71">
        <f t="shared" si="7"/>
        <v>0</v>
      </c>
      <c r="N71" t="str" cm="1">
        <f t="array" ref="N71">_xlfn.LET(_xlpm.total,SUM(I71:L71),_xlpm.maxv,MAX(I71:L71),IF(_xlpm.total=0,"",IF(_xlpm.maxv/_xlpm.total&lt;0.5,"Mixed-Class",_xlfn.IFS(_xlpm.maxv=I71,"Assault",_xlpm.maxv=J71,"Engineer",_xlpm.maxv=K71,"Recon",_xlpm.maxv=L71,"Support"))))</f>
        <v/>
      </c>
      <c r="O71" t="str">
        <f t="shared" si="8"/>
        <v/>
      </c>
      <c r="P71" s="28" t="str">
        <f t="shared" si="9"/>
        <v/>
      </c>
    </row>
    <row r="72" spans="2:16" x14ac:dyDescent="0.25">
      <c r="B72">
        <v>707</v>
      </c>
      <c r="H72" t="str">
        <f t="shared" si="6"/>
        <v/>
      </c>
      <c r="M72">
        <f t="shared" si="7"/>
        <v>0</v>
      </c>
      <c r="N72" t="str" cm="1">
        <f t="array" ref="N72">_xlfn.LET(_xlpm.total,SUM(I72:L72),_xlpm.maxv,MAX(I72:L72),IF(_xlpm.total=0,"",IF(_xlpm.maxv/_xlpm.total&lt;0.5,"Mixed-Class",_xlfn.IFS(_xlpm.maxv=I72,"Assault",_xlpm.maxv=J72,"Engineer",_xlpm.maxv=K72,"Recon",_xlpm.maxv=L72,"Support"))))</f>
        <v/>
      </c>
      <c r="O72" t="str">
        <f t="shared" si="8"/>
        <v/>
      </c>
      <c r="P72" s="28" t="str">
        <f t="shared" si="9"/>
        <v/>
      </c>
    </row>
    <row r="73" spans="2:16" x14ac:dyDescent="0.25">
      <c r="B73">
        <v>717</v>
      </c>
      <c r="H73" t="str">
        <f t="shared" si="6"/>
        <v/>
      </c>
      <c r="M73">
        <f t="shared" si="7"/>
        <v>0</v>
      </c>
      <c r="N73" t="str" cm="1">
        <f t="array" ref="N73">_xlfn.LET(_xlpm.total,SUM(I73:L73),_xlpm.maxv,MAX(I73:L73),IF(_xlpm.total=0,"",IF(_xlpm.maxv/_xlpm.total&lt;0.5,"Mixed-Class",_xlfn.IFS(_xlpm.maxv=I73,"Assault",_xlpm.maxv=J73,"Engineer",_xlpm.maxv=K73,"Recon",_xlpm.maxv=L73,"Support"))))</f>
        <v/>
      </c>
      <c r="O73" t="str">
        <f t="shared" si="8"/>
        <v/>
      </c>
      <c r="P73" s="28" t="str">
        <f t="shared" si="9"/>
        <v/>
      </c>
    </row>
    <row r="74" spans="2:16" x14ac:dyDescent="0.25">
      <c r="B74">
        <v>727</v>
      </c>
      <c r="H74" t="str">
        <f t="shared" si="6"/>
        <v/>
      </c>
      <c r="M74">
        <f t="shared" si="7"/>
        <v>0</v>
      </c>
      <c r="N74" t="str" cm="1">
        <f t="array" ref="N74">_xlfn.LET(_xlpm.total,SUM(I74:L74),_xlpm.maxv,MAX(I74:L74),IF(_xlpm.total=0,"",IF(_xlpm.maxv/_xlpm.total&lt;0.5,"Mixed-Class",_xlfn.IFS(_xlpm.maxv=I74,"Assault",_xlpm.maxv=J74,"Engineer",_xlpm.maxv=K74,"Recon",_xlpm.maxv=L74,"Support"))))</f>
        <v/>
      </c>
      <c r="O74" t="str">
        <f t="shared" si="8"/>
        <v/>
      </c>
      <c r="P74" s="28" t="str">
        <f t="shared" si="9"/>
        <v/>
      </c>
    </row>
    <row r="75" spans="2:16" x14ac:dyDescent="0.25">
      <c r="B75">
        <v>737</v>
      </c>
      <c r="H75" t="str">
        <f t="shared" si="6"/>
        <v/>
      </c>
      <c r="M75">
        <f t="shared" si="7"/>
        <v>0</v>
      </c>
      <c r="N75" t="str" cm="1">
        <f t="array" ref="N75">_xlfn.LET(_xlpm.total,SUM(I75:L75),_xlpm.maxv,MAX(I75:L75),IF(_xlpm.total=0,"",IF(_xlpm.maxv/_xlpm.total&lt;0.5,"Mixed-Class",_xlfn.IFS(_xlpm.maxv=I75,"Assault",_xlpm.maxv=J75,"Engineer",_xlpm.maxv=K75,"Recon",_xlpm.maxv=L75,"Support"))))</f>
        <v/>
      </c>
      <c r="O75" t="str">
        <f t="shared" si="8"/>
        <v/>
      </c>
      <c r="P75" s="28" t="str">
        <f t="shared" si="9"/>
        <v/>
      </c>
    </row>
    <row r="76" spans="2:16" x14ac:dyDescent="0.25">
      <c r="B76">
        <v>747</v>
      </c>
      <c r="H76" t="str">
        <f t="shared" si="6"/>
        <v/>
      </c>
      <c r="M76">
        <f t="shared" si="7"/>
        <v>0</v>
      </c>
      <c r="N76" t="str" cm="1">
        <f t="array" ref="N76">_xlfn.LET(_xlpm.total,SUM(I76:L76),_xlpm.maxv,MAX(I76:L76),IF(_xlpm.total=0,"",IF(_xlpm.maxv/_xlpm.total&lt;0.5,"Mixed-Class",_xlfn.IFS(_xlpm.maxv=I76,"Assault",_xlpm.maxv=J76,"Engineer",_xlpm.maxv=K76,"Recon",_xlpm.maxv=L76,"Support"))))</f>
        <v/>
      </c>
      <c r="O76" t="str">
        <f t="shared" si="8"/>
        <v/>
      </c>
      <c r="P76" s="28" t="str">
        <f t="shared" si="9"/>
        <v/>
      </c>
    </row>
    <row r="77" spans="2:16" x14ac:dyDescent="0.25">
      <c r="B77">
        <v>757</v>
      </c>
      <c r="H77" t="str">
        <f t="shared" si="6"/>
        <v/>
      </c>
      <c r="M77">
        <f t="shared" si="7"/>
        <v>0</v>
      </c>
      <c r="N77" t="str" cm="1">
        <f t="array" ref="N77">_xlfn.LET(_xlpm.total,SUM(I77:L77),_xlpm.maxv,MAX(I77:L77),IF(_xlpm.total=0,"",IF(_xlpm.maxv/_xlpm.total&lt;0.5,"Mixed-Class",_xlfn.IFS(_xlpm.maxv=I77,"Assault",_xlpm.maxv=J77,"Engineer",_xlpm.maxv=K77,"Recon",_xlpm.maxv=L77,"Support"))))</f>
        <v/>
      </c>
      <c r="O77" t="str">
        <f t="shared" si="8"/>
        <v/>
      </c>
      <c r="P77" s="28" t="str">
        <f t="shared" si="9"/>
        <v/>
      </c>
    </row>
    <row r="78" spans="2:16" x14ac:dyDescent="0.25">
      <c r="B78">
        <v>767</v>
      </c>
      <c r="H78" t="str">
        <f t="shared" si="6"/>
        <v/>
      </c>
      <c r="M78">
        <f t="shared" si="7"/>
        <v>0</v>
      </c>
      <c r="N78" t="str" cm="1">
        <f t="array" ref="N78">_xlfn.LET(_xlpm.total,SUM(I78:L78),_xlpm.maxv,MAX(I78:L78),IF(_xlpm.total=0,"",IF(_xlpm.maxv/_xlpm.total&lt;0.5,"Mixed-Class",_xlfn.IFS(_xlpm.maxv=I78,"Assault",_xlpm.maxv=J78,"Engineer",_xlpm.maxv=K78,"Recon",_xlpm.maxv=L78,"Support"))))</f>
        <v/>
      </c>
      <c r="O78" t="str">
        <f t="shared" si="8"/>
        <v/>
      </c>
      <c r="P78" s="28" t="str">
        <f t="shared" si="9"/>
        <v/>
      </c>
    </row>
    <row r="79" spans="2:16" x14ac:dyDescent="0.25">
      <c r="B79">
        <v>777</v>
      </c>
      <c r="H79" t="str">
        <f t="shared" si="6"/>
        <v/>
      </c>
      <c r="M79">
        <f t="shared" si="7"/>
        <v>0</v>
      </c>
      <c r="N79" t="str" cm="1">
        <f t="array" ref="N79">_xlfn.LET(_xlpm.total,SUM(I79:L79),_xlpm.maxv,MAX(I79:L79),IF(_xlpm.total=0,"",IF(_xlpm.maxv/_xlpm.total&lt;0.5,"Mixed-Class",_xlfn.IFS(_xlpm.maxv=I79,"Assault",_xlpm.maxv=J79,"Engineer",_xlpm.maxv=K79,"Recon",_xlpm.maxv=L79,"Support"))))</f>
        <v/>
      </c>
      <c r="O79" t="str">
        <f t="shared" si="8"/>
        <v/>
      </c>
      <c r="P79" s="28" t="str">
        <f t="shared" si="9"/>
        <v/>
      </c>
    </row>
    <row r="80" spans="2:16" x14ac:dyDescent="0.25">
      <c r="B80">
        <v>787</v>
      </c>
      <c r="H80" t="str">
        <f t="shared" si="6"/>
        <v/>
      </c>
      <c r="M80">
        <f t="shared" si="7"/>
        <v>0</v>
      </c>
      <c r="N80" t="str" cm="1">
        <f t="array" ref="N80">_xlfn.LET(_xlpm.total,SUM(I80:L80),_xlpm.maxv,MAX(I80:L80),IF(_xlpm.total=0,"",IF(_xlpm.maxv/_xlpm.total&lt;0.5,"Mixed-Class",_xlfn.IFS(_xlpm.maxv=I80,"Assault",_xlpm.maxv=J80,"Engineer",_xlpm.maxv=K80,"Recon",_xlpm.maxv=L80,"Support"))))</f>
        <v/>
      </c>
      <c r="O80" t="str">
        <f t="shared" si="8"/>
        <v/>
      </c>
      <c r="P80" s="28" t="str">
        <f t="shared" si="9"/>
        <v/>
      </c>
    </row>
    <row r="81" spans="2:16" x14ac:dyDescent="0.25">
      <c r="B81">
        <v>797</v>
      </c>
      <c r="H81" t="str">
        <f t="shared" si="6"/>
        <v/>
      </c>
      <c r="M81">
        <f t="shared" si="7"/>
        <v>0</v>
      </c>
      <c r="N81" t="str" cm="1">
        <f t="array" ref="N81">_xlfn.LET(_xlpm.total,SUM(I81:L81),_xlpm.maxv,MAX(I81:L81),IF(_xlpm.total=0,"",IF(_xlpm.maxv/_xlpm.total&lt;0.5,"Mixed-Class",_xlfn.IFS(_xlpm.maxv=I81,"Assault",_xlpm.maxv=J81,"Engineer",_xlpm.maxv=K81,"Recon",_xlpm.maxv=L81,"Support"))))</f>
        <v/>
      </c>
      <c r="O81" t="str">
        <f t="shared" si="8"/>
        <v/>
      </c>
      <c r="P81" s="28" t="str">
        <f t="shared" si="9"/>
        <v/>
      </c>
    </row>
    <row r="82" spans="2:16" x14ac:dyDescent="0.25">
      <c r="B82">
        <v>807</v>
      </c>
      <c r="H82" t="str">
        <f t="shared" si="6"/>
        <v/>
      </c>
      <c r="M82">
        <f t="shared" si="7"/>
        <v>0</v>
      </c>
      <c r="N82" t="str" cm="1">
        <f t="array" ref="N82">_xlfn.LET(_xlpm.total,SUM(I82:L82),_xlpm.maxv,MAX(I82:L82),IF(_xlpm.total=0,"",IF(_xlpm.maxv/_xlpm.total&lt;0.5,"Mixed-Class",_xlfn.IFS(_xlpm.maxv=I82,"Assault",_xlpm.maxv=J82,"Engineer",_xlpm.maxv=K82,"Recon",_xlpm.maxv=L82,"Support"))))</f>
        <v/>
      </c>
      <c r="O82" t="str">
        <f t="shared" si="8"/>
        <v/>
      </c>
      <c r="P82" s="28" t="str">
        <f t="shared" si="9"/>
        <v/>
      </c>
    </row>
    <row r="83" spans="2:16" x14ac:dyDescent="0.25">
      <c r="B83">
        <v>817</v>
      </c>
      <c r="H83" t="str">
        <f t="shared" si="6"/>
        <v/>
      </c>
      <c r="M83">
        <f t="shared" si="7"/>
        <v>0</v>
      </c>
      <c r="N83" t="str" cm="1">
        <f t="array" ref="N83">_xlfn.LET(_xlpm.total,SUM(I83:L83),_xlpm.maxv,MAX(I83:L83),IF(_xlpm.total=0,"",IF(_xlpm.maxv/_xlpm.total&lt;0.5,"Mixed-Class",_xlfn.IFS(_xlpm.maxv=I83,"Assault",_xlpm.maxv=J83,"Engineer",_xlpm.maxv=K83,"Recon",_xlpm.maxv=L83,"Support"))))</f>
        <v/>
      </c>
      <c r="O83" t="str">
        <f t="shared" si="8"/>
        <v/>
      </c>
      <c r="P83" s="28" t="str">
        <f t="shared" si="9"/>
        <v/>
      </c>
    </row>
    <row r="84" spans="2:16" x14ac:dyDescent="0.25">
      <c r="B84">
        <v>827</v>
      </c>
      <c r="H84" t="str">
        <f t="shared" si="6"/>
        <v/>
      </c>
      <c r="M84">
        <f t="shared" si="7"/>
        <v>0</v>
      </c>
      <c r="N84" t="str" cm="1">
        <f t="array" ref="N84">_xlfn.LET(_xlpm.total,SUM(I84:L84),_xlpm.maxv,MAX(I84:L84),IF(_xlpm.total=0,"",IF(_xlpm.maxv/_xlpm.total&lt;0.5,"Mixed-Class",_xlfn.IFS(_xlpm.maxv=I84,"Assault",_xlpm.maxv=J84,"Engineer",_xlpm.maxv=K84,"Recon",_xlpm.maxv=L84,"Support"))))</f>
        <v/>
      </c>
      <c r="O84" t="str">
        <f t="shared" si="8"/>
        <v/>
      </c>
      <c r="P84" s="28" t="str">
        <f t="shared" si="9"/>
        <v/>
      </c>
    </row>
    <row r="85" spans="2:16" x14ac:dyDescent="0.25">
      <c r="B85">
        <v>837</v>
      </c>
      <c r="H85" t="str">
        <f t="shared" si="6"/>
        <v/>
      </c>
      <c r="M85">
        <f t="shared" si="7"/>
        <v>0</v>
      </c>
      <c r="N85" t="str" cm="1">
        <f t="array" ref="N85">_xlfn.LET(_xlpm.total,SUM(I85:L85),_xlpm.maxv,MAX(I85:L85),IF(_xlpm.total=0,"",IF(_xlpm.maxv/_xlpm.total&lt;0.5,"Mixed-Class",_xlfn.IFS(_xlpm.maxv=I85,"Assault",_xlpm.maxv=J85,"Engineer",_xlpm.maxv=K85,"Recon",_xlpm.maxv=L85,"Support"))))</f>
        <v/>
      </c>
      <c r="O85" t="str">
        <f t="shared" si="8"/>
        <v/>
      </c>
      <c r="P85" s="28" t="str">
        <f t="shared" si="9"/>
        <v/>
      </c>
    </row>
    <row r="86" spans="2:16" x14ac:dyDescent="0.25">
      <c r="B86">
        <v>847</v>
      </c>
      <c r="H86" t="str">
        <f t="shared" si="6"/>
        <v/>
      </c>
      <c r="M86">
        <f t="shared" si="7"/>
        <v>0</v>
      </c>
      <c r="N86" t="str" cm="1">
        <f t="array" ref="N86">_xlfn.LET(_xlpm.total,SUM(I86:L86),_xlpm.maxv,MAX(I86:L86),IF(_xlpm.total=0,"",IF(_xlpm.maxv/_xlpm.total&lt;0.5,"Mixed-Class",_xlfn.IFS(_xlpm.maxv=I86,"Assault",_xlpm.maxv=J86,"Engineer",_xlpm.maxv=K86,"Recon",_xlpm.maxv=L86,"Support"))))</f>
        <v/>
      </c>
      <c r="O86" t="str">
        <f t="shared" si="8"/>
        <v/>
      </c>
      <c r="P86" s="28" t="str">
        <f t="shared" si="9"/>
        <v/>
      </c>
    </row>
    <row r="87" spans="2:16" x14ac:dyDescent="0.25">
      <c r="B87">
        <v>857</v>
      </c>
      <c r="H87" t="str">
        <f t="shared" si="6"/>
        <v/>
      </c>
      <c r="M87">
        <f t="shared" si="7"/>
        <v>0</v>
      </c>
      <c r="N87" t="str" cm="1">
        <f t="array" ref="N87">_xlfn.LET(_xlpm.total,SUM(I87:L87),_xlpm.maxv,MAX(I87:L87),IF(_xlpm.total=0,"",IF(_xlpm.maxv/_xlpm.total&lt;0.5,"Mixed-Class",_xlfn.IFS(_xlpm.maxv=I87,"Assault",_xlpm.maxv=J87,"Engineer",_xlpm.maxv=K87,"Recon",_xlpm.maxv=L87,"Support"))))</f>
        <v/>
      </c>
      <c r="O87" t="str">
        <f t="shared" si="8"/>
        <v/>
      </c>
      <c r="P87" s="28" t="str">
        <f t="shared" si="9"/>
        <v/>
      </c>
    </row>
    <row r="88" spans="2:16" x14ac:dyDescent="0.25">
      <c r="B88">
        <v>867</v>
      </c>
      <c r="H88" t="str">
        <f t="shared" si="6"/>
        <v/>
      </c>
      <c r="M88">
        <f t="shared" si="7"/>
        <v>0</v>
      </c>
      <c r="N88" t="str" cm="1">
        <f t="array" ref="N88">_xlfn.LET(_xlpm.total,SUM(I88:L88),_xlpm.maxv,MAX(I88:L88),IF(_xlpm.total=0,"",IF(_xlpm.maxv/_xlpm.total&lt;0.5,"Mixed-Class",_xlfn.IFS(_xlpm.maxv=I88,"Assault",_xlpm.maxv=J88,"Engineer",_xlpm.maxv=K88,"Recon",_xlpm.maxv=L88,"Support"))))</f>
        <v/>
      </c>
      <c r="O88" t="str">
        <f t="shared" si="8"/>
        <v/>
      </c>
      <c r="P88" s="28" t="str">
        <f t="shared" si="9"/>
        <v/>
      </c>
    </row>
    <row r="89" spans="2:16" x14ac:dyDescent="0.25">
      <c r="B89">
        <v>877</v>
      </c>
      <c r="H89" t="str">
        <f t="shared" si="6"/>
        <v/>
      </c>
      <c r="M89">
        <f t="shared" si="7"/>
        <v>0</v>
      </c>
      <c r="N89" t="str" cm="1">
        <f t="array" ref="N89">_xlfn.LET(_xlpm.total,SUM(I89:L89),_xlpm.maxv,MAX(I89:L89),IF(_xlpm.total=0,"",IF(_xlpm.maxv/_xlpm.total&lt;0.5,"Mixed-Class",_xlfn.IFS(_xlpm.maxv=I89,"Assault",_xlpm.maxv=J89,"Engineer",_xlpm.maxv=K89,"Recon",_xlpm.maxv=L89,"Support"))))</f>
        <v/>
      </c>
      <c r="O89" t="str">
        <f t="shared" si="8"/>
        <v/>
      </c>
      <c r="P89" s="28" t="str">
        <f t="shared" si="9"/>
        <v/>
      </c>
    </row>
    <row r="90" spans="2:16" x14ac:dyDescent="0.25">
      <c r="B90">
        <v>887</v>
      </c>
      <c r="H90" t="str">
        <f t="shared" si="6"/>
        <v/>
      </c>
      <c r="M90">
        <f t="shared" si="7"/>
        <v>0</v>
      </c>
      <c r="N90" t="str" cm="1">
        <f t="array" ref="N90">_xlfn.LET(_xlpm.total,SUM(I90:L90),_xlpm.maxv,MAX(I90:L90),IF(_xlpm.total=0,"",IF(_xlpm.maxv/_xlpm.total&lt;0.5,"Mixed-Class",_xlfn.IFS(_xlpm.maxv=I90,"Assault",_xlpm.maxv=J90,"Engineer",_xlpm.maxv=K90,"Recon",_xlpm.maxv=L90,"Support"))))</f>
        <v/>
      </c>
      <c r="O90" t="str">
        <f t="shared" si="8"/>
        <v/>
      </c>
      <c r="P90" s="28" t="str">
        <f t="shared" si="9"/>
        <v/>
      </c>
    </row>
    <row r="91" spans="2:16" x14ac:dyDescent="0.25">
      <c r="B91">
        <v>897</v>
      </c>
      <c r="H91" t="str">
        <f t="shared" si="6"/>
        <v/>
      </c>
      <c r="M91">
        <f t="shared" si="7"/>
        <v>0</v>
      </c>
      <c r="N91" t="str" cm="1">
        <f t="array" ref="N91">_xlfn.LET(_xlpm.total,SUM(I91:L91),_xlpm.maxv,MAX(I91:L91),IF(_xlpm.total=0,"",IF(_xlpm.maxv/_xlpm.total&lt;0.5,"Mixed-Class",_xlfn.IFS(_xlpm.maxv=I91,"Assault",_xlpm.maxv=J91,"Engineer",_xlpm.maxv=K91,"Recon",_xlpm.maxv=L91,"Support"))))</f>
        <v/>
      </c>
      <c r="O91" t="str">
        <f t="shared" si="8"/>
        <v/>
      </c>
      <c r="P91" s="28" t="str">
        <f t="shared" si="9"/>
        <v/>
      </c>
    </row>
    <row r="92" spans="2:16" x14ac:dyDescent="0.25">
      <c r="B92">
        <v>907</v>
      </c>
      <c r="H92" t="str">
        <f t="shared" si="6"/>
        <v/>
      </c>
      <c r="M92">
        <f t="shared" si="7"/>
        <v>0</v>
      </c>
      <c r="N92" t="str" cm="1">
        <f t="array" ref="N92">_xlfn.LET(_xlpm.total,SUM(I92:L92),_xlpm.maxv,MAX(I92:L92),IF(_xlpm.total=0,"",IF(_xlpm.maxv/_xlpm.total&lt;0.5,"Mixed-Class",_xlfn.IFS(_xlpm.maxv=I92,"Assault",_xlpm.maxv=J92,"Engineer",_xlpm.maxv=K92,"Recon",_xlpm.maxv=L92,"Support"))))</f>
        <v/>
      </c>
      <c r="O92" t="str">
        <f t="shared" si="8"/>
        <v/>
      </c>
      <c r="P92" s="28" t="str">
        <f t="shared" si="9"/>
        <v/>
      </c>
    </row>
    <row r="93" spans="2:16" x14ac:dyDescent="0.25">
      <c r="B93">
        <v>917</v>
      </c>
      <c r="H93" t="str">
        <f t="shared" si="6"/>
        <v/>
      </c>
      <c r="M93">
        <f t="shared" si="7"/>
        <v>0</v>
      </c>
      <c r="N93" t="str" cm="1">
        <f t="array" ref="N93">_xlfn.LET(_xlpm.total,SUM(I93:L93),_xlpm.maxv,MAX(I93:L93),IF(_xlpm.total=0,"",IF(_xlpm.maxv/_xlpm.total&lt;0.5,"Mixed-Class",_xlfn.IFS(_xlpm.maxv=I93,"Assault",_xlpm.maxv=J93,"Engineer",_xlpm.maxv=K93,"Recon",_xlpm.maxv=L93,"Support"))))</f>
        <v/>
      </c>
      <c r="O93" t="str">
        <f t="shared" si="8"/>
        <v/>
      </c>
      <c r="P93" s="28" t="str">
        <f t="shared" si="9"/>
        <v/>
      </c>
    </row>
    <row r="94" spans="2:16" x14ac:dyDescent="0.25">
      <c r="B94">
        <v>927</v>
      </c>
      <c r="H94" t="str">
        <f t="shared" si="6"/>
        <v/>
      </c>
      <c r="M94">
        <f t="shared" si="7"/>
        <v>0</v>
      </c>
      <c r="N94" t="str" cm="1">
        <f t="array" ref="N94">_xlfn.LET(_xlpm.total,SUM(I94:L94),_xlpm.maxv,MAX(I94:L94),IF(_xlpm.total=0,"",IF(_xlpm.maxv/_xlpm.total&lt;0.5,"Mixed-Class",_xlfn.IFS(_xlpm.maxv=I94,"Assault",_xlpm.maxv=J94,"Engineer",_xlpm.maxv=K94,"Recon",_xlpm.maxv=L94,"Support"))))</f>
        <v/>
      </c>
      <c r="O94" t="str">
        <f t="shared" si="8"/>
        <v/>
      </c>
      <c r="P94" s="28" t="str">
        <f t="shared" si="9"/>
        <v/>
      </c>
    </row>
    <row r="95" spans="2:16" x14ac:dyDescent="0.25">
      <c r="B95">
        <v>937</v>
      </c>
      <c r="H95" t="str">
        <f t="shared" si="6"/>
        <v/>
      </c>
      <c r="M95">
        <f t="shared" si="7"/>
        <v>0</v>
      </c>
      <c r="N95" t="str" cm="1">
        <f t="array" ref="N95">_xlfn.LET(_xlpm.total,SUM(I95:L95),_xlpm.maxv,MAX(I95:L95),IF(_xlpm.total=0,"",IF(_xlpm.maxv/_xlpm.total&lt;0.5,"Mixed-Class",_xlfn.IFS(_xlpm.maxv=I95,"Assault",_xlpm.maxv=J95,"Engineer",_xlpm.maxv=K95,"Recon",_xlpm.maxv=L95,"Support"))))</f>
        <v/>
      </c>
      <c r="O95" t="str">
        <f t="shared" si="8"/>
        <v/>
      </c>
      <c r="P95" s="28" t="str">
        <f t="shared" si="9"/>
        <v/>
      </c>
    </row>
    <row r="96" spans="2:16" x14ac:dyDescent="0.25">
      <c r="B96">
        <v>947</v>
      </c>
      <c r="H96" t="str">
        <f t="shared" si="6"/>
        <v/>
      </c>
      <c r="M96">
        <f t="shared" si="7"/>
        <v>0</v>
      </c>
      <c r="N96" t="str" cm="1">
        <f t="array" ref="N96">_xlfn.LET(_xlpm.total,SUM(I96:L96),_xlpm.maxv,MAX(I96:L96),IF(_xlpm.total=0,"",IF(_xlpm.maxv/_xlpm.total&lt;0.5,"Mixed-Class",_xlfn.IFS(_xlpm.maxv=I96,"Assault",_xlpm.maxv=J96,"Engineer",_xlpm.maxv=K96,"Recon",_xlpm.maxv=L96,"Support"))))</f>
        <v/>
      </c>
      <c r="O96" t="str">
        <f t="shared" si="8"/>
        <v/>
      </c>
      <c r="P96" s="28" t="str">
        <f t="shared" si="9"/>
        <v/>
      </c>
    </row>
    <row r="97" spans="2:16" x14ac:dyDescent="0.25">
      <c r="B97">
        <v>957</v>
      </c>
      <c r="H97" t="str">
        <f t="shared" si="6"/>
        <v/>
      </c>
      <c r="M97">
        <f t="shared" si="7"/>
        <v>0</v>
      </c>
      <c r="N97" t="str" cm="1">
        <f t="array" ref="N97">_xlfn.LET(_xlpm.total,SUM(I97:L97),_xlpm.maxv,MAX(I97:L97),IF(_xlpm.total=0,"",IF(_xlpm.maxv/_xlpm.total&lt;0.5,"Mixed-Class",_xlfn.IFS(_xlpm.maxv=I97,"Assault",_xlpm.maxv=J97,"Engineer",_xlpm.maxv=K97,"Recon",_xlpm.maxv=L97,"Support"))))</f>
        <v/>
      </c>
      <c r="O97" t="str">
        <f t="shared" si="8"/>
        <v/>
      </c>
      <c r="P97" s="28" t="str">
        <f t="shared" si="9"/>
        <v/>
      </c>
    </row>
    <row r="98" spans="2:16" x14ac:dyDescent="0.25">
      <c r="B98">
        <v>967</v>
      </c>
      <c r="H98" t="str">
        <f t="shared" si="6"/>
        <v/>
      </c>
      <c r="M98">
        <f t="shared" si="7"/>
        <v>0</v>
      </c>
      <c r="N98" t="str" cm="1">
        <f t="array" ref="N98">_xlfn.LET(_xlpm.total,SUM(I98:L98),_xlpm.maxv,MAX(I98:L98),IF(_xlpm.total=0,"",IF(_xlpm.maxv/_xlpm.total&lt;0.5,"Mixed-Class",_xlfn.IFS(_xlpm.maxv=I98,"Assault",_xlpm.maxv=J98,"Engineer",_xlpm.maxv=K98,"Recon",_xlpm.maxv=L98,"Support"))))</f>
        <v/>
      </c>
      <c r="O98" t="str">
        <f t="shared" si="8"/>
        <v/>
      </c>
      <c r="P98" s="28" t="str">
        <f t="shared" si="9"/>
        <v/>
      </c>
    </row>
    <row r="99" spans="2:16" x14ac:dyDescent="0.25">
      <c r="B99">
        <v>977</v>
      </c>
      <c r="H99" t="str">
        <f t="shared" si="6"/>
        <v/>
      </c>
      <c r="M99">
        <f t="shared" si="7"/>
        <v>0</v>
      </c>
      <c r="N99" t="str" cm="1">
        <f t="array" ref="N99">_xlfn.LET(_xlpm.total,SUM(I99:L99),_xlpm.maxv,MAX(I99:L99),IF(_xlpm.total=0,"",IF(_xlpm.maxv/_xlpm.total&lt;0.5,"Mixed-Class",_xlfn.IFS(_xlpm.maxv=I99,"Assault",_xlpm.maxv=J99,"Engineer",_xlpm.maxv=K99,"Recon",_xlpm.maxv=L99,"Support"))))</f>
        <v/>
      </c>
      <c r="O99" t="str">
        <f t="shared" si="8"/>
        <v/>
      </c>
      <c r="P99" s="28" t="str">
        <f t="shared" si="9"/>
        <v/>
      </c>
    </row>
    <row r="100" spans="2:16" x14ac:dyDescent="0.25">
      <c r="B100">
        <v>987</v>
      </c>
      <c r="H100" t="str">
        <f t="shared" si="6"/>
        <v/>
      </c>
      <c r="M100">
        <f t="shared" si="7"/>
        <v>0</v>
      </c>
      <c r="N100" t="str" cm="1">
        <f t="array" ref="N100">_xlfn.LET(_xlpm.total,SUM(I100:L100),_xlpm.maxv,MAX(I100:L100),IF(_xlpm.total=0,"",IF(_xlpm.maxv/_xlpm.total&lt;0.5,"Mixed-Class",_xlfn.IFS(_xlpm.maxv=I100,"Assault",_xlpm.maxv=J100,"Engineer",_xlpm.maxv=K100,"Recon",_xlpm.maxv=L100,"Support"))))</f>
        <v/>
      </c>
      <c r="O100" t="str">
        <f t="shared" si="8"/>
        <v/>
      </c>
      <c r="P100" s="28" t="str">
        <f t="shared" si="9"/>
        <v/>
      </c>
    </row>
    <row r="101" spans="2:16" x14ac:dyDescent="0.25">
      <c r="B101">
        <v>997</v>
      </c>
      <c r="H101" t="str">
        <f t="shared" si="6"/>
        <v/>
      </c>
      <c r="M101">
        <f t="shared" si="7"/>
        <v>0</v>
      </c>
      <c r="N101" t="str" cm="1">
        <f t="array" ref="N101">_xlfn.LET(_xlpm.total,SUM(I101:L101),_xlpm.maxv,MAX(I101:L101),IF(_xlpm.total=0,"",IF(_xlpm.maxv/_xlpm.total&lt;0.5,"Mixed-Class",_xlfn.IFS(_xlpm.maxv=I101,"Assault",_xlpm.maxv=J101,"Engineer",_xlpm.maxv=K101,"Recon",_xlpm.maxv=L101,"Support"))))</f>
        <v/>
      </c>
      <c r="O101" t="str">
        <f t="shared" si="8"/>
        <v/>
      </c>
      <c r="P101" s="28" t="str">
        <f t="shared" si="9"/>
        <v/>
      </c>
    </row>
    <row r="102" spans="2:16" x14ac:dyDescent="0.25">
      <c r="B102">
        <v>1007</v>
      </c>
      <c r="H102" t="str">
        <f t="shared" si="6"/>
        <v/>
      </c>
      <c r="M102">
        <f t="shared" si="7"/>
        <v>0</v>
      </c>
      <c r="N102" t="str" cm="1">
        <f t="array" ref="N102">_xlfn.LET(_xlpm.total,SUM(I102:L102),_xlpm.maxv,MAX(I102:L102),IF(_xlpm.total=0,"",IF(_xlpm.maxv/_xlpm.total&lt;0.5,"Mixed-Class",_xlfn.IFS(_xlpm.maxv=I102,"Assault",_xlpm.maxv=J102,"Engineer",_xlpm.maxv=K102,"Recon",_xlpm.maxv=L102,"Support"))))</f>
        <v/>
      </c>
      <c r="O102" t="str">
        <f t="shared" si="8"/>
        <v/>
      </c>
      <c r="P102" s="28" t="str">
        <f t="shared" si="9"/>
        <v/>
      </c>
    </row>
    <row r="103" spans="2:16" x14ac:dyDescent="0.25">
      <c r="B103">
        <v>1017</v>
      </c>
      <c r="H103" t="str">
        <f t="shared" si="6"/>
        <v/>
      </c>
      <c r="M103">
        <f t="shared" si="7"/>
        <v>0</v>
      </c>
      <c r="N103" t="str" cm="1">
        <f t="array" ref="N103">_xlfn.LET(_xlpm.total,SUM(I103:L103),_xlpm.maxv,MAX(I103:L103),IF(_xlpm.total=0,"",IF(_xlpm.maxv/_xlpm.total&lt;0.5,"Mixed-Class",_xlfn.IFS(_xlpm.maxv=I103,"Assault",_xlpm.maxv=J103,"Engineer",_xlpm.maxv=K103,"Recon",_xlpm.maxv=L103,"Support"))))</f>
        <v/>
      </c>
      <c r="O103" t="str">
        <f t="shared" si="8"/>
        <v/>
      </c>
      <c r="P103" s="28" t="str">
        <f t="shared" si="9"/>
        <v/>
      </c>
    </row>
    <row r="104" spans="2:16" x14ac:dyDescent="0.25">
      <c r="B104">
        <v>1027</v>
      </c>
      <c r="H104" t="str">
        <f t="shared" si="6"/>
        <v/>
      </c>
      <c r="M104">
        <f t="shared" si="7"/>
        <v>0</v>
      </c>
      <c r="N104" t="str" cm="1">
        <f t="array" ref="N104">_xlfn.LET(_xlpm.total,SUM(I104:L104),_xlpm.maxv,MAX(I104:L104),IF(_xlpm.total=0,"",IF(_xlpm.maxv/_xlpm.total&lt;0.5,"Mixed-Class",_xlfn.IFS(_xlpm.maxv=I104,"Assault",_xlpm.maxv=J104,"Engineer",_xlpm.maxv=K104,"Recon",_xlpm.maxv=L104,"Support"))))</f>
        <v/>
      </c>
      <c r="O104" t="str">
        <f t="shared" si="8"/>
        <v/>
      </c>
      <c r="P104" s="28" t="str">
        <f t="shared" si="9"/>
        <v/>
      </c>
    </row>
    <row r="105" spans="2:16" x14ac:dyDescent="0.25">
      <c r="B105">
        <v>1037</v>
      </c>
      <c r="H105" t="str">
        <f t="shared" si="6"/>
        <v/>
      </c>
      <c r="M105">
        <f t="shared" si="7"/>
        <v>0</v>
      </c>
      <c r="N105" t="str" cm="1">
        <f t="array" ref="N105">_xlfn.LET(_xlpm.total,SUM(I105:L105),_xlpm.maxv,MAX(I105:L105),IF(_xlpm.total=0,"",IF(_xlpm.maxv/_xlpm.total&lt;0.5,"Mixed-Class",_xlfn.IFS(_xlpm.maxv=I105,"Assault",_xlpm.maxv=J105,"Engineer",_xlpm.maxv=K105,"Recon",_xlpm.maxv=L105,"Support"))))</f>
        <v/>
      </c>
      <c r="O105" t="str">
        <f t="shared" si="8"/>
        <v/>
      </c>
      <c r="P105" s="28" t="str">
        <f t="shared" si="9"/>
        <v/>
      </c>
    </row>
    <row r="106" spans="2:16" x14ac:dyDescent="0.25">
      <c r="B106">
        <v>1047</v>
      </c>
      <c r="H106" t="str">
        <f t="shared" si="6"/>
        <v/>
      </c>
      <c r="M106">
        <f t="shared" si="7"/>
        <v>0</v>
      </c>
      <c r="N106" t="str" cm="1">
        <f t="array" ref="N106">_xlfn.LET(_xlpm.total,SUM(I106:L106),_xlpm.maxv,MAX(I106:L106),IF(_xlpm.total=0,"",IF(_xlpm.maxv/_xlpm.total&lt;0.5,"Mixed-Class",_xlfn.IFS(_xlpm.maxv=I106,"Assault",_xlpm.maxv=J106,"Engineer",_xlpm.maxv=K106,"Recon",_xlpm.maxv=L106,"Support"))))</f>
        <v/>
      </c>
      <c r="O106" t="str">
        <f t="shared" si="8"/>
        <v/>
      </c>
      <c r="P106" s="28" t="str">
        <f t="shared" si="9"/>
        <v/>
      </c>
    </row>
    <row r="107" spans="2:16" x14ac:dyDescent="0.25">
      <c r="B107">
        <v>1057</v>
      </c>
      <c r="H107" t="str">
        <f t="shared" si="6"/>
        <v/>
      </c>
      <c r="M107">
        <f t="shared" si="7"/>
        <v>0</v>
      </c>
      <c r="N107" t="str" cm="1">
        <f t="array" ref="N107">_xlfn.LET(_xlpm.total,SUM(I107:L107),_xlpm.maxv,MAX(I107:L107),IF(_xlpm.total=0,"",IF(_xlpm.maxv/_xlpm.total&lt;0.5,"Mixed-Class",_xlfn.IFS(_xlpm.maxv=I107,"Assault",_xlpm.maxv=J107,"Engineer",_xlpm.maxv=K107,"Recon",_xlpm.maxv=L107,"Support"))))</f>
        <v/>
      </c>
      <c r="O107" t="str">
        <f t="shared" si="8"/>
        <v/>
      </c>
      <c r="P107" s="28" t="str">
        <f t="shared" si="9"/>
        <v/>
      </c>
    </row>
    <row r="108" spans="2:16" x14ac:dyDescent="0.25">
      <c r="B108">
        <v>1067</v>
      </c>
      <c r="H108" t="str">
        <f t="shared" si="6"/>
        <v/>
      </c>
      <c r="M108">
        <f t="shared" si="7"/>
        <v>0</v>
      </c>
      <c r="N108" t="str" cm="1">
        <f t="array" ref="N108">_xlfn.LET(_xlpm.total,SUM(I108:L108),_xlpm.maxv,MAX(I108:L108),IF(_xlpm.total=0,"",IF(_xlpm.maxv/_xlpm.total&lt;0.5,"Mixed-Class",_xlfn.IFS(_xlpm.maxv=I108,"Assault",_xlpm.maxv=J108,"Engineer",_xlpm.maxv=K108,"Recon",_xlpm.maxv=L108,"Support"))))</f>
        <v/>
      </c>
      <c r="O108" t="str">
        <f t="shared" si="8"/>
        <v/>
      </c>
      <c r="P108" s="28" t="str">
        <f t="shared" si="9"/>
        <v/>
      </c>
    </row>
    <row r="109" spans="2:16" x14ac:dyDescent="0.25">
      <c r="B109">
        <v>1077</v>
      </c>
      <c r="H109" t="str">
        <f t="shared" si="6"/>
        <v/>
      </c>
      <c r="M109">
        <f t="shared" si="7"/>
        <v>0</v>
      </c>
      <c r="N109" t="str" cm="1">
        <f t="array" ref="N109">_xlfn.LET(_xlpm.total,SUM(I109:L109),_xlpm.maxv,MAX(I109:L109),IF(_xlpm.total=0,"",IF(_xlpm.maxv/_xlpm.total&lt;0.5,"Mixed-Class",_xlfn.IFS(_xlpm.maxv=I109,"Assault",_xlpm.maxv=J109,"Engineer",_xlpm.maxv=K109,"Recon",_xlpm.maxv=L109,"Support"))))</f>
        <v/>
      </c>
      <c r="O109" t="str">
        <f t="shared" si="8"/>
        <v/>
      </c>
      <c r="P109" s="28" t="str">
        <f t="shared" si="9"/>
        <v/>
      </c>
    </row>
    <row r="110" spans="2:16" x14ac:dyDescent="0.25">
      <c r="B110">
        <v>1087</v>
      </c>
      <c r="H110" t="str">
        <f t="shared" si="6"/>
        <v/>
      </c>
      <c r="M110">
        <f t="shared" si="7"/>
        <v>0</v>
      </c>
      <c r="N110" t="str" cm="1">
        <f t="array" ref="N110">_xlfn.LET(_xlpm.total,SUM(I110:L110),_xlpm.maxv,MAX(I110:L110),IF(_xlpm.total=0,"",IF(_xlpm.maxv/_xlpm.total&lt;0.5,"Mixed-Class",_xlfn.IFS(_xlpm.maxv=I110,"Assault",_xlpm.maxv=J110,"Engineer",_xlpm.maxv=K110,"Recon",_xlpm.maxv=L110,"Support"))))</f>
        <v/>
      </c>
      <c r="O110" t="str">
        <f t="shared" si="8"/>
        <v/>
      </c>
      <c r="P110" s="28" t="str">
        <f t="shared" si="9"/>
        <v/>
      </c>
    </row>
    <row r="111" spans="2:16" x14ac:dyDescent="0.25">
      <c r="B111">
        <v>1097</v>
      </c>
      <c r="H111" t="str">
        <f t="shared" si="6"/>
        <v/>
      </c>
      <c r="M111">
        <f t="shared" si="7"/>
        <v>0</v>
      </c>
      <c r="N111" t="str" cm="1">
        <f t="array" ref="N111">_xlfn.LET(_xlpm.total,SUM(I111:L111),_xlpm.maxv,MAX(I111:L111),IF(_xlpm.total=0,"",IF(_xlpm.maxv/_xlpm.total&lt;0.5,"Mixed-Class",_xlfn.IFS(_xlpm.maxv=I111,"Assault",_xlpm.maxv=J111,"Engineer",_xlpm.maxv=K111,"Recon",_xlpm.maxv=L111,"Support"))))</f>
        <v/>
      </c>
      <c r="O111" t="str">
        <f t="shared" si="8"/>
        <v/>
      </c>
      <c r="P111" s="28" t="str">
        <f t="shared" si="9"/>
        <v/>
      </c>
    </row>
    <row r="112" spans="2:16" x14ac:dyDescent="0.25">
      <c r="B112">
        <v>1107</v>
      </c>
      <c r="H112" t="str">
        <f t="shared" si="6"/>
        <v/>
      </c>
      <c r="M112">
        <f t="shared" si="7"/>
        <v>0</v>
      </c>
      <c r="N112" t="str" cm="1">
        <f t="array" ref="N112">_xlfn.LET(_xlpm.total,SUM(I112:L112),_xlpm.maxv,MAX(I112:L112),IF(_xlpm.total=0,"",IF(_xlpm.maxv/_xlpm.total&lt;0.5,"Mixed-Class",_xlfn.IFS(_xlpm.maxv=I112,"Assault",_xlpm.maxv=J112,"Engineer",_xlpm.maxv=K112,"Recon",_xlpm.maxv=L112,"Support"))))</f>
        <v/>
      </c>
      <c r="O112" t="str">
        <f t="shared" si="8"/>
        <v/>
      </c>
      <c r="P112" s="28" t="str">
        <f t="shared" si="9"/>
        <v/>
      </c>
    </row>
    <row r="113" spans="2:16" x14ac:dyDescent="0.25">
      <c r="B113">
        <v>1117</v>
      </c>
      <c r="H113" t="str">
        <f t="shared" si="6"/>
        <v/>
      </c>
      <c r="M113">
        <f t="shared" si="7"/>
        <v>0</v>
      </c>
      <c r="N113" t="str" cm="1">
        <f t="array" ref="N113">_xlfn.LET(_xlpm.total,SUM(I113:L113),_xlpm.maxv,MAX(I113:L113),IF(_xlpm.total=0,"",IF(_xlpm.maxv/_xlpm.total&lt;0.5,"Mixed-Class",_xlfn.IFS(_xlpm.maxv=I113,"Assault",_xlpm.maxv=J113,"Engineer",_xlpm.maxv=K113,"Recon",_xlpm.maxv=L113,"Support"))))</f>
        <v/>
      </c>
      <c r="O113" t="str">
        <f t="shared" si="8"/>
        <v/>
      </c>
      <c r="P113" s="28" t="str">
        <f t="shared" si="9"/>
        <v/>
      </c>
    </row>
    <row r="114" spans="2:16" x14ac:dyDescent="0.25">
      <c r="B114">
        <v>1127</v>
      </c>
      <c r="H114" t="str">
        <f t="shared" si="6"/>
        <v/>
      </c>
      <c r="M114">
        <f t="shared" si="7"/>
        <v>0</v>
      </c>
      <c r="N114" t="str" cm="1">
        <f t="array" ref="N114">_xlfn.LET(_xlpm.total,SUM(I114:L114),_xlpm.maxv,MAX(I114:L114),IF(_xlpm.total=0,"",IF(_xlpm.maxv/_xlpm.total&lt;0.5,"Mixed-Class",_xlfn.IFS(_xlpm.maxv=I114,"Assault",_xlpm.maxv=J114,"Engineer",_xlpm.maxv=K114,"Recon",_xlpm.maxv=L114,"Support"))))</f>
        <v/>
      </c>
      <c r="O114" t="str">
        <f t="shared" si="8"/>
        <v/>
      </c>
      <c r="P114" s="28" t="str">
        <f t="shared" si="9"/>
        <v/>
      </c>
    </row>
    <row r="115" spans="2:16" x14ac:dyDescent="0.25">
      <c r="B115">
        <v>1137</v>
      </c>
      <c r="H115" t="str">
        <f t="shared" si="6"/>
        <v/>
      </c>
      <c r="M115">
        <f t="shared" si="7"/>
        <v>0</v>
      </c>
      <c r="N115" t="str" cm="1">
        <f t="array" ref="N115">_xlfn.LET(_xlpm.total,SUM(I115:L115),_xlpm.maxv,MAX(I115:L115),IF(_xlpm.total=0,"",IF(_xlpm.maxv/_xlpm.total&lt;0.5,"Mixed-Class",_xlfn.IFS(_xlpm.maxv=I115,"Assault",_xlpm.maxv=J115,"Engineer",_xlpm.maxv=K115,"Recon",_xlpm.maxv=L115,"Support"))))</f>
        <v/>
      </c>
      <c r="O115" t="str">
        <f t="shared" si="8"/>
        <v/>
      </c>
      <c r="P115" s="28" t="str">
        <f t="shared" si="9"/>
        <v/>
      </c>
    </row>
    <row r="116" spans="2:16" x14ac:dyDescent="0.25">
      <c r="B116">
        <v>1147</v>
      </c>
      <c r="H116" t="str">
        <f t="shared" si="6"/>
        <v/>
      </c>
      <c r="M116">
        <f t="shared" si="7"/>
        <v>0</v>
      </c>
      <c r="N116" t="str" cm="1">
        <f t="array" ref="N116">_xlfn.LET(_xlpm.total,SUM(I116:L116),_xlpm.maxv,MAX(I116:L116),IF(_xlpm.total=0,"",IF(_xlpm.maxv/_xlpm.total&lt;0.5,"Mixed-Class",_xlfn.IFS(_xlpm.maxv=I116,"Assault",_xlpm.maxv=J116,"Engineer",_xlpm.maxv=K116,"Recon",_xlpm.maxv=L116,"Support"))))</f>
        <v/>
      </c>
      <c r="O116" t="str">
        <f t="shared" si="8"/>
        <v/>
      </c>
      <c r="P116" s="28" t="str">
        <f t="shared" si="9"/>
        <v/>
      </c>
    </row>
    <row r="117" spans="2:16" x14ac:dyDescent="0.25">
      <c r="B117">
        <v>1157</v>
      </c>
      <c r="H117" t="str">
        <f t="shared" si="6"/>
        <v/>
      </c>
      <c r="M117">
        <f t="shared" si="7"/>
        <v>0</v>
      </c>
      <c r="N117" t="str" cm="1">
        <f t="array" ref="N117">_xlfn.LET(_xlpm.total,SUM(I117:L117),_xlpm.maxv,MAX(I117:L117),IF(_xlpm.total=0,"",IF(_xlpm.maxv/_xlpm.total&lt;0.5,"Mixed-Class",_xlfn.IFS(_xlpm.maxv=I117,"Assault",_xlpm.maxv=J117,"Engineer",_xlpm.maxv=K117,"Recon",_xlpm.maxv=L117,"Support"))))</f>
        <v/>
      </c>
      <c r="O117" t="str">
        <f t="shared" si="8"/>
        <v/>
      </c>
      <c r="P117" s="28" t="str">
        <f t="shared" si="9"/>
        <v/>
      </c>
    </row>
    <row r="118" spans="2:16" x14ac:dyDescent="0.25">
      <c r="B118">
        <v>1167</v>
      </c>
      <c r="H118" t="str">
        <f t="shared" si="6"/>
        <v/>
      </c>
      <c r="M118">
        <f t="shared" si="7"/>
        <v>0</v>
      </c>
      <c r="N118" t="str" cm="1">
        <f t="array" ref="N118">_xlfn.LET(_xlpm.total,SUM(I118:L118),_xlpm.maxv,MAX(I118:L118),IF(_xlpm.total=0,"",IF(_xlpm.maxv/_xlpm.total&lt;0.5,"Mixed-Class",_xlfn.IFS(_xlpm.maxv=I118,"Assault",_xlpm.maxv=J118,"Engineer",_xlpm.maxv=K118,"Recon",_xlpm.maxv=L118,"Support"))))</f>
        <v/>
      </c>
      <c r="O118" t="str">
        <f t="shared" si="8"/>
        <v/>
      </c>
      <c r="P118" s="28" t="str">
        <f t="shared" si="9"/>
        <v/>
      </c>
    </row>
    <row r="119" spans="2:16" x14ac:dyDescent="0.25">
      <c r="B119">
        <v>1177</v>
      </c>
      <c r="H119" t="str">
        <f t="shared" si="6"/>
        <v/>
      </c>
      <c r="M119">
        <f t="shared" si="7"/>
        <v>0</v>
      </c>
      <c r="N119" t="str" cm="1">
        <f t="array" ref="N119">_xlfn.LET(_xlpm.total,SUM(I119:L119),_xlpm.maxv,MAX(I119:L119),IF(_xlpm.total=0,"",IF(_xlpm.maxv/_xlpm.total&lt;0.5,"Mixed-Class",_xlfn.IFS(_xlpm.maxv=I119,"Assault",_xlpm.maxv=J119,"Engineer",_xlpm.maxv=K119,"Recon",_xlpm.maxv=L119,"Support"))))</f>
        <v/>
      </c>
      <c r="O119" t="str">
        <f t="shared" si="8"/>
        <v/>
      </c>
      <c r="P119" s="28" t="str">
        <f t="shared" si="9"/>
        <v/>
      </c>
    </row>
    <row r="120" spans="2:16" x14ac:dyDescent="0.25">
      <c r="B120">
        <v>1187</v>
      </c>
      <c r="H120" t="str">
        <f t="shared" si="6"/>
        <v/>
      </c>
      <c r="M120">
        <f t="shared" si="7"/>
        <v>0</v>
      </c>
      <c r="N120" t="str" cm="1">
        <f t="array" ref="N120">_xlfn.LET(_xlpm.total,SUM(I120:L120),_xlpm.maxv,MAX(I120:L120),IF(_xlpm.total=0,"",IF(_xlpm.maxv/_xlpm.total&lt;0.5,"Mixed-Class",_xlfn.IFS(_xlpm.maxv=I120,"Assault",_xlpm.maxv=J120,"Engineer",_xlpm.maxv=K120,"Recon",_xlpm.maxv=L120,"Support"))))</f>
        <v/>
      </c>
      <c r="O120" t="str">
        <f t="shared" si="8"/>
        <v/>
      </c>
      <c r="P120" s="28" t="str">
        <f t="shared" si="9"/>
        <v/>
      </c>
    </row>
    <row r="121" spans="2:16" x14ac:dyDescent="0.25">
      <c r="B121">
        <v>1197</v>
      </c>
      <c r="H121" t="str">
        <f t="shared" si="6"/>
        <v/>
      </c>
      <c r="M121">
        <f t="shared" si="7"/>
        <v>0</v>
      </c>
      <c r="N121" t="str" cm="1">
        <f t="array" ref="N121">_xlfn.LET(_xlpm.total,SUM(I121:L121),_xlpm.maxv,MAX(I121:L121),IF(_xlpm.total=0,"",IF(_xlpm.maxv/_xlpm.total&lt;0.5,"Mixed-Class",_xlfn.IFS(_xlpm.maxv=I121,"Assault",_xlpm.maxv=J121,"Engineer",_xlpm.maxv=K121,"Recon",_xlpm.maxv=L121,"Support"))))</f>
        <v/>
      </c>
      <c r="O121" t="str">
        <f t="shared" si="8"/>
        <v/>
      </c>
      <c r="P121" s="28" t="str">
        <f t="shared" si="9"/>
        <v/>
      </c>
    </row>
    <row r="122" spans="2:16" x14ac:dyDescent="0.25">
      <c r="B122">
        <v>1207</v>
      </c>
      <c r="H122" t="str">
        <f t="shared" si="6"/>
        <v/>
      </c>
      <c r="M122">
        <f t="shared" si="7"/>
        <v>0</v>
      </c>
      <c r="N122" t="str" cm="1">
        <f t="array" ref="N122">_xlfn.LET(_xlpm.total,SUM(I122:L122),_xlpm.maxv,MAX(I122:L122),IF(_xlpm.total=0,"",IF(_xlpm.maxv/_xlpm.total&lt;0.5,"Mixed-Class",_xlfn.IFS(_xlpm.maxv=I122,"Assault",_xlpm.maxv=J122,"Engineer",_xlpm.maxv=K122,"Recon",_xlpm.maxv=L122,"Support"))))</f>
        <v/>
      </c>
      <c r="O122" t="str">
        <f t="shared" si="8"/>
        <v/>
      </c>
      <c r="P122" s="28" t="str">
        <f t="shared" si="9"/>
        <v/>
      </c>
    </row>
    <row r="123" spans="2:16" x14ac:dyDescent="0.25">
      <c r="B123">
        <v>1217</v>
      </c>
      <c r="H123" t="str">
        <f t="shared" si="6"/>
        <v/>
      </c>
      <c r="M123">
        <f t="shared" si="7"/>
        <v>0</v>
      </c>
      <c r="N123" t="str" cm="1">
        <f t="array" ref="N123">_xlfn.LET(_xlpm.total,SUM(I123:L123),_xlpm.maxv,MAX(I123:L123),IF(_xlpm.total=0,"",IF(_xlpm.maxv/_xlpm.total&lt;0.5,"Mixed-Class",_xlfn.IFS(_xlpm.maxv=I123,"Assault",_xlpm.maxv=J123,"Engineer",_xlpm.maxv=K123,"Recon",_xlpm.maxv=L123,"Support"))))</f>
        <v/>
      </c>
      <c r="O123" t="str">
        <f t="shared" si="8"/>
        <v/>
      </c>
      <c r="P123" s="28" t="str">
        <f t="shared" si="9"/>
        <v/>
      </c>
    </row>
    <row r="124" spans="2:16" x14ac:dyDescent="0.25">
      <c r="B124">
        <v>1227</v>
      </c>
      <c r="H124" t="str">
        <f t="shared" si="6"/>
        <v/>
      </c>
      <c r="M124">
        <f t="shared" si="7"/>
        <v>0</v>
      </c>
      <c r="N124" t="str" cm="1">
        <f t="array" ref="N124">_xlfn.LET(_xlpm.total,SUM(I124:L124),_xlpm.maxv,MAX(I124:L124),IF(_xlpm.total=0,"",IF(_xlpm.maxv/_xlpm.total&lt;0.5,"Mixed-Class",_xlfn.IFS(_xlpm.maxv=I124,"Assault",_xlpm.maxv=J124,"Engineer",_xlpm.maxv=K124,"Recon",_xlpm.maxv=L124,"Support"))))</f>
        <v/>
      </c>
      <c r="O124" t="str">
        <f t="shared" si="8"/>
        <v/>
      </c>
      <c r="P124" s="28" t="str">
        <f t="shared" si="9"/>
        <v/>
      </c>
    </row>
    <row r="125" spans="2:16" x14ac:dyDescent="0.25">
      <c r="B125">
        <v>1237</v>
      </c>
      <c r="H125" t="str">
        <f t="shared" si="6"/>
        <v/>
      </c>
      <c r="M125">
        <f t="shared" si="7"/>
        <v>0</v>
      </c>
      <c r="N125" t="str" cm="1">
        <f t="array" ref="N125">_xlfn.LET(_xlpm.total,SUM(I125:L125),_xlpm.maxv,MAX(I125:L125),IF(_xlpm.total=0,"",IF(_xlpm.maxv/_xlpm.total&lt;0.5,"Mixed-Class",_xlfn.IFS(_xlpm.maxv=I125,"Assault",_xlpm.maxv=J125,"Engineer",_xlpm.maxv=K125,"Recon",_xlpm.maxv=L125,"Support"))))</f>
        <v/>
      </c>
      <c r="O125" t="str">
        <f t="shared" si="8"/>
        <v/>
      </c>
      <c r="P125" s="28" t="str">
        <f t="shared" si="9"/>
        <v/>
      </c>
    </row>
    <row r="126" spans="2:16" x14ac:dyDescent="0.25">
      <c r="B126">
        <v>1247</v>
      </c>
      <c r="H126" t="str">
        <f t="shared" si="6"/>
        <v/>
      </c>
      <c r="M126">
        <f t="shared" si="7"/>
        <v>0</v>
      </c>
      <c r="N126" t="str" cm="1">
        <f t="array" ref="N126">_xlfn.LET(_xlpm.total,SUM(I126:L126),_xlpm.maxv,MAX(I126:L126),IF(_xlpm.total=0,"",IF(_xlpm.maxv/_xlpm.total&lt;0.5,"Mixed-Class",_xlfn.IFS(_xlpm.maxv=I126,"Assault",_xlpm.maxv=J126,"Engineer",_xlpm.maxv=K126,"Recon",_xlpm.maxv=L126,"Support"))))</f>
        <v/>
      </c>
      <c r="O126" t="str">
        <f t="shared" si="8"/>
        <v/>
      </c>
      <c r="P126" s="28" t="str">
        <f t="shared" si="9"/>
        <v/>
      </c>
    </row>
    <row r="127" spans="2:16" x14ac:dyDescent="0.25">
      <c r="B127">
        <v>1257</v>
      </c>
      <c r="H127" t="str">
        <f t="shared" si="6"/>
        <v/>
      </c>
      <c r="M127">
        <f t="shared" si="7"/>
        <v>0</v>
      </c>
      <c r="N127" t="str" cm="1">
        <f t="array" ref="N127">_xlfn.LET(_xlpm.total,SUM(I127:L127),_xlpm.maxv,MAX(I127:L127),IF(_xlpm.total=0,"",IF(_xlpm.maxv/_xlpm.total&lt;0.5,"Mixed-Class",_xlfn.IFS(_xlpm.maxv=I127,"Assault",_xlpm.maxv=J127,"Engineer",_xlpm.maxv=K127,"Recon",_xlpm.maxv=L127,"Support"))))</f>
        <v/>
      </c>
      <c r="O127" t="str">
        <f t="shared" si="8"/>
        <v/>
      </c>
      <c r="P127" s="28" t="str">
        <f t="shared" si="9"/>
        <v/>
      </c>
    </row>
    <row r="128" spans="2:16" x14ac:dyDescent="0.25">
      <c r="B128">
        <v>1267</v>
      </c>
      <c r="H128" t="str">
        <f t="shared" si="6"/>
        <v/>
      </c>
      <c r="M128">
        <f t="shared" si="7"/>
        <v>0</v>
      </c>
      <c r="N128" t="str" cm="1">
        <f t="array" ref="N128">_xlfn.LET(_xlpm.total,SUM(I128:L128),_xlpm.maxv,MAX(I128:L128),IF(_xlpm.total=0,"",IF(_xlpm.maxv/_xlpm.total&lt;0.5,"Mixed-Class",_xlfn.IFS(_xlpm.maxv=I128,"Assault",_xlpm.maxv=J128,"Engineer",_xlpm.maxv=K128,"Recon",_xlpm.maxv=L128,"Support"))))</f>
        <v/>
      </c>
      <c r="O128" t="str">
        <f t="shared" si="8"/>
        <v/>
      </c>
      <c r="P128" s="28" t="str">
        <f t="shared" si="9"/>
        <v/>
      </c>
    </row>
    <row r="129" spans="2:16" x14ac:dyDescent="0.25">
      <c r="B129">
        <v>1277</v>
      </c>
      <c r="H129" t="str">
        <f t="shared" si="6"/>
        <v/>
      </c>
      <c r="M129">
        <f t="shared" si="7"/>
        <v>0</v>
      </c>
      <c r="N129" t="str" cm="1">
        <f t="array" ref="N129">_xlfn.LET(_xlpm.total,SUM(I129:L129),_xlpm.maxv,MAX(I129:L129),IF(_xlpm.total=0,"",IF(_xlpm.maxv/_xlpm.total&lt;0.5,"Mixed-Class",_xlfn.IFS(_xlpm.maxv=I129,"Assault",_xlpm.maxv=J129,"Engineer",_xlpm.maxv=K129,"Recon",_xlpm.maxv=L129,"Support"))))</f>
        <v/>
      </c>
      <c r="O129" t="str">
        <f t="shared" si="8"/>
        <v/>
      </c>
      <c r="P129" s="28" t="str">
        <f t="shared" si="9"/>
        <v/>
      </c>
    </row>
    <row r="130" spans="2:16" x14ac:dyDescent="0.25">
      <c r="B130">
        <v>1287</v>
      </c>
      <c r="H130" t="str">
        <f t="shared" si="6"/>
        <v/>
      </c>
      <c r="M130">
        <f t="shared" si="7"/>
        <v>0</v>
      </c>
      <c r="N130" t="str" cm="1">
        <f t="array" ref="N130">_xlfn.LET(_xlpm.total,SUM(I130:L130),_xlpm.maxv,MAX(I130:L130),IF(_xlpm.total=0,"",IF(_xlpm.maxv/_xlpm.total&lt;0.5,"Mixed-Class",_xlfn.IFS(_xlpm.maxv=I130,"Assault",_xlpm.maxv=J130,"Engineer",_xlpm.maxv=K130,"Recon",_xlpm.maxv=L130,"Support"))))</f>
        <v/>
      </c>
      <c r="O130" t="str">
        <f t="shared" si="8"/>
        <v/>
      </c>
      <c r="P130" s="28" t="str">
        <f t="shared" si="9"/>
        <v/>
      </c>
    </row>
    <row r="131" spans="2:16" x14ac:dyDescent="0.25">
      <c r="B131">
        <v>1297</v>
      </c>
      <c r="H131" t="str">
        <f t="shared" ref="H131:H194" si="10">IF(SUM(D131:G131)=0,"",IF(G131/SUM(D131:G131)&gt;=0.5,"Battle Royale",IF(F131/SUM(D131:F131)&gt;=0.6,"Infantry-Heavy",IF((D131+0.7*E131)/SUM(D131:F131)&gt;=0.7,"Vehicle-Heavy","Mixed"))))</f>
        <v/>
      </c>
      <c r="M131">
        <f t="shared" ref="M131:M194" si="11">SUM(I131:L131)</f>
        <v>0</v>
      </c>
      <c r="N131" t="str" cm="1">
        <f t="array" ref="N131">_xlfn.LET(_xlpm.total,SUM(I131:L131),_xlpm.maxv,MAX(I131:L131),IF(_xlpm.total=0,"",IF(_xlpm.maxv/_xlpm.total&lt;0.5,"Mixed-Class",_xlfn.IFS(_xlpm.maxv=I131,"Assault",_xlpm.maxv=J131,"Engineer",_xlpm.maxv=K131,"Recon",_xlpm.maxv=L131,"Support"))))</f>
        <v/>
      </c>
      <c r="O131" t="str">
        <f t="shared" ref="O131:O194" si="12">_xlfn.LET(_xlpm.total,SUM(I131:L131),IF(_xlpm.total=0,"",MAX(I131:L131)/_xlpm.total&gt;=0.5))</f>
        <v/>
      </c>
      <c r="P131" s="28" t="str">
        <f t="shared" ref="P131:P194" si="13">_xlfn.LET(_xlpm.total,SUM(I131:L131),IF(_xlpm.total=0,"",MAX(I131:L131)/_xlpm.total))</f>
        <v/>
      </c>
    </row>
    <row r="132" spans="2:16" x14ac:dyDescent="0.25">
      <c r="B132">
        <v>1307</v>
      </c>
      <c r="H132" t="str">
        <f t="shared" si="10"/>
        <v/>
      </c>
      <c r="M132">
        <f t="shared" si="11"/>
        <v>0</v>
      </c>
      <c r="N132" t="str" cm="1">
        <f t="array" ref="N132">_xlfn.LET(_xlpm.total,SUM(I132:L132),_xlpm.maxv,MAX(I132:L132),IF(_xlpm.total=0,"",IF(_xlpm.maxv/_xlpm.total&lt;0.5,"Mixed-Class",_xlfn.IFS(_xlpm.maxv=I132,"Assault",_xlpm.maxv=J132,"Engineer",_xlpm.maxv=K132,"Recon",_xlpm.maxv=L132,"Support"))))</f>
        <v/>
      </c>
      <c r="O132" t="str">
        <f t="shared" si="12"/>
        <v/>
      </c>
      <c r="P132" s="28" t="str">
        <f t="shared" si="13"/>
        <v/>
      </c>
    </row>
    <row r="133" spans="2:16" x14ac:dyDescent="0.25">
      <c r="B133">
        <v>1317</v>
      </c>
      <c r="H133" t="str">
        <f t="shared" si="10"/>
        <v/>
      </c>
      <c r="M133">
        <f t="shared" si="11"/>
        <v>0</v>
      </c>
      <c r="N133" t="str" cm="1">
        <f t="array" ref="N133">_xlfn.LET(_xlpm.total,SUM(I133:L133),_xlpm.maxv,MAX(I133:L133),IF(_xlpm.total=0,"",IF(_xlpm.maxv/_xlpm.total&lt;0.5,"Mixed-Class",_xlfn.IFS(_xlpm.maxv=I133,"Assault",_xlpm.maxv=J133,"Engineer",_xlpm.maxv=K133,"Recon",_xlpm.maxv=L133,"Support"))))</f>
        <v/>
      </c>
      <c r="O133" t="str">
        <f t="shared" si="12"/>
        <v/>
      </c>
      <c r="P133" s="28" t="str">
        <f t="shared" si="13"/>
        <v/>
      </c>
    </row>
    <row r="134" spans="2:16" x14ac:dyDescent="0.25">
      <c r="B134">
        <v>1327</v>
      </c>
      <c r="H134" t="str">
        <f t="shared" si="10"/>
        <v/>
      </c>
      <c r="M134">
        <f t="shared" si="11"/>
        <v>0</v>
      </c>
      <c r="N134" t="str" cm="1">
        <f t="array" ref="N134">_xlfn.LET(_xlpm.total,SUM(I134:L134),_xlpm.maxv,MAX(I134:L134),IF(_xlpm.total=0,"",IF(_xlpm.maxv/_xlpm.total&lt;0.5,"Mixed-Class",_xlfn.IFS(_xlpm.maxv=I134,"Assault",_xlpm.maxv=J134,"Engineer",_xlpm.maxv=K134,"Recon",_xlpm.maxv=L134,"Support"))))</f>
        <v/>
      </c>
      <c r="O134" t="str">
        <f t="shared" si="12"/>
        <v/>
      </c>
      <c r="P134" s="28" t="str">
        <f t="shared" si="13"/>
        <v/>
      </c>
    </row>
    <row r="135" spans="2:16" x14ac:dyDescent="0.25">
      <c r="B135">
        <v>1337</v>
      </c>
      <c r="H135" t="str">
        <f t="shared" si="10"/>
        <v/>
      </c>
      <c r="M135">
        <f t="shared" si="11"/>
        <v>0</v>
      </c>
      <c r="N135" t="str" cm="1">
        <f t="array" ref="N135">_xlfn.LET(_xlpm.total,SUM(I135:L135),_xlpm.maxv,MAX(I135:L135),IF(_xlpm.total=0,"",IF(_xlpm.maxv/_xlpm.total&lt;0.5,"Mixed-Class",_xlfn.IFS(_xlpm.maxv=I135,"Assault",_xlpm.maxv=J135,"Engineer",_xlpm.maxv=K135,"Recon",_xlpm.maxv=L135,"Support"))))</f>
        <v/>
      </c>
      <c r="O135" t="str">
        <f t="shared" si="12"/>
        <v/>
      </c>
      <c r="P135" s="28" t="str">
        <f t="shared" si="13"/>
        <v/>
      </c>
    </row>
    <row r="136" spans="2:16" x14ac:dyDescent="0.25">
      <c r="B136">
        <v>1347</v>
      </c>
      <c r="H136" t="str">
        <f t="shared" si="10"/>
        <v/>
      </c>
      <c r="M136">
        <f t="shared" si="11"/>
        <v>0</v>
      </c>
      <c r="N136" t="str" cm="1">
        <f t="array" ref="N136">_xlfn.LET(_xlpm.total,SUM(I136:L136),_xlpm.maxv,MAX(I136:L136),IF(_xlpm.total=0,"",IF(_xlpm.maxv/_xlpm.total&lt;0.5,"Mixed-Class",_xlfn.IFS(_xlpm.maxv=I136,"Assault",_xlpm.maxv=J136,"Engineer",_xlpm.maxv=K136,"Recon",_xlpm.maxv=L136,"Support"))))</f>
        <v/>
      </c>
      <c r="O136" t="str">
        <f t="shared" si="12"/>
        <v/>
      </c>
      <c r="P136" s="28" t="str">
        <f t="shared" si="13"/>
        <v/>
      </c>
    </row>
    <row r="137" spans="2:16" x14ac:dyDescent="0.25">
      <c r="B137">
        <v>1357</v>
      </c>
      <c r="H137" t="str">
        <f t="shared" si="10"/>
        <v/>
      </c>
      <c r="M137">
        <f t="shared" si="11"/>
        <v>0</v>
      </c>
      <c r="N137" t="str" cm="1">
        <f t="array" ref="N137">_xlfn.LET(_xlpm.total,SUM(I137:L137),_xlpm.maxv,MAX(I137:L137),IF(_xlpm.total=0,"",IF(_xlpm.maxv/_xlpm.total&lt;0.5,"Mixed-Class",_xlfn.IFS(_xlpm.maxv=I137,"Assault",_xlpm.maxv=J137,"Engineer",_xlpm.maxv=K137,"Recon",_xlpm.maxv=L137,"Support"))))</f>
        <v/>
      </c>
      <c r="O137" t="str">
        <f t="shared" si="12"/>
        <v/>
      </c>
      <c r="P137" s="28" t="str">
        <f t="shared" si="13"/>
        <v/>
      </c>
    </row>
    <row r="138" spans="2:16" x14ac:dyDescent="0.25">
      <c r="B138">
        <v>1367</v>
      </c>
      <c r="H138" t="str">
        <f t="shared" si="10"/>
        <v/>
      </c>
      <c r="M138">
        <f t="shared" si="11"/>
        <v>0</v>
      </c>
      <c r="N138" t="str" cm="1">
        <f t="array" ref="N138">_xlfn.LET(_xlpm.total,SUM(I138:L138),_xlpm.maxv,MAX(I138:L138),IF(_xlpm.total=0,"",IF(_xlpm.maxv/_xlpm.total&lt;0.5,"Mixed-Class",_xlfn.IFS(_xlpm.maxv=I138,"Assault",_xlpm.maxv=J138,"Engineer",_xlpm.maxv=K138,"Recon",_xlpm.maxv=L138,"Support"))))</f>
        <v/>
      </c>
      <c r="O138" t="str">
        <f t="shared" si="12"/>
        <v/>
      </c>
      <c r="P138" s="28" t="str">
        <f t="shared" si="13"/>
        <v/>
      </c>
    </row>
    <row r="139" spans="2:16" x14ac:dyDescent="0.25">
      <c r="B139">
        <v>1377</v>
      </c>
      <c r="H139" t="str">
        <f t="shared" si="10"/>
        <v/>
      </c>
      <c r="M139">
        <f t="shared" si="11"/>
        <v>0</v>
      </c>
      <c r="N139" t="str" cm="1">
        <f t="array" ref="N139">_xlfn.LET(_xlpm.total,SUM(I139:L139),_xlpm.maxv,MAX(I139:L139),IF(_xlpm.total=0,"",IF(_xlpm.maxv/_xlpm.total&lt;0.5,"Mixed-Class",_xlfn.IFS(_xlpm.maxv=I139,"Assault",_xlpm.maxv=J139,"Engineer",_xlpm.maxv=K139,"Recon",_xlpm.maxv=L139,"Support"))))</f>
        <v/>
      </c>
      <c r="O139" t="str">
        <f t="shared" si="12"/>
        <v/>
      </c>
      <c r="P139" s="28" t="str">
        <f t="shared" si="13"/>
        <v/>
      </c>
    </row>
    <row r="140" spans="2:16" x14ac:dyDescent="0.25">
      <c r="B140">
        <v>1387</v>
      </c>
      <c r="H140" t="str">
        <f t="shared" si="10"/>
        <v/>
      </c>
      <c r="M140">
        <f t="shared" si="11"/>
        <v>0</v>
      </c>
      <c r="N140" t="str" cm="1">
        <f t="array" ref="N140">_xlfn.LET(_xlpm.total,SUM(I140:L140),_xlpm.maxv,MAX(I140:L140),IF(_xlpm.total=0,"",IF(_xlpm.maxv/_xlpm.total&lt;0.5,"Mixed-Class",_xlfn.IFS(_xlpm.maxv=I140,"Assault",_xlpm.maxv=J140,"Engineer",_xlpm.maxv=K140,"Recon",_xlpm.maxv=L140,"Support"))))</f>
        <v/>
      </c>
      <c r="O140" t="str">
        <f t="shared" si="12"/>
        <v/>
      </c>
      <c r="P140" s="28" t="str">
        <f t="shared" si="13"/>
        <v/>
      </c>
    </row>
    <row r="141" spans="2:16" x14ac:dyDescent="0.25">
      <c r="B141">
        <v>1397</v>
      </c>
      <c r="H141" t="str">
        <f t="shared" si="10"/>
        <v/>
      </c>
      <c r="M141">
        <f t="shared" si="11"/>
        <v>0</v>
      </c>
      <c r="N141" t="str" cm="1">
        <f t="array" ref="N141">_xlfn.LET(_xlpm.total,SUM(I141:L141),_xlpm.maxv,MAX(I141:L141),IF(_xlpm.total=0,"",IF(_xlpm.maxv/_xlpm.total&lt;0.5,"Mixed-Class",_xlfn.IFS(_xlpm.maxv=I141,"Assault",_xlpm.maxv=J141,"Engineer",_xlpm.maxv=K141,"Recon",_xlpm.maxv=L141,"Support"))))</f>
        <v/>
      </c>
      <c r="O141" t="str">
        <f t="shared" si="12"/>
        <v/>
      </c>
      <c r="P141" s="28" t="str">
        <f t="shared" si="13"/>
        <v/>
      </c>
    </row>
    <row r="142" spans="2:16" x14ac:dyDescent="0.25">
      <c r="B142">
        <v>1407</v>
      </c>
      <c r="H142" t="str">
        <f t="shared" si="10"/>
        <v/>
      </c>
      <c r="M142">
        <f t="shared" si="11"/>
        <v>0</v>
      </c>
      <c r="N142" t="str" cm="1">
        <f t="array" ref="N142">_xlfn.LET(_xlpm.total,SUM(I142:L142),_xlpm.maxv,MAX(I142:L142),IF(_xlpm.total=0,"",IF(_xlpm.maxv/_xlpm.total&lt;0.5,"Mixed-Class",_xlfn.IFS(_xlpm.maxv=I142,"Assault",_xlpm.maxv=J142,"Engineer",_xlpm.maxv=K142,"Recon",_xlpm.maxv=L142,"Support"))))</f>
        <v/>
      </c>
      <c r="O142" t="str">
        <f t="shared" si="12"/>
        <v/>
      </c>
      <c r="P142" s="28" t="str">
        <f t="shared" si="13"/>
        <v/>
      </c>
    </row>
    <row r="143" spans="2:16" x14ac:dyDescent="0.25">
      <c r="B143">
        <v>1417</v>
      </c>
      <c r="H143" t="str">
        <f t="shared" si="10"/>
        <v/>
      </c>
      <c r="M143">
        <f t="shared" si="11"/>
        <v>0</v>
      </c>
      <c r="N143" t="str" cm="1">
        <f t="array" ref="N143">_xlfn.LET(_xlpm.total,SUM(I143:L143),_xlpm.maxv,MAX(I143:L143),IF(_xlpm.total=0,"",IF(_xlpm.maxv/_xlpm.total&lt;0.5,"Mixed-Class",_xlfn.IFS(_xlpm.maxv=I143,"Assault",_xlpm.maxv=J143,"Engineer",_xlpm.maxv=K143,"Recon",_xlpm.maxv=L143,"Support"))))</f>
        <v/>
      </c>
      <c r="O143" t="str">
        <f t="shared" si="12"/>
        <v/>
      </c>
      <c r="P143" s="28" t="str">
        <f t="shared" si="13"/>
        <v/>
      </c>
    </row>
    <row r="144" spans="2:16" x14ac:dyDescent="0.25">
      <c r="B144">
        <v>1427</v>
      </c>
      <c r="H144" t="str">
        <f t="shared" si="10"/>
        <v/>
      </c>
      <c r="M144">
        <f t="shared" si="11"/>
        <v>0</v>
      </c>
      <c r="N144" t="str" cm="1">
        <f t="array" ref="N144">_xlfn.LET(_xlpm.total,SUM(I144:L144),_xlpm.maxv,MAX(I144:L144),IF(_xlpm.total=0,"",IF(_xlpm.maxv/_xlpm.total&lt;0.5,"Mixed-Class",_xlfn.IFS(_xlpm.maxv=I144,"Assault",_xlpm.maxv=J144,"Engineer",_xlpm.maxv=K144,"Recon",_xlpm.maxv=L144,"Support"))))</f>
        <v/>
      </c>
      <c r="O144" t="str">
        <f t="shared" si="12"/>
        <v/>
      </c>
      <c r="P144" s="28" t="str">
        <f t="shared" si="13"/>
        <v/>
      </c>
    </row>
    <row r="145" spans="2:16" x14ac:dyDescent="0.25">
      <c r="B145">
        <v>1437</v>
      </c>
      <c r="H145" t="str">
        <f t="shared" si="10"/>
        <v/>
      </c>
      <c r="M145">
        <f t="shared" si="11"/>
        <v>0</v>
      </c>
      <c r="N145" t="str" cm="1">
        <f t="array" ref="N145">_xlfn.LET(_xlpm.total,SUM(I145:L145),_xlpm.maxv,MAX(I145:L145),IF(_xlpm.total=0,"",IF(_xlpm.maxv/_xlpm.total&lt;0.5,"Mixed-Class",_xlfn.IFS(_xlpm.maxv=I145,"Assault",_xlpm.maxv=J145,"Engineer",_xlpm.maxv=K145,"Recon",_xlpm.maxv=L145,"Support"))))</f>
        <v/>
      </c>
      <c r="O145" t="str">
        <f t="shared" si="12"/>
        <v/>
      </c>
      <c r="P145" s="28" t="str">
        <f t="shared" si="13"/>
        <v/>
      </c>
    </row>
    <row r="146" spans="2:16" x14ac:dyDescent="0.25">
      <c r="B146">
        <v>1447</v>
      </c>
      <c r="H146" t="str">
        <f t="shared" si="10"/>
        <v/>
      </c>
      <c r="M146">
        <f t="shared" si="11"/>
        <v>0</v>
      </c>
      <c r="N146" t="str" cm="1">
        <f t="array" ref="N146">_xlfn.LET(_xlpm.total,SUM(I146:L146),_xlpm.maxv,MAX(I146:L146),IF(_xlpm.total=0,"",IF(_xlpm.maxv/_xlpm.total&lt;0.5,"Mixed-Class",_xlfn.IFS(_xlpm.maxv=I146,"Assault",_xlpm.maxv=J146,"Engineer",_xlpm.maxv=K146,"Recon",_xlpm.maxv=L146,"Support"))))</f>
        <v/>
      </c>
      <c r="O146" t="str">
        <f t="shared" si="12"/>
        <v/>
      </c>
      <c r="P146" s="28" t="str">
        <f t="shared" si="13"/>
        <v/>
      </c>
    </row>
    <row r="147" spans="2:16" x14ac:dyDescent="0.25">
      <c r="B147">
        <v>1457</v>
      </c>
      <c r="H147" t="str">
        <f t="shared" si="10"/>
        <v/>
      </c>
      <c r="M147">
        <f t="shared" si="11"/>
        <v>0</v>
      </c>
      <c r="N147" t="str" cm="1">
        <f t="array" ref="N147">_xlfn.LET(_xlpm.total,SUM(I147:L147),_xlpm.maxv,MAX(I147:L147),IF(_xlpm.total=0,"",IF(_xlpm.maxv/_xlpm.total&lt;0.5,"Mixed-Class",_xlfn.IFS(_xlpm.maxv=I147,"Assault",_xlpm.maxv=J147,"Engineer",_xlpm.maxv=K147,"Recon",_xlpm.maxv=L147,"Support"))))</f>
        <v/>
      </c>
      <c r="O147" t="str">
        <f t="shared" si="12"/>
        <v/>
      </c>
      <c r="P147" s="28" t="str">
        <f t="shared" si="13"/>
        <v/>
      </c>
    </row>
    <row r="148" spans="2:16" x14ac:dyDescent="0.25">
      <c r="B148">
        <v>1467</v>
      </c>
      <c r="H148" t="str">
        <f t="shared" si="10"/>
        <v/>
      </c>
      <c r="M148">
        <f t="shared" si="11"/>
        <v>0</v>
      </c>
      <c r="N148" t="str" cm="1">
        <f t="array" ref="N148">_xlfn.LET(_xlpm.total,SUM(I148:L148),_xlpm.maxv,MAX(I148:L148),IF(_xlpm.total=0,"",IF(_xlpm.maxv/_xlpm.total&lt;0.5,"Mixed-Class",_xlfn.IFS(_xlpm.maxv=I148,"Assault",_xlpm.maxv=J148,"Engineer",_xlpm.maxv=K148,"Recon",_xlpm.maxv=L148,"Support"))))</f>
        <v/>
      </c>
      <c r="O148" t="str">
        <f t="shared" si="12"/>
        <v/>
      </c>
      <c r="P148" s="28" t="str">
        <f t="shared" si="13"/>
        <v/>
      </c>
    </row>
    <row r="149" spans="2:16" x14ac:dyDescent="0.25">
      <c r="B149">
        <v>1477</v>
      </c>
      <c r="H149" t="str">
        <f t="shared" si="10"/>
        <v/>
      </c>
      <c r="M149">
        <f t="shared" si="11"/>
        <v>0</v>
      </c>
      <c r="N149" t="str" cm="1">
        <f t="array" ref="N149">_xlfn.LET(_xlpm.total,SUM(I149:L149),_xlpm.maxv,MAX(I149:L149),IF(_xlpm.total=0,"",IF(_xlpm.maxv/_xlpm.total&lt;0.5,"Mixed-Class",_xlfn.IFS(_xlpm.maxv=I149,"Assault",_xlpm.maxv=J149,"Engineer",_xlpm.maxv=K149,"Recon",_xlpm.maxv=L149,"Support"))))</f>
        <v/>
      </c>
      <c r="O149" t="str">
        <f t="shared" si="12"/>
        <v/>
      </c>
      <c r="P149" s="28" t="str">
        <f t="shared" si="13"/>
        <v/>
      </c>
    </row>
    <row r="150" spans="2:16" x14ac:dyDescent="0.25">
      <c r="B150">
        <v>1487</v>
      </c>
      <c r="H150" t="str">
        <f t="shared" si="10"/>
        <v/>
      </c>
      <c r="M150">
        <f t="shared" si="11"/>
        <v>0</v>
      </c>
      <c r="N150" t="str" cm="1">
        <f t="array" ref="N150">_xlfn.LET(_xlpm.total,SUM(I150:L150),_xlpm.maxv,MAX(I150:L150),IF(_xlpm.total=0,"",IF(_xlpm.maxv/_xlpm.total&lt;0.5,"Mixed-Class",_xlfn.IFS(_xlpm.maxv=I150,"Assault",_xlpm.maxv=J150,"Engineer",_xlpm.maxv=K150,"Recon",_xlpm.maxv=L150,"Support"))))</f>
        <v/>
      </c>
      <c r="O150" t="str">
        <f t="shared" si="12"/>
        <v/>
      </c>
      <c r="P150" s="28" t="str">
        <f t="shared" si="13"/>
        <v/>
      </c>
    </row>
    <row r="151" spans="2:16" x14ac:dyDescent="0.25">
      <c r="B151">
        <v>1497</v>
      </c>
      <c r="H151" t="str">
        <f t="shared" si="10"/>
        <v/>
      </c>
      <c r="M151">
        <f t="shared" si="11"/>
        <v>0</v>
      </c>
      <c r="N151" t="str" cm="1">
        <f t="array" ref="N151">_xlfn.LET(_xlpm.total,SUM(I151:L151),_xlpm.maxv,MAX(I151:L151),IF(_xlpm.total=0,"",IF(_xlpm.maxv/_xlpm.total&lt;0.5,"Mixed-Class",_xlfn.IFS(_xlpm.maxv=I151,"Assault",_xlpm.maxv=J151,"Engineer",_xlpm.maxv=K151,"Recon",_xlpm.maxv=L151,"Support"))))</f>
        <v/>
      </c>
      <c r="O151" t="str">
        <f t="shared" si="12"/>
        <v/>
      </c>
      <c r="P151" s="28" t="str">
        <f t="shared" si="13"/>
        <v/>
      </c>
    </row>
    <row r="152" spans="2:16" x14ac:dyDescent="0.25">
      <c r="B152">
        <v>1507</v>
      </c>
      <c r="H152" t="str">
        <f t="shared" si="10"/>
        <v/>
      </c>
      <c r="M152">
        <f t="shared" si="11"/>
        <v>0</v>
      </c>
      <c r="N152" t="str" cm="1">
        <f t="array" ref="N152">_xlfn.LET(_xlpm.total,SUM(I152:L152),_xlpm.maxv,MAX(I152:L152),IF(_xlpm.total=0,"",IF(_xlpm.maxv/_xlpm.total&lt;0.5,"Mixed-Class",_xlfn.IFS(_xlpm.maxv=I152,"Assault",_xlpm.maxv=J152,"Engineer",_xlpm.maxv=K152,"Recon",_xlpm.maxv=L152,"Support"))))</f>
        <v/>
      </c>
      <c r="O152" t="str">
        <f t="shared" si="12"/>
        <v/>
      </c>
      <c r="P152" s="28" t="str">
        <f t="shared" si="13"/>
        <v/>
      </c>
    </row>
    <row r="153" spans="2:16" x14ac:dyDescent="0.25">
      <c r="B153">
        <v>1517</v>
      </c>
      <c r="H153" t="str">
        <f t="shared" si="10"/>
        <v/>
      </c>
      <c r="M153">
        <f t="shared" si="11"/>
        <v>0</v>
      </c>
      <c r="N153" t="str" cm="1">
        <f t="array" ref="N153">_xlfn.LET(_xlpm.total,SUM(I153:L153),_xlpm.maxv,MAX(I153:L153),IF(_xlpm.total=0,"",IF(_xlpm.maxv/_xlpm.total&lt;0.5,"Mixed-Class",_xlfn.IFS(_xlpm.maxv=I153,"Assault",_xlpm.maxv=J153,"Engineer",_xlpm.maxv=K153,"Recon",_xlpm.maxv=L153,"Support"))))</f>
        <v/>
      </c>
      <c r="O153" t="str">
        <f t="shared" si="12"/>
        <v/>
      </c>
      <c r="P153" s="28" t="str">
        <f t="shared" si="13"/>
        <v/>
      </c>
    </row>
    <row r="154" spans="2:16" x14ac:dyDescent="0.25">
      <c r="B154">
        <v>1527</v>
      </c>
      <c r="H154" t="str">
        <f t="shared" si="10"/>
        <v/>
      </c>
      <c r="M154">
        <f t="shared" si="11"/>
        <v>0</v>
      </c>
      <c r="N154" t="str" cm="1">
        <f t="array" ref="N154">_xlfn.LET(_xlpm.total,SUM(I154:L154),_xlpm.maxv,MAX(I154:L154),IF(_xlpm.total=0,"",IF(_xlpm.maxv/_xlpm.total&lt;0.5,"Mixed-Class",_xlfn.IFS(_xlpm.maxv=I154,"Assault",_xlpm.maxv=J154,"Engineer",_xlpm.maxv=K154,"Recon",_xlpm.maxv=L154,"Support"))))</f>
        <v/>
      </c>
      <c r="O154" t="str">
        <f t="shared" si="12"/>
        <v/>
      </c>
      <c r="P154" s="28" t="str">
        <f t="shared" si="13"/>
        <v/>
      </c>
    </row>
    <row r="155" spans="2:16" x14ac:dyDescent="0.25">
      <c r="B155">
        <v>1537</v>
      </c>
      <c r="H155" t="str">
        <f t="shared" si="10"/>
        <v/>
      </c>
      <c r="M155">
        <f t="shared" si="11"/>
        <v>0</v>
      </c>
      <c r="N155" t="str" cm="1">
        <f t="array" ref="N155">_xlfn.LET(_xlpm.total,SUM(I155:L155),_xlpm.maxv,MAX(I155:L155),IF(_xlpm.total=0,"",IF(_xlpm.maxv/_xlpm.total&lt;0.5,"Mixed-Class",_xlfn.IFS(_xlpm.maxv=I155,"Assault",_xlpm.maxv=J155,"Engineer",_xlpm.maxv=K155,"Recon",_xlpm.maxv=L155,"Support"))))</f>
        <v/>
      </c>
      <c r="O155" t="str">
        <f t="shared" si="12"/>
        <v/>
      </c>
      <c r="P155" s="28" t="str">
        <f t="shared" si="13"/>
        <v/>
      </c>
    </row>
    <row r="156" spans="2:16" x14ac:dyDescent="0.25">
      <c r="B156">
        <v>1547</v>
      </c>
      <c r="H156" t="str">
        <f t="shared" si="10"/>
        <v/>
      </c>
      <c r="M156">
        <f t="shared" si="11"/>
        <v>0</v>
      </c>
      <c r="N156" t="str" cm="1">
        <f t="array" ref="N156">_xlfn.LET(_xlpm.total,SUM(I156:L156),_xlpm.maxv,MAX(I156:L156),IF(_xlpm.total=0,"",IF(_xlpm.maxv/_xlpm.total&lt;0.5,"Mixed-Class",_xlfn.IFS(_xlpm.maxv=I156,"Assault",_xlpm.maxv=J156,"Engineer",_xlpm.maxv=K156,"Recon",_xlpm.maxv=L156,"Support"))))</f>
        <v/>
      </c>
      <c r="O156" t="str">
        <f t="shared" si="12"/>
        <v/>
      </c>
      <c r="P156" s="28" t="str">
        <f t="shared" si="13"/>
        <v/>
      </c>
    </row>
    <row r="157" spans="2:16" x14ac:dyDescent="0.25">
      <c r="B157">
        <v>1557</v>
      </c>
      <c r="H157" t="str">
        <f t="shared" si="10"/>
        <v/>
      </c>
      <c r="M157">
        <f t="shared" si="11"/>
        <v>0</v>
      </c>
      <c r="N157" t="str" cm="1">
        <f t="array" ref="N157">_xlfn.LET(_xlpm.total,SUM(I157:L157),_xlpm.maxv,MAX(I157:L157),IF(_xlpm.total=0,"",IF(_xlpm.maxv/_xlpm.total&lt;0.5,"Mixed-Class",_xlfn.IFS(_xlpm.maxv=I157,"Assault",_xlpm.maxv=J157,"Engineer",_xlpm.maxv=K157,"Recon",_xlpm.maxv=L157,"Support"))))</f>
        <v/>
      </c>
      <c r="O157" t="str">
        <f t="shared" si="12"/>
        <v/>
      </c>
      <c r="P157" s="28" t="str">
        <f t="shared" si="13"/>
        <v/>
      </c>
    </row>
    <row r="158" spans="2:16" x14ac:dyDescent="0.25">
      <c r="B158">
        <v>1567</v>
      </c>
      <c r="H158" t="str">
        <f t="shared" si="10"/>
        <v/>
      </c>
      <c r="M158">
        <f t="shared" si="11"/>
        <v>0</v>
      </c>
      <c r="N158" t="str" cm="1">
        <f t="array" ref="N158">_xlfn.LET(_xlpm.total,SUM(I158:L158),_xlpm.maxv,MAX(I158:L158),IF(_xlpm.total=0,"",IF(_xlpm.maxv/_xlpm.total&lt;0.5,"Mixed-Class",_xlfn.IFS(_xlpm.maxv=I158,"Assault",_xlpm.maxv=J158,"Engineer",_xlpm.maxv=K158,"Recon",_xlpm.maxv=L158,"Support"))))</f>
        <v/>
      </c>
      <c r="O158" t="str">
        <f t="shared" si="12"/>
        <v/>
      </c>
      <c r="P158" s="28" t="str">
        <f t="shared" si="13"/>
        <v/>
      </c>
    </row>
    <row r="159" spans="2:16" x14ac:dyDescent="0.25">
      <c r="B159">
        <v>1577</v>
      </c>
      <c r="H159" t="str">
        <f t="shared" si="10"/>
        <v/>
      </c>
      <c r="M159">
        <f t="shared" si="11"/>
        <v>0</v>
      </c>
      <c r="N159" t="str" cm="1">
        <f t="array" ref="N159">_xlfn.LET(_xlpm.total,SUM(I159:L159),_xlpm.maxv,MAX(I159:L159),IF(_xlpm.total=0,"",IF(_xlpm.maxv/_xlpm.total&lt;0.5,"Mixed-Class",_xlfn.IFS(_xlpm.maxv=I159,"Assault",_xlpm.maxv=J159,"Engineer",_xlpm.maxv=K159,"Recon",_xlpm.maxv=L159,"Support"))))</f>
        <v/>
      </c>
      <c r="O159" t="str">
        <f t="shared" si="12"/>
        <v/>
      </c>
      <c r="P159" s="28" t="str">
        <f t="shared" si="13"/>
        <v/>
      </c>
    </row>
    <row r="160" spans="2:16" x14ac:dyDescent="0.25">
      <c r="B160">
        <v>1587</v>
      </c>
      <c r="H160" t="str">
        <f t="shared" si="10"/>
        <v/>
      </c>
      <c r="M160">
        <f t="shared" si="11"/>
        <v>0</v>
      </c>
      <c r="N160" t="str" cm="1">
        <f t="array" ref="N160">_xlfn.LET(_xlpm.total,SUM(I160:L160),_xlpm.maxv,MAX(I160:L160),IF(_xlpm.total=0,"",IF(_xlpm.maxv/_xlpm.total&lt;0.5,"Mixed-Class",_xlfn.IFS(_xlpm.maxv=I160,"Assault",_xlpm.maxv=J160,"Engineer",_xlpm.maxv=K160,"Recon",_xlpm.maxv=L160,"Support"))))</f>
        <v/>
      </c>
      <c r="O160" t="str">
        <f t="shared" si="12"/>
        <v/>
      </c>
      <c r="P160" s="28" t="str">
        <f t="shared" si="13"/>
        <v/>
      </c>
    </row>
    <row r="161" spans="2:16" x14ac:dyDescent="0.25">
      <c r="B161">
        <v>1597</v>
      </c>
      <c r="H161" t="str">
        <f t="shared" si="10"/>
        <v/>
      </c>
      <c r="M161">
        <f t="shared" si="11"/>
        <v>0</v>
      </c>
      <c r="N161" t="str" cm="1">
        <f t="array" ref="N161">_xlfn.LET(_xlpm.total,SUM(I161:L161),_xlpm.maxv,MAX(I161:L161),IF(_xlpm.total=0,"",IF(_xlpm.maxv/_xlpm.total&lt;0.5,"Mixed-Class",_xlfn.IFS(_xlpm.maxv=I161,"Assault",_xlpm.maxv=J161,"Engineer",_xlpm.maxv=K161,"Recon",_xlpm.maxv=L161,"Support"))))</f>
        <v/>
      </c>
      <c r="O161" t="str">
        <f t="shared" si="12"/>
        <v/>
      </c>
      <c r="P161" s="28" t="str">
        <f t="shared" si="13"/>
        <v/>
      </c>
    </row>
    <row r="162" spans="2:16" x14ac:dyDescent="0.25">
      <c r="B162">
        <v>1607</v>
      </c>
      <c r="H162" t="str">
        <f t="shared" si="10"/>
        <v/>
      </c>
      <c r="M162">
        <f t="shared" si="11"/>
        <v>0</v>
      </c>
      <c r="N162" t="str" cm="1">
        <f t="array" ref="N162">_xlfn.LET(_xlpm.total,SUM(I162:L162),_xlpm.maxv,MAX(I162:L162),IF(_xlpm.total=0,"",IF(_xlpm.maxv/_xlpm.total&lt;0.5,"Mixed-Class",_xlfn.IFS(_xlpm.maxv=I162,"Assault",_xlpm.maxv=J162,"Engineer",_xlpm.maxv=K162,"Recon",_xlpm.maxv=L162,"Support"))))</f>
        <v/>
      </c>
      <c r="O162" t="str">
        <f t="shared" si="12"/>
        <v/>
      </c>
      <c r="P162" s="28" t="str">
        <f t="shared" si="13"/>
        <v/>
      </c>
    </row>
    <row r="163" spans="2:16" x14ac:dyDescent="0.25">
      <c r="B163">
        <v>1617</v>
      </c>
      <c r="H163" t="str">
        <f t="shared" si="10"/>
        <v/>
      </c>
      <c r="M163">
        <f t="shared" si="11"/>
        <v>0</v>
      </c>
      <c r="N163" t="str" cm="1">
        <f t="array" ref="N163">_xlfn.LET(_xlpm.total,SUM(I163:L163),_xlpm.maxv,MAX(I163:L163),IF(_xlpm.total=0,"",IF(_xlpm.maxv/_xlpm.total&lt;0.5,"Mixed-Class",_xlfn.IFS(_xlpm.maxv=I163,"Assault",_xlpm.maxv=J163,"Engineer",_xlpm.maxv=K163,"Recon",_xlpm.maxv=L163,"Support"))))</f>
        <v/>
      </c>
      <c r="O163" t="str">
        <f t="shared" si="12"/>
        <v/>
      </c>
      <c r="P163" s="28" t="str">
        <f t="shared" si="13"/>
        <v/>
      </c>
    </row>
    <row r="164" spans="2:16" x14ac:dyDescent="0.25">
      <c r="B164">
        <v>1627</v>
      </c>
      <c r="H164" t="str">
        <f t="shared" si="10"/>
        <v/>
      </c>
      <c r="M164">
        <f t="shared" si="11"/>
        <v>0</v>
      </c>
      <c r="N164" t="str" cm="1">
        <f t="array" ref="N164">_xlfn.LET(_xlpm.total,SUM(I164:L164),_xlpm.maxv,MAX(I164:L164),IF(_xlpm.total=0,"",IF(_xlpm.maxv/_xlpm.total&lt;0.5,"Mixed-Class",_xlfn.IFS(_xlpm.maxv=I164,"Assault",_xlpm.maxv=J164,"Engineer",_xlpm.maxv=K164,"Recon",_xlpm.maxv=L164,"Support"))))</f>
        <v/>
      </c>
      <c r="O164" t="str">
        <f t="shared" si="12"/>
        <v/>
      </c>
      <c r="P164" s="28" t="str">
        <f t="shared" si="13"/>
        <v/>
      </c>
    </row>
    <row r="165" spans="2:16" x14ac:dyDescent="0.25">
      <c r="B165">
        <v>1637</v>
      </c>
      <c r="H165" t="str">
        <f t="shared" si="10"/>
        <v/>
      </c>
      <c r="M165">
        <f t="shared" si="11"/>
        <v>0</v>
      </c>
      <c r="N165" t="str" cm="1">
        <f t="array" ref="N165">_xlfn.LET(_xlpm.total,SUM(I165:L165),_xlpm.maxv,MAX(I165:L165),IF(_xlpm.total=0,"",IF(_xlpm.maxv/_xlpm.total&lt;0.5,"Mixed-Class",_xlfn.IFS(_xlpm.maxv=I165,"Assault",_xlpm.maxv=J165,"Engineer",_xlpm.maxv=K165,"Recon",_xlpm.maxv=L165,"Support"))))</f>
        <v/>
      </c>
      <c r="O165" t="str">
        <f t="shared" si="12"/>
        <v/>
      </c>
      <c r="P165" s="28" t="str">
        <f t="shared" si="13"/>
        <v/>
      </c>
    </row>
    <row r="166" spans="2:16" x14ac:dyDescent="0.25">
      <c r="B166">
        <v>1647</v>
      </c>
      <c r="H166" t="str">
        <f t="shared" si="10"/>
        <v/>
      </c>
      <c r="M166">
        <f t="shared" si="11"/>
        <v>0</v>
      </c>
      <c r="N166" t="str" cm="1">
        <f t="array" ref="N166">_xlfn.LET(_xlpm.total,SUM(I166:L166),_xlpm.maxv,MAX(I166:L166),IF(_xlpm.total=0,"",IF(_xlpm.maxv/_xlpm.total&lt;0.5,"Mixed-Class",_xlfn.IFS(_xlpm.maxv=I166,"Assault",_xlpm.maxv=J166,"Engineer",_xlpm.maxv=K166,"Recon",_xlpm.maxv=L166,"Support"))))</f>
        <v/>
      </c>
      <c r="O166" t="str">
        <f t="shared" si="12"/>
        <v/>
      </c>
      <c r="P166" s="28" t="str">
        <f t="shared" si="13"/>
        <v/>
      </c>
    </row>
    <row r="167" spans="2:16" x14ac:dyDescent="0.25">
      <c r="B167">
        <v>1657</v>
      </c>
      <c r="H167" t="str">
        <f t="shared" si="10"/>
        <v/>
      </c>
      <c r="M167">
        <f t="shared" si="11"/>
        <v>0</v>
      </c>
      <c r="N167" t="str" cm="1">
        <f t="array" ref="N167">_xlfn.LET(_xlpm.total,SUM(I167:L167),_xlpm.maxv,MAX(I167:L167),IF(_xlpm.total=0,"",IF(_xlpm.maxv/_xlpm.total&lt;0.5,"Mixed-Class",_xlfn.IFS(_xlpm.maxv=I167,"Assault",_xlpm.maxv=J167,"Engineer",_xlpm.maxv=K167,"Recon",_xlpm.maxv=L167,"Support"))))</f>
        <v/>
      </c>
      <c r="O167" t="str">
        <f t="shared" si="12"/>
        <v/>
      </c>
      <c r="P167" s="28" t="str">
        <f t="shared" si="13"/>
        <v/>
      </c>
    </row>
    <row r="168" spans="2:16" x14ac:dyDescent="0.25">
      <c r="B168">
        <v>1667</v>
      </c>
      <c r="H168" t="str">
        <f t="shared" si="10"/>
        <v/>
      </c>
      <c r="M168">
        <f t="shared" si="11"/>
        <v>0</v>
      </c>
      <c r="N168" t="str" cm="1">
        <f t="array" ref="N168">_xlfn.LET(_xlpm.total,SUM(I168:L168),_xlpm.maxv,MAX(I168:L168),IF(_xlpm.total=0,"",IF(_xlpm.maxv/_xlpm.total&lt;0.5,"Mixed-Class",_xlfn.IFS(_xlpm.maxv=I168,"Assault",_xlpm.maxv=J168,"Engineer",_xlpm.maxv=K168,"Recon",_xlpm.maxv=L168,"Support"))))</f>
        <v/>
      </c>
      <c r="O168" t="str">
        <f t="shared" si="12"/>
        <v/>
      </c>
      <c r="P168" s="28" t="str">
        <f t="shared" si="13"/>
        <v/>
      </c>
    </row>
    <row r="169" spans="2:16" x14ac:dyDescent="0.25">
      <c r="B169">
        <v>1677</v>
      </c>
      <c r="H169" t="str">
        <f t="shared" si="10"/>
        <v/>
      </c>
      <c r="M169">
        <f t="shared" si="11"/>
        <v>0</v>
      </c>
      <c r="N169" t="str" cm="1">
        <f t="array" ref="N169">_xlfn.LET(_xlpm.total,SUM(I169:L169),_xlpm.maxv,MAX(I169:L169),IF(_xlpm.total=0,"",IF(_xlpm.maxv/_xlpm.total&lt;0.5,"Mixed-Class",_xlfn.IFS(_xlpm.maxv=I169,"Assault",_xlpm.maxv=J169,"Engineer",_xlpm.maxv=K169,"Recon",_xlpm.maxv=L169,"Support"))))</f>
        <v/>
      </c>
      <c r="O169" t="str">
        <f t="shared" si="12"/>
        <v/>
      </c>
      <c r="P169" s="28" t="str">
        <f t="shared" si="13"/>
        <v/>
      </c>
    </row>
    <row r="170" spans="2:16" x14ac:dyDescent="0.25">
      <c r="B170">
        <v>1687</v>
      </c>
      <c r="H170" t="str">
        <f t="shared" si="10"/>
        <v/>
      </c>
      <c r="M170">
        <f t="shared" si="11"/>
        <v>0</v>
      </c>
      <c r="N170" t="str" cm="1">
        <f t="array" ref="N170">_xlfn.LET(_xlpm.total,SUM(I170:L170),_xlpm.maxv,MAX(I170:L170),IF(_xlpm.total=0,"",IF(_xlpm.maxv/_xlpm.total&lt;0.5,"Mixed-Class",_xlfn.IFS(_xlpm.maxv=I170,"Assault",_xlpm.maxv=J170,"Engineer",_xlpm.maxv=K170,"Recon",_xlpm.maxv=L170,"Support"))))</f>
        <v/>
      </c>
      <c r="O170" t="str">
        <f t="shared" si="12"/>
        <v/>
      </c>
      <c r="P170" s="28" t="str">
        <f t="shared" si="13"/>
        <v/>
      </c>
    </row>
    <row r="171" spans="2:16" x14ac:dyDescent="0.25">
      <c r="B171">
        <v>1697</v>
      </c>
      <c r="H171" t="str">
        <f t="shared" si="10"/>
        <v/>
      </c>
      <c r="M171">
        <f t="shared" si="11"/>
        <v>0</v>
      </c>
      <c r="N171" t="str" cm="1">
        <f t="array" ref="N171">_xlfn.LET(_xlpm.total,SUM(I171:L171),_xlpm.maxv,MAX(I171:L171),IF(_xlpm.total=0,"",IF(_xlpm.maxv/_xlpm.total&lt;0.5,"Mixed-Class",_xlfn.IFS(_xlpm.maxv=I171,"Assault",_xlpm.maxv=J171,"Engineer",_xlpm.maxv=K171,"Recon",_xlpm.maxv=L171,"Support"))))</f>
        <v/>
      </c>
      <c r="O171" t="str">
        <f t="shared" si="12"/>
        <v/>
      </c>
      <c r="P171" s="28" t="str">
        <f t="shared" si="13"/>
        <v/>
      </c>
    </row>
    <row r="172" spans="2:16" x14ac:dyDescent="0.25">
      <c r="B172">
        <v>1707</v>
      </c>
      <c r="H172" t="str">
        <f t="shared" si="10"/>
        <v/>
      </c>
      <c r="M172">
        <f t="shared" si="11"/>
        <v>0</v>
      </c>
      <c r="N172" t="str" cm="1">
        <f t="array" ref="N172">_xlfn.LET(_xlpm.total,SUM(I172:L172),_xlpm.maxv,MAX(I172:L172),IF(_xlpm.total=0,"",IF(_xlpm.maxv/_xlpm.total&lt;0.5,"Mixed-Class",_xlfn.IFS(_xlpm.maxv=I172,"Assault",_xlpm.maxv=J172,"Engineer",_xlpm.maxv=K172,"Recon",_xlpm.maxv=L172,"Support"))))</f>
        <v/>
      </c>
      <c r="O172" t="str">
        <f t="shared" si="12"/>
        <v/>
      </c>
      <c r="P172" s="28" t="str">
        <f t="shared" si="13"/>
        <v/>
      </c>
    </row>
    <row r="173" spans="2:16" x14ac:dyDescent="0.25">
      <c r="B173">
        <v>1717</v>
      </c>
      <c r="H173" t="str">
        <f t="shared" si="10"/>
        <v/>
      </c>
      <c r="M173">
        <f t="shared" si="11"/>
        <v>0</v>
      </c>
      <c r="N173" t="str" cm="1">
        <f t="array" ref="N173">_xlfn.LET(_xlpm.total,SUM(I173:L173),_xlpm.maxv,MAX(I173:L173),IF(_xlpm.total=0,"",IF(_xlpm.maxv/_xlpm.total&lt;0.5,"Mixed-Class",_xlfn.IFS(_xlpm.maxv=I173,"Assault",_xlpm.maxv=J173,"Engineer",_xlpm.maxv=K173,"Recon",_xlpm.maxv=L173,"Support"))))</f>
        <v/>
      </c>
      <c r="O173" t="str">
        <f t="shared" si="12"/>
        <v/>
      </c>
      <c r="P173" s="28" t="str">
        <f t="shared" si="13"/>
        <v/>
      </c>
    </row>
    <row r="174" spans="2:16" x14ac:dyDescent="0.25">
      <c r="B174">
        <v>1727</v>
      </c>
      <c r="H174" t="str">
        <f t="shared" si="10"/>
        <v/>
      </c>
      <c r="M174">
        <f t="shared" si="11"/>
        <v>0</v>
      </c>
      <c r="N174" t="str" cm="1">
        <f t="array" ref="N174">_xlfn.LET(_xlpm.total,SUM(I174:L174),_xlpm.maxv,MAX(I174:L174),IF(_xlpm.total=0,"",IF(_xlpm.maxv/_xlpm.total&lt;0.5,"Mixed-Class",_xlfn.IFS(_xlpm.maxv=I174,"Assault",_xlpm.maxv=J174,"Engineer",_xlpm.maxv=K174,"Recon",_xlpm.maxv=L174,"Support"))))</f>
        <v/>
      </c>
      <c r="O174" t="str">
        <f t="shared" si="12"/>
        <v/>
      </c>
      <c r="P174" s="28" t="str">
        <f t="shared" si="13"/>
        <v/>
      </c>
    </row>
    <row r="175" spans="2:16" x14ac:dyDescent="0.25">
      <c r="B175">
        <v>1737</v>
      </c>
      <c r="H175" t="str">
        <f t="shared" si="10"/>
        <v/>
      </c>
      <c r="M175">
        <f t="shared" si="11"/>
        <v>0</v>
      </c>
      <c r="N175" t="str" cm="1">
        <f t="array" ref="N175">_xlfn.LET(_xlpm.total,SUM(I175:L175),_xlpm.maxv,MAX(I175:L175),IF(_xlpm.total=0,"",IF(_xlpm.maxv/_xlpm.total&lt;0.5,"Mixed-Class",_xlfn.IFS(_xlpm.maxv=I175,"Assault",_xlpm.maxv=J175,"Engineer",_xlpm.maxv=K175,"Recon",_xlpm.maxv=L175,"Support"))))</f>
        <v/>
      </c>
      <c r="O175" t="str">
        <f t="shared" si="12"/>
        <v/>
      </c>
      <c r="P175" s="28" t="str">
        <f t="shared" si="13"/>
        <v/>
      </c>
    </row>
    <row r="176" spans="2:16" x14ac:dyDescent="0.25">
      <c r="B176">
        <v>1747</v>
      </c>
      <c r="H176" t="str">
        <f t="shared" si="10"/>
        <v/>
      </c>
      <c r="M176">
        <f t="shared" si="11"/>
        <v>0</v>
      </c>
      <c r="N176" t="str" cm="1">
        <f t="array" ref="N176">_xlfn.LET(_xlpm.total,SUM(I176:L176),_xlpm.maxv,MAX(I176:L176),IF(_xlpm.total=0,"",IF(_xlpm.maxv/_xlpm.total&lt;0.5,"Mixed-Class",_xlfn.IFS(_xlpm.maxv=I176,"Assault",_xlpm.maxv=J176,"Engineer",_xlpm.maxv=K176,"Recon",_xlpm.maxv=L176,"Support"))))</f>
        <v/>
      </c>
      <c r="O176" t="str">
        <f t="shared" si="12"/>
        <v/>
      </c>
      <c r="P176" s="28" t="str">
        <f t="shared" si="13"/>
        <v/>
      </c>
    </row>
    <row r="177" spans="2:16" x14ac:dyDescent="0.25">
      <c r="B177">
        <v>1757</v>
      </c>
      <c r="H177" t="str">
        <f t="shared" si="10"/>
        <v/>
      </c>
      <c r="M177">
        <f t="shared" si="11"/>
        <v>0</v>
      </c>
      <c r="N177" t="str" cm="1">
        <f t="array" ref="N177">_xlfn.LET(_xlpm.total,SUM(I177:L177),_xlpm.maxv,MAX(I177:L177),IF(_xlpm.total=0,"",IF(_xlpm.maxv/_xlpm.total&lt;0.5,"Mixed-Class",_xlfn.IFS(_xlpm.maxv=I177,"Assault",_xlpm.maxv=J177,"Engineer",_xlpm.maxv=K177,"Recon",_xlpm.maxv=L177,"Support"))))</f>
        <v/>
      </c>
      <c r="O177" t="str">
        <f t="shared" si="12"/>
        <v/>
      </c>
      <c r="P177" s="28" t="str">
        <f t="shared" si="13"/>
        <v/>
      </c>
    </row>
    <row r="178" spans="2:16" x14ac:dyDescent="0.25">
      <c r="B178">
        <v>1767</v>
      </c>
      <c r="H178" t="str">
        <f t="shared" si="10"/>
        <v/>
      </c>
      <c r="M178">
        <f t="shared" si="11"/>
        <v>0</v>
      </c>
      <c r="N178" t="str" cm="1">
        <f t="array" ref="N178">_xlfn.LET(_xlpm.total,SUM(I178:L178),_xlpm.maxv,MAX(I178:L178),IF(_xlpm.total=0,"",IF(_xlpm.maxv/_xlpm.total&lt;0.5,"Mixed-Class",_xlfn.IFS(_xlpm.maxv=I178,"Assault",_xlpm.maxv=J178,"Engineer",_xlpm.maxv=K178,"Recon",_xlpm.maxv=L178,"Support"))))</f>
        <v/>
      </c>
      <c r="O178" t="str">
        <f t="shared" si="12"/>
        <v/>
      </c>
      <c r="P178" s="28" t="str">
        <f t="shared" si="13"/>
        <v/>
      </c>
    </row>
    <row r="179" spans="2:16" x14ac:dyDescent="0.25">
      <c r="B179">
        <v>1777</v>
      </c>
      <c r="H179" t="str">
        <f t="shared" si="10"/>
        <v/>
      </c>
      <c r="M179">
        <f t="shared" si="11"/>
        <v>0</v>
      </c>
      <c r="N179" t="str" cm="1">
        <f t="array" ref="N179">_xlfn.LET(_xlpm.total,SUM(I179:L179),_xlpm.maxv,MAX(I179:L179),IF(_xlpm.total=0,"",IF(_xlpm.maxv/_xlpm.total&lt;0.5,"Mixed-Class",_xlfn.IFS(_xlpm.maxv=I179,"Assault",_xlpm.maxv=J179,"Engineer",_xlpm.maxv=K179,"Recon",_xlpm.maxv=L179,"Support"))))</f>
        <v/>
      </c>
      <c r="O179" t="str">
        <f t="shared" si="12"/>
        <v/>
      </c>
      <c r="P179" s="28" t="str">
        <f t="shared" si="13"/>
        <v/>
      </c>
    </row>
    <row r="180" spans="2:16" x14ac:dyDescent="0.25">
      <c r="B180">
        <v>1787</v>
      </c>
      <c r="H180" t="str">
        <f t="shared" si="10"/>
        <v/>
      </c>
      <c r="M180">
        <f t="shared" si="11"/>
        <v>0</v>
      </c>
      <c r="N180" t="str" cm="1">
        <f t="array" ref="N180">_xlfn.LET(_xlpm.total,SUM(I180:L180),_xlpm.maxv,MAX(I180:L180),IF(_xlpm.total=0,"",IF(_xlpm.maxv/_xlpm.total&lt;0.5,"Mixed-Class",_xlfn.IFS(_xlpm.maxv=I180,"Assault",_xlpm.maxv=J180,"Engineer",_xlpm.maxv=K180,"Recon",_xlpm.maxv=L180,"Support"))))</f>
        <v/>
      </c>
      <c r="O180" t="str">
        <f t="shared" si="12"/>
        <v/>
      </c>
      <c r="P180" s="28" t="str">
        <f t="shared" si="13"/>
        <v/>
      </c>
    </row>
    <row r="181" spans="2:16" x14ac:dyDescent="0.25">
      <c r="B181">
        <v>1797</v>
      </c>
      <c r="H181" t="str">
        <f t="shared" si="10"/>
        <v/>
      </c>
      <c r="M181">
        <f t="shared" si="11"/>
        <v>0</v>
      </c>
      <c r="N181" t="str" cm="1">
        <f t="array" ref="N181">_xlfn.LET(_xlpm.total,SUM(I181:L181),_xlpm.maxv,MAX(I181:L181),IF(_xlpm.total=0,"",IF(_xlpm.maxv/_xlpm.total&lt;0.5,"Mixed-Class",_xlfn.IFS(_xlpm.maxv=I181,"Assault",_xlpm.maxv=J181,"Engineer",_xlpm.maxv=K181,"Recon",_xlpm.maxv=L181,"Support"))))</f>
        <v/>
      </c>
      <c r="O181" t="str">
        <f t="shared" si="12"/>
        <v/>
      </c>
      <c r="P181" s="28" t="str">
        <f t="shared" si="13"/>
        <v/>
      </c>
    </row>
    <row r="182" spans="2:16" x14ac:dyDescent="0.25">
      <c r="B182">
        <v>1807</v>
      </c>
      <c r="H182" t="str">
        <f t="shared" si="10"/>
        <v/>
      </c>
      <c r="M182">
        <f t="shared" si="11"/>
        <v>0</v>
      </c>
      <c r="N182" t="str" cm="1">
        <f t="array" ref="N182">_xlfn.LET(_xlpm.total,SUM(I182:L182),_xlpm.maxv,MAX(I182:L182),IF(_xlpm.total=0,"",IF(_xlpm.maxv/_xlpm.total&lt;0.5,"Mixed-Class",_xlfn.IFS(_xlpm.maxv=I182,"Assault",_xlpm.maxv=J182,"Engineer",_xlpm.maxv=K182,"Recon",_xlpm.maxv=L182,"Support"))))</f>
        <v/>
      </c>
      <c r="O182" t="str">
        <f t="shared" si="12"/>
        <v/>
      </c>
      <c r="P182" s="28" t="str">
        <f t="shared" si="13"/>
        <v/>
      </c>
    </row>
    <row r="183" spans="2:16" x14ac:dyDescent="0.25">
      <c r="B183">
        <v>1817</v>
      </c>
      <c r="H183" t="str">
        <f t="shared" si="10"/>
        <v/>
      </c>
      <c r="M183">
        <f t="shared" si="11"/>
        <v>0</v>
      </c>
      <c r="N183" t="str" cm="1">
        <f t="array" ref="N183">_xlfn.LET(_xlpm.total,SUM(I183:L183),_xlpm.maxv,MAX(I183:L183),IF(_xlpm.total=0,"",IF(_xlpm.maxv/_xlpm.total&lt;0.5,"Mixed-Class",_xlfn.IFS(_xlpm.maxv=I183,"Assault",_xlpm.maxv=J183,"Engineer",_xlpm.maxv=K183,"Recon",_xlpm.maxv=L183,"Support"))))</f>
        <v/>
      </c>
      <c r="O183" t="str">
        <f t="shared" si="12"/>
        <v/>
      </c>
      <c r="P183" s="28" t="str">
        <f t="shared" si="13"/>
        <v/>
      </c>
    </row>
    <row r="184" spans="2:16" x14ac:dyDescent="0.25">
      <c r="B184">
        <v>1827</v>
      </c>
      <c r="H184" t="str">
        <f t="shared" si="10"/>
        <v/>
      </c>
      <c r="M184">
        <f t="shared" si="11"/>
        <v>0</v>
      </c>
      <c r="N184" t="str" cm="1">
        <f t="array" ref="N184">_xlfn.LET(_xlpm.total,SUM(I184:L184),_xlpm.maxv,MAX(I184:L184),IF(_xlpm.total=0,"",IF(_xlpm.maxv/_xlpm.total&lt;0.5,"Mixed-Class",_xlfn.IFS(_xlpm.maxv=I184,"Assault",_xlpm.maxv=J184,"Engineer",_xlpm.maxv=K184,"Recon",_xlpm.maxv=L184,"Support"))))</f>
        <v/>
      </c>
      <c r="O184" t="str">
        <f t="shared" si="12"/>
        <v/>
      </c>
      <c r="P184" s="28" t="str">
        <f t="shared" si="13"/>
        <v/>
      </c>
    </row>
    <row r="185" spans="2:16" x14ac:dyDescent="0.25">
      <c r="B185">
        <v>1837</v>
      </c>
      <c r="H185" t="str">
        <f t="shared" si="10"/>
        <v/>
      </c>
      <c r="M185">
        <f t="shared" si="11"/>
        <v>0</v>
      </c>
      <c r="N185" t="str" cm="1">
        <f t="array" ref="N185">_xlfn.LET(_xlpm.total,SUM(I185:L185),_xlpm.maxv,MAX(I185:L185),IF(_xlpm.total=0,"",IF(_xlpm.maxv/_xlpm.total&lt;0.5,"Mixed-Class",_xlfn.IFS(_xlpm.maxv=I185,"Assault",_xlpm.maxv=J185,"Engineer",_xlpm.maxv=K185,"Recon",_xlpm.maxv=L185,"Support"))))</f>
        <v/>
      </c>
      <c r="O185" t="str">
        <f t="shared" si="12"/>
        <v/>
      </c>
      <c r="P185" s="28" t="str">
        <f t="shared" si="13"/>
        <v/>
      </c>
    </row>
    <row r="186" spans="2:16" x14ac:dyDescent="0.25">
      <c r="B186">
        <v>1847</v>
      </c>
      <c r="H186" t="str">
        <f t="shared" si="10"/>
        <v/>
      </c>
      <c r="M186">
        <f t="shared" si="11"/>
        <v>0</v>
      </c>
      <c r="N186" t="str" cm="1">
        <f t="array" ref="N186">_xlfn.LET(_xlpm.total,SUM(I186:L186),_xlpm.maxv,MAX(I186:L186),IF(_xlpm.total=0,"",IF(_xlpm.maxv/_xlpm.total&lt;0.5,"Mixed-Class",_xlfn.IFS(_xlpm.maxv=I186,"Assault",_xlpm.maxv=J186,"Engineer",_xlpm.maxv=K186,"Recon",_xlpm.maxv=L186,"Support"))))</f>
        <v/>
      </c>
      <c r="O186" t="str">
        <f t="shared" si="12"/>
        <v/>
      </c>
      <c r="P186" s="28" t="str">
        <f t="shared" si="13"/>
        <v/>
      </c>
    </row>
    <row r="187" spans="2:16" x14ac:dyDescent="0.25">
      <c r="B187">
        <v>1857</v>
      </c>
      <c r="H187" t="str">
        <f t="shared" si="10"/>
        <v/>
      </c>
      <c r="M187">
        <f t="shared" si="11"/>
        <v>0</v>
      </c>
      <c r="N187" t="str" cm="1">
        <f t="array" ref="N187">_xlfn.LET(_xlpm.total,SUM(I187:L187),_xlpm.maxv,MAX(I187:L187),IF(_xlpm.total=0,"",IF(_xlpm.maxv/_xlpm.total&lt;0.5,"Mixed-Class",_xlfn.IFS(_xlpm.maxv=I187,"Assault",_xlpm.maxv=J187,"Engineer",_xlpm.maxv=K187,"Recon",_xlpm.maxv=L187,"Support"))))</f>
        <v/>
      </c>
      <c r="O187" t="str">
        <f t="shared" si="12"/>
        <v/>
      </c>
      <c r="P187" s="28" t="str">
        <f t="shared" si="13"/>
        <v/>
      </c>
    </row>
    <row r="188" spans="2:16" x14ac:dyDescent="0.25">
      <c r="B188">
        <v>1867</v>
      </c>
      <c r="H188" t="str">
        <f t="shared" si="10"/>
        <v/>
      </c>
      <c r="M188">
        <f t="shared" si="11"/>
        <v>0</v>
      </c>
      <c r="N188" t="str" cm="1">
        <f t="array" ref="N188">_xlfn.LET(_xlpm.total,SUM(I188:L188),_xlpm.maxv,MAX(I188:L188),IF(_xlpm.total=0,"",IF(_xlpm.maxv/_xlpm.total&lt;0.5,"Mixed-Class",_xlfn.IFS(_xlpm.maxv=I188,"Assault",_xlpm.maxv=J188,"Engineer",_xlpm.maxv=K188,"Recon",_xlpm.maxv=L188,"Support"))))</f>
        <v/>
      </c>
      <c r="O188" t="str">
        <f t="shared" si="12"/>
        <v/>
      </c>
      <c r="P188" s="28" t="str">
        <f t="shared" si="13"/>
        <v/>
      </c>
    </row>
    <row r="189" spans="2:16" x14ac:dyDescent="0.25">
      <c r="B189">
        <v>1877</v>
      </c>
      <c r="H189" t="str">
        <f t="shared" si="10"/>
        <v/>
      </c>
      <c r="M189">
        <f t="shared" si="11"/>
        <v>0</v>
      </c>
      <c r="N189" t="str" cm="1">
        <f t="array" ref="N189">_xlfn.LET(_xlpm.total,SUM(I189:L189),_xlpm.maxv,MAX(I189:L189),IF(_xlpm.total=0,"",IF(_xlpm.maxv/_xlpm.total&lt;0.5,"Mixed-Class",_xlfn.IFS(_xlpm.maxv=I189,"Assault",_xlpm.maxv=J189,"Engineer",_xlpm.maxv=K189,"Recon",_xlpm.maxv=L189,"Support"))))</f>
        <v/>
      </c>
      <c r="O189" t="str">
        <f t="shared" si="12"/>
        <v/>
      </c>
      <c r="P189" s="28" t="str">
        <f t="shared" si="13"/>
        <v/>
      </c>
    </row>
    <row r="190" spans="2:16" x14ac:dyDescent="0.25">
      <c r="B190">
        <v>1887</v>
      </c>
      <c r="H190" t="str">
        <f t="shared" si="10"/>
        <v/>
      </c>
      <c r="M190">
        <f t="shared" si="11"/>
        <v>0</v>
      </c>
      <c r="N190" t="str" cm="1">
        <f t="array" ref="N190">_xlfn.LET(_xlpm.total,SUM(I190:L190),_xlpm.maxv,MAX(I190:L190),IF(_xlpm.total=0,"",IF(_xlpm.maxv/_xlpm.total&lt;0.5,"Mixed-Class",_xlfn.IFS(_xlpm.maxv=I190,"Assault",_xlpm.maxv=J190,"Engineer",_xlpm.maxv=K190,"Recon",_xlpm.maxv=L190,"Support"))))</f>
        <v/>
      </c>
      <c r="O190" t="str">
        <f t="shared" si="12"/>
        <v/>
      </c>
      <c r="P190" s="28" t="str">
        <f t="shared" si="13"/>
        <v/>
      </c>
    </row>
    <row r="191" spans="2:16" x14ac:dyDescent="0.25">
      <c r="B191">
        <v>1897</v>
      </c>
      <c r="H191" t="str">
        <f t="shared" si="10"/>
        <v/>
      </c>
      <c r="M191">
        <f t="shared" si="11"/>
        <v>0</v>
      </c>
      <c r="N191" t="str" cm="1">
        <f t="array" ref="N191">_xlfn.LET(_xlpm.total,SUM(I191:L191),_xlpm.maxv,MAX(I191:L191),IF(_xlpm.total=0,"",IF(_xlpm.maxv/_xlpm.total&lt;0.5,"Mixed-Class",_xlfn.IFS(_xlpm.maxv=I191,"Assault",_xlpm.maxv=J191,"Engineer",_xlpm.maxv=K191,"Recon",_xlpm.maxv=L191,"Support"))))</f>
        <v/>
      </c>
      <c r="O191" t="str">
        <f t="shared" si="12"/>
        <v/>
      </c>
      <c r="P191" s="28" t="str">
        <f t="shared" si="13"/>
        <v/>
      </c>
    </row>
    <row r="192" spans="2:16" x14ac:dyDescent="0.25">
      <c r="B192">
        <v>1907</v>
      </c>
      <c r="H192" t="str">
        <f t="shared" si="10"/>
        <v/>
      </c>
      <c r="M192">
        <f t="shared" si="11"/>
        <v>0</v>
      </c>
      <c r="N192" t="str" cm="1">
        <f t="array" ref="N192">_xlfn.LET(_xlpm.total,SUM(I192:L192),_xlpm.maxv,MAX(I192:L192),IF(_xlpm.total=0,"",IF(_xlpm.maxv/_xlpm.total&lt;0.5,"Mixed-Class",_xlfn.IFS(_xlpm.maxv=I192,"Assault",_xlpm.maxv=J192,"Engineer",_xlpm.maxv=K192,"Recon",_xlpm.maxv=L192,"Support"))))</f>
        <v/>
      </c>
      <c r="O192" t="str">
        <f t="shared" si="12"/>
        <v/>
      </c>
      <c r="P192" s="28" t="str">
        <f t="shared" si="13"/>
        <v/>
      </c>
    </row>
    <row r="193" spans="2:16" x14ac:dyDescent="0.25">
      <c r="B193">
        <v>1917</v>
      </c>
      <c r="H193" t="str">
        <f t="shared" si="10"/>
        <v/>
      </c>
      <c r="M193">
        <f t="shared" si="11"/>
        <v>0</v>
      </c>
      <c r="N193" t="str" cm="1">
        <f t="array" ref="N193">_xlfn.LET(_xlpm.total,SUM(I193:L193),_xlpm.maxv,MAX(I193:L193),IF(_xlpm.total=0,"",IF(_xlpm.maxv/_xlpm.total&lt;0.5,"Mixed-Class",_xlfn.IFS(_xlpm.maxv=I193,"Assault",_xlpm.maxv=J193,"Engineer",_xlpm.maxv=K193,"Recon",_xlpm.maxv=L193,"Support"))))</f>
        <v/>
      </c>
      <c r="O193" t="str">
        <f t="shared" si="12"/>
        <v/>
      </c>
      <c r="P193" s="28" t="str">
        <f t="shared" si="13"/>
        <v/>
      </c>
    </row>
    <row r="194" spans="2:16" x14ac:dyDescent="0.25">
      <c r="B194">
        <v>1927</v>
      </c>
      <c r="H194" t="str">
        <f t="shared" si="10"/>
        <v/>
      </c>
      <c r="M194">
        <f t="shared" si="11"/>
        <v>0</v>
      </c>
      <c r="N194" t="str" cm="1">
        <f t="array" ref="N194">_xlfn.LET(_xlpm.total,SUM(I194:L194),_xlpm.maxv,MAX(I194:L194),IF(_xlpm.total=0,"",IF(_xlpm.maxv/_xlpm.total&lt;0.5,"Mixed-Class",_xlfn.IFS(_xlpm.maxv=I194,"Assault",_xlpm.maxv=J194,"Engineer",_xlpm.maxv=K194,"Recon",_xlpm.maxv=L194,"Support"))))</f>
        <v/>
      </c>
      <c r="O194" t="str">
        <f t="shared" si="12"/>
        <v/>
      </c>
      <c r="P194" s="28" t="str">
        <f t="shared" si="13"/>
        <v/>
      </c>
    </row>
    <row r="195" spans="2:16" x14ac:dyDescent="0.25">
      <c r="B195">
        <v>1937</v>
      </c>
      <c r="H195" t="str">
        <f t="shared" ref="H195:H258" si="14">IF(SUM(D195:G195)=0,"",IF(G195/SUM(D195:G195)&gt;=0.5,"Battle Royale",IF(F195/SUM(D195:F195)&gt;=0.6,"Infantry-Heavy",IF((D195+0.7*E195)/SUM(D195:F195)&gt;=0.7,"Vehicle-Heavy","Mixed"))))</f>
        <v/>
      </c>
      <c r="M195">
        <f t="shared" ref="M195:M258" si="15">SUM(I195:L195)</f>
        <v>0</v>
      </c>
      <c r="N195" t="str" cm="1">
        <f t="array" ref="N195">_xlfn.LET(_xlpm.total,SUM(I195:L195),_xlpm.maxv,MAX(I195:L195),IF(_xlpm.total=0,"",IF(_xlpm.maxv/_xlpm.total&lt;0.5,"Mixed-Class",_xlfn.IFS(_xlpm.maxv=I195,"Assault",_xlpm.maxv=J195,"Engineer",_xlpm.maxv=K195,"Recon",_xlpm.maxv=L195,"Support"))))</f>
        <v/>
      </c>
      <c r="O195" t="str">
        <f t="shared" ref="O195:O258" si="16">_xlfn.LET(_xlpm.total,SUM(I195:L195),IF(_xlpm.total=0,"",MAX(I195:L195)/_xlpm.total&gt;=0.5))</f>
        <v/>
      </c>
      <c r="P195" s="28" t="str">
        <f t="shared" ref="P195:P258" si="17">_xlfn.LET(_xlpm.total,SUM(I195:L195),IF(_xlpm.total=0,"",MAX(I195:L195)/_xlpm.total))</f>
        <v/>
      </c>
    </row>
    <row r="196" spans="2:16" x14ac:dyDescent="0.25">
      <c r="B196">
        <v>1947</v>
      </c>
      <c r="H196" t="str">
        <f t="shared" si="14"/>
        <v/>
      </c>
      <c r="M196">
        <f t="shared" si="15"/>
        <v>0</v>
      </c>
      <c r="N196" t="str" cm="1">
        <f t="array" ref="N196">_xlfn.LET(_xlpm.total,SUM(I196:L196),_xlpm.maxv,MAX(I196:L196),IF(_xlpm.total=0,"",IF(_xlpm.maxv/_xlpm.total&lt;0.5,"Mixed-Class",_xlfn.IFS(_xlpm.maxv=I196,"Assault",_xlpm.maxv=J196,"Engineer",_xlpm.maxv=K196,"Recon",_xlpm.maxv=L196,"Support"))))</f>
        <v/>
      </c>
      <c r="O196" t="str">
        <f t="shared" si="16"/>
        <v/>
      </c>
      <c r="P196" s="28" t="str">
        <f t="shared" si="17"/>
        <v/>
      </c>
    </row>
    <row r="197" spans="2:16" x14ac:dyDescent="0.25">
      <c r="B197">
        <v>1957</v>
      </c>
      <c r="H197" t="str">
        <f t="shared" si="14"/>
        <v/>
      </c>
      <c r="M197">
        <f t="shared" si="15"/>
        <v>0</v>
      </c>
      <c r="N197" t="str" cm="1">
        <f t="array" ref="N197">_xlfn.LET(_xlpm.total,SUM(I197:L197),_xlpm.maxv,MAX(I197:L197),IF(_xlpm.total=0,"",IF(_xlpm.maxv/_xlpm.total&lt;0.5,"Mixed-Class",_xlfn.IFS(_xlpm.maxv=I197,"Assault",_xlpm.maxv=J197,"Engineer",_xlpm.maxv=K197,"Recon",_xlpm.maxv=L197,"Support"))))</f>
        <v/>
      </c>
      <c r="O197" t="str">
        <f t="shared" si="16"/>
        <v/>
      </c>
      <c r="P197" s="28" t="str">
        <f t="shared" si="17"/>
        <v/>
      </c>
    </row>
    <row r="198" spans="2:16" x14ac:dyDescent="0.25">
      <c r="B198">
        <v>1967</v>
      </c>
      <c r="H198" t="str">
        <f t="shared" si="14"/>
        <v/>
      </c>
      <c r="M198">
        <f t="shared" si="15"/>
        <v>0</v>
      </c>
      <c r="N198" t="str" cm="1">
        <f t="array" ref="N198">_xlfn.LET(_xlpm.total,SUM(I198:L198),_xlpm.maxv,MAX(I198:L198),IF(_xlpm.total=0,"",IF(_xlpm.maxv/_xlpm.total&lt;0.5,"Mixed-Class",_xlfn.IFS(_xlpm.maxv=I198,"Assault",_xlpm.maxv=J198,"Engineer",_xlpm.maxv=K198,"Recon",_xlpm.maxv=L198,"Support"))))</f>
        <v/>
      </c>
      <c r="O198" t="str">
        <f t="shared" si="16"/>
        <v/>
      </c>
      <c r="P198" s="28" t="str">
        <f t="shared" si="17"/>
        <v/>
      </c>
    </row>
    <row r="199" spans="2:16" x14ac:dyDescent="0.25">
      <c r="B199">
        <v>1977</v>
      </c>
      <c r="H199" t="str">
        <f t="shared" si="14"/>
        <v/>
      </c>
      <c r="M199">
        <f t="shared" si="15"/>
        <v>0</v>
      </c>
      <c r="N199" t="str" cm="1">
        <f t="array" ref="N199">_xlfn.LET(_xlpm.total,SUM(I199:L199),_xlpm.maxv,MAX(I199:L199),IF(_xlpm.total=0,"",IF(_xlpm.maxv/_xlpm.total&lt;0.5,"Mixed-Class",_xlfn.IFS(_xlpm.maxv=I199,"Assault",_xlpm.maxv=J199,"Engineer",_xlpm.maxv=K199,"Recon",_xlpm.maxv=L199,"Support"))))</f>
        <v/>
      </c>
      <c r="O199" t="str">
        <f t="shared" si="16"/>
        <v/>
      </c>
      <c r="P199" s="28" t="str">
        <f t="shared" si="17"/>
        <v/>
      </c>
    </row>
    <row r="200" spans="2:16" x14ac:dyDescent="0.25">
      <c r="B200">
        <v>1987</v>
      </c>
      <c r="H200" t="str">
        <f t="shared" si="14"/>
        <v/>
      </c>
      <c r="M200">
        <f t="shared" si="15"/>
        <v>0</v>
      </c>
      <c r="N200" t="str" cm="1">
        <f t="array" ref="N200">_xlfn.LET(_xlpm.total,SUM(I200:L200),_xlpm.maxv,MAX(I200:L200),IF(_xlpm.total=0,"",IF(_xlpm.maxv/_xlpm.total&lt;0.5,"Mixed-Class",_xlfn.IFS(_xlpm.maxv=I200,"Assault",_xlpm.maxv=J200,"Engineer",_xlpm.maxv=K200,"Recon",_xlpm.maxv=L200,"Support"))))</f>
        <v/>
      </c>
      <c r="O200" t="str">
        <f t="shared" si="16"/>
        <v/>
      </c>
      <c r="P200" s="28" t="str">
        <f t="shared" si="17"/>
        <v/>
      </c>
    </row>
    <row r="201" spans="2:16" x14ac:dyDescent="0.25">
      <c r="B201">
        <v>1997</v>
      </c>
      <c r="H201" t="str">
        <f t="shared" si="14"/>
        <v/>
      </c>
      <c r="M201">
        <f t="shared" si="15"/>
        <v>0</v>
      </c>
      <c r="N201" t="str" cm="1">
        <f t="array" ref="N201">_xlfn.LET(_xlpm.total,SUM(I201:L201),_xlpm.maxv,MAX(I201:L201),IF(_xlpm.total=0,"",IF(_xlpm.maxv/_xlpm.total&lt;0.5,"Mixed-Class",_xlfn.IFS(_xlpm.maxv=I201,"Assault",_xlpm.maxv=J201,"Engineer",_xlpm.maxv=K201,"Recon",_xlpm.maxv=L201,"Support"))))</f>
        <v/>
      </c>
      <c r="O201" t="str">
        <f t="shared" si="16"/>
        <v/>
      </c>
      <c r="P201" s="28" t="str">
        <f t="shared" si="17"/>
        <v/>
      </c>
    </row>
    <row r="202" spans="2:16" x14ac:dyDescent="0.25">
      <c r="B202">
        <v>2007</v>
      </c>
      <c r="H202" t="str">
        <f t="shared" si="14"/>
        <v/>
      </c>
      <c r="M202">
        <f t="shared" si="15"/>
        <v>0</v>
      </c>
      <c r="N202" t="str" cm="1">
        <f t="array" ref="N202">_xlfn.LET(_xlpm.total,SUM(I202:L202),_xlpm.maxv,MAX(I202:L202),IF(_xlpm.total=0,"",IF(_xlpm.maxv/_xlpm.total&lt;0.5,"Mixed-Class",_xlfn.IFS(_xlpm.maxv=I202,"Assault",_xlpm.maxv=J202,"Engineer",_xlpm.maxv=K202,"Recon",_xlpm.maxv=L202,"Support"))))</f>
        <v/>
      </c>
      <c r="O202" t="str">
        <f t="shared" si="16"/>
        <v/>
      </c>
      <c r="P202" s="28" t="str">
        <f t="shared" si="17"/>
        <v/>
      </c>
    </row>
    <row r="203" spans="2:16" x14ac:dyDescent="0.25">
      <c r="B203">
        <v>2017</v>
      </c>
      <c r="H203" t="str">
        <f t="shared" si="14"/>
        <v/>
      </c>
      <c r="M203">
        <f t="shared" si="15"/>
        <v>0</v>
      </c>
      <c r="N203" t="str" cm="1">
        <f t="array" ref="N203">_xlfn.LET(_xlpm.total,SUM(I203:L203),_xlpm.maxv,MAX(I203:L203),IF(_xlpm.total=0,"",IF(_xlpm.maxv/_xlpm.total&lt;0.5,"Mixed-Class",_xlfn.IFS(_xlpm.maxv=I203,"Assault",_xlpm.maxv=J203,"Engineer",_xlpm.maxv=K203,"Recon",_xlpm.maxv=L203,"Support"))))</f>
        <v/>
      </c>
      <c r="O203" t="str">
        <f t="shared" si="16"/>
        <v/>
      </c>
      <c r="P203" s="28" t="str">
        <f t="shared" si="17"/>
        <v/>
      </c>
    </row>
    <row r="204" spans="2:16" x14ac:dyDescent="0.25">
      <c r="B204">
        <v>2027</v>
      </c>
      <c r="H204" t="str">
        <f t="shared" si="14"/>
        <v/>
      </c>
      <c r="M204">
        <f t="shared" si="15"/>
        <v>0</v>
      </c>
      <c r="N204" t="str" cm="1">
        <f t="array" ref="N204">_xlfn.LET(_xlpm.total,SUM(I204:L204),_xlpm.maxv,MAX(I204:L204),IF(_xlpm.total=0,"",IF(_xlpm.maxv/_xlpm.total&lt;0.5,"Mixed-Class",_xlfn.IFS(_xlpm.maxv=I204,"Assault",_xlpm.maxv=J204,"Engineer",_xlpm.maxv=K204,"Recon",_xlpm.maxv=L204,"Support"))))</f>
        <v/>
      </c>
      <c r="O204" t="str">
        <f t="shared" si="16"/>
        <v/>
      </c>
      <c r="P204" s="28" t="str">
        <f t="shared" si="17"/>
        <v/>
      </c>
    </row>
    <row r="205" spans="2:16" x14ac:dyDescent="0.25">
      <c r="B205">
        <v>2037</v>
      </c>
      <c r="H205" t="str">
        <f t="shared" si="14"/>
        <v/>
      </c>
      <c r="M205">
        <f t="shared" si="15"/>
        <v>0</v>
      </c>
      <c r="N205" t="str" cm="1">
        <f t="array" ref="N205">_xlfn.LET(_xlpm.total,SUM(I205:L205),_xlpm.maxv,MAX(I205:L205),IF(_xlpm.total=0,"",IF(_xlpm.maxv/_xlpm.total&lt;0.5,"Mixed-Class",_xlfn.IFS(_xlpm.maxv=I205,"Assault",_xlpm.maxv=J205,"Engineer",_xlpm.maxv=K205,"Recon",_xlpm.maxv=L205,"Support"))))</f>
        <v/>
      </c>
      <c r="O205" t="str">
        <f t="shared" si="16"/>
        <v/>
      </c>
      <c r="P205" s="28" t="str">
        <f t="shared" si="17"/>
        <v/>
      </c>
    </row>
    <row r="206" spans="2:16" x14ac:dyDescent="0.25">
      <c r="B206">
        <v>2047</v>
      </c>
      <c r="H206" t="str">
        <f t="shared" si="14"/>
        <v/>
      </c>
      <c r="M206">
        <f t="shared" si="15"/>
        <v>0</v>
      </c>
      <c r="N206" t="str" cm="1">
        <f t="array" ref="N206">_xlfn.LET(_xlpm.total,SUM(I206:L206),_xlpm.maxv,MAX(I206:L206),IF(_xlpm.total=0,"",IF(_xlpm.maxv/_xlpm.total&lt;0.5,"Mixed-Class",_xlfn.IFS(_xlpm.maxv=I206,"Assault",_xlpm.maxv=J206,"Engineer",_xlpm.maxv=K206,"Recon",_xlpm.maxv=L206,"Support"))))</f>
        <v/>
      </c>
      <c r="O206" t="str">
        <f t="shared" si="16"/>
        <v/>
      </c>
      <c r="P206" s="28" t="str">
        <f t="shared" si="17"/>
        <v/>
      </c>
    </row>
    <row r="207" spans="2:16" x14ac:dyDescent="0.25">
      <c r="B207">
        <v>2057</v>
      </c>
      <c r="H207" t="str">
        <f t="shared" si="14"/>
        <v/>
      </c>
      <c r="M207">
        <f t="shared" si="15"/>
        <v>0</v>
      </c>
      <c r="N207" t="str" cm="1">
        <f t="array" ref="N207">_xlfn.LET(_xlpm.total,SUM(I207:L207),_xlpm.maxv,MAX(I207:L207),IF(_xlpm.total=0,"",IF(_xlpm.maxv/_xlpm.total&lt;0.5,"Mixed-Class",_xlfn.IFS(_xlpm.maxv=I207,"Assault",_xlpm.maxv=J207,"Engineer",_xlpm.maxv=K207,"Recon",_xlpm.maxv=L207,"Support"))))</f>
        <v/>
      </c>
      <c r="O207" t="str">
        <f t="shared" si="16"/>
        <v/>
      </c>
      <c r="P207" s="28" t="str">
        <f t="shared" si="17"/>
        <v/>
      </c>
    </row>
    <row r="208" spans="2:16" x14ac:dyDescent="0.25">
      <c r="B208">
        <v>2067</v>
      </c>
      <c r="H208" t="str">
        <f t="shared" si="14"/>
        <v/>
      </c>
      <c r="M208">
        <f t="shared" si="15"/>
        <v>0</v>
      </c>
      <c r="N208" t="str" cm="1">
        <f t="array" ref="N208">_xlfn.LET(_xlpm.total,SUM(I208:L208),_xlpm.maxv,MAX(I208:L208),IF(_xlpm.total=0,"",IF(_xlpm.maxv/_xlpm.total&lt;0.5,"Mixed-Class",_xlfn.IFS(_xlpm.maxv=I208,"Assault",_xlpm.maxv=J208,"Engineer",_xlpm.maxv=K208,"Recon",_xlpm.maxv=L208,"Support"))))</f>
        <v/>
      </c>
      <c r="O208" t="str">
        <f t="shared" si="16"/>
        <v/>
      </c>
      <c r="P208" s="28" t="str">
        <f t="shared" si="17"/>
        <v/>
      </c>
    </row>
    <row r="209" spans="2:16" x14ac:dyDescent="0.25">
      <c r="B209">
        <v>2077</v>
      </c>
      <c r="H209" t="str">
        <f t="shared" si="14"/>
        <v/>
      </c>
      <c r="M209">
        <f t="shared" si="15"/>
        <v>0</v>
      </c>
      <c r="N209" t="str" cm="1">
        <f t="array" ref="N209">_xlfn.LET(_xlpm.total,SUM(I209:L209),_xlpm.maxv,MAX(I209:L209),IF(_xlpm.total=0,"",IF(_xlpm.maxv/_xlpm.total&lt;0.5,"Mixed-Class",_xlfn.IFS(_xlpm.maxv=I209,"Assault",_xlpm.maxv=J209,"Engineer",_xlpm.maxv=K209,"Recon",_xlpm.maxv=L209,"Support"))))</f>
        <v/>
      </c>
      <c r="O209" t="str">
        <f t="shared" si="16"/>
        <v/>
      </c>
      <c r="P209" s="28" t="str">
        <f t="shared" si="17"/>
        <v/>
      </c>
    </row>
    <row r="210" spans="2:16" x14ac:dyDescent="0.25">
      <c r="B210">
        <v>2087</v>
      </c>
      <c r="H210" t="str">
        <f t="shared" si="14"/>
        <v/>
      </c>
      <c r="M210">
        <f t="shared" si="15"/>
        <v>0</v>
      </c>
      <c r="N210" t="str" cm="1">
        <f t="array" ref="N210">_xlfn.LET(_xlpm.total,SUM(I210:L210),_xlpm.maxv,MAX(I210:L210),IF(_xlpm.total=0,"",IF(_xlpm.maxv/_xlpm.total&lt;0.5,"Mixed-Class",_xlfn.IFS(_xlpm.maxv=I210,"Assault",_xlpm.maxv=J210,"Engineer",_xlpm.maxv=K210,"Recon",_xlpm.maxv=L210,"Support"))))</f>
        <v/>
      </c>
      <c r="O210" t="str">
        <f t="shared" si="16"/>
        <v/>
      </c>
      <c r="P210" s="28" t="str">
        <f t="shared" si="17"/>
        <v/>
      </c>
    </row>
    <row r="211" spans="2:16" x14ac:dyDescent="0.25">
      <c r="B211">
        <v>2097</v>
      </c>
      <c r="H211" t="str">
        <f t="shared" si="14"/>
        <v/>
      </c>
      <c r="M211">
        <f t="shared" si="15"/>
        <v>0</v>
      </c>
      <c r="N211" t="str" cm="1">
        <f t="array" ref="N211">_xlfn.LET(_xlpm.total,SUM(I211:L211),_xlpm.maxv,MAX(I211:L211),IF(_xlpm.total=0,"",IF(_xlpm.maxv/_xlpm.total&lt;0.5,"Mixed-Class",_xlfn.IFS(_xlpm.maxv=I211,"Assault",_xlpm.maxv=J211,"Engineer",_xlpm.maxv=K211,"Recon",_xlpm.maxv=L211,"Support"))))</f>
        <v/>
      </c>
      <c r="O211" t="str">
        <f t="shared" si="16"/>
        <v/>
      </c>
      <c r="P211" s="28" t="str">
        <f t="shared" si="17"/>
        <v/>
      </c>
    </row>
    <row r="212" spans="2:16" x14ac:dyDescent="0.25">
      <c r="B212">
        <v>2107</v>
      </c>
      <c r="H212" t="str">
        <f t="shared" si="14"/>
        <v/>
      </c>
      <c r="M212">
        <f t="shared" si="15"/>
        <v>0</v>
      </c>
      <c r="N212" t="str" cm="1">
        <f t="array" ref="N212">_xlfn.LET(_xlpm.total,SUM(I212:L212),_xlpm.maxv,MAX(I212:L212),IF(_xlpm.total=0,"",IF(_xlpm.maxv/_xlpm.total&lt;0.5,"Mixed-Class",_xlfn.IFS(_xlpm.maxv=I212,"Assault",_xlpm.maxv=J212,"Engineer",_xlpm.maxv=K212,"Recon",_xlpm.maxv=L212,"Support"))))</f>
        <v/>
      </c>
      <c r="O212" t="str">
        <f t="shared" si="16"/>
        <v/>
      </c>
      <c r="P212" s="28" t="str">
        <f t="shared" si="17"/>
        <v/>
      </c>
    </row>
    <row r="213" spans="2:16" x14ac:dyDescent="0.25">
      <c r="B213">
        <v>2117</v>
      </c>
      <c r="H213" t="str">
        <f t="shared" si="14"/>
        <v/>
      </c>
      <c r="M213">
        <f t="shared" si="15"/>
        <v>0</v>
      </c>
      <c r="N213" t="str" cm="1">
        <f t="array" ref="N213">_xlfn.LET(_xlpm.total,SUM(I213:L213),_xlpm.maxv,MAX(I213:L213),IF(_xlpm.total=0,"",IF(_xlpm.maxv/_xlpm.total&lt;0.5,"Mixed-Class",_xlfn.IFS(_xlpm.maxv=I213,"Assault",_xlpm.maxv=J213,"Engineer",_xlpm.maxv=K213,"Recon",_xlpm.maxv=L213,"Support"))))</f>
        <v/>
      </c>
      <c r="O213" t="str">
        <f t="shared" si="16"/>
        <v/>
      </c>
      <c r="P213" s="28" t="str">
        <f t="shared" si="17"/>
        <v/>
      </c>
    </row>
    <row r="214" spans="2:16" x14ac:dyDescent="0.25">
      <c r="B214">
        <v>2127</v>
      </c>
      <c r="H214" t="str">
        <f t="shared" si="14"/>
        <v/>
      </c>
      <c r="M214">
        <f t="shared" si="15"/>
        <v>0</v>
      </c>
      <c r="N214" t="str" cm="1">
        <f t="array" ref="N214">_xlfn.LET(_xlpm.total,SUM(I214:L214),_xlpm.maxv,MAX(I214:L214),IF(_xlpm.total=0,"",IF(_xlpm.maxv/_xlpm.total&lt;0.5,"Mixed-Class",_xlfn.IFS(_xlpm.maxv=I214,"Assault",_xlpm.maxv=J214,"Engineer",_xlpm.maxv=K214,"Recon",_xlpm.maxv=L214,"Support"))))</f>
        <v/>
      </c>
      <c r="O214" t="str">
        <f t="shared" si="16"/>
        <v/>
      </c>
      <c r="P214" s="28" t="str">
        <f t="shared" si="17"/>
        <v/>
      </c>
    </row>
    <row r="215" spans="2:16" x14ac:dyDescent="0.25">
      <c r="B215">
        <v>2137</v>
      </c>
      <c r="H215" t="str">
        <f t="shared" si="14"/>
        <v/>
      </c>
      <c r="M215">
        <f t="shared" si="15"/>
        <v>0</v>
      </c>
      <c r="N215" t="str" cm="1">
        <f t="array" ref="N215">_xlfn.LET(_xlpm.total,SUM(I215:L215),_xlpm.maxv,MAX(I215:L215),IF(_xlpm.total=0,"",IF(_xlpm.maxv/_xlpm.total&lt;0.5,"Mixed-Class",_xlfn.IFS(_xlpm.maxv=I215,"Assault",_xlpm.maxv=J215,"Engineer",_xlpm.maxv=K215,"Recon",_xlpm.maxv=L215,"Support"))))</f>
        <v/>
      </c>
      <c r="O215" t="str">
        <f t="shared" si="16"/>
        <v/>
      </c>
      <c r="P215" s="28" t="str">
        <f t="shared" si="17"/>
        <v/>
      </c>
    </row>
    <row r="216" spans="2:16" x14ac:dyDescent="0.25">
      <c r="B216">
        <v>2147</v>
      </c>
      <c r="H216" t="str">
        <f t="shared" si="14"/>
        <v/>
      </c>
      <c r="M216">
        <f t="shared" si="15"/>
        <v>0</v>
      </c>
      <c r="N216" t="str" cm="1">
        <f t="array" ref="N216">_xlfn.LET(_xlpm.total,SUM(I216:L216),_xlpm.maxv,MAX(I216:L216),IF(_xlpm.total=0,"",IF(_xlpm.maxv/_xlpm.total&lt;0.5,"Mixed-Class",_xlfn.IFS(_xlpm.maxv=I216,"Assault",_xlpm.maxv=J216,"Engineer",_xlpm.maxv=K216,"Recon",_xlpm.maxv=L216,"Support"))))</f>
        <v/>
      </c>
      <c r="O216" t="str">
        <f t="shared" si="16"/>
        <v/>
      </c>
      <c r="P216" s="28" t="str">
        <f t="shared" si="17"/>
        <v/>
      </c>
    </row>
    <row r="217" spans="2:16" x14ac:dyDescent="0.25">
      <c r="B217">
        <v>2157</v>
      </c>
      <c r="H217" t="str">
        <f t="shared" si="14"/>
        <v/>
      </c>
      <c r="M217">
        <f t="shared" si="15"/>
        <v>0</v>
      </c>
      <c r="N217" t="str" cm="1">
        <f t="array" ref="N217">_xlfn.LET(_xlpm.total,SUM(I217:L217),_xlpm.maxv,MAX(I217:L217),IF(_xlpm.total=0,"",IF(_xlpm.maxv/_xlpm.total&lt;0.5,"Mixed-Class",_xlfn.IFS(_xlpm.maxv=I217,"Assault",_xlpm.maxv=J217,"Engineer",_xlpm.maxv=K217,"Recon",_xlpm.maxv=L217,"Support"))))</f>
        <v/>
      </c>
      <c r="O217" t="str">
        <f t="shared" si="16"/>
        <v/>
      </c>
      <c r="P217" s="28" t="str">
        <f t="shared" si="17"/>
        <v/>
      </c>
    </row>
    <row r="218" spans="2:16" x14ac:dyDescent="0.25">
      <c r="B218">
        <v>2167</v>
      </c>
      <c r="H218" t="str">
        <f t="shared" si="14"/>
        <v/>
      </c>
      <c r="M218">
        <f t="shared" si="15"/>
        <v>0</v>
      </c>
      <c r="N218" t="str" cm="1">
        <f t="array" ref="N218">_xlfn.LET(_xlpm.total,SUM(I218:L218),_xlpm.maxv,MAX(I218:L218),IF(_xlpm.total=0,"",IF(_xlpm.maxv/_xlpm.total&lt;0.5,"Mixed-Class",_xlfn.IFS(_xlpm.maxv=I218,"Assault",_xlpm.maxv=J218,"Engineer",_xlpm.maxv=K218,"Recon",_xlpm.maxv=L218,"Support"))))</f>
        <v/>
      </c>
      <c r="O218" t="str">
        <f t="shared" si="16"/>
        <v/>
      </c>
      <c r="P218" s="28" t="str">
        <f t="shared" si="17"/>
        <v/>
      </c>
    </row>
    <row r="219" spans="2:16" x14ac:dyDescent="0.25">
      <c r="B219">
        <v>2177</v>
      </c>
      <c r="H219" t="str">
        <f t="shared" si="14"/>
        <v/>
      </c>
      <c r="M219">
        <f t="shared" si="15"/>
        <v>0</v>
      </c>
      <c r="N219" t="str" cm="1">
        <f t="array" ref="N219">_xlfn.LET(_xlpm.total,SUM(I219:L219),_xlpm.maxv,MAX(I219:L219),IF(_xlpm.total=0,"",IF(_xlpm.maxv/_xlpm.total&lt;0.5,"Mixed-Class",_xlfn.IFS(_xlpm.maxv=I219,"Assault",_xlpm.maxv=J219,"Engineer",_xlpm.maxv=K219,"Recon",_xlpm.maxv=L219,"Support"))))</f>
        <v/>
      </c>
      <c r="O219" t="str">
        <f t="shared" si="16"/>
        <v/>
      </c>
      <c r="P219" s="28" t="str">
        <f t="shared" si="17"/>
        <v/>
      </c>
    </row>
    <row r="220" spans="2:16" x14ac:dyDescent="0.25">
      <c r="B220">
        <v>2187</v>
      </c>
      <c r="H220" t="str">
        <f t="shared" si="14"/>
        <v/>
      </c>
      <c r="M220">
        <f t="shared" si="15"/>
        <v>0</v>
      </c>
      <c r="N220" t="str" cm="1">
        <f t="array" ref="N220">_xlfn.LET(_xlpm.total,SUM(I220:L220),_xlpm.maxv,MAX(I220:L220),IF(_xlpm.total=0,"",IF(_xlpm.maxv/_xlpm.total&lt;0.5,"Mixed-Class",_xlfn.IFS(_xlpm.maxv=I220,"Assault",_xlpm.maxv=J220,"Engineer",_xlpm.maxv=K220,"Recon",_xlpm.maxv=L220,"Support"))))</f>
        <v/>
      </c>
      <c r="O220" t="str">
        <f t="shared" si="16"/>
        <v/>
      </c>
      <c r="P220" s="28" t="str">
        <f t="shared" si="17"/>
        <v/>
      </c>
    </row>
    <row r="221" spans="2:16" x14ac:dyDescent="0.25">
      <c r="B221">
        <v>2197</v>
      </c>
      <c r="H221" t="str">
        <f t="shared" si="14"/>
        <v/>
      </c>
      <c r="M221">
        <f t="shared" si="15"/>
        <v>0</v>
      </c>
      <c r="N221" t="str" cm="1">
        <f t="array" ref="N221">_xlfn.LET(_xlpm.total,SUM(I221:L221),_xlpm.maxv,MAX(I221:L221),IF(_xlpm.total=0,"",IF(_xlpm.maxv/_xlpm.total&lt;0.5,"Mixed-Class",_xlfn.IFS(_xlpm.maxv=I221,"Assault",_xlpm.maxv=J221,"Engineer",_xlpm.maxv=K221,"Recon",_xlpm.maxv=L221,"Support"))))</f>
        <v/>
      </c>
      <c r="O221" t="str">
        <f t="shared" si="16"/>
        <v/>
      </c>
      <c r="P221" s="28" t="str">
        <f t="shared" si="17"/>
        <v/>
      </c>
    </row>
    <row r="222" spans="2:16" x14ac:dyDescent="0.25">
      <c r="B222">
        <v>2207</v>
      </c>
      <c r="H222" t="str">
        <f t="shared" si="14"/>
        <v/>
      </c>
      <c r="M222">
        <f t="shared" si="15"/>
        <v>0</v>
      </c>
      <c r="N222" t="str" cm="1">
        <f t="array" ref="N222">_xlfn.LET(_xlpm.total,SUM(I222:L222),_xlpm.maxv,MAX(I222:L222),IF(_xlpm.total=0,"",IF(_xlpm.maxv/_xlpm.total&lt;0.5,"Mixed-Class",_xlfn.IFS(_xlpm.maxv=I222,"Assault",_xlpm.maxv=J222,"Engineer",_xlpm.maxv=K222,"Recon",_xlpm.maxv=L222,"Support"))))</f>
        <v/>
      </c>
      <c r="O222" t="str">
        <f t="shared" si="16"/>
        <v/>
      </c>
      <c r="P222" s="28" t="str">
        <f t="shared" si="17"/>
        <v/>
      </c>
    </row>
    <row r="223" spans="2:16" x14ac:dyDescent="0.25">
      <c r="B223">
        <v>2217</v>
      </c>
      <c r="H223" t="str">
        <f t="shared" si="14"/>
        <v/>
      </c>
      <c r="M223">
        <f t="shared" si="15"/>
        <v>0</v>
      </c>
      <c r="N223" t="str" cm="1">
        <f t="array" ref="N223">_xlfn.LET(_xlpm.total,SUM(I223:L223),_xlpm.maxv,MAX(I223:L223),IF(_xlpm.total=0,"",IF(_xlpm.maxv/_xlpm.total&lt;0.5,"Mixed-Class",_xlfn.IFS(_xlpm.maxv=I223,"Assault",_xlpm.maxv=J223,"Engineer",_xlpm.maxv=K223,"Recon",_xlpm.maxv=L223,"Support"))))</f>
        <v/>
      </c>
      <c r="O223" t="str">
        <f t="shared" si="16"/>
        <v/>
      </c>
      <c r="P223" s="28" t="str">
        <f t="shared" si="17"/>
        <v/>
      </c>
    </row>
    <row r="224" spans="2:16" x14ac:dyDescent="0.25">
      <c r="B224">
        <v>2227</v>
      </c>
      <c r="H224" t="str">
        <f t="shared" si="14"/>
        <v/>
      </c>
      <c r="M224">
        <f t="shared" si="15"/>
        <v>0</v>
      </c>
      <c r="N224" t="str" cm="1">
        <f t="array" ref="N224">_xlfn.LET(_xlpm.total,SUM(I224:L224),_xlpm.maxv,MAX(I224:L224),IF(_xlpm.total=0,"",IF(_xlpm.maxv/_xlpm.total&lt;0.5,"Mixed-Class",_xlfn.IFS(_xlpm.maxv=I224,"Assault",_xlpm.maxv=J224,"Engineer",_xlpm.maxv=K224,"Recon",_xlpm.maxv=L224,"Support"))))</f>
        <v/>
      </c>
      <c r="O224" t="str">
        <f t="shared" si="16"/>
        <v/>
      </c>
      <c r="P224" s="28" t="str">
        <f t="shared" si="17"/>
        <v/>
      </c>
    </row>
    <row r="225" spans="2:16" x14ac:dyDescent="0.25">
      <c r="B225">
        <v>2237</v>
      </c>
      <c r="H225" t="str">
        <f t="shared" si="14"/>
        <v/>
      </c>
      <c r="M225">
        <f t="shared" si="15"/>
        <v>0</v>
      </c>
      <c r="N225" t="str" cm="1">
        <f t="array" ref="N225">_xlfn.LET(_xlpm.total,SUM(I225:L225),_xlpm.maxv,MAX(I225:L225),IF(_xlpm.total=0,"",IF(_xlpm.maxv/_xlpm.total&lt;0.5,"Mixed-Class",_xlfn.IFS(_xlpm.maxv=I225,"Assault",_xlpm.maxv=J225,"Engineer",_xlpm.maxv=K225,"Recon",_xlpm.maxv=L225,"Support"))))</f>
        <v/>
      </c>
      <c r="O225" t="str">
        <f t="shared" si="16"/>
        <v/>
      </c>
      <c r="P225" s="28" t="str">
        <f t="shared" si="17"/>
        <v/>
      </c>
    </row>
    <row r="226" spans="2:16" x14ac:dyDescent="0.25">
      <c r="B226">
        <v>2247</v>
      </c>
      <c r="H226" t="str">
        <f t="shared" si="14"/>
        <v/>
      </c>
      <c r="M226">
        <f t="shared" si="15"/>
        <v>0</v>
      </c>
      <c r="N226" t="str" cm="1">
        <f t="array" ref="N226">_xlfn.LET(_xlpm.total,SUM(I226:L226),_xlpm.maxv,MAX(I226:L226),IF(_xlpm.total=0,"",IF(_xlpm.maxv/_xlpm.total&lt;0.5,"Mixed-Class",_xlfn.IFS(_xlpm.maxv=I226,"Assault",_xlpm.maxv=J226,"Engineer",_xlpm.maxv=K226,"Recon",_xlpm.maxv=L226,"Support"))))</f>
        <v/>
      </c>
      <c r="O226" t="str">
        <f t="shared" si="16"/>
        <v/>
      </c>
      <c r="P226" s="28" t="str">
        <f t="shared" si="17"/>
        <v/>
      </c>
    </row>
    <row r="227" spans="2:16" x14ac:dyDescent="0.25">
      <c r="B227">
        <v>2257</v>
      </c>
      <c r="H227" t="str">
        <f t="shared" si="14"/>
        <v/>
      </c>
      <c r="M227">
        <f t="shared" si="15"/>
        <v>0</v>
      </c>
      <c r="N227" t="str" cm="1">
        <f t="array" ref="N227">_xlfn.LET(_xlpm.total,SUM(I227:L227),_xlpm.maxv,MAX(I227:L227),IF(_xlpm.total=0,"",IF(_xlpm.maxv/_xlpm.total&lt;0.5,"Mixed-Class",_xlfn.IFS(_xlpm.maxv=I227,"Assault",_xlpm.maxv=J227,"Engineer",_xlpm.maxv=K227,"Recon",_xlpm.maxv=L227,"Support"))))</f>
        <v/>
      </c>
      <c r="O227" t="str">
        <f t="shared" si="16"/>
        <v/>
      </c>
      <c r="P227" s="28" t="str">
        <f t="shared" si="17"/>
        <v/>
      </c>
    </row>
    <row r="228" spans="2:16" x14ac:dyDescent="0.25">
      <c r="B228">
        <v>2267</v>
      </c>
      <c r="H228" t="str">
        <f t="shared" si="14"/>
        <v/>
      </c>
      <c r="M228">
        <f t="shared" si="15"/>
        <v>0</v>
      </c>
      <c r="N228" t="str" cm="1">
        <f t="array" ref="N228">_xlfn.LET(_xlpm.total,SUM(I228:L228),_xlpm.maxv,MAX(I228:L228),IF(_xlpm.total=0,"",IF(_xlpm.maxv/_xlpm.total&lt;0.5,"Mixed-Class",_xlfn.IFS(_xlpm.maxv=I228,"Assault",_xlpm.maxv=J228,"Engineer",_xlpm.maxv=K228,"Recon",_xlpm.maxv=L228,"Support"))))</f>
        <v/>
      </c>
      <c r="O228" t="str">
        <f t="shared" si="16"/>
        <v/>
      </c>
      <c r="P228" s="28" t="str">
        <f t="shared" si="17"/>
        <v/>
      </c>
    </row>
    <row r="229" spans="2:16" x14ac:dyDescent="0.25">
      <c r="B229">
        <v>2277</v>
      </c>
      <c r="H229" t="str">
        <f t="shared" si="14"/>
        <v/>
      </c>
      <c r="M229">
        <f t="shared" si="15"/>
        <v>0</v>
      </c>
      <c r="N229" t="str" cm="1">
        <f t="array" ref="N229">_xlfn.LET(_xlpm.total,SUM(I229:L229),_xlpm.maxv,MAX(I229:L229),IF(_xlpm.total=0,"",IF(_xlpm.maxv/_xlpm.total&lt;0.5,"Mixed-Class",_xlfn.IFS(_xlpm.maxv=I229,"Assault",_xlpm.maxv=J229,"Engineer",_xlpm.maxv=K229,"Recon",_xlpm.maxv=L229,"Support"))))</f>
        <v/>
      </c>
      <c r="O229" t="str">
        <f t="shared" si="16"/>
        <v/>
      </c>
      <c r="P229" s="28" t="str">
        <f t="shared" si="17"/>
        <v/>
      </c>
    </row>
    <row r="230" spans="2:16" x14ac:dyDescent="0.25">
      <c r="B230">
        <v>2287</v>
      </c>
      <c r="H230" t="str">
        <f t="shared" si="14"/>
        <v/>
      </c>
      <c r="M230">
        <f t="shared" si="15"/>
        <v>0</v>
      </c>
      <c r="N230" t="str" cm="1">
        <f t="array" ref="N230">_xlfn.LET(_xlpm.total,SUM(I230:L230),_xlpm.maxv,MAX(I230:L230),IF(_xlpm.total=0,"",IF(_xlpm.maxv/_xlpm.total&lt;0.5,"Mixed-Class",_xlfn.IFS(_xlpm.maxv=I230,"Assault",_xlpm.maxv=J230,"Engineer",_xlpm.maxv=K230,"Recon",_xlpm.maxv=L230,"Support"))))</f>
        <v/>
      </c>
      <c r="O230" t="str">
        <f t="shared" si="16"/>
        <v/>
      </c>
      <c r="P230" s="28" t="str">
        <f t="shared" si="17"/>
        <v/>
      </c>
    </row>
    <row r="231" spans="2:16" x14ac:dyDescent="0.25">
      <c r="B231">
        <v>2297</v>
      </c>
      <c r="H231" t="str">
        <f t="shared" si="14"/>
        <v/>
      </c>
      <c r="M231">
        <f t="shared" si="15"/>
        <v>0</v>
      </c>
      <c r="N231" t="str" cm="1">
        <f t="array" ref="N231">_xlfn.LET(_xlpm.total,SUM(I231:L231),_xlpm.maxv,MAX(I231:L231),IF(_xlpm.total=0,"",IF(_xlpm.maxv/_xlpm.total&lt;0.5,"Mixed-Class",_xlfn.IFS(_xlpm.maxv=I231,"Assault",_xlpm.maxv=J231,"Engineer",_xlpm.maxv=K231,"Recon",_xlpm.maxv=L231,"Support"))))</f>
        <v/>
      </c>
      <c r="O231" t="str">
        <f t="shared" si="16"/>
        <v/>
      </c>
      <c r="P231" s="28" t="str">
        <f t="shared" si="17"/>
        <v/>
      </c>
    </row>
    <row r="232" spans="2:16" x14ac:dyDescent="0.25">
      <c r="B232">
        <v>2307</v>
      </c>
      <c r="H232" t="str">
        <f t="shared" si="14"/>
        <v/>
      </c>
      <c r="M232">
        <f t="shared" si="15"/>
        <v>0</v>
      </c>
      <c r="N232" t="str" cm="1">
        <f t="array" ref="N232">_xlfn.LET(_xlpm.total,SUM(I232:L232),_xlpm.maxv,MAX(I232:L232),IF(_xlpm.total=0,"",IF(_xlpm.maxv/_xlpm.total&lt;0.5,"Mixed-Class",_xlfn.IFS(_xlpm.maxv=I232,"Assault",_xlpm.maxv=J232,"Engineer",_xlpm.maxv=K232,"Recon",_xlpm.maxv=L232,"Support"))))</f>
        <v/>
      </c>
      <c r="O232" t="str">
        <f t="shared" si="16"/>
        <v/>
      </c>
      <c r="P232" s="28" t="str">
        <f t="shared" si="17"/>
        <v/>
      </c>
    </row>
    <row r="233" spans="2:16" x14ac:dyDescent="0.25">
      <c r="B233">
        <v>2317</v>
      </c>
      <c r="H233" t="str">
        <f t="shared" si="14"/>
        <v/>
      </c>
      <c r="M233">
        <f t="shared" si="15"/>
        <v>0</v>
      </c>
      <c r="N233" t="str" cm="1">
        <f t="array" ref="N233">_xlfn.LET(_xlpm.total,SUM(I233:L233),_xlpm.maxv,MAX(I233:L233),IF(_xlpm.total=0,"",IF(_xlpm.maxv/_xlpm.total&lt;0.5,"Mixed-Class",_xlfn.IFS(_xlpm.maxv=I233,"Assault",_xlpm.maxv=J233,"Engineer",_xlpm.maxv=K233,"Recon",_xlpm.maxv=L233,"Support"))))</f>
        <v/>
      </c>
      <c r="O233" t="str">
        <f t="shared" si="16"/>
        <v/>
      </c>
      <c r="P233" s="28" t="str">
        <f t="shared" si="17"/>
        <v/>
      </c>
    </row>
    <row r="234" spans="2:16" x14ac:dyDescent="0.25">
      <c r="B234">
        <v>2327</v>
      </c>
      <c r="H234" t="str">
        <f t="shared" si="14"/>
        <v/>
      </c>
      <c r="M234">
        <f t="shared" si="15"/>
        <v>0</v>
      </c>
      <c r="N234" t="str" cm="1">
        <f t="array" ref="N234">_xlfn.LET(_xlpm.total,SUM(I234:L234),_xlpm.maxv,MAX(I234:L234),IF(_xlpm.total=0,"",IF(_xlpm.maxv/_xlpm.total&lt;0.5,"Mixed-Class",_xlfn.IFS(_xlpm.maxv=I234,"Assault",_xlpm.maxv=J234,"Engineer",_xlpm.maxv=K234,"Recon",_xlpm.maxv=L234,"Support"))))</f>
        <v/>
      </c>
      <c r="O234" t="str">
        <f t="shared" si="16"/>
        <v/>
      </c>
      <c r="P234" s="28" t="str">
        <f t="shared" si="17"/>
        <v/>
      </c>
    </row>
    <row r="235" spans="2:16" x14ac:dyDescent="0.25">
      <c r="B235">
        <v>2337</v>
      </c>
      <c r="H235" t="str">
        <f t="shared" si="14"/>
        <v/>
      </c>
      <c r="M235">
        <f t="shared" si="15"/>
        <v>0</v>
      </c>
      <c r="N235" t="str" cm="1">
        <f t="array" ref="N235">_xlfn.LET(_xlpm.total,SUM(I235:L235),_xlpm.maxv,MAX(I235:L235),IF(_xlpm.total=0,"",IF(_xlpm.maxv/_xlpm.total&lt;0.5,"Mixed-Class",_xlfn.IFS(_xlpm.maxv=I235,"Assault",_xlpm.maxv=J235,"Engineer",_xlpm.maxv=K235,"Recon",_xlpm.maxv=L235,"Support"))))</f>
        <v/>
      </c>
      <c r="O235" t="str">
        <f t="shared" si="16"/>
        <v/>
      </c>
      <c r="P235" s="28" t="str">
        <f t="shared" si="17"/>
        <v/>
      </c>
    </row>
    <row r="236" spans="2:16" x14ac:dyDescent="0.25">
      <c r="B236">
        <v>2347</v>
      </c>
      <c r="H236" t="str">
        <f t="shared" si="14"/>
        <v/>
      </c>
      <c r="M236">
        <f t="shared" si="15"/>
        <v>0</v>
      </c>
      <c r="N236" t="str" cm="1">
        <f t="array" ref="N236">_xlfn.LET(_xlpm.total,SUM(I236:L236),_xlpm.maxv,MAX(I236:L236),IF(_xlpm.total=0,"",IF(_xlpm.maxv/_xlpm.total&lt;0.5,"Mixed-Class",_xlfn.IFS(_xlpm.maxv=I236,"Assault",_xlpm.maxv=J236,"Engineer",_xlpm.maxv=K236,"Recon",_xlpm.maxv=L236,"Support"))))</f>
        <v/>
      </c>
      <c r="O236" t="str">
        <f t="shared" si="16"/>
        <v/>
      </c>
      <c r="P236" s="28" t="str">
        <f t="shared" si="17"/>
        <v/>
      </c>
    </row>
    <row r="237" spans="2:16" x14ac:dyDescent="0.25">
      <c r="B237">
        <v>2357</v>
      </c>
      <c r="H237" t="str">
        <f t="shared" si="14"/>
        <v/>
      </c>
      <c r="M237">
        <f t="shared" si="15"/>
        <v>0</v>
      </c>
      <c r="N237" t="str" cm="1">
        <f t="array" ref="N237">_xlfn.LET(_xlpm.total,SUM(I237:L237),_xlpm.maxv,MAX(I237:L237),IF(_xlpm.total=0,"",IF(_xlpm.maxv/_xlpm.total&lt;0.5,"Mixed-Class",_xlfn.IFS(_xlpm.maxv=I237,"Assault",_xlpm.maxv=J237,"Engineer",_xlpm.maxv=K237,"Recon",_xlpm.maxv=L237,"Support"))))</f>
        <v/>
      </c>
      <c r="O237" t="str">
        <f t="shared" si="16"/>
        <v/>
      </c>
      <c r="P237" s="28" t="str">
        <f t="shared" si="17"/>
        <v/>
      </c>
    </row>
    <row r="238" spans="2:16" x14ac:dyDescent="0.25">
      <c r="B238">
        <v>2367</v>
      </c>
      <c r="H238" t="str">
        <f t="shared" si="14"/>
        <v/>
      </c>
      <c r="M238">
        <f t="shared" si="15"/>
        <v>0</v>
      </c>
      <c r="N238" t="str" cm="1">
        <f t="array" ref="N238">_xlfn.LET(_xlpm.total,SUM(I238:L238),_xlpm.maxv,MAX(I238:L238),IF(_xlpm.total=0,"",IF(_xlpm.maxv/_xlpm.total&lt;0.5,"Mixed-Class",_xlfn.IFS(_xlpm.maxv=I238,"Assault",_xlpm.maxv=J238,"Engineer",_xlpm.maxv=K238,"Recon",_xlpm.maxv=L238,"Support"))))</f>
        <v/>
      </c>
      <c r="O238" t="str">
        <f t="shared" si="16"/>
        <v/>
      </c>
      <c r="P238" s="28" t="str">
        <f t="shared" si="17"/>
        <v/>
      </c>
    </row>
    <row r="239" spans="2:16" x14ac:dyDescent="0.25">
      <c r="B239">
        <v>2377</v>
      </c>
      <c r="H239" t="str">
        <f t="shared" si="14"/>
        <v/>
      </c>
      <c r="M239">
        <f t="shared" si="15"/>
        <v>0</v>
      </c>
      <c r="N239" t="str" cm="1">
        <f t="array" ref="N239">_xlfn.LET(_xlpm.total,SUM(I239:L239),_xlpm.maxv,MAX(I239:L239),IF(_xlpm.total=0,"",IF(_xlpm.maxv/_xlpm.total&lt;0.5,"Mixed-Class",_xlfn.IFS(_xlpm.maxv=I239,"Assault",_xlpm.maxv=J239,"Engineer",_xlpm.maxv=K239,"Recon",_xlpm.maxv=L239,"Support"))))</f>
        <v/>
      </c>
      <c r="O239" t="str">
        <f t="shared" si="16"/>
        <v/>
      </c>
      <c r="P239" s="28" t="str">
        <f t="shared" si="17"/>
        <v/>
      </c>
    </row>
    <row r="240" spans="2:16" x14ac:dyDescent="0.25">
      <c r="B240">
        <v>2387</v>
      </c>
      <c r="H240" t="str">
        <f t="shared" si="14"/>
        <v/>
      </c>
      <c r="M240">
        <f t="shared" si="15"/>
        <v>0</v>
      </c>
      <c r="N240" t="str" cm="1">
        <f t="array" ref="N240">_xlfn.LET(_xlpm.total,SUM(I240:L240),_xlpm.maxv,MAX(I240:L240),IF(_xlpm.total=0,"",IF(_xlpm.maxv/_xlpm.total&lt;0.5,"Mixed-Class",_xlfn.IFS(_xlpm.maxv=I240,"Assault",_xlpm.maxv=J240,"Engineer",_xlpm.maxv=K240,"Recon",_xlpm.maxv=L240,"Support"))))</f>
        <v/>
      </c>
      <c r="O240" t="str">
        <f t="shared" si="16"/>
        <v/>
      </c>
      <c r="P240" s="28" t="str">
        <f t="shared" si="17"/>
        <v/>
      </c>
    </row>
    <row r="241" spans="2:16" x14ac:dyDescent="0.25">
      <c r="B241">
        <v>2397</v>
      </c>
      <c r="H241" t="str">
        <f t="shared" si="14"/>
        <v/>
      </c>
      <c r="M241">
        <f t="shared" si="15"/>
        <v>0</v>
      </c>
      <c r="N241" t="str" cm="1">
        <f t="array" ref="N241">_xlfn.LET(_xlpm.total,SUM(I241:L241),_xlpm.maxv,MAX(I241:L241),IF(_xlpm.total=0,"",IF(_xlpm.maxv/_xlpm.total&lt;0.5,"Mixed-Class",_xlfn.IFS(_xlpm.maxv=I241,"Assault",_xlpm.maxv=J241,"Engineer",_xlpm.maxv=K241,"Recon",_xlpm.maxv=L241,"Support"))))</f>
        <v/>
      </c>
      <c r="O241" t="str">
        <f t="shared" si="16"/>
        <v/>
      </c>
      <c r="P241" s="28" t="str">
        <f t="shared" si="17"/>
        <v/>
      </c>
    </row>
    <row r="242" spans="2:16" x14ac:dyDescent="0.25">
      <c r="B242">
        <v>2407</v>
      </c>
      <c r="H242" t="str">
        <f t="shared" si="14"/>
        <v/>
      </c>
      <c r="M242">
        <f t="shared" si="15"/>
        <v>0</v>
      </c>
      <c r="N242" t="str" cm="1">
        <f t="array" ref="N242">_xlfn.LET(_xlpm.total,SUM(I242:L242),_xlpm.maxv,MAX(I242:L242),IF(_xlpm.total=0,"",IF(_xlpm.maxv/_xlpm.total&lt;0.5,"Mixed-Class",_xlfn.IFS(_xlpm.maxv=I242,"Assault",_xlpm.maxv=J242,"Engineer",_xlpm.maxv=K242,"Recon",_xlpm.maxv=L242,"Support"))))</f>
        <v/>
      </c>
      <c r="O242" t="str">
        <f t="shared" si="16"/>
        <v/>
      </c>
      <c r="P242" s="28" t="str">
        <f t="shared" si="17"/>
        <v/>
      </c>
    </row>
    <row r="243" spans="2:16" x14ac:dyDescent="0.25">
      <c r="B243">
        <v>2417</v>
      </c>
      <c r="H243" t="str">
        <f t="shared" si="14"/>
        <v/>
      </c>
      <c r="M243">
        <f t="shared" si="15"/>
        <v>0</v>
      </c>
      <c r="N243" t="str" cm="1">
        <f t="array" ref="N243">_xlfn.LET(_xlpm.total,SUM(I243:L243),_xlpm.maxv,MAX(I243:L243),IF(_xlpm.total=0,"",IF(_xlpm.maxv/_xlpm.total&lt;0.5,"Mixed-Class",_xlfn.IFS(_xlpm.maxv=I243,"Assault",_xlpm.maxv=J243,"Engineer",_xlpm.maxv=K243,"Recon",_xlpm.maxv=L243,"Support"))))</f>
        <v/>
      </c>
      <c r="O243" t="str">
        <f t="shared" si="16"/>
        <v/>
      </c>
      <c r="P243" s="28" t="str">
        <f t="shared" si="17"/>
        <v/>
      </c>
    </row>
    <row r="244" spans="2:16" x14ac:dyDescent="0.25">
      <c r="B244">
        <v>2427</v>
      </c>
      <c r="H244" t="str">
        <f t="shared" si="14"/>
        <v/>
      </c>
      <c r="M244">
        <f t="shared" si="15"/>
        <v>0</v>
      </c>
      <c r="N244" t="str" cm="1">
        <f t="array" ref="N244">_xlfn.LET(_xlpm.total,SUM(I244:L244),_xlpm.maxv,MAX(I244:L244),IF(_xlpm.total=0,"",IF(_xlpm.maxv/_xlpm.total&lt;0.5,"Mixed-Class",_xlfn.IFS(_xlpm.maxv=I244,"Assault",_xlpm.maxv=J244,"Engineer",_xlpm.maxv=K244,"Recon",_xlpm.maxv=L244,"Support"))))</f>
        <v/>
      </c>
      <c r="O244" t="str">
        <f t="shared" si="16"/>
        <v/>
      </c>
      <c r="P244" s="28" t="str">
        <f t="shared" si="17"/>
        <v/>
      </c>
    </row>
    <row r="245" spans="2:16" x14ac:dyDescent="0.25">
      <c r="B245">
        <v>2437</v>
      </c>
      <c r="H245" t="str">
        <f t="shared" si="14"/>
        <v/>
      </c>
      <c r="M245">
        <f t="shared" si="15"/>
        <v>0</v>
      </c>
      <c r="N245" t="str" cm="1">
        <f t="array" ref="N245">_xlfn.LET(_xlpm.total,SUM(I245:L245),_xlpm.maxv,MAX(I245:L245),IF(_xlpm.total=0,"",IF(_xlpm.maxv/_xlpm.total&lt;0.5,"Mixed-Class",_xlfn.IFS(_xlpm.maxv=I245,"Assault",_xlpm.maxv=J245,"Engineer",_xlpm.maxv=K245,"Recon",_xlpm.maxv=L245,"Support"))))</f>
        <v/>
      </c>
      <c r="O245" t="str">
        <f t="shared" si="16"/>
        <v/>
      </c>
      <c r="P245" s="28" t="str">
        <f t="shared" si="17"/>
        <v/>
      </c>
    </row>
    <row r="246" spans="2:16" x14ac:dyDescent="0.25">
      <c r="B246">
        <v>2447</v>
      </c>
      <c r="H246" t="str">
        <f t="shared" si="14"/>
        <v/>
      </c>
      <c r="M246">
        <f t="shared" si="15"/>
        <v>0</v>
      </c>
      <c r="N246" t="str" cm="1">
        <f t="array" ref="N246">_xlfn.LET(_xlpm.total,SUM(I246:L246),_xlpm.maxv,MAX(I246:L246),IF(_xlpm.total=0,"",IF(_xlpm.maxv/_xlpm.total&lt;0.5,"Mixed-Class",_xlfn.IFS(_xlpm.maxv=I246,"Assault",_xlpm.maxv=J246,"Engineer",_xlpm.maxv=K246,"Recon",_xlpm.maxv=L246,"Support"))))</f>
        <v/>
      </c>
      <c r="O246" t="str">
        <f t="shared" si="16"/>
        <v/>
      </c>
      <c r="P246" s="28" t="str">
        <f t="shared" si="17"/>
        <v/>
      </c>
    </row>
    <row r="247" spans="2:16" x14ac:dyDescent="0.25">
      <c r="B247">
        <v>2457</v>
      </c>
      <c r="H247" t="str">
        <f t="shared" si="14"/>
        <v/>
      </c>
      <c r="M247">
        <f t="shared" si="15"/>
        <v>0</v>
      </c>
      <c r="N247" t="str" cm="1">
        <f t="array" ref="N247">_xlfn.LET(_xlpm.total,SUM(I247:L247),_xlpm.maxv,MAX(I247:L247),IF(_xlpm.total=0,"",IF(_xlpm.maxv/_xlpm.total&lt;0.5,"Mixed-Class",_xlfn.IFS(_xlpm.maxv=I247,"Assault",_xlpm.maxv=J247,"Engineer",_xlpm.maxv=K247,"Recon",_xlpm.maxv=L247,"Support"))))</f>
        <v/>
      </c>
      <c r="O247" t="str">
        <f t="shared" si="16"/>
        <v/>
      </c>
      <c r="P247" s="28" t="str">
        <f t="shared" si="17"/>
        <v/>
      </c>
    </row>
    <row r="248" spans="2:16" x14ac:dyDescent="0.25">
      <c r="B248">
        <v>2467</v>
      </c>
      <c r="H248" t="str">
        <f t="shared" si="14"/>
        <v/>
      </c>
      <c r="M248">
        <f t="shared" si="15"/>
        <v>0</v>
      </c>
      <c r="N248" t="str" cm="1">
        <f t="array" ref="N248">_xlfn.LET(_xlpm.total,SUM(I248:L248),_xlpm.maxv,MAX(I248:L248),IF(_xlpm.total=0,"",IF(_xlpm.maxv/_xlpm.total&lt;0.5,"Mixed-Class",_xlfn.IFS(_xlpm.maxv=I248,"Assault",_xlpm.maxv=J248,"Engineer",_xlpm.maxv=K248,"Recon",_xlpm.maxv=L248,"Support"))))</f>
        <v/>
      </c>
      <c r="O248" t="str">
        <f t="shared" si="16"/>
        <v/>
      </c>
      <c r="P248" s="28" t="str">
        <f t="shared" si="17"/>
        <v/>
      </c>
    </row>
    <row r="249" spans="2:16" x14ac:dyDescent="0.25">
      <c r="B249">
        <v>2477</v>
      </c>
      <c r="H249" t="str">
        <f t="shared" si="14"/>
        <v/>
      </c>
      <c r="M249">
        <f t="shared" si="15"/>
        <v>0</v>
      </c>
      <c r="N249" t="str" cm="1">
        <f t="array" ref="N249">_xlfn.LET(_xlpm.total,SUM(I249:L249),_xlpm.maxv,MAX(I249:L249),IF(_xlpm.total=0,"",IF(_xlpm.maxv/_xlpm.total&lt;0.5,"Mixed-Class",_xlfn.IFS(_xlpm.maxv=I249,"Assault",_xlpm.maxv=J249,"Engineer",_xlpm.maxv=K249,"Recon",_xlpm.maxv=L249,"Support"))))</f>
        <v/>
      </c>
      <c r="O249" t="str">
        <f t="shared" si="16"/>
        <v/>
      </c>
      <c r="P249" s="28" t="str">
        <f t="shared" si="17"/>
        <v/>
      </c>
    </row>
    <row r="250" spans="2:16" x14ac:dyDescent="0.25">
      <c r="B250">
        <v>2487</v>
      </c>
      <c r="H250" t="str">
        <f t="shared" si="14"/>
        <v/>
      </c>
      <c r="M250">
        <f t="shared" si="15"/>
        <v>0</v>
      </c>
      <c r="N250" t="str" cm="1">
        <f t="array" ref="N250">_xlfn.LET(_xlpm.total,SUM(I250:L250),_xlpm.maxv,MAX(I250:L250),IF(_xlpm.total=0,"",IF(_xlpm.maxv/_xlpm.total&lt;0.5,"Mixed-Class",_xlfn.IFS(_xlpm.maxv=I250,"Assault",_xlpm.maxv=J250,"Engineer",_xlpm.maxv=K250,"Recon",_xlpm.maxv=L250,"Support"))))</f>
        <v/>
      </c>
      <c r="O250" t="str">
        <f t="shared" si="16"/>
        <v/>
      </c>
      <c r="P250" s="28" t="str">
        <f t="shared" si="17"/>
        <v/>
      </c>
    </row>
    <row r="251" spans="2:16" x14ac:dyDescent="0.25">
      <c r="B251">
        <v>2497</v>
      </c>
      <c r="H251" t="str">
        <f t="shared" si="14"/>
        <v/>
      </c>
      <c r="M251">
        <f t="shared" si="15"/>
        <v>0</v>
      </c>
      <c r="N251" t="str" cm="1">
        <f t="array" ref="N251">_xlfn.LET(_xlpm.total,SUM(I251:L251),_xlpm.maxv,MAX(I251:L251),IF(_xlpm.total=0,"",IF(_xlpm.maxv/_xlpm.total&lt;0.5,"Mixed-Class",_xlfn.IFS(_xlpm.maxv=I251,"Assault",_xlpm.maxv=J251,"Engineer",_xlpm.maxv=K251,"Recon",_xlpm.maxv=L251,"Support"))))</f>
        <v/>
      </c>
      <c r="O251" t="str">
        <f t="shared" si="16"/>
        <v/>
      </c>
      <c r="P251" s="28" t="str">
        <f t="shared" si="17"/>
        <v/>
      </c>
    </row>
    <row r="252" spans="2:16" x14ac:dyDescent="0.25">
      <c r="B252">
        <v>2507</v>
      </c>
      <c r="H252" t="str">
        <f t="shared" si="14"/>
        <v/>
      </c>
      <c r="M252">
        <f t="shared" si="15"/>
        <v>0</v>
      </c>
      <c r="N252" t="str" cm="1">
        <f t="array" ref="N252">_xlfn.LET(_xlpm.total,SUM(I252:L252),_xlpm.maxv,MAX(I252:L252),IF(_xlpm.total=0,"",IF(_xlpm.maxv/_xlpm.total&lt;0.5,"Mixed-Class",_xlfn.IFS(_xlpm.maxv=I252,"Assault",_xlpm.maxv=J252,"Engineer",_xlpm.maxv=K252,"Recon",_xlpm.maxv=L252,"Support"))))</f>
        <v/>
      </c>
      <c r="O252" t="str">
        <f t="shared" si="16"/>
        <v/>
      </c>
      <c r="P252" s="28" t="str">
        <f t="shared" si="17"/>
        <v/>
      </c>
    </row>
    <row r="253" spans="2:16" x14ac:dyDescent="0.25">
      <c r="B253">
        <v>2517</v>
      </c>
      <c r="H253" t="str">
        <f t="shared" si="14"/>
        <v/>
      </c>
      <c r="M253">
        <f t="shared" si="15"/>
        <v>0</v>
      </c>
      <c r="N253" t="str" cm="1">
        <f t="array" ref="N253">_xlfn.LET(_xlpm.total,SUM(I253:L253),_xlpm.maxv,MAX(I253:L253),IF(_xlpm.total=0,"",IF(_xlpm.maxv/_xlpm.total&lt;0.5,"Mixed-Class",_xlfn.IFS(_xlpm.maxv=I253,"Assault",_xlpm.maxv=J253,"Engineer",_xlpm.maxv=K253,"Recon",_xlpm.maxv=L253,"Support"))))</f>
        <v/>
      </c>
      <c r="O253" t="str">
        <f t="shared" si="16"/>
        <v/>
      </c>
      <c r="P253" s="28" t="str">
        <f t="shared" si="17"/>
        <v/>
      </c>
    </row>
    <row r="254" spans="2:16" x14ac:dyDescent="0.25">
      <c r="B254">
        <v>2527</v>
      </c>
      <c r="H254" t="str">
        <f t="shared" si="14"/>
        <v/>
      </c>
      <c r="M254">
        <f t="shared" si="15"/>
        <v>0</v>
      </c>
      <c r="N254" t="str" cm="1">
        <f t="array" ref="N254">_xlfn.LET(_xlpm.total,SUM(I254:L254),_xlpm.maxv,MAX(I254:L254),IF(_xlpm.total=0,"",IF(_xlpm.maxv/_xlpm.total&lt;0.5,"Mixed-Class",_xlfn.IFS(_xlpm.maxv=I254,"Assault",_xlpm.maxv=J254,"Engineer",_xlpm.maxv=K254,"Recon",_xlpm.maxv=L254,"Support"))))</f>
        <v/>
      </c>
      <c r="O254" t="str">
        <f t="shared" si="16"/>
        <v/>
      </c>
      <c r="P254" s="28" t="str">
        <f t="shared" si="17"/>
        <v/>
      </c>
    </row>
    <row r="255" spans="2:16" x14ac:dyDescent="0.25">
      <c r="B255">
        <v>2537</v>
      </c>
      <c r="H255" t="str">
        <f t="shared" si="14"/>
        <v/>
      </c>
      <c r="M255">
        <f t="shared" si="15"/>
        <v>0</v>
      </c>
      <c r="N255" t="str" cm="1">
        <f t="array" ref="N255">_xlfn.LET(_xlpm.total,SUM(I255:L255),_xlpm.maxv,MAX(I255:L255),IF(_xlpm.total=0,"",IF(_xlpm.maxv/_xlpm.total&lt;0.5,"Mixed-Class",_xlfn.IFS(_xlpm.maxv=I255,"Assault",_xlpm.maxv=J255,"Engineer",_xlpm.maxv=K255,"Recon",_xlpm.maxv=L255,"Support"))))</f>
        <v/>
      </c>
      <c r="O255" t="str">
        <f t="shared" si="16"/>
        <v/>
      </c>
      <c r="P255" s="28" t="str">
        <f t="shared" si="17"/>
        <v/>
      </c>
    </row>
    <row r="256" spans="2:16" x14ac:dyDescent="0.25">
      <c r="B256">
        <v>2547</v>
      </c>
      <c r="H256" t="str">
        <f t="shared" si="14"/>
        <v/>
      </c>
      <c r="M256">
        <f t="shared" si="15"/>
        <v>0</v>
      </c>
      <c r="N256" t="str" cm="1">
        <f t="array" ref="N256">_xlfn.LET(_xlpm.total,SUM(I256:L256),_xlpm.maxv,MAX(I256:L256),IF(_xlpm.total=0,"",IF(_xlpm.maxv/_xlpm.total&lt;0.5,"Mixed-Class",_xlfn.IFS(_xlpm.maxv=I256,"Assault",_xlpm.maxv=J256,"Engineer",_xlpm.maxv=K256,"Recon",_xlpm.maxv=L256,"Support"))))</f>
        <v/>
      </c>
      <c r="O256" t="str">
        <f t="shared" si="16"/>
        <v/>
      </c>
      <c r="P256" s="28" t="str">
        <f t="shared" si="17"/>
        <v/>
      </c>
    </row>
    <row r="257" spans="2:16" x14ac:dyDescent="0.25">
      <c r="B257">
        <v>2557</v>
      </c>
      <c r="H257" t="str">
        <f t="shared" si="14"/>
        <v/>
      </c>
      <c r="M257">
        <f t="shared" si="15"/>
        <v>0</v>
      </c>
      <c r="N257" t="str" cm="1">
        <f t="array" ref="N257">_xlfn.LET(_xlpm.total,SUM(I257:L257),_xlpm.maxv,MAX(I257:L257),IF(_xlpm.total=0,"",IF(_xlpm.maxv/_xlpm.total&lt;0.5,"Mixed-Class",_xlfn.IFS(_xlpm.maxv=I257,"Assault",_xlpm.maxv=J257,"Engineer",_xlpm.maxv=K257,"Recon",_xlpm.maxv=L257,"Support"))))</f>
        <v/>
      </c>
      <c r="O257" t="str">
        <f t="shared" si="16"/>
        <v/>
      </c>
      <c r="P257" s="28" t="str">
        <f t="shared" si="17"/>
        <v/>
      </c>
    </row>
    <row r="258" spans="2:16" x14ac:dyDescent="0.25">
      <c r="B258">
        <v>2567</v>
      </c>
      <c r="H258" t="str">
        <f t="shared" si="14"/>
        <v/>
      </c>
      <c r="M258">
        <f t="shared" si="15"/>
        <v>0</v>
      </c>
      <c r="N258" t="str" cm="1">
        <f t="array" ref="N258">_xlfn.LET(_xlpm.total,SUM(I258:L258),_xlpm.maxv,MAX(I258:L258),IF(_xlpm.total=0,"",IF(_xlpm.maxv/_xlpm.total&lt;0.5,"Mixed-Class",_xlfn.IFS(_xlpm.maxv=I258,"Assault",_xlpm.maxv=J258,"Engineer",_xlpm.maxv=K258,"Recon",_xlpm.maxv=L258,"Support"))))</f>
        <v/>
      </c>
      <c r="O258" t="str">
        <f t="shared" si="16"/>
        <v/>
      </c>
      <c r="P258" s="28" t="str">
        <f t="shared" si="17"/>
        <v/>
      </c>
    </row>
    <row r="259" spans="2:16" x14ac:dyDescent="0.25">
      <c r="B259">
        <v>2577</v>
      </c>
      <c r="H259" t="str">
        <f t="shared" ref="H259:H322" si="18">IF(SUM(D259:G259)=0,"",IF(G259/SUM(D259:G259)&gt;=0.5,"Battle Royale",IF(F259/SUM(D259:F259)&gt;=0.6,"Infantry-Heavy",IF((D259+0.7*E259)/SUM(D259:F259)&gt;=0.7,"Vehicle-Heavy","Mixed"))))</f>
        <v/>
      </c>
      <c r="M259">
        <f t="shared" ref="M259:M322" si="19">SUM(I259:L259)</f>
        <v>0</v>
      </c>
      <c r="N259" t="str" cm="1">
        <f t="array" ref="N259">_xlfn.LET(_xlpm.total,SUM(I259:L259),_xlpm.maxv,MAX(I259:L259),IF(_xlpm.total=0,"",IF(_xlpm.maxv/_xlpm.total&lt;0.5,"Mixed-Class",_xlfn.IFS(_xlpm.maxv=I259,"Assault",_xlpm.maxv=J259,"Engineer",_xlpm.maxv=K259,"Recon",_xlpm.maxv=L259,"Support"))))</f>
        <v/>
      </c>
      <c r="O259" t="str">
        <f t="shared" ref="O259:O322" si="20">_xlfn.LET(_xlpm.total,SUM(I259:L259),IF(_xlpm.total=0,"",MAX(I259:L259)/_xlpm.total&gt;=0.5))</f>
        <v/>
      </c>
      <c r="P259" s="28" t="str">
        <f t="shared" ref="P259:P322" si="21">_xlfn.LET(_xlpm.total,SUM(I259:L259),IF(_xlpm.total=0,"",MAX(I259:L259)/_xlpm.total))</f>
        <v/>
      </c>
    </row>
    <row r="260" spans="2:16" x14ac:dyDescent="0.25">
      <c r="B260">
        <v>2587</v>
      </c>
      <c r="H260" t="str">
        <f t="shared" si="18"/>
        <v/>
      </c>
      <c r="M260">
        <f t="shared" si="19"/>
        <v>0</v>
      </c>
      <c r="N260" t="str" cm="1">
        <f t="array" ref="N260">_xlfn.LET(_xlpm.total,SUM(I260:L260),_xlpm.maxv,MAX(I260:L260),IF(_xlpm.total=0,"",IF(_xlpm.maxv/_xlpm.total&lt;0.5,"Mixed-Class",_xlfn.IFS(_xlpm.maxv=I260,"Assault",_xlpm.maxv=J260,"Engineer",_xlpm.maxv=K260,"Recon",_xlpm.maxv=L260,"Support"))))</f>
        <v/>
      </c>
      <c r="O260" t="str">
        <f t="shared" si="20"/>
        <v/>
      </c>
      <c r="P260" s="28" t="str">
        <f t="shared" si="21"/>
        <v/>
      </c>
    </row>
    <row r="261" spans="2:16" x14ac:dyDescent="0.25">
      <c r="B261">
        <v>2597</v>
      </c>
      <c r="H261" t="str">
        <f t="shared" si="18"/>
        <v/>
      </c>
      <c r="M261">
        <f t="shared" si="19"/>
        <v>0</v>
      </c>
      <c r="N261" t="str" cm="1">
        <f t="array" ref="N261">_xlfn.LET(_xlpm.total,SUM(I261:L261),_xlpm.maxv,MAX(I261:L261),IF(_xlpm.total=0,"",IF(_xlpm.maxv/_xlpm.total&lt;0.5,"Mixed-Class",_xlfn.IFS(_xlpm.maxv=I261,"Assault",_xlpm.maxv=J261,"Engineer",_xlpm.maxv=K261,"Recon",_xlpm.maxv=L261,"Support"))))</f>
        <v/>
      </c>
      <c r="O261" t="str">
        <f t="shared" si="20"/>
        <v/>
      </c>
      <c r="P261" s="28" t="str">
        <f t="shared" si="21"/>
        <v/>
      </c>
    </row>
    <row r="262" spans="2:16" x14ac:dyDescent="0.25">
      <c r="B262">
        <v>2607</v>
      </c>
      <c r="H262" t="str">
        <f t="shared" si="18"/>
        <v/>
      </c>
      <c r="M262">
        <f t="shared" si="19"/>
        <v>0</v>
      </c>
      <c r="N262" t="str" cm="1">
        <f t="array" ref="N262">_xlfn.LET(_xlpm.total,SUM(I262:L262),_xlpm.maxv,MAX(I262:L262),IF(_xlpm.total=0,"",IF(_xlpm.maxv/_xlpm.total&lt;0.5,"Mixed-Class",_xlfn.IFS(_xlpm.maxv=I262,"Assault",_xlpm.maxv=J262,"Engineer",_xlpm.maxv=K262,"Recon",_xlpm.maxv=L262,"Support"))))</f>
        <v/>
      </c>
      <c r="O262" t="str">
        <f t="shared" si="20"/>
        <v/>
      </c>
      <c r="P262" s="28" t="str">
        <f t="shared" si="21"/>
        <v/>
      </c>
    </row>
    <row r="263" spans="2:16" x14ac:dyDescent="0.25">
      <c r="B263">
        <v>2617</v>
      </c>
      <c r="H263" t="str">
        <f t="shared" si="18"/>
        <v/>
      </c>
      <c r="M263">
        <f t="shared" si="19"/>
        <v>0</v>
      </c>
      <c r="N263" t="str" cm="1">
        <f t="array" ref="N263">_xlfn.LET(_xlpm.total,SUM(I263:L263),_xlpm.maxv,MAX(I263:L263),IF(_xlpm.total=0,"",IF(_xlpm.maxv/_xlpm.total&lt;0.5,"Mixed-Class",_xlfn.IFS(_xlpm.maxv=I263,"Assault",_xlpm.maxv=J263,"Engineer",_xlpm.maxv=K263,"Recon",_xlpm.maxv=L263,"Support"))))</f>
        <v/>
      </c>
      <c r="O263" t="str">
        <f t="shared" si="20"/>
        <v/>
      </c>
      <c r="P263" s="28" t="str">
        <f t="shared" si="21"/>
        <v/>
      </c>
    </row>
    <row r="264" spans="2:16" x14ac:dyDescent="0.25">
      <c r="B264">
        <v>2627</v>
      </c>
      <c r="H264" t="str">
        <f t="shared" si="18"/>
        <v/>
      </c>
      <c r="M264">
        <f t="shared" si="19"/>
        <v>0</v>
      </c>
      <c r="N264" t="str" cm="1">
        <f t="array" ref="N264">_xlfn.LET(_xlpm.total,SUM(I264:L264),_xlpm.maxv,MAX(I264:L264),IF(_xlpm.total=0,"",IF(_xlpm.maxv/_xlpm.total&lt;0.5,"Mixed-Class",_xlfn.IFS(_xlpm.maxv=I264,"Assault",_xlpm.maxv=J264,"Engineer",_xlpm.maxv=K264,"Recon",_xlpm.maxv=L264,"Support"))))</f>
        <v/>
      </c>
      <c r="O264" t="str">
        <f t="shared" si="20"/>
        <v/>
      </c>
      <c r="P264" s="28" t="str">
        <f t="shared" si="21"/>
        <v/>
      </c>
    </row>
    <row r="265" spans="2:16" x14ac:dyDescent="0.25">
      <c r="B265">
        <v>2637</v>
      </c>
      <c r="H265" t="str">
        <f t="shared" si="18"/>
        <v/>
      </c>
      <c r="M265">
        <f t="shared" si="19"/>
        <v>0</v>
      </c>
      <c r="N265" t="str" cm="1">
        <f t="array" ref="N265">_xlfn.LET(_xlpm.total,SUM(I265:L265),_xlpm.maxv,MAX(I265:L265),IF(_xlpm.total=0,"",IF(_xlpm.maxv/_xlpm.total&lt;0.5,"Mixed-Class",_xlfn.IFS(_xlpm.maxv=I265,"Assault",_xlpm.maxv=J265,"Engineer",_xlpm.maxv=K265,"Recon",_xlpm.maxv=L265,"Support"))))</f>
        <v/>
      </c>
      <c r="O265" t="str">
        <f t="shared" si="20"/>
        <v/>
      </c>
      <c r="P265" s="28" t="str">
        <f t="shared" si="21"/>
        <v/>
      </c>
    </row>
    <row r="266" spans="2:16" x14ac:dyDescent="0.25">
      <c r="B266">
        <v>2647</v>
      </c>
      <c r="H266" t="str">
        <f t="shared" si="18"/>
        <v/>
      </c>
      <c r="M266">
        <f t="shared" si="19"/>
        <v>0</v>
      </c>
      <c r="N266" t="str" cm="1">
        <f t="array" ref="N266">_xlfn.LET(_xlpm.total,SUM(I266:L266),_xlpm.maxv,MAX(I266:L266),IF(_xlpm.total=0,"",IF(_xlpm.maxv/_xlpm.total&lt;0.5,"Mixed-Class",_xlfn.IFS(_xlpm.maxv=I266,"Assault",_xlpm.maxv=J266,"Engineer",_xlpm.maxv=K266,"Recon",_xlpm.maxv=L266,"Support"))))</f>
        <v/>
      </c>
      <c r="O266" t="str">
        <f t="shared" si="20"/>
        <v/>
      </c>
      <c r="P266" s="28" t="str">
        <f t="shared" si="21"/>
        <v/>
      </c>
    </row>
    <row r="267" spans="2:16" x14ac:dyDescent="0.25">
      <c r="B267">
        <v>2657</v>
      </c>
      <c r="H267" t="str">
        <f t="shared" si="18"/>
        <v/>
      </c>
      <c r="M267">
        <f t="shared" si="19"/>
        <v>0</v>
      </c>
      <c r="N267" t="str" cm="1">
        <f t="array" ref="N267">_xlfn.LET(_xlpm.total,SUM(I267:L267),_xlpm.maxv,MAX(I267:L267),IF(_xlpm.total=0,"",IF(_xlpm.maxv/_xlpm.total&lt;0.5,"Mixed-Class",_xlfn.IFS(_xlpm.maxv=I267,"Assault",_xlpm.maxv=J267,"Engineer",_xlpm.maxv=K267,"Recon",_xlpm.maxv=L267,"Support"))))</f>
        <v/>
      </c>
      <c r="O267" t="str">
        <f t="shared" si="20"/>
        <v/>
      </c>
      <c r="P267" s="28" t="str">
        <f t="shared" si="21"/>
        <v/>
      </c>
    </row>
    <row r="268" spans="2:16" x14ac:dyDescent="0.25">
      <c r="B268">
        <v>2667</v>
      </c>
      <c r="H268" t="str">
        <f t="shared" si="18"/>
        <v/>
      </c>
      <c r="M268">
        <f t="shared" si="19"/>
        <v>0</v>
      </c>
      <c r="N268" t="str" cm="1">
        <f t="array" ref="N268">_xlfn.LET(_xlpm.total,SUM(I268:L268),_xlpm.maxv,MAX(I268:L268),IF(_xlpm.total=0,"",IF(_xlpm.maxv/_xlpm.total&lt;0.5,"Mixed-Class",_xlfn.IFS(_xlpm.maxv=I268,"Assault",_xlpm.maxv=J268,"Engineer",_xlpm.maxv=K268,"Recon",_xlpm.maxv=L268,"Support"))))</f>
        <v/>
      </c>
      <c r="O268" t="str">
        <f t="shared" si="20"/>
        <v/>
      </c>
      <c r="P268" s="28" t="str">
        <f t="shared" si="21"/>
        <v/>
      </c>
    </row>
    <row r="269" spans="2:16" x14ac:dyDescent="0.25">
      <c r="B269">
        <v>2677</v>
      </c>
      <c r="H269" t="str">
        <f t="shared" si="18"/>
        <v/>
      </c>
      <c r="M269">
        <f t="shared" si="19"/>
        <v>0</v>
      </c>
      <c r="N269" t="str" cm="1">
        <f t="array" ref="N269">_xlfn.LET(_xlpm.total,SUM(I269:L269),_xlpm.maxv,MAX(I269:L269),IF(_xlpm.total=0,"",IF(_xlpm.maxv/_xlpm.total&lt;0.5,"Mixed-Class",_xlfn.IFS(_xlpm.maxv=I269,"Assault",_xlpm.maxv=J269,"Engineer",_xlpm.maxv=K269,"Recon",_xlpm.maxv=L269,"Support"))))</f>
        <v/>
      </c>
      <c r="O269" t="str">
        <f t="shared" si="20"/>
        <v/>
      </c>
      <c r="P269" s="28" t="str">
        <f t="shared" si="21"/>
        <v/>
      </c>
    </row>
    <row r="270" spans="2:16" x14ac:dyDescent="0.25">
      <c r="B270">
        <v>2687</v>
      </c>
      <c r="H270" t="str">
        <f t="shared" si="18"/>
        <v/>
      </c>
      <c r="M270">
        <f t="shared" si="19"/>
        <v>0</v>
      </c>
      <c r="N270" t="str" cm="1">
        <f t="array" ref="N270">_xlfn.LET(_xlpm.total,SUM(I270:L270),_xlpm.maxv,MAX(I270:L270),IF(_xlpm.total=0,"",IF(_xlpm.maxv/_xlpm.total&lt;0.5,"Mixed-Class",_xlfn.IFS(_xlpm.maxv=I270,"Assault",_xlpm.maxv=J270,"Engineer",_xlpm.maxv=K270,"Recon",_xlpm.maxv=L270,"Support"))))</f>
        <v/>
      </c>
      <c r="O270" t="str">
        <f t="shared" si="20"/>
        <v/>
      </c>
      <c r="P270" s="28" t="str">
        <f t="shared" si="21"/>
        <v/>
      </c>
    </row>
    <row r="271" spans="2:16" x14ac:dyDescent="0.25">
      <c r="B271">
        <v>2697</v>
      </c>
      <c r="H271" t="str">
        <f t="shared" si="18"/>
        <v/>
      </c>
      <c r="M271">
        <f t="shared" si="19"/>
        <v>0</v>
      </c>
      <c r="N271" t="str" cm="1">
        <f t="array" ref="N271">_xlfn.LET(_xlpm.total,SUM(I271:L271),_xlpm.maxv,MAX(I271:L271),IF(_xlpm.total=0,"",IF(_xlpm.maxv/_xlpm.total&lt;0.5,"Mixed-Class",_xlfn.IFS(_xlpm.maxv=I271,"Assault",_xlpm.maxv=J271,"Engineer",_xlpm.maxv=K271,"Recon",_xlpm.maxv=L271,"Support"))))</f>
        <v/>
      </c>
      <c r="O271" t="str">
        <f t="shared" si="20"/>
        <v/>
      </c>
      <c r="P271" s="28" t="str">
        <f t="shared" si="21"/>
        <v/>
      </c>
    </row>
    <row r="272" spans="2:16" x14ac:dyDescent="0.25">
      <c r="B272">
        <v>2707</v>
      </c>
      <c r="H272" t="str">
        <f t="shared" si="18"/>
        <v/>
      </c>
      <c r="M272">
        <f t="shared" si="19"/>
        <v>0</v>
      </c>
      <c r="N272" t="str" cm="1">
        <f t="array" ref="N272">_xlfn.LET(_xlpm.total,SUM(I272:L272),_xlpm.maxv,MAX(I272:L272),IF(_xlpm.total=0,"",IF(_xlpm.maxv/_xlpm.total&lt;0.5,"Mixed-Class",_xlfn.IFS(_xlpm.maxv=I272,"Assault",_xlpm.maxv=J272,"Engineer",_xlpm.maxv=K272,"Recon",_xlpm.maxv=L272,"Support"))))</f>
        <v/>
      </c>
      <c r="O272" t="str">
        <f t="shared" si="20"/>
        <v/>
      </c>
      <c r="P272" s="28" t="str">
        <f t="shared" si="21"/>
        <v/>
      </c>
    </row>
    <row r="273" spans="2:16" x14ac:dyDescent="0.25">
      <c r="B273">
        <v>2717</v>
      </c>
      <c r="H273" t="str">
        <f t="shared" si="18"/>
        <v/>
      </c>
      <c r="M273">
        <f t="shared" si="19"/>
        <v>0</v>
      </c>
      <c r="N273" t="str" cm="1">
        <f t="array" ref="N273">_xlfn.LET(_xlpm.total,SUM(I273:L273),_xlpm.maxv,MAX(I273:L273),IF(_xlpm.total=0,"",IF(_xlpm.maxv/_xlpm.total&lt;0.5,"Mixed-Class",_xlfn.IFS(_xlpm.maxv=I273,"Assault",_xlpm.maxv=J273,"Engineer",_xlpm.maxv=K273,"Recon",_xlpm.maxv=L273,"Support"))))</f>
        <v/>
      </c>
      <c r="O273" t="str">
        <f t="shared" si="20"/>
        <v/>
      </c>
      <c r="P273" s="28" t="str">
        <f t="shared" si="21"/>
        <v/>
      </c>
    </row>
    <row r="274" spans="2:16" x14ac:dyDescent="0.25">
      <c r="B274">
        <v>2727</v>
      </c>
      <c r="H274" t="str">
        <f t="shared" si="18"/>
        <v/>
      </c>
      <c r="M274">
        <f t="shared" si="19"/>
        <v>0</v>
      </c>
      <c r="N274" t="str" cm="1">
        <f t="array" ref="N274">_xlfn.LET(_xlpm.total,SUM(I274:L274),_xlpm.maxv,MAX(I274:L274),IF(_xlpm.total=0,"",IF(_xlpm.maxv/_xlpm.total&lt;0.5,"Mixed-Class",_xlfn.IFS(_xlpm.maxv=I274,"Assault",_xlpm.maxv=J274,"Engineer",_xlpm.maxv=K274,"Recon",_xlpm.maxv=L274,"Support"))))</f>
        <v/>
      </c>
      <c r="O274" t="str">
        <f t="shared" si="20"/>
        <v/>
      </c>
      <c r="P274" s="28" t="str">
        <f t="shared" si="21"/>
        <v/>
      </c>
    </row>
    <row r="275" spans="2:16" x14ac:dyDescent="0.25">
      <c r="B275">
        <v>2737</v>
      </c>
      <c r="H275" t="str">
        <f t="shared" si="18"/>
        <v/>
      </c>
      <c r="M275">
        <f t="shared" si="19"/>
        <v>0</v>
      </c>
      <c r="N275" t="str" cm="1">
        <f t="array" ref="N275">_xlfn.LET(_xlpm.total,SUM(I275:L275),_xlpm.maxv,MAX(I275:L275),IF(_xlpm.total=0,"",IF(_xlpm.maxv/_xlpm.total&lt;0.5,"Mixed-Class",_xlfn.IFS(_xlpm.maxv=I275,"Assault",_xlpm.maxv=J275,"Engineer",_xlpm.maxv=K275,"Recon",_xlpm.maxv=L275,"Support"))))</f>
        <v/>
      </c>
      <c r="O275" t="str">
        <f t="shared" si="20"/>
        <v/>
      </c>
      <c r="P275" s="28" t="str">
        <f t="shared" si="21"/>
        <v/>
      </c>
    </row>
    <row r="276" spans="2:16" x14ac:dyDescent="0.25">
      <c r="B276">
        <v>2747</v>
      </c>
      <c r="H276" t="str">
        <f t="shared" si="18"/>
        <v/>
      </c>
      <c r="M276">
        <f t="shared" si="19"/>
        <v>0</v>
      </c>
      <c r="N276" t="str" cm="1">
        <f t="array" ref="N276">_xlfn.LET(_xlpm.total,SUM(I276:L276),_xlpm.maxv,MAX(I276:L276),IF(_xlpm.total=0,"",IF(_xlpm.maxv/_xlpm.total&lt;0.5,"Mixed-Class",_xlfn.IFS(_xlpm.maxv=I276,"Assault",_xlpm.maxv=J276,"Engineer",_xlpm.maxv=K276,"Recon",_xlpm.maxv=L276,"Support"))))</f>
        <v/>
      </c>
      <c r="O276" t="str">
        <f t="shared" si="20"/>
        <v/>
      </c>
      <c r="P276" s="28" t="str">
        <f t="shared" si="21"/>
        <v/>
      </c>
    </row>
    <row r="277" spans="2:16" x14ac:dyDescent="0.25">
      <c r="B277">
        <v>2757</v>
      </c>
      <c r="H277" t="str">
        <f t="shared" si="18"/>
        <v/>
      </c>
      <c r="M277">
        <f t="shared" si="19"/>
        <v>0</v>
      </c>
      <c r="N277" t="str" cm="1">
        <f t="array" ref="N277">_xlfn.LET(_xlpm.total,SUM(I277:L277),_xlpm.maxv,MAX(I277:L277),IF(_xlpm.total=0,"",IF(_xlpm.maxv/_xlpm.total&lt;0.5,"Mixed-Class",_xlfn.IFS(_xlpm.maxv=I277,"Assault",_xlpm.maxv=J277,"Engineer",_xlpm.maxv=K277,"Recon",_xlpm.maxv=L277,"Support"))))</f>
        <v/>
      </c>
      <c r="O277" t="str">
        <f t="shared" si="20"/>
        <v/>
      </c>
      <c r="P277" s="28" t="str">
        <f t="shared" si="21"/>
        <v/>
      </c>
    </row>
    <row r="278" spans="2:16" x14ac:dyDescent="0.25">
      <c r="B278">
        <v>2767</v>
      </c>
      <c r="H278" t="str">
        <f t="shared" si="18"/>
        <v/>
      </c>
      <c r="M278">
        <f t="shared" si="19"/>
        <v>0</v>
      </c>
      <c r="N278" t="str" cm="1">
        <f t="array" ref="N278">_xlfn.LET(_xlpm.total,SUM(I278:L278),_xlpm.maxv,MAX(I278:L278),IF(_xlpm.total=0,"",IF(_xlpm.maxv/_xlpm.total&lt;0.5,"Mixed-Class",_xlfn.IFS(_xlpm.maxv=I278,"Assault",_xlpm.maxv=J278,"Engineer",_xlpm.maxv=K278,"Recon",_xlpm.maxv=L278,"Support"))))</f>
        <v/>
      </c>
      <c r="O278" t="str">
        <f t="shared" si="20"/>
        <v/>
      </c>
      <c r="P278" s="28" t="str">
        <f t="shared" si="21"/>
        <v/>
      </c>
    </row>
    <row r="279" spans="2:16" x14ac:dyDescent="0.25">
      <c r="B279">
        <v>2777</v>
      </c>
      <c r="H279" t="str">
        <f t="shared" si="18"/>
        <v/>
      </c>
      <c r="M279">
        <f t="shared" si="19"/>
        <v>0</v>
      </c>
      <c r="N279" t="str" cm="1">
        <f t="array" ref="N279">_xlfn.LET(_xlpm.total,SUM(I279:L279),_xlpm.maxv,MAX(I279:L279),IF(_xlpm.total=0,"",IF(_xlpm.maxv/_xlpm.total&lt;0.5,"Mixed-Class",_xlfn.IFS(_xlpm.maxv=I279,"Assault",_xlpm.maxv=J279,"Engineer",_xlpm.maxv=K279,"Recon",_xlpm.maxv=L279,"Support"))))</f>
        <v/>
      </c>
      <c r="O279" t="str">
        <f t="shared" si="20"/>
        <v/>
      </c>
      <c r="P279" s="28" t="str">
        <f t="shared" si="21"/>
        <v/>
      </c>
    </row>
    <row r="280" spans="2:16" x14ac:dyDescent="0.25">
      <c r="B280">
        <v>2787</v>
      </c>
      <c r="H280" t="str">
        <f t="shared" si="18"/>
        <v/>
      </c>
      <c r="M280">
        <f t="shared" si="19"/>
        <v>0</v>
      </c>
      <c r="N280" t="str" cm="1">
        <f t="array" ref="N280">_xlfn.LET(_xlpm.total,SUM(I280:L280),_xlpm.maxv,MAX(I280:L280),IF(_xlpm.total=0,"",IF(_xlpm.maxv/_xlpm.total&lt;0.5,"Mixed-Class",_xlfn.IFS(_xlpm.maxv=I280,"Assault",_xlpm.maxv=J280,"Engineer",_xlpm.maxv=K280,"Recon",_xlpm.maxv=L280,"Support"))))</f>
        <v/>
      </c>
      <c r="O280" t="str">
        <f t="shared" si="20"/>
        <v/>
      </c>
      <c r="P280" s="28" t="str">
        <f t="shared" si="21"/>
        <v/>
      </c>
    </row>
    <row r="281" spans="2:16" x14ac:dyDescent="0.25">
      <c r="B281">
        <v>2797</v>
      </c>
      <c r="H281" t="str">
        <f t="shared" si="18"/>
        <v/>
      </c>
      <c r="M281">
        <f t="shared" si="19"/>
        <v>0</v>
      </c>
      <c r="N281" t="str" cm="1">
        <f t="array" ref="N281">_xlfn.LET(_xlpm.total,SUM(I281:L281),_xlpm.maxv,MAX(I281:L281),IF(_xlpm.total=0,"",IF(_xlpm.maxv/_xlpm.total&lt;0.5,"Mixed-Class",_xlfn.IFS(_xlpm.maxv=I281,"Assault",_xlpm.maxv=J281,"Engineer",_xlpm.maxv=K281,"Recon",_xlpm.maxv=L281,"Support"))))</f>
        <v/>
      </c>
      <c r="O281" t="str">
        <f t="shared" si="20"/>
        <v/>
      </c>
      <c r="P281" s="28" t="str">
        <f t="shared" si="21"/>
        <v/>
      </c>
    </row>
    <row r="282" spans="2:16" x14ac:dyDescent="0.25">
      <c r="B282">
        <v>2807</v>
      </c>
      <c r="H282" t="str">
        <f t="shared" si="18"/>
        <v/>
      </c>
      <c r="M282">
        <f t="shared" si="19"/>
        <v>0</v>
      </c>
      <c r="N282" t="str" cm="1">
        <f t="array" ref="N282">_xlfn.LET(_xlpm.total,SUM(I282:L282),_xlpm.maxv,MAX(I282:L282),IF(_xlpm.total=0,"",IF(_xlpm.maxv/_xlpm.total&lt;0.5,"Mixed-Class",_xlfn.IFS(_xlpm.maxv=I282,"Assault",_xlpm.maxv=J282,"Engineer",_xlpm.maxv=K282,"Recon",_xlpm.maxv=L282,"Support"))))</f>
        <v/>
      </c>
      <c r="O282" t="str">
        <f t="shared" si="20"/>
        <v/>
      </c>
      <c r="P282" s="28" t="str">
        <f t="shared" si="21"/>
        <v/>
      </c>
    </row>
    <row r="283" spans="2:16" x14ac:dyDescent="0.25">
      <c r="B283">
        <v>2817</v>
      </c>
      <c r="H283" t="str">
        <f t="shared" si="18"/>
        <v/>
      </c>
      <c r="M283">
        <f t="shared" si="19"/>
        <v>0</v>
      </c>
      <c r="N283" t="str" cm="1">
        <f t="array" ref="N283">_xlfn.LET(_xlpm.total,SUM(I283:L283),_xlpm.maxv,MAX(I283:L283),IF(_xlpm.total=0,"",IF(_xlpm.maxv/_xlpm.total&lt;0.5,"Mixed-Class",_xlfn.IFS(_xlpm.maxv=I283,"Assault",_xlpm.maxv=J283,"Engineer",_xlpm.maxv=K283,"Recon",_xlpm.maxv=L283,"Support"))))</f>
        <v/>
      </c>
      <c r="O283" t="str">
        <f t="shared" si="20"/>
        <v/>
      </c>
      <c r="P283" s="28" t="str">
        <f t="shared" si="21"/>
        <v/>
      </c>
    </row>
    <row r="284" spans="2:16" x14ac:dyDescent="0.25">
      <c r="B284">
        <v>2827</v>
      </c>
      <c r="H284" t="str">
        <f t="shared" si="18"/>
        <v/>
      </c>
      <c r="M284">
        <f t="shared" si="19"/>
        <v>0</v>
      </c>
      <c r="N284" t="str" cm="1">
        <f t="array" ref="N284">_xlfn.LET(_xlpm.total,SUM(I284:L284),_xlpm.maxv,MAX(I284:L284),IF(_xlpm.total=0,"",IF(_xlpm.maxv/_xlpm.total&lt;0.5,"Mixed-Class",_xlfn.IFS(_xlpm.maxv=I284,"Assault",_xlpm.maxv=J284,"Engineer",_xlpm.maxv=K284,"Recon",_xlpm.maxv=L284,"Support"))))</f>
        <v/>
      </c>
      <c r="O284" t="str">
        <f t="shared" si="20"/>
        <v/>
      </c>
      <c r="P284" s="28" t="str">
        <f t="shared" si="21"/>
        <v/>
      </c>
    </row>
    <row r="285" spans="2:16" x14ac:dyDescent="0.25">
      <c r="B285">
        <v>2837</v>
      </c>
      <c r="H285" t="str">
        <f t="shared" si="18"/>
        <v/>
      </c>
      <c r="M285">
        <f t="shared" si="19"/>
        <v>0</v>
      </c>
      <c r="N285" t="str" cm="1">
        <f t="array" ref="N285">_xlfn.LET(_xlpm.total,SUM(I285:L285),_xlpm.maxv,MAX(I285:L285),IF(_xlpm.total=0,"",IF(_xlpm.maxv/_xlpm.total&lt;0.5,"Mixed-Class",_xlfn.IFS(_xlpm.maxv=I285,"Assault",_xlpm.maxv=J285,"Engineer",_xlpm.maxv=K285,"Recon",_xlpm.maxv=L285,"Support"))))</f>
        <v/>
      </c>
      <c r="O285" t="str">
        <f t="shared" si="20"/>
        <v/>
      </c>
      <c r="P285" s="28" t="str">
        <f t="shared" si="21"/>
        <v/>
      </c>
    </row>
    <row r="286" spans="2:16" x14ac:dyDescent="0.25">
      <c r="B286">
        <v>2847</v>
      </c>
      <c r="H286" t="str">
        <f t="shared" si="18"/>
        <v/>
      </c>
      <c r="M286">
        <f t="shared" si="19"/>
        <v>0</v>
      </c>
      <c r="N286" t="str" cm="1">
        <f t="array" ref="N286">_xlfn.LET(_xlpm.total,SUM(I286:L286),_xlpm.maxv,MAX(I286:L286),IF(_xlpm.total=0,"",IF(_xlpm.maxv/_xlpm.total&lt;0.5,"Mixed-Class",_xlfn.IFS(_xlpm.maxv=I286,"Assault",_xlpm.maxv=J286,"Engineer",_xlpm.maxv=K286,"Recon",_xlpm.maxv=L286,"Support"))))</f>
        <v/>
      </c>
      <c r="O286" t="str">
        <f t="shared" si="20"/>
        <v/>
      </c>
      <c r="P286" s="28" t="str">
        <f t="shared" si="21"/>
        <v/>
      </c>
    </row>
    <row r="287" spans="2:16" x14ac:dyDescent="0.25">
      <c r="B287">
        <v>2857</v>
      </c>
      <c r="H287" t="str">
        <f t="shared" si="18"/>
        <v/>
      </c>
      <c r="M287">
        <f t="shared" si="19"/>
        <v>0</v>
      </c>
      <c r="N287" t="str" cm="1">
        <f t="array" ref="N287">_xlfn.LET(_xlpm.total,SUM(I287:L287),_xlpm.maxv,MAX(I287:L287),IF(_xlpm.total=0,"",IF(_xlpm.maxv/_xlpm.total&lt;0.5,"Mixed-Class",_xlfn.IFS(_xlpm.maxv=I287,"Assault",_xlpm.maxv=J287,"Engineer",_xlpm.maxv=K287,"Recon",_xlpm.maxv=L287,"Support"))))</f>
        <v/>
      </c>
      <c r="O287" t="str">
        <f t="shared" si="20"/>
        <v/>
      </c>
      <c r="P287" s="28" t="str">
        <f t="shared" si="21"/>
        <v/>
      </c>
    </row>
    <row r="288" spans="2:16" x14ac:dyDescent="0.25">
      <c r="B288">
        <v>2867</v>
      </c>
      <c r="H288" t="str">
        <f t="shared" si="18"/>
        <v/>
      </c>
      <c r="M288">
        <f t="shared" si="19"/>
        <v>0</v>
      </c>
      <c r="N288" t="str" cm="1">
        <f t="array" ref="N288">_xlfn.LET(_xlpm.total,SUM(I288:L288),_xlpm.maxv,MAX(I288:L288),IF(_xlpm.total=0,"",IF(_xlpm.maxv/_xlpm.total&lt;0.5,"Mixed-Class",_xlfn.IFS(_xlpm.maxv=I288,"Assault",_xlpm.maxv=J288,"Engineer",_xlpm.maxv=K288,"Recon",_xlpm.maxv=L288,"Support"))))</f>
        <v/>
      </c>
      <c r="O288" t="str">
        <f t="shared" si="20"/>
        <v/>
      </c>
      <c r="P288" s="28" t="str">
        <f t="shared" si="21"/>
        <v/>
      </c>
    </row>
    <row r="289" spans="2:16" x14ac:dyDescent="0.25">
      <c r="B289">
        <v>2877</v>
      </c>
      <c r="H289" t="str">
        <f t="shared" si="18"/>
        <v/>
      </c>
      <c r="M289">
        <f t="shared" si="19"/>
        <v>0</v>
      </c>
      <c r="N289" t="str" cm="1">
        <f t="array" ref="N289">_xlfn.LET(_xlpm.total,SUM(I289:L289),_xlpm.maxv,MAX(I289:L289),IF(_xlpm.total=0,"",IF(_xlpm.maxv/_xlpm.total&lt;0.5,"Mixed-Class",_xlfn.IFS(_xlpm.maxv=I289,"Assault",_xlpm.maxv=J289,"Engineer",_xlpm.maxv=K289,"Recon",_xlpm.maxv=L289,"Support"))))</f>
        <v/>
      </c>
      <c r="O289" t="str">
        <f t="shared" si="20"/>
        <v/>
      </c>
      <c r="P289" s="28" t="str">
        <f t="shared" si="21"/>
        <v/>
      </c>
    </row>
    <row r="290" spans="2:16" x14ac:dyDescent="0.25">
      <c r="B290">
        <v>2887</v>
      </c>
      <c r="H290" t="str">
        <f t="shared" si="18"/>
        <v/>
      </c>
      <c r="M290">
        <f t="shared" si="19"/>
        <v>0</v>
      </c>
      <c r="N290" t="str" cm="1">
        <f t="array" ref="N290">_xlfn.LET(_xlpm.total,SUM(I290:L290),_xlpm.maxv,MAX(I290:L290),IF(_xlpm.total=0,"",IF(_xlpm.maxv/_xlpm.total&lt;0.5,"Mixed-Class",_xlfn.IFS(_xlpm.maxv=I290,"Assault",_xlpm.maxv=J290,"Engineer",_xlpm.maxv=K290,"Recon",_xlpm.maxv=L290,"Support"))))</f>
        <v/>
      </c>
      <c r="O290" t="str">
        <f t="shared" si="20"/>
        <v/>
      </c>
      <c r="P290" s="28" t="str">
        <f t="shared" si="21"/>
        <v/>
      </c>
    </row>
    <row r="291" spans="2:16" x14ac:dyDescent="0.25">
      <c r="B291">
        <v>2897</v>
      </c>
      <c r="H291" t="str">
        <f t="shared" si="18"/>
        <v/>
      </c>
      <c r="M291">
        <f t="shared" si="19"/>
        <v>0</v>
      </c>
      <c r="N291" t="str" cm="1">
        <f t="array" ref="N291">_xlfn.LET(_xlpm.total,SUM(I291:L291),_xlpm.maxv,MAX(I291:L291),IF(_xlpm.total=0,"",IF(_xlpm.maxv/_xlpm.total&lt;0.5,"Mixed-Class",_xlfn.IFS(_xlpm.maxv=I291,"Assault",_xlpm.maxv=J291,"Engineer",_xlpm.maxv=K291,"Recon",_xlpm.maxv=L291,"Support"))))</f>
        <v/>
      </c>
      <c r="O291" t="str">
        <f t="shared" si="20"/>
        <v/>
      </c>
      <c r="P291" s="28" t="str">
        <f t="shared" si="21"/>
        <v/>
      </c>
    </row>
    <row r="292" spans="2:16" x14ac:dyDescent="0.25">
      <c r="B292">
        <v>2907</v>
      </c>
      <c r="H292" t="str">
        <f t="shared" si="18"/>
        <v/>
      </c>
      <c r="M292">
        <f t="shared" si="19"/>
        <v>0</v>
      </c>
      <c r="N292" t="str" cm="1">
        <f t="array" ref="N292">_xlfn.LET(_xlpm.total,SUM(I292:L292),_xlpm.maxv,MAX(I292:L292),IF(_xlpm.total=0,"",IF(_xlpm.maxv/_xlpm.total&lt;0.5,"Mixed-Class",_xlfn.IFS(_xlpm.maxv=I292,"Assault",_xlpm.maxv=J292,"Engineer",_xlpm.maxv=K292,"Recon",_xlpm.maxv=L292,"Support"))))</f>
        <v/>
      </c>
      <c r="O292" t="str">
        <f t="shared" si="20"/>
        <v/>
      </c>
      <c r="P292" s="28" t="str">
        <f t="shared" si="21"/>
        <v/>
      </c>
    </row>
    <row r="293" spans="2:16" x14ac:dyDescent="0.25">
      <c r="B293">
        <v>2917</v>
      </c>
      <c r="H293" t="str">
        <f t="shared" si="18"/>
        <v/>
      </c>
      <c r="M293">
        <f t="shared" si="19"/>
        <v>0</v>
      </c>
      <c r="N293" t="str" cm="1">
        <f t="array" ref="N293">_xlfn.LET(_xlpm.total,SUM(I293:L293),_xlpm.maxv,MAX(I293:L293),IF(_xlpm.total=0,"",IF(_xlpm.maxv/_xlpm.total&lt;0.5,"Mixed-Class",_xlfn.IFS(_xlpm.maxv=I293,"Assault",_xlpm.maxv=J293,"Engineer",_xlpm.maxv=K293,"Recon",_xlpm.maxv=L293,"Support"))))</f>
        <v/>
      </c>
      <c r="O293" t="str">
        <f t="shared" si="20"/>
        <v/>
      </c>
      <c r="P293" s="28" t="str">
        <f t="shared" si="21"/>
        <v/>
      </c>
    </row>
    <row r="294" spans="2:16" x14ac:dyDescent="0.25">
      <c r="B294">
        <v>2927</v>
      </c>
      <c r="H294" t="str">
        <f t="shared" si="18"/>
        <v/>
      </c>
      <c r="M294">
        <f t="shared" si="19"/>
        <v>0</v>
      </c>
      <c r="N294" t="str" cm="1">
        <f t="array" ref="N294">_xlfn.LET(_xlpm.total,SUM(I294:L294),_xlpm.maxv,MAX(I294:L294),IF(_xlpm.total=0,"",IF(_xlpm.maxv/_xlpm.total&lt;0.5,"Mixed-Class",_xlfn.IFS(_xlpm.maxv=I294,"Assault",_xlpm.maxv=J294,"Engineer",_xlpm.maxv=K294,"Recon",_xlpm.maxv=L294,"Support"))))</f>
        <v/>
      </c>
      <c r="O294" t="str">
        <f t="shared" si="20"/>
        <v/>
      </c>
      <c r="P294" s="28" t="str">
        <f t="shared" si="21"/>
        <v/>
      </c>
    </row>
    <row r="295" spans="2:16" x14ac:dyDescent="0.25">
      <c r="B295">
        <v>2937</v>
      </c>
      <c r="H295" t="str">
        <f t="shared" si="18"/>
        <v/>
      </c>
      <c r="M295">
        <f t="shared" si="19"/>
        <v>0</v>
      </c>
      <c r="N295" t="str" cm="1">
        <f t="array" ref="N295">_xlfn.LET(_xlpm.total,SUM(I295:L295),_xlpm.maxv,MAX(I295:L295),IF(_xlpm.total=0,"",IF(_xlpm.maxv/_xlpm.total&lt;0.5,"Mixed-Class",_xlfn.IFS(_xlpm.maxv=I295,"Assault",_xlpm.maxv=J295,"Engineer",_xlpm.maxv=K295,"Recon",_xlpm.maxv=L295,"Support"))))</f>
        <v/>
      </c>
      <c r="O295" t="str">
        <f t="shared" si="20"/>
        <v/>
      </c>
      <c r="P295" s="28" t="str">
        <f t="shared" si="21"/>
        <v/>
      </c>
    </row>
    <row r="296" spans="2:16" x14ac:dyDescent="0.25">
      <c r="B296">
        <v>2947</v>
      </c>
      <c r="H296" t="str">
        <f t="shared" si="18"/>
        <v/>
      </c>
      <c r="M296">
        <f t="shared" si="19"/>
        <v>0</v>
      </c>
      <c r="N296" t="str" cm="1">
        <f t="array" ref="N296">_xlfn.LET(_xlpm.total,SUM(I296:L296),_xlpm.maxv,MAX(I296:L296),IF(_xlpm.total=0,"",IF(_xlpm.maxv/_xlpm.total&lt;0.5,"Mixed-Class",_xlfn.IFS(_xlpm.maxv=I296,"Assault",_xlpm.maxv=J296,"Engineer",_xlpm.maxv=K296,"Recon",_xlpm.maxv=L296,"Support"))))</f>
        <v/>
      </c>
      <c r="O296" t="str">
        <f t="shared" si="20"/>
        <v/>
      </c>
      <c r="P296" s="28" t="str">
        <f t="shared" si="21"/>
        <v/>
      </c>
    </row>
    <row r="297" spans="2:16" x14ac:dyDescent="0.25">
      <c r="B297">
        <v>2957</v>
      </c>
      <c r="H297" t="str">
        <f t="shared" si="18"/>
        <v/>
      </c>
      <c r="M297">
        <f t="shared" si="19"/>
        <v>0</v>
      </c>
      <c r="N297" t="str" cm="1">
        <f t="array" ref="N297">_xlfn.LET(_xlpm.total,SUM(I297:L297),_xlpm.maxv,MAX(I297:L297),IF(_xlpm.total=0,"",IF(_xlpm.maxv/_xlpm.total&lt;0.5,"Mixed-Class",_xlfn.IFS(_xlpm.maxv=I297,"Assault",_xlpm.maxv=J297,"Engineer",_xlpm.maxv=K297,"Recon",_xlpm.maxv=L297,"Support"))))</f>
        <v/>
      </c>
      <c r="O297" t="str">
        <f t="shared" si="20"/>
        <v/>
      </c>
      <c r="P297" s="28" t="str">
        <f t="shared" si="21"/>
        <v/>
      </c>
    </row>
    <row r="298" spans="2:16" x14ac:dyDescent="0.25">
      <c r="B298">
        <v>2967</v>
      </c>
      <c r="H298" t="str">
        <f t="shared" si="18"/>
        <v/>
      </c>
      <c r="M298">
        <f t="shared" si="19"/>
        <v>0</v>
      </c>
      <c r="N298" t="str" cm="1">
        <f t="array" ref="N298">_xlfn.LET(_xlpm.total,SUM(I298:L298),_xlpm.maxv,MAX(I298:L298),IF(_xlpm.total=0,"",IF(_xlpm.maxv/_xlpm.total&lt;0.5,"Mixed-Class",_xlfn.IFS(_xlpm.maxv=I298,"Assault",_xlpm.maxv=J298,"Engineer",_xlpm.maxv=K298,"Recon",_xlpm.maxv=L298,"Support"))))</f>
        <v/>
      </c>
      <c r="O298" t="str">
        <f t="shared" si="20"/>
        <v/>
      </c>
      <c r="P298" s="28" t="str">
        <f t="shared" si="21"/>
        <v/>
      </c>
    </row>
    <row r="299" spans="2:16" x14ac:dyDescent="0.25">
      <c r="B299">
        <v>2977</v>
      </c>
      <c r="H299" t="str">
        <f t="shared" si="18"/>
        <v/>
      </c>
      <c r="M299">
        <f t="shared" si="19"/>
        <v>0</v>
      </c>
      <c r="N299" t="str" cm="1">
        <f t="array" ref="N299">_xlfn.LET(_xlpm.total,SUM(I299:L299),_xlpm.maxv,MAX(I299:L299),IF(_xlpm.total=0,"",IF(_xlpm.maxv/_xlpm.total&lt;0.5,"Mixed-Class",_xlfn.IFS(_xlpm.maxv=I299,"Assault",_xlpm.maxv=J299,"Engineer",_xlpm.maxv=K299,"Recon",_xlpm.maxv=L299,"Support"))))</f>
        <v/>
      </c>
      <c r="O299" t="str">
        <f t="shared" si="20"/>
        <v/>
      </c>
      <c r="P299" s="28" t="str">
        <f t="shared" si="21"/>
        <v/>
      </c>
    </row>
    <row r="300" spans="2:16" x14ac:dyDescent="0.25">
      <c r="B300">
        <v>2987</v>
      </c>
      <c r="H300" t="str">
        <f t="shared" si="18"/>
        <v/>
      </c>
      <c r="M300">
        <f t="shared" si="19"/>
        <v>0</v>
      </c>
      <c r="N300" t="str" cm="1">
        <f t="array" ref="N300">_xlfn.LET(_xlpm.total,SUM(I300:L300),_xlpm.maxv,MAX(I300:L300),IF(_xlpm.total=0,"",IF(_xlpm.maxv/_xlpm.total&lt;0.5,"Mixed-Class",_xlfn.IFS(_xlpm.maxv=I300,"Assault",_xlpm.maxv=J300,"Engineer",_xlpm.maxv=K300,"Recon",_xlpm.maxv=L300,"Support"))))</f>
        <v/>
      </c>
      <c r="O300" t="str">
        <f t="shared" si="20"/>
        <v/>
      </c>
      <c r="P300" s="28" t="str">
        <f t="shared" si="21"/>
        <v/>
      </c>
    </row>
    <row r="301" spans="2:16" x14ac:dyDescent="0.25">
      <c r="B301">
        <v>2997</v>
      </c>
      <c r="H301" t="str">
        <f t="shared" si="18"/>
        <v/>
      </c>
      <c r="M301">
        <f t="shared" si="19"/>
        <v>0</v>
      </c>
      <c r="N301" t="str" cm="1">
        <f t="array" ref="N301">_xlfn.LET(_xlpm.total,SUM(I301:L301),_xlpm.maxv,MAX(I301:L301),IF(_xlpm.total=0,"",IF(_xlpm.maxv/_xlpm.total&lt;0.5,"Mixed-Class",_xlfn.IFS(_xlpm.maxv=I301,"Assault",_xlpm.maxv=J301,"Engineer",_xlpm.maxv=K301,"Recon",_xlpm.maxv=L301,"Support"))))</f>
        <v/>
      </c>
      <c r="O301" t="str">
        <f t="shared" si="20"/>
        <v/>
      </c>
      <c r="P301" s="28" t="str">
        <f t="shared" si="21"/>
        <v/>
      </c>
    </row>
    <row r="302" spans="2:16" x14ac:dyDescent="0.25">
      <c r="B302">
        <v>3007</v>
      </c>
      <c r="H302" t="str">
        <f t="shared" si="18"/>
        <v/>
      </c>
      <c r="M302">
        <f t="shared" si="19"/>
        <v>0</v>
      </c>
      <c r="N302" t="str" cm="1">
        <f t="array" ref="N302">_xlfn.LET(_xlpm.total,SUM(I302:L302),_xlpm.maxv,MAX(I302:L302),IF(_xlpm.total=0,"",IF(_xlpm.maxv/_xlpm.total&lt;0.5,"Mixed-Class",_xlfn.IFS(_xlpm.maxv=I302,"Assault",_xlpm.maxv=J302,"Engineer",_xlpm.maxv=K302,"Recon",_xlpm.maxv=L302,"Support"))))</f>
        <v/>
      </c>
      <c r="O302" t="str">
        <f t="shared" si="20"/>
        <v/>
      </c>
      <c r="P302" s="28" t="str">
        <f t="shared" si="21"/>
        <v/>
      </c>
    </row>
    <row r="303" spans="2:16" x14ac:dyDescent="0.25">
      <c r="B303">
        <v>3017</v>
      </c>
      <c r="H303" t="str">
        <f t="shared" si="18"/>
        <v/>
      </c>
      <c r="M303">
        <f t="shared" si="19"/>
        <v>0</v>
      </c>
      <c r="N303" t="str" cm="1">
        <f t="array" ref="N303">_xlfn.LET(_xlpm.total,SUM(I303:L303),_xlpm.maxv,MAX(I303:L303),IF(_xlpm.total=0,"",IF(_xlpm.maxv/_xlpm.total&lt;0.5,"Mixed-Class",_xlfn.IFS(_xlpm.maxv=I303,"Assault",_xlpm.maxv=J303,"Engineer",_xlpm.maxv=K303,"Recon",_xlpm.maxv=L303,"Support"))))</f>
        <v/>
      </c>
      <c r="O303" t="str">
        <f t="shared" si="20"/>
        <v/>
      </c>
      <c r="P303" s="28" t="str">
        <f t="shared" si="21"/>
        <v/>
      </c>
    </row>
    <row r="304" spans="2:16" x14ac:dyDescent="0.25">
      <c r="B304">
        <v>3027</v>
      </c>
      <c r="H304" t="str">
        <f t="shared" si="18"/>
        <v/>
      </c>
      <c r="M304">
        <f t="shared" si="19"/>
        <v>0</v>
      </c>
      <c r="N304" t="str" cm="1">
        <f t="array" ref="N304">_xlfn.LET(_xlpm.total,SUM(I304:L304),_xlpm.maxv,MAX(I304:L304),IF(_xlpm.total=0,"",IF(_xlpm.maxv/_xlpm.total&lt;0.5,"Mixed-Class",_xlfn.IFS(_xlpm.maxv=I304,"Assault",_xlpm.maxv=J304,"Engineer",_xlpm.maxv=K304,"Recon",_xlpm.maxv=L304,"Support"))))</f>
        <v/>
      </c>
      <c r="O304" t="str">
        <f t="shared" si="20"/>
        <v/>
      </c>
      <c r="P304" s="28" t="str">
        <f t="shared" si="21"/>
        <v/>
      </c>
    </row>
    <row r="305" spans="2:16" x14ac:dyDescent="0.25">
      <c r="B305">
        <v>3037</v>
      </c>
      <c r="H305" t="str">
        <f t="shared" si="18"/>
        <v/>
      </c>
      <c r="M305">
        <f t="shared" si="19"/>
        <v>0</v>
      </c>
      <c r="N305" t="str" cm="1">
        <f t="array" ref="N305">_xlfn.LET(_xlpm.total,SUM(I305:L305),_xlpm.maxv,MAX(I305:L305),IF(_xlpm.total=0,"",IF(_xlpm.maxv/_xlpm.total&lt;0.5,"Mixed-Class",_xlfn.IFS(_xlpm.maxv=I305,"Assault",_xlpm.maxv=J305,"Engineer",_xlpm.maxv=K305,"Recon",_xlpm.maxv=L305,"Support"))))</f>
        <v/>
      </c>
      <c r="O305" t="str">
        <f t="shared" si="20"/>
        <v/>
      </c>
      <c r="P305" s="28" t="str">
        <f t="shared" si="21"/>
        <v/>
      </c>
    </row>
    <row r="306" spans="2:16" x14ac:dyDescent="0.25">
      <c r="B306">
        <v>3047</v>
      </c>
      <c r="H306" t="str">
        <f t="shared" si="18"/>
        <v/>
      </c>
      <c r="M306">
        <f t="shared" si="19"/>
        <v>0</v>
      </c>
      <c r="N306" t="str" cm="1">
        <f t="array" ref="N306">_xlfn.LET(_xlpm.total,SUM(I306:L306),_xlpm.maxv,MAX(I306:L306),IF(_xlpm.total=0,"",IF(_xlpm.maxv/_xlpm.total&lt;0.5,"Mixed-Class",_xlfn.IFS(_xlpm.maxv=I306,"Assault",_xlpm.maxv=J306,"Engineer",_xlpm.maxv=K306,"Recon",_xlpm.maxv=L306,"Support"))))</f>
        <v/>
      </c>
      <c r="O306" t="str">
        <f t="shared" si="20"/>
        <v/>
      </c>
      <c r="P306" s="28" t="str">
        <f t="shared" si="21"/>
        <v/>
      </c>
    </row>
    <row r="307" spans="2:16" x14ac:dyDescent="0.25">
      <c r="B307">
        <v>3057</v>
      </c>
      <c r="H307" t="str">
        <f t="shared" si="18"/>
        <v/>
      </c>
      <c r="M307">
        <f t="shared" si="19"/>
        <v>0</v>
      </c>
      <c r="N307" t="str" cm="1">
        <f t="array" ref="N307">_xlfn.LET(_xlpm.total,SUM(I307:L307),_xlpm.maxv,MAX(I307:L307),IF(_xlpm.total=0,"",IF(_xlpm.maxv/_xlpm.total&lt;0.5,"Mixed-Class",_xlfn.IFS(_xlpm.maxv=I307,"Assault",_xlpm.maxv=J307,"Engineer",_xlpm.maxv=K307,"Recon",_xlpm.maxv=L307,"Support"))))</f>
        <v/>
      </c>
      <c r="O307" t="str">
        <f t="shared" si="20"/>
        <v/>
      </c>
      <c r="P307" s="28" t="str">
        <f t="shared" si="21"/>
        <v/>
      </c>
    </row>
    <row r="308" spans="2:16" x14ac:dyDescent="0.25">
      <c r="B308">
        <v>3067</v>
      </c>
      <c r="H308" t="str">
        <f t="shared" si="18"/>
        <v/>
      </c>
      <c r="M308">
        <f t="shared" si="19"/>
        <v>0</v>
      </c>
      <c r="N308" t="str" cm="1">
        <f t="array" ref="N308">_xlfn.LET(_xlpm.total,SUM(I308:L308),_xlpm.maxv,MAX(I308:L308),IF(_xlpm.total=0,"",IF(_xlpm.maxv/_xlpm.total&lt;0.5,"Mixed-Class",_xlfn.IFS(_xlpm.maxv=I308,"Assault",_xlpm.maxv=J308,"Engineer",_xlpm.maxv=K308,"Recon",_xlpm.maxv=L308,"Support"))))</f>
        <v/>
      </c>
      <c r="O308" t="str">
        <f t="shared" si="20"/>
        <v/>
      </c>
      <c r="P308" s="28" t="str">
        <f t="shared" si="21"/>
        <v/>
      </c>
    </row>
    <row r="309" spans="2:16" x14ac:dyDescent="0.25">
      <c r="B309">
        <v>3077</v>
      </c>
      <c r="H309" t="str">
        <f t="shared" si="18"/>
        <v/>
      </c>
      <c r="M309">
        <f t="shared" si="19"/>
        <v>0</v>
      </c>
      <c r="N309" t="str" cm="1">
        <f t="array" ref="N309">_xlfn.LET(_xlpm.total,SUM(I309:L309),_xlpm.maxv,MAX(I309:L309),IF(_xlpm.total=0,"",IF(_xlpm.maxv/_xlpm.total&lt;0.5,"Mixed-Class",_xlfn.IFS(_xlpm.maxv=I309,"Assault",_xlpm.maxv=J309,"Engineer",_xlpm.maxv=K309,"Recon",_xlpm.maxv=L309,"Support"))))</f>
        <v/>
      </c>
      <c r="O309" t="str">
        <f t="shared" si="20"/>
        <v/>
      </c>
      <c r="P309" s="28" t="str">
        <f t="shared" si="21"/>
        <v/>
      </c>
    </row>
    <row r="310" spans="2:16" x14ac:dyDescent="0.25">
      <c r="B310">
        <v>3087</v>
      </c>
      <c r="H310" t="str">
        <f t="shared" si="18"/>
        <v/>
      </c>
      <c r="M310">
        <f t="shared" si="19"/>
        <v>0</v>
      </c>
      <c r="N310" t="str" cm="1">
        <f t="array" ref="N310">_xlfn.LET(_xlpm.total,SUM(I310:L310),_xlpm.maxv,MAX(I310:L310),IF(_xlpm.total=0,"",IF(_xlpm.maxv/_xlpm.total&lt;0.5,"Mixed-Class",_xlfn.IFS(_xlpm.maxv=I310,"Assault",_xlpm.maxv=J310,"Engineer",_xlpm.maxv=K310,"Recon",_xlpm.maxv=L310,"Support"))))</f>
        <v/>
      </c>
      <c r="O310" t="str">
        <f t="shared" si="20"/>
        <v/>
      </c>
      <c r="P310" s="28" t="str">
        <f t="shared" si="21"/>
        <v/>
      </c>
    </row>
    <row r="311" spans="2:16" x14ac:dyDescent="0.25">
      <c r="B311">
        <v>3097</v>
      </c>
      <c r="H311" t="str">
        <f t="shared" si="18"/>
        <v/>
      </c>
      <c r="M311">
        <f t="shared" si="19"/>
        <v>0</v>
      </c>
      <c r="N311" t="str" cm="1">
        <f t="array" ref="N311">_xlfn.LET(_xlpm.total,SUM(I311:L311),_xlpm.maxv,MAX(I311:L311),IF(_xlpm.total=0,"",IF(_xlpm.maxv/_xlpm.total&lt;0.5,"Mixed-Class",_xlfn.IFS(_xlpm.maxv=I311,"Assault",_xlpm.maxv=J311,"Engineer",_xlpm.maxv=K311,"Recon",_xlpm.maxv=L311,"Support"))))</f>
        <v/>
      </c>
      <c r="O311" t="str">
        <f t="shared" si="20"/>
        <v/>
      </c>
      <c r="P311" s="28" t="str">
        <f t="shared" si="21"/>
        <v/>
      </c>
    </row>
    <row r="312" spans="2:16" x14ac:dyDescent="0.25">
      <c r="B312">
        <v>3107</v>
      </c>
      <c r="H312" t="str">
        <f t="shared" si="18"/>
        <v/>
      </c>
      <c r="M312">
        <f t="shared" si="19"/>
        <v>0</v>
      </c>
      <c r="N312" t="str" cm="1">
        <f t="array" ref="N312">_xlfn.LET(_xlpm.total,SUM(I312:L312),_xlpm.maxv,MAX(I312:L312),IF(_xlpm.total=0,"",IF(_xlpm.maxv/_xlpm.total&lt;0.5,"Mixed-Class",_xlfn.IFS(_xlpm.maxv=I312,"Assault",_xlpm.maxv=J312,"Engineer",_xlpm.maxv=K312,"Recon",_xlpm.maxv=L312,"Support"))))</f>
        <v/>
      </c>
      <c r="O312" t="str">
        <f t="shared" si="20"/>
        <v/>
      </c>
      <c r="P312" s="28" t="str">
        <f t="shared" si="21"/>
        <v/>
      </c>
    </row>
    <row r="313" spans="2:16" x14ac:dyDescent="0.25">
      <c r="B313">
        <v>3117</v>
      </c>
      <c r="H313" t="str">
        <f t="shared" si="18"/>
        <v/>
      </c>
      <c r="M313">
        <f t="shared" si="19"/>
        <v>0</v>
      </c>
      <c r="N313" t="str" cm="1">
        <f t="array" ref="N313">_xlfn.LET(_xlpm.total,SUM(I313:L313),_xlpm.maxv,MAX(I313:L313),IF(_xlpm.total=0,"",IF(_xlpm.maxv/_xlpm.total&lt;0.5,"Mixed-Class",_xlfn.IFS(_xlpm.maxv=I313,"Assault",_xlpm.maxv=J313,"Engineer",_xlpm.maxv=K313,"Recon",_xlpm.maxv=L313,"Support"))))</f>
        <v/>
      </c>
      <c r="O313" t="str">
        <f t="shared" si="20"/>
        <v/>
      </c>
      <c r="P313" s="28" t="str">
        <f t="shared" si="21"/>
        <v/>
      </c>
    </row>
    <row r="314" spans="2:16" x14ac:dyDescent="0.25">
      <c r="B314">
        <v>3127</v>
      </c>
      <c r="H314" t="str">
        <f t="shared" si="18"/>
        <v/>
      </c>
      <c r="M314">
        <f t="shared" si="19"/>
        <v>0</v>
      </c>
      <c r="N314" t="str" cm="1">
        <f t="array" ref="N314">_xlfn.LET(_xlpm.total,SUM(I314:L314),_xlpm.maxv,MAX(I314:L314),IF(_xlpm.total=0,"",IF(_xlpm.maxv/_xlpm.total&lt;0.5,"Mixed-Class",_xlfn.IFS(_xlpm.maxv=I314,"Assault",_xlpm.maxv=J314,"Engineer",_xlpm.maxv=K314,"Recon",_xlpm.maxv=L314,"Support"))))</f>
        <v/>
      </c>
      <c r="O314" t="str">
        <f t="shared" si="20"/>
        <v/>
      </c>
      <c r="P314" s="28" t="str">
        <f t="shared" si="21"/>
        <v/>
      </c>
    </row>
    <row r="315" spans="2:16" x14ac:dyDescent="0.25">
      <c r="B315">
        <v>3137</v>
      </c>
      <c r="H315" t="str">
        <f t="shared" si="18"/>
        <v/>
      </c>
      <c r="M315">
        <f t="shared" si="19"/>
        <v>0</v>
      </c>
      <c r="N315" t="str" cm="1">
        <f t="array" ref="N315">_xlfn.LET(_xlpm.total,SUM(I315:L315),_xlpm.maxv,MAX(I315:L315),IF(_xlpm.total=0,"",IF(_xlpm.maxv/_xlpm.total&lt;0.5,"Mixed-Class",_xlfn.IFS(_xlpm.maxv=I315,"Assault",_xlpm.maxv=J315,"Engineer",_xlpm.maxv=K315,"Recon",_xlpm.maxv=L315,"Support"))))</f>
        <v/>
      </c>
      <c r="O315" t="str">
        <f t="shared" si="20"/>
        <v/>
      </c>
      <c r="P315" s="28" t="str">
        <f t="shared" si="21"/>
        <v/>
      </c>
    </row>
    <row r="316" spans="2:16" x14ac:dyDescent="0.25">
      <c r="B316">
        <v>3147</v>
      </c>
      <c r="H316" t="str">
        <f t="shared" si="18"/>
        <v/>
      </c>
      <c r="M316">
        <f t="shared" si="19"/>
        <v>0</v>
      </c>
      <c r="N316" t="str" cm="1">
        <f t="array" ref="N316">_xlfn.LET(_xlpm.total,SUM(I316:L316),_xlpm.maxv,MAX(I316:L316),IF(_xlpm.total=0,"",IF(_xlpm.maxv/_xlpm.total&lt;0.5,"Mixed-Class",_xlfn.IFS(_xlpm.maxv=I316,"Assault",_xlpm.maxv=J316,"Engineer",_xlpm.maxv=K316,"Recon",_xlpm.maxv=L316,"Support"))))</f>
        <v/>
      </c>
      <c r="O316" t="str">
        <f t="shared" si="20"/>
        <v/>
      </c>
      <c r="P316" s="28" t="str">
        <f t="shared" si="21"/>
        <v/>
      </c>
    </row>
    <row r="317" spans="2:16" x14ac:dyDescent="0.25">
      <c r="B317">
        <v>3157</v>
      </c>
      <c r="H317" t="str">
        <f t="shared" si="18"/>
        <v/>
      </c>
      <c r="M317">
        <f t="shared" si="19"/>
        <v>0</v>
      </c>
      <c r="N317" t="str" cm="1">
        <f t="array" ref="N317">_xlfn.LET(_xlpm.total,SUM(I317:L317),_xlpm.maxv,MAX(I317:L317),IF(_xlpm.total=0,"",IF(_xlpm.maxv/_xlpm.total&lt;0.5,"Mixed-Class",_xlfn.IFS(_xlpm.maxv=I317,"Assault",_xlpm.maxv=J317,"Engineer",_xlpm.maxv=K317,"Recon",_xlpm.maxv=L317,"Support"))))</f>
        <v/>
      </c>
      <c r="O317" t="str">
        <f t="shared" si="20"/>
        <v/>
      </c>
      <c r="P317" s="28" t="str">
        <f t="shared" si="21"/>
        <v/>
      </c>
    </row>
    <row r="318" spans="2:16" x14ac:dyDescent="0.25">
      <c r="B318">
        <v>3167</v>
      </c>
      <c r="H318" t="str">
        <f t="shared" si="18"/>
        <v/>
      </c>
      <c r="M318">
        <f t="shared" si="19"/>
        <v>0</v>
      </c>
      <c r="N318" t="str" cm="1">
        <f t="array" ref="N318">_xlfn.LET(_xlpm.total,SUM(I318:L318),_xlpm.maxv,MAX(I318:L318),IF(_xlpm.total=0,"",IF(_xlpm.maxv/_xlpm.total&lt;0.5,"Mixed-Class",_xlfn.IFS(_xlpm.maxv=I318,"Assault",_xlpm.maxv=J318,"Engineer",_xlpm.maxv=K318,"Recon",_xlpm.maxv=L318,"Support"))))</f>
        <v/>
      </c>
      <c r="O318" t="str">
        <f t="shared" si="20"/>
        <v/>
      </c>
      <c r="P318" s="28" t="str">
        <f t="shared" si="21"/>
        <v/>
      </c>
    </row>
    <row r="319" spans="2:16" x14ac:dyDescent="0.25">
      <c r="B319">
        <v>3177</v>
      </c>
      <c r="H319" t="str">
        <f t="shared" si="18"/>
        <v/>
      </c>
      <c r="M319">
        <f t="shared" si="19"/>
        <v>0</v>
      </c>
      <c r="N319" t="str" cm="1">
        <f t="array" ref="N319">_xlfn.LET(_xlpm.total,SUM(I319:L319),_xlpm.maxv,MAX(I319:L319),IF(_xlpm.total=0,"",IF(_xlpm.maxv/_xlpm.total&lt;0.5,"Mixed-Class",_xlfn.IFS(_xlpm.maxv=I319,"Assault",_xlpm.maxv=J319,"Engineer",_xlpm.maxv=K319,"Recon",_xlpm.maxv=L319,"Support"))))</f>
        <v/>
      </c>
      <c r="O319" t="str">
        <f t="shared" si="20"/>
        <v/>
      </c>
      <c r="P319" s="28" t="str">
        <f t="shared" si="21"/>
        <v/>
      </c>
    </row>
    <row r="320" spans="2:16" x14ac:dyDescent="0.25">
      <c r="B320">
        <v>3187</v>
      </c>
      <c r="H320" t="str">
        <f t="shared" si="18"/>
        <v/>
      </c>
      <c r="M320">
        <f t="shared" si="19"/>
        <v>0</v>
      </c>
      <c r="N320" t="str" cm="1">
        <f t="array" ref="N320">_xlfn.LET(_xlpm.total,SUM(I320:L320),_xlpm.maxv,MAX(I320:L320),IF(_xlpm.total=0,"",IF(_xlpm.maxv/_xlpm.total&lt;0.5,"Mixed-Class",_xlfn.IFS(_xlpm.maxv=I320,"Assault",_xlpm.maxv=J320,"Engineer",_xlpm.maxv=K320,"Recon",_xlpm.maxv=L320,"Support"))))</f>
        <v/>
      </c>
      <c r="O320" t="str">
        <f t="shared" si="20"/>
        <v/>
      </c>
      <c r="P320" s="28" t="str">
        <f t="shared" si="21"/>
        <v/>
      </c>
    </row>
    <row r="321" spans="2:16" x14ac:dyDescent="0.25">
      <c r="B321">
        <v>3197</v>
      </c>
      <c r="H321" t="str">
        <f t="shared" si="18"/>
        <v/>
      </c>
      <c r="M321">
        <f t="shared" si="19"/>
        <v>0</v>
      </c>
      <c r="N321" t="str" cm="1">
        <f t="array" ref="N321">_xlfn.LET(_xlpm.total,SUM(I321:L321),_xlpm.maxv,MAX(I321:L321),IF(_xlpm.total=0,"",IF(_xlpm.maxv/_xlpm.total&lt;0.5,"Mixed-Class",_xlfn.IFS(_xlpm.maxv=I321,"Assault",_xlpm.maxv=J321,"Engineer",_xlpm.maxv=K321,"Recon",_xlpm.maxv=L321,"Support"))))</f>
        <v/>
      </c>
      <c r="O321" t="str">
        <f t="shared" si="20"/>
        <v/>
      </c>
      <c r="P321" s="28" t="str">
        <f t="shared" si="21"/>
        <v/>
      </c>
    </row>
    <row r="322" spans="2:16" x14ac:dyDescent="0.25">
      <c r="B322">
        <v>3207</v>
      </c>
      <c r="H322" t="str">
        <f t="shared" si="18"/>
        <v/>
      </c>
      <c r="M322">
        <f t="shared" si="19"/>
        <v>0</v>
      </c>
      <c r="N322" t="str" cm="1">
        <f t="array" ref="N322">_xlfn.LET(_xlpm.total,SUM(I322:L322),_xlpm.maxv,MAX(I322:L322),IF(_xlpm.total=0,"",IF(_xlpm.maxv/_xlpm.total&lt;0.5,"Mixed-Class",_xlfn.IFS(_xlpm.maxv=I322,"Assault",_xlpm.maxv=J322,"Engineer",_xlpm.maxv=K322,"Recon",_xlpm.maxv=L322,"Support"))))</f>
        <v/>
      </c>
      <c r="O322" t="str">
        <f t="shared" si="20"/>
        <v/>
      </c>
      <c r="P322" s="28" t="str">
        <f t="shared" si="21"/>
        <v/>
      </c>
    </row>
    <row r="323" spans="2:16" x14ac:dyDescent="0.25">
      <c r="B323">
        <v>3217</v>
      </c>
      <c r="H323" t="str">
        <f t="shared" ref="H323:H386" si="22">IF(SUM(D323:G323)=0,"",IF(G323/SUM(D323:G323)&gt;=0.5,"Battle Royale",IF(F323/SUM(D323:F323)&gt;=0.6,"Infantry-Heavy",IF((D323+0.7*E323)/SUM(D323:F323)&gt;=0.7,"Vehicle-Heavy","Mixed"))))</f>
        <v/>
      </c>
      <c r="M323">
        <f t="shared" ref="M323:M386" si="23">SUM(I323:L323)</f>
        <v>0</v>
      </c>
      <c r="N323" t="str" cm="1">
        <f t="array" ref="N323">_xlfn.LET(_xlpm.total,SUM(I323:L323),_xlpm.maxv,MAX(I323:L323),IF(_xlpm.total=0,"",IF(_xlpm.maxv/_xlpm.total&lt;0.5,"Mixed-Class",_xlfn.IFS(_xlpm.maxv=I323,"Assault",_xlpm.maxv=J323,"Engineer",_xlpm.maxv=K323,"Recon",_xlpm.maxv=L323,"Support"))))</f>
        <v/>
      </c>
      <c r="O323" t="str">
        <f t="shared" ref="O323:O386" si="24">_xlfn.LET(_xlpm.total,SUM(I323:L323),IF(_xlpm.total=0,"",MAX(I323:L323)/_xlpm.total&gt;=0.5))</f>
        <v/>
      </c>
      <c r="P323" s="28" t="str">
        <f t="shared" ref="P323:P386" si="25">_xlfn.LET(_xlpm.total,SUM(I323:L323),IF(_xlpm.total=0,"",MAX(I323:L323)/_xlpm.total))</f>
        <v/>
      </c>
    </row>
    <row r="324" spans="2:16" x14ac:dyDescent="0.25">
      <c r="B324">
        <v>3227</v>
      </c>
      <c r="H324" t="str">
        <f t="shared" si="22"/>
        <v/>
      </c>
      <c r="M324">
        <f t="shared" si="23"/>
        <v>0</v>
      </c>
      <c r="N324" t="str" cm="1">
        <f t="array" ref="N324">_xlfn.LET(_xlpm.total,SUM(I324:L324),_xlpm.maxv,MAX(I324:L324),IF(_xlpm.total=0,"",IF(_xlpm.maxv/_xlpm.total&lt;0.5,"Mixed-Class",_xlfn.IFS(_xlpm.maxv=I324,"Assault",_xlpm.maxv=J324,"Engineer",_xlpm.maxv=K324,"Recon",_xlpm.maxv=L324,"Support"))))</f>
        <v/>
      </c>
      <c r="O324" t="str">
        <f t="shared" si="24"/>
        <v/>
      </c>
      <c r="P324" s="28" t="str">
        <f t="shared" si="25"/>
        <v/>
      </c>
    </row>
    <row r="325" spans="2:16" x14ac:dyDescent="0.25">
      <c r="B325">
        <v>3237</v>
      </c>
      <c r="H325" t="str">
        <f t="shared" si="22"/>
        <v/>
      </c>
      <c r="M325">
        <f t="shared" si="23"/>
        <v>0</v>
      </c>
      <c r="N325" t="str" cm="1">
        <f t="array" ref="N325">_xlfn.LET(_xlpm.total,SUM(I325:L325),_xlpm.maxv,MAX(I325:L325),IF(_xlpm.total=0,"",IF(_xlpm.maxv/_xlpm.total&lt;0.5,"Mixed-Class",_xlfn.IFS(_xlpm.maxv=I325,"Assault",_xlpm.maxv=J325,"Engineer",_xlpm.maxv=K325,"Recon",_xlpm.maxv=L325,"Support"))))</f>
        <v/>
      </c>
      <c r="O325" t="str">
        <f t="shared" si="24"/>
        <v/>
      </c>
      <c r="P325" s="28" t="str">
        <f t="shared" si="25"/>
        <v/>
      </c>
    </row>
    <row r="326" spans="2:16" x14ac:dyDescent="0.25">
      <c r="B326">
        <v>3247</v>
      </c>
      <c r="H326" t="str">
        <f t="shared" si="22"/>
        <v/>
      </c>
      <c r="M326">
        <f t="shared" si="23"/>
        <v>0</v>
      </c>
      <c r="N326" t="str" cm="1">
        <f t="array" ref="N326">_xlfn.LET(_xlpm.total,SUM(I326:L326),_xlpm.maxv,MAX(I326:L326),IF(_xlpm.total=0,"",IF(_xlpm.maxv/_xlpm.total&lt;0.5,"Mixed-Class",_xlfn.IFS(_xlpm.maxv=I326,"Assault",_xlpm.maxv=J326,"Engineer",_xlpm.maxv=K326,"Recon",_xlpm.maxv=L326,"Support"))))</f>
        <v/>
      </c>
      <c r="O326" t="str">
        <f t="shared" si="24"/>
        <v/>
      </c>
      <c r="P326" s="28" t="str">
        <f t="shared" si="25"/>
        <v/>
      </c>
    </row>
    <row r="327" spans="2:16" x14ac:dyDescent="0.25">
      <c r="B327">
        <v>3257</v>
      </c>
      <c r="H327" t="str">
        <f t="shared" si="22"/>
        <v/>
      </c>
      <c r="M327">
        <f t="shared" si="23"/>
        <v>0</v>
      </c>
      <c r="N327" t="str" cm="1">
        <f t="array" ref="N327">_xlfn.LET(_xlpm.total,SUM(I327:L327),_xlpm.maxv,MAX(I327:L327),IF(_xlpm.total=0,"",IF(_xlpm.maxv/_xlpm.total&lt;0.5,"Mixed-Class",_xlfn.IFS(_xlpm.maxv=I327,"Assault",_xlpm.maxv=J327,"Engineer",_xlpm.maxv=K327,"Recon",_xlpm.maxv=L327,"Support"))))</f>
        <v/>
      </c>
      <c r="O327" t="str">
        <f t="shared" si="24"/>
        <v/>
      </c>
      <c r="P327" s="28" t="str">
        <f t="shared" si="25"/>
        <v/>
      </c>
    </row>
    <row r="328" spans="2:16" x14ac:dyDescent="0.25">
      <c r="B328">
        <v>3267</v>
      </c>
      <c r="H328" t="str">
        <f t="shared" si="22"/>
        <v/>
      </c>
      <c r="M328">
        <f t="shared" si="23"/>
        <v>0</v>
      </c>
      <c r="N328" t="str" cm="1">
        <f t="array" ref="N328">_xlfn.LET(_xlpm.total,SUM(I328:L328),_xlpm.maxv,MAX(I328:L328),IF(_xlpm.total=0,"",IF(_xlpm.maxv/_xlpm.total&lt;0.5,"Mixed-Class",_xlfn.IFS(_xlpm.maxv=I328,"Assault",_xlpm.maxv=J328,"Engineer",_xlpm.maxv=K328,"Recon",_xlpm.maxv=L328,"Support"))))</f>
        <v/>
      </c>
      <c r="O328" t="str">
        <f t="shared" si="24"/>
        <v/>
      </c>
      <c r="P328" s="28" t="str">
        <f t="shared" si="25"/>
        <v/>
      </c>
    </row>
    <row r="329" spans="2:16" x14ac:dyDescent="0.25">
      <c r="B329">
        <v>3277</v>
      </c>
      <c r="H329" t="str">
        <f t="shared" si="22"/>
        <v/>
      </c>
      <c r="M329">
        <f t="shared" si="23"/>
        <v>0</v>
      </c>
      <c r="N329" t="str" cm="1">
        <f t="array" ref="N329">_xlfn.LET(_xlpm.total,SUM(I329:L329),_xlpm.maxv,MAX(I329:L329),IF(_xlpm.total=0,"",IF(_xlpm.maxv/_xlpm.total&lt;0.5,"Mixed-Class",_xlfn.IFS(_xlpm.maxv=I329,"Assault",_xlpm.maxv=J329,"Engineer",_xlpm.maxv=K329,"Recon",_xlpm.maxv=L329,"Support"))))</f>
        <v/>
      </c>
      <c r="O329" t="str">
        <f t="shared" si="24"/>
        <v/>
      </c>
      <c r="P329" s="28" t="str">
        <f t="shared" si="25"/>
        <v/>
      </c>
    </row>
    <row r="330" spans="2:16" x14ac:dyDescent="0.25">
      <c r="B330">
        <v>3287</v>
      </c>
      <c r="H330" t="str">
        <f t="shared" si="22"/>
        <v/>
      </c>
      <c r="M330">
        <f t="shared" si="23"/>
        <v>0</v>
      </c>
      <c r="N330" t="str" cm="1">
        <f t="array" ref="N330">_xlfn.LET(_xlpm.total,SUM(I330:L330),_xlpm.maxv,MAX(I330:L330),IF(_xlpm.total=0,"",IF(_xlpm.maxv/_xlpm.total&lt;0.5,"Mixed-Class",_xlfn.IFS(_xlpm.maxv=I330,"Assault",_xlpm.maxv=J330,"Engineer",_xlpm.maxv=K330,"Recon",_xlpm.maxv=L330,"Support"))))</f>
        <v/>
      </c>
      <c r="O330" t="str">
        <f t="shared" si="24"/>
        <v/>
      </c>
      <c r="P330" s="28" t="str">
        <f t="shared" si="25"/>
        <v/>
      </c>
    </row>
    <row r="331" spans="2:16" x14ac:dyDescent="0.25">
      <c r="B331">
        <v>3297</v>
      </c>
      <c r="H331" t="str">
        <f t="shared" si="22"/>
        <v/>
      </c>
      <c r="M331">
        <f t="shared" si="23"/>
        <v>0</v>
      </c>
      <c r="N331" t="str" cm="1">
        <f t="array" ref="N331">_xlfn.LET(_xlpm.total,SUM(I331:L331),_xlpm.maxv,MAX(I331:L331),IF(_xlpm.total=0,"",IF(_xlpm.maxv/_xlpm.total&lt;0.5,"Mixed-Class",_xlfn.IFS(_xlpm.maxv=I331,"Assault",_xlpm.maxv=J331,"Engineer",_xlpm.maxv=K331,"Recon",_xlpm.maxv=L331,"Support"))))</f>
        <v/>
      </c>
      <c r="O331" t="str">
        <f t="shared" si="24"/>
        <v/>
      </c>
      <c r="P331" s="28" t="str">
        <f t="shared" si="25"/>
        <v/>
      </c>
    </row>
    <row r="332" spans="2:16" x14ac:dyDescent="0.25">
      <c r="B332">
        <v>3307</v>
      </c>
      <c r="H332" t="str">
        <f t="shared" si="22"/>
        <v/>
      </c>
      <c r="M332">
        <f t="shared" si="23"/>
        <v>0</v>
      </c>
      <c r="N332" t="str" cm="1">
        <f t="array" ref="N332">_xlfn.LET(_xlpm.total,SUM(I332:L332),_xlpm.maxv,MAX(I332:L332),IF(_xlpm.total=0,"",IF(_xlpm.maxv/_xlpm.total&lt;0.5,"Mixed-Class",_xlfn.IFS(_xlpm.maxv=I332,"Assault",_xlpm.maxv=J332,"Engineer",_xlpm.maxv=K332,"Recon",_xlpm.maxv=L332,"Support"))))</f>
        <v/>
      </c>
      <c r="O332" t="str">
        <f t="shared" si="24"/>
        <v/>
      </c>
      <c r="P332" s="28" t="str">
        <f t="shared" si="25"/>
        <v/>
      </c>
    </row>
    <row r="333" spans="2:16" x14ac:dyDescent="0.25">
      <c r="B333">
        <v>3317</v>
      </c>
      <c r="H333" t="str">
        <f t="shared" si="22"/>
        <v/>
      </c>
      <c r="M333">
        <f t="shared" si="23"/>
        <v>0</v>
      </c>
      <c r="N333" t="str" cm="1">
        <f t="array" ref="N333">_xlfn.LET(_xlpm.total,SUM(I333:L333),_xlpm.maxv,MAX(I333:L333),IF(_xlpm.total=0,"",IF(_xlpm.maxv/_xlpm.total&lt;0.5,"Mixed-Class",_xlfn.IFS(_xlpm.maxv=I333,"Assault",_xlpm.maxv=J333,"Engineer",_xlpm.maxv=K333,"Recon",_xlpm.maxv=L333,"Support"))))</f>
        <v/>
      </c>
      <c r="O333" t="str">
        <f t="shared" si="24"/>
        <v/>
      </c>
      <c r="P333" s="28" t="str">
        <f t="shared" si="25"/>
        <v/>
      </c>
    </row>
    <row r="334" spans="2:16" x14ac:dyDescent="0.25">
      <c r="B334">
        <v>3327</v>
      </c>
      <c r="H334" t="str">
        <f t="shared" si="22"/>
        <v/>
      </c>
      <c r="M334">
        <f t="shared" si="23"/>
        <v>0</v>
      </c>
      <c r="N334" t="str" cm="1">
        <f t="array" ref="N334">_xlfn.LET(_xlpm.total,SUM(I334:L334),_xlpm.maxv,MAX(I334:L334),IF(_xlpm.total=0,"",IF(_xlpm.maxv/_xlpm.total&lt;0.5,"Mixed-Class",_xlfn.IFS(_xlpm.maxv=I334,"Assault",_xlpm.maxv=J334,"Engineer",_xlpm.maxv=K334,"Recon",_xlpm.maxv=L334,"Support"))))</f>
        <v/>
      </c>
      <c r="O334" t="str">
        <f t="shared" si="24"/>
        <v/>
      </c>
      <c r="P334" s="28" t="str">
        <f t="shared" si="25"/>
        <v/>
      </c>
    </row>
    <row r="335" spans="2:16" x14ac:dyDescent="0.25">
      <c r="B335">
        <v>3337</v>
      </c>
      <c r="H335" t="str">
        <f t="shared" si="22"/>
        <v/>
      </c>
      <c r="M335">
        <f t="shared" si="23"/>
        <v>0</v>
      </c>
      <c r="N335" t="str" cm="1">
        <f t="array" ref="N335">_xlfn.LET(_xlpm.total,SUM(I335:L335),_xlpm.maxv,MAX(I335:L335),IF(_xlpm.total=0,"",IF(_xlpm.maxv/_xlpm.total&lt;0.5,"Mixed-Class",_xlfn.IFS(_xlpm.maxv=I335,"Assault",_xlpm.maxv=J335,"Engineer",_xlpm.maxv=K335,"Recon",_xlpm.maxv=L335,"Support"))))</f>
        <v/>
      </c>
      <c r="O335" t="str">
        <f t="shared" si="24"/>
        <v/>
      </c>
      <c r="P335" s="28" t="str">
        <f t="shared" si="25"/>
        <v/>
      </c>
    </row>
    <row r="336" spans="2:16" x14ac:dyDescent="0.25">
      <c r="B336">
        <v>3347</v>
      </c>
      <c r="H336" t="str">
        <f t="shared" si="22"/>
        <v/>
      </c>
      <c r="M336">
        <f t="shared" si="23"/>
        <v>0</v>
      </c>
      <c r="N336" t="str" cm="1">
        <f t="array" ref="N336">_xlfn.LET(_xlpm.total,SUM(I336:L336),_xlpm.maxv,MAX(I336:L336),IF(_xlpm.total=0,"",IF(_xlpm.maxv/_xlpm.total&lt;0.5,"Mixed-Class",_xlfn.IFS(_xlpm.maxv=I336,"Assault",_xlpm.maxv=J336,"Engineer",_xlpm.maxv=K336,"Recon",_xlpm.maxv=L336,"Support"))))</f>
        <v/>
      </c>
      <c r="O336" t="str">
        <f t="shared" si="24"/>
        <v/>
      </c>
      <c r="P336" s="28" t="str">
        <f t="shared" si="25"/>
        <v/>
      </c>
    </row>
    <row r="337" spans="2:16" x14ac:dyDescent="0.25">
      <c r="B337">
        <v>3357</v>
      </c>
      <c r="H337" t="str">
        <f t="shared" si="22"/>
        <v/>
      </c>
      <c r="M337">
        <f t="shared" si="23"/>
        <v>0</v>
      </c>
      <c r="N337" t="str" cm="1">
        <f t="array" ref="N337">_xlfn.LET(_xlpm.total,SUM(I337:L337),_xlpm.maxv,MAX(I337:L337),IF(_xlpm.total=0,"",IF(_xlpm.maxv/_xlpm.total&lt;0.5,"Mixed-Class",_xlfn.IFS(_xlpm.maxv=I337,"Assault",_xlpm.maxv=J337,"Engineer",_xlpm.maxv=K337,"Recon",_xlpm.maxv=L337,"Support"))))</f>
        <v/>
      </c>
      <c r="O337" t="str">
        <f t="shared" si="24"/>
        <v/>
      </c>
      <c r="P337" s="28" t="str">
        <f t="shared" si="25"/>
        <v/>
      </c>
    </row>
    <row r="338" spans="2:16" x14ac:dyDescent="0.25">
      <c r="B338">
        <v>3367</v>
      </c>
      <c r="H338" t="str">
        <f t="shared" si="22"/>
        <v/>
      </c>
      <c r="M338">
        <f t="shared" si="23"/>
        <v>0</v>
      </c>
      <c r="N338" t="str" cm="1">
        <f t="array" ref="N338">_xlfn.LET(_xlpm.total,SUM(I338:L338),_xlpm.maxv,MAX(I338:L338),IF(_xlpm.total=0,"",IF(_xlpm.maxv/_xlpm.total&lt;0.5,"Mixed-Class",_xlfn.IFS(_xlpm.maxv=I338,"Assault",_xlpm.maxv=J338,"Engineer",_xlpm.maxv=K338,"Recon",_xlpm.maxv=L338,"Support"))))</f>
        <v/>
      </c>
      <c r="O338" t="str">
        <f t="shared" si="24"/>
        <v/>
      </c>
      <c r="P338" s="28" t="str">
        <f t="shared" si="25"/>
        <v/>
      </c>
    </row>
    <row r="339" spans="2:16" x14ac:dyDescent="0.25">
      <c r="B339">
        <v>3377</v>
      </c>
      <c r="H339" t="str">
        <f t="shared" si="22"/>
        <v/>
      </c>
      <c r="M339">
        <f t="shared" si="23"/>
        <v>0</v>
      </c>
      <c r="N339" t="str" cm="1">
        <f t="array" ref="N339">_xlfn.LET(_xlpm.total,SUM(I339:L339),_xlpm.maxv,MAX(I339:L339),IF(_xlpm.total=0,"",IF(_xlpm.maxv/_xlpm.total&lt;0.5,"Mixed-Class",_xlfn.IFS(_xlpm.maxv=I339,"Assault",_xlpm.maxv=J339,"Engineer",_xlpm.maxv=K339,"Recon",_xlpm.maxv=L339,"Support"))))</f>
        <v/>
      </c>
      <c r="O339" t="str">
        <f t="shared" si="24"/>
        <v/>
      </c>
      <c r="P339" s="28" t="str">
        <f t="shared" si="25"/>
        <v/>
      </c>
    </row>
    <row r="340" spans="2:16" x14ac:dyDescent="0.25">
      <c r="B340">
        <v>3387</v>
      </c>
      <c r="H340" t="str">
        <f t="shared" si="22"/>
        <v/>
      </c>
      <c r="M340">
        <f t="shared" si="23"/>
        <v>0</v>
      </c>
      <c r="N340" t="str" cm="1">
        <f t="array" ref="N340">_xlfn.LET(_xlpm.total,SUM(I340:L340),_xlpm.maxv,MAX(I340:L340),IF(_xlpm.total=0,"",IF(_xlpm.maxv/_xlpm.total&lt;0.5,"Mixed-Class",_xlfn.IFS(_xlpm.maxv=I340,"Assault",_xlpm.maxv=J340,"Engineer",_xlpm.maxv=K340,"Recon",_xlpm.maxv=L340,"Support"))))</f>
        <v/>
      </c>
      <c r="O340" t="str">
        <f t="shared" si="24"/>
        <v/>
      </c>
      <c r="P340" s="28" t="str">
        <f t="shared" si="25"/>
        <v/>
      </c>
    </row>
    <row r="341" spans="2:16" x14ac:dyDescent="0.25">
      <c r="B341">
        <v>3397</v>
      </c>
      <c r="H341" t="str">
        <f t="shared" si="22"/>
        <v/>
      </c>
      <c r="M341">
        <f t="shared" si="23"/>
        <v>0</v>
      </c>
      <c r="N341" t="str" cm="1">
        <f t="array" ref="N341">_xlfn.LET(_xlpm.total,SUM(I341:L341),_xlpm.maxv,MAX(I341:L341),IF(_xlpm.total=0,"",IF(_xlpm.maxv/_xlpm.total&lt;0.5,"Mixed-Class",_xlfn.IFS(_xlpm.maxv=I341,"Assault",_xlpm.maxv=J341,"Engineer",_xlpm.maxv=K341,"Recon",_xlpm.maxv=L341,"Support"))))</f>
        <v/>
      </c>
      <c r="O341" t="str">
        <f t="shared" si="24"/>
        <v/>
      </c>
      <c r="P341" s="28" t="str">
        <f t="shared" si="25"/>
        <v/>
      </c>
    </row>
    <row r="342" spans="2:16" x14ac:dyDescent="0.25">
      <c r="B342">
        <v>3407</v>
      </c>
      <c r="H342" t="str">
        <f t="shared" si="22"/>
        <v/>
      </c>
      <c r="M342">
        <f t="shared" si="23"/>
        <v>0</v>
      </c>
      <c r="N342" t="str" cm="1">
        <f t="array" ref="N342">_xlfn.LET(_xlpm.total,SUM(I342:L342),_xlpm.maxv,MAX(I342:L342),IF(_xlpm.total=0,"",IF(_xlpm.maxv/_xlpm.total&lt;0.5,"Mixed-Class",_xlfn.IFS(_xlpm.maxv=I342,"Assault",_xlpm.maxv=J342,"Engineer",_xlpm.maxv=K342,"Recon",_xlpm.maxv=L342,"Support"))))</f>
        <v/>
      </c>
      <c r="O342" t="str">
        <f t="shared" si="24"/>
        <v/>
      </c>
      <c r="P342" s="28" t="str">
        <f t="shared" si="25"/>
        <v/>
      </c>
    </row>
    <row r="343" spans="2:16" x14ac:dyDescent="0.25">
      <c r="B343">
        <v>3417</v>
      </c>
      <c r="H343" t="str">
        <f t="shared" si="22"/>
        <v/>
      </c>
      <c r="M343">
        <f t="shared" si="23"/>
        <v>0</v>
      </c>
      <c r="N343" t="str" cm="1">
        <f t="array" ref="N343">_xlfn.LET(_xlpm.total,SUM(I343:L343),_xlpm.maxv,MAX(I343:L343),IF(_xlpm.total=0,"",IF(_xlpm.maxv/_xlpm.total&lt;0.5,"Mixed-Class",_xlfn.IFS(_xlpm.maxv=I343,"Assault",_xlpm.maxv=J343,"Engineer",_xlpm.maxv=K343,"Recon",_xlpm.maxv=L343,"Support"))))</f>
        <v/>
      </c>
      <c r="O343" t="str">
        <f t="shared" si="24"/>
        <v/>
      </c>
      <c r="P343" s="28" t="str">
        <f t="shared" si="25"/>
        <v/>
      </c>
    </row>
    <row r="344" spans="2:16" x14ac:dyDescent="0.25">
      <c r="B344">
        <v>3427</v>
      </c>
      <c r="H344" t="str">
        <f t="shared" si="22"/>
        <v/>
      </c>
      <c r="M344">
        <f t="shared" si="23"/>
        <v>0</v>
      </c>
      <c r="N344" t="str" cm="1">
        <f t="array" ref="N344">_xlfn.LET(_xlpm.total,SUM(I344:L344),_xlpm.maxv,MAX(I344:L344),IF(_xlpm.total=0,"",IF(_xlpm.maxv/_xlpm.total&lt;0.5,"Mixed-Class",_xlfn.IFS(_xlpm.maxv=I344,"Assault",_xlpm.maxv=J344,"Engineer",_xlpm.maxv=K344,"Recon",_xlpm.maxv=L344,"Support"))))</f>
        <v/>
      </c>
      <c r="O344" t="str">
        <f t="shared" si="24"/>
        <v/>
      </c>
      <c r="P344" s="28" t="str">
        <f t="shared" si="25"/>
        <v/>
      </c>
    </row>
    <row r="345" spans="2:16" x14ac:dyDescent="0.25">
      <c r="B345">
        <v>3437</v>
      </c>
      <c r="H345" t="str">
        <f t="shared" si="22"/>
        <v/>
      </c>
      <c r="M345">
        <f t="shared" si="23"/>
        <v>0</v>
      </c>
      <c r="N345" t="str" cm="1">
        <f t="array" ref="N345">_xlfn.LET(_xlpm.total,SUM(I345:L345),_xlpm.maxv,MAX(I345:L345),IF(_xlpm.total=0,"",IF(_xlpm.maxv/_xlpm.total&lt;0.5,"Mixed-Class",_xlfn.IFS(_xlpm.maxv=I345,"Assault",_xlpm.maxv=J345,"Engineer",_xlpm.maxv=K345,"Recon",_xlpm.maxv=L345,"Support"))))</f>
        <v/>
      </c>
      <c r="O345" t="str">
        <f t="shared" si="24"/>
        <v/>
      </c>
      <c r="P345" s="28" t="str">
        <f t="shared" si="25"/>
        <v/>
      </c>
    </row>
    <row r="346" spans="2:16" x14ac:dyDescent="0.25">
      <c r="B346">
        <v>3447</v>
      </c>
      <c r="H346" t="str">
        <f t="shared" si="22"/>
        <v/>
      </c>
      <c r="M346">
        <f t="shared" si="23"/>
        <v>0</v>
      </c>
      <c r="N346" t="str" cm="1">
        <f t="array" ref="N346">_xlfn.LET(_xlpm.total,SUM(I346:L346),_xlpm.maxv,MAX(I346:L346),IF(_xlpm.total=0,"",IF(_xlpm.maxv/_xlpm.total&lt;0.5,"Mixed-Class",_xlfn.IFS(_xlpm.maxv=I346,"Assault",_xlpm.maxv=J346,"Engineer",_xlpm.maxv=K346,"Recon",_xlpm.maxv=L346,"Support"))))</f>
        <v/>
      </c>
      <c r="O346" t="str">
        <f t="shared" si="24"/>
        <v/>
      </c>
      <c r="P346" s="28" t="str">
        <f t="shared" si="25"/>
        <v/>
      </c>
    </row>
    <row r="347" spans="2:16" x14ac:dyDescent="0.25">
      <c r="B347">
        <v>3457</v>
      </c>
      <c r="H347" t="str">
        <f t="shared" si="22"/>
        <v/>
      </c>
      <c r="M347">
        <f t="shared" si="23"/>
        <v>0</v>
      </c>
      <c r="N347" t="str" cm="1">
        <f t="array" ref="N347">_xlfn.LET(_xlpm.total,SUM(I347:L347),_xlpm.maxv,MAX(I347:L347),IF(_xlpm.total=0,"",IF(_xlpm.maxv/_xlpm.total&lt;0.5,"Mixed-Class",_xlfn.IFS(_xlpm.maxv=I347,"Assault",_xlpm.maxv=J347,"Engineer",_xlpm.maxv=K347,"Recon",_xlpm.maxv=L347,"Support"))))</f>
        <v/>
      </c>
      <c r="O347" t="str">
        <f t="shared" si="24"/>
        <v/>
      </c>
      <c r="P347" s="28" t="str">
        <f t="shared" si="25"/>
        <v/>
      </c>
    </row>
    <row r="348" spans="2:16" x14ac:dyDescent="0.25">
      <c r="B348">
        <v>3467</v>
      </c>
      <c r="H348" t="str">
        <f t="shared" si="22"/>
        <v/>
      </c>
      <c r="M348">
        <f t="shared" si="23"/>
        <v>0</v>
      </c>
      <c r="N348" t="str" cm="1">
        <f t="array" ref="N348">_xlfn.LET(_xlpm.total,SUM(I348:L348),_xlpm.maxv,MAX(I348:L348),IF(_xlpm.total=0,"",IF(_xlpm.maxv/_xlpm.total&lt;0.5,"Mixed-Class",_xlfn.IFS(_xlpm.maxv=I348,"Assault",_xlpm.maxv=J348,"Engineer",_xlpm.maxv=K348,"Recon",_xlpm.maxv=L348,"Support"))))</f>
        <v/>
      </c>
      <c r="O348" t="str">
        <f t="shared" si="24"/>
        <v/>
      </c>
      <c r="P348" s="28" t="str">
        <f t="shared" si="25"/>
        <v/>
      </c>
    </row>
    <row r="349" spans="2:16" x14ac:dyDescent="0.25">
      <c r="B349">
        <v>3477</v>
      </c>
      <c r="H349" t="str">
        <f t="shared" si="22"/>
        <v/>
      </c>
      <c r="M349">
        <f t="shared" si="23"/>
        <v>0</v>
      </c>
      <c r="N349" t="str" cm="1">
        <f t="array" ref="N349">_xlfn.LET(_xlpm.total,SUM(I349:L349),_xlpm.maxv,MAX(I349:L349),IF(_xlpm.total=0,"",IF(_xlpm.maxv/_xlpm.total&lt;0.5,"Mixed-Class",_xlfn.IFS(_xlpm.maxv=I349,"Assault",_xlpm.maxv=J349,"Engineer",_xlpm.maxv=K349,"Recon",_xlpm.maxv=L349,"Support"))))</f>
        <v/>
      </c>
      <c r="O349" t="str">
        <f t="shared" si="24"/>
        <v/>
      </c>
      <c r="P349" s="28" t="str">
        <f t="shared" si="25"/>
        <v/>
      </c>
    </row>
    <row r="350" spans="2:16" x14ac:dyDescent="0.25">
      <c r="B350">
        <v>3487</v>
      </c>
      <c r="H350" t="str">
        <f t="shared" si="22"/>
        <v/>
      </c>
      <c r="M350">
        <f t="shared" si="23"/>
        <v>0</v>
      </c>
      <c r="N350" t="str" cm="1">
        <f t="array" ref="N350">_xlfn.LET(_xlpm.total,SUM(I350:L350),_xlpm.maxv,MAX(I350:L350),IF(_xlpm.total=0,"",IF(_xlpm.maxv/_xlpm.total&lt;0.5,"Mixed-Class",_xlfn.IFS(_xlpm.maxv=I350,"Assault",_xlpm.maxv=J350,"Engineer",_xlpm.maxv=K350,"Recon",_xlpm.maxv=L350,"Support"))))</f>
        <v/>
      </c>
      <c r="O350" t="str">
        <f t="shared" si="24"/>
        <v/>
      </c>
      <c r="P350" s="28" t="str">
        <f t="shared" si="25"/>
        <v/>
      </c>
    </row>
    <row r="351" spans="2:16" x14ac:dyDescent="0.25">
      <c r="B351">
        <v>3497</v>
      </c>
      <c r="H351" t="str">
        <f t="shared" si="22"/>
        <v/>
      </c>
      <c r="M351">
        <f t="shared" si="23"/>
        <v>0</v>
      </c>
      <c r="N351" t="str" cm="1">
        <f t="array" ref="N351">_xlfn.LET(_xlpm.total,SUM(I351:L351),_xlpm.maxv,MAX(I351:L351),IF(_xlpm.total=0,"",IF(_xlpm.maxv/_xlpm.total&lt;0.5,"Mixed-Class",_xlfn.IFS(_xlpm.maxv=I351,"Assault",_xlpm.maxv=J351,"Engineer",_xlpm.maxv=K351,"Recon",_xlpm.maxv=L351,"Support"))))</f>
        <v/>
      </c>
      <c r="O351" t="str">
        <f t="shared" si="24"/>
        <v/>
      </c>
      <c r="P351" s="28" t="str">
        <f t="shared" si="25"/>
        <v/>
      </c>
    </row>
    <row r="352" spans="2:16" x14ac:dyDescent="0.25">
      <c r="B352">
        <v>3507</v>
      </c>
      <c r="H352" t="str">
        <f t="shared" si="22"/>
        <v/>
      </c>
      <c r="M352">
        <f t="shared" si="23"/>
        <v>0</v>
      </c>
      <c r="N352" t="str" cm="1">
        <f t="array" ref="N352">_xlfn.LET(_xlpm.total,SUM(I352:L352),_xlpm.maxv,MAX(I352:L352),IF(_xlpm.total=0,"",IF(_xlpm.maxv/_xlpm.total&lt;0.5,"Mixed-Class",_xlfn.IFS(_xlpm.maxv=I352,"Assault",_xlpm.maxv=J352,"Engineer",_xlpm.maxv=K352,"Recon",_xlpm.maxv=L352,"Support"))))</f>
        <v/>
      </c>
      <c r="O352" t="str">
        <f t="shared" si="24"/>
        <v/>
      </c>
      <c r="P352" s="28" t="str">
        <f t="shared" si="25"/>
        <v/>
      </c>
    </row>
    <row r="353" spans="2:16" x14ac:dyDescent="0.25">
      <c r="B353">
        <v>3517</v>
      </c>
      <c r="H353" t="str">
        <f t="shared" si="22"/>
        <v/>
      </c>
      <c r="M353">
        <f t="shared" si="23"/>
        <v>0</v>
      </c>
      <c r="N353" t="str" cm="1">
        <f t="array" ref="N353">_xlfn.LET(_xlpm.total,SUM(I353:L353),_xlpm.maxv,MAX(I353:L353),IF(_xlpm.total=0,"",IF(_xlpm.maxv/_xlpm.total&lt;0.5,"Mixed-Class",_xlfn.IFS(_xlpm.maxv=I353,"Assault",_xlpm.maxv=J353,"Engineer",_xlpm.maxv=K353,"Recon",_xlpm.maxv=L353,"Support"))))</f>
        <v/>
      </c>
      <c r="O353" t="str">
        <f t="shared" si="24"/>
        <v/>
      </c>
      <c r="P353" s="28" t="str">
        <f t="shared" si="25"/>
        <v/>
      </c>
    </row>
    <row r="354" spans="2:16" x14ac:dyDescent="0.25">
      <c r="B354">
        <v>3527</v>
      </c>
      <c r="H354" t="str">
        <f t="shared" si="22"/>
        <v/>
      </c>
      <c r="M354">
        <f t="shared" si="23"/>
        <v>0</v>
      </c>
      <c r="N354" t="str" cm="1">
        <f t="array" ref="N354">_xlfn.LET(_xlpm.total,SUM(I354:L354),_xlpm.maxv,MAX(I354:L354),IF(_xlpm.total=0,"",IF(_xlpm.maxv/_xlpm.total&lt;0.5,"Mixed-Class",_xlfn.IFS(_xlpm.maxv=I354,"Assault",_xlpm.maxv=J354,"Engineer",_xlpm.maxv=K354,"Recon",_xlpm.maxv=L354,"Support"))))</f>
        <v/>
      </c>
      <c r="O354" t="str">
        <f t="shared" si="24"/>
        <v/>
      </c>
      <c r="P354" s="28" t="str">
        <f t="shared" si="25"/>
        <v/>
      </c>
    </row>
    <row r="355" spans="2:16" x14ac:dyDescent="0.25">
      <c r="B355">
        <v>3537</v>
      </c>
      <c r="H355" t="str">
        <f t="shared" si="22"/>
        <v/>
      </c>
      <c r="M355">
        <f t="shared" si="23"/>
        <v>0</v>
      </c>
      <c r="N355" t="str" cm="1">
        <f t="array" ref="N355">_xlfn.LET(_xlpm.total,SUM(I355:L355),_xlpm.maxv,MAX(I355:L355),IF(_xlpm.total=0,"",IF(_xlpm.maxv/_xlpm.total&lt;0.5,"Mixed-Class",_xlfn.IFS(_xlpm.maxv=I355,"Assault",_xlpm.maxv=J355,"Engineer",_xlpm.maxv=K355,"Recon",_xlpm.maxv=L355,"Support"))))</f>
        <v/>
      </c>
      <c r="O355" t="str">
        <f t="shared" si="24"/>
        <v/>
      </c>
      <c r="P355" s="28" t="str">
        <f t="shared" si="25"/>
        <v/>
      </c>
    </row>
    <row r="356" spans="2:16" x14ac:dyDescent="0.25">
      <c r="B356">
        <v>3547</v>
      </c>
      <c r="H356" t="str">
        <f t="shared" si="22"/>
        <v/>
      </c>
      <c r="M356">
        <f t="shared" si="23"/>
        <v>0</v>
      </c>
      <c r="N356" t="str" cm="1">
        <f t="array" ref="N356">_xlfn.LET(_xlpm.total,SUM(I356:L356),_xlpm.maxv,MAX(I356:L356),IF(_xlpm.total=0,"",IF(_xlpm.maxv/_xlpm.total&lt;0.5,"Mixed-Class",_xlfn.IFS(_xlpm.maxv=I356,"Assault",_xlpm.maxv=J356,"Engineer",_xlpm.maxv=K356,"Recon",_xlpm.maxv=L356,"Support"))))</f>
        <v/>
      </c>
      <c r="O356" t="str">
        <f t="shared" si="24"/>
        <v/>
      </c>
      <c r="P356" s="28" t="str">
        <f t="shared" si="25"/>
        <v/>
      </c>
    </row>
    <row r="357" spans="2:16" x14ac:dyDescent="0.25">
      <c r="B357">
        <v>3557</v>
      </c>
      <c r="H357" t="str">
        <f t="shared" si="22"/>
        <v/>
      </c>
      <c r="M357">
        <f t="shared" si="23"/>
        <v>0</v>
      </c>
      <c r="N357" t="str" cm="1">
        <f t="array" ref="N357">_xlfn.LET(_xlpm.total,SUM(I357:L357),_xlpm.maxv,MAX(I357:L357),IF(_xlpm.total=0,"",IF(_xlpm.maxv/_xlpm.total&lt;0.5,"Mixed-Class",_xlfn.IFS(_xlpm.maxv=I357,"Assault",_xlpm.maxv=J357,"Engineer",_xlpm.maxv=K357,"Recon",_xlpm.maxv=L357,"Support"))))</f>
        <v/>
      </c>
      <c r="O357" t="str">
        <f t="shared" si="24"/>
        <v/>
      </c>
      <c r="P357" s="28" t="str">
        <f t="shared" si="25"/>
        <v/>
      </c>
    </row>
    <row r="358" spans="2:16" x14ac:dyDescent="0.25">
      <c r="B358">
        <v>3567</v>
      </c>
      <c r="H358" t="str">
        <f t="shared" si="22"/>
        <v/>
      </c>
      <c r="M358">
        <f t="shared" si="23"/>
        <v>0</v>
      </c>
      <c r="N358" t="str" cm="1">
        <f t="array" ref="N358">_xlfn.LET(_xlpm.total,SUM(I358:L358),_xlpm.maxv,MAX(I358:L358),IF(_xlpm.total=0,"",IF(_xlpm.maxv/_xlpm.total&lt;0.5,"Mixed-Class",_xlfn.IFS(_xlpm.maxv=I358,"Assault",_xlpm.maxv=J358,"Engineer",_xlpm.maxv=K358,"Recon",_xlpm.maxv=L358,"Support"))))</f>
        <v/>
      </c>
      <c r="O358" t="str">
        <f t="shared" si="24"/>
        <v/>
      </c>
      <c r="P358" s="28" t="str">
        <f t="shared" si="25"/>
        <v/>
      </c>
    </row>
    <row r="359" spans="2:16" x14ac:dyDescent="0.25">
      <c r="B359">
        <v>3577</v>
      </c>
      <c r="H359" t="str">
        <f t="shared" si="22"/>
        <v/>
      </c>
      <c r="M359">
        <f t="shared" si="23"/>
        <v>0</v>
      </c>
      <c r="N359" t="str" cm="1">
        <f t="array" ref="N359">_xlfn.LET(_xlpm.total,SUM(I359:L359),_xlpm.maxv,MAX(I359:L359),IF(_xlpm.total=0,"",IF(_xlpm.maxv/_xlpm.total&lt;0.5,"Mixed-Class",_xlfn.IFS(_xlpm.maxv=I359,"Assault",_xlpm.maxv=J359,"Engineer",_xlpm.maxv=K359,"Recon",_xlpm.maxv=L359,"Support"))))</f>
        <v/>
      </c>
      <c r="O359" t="str">
        <f t="shared" si="24"/>
        <v/>
      </c>
      <c r="P359" s="28" t="str">
        <f t="shared" si="25"/>
        <v/>
      </c>
    </row>
    <row r="360" spans="2:16" x14ac:dyDescent="0.25">
      <c r="B360">
        <v>3587</v>
      </c>
      <c r="H360" t="str">
        <f t="shared" si="22"/>
        <v/>
      </c>
      <c r="M360">
        <f t="shared" si="23"/>
        <v>0</v>
      </c>
      <c r="N360" t="str" cm="1">
        <f t="array" ref="N360">_xlfn.LET(_xlpm.total,SUM(I360:L360),_xlpm.maxv,MAX(I360:L360),IF(_xlpm.total=0,"",IF(_xlpm.maxv/_xlpm.total&lt;0.5,"Mixed-Class",_xlfn.IFS(_xlpm.maxv=I360,"Assault",_xlpm.maxv=J360,"Engineer",_xlpm.maxv=K360,"Recon",_xlpm.maxv=L360,"Support"))))</f>
        <v/>
      </c>
      <c r="O360" t="str">
        <f t="shared" si="24"/>
        <v/>
      </c>
      <c r="P360" s="28" t="str">
        <f t="shared" si="25"/>
        <v/>
      </c>
    </row>
    <row r="361" spans="2:16" x14ac:dyDescent="0.25">
      <c r="B361">
        <v>3597</v>
      </c>
      <c r="H361" t="str">
        <f t="shared" si="22"/>
        <v/>
      </c>
      <c r="M361">
        <f t="shared" si="23"/>
        <v>0</v>
      </c>
      <c r="N361" t="str" cm="1">
        <f t="array" ref="N361">_xlfn.LET(_xlpm.total,SUM(I361:L361),_xlpm.maxv,MAX(I361:L361),IF(_xlpm.total=0,"",IF(_xlpm.maxv/_xlpm.total&lt;0.5,"Mixed-Class",_xlfn.IFS(_xlpm.maxv=I361,"Assault",_xlpm.maxv=J361,"Engineer",_xlpm.maxv=K361,"Recon",_xlpm.maxv=L361,"Support"))))</f>
        <v/>
      </c>
      <c r="O361" t="str">
        <f t="shared" si="24"/>
        <v/>
      </c>
      <c r="P361" s="28" t="str">
        <f t="shared" si="25"/>
        <v/>
      </c>
    </row>
    <row r="362" spans="2:16" x14ac:dyDescent="0.25">
      <c r="B362">
        <v>3607</v>
      </c>
      <c r="H362" t="str">
        <f t="shared" si="22"/>
        <v/>
      </c>
      <c r="M362">
        <f t="shared" si="23"/>
        <v>0</v>
      </c>
      <c r="N362" t="str" cm="1">
        <f t="array" ref="N362">_xlfn.LET(_xlpm.total,SUM(I362:L362),_xlpm.maxv,MAX(I362:L362),IF(_xlpm.total=0,"",IF(_xlpm.maxv/_xlpm.total&lt;0.5,"Mixed-Class",_xlfn.IFS(_xlpm.maxv=I362,"Assault",_xlpm.maxv=J362,"Engineer",_xlpm.maxv=K362,"Recon",_xlpm.maxv=L362,"Support"))))</f>
        <v/>
      </c>
      <c r="O362" t="str">
        <f t="shared" si="24"/>
        <v/>
      </c>
      <c r="P362" s="28" t="str">
        <f t="shared" si="25"/>
        <v/>
      </c>
    </row>
    <row r="363" spans="2:16" x14ac:dyDescent="0.25">
      <c r="B363">
        <v>3617</v>
      </c>
      <c r="H363" t="str">
        <f t="shared" si="22"/>
        <v/>
      </c>
      <c r="M363">
        <f t="shared" si="23"/>
        <v>0</v>
      </c>
      <c r="N363" t="str" cm="1">
        <f t="array" ref="N363">_xlfn.LET(_xlpm.total,SUM(I363:L363),_xlpm.maxv,MAX(I363:L363),IF(_xlpm.total=0,"",IF(_xlpm.maxv/_xlpm.total&lt;0.5,"Mixed-Class",_xlfn.IFS(_xlpm.maxv=I363,"Assault",_xlpm.maxv=J363,"Engineer",_xlpm.maxv=K363,"Recon",_xlpm.maxv=L363,"Support"))))</f>
        <v/>
      </c>
      <c r="O363" t="str">
        <f t="shared" si="24"/>
        <v/>
      </c>
      <c r="P363" s="28" t="str">
        <f t="shared" si="25"/>
        <v/>
      </c>
    </row>
    <row r="364" spans="2:16" x14ac:dyDescent="0.25">
      <c r="B364">
        <v>3627</v>
      </c>
      <c r="H364" t="str">
        <f t="shared" si="22"/>
        <v/>
      </c>
      <c r="M364">
        <f t="shared" si="23"/>
        <v>0</v>
      </c>
      <c r="N364" t="str" cm="1">
        <f t="array" ref="N364">_xlfn.LET(_xlpm.total,SUM(I364:L364),_xlpm.maxv,MAX(I364:L364),IF(_xlpm.total=0,"",IF(_xlpm.maxv/_xlpm.total&lt;0.5,"Mixed-Class",_xlfn.IFS(_xlpm.maxv=I364,"Assault",_xlpm.maxv=J364,"Engineer",_xlpm.maxv=K364,"Recon",_xlpm.maxv=L364,"Support"))))</f>
        <v/>
      </c>
      <c r="O364" t="str">
        <f t="shared" si="24"/>
        <v/>
      </c>
      <c r="P364" s="28" t="str">
        <f t="shared" si="25"/>
        <v/>
      </c>
    </row>
    <row r="365" spans="2:16" x14ac:dyDescent="0.25">
      <c r="B365">
        <v>3637</v>
      </c>
      <c r="H365" t="str">
        <f t="shared" si="22"/>
        <v/>
      </c>
      <c r="M365">
        <f t="shared" si="23"/>
        <v>0</v>
      </c>
      <c r="N365" t="str" cm="1">
        <f t="array" ref="N365">_xlfn.LET(_xlpm.total,SUM(I365:L365),_xlpm.maxv,MAX(I365:L365),IF(_xlpm.total=0,"",IF(_xlpm.maxv/_xlpm.total&lt;0.5,"Mixed-Class",_xlfn.IFS(_xlpm.maxv=I365,"Assault",_xlpm.maxv=J365,"Engineer",_xlpm.maxv=K365,"Recon",_xlpm.maxv=L365,"Support"))))</f>
        <v/>
      </c>
      <c r="O365" t="str">
        <f t="shared" si="24"/>
        <v/>
      </c>
      <c r="P365" s="28" t="str">
        <f t="shared" si="25"/>
        <v/>
      </c>
    </row>
    <row r="366" spans="2:16" x14ac:dyDescent="0.25">
      <c r="B366">
        <v>3647</v>
      </c>
      <c r="H366" t="str">
        <f t="shared" si="22"/>
        <v/>
      </c>
      <c r="M366">
        <f t="shared" si="23"/>
        <v>0</v>
      </c>
      <c r="N366" t="str" cm="1">
        <f t="array" ref="N366">_xlfn.LET(_xlpm.total,SUM(I366:L366),_xlpm.maxv,MAX(I366:L366),IF(_xlpm.total=0,"",IF(_xlpm.maxv/_xlpm.total&lt;0.5,"Mixed-Class",_xlfn.IFS(_xlpm.maxv=I366,"Assault",_xlpm.maxv=J366,"Engineer",_xlpm.maxv=K366,"Recon",_xlpm.maxv=L366,"Support"))))</f>
        <v/>
      </c>
      <c r="O366" t="str">
        <f t="shared" si="24"/>
        <v/>
      </c>
      <c r="P366" s="28" t="str">
        <f t="shared" si="25"/>
        <v/>
      </c>
    </row>
    <row r="367" spans="2:16" x14ac:dyDescent="0.25">
      <c r="B367">
        <v>3657</v>
      </c>
      <c r="H367" t="str">
        <f t="shared" si="22"/>
        <v/>
      </c>
      <c r="M367">
        <f t="shared" si="23"/>
        <v>0</v>
      </c>
      <c r="N367" t="str" cm="1">
        <f t="array" ref="N367">_xlfn.LET(_xlpm.total,SUM(I367:L367),_xlpm.maxv,MAX(I367:L367),IF(_xlpm.total=0,"",IF(_xlpm.maxv/_xlpm.total&lt;0.5,"Mixed-Class",_xlfn.IFS(_xlpm.maxv=I367,"Assault",_xlpm.maxv=J367,"Engineer",_xlpm.maxv=K367,"Recon",_xlpm.maxv=L367,"Support"))))</f>
        <v/>
      </c>
      <c r="O367" t="str">
        <f t="shared" si="24"/>
        <v/>
      </c>
      <c r="P367" s="28" t="str">
        <f t="shared" si="25"/>
        <v/>
      </c>
    </row>
    <row r="368" spans="2:16" x14ac:dyDescent="0.25">
      <c r="B368">
        <v>3667</v>
      </c>
      <c r="H368" t="str">
        <f t="shared" si="22"/>
        <v/>
      </c>
      <c r="M368">
        <f t="shared" si="23"/>
        <v>0</v>
      </c>
      <c r="N368" t="str" cm="1">
        <f t="array" ref="N368">_xlfn.LET(_xlpm.total,SUM(I368:L368),_xlpm.maxv,MAX(I368:L368),IF(_xlpm.total=0,"",IF(_xlpm.maxv/_xlpm.total&lt;0.5,"Mixed-Class",_xlfn.IFS(_xlpm.maxv=I368,"Assault",_xlpm.maxv=J368,"Engineer",_xlpm.maxv=K368,"Recon",_xlpm.maxv=L368,"Support"))))</f>
        <v/>
      </c>
      <c r="O368" t="str">
        <f t="shared" si="24"/>
        <v/>
      </c>
      <c r="P368" s="28" t="str">
        <f t="shared" si="25"/>
        <v/>
      </c>
    </row>
    <row r="369" spans="2:16" x14ac:dyDescent="0.25">
      <c r="B369">
        <v>3677</v>
      </c>
      <c r="H369" t="str">
        <f t="shared" si="22"/>
        <v/>
      </c>
      <c r="M369">
        <f t="shared" si="23"/>
        <v>0</v>
      </c>
      <c r="N369" t="str" cm="1">
        <f t="array" ref="N369">_xlfn.LET(_xlpm.total,SUM(I369:L369),_xlpm.maxv,MAX(I369:L369),IF(_xlpm.total=0,"",IF(_xlpm.maxv/_xlpm.total&lt;0.5,"Mixed-Class",_xlfn.IFS(_xlpm.maxv=I369,"Assault",_xlpm.maxv=J369,"Engineer",_xlpm.maxv=K369,"Recon",_xlpm.maxv=L369,"Support"))))</f>
        <v/>
      </c>
      <c r="O369" t="str">
        <f t="shared" si="24"/>
        <v/>
      </c>
      <c r="P369" s="28" t="str">
        <f t="shared" si="25"/>
        <v/>
      </c>
    </row>
    <row r="370" spans="2:16" x14ac:dyDescent="0.25">
      <c r="B370">
        <v>3687</v>
      </c>
      <c r="H370" t="str">
        <f t="shared" si="22"/>
        <v/>
      </c>
      <c r="M370">
        <f t="shared" si="23"/>
        <v>0</v>
      </c>
      <c r="N370" t="str" cm="1">
        <f t="array" ref="N370">_xlfn.LET(_xlpm.total,SUM(I370:L370),_xlpm.maxv,MAX(I370:L370),IF(_xlpm.total=0,"",IF(_xlpm.maxv/_xlpm.total&lt;0.5,"Mixed-Class",_xlfn.IFS(_xlpm.maxv=I370,"Assault",_xlpm.maxv=J370,"Engineer",_xlpm.maxv=K370,"Recon",_xlpm.maxv=L370,"Support"))))</f>
        <v/>
      </c>
      <c r="O370" t="str">
        <f t="shared" si="24"/>
        <v/>
      </c>
      <c r="P370" s="28" t="str">
        <f t="shared" si="25"/>
        <v/>
      </c>
    </row>
    <row r="371" spans="2:16" x14ac:dyDescent="0.25">
      <c r="B371">
        <v>3697</v>
      </c>
      <c r="H371" t="str">
        <f t="shared" si="22"/>
        <v/>
      </c>
      <c r="M371">
        <f t="shared" si="23"/>
        <v>0</v>
      </c>
      <c r="N371" t="str" cm="1">
        <f t="array" ref="N371">_xlfn.LET(_xlpm.total,SUM(I371:L371),_xlpm.maxv,MAX(I371:L371),IF(_xlpm.total=0,"",IF(_xlpm.maxv/_xlpm.total&lt;0.5,"Mixed-Class",_xlfn.IFS(_xlpm.maxv=I371,"Assault",_xlpm.maxv=J371,"Engineer",_xlpm.maxv=K371,"Recon",_xlpm.maxv=L371,"Support"))))</f>
        <v/>
      </c>
      <c r="O371" t="str">
        <f t="shared" si="24"/>
        <v/>
      </c>
      <c r="P371" s="28" t="str">
        <f t="shared" si="25"/>
        <v/>
      </c>
    </row>
    <row r="372" spans="2:16" x14ac:dyDescent="0.25">
      <c r="B372">
        <v>3707</v>
      </c>
      <c r="H372" t="str">
        <f t="shared" si="22"/>
        <v/>
      </c>
      <c r="M372">
        <f t="shared" si="23"/>
        <v>0</v>
      </c>
      <c r="N372" t="str" cm="1">
        <f t="array" ref="N372">_xlfn.LET(_xlpm.total,SUM(I372:L372),_xlpm.maxv,MAX(I372:L372),IF(_xlpm.total=0,"",IF(_xlpm.maxv/_xlpm.total&lt;0.5,"Mixed-Class",_xlfn.IFS(_xlpm.maxv=I372,"Assault",_xlpm.maxv=J372,"Engineer",_xlpm.maxv=K372,"Recon",_xlpm.maxv=L372,"Support"))))</f>
        <v/>
      </c>
      <c r="O372" t="str">
        <f t="shared" si="24"/>
        <v/>
      </c>
      <c r="P372" s="28" t="str">
        <f t="shared" si="25"/>
        <v/>
      </c>
    </row>
    <row r="373" spans="2:16" x14ac:dyDescent="0.25">
      <c r="B373">
        <v>3717</v>
      </c>
      <c r="H373" t="str">
        <f t="shared" si="22"/>
        <v/>
      </c>
      <c r="M373">
        <f t="shared" si="23"/>
        <v>0</v>
      </c>
      <c r="N373" t="str" cm="1">
        <f t="array" ref="N373">_xlfn.LET(_xlpm.total,SUM(I373:L373),_xlpm.maxv,MAX(I373:L373),IF(_xlpm.total=0,"",IF(_xlpm.maxv/_xlpm.total&lt;0.5,"Mixed-Class",_xlfn.IFS(_xlpm.maxv=I373,"Assault",_xlpm.maxv=J373,"Engineer",_xlpm.maxv=K373,"Recon",_xlpm.maxv=L373,"Support"))))</f>
        <v/>
      </c>
      <c r="O373" t="str">
        <f t="shared" si="24"/>
        <v/>
      </c>
      <c r="P373" s="28" t="str">
        <f t="shared" si="25"/>
        <v/>
      </c>
    </row>
    <row r="374" spans="2:16" x14ac:dyDescent="0.25">
      <c r="B374">
        <v>3727</v>
      </c>
      <c r="H374" t="str">
        <f t="shared" si="22"/>
        <v/>
      </c>
      <c r="M374">
        <f t="shared" si="23"/>
        <v>0</v>
      </c>
      <c r="N374" t="str" cm="1">
        <f t="array" ref="N374">_xlfn.LET(_xlpm.total,SUM(I374:L374),_xlpm.maxv,MAX(I374:L374),IF(_xlpm.total=0,"",IF(_xlpm.maxv/_xlpm.total&lt;0.5,"Mixed-Class",_xlfn.IFS(_xlpm.maxv=I374,"Assault",_xlpm.maxv=J374,"Engineer",_xlpm.maxv=K374,"Recon",_xlpm.maxv=L374,"Support"))))</f>
        <v/>
      </c>
      <c r="O374" t="str">
        <f t="shared" si="24"/>
        <v/>
      </c>
      <c r="P374" s="28" t="str">
        <f t="shared" si="25"/>
        <v/>
      </c>
    </row>
    <row r="375" spans="2:16" x14ac:dyDescent="0.25">
      <c r="B375">
        <v>3737</v>
      </c>
      <c r="H375" t="str">
        <f t="shared" si="22"/>
        <v/>
      </c>
      <c r="M375">
        <f t="shared" si="23"/>
        <v>0</v>
      </c>
      <c r="N375" t="str" cm="1">
        <f t="array" ref="N375">_xlfn.LET(_xlpm.total,SUM(I375:L375),_xlpm.maxv,MAX(I375:L375),IF(_xlpm.total=0,"",IF(_xlpm.maxv/_xlpm.total&lt;0.5,"Mixed-Class",_xlfn.IFS(_xlpm.maxv=I375,"Assault",_xlpm.maxv=J375,"Engineer",_xlpm.maxv=K375,"Recon",_xlpm.maxv=L375,"Support"))))</f>
        <v/>
      </c>
      <c r="O375" t="str">
        <f t="shared" si="24"/>
        <v/>
      </c>
      <c r="P375" s="28" t="str">
        <f t="shared" si="25"/>
        <v/>
      </c>
    </row>
    <row r="376" spans="2:16" x14ac:dyDescent="0.25">
      <c r="B376">
        <v>3747</v>
      </c>
      <c r="H376" t="str">
        <f t="shared" si="22"/>
        <v/>
      </c>
      <c r="M376">
        <f t="shared" si="23"/>
        <v>0</v>
      </c>
      <c r="N376" t="str" cm="1">
        <f t="array" ref="N376">_xlfn.LET(_xlpm.total,SUM(I376:L376),_xlpm.maxv,MAX(I376:L376),IF(_xlpm.total=0,"",IF(_xlpm.maxv/_xlpm.total&lt;0.5,"Mixed-Class",_xlfn.IFS(_xlpm.maxv=I376,"Assault",_xlpm.maxv=J376,"Engineer",_xlpm.maxv=K376,"Recon",_xlpm.maxv=L376,"Support"))))</f>
        <v/>
      </c>
      <c r="O376" t="str">
        <f t="shared" si="24"/>
        <v/>
      </c>
      <c r="P376" s="28" t="str">
        <f t="shared" si="25"/>
        <v/>
      </c>
    </row>
    <row r="377" spans="2:16" x14ac:dyDescent="0.25">
      <c r="B377">
        <v>3757</v>
      </c>
      <c r="H377" t="str">
        <f t="shared" si="22"/>
        <v/>
      </c>
      <c r="M377">
        <f t="shared" si="23"/>
        <v>0</v>
      </c>
      <c r="N377" t="str" cm="1">
        <f t="array" ref="N377">_xlfn.LET(_xlpm.total,SUM(I377:L377),_xlpm.maxv,MAX(I377:L377),IF(_xlpm.total=0,"",IF(_xlpm.maxv/_xlpm.total&lt;0.5,"Mixed-Class",_xlfn.IFS(_xlpm.maxv=I377,"Assault",_xlpm.maxv=J377,"Engineer",_xlpm.maxv=K377,"Recon",_xlpm.maxv=L377,"Support"))))</f>
        <v/>
      </c>
      <c r="O377" t="str">
        <f t="shared" si="24"/>
        <v/>
      </c>
      <c r="P377" s="28" t="str">
        <f t="shared" si="25"/>
        <v/>
      </c>
    </row>
    <row r="378" spans="2:16" x14ac:dyDescent="0.25">
      <c r="B378">
        <v>3767</v>
      </c>
      <c r="H378" t="str">
        <f t="shared" si="22"/>
        <v/>
      </c>
      <c r="M378">
        <f t="shared" si="23"/>
        <v>0</v>
      </c>
      <c r="N378" t="str" cm="1">
        <f t="array" ref="N378">_xlfn.LET(_xlpm.total,SUM(I378:L378),_xlpm.maxv,MAX(I378:L378),IF(_xlpm.total=0,"",IF(_xlpm.maxv/_xlpm.total&lt;0.5,"Mixed-Class",_xlfn.IFS(_xlpm.maxv=I378,"Assault",_xlpm.maxv=J378,"Engineer",_xlpm.maxv=K378,"Recon",_xlpm.maxv=L378,"Support"))))</f>
        <v/>
      </c>
      <c r="O378" t="str">
        <f t="shared" si="24"/>
        <v/>
      </c>
      <c r="P378" s="28" t="str">
        <f t="shared" si="25"/>
        <v/>
      </c>
    </row>
    <row r="379" spans="2:16" x14ac:dyDescent="0.25">
      <c r="B379">
        <v>3777</v>
      </c>
      <c r="H379" t="str">
        <f t="shared" si="22"/>
        <v/>
      </c>
      <c r="M379">
        <f t="shared" si="23"/>
        <v>0</v>
      </c>
      <c r="N379" t="str" cm="1">
        <f t="array" ref="N379">_xlfn.LET(_xlpm.total,SUM(I379:L379),_xlpm.maxv,MAX(I379:L379),IF(_xlpm.total=0,"",IF(_xlpm.maxv/_xlpm.total&lt;0.5,"Mixed-Class",_xlfn.IFS(_xlpm.maxv=I379,"Assault",_xlpm.maxv=J379,"Engineer",_xlpm.maxv=K379,"Recon",_xlpm.maxv=L379,"Support"))))</f>
        <v/>
      </c>
      <c r="O379" t="str">
        <f t="shared" si="24"/>
        <v/>
      </c>
      <c r="P379" s="28" t="str">
        <f t="shared" si="25"/>
        <v/>
      </c>
    </row>
    <row r="380" spans="2:16" x14ac:dyDescent="0.25">
      <c r="B380">
        <v>3787</v>
      </c>
      <c r="H380" t="str">
        <f t="shared" si="22"/>
        <v/>
      </c>
      <c r="M380">
        <f t="shared" si="23"/>
        <v>0</v>
      </c>
      <c r="N380" t="str" cm="1">
        <f t="array" ref="N380">_xlfn.LET(_xlpm.total,SUM(I380:L380),_xlpm.maxv,MAX(I380:L380),IF(_xlpm.total=0,"",IF(_xlpm.maxv/_xlpm.total&lt;0.5,"Mixed-Class",_xlfn.IFS(_xlpm.maxv=I380,"Assault",_xlpm.maxv=J380,"Engineer",_xlpm.maxv=K380,"Recon",_xlpm.maxv=L380,"Support"))))</f>
        <v/>
      </c>
      <c r="O380" t="str">
        <f t="shared" si="24"/>
        <v/>
      </c>
      <c r="P380" s="28" t="str">
        <f t="shared" si="25"/>
        <v/>
      </c>
    </row>
    <row r="381" spans="2:16" x14ac:dyDescent="0.25">
      <c r="B381">
        <v>3797</v>
      </c>
      <c r="H381" t="str">
        <f t="shared" si="22"/>
        <v/>
      </c>
      <c r="M381">
        <f t="shared" si="23"/>
        <v>0</v>
      </c>
      <c r="N381" t="str" cm="1">
        <f t="array" ref="N381">_xlfn.LET(_xlpm.total,SUM(I381:L381),_xlpm.maxv,MAX(I381:L381),IF(_xlpm.total=0,"",IF(_xlpm.maxv/_xlpm.total&lt;0.5,"Mixed-Class",_xlfn.IFS(_xlpm.maxv=I381,"Assault",_xlpm.maxv=J381,"Engineer",_xlpm.maxv=K381,"Recon",_xlpm.maxv=L381,"Support"))))</f>
        <v/>
      </c>
      <c r="O381" t="str">
        <f t="shared" si="24"/>
        <v/>
      </c>
      <c r="P381" s="28" t="str">
        <f t="shared" si="25"/>
        <v/>
      </c>
    </row>
    <row r="382" spans="2:16" x14ac:dyDescent="0.25">
      <c r="B382">
        <v>3807</v>
      </c>
      <c r="H382" t="str">
        <f t="shared" si="22"/>
        <v/>
      </c>
      <c r="M382">
        <f t="shared" si="23"/>
        <v>0</v>
      </c>
      <c r="N382" t="str" cm="1">
        <f t="array" ref="N382">_xlfn.LET(_xlpm.total,SUM(I382:L382),_xlpm.maxv,MAX(I382:L382),IF(_xlpm.total=0,"",IF(_xlpm.maxv/_xlpm.total&lt;0.5,"Mixed-Class",_xlfn.IFS(_xlpm.maxv=I382,"Assault",_xlpm.maxv=J382,"Engineer",_xlpm.maxv=K382,"Recon",_xlpm.maxv=L382,"Support"))))</f>
        <v/>
      </c>
      <c r="O382" t="str">
        <f t="shared" si="24"/>
        <v/>
      </c>
      <c r="P382" s="28" t="str">
        <f t="shared" si="25"/>
        <v/>
      </c>
    </row>
    <row r="383" spans="2:16" x14ac:dyDescent="0.25">
      <c r="B383">
        <v>3817</v>
      </c>
      <c r="H383" t="str">
        <f t="shared" si="22"/>
        <v/>
      </c>
      <c r="M383">
        <f t="shared" si="23"/>
        <v>0</v>
      </c>
      <c r="N383" t="str" cm="1">
        <f t="array" ref="N383">_xlfn.LET(_xlpm.total,SUM(I383:L383),_xlpm.maxv,MAX(I383:L383),IF(_xlpm.total=0,"",IF(_xlpm.maxv/_xlpm.total&lt;0.5,"Mixed-Class",_xlfn.IFS(_xlpm.maxv=I383,"Assault",_xlpm.maxv=J383,"Engineer",_xlpm.maxv=K383,"Recon",_xlpm.maxv=L383,"Support"))))</f>
        <v/>
      </c>
      <c r="O383" t="str">
        <f t="shared" si="24"/>
        <v/>
      </c>
      <c r="P383" s="28" t="str">
        <f t="shared" si="25"/>
        <v/>
      </c>
    </row>
    <row r="384" spans="2:16" x14ac:dyDescent="0.25">
      <c r="B384">
        <v>3827</v>
      </c>
      <c r="H384" t="str">
        <f t="shared" si="22"/>
        <v/>
      </c>
      <c r="M384">
        <f t="shared" si="23"/>
        <v>0</v>
      </c>
      <c r="N384" t="str" cm="1">
        <f t="array" ref="N384">_xlfn.LET(_xlpm.total,SUM(I384:L384),_xlpm.maxv,MAX(I384:L384),IF(_xlpm.total=0,"",IF(_xlpm.maxv/_xlpm.total&lt;0.5,"Mixed-Class",_xlfn.IFS(_xlpm.maxv=I384,"Assault",_xlpm.maxv=J384,"Engineer",_xlpm.maxv=K384,"Recon",_xlpm.maxv=L384,"Support"))))</f>
        <v/>
      </c>
      <c r="O384" t="str">
        <f t="shared" si="24"/>
        <v/>
      </c>
      <c r="P384" s="28" t="str">
        <f t="shared" si="25"/>
        <v/>
      </c>
    </row>
    <row r="385" spans="2:16" x14ac:dyDescent="0.25">
      <c r="B385">
        <v>3837</v>
      </c>
      <c r="H385" t="str">
        <f t="shared" si="22"/>
        <v/>
      </c>
      <c r="M385">
        <f t="shared" si="23"/>
        <v>0</v>
      </c>
      <c r="N385" t="str" cm="1">
        <f t="array" ref="N385">_xlfn.LET(_xlpm.total,SUM(I385:L385),_xlpm.maxv,MAX(I385:L385),IF(_xlpm.total=0,"",IF(_xlpm.maxv/_xlpm.total&lt;0.5,"Mixed-Class",_xlfn.IFS(_xlpm.maxv=I385,"Assault",_xlpm.maxv=J385,"Engineer",_xlpm.maxv=K385,"Recon",_xlpm.maxv=L385,"Support"))))</f>
        <v/>
      </c>
      <c r="O385" t="str">
        <f t="shared" si="24"/>
        <v/>
      </c>
      <c r="P385" s="28" t="str">
        <f t="shared" si="25"/>
        <v/>
      </c>
    </row>
    <row r="386" spans="2:16" x14ac:dyDescent="0.25">
      <c r="B386">
        <v>3847</v>
      </c>
      <c r="H386" t="str">
        <f t="shared" si="22"/>
        <v/>
      </c>
      <c r="M386">
        <f t="shared" si="23"/>
        <v>0</v>
      </c>
      <c r="N386" t="str" cm="1">
        <f t="array" ref="N386">_xlfn.LET(_xlpm.total,SUM(I386:L386),_xlpm.maxv,MAX(I386:L386),IF(_xlpm.total=0,"",IF(_xlpm.maxv/_xlpm.total&lt;0.5,"Mixed-Class",_xlfn.IFS(_xlpm.maxv=I386,"Assault",_xlpm.maxv=J386,"Engineer",_xlpm.maxv=K386,"Recon",_xlpm.maxv=L386,"Support"))))</f>
        <v/>
      </c>
      <c r="O386" t="str">
        <f t="shared" si="24"/>
        <v/>
      </c>
      <c r="P386" s="28" t="str">
        <f t="shared" si="25"/>
        <v/>
      </c>
    </row>
    <row r="387" spans="2:16" x14ac:dyDescent="0.25">
      <c r="B387">
        <v>3857</v>
      </c>
      <c r="H387" t="str">
        <f t="shared" ref="H387:H450" si="26">IF(SUM(D387:G387)=0,"",IF(G387/SUM(D387:G387)&gt;=0.5,"Battle Royale",IF(F387/SUM(D387:F387)&gt;=0.6,"Infantry-Heavy",IF((D387+0.7*E387)/SUM(D387:F387)&gt;=0.7,"Vehicle-Heavy","Mixed"))))</f>
        <v/>
      </c>
      <c r="M387">
        <f t="shared" ref="M387:M450" si="27">SUM(I387:L387)</f>
        <v>0</v>
      </c>
      <c r="N387" t="str" cm="1">
        <f t="array" ref="N387">_xlfn.LET(_xlpm.total,SUM(I387:L387),_xlpm.maxv,MAX(I387:L387),IF(_xlpm.total=0,"",IF(_xlpm.maxv/_xlpm.total&lt;0.5,"Mixed-Class",_xlfn.IFS(_xlpm.maxv=I387,"Assault",_xlpm.maxv=J387,"Engineer",_xlpm.maxv=K387,"Recon",_xlpm.maxv=L387,"Support"))))</f>
        <v/>
      </c>
      <c r="O387" t="str">
        <f t="shared" ref="O387:O450" si="28">_xlfn.LET(_xlpm.total,SUM(I387:L387),IF(_xlpm.total=0,"",MAX(I387:L387)/_xlpm.total&gt;=0.5))</f>
        <v/>
      </c>
      <c r="P387" s="28" t="str">
        <f t="shared" ref="P387:P450" si="29">_xlfn.LET(_xlpm.total,SUM(I387:L387),IF(_xlpm.total=0,"",MAX(I387:L387)/_xlpm.total))</f>
        <v/>
      </c>
    </row>
    <row r="388" spans="2:16" x14ac:dyDescent="0.25">
      <c r="B388">
        <v>3867</v>
      </c>
      <c r="H388" t="str">
        <f t="shared" si="26"/>
        <v/>
      </c>
      <c r="M388">
        <f t="shared" si="27"/>
        <v>0</v>
      </c>
      <c r="N388" t="str" cm="1">
        <f t="array" ref="N388">_xlfn.LET(_xlpm.total,SUM(I388:L388),_xlpm.maxv,MAX(I388:L388),IF(_xlpm.total=0,"",IF(_xlpm.maxv/_xlpm.total&lt;0.5,"Mixed-Class",_xlfn.IFS(_xlpm.maxv=I388,"Assault",_xlpm.maxv=J388,"Engineer",_xlpm.maxv=K388,"Recon",_xlpm.maxv=L388,"Support"))))</f>
        <v/>
      </c>
      <c r="O388" t="str">
        <f t="shared" si="28"/>
        <v/>
      </c>
      <c r="P388" s="28" t="str">
        <f t="shared" si="29"/>
        <v/>
      </c>
    </row>
    <row r="389" spans="2:16" x14ac:dyDescent="0.25">
      <c r="B389">
        <v>3877</v>
      </c>
      <c r="H389" t="str">
        <f t="shared" si="26"/>
        <v/>
      </c>
      <c r="M389">
        <f t="shared" si="27"/>
        <v>0</v>
      </c>
      <c r="N389" t="str" cm="1">
        <f t="array" ref="N389">_xlfn.LET(_xlpm.total,SUM(I389:L389),_xlpm.maxv,MAX(I389:L389),IF(_xlpm.total=0,"",IF(_xlpm.maxv/_xlpm.total&lt;0.5,"Mixed-Class",_xlfn.IFS(_xlpm.maxv=I389,"Assault",_xlpm.maxv=J389,"Engineer",_xlpm.maxv=K389,"Recon",_xlpm.maxv=L389,"Support"))))</f>
        <v/>
      </c>
      <c r="O389" t="str">
        <f t="shared" si="28"/>
        <v/>
      </c>
      <c r="P389" s="28" t="str">
        <f t="shared" si="29"/>
        <v/>
      </c>
    </row>
    <row r="390" spans="2:16" x14ac:dyDescent="0.25">
      <c r="B390">
        <v>3887</v>
      </c>
      <c r="H390" t="str">
        <f t="shared" si="26"/>
        <v/>
      </c>
      <c r="M390">
        <f t="shared" si="27"/>
        <v>0</v>
      </c>
      <c r="N390" t="str" cm="1">
        <f t="array" ref="N390">_xlfn.LET(_xlpm.total,SUM(I390:L390),_xlpm.maxv,MAX(I390:L390),IF(_xlpm.total=0,"",IF(_xlpm.maxv/_xlpm.total&lt;0.5,"Mixed-Class",_xlfn.IFS(_xlpm.maxv=I390,"Assault",_xlpm.maxv=J390,"Engineer",_xlpm.maxv=K390,"Recon",_xlpm.maxv=L390,"Support"))))</f>
        <v/>
      </c>
      <c r="O390" t="str">
        <f t="shared" si="28"/>
        <v/>
      </c>
      <c r="P390" s="28" t="str">
        <f t="shared" si="29"/>
        <v/>
      </c>
    </row>
    <row r="391" spans="2:16" x14ac:dyDescent="0.25">
      <c r="B391">
        <v>3897</v>
      </c>
      <c r="H391" t="str">
        <f t="shared" si="26"/>
        <v/>
      </c>
      <c r="M391">
        <f t="shared" si="27"/>
        <v>0</v>
      </c>
      <c r="N391" t="str" cm="1">
        <f t="array" ref="N391">_xlfn.LET(_xlpm.total,SUM(I391:L391),_xlpm.maxv,MAX(I391:L391),IF(_xlpm.total=0,"",IF(_xlpm.maxv/_xlpm.total&lt;0.5,"Mixed-Class",_xlfn.IFS(_xlpm.maxv=I391,"Assault",_xlpm.maxv=J391,"Engineer",_xlpm.maxv=K391,"Recon",_xlpm.maxv=L391,"Support"))))</f>
        <v/>
      </c>
      <c r="O391" t="str">
        <f t="shared" si="28"/>
        <v/>
      </c>
      <c r="P391" s="28" t="str">
        <f t="shared" si="29"/>
        <v/>
      </c>
    </row>
    <row r="392" spans="2:16" x14ac:dyDescent="0.25">
      <c r="B392">
        <v>3907</v>
      </c>
      <c r="H392" t="str">
        <f t="shared" si="26"/>
        <v/>
      </c>
      <c r="M392">
        <f t="shared" si="27"/>
        <v>0</v>
      </c>
      <c r="N392" t="str" cm="1">
        <f t="array" ref="N392">_xlfn.LET(_xlpm.total,SUM(I392:L392),_xlpm.maxv,MAX(I392:L392),IF(_xlpm.total=0,"",IF(_xlpm.maxv/_xlpm.total&lt;0.5,"Mixed-Class",_xlfn.IFS(_xlpm.maxv=I392,"Assault",_xlpm.maxv=J392,"Engineer",_xlpm.maxv=K392,"Recon",_xlpm.maxv=L392,"Support"))))</f>
        <v/>
      </c>
      <c r="O392" t="str">
        <f t="shared" si="28"/>
        <v/>
      </c>
      <c r="P392" s="28" t="str">
        <f t="shared" si="29"/>
        <v/>
      </c>
    </row>
    <row r="393" spans="2:16" x14ac:dyDescent="0.25">
      <c r="B393">
        <v>3917</v>
      </c>
      <c r="H393" t="str">
        <f t="shared" si="26"/>
        <v/>
      </c>
      <c r="M393">
        <f t="shared" si="27"/>
        <v>0</v>
      </c>
      <c r="N393" t="str" cm="1">
        <f t="array" ref="N393">_xlfn.LET(_xlpm.total,SUM(I393:L393),_xlpm.maxv,MAX(I393:L393),IF(_xlpm.total=0,"",IF(_xlpm.maxv/_xlpm.total&lt;0.5,"Mixed-Class",_xlfn.IFS(_xlpm.maxv=I393,"Assault",_xlpm.maxv=J393,"Engineer",_xlpm.maxv=K393,"Recon",_xlpm.maxv=L393,"Support"))))</f>
        <v/>
      </c>
      <c r="O393" t="str">
        <f t="shared" si="28"/>
        <v/>
      </c>
      <c r="P393" s="28" t="str">
        <f t="shared" si="29"/>
        <v/>
      </c>
    </row>
    <row r="394" spans="2:16" x14ac:dyDescent="0.25">
      <c r="B394">
        <v>3927</v>
      </c>
      <c r="H394" t="str">
        <f t="shared" si="26"/>
        <v/>
      </c>
      <c r="M394">
        <f t="shared" si="27"/>
        <v>0</v>
      </c>
      <c r="N394" t="str" cm="1">
        <f t="array" ref="N394">_xlfn.LET(_xlpm.total,SUM(I394:L394),_xlpm.maxv,MAX(I394:L394),IF(_xlpm.total=0,"",IF(_xlpm.maxv/_xlpm.total&lt;0.5,"Mixed-Class",_xlfn.IFS(_xlpm.maxv=I394,"Assault",_xlpm.maxv=J394,"Engineer",_xlpm.maxv=K394,"Recon",_xlpm.maxv=L394,"Support"))))</f>
        <v/>
      </c>
      <c r="O394" t="str">
        <f t="shared" si="28"/>
        <v/>
      </c>
      <c r="P394" s="28" t="str">
        <f t="shared" si="29"/>
        <v/>
      </c>
    </row>
    <row r="395" spans="2:16" x14ac:dyDescent="0.25">
      <c r="B395">
        <v>3937</v>
      </c>
      <c r="H395" t="str">
        <f t="shared" si="26"/>
        <v/>
      </c>
      <c r="M395">
        <f t="shared" si="27"/>
        <v>0</v>
      </c>
      <c r="N395" t="str" cm="1">
        <f t="array" ref="N395">_xlfn.LET(_xlpm.total,SUM(I395:L395),_xlpm.maxv,MAX(I395:L395),IF(_xlpm.total=0,"",IF(_xlpm.maxv/_xlpm.total&lt;0.5,"Mixed-Class",_xlfn.IFS(_xlpm.maxv=I395,"Assault",_xlpm.maxv=J395,"Engineer",_xlpm.maxv=K395,"Recon",_xlpm.maxv=L395,"Support"))))</f>
        <v/>
      </c>
      <c r="O395" t="str">
        <f t="shared" si="28"/>
        <v/>
      </c>
      <c r="P395" s="28" t="str">
        <f t="shared" si="29"/>
        <v/>
      </c>
    </row>
    <row r="396" spans="2:16" x14ac:dyDescent="0.25">
      <c r="B396">
        <v>3947</v>
      </c>
      <c r="H396" t="str">
        <f t="shared" si="26"/>
        <v/>
      </c>
      <c r="M396">
        <f t="shared" si="27"/>
        <v>0</v>
      </c>
      <c r="N396" t="str" cm="1">
        <f t="array" ref="N396">_xlfn.LET(_xlpm.total,SUM(I396:L396),_xlpm.maxv,MAX(I396:L396),IF(_xlpm.total=0,"",IF(_xlpm.maxv/_xlpm.total&lt;0.5,"Mixed-Class",_xlfn.IFS(_xlpm.maxv=I396,"Assault",_xlpm.maxv=J396,"Engineer",_xlpm.maxv=K396,"Recon",_xlpm.maxv=L396,"Support"))))</f>
        <v/>
      </c>
      <c r="O396" t="str">
        <f t="shared" si="28"/>
        <v/>
      </c>
      <c r="P396" s="28" t="str">
        <f t="shared" si="29"/>
        <v/>
      </c>
    </row>
    <row r="397" spans="2:16" x14ac:dyDescent="0.25">
      <c r="B397">
        <v>3957</v>
      </c>
      <c r="H397" t="str">
        <f t="shared" si="26"/>
        <v/>
      </c>
      <c r="M397">
        <f t="shared" si="27"/>
        <v>0</v>
      </c>
      <c r="N397" t="str" cm="1">
        <f t="array" ref="N397">_xlfn.LET(_xlpm.total,SUM(I397:L397),_xlpm.maxv,MAX(I397:L397),IF(_xlpm.total=0,"",IF(_xlpm.maxv/_xlpm.total&lt;0.5,"Mixed-Class",_xlfn.IFS(_xlpm.maxv=I397,"Assault",_xlpm.maxv=J397,"Engineer",_xlpm.maxv=K397,"Recon",_xlpm.maxv=L397,"Support"))))</f>
        <v/>
      </c>
      <c r="O397" t="str">
        <f t="shared" si="28"/>
        <v/>
      </c>
      <c r="P397" s="28" t="str">
        <f t="shared" si="29"/>
        <v/>
      </c>
    </row>
    <row r="398" spans="2:16" x14ac:dyDescent="0.25">
      <c r="B398">
        <v>3967</v>
      </c>
      <c r="H398" t="str">
        <f t="shared" si="26"/>
        <v/>
      </c>
      <c r="M398">
        <f t="shared" si="27"/>
        <v>0</v>
      </c>
      <c r="N398" t="str" cm="1">
        <f t="array" ref="N398">_xlfn.LET(_xlpm.total,SUM(I398:L398),_xlpm.maxv,MAX(I398:L398),IF(_xlpm.total=0,"",IF(_xlpm.maxv/_xlpm.total&lt;0.5,"Mixed-Class",_xlfn.IFS(_xlpm.maxv=I398,"Assault",_xlpm.maxv=J398,"Engineer",_xlpm.maxv=K398,"Recon",_xlpm.maxv=L398,"Support"))))</f>
        <v/>
      </c>
      <c r="O398" t="str">
        <f t="shared" si="28"/>
        <v/>
      </c>
      <c r="P398" s="28" t="str">
        <f t="shared" si="29"/>
        <v/>
      </c>
    </row>
    <row r="399" spans="2:16" x14ac:dyDescent="0.25">
      <c r="B399">
        <v>3977</v>
      </c>
      <c r="H399" t="str">
        <f t="shared" si="26"/>
        <v/>
      </c>
      <c r="M399">
        <f t="shared" si="27"/>
        <v>0</v>
      </c>
      <c r="N399" t="str" cm="1">
        <f t="array" ref="N399">_xlfn.LET(_xlpm.total,SUM(I399:L399),_xlpm.maxv,MAX(I399:L399),IF(_xlpm.total=0,"",IF(_xlpm.maxv/_xlpm.total&lt;0.5,"Mixed-Class",_xlfn.IFS(_xlpm.maxv=I399,"Assault",_xlpm.maxv=J399,"Engineer",_xlpm.maxv=K399,"Recon",_xlpm.maxv=L399,"Support"))))</f>
        <v/>
      </c>
      <c r="O399" t="str">
        <f t="shared" si="28"/>
        <v/>
      </c>
      <c r="P399" s="28" t="str">
        <f t="shared" si="29"/>
        <v/>
      </c>
    </row>
    <row r="400" spans="2:16" x14ac:dyDescent="0.25">
      <c r="B400">
        <v>3987</v>
      </c>
      <c r="H400" t="str">
        <f t="shared" si="26"/>
        <v/>
      </c>
      <c r="M400">
        <f t="shared" si="27"/>
        <v>0</v>
      </c>
      <c r="N400" t="str" cm="1">
        <f t="array" ref="N400">_xlfn.LET(_xlpm.total,SUM(I400:L400),_xlpm.maxv,MAX(I400:L400),IF(_xlpm.total=0,"",IF(_xlpm.maxv/_xlpm.total&lt;0.5,"Mixed-Class",_xlfn.IFS(_xlpm.maxv=I400,"Assault",_xlpm.maxv=J400,"Engineer",_xlpm.maxv=K400,"Recon",_xlpm.maxv=L400,"Support"))))</f>
        <v/>
      </c>
      <c r="O400" t="str">
        <f t="shared" si="28"/>
        <v/>
      </c>
      <c r="P400" s="28" t="str">
        <f t="shared" si="29"/>
        <v/>
      </c>
    </row>
    <row r="401" spans="2:16" x14ac:dyDescent="0.25">
      <c r="B401">
        <v>3997</v>
      </c>
      <c r="H401" t="str">
        <f t="shared" si="26"/>
        <v/>
      </c>
      <c r="M401">
        <f t="shared" si="27"/>
        <v>0</v>
      </c>
      <c r="N401" t="str" cm="1">
        <f t="array" ref="N401">_xlfn.LET(_xlpm.total,SUM(I401:L401),_xlpm.maxv,MAX(I401:L401),IF(_xlpm.total=0,"",IF(_xlpm.maxv/_xlpm.total&lt;0.5,"Mixed-Class",_xlfn.IFS(_xlpm.maxv=I401,"Assault",_xlpm.maxv=J401,"Engineer",_xlpm.maxv=K401,"Recon",_xlpm.maxv=L401,"Support"))))</f>
        <v/>
      </c>
      <c r="O401" t="str">
        <f t="shared" si="28"/>
        <v/>
      </c>
      <c r="P401" s="28" t="str">
        <f t="shared" si="29"/>
        <v/>
      </c>
    </row>
    <row r="402" spans="2:16" x14ac:dyDescent="0.25">
      <c r="B402">
        <v>4007</v>
      </c>
      <c r="H402" t="str">
        <f t="shared" si="26"/>
        <v/>
      </c>
      <c r="M402">
        <f t="shared" si="27"/>
        <v>0</v>
      </c>
      <c r="N402" t="str" cm="1">
        <f t="array" ref="N402">_xlfn.LET(_xlpm.total,SUM(I402:L402),_xlpm.maxv,MAX(I402:L402),IF(_xlpm.total=0,"",IF(_xlpm.maxv/_xlpm.total&lt;0.5,"Mixed-Class",_xlfn.IFS(_xlpm.maxv=I402,"Assault",_xlpm.maxv=J402,"Engineer",_xlpm.maxv=K402,"Recon",_xlpm.maxv=L402,"Support"))))</f>
        <v/>
      </c>
      <c r="O402" t="str">
        <f t="shared" si="28"/>
        <v/>
      </c>
      <c r="P402" s="28" t="str">
        <f t="shared" si="29"/>
        <v/>
      </c>
    </row>
    <row r="403" spans="2:16" x14ac:dyDescent="0.25">
      <c r="B403">
        <v>4017</v>
      </c>
      <c r="H403" t="str">
        <f t="shared" si="26"/>
        <v/>
      </c>
      <c r="M403">
        <f t="shared" si="27"/>
        <v>0</v>
      </c>
      <c r="N403" t="str" cm="1">
        <f t="array" ref="N403">_xlfn.LET(_xlpm.total,SUM(I403:L403),_xlpm.maxv,MAX(I403:L403),IF(_xlpm.total=0,"",IF(_xlpm.maxv/_xlpm.total&lt;0.5,"Mixed-Class",_xlfn.IFS(_xlpm.maxv=I403,"Assault",_xlpm.maxv=J403,"Engineer",_xlpm.maxv=K403,"Recon",_xlpm.maxv=L403,"Support"))))</f>
        <v/>
      </c>
      <c r="O403" t="str">
        <f t="shared" si="28"/>
        <v/>
      </c>
      <c r="P403" s="28" t="str">
        <f t="shared" si="29"/>
        <v/>
      </c>
    </row>
    <row r="404" spans="2:16" x14ac:dyDescent="0.25">
      <c r="B404">
        <v>4027</v>
      </c>
      <c r="H404" t="str">
        <f t="shared" si="26"/>
        <v/>
      </c>
      <c r="M404">
        <f t="shared" si="27"/>
        <v>0</v>
      </c>
      <c r="N404" t="str" cm="1">
        <f t="array" ref="N404">_xlfn.LET(_xlpm.total,SUM(I404:L404),_xlpm.maxv,MAX(I404:L404),IF(_xlpm.total=0,"",IF(_xlpm.maxv/_xlpm.total&lt;0.5,"Mixed-Class",_xlfn.IFS(_xlpm.maxv=I404,"Assault",_xlpm.maxv=J404,"Engineer",_xlpm.maxv=K404,"Recon",_xlpm.maxv=L404,"Support"))))</f>
        <v/>
      </c>
      <c r="O404" t="str">
        <f t="shared" si="28"/>
        <v/>
      </c>
      <c r="P404" s="28" t="str">
        <f t="shared" si="29"/>
        <v/>
      </c>
    </row>
    <row r="405" spans="2:16" x14ac:dyDescent="0.25">
      <c r="B405">
        <v>4037</v>
      </c>
      <c r="H405" t="str">
        <f t="shared" si="26"/>
        <v/>
      </c>
      <c r="M405">
        <f t="shared" si="27"/>
        <v>0</v>
      </c>
      <c r="N405" t="str" cm="1">
        <f t="array" ref="N405">_xlfn.LET(_xlpm.total,SUM(I405:L405),_xlpm.maxv,MAX(I405:L405),IF(_xlpm.total=0,"",IF(_xlpm.maxv/_xlpm.total&lt;0.5,"Mixed-Class",_xlfn.IFS(_xlpm.maxv=I405,"Assault",_xlpm.maxv=J405,"Engineer",_xlpm.maxv=K405,"Recon",_xlpm.maxv=L405,"Support"))))</f>
        <v/>
      </c>
      <c r="O405" t="str">
        <f t="shared" si="28"/>
        <v/>
      </c>
      <c r="P405" s="28" t="str">
        <f t="shared" si="29"/>
        <v/>
      </c>
    </row>
    <row r="406" spans="2:16" x14ac:dyDescent="0.25">
      <c r="B406">
        <v>4047</v>
      </c>
      <c r="H406" t="str">
        <f t="shared" si="26"/>
        <v/>
      </c>
      <c r="M406">
        <f t="shared" si="27"/>
        <v>0</v>
      </c>
      <c r="N406" t="str" cm="1">
        <f t="array" ref="N406">_xlfn.LET(_xlpm.total,SUM(I406:L406),_xlpm.maxv,MAX(I406:L406),IF(_xlpm.total=0,"",IF(_xlpm.maxv/_xlpm.total&lt;0.5,"Mixed-Class",_xlfn.IFS(_xlpm.maxv=I406,"Assault",_xlpm.maxv=J406,"Engineer",_xlpm.maxv=K406,"Recon",_xlpm.maxv=L406,"Support"))))</f>
        <v/>
      </c>
      <c r="O406" t="str">
        <f t="shared" si="28"/>
        <v/>
      </c>
      <c r="P406" s="28" t="str">
        <f t="shared" si="29"/>
        <v/>
      </c>
    </row>
    <row r="407" spans="2:16" x14ac:dyDescent="0.25">
      <c r="B407">
        <v>4057</v>
      </c>
      <c r="H407" t="str">
        <f t="shared" si="26"/>
        <v/>
      </c>
      <c r="M407">
        <f t="shared" si="27"/>
        <v>0</v>
      </c>
      <c r="N407" t="str" cm="1">
        <f t="array" ref="N407">_xlfn.LET(_xlpm.total,SUM(I407:L407),_xlpm.maxv,MAX(I407:L407),IF(_xlpm.total=0,"",IF(_xlpm.maxv/_xlpm.total&lt;0.5,"Mixed-Class",_xlfn.IFS(_xlpm.maxv=I407,"Assault",_xlpm.maxv=J407,"Engineer",_xlpm.maxv=K407,"Recon",_xlpm.maxv=L407,"Support"))))</f>
        <v/>
      </c>
      <c r="O407" t="str">
        <f t="shared" si="28"/>
        <v/>
      </c>
      <c r="P407" s="28" t="str">
        <f t="shared" si="29"/>
        <v/>
      </c>
    </row>
    <row r="408" spans="2:16" x14ac:dyDescent="0.25">
      <c r="B408">
        <v>4067</v>
      </c>
      <c r="H408" t="str">
        <f t="shared" si="26"/>
        <v/>
      </c>
      <c r="M408">
        <f t="shared" si="27"/>
        <v>0</v>
      </c>
      <c r="N408" t="str" cm="1">
        <f t="array" ref="N408">_xlfn.LET(_xlpm.total,SUM(I408:L408),_xlpm.maxv,MAX(I408:L408),IF(_xlpm.total=0,"",IF(_xlpm.maxv/_xlpm.total&lt;0.5,"Mixed-Class",_xlfn.IFS(_xlpm.maxv=I408,"Assault",_xlpm.maxv=J408,"Engineer",_xlpm.maxv=K408,"Recon",_xlpm.maxv=L408,"Support"))))</f>
        <v/>
      </c>
      <c r="O408" t="str">
        <f t="shared" si="28"/>
        <v/>
      </c>
      <c r="P408" s="28" t="str">
        <f t="shared" si="29"/>
        <v/>
      </c>
    </row>
    <row r="409" spans="2:16" x14ac:dyDescent="0.25">
      <c r="B409">
        <v>4077</v>
      </c>
      <c r="H409" t="str">
        <f t="shared" si="26"/>
        <v/>
      </c>
      <c r="M409">
        <f t="shared" si="27"/>
        <v>0</v>
      </c>
      <c r="N409" t="str" cm="1">
        <f t="array" ref="N409">_xlfn.LET(_xlpm.total,SUM(I409:L409),_xlpm.maxv,MAX(I409:L409),IF(_xlpm.total=0,"",IF(_xlpm.maxv/_xlpm.total&lt;0.5,"Mixed-Class",_xlfn.IFS(_xlpm.maxv=I409,"Assault",_xlpm.maxv=J409,"Engineer",_xlpm.maxv=K409,"Recon",_xlpm.maxv=L409,"Support"))))</f>
        <v/>
      </c>
      <c r="O409" t="str">
        <f t="shared" si="28"/>
        <v/>
      </c>
      <c r="P409" s="28" t="str">
        <f t="shared" si="29"/>
        <v/>
      </c>
    </row>
    <row r="410" spans="2:16" x14ac:dyDescent="0.25">
      <c r="B410">
        <v>4087</v>
      </c>
      <c r="H410" t="str">
        <f t="shared" si="26"/>
        <v/>
      </c>
      <c r="M410">
        <f t="shared" si="27"/>
        <v>0</v>
      </c>
      <c r="N410" t="str" cm="1">
        <f t="array" ref="N410">_xlfn.LET(_xlpm.total,SUM(I410:L410),_xlpm.maxv,MAX(I410:L410),IF(_xlpm.total=0,"",IF(_xlpm.maxv/_xlpm.total&lt;0.5,"Mixed-Class",_xlfn.IFS(_xlpm.maxv=I410,"Assault",_xlpm.maxv=J410,"Engineer",_xlpm.maxv=K410,"Recon",_xlpm.maxv=L410,"Support"))))</f>
        <v/>
      </c>
      <c r="O410" t="str">
        <f t="shared" si="28"/>
        <v/>
      </c>
      <c r="P410" s="28" t="str">
        <f t="shared" si="29"/>
        <v/>
      </c>
    </row>
    <row r="411" spans="2:16" x14ac:dyDescent="0.25">
      <c r="B411">
        <v>4097</v>
      </c>
      <c r="H411" t="str">
        <f t="shared" si="26"/>
        <v/>
      </c>
      <c r="M411">
        <f t="shared" si="27"/>
        <v>0</v>
      </c>
      <c r="N411" t="str" cm="1">
        <f t="array" ref="N411">_xlfn.LET(_xlpm.total,SUM(I411:L411),_xlpm.maxv,MAX(I411:L411),IF(_xlpm.total=0,"",IF(_xlpm.maxv/_xlpm.total&lt;0.5,"Mixed-Class",_xlfn.IFS(_xlpm.maxv=I411,"Assault",_xlpm.maxv=J411,"Engineer",_xlpm.maxv=K411,"Recon",_xlpm.maxv=L411,"Support"))))</f>
        <v/>
      </c>
      <c r="O411" t="str">
        <f t="shared" si="28"/>
        <v/>
      </c>
      <c r="P411" s="28" t="str">
        <f t="shared" si="29"/>
        <v/>
      </c>
    </row>
    <row r="412" spans="2:16" x14ac:dyDescent="0.25">
      <c r="B412">
        <v>4107</v>
      </c>
      <c r="H412" t="str">
        <f t="shared" si="26"/>
        <v/>
      </c>
      <c r="M412">
        <f t="shared" si="27"/>
        <v>0</v>
      </c>
      <c r="N412" t="str" cm="1">
        <f t="array" ref="N412">_xlfn.LET(_xlpm.total,SUM(I412:L412),_xlpm.maxv,MAX(I412:L412),IF(_xlpm.total=0,"",IF(_xlpm.maxv/_xlpm.total&lt;0.5,"Mixed-Class",_xlfn.IFS(_xlpm.maxv=I412,"Assault",_xlpm.maxv=J412,"Engineer",_xlpm.maxv=K412,"Recon",_xlpm.maxv=L412,"Support"))))</f>
        <v/>
      </c>
      <c r="O412" t="str">
        <f t="shared" si="28"/>
        <v/>
      </c>
      <c r="P412" s="28" t="str">
        <f t="shared" si="29"/>
        <v/>
      </c>
    </row>
    <row r="413" spans="2:16" x14ac:dyDescent="0.25">
      <c r="B413">
        <v>4117</v>
      </c>
      <c r="H413" t="str">
        <f t="shared" si="26"/>
        <v/>
      </c>
      <c r="M413">
        <f t="shared" si="27"/>
        <v>0</v>
      </c>
      <c r="N413" t="str" cm="1">
        <f t="array" ref="N413">_xlfn.LET(_xlpm.total,SUM(I413:L413),_xlpm.maxv,MAX(I413:L413),IF(_xlpm.total=0,"",IF(_xlpm.maxv/_xlpm.total&lt;0.5,"Mixed-Class",_xlfn.IFS(_xlpm.maxv=I413,"Assault",_xlpm.maxv=J413,"Engineer",_xlpm.maxv=K413,"Recon",_xlpm.maxv=L413,"Support"))))</f>
        <v/>
      </c>
      <c r="O413" t="str">
        <f t="shared" si="28"/>
        <v/>
      </c>
      <c r="P413" s="28" t="str">
        <f t="shared" si="29"/>
        <v/>
      </c>
    </row>
    <row r="414" spans="2:16" x14ac:dyDescent="0.25">
      <c r="B414">
        <v>4127</v>
      </c>
      <c r="H414" t="str">
        <f t="shared" si="26"/>
        <v/>
      </c>
      <c r="M414">
        <f t="shared" si="27"/>
        <v>0</v>
      </c>
      <c r="N414" t="str" cm="1">
        <f t="array" ref="N414">_xlfn.LET(_xlpm.total,SUM(I414:L414),_xlpm.maxv,MAX(I414:L414),IF(_xlpm.total=0,"",IF(_xlpm.maxv/_xlpm.total&lt;0.5,"Mixed-Class",_xlfn.IFS(_xlpm.maxv=I414,"Assault",_xlpm.maxv=J414,"Engineer",_xlpm.maxv=K414,"Recon",_xlpm.maxv=L414,"Support"))))</f>
        <v/>
      </c>
      <c r="O414" t="str">
        <f t="shared" si="28"/>
        <v/>
      </c>
      <c r="P414" s="28" t="str">
        <f t="shared" si="29"/>
        <v/>
      </c>
    </row>
    <row r="415" spans="2:16" x14ac:dyDescent="0.25">
      <c r="B415">
        <v>4137</v>
      </c>
      <c r="H415" t="str">
        <f t="shared" si="26"/>
        <v/>
      </c>
      <c r="M415">
        <f t="shared" si="27"/>
        <v>0</v>
      </c>
      <c r="N415" t="str" cm="1">
        <f t="array" ref="N415">_xlfn.LET(_xlpm.total,SUM(I415:L415),_xlpm.maxv,MAX(I415:L415),IF(_xlpm.total=0,"",IF(_xlpm.maxv/_xlpm.total&lt;0.5,"Mixed-Class",_xlfn.IFS(_xlpm.maxv=I415,"Assault",_xlpm.maxv=J415,"Engineer",_xlpm.maxv=K415,"Recon",_xlpm.maxv=L415,"Support"))))</f>
        <v/>
      </c>
      <c r="O415" t="str">
        <f t="shared" si="28"/>
        <v/>
      </c>
      <c r="P415" s="28" t="str">
        <f t="shared" si="29"/>
        <v/>
      </c>
    </row>
    <row r="416" spans="2:16" x14ac:dyDescent="0.25">
      <c r="B416">
        <v>4147</v>
      </c>
      <c r="H416" t="str">
        <f t="shared" si="26"/>
        <v/>
      </c>
      <c r="M416">
        <f t="shared" si="27"/>
        <v>0</v>
      </c>
      <c r="N416" t="str" cm="1">
        <f t="array" ref="N416">_xlfn.LET(_xlpm.total,SUM(I416:L416),_xlpm.maxv,MAX(I416:L416),IF(_xlpm.total=0,"",IF(_xlpm.maxv/_xlpm.total&lt;0.5,"Mixed-Class",_xlfn.IFS(_xlpm.maxv=I416,"Assault",_xlpm.maxv=J416,"Engineer",_xlpm.maxv=K416,"Recon",_xlpm.maxv=L416,"Support"))))</f>
        <v/>
      </c>
      <c r="O416" t="str">
        <f t="shared" si="28"/>
        <v/>
      </c>
      <c r="P416" s="28" t="str">
        <f t="shared" si="29"/>
        <v/>
      </c>
    </row>
    <row r="417" spans="2:16" x14ac:dyDescent="0.25">
      <c r="B417">
        <v>4157</v>
      </c>
      <c r="H417" t="str">
        <f t="shared" si="26"/>
        <v/>
      </c>
      <c r="M417">
        <f t="shared" si="27"/>
        <v>0</v>
      </c>
      <c r="N417" t="str" cm="1">
        <f t="array" ref="N417">_xlfn.LET(_xlpm.total,SUM(I417:L417),_xlpm.maxv,MAX(I417:L417),IF(_xlpm.total=0,"",IF(_xlpm.maxv/_xlpm.total&lt;0.5,"Mixed-Class",_xlfn.IFS(_xlpm.maxv=I417,"Assault",_xlpm.maxv=J417,"Engineer",_xlpm.maxv=K417,"Recon",_xlpm.maxv=L417,"Support"))))</f>
        <v/>
      </c>
      <c r="O417" t="str">
        <f t="shared" si="28"/>
        <v/>
      </c>
      <c r="P417" s="28" t="str">
        <f t="shared" si="29"/>
        <v/>
      </c>
    </row>
    <row r="418" spans="2:16" x14ac:dyDescent="0.25">
      <c r="B418">
        <v>4167</v>
      </c>
      <c r="H418" t="str">
        <f t="shared" si="26"/>
        <v/>
      </c>
      <c r="M418">
        <f t="shared" si="27"/>
        <v>0</v>
      </c>
      <c r="N418" t="str" cm="1">
        <f t="array" ref="N418">_xlfn.LET(_xlpm.total,SUM(I418:L418),_xlpm.maxv,MAX(I418:L418),IF(_xlpm.total=0,"",IF(_xlpm.maxv/_xlpm.total&lt;0.5,"Mixed-Class",_xlfn.IFS(_xlpm.maxv=I418,"Assault",_xlpm.maxv=J418,"Engineer",_xlpm.maxv=K418,"Recon",_xlpm.maxv=L418,"Support"))))</f>
        <v/>
      </c>
      <c r="O418" t="str">
        <f t="shared" si="28"/>
        <v/>
      </c>
      <c r="P418" s="28" t="str">
        <f t="shared" si="29"/>
        <v/>
      </c>
    </row>
    <row r="419" spans="2:16" x14ac:dyDescent="0.25">
      <c r="B419">
        <v>4177</v>
      </c>
      <c r="H419" t="str">
        <f t="shared" si="26"/>
        <v/>
      </c>
      <c r="M419">
        <f t="shared" si="27"/>
        <v>0</v>
      </c>
      <c r="N419" t="str" cm="1">
        <f t="array" ref="N419">_xlfn.LET(_xlpm.total,SUM(I419:L419),_xlpm.maxv,MAX(I419:L419),IF(_xlpm.total=0,"",IF(_xlpm.maxv/_xlpm.total&lt;0.5,"Mixed-Class",_xlfn.IFS(_xlpm.maxv=I419,"Assault",_xlpm.maxv=J419,"Engineer",_xlpm.maxv=K419,"Recon",_xlpm.maxv=L419,"Support"))))</f>
        <v/>
      </c>
      <c r="O419" t="str">
        <f t="shared" si="28"/>
        <v/>
      </c>
      <c r="P419" s="28" t="str">
        <f t="shared" si="29"/>
        <v/>
      </c>
    </row>
    <row r="420" spans="2:16" x14ac:dyDescent="0.25">
      <c r="B420">
        <v>4187</v>
      </c>
      <c r="H420" t="str">
        <f t="shared" si="26"/>
        <v/>
      </c>
      <c r="M420">
        <f t="shared" si="27"/>
        <v>0</v>
      </c>
      <c r="N420" t="str" cm="1">
        <f t="array" ref="N420">_xlfn.LET(_xlpm.total,SUM(I420:L420),_xlpm.maxv,MAX(I420:L420),IF(_xlpm.total=0,"",IF(_xlpm.maxv/_xlpm.total&lt;0.5,"Mixed-Class",_xlfn.IFS(_xlpm.maxv=I420,"Assault",_xlpm.maxv=J420,"Engineer",_xlpm.maxv=K420,"Recon",_xlpm.maxv=L420,"Support"))))</f>
        <v/>
      </c>
      <c r="O420" t="str">
        <f t="shared" si="28"/>
        <v/>
      </c>
      <c r="P420" s="28" t="str">
        <f t="shared" si="29"/>
        <v/>
      </c>
    </row>
    <row r="421" spans="2:16" x14ac:dyDescent="0.25">
      <c r="B421">
        <v>4197</v>
      </c>
      <c r="H421" t="str">
        <f t="shared" si="26"/>
        <v/>
      </c>
      <c r="M421">
        <f t="shared" si="27"/>
        <v>0</v>
      </c>
      <c r="N421" t="str" cm="1">
        <f t="array" ref="N421">_xlfn.LET(_xlpm.total,SUM(I421:L421),_xlpm.maxv,MAX(I421:L421),IF(_xlpm.total=0,"",IF(_xlpm.maxv/_xlpm.total&lt;0.5,"Mixed-Class",_xlfn.IFS(_xlpm.maxv=I421,"Assault",_xlpm.maxv=J421,"Engineer",_xlpm.maxv=K421,"Recon",_xlpm.maxv=L421,"Support"))))</f>
        <v/>
      </c>
      <c r="O421" t="str">
        <f t="shared" si="28"/>
        <v/>
      </c>
      <c r="P421" s="28" t="str">
        <f t="shared" si="29"/>
        <v/>
      </c>
    </row>
    <row r="422" spans="2:16" x14ac:dyDescent="0.25">
      <c r="B422">
        <v>4207</v>
      </c>
      <c r="H422" t="str">
        <f t="shared" si="26"/>
        <v/>
      </c>
      <c r="M422">
        <f t="shared" si="27"/>
        <v>0</v>
      </c>
      <c r="N422" t="str" cm="1">
        <f t="array" ref="N422">_xlfn.LET(_xlpm.total,SUM(I422:L422),_xlpm.maxv,MAX(I422:L422),IF(_xlpm.total=0,"",IF(_xlpm.maxv/_xlpm.total&lt;0.5,"Mixed-Class",_xlfn.IFS(_xlpm.maxv=I422,"Assault",_xlpm.maxv=J422,"Engineer",_xlpm.maxv=K422,"Recon",_xlpm.maxv=L422,"Support"))))</f>
        <v/>
      </c>
      <c r="O422" t="str">
        <f t="shared" si="28"/>
        <v/>
      </c>
      <c r="P422" s="28" t="str">
        <f t="shared" si="29"/>
        <v/>
      </c>
    </row>
    <row r="423" spans="2:16" x14ac:dyDescent="0.25">
      <c r="B423">
        <v>4217</v>
      </c>
      <c r="H423" t="str">
        <f t="shared" si="26"/>
        <v/>
      </c>
      <c r="M423">
        <f t="shared" si="27"/>
        <v>0</v>
      </c>
      <c r="N423" t="str" cm="1">
        <f t="array" ref="N423">_xlfn.LET(_xlpm.total,SUM(I423:L423),_xlpm.maxv,MAX(I423:L423),IF(_xlpm.total=0,"",IF(_xlpm.maxv/_xlpm.total&lt;0.5,"Mixed-Class",_xlfn.IFS(_xlpm.maxv=I423,"Assault",_xlpm.maxv=J423,"Engineer",_xlpm.maxv=K423,"Recon",_xlpm.maxv=L423,"Support"))))</f>
        <v/>
      </c>
      <c r="O423" t="str">
        <f t="shared" si="28"/>
        <v/>
      </c>
      <c r="P423" s="28" t="str">
        <f t="shared" si="29"/>
        <v/>
      </c>
    </row>
    <row r="424" spans="2:16" x14ac:dyDescent="0.25">
      <c r="B424">
        <v>4227</v>
      </c>
      <c r="H424" t="str">
        <f t="shared" si="26"/>
        <v/>
      </c>
      <c r="M424">
        <f t="shared" si="27"/>
        <v>0</v>
      </c>
      <c r="N424" t="str" cm="1">
        <f t="array" ref="N424">_xlfn.LET(_xlpm.total,SUM(I424:L424),_xlpm.maxv,MAX(I424:L424),IF(_xlpm.total=0,"",IF(_xlpm.maxv/_xlpm.total&lt;0.5,"Mixed-Class",_xlfn.IFS(_xlpm.maxv=I424,"Assault",_xlpm.maxv=J424,"Engineer",_xlpm.maxv=K424,"Recon",_xlpm.maxv=L424,"Support"))))</f>
        <v/>
      </c>
      <c r="O424" t="str">
        <f t="shared" si="28"/>
        <v/>
      </c>
      <c r="P424" s="28" t="str">
        <f t="shared" si="29"/>
        <v/>
      </c>
    </row>
    <row r="425" spans="2:16" x14ac:dyDescent="0.25">
      <c r="B425">
        <v>4237</v>
      </c>
      <c r="H425" t="str">
        <f t="shared" si="26"/>
        <v/>
      </c>
      <c r="M425">
        <f t="shared" si="27"/>
        <v>0</v>
      </c>
      <c r="N425" t="str" cm="1">
        <f t="array" ref="N425">_xlfn.LET(_xlpm.total,SUM(I425:L425),_xlpm.maxv,MAX(I425:L425),IF(_xlpm.total=0,"",IF(_xlpm.maxv/_xlpm.total&lt;0.5,"Mixed-Class",_xlfn.IFS(_xlpm.maxv=I425,"Assault",_xlpm.maxv=J425,"Engineer",_xlpm.maxv=K425,"Recon",_xlpm.maxv=L425,"Support"))))</f>
        <v/>
      </c>
      <c r="O425" t="str">
        <f t="shared" si="28"/>
        <v/>
      </c>
      <c r="P425" s="28" t="str">
        <f t="shared" si="29"/>
        <v/>
      </c>
    </row>
    <row r="426" spans="2:16" x14ac:dyDescent="0.25">
      <c r="B426">
        <v>4247</v>
      </c>
      <c r="H426" t="str">
        <f t="shared" si="26"/>
        <v/>
      </c>
      <c r="M426">
        <f t="shared" si="27"/>
        <v>0</v>
      </c>
      <c r="N426" t="str" cm="1">
        <f t="array" ref="N426">_xlfn.LET(_xlpm.total,SUM(I426:L426),_xlpm.maxv,MAX(I426:L426),IF(_xlpm.total=0,"",IF(_xlpm.maxv/_xlpm.total&lt;0.5,"Mixed-Class",_xlfn.IFS(_xlpm.maxv=I426,"Assault",_xlpm.maxv=J426,"Engineer",_xlpm.maxv=K426,"Recon",_xlpm.maxv=L426,"Support"))))</f>
        <v/>
      </c>
      <c r="O426" t="str">
        <f t="shared" si="28"/>
        <v/>
      </c>
      <c r="P426" s="28" t="str">
        <f t="shared" si="29"/>
        <v/>
      </c>
    </row>
    <row r="427" spans="2:16" x14ac:dyDescent="0.25">
      <c r="B427">
        <v>4257</v>
      </c>
      <c r="H427" t="str">
        <f t="shared" si="26"/>
        <v/>
      </c>
      <c r="M427">
        <f t="shared" si="27"/>
        <v>0</v>
      </c>
      <c r="N427" t="str" cm="1">
        <f t="array" ref="N427">_xlfn.LET(_xlpm.total,SUM(I427:L427),_xlpm.maxv,MAX(I427:L427),IF(_xlpm.total=0,"",IF(_xlpm.maxv/_xlpm.total&lt;0.5,"Mixed-Class",_xlfn.IFS(_xlpm.maxv=I427,"Assault",_xlpm.maxv=J427,"Engineer",_xlpm.maxv=K427,"Recon",_xlpm.maxv=L427,"Support"))))</f>
        <v/>
      </c>
      <c r="O427" t="str">
        <f t="shared" si="28"/>
        <v/>
      </c>
      <c r="P427" s="28" t="str">
        <f t="shared" si="29"/>
        <v/>
      </c>
    </row>
    <row r="428" spans="2:16" x14ac:dyDescent="0.25">
      <c r="B428">
        <v>4267</v>
      </c>
      <c r="H428" t="str">
        <f t="shared" si="26"/>
        <v/>
      </c>
      <c r="M428">
        <f t="shared" si="27"/>
        <v>0</v>
      </c>
      <c r="N428" t="str" cm="1">
        <f t="array" ref="N428">_xlfn.LET(_xlpm.total,SUM(I428:L428),_xlpm.maxv,MAX(I428:L428),IF(_xlpm.total=0,"",IF(_xlpm.maxv/_xlpm.total&lt;0.5,"Mixed-Class",_xlfn.IFS(_xlpm.maxv=I428,"Assault",_xlpm.maxv=J428,"Engineer",_xlpm.maxv=K428,"Recon",_xlpm.maxv=L428,"Support"))))</f>
        <v/>
      </c>
      <c r="O428" t="str">
        <f t="shared" si="28"/>
        <v/>
      </c>
      <c r="P428" s="28" t="str">
        <f t="shared" si="29"/>
        <v/>
      </c>
    </row>
    <row r="429" spans="2:16" x14ac:dyDescent="0.25">
      <c r="B429">
        <v>4277</v>
      </c>
      <c r="H429" t="str">
        <f t="shared" si="26"/>
        <v/>
      </c>
      <c r="M429">
        <f t="shared" si="27"/>
        <v>0</v>
      </c>
      <c r="N429" t="str" cm="1">
        <f t="array" ref="N429">_xlfn.LET(_xlpm.total,SUM(I429:L429),_xlpm.maxv,MAX(I429:L429),IF(_xlpm.total=0,"",IF(_xlpm.maxv/_xlpm.total&lt;0.5,"Mixed-Class",_xlfn.IFS(_xlpm.maxv=I429,"Assault",_xlpm.maxv=J429,"Engineer",_xlpm.maxv=K429,"Recon",_xlpm.maxv=L429,"Support"))))</f>
        <v/>
      </c>
      <c r="O429" t="str">
        <f t="shared" si="28"/>
        <v/>
      </c>
      <c r="P429" s="28" t="str">
        <f t="shared" si="29"/>
        <v/>
      </c>
    </row>
    <row r="430" spans="2:16" x14ac:dyDescent="0.25">
      <c r="B430">
        <v>4287</v>
      </c>
      <c r="H430" t="str">
        <f t="shared" si="26"/>
        <v/>
      </c>
      <c r="M430">
        <f t="shared" si="27"/>
        <v>0</v>
      </c>
      <c r="N430" t="str" cm="1">
        <f t="array" ref="N430">_xlfn.LET(_xlpm.total,SUM(I430:L430),_xlpm.maxv,MAX(I430:L430),IF(_xlpm.total=0,"",IF(_xlpm.maxv/_xlpm.total&lt;0.5,"Mixed-Class",_xlfn.IFS(_xlpm.maxv=I430,"Assault",_xlpm.maxv=J430,"Engineer",_xlpm.maxv=K430,"Recon",_xlpm.maxv=L430,"Support"))))</f>
        <v/>
      </c>
      <c r="O430" t="str">
        <f t="shared" si="28"/>
        <v/>
      </c>
      <c r="P430" s="28" t="str">
        <f t="shared" si="29"/>
        <v/>
      </c>
    </row>
    <row r="431" spans="2:16" x14ac:dyDescent="0.25">
      <c r="B431">
        <v>4297</v>
      </c>
      <c r="H431" t="str">
        <f t="shared" si="26"/>
        <v/>
      </c>
      <c r="M431">
        <f t="shared" si="27"/>
        <v>0</v>
      </c>
      <c r="N431" t="str" cm="1">
        <f t="array" ref="N431">_xlfn.LET(_xlpm.total,SUM(I431:L431),_xlpm.maxv,MAX(I431:L431),IF(_xlpm.total=0,"",IF(_xlpm.maxv/_xlpm.total&lt;0.5,"Mixed-Class",_xlfn.IFS(_xlpm.maxv=I431,"Assault",_xlpm.maxv=J431,"Engineer",_xlpm.maxv=K431,"Recon",_xlpm.maxv=L431,"Support"))))</f>
        <v/>
      </c>
      <c r="O431" t="str">
        <f t="shared" si="28"/>
        <v/>
      </c>
      <c r="P431" s="28" t="str">
        <f t="shared" si="29"/>
        <v/>
      </c>
    </row>
    <row r="432" spans="2:16" x14ac:dyDescent="0.25">
      <c r="B432">
        <v>4307</v>
      </c>
      <c r="H432" t="str">
        <f t="shared" si="26"/>
        <v/>
      </c>
      <c r="M432">
        <f t="shared" si="27"/>
        <v>0</v>
      </c>
      <c r="N432" t="str" cm="1">
        <f t="array" ref="N432">_xlfn.LET(_xlpm.total,SUM(I432:L432),_xlpm.maxv,MAX(I432:L432),IF(_xlpm.total=0,"",IF(_xlpm.maxv/_xlpm.total&lt;0.5,"Mixed-Class",_xlfn.IFS(_xlpm.maxv=I432,"Assault",_xlpm.maxv=J432,"Engineer",_xlpm.maxv=K432,"Recon",_xlpm.maxv=L432,"Support"))))</f>
        <v/>
      </c>
      <c r="O432" t="str">
        <f t="shared" si="28"/>
        <v/>
      </c>
      <c r="P432" s="28" t="str">
        <f t="shared" si="29"/>
        <v/>
      </c>
    </row>
    <row r="433" spans="2:16" x14ac:dyDescent="0.25">
      <c r="B433">
        <v>4317</v>
      </c>
      <c r="H433" t="str">
        <f t="shared" si="26"/>
        <v/>
      </c>
      <c r="M433">
        <f t="shared" si="27"/>
        <v>0</v>
      </c>
      <c r="N433" t="str" cm="1">
        <f t="array" ref="N433">_xlfn.LET(_xlpm.total,SUM(I433:L433),_xlpm.maxv,MAX(I433:L433),IF(_xlpm.total=0,"",IF(_xlpm.maxv/_xlpm.total&lt;0.5,"Mixed-Class",_xlfn.IFS(_xlpm.maxv=I433,"Assault",_xlpm.maxv=J433,"Engineer",_xlpm.maxv=K433,"Recon",_xlpm.maxv=L433,"Support"))))</f>
        <v/>
      </c>
      <c r="O433" t="str">
        <f t="shared" si="28"/>
        <v/>
      </c>
      <c r="P433" s="28" t="str">
        <f t="shared" si="29"/>
        <v/>
      </c>
    </row>
    <row r="434" spans="2:16" x14ac:dyDescent="0.25">
      <c r="B434">
        <v>4327</v>
      </c>
      <c r="H434" t="str">
        <f t="shared" si="26"/>
        <v/>
      </c>
      <c r="M434">
        <f t="shared" si="27"/>
        <v>0</v>
      </c>
      <c r="N434" t="str" cm="1">
        <f t="array" ref="N434">_xlfn.LET(_xlpm.total,SUM(I434:L434),_xlpm.maxv,MAX(I434:L434),IF(_xlpm.total=0,"",IF(_xlpm.maxv/_xlpm.total&lt;0.5,"Mixed-Class",_xlfn.IFS(_xlpm.maxv=I434,"Assault",_xlpm.maxv=J434,"Engineer",_xlpm.maxv=K434,"Recon",_xlpm.maxv=L434,"Support"))))</f>
        <v/>
      </c>
      <c r="O434" t="str">
        <f t="shared" si="28"/>
        <v/>
      </c>
      <c r="P434" s="28" t="str">
        <f t="shared" si="29"/>
        <v/>
      </c>
    </row>
    <row r="435" spans="2:16" x14ac:dyDescent="0.25">
      <c r="B435">
        <v>4337</v>
      </c>
      <c r="H435" t="str">
        <f t="shared" si="26"/>
        <v/>
      </c>
      <c r="M435">
        <f t="shared" si="27"/>
        <v>0</v>
      </c>
      <c r="N435" t="str" cm="1">
        <f t="array" ref="N435">_xlfn.LET(_xlpm.total,SUM(I435:L435),_xlpm.maxv,MAX(I435:L435),IF(_xlpm.total=0,"",IF(_xlpm.maxv/_xlpm.total&lt;0.5,"Mixed-Class",_xlfn.IFS(_xlpm.maxv=I435,"Assault",_xlpm.maxv=J435,"Engineer",_xlpm.maxv=K435,"Recon",_xlpm.maxv=L435,"Support"))))</f>
        <v/>
      </c>
      <c r="O435" t="str">
        <f t="shared" si="28"/>
        <v/>
      </c>
      <c r="P435" s="28" t="str">
        <f t="shared" si="29"/>
        <v/>
      </c>
    </row>
    <row r="436" spans="2:16" x14ac:dyDescent="0.25">
      <c r="B436">
        <v>4347</v>
      </c>
      <c r="H436" t="str">
        <f t="shared" si="26"/>
        <v/>
      </c>
      <c r="M436">
        <f t="shared" si="27"/>
        <v>0</v>
      </c>
      <c r="N436" t="str" cm="1">
        <f t="array" ref="N436">_xlfn.LET(_xlpm.total,SUM(I436:L436),_xlpm.maxv,MAX(I436:L436),IF(_xlpm.total=0,"",IF(_xlpm.maxv/_xlpm.total&lt;0.5,"Mixed-Class",_xlfn.IFS(_xlpm.maxv=I436,"Assault",_xlpm.maxv=J436,"Engineer",_xlpm.maxv=K436,"Recon",_xlpm.maxv=L436,"Support"))))</f>
        <v/>
      </c>
      <c r="O436" t="str">
        <f t="shared" si="28"/>
        <v/>
      </c>
      <c r="P436" s="28" t="str">
        <f t="shared" si="29"/>
        <v/>
      </c>
    </row>
    <row r="437" spans="2:16" x14ac:dyDescent="0.25">
      <c r="B437">
        <v>4357</v>
      </c>
      <c r="H437" t="str">
        <f t="shared" si="26"/>
        <v/>
      </c>
      <c r="M437">
        <f t="shared" si="27"/>
        <v>0</v>
      </c>
      <c r="N437" t="str" cm="1">
        <f t="array" ref="N437">_xlfn.LET(_xlpm.total,SUM(I437:L437),_xlpm.maxv,MAX(I437:L437),IF(_xlpm.total=0,"",IF(_xlpm.maxv/_xlpm.total&lt;0.5,"Mixed-Class",_xlfn.IFS(_xlpm.maxv=I437,"Assault",_xlpm.maxv=J437,"Engineer",_xlpm.maxv=K437,"Recon",_xlpm.maxv=L437,"Support"))))</f>
        <v/>
      </c>
      <c r="O437" t="str">
        <f t="shared" si="28"/>
        <v/>
      </c>
      <c r="P437" s="28" t="str">
        <f t="shared" si="29"/>
        <v/>
      </c>
    </row>
    <row r="438" spans="2:16" x14ac:dyDescent="0.25">
      <c r="B438">
        <v>4367</v>
      </c>
      <c r="H438" t="str">
        <f t="shared" si="26"/>
        <v/>
      </c>
      <c r="M438">
        <f t="shared" si="27"/>
        <v>0</v>
      </c>
      <c r="N438" t="str" cm="1">
        <f t="array" ref="N438">_xlfn.LET(_xlpm.total,SUM(I438:L438),_xlpm.maxv,MAX(I438:L438),IF(_xlpm.total=0,"",IF(_xlpm.maxv/_xlpm.total&lt;0.5,"Mixed-Class",_xlfn.IFS(_xlpm.maxv=I438,"Assault",_xlpm.maxv=J438,"Engineer",_xlpm.maxv=K438,"Recon",_xlpm.maxv=L438,"Support"))))</f>
        <v/>
      </c>
      <c r="O438" t="str">
        <f t="shared" si="28"/>
        <v/>
      </c>
      <c r="P438" s="28" t="str">
        <f t="shared" si="29"/>
        <v/>
      </c>
    </row>
    <row r="439" spans="2:16" x14ac:dyDescent="0.25">
      <c r="B439">
        <v>4377</v>
      </c>
      <c r="H439" t="str">
        <f t="shared" si="26"/>
        <v/>
      </c>
      <c r="M439">
        <f t="shared" si="27"/>
        <v>0</v>
      </c>
      <c r="N439" t="str" cm="1">
        <f t="array" ref="N439">_xlfn.LET(_xlpm.total,SUM(I439:L439),_xlpm.maxv,MAX(I439:L439),IF(_xlpm.total=0,"",IF(_xlpm.maxv/_xlpm.total&lt;0.5,"Mixed-Class",_xlfn.IFS(_xlpm.maxv=I439,"Assault",_xlpm.maxv=J439,"Engineer",_xlpm.maxv=K439,"Recon",_xlpm.maxv=L439,"Support"))))</f>
        <v/>
      </c>
      <c r="O439" t="str">
        <f t="shared" si="28"/>
        <v/>
      </c>
      <c r="P439" s="28" t="str">
        <f t="shared" si="29"/>
        <v/>
      </c>
    </row>
    <row r="440" spans="2:16" x14ac:dyDescent="0.25">
      <c r="B440">
        <v>4387</v>
      </c>
      <c r="H440" t="str">
        <f t="shared" si="26"/>
        <v/>
      </c>
      <c r="M440">
        <f t="shared" si="27"/>
        <v>0</v>
      </c>
      <c r="N440" t="str" cm="1">
        <f t="array" ref="N440">_xlfn.LET(_xlpm.total,SUM(I440:L440),_xlpm.maxv,MAX(I440:L440),IF(_xlpm.total=0,"",IF(_xlpm.maxv/_xlpm.total&lt;0.5,"Mixed-Class",_xlfn.IFS(_xlpm.maxv=I440,"Assault",_xlpm.maxv=J440,"Engineer",_xlpm.maxv=K440,"Recon",_xlpm.maxv=L440,"Support"))))</f>
        <v/>
      </c>
      <c r="O440" t="str">
        <f t="shared" si="28"/>
        <v/>
      </c>
      <c r="P440" s="28" t="str">
        <f t="shared" si="29"/>
        <v/>
      </c>
    </row>
    <row r="441" spans="2:16" x14ac:dyDescent="0.25">
      <c r="B441">
        <v>4397</v>
      </c>
      <c r="H441" t="str">
        <f t="shared" si="26"/>
        <v/>
      </c>
      <c r="M441">
        <f t="shared" si="27"/>
        <v>0</v>
      </c>
      <c r="N441" t="str" cm="1">
        <f t="array" ref="N441">_xlfn.LET(_xlpm.total,SUM(I441:L441),_xlpm.maxv,MAX(I441:L441),IF(_xlpm.total=0,"",IF(_xlpm.maxv/_xlpm.total&lt;0.5,"Mixed-Class",_xlfn.IFS(_xlpm.maxv=I441,"Assault",_xlpm.maxv=J441,"Engineer",_xlpm.maxv=K441,"Recon",_xlpm.maxv=L441,"Support"))))</f>
        <v/>
      </c>
      <c r="O441" t="str">
        <f t="shared" si="28"/>
        <v/>
      </c>
      <c r="P441" s="28" t="str">
        <f t="shared" si="29"/>
        <v/>
      </c>
    </row>
    <row r="442" spans="2:16" x14ac:dyDescent="0.25">
      <c r="B442">
        <v>4407</v>
      </c>
      <c r="H442" t="str">
        <f t="shared" si="26"/>
        <v/>
      </c>
      <c r="M442">
        <f t="shared" si="27"/>
        <v>0</v>
      </c>
      <c r="N442" t="str" cm="1">
        <f t="array" ref="N442">_xlfn.LET(_xlpm.total,SUM(I442:L442),_xlpm.maxv,MAX(I442:L442),IF(_xlpm.total=0,"",IF(_xlpm.maxv/_xlpm.total&lt;0.5,"Mixed-Class",_xlfn.IFS(_xlpm.maxv=I442,"Assault",_xlpm.maxv=J442,"Engineer",_xlpm.maxv=K442,"Recon",_xlpm.maxv=L442,"Support"))))</f>
        <v/>
      </c>
      <c r="O442" t="str">
        <f t="shared" si="28"/>
        <v/>
      </c>
      <c r="P442" s="28" t="str">
        <f t="shared" si="29"/>
        <v/>
      </c>
    </row>
    <row r="443" spans="2:16" x14ac:dyDescent="0.25">
      <c r="B443">
        <v>4417</v>
      </c>
      <c r="H443" t="str">
        <f t="shared" si="26"/>
        <v/>
      </c>
      <c r="M443">
        <f t="shared" si="27"/>
        <v>0</v>
      </c>
      <c r="N443" t="str" cm="1">
        <f t="array" ref="N443">_xlfn.LET(_xlpm.total,SUM(I443:L443),_xlpm.maxv,MAX(I443:L443),IF(_xlpm.total=0,"",IF(_xlpm.maxv/_xlpm.total&lt;0.5,"Mixed-Class",_xlfn.IFS(_xlpm.maxv=I443,"Assault",_xlpm.maxv=J443,"Engineer",_xlpm.maxv=K443,"Recon",_xlpm.maxv=L443,"Support"))))</f>
        <v/>
      </c>
      <c r="O443" t="str">
        <f t="shared" si="28"/>
        <v/>
      </c>
      <c r="P443" s="28" t="str">
        <f t="shared" si="29"/>
        <v/>
      </c>
    </row>
    <row r="444" spans="2:16" x14ac:dyDescent="0.25">
      <c r="B444">
        <v>4427</v>
      </c>
      <c r="H444" t="str">
        <f t="shared" si="26"/>
        <v/>
      </c>
      <c r="M444">
        <f t="shared" si="27"/>
        <v>0</v>
      </c>
      <c r="N444" t="str" cm="1">
        <f t="array" ref="N444">_xlfn.LET(_xlpm.total,SUM(I444:L444),_xlpm.maxv,MAX(I444:L444),IF(_xlpm.total=0,"",IF(_xlpm.maxv/_xlpm.total&lt;0.5,"Mixed-Class",_xlfn.IFS(_xlpm.maxv=I444,"Assault",_xlpm.maxv=J444,"Engineer",_xlpm.maxv=K444,"Recon",_xlpm.maxv=L444,"Support"))))</f>
        <v/>
      </c>
      <c r="O444" t="str">
        <f t="shared" si="28"/>
        <v/>
      </c>
      <c r="P444" s="28" t="str">
        <f t="shared" si="29"/>
        <v/>
      </c>
    </row>
    <row r="445" spans="2:16" x14ac:dyDescent="0.25">
      <c r="B445">
        <v>4437</v>
      </c>
      <c r="H445" t="str">
        <f t="shared" si="26"/>
        <v/>
      </c>
      <c r="M445">
        <f t="shared" si="27"/>
        <v>0</v>
      </c>
      <c r="N445" t="str" cm="1">
        <f t="array" ref="N445">_xlfn.LET(_xlpm.total,SUM(I445:L445),_xlpm.maxv,MAX(I445:L445),IF(_xlpm.total=0,"",IF(_xlpm.maxv/_xlpm.total&lt;0.5,"Mixed-Class",_xlfn.IFS(_xlpm.maxv=I445,"Assault",_xlpm.maxv=J445,"Engineer",_xlpm.maxv=K445,"Recon",_xlpm.maxv=L445,"Support"))))</f>
        <v/>
      </c>
      <c r="O445" t="str">
        <f t="shared" si="28"/>
        <v/>
      </c>
      <c r="P445" s="28" t="str">
        <f t="shared" si="29"/>
        <v/>
      </c>
    </row>
    <row r="446" spans="2:16" x14ac:dyDescent="0.25">
      <c r="B446">
        <v>4447</v>
      </c>
      <c r="H446" t="str">
        <f t="shared" si="26"/>
        <v/>
      </c>
      <c r="M446">
        <f t="shared" si="27"/>
        <v>0</v>
      </c>
      <c r="N446" t="str" cm="1">
        <f t="array" ref="N446">_xlfn.LET(_xlpm.total,SUM(I446:L446),_xlpm.maxv,MAX(I446:L446),IF(_xlpm.total=0,"",IF(_xlpm.maxv/_xlpm.total&lt;0.5,"Mixed-Class",_xlfn.IFS(_xlpm.maxv=I446,"Assault",_xlpm.maxv=J446,"Engineer",_xlpm.maxv=K446,"Recon",_xlpm.maxv=L446,"Support"))))</f>
        <v/>
      </c>
      <c r="O446" t="str">
        <f t="shared" si="28"/>
        <v/>
      </c>
      <c r="P446" s="28" t="str">
        <f t="shared" si="29"/>
        <v/>
      </c>
    </row>
    <row r="447" spans="2:16" x14ac:dyDescent="0.25">
      <c r="B447">
        <v>4457</v>
      </c>
      <c r="H447" t="str">
        <f t="shared" si="26"/>
        <v/>
      </c>
      <c r="M447">
        <f t="shared" si="27"/>
        <v>0</v>
      </c>
      <c r="N447" t="str" cm="1">
        <f t="array" ref="N447">_xlfn.LET(_xlpm.total,SUM(I447:L447),_xlpm.maxv,MAX(I447:L447),IF(_xlpm.total=0,"",IF(_xlpm.maxv/_xlpm.total&lt;0.5,"Mixed-Class",_xlfn.IFS(_xlpm.maxv=I447,"Assault",_xlpm.maxv=J447,"Engineer",_xlpm.maxv=K447,"Recon",_xlpm.maxv=L447,"Support"))))</f>
        <v/>
      </c>
      <c r="O447" t="str">
        <f t="shared" si="28"/>
        <v/>
      </c>
      <c r="P447" s="28" t="str">
        <f t="shared" si="29"/>
        <v/>
      </c>
    </row>
    <row r="448" spans="2:16" x14ac:dyDescent="0.25">
      <c r="B448">
        <v>4467</v>
      </c>
      <c r="H448" t="str">
        <f t="shared" si="26"/>
        <v/>
      </c>
      <c r="M448">
        <f t="shared" si="27"/>
        <v>0</v>
      </c>
      <c r="N448" t="str" cm="1">
        <f t="array" ref="N448">_xlfn.LET(_xlpm.total,SUM(I448:L448),_xlpm.maxv,MAX(I448:L448),IF(_xlpm.total=0,"",IF(_xlpm.maxv/_xlpm.total&lt;0.5,"Mixed-Class",_xlfn.IFS(_xlpm.maxv=I448,"Assault",_xlpm.maxv=J448,"Engineer",_xlpm.maxv=K448,"Recon",_xlpm.maxv=L448,"Support"))))</f>
        <v/>
      </c>
      <c r="O448" t="str">
        <f t="shared" si="28"/>
        <v/>
      </c>
      <c r="P448" s="28" t="str">
        <f t="shared" si="29"/>
        <v/>
      </c>
    </row>
    <row r="449" spans="2:16" x14ac:dyDescent="0.25">
      <c r="B449">
        <v>4477</v>
      </c>
      <c r="H449" t="str">
        <f t="shared" si="26"/>
        <v/>
      </c>
      <c r="M449">
        <f t="shared" si="27"/>
        <v>0</v>
      </c>
      <c r="N449" t="str" cm="1">
        <f t="array" ref="N449">_xlfn.LET(_xlpm.total,SUM(I449:L449),_xlpm.maxv,MAX(I449:L449),IF(_xlpm.total=0,"",IF(_xlpm.maxv/_xlpm.total&lt;0.5,"Mixed-Class",_xlfn.IFS(_xlpm.maxv=I449,"Assault",_xlpm.maxv=J449,"Engineer",_xlpm.maxv=K449,"Recon",_xlpm.maxv=L449,"Support"))))</f>
        <v/>
      </c>
      <c r="O449" t="str">
        <f t="shared" si="28"/>
        <v/>
      </c>
      <c r="P449" s="28" t="str">
        <f t="shared" si="29"/>
        <v/>
      </c>
    </row>
    <row r="450" spans="2:16" x14ac:dyDescent="0.25">
      <c r="B450">
        <v>4487</v>
      </c>
      <c r="H450" t="str">
        <f t="shared" si="26"/>
        <v/>
      </c>
      <c r="M450">
        <f t="shared" si="27"/>
        <v>0</v>
      </c>
      <c r="N450" t="str" cm="1">
        <f t="array" ref="N450">_xlfn.LET(_xlpm.total,SUM(I450:L450),_xlpm.maxv,MAX(I450:L450),IF(_xlpm.total=0,"",IF(_xlpm.maxv/_xlpm.total&lt;0.5,"Mixed-Class",_xlfn.IFS(_xlpm.maxv=I450,"Assault",_xlpm.maxv=J450,"Engineer",_xlpm.maxv=K450,"Recon",_xlpm.maxv=L450,"Support"))))</f>
        <v/>
      </c>
      <c r="O450" t="str">
        <f t="shared" si="28"/>
        <v/>
      </c>
      <c r="P450" s="28" t="str">
        <f t="shared" si="29"/>
        <v/>
      </c>
    </row>
    <row r="451" spans="2:16" x14ac:dyDescent="0.25">
      <c r="B451">
        <v>4497</v>
      </c>
      <c r="H451" t="str">
        <f t="shared" ref="H451:H514" si="30">IF(SUM(D451:G451)=0,"",IF(G451/SUM(D451:G451)&gt;=0.5,"Battle Royale",IF(F451/SUM(D451:F451)&gt;=0.6,"Infantry-Heavy",IF((D451+0.7*E451)/SUM(D451:F451)&gt;=0.7,"Vehicle-Heavy","Mixed"))))</f>
        <v/>
      </c>
      <c r="M451">
        <f t="shared" ref="M451:M514" si="31">SUM(I451:L451)</f>
        <v>0</v>
      </c>
      <c r="N451" t="str" cm="1">
        <f t="array" ref="N451">_xlfn.LET(_xlpm.total,SUM(I451:L451),_xlpm.maxv,MAX(I451:L451),IF(_xlpm.total=0,"",IF(_xlpm.maxv/_xlpm.total&lt;0.5,"Mixed-Class",_xlfn.IFS(_xlpm.maxv=I451,"Assault",_xlpm.maxv=J451,"Engineer",_xlpm.maxv=K451,"Recon",_xlpm.maxv=L451,"Support"))))</f>
        <v/>
      </c>
      <c r="O451" t="str">
        <f t="shared" ref="O451:O514" si="32">_xlfn.LET(_xlpm.total,SUM(I451:L451),IF(_xlpm.total=0,"",MAX(I451:L451)/_xlpm.total&gt;=0.5))</f>
        <v/>
      </c>
      <c r="P451" s="28" t="str">
        <f t="shared" ref="P451:P514" si="33">_xlfn.LET(_xlpm.total,SUM(I451:L451),IF(_xlpm.total=0,"",MAX(I451:L451)/_xlpm.total))</f>
        <v/>
      </c>
    </row>
    <row r="452" spans="2:16" x14ac:dyDescent="0.25">
      <c r="B452">
        <v>4507</v>
      </c>
      <c r="H452" t="str">
        <f t="shared" si="30"/>
        <v/>
      </c>
      <c r="M452">
        <f t="shared" si="31"/>
        <v>0</v>
      </c>
      <c r="N452" t="str" cm="1">
        <f t="array" ref="N452">_xlfn.LET(_xlpm.total,SUM(I452:L452),_xlpm.maxv,MAX(I452:L452),IF(_xlpm.total=0,"",IF(_xlpm.maxv/_xlpm.total&lt;0.5,"Mixed-Class",_xlfn.IFS(_xlpm.maxv=I452,"Assault",_xlpm.maxv=J452,"Engineer",_xlpm.maxv=K452,"Recon",_xlpm.maxv=L452,"Support"))))</f>
        <v/>
      </c>
      <c r="O452" t="str">
        <f t="shared" si="32"/>
        <v/>
      </c>
      <c r="P452" s="28" t="str">
        <f t="shared" si="33"/>
        <v/>
      </c>
    </row>
    <row r="453" spans="2:16" x14ac:dyDescent="0.25">
      <c r="B453">
        <v>4517</v>
      </c>
      <c r="H453" t="str">
        <f t="shared" si="30"/>
        <v/>
      </c>
      <c r="M453">
        <f t="shared" si="31"/>
        <v>0</v>
      </c>
      <c r="N453" t="str" cm="1">
        <f t="array" ref="N453">_xlfn.LET(_xlpm.total,SUM(I453:L453),_xlpm.maxv,MAX(I453:L453),IF(_xlpm.total=0,"",IF(_xlpm.maxv/_xlpm.total&lt;0.5,"Mixed-Class",_xlfn.IFS(_xlpm.maxv=I453,"Assault",_xlpm.maxv=J453,"Engineer",_xlpm.maxv=K453,"Recon",_xlpm.maxv=L453,"Support"))))</f>
        <v/>
      </c>
      <c r="O453" t="str">
        <f t="shared" si="32"/>
        <v/>
      </c>
      <c r="P453" s="28" t="str">
        <f t="shared" si="33"/>
        <v/>
      </c>
    </row>
    <row r="454" spans="2:16" x14ac:dyDescent="0.25">
      <c r="B454">
        <v>4527</v>
      </c>
      <c r="H454" t="str">
        <f t="shared" si="30"/>
        <v/>
      </c>
      <c r="M454">
        <f t="shared" si="31"/>
        <v>0</v>
      </c>
      <c r="N454" t="str" cm="1">
        <f t="array" ref="N454">_xlfn.LET(_xlpm.total,SUM(I454:L454),_xlpm.maxv,MAX(I454:L454),IF(_xlpm.total=0,"",IF(_xlpm.maxv/_xlpm.total&lt;0.5,"Mixed-Class",_xlfn.IFS(_xlpm.maxv=I454,"Assault",_xlpm.maxv=J454,"Engineer",_xlpm.maxv=K454,"Recon",_xlpm.maxv=L454,"Support"))))</f>
        <v/>
      </c>
      <c r="O454" t="str">
        <f t="shared" si="32"/>
        <v/>
      </c>
      <c r="P454" s="28" t="str">
        <f t="shared" si="33"/>
        <v/>
      </c>
    </row>
    <row r="455" spans="2:16" x14ac:dyDescent="0.25">
      <c r="B455">
        <v>4537</v>
      </c>
      <c r="H455" t="str">
        <f t="shared" si="30"/>
        <v/>
      </c>
      <c r="M455">
        <f t="shared" si="31"/>
        <v>0</v>
      </c>
      <c r="N455" t="str" cm="1">
        <f t="array" ref="N455">_xlfn.LET(_xlpm.total,SUM(I455:L455),_xlpm.maxv,MAX(I455:L455),IF(_xlpm.total=0,"",IF(_xlpm.maxv/_xlpm.total&lt;0.5,"Mixed-Class",_xlfn.IFS(_xlpm.maxv=I455,"Assault",_xlpm.maxv=J455,"Engineer",_xlpm.maxv=K455,"Recon",_xlpm.maxv=L455,"Support"))))</f>
        <v/>
      </c>
      <c r="O455" t="str">
        <f t="shared" si="32"/>
        <v/>
      </c>
      <c r="P455" s="28" t="str">
        <f t="shared" si="33"/>
        <v/>
      </c>
    </row>
    <row r="456" spans="2:16" x14ac:dyDescent="0.25">
      <c r="B456">
        <v>4547</v>
      </c>
      <c r="H456" t="str">
        <f t="shared" si="30"/>
        <v/>
      </c>
      <c r="M456">
        <f t="shared" si="31"/>
        <v>0</v>
      </c>
      <c r="N456" t="str" cm="1">
        <f t="array" ref="N456">_xlfn.LET(_xlpm.total,SUM(I456:L456),_xlpm.maxv,MAX(I456:L456),IF(_xlpm.total=0,"",IF(_xlpm.maxv/_xlpm.total&lt;0.5,"Mixed-Class",_xlfn.IFS(_xlpm.maxv=I456,"Assault",_xlpm.maxv=J456,"Engineer",_xlpm.maxv=K456,"Recon",_xlpm.maxv=L456,"Support"))))</f>
        <v/>
      </c>
      <c r="O456" t="str">
        <f t="shared" si="32"/>
        <v/>
      </c>
      <c r="P456" s="28" t="str">
        <f t="shared" si="33"/>
        <v/>
      </c>
    </row>
    <row r="457" spans="2:16" x14ac:dyDescent="0.25">
      <c r="B457">
        <v>4557</v>
      </c>
      <c r="H457" t="str">
        <f t="shared" si="30"/>
        <v/>
      </c>
      <c r="M457">
        <f t="shared" si="31"/>
        <v>0</v>
      </c>
      <c r="N457" t="str" cm="1">
        <f t="array" ref="N457">_xlfn.LET(_xlpm.total,SUM(I457:L457),_xlpm.maxv,MAX(I457:L457),IF(_xlpm.total=0,"",IF(_xlpm.maxv/_xlpm.total&lt;0.5,"Mixed-Class",_xlfn.IFS(_xlpm.maxv=I457,"Assault",_xlpm.maxv=J457,"Engineer",_xlpm.maxv=K457,"Recon",_xlpm.maxv=L457,"Support"))))</f>
        <v/>
      </c>
      <c r="O457" t="str">
        <f t="shared" si="32"/>
        <v/>
      </c>
      <c r="P457" s="28" t="str">
        <f t="shared" si="33"/>
        <v/>
      </c>
    </row>
    <row r="458" spans="2:16" x14ac:dyDescent="0.25">
      <c r="B458">
        <v>4567</v>
      </c>
      <c r="H458" t="str">
        <f t="shared" si="30"/>
        <v/>
      </c>
      <c r="M458">
        <f t="shared" si="31"/>
        <v>0</v>
      </c>
      <c r="N458" t="str" cm="1">
        <f t="array" ref="N458">_xlfn.LET(_xlpm.total,SUM(I458:L458),_xlpm.maxv,MAX(I458:L458),IF(_xlpm.total=0,"",IF(_xlpm.maxv/_xlpm.total&lt;0.5,"Mixed-Class",_xlfn.IFS(_xlpm.maxv=I458,"Assault",_xlpm.maxv=J458,"Engineer",_xlpm.maxv=K458,"Recon",_xlpm.maxv=L458,"Support"))))</f>
        <v/>
      </c>
      <c r="O458" t="str">
        <f t="shared" si="32"/>
        <v/>
      </c>
      <c r="P458" s="28" t="str">
        <f t="shared" si="33"/>
        <v/>
      </c>
    </row>
    <row r="459" spans="2:16" x14ac:dyDescent="0.25">
      <c r="B459">
        <v>4577</v>
      </c>
      <c r="H459" t="str">
        <f t="shared" si="30"/>
        <v/>
      </c>
      <c r="M459">
        <f t="shared" si="31"/>
        <v>0</v>
      </c>
      <c r="N459" t="str" cm="1">
        <f t="array" ref="N459">_xlfn.LET(_xlpm.total,SUM(I459:L459),_xlpm.maxv,MAX(I459:L459),IF(_xlpm.total=0,"",IF(_xlpm.maxv/_xlpm.total&lt;0.5,"Mixed-Class",_xlfn.IFS(_xlpm.maxv=I459,"Assault",_xlpm.maxv=J459,"Engineer",_xlpm.maxv=K459,"Recon",_xlpm.maxv=L459,"Support"))))</f>
        <v/>
      </c>
      <c r="O459" t="str">
        <f t="shared" si="32"/>
        <v/>
      </c>
      <c r="P459" s="28" t="str">
        <f t="shared" si="33"/>
        <v/>
      </c>
    </row>
    <row r="460" spans="2:16" x14ac:dyDescent="0.25">
      <c r="B460">
        <v>4587</v>
      </c>
      <c r="H460" t="str">
        <f t="shared" si="30"/>
        <v/>
      </c>
      <c r="M460">
        <f t="shared" si="31"/>
        <v>0</v>
      </c>
      <c r="N460" t="str" cm="1">
        <f t="array" ref="N460">_xlfn.LET(_xlpm.total,SUM(I460:L460),_xlpm.maxv,MAX(I460:L460),IF(_xlpm.total=0,"",IF(_xlpm.maxv/_xlpm.total&lt;0.5,"Mixed-Class",_xlfn.IFS(_xlpm.maxv=I460,"Assault",_xlpm.maxv=J460,"Engineer",_xlpm.maxv=K460,"Recon",_xlpm.maxv=L460,"Support"))))</f>
        <v/>
      </c>
      <c r="O460" t="str">
        <f t="shared" si="32"/>
        <v/>
      </c>
      <c r="P460" s="28" t="str">
        <f t="shared" si="33"/>
        <v/>
      </c>
    </row>
    <row r="461" spans="2:16" x14ac:dyDescent="0.25">
      <c r="B461">
        <v>4597</v>
      </c>
      <c r="H461" t="str">
        <f t="shared" si="30"/>
        <v/>
      </c>
      <c r="M461">
        <f t="shared" si="31"/>
        <v>0</v>
      </c>
      <c r="N461" t="str" cm="1">
        <f t="array" ref="N461">_xlfn.LET(_xlpm.total,SUM(I461:L461),_xlpm.maxv,MAX(I461:L461),IF(_xlpm.total=0,"",IF(_xlpm.maxv/_xlpm.total&lt;0.5,"Mixed-Class",_xlfn.IFS(_xlpm.maxv=I461,"Assault",_xlpm.maxv=J461,"Engineer",_xlpm.maxv=K461,"Recon",_xlpm.maxv=L461,"Support"))))</f>
        <v/>
      </c>
      <c r="O461" t="str">
        <f t="shared" si="32"/>
        <v/>
      </c>
      <c r="P461" s="28" t="str">
        <f t="shared" si="33"/>
        <v/>
      </c>
    </row>
    <row r="462" spans="2:16" x14ac:dyDescent="0.25">
      <c r="B462">
        <v>4607</v>
      </c>
      <c r="H462" t="str">
        <f t="shared" si="30"/>
        <v/>
      </c>
      <c r="M462">
        <f t="shared" si="31"/>
        <v>0</v>
      </c>
      <c r="N462" t="str" cm="1">
        <f t="array" ref="N462">_xlfn.LET(_xlpm.total,SUM(I462:L462),_xlpm.maxv,MAX(I462:L462),IF(_xlpm.total=0,"",IF(_xlpm.maxv/_xlpm.total&lt;0.5,"Mixed-Class",_xlfn.IFS(_xlpm.maxv=I462,"Assault",_xlpm.maxv=J462,"Engineer",_xlpm.maxv=K462,"Recon",_xlpm.maxv=L462,"Support"))))</f>
        <v/>
      </c>
      <c r="O462" t="str">
        <f t="shared" si="32"/>
        <v/>
      </c>
      <c r="P462" s="28" t="str">
        <f t="shared" si="33"/>
        <v/>
      </c>
    </row>
    <row r="463" spans="2:16" x14ac:dyDescent="0.25">
      <c r="B463">
        <v>4617</v>
      </c>
      <c r="H463" t="str">
        <f t="shared" si="30"/>
        <v/>
      </c>
      <c r="M463">
        <f t="shared" si="31"/>
        <v>0</v>
      </c>
      <c r="N463" t="str" cm="1">
        <f t="array" ref="N463">_xlfn.LET(_xlpm.total,SUM(I463:L463),_xlpm.maxv,MAX(I463:L463),IF(_xlpm.total=0,"",IF(_xlpm.maxv/_xlpm.total&lt;0.5,"Mixed-Class",_xlfn.IFS(_xlpm.maxv=I463,"Assault",_xlpm.maxv=J463,"Engineer",_xlpm.maxv=K463,"Recon",_xlpm.maxv=L463,"Support"))))</f>
        <v/>
      </c>
      <c r="O463" t="str">
        <f t="shared" si="32"/>
        <v/>
      </c>
      <c r="P463" s="28" t="str">
        <f t="shared" si="33"/>
        <v/>
      </c>
    </row>
    <row r="464" spans="2:16" x14ac:dyDescent="0.25">
      <c r="B464">
        <v>4627</v>
      </c>
      <c r="H464" t="str">
        <f t="shared" si="30"/>
        <v/>
      </c>
      <c r="M464">
        <f t="shared" si="31"/>
        <v>0</v>
      </c>
      <c r="N464" t="str" cm="1">
        <f t="array" ref="N464">_xlfn.LET(_xlpm.total,SUM(I464:L464),_xlpm.maxv,MAX(I464:L464),IF(_xlpm.total=0,"",IF(_xlpm.maxv/_xlpm.total&lt;0.5,"Mixed-Class",_xlfn.IFS(_xlpm.maxv=I464,"Assault",_xlpm.maxv=J464,"Engineer",_xlpm.maxv=K464,"Recon",_xlpm.maxv=L464,"Support"))))</f>
        <v/>
      </c>
      <c r="O464" t="str">
        <f t="shared" si="32"/>
        <v/>
      </c>
      <c r="P464" s="28" t="str">
        <f t="shared" si="33"/>
        <v/>
      </c>
    </row>
    <row r="465" spans="2:16" x14ac:dyDescent="0.25">
      <c r="B465">
        <v>4637</v>
      </c>
      <c r="H465" t="str">
        <f t="shared" si="30"/>
        <v/>
      </c>
      <c r="M465">
        <f t="shared" si="31"/>
        <v>0</v>
      </c>
      <c r="N465" t="str" cm="1">
        <f t="array" ref="N465">_xlfn.LET(_xlpm.total,SUM(I465:L465),_xlpm.maxv,MAX(I465:L465),IF(_xlpm.total=0,"",IF(_xlpm.maxv/_xlpm.total&lt;0.5,"Mixed-Class",_xlfn.IFS(_xlpm.maxv=I465,"Assault",_xlpm.maxv=J465,"Engineer",_xlpm.maxv=K465,"Recon",_xlpm.maxv=L465,"Support"))))</f>
        <v/>
      </c>
      <c r="O465" t="str">
        <f t="shared" si="32"/>
        <v/>
      </c>
      <c r="P465" s="28" t="str">
        <f t="shared" si="33"/>
        <v/>
      </c>
    </row>
    <row r="466" spans="2:16" x14ac:dyDescent="0.25">
      <c r="B466">
        <v>4647</v>
      </c>
      <c r="H466" t="str">
        <f t="shared" si="30"/>
        <v/>
      </c>
      <c r="M466">
        <f t="shared" si="31"/>
        <v>0</v>
      </c>
      <c r="N466" t="str" cm="1">
        <f t="array" ref="N466">_xlfn.LET(_xlpm.total,SUM(I466:L466),_xlpm.maxv,MAX(I466:L466),IF(_xlpm.total=0,"",IF(_xlpm.maxv/_xlpm.total&lt;0.5,"Mixed-Class",_xlfn.IFS(_xlpm.maxv=I466,"Assault",_xlpm.maxv=J466,"Engineer",_xlpm.maxv=K466,"Recon",_xlpm.maxv=L466,"Support"))))</f>
        <v/>
      </c>
      <c r="O466" t="str">
        <f t="shared" si="32"/>
        <v/>
      </c>
      <c r="P466" s="28" t="str">
        <f t="shared" si="33"/>
        <v/>
      </c>
    </row>
    <row r="467" spans="2:16" x14ac:dyDescent="0.25">
      <c r="B467">
        <v>4657</v>
      </c>
      <c r="H467" t="str">
        <f t="shared" si="30"/>
        <v/>
      </c>
      <c r="M467">
        <f t="shared" si="31"/>
        <v>0</v>
      </c>
      <c r="N467" t="str" cm="1">
        <f t="array" ref="N467">_xlfn.LET(_xlpm.total,SUM(I467:L467),_xlpm.maxv,MAX(I467:L467),IF(_xlpm.total=0,"",IF(_xlpm.maxv/_xlpm.total&lt;0.5,"Mixed-Class",_xlfn.IFS(_xlpm.maxv=I467,"Assault",_xlpm.maxv=J467,"Engineer",_xlpm.maxv=K467,"Recon",_xlpm.maxv=L467,"Support"))))</f>
        <v/>
      </c>
      <c r="O467" t="str">
        <f t="shared" si="32"/>
        <v/>
      </c>
      <c r="P467" s="28" t="str">
        <f t="shared" si="33"/>
        <v/>
      </c>
    </row>
    <row r="468" spans="2:16" x14ac:dyDescent="0.25">
      <c r="B468">
        <v>4667</v>
      </c>
      <c r="H468" t="str">
        <f t="shared" si="30"/>
        <v/>
      </c>
      <c r="M468">
        <f t="shared" si="31"/>
        <v>0</v>
      </c>
      <c r="N468" t="str" cm="1">
        <f t="array" ref="N468">_xlfn.LET(_xlpm.total,SUM(I468:L468),_xlpm.maxv,MAX(I468:L468),IF(_xlpm.total=0,"",IF(_xlpm.maxv/_xlpm.total&lt;0.5,"Mixed-Class",_xlfn.IFS(_xlpm.maxv=I468,"Assault",_xlpm.maxv=J468,"Engineer",_xlpm.maxv=K468,"Recon",_xlpm.maxv=L468,"Support"))))</f>
        <v/>
      </c>
      <c r="O468" t="str">
        <f t="shared" si="32"/>
        <v/>
      </c>
      <c r="P468" s="28" t="str">
        <f t="shared" si="33"/>
        <v/>
      </c>
    </row>
    <row r="469" spans="2:16" x14ac:dyDescent="0.25">
      <c r="B469">
        <v>4677</v>
      </c>
      <c r="H469" t="str">
        <f t="shared" si="30"/>
        <v/>
      </c>
      <c r="M469">
        <f t="shared" si="31"/>
        <v>0</v>
      </c>
      <c r="N469" t="str" cm="1">
        <f t="array" ref="N469">_xlfn.LET(_xlpm.total,SUM(I469:L469),_xlpm.maxv,MAX(I469:L469),IF(_xlpm.total=0,"",IF(_xlpm.maxv/_xlpm.total&lt;0.5,"Mixed-Class",_xlfn.IFS(_xlpm.maxv=I469,"Assault",_xlpm.maxv=J469,"Engineer",_xlpm.maxv=K469,"Recon",_xlpm.maxv=L469,"Support"))))</f>
        <v/>
      </c>
      <c r="O469" t="str">
        <f t="shared" si="32"/>
        <v/>
      </c>
      <c r="P469" s="28" t="str">
        <f t="shared" si="33"/>
        <v/>
      </c>
    </row>
    <row r="470" spans="2:16" x14ac:dyDescent="0.25">
      <c r="B470">
        <v>4687</v>
      </c>
      <c r="H470" t="str">
        <f t="shared" si="30"/>
        <v/>
      </c>
      <c r="M470">
        <f t="shared" si="31"/>
        <v>0</v>
      </c>
      <c r="N470" t="str" cm="1">
        <f t="array" ref="N470">_xlfn.LET(_xlpm.total,SUM(I470:L470),_xlpm.maxv,MAX(I470:L470),IF(_xlpm.total=0,"",IF(_xlpm.maxv/_xlpm.total&lt;0.5,"Mixed-Class",_xlfn.IFS(_xlpm.maxv=I470,"Assault",_xlpm.maxv=J470,"Engineer",_xlpm.maxv=K470,"Recon",_xlpm.maxv=L470,"Support"))))</f>
        <v/>
      </c>
      <c r="O470" t="str">
        <f t="shared" si="32"/>
        <v/>
      </c>
      <c r="P470" s="28" t="str">
        <f t="shared" si="33"/>
        <v/>
      </c>
    </row>
    <row r="471" spans="2:16" x14ac:dyDescent="0.25">
      <c r="B471">
        <v>4697</v>
      </c>
      <c r="H471" t="str">
        <f t="shared" si="30"/>
        <v/>
      </c>
      <c r="M471">
        <f t="shared" si="31"/>
        <v>0</v>
      </c>
      <c r="N471" t="str" cm="1">
        <f t="array" ref="N471">_xlfn.LET(_xlpm.total,SUM(I471:L471),_xlpm.maxv,MAX(I471:L471),IF(_xlpm.total=0,"",IF(_xlpm.maxv/_xlpm.total&lt;0.5,"Mixed-Class",_xlfn.IFS(_xlpm.maxv=I471,"Assault",_xlpm.maxv=J471,"Engineer",_xlpm.maxv=K471,"Recon",_xlpm.maxv=L471,"Support"))))</f>
        <v/>
      </c>
      <c r="O471" t="str">
        <f t="shared" si="32"/>
        <v/>
      </c>
      <c r="P471" s="28" t="str">
        <f t="shared" si="33"/>
        <v/>
      </c>
    </row>
    <row r="472" spans="2:16" x14ac:dyDescent="0.25">
      <c r="B472">
        <v>4707</v>
      </c>
      <c r="H472" t="str">
        <f t="shared" si="30"/>
        <v/>
      </c>
      <c r="M472">
        <f t="shared" si="31"/>
        <v>0</v>
      </c>
      <c r="N472" t="str" cm="1">
        <f t="array" ref="N472">_xlfn.LET(_xlpm.total,SUM(I472:L472),_xlpm.maxv,MAX(I472:L472),IF(_xlpm.total=0,"",IF(_xlpm.maxv/_xlpm.total&lt;0.5,"Mixed-Class",_xlfn.IFS(_xlpm.maxv=I472,"Assault",_xlpm.maxv=J472,"Engineer",_xlpm.maxv=K472,"Recon",_xlpm.maxv=L472,"Support"))))</f>
        <v/>
      </c>
      <c r="O472" t="str">
        <f t="shared" si="32"/>
        <v/>
      </c>
      <c r="P472" s="28" t="str">
        <f t="shared" si="33"/>
        <v/>
      </c>
    </row>
    <row r="473" spans="2:16" x14ac:dyDescent="0.25">
      <c r="B473">
        <v>4717</v>
      </c>
      <c r="H473" t="str">
        <f t="shared" si="30"/>
        <v/>
      </c>
      <c r="M473">
        <f t="shared" si="31"/>
        <v>0</v>
      </c>
      <c r="N473" t="str" cm="1">
        <f t="array" ref="N473">_xlfn.LET(_xlpm.total,SUM(I473:L473),_xlpm.maxv,MAX(I473:L473),IF(_xlpm.total=0,"",IF(_xlpm.maxv/_xlpm.total&lt;0.5,"Mixed-Class",_xlfn.IFS(_xlpm.maxv=I473,"Assault",_xlpm.maxv=J473,"Engineer",_xlpm.maxv=K473,"Recon",_xlpm.maxv=L473,"Support"))))</f>
        <v/>
      </c>
      <c r="O473" t="str">
        <f t="shared" si="32"/>
        <v/>
      </c>
      <c r="P473" s="28" t="str">
        <f t="shared" si="33"/>
        <v/>
      </c>
    </row>
    <row r="474" spans="2:16" x14ac:dyDescent="0.25">
      <c r="B474">
        <v>4727</v>
      </c>
      <c r="H474" t="str">
        <f t="shared" si="30"/>
        <v/>
      </c>
      <c r="M474">
        <f t="shared" si="31"/>
        <v>0</v>
      </c>
      <c r="N474" t="str" cm="1">
        <f t="array" ref="N474">_xlfn.LET(_xlpm.total,SUM(I474:L474),_xlpm.maxv,MAX(I474:L474),IF(_xlpm.total=0,"",IF(_xlpm.maxv/_xlpm.total&lt;0.5,"Mixed-Class",_xlfn.IFS(_xlpm.maxv=I474,"Assault",_xlpm.maxv=J474,"Engineer",_xlpm.maxv=K474,"Recon",_xlpm.maxv=L474,"Support"))))</f>
        <v/>
      </c>
      <c r="O474" t="str">
        <f t="shared" si="32"/>
        <v/>
      </c>
      <c r="P474" s="28" t="str">
        <f t="shared" si="33"/>
        <v/>
      </c>
    </row>
    <row r="475" spans="2:16" x14ac:dyDescent="0.25">
      <c r="B475">
        <v>4737</v>
      </c>
      <c r="H475" t="str">
        <f t="shared" si="30"/>
        <v/>
      </c>
      <c r="M475">
        <f t="shared" si="31"/>
        <v>0</v>
      </c>
      <c r="N475" t="str" cm="1">
        <f t="array" ref="N475">_xlfn.LET(_xlpm.total,SUM(I475:L475),_xlpm.maxv,MAX(I475:L475),IF(_xlpm.total=0,"",IF(_xlpm.maxv/_xlpm.total&lt;0.5,"Mixed-Class",_xlfn.IFS(_xlpm.maxv=I475,"Assault",_xlpm.maxv=J475,"Engineer",_xlpm.maxv=K475,"Recon",_xlpm.maxv=L475,"Support"))))</f>
        <v/>
      </c>
      <c r="O475" t="str">
        <f t="shared" si="32"/>
        <v/>
      </c>
      <c r="P475" s="28" t="str">
        <f t="shared" si="33"/>
        <v/>
      </c>
    </row>
    <row r="476" spans="2:16" x14ac:dyDescent="0.25">
      <c r="B476">
        <v>4747</v>
      </c>
      <c r="H476" t="str">
        <f t="shared" si="30"/>
        <v/>
      </c>
      <c r="M476">
        <f t="shared" si="31"/>
        <v>0</v>
      </c>
      <c r="N476" t="str" cm="1">
        <f t="array" ref="N476">_xlfn.LET(_xlpm.total,SUM(I476:L476),_xlpm.maxv,MAX(I476:L476),IF(_xlpm.total=0,"",IF(_xlpm.maxv/_xlpm.total&lt;0.5,"Mixed-Class",_xlfn.IFS(_xlpm.maxv=I476,"Assault",_xlpm.maxv=J476,"Engineer",_xlpm.maxv=K476,"Recon",_xlpm.maxv=L476,"Support"))))</f>
        <v/>
      </c>
      <c r="O476" t="str">
        <f t="shared" si="32"/>
        <v/>
      </c>
      <c r="P476" s="28" t="str">
        <f t="shared" si="33"/>
        <v/>
      </c>
    </row>
    <row r="477" spans="2:16" x14ac:dyDescent="0.25">
      <c r="B477">
        <v>4757</v>
      </c>
      <c r="H477" t="str">
        <f t="shared" si="30"/>
        <v/>
      </c>
      <c r="M477">
        <f t="shared" si="31"/>
        <v>0</v>
      </c>
      <c r="N477" t="str" cm="1">
        <f t="array" ref="N477">_xlfn.LET(_xlpm.total,SUM(I477:L477),_xlpm.maxv,MAX(I477:L477),IF(_xlpm.total=0,"",IF(_xlpm.maxv/_xlpm.total&lt;0.5,"Mixed-Class",_xlfn.IFS(_xlpm.maxv=I477,"Assault",_xlpm.maxv=J477,"Engineer",_xlpm.maxv=K477,"Recon",_xlpm.maxv=L477,"Support"))))</f>
        <v/>
      </c>
      <c r="O477" t="str">
        <f t="shared" si="32"/>
        <v/>
      </c>
      <c r="P477" s="28" t="str">
        <f t="shared" si="33"/>
        <v/>
      </c>
    </row>
    <row r="478" spans="2:16" x14ac:dyDescent="0.25">
      <c r="B478">
        <v>4767</v>
      </c>
      <c r="H478" t="str">
        <f t="shared" si="30"/>
        <v/>
      </c>
      <c r="M478">
        <f t="shared" si="31"/>
        <v>0</v>
      </c>
      <c r="N478" t="str" cm="1">
        <f t="array" ref="N478">_xlfn.LET(_xlpm.total,SUM(I478:L478),_xlpm.maxv,MAX(I478:L478),IF(_xlpm.total=0,"",IF(_xlpm.maxv/_xlpm.total&lt;0.5,"Mixed-Class",_xlfn.IFS(_xlpm.maxv=I478,"Assault",_xlpm.maxv=J478,"Engineer",_xlpm.maxv=K478,"Recon",_xlpm.maxv=L478,"Support"))))</f>
        <v/>
      </c>
      <c r="O478" t="str">
        <f t="shared" si="32"/>
        <v/>
      </c>
      <c r="P478" s="28" t="str">
        <f t="shared" si="33"/>
        <v/>
      </c>
    </row>
    <row r="479" spans="2:16" x14ac:dyDescent="0.25">
      <c r="B479">
        <v>4777</v>
      </c>
      <c r="H479" t="str">
        <f t="shared" si="30"/>
        <v/>
      </c>
      <c r="M479">
        <f t="shared" si="31"/>
        <v>0</v>
      </c>
      <c r="N479" t="str" cm="1">
        <f t="array" ref="N479">_xlfn.LET(_xlpm.total,SUM(I479:L479),_xlpm.maxv,MAX(I479:L479),IF(_xlpm.total=0,"",IF(_xlpm.maxv/_xlpm.total&lt;0.5,"Mixed-Class",_xlfn.IFS(_xlpm.maxv=I479,"Assault",_xlpm.maxv=J479,"Engineer",_xlpm.maxv=K479,"Recon",_xlpm.maxv=L479,"Support"))))</f>
        <v/>
      </c>
      <c r="O479" t="str">
        <f t="shared" si="32"/>
        <v/>
      </c>
      <c r="P479" s="28" t="str">
        <f t="shared" si="33"/>
        <v/>
      </c>
    </row>
    <row r="480" spans="2:16" x14ac:dyDescent="0.25">
      <c r="B480">
        <v>4787</v>
      </c>
      <c r="H480" t="str">
        <f t="shared" si="30"/>
        <v/>
      </c>
      <c r="M480">
        <f t="shared" si="31"/>
        <v>0</v>
      </c>
      <c r="N480" t="str" cm="1">
        <f t="array" ref="N480">_xlfn.LET(_xlpm.total,SUM(I480:L480),_xlpm.maxv,MAX(I480:L480),IF(_xlpm.total=0,"",IF(_xlpm.maxv/_xlpm.total&lt;0.5,"Mixed-Class",_xlfn.IFS(_xlpm.maxv=I480,"Assault",_xlpm.maxv=J480,"Engineer",_xlpm.maxv=K480,"Recon",_xlpm.maxv=L480,"Support"))))</f>
        <v/>
      </c>
      <c r="O480" t="str">
        <f t="shared" si="32"/>
        <v/>
      </c>
      <c r="P480" s="28" t="str">
        <f t="shared" si="33"/>
        <v/>
      </c>
    </row>
    <row r="481" spans="2:16" x14ac:dyDescent="0.25">
      <c r="B481">
        <v>4797</v>
      </c>
      <c r="H481" t="str">
        <f t="shared" si="30"/>
        <v/>
      </c>
      <c r="M481">
        <f t="shared" si="31"/>
        <v>0</v>
      </c>
      <c r="N481" t="str" cm="1">
        <f t="array" ref="N481">_xlfn.LET(_xlpm.total,SUM(I481:L481),_xlpm.maxv,MAX(I481:L481),IF(_xlpm.total=0,"",IF(_xlpm.maxv/_xlpm.total&lt;0.5,"Mixed-Class",_xlfn.IFS(_xlpm.maxv=I481,"Assault",_xlpm.maxv=J481,"Engineer",_xlpm.maxv=K481,"Recon",_xlpm.maxv=L481,"Support"))))</f>
        <v/>
      </c>
      <c r="O481" t="str">
        <f t="shared" si="32"/>
        <v/>
      </c>
      <c r="P481" s="28" t="str">
        <f t="shared" si="33"/>
        <v/>
      </c>
    </row>
    <row r="482" spans="2:16" x14ac:dyDescent="0.25">
      <c r="B482">
        <v>4807</v>
      </c>
      <c r="H482" t="str">
        <f t="shared" si="30"/>
        <v/>
      </c>
      <c r="M482">
        <f t="shared" si="31"/>
        <v>0</v>
      </c>
      <c r="N482" t="str" cm="1">
        <f t="array" ref="N482">_xlfn.LET(_xlpm.total,SUM(I482:L482),_xlpm.maxv,MAX(I482:L482),IF(_xlpm.total=0,"",IF(_xlpm.maxv/_xlpm.total&lt;0.5,"Mixed-Class",_xlfn.IFS(_xlpm.maxv=I482,"Assault",_xlpm.maxv=J482,"Engineer",_xlpm.maxv=K482,"Recon",_xlpm.maxv=L482,"Support"))))</f>
        <v/>
      </c>
      <c r="O482" t="str">
        <f t="shared" si="32"/>
        <v/>
      </c>
      <c r="P482" s="28" t="str">
        <f t="shared" si="33"/>
        <v/>
      </c>
    </row>
    <row r="483" spans="2:16" x14ac:dyDescent="0.25">
      <c r="B483">
        <v>4817</v>
      </c>
      <c r="H483" t="str">
        <f t="shared" si="30"/>
        <v/>
      </c>
      <c r="M483">
        <f t="shared" si="31"/>
        <v>0</v>
      </c>
      <c r="N483" t="str" cm="1">
        <f t="array" ref="N483">_xlfn.LET(_xlpm.total,SUM(I483:L483),_xlpm.maxv,MAX(I483:L483),IF(_xlpm.total=0,"",IF(_xlpm.maxv/_xlpm.total&lt;0.5,"Mixed-Class",_xlfn.IFS(_xlpm.maxv=I483,"Assault",_xlpm.maxv=J483,"Engineer",_xlpm.maxv=K483,"Recon",_xlpm.maxv=L483,"Support"))))</f>
        <v/>
      </c>
      <c r="O483" t="str">
        <f t="shared" si="32"/>
        <v/>
      </c>
      <c r="P483" s="28" t="str">
        <f t="shared" si="33"/>
        <v/>
      </c>
    </row>
    <row r="484" spans="2:16" x14ac:dyDescent="0.25">
      <c r="B484">
        <v>4827</v>
      </c>
      <c r="H484" t="str">
        <f t="shared" si="30"/>
        <v/>
      </c>
      <c r="M484">
        <f t="shared" si="31"/>
        <v>0</v>
      </c>
      <c r="N484" t="str" cm="1">
        <f t="array" ref="N484">_xlfn.LET(_xlpm.total,SUM(I484:L484),_xlpm.maxv,MAX(I484:L484),IF(_xlpm.total=0,"",IF(_xlpm.maxv/_xlpm.total&lt;0.5,"Mixed-Class",_xlfn.IFS(_xlpm.maxv=I484,"Assault",_xlpm.maxv=J484,"Engineer",_xlpm.maxv=K484,"Recon",_xlpm.maxv=L484,"Support"))))</f>
        <v/>
      </c>
      <c r="O484" t="str">
        <f t="shared" si="32"/>
        <v/>
      </c>
      <c r="P484" s="28" t="str">
        <f t="shared" si="33"/>
        <v/>
      </c>
    </row>
    <row r="485" spans="2:16" x14ac:dyDescent="0.25">
      <c r="B485">
        <v>4837</v>
      </c>
      <c r="H485" t="str">
        <f t="shared" si="30"/>
        <v/>
      </c>
      <c r="M485">
        <f t="shared" si="31"/>
        <v>0</v>
      </c>
      <c r="N485" t="str" cm="1">
        <f t="array" ref="N485">_xlfn.LET(_xlpm.total,SUM(I485:L485),_xlpm.maxv,MAX(I485:L485),IF(_xlpm.total=0,"",IF(_xlpm.maxv/_xlpm.total&lt;0.5,"Mixed-Class",_xlfn.IFS(_xlpm.maxv=I485,"Assault",_xlpm.maxv=J485,"Engineer",_xlpm.maxv=K485,"Recon",_xlpm.maxv=L485,"Support"))))</f>
        <v/>
      </c>
      <c r="O485" t="str">
        <f t="shared" si="32"/>
        <v/>
      </c>
      <c r="P485" s="28" t="str">
        <f t="shared" si="33"/>
        <v/>
      </c>
    </row>
    <row r="486" spans="2:16" x14ac:dyDescent="0.25">
      <c r="B486">
        <v>4847</v>
      </c>
      <c r="H486" t="str">
        <f t="shared" si="30"/>
        <v/>
      </c>
      <c r="M486">
        <f t="shared" si="31"/>
        <v>0</v>
      </c>
      <c r="N486" t="str" cm="1">
        <f t="array" ref="N486">_xlfn.LET(_xlpm.total,SUM(I486:L486),_xlpm.maxv,MAX(I486:L486),IF(_xlpm.total=0,"",IF(_xlpm.maxv/_xlpm.total&lt;0.5,"Mixed-Class",_xlfn.IFS(_xlpm.maxv=I486,"Assault",_xlpm.maxv=J486,"Engineer",_xlpm.maxv=K486,"Recon",_xlpm.maxv=L486,"Support"))))</f>
        <v/>
      </c>
      <c r="O486" t="str">
        <f t="shared" si="32"/>
        <v/>
      </c>
      <c r="P486" s="28" t="str">
        <f t="shared" si="33"/>
        <v/>
      </c>
    </row>
    <row r="487" spans="2:16" x14ac:dyDescent="0.25">
      <c r="B487">
        <v>4857</v>
      </c>
      <c r="H487" t="str">
        <f t="shared" si="30"/>
        <v/>
      </c>
      <c r="M487">
        <f t="shared" si="31"/>
        <v>0</v>
      </c>
      <c r="N487" t="str" cm="1">
        <f t="array" ref="N487">_xlfn.LET(_xlpm.total,SUM(I487:L487),_xlpm.maxv,MAX(I487:L487),IF(_xlpm.total=0,"",IF(_xlpm.maxv/_xlpm.total&lt;0.5,"Mixed-Class",_xlfn.IFS(_xlpm.maxv=I487,"Assault",_xlpm.maxv=J487,"Engineer",_xlpm.maxv=K487,"Recon",_xlpm.maxv=L487,"Support"))))</f>
        <v/>
      </c>
      <c r="O487" t="str">
        <f t="shared" si="32"/>
        <v/>
      </c>
      <c r="P487" s="28" t="str">
        <f t="shared" si="33"/>
        <v/>
      </c>
    </row>
    <row r="488" spans="2:16" x14ac:dyDescent="0.25">
      <c r="B488">
        <v>4867</v>
      </c>
      <c r="H488" t="str">
        <f t="shared" si="30"/>
        <v/>
      </c>
      <c r="M488">
        <f t="shared" si="31"/>
        <v>0</v>
      </c>
      <c r="N488" t="str" cm="1">
        <f t="array" ref="N488">_xlfn.LET(_xlpm.total,SUM(I488:L488),_xlpm.maxv,MAX(I488:L488),IF(_xlpm.total=0,"",IF(_xlpm.maxv/_xlpm.total&lt;0.5,"Mixed-Class",_xlfn.IFS(_xlpm.maxv=I488,"Assault",_xlpm.maxv=J488,"Engineer",_xlpm.maxv=K488,"Recon",_xlpm.maxv=L488,"Support"))))</f>
        <v/>
      </c>
      <c r="O488" t="str">
        <f t="shared" si="32"/>
        <v/>
      </c>
      <c r="P488" s="28" t="str">
        <f t="shared" si="33"/>
        <v/>
      </c>
    </row>
    <row r="489" spans="2:16" x14ac:dyDescent="0.25">
      <c r="B489">
        <v>4877</v>
      </c>
      <c r="H489" t="str">
        <f t="shared" si="30"/>
        <v/>
      </c>
      <c r="M489">
        <f t="shared" si="31"/>
        <v>0</v>
      </c>
      <c r="N489" t="str" cm="1">
        <f t="array" ref="N489">_xlfn.LET(_xlpm.total,SUM(I489:L489),_xlpm.maxv,MAX(I489:L489),IF(_xlpm.total=0,"",IF(_xlpm.maxv/_xlpm.total&lt;0.5,"Mixed-Class",_xlfn.IFS(_xlpm.maxv=I489,"Assault",_xlpm.maxv=J489,"Engineer",_xlpm.maxv=K489,"Recon",_xlpm.maxv=L489,"Support"))))</f>
        <v/>
      </c>
      <c r="O489" t="str">
        <f t="shared" si="32"/>
        <v/>
      </c>
      <c r="P489" s="28" t="str">
        <f t="shared" si="33"/>
        <v/>
      </c>
    </row>
    <row r="490" spans="2:16" x14ac:dyDescent="0.25">
      <c r="B490">
        <v>4887</v>
      </c>
      <c r="H490" t="str">
        <f t="shared" si="30"/>
        <v/>
      </c>
      <c r="M490">
        <f t="shared" si="31"/>
        <v>0</v>
      </c>
      <c r="N490" t="str" cm="1">
        <f t="array" ref="N490">_xlfn.LET(_xlpm.total,SUM(I490:L490),_xlpm.maxv,MAX(I490:L490),IF(_xlpm.total=0,"",IF(_xlpm.maxv/_xlpm.total&lt;0.5,"Mixed-Class",_xlfn.IFS(_xlpm.maxv=I490,"Assault",_xlpm.maxv=J490,"Engineer",_xlpm.maxv=K490,"Recon",_xlpm.maxv=L490,"Support"))))</f>
        <v/>
      </c>
      <c r="O490" t="str">
        <f t="shared" si="32"/>
        <v/>
      </c>
      <c r="P490" s="28" t="str">
        <f t="shared" si="33"/>
        <v/>
      </c>
    </row>
    <row r="491" spans="2:16" x14ac:dyDescent="0.25">
      <c r="B491">
        <v>4897</v>
      </c>
      <c r="H491" t="str">
        <f t="shared" si="30"/>
        <v/>
      </c>
      <c r="M491">
        <f t="shared" si="31"/>
        <v>0</v>
      </c>
      <c r="N491" t="str" cm="1">
        <f t="array" ref="N491">_xlfn.LET(_xlpm.total,SUM(I491:L491),_xlpm.maxv,MAX(I491:L491),IF(_xlpm.total=0,"",IF(_xlpm.maxv/_xlpm.total&lt;0.5,"Mixed-Class",_xlfn.IFS(_xlpm.maxv=I491,"Assault",_xlpm.maxv=J491,"Engineer",_xlpm.maxv=K491,"Recon",_xlpm.maxv=L491,"Support"))))</f>
        <v/>
      </c>
      <c r="O491" t="str">
        <f t="shared" si="32"/>
        <v/>
      </c>
      <c r="P491" s="28" t="str">
        <f t="shared" si="33"/>
        <v/>
      </c>
    </row>
    <row r="492" spans="2:16" x14ac:dyDescent="0.25">
      <c r="B492">
        <v>4907</v>
      </c>
      <c r="H492" t="str">
        <f t="shared" si="30"/>
        <v/>
      </c>
      <c r="M492">
        <f t="shared" si="31"/>
        <v>0</v>
      </c>
      <c r="N492" t="str" cm="1">
        <f t="array" ref="N492">_xlfn.LET(_xlpm.total,SUM(I492:L492),_xlpm.maxv,MAX(I492:L492),IF(_xlpm.total=0,"",IF(_xlpm.maxv/_xlpm.total&lt;0.5,"Mixed-Class",_xlfn.IFS(_xlpm.maxv=I492,"Assault",_xlpm.maxv=J492,"Engineer",_xlpm.maxv=K492,"Recon",_xlpm.maxv=L492,"Support"))))</f>
        <v/>
      </c>
      <c r="O492" t="str">
        <f t="shared" si="32"/>
        <v/>
      </c>
      <c r="P492" s="28" t="str">
        <f t="shared" si="33"/>
        <v/>
      </c>
    </row>
    <row r="493" spans="2:16" x14ac:dyDescent="0.25">
      <c r="B493">
        <v>4917</v>
      </c>
      <c r="H493" t="str">
        <f t="shared" si="30"/>
        <v/>
      </c>
      <c r="M493">
        <f t="shared" si="31"/>
        <v>0</v>
      </c>
      <c r="N493" t="str" cm="1">
        <f t="array" ref="N493">_xlfn.LET(_xlpm.total,SUM(I493:L493),_xlpm.maxv,MAX(I493:L493),IF(_xlpm.total=0,"",IF(_xlpm.maxv/_xlpm.total&lt;0.5,"Mixed-Class",_xlfn.IFS(_xlpm.maxv=I493,"Assault",_xlpm.maxv=J493,"Engineer",_xlpm.maxv=K493,"Recon",_xlpm.maxv=L493,"Support"))))</f>
        <v/>
      </c>
      <c r="O493" t="str">
        <f t="shared" si="32"/>
        <v/>
      </c>
      <c r="P493" s="28" t="str">
        <f t="shared" si="33"/>
        <v/>
      </c>
    </row>
    <row r="494" spans="2:16" x14ac:dyDescent="0.25">
      <c r="B494">
        <v>4927</v>
      </c>
      <c r="H494" t="str">
        <f t="shared" si="30"/>
        <v/>
      </c>
      <c r="M494">
        <f t="shared" si="31"/>
        <v>0</v>
      </c>
      <c r="N494" t="str" cm="1">
        <f t="array" ref="N494">_xlfn.LET(_xlpm.total,SUM(I494:L494),_xlpm.maxv,MAX(I494:L494),IF(_xlpm.total=0,"",IF(_xlpm.maxv/_xlpm.total&lt;0.5,"Mixed-Class",_xlfn.IFS(_xlpm.maxv=I494,"Assault",_xlpm.maxv=J494,"Engineer",_xlpm.maxv=K494,"Recon",_xlpm.maxv=L494,"Support"))))</f>
        <v/>
      </c>
      <c r="O494" t="str">
        <f t="shared" si="32"/>
        <v/>
      </c>
      <c r="P494" s="28" t="str">
        <f t="shared" si="33"/>
        <v/>
      </c>
    </row>
    <row r="495" spans="2:16" x14ac:dyDescent="0.25">
      <c r="B495">
        <v>4937</v>
      </c>
      <c r="H495" t="str">
        <f t="shared" si="30"/>
        <v/>
      </c>
      <c r="M495">
        <f t="shared" si="31"/>
        <v>0</v>
      </c>
      <c r="N495" t="str" cm="1">
        <f t="array" ref="N495">_xlfn.LET(_xlpm.total,SUM(I495:L495),_xlpm.maxv,MAX(I495:L495),IF(_xlpm.total=0,"",IF(_xlpm.maxv/_xlpm.total&lt;0.5,"Mixed-Class",_xlfn.IFS(_xlpm.maxv=I495,"Assault",_xlpm.maxv=J495,"Engineer",_xlpm.maxv=K495,"Recon",_xlpm.maxv=L495,"Support"))))</f>
        <v/>
      </c>
      <c r="O495" t="str">
        <f t="shared" si="32"/>
        <v/>
      </c>
      <c r="P495" s="28" t="str">
        <f t="shared" si="33"/>
        <v/>
      </c>
    </row>
    <row r="496" spans="2:16" x14ac:dyDescent="0.25">
      <c r="B496">
        <v>4947</v>
      </c>
      <c r="H496" t="str">
        <f t="shared" si="30"/>
        <v/>
      </c>
      <c r="M496">
        <f t="shared" si="31"/>
        <v>0</v>
      </c>
      <c r="N496" t="str" cm="1">
        <f t="array" ref="N496">_xlfn.LET(_xlpm.total,SUM(I496:L496),_xlpm.maxv,MAX(I496:L496),IF(_xlpm.total=0,"",IF(_xlpm.maxv/_xlpm.total&lt;0.5,"Mixed-Class",_xlfn.IFS(_xlpm.maxv=I496,"Assault",_xlpm.maxv=J496,"Engineer",_xlpm.maxv=K496,"Recon",_xlpm.maxv=L496,"Support"))))</f>
        <v/>
      </c>
      <c r="O496" t="str">
        <f t="shared" si="32"/>
        <v/>
      </c>
      <c r="P496" s="28" t="str">
        <f t="shared" si="33"/>
        <v/>
      </c>
    </row>
    <row r="497" spans="2:16" x14ac:dyDescent="0.25">
      <c r="B497">
        <v>4957</v>
      </c>
      <c r="H497" t="str">
        <f t="shared" si="30"/>
        <v/>
      </c>
      <c r="M497">
        <f t="shared" si="31"/>
        <v>0</v>
      </c>
      <c r="N497" t="str" cm="1">
        <f t="array" ref="N497">_xlfn.LET(_xlpm.total,SUM(I497:L497),_xlpm.maxv,MAX(I497:L497),IF(_xlpm.total=0,"",IF(_xlpm.maxv/_xlpm.total&lt;0.5,"Mixed-Class",_xlfn.IFS(_xlpm.maxv=I497,"Assault",_xlpm.maxv=J497,"Engineer",_xlpm.maxv=K497,"Recon",_xlpm.maxv=L497,"Support"))))</f>
        <v/>
      </c>
      <c r="O497" t="str">
        <f t="shared" si="32"/>
        <v/>
      </c>
      <c r="P497" s="28" t="str">
        <f t="shared" si="33"/>
        <v/>
      </c>
    </row>
    <row r="498" spans="2:16" x14ac:dyDescent="0.25">
      <c r="B498">
        <v>4967</v>
      </c>
      <c r="H498" t="str">
        <f t="shared" si="30"/>
        <v/>
      </c>
      <c r="M498">
        <f t="shared" si="31"/>
        <v>0</v>
      </c>
      <c r="N498" t="str" cm="1">
        <f t="array" ref="N498">_xlfn.LET(_xlpm.total,SUM(I498:L498),_xlpm.maxv,MAX(I498:L498),IF(_xlpm.total=0,"",IF(_xlpm.maxv/_xlpm.total&lt;0.5,"Mixed-Class",_xlfn.IFS(_xlpm.maxv=I498,"Assault",_xlpm.maxv=J498,"Engineer",_xlpm.maxv=K498,"Recon",_xlpm.maxv=L498,"Support"))))</f>
        <v/>
      </c>
      <c r="O498" t="str">
        <f t="shared" si="32"/>
        <v/>
      </c>
      <c r="P498" s="28" t="str">
        <f t="shared" si="33"/>
        <v/>
      </c>
    </row>
    <row r="499" spans="2:16" x14ac:dyDescent="0.25">
      <c r="B499">
        <v>4977</v>
      </c>
      <c r="H499" t="str">
        <f t="shared" si="30"/>
        <v/>
      </c>
      <c r="M499">
        <f t="shared" si="31"/>
        <v>0</v>
      </c>
      <c r="N499" t="str" cm="1">
        <f t="array" ref="N499">_xlfn.LET(_xlpm.total,SUM(I499:L499),_xlpm.maxv,MAX(I499:L499),IF(_xlpm.total=0,"",IF(_xlpm.maxv/_xlpm.total&lt;0.5,"Mixed-Class",_xlfn.IFS(_xlpm.maxv=I499,"Assault",_xlpm.maxv=J499,"Engineer",_xlpm.maxv=K499,"Recon",_xlpm.maxv=L499,"Support"))))</f>
        <v/>
      </c>
      <c r="O499" t="str">
        <f t="shared" si="32"/>
        <v/>
      </c>
      <c r="P499" s="28" t="str">
        <f t="shared" si="33"/>
        <v/>
      </c>
    </row>
    <row r="500" spans="2:16" x14ac:dyDescent="0.25">
      <c r="B500">
        <v>4987</v>
      </c>
      <c r="H500" t="str">
        <f t="shared" si="30"/>
        <v/>
      </c>
      <c r="M500">
        <f t="shared" si="31"/>
        <v>0</v>
      </c>
      <c r="N500" t="str" cm="1">
        <f t="array" ref="N500">_xlfn.LET(_xlpm.total,SUM(I500:L500),_xlpm.maxv,MAX(I500:L500),IF(_xlpm.total=0,"",IF(_xlpm.maxv/_xlpm.total&lt;0.5,"Mixed-Class",_xlfn.IFS(_xlpm.maxv=I500,"Assault",_xlpm.maxv=J500,"Engineer",_xlpm.maxv=K500,"Recon",_xlpm.maxv=L500,"Support"))))</f>
        <v/>
      </c>
      <c r="O500" t="str">
        <f t="shared" si="32"/>
        <v/>
      </c>
      <c r="P500" s="28" t="str">
        <f t="shared" si="33"/>
        <v/>
      </c>
    </row>
    <row r="501" spans="2:16" x14ac:dyDescent="0.25">
      <c r="B501">
        <v>4997</v>
      </c>
      <c r="H501" t="str">
        <f t="shared" si="30"/>
        <v/>
      </c>
      <c r="M501">
        <f t="shared" si="31"/>
        <v>0</v>
      </c>
      <c r="N501" t="str" cm="1">
        <f t="array" ref="N501">_xlfn.LET(_xlpm.total,SUM(I501:L501),_xlpm.maxv,MAX(I501:L501),IF(_xlpm.total=0,"",IF(_xlpm.maxv/_xlpm.total&lt;0.5,"Mixed-Class",_xlfn.IFS(_xlpm.maxv=I501,"Assault",_xlpm.maxv=J501,"Engineer",_xlpm.maxv=K501,"Recon",_xlpm.maxv=L501,"Support"))))</f>
        <v/>
      </c>
      <c r="O501" t="str">
        <f t="shared" si="32"/>
        <v/>
      </c>
      <c r="P501" s="28" t="str">
        <f t="shared" si="33"/>
        <v/>
      </c>
    </row>
    <row r="502" spans="2:16" x14ac:dyDescent="0.25">
      <c r="B502">
        <v>5007</v>
      </c>
      <c r="H502" t="str">
        <f t="shared" si="30"/>
        <v/>
      </c>
      <c r="M502">
        <f t="shared" si="31"/>
        <v>0</v>
      </c>
      <c r="N502" t="str" cm="1">
        <f t="array" ref="N502">_xlfn.LET(_xlpm.total,SUM(I502:L502),_xlpm.maxv,MAX(I502:L502),IF(_xlpm.total=0,"",IF(_xlpm.maxv/_xlpm.total&lt;0.5,"Mixed-Class",_xlfn.IFS(_xlpm.maxv=I502,"Assault",_xlpm.maxv=J502,"Engineer",_xlpm.maxv=K502,"Recon",_xlpm.maxv=L502,"Support"))))</f>
        <v/>
      </c>
      <c r="O502" t="str">
        <f t="shared" si="32"/>
        <v/>
      </c>
      <c r="P502" s="28" t="str">
        <f t="shared" si="33"/>
        <v/>
      </c>
    </row>
    <row r="503" spans="2:16" x14ac:dyDescent="0.25">
      <c r="B503">
        <v>5017</v>
      </c>
      <c r="H503" t="str">
        <f t="shared" si="30"/>
        <v/>
      </c>
      <c r="M503">
        <f t="shared" si="31"/>
        <v>0</v>
      </c>
      <c r="N503" t="str" cm="1">
        <f t="array" ref="N503">_xlfn.LET(_xlpm.total,SUM(I503:L503),_xlpm.maxv,MAX(I503:L503),IF(_xlpm.total=0,"",IF(_xlpm.maxv/_xlpm.total&lt;0.5,"Mixed-Class",_xlfn.IFS(_xlpm.maxv=I503,"Assault",_xlpm.maxv=J503,"Engineer",_xlpm.maxv=K503,"Recon",_xlpm.maxv=L503,"Support"))))</f>
        <v/>
      </c>
      <c r="O503" t="str">
        <f t="shared" si="32"/>
        <v/>
      </c>
      <c r="P503" s="28" t="str">
        <f t="shared" si="33"/>
        <v/>
      </c>
    </row>
    <row r="504" spans="2:16" x14ac:dyDescent="0.25">
      <c r="B504">
        <v>5027</v>
      </c>
      <c r="H504" t="str">
        <f t="shared" si="30"/>
        <v/>
      </c>
      <c r="M504">
        <f t="shared" si="31"/>
        <v>0</v>
      </c>
      <c r="N504" t="str" cm="1">
        <f t="array" ref="N504">_xlfn.LET(_xlpm.total,SUM(I504:L504),_xlpm.maxv,MAX(I504:L504),IF(_xlpm.total=0,"",IF(_xlpm.maxv/_xlpm.total&lt;0.5,"Mixed-Class",_xlfn.IFS(_xlpm.maxv=I504,"Assault",_xlpm.maxv=J504,"Engineer",_xlpm.maxv=K504,"Recon",_xlpm.maxv=L504,"Support"))))</f>
        <v/>
      </c>
      <c r="O504" t="str">
        <f t="shared" si="32"/>
        <v/>
      </c>
      <c r="P504" s="28" t="str">
        <f t="shared" si="33"/>
        <v/>
      </c>
    </row>
    <row r="505" spans="2:16" x14ac:dyDescent="0.25">
      <c r="B505">
        <v>5037</v>
      </c>
      <c r="H505" t="str">
        <f t="shared" si="30"/>
        <v/>
      </c>
      <c r="M505">
        <f t="shared" si="31"/>
        <v>0</v>
      </c>
      <c r="N505" t="str" cm="1">
        <f t="array" ref="N505">_xlfn.LET(_xlpm.total,SUM(I505:L505),_xlpm.maxv,MAX(I505:L505),IF(_xlpm.total=0,"",IF(_xlpm.maxv/_xlpm.total&lt;0.5,"Mixed-Class",_xlfn.IFS(_xlpm.maxv=I505,"Assault",_xlpm.maxv=J505,"Engineer",_xlpm.maxv=K505,"Recon",_xlpm.maxv=L505,"Support"))))</f>
        <v/>
      </c>
      <c r="O505" t="str">
        <f t="shared" si="32"/>
        <v/>
      </c>
      <c r="P505" s="28" t="str">
        <f t="shared" si="33"/>
        <v/>
      </c>
    </row>
    <row r="506" spans="2:16" x14ac:dyDescent="0.25">
      <c r="B506">
        <v>5047</v>
      </c>
      <c r="H506" t="str">
        <f t="shared" si="30"/>
        <v/>
      </c>
      <c r="M506">
        <f t="shared" si="31"/>
        <v>0</v>
      </c>
      <c r="N506" t="str" cm="1">
        <f t="array" ref="N506">_xlfn.LET(_xlpm.total,SUM(I506:L506),_xlpm.maxv,MAX(I506:L506),IF(_xlpm.total=0,"",IF(_xlpm.maxv/_xlpm.total&lt;0.5,"Mixed-Class",_xlfn.IFS(_xlpm.maxv=I506,"Assault",_xlpm.maxv=J506,"Engineer",_xlpm.maxv=K506,"Recon",_xlpm.maxv=L506,"Support"))))</f>
        <v/>
      </c>
      <c r="O506" t="str">
        <f t="shared" si="32"/>
        <v/>
      </c>
      <c r="P506" s="28" t="str">
        <f t="shared" si="33"/>
        <v/>
      </c>
    </row>
    <row r="507" spans="2:16" x14ac:dyDescent="0.25">
      <c r="B507">
        <v>5057</v>
      </c>
      <c r="H507" t="str">
        <f t="shared" si="30"/>
        <v/>
      </c>
      <c r="M507">
        <f t="shared" si="31"/>
        <v>0</v>
      </c>
      <c r="N507" t="str" cm="1">
        <f t="array" ref="N507">_xlfn.LET(_xlpm.total,SUM(I507:L507),_xlpm.maxv,MAX(I507:L507),IF(_xlpm.total=0,"",IF(_xlpm.maxv/_xlpm.total&lt;0.5,"Mixed-Class",_xlfn.IFS(_xlpm.maxv=I507,"Assault",_xlpm.maxv=J507,"Engineer",_xlpm.maxv=K507,"Recon",_xlpm.maxv=L507,"Support"))))</f>
        <v/>
      </c>
      <c r="O507" t="str">
        <f t="shared" si="32"/>
        <v/>
      </c>
      <c r="P507" s="28" t="str">
        <f t="shared" si="33"/>
        <v/>
      </c>
    </row>
    <row r="508" spans="2:16" x14ac:dyDescent="0.25">
      <c r="B508">
        <v>5067</v>
      </c>
      <c r="H508" t="str">
        <f t="shared" si="30"/>
        <v/>
      </c>
      <c r="M508">
        <f t="shared" si="31"/>
        <v>0</v>
      </c>
      <c r="N508" t="str" cm="1">
        <f t="array" ref="N508">_xlfn.LET(_xlpm.total,SUM(I508:L508),_xlpm.maxv,MAX(I508:L508),IF(_xlpm.total=0,"",IF(_xlpm.maxv/_xlpm.total&lt;0.5,"Mixed-Class",_xlfn.IFS(_xlpm.maxv=I508,"Assault",_xlpm.maxv=J508,"Engineer",_xlpm.maxv=K508,"Recon",_xlpm.maxv=L508,"Support"))))</f>
        <v/>
      </c>
      <c r="O508" t="str">
        <f t="shared" si="32"/>
        <v/>
      </c>
      <c r="P508" s="28" t="str">
        <f t="shared" si="33"/>
        <v/>
      </c>
    </row>
    <row r="509" spans="2:16" x14ac:dyDescent="0.25">
      <c r="B509">
        <v>5077</v>
      </c>
      <c r="H509" t="str">
        <f t="shared" si="30"/>
        <v/>
      </c>
      <c r="M509">
        <f t="shared" si="31"/>
        <v>0</v>
      </c>
      <c r="N509" t="str" cm="1">
        <f t="array" ref="N509">_xlfn.LET(_xlpm.total,SUM(I509:L509),_xlpm.maxv,MAX(I509:L509),IF(_xlpm.total=0,"",IF(_xlpm.maxv/_xlpm.total&lt;0.5,"Mixed-Class",_xlfn.IFS(_xlpm.maxv=I509,"Assault",_xlpm.maxv=J509,"Engineer",_xlpm.maxv=K509,"Recon",_xlpm.maxv=L509,"Support"))))</f>
        <v/>
      </c>
      <c r="O509" t="str">
        <f t="shared" si="32"/>
        <v/>
      </c>
      <c r="P509" s="28" t="str">
        <f t="shared" si="33"/>
        <v/>
      </c>
    </row>
    <row r="510" spans="2:16" x14ac:dyDescent="0.25">
      <c r="B510">
        <v>5087</v>
      </c>
      <c r="H510" t="str">
        <f t="shared" si="30"/>
        <v/>
      </c>
      <c r="M510">
        <f t="shared" si="31"/>
        <v>0</v>
      </c>
      <c r="N510" t="str" cm="1">
        <f t="array" ref="N510">_xlfn.LET(_xlpm.total,SUM(I510:L510),_xlpm.maxv,MAX(I510:L510),IF(_xlpm.total=0,"",IF(_xlpm.maxv/_xlpm.total&lt;0.5,"Mixed-Class",_xlfn.IFS(_xlpm.maxv=I510,"Assault",_xlpm.maxv=J510,"Engineer",_xlpm.maxv=K510,"Recon",_xlpm.maxv=L510,"Support"))))</f>
        <v/>
      </c>
      <c r="O510" t="str">
        <f t="shared" si="32"/>
        <v/>
      </c>
      <c r="P510" s="28" t="str">
        <f t="shared" si="33"/>
        <v/>
      </c>
    </row>
    <row r="511" spans="2:16" x14ac:dyDescent="0.25">
      <c r="B511">
        <v>5097</v>
      </c>
      <c r="H511" t="str">
        <f t="shared" si="30"/>
        <v/>
      </c>
      <c r="M511">
        <f t="shared" si="31"/>
        <v>0</v>
      </c>
      <c r="N511" t="str" cm="1">
        <f t="array" ref="N511">_xlfn.LET(_xlpm.total,SUM(I511:L511),_xlpm.maxv,MAX(I511:L511),IF(_xlpm.total=0,"",IF(_xlpm.maxv/_xlpm.total&lt;0.5,"Mixed-Class",_xlfn.IFS(_xlpm.maxv=I511,"Assault",_xlpm.maxv=J511,"Engineer",_xlpm.maxv=K511,"Recon",_xlpm.maxv=L511,"Support"))))</f>
        <v/>
      </c>
      <c r="O511" t="str">
        <f t="shared" si="32"/>
        <v/>
      </c>
      <c r="P511" s="28" t="str">
        <f t="shared" si="33"/>
        <v/>
      </c>
    </row>
    <row r="512" spans="2:16" x14ac:dyDescent="0.25">
      <c r="B512">
        <v>5107</v>
      </c>
      <c r="H512" t="str">
        <f t="shared" si="30"/>
        <v/>
      </c>
      <c r="M512">
        <f t="shared" si="31"/>
        <v>0</v>
      </c>
      <c r="N512" t="str" cm="1">
        <f t="array" ref="N512">_xlfn.LET(_xlpm.total,SUM(I512:L512),_xlpm.maxv,MAX(I512:L512),IF(_xlpm.total=0,"",IF(_xlpm.maxv/_xlpm.total&lt;0.5,"Mixed-Class",_xlfn.IFS(_xlpm.maxv=I512,"Assault",_xlpm.maxv=J512,"Engineer",_xlpm.maxv=K512,"Recon",_xlpm.maxv=L512,"Support"))))</f>
        <v/>
      </c>
      <c r="O512" t="str">
        <f t="shared" si="32"/>
        <v/>
      </c>
      <c r="P512" s="28" t="str">
        <f t="shared" si="33"/>
        <v/>
      </c>
    </row>
    <row r="513" spans="2:16" x14ac:dyDescent="0.25">
      <c r="B513">
        <v>5117</v>
      </c>
      <c r="H513" t="str">
        <f t="shared" si="30"/>
        <v/>
      </c>
      <c r="M513">
        <f t="shared" si="31"/>
        <v>0</v>
      </c>
      <c r="N513" t="str" cm="1">
        <f t="array" ref="N513">_xlfn.LET(_xlpm.total,SUM(I513:L513),_xlpm.maxv,MAX(I513:L513),IF(_xlpm.total=0,"",IF(_xlpm.maxv/_xlpm.total&lt;0.5,"Mixed-Class",_xlfn.IFS(_xlpm.maxv=I513,"Assault",_xlpm.maxv=J513,"Engineer",_xlpm.maxv=K513,"Recon",_xlpm.maxv=L513,"Support"))))</f>
        <v/>
      </c>
      <c r="O513" t="str">
        <f t="shared" si="32"/>
        <v/>
      </c>
      <c r="P513" s="28" t="str">
        <f t="shared" si="33"/>
        <v/>
      </c>
    </row>
    <row r="514" spans="2:16" x14ac:dyDescent="0.25">
      <c r="B514">
        <v>5127</v>
      </c>
      <c r="H514" t="str">
        <f t="shared" si="30"/>
        <v/>
      </c>
      <c r="M514">
        <f t="shared" si="31"/>
        <v>0</v>
      </c>
      <c r="N514" t="str" cm="1">
        <f t="array" ref="N514">_xlfn.LET(_xlpm.total,SUM(I514:L514),_xlpm.maxv,MAX(I514:L514),IF(_xlpm.total=0,"",IF(_xlpm.maxv/_xlpm.total&lt;0.5,"Mixed-Class",_xlfn.IFS(_xlpm.maxv=I514,"Assault",_xlpm.maxv=J514,"Engineer",_xlpm.maxv=K514,"Recon",_xlpm.maxv=L514,"Support"))))</f>
        <v/>
      </c>
      <c r="O514" t="str">
        <f t="shared" si="32"/>
        <v/>
      </c>
      <c r="P514" s="28" t="str">
        <f t="shared" si="33"/>
        <v/>
      </c>
    </row>
    <row r="515" spans="2:16" x14ac:dyDescent="0.25">
      <c r="B515">
        <v>5137</v>
      </c>
      <c r="H515" t="str">
        <f t="shared" ref="H515:H578" si="34">IF(SUM(D515:G515)=0,"",IF(G515/SUM(D515:G515)&gt;=0.5,"Battle Royale",IF(F515/SUM(D515:F515)&gt;=0.6,"Infantry-Heavy",IF((D515+0.7*E515)/SUM(D515:F515)&gt;=0.7,"Vehicle-Heavy","Mixed"))))</f>
        <v/>
      </c>
      <c r="M515">
        <f t="shared" ref="M515:M578" si="35">SUM(I515:L515)</f>
        <v>0</v>
      </c>
      <c r="N515" t="str" cm="1">
        <f t="array" ref="N515">_xlfn.LET(_xlpm.total,SUM(I515:L515),_xlpm.maxv,MAX(I515:L515),IF(_xlpm.total=0,"",IF(_xlpm.maxv/_xlpm.total&lt;0.5,"Mixed-Class",_xlfn.IFS(_xlpm.maxv=I515,"Assault",_xlpm.maxv=J515,"Engineer",_xlpm.maxv=K515,"Recon",_xlpm.maxv=L515,"Support"))))</f>
        <v/>
      </c>
      <c r="O515" t="str">
        <f t="shared" ref="O515:O578" si="36">_xlfn.LET(_xlpm.total,SUM(I515:L515),IF(_xlpm.total=0,"",MAX(I515:L515)/_xlpm.total&gt;=0.5))</f>
        <v/>
      </c>
      <c r="P515" s="28" t="str">
        <f t="shared" ref="P515:P578" si="37">_xlfn.LET(_xlpm.total,SUM(I515:L515),IF(_xlpm.total=0,"",MAX(I515:L515)/_xlpm.total))</f>
        <v/>
      </c>
    </row>
    <row r="516" spans="2:16" x14ac:dyDescent="0.25">
      <c r="B516">
        <v>5147</v>
      </c>
      <c r="H516" t="str">
        <f t="shared" si="34"/>
        <v/>
      </c>
      <c r="M516">
        <f t="shared" si="35"/>
        <v>0</v>
      </c>
      <c r="N516" t="str" cm="1">
        <f t="array" ref="N516">_xlfn.LET(_xlpm.total,SUM(I516:L516),_xlpm.maxv,MAX(I516:L516),IF(_xlpm.total=0,"",IF(_xlpm.maxv/_xlpm.total&lt;0.5,"Mixed-Class",_xlfn.IFS(_xlpm.maxv=I516,"Assault",_xlpm.maxv=J516,"Engineer",_xlpm.maxv=K516,"Recon",_xlpm.maxv=L516,"Support"))))</f>
        <v/>
      </c>
      <c r="O516" t="str">
        <f t="shared" si="36"/>
        <v/>
      </c>
      <c r="P516" s="28" t="str">
        <f t="shared" si="37"/>
        <v/>
      </c>
    </row>
    <row r="517" spans="2:16" x14ac:dyDescent="0.25">
      <c r="B517">
        <v>5157</v>
      </c>
      <c r="H517" t="str">
        <f t="shared" si="34"/>
        <v/>
      </c>
      <c r="M517">
        <f t="shared" si="35"/>
        <v>0</v>
      </c>
      <c r="N517" t="str" cm="1">
        <f t="array" ref="N517">_xlfn.LET(_xlpm.total,SUM(I517:L517),_xlpm.maxv,MAX(I517:L517),IF(_xlpm.total=0,"",IF(_xlpm.maxv/_xlpm.total&lt;0.5,"Mixed-Class",_xlfn.IFS(_xlpm.maxv=I517,"Assault",_xlpm.maxv=J517,"Engineer",_xlpm.maxv=K517,"Recon",_xlpm.maxv=L517,"Support"))))</f>
        <v/>
      </c>
      <c r="O517" t="str">
        <f t="shared" si="36"/>
        <v/>
      </c>
      <c r="P517" s="28" t="str">
        <f t="shared" si="37"/>
        <v/>
      </c>
    </row>
    <row r="518" spans="2:16" x14ac:dyDescent="0.25">
      <c r="B518">
        <v>5167</v>
      </c>
      <c r="H518" t="str">
        <f t="shared" si="34"/>
        <v/>
      </c>
      <c r="M518">
        <f t="shared" si="35"/>
        <v>0</v>
      </c>
      <c r="N518" t="str" cm="1">
        <f t="array" ref="N518">_xlfn.LET(_xlpm.total,SUM(I518:L518),_xlpm.maxv,MAX(I518:L518),IF(_xlpm.total=0,"",IF(_xlpm.maxv/_xlpm.total&lt;0.5,"Mixed-Class",_xlfn.IFS(_xlpm.maxv=I518,"Assault",_xlpm.maxv=J518,"Engineer",_xlpm.maxv=K518,"Recon",_xlpm.maxv=L518,"Support"))))</f>
        <v/>
      </c>
      <c r="O518" t="str">
        <f t="shared" si="36"/>
        <v/>
      </c>
      <c r="P518" s="28" t="str">
        <f t="shared" si="37"/>
        <v/>
      </c>
    </row>
    <row r="519" spans="2:16" x14ac:dyDescent="0.25">
      <c r="B519">
        <v>5177</v>
      </c>
      <c r="H519" t="str">
        <f t="shared" si="34"/>
        <v/>
      </c>
      <c r="M519">
        <f t="shared" si="35"/>
        <v>0</v>
      </c>
      <c r="N519" t="str" cm="1">
        <f t="array" ref="N519">_xlfn.LET(_xlpm.total,SUM(I519:L519),_xlpm.maxv,MAX(I519:L519),IF(_xlpm.total=0,"",IF(_xlpm.maxv/_xlpm.total&lt;0.5,"Mixed-Class",_xlfn.IFS(_xlpm.maxv=I519,"Assault",_xlpm.maxv=J519,"Engineer",_xlpm.maxv=K519,"Recon",_xlpm.maxv=L519,"Support"))))</f>
        <v/>
      </c>
      <c r="O519" t="str">
        <f t="shared" si="36"/>
        <v/>
      </c>
      <c r="P519" s="28" t="str">
        <f t="shared" si="37"/>
        <v/>
      </c>
    </row>
    <row r="520" spans="2:16" x14ac:dyDescent="0.25">
      <c r="B520">
        <v>5187</v>
      </c>
      <c r="H520" t="str">
        <f t="shared" si="34"/>
        <v/>
      </c>
      <c r="M520">
        <f t="shared" si="35"/>
        <v>0</v>
      </c>
      <c r="N520" t="str" cm="1">
        <f t="array" ref="N520">_xlfn.LET(_xlpm.total,SUM(I520:L520),_xlpm.maxv,MAX(I520:L520),IF(_xlpm.total=0,"",IF(_xlpm.maxv/_xlpm.total&lt;0.5,"Mixed-Class",_xlfn.IFS(_xlpm.maxv=I520,"Assault",_xlpm.maxv=J520,"Engineer",_xlpm.maxv=K520,"Recon",_xlpm.maxv=L520,"Support"))))</f>
        <v/>
      </c>
      <c r="O520" t="str">
        <f t="shared" si="36"/>
        <v/>
      </c>
      <c r="P520" s="28" t="str">
        <f t="shared" si="37"/>
        <v/>
      </c>
    </row>
    <row r="521" spans="2:16" x14ac:dyDescent="0.25">
      <c r="B521">
        <v>5197</v>
      </c>
      <c r="H521" t="str">
        <f t="shared" si="34"/>
        <v/>
      </c>
      <c r="M521">
        <f t="shared" si="35"/>
        <v>0</v>
      </c>
      <c r="N521" t="str" cm="1">
        <f t="array" ref="N521">_xlfn.LET(_xlpm.total,SUM(I521:L521),_xlpm.maxv,MAX(I521:L521),IF(_xlpm.total=0,"",IF(_xlpm.maxv/_xlpm.total&lt;0.5,"Mixed-Class",_xlfn.IFS(_xlpm.maxv=I521,"Assault",_xlpm.maxv=J521,"Engineer",_xlpm.maxv=K521,"Recon",_xlpm.maxv=L521,"Support"))))</f>
        <v/>
      </c>
      <c r="O521" t="str">
        <f t="shared" si="36"/>
        <v/>
      </c>
      <c r="P521" s="28" t="str">
        <f t="shared" si="37"/>
        <v/>
      </c>
    </row>
    <row r="522" spans="2:16" x14ac:dyDescent="0.25">
      <c r="B522">
        <v>5207</v>
      </c>
      <c r="H522" t="str">
        <f t="shared" si="34"/>
        <v/>
      </c>
      <c r="M522">
        <f t="shared" si="35"/>
        <v>0</v>
      </c>
      <c r="N522" t="str" cm="1">
        <f t="array" ref="N522">_xlfn.LET(_xlpm.total,SUM(I522:L522),_xlpm.maxv,MAX(I522:L522),IF(_xlpm.total=0,"",IF(_xlpm.maxv/_xlpm.total&lt;0.5,"Mixed-Class",_xlfn.IFS(_xlpm.maxv=I522,"Assault",_xlpm.maxv=J522,"Engineer",_xlpm.maxv=K522,"Recon",_xlpm.maxv=L522,"Support"))))</f>
        <v/>
      </c>
      <c r="O522" t="str">
        <f t="shared" si="36"/>
        <v/>
      </c>
      <c r="P522" s="28" t="str">
        <f t="shared" si="37"/>
        <v/>
      </c>
    </row>
    <row r="523" spans="2:16" x14ac:dyDescent="0.25">
      <c r="B523">
        <v>5217</v>
      </c>
      <c r="H523" t="str">
        <f t="shared" si="34"/>
        <v/>
      </c>
      <c r="M523">
        <f t="shared" si="35"/>
        <v>0</v>
      </c>
      <c r="N523" t="str" cm="1">
        <f t="array" ref="N523">_xlfn.LET(_xlpm.total,SUM(I523:L523),_xlpm.maxv,MAX(I523:L523),IF(_xlpm.total=0,"",IF(_xlpm.maxv/_xlpm.total&lt;0.5,"Mixed-Class",_xlfn.IFS(_xlpm.maxv=I523,"Assault",_xlpm.maxv=J523,"Engineer",_xlpm.maxv=K523,"Recon",_xlpm.maxv=L523,"Support"))))</f>
        <v/>
      </c>
      <c r="O523" t="str">
        <f t="shared" si="36"/>
        <v/>
      </c>
      <c r="P523" s="28" t="str">
        <f t="shared" si="37"/>
        <v/>
      </c>
    </row>
    <row r="524" spans="2:16" x14ac:dyDescent="0.25">
      <c r="B524">
        <v>5227</v>
      </c>
      <c r="H524" t="str">
        <f t="shared" si="34"/>
        <v/>
      </c>
      <c r="M524">
        <f t="shared" si="35"/>
        <v>0</v>
      </c>
      <c r="N524" t="str" cm="1">
        <f t="array" ref="N524">_xlfn.LET(_xlpm.total,SUM(I524:L524),_xlpm.maxv,MAX(I524:L524),IF(_xlpm.total=0,"",IF(_xlpm.maxv/_xlpm.total&lt;0.5,"Mixed-Class",_xlfn.IFS(_xlpm.maxv=I524,"Assault",_xlpm.maxv=J524,"Engineer",_xlpm.maxv=K524,"Recon",_xlpm.maxv=L524,"Support"))))</f>
        <v/>
      </c>
      <c r="O524" t="str">
        <f t="shared" si="36"/>
        <v/>
      </c>
      <c r="P524" s="28" t="str">
        <f t="shared" si="37"/>
        <v/>
      </c>
    </row>
    <row r="525" spans="2:16" x14ac:dyDescent="0.25">
      <c r="B525">
        <v>5237</v>
      </c>
      <c r="H525" t="str">
        <f t="shared" si="34"/>
        <v/>
      </c>
      <c r="M525">
        <f t="shared" si="35"/>
        <v>0</v>
      </c>
      <c r="N525" t="str" cm="1">
        <f t="array" ref="N525">_xlfn.LET(_xlpm.total,SUM(I525:L525),_xlpm.maxv,MAX(I525:L525),IF(_xlpm.total=0,"",IF(_xlpm.maxv/_xlpm.total&lt;0.5,"Mixed-Class",_xlfn.IFS(_xlpm.maxv=I525,"Assault",_xlpm.maxv=J525,"Engineer",_xlpm.maxv=K525,"Recon",_xlpm.maxv=L525,"Support"))))</f>
        <v/>
      </c>
      <c r="O525" t="str">
        <f t="shared" si="36"/>
        <v/>
      </c>
      <c r="P525" s="28" t="str">
        <f t="shared" si="37"/>
        <v/>
      </c>
    </row>
    <row r="526" spans="2:16" x14ac:dyDescent="0.25">
      <c r="B526">
        <v>5247</v>
      </c>
      <c r="H526" t="str">
        <f t="shared" si="34"/>
        <v/>
      </c>
      <c r="M526">
        <f t="shared" si="35"/>
        <v>0</v>
      </c>
      <c r="N526" t="str" cm="1">
        <f t="array" ref="N526">_xlfn.LET(_xlpm.total,SUM(I526:L526),_xlpm.maxv,MAX(I526:L526),IF(_xlpm.total=0,"",IF(_xlpm.maxv/_xlpm.total&lt;0.5,"Mixed-Class",_xlfn.IFS(_xlpm.maxv=I526,"Assault",_xlpm.maxv=J526,"Engineer",_xlpm.maxv=K526,"Recon",_xlpm.maxv=L526,"Support"))))</f>
        <v/>
      </c>
      <c r="O526" t="str">
        <f t="shared" si="36"/>
        <v/>
      </c>
      <c r="P526" s="28" t="str">
        <f t="shared" si="37"/>
        <v/>
      </c>
    </row>
    <row r="527" spans="2:16" x14ac:dyDescent="0.25">
      <c r="B527">
        <v>5257</v>
      </c>
      <c r="H527" t="str">
        <f t="shared" si="34"/>
        <v/>
      </c>
      <c r="M527">
        <f t="shared" si="35"/>
        <v>0</v>
      </c>
      <c r="N527" t="str" cm="1">
        <f t="array" ref="N527">_xlfn.LET(_xlpm.total,SUM(I527:L527),_xlpm.maxv,MAX(I527:L527),IF(_xlpm.total=0,"",IF(_xlpm.maxv/_xlpm.total&lt;0.5,"Mixed-Class",_xlfn.IFS(_xlpm.maxv=I527,"Assault",_xlpm.maxv=J527,"Engineer",_xlpm.maxv=K527,"Recon",_xlpm.maxv=L527,"Support"))))</f>
        <v/>
      </c>
      <c r="O527" t="str">
        <f t="shared" si="36"/>
        <v/>
      </c>
      <c r="P527" s="28" t="str">
        <f t="shared" si="37"/>
        <v/>
      </c>
    </row>
    <row r="528" spans="2:16" x14ac:dyDescent="0.25">
      <c r="B528">
        <v>5267</v>
      </c>
      <c r="H528" t="str">
        <f t="shared" si="34"/>
        <v/>
      </c>
      <c r="M528">
        <f t="shared" si="35"/>
        <v>0</v>
      </c>
      <c r="N528" t="str" cm="1">
        <f t="array" ref="N528">_xlfn.LET(_xlpm.total,SUM(I528:L528),_xlpm.maxv,MAX(I528:L528),IF(_xlpm.total=0,"",IF(_xlpm.maxv/_xlpm.total&lt;0.5,"Mixed-Class",_xlfn.IFS(_xlpm.maxv=I528,"Assault",_xlpm.maxv=J528,"Engineer",_xlpm.maxv=K528,"Recon",_xlpm.maxv=L528,"Support"))))</f>
        <v/>
      </c>
      <c r="O528" t="str">
        <f t="shared" si="36"/>
        <v/>
      </c>
      <c r="P528" s="28" t="str">
        <f t="shared" si="37"/>
        <v/>
      </c>
    </row>
    <row r="529" spans="2:16" x14ac:dyDescent="0.25">
      <c r="B529">
        <v>5277</v>
      </c>
      <c r="H529" t="str">
        <f t="shared" si="34"/>
        <v/>
      </c>
      <c r="M529">
        <f t="shared" si="35"/>
        <v>0</v>
      </c>
      <c r="N529" t="str" cm="1">
        <f t="array" ref="N529">_xlfn.LET(_xlpm.total,SUM(I529:L529),_xlpm.maxv,MAX(I529:L529),IF(_xlpm.total=0,"",IF(_xlpm.maxv/_xlpm.total&lt;0.5,"Mixed-Class",_xlfn.IFS(_xlpm.maxv=I529,"Assault",_xlpm.maxv=J529,"Engineer",_xlpm.maxv=K529,"Recon",_xlpm.maxv=L529,"Support"))))</f>
        <v/>
      </c>
      <c r="O529" t="str">
        <f t="shared" si="36"/>
        <v/>
      </c>
      <c r="P529" s="28" t="str">
        <f t="shared" si="37"/>
        <v/>
      </c>
    </row>
    <row r="530" spans="2:16" x14ac:dyDescent="0.25">
      <c r="B530">
        <v>5287</v>
      </c>
      <c r="H530" t="str">
        <f t="shared" si="34"/>
        <v/>
      </c>
      <c r="M530">
        <f t="shared" si="35"/>
        <v>0</v>
      </c>
      <c r="N530" t="str" cm="1">
        <f t="array" ref="N530">_xlfn.LET(_xlpm.total,SUM(I530:L530),_xlpm.maxv,MAX(I530:L530),IF(_xlpm.total=0,"",IF(_xlpm.maxv/_xlpm.total&lt;0.5,"Mixed-Class",_xlfn.IFS(_xlpm.maxv=I530,"Assault",_xlpm.maxv=J530,"Engineer",_xlpm.maxv=K530,"Recon",_xlpm.maxv=L530,"Support"))))</f>
        <v/>
      </c>
      <c r="O530" t="str">
        <f t="shared" si="36"/>
        <v/>
      </c>
      <c r="P530" s="28" t="str">
        <f t="shared" si="37"/>
        <v/>
      </c>
    </row>
    <row r="531" spans="2:16" x14ac:dyDescent="0.25">
      <c r="B531">
        <v>5297</v>
      </c>
      <c r="H531" t="str">
        <f t="shared" si="34"/>
        <v/>
      </c>
      <c r="M531">
        <f t="shared" si="35"/>
        <v>0</v>
      </c>
      <c r="N531" t="str" cm="1">
        <f t="array" ref="N531">_xlfn.LET(_xlpm.total,SUM(I531:L531),_xlpm.maxv,MAX(I531:L531),IF(_xlpm.total=0,"",IF(_xlpm.maxv/_xlpm.total&lt;0.5,"Mixed-Class",_xlfn.IFS(_xlpm.maxv=I531,"Assault",_xlpm.maxv=J531,"Engineer",_xlpm.maxv=K531,"Recon",_xlpm.maxv=L531,"Support"))))</f>
        <v/>
      </c>
      <c r="O531" t="str">
        <f t="shared" si="36"/>
        <v/>
      </c>
      <c r="P531" s="28" t="str">
        <f t="shared" si="37"/>
        <v/>
      </c>
    </row>
    <row r="532" spans="2:16" x14ac:dyDescent="0.25">
      <c r="B532">
        <v>5307</v>
      </c>
      <c r="H532" t="str">
        <f t="shared" si="34"/>
        <v/>
      </c>
      <c r="M532">
        <f t="shared" si="35"/>
        <v>0</v>
      </c>
      <c r="N532" t="str" cm="1">
        <f t="array" ref="N532">_xlfn.LET(_xlpm.total,SUM(I532:L532),_xlpm.maxv,MAX(I532:L532),IF(_xlpm.total=0,"",IF(_xlpm.maxv/_xlpm.total&lt;0.5,"Mixed-Class",_xlfn.IFS(_xlpm.maxv=I532,"Assault",_xlpm.maxv=J532,"Engineer",_xlpm.maxv=K532,"Recon",_xlpm.maxv=L532,"Support"))))</f>
        <v/>
      </c>
      <c r="O532" t="str">
        <f t="shared" si="36"/>
        <v/>
      </c>
      <c r="P532" s="28" t="str">
        <f t="shared" si="37"/>
        <v/>
      </c>
    </row>
    <row r="533" spans="2:16" x14ac:dyDescent="0.25">
      <c r="B533">
        <v>5317</v>
      </c>
      <c r="H533" t="str">
        <f t="shared" si="34"/>
        <v/>
      </c>
      <c r="M533">
        <f t="shared" si="35"/>
        <v>0</v>
      </c>
      <c r="N533" t="str" cm="1">
        <f t="array" ref="N533">_xlfn.LET(_xlpm.total,SUM(I533:L533),_xlpm.maxv,MAX(I533:L533),IF(_xlpm.total=0,"",IF(_xlpm.maxv/_xlpm.total&lt;0.5,"Mixed-Class",_xlfn.IFS(_xlpm.maxv=I533,"Assault",_xlpm.maxv=J533,"Engineer",_xlpm.maxv=K533,"Recon",_xlpm.maxv=L533,"Support"))))</f>
        <v/>
      </c>
      <c r="O533" t="str">
        <f t="shared" si="36"/>
        <v/>
      </c>
      <c r="P533" s="28" t="str">
        <f t="shared" si="37"/>
        <v/>
      </c>
    </row>
    <row r="534" spans="2:16" x14ac:dyDescent="0.25">
      <c r="B534">
        <v>5327</v>
      </c>
      <c r="H534" t="str">
        <f t="shared" si="34"/>
        <v/>
      </c>
      <c r="M534">
        <f t="shared" si="35"/>
        <v>0</v>
      </c>
      <c r="N534" t="str" cm="1">
        <f t="array" ref="N534">_xlfn.LET(_xlpm.total,SUM(I534:L534),_xlpm.maxv,MAX(I534:L534),IF(_xlpm.total=0,"",IF(_xlpm.maxv/_xlpm.total&lt;0.5,"Mixed-Class",_xlfn.IFS(_xlpm.maxv=I534,"Assault",_xlpm.maxv=J534,"Engineer",_xlpm.maxv=K534,"Recon",_xlpm.maxv=L534,"Support"))))</f>
        <v/>
      </c>
      <c r="O534" t="str">
        <f t="shared" si="36"/>
        <v/>
      </c>
      <c r="P534" s="28" t="str">
        <f t="shared" si="37"/>
        <v/>
      </c>
    </row>
    <row r="535" spans="2:16" x14ac:dyDescent="0.25">
      <c r="B535">
        <v>5337</v>
      </c>
      <c r="H535" t="str">
        <f t="shared" si="34"/>
        <v/>
      </c>
      <c r="M535">
        <f t="shared" si="35"/>
        <v>0</v>
      </c>
      <c r="N535" t="str" cm="1">
        <f t="array" ref="N535">_xlfn.LET(_xlpm.total,SUM(I535:L535),_xlpm.maxv,MAX(I535:L535),IF(_xlpm.total=0,"",IF(_xlpm.maxv/_xlpm.total&lt;0.5,"Mixed-Class",_xlfn.IFS(_xlpm.maxv=I535,"Assault",_xlpm.maxv=J535,"Engineer",_xlpm.maxv=K535,"Recon",_xlpm.maxv=L535,"Support"))))</f>
        <v/>
      </c>
      <c r="O535" t="str">
        <f t="shared" si="36"/>
        <v/>
      </c>
      <c r="P535" s="28" t="str">
        <f t="shared" si="37"/>
        <v/>
      </c>
    </row>
    <row r="536" spans="2:16" x14ac:dyDescent="0.25">
      <c r="B536">
        <v>5347</v>
      </c>
      <c r="H536" t="str">
        <f t="shared" si="34"/>
        <v/>
      </c>
      <c r="M536">
        <f t="shared" si="35"/>
        <v>0</v>
      </c>
      <c r="N536" t="str" cm="1">
        <f t="array" ref="N536">_xlfn.LET(_xlpm.total,SUM(I536:L536),_xlpm.maxv,MAX(I536:L536),IF(_xlpm.total=0,"",IF(_xlpm.maxv/_xlpm.total&lt;0.5,"Mixed-Class",_xlfn.IFS(_xlpm.maxv=I536,"Assault",_xlpm.maxv=J536,"Engineer",_xlpm.maxv=K536,"Recon",_xlpm.maxv=L536,"Support"))))</f>
        <v/>
      </c>
      <c r="O536" t="str">
        <f t="shared" si="36"/>
        <v/>
      </c>
      <c r="P536" s="28" t="str">
        <f t="shared" si="37"/>
        <v/>
      </c>
    </row>
    <row r="537" spans="2:16" x14ac:dyDescent="0.25">
      <c r="B537">
        <v>5357</v>
      </c>
      <c r="H537" t="str">
        <f t="shared" si="34"/>
        <v/>
      </c>
      <c r="M537">
        <f t="shared" si="35"/>
        <v>0</v>
      </c>
      <c r="N537" t="str" cm="1">
        <f t="array" ref="N537">_xlfn.LET(_xlpm.total,SUM(I537:L537),_xlpm.maxv,MAX(I537:L537),IF(_xlpm.total=0,"",IF(_xlpm.maxv/_xlpm.total&lt;0.5,"Mixed-Class",_xlfn.IFS(_xlpm.maxv=I537,"Assault",_xlpm.maxv=J537,"Engineer",_xlpm.maxv=K537,"Recon",_xlpm.maxv=L537,"Support"))))</f>
        <v/>
      </c>
      <c r="O537" t="str">
        <f t="shared" si="36"/>
        <v/>
      </c>
      <c r="P537" s="28" t="str">
        <f t="shared" si="37"/>
        <v/>
      </c>
    </row>
    <row r="538" spans="2:16" x14ac:dyDescent="0.25">
      <c r="B538">
        <v>5367</v>
      </c>
      <c r="H538" t="str">
        <f t="shared" si="34"/>
        <v/>
      </c>
      <c r="M538">
        <f t="shared" si="35"/>
        <v>0</v>
      </c>
      <c r="N538" t="str" cm="1">
        <f t="array" ref="N538">_xlfn.LET(_xlpm.total,SUM(I538:L538),_xlpm.maxv,MAX(I538:L538),IF(_xlpm.total=0,"",IF(_xlpm.maxv/_xlpm.total&lt;0.5,"Mixed-Class",_xlfn.IFS(_xlpm.maxv=I538,"Assault",_xlpm.maxv=J538,"Engineer",_xlpm.maxv=K538,"Recon",_xlpm.maxv=L538,"Support"))))</f>
        <v/>
      </c>
      <c r="O538" t="str">
        <f t="shared" si="36"/>
        <v/>
      </c>
      <c r="P538" s="28" t="str">
        <f t="shared" si="37"/>
        <v/>
      </c>
    </row>
    <row r="539" spans="2:16" x14ac:dyDescent="0.25">
      <c r="B539">
        <v>5377</v>
      </c>
      <c r="H539" t="str">
        <f t="shared" si="34"/>
        <v/>
      </c>
      <c r="M539">
        <f t="shared" si="35"/>
        <v>0</v>
      </c>
      <c r="N539" t="str" cm="1">
        <f t="array" ref="N539">_xlfn.LET(_xlpm.total,SUM(I539:L539),_xlpm.maxv,MAX(I539:L539),IF(_xlpm.total=0,"",IF(_xlpm.maxv/_xlpm.total&lt;0.5,"Mixed-Class",_xlfn.IFS(_xlpm.maxv=I539,"Assault",_xlpm.maxv=J539,"Engineer",_xlpm.maxv=K539,"Recon",_xlpm.maxv=L539,"Support"))))</f>
        <v/>
      </c>
      <c r="O539" t="str">
        <f t="shared" si="36"/>
        <v/>
      </c>
      <c r="P539" s="28" t="str">
        <f t="shared" si="37"/>
        <v/>
      </c>
    </row>
    <row r="540" spans="2:16" x14ac:dyDescent="0.25">
      <c r="B540">
        <v>5387</v>
      </c>
      <c r="H540" t="str">
        <f t="shared" si="34"/>
        <v/>
      </c>
      <c r="M540">
        <f t="shared" si="35"/>
        <v>0</v>
      </c>
      <c r="N540" t="str" cm="1">
        <f t="array" ref="N540">_xlfn.LET(_xlpm.total,SUM(I540:L540),_xlpm.maxv,MAX(I540:L540),IF(_xlpm.total=0,"",IF(_xlpm.maxv/_xlpm.total&lt;0.5,"Mixed-Class",_xlfn.IFS(_xlpm.maxv=I540,"Assault",_xlpm.maxv=J540,"Engineer",_xlpm.maxv=K540,"Recon",_xlpm.maxv=L540,"Support"))))</f>
        <v/>
      </c>
      <c r="O540" t="str">
        <f t="shared" si="36"/>
        <v/>
      </c>
      <c r="P540" s="28" t="str">
        <f t="shared" si="37"/>
        <v/>
      </c>
    </row>
    <row r="541" spans="2:16" x14ac:dyDescent="0.25">
      <c r="B541">
        <v>5397</v>
      </c>
      <c r="H541" t="str">
        <f t="shared" si="34"/>
        <v/>
      </c>
      <c r="M541">
        <f t="shared" si="35"/>
        <v>0</v>
      </c>
      <c r="N541" t="str" cm="1">
        <f t="array" ref="N541">_xlfn.LET(_xlpm.total,SUM(I541:L541),_xlpm.maxv,MAX(I541:L541),IF(_xlpm.total=0,"",IF(_xlpm.maxv/_xlpm.total&lt;0.5,"Mixed-Class",_xlfn.IFS(_xlpm.maxv=I541,"Assault",_xlpm.maxv=J541,"Engineer",_xlpm.maxv=K541,"Recon",_xlpm.maxv=L541,"Support"))))</f>
        <v/>
      </c>
      <c r="O541" t="str">
        <f t="shared" si="36"/>
        <v/>
      </c>
      <c r="P541" s="28" t="str">
        <f t="shared" si="37"/>
        <v/>
      </c>
    </row>
    <row r="542" spans="2:16" x14ac:dyDescent="0.25">
      <c r="B542">
        <v>5407</v>
      </c>
      <c r="H542" t="str">
        <f t="shared" si="34"/>
        <v/>
      </c>
      <c r="M542">
        <f t="shared" si="35"/>
        <v>0</v>
      </c>
      <c r="N542" t="str" cm="1">
        <f t="array" ref="N542">_xlfn.LET(_xlpm.total,SUM(I542:L542),_xlpm.maxv,MAX(I542:L542),IF(_xlpm.total=0,"",IF(_xlpm.maxv/_xlpm.total&lt;0.5,"Mixed-Class",_xlfn.IFS(_xlpm.maxv=I542,"Assault",_xlpm.maxv=J542,"Engineer",_xlpm.maxv=K542,"Recon",_xlpm.maxv=L542,"Support"))))</f>
        <v/>
      </c>
      <c r="O542" t="str">
        <f t="shared" si="36"/>
        <v/>
      </c>
      <c r="P542" s="28" t="str">
        <f t="shared" si="37"/>
        <v/>
      </c>
    </row>
    <row r="543" spans="2:16" x14ac:dyDescent="0.25">
      <c r="B543">
        <v>5417</v>
      </c>
      <c r="H543" t="str">
        <f t="shared" si="34"/>
        <v/>
      </c>
      <c r="M543">
        <f t="shared" si="35"/>
        <v>0</v>
      </c>
      <c r="N543" t="str" cm="1">
        <f t="array" ref="N543">_xlfn.LET(_xlpm.total,SUM(I543:L543),_xlpm.maxv,MAX(I543:L543),IF(_xlpm.total=0,"",IF(_xlpm.maxv/_xlpm.total&lt;0.5,"Mixed-Class",_xlfn.IFS(_xlpm.maxv=I543,"Assault",_xlpm.maxv=J543,"Engineer",_xlpm.maxv=K543,"Recon",_xlpm.maxv=L543,"Support"))))</f>
        <v/>
      </c>
      <c r="O543" t="str">
        <f t="shared" si="36"/>
        <v/>
      </c>
      <c r="P543" s="28" t="str">
        <f t="shared" si="37"/>
        <v/>
      </c>
    </row>
    <row r="544" spans="2:16" x14ac:dyDescent="0.25">
      <c r="B544">
        <v>5427</v>
      </c>
      <c r="H544" t="str">
        <f t="shared" si="34"/>
        <v/>
      </c>
      <c r="M544">
        <f t="shared" si="35"/>
        <v>0</v>
      </c>
      <c r="N544" t="str" cm="1">
        <f t="array" ref="N544">_xlfn.LET(_xlpm.total,SUM(I544:L544),_xlpm.maxv,MAX(I544:L544),IF(_xlpm.total=0,"",IF(_xlpm.maxv/_xlpm.total&lt;0.5,"Mixed-Class",_xlfn.IFS(_xlpm.maxv=I544,"Assault",_xlpm.maxv=J544,"Engineer",_xlpm.maxv=K544,"Recon",_xlpm.maxv=L544,"Support"))))</f>
        <v/>
      </c>
      <c r="O544" t="str">
        <f t="shared" si="36"/>
        <v/>
      </c>
      <c r="P544" s="28" t="str">
        <f t="shared" si="37"/>
        <v/>
      </c>
    </row>
    <row r="545" spans="2:16" x14ac:dyDescent="0.25">
      <c r="B545">
        <v>5437</v>
      </c>
      <c r="H545" t="str">
        <f t="shared" si="34"/>
        <v/>
      </c>
      <c r="M545">
        <f t="shared" si="35"/>
        <v>0</v>
      </c>
      <c r="N545" t="str" cm="1">
        <f t="array" ref="N545">_xlfn.LET(_xlpm.total,SUM(I545:L545),_xlpm.maxv,MAX(I545:L545),IF(_xlpm.total=0,"",IF(_xlpm.maxv/_xlpm.total&lt;0.5,"Mixed-Class",_xlfn.IFS(_xlpm.maxv=I545,"Assault",_xlpm.maxv=J545,"Engineer",_xlpm.maxv=K545,"Recon",_xlpm.maxv=L545,"Support"))))</f>
        <v/>
      </c>
      <c r="O545" t="str">
        <f t="shared" si="36"/>
        <v/>
      </c>
      <c r="P545" s="28" t="str">
        <f t="shared" si="37"/>
        <v/>
      </c>
    </row>
    <row r="546" spans="2:16" x14ac:dyDescent="0.25">
      <c r="B546">
        <v>5447</v>
      </c>
      <c r="H546" t="str">
        <f t="shared" si="34"/>
        <v/>
      </c>
      <c r="M546">
        <f t="shared" si="35"/>
        <v>0</v>
      </c>
      <c r="N546" t="str" cm="1">
        <f t="array" ref="N546">_xlfn.LET(_xlpm.total,SUM(I546:L546),_xlpm.maxv,MAX(I546:L546),IF(_xlpm.total=0,"",IF(_xlpm.maxv/_xlpm.total&lt;0.5,"Mixed-Class",_xlfn.IFS(_xlpm.maxv=I546,"Assault",_xlpm.maxv=J546,"Engineer",_xlpm.maxv=K546,"Recon",_xlpm.maxv=L546,"Support"))))</f>
        <v/>
      </c>
      <c r="O546" t="str">
        <f t="shared" si="36"/>
        <v/>
      </c>
      <c r="P546" s="28" t="str">
        <f t="shared" si="37"/>
        <v/>
      </c>
    </row>
    <row r="547" spans="2:16" x14ac:dyDescent="0.25">
      <c r="B547">
        <v>5457</v>
      </c>
      <c r="H547" t="str">
        <f t="shared" si="34"/>
        <v/>
      </c>
      <c r="M547">
        <f t="shared" si="35"/>
        <v>0</v>
      </c>
      <c r="N547" t="str" cm="1">
        <f t="array" ref="N547">_xlfn.LET(_xlpm.total,SUM(I547:L547),_xlpm.maxv,MAX(I547:L547),IF(_xlpm.total=0,"",IF(_xlpm.maxv/_xlpm.total&lt;0.5,"Mixed-Class",_xlfn.IFS(_xlpm.maxv=I547,"Assault",_xlpm.maxv=J547,"Engineer",_xlpm.maxv=K547,"Recon",_xlpm.maxv=L547,"Support"))))</f>
        <v/>
      </c>
      <c r="O547" t="str">
        <f t="shared" si="36"/>
        <v/>
      </c>
      <c r="P547" s="28" t="str">
        <f t="shared" si="37"/>
        <v/>
      </c>
    </row>
    <row r="548" spans="2:16" x14ac:dyDescent="0.25">
      <c r="B548">
        <v>5467</v>
      </c>
      <c r="H548" t="str">
        <f t="shared" si="34"/>
        <v/>
      </c>
      <c r="M548">
        <f t="shared" si="35"/>
        <v>0</v>
      </c>
      <c r="N548" t="str" cm="1">
        <f t="array" ref="N548">_xlfn.LET(_xlpm.total,SUM(I548:L548),_xlpm.maxv,MAX(I548:L548),IF(_xlpm.total=0,"",IF(_xlpm.maxv/_xlpm.total&lt;0.5,"Mixed-Class",_xlfn.IFS(_xlpm.maxv=I548,"Assault",_xlpm.maxv=J548,"Engineer",_xlpm.maxv=K548,"Recon",_xlpm.maxv=L548,"Support"))))</f>
        <v/>
      </c>
      <c r="O548" t="str">
        <f t="shared" si="36"/>
        <v/>
      </c>
      <c r="P548" s="28" t="str">
        <f t="shared" si="37"/>
        <v/>
      </c>
    </row>
    <row r="549" spans="2:16" x14ac:dyDescent="0.25">
      <c r="B549">
        <v>5477</v>
      </c>
      <c r="H549" t="str">
        <f t="shared" si="34"/>
        <v/>
      </c>
      <c r="M549">
        <f t="shared" si="35"/>
        <v>0</v>
      </c>
      <c r="N549" t="str" cm="1">
        <f t="array" ref="N549">_xlfn.LET(_xlpm.total,SUM(I549:L549),_xlpm.maxv,MAX(I549:L549),IF(_xlpm.total=0,"",IF(_xlpm.maxv/_xlpm.total&lt;0.5,"Mixed-Class",_xlfn.IFS(_xlpm.maxv=I549,"Assault",_xlpm.maxv=J549,"Engineer",_xlpm.maxv=K549,"Recon",_xlpm.maxv=L549,"Support"))))</f>
        <v/>
      </c>
      <c r="O549" t="str">
        <f t="shared" si="36"/>
        <v/>
      </c>
      <c r="P549" s="28" t="str">
        <f t="shared" si="37"/>
        <v/>
      </c>
    </row>
    <row r="550" spans="2:16" x14ac:dyDescent="0.25">
      <c r="B550">
        <v>5487</v>
      </c>
      <c r="H550" t="str">
        <f t="shared" si="34"/>
        <v/>
      </c>
      <c r="M550">
        <f t="shared" si="35"/>
        <v>0</v>
      </c>
      <c r="N550" t="str" cm="1">
        <f t="array" ref="N550">_xlfn.LET(_xlpm.total,SUM(I550:L550),_xlpm.maxv,MAX(I550:L550),IF(_xlpm.total=0,"",IF(_xlpm.maxv/_xlpm.total&lt;0.5,"Mixed-Class",_xlfn.IFS(_xlpm.maxv=I550,"Assault",_xlpm.maxv=J550,"Engineer",_xlpm.maxv=K550,"Recon",_xlpm.maxv=L550,"Support"))))</f>
        <v/>
      </c>
      <c r="O550" t="str">
        <f t="shared" si="36"/>
        <v/>
      </c>
      <c r="P550" s="28" t="str">
        <f t="shared" si="37"/>
        <v/>
      </c>
    </row>
    <row r="551" spans="2:16" x14ac:dyDescent="0.25">
      <c r="B551">
        <v>5497</v>
      </c>
      <c r="H551" t="str">
        <f t="shared" si="34"/>
        <v/>
      </c>
      <c r="M551">
        <f t="shared" si="35"/>
        <v>0</v>
      </c>
      <c r="N551" t="str" cm="1">
        <f t="array" ref="N551">_xlfn.LET(_xlpm.total,SUM(I551:L551),_xlpm.maxv,MAX(I551:L551),IF(_xlpm.total=0,"",IF(_xlpm.maxv/_xlpm.total&lt;0.5,"Mixed-Class",_xlfn.IFS(_xlpm.maxv=I551,"Assault",_xlpm.maxv=J551,"Engineer",_xlpm.maxv=K551,"Recon",_xlpm.maxv=L551,"Support"))))</f>
        <v/>
      </c>
      <c r="O551" t="str">
        <f t="shared" si="36"/>
        <v/>
      </c>
      <c r="P551" s="28" t="str">
        <f t="shared" si="37"/>
        <v/>
      </c>
    </row>
    <row r="552" spans="2:16" x14ac:dyDescent="0.25">
      <c r="B552">
        <v>5507</v>
      </c>
      <c r="H552" t="str">
        <f t="shared" si="34"/>
        <v/>
      </c>
      <c r="M552">
        <f t="shared" si="35"/>
        <v>0</v>
      </c>
      <c r="N552" t="str" cm="1">
        <f t="array" ref="N552">_xlfn.LET(_xlpm.total,SUM(I552:L552),_xlpm.maxv,MAX(I552:L552),IF(_xlpm.total=0,"",IF(_xlpm.maxv/_xlpm.total&lt;0.5,"Mixed-Class",_xlfn.IFS(_xlpm.maxv=I552,"Assault",_xlpm.maxv=J552,"Engineer",_xlpm.maxv=K552,"Recon",_xlpm.maxv=L552,"Support"))))</f>
        <v/>
      </c>
      <c r="O552" t="str">
        <f t="shared" si="36"/>
        <v/>
      </c>
      <c r="P552" s="28" t="str">
        <f t="shared" si="37"/>
        <v/>
      </c>
    </row>
    <row r="553" spans="2:16" x14ac:dyDescent="0.25">
      <c r="B553">
        <v>5517</v>
      </c>
      <c r="H553" t="str">
        <f t="shared" si="34"/>
        <v/>
      </c>
      <c r="M553">
        <f t="shared" si="35"/>
        <v>0</v>
      </c>
      <c r="N553" t="str" cm="1">
        <f t="array" ref="N553">_xlfn.LET(_xlpm.total,SUM(I553:L553),_xlpm.maxv,MAX(I553:L553),IF(_xlpm.total=0,"",IF(_xlpm.maxv/_xlpm.total&lt;0.5,"Mixed-Class",_xlfn.IFS(_xlpm.maxv=I553,"Assault",_xlpm.maxv=J553,"Engineer",_xlpm.maxv=K553,"Recon",_xlpm.maxv=L553,"Support"))))</f>
        <v/>
      </c>
      <c r="O553" t="str">
        <f t="shared" si="36"/>
        <v/>
      </c>
      <c r="P553" s="28" t="str">
        <f t="shared" si="37"/>
        <v/>
      </c>
    </row>
    <row r="554" spans="2:16" x14ac:dyDescent="0.25">
      <c r="B554">
        <v>5527</v>
      </c>
      <c r="H554" t="str">
        <f t="shared" si="34"/>
        <v/>
      </c>
      <c r="M554">
        <f t="shared" si="35"/>
        <v>0</v>
      </c>
      <c r="N554" t="str" cm="1">
        <f t="array" ref="N554">_xlfn.LET(_xlpm.total,SUM(I554:L554),_xlpm.maxv,MAX(I554:L554),IF(_xlpm.total=0,"",IF(_xlpm.maxv/_xlpm.total&lt;0.5,"Mixed-Class",_xlfn.IFS(_xlpm.maxv=I554,"Assault",_xlpm.maxv=J554,"Engineer",_xlpm.maxv=K554,"Recon",_xlpm.maxv=L554,"Support"))))</f>
        <v/>
      </c>
      <c r="O554" t="str">
        <f t="shared" si="36"/>
        <v/>
      </c>
      <c r="P554" s="28" t="str">
        <f t="shared" si="37"/>
        <v/>
      </c>
    </row>
    <row r="555" spans="2:16" x14ac:dyDescent="0.25">
      <c r="B555">
        <v>5537</v>
      </c>
      <c r="H555" t="str">
        <f t="shared" si="34"/>
        <v/>
      </c>
      <c r="M555">
        <f t="shared" si="35"/>
        <v>0</v>
      </c>
      <c r="N555" t="str" cm="1">
        <f t="array" ref="N555">_xlfn.LET(_xlpm.total,SUM(I555:L555),_xlpm.maxv,MAX(I555:L555),IF(_xlpm.total=0,"",IF(_xlpm.maxv/_xlpm.total&lt;0.5,"Mixed-Class",_xlfn.IFS(_xlpm.maxv=I555,"Assault",_xlpm.maxv=J555,"Engineer",_xlpm.maxv=K555,"Recon",_xlpm.maxv=L555,"Support"))))</f>
        <v/>
      </c>
      <c r="O555" t="str">
        <f t="shared" si="36"/>
        <v/>
      </c>
      <c r="P555" s="28" t="str">
        <f t="shared" si="37"/>
        <v/>
      </c>
    </row>
    <row r="556" spans="2:16" x14ac:dyDescent="0.25">
      <c r="B556">
        <v>5547</v>
      </c>
      <c r="H556" t="str">
        <f t="shared" si="34"/>
        <v/>
      </c>
      <c r="M556">
        <f t="shared" si="35"/>
        <v>0</v>
      </c>
      <c r="N556" t="str" cm="1">
        <f t="array" ref="N556">_xlfn.LET(_xlpm.total,SUM(I556:L556),_xlpm.maxv,MAX(I556:L556),IF(_xlpm.total=0,"",IF(_xlpm.maxv/_xlpm.total&lt;0.5,"Mixed-Class",_xlfn.IFS(_xlpm.maxv=I556,"Assault",_xlpm.maxv=J556,"Engineer",_xlpm.maxv=K556,"Recon",_xlpm.maxv=L556,"Support"))))</f>
        <v/>
      </c>
      <c r="O556" t="str">
        <f t="shared" si="36"/>
        <v/>
      </c>
      <c r="P556" s="28" t="str">
        <f t="shared" si="37"/>
        <v/>
      </c>
    </row>
    <row r="557" spans="2:16" x14ac:dyDescent="0.25">
      <c r="B557">
        <v>5557</v>
      </c>
      <c r="H557" t="str">
        <f t="shared" si="34"/>
        <v/>
      </c>
      <c r="M557">
        <f t="shared" si="35"/>
        <v>0</v>
      </c>
      <c r="N557" t="str" cm="1">
        <f t="array" ref="N557">_xlfn.LET(_xlpm.total,SUM(I557:L557),_xlpm.maxv,MAX(I557:L557),IF(_xlpm.total=0,"",IF(_xlpm.maxv/_xlpm.total&lt;0.5,"Mixed-Class",_xlfn.IFS(_xlpm.maxv=I557,"Assault",_xlpm.maxv=J557,"Engineer",_xlpm.maxv=K557,"Recon",_xlpm.maxv=L557,"Support"))))</f>
        <v/>
      </c>
      <c r="O557" t="str">
        <f t="shared" si="36"/>
        <v/>
      </c>
      <c r="P557" s="28" t="str">
        <f t="shared" si="37"/>
        <v/>
      </c>
    </row>
    <row r="558" spans="2:16" x14ac:dyDescent="0.25">
      <c r="B558">
        <v>5567</v>
      </c>
      <c r="H558" t="str">
        <f t="shared" si="34"/>
        <v/>
      </c>
      <c r="M558">
        <f t="shared" si="35"/>
        <v>0</v>
      </c>
      <c r="N558" t="str" cm="1">
        <f t="array" ref="N558">_xlfn.LET(_xlpm.total,SUM(I558:L558),_xlpm.maxv,MAX(I558:L558),IF(_xlpm.total=0,"",IF(_xlpm.maxv/_xlpm.total&lt;0.5,"Mixed-Class",_xlfn.IFS(_xlpm.maxv=I558,"Assault",_xlpm.maxv=J558,"Engineer",_xlpm.maxv=K558,"Recon",_xlpm.maxv=L558,"Support"))))</f>
        <v/>
      </c>
      <c r="O558" t="str">
        <f t="shared" si="36"/>
        <v/>
      </c>
      <c r="P558" s="28" t="str">
        <f t="shared" si="37"/>
        <v/>
      </c>
    </row>
    <row r="559" spans="2:16" x14ac:dyDescent="0.25">
      <c r="B559">
        <v>5577</v>
      </c>
      <c r="H559" t="str">
        <f t="shared" si="34"/>
        <v/>
      </c>
      <c r="M559">
        <f t="shared" si="35"/>
        <v>0</v>
      </c>
      <c r="N559" t="str" cm="1">
        <f t="array" ref="N559">_xlfn.LET(_xlpm.total,SUM(I559:L559),_xlpm.maxv,MAX(I559:L559),IF(_xlpm.total=0,"",IF(_xlpm.maxv/_xlpm.total&lt;0.5,"Mixed-Class",_xlfn.IFS(_xlpm.maxv=I559,"Assault",_xlpm.maxv=J559,"Engineer",_xlpm.maxv=K559,"Recon",_xlpm.maxv=L559,"Support"))))</f>
        <v/>
      </c>
      <c r="O559" t="str">
        <f t="shared" si="36"/>
        <v/>
      </c>
      <c r="P559" s="28" t="str">
        <f t="shared" si="37"/>
        <v/>
      </c>
    </row>
    <row r="560" spans="2:16" x14ac:dyDescent="0.25">
      <c r="B560">
        <v>5587</v>
      </c>
      <c r="H560" t="str">
        <f t="shared" si="34"/>
        <v/>
      </c>
      <c r="M560">
        <f t="shared" si="35"/>
        <v>0</v>
      </c>
      <c r="N560" t="str" cm="1">
        <f t="array" ref="N560">_xlfn.LET(_xlpm.total,SUM(I560:L560),_xlpm.maxv,MAX(I560:L560),IF(_xlpm.total=0,"",IF(_xlpm.maxv/_xlpm.total&lt;0.5,"Mixed-Class",_xlfn.IFS(_xlpm.maxv=I560,"Assault",_xlpm.maxv=J560,"Engineer",_xlpm.maxv=K560,"Recon",_xlpm.maxv=L560,"Support"))))</f>
        <v/>
      </c>
      <c r="O560" t="str">
        <f t="shared" si="36"/>
        <v/>
      </c>
      <c r="P560" s="28" t="str">
        <f t="shared" si="37"/>
        <v/>
      </c>
    </row>
    <row r="561" spans="2:16" x14ac:dyDescent="0.25">
      <c r="B561">
        <v>5597</v>
      </c>
      <c r="H561" t="str">
        <f t="shared" si="34"/>
        <v/>
      </c>
      <c r="M561">
        <f t="shared" si="35"/>
        <v>0</v>
      </c>
      <c r="N561" t="str" cm="1">
        <f t="array" ref="N561">_xlfn.LET(_xlpm.total,SUM(I561:L561),_xlpm.maxv,MAX(I561:L561),IF(_xlpm.total=0,"",IF(_xlpm.maxv/_xlpm.total&lt;0.5,"Mixed-Class",_xlfn.IFS(_xlpm.maxv=I561,"Assault",_xlpm.maxv=J561,"Engineer",_xlpm.maxv=K561,"Recon",_xlpm.maxv=L561,"Support"))))</f>
        <v/>
      </c>
      <c r="O561" t="str">
        <f t="shared" si="36"/>
        <v/>
      </c>
      <c r="P561" s="28" t="str">
        <f t="shared" si="37"/>
        <v/>
      </c>
    </row>
    <row r="562" spans="2:16" x14ac:dyDescent="0.25">
      <c r="B562">
        <v>5607</v>
      </c>
      <c r="H562" t="str">
        <f t="shared" si="34"/>
        <v/>
      </c>
      <c r="M562">
        <f t="shared" si="35"/>
        <v>0</v>
      </c>
      <c r="N562" t="str" cm="1">
        <f t="array" ref="N562">_xlfn.LET(_xlpm.total,SUM(I562:L562),_xlpm.maxv,MAX(I562:L562),IF(_xlpm.total=0,"",IF(_xlpm.maxv/_xlpm.total&lt;0.5,"Mixed-Class",_xlfn.IFS(_xlpm.maxv=I562,"Assault",_xlpm.maxv=J562,"Engineer",_xlpm.maxv=K562,"Recon",_xlpm.maxv=L562,"Support"))))</f>
        <v/>
      </c>
      <c r="O562" t="str">
        <f t="shared" si="36"/>
        <v/>
      </c>
      <c r="P562" s="28" t="str">
        <f t="shared" si="37"/>
        <v/>
      </c>
    </row>
    <row r="563" spans="2:16" x14ac:dyDescent="0.25">
      <c r="B563">
        <v>5617</v>
      </c>
      <c r="H563" t="str">
        <f t="shared" si="34"/>
        <v/>
      </c>
      <c r="M563">
        <f t="shared" si="35"/>
        <v>0</v>
      </c>
      <c r="N563" t="str" cm="1">
        <f t="array" ref="N563">_xlfn.LET(_xlpm.total,SUM(I563:L563),_xlpm.maxv,MAX(I563:L563),IF(_xlpm.total=0,"",IF(_xlpm.maxv/_xlpm.total&lt;0.5,"Mixed-Class",_xlfn.IFS(_xlpm.maxv=I563,"Assault",_xlpm.maxv=J563,"Engineer",_xlpm.maxv=K563,"Recon",_xlpm.maxv=L563,"Support"))))</f>
        <v/>
      </c>
      <c r="O563" t="str">
        <f t="shared" si="36"/>
        <v/>
      </c>
      <c r="P563" s="28" t="str">
        <f t="shared" si="37"/>
        <v/>
      </c>
    </row>
    <row r="564" spans="2:16" x14ac:dyDescent="0.25">
      <c r="B564">
        <v>5627</v>
      </c>
      <c r="H564" t="str">
        <f t="shared" si="34"/>
        <v/>
      </c>
      <c r="M564">
        <f t="shared" si="35"/>
        <v>0</v>
      </c>
      <c r="N564" t="str" cm="1">
        <f t="array" ref="N564">_xlfn.LET(_xlpm.total,SUM(I564:L564),_xlpm.maxv,MAX(I564:L564),IF(_xlpm.total=0,"",IF(_xlpm.maxv/_xlpm.total&lt;0.5,"Mixed-Class",_xlfn.IFS(_xlpm.maxv=I564,"Assault",_xlpm.maxv=J564,"Engineer",_xlpm.maxv=K564,"Recon",_xlpm.maxv=L564,"Support"))))</f>
        <v/>
      </c>
      <c r="O564" t="str">
        <f t="shared" si="36"/>
        <v/>
      </c>
      <c r="P564" s="28" t="str">
        <f t="shared" si="37"/>
        <v/>
      </c>
    </row>
    <row r="565" spans="2:16" x14ac:dyDescent="0.25">
      <c r="B565">
        <v>5637</v>
      </c>
      <c r="H565" t="str">
        <f t="shared" si="34"/>
        <v/>
      </c>
      <c r="M565">
        <f t="shared" si="35"/>
        <v>0</v>
      </c>
      <c r="N565" t="str" cm="1">
        <f t="array" ref="N565">_xlfn.LET(_xlpm.total,SUM(I565:L565),_xlpm.maxv,MAX(I565:L565),IF(_xlpm.total=0,"",IF(_xlpm.maxv/_xlpm.total&lt;0.5,"Mixed-Class",_xlfn.IFS(_xlpm.maxv=I565,"Assault",_xlpm.maxv=J565,"Engineer",_xlpm.maxv=K565,"Recon",_xlpm.maxv=L565,"Support"))))</f>
        <v/>
      </c>
      <c r="O565" t="str">
        <f t="shared" si="36"/>
        <v/>
      </c>
      <c r="P565" s="28" t="str">
        <f t="shared" si="37"/>
        <v/>
      </c>
    </row>
    <row r="566" spans="2:16" x14ac:dyDescent="0.25">
      <c r="B566">
        <v>5647</v>
      </c>
      <c r="H566" t="str">
        <f t="shared" si="34"/>
        <v/>
      </c>
      <c r="M566">
        <f t="shared" si="35"/>
        <v>0</v>
      </c>
      <c r="N566" t="str" cm="1">
        <f t="array" ref="N566">_xlfn.LET(_xlpm.total,SUM(I566:L566),_xlpm.maxv,MAX(I566:L566),IF(_xlpm.total=0,"",IF(_xlpm.maxv/_xlpm.total&lt;0.5,"Mixed-Class",_xlfn.IFS(_xlpm.maxv=I566,"Assault",_xlpm.maxv=J566,"Engineer",_xlpm.maxv=K566,"Recon",_xlpm.maxv=L566,"Support"))))</f>
        <v/>
      </c>
      <c r="O566" t="str">
        <f t="shared" si="36"/>
        <v/>
      </c>
      <c r="P566" s="28" t="str">
        <f t="shared" si="37"/>
        <v/>
      </c>
    </row>
    <row r="567" spans="2:16" x14ac:dyDescent="0.25">
      <c r="B567">
        <v>5657</v>
      </c>
      <c r="H567" t="str">
        <f t="shared" si="34"/>
        <v/>
      </c>
      <c r="M567">
        <f t="shared" si="35"/>
        <v>0</v>
      </c>
      <c r="N567" t="str" cm="1">
        <f t="array" ref="N567">_xlfn.LET(_xlpm.total,SUM(I567:L567),_xlpm.maxv,MAX(I567:L567),IF(_xlpm.total=0,"",IF(_xlpm.maxv/_xlpm.total&lt;0.5,"Mixed-Class",_xlfn.IFS(_xlpm.maxv=I567,"Assault",_xlpm.maxv=J567,"Engineer",_xlpm.maxv=K567,"Recon",_xlpm.maxv=L567,"Support"))))</f>
        <v/>
      </c>
      <c r="O567" t="str">
        <f t="shared" si="36"/>
        <v/>
      </c>
      <c r="P567" s="28" t="str">
        <f t="shared" si="37"/>
        <v/>
      </c>
    </row>
    <row r="568" spans="2:16" x14ac:dyDescent="0.25">
      <c r="B568">
        <v>5667</v>
      </c>
      <c r="H568" t="str">
        <f t="shared" si="34"/>
        <v/>
      </c>
      <c r="M568">
        <f t="shared" si="35"/>
        <v>0</v>
      </c>
      <c r="N568" t="str" cm="1">
        <f t="array" ref="N568">_xlfn.LET(_xlpm.total,SUM(I568:L568),_xlpm.maxv,MAX(I568:L568),IF(_xlpm.total=0,"",IF(_xlpm.maxv/_xlpm.total&lt;0.5,"Mixed-Class",_xlfn.IFS(_xlpm.maxv=I568,"Assault",_xlpm.maxv=J568,"Engineer",_xlpm.maxv=K568,"Recon",_xlpm.maxv=L568,"Support"))))</f>
        <v/>
      </c>
      <c r="O568" t="str">
        <f t="shared" si="36"/>
        <v/>
      </c>
      <c r="P568" s="28" t="str">
        <f t="shared" si="37"/>
        <v/>
      </c>
    </row>
    <row r="569" spans="2:16" x14ac:dyDescent="0.25">
      <c r="B569">
        <v>5677</v>
      </c>
      <c r="H569" t="str">
        <f t="shared" si="34"/>
        <v/>
      </c>
      <c r="M569">
        <f t="shared" si="35"/>
        <v>0</v>
      </c>
      <c r="N569" t="str" cm="1">
        <f t="array" ref="N569">_xlfn.LET(_xlpm.total,SUM(I569:L569),_xlpm.maxv,MAX(I569:L569),IF(_xlpm.total=0,"",IF(_xlpm.maxv/_xlpm.total&lt;0.5,"Mixed-Class",_xlfn.IFS(_xlpm.maxv=I569,"Assault",_xlpm.maxv=J569,"Engineer",_xlpm.maxv=K569,"Recon",_xlpm.maxv=L569,"Support"))))</f>
        <v/>
      </c>
      <c r="O569" t="str">
        <f t="shared" si="36"/>
        <v/>
      </c>
      <c r="P569" s="28" t="str">
        <f t="shared" si="37"/>
        <v/>
      </c>
    </row>
    <row r="570" spans="2:16" x14ac:dyDescent="0.25">
      <c r="B570">
        <v>5687</v>
      </c>
      <c r="H570" t="str">
        <f t="shared" si="34"/>
        <v/>
      </c>
      <c r="M570">
        <f t="shared" si="35"/>
        <v>0</v>
      </c>
      <c r="N570" t="str" cm="1">
        <f t="array" ref="N570">_xlfn.LET(_xlpm.total,SUM(I570:L570),_xlpm.maxv,MAX(I570:L570),IF(_xlpm.total=0,"",IF(_xlpm.maxv/_xlpm.total&lt;0.5,"Mixed-Class",_xlfn.IFS(_xlpm.maxv=I570,"Assault",_xlpm.maxv=J570,"Engineer",_xlpm.maxv=K570,"Recon",_xlpm.maxv=L570,"Support"))))</f>
        <v/>
      </c>
      <c r="O570" t="str">
        <f t="shared" si="36"/>
        <v/>
      </c>
      <c r="P570" s="28" t="str">
        <f t="shared" si="37"/>
        <v/>
      </c>
    </row>
    <row r="571" spans="2:16" x14ac:dyDescent="0.25">
      <c r="B571">
        <v>5697</v>
      </c>
      <c r="H571" t="str">
        <f t="shared" si="34"/>
        <v/>
      </c>
      <c r="M571">
        <f t="shared" si="35"/>
        <v>0</v>
      </c>
      <c r="N571" t="str" cm="1">
        <f t="array" ref="N571">_xlfn.LET(_xlpm.total,SUM(I571:L571),_xlpm.maxv,MAX(I571:L571),IF(_xlpm.total=0,"",IF(_xlpm.maxv/_xlpm.total&lt;0.5,"Mixed-Class",_xlfn.IFS(_xlpm.maxv=I571,"Assault",_xlpm.maxv=J571,"Engineer",_xlpm.maxv=K571,"Recon",_xlpm.maxv=L571,"Support"))))</f>
        <v/>
      </c>
      <c r="O571" t="str">
        <f t="shared" si="36"/>
        <v/>
      </c>
      <c r="P571" s="28" t="str">
        <f t="shared" si="37"/>
        <v/>
      </c>
    </row>
    <row r="572" spans="2:16" x14ac:dyDescent="0.25">
      <c r="B572">
        <v>5707</v>
      </c>
      <c r="H572" t="str">
        <f t="shared" si="34"/>
        <v/>
      </c>
      <c r="M572">
        <f t="shared" si="35"/>
        <v>0</v>
      </c>
      <c r="N572" t="str" cm="1">
        <f t="array" ref="N572">_xlfn.LET(_xlpm.total,SUM(I572:L572),_xlpm.maxv,MAX(I572:L572),IF(_xlpm.total=0,"",IF(_xlpm.maxv/_xlpm.total&lt;0.5,"Mixed-Class",_xlfn.IFS(_xlpm.maxv=I572,"Assault",_xlpm.maxv=J572,"Engineer",_xlpm.maxv=K572,"Recon",_xlpm.maxv=L572,"Support"))))</f>
        <v/>
      </c>
      <c r="O572" t="str">
        <f t="shared" si="36"/>
        <v/>
      </c>
      <c r="P572" s="28" t="str">
        <f t="shared" si="37"/>
        <v/>
      </c>
    </row>
    <row r="573" spans="2:16" x14ac:dyDescent="0.25">
      <c r="B573">
        <v>5717</v>
      </c>
      <c r="H573" t="str">
        <f t="shared" si="34"/>
        <v/>
      </c>
      <c r="M573">
        <f t="shared" si="35"/>
        <v>0</v>
      </c>
      <c r="N573" t="str" cm="1">
        <f t="array" ref="N573">_xlfn.LET(_xlpm.total,SUM(I573:L573),_xlpm.maxv,MAX(I573:L573),IF(_xlpm.total=0,"",IF(_xlpm.maxv/_xlpm.total&lt;0.5,"Mixed-Class",_xlfn.IFS(_xlpm.maxv=I573,"Assault",_xlpm.maxv=J573,"Engineer",_xlpm.maxv=K573,"Recon",_xlpm.maxv=L573,"Support"))))</f>
        <v/>
      </c>
      <c r="O573" t="str">
        <f t="shared" si="36"/>
        <v/>
      </c>
      <c r="P573" s="28" t="str">
        <f t="shared" si="37"/>
        <v/>
      </c>
    </row>
    <row r="574" spans="2:16" x14ac:dyDescent="0.25">
      <c r="B574">
        <v>5727</v>
      </c>
      <c r="H574" t="str">
        <f t="shared" si="34"/>
        <v/>
      </c>
      <c r="M574">
        <f t="shared" si="35"/>
        <v>0</v>
      </c>
      <c r="N574" t="str" cm="1">
        <f t="array" ref="N574">_xlfn.LET(_xlpm.total,SUM(I574:L574),_xlpm.maxv,MAX(I574:L574),IF(_xlpm.total=0,"",IF(_xlpm.maxv/_xlpm.total&lt;0.5,"Mixed-Class",_xlfn.IFS(_xlpm.maxv=I574,"Assault",_xlpm.maxv=J574,"Engineer",_xlpm.maxv=K574,"Recon",_xlpm.maxv=L574,"Support"))))</f>
        <v/>
      </c>
      <c r="O574" t="str">
        <f t="shared" si="36"/>
        <v/>
      </c>
      <c r="P574" s="28" t="str">
        <f t="shared" si="37"/>
        <v/>
      </c>
    </row>
    <row r="575" spans="2:16" x14ac:dyDescent="0.25">
      <c r="B575">
        <v>5737</v>
      </c>
      <c r="H575" t="str">
        <f t="shared" si="34"/>
        <v/>
      </c>
      <c r="M575">
        <f t="shared" si="35"/>
        <v>0</v>
      </c>
      <c r="N575" t="str" cm="1">
        <f t="array" ref="N575">_xlfn.LET(_xlpm.total,SUM(I575:L575),_xlpm.maxv,MAX(I575:L575),IF(_xlpm.total=0,"",IF(_xlpm.maxv/_xlpm.total&lt;0.5,"Mixed-Class",_xlfn.IFS(_xlpm.maxv=I575,"Assault",_xlpm.maxv=J575,"Engineer",_xlpm.maxv=K575,"Recon",_xlpm.maxv=L575,"Support"))))</f>
        <v/>
      </c>
      <c r="O575" t="str">
        <f t="shared" si="36"/>
        <v/>
      </c>
      <c r="P575" s="28" t="str">
        <f t="shared" si="37"/>
        <v/>
      </c>
    </row>
    <row r="576" spans="2:16" x14ac:dyDescent="0.25">
      <c r="B576">
        <v>5747</v>
      </c>
      <c r="H576" t="str">
        <f t="shared" si="34"/>
        <v/>
      </c>
      <c r="M576">
        <f t="shared" si="35"/>
        <v>0</v>
      </c>
      <c r="N576" t="str" cm="1">
        <f t="array" ref="N576">_xlfn.LET(_xlpm.total,SUM(I576:L576),_xlpm.maxv,MAX(I576:L576),IF(_xlpm.total=0,"",IF(_xlpm.maxv/_xlpm.total&lt;0.5,"Mixed-Class",_xlfn.IFS(_xlpm.maxv=I576,"Assault",_xlpm.maxv=J576,"Engineer",_xlpm.maxv=K576,"Recon",_xlpm.maxv=L576,"Support"))))</f>
        <v/>
      </c>
      <c r="O576" t="str">
        <f t="shared" si="36"/>
        <v/>
      </c>
      <c r="P576" s="28" t="str">
        <f t="shared" si="37"/>
        <v/>
      </c>
    </row>
    <row r="577" spans="2:16" x14ac:dyDescent="0.25">
      <c r="B577">
        <v>5757</v>
      </c>
      <c r="H577" t="str">
        <f t="shared" si="34"/>
        <v/>
      </c>
      <c r="M577">
        <f t="shared" si="35"/>
        <v>0</v>
      </c>
      <c r="N577" t="str" cm="1">
        <f t="array" ref="N577">_xlfn.LET(_xlpm.total,SUM(I577:L577),_xlpm.maxv,MAX(I577:L577),IF(_xlpm.total=0,"",IF(_xlpm.maxv/_xlpm.total&lt;0.5,"Mixed-Class",_xlfn.IFS(_xlpm.maxv=I577,"Assault",_xlpm.maxv=J577,"Engineer",_xlpm.maxv=K577,"Recon",_xlpm.maxv=L577,"Support"))))</f>
        <v/>
      </c>
      <c r="O577" t="str">
        <f t="shared" si="36"/>
        <v/>
      </c>
      <c r="P577" s="28" t="str">
        <f t="shared" si="37"/>
        <v/>
      </c>
    </row>
    <row r="578" spans="2:16" x14ac:dyDescent="0.25">
      <c r="B578">
        <v>5767</v>
      </c>
      <c r="H578" t="str">
        <f t="shared" si="34"/>
        <v/>
      </c>
      <c r="M578">
        <f t="shared" si="35"/>
        <v>0</v>
      </c>
      <c r="N578" t="str" cm="1">
        <f t="array" ref="N578">_xlfn.LET(_xlpm.total,SUM(I578:L578),_xlpm.maxv,MAX(I578:L578),IF(_xlpm.total=0,"",IF(_xlpm.maxv/_xlpm.total&lt;0.5,"Mixed-Class",_xlfn.IFS(_xlpm.maxv=I578,"Assault",_xlpm.maxv=J578,"Engineer",_xlpm.maxv=K578,"Recon",_xlpm.maxv=L578,"Support"))))</f>
        <v/>
      </c>
      <c r="O578" t="str">
        <f t="shared" si="36"/>
        <v/>
      </c>
      <c r="P578" s="28" t="str">
        <f t="shared" si="37"/>
        <v/>
      </c>
    </row>
    <row r="579" spans="2:16" x14ac:dyDescent="0.25">
      <c r="B579">
        <v>5777</v>
      </c>
      <c r="H579" t="str">
        <f t="shared" ref="H579:H642" si="38">IF(SUM(D579:G579)=0,"",IF(G579/SUM(D579:G579)&gt;=0.5,"Battle Royale",IF(F579/SUM(D579:F579)&gt;=0.6,"Infantry-Heavy",IF((D579+0.7*E579)/SUM(D579:F579)&gt;=0.7,"Vehicle-Heavy","Mixed"))))</f>
        <v/>
      </c>
      <c r="M579">
        <f t="shared" ref="M579:M642" si="39">SUM(I579:L579)</f>
        <v>0</v>
      </c>
      <c r="N579" t="str" cm="1">
        <f t="array" ref="N579">_xlfn.LET(_xlpm.total,SUM(I579:L579),_xlpm.maxv,MAX(I579:L579),IF(_xlpm.total=0,"",IF(_xlpm.maxv/_xlpm.total&lt;0.5,"Mixed-Class",_xlfn.IFS(_xlpm.maxv=I579,"Assault",_xlpm.maxv=J579,"Engineer",_xlpm.maxv=K579,"Recon",_xlpm.maxv=L579,"Support"))))</f>
        <v/>
      </c>
      <c r="O579" t="str">
        <f t="shared" ref="O579:O642" si="40">_xlfn.LET(_xlpm.total,SUM(I579:L579),IF(_xlpm.total=0,"",MAX(I579:L579)/_xlpm.total&gt;=0.5))</f>
        <v/>
      </c>
      <c r="P579" s="28" t="str">
        <f t="shared" ref="P579:P642" si="41">_xlfn.LET(_xlpm.total,SUM(I579:L579),IF(_xlpm.total=0,"",MAX(I579:L579)/_xlpm.total))</f>
        <v/>
      </c>
    </row>
    <row r="580" spans="2:16" x14ac:dyDescent="0.25">
      <c r="B580">
        <v>5787</v>
      </c>
      <c r="H580" t="str">
        <f t="shared" si="38"/>
        <v/>
      </c>
      <c r="M580">
        <f t="shared" si="39"/>
        <v>0</v>
      </c>
      <c r="N580" t="str" cm="1">
        <f t="array" ref="N580">_xlfn.LET(_xlpm.total,SUM(I580:L580),_xlpm.maxv,MAX(I580:L580),IF(_xlpm.total=0,"",IF(_xlpm.maxv/_xlpm.total&lt;0.5,"Mixed-Class",_xlfn.IFS(_xlpm.maxv=I580,"Assault",_xlpm.maxv=J580,"Engineer",_xlpm.maxv=K580,"Recon",_xlpm.maxv=L580,"Support"))))</f>
        <v/>
      </c>
      <c r="O580" t="str">
        <f t="shared" si="40"/>
        <v/>
      </c>
      <c r="P580" s="28" t="str">
        <f t="shared" si="41"/>
        <v/>
      </c>
    </row>
    <row r="581" spans="2:16" x14ac:dyDescent="0.25">
      <c r="B581">
        <v>5797</v>
      </c>
      <c r="H581" t="str">
        <f t="shared" si="38"/>
        <v/>
      </c>
      <c r="M581">
        <f t="shared" si="39"/>
        <v>0</v>
      </c>
      <c r="N581" t="str" cm="1">
        <f t="array" ref="N581">_xlfn.LET(_xlpm.total,SUM(I581:L581),_xlpm.maxv,MAX(I581:L581),IF(_xlpm.total=0,"",IF(_xlpm.maxv/_xlpm.total&lt;0.5,"Mixed-Class",_xlfn.IFS(_xlpm.maxv=I581,"Assault",_xlpm.maxv=J581,"Engineer",_xlpm.maxv=K581,"Recon",_xlpm.maxv=L581,"Support"))))</f>
        <v/>
      </c>
      <c r="O581" t="str">
        <f t="shared" si="40"/>
        <v/>
      </c>
      <c r="P581" s="28" t="str">
        <f t="shared" si="41"/>
        <v/>
      </c>
    </row>
    <row r="582" spans="2:16" x14ac:dyDescent="0.25">
      <c r="B582">
        <v>5807</v>
      </c>
      <c r="H582" t="str">
        <f t="shared" si="38"/>
        <v/>
      </c>
      <c r="M582">
        <f t="shared" si="39"/>
        <v>0</v>
      </c>
      <c r="N582" t="str" cm="1">
        <f t="array" ref="N582">_xlfn.LET(_xlpm.total,SUM(I582:L582),_xlpm.maxv,MAX(I582:L582),IF(_xlpm.total=0,"",IF(_xlpm.maxv/_xlpm.total&lt;0.5,"Mixed-Class",_xlfn.IFS(_xlpm.maxv=I582,"Assault",_xlpm.maxv=J582,"Engineer",_xlpm.maxv=K582,"Recon",_xlpm.maxv=L582,"Support"))))</f>
        <v/>
      </c>
      <c r="O582" t="str">
        <f t="shared" si="40"/>
        <v/>
      </c>
      <c r="P582" s="28" t="str">
        <f t="shared" si="41"/>
        <v/>
      </c>
    </row>
    <row r="583" spans="2:16" x14ac:dyDescent="0.25">
      <c r="B583">
        <v>5817</v>
      </c>
      <c r="H583" t="str">
        <f t="shared" si="38"/>
        <v/>
      </c>
      <c r="M583">
        <f t="shared" si="39"/>
        <v>0</v>
      </c>
      <c r="N583" t="str" cm="1">
        <f t="array" ref="N583">_xlfn.LET(_xlpm.total,SUM(I583:L583),_xlpm.maxv,MAX(I583:L583),IF(_xlpm.total=0,"",IF(_xlpm.maxv/_xlpm.total&lt;0.5,"Mixed-Class",_xlfn.IFS(_xlpm.maxv=I583,"Assault",_xlpm.maxv=J583,"Engineer",_xlpm.maxv=K583,"Recon",_xlpm.maxv=L583,"Support"))))</f>
        <v/>
      </c>
      <c r="O583" t="str">
        <f t="shared" si="40"/>
        <v/>
      </c>
      <c r="P583" s="28" t="str">
        <f t="shared" si="41"/>
        <v/>
      </c>
    </row>
    <row r="584" spans="2:16" x14ac:dyDescent="0.25">
      <c r="B584">
        <v>5827</v>
      </c>
      <c r="H584" t="str">
        <f t="shared" si="38"/>
        <v/>
      </c>
      <c r="M584">
        <f t="shared" si="39"/>
        <v>0</v>
      </c>
      <c r="N584" t="str" cm="1">
        <f t="array" ref="N584">_xlfn.LET(_xlpm.total,SUM(I584:L584),_xlpm.maxv,MAX(I584:L584),IF(_xlpm.total=0,"",IF(_xlpm.maxv/_xlpm.total&lt;0.5,"Mixed-Class",_xlfn.IFS(_xlpm.maxv=I584,"Assault",_xlpm.maxv=J584,"Engineer",_xlpm.maxv=K584,"Recon",_xlpm.maxv=L584,"Support"))))</f>
        <v/>
      </c>
      <c r="O584" t="str">
        <f t="shared" si="40"/>
        <v/>
      </c>
      <c r="P584" s="28" t="str">
        <f t="shared" si="41"/>
        <v/>
      </c>
    </row>
    <row r="585" spans="2:16" x14ac:dyDescent="0.25">
      <c r="B585">
        <v>5837</v>
      </c>
      <c r="H585" t="str">
        <f t="shared" si="38"/>
        <v/>
      </c>
      <c r="M585">
        <f t="shared" si="39"/>
        <v>0</v>
      </c>
      <c r="N585" t="str" cm="1">
        <f t="array" ref="N585">_xlfn.LET(_xlpm.total,SUM(I585:L585),_xlpm.maxv,MAX(I585:L585),IF(_xlpm.total=0,"",IF(_xlpm.maxv/_xlpm.total&lt;0.5,"Mixed-Class",_xlfn.IFS(_xlpm.maxv=I585,"Assault",_xlpm.maxv=J585,"Engineer",_xlpm.maxv=K585,"Recon",_xlpm.maxv=L585,"Support"))))</f>
        <v/>
      </c>
      <c r="O585" t="str">
        <f t="shared" si="40"/>
        <v/>
      </c>
      <c r="P585" s="28" t="str">
        <f t="shared" si="41"/>
        <v/>
      </c>
    </row>
    <row r="586" spans="2:16" x14ac:dyDescent="0.25">
      <c r="B586">
        <v>5847</v>
      </c>
      <c r="H586" t="str">
        <f t="shared" si="38"/>
        <v/>
      </c>
      <c r="M586">
        <f t="shared" si="39"/>
        <v>0</v>
      </c>
      <c r="N586" t="str" cm="1">
        <f t="array" ref="N586">_xlfn.LET(_xlpm.total,SUM(I586:L586),_xlpm.maxv,MAX(I586:L586),IF(_xlpm.total=0,"",IF(_xlpm.maxv/_xlpm.total&lt;0.5,"Mixed-Class",_xlfn.IFS(_xlpm.maxv=I586,"Assault",_xlpm.maxv=J586,"Engineer",_xlpm.maxv=K586,"Recon",_xlpm.maxv=L586,"Support"))))</f>
        <v/>
      </c>
      <c r="O586" t="str">
        <f t="shared" si="40"/>
        <v/>
      </c>
      <c r="P586" s="28" t="str">
        <f t="shared" si="41"/>
        <v/>
      </c>
    </row>
    <row r="587" spans="2:16" x14ac:dyDescent="0.25">
      <c r="B587">
        <v>5857</v>
      </c>
      <c r="H587" t="str">
        <f t="shared" si="38"/>
        <v/>
      </c>
      <c r="M587">
        <f t="shared" si="39"/>
        <v>0</v>
      </c>
      <c r="N587" t="str" cm="1">
        <f t="array" ref="N587">_xlfn.LET(_xlpm.total,SUM(I587:L587),_xlpm.maxv,MAX(I587:L587),IF(_xlpm.total=0,"",IF(_xlpm.maxv/_xlpm.total&lt;0.5,"Mixed-Class",_xlfn.IFS(_xlpm.maxv=I587,"Assault",_xlpm.maxv=J587,"Engineer",_xlpm.maxv=K587,"Recon",_xlpm.maxv=L587,"Support"))))</f>
        <v/>
      </c>
      <c r="O587" t="str">
        <f t="shared" si="40"/>
        <v/>
      </c>
      <c r="P587" s="28" t="str">
        <f t="shared" si="41"/>
        <v/>
      </c>
    </row>
    <row r="588" spans="2:16" x14ac:dyDescent="0.25">
      <c r="B588">
        <v>5867</v>
      </c>
      <c r="H588" t="str">
        <f t="shared" si="38"/>
        <v/>
      </c>
      <c r="M588">
        <f t="shared" si="39"/>
        <v>0</v>
      </c>
      <c r="N588" t="str" cm="1">
        <f t="array" ref="N588">_xlfn.LET(_xlpm.total,SUM(I588:L588),_xlpm.maxv,MAX(I588:L588),IF(_xlpm.total=0,"",IF(_xlpm.maxv/_xlpm.total&lt;0.5,"Mixed-Class",_xlfn.IFS(_xlpm.maxv=I588,"Assault",_xlpm.maxv=J588,"Engineer",_xlpm.maxv=K588,"Recon",_xlpm.maxv=L588,"Support"))))</f>
        <v/>
      </c>
      <c r="O588" t="str">
        <f t="shared" si="40"/>
        <v/>
      </c>
      <c r="P588" s="28" t="str">
        <f t="shared" si="41"/>
        <v/>
      </c>
    </row>
    <row r="589" spans="2:16" x14ac:dyDescent="0.25">
      <c r="B589">
        <v>5877</v>
      </c>
      <c r="H589" t="str">
        <f t="shared" si="38"/>
        <v/>
      </c>
      <c r="M589">
        <f t="shared" si="39"/>
        <v>0</v>
      </c>
      <c r="N589" t="str" cm="1">
        <f t="array" ref="N589">_xlfn.LET(_xlpm.total,SUM(I589:L589),_xlpm.maxv,MAX(I589:L589),IF(_xlpm.total=0,"",IF(_xlpm.maxv/_xlpm.total&lt;0.5,"Mixed-Class",_xlfn.IFS(_xlpm.maxv=I589,"Assault",_xlpm.maxv=J589,"Engineer",_xlpm.maxv=K589,"Recon",_xlpm.maxv=L589,"Support"))))</f>
        <v/>
      </c>
      <c r="O589" t="str">
        <f t="shared" si="40"/>
        <v/>
      </c>
      <c r="P589" s="28" t="str">
        <f t="shared" si="41"/>
        <v/>
      </c>
    </row>
    <row r="590" spans="2:16" x14ac:dyDescent="0.25">
      <c r="B590">
        <v>5887</v>
      </c>
      <c r="H590" t="str">
        <f t="shared" si="38"/>
        <v/>
      </c>
      <c r="M590">
        <f t="shared" si="39"/>
        <v>0</v>
      </c>
      <c r="N590" t="str" cm="1">
        <f t="array" ref="N590">_xlfn.LET(_xlpm.total,SUM(I590:L590),_xlpm.maxv,MAX(I590:L590),IF(_xlpm.total=0,"",IF(_xlpm.maxv/_xlpm.total&lt;0.5,"Mixed-Class",_xlfn.IFS(_xlpm.maxv=I590,"Assault",_xlpm.maxv=J590,"Engineer",_xlpm.maxv=K590,"Recon",_xlpm.maxv=L590,"Support"))))</f>
        <v/>
      </c>
      <c r="O590" t="str">
        <f t="shared" si="40"/>
        <v/>
      </c>
      <c r="P590" s="28" t="str">
        <f t="shared" si="41"/>
        <v/>
      </c>
    </row>
    <row r="591" spans="2:16" x14ac:dyDescent="0.25">
      <c r="B591">
        <v>5897</v>
      </c>
      <c r="H591" t="str">
        <f t="shared" si="38"/>
        <v/>
      </c>
      <c r="M591">
        <f t="shared" si="39"/>
        <v>0</v>
      </c>
      <c r="N591" t="str" cm="1">
        <f t="array" ref="N591">_xlfn.LET(_xlpm.total,SUM(I591:L591),_xlpm.maxv,MAX(I591:L591),IF(_xlpm.total=0,"",IF(_xlpm.maxv/_xlpm.total&lt;0.5,"Mixed-Class",_xlfn.IFS(_xlpm.maxv=I591,"Assault",_xlpm.maxv=J591,"Engineer",_xlpm.maxv=K591,"Recon",_xlpm.maxv=L591,"Support"))))</f>
        <v/>
      </c>
      <c r="O591" t="str">
        <f t="shared" si="40"/>
        <v/>
      </c>
      <c r="P591" s="28" t="str">
        <f t="shared" si="41"/>
        <v/>
      </c>
    </row>
    <row r="592" spans="2:16" x14ac:dyDescent="0.25">
      <c r="B592">
        <v>5907</v>
      </c>
      <c r="H592" t="str">
        <f t="shared" si="38"/>
        <v/>
      </c>
      <c r="M592">
        <f t="shared" si="39"/>
        <v>0</v>
      </c>
      <c r="N592" t="str" cm="1">
        <f t="array" ref="N592">_xlfn.LET(_xlpm.total,SUM(I592:L592),_xlpm.maxv,MAX(I592:L592),IF(_xlpm.total=0,"",IF(_xlpm.maxv/_xlpm.total&lt;0.5,"Mixed-Class",_xlfn.IFS(_xlpm.maxv=I592,"Assault",_xlpm.maxv=J592,"Engineer",_xlpm.maxv=K592,"Recon",_xlpm.maxv=L592,"Support"))))</f>
        <v/>
      </c>
      <c r="O592" t="str">
        <f t="shared" si="40"/>
        <v/>
      </c>
      <c r="P592" s="28" t="str">
        <f t="shared" si="41"/>
        <v/>
      </c>
    </row>
    <row r="593" spans="2:16" x14ac:dyDescent="0.25">
      <c r="B593">
        <v>5917</v>
      </c>
      <c r="H593" t="str">
        <f t="shared" si="38"/>
        <v/>
      </c>
      <c r="M593">
        <f t="shared" si="39"/>
        <v>0</v>
      </c>
      <c r="N593" t="str" cm="1">
        <f t="array" ref="N593">_xlfn.LET(_xlpm.total,SUM(I593:L593),_xlpm.maxv,MAX(I593:L593),IF(_xlpm.total=0,"",IF(_xlpm.maxv/_xlpm.total&lt;0.5,"Mixed-Class",_xlfn.IFS(_xlpm.maxv=I593,"Assault",_xlpm.maxv=J593,"Engineer",_xlpm.maxv=K593,"Recon",_xlpm.maxv=L593,"Support"))))</f>
        <v/>
      </c>
      <c r="O593" t="str">
        <f t="shared" si="40"/>
        <v/>
      </c>
      <c r="P593" s="28" t="str">
        <f t="shared" si="41"/>
        <v/>
      </c>
    </row>
    <row r="594" spans="2:16" x14ac:dyDescent="0.25">
      <c r="B594">
        <v>5927</v>
      </c>
      <c r="H594" t="str">
        <f t="shared" si="38"/>
        <v/>
      </c>
      <c r="M594">
        <f t="shared" si="39"/>
        <v>0</v>
      </c>
      <c r="N594" t="str" cm="1">
        <f t="array" ref="N594">_xlfn.LET(_xlpm.total,SUM(I594:L594),_xlpm.maxv,MAX(I594:L594),IF(_xlpm.total=0,"",IF(_xlpm.maxv/_xlpm.total&lt;0.5,"Mixed-Class",_xlfn.IFS(_xlpm.maxv=I594,"Assault",_xlpm.maxv=J594,"Engineer",_xlpm.maxv=K594,"Recon",_xlpm.maxv=L594,"Support"))))</f>
        <v/>
      </c>
      <c r="O594" t="str">
        <f t="shared" si="40"/>
        <v/>
      </c>
      <c r="P594" s="28" t="str">
        <f t="shared" si="41"/>
        <v/>
      </c>
    </row>
    <row r="595" spans="2:16" x14ac:dyDescent="0.25">
      <c r="B595">
        <v>5937</v>
      </c>
      <c r="H595" t="str">
        <f t="shared" si="38"/>
        <v/>
      </c>
      <c r="M595">
        <f t="shared" si="39"/>
        <v>0</v>
      </c>
      <c r="N595" t="str" cm="1">
        <f t="array" ref="N595">_xlfn.LET(_xlpm.total,SUM(I595:L595),_xlpm.maxv,MAX(I595:L595),IF(_xlpm.total=0,"",IF(_xlpm.maxv/_xlpm.total&lt;0.5,"Mixed-Class",_xlfn.IFS(_xlpm.maxv=I595,"Assault",_xlpm.maxv=J595,"Engineer",_xlpm.maxv=K595,"Recon",_xlpm.maxv=L595,"Support"))))</f>
        <v/>
      </c>
      <c r="O595" t="str">
        <f t="shared" si="40"/>
        <v/>
      </c>
      <c r="P595" s="28" t="str">
        <f t="shared" si="41"/>
        <v/>
      </c>
    </row>
    <row r="596" spans="2:16" x14ac:dyDescent="0.25">
      <c r="B596">
        <v>5947</v>
      </c>
      <c r="H596" t="str">
        <f t="shared" si="38"/>
        <v/>
      </c>
      <c r="M596">
        <f t="shared" si="39"/>
        <v>0</v>
      </c>
      <c r="N596" t="str" cm="1">
        <f t="array" ref="N596">_xlfn.LET(_xlpm.total,SUM(I596:L596),_xlpm.maxv,MAX(I596:L596),IF(_xlpm.total=0,"",IF(_xlpm.maxv/_xlpm.total&lt;0.5,"Mixed-Class",_xlfn.IFS(_xlpm.maxv=I596,"Assault",_xlpm.maxv=J596,"Engineer",_xlpm.maxv=K596,"Recon",_xlpm.maxv=L596,"Support"))))</f>
        <v/>
      </c>
      <c r="O596" t="str">
        <f t="shared" si="40"/>
        <v/>
      </c>
      <c r="P596" s="28" t="str">
        <f t="shared" si="41"/>
        <v/>
      </c>
    </row>
    <row r="597" spans="2:16" x14ac:dyDescent="0.25">
      <c r="B597">
        <v>5957</v>
      </c>
      <c r="H597" t="str">
        <f t="shared" si="38"/>
        <v/>
      </c>
      <c r="M597">
        <f t="shared" si="39"/>
        <v>0</v>
      </c>
      <c r="N597" t="str" cm="1">
        <f t="array" ref="N597">_xlfn.LET(_xlpm.total,SUM(I597:L597),_xlpm.maxv,MAX(I597:L597),IF(_xlpm.total=0,"",IF(_xlpm.maxv/_xlpm.total&lt;0.5,"Mixed-Class",_xlfn.IFS(_xlpm.maxv=I597,"Assault",_xlpm.maxv=J597,"Engineer",_xlpm.maxv=K597,"Recon",_xlpm.maxv=L597,"Support"))))</f>
        <v/>
      </c>
      <c r="O597" t="str">
        <f t="shared" si="40"/>
        <v/>
      </c>
      <c r="P597" s="28" t="str">
        <f t="shared" si="41"/>
        <v/>
      </c>
    </row>
    <row r="598" spans="2:16" x14ac:dyDescent="0.25">
      <c r="B598">
        <v>5967</v>
      </c>
      <c r="H598" t="str">
        <f t="shared" si="38"/>
        <v/>
      </c>
      <c r="M598">
        <f t="shared" si="39"/>
        <v>0</v>
      </c>
      <c r="N598" t="str" cm="1">
        <f t="array" ref="N598">_xlfn.LET(_xlpm.total,SUM(I598:L598),_xlpm.maxv,MAX(I598:L598),IF(_xlpm.total=0,"",IF(_xlpm.maxv/_xlpm.total&lt;0.5,"Mixed-Class",_xlfn.IFS(_xlpm.maxv=I598,"Assault",_xlpm.maxv=J598,"Engineer",_xlpm.maxv=K598,"Recon",_xlpm.maxv=L598,"Support"))))</f>
        <v/>
      </c>
      <c r="O598" t="str">
        <f t="shared" si="40"/>
        <v/>
      </c>
      <c r="P598" s="28" t="str">
        <f t="shared" si="41"/>
        <v/>
      </c>
    </row>
    <row r="599" spans="2:16" x14ac:dyDescent="0.25">
      <c r="B599">
        <v>5977</v>
      </c>
      <c r="H599" t="str">
        <f t="shared" si="38"/>
        <v/>
      </c>
      <c r="M599">
        <f t="shared" si="39"/>
        <v>0</v>
      </c>
      <c r="N599" t="str" cm="1">
        <f t="array" ref="N599">_xlfn.LET(_xlpm.total,SUM(I599:L599),_xlpm.maxv,MAX(I599:L599),IF(_xlpm.total=0,"",IF(_xlpm.maxv/_xlpm.total&lt;0.5,"Mixed-Class",_xlfn.IFS(_xlpm.maxv=I599,"Assault",_xlpm.maxv=J599,"Engineer",_xlpm.maxv=K599,"Recon",_xlpm.maxv=L599,"Support"))))</f>
        <v/>
      </c>
      <c r="O599" t="str">
        <f t="shared" si="40"/>
        <v/>
      </c>
      <c r="P599" s="28" t="str">
        <f t="shared" si="41"/>
        <v/>
      </c>
    </row>
    <row r="600" spans="2:16" x14ac:dyDescent="0.25">
      <c r="B600">
        <v>5987</v>
      </c>
      <c r="H600" t="str">
        <f t="shared" si="38"/>
        <v/>
      </c>
      <c r="M600">
        <f t="shared" si="39"/>
        <v>0</v>
      </c>
      <c r="N600" t="str" cm="1">
        <f t="array" ref="N600">_xlfn.LET(_xlpm.total,SUM(I600:L600),_xlpm.maxv,MAX(I600:L600),IF(_xlpm.total=0,"",IF(_xlpm.maxv/_xlpm.total&lt;0.5,"Mixed-Class",_xlfn.IFS(_xlpm.maxv=I600,"Assault",_xlpm.maxv=J600,"Engineer",_xlpm.maxv=K600,"Recon",_xlpm.maxv=L600,"Support"))))</f>
        <v/>
      </c>
      <c r="O600" t="str">
        <f t="shared" si="40"/>
        <v/>
      </c>
      <c r="P600" s="28" t="str">
        <f t="shared" si="41"/>
        <v/>
      </c>
    </row>
    <row r="601" spans="2:16" x14ac:dyDescent="0.25">
      <c r="B601">
        <v>5997</v>
      </c>
      <c r="H601" t="str">
        <f t="shared" si="38"/>
        <v/>
      </c>
      <c r="M601">
        <f t="shared" si="39"/>
        <v>0</v>
      </c>
      <c r="N601" t="str" cm="1">
        <f t="array" ref="N601">_xlfn.LET(_xlpm.total,SUM(I601:L601),_xlpm.maxv,MAX(I601:L601),IF(_xlpm.total=0,"",IF(_xlpm.maxv/_xlpm.total&lt;0.5,"Mixed-Class",_xlfn.IFS(_xlpm.maxv=I601,"Assault",_xlpm.maxv=J601,"Engineer",_xlpm.maxv=K601,"Recon",_xlpm.maxv=L601,"Support"))))</f>
        <v/>
      </c>
      <c r="O601" t="str">
        <f t="shared" si="40"/>
        <v/>
      </c>
      <c r="P601" s="28" t="str">
        <f t="shared" si="41"/>
        <v/>
      </c>
    </row>
    <row r="602" spans="2:16" x14ac:dyDescent="0.25">
      <c r="B602">
        <v>6007</v>
      </c>
      <c r="H602" t="str">
        <f t="shared" si="38"/>
        <v/>
      </c>
      <c r="M602">
        <f t="shared" si="39"/>
        <v>0</v>
      </c>
      <c r="N602" t="str" cm="1">
        <f t="array" ref="N602">_xlfn.LET(_xlpm.total,SUM(I602:L602),_xlpm.maxv,MAX(I602:L602),IF(_xlpm.total=0,"",IF(_xlpm.maxv/_xlpm.total&lt;0.5,"Mixed-Class",_xlfn.IFS(_xlpm.maxv=I602,"Assault",_xlpm.maxv=J602,"Engineer",_xlpm.maxv=K602,"Recon",_xlpm.maxv=L602,"Support"))))</f>
        <v/>
      </c>
      <c r="O602" t="str">
        <f t="shared" si="40"/>
        <v/>
      </c>
      <c r="P602" s="28" t="str">
        <f t="shared" si="41"/>
        <v/>
      </c>
    </row>
    <row r="603" spans="2:16" x14ac:dyDescent="0.25">
      <c r="B603">
        <v>6017</v>
      </c>
      <c r="H603" t="str">
        <f t="shared" si="38"/>
        <v/>
      </c>
      <c r="M603">
        <f t="shared" si="39"/>
        <v>0</v>
      </c>
      <c r="N603" t="str" cm="1">
        <f t="array" ref="N603">_xlfn.LET(_xlpm.total,SUM(I603:L603),_xlpm.maxv,MAX(I603:L603),IF(_xlpm.total=0,"",IF(_xlpm.maxv/_xlpm.total&lt;0.5,"Mixed-Class",_xlfn.IFS(_xlpm.maxv=I603,"Assault",_xlpm.maxv=J603,"Engineer",_xlpm.maxv=K603,"Recon",_xlpm.maxv=L603,"Support"))))</f>
        <v/>
      </c>
      <c r="O603" t="str">
        <f t="shared" si="40"/>
        <v/>
      </c>
      <c r="P603" s="28" t="str">
        <f t="shared" si="41"/>
        <v/>
      </c>
    </row>
    <row r="604" spans="2:16" x14ac:dyDescent="0.25">
      <c r="B604">
        <v>6027</v>
      </c>
      <c r="H604" t="str">
        <f t="shared" si="38"/>
        <v/>
      </c>
      <c r="M604">
        <f t="shared" si="39"/>
        <v>0</v>
      </c>
      <c r="N604" t="str" cm="1">
        <f t="array" ref="N604">_xlfn.LET(_xlpm.total,SUM(I604:L604),_xlpm.maxv,MAX(I604:L604),IF(_xlpm.total=0,"",IF(_xlpm.maxv/_xlpm.total&lt;0.5,"Mixed-Class",_xlfn.IFS(_xlpm.maxv=I604,"Assault",_xlpm.maxv=J604,"Engineer",_xlpm.maxv=K604,"Recon",_xlpm.maxv=L604,"Support"))))</f>
        <v/>
      </c>
      <c r="O604" t="str">
        <f t="shared" si="40"/>
        <v/>
      </c>
      <c r="P604" s="28" t="str">
        <f t="shared" si="41"/>
        <v/>
      </c>
    </row>
    <row r="605" spans="2:16" x14ac:dyDescent="0.25">
      <c r="B605">
        <v>6037</v>
      </c>
      <c r="H605" t="str">
        <f t="shared" si="38"/>
        <v/>
      </c>
      <c r="M605">
        <f t="shared" si="39"/>
        <v>0</v>
      </c>
      <c r="N605" t="str" cm="1">
        <f t="array" ref="N605">_xlfn.LET(_xlpm.total,SUM(I605:L605),_xlpm.maxv,MAX(I605:L605),IF(_xlpm.total=0,"",IF(_xlpm.maxv/_xlpm.total&lt;0.5,"Mixed-Class",_xlfn.IFS(_xlpm.maxv=I605,"Assault",_xlpm.maxv=J605,"Engineer",_xlpm.maxv=K605,"Recon",_xlpm.maxv=L605,"Support"))))</f>
        <v/>
      </c>
      <c r="O605" t="str">
        <f t="shared" si="40"/>
        <v/>
      </c>
      <c r="P605" s="28" t="str">
        <f t="shared" si="41"/>
        <v/>
      </c>
    </row>
    <row r="606" spans="2:16" x14ac:dyDescent="0.25">
      <c r="B606">
        <v>6047</v>
      </c>
      <c r="H606" t="str">
        <f t="shared" si="38"/>
        <v/>
      </c>
      <c r="M606">
        <f t="shared" si="39"/>
        <v>0</v>
      </c>
      <c r="N606" t="str" cm="1">
        <f t="array" ref="N606">_xlfn.LET(_xlpm.total,SUM(I606:L606),_xlpm.maxv,MAX(I606:L606),IF(_xlpm.total=0,"",IF(_xlpm.maxv/_xlpm.total&lt;0.5,"Mixed-Class",_xlfn.IFS(_xlpm.maxv=I606,"Assault",_xlpm.maxv=J606,"Engineer",_xlpm.maxv=K606,"Recon",_xlpm.maxv=L606,"Support"))))</f>
        <v/>
      </c>
      <c r="O606" t="str">
        <f t="shared" si="40"/>
        <v/>
      </c>
      <c r="P606" s="28" t="str">
        <f t="shared" si="41"/>
        <v/>
      </c>
    </row>
    <row r="607" spans="2:16" x14ac:dyDescent="0.25">
      <c r="B607">
        <v>6057</v>
      </c>
      <c r="H607" t="str">
        <f t="shared" si="38"/>
        <v/>
      </c>
      <c r="M607">
        <f t="shared" si="39"/>
        <v>0</v>
      </c>
      <c r="N607" t="str" cm="1">
        <f t="array" ref="N607">_xlfn.LET(_xlpm.total,SUM(I607:L607),_xlpm.maxv,MAX(I607:L607),IF(_xlpm.total=0,"",IF(_xlpm.maxv/_xlpm.total&lt;0.5,"Mixed-Class",_xlfn.IFS(_xlpm.maxv=I607,"Assault",_xlpm.maxv=J607,"Engineer",_xlpm.maxv=K607,"Recon",_xlpm.maxv=L607,"Support"))))</f>
        <v/>
      </c>
      <c r="O607" t="str">
        <f t="shared" si="40"/>
        <v/>
      </c>
      <c r="P607" s="28" t="str">
        <f t="shared" si="41"/>
        <v/>
      </c>
    </row>
    <row r="608" spans="2:16" x14ac:dyDescent="0.25">
      <c r="B608">
        <v>6067</v>
      </c>
      <c r="H608" t="str">
        <f t="shared" si="38"/>
        <v/>
      </c>
      <c r="M608">
        <f t="shared" si="39"/>
        <v>0</v>
      </c>
      <c r="N608" t="str" cm="1">
        <f t="array" ref="N608">_xlfn.LET(_xlpm.total,SUM(I608:L608),_xlpm.maxv,MAX(I608:L608),IF(_xlpm.total=0,"",IF(_xlpm.maxv/_xlpm.total&lt;0.5,"Mixed-Class",_xlfn.IFS(_xlpm.maxv=I608,"Assault",_xlpm.maxv=J608,"Engineer",_xlpm.maxv=K608,"Recon",_xlpm.maxv=L608,"Support"))))</f>
        <v/>
      </c>
      <c r="O608" t="str">
        <f t="shared" si="40"/>
        <v/>
      </c>
      <c r="P608" s="28" t="str">
        <f t="shared" si="41"/>
        <v/>
      </c>
    </row>
    <row r="609" spans="2:16" x14ac:dyDescent="0.25">
      <c r="B609">
        <v>6077</v>
      </c>
      <c r="H609" t="str">
        <f t="shared" si="38"/>
        <v/>
      </c>
      <c r="M609">
        <f t="shared" si="39"/>
        <v>0</v>
      </c>
      <c r="N609" t="str" cm="1">
        <f t="array" ref="N609">_xlfn.LET(_xlpm.total,SUM(I609:L609),_xlpm.maxv,MAX(I609:L609),IF(_xlpm.total=0,"",IF(_xlpm.maxv/_xlpm.total&lt;0.5,"Mixed-Class",_xlfn.IFS(_xlpm.maxv=I609,"Assault",_xlpm.maxv=J609,"Engineer",_xlpm.maxv=K609,"Recon",_xlpm.maxv=L609,"Support"))))</f>
        <v/>
      </c>
      <c r="O609" t="str">
        <f t="shared" si="40"/>
        <v/>
      </c>
      <c r="P609" s="28" t="str">
        <f t="shared" si="41"/>
        <v/>
      </c>
    </row>
    <row r="610" spans="2:16" x14ac:dyDescent="0.25">
      <c r="B610">
        <v>6087</v>
      </c>
      <c r="H610" t="str">
        <f t="shared" si="38"/>
        <v/>
      </c>
      <c r="M610">
        <f t="shared" si="39"/>
        <v>0</v>
      </c>
      <c r="N610" t="str" cm="1">
        <f t="array" ref="N610">_xlfn.LET(_xlpm.total,SUM(I610:L610),_xlpm.maxv,MAX(I610:L610),IF(_xlpm.total=0,"",IF(_xlpm.maxv/_xlpm.total&lt;0.5,"Mixed-Class",_xlfn.IFS(_xlpm.maxv=I610,"Assault",_xlpm.maxv=J610,"Engineer",_xlpm.maxv=K610,"Recon",_xlpm.maxv=L610,"Support"))))</f>
        <v/>
      </c>
      <c r="O610" t="str">
        <f t="shared" si="40"/>
        <v/>
      </c>
      <c r="P610" s="28" t="str">
        <f t="shared" si="41"/>
        <v/>
      </c>
    </row>
    <row r="611" spans="2:16" x14ac:dyDescent="0.25">
      <c r="B611">
        <v>6097</v>
      </c>
      <c r="H611" t="str">
        <f t="shared" si="38"/>
        <v/>
      </c>
      <c r="M611">
        <f t="shared" si="39"/>
        <v>0</v>
      </c>
      <c r="N611" t="str" cm="1">
        <f t="array" ref="N611">_xlfn.LET(_xlpm.total,SUM(I611:L611),_xlpm.maxv,MAX(I611:L611),IF(_xlpm.total=0,"",IF(_xlpm.maxv/_xlpm.total&lt;0.5,"Mixed-Class",_xlfn.IFS(_xlpm.maxv=I611,"Assault",_xlpm.maxv=J611,"Engineer",_xlpm.maxv=K611,"Recon",_xlpm.maxv=L611,"Support"))))</f>
        <v/>
      </c>
      <c r="O611" t="str">
        <f t="shared" si="40"/>
        <v/>
      </c>
      <c r="P611" s="28" t="str">
        <f t="shared" si="41"/>
        <v/>
      </c>
    </row>
    <row r="612" spans="2:16" x14ac:dyDescent="0.25">
      <c r="B612">
        <v>6107</v>
      </c>
      <c r="H612" t="str">
        <f t="shared" si="38"/>
        <v/>
      </c>
      <c r="M612">
        <f t="shared" si="39"/>
        <v>0</v>
      </c>
      <c r="N612" t="str" cm="1">
        <f t="array" ref="N612">_xlfn.LET(_xlpm.total,SUM(I612:L612),_xlpm.maxv,MAX(I612:L612),IF(_xlpm.total=0,"",IF(_xlpm.maxv/_xlpm.total&lt;0.5,"Mixed-Class",_xlfn.IFS(_xlpm.maxv=I612,"Assault",_xlpm.maxv=J612,"Engineer",_xlpm.maxv=K612,"Recon",_xlpm.maxv=L612,"Support"))))</f>
        <v/>
      </c>
      <c r="O612" t="str">
        <f t="shared" si="40"/>
        <v/>
      </c>
      <c r="P612" s="28" t="str">
        <f t="shared" si="41"/>
        <v/>
      </c>
    </row>
    <row r="613" spans="2:16" x14ac:dyDescent="0.25">
      <c r="B613">
        <v>6117</v>
      </c>
      <c r="H613" t="str">
        <f t="shared" si="38"/>
        <v/>
      </c>
      <c r="M613">
        <f t="shared" si="39"/>
        <v>0</v>
      </c>
      <c r="N613" t="str" cm="1">
        <f t="array" ref="N613">_xlfn.LET(_xlpm.total,SUM(I613:L613),_xlpm.maxv,MAX(I613:L613),IF(_xlpm.total=0,"",IF(_xlpm.maxv/_xlpm.total&lt;0.5,"Mixed-Class",_xlfn.IFS(_xlpm.maxv=I613,"Assault",_xlpm.maxv=J613,"Engineer",_xlpm.maxv=K613,"Recon",_xlpm.maxv=L613,"Support"))))</f>
        <v/>
      </c>
      <c r="O613" t="str">
        <f t="shared" si="40"/>
        <v/>
      </c>
      <c r="P613" s="28" t="str">
        <f t="shared" si="41"/>
        <v/>
      </c>
    </row>
    <row r="614" spans="2:16" x14ac:dyDescent="0.25">
      <c r="B614">
        <v>6127</v>
      </c>
      <c r="H614" t="str">
        <f t="shared" si="38"/>
        <v/>
      </c>
      <c r="M614">
        <f t="shared" si="39"/>
        <v>0</v>
      </c>
      <c r="N614" t="str" cm="1">
        <f t="array" ref="N614">_xlfn.LET(_xlpm.total,SUM(I614:L614),_xlpm.maxv,MAX(I614:L614),IF(_xlpm.total=0,"",IF(_xlpm.maxv/_xlpm.total&lt;0.5,"Mixed-Class",_xlfn.IFS(_xlpm.maxv=I614,"Assault",_xlpm.maxv=J614,"Engineer",_xlpm.maxv=K614,"Recon",_xlpm.maxv=L614,"Support"))))</f>
        <v/>
      </c>
      <c r="O614" t="str">
        <f t="shared" si="40"/>
        <v/>
      </c>
      <c r="P614" s="28" t="str">
        <f t="shared" si="41"/>
        <v/>
      </c>
    </row>
    <row r="615" spans="2:16" x14ac:dyDescent="0.25">
      <c r="B615">
        <v>6137</v>
      </c>
      <c r="H615" t="str">
        <f t="shared" si="38"/>
        <v/>
      </c>
      <c r="M615">
        <f t="shared" si="39"/>
        <v>0</v>
      </c>
      <c r="N615" t="str" cm="1">
        <f t="array" ref="N615">_xlfn.LET(_xlpm.total,SUM(I615:L615),_xlpm.maxv,MAX(I615:L615),IF(_xlpm.total=0,"",IF(_xlpm.maxv/_xlpm.total&lt;0.5,"Mixed-Class",_xlfn.IFS(_xlpm.maxv=I615,"Assault",_xlpm.maxv=J615,"Engineer",_xlpm.maxv=K615,"Recon",_xlpm.maxv=L615,"Support"))))</f>
        <v/>
      </c>
      <c r="O615" t="str">
        <f t="shared" si="40"/>
        <v/>
      </c>
      <c r="P615" s="28" t="str">
        <f t="shared" si="41"/>
        <v/>
      </c>
    </row>
    <row r="616" spans="2:16" x14ac:dyDescent="0.25">
      <c r="B616">
        <v>6147</v>
      </c>
      <c r="H616" t="str">
        <f t="shared" si="38"/>
        <v/>
      </c>
      <c r="M616">
        <f t="shared" si="39"/>
        <v>0</v>
      </c>
      <c r="N616" t="str" cm="1">
        <f t="array" ref="N616">_xlfn.LET(_xlpm.total,SUM(I616:L616),_xlpm.maxv,MAX(I616:L616),IF(_xlpm.total=0,"",IF(_xlpm.maxv/_xlpm.total&lt;0.5,"Mixed-Class",_xlfn.IFS(_xlpm.maxv=I616,"Assault",_xlpm.maxv=J616,"Engineer",_xlpm.maxv=K616,"Recon",_xlpm.maxv=L616,"Support"))))</f>
        <v/>
      </c>
      <c r="O616" t="str">
        <f t="shared" si="40"/>
        <v/>
      </c>
      <c r="P616" s="28" t="str">
        <f t="shared" si="41"/>
        <v/>
      </c>
    </row>
    <row r="617" spans="2:16" x14ac:dyDescent="0.25">
      <c r="B617">
        <v>6157</v>
      </c>
      <c r="H617" t="str">
        <f t="shared" si="38"/>
        <v/>
      </c>
      <c r="M617">
        <f t="shared" si="39"/>
        <v>0</v>
      </c>
      <c r="N617" t="str" cm="1">
        <f t="array" ref="N617">_xlfn.LET(_xlpm.total,SUM(I617:L617),_xlpm.maxv,MAX(I617:L617),IF(_xlpm.total=0,"",IF(_xlpm.maxv/_xlpm.total&lt;0.5,"Mixed-Class",_xlfn.IFS(_xlpm.maxv=I617,"Assault",_xlpm.maxv=J617,"Engineer",_xlpm.maxv=K617,"Recon",_xlpm.maxv=L617,"Support"))))</f>
        <v/>
      </c>
      <c r="O617" t="str">
        <f t="shared" si="40"/>
        <v/>
      </c>
      <c r="P617" s="28" t="str">
        <f t="shared" si="41"/>
        <v/>
      </c>
    </row>
    <row r="618" spans="2:16" x14ac:dyDescent="0.25">
      <c r="B618">
        <v>6167</v>
      </c>
      <c r="H618" t="str">
        <f t="shared" si="38"/>
        <v/>
      </c>
      <c r="M618">
        <f t="shared" si="39"/>
        <v>0</v>
      </c>
      <c r="N618" t="str" cm="1">
        <f t="array" ref="N618">_xlfn.LET(_xlpm.total,SUM(I618:L618),_xlpm.maxv,MAX(I618:L618),IF(_xlpm.total=0,"",IF(_xlpm.maxv/_xlpm.total&lt;0.5,"Mixed-Class",_xlfn.IFS(_xlpm.maxv=I618,"Assault",_xlpm.maxv=J618,"Engineer",_xlpm.maxv=K618,"Recon",_xlpm.maxv=L618,"Support"))))</f>
        <v/>
      </c>
      <c r="O618" t="str">
        <f t="shared" si="40"/>
        <v/>
      </c>
      <c r="P618" s="28" t="str">
        <f t="shared" si="41"/>
        <v/>
      </c>
    </row>
    <row r="619" spans="2:16" x14ac:dyDescent="0.25">
      <c r="B619">
        <v>6177</v>
      </c>
      <c r="H619" t="str">
        <f t="shared" si="38"/>
        <v/>
      </c>
      <c r="M619">
        <f t="shared" si="39"/>
        <v>0</v>
      </c>
      <c r="N619" t="str" cm="1">
        <f t="array" ref="N619">_xlfn.LET(_xlpm.total,SUM(I619:L619),_xlpm.maxv,MAX(I619:L619),IF(_xlpm.total=0,"",IF(_xlpm.maxv/_xlpm.total&lt;0.5,"Mixed-Class",_xlfn.IFS(_xlpm.maxv=I619,"Assault",_xlpm.maxv=J619,"Engineer",_xlpm.maxv=K619,"Recon",_xlpm.maxv=L619,"Support"))))</f>
        <v/>
      </c>
      <c r="O619" t="str">
        <f t="shared" si="40"/>
        <v/>
      </c>
      <c r="P619" s="28" t="str">
        <f t="shared" si="41"/>
        <v/>
      </c>
    </row>
    <row r="620" spans="2:16" x14ac:dyDescent="0.25">
      <c r="B620">
        <v>6187</v>
      </c>
      <c r="H620" t="str">
        <f t="shared" si="38"/>
        <v/>
      </c>
      <c r="M620">
        <f t="shared" si="39"/>
        <v>0</v>
      </c>
      <c r="N620" t="str" cm="1">
        <f t="array" ref="N620">_xlfn.LET(_xlpm.total,SUM(I620:L620),_xlpm.maxv,MAX(I620:L620),IF(_xlpm.total=0,"",IF(_xlpm.maxv/_xlpm.total&lt;0.5,"Mixed-Class",_xlfn.IFS(_xlpm.maxv=I620,"Assault",_xlpm.maxv=J620,"Engineer",_xlpm.maxv=K620,"Recon",_xlpm.maxv=L620,"Support"))))</f>
        <v/>
      </c>
      <c r="O620" t="str">
        <f t="shared" si="40"/>
        <v/>
      </c>
      <c r="P620" s="28" t="str">
        <f t="shared" si="41"/>
        <v/>
      </c>
    </row>
    <row r="621" spans="2:16" x14ac:dyDescent="0.25">
      <c r="B621">
        <v>6197</v>
      </c>
      <c r="H621" t="str">
        <f t="shared" si="38"/>
        <v/>
      </c>
      <c r="M621">
        <f t="shared" si="39"/>
        <v>0</v>
      </c>
      <c r="N621" t="str" cm="1">
        <f t="array" ref="N621">_xlfn.LET(_xlpm.total,SUM(I621:L621),_xlpm.maxv,MAX(I621:L621),IF(_xlpm.total=0,"",IF(_xlpm.maxv/_xlpm.total&lt;0.5,"Mixed-Class",_xlfn.IFS(_xlpm.maxv=I621,"Assault",_xlpm.maxv=J621,"Engineer",_xlpm.maxv=K621,"Recon",_xlpm.maxv=L621,"Support"))))</f>
        <v/>
      </c>
      <c r="O621" t="str">
        <f t="shared" si="40"/>
        <v/>
      </c>
      <c r="P621" s="28" t="str">
        <f t="shared" si="41"/>
        <v/>
      </c>
    </row>
    <row r="622" spans="2:16" x14ac:dyDescent="0.25">
      <c r="B622">
        <v>6207</v>
      </c>
      <c r="H622" t="str">
        <f t="shared" si="38"/>
        <v/>
      </c>
      <c r="M622">
        <f t="shared" si="39"/>
        <v>0</v>
      </c>
      <c r="N622" t="str" cm="1">
        <f t="array" ref="N622">_xlfn.LET(_xlpm.total,SUM(I622:L622),_xlpm.maxv,MAX(I622:L622),IF(_xlpm.total=0,"",IF(_xlpm.maxv/_xlpm.total&lt;0.5,"Mixed-Class",_xlfn.IFS(_xlpm.maxv=I622,"Assault",_xlpm.maxv=J622,"Engineer",_xlpm.maxv=K622,"Recon",_xlpm.maxv=L622,"Support"))))</f>
        <v/>
      </c>
      <c r="O622" t="str">
        <f t="shared" si="40"/>
        <v/>
      </c>
      <c r="P622" s="28" t="str">
        <f t="shared" si="41"/>
        <v/>
      </c>
    </row>
    <row r="623" spans="2:16" x14ac:dyDescent="0.25">
      <c r="B623">
        <v>6217</v>
      </c>
      <c r="H623" t="str">
        <f t="shared" si="38"/>
        <v/>
      </c>
      <c r="M623">
        <f t="shared" si="39"/>
        <v>0</v>
      </c>
      <c r="N623" t="str" cm="1">
        <f t="array" ref="N623">_xlfn.LET(_xlpm.total,SUM(I623:L623),_xlpm.maxv,MAX(I623:L623),IF(_xlpm.total=0,"",IF(_xlpm.maxv/_xlpm.total&lt;0.5,"Mixed-Class",_xlfn.IFS(_xlpm.maxv=I623,"Assault",_xlpm.maxv=J623,"Engineer",_xlpm.maxv=K623,"Recon",_xlpm.maxv=L623,"Support"))))</f>
        <v/>
      </c>
      <c r="O623" t="str">
        <f t="shared" si="40"/>
        <v/>
      </c>
      <c r="P623" s="28" t="str">
        <f t="shared" si="41"/>
        <v/>
      </c>
    </row>
    <row r="624" spans="2:16" x14ac:dyDescent="0.25">
      <c r="B624">
        <v>6227</v>
      </c>
      <c r="H624" t="str">
        <f t="shared" si="38"/>
        <v/>
      </c>
      <c r="M624">
        <f t="shared" si="39"/>
        <v>0</v>
      </c>
      <c r="N624" t="str" cm="1">
        <f t="array" ref="N624">_xlfn.LET(_xlpm.total,SUM(I624:L624),_xlpm.maxv,MAX(I624:L624),IF(_xlpm.total=0,"",IF(_xlpm.maxv/_xlpm.total&lt;0.5,"Mixed-Class",_xlfn.IFS(_xlpm.maxv=I624,"Assault",_xlpm.maxv=J624,"Engineer",_xlpm.maxv=K624,"Recon",_xlpm.maxv=L624,"Support"))))</f>
        <v/>
      </c>
      <c r="O624" t="str">
        <f t="shared" si="40"/>
        <v/>
      </c>
      <c r="P624" s="28" t="str">
        <f t="shared" si="41"/>
        <v/>
      </c>
    </row>
    <row r="625" spans="2:16" x14ac:dyDescent="0.25">
      <c r="B625">
        <v>6237</v>
      </c>
      <c r="H625" t="str">
        <f t="shared" si="38"/>
        <v/>
      </c>
      <c r="M625">
        <f t="shared" si="39"/>
        <v>0</v>
      </c>
      <c r="N625" t="str" cm="1">
        <f t="array" ref="N625">_xlfn.LET(_xlpm.total,SUM(I625:L625),_xlpm.maxv,MAX(I625:L625),IF(_xlpm.total=0,"",IF(_xlpm.maxv/_xlpm.total&lt;0.5,"Mixed-Class",_xlfn.IFS(_xlpm.maxv=I625,"Assault",_xlpm.maxv=J625,"Engineer",_xlpm.maxv=K625,"Recon",_xlpm.maxv=L625,"Support"))))</f>
        <v/>
      </c>
      <c r="O625" t="str">
        <f t="shared" si="40"/>
        <v/>
      </c>
      <c r="P625" s="28" t="str">
        <f t="shared" si="41"/>
        <v/>
      </c>
    </row>
    <row r="626" spans="2:16" x14ac:dyDescent="0.25">
      <c r="B626">
        <v>6247</v>
      </c>
      <c r="H626" t="str">
        <f t="shared" si="38"/>
        <v/>
      </c>
      <c r="M626">
        <f t="shared" si="39"/>
        <v>0</v>
      </c>
      <c r="N626" t="str" cm="1">
        <f t="array" ref="N626">_xlfn.LET(_xlpm.total,SUM(I626:L626),_xlpm.maxv,MAX(I626:L626),IF(_xlpm.total=0,"",IF(_xlpm.maxv/_xlpm.total&lt;0.5,"Mixed-Class",_xlfn.IFS(_xlpm.maxv=I626,"Assault",_xlpm.maxv=J626,"Engineer",_xlpm.maxv=K626,"Recon",_xlpm.maxv=L626,"Support"))))</f>
        <v/>
      </c>
      <c r="O626" t="str">
        <f t="shared" si="40"/>
        <v/>
      </c>
      <c r="P626" s="28" t="str">
        <f t="shared" si="41"/>
        <v/>
      </c>
    </row>
    <row r="627" spans="2:16" x14ac:dyDescent="0.25">
      <c r="B627">
        <v>6257</v>
      </c>
      <c r="H627" t="str">
        <f t="shared" si="38"/>
        <v/>
      </c>
      <c r="M627">
        <f t="shared" si="39"/>
        <v>0</v>
      </c>
      <c r="N627" t="str" cm="1">
        <f t="array" ref="N627">_xlfn.LET(_xlpm.total,SUM(I627:L627),_xlpm.maxv,MAX(I627:L627),IF(_xlpm.total=0,"",IF(_xlpm.maxv/_xlpm.total&lt;0.5,"Mixed-Class",_xlfn.IFS(_xlpm.maxv=I627,"Assault",_xlpm.maxv=J627,"Engineer",_xlpm.maxv=K627,"Recon",_xlpm.maxv=L627,"Support"))))</f>
        <v/>
      </c>
      <c r="O627" t="str">
        <f t="shared" si="40"/>
        <v/>
      </c>
      <c r="P627" s="28" t="str">
        <f t="shared" si="41"/>
        <v/>
      </c>
    </row>
    <row r="628" spans="2:16" x14ac:dyDescent="0.25">
      <c r="B628">
        <v>6267</v>
      </c>
      <c r="H628" t="str">
        <f t="shared" si="38"/>
        <v/>
      </c>
      <c r="M628">
        <f t="shared" si="39"/>
        <v>0</v>
      </c>
      <c r="N628" t="str" cm="1">
        <f t="array" ref="N628">_xlfn.LET(_xlpm.total,SUM(I628:L628),_xlpm.maxv,MAX(I628:L628),IF(_xlpm.total=0,"",IF(_xlpm.maxv/_xlpm.total&lt;0.5,"Mixed-Class",_xlfn.IFS(_xlpm.maxv=I628,"Assault",_xlpm.maxv=J628,"Engineer",_xlpm.maxv=K628,"Recon",_xlpm.maxv=L628,"Support"))))</f>
        <v/>
      </c>
      <c r="O628" t="str">
        <f t="shared" si="40"/>
        <v/>
      </c>
      <c r="P628" s="28" t="str">
        <f t="shared" si="41"/>
        <v/>
      </c>
    </row>
    <row r="629" spans="2:16" x14ac:dyDescent="0.25">
      <c r="B629">
        <v>6277</v>
      </c>
      <c r="H629" t="str">
        <f t="shared" si="38"/>
        <v/>
      </c>
      <c r="M629">
        <f t="shared" si="39"/>
        <v>0</v>
      </c>
      <c r="N629" t="str" cm="1">
        <f t="array" ref="N629">_xlfn.LET(_xlpm.total,SUM(I629:L629),_xlpm.maxv,MAX(I629:L629),IF(_xlpm.total=0,"",IF(_xlpm.maxv/_xlpm.total&lt;0.5,"Mixed-Class",_xlfn.IFS(_xlpm.maxv=I629,"Assault",_xlpm.maxv=J629,"Engineer",_xlpm.maxv=K629,"Recon",_xlpm.maxv=L629,"Support"))))</f>
        <v/>
      </c>
      <c r="O629" t="str">
        <f t="shared" si="40"/>
        <v/>
      </c>
      <c r="P629" s="28" t="str">
        <f t="shared" si="41"/>
        <v/>
      </c>
    </row>
    <row r="630" spans="2:16" x14ac:dyDescent="0.25">
      <c r="B630">
        <v>6287</v>
      </c>
      <c r="H630" t="str">
        <f t="shared" si="38"/>
        <v/>
      </c>
      <c r="M630">
        <f t="shared" si="39"/>
        <v>0</v>
      </c>
      <c r="N630" t="str" cm="1">
        <f t="array" ref="N630">_xlfn.LET(_xlpm.total,SUM(I630:L630),_xlpm.maxv,MAX(I630:L630),IF(_xlpm.total=0,"",IF(_xlpm.maxv/_xlpm.total&lt;0.5,"Mixed-Class",_xlfn.IFS(_xlpm.maxv=I630,"Assault",_xlpm.maxv=J630,"Engineer",_xlpm.maxv=K630,"Recon",_xlpm.maxv=L630,"Support"))))</f>
        <v/>
      </c>
      <c r="O630" t="str">
        <f t="shared" si="40"/>
        <v/>
      </c>
      <c r="P630" s="28" t="str">
        <f t="shared" si="41"/>
        <v/>
      </c>
    </row>
    <row r="631" spans="2:16" x14ac:dyDescent="0.25">
      <c r="B631">
        <v>6297</v>
      </c>
      <c r="H631" t="str">
        <f t="shared" si="38"/>
        <v/>
      </c>
      <c r="M631">
        <f t="shared" si="39"/>
        <v>0</v>
      </c>
      <c r="N631" t="str" cm="1">
        <f t="array" ref="N631">_xlfn.LET(_xlpm.total,SUM(I631:L631),_xlpm.maxv,MAX(I631:L631),IF(_xlpm.total=0,"",IF(_xlpm.maxv/_xlpm.total&lt;0.5,"Mixed-Class",_xlfn.IFS(_xlpm.maxv=I631,"Assault",_xlpm.maxv=J631,"Engineer",_xlpm.maxv=K631,"Recon",_xlpm.maxv=L631,"Support"))))</f>
        <v/>
      </c>
      <c r="O631" t="str">
        <f t="shared" si="40"/>
        <v/>
      </c>
      <c r="P631" s="28" t="str">
        <f t="shared" si="41"/>
        <v/>
      </c>
    </row>
    <row r="632" spans="2:16" x14ac:dyDescent="0.25">
      <c r="B632">
        <v>6307</v>
      </c>
      <c r="H632" t="str">
        <f t="shared" si="38"/>
        <v/>
      </c>
      <c r="M632">
        <f t="shared" si="39"/>
        <v>0</v>
      </c>
      <c r="N632" t="str" cm="1">
        <f t="array" ref="N632">_xlfn.LET(_xlpm.total,SUM(I632:L632),_xlpm.maxv,MAX(I632:L632),IF(_xlpm.total=0,"",IF(_xlpm.maxv/_xlpm.total&lt;0.5,"Mixed-Class",_xlfn.IFS(_xlpm.maxv=I632,"Assault",_xlpm.maxv=J632,"Engineer",_xlpm.maxv=K632,"Recon",_xlpm.maxv=L632,"Support"))))</f>
        <v/>
      </c>
      <c r="O632" t="str">
        <f t="shared" si="40"/>
        <v/>
      </c>
      <c r="P632" s="28" t="str">
        <f t="shared" si="41"/>
        <v/>
      </c>
    </row>
    <row r="633" spans="2:16" x14ac:dyDescent="0.25">
      <c r="B633">
        <v>6317</v>
      </c>
      <c r="H633" t="str">
        <f t="shared" si="38"/>
        <v/>
      </c>
      <c r="M633">
        <f t="shared" si="39"/>
        <v>0</v>
      </c>
      <c r="N633" t="str" cm="1">
        <f t="array" ref="N633">_xlfn.LET(_xlpm.total,SUM(I633:L633),_xlpm.maxv,MAX(I633:L633),IF(_xlpm.total=0,"",IF(_xlpm.maxv/_xlpm.total&lt;0.5,"Mixed-Class",_xlfn.IFS(_xlpm.maxv=I633,"Assault",_xlpm.maxv=J633,"Engineer",_xlpm.maxv=K633,"Recon",_xlpm.maxv=L633,"Support"))))</f>
        <v/>
      </c>
      <c r="O633" t="str">
        <f t="shared" si="40"/>
        <v/>
      </c>
      <c r="P633" s="28" t="str">
        <f t="shared" si="41"/>
        <v/>
      </c>
    </row>
    <row r="634" spans="2:16" x14ac:dyDescent="0.25">
      <c r="B634">
        <v>6327</v>
      </c>
      <c r="H634" t="str">
        <f t="shared" si="38"/>
        <v/>
      </c>
      <c r="M634">
        <f t="shared" si="39"/>
        <v>0</v>
      </c>
      <c r="N634" t="str" cm="1">
        <f t="array" ref="N634">_xlfn.LET(_xlpm.total,SUM(I634:L634),_xlpm.maxv,MAX(I634:L634),IF(_xlpm.total=0,"",IF(_xlpm.maxv/_xlpm.total&lt;0.5,"Mixed-Class",_xlfn.IFS(_xlpm.maxv=I634,"Assault",_xlpm.maxv=J634,"Engineer",_xlpm.maxv=K634,"Recon",_xlpm.maxv=L634,"Support"))))</f>
        <v/>
      </c>
      <c r="O634" t="str">
        <f t="shared" si="40"/>
        <v/>
      </c>
      <c r="P634" s="28" t="str">
        <f t="shared" si="41"/>
        <v/>
      </c>
    </row>
    <row r="635" spans="2:16" x14ac:dyDescent="0.25">
      <c r="B635">
        <v>6337</v>
      </c>
      <c r="H635" t="str">
        <f t="shared" si="38"/>
        <v/>
      </c>
      <c r="M635">
        <f t="shared" si="39"/>
        <v>0</v>
      </c>
      <c r="N635" t="str" cm="1">
        <f t="array" ref="N635">_xlfn.LET(_xlpm.total,SUM(I635:L635),_xlpm.maxv,MAX(I635:L635),IF(_xlpm.total=0,"",IF(_xlpm.maxv/_xlpm.total&lt;0.5,"Mixed-Class",_xlfn.IFS(_xlpm.maxv=I635,"Assault",_xlpm.maxv=J635,"Engineer",_xlpm.maxv=K635,"Recon",_xlpm.maxv=L635,"Support"))))</f>
        <v/>
      </c>
      <c r="O635" t="str">
        <f t="shared" si="40"/>
        <v/>
      </c>
      <c r="P635" s="28" t="str">
        <f t="shared" si="41"/>
        <v/>
      </c>
    </row>
    <row r="636" spans="2:16" x14ac:dyDescent="0.25">
      <c r="B636">
        <v>6347</v>
      </c>
      <c r="H636" t="str">
        <f t="shared" si="38"/>
        <v/>
      </c>
      <c r="M636">
        <f t="shared" si="39"/>
        <v>0</v>
      </c>
      <c r="N636" t="str" cm="1">
        <f t="array" ref="N636">_xlfn.LET(_xlpm.total,SUM(I636:L636),_xlpm.maxv,MAX(I636:L636),IF(_xlpm.total=0,"",IF(_xlpm.maxv/_xlpm.total&lt;0.5,"Mixed-Class",_xlfn.IFS(_xlpm.maxv=I636,"Assault",_xlpm.maxv=J636,"Engineer",_xlpm.maxv=K636,"Recon",_xlpm.maxv=L636,"Support"))))</f>
        <v/>
      </c>
      <c r="O636" t="str">
        <f t="shared" si="40"/>
        <v/>
      </c>
      <c r="P636" s="28" t="str">
        <f t="shared" si="41"/>
        <v/>
      </c>
    </row>
    <row r="637" spans="2:16" x14ac:dyDescent="0.25">
      <c r="B637">
        <v>6357</v>
      </c>
      <c r="H637" t="str">
        <f t="shared" si="38"/>
        <v/>
      </c>
      <c r="M637">
        <f t="shared" si="39"/>
        <v>0</v>
      </c>
      <c r="N637" t="str" cm="1">
        <f t="array" ref="N637">_xlfn.LET(_xlpm.total,SUM(I637:L637),_xlpm.maxv,MAX(I637:L637),IF(_xlpm.total=0,"",IF(_xlpm.maxv/_xlpm.total&lt;0.5,"Mixed-Class",_xlfn.IFS(_xlpm.maxv=I637,"Assault",_xlpm.maxv=J637,"Engineer",_xlpm.maxv=K637,"Recon",_xlpm.maxv=L637,"Support"))))</f>
        <v/>
      </c>
      <c r="O637" t="str">
        <f t="shared" si="40"/>
        <v/>
      </c>
      <c r="P637" s="28" t="str">
        <f t="shared" si="41"/>
        <v/>
      </c>
    </row>
    <row r="638" spans="2:16" x14ac:dyDescent="0.25">
      <c r="B638">
        <v>6367</v>
      </c>
      <c r="H638" t="str">
        <f t="shared" si="38"/>
        <v/>
      </c>
      <c r="M638">
        <f t="shared" si="39"/>
        <v>0</v>
      </c>
      <c r="N638" t="str" cm="1">
        <f t="array" ref="N638">_xlfn.LET(_xlpm.total,SUM(I638:L638),_xlpm.maxv,MAX(I638:L638),IF(_xlpm.total=0,"",IF(_xlpm.maxv/_xlpm.total&lt;0.5,"Mixed-Class",_xlfn.IFS(_xlpm.maxv=I638,"Assault",_xlpm.maxv=J638,"Engineer",_xlpm.maxv=K638,"Recon",_xlpm.maxv=L638,"Support"))))</f>
        <v/>
      </c>
      <c r="O638" t="str">
        <f t="shared" si="40"/>
        <v/>
      </c>
      <c r="P638" s="28" t="str">
        <f t="shared" si="41"/>
        <v/>
      </c>
    </row>
    <row r="639" spans="2:16" x14ac:dyDescent="0.25">
      <c r="B639">
        <v>6377</v>
      </c>
      <c r="H639" t="str">
        <f t="shared" si="38"/>
        <v/>
      </c>
      <c r="M639">
        <f t="shared" si="39"/>
        <v>0</v>
      </c>
      <c r="N639" t="str" cm="1">
        <f t="array" ref="N639">_xlfn.LET(_xlpm.total,SUM(I639:L639),_xlpm.maxv,MAX(I639:L639),IF(_xlpm.total=0,"",IF(_xlpm.maxv/_xlpm.total&lt;0.5,"Mixed-Class",_xlfn.IFS(_xlpm.maxv=I639,"Assault",_xlpm.maxv=J639,"Engineer",_xlpm.maxv=K639,"Recon",_xlpm.maxv=L639,"Support"))))</f>
        <v/>
      </c>
      <c r="O639" t="str">
        <f t="shared" si="40"/>
        <v/>
      </c>
      <c r="P639" s="28" t="str">
        <f t="shared" si="41"/>
        <v/>
      </c>
    </row>
    <row r="640" spans="2:16" x14ac:dyDescent="0.25">
      <c r="B640">
        <v>6387</v>
      </c>
      <c r="H640" t="str">
        <f t="shared" si="38"/>
        <v/>
      </c>
      <c r="M640">
        <f t="shared" si="39"/>
        <v>0</v>
      </c>
      <c r="N640" t="str" cm="1">
        <f t="array" ref="N640">_xlfn.LET(_xlpm.total,SUM(I640:L640),_xlpm.maxv,MAX(I640:L640),IF(_xlpm.total=0,"",IF(_xlpm.maxv/_xlpm.total&lt;0.5,"Mixed-Class",_xlfn.IFS(_xlpm.maxv=I640,"Assault",_xlpm.maxv=J640,"Engineer",_xlpm.maxv=K640,"Recon",_xlpm.maxv=L640,"Support"))))</f>
        <v/>
      </c>
      <c r="O640" t="str">
        <f t="shared" si="40"/>
        <v/>
      </c>
      <c r="P640" s="28" t="str">
        <f t="shared" si="41"/>
        <v/>
      </c>
    </row>
    <row r="641" spans="2:16" x14ac:dyDescent="0.25">
      <c r="B641">
        <v>6397</v>
      </c>
      <c r="H641" t="str">
        <f t="shared" si="38"/>
        <v/>
      </c>
      <c r="M641">
        <f t="shared" si="39"/>
        <v>0</v>
      </c>
      <c r="N641" t="str" cm="1">
        <f t="array" ref="N641">_xlfn.LET(_xlpm.total,SUM(I641:L641),_xlpm.maxv,MAX(I641:L641),IF(_xlpm.total=0,"",IF(_xlpm.maxv/_xlpm.total&lt;0.5,"Mixed-Class",_xlfn.IFS(_xlpm.maxv=I641,"Assault",_xlpm.maxv=J641,"Engineer",_xlpm.maxv=K641,"Recon",_xlpm.maxv=L641,"Support"))))</f>
        <v/>
      </c>
      <c r="O641" t="str">
        <f t="shared" si="40"/>
        <v/>
      </c>
      <c r="P641" s="28" t="str">
        <f t="shared" si="41"/>
        <v/>
      </c>
    </row>
    <row r="642" spans="2:16" x14ac:dyDescent="0.25">
      <c r="B642">
        <v>6407</v>
      </c>
      <c r="H642" t="str">
        <f t="shared" si="38"/>
        <v/>
      </c>
      <c r="M642">
        <f t="shared" si="39"/>
        <v>0</v>
      </c>
      <c r="N642" t="str" cm="1">
        <f t="array" ref="N642">_xlfn.LET(_xlpm.total,SUM(I642:L642),_xlpm.maxv,MAX(I642:L642),IF(_xlpm.total=0,"",IF(_xlpm.maxv/_xlpm.total&lt;0.5,"Mixed-Class",_xlfn.IFS(_xlpm.maxv=I642,"Assault",_xlpm.maxv=J642,"Engineer",_xlpm.maxv=K642,"Recon",_xlpm.maxv=L642,"Support"))))</f>
        <v/>
      </c>
      <c r="O642" t="str">
        <f t="shared" si="40"/>
        <v/>
      </c>
      <c r="P642" s="28" t="str">
        <f t="shared" si="41"/>
        <v/>
      </c>
    </row>
    <row r="643" spans="2:16" x14ac:dyDescent="0.25">
      <c r="B643">
        <v>6417</v>
      </c>
      <c r="H643" t="str">
        <f t="shared" ref="H643:H706" si="42">IF(SUM(D643:G643)=0,"",IF(G643/SUM(D643:G643)&gt;=0.5,"Battle Royale",IF(F643/SUM(D643:F643)&gt;=0.6,"Infantry-Heavy",IF((D643+0.7*E643)/SUM(D643:F643)&gt;=0.7,"Vehicle-Heavy","Mixed"))))</f>
        <v/>
      </c>
      <c r="M643">
        <f t="shared" ref="M643:M706" si="43">SUM(I643:L643)</f>
        <v>0</v>
      </c>
      <c r="N643" t="str" cm="1">
        <f t="array" ref="N643">_xlfn.LET(_xlpm.total,SUM(I643:L643),_xlpm.maxv,MAX(I643:L643),IF(_xlpm.total=0,"",IF(_xlpm.maxv/_xlpm.total&lt;0.5,"Mixed-Class",_xlfn.IFS(_xlpm.maxv=I643,"Assault",_xlpm.maxv=J643,"Engineer",_xlpm.maxv=K643,"Recon",_xlpm.maxv=L643,"Support"))))</f>
        <v/>
      </c>
      <c r="O643" t="str">
        <f t="shared" ref="O643:O706" si="44">_xlfn.LET(_xlpm.total,SUM(I643:L643),IF(_xlpm.total=0,"",MAX(I643:L643)/_xlpm.total&gt;=0.5))</f>
        <v/>
      </c>
      <c r="P643" s="28" t="str">
        <f t="shared" ref="P643:P706" si="45">_xlfn.LET(_xlpm.total,SUM(I643:L643),IF(_xlpm.total=0,"",MAX(I643:L643)/_xlpm.total))</f>
        <v/>
      </c>
    </row>
    <row r="644" spans="2:16" x14ac:dyDescent="0.25">
      <c r="B644">
        <v>6427</v>
      </c>
      <c r="H644" t="str">
        <f t="shared" si="42"/>
        <v/>
      </c>
      <c r="M644">
        <f t="shared" si="43"/>
        <v>0</v>
      </c>
      <c r="N644" t="str" cm="1">
        <f t="array" ref="N644">_xlfn.LET(_xlpm.total,SUM(I644:L644),_xlpm.maxv,MAX(I644:L644),IF(_xlpm.total=0,"",IF(_xlpm.maxv/_xlpm.total&lt;0.5,"Mixed-Class",_xlfn.IFS(_xlpm.maxv=I644,"Assault",_xlpm.maxv=J644,"Engineer",_xlpm.maxv=K644,"Recon",_xlpm.maxv=L644,"Support"))))</f>
        <v/>
      </c>
      <c r="O644" t="str">
        <f t="shared" si="44"/>
        <v/>
      </c>
      <c r="P644" s="28" t="str">
        <f t="shared" si="45"/>
        <v/>
      </c>
    </row>
    <row r="645" spans="2:16" x14ac:dyDescent="0.25">
      <c r="B645">
        <v>6437</v>
      </c>
      <c r="H645" t="str">
        <f t="shared" si="42"/>
        <v/>
      </c>
      <c r="M645">
        <f t="shared" si="43"/>
        <v>0</v>
      </c>
      <c r="N645" t="str" cm="1">
        <f t="array" ref="N645">_xlfn.LET(_xlpm.total,SUM(I645:L645),_xlpm.maxv,MAX(I645:L645),IF(_xlpm.total=0,"",IF(_xlpm.maxv/_xlpm.total&lt;0.5,"Mixed-Class",_xlfn.IFS(_xlpm.maxv=I645,"Assault",_xlpm.maxv=J645,"Engineer",_xlpm.maxv=K645,"Recon",_xlpm.maxv=L645,"Support"))))</f>
        <v/>
      </c>
      <c r="O645" t="str">
        <f t="shared" si="44"/>
        <v/>
      </c>
      <c r="P645" s="28" t="str">
        <f t="shared" si="45"/>
        <v/>
      </c>
    </row>
    <row r="646" spans="2:16" x14ac:dyDescent="0.25">
      <c r="B646">
        <v>6447</v>
      </c>
      <c r="H646" t="str">
        <f t="shared" si="42"/>
        <v/>
      </c>
      <c r="M646">
        <f t="shared" si="43"/>
        <v>0</v>
      </c>
      <c r="N646" t="str" cm="1">
        <f t="array" ref="N646">_xlfn.LET(_xlpm.total,SUM(I646:L646),_xlpm.maxv,MAX(I646:L646),IF(_xlpm.total=0,"",IF(_xlpm.maxv/_xlpm.total&lt;0.5,"Mixed-Class",_xlfn.IFS(_xlpm.maxv=I646,"Assault",_xlpm.maxv=J646,"Engineer",_xlpm.maxv=K646,"Recon",_xlpm.maxv=L646,"Support"))))</f>
        <v/>
      </c>
      <c r="O646" t="str">
        <f t="shared" si="44"/>
        <v/>
      </c>
      <c r="P646" s="28" t="str">
        <f t="shared" si="45"/>
        <v/>
      </c>
    </row>
    <row r="647" spans="2:16" x14ac:dyDescent="0.25">
      <c r="B647">
        <v>6457</v>
      </c>
      <c r="H647" t="str">
        <f t="shared" si="42"/>
        <v/>
      </c>
      <c r="M647">
        <f t="shared" si="43"/>
        <v>0</v>
      </c>
      <c r="N647" t="str" cm="1">
        <f t="array" ref="N647">_xlfn.LET(_xlpm.total,SUM(I647:L647),_xlpm.maxv,MAX(I647:L647),IF(_xlpm.total=0,"",IF(_xlpm.maxv/_xlpm.total&lt;0.5,"Mixed-Class",_xlfn.IFS(_xlpm.maxv=I647,"Assault",_xlpm.maxv=J647,"Engineer",_xlpm.maxv=K647,"Recon",_xlpm.maxv=L647,"Support"))))</f>
        <v/>
      </c>
      <c r="O647" t="str">
        <f t="shared" si="44"/>
        <v/>
      </c>
      <c r="P647" s="28" t="str">
        <f t="shared" si="45"/>
        <v/>
      </c>
    </row>
    <row r="648" spans="2:16" x14ac:dyDescent="0.25">
      <c r="B648">
        <v>6467</v>
      </c>
      <c r="H648" t="str">
        <f t="shared" si="42"/>
        <v/>
      </c>
      <c r="M648">
        <f t="shared" si="43"/>
        <v>0</v>
      </c>
      <c r="N648" t="str" cm="1">
        <f t="array" ref="N648">_xlfn.LET(_xlpm.total,SUM(I648:L648),_xlpm.maxv,MAX(I648:L648),IF(_xlpm.total=0,"",IF(_xlpm.maxv/_xlpm.total&lt;0.5,"Mixed-Class",_xlfn.IFS(_xlpm.maxv=I648,"Assault",_xlpm.maxv=J648,"Engineer",_xlpm.maxv=K648,"Recon",_xlpm.maxv=L648,"Support"))))</f>
        <v/>
      </c>
      <c r="O648" t="str">
        <f t="shared" si="44"/>
        <v/>
      </c>
      <c r="P648" s="28" t="str">
        <f t="shared" si="45"/>
        <v/>
      </c>
    </row>
    <row r="649" spans="2:16" x14ac:dyDescent="0.25">
      <c r="B649">
        <v>6477</v>
      </c>
      <c r="H649" t="str">
        <f t="shared" si="42"/>
        <v/>
      </c>
      <c r="M649">
        <f t="shared" si="43"/>
        <v>0</v>
      </c>
      <c r="N649" t="str" cm="1">
        <f t="array" ref="N649">_xlfn.LET(_xlpm.total,SUM(I649:L649),_xlpm.maxv,MAX(I649:L649),IF(_xlpm.total=0,"",IF(_xlpm.maxv/_xlpm.total&lt;0.5,"Mixed-Class",_xlfn.IFS(_xlpm.maxv=I649,"Assault",_xlpm.maxv=J649,"Engineer",_xlpm.maxv=K649,"Recon",_xlpm.maxv=L649,"Support"))))</f>
        <v/>
      </c>
      <c r="O649" t="str">
        <f t="shared" si="44"/>
        <v/>
      </c>
      <c r="P649" s="28" t="str">
        <f t="shared" si="45"/>
        <v/>
      </c>
    </row>
    <row r="650" spans="2:16" x14ac:dyDescent="0.25">
      <c r="B650">
        <v>6487</v>
      </c>
      <c r="H650" t="str">
        <f t="shared" si="42"/>
        <v/>
      </c>
      <c r="M650">
        <f t="shared" si="43"/>
        <v>0</v>
      </c>
      <c r="N650" t="str" cm="1">
        <f t="array" ref="N650">_xlfn.LET(_xlpm.total,SUM(I650:L650),_xlpm.maxv,MAX(I650:L650),IF(_xlpm.total=0,"",IF(_xlpm.maxv/_xlpm.total&lt;0.5,"Mixed-Class",_xlfn.IFS(_xlpm.maxv=I650,"Assault",_xlpm.maxv=J650,"Engineer",_xlpm.maxv=K650,"Recon",_xlpm.maxv=L650,"Support"))))</f>
        <v/>
      </c>
      <c r="O650" t="str">
        <f t="shared" si="44"/>
        <v/>
      </c>
      <c r="P650" s="28" t="str">
        <f t="shared" si="45"/>
        <v/>
      </c>
    </row>
    <row r="651" spans="2:16" x14ac:dyDescent="0.25">
      <c r="B651">
        <v>6497</v>
      </c>
      <c r="H651" t="str">
        <f t="shared" si="42"/>
        <v/>
      </c>
      <c r="M651">
        <f t="shared" si="43"/>
        <v>0</v>
      </c>
      <c r="N651" t="str" cm="1">
        <f t="array" ref="N651">_xlfn.LET(_xlpm.total,SUM(I651:L651),_xlpm.maxv,MAX(I651:L651),IF(_xlpm.total=0,"",IF(_xlpm.maxv/_xlpm.total&lt;0.5,"Mixed-Class",_xlfn.IFS(_xlpm.maxv=I651,"Assault",_xlpm.maxv=J651,"Engineer",_xlpm.maxv=K651,"Recon",_xlpm.maxv=L651,"Support"))))</f>
        <v/>
      </c>
      <c r="O651" t="str">
        <f t="shared" si="44"/>
        <v/>
      </c>
      <c r="P651" s="28" t="str">
        <f t="shared" si="45"/>
        <v/>
      </c>
    </row>
    <row r="652" spans="2:16" x14ac:dyDescent="0.25">
      <c r="B652">
        <v>6507</v>
      </c>
      <c r="H652" t="str">
        <f t="shared" si="42"/>
        <v/>
      </c>
      <c r="M652">
        <f t="shared" si="43"/>
        <v>0</v>
      </c>
      <c r="N652" t="str" cm="1">
        <f t="array" ref="N652">_xlfn.LET(_xlpm.total,SUM(I652:L652),_xlpm.maxv,MAX(I652:L652),IF(_xlpm.total=0,"",IF(_xlpm.maxv/_xlpm.total&lt;0.5,"Mixed-Class",_xlfn.IFS(_xlpm.maxv=I652,"Assault",_xlpm.maxv=J652,"Engineer",_xlpm.maxv=K652,"Recon",_xlpm.maxv=L652,"Support"))))</f>
        <v/>
      </c>
      <c r="O652" t="str">
        <f t="shared" si="44"/>
        <v/>
      </c>
      <c r="P652" s="28" t="str">
        <f t="shared" si="45"/>
        <v/>
      </c>
    </row>
    <row r="653" spans="2:16" x14ac:dyDescent="0.25">
      <c r="B653">
        <v>6517</v>
      </c>
      <c r="H653" t="str">
        <f t="shared" si="42"/>
        <v/>
      </c>
      <c r="M653">
        <f t="shared" si="43"/>
        <v>0</v>
      </c>
      <c r="N653" t="str" cm="1">
        <f t="array" ref="N653">_xlfn.LET(_xlpm.total,SUM(I653:L653),_xlpm.maxv,MAX(I653:L653),IF(_xlpm.total=0,"",IF(_xlpm.maxv/_xlpm.total&lt;0.5,"Mixed-Class",_xlfn.IFS(_xlpm.maxv=I653,"Assault",_xlpm.maxv=J653,"Engineer",_xlpm.maxv=K653,"Recon",_xlpm.maxv=L653,"Support"))))</f>
        <v/>
      </c>
      <c r="O653" t="str">
        <f t="shared" si="44"/>
        <v/>
      </c>
      <c r="P653" s="28" t="str">
        <f t="shared" si="45"/>
        <v/>
      </c>
    </row>
    <row r="654" spans="2:16" x14ac:dyDescent="0.25">
      <c r="B654">
        <v>6527</v>
      </c>
      <c r="H654" t="str">
        <f t="shared" si="42"/>
        <v/>
      </c>
      <c r="M654">
        <f t="shared" si="43"/>
        <v>0</v>
      </c>
      <c r="N654" t="str" cm="1">
        <f t="array" ref="N654">_xlfn.LET(_xlpm.total,SUM(I654:L654),_xlpm.maxv,MAX(I654:L654),IF(_xlpm.total=0,"",IF(_xlpm.maxv/_xlpm.total&lt;0.5,"Mixed-Class",_xlfn.IFS(_xlpm.maxv=I654,"Assault",_xlpm.maxv=J654,"Engineer",_xlpm.maxv=K654,"Recon",_xlpm.maxv=L654,"Support"))))</f>
        <v/>
      </c>
      <c r="O654" t="str">
        <f t="shared" si="44"/>
        <v/>
      </c>
      <c r="P654" s="28" t="str">
        <f t="shared" si="45"/>
        <v/>
      </c>
    </row>
    <row r="655" spans="2:16" x14ac:dyDescent="0.25">
      <c r="B655">
        <v>6537</v>
      </c>
      <c r="H655" t="str">
        <f t="shared" si="42"/>
        <v/>
      </c>
      <c r="M655">
        <f t="shared" si="43"/>
        <v>0</v>
      </c>
      <c r="N655" t="str" cm="1">
        <f t="array" ref="N655">_xlfn.LET(_xlpm.total,SUM(I655:L655),_xlpm.maxv,MAX(I655:L655),IF(_xlpm.total=0,"",IF(_xlpm.maxv/_xlpm.total&lt;0.5,"Mixed-Class",_xlfn.IFS(_xlpm.maxv=I655,"Assault",_xlpm.maxv=J655,"Engineer",_xlpm.maxv=K655,"Recon",_xlpm.maxv=L655,"Support"))))</f>
        <v/>
      </c>
      <c r="O655" t="str">
        <f t="shared" si="44"/>
        <v/>
      </c>
      <c r="P655" s="28" t="str">
        <f t="shared" si="45"/>
        <v/>
      </c>
    </row>
    <row r="656" spans="2:16" x14ac:dyDescent="0.25">
      <c r="B656">
        <v>6547</v>
      </c>
      <c r="H656" t="str">
        <f t="shared" si="42"/>
        <v/>
      </c>
      <c r="M656">
        <f t="shared" si="43"/>
        <v>0</v>
      </c>
      <c r="N656" t="str" cm="1">
        <f t="array" ref="N656">_xlfn.LET(_xlpm.total,SUM(I656:L656),_xlpm.maxv,MAX(I656:L656),IF(_xlpm.total=0,"",IF(_xlpm.maxv/_xlpm.total&lt;0.5,"Mixed-Class",_xlfn.IFS(_xlpm.maxv=I656,"Assault",_xlpm.maxv=J656,"Engineer",_xlpm.maxv=K656,"Recon",_xlpm.maxv=L656,"Support"))))</f>
        <v/>
      </c>
      <c r="O656" t="str">
        <f t="shared" si="44"/>
        <v/>
      </c>
      <c r="P656" s="28" t="str">
        <f t="shared" si="45"/>
        <v/>
      </c>
    </row>
    <row r="657" spans="2:16" x14ac:dyDescent="0.25">
      <c r="B657">
        <v>6557</v>
      </c>
      <c r="H657" t="str">
        <f t="shared" si="42"/>
        <v/>
      </c>
      <c r="M657">
        <f t="shared" si="43"/>
        <v>0</v>
      </c>
      <c r="N657" t="str" cm="1">
        <f t="array" ref="N657">_xlfn.LET(_xlpm.total,SUM(I657:L657),_xlpm.maxv,MAX(I657:L657),IF(_xlpm.total=0,"",IF(_xlpm.maxv/_xlpm.total&lt;0.5,"Mixed-Class",_xlfn.IFS(_xlpm.maxv=I657,"Assault",_xlpm.maxv=J657,"Engineer",_xlpm.maxv=K657,"Recon",_xlpm.maxv=L657,"Support"))))</f>
        <v/>
      </c>
      <c r="O657" t="str">
        <f t="shared" si="44"/>
        <v/>
      </c>
      <c r="P657" s="28" t="str">
        <f t="shared" si="45"/>
        <v/>
      </c>
    </row>
    <row r="658" spans="2:16" x14ac:dyDescent="0.25">
      <c r="B658">
        <v>6567</v>
      </c>
      <c r="H658" t="str">
        <f t="shared" si="42"/>
        <v/>
      </c>
      <c r="M658">
        <f t="shared" si="43"/>
        <v>0</v>
      </c>
      <c r="N658" t="str" cm="1">
        <f t="array" ref="N658">_xlfn.LET(_xlpm.total,SUM(I658:L658),_xlpm.maxv,MAX(I658:L658),IF(_xlpm.total=0,"",IF(_xlpm.maxv/_xlpm.total&lt;0.5,"Mixed-Class",_xlfn.IFS(_xlpm.maxv=I658,"Assault",_xlpm.maxv=J658,"Engineer",_xlpm.maxv=K658,"Recon",_xlpm.maxv=L658,"Support"))))</f>
        <v/>
      </c>
      <c r="O658" t="str">
        <f t="shared" si="44"/>
        <v/>
      </c>
      <c r="P658" s="28" t="str">
        <f t="shared" si="45"/>
        <v/>
      </c>
    </row>
    <row r="659" spans="2:16" x14ac:dyDescent="0.25">
      <c r="B659">
        <v>6577</v>
      </c>
      <c r="H659" t="str">
        <f t="shared" si="42"/>
        <v/>
      </c>
      <c r="M659">
        <f t="shared" si="43"/>
        <v>0</v>
      </c>
      <c r="N659" t="str" cm="1">
        <f t="array" ref="N659">_xlfn.LET(_xlpm.total,SUM(I659:L659),_xlpm.maxv,MAX(I659:L659),IF(_xlpm.total=0,"",IF(_xlpm.maxv/_xlpm.total&lt;0.5,"Mixed-Class",_xlfn.IFS(_xlpm.maxv=I659,"Assault",_xlpm.maxv=J659,"Engineer",_xlpm.maxv=K659,"Recon",_xlpm.maxv=L659,"Support"))))</f>
        <v/>
      </c>
      <c r="O659" t="str">
        <f t="shared" si="44"/>
        <v/>
      </c>
      <c r="P659" s="28" t="str">
        <f t="shared" si="45"/>
        <v/>
      </c>
    </row>
    <row r="660" spans="2:16" x14ac:dyDescent="0.25">
      <c r="B660">
        <v>6587</v>
      </c>
      <c r="H660" t="str">
        <f t="shared" si="42"/>
        <v/>
      </c>
      <c r="M660">
        <f t="shared" si="43"/>
        <v>0</v>
      </c>
      <c r="N660" t="str" cm="1">
        <f t="array" ref="N660">_xlfn.LET(_xlpm.total,SUM(I660:L660),_xlpm.maxv,MAX(I660:L660),IF(_xlpm.total=0,"",IF(_xlpm.maxv/_xlpm.total&lt;0.5,"Mixed-Class",_xlfn.IFS(_xlpm.maxv=I660,"Assault",_xlpm.maxv=J660,"Engineer",_xlpm.maxv=K660,"Recon",_xlpm.maxv=L660,"Support"))))</f>
        <v/>
      </c>
      <c r="O660" t="str">
        <f t="shared" si="44"/>
        <v/>
      </c>
      <c r="P660" s="28" t="str">
        <f t="shared" si="45"/>
        <v/>
      </c>
    </row>
    <row r="661" spans="2:16" x14ac:dyDescent="0.25">
      <c r="B661">
        <v>6597</v>
      </c>
      <c r="H661" t="str">
        <f t="shared" si="42"/>
        <v/>
      </c>
      <c r="M661">
        <f t="shared" si="43"/>
        <v>0</v>
      </c>
      <c r="N661" t="str" cm="1">
        <f t="array" ref="N661">_xlfn.LET(_xlpm.total,SUM(I661:L661),_xlpm.maxv,MAX(I661:L661),IF(_xlpm.total=0,"",IF(_xlpm.maxv/_xlpm.total&lt;0.5,"Mixed-Class",_xlfn.IFS(_xlpm.maxv=I661,"Assault",_xlpm.maxv=J661,"Engineer",_xlpm.maxv=K661,"Recon",_xlpm.maxv=L661,"Support"))))</f>
        <v/>
      </c>
      <c r="O661" t="str">
        <f t="shared" si="44"/>
        <v/>
      </c>
      <c r="P661" s="28" t="str">
        <f t="shared" si="45"/>
        <v/>
      </c>
    </row>
    <row r="662" spans="2:16" x14ac:dyDescent="0.25">
      <c r="B662">
        <v>6607</v>
      </c>
      <c r="H662" t="str">
        <f t="shared" si="42"/>
        <v/>
      </c>
      <c r="M662">
        <f t="shared" si="43"/>
        <v>0</v>
      </c>
      <c r="N662" t="str" cm="1">
        <f t="array" ref="N662">_xlfn.LET(_xlpm.total,SUM(I662:L662),_xlpm.maxv,MAX(I662:L662),IF(_xlpm.total=0,"",IF(_xlpm.maxv/_xlpm.total&lt;0.5,"Mixed-Class",_xlfn.IFS(_xlpm.maxv=I662,"Assault",_xlpm.maxv=J662,"Engineer",_xlpm.maxv=K662,"Recon",_xlpm.maxv=L662,"Support"))))</f>
        <v/>
      </c>
      <c r="O662" t="str">
        <f t="shared" si="44"/>
        <v/>
      </c>
      <c r="P662" s="28" t="str">
        <f t="shared" si="45"/>
        <v/>
      </c>
    </row>
    <row r="663" spans="2:16" x14ac:dyDescent="0.25">
      <c r="B663">
        <v>6617</v>
      </c>
      <c r="H663" t="str">
        <f t="shared" si="42"/>
        <v/>
      </c>
      <c r="M663">
        <f t="shared" si="43"/>
        <v>0</v>
      </c>
      <c r="N663" t="str" cm="1">
        <f t="array" ref="N663">_xlfn.LET(_xlpm.total,SUM(I663:L663),_xlpm.maxv,MAX(I663:L663),IF(_xlpm.total=0,"",IF(_xlpm.maxv/_xlpm.total&lt;0.5,"Mixed-Class",_xlfn.IFS(_xlpm.maxv=I663,"Assault",_xlpm.maxv=J663,"Engineer",_xlpm.maxv=K663,"Recon",_xlpm.maxv=L663,"Support"))))</f>
        <v/>
      </c>
      <c r="O663" t="str">
        <f t="shared" si="44"/>
        <v/>
      </c>
      <c r="P663" s="28" t="str">
        <f t="shared" si="45"/>
        <v/>
      </c>
    </row>
    <row r="664" spans="2:16" x14ac:dyDescent="0.25">
      <c r="B664">
        <v>6627</v>
      </c>
      <c r="H664" t="str">
        <f t="shared" si="42"/>
        <v/>
      </c>
      <c r="M664">
        <f t="shared" si="43"/>
        <v>0</v>
      </c>
      <c r="N664" t="str" cm="1">
        <f t="array" ref="N664">_xlfn.LET(_xlpm.total,SUM(I664:L664),_xlpm.maxv,MAX(I664:L664),IF(_xlpm.total=0,"",IF(_xlpm.maxv/_xlpm.total&lt;0.5,"Mixed-Class",_xlfn.IFS(_xlpm.maxv=I664,"Assault",_xlpm.maxv=J664,"Engineer",_xlpm.maxv=K664,"Recon",_xlpm.maxv=L664,"Support"))))</f>
        <v/>
      </c>
      <c r="O664" t="str">
        <f t="shared" si="44"/>
        <v/>
      </c>
      <c r="P664" s="28" t="str">
        <f t="shared" si="45"/>
        <v/>
      </c>
    </row>
    <row r="665" spans="2:16" x14ac:dyDescent="0.25">
      <c r="B665">
        <v>6637</v>
      </c>
      <c r="H665" t="str">
        <f t="shared" si="42"/>
        <v/>
      </c>
      <c r="M665">
        <f t="shared" si="43"/>
        <v>0</v>
      </c>
      <c r="N665" t="str" cm="1">
        <f t="array" ref="N665">_xlfn.LET(_xlpm.total,SUM(I665:L665),_xlpm.maxv,MAX(I665:L665),IF(_xlpm.total=0,"",IF(_xlpm.maxv/_xlpm.total&lt;0.5,"Mixed-Class",_xlfn.IFS(_xlpm.maxv=I665,"Assault",_xlpm.maxv=J665,"Engineer",_xlpm.maxv=K665,"Recon",_xlpm.maxv=L665,"Support"))))</f>
        <v/>
      </c>
      <c r="O665" t="str">
        <f t="shared" si="44"/>
        <v/>
      </c>
      <c r="P665" s="28" t="str">
        <f t="shared" si="45"/>
        <v/>
      </c>
    </row>
    <row r="666" spans="2:16" x14ac:dyDescent="0.25">
      <c r="B666">
        <v>6647</v>
      </c>
      <c r="H666" t="str">
        <f t="shared" si="42"/>
        <v/>
      </c>
      <c r="M666">
        <f t="shared" si="43"/>
        <v>0</v>
      </c>
      <c r="N666" t="str" cm="1">
        <f t="array" ref="N666">_xlfn.LET(_xlpm.total,SUM(I666:L666),_xlpm.maxv,MAX(I666:L666),IF(_xlpm.total=0,"",IF(_xlpm.maxv/_xlpm.total&lt;0.5,"Mixed-Class",_xlfn.IFS(_xlpm.maxv=I666,"Assault",_xlpm.maxv=J666,"Engineer",_xlpm.maxv=K666,"Recon",_xlpm.maxv=L666,"Support"))))</f>
        <v/>
      </c>
      <c r="O666" t="str">
        <f t="shared" si="44"/>
        <v/>
      </c>
      <c r="P666" s="28" t="str">
        <f t="shared" si="45"/>
        <v/>
      </c>
    </row>
    <row r="667" spans="2:16" x14ac:dyDescent="0.25">
      <c r="B667">
        <v>6657</v>
      </c>
      <c r="H667" t="str">
        <f t="shared" si="42"/>
        <v/>
      </c>
      <c r="M667">
        <f t="shared" si="43"/>
        <v>0</v>
      </c>
      <c r="N667" t="str" cm="1">
        <f t="array" ref="N667">_xlfn.LET(_xlpm.total,SUM(I667:L667),_xlpm.maxv,MAX(I667:L667),IF(_xlpm.total=0,"",IF(_xlpm.maxv/_xlpm.total&lt;0.5,"Mixed-Class",_xlfn.IFS(_xlpm.maxv=I667,"Assault",_xlpm.maxv=J667,"Engineer",_xlpm.maxv=K667,"Recon",_xlpm.maxv=L667,"Support"))))</f>
        <v/>
      </c>
      <c r="O667" t="str">
        <f t="shared" si="44"/>
        <v/>
      </c>
      <c r="P667" s="28" t="str">
        <f t="shared" si="45"/>
        <v/>
      </c>
    </row>
    <row r="668" spans="2:16" x14ac:dyDescent="0.25">
      <c r="B668">
        <v>6667</v>
      </c>
      <c r="H668" t="str">
        <f t="shared" si="42"/>
        <v/>
      </c>
      <c r="M668">
        <f t="shared" si="43"/>
        <v>0</v>
      </c>
      <c r="N668" t="str" cm="1">
        <f t="array" ref="N668">_xlfn.LET(_xlpm.total,SUM(I668:L668),_xlpm.maxv,MAX(I668:L668),IF(_xlpm.total=0,"",IF(_xlpm.maxv/_xlpm.total&lt;0.5,"Mixed-Class",_xlfn.IFS(_xlpm.maxv=I668,"Assault",_xlpm.maxv=J668,"Engineer",_xlpm.maxv=K668,"Recon",_xlpm.maxv=L668,"Support"))))</f>
        <v/>
      </c>
      <c r="O668" t="str">
        <f t="shared" si="44"/>
        <v/>
      </c>
      <c r="P668" s="28" t="str">
        <f t="shared" si="45"/>
        <v/>
      </c>
    </row>
    <row r="669" spans="2:16" x14ac:dyDescent="0.25">
      <c r="B669">
        <v>6677</v>
      </c>
      <c r="H669" t="str">
        <f t="shared" si="42"/>
        <v/>
      </c>
      <c r="M669">
        <f t="shared" si="43"/>
        <v>0</v>
      </c>
      <c r="N669" t="str" cm="1">
        <f t="array" ref="N669">_xlfn.LET(_xlpm.total,SUM(I669:L669),_xlpm.maxv,MAX(I669:L669),IF(_xlpm.total=0,"",IF(_xlpm.maxv/_xlpm.total&lt;0.5,"Mixed-Class",_xlfn.IFS(_xlpm.maxv=I669,"Assault",_xlpm.maxv=J669,"Engineer",_xlpm.maxv=K669,"Recon",_xlpm.maxv=L669,"Support"))))</f>
        <v/>
      </c>
      <c r="O669" t="str">
        <f t="shared" si="44"/>
        <v/>
      </c>
      <c r="P669" s="28" t="str">
        <f t="shared" si="45"/>
        <v/>
      </c>
    </row>
    <row r="670" spans="2:16" x14ac:dyDescent="0.25">
      <c r="B670">
        <v>6687</v>
      </c>
      <c r="H670" t="str">
        <f t="shared" si="42"/>
        <v/>
      </c>
      <c r="M670">
        <f t="shared" si="43"/>
        <v>0</v>
      </c>
      <c r="N670" t="str" cm="1">
        <f t="array" ref="N670">_xlfn.LET(_xlpm.total,SUM(I670:L670),_xlpm.maxv,MAX(I670:L670),IF(_xlpm.total=0,"",IF(_xlpm.maxv/_xlpm.total&lt;0.5,"Mixed-Class",_xlfn.IFS(_xlpm.maxv=I670,"Assault",_xlpm.maxv=J670,"Engineer",_xlpm.maxv=K670,"Recon",_xlpm.maxv=L670,"Support"))))</f>
        <v/>
      </c>
      <c r="O670" t="str">
        <f t="shared" si="44"/>
        <v/>
      </c>
      <c r="P670" s="28" t="str">
        <f t="shared" si="45"/>
        <v/>
      </c>
    </row>
    <row r="671" spans="2:16" x14ac:dyDescent="0.25">
      <c r="B671">
        <v>6697</v>
      </c>
      <c r="H671" t="str">
        <f t="shared" si="42"/>
        <v/>
      </c>
      <c r="M671">
        <f t="shared" si="43"/>
        <v>0</v>
      </c>
      <c r="N671" t="str" cm="1">
        <f t="array" ref="N671">_xlfn.LET(_xlpm.total,SUM(I671:L671),_xlpm.maxv,MAX(I671:L671),IF(_xlpm.total=0,"",IF(_xlpm.maxv/_xlpm.total&lt;0.5,"Mixed-Class",_xlfn.IFS(_xlpm.maxv=I671,"Assault",_xlpm.maxv=J671,"Engineer",_xlpm.maxv=K671,"Recon",_xlpm.maxv=L671,"Support"))))</f>
        <v/>
      </c>
      <c r="O671" t="str">
        <f t="shared" si="44"/>
        <v/>
      </c>
      <c r="P671" s="28" t="str">
        <f t="shared" si="45"/>
        <v/>
      </c>
    </row>
    <row r="672" spans="2:16" x14ac:dyDescent="0.25">
      <c r="B672">
        <v>6707</v>
      </c>
      <c r="H672" t="str">
        <f t="shared" si="42"/>
        <v/>
      </c>
      <c r="M672">
        <f t="shared" si="43"/>
        <v>0</v>
      </c>
      <c r="N672" t="str" cm="1">
        <f t="array" ref="N672">_xlfn.LET(_xlpm.total,SUM(I672:L672),_xlpm.maxv,MAX(I672:L672),IF(_xlpm.total=0,"",IF(_xlpm.maxv/_xlpm.total&lt;0.5,"Mixed-Class",_xlfn.IFS(_xlpm.maxv=I672,"Assault",_xlpm.maxv=J672,"Engineer",_xlpm.maxv=K672,"Recon",_xlpm.maxv=L672,"Support"))))</f>
        <v/>
      </c>
      <c r="O672" t="str">
        <f t="shared" si="44"/>
        <v/>
      </c>
      <c r="P672" s="28" t="str">
        <f t="shared" si="45"/>
        <v/>
      </c>
    </row>
    <row r="673" spans="2:16" x14ac:dyDescent="0.25">
      <c r="B673">
        <v>6717</v>
      </c>
      <c r="H673" t="str">
        <f t="shared" si="42"/>
        <v/>
      </c>
      <c r="M673">
        <f t="shared" si="43"/>
        <v>0</v>
      </c>
      <c r="N673" t="str" cm="1">
        <f t="array" ref="N673">_xlfn.LET(_xlpm.total,SUM(I673:L673),_xlpm.maxv,MAX(I673:L673),IF(_xlpm.total=0,"",IF(_xlpm.maxv/_xlpm.total&lt;0.5,"Mixed-Class",_xlfn.IFS(_xlpm.maxv=I673,"Assault",_xlpm.maxv=J673,"Engineer",_xlpm.maxv=K673,"Recon",_xlpm.maxv=L673,"Support"))))</f>
        <v/>
      </c>
      <c r="O673" t="str">
        <f t="shared" si="44"/>
        <v/>
      </c>
      <c r="P673" s="28" t="str">
        <f t="shared" si="45"/>
        <v/>
      </c>
    </row>
    <row r="674" spans="2:16" x14ac:dyDescent="0.25">
      <c r="B674">
        <v>6727</v>
      </c>
      <c r="H674" t="str">
        <f t="shared" si="42"/>
        <v/>
      </c>
      <c r="M674">
        <f t="shared" si="43"/>
        <v>0</v>
      </c>
      <c r="N674" t="str" cm="1">
        <f t="array" ref="N674">_xlfn.LET(_xlpm.total,SUM(I674:L674),_xlpm.maxv,MAX(I674:L674),IF(_xlpm.total=0,"",IF(_xlpm.maxv/_xlpm.total&lt;0.5,"Mixed-Class",_xlfn.IFS(_xlpm.maxv=I674,"Assault",_xlpm.maxv=J674,"Engineer",_xlpm.maxv=K674,"Recon",_xlpm.maxv=L674,"Support"))))</f>
        <v/>
      </c>
      <c r="O674" t="str">
        <f t="shared" si="44"/>
        <v/>
      </c>
      <c r="P674" s="28" t="str">
        <f t="shared" si="45"/>
        <v/>
      </c>
    </row>
    <row r="675" spans="2:16" x14ac:dyDescent="0.25">
      <c r="B675">
        <v>6737</v>
      </c>
      <c r="H675" t="str">
        <f t="shared" si="42"/>
        <v/>
      </c>
      <c r="M675">
        <f t="shared" si="43"/>
        <v>0</v>
      </c>
      <c r="N675" t="str" cm="1">
        <f t="array" ref="N675">_xlfn.LET(_xlpm.total,SUM(I675:L675),_xlpm.maxv,MAX(I675:L675),IF(_xlpm.total=0,"",IF(_xlpm.maxv/_xlpm.total&lt;0.5,"Mixed-Class",_xlfn.IFS(_xlpm.maxv=I675,"Assault",_xlpm.maxv=J675,"Engineer",_xlpm.maxv=K675,"Recon",_xlpm.maxv=L675,"Support"))))</f>
        <v/>
      </c>
      <c r="O675" t="str">
        <f t="shared" si="44"/>
        <v/>
      </c>
      <c r="P675" s="28" t="str">
        <f t="shared" si="45"/>
        <v/>
      </c>
    </row>
    <row r="676" spans="2:16" x14ac:dyDescent="0.25">
      <c r="B676">
        <v>6747</v>
      </c>
      <c r="H676" t="str">
        <f t="shared" si="42"/>
        <v/>
      </c>
      <c r="M676">
        <f t="shared" si="43"/>
        <v>0</v>
      </c>
      <c r="N676" t="str" cm="1">
        <f t="array" ref="N676">_xlfn.LET(_xlpm.total,SUM(I676:L676),_xlpm.maxv,MAX(I676:L676),IF(_xlpm.total=0,"",IF(_xlpm.maxv/_xlpm.total&lt;0.5,"Mixed-Class",_xlfn.IFS(_xlpm.maxv=I676,"Assault",_xlpm.maxv=J676,"Engineer",_xlpm.maxv=K676,"Recon",_xlpm.maxv=L676,"Support"))))</f>
        <v/>
      </c>
      <c r="O676" t="str">
        <f t="shared" si="44"/>
        <v/>
      </c>
      <c r="P676" s="28" t="str">
        <f t="shared" si="45"/>
        <v/>
      </c>
    </row>
    <row r="677" spans="2:16" x14ac:dyDescent="0.25">
      <c r="B677">
        <v>6757</v>
      </c>
      <c r="H677" t="str">
        <f t="shared" si="42"/>
        <v/>
      </c>
      <c r="M677">
        <f t="shared" si="43"/>
        <v>0</v>
      </c>
      <c r="N677" t="str" cm="1">
        <f t="array" ref="N677">_xlfn.LET(_xlpm.total,SUM(I677:L677),_xlpm.maxv,MAX(I677:L677),IF(_xlpm.total=0,"",IF(_xlpm.maxv/_xlpm.total&lt;0.5,"Mixed-Class",_xlfn.IFS(_xlpm.maxv=I677,"Assault",_xlpm.maxv=J677,"Engineer",_xlpm.maxv=K677,"Recon",_xlpm.maxv=L677,"Support"))))</f>
        <v/>
      </c>
      <c r="O677" t="str">
        <f t="shared" si="44"/>
        <v/>
      </c>
      <c r="P677" s="28" t="str">
        <f t="shared" si="45"/>
        <v/>
      </c>
    </row>
    <row r="678" spans="2:16" x14ac:dyDescent="0.25">
      <c r="B678">
        <v>6767</v>
      </c>
      <c r="H678" t="str">
        <f t="shared" si="42"/>
        <v/>
      </c>
      <c r="M678">
        <f t="shared" si="43"/>
        <v>0</v>
      </c>
      <c r="N678" t="str" cm="1">
        <f t="array" ref="N678">_xlfn.LET(_xlpm.total,SUM(I678:L678),_xlpm.maxv,MAX(I678:L678),IF(_xlpm.total=0,"",IF(_xlpm.maxv/_xlpm.total&lt;0.5,"Mixed-Class",_xlfn.IFS(_xlpm.maxv=I678,"Assault",_xlpm.maxv=J678,"Engineer",_xlpm.maxv=K678,"Recon",_xlpm.maxv=L678,"Support"))))</f>
        <v/>
      </c>
      <c r="O678" t="str">
        <f t="shared" si="44"/>
        <v/>
      </c>
      <c r="P678" s="28" t="str">
        <f t="shared" si="45"/>
        <v/>
      </c>
    </row>
    <row r="679" spans="2:16" x14ac:dyDescent="0.25">
      <c r="B679">
        <v>6777</v>
      </c>
      <c r="H679" t="str">
        <f t="shared" si="42"/>
        <v/>
      </c>
      <c r="M679">
        <f t="shared" si="43"/>
        <v>0</v>
      </c>
      <c r="N679" t="str" cm="1">
        <f t="array" ref="N679">_xlfn.LET(_xlpm.total,SUM(I679:L679),_xlpm.maxv,MAX(I679:L679),IF(_xlpm.total=0,"",IF(_xlpm.maxv/_xlpm.total&lt;0.5,"Mixed-Class",_xlfn.IFS(_xlpm.maxv=I679,"Assault",_xlpm.maxv=J679,"Engineer",_xlpm.maxv=K679,"Recon",_xlpm.maxv=L679,"Support"))))</f>
        <v/>
      </c>
      <c r="O679" t="str">
        <f t="shared" si="44"/>
        <v/>
      </c>
      <c r="P679" s="28" t="str">
        <f t="shared" si="45"/>
        <v/>
      </c>
    </row>
    <row r="680" spans="2:16" x14ac:dyDescent="0.25">
      <c r="B680">
        <v>6787</v>
      </c>
      <c r="H680" t="str">
        <f t="shared" si="42"/>
        <v/>
      </c>
      <c r="M680">
        <f t="shared" si="43"/>
        <v>0</v>
      </c>
      <c r="N680" t="str" cm="1">
        <f t="array" ref="N680">_xlfn.LET(_xlpm.total,SUM(I680:L680),_xlpm.maxv,MAX(I680:L680),IF(_xlpm.total=0,"",IF(_xlpm.maxv/_xlpm.total&lt;0.5,"Mixed-Class",_xlfn.IFS(_xlpm.maxv=I680,"Assault",_xlpm.maxv=J680,"Engineer",_xlpm.maxv=K680,"Recon",_xlpm.maxv=L680,"Support"))))</f>
        <v/>
      </c>
      <c r="O680" t="str">
        <f t="shared" si="44"/>
        <v/>
      </c>
      <c r="P680" s="28" t="str">
        <f t="shared" si="45"/>
        <v/>
      </c>
    </row>
    <row r="681" spans="2:16" x14ac:dyDescent="0.25">
      <c r="B681">
        <v>6797</v>
      </c>
      <c r="H681" t="str">
        <f t="shared" si="42"/>
        <v/>
      </c>
      <c r="M681">
        <f t="shared" si="43"/>
        <v>0</v>
      </c>
      <c r="N681" t="str" cm="1">
        <f t="array" ref="N681">_xlfn.LET(_xlpm.total,SUM(I681:L681),_xlpm.maxv,MAX(I681:L681),IF(_xlpm.total=0,"",IF(_xlpm.maxv/_xlpm.total&lt;0.5,"Mixed-Class",_xlfn.IFS(_xlpm.maxv=I681,"Assault",_xlpm.maxv=J681,"Engineer",_xlpm.maxv=K681,"Recon",_xlpm.maxv=L681,"Support"))))</f>
        <v/>
      </c>
      <c r="O681" t="str">
        <f t="shared" si="44"/>
        <v/>
      </c>
      <c r="P681" s="28" t="str">
        <f t="shared" si="45"/>
        <v/>
      </c>
    </row>
    <row r="682" spans="2:16" x14ac:dyDescent="0.25">
      <c r="B682">
        <v>6807</v>
      </c>
      <c r="H682" t="str">
        <f t="shared" si="42"/>
        <v/>
      </c>
      <c r="M682">
        <f t="shared" si="43"/>
        <v>0</v>
      </c>
      <c r="N682" t="str" cm="1">
        <f t="array" ref="N682">_xlfn.LET(_xlpm.total,SUM(I682:L682),_xlpm.maxv,MAX(I682:L682),IF(_xlpm.total=0,"",IF(_xlpm.maxv/_xlpm.total&lt;0.5,"Mixed-Class",_xlfn.IFS(_xlpm.maxv=I682,"Assault",_xlpm.maxv=J682,"Engineer",_xlpm.maxv=K682,"Recon",_xlpm.maxv=L682,"Support"))))</f>
        <v/>
      </c>
      <c r="O682" t="str">
        <f t="shared" si="44"/>
        <v/>
      </c>
      <c r="P682" s="28" t="str">
        <f t="shared" si="45"/>
        <v/>
      </c>
    </row>
    <row r="683" spans="2:16" x14ac:dyDescent="0.25">
      <c r="B683">
        <v>6817</v>
      </c>
      <c r="H683" t="str">
        <f t="shared" si="42"/>
        <v/>
      </c>
      <c r="M683">
        <f t="shared" si="43"/>
        <v>0</v>
      </c>
      <c r="N683" t="str" cm="1">
        <f t="array" ref="N683">_xlfn.LET(_xlpm.total,SUM(I683:L683),_xlpm.maxv,MAX(I683:L683),IF(_xlpm.total=0,"",IF(_xlpm.maxv/_xlpm.total&lt;0.5,"Mixed-Class",_xlfn.IFS(_xlpm.maxv=I683,"Assault",_xlpm.maxv=J683,"Engineer",_xlpm.maxv=K683,"Recon",_xlpm.maxv=L683,"Support"))))</f>
        <v/>
      </c>
      <c r="O683" t="str">
        <f t="shared" si="44"/>
        <v/>
      </c>
      <c r="P683" s="28" t="str">
        <f t="shared" si="45"/>
        <v/>
      </c>
    </row>
    <row r="684" spans="2:16" x14ac:dyDescent="0.25">
      <c r="B684">
        <v>6827</v>
      </c>
      <c r="H684" t="str">
        <f t="shared" si="42"/>
        <v/>
      </c>
      <c r="M684">
        <f t="shared" si="43"/>
        <v>0</v>
      </c>
      <c r="N684" t="str" cm="1">
        <f t="array" ref="N684">_xlfn.LET(_xlpm.total,SUM(I684:L684),_xlpm.maxv,MAX(I684:L684),IF(_xlpm.total=0,"",IF(_xlpm.maxv/_xlpm.total&lt;0.5,"Mixed-Class",_xlfn.IFS(_xlpm.maxv=I684,"Assault",_xlpm.maxv=J684,"Engineer",_xlpm.maxv=K684,"Recon",_xlpm.maxv=L684,"Support"))))</f>
        <v/>
      </c>
      <c r="O684" t="str">
        <f t="shared" si="44"/>
        <v/>
      </c>
      <c r="P684" s="28" t="str">
        <f t="shared" si="45"/>
        <v/>
      </c>
    </row>
    <row r="685" spans="2:16" x14ac:dyDescent="0.25">
      <c r="B685">
        <v>6837</v>
      </c>
      <c r="H685" t="str">
        <f t="shared" si="42"/>
        <v/>
      </c>
      <c r="M685">
        <f t="shared" si="43"/>
        <v>0</v>
      </c>
      <c r="N685" t="str" cm="1">
        <f t="array" ref="N685">_xlfn.LET(_xlpm.total,SUM(I685:L685),_xlpm.maxv,MAX(I685:L685),IF(_xlpm.total=0,"",IF(_xlpm.maxv/_xlpm.total&lt;0.5,"Mixed-Class",_xlfn.IFS(_xlpm.maxv=I685,"Assault",_xlpm.maxv=J685,"Engineer",_xlpm.maxv=K685,"Recon",_xlpm.maxv=L685,"Support"))))</f>
        <v/>
      </c>
      <c r="O685" t="str">
        <f t="shared" si="44"/>
        <v/>
      </c>
      <c r="P685" s="28" t="str">
        <f t="shared" si="45"/>
        <v/>
      </c>
    </row>
    <row r="686" spans="2:16" x14ac:dyDescent="0.25">
      <c r="B686">
        <v>6847</v>
      </c>
      <c r="H686" t="str">
        <f t="shared" si="42"/>
        <v/>
      </c>
      <c r="M686">
        <f t="shared" si="43"/>
        <v>0</v>
      </c>
      <c r="N686" t="str" cm="1">
        <f t="array" ref="N686">_xlfn.LET(_xlpm.total,SUM(I686:L686),_xlpm.maxv,MAX(I686:L686),IF(_xlpm.total=0,"",IF(_xlpm.maxv/_xlpm.total&lt;0.5,"Mixed-Class",_xlfn.IFS(_xlpm.maxv=I686,"Assault",_xlpm.maxv=J686,"Engineer",_xlpm.maxv=K686,"Recon",_xlpm.maxv=L686,"Support"))))</f>
        <v/>
      </c>
      <c r="O686" t="str">
        <f t="shared" si="44"/>
        <v/>
      </c>
      <c r="P686" s="28" t="str">
        <f t="shared" si="45"/>
        <v/>
      </c>
    </row>
    <row r="687" spans="2:16" x14ac:dyDescent="0.25">
      <c r="B687">
        <v>6857</v>
      </c>
      <c r="H687" t="str">
        <f t="shared" si="42"/>
        <v/>
      </c>
      <c r="M687">
        <f t="shared" si="43"/>
        <v>0</v>
      </c>
      <c r="N687" t="str" cm="1">
        <f t="array" ref="N687">_xlfn.LET(_xlpm.total,SUM(I687:L687),_xlpm.maxv,MAX(I687:L687),IF(_xlpm.total=0,"",IF(_xlpm.maxv/_xlpm.total&lt;0.5,"Mixed-Class",_xlfn.IFS(_xlpm.maxv=I687,"Assault",_xlpm.maxv=J687,"Engineer",_xlpm.maxv=K687,"Recon",_xlpm.maxv=L687,"Support"))))</f>
        <v/>
      </c>
      <c r="O687" t="str">
        <f t="shared" si="44"/>
        <v/>
      </c>
      <c r="P687" s="28" t="str">
        <f t="shared" si="45"/>
        <v/>
      </c>
    </row>
    <row r="688" spans="2:16" x14ac:dyDescent="0.25">
      <c r="B688">
        <v>6867</v>
      </c>
      <c r="H688" t="str">
        <f t="shared" si="42"/>
        <v/>
      </c>
      <c r="M688">
        <f t="shared" si="43"/>
        <v>0</v>
      </c>
      <c r="N688" t="str" cm="1">
        <f t="array" ref="N688">_xlfn.LET(_xlpm.total,SUM(I688:L688),_xlpm.maxv,MAX(I688:L688),IF(_xlpm.total=0,"",IF(_xlpm.maxv/_xlpm.total&lt;0.5,"Mixed-Class",_xlfn.IFS(_xlpm.maxv=I688,"Assault",_xlpm.maxv=J688,"Engineer",_xlpm.maxv=K688,"Recon",_xlpm.maxv=L688,"Support"))))</f>
        <v/>
      </c>
      <c r="O688" t="str">
        <f t="shared" si="44"/>
        <v/>
      </c>
      <c r="P688" s="28" t="str">
        <f t="shared" si="45"/>
        <v/>
      </c>
    </row>
    <row r="689" spans="2:16" x14ac:dyDescent="0.25">
      <c r="B689">
        <v>6877</v>
      </c>
      <c r="H689" t="str">
        <f t="shared" si="42"/>
        <v/>
      </c>
      <c r="M689">
        <f t="shared" si="43"/>
        <v>0</v>
      </c>
      <c r="N689" t="str" cm="1">
        <f t="array" ref="N689">_xlfn.LET(_xlpm.total,SUM(I689:L689),_xlpm.maxv,MAX(I689:L689),IF(_xlpm.total=0,"",IF(_xlpm.maxv/_xlpm.total&lt;0.5,"Mixed-Class",_xlfn.IFS(_xlpm.maxv=I689,"Assault",_xlpm.maxv=J689,"Engineer",_xlpm.maxv=K689,"Recon",_xlpm.maxv=L689,"Support"))))</f>
        <v/>
      </c>
      <c r="O689" t="str">
        <f t="shared" si="44"/>
        <v/>
      </c>
      <c r="P689" s="28" t="str">
        <f t="shared" si="45"/>
        <v/>
      </c>
    </row>
    <row r="690" spans="2:16" x14ac:dyDescent="0.25">
      <c r="B690">
        <v>6887</v>
      </c>
      <c r="H690" t="str">
        <f t="shared" si="42"/>
        <v/>
      </c>
      <c r="M690">
        <f t="shared" si="43"/>
        <v>0</v>
      </c>
      <c r="N690" t="str" cm="1">
        <f t="array" ref="N690">_xlfn.LET(_xlpm.total,SUM(I690:L690),_xlpm.maxv,MAX(I690:L690),IF(_xlpm.total=0,"",IF(_xlpm.maxv/_xlpm.total&lt;0.5,"Mixed-Class",_xlfn.IFS(_xlpm.maxv=I690,"Assault",_xlpm.maxv=J690,"Engineer",_xlpm.maxv=K690,"Recon",_xlpm.maxv=L690,"Support"))))</f>
        <v/>
      </c>
      <c r="O690" t="str">
        <f t="shared" si="44"/>
        <v/>
      </c>
      <c r="P690" s="28" t="str">
        <f t="shared" si="45"/>
        <v/>
      </c>
    </row>
    <row r="691" spans="2:16" x14ac:dyDescent="0.25">
      <c r="B691">
        <v>6897</v>
      </c>
      <c r="H691" t="str">
        <f t="shared" si="42"/>
        <v/>
      </c>
      <c r="M691">
        <f t="shared" si="43"/>
        <v>0</v>
      </c>
      <c r="N691" t="str" cm="1">
        <f t="array" ref="N691">_xlfn.LET(_xlpm.total,SUM(I691:L691),_xlpm.maxv,MAX(I691:L691),IF(_xlpm.total=0,"",IF(_xlpm.maxv/_xlpm.total&lt;0.5,"Mixed-Class",_xlfn.IFS(_xlpm.maxv=I691,"Assault",_xlpm.maxv=J691,"Engineer",_xlpm.maxv=K691,"Recon",_xlpm.maxv=L691,"Support"))))</f>
        <v/>
      </c>
      <c r="O691" t="str">
        <f t="shared" si="44"/>
        <v/>
      </c>
      <c r="P691" s="28" t="str">
        <f t="shared" si="45"/>
        <v/>
      </c>
    </row>
    <row r="692" spans="2:16" x14ac:dyDescent="0.25">
      <c r="B692">
        <v>6907</v>
      </c>
      <c r="H692" t="str">
        <f t="shared" si="42"/>
        <v/>
      </c>
      <c r="M692">
        <f t="shared" si="43"/>
        <v>0</v>
      </c>
      <c r="N692" t="str" cm="1">
        <f t="array" ref="N692">_xlfn.LET(_xlpm.total,SUM(I692:L692),_xlpm.maxv,MAX(I692:L692),IF(_xlpm.total=0,"",IF(_xlpm.maxv/_xlpm.total&lt;0.5,"Mixed-Class",_xlfn.IFS(_xlpm.maxv=I692,"Assault",_xlpm.maxv=J692,"Engineer",_xlpm.maxv=K692,"Recon",_xlpm.maxv=L692,"Support"))))</f>
        <v/>
      </c>
      <c r="O692" t="str">
        <f t="shared" si="44"/>
        <v/>
      </c>
      <c r="P692" s="28" t="str">
        <f t="shared" si="45"/>
        <v/>
      </c>
    </row>
    <row r="693" spans="2:16" x14ac:dyDescent="0.25">
      <c r="B693">
        <v>6917</v>
      </c>
      <c r="H693" t="str">
        <f t="shared" si="42"/>
        <v/>
      </c>
      <c r="M693">
        <f t="shared" si="43"/>
        <v>0</v>
      </c>
      <c r="N693" t="str" cm="1">
        <f t="array" ref="N693">_xlfn.LET(_xlpm.total,SUM(I693:L693),_xlpm.maxv,MAX(I693:L693),IF(_xlpm.total=0,"",IF(_xlpm.maxv/_xlpm.total&lt;0.5,"Mixed-Class",_xlfn.IFS(_xlpm.maxv=I693,"Assault",_xlpm.maxv=J693,"Engineer",_xlpm.maxv=K693,"Recon",_xlpm.maxv=L693,"Support"))))</f>
        <v/>
      </c>
      <c r="O693" t="str">
        <f t="shared" si="44"/>
        <v/>
      </c>
      <c r="P693" s="28" t="str">
        <f t="shared" si="45"/>
        <v/>
      </c>
    </row>
    <row r="694" spans="2:16" x14ac:dyDescent="0.25">
      <c r="B694">
        <v>6927</v>
      </c>
      <c r="H694" t="str">
        <f t="shared" si="42"/>
        <v/>
      </c>
      <c r="M694">
        <f t="shared" si="43"/>
        <v>0</v>
      </c>
      <c r="N694" t="str" cm="1">
        <f t="array" ref="N694">_xlfn.LET(_xlpm.total,SUM(I694:L694),_xlpm.maxv,MAX(I694:L694),IF(_xlpm.total=0,"",IF(_xlpm.maxv/_xlpm.total&lt;0.5,"Mixed-Class",_xlfn.IFS(_xlpm.maxv=I694,"Assault",_xlpm.maxv=J694,"Engineer",_xlpm.maxv=K694,"Recon",_xlpm.maxv=L694,"Support"))))</f>
        <v/>
      </c>
      <c r="O694" t="str">
        <f t="shared" si="44"/>
        <v/>
      </c>
      <c r="P694" s="28" t="str">
        <f t="shared" si="45"/>
        <v/>
      </c>
    </row>
    <row r="695" spans="2:16" x14ac:dyDescent="0.25">
      <c r="B695">
        <v>6937</v>
      </c>
      <c r="H695" t="str">
        <f t="shared" si="42"/>
        <v/>
      </c>
      <c r="M695">
        <f t="shared" si="43"/>
        <v>0</v>
      </c>
      <c r="N695" t="str" cm="1">
        <f t="array" ref="N695">_xlfn.LET(_xlpm.total,SUM(I695:L695),_xlpm.maxv,MAX(I695:L695),IF(_xlpm.total=0,"",IF(_xlpm.maxv/_xlpm.total&lt;0.5,"Mixed-Class",_xlfn.IFS(_xlpm.maxv=I695,"Assault",_xlpm.maxv=J695,"Engineer",_xlpm.maxv=K695,"Recon",_xlpm.maxv=L695,"Support"))))</f>
        <v/>
      </c>
      <c r="O695" t="str">
        <f t="shared" si="44"/>
        <v/>
      </c>
      <c r="P695" s="28" t="str">
        <f t="shared" si="45"/>
        <v/>
      </c>
    </row>
    <row r="696" spans="2:16" x14ac:dyDescent="0.25">
      <c r="B696">
        <v>6947</v>
      </c>
      <c r="H696" t="str">
        <f t="shared" si="42"/>
        <v/>
      </c>
      <c r="M696">
        <f t="shared" si="43"/>
        <v>0</v>
      </c>
      <c r="N696" t="str" cm="1">
        <f t="array" ref="N696">_xlfn.LET(_xlpm.total,SUM(I696:L696),_xlpm.maxv,MAX(I696:L696),IF(_xlpm.total=0,"",IF(_xlpm.maxv/_xlpm.total&lt;0.5,"Mixed-Class",_xlfn.IFS(_xlpm.maxv=I696,"Assault",_xlpm.maxv=J696,"Engineer",_xlpm.maxv=K696,"Recon",_xlpm.maxv=L696,"Support"))))</f>
        <v/>
      </c>
      <c r="O696" t="str">
        <f t="shared" si="44"/>
        <v/>
      </c>
      <c r="P696" s="28" t="str">
        <f t="shared" si="45"/>
        <v/>
      </c>
    </row>
    <row r="697" spans="2:16" x14ac:dyDescent="0.25">
      <c r="B697">
        <v>6957</v>
      </c>
      <c r="H697" t="str">
        <f t="shared" si="42"/>
        <v/>
      </c>
      <c r="M697">
        <f t="shared" si="43"/>
        <v>0</v>
      </c>
      <c r="N697" t="str" cm="1">
        <f t="array" ref="N697">_xlfn.LET(_xlpm.total,SUM(I697:L697),_xlpm.maxv,MAX(I697:L697),IF(_xlpm.total=0,"",IF(_xlpm.maxv/_xlpm.total&lt;0.5,"Mixed-Class",_xlfn.IFS(_xlpm.maxv=I697,"Assault",_xlpm.maxv=J697,"Engineer",_xlpm.maxv=K697,"Recon",_xlpm.maxv=L697,"Support"))))</f>
        <v/>
      </c>
      <c r="O697" t="str">
        <f t="shared" si="44"/>
        <v/>
      </c>
      <c r="P697" s="28" t="str">
        <f t="shared" si="45"/>
        <v/>
      </c>
    </row>
    <row r="698" spans="2:16" x14ac:dyDescent="0.25">
      <c r="B698">
        <v>6967</v>
      </c>
      <c r="H698" t="str">
        <f t="shared" si="42"/>
        <v/>
      </c>
      <c r="M698">
        <f t="shared" si="43"/>
        <v>0</v>
      </c>
      <c r="N698" t="str" cm="1">
        <f t="array" ref="N698">_xlfn.LET(_xlpm.total,SUM(I698:L698),_xlpm.maxv,MAX(I698:L698),IF(_xlpm.total=0,"",IF(_xlpm.maxv/_xlpm.total&lt;0.5,"Mixed-Class",_xlfn.IFS(_xlpm.maxv=I698,"Assault",_xlpm.maxv=J698,"Engineer",_xlpm.maxv=K698,"Recon",_xlpm.maxv=L698,"Support"))))</f>
        <v/>
      </c>
      <c r="O698" t="str">
        <f t="shared" si="44"/>
        <v/>
      </c>
      <c r="P698" s="28" t="str">
        <f t="shared" si="45"/>
        <v/>
      </c>
    </row>
    <row r="699" spans="2:16" x14ac:dyDescent="0.25">
      <c r="B699">
        <v>6977</v>
      </c>
      <c r="H699" t="str">
        <f t="shared" si="42"/>
        <v/>
      </c>
      <c r="M699">
        <f t="shared" si="43"/>
        <v>0</v>
      </c>
      <c r="N699" t="str" cm="1">
        <f t="array" ref="N699">_xlfn.LET(_xlpm.total,SUM(I699:L699),_xlpm.maxv,MAX(I699:L699),IF(_xlpm.total=0,"",IF(_xlpm.maxv/_xlpm.total&lt;0.5,"Mixed-Class",_xlfn.IFS(_xlpm.maxv=I699,"Assault",_xlpm.maxv=J699,"Engineer",_xlpm.maxv=K699,"Recon",_xlpm.maxv=L699,"Support"))))</f>
        <v/>
      </c>
      <c r="O699" t="str">
        <f t="shared" si="44"/>
        <v/>
      </c>
      <c r="P699" s="28" t="str">
        <f t="shared" si="45"/>
        <v/>
      </c>
    </row>
    <row r="700" spans="2:16" x14ac:dyDescent="0.25">
      <c r="B700">
        <v>6987</v>
      </c>
      <c r="H700" t="str">
        <f t="shared" si="42"/>
        <v/>
      </c>
      <c r="M700">
        <f t="shared" si="43"/>
        <v>0</v>
      </c>
      <c r="N700" t="str" cm="1">
        <f t="array" ref="N700">_xlfn.LET(_xlpm.total,SUM(I700:L700),_xlpm.maxv,MAX(I700:L700),IF(_xlpm.total=0,"",IF(_xlpm.maxv/_xlpm.total&lt;0.5,"Mixed-Class",_xlfn.IFS(_xlpm.maxv=I700,"Assault",_xlpm.maxv=J700,"Engineer",_xlpm.maxv=K700,"Recon",_xlpm.maxv=L700,"Support"))))</f>
        <v/>
      </c>
      <c r="O700" t="str">
        <f t="shared" si="44"/>
        <v/>
      </c>
      <c r="P700" s="28" t="str">
        <f t="shared" si="45"/>
        <v/>
      </c>
    </row>
    <row r="701" spans="2:16" x14ac:dyDescent="0.25">
      <c r="B701">
        <v>6997</v>
      </c>
      <c r="H701" t="str">
        <f t="shared" si="42"/>
        <v/>
      </c>
      <c r="M701">
        <f t="shared" si="43"/>
        <v>0</v>
      </c>
      <c r="N701" t="str" cm="1">
        <f t="array" ref="N701">_xlfn.LET(_xlpm.total,SUM(I701:L701),_xlpm.maxv,MAX(I701:L701),IF(_xlpm.total=0,"",IF(_xlpm.maxv/_xlpm.total&lt;0.5,"Mixed-Class",_xlfn.IFS(_xlpm.maxv=I701,"Assault",_xlpm.maxv=J701,"Engineer",_xlpm.maxv=K701,"Recon",_xlpm.maxv=L701,"Support"))))</f>
        <v/>
      </c>
      <c r="O701" t="str">
        <f t="shared" si="44"/>
        <v/>
      </c>
      <c r="P701" s="28" t="str">
        <f t="shared" si="45"/>
        <v/>
      </c>
    </row>
    <row r="702" spans="2:16" x14ac:dyDescent="0.25">
      <c r="B702">
        <v>7007</v>
      </c>
      <c r="H702" t="str">
        <f t="shared" si="42"/>
        <v/>
      </c>
      <c r="M702">
        <f t="shared" si="43"/>
        <v>0</v>
      </c>
      <c r="N702" t="str" cm="1">
        <f t="array" ref="N702">_xlfn.LET(_xlpm.total,SUM(I702:L702),_xlpm.maxv,MAX(I702:L702),IF(_xlpm.total=0,"",IF(_xlpm.maxv/_xlpm.total&lt;0.5,"Mixed-Class",_xlfn.IFS(_xlpm.maxv=I702,"Assault",_xlpm.maxv=J702,"Engineer",_xlpm.maxv=K702,"Recon",_xlpm.maxv=L702,"Support"))))</f>
        <v/>
      </c>
      <c r="O702" t="str">
        <f t="shared" si="44"/>
        <v/>
      </c>
      <c r="P702" s="28" t="str">
        <f t="shared" si="45"/>
        <v/>
      </c>
    </row>
    <row r="703" spans="2:16" x14ac:dyDescent="0.25">
      <c r="B703">
        <v>7017</v>
      </c>
      <c r="H703" t="str">
        <f t="shared" si="42"/>
        <v/>
      </c>
      <c r="M703">
        <f t="shared" si="43"/>
        <v>0</v>
      </c>
      <c r="N703" t="str" cm="1">
        <f t="array" ref="N703">_xlfn.LET(_xlpm.total,SUM(I703:L703),_xlpm.maxv,MAX(I703:L703),IF(_xlpm.total=0,"",IF(_xlpm.maxv/_xlpm.total&lt;0.5,"Mixed-Class",_xlfn.IFS(_xlpm.maxv=I703,"Assault",_xlpm.maxv=J703,"Engineer",_xlpm.maxv=K703,"Recon",_xlpm.maxv=L703,"Support"))))</f>
        <v/>
      </c>
      <c r="O703" t="str">
        <f t="shared" si="44"/>
        <v/>
      </c>
      <c r="P703" s="28" t="str">
        <f t="shared" si="45"/>
        <v/>
      </c>
    </row>
    <row r="704" spans="2:16" x14ac:dyDescent="0.25">
      <c r="B704">
        <v>7027</v>
      </c>
      <c r="H704" t="str">
        <f t="shared" si="42"/>
        <v/>
      </c>
      <c r="M704">
        <f t="shared" si="43"/>
        <v>0</v>
      </c>
      <c r="N704" t="str" cm="1">
        <f t="array" ref="N704">_xlfn.LET(_xlpm.total,SUM(I704:L704),_xlpm.maxv,MAX(I704:L704),IF(_xlpm.total=0,"",IF(_xlpm.maxv/_xlpm.total&lt;0.5,"Mixed-Class",_xlfn.IFS(_xlpm.maxv=I704,"Assault",_xlpm.maxv=J704,"Engineer",_xlpm.maxv=K704,"Recon",_xlpm.maxv=L704,"Support"))))</f>
        <v/>
      </c>
      <c r="O704" t="str">
        <f t="shared" si="44"/>
        <v/>
      </c>
      <c r="P704" s="28" t="str">
        <f t="shared" si="45"/>
        <v/>
      </c>
    </row>
    <row r="705" spans="2:16" x14ac:dyDescent="0.25">
      <c r="B705">
        <v>7037</v>
      </c>
      <c r="H705" t="str">
        <f t="shared" si="42"/>
        <v/>
      </c>
      <c r="M705">
        <f t="shared" si="43"/>
        <v>0</v>
      </c>
      <c r="N705" t="str" cm="1">
        <f t="array" ref="N705">_xlfn.LET(_xlpm.total,SUM(I705:L705),_xlpm.maxv,MAX(I705:L705),IF(_xlpm.total=0,"",IF(_xlpm.maxv/_xlpm.total&lt;0.5,"Mixed-Class",_xlfn.IFS(_xlpm.maxv=I705,"Assault",_xlpm.maxv=J705,"Engineer",_xlpm.maxv=K705,"Recon",_xlpm.maxv=L705,"Support"))))</f>
        <v/>
      </c>
      <c r="O705" t="str">
        <f t="shared" si="44"/>
        <v/>
      </c>
      <c r="P705" s="28" t="str">
        <f t="shared" si="45"/>
        <v/>
      </c>
    </row>
    <row r="706" spans="2:16" x14ac:dyDescent="0.25">
      <c r="B706">
        <v>7047</v>
      </c>
      <c r="H706" t="str">
        <f t="shared" si="42"/>
        <v/>
      </c>
      <c r="M706">
        <f t="shared" si="43"/>
        <v>0</v>
      </c>
      <c r="N706" t="str" cm="1">
        <f t="array" ref="N706">_xlfn.LET(_xlpm.total,SUM(I706:L706),_xlpm.maxv,MAX(I706:L706),IF(_xlpm.total=0,"",IF(_xlpm.maxv/_xlpm.total&lt;0.5,"Mixed-Class",_xlfn.IFS(_xlpm.maxv=I706,"Assault",_xlpm.maxv=J706,"Engineer",_xlpm.maxv=K706,"Recon",_xlpm.maxv=L706,"Support"))))</f>
        <v/>
      </c>
      <c r="O706" t="str">
        <f t="shared" si="44"/>
        <v/>
      </c>
      <c r="P706" s="28" t="str">
        <f t="shared" si="45"/>
        <v/>
      </c>
    </row>
    <row r="707" spans="2:16" x14ac:dyDescent="0.25">
      <c r="B707">
        <v>7057</v>
      </c>
      <c r="H707" t="str">
        <f t="shared" ref="H707:H770" si="46">IF(SUM(D707:G707)=0,"",IF(G707/SUM(D707:G707)&gt;=0.5,"Battle Royale",IF(F707/SUM(D707:F707)&gt;=0.6,"Infantry-Heavy",IF((D707+0.7*E707)/SUM(D707:F707)&gt;=0.7,"Vehicle-Heavy","Mixed"))))</f>
        <v/>
      </c>
      <c r="M707">
        <f t="shared" ref="M707:M770" si="47">SUM(I707:L707)</f>
        <v>0</v>
      </c>
      <c r="N707" t="str" cm="1">
        <f t="array" ref="N707">_xlfn.LET(_xlpm.total,SUM(I707:L707),_xlpm.maxv,MAX(I707:L707),IF(_xlpm.total=0,"",IF(_xlpm.maxv/_xlpm.total&lt;0.5,"Mixed-Class",_xlfn.IFS(_xlpm.maxv=I707,"Assault",_xlpm.maxv=J707,"Engineer",_xlpm.maxv=K707,"Recon",_xlpm.maxv=L707,"Support"))))</f>
        <v/>
      </c>
      <c r="O707" t="str">
        <f t="shared" ref="O707:O770" si="48">_xlfn.LET(_xlpm.total,SUM(I707:L707),IF(_xlpm.total=0,"",MAX(I707:L707)/_xlpm.total&gt;=0.5))</f>
        <v/>
      </c>
      <c r="P707" s="28" t="str">
        <f t="shared" ref="P707:P770" si="49">_xlfn.LET(_xlpm.total,SUM(I707:L707),IF(_xlpm.total=0,"",MAX(I707:L707)/_xlpm.total))</f>
        <v/>
      </c>
    </row>
    <row r="708" spans="2:16" x14ac:dyDescent="0.25">
      <c r="B708">
        <v>7067</v>
      </c>
      <c r="H708" t="str">
        <f t="shared" si="46"/>
        <v/>
      </c>
      <c r="M708">
        <f t="shared" si="47"/>
        <v>0</v>
      </c>
      <c r="N708" t="str" cm="1">
        <f t="array" ref="N708">_xlfn.LET(_xlpm.total,SUM(I708:L708),_xlpm.maxv,MAX(I708:L708),IF(_xlpm.total=0,"",IF(_xlpm.maxv/_xlpm.total&lt;0.5,"Mixed-Class",_xlfn.IFS(_xlpm.maxv=I708,"Assault",_xlpm.maxv=J708,"Engineer",_xlpm.maxv=K708,"Recon",_xlpm.maxv=L708,"Support"))))</f>
        <v/>
      </c>
      <c r="O708" t="str">
        <f t="shared" si="48"/>
        <v/>
      </c>
      <c r="P708" s="28" t="str">
        <f t="shared" si="49"/>
        <v/>
      </c>
    </row>
    <row r="709" spans="2:16" x14ac:dyDescent="0.25">
      <c r="B709">
        <v>7077</v>
      </c>
      <c r="H709" t="str">
        <f t="shared" si="46"/>
        <v/>
      </c>
      <c r="M709">
        <f t="shared" si="47"/>
        <v>0</v>
      </c>
      <c r="N709" t="str" cm="1">
        <f t="array" ref="N709">_xlfn.LET(_xlpm.total,SUM(I709:L709),_xlpm.maxv,MAX(I709:L709),IF(_xlpm.total=0,"",IF(_xlpm.maxv/_xlpm.total&lt;0.5,"Mixed-Class",_xlfn.IFS(_xlpm.maxv=I709,"Assault",_xlpm.maxv=J709,"Engineer",_xlpm.maxv=K709,"Recon",_xlpm.maxv=L709,"Support"))))</f>
        <v/>
      </c>
      <c r="O709" t="str">
        <f t="shared" si="48"/>
        <v/>
      </c>
      <c r="P709" s="28" t="str">
        <f t="shared" si="49"/>
        <v/>
      </c>
    </row>
    <row r="710" spans="2:16" x14ac:dyDescent="0.25">
      <c r="B710">
        <v>7087</v>
      </c>
      <c r="H710" t="str">
        <f t="shared" si="46"/>
        <v/>
      </c>
      <c r="M710">
        <f t="shared" si="47"/>
        <v>0</v>
      </c>
      <c r="N710" t="str" cm="1">
        <f t="array" ref="N710">_xlfn.LET(_xlpm.total,SUM(I710:L710),_xlpm.maxv,MAX(I710:L710),IF(_xlpm.total=0,"",IF(_xlpm.maxv/_xlpm.total&lt;0.5,"Mixed-Class",_xlfn.IFS(_xlpm.maxv=I710,"Assault",_xlpm.maxv=J710,"Engineer",_xlpm.maxv=K710,"Recon",_xlpm.maxv=L710,"Support"))))</f>
        <v/>
      </c>
      <c r="O710" t="str">
        <f t="shared" si="48"/>
        <v/>
      </c>
      <c r="P710" s="28" t="str">
        <f t="shared" si="49"/>
        <v/>
      </c>
    </row>
    <row r="711" spans="2:16" x14ac:dyDescent="0.25">
      <c r="B711">
        <v>7097</v>
      </c>
      <c r="H711" t="str">
        <f t="shared" si="46"/>
        <v/>
      </c>
      <c r="M711">
        <f t="shared" si="47"/>
        <v>0</v>
      </c>
      <c r="N711" t="str" cm="1">
        <f t="array" ref="N711">_xlfn.LET(_xlpm.total,SUM(I711:L711),_xlpm.maxv,MAX(I711:L711),IF(_xlpm.total=0,"",IF(_xlpm.maxv/_xlpm.total&lt;0.5,"Mixed-Class",_xlfn.IFS(_xlpm.maxv=I711,"Assault",_xlpm.maxv=J711,"Engineer",_xlpm.maxv=K711,"Recon",_xlpm.maxv=L711,"Support"))))</f>
        <v/>
      </c>
      <c r="O711" t="str">
        <f t="shared" si="48"/>
        <v/>
      </c>
      <c r="P711" s="28" t="str">
        <f t="shared" si="49"/>
        <v/>
      </c>
    </row>
    <row r="712" spans="2:16" x14ac:dyDescent="0.25">
      <c r="B712">
        <v>7107</v>
      </c>
      <c r="H712" t="str">
        <f t="shared" si="46"/>
        <v/>
      </c>
      <c r="M712">
        <f t="shared" si="47"/>
        <v>0</v>
      </c>
      <c r="N712" t="str" cm="1">
        <f t="array" ref="N712">_xlfn.LET(_xlpm.total,SUM(I712:L712),_xlpm.maxv,MAX(I712:L712),IF(_xlpm.total=0,"",IF(_xlpm.maxv/_xlpm.total&lt;0.5,"Mixed-Class",_xlfn.IFS(_xlpm.maxv=I712,"Assault",_xlpm.maxv=J712,"Engineer",_xlpm.maxv=K712,"Recon",_xlpm.maxv=L712,"Support"))))</f>
        <v/>
      </c>
      <c r="O712" t="str">
        <f t="shared" si="48"/>
        <v/>
      </c>
      <c r="P712" s="28" t="str">
        <f t="shared" si="49"/>
        <v/>
      </c>
    </row>
    <row r="713" spans="2:16" x14ac:dyDescent="0.25">
      <c r="B713">
        <v>7117</v>
      </c>
      <c r="H713" t="str">
        <f t="shared" si="46"/>
        <v/>
      </c>
      <c r="M713">
        <f t="shared" si="47"/>
        <v>0</v>
      </c>
      <c r="N713" t="str" cm="1">
        <f t="array" ref="N713">_xlfn.LET(_xlpm.total,SUM(I713:L713),_xlpm.maxv,MAX(I713:L713),IF(_xlpm.total=0,"",IF(_xlpm.maxv/_xlpm.total&lt;0.5,"Mixed-Class",_xlfn.IFS(_xlpm.maxv=I713,"Assault",_xlpm.maxv=J713,"Engineer",_xlpm.maxv=K713,"Recon",_xlpm.maxv=L713,"Support"))))</f>
        <v/>
      </c>
      <c r="O713" t="str">
        <f t="shared" si="48"/>
        <v/>
      </c>
      <c r="P713" s="28" t="str">
        <f t="shared" si="49"/>
        <v/>
      </c>
    </row>
    <row r="714" spans="2:16" x14ac:dyDescent="0.25">
      <c r="B714">
        <v>7127</v>
      </c>
      <c r="H714" t="str">
        <f t="shared" si="46"/>
        <v/>
      </c>
      <c r="M714">
        <f t="shared" si="47"/>
        <v>0</v>
      </c>
      <c r="N714" t="str" cm="1">
        <f t="array" ref="N714">_xlfn.LET(_xlpm.total,SUM(I714:L714),_xlpm.maxv,MAX(I714:L714),IF(_xlpm.total=0,"",IF(_xlpm.maxv/_xlpm.total&lt;0.5,"Mixed-Class",_xlfn.IFS(_xlpm.maxv=I714,"Assault",_xlpm.maxv=J714,"Engineer",_xlpm.maxv=K714,"Recon",_xlpm.maxv=L714,"Support"))))</f>
        <v/>
      </c>
      <c r="O714" t="str">
        <f t="shared" si="48"/>
        <v/>
      </c>
      <c r="P714" s="28" t="str">
        <f t="shared" si="49"/>
        <v/>
      </c>
    </row>
    <row r="715" spans="2:16" x14ac:dyDescent="0.25">
      <c r="B715">
        <v>7137</v>
      </c>
      <c r="H715" t="str">
        <f t="shared" si="46"/>
        <v/>
      </c>
      <c r="M715">
        <f t="shared" si="47"/>
        <v>0</v>
      </c>
      <c r="N715" t="str" cm="1">
        <f t="array" ref="N715">_xlfn.LET(_xlpm.total,SUM(I715:L715),_xlpm.maxv,MAX(I715:L715),IF(_xlpm.total=0,"",IF(_xlpm.maxv/_xlpm.total&lt;0.5,"Mixed-Class",_xlfn.IFS(_xlpm.maxv=I715,"Assault",_xlpm.maxv=J715,"Engineer",_xlpm.maxv=K715,"Recon",_xlpm.maxv=L715,"Support"))))</f>
        <v/>
      </c>
      <c r="O715" t="str">
        <f t="shared" si="48"/>
        <v/>
      </c>
      <c r="P715" s="28" t="str">
        <f t="shared" si="49"/>
        <v/>
      </c>
    </row>
    <row r="716" spans="2:16" x14ac:dyDescent="0.25">
      <c r="B716">
        <v>7147</v>
      </c>
      <c r="H716" t="str">
        <f t="shared" si="46"/>
        <v/>
      </c>
      <c r="M716">
        <f t="shared" si="47"/>
        <v>0</v>
      </c>
      <c r="N716" t="str" cm="1">
        <f t="array" ref="N716">_xlfn.LET(_xlpm.total,SUM(I716:L716),_xlpm.maxv,MAX(I716:L716),IF(_xlpm.total=0,"",IF(_xlpm.maxv/_xlpm.total&lt;0.5,"Mixed-Class",_xlfn.IFS(_xlpm.maxv=I716,"Assault",_xlpm.maxv=J716,"Engineer",_xlpm.maxv=K716,"Recon",_xlpm.maxv=L716,"Support"))))</f>
        <v/>
      </c>
      <c r="O716" t="str">
        <f t="shared" si="48"/>
        <v/>
      </c>
      <c r="P716" s="28" t="str">
        <f t="shared" si="49"/>
        <v/>
      </c>
    </row>
    <row r="717" spans="2:16" x14ac:dyDescent="0.25">
      <c r="B717">
        <v>7157</v>
      </c>
      <c r="H717" t="str">
        <f t="shared" si="46"/>
        <v/>
      </c>
      <c r="M717">
        <f t="shared" si="47"/>
        <v>0</v>
      </c>
      <c r="N717" t="str" cm="1">
        <f t="array" ref="N717">_xlfn.LET(_xlpm.total,SUM(I717:L717),_xlpm.maxv,MAX(I717:L717),IF(_xlpm.total=0,"",IF(_xlpm.maxv/_xlpm.total&lt;0.5,"Mixed-Class",_xlfn.IFS(_xlpm.maxv=I717,"Assault",_xlpm.maxv=J717,"Engineer",_xlpm.maxv=K717,"Recon",_xlpm.maxv=L717,"Support"))))</f>
        <v/>
      </c>
      <c r="O717" t="str">
        <f t="shared" si="48"/>
        <v/>
      </c>
      <c r="P717" s="28" t="str">
        <f t="shared" si="49"/>
        <v/>
      </c>
    </row>
    <row r="718" spans="2:16" x14ac:dyDescent="0.25">
      <c r="B718">
        <v>7167</v>
      </c>
      <c r="H718" t="str">
        <f t="shared" si="46"/>
        <v/>
      </c>
      <c r="M718">
        <f t="shared" si="47"/>
        <v>0</v>
      </c>
      <c r="N718" t="str" cm="1">
        <f t="array" ref="N718">_xlfn.LET(_xlpm.total,SUM(I718:L718),_xlpm.maxv,MAX(I718:L718),IF(_xlpm.total=0,"",IF(_xlpm.maxv/_xlpm.total&lt;0.5,"Mixed-Class",_xlfn.IFS(_xlpm.maxv=I718,"Assault",_xlpm.maxv=J718,"Engineer",_xlpm.maxv=K718,"Recon",_xlpm.maxv=L718,"Support"))))</f>
        <v/>
      </c>
      <c r="O718" t="str">
        <f t="shared" si="48"/>
        <v/>
      </c>
      <c r="P718" s="28" t="str">
        <f t="shared" si="49"/>
        <v/>
      </c>
    </row>
    <row r="719" spans="2:16" x14ac:dyDescent="0.25">
      <c r="B719">
        <v>7177</v>
      </c>
      <c r="H719" t="str">
        <f t="shared" si="46"/>
        <v/>
      </c>
      <c r="M719">
        <f t="shared" si="47"/>
        <v>0</v>
      </c>
      <c r="N719" t="str" cm="1">
        <f t="array" ref="N719">_xlfn.LET(_xlpm.total,SUM(I719:L719),_xlpm.maxv,MAX(I719:L719),IF(_xlpm.total=0,"",IF(_xlpm.maxv/_xlpm.total&lt;0.5,"Mixed-Class",_xlfn.IFS(_xlpm.maxv=I719,"Assault",_xlpm.maxv=J719,"Engineer",_xlpm.maxv=K719,"Recon",_xlpm.maxv=L719,"Support"))))</f>
        <v/>
      </c>
      <c r="O719" t="str">
        <f t="shared" si="48"/>
        <v/>
      </c>
      <c r="P719" s="28" t="str">
        <f t="shared" si="49"/>
        <v/>
      </c>
    </row>
    <row r="720" spans="2:16" x14ac:dyDescent="0.25">
      <c r="B720">
        <v>7187</v>
      </c>
      <c r="H720" t="str">
        <f t="shared" si="46"/>
        <v/>
      </c>
      <c r="M720">
        <f t="shared" si="47"/>
        <v>0</v>
      </c>
      <c r="N720" t="str" cm="1">
        <f t="array" ref="N720">_xlfn.LET(_xlpm.total,SUM(I720:L720),_xlpm.maxv,MAX(I720:L720),IF(_xlpm.total=0,"",IF(_xlpm.maxv/_xlpm.total&lt;0.5,"Mixed-Class",_xlfn.IFS(_xlpm.maxv=I720,"Assault",_xlpm.maxv=J720,"Engineer",_xlpm.maxv=K720,"Recon",_xlpm.maxv=L720,"Support"))))</f>
        <v/>
      </c>
      <c r="O720" t="str">
        <f t="shared" si="48"/>
        <v/>
      </c>
      <c r="P720" s="28" t="str">
        <f t="shared" si="49"/>
        <v/>
      </c>
    </row>
    <row r="721" spans="2:16" x14ac:dyDescent="0.25">
      <c r="B721">
        <v>7197</v>
      </c>
      <c r="H721" t="str">
        <f t="shared" si="46"/>
        <v/>
      </c>
      <c r="M721">
        <f t="shared" si="47"/>
        <v>0</v>
      </c>
      <c r="N721" t="str" cm="1">
        <f t="array" ref="N721">_xlfn.LET(_xlpm.total,SUM(I721:L721),_xlpm.maxv,MAX(I721:L721),IF(_xlpm.total=0,"",IF(_xlpm.maxv/_xlpm.total&lt;0.5,"Mixed-Class",_xlfn.IFS(_xlpm.maxv=I721,"Assault",_xlpm.maxv=J721,"Engineer",_xlpm.maxv=K721,"Recon",_xlpm.maxv=L721,"Support"))))</f>
        <v/>
      </c>
      <c r="O721" t="str">
        <f t="shared" si="48"/>
        <v/>
      </c>
      <c r="P721" s="28" t="str">
        <f t="shared" si="49"/>
        <v/>
      </c>
    </row>
    <row r="722" spans="2:16" x14ac:dyDescent="0.25">
      <c r="B722">
        <v>7207</v>
      </c>
      <c r="H722" t="str">
        <f t="shared" si="46"/>
        <v/>
      </c>
      <c r="M722">
        <f t="shared" si="47"/>
        <v>0</v>
      </c>
      <c r="N722" t="str" cm="1">
        <f t="array" ref="N722">_xlfn.LET(_xlpm.total,SUM(I722:L722),_xlpm.maxv,MAX(I722:L722),IF(_xlpm.total=0,"",IF(_xlpm.maxv/_xlpm.total&lt;0.5,"Mixed-Class",_xlfn.IFS(_xlpm.maxv=I722,"Assault",_xlpm.maxv=J722,"Engineer",_xlpm.maxv=K722,"Recon",_xlpm.maxv=L722,"Support"))))</f>
        <v/>
      </c>
      <c r="O722" t="str">
        <f t="shared" si="48"/>
        <v/>
      </c>
      <c r="P722" s="28" t="str">
        <f t="shared" si="49"/>
        <v/>
      </c>
    </row>
    <row r="723" spans="2:16" x14ac:dyDescent="0.25">
      <c r="B723">
        <v>7217</v>
      </c>
      <c r="H723" t="str">
        <f t="shared" si="46"/>
        <v/>
      </c>
      <c r="M723">
        <f t="shared" si="47"/>
        <v>0</v>
      </c>
      <c r="N723" t="str" cm="1">
        <f t="array" ref="N723">_xlfn.LET(_xlpm.total,SUM(I723:L723),_xlpm.maxv,MAX(I723:L723),IF(_xlpm.total=0,"",IF(_xlpm.maxv/_xlpm.total&lt;0.5,"Mixed-Class",_xlfn.IFS(_xlpm.maxv=I723,"Assault",_xlpm.maxv=J723,"Engineer",_xlpm.maxv=K723,"Recon",_xlpm.maxv=L723,"Support"))))</f>
        <v/>
      </c>
      <c r="O723" t="str">
        <f t="shared" si="48"/>
        <v/>
      </c>
      <c r="P723" s="28" t="str">
        <f t="shared" si="49"/>
        <v/>
      </c>
    </row>
    <row r="724" spans="2:16" x14ac:dyDescent="0.25">
      <c r="B724">
        <v>7227</v>
      </c>
      <c r="H724" t="str">
        <f t="shared" si="46"/>
        <v/>
      </c>
      <c r="M724">
        <f t="shared" si="47"/>
        <v>0</v>
      </c>
      <c r="N724" t="str" cm="1">
        <f t="array" ref="N724">_xlfn.LET(_xlpm.total,SUM(I724:L724),_xlpm.maxv,MAX(I724:L724),IF(_xlpm.total=0,"",IF(_xlpm.maxv/_xlpm.total&lt;0.5,"Mixed-Class",_xlfn.IFS(_xlpm.maxv=I724,"Assault",_xlpm.maxv=J724,"Engineer",_xlpm.maxv=K724,"Recon",_xlpm.maxv=L724,"Support"))))</f>
        <v/>
      </c>
      <c r="O724" t="str">
        <f t="shared" si="48"/>
        <v/>
      </c>
      <c r="P724" s="28" t="str">
        <f t="shared" si="49"/>
        <v/>
      </c>
    </row>
    <row r="725" spans="2:16" x14ac:dyDescent="0.25">
      <c r="B725">
        <v>7237</v>
      </c>
      <c r="H725" t="str">
        <f t="shared" si="46"/>
        <v/>
      </c>
      <c r="M725">
        <f t="shared" si="47"/>
        <v>0</v>
      </c>
      <c r="N725" t="str" cm="1">
        <f t="array" ref="N725">_xlfn.LET(_xlpm.total,SUM(I725:L725),_xlpm.maxv,MAX(I725:L725),IF(_xlpm.total=0,"",IF(_xlpm.maxv/_xlpm.total&lt;0.5,"Mixed-Class",_xlfn.IFS(_xlpm.maxv=I725,"Assault",_xlpm.maxv=J725,"Engineer",_xlpm.maxv=K725,"Recon",_xlpm.maxv=L725,"Support"))))</f>
        <v/>
      </c>
      <c r="O725" t="str">
        <f t="shared" si="48"/>
        <v/>
      </c>
      <c r="P725" s="28" t="str">
        <f t="shared" si="49"/>
        <v/>
      </c>
    </row>
    <row r="726" spans="2:16" x14ac:dyDescent="0.25">
      <c r="B726">
        <v>7247</v>
      </c>
      <c r="H726" t="str">
        <f t="shared" si="46"/>
        <v/>
      </c>
      <c r="M726">
        <f t="shared" si="47"/>
        <v>0</v>
      </c>
      <c r="N726" t="str" cm="1">
        <f t="array" ref="N726">_xlfn.LET(_xlpm.total,SUM(I726:L726),_xlpm.maxv,MAX(I726:L726),IF(_xlpm.total=0,"",IF(_xlpm.maxv/_xlpm.total&lt;0.5,"Mixed-Class",_xlfn.IFS(_xlpm.maxv=I726,"Assault",_xlpm.maxv=J726,"Engineer",_xlpm.maxv=K726,"Recon",_xlpm.maxv=L726,"Support"))))</f>
        <v/>
      </c>
      <c r="O726" t="str">
        <f t="shared" si="48"/>
        <v/>
      </c>
      <c r="P726" s="28" t="str">
        <f t="shared" si="49"/>
        <v/>
      </c>
    </row>
    <row r="727" spans="2:16" x14ac:dyDescent="0.25">
      <c r="B727">
        <v>7257</v>
      </c>
      <c r="H727" t="str">
        <f t="shared" si="46"/>
        <v/>
      </c>
      <c r="M727">
        <f t="shared" si="47"/>
        <v>0</v>
      </c>
      <c r="N727" t="str" cm="1">
        <f t="array" ref="N727">_xlfn.LET(_xlpm.total,SUM(I727:L727),_xlpm.maxv,MAX(I727:L727),IF(_xlpm.total=0,"",IF(_xlpm.maxv/_xlpm.total&lt;0.5,"Mixed-Class",_xlfn.IFS(_xlpm.maxv=I727,"Assault",_xlpm.maxv=J727,"Engineer",_xlpm.maxv=K727,"Recon",_xlpm.maxv=L727,"Support"))))</f>
        <v/>
      </c>
      <c r="O727" t="str">
        <f t="shared" si="48"/>
        <v/>
      </c>
      <c r="P727" s="28" t="str">
        <f t="shared" si="49"/>
        <v/>
      </c>
    </row>
    <row r="728" spans="2:16" x14ac:dyDescent="0.25">
      <c r="B728">
        <v>7267</v>
      </c>
      <c r="H728" t="str">
        <f t="shared" si="46"/>
        <v/>
      </c>
      <c r="M728">
        <f t="shared" si="47"/>
        <v>0</v>
      </c>
      <c r="N728" t="str" cm="1">
        <f t="array" ref="N728">_xlfn.LET(_xlpm.total,SUM(I728:L728),_xlpm.maxv,MAX(I728:L728),IF(_xlpm.total=0,"",IF(_xlpm.maxv/_xlpm.total&lt;0.5,"Mixed-Class",_xlfn.IFS(_xlpm.maxv=I728,"Assault",_xlpm.maxv=J728,"Engineer",_xlpm.maxv=K728,"Recon",_xlpm.maxv=L728,"Support"))))</f>
        <v/>
      </c>
      <c r="O728" t="str">
        <f t="shared" si="48"/>
        <v/>
      </c>
      <c r="P728" s="28" t="str">
        <f t="shared" si="49"/>
        <v/>
      </c>
    </row>
    <row r="729" spans="2:16" x14ac:dyDescent="0.25">
      <c r="B729">
        <v>7277</v>
      </c>
      <c r="H729" t="str">
        <f t="shared" si="46"/>
        <v/>
      </c>
      <c r="M729">
        <f t="shared" si="47"/>
        <v>0</v>
      </c>
      <c r="N729" t="str" cm="1">
        <f t="array" ref="N729">_xlfn.LET(_xlpm.total,SUM(I729:L729),_xlpm.maxv,MAX(I729:L729),IF(_xlpm.total=0,"",IF(_xlpm.maxv/_xlpm.total&lt;0.5,"Mixed-Class",_xlfn.IFS(_xlpm.maxv=I729,"Assault",_xlpm.maxv=J729,"Engineer",_xlpm.maxv=K729,"Recon",_xlpm.maxv=L729,"Support"))))</f>
        <v/>
      </c>
      <c r="O729" t="str">
        <f t="shared" si="48"/>
        <v/>
      </c>
      <c r="P729" s="28" t="str">
        <f t="shared" si="49"/>
        <v/>
      </c>
    </row>
    <row r="730" spans="2:16" x14ac:dyDescent="0.25">
      <c r="B730">
        <v>7287</v>
      </c>
      <c r="H730" t="str">
        <f t="shared" si="46"/>
        <v/>
      </c>
      <c r="M730">
        <f t="shared" si="47"/>
        <v>0</v>
      </c>
      <c r="N730" t="str" cm="1">
        <f t="array" ref="N730">_xlfn.LET(_xlpm.total,SUM(I730:L730),_xlpm.maxv,MAX(I730:L730),IF(_xlpm.total=0,"",IF(_xlpm.maxv/_xlpm.total&lt;0.5,"Mixed-Class",_xlfn.IFS(_xlpm.maxv=I730,"Assault",_xlpm.maxv=J730,"Engineer",_xlpm.maxv=K730,"Recon",_xlpm.maxv=L730,"Support"))))</f>
        <v/>
      </c>
      <c r="O730" t="str">
        <f t="shared" si="48"/>
        <v/>
      </c>
      <c r="P730" s="28" t="str">
        <f t="shared" si="49"/>
        <v/>
      </c>
    </row>
    <row r="731" spans="2:16" x14ac:dyDescent="0.25">
      <c r="B731">
        <v>7297</v>
      </c>
      <c r="H731" t="str">
        <f t="shared" si="46"/>
        <v/>
      </c>
      <c r="M731">
        <f t="shared" si="47"/>
        <v>0</v>
      </c>
      <c r="N731" t="str" cm="1">
        <f t="array" ref="N731">_xlfn.LET(_xlpm.total,SUM(I731:L731),_xlpm.maxv,MAX(I731:L731),IF(_xlpm.total=0,"",IF(_xlpm.maxv/_xlpm.total&lt;0.5,"Mixed-Class",_xlfn.IFS(_xlpm.maxv=I731,"Assault",_xlpm.maxv=J731,"Engineer",_xlpm.maxv=K731,"Recon",_xlpm.maxv=L731,"Support"))))</f>
        <v/>
      </c>
      <c r="O731" t="str">
        <f t="shared" si="48"/>
        <v/>
      </c>
      <c r="P731" s="28" t="str">
        <f t="shared" si="49"/>
        <v/>
      </c>
    </row>
    <row r="732" spans="2:16" x14ac:dyDescent="0.25">
      <c r="B732">
        <v>7307</v>
      </c>
      <c r="H732" t="str">
        <f t="shared" si="46"/>
        <v/>
      </c>
      <c r="M732">
        <f t="shared" si="47"/>
        <v>0</v>
      </c>
      <c r="N732" t="str" cm="1">
        <f t="array" ref="N732">_xlfn.LET(_xlpm.total,SUM(I732:L732),_xlpm.maxv,MAX(I732:L732),IF(_xlpm.total=0,"",IF(_xlpm.maxv/_xlpm.total&lt;0.5,"Mixed-Class",_xlfn.IFS(_xlpm.maxv=I732,"Assault",_xlpm.maxv=J732,"Engineer",_xlpm.maxv=K732,"Recon",_xlpm.maxv=L732,"Support"))))</f>
        <v/>
      </c>
      <c r="O732" t="str">
        <f t="shared" si="48"/>
        <v/>
      </c>
      <c r="P732" s="28" t="str">
        <f t="shared" si="49"/>
        <v/>
      </c>
    </row>
    <row r="733" spans="2:16" x14ac:dyDescent="0.25">
      <c r="B733">
        <v>7317</v>
      </c>
      <c r="H733" t="str">
        <f t="shared" si="46"/>
        <v/>
      </c>
      <c r="M733">
        <f t="shared" si="47"/>
        <v>0</v>
      </c>
      <c r="N733" t="str" cm="1">
        <f t="array" ref="N733">_xlfn.LET(_xlpm.total,SUM(I733:L733),_xlpm.maxv,MAX(I733:L733),IF(_xlpm.total=0,"",IF(_xlpm.maxv/_xlpm.total&lt;0.5,"Mixed-Class",_xlfn.IFS(_xlpm.maxv=I733,"Assault",_xlpm.maxv=J733,"Engineer",_xlpm.maxv=K733,"Recon",_xlpm.maxv=L733,"Support"))))</f>
        <v/>
      </c>
      <c r="O733" t="str">
        <f t="shared" si="48"/>
        <v/>
      </c>
      <c r="P733" s="28" t="str">
        <f t="shared" si="49"/>
        <v/>
      </c>
    </row>
    <row r="734" spans="2:16" x14ac:dyDescent="0.25">
      <c r="B734">
        <v>7327</v>
      </c>
      <c r="H734" t="str">
        <f t="shared" si="46"/>
        <v/>
      </c>
      <c r="M734">
        <f t="shared" si="47"/>
        <v>0</v>
      </c>
      <c r="N734" t="str" cm="1">
        <f t="array" ref="N734">_xlfn.LET(_xlpm.total,SUM(I734:L734),_xlpm.maxv,MAX(I734:L734),IF(_xlpm.total=0,"",IF(_xlpm.maxv/_xlpm.total&lt;0.5,"Mixed-Class",_xlfn.IFS(_xlpm.maxv=I734,"Assault",_xlpm.maxv=J734,"Engineer",_xlpm.maxv=K734,"Recon",_xlpm.maxv=L734,"Support"))))</f>
        <v/>
      </c>
      <c r="O734" t="str">
        <f t="shared" si="48"/>
        <v/>
      </c>
      <c r="P734" s="28" t="str">
        <f t="shared" si="49"/>
        <v/>
      </c>
    </row>
    <row r="735" spans="2:16" x14ac:dyDescent="0.25">
      <c r="B735">
        <v>7337</v>
      </c>
      <c r="H735" t="str">
        <f t="shared" si="46"/>
        <v/>
      </c>
      <c r="M735">
        <f t="shared" si="47"/>
        <v>0</v>
      </c>
      <c r="N735" t="str" cm="1">
        <f t="array" ref="N735">_xlfn.LET(_xlpm.total,SUM(I735:L735),_xlpm.maxv,MAX(I735:L735),IF(_xlpm.total=0,"",IF(_xlpm.maxv/_xlpm.total&lt;0.5,"Mixed-Class",_xlfn.IFS(_xlpm.maxv=I735,"Assault",_xlpm.maxv=J735,"Engineer",_xlpm.maxv=K735,"Recon",_xlpm.maxv=L735,"Support"))))</f>
        <v/>
      </c>
      <c r="O735" t="str">
        <f t="shared" si="48"/>
        <v/>
      </c>
      <c r="P735" s="28" t="str">
        <f t="shared" si="49"/>
        <v/>
      </c>
    </row>
    <row r="736" spans="2:16" x14ac:dyDescent="0.25">
      <c r="B736">
        <v>7347</v>
      </c>
      <c r="H736" t="str">
        <f t="shared" si="46"/>
        <v/>
      </c>
      <c r="M736">
        <f t="shared" si="47"/>
        <v>0</v>
      </c>
      <c r="N736" t="str" cm="1">
        <f t="array" ref="N736">_xlfn.LET(_xlpm.total,SUM(I736:L736),_xlpm.maxv,MAX(I736:L736),IF(_xlpm.total=0,"",IF(_xlpm.maxv/_xlpm.total&lt;0.5,"Mixed-Class",_xlfn.IFS(_xlpm.maxv=I736,"Assault",_xlpm.maxv=J736,"Engineer",_xlpm.maxv=K736,"Recon",_xlpm.maxv=L736,"Support"))))</f>
        <v/>
      </c>
      <c r="O736" t="str">
        <f t="shared" si="48"/>
        <v/>
      </c>
      <c r="P736" s="28" t="str">
        <f t="shared" si="49"/>
        <v/>
      </c>
    </row>
    <row r="737" spans="2:16" x14ac:dyDescent="0.25">
      <c r="B737">
        <v>7357</v>
      </c>
      <c r="H737" t="str">
        <f t="shared" si="46"/>
        <v/>
      </c>
      <c r="M737">
        <f t="shared" si="47"/>
        <v>0</v>
      </c>
      <c r="N737" t="str" cm="1">
        <f t="array" ref="N737">_xlfn.LET(_xlpm.total,SUM(I737:L737),_xlpm.maxv,MAX(I737:L737),IF(_xlpm.total=0,"",IF(_xlpm.maxv/_xlpm.total&lt;0.5,"Mixed-Class",_xlfn.IFS(_xlpm.maxv=I737,"Assault",_xlpm.maxv=J737,"Engineer",_xlpm.maxv=K737,"Recon",_xlpm.maxv=L737,"Support"))))</f>
        <v/>
      </c>
      <c r="O737" t="str">
        <f t="shared" si="48"/>
        <v/>
      </c>
      <c r="P737" s="28" t="str">
        <f t="shared" si="49"/>
        <v/>
      </c>
    </row>
    <row r="738" spans="2:16" x14ac:dyDescent="0.25">
      <c r="B738">
        <v>7367</v>
      </c>
      <c r="H738" t="str">
        <f t="shared" si="46"/>
        <v/>
      </c>
      <c r="M738">
        <f t="shared" si="47"/>
        <v>0</v>
      </c>
      <c r="N738" t="str" cm="1">
        <f t="array" ref="N738">_xlfn.LET(_xlpm.total,SUM(I738:L738),_xlpm.maxv,MAX(I738:L738),IF(_xlpm.total=0,"",IF(_xlpm.maxv/_xlpm.total&lt;0.5,"Mixed-Class",_xlfn.IFS(_xlpm.maxv=I738,"Assault",_xlpm.maxv=J738,"Engineer",_xlpm.maxv=K738,"Recon",_xlpm.maxv=L738,"Support"))))</f>
        <v/>
      </c>
      <c r="O738" t="str">
        <f t="shared" si="48"/>
        <v/>
      </c>
      <c r="P738" s="28" t="str">
        <f t="shared" si="49"/>
        <v/>
      </c>
    </row>
    <row r="739" spans="2:16" x14ac:dyDescent="0.25">
      <c r="B739">
        <v>7377</v>
      </c>
      <c r="H739" t="str">
        <f t="shared" si="46"/>
        <v/>
      </c>
      <c r="M739">
        <f t="shared" si="47"/>
        <v>0</v>
      </c>
      <c r="N739" t="str" cm="1">
        <f t="array" ref="N739">_xlfn.LET(_xlpm.total,SUM(I739:L739),_xlpm.maxv,MAX(I739:L739),IF(_xlpm.total=0,"",IF(_xlpm.maxv/_xlpm.total&lt;0.5,"Mixed-Class",_xlfn.IFS(_xlpm.maxv=I739,"Assault",_xlpm.maxv=J739,"Engineer",_xlpm.maxv=K739,"Recon",_xlpm.maxv=L739,"Support"))))</f>
        <v/>
      </c>
      <c r="O739" t="str">
        <f t="shared" si="48"/>
        <v/>
      </c>
      <c r="P739" s="28" t="str">
        <f t="shared" si="49"/>
        <v/>
      </c>
    </row>
    <row r="740" spans="2:16" x14ac:dyDescent="0.25">
      <c r="B740">
        <v>7387</v>
      </c>
      <c r="H740" t="str">
        <f t="shared" si="46"/>
        <v/>
      </c>
      <c r="M740">
        <f t="shared" si="47"/>
        <v>0</v>
      </c>
      <c r="N740" t="str" cm="1">
        <f t="array" ref="N740">_xlfn.LET(_xlpm.total,SUM(I740:L740),_xlpm.maxv,MAX(I740:L740),IF(_xlpm.total=0,"",IF(_xlpm.maxv/_xlpm.total&lt;0.5,"Mixed-Class",_xlfn.IFS(_xlpm.maxv=I740,"Assault",_xlpm.maxv=J740,"Engineer",_xlpm.maxv=K740,"Recon",_xlpm.maxv=L740,"Support"))))</f>
        <v/>
      </c>
      <c r="O740" t="str">
        <f t="shared" si="48"/>
        <v/>
      </c>
      <c r="P740" s="28" t="str">
        <f t="shared" si="49"/>
        <v/>
      </c>
    </row>
    <row r="741" spans="2:16" x14ac:dyDescent="0.25">
      <c r="B741">
        <v>7397</v>
      </c>
      <c r="H741" t="str">
        <f t="shared" si="46"/>
        <v/>
      </c>
      <c r="M741">
        <f t="shared" si="47"/>
        <v>0</v>
      </c>
      <c r="N741" t="str" cm="1">
        <f t="array" ref="N741">_xlfn.LET(_xlpm.total,SUM(I741:L741),_xlpm.maxv,MAX(I741:L741),IF(_xlpm.total=0,"",IF(_xlpm.maxv/_xlpm.total&lt;0.5,"Mixed-Class",_xlfn.IFS(_xlpm.maxv=I741,"Assault",_xlpm.maxv=J741,"Engineer",_xlpm.maxv=K741,"Recon",_xlpm.maxv=L741,"Support"))))</f>
        <v/>
      </c>
      <c r="O741" t="str">
        <f t="shared" si="48"/>
        <v/>
      </c>
      <c r="P741" s="28" t="str">
        <f t="shared" si="49"/>
        <v/>
      </c>
    </row>
    <row r="742" spans="2:16" x14ac:dyDescent="0.25">
      <c r="B742">
        <v>7407</v>
      </c>
      <c r="H742" t="str">
        <f t="shared" si="46"/>
        <v/>
      </c>
      <c r="M742">
        <f t="shared" si="47"/>
        <v>0</v>
      </c>
      <c r="N742" t="str" cm="1">
        <f t="array" ref="N742">_xlfn.LET(_xlpm.total,SUM(I742:L742),_xlpm.maxv,MAX(I742:L742),IF(_xlpm.total=0,"",IF(_xlpm.maxv/_xlpm.total&lt;0.5,"Mixed-Class",_xlfn.IFS(_xlpm.maxv=I742,"Assault",_xlpm.maxv=J742,"Engineer",_xlpm.maxv=K742,"Recon",_xlpm.maxv=L742,"Support"))))</f>
        <v/>
      </c>
      <c r="O742" t="str">
        <f t="shared" si="48"/>
        <v/>
      </c>
      <c r="P742" s="28" t="str">
        <f t="shared" si="49"/>
        <v/>
      </c>
    </row>
    <row r="743" spans="2:16" x14ac:dyDescent="0.25">
      <c r="B743">
        <v>7417</v>
      </c>
      <c r="H743" t="str">
        <f t="shared" si="46"/>
        <v/>
      </c>
      <c r="M743">
        <f t="shared" si="47"/>
        <v>0</v>
      </c>
      <c r="N743" t="str" cm="1">
        <f t="array" ref="N743">_xlfn.LET(_xlpm.total,SUM(I743:L743),_xlpm.maxv,MAX(I743:L743),IF(_xlpm.total=0,"",IF(_xlpm.maxv/_xlpm.total&lt;0.5,"Mixed-Class",_xlfn.IFS(_xlpm.maxv=I743,"Assault",_xlpm.maxv=J743,"Engineer",_xlpm.maxv=K743,"Recon",_xlpm.maxv=L743,"Support"))))</f>
        <v/>
      </c>
      <c r="O743" t="str">
        <f t="shared" si="48"/>
        <v/>
      </c>
      <c r="P743" s="28" t="str">
        <f t="shared" si="49"/>
        <v/>
      </c>
    </row>
    <row r="744" spans="2:16" x14ac:dyDescent="0.25">
      <c r="B744">
        <v>7427</v>
      </c>
      <c r="H744" t="str">
        <f t="shared" si="46"/>
        <v/>
      </c>
      <c r="M744">
        <f t="shared" si="47"/>
        <v>0</v>
      </c>
      <c r="N744" t="str" cm="1">
        <f t="array" ref="N744">_xlfn.LET(_xlpm.total,SUM(I744:L744),_xlpm.maxv,MAX(I744:L744),IF(_xlpm.total=0,"",IF(_xlpm.maxv/_xlpm.total&lt;0.5,"Mixed-Class",_xlfn.IFS(_xlpm.maxv=I744,"Assault",_xlpm.maxv=J744,"Engineer",_xlpm.maxv=K744,"Recon",_xlpm.maxv=L744,"Support"))))</f>
        <v/>
      </c>
      <c r="O744" t="str">
        <f t="shared" si="48"/>
        <v/>
      </c>
      <c r="P744" s="28" t="str">
        <f t="shared" si="49"/>
        <v/>
      </c>
    </row>
    <row r="745" spans="2:16" x14ac:dyDescent="0.25">
      <c r="B745">
        <v>7437</v>
      </c>
      <c r="H745" t="str">
        <f t="shared" si="46"/>
        <v/>
      </c>
      <c r="M745">
        <f t="shared" si="47"/>
        <v>0</v>
      </c>
      <c r="N745" t="str" cm="1">
        <f t="array" ref="N745">_xlfn.LET(_xlpm.total,SUM(I745:L745),_xlpm.maxv,MAX(I745:L745),IF(_xlpm.total=0,"",IF(_xlpm.maxv/_xlpm.total&lt;0.5,"Mixed-Class",_xlfn.IFS(_xlpm.maxv=I745,"Assault",_xlpm.maxv=J745,"Engineer",_xlpm.maxv=K745,"Recon",_xlpm.maxv=L745,"Support"))))</f>
        <v/>
      </c>
      <c r="O745" t="str">
        <f t="shared" si="48"/>
        <v/>
      </c>
      <c r="P745" s="28" t="str">
        <f t="shared" si="49"/>
        <v/>
      </c>
    </row>
    <row r="746" spans="2:16" x14ac:dyDescent="0.25">
      <c r="B746">
        <v>7447</v>
      </c>
      <c r="H746" t="str">
        <f t="shared" si="46"/>
        <v/>
      </c>
      <c r="M746">
        <f t="shared" si="47"/>
        <v>0</v>
      </c>
      <c r="N746" t="str" cm="1">
        <f t="array" ref="N746">_xlfn.LET(_xlpm.total,SUM(I746:L746),_xlpm.maxv,MAX(I746:L746),IF(_xlpm.total=0,"",IF(_xlpm.maxv/_xlpm.total&lt;0.5,"Mixed-Class",_xlfn.IFS(_xlpm.maxv=I746,"Assault",_xlpm.maxv=J746,"Engineer",_xlpm.maxv=K746,"Recon",_xlpm.maxv=L746,"Support"))))</f>
        <v/>
      </c>
      <c r="O746" t="str">
        <f t="shared" si="48"/>
        <v/>
      </c>
      <c r="P746" s="28" t="str">
        <f t="shared" si="49"/>
        <v/>
      </c>
    </row>
    <row r="747" spans="2:16" x14ac:dyDescent="0.25">
      <c r="B747">
        <v>7457</v>
      </c>
      <c r="H747" t="str">
        <f t="shared" si="46"/>
        <v/>
      </c>
      <c r="M747">
        <f t="shared" si="47"/>
        <v>0</v>
      </c>
      <c r="N747" t="str" cm="1">
        <f t="array" ref="N747">_xlfn.LET(_xlpm.total,SUM(I747:L747),_xlpm.maxv,MAX(I747:L747),IF(_xlpm.total=0,"",IF(_xlpm.maxv/_xlpm.total&lt;0.5,"Mixed-Class",_xlfn.IFS(_xlpm.maxv=I747,"Assault",_xlpm.maxv=J747,"Engineer",_xlpm.maxv=K747,"Recon",_xlpm.maxv=L747,"Support"))))</f>
        <v/>
      </c>
      <c r="O747" t="str">
        <f t="shared" si="48"/>
        <v/>
      </c>
      <c r="P747" s="28" t="str">
        <f t="shared" si="49"/>
        <v/>
      </c>
    </row>
    <row r="748" spans="2:16" x14ac:dyDescent="0.25">
      <c r="B748">
        <v>7467</v>
      </c>
      <c r="H748" t="str">
        <f t="shared" si="46"/>
        <v/>
      </c>
      <c r="M748">
        <f t="shared" si="47"/>
        <v>0</v>
      </c>
      <c r="N748" t="str" cm="1">
        <f t="array" ref="N748">_xlfn.LET(_xlpm.total,SUM(I748:L748),_xlpm.maxv,MAX(I748:L748),IF(_xlpm.total=0,"",IF(_xlpm.maxv/_xlpm.total&lt;0.5,"Mixed-Class",_xlfn.IFS(_xlpm.maxv=I748,"Assault",_xlpm.maxv=J748,"Engineer",_xlpm.maxv=K748,"Recon",_xlpm.maxv=L748,"Support"))))</f>
        <v/>
      </c>
      <c r="O748" t="str">
        <f t="shared" si="48"/>
        <v/>
      </c>
      <c r="P748" s="28" t="str">
        <f t="shared" si="49"/>
        <v/>
      </c>
    </row>
    <row r="749" spans="2:16" x14ac:dyDescent="0.25">
      <c r="B749">
        <v>7477</v>
      </c>
      <c r="H749" t="str">
        <f t="shared" si="46"/>
        <v/>
      </c>
      <c r="M749">
        <f t="shared" si="47"/>
        <v>0</v>
      </c>
      <c r="N749" t="str" cm="1">
        <f t="array" ref="N749">_xlfn.LET(_xlpm.total,SUM(I749:L749),_xlpm.maxv,MAX(I749:L749),IF(_xlpm.total=0,"",IF(_xlpm.maxv/_xlpm.total&lt;0.5,"Mixed-Class",_xlfn.IFS(_xlpm.maxv=I749,"Assault",_xlpm.maxv=J749,"Engineer",_xlpm.maxv=K749,"Recon",_xlpm.maxv=L749,"Support"))))</f>
        <v/>
      </c>
      <c r="O749" t="str">
        <f t="shared" si="48"/>
        <v/>
      </c>
      <c r="P749" s="28" t="str">
        <f t="shared" si="49"/>
        <v/>
      </c>
    </row>
    <row r="750" spans="2:16" x14ac:dyDescent="0.25">
      <c r="B750">
        <v>7487</v>
      </c>
      <c r="H750" t="str">
        <f t="shared" si="46"/>
        <v/>
      </c>
      <c r="M750">
        <f t="shared" si="47"/>
        <v>0</v>
      </c>
      <c r="N750" t="str" cm="1">
        <f t="array" ref="N750">_xlfn.LET(_xlpm.total,SUM(I750:L750),_xlpm.maxv,MAX(I750:L750),IF(_xlpm.total=0,"",IF(_xlpm.maxv/_xlpm.total&lt;0.5,"Mixed-Class",_xlfn.IFS(_xlpm.maxv=I750,"Assault",_xlpm.maxv=J750,"Engineer",_xlpm.maxv=K750,"Recon",_xlpm.maxv=L750,"Support"))))</f>
        <v/>
      </c>
      <c r="O750" t="str">
        <f t="shared" si="48"/>
        <v/>
      </c>
      <c r="P750" s="28" t="str">
        <f t="shared" si="49"/>
        <v/>
      </c>
    </row>
    <row r="751" spans="2:16" x14ac:dyDescent="0.25">
      <c r="B751">
        <v>7497</v>
      </c>
      <c r="H751" t="str">
        <f t="shared" si="46"/>
        <v/>
      </c>
      <c r="M751">
        <f t="shared" si="47"/>
        <v>0</v>
      </c>
      <c r="N751" t="str" cm="1">
        <f t="array" ref="N751">_xlfn.LET(_xlpm.total,SUM(I751:L751),_xlpm.maxv,MAX(I751:L751),IF(_xlpm.total=0,"",IF(_xlpm.maxv/_xlpm.total&lt;0.5,"Mixed-Class",_xlfn.IFS(_xlpm.maxv=I751,"Assault",_xlpm.maxv=J751,"Engineer",_xlpm.maxv=K751,"Recon",_xlpm.maxv=L751,"Support"))))</f>
        <v/>
      </c>
      <c r="O751" t="str">
        <f t="shared" si="48"/>
        <v/>
      </c>
      <c r="P751" s="28" t="str">
        <f t="shared" si="49"/>
        <v/>
      </c>
    </row>
    <row r="752" spans="2:16" x14ac:dyDescent="0.25">
      <c r="B752">
        <v>7507</v>
      </c>
      <c r="H752" t="str">
        <f t="shared" si="46"/>
        <v/>
      </c>
      <c r="M752">
        <f t="shared" si="47"/>
        <v>0</v>
      </c>
      <c r="N752" t="str" cm="1">
        <f t="array" ref="N752">_xlfn.LET(_xlpm.total,SUM(I752:L752),_xlpm.maxv,MAX(I752:L752),IF(_xlpm.total=0,"",IF(_xlpm.maxv/_xlpm.total&lt;0.5,"Mixed-Class",_xlfn.IFS(_xlpm.maxv=I752,"Assault",_xlpm.maxv=J752,"Engineer",_xlpm.maxv=K752,"Recon",_xlpm.maxv=L752,"Support"))))</f>
        <v/>
      </c>
      <c r="O752" t="str">
        <f t="shared" si="48"/>
        <v/>
      </c>
      <c r="P752" s="28" t="str">
        <f t="shared" si="49"/>
        <v/>
      </c>
    </row>
    <row r="753" spans="2:16" x14ac:dyDescent="0.25">
      <c r="B753">
        <v>7517</v>
      </c>
      <c r="H753" t="str">
        <f t="shared" si="46"/>
        <v/>
      </c>
      <c r="M753">
        <f t="shared" si="47"/>
        <v>0</v>
      </c>
      <c r="N753" t="str" cm="1">
        <f t="array" ref="N753">_xlfn.LET(_xlpm.total,SUM(I753:L753),_xlpm.maxv,MAX(I753:L753),IF(_xlpm.total=0,"",IF(_xlpm.maxv/_xlpm.total&lt;0.5,"Mixed-Class",_xlfn.IFS(_xlpm.maxv=I753,"Assault",_xlpm.maxv=J753,"Engineer",_xlpm.maxv=K753,"Recon",_xlpm.maxv=L753,"Support"))))</f>
        <v/>
      </c>
      <c r="O753" t="str">
        <f t="shared" si="48"/>
        <v/>
      </c>
      <c r="P753" s="28" t="str">
        <f t="shared" si="49"/>
        <v/>
      </c>
    </row>
    <row r="754" spans="2:16" x14ac:dyDescent="0.25">
      <c r="B754">
        <v>7527</v>
      </c>
      <c r="H754" t="str">
        <f t="shared" si="46"/>
        <v/>
      </c>
      <c r="M754">
        <f t="shared" si="47"/>
        <v>0</v>
      </c>
      <c r="N754" t="str" cm="1">
        <f t="array" ref="N754">_xlfn.LET(_xlpm.total,SUM(I754:L754),_xlpm.maxv,MAX(I754:L754),IF(_xlpm.total=0,"",IF(_xlpm.maxv/_xlpm.total&lt;0.5,"Mixed-Class",_xlfn.IFS(_xlpm.maxv=I754,"Assault",_xlpm.maxv=J754,"Engineer",_xlpm.maxv=K754,"Recon",_xlpm.maxv=L754,"Support"))))</f>
        <v/>
      </c>
      <c r="O754" t="str">
        <f t="shared" si="48"/>
        <v/>
      </c>
      <c r="P754" s="28" t="str">
        <f t="shared" si="49"/>
        <v/>
      </c>
    </row>
    <row r="755" spans="2:16" x14ac:dyDescent="0.25">
      <c r="B755">
        <v>7537</v>
      </c>
      <c r="H755" t="str">
        <f t="shared" si="46"/>
        <v/>
      </c>
      <c r="M755">
        <f t="shared" si="47"/>
        <v>0</v>
      </c>
      <c r="N755" t="str" cm="1">
        <f t="array" ref="N755">_xlfn.LET(_xlpm.total,SUM(I755:L755),_xlpm.maxv,MAX(I755:L755),IF(_xlpm.total=0,"",IF(_xlpm.maxv/_xlpm.total&lt;0.5,"Mixed-Class",_xlfn.IFS(_xlpm.maxv=I755,"Assault",_xlpm.maxv=J755,"Engineer",_xlpm.maxv=K755,"Recon",_xlpm.maxv=L755,"Support"))))</f>
        <v/>
      </c>
      <c r="O755" t="str">
        <f t="shared" si="48"/>
        <v/>
      </c>
      <c r="P755" s="28" t="str">
        <f t="shared" si="49"/>
        <v/>
      </c>
    </row>
    <row r="756" spans="2:16" x14ac:dyDescent="0.25">
      <c r="B756">
        <v>7547</v>
      </c>
      <c r="H756" t="str">
        <f t="shared" si="46"/>
        <v/>
      </c>
      <c r="M756">
        <f t="shared" si="47"/>
        <v>0</v>
      </c>
      <c r="N756" t="str" cm="1">
        <f t="array" ref="N756">_xlfn.LET(_xlpm.total,SUM(I756:L756),_xlpm.maxv,MAX(I756:L756),IF(_xlpm.total=0,"",IF(_xlpm.maxv/_xlpm.total&lt;0.5,"Mixed-Class",_xlfn.IFS(_xlpm.maxv=I756,"Assault",_xlpm.maxv=J756,"Engineer",_xlpm.maxv=K756,"Recon",_xlpm.maxv=L756,"Support"))))</f>
        <v/>
      </c>
      <c r="O756" t="str">
        <f t="shared" si="48"/>
        <v/>
      </c>
      <c r="P756" s="28" t="str">
        <f t="shared" si="49"/>
        <v/>
      </c>
    </row>
    <row r="757" spans="2:16" x14ac:dyDescent="0.25">
      <c r="B757">
        <v>7557</v>
      </c>
      <c r="H757" t="str">
        <f t="shared" si="46"/>
        <v/>
      </c>
      <c r="M757">
        <f t="shared" si="47"/>
        <v>0</v>
      </c>
      <c r="N757" t="str" cm="1">
        <f t="array" ref="N757">_xlfn.LET(_xlpm.total,SUM(I757:L757),_xlpm.maxv,MAX(I757:L757),IF(_xlpm.total=0,"",IF(_xlpm.maxv/_xlpm.total&lt;0.5,"Mixed-Class",_xlfn.IFS(_xlpm.maxv=I757,"Assault",_xlpm.maxv=J757,"Engineer",_xlpm.maxv=K757,"Recon",_xlpm.maxv=L757,"Support"))))</f>
        <v/>
      </c>
      <c r="O757" t="str">
        <f t="shared" si="48"/>
        <v/>
      </c>
      <c r="P757" s="28" t="str">
        <f t="shared" si="49"/>
        <v/>
      </c>
    </row>
    <row r="758" spans="2:16" x14ac:dyDescent="0.25">
      <c r="B758">
        <v>7567</v>
      </c>
      <c r="H758" t="str">
        <f t="shared" si="46"/>
        <v/>
      </c>
      <c r="M758">
        <f t="shared" si="47"/>
        <v>0</v>
      </c>
      <c r="N758" t="str" cm="1">
        <f t="array" ref="N758">_xlfn.LET(_xlpm.total,SUM(I758:L758),_xlpm.maxv,MAX(I758:L758),IF(_xlpm.total=0,"",IF(_xlpm.maxv/_xlpm.total&lt;0.5,"Mixed-Class",_xlfn.IFS(_xlpm.maxv=I758,"Assault",_xlpm.maxv=J758,"Engineer",_xlpm.maxv=K758,"Recon",_xlpm.maxv=L758,"Support"))))</f>
        <v/>
      </c>
      <c r="O758" t="str">
        <f t="shared" si="48"/>
        <v/>
      </c>
      <c r="P758" s="28" t="str">
        <f t="shared" si="49"/>
        <v/>
      </c>
    </row>
    <row r="759" spans="2:16" x14ac:dyDescent="0.25">
      <c r="B759">
        <v>7577</v>
      </c>
      <c r="H759" t="str">
        <f t="shared" si="46"/>
        <v/>
      </c>
      <c r="M759">
        <f t="shared" si="47"/>
        <v>0</v>
      </c>
      <c r="N759" t="str" cm="1">
        <f t="array" ref="N759">_xlfn.LET(_xlpm.total,SUM(I759:L759),_xlpm.maxv,MAX(I759:L759),IF(_xlpm.total=0,"",IF(_xlpm.maxv/_xlpm.total&lt;0.5,"Mixed-Class",_xlfn.IFS(_xlpm.maxv=I759,"Assault",_xlpm.maxv=J759,"Engineer",_xlpm.maxv=K759,"Recon",_xlpm.maxv=L759,"Support"))))</f>
        <v/>
      </c>
      <c r="O759" t="str">
        <f t="shared" si="48"/>
        <v/>
      </c>
      <c r="P759" s="28" t="str">
        <f t="shared" si="49"/>
        <v/>
      </c>
    </row>
    <row r="760" spans="2:16" x14ac:dyDescent="0.25">
      <c r="B760">
        <v>7587</v>
      </c>
      <c r="H760" t="str">
        <f t="shared" si="46"/>
        <v/>
      </c>
      <c r="M760">
        <f t="shared" si="47"/>
        <v>0</v>
      </c>
      <c r="N760" t="str" cm="1">
        <f t="array" ref="N760">_xlfn.LET(_xlpm.total,SUM(I760:L760),_xlpm.maxv,MAX(I760:L760),IF(_xlpm.total=0,"",IF(_xlpm.maxv/_xlpm.total&lt;0.5,"Mixed-Class",_xlfn.IFS(_xlpm.maxv=I760,"Assault",_xlpm.maxv=J760,"Engineer",_xlpm.maxv=K760,"Recon",_xlpm.maxv=L760,"Support"))))</f>
        <v/>
      </c>
      <c r="O760" t="str">
        <f t="shared" si="48"/>
        <v/>
      </c>
      <c r="P760" s="28" t="str">
        <f t="shared" si="49"/>
        <v/>
      </c>
    </row>
    <row r="761" spans="2:16" x14ac:dyDescent="0.25">
      <c r="B761">
        <v>7597</v>
      </c>
      <c r="H761" t="str">
        <f t="shared" si="46"/>
        <v/>
      </c>
      <c r="M761">
        <f t="shared" si="47"/>
        <v>0</v>
      </c>
      <c r="N761" t="str" cm="1">
        <f t="array" ref="N761">_xlfn.LET(_xlpm.total,SUM(I761:L761),_xlpm.maxv,MAX(I761:L761),IF(_xlpm.total=0,"",IF(_xlpm.maxv/_xlpm.total&lt;0.5,"Mixed-Class",_xlfn.IFS(_xlpm.maxv=I761,"Assault",_xlpm.maxv=J761,"Engineer",_xlpm.maxv=K761,"Recon",_xlpm.maxv=L761,"Support"))))</f>
        <v/>
      </c>
      <c r="O761" t="str">
        <f t="shared" si="48"/>
        <v/>
      </c>
      <c r="P761" s="28" t="str">
        <f t="shared" si="49"/>
        <v/>
      </c>
    </row>
    <row r="762" spans="2:16" x14ac:dyDescent="0.25">
      <c r="B762">
        <v>7607</v>
      </c>
      <c r="H762" t="str">
        <f t="shared" si="46"/>
        <v/>
      </c>
      <c r="M762">
        <f t="shared" si="47"/>
        <v>0</v>
      </c>
      <c r="N762" t="str" cm="1">
        <f t="array" ref="N762">_xlfn.LET(_xlpm.total,SUM(I762:L762),_xlpm.maxv,MAX(I762:L762),IF(_xlpm.total=0,"",IF(_xlpm.maxv/_xlpm.total&lt;0.5,"Mixed-Class",_xlfn.IFS(_xlpm.maxv=I762,"Assault",_xlpm.maxv=J762,"Engineer",_xlpm.maxv=K762,"Recon",_xlpm.maxv=L762,"Support"))))</f>
        <v/>
      </c>
      <c r="O762" t="str">
        <f t="shared" si="48"/>
        <v/>
      </c>
      <c r="P762" s="28" t="str">
        <f t="shared" si="49"/>
        <v/>
      </c>
    </row>
    <row r="763" spans="2:16" x14ac:dyDescent="0.25">
      <c r="B763">
        <v>7617</v>
      </c>
      <c r="H763" t="str">
        <f t="shared" si="46"/>
        <v/>
      </c>
      <c r="M763">
        <f t="shared" si="47"/>
        <v>0</v>
      </c>
      <c r="N763" t="str" cm="1">
        <f t="array" ref="N763">_xlfn.LET(_xlpm.total,SUM(I763:L763),_xlpm.maxv,MAX(I763:L763),IF(_xlpm.total=0,"",IF(_xlpm.maxv/_xlpm.total&lt;0.5,"Mixed-Class",_xlfn.IFS(_xlpm.maxv=I763,"Assault",_xlpm.maxv=J763,"Engineer",_xlpm.maxv=K763,"Recon",_xlpm.maxv=L763,"Support"))))</f>
        <v/>
      </c>
      <c r="O763" t="str">
        <f t="shared" si="48"/>
        <v/>
      </c>
      <c r="P763" s="28" t="str">
        <f t="shared" si="49"/>
        <v/>
      </c>
    </row>
    <row r="764" spans="2:16" x14ac:dyDescent="0.25">
      <c r="B764">
        <v>7627</v>
      </c>
      <c r="H764" t="str">
        <f t="shared" si="46"/>
        <v/>
      </c>
      <c r="M764">
        <f t="shared" si="47"/>
        <v>0</v>
      </c>
      <c r="N764" t="str" cm="1">
        <f t="array" ref="N764">_xlfn.LET(_xlpm.total,SUM(I764:L764),_xlpm.maxv,MAX(I764:L764),IF(_xlpm.total=0,"",IF(_xlpm.maxv/_xlpm.total&lt;0.5,"Mixed-Class",_xlfn.IFS(_xlpm.maxv=I764,"Assault",_xlpm.maxv=J764,"Engineer",_xlpm.maxv=K764,"Recon",_xlpm.maxv=L764,"Support"))))</f>
        <v/>
      </c>
      <c r="O764" t="str">
        <f t="shared" si="48"/>
        <v/>
      </c>
      <c r="P764" s="28" t="str">
        <f t="shared" si="49"/>
        <v/>
      </c>
    </row>
    <row r="765" spans="2:16" x14ac:dyDescent="0.25">
      <c r="B765">
        <v>7637</v>
      </c>
      <c r="H765" t="str">
        <f t="shared" si="46"/>
        <v/>
      </c>
      <c r="M765">
        <f t="shared" si="47"/>
        <v>0</v>
      </c>
      <c r="N765" t="str" cm="1">
        <f t="array" ref="N765">_xlfn.LET(_xlpm.total,SUM(I765:L765),_xlpm.maxv,MAX(I765:L765),IF(_xlpm.total=0,"",IF(_xlpm.maxv/_xlpm.total&lt;0.5,"Mixed-Class",_xlfn.IFS(_xlpm.maxv=I765,"Assault",_xlpm.maxv=J765,"Engineer",_xlpm.maxv=K765,"Recon",_xlpm.maxv=L765,"Support"))))</f>
        <v/>
      </c>
      <c r="O765" t="str">
        <f t="shared" si="48"/>
        <v/>
      </c>
      <c r="P765" s="28" t="str">
        <f t="shared" si="49"/>
        <v/>
      </c>
    </row>
    <row r="766" spans="2:16" x14ac:dyDescent="0.25">
      <c r="B766">
        <v>7647</v>
      </c>
      <c r="H766" t="str">
        <f t="shared" si="46"/>
        <v/>
      </c>
      <c r="M766">
        <f t="shared" si="47"/>
        <v>0</v>
      </c>
      <c r="N766" t="str" cm="1">
        <f t="array" ref="N766">_xlfn.LET(_xlpm.total,SUM(I766:L766),_xlpm.maxv,MAX(I766:L766),IF(_xlpm.total=0,"",IF(_xlpm.maxv/_xlpm.total&lt;0.5,"Mixed-Class",_xlfn.IFS(_xlpm.maxv=I766,"Assault",_xlpm.maxv=J766,"Engineer",_xlpm.maxv=K766,"Recon",_xlpm.maxv=L766,"Support"))))</f>
        <v/>
      </c>
      <c r="O766" t="str">
        <f t="shared" si="48"/>
        <v/>
      </c>
      <c r="P766" s="28" t="str">
        <f t="shared" si="49"/>
        <v/>
      </c>
    </row>
    <row r="767" spans="2:16" x14ac:dyDescent="0.25">
      <c r="B767">
        <v>7657</v>
      </c>
      <c r="H767" t="str">
        <f t="shared" si="46"/>
        <v/>
      </c>
      <c r="M767">
        <f t="shared" si="47"/>
        <v>0</v>
      </c>
      <c r="N767" t="str" cm="1">
        <f t="array" ref="N767">_xlfn.LET(_xlpm.total,SUM(I767:L767),_xlpm.maxv,MAX(I767:L767),IF(_xlpm.total=0,"",IF(_xlpm.maxv/_xlpm.total&lt;0.5,"Mixed-Class",_xlfn.IFS(_xlpm.maxv=I767,"Assault",_xlpm.maxv=J767,"Engineer",_xlpm.maxv=K767,"Recon",_xlpm.maxv=L767,"Support"))))</f>
        <v/>
      </c>
      <c r="O767" t="str">
        <f t="shared" si="48"/>
        <v/>
      </c>
      <c r="P767" s="28" t="str">
        <f t="shared" si="49"/>
        <v/>
      </c>
    </row>
    <row r="768" spans="2:16" x14ac:dyDescent="0.25">
      <c r="B768">
        <v>7667</v>
      </c>
      <c r="H768" t="str">
        <f t="shared" si="46"/>
        <v/>
      </c>
      <c r="M768">
        <f t="shared" si="47"/>
        <v>0</v>
      </c>
      <c r="N768" t="str" cm="1">
        <f t="array" ref="N768">_xlfn.LET(_xlpm.total,SUM(I768:L768),_xlpm.maxv,MAX(I768:L768),IF(_xlpm.total=0,"",IF(_xlpm.maxv/_xlpm.total&lt;0.5,"Mixed-Class",_xlfn.IFS(_xlpm.maxv=I768,"Assault",_xlpm.maxv=J768,"Engineer",_xlpm.maxv=K768,"Recon",_xlpm.maxv=L768,"Support"))))</f>
        <v/>
      </c>
      <c r="O768" t="str">
        <f t="shared" si="48"/>
        <v/>
      </c>
      <c r="P768" s="28" t="str">
        <f t="shared" si="49"/>
        <v/>
      </c>
    </row>
    <row r="769" spans="2:16" x14ac:dyDescent="0.25">
      <c r="B769">
        <v>7677</v>
      </c>
      <c r="H769" t="str">
        <f t="shared" si="46"/>
        <v/>
      </c>
      <c r="M769">
        <f t="shared" si="47"/>
        <v>0</v>
      </c>
      <c r="N769" t="str" cm="1">
        <f t="array" ref="N769">_xlfn.LET(_xlpm.total,SUM(I769:L769),_xlpm.maxv,MAX(I769:L769),IF(_xlpm.total=0,"",IF(_xlpm.maxv/_xlpm.total&lt;0.5,"Mixed-Class",_xlfn.IFS(_xlpm.maxv=I769,"Assault",_xlpm.maxv=J769,"Engineer",_xlpm.maxv=K769,"Recon",_xlpm.maxv=L769,"Support"))))</f>
        <v/>
      </c>
      <c r="O769" t="str">
        <f t="shared" si="48"/>
        <v/>
      </c>
      <c r="P769" s="28" t="str">
        <f t="shared" si="49"/>
        <v/>
      </c>
    </row>
    <row r="770" spans="2:16" x14ac:dyDescent="0.25">
      <c r="B770">
        <v>7687</v>
      </c>
      <c r="H770" t="str">
        <f t="shared" si="46"/>
        <v/>
      </c>
      <c r="M770">
        <f t="shared" si="47"/>
        <v>0</v>
      </c>
      <c r="N770" t="str" cm="1">
        <f t="array" ref="N770">_xlfn.LET(_xlpm.total,SUM(I770:L770),_xlpm.maxv,MAX(I770:L770),IF(_xlpm.total=0,"",IF(_xlpm.maxv/_xlpm.total&lt;0.5,"Mixed-Class",_xlfn.IFS(_xlpm.maxv=I770,"Assault",_xlpm.maxv=J770,"Engineer",_xlpm.maxv=K770,"Recon",_xlpm.maxv=L770,"Support"))))</f>
        <v/>
      </c>
      <c r="O770" t="str">
        <f t="shared" si="48"/>
        <v/>
      </c>
      <c r="P770" s="28" t="str">
        <f t="shared" si="49"/>
        <v/>
      </c>
    </row>
    <row r="771" spans="2:16" x14ac:dyDescent="0.25">
      <c r="B771">
        <v>7697</v>
      </c>
      <c r="H771" t="str">
        <f t="shared" ref="H771:H834" si="50">IF(SUM(D771:G771)=0,"",IF(G771/SUM(D771:G771)&gt;=0.5,"Battle Royale",IF(F771/SUM(D771:F771)&gt;=0.6,"Infantry-Heavy",IF((D771+0.7*E771)/SUM(D771:F771)&gt;=0.7,"Vehicle-Heavy","Mixed"))))</f>
        <v/>
      </c>
      <c r="M771">
        <f t="shared" ref="M771:M834" si="51">SUM(I771:L771)</f>
        <v>0</v>
      </c>
      <c r="N771" t="str" cm="1">
        <f t="array" ref="N771">_xlfn.LET(_xlpm.total,SUM(I771:L771),_xlpm.maxv,MAX(I771:L771),IF(_xlpm.total=0,"",IF(_xlpm.maxv/_xlpm.total&lt;0.5,"Mixed-Class",_xlfn.IFS(_xlpm.maxv=I771,"Assault",_xlpm.maxv=J771,"Engineer",_xlpm.maxv=K771,"Recon",_xlpm.maxv=L771,"Support"))))</f>
        <v/>
      </c>
      <c r="O771" t="str">
        <f t="shared" ref="O771:O834" si="52">_xlfn.LET(_xlpm.total,SUM(I771:L771),IF(_xlpm.total=0,"",MAX(I771:L771)/_xlpm.total&gt;=0.5))</f>
        <v/>
      </c>
      <c r="P771" s="28" t="str">
        <f t="shared" ref="P771:P834" si="53">_xlfn.LET(_xlpm.total,SUM(I771:L771),IF(_xlpm.total=0,"",MAX(I771:L771)/_xlpm.total))</f>
        <v/>
      </c>
    </row>
    <row r="772" spans="2:16" x14ac:dyDescent="0.25">
      <c r="B772">
        <v>7707</v>
      </c>
      <c r="H772" t="str">
        <f t="shared" si="50"/>
        <v/>
      </c>
      <c r="M772">
        <f t="shared" si="51"/>
        <v>0</v>
      </c>
      <c r="N772" t="str" cm="1">
        <f t="array" ref="N772">_xlfn.LET(_xlpm.total,SUM(I772:L772),_xlpm.maxv,MAX(I772:L772),IF(_xlpm.total=0,"",IF(_xlpm.maxv/_xlpm.total&lt;0.5,"Mixed-Class",_xlfn.IFS(_xlpm.maxv=I772,"Assault",_xlpm.maxv=J772,"Engineer",_xlpm.maxv=K772,"Recon",_xlpm.maxv=L772,"Support"))))</f>
        <v/>
      </c>
      <c r="O772" t="str">
        <f t="shared" si="52"/>
        <v/>
      </c>
      <c r="P772" s="28" t="str">
        <f t="shared" si="53"/>
        <v/>
      </c>
    </row>
    <row r="773" spans="2:16" x14ac:dyDescent="0.25">
      <c r="B773">
        <v>7717</v>
      </c>
      <c r="H773" t="str">
        <f t="shared" si="50"/>
        <v/>
      </c>
      <c r="M773">
        <f t="shared" si="51"/>
        <v>0</v>
      </c>
      <c r="N773" t="str" cm="1">
        <f t="array" ref="N773">_xlfn.LET(_xlpm.total,SUM(I773:L773),_xlpm.maxv,MAX(I773:L773),IF(_xlpm.total=0,"",IF(_xlpm.maxv/_xlpm.total&lt;0.5,"Mixed-Class",_xlfn.IFS(_xlpm.maxv=I773,"Assault",_xlpm.maxv=J773,"Engineer",_xlpm.maxv=K773,"Recon",_xlpm.maxv=L773,"Support"))))</f>
        <v/>
      </c>
      <c r="O773" t="str">
        <f t="shared" si="52"/>
        <v/>
      </c>
      <c r="P773" s="28" t="str">
        <f t="shared" si="53"/>
        <v/>
      </c>
    </row>
    <row r="774" spans="2:16" x14ac:dyDescent="0.25">
      <c r="B774">
        <v>7727</v>
      </c>
      <c r="H774" t="str">
        <f t="shared" si="50"/>
        <v/>
      </c>
      <c r="M774">
        <f t="shared" si="51"/>
        <v>0</v>
      </c>
      <c r="N774" t="str" cm="1">
        <f t="array" ref="N774">_xlfn.LET(_xlpm.total,SUM(I774:L774),_xlpm.maxv,MAX(I774:L774),IF(_xlpm.total=0,"",IF(_xlpm.maxv/_xlpm.total&lt;0.5,"Mixed-Class",_xlfn.IFS(_xlpm.maxv=I774,"Assault",_xlpm.maxv=J774,"Engineer",_xlpm.maxv=K774,"Recon",_xlpm.maxv=L774,"Support"))))</f>
        <v/>
      </c>
      <c r="O774" t="str">
        <f t="shared" si="52"/>
        <v/>
      </c>
      <c r="P774" s="28" t="str">
        <f t="shared" si="53"/>
        <v/>
      </c>
    </row>
    <row r="775" spans="2:16" x14ac:dyDescent="0.25">
      <c r="B775">
        <v>7737</v>
      </c>
      <c r="H775" t="str">
        <f t="shared" si="50"/>
        <v/>
      </c>
      <c r="M775">
        <f t="shared" si="51"/>
        <v>0</v>
      </c>
      <c r="N775" t="str" cm="1">
        <f t="array" ref="N775">_xlfn.LET(_xlpm.total,SUM(I775:L775),_xlpm.maxv,MAX(I775:L775),IF(_xlpm.total=0,"",IF(_xlpm.maxv/_xlpm.total&lt;0.5,"Mixed-Class",_xlfn.IFS(_xlpm.maxv=I775,"Assault",_xlpm.maxv=J775,"Engineer",_xlpm.maxv=K775,"Recon",_xlpm.maxv=L775,"Support"))))</f>
        <v/>
      </c>
      <c r="O775" t="str">
        <f t="shared" si="52"/>
        <v/>
      </c>
      <c r="P775" s="28" t="str">
        <f t="shared" si="53"/>
        <v/>
      </c>
    </row>
    <row r="776" spans="2:16" x14ac:dyDescent="0.25">
      <c r="B776">
        <v>7747</v>
      </c>
      <c r="H776" t="str">
        <f t="shared" si="50"/>
        <v/>
      </c>
      <c r="M776">
        <f t="shared" si="51"/>
        <v>0</v>
      </c>
      <c r="N776" t="str" cm="1">
        <f t="array" ref="N776">_xlfn.LET(_xlpm.total,SUM(I776:L776),_xlpm.maxv,MAX(I776:L776),IF(_xlpm.total=0,"",IF(_xlpm.maxv/_xlpm.total&lt;0.5,"Mixed-Class",_xlfn.IFS(_xlpm.maxv=I776,"Assault",_xlpm.maxv=J776,"Engineer",_xlpm.maxv=K776,"Recon",_xlpm.maxv=L776,"Support"))))</f>
        <v/>
      </c>
      <c r="O776" t="str">
        <f t="shared" si="52"/>
        <v/>
      </c>
      <c r="P776" s="28" t="str">
        <f t="shared" si="53"/>
        <v/>
      </c>
    </row>
    <row r="777" spans="2:16" x14ac:dyDescent="0.25">
      <c r="B777">
        <v>7757</v>
      </c>
      <c r="H777" t="str">
        <f t="shared" si="50"/>
        <v/>
      </c>
      <c r="M777">
        <f t="shared" si="51"/>
        <v>0</v>
      </c>
      <c r="N777" t="str" cm="1">
        <f t="array" ref="N777">_xlfn.LET(_xlpm.total,SUM(I777:L777),_xlpm.maxv,MAX(I777:L777),IF(_xlpm.total=0,"",IF(_xlpm.maxv/_xlpm.total&lt;0.5,"Mixed-Class",_xlfn.IFS(_xlpm.maxv=I777,"Assault",_xlpm.maxv=J777,"Engineer",_xlpm.maxv=K777,"Recon",_xlpm.maxv=L777,"Support"))))</f>
        <v/>
      </c>
      <c r="O777" t="str">
        <f t="shared" si="52"/>
        <v/>
      </c>
      <c r="P777" s="28" t="str">
        <f t="shared" si="53"/>
        <v/>
      </c>
    </row>
    <row r="778" spans="2:16" x14ac:dyDescent="0.25">
      <c r="B778">
        <v>7767</v>
      </c>
      <c r="H778" t="str">
        <f t="shared" si="50"/>
        <v/>
      </c>
      <c r="M778">
        <f t="shared" si="51"/>
        <v>0</v>
      </c>
      <c r="N778" t="str" cm="1">
        <f t="array" ref="N778">_xlfn.LET(_xlpm.total,SUM(I778:L778),_xlpm.maxv,MAX(I778:L778),IF(_xlpm.total=0,"",IF(_xlpm.maxv/_xlpm.total&lt;0.5,"Mixed-Class",_xlfn.IFS(_xlpm.maxv=I778,"Assault",_xlpm.maxv=J778,"Engineer",_xlpm.maxv=K778,"Recon",_xlpm.maxv=L778,"Support"))))</f>
        <v/>
      </c>
      <c r="O778" t="str">
        <f t="shared" si="52"/>
        <v/>
      </c>
      <c r="P778" s="28" t="str">
        <f t="shared" si="53"/>
        <v/>
      </c>
    </row>
    <row r="779" spans="2:16" x14ac:dyDescent="0.25">
      <c r="B779">
        <v>7777</v>
      </c>
      <c r="H779" t="str">
        <f t="shared" si="50"/>
        <v/>
      </c>
      <c r="M779">
        <f t="shared" si="51"/>
        <v>0</v>
      </c>
      <c r="N779" t="str" cm="1">
        <f t="array" ref="N779">_xlfn.LET(_xlpm.total,SUM(I779:L779),_xlpm.maxv,MAX(I779:L779),IF(_xlpm.total=0,"",IF(_xlpm.maxv/_xlpm.total&lt;0.5,"Mixed-Class",_xlfn.IFS(_xlpm.maxv=I779,"Assault",_xlpm.maxv=J779,"Engineer",_xlpm.maxv=K779,"Recon",_xlpm.maxv=L779,"Support"))))</f>
        <v/>
      </c>
      <c r="O779" t="str">
        <f t="shared" si="52"/>
        <v/>
      </c>
      <c r="P779" s="28" t="str">
        <f t="shared" si="53"/>
        <v/>
      </c>
    </row>
    <row r="780" spans="2:16" x14ac:dyDescent="0.25">
      <c r="B780">
        <v>7787</v>
      </c>
      <c r="H780" t="str">
        <f t="shared" si="50"/>
        <v/>
      </c>
      <c r="M780">
        <f t="shared" si="51"/>
        <v>0</v>
      </c>
      <c r="N780" t="str" cm="1">
        <f t="array" ref="N780">_xlfn.LET(_xlpm.total,SUM(I780:L780),_xlpm.maxv,MAX(I780:L780),IF(_xlpm.total=0,"",IF(_xlpm.maxv/_xlpm.total&lt;0.5,"Mixed-Class",_xlfn.IFS(_xlpm.maxv=I780,"Assault",_xlpm.maxv=J780,"Engineer",_xlpm.maxv=K780,"Recon",_xlpm.maxv=L780,"Support"))))</f>
        <v/>
      </c>
      <c r="O780" t="str">
        <f t="shared" si="52"/>
        <v/>
      </c>
      <c r="P780" s="28" t="str">
        <f t="shared" si="53"/>
        <v/>
      </c>
    </row>
    <row r="781" spans="2:16" x14ac:dyDescent="0.25">
      <c r="B781">
        <v>7797</v>
      </c>
      <c r="H781" t="str">
        <f t="shared" si="50"/>
        <v/>
      </c>
      <c r="M781">
        <f t="shared" si="51"/>
        <v>0</v>
      </c>
      <c r="N781" t="str" cm="1">
        <f t="array" ref="N781">_xlfn.LET(_xlpm.total,SUM(I781:L781),_xlpm.maxv,MAX(I781:L781),IF(_xlpm.total=0,"",IF(_xlpm.maxv/_xlpm.total&lt;0.5,"Mixed-Class",_xlfn.IFS(_xlpm.maxv=I781,"Assault",_xlpm.maxv=J781,"Engineer",_xlpm.maxv=K781,"Recon",_xlpm.maxv=L781,"Support"))))</f>
        <v/>
      </c>
      <c r="O781" t="str">
        <f t="shared" si="52"/>
        <v/>
      </c>
      <c r="P781" s="28" t="str">
        <f t="shared" si="53"/>
        <v/>
      </c>
    </row>
    <row r="782" spans="2:16" x14ac:dyDescent="0.25">
      <c r="B782">
        <v>7807</v>
      </c>
      <c r="H782" t="str">
        <f t="shared" si="50"/>
        <v/>
      </c>
      <c r="M782">
        <f t="shared" si="51"/>
        <v>0</v>
      </c>
      <c r="N782" t="str" cm="1">
        <f t="array" ref="N782">_xlfn.LET(_xlpm.total,SUM(I782:L782),_xlpm.maxv,MAX(I782:L782),IF(_xlpm.total=0,"",IF(_xlpm.maxv/_xlpm.total&lt;0.5,"Mixed-Class",_xlfn.IFS(_xlpm.maxv=I782,"Assault",_xlpm.maxv=J782,"Engineer",_xlpm.maxv=K782,"Recon",_xlpm.maxv=L782,"Support"))))</f>
        <v/>
      </c>
      <c r="O782" t="str">
        <f t="shared" si="52"/>
        <v/>
      </c>
      <c r="P782" s="28" t="str">
        <f t="shared" si="53"/>
        <v/>
      </c>
    </row>
    <row r="783" spans="2:16" x14ac:dyDescent="0.25">
      <c r="B783">
        <v>7817</v>
      </c>
      <c r="H783" t="str">
        <f t="shared" si="50"/>
        <v/>
      </c>
      <c r="M783">
        <f t="shared" si="51"/>
        <v>0</v>
      </c>
      <c r="N783" t="str" cm="1">
        <f t="array" ref="N783">_xlfn.LET(_xlpm.total,SUM(I783:L783),_xlpm.maxv,MAX(I783:L783),IF(_xlpm.total=0,"",IF(_xlpm.maxv/_xlpm.total&lt;0.5,"Mixed-Class",_xlfn.IFS(_xlpm.maxv=I783,"Assault",_xlpm.maxv=J783,"Engineer",_xlpm.maxv=K783,"Recon",_xlpm.maxv=L783,"Support"))))</f>
        <v/>
      </c>
      <c r="O783" t="str">
        <f t="shared" si="52"/>
        <v/>
      </c>
      <c r="P783" s="28" t="str">
        <f t="shared" si="53"/>
        <v/>
      </c>
    </row>
    <row r="784" spans="2:16" x14ac:dyDescent="0.25">
      <c r="B784">
        <v>7827</v>
      </c>
      <c r="H784" t="str">
        <f t="shared" si="50"/>
        <v/>
      </c>
      <c r="M784">
        <f t="shared" si="51"/>
        <v>0</v>
      </c>
      <c r="N784" t="str" cm="1">
        <f t="array" ref="N784">_xlfn.LET(_xlpm.total,SUM(I784:L784),_xlpm.maxv,MAX(I784:L784),IF(_xlpm.total=0,"",IF(_xlpm.maxv/_xlpm.total&lt;0.5,"Mixed-Class",_xlfn.IFS(_xlpm.maxv=I784,"Assault",_xlpm.maxv=J784,"Engineer",_xlpm.maxv=K784,"Recon",_xlpm.maxv=L784,"Support"))))</f>
        <v/>
      </c>
      <c r="O784" t="str">
        <f t="shared" si="52"/>
        <v/>
      </c>
      <c r="P784" s="28" t="str">
        <f t="shared" si="53"/>
        <v/>
      </c>
    </row>
    <row r="785" spans="2:16" x14ac:dyDescent="0.25">
      <c r="B785">
        <v>7837</v>
      </c>
      <c r="H785" t="str">
        <f t="shared" si="50"/>
        <v/>
      </c>
      <c r="M785">
        <f t="shared" si="51"/>
        <v>0</v>
      </c>
      <c r="N785" t="str" cm="1">
        <f t="array" ref="N785">_xlfn.LET(_xlpm.total,SUM(I785:L785),_xlpm.maxv,MAX(I785:L785),IF(_xlpm.total=0,"",IF(_xlpm.maxv/_xlpm.total&lt;0.5,"Mixed-Class",_xlfn.IFS(_xlpm.maxv=I785,"Assault",_xlpm.maxv=J785,"Engineer",_xlpm.maxv=K785,"Recon",_xlpm.maxv=L785,"Support"))))</f>
        <v/>
      </c>
      <c r="O785" t="str">
        <f t="shared" si="52"/>
        <v/>
      </c>
      <c r="P785" s="28" t="str">
        <f t="shared" si="53"/>
        <v/>
      </c>
    </row>
    <row r="786" spans="2:16" x14ac:dyDescent="0.25">
      <c r="B786">
        <v>7847</v>
      </c>
      <c r="H786" t="str">
        <f t="shared" si="50"/>
        <v/>
      </c>
      <c r="M786">
        <f t="shared" si="51"/>
        <v>0</v>
      </c>
      <c r="N786" t="str" cm="1">
        <f t="array" ref="N786">_xlfn.LET(_xlpm.total,SUM(I786:L786),_xlpm.maxv,MAX(I786:L786),IF(_xlpm.total=0,"",IF(_xlpm.maxv/_xlpm.total&lt;0.5,"Mixed-Class",_xlfn.IFS(_xlpm.maxv=I786,"Assault",_xlpm.maxv=J786,"Engineer",_xlpm.maxv=K786,"Recon",_xlpm.maxv=L786,"Support"))))</f>
        <v/>
      </c>
      <c r="O786" t="str">
        <f t="shared" si="52"/>
        <v/>
      </c>
      <c r="P786" s="28" t="str">
        <f t="shared" si="53"/>
        <v/>
      </c>
    </row>
    <row r="787" spans="2:16" x14ac:dyDescent="0.25">
      <c r="B787">
        <v>7857</v>
      </c>
      <c r="H787" t="str">
        <f t="shared" si="50"/>
        <v/>
      </c>
      <c r="M787">
        <f t="shared" si="51"/>
        <v>0</v>
      </c>
      <c r="N787" t="str" cm="1">
        <f t="array" ref="N787">_xlfn.LET(_xlpm.total,SUM(I787:L787),_xlpm.maxv,MAX(I787:L787),IF(_xlpm.total=0,"",IF(_xlpm.maxv/_xlpm.total&lt;0.5,"Mixed-Class",_xlfn.IFS(_xlpm.maxv=I787,"Assault",_xlpm.maxv=J787,"Engineer",_xlpm.maxv=K787,"Recon",_xlpm.maxv=L787,"Support"))))</f>
        <v/>
      </c>
      <c r="O787" t="str">
        <f t="shared" si="52"/>
        <v/>
      </c>
      <c r="P787" s="28" t="str">
        <f t="shared" si="53"/>
        <v/>
      </c>
    </row>
    <row r="788" spans="2:16" x14ac:dyDescent="0.25">
      <c r="B788">
        <v>7867</v>
      </c>
      <c r="H788" t="str">
        <f t="shared" si="50"/>
        <v/>
      </c>
      <c r="M788">
        <f t="shared" si="51"/>
        <v>0</v>
      </c>
      <c r="N788" t="str" cm="1">
        <f t="array" ref="N788">_xlfn.LET(_xlpm.total,SUM(I788:L788),_xlpm.maxv,MAX(I788:L788),IF(_xlpm.total=0,"",IF(_xlpm.maxv/_xlpm.total&lt;0.5,"Mixed-Class",_xlfn.IFS(_xlpm.maxv=I788,"Assault",_xlpm.maxv=J788,"Engineer",_xlpm.maxv=K788,"Recon",_xlpm.maxv=L788,"Support"))))</f>
        <v/>
      </c>
      <c r="O788" t="str">
        <f t="shared" si="52"/>
        <v/>
      </c>
      <c r="P788" s="28" t="str">
        <f t="shared" si="53"/>
        <v/>
      </c>
    </row>
    <row r="789" spans="2:16" x14ac:dyDescent="0.25">
      <c r="B789">
        <v>7877</v>
      </c>
      <c r="H789" t="str">
        <f t="shared" si="50"/>
        <v/>
      </c>
      <c r="M789">
        <f t="shared" si="51"/>
        <v>0</v>
      </c>
      <c r="N789" t="str" cm="1">
        <f t="array" ref="N789">_xlfn.LET(_xlpm.total,SUM(I789:L789),_xlpm.maxv,MAX(I789:L789),IF(_xlpm.total=0,"",IF(_xlpm.maxv/_xlpm.total&lt;0.5,"Mixed-Class",_xlfn.IFS(_xlpm.maxv=I789,"Assault",_xlpm.maxv=J789,"Engineer",_xlpm.maxv=K789,"Recon",_xlpm.maxv=L789,"Support"))))</f>
        <v/>
      </c>
      <c r="O789" t="str">
        <f t="shared" si="52"/>
        <v/>
      </c>
      <c r="P789" s="28" t="str">
        <f t="shared" si="53"/>
        <v/>
      </c>
    </row>
    <row r="790" spans="2:16" x14ac:dyDescent="0.25">
      <c r="B790">
        <v>7887</v>
      </c>
      <c r="H790" t="str">
        <f t="shared" si="50"/>
        <v/>
      </c>
      <c r="M790">
        <f t="shared" si="51"/>
        <v>0</v>
      </c>
      <c r="N790" t="str" cm="1">
        <f t="array" ref="N790">_xlfn.LET(_xlpm.total,SUM(I790:L790),_xlpm.maxv,MAX(I790:L790),IF(_xlpm.total=0,"",IF(_xlpm.maxv/_xlpm.total&lt;0.5,"Mixed-Class",_xlfn.IFS(_xlpm.maxv=I790,"Assault",_xlpm.maxv=J790,"Engineer",_xlpm.maxv=K790,"Recon",_xlpm.maxv=L790,"Support"))))</f>
        <v/>
      </c>
      <c r="O790" t="str">
        <f t="shared" si="52"/>
        <v/>
      </c>
      <c r="P790" s="28" t="str">
        <f t="shared" si="53"/>
        <v/>
      </c>
    </row>
    <row r="791" spans="2:16" x14ac:dyDescent="0.25">
      <c r="B791">
        <v>7897</v>
      </c>
      <c r="H791" t="str">
        <f t="shared" si="50"/>
        <v/>
      </c>
      <c r="M791">
        <f t="shared" si="51"/>
        <v>0</v>
      </c>
      <c r="N791" t="str" cm="1">
        <f t="array" ref="N791">_xlfn.LET(_xlpm.total,SUM(I791:L791),_xlpm.maxv,MAX(I791:L791),IF(_xlpm.total=0,"",IF(_xlpm.maxv/_xlpm.total&lt;0.5,"Mixed-Class",_xlfn.IFS(_xlpm.maxv=I791,"Assault",_xlpm.maxv=J791,"Engineer",_xlpm.maxv=K791,"Recon",_xlpm.maxv=L791,"Support"))))</f>
        <v/>
      </c>
      <c r="O791" t="str">
        <f t="shared" si="52"/>
        <v/>
      </c>
      <c r="P791" s="28" t="str">
        <f t="shared" si="53"/>
        <v/>
      </c>
    </row>
    <row r="792" spans="2:16" x14ac:dyDescent="0.25">
      <c r="B792">
        <v>7907</v>
      </c>
      <c r="H792" t="str">
        <f t="shared" si="50"/>
        <v/>
      </c>
      <c r="M792">
        <f t="shared" si="51"/>
        <v>0</v>
      </c>
      <c r="N792" t="str" cm="1">
        <f t="array" ref="N792">_xlfn.LET(_xlpm.total,SUM(I792:L792),_xlpm.maxv,MAX(I792:L792),IF(_xlpm.total=0,"",IF(_xlpm.maxv/_xlpm.total&lt;0.5,"Mixed-Class",_xlfn.IFS(_xlpm.maxv=I792,"Assault",_xlpm.maxv=J792,"Engineer",_xlpm.maxv=K792,"Recon",_xlpm.maxv=L792,"Support"))))</f>
        <v/>
      </c>
      <c r="O792" t="str">
        <f t="shared" si="52"/>
        <v/>
      </c>
      <c r="P792" s="28" t="str">
        <f t="shared" si="53"/>
        <v/>
      </c>
    </row>
    <row r="793" spans="2:16" x14ac:dyDescent="0.25">
      <c r="B793">
        <v>7917</v>
      </c>
      <c r="H793" t="str">
        <f t="shared" si="50"/>
        <v/>
      </c>
      <c r="M793">
        <f t="shared" si="51"/>
        <v>0</v>
      </c>
      <c r="N793" t="str" cm="1">
        <f t="array" ref="N793">_xlfn.LET(_xlpm.total,SUM(I793:L793),_xlpm.maxv,MAX(I793:L793),IF(_xlpm.total=0,"",IF(_xlpm.maxv/_xlpm.total&lt;0.5,"Mixed-Class",_xlfn.IFS(_xlpm.maxv=I793,"Assault",_xlpm.maxv=J793,"Engineer",_xlpm.maxv=K793,"Recon",_xlpm.maxv=L793,"Support"))))</f>
        <v/>
      </c>
      <c r="O793" t="str">
        <f t="shared" si="52"/>
        <v/>
      </c>
      <c r="P793" s="28" t="str">
        <f t="shared" si="53"/>
        <v/>
      </c>
    </row>
    <row r="794" spans="2:16" x14ac:dyDescent="0.25">
      <c r="B794">
        <v>7927</v>
      </c>
      <c r="H794" t="str">
        <f t="shared" si="50"/>
        <v/>
      </c>
      <c r="M794">
        <f t="shared" si="51"/>
        <v>0</v>
      </c>
      <c r="N794" t="str" cm="1">
        <f t="array" ref="N794">_xlfn.LET(_xlpm.total,SUM(I794:L794),_xlpm.maxv,MAX(I794:L794),IF(_xlpm.total=0,"",IF(_xlpm.maxv/_xlpm.total&lt;0.5,"Mixed-Class",_xlfn.IFS(_xlpm.maxv=I794,"Assault",_xlpm.maxv=J794,"Engineer",_xlpm.maxv=K794,"Recon",_xlpm.maxv=L794,"Support"))))</f>
        <v/>
      </c>
      <c r="O794" t="str">
        <f t="shared" si="52"/>
        <v/>
      </c>
      <c r="P794" s="28" t="str">
        <f t="shared" si="53"/>
        <v/>
      </c>
    </row>
    <row r="795" spans="2:16" x14ac:dyDescent="0.25">
      <c r="B795">
        <v>7937</v>
      </c>
      <c r="H795" t="str">
        <f t="shared" si="50"/>
        <v/>
      </c>
      <c r="M795">
        <f t="shared" si="51"/>
        <v>0</v>
      </c>
      <c r="N795" t="str" cm="1">
        <f t="array" ref="N795">_xlfn.LET(_xlpm.total,SUM(I795:L795),_xlpm.maxv,MAX(I795:L795),IF(_xlpm.total=0,"",IF(_xlpm.maxv/_xlpm.total&lt;0.5,"Mixed-Class",_xlfn.IFS(_xlpm.maxv=I795,"Assault",_xlpm.maxv=J795,"Engineer",_xlpm.maxv=K795,"Recon",_xlpm.maxv=L795,"Support"))))</f>
        <v/>
      </c>
      <c r="O795" t="str">
        <f t="shared" si="52"/>
        <v/>
      </c>
      <c r="P795" s="28" t="str">
        <f t="shared" si="53"/>
        <v/>
      </c>
    </row>
    <row r="796" spans="2:16" x14ac:dyDescent="0.25">
      <c r="B796">
        <v>7947</v>
      </c>
      <c r="H796" t="str">
        <f t="shared" si="50"/>
        <v/>
      </c>
      <c r="M796">
        <f t="shared" si="51"/>
        <v>0</v>
      </c>
      <c r="N796" t="str" cm="1">
        <f t="array" ref="N796">_xlfn.LET(_xlpm.total,SUM(I796:L796),_xlpm.maxv,MAX(I796:L796),IF(_xlpm.total=0,"",IF(_xlpm.maxv/_xlpm.total&lt;0.5,"Mixed-Class",_xlfn.IFS(_xlpm.maxv=I796,"Assault",_xlpm.maxv=J796,"Engineer",_xlpm.maxv=K796,"Recon",_xlpm.maxv=L796,"Support"))))</f>
        <v/>
      </c>
      <c r="O796" t="str">
        <f t="shared" si="52"/>
        <v/>
      </c>
      <c r="P796" s="28" t="str">
        <f t="shared" si="53"/>
        <v/>
      </c>
    </row>
    <row r="797" spans="2:16" x14ac:dyDescent="0.25">
      <c r="B797">
        <v>7957</v>
      </c>
      <c r="H797" t="str">
        <f t="shared" si="50"/>
        <v/>
      </c>
      <c r="M797">
        <f t="shared" si="51"/>
        <v>0</v>
      </c>
      <c r="N797" t="str" cm="1">
        <f t="array" ref="N797">_xlfn.LET(_xlpm.total,SUM(I797:L797),_xlpm.maxv,MAX(I797:L797),IF(_xlpm.total=0,"",IF(_xlpm.maxv/_xlpm.total&lt;0.5,"Mixed-Class",_xlfn.IFS(_xlpm.maxv=I797,"Assault",_xlpm.maxv=J797,"Engineer",_xlpm.maxv=K797,"Recon",_xlpm.maxv=L797,"Support"))))</f>
        <v/>
      </c>
      <c r="O797" t="str">
        <f t="shared" si="52"/>
        <v/>
      </c>
      <c r="P797" s="28" t="str">
        <f t="shared" si="53"/>
        <v/>
      </c>
    </row>
    <row r="798" spans="2:16" x14ac:dyDescent="0.25">
      <c r="B798">
        <v>7967</v>
      </c>
      <c r="H798" t="str">
        <f t="shared" si="50"/>
        <v/>
      </c>
      <c r="M798">
        <f t="shared" si="51"/>
        <v>0</v>
      </c>
      <c r="N798" t="str" cm="1">
        <f t="array" ref="N798">_xlfn.LET(_xlpm.total,SUM(I798:L798),_xlpm.maxv,MAX(I798:L798),IF(_xlpm.total=0,"",IF(_xlpm.maxv/_xlpm.total&lt;0.5,"Mixed-Class",_xlfn.IFS(_xlpm.maxv=I798,"Assault",_xlpm.maxv=J798,"Engineer",_xlpm.maxv=K798,"Recon",_xlpm.maxv=L798,"Support"))))</f>
        <v/>
      </c>
      <c r="O798" t="str">
        <f t="shared" si="52"/>
        <v/>
      </c>
      <c r="P798" s="28" t="str">
        <f t="shared" si="53"/>
        <v/>
      </c>
    </row>
    <row r="799" spans="2:16" x14ac:dyDescent="0.25">
      <c r="B799">
        <v>7977</v>
      </c>
      <c r="H799" t="str">
        <f t="shared" si="50"/>
        <v/>
      </c>
      <c r="M799">
        <f t="shared" si="51"/>
        <v>0</v>
      </c>
      <c r="N799" t="str" cm="1">
        <f t="array" ref="N799">_xlfn.LET(_xlpm.total,SUM(I799:L799),_xlpm.maxv,MAX(I799:L799),IF(_xlpm.total=0,"",IF(_xlpm.maxv/_xlpm.total&lt;0.5,"Mixed-Class",_xlfn.IFS(_xlpm.maxv=I799,"Assault",_xlpm.maxv=J799,"Engineer",_xlpm.maxv=K799,"Recon",_xlpm.maxv=L799,"Support"))))</f>
        <v/>
      </c>
      <c r="O799" t="str">
        <f t="shared" si="52"/>
        <v/>
      </c>
      <c r="P799" s="28" t="str">
        <f t="shared" si="53"/>
        <v/>
      </c>
    </row>
    <row r="800" spans="2:16" x14ac:dyDescent="0.25">
      <c r="B800">
        <v>7987</v>
      </c>
      <c r="H800" t="str">
        <f t="shared" si="50"/>
        <v/>
      </c>
      <c r="M800">
        <f t="shared" si="51"/>
        <v>0</v>
      </c>
      <c r="N800" t="str" cm="1">
        <f t="array" ref="N800">_xlfn.LET(_xlpm.total,SUM(I800:L800),_xlpm.maxv,MAX(I800:L800),IF(_xlpm.total=0,"",IF(_xlpm.maxv/_xlpm.total&lt;0.5,"Mixed-Class",_xlfn.IFS(_xlpm.maxv=I800,"Assault",_xlpm.maxv=J800,"Engineer",_xlpm.maxv=K800,"Recon",_xlpm.maxv=L800,"Support"))))</f>
        <v/>
      </c>
      <c r="O800" t="str">
        <f t="shared" si="52"/>
        <v/>
      </c>
      <c r="P800" s="28" t="str">
        <f t="shared" si="53"/>
        <v/>
      </c>
    </row>
    <row r="801" spans="2:16" x14ac:dyDescent="0.25">
      <c r="B801">
        <v>7997</v>
      </c>
      <c r="H801" t="str">
        <f t="shared" si="50"/>
        <v/>
      </c>
      <c r="M801">
        <f t="shared" si="51"/>
        <v>0</v>
      </c>
      <c r="N801" t="str" cm="1">
        <f t="array" ref="N801">_xlfn.LET(_xlpm.total,SUM(I801:L801),_xlpm.maxv,MAX(I801:L801),IF(_xlpm.total=0,"",IF(_xlpm.maxv/_xlpm.total&lt;0.5,"Mixed-Class",_xlfn.IFS(_xlpm.maxv=I801,"Assault",_xlpm.maxv=J801,"Engineer",_xlpm.maxv=K801,"Recon",_xlpm.maxv=L801,"Support"))))</f>
        <v/>
      </c>
      <c r="O801" t="str">
        <f t="shared" si="52"/>
        <v/>
      </c>
      <c r="P801" s="28" t="str">
        <f t="shared" si="53"/>
        <v/>
      </c>
    </row>
    <row r="802" spans="2:16" x14ac:dyDescent="0.25">
      <c r="B802">
        <v>8007</v>
      </c>
      <c r="H802" t="str">
        <f t="shared" si="50"/>
        <v/>
      </c>
      <c r="M802">
        <f t="shared" si="51"/>
        <v>0</v>
      </c>
      <c r="N802" t="str" cm="1">
        <f t="array" ref="N802">_xlfn.LET(_xlpm.total,SUM(I802:L802),_xlpm.maxv,MAX(I802:L802),IF(_xlpm.total=0,"",IF(_xlpm.maxv/_xlpm.total&lt;0.5,"Mixed-Class",_xlfn.IFS(_xlpm.maxv=I802,"Assault",_xlpm.maxv=J802,"Engineer",_xlpm.maxv=K802,"Recon",_xlpm.maxv=L802,"Support"))))</f>
        <v/>
      </c>
      <c r="O802" t="str">
        <f t="shared" si="52"/>
        <v/>
      </c>
      <c r="P802" s="28" t="str">
        <f t="shared" si="53"/>
        <v/>
      </c>
    </row>
    <row r="803" spans="2:16" x14ac:dyDescent="0.25">
      <c r="B803">
        <v>8017</v>
      </c>
      <c r="H803" t="str">
        <f t="shared" si="50"/>
        <v/>
      </c>
      <c r="M803">
        <f t="shared" si="51"/>
        <v>0</v>
      </c>
      <c r="N803" t="str" cm="1">
        <f t="array" ref="N803">_xlfn.LET(_xlpm.total,SUM(I803:L803),_xlpm.maxv,MAX(I803:L803),IF(_xlpm.total=0,"",IF(_xlpm.maxv/_xlpm.total&lt;0.5,"Mixed-Class",_xlfn.IFS(_xlpm.maxv=I803,"Assault",_xlpm.maxv=J803,"Engineer",_xlpm.maxv=K803,"Recon",_xlpm.maxv=L803,"Support"))))</f>
        <v/>
      </c>
      <c r="O803" t="str">
        <f t="shared" si="52"/>
        <v/>
      </c>
      <c r="P803" s="28" t="str">
        <f t="shared" si="53"/>
        <v/>
      </c>
    </row>
    <row r="804" spans="2:16" x14ac:dyDescent="0.25">
      <c r="B804">
        <v>8027</v>
      </c>
      <c r="H804" t="str">
        <f t="shared" si="50"/>
        <v/>
      </c>
      <c r="M804">
        <f t="shared" si="51"/>
        <v>0</v>
      </c>
      <c r="N804" t="str" cm="1">
        <f t="array" ref="N804">_xlfn.LET(_xlpm.total,SUM(I804:L804),_xlpm.maxv,MAX(I804:L804),IF(_xlpm.total=0,"",IF(_xlpm.maxv/_xlpm.total&lt;0.5,"Mixed-Class",_xlfn.IFS(_xlpm.maxv=I804,"Assault",_xlpm.maxv=J804,"Engineer",_xlpm.maxv=K804,"Recon",_xlpm.maxv=L804,"Support"))))</f>
        <v/>
      </c>
      <c r="O804" t="str">
        <f t="shared" si="52"/>
        <v/>
      </c>
      <c r="P804" s="28" t="str">
        <f t="shared" si="53"/>
        <v/>
      </c>
    </row>
    <row r="805" spans="2:16" x14ac:dyDescent="0.25">
      <c r="B805">
        <v>8037</v>
      </c>
      <c r="H805" t="str">
        <f t="shared" si="50"/>
        <v/>
      </c>
      <c r="M805">
        <f t="shared" si="51"/>
        <v>0</v>
      </c>
      <c r="N805" t="str" cm="1">
        <f t="array" ref="N805">_xlfn.LET(_xlpm.total,SUM(I805:L805),_xlpm.maxv,MAX(I805:L805),IF(_xlpm.total=0,"",IF(_xlpm.maxv/_xlpm.total&lt;0.5,"Mixed-Class",_xlfn.IFS(_xlpm.maxv=I805,"Assault",_xlpm.maxv=J805,"Engineer",_xlpm.maxv=K805,"Recon",_xlpm.maxv=L805,"Support"))))</f>
        <v/>
      </c>
      <c r="O805" t="str">
        <f t="shared" si="52"/>
        <v/>
      </c>
      <c r="P805" s="28" t="str">
        <f t="shared" si="53"/>
        <v/>
      </c>
    </row>
    <row r="806" spans="2:16" x14ac:dyDescent="0.25">
      <c r="B806">
        <v>8047</v>
      </c>
      <c r="H806" t="str">
        <f t="shared" si="50"/>
        <v/>
      </c>
      <c r="M806">
        <f t="shared" si="51"/>
        <v>0</v>
      </c>
      <c r="N806" t="str" cm="1">
        <f t="array" ref="N806">_xlfn.LET(_xlpm.total,SUM(I806:L806),_xlpm.maxv,MAX(I806:L806),IF(_xlpm.total=0,"",IF(_xlpm.maxv/_xlpm.total&lt;0.5,"Mixed-Class",_xlfn.IFS(_xlpm.maxv=I806,"Assault",_xlpm.maxv=J806,"Engineer",_xlpm.maxv=K806,"Recon",_xlpm.maxv=L806,"Support"))))</f>
        <v/>
      </c>
      <c r="O806" t="str">
        <f t="shared" si="52"/>
        <v/>
      </c>
      <c r="P806" s="28" t="str">
        <f t="shared" si="53"/>
        <v/>
      </c>
    </row>
    <row r="807" spans="2:16" x14ac:dyDescent="0.25">
      <c r="B807">
        <v>8057</v>
      </c>
      <c r="H807" t="str">
        <f t="shared" si="50"/>
        <v/>
      </c>
      <c r="M807">
        <f t="shared" si="51"/>
        <v>0</v>
      </c>
      <c r="N807" t="str" cm="1">
        <f t="array" ref="N807">_xlfn.LET(_xlpm.total,SUM(I807:L807),_xlpm.maxv,MAX(I807:L807),IF(_xlpm.total=0,"",IF(_xlpm.maxv/_xlpm.total&lt;0.5,"Mixed-Class",_xlfn.IFS(_xlpm.maxv=I807,"Assault",_xlpm.maxv=J807,"Engineer",_xlpm.maxv=K807,"Recon",_xlpm.maxv=L807,"Support"))))</f>
        <v/>
      </c>
      <c r="O807" t="str">
        <f t="shared" si="52"/>
        <v/>
      </c>
      <c r="P807" s="28" t="str">
        <f t="shared" si="53"/>
        <v/>
      </c>
    </row>
    <row r="808" spans="2:16" x14ac:dyDescent="0.25">
      <c r="B808">
        <v>8067</v>
      </c>
      <c r="H808" t="str">
        <f t="shared" si="50"/>
        <v/>
      </c>
      <c r="M808">
        <f t="shared" si="51"/>
        <v>0</v>
      </c>
      <c r="N808" t="str" cm="1">
        <f t="array" ref="N808">_xlfn.LET(_xlpm.total,SUM(I808:L808),_xlpm.maxv,MAX(I808:L808),IF(_xlpm.total=0,"",IF(_xlpm.maxv/_xlpm.total&lt;0.5,"Mixed-Class",_xlfn.IFS(_xlpm.maxv=I808,"Assault",_xlpm.maxv=J808,"Engineer",_xlpm.maxv=K808,"Recon",_xlpm.maxv=L808,"Support"))))</f>
        <v/>
      </c>
      <c r="O808" t="str">
        <f t="shared" si="52"/>
        <v/>
      </c>
      <c r="P808" s="28" t="str">
        <f t="shared" si="53"/>
        <v/>
      </c>
    </row>
    <row r="809" spans="2:16" x14ac:dyDescent="0.25">
      <c r="B809">
        <v>8077</v>
      </c>
      <c r="H809" t="str">
        <f t="shared" si="50"/>
        <v/>
      </c>
      <c r="M809">
        <f t="shared" si="51"/>
        <v>0</v>
      </c>
      <c r="N809" t="str" cm="1">
        <f t="array" ref="N809">_xlfn.LET(_xlpm.total,SUM(I809:L809),_xlpm.maxv,MAX(I809:L809),IF(_xlpm.total=0,"",IF(_xlpm.maxv/_xlpm.total&lt;0.5,"Mixed-Class",_xlfn.IFS(_xlpm.maxv=I809,"Assault",_xlpm.maxv=J809,"Engineer",_xlpm.maxv=K809,"Recon",_xlpm.maxv=L809,"Support"))))</f>
        <v/>
      </c>
      <c r="O809" t="str">
        <f t="shared" si="52"/>
        <v/>
      </c>
      <c r="P809" s="28" t="str">
        <f t="shared" si="53"/>
        <v/>
      </c>
    </row>
    <row r="810" spans="2:16" x14ac:dyDescent="0.25">
      <c r="B810">
        <v>8087</v>
      </c>
      <c r="H810" t="str">
        <f t="shared" si="50"/>
        <v/>
      </c>
      <c r="M810">
        <f t="shared" si="51"/>
        <v>0</v>
      </c>
      <c r="N810" t="str" cm="1">
        <f t="array" ref="N810">_xlfn.LET(_xlpm.total,SUM(I810:L810),_xlpm.maxv,MAX(I810:L810),IF(_xlpm.total=0,"",IF(_xlpm.maxv/_xlpm.total&lt;0.5,"Mixed-Class",_xlfn.IFS(_xlpm.maxv=I810,"Assault",_xlpm.maxv=J810,"Engineer",_xlpm.maxv=K810,"Recon",_xlpm.maxv=L810,"Support"))))</f>
        <v/>
      </c>
      <c r="O810" t="str">
        <f t="shared" si="52"/>
        <v/>
      </c>
      <c r="P810" s="28" t="str">
        <f t="shared" si="53"/>
        <v/>
      </c>
    </row>
    <row r="811" spans="2:16" x14ac:dyDescent="0.25">
      <c r="B811">
        <v>8097</v>
      </c>
      <c r="H811" t="str">
        <f t="shared" si="50"/>
        <v/>
      </c>
      <c r="M811">
        <f t="shared" si="51"/>
        <v>0</v>
      </c>
      <c r="N811" t="str" cm="1">
        <f t="array" ref="N811">_xlfn.LET(_xlpm.total,SUM(I811:L811),_xlpm.maxv,MAX(I811:L811),IF(_xlpm.total=0,"",IF(_xlpm.maxv/_xlpm.total&lt;0.5,"Mixed-Class",_xlfn.IFS(_xlpm.maxv=I811,"Assault",_xlpm.maxv=J811,"Engineer",_xlpm.maxv=K811,"Recon",_xlpm.maxv=L811,"Support"))))</f>
        <v/>
      </c>
      <c r="O811" t="str">
        <f t="shared" si="52"/>
        <v/>
      </c>
      <c r="P811" s="28" t="str">
        <f t="shared" si="53"/>
        <v/>
      </c>
    </row>
    <row r="812" spans="2:16" x14ac:dyDescent="0.25">
      <c r="B812">
        <v>8107</v>
      </c>
      <c r="H812" t="str">
        <f t="shared" si="50"/>
        <v/>
      </c>
      <c r="M812">
        <f t="shared" si="51"/>
        <v>0</v>
      </c>
      <c r="N812" t="str" cm="1">
        <f t="array" ref="N812">_xlfn.LET(_xlpm.total,SUM(I812:L812),_xlpm.maxv,MAX(I812:L812),IF(_xlpm.total=0,"",IF(_xlpm.maxv/_xlpm.total&lt;0.5,"Mixed-Class",_xlfn.IFS(_xlpm.maxv=I812,"Assault",_xlpm.maxv=J812,"Engineer",_xlpm.maxv=K812,"Recon",_xlpm.maxv=L812,"Support"))))</f>
        <v/>
      </c>
      <c r="O812" t="str">
        <f t="shared" si="52"/>
        <v/>
      </c>
      <c r="P812" s="28" t="str">
        <f t="shared" si="53"/>
        <v/>
      </c>
    </row>
    <row r="813" spans="2:16" x14ac:dyDescent="0.25">
      <c r="B813">
        <v>8117</v>
      </c>
      <c r="H813" t="str">
        <f t="shared" si="50"/>
        <v/>
      </c>
      <c r="M813">
        <f t="shared" si="51"/>
        <v>0</v>
      </c>
      <c r="N813" t="str" cm="1">
        <f t="array" ref="N813">_xlfn.LET(_xlpm.total,SUM(I813:L813),_xlpm.maxv,MAX(I813:L813),IF(_xlpm.total=0,"",IF(_xlpm.maxv/_xlpm.total&lt;0.5,"Mixed-Class",_xlfn.IFS(_xlpm.maxv=I813,"Assault",_xlpm.maxv=J813,"Engineer",_xlpm.maxv=K813,"Recon",_xlpm.maxv=L813,"Support"))))</f>
        <v/>
      </c>
      <c r="O813" t="str">
        <f t="shared" si="52"/>
        <v/>
      </c>
      <c r="P813" s="28" t="str">
        <f t="shared" si="53"/>
        <v/>
      </c>
    </row>
    <row r="814" spans="2:16" x14ac:dyDescent="0.25">
      <c r="B814">
        <v>8127</v>
      </c>
      <c r="H814" t="str">
        <f t="shared" si="50"/>
        <v/>
      </c>
      <c r="M814">
        <f t="shared" si="51"/>
        <v>0</v>
      </c>
      <c r="N814" t="str" cm="1">
        <f t="array" ref="N814">_xlfn.LET(_xlpm.total,SUM(I814:L814),_xlpm.maxv,MAX(I814:L814),IF(_xlpm.total=0,"",IF(_xlpm.maxv/_xlpm.total&lt;0.5,"Mixed-Class",_xlfn.IFS(_xlpm.maxv=I814,"Assault",_xlpm.maxv=J814,"Engineer",_xlpm.maxv=K814,"Recon",_xlpm.maxv=L814,"Support"))))</f>
        <v/>
      </c>
      <c r="O814" t="str">
        <f t="shared" si="52"/>
        <v/>
      </c>
      <c r="P814" s="28" t="str">
        <f t="shared" si="53"/>
        <v/>
      </c>
    </row>
    <row r="815" spans="2:16" x14ac:dyDescent="0.25">
      <c r="B815">
        <v>8137</v>
      </c>
      <c r="H815" t="str">
        <f t="shared" si="50"/>
        <v/>
      </c>
      <c r="M815">
        <f t="shared" si="51"/>
        <v>0</v>
      </c>
      <c r="N815" t="str" cm="1">
        <f t="array" ref="N815">_xlfn.LET(_xlpm.total,SUM(I815:L815),_xlpm.maxv,MAX(I815:L815),IF(_xlpm.total=0,"",IF(_xlpm.maxv/_xlpm.total&lt;0.5,"Mixed-Class",_xlfn.IFS(_xlpm.maxv=I815,"Assault",_xlpm.maxv=J815,"Engineer",_xlpm.maxv=K815,"Recon",_xlpm.maxv=L815,"Support"))))</f>
        <v/>
      </c>
      <c r="O815" t="str">
        <f t="shared" si="52"/>
        <v/>
      </c>
      <c r="P815" s="28" t="str">
        <f t="shared" si="53"/>
        <v/>
      </c>
    </row>
    <row r="816" spans="2:16" x14ac:dyDescent="0.25">
      <c r="B816">
        <v>8147</v>
      </c>
      <c r="H816" t="str">
        <f t="shared" si="50"/>
        <v/>
      </c>
      <c r="M816">
        <f t="shared" si="51"/>
        <v>0</v>
      </c>
      <c r="N816" t="str" cm="1">
        <f t="array" ref="N816">_xlfn.LET(_xlpm.total,SUM(I816:L816),_xlpm.maxv,MAX(I816:L816),IF(_xlpm.total=0,"",IF(_xlpm.maxv/_xlpm.total&lt;0.5,"Mixed-Class",_xlfn.IFS(_xlpm.maxv=I816,"Assault",_xlpm.maxv=J816,"Engineer",_xlpm.maxv=K816,"Recon",_xlpm.maxv=L816,"Support"))))</f>
        <v/>
      </c>
      <c r="O816" t="str">
        <f t="shared" si="52"/>
        <v/>
      </c>
      <c r="P816" s="28" t="str">
        <f t="shared" si="53"/>
        <v/>
      </c>
    </row>
    <row r="817" spans="2:16" x14ac:dyDescent="0.25">
      <c r="B817">
        <v>8157</v>
      </c>
      <c r="H817" t="str">
        <f t="shared" si="50"/>
        <v/>
      </c>
      <c r="M817">
        <f t="shared" si="51"/>
        <v>0</v>
      </c>
      <c r="N817" t="str" cm="1">
        <f t="array" ref="N817">_xlfn.LET(_xlpm.total,SUM(I817:L817),_xlpm.maxv,MAX(I817:L817),IF(_xlpm.total=0,"",IF(_xlpm.maxv/_xlpm.total&lt;0.5,"Mixed-Class",_xlfn.IFS(_xlpm.maxv=I817,"Assault",_xlpm.maxv=J817,"Engineer",_xlpm.maxv=K817,"Recon",_xlpm.maxv=L817,"Support"))))</f>
        <v/>
      </c>
      <c r="O817" t="str">
        <f t="shared" si="52"/>
        <v/>
      </c>
      <c r="P817" s="28" t="str">
        <f t="shared" si="53"/>
        <v/>
      </c>
    </row>
    <row r="818" spans="2:16" x14ac:dyDescent="0.25">
      <c r="B818">
        <v>8167</v>
      </c>
      <c r="H818" t="str">
        <f t="shared" si="50"/>
        <v/>
      </c>
      <c r="M818">
        <f t="shared" si="51"/>
        <v>0</v>
      </c>
      <c r="N818" t="str" cm="1">
        <f t="array" ref="N818">_xlfn.LET(_xlpm.total,SUM(I818:L818),_xlpm.maxv,MAX(I818:L818),IF(_xlpm.total=0,"",IF(_xlpm.maxv/_xlpm.total&lt;0.5,"Mixed-Class",_xlfn.IFS(_xlpm.maxv=I818,"Assault",_xlpm.maxv=J818,"Engineer",_xlpm.maxv=K818,"Recon",_xlpm.maxv=L818,"Support"))))</f>
        <v/>
      </c>
      <c r="O818" t="str">
        <f t="shared" si="52"/>
        <v/>
      </c>
      <c r="P818" s="28" t="str">
        <f t="shared" si="53"/>
        <v/>
      </c>
    </row>
    <row r="819" spans="2:16" x14ac:dyDescent="0.25">
      <c r="B819">
        <v>8177</v>
      </c>
      <c r="H819" t="str">
        <f t="shared" si="50"/>
        <v/>
      </c>
      <c r="M819">
        <f t="shared" si="51"/>
        <v>0</v>
      </c>
      <c r="N819" t="str" cm="1">
        <f t="array" ref="N819">_xlfn.LET(_xlpm.total,SUM(I819:L819),_xlpm.maxv,MAX(I819:L819),IF(_xlpm.total=0,"",IF(_xlpm.maxv/_xlpm.total&lt;0.5,"Mixed-Class",_xlfn.IFS(_xlpm.maxv=I819,"Assault",_xlpm.maxv=J819,"Engineer",_xlpm.maxv=K819,"Recon",_xlpm.maxv=L819,"Support"))))</f>
        <v/>
      </c>
      <c r="O819" t="str">
        <f t="shared" si="52"/>
        <v/>
      </c>
      <c r="P819" s="28" t="str">
        <f t="shared" si="53"/>
        <v/>
      </c>
    </row>
    <row r="820" spans="2:16" x14ac:dyDescent="0.25">
      <c r="B820">
        <v>8187</v>
      </c>
      <c r="H820" t="str">
        <f t="shared" si="50"/>
        <v/>
      </c>
      <c r="M820">
        <f t="shared" si="51"/>
        <v>0</v>
      </c>
      <c r="N820" t="str" cm="1">
        <f t="array" ref="N820">_xlfn.LET(_xlpm.total,SUM(I820:L820),_xlpm.maxv,MAX(I820:L820),IF(_xlpm.total=0,"",IF(_xlpm.maxv/_xlpm.total&lt;0.5,"Mixed-Class",_xlfn.IFS(_xlpm.maxv=I820,"Assault",_xlpm.maxv=J820,"Engineer",_xlpm.maxv=K820,"Recon",_xlpm.maxv=L820,"Support"))))</f>
        <v/>
      </c>
      <c r="O820" t="str">
        <f t="shared" si="52"/>
        <v/>
      </c>
      <c r="P820" s="28" t="str">
        <f t="shared" si="53"/>
        <v/>
      </c>
    </row>
    <row r="821" spans="2:16" x14ac:dyDescent="0.25">
      <c r="B821">
        <v>8197</v>
      </c>
      <c r="H821" t="str">
        <f t="shared" si="50"/>
        <v/>
      </c>
      <c r="M821">
        <f t="shared" si="51"/>
        <v>0</v>
      </c>
      <c r="N821" t="str" cm="1">
        <f t="array" ref="N821">_xlfn.LET(_xlpm.total,SUM(I821:L821),_xlpm.maxv,MAX(I821:L821),IF(_xlpm.total=0,"",IF(_xlpm.maxv/_xlpm.total&lt;0.5,"Mixed-Class",_xlfn.IFS(_xlpm.maxv=I821,"Assault",_xlpm.maxv=J821,"Engineer",_xlpm.maxv=K821,"Recon",_xlpm.maxv=L821,"Support"))))</f>
        <v/>
      </c>
      <c r="O821" t="str">
        <f t="shared" si="52"/>
        <v/>
      </c>
      <c r="P821" s="28" t="str">
        <f t="shared" si="53"/>
        <v/>
      </c>
    </row>
    <row r="822" spans="2:16" x14ac:dyDescent="0.25">
      <c r="B822">
        <v>8207</v>
      </c>
      <c r="H822" t="str">
        <f t="shared" si="50"/>
        <v/>
      </c>
      <c r="M822">
        <f t="shared" si="51"/>
        <v>0</v>
      </c>
      <c r="N822" t="str" cm="1">
        <f t="array" ref="N822">_xlfn.LET(_xlpm.total,SUM(I822:L822),_xlpm.maxv,MAX(I822:L822),IF(_xlpm.total=0,"",IF(_xlpm.maxv/_xlpm.total&lt;0.5,"Mixed-Class",_xlfn.IFS(_xlpm.maxv=I822,"Assault",_xlpm.maxv=J822,"Engineer",_xlpm.maxv=K822,"Recon",_xlpm.maxv=L822,"Support"))))</f>
        <v/>
      </c>
      <c r="O822" t="str">
        <f t="shared" si="52"/>
        <v/>
      </c>
      <c r="P822" s="28" t="str">
        <f t="shared" si="53"/>
        <v/>
      </c>
    </row>
    <row r="823" spans="2:16" x14ac:dyDescent="0.25">
      <c r="B823">
        <v>8217</v>
      </c>
      <c r="H823" t="str">
        <f t="shared" si="50"/>
        <v/>
      </c>
      <c r="M823">
        <f t="shared" si="51"/>
        <v>0</v>
      </c>
      <c r="N823" t="str" cm="1">
        <f t="array" ref="N823">_xlfn.LET(_xlpm.total,SUM(I823:L823),_xlpm.maxv,MAX(I823:L823),IF(_xlpm.total=0,"",IF(_xlpm.maxv/_xlpm.total&lt;0.5,"Mixed-Class",_xlfn.IFS(_xlpm.maxv=I823,"Assault",_xlpm.maxv=J823,"Engineer",_xlpm.maxv=K823,"Recon",_xlpm.maxv=L823,"Support"))))</f>
        <v/>
      </c>
      <c r="O823" t="str">
        <f t="shared" si="52"/>
        <v/>
      </c>
      <c r="P823" s="28" t="str">
        <f t="shared" si="53"/>
        <v/>
      </c>
    </row>
    <row r="824" spans="2:16" x14ac:dyDescent="0.25">
      <c r="B824">
        <v>8227</v>
      </c>
      <c r="H824" t="str">
        <f t="shared" si="50"/>
        <v/>
      </c>
      <c r="M824">
        <f t="shared" si="51"/>
        <v>0</v>
      </c>
      <c r="N824" t="str" cm="1">
        <f t="array" ref="N824">_xlfn.LET(_xlpm.total,SUM(I824:L824),_xlpm.maxv,MAX(I824:L824),IF(_xlpm.total=0,"",IF(_xlpm.maxv/_xlpm.total&lt;0.5,"Mixed-Class",_xlfn.IFS(_xlpm.maxv=I824,"Assault",_xlpm.maxv=J824,"Engineer",_xlpm.maxv=K824,"Recon",_xlpm.maxv=L824,"Support"))))</f>
        <v/>
      </c>
      <c r="O824" t="str">
        <f t="shared" si="52"/>
        <v/>
      </c>
      <c r="P824" s="28" t="str">
        <f t="shared" si="53"/>
        <v/>
      </c>
    </row>
    <row r="825" spans="2:16" x14ac:dyDescent="0.25">
      <c r="B825">
        <v>8237</v>
      </c>
      <c r="H825" t="str">
        <f t="shared" si="50"/>
        <v/>
      </c>
      <c r="M825">
        <f t="shared" si="51"/>
        <v>0</v>
      </c>
      <c r="N825" t="str" cm="1">
        <f t="array" ref="N825">_xlfn.LET(_xlpm.total,SUM(I825:L825),_xlpm.maxv,MAX(I825:L825),IF(_xlpm.total=0,"",IF(_xlpm.maxv/_xlpm.total&lt;0.5,"Mixed-Class",_xlfn.IFS(_xlpm.maxv=I825,"Assault",_xlpm.maxv=J825,"Engineer",_xlpm.maxv=K825,"Recon",_xlpm.maxv=L825,"Support"))))</f>
        <v/>
      </c>
      <c r="O825" t="str">
        <f t="shared" si="52"/>
        <v/>
      </c>
      <c r="P825" s="28" t="str">
        <f t="shared" si="53"/>
        <v/>
      </c>
    </row>
    <row r="826" spans="2:16" x14ac:dyDescent="0.25">
      <c r="B826">
        <v>8247</v>
      </c>
      <c r="H826" t="str">
        <f t="shared" si="50"/>
        <v/>
      </c>
      <c r="M826">
        <f t="shared" si="51"/>
        <v>0</v>
      </c>
      <c r="N826" t="str" cm="1">
        <f t="array" ref="N826">_xlfn.LET(_xlpm.total,SUM(I826:L826),_xlpm.maxv,MAX(I826:L826),IF(_xlpm.total=0,"",IF(_xlpm.maxv/_xlpm.total&lt;0.5,"Mixed-Class",_xlfn.IFS(_xlpm.maxv=I826,"Assault",_xlpm.maxv=J826,"Engineer",_xlpm.maxv=K826,"Recon",_xlpm.maxv=L826,"Support"))))</f>
        <v/>
      </c>
      <c r="O826" t="str">
        <f t="shared" si="52"/>
        <v/>
      </c>
      <c r="P826" s="28" t="str">
        <f t="shared" si="53"/>
        <v/>
      </c>
    </row>
    <row r="827" spans="2:16" x14ac:dyDescent="0.25">
      <c r="B827">
        <v>8257</v>
      </c>
      <c r="H827" t="str">
        <f t="shared" si="50"/>
        <v/>
      </c>
      <c r="M827">
        <f t="shared" si="51"/>
        <v>0</v>
      </c>
      <c r="N827" t="str" cm="1">
        <f t="array" ref="N827">_xlfn.LET(_xlpm.total,SUM(I827:L827),_xlpm.maxv,MAX(I827:L827),IF(_xlpm.total=0,"",IF(_xlpm.maxv/_xlpm.total&lt;0.5,"Mixed-Class",_xlfn.IFS(_xlpm.maxv=I827,"Assault",_xlpm.maxv=J827,"Engineer",_xlpm.maxv=K827,"Recon",_xlpm.maxv=L827,"Support"))))</f>
        <v/>
      </c>
      <c r="O827" t="str">
        <f t="shared" si="52"/>
        <v/>
      </c>
      <c r="P827" s="28" t="str">
        <f t="shared" si="53"/>
        <v/>
      </c>
    </row>
    <row r="828" spans="2:16" x14ac:dyDescent="0.25">
      <c r="B828">
        <v>8267</v>
      </c>
      <c r="H828" t="str">
        <f t="shared" si="50"/>
        <v/>
      </c>
      <c r="M828">
        <f t="shared" si="51"/>
        <v>0</v>
      </c>
      <c r="N828" t="str" cm="1">
        <f t="array" ref="N828">_xlfn.LET(_xlpm.total,SUM(I828:L828),_xlpm.maxv,MAX(I828:L828),IF(_xlpm.total=0,"",IF(_xlpm.maxv/_xlpm.total&lt;0.5,"Mixed-Class",_xlfn.IFS(_xlpm.maxv=I828,"Assault",_xlpm.maxv=J828,"Engineer",_xlpm.maxv=K828,"Recon",_xlpm.maxv=L828,"Support"))))</f>
        <v/>
      </c>
      <c r="O828" t="str">
        <f t="shared" si="52"/>
        <v/>
      </c>
      <c r="P828" s="28" t="str">
        <f t="shared" si="53"/>
        <v/>
      </c>
    </row>
    <row r="829" spans="2:16" x14ac:dyDescent="0.25">
      <c r="B829">
        <v>8277</v>
      </c>
      <c r="H829" t="str">
        <f t="shared" si="50"/>
        <v/>
      </c>
      <c r="M829">
        <f t="shared" si="51"/>
        <v>0</v>
      </c>
      <c r="N829" t="str" cm="1">
        <f t="array" ref="N829">_xlfn.LET(_xlpm.total,SUM(I829:L829),_xlpm.maxv,MAX(I829:L829),IF(_xlpm.total=0,"",IF(_xlpm.maxv/_xlpm.total&lt;0.5,"Mixed-Class",_xlfn.IFS(_xlpm.maxv=I829,"Assault",_xlpm.maxv=J829,"Engineer",_xlpm.maxv=K829,"Recon",_xlpm.maxv=L829,"Support"))))</f>
        <v/>
      </c>
      <c r="O829" t="str">
        <f t="shared" si="52"/>
        <v/>
      </c>
      <c r="P829" s="28" t="str">
        <f t="shared" si="53"/>
        <v/>
      </c>
    </row>
    <row r="830" spans="2:16" x14ac:dyDescent="0.25">
      <c r="B830">
        <v>8287</v>
      </c>
      <c r="H830" t="str">
        <f t="shared" si="50"/>
        <v/>
      </c>
      <c r="M830">
        <f t="shared" si="51"/>
        <v>0</v>
      </c>
      <c r="N830" t="str" cm="1">
        <f t="array" ref="N830">_xlfn.LET(_xlpm.total,SUM(I830:L830),_xlpm.maxv,MAX(I830:L830),IF(_xlpm.total=0,"",IF(_xlpm.maxv/_xlpm.total&lt;0.5,"Mixed-Class",_xlfn.IFS(_xlpm.maxv=I830,"Assault",_xlpm.maxv=J830,"Engineer",_xlpm.maxv=K830,"Recon",_xlpm.maxv=L830,"Support"))))</f>
        <v/>
      </c>
      <c r="O830" t="str">
        <f t="shared" si="52"/>
        <v/>
      </c>
      <c r="P830" s="28" t="str">
        <f t="shared" si="53"/>
        <v/>
      </c>
    </row>
    <row r="831" spans="2:16" x14ac:dyDescent="0.25">
      <c r="B831">
        <v>8297</v>
      </c>
      <c r="H831" t="str">
        <f t="shared" si="50"/>
        <v/>
      </c>
      <c r="M831">
        <f t="shared" si="51"/>
        <v>0</v>
      </c>
      <c r="N831" t="str" cm="1">
        <f t="array" ref="N831">_xlfn.LET(_xlpm.total,SUM(I831:L831),_xlpm.maxv,MAX(I831:L831),IF(_xlpm.total=0,"",IF(_xlpm.maxv/_xlpm.total&lt;0.5,"Mixed-Class",_xlfn.IFS(_xlpm.maxv=I831,"Assault",_xlpm.maxv=J831,"Engineer",_xlpm.maxv=K831,"Recon",_xlpm.maxv=L831,"Support"))))</f>
        <v/>
      </c>
      <c r="O831" t="str">
        <f t="shared" si="52"/>
        <v/>
      </c>
      <c r="P831" s="28" t="str">
        <f t="shared" si="53"/>
        <v/>
      </c>
    </row>
    <row r="832" spans="2:16" x14ac:dyDescent="0.25">
      <c r="B832">
        <v>8307</v>
      </c>
      <c r="H832" t="str">
        <f t="shared" si="50"/>
        <v/>
      </c>
      <c r="M832">
        <f t="shared" si="51"/>
        <v>0</v>
      </c>
      <c r="N832" t="str" cm="1">
        <f t="array" ref="N832">_xlfn.LET(_xlpm.total,SUM(I832:L832),_xlpm.maxv,MAX(I832:L832),IF(_xlpm.total=0,"",IF(_xlpm.maxv/_xlpm.total&lt;0.5,"Mixed-Class",_xlfn.IFS(_xlpm.maxv=I832,"Assault",_xlpm.maxv=J832,"Engineer",_xlpm.maxv=K832,"Recon",_xlpm.maxv=L832,"Support"))))</f>
        <v/>
      </c>
      <c r="O832" t="str">
        <f t="shared" si="52"/>
        <v/>
      </c>
      <c r="P832" s="28" t="str">
        <f t="shared" si="53"/>
        <v/>
      </c>
    </row>
    <row r="833" spans="2:16" x14ac:dyDescent="0.25">
      <c r="B833">
        <v>8317</v>
      </c>
      <c r="H833" t="str">
        <f t="shared" si="50"/>
        <v/>
      </c>
      <c r="M833">
        <f t="shared" si="51"/>
        <v>0</v>
      </c>
      <c r="N833" t="str" cm="1">
        <f t="array" ref="N833">_xlfn.LET(_xlpm.total,SUM(I833:L833),_xlpm.maxv,MAX(I833:L833),IF(_xlpm.total=0,"",IF(_xlpm.maxv/_xlpm.total&lt;0.5,"Mixed-Class",_xlfn.IFS(_xlpm.maxv=I833,"Assault",_xlpm.maxv=J833,"Engineer",_xlpm.maxv=K833,"Recon",_xlpm.maxv=L833,"Support"))))</f>
        <v/>
      </c>
      <c r="O833" t="str">
        <f t="shared" si="52"/>
        <v/>
      </c>
      <c r="P833" s="28" t="str">
        <f t="shared" si="53"/>
        <v/>
      </c>
    </row>
    <row r="834" spans="2:16" x14ac:dyDescent="0.25">
      <c r="B834">
        <v>8327</v>
      </c>
      <c r="H834" t="str">
        <f t="shared" si="50"/>
        <v/>
      </c>
      <c r="M834">
        <f t="shared" si="51"/>
        <v>0</v>
      </c>
      <c r="N834" t="str" cm="1">
        <f t="array" ref="N834">_xlfn.LET(_xlpm.total,SUM(I834:L834),_xlpm.maxv,MAX(I834:L834),IF(_xlpm.total=0,"",IF(_xlpm.maxv/_xlpm.total&lt;0.5,"Mixed-Class",_xlfn.IFS(_xlpm.maxv=I834,"Assault",_xlpm.maxv=J834,"Engineer",_xlpm.maxv=K834,"Recon",_xlpm.maxv=L834,"Support"))))</f>
        <v/>
      </c>
      <c r="O834" t="str">
        <f t="shared" si="52"/>
        <v/>
      </c>
      <c r="P834" s="28" t="str">
        <f t="shared" si="53"/>
        <v/>
      </c>
    </row>
    <row r="835" spans="2:16" x14ac:dyDescent="0.25">
      <c r="B835">
        <v>8337</v>
      </c>
      <c r="H835" t="str">
        <f t="shared" ref="H835:H898" si="54">IF(SUM(D835:G835)=0,"",IF(G835/SUM(D835:G835)&gt;=0.5,"Battle Royale",IF(F835/SUM(D835:F835)&gt;=0.6,"Infantry-Heavy",IF((D835+0.7*E835)/SUM(D835:F835)&gt;=0.7,"Vehicle-Heavy","Mixed"))))</f>
        <v/>
      </c>
      <c r="M835">
        <f t="shared" ref="M835:M898" si="55">SUM(I835:L835)</f>
        <v>0</v>
      </c>
      <c r="N835" t="str" cm="1">
        <f t="array" ref="N835">_xlfn.LET(_xlpm.total,SUM(I835:L835),_xlpm.maxv,MAX(I835:L835),IF(_xlpm.total=0,"",IF(_xlpm.maxv/_xlpm.total&lt;0.5,"Mixed-Class",_xlfn.IFS(_xlpm.maxv=I835,"Assault",_xlpm.maxv=J835,"Engineer",_xlpm.maxv=K835,"Recon",_xlpm.maxv=L835,"Support"))))</f>
        <v/>
      </c>
      <c r="O835" t="str">
        <f t="shared" ref="O835:O898" si="56">_xlfn.LET(_xlpm.total,SUM(I835:L835),IF(_xlpm.total=0,"",MAX(I835:L835)/_xlpm.total&gt;=0.5))</f>
        <v/>
      </c>
      <c r="P835" s="28" t="str">
        <f t="shared" ref="P835:P898" si="57">_xlfn.LET(_xlpm.total,SUM(I835:L835),IF(_xlpm.total=0,"",MAX(I835:L835)/_xlpm.total))</f>
        <v/>
      </c>
    </row>
    <row r="836" spans="2:16" x14ac:dyDescent="0.25">
      <c r="B836">
        <v>8347</v>
      </c>
      <c r="H836" t="str">
        <f t="shared" si="54"/>
        <v/>
      </c>
      <c r="M836">
        <f t="shared" si="55"/>
        <v>0</v>
      </c>
      <c r="N836" t="str" cm="1">
        <f t="array" ref="N836">_xlfn.LET(_xlpm.total,SUM(I836:L836),_xlpm.maxv,MAX(I836:L836),IF(_xlpm.total=0,"",IF(_xlpm.maxv/_xlpm.total&lt;0.5,"Mixed-Class",_xlfn.IFS(_xlpm.maxv=I836,"Assault",_xlpm.maxv=J836,"Engineer",_xlpm.maxv=K836,"Recon",_xlpm.maxv=L836,"Support"))))</f>
        <v/>
      </c>
      <c r="O836" t="str">
        <f t="shared" si="56"/>
        <v/>
      </c>
      <c r="P836" s="28" t="str">
        <f t="shared" si="57"/>
        <v/>
      </c>
    </row>
    <row r="837" spans="2:16" x14ac:dyDescent="0.25">
      <c r="B837">
        <v>8357</v>
      </c>
      <c r="H837" t="str">
        <f t="shared" si="54"/>
        <v/>
      </c>
      <c r="M837">
        <f t="shared" si="55"/>
        <v>0</v>
      </c>
      <c r="N837" t="str" cm="1">
        <f t="array" ref="N837">_xlfn.LET(_xlpm.total,SUM(I837:L837),_xlpm.maxv,MAX(I837:L837),IF(_xlpm.total=0,"",IF(_xlpm.maxv/_xlpm.total&lt;0.5,"Mixed-Class",_xlfn.IFS(_xlpm.maxv=I837,"Assault",_xlpm.maxv=J837,"Engineer",_xlpm.maxv=K837,"Recon",_xlpm.maxv=L837,"Support"))))</f>
        <v/>
      </c>
      <c r="O837" t="str">
        <f t="shared" si="56"/>
        <v/>
      </c>
      <c r="P837" s="28" t="str">
        <f t="shared" si="57"/>
        <v/>
      </c>
    </row>
    <row r="838" spans="2:16" x14ac:dyDescent="0.25">
      <c r="B838">
        <v>8367</v>
      </c>
      <c r="H838" t="str">
        <f t="shared" si="54"/>
        <v/>
      </c>
      <c r="M838">
        <f t="shared" si="55"/>
        <v>0</v>
      </c>
      <c r="N838" t="str" cm="1">
        <f t="array" ref="N838">_xlfn.LET(_xlpm.total,SUM(I838:L838),_xlpm.maxv,MAX(I838:L838),IF(_xlpm.total=0,"",IF(_xlpm.maxv/_xlpm.total&lt;0.5,"Mixed-Class",_xlfn.IFS(_xlpm.maxv=I838,"Assault",_xlpm.maxv=J838,"Engineer",_xlpm.maxv=K838,"Recon",_xlpm.maxv=L838,"Support"))))</f>
        <v/>
      </c>
      <c r="O838" t="str">
        <f t="shared" si="56"/>
        <v/>
      </c>
      <c r="P838" s="28" t="str">
        <f t="shared" si="57"/>
        <v/>
      </c>
    </row>
    <row r="839" spans="2:16" x14ac:dyDescent="0.25">
      <c r="B839">
        <v>8377</v>
      </c>
      <c r="H839" t="str">
        <f t="shared" si="54"/>
        <v/>
      </c>
      <c r="M839">
        <f t="shared" si="55"/>
        <v>0</v>
      </c>
      <c r="N839" t="str" cm="1">
        <f t="array" ref="N839">_xlfn.LET(_xlpm.total,SUM(I839:L839),_xlpm.maxv,MAX(I839:L839),IF(_xlpm.total=0,"",IF(_xlpm.maxv/_xlpm.total&lt;0.5,"Mixed-Class",_xlfn.IFS(_xlpm.maxv=I839,"Assault",_xlpm.maxv=J839,"Engineer",_xlpm.maxv=K839,"Recon",_xlpm.maxv=L839,"Support"))))</f>
        <v/>
      </c>
      <c r="O839" t="str">
        <f t="shared" si="56"/>
        <v/>
      </c>
      <c r="P839" s="28" t="str">
        <f t="shared" si="57"/>
        <v/>
      </c>
    </row>
    <row r="840" spans="2:16" x14ac:dyDescent="0.25">
      <c r="B840">
        <v>8387</v>
      </c>
      <c r="H840" t="str">
        <f t="shared" si="54"/>
        <v/>
      </c>
      <c r="M840">
        <f t="shared" si="55"/>
        <v>0</v>
      </c>
      <c r="N840" t="str" cm="1">
        <f t="array" ref="N840">_xlfn.LET(_xlpm.total,SUM(I840:L840),_xlpm.maxv,MAX(I840:L840),IF(_xlpm.total=0,"",IF(_xlpm.maxv/_xlpm.total&lt;0.5,"Mixed-Class",_xlfn.IFS(_xlpm.maxv=I840,"Assault",_xlpm.maxv=J840,"Engineer",_xlpm.maxv=K840,"Recon",_xlpm.maxv=L840,"Support"))))</f>
        <v/>
      </c>
      <c r="O840" t="str">
        <f t="shared" si="56"/>
        <v/>
      </c>
      <c r="P840" s="28" t="str">
        <f t="shared" si="57"/>
        <v/>
      </c>
    </row>
    <row r="841" spans="2:16" x14ac:dyDescent="0.25">
      <c r="B841">
        <v>8397</v>
      </c>
      <c r="H841" t="str">
        <f t="shared" si="54"/>
        <v/>
      </c>
      <c r="M841">
        <f t="shared" si="55"/>
        <v>0</v>
      </c>
      <c r="N841" t="str" cm="1">
        <f t="array" ref="N841">_xlfn.LET(_xlpm.total,SUM(I841:L841),_xlpm.maxv,MAX(I841:L841),IF(_xlpm.total=0,"",IF(_xlpm.maxv/_xlpm.total&lt;0.5,"Mixed-Class",_xlfn.IFS(_xlpm.maxv=I841,"Assault",_xlpm.maxv=J841,"Engineer",_xlpm.maxv=K841,"Recon",_xlpm.maxv=L841,"Support"))))</f>
        <v/>
      </c>
      <c r="O841" t="str">
        <f t="shared" si="56"/>
        <v/>
      </c>
      <c r="P841" s="28" t="str">
        <f t="shared" si="57"/>
        <v/>
      </c>
    </row>
    <row r="842" spans="2:16" x14ac:dyDescent="0.25">
      <c r="B842">
        <v>8407</v>
      </c>
      <c r="H842" t="str">
        <f t="shared" si="54"/>
        <v/>
      </c>
      <c r="M842">
        <f t="shared" si="55"/>
        <v>0</v>
      </c>
      <c r="N842" t="str" cm="1">
        <f t="array" ref="N842">_xlfn.LET(_xlpm.total,SUM(I842:L842),_xlpm.maxv,MAX(I842:L842),IF(_xlpm.total=0,"",IF(_xlpm.maxv/_xlpm.total&lt;0.5,"Mixed-Class",_xlfn.IFS(_xlpm.maxv=I842,"Assault",_xlpm.maxv=J842,"Engineer",_xlpm.maxv=K842,"Recon",_xlpm.maxv=L842,"Support"))))</f>
        <v/>
      </c>
      <c r="O842" t="str">
        <f t="shared" si="56"/>
        <v/>
      </c>
      <c r="P842" s="28" t="str">
        <f t="shared" si="57"/>
        <v/>
      </c>
    </row>
    <row r="843" spans="2:16" x14ac:dyDescent="0.25">
      <c r="B843">
        <v>8417</v>
      </c>
      <c r="H843" t="str">
        <f t="shared" si="54"/>
        <v/>
      </c>
      <c r="M843">
        <f t="shared" si="55"/>
        <v>0</v>
      </c>
      <c r="N843" t="str" cm="1">
        <f t="array" ref="N843">_xlfn.LET(_xlpm.total,SUM(I843:L843),_xlpm.maxv,MAX(I843:L843),IF(_xlpm.total=0,"",IF(_xlpm.maxv/_xlpm.total&lt;0.5,"Mixed-Class",_xlfn.IFS(_xlpm.maxv=I843,"Assault",_xlpm.maxv=J843,"Engineer",_xlpm.maxv=K843,"Recon",_xlpm.maxv=L843,"Support"))))</f>
        <v/>
      </c>
      <c r="O843" t="str">
        <f t="shared" si="56"/>
        <v/>
      </c>
      <c r="P843" s="28" t="str">
        <f t="shared" si="57"/>
        <v/>
      </c>
    </row>
    <row r="844" spans="2:16" x14ac:dyDescent="0.25">
      <c r="B844">
        <v>8427</v>
      </c>
      <c r="H844" t="str">
        <f t="shared" si="54"/>
        <v/>
      </c>
      <c r="M844">
        <f t="shared" si="55"/>
        <v>0</v>
      </c>
      <c r="N844" t="str" cm="1">
        <f t="array" ref="N844">_xlfn.LET(_xlpm.total,SUM(I844:L844),_xlpm.maxv,MAX(I844:L844),IF(_xlpm.total=0,"",IF(_xlpm.maxv/_xlpm.total&lt;0.5,"Mixed-Class",_xlfn.IFS(_xlpm.maxv=I844,"Assault",_xlpm.maxv=J844,"Engineer",_xlpm.maxv=K844,"Recon",_xlpm.maxv=L844,"Support"))))</f>
        <v/>
      </c>
      <c r="O844" t="str">
        <f t="shared" si="56"/>
        <v/>
      </c>
      <c r="P844" s="28" t="str">
        <f t="shared" si="57"/>
        <v/>
      </c>
    </row>
    <row r="845" spans="2:16" x14ac:dyDescent="0.25">
      <c r="B845">
        <v>8437</v>
      </c>
      <c r="H845" t="str">
        <f t="shared" si="54"/>
        <v/>
      </c>
      <c r="M845">
        <f t="shared" si="55"/>
        <v>0</v>
      </c>
      <c r="N845" t="str" cm="1">
        <f t="array" ref="N845">_xlfn.LET(_xlpm.total,SUM(I845:L845),_xlpm.maxv,MAX(I845:L845),IF(_xlpm.total=0,"",IF(_xlpm.maxv/_xlpm.total&lt;0.5,"Mixed-Class",_xlfn.IFS(_xlpm.maxv=I845,"Assault",_xlpm.maxv=J845,"Engineer",_xlpm.maxv=K845,"Recon",_xlpm.maxv=L845,"Support"))))</f>
        <v/>
      </c>
      <c r="O845" t="str">
        <f t="shared" si="56"/>
        <v/>
      </c>
      <c r="P845" s="28" t="str">
        <f t="shared" si="57"/>
        <v/>
      </c>
    </row>
    <row r="846" spans="2:16" x14ac:dyDescent="0.25">
      <c r="B846">
        <v>8447</v>
      </c>
      <c r="H846" t="str">
        <f t="shared" si="54"/>
        <v/>
      </c>
      <c r="M846">
        <f t="shared" si="55"/>
        <v>0</v>
      </c>
      <c r="N846" t="str" cm="1">
        <f t="array" ref="N846">_xlfn.LET(_xlpm.total,SUM(I846:L846),_xlpm.maxv,MAX(I846:L846),IF(_xlpm.total=0,"",IF(_xlpm.maxv/_xlpm.total&lt;0.5,"Mixed-Class",_xlfn.IFS(_xlpm.maxv=I846,"Assault",_xlpm.maxv=J846,"Engineer",_xlpm.maxv=K846,"Recon",_xlpm.maxv=L846,"Support"))))</f>
        <v/>
      </c>
      <c r="O846" t="str">
        <f t="shared" si="56"/>
        <v/>
      </c>
      <c r="P846" s="28" t="str">
        <f t="shared" si="57"/>
        <v/>
      </c>
    </row>
    <row r="847" spans="2:16" x14ac:dyDescent="0.25">
      <c r="B847">
        <v>8457</v>
      </c>
      <c r="H847" t="str">
        <f t="shared" si="54"/>
        <v/>
      </c>
      <c r="M847">
        <f t="shared" si="55"/>
        <v>0</v>
      </c>
      <c r="N847" t="str" cm="1">
        <f t="array" ref="N847">_xlfn.LET(_xlpm.total,SUM(I847:L847),_xlpm.maxv,MAX(I847:L847),IF(_xlpm.total=0,"",IF(_xlpm.maxv/_xlpm.total&lt;0.5,"Mixed-Class",_xlfn.IFS(_xlpm.maxv=I847,"Assault",_xlpm.maxv=J847,"Engineer",_xlpm.maxv=K847,"Recon",_xlpm.maxv=L847,"Support"))))</f>
        <v/>
      </c>
      <c r="O847" t="str">
        <f t="shared" si="56"/>
        <v/>
      </c>
      <c r="P847" s="28" t="str">
        <f t="shared" si="57"/>
        <v/>
      </c>
    </row>
    <row r="848" spans="2:16" x14ac:dyDescent="0.25">
      <c r="B848">
        <v>8467</v>
      </c>
      <c r="H848" t="str">
        <f t="shared" si="54"/>
        <v/>
      </c>
      <c r="M848">
        <f t="shared" si="55"/>
        <v>0</v>
      </c>
      <c r="N848" t="str" cm="1">
        <f t="array" ref="N848">_xlfn.LET(_xlpm.total,SUM(I848:L848),_xlpm.maxv,MAX(I848:L848),IF(_xlpm.total=0,"",IF(_xlpm.maxv/_xlpm.total&lt;0.5,"Mixed-Class",_xlfn.IFS(_xlpm.maxv=I848,"Assault",_xlpm.maxv=J848,"Engineer",_xlpm.maxv=K848,"Recon",_xlpm.maxv=L848,"Support"))))</f>
        <v/>
      </c>
      <c r="O848" t="str">
        <f t="shared" si="56"/>
        <v/>
      </c>
      <c r="P848" s="28" t="str">
        <f t="shared" si="57"/>
        <v/>
      </c>
    </row>
    <row r="849" spans="2:16" x14ac:dyDescent="0.25">
      <c r="B849">
        <v>8477</v>
      </c>
      <c r="H849" t="str">
        <f t="shared" si="54"/>
        <v/>
      </c>
      <c r="M849">
        <f t="shared" si="55"/>
        <v>0</v>
      </c>
      <c r="N849" t="str" cm="1">
        <f t="array" ref="N849">_xlfn.LET(_xlpm.total,SUM(I849:L849),_xlpm.maxv,MAX(I849:L849),IF(_xlpm.total=0,"",IF(_xlpm.maxv/_xlpm.total&lt;0.5,"Mixed-Class",_xlfn.IFS(_xlpm.maxv=I849,"Assault",_xlpm.maxv=J849,"Engineer",_xlpm.maxv=K849,"Recon",_xlpm.maxv=L849,"Support"))))</f>
        <v/>
      </c>
      <c r="O849" t="str">
        <f t="shared" si="56"/>
        <v/>
      </c>
      <c r="P849" s="28" t="str">
        <f t="shared" si="57"/>
        <v/>
      </c>
    </row>
    <row r="850" spans="2:16" x14ac:dyDescent="0.25">
      <c r="B850">
        <v>8487</v>
      </c>
      <c r="H850" t="str">
        <f t="shared" si="54"/>
        <v/>
      </c>
      <c r="M850">
        <f t="shared" si="55"/>
        <v>0</v>
      </c>
      <c r="N850" t="str" cm="1">
        <f t="array" ref="N850">_xlfn.LET(_xlpm.total,SUM(I850:L850),_xlpm.maxv,MAX(I850:L850),IF(_xlpm.total=0,"",IF(_xlpm.maxv/_xlpm.total&lt;0.5,"Mixed-Class",_xlfn.IFS(_xlpm.maxv=I850,"Assault",_xlpm.maxv=J850,"Engineer",_xlpm.maxv=K850,"Recon",_xlpm.maxv=L850,"Support"))))</f>
        <v/>
      </c>
      <c r="O850" t="str">
        <f t="shared" si="56"/>
        <v/>
      </c>
      <c r="P850" s="28" t="str">
        <f t="shared" si="57"/>
        <v/>
      </c>
    </row>
    <row r="851" spans="2:16" x14ac:dyDescent="0.25">
      <c r="B851">
        <v>8497</v>
      </c>
      <c r="H851" t="str">
        <f t="shared" si="54"/>
        <v/>
      </c>
      <c r="M851">
        <f t="shared" si="55"/>
        <v>0</v>
      </c>
      <c r="N851" t="str" cm="1">
        <f t="array" ref="N851">_xlfn.LET(_xlpm.total,SUM(I851:L851),_xlpm.maxv,MAX(I851:L851),IF(_xlpm.total=0,"",IF(_xlpm.maxv/_xlpm.total&lt;0.5,"Mixed-Class",_xlfn.IFS(_xlpm.maxv=I851,"Assault",_xlpm.maxv=J851,"Engineer",_xlpm.maxv=K851,"Recon",_xlpm.maxv=L851,"Support"))))</f>
        <v/>
      </c>
      <c r="O851" t="str">
        <f t="shared" si="56"/>
        <v/>
      </c>
      <c r="P851" s="28" t="str">
        <f t="shared" si="57"/>
        <v/>
      </c>
    </row>
    <row r="852" spans="2:16" x14ac:dyDescent="0.25">
      <c r="B852">
        <v>8507</v>
      </c>
      <c r="H852" t="str">
        <f t="shared" si="54"/>
        <v/>
      </c>
      <c r="M852">
        <f t="shared" si="55"/>
        <v>0</v>
      </c>
      <c r="N852" t="str" cm="1">
        <f t="array" ref="N852">_xlfn.LET(_xlpm.total,SUM(I852:L852),_xlpm.maxv,MAX(I852:L852),IF(_xlpm.total=0,"",IF(_xlpm.maxv/_xlpm.total&lt;0.5,"Mixed-Class",_xlfn.IFS(_xlpm.maxv=I852,"Assault",_xlpm.maxv=J852,"Engineer",_xlpm.maxv=K852,"Recon",_xlpm.maxv=L852,"Support"))))</f>
        <v/>
      </c>
      <c r="O852" t="str">
        <f t="shared" si="56"/>
        <v/>
      </c>
      <c r="P852" s="28" t="str">
        <f t="shared" si="57"/>
        <v/>
      </c>
    </row>
    <row r="853" spans="2:16" x14ac:dyDescent="0.25">
      <c r="B853">
        <v>8517</v>
      </c>
      <c r="H853" t="str">
        <f t="shared" si="54"/>
        <v/>
      </c>
      <c r="M853">
        <f t="shared" si="55"/>
        <v>0</v>
      </c>
      <c r="N853" t="str" cm="1">
        <f t="array" ref="N853">_xlfn.LET(_xlpm.total,SUM(I853:L853),_xlpm.maxv,MAX(I853:L853),IF(_xlpm.total=0,"",IF(_xlpm.maxv/_xlpm.total&lt;0.5,"Mixed-Class",_xlfn.IFS(_xlpm.maxv=I853,"Assault",_xlpm.maxv=J853,"Engineer",_xlpm.maxv=K853,"Recon",_xlpm.maxv=L853,"Support"))))</f>
        <v/>
      </c>
      <c r="O853" t="str">
        <f t="shared" si="56"/>
        <v/>
      </c>
      <c r="P853" s="28" t="str">
        <f t="shared" si="57"/>
        <v/>
      </c>
    </row>
    <row r="854" spans="2:16" x14ac:dyDescent="0.25">
      <c r="B854">
        <v>8527</v>
      </c>
      <c r="H854" t="str">
        <f t="shared" si="54"/>
        <v/>
      </c>
      <c r="M854">
        <f t="shared" si="55"/>
        <v>0</v>
      </c>
      <c r="N854" t="str" cm="1">
        <f t="array" ref="N854">_xlfn.LET(_xlpm.total,SUM(I854:L854),_xlpm.maxv,MAX(I854:L854),IF(_xlpm.total=0,"",IF(_xlpm.maxv/_xlpm.total&lt;0.5,"Mixed-Class",_xlfn.IFS(_xlpm.maxv=I854,"Assault",_xlpm.maxv=J854,"Engineer",_xlpm.maxv=K854,"Recon",_xlpm.maxv=L854,"Support"))))</f>
        <v/>
      </c>
      <c r="O854" t="str">
        <f t="shared" si="56"/>
        <v/>
      </c>
      <c r="P854" s="28" t="str">
        <f t="shared" si="57"/>
        <v/>
      </c>
    </row>
    <row r="855" spans="2:16" x14ac:dyDescent="0.25">
      <c r="B855">
        <v>8537</v>
      </c>
      <c r="H855" t="str">
        <f t="shared" si="54"/>
        <v/>
      </c>
      <c r="M855">
        <f t="shared" si="55"/>
        <v>0</v>
      </c>
      <c r="N855" t="str" cm="1">
        <f t="array" ref="N855">_xlfn.LET(_xlpm.total,SUM(I855:L855),_xlpm.maxv,MAX(I855:L855),IF(_xlpm.total=0,"",IF(_xlpm.maxv/_xlpm.total&lt;0.5,"Mixed-Class",_xlfn.IFS(_xlpm.maxv=I855,"Assault",_xlpm.maxv=J855,"Engineer",_xlpm.maxv=K855,"Recon",_xlpm.maxv=L855,"Support"))))</f>
        <v/>
      </c>
      <c r="O855" t="str">
        <f t="shared" si="56"/>
        <v/>
      </c>
      <c r="P855" s="28" t="str">
        <f t="shared" si="57"/>
        <v/>
      </c>
    </row>
    <row r="856" spans="2:16" x14ac:dyDescent="0.25">
      <c r="B856">
        <v>8547</v>
      </c>
      <c r="H856" t="str">
        <f t="shared" si="54"/>
        <v/>
      </c>
      <c r="M856">
        <f t="shared" si="55"/>
        <v>0</v>
      </c>
      <c r="N856" t="str" cm="1">
        <f t="array" ref="N856">_xlfn.LET(_xlpm.total,SUM(I856:L856),_xlpm.maxv,MAX(I856:L856),IF(_xlpm.total=0,"",IF(_xlpm.maxv/_xlpm.total&lt;0.5,"Mixed-Class",_xlfn.IFS(_xlpm.maxv=I856,"Assault",_xlpm.maxv=J856,"Engineer",_xlpm.maxv=K856,"Recon",_xlpm.maxv=L856,"Support"))))</f>
        <v/>
      </c>
      <c r="O856" t="str">
        <f t="shared" si="56"/>
        <v/>
      </c>
      <c r="P856" s="28" t="str">
        <f t="shared" si="57"/>
        <v/>
      </c>
    </row>
    <row r="857" spans="2:16" x14ac:dyDescent="0.25">
      <c r="B857">
        <v>8557</v>
      </c>
      <c r="H857" t="str">
        <f t="shared" si="54"/>
        <v/>
      </c>
      <c r="M857">
        <f t="shared" si="55"/>
        <v>0</v>
      </c>
      <c r="N857" t="str" cm="1">
        <f t="array" ref="N857">_xlfn.LET(_xlpm.total,SUM(I857:L857),_xlpm.maxv,MAX(I857:L857),IF(_xlpm.total=0,"",IF(_xlpm.maxv/_xlpm.total&lt;0.5,"Mixed-Class",_xlfn.IFS(_xlpm.maxv=I857,"Assault",_xlpm.maxv=J857,"Engineer",_xlpm.maxv=K857,"Recon",_xlpm.maxv=L857,"Support"))))</f>
        <v/>
      </c>
      <c r="O857" t="str">
        <f t="shared" si="56"/>
        <v/>
      </c>
      <c r="P857" s="28" t="str">
        <f t="shared" si="57"/>
        <v/>
      </c>
    </row>
    <row r="858" spans="2:16" x14ac:dyDescent="0.25">
      <c r="B858">
        <v>8567</v>
      </c>
      <c r="H858" t="str">
        <f t="shared" si="54"/>
        <v/>
      </c>
      <c r="M858">
        <f t="shared" si="55"/>
        <v>0</v>
      </c>
      <c r="N858" t="str" cm="1">
        <f t="array" ref="N858">_xlfn.LET(_xlpm.total,SUM(I858:L858),_xlpm.maxv,MAX(I858:L858),IF(_xlpm.total=0,"",IF(_xlpm.maxv/_xlpm.total&lt;0.5,"Mixed-Class",_xlfn.IFS(_xlpm.maxv=I858,"Assault",_xlpm.maxv=J858,"Engineer",_xlpm.maxv=K858,"Recon",_xlpm.maxv=L858,"Support"))))</f>
        <v/>
      </c>
      <c r="O858" t="str">
        <f t="shared" si="56"/>
        <v/>
      </c>
      <c r="P858" s="28" t="str">
        <f t="shared" si="57"/>
        <v/>
      </c>
    </row>
    <row r="859" spans="2:16" x14ac:dyDescent="0.25">
      <c r="B859">
        <v>8577</v>
      </c>
      <c r="H859" t="str">
        <f t="shared" si="54"/>
        <v/>
      </c>
      <c r="M859">
        <f t="shared" si="55"/>
        <v>0</v>
      </c>
      <c r="N859" t="str" cm="1">
        <f t="array" ref="N859">_xlfn.LET(_xlpm.total,SUM(I859:L859),_xlpm.maxv,MAX(I859:L859),IF(_xlpm.total=0,"",IF(_xlpm.maxv/_xlpm.total&lt;0.5,"Mixed-Class",_xlfn.IFS(_xlpm.maxv=I859,"Assault",_xlpm.maxv=J859,"Engineer",_xlpm.maxv=K859,"Recon",_xlpm.maxv=L859,"Support"))))</f>
        <v/>
      </c>
      <c r="O859" t="str">
        <f t="shared" si="56"/>
        <v/>
      </c>
      <c r="P859" s="28" t="str">
        <f t="shared" si="57"/>
        <v/>
      </c>
    </row>
    <row r="860" spans="2:16" x14ac:dyDescent="0.25">
      <c r="B860">
        <v>8587</v>
      </c>
      <c r="H860" t="str">
        <f t="shared" si="54"/>
        <v/>
      </c>
      <c r="M860">
        <f t="shared" si="55"/>
        <v>0</v>
      </c>
      <c r="N860" t="str" cm="1">
        <f t="array" ref="N860">_xlfn.LET(_xlpm.total,SUM(I860:L860),_xlpm.maxv,MAX(I860:L860),IF(_xlpm.total=0,"",IF(_xlpm.maxv/_xlpm.total&lt;0.5,"Mixed-Class",_xlfn.IFS(_xlpm.maxv=I860,"Assault",_xlpm.maxv=J860,"Engineer",_xlpm.maxv=K860,"Recon",_xlpm.maxv=L860,"Support"))))</f>
        <v/>
      </c>
      <c r="O860" t="str">
        <f t="shared" si="56"/>
        <v/>
      </c>
      <c r="P860" s="28" t="str">
        <f t="shared" si="57"/>
        <v/>
      </c>
    </row>
    <row r="861" spans="2:16" x14ac:dyDescent="0.25">
      <c r="B861">
        <v>8597</v>
      </c>
      <c r="H861" t="str">
        <f t="shared" si="54"/>
        <v/>
      </c>
      <c r="M861">
        <f t="shared" si="55"/>
        <v>0</v>
      </c>
      <c r="N861" t="str" cm="1">
        <f t="array" ref="N861">_xlfn.LET(_xlpm.total,SUM(I861:L861),_xlpm.maxv,MAX(I861:L861),IF(_xlpm.total=0,"",IF(_xlpm.maxv/_xlpm.total&lt;0.5,"Mixed-Class",_xlfn.IFS(_xlpm.maxv=I861,"Assault",_xlpm.maxv=J861,"Engineer",_xlpm.maxv=K861,"Recon",_xlpm.maxv=L861,"Support"))))</f>
        <v/>
      </c>
      <c r="O861" t="str">
        <f t="shared" si="56"/>
        <v/>
      </c>
      <c r="P861" s="28" t="str">
        <f t="shared" si="57"/>
        <v/>
      </c>
    </row>
    <row r="862" spans="2:16" x14ac:dyDescent="0.25">
      <c r="B862">
        <v>8607</v>
      </c>
      <c r="H862" t="str">
        <f t="shared" si="54"/>
        <v/>
      </c>
      <c r="M862">
        <f t="shared" si="55"/>
        <v>0</v>
      </c>
      <c r="N862" t="str" cm="1">
        <f t="array" ref="N862">_xlfn.LET(_xlpm.total,SUM(I862:L862),_xlpm.maxv,MAX(I862:L862),IF(_xlpm.total=0,"",IF(_xlpm.maxv/_xlpm.total&lt;0.5,"Mixed-Class",_xlfn.IFS(_xlpm.maxv=I862,"Assault",_xlpm.maxv=J862,"Engineer",_xlpm.maxv=K862,"Recon",_xlpm.maxv=L862,"Support"))))</f>
        <v/>
      </c>
      <c r="O862" t="str">
        <f t="shared" si="56"/>
        <v/>
      </c>
      <c r="P862" s="28" t="str">
        <f t="shared" si="57"/>
        <v/>
      </c>
    </row>
    <row r="863" spans="2:16" x14ac:dyDescent="0.25">
      <c r="B863">
        <v>8617</v>
      </c>
      <c r="H863" t="str">
        <f t="shared" si="54"/>
        <v/>
      </c>
      <c r="M863">
        <f t="shared" si="55"/>
        <v>0</v>
      </c>
      <c r="N863" t="str" cm="1">
        <f t="array" ref="N863">_xlfn.LET(_xlpm.total,SUM(I863:L863),_xlpm.maxv,MAX(I863:L863),IF(_xlpm.total=0,"",IF(_xlpm.maxv/_xlpm.total&lt;0.5,"Mixed-Class",_xlfn.IFS(_xlpm.maxv=I863,"Assault",_xlpm.maxv=J863,"Engineer",_xlpm.maxv=K863,"Recon",_xlpm.maxv=L863,"Support"))))</f>
        <v/>
      </c>
      <c r="O863" t="str">
        <f t="shared" si="56"/>
        <v/>
      </c>
      <c r="P863" s="28" t="str">
        <f t="shared" si="57"/>
        <v/>
      </c>
    </row>
    <row r="864" spans="2:16" x14ac:dyDescent="0.25">
      <c r="B864">
        <v>8627</v>
      </c>
      <c r="H864" t="str">
        <f t="shared" si="54"/>
        <v/>
      </c>
      <c r="M864">
        <f t="shared" si="55"/>
        <v>0</v>
      </c>
      <c r="N864" t="str" cm="1">
        <f t="array" ref="N864">_xlfn.LET(_xlpm.total,SUM(I864:L864),_xlpm.maxv,MAX(I864:L864),IF(_xlpm.total=0,"",IF(_xlpm.maxv/_xlpm.total&lt;0.5,"Mixed-Class",_xlfn.IFS(_xlpm.maxv=I864,"Assault",_xlpm.maxv=J864,"Engineer",_xlpm.maxv=K864,"Recon",_xlpm.maxv=L864,"Support"))))</f>
        <v/>
      </c>
      <c r="O864" t="str">
        <f t="shared" si="56"/>
        <v/>
      </c>
      <c r="P864" s="28" t="str">
        <f t="shared" si="57"/>
        <v/>
      </c>
    </row>
    <row r="865" spans="2:16" x14ac:dyDescent="0.25">
      <c r="B865">
        <v>8637</v>
      </c>
      <c r="H865" t="str">
        <f t="shared" si="54"/>
        <v/>
      </c>
      <c r="M865">
        <f t="shared" si="55"/>
        <v>0</v>
      </c>
      <c r="N865" t="str" cm="1">
        <f t="array" ref="N865">_xlfn.LET(_xlpm.total,SUM(I865:L865),_xlpm.maxv,MAX(I865:L865),IF(_xlpm.total=0,"",IF(_xlpm.maxv/_xlpm.total&lt;0.5,"Mixed-Class",_xlfn.IFS(_xlpm.maxv=I865,"Assault",_xlpm.maxv=J865,"Engineer",_xlpm.maxv=K865,"Recon",_xlpm.maxv=L865,"Support"))))</f>
        <v/>
      </c>
      <c r="O865" t="str">
        <f t="shared" si="56"/>
        <v/>
      </c>
      <c r="P865" s="28" t="str">
        <f t="shared" si="57"/>
        <v/>
      </c>
    </row>
    <row r="866" spans="2:16" x14ac:dyDescent="0.25">
      <c r="B866">
        <v>8647</v>
      </c>
      <c r="H866" t="str">
        <f t="shared" si="54"/>
        <v/>
      </c>
      <c r="M866">
        <f t="shared" si="55"/>
        <v>0</v>
      </c>
      <c r="N866" t="str" cm="1">
        <f t="array" ref="N866">_xlfn.LET(_xlpm.total,SUM(I866:L866),_xlpm.maxv,MAX(I866:L866),IF(_xlpm.total=0,"",IF(_xlpm.maxv/_xlpm.total&lt;0.5,"Mixed-Class",_xlfn.IFS(_xlpm.maxv=I866,"Assault",_xlpm.maxv=J866,"Engineer",_xlpm.maxv=K866,"Recon",_xlpm.maxv=L866,"Support"))))</f>
        <v/>
      </c>
      <c r="O866" t="str">
        <f t="shared" si="56"/>
        <v/>
      </c>
      <c r="P866" s="28" t="str">
        <f t="shared" si="57"/>
        <v/>
      </c>
    </row>
    <row r="867" spans="2:16" x14ac:dyDescent="0.25">
      <c r="B867">
        <v>8657</v>
      </c>
      <c r="H867" t="str">
        <f t="shared" si="54"/>
        <v/>
      </c>
      <c r="M867">
        <f t="shared" si="55"/>
        <v>0</v>
      </c>
      <c r="N867" t="str" cm="1">
        <f t="array" ref="N867">_xlfn.LET(_xlpm.total,SUM(I867:L867),_xlpm.maxv,MAX(I867:L867),IF(_xlpm.total=0,"",IF(_xlpm.maxv/_xlpm.total&lt;0.5,"Mixed-Class",_xlfn.IFS(_xlpm.maxv=I867,"Assault",_xlpm.maxv=J867,"Engineer",_xlpm.maxv=K867,"Recon",_xlpm.maxv=L867,"Support"))))</f>
        <v/>
      </c>
      <c r="O867" t="str">
        <f t="shared" si="56"/>
        <v/>
      </c>
      <c r="P867" s="28" t="str">
        <f t="shared" si="57"/>
        <v/>
      </c>
    </row>
    <row r="868" spans="2:16" x14ac:dyDescent="0.25">
      <c r="B868">
        <v>8667</v>
      </c>
      <c r="H868" t="str">
        <f t="shared" si="54"/>
        <v/>
      </c>
      <c r="M868">
        <f t="shared" si="55"/>
        <v>0</v>
      </c>
      <c r="N868" t="str" cm="1">
        <f t="array" ref="N868">_xlfn.LET(_xlpm.total,SUM(I868:L868),_xlpm.maxv,MAX(I868:L868),IF(_xlpm.total=0,"",IF(_xlpm.maxv/_xlpm.total&lt;0.5,"Mixed-Class",_xlfn.IFS(_xlpm.maxv=I868,"Assault",_xlpm.maxv=J868,"Engineer",_xlpm.maxv=K868,"Recon",_xlpm.maxv=L868,"Support"))))</f>
        <v/>
      </c>
      <c r="O868" t="str">
        <f t="shared" si="56"/>
        <v/>
      </c>
      <c r="P868" s="28" t="str">
        <f t="shared" si="57"/>
        <v/>
      </c>
    </row>
    <row r="869" spans="2:16" x14ac:dyDescent="0.25">
      <c r="B869">
        <v>8677</v>
      </c>
      <c r="H869" t="str">
        <f t="shared" si="54"/>
        <v/>
      </c>
      <c r="M869">
        <f t="shared" si="55"/>
        <v>0</v>
      </c>
      <c r="N869" t="str" cm="1">
        <f t="array" ref="N869">_xlfn.LET(_xlpm.total,SUM(I869:L869),_xlpm.maxv,MAX(I869:L869),IF(_xlpm.total=0,"",IF(_xlpm.maxv/_xlpm.total&lt;0.5,"Mixed-Class",_xlfn.IFS(_xlpm.maxv=I869,"Assault",_xlpm.maxv=J869,"Engineer",_xlpm.maxv=K869,"Recon",_xlpm.maxv=L869,"Support"))))</f>
        <v/>
      </c>
      <c r="O869" t="str">
        <f t="shared" si="56"/>
        <v/>
      </c>
      <c r="P869" s="28" t="str">
        <f t="shared" si="57"/>
        <v/>
      </c>
    </row>
    <row r="870" spans="2:16" x14ac:dyDescent="0.25">
      <c r="B870">
        <v>8687</v>
      </c>
      <c r="H870" t="str">
        <f t="shared" si="54"/>
        <v/>
      </c>
      <c r="M870">
        <f t="shared" si="55"/>
        <v>0</v>
      </c>
      <c r="N870" t="str" cm="1">
        <f t="array" ref="N870">_xlfn.LET(_xlpm.total,SUM(I870:L870),_xlpm.maxv,MAX(I870:L870),IF(_xlpm.total=0,"",IF(_xlpm.maxv/_xlpm.total&lt;0.5,"Mixed-Class",_xlfn.IFS(_xlpm.maxv=I870,"Assault",_xlpm.maxv=J870,"Engineer",_xlpm.maxv=K870,"Recon",_xlpm.maxv=L870,"Support"))))</f>
        <v/>
      </c>
      <c r="O870" t="str">
        <f t="shared" si="56"/>
        <v/>
      </c>
      <c r="P870" s="28" t="str">
        <f t="shared" si="57"/>
        <v/>
      </c>
    </row>
    <row r="871" spans="2:16" x14ac:dyDescent="0.25">
      <c r="B871">
        <v>8697</v>
      </c>
      <c r="H871" t="str">
        <f t="shared" si="54"/>
        <v/>
      </c>
      <c r="M871">
        <f t="shared" si="55"/>
        <v>0</v>
      </c>
      <c r="N871" t="str" cm="1">
        <f t="array" ref="N871">_xlfn.LET(_xlpm.total,SUM(I871:L871),_xlpm.maxv,MAX(I871:L871),IF(_xlpm.total=0,"",IF(_xlpm.maxv/_xlpm.total&lt;0.5,"Mixed-Class",_xlfn.IFS(_xlpm.maxv=I871,"Assault",_xlpm.maxv=J871,"Engineer",_xlpm.maxv=K871,"Recon",_xlpm.maxv=L871,"Support"))))</f>
        <v/>
      </c>
      <c r="O871" t="str">
        <f t="shared" si="56"/>
        <v/>
      </c>
      <c r="P871" s="28" t="str">
        <f t="shared" si="57"/>
        <v/>
      </c>
    </row>
    <row r="872" spans="2:16" x14ac:dyDescent="0.25">
      <c r="B872">
        <v>8707</v>
      </c>
      <c r="H872" t="str">
        <f t="shared" si="54"/>
        <v/>
      </c>
      <c r="M872">
        <f t="shared" si="55"/>
        <v>0</v>
      </c>
      <c r="N872" t="str" cm="1">
        <f t="array" ref="N872">_xlfn.LET(_xlpm.total,SUM(I872:L872),_xlpm.maxv,MAX(I872:L872),IF(_xlpm.total=0,"",IF(_xlpm.maxv/_xlpm.total&lt;0.5,"Mixed-Class",_xlfn.IFS(_xlpm.maxv=I872,"Assault",_xlpm.maxv=J872,"Engineer",_xlpm.maxv=K872,"Recon",_xlpm.maxv=L872,"Support"))))</f>
        <v/>
      </c>
      <c r="O872" t="str">
        <f t="shared" si="56"/>
        <v/>
      </c>
      <c r="P872" s="28" t="str">
        <f t="shared" si="57"/>
        <v/>
      </c>
    </row>
    <row r="873" spans="2:16" x14ac:dyDescent="0.25">
      <c r="B873">
        <v>8717</v>
      </c>
      <c r="H873" t="str">
        <f t="shared" si="54"/>
        <v/>
      </c>
      <c r="M873">
        <f t="shared" si="55"/>
        <v>0</v>
      </c>
      <c r="N873" t="str" cm="1">
        <f t="array" ref="N873">_xlfn.LET(_xlpm.total,SUM(I873:L873),_xlpm.maxv,MAX(I873:L873),IF(_xlpm.total=0,"",IF(_xlpm.maxv/_xlpm.total&lt;0.5,"Mixed-Class",_xlfn.IFS(_xlpm.maxv=I873,"Assault",_xlpm.maxv=J873,"Engineer",_xlpm.maxv=K873,"Recon",_xlpm.maxv=L873,"Support"))))</f>
        <v/>
      </c>
      <c r="O873" t="str">
        <f t="shared" si="56"/>
        <v/>
      </c>
      <c r="P873" s="28" t="str">
        <f t="shared" si="57"/>
        <v/>
      </c>
    </row>
    <row r="874" spans="2:16" x14ac:dyDescent="0.25">
      <c r="B874">
        <v>8727</v>
      </c>
      <c r="H874" t="str">
        <f t="shared" si="54"/>
        <v/>
      </c>
      <c r="M874">
        <f t="shared" si="55"/>
        <v>0</v>
      </c>
      <c r="N874" t="str" cm="1">
        <f t="array" ref="N874">_xlfn.LET(_xlpm.total,SUM(I874:L874),_xlpm.maxv,MAX(I874:L874),IF(_xlpm.total=0,"",IF(_xlpm.maxv/_xlpm.total&lt;0.5,"Mixed-Class",_xlfn.IFS(_xlpm.maxv=I874,"Assault",_xlpm.maxv=J874,"Engineer",_xlpm.maxv=K874,"Recon",_xlpm.maxv=L874,"Support"))))</f>
        <v/>
      </c>
      <c r="O874" t="str">
        <f t="shared" si="56"/>
        <v/>
      </c>
      <c r="P874" s="28" t="str">
        <f t="shared" si="57"/>
        <v/>
      </c>
    </row>
    <row r="875" spans="2:16" x14ac:dyDescent="0.25">
      <c r="B875">
        <v>8737</v>
      </c>
      <c r="H875" t="str">
        <f t="shared" si="54"/>
        <v/>
      </c>
      <c r="M875">
        <f t="shared" si="55"/>
        <v>0</v>
      </c>
      <c r="N875" t="str" cm="1">
        <f t="array" ref="N875">_xlfn.LET(_xlpm.total,SUM(I875:L875),_xlpm.maxv,MAX(I875:L875),IF(_xlpm.total=0,"",IF(_xlpm.maxv/_xlpm.total&lt;0.5,"Mixed-Class",_xlfn.IFS(_xlpm.maxv=I875,"Assault",_xlpm.maxv=J875,"Engineer",_xlpm.maxv=K875,"Recon",_xlpm.maxv=L875,"Support"))))</f>
        <v/>
      </c>
      <c r="O875" t="str">
        <f t="shared" si="56"/>
        <v/>
      </c>
      <c r="P875" s="28" t="str">
        <f t="shared" si="57"/>
        <v/>
      </c>
    </row>
    <row r="876" spans="2:16" x14ac:dyDescent="0.25">
      <c r="B876">
        <v>8747</v>
      </c>
      <c r="H876" t="str">
        <f t="shared" si="54"/>
        <v/>
      </c>
      <c r="M876">
        <f t="shared" si="55"/>
        <v>0</v>
      </c>
      <c r="N876" t="str" cm="1">
        <f t="array" ref="N876">_xlfn.LET(_xlpm.total,SUM(I876:L876),_xlpm.maxv,MAX(I876:L876),IF(_xlpm.total=0,"",IF(_xlpm.maxv/_xlpm.total&lt;0.5,"Mixed-Class",_xlfn.IFS(_xlpm.maxv=I876,"Assault",_xlpm.maxv=J876,"Engineer",_xlpm.maxv=K876,"Recon",_xlpm.maxv=L876,"Support"))))</f>
        <v/>
      </c>
      <c r="O876" t="str">
        <f t="shared" si="56"/>
        <v/>
      </c>
      <c r="P876" s="28" t="str">
        <f t="shared" si="57"/>
        <v/>
      </c>
    </row>
    <row r="877" spans="2:16" x14ac:dyDescent="0.25">
      <c r="B877">
        <v>8757</v>
      </c>
      <c r="H877" t="str">
        <f t="shared" si="54"/>
        <v/>
      </c>
      <c r="M877">
        <f t="shared" si="55"/>
        <v>0</v>
      </c>
      <c r="N877" t="str" cm="1">
        <f t="array" ref="N877">_xlfn.LET(_xlpm.total,SUM(I877:L877),_xlpm.maxv,MAX(I877:L877),IF(_xlpm.total=0,"",IF(_xlpm.maxv/_xlpm.total&lt;0.5,"Mixed-Class",_xlfn.IFS(_xlpm.maxv=I877,"Assault",_xlpm.maxv=J877,"Engineer",_xlpm.maxv=K877,"Recon",_xlpm.maxv=L877,"Support"))))</f>
        <v/>
      </c>
      <c r="O877" t="str">
        <f t="shared" si="56"/>
        <v/>
      </c>
      <c r="P877" s="28" t="str">
        <f t="shared" si="57"/>
        <v/>
      </c>
    </row>
    <row r="878" spans="2:16" x14ac:dyDescent="0.25">
      <c r="B878">
        <v>8767</v>
      </c>
      <c r="H878" t="str">
        <f t="shared" si="54"/>
        <v/>
      </c>
      <c r="M878">
        <f t="shared" si="55"/>
        <v>0</v>
      </c>
      <c r="N878" t="str" cm="1">
        <f t="array" ref="N878">_xlfn.LET(_xlpm.total,SUM(I878:L878),_xlpm.maxv,MAX(I878:L878),IF(_xlpm.total=0,"",IF(_xlpm.maxv/_xlpm.total&lt;0.5,"Mixed-Class",_xlfn.IFS(_xlpm.maxv=I878,"Assault",_xlpm.maxv=J878,"Engineer",_xlpm.maxv=K878,"Recon",_xlpm.maxv=L878,"Support"))))</f>
        <v/>
      </c>
      <c r="O878" t="str">
        <f t="shared" si="56"/>
        <v/>
      </c>
      <c r="P878" s="28" t="str">
        <f t="shared" si="57"/>
        <v/>
      </c>
    </row>
    <row r="879" spans="2:16" x14ac:dyDescent="0.25">
      <c r="B879">
        <v>8777</v>
      </c>
      <c r="H879" t="str">
        <f t="shared" si="54"/>
        <v/>
      </c>
      <c r="M879">
        <f t="shared" si="55"/>
        <v>0</v>
      </c>
      <c r="N879" t="str" cm="1">
        <f t="array" ref="N879">_xlfn.LET(_xlpm.total,SUM(I879:L879),_xlpm.maxv,MAX(I879:L879),IF(_xlpm.total=0,"",IF(_xlpm.maxv/_xlpm.total&lt;0.5,"Mixed-Class",_xlfn.IFS(_xlpm.maxv=I879,"Assault",_xlpm.maxv=J879,"Engineer",_xlpm.maxv=K879,"Recon",_xlpm.maxv=L879,"Support"))))</f>
        <v/>
      </c>
      <c r="O879" t="str">
        <f t="shared" si="56"/>
        <v/>
      </c>
      <c r="P879" s="28" t="str">
        <f t="shared" si="57"/>
        <v/>
      </c>
    </row>
    <row r="880" spans="2:16" x14ac:dyDescent="0.25">
      <c r="B880">
        <v>8787</v>
      </c>
      <c r="H880" t="str">
        <f t="shared" si="54"/>
        <v/>
      </c>
      <c r="M880">
        <f t="shared" si="55"/>
        <v>0</v>
      </c>
      <c r="N880" t="str" cm="1">
        <f t="array" ref="N880">_xlfn.LET(_xlpm.total,SUM(I880:L880),_xlpm.maxv,MAX(I880:L880),IF(_xlpm.total=0,"",IF(_xlpm.maxv/_xlpm.total&lt;0.5,"Mixed-Class",_xlfn.IFS(_xlpm.maxv=I880,"Assault",_xlpm.maxv=J880,"Engineer",_xlpm.maxv=K880,"Recon",_xlpm.maxv=L880,"Support"))))</f>
        <v/>
      </c>
      <c r="O880" t="str">
        <f t="shared" si="56"/>
        <v/>
      </c>
      <c r="P880" s="28" t="str">
        <f t="shared" si="57"/>
        <v/>
      </c>
    </row>
    <row r="881" spans="2:16" x14ac:dyDescent="0.25">
      <c r="B881">
        <v>8797</v>
      </c>
      <c r="H881" t="str">
        <f t="shared" si="54"/>
        <v/>
      </c>
      <c r="M881">
        <f t="shared" si="55"/>
        <v>0</v>
      </c>
      <c r="N881" t="str" cm="1">
        <f t="array" ref="N881">_xlfn.LET(_xlpm.total,SUM(I881:L881),_xlpm.maxv,MAX(I881:L881),IF(_xlpm.total=0,"",IF(_xlpm.maxv/_xlpm.total&lt;0.5,"Mixed-Class",_xlfn.IFS(_xlpm.maxv=I881,"Assault",_xlpm.maxv=J881,"Engineer",_xlpm.maxv=K881,"Recon",_xlpm.maxv=L881,"Support"))))</f>
        <v/>
      </c>
      <c r="O881" t="str">
        <f t="shared" si="56"/>
        <v/>
      </c>
      <c r="P881" s="28" t="str">
        <f t="shared" si="57"/>
        <v/>
      </c>
    </row>
    <row r="882" spans="2:16" x14ac:dyDescent="0.25">
      <c r="B882">
        <v>8807</v>
      </c>
      <c r="H882" t="str">
        <f t="shared" si="54"/>
        <v/>
      </c>
      <c r="M882">
        <f t="shared" si="55"/>
        <v>0</v>
      </c>
      <c r="N882" t="str" cm="1">
        <f t="array" ref="N882">_xlfn.LET(_xlpm.total,SUM(I882:L882),_xlpm.maxv,MAX(I882:L882),IF(_xlpm.total=0,"",IF(_xlpm.maxv/_xlpm.total&lt;0.5,"Mixed-Class",_xlfn.IFS(_xlpm.maxv=I882,"Assault",_xlpm.maxv=J882,"Engineer",_xlpm.maxv=K882,"Recon",_xlpm.maxv=L882,"Support"))))</f>
        <v/>
      </c>
      <c r="O882" t="str">
        <f t="shared" si="56"/>
        <v/>
      </c>
      <c r="P882" s="28" t="str">
        <f t="shared" si="57"/>
        <v/>
      </c>
    </row>
    <row r="883" spans="2:16" x14ac:dyDescent="0.25">
      <c r="B883">
        <v>8817</v>
      </c>
      <c r="H883" t="str">
        <f t="shared" si="54"/>
        <v/>
      </c>
      <c r="M883">
        <f t="shared" si="55"/>
        <v>0</v>
      </c>
      <c r="N883" t="str" cm="1">
        <f t="array" ref="N883">_xlfn.LET(_xlpm.total,SUM(I883:L883),_xlpm.maxv,MAX(I883:L883),IF(_xlpm.total=0,"",IF(_xlpm.maxv/_xlpm.total&lt;0.5,"Mixed-Class",_xlfn.IFS(_xlpm.maxv=I883,"Assault",_xlpm.maxv=J883,"Engineer",_xlpm.maxv=K883,"Recon",_xlpm.maxv=L883,"Support"))))</f>
        <v/>
      </c>
      <c r="O883" t="str">
        <f t="shared" si="56"/>
        <v/>
      </c>
      <c r="P883" s="28" t="str">
        <f t="shared" si="57"/>
        <v/>
      </c>
    </row>
    <row r="884" spans="2:16" x14ac:dyDescent="0.25">
      <c r="B884">
        <v>8827</v>
      </c>
      <c r="H884" t="str">
        <f t="shared" si="54"/>
        <v/>
      </c>
      <c r="M884">
        <f t="shared" si="55"/>
        <v>0</v>
      </c>
      <c r="N884" t="str" cm="1">
        <f t="array" ref="N884">_xlfn.LET(_xlpm.total,SUM(I884:L884),_xlpm.maxv,MAX(I884:L884),IF(_xlpm.total=0,"",IF(_xlpm.maxv/_xlpm.total&lt;0.5,"Mixed-Class",_xlfn.IFS(_xlpm.maxv=I884,"Assault",_xlpm.maxv=J884,"Engineer",_xlpm.maxv=K884,"Recon",_xlpm.maxv=L884,"Support"))))</f>
        <v/>
      </c>
      <c r="O884" t="str">
        <f t="shared" si="56"/>
        <v/>
      </c>
      <c r="P884" s="28" t="str">
        <f t="shared" si="57"/>
        <v/>
      </c>
    </row>
    <row r="885" spans="2:16" x14ac:dyDescent="0.25">
      <c r="B885">
        <v>8837</v>
      </c>
      <c r="H885" t="str">
        <f t="shared" si="54"/>
        <v/>
      </c>
      <c r="M885">
        <f t="shared" si="55"/>
        <v>0</v>
      </c>
      <c r="N885" t="str" cm="1">
        <f t="array" ref="N885">_xlfn.LET(_xlpm.total,SUM(I885:L885),_xlpm.maxv,MAX(I885:L885),IF(_xlpm.total=0,"",IF(_xlpm.maxv/_xlpm.total&lt;0.5,"Mixed-Class",_xlfn.IFS(_xlpm.maxv=I885,"Assault",_xlpm.maxv=J885,"Engineer",_xlpm.maxv=K885,"Recon",_xlpm.maxv=L885,"Support"))))</f>
        <v/>
      </c>
      <c r="O885" t="str">
        <f t="shared" si="56"/>
        <v/>
      </c>
      <c r="P885" s="28" t="str">
        <f t="shared" si="57"/>
        <v/>
      </c>
    </row>
    <row r="886" spans="2:16" x14ac:dyDescent="0.25">
      <c r="B886">
        <v>8847</v>
      </c>
      <c r="H886" t="str">
        <f t="shared" si="54"/>
        <v/>
      </c>
      <c r="M886">
        <f t="shared" si="55"/>
        <v>0</v>
      </c>
      <c r="N886" t="str" cm="1">
        <f t="array" ref="N886">_xlfn.LET(_xlpm.total,SUM(I886:L886),_xlpm.maxv,MAX(I886:L886),IF(_xlpm.total=0,"",IF(_xlpm.maxv/_xlpm.total&lt;0.5,"Mixed-Class",_xlfn.IFS(_xlpm.maxv=I886,"Assault",_xlpm.maxv=J886,"Engineer",_xlpm.maxv=K886,"Recon",_xlpm.maxv=L886,"Support"))))</f>
        <v/>
      </c>
      <c r="O886" t="str">
        <f t="shared" si="56"/>
        <v/>
      </c>
      <c r="P886" s="28" t="str">
        <f t="shared" si="57"/>
        <v/>
      </c>
    </row>
    <row r="887" spans="2:16" x14ac:dyDescent="0.25">
      <c r="B887">
        <v>8857</v>
      </c>
      <c r="H887" t="str">
        <f t="shared" si="54"/>
        <v/>
      </c>
      <c r="M887">
        <f t="shared" si="55"/>
        <v>0</v>
      </c>
      <c r="N887" t="str" cm="1">
        <f t="array" ref="N887">_xlfn.LET(_xlpm.total,SUM(I887:L887),_xlpm.maxv,MAX(I887:L887),IF(_xlpm.total=0,"",IF(_xlpm.maxv/_xlpm.total&lt;0.5,"Mixed-Class",_xlfn.IFS(_xlpm.maxv=I887,"Assault",_xlpm.maxv=J887,"Engineer",_xlpm.maxv=K887,"Recon",_xlpm.maxv=L887,"Support"))))</f>
        <v/>
      </c>
      <c r="O887" t="str">
        <f t="shared" si="56"/>
        <v/>
      </c>
      <c r="P887" s="28" t="str">
        <f t="shared" si="57"/>
        <v/>
      </c>
    </row>
    <row r="888" spans="2:16" x14ac:dyDescent="0.25">
      <c r="B888">
        <v>8867</v>
      </c>
      <c r="H888" t="str">
        <f t="shared" si="54"/>
        <v/>
      </c>
      <c r="M888">
        <f t="shared" si="55"/>
        <v>0</v>
      </c>
      <c r="N888" t="str" cm="1">
        <f t="array" ref="N888">_xlfn.LET(_xlpm.total,SUM(I888:L888),_xlpm.maxv,MAX(I888:L888),IF(_xlpm.total=0,"",IF(_xlpm.maxv/_xlpm.total&lt;0.5,"Mixed-Class",_xlfn.IFS(_xlpm.maxv=I888,"Assault",_xlpm.maxv=J888,"Engineer",_xlpm.maxv=K888,"Recon",_xlpm.maxv=L888,"Support"))))</f>
        <v/>
      </c>
      <c r="O888" t="str">
        <f t="shared" si="56"/>
        <v/>
      </c>
      <c r="P888" s="28" t="str">
        <f t="shared" si="57"/>
        <v/>
      </c>
    </row>
    <row r="889" spans="2:16" x14ac:dyDescent="0.25">
      <c r="B889">
        <v>8877</v>
      </c>
      <c r="H889" t="str">
        <f t="shared" si="54"/>
        <v/>
      </c>
      <c r="M889">
        <f t="shared" si="55"/>
        <v>0</v>
      </c>
      <c r="N889" t="str" cm="1">
        <f t="array" ref="N889">_xlfn.LET(_xlpm.total,SUM(I889:L889),_xlpm.maxv,MAX(I889:L889),IF(_xlpm.total=0,"",IF(_xlpm.maxv/_xlpm.total&lt;0.5,"Mixed-Class",_xlfn.IFS(_xlpm.maxv=I889,"Assault",_xlpm.maxv=J889,"Engineer",_xlpm.maxv=K889,"Recon",_xlpm.maxv=L889,"Support"))))</f>
        <v/>
      </c>
      <c r="O889" t="str">
        <f t="shared" si="56"/>
        <v/>
      </c>
      <c r="P889" s="28" t="str">
        <f t="shared" si="57"/>
        <v/>
      </c>
    </row>
    <row r="890" spans="2:16" x14ac:dyDescent="0.25">
      <c r="B890">
        <v>8887</v>
      </c>
      <c r="H890" t="str">
        <f t="shared" si="54"/>
        <v/>
      </c>
      <c r="M890">
        <f t="shared" si="55"/>
        <v>0</v>
      </c>
      <c r="N890" t="str" cm="1">
        <f t="array" ref="N890">_xlfn.LET(_xlpm.total,SUM(I890:L890),_xlpm.maxv,MAX(I890:L890),IF(_xlpm.total=0,"",IF(_xlpm.maxv/_xlpm.total&lt;0.5,"Mixed-Class",_xlfn.IFS(_xlpm.maxv=I890,"Assault",_xlpm.maxv=J890,"Engineer",_xlpm.maxv=K890,"Recon",_xlpm.maxv=L890,"Support"))))</f>
        <v/>
      </c>
      <c r="O890" t="str">
        <f t="shared" si="56"/>
        <v/>
      </c>
      <c r="P890" s="28" t="str">
        <f t="shared" si="57"/>
        <v/>
      </c>
    </row>
    <row r="891" spans="2:16" x14ac:dyDescent="0.25">
      <c r="B891">
        <v>8897</v>
      </c>
      <c r="H891" t="str">
        <f t="shared" si="54"/>
        <v/>
      </c>
      <c r="M891">
        <f t="shared" si="55"/>
        <v>0</v>
      </c>
      <c r="N891" t="str" cm="1">
        <f t="array" ref="N891">_xlfn.LET(_xlpm.total,SUM(I891:L891),_xlpm.maxv,MAX(I891:L891),IF(_xlpm.total=0,"",IF(_xlpm.maxv/_xlpm.total&lt;0.5,"Mixed-Class",_xlfn.IFS(_xlpm.maxv=I891,"Assault",_xlpm.maxv=J891,"Engineer",_xlpm.maxv=K891,"Recon",_xlpm.maxv=L891,"Support"))))</f>
        <v/>
      </c>
      <c r="O891" t="str">
        <f t="shared" si="56"/>
        <v/>
      </c>
      <c r="P891" s="28" t="str">
        <f t="shared" si="57"/>
        <v/>
      </c>
    </row>
    <row r="892" spans="2:16" x14ac:dyDescent="0.25">
      <c r="B892">
        <v>8907</v>
      </c>
      <c r="H892" t="str">
        <f t="shared" si="54"/>
        <v/>
      </c>
      <c r="M892">
        <f t="shared" si="55"/>
        <v>0</v>
      </c>
      <c r="N892" t="str" cm="1">
        <f t="array" ref="N892">_xlfn.LET(_xlpm.total,SUM(I892:L892),_xlpm.maxv,MAX(I892:L892),IF(_xlpm.total=0,"",IF(_xlpm.maxv/_xlpm.total&lt;0.5,"Mixed-Class",_xlfn.IFS(_xlpm.maxv=I892,"Assault",_xlpm.maxv=J892,"Engineer",_xlpm.maxv=K892,"Recon",_xlpm.maxv=L892,"Support"))))</f>
        <v/>
      </c>
      <c r="O892" t="str">
        <f t="shared" si="56"/>
        <v/>
      </c>
      <c r="P892" s="28" t="str">
        <f t="shared" si="57"/>
        <v/>
      </c>
    </row>
    <row r="893" spans="2:16" x14ac:dyDescent="0.25">
      <c r="B893">
        <v>8917</v>
      </c>
      <c r="H893" t="str">
        <f t="shared" si="54"/>
        <v/>
      </c>
      <c r="M893">
        <f t="shared" si="55"/>
        <v>0</v>
      </c>
      <c r="N893" t="str" cm="1">
        <f t="array" ref="N893">_xlfn.LET(_xlpm.total,SUM(I893:L893),_xlpm.maxv,MAX(I893:L893),IF(_xlpm.total=0,"",IF(_xlpm.maxv/_xlpm.total&lt;0.5,"Mixed-Class",_xlfn.IFS(_xlpm.maxv=I893,"Assault",_xlpm.maxv=J893,"Engineer",_xlpm.maxv=K893,"Recon",_xlpm.maxv=L893,"Support"))))</f>
        <v/>
      </c>
      <c r="O893" t="str">
        <f t="shared" si="56"/>
        <v/>
      </c>
      <c r="P893" s="28" t="str">
        <f t="shared" si="57"/>
        <v/>
      </c>
    </row>
    <row r="894" spans="2:16" x14ac:dyDescent="0.25">
      <c r="B894">
        <v>8927</v>
      </c>
      <c r="H894" t="str">
        <f t="shared" si="54"/>
        <v/>
      </c>
      <c r="M894">
        <f t="shared" si="55"/>
        <v>0</v>
      </c>
      <c r="N894" t="str" cm="1">
        <f t="array" ref="N894">_xlfn.LET(_xlpm.total,SUM(I894:L894),_xlpm.maxv,MAX(I894:L894),IF(_xlpm.total=0,"",IF(_xlpm.maxv/_xlpm.total&lt;0.5,"Mixed-Class",_xlfn.IFS(_xlpm.maxv=I894,"Assault",_xlpm.maxv=J894,"Engineer",_xlpm.maxv=K894,"Recon",_xlpm.maxv=L894,"Support"))))</f>
        <v/>
      </c>
      <c r="O894" t="str">
        <f t="shared" si="56"/>
        <v/>
      </c>
      <c r="P894" s="28" t="str">
        <f t="shared" si="57"/>
        <v/>
      </c>
    </row>
    <row r="895" spans="2:16" x14ac:dyDescent="0.25">
      <c r="B895">
        <v>8937</v>
      </c>
      <c r="H895" t="str">
        <f t="shared" si="54"/>
        <v/>
      </c>
      <c r="M895">
        <f t="shared" si="55"/>
        <v>0</v>
      </c>
      <c r="N895" t="str" cm="1">
        <f t="array" ref="N895">_xlfn.LET(_xlpm.total,SUM(I895:L895),_xlpm.maxv,MAX(I895:L895),IF(_xlpm.total=0,"",IF(_xlpm.maxv/_xlpm.total&lt;0.5,"Mixed-Class",_xlfn.IFS(_xlpm.maxv=I895,"Assault",_xlpm.maxv=J895,"Engineer",_xlpm.maxv=K895,"Recon",_xlpm.maxv=L895,"Support"))))</f>
        <v/>
      </c>
      <c r="O895" t="str">
        <f t="shared" si="56"/>
        <v/>
      </c>
      <c r="P895" s="28" t="str">
        <f t="shared" si="57"/>
        <v/>
      </c>
    </row>
    <row r="896" spans="2:16" x14ac:dyDescent="0.25">
      <c r="B896">
        <v>8947</v>
      </c>
      <c r="H896" t="str">
        <f t="shared" si="54"/>
        <v/>
      </c>
      <c r="M896">
        <f t="shared" si="55"/>
        <v>0</v>
      </c>
      <c r="N896" t="str" cm="1">
        <f t="array" ref="N896">_xlfn.LET(_xlpm.total,SUM(I896:L896),_xlpm.maxv,MAX(I896:L896),IF(_xlpm.total=0,"",IF(_xlpm.maxv/_xlpm.total&lt;0.5,"Mixed-Class",_xlfn.IFS(_xlpm.maxv=I896,"Assault",_xlpm.maxv=J896,"Engineer",_xlpm.maxv=K896,"Recon",_xlpm.maxv=L896,"Support"))))</f>
        <v/>
      </c>
      <c r="O896" t="str">
        <f t="shared" si="56"/>
        <v/>
      </c>
      <c r="P896" s="28" t="str">
        <f t="shared" si="57"/>
        <v/>
      </c>
    </row>
    <row r="897" spans="2:16" x14ac:dyDescent="0.25">
      <c r="B897">
        <v>8957</v>
      </c>
      <c r="H897" t="str">
        <f t="shared" si="54"/>
        <v/>
      </c>
      <c r="M897">
        <f t="shared" si="55"/>
        <v>0</v>
      </c>
      <c r="N897" t="str" cm="1">
        <f t="array" ref="N897">_xlfn.LET(_xlpm.total,SUM(I897:L897),_xlpm.maxv,MAX(I897:L897),IF(_xlpm.total=0,"",IF(_xlpm.maxv/_xlpm.total&lt;0.5,"Mixed-Class",_xlfn.IFS(_xlpm.maxv=I897,"Assault",_xlpm.maxv=J897,"Engineer",_xlpm.maxv=K897,"Recon",_xlpm.maxv=L897,"Support"))))</f>
        <v/>
      </c>
      <c r="O897" t="str">
        <f t="shared" si="56"/>
        <v/>
      </c>
      <c r="P897" s="28" t="str">
        <f t="shared" si="57"/>
        <v/>
      </c>
    </row>
    <row r="898" spans="2:16" x14ac:dyDescent="0.25">
      <c r="B898">
        <v>8967</v>
      </c>
      <c r="H898" t="str">
        <f t="shared" si="54"/>
        <v/>
      </c>
      <c r="M898">
        <f t="shared" si="55"/>
        <v>0</v>
      </c>
      <c r="N898" t="str" cm="1">
        <f t="array" ref="N898">_xlfn.LET(_xlpm.total,SUM(I898:L898),_xlpm.maxv,MAX(I898:L898),IF(_xlpm.total=0,"",IF(_xlpm.maxv/_xlpm.total&lt;0.5,"Mixed-Class",_xlfn.IFS(_xlpm.maxv=I898,"Assault",_xlpm.maxv=J898,"Engineer",_xlpm.maxv=K898,"Recon",_xlpm.maxv=L898,"Support"))))</f>
        <v/>
      </c>
      <c r="O898" t="str">
        <f t="shared" si="56"/>
        <v/>
      </c>
      <c r="P898" s="28" t="str">
        <f t="shared" si="57"/>
        <v/>
      </c>
    </row>
    <row r="899" spans="2:16" x14ac:dyDescent="0.25">
      <c r="B899">
        <v>8977</v>
      </c>
      <c r="H899" t="str">
        <f t="shared" ref="H899:H962" si="58">IF(SUM(D899:G899)=0,"",IF(G899/SUM(D899:G899)&gt;=0.5,"Battle Royale",IF(F899/SUM(D899:F899)&gt;=0.6,"Infantry-Heavy",IF((D899+0.7*E899)/SUM(D899:F899)&gt;=0.7,"Vehicle-Heavy","Mixed"))))</f>
        <v/>
      </c>
      <c r="M899">
        <f t="shared" ref="M899:M962" si="59">SUM(I899:L899)</f>
        <v>0</v>
      </c>
      <c r="N899" t="str" cm="1">
        <f t="array" ref="N899">_xlfn.LET(_xlpm.total,SUM(I899:L899),_xlpm.maxv,MAX(I899:L899),IF(_xlpm.total=0,"",IF(_xlpm.maxv/_xlpm.total&lt;0.5,"Mixed-Class",_xlfn.IFS(_xlpm.maxv=I899,"Assault",_xlpm.maxv=J899,"Engineer",_xlpm.maxv=K899,"Recon",_xlpm.maxv=L899,"Support"))))</f>
        <v/>
      </c>
      <c r="O899" t="str">
        <f t="shared" ref="O899:O962" si="60">_xlfn.LET(_xlpm.total,SUM(I899:L899),IF(_xlpm.total=0,"",MAX(I899:L899)/_xlpm.total&gt;=0.5))</f>
        <v/>
      </c>
      <c r="P899" s="28" t="str">
        <f t="shared" ref="P899:P962" si="61">_xlfn.LET(_xlpm.total,SUM(I899:L899),IF(_xlpm.total=0,"",MAX(I899:L899)/_xlpm.total))</f>
        <v/>
      </c>
    </row>
    <row r="900" spans="2:16" x14ac:dyDescent="0.25">
      <c r="B900">
        <v>8987</v>
      </c>
      <c r="H900" t="str">
        <f t="shared" si="58"/>
        <v/>
      </c>
      <c r="M900">
        <f t="shared" si="59"/>
        <v>0</v>
      </c>
      <c r="N900" t="str" cm="1">
        <f t="array" ref="N900">_xlfn.LET(_xlpm.total,SUM(I900:L900),_xlpm.maxv,MAX(I900:L900),IF(_xlpm.total=0,"",IF(_xlpm.maxv/_xlpm.total&lt;0.5,"Mixed-Class",_xlfn.IFS(_xlpm.maxv=I900,"Assault",_xlpm.maxv=J900,"Engineer",_xlpm.maxv=K900,"Recon",_xlpm.maxv=L900,"Support"))))</f>
        <v/>
      </c>
      <c r="O900" t="str">
        <f t="shared" si="60"/>
        <v/>
      </c>
      <c r="P900" s="28" t="str">
        <f t="shared" si="61"/>
        <v/>
      </c>
    </row>
    <row r="901" spans="2:16" x14ac:dyDescent="0.25">
      <c r="B901">
        <v>8997</v>
      </c>
      <c r="H901" t="str">
        <f t="shared" si="58"/>
        <v/>
      </c>
      <c r="M901">
        <f t="shared" si="59"/>
        <v>0</v>
      </c>
      <c r="N901" t="str" cm="1">
        <f t="array" ref="N901">_xlfn.LET(_xlpm.total,SUM(I901:L901),_xlpm.maxv,MAX(I901:L901),IF(_xlpm.total=0,"",IF(_xlpm.maxv/_xlpm.total&lt;0.5,"Mixed-Class",_xlfn.IFS(_xlpm.maxv=I901,"Assault",_xlpm.maxv=J901,"Engineer",_xlpm.maxv=K901,"Recon",_xlpm.maxv=L901,"Support"))))</f>
        <v/>
      </c>
      <c r="O901" t="str">
        <f t="shared" si="60"/>
        <v/>
      </c>
      <c r="P901" s="28" t="str">
        <f t="shared" si="61"/>
        <v/>
      </c>
    </row>
    <row r="902" spans="2:16" x14ac:dyDescent="0.25">
      <c r="B902">
        <v>9007</v>
      </c>
      <c r="H902" t="str">
        <f t="shared" si="58"/>
        <v/>
      </c>
      <c r="M902">
        <f t="shared" si="59"/>
        <v>0</v>
      </c>
      <c r="N902" t="str" cm="1">
        <f t="array" ref="N902">_xlfn.LET(_xlpm.total,SUM(I902:L902),_xlpm.maxv,MAX(I902:L902),IF(_xlpm.total=0,"",IF(_xlpm.maxv/_xlpm.total&lt;0.5,"Mixed-Class",_xlfn.IFS(_xlpm.maxv=I902,"Assault",_xlpm.maxv=J902,"Engineer",_xlpm.maxv=K902,"Recon",_xlpm.maxv=L902,"Support"))))</f>
        <v/>
      </c>
      <c r="O902" t="str">
        <f t="shared" si="60"/>
        <v/>
      </c>
      <c r="P902" s="28" t="str">
        <f t="shared" si="61"/>
        <v/>
      </c>
    </row>
    <row r="903" spans="2:16" x14ac:dyDescent="0.25">
      <c r="B903">
        <v>9017</v>
      </c>
      <c r="H903" t="str">
        <f t="shared" si="58"/>
        <v/>
      </c>
      <c r="M903">
        <f t="shared" si="59"/>
        <v>0</v>
      </c>
      <c r="N903" t="str" cm="1">
        <f t="array" ref="N903">_xlfn.LET(_xlpm.total,SUM(I903:L903),_xlpm.maxv,MAX(I903:L903),IF(_xlpm.total=0,"",IF(_xlpm.maxv/_xlpm.total&lt;0.5,"Mixed-Class",_xlfn.IFS(_xlpm.maxv=I903,"Assault",_xlpm.maxv=J903,"Engineer",_xlpm.maxv=K903,"Recon",_xlpm.maxv=L903,"Support"))))</f>
        <v/>
      </c>
      <c r="O903" t="str">
        <f t="shared" si="60"/>
        <v/>
      </c>
      <c r="P903" s="28" t="str">
        <f t="shared" si="61"/>
        <v/>
      </c>
    </row>
    <row r="904" spans="2:16" x14ac:dyDescent="0.25">
      <c r="B904">
        <v>9027</v>
      </c>
      <c r="H904" t="str">
        <f t="shared" si="58"/>
        <v/>
      </c>
      <c r="M904">
        <f t="shared" si="59"/>
        <v>0</v>
      </c>
      <c r="N904" t="str" cm="1">
        <f t="array" ref="N904">_xlfn.LET(_xlpm.total,SUM(I904:L904),_xlpm.maxv,MAX(I904:L904),IF(_xlpm.total=0,"",IF(_xlpm.maxv/_xlpm.total&lt;0.5,"Mixed-Class",_xlfn.IFS(_xlpm.maxv=I904,"Assault",_xlpm.maxv=J904,"Engineer",_xlpm.maxv=K904,"Recon",_xlpm.maxv=L904,"Support"))))</f>
        <v/>
      </c>
      <c r="O904" t="str">
        <f t="shared" si="60"/>
        <v/>
      </c>
      <c r="P904" s="28" t="str">
        <f t="shared" si="61"/>
        <v/>
      </c>
    </row>
    <row r="905" spans="2:16" x14ac:dyDescent="0.25">
      <c r="B905">
        <v>9037</v>
      </c>
      <c r="H905" t="str">
        <f t="shared" si="58"/>
        <v/>
      </c>
      <c r="M905">
        <f t="shared" si="59"/>
        <v>0</v>
      </c>
      <c r="N905" t="str" cm="1">
        <f t="array" ref="N905">_xlfn.LET(_xlpm.total,SUM(I905:L905),_xlpm.maxv,MAX(I905:L905),IF(_xlpm.total=0,"",IF(_xlpm.maxv/_xlpm.total&lt;0.5,"Mixed-Class",_xlfn.IFS(_xlpm.maxv=I905,"Assault",_xlpm.maxv=J905,"Engineer",_xlpm.maxv=K905,"Recon",_xlpm.maxv=L905,"Support"))))</f>
        <v/>
      </c>
      <c r="O905" t="str">
        <f t="shared" si="60"/>
        <v/>
      </c>
      <c r="P905" s="28" t="str">
        <f t="shared" si="61"/>
        <v/>
      </c>
    </row>
    <row r="906" spans="2:16" x14ac:dyDescent="0.25">
      <c r="B906">
        <v>9047</v>
      </c>
      <c r="H906" t="str">
        <f t="shared" si="58"/>
        <v/>
      </c>
      <c r="M906">
        <f t="shared" si="59"/>
        <v>0</v>
      </c>
      <c r="N906" t="str" cm="1">
        <f t="array" ref="N906">_xlfn.LET(_xlpm.total,SUM(I906:L906),_xlpm.maxv,MAX(I906:L906),IF(_xlpm.total=0,"",IF(_xlpm.maxv/_xlpm.total&lt;0.5,"Mixed-Class",_xlfn.IFS(_xlpm.maxv=I906,"Assault",_xlpm.maxv=J906,"Engineer",_xlpm.maxv=K906,"Recon",_xlpm.maxv=L906,"Support"))))</f>
        <v/>
      </c>
      <c r="O906" t="str">
        <f t="shared" si="60"/>
        <v/>
      </c>
      <c r="P906" s="28" t="str">
        <f t="shared" si="61"/>
        <v/>
      </c>
    </row>
    <row r="907" spans="2:16" x14ac:dyDescent="0.25">
      <c r="B907">
        <v>9057</v>
      </c>
      <c r="H907" t="str">
        <f t="shared" si="58"/>
        <v/>
      </c>
      <c r="M907">
        <f t="shared" si="59"/>
        <v>0</v>
      </c>
      <c r="N907" t="str" cm="1">
        <f t="array" ref="N907">_xlfn.LET(_xlpm.total,SUM(I907:L907),_xlpm.maxv,MAX(I907:L907),IF(_xlpm.total=0,"",IF(_xlpm.maxv/_xlpm.total&lt;0.5,"Mixed-Class",_xlfn.IFS(_xlpm.maxv=I907,"Assault",_xlpm.maxv=J907,"Engineer",_xlpm.maxv=K907,"Recon",_xlpm.maxv=L907,"Support"))))</f>
        <v/>
      </c>
      <c r="O907" t="str">
        <f t="shared" si="60"/>
        <v/>
      </c>
      <c r="P907" s="28" t="str">
        <f t="shared" si="61"/>
        <v/>
      </c>
    </row>
    <row r="908" spans="2:16" x14ac:dyDescent="0.25">
      <c r="B908">
        <v>9067</v>
      </c>
      <c r="H908" t="str">
        <f t="shared" si="58"/>
        <v/>
      </c>
      <c r="M908">
        <f t="shared" si="59"/>
        <v>0</v>
      </c>
      <c r="N908" t="str" cm="1">
        <f t="array" ref="N908">_xlfn.LET(_xlpm.total,SUM(I908:L908),_xlpm.maxv,MAX(I908:L908),IF(_xlpm.total=0,"",IF(_xlpm.maxv/_xlpm.total&lt;0.5,"Mixed-Class",_xlfn.IFS(_xlpm.maxv=I908,"Assault",_xlpm.maxv=J908,"Engineer",_xlpm.maxv=K908,"Recon",_xlpm.maxv=L908,"Support"))))</f>
        <v/>
      </c>
      <c r="O908" t="str">
        <f t="shared" si="60"/>
        <v/>
      </c>
      <c r="P908" s="28" t="str">
        <f t="shared" si="61"/>
        <v/>
      </c>
    </row>
    <row r="909" spans="2:16" x14ac:dyDescent="0.25">
      <c r="B909">
        <v>9077</v>
      </c>
      <c r="H909" t="str">
        <f t="shared" si="58"/>
        <v/>
      </c>
      <c r="M909">
        <f t="shared" si="59"/>
        <v>0</v>
      </c>
      <c r="N909" t="str" cm="1">
        <f t="array" ref="N909">_xlfn.LET(_xlpm.total,SUM(I909:L909),_xlpm.maxv,MAX(I909:L909),IF(_xlpm.total=0,"",IF(_xlpm.maxv/_xlpm.total&lt;0.5,"Mixed-Class",_xlfn.IFS(_xlpm.maxv=I909,"Assault",_xlpm.maxv=J909,"Engineer",_xlpm.maxv=K909,"Recon",_xlpm.maxv=L909,"Support"))))</f>
        <v/>
      </c>
      <c r="O909" t="str">
        <f t="shared" si="60"/>
        <v/>
      </c>
      <c r="P909" s="28" t="str">
        <f t="shared" si="61"/>
        <v/>
      </c>
    </row>
    <row r="910" spans="2:16" x14ac:dyDescent="0.25">
      <c r="B910">
        <v>9087</v>
      </c>
      <c r="H910" t="str">
        <f t="shared" si="58"/>
        <v/>
      </c>
      <c r="M910">
        <f t="shared" si="59"/>
        <v>0</v>
      </c>
      <c r="N910" t="str" cm="1">
        <f t="array" ref="N910">_xlfn.LET(_xlpm.total,SUM(I910:L910),_xlpm.maxv,MAX(I910:L910),IF(_xlpm.total=0,"",IF(_xlpm.maxv/_xlpm.total&lt;0.5,"Mixed-Class",_xlfn.IFS(_xlpm.maxv=I910,"Assault",_xlpm.maxv=J910,"Engineer",_xlpm.maxv=K910,"Recon",_xlpm.maxv=L910,"Support"))))</f>
        <v/>
      </c>
      <c r="O910" t="str">
        <f t="shared" si="60"/>
        <v/>
      </c>
      <c r="P910" s="28" t="str">
        <f t="shared" si="61"/>
        <v/>
      </c>
    </row>
    <row r="911" spans="2:16" x14ac:dyDescent="0.25">
      <c r="B911">
        <v>9097</v>
      </c>
      <c r="H911" t="str">
        <f t="shared" si="58"/>
        <v/>
      </c>
      <c r="M911">
        <f t="shared" si="59"/>
        <v>0</v>
      </c>
      <c r="N911" t="str" cm="1">
        <f t="array" ref="N911">_xlfn.LET(_xlpm.total,SUM(I911:L911),_xlpm.maxv,MAX(I911:L911),IF(_xlpm.total=0,"",IF(_xlpm.maxv/_xlpm.total&lt;0.5,"Mixed-Class",_xlfn.IFS(_xlpm.maxv=I911,"Assault",_xlpm.maxv=J911,"Engineer",_xlpm.maxv=K911,"Recon",_xlpm.maxv=L911,"Support"))))</f>
        <v/>
      </c>
      <c r="O911" t="str">
        <f t="shared" si="60"/>
        <v/>
      </c>
      <c r="P911" s="28" t="str">
        <f t="shared" si="61"/>
        <v/>
      </c>
    </row>
    <row r="912" spans="2:16" x14ac:dyDescent="0.25">
      <c r="B912">
        <v>9107</v>
      </c>
      <c r="H912" t="str">
        <f t="shared" si="58"/>
        <v/>
      </c>
      <c r="M912">
        <f t="shared" si="59"/>
        <v>0</v>
      </c>
      <c r="N912" t="str" cm="1">
        <f t="array" ref="N912">_xlfn.LET(_xlpm.total,SUM(I912:L912),_xlpm.maxv,MAX(I912:L912),IF(_xlpm.total=0,"",IF(_xlpm.maxv/_xlpm.total&lt;0.5,"Mixed-Class",_xlfn.IFS(_xlpm.maxv=I912,"Assault",_xlpm.maxv=J912,"Engineer",_xlpm.maxv=K912,"Recon",_xlpm.maxv=L912,"Support"))))</f>
        <v/>
      </c>
      <c r="O912" t="str">
        <f t="shared" si="60"/>
        <v/>
      </c>
      <c r="P912" s="28" t="str">
        <f t="shared" si="61"/>
        <v/>
      </c>
    </row>
    <row r="913" spans="2:16" x14ac:dyDescent="0.25">
      <c r="B913">
        <v>9117</v>
      </c>
      <c r="H913" t="str">
        <f t="shared" si="58"/>
        <v/>
      </c>
      <c r="M913">
        <f t="shared" si="59"/>
        <v>0</v>
      </c>
      <c r="N913" t="str" cm="1">
        <f t="array" ref="N913">_xlfn.LET(_xlpm.total,SUM(I913:L913),_xlpm.maxv,MAX(I913:L913),IF(_xlpm.total=0,"",IF(_xlpm.maxv/_xlpm.total&lt;0.5,"Mixed-Class",_xlfn.IFS(_xlpm.maxv=I913,"Assault",_xlpm.maxv=J913,"Engineer",_xlpm.maxv=K913,"Recon",_xlpm.maxv=L913,"Support"))))</f>
        <v/>
      </c>
      <c r="O913" t="str">
        <f t="shared" si="60"/>
        <v/>
      </c>
      <c r="P913" s="28" t="str">
        <f t="shared" si="61"/>
        <v/>
      </c>
    </row>
    <row r="914" spans="2:16" x14ac:dyDescent="0.25">
      <c r="B914">
        <v>9127</v>
      </c>
      <c r="H914" t="str">
        <f t="shared" si="58"/>
        <v/>
      </c>
      <c r="M914">
        <f t="shared" si="59"/>
        <v>0</v>
      </c>
      <c r="N914" t="str" cm="1">
        <f t="array" ref="N914">_xlfn.LET(_xlpm.total,SUM(I914:L914),_xlpm.maxv,MAX(I914:L914),IF(_xlpm.total=0,"",IF(_xlpm.maxv/_xlpm.total&lt;0.5,"Mixed-Class",_xlfn.IFS(_xlpm.maxv=I914,"Assault",_xlpm.maxv=J914,"Engineer",_xlpm.maxv=K914,"Recon",_xlpm.maxv=L914,"Support"))))</f>
        <v/>
      </c>
      <c r="O914" t="str">
        <f t="shared" si="60"/>
        <v/>
      </c>
      <c r="P914" s="28" t="str">
        <f t="shared" si="61"/>
        <v/>
      </c>
    </row>
    <row r="915" spans="2:16" x14ac:dyDescent="0.25">
      <c r="B915">
        <v>9137</v>
      </c>
      <c r="H915" t="str">
        <f t="shared" si="58"/>
        <v/>
      </c>
      <c r="M915">
        <f t="shared" si="59"/>
        <v>0</v>
      </c>
      <c r="N915" t="str" cm="1">
        <f t="array" ref="N915">_xlfn.LET(_xlpm.total,SUM(I915:L915),_xlpm.maxv,MAX(I915:L915),IF(_xlpm.total=0,"",IF(_xlpm.maxv/_xlpm.total&lt;0.5,"Mixed-Class",_xlfn.IFS(_xlpm.maxv=I915,"Assault",_xlpm.maxv=J915,"Engineer",_xlpm.maxv=K915,"Recon",_xlpm.maxv=L915,"Support"))))</f>
        <v/>
      </c>
      <c r="O915" t="str">
        <f t="shared" si="60"/>
        <v/>
      </c>
      <c r="P915" s="28" t="str">
        <f t="shared" si="61"/>
        <v/>
      </c>
    </row>
    <row r="916" spans="2:16" x14ac:dyDescent="0.25">
      <c r="B916">
        <v>9147</v>
      </c>
      <c r="H916" t="str">
        <f t="shared" si="58"/>
        <v/>
      </c>
      <c r="M916">
        <f t="shared" si="59"/>
        <v>0</v>
      </c>
      <c r="N916" t="str" cm="1">
        <f t="array" ref="N916">_xlfn.LET(_xlpm.total,SUM(I916:L916),_xlpm.maxv,MAX(I916:L916),IF(_xlpm.total=0,"",IF(_xlpm.maxv/_xlpm.total&lt;0.5,"Mixed-Class",_xlfn.IFS(_xlpm.maxv=I916,"Assault",_xlpm.maxv=J916,"Engineer",_xlpm.maxv=K916,"Recon",_xlpm.maxv=L916,"Support"))))</f>
        <v/>
      </c>
      <c r="O916" t="str">
        <f t="shared" si="60"/>
        <v/>
      </c>
      <c r="P916" s="28" t="str">
        <f t="shared" si="61"/>
        <v/>
      </c>
    </row>
    <row r="917" spans="2:16" x14ac:dyDescent="0.25">
      <c r="B917">
        <v>9157</v>
      </c>
      <c r="H917" t="str">
        <f t="shared" si="58"/>
        <v/>
      </c>
      <c r="M917">
        <f t="shared" si="59"/>
        <v>0</v>
      </c>
      <c r="N917" t="str" cm="1">
        <f t="array" ref="N917">_xlfn.LET(_xlpm.total,SUM(I917:L917),_xlpm.maxv,MAX(I917:L917),IF(_xlpm.total=0,"",IF(_xlpm.maxv/_xlpm.total&lt;0.5,"Mixed-Class",_xlfn.IFS(_xlpm.maxv=I917,"Assault",_xlpm.maxv=J917,"Engineer",_xlpm.maxv=K917,"Recon",_xlpm.maxv=L917,"Support"))))</f>
        <v/>
      </c>
      <c r="O917" t="str">
        <f t="shared" si="60"/>
        <v/>
      </c>
      <c r="P917" s="28" t="str">
        <f t="shared" si="61"/>
        <v/>
      </c>
    </row>
    <row r="918" spans="2:16" x14ac:dyDescent="0.25">
      <c r="B918">
        <v>9167</v>
      </c>
      <c r="H918" t="str">
        <f t="shared" si="58"/>
        <v/>
      </c>
      <c r="M918">
        <f t="shared" si="59"/>
        <v>0</v>
      </c>
      <c r="N918" t="str" cm="1">
        <f t="array" ref="N918">_xlfn.LET(_xlpm.total,SUM(I918:L918),_xlpm.maxv,MAX(I918:L918),IF(_xlpm.total=0,"",IF(_xlpm.maxv/_xlpm.total&lt;0.5,"Mixed-Class",_xlfn.IFS(_xlpm.maxv=I918,"Assault",_xlpm.maxv=J918,"Engineer",_xlpm.maxv=K918,"Recon",_xlpm.maxv=L918,"Support"))))</f>
        <v/>
      </c>
      <c r="O918" t="str">
        <f t="shared" si="60"/>
        <v/>
      </c>
      <c r="P918" s="28" t="str">
        <f t="shared" si="61"/>
        <v/>
      </c>
    </row>
    <row r="919" spans="2:16" x14ac:dyDescent="0.25">
      <c r="B919">
        <v>9177</v>
      </c>
      <c r="H919" t="str">
        <f t="shared" si="58"/>
        <v/>
      </c>
      <c r="M919">
        <f t="shared" si="59"/>
        <v>0</v>
      </c>
      <c r="N919" t="str" cm="1">
        <f t="array" ref="N919">_xlfn.LET(_xlpm.total,SUM(I919:L919),_xlpm.maxv,MAX(I919:L919),IF(_xlpm.total=0,"",IF(_xlpm.maxv/_xlpm.total&lt;0.5,"Mixed-Class",_xlfn.IFS(_xlpm.maxv=I919,"Assault",_xlpm.maxv=J919,"Engineer",_xlpm.maxv=K919,"Recon",_xlpm.maxv=L919,"Support"))))</f>
        <v/>
      </c>
      <c r="O919" t="str">
        <f t="shared" si="60"/>
        <v/>
      </c>
      <c r="P919" s="28" t="str">
        <f t="shared" si="61"/>
        <v/>
      </c>
    </row>
    <row r="920" spans="2:16" x14ac:dyDescent="0.25">
      <c r="B920">
        <v>9187</v>
      </c>
      <c r="H920" t="str">
        <f t="shared" si="58"/>
        <v/>
      </c>
      <c r="M920">
        <f t="shared" si="59"/>
        <v>0</v>
      </c>
      <c r="N920" t="str" cm="1">
        <f t="array" ref="N920">_xlfn.LET(_xlpm.total,SUM(I920:L920),_xlpm.maxv,MAX(I920:L920),IF(_xlpm.total=0,"",IF(_xlpm.maxv/_xlpm.total&lt;0.5,"Mixed-Class",_xlfn.IFS(_xlpm.maxv=I920,"Assault",_xlpm.maxv=J920,"Engineer",_xlpm.maxv=K920,"Recon",_xlpm.maxv=L920,"Support"))))</f>
        <v/>
      </c>
      <c r="O920" t="str">
        <f t="shared" si="60"/>
        <v/>
      </c>
      <c r="P920" s="28" t="str">
        <f t="shared" si="61"/>
        <v/>
      </c>
    </row>
    <row r="921" spans="2:16" x14ac:dyDescent="0.25">
      <c r="B921">
        <v>9197</v>
      </c>
      <c r="H921" t="str">
        <f t="shared" si="58"/>
        <v/>
      </c>
      <c r="M921">
        <f t="shared" si="59"/>
        <v>0</v>
      </c>
      <c r="N921" t="str" cm="1">
        <f t="array" ref="N921">_xlfn.LET(_xlpm.total,SUM(I921:L921),_xlpm.maxv,MAX(I921:L921),IF(_xlpm.total=0,"",IF(_xlpm.maxv/_xlpm.total&lt;0.5,"Mixed-Class",_xlfn.IFS(_xlpm.maxv=I921,"Assault",_xlpm.maxv=J921,"Engineer",_xlpm.maxv=K921,"Recon",_xlpm.maxv=L921,"Support"))))</f>
        <v/>
      </c>
      <c r="O921" t="str">
        <f t="shared" si="60"/>
        <v/>
      </c>
      <c r="P921" s="28" t="str">
        <f t="shared" si="61"/>
        <v/>
      </c>
    </row>
    <row r="922" spans="2:16" x14ac:dyDescent="0.25">
      <c r="B922">
        <v>9207</v>
      </c>
      <c r="H922" t="str">
        <f t="shared" si="58"/>
        <v/>
      </c>
      <c r="M922">
        <f t="shared" si="59"/>
        <v>0</v>
      </c>
      <c r="N922" t="str" cm="1">
        <f t="array" ref="N922">_xlfn.LET(_xlpm.total,SUM(I922:L922),_xlpm.maxv,MAX(I922:L922),IF(_xlpm.total=0,"",IF(_xlpm.maxv/_xlpm.total&lt;0.5,"Mixed-Class",_xlfn.IFS(_xlpm.maxv=I922,"Assault",_xlpm.maxv=J922,"Engineer",_xlpm.maxv=K922,"Recon",_xlpm.maxv=L922,"Support"))))</f>
        <v/>
      </c>
      <c r="O922" t="str">
        <f t="shared" si="60"/>
        <v/>
      </c>
      <c r="P922" s="28" t="str">
        <f t="shared" si="61"/>
        <v/>
      </c>
    </row>
    <row r="923" spans="2:16" x14ac:dyDescent="0.25">
      <c r="B923">
        <v>9217</v>
      </c>
      <c r="H923" t="str">
        <f t="shared" si="58"/>
        <v/>
      </c>
      <c r="M923">
        <f t="shared" si="59"/>
        <v>0</v>
      </c>
      <c r="N923" t="str" cm="1">
        <f t="array" ref="N923">_xlfn.LET(_xlpm.total,SUM(I923:L923),_xlpm.maxv,MAX(I923:L923),IF(_xlpm.total=0,"",IF(_xlpm.maxv/_xlpm.total&lt;0.5,"Mixed-Class",_xlfn.IFS(_xlpm.maxv=I923,"Assault",_xlpm.maxv=J923,"Engineer",_xlpm.maxv=K923,"Recon",_xlpm.maxv=L923,"Support"))))</f>
        <v/>
      </c>
      <c r="O923" t="str">
        <f t="shared" si="60"/>
        <v/>
      </c>
      <c r="P923" s="28" t="str">
        <f t="shared" si="61"/>
        <v/>
      </c>
    </row>
    <row r="924" spans="2:16" x14ac:dyDescent="0.25">
      <c r="B924">
        <v>9227</v>
      </c>
      <c r="H924" t="str">
        <f t="shared" si="58"/>
        <v/>
      </c>
      <c r="M924">
        <f t="shared" si="59"/>
        <v>0</v>
      </c>
      <c r="N924" t="str" cm="1">
        <f t="array" ref="N924">_xlfn.LET(_xlpm.total,SUM(I924:L924),_xlpm.maxv,MAX(I924:L924),IF(_xlpm.total=0,"",IF(_xlpm.maxv/_xlpm.total&lt;0.5,"Mixed-Class",_xlfn.IFS(_xlpm.maxv=I924,"Assault",_xlpm.maxv=J924,"Engineer",_xlpm.maxv=K924,"Recon",_xlpm.maxv=L924,"Support"))))</f>
        <v/>
      </c>
      <c r="O924" t="str">
        <f t="shared" si="60"/>
        <v/>
      </c>
      <c r="P924" s="28" t="str">
        <f t="shared" si="61"/>
        <v/>
      </c>
    </row>
    <row r="925" spans="2:16" x14ac:dyDescent="0.25">
      <c r="B925">
        <v>9237</v>
      </c>
      <c r="H925" t="str">
        <f t="shared" si="58"/>
        <v/>
      </c>
      <c r="M925">
        <f t="shared" si="59"/>
        <v>0</v>
      </c>
      <c r="N925" t="str" cm="1">
        <f t="array" ref="N925">_xlfn.LET(_xlpm.total,SUM(I925:L925),_xlpm.maxv,MAX(I925:L925),IF(_xlpm.total=0,"",IF(_xlpm.maxv/_xlpm.total&lt;0.5,"Mixed-Class",_xlfn.IFS(_xlpm.maxv=I925,"Assault",_xlpm.maxv=J925,"Engineer",_xlpm.maxv=K925,"Recon",_xlpm.maxv=L925,"Support"))))</f>
        <v/>
      </c>
      <c r="O925" t="str">
        <f t="shared" si="60"/>
        <v/>
      </c>
      <c r="P925" s="28" t="str">
        <f t="shared" si="61"/>
        <v/>
      </c>
    </row>
    <row r="926" spans="2:16" x14ac:dyDescent="0.25">
      <c r="B926">
        <v>9247</v>
      </c>
      <c r="H926" t="str">
        <f t="shared" si="58"/>
        <v/>
      </c>
      <c r="M926">
        <f t="shared" si="59"/>
        <v>0</v>
      </c>
      <c r="N926" t="str" cm="1">
        <f t="array" ref="N926">_xlfn.LET(_xlpm.total,SUM(I926:L926),_xlpm.maxv,MAX(I926:L926),IF(_xlpm.total=0,"",IF(_xlpm.maxv/_xlpm.total&lt;0.5,"Mixed-Class",_xlfn.IFS(_xlpm.maxv=I926,"Assault",_xlpm.maxv=J926,"Engineer",_xlpm.maxv=K926,"Recon",_xlpm.maxv=L926,"Support"))))</f>
        <v/>
      </c>
      <c r="O926" t="str">
        <f t="shared" si="60"/>
        <v/>
      </c>
      <c r="P926" s="28" t="str">
        <f t="shared" si="61"/>
        <v/>
      </c>
    </row>
    <row r="927" spans="2:16" x14ac:dyDescent="0.25">
      <c r="B927">
        <v>9257</v>
      </c>
      <c r="H927" t="str">
        <f t="shared" si="58"/>
        <v/>
      </c>
      <c r="M927">
        <f t="shared" si="59"/>
        <v>0</v>
      </c>
      <c r="N927" t="str" cm="1">
        <f t="array" ref="N927">_xlfn.LET(_xlpm.total,SUM(I927:L927),_xlpm.maxv,MAX(I927:L927),IF(_xlpm.total=0,"",IF(_xlpm.maxv/_xlpm.total&lt;0.5,"Mixed-Class",_xlfn.IFS(_xlpm.maxv=I927,"Assault",_xlpm.maxv=J927,"Engineer",_xlpm.maxv=K927,"Recon",_xlpm.maxv=L927,"Support"))))</f>
        <v/>
      </c>
      <c r="O927" t="str">
        <f t="shared" si="60"/>
        <v/>
      </c>
      <c r="P927" s="28" t="str">
        <f t="shared" si="61"/>
        <v/>
      </c>
    </row>
    <row r="928" spans="2:16" x14ac:dyDescent="0.25">
      <c r="B928">
        <v>9267</v>
      </c>
      <c r="H928" t="str">
        <f t="shared" si="58"/>
        <v/>
      </c>
      <c r="M928">
        <f t="shared" si="59"/>
        <v>0</v>
      </c>
      <c r="N928" t="str" cm="1">
        <f t="array" ref="N928">_xlfn.LET(_xlpm.total,SUM(I928:L928),_xlpm.maxv,MAX(I928:L928),IF(_xlpm.total=0,"",IF(_xlpm.maxv/_xlpm.total&lt;0.5,"Mixed-Class",_xlfn.IFS(_xlpm.maxv=I928,"Assault",_xlpm.maxv=J928,"Engineer",_xlpm.maxv=K928,"Recon",_xlpm.maxv=L928,"Support"))))</f>
        <v/>
      </c>
      <c r="O928" t="str">
        <f t="shared" si="60"/>
        <v/>
      </c>
      <c r="P928" s="28" t="str">
        <f t="shared" si="61"/>
        <v/>
      </c>
    </row>
    <row r="929" spans="2:16" x14ac:dyDescent="0.25">
      <c r="B929">
        <v>9277</v>
      </c>
      <c r="H929" t="str">
        <f t="shared" si="58"/>
        <v/>
      </c>
      <c r="M929">
        <f t="shared" si="59"/>
        <v>0</v>
      </c>
      <c r="N929" t="str" cm="1">
        <f t="array" ref="N929">_xlfn.LET(_xlpm.total,SUM(I929:L929),_xlpm.maxv,MAX(I929:L929),IF(_xlpm.total=0,"",IF(_xlpm.maxv/_xlpm.total&lt;0.5,"Mixed-Class",_xlfn.IFS(_xlpm.maxv=I929,"Assault",_xlpm.maxv=J929,"Engineer",_xlpm.maxv=K929,"Recon",_xlpm.maxv=L929,"Support"))))</f>
        <v/>
      </c>
      <c r="O929" t="str">
        <f t="shared" si="60"/>
        <v/>
      </c>
      <c r="P929" s="28" t="str">
        <f t="shared" si="61"/>
        <v/>
      </c>
    </row>
    <row r="930" spans="2:16" x14ac:dyDescent="0.25">
      <c r="B930">
        <v>9287</v>
      </c>
      <c r="H930" t="str">
        <f t="shared" si="58"/>
        <v/>
      </c>
      <c r="M930">
        <f t="shared" si="59"/>
        <v>0</v>
      </c>
      <c r="N930" t="str" cm="1">
        <f t="array" ref="N930">_xlfn.LET(_xlpm.total,SUM(I930:L930),_xlpm.maxv,MAX(I930:L930),IF(_xlpm.total=0,"",IF(_xlpm.maxv/_xlpm.total&lt;0.5,"Mixed-Class",_xlfn.IFS(_xlpm.maxv=I930,"Assault",_xlpm.maxv=J930,"Engineer",_xlpm.maxv=K930,"Recon",_xlpm.maxv=L930,"Support"))))</f>
        <v/>
      </c>
      <c r="O930" t="str">
        <f t="shared" si="60"/>
        <v/>
      </c>
      <c r="P930" s="28" t="str">
        <f t="shared" si="61"/>
        <v/>
      </c>
    </row>
    <row r="931" spans="2:16" x14ac:dyDescent="0.25">
      <c r="B931">
        <v>9297</v>
      </c>
      <c r="H931" t="str">
        <f t="shared" si="58"/>
        <v/>
      </c>
      <c r="M931">
        <f t="shared" si="59"/>
        <v>0</v>
      </c>
      <c r="N931" t="str" cm="1">
        <f t="array" ref="N931">_xlfn.LET(_xlpm.total,SUM(I931:L931),_xlpm.maxv,MAX(I931:L931),IF(_xlpm.total=0,"",IF(_xlpm.maxv/_xlpm.total&lt;0.5,"Mixed-Class",_xlfn.IFS(_xlpm.maxv=I931,"Assault",_xlpm.maxv=J931,"Engineer",_xlpm.maxv=K931,"Recon",_xlpm.maxv=L931,"Support"))))</f>
        <v/>
      </c>
      <c r="O931" t="str">
        <f t="shared" si="60"/>
        <v/>
      </c>
      <c r="P931" s="28" t="str">
        <f t="shared" si="61"/>
        <v/>
      </c>
    </row>
    <row r="932" spans="2:16" x14ac:dyDescent="0.25">
      <c r="B932">
        <v>9307</v>
      </c>
      <c r="H932" t="str">
        <f t="shared" si="58"/>
        <v/>
      </c>
      <c r="M932">
        <f t="shared" si="59"/>
        <v>0</v>
      </c>
      <c r="N932" t="str" cm="1">
        <f t="array" ref="N932">_xlfn.LET(_xlpm.total,SUM(I932:L932),_xlpm.maxv,MAX(I932:L932),IF(_xlpm.total=0,"",IF(_xlpm.maxv/_xlpm.total&lt;0.5,"Mixed-Class",_xlfn.IFS(_xlpm.maxv=I932,"Assault",_xlpm.maxv=J932,"Engineer",_xlpm.maxv=K932,"Recon",_xlpm.maxv=L932,"Support"))))</f>
        <v/>
      </c>
      <c r="O932" t="str">
        <f t="shared" si="60"/>
        <v/>
      </c>
      <c r="P932" s="28" t="str">
        <f t="shared" si="61"/>
        <v/>
      </c>
    </row>
    <row r="933" spans="2:16" x14ac:dyDescent="0.25">
      <c r="B933">
        <v>9317</v>
      </c>
      <c r="H933" t="str">
        <f t="shared" si="58"/>
        <v/>
      </c>
      <c r="M933">
        <f t="shared" si="59"/>
        <v>0</v>
      </c>
      <c r="N933" t="str" cm="1">
        <f t="array" ref="N933">_xlfn.LET(_xlpm.total,SUM(I933:L933),_xlpm.maxv,MAX(I933:L933),IF(_xlpm.total=0,"",IF(_xlpm.maxv/_xlpm.total&lt;0.5,"Mixed-Class",_xlfn.IFS(_xlpm.maxv=I933,"Assault",_xlpm.maxv=J933,"Engineer",_xlpm.maxv=K933,"Recon",_xlpm.maxv=L933,"Support"))))</f>
        <v/>
      </c>
      <c r="O933" t="str">
        <f t="shared" si="60"/>
        <v/>
      </c>
      <c r="P933" s="28" t="str">
        <f t="shared" si="61"/>
        <v/>
      </c>
    </row>
    <row r="934" spans="2:16" x14ac:dyDescent="0.25">
      <c r="B934">
        <v>9327</v>
      </c>
      <c r="H934" t="str">
        <f t="shared" si="58"/>
        <v/>
      </c>
      <c r="M934">
        <f t="shared" si="59"/>
        <v>0</v>
      </c>
      <c r="N934" t="str" cm="1">
        <f t="array" ref="N934">_xlfn.LET(_xlpm.total,SUM(I934:L934),_xlpm.maxv,MAX(I934:L934),IF(_xlpm.total=0,"",IF(_xlpm.maxv/_xlpm.total&lt;0.5,"Mixed-Class",_xlfn.IFS(_xlpm.maxv=I934,"Assault",_xlpm.maxv=J934,"Engineer",_xlpm.maxv=K934,"Recon",_xlpm.maxv=L934,"Support"))))</f>
        <v/>
      </c>
      <c r="O934" t="str">
        <f t="shared" si="60"/>
        <v/>
      </c>
      <c r="P934" s="28" t="str">
        <f t="shared" si="61"/>
        <v/>
      </c>
    </row>
    <row r="935" spans="2:16" x14ac:dyDescent="0.25">
      <c r="B935">
        <v>9337</v>
      </c>
      <c r="H935" t="str">
        <f t="shared" si="58"/>
        <v/>
      </c>
      <c r="M935">
        <f t="shared" si="59"/>
        <v>0</v>
      </c>
      <c r="N935" t="str" cm="1">
        <f t="array" ref="N935">_xlfn.LET(_xlpm.total,SUM(I935:L935),_xlpm.maxv,MAX(I935:L935),IF(_xlpm.total=0,"",IF(_xlpm.maxv/_xlpm.total&lt;0.5,"Mixed-Class",_xlfn.IFS(_xlpm.maxv=I935,"Assault",_xlpm.maxv=J935,"Engineer",_xlpm.maxv=K935,"Recon",_xlpm.maxv=L935,"Support"))))</f>
        <v/>
      </c>
      <c r="O935" t="str">
        <f t="shared" si="60"/>
        <v/>
      </c>
      <c r="P935" s="28" t="str">
        <f t="shared" si="61"/>
        <v/>
      </c>
    </row>
    <row r="936" spans="2:16" x14ac:dyDescent="0.25">
      <c r="B936">
        <v>9347</v>
      </c>
      <c r="H936" t="str">
        <f t="shared" si="58"/>
        <v/>
      </c>
      <c r="M936">
        <f t="shared" si="59"/>
        <v>0</v>
      </c>
      <c r="N936" t="str" cm="1">
        <f t="array" ref="N936">_xlfn.LET(_xlpm.total,SUM(I936:L936),_xlpm.maxv,MAX(I936:L936),IF(_xlpm.total=0,"",IF(_xlpm.maxv/_xlpm.total&lt;0.5,"Mixed-Class",_xlfn.IFS(_xlpm.maxv=I936,"Assault",_xlpm.maxv=J936,"Engineer",_xlpm.maxv=K936,"Recon",_xlpm.maxv=L936,"Support"))))</f>
        <v/>
      </c>
      <c r="O936" t="str">
        <f t="shared" si="60"/>
        <v/>
      </c>
      <c r="P936" s="28" t="str">
        <f t="shared" si="61"/>
        <v/>
      </c>
    </row>
    <row r="937" spans="2:16" x14ac:dyDescent="0.25">
      <c r="B937">
        <v>9357</v>
      </c>
      <c r="H937" t="str">
        <f t="shared" si="58"/>
        <v/>
      </c>
      <c r="M937">
        <f t="shared" si="59"/>
        <v>0</v>
      </c>
      <c r="N937" t="str" cm="1">
        <f t="array" ref="N937">_xlfn.LET(_xlpm.total,SUM(I937:L937),_xlpm.maxv,MAX(I937:L937),IF(_xlpm.total=0,"",IF(_xlpm.maxv/_xlpm.total&lt;0.5,"Mixed-Class",_xlfn.IFS(_xlpm.maxv=I937,"Assault",_xlpm.maxv=J937,"Engineer",_xlpm.maxv=K937,"Recon",_xlpm.maxv=L937,"Support"))))</f>
        <v/>
      </c>
      <c r="O937" t="str">
        <f t="shared" si="60"/>
        <v/>
      </c>
      <c r="P937" s="28" t="str">
        <f t="shared" si="61"/>
        <v/>
      </c>
    </row>
    <row r="938" spans="2:16" x14ac:dyDescent="0.25">
      <c r="B938">
        <v>9367</v>
      </c>
      <c r="H938" t="str">
        <f t="shared" si="58"/>
        <v/>
      </c>
      <c r="M938">
        <f t="shared" si="59"/>
        <v>0</v>
      </c>
      <c r="N938" t="str" cm="1">
        <f t="array" ref="N938">_xlfn.LET(_xlpm.total,SUM(I938:L938),_xlpm.maxv,MAX(I938:L938),IF(_xlpm.total=0,"",IF(_xlpm.maxv/_xlpm.total&lt;0.5,"Mixed-Class",_xlfn.IFS(_xlpm.maxv=I938,"Assault",_xlpm.maxv=J938,"Engineer",_xlpm.maxv=K938,"Recon",_xlpm.maxv=L938,"Support"))))</f>
        <v/>
      </c>
      <c r="O938" t="str">
        <f t="shared" si="60"/>
        <v/>
      </c>
      <c r="P938" s="28" t="str">
        <f t="shared" si="61"/>
        <v/>
      </c>
    </row>
    <row r="939" spans="2:16" x14ac:dyDescent="0.25">
      <c r="B939">
        <v>9377</v>
      </c>
      <c r="H939" t="str">
        <f t="shared" si="58"/>
        <v/>
      </c>
      <c r="M939">
        <f t="shared" si="59"/>
        <v>0</v>
      </c>
      <c r="N939" t="str" cm="1">
        <f t="array" ref="N939">_xlfn.LET(_xlpm.total,SUM(I939:L939),_xlpm.maxv,MAX(I939:L939),IF(_xlpm.total=0,"",IF(_xlpm.maxv/_xlpm.total&lt;0.5,"Mixed-Class",_xlfn.IFS(_xlpm.maxv=I939,"Assault",_xlpm.maxv=J939,"Engineer",_xlpm.maxv=K939,"Recon",_xlpm.maxv=L939,"Support"))))</f>
        <v/>
      </c>
      <c r="O939" t="str">
        <f t="shared" si="60"/>
        <v/>
      </c>
      <c r="P939" s="28" t="str">
        <f t="shared" si="61"/>
        <v/>
      </c>
    </row>
    <row r="940" spans="2:16" x14ac:dyDescent="0.25">
      <c r="B940">
        <v>9387</v>
      </c>
      <c r="H940" t="str">
        <f t="shared" si="58"/>
        <v/>
      </c>
      <c r="M940">
        <f t="shared" si="59"/>
        <v>0</v>
      </c>
      <c r="N940" t="str" cm="1">
        <f t="array" ref="N940">_xlfn.LET(_xlpm.total,SUM(I940:L940),_xlpm.maxv,MAX(I940:L940),IF(_xlpm.total=0,"",IF(_xlpm.maxv/_xlpm.total&lt;0.5,"Mixed-Class",_xlfn.IFS(_xlpm.maxv=I940,"Assault",_xlpm.maxv=J940,"Engineer",_xlpm.maxv=K940,"Recon",_xlpm.maxv=L940,"Support"))))</f>
        <v/>
      </c>
      <c r="O940" t="str">
        <f t="shared" si="60"/>
        <v/>
      </c>
      <c r="P940" s="28" t="str">
        <f t="shared" si="61"/>
        <v/>
      </c>
    </row>
    <row r="941" spans="2:16" x14ac:dyDescent="0.25">
      <c r="B941">
        <v>9397</v>
      </c>
      <c r="H941" t="str">
        <f t="shared" si="58"/>
        <v/>
      </c>
      <c r="M941">
        <f t="shared" si="59"/>
        <v>0</v>
      </c>
      <c r="N941" t="str" cm="1">
        <f t="array" ref="N941">_xlfn.LET(_xlpm.total,SUM(I941:L941),_xlpm.maxv,MAX(I941:L941),IF(_xlpm.total=0,"",IF(_xlpm.maxv/_xlpm.total&lt;0.5,"Mixed-Class",_xlfn.IFS(_xlpm.maxv=I941,"Assault",_xlpm.maxv=J941,"Engineer",_xlpm.maxv=K941,"Recon",_xlpm.maxv=L941,"Support"))))</f>
        <v/>
      </c>
      <c r="O941" t="str">
        <f t="shared" si="60"/>
        <v/>
      </c>
      <c r="P941" s="28" t="str">
        <f t="shared" si="61"/>
        <v/>
      </c>
    </row>
    <row r="942" spans="2:16" x14ac:dyDescent="0.25">
      <c r="B942">
        <v>9407</v>
      </c>
      <c r="H942" t="str">
        <f t="shared" si="58"/>
        <v/>
      </c>
      <c r="M942">
        <f t="shared" si="59"/>
        <v>0</v>
      </c>
      <c r="N942" t="str" cm="1">
        <f t="array" ref="N942">_xlfn.LET(_xlpm.total,SUM(I942:L942),_xlpm.maxv,MAX(I942:L942),IF(_xlpm.total=0,"",IF(_xlpm.maxv/_xlpm.total&lt;0.5,"Mixed-Class",_xlfn.IFS(_xlpm.maxv=I942,"Assault",_xlpm.maxv=J942,"Engineer",_xlpm.maxv=K942,"Recon",_xlpm.maxv=L942,"Support"))))</f>
        <v/>
      </c>
      <c r="O942" t="str">
        <f t="shared" si="60"/>
        <v/>
      </c>
      <c r="P942" s="28" t="str">
        <f t="shared" si="61"/>
        <v/>
      </c>
    </row>
    <row r="943" spans="2:16" x14ac:dyDescent="0.25">
      <c r="B943">
        <v>9417</v>
      </c>
      <c r="H943" t="str">
        <f t="shared" si="58"/>
        <v/>
      </c>
      <c r="M943">
        <f t="shared" si="59"/>
        <v>0</v>
      </c>
      <c r="N943" t="str" cm="1">
        <f t="array" ref="N943">_xlfn.LET(_xlpm.total,SUM(I943:L943),_xlpm.maxv,MAX(I943:L943),IF(_xlpm.total=0,"",IF(_xlpm.maxv/_xlpm.total&lt;0.5,"Mixed-Class",_xlfn.IFS(_xlpm.maxv=I943,"Assault",_xlpm.maxv=J943,"Engineer",_xlpm.maxv=K943,"Recon",_xlpm.maxv=L943,"Support"))))</f>
        <v/>
      </c>
      <c r="O943" t="str">
        <f t="shared" si="60"/>
        <v/>
      </c>
      <c r="P943" s="28" t="str">
        <f t="shared" si="61"/>
        <v/>
      </c>
    </row>
    <row r="944" spans="2:16" x14ac:dyDescent="0.25">
      <c r="B944">
        <v>9427</v>
      </c>
      <c r="H944" t="str">
        <f t="shared" si="58"/>
        <v/>
      </c>
      <c r="M944">
        <f t="shared" si="59"/>
        <v>0</v>
      </c>
      <c r="N944" t="str" cm="1">
        <f t="array" ref="N944">_xlfn.LET(_xlpm.total,SUM(I944:L944),_xlpm.maxv,MAX(I944:L944),IF(_xlpm.total=0,"",IF(_xlpm.maxv/_xlpm.total&lt;0.5,"Mixed-Class",_xlfn.IFS(_xlpm.maxv=I944,"Assault",_xlpm.maxv=J944,"Engineer",_xlpm.maxv=K944,"Recon",_xlpm.maxv=L944,"Support"))))</f>
        <v/>
      </c>
      <c r="O944" t="str">
        <f t="shared" si="60"/>
        <v/>
      </c>
      <c r="P944" s="28" t="str">
        <f t="shared" si="61"/>
        <v/>
      </c>
    </row>
    <row r="945" spans="2:16" x14ac:dyDescent="0.25">
      <c r="B945">
        <v>9437</v>
      </c>
      <c r="H945" t="str">
        <f t="shared" si="58"/>
        <v/>
      </c>
      <c r="M945">
        <f t="shared" si="59"/>
        <v>0</v>
      </c>
      <c r="N945" t="str" cm="1">
        <f t="array" ref="N945">_xlfn.LET(_xlpm.total,SUM(I945:L945),_xlpm.maxv,MAX(I945:L945),IF(_xlpm.total=0,"",IF(_xlpm.maxv/_xlpm.total&lt;0.5,"Mixed-Class",_xlfn.IFS(_xlpm.maxv=I945,"Assault",_xlpm.maxv=J945,"Engineer",_xlpm.maxv=K945,"Recon",_xlpm.maxv=L945,"Support"))))</f>
        <v/>
      </c>
      <c r="O945" t="str">
        <f t="shared" si="60"/>
        <v/>
      </c>
      <c r="P945" s="28" t="str">
        <f t="shared" si="61"/>
        <v/>
      </c>
    </row>
    <row r="946" spans="2:16" x14ac:dyDescent="0.25">
      <c r="B946">
        <v>9447</v>
      </c>
      <c r="H946" t="str">
        <f t="shared" si="58"/>
        <v/>
      </c>
      <c r="M946">
        <f t="shared" si="59"/>
        <v>0</v>
      </c>
      <c r="N946" t="str" cm="1">
        <f t="array" ref="N946">_xlfn.LET(_xlpm.total,SUM(I946:L946),_xlpm.maxv,MAX(I946:L946),IF(_xlpm.total=0,"",IF(_xlpm.maxv/_xlpm.total&lt;0.5,"Mixed-Class",_xlfn.IFS(_xlpm.maxv=I946,"Assault",_xlpm.maxv=J946,"Engineer",_xlpm.maxv=K946,"Recon",_xlpm.maxv=L946,"Support"))))</f>
        <v/>
      </c>
      <c r="O946" t="str">
        <f t="shared" si="60"/>
        <v/>
      </c>
      <c r="P946" s="28" t="str">
        <f t="shared" si="61"/>
        <v/>
      </c>
    </row>
    <row r="947" spans="2:16" x14ac:dyDescent="0.25">
      <c r="B947">
        <v>9457</v>
      </c>
      <c r="H947" t="str">
        <f t="shared" si="58"/>
        <v/>
      </c>
      <c r="M947">
        <f t="shared" si="59"/>
        <v>0</v>
      </c>
      <c r="N947" t="str" cm="1">
        <f t="array" ref="N947">_xlfn.LET(_xlpm.total,SUM(I947:L947),_xlpm.maxv,MAX(I947:L947),IF(_xlpm.total=0,"",IF(_xlpm.maxv/_xlpm.total&lt;0.5,"Mixed-Class",_xlfn.IFS(_xlpm.maxv=I947,"Assault",_xlpm.maxv=J947,"Engineer",_xlpm.maxv=K947,"Recon",_xlpm.maxv=L947,"Support"))))</f>
        <v/>
      </c>
      <c r="O947" t="str">
        <f t="shared" si="60"/>
        <v/>
      </c>
      <c r="P947" s="28" t="str">
        <f t="shared" si="61"/>
        <v/>
      </c>
    </row>
    <row r="948" spans="2:16" x14ac:dyDescent="0.25">
      <c r="B948">
        <v>9467</v>
      </c>
      <c r="H948" t="str">
        <f t="shared" si="58"/>
        <v/>
      </c>
      <c r="M948">
        <f t="shared" si="59"/>
        <v>0</v>
      </c>
      <c r="N948" t="str" cm="1">
        <f t="array" ref="N948">_xlfn.LET(_xlpm.total,SUM(I948:L948),_xlpm.maxv,MAX(I948:L948),IF(_xlpm.total=0,"",IF(_xlpm.maxv/_xlpm.total&lt;0.5,"Mixed-Class",_xlfn.IFS(_xlpm.maxv=I948,"Assault",_xlpm.maxv=J948,"Engineer",_xlpm.maxv=K948,"Recon",_xlpm.maxv=L948,"Support"))))</f>
        <v/>
      </c>
      <c r="O948" t="str">
        <f t="shared" si="60"/>
        <v/>
      </c>
      <c r="P948" s="28" t="str">
        <f t="shared" si="61"/>
        <v/>
      </c>
    </row>
    <row r="949" spans="2:16" x14ac:dyDescent="0.25">
      <c r="B949">
        <v>9477</v>
      </c>
      <c r="H949" t="str">
        <f t="shared" si="58"/>
        <v/>
      </c>
      <c r="M949">
        <f t="shared" si="59"/>
        <v>0</v>
      </c>
      <c r="N949" t="str" cm="1">
        <f t="array" ref="N949">_xlfn.LET(_xlpm.total,SUM(I949:L949),_xlpm.maxv,MAX(I949:L949),IF(_xlpm.total=0,"",IF(_xlpm.maxv/_xlpm.total&lt;0.5,"Mixed-Class",_xlfn.IFS(_xlpm.maxv=I949,"Assault",_xlpm.maxv=J949,"Engineer",_xlpm.maxv=K949,"Recon",_xlpm.maxv=L949,"Support"))))</f>
        <v/>
      </c>
      <c r="O949" t="str">
        <f t="shared" si="60"/>
        <v/>
      </c>
      <c r="P949" s="28" t="str">
        <f t="shared" si="61"/>
        <v/>
      </c>
    </row>
    <row r="950" spans="2:16" x14ac:dyDescent="0.25">
      <c r="B950">
        <v>9487</v>
      </c>
      <c r="H950" t="str">
        <f t="shared" si="58"/>
        <v/>
      </c>
      <c r="M950">
        <f t="shared" si="59"/>
        <v>0</v>
      </c>
      <c r="N950" t="str" cm="1">
        <f t="array" ref="N950">_xlfn.LET(_xlpm.total,SUM(I950:L950),_xlpm.maxv,MAX(I950:L950),IF(_xlpm.total=0,"",IF(_xlpm.maxv/_xlpm.total&lt;0.5,"Mixed-Class",_xlfn.IFS(_xlpm.maxv=I950,"Assault",_xlpm.maxv=J950,"Engineer",_xlpm.maxv=K950,"Recon",_xlpm.maxv=L950,"Support"))))</f>
        <v/>
      </c>
      <c r="O950" t="str">
        <f t="shared" si="60"/>
        <v/>
      </c>
      <c r="P950" s="28" t="str">
        <f t="shared" si="61"/>
        <v/>
      </c>
    </row>
    <row r="951" spans="2:16" x14ac:dyDescent="0.25">
      <c r="B951">
        <v>9497</v>
      </c>
      <c r="H951" t="str">
        <f t="shared" si="58"/>
        <v/>
      </c>
      <c r="M951">
        <f t="shared" si="59"/>
        <v>0</v>
      </c>
      <c r="N951" t="str" cm="1">
        <f t="array" ref="N951">_xlfn.LET(_xlpm.total,SUM(I951:L951),_xlpm.maxv,MAX(I951:L951),IF(_xlpm.total=0,"",IF(_xlpm.maxv/_xlpm.total&lt;0.5,"Mixed-Class",_xlfn.IFS(_xlpm.maxv=I951,"Assault",_xlpm.maxv=J951,"Engineer",_xlpm.maxv=K951,"Recon",_xlpm.maxv=L951,"Support"))))</f>
        <v/>
      </c>
      <c r="O951" t="str">
        <f t="shared" si="60"/>
        <v/>
      </c>
      <c r="P951" s="28" t="str">
        <f t="shared" si="61"/>
        <v/>
      </c>
    </row>
    <row r="952" spans="2:16" x14ac:dyDescent="0.25">
      <c r="B952">
        <v>9507</v>
      </c>
      <c r="H952" t="str">
        <f t="shared" si="58"/>
        <v/>
      </c>
      <c r="M952">
        <f t="shared" si="59"/>
        <v>0</v>
      </c>
      <c r="N952" t="str" cm="1">
        <f t="array" ref="N952">_xlfn.LET(_xlpm.total,SUM(I952:L952),_xlpm.maxv,MAX(I952:L952),IF(_xlpm.total=0,"",IF(_xlpm.maxv/_xlpm.total&lt;0.5,"Mixed-Class",_xlfn.IFS(_xlpm.maxv=I952,"Assault",_xlpm.maxv=J952,"Engineer",_xlpm.maxv=K952,"Recon",_xlpm.maxv=L952,"Support"))))</f>
        <v/>
      </c>
      <c r="O952" t="str">
        <f t="shared" si="60"/>
        <v/>
      </c>
      <c r="P952" s="28" t="str">
        <f t="shared" si="61"/>
        <v/>
      </c>
    </row>
    <row r="953" spans="2:16" x14ac:dyDescent="0.25">
      <c r="B953">
        <v>9517</v>
      </c>
      <c r="H953" t="str">
        <f t="shared" si="58"/>
        <v/>
      </c>
      <c r="M953">
        <f t="shared" si="59"/>
        <v>0</v>
      </c>
      <c r="N953" t="str" cm="1">
        <f t="array" ref="N953">_xlfn.LET(_xlpm.total,SUM(I953:L953),_xlpm.maxv,MAX(I953:L953),IF(_xlpm.total=0,"",IF(_xlpm.maxv/_xlpm.total&lt;0.5,"Mixed-Class",_xlfn.IFS(_xlpm.maxv=I953,"Assault",_xlpm.maxv=J953,"Engineer",_xlpm.maxv=K953,"Recon",_xlpm.maxv=L953,"Support"))))</f>
        <v/>
      </c>
      <c r="O953" t="str">
        <f t="shared" si="60"/>
        <v/>
      </c>
      <c r="P953" s="28" t="str">
        <f t="shared" si="61"/>
        <v/>
      </c>
    </row>
    <row r="954" spans="2:16" x14ac:dyDescent="0.25">
      <c r="B954">
        <v>9527</v>
      </c>
      <c r="H954" t="str">
        <f t="shared" si="58"/>
        <v/>
      </c>
      <c r="M954">
        <f t="shared" si="59"/>
        <v>0</v>
      </c>
      <c r="N954" t="str" cm="1">
        <f t="array" ref="N954">_xlfn.LET(_xlpm.total,SUM(I954:L954),_xlpm.maxv,MAX(I954:L954),IF(_xlpm.total=0,"",IF(_xlpm.maxv/_xlpm.total&lt;0.5,"Mixed-Class",_xlfn.IFS(_xlpm.maxv=I954,"Assault",_xlpm.maxv=J954,"Engineer",_xlpm.maxv=K954,"Recon",_xlpm.maxv=L954,"Support"))))</f>
        <v/>
      </c>
      <c r="O954" t="str">
        <f t="shared" si="60"/>
        <v/>
      </c>
      <c r="P954" s="28" t="str">
        <f t="shared" si="61"/>
        <v/>
      </c>
    </row>
    <row r="955" spans="2:16" x14ac:dyDescent="0.25">
      <c r="B955">
        <v>9537</v>
      </c>
      <c r="H955" t="str">
        <f t="shared" si="58"/>
        <v/>
      </c>
      <c r="M955">
        <f t="shared" si="59"/>
        <v>0</v>
      </c>
      <c r="N955" t="str" cm="1">
        <f t="array" ref="N955">_xlfn.LET(_xlpm.total,SUM(I955:L955),_xlpm.maxv,MAX(I955:L955),IF(_xlpm.total=0,"",IF(_xlpm.maxv/_xlpm.total&lt;0.5,"Mixed-Class",_xlfn.IFS(_xlpm.maxv=I955,"Assault",_xlpm.maxv=J955,"Engineer",_xlpm.maxv=K955,"Recon",_xlpm.maxv=L955,"Support"))))</f>
        <v/>
      </c>
      <c r="O955" t="str">
        <f t="shared" si="60"/>
        <v/>
      </c>
      <c r="P955" s="28" t="str">
        <f t="shared" si="61"/>
        <v/>
      </c>
    </row>
    <row r="956" spans="2:16" x14ac:dyDescent="0.25">
      <c r="B956">
        <v>9547</v>
      </c>
      <c r="H956" t="str">
        <f t="shared" si="58"/>
        <v/>
      </c>
      <c r="M956">
        <f t="shared" si="59"/>
        <v>0</v>
      </c>
      <c r="N956" t="str" cm="1">
        <f t="array" ref="N956">_xlfn.LET(_xlpm.total,SUM(I956:L956),_xlpm.maxv,MAX(I956:L956),IF(_xlpm.total=0,"",IF(_xlpm.maxv/_xlpm.total&lt;0.5,"Mixed-Class",_xlfn.IFS(_xlpm.maxv=I956,"Assault",_xlpm.maxv=J956,"Engineer",_xlpm.maxv=K956,"Recon",_xlpm.maxv=L956,"Support"))))</f>
        <v/>
      </c>
      <c r="O956" t="str">
        <f t="shared" si="60"/>
        <v/>
      </c>
      <c r="P956" s="28" t="str">
        <f t="shared" si="61"/>
        <v/>
      </c>
    </row>
    <row r="957" spans="2:16" x14ac:dyDescent="0.25">
      <c r="B957">
        <v>9557</v>
      </c>
      <c r="H957" t="str">
        <f t="shared" si="58"/>
        <v/>
      </c>
      <c r="M957">
        <f t="shared" si="59"/>
        <v>0</v>
      </c>
      <c r="N957" t="str" cm="1">
        <f t="array" ref="N957">_xlfn.LET(_xlpm.total,SUM(I957:L957),_xlpm.maxv,MAX(I957:L957),IF(_xlpm.total=0,"",IF(_xlpm.maxv/_xlpm.total&lt;0.5,"Mixed-Class",_xlfn.IFS(_xlpm.maxv=I957,"Assault",_xlpm.maxv=J957,"Engineer",_xlpm.maxv=K957,"Recon",_xlpm.maxv=L957,"Support"))))</f>
        <v/>
      </c>
      <c r="O957" t="str">
        <f t="shared" si="60"/>
        <v/>
      </c>
      <c r="P957" s="28" t="str">
        <f t="shared" si="61"/>
        <v/>
      </c>
    </row>
    <row r="958" spans="2:16" x14ac:dyDescent="0.25">
      <c r="B958">
        <v>9567</v>
      </c>
      <c r="H958" t="str">
        <f t="shared" si="58"/>
        <v/>
      </c>
      <c r="M958">
        <f t="shared" si="59"/>
        <v>0</v>
      </c>
      <c r="N958" t="str" cm="1">
        <f t="array" ref="N958">_xlfn.LET(_xlpm.total,SUM(I958:L958),_xlpm.maxv,MAX(I958:L958),IF(_xlpm.total=0,"",IF(_xlpm.maxv/_xlpm.total&lt;0.5,"Mixed-Class",_xlfn.IFS(_xlpm.maxv=I958,"Assault",_xlpm.maxv=J958,"Engineer",_xlpm.maxv=K958,"Recon",_xlpm.maxv=L958,"Support"))))</f>
        <v/>
      </c>
      <c r="O958" t="str">
        <f t="shared" si="60"/>
        <v/>
      </c>
      <c r="P958" s="28" t="str">
        <f t="shared" si="61"/>
        <v/>
      </c>
    </row>
    <row r="959" spans="2:16" x14ac:dyDescent="0.25">
      <c r="B959">
        <v>9577</v>
      </c>
      <c r="H959" t="str">
        <f t="shared" si="58"/>
        <v/>
      </c>
      <c r="M959">
        <f t="shared" si="59"/>
        <v>0</v>
      </c>
      <c r="N959" t="str" cm="1">
        <f t="array" ref="N959">_xlfn.LET(_xlpm.total,SUM(I959:L959),_xlpm.maxv,MAX(I959:L959),IF(_xlpm.total=0,"",IF(_xlpm.maxv/_xlpm.total&lt;0.5,"Mixed-Class",_xlfn.IFS(_xlpm.maxv=I959,"Assault",_xlpm.maxv=J959,"Engineer",_xlpm.maxv=K959,"Recon",_xlpm.maxv=L959,"Support"))))</f>
        <v/>
      </c>
      <c r="O959" t="str">
        <f t="shared" si="60"/>
        <v/>
      </c>
      <c r="P959" s="28" t="str">
        <f t="shared" si="61"/>
        <v/>
      </c>
    </row>
    <row r="960" spans="2:16" x14ac:dyDescent="0.25">
      <c r="B960">
        <v>9587</v>
      </c>
      <c r="H960" t="str">
        <f t="shared" si="58"/>
        <v/>
      </c>
      <c r="M960">
        <f t="shared" si="59"/>
        <v>0</v>
      </c>
      <c r="N960" t="str" cm="1">
        <f t="array" ref="N960">_xlfn.LET(_xlpm.total,SUM(I960:L960),_xlpm.maxv,MAX(I960:L960),IF(_xlpm.total=0,"",IF(_xlpm.maxv/_xlpm.total&lt;0.5,"Mixed-Class",_xlfn.IFS(_xlpm.maxv=I960,"Assault",_xlpm.maxv=J960,"Engineer",_xlpm.maxv=K960,"Recon",_xlpm.maxv=L960,"Support"))))</f>
        <v/>
      </c>
      <c r="O960" t="str">
        <f t="shared" si="60"/>
        <v/>
      </c>
      <c r="P960" s="28" t="str">
        <f t="shared" si="61"/>
        <v/>
      </c>
    </row>
    <row r="961" spans="2:16" x14ac:dyDescent="0.25">
      <c r="B961">
        <v>9597</v>
      </c>
      <c r="H961" t="str">
        <f t="shared" si="58"/>
        <v/>
      </c>
      <c r="M961">
        <f t="shared" si="59"/>
        <v>0</v>
      </c>
      <c r="N961" t="str" cm="1">
        <f t="array" ref="N961">_xlfn.LET(_xlpm.total,SUM(I961:L961),_xlpm.maxv,MAX(I961:L961),IF(_xlpm.total=0,"",IF(_xlpm.maxv/_xlpm.total&lt;0.5,"Mixed-Class",_xlfn.IFS(_xlpm.maxv=I961,"Assault",_xlpm.maxv=J961,"Engineer",_xlpm.maxv=K961,"Recon",_xlpm.maxv=L961,"Support"))))</f>
        <v/>
      </c>
      <c r="O961" t="str">
        <f t="shared" si="60"/>
        <v/>
      </c>
      <c r="P961" s="28" t="str">
        <f t="shared" si="61"/>
        <v/>
      </c>
    </row>
    <row r="962" spans="2:16" x14ac:dyDescent="0.25">
      <c r="B962">
        <v>9607</v>
      </c>
      <c r="H962" t="str">
        <f t="shared" si="58"/>
        <v/>
      </c>
      <c r="M962">
        <f t="shared" si="59"/>
        <v>0</v>
      </c>
      <c r="N962" t="str" cm="1">
        <f t="array" ref="N962">_xlfn.LET(_xlpm.total,SUM(I962:L962),_xlpm.maxv,MAX(I962:L962),IF(_xlpm.total=0,"",IF(_xlpm.maxv/_xlpm.total&lt;0.5,"Mixed-Class",_xlfn.IFS(_xlpm.maxv=I962,"Assault",_xlpm.maxv=J962,"Engineer",_xlpm.maxv=K962,"Recon",_xlpm.maxv=L962,"Support"))))</f>
        <v/>
      </c>
      <c r="O962" t="str">
        <f t="shared" si="60"/>
        <v/>
      </c>
      <c r="P962" s="28" t="str">
        <f t="shared" si="61"/>
        <v/>
      </c>
    </row>
    <row r="963" spans="2:16" x14ac:dyDescent="0.25">
      <c r="B963">
        <v>9617</v>
      </c>
      <c r="H963" t="str">
        <f t="shared" ref="H963:H1000" si="62">IF(SUM(D963:G963)=0,"",IF(G963/SUM(D963:G963)&gt;=0.5,"Battle Royale",IF(F963/SUM(D963:F963)&gt;=0.6,"Infantry-Heavy",IF((D963+0.7*E963)/SUM(D963:F963)&gt;=0.7,"Vehicle-Heavy","Mixed"))))</f>
        <v/>
      </c>
      <c r="M963">
        <f t="shared" ref="M963:M1001" si="63">SUM(I963:L963)</f>
        <v>0</v>
      </c>
      <c r="N963" t="str" cm="1">
        <f t="array" ref="N963">_xlfn.LET(_xlpm.total,SUM(I963:L963),_xlpm.maxv,MAX(I963:L963),IF(_xlpm.total=0,"",IF(_xlpm.maxv/_xlpm.total&lt;0.5,"Mixed-Class",_xlfn.IFS(_xlpm.maxv=I963,"Assault",_xlpm.maxv=J963,"Engineer",_xlpm.maxv=K963,"Recon",_xlpm.maxv=L963,"Support"))))</f>
        <v/>
      </c>
      <c r="O963" t="str">
        <f t="shared" ref="O963:O1001" si="64">_xlfn.LET(_xlpm.total,SUM(I963:L963),IF(_xlpm.total=0,"",MAX(I963:L963)/_xlpm.total&gt;=0.5))</f>
        <v/>
      </c>
      <c r="P963" s="28" t="str">
        <f t="shared" ref="P963:P1001" si="65">_xlfn.LET(_xlpm.total,SUM(I963:L963),IF(_xlpm.total=0,"",MAX(I963:L963)/_xlpm.total))</f>
        <v/>
      </c>
    </row>
    <row r="964" spans="2:16" x14ac:dyDescent="0.25">
      <c r="B964">
        <v>9627</v>
      </c>
      <c r="H964" t="str">
        <f t="shared" si="62"/>
        <v/>
      </c>
      <c r="M964">
        <f t="shared" si="63"/>
        <v>0</v>
      </c>
      <c r="N964" t="str" cm="1">
        <f t="array" ref="N964">_xlfn.LET(_xlpm.total,SUM(I964:L964),_xlpm.maxv,MAX(I964:L964),IF(_xlpm.total=0,"",IF(_xlpm.maxv/_xlpm.total&lt;0.5,"Mixed-Class",_xlfn.IFS(_xlpm.maxv=I964,"Assault",_xlpm.maxv=J964,"Engineer",_xlpm.maxv=K964,"Recon",_xlpm.maxv=L964,"Support"))))</f>
        <v/>
      </c>
      <c r="O964" t="str">
        <f t="shared" si="64"/>
        <v/>
      </c>
      <c r="P964" s="28" t="str">
        <f t="shared" si="65"/>
        <v/>
      </c>
    </row>
    <row r="965" spans="2:16" x14ac:dyDescent="0.25">
      <c r="B965">
        <v>9637</v>
      </c>
      <c r="H965" t="str">
        <f t="shared" si="62"/>
        <v/>
      </c>
      <c r="M965">
        <f t="shared" si="63"/>
        <v>0</v>
      </c>
      <c r="N965" t="str" cm="1">
        <f t="array" ref="N965">_xlfn.LET(_xlpm.total,SUM(I965:L965),_xlpm.maxv,MAX(I965:L965),IF(_xlpm.total=0,"",IF(_xlpm.maxv/_xlpm.total&lt;0.5,"Mixed-Class",_xlfn.IFS(_xlpm.maxv=I965,"Assault",_xlpm.maxv=J965,"Engineer",_xlpm.maxv=K965,"Recon",_xlpm.maxv=L965,"Support"))))</f>
        <v/>
      </c>
      <c r="O965" t="str">
        <f t="shared" si="64"/>
        <v/>
      </c>
      <c r="P965" s="28" t="str">
        <f t="shared" si="65"/>
        <v/>
      </c>
    </row>
    <row r="966" spans="2:16" x14ac:dyDescent="0.25">
      <c r="B966">
        <v>9647</v>
      </c>
      <c r="H966" t="str">
        <f t="shared" si="62"/>
        <v/>
      </c>
      <c r="M966">
        <f t="shared" si="63"/>
        <v>0</v>
      </c>
      <c r="N966" t="str" cm="1">
        <f t="array" ref="N966">_xlfn.LET(_xlpm.total,SUM(I966:L966),_xlpm.maxv,MAX(I966:L966),IF(_xlpm.total=0,"",IF(_xlpm.maxv/_xlpm.total&lt;0.5,"Mixed-Class",_xlfn.IFS(_xlpm.maxv=I966,"Assault",_xlpm.maxv=J966,"Engineer",_xlpm.maxv=K966,"Recon",_xlpm.maxv=L966,"Support"))))</f>
        <v/>
      </c>
      <c r="O966" t="str">
        <f t="shared" si="64"/>
        <v/>
      </c>
      <c r="P966" s="28" t="str">
        <f t="shared" si="65"/>
        <v/>
      </c>
    </row>
    <row r="967" spans="2:16" x14ac:dyDescent="0.25">
      <c r="B967">
        <v>9657</v>
      </c>
      <c r="H967" t="str">
        <f t="shared" si="62"/>
        <v/>
      </c>
      <c r="M967">
        <f t="shared" si="63"/>
        <v>0</v>
      </c>
      <c r="N967" t="str" cm="1">
        <f t="array" ref="N967">_xlfn.LET(_xlpm.total,SUM(I967:L967),_xlpm.maxv,MAX(I967:L967),IF(_xlpm.total=0,"",IF(_xlpm.maxv/_xlpm.total&lt;0.5,"Mixed-Class",_xlfn.IFS(_xlpm.maxv=I967,"Assault",_xlpm.maxv=J967,"Engineer",_xlpm.maxv=K967,"Recon",_xlpm.maxv=L967,"Support"))))</f>
        <v/>
      </c>
      <c r="O967" t="str">
        <f t="shared" si="64"/>
        <v/>
      </c>
      <c r="P967" s="28" t="str">
        <f t="shared" si="65"/>
        <v/>
      </c>
    </row>
    <row r="968" spans="2:16" x14ac:dyDescent="0.25">
      <c r="B968">
        <v>9667</v>
      </c>
      <c r="H968" t="str">
        <f t="shared" si="62"/>
        <v/>
      </c>
      <c r="M968">
        <f t="shared" si="63"/>
        <v>0</v>
      </c>
      <c r="N968" t="str" cm="1">
        <f t="array" ref="N968">_xlfn.LET(_xlpm.total,SUM(I968:L968),_xlpm.maxv,MAX(I968:L968),IF(_xlpm.total=0,"",IF(_xlpm.maxv/_xlpm.total&lt;0.5,"Mixed-Class",_xlfn.IFS(_xlpm.maxv=I968,"Assault",_xlpm.maxv=J968,"Engineer",_xlpm.maxv=K968,"Recon",_xlpm.maxv=L968,"Support"))))</f>
        <v/>
      </c>
      <c r="O968" t="str">
        <f t="shared" si="64"/>
        <v/>
      </c>
      <c r="P968" s="28" t="str">
        <f t="shared" si="65"/>
        <v/>
      </c>
    </row>
    <row r="969" spans="2:16" x14ac:dyDescent="0.25">
      <c r="B969">
        <v>9677</v>
      </c>
      <c r="H969" t="str">
        <f t="shared" si="62"/>
        <v/>
      </c>
      <c r="M969">
        <f t="shared" si="63"/>
        <v>0</v>
      </c>
      <c r="N969" t="str" cm="1">
        <f t="array" ref="N969">_xlfn.LET(_xlpm.total,SUM(I969:L969),_xlpm.maxv,MAX(I969:L969),IF(_xlpm.total=0,"",IF(_xlpm.maxv/_xlpm.total&lt;0.5,"Mixed-Class",_xlfn.IFS(_xlpm.maxv=I969,"Assault",_xlpm.maxv=J969,"Engineer",_xlpm.maxv=K969,"Recon",_xlpm.maxv=L969,"Support"))))</f>
        <v/>
      </c>
      <c r="O969" t="str">
        <f t="shared" si="64"/>
        <v/>
      </c>
      <c r="P969" s="28" t="str">
        <f t="shared" si="65"/>
        <v/>
      </c>
    </row>
    <row r="970" spans="2:16" x14ac:dyDescent="0.25">
      <c r="B970">
        <v>9687</v>
      </c>
      <c r="H970" t="str">
        <f t="shared" si="62"/>
        <v/>
      </c>
      <c r="M970">
        <f t="shared" si="63"/>
        <v>0</v>
      </c>
      <c r="N970" t="str" cm="1">
        <f t="array" ref="N970">_xlfn.LET(_xlpm.total,SUM(I970:L970),_xlpm.maxv,MAX(I970:L970),IF(_xlpm.total=0,"",IF(_xlpm.maxv/_xlpm.total&lt;0.5,"Mixed-Class",_xlfn.IFS(_xlpm.maxv=I970,"Assault",_xlpm.maxv=J970,"Engineer",_xlpm.maxv=K970,"Recon",_xlpm.maxv=L970,"Support"))))</f>
        <v/>
      </c>
      <c r="O970" t="str">
        <f t="shared" si="64"/>
        <v/>
      </c>
      <c r="P970" s="28" t="str">
        <f t="shared" si="65"/>
        <v/>
      </c>
    </row>
    <row r="971" spans="2:16" x14ac:dyDescent="0.25">
      <c r="B971">
        <v>9697</v>
      </c>
      <c r="H971" t="str">
        <f t="shared" si="62"/>
        <v/>
      </c>
      <c r="M971">
        <f t="shared" si="63"/>
        <v>0</v>
      </c>
      <c r="N971" t="str" cm="1">
        <f t="array" ref="N971">_xlfn.LET(_xlpm.total,SUM(I971:L971),_xlpm.maxv,MAX(I971:L971),IF(_xlpm.total=0,"",IF(_xlpm.maxv/_xlpm.total&lt;0.5,"Mixed-Class",_xlfn.IFS(_xlpm.maxv=I971,"Assault",_xlpm.maxv=J971,"Engineer",_xlpm.maxv=K971,"Recon",_xlpm.maxv=L971,"Support"))))</f>
        <v/>
      </c>
      <c r="O971" t="str">
        <f t="shared" si="64"/>
        <v/>
      </c>
      <c r="P971" s="28" t="str">
        <f t="shared" si="65"/>
        <v/>
      </c>
    </row>
    <row r="972" spans="2:16" x14ac:dyDescent="0.25">
      <c r="B972">
        <v>9707</v>
      </c>
      <c r="H972" t="str">
        <f t="shared" si="62"/>
        <v/>
      </c>
      <c r="M972">
        <f t="shared" si="63"/>
        <v>0</v>
      </c>
      <c r="N972" t="str" cm="1">
        <f t="array" ref="N972">_xlfn.LET(_xlpm.total,SUM(I972:L972),_xlpm.maxv,MAX(I972:L972),IF(_xlpm.total=0,"",IF(_xlpm.maxv/_xlpm.total&lt;0.5,"Mixed-Class",_xlfn.IFS(_xlpm.maxv=I972,"Assault",_xlpm.maxv=J972,"Engineer",_xlpm.maxv=K972,"Recon",_xlpm.maxv=L972,"Support"))))</f>
        <v/>
      </c>
      <c r="O972" t="str">
        <f t="shared" si="64"/>
        <v/>
      </c>
      <c r="P972" s="28" t="str">
        <f t="shared" si="65"/>
        <v/>
      </c>
    </row>
    <row r="973" spans="2:16" x14ac:dyDescent="0.25">
      <c r="B973">
        <v>9717</v>
      </c>
      <c r="H973" t="str">
        <f t="shared" si="62"/>
        <v/>
      </c>
      <c r="M973">
        <f t="shared" si="63"/>
        <v>0</v>
      </c>
      <c r="N973" t="str" cm="1">
        <f t="array" ref="N973">_xlfn.LET(_xlpm.total,SUM(I973:L973),_xlpm.maxv,MAX(I973:L973),IF(_xlpm.total=0,"",IF(_xlpm.maxv/_xlpm.total&lt;0.5,"Mixed-Class",_xlfn.IFS(_xlpm.maxv=I973,"Assault",_xlpm.maxv=J973,"Engineer",_xlpm.maxv=K973,"Recon",_xlpm.maxv=L973,"Support"))))</f>
        <v/>
      </c>
      <c r="O973" t="str">
        <f t="shared" si="64"/>
        <v/>
      </c>
      <c r="P973" s="28" t="str">
        <f t="shared" si="65"/>
        <v/>
      </c>
    </row>
    <row r="974" spans="2:16" x14ac:dyDescent="0.25">
      <c r="B974">
        <v>9727</v>
      </c>
      <c r="H974" t="str">
        <f t="shared" si="62"/>
        <v/>
      </c>
      <c r="M974">
        <f t="shared" si="63"/>
        <v>0</v>
      </c>
      <c r="N974" t="str" cm="1">
        <f t="array" ref="N974">_xlfn.LET(_xlpm.total,SUM(I974:L974),_xlpm.maxv,MAX(I974:L974),IF(_xlpm.total=0,"",IF(_xlpm.maxv/_xlpm.total&lt;0.5,"Mixed-Class",_xlfn.IFS(_xlpm.maxv=I974,"Assault",_xlpm.maxv=J974,"Engineer",_xlpm.maxv=K974,"Recon",_xlpm.maxv=L974,"Support"))))</f>
        <v/>
      </c>
      <c r="O974" t="str">
        <f t="shared" si="64"/>
        <v/>
      </c>
      <c r="P974" s="28" t="str">
        <f t="shared" si="65"/>
        <v/>
      </c>
    </row>
    <row r="975" spans="2:16" x14ac:dyDescent="0.25">
      <c r="B975">
        <v>9737</v>
      </c>
      <c r="H975" t="str">
        <f t="shared" si="62"/>
        <v/>
      </c>
      <c r="M975">
        <f t="shared" si="63"/>
        <v>0</v>
      </c>
      <c r="N975" t="str" cm="1">
        <f t="array" ref="N975">_xlfn.LET(_xlpm.total,SUM(I975:L975),_xlpm.maxv,MAX(I975:L975),IF(_xlpm.total=0,"",IF(_xlpm.maxv/_xlpm.total&lt;0.5,"Mixed-Class",_xlfn.IFS(_xlpm.maxv=I975,"Assault",_xlpm.maxv=J975,"Engineer",_xlpm.maxv=K975,"Recon",_xlpm.maxv=L975,"Support"))))</f>
        <v/>
      </c>
      <c r="O975" t="str">
        <f t="shared" si="64"/>
        <v/>
      </c>
      <c r="P975" s="28" t="str">
        <f t="shared" si="65"/>
        <v/>
      </c>
    </row>
    <row r="976" spans="2:16" x14ac:dyDescent="0.25">
      <c r="B976">
        <v>9747</v>
      </c>
      <c r="H976" t="str">
        <f t="shared" si="62"/>
        <v/>
      </c>
      <c r="M976">
        <f t="shared" si="63"/>
        <v>0</v>
      </c>
      <c r="N976" t="str" cm="1">
        <f t="array" ref="N976">_xlfn.LET(_xlpm.total,SUM(I976:L976),_xlpm.maxv,MAX(I976:L976),IF(_xlpm.total=0,"",IF(_xlpm.maxv/_xlpm.total&lt;0.5,"Mixed-Class",_xlfn.IFS(_xlpm.maxv=I976,"Assault",_xlpm.maxv=J976,"Engineer",_xlpm.maxv=K976,"Recon",_xlpm.maxv=L976,"Support"))))</f>
        <v/>
      </c>
      <c r="O976" t="str">
        <f t="shared" si="64"/>
        <v/>
      </c>
      <c r="P976" s="28" t="str">
        <f t="shared" si="65"/>
        <v/>
      </c>
    </row>
    <row r="977" spans="2:16" x14ac:dyDescent="0.25">
      <c r="B977">
        <v>9757</v>
      </c>
      <c r="H977" t="str">
        <f t="shared" si="62"/>
        <v/>
      </c>
      <c r="M977">
        <f t="shared" si="63"/>
        <v>0</v>
      </c>
      <c r="N977" t="str" cm="1">
        <f t="array" ref="N977">_xlfn.LET(_xlpm.total,SUM(I977:L977),_xlpm.maxv,MAX(I977:L977),IF(_xlpm.total=0,"",IF(_xlpm.maxv/_xlpm.total&lt;0.5,"Mixed-Class",_xlfn.IFS(_xlpm.maxv=I977,"Assault",_xlpm.maxv=J977,"Engineer",_xlpm.maxv=K977,"Recon",_xlpm.maxv=L977,"Support"))))</f>
        <v/>
      </c>
      <c r="O977" t="str">
        <f t="shared" si="64"/>
        <v/>
      </c>
      <c r="P977" s="28" t="str">
        <f t="shared" si="65"/>
        <v/>
      </c>
    </row>
    <row r="978" spans="2:16" x14ac:dyDescent="0.25">
      <c r="B978">
        <v>9767</v>
      </c>
      <c r="H978" t="str">
        <f t="shared" si="62"/>
        <v/>
      </c>
      <c r="M978">
        <f t="shared" si="63"/>
        <v>0</v>
      </c>
      <c r="N978" t="str" cm="1">
        <f t="array" ref="N978">_xlfn.LET(_xlpm.total,SUM(I978:L978),_xlpm.maxv,MAX(I978:L978),IF(_xlpm.total=0,"",IF(_xlpm.maxv/_xlpm.total&lt;0.5,"Mixed-Class",_xlfn.IFS(_xlpm.maxv=I978,"Assault",_xlpm.maxv=J978,"Engineer",_xlpm.maxv=K978,"Recon",_xlpm.maxv=L978,"Support"))))</f>
        <v/>
      </c>
      <c r="O978" t="str">
        <f t="shared" si="64"/>
        <v/>
      </c>
      <c r="P978" s="28" t="str">
        <f t="shared" si="65"/>
        <v/>
      </c>
    </row>
    <row r="979" spans="2:16" x14ac:dyDescent="0.25">
      <c r="B979">
        <v>9777</v>
      </c>
      <c r="H979" t="str">
        <f t="shared" si="62"/>
        <v/>
      </c>
      <c r="M979">
        <f t="shared" si="63"/>
        <v>0</v>
      </c>
      <c r="N979" t="str" cm="1">
        <f t="array" ref="N979">_xlfn.LET(_xlpm.total,SUM(I979:L979),_xlpm.maxv,MAX(I979:L979),IF(_xlpm.total=0,"",IF(_xlpm.maxv/_xlpm.total&lt;0.5,"Mixed-Class",_xlfn.IFS(_xlpm.maxv=I979,"Assault",_xlpm.maxv=J979,"Engineer",_xlpm.maxv=K979,"Recon",_xlpm.maxv=L979,"Support"))))</f>
        <v/>
      </c>
      <c r="O979" t="str">
        <f t="shared" si="64"/>
        <v/>
      </c>
      <c r="P979" s="28" t="str">
        <f t="shared" si="65"/>
        <v/>
      </c>
    </row>
    <row r="980" spans="2:16" x14ac:dyDescent="0.25">
      <c r="B980">
        <v>9787</v>
      </c>
      <c r="H980" t="str">
        <f t="shared" si="62"/>
        <v/>
      </c>
      <c r="M980">
        <f t="shared" si="63"/>
        <v>0</v>
      </c>
      <c r="N980" t="str" cm="1">
        <f t="array" ref="N980">_xlfn.LET(_xlpm.total,SUM(I980:L980),_xlpm.maxv,MAX(I980:L980),IF(_xlpm.total=0,"",IF(_xlpm.maxv/_xlpm.total&lt;0.5,"Mixed-Class",_xlfn.IFS(_xlpm.maxv=I980,"Assault",_xlpm.maxv=J980,"Engineer",_xlpm.maxv=K980,"Recon",_xlpm.maxv=L980,"Support"))))</f>
        <v/>
      </c>
      <c r="O980" t="str">
        <f t="shared" si="64"/>
        <v/>
      </c>
      <c r="P980" s="28" t="str">
        <f t="shared" si="65"/>
        <v/>
      </c>
    </row>
    <row r="981" spans="2:16" x14ac:dyDescent="0.25">
      <c r="B981">
        <v>9797</v>
      </c>
      <c r="H981" t="str">
        <f t="shared" si="62"/>
        <v/>
      </c>
      <c r="M981">
        <f t="shared" si="63"/>
        <v>0</v>
      </c>
      <c r="N981" t="str" cm="1">
        <f t="array" ref="N981">_xlfn.LET(_xlpm.total,SUM(I981:L981),_xlpm.maxv,MAX(I981:L981),IF(_xlpm.total=0,"",IF(_xlpm.maxv/_xlpm.total&lt;0.5,"Mixed-Class",_xlfn.IFS(_xlpm.maxv=I981,"Assault",_xlpm.maxv=J981,"Engineer",_xlpm.maxv=K981,"Recon",_xlpm.maxv=L981,"Support"))))</f>
        <v/>
      </c>
      <c r="O981" t="str">
        <f t="shared" si="64"/>
        <v/>
      </c>
      <c r="P981" s="28" t="str">
        <f t="shared" si="65"/>
        <v/>
      </c>
    </row>
    <row r="982" spans="2:16" x14ac:dyDescent="0.25">
      <c r="B982">
        <v>9807</v>
      </c>
      <c r="H982" t="str">
        <f t="shared" si="62"/>
        <v/>
      </c>
      <c r="M982">
        <f t="shared" si="63"/>
        <v>0</v>
      </c>
      <c r="N982" t="str" cm="1">
        <f t="array" ref="N982">_xlfn.LET(_xlpm.total,SUM(I982:L982),_xlpm.maxv,MAX(I982:L982),IF(_xlpm.total=0,"",IF(_xlpm.maxv/_xlpm.total&lt;0.5,"Mixed-Class",_xlfn.IFS(_xlpm.maxv=I982,"Assault",_xlpm.maxv=J982,"Engineer",_xlpm.maxv=K982,"Recon",_xlpm.maxv=L982,"Support"))))</f>
        <v/>
      </c>
      <c r="O982" t="str">
        <f t="shared" si="64"/>
        <v/>
      </c>
      <c r="P982" s="28" t="str">
        <f t="shared" si="65"/>
        <v/>
      </c>
    </row>
    <row r="983" spans="2:16" x14ac:dyDescent="0.25">
      <c r="B983">
        <v>9817</v>
      </c>
      <c r="H983" t="str">
        <f t="shared" si="62"/>
        <v/>
      </c>
      <c r="M983">
        <f t="shared" si="63"/>
        <v>0</v>
      </c>
      <c r="N983" t="str" cm="1">
        <f t="array" ref="N983">_xlfn.LET(_xlpm.total,SUM(I983:L983),_xlpm.maxv,MAX(I983:L983),IF(_xlpm.total=0,"",IF(_xlpm.maxv/_xlpm.total&lt;0.5,"Mixed-Class",_xlfn.IFS(_xlpm.maxv=I983,"Assault",_xlpm.maxv=J983,"Engineer",_xlpm.maxv=K983,"Recon",_xlpm.maxv=L983,"Support"))))</f>
        <v/>
      </c>
      <c r="O983" t="str">
        <f t="shared" si="64"/>
        <v/>
      </c>
      <c r="P983" s="28" t="str">
        <f t="shared" si="65"/>
        <v/>
      </c>
    </row>
    <row r="984" spans="2:16" x14ac:dyDescent="0.25">
      <c r="B984">
        <v>9827</v>
      </c>
      <c r="H984" t="str">
        <f t="shared" si="62"/>
        <v/>
      </c>
      <c r="M984">
        <f t="shared" si="63"/>
        <v>0</v>
      </c>
      <c r="N984" t="str" cm="1">
        <f t="array" ref="N984">_xlfn.LET(_xlpm.total,SUM(I984:L984),_xlpm.maxv,MAX(I984:L984),IF(_xlpm.total=0,"",IF(_xlpm.maxv/_xlpm.total&lt;0.5,"Mixed-Class",_xlfn.IFS(_xlpm.maxv=I984,"Assault",_xlpm.maxv=J984,"Engineer",_xlpm.maxv=K984,"Recon",_xlpm.maxv=L984,"Support"))))</f>
        <v/>
      </c>
      <c r="O984" t="str">
        <f t="shared" si="64"/>
        <v/>
      </c>
      <c r="P984" s="28" t="str">
        <f t="shared" si="65"/>
        <v/>
      </c>
    </row>
    <row r="985" spans="2:16" x14ac:dyDescent="0.25">
      <c r="B985">
        <v>9837</v>
      </c>
      <c r="H985" t="str">
        <f t="shared" si="62"/>
        <v/>
      </c>
      <c r="M985">
        <f t="shared" si="63"/>
        <v>0</v>
      </c>
      <c r="N985" t="str" cm="1">
        <f t="array" ref="N985">_xlfn.LET(_xlpm.total,SUM(I985:L985),_xlpm.maxv,MAX(I985:L985),IF(_xlpm.total=0,"",IF(_xlpm.maxv/_xlpm.total&lt;0.5,"Mixed-Class",_xlfn.IFS(_xlpm.maxv=I985,"Assault",_xlpm.maxv=J985,"Engineer",_xlpm.maxv=K985,"Recon",_xlpm.maxv=L985,"Support"))))</f>
        <v/>
      </c>
      <c r="O985" t="str">
        <f t="shared" si="64"/>
        <v/>
      </c>
      <c r="P985" s="28" t="str">
        <f t="shared" si="65"/>
        <v/>
      </c>
    </row>
    <row r="986" spans="2:16" x14ac:dyDescent="0.25">
      <c r="B986">
        <v>9847</v>
      </c>
      <c r="H986" t="str">
        <f t="shared" si="62"/>
        <v/>
      </c>
      <c r="M986">
        <f t="shared" si="63"/>
        <v>0</v>
      </c>
      <c r="N986" t="str" cm="1">
        <f t="array" ref="N986">_xlfn.LET(_xlpm.total,SUM(I986:L986),_xlpm.maxv,MAX(I986:L986),IF(_xlpm.total=0,"",IF(_xlpm.maxv/_xlpm.total&lt;0.5,"Mixed-Class",_xlfn.IFS(_xlpm.maxv=I986,"Assault",_xlpm.maxv=J986,"Engineer",_xlpm.maxv=K986,"Recon",_xlpm.maxv=L986,"Support"))))</f>
        <v/>
      </c>
      <c r="O986" t="str">
        <f t="shared" si="64"/>
        <v/>
      </c>
      <c r="P986" s="28" t="str">
        <f t="shared" si="65"/>
        <v/>
      </c>
    </row>
    <row r="987" spans="2:16" x14ac:dyDescent="0.25">
      <c r="B987">
        <v>9857</v>
      </c>
      <c r="H987" t="str">
        <f t="shared" si="62"/>
        <v/>
      </c>
      <c r="M987">
        <f t="shared" si="63"/>
        <v>0</v>
      </c>
      <c r="N987" t="str" cm="1">
        <f t="array" ref="N987">_xlfn.LET(_xlpm.total,SUM(I987:L987),_xlpm.maxv,MAX(I987:L987),IF(_xlpm.total=0,"",IF(_xlpm.maxv/_xlpm.total&lt;0.5,"Mixed-Class",_xlfn.IFS(_xlpm.maxv=I987,"Assault",_xlpm.maxv=J987,"Engineer",_xlpm.maxv=K987,"Recon",_xlpm.maxv=L987,"Support"))))</f>
        <v/>
      </c>
      <c r="O987" t="str">
        <f t="shared" si="64"/>
        <v/>
      </c>
      <c r="P987" s="28" t="str">
        <f t="shared" si="65"/>
        <v/>
      </c>
    </row>
    <row r="988" spans="2:16" x14ac:dyDescent="0.25">
      <c r="B988">
        <v>9867</v>
      </c>
      <c r="H988" t="str">
        <f t="shared" si="62"/>
        <v/>
      </c>
      <c r="M988">
        <f t="shared" si="63"/>
        <v>0</v>
      </c>
      <c r="N988" t="str" cm="1">
        <f t="array" ref="N988">_xlfn.LET(_xlpm.total,SUM(I988:L988),_xlpm.maxv,MAX(I988:L988),IF(_xlpm.total=0,"",IF(_xlpm.maxv/_xlpm.total&lt;0.5,"Mixed-Class",_xlfn.IFS(_xlpm.maxv=I988,"Assault",_xlpm.maxv=J988,"Engineer",_xlpm.maxv=K988,"Recon",_xlpm.maxv=L988,"Support"))))</f>
        <v/>
      </c>
      <c r="O988" t="str">
        <f t="shared" si="64"/>
        <v/>
      </c>
      <c r="P988" s="28" t="str">
        <f t="shared" si="65"/>
        <v/>
      </c>
    </row>
    <row r="989" spans="2:16" x14ac:dyDescent="0.25">
      <c r="B989">
        <v>9877</v>
      </c>
      <c r="H989" t="str">
        <f t="shared" si="62"/>
        <v/>
      </c>
      <c r="M989">
        <f t="shared" si="63"/>
        <v>0</v>
      </c>
      <c r="N989" t="str" cm="1">
        <f t="array" ref="N989">_xlfn.LET(_xlpm.total,SUM(I989:L989),_xlpm.maxv,MAX(I989:L989),IF(_xlpm.total=0,"",IF(_xlpm.maxv/_xlpm.total&lt;0.5,"Mixed-Class",_xlfn.IFS(_xlpm.maxv=I989,"Assault",_xlpm.maxv=J989,"Engineer",_xlpm.maxv=K989,"Recon",_xlpm.maxv=L989,"Support"))))</f>
        <v/>
      </c>
      <c r="O989" t="str">
        <f t="shared" si="64"/>
        <v/>
      </c>
      <c r="P989" s="28" t="str">
        <f t="shared" si="65"/>
        <v/>
      </c>
    </row>
    <row r="990" spans="2:16" x14ac:dyDescent="0.25">
      <c r="B990">
        <v>9887</v>
      </c>
      <c r="H990" t="str">
        <f t="shared" si="62"/>
        <v/>
      </c>
      <c r="M990">
        <f t="shared" si="63"/>
        <v>0</v>
      </c>
      <c r="N990" t="str" cm="1">
        <f t="array" ref="N990">_xlfn.LET(_xlpm.total,SUM(I990:L990),_xlpm.maxv,MAX(I990:L990),IF(_xlpm.total=0,"",IF(_xlpm.maxv/_xlpm.total&lt;0.5,"Mixed-Class",_xlfn.IFS(_xlpm.maxv=I990,"Assault",_xlpm.maxv=J990,"Engineer",_xlpm.maxv=K990,"Recon",_xlpm.maxv=L990,"Support"))))</f>
        <v/>
      </c>
      <c r="O990" t="str">
        <f t="shared" si="64"/>
        <v/>
      </c>
      <c r="P990" s="28" t="str">
        <f t="shared" si="65"/>
        <v/>
      </c>
    </row>
    <row r="991" spans="2:16" x14ac:dyDescent="0.25">
      <c r="B991">
        <v>9897</v>
      </c>
      <c r="H991" t="str">
        <f t="shared" si="62"/>
        <v/>
      </c>
      <c r="M991">
        <f t="shared" si="63"/>
        <v>0</v>
      </c>
      <c r="N991" t="str" cm="1">
        <f t="array" ref="N991">_xlfn.LET(_xlpm.total,SUM(I991:L991),_xlpm.maxv,MAX(I991:L991),IF(_xlpm.total=0,"",IF(_xlpm.maxv/_xlpm.total&lt;0.5,"Mixed-Class",_xlfn.IFS(_xlpm.maxv=I991,"Assault",_xlpm.maxv=J991,"Engineer",_xlpm.maxv=K991,"Recon",_xlpm.maxv=L991,"Support"))))</f>
        <v/>
      </c>
      <c r="O991" t="str">
        <f t="shared" si="64"/>
        <v/>
      </c>
      <c r="P991" s="28" t="str">
        <f t="shared" si="65"/>
        <v/>
      </c>
    </row>
    <row r="992" spans="2:16" x14ac:dyDescent="0.25">
      <c r="B992">
        <v>9907</v>
      </c>
      <c r="H992" t="str">
        <f t="shared" si="62"/>
        <v/>
      </c>
      <c r="M992">
        <f t="shared" si="63"/>
        <v>0</v>
      </c>
      <c r="N992" t="str" cm="1">
        <f t="array" ref="N992">_xlfn.LET(_xlpm.total,SUM(I992:L992),_xlpm.maxv,MAX(I992:L992),IF(_xlpm.total=0,"",IF(_xlpm.maxv/_xlpm.total&lt;0.5,"Mixed-Class",_xlfn.IFS(_xlpm.maxv=I992,"Assault",_xlpm.maxv=J992,"Engineer",_xlpm.maxv=K992,"Recon",_xlpm.maxv=L992,"Support"))))</f>
        <v/>
      </c>
      <c r="O992" t="str">
        <f t="shared" si="64"/>
        <v/>
      </c>
      <c r="P992" s="28" t="str">
        <f t="shared" si="65"/>
        <v/>
      </c>
    </row>
    <row r="993" spans="2:16" x14ac:dyDescent="0.25">
      <c r="B993">
        <v>9917</v>
      </c>
      <c r="H993" t="str">
        <f t="shared" si="62"/>
        <v/>
      </c>
      <c r="M993">
        <f t="shared" si="63"/>
        <v>0</v>
      </c>
      <c r="N993" t="str" cm="1">
        <f t="array" ref="N993">_xlfn.LET(_xlpm.total,SUM(I993:L993),_xlpm.maxv,MAX(I993:L993),IF(_xlpm.total=0,"",IF(_xlpm.maxv/_xlpm.total&lt;0.5,"Mixed-Class",_xlfn.IFS(_xlpm.maxv=I993,"Assault",_xlpm.maxv=J993,"Engineer",_xlpm.maxv=K993,"Recon",_xlpm.maxv=L993,"Support"))))</f>
        <v/>
      </c>
      <c r="O993" t="str">
        <f t="shared" si="64"/>
        <v/>
      </c>
      <c r="P993" s="28" t="str">
        <f t="shared" si="65"/>
        <v/>
      </c>
    </row>
    <row r="994" spans="2:16" x14ac:dyDescent="0.25">
      <c r="B994">
        <v>9927</v>
      </c>
      <c r="H994" t="str">
        <f t="shared" si="62"/>
        <v/>
      </c>
      <c r="M994">
        <f t="shared" si="63"/>
        <v>0</v>
      </c>
      <c r="N994" t="str" cm="1">
        <f t="array" ref="N994">_xlfn.LET(_xlpm.total,SUM(I994:L994),_xlpm.maxv,MAX(I994:L994),IF(_xlpm.total=0,"",IF(_xlpm.maxv/_xlpm.total&lt;0.5,"Mixed-Class",_xlfn.IFS(_xlpm.maxv=I994,"Assault",_xlpm.maxv=J994,"Engineer",_xlpm.maxv=K994,"Recon",_xlpm.maxv=L994,"Support"))))</f>
        <v/>
      </c>
      <c r="O994" t="str">
        <f t="shared" si="64"/>
        <v/>
      </c>
      <c r="P994" s="28" t="str">
        <f t="shared" si="65"/>
        <v/>
      </c>
    </row>
    <row r="995" spans="2:16" x14ac:dyDescent="0.25">
      <c r="B995">
        <v>9937</v>
      </c>
      <c r="H995" t="str">
        <f t="shared" si="62"/>
        <v/>
      </c>
      <c r="M995">
        <f t="shared" si="63"/>
        <v>0</v>
      </c>
      <c r="N995" t="str" cm="1">
        <f t="array" ref="N995">_xlfn.LET(_xlpm.total,SUM(I995:L995),_xlpm.maxv,MAX(I995:L995),IF(_xlpm.total=0,"",IF(_xlpm.maxv/_xlpm.total&lt;0.5,"Mixed-Class",_xlfn.IFS(_xlpm.maxv=I995,"Assault",_xlpm.maxv=J995,"Engineer",_xlpm.maxv=K995,"Recon",_xlpm.maxv=L995,"Support"))))</f>
        <v/>
      </c>
      <c r="O995" t="str">
        <f t="shared" si="64"/>
        <v/>
      </c>
      <c r="P995" s="28" t="str">
        <f t="shared" si="65"/>
        <v/>
      </c>
    </row>
    <row r="996" spans="2:16" x14ac:dyDescent="0.25">
      <c r="B996">
        <v>9947</v>
      </c>
      <c r="H996" t="str">
        <f t="shared" si="62"/>
        <v/>
      </c>
      <c r="M996">
        <f t="shared" si="63"/>
        <v>0</v>
      </c>
      <c r="N996" t="str" cm="1">
        <f t="array" ref="N996">_xlfn.LET(_xlpm.total,SUM(I996:L996),_xlpm.maxv,MAX(I996:L996),IF(_xlpm.total=0,"",IF(_xlpm.maxv/_xlpm.total&lt;0.5,"Mixed-Class",_xlfn.IFS(_xlpm.maxv=I996,"Assault",_xlpm.maxv=J996,"Engineer",_xlpm.maxv=K996,"Recon",_xlpm.maxv=L996,"Support"))))</f>
        <v/>
      </c>
      <c r="O996" t="str">
        <f t="shared" si="64"/>
        <v/>
      </c>
      <c r="P996" s="28" t="str">
        <f t="shared" si="65"/>
        <v/>
      </c>
    </row>
    <row r="997" spans="2:16" x14ac:dyDescent="0.25">
      <c r="B997">
        <v>9957</v>
      </c>
      <c r="H997" t="str">
        <f t="shared" si="62"/>
        <v/>
      </c>
      <c r="M997">
        <f t="shared" si="63"/>
        <v>0</v>
      </c>
      <c r="N997" t="str" cm="1">
        <f t="array" ref="N997">_xlfn.LET(_xlpm.total,SUM(I997:L997),_xlpm.maxv,MAX(I997:L997),IF(_xlpm.total=0,"",IF(_xlpm.maxv/_xlpm.total&lt;0.5,"Mixed-Class",_xlfn.IFS(_xlpm.maxv=I997,"Assault",_xlpm.maxv=J997,"Engineer",_xlpm.maxv=K997,"Recon",_xlpm.maxv=L997,"Support"))))</f>
        <v/>
      </c>
      <c r="O997" t="str">
        <f t="shared" si="64"/>
        <v/>
      </c>
      <c r="P997" s="28" t="str">
        <f t="shared" si="65"/>
        <v/>
      </c>
    </row>
    <row r="998" spans="2:16" x14ac:dyDescent="0.25">
      <c r="B998">
        <v>9967</v>
      </c>
      <c r="H998" t="str">
        <f t="shared" si="62"/>
        <v/>
      </c>
      <c r="M998">
        <f t="shared" si="63"/>
        <v>0</v>
      </c>
      <c r="N998" t="str" cm="1">
        <f t="array" ref="N998">_xlfn.LET(_xlpm.total,SUM(I998:L998),_xlpm.maxv,MAX(I998:L998),IF(_xlpm.total=0,"",IF(_xlpm.maxv/_xlpm.total&lt;0.5,"Mixed-Class",_xlfn.IFS(_xlpm.maxv=I998,"Assault",_xlpm.maxv=J998,"Engineer",_xlpm.maxv=K998,"Recon",_xlpm.maxv=L998,"Support"))))</f>
        <v/>
      </c>
      <c r="O998" t="str">
        <f t="shared" si="64"/>
        <v/>
      </c>
      <c r="P998" s="28" t="str">
        <f t="shared" si="65"/>
        <v/>
      </c>
    </row>
    <row r="999" spans="2:16" x14ac:dyDescent="0.25">
      <c r="B999">
        <v>9977</v>
      </c>
      <c r="H999" t="str">
        <f t="shared" si="62"/>
        <v/>
      </c>
      <c r="M999">
        <f t="shared" si="63"/>
        <v>0</v>
      </c>
      <c r="N999" t="str" cm="1">
        <f t="array" ref="N999">_xlfn.LET(_xlpm.total,SUM(I999:L999),_xlpm.maxv,MAX(I999:L999),IF(_xlpm.total=0,"",IF(_xlpm.maxv/_xlpm.total&lt;0.5,"Mixed-Class",_xlfn.IFS(_xlpm.maxv=I999,"Assault",_xlpm.maxv=J999,"Engineer",_xlpm.maxv=K999,"Recon",_xlpm.maxv=L999,"Support"))))</f>
        <v/>
      </c>
      <c r="O999" t="str">
        <f t="shared" si="64"/>
        <v/>
      </c>
      <c r="P999" s="28" t="str">
        <f t="shared" si="65"/>
        <v/>
      </c>
    </row>
    <row r="1000" spans="2:16" x14ac:dyDescent="0.25">
      <c r="B1000">
        <v>9987</v>
      </c>
      <c r="H1000" t="str">
        <f t="shared" si="62"/>
        <v/>
      </c>
      <c r="M1000">
        <f t="shared" si="63"/>
        <v>0</v>
      </c>
      <c r="N1000" t="str" cm="1">
        <f t="array" ref="N1000">_xlfn.LET(_xlpm.total,SUM(I1000:L1000),_xlpm.maxv,MAX(I1000:L1000),IF(_xlpm.total=0,"",IF(_xlpm.maxv/_xlpm.total&lt;0.5,"Mixed-Class",_xlfn.IFS(_xlpm.maxv=I1000,"Assault",_xlpm.maxv=J1000,"Engineer",_xlpm.maxv=K1000,"Recon",_xlpm.maxv=L1000,"Support"))))</f>
        <v/>
      </c>
      <c r="O1000" t="str">
        <f t="shared" si="64"/>
        <v/>
      </c>
      <c r="P1000" s="28" t="str">
        <f t="shared" si="65"/>
        <v/>
      </c>
    </row>
    <row r="1001" spans="2:16" x14ac:dyDescent="0.25">
      <c r="B1001">
        <v>9997</v>
      </c>
      <c r="M1001">
        <f t="shared" si="63"/>
        <v>0</v>
      </c>
      <c r="N1001" t="str" cm="1">
        <f t="array" ref="N1001">_xlfn.LET(_xlpm.total,SUM(I1001:L1001),_xlpm.maxv,MAX(I1001:L1001),IF(_xlpm.total=0,"",IF(_xlpm.maxv/_xlpm.total&lt;0.5,"Mixed-Class",_xlfn.IFS(_xlpm.maxv=I1001,"Assault",_xlpm.maxv=J1001,"Engineer",_xlpm.maxv=K1001,"Recon",_xlpm.maxv=L1001,"Support"))))</f>
        <v/>
      </c>
      <c r="O1001" t="str">
        <f t="shared" si="64"/>
        <v/>
      </c>
      <c r="P1001" s="28" t="str">
        <f t="shared" si="65"/>
        <v/>
      </c>
    </row>
  </sheetData>
  <conditionalFormatting sqref="A1">
    <cfRule type="duplicateValues" dxfId="1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159E-9E21-4D95-93F5-A21BB7DB4E3C}">
  <dimension ref="A1:O1001"/>
  <sheetViews>
    <sheetView zoomScale="90" zoomScaleNormal="90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17.28515625" bestFit="1" customWidth="1"/>
    <col min="2" max="2" width="17.85546875" customWidth="1"/>
    <col min="3" max="3" width="16.28515625" style="31" bestFit="1" customWidth="1"/>
    <col min="4" max="4" width="16.7109375" style="26" bestFit="1" customWidth="1"/>
    <col min="5" max="5" width="19.5703125" style="31" bestFit="1" customWidth="1"/>
    <col min="6" max="6" width="11.85546875" style="36" bestFit="1" customWidth="1"/>
    <col min="7" max="8" width="6" style="26" bestFit="1" customWidth="1"/>
    <col min="9" max="9" width="11" style="26" bestFit="1" customWidth="1"/>
    <col min="10" max="10" width="8.85546875" style="26" bestFit="1" customWidth="1"/>
    <col min="11" max="11" width="11.5703125" style="26" bestFit="1" customWidth="1"/>
    <col min="12" max="12" width="5.42578125" style="26" bestFit="1" customWidth="1"/>
    <col min="13" max="13" width="9.28515625" style="26" bestFit="1" customWidth="1"/>
    <col min="14" max="14" width="9.5703125" style="31" bestFit="1" customWidth="1"/>
    <col min="15" max="15" width="8.5703125" style="36" bestFit="1" customWidth="1"/>
  </cols>
  <sheetData>
    <row r="1" spans="1:15" s="9" customFormat="1" ht="15.75" thickBot="1" x14ac:dyDescent="0.3">
      <c r="A1" s="9" t="s">
        <v>0</v>
      </c>
      <c r="B1" s="9" t="s">
        <v>13</v>
      </c>
      <c r="C1" s="30" t="s">
        <v>110</v>
      </c>
      <c r="D1" s="25" t="s">
        <v>111</v>
      </c>
      <c r="E1" s="30" t="s">
        <v>113</v>
      </c>
      <c r="F1" s="35" t="s">
        <v>112</v>
      </c>
      <c r="G1" s="25" t="s">
        <v>114</v>
      </c>
      <c r="H1" s="25" t="s">
        <v>117</v>
      </c>
      <c r="I1" s="25" t="s">
        <v>118</v>
      </c>
      <c r="J1" s="25" t="s">
        <v>119</v>
      </c>
      <c r="K1" s="25" t="s">
        <v>115</v>
      </c>
      <c r="L1" s="25" t="s">
        <v>116</v>
      </c>
      <c r="M1" s="25" t="s">
        <v>120</v>
      </c>
      <c r="N1" s="30" t="s">
        <v>121</v>
      </c>
      <c r="O1" s="35" t="s">
        <v>122</v>
      </c>
    </row>
    <row r="2" spans="1:15" x14ac:dyDescent="0.25">
      <c r="A2" t="str">
        <f>Global_Players!A2</f>
        <v>Stann83cz</v>
      </c>
      <c r="B2" cm="1">
        <f t="array" ref="B2:B1001">_xlfn.SEQUENCE(1000,1,7,10)</f>
        <v>7</v>
      </c>
      <c r="C2" s="33">
        <v>205</v>
      </c>
      <c r="D2" s="7">
        <v>19</v>
      </c>
      <c r="E2" s="33">
        <v>101</v>
      </c>
      <c r="F2" s="34">
        <v>4.5</v>
      </c>
      <c r="G2" s="7">
        <v>8</v>
      </c>
      <c r="H2" s="7">
        <v>19</v>
      </c>
      <c r="I2" s="7">
        <v>0.5</v>
      </c>
      <c r="J2" s="7">
        <v>1</v>
      </c>
      <c r="K2" s="7">
        <v>52</v>
      </c>
      <c r="L2" s="7">
        <v>228</v>
      </c>
      <c r="M2" s="7">
        <v>17</v>
      </c>
      <c r="N2" s="33">
        <v>8</v>
      </c>
      <c r="O2" s="34">
        <v>3</v>
      </c>
    </row>
    <row r="3" spans="1:15" x14ac:dyDescent="0.25">
      <c r="A3" t="str">
        <f>Global_Players!A3</f>
        <v>Sir Jekyll</v>
      </c>
      <c r="B3">
        <v>17</v>
      </c>
      <c r="C3" s="33">
        <v>343</v>
      </c>
      <c r="D3" s="7">
        <v>6</v>
      </c>
      <c r="E3" s="33">
        <v>103</v>
      </c>
      <c r="F3" s="34">
        <v>3.5</v>
      </c>
      <c r="G3" s="7">
        <v>4.5</v>
      </c>
      <c r="H3" s="7">
        <v>85</v>
      </c>
      <c r="I3" s="7">
        <v>0</v>
      </c>
      <c r="J3" s="7">
        <v>8</v>
      </c>
      <c r="K3" s="7">
        <v>2</v>
      </c>
      <c r="L3" s="7">
        <v>1</v>
      </c>
      <c r="M3" s="7">
        <v>1</v>
      </c>
      <c r="N3" s="33">
        <v>16</v>
      </c>
      <c r="O3" s="34">
        <v>108</v>
      </c>
    </row>
    <row r="4" spans="1:15" x14ac:dyDescent="0.25">
      <c r="A4" t="str">
        <f>Global_Players!A4</f>
        <v>elkikisk</v>
      </c>
      <c r="B4">
        <v>27</v>
      </c>
      <c r="C4" s="31">
        <v>201</v>
      </c>
      <c r="D4" s="26">
        <v>600</v>
      </c>
      <c r="E4" s="31">
        <v>33</v>
      </c>
      <c r="F4" s="36">
        <v>89</v>
      </c>
      <c r="G4" s="26">
        <v>0.75</v>
      </c>
      <c r="H4" s="26">
        <v>4</v>
      </c>
      <c r="I4" s="26">
        <v>0.25</v>
      </c>
      <c r="J4" s="26">
        <v>3</v>
      </c>
      <c r="K4" s="26">
        <v>4</v>
      </c>
      <c r="L4" s="26">
        <v>1</v>
      </c>
      <c r="M4" s="26">
        <v>1</v>
      </c>
      <c r="N4" s="31">
        <v>0.25</v>
      </c>
      <c r="O4" s="36">
        <v>0.1</v>
      </c>
    </row>
    <row r="5" spans="1:15" x14ac:dyDescent="0.25">
      <c r="A5" t="str">
        <f>Global_Players!A5</f>
        <v>HSBxEWIKKED</v>
      </c>
      <c r="B5">
        <v>37</v>
      </c>
      <c r="C5" s="31">
        <v>91</v>
      </c>
      <c r="D5" s="26">
        <v>9.25</v>
      </c>
      <c r="E5" s="31">
        <v>84</v>
      </c>
      <c r="F5" s="36">
        <v>9</v>
      </c>
      <c r="G5" s="26">
        <v>245</v>
      </c>
      <c r="H5" s="26">
        <v>105</v>
      </c>
      <c r="I5" s="26">
        <v>49</v>
      </c>
      <c r="J5" s="26">
        <v>7</v>
      </c>
      <c r="K5" s="26">
        <v>50</v>
      </c>
      <c r="L5" s="26">
        <v>95</v>
      </c>
      <c r="M5" s="26">
        <v>50</v>
      </c>
      <c r="N5" s="31">
        <v>27</v>
      </c>
      <c r="O5" s="36">
        <v>88</v>
      </c>
    </row>
    <row r="6" spans="1:15" x14ac:dyDescent="0.25">
      <c r="A6" t="str">
        <f>Global_Players!A6</f>
        <v>TheBishopDeath</v>
      </c>
      <c r="B6">
        <v>47</v>
      </c>
      <c r="C6" s="31">
        <v>544</v>
      </c>
      <c r="D6" s="26">
        <v>5.5</v>
      </c>
      <c r="E6" s="31">
        <v>83</v>
      </c>
      <c r="F6" s="36">
        <v>0.75</v>
      </c>
      <c r="G6" s="26">
        <v>13</v>
      </c>
      <c r="H6" s="26">
        <v>9</v>
      </c>
      <c r="I6" s="26">
        <v>4.5</v>
      </c>
      <c r="J6" s="26">
        <v>3</v>
      </c>
      <c r="K6" s="26">
        <v>4.75</v>
      </c>
      <c r="L6" s="26">
        <v>6.5</v>
      </c>
      <c r="M6" s="26">
        <v>1.25</v>
      </c>
      <c r="N6" s="31">
        <v>3</v>
      </c>
      <c r="O6" s="36">
        <v>0.75</v>
      </c>
    </row>
    <row r="7" spans="1:15" x14ac:dyDescent="0.25">
      <c r="A7" t="str">
        <f>Global_Players!A7</f>
        <v>AncientWizardGuy</v>
      </c>
      <c r="B7">
        <v>57</v>
      </c>
      <c r="C7" s="31">
        <v>234</v>
      </c>
      <c r="D7" s="26">
        <v>242</v>
      </c>
      <c r="E7" s="31">
        <v>237</v>
      </c>
      <c r="F7" s="36">
        <v>13</v>
      </c>
      <c r="G7" s="26">
        <v>0</v>
      </c>
      <c r="H7" s="26">
        <v>0</v>
      </c>
      <c r="I7" s="26">
        <v>0</v>
      </c>
      <c r="J7" s="26">
        <v>0</v>
      </c>
      <c r="K7" s="26">
        <v>1.25</v>
      </c>
      <c r="L7" s="26">
        <v>0.75</v>
      </c>
      <c r="M7" s="26">
        <v>0</v>
      </c>
      <c r="N7" s="31">
        <v>0</v>
      </c>
      <c r="O7" s="36">
        <v>0</v>
      </c>
    </row>
    <row r="8" spans="1:15" x14ac:dyDescent="0.25">
      <c r="A8" t="str">
        <f>Global_Players!A8</f>
        <v>M5_eaglez</v>
      </c>
      <c r="B8">
        <v>67</v>
      </c>
      <c r="C8" s="31">
        <v>177</v>
      </c>
      <c r="D8" s="26">
        <v>37</v>
      </c>
      <c r="E8" s="31">
        <v>453</v>
      </c>
      <c r="F8" s="36">
        <v>0.5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0.25</v>
      </c>
      <c r="M8" s="26">
        <v>0</v>
      </c>
      <c r="N8" s="31">
        <v>0</v>
      </c>
      <c r="O8" s="36">
        <v>0</v>
      </c>
    </row>
    <row r="9" spans="1:15" x14ac:dyDescent="0.25">
      <c r="A9" t="str">
        <f>Global_Players!A9</f>
        <v>Ragefast2311</v>
      </c>
      <c r="B9">
        <v>77</v>
      </c>
      <c r="C9" s="31">
        <v>29</v>
      </c>
      <c r="D9" s="26">
        <v>14</v>
      </c>
      <c r="E9" s="31">
        <v>45</v>
      </c>
      <c r="F9" s="36">
        <v>4.5</v>
      </c>
      <c r="G9" s="26">
        <v>139</v>
      </c>
      <c r="H9" s="26">
        <v>52</v>
      </c>
      <c r="I9" s="26">
        <v>4</v>
      </c>
      <c r="J9" s="26">
        <v>27</v>
      </c>
      <c r="K9" s="26">
        <v>135</v>
      </c>
      <c r="L9" s="26">
        <v>4.25</v>
      </c>
      <c r="M9" s="26">
        <v>2.5</v>
      </c>
      <c r="N9" s="31">
        <v>4.25</v>
      </c>
      <c r="O9" s="36">
        <v>11</v>
      </c>
    </row>
    <row r="10" spans="1:15" x14ac:dyDescent="0.25">
      <c r="A10" t="str">
        <f>Global_Players!A10</f>
        <v>xCPC464x</v>
      </c>
      <c r="B10">
        <v>87</v>
      </c>
      <c r="C10" s="31">
        <v>315</v>
      </c>
      <c r="D10" s="26">
        <v>157</v>
      </c>
      <c r="E10" s="31">
        <v>135</v>
      </c>
      <c r="F10" s="36">
        <v>36</v>
      </c>
      <c r="G10" s="26">
        <v>8.25</v>
      </c>
      <c r="H10" s="26">
        <v>5.75</v>
      </c>
      <c r="I10" s="26">
        <v>6.25</v>
      </c>
      <c r="J10" s="26">
        <v>167</v>
      </c>
      <c r="K10" s="26">
        <v>9</v>
      </c>
      <c r="L10" s="26">
        <v>9.25</v>
      </c>
      <c r="M10" s="26">
        <v>11.5</v>
      </c>
      <c r="N10" s="31">
        <v>61</v>
      </c>
      <c r="O10" s="36">
        <v>67</v>
      </c>
    </row>
    <row r="11" spans="1:15" x14ac:dyDescent="0.25">
      <c r="A11" t="str">
        <f>Global_Players!A11</f>
        <v>Benzo_</v>
      </c>
      <c r="B11">
        <v>97</v>
      </c>
      <c r="C11" s="31">
        <v>45</v>
      </c>
      <c r="D11" s="26">
        <v>33</v>
      </c>
      <c r="E11" s="31">
        <v>634</v>
      </c>
      <c r="F11" s="36">
        <v>1.25</v>
      </c>
      <c r="G11" s="26">
        <v>1.75</v>
      </c>
      <c r="H11" s="26">
        <v>0</v>
      </c>
      <c r="I11" s="26">
        <v>0</v>
      </c>
      <c r="J11" s="26">
        <v>5</v>
      </c>
      <c r="K11" s="26">
        <v>3</v>
      </c>
      <c r="L11" s="26">
        <v>1.75</v>
      </c>
      <c r="M11" s="26">
        <v>0</v>
      </c>
      <c r="N11" s="31">
        <v>8.25</v>
      </c>
      <c r="O11" s="36">
        <v>12</v>
      </c>
    </row>
    <row r="12" spans="1:15" x14ac:dyDescent="0.25">
      <c r="A12" t="str">
        <f>Global_Players!A12</f>
        <v>rgayregger</v>
      </c>
      <c r="B12">
        <v>107</v>
      </c>
      <c r="C12" s="31">
        <v>80</v>
      </c>
      <c r="D12" s="26">
        <v>42</v>
      </c>
      <c r="E12" s="31">
        <v>138</v>
      </c>
      <c r="F12" s="36">
        <v>25</v>
      </c>
      <c r="G12" s="26">
        <v>4</v>
      </c>
      <c r="H12" s="26">
        <v>2</v>
      </c>
      <c r="I12" s="26">
        <v>2.5</v>
      </c>
      <c r="J12" s="26">
        <v>0</v>
      </c>
      <c r="K12" s="26">
        <v>55</v>
      </c>
      <c r="L12" s="26">
        <v>54</v>
      </c>
      <c r="M12" s="26">
        <v>6</v>
      </c>
      <c r="N12" s="31">
        <v>0.75</v>
      </c>
      <c r="O12" s="36">
        <v>0.25</v>
      </c>
    </row>
    <row r="13" spans="1:15" x14ac:dyDescent="0.25">
      <c r="A13">
        <f>Global_Players!A13</f>
        <v>0</v>
      </c>
      <c r="B13">
        <v>117</v>
      </c>
    </row>
    <row r="14" spans="1:15" x14ac:dyDescent="0.25">
      <c r="A14">
        <f>Global_Players!A14</f>
        <v>0</v>
      </c>
      <c r="B14">
        <v>127</v>
      </c>
    </row>
    <row r="15" spans="1:15" x14ac:dyDescent="0.25">
      <c r="A15">
        <f>Global_Players!A15</f>
        <v>0</v>
      </c>
      <c r="B15">
        <v>137</v>
      </c>
    </row>
    <row r="16" spans="1:15" x14ac:dyDescent="0.25">
      <c r="A16">
        <f>Global_Players!A16</f>
        <v>0</v>
      </c>
      <c r="B16">
        <v>147</v>
      </c>
    </row>
    <row r="17" spans="1:2" x14ac:dyDescent="0.25">
      <c r="A17">
        <f>Global_Players!A17</f>
        <v>0</v>
      </c>
      <c r="B17">
        <v>157</v>
      </c>
    </row>
    <row r="18" spans="1:2" x14ac:dyDescent="0.25">
      <c r="A18">
        <f>Global_Players!A18</f>
        <v>0</v>
      </c>
      <c r="B18">
        <v>167</v>
      </c>
    </row>
    <row r="19" spans="1:2" x14ac:dyDescent="0.25">
      <c r="A19">
        <f>Global_Players!A19</f>
        <v>0</v>
      </c>
      <c r="B19">
        <v>177</v>
      </c>
    </row>
    <row r="20" spans="1:2" x14ac:dyDescent="0.25">
      <c r="A20">
        <f>Global_Players!A20</f>
        <v>0</v>
      </c>
      <c r="B20">
        <v>187</v>
      </c>
    </row>
    <row r="21" spans="1:2" x14ac:dyDescent="0.25">
      <c r="A21">
        <f>Global_Players!A21</f>
        <v>0</v>
      </c>
      <c r="B21">
        <v>197</v>
      </c>
    </row>
    <row r="22" spans="1:2" x14ac:dyDescent="0.25">
      <c r="A22">
        <f>Global_Players!A22</f>
        <v>0</v>
      </c>
      <c r="B22">
        <v>207</v>
      </c>
    </row>
    <row r="23" spans="1:2" x14ac:dyDescent="0.25">
      <c r="A23">
        <f>Global_Players!A23</f>
        <v>0</v>
      </c>
      <c r="B23">
        <v>217</v>
      </c>
    </row>
    <row r="24" spans="1:2" x14ac:dyDescent="0.25">
      <c r="A24">
        <f>Global_Players!A24</f>
        <v>0</v>
      </c>
      <c r="B24">
        <v>227</v>
      </c>
    </row>
    <row r="25" spans="1:2" x14ac:dyDescent="0.25">
      <c r="A25">
        <f>Global_Players!A25</f>
        <v>0</v>
      </c>
      <c r="B25">
        <v>237</v>
      </c>
    </row>
    <row r="26" spans="1:2" x14ac:dyDescent="0.25">
      <c r="A26">
        <f>Global_Players!A26</f>
        <v>0</v>
      </c>
      <c r="B26">
        <v>247</v>
      </c>
    </row>
    <row r="27" spans="1:2" x14ac:dyDescent="0.25">
      <c r="A27">
        <f>Global_Players!A27</f>
        <v>0</v>
      </c>
      <c r="B27">
        <v>257</v>
      </c>
    </row>
    <row r="28" spans="1:2" x14ac:dyDescent="0.25">
      <c r="A28">
        <f>Global_Players!A28</f>
        <v>0</v>
      </c>
      <c r="B28">
        <v>267</v>
      </c>
    </row>
    <row r="29" spans="1:2" x14ac:dyDescent="0.25">
      <c r="A29">
        <f>Global_Players!A29</f>
        <v>0</v>
      </c>
      <c r="B29">
        <v>277</v>
      </c>
    </row>
    <row r="30" spans="1:2" x14ac:dyDescent="0.25">
      <c r="A30">
        <f>Global_Players!A30</f>
        <v>0</v>
      </c>
      <c r="B30">
        <v>287</v>
      </c>
    </row>
    <row r="31" spans="1:2" x14ac:dyDescent="0.25">
      <c r="A31">
        <f>Global_Players!A31</f>
        <v>0</v>
      </c>
      <c r="B31">
        <v>297</v>
      </c>
    </row>
    <row r="32" spans="1:2" x14ac:dyDescent="0.25">
      <c r="A32">
        <f>Global_Players!A32</f>
        <v>0</v>
      </c>
      <c r="B32">
        <v>307</v>
      </c>
    </row>
    <row r="33" spans="1:2" x14ac:dyDescent="0.25">
      <c r="A33">
        <f>Global_Players!A33</f>
        <v>0</v>
      </c>
      <c r="B33">
        <v>317</v>
      </c>
    </row>
    <row r="34" spans="1:2" x14ac:dyDescent="0.25">
      <c r="A34">
        <f>Global_Players!A34</f>
        <v>0</v>
      </c>
      <c r="B34">
        <v>327</v>
      </c>
    </row>
    <row r="35" spans="1:2" x14ac:dyDescent="0.25">
      <c r="A35">
        <f>Global_Players!A35</f>
        <v>0</v>
      </c>
      <c r="B35">
        <v>337</v>
      </c>
    </row>
    <row r="36" spans="1:2" x14ac:dyDescent="0.25">
      <c r="A36">
        <f>Global_Players!A36</f>
        <v>0</v>
      </c>
      <c r="B36">
        <v>347</v>
      </c>
    </row>
    <row r="37" spans="1:2" x14ac:dyDescent="0.25">
      <c r="A37">
        <f>Global_Players!A37</f>
        <v>0</v>
      </c>
      <c r="B37">
        <v>357</v>
      </c>
    </row>
    <row r="38" spans="1:2" x14ac:dyDescent="0.25">
      <c r="A38">
        <f>Global_Players!A38</f>
        <v>0</v>
      </c>
      <c r="B38">
        <v>367</v>
      </c>
    </row>
    <row r="39" spans="1:2" x14ac:dyDescent="0.25">
      <c r="B39">
        <v>377</v>
      </c>
    </row>
    <row r="40" spans="1:2" x14ac:dyDescent="0.25">
      <c r="B40">
        <v>387</v>
      </c>
    </row>
    <row r="41" spans="1:2" x14ac:dyDescent="0.25">
      <c r="B41">
        <v>397</v>
      </c>
    </row>
    <row r="42" spans="1:2" x14ac:dyDescent="0.25">
      <c r="B42">
        <v>407</v>
      </c>
    </row>
    <row r="43" spans="1:2" x14ac:dyDescent="0.25">
      <c r="B43">
        <v>417</v>
      </c>
    </row>
    <row r="44" spans="1:2" x14ac:dyDescent="0.25">
      <c r="B44">
        <v>427</v>
      </c>
    </row>
    <row r="45" spans="1:2" x14ac:dyDescent="0.25">
      <c r="B45">
        <v>437</v>
      </c>
    </row>
    <row r="46" spans="1:2" x14ac:dyDescent="0.25">
      <c r="B46">
        <v>447</v>
      </c>
    </row>
    <row r="47" spans="1:2" x14ac:dyDescent="0.25">
      <c r="B47">
        <v>457</v>
      </c>
    </row>
    <row r="48" spans="1:2" x14ac:dyDescent="0.25">
      <c r="B48">
        <v>467</v>
      </c>
    </row>
    <row r="49" spans="2:2" x14ac:dyDescent="0.25">
      <c r="B49">
        <v>477</v>
      </c>
    </row>
    <row r="50" spans="2:2" x14ac:dyDescent="0.25">
      <c r="B50">
        <v>487</v>
      </c>
    </row>
    <row r="51" spans="2:2" x14ac:dyDescent="0.25">
      <c r="B51">
        <v>497</v>
      </c>
    </row>
    <row r="52" spans="2:2" x14ac:dyDescent="0.25">
      <c r="B52">
        <v>507</v>
      </c>
    </row>
    <row r="53" spans="2:2" x14ac:dyDescent="0.25">
      <c r="B53">
        <v>517</v>
      </c>
    </row>
    <row r="54" spans="2:2" x14ac:dyDescent="0.25">
      <c r="B54">
        <v>527</v>
      </c>
    </row>
    <row r="55" spans="2:2" x14ac:dyDescent="0.25">
      <c r="B55">
        <v>537</v>
      </c>
    </row>
    <row r="56" spans="2:2" x14ac:dyDescent="0.25">
      <c r="B56">
        <v>547</v>
      </c>
    </row>
    <row r="57" spans="2:2" x14ac:dyDescent="0.25">
      <c r="B57">
        <v>557</v>
      </c>
    </row>
    <row r="58" spans="2:2" x14ac:dyDescent="0.25">
      <c r="B58">
        <v>567</v>
      </c>
    </row>
    <row r="59" spans="2:2" x14ac:dyDescent="0.25">
      <c r="B59">
        <v>577</v>
      </c>
    </row>
    <row r="60" spans="2:2" x14ac:dyDescent="0.25">
      <c r="B60">
        <v>587</v>
      </c>
    </row>
    <row r="61" spans="2:2" x14ac:dyDescent="0.25">
      <c r="B61">
        <v>597</v>
      </c>
    </row>
    <row r="62" spans="2:2" x14ac:dyDescent="0.25">
      <c r="B62">
        <v>607</v>
      </c>
    </row>
    <row r="63" spans="2:2" x14ac:dyDescent="0.25">
      <c r="B63">
        <v>617</v>
      </c>
    </row>
    <row r="64" spans="2:2" x14ac:dyDescent="0.25">
      <c r="B64">
        <v>627</v>
      </c>
    </row>
    <row r="65" spans="2:2" x14ac:dyDescent="0.25">
      <c r="B65">
        <v>637</v>
      </c>
    </row>
    <row r="66" spans="2:2" x14ac:dyDescent="0.25">
      <c r="B66">
        <v>647</v>
      </c>
    </row>
    <row r="67" spans="2:2" x14ac:dyDescent="0.25">
      <c r="B67">
        <v>657</v>
      </c>
    </row>
    <row r="68" spans="2:2" x14ac:dyDescent="0.25">
      <c r="B68">
        <v>667</v>
      </c>
    </row>
    <row r="69" spans="2:2" x14ac:dyDescent="0.25">
      <c r="B69">
        <v>677</v>
      </c>
    </row>
    <row r="70" spans="2:2" x14ac:dyDescent="0.25">
      <c r="B70">
        <v>687</v>
      </c>
    </row>
    <row r="71" spans="2:2" x14ac:dyDescent="0.25">
      <c r="B71">
        <v>697</v>
      </c>
    </row>
    <row r="72" spans="2:2" x14ac:dyDescent="0.25">
      <c r="B72">
        <v>707</v>
      </c>
    </row>
    <row r="73" spans="2:2" x14ac:dyDescent="0.25">
      <c r="B73">
        <v>717</v>
      </c>
    </row>
    <row r="74" spans="2:2" x14ac:dyDescent="0.25">
      <c r="B74">
        <v>727</v>
      </c>
    </row>
    <row r="75" spans="2:2" x14ac:dyDescent="0.25">
      <c r="B75">
        <v>737</v>
      </c>
    </row>
    <row r="76" spans="2:2" x14ac:dyDescent="0.25">
      <c r="B76">
        <v>747</v>
      </c>
    </row>
    <row r="77" spans="2:2" x14ac:dyDescent="0.25">
      <c r="B77">
        <v>757</v>
      </c>
    </row>
    <row r="78" spans="2:2" x14ac:dyDescent="0.25">
      <c r="B78">
        <v>767</v>
      </c>
    </row>
    <row r="79" spans="2:2" x14ac:dyDescent="0.25">
      <c r="B79">
        <v>777</v>
      </c>
    </row>
    <row r="80" spans="2:2" x14ac:dyDescent="0.25">
      <c r="B80">
        <v>787</v>
      </c>
    </row>
    <row r="81" spans="2:2" x14ac:dyDescent="0.25">
      <c r="B81">
        <v>797</v>
      </c>
    </row>
    <row r="82" spans="2:2" x14ac:dyDescent="0.25">
      <c r="B82">
        <v>807</v>
      </c>
    </row>
    <row r="83" spans="2:2" x14ac:dyDescent="0.25">
      <c r="B83">
        <v>817</v>
      </c>
    </row>
    <row r="84" spans="2:2" x14ac:dyDescent="0.25">
      <c r="B84">
        <v>827</v>
      </c>
    </row>
    <row r="85" spans="2:2" x14ac:dyDescent="0.25">
      <c r="B85">
        <v>837</v>
      </c>
    </row>
    <row r="86" spans="2:2" x14ac:dyDescent="0.25">
      <c r="B86">
        <v>847</v>
      </c>
    </row>
    <row r="87" spans="2:2" x14ac:dyDescent="0.25">
      <c r="B87">
        <v>857</v>
      </c>
    </row>
    <row r="88" spans="2:2" x14ac:dyDescent="0.25">
      <c r="B88">
        <v>867</v>
      </c>
    </row>
    <row r="89" spans="2:2" x14ac:dyDescent="0.25">
      <c r="B89">
        <v>877</v>
      </c>
    </row>
    <row r="90" spans="2:2" x14ac:dyDescent="0.25">
      <c r="B90">
        <v>887</v>
      </c>
    </row>
    <row r="91" spans="2:2" x14ac:dyDescent="0.25">
      <c r="B91">
        <v>897</v>
      </c>
    </row>
    <row r="92" spans="2:2" x14ac:dyDescent="0.25">
      <c r="B92">
        <v>907</v>
      </c>
    </row>
    <row r="93" spans="2:2" x14ac:dyDescent="0.25">
      <c r="B93">
        <v>917</v>
      </c>
    </row>
    <row r="94" spans="2:2" x14ac:dyDescent="0.25">
      <c r="B94">
        <v>927</v>
      </c>
    </row>
    <row r="95" spans="2:2" x14ac:dyDescent="0.25">
      <c r="B95">
        <v>937</v>
      </c>
    </row>
    <row r="96" spans="2:2" x14ac:dyDescent="0.25">
      <c r="B96">
        <v>947</v>
      </c>
    </row>
    <row r="97" spans="2:2" x14ac:dyDescent="0.25">
      <c r="B97">
        <v>957</v>
      </c>
    </row>
    <row r="98" spans="2:2" x14ac:dyDescent="0.25">
      <c r="B98">
        <v>967</v>
      </c>
    </row>
    <row r="99" spans="2:2" x14ac:dyDescent="0.25">
      <c r="B99">
        <v>977</v>
      </c>
    </row>
    <row r="100" spans="2:2" x14ac:dyDescent="0.25">
      <c r="B100">
        <v>987</v>
      </c>
    </row>
    <row r="101" spans="2:2" x14ac:dyDescent="0.25">
      <c r="B101">
        <v>997</v>
      </c>
    </row>
    <row r="102" spans="2:2" x14ac:dyDescent="0.25">
      <c r="B102">
        <v>1007</v>
      </c>
    </row>
    <row r="103" spans="2:2" x14ac:dyDescent="0.25">
      <c r="B103">
        <v>1017</v>
      </c>
    </row>
    <row r="104" spans="2:2" x14ac:dyDescent="0.25">
      <c r="B104">
        <v>1027</v>
      </c>
    </row>
    <row r="105" spans="2:2" x14ac:dyDescent="0.25">
      <c r="B105">
        <v>1037</v>
      </c>
    </row>
    <row r="106" spans="2:2" x14ac:dyDescent="0.25">
      <c r="B106">
        <v>1047</v>
      </c>
    </row>
    <row r="107" spans="2:2" x14ac:dyDescent="0.25">
      <c r="B107">
        <v>1057</v>
      </c>
    </row>
    <row r="108" spans="2:2" x14ac:dyDescent="0.25">
      <c r="B108">
        <v>1067</v>
      </c>
    </row>
    <row r="109" spans="2:2" x14ac:dyDescent="0.25">
      <c r="B109">
        <v>1077</v>
      </c>
    </row>
    <row r="110" spans="2:2" x14ac:dyDescent="0.25">
      <c r="B110">
        <v>1087</v>
      </c>
    </row>
    <row r="111" spans="2:2" x14ac:dyDescent="0.25">
      <c r="B111">
        <v>1097</v>
      </c>
    </row>
    <row r="112" spans="2:2" x14ac:dyDescent="0.25">
      <c r="B112">
        <v>1107</v>
      </c>
    </row>
    <row r="113" spans="2:2" x14ac:dyDescent="0.25">
      <c r="B113">
        <v>1117</v>
      </c>
    </row>
    <row r="114" spans="2:2" x14ac:dyDescent="0.25">
      <c r="B114">
        <v>1127</v>
      </c>
    </row>
    <row r="115" spans="2:2" x14ac:dyDescent="0.25">
      <c r="B115">
        <v>1137</v>
      </c>
    </row>
    <row r="116" spans="2:2" x14ac:dyDescent="0.25">
      <c r="B116">
        <v>1147</v>
      </c>
    </row>
    <row r="117" spans="2:2" x14ac:dyDescent="0.25">
      <c r="B117">
        <v>1157</v>
      </c>
    </row>
    <row r="118" spans="2:2" x14ac:dyDescent="0.25">
      <c r="B118">
        <v>1167</v>
      </c>
    </row>
    <row r="119" spans="2:2" x14ac:dyDescent="0.25">
      <c r="B119">
        <v>1177</v>
      </c>
    </row>
    <row r="120" spans="2:2" x14ac:dyDescent="0.25">
      <c r="B120">
        <v>1187</v>
      </c>
    </row>
    <row r="121" spans="2:2" x14ac:dyDescent="0.25">
      <c r="B121">
        <v>1197</v>
      </c>
    </row>
    <row r="122" spans="2:2" x14ac:dyDescent="0.25">
      <c r="B122">
        <v>1207</v>
      </c>
    </row>
    <row r="123" spans="2:2" x14ac:dyDescent="0.25">
      <c r="B123">
        <v>1217</v>
      </c>
    </row>
    <row r="124" spans="2:2" x14ac:dyDescent="0.25">
      <c r="B124">
        <v>1227</v>
      </c>
    </row>
    <row r="125" spans="2:2" x14ac:dyDescent="0.25">
      <c r="B125">
        <v>1237</v>
      </c>
    </row>
    <row r="126" spans="2:2" x14ac:dyDescent="0.25">
      <c r="B126">
        <v>1247</v>
      </c>
    </row>
    <row r="127" spans="2:2" x14ac:dyDescent="0.25">
      <c r="B127">
        <v>1257</v>
      </c>
    </row>
    <row r="128" spans="2:2" x14ac:dyDescent="0.25">
      <c r="B128">
        <v>1267</v>
      </c>
    </row>
    <row r="129" spans="2:2" x14ac:dyDescent="0.25">
      <c r="B129">
        <v>1277</v>
      </c>
    </row>
    <row r="130" spans="2:2" x14ac:dyDescent="0.25">
      <c r="B130">
        <v>1287</v>
      </c>
    </row>
    <row r="131" spans="2:2" x14ac:dyDescent="0.25">
      <c r="B131">
        <v>1297</v>
      </c>
    </row>
    <row r="132" spans="2:2" x14ac:dyDescent="0.25">
      <c r="B132">
        <v>1307</v>
      </c>
    </row>
    <row r="133" spans="2:2" x14ac:dyDescent="0.25">
      <c r="B133">
        <v>1317</v>
      </c>
    </row>
    <row r="134" spans="2:2" x14ac:dyDescent="0.25">
      <c r="B134">
        <v>1327</v>
      </c>
    </row>
    <row r="135" spans="2:2" x14ac:dyDescent="0.25">
      <c r="B135">
        <v>1337</v>
      </c>
    </row>
    <row r="136" spans="2:2" x14ac:dyDescent="0.25">
      <c r="B136">
        <v>1347</v>
      </c>
    </row>
    <row r="137" spans="2:2" x14ac:dyDescent="0.25">
      <c r="B137">
        <v>1357</v>
      </c>
    </row>
    <row r="138" spans="2:2" x14ac:dyDescent="0.25">
      <c r="B138">
        <v>1367</v>
      </c>
    </row>
    <row r="139" spans="2:2" x14ac:dyDescent="0.25">
      <c r="B139">
        <v>1377</v>
      </c>
    </row>
    <row r="140" spans="2:2" x14ac:dyDescent="0.25">
      <c r="B140">
        <v>1387</v>
      </c>
    </row>
    <row r="141" spans="2:2" x14ac:dyDescent="0.25">
      <c r="B141">
        <v>1397</v>
      </c>
    </row>
    <row r="142" spans="2:2" x14ac:dyDescent="0.25">
      <c r="B142">
        <v>1407</v>
      </c>
    </row>
    <row r="143" spans="2:2" x14ac:dyDescent="0.25">
      <c r="B143">
        <v>1417</v>
      </c>
    </row>
    <row r="144" spans="2:2" x14ac:dyDescent="0.25">
      <c r="B144">
        <v>1427</v>
      </c>
    </row>
    <row r="145" spans="2:2" x14ac:dyDescent="0.25">
      <c r="B145">
        <v>1437</v>
      </c>
    </row>
    <row r="146" spans="2:2" x14ac:dyDescent="0.25">
      <c r="B146">
        <v>1447</v>
      </c>
    </row>
    <row r="147" spans="2:2" x14ac:dyDescent="0.25">
      <c r="B147">
        <v>1457</v>
      </c>
    </row>
    <row r="148" spans="2:2" x14ac:dyDescent="0.25">
      <c r="B148">
        <v>1467</v>
      </c>
    </row>
    <row r="149" spans="2:2" x14ac:dyDescent="0.25">
      <c r="B149">
        <v>1477</v>
      </c>
    </row>
    <row r="150" spans="2:2" x14ac:dyDescent="0.25">
      <c r="B150">
        <v>1487</v>
      </c>
    </row>
    <row r="151" spans="2:2" x14ac:dyDescent="0.25">
      <c r="B151">
        <v>1497</v>
      </c>
    </row>
    <row r="152" spans="2:2" x14ac:dyDescent="0.25">
      <c r="B152">
        <v>1507</v>
      </c>
    </row>
    <row r="153" spans="2:2" x14ac:dyDescent="0.25">
      <c r="B153">
        <v>1517</v>
      </c>
    </row>
    <row r="154" spans="2:2" x14ac:dyDescent="0.25">
      <c r="B154">
        <v>1527</v>
      </c>
    </row>
    <row r="155" spans="2:2" x14ac:dyDescent="0.25">
      <c r="B155">
        <v>1537</v>
      </c>
    </row>
    <row r="156" spans="2:2" x14ac:dyDescent="0.25">
      <c r="B156">
        <v>1547</v>
      </c>
    </row>
    <row r="157" spans="2:2" x14ac:dyDescent="0.25">
      <c r="B157">
        <v>1557</v>
      </c>
    </row>
    <row r="158" spans="2:2" x14ac:dyDescent="0.25">
      <c r="B158">
        <v>1567</v>
      </c>
    </row>
    <row r="159" spans="2:2" x14ac:dyDescent="0.25">
      <c r="B159">
        <v>1577</v>
      </c>
    </row>
    <row r="160" spans="2:2" x14ac:dyDescent="0.25">
      <c r="B160">
        <v>1587</v>
      </c>
    </row>
    <row r="161" spans="2:2" x14ac:dyDescent="0.25">
      <c r="B161">
        <v>1597</v>
      </c>
    </row>
    <row r="162" spans="2:2" x14ac:dyDescent="0.25">
      <c r="B162">
        <v>1607</v>
      </c>
    </row>
    <row r="163" spans="2:2" x14ac:dyDescent="0.25">
      <c r="B163">
        <v>1617</v>
      </c>
    </row>
    <row r="164" spans="2:2" x14ac:dyDescent="0.25">
      <c r="B164">
        <v>1627</v>
      </c>
    </row>
    <row r="165" spans="2:2" x14ac:dyDescent="0.25">
      <c r="B165">
        <v>1637</v>
      </c>
    </row>
    <row r="166" spans="2:2" x14ac:dyDescent="0.25">
      <c r="B166">
        <v>1647</v>
      </c>
    </row>
    <row r="167" spans="2:2" x14ac:dyDescent="0.25">
      <c r="B167">
        <v>1657</v>
      </c>
    </row>
    <row r="168" spans="2:2" x14ac:dyDescent="0.25">
      <c r="B168">
        <v>1667</v>
      </c>
    </row>
    <row r="169" spans="2:2" x14ac:dyDescent="0.25">
      <c r="B169">
        <v>1677</v>
      </c>
    </row>
    <row r="170" spans="2:2" x14ac:dyDescent="0.25">
      <c r="B170">
        <v>1687</v>
      </c>
    </row>
    <row r="171" spans="2:2" x14ac:dyDescent="0.25">
      <c r="B171">
        <v>1697</v>
      </c>
    </row>
    <row r="172" spans="2:2" x14ac:dyDescent="0.25">
      <c r="B172">
        <v>1707</v>
      </c>
    </row>
    <row r="173" spans="2:2" x14ac:dyDescent="0.25">
      <c r="B173">
        <v>1717</v>
      </c>
    </row>
    <row r="174" spans="2:2" x14ac:dyDescent="0.25">
      <c r="B174">
        <v>1727</v>
      </c>
    </row>
    <row r="175" spans="2:2" x14ac:dyDescent="0.25">
      <c r="B175">
        <v>1737</v>
      </c>
    </row>
    <row r="176" spans="2:2" x14ac:dyDescent="0.25">
      <c r="B176">
        <v>1747</v>
      </c>
    </row>
    <row r="177" spans="2:2" x14ac:dyDescent="0.25">
      <c r="B177">
        <v>1757</v>
      </c>
    </row>
    <row r="178" spans="2:2" x14ac:dyDescent="0.25">
      <c r="B178">
        <v>1767</v>
      </c>
    </row>
    <row r="179" spans="2:2" x14ac:dyDescent="0.25">
      <c r="B179">
        <v>1777</v>
      </c>
    </row>
    <row r="180" spans="2:2" x14ac:dyDescent="0.25">
      <c r="B180">
        <v>1787</v>
      </c>
    </row>
    <row r="181" spans="2:2" x14ac:dyDescent="0.25">
      <c r="B181">
        <v>1797</v>
      </c>
    </row>
    <row r="182" spans="2:2" x14ac:dyDescent="0.25">
      <c r="B182">
        <v>1807</v>
      </c>
    </row>
    <row r="183" spans="2:2" x14ac:dyDescent="0.25">
      <c r="B183">
        <v>1817</v>
      </c>
    </row>
    <row r="184" spans="2:2" x14ac:dyDescent="0.25">
      <c r="B184">
        <v>1827</v>
      </c>
    </row>
    <row r="185" spans="2:2" x14ac:dyDescent="0.25">
      <c r="B185">
        <v>1837</v>
      </c>
    </row>
    <row r="186" spans="2:2" x14ac:dyDescent="0.25">
      <c r="B186">
        <v>1847</v>
      </c>
    </row>
    <row r="187" spans="2:2" x14ac:dyDescent="0.25">
      <c r="B187">
        <v>1857</v>
      </c>
    </row>
    <row r="188" spans="2:2" x14ac:dyDescent="0.25">
      <c r="B188">
        <v>1867</v>
      </c>
    </row>
    <row r="189" spans="2:2" x14ac:dyDescent="0.25">
      <c r="B189">
        <v>1877</v>
      </c>
    </row>
    <row r="190" spans="2:2" x14ac:dyDescent="0.25">
      <c r="B190">
        <v>1887</v>
      </c>
    </row>
    <row r="191" spans="2:2" x14ac:dyDescent="0.25">
      <c r="B191">
        <v>1897</v>
      </c>
    </row>
    <row r="192" spans="2:2" x14ac:dyDescent="0.25">
      <c r="B192">
        <v>1907</v>
      </c>
    </row>
    <row r="193" spans="2:2" x14ac:dyDescent="0.25">
      <c r="B193">
        <v>1917</v>
      </c>
    </row>
    <row r="194" spans="2:2" x14ac:dyDescent="0.25">
      <c r="B194">
        <v>1927</v>
      </c>
    </row>
    <row r="195" spans="2:2" x14ac:dyDescent="0.25">
      <c r="B195">
        <v>1937</v>
      </c>
    </row>
    <row r="196" spans="2:2" x14ac:dyDescent="0.25">
      <c r="B196">
        <v>1947</v>
      </c>
    </row>
    <row r="197" spans="2:2" x14ac:dyDescent="0.25">
      <c r="B197">
        <v>1957</v>
      </c>
    </row>
    <row r="198" spans="2:2" x14ac:dyDescent="0.25">
      <c r="B198">
        <v>1967</v>
      </c>
    </row>
    <row r="199" spans="2:2" x14ac:dyDescent="0.25">
      <c r="B199">
        <v>1977</v>
      </c>
    </row>
    <row r="200" spans="2:2" x14ac:dyDescent="0.25">
      <c r="B200">
        <v>1987</v>
      </c>
    </row>
    <row r="201" spans="2:2" x14ac:dyDescent="0.25">
      <c r="B201">
        <v>1997</v>
      </c>
    </row>
    <row r="202" spans="2:2" x14ac:dyDescent="0.25">
      <c r="B202">
        <v>2007</v>
      </c>
    </row>
    <row r="203" spans="2:2" x14ac:dyDescent="0.25">
      <c r="B203">
        <v>2017</v>
      </c>
    </row>
    <row r="204" spans="2:2" x14ac:dyDescent="0.25">
      <c r="B204">
        <v>2027</v>
      </c>
    </row>
    <row r="205" spans="2:2" x14ac:dyDescent="0.25">
      <c r="B205">
        <v>2037</v>
      </c>
    </row>
    <row r="206" spans="2:2" x14ac:dyDescent="0.25">
      <c r="B206">
        <v>2047</v>
      </c>
    </row>
    <row r="207" spans="2:2" x14ac:dyDescent="0.25">
      <c r="B207">
        <v>2057</v>
      </c>
    </row>
    <row r="208" spans="2:2" x14ac:dyDescent="0.25">
      <c r="B208">
        <v>2067</v>
      </c>
    </row>
    <row r="209" spans="2:2" x14ac:dyDescent="0.25">
      <c r="B209">
        <v>2077</v>
      </c>
    </row>
    <row r="210" spans="2:2" x14ac:dyDescent="0.25">
      <c r="B210">
        <v>2087</v>
      </c>
    </row>
    <row r="211" spans="2:2" x14ac:dyDescent="0.25">
      <c r="B211">
        <v>2097</v>
      </c>
    </row>
    <row r="212" spans="2:2" x14ac:dyDescent="0.25">
      <c r="B212">
        <v>2107</v>
      </c>
    </row>
    <row r="213" spans="2:2" x14ac:dyDescent="0.25">
      <c r="B213">
        <v>2117</v>
      </c>
    </row>
    <row r="214" spans="2:2" x14ac:dyDescent="0.25">
      <c r="B214">
        <v>2127</v>
      </c>
    </row>
    <row r="215" spans="2:2" x14ac:dyDescent="0.25">
      <c r="B215">
        <v>2137</v>
      </c>
    </row>
    <row r="216" spans="2:2" x14ac:dyDescent="0.25">
      <c r="B216">
        <v>2147</v>
      </c>
    </row>
    <row r="217" spans="2:2" x14ac:dyDescent="0.25">
      <c r="B217">
        <v>2157</v>
      </c>
    </row>
    <row r="218" spans="2:2" x14ac:dyDescent="0.25">
      <c r="B218">
        <v>2167</v>
      </c>
    </row>
    <row r="219" spans="2:2" x14ac:dyDescent="0.25">
      <c r="B219">
        <v>2177</v>
      </c>
    </row>
    <row r="220" spans="2:2" x14ac:dyDescent="0.25">
      <c r="B220">
        <v>2187</v>
      </c>
    </row>
    <row r="221" spans="2:2" x14ac:dyDescent="0.25">
      <c r="B221">
        <v>2197</v>
      </c>
    </row>
    <row r="222" spans="2:2" x14ac:dyDescent="0.25">
      <c r="B222">
        <v>2207</v>
      </c>
    </row>
    <row r="223" spans="2:2" x14ac:dyDescent="0.25">
      <c r="B223">
        <v>2217</v>
      </c>
    </row>
    <row r="224" spans="2:2" x14ac:dyDescent="0.25">
      <c r="B224">
        <v>2227</v>
      </c>
    </row>
    <row r="225" spans="2:2" x14ac:dyDescent="0.25">
      <c r="B225">
        <v>2237</v>
      </c>
    </row>
    <row r="226" spans="2:2" x14ac:dyDescent="0.25">
      <c r="B226">
        <v>2247</v>
      </c>
    </row>
    <row r="227" spans="2:2" x14ac:dyDescent="0.25">
      <c r="B227">
        <v>2257</v>
      </c>
    </row>
    <row r="228" spans="2:2" x14ac:dyDescent="0.25">
      <c r="B228">
        <v>2267</v>
      </c>
    </row>
    <row r="229" spans="2:2" x14ac:dyDescent="0.25">
      <c r="B229">
        <v>2277</v>
      </c>
    </row>
    <row r="230" spans="2:2" x14ac:dyDescent="0.25">
      <c r="B230">
        <v>2287</v>
      </c>
    </row>
    <row r="231" spans="2:2" x14ac:dyDescent="0.25">
      <c r="B231">
        <v>2297</v>
      </c>
    </row>
    <row r="232" spans="2:2" x14ac:dyDescent="0.25">
      <c r="B232">
        <v>2307</v>
      </c>
    </row>
    <row r="233" spans="2:2" x14ac:dyDescent="0.25">
      <c r="B233">
        <v>2317</v>
      </c>
    </row>
    <row r="234" spans="2:2" x14ac:dyDescent="0.25">
      <c r="B234">
        <v>2327</v>
      </c>
    </row>
    <row r="235" spans="2:2" x14ac:dyDescent="0.25">
      <c r="B235">
        <v>2337</v>
      </c>
    </row>
    <row r="236" spans="2:2" x14ac:dyDescent="0.25">
      <c r="B236">
        <v>2347</v>
      </c>
    </row>
    <row r="237" spans="2:2" x14ac:dyDescent="0.25">
      <c r="B237">
        <v>2357</v>
      </c>
    </row>
    <row r="238" spans="2:2" x14ac:dyDescent="0.25">
      <c r="B238">
        <v>2367</v>
      </c>
    </row>
    <row r="239" spans="2:2" x14ac:dyDescent="0.25">
      <c r="B239">
        <v>2377</v>
      </c>
    </row>
    <row r="240" spans="2:2" x14ac:dyDescent="0.25">
      <c r="B240">
        <v>2387</v>
      </c>
    </row>
    <row r="241" spans="2:2" x14ac:dyDescent="0.25">
      <c r="B241">
        <v>2397</v>
      </c>
    </row>
    <row r="242" spans="2:2" x14ac:dyDescent="0.25">
      <c r="B242">
        <v>2407</v>
      </c>
    </row>
    <row r="243" spans="2:2" x14ac:dyDescent="0.25">
      <c r="B243">
        <v>2417</v>
      </c>
    </row>
    <row r="244" spans="2:2" x14ac:dyDescent="0.25">
      <c r="B244">
        <v>2427</v>
      </c>
    </row>
    <row r="245" spans="2:2" x14ac:dyDescent="0.25">
      <c r="B245">
        <v>2437</v>
      </c>
    </row>
    <row r="246" spans="2:2" x14ac:dyDescent="0.25">
      <c r="B246">
        <v>2447</v>
      </c>
    </row>
    <row r="247" spans="2:2" x14ac:dyDescent="0.25">
      <c r="B247">
        <v>2457</v>
      </c>
    </row>
    <row r="248" spans="2:2" x14ac:dyDescent="0.25">
      <c r="B248">
        <v>2467</v>
      </c>
    </row>
    <row r="249" spans="2:2" x14ac:dyDescent="0.25">
      <c r="B249">
        <v>2477</v>
      </c>
    </row>
    <row r="250" spans="2:2" x14ac:dyDescent="0.25">
      <c r="B250">
        <v>2487</v>
      </c>
    </row>
    <row r="251" spans="2:2" x14ac:dyDescent="0.25">
      <c r="B251">
        <v>2497</v>
      </c>
    </row>
    <row r="252" spans="2:2" x14ac:dyDescent="0.25">
      <c r="B252">
        <v>2507</v>
      </c>
    </row>
    <row r="253" spans="2:2" x14ac:dyDescent="0.25">
      <c r="B253">
        <v>2517</v>
      </c>
    </row>
    <row r="254" spans="2:2" x14ac:dyDescent="0.25">
      <c r="B254">
        <v>2527</v>
      </c>
    </row>
    <row r="255" spans="2:2" x14ac:dyDescent="0.25">
      <c r="B255">
        <v>2537</v>
      </c>
    </row>
    <row r="256" spans="2:2" x14ac:dyDescent="0.25">
      <c r="B256">
        <v>2547</v>
      </c>
    </row>
    <row r="257" spans="2:2" x14ac:dyDescent="0.25">
      <c r="B257">
        <v>2557</v>
      </c>
    </row>
    <row r="258" spans="2:2" x14ac:dyDescent="0.25">
      <c r="B258">
        <v>2567</v>
      </c>
    </row>
    <row r="259" spans="2:2" x14ac:dyDescent="0.25">
      <c r="B259">
        <v>2577</v>
      </c>
    </row>
    <row r="260" spans="2:2" x14ac:dyDescent="0.25">
      <c r="B260">
        <v>2587</v>
      </c>
    </row>
    <row r="261" spans="2:2" x14ac:dyDescent="0.25">
      <c r="B261">
        <v>2597</v>
      </c>
    </row>
    <row r="262" spans="2:2" x14ac:dyDescent="0.25">
      <c r="B262">
        <v>2607</v>
      </c>
    </row>
    <row r="263" spans="2:2" x14ac:dyDescent="0.25">
      <c r="B263">
        <v>2617</v>
      </c>
    </row>
    <row r="264" spans="2:2" x14ac:dyDescent="0.25">
      <c r="B264">
        <v>2627</v>
      </c>
    </row>
    <row r="265" spans="2:2" x14ac:dyDescent="0.25">
      <c r="B265">
        <v>2637</v>
      </c>
    </row>
    <row r="266" spans="2:2" x14ac:dyDescent="0.25">
      <c r="B266">
        <v>2647</v>
      </c>
    </row>
    <row r="267" spans="2:2" x14ac:dyDescent="0.25">
      <c r="B267">
        <v>2657</v>
      </c>
    </row>
    <row r="268" spans="2:2" x14ac:dyDescent="0.25">
      <c r="B268">
        <v>2667</v>
      </c>
    </row>
    <row r="269" spans="2:2" x14ac:dyDescent="0.25">
      <c r="B269">
        <v>2677</v>
      </c>
    </row>
    <row r="270" spans="2:2" x14ac:dyDescent="0.25">
      <c r="B270">
        <v>2687</v>
      </c>
    </row>
    <row r="271" spans="2:2" x14ac:dyDescent="0.25">
      <c r="B271">
        <v>2697</v>
      </c>
    </row>
    <row r="272" spans="2:2" x14ac:dyDescent="0.25">
      <c r="B272">
        <v>2707</v>
      </c>
    </row>
    <row r="273" spans="2:2" x14ac:dyDescent="0.25">
      <c r="B273">
        <v>2717</v>
      </c>
    </row>
    <row r="274" spans="2:2" x14ac:dyDescent="0.25">
      <c r="B274">
        <v>2727</v>
      </c>
    </row>
    <row r="275" spans="2:2" x14ac:dyDescent="0.25">
      <c r="B275">
        <v>2737</v>
      </c>
    </row>
    <row r="276" spans="2:2" x14ac:dyDescent="0.25">
      <c r="B276">
        <v>2747</v>
      </c>
    </row>
    <row r="277" spans="2:2" x14ac:dyDescent="0.25">
      <c r="B277">
        <v>2757</v>
      </c>
    </row>
    <row r="278" spans="2:2" x14ac:dyDescent="0.25">
      <c r="B278">
        <v>2767</v>
      </c>
    </row>
    <row r="279" spans="2:2" x14ac:dyDescent="0.25">
      <c r="B279">
        <v>2777</v>
      </c>
    </row>
    <row r="280" spans="2:2" x14ac:dyDescent="0.25">
      <c r="B280">
        <v>2787</v>
      </c>
    </row>
    <row r="281" spans="2:2" x14ac:dyDescent="0.25">
      <c r="B281">
        <v>2797</v>
      </c>
    </row>
    <row r="282" spans="2:2" x14ac:dyDescent="0.25">
      <c r="B282">
        <v>2807</v>
      </c>
    </row>
    <row r="283" spans="2:2" x14ac:dyDescent="0.25">
      <c r="B283">
        <v>2817</v>
      </c>
    </row>
    <row r="284" spans="2:2" x14ac:dyDescent="0.25">
      <c r="B284">
        <v>2827</v>
      </c>
    </row>
    <row r="285" spans="2:2" x14ac:dyDescent="0.25">
      <c r="B285">
        <v>2837</v>
      </c>
    </row>
    <row r="286" spans="2:2" x14ac:dyDescent="0.25">
      <c r="B286">
        <v>2847</v>
      </c>
    </row>
    <row r="287" spans="2:2" x14ac:dyDescent="0.25">
      <c r="B287">
        <v>2857</v>
      </c>
    </row>
    <row r="288" spans="2:2" x14ac:dyDescent="0.25">
      <c r="B288">
        <v>2867</v>
      </c>
    </row>
    <row r="289" spans="2:2" x14ac:dyDescent="0.25">
      <c r="B289">
        <v>2877</v>
      </c>
    </row>
    <row r="290" spans="2:2" x14ac:dyDescent="0.25">
      <c r="B290">
        <v>2887</v>
      </c>
    </row>
    <row r="291" spans="2:2" x14ac:dyDescent="0.25">
      <c r="B291">
        <v>2897</v>
      </c>
    </row>
    <row r="292" spans="2:2" x14ac:dyDescent="0.25">
      <c r="B292">
        <v>2907</v>
      </c>
    </row>
    <row r="293" spans="2:2" x14ac:dyDescent="0.25">
      <c r="B293">
        <v>2917</v>
      </c>
    </row>
    <row r="294" spans="2:2" x14ac:dyDescent="0.25">
      <c r="B294">
        <v>2927</v>
      </c>
    </row>
    <row r="295" spans="2:2" x14ac:dyDescent="0.25">
      <c r="B295">
        <v>2937</v>
      </c>
    </row>
    <row r="296" spans="2:2" x14ac:dyDescent="0.25">
      <c r="B296">
        <v>2947</v>
      </c>
    </row>
    <row r="297" spans="2:2" x14ac:dyDescent="0.25">
      <c r="B297">
        <v>2957</v>
      </c>
    </row>
    <row r="298" spans="2:2" x14ac:dyDescent="0.25">
      <c r="B298">
        <v>2967</v>
      </c>
    </row>
    <row r="299" spans="2:2" x14ac:dyDescent="0.25">
      <c r="B299">
        <v>2977</v>
      </c>
    </row>
    <row r="300" spans="2:2" x14ac:dyDescent="0.25">
      <c r="B300">
        <v>2987</v>
      </c>
    </row>
    <row r="301" spans="2:2" x14ac:dyDescent="0.25">
      <c r="B301">
        <v>2997</v>
      </c>
    </row>
    <row r="302" spans="2:2" x14ac:dyDescent="0.25">
      <c r="B302">
        <v>3007</v>
      </c>
    </row>
    <row r="303" spans="2:2" x14ac:dyDescent="0.25">
      <c r="B303">
        <v>3017</v>
      </c>
    </row>
    <row r="304" spans="2:2" x14ac:dyDescent="0.25">
      <c r="B304">
        <v>3027</v>
      </c>
    </row>
    <row r="305" spans="2:2" x14ac:dyDescent="0.25">
      <c r="B305">
        <v>3037</v>
      </c>
    </row>
    <row r="306" spans="2:2" x14ac:dyDescent="0.25">
      <c r="B306">
        <v>3047</v>
      </c>
    </row>
    <row r="307" spans="2:2" x14ac:dyDescent="0.25">
      <c r="B307">
        <v>3057</v>
      </c>
    </row>
    <row r="308" spans="2:2" x14ac:dyDescent="0.25">
      <c r="B308">
        <v>3067</v>
      </c>
    </row>
    <row r="309" spans="2:2" x14ac:dyDescent="0.25">
      <c r="B309">
        <v>3077</v>
      </c>
    </row>
    <row r="310" spans="2:2" x14ac:dyDescent="0.25">
      <c r="B310">
        <v>3087</v>
      </c>
    </row>
    <row r="311" spans="2:2" x14ac:dyDescent="0.25">
      <c r="B311">
        <v>3097</v>
      </c>
    </row>
    <row r="312" spans="2:2" x14ac:dyDescent="0.25">
      <c r="B312">
        <v>3107</v>
      </c>
    </row>
    <row r="313" spans="2:2" x14ac:dyDescent="0.25">
      <c r="B313">
        <v>3117</v>
      </c>
    </row>
    <row r="314" spans="2:2" x14ac:dyDescent="0.25">
      <c r="B314">
        <v>3127</v>
      </c>
    </row>
    <row r="315" spans="2:2" x14ac:dyDescent="0.25">
      <c r="B315">
        <v>3137</v>
      </c>
    </row>
    <row r="316" spans="2:2" x14ac:dyDescent="0.25">
      <c r="B316">
        <v>3147</v>
      </c>
    </row>
    <row r="317" spans="2:2" x14ac:dyDescent="0.25">
      <c r="B317">
        <v>3157</v>
      </c>
    </row>
    <row r="318" spans="2:2" x14ac:dyDescent="0.25">
      <c r="B318">
        <v>3167</v>
      </c>
    </row>
    <row r="319" spans="2:2" x14ac:dyDescent="0.25">
      <c r="B319">
        <v>3177</v>
      </c>
    </row>
    <row r="320" spans="2:2" x14ac:dyDescent="0.25">
      <c r="B320">
        <v>3187</v>
      </c>
    </row>
    <row r="321" spans="2:2" x14ac:dyDescent="0.25">
      <c r="B321">
        <v>3197</v>
      </c>
    </row>
    <row r="322" spans="2:2" x14ac:dyDescent="0.25">
      <c r="B322">
        <v>3207</v>
      </c>
    </row>
    <row r="323" spans="2:2" x14ac:dyDescent="0.25">
      <c r="B323">
        <v>3217</v>
      </c>
    </row>
    <row r="324" spans="2:2" x14ac:dyDescent="0.25">
      <c r="B324">
        <v>3227</v>
      </c>
    </row>
    <row r="325" spans="2:2" x14ac:dyDescent="0.25">
      <c r="B325">
        <v>3237</v>
      </c>
    </row>
    <row r="326" spans="2:2" x14ac:dyDescent="0.25">
      <c r="B326">
        <v>3247</v>
      </c>
    </row>
    <row r="327" spans="2:2" x14ac:dyDescent="0.25">
      <c r="B327">
        <v>3257</v>
      </c>
    </row>
    <row r="328" spans="2:2" x14ac:dyDescent="0.25">
      <c r="B328">
        <v>3267</v>
      </c>
    </row>
    <row r="329" spans="2:2" x14ac:dyDescent="0.25">
      <c r="B329">
        <v>3277</v>
      </c>
    </row>
    <row r="330" spans="2:2" x14ac:dyDescent="0.25">
      <c r="B330">
        <v>3287</v>
      </c>
    </row>
    <row r="331" spans="2:2" x14ac:dyDescent="0.25">
      <c r="B331">
        <v>3297</v>
      </c>
    </row>
    <row r="332" spans="2:2" x14ac:dyDescent="0.25">
      <c r="B332">
        <v>3307</v>
      </c>
    </row>
    <row r="333" spans="2:2" x14ac:dyDescent="0.25">
      <c r="B333">
        <v>3317</v>
      </c>
    </row>
    <row r="334" spans="2:2" x14ac:dyDescent="0.25">
      <c r="B334">
        <v>3327</v>
      </c>
    </row>
    <row r="335" spans="2:2" x14ac:dyDescent="0.25">
      <c r="B335">
        <v>3337</v>
      </c>
    </row>
    <row r="336" spans="2:2" x14ac:dyDescent="0.25">
      <c r="B336">
        <v>3347</v>
      </c>
    </row>
    <row r="337" spans="2:2" x14ac:dyDescent="0.25">
      <c r="B337">
        <v>3357</v>
      </c>
    </row>
    <row r="338" spans="2:2" x14ac:dyDescent="0.25">
      <c r="B338">
        <v>3367</v>
      </c>
    </row>
    <row r="339" spans="2:2" x14ac:dyDescent="0.25">
      <c r="B339">
        <v>3377</v>
      </c>
    </row>
    <row r="340" spans="2:2" x14ac:dyDescent="0.25">
      <c r="B340">
        <v>3387</v>
      </c>
    </row>
    <row r="341" spans="2:2" x14ac:dyDescent="0.25">
      <c r="B341">
        <v>3397</v>
      </c>
    </row>
    <row r="342" spans="2:2" x14ac:dyDescent="0.25">
      <c r="B342">
        <v>3407</v>
      </c>
    </row>
    <row r="343" spans="2:2" x14ac:dyDescent="0.25">
      <c r="B343">
        <v>3417</v>
      </c>
    </row>
    <row r="344" spans="2:2" x14ac:dyDescent="0.25">
      <c r="B344">
        <v>3427</v>
      </c>
    </row>
    <row r="345" spans="2:2" x14ac:dyDescent="0.25">
      <c r="B345">
        <v>3437</v>
      </c>
    </row>
    <row r="346" spans="2:2" x14ac:dyDescent="0.25">
      <c r="B346">
        <v>3447</v>
      </c>
    </row>
    <row r="347" spans="2:2" x14ac:dyDescent="0.25">
      <c r="B347">
        <v>3457</v>
      </c>
    </row>
    <row r="348" spans="2:2" x14ac:dyDescent="0.25">
      <c r="B348">
        <v>3467</v>
      </c>
    </row>
    <row r="349" spans="2:2" x14ac:dyDescent="0.25">
      <c r="B349">
        <v>3477</v>
      </c>
    </row>
    <row r="350" spans="2:2" x14ac:dyDescent="0.25">
      <c r="B350">
        <v>3487</v>
      </c>
    </row>
    <row r="351" spans="2:2" x14ac:dyDescent="0.25">
      <c r="B351">
        <v>3497</v>
      </c>
    </row>
    <row r="352" spans="2:2" x14ac:dyDescent="0.25">
      <c r="B352">
        <v>3507</v>
      </c>
    </row>
    <row r="353" spans="2:2" x14ac:dyDescent="0.25">
      <c r="B353">
        <v>3517</v>
      </c>
    </row>
    <row r="354" spans="2:2" x14ac:dyDescent="0.25">
      <c r="B354">
        <v>3527</v>
      </c>
    </row>
    <row r="355" spans="2:2" x14ac:dyDescent="0.25">
      <c r="B355">
        <v>3537</v>
      </c>
    </row>
    <row r="356" spans="2:2" x14ac:dyDescent="0.25">
      <c r="B356">
        <v>3547</v>
      </c>
    </row>
    <row r="357" spans="2:2" x14ac:dyDescent="0.25">
      <c r="B357">
        <v>3557</v>
      </c>
    </row>
    <row r="358" spans="2:2" x14ac:dyDescent="0.25">
      <c r="B358">
        <v>3567</v>
      </c>
    </row>
    <row r="359" spans="2:2" x14ac:dyDescent="0.25">
      <c r="B359">
        <v>3577</v>
      </c>
    </row>
    <row r="360" spans="2:2" x14ac:dyDescent="0.25">
      <c r="B360">
        <v>3587</v>
      </c>
    </row>
    <row r="361" spans="2:2" x14ac:dyDescent="0.25">
      <c r="B361">
        <v>3597</v>
      </c>
    </row>
    <row r="362" spans="2:2" x14ac:dyDescent="0.25">
      <c r="B362">
        <v>3607</v>
      </c>
    </row>
    <row r="363" spans="2:2" x14ac:dyDescent="0.25">
      <c r="B363">
        <v>3617</v>
      </c>
    </row>
    <row r="364" spans="2:2" x14ac:dyDescent="0.25">
      <c r="B364">
        <v>3627</v>
      </c>
    </row>
    <row r="365" spans="2:2" x14ac:dyDescent="0.25">
      <c r="B365">
        <v>3637</v>
      </c>
    </row>
    <row r="366" spans="2:2" x14ac:dyDescent="0.25">
      <c r="B366">
        <v>3647</v>
      </c>
    </row>
    <row r="367" spans="2:2" x14ac:dyDescent="0.25">
      <c r="B367">
        <v>3657</v>
      </c>
    </row>
    <row r="368" spans="2:2" x14ac:dyDescent="0.25">
      <c r="B368">
        <v>3667</v>
      </c>
    </row>
    <row r="369" spans="2:2" x14ac:dyDescent="0.25">
      <c r="B369">
        <v>3677</v>
      </c>
    </row>
    <row r="370" spans="2:2" x14ac:dyDescent="0.25">
      <c r="B370">
        <v>3687</v>
      </c>
    </row>
    <row r="371" spans="2:2" x14ac:dyDescent="0.25">
      <c r="B371">
        <v>3697</v>
      </c>
    </row>
    <row r="372" spans="2:2" x14ac:dyDescent="0.25">
      <c r="B372">
        <v>3707</v>
      </c>
    </row>
    <row r="373" spans="2:2" x14ac:dyDescent="0.25">
      <c r="B373">
        <v>3717</v>
      </c>
    </row>
    <row r="374" spans="2:2" x14ac:dyDescent="0.25">
      <c r="B374">
        <v>3727</v>
      </c>
    </row>
    <row r="375" spans="2:2" x14ac:dyDescent="0.25">
      <c r="B375">
        <v>3737</v>
      </c>
    </row>
    <row r="376" spans="2:2" x14ac:dyDescent="0.25">
      <c r="B376">
        <v>3747</v>
      </c>
    </row>
    <row r="377" spans="2:2" x14ac:dyDescent="0.25">
      <c r="B377">
        <v>3757</v>
      </c>
    </row>
    <row r="378" spans="2:2" x14ac:dyDescent="0.25">
      <c r="B378">
        <v>3767</v>
      </c>
    </row>
    <row r="379" spans="2:2" x14ac:dyDescent="0.25">
      <c r="B379">
        <v>3777</v>
      </c>
    </row>
    <row r="380" spans="2:2" x14ac:dyDescent="0.25">
      <c r="B380">
        <v>3787</v>
      </c>
    </row>
    <row r="381" spans="2:2" x14ac:dyDescent="0.25">
      <c r="B381">
        <v>3797</v>
      </c>
    </row>
    <row r="382" spans="2:2" x14ac:dyDescent="0.25">
      <c r="B382">
        <v>3807</v>
      </c>
    </row>
    <row r="383" spans="2:2" x14ac:dyDescent="0.25">
      <c r="B383">
        <v>3817</v>
      </c>
    </row>
    <row r="384" spans="2:2" x14ac:dyDescent="0.25">
      <c r="B384">
        <v>3827</v>
      </c>
    </row>
    <row r="385" spans="2:2" x14ac:dyDescent="0.25">
      <c r="B385">
        <v>3837</v>
      </c>
    </row>
    <row r="386" spans="2:2" x14ac:dyDescent="0.25">
      <c r="B386">
        <v>3847</v>
      </c>
    </row>
    <row r="387" spans="2:2" x14ac:dyDescent="0.25">
      <c r="B387">
        <v>3857</v>
      </c>
    </row>
    <row r="388" spans="2:2" x14ac:dyDescent="0.25">
      <c r="B388">
        <v>3867</v>
      </c>
    </row>
    <row r="389" spans="2:2" x14ac:dyDescent="0.25">
      <c r="B389">
        <v>3877</v>
      </c>
    </row>
    <row r="390" spans="2:2" x14ac:dyDescent="0.25">
      <c r="B390">
        <v>3887</v>
      </c>
    </row>
    <row r="391" spans="2:2" x14ac:dyDescent="0.25">
      <c r="B391">
        <v>3897</v>
      </c>
    </row>
    <row r="392" spans="2:2" x14ac:dyDescent="0.25">
      <c r="B392">
        <v>3907</v>
      </c>
    </row>
    <row r="393" spans="2:2" x14ac:dyDescent="0.25">
      <c r="B393">
        <v>3917</v>
      </c>
    </row>
    <row r="394" spans="2:2" x14ac:dyDescent="0.25">
      <c r="B394">
        <v>3927</v>
      </c>
    </row>
    <row r="395" spans="2:2" x14ac:dyDescent="0.25">
      <c r="B395">
        <v>3937</v>
      </c>
    </row>
    <row r="396" spans="2:2" x14ac:dyDescent="0.25">
      <c r="B396">
        <v>3947</v>
      </c>
    </row>
    <row r="397" spans="2:2" x14ac:dyDescent="0.25">
      <c r="B397">
        <v>3957</v>
      </c>
    </row>
    <row r="398" spans="2:2" x14ac:dyDescent="0.25">
      <c r="B398">
        <v>3967</v>
      </c>
    </row>
    <row r="399" spans="2:2" x14ac:dyDescent="0.25">
      <c r="B399">
        <v>3977</v>
      </c>
    </row>
    <row r="400" spans="2:2" x14ac:dyDescent="0.25">
      <c r="B400">
        <v>3987</v>
      </c>
    </row>
    <row r="401" spans="2:2" x14ac:dyDescent="0.25">
      <c r="B401">
        <v>3997</v>
      </c>
    </row>
    <row r="402" spans="2:2" x14ac:dyDescent="0.25">
      <c r="B402">
        <v>4007</v>
      </c>
    </row>
    <row r="403" spans="2:2" x14ac:dyDescent="0.25">
      <c r="B403">
        <v>4017</v>
      </c>
    </row>
    <row r="404" spans="2:2" x14ac:dyDescent="0.25">
      <c r="B404">
        <v>4027</v>
      </c>
    </row>
    <row r="405" spans="2:2" x14ac:dyDescent="0.25">
      <c r="B405">
        <v>4037</v>
      </c>
    </row>
    <row r="406" spans="2:2" x14ac:dyDescent="0.25">
      <c r="B406">
        <v>4047</v>
      </c>
    </row>
    <row r="407" spans="2:2" x14ac:dyDescent="0.25">
      <c r="B407">
        <v>4057</v>
      </c>
    </row>
    <row r="408" spans="2:2" x14ac:dyDescent="0.25">
      <c r="B408">
        <v>4067</v>
      </c>
    </row>
    <row r="409" spans="2:2" x14ac:dyDescent="0.25">
      <c r="B409">
        <v>4077</v>
      </c>
    </row>
    <row r="410" spans="2:2" x14ac:dyDescent="0.25">
      <c r="B410">
        <v>4087</v>
      </c>
    </row>
    <row r="411" spans="2:2" x14ac:dyDescent="0.25">
      <c r="B411">
        <v>4097</v>
      </c>
    </row>
    <row r="412" spans="2:2" x14ac:dyDescent="0.25">
      <c r="B412">
        <v>4107</v>
      </c>
    </row>
    <row r="413" spans="2:2" x14ac:dyDescent="0.25">
      <c r="B413">
        <v>4117</v>
      </c>
    </row>
    <row r="414" spans="2:2" x14ac:dyDescent="0.25">
      <c r="B414">
        <v>4127</v>
      </c>
    </row>
    <row r="415" spans="2:2" x14ac:dyDescent="0.25">
      <c r="B415">
        <v>4137</v>
      </c>
    </row>
    <row r="416" spans="2:2" x14ac:dyDescent="0.25">
      <c r="B416">
        <v>4147</v>
      </c>
    </row>
    <row r="417" spans="2:2" x14ac:dyDescent="0.25">
      <c r="B417">
        <v>4157</v>
      </c>
    </row>
    <row r="418" spans="2:2" x14ac:dyDescent="0.25">
      <c r="B418">
        <v>4167</v>
      </c>
    </row>
    <row r="419" spans="2:2" x14ac:dyDescent="0.25">
      <c r="B419">
        <v>4177</v>
      </c>
    </row>
    <row r="420" spans="2:2" x14ac:dyDescent="0.25">
      <c r="B420">
        <v>4187</v>
      </c>
    </row>
    <row r="421" spans="2:2" x14ac:dyDescent="0.25">
      <c r="B421">
        <v>4197</v>
      </c>
    </row>
    <row r="422" spans="2:2" x14ac:dyDescent="0.25">
      <c r="B422">
        <v>4207</v>
      </c>
    </row>
    <row r="423" spans="2:2" x14ac:dyDescent="0.25">
      <c r="B423">
        <v>4217</v>
      </c>
    </row>
    <row r="424" spans="2:2" x14ac:dyDescent="0.25">
      <c r="B424">
        <v>4227</v>
      </c>
    </row>
    <row r="425" spans="2:2" x14ac:dyDescent="0.25">
      <c r="B425">
        <v>4237</v>
      </c>
    </row>
    <row r="426" spans="2:2" x14ac:dyDescent="0.25">
      <c r="B426">
        <v>4247</v>
      </c>
    </row>
    <row r="427" spans="2:2" x14ac:dyDescent="0.25">
      <c r="B427">
        <v>4257</v>
      </c>
    </row>
    <row r="428" spans="2:2" x14ac:dyDescent="0.25">
      <c r="B428">
        <v>4267</v>
      </c>
    </row>
    <row r="429" spans="2:2" x14ac:dyDescent="0.25">
      <c r="B429">
        <v>4277</v>
      </c>
    </row>
    <row r="430" spans="2:2" x14ac:dyDescent="0.25">
      <c r="B430">
        <v>4287</v>
      </c>
    </row>
    <row r="431" spans="2:2" x14ac:dyDescent="0.25">
      <c r="B431">
        <v>4297</v>
      </c>
    </row>
    <row r="432" spans="2:2" x14ac:dyDescent="0.25">
      <c r="B432">
        <v>4307</v>
      </c>
    </row>
    <row r="433" spans="2:2" x14ac:dyDescent="0.25">
      <c r="B433">
        <v>4317</v>
      </c>
    </row>
    <row r="434" spans="2:2" x14ac:dyDescent="0.25">
      <c r="B434">
        <v>4327</v>
      </c>
    </row>
    <row r="435" spans="2:2" x14ac:dyDescent="0.25">
      <c r="B435">
        <v>4337</v>
      </c>
    </row>
    <row r="436" spans="2:2" x14ac:dyDescent="0.25">
      <c r="B436">
        <v>4347</v>
      </c>
    </row>
    <row r="437" spans="2:2" x14ac:dyDescent="0.25">
      <c r="B437">
        <v>4357</v>
      </c>
    </row>
    <row r="438" spans="2:2" x14ac:dyDescent="0.25">
      <c r="B438">
        <v>4367</v>
      </c>
    </row>
    <row r="439" spans="2:2" x14ac:dyDescent="0.25">
      <c r="B439">
        <v>4377</v>
      </c>
    </row>
    <row r="440" spans="2:2" x14ac:dyDescent="0.25">
      <c r="B440">
        <v>4387</v>
      </c>
    </row>
    <row r="441" spans="2:2" x14ac:dyDescent="0.25">
      <c r="B441">
        <v>4397</v>
      </c>
    </row>
    <row r="442" spans="2:2" x14ac:dyDescent="0.25">
      <c r="B442">
        <v>4407</v>
      </c>
    </row>
    <row r="443" spans="2:2" x14ac:dyDescent="0.25">
      <c r="B443">
        <v>4417</v>
      </c>
    </row>
    <row r="444" spans="2:2" x14ac:dyDescent="0.25">
      <c r="B444">
        <v>4427</v>
      </c>
    </row>
    <row r="445" spans="2:2" x14ac:dyDescent="0.25">
      <c r="B445">
        <v>4437</v>
      </c>
    </row>
    <row r="446" spans="2:2" x14ac:dyDescent="0.25">
      <c r="B446">
        <v>4447</v>
      </c>
    </row>
    <row r="447" spans="2:2" x14ac:dyDescent="0.25">
      <c r="B447">
        <v>4457</v>
      </c>
    </row>
    <row r="448" spans="2:2" x14ac:dyDescent="0.25">
      <c r="B448">
        <v>4467</v>
      </c>
    </row>
    <row r="449" spans="2:2" x14ac:dyDescent="0.25">
      <c r="B449">
        <v>4477</v>
      </c>
    </row>
    <row r="450" spans="2:2" x14ac:dyDescent="0.25">
      <c r="B450">
        <v>4487</v>
      </c>
    </row>
    <row r="451" spans="2:2" x14ac:dyDescent="0.25">
      <c r="B451">
        <v>4497</v>
      </c>
    </row>
    <row r="452" spans="2:2" x14ac:dyDescent="0.25">
      <c r="B452">
        <v>4507</v>
      </c>
    </row>
    <row r="453" spans="2:2" x14ac:dyDescent="0.25">
      <c r="B453">
        <v>4517</v>
      </c>
    </row>
    <row r="454" spans="2:2" x14ac:dyDescent="0.25">
      <c r="B454">
        <v>4527</v>
      </c>
    </row>
    <row r="455" spans="2:2" x14ac:dyDescent="0.25">
      <c r="B455">
        <v>4537</v>
      </c>
    </row>
    <row r="456" spans="2:2" x14ac:dyDescent="0.25">
      <c r="B456">
        <v>4547</v>
      </c>
    </row>
    <row r="457" spans="2:2" x14ac:dyDescent="0.25">
      <c r="B457">
        <v>4557</v>
      </c>
    </row>
    <row r="458" spans="2:2" x14ac:dyDescent="0.25">
      <c r="B458">
        <v>4567</v>
      </c>
    </row>
    <row r="459" spans="2:2" x14ac:dyDescent="0.25">
      <c r="B459">
        <v>4577</v>
      </c>
    </row>
    <row r="460" spans="2:2" x14ac:dyDescent="0.25">
      <c r="B460">
        <v>4587</v>
      </c>
    </row>
    <row r="461" spans="2:2" x14ac:dyDescent="0.25">
      <c r="B461">
        <v>4597</v>
      </c>
    </row>
    <row r="462" spans="2:2" x14ac:dyDescent="0.25">
      <c r="B462">
        <v>4607</v>
      </c>
    </row>
    <row r="463" spans="2:2" x14ac:dyDescent="0.25">
      <c r="B463">
        <v>4617</v>
      </c>
    </row>
    <row r="464" spans="2:2" x14ac:dyDescent="0.25">
      <c r="B464">
        <v>4627</v>
      </c>
    </row>
    <row r="465" spans="2:2" x14ac:dyDescent="0.25">
      <c r="B465">
        <v>4637</v>
      </c>
    </row>
    <row r="466" spans="2:2" x14ac:dyDescent="0.25">
      <c r="B466">
        <v>4647</v>
      </c>
    </row>
    <row r="467" spans="2:2" x14ac:dyDescent="0.25">
      <c r="B467">
        <v>4657</v>
      </c>
    </row>
    <row r="468" spans="2:2" x14ac:dyDescent="0.25">
      <c r="B468">
        <v>4667</v>
      </c>
    </row>
    <row r="469" spans="2:2" x14ac:dyDescent="0.25">
      <c r="B469">
        <v>4677</v>
      </c>
    </row>
    <row r="470" spans="2:2" x14ac:dyDescent="0.25">
      <c r="B470">
        <v>4687</v>
      </c>
    </row>
    <row r="471" spans="2:2" x14ac:dyDescent="0.25">
      <c r="B471">
        <v>4697</v>
      </c>
    </row>
    <row r="472" spans="2:2" x14ac:dyDescent="0.25">
      <c r="B472">
        <v>4707</v>
      </c>
    </row>
    <row r="473" spans="2:2" x14ac:dyDescent="0.25">
      <c r="B473">
        <v>4717</v>
      </c>
    </row>
    <row r="474" spans="2:2" x14ac:dyDescent="0.25">
      <c r="B474">
        <v>4727</v>
      </c>
    </row>
    <row r="475" spans="2:2" x14ac:dyDescent="0.25">
      <c r="B475">
        <v>4737</v>
      </c>
    </row>
    <row r="476" spans="2:2" x14ac:dyDescent="0.25">
      <c r="B476">
        <v>4747</v>
      </c>
    </row>
    <row r="477" spans="2:2" x14ac:dyDescent="0.25">
      <c r="B477">
        <v>4757</v>
      </c>
    </row>
    <row r="478" spans="2:2" x14ac:dyDescent="0.25">
      <c r="B478">
        <v>4767</v>
      </c>
    </row>
    <row r="479" spans="2:2" x14ac:dyDescent="0.25">
      <c r="B479">
        <v>4777</v>
      </c>
    </row>
    <row r="480" spans="2:2" x14ac:dyDescent="0.25">
      <c r="B480">
        <v>4787</v>
      </c>
    </row>
    <row r="481" spans="2:2" x14ac:dyDescent="0.25">
      <c r="B481">
        <v>4797</v>
      </c>
    </row>
    <row r="482" spans="2:2" x14ac:dyDescent="0.25">
      <c r="B482">
        <v>4807</v>
      </c>
    </row>
    <row r="483" spans="2:2" x14ac:dyDescent="0.25">
      <c r="B483">
        <v>4817</v>
      </c>
    </row>
    <row r="484" spans="2:2" x14ac:dyDescent="0.25">
      <c r="B484">
        <v>4827</v>
      </c>
    </row>
    <row r="485" spans="2:2" x14ac:dyDescent="0.25">
      <c r="B485">
        <v>4837</v>
      </c>
    </row>
    <row r="486" spans="2:2" x14ac:dyDescent="0.25">
      <c r="B486">
        <v>4847</v>
      </c>
    </row>
    <row r="487" spans="2:2" x14ac:dyDescent="0.25">
      <c r="B487">
        <v>4857</v>
      </c>
    </row>
    <row r="488" spans="2:2" x14ac:dyDescent="0.25">
      <c r="B488">
        <v>4867</v>
      </c>
    </row>
    <row r="489" spans="2:2" x14ac:dyDescent="0.25">
      <c r="B489">
        <v>4877</v>
      </c>
    </row>
    <row r="490" spans="2:2" x14ac:dyDescent="0.25">
      <c r="B490">
        <v>4887</v>
      </c>
    </row>
    <row r="491" spans="2:2" x14ac:dyDescent="0.25">
      <c r="B491">
        <v>4897</v>
      </c>
    </row>
    <row r="492" spans="2:2" x14ac:dyDescent="0.25">
      <c r="B492">
        <v>4907</v>
      </c>
    </row>
    <row r="493" spans="2:2" x14ac:dyDescent="0.25">
      <c r="B493">
        <v>4917</v>
      </c>
    </row>
    <row r="494" spans="2:2" x14ac:dyDescent="0.25">
      <c r="B494">
        <v>4927</v>
      </c>
    </row>
    <row r="495" spans="2:2" x14ac:dyDescent="0.25">
      <c r="B495">
        <v>4937</v>
      </c>
    </row>
    <row r="496" spans="2:2" x14ac:dyDescent="0.25">
      <c r="B496">
        <v>4947</v>
      </c>
    </row>
    <row r="497" spans="2:2" x14ac:dyDescent="0.25">
      <c r="B497">
        <v>4957</v>
      </c>
    </row>
    <row r="498" spans="2:2" x14ac:dyDescent="0.25">
      <c r="B498">
        <v>4967</v>
      </c>
    </row>
    <row r="499" spans="2:2" x14ac:dyDescent="0.25">
      <c r="B499">
        <v>4977</v>
      </c>
    </row>
    <row r="500" spans="2:2" x14ac:dyDescent="0.25">
      <c r="B500">
        <v>4987</v>
      </c>
    </row>
    <row r="501" spans="2:2" x14ac:dyDescent="0.25">
      <c r="B501">
        <v>4997</v>
      </c>
    </row>
    <row r="502" spans="2:2" x14ac:dyDescent="0.25">
      <c r="B502">
        <v>5007</v>
      </c>
    </row>
    <row r="503" spans="2:2" x14ac:dyDescent="0.25">
      <c r="B503">
        <v>5017</v>
      </c>
    </row>
    <row r="504" spans="2:2" x14ac:dyDescent="0.25">
      <c r="B504">
        <v>5027</v>
      </c>
    </row>
    <row r="505" spans="2:2" x14ac:dyDescent="0.25">
      <c r="B505">
        <v>5037</v>
      </c>
    </row>
    <row r="506" spans="2:2" x14ac:dyDescent="0.25">
      <c r="B506">
        <v>5047</v>
      </c>
    </row>
    <row r="507" spans="2:2" x14ac:dyDescent="0.25">
      <c r="B507">
        <v>5057</v>
      </c>
    </row>
    <row r="508" spans="2:2" x14ac:dyDescent="0.25">
      <c r="B508">
        <v>5067</v>
      </c>
    </row>
    <row r="509" spans="2:2" x14ac:dyDescent="0.25">
      <c r="B509">
        <v>5077</v>
      </c>
    </row>
    <row r="510" spans="2:2" x14ac:dyDescent="0.25">
      <c r="B510">
        <v>5087</v>
      </c>
    </row>
    <row r="511" spans="2:2" x14ac:dyDescent="0.25">
      <c r="B511">
        <v>5097</v>
      </c>
    </row>
    <row r="512" spans="2:2" x14ac:dyDescent="0.25">
      <c r="B512">
        <v>5107</v>
      </c>
    </row>
    <row r="513" spans="2:2" x14ac:dyDescent="0.25">
      <c r="B513">
        <v>5117</v>
      </c>
    </row>
    <row r="514" spans="2:2" x14ac:dyDescent="0.25">
      <c r="B514">
        <v>5127</v>
      </c>
    </row>
    <row r="515" spans="2:2" x14ac:dyDescent="0.25">
      <c r="B515">
        <v>5137</v>
      </c>
    </row>
    <row r="516" spans="2:2" x14ac:dyDescent="0.25">
      <c r="B516">
        <v>5147</v>
      </c>
    </row>
    <row r="517" spans="2:2" x14ac:dyDescent="0.25">
      <c r="B517">
        <v>5157</v>
      </c>
    </row>
    <row r="518" spans="2:2" x14ac:dyDescent="0.25">
      <c r="B518">
        <v>5167</v>
      </c>
    </row>
    <row r="519" spans="2:2" x14ac:dyDescent="0.25">
      <c r="B519">
        <v>5177</v>
      </c>
    </row>
    <row r="520" spans="2:2" x14ac:dyDescent="0.25">
      <c r="B520">
        <v>5187</v>
      </c>
    </row>
    <row r="521" spans="2:2" x14ac:dyDescent="0.25">
      <c r="B521">
        <v>5197</v>
      </c>
    </row>
    <row r="522" spans="2:2" x14ac:dyDescent="0.25">
      <c r="B522">
        <v>5207</v>
      </c>
    </row>
    <row r="523" spans="2:2" x14ac:dyDescent="0.25">
      <c r="B523">
        <v>5217</v>
      </c>
    </row>
    <row r="524" spans="2:2" x14ac:dyDescent="0.25">
      <c r="B524">
        <v>5227</v>
      </c>
    </row>
    <row r="525" spans="2:2" x14ac:dyDescent="0.25">
      <c r="B525">
        <v>5237</v>
      </c>
    </row>
    <row r="526" spans="2:2" x14ac:dyDescent="0.25">
      <c r="B526">
        <v>5247</v>
      </c>
    </row>
    <row r="527" spans="2:2" x14ac:dyDescent="0.25">
      <c r="B527">
        <v>5257</v>
      </c>
    </row>
    <row r="528" spans="2:2" x14ac:dyDescent="0.25">
      <c r="B528">
        <v>5267</v>
      </c>
    </row>
    <row r="529" spans="2:2" x14ac:dyDescent="0.25">
      <c r="B529">
        <v>5277</v>
      </c>
    </row>
    <row r="530" spans="2:2" x14ac:dyDescent="0.25">
      <c r="B530">
        <v>5287</v>
      </c>
    </row>
    <row r="531" spans="2:2" x14ac:dyDescent="0.25">
      <c r="B531">
        <v>5297</v>
      </c>
    </row>
    <row r="532" spans="2:2" x14ac:dyDescent="0.25">
      <c r="B532">
        <v>5307</v>
      </c>
    </row>
    <row r="533" spans="2:2" x14ac:dyDescent="0.25">
      <c r="B533">
        <v>5317</v>
      </c>
    </row>
    <row r="534" spans="2:2" x14ac:dyDescent="0.25">
      <c r="B534">
        <v>5327</v>
      </c>
    </row>
    <row r="535" spans="2:2" x14ac:dyDescent="0.25">
      <c r="B535">
        <v>5337</v>
      </c>
    </row>
    <row r="536" spans="2:2" x14ac:dyDescent="0.25">
      <c r="B536">
        <v>5347</v>
      </c>
    </row>
    <row r="537" spans="2:2" x14ac:dyDescent="0.25">
      <c r="B537">
        <v>5357</v>
      </c>
    </row>
    <row r="538" spans="2:2" x14ac:dyDescent="0.25">
      <c r="B538">
        <v>5367</v>
      </c>
    </row>
    <row r="539" spans="2:2" x14ac:dyDescent="0.25">
      <c r="B539">
        <v>5377</v>
      </c>
    </row>
    <row r="540" spans="2:2" x14ac:dyDescent="0.25">
      <c r="B540">
        <v>5387</v>
      </c>
    </row>
    <row r="541" spans="2:2" x14ac:dyDescent="0.25">
      <c r="B541">
        <v>5397</v>
      </c>
    </row>
    <row r="542" spans="2:2" x14ac:dyDescent="0.25">
      <c r="B542">
        <v>5407</v>
      </c>
    </row>
    <row r="543" spans="2:2" x14ac:dyDescent="0.25">
      <c r="B543">
        <v>5417</v>
      </c>
    </row>
    <row r="544" spans="2:2" x14ac:dyDescent="0.25">
      <c r="B544">
        <v>5427</v>
      </c>
    </row>
    <row r="545" spans="2:2" x14ac:dyDescent="0.25">
      <c r="B545">
        <v>5437</v>
      </c>
    </row>
    <row r="546" spans="2:2" x14ac:dyDescent="0.25">
      <c r="B546">
        <v>5447</v>
      </c>
    </row>
    <row r="547" spans="2:2" x14ac:dyDescent="0.25">
      <c r="B547">
        <v>5457</v>
      </c>
    </row>
    <row r="548" spans="2:2" x14ac:dyDescent="0.25">
      <c r="B548">
        <v>5467</v>
      </c>
    </row>
    <row r="549" spans="2:2" x14ac:dyDescent="0.25">
      <c r="B549">
        <v>5477</v>
      </c>
    </row>
    <row r="550" spans="2:2" x14ac:dyDescent="0.25">
      <c r="B550">
        <v>5487</v>
      </c>
    </row>
    <row r="551" spans="2:2" x14ac:dyDescent="0.25">
      <c r="B551">
        <v>5497</v>
      </c>
    </row>
    <row r="552" spans="2:2" x14ac:dyDescent="0.25">
      <c r="B552">
        <v>5507</v>
      </c>
    </row>
    <row r="553" spans="2:2" x14ac:dyDescent="0.25">
      <c r="B553">
        <v>5517</v>
      </c>
    </row>
    <row r="554" spans="2:2" x14ac:dyDescent="0.25">
      <c r="B554">
        <v>5527</v>
      </c>
    </row>
    <row r="555" spans="2:2" x14ac:dyDescent="0.25">
      <c r="B555">
        <v>5537</v>
      </c>
    </row>
    <row r="556" spans="2:2" x14ac:dyDescent="0.25">
      <c r="B556">
        <v>5547</v>
      </c>
    </row>
    <row r="557" spans="2:2" x14ac:dyDescent="0.25">
      <c r="B557">
        <v>5557</v>
      </c>
    </row>
    <row r="558" spans="2:2" x14ac:dyDescent="0.25">
      <c r="B558">
        <v>5567</v>
      </c>
    </row>
    <row r="559" spans="2:2" x14ac:dyDescent="0.25">
      <c r="B559">
        <v>5577</v>
      </c>
    </row>
    <row r="560" spans="2:2" x14ac:dyDescent="0.25">
      <c r="B560">
        <v>5587</v>
      </c>
    </row>
    <row r="561" spans="2:2" x14ac:dyDescent="0.25">
      <c r="B561">
        <v>5597</v>
      </c>
    </row>
    <row r="562" spans="2:2" x14ac:dyDescent="0.25">
      <c r="B562">
        <v>5607</v>
      </c>
    </row>
    <row r="563" spans="2:2" x14ac:dyDescent="0.25">
      <c r="B563">
        <v>5617</v>
      </c>
    </row>
    <row r="564" spans="2:2" x14ac:dyDescent="0.25">
      <c r="B564">
        <v>5627</v>
      </c>
    </row>
    <row r="565" spans="2:2" x14ac:dyDescent="0.25">
      <c r="B565">
        <v>5637</v>
      </c>
    </row>
    <row r="566" spans="2:2" x14ac:dyDescent="0.25">
      <c r="B566">
        <v>5647</v>
      </c>
    </row>
    <row r="567" spans="2:2" x14ac:dyDescent="0.25">
      <c r="B567">
        <v>5657</v>
      </c>
    </row>
    <row r="568" spans="2:2" x14ac:dyDescent="0.25">
      <c r="B568">
        <v>5667</v>
      </c>
    </row>
    <row r="569" spans="2:2" x14ac:dyDescent="0.25">
      <c r="B569">
        <v>5677</v>
      </c>
    </row>
    <row r="570" spans="2:2" x14ac:dyDescent="0.25">
      <c r="B570">
        <v>5687</v>
      </c>
    </row>
    <row r="571" spans="2:2" x14ac:dyDescent="0.25">
      <c r="B571">
        <v>5697</v>
      </c>
    </row>
    <row r="572" spans="2:2" x14ac:dyDescent="0.25">
      <c r="B572">
        <v>5707</v>
      </c>
    </row>
    <row r="573" spans="2:2" x14ac:dyDescent="0.25">
      <c r="B573">
        <v>5717</v>
      </c>
    </row>
    <row r="574" spans="2:2" x14ac:dyDescent="0.25">
      <c r="B574">
        <v>5727</v>
      </c>
    </row>
    <row r="575" spans="2:2" x14ac:dyDescent="0.25">
      <c r="B575">
        <v>5737</v>
      </c>
    </row>
    <row r="576" spans="2:2" x14ac:dyDescent="0.25">
      <c r="B576">
        <v>5747</v>
      </c>
    </row>
    <row r="577" spans="2:2" x14ac:dyDescent="0.25">
      <c r="B577">
        <v>5757</v>
      </c>
    </row>
    <row r="578" spans="2:2" x14ac:dyDescent="0.25">
      <c r="B578">
        <v>5767</v>
      </c>
    </row>
    <row r="579" spans="2:2" x14ac:dyDescent="0.25">
      <c r="B579">
        <v>5777</v>
      </c>
    </row>
    <row r="580" spans="2:2" x14ac:dyDescent="0.25">
      <c r="B580">
        <v>5787</v>
      </c>
    </row>
    <row r="581" spans="2:2" x14ac:dyDescent="0.25">
      <c r="B581">
        <v>5797</v>
      </c>
    </row>
    <row r="582" spans="2:2" x14ac:dyDescent="0.25">
      <c r="B582">
        <v>5807</v>
      </c>
    </row>
    <row r="583" spans="2:2" x14ac:dyDescent="0.25">
      <c r="B583">
        <v>5817</v>
      </c>
    </row>
    <row r="584" spans="2:2" x14ac:dyDescent="0.25">
      <c r="B584">
        <v>5827</v>
      </c>
    </row>
    <row r="585" spans="2:2" x14ac:dyDescent="0.25">
      <c r="B585">
        <v>5837</v>
      </c>
    </row>
    <row r="586" spans="2:2" x14ac:dyDescent="0.25">
      <c r="B586">
        <v>5847</v>
      </c>
    </row>
    <row r="587" spans="2:2" x14ac:dyDescent="0.25">
      <c r="B587">
        <v>5857</v>
      </c>
    </row>
    <row r="588" spans="2:2" x14ac:dyDescent="0.25">
      <c r="B588">
        <v>5867</v>
      </c>
    </row>
    <row r="589" spans="2:2" x14ac:dyDescent="0.25">
      <c r="B589">
        <v>5877</v>
      </c>
    </row>
    <row r="590" spans="2:2" x14ac:dyDescent="0.25">
      <c r="B590">
        <v>5887</v>
      </c>
    </row>
    <row r="591" spans="2:2" x14ac:dyDescent="0.25">
      <c r="B591">
        <v>5897</v>
      </c>
    </row>
    <row r="592" spans="2:2" x14ac:dyDescent="0.25">
      <c r="B592">
        <v>5907</v>
      </c>
    </row>
    <row r="593" spans="2:2" x14ac:dyDescent="0.25">
      <c r="B593">
        <v>5917</v>
      </c>
    </row>
    <row r="594" spans="2:2" x14ac:dyDescent="0.25">
      <c r="B594">
        <v>5927</v>
      </c>
    </row>
    <row r="595" spans="2:2" x14ac:dyDescent="0.25">
      <c r="B595">
        <v>5937</v>
      </c>
    </row>
    <row r="596" spans="2:2" x14ac:dyDescent="0.25">
      <c r="B596">
        <v>5947</v>
      </c>
    </row>
    <row r="597" spans="2:2" x14ac:dyDescent="0.25">
      <c r="B597">
        <v>5957</v>
      </c>
    </row>
    <row r="598" spans="2:2" x14ac:dyDescent="0.25">
      <c r="B598">
        <v>5967</v>
      </c>
    </row>
    <row r="599" spans="2:2" x14ac:dyDescent="0.25">
      <c r="B599">
        <v>5977</v>
      </c>
    </row>
    <row r="600" spans="2:2" x14ac:dyDescent="0.25">
      <c r="B600">
        <v>5987</v>
      </c>
    </row>
    <row r="601" spans="2:2" x14ac:dyDescent="0.25">
      <c r="B601">
        <v>5997</v>
      </c>
    </row>
    <row r="602" spans="2:2" x14ac:dyDescent="0.25">
      <c r="B602">
        <v>6007</v>
      </c>
    </row>
    <row r="603" spans="2:2" x14ac:dyDescent="0.25">
      <c r="B603">
        <v>6017</v>
      </c>
    </row>
    <row r="604" spans="2:2" x14ac:dyDescent="0.25">
      <c r="B604">
        <v>6027</v>
      </c>
    </row>
    <row r="605" spans="2:2" x14ac:dyDescent="0.25">
      <c r="B605">
        <v>6037</v>
      </c>
    </row>
    <row r="606" spans="2:2" x14ac:dyDescent="0.25">
      <c r="B606">
        <v>6047</v>
      </c>
    </row>
    <row r="607" spans="2:2" x14ac:dyDescent="0.25">
      <c r="B607">
        <v>6057</v>
      </c>
    </row>
    <row r="608" spans="2:2" x14ac:dyDescent="0.25">
      <c r="B608">
        <v>6067</v>
      </c>
    </row>
    <row r="609" spans="2:2" x14ac:dyDescent="0.25">
      <c r="B609">
        <v>6077</v>
      </c>
    </row>
    <row r="610" spans="2:2" x14ac:dyDescent="0.25">
      <c r="B610">
        <v>6087</v>
      </c>
    </row>
    <row r="611" spans="2:2" x14ac:dyDescent="0.25">
      <c r="B611">
        <v>6097</v>
      </c>
    </row>
    <row r="612" spans="2:2" x14ac:dyDescent="0.25">
      <c r="B612">
        <v>6107</v>
      </c>
    </row>
    <row r="613" spans="2:2" x14ac:dyDescent="0.25">
      <c r="B613">
        <v>6117</v>
      </c>
    </row>
    <row r="614" spans="2:2" x14ac:dyDescent="0.25">
      <c r="B614">
        <v>6127</v>
      </c>
    </row>
    <row r="615" spans="2:2" x14ac:dyDescent="0.25">
      <c r="B615">
        <v>6137</v>
      </c>
    </row>
    <row r="616" spans="2:2" x14ac:dyDescent="0.25">
      <c r="B616">
        <v>6147</v>
      </c>
    </row>
    <row r="617" spans="2:2" x14ac:dyDescent="0.25">
      <c r="B617">
        <v>6157</v>
      </c>
    </row>
    <row r="618" spans="2:2" x14ac:dyDescent="0.25">
      <c r="B618">
        <v>6167</v>
      </c>
    </row>
    <row r="619" spans="2:2" x14ac:dyDescent="0.25">
      <c r="B619">
        <v>6177</v>
      </c>
    </row>
    <row r="620" spans="2:2" x14ac:dyDescent="0.25">
      <c r="B620">
        <v>6187</v>
      </c>
    </row>
    <row r="621" spans="2:2" x14ac:dyDescent="0.25">
      <c r="B621">
        <v>6197</v>
      </c>
    </row>
    <row r="622" spans="2:2" x14ac:dyDescent="0.25">
      <c r="B622">
        <v>6207</v>
      </c>
    </row>
    <row r="623" spans="2:2" x14ac:dyDescent="0.25">
      <c r="B623">
        <v>6217</v>
      </c>
    </row>
    <row r="624" spans="2:2" x14ac:dyDescent="0.25">
      <c r="B624">
        <v>6227</v>
      </c>
    </row>
    <row r="625" spans="2:2" x14ac:dyDescent="0.25">
      <c r="B625">
        <v>6237</v>
      </c>
    </row>
    <row r="626" spans="2:2" x14ac:dyDescent="0.25">
      <c r="B626">
        <v>6247</v>
      </c>
    </row>
    <row r="627" spans="2:2" x14ac:dyDescent="0.25">
      <c r="B627">
        <v>6257</v>
      </c>
    </row>
    <row r="628" spans="2:2" x14ac:dyDescent="0.25">
      <c r="B628">
        <v>6267</v>
      </c>
    </row>
    <row r="629" spans="2:2" x14ac:dyDescent="0.25">
      <c r="B629">
        <v>6277</v>
      </c>
    </row>
    <row r="630" spans="2:2" x14ac:dyDescent="0.25">
      <c r="B630">
        <v>6287</v>
      </c>
    </row>
    <row r="631" spans="2:2" x14ac:dyDescent="0.25">
      <c r="B631">
        <v>6297</v>
      </c>
    </row>
    <row r="632" spans="2:2" x14ac:dyDescent="0.25">
      <c r="B632">
        <v>6307</v>
      </c>
    </row>
    <row r="633" spans="2:2" x14ac:dyDescent="0.25">
      <c r="B633">
        <v>6317</v>
      </c>
    </row>
    <row r="634" spans="2:2" x14ac:dyDescent="0.25">
      <c r="B634">
        <v>6327</v>
      </c>
    </row>
    <row r="635" spans="2:2" x14ac:dyDescent="0.25">
      <c r="B635">
        <v>6337</v>
      </c>
    </row>
    <row r="636" spans="2:2" x14ac:dyDescent="0.25">
      <c r="B636">
        <v>6347</v>
      </c>
    </row>
    <row r="637" spans="2:2" x14ac:dyDescent="0.25">
      <c r="B637">
        <v>6357</v>
      </c>
    </row>
    <row r="638" spans="2:2" x14ac:dyDescent="0.25">
      <c r="B638">
        <v>6367</v>
      </c>
    </row>
    <row r="639" spans="2:2" x14ac:dyDescent="0.25">
      <c r="B639">
        <v>6377</v>
      </c>
    </row>
    <row r="640" spans="2:2" x14ac:dyDescent="0.25">
      <c r="B640">
        <v>6387</v>
      </c>
    </row>
    <row r="641" spans="2:2" x14ac:dyDescent="0.25">
      <c r="B641">
        <v>6397</v>
      </c>
    </row>
    <row r="642" spans="2:2" x14ac:dyDescent="0.25">
      <c r="B642">
        <v>6407</v>
      </c>
    </row>
    <row r="643" spans="2:2" x14ac:dyDescent="0.25">
      <c r="B643">
        <v>6417</v>
      </c>
    </row>
    <row r="644" spans="2:2" x14ac:dyDescent="0.25">
      <c r="B644">
        <v>6427</v>
      </c>
    </row>
    <row r="645" spans="2:2" x14ac:dyDescent="0.25">
      <c r="B645">
        <v>6437</v>
      </c>
    </row>
    <row r="646" spans="2:2" x14ac:dyDescent="0.25">
      <c r="B646">
        <v>6447</v>
      </c>
    </row>
    <row r="647" spans="2:2" x14ac:dyDescent="0.25">
      <c r="B647">
        <v>6457</v>
      </c>
    </row>
    <row r="648" spans="2:2" x14ac:dyDescent="0.25">
      <c r="B648">
        <v>6467</v>
      </c>
    </row>
    <row r="649" spans="2:2" x14ac:dyDescent="0.25">
      <c r="B649">
        <v>6477</v>
      </c>
    </row>
    <row r="650" spans="2:2" x14ac:dyDescent="0.25">
      <c r="B650">
        <v>6487</v>
      </c>
    </row>
    <row r="651" spans="2:2" x14ac:dyDescent="0.25">
      <c r="B651">
        <v>6497</v>
      </c>
    </row>
    <row r="652" spans="2:2" x14ac:dyDescent="0.25">
      <c r="B652">
        <v>6507</v>
      </c>
    </row>
    <row r="653" spans="2:2" x14ac:dyDescent="0.25">
      <c r="B653">
        <v>6517</v>
      </c>
    </row>
    <row r="654" spans="2:2" x14ac:dyDescent="0.25">
      <c r="B654">
        <v>6527</v>
      </c>
    </row>
    <row r="655" spans="2:2" x14ac:dyDescent="0.25">
      <c r="B655">
        <v>6537</v>
      </c>
    </row>
    <row r="656" spans="2:2" x14ac:dyDescent="0.25">
      <c r="B656">
        <v>6547</v>
      </c>
    </row>
    <row r="657" spans="2:2" x14ac:dyDescent="0.25">
      <c r="B657">
        <v>6557</v>
      </c>
    </row>
    <row r="658" spans="2:2" x14ac:dyDescent="0.25">
      <c r="B658">
        <v>6567</v>
      </c>
    </row>
    <row r="659" spans="2:2" x14ac:dyDescent="0.25">
      <c r="B659">
        <v>6577</v>
      </c>
    </row>
    <row r="660" spans="2:2" x14ac:dyDescent="0.25">
      <c r="B660">
        <v>6587</v>
      </c>
    </row>
    <row r="661" spans="2:2" x14ac:dyDescent="0.25">
      <c r="B661">
        <v>6597</v>
      </c>
    </row>
    <row r="662" spans="2:2" x14ac:dyDescent="0.25">
      <c r="B662">
        <v>6607</v>
      </c>
    </row>
    <row r="663" spans="2:2" x14ac:dyDescent="0.25">
      <c r="B663">
        <v>6617</v>
      </c>
    </row>
    <row r="664" spans="2:2" x14ac:dyDescent="0.25">
      <c r="B664">
        <v>6627</v>
      </c>
    </row>
    <row r="665" spans="2:2" x14ac:dyDescent="0.25">
      <c r="B665">
        <v>6637</v>
      </c>
    </row>
    <row r="666" spans="2:2" x14ac:dyDescent="0.25">
      <c r="B666">
        <v>6647</v>
      </c>
    </row>
    <row r="667" spans="2:2" x14ac:dyDescent="0.25">
      <c r="B667">
        <v>6657</v>
      </c>
    </row>
    <row r="668" spans="2:2" x14ac:dyDescent="0.25">
      <c r="B668">
        <v>6667</v>
      </c>
    </row>
    <row r="669" spans="2:2" x14ac:dyDescent="0.25">
      <c r="B669">
        <v>6677</v>
      </c>
    </row>
    <row r="670" spans="2:2" x14ac:dyDescent="0.25">
      <c r="B670">
        <v>6687</v>
      </c>
    </row>
    <row r="671" spans="2:2" x14ac:dyDescent="0.25">
      <c r="B671">
        <v>6697</v>
      </c>
    </row>
    <row r="672" spans="2:2" x14ac:dyDescent="0.25">
      <c r="B672">
        <v>6707</v>
      </c>
    </row>
    <row r="673" spans="2:2" x14ac:dyDescent="0.25">
      <c r="B673">
        <v>6717</v>
      </c>
    </row>
    <row r="674" spans="2:2" x14ac:dyDescent="0.25">
      <c r="B674">
        <v>6727</v>
      </c>
    </row>
    <row r="675" spans="2:2" x14ac:dyDescent="0.25">
      <c r="B675">
        <v>6737</v>
      </c>
    </row>
    <row r="676" spans="2:2" x14ac:dyDescent="0.25">
      <c r="B676">
        <v>6747</v>
      </c>
    </row>
    <row r="677" spans="2:2" x14ac:dyDescent="0.25">
      <c r="B677">
        <v>6757</v>
      </c>
    </row>
    <row r="678" spans="2:2" x14ac:dyDescent="0.25">
      <c r="B678">
        <v>6767</v>
      </c>
    </row>
    <row r="679" spans="2:2" x14ac:dyDescent="0.25">
      <c r="B679">
        <v>6777</v>
      </c>
    </row>
    <row r="680" spans="2:2" x14ac:dyDescent="0.25">
      <c r="B680">
        <v>6787</v>
      </c>
    </row>
    <row r="681" spans="2:2" x14ac:dyDescent="0.25">
      <c r="B681">
        <v>6797</v>
      </c>
    </row>
    <row r="682" spans="2:2" x14ac:dyDescent="0.25">
      <c r="B682">
        <v>6807</v>
      </c>
    </row>
    <row r="683" spans="2:2" x14ac:dyDescent="0.25">
      <c r="B683">
        <v>6817</v>
      </c>
    </row>
    <row r="684" spans="2:2" x14ac:dyDescent="0.25">
      <c r="B684">
        <v>6827</v>
      </c>
    </row>
    <row r="685" spans="2:2" x14ac:dyDescent="0.25">
      <c r="B685">
        <v>6837</v>
      </c>
    </row>
    <row r="686" spans="2:2" x14ac:dyDescent="0.25">
      <c r="B686">
        <v>6847</v>
      </c>
    </row>
    <row r="687" spans="2:2" x14ac:dyDescent="0.25">
      <c r="B687">
        <v>6857</v>
      </c>
    </row>
    <row r="688" spans="2:2" x14ac:dyDescent="0.25">
      <c r="B688">
        <v>6867</v>
      </c>
    </row>
    <row r="689" spans="2:2" x14ac:dyDescent="0.25">
      <c r="B689">
        <v>6877</v>
      </c>
    </row>
    <row r="690" spans="2:2" x14ac:dyDescent="0.25">
      <c r="B690">
        <v>6887</v>
      </c>
    </row>
    <row r="691" spans="2:2" x14ac:dyDescent="0.25">
      <c r="B691">
        <v>6897</v>
      </c>
    </row>
    <row r="692" spans="2:2" x14ac:dyDescent="0.25">
      <c r="B692">
        <v>6907</v>
      </c>
    </row>
    <row r="693" spans="2:2" x14ac:dyDescent="0.25">
      <c r="B693">
        <v>6917</v>
      </c>
    </row>
    <row r="694" spans="2:2" x14ac:dyDescent="0.25">
      <c r="B694">
        <v>6927</v>
      </c>
    </row>
    <row r="695" spans="2:2" x14ac:dyDescent="0.25">
      <c r="B695">
        <v>6937</v>
      </c>
    </row>
    <row r="696" spans="2:2" x14ac:dyDescent="0.25">
      <c r="B696">
        <v>6947</v>
      </c>
    </row>
    <row r="697" spans="2:2" x14ac:dyDescent="0.25">
      <c r="B697">
        <v>6957</v>
      </c>
    </row>
    <row r="698" spans="2:2" x14ac:dyDescent="0.25">
      <c r="B698">
        <v>6967</v>
      </c>
    </row>
    <row r="699" spans="2:2" x14ac:dyDescent="0.25">
      <c r="B699">
        <v>6977</v>
      </c>
    </row>
    <row r="700" spans="2:2" x14ac:dyDescent="0.25">
      <c r="B700">
        <v>6987</v>
      </c>
    </row>
    <row r="701" spans="2:2" x14ac:dyDescent="0.25">
      <c r="B701">
        <v>6997</v>
      </c>
    </row>
    <row r="702" spans="2:2" x14ac:dyDescent="0.25">
      <c r="B702">
        <v>7007</v>
      </c>
    </row>
    <row r="703" spans="2:2" x14ac:dyDescent="0.25">
      <c r="B703">
        <v>7017</v>
      </c>
    </row>
    <row r="704" spans="2:2" x14ac:dyDescent="0.25">
      <c r="B704">
        <v>7027</v>
      </c>
    </row>
    <row r="705" spans="2:2" x14ac:dyDescent="0.25">
      <c r="B705">
        <v>7037</v>
      </c>
    </row>
    <row r="706" spans="2:2" x14ac:dyDescent="0.25">
      <c r="B706">
        <v>7047</v>
      </c>
    </row>
    <row r="707" spans="2:2" x14ac:dyDescent="0.25">
      <c r="B707">
        <v>7057</v>
      </c>
    </row>
    <row r="708" spans="2:2" x14ac:dyDescent="0.25">
      <c r="B708">
        <v>7067</v>
      </c>
    </row>
    <row r="709" spans="2:2" x14ac:dyDescent="0.25">
      <c r="B709">
        <v>7077</v>
      </c>
    </row>
    <row r="710" spans="2:2" x14ac:dyDescent="0.25">
      <c r="B710">
        <v>7087</v>
      </c>
    </row>
    <row r="711" spans="2:2" x14ac:dyDescent="0.25">
      <c r="B711">
        <v>7097</v>
      </c>
    </row>
    <row r="712" spans="2:2" x14ac:dyDescent="0.25">
      <c r="B712">
        <v>7107</v>
      </c>
    </row>
    <row r="713" spans="2:2" x14ac:dyDescent="0.25">
      <c r="B713">
        <v>7117</v>
      </c>
    </row>
    <row r="714" spans="2:2" x14ac:dyDescent="0.25">
      <c r="B714">
        <v>7127</v>
      </c>
    </row>
    <row r="715" spans="2:2" x14ac:dyDescent="0.25">
      <c r="B715">
        <v>7137</v>
      </c>
    </row>
    <row r="716" spans="2:2" x14ac:dyDescent="0.25">
      <c r="B716">
        <v>7147</v>
      </c>
    </row>
    <row r="717" spans="2:2" x14ac:dyDescent="0.25">
      <c r="B717">
        <v>7157</v>
      </c>
    </row>
    <row r="718" spans="2:2" x14ac:dyDescent="0.25">
      <c r="B718">
        <v>7167</v>
      </c>
    </row>
    <row r="719" spans="2:2" x14ac:dyDescent="0.25">
      <c r="B719">
        <v>7177</v>
      </c>
    </row>
    <row r="720" spans="2:2" x14ac:dyDescent="0.25">
      <c r="B720">
        <v>7187</v>
      </c>
    </row>
    <row r="721" spans="2:2" x14ac:dyDescent="0.25">
      <c r="B721">
        <v>7197</v>
      </c>
    </row>
    <row r="722" spans="2:2" x14ac:dyDescent="0.25">
      <c r="B722">
        <v>7207</v>
      </c>
    </row>
    <row r="723" spans="2:2" x14ac:dyDescent="0.25">
      <c r="B723">
        <v>7217</v>
      </c>
    </row>
    <row r="724" spans="2:2" x14ac:dyDescent="0.25">
      <c r="B724">
        <v>7227</v>
      </c>
    </row>
    <row r="725" spans="2:2" x14ac:dyDescent="0.25">
      <c r="B725">
        <v>7237</v>
      </c>
    </row>
    <row r="726" spans="2:2" x14ac:dyDescent="0.25">
      <c r="B726">
        <v>7247</v>
      </c>
    </row>
    <row r="727" spans="2:2" x14ac:dyDescent="0.25">
      <c r="B727">
        <v>7257</v>
      </c>
    </row>
    <row r="728" spans="2:2" x14ac:dyDescent="0.25">
      <c r="B728">
        <v>7267</v>
      </c>
    </row>
    <row r="729" spans="2:2" x14ac:dyDescent="0.25">
      <c r="B729">
        <v>7277</v>
      </c>
    </row>
    <row r="730" spans="2:2" x14ac:dyDescent="0.25">
      <c r="B730">
        <v>7287</v>
      </c>
    </row>
    <row r="731" spans="2:2" x14ac:dyDescent="0.25">
      <c r="B731">
        <v>7297</v>
      </c>
    </row>
    <row r="732" spans="2:2" x14ac:dyDescent="0.25">
      <c r="B732">
        <v>7307</v>
      </c>
    </row>
    <row r="733" spans="2:2" x14ac:dyDescent="0.25">
      <c r="B733">
        <v>7317</v>
      </c>
    </row>
    <row r="734" spans="2:2" x14ac:dyDescent="0.25">
      <c r="B734">
        <v>7327</v>
      </c>
    </row>
    <row r="735" spans="2:2" x14ac:dyDescent="0.25">
      <c r="B735">
        <v>7337</v>
      </c>
    </row>
    <row r="736" spans="2:2" x14ac:dyDescent="0.25">
      <c r="B736">
        <v>7347</v>
      </c>
    </row>
    <row r="737" spans="2:2" x14ac:dyDescent="0.25">
      <c r="B737">
        <v>7357</v>
      </c>
    </row>
    <row r="738" spans="2:2" x14ac:dyDescent="0.25">
      <c r="B738">
        <v>7367</v>
      </c>
    </row>
    <row r="739" spans="2:2" x14ac:dyDescent="0.25">
      <c r="B739">
        <v>7377</v>
      </c>
    </row>
    <row r="740" spans="2:2" x14ac:dyDescent="0.25">
      <c r="B740">
        <v>7387</v>
      </c>
    </row>
    <row r="741" spans="2:2" x14ac:dyDescent="0.25">
      <c r="B741">
        <v>7397</v>
      </c>
    </row>
    <row r="742" spans="2:2" x14ac:dyDescent="0.25">
      <c r="B742">
        <v>7407</v>
      </c>
    </row>
    <row r="743" spans="2:2" x14ac:dyDescent="0.25">
      <c r="B743">
        <v>7417</v>
      </c>
    </row>
    <row r="744" spans="2:2" x14ac:dyDescent="0.25">
      <c r="B744">
        <v>7427</v>
      </c>
    </row>
    <row r="745" spans="2:2" x14ac:dyDescent="0.25">
      <c r="B745">
        <v>7437</v>
      </c>
    </row>
    <row r="746" spans="2:2" x14ac:dyDescent="0.25">
      <c r="B746">
        <v>7447</v>
      </c>
    </row>
    <row r="747" spans="2:2" x14ac:dyDescent="0.25">
      <c r="B747">
        <v>7457</v>
      </c>
    </row>
    <row r="748" spans="2:2" x14ac:dyDescent="0.25">
      <c r="B748">
        <v>7467</v>
      </c>
    </row>
    <row r="749" spans="2:2" x14ac:dyDescent="0.25">
      <c r="B749">
        <v>7477</v>
      </c>
    </row>
    <row r="750" spans="2:2" x14ac:dyDescent="0.25">
      <c r="B750">
        <v>7487</v>
      </c>
    </row>
    <row r="751" spans="2:2" x14ac:dyDescent="0.25">
      <c r="B751">
        <v>7497</v>
      </c>
    </row>
    <row r="752" spans="2:2" x14ac:dyDescent="0.25">
      <c r="B752">
        <v>7507</v>
      </c>
    </row>
    <row r="753" spans="2:2" x14ac:dyDescent="0.25">
      <c r="B753">
        <v>7517</v>
      </c>
    </row>
    <row r="754" spans="2:2" x14ac:dyDescent="0.25">
      <c r="B754">
        <v>7527</v>
      </c>
    </row>
    <row r="755" spans="2:2" x14ac:dyDescent="0.25">
      <c r="B755">
        <v>7537</v>
      </c>
    </row>
    <row r="756" spans="2:2" x14ac:dyDescent="0.25">
      <c r="B756">
        <v>7547</v>
      </c>
    </row>
    <row r="757" spans="2:2" x14ac:dyDescent="0.25">
      <c r="B757">
        <v>7557</v>
      </c>
    </row>
    <row r="758" spans="2:2" x14ac:dyDescent="0.25">
      <c r="B758">
        <v>7567</v>
      </c>
    </row>
    <row r="759" spans="2:2" x14ac:dyDescent="0.25">
      <c r="B759">
        <v>7577</v>
      </c>
    </row>
    <row r="760" spans="2:2" x14ac:dyDescent="0.25">
      <c r="B760">
        <v>7587</v>
      </c>
    </row>
    <row r="761" spans="2:2" x14ac:dyDescent="0.25">
      <c r="B761">
        <v>7597</v>
      </c>
    </row>
    <row r="762" spans="2:2" x14ac:dyDescent="0.25">
      <c r="B762">
        <v>7607</v>
      </c>
    </row>
    <row r="763" spans="2:2" x14ac:dyDescent="0.25">
      <c r="B763">
        <v>7617</v>
      </c>
    </row>
    <row r="764" spans="2:2" x14ac:dyDescent="0.25">
      <c r="B764">
        <v>7627</v>
      </c>
    </row>
    <row r="765" spans="2:2" x14ac:dyDescent="0.25">
      <c r="B765">
        <v>7637</v>
      </c>
    </row>
    <row r="766" spans="2:2" x14ac:dyDescent="0.25">
      <c r="B766">
        <v>7647</v>
      </c>
    </row>
    <row r="767" spans="2:2" x14ac:dyDescent="0.25">
      <c r="B767">
        <v>7657</v>
      </c>
    </row>
    <row r="768" spans="2:2" x14ac:dyDescent="0.25">
      <c r="B768">
        <v>7667</v>
      </c>
    </row>
    <row r="769" spans="2:2" x14ac:dyDescent="0.25">
      <c r="B769">
        <v>7677</v>
      </c>
    </row>
    <row r="770" spans="2:2" x14ac:dyDescent="0.25">
      <c r="B770">
        <v>7687</v>
      </c>
    </row>
    <row r="771" spans="2:2" x14ac:dyDescent="0.25">
      <c r="B771">
        <v>7697</v>
      </c>
    </row>
    <row r="772" spans="2:2" x14ac:dyDescent="0.25">
      <c r="B772">
        <v>7707</v>
      </c>
    </row>
    <row r="773" spans="2:2" x14ac:dyDescent="0.25">
      <c r="B773">
        <v>7717</v>
      </c>
    </row>
    <row r="774" spans="2:2" x14ac:dyDescent="0.25">
      <c r="B774">
        <v>7727</v>
      </c>
    </row>
    <row r="775" spans="2:2" x14ac:dyDescent="0.25">
      <c r="B775">
        <v>7737</v>
      </c>
    </row>
    <row r="776" spans="2:2" x14ac:dyDescent="0.25">
      <c r="B776">
        <v>7747</v>
      </c>
    </row>
    <row r="777" spans="2:2" x14ac:dyDescent="0.25">
      <c r="B777">
        <v>7757</v>
      </c>
    </row>
    <row r="778" spans="2:2" x14ac:dyDescent="0.25">
      <c r="B778">
        <v>7767</v>
      </c>
    </row>
    <row r="779" spans="2:2" x14ac:dyDescent="0.25">
      <c r="B779">
        <v>7777</v>
      </c>
    </row>
    <row r="780" spans="2:2" x14ac:dyDescent="0.25">
      <c r="B780">
        <v>7787</v>
      </c>
    </row>
    <row r="781" spans="2:2" x14ac:dyDescent="0.25">
      <c r="B781">
        <v>7797</v>
      </c>
    </row>
    <row r="782" spans="2:2" x14ac:dyDescent="0.25">
      <c r="B782">
        <v>7807</v>
      </c>
    </row>
    <row r="783" spans="2:2" x14ac:dyDescent="0.25">
      <c r="B783">
        <v>7817</v>
      </c>
    </row>
    <row r="784" spans="2:2" x14ac:dyDescent="0.25">
      <c r="B784">
        <v>7827</v>
      </c>
    </row>
    <row r="785" spans="2:2" x14ac:dyDescent="0.25">
      <c r="B785">
        <v>7837</v>
      </c>
    </row>
    <row r="786" spans="2:2" x14ac:dyDescent="0.25">
      <c r="B786">
        <v>7847</v>
      </c>
    </row>
    <row r="787" spans="2:2" x14ac:dyDescent="0.25">
      <c r="B787">
        <v>7857</v>
      </c>
    </row>
    <row r="788" spans="2:2" x14ac:dyDescent="0.25">
      <c r="B788">
        <v>7867</v>
      </c>
    </row>
    <row r="789" spans="2:2" x14ac:dyDescent="0.25">
      <c r="B789">
        <v>7877</v>
      </c>
    </row>
    <row r="790" spans="2:2" x14ac:dyDescent="0.25">
      <c r="B790">
        <v>7887</v>
      </c>
    </row>
    <row r="791" spans="2:2" x14ac:dyDescent="0.25">
      <c r="B791">
        <v>7897</v>
      </c>
    </row>
    <row r="792" spans="2:2" x14ac:dyDescent="0.25">
      <c r="B792">
        <v>7907</v>
      </c>
    </row>
    <row r="793" spans="2:2" x14ac:dyDescent="0.25">
      <c r="B793">
        <v>7917</v>
      </c>
    </row>
    <row r="794" spans="2:2" x14ac:dyDescent="0.25">
      <c r="B794">
        <v>7927</v>
      </c>
    </row>
    <row r="795" spans="2:2" x14ac:dyDescent="0.25">
      <c r="B795">
        <v>7937</v>
      </c>
    </row>
    <row r="796" spans="2:2" x14ac:dyDescent="0.25">
      <c r="B796">
        <v>7947</v>
      </c>
    </row>
    <row r="797" spans="2:2" x14ac:dyDescent="0.25">
      <c r="B797">
        <v>7957</v>
      </c>
    </row>
    <row r="798" spans="2:2" x14ac:dyDescent="0.25">
      <c r="B798">
        <v>7967</v>
      </c>
    </row>
    <row r="799" spans="2:2" x14ac:dyDescent="0.25">
      <c r="B799">
        <v>7977</v>
      </c>
    </row>
    <row r="800" spans="2:2" x14ac:dyDescent="0.25">
      <c r="B800">
        <v>7987</v>
      </c>
    </row>
    <row r="801" spans="2:2" x14ac:dyDescent="0.25">
      <c r="B801">
        <v>7997</v>
      </c>
    </row>
    <row r="802" spans="2:2" x14ac:dyDescent="0.25">
      <c r="B802">
        <v>8007</v>
      </c>
    </row>
    <row r="803" spans="2:2" x14ac:dyDescent="0.25">
      <c r="B803">
        <v>8017</v>
      </c>
    </row>
    <row r="804" spans="2:2" x14ac:dyDescent="0.25">
      <c r="B804">
        <v>8027</v>
      </c>
    </row>
    <row r="805" spans="2:2" x14ac:dyDescent="0.25">
      <c r="B805">
        <v>8037</v>
      </c>
    </row>
    <row r="806" spans="2:2" x14ac:dyDescent="0.25">
      <c r="B806">
        <v>8047</v>
      </c>
    </row>
    <row r="807" spans="2:2" x14ac:dyDescent="0.25">
      <c r="B807">
        <v>8057</v>
      </c>
    </row>
    <row r="808" spans="2:2" x14ac:dyDescent="0.25">
      <c r="B808">
        <v>8067</v>
      </c>
    </row>
    <row r="809" spans="2:2" x14ac:dyDescent="0.25">
      <c r="B809">
        <v>8077</v>
      </c>
    </row>
    <row r="810" spans="2:2" x14ac:dyDescent="0.25">
      <c r="B810">
        <v>8087</v>
      </c>
    </row>
    <row r="811" spans="2:2" x14ac:dyDescent="0.25">
      <c r="B811">
        <v>8097</v>
      </c>
    </row>
    <row r="812" spans="2:2" x14ac:dyDescent="0.25">
      <c r="B812">
        <v>8107</v>
      </c>
    </row>
    <row r="813" spans="2:2" x14ac:dyDescent="0.25">
      <c r="B813">
        <v>8117</v>
      </c>
    </row>
    <row r="814" spans="2:2" x14ac:dyDescent="0.25">
      <c r="B814">
        <v>8127</v>
      </c>
    </row>
    <row r="815" spans="2:2" x14ac:dyDescent="0.25">
      <c r="B815">
        <v>8137</v>
      </c>
    </row>
    <row r="816" spans="2:2" x14ac:dyDescent="0.25">
      <c r="B816">
        <v>8147</v>
      </c>
    </row>
    <row r="817" spans="2:2" x14ac:dyDescent="0.25">
      <c r="B817">
        <v>8157</v>
      </c>
    </row>
    <row r="818" spans="2:2" x14ac:dyDescent="0.25">
      <c r="B818">
        <v>8167</v>
      </c>
    </row>
    <row r="819" spans="2:2" x14ac:dyDescent="0.25">
      <c r="B819">
        <v>8177</v>
      </c>
    </row>
    <row r="820" spans="2:2" x14ac:dyDescent="0.25">
      <c r="B820">
        <v>8187</v>
      </c>
    </row>
    <row r="821" spans="2:2" x14ac:dyDescent="0.25">
      <c r="B821">
        <v>8197</v>
      </c>
    </row>
    <row r="822" spans="2:2" x14ac:dyDescent="0.25">
      <c r="B822">
        <v>8207</v>
      </c>
    </row>
    <row r="823" spans="2:2" x14ac:dyDescent="0.25">
      <c r="B823">
        <v>8217</v>
      </c>
    </row>
    <row r="824" spans="2:2" x14ac:dyDescent="0.25">
      <c r="B824">
        <v>8227</v>
      </c>
    </row>
    <row r="825" spans="2:2" x14ac:dyDescent="0.25">
      <c r="B825">
        <v>8237</v>
      </c>
    </row>
    <row r="826" spans="2:2" x14ac:dyDescent="0.25">
      <c r="B826">
        <v>8247</v>
      </c>
    </row>
    <row r="827" spans="2:2" x14ac:dyDescent="0.25">
      <c r="B827">
        <v>8257</v>
      </c>
    </row>
    <row r="828" spans="2:2" x14ac:dyDescent="0.25">
      <c r="B828">
        <v>8267</v>
      </c>
    </row>
    <row r="829" spans="2:2" x14ac:dyDescent="0.25">
      <c r="B829">
        <v>8277</v>
      </c>
    </row>
    <row r="830" spans="2:2" x14ac:dyDescent="0.25">
      <c r="B830">
        <v>8287</v>
      </c>
    </row>
    <row r="831" spans="2:2" x14ac:dyDescent="0.25">
      <c r="B831">
        <v>8297</v>
      </c>
    </row>
    <row r="832" spans="2:2" x14ac:dyDescent="0.25">
      <c r="B832">
        <v>8307</v>
      </c>
    </row>
    <row r="833" spans="2:2" x14ac:dyDescent="0.25">
      <c r="B833">
        <v>8317</v>
      </c>
    </row>
    <row r="834" spans="2:2" x14ac:dyDescent="0.25">
      <c r="B834">
        <v>8327</v>
      </c>
    </row>
    <row r="835" spans="2:2" x14ac:dyDescent="0.25">
      <c r="B835">
        <v>8337</v>
      </c>
    </row>
    <row r="836" spans="2:2" x14ac:dyDescent="0.25">
      <c r="B836">
        <v>8347</v>
      </c>
    </row>
    <row r="837" spans="2:2" x14ac:dyDescent="0.25">
      <c r="B837">
        <v>8357</v>
      </c>
    </row>
    <row r="838" spans="2:2" x14ac:dyDescent="0.25">
      <c r="B838">
        <v>8367</v>
      </c>
    </row>
    <row r="839" spans="2:2" x14ac:dyDescent="0.25">
      <c r="B839">
        <v>8377</v>
      </c>
    </row>
    <row r="840" spans="2:2" x14ac:dyDescent="0.25">
      <c r="B840">
        <v>8387</v>
      </c>
    </row>
    <row r="841" spans="2:2" x14ac:dyDescent="0.25">
      <c r="B841">
        <v>8397</v>
      </c>
    </row>
    <row r="842" spans="2:2" x14ac:dyDescent="0.25">
      <c r="B842">
        <v>8407</v>
      </c>
    </row>
    <row r="843" spans="2:2" x14ac:dyDescent="0.25">
      <c r="B843">
        <v>8417</v>
      </c>
    </row>
    <row r="844" spans="2:2" x14ac:dyDescent="0.25">
      <c r="B844">
        <v>8427</v>
      </c>
    </row>
    <row r="845" spans="2:2" x14ac:dyDescent="0.25">
      <c r="B845">
        <v>8437</v>
      </c>
    </row>
    <row r="846" spans="2:2" x14ac:dyDescent="0.25">
      <c r="B846">
        <v>8447</v>
      </c>
    </row>
    <row r="847" spans="2:2" x14ac:dyDescent="0.25">
      <c r="B847">
        <v>8457</v>
      </c>
    </row>
    <row r="848" spans="2:2" x14ac:dyDescent="0.25">
      <c r="B848">
        <v>8467</v>
      </c>
    </row>
    <row r="849" spans="2:2" x14ac:dyDescent="0.25">
      <c r="B849">
        <v>8477</v>
      </c>
    </row>
    <row r="850" spans="2:2" x14ac:dyDescent="0.25">
      <c r="B850">
        <v>8487</v>
      </c>
    </row>
    <row r="851" spans="2:2" x14ac:dyDescent="0.25">
      <c r="B851">
        <v>8497</v>
      </c>
    </row>
    <row r="852" spans="2:2" x14ac:dyDescent="0.25">
      <c r="B852">
        <v>8507</v>
      </c>
    </row>
    <row r="853" spans="2:2" x14ac:dyDescent="0.25">
      <c r="B853">
        <v>8517</v>
      </c>
    </row>
    <row r="854" spans="2:2" x14ac:dyDescent="0.25">
      <c r="B854">
        <v>8527</v>
      </c>
    </row>
    <row r="855" spans="2:2" x14ac:dyDescent="0.25">
      <c r="B855">
        <v>8537</v>
      </c>
    </row>
    <row r="856" spans="2:2" x14ac:dyDescent="0.25">
      <c r="B856">
        <v>8547</v>
      </c>
    </row>
    <row r="857" spans="2:2" x14ac:dyDescent="0.25">
      <c r="B857">
        <v>8557</v>
      </c>
    </row>
    <row r="858" spans="2:2" x14ac:dyDescent="0.25">
      <c r="B858">
        <v>8567</v>
      </c>
    </row>
    <row r="859" spans="2:2" x14ac:dyDescent="0.25">
      <c r="B859">
        <v>8577</v>
      </c>
    </row>
    <row r="860" spans="2:2" x14ac:dyDescent="0.25">
      <c r="B860">
        <v>8587</v>
      </c>
    </row>
    <row r="861" spans="2:2" x14ac:dyDescent="0.25">
      <c r="B861">
        <v>8597</v>
      </c>
    </row>
    <row r="862" spans="2:2" x14ac:dyDescent="0.25">
      <c r="B862">
        <v>8607</v>
      </c>
    </row>
    <row r="863" spans="2:2" x14ac:dyDescent="0.25">
      <c r="B863">
        <v>8617</v>
      </c>
    </row>
    <row r="864" spans="2:2" x14ac:dyDescent="0.25">
      <c r="B864">
        <v>8627</v>
      </c>
    </row>
    <row r="865" spans="2:2" x14ac:dyDescent="0.25">
      <c r="B865">
        <v>8637</v>
      </c>
    </row>
    <row r="866" spans="2:2" x14ac:dyDescent="0.25">
      <c r="B866">
        <v>8647</v>
      </c>
    </row>
    <row r="867" spans="2:2" x14ac:dyDescent="0.25">
      <c r="B867">
        <v>8657</v>
      </c>
    </row>
    <row r="868" spans="2:2" x14ac:dyDescent="0.25">
      <c r="B868">
        <v>8667</v>
      </c>
    </row>
    <row r="869" spans="2:2" x14ac:dyDescent="0.25">
      <c r="B869">
        <v>8677</v>
      </c>
    </row>
    <row r="870" spans="2:2" x14ac:dyDescent="0.25">
      <c r="B870">
        <v>8687</v>
      </c>
    </row>
    <row r="871" spans="2:2" x14ac:dyDescent="0.25">
      <c r="B871">
        <v>8697</v>
      </c>
    </row>
    <row r="872" spans="2:2" x14ac:dyDescent="0.25">
      <c r="B872">
        <v>8707</v>
      </c>
    </row>
    <row r="873" spans="2:2" x14ac:dyDescent="0.25">
      <c r="B873">
        <v>8717</v>
      </c>
    </row>
    <row r="874" spans="2:2" x14ac:dyDescent="0.25">
      <c r="B874">
        <v>8727</v>
      </c>
    </row>
    <row r="875" spans="2:2" x14ac:dyDescent="0.25">
      <c r="B875">
        <v>8737</v>
      </c>
    </row>
    <row r="876" spans="2:2" x14ac:dyDescent="0.25">
      <c r="B876">
        <v>8747</v>
      </c>
    </row>
    <row r="877" spans="2:2" x14ac:dyDescent="0.25">
      <c r="B877">
        <v>8757</v>
      </c>
    </row>
    <row r="878" spans="2:2" x14ac:dyDescent="0.25">
      <c r="B878">
        <v>8767</v>
      </c>
    </row>
    <row r="879" spans="2:2" x14ac:dyDescent="0.25">
      <c r="B879">
        <v>8777</v>
      </c>
    </row>
    <row r="880" spans="2:2" x14ac:dyDescent="0.25">
      <c r="B880">
        <v>8787</v>
      </c>
    </row>
    <row r="881" spans="2:2" x14ac:dyDescent="0.25">
      <c r="B881">
        <v>8797</v>
      </c>
    </row>
    <row r="882" spans="2:2" x14ac:dyDescent="0.25">
      <c r="B882">
        <v>8807</v>
      </c>
    </row>
    <row r="883" spans="2:2" x14ac:dyDescent="0.25">
      <c r="B883">
        <v>8817</v>
      </c>
    </row>
    <row r="884" spans="2:2" x14ac:dyDescent="0.25">
      <c r="B884">
        <v>8827</v>
      </c>
    </row>
    <row r="885" spans="2:2" x14ac:dyDescent="0.25">
      <c r="B885">
        <v>8837</v>
      </c>
    </row>
    <row r="886" spans="2:2" x14ac:dyDescent="0.25">
      <c r="B886">
        <v>8847</v>
      </c>
    </row>
    <row r="887" spans="2:2" x14ac:dyDescent="0.25">
      <c r="B887">
        <v>8857</v>
      </c>
    </row>
    <row r="888" spans="2:2" x14ac:dyDescent="0.25">
      <c r="B888">
        <v>8867</v>
      </c>
    </row>
    <row r="889" spans="2:2" x14ac:dyDescent="0.25">
      <c r="B889">
        <v>8877</v>
      </c>
    </row>
    <row r="890" spans="2:2" x14ac:dyDescent="0.25">
      <c r="B890">
        <v>8887</v>
      </c>
    </row>
    <row r="891" spans="2:2" x14ac:dyDescent="0.25">
      <c r="B891">
        <v>8897</v>
      </c>
    </row>
    <row r="892" spans="2:2" x14ac:dyDescent="0.25">
      <c r="B892">
        <v>8907</v>
      </c>
    </row>
    <row r="893" spans="2:2" x14ac:dyDescent="0.25">
      <c r="B893">
        <v>8917</v>
      </c>
    </row>
    <row r="894" spans="2:2" x14ac:dyDescent="0.25">
      <c r="B894">
        <v>8927</v>
      </c>
    </row>
    <row r="895" spans="2:2" x14ac:dyDescent="0.25">
      <c r="B895">
        <v>8937</v>
      </c>
    </row>
    <row r="896" spans="2:2" x14ac:dyDescent="0.25">
      <c r="B896">
        <v>8947</v>
      </c>
    </row>
    <row r="897" spans="2:2" x14ac:dyDescent="0.25">
      <c r="B897">
        <v>8957</v>
      </c>
    </row>
    <row r="898" spans="2:2" x14ac:dyDescent="0.25">
      <c r="B898">
        <v>8967</v>
      </c>
    </row>
    <row r="899" spans="2:2" x14ac:dyDescent="0.25">
      <c r="B899">
        <v>8977</v>
      </c>
    </row>
    <row r="900" spans="2:2" x14ac:dyDescent="0.25">
      <c r="B900">
        <v>8987</v>
      </c>
    </row>
    <row r="901" spans="2:2" x14ac:dyDescent="0.25">
      <c r="B901">
        <v>8997</v>
      </c>
    </row>
    <row r="902" spans="2:2" x14ac:dyDescent="0.25">
      <c r="B902">
        <v>9007</v>
      </c>
    </row>
    <row r="903" spans="2:2" x14ac:dyDescent="0.25">
      <c r="B903">
        <v>9017</v>
      </c>
    </row>
    <row r="904" spans="2:2" x14ac:dyDescent="0.25">
      <c r="B904">
        <v>9027</v>
      </c>
    </row>
    <row r="905" spans="2:2" x14ac:dyDescent="0.25">
      <c r="B905">
        <v>9037</v>
      </c>
    </row>
    <row r="906" spans="2:2" x14ac:dyDescent="0.25">
      <c r="B906">
        <v>9047</v>
      </c>
    </row>
    <row r="907" spans="2:2" x14ac:dyDescent="0.25">
      <c r="B907">
        <v>9057</v>
      </c>
    </row>
    <row r="908" spans="2:2" x14ac:dyDescent="0.25">
      <c r="B908">
        <v>9067</v>
      </c>
    </row>
    <row r="909" spans="2:2" x14ac:dyDescent="0.25">
      <c r="B909">
        <v>9077</v>
      </c>
    </row>
    <row r="910" spans="2:2" x14ac:dyDescent="0.25">
      <c r="B910">
        <v>9087</v>
      </c>
    </row>
    <row r="911" spans="2:2" x14ac:dyDescent="0.25">
      <c r="B911">
        <v>9097</v>
      </c>
    </row>
    <row r="912" spans="2:2" x14ac:dyDescent="0.25">
      <c r="B912">
        <v>9107</v>
      </c>
    </row>
    <row r="913" spans="2:2" x14ac:dyDescent="0.25">
      <c r="B913">
        <v>9117</v>
      </c>
    </row>
    <row r="914" spans="2:2" x14ac:dyDescent="0.25">
      <c r="B914">
        <v>9127</v>
      </c>
    </row>
    <row r="915" spans="2:2" x14ac:dyDescent="0.25">
      <c r="B915">
        <v>9137</v>
      </c>
    </row>
    <row r="916" spans="2:2" x14ac:dyDescent="0.25">
      <c r="B916">
        <v>9147</v>
      </c>
    </row>
    <row r="917" spans="2:2" x14ac:dyDescent="0.25">
      <c r="B917">
        <v>9157</v>
      </c>
    </row>
    <row r="918" spans="2:2" x14ac:dyDescent="0.25">
      <c r="B918">
        <v>9167</v>
      </c>
    </row>
    <row r="919" spans="2:2" x14ac:dyDescent="0.25">
      <c r="B919">
        <v>9177</v>
      </c>
    </row>
    <row r="920" spans="2:2" x14ac:dyDescent="0.25">
      <c r="B920">
        <v>9187</v>
      </c>
    </row>
    <row r="921" spans="2:2" x14ac:dyDescent="0.25">
      <c r="B921">
        <v>9197</v>
      </c>
    </row>
    <row r="922" spans="2:2" x14ac:dyDescent="0.25">
      <c r="B922">
        <v>9207</v>
      </c>
    </row>
    <row r="923" spans="2:2" x14ac:dyDescent="0.25">
      <c r="B923">
        <v>9217</v>
      </c>
    </row>
    <row r="924" spans="2:2" x14ac:dyDescent="0.25">
      <c r="B924">
        <v>9227</v>
      </c>
    </row>
    <row r="925" spans="2:2" x14ac:dyDescent="0.25">
      <c r="B925">
        <v>9237</v>
      </c>
    </row>
    <row r="926" spans="2:2" x14ac:dyDescent="0.25">
      <c r="B926">
        <v>9247</v>
      </c>
    </row>
    <row r="927" spans="2:2" x14ac:dyDescent="0.25">
      <c r="B927">
        <v>9257</v>
      </c>
    </row>
    <row r="928" spans="2:2" x14ac:dyDescent="0.25">
      <c r="B928">
        <v>9267</v>
      </c>
    </row>
    <row r="929" spans="2:2" x14ac:dyDescent="0.25">
      <c r="B929">
        <v>9277</v>
      </c>
    </row>
    <row r="930" spans="2:2" x14ac:dyDescent="0.25">
      <c r="B930">
        <v>9287</v>
      </c>
    </row>
    <row r="931" spans="2:2" x14ac:dyDescent="0.25">
      <c r="B931">
        <v>9297</v>
      </c>
    </row>
    <row r="932" spans="2:2" x14ac:dyDescent="0.25">
      <c r="B932">
        <v>9307</v>
      </c>
    </row>
    <row r="933" spans="2:2" x14ac:dyDescent="0.25">
      <c r="B933">
        <v>9317</v>
      </c>
    </row>
    <row r="934" spans="2:2" x14ac:dyDescent="0.25">
      <c r="B934">
        <v>9327</v>
      </c>
    </row>
    <row r="935" spans="2:2" x14ac:dyDescent="0.25">
      <c r="B935">
        <v>9337</v>
      </c>
    </row>
    <row r="936" spans="2:2" x14ac:dyDescent="0.25">
      <c r="B936">
        <v>9347</v>
      </c>
    </row>
    <row r="937" spans="2:2" x14ac:dyDescent="0.25">
      <c r="B937">
        <v>9357</v>
      </c>
    </row>
    <row r="938" spans="2:2" x14ac:dyDescent="0.25">
      <c r="B938">
        <v>9367</v>
      </c>
    </row>
    <row r="939" spans="2:2" x14ac:dyDescent="0.25">
      <c r="B939">
        <v>9377</v>
      </c>
    </row>
    <row r="940" spans="2:2" x14ac:dyDescent="0.25">
      <c r="B940">
        <v>9387</v>
      </c>
    </row>
    <row r="941" spans="2:2" x14ac:dyDescent="0.25">
      <c r="B941">
        <v>9397</v>
      </c>
    </row>
    <row r="942" spans="2:2" x14ac:dyDescent="0.25">
      <c r="B942">
        <v>9407</v>
      </c>
    </row>
    <row r="943" spans="2:2" x14ac:dyDescent="0.25">
      <c r="B943">
        <v>9417</v>
      </c>
    </row>
    <row r="944" spans="2:2" x14ac:dyDescent="0.25">
      <c r="B944">
        <v>9427</v>
      </c>
    </row>
    <row r="945" spans="2:2" x14ac:dyDescent="0.25">
      <c r="B945">
        <v>9437</v>
      </c>
    </row>
    <row r="946" spans="2:2" x14ac:dyDescent="0.25">
      <c r="B946">
        <v>9447</v>
      </c>
    </row>
    <row r="947" spans="2:2" x14ac:dyDescent="0.25">
      <c r="B947">
        <v>9457</v>
      </c>
    </row>
    <row r="948" spans="2:2" x14ac:dyDescent="0.25">
      <c r="B948">
        <v>9467</v>
      </c>
    </row>
    <row r="949" spans="2:2" x14ac:dyDescent="0.25">
      <c r="B949">
        <v>9477</v>
      </c>
    </row>
    <row r="950" spans="2:2" x14ac:dyDescent="0.25">
      <c r="B950">
        <v>9487</v>
      </c>
    </row>
    <row r="951" spans="2:2" x14ac:dyDescent="0.25">
      <c r="B951">
        <v>9497</v>
      </c>
    </row>
    <row r="952" spans="2:2" x14ac:dyDescent="0.25">
      <c r="B952">
        <v>9507</v>
      </c>
    </row>
    <row r="953" spans="2:2" x14ac:dyDescent="0.25">
      <c r="B953">
        <v>9517</v>
      </c>
    </row>
    <row r="954" spans="2:2" x14ac:dyDescent="0.25">
      <c r="B954">
        <v>9527</v>
      </c>
    </row>
    <row r="955" spans="2:2" x14ac:dyDescent="0.25">
      <c r="B955">
        <v>9537</v>
      </c>
    </row>
    <row r="956" spans="2:2" x14ac:dyDescent="0.25">
      <c r="B956">
        <v>9547</v>
      </c>
    </row>
    <row r="957" spans="2:2" x14ac:dyDescent="0.25">
      <c r="B957">
        <v>9557</v>
      </c>
    </row>
    <row r="958" spans="2:2" x14ac:dyDescent="0.25">
      <c r="B958">
        <v>9567</v>
      </c>
    </row>
    <row r="959" spans="2:2" x14ac:dyDescent="0.25">
      <c r="B959">
        <v>9577</v>
      </c>
    </row>
    <row r="960" spans="2:2" x14ac:dyDescent="0.25">
      <c r="B960">
        <v>9587</v>
      </c>
    </row>
    <row r="961" spans="2:2" x14ac:dyDescent="0.25">
      <c r="B961">
        <v>9597</v>
      </c>
    </row>
    <row r="962" spans="2:2" x14ac:dyDescent="0.25">
      <c r="B962">
        <v>9607</v>
      </c>
    </row>
    <row r="963" spans="2:2" x14ac:dyDescent="0.25">
      <c r="B963">
        <v>9617</v>
      </c>
    </row>
    <row r="964" spans="2:2" x14ac:dyDescent="0.25">
      <c r="B964">
        <v>9627</v>
      </c>
    </row>
    <row r="965" spans="2:2" x14ac:dyDescent="0.25">
      <c r="B965">
        <v>9637</v>
      </c>
    </row>
    <row r="966" spans="2:2" x14ac:dyDescent="0.25">
      <c r="B966">
        <v>9647</v>
      </c>
    </row>
    <row r="967" spans="2:2" x14ac:dyDescent="0.25">
      <c r="B967">
        <v>9657</v>
      </c>
    </row>
    <row r="968" spans="2:2" x14ac:dyDescent="0.25">
      <c r="B968">
        <v>9667</v>
      </c>
    </row>
    <row r="969" spans="2:2" x14ac:dyDescent="0.25">
      <c r="B969">
        <v>9677</v>
      </c>
    </row>
    <row r="970" spans="2:2" x14ac:dyDescent="0.25">
      <c r="B970">
        <v>9687</v>
      </c>
    </row>
    <row r="971" spans="2:2" x14ac:dyDescent="0.25">
      <c r="B971">
        <v>9697</v>
      </c>
    </row>
    <row r="972" spans="2:2" x14ac:dyDescent="0.25">
      <c r="B972">
        <v>9707</v>
      </c>
    </row>
    <row r="973" spans="2:2" x14ac:dyDescent="0.25">
      <c r="B973">
        <v>9717</v>
      </c>
    </row>
    <row r="974" spans="2:2" x14ac:dyDescent="0.25">
      <c r="B974">
        <v>9727</v>
      </c>
    </row>
    <row r="975" spans="2:2" x14ac:dyDescent="0.25">
      <c r="B975">
        <v>9737</v>
      </c>
    </row>
    <row r="976" spans="2:2" x14ac:dyDescent="0.25">
      <c r="B976">
        <v>9747</v>
      </c>
    </row>
    <row r="977" spans="2:2" x14ac:dyDescent="0.25">
      <c r="B977">
        <v>9757</v>
      </c>
    </row>
    <row r="978" spans="2:2" x14ac:dyDescent="0.25">
      <c r="B978">
        <v>9767</v>
      </c>
    </row>
    <row r="979" spans="2:2" x14ac:dyDescent="0.25">
      <c r="B979">
        <v>9777</v>
      </c>
    </row>
    <row r="980" spans="2:2" x14ac:dyDescent="0.25">
      <c r="B980">
        <v>9787</v>
      </c>
    </row>
    <row r="981" spans="2:2" x14ac:dyDescent="0.25">
      <c r="B981">
        <v>9797</v>
      </c>
    </row>
    <row r="982" spans="2:2" x14ac:dyDescent="0.25">
      <c r="B982">
        <v>9807</v>
      </c>
    </row>
    <row r="983" spans="2:2" x14ac:dyDescent="0.25">
      <c r="B983">
        <v>9817</v>
      </c>
    </row>
    <row r="984" spans="2:2" x14ac:dyDescent="0.25">
      <c r="B984">
        <v>9827</v>
      </c>
    </row>
    <row r="985" spans="2:2" x14ac:dyDescent="0.25">
      <c r="B985">
        <v>9837</v>
      </c>
    </row>
    <row r="986" spans="2:2" x14ac:dyDescent="0.25">
      <c r="B986">
        <v>9847</v>
      </c>
    </row>
    <row r="987" spans="2:2" x14ac:dyDescent="0.25">
      <c r="B987">
        <v>9857</v>
      </c>
    </row>
    <row r="988" spans="2:2" x14ac:dyDescent="0.25">
      <c r="B988">
        <v>9867</v>
      </c>
    </row>
    <row r="989" spans="2:2" x14ac:dyDescent="0.25">
      <c r="B989">
        <v>9877</v>
      </c>
    </row>
    <row r="990" spans="2:2" x14ac:dyDescent="0.25">
      <c r="B990">
        <v>9887</v>
      </c>
    </row>
    <row r="991" spans="2:2" x14ac:dyDescent="0.25">
      <c r="B991">
        <v>9897</v>
      </c>
    </row>
    <row r="992" spans="2:2" x14ac:dyDescent="0.25">
      <c r="B992">
        <v>9907</v>
      </c>
    </row>
    <row r="993" spans="2:2" x14ac:dyDescent="0.25">
      <c r="B993">
        <v>9917</v>
      </c>
    </row>
    <row r="994" spans="2:2" x14ac:dyDescent="0.25">
      <c r="B994">
        <v>9927</v>
      </c>
    </row>
    <row r="995" spans="2:2" x14ac:dyDescent="0.25">
      <c r="B995">
        <v>9937</v>
      </c>
    </row>
    <row r="996" spans="2:2" x14ac:dyDescent="0.25">
      <c r="B996">
        <v>9947</v>
      </c>
    </row>
    <row r="997" spans="2:2" x14ac:dyDescent="0.25">
      <c r="B997">
        <v>9957</v>
      </c>
    </row>
    <row r="998" spans="2:2" x14ac:dyDescent="0.25">
      <c r="B998">
        <v>9967</v>
      </c>
    </row>
    <row r="999" spans="2:2" x14ac:dyDescent="0.25">
      <c r="B999">
        <v>9977</v>
      </c>
    </row>
    <row r="1000" spans="2:2" x14ac:dyDescent="0.25">
      <c r="B1000">
        <v>9987</v>
      </c>
    </row>
    <row r="1001" spans="2:2" x14ac:dyDescent="0.25">
      <c r="B1001">
        <v>9997</v>
      </c>
    </row>
  </sheetData>
  <conditionalFormatting sqref="A1">
    <cfRule type="duplicateValues" dxfId="1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C15EB-6C24-44F2-9C25-0CF9BDE8645B}">
  <dimension ref="A1:J1001"/>
  <sheetViews>
    <sheetView zoomScaleNormal="100" workbookViewId="0">
      <pane ySplit="1" topLeftCell="A2" activePane="bottomLeft" state="frozen"/>
      <selection pane="bottomLeft" activeCell="F20" sqref="F20"/>
    </sheetView>
  </sheetViews>
  <sheetFormatPr defaultRowHeight="15" x14ac:dyDescent="0.25"/>
  <cols>
    <col min="1" max="2" width="20.28515625" customWidth="1"/>
    <col min="3" max="3" width="16.7109375" hidden="1" customWidth="1"/>
    <col min="4" max="4" width="17.85546875" bestFit="1" customWidth="1"/>
    <col min="5" max="5" width="14.42578125" bestFit="1" customWidth="1"/>
    <col min="6" max="6" width="19.28515625" bestFit="1" customWidth="1"/>
    <col min="7" max="7" width="16.7109375" bestFit="1" customWidth="1"/>
    <col min="8" max="8" width="14.7109375" style="13" bestFit="1" customWidth="1"/>
    <col min="9" max="9" width="29.140625" style="8" customWidth="1"/>
    <col min="10" max="10" width="9.140625" style="18"/>
  </cols>
  <sheetData>
    <row r="1" spans="1:10" s="9" customFormat="1" ht="15.75" thickBot="1" x14ac:dyDescent="0.3">
      <c r="A1" s="9" t="s">
        <v>0</v>
      </c>
      <c r="B1" s="9" t="s">
        <v>2</v>
      </c>
      <c r="C1" s="9" t="s">
        <v>24</v>
      </c>
      <c r="D1" s="9" t="s">
        <v>13</v>
      </c>
      <c r="E1" s="9" t="s">
        <v>1</v>
      </c>
      <c r="F1" s="9" t="s">
        <v>3</v>
      </c>
      <c r="G1" s="9" t="s">
        <v>178</v>
      </c>
      <c r="H1" s="14" t="s">
        <v>4</v>
      </c>
      <c r="I1" s="9" t="s">
        <v>53</v>
      </c>
      <c r="J1" s="29"/>
    </row>
    <row r="2" spans="1:10" x14ac:dyDescent="0.25">
      <c r="A2" t="s">
        <v>123</v>
      </c>
      <c r="B2" t="s">
        <v>19</v>
      </c>
      <c r="C2">
        <f t="shared" ref="C2:C65" si="0">IF(ROW()=2,1,IF(B2&lt;&gt;B1,1,C1+1))</f>
        <v>1</v>
      </c>
      <c r="D2" cm="1">
        <f t="array" ref="D2">_xlfn.IFS(C2&lt;=50,7+10*(C2-1),C2&lt;=110,507+25*(C2-51),C2&lt;=170,2007+50*(C2-111),C2&lt;=250,5007+50*(C2-171))</f>
        <v>7</v>
      </c>
      <c r="E2" t="str" cm="1">
        <f t="array" ref="E2">IF(D2="","",_xlfn.IFS(D2&lt;=500,"Top_500",D2&lt;=2000,"501_2000",D2&lt;=5000,"2001_5000",D2&lt;=10000,"5001_10000"))</f>
        <v>Top_500</v>
      </c>
      <c r="F2">
        <v>28809</v>
      </c>
      <c r="G2">
        <v>491</v>
      </c>
      <c r="H2" s="13">
        <v>46046</v>
      </c>
      <c r="I2" s="8" t="str">
        <f>A2 &amp; "|" &amp; B2</f>
        <v>mirovampiro|Assault</v>
      </c>
    </row>
    <row r="3" spans="1:10" x14ac:dyDescent="0.25">
      <c r="A3" t="s">
        <v>126</v>
      </c>
      <c r="B3" t="s">
        <v>19</v>
      </c>
      <c r="C3">
        <f t="shared" si="0"/>
        <v>2</v>
      </c>
      <c r="D3" cm="1">
        <f t="array" ref="D3">_xlfn.IFS(C3&lt;=50,7+10*(C3-1),C3&lt;=110,507+25*(C3-51),C3&lt;=170,2007+50*(C3-111),C3&lt;=250,5007+50*(C3-171))</f>
        <v>17</v>
      </c>
      <c r="E3" t="str" cm="1">
        <f t="array" ref="E3">IF(D3="","",_xlfn.IFS(D3&lt;=500,"Top_500",D3&lt;=2000,"501_2000",D3&lt;=5000,"2001_5000",D3&lt;=10000,"5001_10000"))</f>
        <v>Top_500</v>
      </c>
      <c r="F3">
        <v>22167</v>
      </c>
      <c r="G3">
        <v>388</v>
      </c>
      <c r="H3" s="13">
        <v>46048</v>
      </c>
      <c r="I3" s="8" t="str">
        <f t="shared" ref="I3:I66" si="1">A3 &amp; "|" &amp; B3</f>
        <v>Francko Escobar|Assault</v>
      </c>
    </row>
    <row r="4" spans="1:10" x14ac:dyDescent="0.25">
      <c r="A4" t="s">
        <v>128</v>
      </c>
      <c r="B4" t="s">
        <v>19</v>
      </c>
      <c r="C4">
        <f t="shared" si="0"/>
        <v>3</v>
      </c>
      <c r="D4" cm="1">
        <f t="array" ref="D4">_xlfn.IFS(C4&lt;=50,7+10*(C4-1),C4&lt;=110,507+25*(C4-51),C4&lt;=170,2007+50*(C4-111),C4&lt;=250,5007+50*(C4-171))</f>
        <v>27</v>
      </c>
      <c r="E4" t="str" cm="1">
        <f t="array" ref="E4">IF(D4="","",_xlfn.IFS(D4&lt;=500,"Top_500",D4&lt;=2000,"501_2000",D4&lt;=5000,"2001_5000",D4&lt;=10000,"5001_10000"))</f>
        <v>Top_500</v>
      </c>
      <c r="F4">
        <v>21125</v>
      </c>
      <c r="G4">
        <v>351</v>
      </c>
      <c r="H4" s="13">
        <v>46048</v>
      </c>
      <c r="I4" s="8" t="str">
        <f t="shared" si="1"/>
        <v>CFGBOT|Assault</v>
      </c>
    </row>
    <row r="5" spans="1:10" x14ac:dyDescent="0.25">
      <c r="A5" t="s">
        <v>127</v>
      </c>
      <c r="B5" t="s">
        <v>19</v>
      </c>
      <c r="C5">
        <f t="shared" si="0"/>
        <v>4</v>
      </c>
      <c r="D5" cm="1">
        <f t="array" ref="D5">_xlfn.IFS(C5&lt;=50,7+10*(C5-1),C5&lt;=110,507+25*(C5-51),C5&lt;=170,2007+50*(C5-111),C5&lt;=250,5007+50*(C5-171))</f>
        <v>37</v>
      </c>
      <c r="E5" t="str" cm="1">
        <f t="array" ref="E5">IF(D5="","",_xlfn.IFS(D5&lt;=500,"Top_500",D5&lt;=2000,"501_2000",D5&lt;=5000,"2001_5000",D5&lt;=10000,"5001_10000"))</f>
        <v>Top_500</v>
      </c>
      <c r="F5">
        <v>20105</v>
      </c>
      <c r="G5">
        <v>258</v>
      </c>
      <c r="H5" s="13">
        <v>46048</v>
      </c>
      <c r="I5" s="8" t="str">
        <f t="shared" si="1"/>
        <v>avengerhawk|Assault</v>
      </c>
    </row>
    <row r="6" spans="1:10" x14ac:dyDescent="0.25">
      <c r="A6" t="s">
        <v>129</v>
      </c>
      <c r="B6" t="s">
        <v>19</v>
      </c>
      <c r="C6">
        <f t="shared" si="0"/>
        <v>5</v>
      </c>
      <c r="D6" cm="1">
        <f t="array" ref="D6">_xlfn.IFS(C6&lt;=50,7+10*(C6-1),C6&lt;=110,507+25*(C6-51),C6&lt;=170,2007+50*(C6-111),C6&lt;=250,5007+50*(C6-171))</f>
        <v>47</v>
      </c>
      <c r="E6" t="str" cm="1">
        <f t="array" ref="E6">IF(D6="","",_xlfn.IFS(D6&lt;=500,"Top_500",D6&lt;=2000,"501_2000",D6&lt;=5000,"2001_5000",D6&lt;=10000,"5001_10000"))</f>
        <v>Top_500</v>
      </c>
      <c r="F6">
        <v>18236</v>
      </c>
      <c r="G6">
        <v>157</v>
      </c>
      <c r="H6" s="13">
        <v>46048</v>
      </c>
      <c r="I6" s="8" t="str">
        <f t="shared" si="1"/>
        <v>Chopppppperrrrr|Assault</v>
      </c>
    </row>
    <row r="7" spans="1:10" x14ac:dyDescent="0.25">
      <c r="A7" t="s">
        <v>130</v>
      </c>
      <c r="B7" t="s">
        <v>19</v>
      </c>
      <c r="C7">
        <f t="shared" si="0"/>
        <v>6</v>
      </c>
      <c r="D7" cm="1">
        <f t="array" ref="D7">_xlfn.IFS(C7&lt;=50,7+10*(C7-1),C7&lt;=110,507+25*(C7-51),C7&lt;=170,2007+50*(C7-111),C7&lt;=250,5007+50*(C7-171))</f>
        <v>57</v>
      </c>
      <c r="E7" t="str" cm="1">
        <f t="array" ref="E7">IF(D7="","",_xlfn.IFS(D7&lt;=500,"Top_500",D7&lt;=2000,"501_2000",D7&lt;=5000,"2001_5000",D7&lt;=10000,"5001_10000"))</f>
        <v>Top_500</v>
      </c>
      <c r="F7">
        <v>17549</v>
      </c>
      <c r="G7">
        <v>350</v>
      </c>
      <c r="H7" s="13">
        <v>46048</v>
      </c>
      <c r="I7" s="8" t="str">
        <f t="shared" si="1"/>
        <v>d00hn!e+|Assault</v>
      </c>
    </row>
    <row r="8" spans="1:10" x14ac:dyDescent="0.25">
      <c r="A8" t="s">
        <v>131</v>
      </c>
      <c r="B8" t="s">
        <v>19</v>
      </c>
      <c r="C8">
        <f t="shared" si="0"/>
        <v>7</v>
      </c>
      <c r="D8" cm="1">
        <f t="array" ref="D8">_xlfn.IFS(C8&lt;=50,7+10*(C8-1),C8&lt;=110,507+25*(C8-51),C8&lt;=170,2007+50*(C8-111),C8&lt;=250,5007+50*(C8-171))</f>
        <v>67</v>
      </c>
      <c r="E8" t="str" cm="1">
        <f t="array" ref="E8">IF(D8="","",_xlfn.IFS(D8&lt;=500,"Top_500",D8&lt;=2000,"501_2000",D8&lt;=5000,"2001_5000",D8&lt;=10000,"5001_10000"))</f>
        <v>Top_500</v>
      </c>
      <c r="F8">
        <v>16810</v>
      </c>
      <c r="G8">
        <v>307</v>
      </c>
      <c r="H8" s="13">
        <v>46048</v>
      </c>
      <c r="I8" s="8" t="str">
        <f t="shared" si="1"/>
        <v>Wiesiu_PL|Assault</v>
      </c>
    </row>
    <row r="9" spans="1:10" x14ac:dyDescent="0.25">
      <c r="A9" t="s">
        <v>132</v>
      </c>
      <c r="B9" t="s">
        <v>19</v>
      </c>
      <c r="C9">
        <f t="shared" si="0"/>
        <v>8</v>
      </c>
      <c r="D9" cm="1">
        <f t="array" ref="D9">_xlfn.IFS(C9&lt;=50,7+10*(C9-1),C9&lt;=110,507+25*(C9-51),C9&lt;=170,2007+50*(C9-111),C9&lt;=250,5007+50*(C9-171))</f>
        <v>77</v>
      </c>
      <c r="E9" t="str" cm="1">
        <f t="array" ref="E9">IF(D9="","",_xlfn.IFS(D9&lt;=500,"Top_500",D9&lt;=2000,"501_2000",D9&lt;=5000,"2001_5000",D9&lt;=10000,"5001_10000"))</f>
        <v>Top_500</v>
      </c>
      <c r="F9">
        <v>16195</v>
      </c>
      <c r="G9">
        <v>317</v>
      </c>
      <c r="H9" s="13">
        <v>46048</v>
      </c>
      <c r="I9" s="8" t="str">
        <f t="shared" si="1"/>
        <v>Nathanchor|Assault</v>
      </c>
    </row>
    <row r="10" spans="1:10" x14ac:dyDescent="0.25">
      <c r="A10" t="s">
        <v>133</v>
      </c>
      <c r="B10" t="s">
        <v>19</v>
      </c>
      <c r="C10">
        <f t="shared" si="0"/>
        <v>9</v>
      </c>
      <c r="D10" cm="1">
        <f t="array" ref="D10">_xlfn.IFS(C10&lt;=50,7+10*(C10-1),C10&lt;=110,507+25*(C10-51),C10&lt;=170,2007+50*(C10-111),C10&lt;=250,5007+50*(C10-171))</f>
        <v>87</v>
      </c>
      <c r="E10" t="str" cm="1">
        <f t="array" ref="E10">IF(D10="","",_xlfn.IFS(D10&lt;=500,"Top_500",D10&lt;=2000,"501_2000",D10&lt;=5000,"2001_5000",D10&lt;=10000,"5001_10000"))</f>
        <v>Top_500</v>
      </c>
      <c r="F10">
        <v>15789</v>
      </c>
      <c r="G10">
        <v>159</v>
      </c>
      <c r="H10" s="13">
        <v>46048</v>
      </c>
      <c r="I10" s="8" t="str">
        <f t="shared" si="1"/>
        <v>Sempire90|Assault</v>
      </c>
    </row>
    <row r="11" spans="1:10" x14ac:dyDescent="0.25">
      <c r="A11" t="s">
        <v>134</v>
      </c>
      <c r="B11" t="s">
        <v>19</v>
      </c>
      <c r="C11">
        <f t="shared" si="0"/>
        <v>10</v>
      </c>
      <c r="D11" cm="1">
        <f t="array" ref="D11">_xlfn.IFS(C11&lt;=50,7+10*(C11-1),C11&lt;=110,507+25*(C11-51),C11&lt;=170,2007+50*(C11-111),C11&lt;=250,5007+50*(C11-171))</f>
        <v>97</v>
      </c>
      <c r="E11" t="str" cm="1">
        <f t="array" ref="E11">IF(D11="","",_xlfn.IFS(D11&lt;=500,"Top_500",D11&lt;=2000,"501_2000",D11&lt;=5000,"2001_5000",D11&lt;=10000,"5001_10000"))</f>
        <v>Top_500</v>
      </c>
      <c r="F11">
        <v>15912</v>
      </c>
      <c r="G11">
        <v>393</v>
      </c>
      <c r="H11" s="13">
        <v>46048</v>
      </c>
      <c r="I11" s="8" t="str">
        <f t="shared" si="1"/>
        <v>frothandbubble|Assault</v>
      </c>
    </row>
    <row r="12" spans="1:10" x14ac:dyDescent="0.25">
      <c r="A12" t="s">
        <v>211</v>
      </c>
      <c r="B12" t="s">
        <v>19</v>
      </c>
      <c r="C12">
        <f t="shared" si="0"/>
        <v>11</v>
      </c>
      <c r="D12" cm="1">
        <f t="array" ref="D12">_xlfn.IFS(C12&lt;=50,7+10*(C12-1),C12&lt;=110,507+25*(C12-51),C12&lt;=170,2007+50*(C12-111),C12&lt;=250,5007+50*(C12-171))</f>
        <v>107</v>
      </c>
      <c r="E12" t="str" cm="1">
        <f t="array" ref="E12">IF(D12="","",_xlfn.IFS(D12&lt;=500,"Top_500",D12&lt;=2000,"501_2000",D12&lt;=5000,"2001_5000",D12&lt;=10000,"5001_10000"))</f>
        <v>Top_500</v>
      </c>
      <c r="F12">
        <v>15421</v>
      </c>
      <c r="G12">
        <v>252</v>
      </c>
      <c r="H12" s="13">
        <v>46049</v>
      </c>
      <c r="I12" s="8" t="str">
        <f t="shared" si="1"/>
        <v>VARIIANT99|Assault</v>
      </c>
    </row>
    <row r="13" spans="1:10" x14ac:dyDescent="0.25">
      <c r="A13" t="s">
        <v>212</v>
      </c>
      <c r="B13" t="s">
        <v>19</v>
      </c>
      <c r="C13">
        <f t="shared" si="0"/>
        <v>12</v>
      </c>
      <c r="D13" cm="1">
        <f t="array" ref="D13">_xlfn.IFS(C13&lt;=50,7+10*(C13-1),C13&lt;=110,507+25*(C13-51),C13&lt;=170,2007+50*(C13-111),C13&lt;=250,5007+50*(C13-171))</f>
        <v>117</v>
      </c>
      <c r="E13" t="str" cm="1">
        <f t="array" ref="E13">IF(D13="","",_xlfn.IFS(D13&lt;=500,"Top_500",D13&lt;=2000,"501_2000",D13&lt;=5000,"2001_5000",D13&lt;=10000,"5001_10000"))</f>
        <v>Top_500</v>
      </c>
      <c r="F13">
        <v>14952</v>
      </c>
      <c r="G13">
        <v>381</v>
      </c>
      <c r="H13" s="13">
        <v>46049</v>
      </c>
      <c r="I13" s="8" t="str">
        <f t="shared" si="1"/>
        <v>Plasem|Assault</v>
      </c>
    </row>
    <row r="14" spans="1:10" x14ac:dyDescent="0.25">
      <c r="A14" t="s">
        <v>213</v>
      </c>
      <c r="B14" t="s">
        <v>19</v>
      </c>
      <c r="C14">
        <f t="shared" si="0"/>
        <v>13</v>
      </c>
      <c r="D14" cm="1">
        <f t="array" ref="D14">_xlfn.IFS(C14&lt;=50,7+10*(C14-1),C14&lt;=110,507+25*(C14-51),C14&lt;=170,2007+50*(C14-111),C14&lt;=250,5007+50*(C14-171))</f>
        <v>127</v>
      </c>
      <c r="E14" t="str" cm="1">
        <f t="array" ref="E14">IF(D14="","",_xlfn.IFS(D14&lt;=500,"Top_500",D14&lt;=2000,"501_2000",D14&lt;=5000,"2001_5000",D14&lt;=10000,"5001_10000"))</f>
        <v>Top_500</v>
      </c>
      <c r="F14">
        <v>14627</v>
      </c>
      <c r="G14">
        <v>273</v>
      </c>
      <c r="H14" s="13">
        <v>46049</v>
      </c>
      <c r="I14" s="8" t="str">
        <f t="shared" si="1"/>
        <v>devilferreira|Assault</v>
      </c>
    </row>
    <row r="15" spans="1:10" x14ac:dyDescent="0.25">
      <c r="A15" t="s">
        <v>215</v>
      </c>
      <c r="B15" t="s">
        <v>19</v>
      </c>
      <c r="C15">
        <f t="shared" si="0"/>
        <v>14</v>
      </c>
      <c r="D15" cm="1">
        <f t="array" ref="D15">_xlfn.IFS(C15&lt;=50,7+10*(C15-1),C15&lt;=110,507+25*(C15-51),C15&lt;=170,2007+50*(C15-111),C15&lt;=250,5007+50*(C15-171))</f>
        <v>137</v>
      </c>
      <c r="E15" t="str" cm="1">
        <f t="array" ref="E15">IF(D15="","",_xlfn.IFS(D15&lt;=500,"Top_500",D15&lt;=2000,"501_2000",D15&lt;=5000,"2001_5000",D15&lt;=10000,"5001_10000"))</f>
        <v>Top_500</v>
      </c>
      <c r="F15">
        <v>14425</v>
      </c>
      <c r="G15">
        <v>188</v>
      </c>
      <c r="H15" s="13">
        <v>46049</v>
      </c>
      <c r="I15" s="8" t="str">
        <f t="shared" si="1"/>
        <v>michieI|Assault</v>
      </c>
    </row>
    <row r="16" spans="1:10" x14ac:dyDescent="0.25">
      <c r="A16" t="s">
        <v>214</v>
      </c>
      <c r="B16" t="s">
        <v>19</v>
      </c>
      <c r="C16">
        <f t="shared" si="0"/>
        <v>15</v>
      </c>
      <c r="D16" cm="1">
        <f t="array" ref="D16">_xlfn.IFS(C16&lt;=50,7+10*(C16-1),C16&lt;=110,507+25*(C16-51),C16&lt;=170,2007+50*(C16-111),C16&lt;=250,5007+50*(C16-171))</f>
        <v>147</v>
      </c>
      <c r="E16" t="str" cm="1">
        <f t="array" ref="E16">IF(D16="","",_xlfn.IFS(D16&lt;=500,"Top_500",D16&lt;=2000,"501_2000",D16&lt;=5000,"2001_5000",D16&lt;=10000,"5001_10000"))</f>
        <v>Top_500</v>
      </c>
      <c r="F16">
        <v>14120</v>
      </c>
      <c r="G16">
        <v>162</v>
      </c>
      <c r="H16" s="13">
        <v>46049</v>
      </c>
      <c r="I16" s="8" t="str">
        <f t="shared" si="1"/>
        <v>呆呆梦末兽520|Assault</v>
      </c>
    </row>
    <row r="17" spans="1:9" x14ac:dyDescent="0.25">
      <c r="A17" t="s">
        <v>244</v>
      </c>
      <c r="B17" t="s">
        <v>19</v>
      </c>
      <c r="C17">
        <f t="shared" si="0"/>
        <v>16</v>
      </c>
      <c r="D17" cm="1">
        <f t="array" ref="D17">_xlfn.IFS(C17&lt;=50,7+10*(C17-1),C17&lt;=110,507+25*(C17-51),C17&lt;=170,2007+50*(C17-111),C17&lt;=250,5007+50*(C17-171))</f>
        <v>157</v>
      </c>
      <c r="E17" t="str" cm="1">
        <f t="array" ref="E17">IF(D17="","",_xlfn.IFS(D17&lt;=500,"Top_500",D17&lt;=2000,"501_2000",D17&lt;=5000,"2001_5000",D17&lt;=10000,"5001_10000"))</f>
        <v>Top_500</v>
      </c>
      <c r="F17">
        <v>14080</v>
      </c>
      <c r="G17">
        <v>249</v>
      </c>
      <c r="H17" s="13">
        <v>46050</v>
      </c>
      <c r="I17" s="8" t="str">
        <f t="shared" si="1"/>
        <v>Yuri__S94|Assault</v>
      </c>
    </row>
    <row r="18" spans="1:9" x14ac:dyDescent="0.25">
      <c r="A18" t="s">
        <v>245</v>
      </c>
      <c r="B18" t="s">
        <v>19</v>
      </c>
      <c r="C18">
        <f t="shared" si="0"/>
        <v>17</v>
      </c>
      <c r="D18" cm="1">
        <f t="array" ref="D18">_xlfn.IFS(C18&lt;=50,7+10*(C18-1),C18&lt;=110,507+25*(C18-51),C18&lt;=170,2007+50*(C18-111),C18&lt;=250,5007+50*(C18-171))</f>
        <v>167</v>
      </c>
      <c r="E18" t="str" cm="1">
        <f t="array" ref="E18">IF(D18="","",_xlfn.IFS(D18&lt;=500,"Top_500",D18&lt;=2000,"501_2000",D18&lt;=5000,"2001_5000",D18&lt;=10000,"5001_10000"))</f>
        <v>Top_500</v>
      </c>
      <c r="F18">
        <v>13982</v>
      </c>
      <c r="G18">
        <v>306</v>
      </c>
      <c r="H18" s="13">
        <v>46050</v>
      </c>
      <c r="I18" s="8" t="str">
        <f t="shared" si="1"/>
        <v>Morgue|Assault</v>
      </c>
    </row>
    <row r="19" spans="1:9" x14ac:dyDescent="0.25">
      <c r="A19" t="s">
        <v>246</v>
      </c>
      <c r="B19" t="s">
        <v>19</v>
      </c>
      <c r="C19">
        <f t="shared" si="0"/>
        <v>18</v>
      </c>
      <c r="D19" cm="1">
        <f t="array" ref="D19">_xlfn.IFS(C19&lt;=50,7+10*(C19-1),C19&lt;=110,507+25*(C19-51),C19&lt;=170,2007+50*(C19-111),C19&lt;=250,5007+50*(C19-171))</f>
        <v>177</v>
      </c>
      <c r="E19" t="str" cm="1">
        <f t="array" ref="E19">IF(D19="","",_xlfn.IFS(D19&lt;=500,"Top_500",D19&lt;=2000,"501_2000",D19&lt;=5000,"2001_5000",D19&lt;=10000,"5001_10000"))</f>
        <v>Top_500</v>
      </c>
      <c r="F19">
        <v>13463</v>
      </c>
      <c r="G19">
        <v>151</v>
      </c>
      <c r="H19" s="13">
        <v>46050</v>
      </c>
      <c r="I19" s="8" t="str">
        <f t="shared" si="1"/>
        <v>sukapower|Assault</v>
      </c>
    </row>
    <row r="20" spans="1:9" x14ac:dyDescent="0.25">
      <c r="A20" t="s">
        <v>247</v>
      </c>
      <c r="B20" t="s">
        <v>19</v>
      </c>
      <c r="C20">
        <f t="shared" si="0"/>
        <v>19</v>
      </c>
      <c r="D20" cm="1">
        <f t="array" ref="D20">_xlfn.IFS(C20&lt;=50,7+10*(C20-1),C20&lt;=110,507+25*(C20-51),C20&lt;=170,2007+50*(C20-111),C20&lt;=250,5007+50*(C20-171))</f>
        <v>187</v>
      </c>
      <c r="E20" t="str" cm="1">
        <f t="array" ref="E20">IF(D20="","",_xlfn.IFS(D20&lt;=500,"Top_500",D20&lt;=2000,"501_2000",D20&lt;=5000,"2001_5000",D20&lt;=10000,"5001_10000"))</f>
        <v>Top_500</v>
      </c>
      <c r="F20">
        <v>13257</v>
      </c>
      <c r="G20">
        <v>185</v>
      </c>
      <c r="H20" s="13">
        <v>46050</v>
      </c>
      <c r="I20" s="8" t="str">
        <f t="shared" si="1"/>
        <v>MiaoSangSSS|Assault</v>
      </c>
    </row>
    <row r="21" spans="1:9" x14ac:dyDescent="0.25">
      <c r="A21" t="s">
        <v>248</v>
      </c>
      <c r="B21" t="s">
        <v>19</v>
      </c>
      <c r="C21">
        <f t="shared" si="0"/>
        <v>20</v>
      </c>
      <c r="D21" cm="1">
        <f t="array" ref="D21">_xlfn.IFS(C21&lt;=50,7+10*(C21-1),C21&lt;=110,507+25*(C21-51),C21&lt;=170,2007+50*(C21-111),C21&lt;=250,5007+50*(C21-171))</f>
        <v>197</v>
      </c>
      <c r="E21" t="str" cm="1">
        <f t="array" ref="E21">IF(D21="","",_xlfn.IFS(D21&lt;=500,"Top_500",D21&lt;=2000,"501_2000",D21&lt;=5000,"2001_5000",D21&lt;=10000,"5001_10000"))</f>
        <v>Top_500</v>
      </c>
      <c r="F21">
        <v>13128</v>
      </c>
      <c r="G21">
        <v>154</v>
      </c>
      <c r="H21" s="13">
        <v>46050</v>
      </c>
      <c r="I21" s="8" t="str">
        <f t="shared" si="1"/>
        <v>1st1hautor|Assault</v>
      </c>
    </row>
    <row r="22" spans="1:9" x14ac:dyDescent="0.25">
      <c r="A22" t="s">
        <v>249</v>
      </c>
      <c r="B22" t="s">
        <v>19</v>
      </c>
      <c r="C22">
        <f t="shared" si="0"/>
        <v>21</v>
      </c>
      <c r="D22" cm="1">
        <f t="array" ref="D22">_xlfn.IFS(C22&lt;=50,7+10*(C22-1),C22&lt;=110,507+25*(C22-51),C22&lt;=170,2007+50*(C22-111),C22&lt;=250,5007+50*(C22-171))</f>
        <v>207</v>
      </c>
      <c r="E22" t="str" cm="1">
        <f t="array" ref="E22">IF(D22="","",_xlfn.IFS(D22&lt;=500,"Top_500",D22&lt;=2000,"501_2000",D22&lt;=5000,"2001_5000",D22&lt;=10000,"5001_10000"))</f>
        <v>Top_500</v>
      </c>
      <c r="F22">
        <v>13056</v>
      </c>
      <c r="G22">
        <v>257</v>
      </c>
      <c r="H22" s="13">
        <v>46051</v>
      </c>
      <c r="I22" s="8" t="str">
        <f t="shared" si="1"/>
        <v>ProngBastard|Assault</v>
      </c>
    </row>
    <row r="23" spans="1:9" x14ac:dyDescent="0.25">
      <c r="A23" t="s">
        <v>250</v>
      </c>
      <c r="B23" t="s">
        <v>19</v>
      </c>
      <c r="C23">
        <f t="shared" si="0"/>
        <v>22</v>
      </c>
      <c r="D23" cm="1">
        <f t="array" ref="D23">_xlfn.IFS(C23&lt;=50,7+10*(C23-1),C23&lt;=110,507+25*(C23-51),C23&lt;=170,2007+50*(C23-111),C23&lt;=250,5007+50*(C23-171))</f>
        <v>217</v>
      </c>
      <c r="E23" t="str" cm="1">
        <f t="array" ref="E23">IF(D23="","",_xlfn.IFS(D23&lt;=500,"Top_500",D23&lt;=2000,"501_2000",D23&lt;=5000,"2001_5000",D23&lt;=10000,"5001_10000"))</f>
        <v>Top_500</v>
      </c>
      <c r="F23">
        <v>16373</v>
      </c>
      <c r="G23">
        <v>184</v>
      </c>
      <c r="H23" s="13">
        <v>46051</v>
      </c>
      <c r="I23" s="8" t="str">
        <f t="shared" si="1"/>
        <v>Tboss_3000|Assault</v>
      </c>
    </row>
    <row r="24" spans="1:9" x14ac:dyDescent="0.25">
      <c r="A24" t="s">
        <v>251</v>
      </c>
      <c r="B24" t="s">
        <v>19</v>
      </c>
      <c r="C24">
        <f t="shared" si="0"/>
        <v>23</v>
      </c>
      <c r="D24" cm="1">
        <f t="array" ref="D24">_xlfn.IFS(C24&lt;=50,7+10*(C24-1),C24&lt;=110,507+25*(C24-51),C24&lt;=170,2007+50*(C24-111),C24&lt;=250,5007+50*(C24-171))</f>
        <v>227</v>
      </c>
      <c r="E24" t="str" cm="1">
        <f t="array" ref="E24">IF(D24="","",_xlfn.IFS(D24&lt;=500,"Top_500",D24&lt;=2000,"501_2000",D24&lt;=5000,"2001_5000",D24&lt;=10000,"5001_10000"))</f>
        <v>Top_500</v>
      </c>
      <c r="F24">
        <v>12826</v>
      </c>
      <c r="G24">
        <v>230</v>
      </c>
      <c r="H24" s="13">
        <v>46051</v>
      </c>
      <c r="I24" s="8" t="str">
        <f t="shared" si="1"/>
        <v>手柄PRO哥|Assault</v>
      </c>
    </row>
    <row r="25" spans="1:9" x14ac:dyDescent="0.25">
      <c r="A25" t="s">
        <v>252</v>
      </c>
      <c r="B25" t="s">
        <v>19</v>
      </c>
      <c r="C25">
        <f t="shared" si="0"/>
        <v>24</v>
      </c>
      <c r="D25" cm="1">
        <f t="array" ref="D25">_xlfn.IFS(C25&lt;=50,7+10*(C25-1),C25&lt;=110,507+25*(C25-51),C25&lt;=170,2007+50*(C25-111),C25&lt;=250,5007+50*(C25-171))</f>
        <v>237</v>
      </c>
      <c r="E25" t="str" cm="1">
        <f t="array" ref="E25">IF(D25="","",_xlfn.IFS(D25&lt;=500,"Top_500",D25&lt;=2000,"501_2000",D25&lt;=5000,"2001_5000",D25&lt;=10000,"5001_10000"))</f>
        <v>Top_500</v>
      </c>
      <c r="F25">
        <v>12906</v>
      </c>
      <c r="G25">
        <v>119</v>
      </c>
      <c r="H25" s="13">
        <v>46051</v>
      </c>
      <c r="I25" s="8" t="str">
        <f t="shared" si="1"/>
        <v>11edenprod|Assault</v>
      </c>
    </row>
    <row r="26" spans="1:9" x14ac:dyDescent="0.25">
      <c r="A26" t="s">
        <v>253</v>
      </c>
      <c r="B26" t="s">
        <v>19</v>
      </c>
      <c r="C26">
        <f t="shared" si="0"/>
        <v>25</v>
      </c>
      <c r="D26" cm="1">
        <f t="array" ref="D26">_xlfn.IFS(C26&lt;=50,7+10*(C26-1),C26&lt;=110,507+25*(C26-51),C26&lt;=170,2007+50*(C26-111),C26&lt;=250,5007+50*(C26-171))</f>
        <v>247</v>
      </c>
      <c r="E26" t="str" cm="1">
        <f t="array" ref="E26">IF(D26="","",_xlfn.IFS(D26&lt;=500,"Top_500",D26&lt;=2000,"501_2000",D26&lt;=5000,"2001_5000",D26&lt;=10000,"5001_10000"))</f>
        <v>Top_500</v>
      </c>
      <c r="F26">
        <v>13247</v>
      </c>
      <c r="G26">
        <v>203</v>
      </c>
      <c r="H26" s="13">
        <v>46051</v>
      </c>
      <c r="I26" s="8" t="str">
        <f t="shared" si="1"/>
        <v>YunaTatski|Assault</v>
      </c>
    </row>
    <row r="27" spans="1:9" x14ac:dyDescent="0.25">
      <c r="A27" t="s">
        <v>254</v>
      </c>
      <c r="B27" t="s">
        <v>19</v>
      </c>
      <c r="C27">
        <f t="shared" si="0"/>
        <v>26</v>
      </c>
      <c r="D27" cm="1">
        <f t="array" ref="D27">_xlfn.IFS(C27&lt;=50,7+10*(C27-1),C27&lt;=110,507+25*(C27-51),C27&lt;=170,2007+50*(C27-111),C27&lt;=250,5007+50*(C27-171))</f>
        <v>257</v>
      </c>
      <c r="E27" t="str" cm="1">
        <f t="array" ref="E27">IF(D27="","",_xlfn.IFS(D27&lt;=500,"Top_500",D27&lt;=2000,"501_2000",D27&lt;=5000,"2001_5000",D27&lt;=10000,"5001_10000"))</f>
        <v>Top_500</v>
      </c>
      <c r="F27">
        <v>13125</v>
      </c>
      <c r="G27">
        <v>197</v>
      </c>
      <c r="H27" s="13">
        <v>46051</v>
      </c>
      <c r="I27" s="8" t="str">
        <f t="shared" si="1"/>
        <v>SilverVenom|Assault</v>
      </c>
    </row>
    <row r="28" spans="1:9" x14ac:dyDescent="0.25">
      <c r="A28" t="s">
        <v>255</v>
      </c>
      <c r="B28" t="s">
        <v>19</v>
      </c>
      <c r="C28">
        <f t="shared" si="0"/>
        <v>27</v>
      </c>
      <c r="D28" cm="1">
        <f t="array" ref="D28">_xlfn.IFS(C28&lt;=50,7+10*(C28-1),C28&lt;=110,507+25*(C28-51),C28&lt;=170,2007+50*(C28-111),C28&lt;=250,5007+50*(C28-171))</f>
        <v>267</v>
      </c>
      <c r="E28" t="str" cm="1">
        <f t="array" ref="E28">IF(D28="","",_xlfn.IFS(D28&lt;=500,"Top_500",D28&lt;=2000,"501_2000",D28&lt;=5000,"2001_5000",D28&lt;=10000,"5001_10000"))</f>
        <v>Top_500</v>
      </c>
      <c r="F28">
        <v>12689</v>
      </c>
      <c r="G28">
        <v>164</v>
      </c>
      <c r="H28" s="13">
        <v>46051</v>
      </c>
      <c r="I28" s="8" t="str">
        <f t="shared" si="1"/>
        <v>EL FARY 1986|Assault</v>
      </c>
    </row>
    <row r="29" spans="1:9" x14ac:dyDescent="0.25">
      <c r="A29" t="s">
        <v>256</v>
      </c>
      <c r="B29" t="s">
        <v>19</v>
      </c>
      <c r="C29">
        <f t="shared" si="0"/>
        <v>28</v>
      </c>
      <c r="D29" cm="1">
        <f t="array" ref="D29">_xlfn.IFS(C29&lt;=50,7+10*(C29-1),C29&lt;=110,507+25*(C29-51),C29&lt;=170,2007+50*(C29-111),C29&lt;=250,5007+50*(C29-171))</f>
        <v>277</v>
      </c>
      <c r="E29" t="str" cm="1">
        <f t="array" ref="E29">IF(D29="","",_xlfn.IFS(D29&lt;=500,"Top_500",D29&lt;=2000,"501_2000",D29&lt;=5000,"2001_5000",D29&lt;=10000,"5001_10000"))</f>
        <v>Top_500</v>
      </c>
      <c r="F29">
        <v>12478</v>
      </c>
      <c r="G29">
        <v>114</v>
      </c>
      <c r="H29" s="13">
        <v>46051</v>
      </c>
      <c r="I29" s="8" t="str">
        <f t="shared" si="1"/>
        <v>AlciroMadara|Assault</v>
      </c>
    </row>
    <row r="30" spans="1:9" x14ac:dyDescent="0.25">
      <c r="A30" t="s">
        <v>257</v>
      </c>
      <c r="B30" t="s">
        <v>19</v>
      </c>
      <c r="C30">
        <f t="shared" si="0"/>
        <v>29</v>
      </c>
      <c r="D30" cm="1">
        <f t="array" ref="D30">_xlfn.IFS(C30&lt;=50,7+10*(C30-1),C30&lt;=110,507+25*(C30-51),C30&lt;=170,2007+50*(C30-111),C30&lt;=250,5007+50*(C30-171))</f>
        <v>287</v>
      </c>
      <c r="E30" t="str" cm="1">
        <f t="array" ref="E30">IF(D30="","",_xlfn.IFS(D30&lt;=500,"Top_500",D30&lt;=2000,"501_2000",D30&lt;=5000,"2001_5000",D30&lt;=10000,"5001_10000"))</f>
        <v>Top_500</v>
      </c>
      <c r="F30">
        <v>12098</v>
      </c>
      <c r="G30">
        <v>186</v>
      </c>
      <c r="H30" s="13">
        <v>46051</v>
      </c>
      <c r="I30" s="8" t="str">
        <f t="shared" si="1"/>
        <v>Bentsen|Assault</v>
      </c>
    </row>
    <row r="31" spans="1:9" x14ac:dyDescent="0.25">
      <c r="A31" t="s">
        <v>258</v>
      </c>
      <c r="B31" t="s">
        <v>19</v>
      </c>
      <c r="C31">
        <f t="shared" si="0"/>
        <v>30</v>
      </c>
      <c r="D31" cm="1">
        <f t="array" ref="D31">_xlfn.IFS(C31&lt;=50,7+10*(C31-1),C31&lt;=110,507+25*(C31-51),C31&lt;=170,2007+50*(C31-111),C31&lt;=250,5007+50*(C31-171))</f>
        <v>297</v>
      </c>
      <c r="E31" t="str" cm="1">
        <f t="array" ref="E31">IF(D31="","",_xlfn.IFS(D31&lt;=500,"Top_500",D31&lt;=2000,"501_2000",D31&lt;=5000,"2001_5000",D31&lt;=10000,"5001_10000"))</f>
        <v>Top_500</v>
      </c>
      <c r="F31">
        <v>12029</v>
      </c>
      <c r="G31">
        <v>150</v>
      </c>
      <c r="H31" s="13">
        <v>46051</v>
      </c>
      <c r="I31" s="8" t="str">
        <f t="shared" si="1"/>
        <v>Rekyon|Assault</v>
      </c>
    </row>
    <row r="32" spans="1:9" x14ac:dyDescent="0.25">
      <c r="A32" t="s">
        <v>259</v>
      </c>
      <c r="B32" t="s">
        <v>19</v>
      </c>
      <c r="C32">
        <f t="shared" si="0"/>
        <v>31</v>
      </c>
      <c r="D32" cm="1">
        <f t="array" ref="D32">_xlfn.IFS(C32&lt;=50,7+10*(C32-1),C32&lt;=110,507+25*(C32-51),C32&lt;=170,2007+50*(C32-111),C32&lt;=250,5007+50*(C32-171))</f>
        <v>307</v>
      </c>
      <c r="E32" t="str" cm="1">
        <f t="array" ref="E32">IF(D32="","",_xlfn.IFS(D32&lt;=500,"Top_500",D32&lt;=2000,"501_2000",D32&lt;=5000,"2001_5000",D32&lt;=10000,"5001_10000"))</f>
        <v>Top_500</v>
      </c>
      <c r="F32">
        <v>11872</v>
      </c>
      <c r="G32">
        <v>154</v>
      </c>
      <c r="H32" s="13">
        <v>46051</v>
      </c>
      <c r="I32" s="8" t="str">
        <f t="shared" si="1"/>
        <v>Rinnez|Assault</v>
      </c>
    </row>
    <row r="33" spans="1:9" x14ac:dyDescent="0.25">
      <c r="A33" t="s">
        <v>260</v>
      </c>
      <c r="B33" t="s">
        <v>19</v>
      </c>
      <c r="C33">
        <f t="shared" si="0"/>
        <v>32</v>
      </c>
      <c r="D33" cm="1">
        <f t="array" ref="D33">_xlfn.IFS(C33&lt;=50,7+10*(C33-1),C33&lt;=110,507+25*(C33-51),C33&lt;=170,2007+50*(C33-111),C33&lt;=250,5007+50*(C33-171))</f>
        <v>317</v>
      </c>
      <c r="E33" t="str" cm="1">
        <f t="array" ref="E33">IF(D33="","",_xlfn.IFS(D33&lt;=500,"Top_500",D33&lt;=2000,"501_2000",D33&lt;=5000,"2001_5000",D33&lt;=10000,"5001_10000"))</f>
        <v>Top_500</v>
      </c>
      <c r="F33">
        <v>13241</v>
      </c>
      <c r="G33">
        <v>164</v>
      </c>
      <c r="H33" s="13">
        <v>46051</v>
      </c>
      <c r="I33" s="8" t="str">
        <f t="shared" si="1"/>
        <v>Aleksandr_rich|Assault</v>
      </c>
    </row>
    <row r="34" spans="1:9" x14ac:dyDescent="0.25">
      <c r="A34" t="s">
        <v>261</v>
      </c>
      <c r="B34" t="s">
        <v>19</v>
      </c>
      <c r="C34">
        <f t="shared" si="0"/>
        <v>33</v>
      </c>
      <c r="D34" cm="1">
        <f t="array" ref="D34">_xlfn.IFS(C34&lt;=50,7+10*(C34-1),C34&lt;=110,507+25*(C34-51),C34&lt;=170,2007+50*(C34-111),C34&lt;=250,5007+50*(C34-171))</f>
        <v>327</v>
      </c>
      <c r="E34" t="str" cm="1">
        <f t="array" ref="E34">IF(D34="","",_xlfn.IFS(D34&lt;=500,"Top_500",D34&lt;=2000,"501_2000",D34&lt;=5000,"2001_5000",D34&lt;=10000,"5001_10000"))</f>
        <v>Top_500</v>
      </c>
      <c r="F34">
        <v>11722</v>
      </c>
      <c r="G34">
        <v>142</v>
      </c>
      <c r="H34" s="13">
        <v>46051</v>
      </c>
      <c r="I34" s="8" t="str">
        <f t="shared" si="1"/>
        <v>Lukas Nguyen|Assault</v>
      </c>
    </row>
    <row r="35" spans="1:9" x14ac:dyDescent="0.25">
      <c r="A35" t="s">
        <v>262</v>
      </c>
      <c r="B35" t="s">
        <v>19</v>
      </c>
      <c r="C35">
        <f t="shared" si="0"/>
        <v>34</v>
      </c>
      <c r="D35" cm="1">
        <f t="array" ref="D35">_xlfn.IFS(C35&lt;=50,7+10*(C35-1),C35&lt;=110,507+25*(C35-51),C35&lt;=170,2007+50*(C35-111),C35&lt;=250,5007+50*(C35-171))</f>
        <v>337</v>
      </c>
      <c r="E35" t="str" cm="1">
        <f t="array" ref="E35">IF(D35="","",_xlfn.IFS(D35&lt;=500,"Top_500",D35&lt;=2000,"501_2000",D35&lt;=5000,"2001_5000",D35&lt;=10000,"5001_10000"))</f>
        <v>Top_500</v>
      </c>
      <c r="F35">
        <v>11646</v>
      </c>
      <c r="G35">
        <v>158</v>
      </c>
      <c r="H35" s="13">
        <v>46051</v>
      </c>
      <c r="I35" s="8" t="str">
        <f t="shared" si="1"/>
        <v>BoaConstrictor42|Assault</v>
      </c>
    </row>
    <row r="36" spans="1:9" x14ac:dyDescent="0.25">
      <c r="A36" s="90" t="s">
        <v>263</v>
      </c>
      <c r="B36" t="s">
        <v>19</v>
      </c>
      <c r="C36">
        <f t="shared" si="0"/>
        <v>35</v>
      </c>
      <c r="D36" cm="1">
        <f t="array" ref="D36">_xlfn.IFS(C36&lt;=50,7+10*(C36-1),C36&lt;=110,507+25*(C36-51),C36&lt;=170,2007+50*(C36-111),C36&lt;=250,5007+50*(C36-171))</f>
        <v>347</v>
      </c>
      <c r="E36" t="str" cm="1">
        <f t="array" ref="E36">IF(D36="","",_xlfn.IFS(D36&lt;=500,"Top_500",D36&lt;=2000,"501_2000",D36&lt;=5000,"2001_5000",D36&lt;=10000,"5001_10000"))</f>
        <v>Top_500</v>
      </c>
      <c r="F36">
        <v>11918</v>
      </c>
      <c r="G36">
        <v>160</v>
      </c>
      <c r="H36" s="13">
        <v>46051</v>
      </c>
      <c r="I36" s="8" t="str">
        <f t="shared" si="1"/>
        <v>-Duke-|Assault</v>
      </c>
    </row>
    <row r="37" spans="1:9" x14ac:dyDescent="0.25">
      <c r="A37" t="s">
        <v>264</v>
      </c>
      <c r="B37" t="s">
        <v>19</v>
      </c>
      <c r="C37">
        <f t="shared" si="0"/>
        <v>36</v>
      </c>
      <c r="D37" cm="1">
        <f t="array" ref="D37">_xlfn.IFS(C37&lt;=50,7+10*(C37-1),C37&lt;=110,507+25*(C37-51),C37&lt;=170,2007+50*(C37-111),C37&lt;=250,5007+50*(C37-171))</f>
        <v>357</v>
      </c>
      <c r="E37" t="str" cm="1">
        <f t="array" ref="E37">IF(D37="","",_xlfn.IFS(D37&lt;=500,"Top_500",D37&lt;=2000,"501_2000",D37&lt;=5000,"2001_5000",D37&lt;=10000,"5001_10000"))</f>
        <v>Top_500</v>
      </c>
      <c r="F37">
        <v>11475</v>
      </c>
      <c r="G37">
        <v>195</v>
      </c>
      <c r="H37" s="13">
        <v>46051</v>
      </c>
      <c r="I37" s="8" t="str">
        <f t="shared" si="1"/>
        <v>L1nniker|Assault</v>
      </c>
    </row>
    <row r="38" spans="1:9" x14ac:dyDescent="0.25">
      <c r="A38" t="s">
        <v>265</v>
      </c>
      <c r="B38" t="s">
        <v>19</v>
      </c>
      <c r="C38">
        <f t="shared" si="0"/>
        <v>37</v>
      </c>
      <c r="D38" cm="1">
        <f t="array" ref="D38">_xlfn.IFS(C38&lt;=50,7+10*(C38-1),C38&lt;=110,507+25*(C38-51),C38&lt;=170,2007+50*(C38-111),C38&lt;=250,5007+50*(C38-171))</f>
        <v>367</v>
      </c>
      <c r="E38" t="str" cm="1">
        <f t="array" ref="E38">IF(D38="","",_xlfn.IFS(D38&lt;=500,"Top_500",D38&lt;=2000,"501_2000",D38&lt;=5000,"2001_5000",D38&lt;=10000,"5001_10000"))</f>
        <v>Top_500</v>
      </c>
      <c r="F38">
        <v>12705</v>
      </c>
      <c r="G38">
        <v>166</v>
      </c>
      <c r="H38" s="13">
        <v>46051</v>
      </c>
      <c r="I38" s="8" t="str">
        <f t="shared" si="1"/>
        <v>besthua|Assault</v>
      </c>
    </row>
    <row r="39" spans="1:9" x14ac:dyDescent="0.25">
      <c r="A39" t="s">
        <v>266</v>
      </c>
      <c r="B39" t="s">
        <v>19</v>
      </c>
      <c r="C39">
        <f t="shared" si="0"/>
        <v>38</v>
      </c>
      <c r="D39" cm="1">
        <f t="array" ref="D39">_xlfn.IFS(C39&lt;=50,7+10*(C39-1),C39&lt;=110,507+25*(C39-51),C39&lt;=170,2007+50*(C39-111),C39&lt;=250,5007+50*(C39-171))</f>
        <v>377</v>
      </c>
      <c r="E39" t="str" cm="1">
        <f t="array" ref="E39">IF(D39="","",_xlfn.IFS(D39&lt;=500,"Top_500",D39&lt;=2000,"501_2000",D39&lt;=5000,"2001_5000",D39&lt;=10000,"5001_10000"))</f>
        <v>Top_500</v>
      </c>
      <c r="F39">
        <v>11186</v>
      </c>
      <c r="G39">
        <v>209</v>
      </c>
      <c r="H39" s="13">
        <v>46051</v>
      </c>
      <c r="I39" s="8" t="str">
        <f t="shared" si="1"/>
        <v>Teebeutel_D3luXE|Assault</v>
      </c>
    </row>
    <row r="40" spans="1:9" x14ac:dyDescent="0.25">
      <c r="A40" t="s">
        <v>267</v>
      </c>
      <c r="B40" t="s">
        <v>19</v>
      </c>
      <c r="C40">
        <f t="shared" si="0"/>
        <v>39</v>
      </c>
      <c r="D40" cm="1">
        <f t="array" ref="D40">_xlfn.IFS(C40&lt;=50,7+10*(C40-1),C40&lt;=110,507+25*(C40-51),C40&lt;=170,2007+50*(C40-111),C40&lt;=250,5007+50*(C40-171))</f>
        <v>387</v>
      </c>
      <c r="E40" t="str" cm="1">
        <f t="array" ref="E40">IF(D40="","",_xlfn.IFS(D40&lt;=500,"Top_500",D40&lt;=2000,"501_2000",D40&lt;=5000,"2001_5000",D40&lt;=10000,"5001_10000"))</f>
        <v>Top_500</v>
      </c>
      <c r="F40">
        <v>11447</v>
      </c>
      <c r="G40">
        <v>130</v>
      </c>
      <c r="H40" s="13">
        <v>46051</v>
      </c>
      <c r="I40" s="8" t="str">
        <f t="shared" si="1"/>
        <v>pittasmama|Assault</v>
      </c>
    </row>
    <row r="41" spans="1:9" x14ac:dyDescent="0.25">
      <c r="A41" t="s">
        <v>268</v>
      </c>
      <c r="B41" t="s">
        <v>19</v>
      </c>
      <c r="C41">
        <f t="shared" si="0"/>
        <v>40</v>
      </c>
      <c r="D41" cm="1">
        <f t="array" ref="D41">_xlfn.IFS(C41&lt;=50,7+10*(C41-1),C41&lt;=110,507+25*(C41-51),C41&lt;=170,2007+50*(C41-111),C41&lt;=250,5007+50*(C41-171))</f>
        <v>397</v>
      </c>
      <c r="E41" t="str" cm="1">
        <f t="array" ref="E41">IF(D41="","",_xlfn.IFS(D41&lt;=500,"Top_500",D41&lt;=2000,"501_2000",D41&lt;=5000,"2001_5000",D41&lt;=10000,"5001_10000"))</f>
        <v>Top_500</v>
      </c>
      <c r="F41">
        <v>11021</v>
      </c>
      <c r="G41">
        <v>123</v>
      </c>
      <c r="H41" s="13">
        <v>46051</v>
      </c>
      <c r="I41" s="8" t="str">
        <f t="shared" si="1"/>
        <v>Schulz_9393|Assault</v>
      </c>
    </row>
    <row r="42" spans="1:9" x14ac:dyDescent="0.25">
      <c r="A42" t="s">
        <v>269</v>
      </c>
      <c r="B42" t="s">
        <v>19</v>
      </c>
      <c r="C42">
        <f t="shared" si="0"/>
        <v>41</v>
      </c>
      <c r="D42" cm="1">
        <f t="array" ref="D42">_xlfn.IFS(C42&lt;=50,7+10*(C42-1),C42&lt;=110,507+25*(C42-51),C42&lt;=170,2007+50*(C42-111),C42&lt;=250,5007+50*(C42-171))</f>
        <v>407</v>
      </c>
      <c r="E42" t="str" cm="1">
        <f t="array" ref="E42">IF(D42="","",_xlfn.IFS(D42&lt;=500,"Top_500",D42&lt;=2000,"501_2000",D42&lt;=5000,"2001_5000",D42&lt;=10000,"5001_10000"))</f>
        <v>Top_500</v>
      </c>
      <c r="F42">
        <v>11011</v>
      </c>
      <c r="G42">
        <v>186</v>
      </c>
      <c r="H42" s="13">
        <v>46051</v>
      </c>
      <c r="I42" s="8" t="str">
        <f t="shared" si="1"/>
        <v>Bail|Assault</v>
      </c>
    </row>
    <row r="43" spans="1:9" x14ac:dyDescent="0.25">
      <c r="A43" t="s">
        <v>270</v>
      </c>
      <c r="B43" t="s">
        <v>19</v>
      </c>
      <c r="C43">
        <f t="shared" si="0"/>
        <v>42</v>
      </c>
      <c r="D43" cm="1">
        <f t="array" ref="D43">_xlfn.IFS(C43&lt;=50,7+10*(C43-1),C43&lt;=110,507+25*(C43-51),C43&lt;=170,2007+50*(C43-111),C43&lt;=250,5007+50*(C43-171))</f>
        <v>417</v>
      </c>
      <c r="E43" t="str" cm="1">
        <f t="array" ref="E43">IF(D43="","",_xlfn.IFS(D43&lt;=500,"Top_500",D43&lt;=2000,"501_2000",D43&lt;=5000,"2001_5000",D43&lt;=10000,"5001_10000"))</f>
        <v>Top_500</v>
      </c>
      <c r="F43">
        <v>10956</v>
      </c>
      <c r="G43">
        <v>174</v>
      </c>
      <c r="H43" s="13">
        <v>46051</v>
      </c>
      <c r="I43" s="8" t="str">
        <f t="shared" si="1"/>
        <v>BrewCitySiggy|Assault</v>
      </c>
    </row>
    <row r="44" spans="1:9" x14ac:dyDescent="0.25">
      <c r="A44" t="s">
        <v>271</v>
      </c>
      <c r="B44" t="s">
        <v>19</v>
      </c>
      <c r="C44">
        <f t="shared" si="0"/>
        <v>43</v>
      </c>
      <c r="D44" cm="1">
        <f t="array" ref="D44">_xlfn.IFS(C44&lt;=50,7+10*(C44-1),C44&lt;=110,507+25*(C44-51),C44&lt;=170,2007+50*(C44-111),C44&lt;=250,5007+50*(C44-171))</f>
        <v>427</v>
      </c>
      <c r="E44" t="str" cm="1">
        <f t="array" ref="E44">IF(D44="","",_xlfn.IFS(D44&lt;=500,"Top_500",D44&lt;=2000,"501_2000",D44&lt;=5000,"2001_5000",D44&lt;=10000,"5001_10000"))</f>
        <v>Top_500</v>
      </c>
      <c r="F44">
        <v>10747</v>
      </c>
      <c r="G44">
        <v>149</v>
      </c>
      <c r="H44" s="13">
        <v>46051</v>
      </c>
      <c r="I44" s="8" t="str">
        <f t="shared" si="1"/>
        <v>B站风雨连尘|Assault</v>
      </c>
    </row>
    <row r="45" spans="1:9" x14ac:dyDescent="0.25">
      <c r="A45" t="s">
        <v>272</v>
      </c>
      <c r="B45" t="s">
        <v>19</v>
      </c>
      <c r="C45">
        <f t="shared" si="0"/>
        <v>44</v>
      </c>
      <c r="D45" cm="1">
        <f t="array" ref="D45">_xlfn.IFS(C45&lt;=50,7+10*(C45-1),C45&lt;=110,507+25*(C45-51),C45&lt;=170,2007+50*(C45-111),C45&lt;=250,5007+50*(C45-171))</f>
        <v>437</v>
      </c>
      <c r="E45" t="str" cm="1">
        <f t="array" ref="E45">IF(D45="","",_xlfn.IFS(D45&lt;=500,"Top_500",D45&lt;=2000,"501_2000",D45&lt;=5000,"2001_5000",D45&lt;=10000,"5001_10000"))</f>
        <v>Top_500</v>
      </c>
      <c r="F45">
        <v>13292</v>
      </c>
      <c r="G45">
        <v>133</v>
      </c>
      <c r="H45" s="13">
        <v>46051</v>
      </c>
      <c r="I45" s="8" t="str">
        <f t="shared" si="1"/>
        <v>AlchemistMac|Assault</v>
      </c>
    </row>
    <row r="46" spans="1:9" x14ac:dyDescent="0.25">
      <c r="A46" t="s">
        <v>273</v>
      </c>
      <c r="B46" t="s">
        <v>19</v>
      </c>
      <c r="C46">
        <f t="shared" si="0"/>
        <v>45</v>
      </c>
      <c r="D46" cm="1">
        <f t="array" ref="D46">_xlfn.IFS(C46&lt;=50,7+10*(C46-1),C46&lt;=110,507+25*(C46-51),C46&lt;=170,2007+50*(C46-111),C46&lt;=250,5007+50*(C46-171))</f>
        <v>447</v>
      </c>
      <c r="E46" t="str" cm="1">
        <f t="array" ref="E46">IF(D46="","",_xlfn.IFS(D46&lt;=500,"Top_500",D46&lt;=2000,"501_2000",D46&lt;=5000,"2001_5000",D46&lt;=10000,"5001_10000"))</f>
        <v>Top_500</v>
      </c>
      <c r="F46">
        <v>13887</v>
      </c>
      <c r="G46">
        <v>125</v>
      </c>
      <c r="H46" s="13">
        <v>46051</v>
      </c>
      <c r="I46" s="8" t="str">
        <f t="shared" si="1"/>
        <v>ManChild174790|Assault</v>
      </c>
    </row>
    <row r="47" spans="1:9" x14ac:dyDescent="0.25">
      <c r="A47" t="s">
        <v>274</v>
      </c>
      <c r="B47" t="s">
        <v>19</v>
      </c>
      <c r="C47">
        <f t="shared" si="0"/>
        <v>46</v>
      </c>
      <c r="D47" cm="1">
        <f t="array" ref="D47">_xlfn.IFS(C47&lt;=50,7+10*(C47-1),C47&lt;=110,507+25*(C47-51),C47&lt;=170,2007+50*(C47-111),C47&lt;=250,5007+50*(C47-171))</f>
        <v>457</v>
      </c>
      <c r="E47" t="str" cm="1">
        <f t="array" ref="E47">IF(D47="","",_xlfn.IFS(D47&lt;=500,"Top_500",D47&lt;=2000,"501_2000",D47&lt;=5000,"2001_5000",D47&lt;=10000,"5001_10000"))</f>
        <v>Top_500</v>
      </c>
      <c r="F47">
        <v>10558</v>
      </c>
      <c r="G47">
        <v>304</v>
      </c>
      <c r="H47" s="13">
        <v>46051</v>
      </c>
      <c r="I47" s="8" t="str">
        <f t="shared" si="1"/>
        <v>BlulessBlueberry|Assault</v>
      </c>
    </row>
    <row r="48" spans="1:9" x14ac:dyDescent="0.25">
      <c r="A48" t="s">
        <v>275</v>
      </c>
      <c r="B48" t="s">
        <v>19</v>
      </c>
      <c r="C48">
        <f t="shared" si="0"/>
        <v>47</v>
      </c>
      <c r="D48" cm="1">
        <f t="array" ref="D48">_xlfn.IFS(C48&lt;=50,7+10*(C48-1),C48&lt;=110,507+25*(C48-51),C48&lt;=170,2007+50*(C48-111),C48&lt;=250,5007+50*(C48-171))</f>
        <v>467</v>
      </c>
      <c r="E48" t="str" cm="1">
        <f t="array" ref="E48">IF(D48="","",_xlfn.IFS(D48&lt;=500,"Top_500",D48&lt;=2000,"501_2000",D48&lt;=5000,"2001_5000",D48&lt;=10000,"5001_10000"))</f>
        <v>Top_500</v>
      </c>
      <c r="F48">
        <v>10551</v>
      </c>
      <c r="G48">
        <v>192</v>
      </c>
      <c r="H48" s="13">
        <v>46051</v>
      </c>
      <c r="I48" s="8" t="str">
        <f t="shared" si="1"/>
        <v>Parashade|Assault</v>
      </c>
    </row>
    <row r="49" spans="1:9" x14ac:dyDescent="0.25">
      <c r="A49" t="s">
        <v>276</v>
      </c>
      <c r="B49" t="s">
        <v>19</v>
      </c>
      <c r="C49">
        <f t="shared" si="0"/>
        <v>48</v>
      </c>
      <c r="D49" cm="1">
        <f t="array" ref="D49">_xlfn.IFS(C49&lt;=50,7+10*(C49-1),C49&lt;=110,507+25*(C49-51),C49&lt;=170,2007+50*(C49-111),C49&lt;=250,5007+50*(C49-171))</f>
        <v>477</v>
      </c>
      <c r="E49" t="str" cm="1">
        <f t="array" ref="E49">IF(D49="","",_xlfn.IFS(D49&lt;=500,"Top_500",D49&lt;=2000,"501_2000",D49&lt;=5000,"2001_5000",D49&lt;=10000,"5001_10000"))</f>
        <v>Top_500</v>
      </c>
      <c r="F49">
        <v>10864</v>
      </c>
      <c r="G49">
        <v>150</v>
      </c>
      <c r="H49" s="13">
        <v>46051</v>
      </c>
      <c r="I49" s="8" t="str">
        <f t="shared" si="1"/>
        <v>KingEpyon1|Assault</v>
      </c>
    </row>
    <row r="50" spans="1:9" x14ac:dyDescent="0.25">
      <c r="A50" t="s">
        <v>277</v>
      </c>
      <c r="B50" t="s">
        <v>19</v>
      </c>
      <c r="C50">
        <f t="shared" si="0"/>
        <v>49</v>
      </c>
      <c r="D50" cm="1">
        <f t="array" ref="D50">_xlfn.IFS(C50&lt;=50,7+10*(C50-1),C50&lt;=110,507+25*(C50-51),C50&lt;=170,2007+50*(C50-111),C50&lt;=250,5007+50*(C50-171))</f>
        <v>487</v>
      </c>
      <c r="E50" t="str" cm="1">
        <f t="array" ref="E50">IF(D50="","",_xlfn.IFS(D50&lt;=500,"Top_500",D50&lt;=2000,"501_2000",D50&lt;=5000,"2001_5000",D50&lt;=10000,"5001_10000"))</f>
        <v>Top_500</v>
      </c>
      <c r="F50">
        <v>10383</v>
      </c>
      <c r="G50">
        <v>144</v>
      </c>
      <c r="H50" s="13">
        <v>46051</v>
      </c>
      <c r="I50" s="8" t="str">
        <f t="shared" si="1"/>
        <v>EMA.Losec|Assault</v>
      </c>
    </row>
    <row r="51" spans="1:9" x14ac:dyDescent="0.25">
      <c r="A51" t="s">
        <v>278</v>
      </c>
      <c r="B51" t="s">
        <v>19</v>
      </c>
      <c r="C51">
        <f t="shared" si="0"/>
        <v>50</v>
      </c>
      <c r="D51" cm="1">
        <f t="array" ref="D51">_xlfn.IFS(C51&lt;=50,7+10*(C51-1),C51&lt;=110,507+25*(C51-51),C51&lt;=170,2007+50*(C51-111),C51&lt;=250,5007+50*(C51-171))</f>
        <v>497</v>
      </c>
      <c r="E51" t="str" cm="1">
        <f t="array" ref="E51">IF(D51="","",_xlfn.IFS(D51&lt;=500,"Top_500",D51&lt;=2000,"501_2000",D51&lt;=5000,"2001_5000",D51&lt;=10000,"5001_10000"))</f>
        <v>Top_500</v>
      </c>
      <c r="F51">
        <v>10314</v>
      </c>
      <c r="G51">
        <v>163</v>
      </c>
      <c r="H51" s="13">
        <v>46051</v>
      </c>
      <c r="I51" s="8" t="str">
        <f t="shared" si="1"/>
        <v>NoEsc4pe|Assault</v>
      </c>
    </row>
    <row r="52" spans="1:9" x14ac:dyDescent="0.25">
      <c r="A52" t="s">
        <v>279</v>
      </c>
      <c r="B52" t="s">
        <v>19</v>
      </c>
      <c r="C52">
        <f t="shared" si="0"/>
        <v>51</v>
      </c>
      <c r="D52" cm="1">
        <f t="array" ref="D52">_xlfn.IFS(C52&lt;=50,7+10*(C52-1),C52&lt;=110,507+25*(C52-51),C52&lt;=170,2007+50*(C52-111),C52&lt;=250,5007+50*(C52-171))</f>
        <v>507</v>
      </c>
      <c r="E52" t="str" cm="1">
        <f t="array" ref="E52">IF(D52="","",_xlfn.IFS(D52&lt;=500,"Top_500",D52&lt;=2000,"501_2000",D52&lt;=5000,"2001_5000",D52&lt;=10000,"5001_10000"))</f>
        <v>501_2000</v>
      </c>
      <c r="F52">
        <v>10513</v>
      </c>
      <c r="G52">
        <v>127</v>
      </c>
      <c r="H52" s="13">
        <v>46051</v>
      </c>
      <c r="I52" s="8" t="str">
        <f t="shared" si="1"/>
        <v>Tonylovakmer|Assault</v>
      </c>
    </row>
    <row r="53" spans="1:9" x14ac:dyDescent="0.25">
      <c r="A53" t="s">
        <v>280</v>
      </c>
      <c r="B53" t="s">
        <v>19</v>
      </c>
      <c r="C53">
        <f t="shared" si="0"/>
        <v>52</v>
      </c>
      <c r="D53" cm="1">
        <f t="array" ref="D53">_xlfn.IFS(C53&lt;=50,7+10*(C53-1),C53&lt;=110,507+25*(C53-51),C53&lt;=170,2007+50*(C53-111),C53&lt;=250,5007+50*(C53-171))</f>
        <v>532</v>
      </c>
      <c r="E53" t="str" cm="1">
        <f t="array" ref="E53">IF(D53="","",_xlfn.IFS(D53&lt;=500,"Top_500",D53&lt;=2000,"501_2000",D53&lt;=5000,"2001_5000",D53&lt;=10000,"5001_10000"))</f>
        <v>501_2000</v>
      </c>
      <c r="F53">
        <v>10106</v>
      </c>
      <c r="G53">
        <v>74</v>
      </c>
      <c r="H53" s="13">
        <v>46051</v>
      </c>
      <c r="I53" s="8" t="str">
        <f t="shared" si="1"/>
        <v>2Scrap|Assault</v>
      </c>
    </row>
    <row r="54" spans="1:9" x14ac:dyDescent="0.25">
      <c r="A54" t="s">
        <v>281</v>
      </c>
      <c r="B54" t="s">
        <v>19</v>
      </c>
      <c r="C54">
        <f t="shared" si="0"/>
        <v>53</v>
      </c>
      <c r="D54" cm="1">
        <f t="array" ref="D54">_xlfn.IFS(C54&lt;=50,7+10*(C54-1),C54&lt;=110,507+25*(C54-51),C54&lt;=170,2007+50*(C54-111),C54&lt;=250,5007+50*(C54-171))</f>
        <v>557</v>
      </c>
      <c r="E54" t="str" cm="1">
        <f t="array" ref="E54">IF(D54="","",_xlfn.IFS(D54&lt;=500,"Top_500",D54&lt;=2000,"501_2000",D54&lt;=5000,"2001_5000",D54&lt;=10000,"5001_10000"))</f>
        <v>501_2000</v>
      </c>
      <c r="F54">
        <v>10292</v>
      </c>
      <c r="G54">
        <v>163</v>
      </c>
      <c r="H54" s="13">
        <v>46051</v>
      </c>
      <c r="I54" s="8" t="str">
        <f t="shared" si="1"/>
        <v>Jason275|Assault</v>
      </c>
    </row>
    <row r="55" spans="1:9" x14ac:dyDescent="0.25">
      <c r="A55" t="s">
        <v>282</v>
      </c>
      <c r="B55" t="s">
        <v>19</v>
      </c>
      <c r="C55">
        <f t="shared" si="0"/>
        <v>54</v>
      </c>
      <c r="D55" cm="1">
        <f t="array" ref="D55">_xlfn.IFS(C55&lt;=50,7+10*(C55-1),C55&lt;=110,507+25*(C55-51),C55&lt;=170,2007+50*(C55-111),C55&lt;=250,5007+50*(C55-171))</f>
        <v>582</v>
      </c>
      <c r="E55" t="str" cm="1">
        <f t="array" ref="E55">IF(D55="","",_xlfn.IFS(D55&lt;=500,"Top_500",D55&lt;=2000,"501_2000",D55&lt;=5000,"2001_5000",D55&lt;=10000,"5001_10000"))</f>
        <v>501_2000</v>
      </c>
      <c r="F55">
        <v>9932</v>
      </c>
      <c r="G55">
        <v>186</v>
      </c>
      <c r="H55" s="13">
        <v>46051</v>
      </c>
      <c r="I55" s="8" t="str">
        <f t="shared" si="1"/>
        <v>MA5TER_D|Assault</v>
      </c>
    </row>
    <row r="56" spans="1:9" x14ac:dyDescent="0.25">
      <c r="A56" t="s">
        <v>284</v>
      </c>
      <c r="B56" t="s">
        <v>19</v>
      </c>
      <c r="C56">
        <f t="shared" si="0"/>
        <v>55</v>
      </c>
      <c r="D56" cm="1">
        <f t="array" ref="D56">_xlfn.IFS(C56&lt;=50,7+10*(C56-1),C56&lt;=110,507+25*(C56-51),C56&lt;=170,2007+50*(C56-111),C56&lt;=250,5007+50*(C56-171))</f>
        <v>607</v>
      </c>
      <c r="E56" t="str" cm="1">
        <f t="array" ref="E56">IF(D56="","",_xlfn.IFS(D56&lt;=500,"Top_500",D56&lt;=2000,"501_2000",D56&lt;=5000,"2001_5000",D56&lt;=10000,"5001_10000"))</f>
        <v>501_2000</v>
      </c>
      <c r="F56">
        <v>9734</v>
      </c>
      <c r="G56">
        <v>109</v>
      </c>
      <c r="H56" s="13">
        <v>46051</v>
      </c>
      <c r="I56" s="8" t="str">
        <f t="shared" si="1"/>
        <v>SynCole|Assault</v>
      </c>
    </row>
    <row r="57" spans="1:9" x14ac:dyDescent="0.25">
      <c r="A57" t="s">
        <v>285</v>
      </c>
      <c r="B57" t="s">
        <v>19</v>
      </c>
      <c r="C57">
        <f t="shared" si="0"/>
        <v>56</v>
      </c>
      <c r="D57" cm="1">
        <f t="array" ref="D57">_xlfn.IFS(C57&lt;=50,7+10*(C57-1),C57&lt;=110,507+25*(C57-51),C57&lt;=170,2007+50*(C57-111),C57&lt;=250,5007+50*(C57-171))</f>
        <v>632</v>
      </c>
      <c r="E57" t="str" cm="1">
        <f t="array" ref="E57">IF(D57="","",_xlfn.IFS(D57&lt;=500,"Top_500",D57&lt;=2000,"501_2000",D57&lt;=5000,"2001_5000",D57&lt;=10000,"5001_10000"))</f>
        <v>501_2000</v>
      </c>
      <c r="F57">
        <v>9748</v>
      </c>
      <c r="G57">
        <v>112</v>
      </c>
      <c r="H57" s="13">
        <v>46051</v>
      </c>
      <c r="I57" s="8" t="str">
        <f t="shared" si="1"/>
        <v>Arzabv|Assault</v>
      </c>
    </row>
    <row r="58" spans="1:9" x14ac:dyDescent="0.25">
      <c r="A58" t="s">
        <v>292</v>
      </c>
      <c r="B58" t="s">
        <v>19</v>
      </c>
      <c r="C58">
        <f t="shared" si="0"/>
        <v>57</v>
      </c>
      <c r="D58" cm="1">
        <f t="array" ref="D58">_xlfn.IFS(C58&lt;=50,7+10*(C58-1),C58&lt;=110,507+25*(C58-51),C58&lt;=170,2007+50*(C58-111),C58&lt;=250,5007+50*(C58-171))</f>
        <v>657</v>
      </c>
      <c r="E58" t="str" cm="1">
        <f t="array" ref="E58">IF(D58="","",_xlfn.IFS(D58&lt;=500,"Top_500",D58&lt;=2000,"501_2000",D58&lt;=5000,"2001_5000",D58&lt;=10000,"5001_10000"))</f>
        <v>501_2000</v>
      </c>
      <c r="F58">
        <v>9998</v>
      </c>
      <c r="G58">
        <v>193</v>
      </c>
      <c r="H58" s="13">
        <v>46051</v>
      </c>
      <c r="I58" s="8" t="str">
        <f t="shared" si="1"/>
        <v>CrazyHorsse13|Assault</v>
      </c>
    </row>
    <row r="59" spans="1:9" x14ac:dyDescent="0.25">
      <c r="A59" t="s">
        <v>286</v>
      </c>
      <c r="B59" t="s">
        <v>19</v>
      </c>
      <c r="C59">
        <f t="shared" si="0"/>
        <v>58</v>
      </c>
      <c r="D59" cm="1">
        <f t="array" ref="D59">_xlfn.IFS(C59&lt;=50,7+10*(C59-1),C59&lt;=110,507+25*(C59-51),C59&lt;=170,2007+50*(C59-111),C59&lt;=250,5007+50*(C59-171))</f>
        <v>682</v>
      </c>
      <c r="E59" t="str" cm="1">
        <f t="array" ref="E59">IF(D59="","",_xlfn.IFS(D59&lt;=500,"Top_500",D59&lt;=2000,"501_2000",D59&lt;=5000,"2001_5000",D59&lt;=10000,"5001_10000"))</f>
        <v>501_2000</v>
      </c>
      <c r="F59">
        <v>12622</v>
      </c>
      <c r="G59">
        <v>157</v>
      </c>
      <c r="H59" s="13">
        <v>46051</v>
      </c>
      <c r="I59" s="8" t="str">
        <f t="shared" si="1"/>
        <v>Night Fusion|Assault</v>
      </c>
    </row>
    <row r="60" spans="1:9" x14ac:dyDescent="0.25">
      <c r="A60" t="s">
        <v>287</v>
      </c>
      <c r="B60" t="s">
        <v>19</v>
      </c>
      <c r="C60">
        <f t="shared" si="0"/>
        <v>59</v>
      </c>
      <c r="D60" cm="1">
        <f t="array" ref="D60">_xlfn.IFS(C60&lt;=50,7+10*(C60-1),C60&lt;=110,507+25*(C60-51),C60&lt;=170,2007+50*(C60-111),C60&lt;=250,5007+50*(C60-171))</f>
        <v>707</v>
      </c>
      <c r="E60" t="str" cm="1">
        <f t="array" ref="E60">IF(D60="","",_xlfn.IFS(D60&lt;=500,"Top_500",D60&lt;=2000,"501_2000",D60&lt;=5000,"2001_5000",D60&lt;=10000,"5001_10000"))</f>
        <v>501_2000</v>
      </c>
      <c r="F60">
        <v>9301</v>
      </c>
      <c r="G60">
        <v>164</v>
      </c>
      <c r="H60" s="13">
        <v>46051</v>
      </c>
      <c r="I60" s="8" t="str">
        <f t="shared" si="1"/>
        <v>Captain Dell|Assault</v>
      </c>
    </row>
    <row r="61" spans="1:9" x14ac:dyDescent="0.25">
      <c r="A61" t="s">
        <v>288</v>
      </c>
      <c r="B61" t="s">
        <v>19</v>
      </c>
      <c r="C61">
        <f t="shared" si="0"/>
        <v>60</v>
      </c>
      <c r="D61" cm="1">
        <f t="array" ref="D61">_xlfn.IFS(C61&lt;=50,7+10*(C61-1),C61&lt;=110,507+25*(C61-51),C61&lt;=170,2007+50*(C61-111),C61&lt;=250,5007+50*(C61-171))</f>
        <v>732</v>
      </c>
      <c r="E61" t="str" cm="1">
        <f t="array" ref="E61">IF(D61="","",_xlfn.IFS(D61&lt;=500,"Top_500",D61&lt;=2000,"501_2000",D61&lt;=5000,"2001_5000",D61&lt;=10000,"5001_10000"))</f>
        <v>501_2000</v>
      </c>
      <c r="F61">
        <v>9228</v>
      </c>
      <c r="G61">
        <v>185</v>
      </c>
      <c r="H61" s="13">
        <v>46051</v>
      </c>
      <c r="I61" s="8" t="str">
        <f t="shared" si="1"/>
        <v>An Army of Kiel|Assault</v>
      </c>
    </row>
    <row r="62" spans="1:9" x14ac:dyDescent="0.25">
      <c r="A62" t="s">
        <v>289</v>
      </c>
      <c r="B62" t="s">
        <v>19</v>
      </c>
      <c r="C62">
        <f t="shared" si="0"/>
        <v>61</v>
      </c>
      <c r="D62" cm="1">
        <f t="array" ref="D62">_xlfn.IFS(C62&lt;=50,7+10*(C62-1),C62&lt;=110,507+25*(C62-51),C62&lt;=170,2007+50*(C62-111),C62&lt;=250,5007+50*(C62-171))</f>
        <v>757</v>
      </c>
      <c r="E62" t="str" cm="1">
        <f t="array" ref="E62">IF(D62="","",_xlfn.IFS(D62&lt;=500,"Top_500",D62&lt;=2000,"501_2000",D62&lt;=5000,"2001_5000",D62&lt;=10000,"5001_10000"))</f>
        <v>501_2000</v>
      </c>
      <c r="F62">
        <v>10259</v>
      </c>
      <c r="G62">
        <v>214</v>
      </c>
      <c r="H62" s="13">
        <v>46051</v>
      </c>
      <c r="I62" s="8" t="str">
        <f t="shared" si="1"/>
        <v>rOve_DeCOy|Assault</v>
      </c>
    </row>
    <row r="63" spans="1:9" x14ac:dyDescent="0.25">
      <c r="A63" t="s">
        <v>290</v>
      </c>
      <c r="B63" t="s">
        <v>19</v>
      </c>
      <c r="C63">
        <f t="shared" si="0"/>
        <v>62</v>
      </c>
      <c r="D63" cm="1">
        <f t="array" ref="D63">_xlfn.IFS(C63&lt;=50,7+10*(C63-1),C63&lt;=110,507+25*(C63-51),C63&lt;=170,2007+50*(C63-111),C63&lt;=250,5007+50*(C63-171))</f>
        <v>782</v>
      </c>
      <c r="E63" t="str" cm="1">
        <f t="array" ref="E63">IF(D63="","",_xlfn.IFS(D63&lt;=500,"Top_500",D63&lt;=2000,"501_2000",D63&lt;=5000,"2001_5000",D63&lt;=10000,"5001_10000"))</f>
        <v>501_2000</v>
      </c>
      <c r="F63">
        <v>9741</v>
      </c>
      <c r="G63">
        <v>198</v>
      </c>
      <c r="H63" s="13">
        <v>46051</v>
      </c>
      <c r="I63" s="8" t="str">
        <f t="shared" si="1"/>
        <v>Romacdc|Assault</v>
      </c>
    </row>
    <row r="64" spans="1:9" x14ac:dyDescent="0.25">
      <c r="A64" t="s">
        <v>291</v>
      </c>
      <c r="B64" t="s">
        <v>19</v>
      </c>
      <c r="C64">
        <f t="shared" si="0"/>
        <v>63</v>
      </c>
      <c r="D64" cm="1">
        <f t="array" ref="D64">_xlfn.IFS(C64&lt;=50,7+10*(C64-1),C64&lt;=110,507+25*(C64-51),C64&lt;=170,2007+50*(C64-111),C64&lt;=250,5007+50*(C64-171))</f>
        <v>807</v>
      </c>
      <c r="E64" t="str" cm="1">
        <f t="array" ref="E64">IF(D64="","",_xlfn.IFS(D64&lt;=500,"Top_500",D64&lt;=2000,"501_2000",D64&lt;=5000,"2001_5000",D64&lt;=10000,"5001_10000"))</f>
        <v>501_2000</v>
      </c>
      <c r="F64">
        <v>10945</v>
      </c>
      <c r="G64">
        <v>221</v>
      </c>
      <c r="H64" s="13">
        <v>46051</v>
      </c>
      <c r="I64" s="8" t="str">
        <f t="shared" si="1"/>
        <v>Vang-262|Assault</v>
      </c>
    </row>
    <row r="65" spans="1:9" x14ac:dyDescent="0.25">
      <c r="A65" t="s">
        <v>283</v>
      </c>
      <c r="B65" t="s">
        <v>19</v>
      </c>
      <c r="C65">
        <f t="shared" si="0"/>
        <v>64</v>
      </c>
      <c r="D65" cm="1">
        <f t="array" ref="D65">_xlfn.IFS(C65&lt;=50,7+10*(C65-1),C65&lt;=110,507+25*(C65-51),C65&lt;=170,2007+50*(C65-111),C65&lt;=250,5007+50*(C65-171))</f>
        <v>832</v>
      </c>
      <c r="E65" t="str" cm="1">
        <f t="array" ref="E65">IF(D65="","",_xlfn.IFS(D65&lt;=500,"Top_500",D65&lt;=2000,"501_2000",D65&lt;=5000,"2001_5000",D65&lt;=10000,"5001_10000"))</f>
        <v>501_2000</v>
      </c>
      <c r="F65">
        <v>9135</v>
      </c>
      <c r="G65">
        <v>150</v>
      </c>
      <c r="H65" s="13">
        <v>46051</v>
      </c>
      <c r="I65" s="8" t="str">
        <f t="shared" si="1"/>
        <v>milet|Assault</v>
      </c>
    </row>
    <row r="66" spans="1:9" x14ac:dyDescent="0.25">
      <c r="A66" t="s">
        <v>293</v>
      </c>
      <c r="B66" t="s">
        <v>19</v>
      </c>
      <c r="C66">
        <f t="shared" ref="C66:C129" si="2">IF(ROW()=2,1,IF(B66&lt;&gt;B65,1,C65+1))</f>
        <v>65</v>
      </c>
      <c r="D66" cm="1">
        <f t="array" ref="D66">_xlfn.IFS(C66&lt;=50,7+10*(C66-1),C66&lt;=110,507+25*(C66-51),C66&lt;=170,2007+50*(C66-111),C66&lt;=250,5007+50*(C66-171))</f>
        <v>857</v>
      </c>
      <c r="E66" t="str" cm="1">
        <f t="array" ref="E66">IF(D66="","",_xlfn.IFS(D66&lt;=500,"Top_500",D66&lt;=2000,"501_2000",D66&lt;=5000,"2001_5000",D66&lt;=10000,"5001_10000"))</f>
        <v>501_2000</v>
      </c>
      <c r="F66">
        <v>8875</v>
      </c>
      <c r="G66">
        <v>112</v>
      </c>
      <c r="H66" s="13">
        <v>46051</v>
      </c>
      <c r="I66" s="8" t="str">
        <f t="shared" si="1"/>
        <v>adriacus11|Assault</v>
      </c>
    </row>
    <row r="67" spans="1:9" x14ac:dyDescent="0.25">
      <c r="A67" t="s">
        <v>294</v>
      </c>
      <c r="B67" t="s">
        <v>19</v>
      </c>
      <c r="C67">
        <f t="shared" si="2"/>
        <v>66</v>
      </c>
      <c r="D67" cm="1">
        <f t="array" ref="D67">_xlfn.IFS(C67&lt;=50,7+10*(C67-1),C67&lt;=110,507+25*(C67-51),C67&lt;=170,2007+50*(C67-111),C67&lt;=250,5007+50*(C67-171))</f>
        <v>882</v>
      </c>
      <c r="E67" t="str" cm="1">
        <f t="array" ref="E67">IF(D67="","",_xlfn.IFS(D67&lt;=500,"Top_500",D67&lt;=2000,"501_2000",D67&lt;=5000,"2001_5000",D67&lt;=10000,"5001_10000"))</f>
        <v>501_2000</v>
      </c>
      <c r="F67">
        <v>13429</v>
      </c>
      <c r="G67">
        <v>185</v>
      </c>
      <c r="H67" s="13">
        <v>46051</v>
      </c>
      <c r="I67" s="8" t="str">
        <f t="shared" ref="I67:I130" si="3">A67 &amp; "|" &amp; B67</f>
        <v>Flipovsy|Assault</v>
      </c>
    </row>
    <row r="68" spans="1:9" x14ac:dyDescent="0.25">
      <c r="A68" t="s">
        <v>295</v>
      </c>
      <c r="B68" t="s">
        <v>19</v>
      </c>
      <c r="C68">
        <f t="shared" si="2"/>
        <v>67</v>
      </c>
      <c r="D68" cm="1">
        <f t="array" ref="D68">_xlfn.IFS(C68&lt;=50,7+10*(C68-1),C68&lt;=110,507+25*(C68-51),C68&lt;=170,2007+50*(C68-111),C68&lt;=250,5007+50*(C68-171))</f>
        <v>907</v>
      </c>
      <c r="E68" t="str" cm="1">
        <f t="array" ref="E68">IF(D68="","",_xlfn.IFS(D68&lt;=500,"Top_500",D68&lt;=2000,"501_2000",D68&lt;=5000,"2001_5000",D68&lt;=10000,"5001_10000"))</f>
        <v>501_2000</v>
      </c>
      <c r="F68">
        <v>8777</v>
      </c>
      <c r="G68">
        <v>131</v>
      </c>
      <c r="H68" s="13">
        <v>46051</v>
      </c>
      <c r="I68" s="8" t="str">
        <f t="shared" si="3"/>
        <v>Ctrl|Assault</v>
      </c>
    </row>
    <row r="69" spans="1:9" x14ac:dyDescent="0.25">
      <c r="A69" t="s">
        <v>296</v>
      </c>
      <c r="B69" t="s">
        <v>19</v>
      </c>
      <c r="C69">
        <f t="shared" si="2"/>
        <v>68</v>
      </c>
      <c r="D69" cm="1">
        <f t="array" ref="D69">_xlfn.IFS(C69&lt;=50,7+10*(C69-1),C69&lt;=110,507+25*(C69-51),C69&lt;=170,2007+50*(C69-111),C69&lt;=250,5007+50*(C69-171))</f>
        <v>932</v>
      </c>
      <c r="E69" t="str" cm="1">
        <f t="array" ref="E69">IF(D69="","",_xlfn.IFS(D69&lt;=500,"Top_500",D69&lt;=2000,"501_2000",D69&lt;=5000,"2001_5000",D69&lt;=10000,"5001_10000"))</f>
        <v>501_2000</v>
      </c>
      <c r="F69">
        <v>9226</v>
      </c>
      <c r="G69">
        <v>94</v>
      </c>
      <c r="H69" s="13">
        <v>46051</v>
      </c>
      <c r="I69" s="8" t="str">
        <f t="shared" si="3"/>
        <v>Krzysiek--777|Assault</v>
      </c>
    </row>
    <row r="70" spans="1:9" x14ac:dyDescent="0.25">
      <c r="A70" t="s">
        <v>297</v>
      </c>
      <c r="B70" t="s">
        <v>19</v>
      </c>
      <c r="C70">
        <f t="shared" si="2"/>
        <v>69</v>
      </c>
      <c r="D70" cm="1">
        <f t="array" ref="D70">_xlfn.IFS(C70&lt;=50,7+10*(C70-1),C70&lt;=110,507+25*(C70-51),C70&lt;=170,2007+50*(C70-111),C70&lt;=250,5007+50*(C70-171))</f>
        <v>957</v>
      </c>
      <c r="E70" t="str" cm="1">
        <f t="array" ref="E70">IF(D70="","",_xlfn.IFS(D70&lt;=500,"Top_500",D70&lt;=2000,"501_2000",D70&lt;=5000,"2001_5000",D70&lt;=10000,"5001_10000"))</f>
        <v>501_2000</v>
      </c>
      <c r="F70">
        <v>8574</v>
      </c>
      <c r="G70">
        <v>178</v>
      </c>
      <c r="H70" s="13">
        <v>46051</v>
      </c>
      <c r="I70" s="8" t="str">
        <f t="shared" si="3"/>
        <v>DzzzNt|Assault</v>
      </c>
    </row>
    <row r="71" spans="1:9" x14ac:dyDescent="0.25">
      <c r="A71" t="s">
        <v>298</v>
      </c>
      <c r="B71" t="s">
        <v>19</v>
      </c>
      <c r="C71">
        <f t="shared" si="2"/>
        <v>70</v>
      </c>
      <c r="D71" cm="1">
        <f t="array" ref="D71">_xlfn.IFS(C71&lt;=50,7+10*(C71-1),C71&lt;=110,507+25*(C71-51),C71&lt;=170,2007+50*(C71-111),C71&lt;=250,5007+50*(C71-171))</f>
        <v>982</v>
      </c>
      <c r="E71" t="str" cm="1">
        <f t="array" ref="E71">IF(D71="","",_xlfn.IFS(D71&lt;=500,"Top_500",D71&lt;=2000,"501_2000",D71&lt;=5000,"2001_5000",D71&lt;=10000,"5001_10000"))</f>
        <v>501_2000</v>
      </c>
      <c r="F71">
        <v>8576</v>
      </c>
      <c r="G71">
        <v>153</v>
      </c>
      <c r="H71" s="13">
        <v>46051</v>
      </c>
      <c r="I71" s="8" t="str">
        <f t="shared" si="3"/>
        <v>Replenishment Oiler|Assault</v>
      </c>
    </row>
    <row r="72" spans="1:9" x14ac:dyDescent="0.25">
      <c r="A72" t="s">
        <v>299</v>
      </c>
      <c r="B72" t="s">
        <v>19</v>
      </c>
      <c r="C72">
        <f t="shared" si="2"/>
        <v>71</v>
      </c>
      <c r="D72" cm="1">
        <f t="array" ref="D72">_xlfn.IFS(C72&lt;=50,7+10*(C72-1),C72&lt;=110,507+25*(C72-51),C72&lt;=170,2007+50*(C72-111),C72&lt;=250,5007+50*(C72-171))</f>
        <v>1007</v>
      </c>
      <c r="E72" t="str" cm="1">
        <f t="array" ref="E72">IF(D72="","",_xlfn.IFS(D72&lt;=500,"Top_500",D72&lt;=2000,"501_2000",D72&lt;=5000,"2001_5000",D72&lt;=10000,"5001_10000"))</f>
        <v>501_2000</v>
      </c>
      <c r="F72">
        <v>8436</v>
      </c>
      <c r="G72">
        <v>177</v>
      </c>
      <c r="H72" s="13">
        <v>46051</v>
      </c>
      <c r="I72" s="8" t="str">
        <f t="shared" si="3"/>
        <v>Situ Sifang|Assault</v>
      </c>
    </row>
    <row r="73" spans="1:9" x14ac:dyDescent="0.25">
      <c r="A73" t="s">
        <v>300</v>
      </c>
      <c r="B73" t="s">
        <v>19</v>
      </c>
      <c r="C73">
        <f t="shared" si="2"/>
        <v>72</v>
      </c>
      <c r="D73" cm="1">
        <f t="array" ref="D73">_xlfn.IFS(C73&lt;=50,7+10*(C73-1),C73&lt;=110,507+25*(C73-51),C73&lt;=170,2007+50*(C73-111),C73&lt;=250,5007+50*(C73-171))</f>
        <v>1032</v>
      </c>
      <c r="E73" t="str" cm="1">
        <f t="array" ref="E73">IF(D73="","",_xlfn.IFS(D73&lt;=500,"Top_500",D73&lt;=2000,"501_2000",D73&lt;=5000,"2001_5000",D73&lt;=10000,"5001_10000"))</f>
        <v>501_2000</v>
      </c>
      <c r="F73">
        <v>8510</v>
      </c>
      <c r="G73">
        <v>171</v>
      </c>
      <c r="H73" s="13">
        <v>46051</v>
      </c>
      <c r="I73" s="8" t="str">
        <f t="shared" si="3"/>
        <v>TsaDiNi|Assault</v>
      </c>
    </row>
    <row r="74" spans="1:9" x14ac:dyDescent="0.25">
      <c r="A74" t="s">
        <v>301</v>
      </c>
      <c r="B74" t="s">
        <v>19</v>
      </c>
      <c r="C74">
        <f t="shared" si="2"/>
        <v>73</v>
      </c>
      <c r="D74" cm="1">
        <f t="array" ref="D74">_xlfn.IFS(C74&lt;=50,7+10*(C74-1),C74&lt;=110,507+25*(C74-51),C74&lt;=170,2007+50*(C74-111),C74&lt;=250,5007+50*(C74-171))</f>
        <v>1057</v>
      </c>
      <c r="E74" t="str" cm="1">
        <f t="array" ref="E74">IF(D74="","",_xlfn.IFS(D74&lt;=500,"Top_500",D74&lt;=2000,"501_2000",D74&lt;=5000,"2001_5000",D74&lt;=10000,"5001_10000"))</f>
        <v>501_2000</v>
      </c>
      <c r="F74">
        <v>8323</v>
      </c>
      <c r="G74">
        <v>135</v>
      </c>
      <c r="H74" s="13">
        <v>46051</v>
      </c>
      <c r="I74" s="8" t="str">
        <f t="shared" si="3"/>
        <v>Villkiss|Assault</v>
      </c>
    </row>
    <row r="75" spans="1:9" x14ac:dyDescent="0.25">
      <c r="A75" t="s">
        <v>302</v>
      </c>
      <c r="B75" t="s">
        <v>19</v>
      </c>
      <c r="C75">
        <f t="shared" si="2"/>
        <v>74</v>
      </c>
      <c r="D75" cm="1">
        <f t="array" ref="D75">_xlfn.IFS(C75&lt;=50,7+10*(C75-1),C75&lt;=110,507+25*(C75-51),C75&lt;=170,2007+50*(C75-111),C75&lt;=250,5007+50*(C75-171))</f>
        <v>1082</v>
      </c>
      <c r="E75" t="str" cm="1">
        <f t="array" ref="E75">IF(D75="","",_xlfn.IFS(D75&lt;=500,"Top_500",D75&lt;=2000,"501_2000",D75&lt;=5000,"2001_5000",D75&lt;=10000,"5001_10000"))</f>
        <v>501_2000</v>
      </c>
      <c r="F75">
        <v>8438</v>
      </c>
      <c r="G75">
        <v>105</v>
      </c>
      <c r="H75" s="13">
        <v>46051</v>
      </c>
      <c r="I75" s="8" t="str">
        <f t="shared" si="3"/>
        <v>L O V E|Assault</v>
      </c>
    </row>
    <row r="76" spans="1:9" x14ac:dyDescent="0.25">
      <c r="A76" t="s">
        <v>303</v>
      </c>
      <c r="B76" t="s">
        <v>19</v>
      </c>
      <c r="C76">
        <f t="shared" si="2"/>
        <v>75</v>
      </c>
      <c r="D76" cm="1">
        <f t="array" ref="D76">_xlfn.IFS(C76&lt;=50,7+10*(C76-1),C76&lt;=110,507+25*(C76-51),C76&lt;=170,2007+50*(C76-111),C76&lt;=250,5007+50*(C76-171))</f>
        <v>1107</v>
      </c>
      <c r="E76" t="str" cm="1">
        <f t="array" ref="E76">IF(D76="","",_xlfn.IFS(D76&lt;=500,"Top_500",D76&lt;=2000,"501_2000",D76&lt;=5000,"2001_5000",D76&lt;=10000,"5001_10000"))</f>
        <v>501_2000</v>
      </c>
      <c r="F76">
        <v>8204</v>
      </c>
      <c r="G76">
        <v>137</v>
      </c>
      <c r="H76" s="13">
        <v>46051</v>
      </c>
      <c r="I76" s="8" t="str">
        <f t="shared" si="3"/>
        <v>theG|Assault</v>
      </c>
    </row>
    <row r="77" spans="1:9" x14ac:dyDescent="0.25">
      <c r="A77" t="s">
        <v>304</v>
      </c>
      <c r="B77" t="s">
        <v>19</v>
      </c>
      <c r="C77">
        <f t="shared" si="2"/>
        <v>76</v>
      </c>
      <c r="D77" cm="1">
        <f t="array" ref="D77">_xlfn.IFS(C77&lt;=50,7+10*(C77-1),C77&lt;=110,507+25*(C77-51),C77&lt;=170,2007+50*(C77-111),C77&lt;=250,5007+50*(C77-171))</f>
        <v>1132</v>
      </c>
      <c r="E77" t="str" cm="1">
        <f t="array" ref="E77">IF(D77="","",_xlfn.IFS(D77&lt;=500,"Top_500",D77&lt;=2000,"501_2000",D77&lt;=5000,"2001_5000",D77&lt;=10000,"5001_10000"))</f>
        <v>501_2000</v>
      </c>
      <c r="F77">
        <v>8759</v>
      </c>
      <c r="G77">
        <v>159</v>
      </c>
      <c r="H77" s="13">
        <v>46051</v>
      </c>
      <c r="I77" s="8" t="str">
        <f t="shared" si="3"/>
        <v>Supaeydjent|Assault</v>
      </c>
    </row>
    <row r="78" spans="1:9" x14ac:dyDescent="0.25">
      <c r="A78" t="s">
        <v>305</v>
      </c>
      <c r="B78" t="s">
        <v>19</v>
      </c>
      <c r="C78">
        <f t="shared" si="2"/>
        <v>77</v>
      </c>
      <c r="D78" cm="1">
        <f t="array" ref="D78">_xlfn.IFS(C78&lt;=50,7+10*(C78-1),C78&lt;=110,507+25*(C78-51),C78&lt;=170,2007+50*(C78-111),C78&lt;=250,5007+50*(C78-171))</f>
        <v>1157</v>
      </c>
      <c r="E78" t="str" cm="1">
        <f t="array" ref="E78">IF(D78="","",_xlfn.IFS(D78&lt;=500,"Top_500",D78&lt;=2000,"501_2000",D78&lt;=5000,"2001_5000",D78&lt;=10000,"5001_10000"))</f>
        <v>501_2000</v>
      </c>
      <c r="F78">
        <v>8146</v>
      </c>
      <c r="G78">
        <v>277</v>
      </c>
      <c r="H78" s="13">
        <v>46051</v>
      </c>
      <c r="I78" s="8" t="str">
        <f t="shared" si="3"/>
        <v>TwinTurbo86|Assault</v>
      </c>
    </row>
    <row r="79" spans="1:9" x14ac:dyDescent="0.25">
      <c r="A79" t="s">
        <v>306</v>
      </c>
      <c r="B79" t="s">
        <v>19</v>
      </c>
      <c r="C79">
        <f t="shared" si="2"/>
        <v>78</v>
      </c>
      <c r="D79" cm="1">
        <f t="array" ref="D79">_xlfn.IFS(C79&lt;=50,7+10*(C79-1),C79&lt;=110,507+25*(C79-51),C79&lt;=170,2007+50*(C79-111),C79&lt;=250,5007+50*(C79-171))</f>
        <v>1182</v>
      </c>
      <c r="E79" t="str" cm="1">
        <f t="array" ref="E79">IF(D79="","",_xlfn.IFS(D79&lt;=500,"Top_500",D79&lt;=2000,"501_2000",D79&lt;=5000,"2001_5000",D79&lt;=10000,"5001_10000"))</f>
        <v>501_2000</v>
      </c>
      <c r="F79">
        <v>9125</v>
      </c>
      <c r="G79">
        <v>123</v>
      </c>
      <c r="H79" s="13">
        <v>46051</v>
      </c>
      <c r="I79" s="8" t="str">
        <f t="shared" si="3"/>
        <v>xBeerMeJesus|Assault</v>
      </c>
    </row>
    <row r="80" spans="1:9" x14ac:dyDescent="0.25">
      <c r="A80" t="s">
        <v>307</v>
      </c>
      <c r="B80" t="s">
        <v>19</v>
      </c>
      <c r="C80">
        <f t="shared" si="2"/>
        <v>79</v>
      </c>
      <c r="D80" cm="1">
        <f t="array" ref="D80">_xlfn.IFS(C80&lt;=50,7+10*(C80-1),C80&lt;=110,507+25*(C80-51),C80&lt;=170,2007+50*(C80-111),C80&lt;=250,5007+50*(C80-171))</f>
        <v>1207</v>
      </c>
      <c r="E80" t="str" cm="1">
        <f t="array" ref="E80">IF(D80="","",_xlfn.IFS(D80&lt;=500,"Top_500",D80&lt;=2000,"501_2000",D80&lt;=5000,"2001_5000",D80&lt;=10000,"5001_10000"))</f>
        <v>501_2000</v>
      </c>
      <c r="F80">
        <v>8104</v>
      </c>
      <c r="G80">
        <v>182</v>
      </c>
      <c r="H80" s="13">
        <v>46051</v>
      </c>
      <c r="I80" s="8" t="str">
        <f t="shared" si="3"/>
        <v>Ira|Assault</v>
      </c>
    </row>
    <row r="81" spans="1:9" x14ac:dyDescent="0.25">
      <c r="A81" t="s">
        <v>308</v>
      </c>
      <c r="B81" t="s">
        <v>19</v>
      </c>
      <c r="C81">
        <f t="shared" si="2"/>
        <v>80</v>
      </c>
      <c r="D81" cm="1">
        <f t="array" ref="D81">_xlfn.IFS(C81&lt;=50,7+10*(C81-1),C81&lt;=110,507+25*(C81-51),C81&lt;=170,2007+50*(C81-111),C81&lt;=250,5007+50*(C81-171))</f>
        <v>1232</v>
      </c>
      <c r="E81" t="str" cm="1">
        <f t="array" ref="E81">IF(D81="","",_xlfn.IFS(D81&lt;=500,"Top_500",D81&lt;=2000,"501_2000",D81&lt;=5000,"2001_5000",D81&lt;=10000,"5001_10000"))</f>
        <v>501_2000</v>
      </c>
      <c r="F81">
        <v>8077</v>
      </c>
      <c r="G81">
        <v>164</v>
      </c>
      <c r="H81" s="13">
        <v>46051</v>
      </c>
      <c r="I81" s="8" t="str">
        <f t="shared" si="3"/>
        <v>Grey Poupon|Assault</v>
      </c>
    </row>
    <row r="82" spans="1:9" x14ac:dyDescent="0.25">
      <c r="A82" t="s">
        <v>309</v>
      </c>
      <c r="B82" t="s">
        <v>19</v>
      </c>
      <c r="C82">
        <f t="shared" si="2"/>
        <v>81</v>
      </c>
      <c r="D82" cm="1">
        <f t="array" ref="D82">_xlfn.IFS(C82&lt;=50,7+10*(C82-1),C82&lt;=110,507+25*(C82-51),C82&lt;=170,2007+50*(C82-111),C82&lt;=250,5007+50*(C82-171))</f>
        <v>1257</v>
      </c>
      <c r="E82" t="str" cm="1">
        <f t="array" ref="E82">IF(D82="","",_xlfn.IFS(D82&lt;=500,"Top_500",D82&lt;=2000,"501_2000",D82&lt;=5000,"2001_5000",D82&lt;=10000,"5001_10000"))</f>
        <v>501_2000</v>
      </c>
      <c r="F82">
        <v>8073</v>
      </c>
      <c r="G82">
        <v>159</v>
      </c>
      <c r="H82" s="13">
        <v>46051</v>
      </c>
      <c r="I82" s="8" t="str">
        <f t="shared" si="3"/>
        <v>GHOST123|Assault</v>
      </c>
    </row>
    <row r="83" spans="1:9" x14ac:dyDescent="0.25">
      <c r="A83" t="s">
        <v>310</v>
      </c>
      <c r="B83" t="s">
        <v>19</v>
      </c>
      <c r="C83">
        <f t="shared" si="2"/>
        <v>82</v>
      </c>
      <c r="D83" cm="1">
        <f t="array" ref="D83">_xlfn.IFS(C83&lt;=50,7+10*(C83-1),C83&lt;=110,507+25*(C83-51),C83&lt;=170,2007+50*(C83-111),C83&lt;=250,5007+50*(C83-171))</f>
        <v>1282</v>
      </c>
      <c r="E83" t="str" cm="1">
        <f t="array" ref="E83">IF(D83="","",_xlfn.IFS(D83&lt;=500,"Top_500",D83&lt;=2000,"501_2000",D83&lt;=5000,"2001_5000",D83&lt;=10000,"5001_10000"))</f>
        <v>501_2000</v>
      </c>
      <c r="F83">
        <v>8917</v>
      </c>
      <c r="G83">
        <v>106</v>
      </c>
      <c r="H83" s="13">
        <v>46051</v>
      </c>
      <c r="I83" s="8" t="str">
        <f t="shared" si="3"/>
        <v>MACTEP|Assault</v>
      </c>
    </row>
    <row r="84" spans="1:9" x14ac:dyDescent="0.25">
      <c r="A84" t="s">
        <v>311</v>
      </c>
      <c r="B84" t="s">
        <v>19</v>
      </c>
      <c r="C84">
        <f t="shared" si="2"/>
        <v>83</v>
      </c>
      <c r="D84" cm="1">
        <f t="array" ref="D84">_xlfn.IFS(C84&lt;=50,7+10*(C84-1),C84&lt;=110,507+25*(C84-51),C84&lt;=170,2007+50*(C84-111),C84&lt;=250,5007+50*(C84-171))</f>
        <v>1307</v>
      </c>
      <c r="E84" t="str" cm="1">
        <f t="array" ref="E84">IF(D84="","",_xlfn.IFS(D84&lt;=500,"Top_500",D84&lt;=2000,"501_2000",D84&lt;=5000,"2001_5000",D84&lt;=10000,"5001_10000"))</f>
        <v>501_2000</v>
      </c>
      <c r="F84">
        <v>7887</v>
      </c>
      <c r="G84">
        <v>195</v>
      </c>
      <c r="H84" s="13">
        <v>46051</v>
      </c>
      <c r="I84" s="8" t="str">
        <f t="shared" si="3"/>
        <v>apt-foot49|Assault</v>
      </c>
    </row>
    <row r="85" spans="1:9" x14ac:dyDescent="0.25">
      <c r="A85" t="s">
        <v>312</v>
      </c>
      <c r="B85" t="s">
        <v>19</v>
      </c>
      <c r="C85">
        <f t="shared" si="2"/>
        <v>84</v>
      </c>
      <c r="D85" cm="1">
        <f t="array" ref="D85">_xlfn.IFS(C85&lt;=50,7+10*(C85-1),C85&lt;=110,507+25*(C85-51),C85&lt;=170,2007+50*(C85-111),C85&lt;=250,5007+50*(C85-171))</f>
        <v>1332</v>
      </c>
      <c r="E85" t="str" cm="1">
        <f t="array" ref="E85">IF(D85="","",_xlfn.IFS(D85&lt;=500,"Top_500",D85&lt;=2000,"501_2000",D85&lt;=5000,"2001_5000",D85&lt;=10000,"5001_10000"))</f>
        <v>501_2000</v>
      </c>
      <c r="F85">
        <v>9267</v>
      </c>
      <c r="G85">
        <v>138</v>
      </c>
      <c r="H85" s="13">
        <v>46051</v>
      </c>
      <c r="I85" s="8" t="str">
        <f t="shared" si="3"/>
        <v>Blacha|Assault</v>
      </c>
    </row>
    <row r="86" spans="1:9" x14ac:dyDescent="0.25">
      <c r="A86" t="s">
        <v>313</v>
      </c>
      <c r="B86" t="s">
        <v>19</v>
      </c>
      <c r="C86">
        <f t="shared" si="2"/>
        <v>85</v>
      </c>
      <c r="D86" cm="1">
        <f t="array" ref="D86">_xlfn.IFS(C86&lt;=50,7+10*(C86-1),C86&lt;=110,507+25*(C86-51),C86&lt;=170,2007+50*(C86-111),C86&lt;=250,5007+50*(C86-171))</f>
        <v>1357</v>
      </c>
      <c r="E86" t="str" cm="1">
        <f t="array" ref="E86">IF(D86="","",_xlfn.IFS(D86&lt;=500,"Top_500",D86&lt;=2000,"501_2000",D86&lt;=5000,"2001_5000",D86&lt;=10000,"5001_10000"))</f>
        <v>501_2000</v>
      </c>
      <c r="F86">
        <v>8898</v>
      </c>
      <c r="G86">
        <v>190</v>
      </c>
      <c r="H86" s="13">
        <v>46051</v>
      </c>
      <c r="I86" s="8" t="str">
        <f t="shared" si="3"/>
        <v>FiftyWeevil348|Assault</v>
      </c>
    </row>
    <row r="87" spans="1:9" x14ac:dyDescent="0.25">
      <c r="A87" t="s">
        <v>314</v>
      </c>
      <c r="B87" t="s">
        <v>19</v>
      </c>
      <c r="C87">
        <f t="shared" si="2"/>
        <v>86</v>
      </c>
      <c r="D87" cm="1">
        <f t="array" ref="D87">_xlfn.IFS(C87&lt;=50,7+10*(C87-1),C87&lt;=110,507+25*(C87-51),C87&lt;=170,2007+50*(C87-111),C87&lt;=250,5007+50*(C87-171))</f>
        <v>1382</v>
      </c>
      <c r="E87" t="str" cm="1">
        <f t="array" ref="E87">IF(D87="","",_xlfn.IFS(D87&lt;=500,"Top_500",D87&lt;=2000,"501_2000",D87&lt;=5000,"2001_5000",D87&lt;=10000,"5001_10000"))</f>
        <v>501_2000</v>
      </c>
      <c r="F87">
        <v>7682</v>
      </c>
      <c r="G87">
        <v>131</v>
      </c>
      <c r="H87" s="13">
        <v>46051</v>
      </c>
      <c r="I87" s="8" t="str">
        <f t="shared" si="3"/>
        <v>Dellguy|Assault</v>
      </c>
    </row>
    <row r="88" spans="1:9" x14ac:dyDescent="0.25">
      <c r="A88" t="s">
        <v>315</v>
      </c>
      <c r="B88" t="s">
        <v>19</v>
      </c>
      <c r="C88">
        <f t="shared" si="2"/>
        <v>87</v>
      </c>
      <c r="D88" cm="1">
        <f t="array" ref="D88">_xlfn.IFS(C88&lt;=50,7+10*(C88-1),C88&lt;=110,507+25*(C88-51),C88&lt;=170,2007+50*(C88-111),C88&lt;=250,5007+50*(C88-171))</f>
        <v>1407</v>
      </c>
      <c r="E88" t="str" cm="1">
        <f t="array" ref="E88">IF(D88="","",_xlfn.IFS(D88&lt;=500,"Top_500",D88&lt;=2000,"501_2000",D88&lt;=5000,"2001_5000",D88&lt;=10000,"5001_10000"))</f>
        <v>501_2000</v>
      </c>
      <c r="F88">
        <v>8012</v>
      </c>
      <c r="G88">
        <v>117</v>
      </c>
      <c r="H88" s="13">
        <v>46051</v>
      </c>
      <c r="I88" s="8" t="str">
        <f t="shared" si="3"/>
        <v>파워오버웰밍|Assault</v>
      </c>
    </row>
    <row r="89" spans="1:9" x14ac:dyDescent="0.25">
      <c r="A89" t="s">
        <v>316</v>
      </c>
      <c r="B89" t="s">
        <v>19</v>
      </c>
      <c r="C89">
        <f t="shared" si="2"/>
        <v>88</v>
      </c>
      <c r="D89" cm="1">
        <f t="array" ref="D89">_xlfn.IFS(C89&lt;=50,7+10*(C89-1),C89&lt;=110,507+25*(C89-51),C89&lt;=170,2007+50*(C89-111),C89&lt;=250,5007+50*(C89-171))</f>
        <v>1432</v>
      </c>
      <c r="E89" t="str" cm="1">
        <f t="array" ref="E89">IF(D89="","",_xlfn.IFS(D89&lt;=500,"Top_500",D89&lt;=2000,"501_2000",D89&lt;=5000,"2001_5000",D89&lt;=10000,"5001_10000"))</f>
        <v>501_2000</v>
      </c>
      <c r="F89">
        <v>9643</v>
      </c>
      <c r="G89">
        <v>98</v>
      </c>
      <c r="H89" s="13">
        <v>46051</v>
      </c>
      <c r="I89" s="8" t="str">
        <f t="shared" si="3"/>
        <v>origamii|Assault</v>
      </c>
    </row>
    <row r="90" spans="1:9" x14ac:dyDescent="0.25">
      <c r="A90" t="s">
        <v>317</v>
      </c>
      <c r="B90" t="s">
        <v>19</v>
      </c>
      <c r="C90">
        <f t="shared" si="2"/>
        <v>89</v>
      </c>
      <c r="D90" cm="1">
        <f t="array" ref="D90">_xlfn.IFS(C90&lt;=50,7+10*(C90-1),C90&lt;=110,507+25*(C90-51),C90&lt;=170,2007+50*(C90-111),C90&lt;=250,5007+50*(C90-171))</f>
        <v>1457</v>
      </c>
      <c r="E90" t="str" cm="1">
        <f t="array" ref="E90">IF(D90="","",_xlfn.IFS(D90&lt;=500,"Top_500",D90&lt;=2000,"501_2000",D90&lt;=5000,"2001_5000",D90&lt;=10000,"5001_10000"))</f>
        <v>501_2000</v>
      </c>
      <c r="F90">
        <v>7920</v>
      </c>
      <c r="G90">
        <v>136</v>
      </c>
      <c r="H90" s="13">
        <v>46051</v>
      </c>
      <c r="I90" s="8" t="str">
        <f t="shared" si="3"/>
        <v>TGR Alexz|Assault</v>
      </c>
    </row>
    <row r="91" spans="1:9" x14ac:dyDescent="0.25">
      <c r="A91" t="s">
        <v>318</v>
      </c>
      <c r="B91" t="s">
        <v>19</v>
      </c>
      <c r="C91">
        <f t="shared" si="2"/>
        <v>90</v>
      </c>
      <c r="D91" cm="1">
        <f t="array" ref="D91">_xlfn.IFS(C91&lt;=50,7+10*(C91-1),C91&lt;=110,507+25*(C91-51),C91&lt;=170,2007+50*(C91-111),C91&lt;=250,5007+50*(C91-171))</f>
        <v>1482</v>
      </c>
      <c r="E91" t="str" cm="1">
        <f t="array" ref="E91">IF(D91="","",_xlfn.IFS(D91&lt;=500,"Top_500",D91&lt;=2000,"501_2000",D91&lt;=5000,"2001_5000",D91&lt;=10000,"5001_10000"))</f>
        <v>501_2000</v>
      </c>
      <c r="F91">
        <v>7539</v>
      </c>
      <c r="G91">
        <v>151</v>
      </c>
      <c r="H91" s="13">
        <v>46051</v>
      </c>
      <c r="I91" s="8" t="str">
        <f t="shared" si="3"/>
        <v>iAm_ineviTable66|Assault</v>
      </c>
    </row>
    <row r="92" spans="1:9" x14ac:dyDescent="0.25">
      <c r="A92" t="s">
        <v>319</v>
      </c>
      <c r="B92" t="s">
        <v>19</v>
      </c>
      <c r="C92">
        <f t="shared" si="2"/>
        <v>91</v>
      </c>
      <c r="D92" cm="1">
        <f t="array" ref="D92">_xlfn.IFS(C92&lt;=50,7+10*(C92-1),C92&lt;=110,507+25*(C92-51),C92&lt;=170,2007+50*(C92-111),C92&lt;=250,5007+50*(C92-171))</f>
        <v>1507</v>
      </c>
      <c r="E92" t="str" cm="1">
        <f t="array" ref="E92">IF(D92="","",_xlfn.IFS(D92&lt;=500,"Top_500",D92&lt;=2000,"501_2000",D92&lt;=5000,"2001_5000",D92&lt;=10000,"5001_10000"))</f>
        <v>501_2000</v>
      </c>
      <c r="F92">
        <v>7989</v>
      </c>
      <c r="G92">
        <v>139</v>
      </c>
      <c r="H92" s="13">
        <v>46051</v>
      </c>
      <c r="I92" s="8" t="str">
        <f t="shared" si="3"/>
        <v>GoddMustaine|Assault</v>
      </c>
    </row>
    <row r="93" spans="1:9" x14ac:dyDescent="0.25">
      <c r="A93" t="s">
        <v>320</v>
      </c>
      <c r="B93" t="s">
        <v>19</v>
      </c>
      <c r="C93">
        <f t="shared" si="2"/>
        <v>92</v>
      </c>
      <c r="D93" cm="1">
        <f t="array" ref="D93">_xlfn.IFS(C93&lt;=50,7+10*(C93-1),C93&lt;=110,507+25*(C93-51),C93&lt;=170,2007+50*(C93-111),C93&lt;=250,5007+50*(C93-171))</f>
        <v>1532</v>
      </c>
      <c r="E93" t="str" cm="1">
        <f t="array" ref="E93">IF(D93="","",_xlfn.IFS(D93&lt;=500,"Top_500",D93&lt;=2000,"501_2000",D93&lt;=5000,"2001_5000",D93&lt;=10000,"5001_10000"))</f>
        <v>501_2000</v>
      </c>
      <c r="F93">
        <v>7464</v>
      </c>
      <c r="G93">
        <v>122</v>
      </c>
      <c r="H93" s="13">
        <v>46051</v>
      </c>
      <c r="I93" s="8" t="str">
        <f t="shared" si="3"/>
        <v>ilovethisgameoko|Assault</v>
      </c>
    </row>
    <row r="94" spans="1:9" x14ac:dyDescent="0.25">
      <c r="A94" t="s">
        <v>321</v>
      </c>
      <c r="B94" t="s">
        <v>19</v>
      </c>
      <c r="C94">
        <f t="shared" si="2"/>
        <v>93</v>
      </c>
      <c r="D94" cm="1">
        <f t="array" ref="D94">_xlfn.IFS(C94&lt;=50,7+10*(C94-1),C94&lt;=110,507+25*(C94-51),C94&lt;=170,2007+50*(C94-111),C94&lt;=250,5007+50*(C94-171))</f>
        <v>1557</v>
      </c>
      <c r="E94" t="str" cm="1">
        <f t="array" ref="E94">IF(D94="","",_xlfn.IFS(D94&lt;=500,"Top_500",D94&lt;=2000,"501_2000",D94&lt;=5000,"2001_5000",D94&lt;=10000,"5001_10000"))</f>
        <v>501_2000</v>
      </c>
      <c r="F94">
        <v>7785</v>
      </c>
      <c r="G94">
        <v>187</v>
      </c>
      <c r="H94" s="13">
        <v>46051</v>
      </c>
      <c r="I94" s="8" t="str">
        <f t="shared" si="3"/>
        <v>ZulCul|Assault</v>
      </c>
    </row>
    <row r="95" spans="1:9" x14ac:dyDescent="0.25">
      <c r="A95" t="s">
        <v>322</v>
      </c>
      <c r="B95" t="s">
        <v>19</v>
      </c>
      <c r="C95">
        <f t="shared" si="2"/>
        <v>94</v>
      </c>
      <c r="D95" cm="1">
        <f t="array" ref="D95">_xlfn.IFS(C95&lt;=50,7+10*(C95-1),C95&lt;=110,507+25*(C95-51),C95&lt;=170,2007+50*(C95-111),C95&lt;=250,5007+50*(C95-171))</f>
        <v>1582</v>
      </c>
      <c r="E95" t="str" cm="1">
        <f t="array" ref="E95">IF(D95="","",_xlfn.IFS(D95&lt;=500,"Top_500",D95&lt;=2000,"501_2000",D95&lt;=5000,"2001_5000",D95&lt;=10000,"5001_10000"))</f>
        <v>501_2000</v>
      </c>
      <c r="F95">
        <v>7419</v>
      </c>
      <c r="G95">
        <v>115</v>
      </c>
      <c r="H95" s="13">
        <v>46051</v>
      </c>
      <c r="I95" s="8" t="str">
        <f t="shared" si="3"/>
        <v>amekpl|Assault</v>
      </c>
    </row>
    <row r="96" spans="1:9" x14ac:dyDescent="0.25">
      <c r="A96" t="s">
        <v>323</v>
      </c>
      <c r="B96" t="s">
        <v>19</v>
      </c>
      <c r="C96">
        <f t="shared" si="2"/>
        <v>95</v>
      </c>
      <c r="D96" cm="1">
        <f t="array" ref="D96">_xlfn.IFS(C96&lt;=50,7+10*(C96-1),C96&lt;=110,507+25*(C96-51),C96&lt;=170,2007+50*(C96-111),C96&lt;=250,5007+50*(C96-171))</f>
        <v>1607</v>
      </c>
      <c r="E96" t="str" cm="1">
        <f t="array" ref="E96">IF(D96="","",_xlfn.IFS(D96&lt;=500,"Top_500",D96&lt;=2000,"501_2000",D96&lt;=5000,"2001_5000",D96&lt;=10000,"5001_10000"))</f>
        <v>501_2000</v>
      </c>
      <c r="F96">
        <v>7381</v>
      </c>
      <c r="G96">
        <v>92</v>
      </c>
      <c r="H96" s="13">
        <v>46051</v>
      </c>
      <c r="I96" s="8" t="str">
        <f t="shared" si="3"/>
        <v>xaRwN|Assault</v>
      </c>
    </row>
    <row r="97" spans="1:9" x14ac:dyDescent="0.25">
      <c r="A97" t="s">
        <v>324</v>
      </c>
      <c r="B97" t="s">
        <v>19</v>
      </c>
      <c r="C97">
        <f t="shared" si="2"/>
        <v>96</v>
      </c>
      <c r="D97" cm="1">
        <f t="array" ref="D97">_xlfn.IFS(C97&lt;=50,7+10*(C97-1),C97&lt;=110,507+25*(C97-51),C97&lt;=170,2007+50*(C97-111),C97&lt;=250,5007+50*(C97-171))</f>
        <v>1632</v>
      </c>
      <c r="E97" t="str" cm="1">
        <f t="array" ref="E97">IF(D97="","",_xlfn.IFS(D97&lt;=500,"Top_500",D97&lt;=2000,"501_2000",D97&lt;=5000,"2001_5000",D97&lt;=10000,"5001_10000"))</f>
        <v>501_2000</v>
      </c>
      <c r="F97">
        <v>7317</v>
      </c>
      <c r="G97">
        <v>179</v>
      </c>
      <c r="H97" s="13">
        <v>46051</v>
      </c>
      <c r="I97" s="8" t="str">
        <f t="shared" si="3"/>
        <v>Krypt Monky|Assault</v>
      </c>
    </row>
    <row r="98" spans="1:9" x14ac:dyDescent="0.25">
      <c r="A98" t="s">
        <v>325</v>
      </c>
      <c r="B98" t="s">
        <v>19</v>
      </c>
      <c r="C98">
        <f t="shared" si="2"/>
        <v>97</v>
      </c>
      <c r="D98" cm="1">
        <f t="array" ref="D98">_xlfn.IFS(C98&lt;=50,7+10*(C98-1),C98&lt;=110,507+25*(C98-51),C98&lt;=170,2007+50*(C98-111),C98&lt;=250,5007+50*(C98-171))</f>
        <v>1657</v>
      </c>
      <c r="E98" t="str" cm="1">
        <f t="array" ref="E98">IF(D98="","",_xlfn.IFS(D98&lt;=500,"Top_500",D98&lt;=2000,"501_2000",D98&lt;=5000,"2001_5000",D98&lt;=10000,"5001_10000"))</f>
        <v>501_2000</v>
      </c>
      <c r="F98">
        <v>8298</v>
      </c>
      <c r="G98">
        <v>224</v>
      </c>
      <c r="H98" s="13">
        <v>46051</v>
      </c>
      <c r="I98" s="8" t="str">
        <f t="shared" si="3"/>
        <v>ggenghis|Assault</v>
      </c>
    </row>
    <row r="99" spans="1:9" x14ac:dyDescent="0.25">
      <c r="A99" t="s">
        <v>326</v>
      </c>
      <c r="B99" t="s">
        <v>19</v>
      </c>
      <c r="C99">
        <f t="shared" si="2"/>
        <v>98</v>
      </c>
      <c r="D99" cm="1">
        <f t="array" ref="D99">_xlfn.IFS(C99&lt;=50,7+10*(C99-1),C99&lt;=110,507+25*(C99-51),C99&lt;=170,2007+50*(C99-111),C99&lt;=250,5007+50*(C99-171))</f>
        <v>1682</v>
      </c>
      <c r="E99" t="str" cm="1">
        <f t="array" ref="E99">IF(D99="","",_xlfn.IFS(D99&lt;=500,"Top_500",D99&lt;=2000,"501_2000",D99&lt;=5000,"2001_5000",D99&lt;=10000,"5001_10000"))</f>
        <v>501_2000</v>
      </c>
      <c r="F99">
        <v>7248</v>
      </c>
      <c r="G99">
        <v>175</v>
      </c>
      <c r="H99" s="13">
        <v>46051</v>
      </c>
      <c r="I99" s="8" t="str">
        <f t="shared" si="3"/>
        <v>SalkiN|Assault</v>
      </c>
    </row>
    <row r="100" spans="1:9" x14ac:dyDescent="0.25">
      <c r="A100" t="s">
        <v>327</v>
      </c>
      <c r="B100" t="s">
        <v>19</v>
      </c>
      <c r="C100">
        <f t="shared" si="2"/>
        <v>99</v>
      </c>
      <c r="D100" cm="1">
        <f t="array" ref="D100">_xlfn.IFS(C100&lt;=50,7+10*(C100-1),C100&lt;=110,507+25*(C100-51),C100&lt;=170,2007+50*(C100-111),C100&lt;=250,5007+50*(C100-171))</f>
        <v>1707</v>
      </c>
      <c r="E100" t="str" cm="1">
        <f t="array" ref="E100">IF(D100="","",_xlfn.IFS(D100&lt;=500,"Top_500",D100&lt;=2000,"501_2000",D100&lt;=5000,"2001_5000",D100&lt;=10000,"5001_10000"))</f>
        <v>501_2000</v>
      </c>
      <c r="F100">
        <v>7312</v>
      </c>
      <c r="G100">
        <v>122</v>
      </c>
      <c r="H100" s="13">
        <v>46051</v>
      </c>
      <c r="I100" s="8" t="str">
        <f t="shared" si="3"/>
        <v>zoppp|Assault</v>
      </c>
    </row>
    <row r="101" spans="1:9" x14ac:dyDescent="0.25">
      <c r="A101" t="s">
        <v>328</v>
      </c>
      <c r="B101" t="s">
        <v>19</v>
      </c>
      <c r="C101">
        <f t="shared" si="2"/>
        <v>100</v>
      </c>
      <c r="D101" cm="1">
        <f t="array" ref="D101">_xlfn.IFS(C101&lt;=50,7+10*(C101-1),C101&lt;=110,507+25*(C101-51),C101&lt;=170,2007+50*(C101-111),C101&lt;=250,5007+50*(C101-171))</f>
        <v>1732</v>
      </c>
      <c r="E101" t="str" cm="1">
        <f t="array" ref="E101">IF(D101="","",_xlfn.IFS(D101&lt;=500,"Top_500",D101&lt;=2000,"501_2000",D101&lt;=5000,"2001_5000",D101&lt;=10000,"5001_10000"))</f>
        <v>501_2000</v>
      </c>
      <c r="F101">
        <v>7175</v>
      </c>
      <c r="G101">
        <v>107</v>
      </c>
      <c r="H101" s="13">
        <v>46051</v>
      </c>
      <c r="I101" s="8" t="str">
        <f t="shared" si="3"/>
        <v>ARMIS-INVAR-RUSH|Assault</v>
      </c>
    </row>
    <row r="102" spans="1:9" x14ac:dyDescent="0.25">
      <c r="B102" t="s">
        <v>19</v>
      </c>
      <c r="C102">
        <f t="shared" si="2"/>
        <v>101</v>
      </c>
      <c r="D102" cm="1">
        <f t="array" ref="D102">_xlfn.IFS(C102&lt;=50,7+10*(C102-1),C102&lt;=110,507+25*(C102-51),C102&lt;=170,2007+50*(C102-111),C102&lt;=250,5007+50*(C102-171))</f>
        <v>1757</v>
      </c>
      <c r="E102" t="str" cm="1">
        <f t="array" ref="E102">IF(D102="","",_xlfn.IFS(D102&lt;=500,"Top_500",D102&lt;=2000,"501_2000",D102&lt;=5000,"2001_5000",D102&lt;=10000,"5001_10000"))</f>
        <v>501_2000</v>
      </c>
      <c r="I102" s="8" t="str">
        <f t="shared" si="3"/>
        <v>|Assault</v>
      </c>
    </row>
    <row r="103" spans="1:9" x14ac:dyDescent="0.25">
      <c r="B103" t="s">
        <v>19</v>
      </c>
      <c r="C103">
        <f t="shared" si="2"/>
        <v>102</v>
      </c>
      <c r="D103" cm="1">
        <f t="array" ref="D103">_xlfn.IFS(C103&lt;=50,7+10*(C103-1),C103&lt;=110,507+25*(C103-51),C103&lt;=170,2007+50*(C103-111),C103&lt;=250,5007+50*(C103-171))</f>
        <v>1782</v>
      </c>
      <c r="E103" t="str" cm="1">
        <f t="array" ref="E103">IF(D103="","",_xlfn.IFS(D103&lt;=500,"Top_500",D103&lt;=2000,"501_2000",D103&lt;=5000,"2001_5000",D103&lt;=10000,"5001_10000"))</f>
        <v>501_2000</v>
      </c>
      <c r="I103" s="8" t="str">
        <f t="shared" si="3"/>
        <v>|Assault</v>
      </c>
    </row>
    <row r="104" spans="1:9" x14ac:dyDescent="0.25">
      <c r="B104" t="s">
        <v>19</v>
      </c>
      <c r="C104">
        <f t="shared" si="2"/>
        <v>103</v>
      </c>
      <c r="D104" cm="1">
        <f t="array" ref="D104">_xlfn.IFS(C104&lt;=50,7+10*(C104-1),C104&lt;=110,507+25*(C104-51),C104&lt;=170,2007+50*(C104-111),C104&lt;=250,5007+50*(C104-171))</f>
        <v>1807</v>
      </c>
      <c r="E104" t="str" cm="1">
        <f t="array" ref="E104">IF(D104="","",_xlfn.IFS(D104&lt;=500,"Top_500",D104&lt;=2000,"501_2000",D104&lt;=5000,"2001_5000",D104&lt;=10000,"5001_10000"))</f>
        <v>501_2000</v>
      </c>
      <c r="I104" s="8" t="str">
        <f t="shared" si="3"/>
        <v>|Assault</v>
      </c>
    </row>
    <row r="105" spans="1:9" x14ac:dyDescent="0.25">
      <c r="B105" t="s">
        <v>19</v>
      </c>
      <c r="C105">
        <f t="shared" si="2"/>
        <v>104</v>
      </c>
      <c r="D105" cm="1">
        <f t="array" ref="D105">_xlfn.IFS(C105&lt;=50,7+10*(C105-1),C105&lt;=110,507+25*(C105-51),C105&lt;=170,2007+50*(C105-111),C105&lt;=250,5007+50*(C105-171))</f>
        <v>1832</v>
      </c>
      <c r="E105" t="str" cm="1">
        <f t="array" ref="E105">IF(D105="","",_xlfn.IFS(D105&lt;=500,"Top_500",D105&lt;=2000,"501_2000",D105&lt;=5000,"2001_5000",D105&lt;=10000,"5001_10000"))</f>
        <v>501_2000</v>
      </c>
      <c r="I105" s="8" t="str">
        <f t="shared" si="3"/>
        <v>|Assault</v>
      </c>
    </row>
    <row r="106" spans="1:9" x14ac:dyDescent="0.25">
      <c r="B106" t="s">
        <v>19</v>
      </c>
      <c r="C106">
        <f t="shared" si="2"/>
        <v>105</v>
      </c>
      <c r="D106" cm="1">
        <f t="array" ref="D106">_xlfn.IFS(C106&lt;=50,7+10*(C106-1),C106&lt;=110,507+25*(C106-51),C106&lt;=170,2007+50*(C106-111),C106&lt;=250,5007+50*(C106-171))</f>
        <v>1857</v>
      </c>
      <c r="E106" t="str" cm="1">
        <f t="array" ref="E106">IF(D106="","",_xlfn.IFS(D106&lt;=500,"Top_500",D106&lt;=2000,"501_2000",D106&lt;=5000,"2001_5000",D106&lt;=10000,"5001_10000"))</f>
        <v>501_2000</v>
      </c>
      <c r="I106" s="8" t="str">
        <f t="shared" si="3"/>
        <v>|Assault</v>
      </c>
    </row>
    <row r="107" spans="1:9" x14ac:dyDescent="0.25">
      <c r="B107" t="s">
        <v>19</v>
      </c>
      <c r="C107">
        <f t="shared" si="2"/>
        <v>106</v>
      </c>
      <c r="D107" cm="1">
        <f t="array" ref="D107">_xlfn.IFS(C107&lt;=50,7+10*(C107-1),C107&lt;=110,507+25*(C107-51),C107&lt;=170,2007+50*(C107-111),C107&lt;=250,5007+50*(C107-171))</f>
        <v>1882</v>
      </c>
      <c r="E107" t="str" cm="1">
        <f t="array" ref="E107">IF(D107="","",_xlfn.IFS(D107&lt;=500,"Top_500",D107&lt;=2000,"501_2000",D107&lt;=5000,"2001_5000",D107&lt;=10000,"5001_10000"))</f>
        <v>501_2000</v>
      </c>
      <c r="I107" s="8" t="str">
        <f t="shared" si="3"/>
        <v>|Assault</v>
      </c>
    </row>
    <row r="108" spans="1:9" x14ac:dyDescent="0.25">
      <c r="B108" t="s">
        <v>19</v>
      </c>
      <c r="C108">
        <f t="shared" si="2"/>
        <v>107</v>
      </c>
      <c r="D108" cm="1">
        <f t="array" ref="D108">_xlfn.IFS(C108&lt;=50,7+10*(C108-1),C108&lt;=110,507+25*(C108-51),C108&lt;=170,2007+50*(C108-111),C108&lt;=250,5007+50*(C108-171))</f>
        <v>1907</v>
      </c>
      <c r="E108" t="str" cm="1">
        <f t="array" ref="E108">IF(D108="","",_xlfn.IFS(D108&lt;=500,"Top_500",D108&lt;=2000,"501_2000",D108&lt;=5000,"2001_5000",D108&lt;=10000,"5001_10000"))</f>
        <v>501_2000</v>
      </c>
      <c r="I108" s="8" t="str">
        <f t="shared" si="3"/>
        <v>|Assault</v>
      </c>
    </row>
    <row r="109" spans="1:9" x14ac:dyDescent="0.25">
      <c r="B109" t="s">
        <v>19</v>
      </c>
      <c r="C109">
        <f t="shared" si="2"/>
        <v>108</v>
      </c>
      <c r="D109" cm="1">
        <f t="array" ref="D109">_xlfn.IFS(C109&lt;=50,7+10*(C109-1),C109&lt;=110,507+25*(C109-51),C109&lt;=170,2007+50*(C109-111),C109&lt;=250,5007+50*(C109-171))</f>
        <v>1932</v>
      </c>
      <c r="E109" t="str" cm="1">
        <f t="array" ref="E109">IF(D109="","",_xlfn.IFS(D109&lt;=500,"Top_500",D109&lt;=2000,"501_2000",D109&lt;=5000,"2001_5000",D109&lt;=10000,"5001_10000"))</f>
        <v>501_2000</v>
      </c>
      <c r="I109" s="8" t="str">
        <f t="shared" si="3"/>
        <v>|Assault</v>
      </c>
    </row>
    <row r="110" spans="1:9" x14ac:dyDescent="0.25">
      <c r="B110" t="s">
        <v>19</v>
      </c>
      <c r="C110">
        <f t="shared" si="2"/>
        <v>109</v>
      </c>
      <c r="D110" cm="1">
        <f t="array" ref="D110">_xlfn.IFS(C110&lt;=50,7+10*(C110-1),C110&lt;=110,507+25*(C110-51),C110&lt;=170,2007+50*(C110-111),C110&lt;=250,5007+50*(C110-171))</f>
        <v>1957</v>
      </c>
      <c r="E110" t="str" cm="1">
        <f t="array" ref="E110">IF(D110="","",_xlfn.IFS(D110&lt;=500,"Top_500",D110&lt;=2000,"501_2000",D110&lt;=5000,"2001_5000",D110&lt;=10000,"5001_10000"))</f>
        <v>501_2000</v>
      </c>
      <c r="I110" s="8" t="str">
        <f t="shared" si="3"/>
        <v>|Assault</v>
      </c>
    </row>
    <row r="111" spans="1:9" x14ac:dyDescent="0.25">
      <c r="B111" t="s">
        <v>19</v>
      </c>
      <c r="C111">
        <f t="shared" si="2"/>
        <v>110</v>
      </c>
      <c r="D111" cm="1">
        <f t="array" ref="D111">_xlfn.IFS(C111&lt;=50,7+10*(C111-1),C111&lt;=110,507+25*(C111-51),C111&lt;=170,2007+50*(C111-111),C111&lt;=250,5007+50*(C111-171))</f>
        <v>1982</v>
      </c>
      <c r="E111" t="str" cm="1">
        <f t="array" ref="E111">IF(D111="","",_xlfn.IFS(D111&lt;=500,"Top_500",D111&lt;=2000,"501_2000",D111&lt;=5000,"2001_5000",D111&lt;=10000,"5001_10000"))</f>
        <v>501_2000</v>
      </c>
      <c r="I111" s="8" t="str">
        <f t="shared" si="3"/>
        <v>|Assault</v>
      </c>
    </row>
    <row r="112" spans="1:9" x14ac:dyDescent="0.25">
      <c r="B112" t="s">
        <v>19</v>
      </c>
      <c r="C112">
        <f t="shared" si="2"/>
        <v>111</v>
      </c>
      <c r="D112" cm="1">
        <f t="array" ref="D112">_xlfn.IFS(C112&lt;=50,7+10*(C112-1),C112&lt;=110,507+25*(C112-51),C112&lt;=170,2007+50*(C112-111),C112&lt;=250,5007+50*(C112-171))</f>
        <v>2007</v>
      </c>
      <c r="E112" t="str" cm="1">
        <f t="array" ref="E112">IF(D112="","",_xlfn.IFS(D112&lt;=500,"Top_500",D112&lt;=2000,"501_2000",D112&lt;=5000,"2001_5000",D112&lt;=10000,"5001_10000"))</f>
        <v>2001_5000</v>
      </c>
      <c r="I112" s="8" t="str">
        <f t="shared" si="3"/>
        <v>|Assault</v>
      </c>
    </row>
    <row r="113" spans="2:9" x14ac:dyDescent="0.25">
      <c r="B113" t="s">
        <v>19</v>
      </c>
      <c r="C113">
        <f t="shared" si="2"/>
        <v>112</v>
      </c>
      <c r="D113" cm="1">
        <f t="array" ref="D113">_xlfn.IFS(C113&lt;=50,7+10*(C113-1),C113&lt;=110,507+25*(C113-51),C113&lt;=170,2007+50*(C113-111),C113&lt;=250,5007+50*(C113-171))</f>
        <v>2057</v>
      </c>
      <c r="E113" t="str" cm="1">
        <f t="array" ref="E113">IF(D113="","",_xlfn.IFS(D113&lt;=500,"Top_500",D113&lt;=2000,"501_2000",D113&lt;=5000,"2001_5000",D113&lt;=10000,"5001_10000"))</f>
        <v>2001_5000</v>
      </c>
      <c r="I113" s="8" t="str">
        <f t="shared" si="3"/>
        <v>|Assault</v>
      </c>
    </row>
    <row r="114" spans="2:9" x14ac:dyDescent="0.25">
      <c r="B114" t="s">
        <v>19</v>
      </c>
      <c r="C114">
        <f t="shared" si="2"/>
        <v>113</v>
      </c>
      <c r="D114" cm="1">
        <f t="array" ref="D114">_xlfn.IFS(C114&lt;=50,7+10*(C114-1),C114&lt;=110,507+25*(C114-51),C114&lt;=170,2007+50*(C114-111),C114&lt;=250,5007+50*(C114-171))</f>
        <v>2107</v>
      </c>
      <c r="E114" t="str" cm="1">
        <f t="array" ref="E114">IF(D114="","",_xlfn.IFS(D114&lt;=500,"Top_500",D114&lt;=2000,"501_2000",D114&lt;=5000,"2001_5000",D114&lt;=10000,"5001_10000"))</f>
        <v>2001_5000</v>
      </c>
      <c r="I114" s="8" t="str">
        <f t="shared" si="3"/>
        <v>|Assault</v>
      </c>
    </row>
    <row r="115" spans="2:9" x14ac:dyDescent="0.25">
      <c r="B115" t="s">
        <v>19</v>
      </c>
      <c r="C115">
        <f t="shared" si="2"/>
        <v>114</v>
      </c>
      <c r="D115" cm="1">
        <f t="array" ref="D115">_xlfn.IFS(C115&lt;=50,7+10*(C115-1),C115&lt;=110,507+25*(C115-51),C115&lt;=170,2007+50*(C115-111),C115&lt;=250,5007+50*(C115-171))</f>
        <v>2157</v>
      </c>
      <c r="E115" t="str" cm="1">
        <f t="array" ref="E115">IF(D115="","",_xlfn.IFS(D115&lt;=500,"Top_500",D115&lt;=2000,"501_2000",D115&lt;=5000,"2001_5000",D115&lt;=10000,"5001_10000"))</f>
        <v>2001_5000</v>
      </c>
      <c r="I115" s="8" t="str">
        <f t="shared" si="3"/>
        <v>|Assault</v>
      </c>
    </row>
    <row r="116" spans="2:9" x14ac:dyDescent="0.25">
      <c r="B116" t="s">
        <v>19</v>
      </c>
      <c r="C116">
        <f t="shared" si="2"/>
        <v>115</v>
      </c>
      <c r="D116" cm="1">
        <f t="array" ref="D116">_xlfn.IFS(C116&lt;=50,7+10*(C116-1),C116&lt;=110,507+25*(C116-51),C116&lt;=170,2007+50*(C116-111),C116&lt;=250,5007+50*(C116-171))</f>
        <v>2207</v>
      </c>
      <c r="E116" t="str" cm="1">
        <f t="array" ref="E116">IF(D116="","",_xlfn.IFS(D116&lt;=500,"Top_500",D116&lt;=2000,"501_2000",D116&lt;=5000,"2001_5000",D116&lt;=10000,"5001_10000"))</f>
        <v>2001_5000</v>
      </c>
      <c r="I116" s="8" t="str">
        <f t="shared" si="3"/>
        <v>|Assault</v>
      </c>
    </row>
    <row r="117" spans="2:9" x14ac:dyDescent="0.25">
      <c r="B117" t="s">
        <v>19</v>
      </c>
      <c r="C117">
        <f t="shared" si="2"/>
        <v>116</v>
      </c>
      <c r="D117" cm="1">
        <f t="array" ref="D117">_xlfn.IFS(C117&lt;=50,7+10*(C117-1),C117&lt;=110,507+25*(C117-51),C117&lt;=170,2007+50*(C117-111),C117&lt;=250,5007+50*(C117-171))</f>
        <v>2257</v>
      </c>
      <c r="E117" t="str" cm="1">
        <f t="array" ref="E117">IF(D117="","",_xlfn.IFS(D117&lt;=500,"Top_500",D117&lt;=2000,"501_2000",D117&lt;=5000,"2001_5000",D117&lt;=10000,"5001_10000"))</f>
        <v>2001_5000</v>
      </c>
      <c r="I117" s="8" t="str">
        <f t="shared" si="3"/>
        <v>|Assault</v>
      </c>
    </row>
    <row r="118" spans="2:9" x14ac:dyDescent="0.25">
      <c r="B118" t="s">
        <v>19</v>
      </c>
      <c r="C118">
        <f t="shared" si="2"/>
        <v>117</v>
      </c>
      <c r="D118" cm="1">
        <f t="array" ref="D118">_xlfn.IFS(C118&lt;=50,7+10*(C118-1),C118&lt;=110,507+25*(C118-51),C118&lt;=170,2007+50*(C118-111),C118&lt;=250,5007+50*(C118-171))</f>
        <v>2307</v>
      </c>
      <c r="E118" t="str" cm="1">
        <f t="array" ref="E118">IF(D118="","",_xlfn.IFS(D118&lt;=500,"Top_500",D118&lt;=2000,"501_2000",D118&lt;=5000,"2001_5000",D118&lt;=10000,"5001_10000"))</f>
        <v>2001_5000</v>
      </c>
      <c r="I118" s="8" t="str">
        <f t="shared" si="3"/>
        <v>|Assault</v>
      </c>
    </row>
    <row r="119" spans="2:9" x14ac:dyDescent="0.25">
      <c r="B119" t="s">
        <v>19</v>
      </c>
      <c r="C119">
        <f t="shared" si="2"/>
        <v>118</v>
      </c>
      <c r="D119" cm="1">
        <f t="array" ref="D119">_xlfn.IFS(C119&lt;=50,7+10*(C119-1),C119&lt;=110,507+25*(C119-51),C119&lt;=170,2007+50*(C119-111),C119&lt;=250,5007+50*(C119-171))</f>
        <v>2357</v>
      </c>
      <c r="E119" t="str" cm="1">
        <f t="array" ref="E119">IF(D119="","",_xlfn.IFS(D119&lt;=500,"Top_500",D119&lt;=2000,"501_2000",D119&lt;=5000,"2001_5000",D119&lt;=10000,"5001_10000"))</f>
        <v>2001_5000</v>
      </c>
      <c r="I119" s="8" t="str">
        <f t="shared" si="3"/>
        <v>|Assault</v>
      </c>
    </row>
    <row r="120" spans="2:9" x14ac:dyDescent="0.25">
      <c r="B120" t="s">
        <v>19</v>
      </c>
      <c r="C120">
        <f t="shared" si="2"/>
        <v>119</v>
      </c>
      <c r="D120" cm="1">
        <f t="array" ref="D120">_xlfn.IFS(C120&lt;=50,7+10*(C120-1),C120&lt;=110,507+25*(C120-51),C120&lt;=170,2007+50*(C120-111),C120&lt;=250,5007+50*(C120-171))</f>
        <v>2407</v>
      </c>
      <c r="E120" t="str" cm="1">
        <f t="array" ref="E120">IF(D120="","",_xlfn.IFS(D120&lt;=500,"Top_500",D120&lt;=2000,"501_2000",D120&lt;=5000,"2001_5000",D120&lt;=10000,"5001_10000"))</f>
        <v>2001_5000</v>
      </c>
      <c r="I120" s="8" t="str">
        <f t="shared" si="3"/>
        <v>|Assault</v>
      </c>
    </row>
    <row r="121" spans="2:9" x14ac:dyDescent="0.25">
      <c r="B121" t="s">
        <v>19</v>
      </c>
      <c r="C121">
        <f t="shared" si="2"/>
        <v>120</v>
      </c>
      <c r="D121" cm="1">
        <f t="array" ref="D121">_xlfn.IFS(C121&lt;=50,7+10*(C121-1),C121&lt;=110,507+25*(C121-51),C121&lt;=170,2007+50*(C121-111),C121&lt;=250,5007+50*(C121-171))</f>
        <v>2457</v>
      </c>
      <c r="E121" t="str" cm="1">
        <f t="array" ref="E121">IF(D121="","",_xlfn.IFS(D121&lt;=500,"Top_500",D121&lt;=2000,"501_2000",D121&lt;=5000,"2001_5000",D121&lt;=10000,"5001_10000"))</f>
        <v>2001_5000</v>
      </c>
      <c r="I121" s="8" t="str">
        <f t="shared" si="3"/>
        <v>|Assault</v>
      </c>
    </row>
    <row r="122" spans="2:9" x14ac:dyDescent="0.25">
      <c r="B122" t="s">
        <v>19</v>
      </c>
      <c r="C122">
        <f t="shared" si="2"/>
        <v>121</v>
      </c>
      <c r="D122" cm="1">
        <f t="array" ref="D122">_xlfn.IFS(C122&lt;=50,7+10*(C122-1),C122&lt;=110,507+25*(C122-51),C122&lt;=170,2007+50*(C122-111),C122&lt;=250,5007+50*(C122-171))</f>
        <v>2507</v>
      </c>
      <c r="E122" t="str" cm="1">
        <f t="array" ref="E122">IF(D122="","",_xlfn.IFS(D122&lt;=500,"Top_500",D122&lt;=2000,"501_2000",D122&lt;=5000,"2001_5000",D122&lt;=10000,"5001_10000"))</f>
        <v>2001_5000</v>
      </c>
      <c r="I122" s="8" t="str">
        <f t="shared" si="3"/>
        <v>|Assault</v>
      </c>
    </row>
    <row r="123" spans="2:9" x14ac:dyDescent="0.25">
      <c r="B123" t="s">
        <v>19</v>
      </c>
      <c r="C123">
        <f t="shared" si="2"/>
        <v>122</v>
      </c>
      <c r="D123" cm="1">
        <f t="array" ref="D123">_xlfn.IFS(C123&lt;=50,7+10*(C123-1),C123&lt;=110,507+25*(C123-51),C123&lt;=170,2007+50*(C123-111),C123&lt;=250,5007+50*(C123-171))</f>
        <v>2557</v>
      </c>
      <c r="E123" t="str" cm="1">
        <f t="array" ref="E123">IF(D123="","",_xlfn.IFS(D123&lt;=500,"Top_500",D123&lt;=2000,"501_2000",D123&lt;=5000,"2001_5000",D123&lt;=10000,"5001_10000"))</f>
        <v>2001_5000</v>
      </c>
      <c r="I123" s="8" t="str">
        <f t="shared" si="3"/>
        <v>|Assault</v>
      </c>
    </row>
    <row r="124" spans="2:9" x14ac:dyDescent="0.25">
      <c r="B124" t="s">
        <v>19</v>
      </c>
      <c r="C124">
        <f t="shared" si="2"/>
        <v>123</v>
      </c>
      <c r="D124" cm="1">
        <f t="array" ref="D124">_xlfn.IFS(C124&lt;=50,7+10*(C124-1),C124&lt;=110,507+25*(C124-51),C124&lt;=170,2007+50*(C124-111),C124&lt;=250,5007+50*(C124-171))</f>
        <v>2607</v>
      </c>
      <c r="E124" t="str" cm="1">
        <f t="array" ref="E124">IF(D124="","",_xlfn.IFS(D124&lt;=500,"Top_500",D124&lt;=2000,"501_2000",D124&lt;=5000,"2001_5000",D124&lt;=10000,"5001_10000"))</f>
        <v>2001_5000</v>
      </c>
      <c r="I124" s="8" t="str">
        <f t="shared" si="3"/>
        <v>|Assault</v>
      </c>
    </row>
    <row r="125" spans="2:9" x14ac:dyDescent="0.25">
      <c r="B125" t="s">
        <v>19</v>
      </c>
      <c r="C125">
        <f t="shared" si="2"/>
        <v>124</v>
      </c>
      <c r="D125" cm="1">
        <f t="array" ref="D125">_xlfn.IFS(C125&lt;=50,7+10*(C125-1),C125&lt;=110,507+25*(C125-51),C125&lt;=170,2007+50*(C125-111),C125&lt;=250,5007+50*(C125-171))</f>
        <v>2657</v>
      </c>
      <c r="E125" t="str" cm="1">
        <f t="array" ref="E125">IF(D125="","",_xlfn.IFS(D125&lt;=500,"Top_500",D125&lt;=2000,"501_2000",D125&lt;=5000,"2001_5000",D125&lt;=10000,"5001_10000"))</f>
        <v>2001_5000</v>
      </c>
      <c r="I125" s="8" t="str">
        <f t="shared" si="3"/>
        <v>|Assault</v>
      </c>
    </row>
    <row r="126" spans="2:9" x14ac:dyDescent="0.25">
      <c r="B126" t="s">
        <v>19</v>
      </c>
      <c r="C126">
        <f t="shared" si="2"/>
        <v>125</v>
      </c>
      <c r="D126" cm="1">
        <f t="array" ref="D126">_xlfn.IFS(C126&lt;=50,7+10*(C126-1),C126&lt;=110,507+25*(C126-51),C126&lt;=170,2007+50*(C126-111),C126&lt;=250,5007+50*(C126-171))</f>
        <v>2707</v>
      </c>
      <c r="E126" t="str" cm="1">
        <f t="array" ref="E126">IF(D126="","",_xlfn.IFS(D126&lt;=500,"Top_500",D126&lt;=2000,"501_2000",D126&lt;=5000,"2001_5000",D126&lt;=10000,"5001_10000"))</f>
        <v>2001_5000</v>
      </c>
      <c r="I126" s="8" t="str">
        <f t="shared" si="3"/>
        <v>|Assault</v>
      </c>
    </row>
    <row r="127" spans="2:9" x14ac:dyDescent="0.25">
      <c r="B127" t="s">
        <v>19</v>
      </c>
      <c r="C127">
        <f t="shared" si="2"/>
        <v>126</v>
      </c>
      <c r="D127" cm="1">
        <f t="array" ref="D127">_xlfn.IFS(C127&lt;=50,7+10*(C127-1),C127&lt;=110,507+25*(C127-51),C127&lt;=170,2007+50*(C127-111),C127&lt;=250,5007+50*(C127-171))</f>
        <v>2757</v>
      </c>
      <c r="E127" t="str" cm="1">
        <f t="array" ref="E127">IF(D127="","",_xlfn.IFS(D127&lt;=500,"Top_500",D127&lt;=2000,"501_2000",D127&lt;=5000,"2001_5000",D127&lt;=10000,"5001_10000"))</f>
        <v>2001_5000</v>
      </c>
      <c r="I127" s="8" t="str">
        <f t="shared" si="3"/>
        <v>|Assault</v>
      </c>
    </row>
    <row r="128" spans="2:9" x14ac:dyDescent="0.25">
      <c r="B128" t="s">
        <v>19</v>
      </c>
      <c r="C128">
        <f t="shared" si="2"/>
        <v>127</v>
      </c>
      <c r="D128" cm="1">
        <f t="array" ref="D128">_xlfn.IFS(C128&lt;=50,7+10*(C128-1),C128&lt;=110,507+25*(C128-51),C128&lt;=170,2007+50*(C128-111),C128&lt;=250,5007+50*(C128-171))</f>
        <v>2807</v>
      </c>
      <c r="E128" t="str" cm="1">
        <f t="array" ref="E128">IF(D128="","",_xlfn.IFS(D128&lt;=500,"Top_500",D128&lt;=2000,"501_2000",D128&lt;=5000,"2001_5000",D128&lt;=10000,"5001_10000"))</f>
        <v>2001_5000</v>
      </c>
      <c r="I128" s="8" t="str">
        <f t="shared" si="3"/>
        <v>|Assault</v>
      </c>
    </row>
    <row r="129" spans="2:9" x14ac:dyDescent="0.25">
      <c r="B129" t="s">
        <v>19</v>
      </c>
      <c r="C129">
        <f t="shared" si="2"/>
        <v>128</v>
      </c>
      <c r="D129" cm="1">
        <f t="array" ref="D129">_xlfn.IFS(C129&lt;=50,7+10*(C129-1),C129&lt;=110,507+25*(C129-51),C129&lt;=170,2007+50*(C129-111),C129&lt;=250,5007+50*(C129-171))</f>
        <v>2857</v>
      </c>
      <c r="E129" t="str" cm="1">
        <f t="array" ref="E129">IF(D129="","",_xlfn.IFS(D129&lt;=500,"Top_500",D129&lt;=2000,"501_2000",D129&lt;=5000,"2001_5000",D129&lt;=10000,"5001_10000"))</f>
        <v>2001_5000</v>
      </c>
      <c r="I129" s="8" t="str">
        <f t="shared" si="3"/>
        <v>|Assault</v>
      </c>
    </row>
    <row r="130" spans="2:9" x14ac:dyDescent="0.25">
      <c r="B130" t="s">
        <v>19</v>
      </c>
      <c r="C130">
        <f t="shared" ref="C130:C193" si="4">IF(ROW()=2,1,IF(B130&lt;&gt;B129,1,C129+1))</f>
        <v>129</v>
      </c>
      <c r="D130" cm="1">
        <f t="array" ref="D130">_xlfn.IFS(C130&lt;=50,7+10*(C130-1),C130&lt;=110,507+25*(C130-51),C130&lt;=170,2007+50*(C130-111),C130&lt;=250,5007+50*(C130-171))</f>
        <v>2907</v>
      </c>
      <c r="E130" t="str" cm="1">
        <f t="array" ref="E130">IF(D130="","",_xlfn.IFS(D130&lt;=500,"Top_500",D130&lt;=2000,"501_2000",D130&lt;=5000,"2001_5000",D130&lt;=10000,"5001_10000"))</f>
        <v>2001_5000</v>
      </c>
      <c r="I130" s="8" t="str">
        <f t="shared" si="3"/>
        <v>|Assault</v>
      </c>
    </row>
    <row r="131" spans="2:9" x14ac:dyDescent="0.25">
      <c r="B131" t="s">
        <v>19</v>
      </c>
      <c r="C131">
        <f t="shared" si="4"/>
        <v>130</v>
      </c>
      <c r="D131" cm="1">
        <f t="array" ref="D131">_xlfn.IFS(C131&lt;=50,7+10*(C131-1),C131&lt;=110,507+25*(C131-51),C131&lt;=170,2007+50*(C131-111),C131&lt;=250,5007+50*(C131-171))</f>
        <v>2957</v>
      </c>
      <c r="E131" t="str" cm="1">
        <f t="array" ref="E131">IF(D131="","",_xlfn.IFS(D131&lt;=500,"Top_500",D131&lt;=2000,"501_2000",D131&lt;=5000,"2001_5000",D131&lt;=10000,"5001_10000"))</f>
        <v>2001_5000</v>
      </c>
      <c r="I131" s="8" t="str">
        <f t="shared" ref="I131:I194" si="5">A131 &amp; "|" &amp; B131</f>
        <v>|Assault</v>
      </c>
    </row>
    <row r="132" spans="2:9" x14ac:dyDescent="0.25">
      <c r="B132" t="s">
        <v>19</v>
      </c>
      <c r="C132">
        <f t="shared" si="4"/>
        <v>131</v>
      </c>
      <c r="D132" cm="1">
        <f t="array" ref="D132">_xlfn.IFS(C132&lt;=50,7+10*(C132-1),C132&lt;=110,507+25*(C132-51),C132&lt;=170,2007+50*(C132-111),C132&lt;=250,5007+50*(C132-171))</f>
        <v>3007</v>
      </c>
      <c r="E132" t="str" cm="1">
        <f t="array" ref="E132">IF(D132="","",_xlfn.IFS(D132&lt;=500,"Top_500",D132&lt;=2000,"501_2000",D132&lt;=5000,"2001_5000",D132&lt;=10000,"5001_10000"))</f>
        <v>2001_5000</v>
      </c>
      <c r="I132" s="8" t="str">
        <f t="shared" si="5"/>
        <v>|Assault</v>
      </c>
    </row>
    <row r="133" spans="2:9" x14ac:dyDescent="0.25">
      <c r="B133" t="s">
        <v>19</v>
      </c>
      <c r="C133">
        <f t="shared" si="4"/>
        <v>132</v>
      </c>
      <c r="D133" cm="1">
        <f t="array" ref="D133">_xlfn.IFS(C133&lt;=50,7+10*(C133-1),C133&lt;=110,507+25*(C133-51),C133&lt;=170,2007+50*(C133-111),C133&lt;=250,5007+50*(C133-171))</f>
        <v>3057</v>
      </c>
      <c r="E133" t="str" cm="1">
        <f t="array" ref="E133">IF(D133="","",_xlfn.IFS(D133&lt;=500,"Top_500",D133&lt;=2000,"501_2000",D133&lt;=5000,"2001_5000",D133&lt;=10000,"5001_10000"))</f>
        <v>2001_5000</v>
      </c>
      <c r="I133" s="8" t="str">
        <f t="shared" si="5"/>
        <v>|Assault</v>
      </c>
    </row>
    <row r="134" spans="2:9" x14ac:dyDescent="0.25">
      <c r="B134" t="s">
        <v>19</v>
      </c>
      <c r="C134">
        <f t="shared" si="4"/>
        <v>133</v>
      </c>
      <c r="D134" cm="1">
        <f t="array" ref="D134">_xlfn.IFS(C134&lt;=50,7+10*(C134-1),C134&lt;=110,507+25*(C134-51),C134&lt;=170,2007+50*(C134-111),C134&lt;=250,5007+50*(C134-171))</f>
        <v>3107</v>
      </c>
      <c r="E134" t="str" cm="1">
        <f t="array" ref="E134">IF(D134="","",_xlfn.IFS(D134&lt;=500,"Top_500",D134&lt;=2000,"501_2000",D134&lt;=5000,"2001_5000",D134&lt;=10000,"5001_10000"))</f>
        <v>2001_5000</v>
      </c>
      <c r="I134" s="8" t="str">
        <f t="shared" si="5"/>
        <v>|Assault</v>
      </c>
    </row>
    <row r="135" spans="2:9" x14ac:dyDescent="0.25">
      <c r="B135" t="s">
        <v>19</v>
      </c>
      <c r="C135">
        <f t="shared" si="4"/>
        <v>134</v>
      </c>
      <c r="D135" cm="1">
        <f t="array" ref="D135">_xlfn.IFS(C135&lt;=50,7+10*(C135-1),C135&lt;=110,507+25*(C135-51),C135&lt;=170,2007+50*(C135-111),C135&lt;=250,5007+50*(C135-171))</f>
        <v>3157</v>
      </c>
      <c r="E135" t="str" cm="1">
        <f t="array" ref="E135">IF(D135="","",_xlfn.IFS(D135&lt;=500,"Top_500",D135&lt;=2000,"501_2000",D135&lt;=5000,"2001_5000",D135&lt;=10000,"5001_10000"))</f>
        <v>2001_5000</v>
      </c>
      <c r="I135" s="8" t="str">
        <f t="shared" si="5"/>
        <v>|Assault</v>
      </c>
    </row>
    <row r="136" spans="2:9" x14ac:dyDescent="0.25">
      <c r="B136" t="s">
        <v>19</v>
      </c>
      <c r="C136">
        <f t="shared" si="4"/>
        <v>135</v>
      </c>
      <c r="D136" cm="1">
        <f t="array" ref="D136">_xlfn.IFS(C136&lt;=50,7+10*(C136-1),C136&lt;=110,507+25*(C136-51),C136&lt;=170,2007+50*(C136-111),C136&lt;=250,5007+50*(C136-171))</f>
        <v>3207</v>
      </c>
      <c r="E136" t="str" cm="1">
        <f t="array" ref="E136">IF(D136="","",_xlfn.IFS(D136&lt;=500,"Top_500",D136&lt;=2000,"501_2000",D136&lt;=5000,"2001_5000",D136&lt;=10000,"5001_10000"))</f>
        <v>2001_5000</v>
      </c>
      <c r="I136" s="8" t="str">
        <f t="shared" si="5"/>
        <v>|Assault</v>
      </c>
    </row>
    <row r="137" spans="2:9" x14ac:dyDescent="0.25">
      <c r="B137" t="s">
        <v>19</v>
      </c>
      <c r="C137">
        <f t="shared" si="4"/>
        <v>136</v>
      </c>
      <c r="D137" cm="1">
        <f t="array" ref="D137">_xlfn.IFS(C137&lt;=50,7+10*(C137-1),C137&lt;=110,507+25*(C137-51),C137&lt;=170,2007+50*(C137-111),C137&lt;=250,5007+50*(C137-171))</f>
        <v>3257</v>
      </c>
      <c r="E137" t="str" cm="1">
        <f t="array" ref="E137">IF(D137="","",_xlfn.IFS(D137&lt;=500,"Top_500",D137&lt;=2000,"501_2000",D137&lt;=5000,"2001_5000",D137&lt;=10000,"5001_10000"))</f>
        <v>2001_5000</v>
      </c>
      <c r="I137" s="8" t="str">
        <f t="shared" si="5"/>
        <v>|Assault</v>
      </c>
    </row>
    <row r="138" spans="2:9" x14ac:dyDescent="0.25">
      <c r="B138" t="s">
        <v>19</v>
      </c>
      <c r="C138">
        <f t="shared" si="4"/>
        <v>137</v>
      </c>
      <c r="D138" cm="1">
        <f t="array" ref="D138">_xlfn.IFS(C138&lt;=50,7+10*(C138-1),C138&lt;=110,507+25*(C138-51),C138&lt;=170,2007+50*(C138-111),C138&lt;=250,5007+50*(C138-171))</f>
        <v>3307</v>
      </c>
      <c r="E138" t="str" cm="1">
        <f t="array" ref="E138">IF(D138="","",_xlfn.IFS(D138&lt;=500,"Top_500",D138&lt;=2000,"501_2000",D138&lt;=5000,"2001_5000",D138&lt;=10000,"5001_10000"))</f>
        <v>2001_5000</v>
      </c>
      <c r="I138" s="8" t="str">
        <f t="shared" si="5"/>
        <v>|Assault</v>
      </c>
    </row>
    <row r="139" spans="2:9" x14ac:dyDescent="0.25">
      <c r="B139" t="s">
        <v>19</v>
      </c>
      <c r="C139">
        <f t="shared" si="4"/>
        <v>138</v>
      </c>
      <c r="D139" cm="1">
        <f t="array" ref="D139">_xlfn.IFS(C139&lt;=50,7+10*(C139-1),C139&lt;=110,507+25*(C139-51),C139&lt;=170,2007+50*(C139-111),C139&lt;=250,5007+50*(C139-171))</f>
        <v>3357</v>
      </c>
      <c r="E139" t="str" cm="1">
        <f t="array" ref="E139">IF(D139="","",_xlfn.IFS(D139&lt;=500,"Top_500",D139&lt;=2000,"501_2000",D139&lt;=5000,"2001_5000",D139&lt;=10000,"5001_10000"))</f>
        <v>2001_5000</v>
      </c>
      <c r="I139" s="8" t="str">
        <f t="shared" si="5"/>
        <v>|Assault</v>
      </c>
    </row>
    <row r="140" spans="2:9" x14ac:dyDescent="0.25">
      <c r="B140" t="s">
        <v>19</v>
      </c>
      <c r="C140">
        <f t="shared" si="4"/>
        <v>139</v>
      </c>
      <c r="D140" cm="1">
        <f t="array" ref="D140">_xlfn.IFS(C140&lt;=50,7+10*(C140-1),C140&lt;=110,507+25*(C140-51),C140&lt;=170,2007+50*(C140-111),C140&lt;=250,5007+50*(C140-171))</f>
        <v>3407</v>
      </c>
      <c r="E140" t="str" cm="1">
        <f t="array" ref="E140">IF(D140="","",_xlfn.IFS(D140&lt;=500,"Top_500",D140&lt;=2000,"501_2000",D140&lt;=5000,"2001_5000",D140&lt;=10000,"5001_10000"))</f>
        <v>2001_5000</v>
      </c>
      <c r="I140" s="8" t="str">
        <f t="shared" si="5"/>
        <v>|Assault</v>
      </c>
    </row>
    <row r="141" spans="2:9" x14ac:dyDescent="0.25">
      <c r="B141" t="s">
        <v>19</v>
      </c>
      <c r="C141">
        <f t="shared" si="4"/>
        <v>140</v>
      </c>
      <c r="D141" cm="1">
        <f t="array" ref="D141">_xlfn.IFS(C141&lt;=50,7+10*(C141-1),C141&lt;=110,507+25*(C141-51),C141&lt;=170,2007+50*(C141-111),C141&lt;=250,5007+50*(C141-171))</f>
        <v>3457</v>
      </c>
      <c r="E141" t="str" cm="1">
        <f t="array" ref="E141">IF(D141="","",_xlfn.IFS(D141&lt;=500,"Top_500",D141&lt;=2000,"501_2000",D141&lt;=5000,"2001_5000",D141&lt;=10000,"5001_10000"))</f>
        <v>2001_5000</v>
      </c>
      <c r="I141" s="8" t="str">
        <f t="shared" si="5"/>
        <v>|Assault</v>
      </c>
    </row>
    <row r="142" spans="2:9" x14ac:dyDescent="0.25">
      <c r="B142" t="s">
        <v>19</v>
      </c>
      <c r="C142">
        <f t="shared" si="4"/>
        <v>141</v>
      </c>
      <c r="D142" cm="1">
        <f t="array" ref="D142">_xlfn.IFS(C142&lt;=50,7+10*(C142-1),C142&lt;=110,507+25*(C142-51),C142&lt;=170,2007+50*(C142-111),C142&lt;=250,5007+50*(C142-171))</f>
        <v>3507</v>
      </c>
      <c r="E142" t="str" cm="1">
        <f t="array" ref="E142">IF(D142="","",_xlfn.IFS(D142&lt;=500,"Top_500",D142&lt;=2000,"501_2000",D142&lt;=5000,"2001_5000",D142&lt;=10000,"5001_10000"))</f>
        <v>2001_5000</v>
      </c>
      <c r="I142" s="8" t="str">
        <f t="shared" si="5"/>
        <v>|Assault</v>
      </c>
    </row>
    <row r="143" spans="2:9" x14ac:dyDescent="0.25">
      <c r="B143" t="s">
        <v>19</v>
      </c>
      <c r="C143">
        <f t="shared" si="4"/>
        <v>142</v>
      </c>
      <c r="D143" cm="1">
        <f t="array" ref="D143">_xlfn.IFS(C143&lt;=50,7+10*(C143-1),C143&lt;=110,507+25*(C143-51),C143&lt;=170,2007+50*(C143-111),C143&lt;=250,5007+50*(C143-171))</f>
        <v>3557</v>
      </c>
      <c r="E143" t="str" cm="1">
        <f t="array" ref="E143">IF(D143="","",_xlfn.IFS(D143&lt;=500,"Top_500",D143&lt;=2000,"501_2000",D143&lt;=5000,"2001_5000",D143&lt;=10000,"5001_10000"))</f>
        <v>2001_5000</v>
      </c>
      <c r="I143" s="8" t="str">
        <f t="shared" si="5"/>
        <v>|Assault</v>
      </c>
    </row>
    <row r="144" spans="2:9" x14ac:dyDescent="0.25">
      <c r="B144" t="s">
        <v>19</v>
      </c>
      <c r="C144">
        <f t="shared" si="4"/>
        <v>143</v>
      </c>
      <c r="D144" cm="1">
        <f t="array" ref="D144">_xlfn.IFS(C144&lt;=50,7+10*(C144-1),C144&lt;=110,507+25*(C144-51),C144&lt;=170,2007+50*(C144-111),C144&lt;=250,5007+50*(C144-171))</f>
        <v>3607</v>
      </c>
      <c r="E144" t="str" cm="1">
        <f t="array" ref="E144">IF(D144="","",_xlfn.IFS(D144&lt;=500,"Top_500",D144&lt;=2000,"501_2000",D144&lt;=5000,"2001_5000",D144&lt;=10000,"5001_10000"))</f>
        <v>2001_5000</v>
      </c>
      <c r="I144" s="8" t="str">
        <f t="shared" si="5"/>
        <v>|Assault</v>
      </c>
    </row>
    <row r="145" spans="2:9" x14ac:dyDescent="0.25">
      <c r="B145" t="s">
        <v>19</v>
      </c>
      <c r="C145">
        <f t="shared" si="4"/>
        <v>144</v>
      </c>
      <c r="D145" cm="1">
        <f t="array" ref="D145">_xlfn.IFS(C145&lt;=50,7+10*(C145-1),C145&lt;=110,507+25*(C145-51),C145&lt;=170,2007+50*(C145-111),C145&lt;=250,5007+50*(C145-171))</f>
        <v>3657</v>
      </c>
      <c r="E145" t="str" cm="1">
        <f t="array" ref="E145">IF(D145="","",_xlfn.IFS(D145&lt;=500,"Top_500",D145&lt;=2000,"501_2000",D145&lt;=5000,"2001_5000",D145&lt;=10000,"5001_10000"))</f>
        <v>2001_5000</v>
      </c>
      <c r="I145" s="8" t="str">
        <f t="shared" si="5"/>
        <v>|Assault</v>
      </c>
    </row>
    <row r="146" spans="2:9" x14ac:dyDescent="0.25">
      <c r="B146" t="s">
        <v>19</v>
      </c>
      <c r="C146">
        <f t="shared" si="4"/>
        <v>145</v>
      </c>
      <c r="D146" cm="1">
        <f t="array" ref="D146">_xlfn.IFS(C146&lt;=50,7+10*(C146-1),C146&lt;=110,507+25*(C146-51),C146&lt;=170,2007+50*(C146-111),C146&lt;=250,5007+50*(C146-171))</f>
        <v>3707</v>
      </c>
      <c r="E146" t="str" cm="1">
        <f t="array" ref="E146">IF(D146="","",_xlfn.IFS(D146&lt;=500,"Top_500",D146&lt;=2000,"501_2000",D146&lt;=5000,"2001_5000",D146&lt;=10000,"5001_10000"))</f>
        <v>2001_5000</v>
      </c>
      <c r="I146" s="8" t="str">
        <f t="shared" si="5"/>
        <v>|Assault</v>
      </c>
    </row>
    <row r="147" spans="2:9" x14ac:dyDescent="0.25">
      <c r="B147" t="s">
        <v>19</v>
      </c>
      <c r="C147">
        <f t="shared" si="4"/>
        <v>146</v>
      </c>
      <c r="D147" cm="1">
        <f t="array" ref="D147">_xlfn.IFS(C147&lt;=50,7+10*(C147-1),C147&lt;=110,507+25*(C147-51),C147&lt;=170,2007+50*(C147-111),C147&lt;=250,5007+50*(C147-171))</f>
        <v>3757</v>
      </c>
      <c r="E147" t="str" cm="1">
        <f t="array" ref="E147">IF(D147="","",_xlfn.IFS(D147&lt;=500,"Top_500",D147&lt;=2000,"501_2000",D147&lt;=5000,"2001_5000",D147&lt;=10000,"5001_10000"))</f>
        <v>2001_5000</v>
      </c>
      <c r="I147" s="8" t="str">
        <f t="shared" si="5"/>
        <v>|Assault</v>
      </c>
    </row>
    <row r="148" spans="2:9" x14ac:dyDescent="0.25">
      <c r="B148" t="s">
        <v>19</v>
      </c>
      <c r="C148">
        <f t="shared" si="4"/>
        <v>147</v>
      </c>
      <c r="D148" cm="1">
        <f t="array" ref="D148">_xlfn.IFS(C148&lt;=50,7+10*(C148-1),C148&lt;=110,507+25*(C148-51),C148&lt;=170,2007+50*(C148-111),C148&lt;=250,5007+50*(C148-171))</f>
        <v>3807</v>
      </c>
      <c r="E148" t="str" cm="1">
        <f t="array" ref="E148">IF(D148="","",_xlfn.IFS(D148&lt;=500,"Top_500",D148&lt;=2000,"501_2000",D148&lt;=5000,"2001_5000",D148&lt;=10000,"5001_10000"))</f>
        <v>2001_5000</v>
      </c>
      <c r="I148" s="8" t="str">
        <f t="shared" si="5"/>
        <v>|Assault</v>
      </c>
    </row>
    <row r="149" spans="2:9" x14ac:dyDescent="0.25">
      <c r="B149" t="s">
        <v>19</v>
      </c>
      <c r="C149">
        <f t="shared" si="4"/>
        <v>148</v>
      </c>
      <c r="D149" cm="1">
        <f t="array" ref="D149">_xlfn.IFS(C149&lt;=50,7+10*(C149-1),C149&lt;=110,507+25*(C149-51),C149&lt;=170,2007+50*(C149-111),C149&lt;=250,5007+50*(C149-171))</f>
        <v>3857</v>
      </c>
      <c r="E149" t="str" cm="1">
        <f t="array" ref="E149">IF(D149="","",_xlfn.IFS(D149&lt;=500,"Top_500",D149&lt;=2000,"501_2000",D149&lt;=5000,"2001_5000",D149&lt;=10000,"5001_10000"))</f>
        <v>2001_5000</v>
      </c>
      <c r="I149" s="8" t="str">
        <f t="shared" si="5"/>
        <v>|Assault</v>
      </c>
    </row>
    <row r="150" spans="2:9" x14ac:dyDescent="0.25">
      <c r="B150" t="s">
        <v>19</v>
      </c>
      <c r="C150">
        <f t="shared" si="4"/>
        <v>149</v>
      </c>
      <c r="D150" cm="1">
        <f t="array" ref="D150">_xlfn.IFS(C150&lt;=50,7+10*(C150-1),C150&lt;=110,507+25*(C150-51),C150&lt;=170,2007+50*(C150-111),C150&lt;=250,5007+50*(C150-171))</f>
        <v>3907</v>
      </c>
      <c r="E150" t="str" cm="1">
        <f t="array" ref="E150">IF(D150="","",_xlfn.IFS(D150&lt;=500,"Top_500",D150&lt;=2000,"501_2000",D150&lt;=5000,"2001_5000",D150&lt;=10000,"5001_10000"))</f>
        <v>2001_5000</v>
      </c>
      <c r="I150" s="8" t="str">
        <f t="shared" si="5"/>
        <v>|Assault</v>
      </c>
    </row>
    <row r="151" spans="2:9" x14ac:dyDescent="0.25">
      <c r="B151" t="s">
        <v>19</v>
      </c>
      <c r="C151">
        <f t="shared" si="4"/>
        <v>150</v>
      </c>
      <c r="D151" cm="1">
        <f t="array" ref="D151">_xlfn.IFS(C151&lt;=50,7+10*(C151-1),C151&lt;=110,507+25*(C151-51),C151&lt;=170,2007+50*(C151-111),C151&lt;=250,5007+50*(C151-171))</f>
        <v>3957</v>
      </c>
      <c r="E151" t="str" cm="1">
        <f t="array" ref="E151">IF(D151="","",_xlfn.IFS(D151&lt;=500,"Top_500",D151&lt;=2000,"501_2000",D151&lt;=5000,"2001_5000",D151&lt;=10000,"5001_10000"))</f>
        <v>2001_5000</v>
      </c>
      <c r="I151" s="8" t="str">
        <f t="shared" si="5"/>
        <v>|Assault</v>
      </c>
    </row>
    <row r="152" spans="2:9" x14ac:dyDescent="0.25">
      <c r="B152" t="s">
        <v>19</v>
      </c>
      <c r="C152">
        <f t="shared" si="4"/>
        <v>151</v>
      </c>
      <c r="D152" cm="1">
        <f t="array" ref="D152">_xlfn.IFS(C152&lt;=50,7+10*(C152-1),C152&lt;=110,507+25*(C152-51),C152&lt;=170,2007+50*(C152-111),C152&lt;=250,5007+50*(C152-171))</f>
        <v>4007</v>
      </c>
      <c r="E152" t="str" cm="1">
        <f t="array" ref="E152">IF(D152="","",_xlfn.IFS(D152&lt;=500,"Top_500",D152&lt;=2000,"501_2000",D152&lt;=5000,"2001_5000",D152&lt;=10000,"5001_10000"))</f>
        <v>2001_5000</v>
      </c>
      <c r="I152" s="8" t="str">
        <f t="shared" si="5"/>
        <v>|Assault</v>
      </c>
    </row>
    <row r="153" spans="2:9" x14ac:dyDescent="0.25">
      <c r="B153" t="s">
        <v>19</v>
      </c>
      <c r="C153">
        <f t="shared" si="4"/>
        <v>152</v>
      </c>
      <c r="D153" cm="1">
        <f t="array" ref="D153">_xlfn.IFS(C153&lt;=50,7+10*(C153-1),C153&lt;=110,507+25*(C153-51),C153&lt;=170,2007+50*(C153-111),C153&lt;=250,5007+50*(C153-171))</f>
        <v>4057</v>
      </c>
      <c r="E153" t="str" cm="1">
        <f t="array" ref="E153">IF(D153="","",_xlfn.IFS(D153&lt;=500,"Top_500",D153&lt;=2000,"501_2000",D153&lt;=5000,"2001_5000",D153&lt;=10000,"5001_10000"))</f>
        <v>2001_5000</v>
      </c>
      <c r="I153" s="8" t="str">
        <f t="shared" si="5"/>
        <v>|Assault</v>
      </c>
    </row>
    <row r="154" spans="2:9" x14ac:dyDescent="0.25">
      <c r="B154" t="s">
        <v>19</v>
      </c>
      <c r="C154">
        <f t="shared" si="4"/>
        <v>153</v>
      </c>
      <c r="D154" cm="1">
        <f t="array" ref="D154">_xlfn.IFS(C154&lt;=50,7+10*(C154-1),C154&lt;=110,507+25*(C154-51),C154&lt;=170,2007+50*(C154-111),C154&lt;=250,5007+50*(C154-171))</f>
        <v>4107</v>
      </c>
      <c r="E154" t="str" cm="1">
        <f t="array" ref="E154">IF(D154="","",_xlfn.IFS(D154&lt;=500,"Top_500",D154&lt;=2000,"501_2000",D154&lt;=5000,"2001_5000",D154&lt;=10000,"5001_10000"))</f>
        <v>2001_5000</v>
      </c>
      <c r="I154" s="8" t="str">
        <f t="shared" si="5"/>
        <v>|Assault</v>
      </c>
    </row>
    <row r="155" spans="2:9" x14ac:dyDescent="0.25">
      <c r="B155" t="s">
        <v>19</v>
      </c>
      <c r="C155">
        <f t="shared" si="4"/>
        <v>154</v>
      </c>
      <c r="D155" cm="1">
        <f t="array" ref="D155">_xlfn.IFS(C155&lt;=50,7+10*(C155-1),C155&lt;=110,507+25*(C155-51),C155&lt;=170,2007+50*(C155-111),C155&lt;=250,5007+50*(C155-171))</f>
        <v>4157</v>
      </c>
      <c r="E155" t="str" cm="1">
        <f t="array" ref="E155">IF(D155="","",_xlfn.IFS(D155&lt;=500,"Top_500",D155&lt;=2000,"501_2000",D155&lt;=5000,"2001_5000",D155&lt;=10000,"5001_10000"))</f>
        <v>2001_5000</v>
      </c>
      <c r="I155" s="8" t="str">
        <f t="shared" si="5"/>
        <v>|Assault</v>
      </c>
    </row>
    <row r="156" spans="2:9" x14ac:dyDescent="0.25">
      <c r="B156" t="s">
        <v>19</v>
      </c>
      <c r="C156">
        <f t="shared" si="4"/>
        <v>155</v>
      </c>
      <c r="D156" cm="1">
        <f t="array" ref="D156">_xlfn.IFS(C156&lt;=50,7+10*(C156-1),C156&lt;=110,507+25*(C156-51),C156&lt;=170,2007+50*(C156-111),C156&lt;=250,5007+50*(C156-171))</f>
        <v>4207</v>
      </c>
      <c r="E156" t="str" cm="1">
        <f t="array" ref="E156">IF(D156="","",_xlfn.IFS(D156&lt;=500,"Top_500",D156&lt;=2000,"501_2000",D156&lt;=5000,"2001_5000",D156&lt;=10000,"5001_10000"))</f>
        <v>2001_5000</v>
      </c>
      <c r="I156" s="8" t="str">
        <f t="shared" si="5"/>
        <v>|Assault</v>
      </c>
    </row>
    <row r="157" spans="2:9" x14ac:dyDescent="0.25">
      <c r="B157" t="s">
        <v>19</v>
      </c>
      <c r="C157">
        <f t="shared" si="4"/>
        <v>156</v>
      </c>
      <c r="D157" cm="1">
        <f t="array" ref="D157">_xlfn.IFS(C157&lt;=50,7+10*(C157-1),C157&lt;=110,507+25*(C157-51),C157&lt;=170,2007+50*(C157-111),C157&lt;=250,5007+50*(C157-171))</f>
        <v>4257</v>
      </c>
      <c r="E157" t="str" cm="1">
        <f t="array" ref="E157">IF(D157="","",_xlfn.IFS(D157&lt;=500,"Top_500",D157&lt;=2000,"501_2000",D157&lt;=5000,"2001_5000",D157&lt;=10000,"5001_10000"))</f>
        <v>2001_5000</v>
      </c>
      <c r="I157" s="8" t="str">
        <f t="shared" si="5"/>
        <v>|Assault</v>
      </c>
    </row>
    <row r="158" spans="2:9" x14ac:dyDescent="0.25">
      <c r="B158" t="s">
        <v>19</v>
      </c>
      <c r="C158">
        <f t="shared" si="4"/>
        <v>157</v>
      </c>
      <c r="D158" cm="1">
        <f t="array" ref="D158">_xlfn.IFS(C158&lt;=50,7+10*(C158-1),C158&lt;=110,507+25*(C158-51),C158&lt;=170,2007+50*(C158-111),C158&lt;=250,5007+50*(C158-171))</f>
        <v>4307</v>
      </c>
      <c r="E158" t="str" cm="1">
        <f t="array" ref="E158">IF(D158="","",_xlfn.IFS(D158&lt;=500,"Top_500",D158&lt;=2000,"501_2000",D158&lt;=5000,"2001_5000",D158&lt;=10000,"5001_10000"))</f>
        <v>2001_5000</v>
      </c>
      <c r="I158" s="8" t="str">
        <f t="shared" si="5"/>
        <v>|Assault</v>
      </c>
    </row>
    <row r="159" spans="2:9" x14ac:dyDescent="0.25">
      <c r="B159" t="s">
        <v>19</v>
      </c>
      <c r="C159">
        <f t="shared" si="4"/>
        <v>158</v>
      </c>
      <c r="D159" cm="1">
        <f t="array" ref="D159">_xlfn.IFS(C159&lt;=50,7+10*(C159-1),C159&lt;=110,507+25*(C159-51),C159&lt;=170,2007+50*(C159-111),C159&lt;=250,5007+50*(C159-171))</f>
        <v>4357</v>
      </c>
      <c r="E159" t="str" cm="1">
        <f t="array" ref="E159">IF(D159="","",_xlfn.IFS(D159&lt;=500,"Top_500",D159&lt;=2000,"501_2000",D159&lt;=5000,"2001_5000",D159&lt;=10000,"5001_10000"))</f>
        <v>2001_5000</v>
      </c>
      <c r="I159" s="8" t="str">
        <f t="shared" si="5"/>
        <v>|Assault</v>
      </c>
    </row>
    <row r="160" spans="2:9" x14ac:dyDescent="0.25">
      <c r="B160" t="s">
        <v>19</v>
      </c>
      <c r="C160">
        <f t="shared" si="4"/>
        <v>159</v>
      </c>
      <c r="D160" cm="1">
        <f t="array" ref="D160">_xlfn.IFS(C160&lt;=50,7+10*(C160-1),C160&lt;=110,507+25*(C160-51),C160&lt;=170,2007+50*(C160-111),C160&lt;=250,5007+50*(C160-171))</f>
        <v>4407</v>
      </c>
      <c r="E160" t="str" cm="1">
        <f t="array" ref="E160">IF(D160="","",_xlfn.IFS(D160&lt;=500,"Top_500",D160&lt;=2000,"501_2000",D160&lt;=5000,"2001_5000",D160&lt;=10000,"5001_10000"))</f>
        <v>2001_5000</v>
      </c>
      <c r="I160" s="8" t="str">
        <f t="shared" si="5"/>
        <v>|Assault</v>
      </c>
    </row>
    <row r="161" spans="2:9" x14ac:dyDescent="0.25">
      <c r="B161" t="s">
        <v>19</v>
      </c>
      <c r="C161">
        <f t="shared" si="4"/>
        <v>160</v>
      </c>
      <c r="D161" cm="1">
        <f t="array" ref="D161">_xlfn.IFS(C161&lt;=50,7+10*(C161-1),C161&lt;=110,507+25*(C161-51),C161&lt;=170,2007+50*(C161-111),C161&lt;=250,5007+50*(C161-171))</f>
        <v>4457</v>
      </c>
      <c r="E161" t="str" cm="1">
        <f t="array" ref="E161">IF(D161="","",_xlfn.IFS(D161&lt;=500,"Top_500",D161&lt;=2000,"501_2000",D161&lt;=5000,"2001_5000",D161&lt;=10000,"5001_10000"))</f>
        <v>2001_5000</v>
      </c>
      <c r="I161" s="8" t="str">
        <f t="shared" si="5"/>
        <v>|Assault</v>
      </c>
    </row>
    <row r="162" spans="2:9" x14ac:dyDescent="0.25">
      <c r="B162" t="s">
        <v>19</v>
      </c>
      <c r="C162">
        <f t="shared" si="4"/>
        <v>161</v>
      </c>
      <c r="D162" cm="1">
        <f t="array" ref="D162">_xlfn.IFS(C162&lt;=50,7+10*(C162-1),C162&lt;=110,507+25*(C162-51),C162&lt;=170,2007+50*(C162-111),C162&lt;=250,5007+50*(C162-171))</f>
        <v>4507</v>
      </c>
      <c r="E162" t="str" cm="1">
        <f t="array" ref="E162">IF(D162="","",_xlfn.IFS(D162&lt;=500,"Top_500",D162&lt;=2000,"501_2000",D162&lt;=5000,"2001_5000",D162&lt;=10000,"5001_10000"))</f>
        <v>2001_5000</v>
      </c>
      <c r="I162" s="8" t="str">
        <f t="shared" si="5"/>
        <v>|Assault</v>
      </c>
    </row>
    <row r="163" spans="2:9" x14ac:dyDescent="0.25">
      <c r="B163" t="s">
        <v>19</v>
      </c>
      <c r="C163">
        <f t="shared" si="4"/>
        <v>162</v>
      </c>
      <c r="D163" cm="1">
        <f t="array" ref="D163">_xlfn.IFS(C163&lt;=50,7+10*(C163-1),C163&lt;=110,507+25*(C163-51),C163&lt;=170,2007+50*(C163-111),C163&lt;=250,5007+50*(C163-171))</f>
        <v>4557</v>
      </c>
      <c r="E163" t="str" cm="1">
        <f t="array" ref="E163">IF(D163="","",_xlfn.IFS(D163&lt;=500,"Top_500",D163&lt;=2000,"501_2000",D163&lt;=5000,"2001_5000",D163&lt;=10000,"5001_10000"))</f>
        <v>2001_5000</v>
      </c>
      <c r="I163" s="8" t="str">
        <f t="shared" si="5"/>
        <v>|Assault</v>
      </c>
    </row>
    <row r="164" spans="2:9" x14ac:dyDescent="0.25">
      <c r="B164" t="s">
        <v>19</v>
      </c>
      <c r="C164">
        <f t="shared" si="4"/>
        <v>163</v>
      </c>
      <c r="D164" cm="1">
        <f t="array" ref="D164">_xlfn.IFS(C164&lt;=50,7+10*(C164-1),C164&lt;=110,507+25*(C164-51),C164&lt;=170,2007+50*(C164-111),C164&lt;=250,5007+50*(C164-171))</f>
        <v>4607</v>
      </c>
      <c r="E164" t="str" cm="1">
        <f t="array" ref="E164">IF(D164="","",_xlfn.IFS(D164&lt;=500,"Top_500",D164&lt;=2000,"501_2000",D164&lt;=5000,"2001_5000",D164&lt;=10000,"5001_10000"))</f>
        <v>2001_5000</v>
      </c>
      <c r="I164" s="8" t="str">
        <f t="shared" si="5"/>
        <v>|Assault</v>
      </c>
    </row>
    <row r="165" spans="2:9" x14ac:dyDescent="0.25">
      <c r="B165" t="s">
        <v>19</v>
      </c>
      <c r="C165">
        <f t="shared" si="4"/>
        <v>164</v>
      </c>
      <c r="D165" cm="1">
        <f t="array" ref="D165">_xlfn.IFS(C165&lt;=50,7+10*(C165-1),C165&lt;=110,507+25*(C165-51),C165&lt;=170,2007+50*(C165-111),C165&lt;=250,5007+50*(C165-171))</f>
        <v>4657</v>
      </c>
      <c r="E165" t="str" cm="1">
        <f t="array" ref="E165">IF(D165="","",_xlfn.IFS(D165&lt;=500,"Top_500",D165&lt;=2000,"501_2000",D165&lt;=5000,"2001_5000",D165&lt;=10000,"5001_10000"))</f>
        <v>2001_5000</v>
      </c>
      <c r="I165" s="8" t="str">
        <f t="shared" si="5"/>
        <v>|Assault</v>
      </c>
    </row>
    <row r="166" spans="2:9" x14ac:dyDescent="0.25">
      <c r="B166" t="s">
        <v>19</v>
      </c>
      <c r="C166">
        <f t="shared" si="4"/>
        <v>165</v>
      </c>
      <c r="D166" cm="1">
        <f t="array" ref="D166">_xlfn.IFS(C166&lt;=50,7+10*(C166-1),C166&lt;=110,507+25*(C166-51),C166&lt;=170,2007+50*(C166-111),C166&lt;=250,5007+50*(C166-171))</f>
        <v>4707</v>
      </c>
      <c r="E166" t="str" cm="1">
        <f t="array" ref="E166">IF(D166="","",_xlfn.IFS(D166&lt;=500,"Top_500",D166&lt;=2000,"501_2000",D166&lt;=5000,"2001_5000",D166&lt;=10000,"5001_10000"))</f>
        <v>2001_5000</v>
      </c>
      <c r="I166" s="8" t="str">
        <f t="shared" si="5"/>
        <v>|Assault</v>
      </c>
    </row>
    <row r="167" spans="2:9" x14ac:dyDescent="0.25">
      <c r="B167" t="s">
        <v>19</v>
      </c>
      <c r="C167">
        <f t="shared" si="4"/>
        <v>166</v>
      </c>
      <c r="D167" cm="1">
        <f t="array" ref="D167">_xlfn.IFS(C167&lt;=50,7+10*(C167-1),C167&lt;=110,507+25*(C167-51),C167&lt;=170,2007+50*(C167-111),C167&lt;=250,5007+50*(C167-171))</f>
        <v>4757</v>
      </c>
      <c r="E167" t="str" cm="1">
        <f t="array" ref="E167">IF(D167="","",_xlfn.IFS(D167&lt;=500,"Top_500",D167&lt;=2000,"501_2000",D167&lt;=5000,"2001_5000",D167&lt;=10000,"5001_10000"))</f>
        <v>2001_5000</v>
      </c>
      <c r="I167" s="8" t="str">
        <f t="shared" si="5"/>
        <v>|Assault</v>
      </c>
    </row>
    <row r="168" spans="2:9" x14ac:dyDescent="0.25">
      <c r="B168" t="s">
        <v>19</v>
      </c>
      <c r="C168">
        <f t="shared" si="4"/>
        <v>167</v>
      </c>
      <c r="D168" cm="1">
        <f t="array" ref="D168">_xlfn.IFS(C168&lt;=50,7+10*(C168-1),C168&lt;=110,507+25*(C168-51),C168&lt;=170,2007+50*(C168-111),C168&lt;=250,5007+50*(C168-171))</f>
        <v>4807</v>
      </c>
      <c r="E168" t="str" cm="1">
        <f t="array" ref="E168">IF(D168="","",_xlfn.IFS(D168&lt;=500,"Top_500",D168&lt;=2000,"501_2000",D168&lt;=5000,"2001_5000",D168&lt;=10000,"5001_10000"))</f>
        <v>2001_5000</v>
      </c>
      <c r="I168" s="8" t="str">
        <f t="shared" si="5"/>
        <v>|Assault</v>
      </c>
    </row>
    <row r="169" spans="2:9" x14ac:dyDescent="0.25">
      <c r="B169" t="s">
        <v>19</v>
      </c>
      <c r="C169">
        <f t="shared" si="4"/>
        <v>168</v>
      </c>
      <c r="D169" cm="1">
        <f t="array" ref="D169">_xlfn.IFS(C169&lt;=50,7+10*(C169-1),C169&lt;=110,507+25*(C169-51),C169&lt;=170,2007+50*(C169-111),C169&lt;=250,5007+50*(C169-171))</f>
        <v>4857</v>
      </c>
      <c r="E169" t="str" cm="1">
        <f t="array" ref="E169">IF(D169="","",_xlfn.IFS(D169&lt;=500,"Top_500",D169&lt;=2000,"501_2000",D169&lt;=5000,"2001_5000",D169&lt;=10000,"5001_10000"))</f>
        <v>2001_5000</v>
      </c>
      <c r="I169" s="8" t="str">
        <f t="shared" si="5"/>
        <v>|Assault</v>
      </c>
    </row>
    <row r="170" spans="2:9" x14ac:dyDescent="0.25">
      <c r="B170" t="s">
        <v>19</v>
      </c>
      <c r="C170">
        <f t="shared" si="4"/>
        <v>169</v>
      </c>
      <c r="D170" cm="1">
        <f t="array" ref="D170">_xlfn.IFS(C170&lt;=50,7+10*(C170-1),C170&lt;=110,507+25*(C170-51),C170&lt;=170,2007+50*(C170-111),C170&lt;=250,5007+50*(C170-171))</f>
        <v>4907</v>
      </c>
      <c r="E170" t="str" cm="1">
        <f t="array" ref="E170">IF(D170="","",_xlfn.IFS(D170&lt;=500,"Top_500",D170&lt;=2000,"501_2000",D170&lt;=5000,"2001_5000",D170&lt;=10000,"5001_10000"))</f>
        <v>2001_5000</v>
      </c>
      <c r="I170" s="8" t="str">
        <f t="shared" si="5"/>
        <v>|Assault</v>
      </c>
    </row>
    <row r="171" spans="2:9" x14ac:dyDescent="0.25">
      <c r="B171" t="s">
        <v>19</v>
      </c>
      <c r="C171">
        <f t="shared" si="4"/>
        <v>170</v>
      </c>
      <c r="D171" cm="1">
        <f t="array" ref="D171">_xlfn.IFS(C171&lt;=50,7+10*(C171-1),C171&lt;=110,507+25*(C171-51),C171&lt;=170,2007+50*(C171-111),C171&lt;=250,5007+50*(C171-171))</f>
        <v>4957</v>
      </c>
      <c r="E171" t="str" cm="1">
        <f t="array" ref="E171">IF(D171="","",_xlfn.IFS(D171&lt;=500,"Top_500",D171&lt;=2000,"501_2000",D171&lt;=5000,"2001_5000",D171&lt;=10000,"5001_10000"))</f>
        <v>2001_5000</v>
      </c>
      <c r="I171" s="8" t="str">
        <f t="shared" si="5"/>
        <v>|Assault</v>
      </c>
    </row>
    <row r="172" spans="2:9" x14ac:dyDescent="0.25">
      <c r="B172" t="s">
        <v>19</v>
      </c>
      <c r="C172">
        <f t="shared" si="4"/>
        <v>171</v>
      </c>
      <c r="D172" cm="1">
        <f t="array" ref="D172">_xlfn.IFS(C172&lt;=50,7+10*(C172-1),C172&lt;=110,507+25*(C172-51),C172&lt;=170,2007+50*(C172-111),C172&lt;=250,5007+50*(C172-171))</f>
        <v>5007</v>
      </c>
      <c r="E172" t="str" cm="1">
        <f t="array" ref="E172">IF(D172="","",_xlfn.IFS(D172&lt;=500,"Top_500",D172&lt;=2000,"501_2000",D172&lt;=5000,"2001_5000",D172&lt;=10000,"5001_10000"))</f>
        <v>5001_10000</v>
      </c>
      <c r="I172" s="8" t="str">
        <f t="shared" si="5"/>
        <v>|Assault</v>
      </c>
    </row>
    <row r="173" spans="2:9" x14ac:dyDescent="0.25">
      <c r="B173" t="s">
        <v>19</v>
      </c>
      <c r="C173">
        <f t="shared" si="4"/>
        <v>172</v>
      </c>
      <c r="D173" cm="1">
        <f t="array" ref="D173">_xlfn.IFS(C173&lt;=50,7+10*(C173-1),C173&lt;=110,507+25*(C173-51),C173&lt;=170,2007+50*(C173-111),C173&lt;=250,5007+50*(C173-171))</f>
        <v>5057</v>
      </c>
      <c r="E173" t="str" cm="1">
        <f t="array" ref="E173">IF(D173="","",_xlfn.IFS(D173&lt;=500,"Top_500",D173&lt;=2000,"501_2000",D173&lt;=5000,"2001_5000",D173&lt;=10000,"5001_10000"))</f>
        <v>5001_10000</v>
      </c>
      <c r="I173" s="8" t="str">
        <f t="shared" si="5"/>
        <v>|Assault</v>
      </c>
    </row>
    <row r="174" spans="2:9" x14ac:dyDescent="0.25">
      <c r="B174" t="s">
        <v>19</v>
      </c>
      <c r="C174">
        <f t="shared" si="4"/>
        <v>173</v>
      </c>
      <c r="D174" cm="1">
        <f t="array" ref="D174">_xlfn.IFS(C174&lt;=50,7+10*(C174-1),C174&lt;=110,507+25*(C174-51),C174&lt;=170,2007+50*(C174-111),C174&lt;=250,5007+50*(C174-171))</f>
        <v>5107</v>
      </c>
      <c r="E174" t="str" cm="1">
        <f t="array" ref="E174">IF(D174="","",_xlfn.IFS(D174&lt;=500,"Top_500",D174&lt;=2000,"501_2000",D174&lt;=5000,"2001_5000",D174&lt;=10000,"5001_10000"))</f>
        <v>5001_10000</v>
      </c>
      <c r="I174" s="8" t="str">
        <f t="shared" si="5"/>
        <v>|Assault</v>
      </c>
    </row>
    <row r="175" spans="2:9" x14ac:dyDescent="0.25">
      <c r="B175" t="s">
        <v>19</v>
      </c>
      <c r="C175">
        <f t="shared" si="4"/>
        <v>174</v>
      </c>
      <c r="D175" cm="1">
        <f t="array" ref="D175">_xlfn.IFS(C175&lt;=50,7+10*(C175-1),C175&lt;=110,507+25*(C175-51),C175&lt;=170,2007+50*(C175-111),C175&lt;=250,5007+50*(C175-171))</f>
        <v>5157</v>
      </c>
      <c r="E175" t="str" cm="1">
        <f t="array" ref="E175">IF(D175="","",_xlfn.IFS(D175&lt;=500,"Top_500",D175&lt;=2000,"501_2000",D175&lt;=5000,"2001_5000",D175&lt;=10000,"5001_10000"))</f>
        <v>5001_10000</v>
      </c>
      <c r="I175" s="8" t="str">
        <f t="shared" si="5"/>
        <v>|Assault</v>
      </c>
    </row>
    <row r="176" spans="2:9" x14ac:dyDescent="0.25">
      <c r="B176" t="s">
        <v>19</v>
      </c>
      <c r="C176">
        <f t="shared" si="4"/>
        <v>175</v>
      </c>
      <c r="D176" cm="1">
        <f t="array" ref="D176">_xlfn.IFS(C176&lt;=50,7+10*(C176-1),C176&lt;=110,507+25*(C176-51),C176&lt;=170,2007+50*(C176-111),C176&lt;=250,5007+50*(C176-171))</f>
        <v>5207</v>
      </c>
      <c r="E176" t="str" cm="1">
        <f t="array" ref="E176">IF(D176="","",_xlfn.IFS(D176&lt;=500,"Top_500",D176&lt;=2000,"501_2000",D176&lt;=5000,"2001_5000",D176&lt;=10000,"5001_10000"))</f>
        <v>5001_10000</v>
      </c>
      <c r="I176" s="8" t="str">
        <f t="shared" si="5"/>
        <v>|Assault</v>
      </c>
    </row>
    <row r="177" spans="2:9" x14ac:dyDescent="0.25">
      <c r="B177" t="s">
        <v>19</v>
      </c>
      <c r="C177">
        <f t="shared" si="4"/>
        <v>176</v>
      </c>
      <c r="D177" cm="1">
        <f t="array" ref="D177">_xlfn.IFS(C177&lt;=50,7+10*(C177-1),C177&lt;=110,507+25*(C177-51),C177&lt;=170,2007+50*(C177-111),C177&lt;=250,5007+50*(C177-171))</f>
        <v>5257</v>
      </c>
      <c r="E177" t="str" cm="1">
        <f t="array" ref="E177">IF(D177="","",_xlfn.IFS(D177&lt;=500,"Top_500",D177&lt;=2000,"501_2000",D177&lt;=5000,"2001_5000",D177&lt;=10000,"5001_10000"))</f>
        <v>5001_10000</v>
      </c>
      <c r="I177" s="8" t="str">
        <f t="shared" si="5"/>
        <v>|Assault</v>
      </c>
    </row>
    <row r="178" spans="2:9" x14ac:dyDescent="0.25">
      <c r="B178" t="s">
        <v>19</v>
      </c>
      <c r="C178">
        <f t="shared" si="4"/>
        <v>177</v>
      </c>
      <c r="D178" cm="1">
        <f t="array" ref="D178">_xlfn.IFS(C178&lt;=50,7+10*(C178-1),C178&lt;=110,507+25*(C178-51),C178&lt;=170,2007+50*(C178-111),C178&lt;=250,5007+50*(C178-171))</f>
        <v>5307</v>
      </c>
      <c r="E178" t="str" cm="1">
        <f t="array" ref="E178">IF(D178="","",_xlfn.IFS(D178&lt;=500,"Top_500",D178&lt;=2000,"501_2000",D178&lt;=5000,"2001_5000",D178&lt;=10000,"5001_10000"))</f>
        <v>5001_10000</v>
      </c>
      <c r="I178" s="8" t="str">
        <f t="shared" si="5"/>
        <v>|Assault</v>
      </c>
    </row>
    <row r="179" spans="2:9" x14ac:dyDescent="0.25">
      <c r="B179" t="s">
        <v>19</v>
      </c>
      <c r="C179">
        <f t="shared" si="4"/>
        <v>178</v>
      </c>
      <c r="D179" cm="1">
        <f t="array" ref="D179">_xlfn.IFS(C179&lt;=50,7+10*(C179-1),C179&lt;=110,507+25*(C179-51),C179&lt;=170,2007+50*(C179-111),C179&lt;=250,5007+50*(C179-171))</f>
        <v>5357</v>
      </c>
      <c r="E179" t="str" cm="1">
        <f t="array" ref="E179">IF(D179="","",_xlfn.IFS(D179&lt;=500,"Top_500",D179&lt;=2000,"501_2000",D179&lt;=5000,"2001_5000",D179&lt;=10000,"5001_10000"))</f>
        <v>5001_10000</v>
      </c>
      <c r="I179" s="8" t="str">
        <f t="shared" si="5"/>
        <v>|Assault</v>
      </c>
    </row>
    <row r="180" spans="2:9" x14ac:dyDescent="0.25">
      <c r="B180" t="s">
        <v>19</v>
      </c>
      <c r="C180">
        <f t="shared" si="4"/>
        <v>179</v>
      </c>
      <c r="D180" cm="1">
        <f t="array" ref="D180">_xlfn.IFS(C180&lt;=50,7+10*(C180-1),C180&lt;=110,507+25*(C180-51),C180&lt;=170,2007+50*(C180-111),C180&lt;=250,5007+50*(C180-171))</f>
        <v>5407</v>
      </c>
      <c r="E180" t="str" cm="1">
        <f t="array" ref="E180">IF(D180="","",_xlfn.IFS(D180&lt;=500,"Top_500",D180&lt;=2000,"501_2000",D180&lt;=5000,"2001_5000",D180&lt;=10000,"5001_10000"))</f>
        <v>5001_10000</v>
      </c>
      <c r="I180" s="8" t="str">
        <f t="shared" si="5"/>
        <v>|Assault</v>
      </c>
    </row>
    <row r="181" spans="2:9" x14ac:dyDescent="0.25">
      <c r="B181" t="s">
        <v>19</v>
      </c>
      <c r="C181">
        <f t="shared" si="4"/>
        <v>180</v>
      </c>
      <c r="D181" cm="1">
        <f t="array" ref="D181">_xlfn.IFS(C181&lt;=50,7+10*(C181-1),C181&lt;=110,507+25*(C181-51),C181&lt;=170,2007+50*(C181-111),C181&lt;=250,5007+50*(C181-171))</f>
        <v>5457</v>
      </c>
      <c r="E181" t="str" cm="1">
        <f t="array" ref="E181">IF(D181="","",_xlfn.IFS(D181&lt;=500,"Top_500",D181&lt;=2000,"501_2000",D181&lt;=5000,"2001_5000",D181&lt;=10000,"5001_10000"))</f>
        <v>5001_10000</v>
      </c>
      <c r="I181" s="8" t="str">
        <f t="shared" si="5"/>
        <v>|Assault</v>
      </c>
    </row>
    <row r="182" spans="2:9" x14ac:dyDescent="0.25">
      <c r="B182" t="s">
        <v>19</v>
      </c>
      <c r="C182">
        <f t="shared" si="4"/>
        <v>181</v>
      </c>
      <c r="D182" cm="1">
        <f t="array" ref="D182">_xlfn.IFS(C182&lt;=50,7+10*(C182-1),C182&lt;=110,507+25*(C182-51),C182&lt;=170,2007+50*(C182-111),C182&lt;=250,5007+50*(C182-171))</f>
        <v>5507</v>
      </c>
      <c r="E182" t="str" cm="1">
        <f t="array" ref="E182">IF(D182="","",_xlfn.IFS(D182&lt;=500,"Top_500",D182&lt;=2000,"501_2000",D182&lt;=5000,"2001_5000",D182&lt;=10000,"5001_10000"))</f>
        <v>5001_10000</v>
      </c>
      <c r="I182" s="8" t="str">
        <f t="shared" si="5"/>
        <v>|Assault</v>
      </c>
    </row>
    <row r="183" spans="2:9" x14ac:dyDescent="0.25">
      <c r="B183" t="s">
        <v>19</v>
      </c>
      <c r="C183">
        <f t="shared" si="4"/>
        <v>182</v>
      </c>
      <c r="D183" cm="1">
        <f t="array" ref="D183">_xlfn.IFS(C183&lt;=50,7+10*(C183-1),C183&lt;=110,507+25*(C183-51),C183&lt;=170,2007+50*(C183-111),C183&lt;=250,5007+50*(C183-171))</f>
        <v>5557</v>
      </c>
      <c r="E183" t="str" cm="1">
        <f t="array" ref="E183">IF(D183="","",_xlfn.IFS(D183&lt;=500,"Top_500",D183&lt;=2000,"501_2000",D183&lt;=5000,"2001_5000",D183&lt;=10000,"5001_10000"))</f>
        <v>5001_10000</v>
      </c>
      <c r="I183" s="8" t="str">
        <f t="shared" si="5"/>
        <v>|Assault</v>
      </c>
    </row>
    <row r="184" spans="2:9" x14ac:dyDescent="0.25">
      <c r="B184" t="s">
        <v>19</v>
      </c>
      <c r="C184">
        <f t="shared" si="4"/>
        <v>183</v>
      </c>
      <c r="D184" cm="1">
        <f t="array" ref="D184">_xlfn.IFS(C184&lt;=50,7+10*(C184-1),C184&lt;=110,507+25*(C184-51),C184&lt;=170,2007+50*(C184-111),C184&lt;=250,5007+50*(C184-171))</f>
        <v>5607</v>
      </c>
      <c r="E184" t="str" cm="1">
        <f t="array" ref="E184">IF(D184="","",_xlfn.IFS(D184&lt;=500,"Top_500",D184&lt;=2000,"501_2000",D184&lt;=5000,"2001_5000",D184&lt;=10000,"5001_10000"))</f>
        <v>5001_10000</v>
      </c>
      <c r="I184" s="8" t="str">
        <f t="shared" si="5"/>
        <v>|Assault</v>
      </c>
    </row>
    <row r="185" spans="2:9" x14ac:dyDescent="0.25">
      <c r="B185" t="s">
        <v>19</v>
      </c>
      <c r="C185">
        <f t="shared" si="4"/>
        <v>184</v>
      </c>
      <c r="D185" cm="1">
        <f t="array" ref="D185">_xlfn.IFS(C185&lt;=50,7+10*(C185-1),C185&lt;=110,507+25*(C185-51),C185&lt;=170,2007+50*(C185-111),C185&lt;=250,5007+50*(C185-171))</f>
        <v>5657</v>
      </c>
      <c r="E185" t="str" cm="1">
        <f t="array" ref="E185">IF(D185="","",_xlfn.IFS(D185&lt;=500,"Top_500",D185&lt;=2000,"501_2000",D185&lt;=5000,"2001_5000",D185&lt;=10000,"5001_10000"))</f>
        <v>5001_10000</v>
      </c>
      <c r="I185" s="8" t="str">
        <f t="shared" si="5"/>
        <v>|Assault</v>
      </c>
    </row>
    <row r="186" spans="2:9" x14ac:dyDescent="0.25">
      <c r="B186" t="s">
        <v>19</v>
      </c>
      <c r="C186">
        <f t="shared" si="4"/>
        <v>185</v>
      </c>
      <c r="D186" cm="1">
        <f t="array" ref="D186">_xlfn.IFS(C186&lt;=50,7+10*(C186-1),C186&lt;=110,507+25*(C186-51),C186&lt;=170,2007+50*(C186-111),C186&lt;=250,5007+50*(C186-171))</f>
        <v>5707</v>
      </c>
      <c r="E186" t="str" cm="1">
        <f t="array" ref="E186">IF(D186="","",_xlfn.IFS(D186&lt;=500,"Top_500",D186&lt;=2000,"501_2000",D186&lt;=5000,"2001_5000",D186&lt;=10000,"5001_10000"))</f>
        <v>5001_10000</v>
      </c>
      <c r="I186" s="8" t="str">
        <f t="shared" si="5"/>
        <v>|Assault</v>
      </c>
    </row>
    <row r="187" spans="2:9" x14ac:dyDescent="0.25">
      <c r="B187" t="s">
        <v>19</v>
      </c>
      <c r="C187">
        <f t="shared" si="4"/>
        <v>186</v>
      </c>
      <c r="D187" cm="1">
        <f t="array" ref="D187">_xlfn.IFS(C187&lt;=50,7+10*(C187-1),C187&lt;=110,507+25*(C187-51),C187&lt;=170,2007+50*(C187-111),C187&lt;=250,5007+50*(C187-171))</f>
        <v>5757</v>
      </c>
      <c r="E187" t="str" cm="1">
        <f t="array" ref="E187">IF(D187="","",_xlfn.IFS(D187&lt;=500,"Top_500",D187&lt;=2000,"501_2000",D187&lt;=5000,"2001_5000",D187&lt;=10000,"5001_10000"))</f>
        <v>5001_10000</v>
      </c>
      <c r="I187" s="8" t="str">
        <f t="shared" si="5"/>
        <v>|Assault</v>
      </c>
    </row>
    <row r="188" spans="2:9" x14ac:dyDescent="0.25">
      <c r="B188" t="s">
        <v>19</v>
      </c>
      <c r="C188">
        <f t="shared" si="4"/>
        <v>187</v>
      </c>
      <c r="D188" cm="1">
        <f t="array" ref="D188">_xlfn.IFS(C188&lt;=50,7+10*(C188-1),C188&lt;=110,507+25*(C188-51),C188&lt;=170,2007+50*(C188-111),C188&lt;=250,5007+50*(C188-171))</f>
        <v>5807</v>
      </c>
      <c r="E188" t="str" cm="1">
        <f t="array" ref="E188">IF(D188="","",_xlfn.IFS(D188&lt;=500,"Top_500",D188&lt;=2000,"501_2000",D188&lt;=5000,"2001_5000",D188&lt;=10000,"5001_10000"))</f>
        <v>5001_10000</v>
      </c>
      <c r="I188" s="8" t="str">
        <f t="shared" si="5"/>
        <v>|Assault</v>
      </c>
    </row>
    <row r="189" spans="2:9" x14ac:dyDescent="0.25">
      <c r="B189" t="s">
        <v>19</v>
      </c>
      <c r="C189">
        <f t="shared" si="4"/>
        <v>188</v>
      </c>
      <c r="D189" cm="1">
        <f t="array" ref="D189">_xlfn.IFS(C189&lt;=50,7+10*(C189-1),C189&lt;=110,507+25*(C189-51),C189&lt;=170,2007+50*(C189-111),C189&lt;=250,5007+50*(C189-171))</f>
        <v>5857</v>
      </c>
      <c r="E189" t="str" cm="1">
        <f t="array" ref="E189">IF(D189="","",_xlfn.IFS(D189&lt;=500,"Top_500",D189&lt;=2000,"501_2000",D189&lt;=5000,"2001_5000",D189&lt;=10000,"5001_10000"))</f>
        <v>5001_10000</v>
      </c>
      <c r="I189" s="8" t="str">
        <f t="shared" si="5"/>
        <v>|Assault</v>
      </c>
    </row>
    <row r="190" spans="2:9" x14ac:dyDescent="0.25">
      <c r="B190" t="s">
        <v>19</v>
      </c>
      <c r="C190">
        <f t="shared" si="4"/>
        <v>189</v>
      </c>
      <c r="D190" cm="1">
        <f t="array" ref="D190">_xlfn.IFS(C190&lt;=50,7+10*(C190-1),C190&lt;=110,507+25*(C190-51),C190&lt;=170,2007+50*(C190-111),C190&lt;=250,5007+50*(C190-171))</f>
        <v>5907</v>
      </c>
      <c r="E190" t="str" cm="1">
        <f t="array" ref="E190">IF(D190="","",_xlfn.IFS(D190&lt;=500,"Top_500",D190&lt;=2000,"501_2000",D190&lt;=5000,"2001_5000",D190&lt;=10000,"5001_10000"))</f>
        <v>5001_10000</v>
      </c>
      <c r="I190" s="8" t="str">
        <f t="shared" si="5"/>
        <v>|Assault</v>
      </c>
    </row>
    <row r="191" spans="2:9" x14ac:dyDescent="0.25">
      <c r="B191" t="s">
        <v>19</v>
      </c>
      <c r="C191">
        <f t="shared" si="4"/>
        <v>190</v>
      </c>
      <c r="D191" cm="1">
        <f t="array" ref="D191">_xlfn.IFS(C191&lt;=50,7+10*(C191-1),C191&lt;=110,507+25*(C191-51),C191&lt;=170,2007+50*(C191-111),C191&lt;=250,5007+50*(C191-171))</f>
        <v>5957</v>
      </c>
      <c r="E191" t="str" cm="1">
        <f t="array" ref="E191">IF(D191="","",_xlfn.IFS(D191&lt;=500,"Top_500",D191&lt;=2000,"501_2000",D191&lt;=5000,"2001_5000",D191&lt;=10000,"5001_10000"))</f>
        <v>5001_10000</v>
      </c>
      <c r="I191" s="8" t="str">
        <f t="shared" si="5"/>
        <v>|Assault</v>
      </c>
    </row>
    <row r="192" spans="2:9" x14ac:dyDescent="0.25">
      <c r="B192" t="s">
        <v>19</v>
      </c>
      <c r="C192">
        <f t="shared" si="4"/>
        <v>191</v>
      </c>
      <c r="D192" cm="1">
        <f t="array" ref="D192">_xlfn.IFS(C192&lt;=50,7+10*(C192-1),C192&lt;=110,507+25*(C192-51),C192&lt;=170,2007+50*(C192-111),C192&lt;=250,5007+50*(C192-171))</f>
        <v>6007</v>
      </c>
      <c r="E192" t="str" cm="1">
        <f t="array" ref="E192">IF(D192="","",_xlfn.IFS(D192&lt;=500,"Top_500",D192&lt;=2000,"501_2000",D192&lt;=5000,"2001_5000",D192&lt;=10000,"5001_10000"))</f>
        <v>5001_10000</v>
      </c>
      <c r="I192" s="8" t="str">
        <f t="shared" si="5"/>
        <v>|Assault</v>
      </c>
    </row>
    <row r="193" spans="2:9" x14ac:dyDescent="0.25">
      <c r="B193" t="s">
        <v>19</v>
      </c>
      <c r="C193">
        <f t="shared" si="4"/>
        <v>192</v>
      </c>
      <c r="D193" cm="1">
        <f t="array" ref="D193">_xlfn.IFS(C193&lt;=50,7+10*(C193-1),C193&lt;=110,507+25*(C193-51),C193&lt;=170,2007+50*(C193-111),C193&lt;=250,5007+50*(C193-171))</f>
        <v>6057</v>
      </c>
      <c r="E193" t="str" cm="1">
        <f t="array" ref="E193">IF(D193="","",_xlfn.IFS(D193&lt;=500,"Top_500",D193&lt;=2000,"501_2000",D193&lt;=5000,"2001_5000",D193&lt;=10000,"5001_10000"))</f>
        <v>5001_10000</v>
      </c>
      <c r="I193" s="8" t="str">
        <f t="shared" si="5"/>
        <v>|Assault</v>
      </c>
    </row>
    <row r="194" spans="2:9" x14ac:dyDescent="0.25">
      <c r="B194" t="s">
        <v>19</v>
      </c>
      <c r="C194">
        <f t="shared" ref="C194:C257" si="6">IF(ROW()=2,1,IF(B194&lt;&gt;B193,1,C193+1))</f>
        <v>193</v>
      </c>
      <c r="D194" cm="1">
        <f t="array" ref="D194">_xlfn.IFS(C194&lt;=50,7+10*(C194-1),C194&lt;=110,507+25*(C194-51),C194&lt;=170,2007+50*(C194-111),C194&lt;=250,5007+50*(C194-171))</f>
        <v>6107</v>
      </c>
      <c r="E194" t="str" cm="1">
        <f t="array" ref="E194">IF(D194="","",_xlfn.IFS(D194&lt;=500,"Top_500",D194&lt;=2000,"501_2000",D194&lt;=5000,"2001_5000",D194&lt;=10000,"5001_10000"))</f>
        <v>5001_10000</v>
      </c>
      <c r="I194" s="8" t="str">
        <f t="shared" si="5"/>
        <v>|Assault</v>
      </c>
    </row>
    <row r="195" spans="2:9" x14ac:dyDescent="0.25">
      <c r="B195" t="s">
        <v>19</v>
      </c>
      <c r="C195">
        <f t="shared" si="6"/>
        <v>194</v>
      </c>
      <c r="D195" cm="1">
        <f t="array" ref="D195">_xlfn.IFS(C195&lt;=50,7+10*(C195-1),C195&lt;=110,507+25*(C195-51),C195&lt;=170,2007+50*(C195-111),C195&lt;=250,5007+50*(C195-171))</f>
        <v>6157</v>
      </c>
      <c r="E195" t="str" cm="1">
        <f t="array" ref="E195">IF(D195="","",_xlfn.IFS(D195&lt;=500,"Top_500",D195&lt;=2000,"501_2000",D195&lt;=5000,"2001_5000",D195&lt;=10000,"5001_10000"))</f>
        <v>5001_10000</v>
      </c>
      <c r="I195" s="8" t="str">
        <f t="shared" ref="I195:I258" si="7">A195 &amp; "|" &amp; B195</f>
        <v>|Assault</v>
      </c>
    </row>
    <row r="196" spans="2:9" x14ac:dyDescent="0.25">
      <c r="B196" t="s">
        <v>19</v>
      </c>
      <c r="C196">
        <f t="shared" si="6"/>
        <v>195</v>
      </c>
      <c r="D196" cm="1">
        <f t="array" ref="D196">_xlfn.IFS(C196&lt;=50,7+10*(C196-1),C196&lt;=110,507+25*(C196-51),C196&lt;=170,2007+50*(C196-111),C196&lt;=250,5007+50*(C196-171))</f>
        <v>6207</v>
      </c>
      <c r="E196" t="str" cm="1">
        <f t="array" ref="E196">IF(D196="","",_xlfn.IFS(D196&lt;=500,"Top_500",D196&lt;=2000,"501_2000",D196&lt;=5000,"2001_5000",D196&lt;=10000,"5001_10000"))</f>
        <v>5001_10000</v>
      </c>
      <c r="I196" s="8" t="str">
        <f t="shared" si="7"/>
        <v>|Assault</v>
      </c>
    </row>
    <row r="197" spans="2:9" x14ac:dyDescent="0.25">
      <c r="B197" t="s">
        <v>19</v>
      </c>
      <c r="C197">
        <f t="shared" si="6"/>
        <v>196</v>
      </c>
      <c r="D197" cm="1">
        <f t="array" ref="D197">_xlfn.IFS(C197&lt;=50,7+10*(C197-1),C197&lt;=110,507+25*(C197-51),C197&lt;=170,2007+50*(C197-111),C197&lt;=250,5007+50*(C197-171))</f>
        <v>6257</v>
      </c>
      <c r="E197" t="str" cm="1">
        <f t="array" ref="E197">IF(D197="","",_xlfn.IFS(D197&lt;=500,"Top_500",D197&lt;=2000,"501_2000",D197&lt;=5000,"2001_5000",D197&lt;=10000,"5001_10000"))</f>
        <v>5001_10000</v>
      </c>
      <c r="I197" s="8" t="str">
        <f t="shared" si="7"/>
        <v>|Assault</v>
      </c>
    </row>
    <row r="198" spans="2:9" x14ac:dyDescent="0.25">
      <c r="B198" t="s">
        <v>19</v>
      </c>
      <c r="C198">
        <f t="shared" si="6"/>
        <v>197</v>
      </c>
      <c r="D198" cm="1">
        <f t="array" ref="D198">_xlfn.IFS(C198&lt;=50,7+10*(C198-1),C198&lt;=110,507+25*(C198-51),C198&lt;=170,2007+50*(C198-111),C198&lt;=250,5007+50*(C198-171))</f>
        <v>6307</v>
      </c>
      <c r="E198" t="str" cm="1">
        <f t="array" ref="E198">IF(D198="","",_xlfn.IFS(D198&lt;=500,"Top_500",D198&lt;=2000,"501_2000",D198&lt;=5000,"2001_5000",D198&lt;=10000,"5001_10000"))</f>
        <v>5001_10000</v>
      </c>
      <c r="I198" s="8" t="str">
        <f t="shared" si="7"/>
        <v>|Assault</v>
      </c>
    </row>
    <row r="199" spans="2:9" x14ac:dyDescent="0.25">
      <c r="B199" t="s">
        <v>19</v>
      </c>
      <c r="C199">
        <f t="shared" si="6"/>
        <v>198</v>
      </c>
      <c r="D199" cm="1">
        <f t="array" ref="D199">_xlfn.IFS(C199&lt;=50,7+10*(C199-1),C199&lt;=110,507+25*(C199-51),C199&lt;=170,2007+50*(C199-111),C199&lt;=250,5007+50*(C199-171))</f>
        <v>6357</v>
      </c>
      <c r="E199" t="str" cm="1">
        <f t="array" ref="E199">IF(D199="","",_xlfn.IFS(D199&lt;=500,"Top_500",D199&lt;=2000,"501_2000",D199&lt;=5000,"2001_5000",D199&lt;=10000,"5001_10000"))</f>
        <v>5001_10000</v>
      </c>
      <c r="I199" s="8" t="str">
        <f t="shared" si="7"/>
        <v>|Assault</v>
      </c>
    </row>
    <row r="200" spans="2:9" x14ac:dyDescent="0.25">
      <c r="B200" t="s">
        <v>19</v>
      </c>
      <c r="C200">
        <f t="shared" si="6"/>
        <v>199</v>
      </c>
      <c r="D200" cm="1">
        <f t="array" ref="D200">_xlfn.IFS(C200&lt;=50,7+10*(C200-1),C200&lt;=110,507+25*(C200-51),C200&lt;=170,2007+50*(C200-111),C200&lt;=250,5007+50*(C200-171))</f>
        <v>6407</v>
      </c>
      <c r="E200" t="str" cm="1">
        <f t="array" ref="E200">IF(D200="","",_xlfn.IFS(D200&lt;=500,"Top_500",D200&lt;=2000,"501_2000",D200&lt;=5000,"2001_5000",D200&lt;=10000,"5001_10000"))</f>
        <v>5001_10000</v>
      </c>
      <c r="I200" s="8" t="str">
        <f t="shared" si="7"/>
        <v>|Assault</v>
      </c>
    </row>
    <row r="201" spans="2:9" x14ac:dyDescent="0.25">
      <c r="B201" t="s">
        <v>19</v>
      </c>
      <c r="C201">
        <f t="shared" si="6"/>
        <v>200</v>
      </c>
      <c r="D201" cm="1">
        <f t="array" ref="D201">_xlfn.IFS(C201&lt;=50,7+10*(C201-1),C201&lt;=110,507+25*(C201-51),C201&lt;=170,2007+50*(C201-111),C201&lt;=250,5007+50*(C201-171))</f>
        <v>6457</v>
      </c>
      <c r="E201" t="str" cm="1">
        <f t="array" ref="E201">IF(D201="","",_xlfn.IFS(D201&lt;=500,"Top_500",D201&lt;=2000,"501_2000",D201&lt;=5000,"2001_5000",D201&lt;=10000,"5001_10000"))</f>
        <v>5001_10000</v>
      </c>
      <c r="I201" s="8" t="str">
        <f t="shared" si="7"/>
        <v>|Assault</v>
      </c>
    </row>
    <row r="202" spans="2:9" x14ac:dyDescent="0.25">
      <c r="B202" t="s">
        <v>19</v>
      </c>
      <c r="C202">
        <f t="shared" si="6"/>
        <v>201</v>
      </c>
      <c r="D202" cm="1">
        <f t="array" ref="D202">_xlfn.IFS(C202&lt;=50,7+10*(C202-1),C202&lt;=110,507+25*(C202-51),C202&lt;=170,2007+50*(C202-111),C202&lt;=250,5007+50*(C202-171))</f>
        <v>6507</v>
      </c>
      <c r="E202" t="str" cm="1">
        <f t="array" ref="E202">IF(D202="","",_xlfn.IFS(D202&lt;=500,"Top_500",D202&lt;=2000,"501_2000",D202&lt;=5000,"2001_5000",D202&lt;=10000,"5001_10000"))</f>
        <v>5001_10000</v>
      </c>
      <c r="I202" s="8" t="str">
        <f t="shared" si="7"/>
        <v>|Assault</v>
      </c>
    </row>
    <row r="203" spans="2:9" x14ac:dyDescent="0.25">
      <c r="B203" t="s">
        <v>19</v>
      </c>
      <c r="C203">
        <f t="shared" si="6"/>
        <v>202</v>
      </c>
      <c r="D203" cm="1">
        <f t="array" ref="D203">_xlfn.IFS(C203&lt;=50,7+10*(C203-1),C203&lt;=110,507+25*(C203-51),C203&lt;=170,2007+50*(C203-111),C203&lt;=250,5007+50*(C203-171))</f>
        <v>6557</v>
      </c>
      <c r="E203" t="str" cm="1">
        <f t="array" ref="E203">IF(D203="","",_xlfn.IFS(D203&lt;=500,"Top_500",D203&lt;=2000,"501_2000",D203&lt;=5000,"2001_5000",D203&lt;=10000,"5001_10000"))</f>
        <v>5001_10000</v>
      </c>
      <c r="I203" s="8" t="str">
        <f t="shared" si="7"/>
        <v>|Assault</v>
      </c>
    </row>
    <row r="204" spans="2:9" x14ac:dyDescent="0.25">
      <c r="B204" t="s">
        <v>19</v>
      </c>
      <c r="C204">
        <f t="shared" si="6"/>
        <v>203</v>
      </c>
      <c r="D204" cm="1">
        <f t="array" ref="D204">_xlfn.IFS(C204&lt;=50,7+10*(C204-1),C204&lt;=110,507+25*(C204-51),C204&lt;=170,2007+50*(C204-111),C204&lt;=250,5007+50*(C204-171))</f>
        <v>6607</v>
      </c>
      <c r="E204" t="str" cm="1">
        <f t="array" ref="E204">IF(D204="","",_xlfn.IFS(D204&lt;=500,"Top_500",D204&lt;=2000,"501_2000",D204&lt;=5000,"2001_5000",D204&lt;=10000,"5001_10000"))</f>
        <v>5001_10000</v>
      </c>
      <c r="I204" s="8" t="str">
        <f t="shared" si="7"/>
        <v>|Assault</v>
      </c>
    </row>
    <row r="205" spans="2:9" x14ac:dyDescent="0.25">
      <c r="B205" t="s">
        <v>19</v>
      </c>
      <c r="C205">
        <f t="shared" si="6"/>
        <v>204</v>
      </c>
      <c r="D205" cm="1">
        <f t="array" ref="D205">_xlfn.IFS(C205&lt;=50,7+10*(C205-1),C205&lt;=110,507+25*(C205-51),C205&lt;=170,2007+50*(C205-111),C205&lt;=250,5007+50*(C205-171))</f>
        <v>6657</v>
      </c>
      <c r="E205" t="str" cm="1">
        <f t="array" ref="E205">IF(D205="","",_xlfn.IFS(D205&lt;=500,"Top_500",D205&lt;=2000,"501_2000",D205&lt;=5000,"2001_5000",D205&lt;=10000,"5001_10000"))</f>
        <v>5001_10000</v>
      </c>
      <c r="I205" s="8" t="str">
        <f t="shared" si="7"/>
        <v>|Assault</v>
      </c>
    </row>
    <row r="206" spans="2:9" x14ac:dyDescent="0.25">
      <c r="B206" t="s">
        <v>19</v>
      </c>
      <c r="C206">
        <f t="shared" si="6"/>
        <v>205</v>
      </c>
      <c r="D206" cm="1">
        <f t="array" ref="D206">_xlfn.IFS(C206&lt;=50,7+10*(C206-1),C206&lt;=110,507+25*(C206-51),C206&lt;=170,2007+50*(C206-111),C206&lt;=250,5007+50*(C206-171))</f>
        <v>6707</v>
      </c>
      <c r="E206" t="str" cm="1">
        <f t="array" ref="E206">IF(D206="","",_xlfn.IFS(D206&lt;=500,"Top_500",D206&lt;=2000,"501_2000",D206&lt;=5000,"2001_5000",D206&lt;=10000,"5001_10000"))</f>
        <v>5001_10000</v>
      </c>
      <c r="I206" s="8" t="str">
        <f t="shared" si="7"/>
        <v>|Assault</v>
      </c>
    </row>
    <row r="207" spans="2:9" x14ac:dyDescent="0.25">
      <c r="B207" t="s">
        <v>19</v>
      </c>
      <c r="C207">
        <f t="shared" si="6"/>
        <v>206</v>
      </c>
      <c r="D207" cm="1">
        <f t="array" ref="D207">_xlfn.IFS(C207&lt;=50,7+10*(C207-1),C207&lt;=110,507+25*(C207-51),C207&lt;=170,2007+50*(C207-111),C207&lt;=250,5007+50*(C207-171))</f>
        <v>6757</v>
      </c>
      <c r="E207" t="str" cm="1">
        <f t="array" ref="E207">IF(D207="","",_xlfn.IFS(D207&lt;=500,"Top_500",D207&lt;=2000,"501_2000",D207&lt;=5000,"2001_5000",D207&lt;=10000,"5001_10000"))</f>
        <v>5001_10000</v>
      </c>
      <c r="I207" s="8" t="str">
        <f t="shared" si="7"/>
        <v>|Assault</v>
      </c>
    </row>
    <row r="208" spans="2:9" x14ac:dyDescent="0.25">
      <c r="B208" t="s">
        <v>19</v>
      </c>
      <c r="C208">
        <f t="shared" si="6"/>
        <v>207</v>
      </c>
      <c r="D208" cm="1">
        <f t="array" ref="D208">_xlfn.IFS(C208&lt;=50,7+10*(C208-1),C208&lt;=110,507+25*(C208-51),C208&lt;=170,2007+50*(C208-111),C208&lt;=250,5007+50*(C208-171))</f>
        <v>6807</v>
      </c>
      <c r="E208" t="str" cm="1">
        <f t="array" ref="E208">IF(D208="","",_xlfn.IFS(D208&lt;=500,"Top_500",D208&lt;=2000,"501_2000",D208&lt;=5000,"2001_5000",D208&lt;=10000,"5001_10000"))</f>
        <v>5001_10000</v>
      </c>
      <c r="I208" s="8" t="str">
        <f t="shared" si="7"/>
        <v>|Assault</v>
      </c>
    </row>
    <row r="209" spans="2:9" x14ac:dyDescent="0.25">
      <c r="B209" t="s">
        <v>19</v>
      </c>
      <c r="C209">
        <f t="shared" si="6"/>
        <v>208</v>
      </c>
      <c r="D209" cm="1">
        <f t="array" ref="D209">_xlfn.IFS(C209&lt;=50,7+10*(C209-1),C209&lt;=110,507+25*(C209-51),C209&lt;=170,2007+50*(C209-111),C209&lt;=250,5007+50*(C209-171))</f>
        <v>6857</v>
      </c>
      <c r="E209" t="str" cm="1">
        <f t="array" ref="E209">IF(D209="","",_xlfn.IFS(D209&lt;=500,"Top_500",D209&lt;=2000,"501_2000",D209&lt;=5000,"2001_5000",D209&lt;=10000,"5001_10000"))</f>
        <v>5001_10000</v>
      </c>
      <c r="I209" s="8" t="str">
        <f t="shared" si="7"/>
        <v>|Assault</v>
      </c>
    </row>
    <row r="210" spans="2:9" x14ac:dyDescent="0.25">
      <c r="B210" t="s">
        <v>19</v>
      </c>
      <c r="C210">
        <f t="shared" si="6"/>
        <v>209</v>
      </c>
      <c r="D210" cm="1">
        <f t="array" ref="D210">_xlfn.IFS(C210&lt;=50,7+10*(C210-1),C210&lt;=110,507+25*(C210-51),C210&lt;=170,2007+50*(C210-111),C210&lt;=250,5007+50*(C210-171))</f>
        <v>6907</v>
      </c>
      <c r="E210" t="str" cm="1">
        <f t="array" ref="E210">IF(D210="","",_xlfn.IFS(D210&lt;=500,"Top_500",D210&lt;=2000,"501_2000",D210&lt;=5000,"2001_5000",D210&lt;=10000,"5001_10000"))</f>
        <v>5001_10000</v>
      </c>
      <c r="I210" s="8" t="str">
        <f t="shared" si="7"/>
        <v>|Assault</v>
      </c>
    </row>
    <row r="211" spans="2:9" x14ac:dyDescent="0.25">
      <c r="B211" t="s">
        <v>19</v>
      </c>
      <c r="C211">
        <f t="shared" si="6"/>
        <v>210</v>
      </c>
      <c r="D211" cm="1">
        <f t="array" ref="D211">_xlfn.IFS(C211&lt;=50,7+10*(C211-1),C211&lt;=110,507+25*(C211-51),C211&lt;=170,2007+50*(C211-111),C211&lt;=250,5007+50*(C211-171))</f>
        <v>6957</v>
      </c>
      <c r="E211" t="str" cm="1">
        <f t="array" ref="E211">IF(D211="","",_xlfn.IFS(D211&lt;=500,"Top_500",D211&lt;=2000,"501_2000",D211&lt;=5000,"2001_5000",D211&lt;=10000,"5001_10000"))</f>
        <v>5001_10000</v>
      </c>
      <c r="I211" s="8" t="str">
        <f t="shared" si="7"/>
        <v>|Assault</v>
      </c>
    </row>
    <row r="212" spans="2:9" x14ac:dyDescent="0.25">
      <c r="B212" t="s">
        <v>19</v>
      </c>
      <c r="C212">
        <f t="shared" si="6"/>
        <v>211</v>
      </c>
      <c r="D212" cm="1">
        <f t="array" ref="D212">_xlfn.IFS(C212&lt;=50,7+10*(C212-1),C212&lt;=110,507+25*(C212-51),C212&lt;=170,2007+50*(C212-111),C212&lt;=250,5007+50*(C212-171))</f>
        <v>7007</v>
      </c>
      <c r="E212" t="str" cm="1">
        <f t="array" ref="E212">IF(D212="","",_xlfn.IFS(D212&lt;=500,"Top_500",D212&lt;=2000,"501_2000",D212&lt;=5000,"2001_5000",D212&lt;=10000,"5001_10000"))</f>
        <v>5001_10000</v>
      </c>
      <c r="I212" s="8" t="str">
        <f t="shared" si="7"/>
        <v>|Assault</v>
      </c>
    </row>
    <row r="213" spans="2:9" x14ac:dyDescent="0.25">
      <c r="B213" t="s">
        <v>19</v>
      </c>
      <c r="C213">
        <f t="shared" si="6"/>
        <v>212</v>
      </c>
      <c r="D213" cm="1">
        <f t="array" ref="D213">_xlfn.IFS(C213&lt;=50,7+10*(C213-1),C213&lt;=110,507+25*(C213-51),C213&lt;=170,2007+50*(C213-111),C213&lt;=250,5007+50*(C213-171))</f>
        <v>7057</v>
      </c>
      <c r="E213" t="str" cm="1">
        <f t="array" ref="E213">IF(D213="","",_xlfn.IFS(D213&lt;=500,"Top_500",D213&lt;=2000,"501_2000",D213&lt;=5000,"2001_5000",D213&lt;=10000,"5001_10000"))</f>
        <v>5001_10000</v>
      </c>
      <c r="I213" s="8" t="str">
        <f t="shared" si="7"/>
        <v>|Assault</v>
      </c>
    </row>
    <row r="214" spans="2:9" x14ac:dyDescent="0.25">
      <c r="B214" t="s">
        <v>19</v>
      </c>
      <c r="C214">
        <f t="shared" si="6"/>
        <v>213</v>
      </c>
      <c r="D214" cm="1">
        <f t="array" ref="D214">_xlfn.IFS(C214&lt;=50,7+10*(C214-1),C214&lt;=110,507+25*(C214-51),C214&lt;=170,2007+50*(C214-111),C214&lt;=250,5007+50*(C214-171))</f>
        <v>7107</v>
      </c>
      <c r="E214" t="str" cm="1">
        <f t="array" ref="E214">IF(D214="","",_xlfn.IFS(D214&lt;=500,"Top_500",D214&lt;=2000,"501_2000",D214&lt;=5000,"2001_5000",D214&lt;=10000,"5001_10000"))</f>
        <v>5001_10000</v>
      </c>
      <c r="I214" s="8" t="str">
        <f t="shared" si="7"/>
        <v>|Assault</v>
      </c>
    </row>
    <row r="215" spans="2:9" x14ac:dyDescent="0.25">
      <c r="B215" t="s">
        <v>19</v>
      </c>
      <c r="C215">
        <f t="shared" si="6"/>
        <v>214</v>
      </c>
      <c r="D215" cm="1">
        <f t="array" ref="D215">_xlfn.IFS(C215&lt;=50,7+10*(C215-1),C215&lt;=110,507+25*(C215-51),C215&lt;=170,2007+50*(C215-111),C215&lt;=250,5007+50*(C215-171))</f>
        <v>7157</v>
      </c>
      <c r="E215" t="str" cm="1">
        <f t="array" ref="E215">IF(D215="","",_xlfn.IFS(D215&lt;=500,"Top_500",D215&lt;=2000,"501_2000",D215&lt;=5000,"2001_5000",D215&lt;=10000,"5001_10000"))</f>
        <v>5001_10000</v>
      </c>
      <c r="I215" s="8" t="str">
        <f t="shared" si="7"/>
        <v>|Assault</v>
      </c>
    </row>
    <row r="216" spans="2:9" x14ac:dyDescent="0.25">
      <c r="B216" t="s">
        <v>19</v>
      </c>
      <c r="C216">
        <f t="shared" si="6"/>
        <v>215</v>
      </c>
      <c r="D216" cm="1">
        <f t="array" ref="D216">_xlfn.IFS(C216&lt;=50,7+10*(C216-1),C216&lt;=110,507+25*(C216-51),C216&lt;=170,2007+50*(C216-111),C216&lt;=250,5007+50*(C216-171))</f>
        <v>7207</v>
      </c>
      <c r="E216" t="str" cm="1">
        <f t="array" ref="E216">IF(D216="","",_xlfn.IFS(D216&lt;=500,"Top_500",D216&lt;=2000,"501_2000",D216&lt;=5000,"2001_5000",D216&lt;=10000,"5001_10000"))</f>
        <v>5001_10000</v>
      </c>
      <c r="I216" s="8" t="str">
        <f t="shared" si="7"/>
        <v>|Assault</v>
      </c>
    </row>
    <row r="217" spans="2:9" x14ac:dyDescent="0.25">
      <c r="B217" t="s">
        <v>19</v>
      </c>
      <c r="C217">
        <f t="shared" si="6"/>
        <v>216</v>
      </c>
      <c r="D217" cm="1">
        <f t="array" ref="D217">_xlfn.IFS(C217&lt;=50,7+10*(C217-1),C217&lt;=110,507+25*(C217-51),C217&lt;=170,2007+50*(C217-111),C217&lt;=250,5007+50*(C217-171))</f>
        <v>7257</v>
      </c>
      <c r="E217" t="str" cm="1">
        <f t="array" ref="E217">IF(D217="","",_xlfn.IFS(D217&lt;=500,"Top_500",D217&lt;=2000,"501_2000",D217&lt;=5000,"2001_5000",D217&lt;=10000,"5001_10000"))</f>
        <v>5001_10000</v>
      </c>
      <c r="I217" s="8" t="str">
        <f t="shared" si="7"/>
        <v>|Assault</v>
      </c>
    </row>
    <row r="218" spans="2:9" x14ac:dyDescent="0.25">
      <c r="B218" t="s">
        <v>19</v>
      </c>
      <c r="C218">
        <f t="shared" si="6"/>
        <v>217</v>
      </c>
      <c r="D218" cm="1">
        <f t="array" ref="D218">_xlfn.IFS(C218&lt;=50,7+10*(C218-1),C218&lt;=110,507+25*(C218-51),C218&lt;=170,2007+50*(C218-111),C218&lt;=250,5007+50*(C218-171))</f>
        <v>7307</v>
      </c>
      <c r="E218" t="str" cm="1">
        <f t="array" ref="E218">IF(D218="","",_xlfn.IFS(D218&lt;=500,"Top_500",D218&lt;=2000,"501_2000",D218&lt;=5000,"2001_5000",D218&lt;=10000,"5001_10000"))</f>
        <v>5001_10000</v>
      </c>
      <c r="I218" s="8" t="str">
        <f t="shared" si="7"/>
        <v>|Assault</v>
      </c>
    </row>
    <row r="219" spans="2:9" x14ac:dyDescent="0.25">
      <c r="B219" t="s">
        <v>19</v>
      </c>
      <c r="C219">
        <f t="shared" si="6"/>
        <v>218</v>
      </c>
      <c r="D219" cm="1">
        <f t="array" ref="D219">_xlfn.IFS(C219&lt;=50,7+10*(C219-1),C219&lt;=110,507+25*(C219-51),C219&lt;=170,2007+50*(C219-111),C219&lt;=250,5007+50*(C219-171))</f>
        <v>7357</v>
      </c>
      <c r="E219" t="str" cm="1">
        <f t="array" ref="E219">IF(D219="","",_xlfn.IFS(D219&lt;=500,"Top_500",D219&lt;=2000,"501_2000",D219&lt;=5000,"2001_5000",D219&lt;=10000,"5001_10000"))</f>
        <v>5001_10000</v>
      </c>
      <c r="I219" s="8" t="str">
        <f t="shared" si="7"/>
        <v>|Assault</v>
      </c>
    </row>
    <row r="220" spans="2:9" x14ac:dyDescent="0.25">
      <c r="B220" t="s">
        <v>19</v>
      </c>
      <c r="C220">
        <f t="shared" si="6"/>
        <v>219</v>
      </c>
      <c r="D220" cm="1">
        <f t="array" ref="D220">_xlfn.IFS(C220&lt;=50,7+10*(C220-1),C220&lt;=110,507+25*(C220-51),C220&lt;=170,2007+50*(C220-111),C220&lt;=250,5007+50*(C220-171))</f>
        <v>7407</v>
      </c>
      <c r="E220" t="str" cm="1">
        <f t="array" ref="E220">IF(D220="","",_xlfn.IFS(D220&lt;=500,"Top_500",D220&lt;=2000,"501_2000",D220&lt;=5000,"2001_5000",D220&lt;=10000,"5001_10000"))</f>
        <v>5001_10000</v>
      </c>
      <c r="I220" s="8" t="str">
        <f t="shared" si="7"/>
        <v>|Assault</v>
      </c>
    </row>
    <row r="221" spans="2:9" x14ac:dyDescent="0.25">
      <c r="B221" t="s">
        <v>19</v>
      </c>
      <c r="C221">
        <f t="shared" si="6"/>
        <v>220</v>
      </c>
      <c r="D221" cm="1">
        <f t="array" ref="D221">_xlfn.IFS(C221&lt;=50,7+10*(C221-1),C221&lt;=110,507+25*(C221-51),C221&lt;=170,2007+50*(C221-111),C221&lt;=250,5007+50*(C221-171))</f>
        <v>7457</v>
      </c>
      <c r="E221" t="str" cm="1">
        <f t="array" ref="E221">IF(D221="","",_xlfn.IFS(D221&lt;=500,"Top_500",D221&lt;=2000,"501_2000",D221&lt;=5000,"2001_5000",D221&lt;=10000,"5001_10000"))</f>
        <v>5001_10000</v>
      </c>
      <c r="I221" s="8" t="str">
        <f t="shared" si="7"/>
        <v>|Assault</v>
      </c>
    </row>
    <row r="222" spans="2:9" x14ac:dyDescent="0.25">
      <c r="B222" t="s">
        <v>19</v>
      </c>
      <c r="C222">
        <f t="shared" si="6"/>
        <v>221</v>
      </c>
      <c r="D222" cm="1">
        <f t="array" ref="D222">_xlfn.IFS(C222&lt;=50,7+10*(C222-1),C222&lt;=110,507+25*(C222-51),C222&lt;=170,2007+50*(C222-111),C222&lt;=250,5007+50*(C222-171))</f>
        <v>7507</v>
      </c>
      <c r="E222" t="str" cm="1">
        <f t="array" ref="E222">IF(D222="","",_xlfn.IFS(D222&lt;=500,"Top_500",D222&lt;=2000,"501_2000",D222&lt;=5000,"2001_5000",D222&lt;=10000,"5001_10000"))</f>
        <v>5001_10000</v>
      </c>
      <c r="I222" s="8" t="str">
        <f t="shared" si="7"/>
        <v>|Assault</v>
      </c>
    </row>
    <row r="223" spans="2:9" x14ac:dyDescent="0.25">
      <c r="B223" t="s">
        <v>19</v>
      </c>
      <c r="C223">
        <f t="shared" si="6"/>
        <v>222</v>
      </c>
      <c r="D223" cm="1">
        <f t="array" ref="D223">_xlfn.IFS(C223&lt;=50,7+10*(C223-1),C223&lt;=110,507+25*(C223-51),C223&lt;=170,2007+50*(C223-111),C223&lt;=250,5007+50*(C223-171))</f>
        <v>7557</v>
      </c>
      <c r="E223" t="str" cm="1">
        <f t="array" ref="E223">IF(D223="","",_xlfn.IFS(D223&lt;=500,"Top_500",D223&lt;=2000,"501_2000",D223&lt;=5000,"2001_5000",D223&lt;=10000,"5001_10000"))</f>
        <v>5001_10000</v>
      </c>
      <c r="I223" s="8" t="str">
        <f t="shared" si="7"/>
        <v>|Assault</v>
      </c>
    </row>
    <row r="224" spans="2:9" x14ac:dyDescent="0.25">
      <c r="B224" t="s">
        <v>19</v>
      </c>
      <c r="C224">
        <f t="shared" si="6"/>
        <v>223</v>
      </c>
      <c r="D224" cm="1">
        <f t="array" ref="D224">_xlfn.IFS(C224&lt;=50,7+10*(C224-1),C224&lt;=110,507+25*(C224-51),C224&lt;=170,2007+50*(C224-111),C224&lt;=250,5007+50*(C224-171))</f>
        <v>7607</v>
      </c>
      <c r="E224" t="str" cm="1">
        <f t="array" ref="E224">IF(D224="","",_xlfn.IFS(D224&lt;=500,"Top_500",D224&lt;=2000,"501_2000",D224&lt;=5000,"2001_5000",D224&lt;=10000,"5001_10000"))</f>
        <v>5001_10000</v>
      </c>
      <c r="I224" s="8" t="str">
        <f t="shared" si="7"/>
        <v>|Assault</v>
      </c>
    </row>
    <row r="225" spans="2:9" x14ac:dyDescent="0.25">
      <c r="B225" t="s">
        <v>19</v>
      </c>
      <c r="C225">
        <f t="shared" si="6"/>
        <v>224</v>
      </c>
      <c r="D225" cm="1">
        <f t="array" ref="D225">_xlfn.IFS(C225&lt;=50,7+10*(C225-1),C225&lt;=110,507+25*(C225-51),C225&lt;=170,2007+50*(C225-111),C225&lt;=250,5007+50*(C225-171))</f>
        <v>7657</v>
      </c>
      <c r="E225" t="str" cm="1">
        <f t="array" ref="E225">IF(D225="","",_xlfn.IFS(D225&lt;=500,"Top_500",D225&lt;=2000,"501_2000",D225&lt;=5000,"2001_5000",D225&lt;=10000,"5001_10000"))</f>
        <v>5001_10000</v>
      </c>
      <c r="I225" s="8" t="str">
        <f t="shared" si="7"/>
        <v>|Assault</v>
      </c>
    </row>
    <row r="226" spans="2:9" x14ac:dyDescent="0.25">
      <c r="B226" t="s">
        <v>19</v>
      </c>
      <c r="C226">
        <f t="shared" si="6"/>
        <v>225</v>
      </c>
      <c r="D226" cm="1">
        <f t="array" ref="D226">_xlfn.IFS(C226&lt;=50,7+10*(C226-1),C226&lt;=110,507+25*(C226-51),C226&lt;=170,2007+50*(C226-111),C226&lt;=250,5007+50*(C226-171))</f>
        <v>7707</v>
      </c>
      <c r="E226" t="str" cm="1">
        <f t="array" ref="E226">IF(D226="","",_xlfn.IFS(D226&lt;=500,"Top_500",D226&lt;=2000,"501_2000",D226&lt;=5000,"2001_5000",D226&lt;=10000,"5001_10000"))</f>
        <v>5001_10000</v>
      </c>
      <c r="I226" s="8" t="str">
        <f t="shared" si="7"/>
        <v>|Assault</v>
      </c>
    </row>
    <row r="227" spans="2:9" x14ac:dyDescent="0.25">
      <c r="B227" t="s">
        <v>19</v>
      </c>
      <c r="C227">
        <f t="shared" si="6"/>
        <v>226</v>
      </c>
      <c r="D227" cm="1">
        <f t="array" ref="D227">_xlfn.IFS(C227&lt;=50,7+10*(C227-1),C227&lt;=110,507+25*(C227-51),C227&lt;=170,2007+50*(C227-111),C227&lt;=250,5007+50*(C227-171))</f>
        <v>7757</v>
      </c>
      <c r="E227" t="str" cm="1">
        <f t="array" ref="E227">IF(D227="","",_xlfn.IFS(D227&lt;=500,"Top_500",D227&lt;=2000,"501_2000",D227&lt;=5000,"2001_5000",D227&lt;=10000,"5001_10000"))</f>
        <v>5001_10000</v>
      </c>
      <c r="I227" s="8" t="str">
        <f t="shared" si="7"/>
        <v>|Assault</v>
      </c>
    </row>
    <row r="228" spans="2:9" x14ac:dyDescent="0.25">
      <c r="B228" t="s">
        <v>19</v>
      </c>
      <c r="C228">
        <f t="shared" si="6"/>
        <v>227</v>
      </c>
      <c r="D228" cm="1">
        <f t="array" ref="D228">_xlfn.IFS(C228&lt;=50,7+10*(C228-1),C228&lt;=110,507+25*(C228-51),C228&lt;=170,2007+50*(C228-111),C228&lt;=250,5007+50*(C228-171))</f>
        <v>7807</v>
      </c>
      <c r="E228" t="str" cm="1">
        <f t="array" ref="E228">IF(D228="","",_xlfn.IFS(D228&lt;=500,"Top_500",D228&lt;=2000,"501_2000",D228&lt;=5000,"2001_5000",D228&lt;=10000,"5001_10000"))</f>
        <v>5001_10000</v>
      </c>
      <c r="I228" s="8" t="str">
        <f t="shared" si="7"/>
        <v>|Assault</v>
      </c>
    </row>
    <row r="229" spans="2:9" x14ac:dyDescent="0.25">
      <c r="B229" t="s">
        <v>19</v>
      </c>
      <c r="C229">
        <f t="shared" si="6"/>
        <v>228</v>
      </c>
      <c r="D229" cm="1">
        <f t="array" ref="D229">_xlfn.IFS(C229&lt;=50,7+10*(C229-1),C229&lt;=110,507+25*(C229-51),C229&lt;=170,2007+50*(C229-111),C229&lt;=250,5007+50*(C229-171))</f>
        <v>7857</v>
      </c>
      <c r="E229" t="str" cm="1">
        <f t="array" ref="E229">IF(D229="","",_xlfn.IFS(D229&lt;=500,"Top_500",D229&lt;=2000,"501_2000",D229&lt;=5000,"2001_5000",D229&lt;=10000,"5001_10000"))</f>
        <v>5001_10000</v>
      </c>
      <c r="I229" s="8" t="str">
        <f t="shared" si="7"/>
        <v>|Assault</v>
      </c>
    </row>
    <row r="230" spans="2:9" x14ac:dyDescent="0.25">
      <c r="B230" t="s">
        <v>19</v>
      </c>
      <c r="C230">
        <f t="shared" si="6"/>
        <v>229</v>
      </c>
      <c r="D230" cm="1">
        <f t="array" ref="D230">_xlfn.IFS(C230&lt;=50,7+10*(C230-1),C230&lt;=110,507+25*(C230-51),C230&lt;=170,2007+50*(C230-111),C230&lt;=250,5007+50*(C230-171))</f>
        <v>7907</v>
      </c>
      <c r="E230" t="str" cm="1">
        <f t="array" ref="E230">IF(D230="","",_xlfn.IFS(D230&lt;=500,"Top_500",D230&lt;=2000,"501_2000",D230&lt;=5000,"2001_5000",D230&lt;=10000,"5001_10000"))</f>
        <v>5001_10000</v>
      </c>
      <c r="I230" s="8" t="str">
        <f t="shared" si="7"/>
        <v>|Assault</v>
      </c>
    </row>
    <row r="231" spans="2:9" x14ac:dyDescent="0.25">
      <c r="B231" t="s">
        <v>19</v>
      </c>
      <c r="C231">
        <f t="shared" si="6"/>
        <v>230</v>
      </c>
      <c r="D231" cm="1">
        <f t="array" ref="D231">_xlfn.IFS(C231&lt;=50,7+10*(C231-1),C231&lt;=110,507+25*(C231-51),C231&lt;=170,2007+50*(C231-111),C231&lt;=250,5007+50*(C231-171))</f>
        <v>7957</v>
      </c>
      <c r="E231" t="str" cm="1">
        <f t="array" ref="E231">IF(D231="","",_xlfn.IFS(D231&lt;=500,"Top_500",D231&lt;=2000,"501_2000",D231&lt;=5000,"2001_5000",D231&lt;=10000,"5001_10000"))</f>
        <v>5001_10000</v>
      </c>
      <c r="I231" s="8" t="str">
        <f t="shared" si="7"/>
        <v>|Assault</v>
      </c>
    </row>
    <row r="232" spans="2:9" x14ac:dyDescent="0.25">
      <c r="B232" t="s">
        <v>19</v>
      </c>
      <c r="C232">
        <f t="shared" si="6"/>
        <v>231</v>
      </c>
      <c r="D232" cm="1">
        <f t="array" ref="D232">_xlfn.IFS(C232&lt;=50,7+10*(C232-1),C232&lt;=110,507+25*(C232-51),C232&lt;=170,2007+50*(C232-111),C232&lt;=250,5007+50*(C232-171))</f>
        <v>8007</v>
      </c>
      <c r="E232" t="str" cm="1">
        <f t="array" ref="E232">IF(D232="","",_xlfn.IFS(D232&lt;=500,"Top_500",D232&lt;=2000,"501_2000",D232&lt;=5000,"2001_5000",D232&lt;=10000,"5001_10000"))</f>
        <v>5001_10000</v>
      </c>
      <c r="I232" s="8" t="str">
        <f t="shared" si="7"/>
        <v>|Assault</v>
      </c>
    </row>
    <row r="233" spans="2:9" x14ac:dyDescent="0.25">
      <c r="B233" t="s">
        <v>19</v>
      </c>
      <c r="C233">
        <f t="shared" si="6"/>
        <v>232</v>
      </c>
      <c r="D233" cm="1">
        <f t="array" ref="D233">_xlfn.IFS(C233&lt;=50,7+10*(C233-1),C233&lt;=110,507+25*(C233-51),C233&lt;=170,2007+50*(C233-111),C233&lt;=250,5007+50*(C233-171))</f>
        <v>8057</v>
      </c>
      <c r="E233" t="str" cm="1">
        <f t="array" ref="E233">IF(D233="","",_xlfn.IFS(D233&lt;=500,"Top_500",D233&lt;=2000,"501_2000",D233&lt;=5000,"2001_5000",D233&lt;=10000,"5001_10000"))</f>
        <v>5001_10000</v>
      </c>
      <c r="I233" s="8" t="str">
        <f t="shared" si="7"/>
        <v>|Assault</v>
      </c>
    </row>
    <row r="234" spans="2:9" x14ac:dyDescent="0.25">
      <c r="B234" t="s">
        <v>19</v>
      </c>
      <c r="C234">
        <f t="shared" si="6"/>
        <v>233</v>
      </c>
      <c r="D234" cm="1">
        <f t="array" ref="D234">_xlfn.IFS(C234&lt;=50,7+10*(C234-1),C234&lt;=110,507+25*(C234-51),C234&lt;=170,2007+50*(C234-111),C234&lt;=250,5007+50*(C234-171))</f>
        <v>8107</v>
      </c>
      <c r="E234" t="str" cm="1">
        <f t="array" ref="E234">IF(D234="","",_xlfn.IFS(D234&lt;=500,"Top_500",D234&lt;=2000,"501_2000",D234&lt;=5000,"2001_5000",D234&lt;=10000,"5001_10000"))</f>
        <v>5001_10000</v>
      </c>
      <c r="I234" s="8" t="str">
        <f t="shared" si="7"/>
        <v>|Assault</v>
      </c>
    </row>
    <row r="235" spans="2:9" x14ac:dyDescent="0.25">
      <c r="B235" t="s">
        <v>19</v>
      </c>
      <c r="C235">
        <f t="shared" si="6"/>
        <v>234</v>
      </c>
      <c r="D235" cm="1">
        <f t="array" ref="D235">_xlfn.IFS(C235&lt;=50,7+10*(C235-1),C235&lt;=110,507+25*(C235-51),C235&lt;=170,2007+50*(C235-111),C235&lt;=250,5007+50*(C235-171))</f>
        <v>8157</v>
      </c>
      <c r="E235" t="str" cm="1">
        <f t="array" ref="E235">IF(D235="","",_xlfn.IFS(D235&lt;=500,"Top_500",D235&lt;=2000,"501_2000",D235&lt;=5000,"2001_5000",D235&lt;=10000,"5001_10000"))</f>
        <v>5001_10000</v>
      </c>
      <c r="I235" s="8" t="str">
        <f t="shared" si="7"/>
        <v>|Assault</v>
      </c>
    </row>
    <row r="236" spans="2:9" x14ac:dyDescent="0.25">
      <c r="B236" t="s">
        <v>19</v>
      </c>
      <c r="C236">
        <f t="shared" si="6"/>
        <v>235</v>
      </c>
      <c r="D236" cm="1">
        <f t="array" ref="D236">_xlfn.IFS(C236&lt;=50,7+10*(C236-1),C236&lt;=110,507+25*(C236-51),C236&lt;=170,2007+50*(C236-111),C236&lt;=250,5007+50*(C236-171))</f>
        <v>8207</v>
      </c>
      <c r="E236" t="str" cm="1">
        <f t="array" ref="E236">IF(D236="","",_xlfn.IFS(D236&lt;=500,"Top_500",D236&lt;=2000,"501_2000",D236&lt;=5000,"2001_5000",D236&lt;=10000,"5001_10000"))</f>
        <v>5001_10000</v>
      </c>
      <c r="I236" s="8" t="str">
        <f t="shared" si="7"/>
        <v>|Assault</v>
      </c>
    </row>
    <row r="237" spans="2:9" x14ac:dyDescent="0.25">
      <c r="B237" t="s">
        <v>19</v>
      </c>
      <c r="C237">
        <f t="shared" si="6"/>
        <v>236</v>
      </c>
      <c r="D237" cm="1">
        <f t="array" ref="D237">_xlfn.IFS(C237&lt;=50,7+10*(C237-1),C237&lt;=110,507+25*(C237-51),C237&lt;=170,2007+50*(C237-111),C237&lt;=250,5007+50*(C237-171))</f>
        <v>8257</v>
      </c>
      <c r="E237" t="str" cm="1">
        <f t="array" ref="E237">IF(D237="","",_xlfn.IFS(D237&lt;=500,"Top_500",D237&lt;=2000,"501_2000",D237&lt;=5000,"2001_5000",D237&lt;=10000,"5001_10000"))</f>
        <v>5001_10000</v>
      </c>
      <c r="I237" s="8" t="str">
        <f t="shared" si="7"/>
        <v>|Assault</v>
      </c>
    </row>
    <row r="238" spans="2:9" x14ac:dyDescent="0.25">
      <c r="B238" t="s">
        <v>19</v>
      </c>
      <c r="C238">
        <f t="shared" si="6"/>
        <v>237</v>
      </c>
      <c r="D238" cm="1">
        <f t="array" ref="D238">_xlfn.IFS(C238&lt;=50,7+10*(C238-1),C238&lt;=110,507+25*(C238-51),C238&lt;=170,2007+50*(C238-111),C238&lt;=250,5007+50*(C238-171))</f>
        <v>8307</v>
      </c>
      <c r="E238" t="str" cm="1">
        <f t="array" ref="E238">IF(D238="","",_xlfn.IFS(D238&lt;=500,"Top_500",D238&lt;=2000,"501_2000",D238&lt;=5000,"2001_5000",D238&lt;=10000,"5001_10000"))</f>
        <v>5001_10000</v>
      </c>
      <c r="I238" s="8" t="str">
        <f t="shared" si="7"/>
        <v>|Assault</v>
      </c>
    </row>
    <row r="239" spans="2:9" x14ac:dyDescent="0.25">
      <c r="B239" t="s">
        <v>19</v>
      </c>
      <c r="C239">
        <f t="shared" si="6"/>
        <v>238</v>
      </c>
      <c r="D239" cm="1">
        <f t="array" ref="D239">_xlfn.IFS(C239&lt;=50,7+10*(C239-1),C239&lt;=110,507+25*(C239-51),C239&lt;=170,2007+50*(C239-111),C239&lt;=250,5007+50*(C239-171))</f>
        <v>8357</v>
      </c>
      <c r="E239" t="str" cm="1">
        <f t="array" ref="E239">IF(D239="","",_xlfn.IFS(D239&lt;=500,"Top_500",D239&lt;=2000,"501_2000",D239&lt;=5000,"2001_5000",D239&lt;=10000,"5001_10000"))</f>
        <v>5001_10000</v>
      </c>
      <c r="I239" s="8" t="str">
        <f t="shared" si="7"/>
        <v>|Assault</v>
      </c>
    </row>
    <row r="240" spans="2:9" x14ac:dyDescent="0.25">
      <c r="B240" t="s">
        <v>19</v>
      </c>
      <c r="C240">
        <f t="shared" si="6"/>
        <v>239</v>
      </c>
      <c r="D240" cm="1">
        <f t="array" ref="D240">_xlfn.IFS(C240&lt;=50,7+10*(C240-1),C240&lt;=110,507+25*(C240-51),C240&lt;=170,2007+50*(C240-111),C240&lt;=250,5007+50*(C240-171))</f>
        <v>8407</v>
      </c>
      <c r="E240" t="str" cm="1">
        <f t="array" ref="E240">IF(D240="","",_xlfn.IFS(D240&lt;=500,"Top_500",D240&lt;=2000,"501_2000",D240&lt;=5000,"2001_5000",D240&lt;=10000,"5001_10000"))</f>
        <v>5001_10000</v>
      </c>
      <c r="I240" s="8" t="str">
        <f t="shared" si="7"/>
        <v>|Assault</v>
      </c>
    </row>
    <row r="241" spans="1:9" x14ac:dyDescent="0.25">
      <c r="B241" t="s">
        <v>19</v>
      </c>
      <c r="C241">
        <f t="shared" si="6"/>
        <v>240</v>
      </c>
      <c r="D241" cm="1">
        <f t="array" ref="D241">_xlfn.IFS(C241&lt;=50,7+10*(C241-1),C241&lt;=110,507+25*(C241-51),C241&lt;=170,2007+50*(C241-111),C241&lt;=250,5007+50*(C241-171))</f>
        <v>8457</v>
      </c>
      <c r="E241" t="str" cm="1">
        <f t="array" ref="E241">IF(D241="","",_xlfn.IFS(D241&lt;=500,"Top_500",D241&lt;=2000,"501_2000",D241&lt;=5000,"2001_5000",D241&lt;=10000,"5001_10000"))</f>
        <v>5001_10000</v>
      </c>
      <c r="I241" s="8" t="str">
        <f t="shared" si="7"/>
        <v>|Assault</v>
      </c>
    </row>
    <row r="242" spans="1:9" x14ac:dyDescent="0.25">
      <c r="B242" t="s">
        <v>19</v>
      </c>
      <c r="C242">
        <f t="shared" si="6"/>
        <v>241</v>
      </c>
      <c r="D242" cm="1">
        <f t="array" ref="D242">_xlfn.IFS(C242&lt;=50,7+10*(C242-1),C242&lt;=110,507+25*(C242-51),C242&lt;=170,2007+50*(C242-111),C242&lt;=250,5007+50*(C242-171))</f>
        <v>8507</v>
      </c>
      <c r="E242" t="str" cm="1">
        <f t="array" ref="E242">IF(D242="","",_xlfn.IFS(D242&lt;=500,"Top_500",D242&lt;=2000,"501_2000",D242&lt;=5000,"2001_5000",D242&lt;=10000,"5001_10000"))</f>
        <v>5001_10000</v>
      </c>
      <c r="I242" s="8" t="str">
        <f t="shared" si="7"/>
        <v>|Assault</v>
      </c>
    </row>
    <row r="243" spans="1:9" x14ac:dyDescent="0.25">
      <c r="B243" t="s">
        <v>19</v>
      </c>
      <c r="C243">
        <f t="shared" si="6"/>
        <v>242</v>
      </c>
      <c r="D243" cm="1">
        <f t="array" ref="D243">_xlfn.IFS(C243&lt;=50,7+10*(C243-1),C243&lt;=110,507+25*(C243-51),C243&lt;=170,2007+50*(C243-111),C243&lt;=250,5007+50*(C243-171))</f>
        <v>8557</v>
      </c>
      <c r="E243" t="str" cm="1">
        <f t="array" ref="E243">IF(D243="","",_xlfn.IFS(D243&lt;=500,"Top_500",D243&lt;=2000,"501_2000",D243&lt;=5000,"2001_5000",D243&lt;=10000,"5001_10000"))</f>
        <v>5001_10000</v>
      </c>
      <c r="I243" s="8" t="str">
        <f t="shared" si="7"/>
        <v>|Assault</v>
      </c>
    </row>
    <row r="244" spans="1:9" x14ac:dyDescent="0.25">
      <c r="B244" t="s">
        <v>19</v>
      </c>
      <c r="C244">
        <f t="shared" si="6"/>
        <v>243</v>
      </c>
      <c r="D244" cm="1">
        <f t="array" ref="D244">_xlfn.IFS(C244&lt;=50,7+10*(C244-1),C244&lt;=110,507+25*(C244-51),C244&lt;=170,2007+50*(C244-111),C244&lt;=250,5007+50*(C244-171))</f>
        <v>8607</v>
      </c>
      <c r="E244" t="str" cm="1">
        <f t="array" ref="E244">IF(D244="","",_xlfn.IFS(D244&lt;=500,"Top_500",D244&lt;=2000,"501_2000",D244&lt;=5000,"2001_5000",D244&lt;=10000,"5001_10000"))</f>
        <v>5001_10000</v>
      </c>
      <c r="I244" s="8" t="str">
        <f t="shared" si="7"/>
        <v>|Assault</v>
      </c>
    </row>
    <row r="245" spans="1:9" x14ac:dyDescent="0.25">
      <c r="B245" t="s">
        <v>19</v>
      </c>
      <c r="C245">
        <f t="shared" si="6"/>
        <v>244</v>
      </c>
      <c r="D245" cm="1">
        <f t="array" ref="D245">_xlfn.IFS(C245&lt;=50,7+10*(C245-1),C245&lt;=110,507+25*(C245-51),C245&lt;=170,2007+50*(C245-111),C245&lt;=250,5007+50*(C245-171))</f>
        <v>8657</v>
      </c>
      <c r="E245" t="str" cm="1">
        <f t="array" ref="E245">IF(D245="","",_xlfn.IFS(D245&lt;=500,"Top_500",D245&lt;=2000,"501_2000",D245&lt;=5000,"2001_5000",D245&lt;=10000,"5001_10000"))</f>
        <v>5001_10000</v>
      </c>
      <c r="I245" s="8" t="str">
        <f t="shared" si="7"/>
        <v>|Assault</v>
      </c>
    </row>
    <row r="246" spans="1:9" x14ac:dyDescent="0.25">
      <c r="B246" t="s">
        <v>19</v>
      </c>
      <c r="C246">
        <f t="shared" si="6"/>
        <v>245</v>
      </c>
      <c r="D246" cm="1">
        <f t="array" ref="D246">_xlfn.IFS(C246&lt;=50,7+10*(C246-1),C246&lt;=110,507+25*(C246-51),C246&lt;=170,2007+50*(C246-111),C246&lt;=250,5007+50*(C246-171))</f>
        <v>8707</v>
      </c>
      <c r="E246" t="str" cm="1">
        <f t="array" ref="E246">IF(D246="","",_xlfn.IFS(D246&lt;=500,"Top_500",D246&lt;=2000,"501_2000",D246&lt;=5000,"2001_5000",D246&lt;=10000,"5001_10000"))</f>
        <v>5001_10000</v>
      </c>
      <c r="I246" s="8" t="str">
        <f t="shared" si="7"/>
        <v>|Assault</v>
      </c>
    </row>
    <row r="247" spans="1:9" x14ac:dyDescent="0.25">
      <c r="B247" t="s">
        <v>19</v>
      </c>
      <c r="C247">
        <f t="shared" si="6"/>
        <v>246</v>
      </c>
      <c r="D247" cm="1">
        <f t="array" ref="D247">_xlfn.IFS(C247&lt;=50,7+10*(C247-1),C247&lt;=110,507+25*(C247-51),C247&lt;=170,2007+50*(C247-111),C247&lt;=250,5007+50*(C247-171))</f>
        <v>8757</v>
      </c>
      <c r="E247" t="str" cm="1">
        <f t="array" ref="E247">IF(D247="","",_xlfn.IFS(D247&lt;=500,"Top_500",D247&lt;=2000,"501_2000",D247&lt;=5000,"2001_5000",D247&lt;=10000,"5001_10000"))</f>
        <v>5001_10000</v>
      </c>
      <c r="I247" s="8" t="str">
        <f t="shared" si="7"/>
        <v>|Assault</v>
      </c>
    </row>
    <row r="248" spans="1:9" x14ac:dyDescent="0.25">
      <c r="B248" t="s">
        <v>19</v>
      </c>
      <c r="C248">
        <f t="shared" si="6"/>
        <v>247</v>
      </c>
      <c r="D248" cm="1">
        <f t="array" ref="D248">_xlfn.IFS(C248&lt;=50,7+10*(C248-1),C248&lt;=110,507+25*(C248-51),C248&lt;=170,2007+50*(C248-111),C248&lt;=250,5007+50*(C248-171))</f>
        <v>8807</v>
      </c>
      <c r="E248" t="str" cm="1">
        <f t="array" ref="E248">IF(D248="","",_xlfn.IFS(D248&lt;=500,"Top_500",D248&lt;=2000,"501_2000",D248&lt;=5000,"2001_5000",D248&lt;=10000,"5001_10000"))</f>
        <v>5001_10000</v>
      </c>
      <c r="I248" s="8" t="str">
        <f t="shared" si="7"/>
        <v>|Assault</v>
      </c>
    </row>
    <row r="249" spans="1:9" x14ac:dyDescent="0.25">
      <c r="B249" t="s">
        <v>19</v>
      </c>
      <c r="C249">
        <f t="shared" si="6"/>
        <v>248</v>
      </c>
      <c r="D249" cm="1">
        <f t="array" ref="D249">_xlfn.IFS(C249&lt;=50,7+10*(C249-1),C249&lt;=110,507+25*(C249-51),C249&lt;=170,2007+50*(C249-111),C249&lt;=250,5007+50*(C249-171))</f>
        <v>8857</v>
      </c>
      <c r="E249" t="str" cm="1">
        <f t="array" ref="E249">IF(D249="","",_xlfn.IFS(D249&lt;=500,"Top_500",D249&lt;=2000,"501_2000",D249&lt;=5000,"2001_5000",D249&lt;=10000,"5001_10000"))</f>
        <v>5001_10000</v>
      </c>
      <c r="I249" s="8" t="str">
        <f t="shared" si="7"/>
        <v>|Assault</v>
      </c>
    </row>
    <row r="250" spans="1:9" x14ac:dyDescent="0.25">
      <c r="B250" t="s">
        <v>19</v>
      </c>
      <c r="C250">
        <f t="shared" si="6"/>
        <v>249</v>
      </c>
      <c r="D250" cm="1">
        <f t="array" ref="D250">_xlfn.IFS(C250&lt;=50,7+10*(C250-1),C250&lt;=110,507+25*(C250-51),C250&lt;=170,2007+50*(C250-111),C250&lt;=250,5007+50*(C250-171))</f>
        <v>8907</v>
      </c>
      <c r="E250" t="str" cm="1">
        <f t="array" ref="E250">IF(D250="","",_xlfn.IFS(D250&lt;=500,"Top_500",D250&lt;=2000,"501_2000",D250&lt;=5000,"2001_5000",D250&lt;=10000,"5001_10000"))</f>
        <v>5001_10000</v>
      </c>
      <c r="I250" s="8" t="str">
        <f t="shared" si="7"/>
        <v>|Assault</v>
      </c>
    </row>
    <row r="251" spans="1:9" x14ac:dyDescent="0.25">
      <c r="B251" t="s">
        <v>19</v>
      </c>
      <c r="C251">
        <f t="shared" si="6"/>
        <v>250</v>
      </c>
      <c r="D251" cm="1">
        <f t="array" ref="D251">_xlfn.IFS(C251&lt;=50,7+10*(C251-1),C251&lt;=110,507+25*(C251-51),C251&lt;=170,2007+50*(C251-111),C251&lt;=250,5007+50*(C251-171))</f>
        <v>8957</v>
      </c>
      <c r="E251" t="str" cm="1">
        <f t="array" ref="E251">IF(D251="","",_xlfn.IFS(D251&lt;=500,"Top_500",D251&lt;=2000,"501_2000",D251&lt;=5000,"2001_5000",D251&lt;=10000,"5001_10000"))</f>
        <v>5001_10000</v>
      </c>
      <c r="I251" s="8" t="str">
        <f t="shared" si="7"/>
        <v>|Assault</v>
      </c>
    </row>
    <row r="252" spans="1:9" x14ac:dyDescent="0.25">
      <c r="A252" t="s">
        <v>138</v>
      </c>
      <c r="B252" t="s">
        <v>20</v>
      </c>
      <c r="C252">
        <f t="shared" si="6"/>
        <v>1</v>
      </c>
      <c r="D252" cm="1">
        <f t="array" ref="D252">_xlfn.IFS(C252&lt;=50,7+10*(C252-1),C252&lt;=110,507+25*(C252-51),C252&lt;=170,2007+50*(C252-111),C252&lt;=250,5007+50*(C252-171))</f>
        <v>7</v>
      </c>
      <c r="E252" t="str" cm="1">
        <f t="array" ref="E252">IF(D252="","",_xlfn.IFS(D252&lt;=500,"Top_500",D252&lt;=2000,"501_2000",D252&lt;=5000,"2001_5000",D252&lt;=10000,"5001_10000"))</f>
        <v>Top_500</v>
      </c>
      <c r="F252">
        <v>21734</v>
      </c>
      <c r="G252">
        <v>299</v>
      </c>
      <c r="H252" s="13">
        <v>46048</v>
      </c>
      <c r="I252" s="8" t="str">
        <f t="shared" si="7"/>
        <v>gym-imperator-ju|Engineer</v>
      </c>
    </row>
    <row r="253" spans="1:9" x14ac:dyDescent="0.25">
      <c r="A253" t="s">
        <v>139</v>
      </c>
      <c r="B253" t="s">
        <v>20</v>
      </c>
      <c r="C253">
        <f t="shared" si="6"/>
        <v>2</v>
      </c>
      <c r="D253" cm="1">
        <f t="array" ref="D253">_xlfn.IFS(C253&lt;=50,7+10*(C253-1),C253&lt;=110,507+25*(C253-51),C253&lt;=170,2007+50*(C253-111),C253&lt;=250,5007+50*(C253-171))</f>
        <v>17</v>
      </c>
      <c r="E253" t="str" cm="1">
        <f t="array" ref="E253">IF(D253="","",_xlfn.IFS(D253&lt;=500,"Top_500",D253&lt;=2000,"501_2000",D253&lt;=5000,"2001_5000",D253&lt;=10000,"5001_10000"))</f>
        <v>Top_500</v>
      </c>
      <c r="F253">
        <v>18459</v>
      </c>
      <c r="G253">
        <v>145</v>
      </c>
      <c r="H253" s="13">
        <v>46048</v>
      </c>
      <c r="I253" s="8" t="str">
        <f t="shared" si="7"/>
        <v>Samyt4040|Engineer</v>
      </c>
    </row>
    <row r="254" spans="1:9" x14ac:dyDescent="0.25">
      <c r="A254" t="s">
        <v>142</v>
      </c>
      <c r="B254" t="s">
        <v>20</v>
      </c>
      <c r="C254">
        <f t="shared" si="6"/>
        <v>3</v>
      </c>
      <c r="D254" cm="1">
        <f t="array" ref="D254">_xlfn.IFS(C254&lt;=50,7+10*(C254-1),C254&lt;=110,507+25*(C254-51),C254&lt;=170,2007+50*(C254-111),C254&lt;=250,5007+50*(C254-171))</f>
        <v>27</v>
      </c>
      <c r="E254" t="str" cm="1">
        <f t="array" ref="E254">IF(D254="","",_xlfn.IFS(D254&lt;=500,"Top_500",D254&lt;=2000,"501_2000",D254&lt;=5000,"2001_5000",D254&lt;=10000,"5001_10000"))</f>
        <v>Top_500</v>
      </c>
      <c r="F254">
        <v>16655</v>
      </c>
      <c r="G254">
        <v>399</v>
      </c>
      <c r="H254" s="13">
        <v>46048</v>
      </c>
      <c r="I254" s="8" t="str">
        <f t="shared" si="7"/>
        <v>Dc-Duck|Engineer</v>
      </c>
    </row>
    <row r="255" spans="1:9" x14ac:dyDescent="0.25">
      <c r="A255" t="s">
        <v>143</v>
      </c>
      <c r="B255" t="s">
        <v>20</v>
      </c>
      <c r="C255">
        <f t="shared" si="6"/>
        <v>4</v>
      </c>
      <c r="D255" cm="1">
        <f t="array" ref="D255">_xlfn.IFS(C255&lt;=50,7+10*(C255-1),C255&lt;=110,507+25*(C255-51),C255&lt;=170,2007+50*(C255-111),C255&lt;=250,5007+50*(C255-171))</f>
        <v>37</v>
      </c>
      <c r="E255" t="str" cm="1">
        <f t="array" ref="E255">IF(D255="","",_xlfn.IFS(D255&lt;=500,"Top_500",D255&lt;=2000,"501_2000",D255&lt;=5000,"2001_5000",D255&lt;=10000,"5001_10000"))</f>
        <v>Top_500</v>
      </c>
      <c r="F255">
        <v>15761</v>
      </c>
      <c r="G255">
        <v>310</v>
      </c>
      <c r="H255" s="13">
        <v>46048</v>
      </c>
      <c r="I255" s="8" t="str">
        <f t="shared" si="7"/>
        <v>BIGBaNANaBender|Engineer</v>
      </c>
    </row>
    <row r="256" spans="1:9" x14ac:dyDescent="0.25">
      <c r="A256" t="s">
        <v>144</v>
      </c>
      <c r="B256" t="s">
        <v>20</v>
      </c>
      <c r="C256">
        <f t="shared" si="6"/>
        <v>5</v>
      </c>
      <c r="D256" cm="1">
        <f t="array" ref="D256">_xlfn.IFS(C256&lt;=50,7+10*(C256-1),C256&lt;=110,507+25*(C256-51),C256&lt;=170,2007+50*(C256-111),C256&lt;=250,5007+50*(C256-171))</f>
        <v>47</v>
      </c>
      <c r="E256" t="str" cm="1">
        <f t="array" ref="E256">IF(D256="","",_xlfn.IFS(D256&lt;=500,"Top_500",D256&lt;=2000,"501_2000",D256&lt;=5000,"2001_5000",D256&lt;=10000,"5001_10000"))</f>
        <v>Top_500</v>
      </c>
      <c r="F256">
        <v>15141</v>
      </c>
      <c r="G256">
        <v>357</v>
      </c>
      <c r="H256" s="13">
        <v>46048</v>
      </c>
      <c r="I256" s="8" t="str">
        <f t="shared" si="7"/>
        <v>tangsifuuu|Engineer</v>
      </c>
    </row>
    <row r="257" spans="1:9" x14ac:dyDescent="0.25">
      <c r="A257" t="s">
        <v>145</v>
      </c>
      <c r="B257" t="s">
        <v>20</v>
      </c>
      <c r="C257">
        <f t="shared" si="6"/>
        <v>6</v>
      </c>
      <c r="D257" cm="1">
        <f t="array" ref="D257">_xlfn.IFS(C257&lt;=50,7+10*(C257-1),C257&lt;=110,507+25*(C257-51),C257&lt;=170,2007+50*(C257-111),C257&lt;=250,5007+50*(C257-171))</f>
        <v>57</v>
      </c>
      <c r="E257" t="str" cm="1">
        <f t="array" ref="E257">IF(D257="","",_xlfn.IFS(D257&lt;=500,"Top_500",D257&lt;=2000,"501_2000",D257&lt;=5000,"2001_5000",D257&lt;=10000,"5001_10000"))</f>
        <v>Top_500</v>
      </c>
      <c r="F257">
        <v>14038</v>
      </c>
      <c r="G257">
        <v>176</v>
      </c>
      <c r="H257" s="13">
        <v>46048</v>
      </c>
      <c r="I257" s="8" t="str">
        <f t="shared" si="7"/>
        <v>|bulletproof64|Engineer</v>
      </c>
    </row>
    <row r="258" spans="1:9" x14ac:dyDescent="0.25">
      <c r="A258" t="s">
        <v>146</v>
      </c>
      <c r="B258" t="s">
        <v>20</v>
      </c>
      <c r="C258">
        <f t="shared" ref="C258:C321" si="8">IF(ROW()=2,1,IF(B258&lt;&gt;B257,1,C257+1))</f>
        <v>7</v>
      </c>
      <c r="D258" cm="1">
        <f t="array" ref="D258">_xlfn.IFS(C258&lt;=50,7+10*(C258-1),C258&lt;=110,507+25*(C258-51),C258&lt;=170,2007+50*(C258-111),C258&lt;=250,5007+50*(C258-171))</f>
        <v>67</v>
      </c>
      <c r="E258" t="str" cm="1">
        <f t="array" ref="E258">IF(D258="","",_xlfn.IFS(D258&lt;=500,"Top_500",D258&lt;=2000,"501_2000",D258&lt;=5000,"2001_5000",D258&lt;=10000,"5001_10000"))</f>
        <v>Top_500</v>
      </c>
      <c r="F258">
        <v>14557</v>
      </c>
      <c r="G258">
        <v>301</v>
      </c>
      <c r="H258" s="13">
        <v>46048</v>
      </c>
      <c r="I258" s="8" t="str">
        <f t="shared" si="7"/>
        <v>SilverBullet479|Engineer</v>
      </c>
    </row>
    <row r="259" spans="1:9" x14ac:dyDescent="0.25">
      <c r="A259" t="s">
        <v>147</v>
      </c>
      <c r="B259" t="s">
        <v>20</v>
      </c>
      <c r="C259">
        <f t="shared" si="8"/>
        <v>8</v>
      </c>
      <c r="D259" cm="1">
        <f t="array" ref="D259">_xlfn.IFS(C259&lt;=50,7+10*(C259-1),C259&lt;=110,507+25*(C259-51),C259&lt;=170,2007+50*(C259-111),C259&lt;=250,5007+50*(C259-171))</f>
        <v>77</v>
      </c>
      <c r="E259" t="str" cm="1">
        <f t="array" ref="E259">IF(D259="","",_xlfn.IFS(D259&lt;=500,"Top_500",D259&lt;=2000,"501_2000",D259&lt;=5000,"2001_5000",D259&lt;=10000,"5001_10000"))</f>
        <v>Top_500</v>
      </c>
      <c r="F259">
        <v>13465</v>
      </c>
      <c r="G259">
        <v>274</v>
      </c>
      <c r="H259" s="13">
        <v>46048</v>
      </c>
      <c r="I259" s="8" t="str">
        <f t="shared" ref="I259:I322" si="9">A259 &amp; "|" &amp; B259</f>
        <v>Formerly_AL|Engineer</v>
      </c>
    </row>
    <row r="260" spans="1:9" x14ac:dyDescent="0.25">
      <c r="A260" t="s">
        <v>148</v>
      </c>
      <c r="B260" t="s">
        <v>20</v>
      </c>
      <c r="C260">
        <f t="shared" si="8"/>
        <v>9</v>
      </c>
      <c r="D260" cm="1">
        <f t="array" ref="D260">_xlfn.IFS(C260&lt;=50,7+10*(C260-1),C260&lt;=110,507+25*(C260-51),C260&lt;=170,2007+50*(C260-111),C260&lt;=250,5007+50*(C260-171))</f>
        <v>87</v>
      </c>
      <c r="E260" t="str" cm="1">
        <f t="array" ref="E260">IF(D260="","",_xlfn.IFS(D260&lt;=500,"Top_500",D260&lt;=2000,"501_2000",D260&lt;=5000,"2001_5000",D260&lt;=10000,"5001_10000"))</f>
        <v>Top_500</v>
      </c>
      <c r="F260">
        <v>13276</v>
      </c>
      <c r="G260">
        <v>388</v>
      </c>
      <c r="H260" s="13">
        <v>46048</v>
      </c>
      <c r="I260" s="8" t="str">
        <f t="shared" si="9"/>
        <v>OleksandrEighty9|Engineer</v>
      </c>
    </row>
    <row r="261" spans="1:9" x14ac:dyDescent="0.25">
      <c r="A261" t="s">
        <v>149</v>
      </c>
      <c r="B261" t="s">
        <v>20</v>
      </c>
      <c r="C261">
        <f t="shared" si="8"/>
        <v>10</v>
      </c>
      <c r="D261" cm="1">
        <f t="array" ref="D261">_xlfn.IFS(C261&lt;=50,7+10*(C261-1),C261&lt;=110,507+25*(C261-51),C261&lt;=170,2007+50*(C261-111),C261&lt;=250,5007+50*(C261-171))</f>
        <v>97</v>
      </c>
      <c r="E261" t="str" cm="1">
        <f t="array" ref="E261">IF(D261="","",_xlfn.IFS(D261&lt;=500,"Top_500",D261&lt;=2000,"501_2000",D261&lt;=5000,"2001_5000",D261&lt;=10000,"5001_10000"))</f>
        <v>Top_500</v>
      </c>
      <c r="F261">
        <v>13737</v>
      </c>
      <c r="G261">
        <v>346</v>
      </c>
      <c r="H261" s="13">
        <v>46048</v>
      </c>
      <c r="I261" s="8" t="str">
        <f t="shared" si="9"/>
        <v>CubanMafia|Engineer</v>
      </c>
    </row>
    <row r="262" spans="1:9" x14ac:dyDescent="0.25">
      <c r="A262" t="s">
        <v>218</v>
      </c>
      <c r="B262" t="s">
        <v>20</v>
      </c>
      <c r="C262">
        <f t="shared" si="8"/>
        <v>11</v>
      </c>
      <c r="D262" cm="1">
        <f t="array" ref="D262">_xlfn.IFS(C262&lt;=50,7+10*(C262-1),C262&lt;=110,507+25*(C262-51),C262&lt;=170,2007+50*(C262-111),C262&lt;=250,5007+50*(C262-171))</f>
        <v>107</v>
      </c>
      <c r="E262" t="str" cm="1">
        <f t="array" ref="E262">IF(D262="","",_xlfn.IFS(D262&lt;=500,"Top_500",D262&lt;=2000,"501_2000",D262&lt;=5000,"2001_5000",D262&lt;=10000,"5001_10000"))</f>
        <v>Top_500</v>
      </c>
      <c r="F262">
        <v>12749</v>
      </c>
      <c r="G262">
        <v>293</v>
      </c>
      <c r="H262" s="13">
        <v>46049</v>
      </c>
      <c r="I262" s="8" t="str">
        <f t="shared" si="9"/>
        <v>NooterzXD|Engineer</v>
      </c>
    </row>
    <row r="263" spans="1:9" x14ac:dyDescent="0.25">
      <c r="A263" t="s">
        <v>219</v>
      </c>
      <c r="B263" t="s">
        <v>20</v>
      </c>
      <c r="C263">
        <f t="shared" si="8"/>
        <v>12</v>
      </c>
      <c r="D263" cm="1">
        <f t="array" ref="D263">_xlfn.IFS(C263&lt;=50,7+10*(C263-1),C263&lt;=110,507+25*(C263-51),C263&lt;=170,2007+50*(C263-111),C263&lt;=250,5007+50*(C263-171))</f>
        <v>117</v>
      </c>
      <c r="E263" t="str" cm="1">
        <f t="array" ref="E263">IF(D263="","",_xlfn.IFS(D263&lt;=500,"Top_500",D263&lt;=2000,"501_2000",D263&lt;=5000,"2001_5000",D263&lt;=10000,"5001_10000"))</f>
        <v>Top_500</v>
      </c>
      <c r="F263">
        <v>15188</v>
      </c>
      <c r="G263">
        <v>213</v>
      </c>
      <c r="H263" s="13">
        <v>46049</v>
      </c>
      <c r="I263" s="8" t="str">
        <f t="shared" si="9"/>
        <v>ylari|Engineer</v>
      </c>
    </row>
    <row r="264" spans="1:9" x14ac:dyDescent="0.25">
      <c r="A264" t="s">
        <v>220</v>
      </c>
      <c r="B264" t="s">
        <v>20</v>
      </c>
      <c r="C264">
        <f t="shared" si="8"/>
        <v>13</v>
      </c>
      <c r="D264" cm="1">
        <f t="array" ref="D264">_xlfn.IFS(C264&lt;=50,7+10*(C264-1),C264&lt;=110,507+25*(C264-51),C264&lt;=170,2007+50*(C264-111),C264&lt;=250,5007+50*(C264-171))</f>
        <v>127</v>
      </c>
      <c r="E264" t="str" cm="1">
        <f t="array" ref="E264">IF(D264="","",_xlfn.IFS(D264&lt;=500,"Top_500",D264&lt;=2000,"501_2000",D264&lt;=5000,"2001_5000",D264&lt;=10000,"5001_10000"))</f>
        <v>Top_500</v>
      </c>
      <c r="F264">
        <v>12295</v>
      </c>
      <c r="G264">
        <v>235</v>
      </c>
      <c r="H264" s="13">
        <v>46049</v>
      </c>
      <c r="I264" s="8" t="str">
        <f t="shared" si="9"/>
        <v>ShamRkn|Engineer</v>
      </c>
    </row>
    <row r="265" spans="1:9" x14ac:dyDescent="0.25">
      <c r="A265" t="s">
        <v>221</v>
      </c>
      <c r="B265" t="s">
        <v>20</v>
      </c>
      <c r="C265">
        <f t="shared" si="8"/>
        <v>14</v>
      </c>
      <c r="D265" cm="1">
        <f t="array" ref="D265">_xlfn.IFS(C265&lt;=50,7+10*(C265-1),C265&lt;=110,507+25*(C265-51),C265&lt;=170,2007+50*(C265-111),C265&lt;=250,5007+50*(C265-171))</f>
        <v>137</v>
      </c>
      <c r="E265" t="str" cm="1">
        <f t="array" ref="E265">IF(D265="","",_xlfn.IFS(D265&lt;=500,"Top_500",D265&lt;=2000,"501_2000",D265&lt;=5000,"2001_5000",D265&lt;=10000,"5001_10000"))</f>
        <v>Top_500</v>
      </c>
      <c r="F265">
        <v>12268</v>
      </c>
      <c r="G265">
        <v>301</v>
      </c>
      <c r="H265" s="13">
        <v>46049</v>
      </c>
      <c r="I265" s="8" t="str">
        <f t="shared" si="9"/>
        <v>xzvirus600|Engineer</v>
      </c>
    </row>
    <row r="266" spans="1:9" x14ac:dyDescent="0.25">
      <c r="A266" t="s">
        <v>222</v>
      </c>
      <c r="B266" t="s">
        <v>20</v>
      </c>
      <c r="C266">
        <f t="shared" si="8"/>
        <v>15</v>
      </c>
      <c r="D266" cm="1">
        <f t="array" ref="D266">_xlfn.IFS(C266&lt;=50,7+10*(C266-1),C266&lt;=110,507+25*(C266-51),C266&lt;=170,2007+50*(C266-111),C266&lt;=250,5007+50*(C266-171))</f>
        <v>147</v>
      </c>
      <c r="E266" t="str" cm="1">
        <f t="array" ref="E266">IF(D266="","",_xlfn.IFS(D266&lt;=500,"Top_500",D266&lt;=2000,"501_2000",D266&lt;=5000,"2001_5000",D266&lt;=10000,"5001_10000"))</f>
        <v>Top_500</v>
      </c>
      <c r="F266">
        <v>11804</v>
      </c>
      <c r="G266">
        <v>327</v>
      </c>
      <c r="H266" s="13">
        <v>46049</v>
      </c>
      <c r="I266" s="8" t="str">
        <f t="shared" si="9"/>
        <v>OdinJens-Junior-|Engineer</v>
      </c>
    </row>
    <row r="267" spans="1:9" x14ac:dyDescent="0.25">
      <c r="A267" t="s">
        <v>329</v>
      </c>
      <c r="B267" t="s">
        <v>20</v>
      </c>
      <c r="C267">
        <f t="shared" si="8"/>
        <v>16</v>
      </c>
      <c r="D267" cm="1">
        <f t="array" ref="D267">_xlfn.IFS(C267&lt;=50,7+10*(C267-1),C267&lt;=110,507+25*(C267-51),C267&lt;=170,2007+50*(C267-111),C267&lt;=250,5007+50*(C267-171))</f>
        <v>157</v>
      </c>
      <c r="E267" t="str" cm="1">
        <f t="array" ref="E267">IF(D267="","",_xlfn.IFS(D267&lt;=500,"Top_500",D267&lt;=2000,"501_2000",D267&lt;=5000,"2001_5000",D267&lt;=10000,"5001_10000"))</f>
        <v>Top_500</v>
      </c>
      <c r="F267">
        <v>11638</v>
      </c>
      <c r="G267">
        <v>230</v>
      </c>
      <c r="H267" s="13">
        <v>46051</v>
      </c>
      <c r="I267" s="8" t="str">
        <f t="shared" si="9"/>
        <v>EBV_LiptoN|Engineer</v>
      </c>
    </row>
    <row r="268" spans="1:9" x14ac:dyDescent="0.25">
      <c r="A268" t="s">
        <v>330</v>
      </c>
      <c r="B268" t="s">
        <v>20</v>
      </c>
      <c r="C268">
        <f t="shared" si="8"/>
        <v>17</v>
      </c>
      <c r="D268" cm="1">
        <f t="array" ref="D268">_xlfn.IFS(C268&lt;=50,7+10*(C268-1),C268&lt;=110,507+25*(C268-51),C268&lt;=170,2007+50*(C268-111),C268&lt;=250,5007+50*(C268-171))</f>
        <v>167</v>
      </c>
      <c r="E268" t="str" cm="1">
        <f t="array" ref="E268">IF(D268="","",_xlfn.IFS(D268&lt;=500,"Top_500",D268&lt;=2000,"501_2000",D268&lt;=5000,"2001_5000",D268&lt;=10000,"5001_10000"))</f>
        <v>Top_500</v>
      </c>
      <c r="F268">
        <v>14119</v>
      </c>
      <c r="G268">
        <v>241</v>
      </c>
      <c r="H268" s="13">
        <v>46051</v>
      </c>
      <c r="I268" s="8" t="str">
        <f t="shared" si="9"/>
        <v>Robertois|Engineer</v>
      </c>
    </row>
    <row r="269" spans="1:9" x14ac:dyDescent="0.25">
      <c r="A269" t="s">
        <v>331</v>
      </c>
      <c r="B269" t="s">
        <v>20</v>
      </c>
      <c r="C269">
        <f t="shared" si="8"/>
        <v>18</v>
      </c>
      <c r="D269" cm="1">
        <f t="array" ref="D269">_xlfn.IFS(C269&lt;=50,7+10*(C269-1),C269&lt;=110,507+25*(C269-51),C269&lt;=170,2007+50*(C269-111),C269&lt;=250,5007+50*(C269-171))</f>
        <v>177</v>
      </c>
      <c r="E269" t="str" cm="1">
        <f t="array" ref="E269">IF(D269="","",_xlfn.IFS(D269&lt;=500,"Top_500",D269&lt;=2000,"501_2000",D269&lt;=5000,"2001_5000",D269&lt;=10000,"5001_10000"))</f>
        <v>Top_500</v>
      </c>
      <c r="F269">
        <v>13483</v>
      </c>
      <c r="G269">
        <v>272</v>
      </c>
      <c r="H269" s="13">
        <v>46051</v>
      </c>
      <c r="I269" s="8" t="str">
        <f t="shared" si="9"/>
        <v>SrMuTe-|Engineer</v>
      </c>
    </row>
    <row r="270" spans="1:9" x14ac:dyDescent="0.25">
      <c r="A270" t="s">
        <v>332</v>
      </c>
      <c r="B270" t="s">
        <v>20</v>
      </c>
      <c r="C270">
        <f t="shared" si="8"/>
        <v>19</v>
      </c>
      <c r="D270" cm="1">
        <f t="array" ref="D270">_xlfn.IFS(C270&lt;=50,7+10*(C270-1),C270&lt;=110,507+25*(C270-51),C270&lt;=170,2007+50*(C270-111),C270&lt;=250,5007+50*(C270-171))</f>
        <v>187</v>
      </c>
      <c r="E270" t="str" cm="1">
        <f t="array" ref="E270">IF(D270="","",_xlfn.IFS(D270&lt;=500,"Top_500",D270&lt;=2000,"501_2000",D270&lt;=5000,"2001_5000",D270&lt;=10000,"5001_10000"))</f>
        <v>Top_500</v>
      </c>
      <c r="F270">
        <v>11320</v>
      </c>
      <c r="G270">
        <v>213</v>
      </c>
      <c r="H270" s="13">
        <v>46051</v>
      </c>
      <c r="I270" s="8" t="str">
        <f t="shared" si="9"/>
        <v>Ricardo Milos|Engineer</v>
      </c>
    </row>
    <row r="271" spans="1:9" x14ac:dyDescent="0.25">
      <c r="A271" t="s">
        <v>333</v>
      </c>
      <c r="B271" t="s">
        <v>20</v>
      </c>
      <c r="C271">
        <f t="shared" si="8"/>
        <v>20</v>
      </c>
      <c r="D271" cm="1">
        <f t="array" ref="D271">_xlfn.IFS(C271&lt;=50,7+10*(C271-1),C271&lt;=110,507+25*(C271-51),C271&lt;=170,2007+50*(C271-111),C271&lt;=250,5007+50*(C271-171))</f>
        <v>197</v>
      </c>
      <c r="E271" t="str" cm="1">
        <f t="array" ref="E271">IF(D271="","",_xlfn.IFS(D271&lt;=500,"Top_500",D271&lt;=2000,"501_2000",D271&lt;=5000,"2001_5000",D271&lt;=10000,"5001_10000"))</f>
        <v>Top_500</v>
      </c>
      <c r="F271">
        <v>11677</v>
      </c>
      <c r="G271">
        <v>304</v>
      </c>
      <c r="H271" s="13">
        <v>46051</v>
      </c>
      <c r="I271" s="8" t="str">
        <f t="shared" si="9"/>
        <v>Sphinx|Engineer</v>
      </c>
    </row>
    <row r="272" spans="1:9" x14ac:dyDescent="0.25">
      <c r="A272" t="s">
        <v>334</v>
      </c>
      <c r="B272" t="s">
        <v>20</v>
      </c>
      <c r="C272">
        <f t="shared" si="8"/>
        <v>21</v>
      </c>
      <c r="D272" cm="1">
        <f t="array" ref="D272">_xlfn.IFS(C272&lt;=50,7+10*(C272-1),C272&lt;=110,507+25*(C272-51),C272&lt;=170,2007+50*(C272-111),C272&lt;=250,5007+50*(C272-171))</f>
        <v>207</v>
      </c>
      <c r="E272" t="str" cm="1">
        <f t="array" ref="E272">IF(D272="","",_xlfn.IFS(D272&lt;=500,"Top_500",D272&lt;=2000,"501_2000",D272&lt;=5000,"2001_5000",D272&lt;=10000,"5001_10000"))</f>
        <v>Top_500</v>
      </c>
      <c r="F272">
        <v>11027</v>
      </c>
      <c r="G272">
        <v>401</v>
      </c>
      <c r="H272" s="13">
        <v>46051</v>
      </c>
      <c r="I272" s="8" t="str">
        <f t="shared" si="9"/>
        <v>xCOMK-E-Streetx|Engineer</v>
      </c>
    </row>
    <row r="273" spans="1:9" x14ac:dyDescent="0.25">
      <c r="A273" t="s">
        <v>335</v>
      </c>
      <c r="B273" t="s">
        <v>20</v>
      </c>
      <c r="C273">
        <f t="shared" si="8"/>
        <v>22</v>
      </c>
      <c r="D273" cm="1">
        <f t="array" ref="D273">_xlfn.IFS(C273&lt;=50,7+10*(C273-1),C273&lt;=110,507+25*(C273-51),C273&lt;=170,2007+50*(C273-111),C273&lt;=250,5007+50*(C273-171))</f>
        <v>217</v>
      </c>
      <c r="E273" t="str" cm="1">
        <f t="array" ref="E273">IF(D273="","",_xlfn.IFS(D273&lt;=500,"Top_500",D273&lt;=2000,"501_2000",D273&lt;=5000,"2001_5000",D273&lt;=10000,"5001_10000"))</f>
        <v>Top_500</v>
      </c>
      <c r="F273">
        <v>12053</v>
      </c>
      <c r="G273">
        <v>283</v>
      </c>
      <c r="H273" s="13">
        <v>46051</v>
      </c>
      <c r="I273" s="8" t="str">
        <f t="shared" si="9"/>
        <v>L_uka|Engineer</v>
      </c>
    </row>
    <row r="274" spans="1:9" x14ac:dyDescent="0.25">
      <c r="A274" t="s">
        <v>336</v>
      </c>
      <c r="B274" t="s">
        <v>20</v>
      </c>
      <c r="C274">
        <f t="shared" si="8"/>
        <v>23</v>
      </c>
      <c r="D274" cm="1">
        <f t="array" ref="D274">_xlfn.IFS(C274&lt;=50,7+10*(C274-1),C274&lt;=110,507+25*(C274-51),C274&lt;=170,2007+50*(C274-111),C274&lt;=250,5007+50*(C274-171))</f>
        <v>227</v>
      </c>
      <c r="E274" t="str" cm="1">
        <f t="array" ref="E274">IF(D274="","",_xlfn.IFS(D274&lt;=500,"Top_500",D274&lt;=2000,"501_2000",D274&lt;=5000,"2001_5000",D274&lt;=10000,"5001_10000"))</f>
        <v>Top_500</v>
      </c>
      <c r="F274">
        <v>10797</v>
      </c>
      <c r="G274">
        <v>551</v>
      </c>
      <c r="H274" s="13">
        <v>46051</v>
      </c>
      <c r="I274" s="8" t="str">
        <f t="shared" si="9"/>
        <v>Korben__Dallas1|Engineer</v>
      </c>
    </row>
    <row r="275" spans="1:9" x14ac:dyDescent="0.25">
      <c r="A275" t="s">
        <v>337</v>
      </c>
      <c r="B275" t="s">
        <v>20</v>
      </c>
      <c r="C275">
        <f t="shared" si="8"/>
        <v>24</v>
      </c>
      <c r="D275" cm="1">
        <f t="array" ref="D275">_xlfn.IFS(C275&lt;=50,7+10*(C275-1),C275&lt;=110,507+25*(C275-51),C275&lt;=170,2007+50*(C275-111),C275&lt;=250,5007+50*(C275-171))</f>
        <v>237</v>
      </c>
      <c r="E275" t="str" cm="1">
        <f t="array" ref="E275">IF(D275="","",_xlfn.IFS(D275&lt;=500,"Top_500",D275&lt;=2000,"501_2000",D275&lt;=5000,"2001_5000",D275&lt;=10000,"5001_10000"))</f>
        <v>Top_500</v>
      </c>
      <c r="F275">
        <v>10718</v>
      </c>
      <c r="G275">
        <v>303</v>
      </c>
      <c r="H275" s="13">
        <v>46051</v>
      </c>
      <c r="I275" s="8" t="str">
        <f t="shared" si="9"/>
        <v>FartOnCopz|Engineer</v>
      </c>
    </row>
    <row r="276" spans="1:9" x14ac:dyDescent="0.25">
      <c r="A276" t="s">
        <v>338</v>
      </c>
      <c r="B276" t="s">
        <v>20</v>
      </c>
      <c r="C276">
        <f t="shared" si="8"/>
        <v>25</v>
      </c>
      <c r="D276" cm="1">
        <f t="array" ref="D276">_xlfn.IFS(C276&lt;=50,7+10*(C276-1),C276&lt;=110,507+25*(C276-51),C276&lt;=170,2007+50*(C276-111),C276&lt;=250,5007+50*(C276-171))</f>
        <v>247</v>
      </c>
      <c r="E276" t="str" cm="1">
        <f t="array" ref="E276">IF(D276="","",_xlfn.IFS(D276&lt;=500,"Top_500",D276&lt;=2000,"501_2000",D276&lt;=5000,"2001_5000",D276&lt;=10000,"5001_10000"))</f>
        <v>Top_500</v>
      </c>
      <c r="F276">
        <v>10922</v>
      </c>
      <c r="G276">
        <v>263</v>
      </c>
      <c r="H276" s="13">
        <v>46051</v>
      </c>
      <c r="I276" s="8" t="str">
        <f t="shared" si="9"/>
        <v>shabiru|Engineer</v>
      </c>
    </row>
    <row r="277" spans="1:9" x14ac:dyDescent="0.25">
      <c r="A277" t="s">
        <v>339</v>
      </c>
      <c r="B277" t="s">
        <v>20</v>
      </c>
      <c r="C277">
        <f t="shared" si="8"/>
        <v>26</v>
      </c>
      <c r="D277" cm="1">
        <f t="array" ref="D277">_xlfn.IFS(C277&lt;=50,7+10*(C277-1),C277&lt;=110,507+25*(C277-51),C277&lt;=170,2007+50*(C277-111),C277&lt;=250,5007+50*(C277-171))</f>
        <v>257</v>
      </c>
      <c r="E277" t="str" cm="1">
        <f t="array" ref="E277">IF(D277="","",_xlfn.IFS(D277&lt;=500,"Top_500",D277&lt;=2000,"501_2000",D277&lt;=5000,"2001_5000",D277&lt;=10000,"5001_10000"))</f>
        <v>Top_500</v>
      </c>
      <c r="F277">
        <v>11466</v>
      </c>
      <c r="G277">
        <v>181</v>
      </c>
      <c r="H277" s="13">
        <v>46051</v>
      </c>
      <c r="I277" s="8" t="str">
        <f t="shared" si="9"/>
        <v>drchacal78|Engineer</v>
      </c>
    </row>
    <row r="278" spans="1:9" x14ac:dyDescent="0.25">
      <c r="A278" t="s">
        <v>340</v>
      </c>
      <c r="B278" t="s">
        <v>20</v>
      </c>
      <c r="C278">
        <f t="shared" si="8"/>
        <v>27</v>
      </c>
      <c r="D278" cm="1">
        <f t="array" ref="D278">_xlfn.IFS(C278&lt;=50,7+10*(C278-1),C278&lt;=110,507+25*(C278-51),C278&lt;=170,2007+50*(C278-111),C278&lt;=250,5007+50*(C278-171))</f>
        <v>267</v>
      </c>
      <c r="E278" t="str" cm="1">
        <f t="array" ref="E278">IF(D278="","",_xlfn.IFS(D278&lt;=500,"Top_500",D278&lt;=2000,"501_2000",D278&lt;=5000,"2001_5000",D278&lt;=10000,"5001_10000"))</f>
        <v>Top_500</v>
      </c>
      <c r="F278">
        <v>10820</v>
      </c>
      <c r="G278">
        <v>277</v>
      </c>
      <c r="H278" s="13">
        <v>46051</v>
      </c>
      <c r="I278" s="8" t="str">
        <f t="shared" si="9"/>
        <v>RTuesdays-YT|Engineer</v>
      </c>
    </row>
    <row r="279" spans="1:9" x14ac:dyDescent="0.25">
      <c r="A279" t="s">
        <v>341</v>
      </c>
      <c r="B279" t="s">
        <v>20</v>
      </c>
      <c r="C279">
        <f t="shared" si="8"/>
        <v>28</v>
      </c>
      <c r="D279" cm="1">
        <f t="array" ref="D279">_xlfn.IFS(C279&lt;=50,7+10*(C279-1),C279&lt;=110,507+25*(C279-51),C279&lt;=170,2007+50*(C279-111),C279&lt;=250,5007+50*(C279-171))</f>
        <v>277</v>
      </c>
      <c r="E279" t="str" cm="1">
        <f t="array" ref="E279">IF(D279="","",_xlfn.IFS(D279&lt;=500,"Top_500",D279&lt;=2000,"501_2000",D279&lt;=5000,"2001_5000",D279&lt;=10000,"5001_10000"))</f>
        <v>Top_500</v>
      </c>
      <c r="F279">
        <v>10638</v>
      </c>
      <c r="G279">
        <v>251</v>
      </c>
      <c r="H279" s="13">
        <v>46051</v>
      </c>
      <c r="I279" s="8" t="str">
        <f t="shared" si="9"/>
        <v>OndrejPCR|Engineer</v>
      </c>
    </row>
    <row r="280" spans="1:9" x14ac:dyDescent="0.25">
      <c r="A280" t="s">
        <v>342</v>
      </c>
      <c r="B280" t="s">
        <v>20</v>
      </c>
      <c r="C280">
        <f t="shared" si="8"/>
        <v>29</v>
      </c>
      <c r="D280" cm="1">
        <f t="array" ref="D280">_xlfn.IFS(C280&lt;=50,7+10*(C280-1),C280&lt;=110,507+25*(C280-51),C280&lt;=170,2007+50*(C280-111),C280&lt;=250,5007+50*(C280-171))</f>
        <v>287</v>
      </c>
      <c r="E280" t="str" cm="1">
        <f t="array" ref="E280">IF(D280="","",_xlfn.IFS(D280&lt;=500,"Top_500",D280&lt;=2000,"501_2000",D280&lt;=5000,"2001_5000",D280&lt;=10000,"5001_10000"))</f>
        <v>Top_500</v>
      </c>
      <c r="F280">
        <v>10913</v>
      </c>
      <c r="G280">
        <v>154</v>
      </c>
      <c r="H280" s="13">
        <v>46051</v>
      </c>
      <c r="I280" s="8" t="str">
        <f t="shared" si="9"/>
        <v>giorgi92|Engineer</v>
      </c>
    </row>
    <row r="281" spans="1:9" x14ac:dyDescent="0.25">
      <c r="A281" t="s">
        <v>343</v>
      </c>
      <c r="B281" t="s">
        <v>20</v>
      </c>
      <c r="C281">
        <f t="shared" si="8"/>
        <v>30</v>
      </c>
      <c r="D281" cm="1">
        <f t="array" ref="D281">_xlfn.IFS(C281&lt;=50,7+10*(C281-1),C281&lt;=110,507+25*(C281-51),C281&lt;=170,2007+50*(C281-111),C281&lt;=250,5007+50*(C281-171))</f>
        <v>297</v>
      </c>
      <c r="E281" t="str" cm="1">
        <f t="array" ref="E281">IF(D281="","",_xlfn.IFS(D281&lt;=500,"Top_500",D281&lt;=2000,"501_2000",D281&lt;=5000,"2001_5000",D281&lt;=10000,"5001_10000"))</f>
        <v>Top_500</v>
      </c>
      <c r="F281">
        <v>10249</v>
      </c>
      <c r="G281">
        <v>229</v>
      </c>
      <c r="H281" s="13">
        <v>46051</v>
      </c>
      <c r="I281" s="8" t="str">
        <f t="shared" si="9"/>
        <v>bbisTyLeZ|Engineer</v>
      </c>
    </row>
    <row r="282" spans="1:9" x14ac:dyDescent="0.25">
      <c r="A282" t="s">
        <v>344</v>
      </c>
      <c r="B282" t="s">
        <v>20</v>
      </c>
      <c r="C282">
        <f t="shared" si="8"/>
        <v>31</v>
      </c>
      <c r="D282" cm="1">
        <f t="array" ref="D282">_xlfn.IFS(C282&lt;=50,7+10*(C282-1),C282&lt;=110,507+25*(C282-51),C282&lt;=170,2007+50*(C282-111),C282&lt;=250,5007+50*(C282-171))</f>
        <v>307</v>
      </c>
      <c r="E282" t="str" cm="1">
        <f t="array" ref="E282">IF(D282="","",_xlfn.IFS(D282&lt;=500,"Top_500",D282&lt;=2000,"501_2000",D282&lt;=5000,"2001_5000",D282&lt;=10000,"5001_10000"))</f>
        <v>Top_500</v>
      </c>
      <c r="F282">
        <v>10142</v>
      </c>
      <c r="G282">
        <v>223</v>
      </c>
      <c r="H282" s="13">
        <v>46051</v>
      </c>
      <c r="I282" s="8" t="str">
        <f t="shared" si="9"/>
        <v>csyphi|Engineer</v>
      </c>
    </row>
    <row r="283" spans="1:9" x14ac:dyDescent="0.25">
      <c r="A283" t="s">
        <v>345</v>
      </c>
      <c r="B283" t="s">
        <v>20</v>
      </c>
      <c r="C283">
        <f t="shared" si="8"/>
        <v>32</v>
      </c>
      <c r="D283" cm="1">
        <f t="array" ref="D283">_xlfn.IFS(C283&lt;=50,7+10*(C283-1),C283&lt;=110,507+25*(C283-51),C283&lt;=170,2007+50*(C283-111),C283&lt;=250,5007+50*(C283-171))</f>
        <v>317</v>
      </c>
      <c r="E283" t="str" cm="1">
        <f t="array" ref="E283">IF(D283="","",_xlfn.IFS(D283&lt;=500,"Top_500",D283&lt;=2000,"501_2000",D283&lt;=5000,"2001_5000",D283&lt;=10000,"5001_10000"))</f>
        <v>Top_500</v>
      </c>
      <c r="F283">
        <v>10084</v>
      </c>
      <c r="G283">
        <v>237</v>
      </c>
      <c r="H283" s="13">
        <v>46051</v>
      </c>
      <c r="I283" s="8" t="str">
        <f t="shared" si="9"/>
        <v>Rakit|Engineer</v>
      </c>
    </row>
    <row r="284" spans="1:9" x14ac:dyDescent="0.25">
      <c r="A284" t="s">
        <v>346</v>
      </c>
      <c r="B284" t="s">
        <v>20</v>
      </c>
      <c r="C284">
        <f t="shared" si="8"/>
        <v>33</v>
      </c>
      <c r="D284" cm="1">
        <f t="array" ref="D284">_xlfn.IFS(C284&lt;=50,7+10*(C284-1),C284&lt;=110,507+25*(C284-51),C284&lt;=170,2007+50*(C284-111),C284&lt;=250,5007+50*(C284-171))</f>
        <v>327</v>
      </c>
      <c r="E284" t="str" cm="1">
        <f t="array" ref="E284">IF(D284="","",_xlfn.IFS(D284&lt;=500,"Top_500",D284&lt;=2000,"501_2000",D284&lt;=5000,"2001_5000",D284&lt;=10000,"5001_10000"))</f>
        <v>Top_500</v>
      </c>
      <c r="F284">
        <v>11238</v>
      </c>
      <c r="G284">
        <v>177</v>
      </c>
      <c r="H284" s="13">
        <v>46051</v>
      </c>
      <c r="I284" s="8" t="str">
        <f t="shared" si="9"/>
        <v>53Zents|Engineer</v>
      </c>
    </row>
    <row r="285" spans="1:9" x14ac:dyDescent="0.25">
      <c r="A285" t="s">
        <v>347</v>
      </c>
      <c r="B285" t="s">
        <v>20</v>
      </c>
      <c r="C285">
        <f t="shared" si="8"/>
        <v>34</v>
      </c>
      <c r="D285" cm="1">
        <f t="array" ref="D285">_xlfn.IFS(C285&lt;=50,7+10*(C285-1),C285&lt;=110,507+25*(C285-51),C285&lt;=170,2007+50*(C285-111),C285&lt;=250,5007+50*(C285-171))</f>
        <v>337</v>
      </c>
      <c r="E285" t="str" cm="1">
        <f t="array" ref="E285">IF(D285="","",_xlfn.IFS(D285&lt;=500,"Top_500",D285&lt;=2000,"501_2000",D285&lt;=5000,"2001_5000",D285&lt;=10000,"5001_10000"))</f>
        <v>Top_500</v>
      </c>
      <c r="F285">
        <v>10057</v>
      </c>
      <c r="G285">
        <v>381</v>
      </c>
      <c r="H285" s="13">
        <v>46051</v>
      </c>
      <c r="I285" s="8" t="str">
        <f t="shared" si="9"/>
        <v>Jah-Munkey|Engineer</v>
      </c>
    </row>
    <row r="286" spans="1:9" x14ac:dyDescent="0.25">
      <c r="A286" t="s">
        <v>348</v>
      </c>
      <c r="B286" t="s">
        <v>20</v>
      </c>
      <c r="C286">
        <f t="shared" si="8"/>
        <v>35</v>
      </c>
      <c r="D286" cm="1">
        <f t="array" ref="D286">_xlfn.IFS(C286&lt;=50,7+10*(C286-1),C286&lt;=110,507+25*(C286-51),C286&lt;=170,2007+50*(C286-111),C286&lt;=250,5007+50*(C286-171))</f>
        <v>347</v>
      </c>
      <c r="E286" t="str" cm="1">
        <f t="array" ref="E286">IF(D286="","",_xlfn.IFS(D286&lt;=500,"Top_500",D286&lt;=2000,"501_2000",D286&lt;=5000,"2001_5000",D286&lt;=10000,"5001_10000"))</f>
        <v>Top_500</v>
      </c>
      <c r="F286">
        <v>9743</v>
      </c>
      <c r="G286">
        <v>450</v>
      </c>
      <c r="H286" s="13">
        <v>46051</v>
      </c>
      <c r="I286" s="8" t="str">
        <f t="shared" si="9"/>
        <v>SuBj3cT [Bot]|Engineer</v>
      </c>
    </row>
    <row r="287" spans="1:9" x14ac:dyDescent="0.25">
      <c r="A287" t="s">
        <v>349</v>
      </c>
      <c r="B287" t="s">
        <v>20</v>
      </c>
      <c r="C287">
        <f t="shared" si="8"/>
        <v>36</v>
      </c>
      <c r="D287" cm="1">
        <f t="array" ref="D287">_xlfn.IFS(C287&lt;=50,7+10*(C287-1),C287&lt;=110,507+25*(C287-51),C287&lt;=170,2007+50*(C287-111),C287&lt;=250,5007+50*(C287-171))</f>
        <v>357</v>
      </c>
      <c r="E287" t="str" cm="1">
        <f t="array" ref="E287">IF(D287="","",_xlfn.IFS(D287&lt;=500,"Top_500",D287&lt;=2000,"501_2000",D287&lt;=5000,"2001_5000",D287&lt;=10000,"5001_10000"))</f>
        <v>Top_500</v>
      </c>
      <c r="F287">
        <v>11086</v>
      </c>
      <c r="G287">
        <v>174</v>
      </c>
      <c r="H287" s="13">
        <v>46051</v>
      </c>
      <c r="I287" s="8" t="str">
        <f t="shared" si="9"/>
        <v>CammedSS2015|Engineer</v>
      </c>
    </row>
    <row r="288" spans="1:9" x14ac:dyDescent="0.25">
      <c r="A288" t="s">
        <v>350</v>
      </c>
      <c r="B288" t="s">
        <v>20</v>
      </c>
      <c r="C288">
        <f t="shared" si="8"/>
        <v>37</v>
      </c>
      <c r="D288" cm="1">
        <f t="array" ref="D288">_xlfn.IFS(C288&lt;=50,7+10*(C288-1),C288&lt;=110,507+25*(C288-51),C288&lt;=170,2007+50*(C288-111),C288&lt;=250,5007+50*(C288-171))</f>
        <v>367</v>
      </c>
      <c r="E288" t="str" cm="1">
        <f t="array" ref="E288">IF(D288="","",_xlfn.IFS(D288&lt;=500,"Top_500",D288&lt;=2000,"501_2000",D288&lt;=5000,"2001_5000",D288&lt;=10000,"5001_10000"))</f>
        <v>Top_500</v>
      </c>
      <c r="F288">
        <v>9576</v>
      </c>
      <c r="G288">
        <v>165</v>
      </c>
      <c r="H288" s="13">
        <v>46051</v>
      </c>
      <c r="I288" s="8" t="str">
        <f t="shared" si="9"/>
        <v>CtrlAltMatt|Engineer</v>
      </c>
    </row>
    <row r="289" spans="1:9" x14ac:dyDescent="0.25">
      <c r="A289" t="s">
        <v>351</v>
      </c>
      <c r="B289" t="s">
        <v>20</v>
      </c>
      <c r="C289">
        <f t="shared" si="8"/>
        <v>38</v>
      </c>
      <c r="D289" cm="1">
        <f t="array" ref="D289">_xlfn.IFS(C289&lt;=50,7+10*(C289-1),C289&lt;=110,507+25*(C289-51),C289&lt;=170,2007+50*(C289-111),C289&lt;=250,5007+50*(C289-171))</f>
        <v>377</v>
      </c>
      <c r="E289" t="str" cm="1">
        <f t="array" ref="E289">IF(D289="","",_xlfn.IFS(D289&lt;=500,"Top_500",D289&lt;=2000,"501_2000",D289&lt;=5000,"2001_5000",D289&lt;=10000,"5001_10000"))</f>
        <v>Top_500</v>
      </c>
      <c r="F289">
        <v>9526</v>
      </c>
      <c r="G289">
        <v>153</v>
      </c>
      <c r="H289" s="13">
        <v>46051</v>
      </c>
      <c r="I289" s="8" t="str">
        <f t="shared" si="9"/>
        <v>Sledgehammer enjoyer|Engineer</v>
      </c>
    </row>
    <row r="290" spans="1:9" x14ac:dyDescent="0.25">
      <c r="A290" t="s">
        <v>352</v>
      </c>
      <c r="B290" t="s">
        <v>20</v>
      </c>
      <c r="C290">
        <f t="shared" si="8"/>
        <v>39</v>
      </c>
      <c r="D290" cm="1">
        <f t="array" ref="D290">_xlfn.IFS(C290&lt;=50,7+10*(C290-1),C290&lt;=110,507+25*(C290-51),C290&lt;=170,2007+50*(C290-111),C290&lt;=250,5007+50*(C290-171))</f>
        <v>387</v>
      </c>
      <c r="E290" t="str" cm="1">
        <f t="array" ref="E290">IF(D290="","",_xlfn.IFS(D290&lt;=500,"Top_500",D290&lt;=2000,"501_2000",D290&lt;=5000,"2001_5000",D290&lt;=10000,"5001_10000"))</f>
        <v>Top_500</v>
      </c>
      <c r="F290">
        <v>9497</v>
      </c>
      <c r="G290">
        <v>107</v>
      </c>
      <c r="H290" s="13">
        <v>46051</v>
      </c>
      <c r="I290" s="8" t="str">
        <f t="shared" si="9"/>
        <v>ThicccjMartian|Engineer</v>
      </c>
    </row>
    <row r="291" spans="1:9" x14ac:dyDescent="0.25">
      <c r="A291" t="s">
        <v>353</v>
      </c>
      <c r="B291" t="s">
        <v>20</v>
      </c>
      <c r="C291">
        <f t="shared" si="8"/>
        <v>40</v>
      </c>
      <c r="D291" cm="1">
        <f t="array" ref="D291">_xlfn.IFS(C291&lt;=50,7+10*(C291-1),C291&lt;=110,507+25*(C291-51),C291&lt;=170,2007+50*(C291-111),C291&lt;=250,5007+50*(C291-171))</f>
        <v>397</v>
      </c>
      <c r="E291" t="str" cm="1">
        <f t="array" ref="E291">IF(D291="","",_xlfn.IFS(D291&lt;=500,"Top_500",D291&lt;=2000,"501_2000",D291&lt;=5000,"2001_5000",D291&lt;=10000,"5001_10000"))</f>
        <v>Top_500</v>
      </c>
      <c r="F291">
        <v>9351</v>
      </c>
      <c r="G291">
        <v>118</v>
      </c>
      <c r="H291" s="13">
        <v>46051</v>
      </c>
      <c r="I291" s="8" t="str">
        <f t="shared" si="9"/>
        <v>psdarazum|Engineer</v>
      </c>
    </row>
    <row r="292" spans="1:9" x14ac:dyDescent="0.25">
      <c r="A292" t="s">
        <v>354</v>
      </c>
      <c r="B292" t="s">
        <v>20</v>
      </c>
      <c r="C292">
        <f t="shared" si="8"/>
        <v>41</v>
      </c>
      <c r="D292" cm="1">
        <f t="array" ref="D292">_xlfn.IFS(C292&lt;=50,7+10*(C292-1),C292&lt;=110,507+25*(C292-51),C292&lt;=170,2007+50*(C292-111),C292&lt;=250,5007+50*(C292-171))</f>
        <v>407</v>
      </c>
      <c r="E292" t="str" cm="1">
        <f t="array" ref="E292">IF(D292="","",_xlfn.IFS(D292&lt;=500,"Top_500",D292&lt;=2000,"501_2000",D292&lt;=5000,"2001_5000",D292&lt;=10000,"5001_10000"))</f>
        <v>Top_500</v>
      </c>
      <c r="F292">
        <v>14159</v>
      </c>
      <c r="G292">
        <v>244</v>
      </c>
      <c r="H292" s="13">
        <v>46051</v>
      </c>
      <c r="I292" s="8" t="str">
        <f t="shared" si="9"/>
        <v>mzklopyu|Engineer</v>
      </c>
    </row>
    <row r="293" spans="1:9" x14ac:dyDescent="0.25">
      <c r="A293" t="s">
        <v>355</v>
      </c>
      <c r="B293" t="s">
        <v>20</v>
      </c>
      <c r="C293">
        <f t="shared" si="8"/>
        <v>42</v>
      </c>
      <c r="D293" cm="1">
        <f t="array" ref="D293">_xlfn.IFS(C293&lt;=50,7+10*(C293-1),C293&lt;=110,507+25*(C293-51),C293&lt;=170,2007+50*(C293-111),C293&lt;=250,5007+50*(C293-171))</f>
        <v>417</v>
      </c>
      <c r="E293" t="str" cm="1">
        <f t="array" ref="E293">IF(D293="","",_xlfn.IFS(D293&lt;=500,"Top_500",D293&lt;=2000,"501_2000",D293&lt;=5000,"2001_5000",D293&lt;=10000,"5001_10000"))</f>
        <v>Top_500</v>
      </c>
      <c r="F293">
        <v>9312</v>
      </c>
      <c r="G293">
        <v>200</v>
      </c>
      <c r="H293" s="13">
        <v>46051</v>
      </c>
      <c r="I293" s="8" t="str">
        <f t="shared" si="9"/>
        <v>Ali-Productionz|Engineer</v>
      </c>
    </row>
    <row r="294" spans="1:9" x14ac:dyDescent="0.25">
      <c r="A294" t="s">
        <v>356</v>
      </c>
      <c r="B294" t="s">
        <v>20</v>
      </c>
      <c r="C294">
        <f t="shared" si="8"/>
        <v>43</v>
      </c>
      <c r="D294" cm="1">
        <f t="array" ref="D294">_xlfn.IFS(C294&lt;=50,7+10*(C294-1),C294&lt;=110,507+25*(C294-51),C294&lt;=170,2007+50*(C294-111),C294&lt;=250,5007+50*(C294-171))</f>
        <v>427</v>
      </c>
      <c r="E294" t="str" cm="1">
        <f t="array" ref="E294">IF(D294="","",_xlfn.IFS(D294&lt;=500,"Top_500",D294&lt;=2000,"501_2000",D294&lt;=5000,"2001_5000",D294&lt;=10000,"5001_10000"))</f>
        <v>Top_500</v>
      </c>
      <c r="F294">
        <v>9465</v>
      </c>
      <c r="G294">
        <v>156</v>
      </c>
      <c r="H294" s="13">
        <v>46051</v>
      </c>
      <c r="I294" s="8" t="str">
        <f t="shared" si="9"/>
        <v>Remesso|Engineer</v>
      </c>
    </row>
    <row r="295" spans="1:9" x14ac:dyDescent="0.25">
      <c r="A295" t="s">
        <v>357</v>
      </c>
      <c r="B295" t="s">
        <v>20</v>
      </c>
      <c r="C295">
        <f t="shared" si="8"/>
        <v>44</v>
      </c>
      <c r="D295" cm="1">
        <f t="array" ref="D295">_xlfn.IFS(C295&lt;=50,7+10*(C295-1),C295&lt;=110,507+25*(C295-51),C295&lt;=170,2007+50*(C295-111),C295&lt;=250,5007+50*(C295-171))</f>
        <v>437</v>
      </c>
      <c r="E295" t="str" cm="1">
        <f t="array" ref="E295">IF(D295="","",_xlfn.IFS(D295&lt;=500,"Top_500",D295&lt;=2000,"501_2000",D295&lt;=5000,"2001_5000",D295&lt;=10000,"5001_10000"))</f>
        <v>Top_500</v>
      </c>
      <c r="F295">
        <v>9947</v>
      </c>
      <c r="G295">
        <v>204</v>
      </c>
      <c r="H295" s="13">
        <v>46051</v>
      </c>
      <c r="I295" s="8" t="str">
        <f t="shared" si="9"/>
        <v>Reglope|Engineer</v>
      </c>
    </row>
    <row r="296" spans="1:9" x14ac:dyDescent="0.25">
      <c r="A296" t="s">
        <v>358</v>
      </c>
      <c r="B296" t="s">
        <v>20</v>
      </c>
      <c r="C296">
        <f t="shared" si="8"/>
        <v>45</v>
      </c>
      <c r="D296" cm="1">
        <f t="array" ref="D296">_xlfn.IFS(C296&lt;=50,7+10*(C296-1),C296&lt;=110,507+25*(C296-51),C296&lt;=170,2007+50*(C296-111),C296&lt;=250,5007+50*(C296-171))</f>
        <v>447</v>
      </c>
      <c r="E296" t="str" cm="1">
        <f t="array" ref="E296">IF(D296="","",_xlfn.IFS(D296&lt;=500,"Top_500",D296&lt;=2000,"501_2000",D296&lt;=5000,"2001_5000",D296&lt;=10000,"5001_10000"))</f>
        <v>Top_500</v>
      </c>
      <c r="F296">
        <v>9182</v>
      </c>
      <c r="G296">
        <v>188</v>
      </c>
      <c r="H296" s="13">
        <v>46051</v>
      </c>
      <c r="I296" s="8" t="str">
        <f t="shared" si="9"/>
        <v>jerjorey|Engineer</v>
      </c>
    </row>
    <row r="297" spans="1:9" x14ac:dyDescent="0.25">
      <c r="A297" t="s">
        <v>359</v>
      </c>
      <c r="B297" t="s">
        <v>20</v>
      </c>
      <c r="C297">
        <f t="shared" si="8"/>
        <v>46</v>
      </c>
      <c r="D297" cm="1">
        <f t="array" ref="D297">_xlfn.IFS(C297&lt;=50,7+10*(C297-1),C297&lt;=110,507+25*(C297-51),C297&lt;=170,2007+50*(C297-111),C297&lt;=250,5007+50*(C297-171))</f>
        <v>457</v>
      </c>
      <c r="E297" t="str" cm="1">
        <f t="array" ref="E297">IF(D297="","",_xlfn.IFS(D297&lt;=500,"Top_500",D297&lt;=2000,"501_2000",D297&lt;=5000,"2001_5000",D297&lt;=10000,"5001_10000"))</f>
        <v>Top_500</v>
      </c>
      <c r="F297">
        <v>9714</v>
      </c>
      <c r="G297">
        <v>226</v>
      </c>
      <c r="H297" s="13">
        <v>46051</v>
      </c>
      <c r="I297" s="8" t="str">
        <f t="shared" si="9"/>
        <v>Пирожок|Engineer</v>
      </c>
    </row>
    <row r="298" spans="1:9" x14ac:dyDescent="0.25">
      <c r="A298" t="s">
        <v>360</v>
      </c>
      <c r="B298" t="s">
        <v>20</v>
      </c>
      <c r="C298">
        <f t="shared" si="8"/>
        <v>47</v>
      </c>
      <c r="D298" cm="1">
        <f t="array" ref="D298">_xlfn.IFS(C298&lt;=50,7+10*(C298-1),C298&lt;=110,507+25*(C298-51),C298&lt;=170,2007+50*(C298-111),C298&lt;=250,5007+50*(C298-171))</f>
        <v>467</v>
      </c>
      <c r="E298" t="str" cm="1">
        <f t="array" ref="E298">IF(D298="","",_xlfn.IFS(D298&lt;=500,"Top_500",D298&lt;=2000,"501_2000",D298&lt;=5000,"2001_5000",D298&lt;=10000,"5001_10000"))</f>
        <v>Top_500</v>
      </c>
      <c r="F298">
        <v>10987</v>
      </c>
      <c r="G298">
        <v>282</v>
      </c>
      <c r="H298" s="13">
        <v>46051</v>
      </c>
      <c r="I298" s="8" t="str">
        <f t="shared" si="9"/>
        <v>Ta.Toki|Engineer</v>
      </c>
    </row>
    <row r="299" spans="1:9" x14ac:dyDescent="0.25">
      <c r="A299" t="s">
        <v>361</v>
      </c>
      <c r="B299" t="s">
        <v>20</v>
      </c>
      <c r="C299">
        <f t="shared" si="8"/>
        <v>48</v>
      </c>
      <c r="D299" cm="1">
        <f t="array" ref="D299">_xlfn.IFS(C299&lt;=50,7+10*(C299-1),C299&lt;=110,507+25*(C299-51),C299&lt;=170,2007+50*(C299-111),C299&lt;=250,5007+50*(C299-171))</f>
        <v>477</v>
      </c>
      <c r="E299" t="str" cm="1">
        <f t="array" ref="E299">IF(D299="","",_xlfn.IFS(D299&lt;=500,"Top_500",D299&lt;=2000,"501_2000",D299&lt;=5000,"2001_5000",D299&lt;=10000,"5001_10000"))</f>
        <v>Top_500</v>
      </c>
      <c r="F299">
        <v>9693</v>
      </c>
      <c r="G299">
        <v>234</v>
      </c>
      <c r="H299" s="13">
        <v>46051</v>
      </c>
      <c r="I299" s="8" t="str">
        <f t="shared" si="9"/>
        <v>Unreal413|Engineer</v>
      </c>
    </row>
    <row r="300" spans="1:9" x14ac:dyDescent="0.25">
      <c r="A300" t="s">
        <v>362</v>
      </c>
      <c r="B300" t="s">
        <v>20</v>
      </c>
      <c r="C300">
        <f t="shared" si="8"/>
        <v>49</v>
      </c>
      <c r="D300" cm="1">
        <f t="array" ref="D300">_xlfn.IFS(C300&lt;=50,7+10*(C300-1),C300&lt;=110,507+25*(C300-51),C300&lt;=170,2007+50*(C300-111),C300&lt;=250,5007+50*(C300-171))</f>
        <v>487</v>
      </c>
      <c r="E300" t="str" cm="1">
        <f t="array" ref="E300">IF(D300="","",_xlfn.IFS(D300&lt;=500,"Top_500",D300&lt;=2000,"501_2000",D300&lt;=5000,"2001_5000",D300&lt;=10000,"5001_10000"))</f>
        <v>Top_500</v>
      </c>
      <c r="F300">
        <v>9025</v>
      </c>
      <c r="G300">
        <v>210</v>
      </c>
      <c r="H300" s="13">
        <v>46051</v>
      </c>
      <c r="I300" s="8" t="str">
        <f t="shared" si="9"/>
        <v>Klerm|Engineer</v>
      </c>
    </row>
    <row r="301" spans="1:9" x14ac:dyDescent="0.25">
      <c r="A301" t="s">
        <v>363</v>
      </c>
      <c r="B301" t="s">
        <v>20</v>
      </c>
      <c r="C301">
        <f t="shared" si="8"/>
        <v>50</v>
      </c>
      <c r="D301" cm="1">
        <f t="array" ref="D301">_xlfn.IFS(C301&lt;=50,7+10*(C301-1),C301&lt;=110,507+25*(C301-51),C301&lt;=170,2007+50*(C301-111),C301&lt;=250,5007+50*(C301-171))</f>
        <v>497</v>
      </c>
      <c r="E301" t="str" cm="1">
        <f t="array" ref="E301">IF(D301="","",_xlfn.IFS(D301&lt;=500,"Top_500",D301&lt;=2000,"501_2000",D301&lt;=5000,"2001_5000",D301&lt;=10000,"5001_10000"))</f>
        <v>Top_500</v>
      </c>
      <c r="F301">
        <v>9157</v>
      </c>
      <c r="G301">
        <v>197</v>
      </c>
      <c r="H301" s="13">
        <v>46051</v>
      </c>
      <c r="I301" s="8" t="str">
        <f t="shared" si="9"/>
        <v>HastyTh3 END|Engineer</v>
      </c>
    </row>
    <row r="302" spans="1:9" x14ac:dyDescent="0.25">
      <c r="A302" t="s">
        <v>364</v>
      </c>
      <c r="B302" t="s">
        <v>20</v>
      </c>
      <c r="C302">
        <f t="shared" si="8"/>
        <v>51</v>
      </c>
      <c r="D302" cm="1">
        <f t="array" ref="D302">_xlfn.IFS(C302&lt;=50,7+10*(C302-1),C302&lt;=110,507+25*(C302-51),C302&lt;=170,2007+50*(C302-111),C302&lt;=250,5007+50*(C302-171))</f>
        <v>507</v>
      </c>
      <c r="E302" t="str" cm="1">
        <f t="array" ref="E302">IF(D302="","",_xlfn.IFS(D302&lt;=500,"Top_500",D302&lt;=2000,"501_2000",D302&lt;=5000,"2001_5000",D302&lt;=10000,"5001_10000"))</f>
        <v>501_2000</v>
      </c>
      <c r="F302">
        <v>9074</v>
      </c>
      <c r="G302">
        <v>224</v>
      </c>
      <c r="H302" s="13">
        <v>46052</v>
      </c>
      <c r="I302" s="8" t="str">
        <f t="shared" si="9"/>
        <v>Sir_Spongey_|Engineer</v>
      </c>
    </row>
    <row r="303" spans="1:9" x14ac:dyDescent="0.25">
      <c r="A303" t="s">
        <v>365</v>
      </c>
      <c r="B303" t="s">
        <v>20</v>
      </c>
      <c r="C303">
        <f t="shared" si="8"/>
        <v>52</v>
      </c>
      <c r="D303" cm="1">
        <f t="array" ref="D303">_xlfn.IFS(C303&lt;=50,7+10*(C303-1),C303&lt;=110,507+25*(C303-51),C303&lt;=170,2007+50*(C303-111),C303&lt;=250,5007+50*(C303-171))</f>
        <v>532</v>
      </c>
      <c r="E303" t="str" cm="1">
        <f t="array" ref="E303">IF(D303="","",_xlfn.IFS(D303&lt;=500,"Top_500",D303&lt;=2000,"501_2000",D303&lt;=5000,"2001_5000",D303&lt;=10000,"5001_10000"))</f>
        <v>501_2000</v>
      </c>
      <c r="F303">
        <v>8887</v>
      </c>
      <c r="G303">
        <v>229</v>
      </c>
      <c r="H303" s="13">
        <v>46052</v>
      </c>
      <c r="I303" s="8" t="str">
        <f t="shared" si="9"/>
        <v>Darth_Cloud|Engineer</v>
      </c>
    </row>
    <row r="304" spans="1:9" x14ac:dyDescent="0.25">
      <c r="A304" t="s">
        <v>366</v>
      </c>
      <c r="B304" t="s">
        <v>20</v>
      </c>
      <c r="C304">
        <f t="shared" si="8"/>
        <v>53</v>
      </c>
      <c r="D304" cm="1">
        <f t="array" ref="D304">_xlfn.IFS(C304&lt;=50,7+10*(C304-1),C304&lt;=110,507+25*(C304-51),C304&lt;=170,2007+50*(C304-111),C304&lt;=250,5007+50*(C304-171))</f>
        <v>557</v>
      </c>
      <c r="E304" t="str" cm="1">
        <f t="array" ref="E304">IF(D304="","",_xlfn.IFS(D304&lt;=500,"Top_500",D304&lt;=2000,"501_2000",D304&lt;=5000,"2001_5000",D304&lt;=10000,"5001_10000"))</f>
        <v>501_2000</v>
      </c>
      <c r="F304">
        <v>8784</v>
      </c>
      <c r="G304">
        <v>251</v>
      </c>
      <c r="H304" s="13">
        <v>46052</v>
      </c>
      <c r="I304" s="8" t="str">
        <f t="shared" si="9"/>
        <v>Tx_Lightning|Engineer</v>
      </c>
    </row>
    <row r="305" spans="1:9" x14ac:dyDescent="0.25">
      <c r="A305" s="90" t="s">
        <v>367</v>
      </c>
      <c r="B305" t="s">
        <v>20</v>
      </c>
      <c r="C305">
        <f t="shared" si="8"/>
        <v>54</v>
      </c>
      <c r="D305" cm="1">
        <f t="array" ref="D305">_xlfn.IFS(C305&lt;=50,7+10*(C305-1),C305&lt;=110,507+25*(C305-51),C305&lt;=170,2007+50*(C305-111),C305&lt;=250,5007+50*(C305-171))</f>
        <v>582</v>
      </c>
      <c r="E305" t="str" cm="1">
        <f t="array" ref="E305">IF(D305="","",_xlfn.IFS(D305&lt;=500,"Top_500",D305&lt;=2000,"501_2000",D305&lt;=5000,"2001_5000",D305&lt;=10000,"5001_10000"))</f>
        <v>501_2000</v>
      </c>
      <c r="F305">
        <v>8850</v>
      </c>
      <c r="G305">
        <v>150</v>
      </c>
      <c r="H305" s="13">
        <v>46052</v>
      </c>
      <c r="I305" s="8" t="str">
        <f t="shared" si="9"/>
        <v>-BC-pawel23nammu|Engineer</v>
      </c>
    </row>
    <row r="306" spans="1:9" x14ac:dyDescent="0.25">
      <c r="A306" t="s">
        <v>368</v>
      </c>
      <c r="B306" t="s">
        <v>20</v>
      </c>
      <c r="C306">
        <f t="shared" si="8"/>
        <v>55</v>
      </c>
      <c r="D306" cm="1">
        <f t="array" ref="D306">_xlfn.IFS(C306&lt;=50,7+10*(C306-1),C306&lt;=110,507+25*(C306-51),C306&lt;=170,2007+50*(C306-111),C306&lt;=250,5007+50*(C306-171))</f>
        <v>607</v>
      </c>
      <c r="E306" t="str" cm="1">
        <f t="array" ref="E306">IF(D306="","",_xlfn.IFS(D306&lt;=500,"Top_500",D306&lt;=2000,"501_2000",D306&lt;=5000,"2001_5000",D306&lt;=10000,"5001_10000"))</f>
        <v>501_2000</v>
      </c>
      <c r="F306">
        <v>8567</v>
      </c>
      <c r="G306">
        <v>266</v>
      </c>
      <c r="H306" s="13">
        <v>46052</v>
      </c>
      <c r="I306" s="8" t="str">
        <f t="shared" si="9"/>
        <v>TexasAce|Engineer</v>
      </c>
    </row>
    <row r="307" spans="1:9" x14ac:dyDescent="0.25">
      <c r="A307" t="s">
        <v>369</v>
      </c>
      <c r="B307" t="s">
        <v>20</v>
      </c>
      <c r="C307">
        <f t="shared" si="8"/>
        <v>56</v>
      </c>
      <c r="D307" cm="1">
        <f t="array" ref="D307">_xlfn.IFS(C307&lt;=50,7+10*(C307-1),C307&lt;=110,507+25*(C307-51),C307&lt;=170,2007+50*(C307-111),C307&lt;=250,5007+50*(C307-171))</f>
        <v>632</v>
      </c>
      <c r="E307" t="str" cm="1">
        <f t="array" ref="E307">IF(D307="","",_xlfn.IFS(D307&lt;=500,"Top_500",D307&lt;=2000,"501_2000",D307&lt;=5000,"2001_5000",D307&lt;=10000,"5001_10000"))</f>
        <v>501_2000</v>
      </c>
      <c r="F307">
        <v>8679</v>
      </c>
      <c r="G307">
        <v>174</v>
      </c>
      <c r="H307" s="13">
        <v>46052</v>
      </c>
      <c r="I307" s="8" t="str">
        <f t="shared" si="9"/>
        <v>Casios|Engineer</v>
      </c>
    </row>
    <row r="308" spans="1:9" x14ac:dyDescent="0.25">
      <c r="A308" t="s">
        <v>370</v>
      </c>
      <c r="B308" t="s">
        <v>20</v>
      </c>
      <c r="C308">
        <f t="shared" si="8"/>
        <v>57</v>
      </c>
      <c r="D308" cm="1">
        <f t="array" ref="D308">_xlfn.IFS(C308&lt;=50,7+10*(C308-1),C308&lt;=110,507+25*(C308-51),C308&lt;=170,2007+50*(C308-111),C308&lt;=250,5007+50*(C308-171))</f>
        <v>657</v>
      </c>
      <c r="E308" t="str" cm="1">
        <f t="array" ref="E308">IF(D308="","",_xlfn.IFS(D308&lt;=500,"Top_500",D308&lt;=2000,"501_2000",D308&lt;=5000,"2001_5000",D308&lt;=10000,"5001_10000"))</f>
        <v>501_2000</v>
      </c>
      <c r="F308">
        <v>8396</v>
      </c>
      <c r="G308">
        <v>233</v>
      </c>
      <c r="H308" s="13">
        <v>46052</v>
      </c>
      <c r="I308" s="8" t="str">
        <f t="shared" si="9"/>
        <v>TICSoL9mm|Engineer</v>
      </c>
    </row>
    <row r="309" spans="1:9" x14ac:dyDescent="0.25">
      <c r="A309" t="s">
        <v>371</v>
      </c>
      <c r="B309" t="s">
        <v>20</v>
      </c>
      <c r="C309">
        <f t="shared" si="8"/>
        <v>58</v>
      </c>
      <c r="D309" cm="1">
        <f t="array" ref="D309">_xlfn.IFS(C309&lt;=50,7+10*(C309-1),C309&lt;=110,507+25*(C309-51),C309&lt;=170,2007+50*(C309-111),C309&lt;=250,5007+50*(C309-171))</f>
        <v>682</v>
      </c>
      <c r="E309" t="str" cm="1">
        <f t="array" ref="E309">IF(D309="","",_xlfn.IFS(D309&lt;=500,"Top_500",D309&lt;=2000,"501_2000",D309&lt;=5000,"2001_5000",D309&lt;=10000,"5001_10000"))</f>
        <v>501_2000</v>
      </c>
      <c r="F309">
        <v>8659</v>
      </c>
      <c r="G309">
        <v>192</v>
      </c>
      <c r="H309" s="13">
        <v>46052</v>
      </c>
      <c r="I309" s="8" t="str">
        <f t="shared" si="9"/>
        <v>Timone311|Engineer</v>
      </c>
    </row>
    <row r="310" spans="1:9" x14ac:dyDescent="0.25">
      <c r="A310" t="s">
        <v>372</v>
      </c>
      <c r="B310" t="s">
        <v>20</v>
      </c>
      <c r="C310">
        <f t="shared" si="8"/>
        <v>59</v>
      </c>
      <c r="D310" cm="1">
        <f t="array" ref="D310">_xlfn.IFS(C310&lt;=50,7+10*(C310-1),C310&lt;=110,507+25*(C310-51),C310&lt;=170,2007+50*(C310-111),C310&lt;=250,5007+50*(C310-171))</f>
        <v>707</v>
      </c>
      <c r="E310" t="str" cm="1">
        <f t="array" ref="E310">IF(D310="","",_xlfn.IFS(D310&lt;=500,"Top_500",D310&lt;=2000,"501_2000",D310&lt;=5000,"2001_5000",D310&lt;=10000,"5001_10000"))</f>
        <v>501_2000</v>
      </c>
      <c r="F310">
        <v>8562</v>
      </c>
      <c r="G310">
        <v>175</v>
      </c>
      <c r="H310" s="13">
        <v>46052</v>
      </c>
      <c r="I310" s="8" t="str">
        <f t="shared" si="9"/>
        <v>z_leo9|Engineer</v>
      </c>
    </row>
    <row r="311" spans="1:9" x14ac:dyDescent="0.25">
      <c r="A311" t="s">
        <v>373</v>
      </c>
      <c r="B311" t="s">
        <v>20</v>
      </c>
      <c r="C311">
        <f t="shared" si="8"/>
        <v>60</v>
      </c>
      <c r="D311" cm="1">
        <f t="array" ref="D311">_xlfn.IFS(C311&lt;=50,7+10*(C311-1),C311&lt;=110,507+25*(C311-51),C311&lt;=170,2007+50*(C311-111),C311&lt;=250,5007+50*(C311-171))</f>
        <v>732</v>
      </c>
      <c r="E311" t="str" cm="1">
        <f t="array" ref="E311">IF(D311="","",_xlfn.IFS(D311&lt;=500,"Top_500",D311&lt;=2000,"501_2000",D311&lt;=5000,"2001_5000",D311&lt;=10000,"5001_10000"))</f>
        <v>501_2000</v>
      </c>
      <c r="F311">
        <v>8370</v>
      </c>
      <c r="G311">
        <v>160</v>
      </c>
      <c r="H311" s="13">
        <v>46052</v>
      </c>
      <c r="I311" s="8" t="str">
        <f t="shared" si="9"/>
        <v>SatterPL|Engineer</v>
      </c>
    </row>
    <row r="312" spans="1:9" x14ac:dyDescent="0.25">
      <c r="A312" t="s">
        <v>374</v>
      </c>
      <c r="B312" t="s">
        <v>20</v>
      </c>
      <c r="C312">
        <f t="shared" si="8"/>
        <v>61</v>
      </c>
      <c r="D312" cm="1">
        <f t="array" ref="D312">_xlfn.IFS(C312&lt;=50,7+10*(C312-1),C312&lt;=110,507+25*(C312-51),C312&lt;=170,2007+50*(C312-111),C312&lt;=250,5007+50*(C312-171))</f>
        <v>757</v>
      </c>
      <c r="E312" t="str" cm="1">
        <f t="array" ref="E312">IF(D312="","",_xlfn.IFS(D312&lt;=500,"Top_500",D312&lt;=2000,"501_2000",D312&lt;=5000,"2001_5000",D312&lt;=10000,"5001_10000"))</f>
        <v>501_2000</v>
      </c>
      <c r="F312">
        <v>8434</v>
      </c>
      <c r="G312">
        <v>207</v>
      </c>
      <c r="H312" s="13">
        <v>46052</v>
      </c>
      <c r="I312" s="8" t="str">
        <f t="shared" si="9"/>
        <v>alexia_00|Engineer</v>
      </c>
    </row>
    <row r="313" spans="1:9" x14ac:dyDescent="0.25">
      <c r="A313" t="s">
        <v>375</v>
      </c>
      <c r="B313" t="s">
        <v>20</v>
      </c>
      <c r="C313">
        <f t="shared" si="8"/>
        <v>62</v>
      </c>
      <c r="D313" cm="1">
        <f t="array" ref="D313">_xlfn.IFS(C313&lt;=50,7+10*(C313-1),C313&lt;=110,507+25*(C313-51),C313&lt;=170,2007+50*(C313-111),C313&lt;=250,5007+50*(C313-171))</f>
        <v>782</v>
      </c>
      <c r="E313" t="str" cm="1">
        <f t="array" ref="E313">IF(D313="","",_xlfn.IFS(D313&lt;=500,"Top_500",D313&lt;=2000,"501_2000",D313&lt;=5000,"2001_5000",D313&lt;=10000,"5001_10000"))</f>
        <v>501_2000</v>
      </c>
      <c r="F313">
        <v>8164</v>
      </c>
      <c r="G313">
        <v>197</v>
      </c>
      <c r="H313" s="13">
        <v>46052</v>
      </c>
      <c r="I313" s="8" t="str">
        <f t="shared" si="9"/>
        <v>Bronator_youtube|Engineer</v>
      </c>
    </row>
    <row r="314" spans="1:9" x14ac:dyDescent="0.25">
      <c r="A314" t="s">
        <v>376</v>
      </c>
      <c r="B314" t="s">
        <v>20</v>
      </c>
      <c r="C314">
        <f t="shared" si="8"/>
        <v>63</v>
      </c>
      <c r="D314" cm="1">
        <f t="array" ref="D314">_xlfn.IFS(C314&lt;=50,7+10*(C314-1),C314&lt;=110,507+25*(C314-51),C314&lt;=170,2007+50*(C314-111),C314&lt;=250,5007+50*(C314-171))</f>
        <v>807</v>
      </c>
      <c r="E314" t="str" cm="1">
        <f t="array" ref="E314">IF(D314="","",_xlfn.IFS(D314&lt;=500,"Top_500",D314&lt;=2000,"501_2000",D314&lt;=5000,"2001_5000",D314&lt;=10000,"5001_10000"))</f>
        <v>501_2000</v>
      </c>
      <c r="F314">
        <v>8851</v>
      </c>
      <c r="G314">
        <v>202</v>
      </c>
      <c r="H314" s="13">
        <v>46052</v>
      </c>
      <c r="I314" s="8" t="str">
        <f t="shared" si="9"/>
        <v>JustCallMeCatt|Engineer</v>
      </c>
    </row>
    <row r="315" spans="1:9" x14ac:dyDescent="0.25">
      <c r="A315" t="s">
        <v>377</v>
      </c>
      <c r="B315" t="s">
        <v>20</v>
      </c>
      <c r="C315">
        <f t="shared" si="8"/>
        <v>64</v>
      </c>
      <c r="D315" cm="1">
        <f t="array" ref="D315">_xlfn.IFS(C315&lt;=50,7+10*(C315-1),C315&lt;=110,507+25*(C315-51),C315&lt;=170,2007+50*(C315-111),C315&lt;=250,5007+50*(C315-171))</f>
        <v>832</v>
      </c>
      <c r="E315" t="str" cm="1">
        <f t="array" ref="E315">IF(D315="","",_xlfn.IFS(D315&lt;=500,"Top_500",D315&lt;=2000,"501_2000",D315&lt;=5000,"2001_5000",D315&lt;=10000,"5001_10000"))</f>
        <v>501_2000</v>
      </c>
      <c r="F315">
        <v>8516</v>
      </c>
      <c r="G315">
        <v>268</v>
      </c>
      <c r="H315" s="13">
        <v>46052</v>
      </c>
      <c r="I315" s="8" t="str">
        <f t="shared" si="9"/>
        <v>Docquafina|Engineer</v>
      </c>
    </row>
    <row r="316" spans="1:9" x14ac:dyDescent="0.25">
      <c r="A316" t="s">
        <v>378</v>
      </c>
      <c r="B316" t="s">
        <v>20</v>
      </c>
      <c r="C316">
        <f t="shared" si="8"/>
        <v>65</v>
      </c>
      <c r="D316" cm="1">
        <f t="array" ref="D316">_xlfn.IFS(C316&lt;=50,7+10*(C316-1),C316&lt;=110,507+25*(C316-51),C316&lt;=170,2007+50*(C316-111),C316&lt;=250,5007+50*(C316-171))</f>
        <v>857</v>
      </c>
      <c r="E316" t="str" cm="1">
        <f t="array" ref="E316">IF(D316="","",_xlfn.IFS(D316&lt;=500,"Top_500",D316&lt;=2000,"501_2000",D316&lt;=5000,"2001_5000",D316&lt;=10000,"5001_10000"))</f>
        <v>501_2000</v>
      </c>
      <c r="F316">
        <v>8681</v>
      </c>
      <c r="G316">
        <v>129</v>
      </c>
      <c r="H316" s="13">
        <v>46052</v>
      </c>
      <c r="I316" s="8" t="str">
        <f t="shared" si="9"/>
        <v>Cyrus Lupus|Engineer</v>
      </c>
    </row>
    <row r="317" spans="1:9" x14ac:dyDescent="0.25">
      <c r="A317" t="s">
        <v>379</v>
      </c>
      <c r="B317" t="s">
        <v>20</v>
      </c>
      <c r="C317">
        <f t="shared" si="8"/>
        <v>66</v>
      </c>
      <c r="D317" cm="1">
        <f t="array" ref="D317">_xlfn.IFS(C317&lt;=50,7+10*(C317-1),C317&lt;=110,507+25*(C317-51),C317&lt;=170,2007+50*(C317-111),C317&lt;=250,5007+50*(C317-171))</f>
        <v>882</v>
      </c>
      <c r="E317" t="str" cm="1">
        <f t="array" ref="E317">IF(D317="","",_xlfn.IFS(D317&lt;=500,"Top_500",D317&lt;=2000,"501_2000",D317&lt;=5000,"2001_5000",D317&lt;=10000,"5001_10000"))</f>
        <v>501_2000</v>
      </c>
      <c r="F317">
        <v>8562</v>
      </c>
      <c r="G317">
        <v>168</v>
      </c>
      <c r="H317" s="13">
        <v>46052</v>
      </c>
      <c r="I317" s="8" t="str">
        <f t="shared" si="9"/>
        <v>BruceWayne001|Engineer</v>
      </c>
    </row>
    <row r="318" spans="1:9" x14ac:dyDescent="0.25">
      <c r="A318" t="s">
        <v>380</v>
      </c>
      <c r="B318" t="s">
        <v>20</v>
      </c>
      <c r="C318">
        <f t="shared" si="8"/>
        <v>67</v>
      </c>
      <c r="D318" cm="1">
        <f t="array" ref="D318">_xlfn.IFS(C318&lt;=50,7+10*(C318-1),C318&lt;=110,507+25*(C318-51),C318&lt;=170,2007+50*(C318-111),C318&lt;=250,5007+50*(C318-171))</f>
        <v>907</v>
      </c>
      <c r="E318" t="str" cm="1">
        <f t="array" ref="E318">IF(D318="","",_xlfn.IFS(D318&lt;=500,"Top_500",D318&lt;=2000,"501_2000",D318&lt;=5000,"2001_5000",D318&lt;=10000,"5001_10000"))</f>
        <v>501_2000</v>
      </c>
      <c r="F318">
        <v>8488</v>
      </c>
      <c r="G318">
        <v>289</v>
      </c>
      <c r="H318" s="13">
        <v>46052</v>
      </c>
      <c r="I318" s="8" t="str">
        <f t="shared" si="9"/>
        <v>xBakedKoalax|Engineer</v>
      </c>
    </row>
    <row r="319" spans="1:9" x14ac:dyDescent="0.25">
      <c r="A319" t="s">
        <v>381</v>
      </c>
      <c r="B319" t="s">
        <v>20</v>
      </c>
      <c r="C319">
        <f t="shared" si="8"/>
        <v>68</v>
      </c>
      <c r="D319" cm="1">
        <f t="array" ref="D319">_xlfn.IFS(C319&lt;=50,7+10*(C319-1),C319&lt;=110,507+25*(C319-51),C319&lt;=170,2007+50*(C319-111),C319&lt;=250,5007+50*(C319-171))</f>
        <v>932</v>
      </c>
      <c r="E319" t="str" cm="1">
        <f t="array" ref="E319">IF(D319="","",_xlfn.IFS(D319&lt;=500,"Top_500",D319&lt;=2000,"501_2000",D319&lt;=5000,"2001_5000",D319&lt;=10000,"5001_10000"))</f>
        <v>501_2000</v>
      </c>
      <c r="F319">
        <v>9118</v>
      </c>
      <c r="G319">
        <v>290</v>
      </c>
      <c r="H319" s="13">
        <v>46052</v>
      </c>
      <c r="I319" s="8" t="str">
        <f t="shared" si="9"/>
        <v>jacklamatrakk|Engineer</v>
      </c>
    </row>
    <row r="320" spans="1:9" x14ac:dyDescent="0.25">
      <c r="A320" t="s">
        <v>382</v>
      </c>
      <c r="B320" t="s">
        <v>20</v>
      </c>
      <c r="C320">
        <f t="shared" si="8"/>
        <v>69</v>
      </c>
      <c r="D320" cm="1">
        <f t="array" ref="D320">_xlfn.IFS(C320&lt;=50,7+10*(C320-1),C320&lt;=110,507+25*(C320-51),C320&lt;=170,2007+50*(C320-111),C320&lt;=250,5007+50*(C320-171))</f>
        <v>957</v>
      </c>
      <c r="E320" t="str" cm="1">
        <f t="array" ref="E320">IF(D320="","",_xlfn.IFS(D320&lt;=500,"Top_500",D320&lt;=2000,"501_2000",D320&lt;=5000,"2001_5000",D320&lt;=10000,"5001_10000"))</f>
        <v>501_2000</v>
      </c>
      <c r="F320">
        <v>7724</v>
      </c>
      <c r="G320">
        <v>180</v>
      </c>
      <c r="H320" s="13">
        <v>46052</v>
      </c>
      <c r="I320" s="8" t="str">
        <f t="shared" si="9"/>
        <v>McFlusher|Engineer</v>
      </c>
    </row>
    <row r="321" spans="1:9" x14ac:dyDescent="0.25">
      <c r="A321" t="s">
        <v>383</v>
      </c>
      <c r="B321" t="s">
        <v>20</v>
      </c>
      <c r="C321">
        <f t="shared" si="8"/>
        <v>70</v>
      </c>
      <c r="D321" cm="1">
        <f t="array" ref="D321">_xlfn.IFS(C321&lt;=50,7+10*(C321-1),C321&lt;=110,507+25*(C321-51),C321&lt;=170,2007+50*(C321-111),C321&lt;=250,5007+50*(C321-171))</f>
        <v>982</v>
      </c>
      <c r="E321" t="str" cm="1">
        <f t="array" ref="E321">IF(D321="","",_xlfn.IFS(D321&lt;=500,"Top_500",D321&lt;=2000,"501_2000",D321&lt;=5000,"2001_5000",D321&lt;=10000,"5001_10000"))</f>
        <v>501_2000</v>
      </c>
      <c r="F321">
        <v>7705</v>
      </c>
      <c r="G321">
        <v>179</v>
      </c>
      <c r="H321" s="13">
        <v>46052</v>
      </c>
      <c r="I321" s="8" t="str">
        <f t="shared" si="9"/>
        <v>spicolli123|Engineer</v>
      </c>
    </row>
    <row r="322" spans="1:9" x14ac:dyDescent="0.25">
      <c r="A322" t="s">
        <v>384</v>
      </c>
      <c r="B322" t="s">
        <v>20</v>
      </c>
      <c r="C322">
        <f t="shared" ref="C322:C385" si="10">IF(ROW()=2,1,IF(B322&lt;&gt;B321,1,C321+1))</f>
        <v>71</v>
      </c>
      <c r="D322" cm="1">
        <f t="array" ref="D322">_xlfn.IFS(C322&lt;=50,7+10*(C322-1),C322&lt;=110,507+25*(C322-51),C322&lt;=170,2007+50*(C322-111),C322&lt;=250,5007+50*(C322-171))</f>
        <v>1007</v>
      </c>
      <c r="E322" t="str" cm="1">
        <f t="array" ref="E322">IF(D322="","",_xlfn.IFS(D322&lt;=500,"Top_500",D322&lt;=2000,"501_2000",D322&lt;=5000,"2001_5000",D322&lt;=10000,"5001_10000"))</f>
        <v>501_2000</v>
      </c>
      <c r="F322">
        <v>7615</v>
      </c>
      <c r="G322">
        <v>182</v>
      </c>
      <c r="H322" s="13">
        <v>46052</v>
      </c>
      <c r="I322" s="8" t="str">
        <f t="shared" si="9"/>
        <v>NNJAkingbob|Engineer</v>
      </c>
    </row>
    <row r="323" spans="1:9" x14ac:dyDescent="0.25">
      <c r="A323" t="s">
        <v>385</v>
      </c>
      <c r="B323" t="s">
        <v>20</v>
      </c>
      <c r="C323">
        <f t="shared" si="10"/>
        <v>72</v>
      </c>
      <c r="D323" cm="1">
        <f t="array" ref="D323">_xlfn.IFS(C323&lt;=50,7+10*(C323-1),C323&lt;=110,507+25*(C323-51),C323&lt;=170,2007+50*(C323-111),C323&lt;=250,5007+50*(C323-171))</f>
        <v>1032</v>
      </c>
      <c r="E323" t="str" cm="1">
        <f t="array" ref="E323">IF(D323="","",_xlfn.IFS(D323&lt;=500,"Top_500",D323&lt;=2000,"501_2000",D323&lt;=5000,"2001_5000",D323&lt;=10000,"5001_10000"))</f>
        <v>501_2000</v>
      </c>
      <c r="F323">
        <v>8704</v>
      </c>
      <c r="G323">
        <v>197</v>
      </c>
      <c r="H323" s="13">
        <v>46052</v>
      </c>
      <c r="I323" s="8" t="str">
        <f t="shared" ref="I323:I386" si="11">A323 &amp; "|" &amp; B323</f>
        <v>GuyutesGhost|Engineer</v>
      </c>
    </row>
    <row r="324" spans="1:9" x14ac:dyDescent="0.25">
      <c r="A324" t="s">
        <v>386</v>
      </c>
      <c r="B324" t="s">
        <v>20</v>
      </c>
      <c r="C324">
        <f t="shared" si="10"/>
        <v>73</v>
      </c>
      <c r="D324" cm="1">
        <f t="array" ref="D324">_xlfn.IFS(C324&lt;=50,7+10*(C324-1),C324&lt;=110,507+25*(C324-51),C324&lt;=170,2007+50*(C324-111),C324&lt;=250,5007+50*(C324-171))</f>
        <v>1057</v>
      </c>
      <c r="E324" t="str" cm="1">
        <f t="array" ref="E324">IF(D324="","",_xlfn.IFS(D324&lt;=500,"Top_500",D324&lt;=2000,"501_2000",D324&lt;=5000,"2001_5000",D324&lt;=10000,"5001_10000"))</f>
        <v>501_2000</v>
      </c>
      <c r="F324">
        <v>7525</v>
      </c>
      <c r="G324">
        <v>234</v>
      </c>
      <c r="H324" s="13">
        <v>46052</v>
      </c>
      <c r="I324" s="8" t="str">
        <f t="shared" si="11"/>
        <v>Xiph1|Engineer</v>
      </c>
    </row>
    <row r="325" spans="1:9" x14ac:dyDescent="0.25">
      <c r="A325" t="s">
        <v>387</v>
      </c>
      <c r="B325" t="s">
        <v>20</v>
      </c>
      <c r="C325">
        <f t="shared" si="10"/>
        <v>74</v>
      </c>
      <c r="D325" cm="1">
        <f t="array" ref="D325">_xlfn.IFS(C325&lt;=50,7+10*(C325-1),C325&lt;=110,507+25*(C325-51),C325&lt;=170,2007+50*(C325-111),C325&lt;=250,5007+50*(C325-171))</f>
        <v>1082</v>
      </c>
      <c r="E325" t="str" cm="1">
        <f t="array" ref="E325">IF(D325="","",_xlfn.IFS(D325&lt;=500,"Top_500",D325&lt;=2000,"501_2000",D325&lt;=5000,"2001_5000",D325&lt;=10000,"5001_10000"))</f>
        <v>501_2000</v>
      </c>
      <c r="F325">
        <v>7801</v>
      </c>
      <c r="G325">
        <v>151</v>
      </c>
      <c r="H325" s="13">
        <v>46052</v>
      </c>
      <c r="I325" s="8" t="str">
        <f t="shared" si="11"/>
        <v>conway47|Engineer</v>
      </c>
    </row>
    <row r="326" spans="1:9" x14ac:dyDescent="0.25">
      <c r="A326" t="s">
        <v>388</v>
      </c>
      <c r="B326" t="s">
        <v>20</v>
      </c>
      <c r="C326">
        <f t="shared" si="10"/>
        <v>75</v>
      </c>
      <c r="D326" cm="1">
        <f t="array" ref="D326">_xlfn.IFS(C326&lt;=50,7+10*(C326-1),C326&lt;=110,507+25*(C326-51),C326&lt;=170,2007+50*(C326-111),C326&lt;=250,5007+50*(C326-171))</f>
        <v>1107</v>
      </c>
      <c r="E326" t="str" cm="1">
        <f t="array" ref="E326">IF(D326="","",_xlfn.IFS(D326&lt;=500,"Top_500",D326&lt;=2000,"501_2000",D326&lt;=5000,"2001_5000",D326&lt;=10000,"5001_10000"))</f>
        <v>501_2000</v>
      </c>
      <c r="F326">
        <v>8240</v>
      </c>
      <c r="G326">
        <v>196</v>
      </c>
      <c r="H326" s="13">
        <v>46052</v>
      </c>
      <c r="I326" s="8" t="str">
        <f t="shared" si="11"/>
        <v>Dodge1947|Engineer</v>
      </c>
    </row>
    <row r="327" spans="1:9" x14ac:dyDescent="0.25">
      <c r="A327" t="s">
        <v>389</v>
      </c>
      <c r="B327" t="s">
        <v>20</v>
      </c>
      <c r="C327">
        <f t="shared" si="10"/>
        <v>76</v>
      </c>
      <c r="D327" cm="1">
        <f t="array" ref="D327">_xlfn.IFS(C327&lt;=50,7+10*(C327-1),C327&lt;=110,507+25*(C327-51),C327&lt;=170,2007+50*(C327-111),C327&lt;=250,5007+50*(C327-171))</f>
        <v>1132</v>
      </c>
      <c r="E327" t="str" cm="1">
        <f t="array" ref="E327">IF(D327="","",_xlfn.IFS(D327&lt;=500,"Top_500",D327&lt;=2000,"501_2000",D327&lt;=5000,"2001_5000",D327&lt;=10000,"5001_10000"))</f>
        <v>501_2000</v>
      </c>
      <c r="F327">
        <v>7398</v>
      </c>
      <c r="G327">
        <v>132</v>
      </c>
      <c r="H327" s="13">
        <v>46052</v>
      </c>
      <c r="I327" s="8" t="str">
        <f t="shared" si="11"/>
        <v>240kmmh|Engineer</v>
      </c>
    </row>
    <row r="328" spans="1:9" x14ac:dyDescent="0.25">
      <c r="A328" t="s">
        <v>390</v>
      </c>
      <c r="B328" t="s">
        <v>20</v>
      </c>
      <c r="C328">
        <f t="shared" si="10"/>
        <v>77</v>
      </c>
      <c r="D328" cm="1">
        <f t="array" ref="D328">_xlfn.IFS(C328&lt;=50,7+10*(C328-1),C328&lt;=110,507+25*(C328-51),C328&lt;=170,2007+50*(C328-111),C328&lt;=250,5007+50*(C328-171))</f>
        <v>1157</v>
      </c>
      <c r="E328" t="str" cm="1">
        <f t="array" ref="E328">IF(D328="","",_xlfn.IFS(D328&lt;=500,"Top_500",D328&lt;=2000,"501_2000",D328&lt;=5000,"2001_5000",D328&lt;=10000,"5001_10000"))</f>
        <v>501_2000</v>
      </c>
      <c r="F328">
        <v>7434</v>
      </c>
      <c r="G328">
        <v>143</v>
      </c>
      <c r="H328" s="13">
        <v>46052</v>
      </c>
      <c r="I328" s="8" t="str">
        <f t="shared" si="11"/>
        <v>andy-eon|Engineer</v>
      </c>
    </row>
    <row r="329" spans="1:9" x14ac:dyDescent="0.25">
      <c r="A329" t="s">
        <v>391</v>
      </c>
      <c r="B329" t="s">
        <v>20</v>
      </c>
      <c r="C329">
        <f t="shared" si="10"/>
        <v>78</v>
      </c>
      <c r="D329" cm="1">
        <f t="array" ref="D329">_xlfn.IFS(C329&lt;=50,7+10*(C329-1),C329&lt;=110,507+25*(C329-51),C329&lt;=170,2007+50*(C329-111),C329&lt;=250,5007+50*(C329-171))</f>
        <v>1182</v>
      </c>
      <c r="E329" t="str" cm="1">
        <f t="array" ref="E329">IF(D329="","",_xlfn.IFS(D329&lt;=500,"Top_500",D329&lt;=2000,"501_2000",D329&lt;=5000,"2001_5000",D329&lt;=10000,"5001_10000"))</f>
        <v>501_2000</v>
      </c>
      <c r="F329">
        <v>7337</v>
      </c>
      <c r="G329">
        <v>196</v>
      </c>
      <c r="H329" s="13">
        <v>46052</v>
      </c>
      <c r="I329" s="8" t="str">
        <f t="shared" si="11"/>
        <v>M-o-e-r-d-e-r|Engineer</v>
      </c>
    </row>
    <row r="330" spans="1:9" x14ac:dyDescent="0.25">
      <c r="A330" t="s">
        <v>392</v>
      </c>
      <c r="B330" t="s">
        <v>20</v>
      </c>
      <c r="C330">
        <f t="shared" si="10"/>
        <v>79</v>
      </c>
      <c r="D330" cm="1">
        <f t="array" ref="D330">_xlfn.IFS(C330&lt;=50,7+10*(C330-1),C330&lt;=110,507+25*(C330-51),C330&lt;=170,2007+50*(C330-111),C330&lt;=250,5007+50*(C330-171))</f>
        <v>1207</v>
      </c>
      <c r="E330" t="str" cm="1">
        <f t="array" ref="E330">IF(D330="","",_xlfn.IFS(D330&lt;=500,"Top_500",D330&lt;=2000,"501_2000",D330&lt;=5000,"2001_5000",D330&lt;=10000,"5001_10000"))</f>
        <v>501_2000</v>
      </c>
      <c r="F330">
        <v>7402</v>
      </c>
      <c r="G330">
        <v>166</v>
      </c>
      <c r="H330" s="13">
        <v>46052</v>
      </c>
      <c r="I330" s="8" t="str">
        <f t="shared" si="11"/>
        <v>vladi6716|Engineer</v>
      </c>
    </row>
    <row r="331" spans="1:9" x14ac:dyDescent="0.25">
      <c r="A331" t="s">
        <v>393</v>
      </c>
      <c r="B331" t="s">
        <v>20</v>
      </c>
      <c r="C331">
        <f t="shared" si="10"/>
        <v>80</v>
      </c>
      <c r="D331" cm="1">
        <f t="array" ref="D331">_xlfn.IFS(C331&lt;=50,7+10*(C331-1),C331&lt;=110,507+25*(C331-51),C331&lt;=170,2007+50*(C331-111),C331&lt;=250,5007+50*(C331-171))</f>
        <v>1232</v>
      </c>
      <c r="E331" t="str" cm="1">
        <f t="array" ref="E331">IF(D331="","",_xlfn.IFS(D331&lt;=500,"Top_500",D331&lt;=2000,"501_2000",D331&lt;=5000,"2001_5000",D331&lt;=10000,"5001_10000"))</f>
        <v>501_2000</v>
      </c>
      <c r="F331">
        <v>7610</v>
      </c>
      <c r="G331">
        <v>263</v>
      </c>
      <c r="H331" s="13">
        <v>46052</v>
      </c>
      <c r="I331" s="8" t="str">
        <f t="shared" si="11"/>
        <v>DevilsReject170|Engineer</v>
      </c>
    </row>
    <row r="332" spans="1:9" x14ac:dyDescent="0.25">
      <c r="A332" t="s">
        <v>394</v>
      </c>
      <c r="B332" t="s">
        <v>20</v>
      </c>
      <c r="C332">
        <f t="shared" si="10"/>
        <v>81</v>
      </c>
      <c r="D332" cm="1">
        <f t="array" ref="D332">_xlfn.IFS(C332&lt;=50,7+10*(C332-1),C332&lt;=110,507+25*(C332-51),C332&lt;=170,2007+50*(C332-111),C332&lt;=250,5007+50*(C332-171))</f>
        <v>1257</v>
      </c>
      <c r="E332" t="str" cm="1">
        <f t="array" ref="E332">IF(D332="","",_xlfn.IFS(D332&lt;=500,"Top_500",D332&lt;=2000,"501_2000",D332&lt;=5000,"2001_5000",D332&lt;=10000,"5001_10000"))</f>
        <v>501_2000</v>
      </c>
      <c r="F332">
        <v>7216</v>
      </c>
      <c r="G332">
        <v>127</v>
      </c>
      <c r="H332" s="13">
        <v>46052</v>
      </c>
      <c r="I332" s="8" t="str">
        <f t="shared" si="11"/>
        <v>DESOLATION TREY|Engineer</v>
      </c>
    </row>
    <row r="333" spans="1:9" x14ac:dyDescent="0.25">
      <c r="A333" t="s">
        <v>395</v>
      </c>
      <c r="B333" t="s">
        <v>20</v>
      </c>
      <c r="C333">
        <f t="shared" si="10"/>
        <v>82</v>
      </c>
      <c r="D333" cm="1">
        <f t="array" ref="D333">_xlfn.IFS(C333&lt;=50,7+10*(C333-1),C333&lt;=110,507+25*(C333-51),C333&lt;=170,2007+50*(C333-111),C333&lt;=250,5007+50*(C333-171))</f>
        <v>1282</v>
      </c>
      <c r="E333" t="str" cm="1">
        <f t="array" ref="E333">IF(D333="","",_xlfn.IFS(D333&lt;=500,"Top_500",D333&lt;=2000,"501_2000",D333&lt;=5000,"2001_5000",D333&lt;=10000,"5001_10000"))</f>
        <v>501_2000</v>
      </c>
      <c r="F333">
        <v>7339</v>
      </c>
      <c r="G333">
        <v>164</v>
      </c>
      <c r="H333" s="13">
        <v>46052</v>
      </c>
      <c r="I333" s="8" t="str">
        <f t="shared" si="11"/>
        <v>firefighterdc74|Engineer</v>
      </c>
    </row>
    <row r="334" spans="1:9" x14ac:dyDescent="0.25">
      <c r="A334" t="s">
        <v>396</v>
      </c>
      <c r="B334" t="s">
        <v>20</v>
      </c>
      <c r="C334">
        <f t="shared" si="10"/>
        <v>83</v>
      </c>
      <c r="D334" cm="1">
        <f t="array" ref="D334">_xlfn.IFS(C334&lt;=50,7+10*(C334-1),C334&lt;=110,507+25*(C334-51),C334&lt;=170,2007+50*(C334-111),C334&lt;=250,5007+50*(C334-171))</f>
        <v>1307</v>
      </c>
      <c r="E334" t="str" cm="1">
        <f t="array" ref="E334">IF(D334="","",_xlfn.IFS(D334&lt;=500,"Top_500",D334&lt;=2000,"501_2000",D334&lt;=5000,"2001_5000",D334&lt;=10000,"5001_10000"))</f>
        <v>501_2000</v>
      </c>
      <c r="F334">
        <v>7139</v>
      </c>
      <c r="G334">
        <v>145</v>
      </c>
      <c r="H334" s="13">
        <v>46052</v>
      </c>
      <c r="I334" s="8" t="str">
        <f t="shared" si="11"/>
        <v>Vovan-Fizruk|Engineer</v>
      </c>
    </row>
    <row r="335" spans="1:9" x14ac:dyDescent="0.25">
      <c r="A335" t="s">
        <v>397</v>
      </c>
      <c r="B335" t="s">
        <v>20</v>
      </c>
      <c r="C335">
        <f t="shared" si="10"/>
        <v>84</v>
      </c>
      <c r="D335" cm="1">
        <f t="array" ref="D335">_xlfn.IFS(C335&lt;=50,7+10*(C335-1),C335&lt;=110,507+25*(C335-51),C335&lt;=170,2007+50*(C335-111),C335&lt;=250,5007+50*(C335-171))</f>
        <v>1332</v>
      </c>
      <c r="E335" t="str" cm="1">
        <f t="array" ref="E335">IF(D335="","",_xlfn.IFS(D335&lt;=500,"Top_500",D335&lt;=2000,"501_2000",D335&lt;=5000,"2001_5000",D335&lt;=10000,"5001_10000"))</f>
        <v>501_2000</v>
      </c>
      <c r="F335">
        <v>7102</v>
      </c>
      <c r="G335">
        <v>152</v>
      </c>
      <c r="H335" s="13">
        <v>46052</v>
      </c>
      <c r="I335" s="8" t="str">
        <f t="shared" si="11"/>
        <v>Jonny_Deathbox|Engineer</v>
      </c>
    </row>
    <row r="336" spans="1:9" x14ac:dyDescent="0.25">
      <c r="A336" t="s">
        <v>398</v>
      </c>
      <c r="B336" t="s">
        <v>20</v>
      </c>
      <c r="C336">
        <f t="shared" si="10"/>
        <v>85</v>
      </c>
      <c r="D336" cm="1">
        <f t="array" ref="D336">_xlfn.IFS(C336&lt;=50,7+10*(C336-1),C336&lt;=110,507+25*(C336-51),C336&lt;=170,2007+50*(C336-111),C336&lt;=250,5007+50*(C336-171))</f>
        <v>1357</v>
      </c>
      <c r="E336" t="str" cm="1">
        <f t="array" ref="E336">IF(D336="","",_xlfn.IFS(D336&lt;=500,"Top_500",D336&lt;=2000,"501_2000",D336&lt;=5000,"2001_5000",D336&lt;=10000,"5001_10000"))</f>
        <v>501_2000</v>
      </c>
      <c r="F336">
        <v>7264</v>
      </c>
      <c r="G336">
        <v>210</v>
      </c>
      <c r="H336" s="13">
        <v>46052</v>
      </c>
      <c r="I336" s="8" t="str">
        <f t="shared" si="11"/>
        <v>ChaosReigns143|Engineer</v>
      </c>
    </row>
    <row r="337" spans="1:9" x14ac:dyDescent="0.25">
      <c r="A337" t="s">
        <v>399</v>
      </c>
      <c r="B337" t="s">
        <v>20</v>
      </c>
      <c r="C337">
        <f t="shared" si="10"/>
        <v>86</v>
      </c>
      <c r="D337" cm="1">
        <f t="array" ref="D337">_xlfn.IFS(C337&lt;=50,7+10*(C337-1),C337&lt;=110,507+25*(C337-51),C337&lt;=170,2007+50*(C337-111),C337&lt;=250,5007+50*(C337-171))</f>
        <v>1382</v>
      </c>
      <c r="E337" t="str" cm="1">
        <f t="array" ref="E337">IF(D337="","",_xlfn.IFS(D337&lt;=500,"Top_500",D337&lt;=2000,"501_2000",D337&lt;=5000,"2001_5000",D337&lt;=10000,"5001_10000"))</f>
        <v>501_2000</v>
      </c>
      <c r="F337">
        <v>11460</v>
      </c>
      <c r="G337">
        <v>257</v>
      </c>
      <c r="H337" s="13">
        <v>46052</v>
      </c>
      <c r="I337" s="8" t="str">
        <f t="shared" si="11"/>
        <v>rodrilondon10|Engineer</v>
      </c>
    </row>
    <row r="338" spans="1:9" x14ac:dyDescent="0.25">
      <c r="A338" t="s">
        <v>400</v>
      </c>
      <c r="B338" t="s">
        <v>20</v>
      </c>
      <c r="C338">
        <f t="shared" si="10"/>
        <v>87</v>
      </c>
      <c r="D338" cm="1">
        <f t="array" ref="D338">_xlfn.IFS(C338&lt;=50,7+10*(C338-1),C338&lt;=110,507+25*(C338-51),C338&lt;=170,2007+50*(C338-111),C338&lt;=250,5007+50*(C338-171))</f>
        <v>1407</v>
      </c>
      <c r="E338" t="str" cm="1">
        <f t="array" ref="E338">IF(D338="","",_xlfn.IFS(D338&lt;=500,"Top_500",D338&lt;=2000,"501_2000",D338&lt;=5000,"2001_5000",D338&lt;=10000,"5001_10000"))</f>
        <v>501_2000</v>
      </c>
      <c r="F338">
        <v>7078</v>
      </c>
      <c r="G338">
        <v>179</v>
      </c>
      <c r="H338" s="13">
        <v>46052</v>
      </c>
      <c r="I338" s="8" t="str">
        <f t="shared" si="11"/>
        <v>LRT-JEMSYS-787|Engineer</v>
      </c>
    </row>
    <row r="339" spans="1:9" x14ac:dyDescent="0.25">
      <c r="A339" t="s">
        <v>401</v>
      </c>
      <c r="B339" t="s">
        <v>20</v>
      </c>
      <c r="C339">
        <f t="shared" si="10"/>
        <v>88</v>
      </c>
      <c r="D339" cm="1">
        <f t="array" ref="D339">_xlfn.IFS(C339&lt;=50,7+10*(C339-1),C339&lt;=110,507+25*(C339-51),C339&lt;=170,2007+50*(C339-111),C339&lt;=250,5007+50*(C339-171))</f>
        <v>1432</v>
      </c>
      <c r="E339" t="str" cm="1">
        <f t="array" ref="E339">IF(D339="","",_xlfn.IFS(D339&lt;=500,"Top_500",D339&lt;=2000,"501_2000",D339&lt;=5000,"2001_5000",D339&lt;=10000,"5001_10000"))</f>
        <v>501_2000</v>
      </c>
      <c r="F339">
        <v>7041</v>
      </c>
      <c r="G339">
        <v>200</v>
      </c>
      <c r="H339" s="13">
        <v>46052</v>
      </c>
      <c r="I339" s="8" t="str">
        <f t="shared" si="11"/>
        <v>CCB-PLAAF-咕噜咕噜|Engineer</v>
      </c>
    </row>
    <row r="340" spans="1:9" x14ac:dyDescent="0.25">
      <c r="A340" t="s">
        <v>402</v>
      </c>
      <c r="B340" t="s">
        <v>20</v>
      </c>
      <c r="C340">
        <f t="shared" si="10"/>
        <v>89</v>
      </c>
      <c r="D340" cm="1">
        <f t="array" ref="D340">_xlfn.IFS(C340&lt;=50,7+10*(C340-1),C340&lt;=110,507+25*(C340-51),C340&lt;=170,2007+50*(C340-111),C340&lt;=250,5007+50*(C340-171))</f>
        <v>1457</v>
      </c>
      <c r="E340" t="str" cm="1">
        <f t="array" ref="E340">IF(D340="","",_xlfn.IFS(D340&lt;=500,"Top_500",D340&lt;=2000,"501_2000",D340&lt;=5000,"2001_5000",D340&lt;=10000,"5001_10000"))</f>
        <v>501_2000</v>
      </c>
      <c r="F340">
        <v>7085</v>
      </c>
      <c r="G340">
        <v>188</v>
      </c>
      <c r="H340" s="13">
        <v>46052</v>
      </c>
      <c r="I340" s="8" t="str">
        <f t="shared" si="11"/>
        <v>SYM-Shadowlerks|Engineer</v>
      </c>
    </row>
    <row r="341" spans="1:9" x14ac:dyDescent="0.25">
      <c r="A341" t="s">
        <v>403</v>
      </c>
      <c r="B341" t="s">
        <v>20</v>
      </c>
      <c r="C341">
        <f t="shared" si="10"/>
        <v>90</v>
      </c>
      <c r="D341" cm="1">
        <f t="array" ref="D341">_xlfn.IFS(C341&lt;=50,7+10*(C341-1),C341&lt;=110,507+25*(C341-51),C341&lt;=170,2007+50*(C341-111),C341&lt;=250,5007+50*(C341-171))</f>
        <v>1482</v>
      </c>
      <c r="E341" t="str" cm="1">
        <f t="array" ref="E341">IF(D341="","",_xlfn.IFS(D341&lt;=500,"Top_500",D341&lt;=2000,"501_2000",D341&lt;=5000,"2001_5000",D341&lt;=10000,"5001_10000"))</f>
        <v>501_2000</v>
      </c>
      <c r="F341">
        <v>6922</v>
      </c>
      <c r="G341">
        <v>123</v>
      </c>
      <c r="H341" s="13">
        <v>46052</v>
      </c>
      <c r="I341" s="8" t="str">
        <f t="shared" si="11"/>
        <v>madmac80|Engineer</v>
      </c>
    </row>
    <row r="342" spans="1:9" x14ac:dyDescent="0.25">
      <c r="A342" t="s">
        <v>404</v>
      </c>
      <c r="B342" t="s">
        <v>20</v>
      </c>
      <c r="C342">
        <f t="shared" si="10"/>
        <v>91</v>
      </c>
      <c r="D342" cm="1">
        <f t="array" ref="D342">_xlfn.IFS(C342&lt;=50,7+10*(C342-1),C342&lt;=110,507+25*(C342-51),C342&lt;=170,2007+50*(C342-111),C342&lt;=250,5007+50*(C342-171))</f>
        <v>1507</v>
      </c>
      <c r="E342" t="str" cm="1">
        <f t="array" ref="E342">IF(D342="","",_xlfn.IFS(D342&lt;=500,"Top_500",D342&lt;=2000,"501_2000",D342&lt;=5000,"2001_5000",D342&lt;=10000,"5001_10000"))</f>
        <v>501_2000</v>
      </c>
      <c r="F342">
        <v>6959</v>
      </c>
      <c r="G342">
        <v>251</v>
      </c>
      <c r="H342" s="13">
        <v>46052</v>
      </c>
      <c r="I342" s="8" t="str">
        <f t="shared" si="11"/>
        <v>DirtY Kiri|Engineer</v>
      </c>
    </row>
    <row r="343" spans="1:9" x14ac:dyDescent="0.25">
      <c r="A343" t="s">
        <v>405</v>
      </c>
      <c r="B343" t="s">
        <v>20</v>
      </c>
      <c r="C343">
        <f t="shared" si="10"/>
        <v>92</v>
      </c>
      <c r="D343" cm="1">
        <f t="array" ref="D343">_xlfn.IFS(C343&lt;=50,7+10*(C343-1),C343&lt;=110,507+25*(C343-51),C343&lt;=170,2007+50*(C343-111),C343&lt;=250,5007+50*(C343-171))</f>
        <v>1532</v>
      </c>
      <c r="E343" t="str" cm="1">
        <f t="array" ref="E343">IF(D343="","",_xlfn.IFS(D343&lt;=500,"Top_500",D343&lt;=2000,"501_2000",D343&lt;=5000,"2001_5000",D343&lt;=10000,"5001_10000"))</f>
        <v>501_2000</v>
      </c>
      <c r="F343">
        <v>6924</v>
      </c>
      <c r="G343">
        <v>186</v>
      </c>
      <c r="H343" s="13">
        <v>46052</v>
      </c>
      <c r="I343" s="8" t="str">
        <f t="shared" si="11"/>
        <v>bunny bunny bunny bunny bunny|Engineer</v>
      </c>
    </row>
    <row r="344" spans="1:9" x14ac:dyDescent="0.25">
      <c r="A344" t="s">
        <v>406</v>
      </c>
      <c r="B344" t="s">
        <v>20</v>
      </c>
      <c r="C344">
        <f t="shared" si="10"/>
        <v>93</v>
      </c>
      <c r="D344" cm="1">
        <f t="array" ref="D344">_xlfn.IFS(C344&lt;=50,7+10*(C344-1),C344&lt;=110,507+25*(C344-51),C344&lt;=170,2007+50*(C344-111),C344&lt;=250,5007+50*(C344-171))</f>
        <v>1557</v>
      </c>
      <c r="E344" t="str" cm="1">
        <f t="array" ref="E344">IF(D344="","",_xlfn.IFS(D344&lt;=500,"Top_500",D344&lt;=2000,"501_2000",D344&lt;=5000,"2001_5000",D344&lt;=10000,"5001_10000"))</f>
        <v>501_2000</v>
      </c>
      <c r="F344">
        <v>7215</v>
      </c>
      <c r="G344">
        <v>197</v>
      </c>
      <c r="H344" s="13">
        <v>46052</v>
      </c>
      <c r="I344" s="8" t="str">
        <f t="shared" si="11"/>
        <v>kaltkopf|Engineer</v>
      </c>
    </row>
    <row r="345" spans="1:9" x14ac:dyDescent="0.25">
      <c r="A345" t="s">
        <v>407</v>
      </c>
      <c r="B345" t="s">
        <v>20</v>
      </c>
      <c r="C345">
        <f t="shared" si="10"/>
        <v>94</v>
      </c>
      <c r="D345" cm="1">
        <f t="array" ref="D345">_xlfn.IFS(C345&lt;=50,7+10*(C345-1),C345&lt;=110,507+25*(C345-51),C345&lt;=170,2007+50*(C345-111),C345&lt;=250,5007+50*(C345-171))</f>
        <v>1582</v>
      </c>
      <c r="E345" t="str" cm="1">
        <f t="array" ref="E345">IF(D345="","",_xlfn.IFS(D345&lt;=500,"Top_500",D345&lt;=2000,"501_2000",D345&lt;=5000,"2001_5000",D345&lt;=10000,"5001_10000"))</f>
        <v>501_2000</v>
      </c>
      <c r="F345">
        <v>6799</v>
      </c>
      <c r="G345">
        <v>162</v>
      </c>
      <c r="H345" s="13">
        <v>46052</v>
      </c>
      <c r="I345" s="8" t="str">
        <f t="shared" si="11"/>
        <v>John Maçarico|Engineer</v>
      </c>
    </row>
    <row r="346" spans="1:9" x14ac:dyDescent="0.25">
      <c r="A346" t="s">
        <v>408</v>
      </c>
      <c r="B346" t="s">
        <v>20</v>
      </c>
      <c r="C346">
        <f t="shared" si="10"/>
        <v>95</v>
      </c>
      <c r="D346" cm="1">
        <f t="array" ref="D346">_xlfn.IFS(C346&lt;=50,7+10*(C346-1),C346&lt;=110,507+25*(C346-51),C346&lt;=170,2007+50*(C346-111),C346&lt;=250,5007+50*(C346-171))</f>
        <v>1607</v>
      </c>
      <c r="E346" t="str" cm="1">
        <f t="array" ref="E346">IF(D346="","",_xlfn.IFS(D346&lt;=500,"Top_500",D346&lt;=2000,"501_2000",D346&lt;=5000,"2001_5000",D346&lt;=10000,"5001_10000"))</f>
        <v>501_2000</v>
      </c>
      <c r="F346">
        <v>7217</v>
      </c>
      <c r="G346">
        <v>214</v>
      </c>
      <c r="H346" s="13">
        <v>46052</v>
      </c>
      <c r="I346" s="8" t="str">
        <f t="shared" si="11"/>
        <v>BIG2907|Engineer</v>
      </c>
    </row>
    <row r="347" spans="1:9" x14ac:dyDescent="0.25">
      <c r="A347" t="s">
        <v>409</v>
      </c>
      <c r="B347" t="s">
        <v>20</v>
      </c>
      <c r="C347">
        <f t="shared" si="10"/>
        <v>96</v>
      </c>
      <c r="D347" cm="1">
        <f t="array" ref="D347">_xlfn.IFS(C347&lt;=50,7+10*(C347-1),C347&lt;=110,507+25*(C347-51),C347&lt;=170,2007+50*(C347-111),C347&lt;=250,5007+50*(C347-171))</f>
        <v>1632</v>
      </c>
      <c r="E347" t="str" cm="1">
        <f t="array" ref="E347">IF(D347="","",_xlfn.IFS(D347&lt;=500,"Top_500",D347&lt;=2000,"501_2000",D347&lt;=5000,"2001_5000",D347&lt;=10000,"5001_10000"))</f>
        <v>501_2000</v>
      </c>
      <c r="F347">
        <v>8952</v>
      </c>
      <c r="G347">
        <v>141</v>
      </c>
      <c r="H347" s="13">
        <v>46052</v>
      </c>
      <c r="I347" s="8" t="str">
        <f t="shared" si="11"/>
        <v>free_example9|Engineer</v>
      </c>
    </row>
    <row r="348" spans="1:9" x14ac:dyDescent="0.25">
      <c r="A348" t="s">
        <v>410</v>
      </c>
      <c r="B348" t="s">
        <v>20</v>
      </c>
      <c r="C348">
        <f t="shared" si="10"/>
        <v>97</v>
      </c>
      <c r="D348" cm="1">
        <f t="array" ref="D348">_xlfn.IFS(C348&lt;=50,7+10*(C348-1),C348&lt;=110,507+25*(C348-51),C348&lt;=170,2007+50*(C348-111),C348&lt;=250,5007+50*(C348-171))</f>
        <v>1657</v>
      </c>
      <c r="E348" t="str" cm="1">
        <f t="array" ref="E348">IF(D348="","",_xlfn.IFS(D348&lt;=500,"Top_500",D348&lt;=2000,"501_2000",D348&lt;=5000,"2001_5000",D348&lt;=10000,"5001_10000"))</f>
        <v>501_2000</v>
      </c>
      <c r="F348">
        <v>6734</v>
      </c>
      <c r="G348">
        <v>149</v>
      </c>
      <c r="H348" s="13">
        <v>46052</v>
      </c>
      <c r="I348" s="8" t="str">
        <f t="shared" si="11"/>
        <v>duty7837|Engineer</v>
      </c>
    </row>
    <row r="349" spans="1:9" x14ac:dyDescent="0.25">
      <c r="A349" t="s">
        <v>411</v>
      </c>
      <c r="B349" t="s">
        <v>20</v>
      </c>
      <c r="C349">
        <f t="shared" si="10"/>
        <v>98</v>
      </c>
      <c r="D349" cm="1">
        <f t="array" ref="D349">_xlfn.IFS(C349&lt;=50,7+10*(C349-1),C349&lt;=110,507+25*(C349-51),C349&lt;=170,2007+50*(C349-111),C349&lt;=250,5007+50*(C349-171))</f>
        <v>1682</v>
      </c>
      <c r="E349" t="str" cm="1">
        <f t="array" ref="E349">IF(D349="","",_xlfn.IFS(D349&lt;=500,"Top_500",D349&lt;=2000,"501_2000",D349&lt;=5000,"2001_5000",D349&lt;=10000,"5001_10000"))</f>
        <v>501_2000</v>
      </c>
      <c r="F349">
        <v>6831</v>
      </c>
      <c r="G349">
        <v>214</v>
      </c>
      <c r="H349" s="13">
        <v>46052</v>
      </c>
      <c r="I349" s="8" t="str">
        <f t="shared" si="11"/>
        <v>thredzzzz|Engineer</v>
      </c>
    </row>
    <row r="350" spans="1:9" x14ac:dyDescent="0.25">
      <c r="A350" t="s">
        <v>412</v>
      </c>
      <c r="B350" t="s">
        <v>20</v>
      </c>
      <c r="C350">
        <f t="shared" si="10"/>
        <v>99</v>
      </c>
      <c r="D350" cm="1">
        <f t="array" ref="D350">_xlfn.IFS(C350&lt;=50,7+10*(C350-1),C350&lt;=110,507+25*(C350-51),C350&lt;=170,2007+50*(C350-111),C350&lt;=250,5007+50*(C350-171))</f>
        <v>1707</v>
      </c>
      <c r="E350" t="str" cm="1">
        <f t="array" ref="E350">IF(D350="","",_xlfn.IFS(D350&lt;=500,"Top_500",D350&lt;=2000,"501_2000",D350&lt;=5000,"2001_5000",D350&lt;=10000,"5001_10000"))</f>
        <v>501_2000</v>
      </c>
      <c r="F350">
        <v>7061</v>
      </c>
      <c r="G350">
        <v>150</v>
      </c>
      <c r="H350" s="13">
        <v>46052</v>
      </c>
      <c r="I350" s="8" t="str">
        <f t="shared" si="11"/>
        <v>MD-Trooper1984|Engineer</v>
      </c>
    </row>
    <row r="351" spans="1:9" x14ac:dyDescent="0.25">
      <c r="A351" t="s">
        <v>413</v>
      </c>
      <c r="B351" t="s">
        <v>20</v>
      </c>
      <c r="C351">
        <f t="shared" si="10"/>
        <v>100</v>
      </c>
      <c r="D351" cm="1">
        <f t="array" ref="D351">_xlfn.IFS(C351&lt;=50,7+10*(C351-1),C351&lt;=110,507+25*(C351-51),C351&lt;=170,2007+50*(C351-111),C351&lt;=250,5007+50*(C351-171))</f>
        <v>1732</v>
      </c>
      <c r="E351" t="str" cm="1">
        <f t="array" ref="E351">IF(D351="","",_xlfn.IFS(D351&lt;=500,"Top_500",D351&lt;=2000,"501_2000",D351&lt;=5000,"2001_5000",D351&lt;=10000,"5001_10000"))</f>
        <v>501_2000</v>
      </c>
      <c r="F351">
        <v>6773</v>
      </c>
      <c r="G351">
        <v>233</v>
      </c>
      <c r="H351" s="13">
        <v>46052</v>
      </c>
      <c r="I351" s="8" t="str">
        <f t="shared" si="11"/>
        <v>II STRICK9 II|Engineer</v>
      </c>
    </row>
    <row r="352" spans="1:9" x14ac:dyDescent="0.25">
      <c r="B352" t="s">
        <v>20</v>
      </c>
      <c r="C352">
        <f t="shared" si="10"/>
        <v>101</v>
      </c>
      <c r="D352" cm="1">
        <f t="array" ref="D352">_xlfn.IFS(C352&lt;=50,7+10*(C352-1),C352&lt;=110,507+25*(C352-51),C352&lt;=170,2007+50*(C352-111),C352&lt;=250,5007+50*(C352-171))</f>
        <v>1757</v>
      </c>
      <c r="E352" t="str" cm="1">
        <f t="array" ref="E352">IF(D352="","",_xlfn.IFS(D352&lt;=500,"Top_500",D352&lt;=2000,"501_2000",D352&lt;=5000,"2001_5000",D352&lt;=10000,"5001_10000"))</f>
        <v>501_2000</v>
      </c>
      <c r="I352" s="8" t="str">
        <f t="shared" si="11"/>
        <v>|Engineer</v>
      </c>
    </row>
    <row r="353" spans="2:9" x14ac:dyDescent="0.25">
      <c r="B353" t="s">
        <v>20</v>
      </c>
      <c r="C353">
        <f t="shared" si="10"/>
        <v>102</v>
      </c>
      <c r="D353" cm="1">
        <f t="array" ref="D353">_xlfn.IFS(C353&lt;=50,7+10*(C353-1),C353&lt;=110,507+25*(C353-51),C353&lt;=170,2007+50*(C353-111),C353&lt;=250,5007+50*(C353-171))</f>
        <v>1782</v>
      </c>
      <c r="E353" t="str" cm="1">
        <f t="array" ref="E353">IF(D353="","",_xlfn.IFS(D353&lt;=500,"Top_500",D353&lt;=2000,"501_2000",D353&lt;=5000,"2001_5000",D353&lt;=10000,"5001_10000"))</f>
        <v>501_2000</v>
      </c>
      <c r="I353" s="8" t="str">
        <f t="shared" si="11"/>
        <v>|Engineer</v>
      </c>
    </row>
    <row r="354" spans="2:9" x14ac:dyDescent="0.25">
      <c r="B354" t="s">
        <v>20</v>
      </c>
      <c r="C354">
        <f t="shared" si="10"/>
        <v>103</v>
      </c>
      <c r="D354" cm="1">
        <f t="array" ref="D354">_xlfn.IFS(C354&lt;=50,7+10*(C354-1),C354&lt;=110,507+25*(C354-51),C354&lt;=170,2007+50*(C354-111),C354&lt;=250,5007+50*(C354-171))</f>
        <v>1807</v>
      </c>
      <c r="E354" t="str" cm="1">
        <f t="array" ref="E354">IF(D354="","",_xlfn.IFS(D354&lt;=500,"Top_500",D354&lt;=2000,"501_2000",D354&lt;=5000,"2001_5000",D354&lt;=10000,"5001_10000"))</f>
        <v>501_2000</v>
      </c>
      <c r="I354" s="8" t="str">
        <f t="shared" si="11"/>
        <v>|Engineer</v>
      </c>
    </row>
    <row r="355" spans="2:9" x14ac:dyDescent="0.25">
      <c r="B355" t="s">
        <v>20</v>
      </c>
      <c r="C355">
        <f t="shared" si="10"/>
        <v>104</v>
      </c>
      <c r="D355" cm="1">
        <f t="array" ref="D355">_xlfn.IFS(C355&lt;=50,7+10*(C355-1),C355&lt;=110,507+25*(C355-51),C355&lt;=170,2007+50*(C355-111),C355&lt;=250,5007+50*(C355-171))</f>
        <v>1832</v>
      </c>
      <c r="E355" t="str" cm="1">
        <f t="array" ref="E355">IF(D355="","",_xlfn.IFS(D355&lt;=500,"Top_500",D355&lt;=2000,"501_2000",D355&lt;=5000,"2001_5000",D355&lt;=10000,"5001_10000"))</f>
        <v>501_2000</v>
      </c>
      <c r="I355" s="8" t="str">
        <f t="shared" si="11"/>
        <v>|Engineer</v>
      </c>
    </row>
    <row r="356" spans="2:9" x14ac:dyDescent="0.25">
      <c r="B356" t="s">
        <v>20</v>
      </c>
      <c r="C356">
        <f t="shared" si="10"/>
        <v>105</v>
      </c>
      <c r="D356" cm="1">
        <f t="array" ref="D356">_xlfn.IFS(C356&lt;=50,7+10*(C356-1),C356&lt;=110,507+25*(C356-51),C356&lt;=170,2007+50*(C356-111),C356&lt;=250,5007+50*(C356-171))</f>
        <v>1857</v>
      </c>
      <c r="E356" t="str" cm="1">
        <f t="array" ref="E356">IF(D356="","",_xlfn.IFS(D356&lt;=500,"Top_500",D356&lt;=2000,"501_2000",D356&lt;=5000,"2001_5000",D356&lt;=10000,"5001_10000"))</f>
        <v>501_2000</v>
      </c>
      <c r="I356" s="8" t="str">
        <f t="shared" si="11"/>
        <v>|Engineer</v>
      </c>
    </row>
    <row r="357" spans="2:9" x14ac:dyDescent="0.25">
      <c r="B357" t="s">
        <v>20</v>
      </c>
      <c r="C357">
        <f t="shared" si="10"/>
        <v>106</v>
      </c>
      <c r="D357" cm="1">
        <f t="array" ref="D357">_xlfn.IFS(C357&lt;=50,7+10*(C357-1),C357&lt;=110,507+25*(C357-51),C357&lt;=170,2007+50*(C357-111),C357&lt;=250,5007+50*(C357-171))</f>
        <v>1882</v>
      </c>
      <c r="E357" t="str" cm="1">
        <f t="array" ref="E357">IF(D357="","",_xlfn.IFS(D357&lt;=500,"Top_500",D357&lt;=2000,"501_2000",D357&lt;=5000,"2001_5000",D357&lt;=10000,"5001_10000"))</f>
        <v>501_2000</v>
      </c>
      <c r="I357" s="8" t="str">
        <f t="shared" si="11"/>
        <v>|Engineer</v>
      </c>
    </row>
    <row r="358" spans="2:9" x14ac:dyDescent="0.25">
      <c r="B358" t="s">
        <v>20</v>
      </c>
      <c r="C358">
        <f t="shared" si="10"/>
        <v>107</v>
      </c>
      <c r="D358" cm="1">
        <f t="array" ref="D358">_xlfn.IFS(C358&lt;=50,7+10*(C358-1),C358&lt;=110,507+25*(C358-51),C358&lt;=170,2007+50*(C358-111),C358&lt;=250,5007+50*(C358-171))</f>
        <v>1907</v>
      </c>
      <c r="E358" t="str" cm="1">
        <f t="array" ref="E358">IF(D358="","",_xlfn.IFS(D358&lt;=500,"Top_500",D358&lt;=2000,"501_2000",D358&lt;=5000,"2001_5000",D358&lt;=10000,"5001_10000"))</f>
        <v>501_2000</v>
      </c>
      <c r="I358" s="8" t="str">
        <f t="shared" si="11"/>
        <v>|Engineer</v>
      </c>
    </row>
    <row r="359" spans="2:9" x14ac:dyDescent="0.25">
      <c r="B359" t="s">
        <v>20</v>
      </c>
      <c r="C359">
        <f t="shared" si="10"/>
        <v>108</v>
      </c>
      <c r="D359" cm="1">
        <f t="array" ref="D359">_xlfn.IFS(C359&lt;=50,7+10*(C359-1),C359&lt;=110,507+25*(C359-51),C359&lt;=170,2007+50*(C359-111),C359&lt;=250,5007+50*(C359-171))</f>
        <v>1932</v>
      </c>
      <c r="E359" t="str" cm="1">
        <f t="array" ref="E359">IF(D359="","",_xlfn.IFS(D359&lt;=500,"Top_500",D359&lt;=2000,"501_2000",D359&lt;=5000,"2001_5000",D359&lt;=10000,"5001_10000"))</f>
        <v>501_2000</v>
      </c>
      <c r="I359" s="8" t="str">
        <f t="shared" si="11"/>
        <v>|Engineer</v>
      </c>
    </row>
    <row r="360" spans="2:9" x14ac:dyDescent="0.25">
      <c r="B360" t="s">
        <v>20</v>
      </c>
      <c r="C360">
        <f t="shared" si="10"/>
        <v>109</v>
      </c>
      <c r="D360" cm="1">
        <f t="array" ref="D360">_xlfn.IFS(C360&lt;=50,7+10*(C360-1),C360&lt;=110,507+25*(C360-51),C360&lt;=170,2007+50*(C360-111),C360&lt;=250,5007+50*(C360-171))</f>
        <v>1957</v>
      </c>
      <c r="E360" t="str" cm="1">
        <f t="array" ref="E360">IF(D360="","",_xlfn.IFS(D360&lt;=500,"Top_500",D360&lt;=2000,"501_2000",D360&lt;=5000,"2001_5000",D360&lt;=10000,"5001_10000"))</f>
        <v>501_2000</v>
      </c>
      <c r="I360" s="8" t="str">
        <f t="shared" si="11"/>
        <v>|Engineer</v>
      </c>
    </row>
    <row r="361" spans="2:9" x14ac:dyDescent="0.25">
      <c r="B361" t="s">
        <v>20</v>
      </c>
      <c r="C361">
        <f t="shared" si="10"/>
        <v>110</v>
      </c>
      <c r="D361" cm="1">
        <f t="array" ref="D361">_xlfn.IFS(C361&lt;=50,7+10*(C361-1),C361&lt;=110,507+25*(C361-51),C361&lt;=170,2007+50*(C361-111),C361&lt;=250,5007+50*(C361-171))</f>
        <v>1982</v>
      </c>
      <c r="E361" t="str" cm="1">
        <f t="array" ref="E361">IF(D361="","",_xlfn.IFS(D361&lt;=500,"Top_500",D361&lt;=2000,"501_2000",D361&lt;=5000,"2001_5000",D361&lt;=10000,"5001_10000"))</f>
        <v>501_2000</v>
      </c>
      <c r="I361" s="8" t="str">
        <f t="shared" si="11"/>
        <v>|Engineer</v>
      </c>
    </row>
    <row r="362" spans="2:9" x14ac:dyDescent="0.25">
      <c r="B362" t="s">
        <v>20</v>
      </c>
      <c r="C362">
        <f t="shared" si="10"/>
        <v>111</v>
      </c>
      <c r="D362" cm="1">
        <f t="array" ref="D362">_xlfn.IFS(C362&lt;=50,7+10*(C362-1),C362&lt;=110,507+25*(C362-51),C362&lt;=170,2007+50*(C362-111),C362&lt;=250,5007+50*(C362-171))</f>
        <v>2007</v>
      </c>
      <c r="E362" t="str" cm="1">
        <f t="array" ref="E362">IF(D362="","",_xlfn.IFS(D362&lt;=500,"Top_500",D362&lt;=2000,"501_2000",D362&lt;=5000,"2001_5000",D362&lt;=10000,"5001_10000"))</f>
        <v>2001_5000</v>
      </c>
      <c r="I362" s="8" t="str">
        <f t="shared" si="11"/>
        <v>|Engineer</v>
      </c>
    </row>
    <row r="363" spans="2:9" x14ac:dyDescent="0.25">
      <c r="B363" t="s">
        <v>20</v>
      </c>
      <c r="C363">
        <f t="shared" si="10"/>
        <v>112</v>
      </c>
      <c r="D363" cm="1">
        <f t="array" ref="D363">_xlfn.IFS(C363&lt;=50,7+10*(C363-1),C363&lt;=110,507+25*(C363-51),C363&lt;=170,2007+50*(C363-111),C363&lt;=250,5007+50*(C363-171))</f>
        <v>2057</v>
      </c>
      <c r="E363" t="str" cm="1">
        <f t="array" ref="E363">IF(D363="","",_xlfn.IFS(D363&lt;=500,"Top_500",D363&lt;=2000,"501_2000",D363&lt;=5000,"2001_5000",D363&lt;=10000,"5001_10000"))</f>
        <v>2001_5000</v>
      </c>
      <c r="I363" s="8" t="str">
        <f t="shared" si="11"/>
        <v>|Engineer</v>
      </c>
    </row>
    <row r="364" spans="2:9" x14ac:dyDescent="0.25">
      <c r="B364" t="s">
        <v>20</v>
      </c>
      <c r="C364">
        <f t="shared" si="10"/>
        <v>113</v>
      </c>
      <c r="D364" cm="1">
        <f t="array" ref="D364">_xlfn.IFS(C364&lt;=50,7+10*(C364-1),C364&lt;=110,507+25*(C364-51),C364&lt;=170,2007+50*(C364-111),C364&lt;=250,5007+50*(C364-171))</f>
        <v>2107</v>
      </c>
      <c r="E364" t="str" cm="1">
        <f t="array" ref="E364">IF(D364="","",_xlfn.IFS(D364&lt;=500,"Top_500",D364&lt;=2000,"501_2000",D364&lt;=5000,"2001_5000",D364&lt;=10000,"5001_10000"))</f>
        <v>2001_5000</v>
      </c>
      <c r="I364" s="8" t="str">
        <f t="shared" si="11"/>
        <v>|Engineer</v>
      </c>
    </row>
    <row r="365" spans="2:9" x14ac:dyDescent="0.25">
      <c r="B365" t="s">
        <v>20</v>
      </c>
      <c r="C365">
        <f t="shared" si="10"/>
        <v>114</v>
      </c>
      <c r="D365" cm="1">
        <f t="array" ref="D365">_xlfn.IFS(C365&lt;=50,7+10*(C365-1),C365&lt;=110,507+25*(C365-51),C365&lt;=170,2007+50*(C365-111),C365&lt;=250,5007+50*(C365-171))</f>
        <v>2157</v>
      </c>
      <c r="E365" t="str" cm="1">
        <f t="array" ref="E365">IF(D365="","",_xlfn.IFS(D365&lt;=500,"Top_500",D365&lt;=2000,"501_2000",D365&lt;=5000,"2001_5000",D365&lt;=10000,"5001_10000"))</f>
        <v>2001_5000</v>
      </c>
      <c r="I365" s="8" t="str">
        <f t="shared" si="11"/>
        <v>|Engineer</v>
      </c>
    </row>
    <row r="366" spans="2:9" x14ac:dyDescent="0.25">
      <c r="B366" t="s">
        <v>20</v>
      </c>
      <c r="C366">
        <f t="shared" si="10"/>
        <v>115</v>
      </c>
      <c r="D366" cm="1">
        <f t="array" ref="D366">_xlfn.IFS(C366&lt;=50,7+10*(C366-1),C366&lt;=110,507+25*(C366-51),C366&lt;=170,2007+50*(C366-111),C366&lt;=250,5007+50*(C366-171))</f>
        <v>2207</v>
      </c>
      <c r="E366" t="str" cm="1">
        <f t="array" ref="E366">IF(D366="","",_xlfn.IFS(D366&lt;=500,"Top_500",D366&lt;=2000,"501_2000",D366&lt;=5000,"2001_5000",D366&lt;=10000,"5001_10000"))</f>
        <v>2001_5000</v>
      </c>
      <c r="I366" s="8" t="str">
        <f t="shared" si="11"/>
        <v>|Engineer</v>
      </c>
    </row>
    <row r="367" spans="2:9" x14ac:dyDescent="0.25">
      <c r="B367" t="s">
        <v>20</v>
      </c>
      <c r="C367">
        <f t="shared" si="10"/>
        <v>116</v>
      </c>
      <c r="D367" cm="1">
        <f t="array" ref="D367">_xlfn.IFS(C367&lt;=50,7+10*(C367-1),C367&lt;=110,507+25*(C367-51),C367&lt;=170,2007+50*(C367-111),C367&lt;=250,5007+50*(C367-171))</f>
        <v>2257</v>
      </c>
      <c r="E367" t="str" cm="1">
        <f t="array" ref="E367">IF(D367="","",_xlfn.IFS(D367&lt;=500,"Top_500",D367&lt;=2000,"501_2000",D367&lt;=5000,"2001_5000",D367&lt;=10000,"5001_10000"))</f>
        <v>2001_5000</v>
      </c>
      <c r="I367" s="8" t="str">
        <f t="shared" si="11"/>
        <v>|Engineer</v>
      </c>
    </row>
    <row r="368" spans="2:9" x14ac:dyDescent="0.25">
      <c r="B368" t="s">
        <v>20</v>
      </c>
      <c r="C368">
        <f t="shared" si="10"/>
        <v>117</v>
      </c>
      <c r="D368" cm="1">
        <f t="array" ref="D368">_xlfn.IFS(C368&lt;=50,7+10*(C368-1),C368&lt;=110,507+25*(C368-51),C368&lt;=170,2007+50*(C368-111),C368&lt;=250,5007+50*(C368-171))</f>
        <v>2307</v>
      </c>
      <c r="E368" t="str" cm="1">
        <f t="array" ref="E368">IF(D368="","",_xlfn.IFS(D368&lt;=500,"Top_500",D368&lt;=2000,"501_2000",D368&lt;=5000,"2001_5000",D368&lt;=10000,"5001_10000"))</f>
        <v>2001_5000</v>
      </c>
      <c r="I368" s="8" t="str">
        <f t="shared" si="11"/>
        <v>|Engineer</v>
      </c>
    </row>
    <row r="369" spans="2:9" x14ac:dyDescent="0.25">
      <c r="B369" t="s">
        <v>20</v>
      </c>
      <c r="C369">
        <f t="shared" si="10"/>
        <v>118</v>
      </c>
      <c r="D369" cm="1">
        <f t="array" ref="D369">_xlfn.IFS(C369&lt;=50,7+10*(C369-1),C369&lt;=110,507+25*(C369-51),C369&lt;=170,2007+50*(C369-111),C369&lt;=250,5007+50*(C369-171))</f>
        <v>2357</v>
      </c>
      <c r="E369" t="str" cm="1">
        <f t="array" ref="E369">IF(D369="","",_xlfn.IFS(D369&lt;=500,"Top_500",D369&lt;=2000,"501_2000",D369&lt;=5000,"2001_5000",D369&lt;=10000,"5001_10000"))</f>
        <v>2001_5000</v>
      </c>
      <c r="I369" s="8" t="str">
        <f t="shared" si="11"/>
        <v>|Engineer</v>
      </c>
    </row>
    <row r="370" spans="2:9" x14ac:dyDescent="0.25">
      <c r="B370" t="s">
        <v>20</v>
      </c>
      <c r="C370">
        <f t="shared" si="10"/>
        <v>119</v>
      </c>
      <c r="D370" cm="1">
        <f t="array" ref="D370">_xlfn.IFS(C370&lt;=50,7+10*(C370-1),C370&lt;=110,507+25*(C370-51),C370&lt;=170,2007+50*(C370-111),C370&lt;=250,5007+50*(C370-171))</f>
        <v>2407</v>
      </c>
      <c r="E370" t="str" cm="1">
        <f t="array" ref="E370">IF(D370="","",_xlfn.IFS(D370&lt;=500,"Top_500",D370&lt;=2000,"501_2000",D370&lt;=5000,"2001_5000",D370&lt;=10000,"5001_10000"))</f>
        <v>2001_5000</v>
      </c>
      <c r="I370" s="8" t="str">
        <f t="shared" si="11"/>
        <v>|Engineer</v>
      </c>
    </row>
    <row r="371" spans="2:9" x14ac:dyDescent="0.25">
      <c r="B371" t="s">
        <v>20</v>
      </c>
      <c r="C371">
        <f t="shared" si="10"/>
        <v>120</v>
      </c>
      <c r="D371" cm="1">
        <f t="array" ref="D371">_xlfn.IFS(C371&lt;=50,7+10*(C371-1),C371&lt;=110,507+25*(C371-51),C371&lt;=170,2007+50*(C371-111),C371&lt;=250,5007+50*(C371-171))</f>
        <v>2457</v>
      </c>
      <c r="E371" t="str" cm="1">
        <f t="array" ref="E371">IF(D371="","",_xlfn.IFS(D371&lt;=500,"Top_500",D371&lt;=2000,"501_2000",D371&lt;=5000,"2001_5000",D371&lt;=10000,"5001_10000"))</f>
        <v>2001_5000</v>
      </c>
      <c r="I371" s="8" t="str">
        <f t="shared" si="11"/>
        <v>|Engineer</v>
      </c>
    </row>
    <row r="372" spans="2:9" x14ac:dyDescent="0.25">
      <c r="B372" t="s">
        <v>20</v>
      </c>
      <c r="C372">
        <f t="shared" si="10"/>
        <v>121</v>
      </c>
      <c r="D372" cm="1">
        <f t="array" ref="D372">_xlfn.IFS(C372&lt;=50,7+10*(C372-1),C372&lt;=110,507+25*(C372-51),C372&lt;=170,2007+50*(C372-111),C372&lt;=250,5007+50*(C372-171))</f>
        <v>2507</v>
      </c>
      <c r="E372" t="str" cm="1">
        <f t="array" ref="E372">IF(D372="","",_xlfn.IFS(D372&lt;=500,"Top_500",D372&lt;=2000,"501_2000",D372&lt;=5000,"2001_5000",D372&lt;=10000,"5001_10000"))</f>
        <v>2001_5000</v>
      </c>
      <c r="I372" s="8" t="str">
        <f t="shared" si="11"/>
        <v>|Engineer</v>
      </c>
    </row>
    <row r="373" spans="2:9" x14ac:dyDescent="0.25">
      <c r="B373" t="s">
        <v>20</v>
      </c>
      <c r="C373">
        <f t="shared" si="10"/>
        <v>122</v>
      </c>
      <c r="D373" cm="1">
        <f t="array" ref="D373">_xlfn.IFS(C373&lt;=50,7+10*(C373-1),C373&lt;=110,507+25*(C373-51),C373&lt;=170,2007+50*(C373-111),C373&lt;=250,5007+50*(C373-171))</f>
        <v>2557</v>
      </c>
      <c r="E373" t="str" cm="1">
        <f t="array" ref="E373">IF(D373="","",_xlfn.IFS(D373&lt;=500,"Top_500",D373&lt;=2000,"501_2000",D373&lt;=5000,"2001_5000",D373&lt;=10000,"5001_10000"))</f>
        <v>2001_5000</v>
      </c>
      <c r="I373" s="8" t="str">
        <f t="shared" si="11"/>
        <v>|Engineer</v>
      </c>
    </row>
    <row r="374" spans="2:9" x14ac:dyDescent="0.25">
      <c r="B374" t="s">
        <v>20</v>
      </c>
      <c r="C374">
        <f t="shared" si="10"/>
        <v>123</v>
      </c>
      <c r="D374" cm="1">
        <f t="array" ref="D374">_xlfn.IFS(C374&lt;=50,7+10*(C374-1),C374&lt;=110,507+25*(C374-51),C374&lt;=170,2007+50*(C374-111),C374&lt;=250,5007+50*(C374-171))</f>
        <v>2607</v>
      </c>
      <c r="E374" t="str" cm="1">
        <f t="array" ref="E374">IF(D374="","",_xlfn.IFS(D374&lt;=500,"Top_500",D374&lt;=2000,"501_2000",D374&lt;=5000,"2001_5000",D374&lt;=10000,"5001_10000"))</f>
        <v>2001_5000</v>
      </c>
      <c r="I374" s="8" t="str">
        <f t="shared" si="11"/>
        <v>|Engineer</v>
      </c>
    </row>
    <row r="375" spans="2:9" x14ac:dyDescent="0.25">
      <c r="B375" t="s">
        <v>20</v>
      </c>
      <c r="C375">
        <f t="shared" si="10"/>
        <v>124</v>
      </c>
      <c r="D375" cm="1">
        <f t="array" ref="D375">_xlfn.IFS(C375&lt;=50,7+10*(C375-1),C375&lt;=110,507+25*(C375-51),C375&lt;=170,2007+50*(C375-111),C375&lt;=250,5007+50*(C375-171))</f>
        <v>2657</v>
      </c>
      <c r="E375" t="str" cm="1">
        <f t="array" ref="E375">IF(D375="","",_xlfn.IFS(D375&lt;=500,"Top_500",D375&lt;=2000,"501_2000",D375&lt;=5000,"2001_5000",D375&lt;=10000,"5001_10000"))</f>
        <v>2001_5000</v>
      </c>
      <c r="I375" s="8" t="str">
        <f t="shared" si="11"/>
        <v>|Engineer</v>
      </c>
    </row>
    <row r="376" spans="2:9" x14ac:dyDescent="0.25">
      <c r="B376" t="s">
        <v>20</v>
      </c>
      <c r="C376">
        <f t="shared" si="10"/>
        <v>125</v>
      </c>
      <c r="D376" cm="1">
        <f t="array" ref="D376">_xlfn.IFS(C376&lt;=50,7+10*(C376-1),C376&lt;=110,507+25*(C376-51),C376&lt;=170,2007+50*(C376-111),C376&lt;=250,5007+50*(C376-171))</f>
        <v>2707</v>
      </c>
      <c r="E376" t="str" cm="1">
        <f t="array" ref="E376">IF(D376="","",_xlfn.IFS(D376&lt;=500,"Top_500",D376&lt;=2000,"501_2000",D376&lt;=5000,"2001_5000",D376&lt;=10000,"5001_10000"))</f>
        <v>2001_5000</v>
      </c>
      <c r="I376" s="8" t="str">
        <f t="shared" si="11"/>
        <v>|Engineer</v>
      </c>
    </row>
    <row r="377" spans="2:9" x14ac:dyDescent="0.25">
      <c r="B377" t="s">
        <v>20</v>
      </c>
      <c r="C377">
        <f t="shared" si="10"/>
        <v>126</v>
      </c>
      <c r="D377" cm="1">
        <f t="array" ref="D377">_xlfn.IFS(C377&lt;=50,7+10*(C377-1),C377&lt;=110,507+25*(C377-51),C377&lt;=170,2007+50*(C377-111),C377&lt;=250,5007+50*(C377-171))</f>
        <v>2757</v>
      </c>
      <c r="E377" t="str" cm="1">
        <f t="array" ref="E377">IF(D377="","",_xlfn.IFS(D377&lt;=500,"Top_500",D377&lt;=2000,"501_2000",D377&lt;=5000,"2001_5000",D377&lt;=10000,"5001_10000"))</f>
        <v>2001_5000</v>
      </c>
      <c r="I377" s="8" t="str">
        <f t="shared" si="11"/>
        <v>|Engineer</v>
      </c>
    </row>
    <row r="378" spans="2:9" x14ac:dyDescent="0.25">
      <c r="B378" t="s">
        <v>20</v>
      </c>
      <c r="C378">
        <f t="shared" si="10"/>
        <v>127</v>
      </c>
      <c r="D378" cm="1">
        <f t="array" ref="D378">_xlfn.IFS(C378&lt;=50,7+10*(C378-1),C378&lt;=110,507+25*(C378-51),C378&lt;=170,2007+50*(C378-111),C378&lt;=250,5007+50*(C378-171))</f>
        <v>2807</v>
      </c>
      <c r="E378" t="str" cm="1">
        <f t="array" ref="E378">IF(D378="","",_xlfn.IFS(D378&lt;=500,"Top_500",D378&lt;=2000,"501_2000",D378&lt;=5000,"2001_5000",D378&lt;=10000,"5001_10000"))</f>
        <v>2001_5000</v>
      </c>
      <c r="I378" s="8" t="str">
        <f t="shared" si="11"/>
        <v>|Engineer</v>
      </c>
    </row>
    <row r="379" spans="2:9" x14ac:dyDescent="0.25">
      <c r="B379" t="s">
        <v>20</v>
      </c>
      <c r="C379">
        <f t="shared" si="10"/>
        <v>128</v>
      </c>
      <c r="D379" cm="1">
        <f t="array" ref="D379">_xlfn.IFS(C379&lt;=50,7+10*(C379-1),C379&lt;=110,507+25*(C379-51),C379&lt;=170,2007+50*(C379-111),C379&lt;=250,5007+50*(C379-171))</f>
        <v>2857</v>
      </c>
      <c r="E379" t="str" cm="1">
        <f t="array" ref="E379">IF(D379="","",_xlfn.IFS(D379&lt;=500,"Top_500",D379&lt;=2000,"501_2000",D379&lt;=5000,"2001_5000",D379&lt;=10000,"5001_10000"))</f>
        <v>2001_5000</v>
      </c>
      <c r="I379" s="8" t="str">
        <f t="shared" si="11"/>
        <v>|Engineer</v>
      </c>
    </row>
    <row r="380" spans="2:9" x14ac:dyDescent="0.25">
      <c r="B380" t="s">
        <v>20</v>
      </c>
      <c r="C380">
        <f t="shared" si="10"/>
        <v>129</v>
      </c>
      <c r="D380" cm="1">
        <f t="array" ref="D380">_xlfn.IFS(C380&lt;=50,7+10*(C380-1),C380&lt;=110,507+25*(C380-51),C380&lt;=170,2007+50*(C380-111),C380&lt;=250,5007+50*(C380-171))</f>
        <v>2907</v>
      </c>
      <c r="E380" t="str" cm="1">
        <f t="array" ref="E380">IF(D380="","",_xlfn.IFS(D380&lt;=500,"Top_500",D380&lt;=2000,"501_2000",D380&lt;=5000,"2001_5000",D380&lt;=10000,"5001_10000"))</f>
        <v>2001_5000</v>
      </c>
      <c r="I380" s="8" t="str">
        <f t="shared" si="11"/>
        <v>|Engineer</v>
      </c>
    </row>
    <row r="381" spans="2:9" x14ac:dyDescent="0.25">
      <c r="B381" t="s">
        <v>20</v>
      </c>
      <c r="C381">
        <f t="shared" si="10"/>
        <v>130</v>
      </c>
      <c r="D381" cm="1">
        <f t="array" ref="D381">_xlfn.IFS(C381&lt;=50,7+10*(C381-1),C381&lt;=110,507+25*(C381-51),C381&lt;=170,2007+50*(C381-111),C381&lt;=250,5007+50*(C381-171))</f>
        <v>2957</v>
      </c>
      <c r="E381" t="str" cm="1">
        <f t="array" ref="E381">IF(D381="","",_xlfn.IFS(D381&lt;=500,"Top_500",D381&lt;=2000,"501_2000",D381&lt;=5000,"2001_5000",D381&lt;=10000,"5001_10000"))</f>
        <v>2001_5000</v>
      </c>
      <c r="I381" s="8" t="str">
        <f t="shared" si="11"/>
        <v>|Engineer</v>
      </c>
    </row>
    <row r="382" spans="2:9" x14ac:dyDescent="0.25">
      <c r="B382" t="s">
        <v>20</v>
      </c>
      <c r="C382">
        <f t="shared" si="10"/>
        <v>131</v>
      </c>
      <c r="D382" cm="1">
        <f t="array" ref="D382">_xlfn.IFS(C382&lt;=50,7+10*(C382-1),C382&lt;=110,507+25*(C382-51),C382&lt;=170,2007+50*(C382-111),C382&lt;=250,5007+50*(C382-171))</f>
        <v>3007</v>
      </c>
      <c r="E382" t="str" cm="1">
        <f t="array" ref="E382">IF(D382="","",_xlfn.IFS(D382&lt;=500,"Top_500",D382&lt;=2000,"501_2000",D382&lt;=5000,"2001_5000",D382&lt;=10000,"5001_10000"))</f>
        <v>2001_5000</v>
      </c>
      <c r="I382" s="8" t="str">
        <f t="shared" si="11"/>
        <v>|Engineer</v>
      </c>
    </row>
    <row r="383" spans="2:9" x14ac:dyDescent="0.25">
      <c r="B383" t="s">
        <v>20</v>
      </c>
      <c r="C383">
        <f t="shared" si="10"/>
        <v>132</v>
      </c>
      <c r="D383" cm="1">
        <f t="array" ref="D383">_xlfn.IFS(C383&lt;=50,7+10*(C383-1),C383&lt;=110,507+25*(C383-51),C383&lt;=170,2007+50*(C383-111),C383&lt;=250,5007+50*(C383-171))</f>
        <v>3057</v>
      </c>
      <c r="E383" t="str" cm="1">
        <f t="array" ref="E383">IF(D383="","",_xlfn.IFS(D383&lt;=500,"Top_500",D383&lt;=2000,"501_2000",D383&lt;=5000,"2001_5000",D383&lt;=10000,"5001_10000"))</f>
        <v>2001_5000</v>
      </c>
      <c r="I383" s="8" t="str">
        <f t="shared" si="11"/>
        <v>|Engineer</v>
      </c>
    </row>
    <row r="384" spans="2:9" x14ac:dyDescent="0.25">
      <c r="B384" t="s">
        <v>20</v>
      </c>
      <c r="C384">
        <f t="shared" si="10"/>
        <v>133</v>
      </c>
      <c r="D384" cm="1">
        <f t="array" ref="D384">_xlfn.IFS(C384&lt;=50,7+10*(C384-1),C384&lt;=110,507+25*(C384-51),C384&lt;=170,2007+50*(C384-111),C384&lt;=250,5007+50*(C384-171))</f>
        <v>3107</v>
      </c>
      <c r="E384" t="str" cm="1">
        <f t="array" ref="E384">IF(D384="","",_xlfn.IFS(D384&lt;=500,"Top_500",D384&lt;=2000,"501_2000",D384&lt;=5000,"2001_5000",D384&lt;=10000,"5001_10000"))</f>
        <v>2001_5000</v>
      </c>
      <c r="I384" s="8" t="str">
        <f t="shared" si="11"/>
        <v>|Engineer</v>
      </c>
    </row>
    <row r="385" spans="2:9" x14ac:dyDescent="0.25">
      <c r="B385" t="s">
        <v>20</v>
      </c>
      <c r="C385">
        <f t="shared" si="10"/>
        <v>134</v>
      </c>
      <c r="D385" cm="1">
        <f t="array" ref="D385">_xlfn.IFS(C385&lt;=50,7+10*(C385-1),C385&lt;=110,507+25*(C385-51),C385&lt;=170,2007+50*(C385-111),C385&lt;=250,5007+50*(C385-171))</f>
        <v>3157</v>
      </c>
      <c r="E385" t="str" cm="1">
        <f t="array" ref="E385">IF(D385="","",_xlfn.IFS(D385&lt;=500,"Top_500",D385&lt;=2000,"501_2000",D385&lt;=5000,"2001_5000",D385&lt;=10000,"5001_10000"))</f>
        <v>2001_5000</v>
      </c>
      <c r="I385" s="8" t="str">
        <f t="shared" si="11"/>
        <v>|Engineer</v>
      </c>
    </row>
    <row r="386" spans="2:9" x14ac:dyDescent="0.25">
      <c r="B386" t="s">
        <v>20</v>
      </c>
      <c r="C386">
        <f t="shared" ref="C386:C449" si="12">IF(ROW()=2,1,IF(B386&lt;&gt;B385,1,C385+1))</f>
        <v>135</v>
      </c>
      <c r="D386" cm="1">
        <f t="array" ref="D386">_xlfn.IFS(C386&lt;=50,7+10*(C386-1),C386&lt;=110,507+25*(C386-51),C386&lt;=170,2007+50*(C386-111),C386&lt;=250,5007+50*(C386-171))</f>
        <v>3207</v>
      </c>
      <c r="E386" t="str" cm="1">
        <f t="array" ref="E386">IF(D386="","",_xlfn.IFS(D386&lt;=500,"Top_500",D386&lt;=2000,"501_2000",D386&lt;=5000,"2001_5000",D386&lt;=10000,"5001_10000"))</f>
        <v>2001_5000</v>
      </c>
      <c r="I386" s="8" t="str">
        <f t="shared" si="11"/>
        <v>|Engineer</v>
      </c>
    </row>
    <row r="387" spans="2:9" x14ac:dyDescent="0.25">
      <c r="B387" t="s">
        <v>20</v>
      </c>
      <c r="C387">
        <f t="shared" si="12"/>
        <v>136</v>
      </c>
      <c r="D387" cm="1">
        <f t="array" ref="D387">_xlfn.IFS(C387&lt;=50,7+10*(C387-1),C387&lt;=110,507+25*(C387-51),C387&lt;=170,2007+50*(C387-111),C387&lt;=250,5007+50*(C387-171))</f>
        <v>3257</v>
      </c>
      <c r="E387" t="str" cm="1">
        <f t="array" ref="E387">IF(D387="","",_xlfn.IFS(D387&lt;=500,"Top_500",D387&lt;=2000,"501_2000",D387&lt;=5000,"2001_5000",D387&lt;=10000,"5001_10000"))</f>
        <v>2001_5000</v>
      </c>
      <c r="I387" s="8" t="str">
        <f t="shared" ref="I387:I450" si="13">A387 &amp; "|" &amp; B387</f>
        <v>|Engineer</v>
      </c>
    </row>
    <row r="388" spans="2:9" x14ac:dyDescent="0.25">
      <c r="B388" t="s">
        <v>20</v>
      </c>
      <c r="C388">
        <f t="shared" si="12"/>
        <v>137</v>
      </c>
      <c r="D388" cm="1">
        <f t="array" ref="D388">_xlfn.IFS(C388&lt;=50,7+10*(C388-1),C388&lt;=110,507+25*(C388-51),C388&lt;=170,2007+50*(C388-111),C388&lt;=250,5007+50*(C388-171))</f>
        <v>3307</v>
      </c>
      <c r="E388" t="str" cm="1">
        <f t="array" ref="E388">IF(D388="","",_xlfn.IFS(D388&lt;=500,"Top_500",D388&lt;=2000,"501_2000",D388&lt;=5000,"2001_5000",D388&lt;=10000,"5001_10000"))</f>
        <v>2001_5000</v>
      </c>
      <c r="I388" s="8" t="str">
        <f t="shared" si="13"/>
        <v>|Engineer</v>
      </c>
    </row>
    <row r="389" spans="2:9" x14ac:dyDescent="0.25">
      <c r="B389" t="s">
        <v>20</v>
      </c>
      <c r="C389">
        <f t="shared" si="12"/>
        <v>138</v>
      </c>
      <c r="D389" cm="1">
        <f t="array" ref="D389">_xlfn.IFS(C389&lt;=50,7+10*(C389-1),C389&lt;=110,507+25*(C389-51),C389&lt;=170,2007+50*(C389-111),C389&lt;=250,5007+50*(C389-171))</f>
        <v>3357</v>
      </c>
      <c r="E389" t="str" cm="1">
        <f t="array" ref="E389">IF(D389="","",_xlfn.IFS(D389&lt;=500,"Top_500",D389&lt;=2000,"501_2000",D389&lt;=5000,"2001_5000",D389&lt;=10000,"5001_10000"))</f>
        <v>2001_5000</v>
      </c>
      <c r="I389" s="8" t="str">
        <f t="shared" si="13"/>
        <v>|Engineer</v>
      </c>
    </row>
    <row r="390" spans="2:9" x14ac:dyDescent="0.25">
      <c r="B390" t="s">
        <v>20</v>
      </c>
      <c r="C390">
        <f t="shared" si="12"/>
        <v>139</v>
      </c>
      <c r="D390" cm="1">
        <f t="array" ref="D390">_xlfn.IFS(C390&lt;=50,7+10*(C390-1),C390&lt;=110,507+25*(C390-51),C390&lt;=170,2007+50*(C390-111),C390&lt;=250,5007+50*(C390-171))</f>
        <v>3407</v>
      </c>
      <c r="E390" t="str" cm="1">
        <f t="array" ref="E390">IF(D390="","",_xlfn.IFS(D390&lt;=500,"Top_500",D390&lt;=2000,"501_2000",D390&lt;=5000,"2001_5000",D390&lt;=10000,"5001_10000"))</f>
        <v>2001_5000</v>
      </c>
      <c r="I390" s="8" t="str">
        <f t="shared" si="13"/>
        <v>|Engineer</v>
      </c>
    </row>
    <row r="391" spans="2:9" x14ac:dyDescent="0.25">
      <c r="B391" t="s">
        <v>20</v>
      </c>
      <c r="C391">
        <f t="shared" si="12"/>
        <v>140</v>
      </c>
      <c r="D391" cm="1">
        <f t="array" ref="D391">_xlfn.IFS(C391&lt;=50,7+10*(C391-1),C391&lt;=110,507+25*(C391-51),C391&lt;=170,2007+50*(C391-111),C391&lt;=250,5007+50*(C391-171))</f>
        <v>3457</v>
      </c>
      <c r="E391" t="str" cm="1">
        <f t="array" ref="E391">IF(D391="","",_xlfn.IFS(D391&lt;=500,"Top_500",D391&lt;=2000,"501_2000",D391&lt;=5000,"2001_5000",D391&lt;=10000,"5001_10000"))</f>
        <v>2001_5000</v>
      </c>
      <c r="I391" s="8" t="str">
        <f t="shared" si="13"/>
        <v>|Engineer</v>
      </c>
    </row>
    <row r="392" spans="2:9" x14ac:dyDescent="0.25">
      <c r="B392" t="s">
        <v>20</v>
      </c>
      <c r="C392">
        <f t="shared" si="12"/>
        <v>141</v>
      </c>
      <c r="D392" cm="1">
        <f t="array" ref="D392">_xlfn.IFS(C392&lt;=50,7+10*(C392-1),C392&lt;=110,507+25*(C392-51),C392&lt;=170,2007+50*(C392-111),C392&lt;=250,5007+50*(C392-171))</f>
        <v>3507</v>
      </c>
      <c r="E392" t="str" cm="1">
        <f t="array" ref="E392">IF(D392="","",_xlfn.IFS(D392&lt;=500,"Top_500",D392&lt;=2000,"501_2000",D392&lt;=5000,"2001_5000",D392&lt;=10000,"5001_10000"))</f>
        <v>2001_5000</v>
      </c>
      <c r="I392" s="8" t="str">
        <f t="shared" si="13"/>
        <v>|Engineer</v>
      </c>
    </row>
    <row r="393" spans="2:9" x14ac:dyDescent="0.25">
      <c r="B393" t="s">
        <v>20</v>
      </c>
      <c r="C393">
        <f t="shared" si="12"/>
        <v>142</v>
      </c>
      <c r="D393" cm="1">
        <f t="array" ref="D393">_xlfn.IFS(C393&lt;=50,7+10*(C393-1),C393&lt;=110,507+25*(C393-51),C393&lt;=170,2007+50*(C393-111),C393&lt;=250,5007+50*(C393-171))</f>
        <v>3557</v>
      </c>
      <c r="E393" t="str" cm="1">
        <f t="array" ref="E393">IF(D393="","",_xlfn.IFS(D393&lt;=500,"Top_500",D393&lt;=2000,"501_2000",D393&lt;=5000,"2001_5000",D393&lt;=10000,"5001_10000"))</f>
        <v>2001_5000</v>
      </c>
      <c r="I393" s="8" t="str">
        <f t="shared" si="13"/>
        <v>|Engineer</v>
      </c>
    </row>
    <row r="394" spans="2:9" x14ac:dyDescent="0.25">
      <c r="B394" t="s">
        <v>20</v>
      </c>
      <c r="C394">
        <f t="shared" si="12"/>
        <v>143</v>
      </c>
      <c r="D394" cm="1">
        <f t="array" ref="D394">_xlfn.IFS(C394&lt;=50,7+10*(C394-1),C394&lt;=110,507+25*(C394-51),C394&lt;=170,2007+50*(C394-111),C394&lt;=250,5007+50*(C394-171))</f>
        <v>3607</v>
      </c>
      <c r="E394" t="str" cm="1">
        <f t="array" ref="E394">IF(D394="","",_xlfn.IFS(D394&lt;=500,"Top_500",D394&lt;=2000,"501_2000",D394&lt;=5000,"2001_5000",D394&lt;=10000,"5001_10000"))</f>
        <v>2001_5000</v>
      </c>
      <c r="I394" s="8" t="str">
        <f t="shared" si="13"/>
        <v>|Engineer</v>
      </c>
    </row>
    <row r="395" spans="2:9" x14ac:dyDescent="0.25">
      <c r="B395" t="s">
        <v>20</v>
      </c>
      <c r="C395">
        <f t="shared" si="12"/>
        <v>144</v>
      </c>
      <c r="D395" cm="1">
        <f t="array" ref="D395">_xlfn.IFS(C395&lt;=50,7+10*(C395-1),C395&lt;=110,507+25*(C395-51),C395&lt;=170,2007+50*(C395-111),C395&lt;=250,5007+50*(C395-171))</f>
        <v>3657</v>
      </c>
      <c r="E395" t="str" cm="1">
        <f t="array" ref="E395">IF(D395="","",_xlfn.IFS(D395&lt;=500,"Top_500",D395&lt;=2000,"501_2000",D395&lt;=5000,"2001_5000",D395&lt;=10000,"5001_10000"))</f>
        <v>2001_5000</v>
      </c>
      <c r="I395" s="8" t="str">
        <f t="shared" si="13"/>
        <v>|Engineer</v>
      </c>
    </row>
    <row r="396" spans="2:9" x14ac:dyDescent="0.25">
      <c r="B396" t="s">
        <v>20</v>
      </c>
      <c r="C396">
        <f t="shared" si="12"/>
        <v>145</v>
      </c>
      <c r="D396" cm="1">
        <f t="array" ref="D396">_xlfn.IFS(C396&lt;=50,7+10*(C396-1),C396&lt;=110,507+25*(C396-51),C396&lt;=170,2007+50*(C396-111),C396&lt;=250,5007+50*(C396-171))</f>
        <v>3707</v>
      </c>
      <c r="E396" t="str" cm="1">
        <f t="array" ref="E396">IF(D396="","",_xlfn.IFS(D396&lt;=500,"Top_500",D396&lt;=2000,"501_2000",D396&lt;=5000,"2001_5000",D396&lt;=10000,"5001_10000"))</f>
        <v>2001_5000</v>
      </c>
      <c r="I396" s="8" t="str">
        <f t="shared" si="13"/>
        <v>|Engineer</v>
      </c>
    </row>
    <row r="397" spans="2:9" x14ac:dyDescent="0.25">
      <c r="B397" t="s">
        <v>20</v>
      </c>
      <c r="C397">
        <f t="shared" si="12"/>
        <v>146</v>
      </c>
      <c r="D397" cm="1">
        <f t="array" ref="D397">_xlfn.IFS(C397&lt;=50,7+10*(C397-1),C397&lt;=110,507+25*(C397-51),C397&lt;=170,2007+50*(C397-111),C397&lt;=250,5007+50*(C397-171))</f>
        <v>3757</v>
      </c>
      <c r="E397" t="str" cm="1">
        <f t="array" ref="E397">IF(D397="","",_xlfn.IFS(D397&lt;=500,"Top_500",D397&lt;=2000,"501_2000",D397&lt;=5000,"2001_5000",D397&lt;=10000,"5001_10000"))</f>
        <v>2001_5000</v>
      </c>
      <c r="I397" s="8" t="str">
        <f t="shared" si="13"/>
        <v>|Engineer</v>
      </c>
    </row>
    <row r="398" spans="2:9" x14ac:dyDescent="0.25">
      <c r="B398" t="s">
        <v>20</v>
      </c>
      <c r="C398">
        <f t="shared" si="12"/>
        <v>147</v>
      </c>
      <c r="D398" cm="1">
        <f t="array" ref="D398">_xlfn.IFS(C398&lt;=50,7+10*(C398-1),C398&lt;=110,507+25*(C398-51),C398&lt;=170,2007+50*(C398-111),C398&lt;=250,5007+50*(C398-171))</f>
        <v>3807</v>
      </c>
      <c r="E398" t="str" cm="1">
        <f t="array" ref="E398">IF(D398="","",_xlfn.IFS(D398&lt;=500,"Top_500",D398&lt;=2000,"501_2000",D398&lt;=5000,"2001_5000",D398&lt;=10000,"5001_10000"))</f>
        <v>2001_5000</v>
      </c>
      <c r="I398" s="8" t="str">
        <f t="shared" si="13"/>
        <v>|Engineer</v>
      </c>
    </row>
    <row r="399" spans="2:9" x14ac:dyDescent="0.25">
      <c r="B399" t="s">
        <v>20</v>
      </c>
      <c r="C399">
        <f t="shared" si="12"/>
        <v>148</v>
      </c>
      <c r="D399" cm="1">
        <f t="array" ref="D399">_xlfn.IFS(C399&lt;=50,7+10*(C399-1),C399&lt;=110,507+25*(C399-51),C399&lt;=170,2007+50*(C399-111),C399&lt;=250,5007+50*(C399-171))</f>
        <v>3857</v>
      </c>
      <c r="E399" t="str" cm="1">
        <f t="array" ref="E399">IF(D399="","",_xlfn.IFS(D399&lt;=500,"Top_500",D399&lt;=2000,"501_2000",D399&lt;=5000,"2001_5000",D399&lt;=10000,"5001_10000"))</f>
        <v>2001_5000</v>
      </c>
      <c r="I399" s="8" t="str">
        <f t="shared" si="13"/>
        <v>|Engineer</v>
      </c>
    </row>
    <row r="400" spans="2:9" x14ac:dyDescent="0.25">
      <c r="B400" t="s">
        <v>20</v>
      </c>
      <c r="C400">
        <f t="shared" si="12"/>
        <v>149</v>
      </c>
      <c r="D400" cm="1">
        <f t="array" ref="D400">_xlfn.IFS(C400&lt;=50,7+10*(C400-1),C400&lt;=110,507+25*(C400-51),C400&lt;=170,2007+50*(C400-111),C400&lt;=250,5007+50*(C400-171))</f>
        <v>3907</v>
      </c>
      <c r="E400" t="str" cm="1">
        <f t="array" ref="E400">IF(D400="","",_xlfn.IFS(D400&lt;=500,"Top_500",D400&lt;=2000,"501_2000",D400&lt;=5000,"2001_5000",D400&lt;=10000,"5001_10000"))</f>
        <v>2001_5000</v>
      </c>
      <c r="I400" s="8" t="str">
        <f t="shared" si="13"/>
        <v>|Engineer</v>
      </c>
    </row>
    <row r="401" spans="2:9" x14ac:dyDescent="0.25">
      <c r="B401" t="s">
        <v>20</v>
      </c>
      <c r="C401">
        <f t="shared" si="12"/>
        <v>150</v>
      </c>
      <c r="D401" cm="1">
        <f t="array" ref="D401">_xlfn.IFS(C401&lt;=50,7+10*(C401-1),C401&lt;=110,507+25*(C401-51),C401&lt;=170,2007+50*(C401-111),C401&lt;=250,5007+50*(C401-171))</f>
        <v>3957</v>
      </c>
      <c r="E401" t="str" cm="1">
        <f t="array" ref="E401">IF(D401="","",_xlfn.IFS(D401&lt;=500,"Top_500",D401&lt;=2000,"501_2000",D401&lt;=5000,"2001_5000",D401&lt;=10000,"5001_10000"))</f>
        <v>2001_5000</v>
      </c>
      <c r="I401" s="8" t="str">
        <f t="shared" si="13"/>
        <v>|Engineer</v>
      </c>
    </row>
    <row r="402" spans="2:9" x14ac:dyDescent="0.25">
      <c r="B402" t="s">
        <v>20</v>
      </c>
      <c r="C402">
        <f t="shared" si="12"/>
        <v>151</v>
      </c>
      <c r="D402" cm="1">
        <f t="array" ref="D402">_xlfn.IFS(C402&lt;=50,7+10*(C402-1),C402&lt;=110,507+25*(C402-51),C402&lt;=170,2007+50*(C402-111),C402&lt;=250,5007+50*(C402-171))</f>
        <v>4007</v>
      </c>
      <c r="E402" t="str" cm="1">
        <f t="array" ref="E402">IF(D402="","",_xlfn.IFS(D402&lt;=500,"Top_500",D402&lt;=2000,"501_2000",D402&lt;=5000,"2001_5000",D402&lt;=10000,"5001_10000"))</f>
        <v>2001_5000</v>
      </c>
      <c r="I402" s="8" t="str">
        <f t="shared" si="13"/>
        <v>|Engineer</v>
      </c>
    </row>
    <row r="403" spans="2:9" x14ac:dyDescent="0.25">
      <c r="B403" t="s">
        <v>20</v>
      </c>
      <c r="C403">
        <f t="shared" si="12"/>
        <v>152</v>
      </c>
      <c r="D403" cm="1">
        <f t="array" ref="D403">_xlfn.IFS(C403&lt;=50,7+10*(C403-1),C403&lt;=110,507+25*(C403-51),C403&lt;=170,2007+50*(C403-111),C403&lt;=250,5007+50*(C403-171))</f>
        <v>4057</v>
      </c>
      <c r="E403" t="str" cm="1">
        <f t="array" ref="E403">IF(D403="","",_xlfn.IFS(D403&lt;=500,"Top_500",D403&lt;=2000,"501_2000",D403&lt;=5000,"2001_5000",D403&lt;=10000,"5001_10000"))</f>
        <v>2001_5000</v>
      </c>
      <c r="I403" s="8" t="str">
        <f t="shared" si="13"/>
        <v>|Engineer</v>
      </c>
    </row>
    <row r="404" spans="2:9" x14ac:dyDescent="0.25">
      <c r="B404" t="s">
        <v>20</v>
      </c>
      <c r="C404">
        <f t="shared" si="12"/>
        <v>153</v>
      </c>
      <c r="D404" cm="1">
        <f t="array" ref="D404">_xlfn.IFS(C404&lt;=50,7+10*(C404-1),C404&lt;=110,507+25*(C404-51),C404&lt;=170,2007+50*(C404-111),C404&lt;=250,5007+50*(C404-171))</f>
        <v>4107</v>
      </c>
      <c r="E404" t="str" cm="1">
        <f t="array" ref="E404">IF(D404="","",_xlfn.IFS(D404&lt;=500,"Top_500",D404&lt;=2000,"501_2000",D404&lt;=5000,"2001_5000",D404&lt;=10000,"5001_10000"))</f>
        <v>2001_5000</v>
      </c>
      <c r="I404" s="8" t="str">
        <f t="shared" si="13"/>
        <v>|Engineer</v>
      </c>
    </row>
    <row r="405" spans="2:9" x14ac:dyDescent="0.25">
      <c r="B405" t="s">
        <v>20</v>
      </c>
      <c r="C405">
        <f t="shared" si="12"/>
        <v>154</v>
      </c>
      <c r="D405" cm="1">
        <f t="array" ref="D405">_xlfn.IFS(C405&lt;=50,7+10*(C405-1),C405&lt;=110,507+25*(C405-51),C405&lt;=170,2007+50*(C405-111),C405&lt;=250,5007+50*(C405-171))</f>
        <v>4157</v>
      </c>
      <c r="E405" t="str" cm="1">
        <f t="array" ref="E405">IF(D405="","",_xlfn.IFS(D405&lt;=500,"Top_500",D405&lt;=2000,"501_2000",D405&lt;=5000,"2001_5000",D405&lt;=10000,"5001_10000"))</f>
        <v>2001_5000</v>
      </c>
      <c r="I405" s="8" t="str">
        <f t="shared" si="13"/>
        <v>|Engineer</v>
      </c>
    </row>
    <row r="406" spans="2:9" x14ac:dyDescent="0.25">
      <c r="B406" t="s">
        <v>20</v>
      </c>
      <c r="C406">
        <f t="shared" si="12"/>
        <v>155</v>
      </c>
      <c r="D406" cm="1">
        <f t="array" ref="D406">_xlfn.IFS(C406&lt;=50,7+10*(C406-1),C406&lt;=110,507+25*(C406-51),C406&lt;=170,2007+50*(C406-111),C406&lt;=250,5007+50*(C406-171))</f>
        <v>4207</v>
      </c>
      <c r="E406" t="str" cm="1">
        <f t="array" ref="E406">IF(D406="","",_xlfn.IFS(D406&lt;=500,"Top_500",D406&lt;=2000,"501_2000",D406&lt;=5000,"2001_5000",D406&lt;=10000,"5001_10000"))</f>
        <v>2001_5000</v>
      </c>
      <c r="I406" s="8" t="str">
        <f t="shared" si="13"/>
        <v>|Engineer</v>
      </c>
    </row>
    <row r="407" spans="2:9" x14ac:dyDescent="0.25">
      <c r="B407" t="s">
        <v>20</v>
      </c>
      <c r="C407">
        <f t="shared" si="12"/>
        <v>156</v>
      </c>
      <c r="D407" cm="1">
        <f t="array" ref="D407">_xlfn.IFS(C407&lt;=50,7+10*(C407-1),C407&lt;=110,507+25*(C407-51),C407&lt;=170,2007+50*(C407-111),C407&lt;=250,5007+50*(C407-171))</f>
        <v>4257</v>
      </c>
      <c r="E407" t="str" cm="1">
        <f t="array" ref="E407">IF(D407="","",_xlfn.IFS(D407&lt;=500,"Top_500",D407&lt;=2000,"501_2000",D407&lt;=5000,"2001_5000",D407&lt;=10000,"5001_10000"))</f>
        <v>2001_5000</v>
      </c>
      <c r="I407" s="8" t="str">
        <f t="shared" si="13"/>
        <v>|Engineer</v>
      </c>
    </row>
    <row r="408" spans="2:9" x14ac:dyDescent="0.25">
      <c r="B408" t="s">
        <v>20</v>
      </c>
      <c r="C408">
        <f t="shared" si="12"/>
        <v>157</v>
      </c>
      <c r="D408" cm="1">
        <f t="array" ref="D408">_xlfn.IFS(C408&lt;=50,7+10*(C408-1),C408&lt;=110,507+25*(C408-51),C408&lt;=170,2007+50*(C408-111),C408&lt;=250,5007+50*(C408-171))</f>
        <v>4307</v>
      </c>
      <c r="E408" t="str" cm="1">
        <f t="array" ref="E408">IF(D408="","",_xlfn.IFS(D408&lt;=500,"Top_500",D408&lt;=2000,"501_2000",D408&lt;=5000,"2001_5000",D408&lt;=10000,"5001_10000"))</f>
        <v>2001_5000</v>
      </c>
      <c r="I408" s="8" t="str">
        <f t="shared" si="13"/>
        <v>|Engineer</v>
      </c>
    </row>
    <row r="409" spans="2:9" x14ac:dyDescent="0.25">
      <c r="B409" t="s">
        <v>20</v>
      </c>
      <c r="C409">
        <f t="shared" si="12"/>
        <v>158</v>
      </c>
      <c r="D409" cm="1">
        <f t="array" ref="D409">_xlfn.IFS(C409&lt;=50,7+10*(C409-1),C409&lt;=110,507+25*(C409-51),C409&lt;=170,2007+50*(C409-111),C409&lt;=250,5007+50*(C409-171))</f>
        <v>4357</v>
      </c>
      <c r="E409" t="str" cm="1">
        <f t="array" ref="E409">IF(D409="","",_xlfn.IFS(D409&lt;=500,"Top_500",D409&lt;=2000,"501_2000",D409&lt;=5000,"2001_5000",D409&lt;=10000,"5001_10000"))</f>
        <v>2001_5000</v>
      </c>
      <c r="I409" s="8" t="str">
        <f t="shared" si="13"/>
        <v>|Engineer</v>
      </c>
    </row>
    <row r="410" spans="2:9" x14ac:dyDescent="0.25">
      <c r="B410" t="s">
        <v>20</v>
      </c>
      <c r="C410">
        <f t="shared" si="12"/>
        <v>159</v>
      </c>
      <c r="D410" cm="1">
        <f t="array" ref="D410">_xlfn.IFS(C410&lt;=50,7+10*(C410-1),C410&lt;=110,507+25*(C410-51),C410&lt;=170,2007+50*(C410-111),C410&lt;=250,5007+50*(C410-171))</f>
        <v>4407</v>
      </c>
      <c r="E410" t="str" cm="1">
        <f t="array" ref="E410">IF(D410="","",_xlfn.IFS(D410&lt;=500,"Top_500",D410&lt;=2000,"501_2000",D410&lt;=5000,"2001_5000",D410&lt;=10000,"5001_10000"))</f>
        <v>2001_5000</v>
      </c>
      <c r="I410" s="8" t="str">
        <f t="shared" si="13"/>
        <v>|Engineer</v>
      </c>
    </row>
    <row r="411" spans="2:9" x14ac:dyDescent="0.25">
      <c r="B411" t="s">
        <v>20</v>
      </c>
      <c r="C411">
        <f t="shared" si="12"/>
        <v>160</v>
      </c>
      <c r="D411" cm="1">
        <f t="array" ref="D411">_xlfn.IFS(C411&lt;=50,7+10*(C411-1),C411&lt;=110,507+25*(C411-51),C411&lt;=170,2007+50*(C411-111),C411&lt;=250,5007+50*(C411-171))</f>
        <v>4457</v>
      </c>
      <c r="E411" t="str" cm="1">
        <f t="array" ref="E411">IF(D411="","",_xlfn.IFS(D411&lt;=500,"Top_500",D411&lt;=2000,"501_2000",D411&lt;=5000,"2001_5000",D411&lt;=10000,"5001_10000"))</f>
        <v>2001_5000</v>
      </c>
      <c r="I411" s="8" t="str">
        <f t="shared" si="13"/>
        <v>|Engineer</v>
      </c>
    </row>
    <row r="412" spans="2:9" x14ac:dyDescent="0.25">
      <c r="B412" t="s">
        <v>20</v>
      </c>
      <c r="C412">
        <f t="shared" si="12"/>
        <v>161</v>
      </c>
      <c r="D412" cm="1">
        <f t="array" ref="D412">_xlfn.IFS(C412&lt;=50,7+10*(C412-1),C412&lt;=110,507+25*(C412-51),C412&lt;=170,2007+50*(C412-111),C412&lt;=250,5007+50*(C412-171))</f>
        <v>4507</v>
      </c>
      <c r="E412" t="str" cm="1">
        <f t="array" ref="E412">IF(D412="","",_xlfn.IFS(D412&lt;=500,"Top_500",D412&lt;=2000,"501_2000",D412&lt;=5000,"2001_5000",D412&lt;=10000,"5001_10000"))</f>
        <v>2001_5000</v>
      </c>
      <c r="I412" s="8" t="str">
        <f t="shared" si="13"/>
        <v>|Engineer</v>
      </c>
    </row>
    <row r="413" spans="2:9" x14ac:dyDescent="0.25">
      <c r="B413" t="s">
        <v>20</v>
      </c>
      <c r="C413">
        <f t="shared" si="12"/>
        <v>162</v>
      </c>
      <c r="D413" cm="1">
        <f t="array" ref="D413">_xlfn.IFS(C413&lt;=50,7+10*(C413-1),C413&lt;=110,507+25*(C413-51),C413&lt;=170,2007+50*(C413-111),C413&lt;=250,5007+50*(C413-171))</f>
        <v>4557</v>
      </c>
      <c r="E413" t="str" cm="1">
        <f t="array" ref="E413">IF(D413="","",_xlfn.IFS(D413&lt;=500,"Top_500",D413&lt;=2000,"501_2000",D413&lt;=5000,"2001_5000",D413&lt;=10000,"5001_10000"))</f>
        <v>2001_5000</v>
      </c>
      <c r="I413" s="8" t="str">
        <f t="shared" si="13"/>
        <v>|Engineer</v>
      </c>
    </row>
    <row r="414" spans="2:9" x14ac:dyDescent="0.25">
      <c r="B414" t="s">
        <v>20</v>
      </c>
      <c r="C414">
        <f t="shared" si="12"/>
        <v>163</v>
      </c>
      <c r="D414" cm="1">
        <f t="array" ref="D414">_xlfn.IFS(C414&lt;=50,7+10*(C414-1),C414&lt;=110,507+25*(C414-51),C414&lt;=170,2007+50*(C414-111),C414&lt;=250,5007+50*(C414-171))</f>
        <v>4607</v>
      </c>
      <c r="E414" t="str" cm="1">
        <f t="array" ref="E414">IF(D414="","",_xlfn.IFS(D414&lt;=500,"Top_500",D414&lt;=2000,"501_2000",D414&lt;=5000,"2001_5000",D414&lt;=10000,"5001_10000"))</f>
        <v>2001_5000</v>
      </c>
      <c r="I414" s="8" t="str">
        <f t="shared" si="13"/>
        <v>|Engineer</v>
      </c>
    </row>
    <row r="415" spans="2:9" x14ac:dyDescent="0.25">
      <c r="B415" t="s">
        <v>20</v>
      </c>
      <c r="C415">
        <f t="shared" si="12"/>
        <v>164</v>
      </c>
      <c r="D415" cm="1">
        <f t="array" ref="D415">_xlfn.IFS(C415&lt;=50,7+10*(C415-1),C415&lt;=110,507+25*(C415-51),C415&lt;=170,2007+50*(C415-111),C415&lt;=250,5007+50*(C415-171))</f>
        <v>4657</v>
      </c>
      <c r="E415" t="str" cm="1">
        <f t="array" ref="E415">IF(D415="","",_xlfn.IFS(D415&lt;=500,"Top_500",D415&lt;=2000,"501_2000",D415&lt;=5000,"2001_5000",D415&lt;=10000,"5001_10000"))</f>
        <v>2001_5000</v>
      </c>
      <c r="I415" s="8" t="str">
        <f t="shared" si="13"/>
        <v>|Engineer</v>
      </c>
    </row>
    <row r="416" spans="2:9" x14ac:dyDescent="0.25">
      <c r="B416" t="s">
        <v>20</v>
      </c>
      <c r="C416">
        <f t="shared" si="12"/>
        <v>165</v>
      </c>
      <c r="D416" cm="1">
        <f t="array" ref="D416">_xlfn.IFS(C416&lt;=50,7+10*(C416-1),C416&lt;=110,507+25*(C416-51),C416&lt;=170,2007+50*(C416-111),C416&lt;=250,5007+50*(C416-171))</f>
        <v>4707</v>
      </c>
      <c r="E416" t="str" cm="1">
        <f t="array" ref="E416">IF(D416="","",_xlfn.IFS(D416&lt;=500,"Top_500",D416&lt;=2000,"501_2000",D416&lt;=5000,"2001_5000",D416&lt;=10000,"5001_10000"))</f>
        <v>2001_5000</v>
      </c>
      <c r="I416" s="8" t="str">
        <f t="shared" si="13"/>
        <v>|Engineer</v>
      </c>
    </row>
    <row r="417" spans="2:9" x14ac:dyDescent="0.25">
      <c r="B417" t="s">
        <v>20</v>
      </c>
      <c r="C417">
        <f t="shared" si="12"/>
        <v>166</v>
      </c>
      <c r="D417" cm="1">
        <f t="array" ref="D417">_xlfn.IFS(C417&lt;=50,7+10*(C417-1),C417&lt;=110,507+25*(C417-51),C417&lt;=170,2007+50*(C417-111),C417&lt;=250,5007+50*(C417-171))</f>
        <v>4757</v>
      </c>
      <c r="E417" t="str" cm="1">
        <f t="array" ref="E417">IF(D417="","",_xlfn.IFS(D417&lt;=500,"Top_500",D417&lt;=2000,"501_2000",D417&lt;=5000,"2001_5000",D417&lt;=10000,"5001_10000"))</f>
        <v>2001_5000</v>
      </c>
      <c r="I417" s="8" t="str">
        <f t="shared" si="13"/>
        <v>|Engineer</v>
      </c>
    </row>
    <row r="418" spans="2:9" x14ac:dyDescent="0.25">
      <c r="B418" t="s">
        <v>20</v>
      </c>
      <c r="C418">
        <f t="shared" si="12"/>
        <v>167</v>
      </c>
      <c r="D418" cm="1">
        <f t="array" ref="D418">_xlfn.IFS(C418&lt;=50,7+10*(C418-1),C418&lt;=110,507+25*(C418-51),C418&lt;=170,2007+50*(C418-111),C418&lt;=250,5007+50*(C418-171))</f>
        <v>4807</v>
      </c>
      <c r="E418" t="str" cm="1">
        <f t="array" ref="E418">IF(D418="","",_xlfn.IFS(D418&lt;=500,"Top_500",D418&lt;=2000,"501_2000",D418&lt;=5000,"2001_5000",D418&lt;=10000,"5001_10000"))</f>
        <v>2001_5000</v>
      </c>
      <c r="I418" s="8" t="str">
        <f t="shared" si="13"/>
        <v>|Engineer</v>
      </c>
    </row>
    <row r="419" spans="2:9" x14ac:dyDescent="0.25">
      <c r="B419" t="s">
        <v>20</v>
      </c>
      <c r="C419">
        <f t="shared" si="12"/>
        <v>168</v>
      </c>
      <c r="D419" cm="1">
        <f t="array" ref="D419">_xlfn.IFS(C419&lt;=50,7+10*(C419-1),C419&lt;=110,507+25*(C419-51),C419&lt;=170,2007+50*(C419-111),C419&lt;=250,5007+50*(C419-171))</f>
        <v>4857</v>
      </c>
      <c r="E419" t="str" cm="1">
        <f t="array" ref="E419">IF(D419="","",_xlfn.IFS(D419&lt;=500,"Top_500",D419&lt;=2000,"501_2000",D419&lt;=5000,"2001_5000",D419&lt;=10000,"5001_10000"))</f>
        <v>2001_5000</v>
      </c>
      <c r="I419" s="8" t="str">
        <f t="shared" si="13"/>
        <v>|Engineer</v>
      </c>
    </row>
    <row r="420" spans="2:9" x14ac:dyDescent="0.25">
      <c r="B420" t="s">
        <v>20</v>
      </c>
      <c r="C420">
        <f t="shared" si="12"/>
        <v>169</v>
      </c>
      <c r="D420" cm="1">
        <f t="array" ref="D420">_xlfn.IFS(C420&lt;=50,7+10*(C420-1),C420&lt;=110,507+25*(C420-51),C420&lt;=170,2007+50*(C420-111),C420&lt;=250,5007+50*(C420-171))</f>
        <v>4907</v>
      </c>
      <c r="E420" t="str" cm="1">
        <f t="array" ref="E420">IF(D420="","",_xlfn.IFS(D420&lt;=500,"Top_500",D420&lt;=2000,"501_2000",D420&lt;=5000,"2001_5000",D420&lt;=10000,"5001_10000"))</f>
        <v>2001_5000</v>
      </c>
      <c r="I420" s="8" t="str">
        <f t="shared" si="13"/>
        <v>|Engineer</v>
      </c>
    </row>
    <row r="421" spans="2:9" x14ac:dyDescent="0.25">
      <c r="B421" t="s">
        <v>20</v>
      </c>
      <c r="C421">
        <f t="shared" si="12"/>
        <v>170</v>
      </c>
      <c r="D421" cm="1">
        <f t="array" ref="D421">_xlfn.IFS(C421&lt;=50,7+10*(C421-1),C421&lt;=110,507+25*(C421-51),C421&lt;=170,2007+50*(C421-111),C421&lt;=250,5007+50*(C421-171))</f>
        <v>4957</v>
      </c>
      <c r="E421" t="str" cm="1">
        <f t="array" ref="E421">IF(D421="","",_xlfn.IFS(D421&lt;=500,"Top_500",D421&lt;=2000,"501_2000",D421&lt;=5000,"2001_5000",D421&lt;=10000,"5001_10000"))</f>
        <v>2001_5000</v>
      </c>
      <c r="I421" s="8" t="str">
        <f t="shared" si="13"/>
        <v>|Engineer</v>
      </c>
    </row>
    <row r="422" spans="2:9" x14ac:dyDescent="0.25">
      <c r="B422" t="s">
        <v>20</v>
      </c>
      <c r="C422">
        <f t="shared" si="12"/>
        <v>171</v>
      </c>
      <c r="D422" cm="1">
        <f t="array" ref="D422">_xlfn.IFS(C422&lt;=50,7+10*(C422-1),C422&lt;=110,507+25*(C422-51),C422&lt;=170,2007+50*(C422-111),C422&lt;=250,5007+50*(C422-171))</f>
        <v>5007</v>
      </c>
      <c r="E422" t="str" cm="1">
        <f t="array" ref="E422">IF(D422="","",_xlfn.IFS(D422&lt;=500,"Top_500",D422&lt;=2000,"501_2000",D422&lt;=5000,"2001_5000",D422&lt;=10000,"5001_10000"))</f>
        <v>5001_10000</v>
      </c>
      <c r="I422" s="8" t="str">
        <f t="shared" si="13"/>
        <v>|Engineer</v>
      </c>
    </row>
    <row r="423" spans="2:9" x14ac:dyDescent="0.25">
      <c r="B423" t="s">
        <v>20</v>
      </c>
      <c r="C423">
        <f t="shared" si="12"/>
        <v>172</v>
      </c>
      <c r="D423" cm="1">
        <f t="array" ref="D423">_xlfn.IFS(C423&lt;=50,7+10*(C423-1),C423&lt;=110,507+25*(C423-51),C423&lt;=170,2007+50*(C423-111),C423&lt;=250,5007+50*(C423-171))</f>
        <v>5057</v>
      </c>
      <c r="E423" t="str" cm="1">
        <f t="array" ref="E423">IF(D423="","",_xlfn.IFS(D423&lt;=500,"Top_500",D423&lt;=2000,"501_2000",D423&lt;=5000,"2001_5000",D423&lt;=10000,"5001_10000"))</f>
        <v>5001_10000</v>
      </c>
      <c r="I423" s="8" t="str">
        <f t="shared" si="13"/>
        <v>|Engineer</v>
      </c>
    </row>
    <row r="424" spans="2:9" x14ac:dyDescent="0.25">
      <c r="B424" t="s">
        <v>20</v>
      </c>
      <c r="C424">
        <f t="shared" si="12"/>
        <v>173</v>
      </c>
      <c r="D424" cm="1">
        <f t="array" ref="D424">_xlfn.IFS(C424&lt;=50,7+10*(C424-1),C424&lt;=110,507+25*(C424-51),C424&lt;=170,2007+50*(C424-111),C424&lt;=250,5007+50*(C424-171))</f>
        <v>5107</v>
      </c>
      <c r="E424" t="str" cm="1">
        <f t="array" ref="E424">IF(D424="","",_xlfn.IFS(D424&lt;=500,"Top_500",D424&lt;=2000,"501_2000",D424&lt;=5000,"2001_5000",D424&lt;=10000,"5001_10000"))</f>
        <v>5001_10000</v>
      </c>
      <c r="I424" s="8" t="str">
        <f t="shared" si="13"/>
        <v>|Engineer</v>
      </c>
    </row>
    <row r="425" spans="2:9" x14ac:dyDescent="0.25">
      <c r="B425" t="s">
        <v>20</v>
      </c>
      <c r="C425">
        <f t="shared" si="12"/>
        <v>174</v>
      </c>
      <c r="D425" cm="1">
        <f t="array" ref="D425">_xlfn.IFS(C425&lt;=50,7+10*(C425-1),C425&lt;=110,507+25*(C425-51),C425&lt;=170,2007+50*(C425-111),C425&lt;=250,5007+50*(C425-171))</f>
        <v>5157</v>
      </c>
      <c r="E425" t="str" cm="1">
        <f t="array" ref="E425">IF(D425="","",_xlfn.IFS(D425&lt;=500,"Top_500",D425&lt;=2000,"501_2000",D425&lt;=5000,"2001_5000",D425&lt;=10000,"5001_10000"))</f>
        <v>5001_10000</v>
      </c>
      <c r="I425" s="8" t="str">
        <f t="shared" si="13"/>
        <v>|Engineer</v>
      </c>
    </row>
    <row r="426" spans="2:9" x14ac:dyDescent="0.25">
      <c r="B426" t="s">
        <v>20</v>
      </c>
      <c r="C426">
        <f t="shared" si="12"/>
        <v>175</v>
      </c>
      <c r="D426" cm="1">
        <f t="array" ref="D426">_xlfn.IFS(C426&lt;=50,7+10*(C426-1),C426&lt;=110,507+25*(C426-51),C426&lt;=170,2007+50*(C426-111),C426&lt;=250,5007+50*(C426-171))</f>
        <v>5207</v>
      </c>
      <c r="E426" t="str" cm="1">
        <f t="array" ref="E426">IF(D426="","",_xlfn.IFS(D426&lt;=500,"Top_500",D426&lt;=2000,"501_2000",D426&lt;=5000,"2001_5000",D426&lt;=10000,"5001_10000"))</f>
        <v>5001_10000</v>
      </c>
      <c r="I426" s="8" t="str">
        <f t="shared" si="13"/>
        <v>|Engineer</v>
      </c>
    </row>
    <row r="427" spans="2:9" x14ac:dyDescent="0.25">
      <c r="B427" t="s">
        <v>20</v>
      </c>
      <c r="C427">
        <f t="shared" si="12"/>
        <v>176</v>
      </c>
      <c r="D427" cm="1">
        <f t="array" ref="D427">_xlfn.IFS(C427&lt;=50,7+10*(C427-1),C427&lt;=110,507+25*(C427-51),C427&lt;=170,2007+50*(C427-111),C427&lt;=250,5007+50*(C427-171))</f>
        <v>5257</v>
      </c>
      <c r="E427" t="str" cm="1">
        <f t="array" ref="E427">IF(D427="","",_xlfn.IFS(D427&lt;=500,"Top_500",D427&lt;=2000,"501_2000",D427&lt;=5000,"2001_5000",D427&lt;=10000,"5001_10000"))</f>
        <v>5001_10000</v>
      </c>
      <c r="I427" s="8" t="str">
        <f t="shared" si="13"/>
        <v>|Engineer</v>
      </c>
    </row>
    <row r="428" spans="2:9" x14ac:dyDescent="0.25">
      <c r="B428" t="s">
        <v>20</v>
      </c>
      <c r="C428">
        <f t="shared" si="12"/>
        <v>177</v>
      </c>
      <c r="D428" cm="1">
        <f t="array" ref="D428">_xlfn.IFS(C428&lt;=50,7+10*(C428-1),C428&lt;=110,507+25*(C428-51),C428&lt;=170,2007+50*(C428-111),C428&lt;=250,5007+50*(C428-171))</f>
        <v>5307</v>
      </c>
      <c r="E428" t="str" cm="1">
        <f t="array" ref="E428">IF(D428="","",_xlfn.IFS(D428&lt;=500,"Top_500",D428&lt;=2000,"501_2000",D428&lt;=5000,"2001_5000",D428&lt;=10000,"5001_10000"))</f>
        <v>5001_10000</v>
      </c>
      <c r="I428" s="8" t="str">
        <f t="shared" si="13"/>
        <v>|Engineer</v>
      </c>
    </row>
    <row r="429" spans="2:9" x14ac:dyDescent="0.25">
      <c r="B429" t="s">
        <v>20</v>
      </c>
      <c r="C429">
        <f t="shared" si="12"/>
        <v>178</v>
      </c>
      <c r="D429" cm="1">
        <f t="array" ref="D429">_xlfn.IFS(C429&lt;=50,7+10*(C429-1),C429&lt;=110,507+25*(C429-51),C429&lt;=170,2007+50*(C429-111),C429&lt;=250,5007+50*(C429-171))</f>
        <v>5357</v>
      </c>
      <c r="E429" t="str" cm="1">
        <f t="array" ref="E429">IF(D429="","",_xlfn.IFS(D429&lt;=500,"Top_500",D429&lt;=2000,"501_2000",D429&lt;=5000,"2001_5000",D429&lt;=10000,"5001_10000"))</f>
        <v>5001_10000</v>
      </c>
      <c r="I429" s="8" t="str">
        <f t="shared" si="13"/>
        <v>|Engineer</v>
      </c>
    </row>
    <row r="430" spans="2:9" x14ac:dyDescent="0.25">
      <c r="B430" t="s">
        <v>20</v>
      </c>
      <c r="C430">
        <f t="shared" si="12"/>
        <v>179</v>
      </c>
      <c r="D430" cm="1">
        <f t="array" ref="D430">_xlfn.IFS(C430&lt;=50,7+10*(C430-1),C430&lt;=110,507+25*(C430-51),C430&lt;=170,2007+50*(C430-111),C430&lt;=250,5007+50*(C430-171))</f>
        <v>5407</v>
      </c>
      <c r="E430" t="str" cm="1">
        <f t="array" ref="E430">IF(D430="","",_xlfn.IFS(D430&lt;=500,"Top_500",D430&lt;=2000,"501_2000",D430&lt;=5000,"2001_5000",D430&lt;=10000,"5001_10000"))</f>
        <v>5001_10000</v>
      </c>
      <c r="I430" s="8" t="str">
        <f t="shared" si="13"/>
        <v>|Engineer</v>
      </c>
    </row>
    <row r="431" spans="2:9" x14ac:dyDescent="0.25">
      <c r="B431" t="s">
        <v>20</v>
      </c>
      <c r="C431">
        <f t="shared" si="12"/>
        <v>180</v>
      </c>
      <c r="D431" cm="1">
        <f t="array" ref="D431">_xlfn.IFS(C431&lt;=50,7+10*(C431-1),C431&lt;=110,507+25*(C431-51),C431&lt;=170,2007+50*(C431-111),C431&lt;=250,5007+50*(C431-171))</f>
        <v>5457</v>
      </c>
      <c r="E431" t="str" cm="1">
        <f t="array" ref="E431">IF(D431="","",_xlfn.IFS(D431&lt;=500,"Top_500",D431&lt;=2000,"501_2000",D431&lt;=5000,"2001_5000",D431&lt;=10000,"5001_10000"))</f>
        <v>5001_10000</v>
      </c>
      <c r="I431" s="8" t="str">
        <f t="shared" si="13"/>
        <v>|Engineer</v>
      </c>
    </row>
    <row r="432" spans="2:9" x14ac:dyDescent="0.25">
      <c r="B432" t="s">
        <v>20</v>
      </c>
      <c r="C432">
        <f t="shared" si="12"/>
        <v>181</v>
      </c>
      <c r="D432" cm="1">
        <f t="array" ref="D432">_xlfn.IFS(C432&lt;=50,7+10*(C432-1),C432&lt;=110,507+25*(C432-51),C432&lt;=170,2007+50*(C432-111),C432&lt;=250,5007+50*(C432-171))</f>
        <v>5507</v>
      </c>
      <c r="E432" t="str" cm="1">
        <f t="array" ref="E432">IF(D432="","",_xlfn.IFS(D432&lt;=500,"Top_500",D432&lt;=2000,"501_2000",D432&lt;=5000,"2001_5000",D432&lt;=10000,"5001_10000"))</f>
        <v>5001_10000</v>
      </c>
      <c r="I432" s="8" t="str">
        <f t="shared" si="13"/>
        <v>|Engineer</v>
      </c>
    </row>
    <row r="433" spans="2:9" x14ac:dyDescent="0.25">
      <c r="B433" t="s">
        <v>20</v>
      </c>
      <c r="C433">
        <f t="shared" si="12"/>
        <v>182</v>
      </c>
      <c r="D433" cm="1">
        <f t="array" ref="D433">_xlfn.IFS(C433&lt;=50,7+10*(C433-1),C433&lt;=110,507+25*(C433-51),C433&lt;=170,2007+50*(C433-111),C433&lt;=250,5007+50*(C433-171))</f>
        <v>5557</v>
      </c>
      <c r="E433" t="str" cm="1">
        <f t="array" ref="E433">IF(D433="","",_xlfn.IFS(D433&lt;=500,"Top_500",D433&lt;=2000,"501_2000",D433&lt;=5000,"2001_5000",D433&lt;=10000,"5001_10000"))</f>
        <v>5001_10000</v>
      </c>
      <c r="I433" s="8" t="str">
        <f t="shared" si="13"/>
        <v>|Engineer</v>
      </c>
    </row>
    <row r="434" spans="2:9" x14ac:dyDescent="0.25">
      <c r="B434" t="s">
        <v>20</v>
      </c>
      <c r="C434">
        <f t="shared" si="12"/>
        <v>183</v>
      </c>
      <c r="D434" cm="1">
        <f t="array" ref="D434">_xlfn.IFS(C434&lt;=50,7+10*(C434-1),C434&lt;=110,507+25*(C434-51),C434&lt;=170,2007+50*(C434-111),C434&lt;=250,5007+50*(C434-171))</f>
        <v>5607</v>
      </c>
      <c r="E434" t="str" cm="1">
        <f t="array" ref="E434">IF(D434="","",_xlfn.IFS(D434&lt;=500,"Top_500",D434&lt;=2000,"501_2000",D434&lt;=5000,"2001_5000",D434&lt;=10000,"5001_10000"))</f>
        <v>5001_10000</v>
      </c>
      <c r="I434" s="8" t="str">
        <f t="shared" si="13"/>
        <v>|Engineer</v>
      </c>
    </row>
    <row r="435" spans="2:9" x14ac:dyDescent="0.25">
      <c r="B435" t="s">
        <v>20</v>
      </c>
      <c r="C435">
        <f t="shared" si="12"/>
        <v>184</v>
      </c>
      <c r="D435" cm="1">
        <f t="array" ref="D435">_xlfn.IFS(C435&lt;=50,7+10*(C435-1),C435&lt;=110,507+25*(C435-51),C435&lt;=170,2007+50*(C435-111),C435&lt;=250,5007+50*(C435-171))</f>
        <v>5657</v>
      </c>
      <c r="E435" t="str" cm="1">
        <f t="array" ref="E435">IF(D435="","",_xlfn.IFS(D435&lt;=500,"Top_500",D435&lt;=2000,"501_2000",D435&lt;=5000,"2001_5000",D435&lt;=10000,"5001_10000"))</f>
        <v>5001_10000</v>
      </c>
      <c r="I435" s="8" t="str">
        <f t="shared" si="13"/>
        <v>|Engineer</v>
      </c>
    </row>
    <row r="436" spans="2:9" x14ac:dyDescent="0.25">
      <c r="B436" t="s">
        <v>20</v>
      </c>
      <c r="C436">
        <f t="shared" si="12"/>
        <v>185</v>
      </c>
      <c r="D436" cm="1">
        <f t="array" ref="D436">_xlfn.IFS(C436&lt;=50,7+10*(C436-1),C436&lt;=110,507+25*(C436-51),C436&lt;=170,2007+50*(C436-111),C436&lt;=250,5007+50*(C436-171))</f>
        <v>5707</v>
      </c>
      <c r="E436" t="str" cm="1">
        <f t="array" ref="E436">IF(D436="","",_xlfn.IFS(D436&lt;=500,"Top_500",D436&lt;=2000,"501_2000",D436&lt;=5000,"2001_5000",D436&lt;=10000,"5001_10000"))</f>
        <v>5001_10000</v>
      </c>
      <c r="I436" s="8" t="str">
        <f t="shared" si="13"/>
        <v>|Engineer</v>
      </c>
    </row>
    <row r="437" spans="2:9" x14ac:dyDescent="0.25">
      <c r="B437" t="s">
        <v>20</v>
      </c>
      <c r="C437">
        <f t="shared" si="12"/>
        <v>186</v>
      </c>
      <c r="D437" cm="1">
        <f t="array" ref="D437">_xlfn.IFS(C437&lt;=50,7+10*(C437-1),C437&lt;=110,507+25*(C437-51),C437&lt;=170,2007+50*(C437-111),C437&lt;=250,5007+50*(C437-171))</f>
        <v>5757</v>
      </c>
      <c r="E437" t="str" cm="1">
        <f t="array" ref="E437">IF(D437="","",_xlfn.IFS(D437&lt;=500,"Top_500",D437&lt;=2000,"501_2000",D437&lt;=5000,"2001_5000",D437&lt;=10000,"5001_10000"))</f>
        <v>5001_10000</v>
      </c>
      <c r="I437" s="8" t="str">
        <f t="shared" si="13"/>
        <v>|Engineer</v>
      </c>
    </row>
    <row r="438" spans="2:9" x14ac:dyDescent="0.25">
      <c r="B438" t="s">
        <v>20</v>
      </c>
      <c r="C438">
        <f t="shared" si="12"/>
        <v>187</v>
      </c>
      <c r="D438" cm="1">
        <f t="array" ref="D438">_xlfn.IFS(C438&lt;=50,7+10*(C438-1),C438&lt;=110,507+25*(C438-51),C438&lt;=170,2007+50*(C438-111),C438&lt;=250,5007+50*(C438-171))</f>
        <v>5807</v>
      </c>
      <c r="E438" t="str" cm="1">
        <f t="array" ref="E438">IF(D438="","",_xlfn.IFS(D438&lt;=500,"Top_500",D438&lt;=2000,"501_2000",D438&lt;=5000,"2001_5000",D438&lt;=10000,"5001_10000"))</f>
        <v>5001_10000</v>
      </c>
      <c r="I438" s="8" t="str">
        <f t="shared" si="13"/>
        <v>|Engineer</v>
      </c>
    </row>
    <row r="439" spans="2:9" x14ac:dyDescent="0.25">
      <c r="B439" t="s">
        <v>20</v>
      </c>
      <c r="C439">
        <f t="shared" si="12"/>
        <v>188</v>
      </c>
      <c r="D439" cm="1">
        <f t="array" ref="D439">_xlfn.IFS(C439&lt;=50,7+10*(C439-1),C439&lt;=110,507+25*(C439-51),C439&lt;=170,2007+50*(C439-111),C439&lt;=250,5007+50*(C439-171))</f>
        <v>5857</v>
      </c>
      <c r="E439" t="str" cm="1">
        <f t="array" ref="E439">IF(D439="","",_xlfn.IFS(D439&lt;=500,"Top_500",D439&lt;=2000,"501_2000",D439&lt;=5000,"2001_5000",D439&lt;=10000,"5001_10000"))</f>
        <v>5001_10000</v>
      </c>
      <c r="I439" s="8" t="str">
        <f t="shared" si="13"/>
        <v>|Engineer</v>
      </c>
    </row>
    <row r="440" spans="2:9" x14ac:dyDescent="0.25">
      <c r="B440" t="s">
        <v>20</v>
      </c>
      <c r="C440">
        <f t="shared" si="12"/>
        <v>189</v>
      </c>
      <c r="D440" cm="1">
        <f t="array" ref="D440">_xlfn.IFS(C440&lt;=50,7+10*(C440-1),C440&lt;=110,507+25*(C440-51),C440&lt;=170,2007+50*(C440-111),C440&lt;=250,5007+50*(C440-171))</f>
        <v>5907</v>
      </c>
      <c r="E440" t="str" cm="1">
        <f t="array" ref="E440">IF(D440="","",_xlfn.IFS(D440&lt;=500,"Top_500",D440&lt;=2000,"501_2000",D440&lt;=5000,"2001_5000",D440&lt;=10000,"5001_10000"))</f>
        <v>5001_10000</v>
      </c>
      <c r="I440" s="8" t="str">
        <f t="shared" si="13"/>
        <v>|Engineer</v>
      </c>
    </row>
    <row r="441" spans="2:9" x14ac:dyDescent="0.25">
      <c r="B441" t="s">
        <v>20</v>
      </c>
      <c r="C441">
        <f t="shared" si="12"/>
        <v>190</v>
      </c>
      <c r="D441" cm="1">
        <f t="array" ref="D441">_xlfn.IFS(C441&lt;=50,7+10*(C441-1),C441&lt;=110,507+25*(C441-51),C441&lt;=170,2007+50*(C441-111),C441&lt;=250,5007+50*(C441-171))</f>
        <v>5957</v>
      </c>
      <c r="E441" t="str" cm="1">
        <f t="array" ref="E441">IF(D441="","",_xlfn.IFS(D441&lt;=500,"Top_500",D441&lt;=2000,"501_2000",D441&lt;=5000,"2001_5000",D441&lt;=10000,"5001_10000"))</f>
        <v>5001_10000</v>
      </c>
      <c r="I441" s="8" t="str">
        <f t="shared" si="13"/>
        <v>|Engineer</v>
      </c>
    </row>
    <row r="442" spans="2:9" x14ac:dyDescent="0.25">
      <c r="B442" t="s">
        <v>20</v>
      </c>
      <c r="C442">
        <f t="shared" si="12"/>
        <v>191</v>
      </c>
      <c r="D442" cm="1">
        <f t="array" ref="D442">_xlfn.IFS(C442&lt;=50,7+10*(C442-1),C442&lt;=110,507+25*(C442-51),C442&lt;=170,2007+50*(C442-111),C442&lt;=250,5007+50*(C442-171))</f>
        <v>6007</v>
      </c>
      <c r="E442" t="str" cm="1">
        <f t="array" ref="E442">IF(D442="","",_xlfn.IFS(D442&lt;=500,"Top_500",D442&lt;=2000,"501_2000",D442&lt;=5000,"2001_5000",D442&lt;=10000,"5001_10000"))</f>
        <v>5001_10000</v>
      </c>
      <c r="I442" s="8" t="str">
        <f t="shared" si="13"/>
        <v>|Engineer</v>
      </c>
    </row>
    <row r="443" spans="2:9" x14ac:dyDescent="0.25">
      <c r="B443" t="s">
        <v>20</v>
      </c>
      <c r="C443">
        <f t="shared" si="12"/>
        <v>192</v>
      </c>
      <c r="D443" cm="1">
        <f t="array" ref="D443">_xlfn.IFS(C443&lt;=50,7+10*(C443-1),C443&lt;=110,507+25*(C443-51),C443&lt;=170,2007+50*(C443-111),C443&lt;=250,5007+50*(C443-171))</f>
        <v>6057</v>
      </c>
      <c r="E443" t="str" cm="1">
        <f t="array" ref="E443">IF(D443="","",_xlfn.IFS(D443&lt;=500,"Top_500",D443&lt;=2000,"501_2000",D443&lt;=5000,"2001_5000",D443&lt;=10000,"5001_10000"))</f>
        <v>5001_10000</v>
      </c>
      <c r="I443" s="8" t="str">
        <f t="shared" si="13"/>
        <v>|Engineer</v>
      </c>
    </row>
    <row r="444" spans="2:9" x14ac:dyDescent="0.25">
      <c r="B444" t="s">
        <v>20</v>
      </c>
      <c r="C444">
        <f t="shared" si="12"/>
        <v>193</v>
      </c>
      <c r="D444" cm="1">
        <f t="array" ref="D444">_xlfn.IFS(C444&lt;=50,7+10*(C444-1),C444&lt;=110,507+25*(C444-51),C444&lt;=170,2007+50*(C444-111),C444&lt;=250,5007+50*(C444-171))</f>
        <v>6107</v>
      </c>
      <c r="E444" t="str" cm="1">
        <f t="array" ref="E444">IF(D444="","",_xlfn.IFS(D444&lt;=500,"Top_500",D444&lt;=2000,"501_2000",D444&lt;=5000,"2001_5000",D444&lt;=10000,"5001_10000"))</f>
        <v>5001_10000</v>
      </c>
      <c r="I444" s="8" t="str">
        <f t="shared" si="13"/>
        <v>|Engineer</v>
      </c>
    </row>
    <row r="445" spans="2:9" x14ac:dyDescent="0.25">
      <c r="B445" t="s">
        <v>20</v>
      </c>
      <c r="C445">
        <f t="shared" si="12"/>
        <v>194</v>
      </c>
      <c r="D445" cm="1">
        <f t="array" ref="D445">_xlfn.IFS(C445&lt;=50,7+10*(C445-1),C445&lt;=110,507+25*(C445-51),C445&lt;=170,2007+50*(C445-111),C445&lt;=250,5007+50*(C445-171))</f>
        <v>6157</v>
      </c>
      <c r="E445" t="str" cm="1">
        <f t="array" ref="E445">IF(D445="","",_xlfn.IFS(D445&lt;=500,"Top_500",D445&lt;=2000,"501_2000",D445&lt;=5000,"2001_5000",D445&lt;=10000,"5001_10000"))</f>
        <v>5001_10000</v>
      </c>
      <c r="I445" s="8" t="str">
        <f t="shared" si="13"/>
        <v>|Engineer</v>
      </c>
    </row>
    <row r="446" spans="2:9" x14ac:dyDescent="0.25">
      <c r="B446" t="s">
        <v>20</v>
      </c>
      <c r="C446">
        <f t="shared" si="12"/>
        <v>195</v>
      </c>
      <c r="D446" cm="1">
        <f t="array" ref="D446">_xlfn.IFS(C446&lt;=50,7+10*(C446-1),C446&lt;=110,507+25*(C446-51),C446&lt;=170,2007+50*(C446-111),C446&lt;=250,5007+50*(C446-171))</f>
        <v>6207</v>
      </c>
      <c r="E446" t="str" cm="1">
        <f t="array" ref="E446">IF(D446="","",_xlfn.IFS(D446&lt;=500,"Top_500",D446&lt;=2000,"501_2000",D446&lt;=5000,"2001_5000",D446&lt;=10000,"5001_10000"))</f>
        <v>5001_10000</v>
      </c>
      <c r="I446" s="8" t="str">
        <f t="shared" si="13"/>
        <v>|Engineer</v>
      </c>
    </row>
    <row r="447" spans="2:9" x14ac:dyDescent="0.25">
      <c r="B447" t="s">
        <v>20</v>
      </c>
      <c r="C447">
        <f t="shared" si="12"/>
        <v>196</v>
      </c>
      <c r="D447" cm="1">
        <f t="array" ref="D447">_xlfn.IFS(C447&lt;=50,7+10*(C447-1),C447&lt;=110,507+25*(C447-51),C447&lt;=170,2007+50*(C447-111),C447&lt;=250,5007+50*(C447-171))</f>
        <v>6257</v>
      </c>
      <c r="E447" t="str" cm="1">
        <f t="array" ref="E447">IF(D447="","",_xlfn.IFS(D447&lt;=500,"Top_500",D447&lt;=2000,"501_2000",D447&lt;=5000,"2001_5000",D447&lt;=10000,"5001_10000"))</f>
        <v>5001_10000</v>
      </c>
      <c r="I447" s="8" t="str">
        <f t="shared" si="13"/>
        <v>|Engineer</v>
      </c>
    </row>
    <row r="448" spans="2:9" x14ac:dyDescent="0.25">
      <c r="B448" t="s">
        <v>20</v>
      </c>
      <c r="C448">
        <f t="shared" si="12"/>
        <v>197</v>
      </c>
      <c r="D448" cm="1">
        <f t="array" ref="D448">_xlfn.IFS(C448&lt;=50,7+10*(C448-1),C448&lt;=110,507+25*(C448-51),C448&lt;=170,2007+50*(C448-111),C448&lt;=250,5007+50*(C448-171))</f>
        <v>6307</v>
      </c>
      <c r="E448" t="str" cm="1">
        <f t="array" ref="E448">IF(D448="","",_xlfn.IFS(D448&lt;=500,"Top_500",D448&lt;=2000,"501_2000",D448&lt;=5000,"2001_5000",D448&lt;=10000,"5001_10000"))</f>
        <v>5001_10000</v>
      </c>
      <c r="I448" s="8" t="str">
        <f t="shared" si="13"/>
        <v>|Engineer</v>
      </c>
    </row>
    <row r="449" spans="2:9" x14ac:dyDescent="0.25">
      <c r="B449" t="s">
        <v>20</v>
      </c>
      <c r="C449">
        <f t="shared" si="12"/>
        <v>198</v>
      </c>
      <c r="D449" cm="1">
        <f t="array" ref="D449">_xlfn.IFS(C449&lt;=50,7+10*(C449-1),C449&lt;=110,507+25*(C449-51),C449&lt;=170,2007+50*(C449-111),C449&lt;=250,5007+50*(C449-171))</f>
        <v>6357</v>
      </c>
      <c r="E449" t="str" cm="1">
        <f t="array" ref="E449">IF(D449="","",_xlfn.IFS(D449&lt;=500,"Top_500",D449&lt;=2000,"501_2000",D449&lt;=5000,"2001_5000",D449&lt;=10000,"5001_10000"))</f>
        <v>5001_10000</v>
      </c>
      <c r="I449" s="8" t="str">
        <f t="shared" si="13"/>
        <v>|Engineer</v>
      </c>
    </row>
    <row r="450" spans="2:9" x14ac:dyDescent="0.25">
      <c r="B450" t="s">
        <v>20</v>
      </c>
      <c r="C450">
        <f t="shared" ref="C450:C513" si="14">IF(ROW()=2,1,IF(B450&lt;&gt;B449,1,C449+1))</f>
        <v>199</v>
      </c>
      <c r="D450" cm="1">
        <f t="array" ref="D450">_xlfn.IFS(C450&lt;=50,7+10*(C450-1),C450&lt;=110,507+25*(C450-51),C450&lt;=170,2007+50*(C450-111),C450&lt;=250,5007+50*(C450-171))</f>
        <v>6407</v>
      </c>
      <c r="E450" t="str" cm="1">
        <f t="array" ref="E450">IF(D450="","",_xlfn.IFS(D450&lt;=500,"Top_500",D450&lt;=2000,"501_2000",D450&lt;=5000,"2001_5000",D450&lt;=10000,"5001_10000"))</f>
        <v>5001_10000</v>
      </c>
      <c r="I450" s="8" t="str">
        <f t="shared" si="13"/>
        <v>|Engineer</v>
      </c>
    </row>
    <row r="451" spans="2:9" x14ac:dyDescent="0.25">
      <c r="B451" t="s">
        <v>20</v>
      </c>
      <c r="C451">
        <f t="shared" si="14"/>
        <v>200</v>
      </c>
      <c r="D451" cm="1">
        <f t="array" ref="D451">_xlfn.IFS(C451&lt;=50,7+10*(C451-1),C451&lt;=110,507+25*(C451-51),C451&lt;=170,2007+50*(C451-111),C451&lt;=250,5007+50*(C451-171))</f>
        <v>6457</v>
      </c>
      <c r="E451" t="str" cm="1">
        <f t="array" ref="E451">IF(D451="","",_xlfn.IFS(D451&lt;=500,"Top_500",D451&lt;=2000,"501_2000",D451&lt;=5000,"2001_5000",D451&lt;=10000,"5001_10000"))</f>
        <v>5001_10000</v>
      </c>
      <c r="I451" s="8" t="str">
        <f t="shared" ref="I451:I514" si="15">A451 &amp; "|" &amp; B451</f>
        <v>|Engineer</v>
      </c>
    </row>
    <row r="452" spans="2:9" x14ac:dyDescent="0.25">
      <c r="B452" t="s">
        <v>20</v>
      </c>
      <c r="C452">
        <f t="shared" si="14"/>
        <v>201</v>
      </c>
      <c r="D452" cm="1">
        <f t="array" ref="D452">_xlfn.IFS(C452&lt;=50,7+10*(C452-1),C452&lt;=110,507+25*(C452-51),C452&lt;=170,2007+50*(C452-111),C452&lt;=250,5007+50*(C452-171))</f>
        <v>6507</v>
      </c>
      <c r="E452" t="str" cm="1">
        <f t="array" ref="E452">IF(D452="","",_xlfn.IFS(D452&lt;=500,"Top_500",D452&lt;=2000,"501_2000",D452&lt;=5000,"2001_5000",D452&lt;=10000,"5001_10000"))</f>
        <v>5001_10000</v>
      </c>
      <c r="I452" s="8" t="str">
        <f t="shared" si="15"/>
        <v>|Engineer</v>
      </c>
    </row>
    <row r="453" spans="2:9" x14ac:dyDescent="0.25">
      <c r="B453" t="s">
        <v>20</v>
      </c>
      <c r="C453">
        <f t="shared" si="14"/>
        <v>202</v>
      </c>
      <c r="D453" cm="1">
        <f t="array" ref="D453">_xlfn.IFS(C453&lt;=50,7+10*(C453-1),C453&lt;=110,507+25*(C453-51),C453&lt;=170,2007+50*(C453-111),C453&lt;=250,5007+50*(C453-171))</f>
        <v>6557</v>
      </c>
      <c r="E453" t="str" cm="1">
        <f t="array" ref="E453">IF(D453="","",_xlfn.IFS(D453&lt;=500,"Top_500",D453&lt;=2000,"501_2000",D453&lt;=5000,"2001_5000",D453&lt;=10000,"5001_10000"))</f>
        <v>5001_10000</v>
      </c>
      <c r="I453" s="8" t="str">
        <f t="shared" si="15"/>
        <v>|Engineer</v>
      </c>
    </row>
    <row r="454" spans="2:9" x14ac:dyDescent="0.25">
      <c r="B454" t="s">
        <v>20</v>
      </c>
      <c r="C454">
        <f t="shared" si="14"/>
        <v>203</v>
      </c>
      <c r="D454" cm="1">
        <f t="array" ref="D454">_xlfn.IFS(C454&lt;=50,7+10*(C454-1),C454&lt;=110,507+25*(C454-51),C454&lt;=170,2007+50*(C454-111),C454&lt;=250,5007+50*(C454-171))</f>
        <v>6607</v>
      </c>
      <c r="E454" t="str" cm="1">
        <f t="array" ref="E454">IF(D454="","",_xlfn.IFS(D454&lt;=500,"Top_500",D454&lt;=2000,"501_2000",D454&lt;=5000,"2001_5000",D454&lt;=10000,"5001_10000"))</f>
        <v>5001_10000</v>
      </c>
      <c r="I454" s="8" t="str">
        <f t="shared" si="15"/>
        <v>|Engineer</v>
      </c>
    </row>
    <row r="455" spans="2:9" x14ac:dyDescent="0.25">
      <c r="B455" t="s">
        <v>20</v>
      </c>
      <c r="C455">
        <f t="shared" si="14"/>
        <v>204</v>
      </c>
      <c r="D455" cm="1">
        <f t="array" ref="D455">_xlfn.IFS(C455&lt;=50,7+10*(C455-1),C455&lt;=110,507+25*(C455-51),C455&lt;=170,2007+50*(C455-111),C455&lt;=250,5007+50*(C455-171))</f>
        <v>6657</v>
      </c>
      <c r="E455" t="str" cm="1">
        <f t="array" ref="E455">IF(D455="","",_xlfn.IFS(D455&lt;=500,"Top_500",D455&lt;=2000,"501_2000",D455&lt;=5000,"2001_5000",D455&lt;=10000,"5001_10000"))</f>
        <v>5001_10000</v>
      </c>
      <c r="I455" s="8" t="str">
        <f t="shared" si="15"/>
        <v>|Engineer</v>
      </c>
    </row>
    <row r="456" spans="2:9" x14ac:dyDescent="0.25">
      <c r="B456" t="s">
        <v>20</v>
      </c>
      <c r="C456">
        <f t="shared" si="14"/>
        <v>205</v>
      </c>
      <c r="D456" cm="1">
        <f t="array" ref="D456">_xlfn.IFS(C456&lt;=50,7+10*(C456-1),C456&lt;=110,507+25*(C456-51),C456&lt;=170,2007+50*(C456-111),C456&lt;=250,5007+50*(C456-171))</f>
        <v>6707</v>
      </c>
      <c r="E456" t="str" cm="1">
        <f t="array" ref="E456">IF(D456="","",_xlfn.IFS(D456&lt;=500,"Top_500",D456&lt;=2000,"501_2000",D456&lt;=5000,"2001_5000",D456&lt;=10000,"5001_10000"))</f>
        <v>5001_10000</v>
      </c>
      <c r="I456" s="8" t="str">
        <f t="shared" si="15"/>
        <v>|Engineer</v>
      </c>
    </row>
    <row r="457" spans="2:9" x14ac:dyDescent="0.25">
      <c r="B457" t="s">
        <v>20</v>
      </c>
      <c r="C457">
        <f t="shared" si="14"/>
        <v>206</v>
      </c>
      <c r="D457" cm="1">
        <f t="array" ref="D457">_xlfn.IFS(C457&lt;=50,7+10*(C457-1),C457&lt;=110,507+25*(C457-51),C457&lt;=170,2007+50*(C457-111),C457&lt;=250,5007+50*(C457-171))</f>
        <v>6757</v>
      </c>
      <c r="E457" t="str" cm="1">
        <f t="array" ref="E457">IF(D457="","",_xlfn.IFS(D457&lt;=500,"Top_500",D457&lt;=2000,"501_2000",D457&lt;=5000,"2001_5000",D457&lt;=10000,"5001_10000"))</f>
        <v>5001_10000</v>
      </c>
      <c r="I457" s="8" t="str">
        <f t="shared" si="15"/>
        <v>|Engineer</v>
      </c>
    </row>
    <row r="458" spans="2:9" x14ac:dyDescent="0.25">
      <c r="B458" t="s">
        <v>20</v>
      </c>
      <c r="C458">
        <f t="shared" si="14"/>
        <v>207</v>
      </c>
      <c r="D458" cm="1">
        <f t="array" ref="D458">_xlfn.IFS(C458&lt;=50,7+10*(C458-1),C458&lt;=110,507+25*(C458-51),C458&lt;=170,2007+50*(C458-111),C458&lt;=250,5007+50*(C458-171))</f>
        <v>6807</v>
      </c>
      <c r="E458" t="str" cm="1">
        <f t="array" ref="E458">IF(D458="","",_xlfn.IFS(D458&lt;=500,"Top_500",D458&lt;=2000,"501_2000",D458&lt;=5000,"2001_5000",D458&lt;=10000,"5001_10000"))</f>
        <v>5001_10000</v>
      </c>
      <c r="I458" s="8" t="str">
        <f t="shared" si="15"/>
        <v>|Engineer</v>
      </c>
    </row>
    <row r="459" spans="2:9" x14ac:dyDescent="0.25">
      <c r="B459" t="s">
        <v>20</v>
      </c>
      <c r="C459">
        <f t="shared" si="14"/>
        <v>208</v>
      </c>
      <c r="D459" cm="1">
        <f t="array" ref="D459">_xlfn.IFS(C459&lt;=50,7+10*(C459-1),C459&lt;=110,507+25*(C459-51),C459&lt;=170,2007+50*(C459-111),C459&lt;=250,5007+50*(C459-171))</f>
        <v>6857</v>
      </c>
      <c r="E459" t="str" cm="1">
        <f t="array" ref="E459">IF(D459="","",_xlfn.IFS(D459&lt;=500,"Top_500",D459&lt;=2000,"501_2000",D459&lt;=5000,"2001_5000",D459&lt;=10000,"5001_10000"))</f>
        <v>5001_10000</v>
      </c>
      <c r="I459" s="8" t="str">
        <f t="shared" si="15"/>
        <v>|Engineer</v>
      </c>
    </row>
    <row r="460" spans="2:9" x14ac:dyDescent="0.25">
      <c r="B460" t="s">
        <v>20</v>
      </c>
      <c r="C460">
        <f t="shared" si="14"/>
        <v>209</v>
      </c>
      <c r="D460" cm="1">
        <f t="array" ref="D460">_xlfn.IFS(C460&lt;=50,7+10*(C460-1),C460&lt;=110,507+25*(C460-51),C460&lt;=170,2007+50*(C460-111),C460&lt;=250,5007+50*(C460-171))</f>
        <v>6907</v>
      </c>
      <c r="E460" t="str" cm="1">
        <f t="array" ref="E460">IF(D460="","",_xlfn.IFS(D460&lt;=500,"Top_500",D460&lt;=2000,"501_2000",D460&lt;=5000,"2001_5000",D460&lt;=10000,"5001_10000"))</f>
        <v>5001_10000</v>
      </c>
      <c r="I460" s="8" t="str">
        <f t="shared" si="15"/>
        <v>|Engineer</v>
      </c>
    </row>
    <row r="461" spans="2:9" x14ac:dyDescent="0.25">
      <c r="B461" t="s">
        <v>20</v>
      </c>
      <c r="C461">
        <f t="shared" si="14"/>
        <v>210</v>
      </c>
      <c r="D461" cm="1">
        <f t="array" ref="D461">_xlfn.IFS(C461&lt;=50,7+10*(C461-1),C461&lt;=110,507+25*(C461-51),C461&lt;=170,2007+50*(C461-111),C461&lt;=250,5007+50*(C461-171))</f>
        <v>6957</v>
      </c>
      <c r="E461" t="str" cm="1">
        <f t="array" ref="E461">IF(D461="","",_xlfn.IFS(D461&lt;=500,"Top_500",D461&lt;=2000,"501_2000",D461&lt;=5000,"2001_5000",D461&lt;=10000,"5001_10000"))</f>
        <v>5001_10000</v>
      </c>
      <c r="I461" s="8" t="str">
        <f t="shared" si="15"/>
        <v>|Engineer</v>
      </c>
    </row>
    <row r="462" spans="2:9" x14ac:dyDescent="0.25">
      <c r="B462" t="s">
        <v>20</v>
      </c>
      <c r="C462">
        <f t="shared" si="14"/>
        <v>211</v>
      </c>
      <c r="D462" cm="1">
        <f t="array" ref="D462">_xlfn.IFS(C462&lt;=50,7+10*(C462-1),C462&lt;=110,507+25*(C462-51),C462&lt;=170,2007+50*(C462-111),C462&lt;=250,5007+50*(C462-171))</f>
        <v>7007</v>
      </c>
      <c r="E462" t="str" cm="1">
        <f t="array" ref="E462">IF(D462="","",_xlfn.IFS(D462&lt;=500,"Top_500",D462&lt;=2000,"501_2000",D462&lt;=5000,"2001_5000",D462&lt;=10000,"5001_10000"))</f>
        <v>5001_10000</v>
      </c>
      <c r="I462" s="8" t="str">
        <f t="shared" si="15"/>
        <v>|Engineer</v>
      </c>
    </row>
    <row r="463" spans="2:9" x14ac:dyDescent="0.25">
      <c r="B463" t="s">
        <v>20</v>
      </c>
      <c r="C463">
        <f t="shared" si="14"/>
        <v>212</v>
      </c>
      <c r="D463" cm="1">
        <f t="array" ref="D463">_xlfn.IFS(C463&lt;=50,7+10*(C463-1),C463&lt;=110,507+25*(C463-51),C463&lt;=170,2007+50*(C463-111),C463&lt;=250,5007+50*(C463-171))</f>
        <v>7057</v>
      </c>
      <c r="E463" t="str" cm="1">
        <f t="array" ref="E463">IF(D463="","",_xlfn.IFS(D463&lt;=500,"Top_500",D463&lt;=2000,"501_2000",D463&lt;=5000,"2001_5000",D463&lt;=10000,"5001_10000"))</f>
        <v>5001_10000</v>
      </c>
      <c r="I463" s="8" t="str">
        <f t="shared" si="15"/>
        <v>|Engineer</v>
      </c>
    </row>
    <row r="464" spans="2:9" x14ac:dyDescent="0.25">
      <c r="B464" t="s">
        <v>20</v>
      </c>
      <c r="C464">
        <f t="shared" si="14"/>
        <v>213</v>
      </c>
      <c r="D464" cm="1">
        <f t="array" ref="D464">_xlfn.IFS(C464&lt;=50,7+10*(C464-1),C464&lt;=110,507+25*(C464-51),C464&lt;=170,2007+50*(C464-111),C464&lt;=250,5007+50*(C464-171))</f>
        <v>7107</v>
      </c>
      <c r="E464" t="str" cm="1">
        <f t="array" ref="E464">IF(D464="","",_xlfn.IFS(D464&lt;=500,"Top_500",D464&lt;=2000,"501_2000",D464&lt;=5000,"2001_5000",D464&lt;=10000,"5001_10000"))</f>
        <v>5001_10000</v>
      </c>
      <c r="I464" s="8" t="str">
        <f t="shared" si="15"/>
        <v>|Engineer</v>
      </c>
    </row>
    <row r="465" spans="2:9" x14ac:dyDescent="0.25">
      <c r="B465" t="s">
        <v>20</v>
      </c>
      <c r="C465">
        <f t="shared" si="14"/>
        <v>214</v>
      </c>
      <c r="D465" cm="1">
        <f t="array" ref="D465">_xlfn.IFS(C465&lt;=50,7+10*(C465-1),C465&lt;=110,507+25*(C465-51),C465&lt;=170,2007+50*(C465-111),C465&lt;=250,5007+50*(C465-171))</f>
        <v>7157</v>
      </c>
      <c r="E465" t="str" cm="1">
        <f t="array" ref="E465">IF(D465="","",_xlfn.IFS(D465&lt;=500,"Top_500",D465&lt;=2000,"501_2000",D465&lt;=5000,"2001_5000",D465&lt;=10000,"5001_10000"))</f>
        <v>5001_10000</v>
      </c>
      <c r="I465" s="8" t="str">
        <f t="shared" si="15"/>
        <v>|Engineer</v>
      </c>
    </row>
    <row r="466" spans="2:9" x14ac:dyDescent="0.25">
      <c r="B466" t="s">
        <v>20</v>
      </c>
      <c r="C466">
        <f t="shared" si="14"/>
        <v>215</v>
      </c>
      <c r="D466" cm="1">
        <f t="array" ref="D466">_xlfn.IFS(C466&lt;=50,7+10*(C466-1),C466&lt;=110,507+25*(C466-51),C466&lt;=170,2007+50*(C466-111),C466&lt;=250,5007+50*(C466-171))</f>
        <v>7207</v>
      </c>
      <c r="E466" t="str" cm="1">
        <f t="array" ref="E466">IF(D466="","",_xlfn.IFS(D466&lt;=500,"Top_500",D466&lt;=2000,"501_2000",D466&lt;=5000,"2001_5000",D466&lt;=10000,"5001_10000"))</f>
        <v>5001_10000</v>
      </c>
      <c r="I466" s="8" t="str">
        <f t="shared" si="15"/>
        <v>|Engineer</v>
      </c>
    </row>
    <row r="467" spans="2:9" x14ac:dyDescent="0.25">
      <c r="B467" t="s">
        <v>20</v>
      </c>
      <c r="C467">
        <f t="shared" si="14"/>
        <v>216</v>
      </c>
      <c r="D467" cm="1">
        <f t="array" ref="D467">_xlfn.IFS(C467&lt;=50,7+10*(C467-1),C467&lt;=110,507+25*(C467-51),C467&lt;=170,2007+50*(C467-111),C467&lt;=250,5007+50*(C467-171))</f>
        <v>7257</v>
      </c>
      <c r="E467" t="str" cm="1">
        <f t="array" ref="E467">IF(D467="","",_xlfn.IFS(D467&lt;=500,"Top_500",D467&lt;=2000,"501_2000",D467&lt;=5000,"2001_5000",D467&lt;=10000,"5001_10000"))</f>
        <v>5001_10000</v>
      </c>
      <c r="I467" s="8" t="str">
        <f t="shared" si="15"/>
        <v>|Engineer</v>
      </c>
    </row>
    <row r="468" spans="2:9" x14ac:dyDescent="0.25">
      <c r="B468" t="s">
        <v>20</v>
      </c>
      <c r="C468">
        <f t="shared" si="14"/>
        <v>217</v>
      </c>
      <c r="D468" cm="1">
        <f t="array" ref="D468">_xlfn.IFS(C468&lt;=50,7+10*(C468-1),C468&lt;=110,507+25*(C468-51),C468&lt;=170,2007+50*(C468-111),C468&lt;=250,5007+50*(C468-171))</f>
        <v>7307</v>
      </c>
      <c r="E468" t="str" cm="1">
        <f t="array" ref="E468">IF(D468="","",_xlfn.IFS(D468&lt;=500,"Top_500",D468&lt;=2000,"501_2000",D468&lt;=5000,"2001_5000",D468&lt;=10000,"5001_10000"))</f>
        <v>5001_10000</v>
      </c>
      <c r="I468" s="8" t="str">
        <f t="shared" si="15"/>
        <v>|Engineer</v>
      </c>
    </row>
    <row r="469" spans="2:9" x14ac:dyDescent="0.25">
      <c r="B469" t="s">
        <v>20</v>
      </c>
      <c r="C469">
        <f t="shared" si="14"/>
        <v>218</v>
      </c>
      <c r="D469" cm="1">
        <f t="array" ref="D469">_xlfn.IFS(C469&lt;=50,7+10*(C469-1),C469&lt;=110,507+25*(C469-51),C469&lt;=170,2007+50*(C469-111),C469&lt;=250,5007+50*(C469-171))</f>
        <v>7357</v>
      </c>
      <c r="E469" t="str" cm="1">
        <f t="array" ref="E469">IF(D469="","",_xlfn.IFS(D469&lt;=500,"Top_500",D469&lt;=2000,"501_2000",D469&lt;=5000,"2001_5000",D469&lt;=10000,"5001_10000"))</f>
        <v>5001_10000</v>
      </c>
      <c r="I469" s="8" t="str">
        <f t="shared" si="15"/>
        <v>|Engineer</v>
      </c>
    </row>
    <row r="470" spans="2:9" x14ac:dyDescent="0.25">
      <c r="B470" t="s">
        <v>20</v>
      </c>
      <c r="C470">
        <f t="shared" si="14"/>
        <v>219</v>
      </c>
      <c r="D470" cm="1">
        <f t="array" ref="D470">_xlfn.IFS(C470&lt;=50,7+10*(C470-1),C470&lt;=110,507+25*(C470-51),C470&lt;=170,2007+50*(C470-111),C470&lt;=250,5007+50*(C470-171))</f>
        <v>7407</v>
      </c>
      <c r="E470" t="str" cm="1">
        <f t="array" ref="E470">IF(D470="","",_xlfn.IFS(D470&lt;=500,"Top_500",D470&lt;=2000,"501_2000",D470&lt;=5000,"2001_5000",D470&lt;=10000,"5001_10000"))</f>
        <v>5001_10000</v>
      </c>
      <c r="I470" s="8" t="str">
        <f t="shared" si="15"/>
        <v>|Engineer</v>
      </c>
    </row>
    <row r="471" spans="2:9" x14ac:dyDescent="0.25">
      <c r="B471" t="s">
        <v>20</v>
      </c>
      <c r="C471">
        <f t="shared" si="14"/>
        <v>220</v>
      </c>
      <c r="D471" cm="1">
        <f t="array" ref="D471">_xlfn.IFS(C471&lt;=50,7+10*(C471-1),C471&lt;=110,507+25*(C471-51),C471&lt;=170,2007+50*(C471-111),C471&lt;=250,5007+50*(C471-171))</f>
        <v>7457</v>
      </c>
      <c r="E471" t="str" cm="1">
        <f t="array" ref="E471">IF(D471="","",_xlfn.IFS(D471&lt;=500,"Top_500",D471&lt;=2000,"501_2000",D471&lt;=5000,"2001_5000",D471&lt;=10000,"5001_10000"))</f>
        <v>5001_10000</v>
      </c>
      <c r="I471" s="8" t="str">
        <f t="shared" si="15"/>
        <v>|Engineer</v>
      </c>
    </row>
    <row r="472" spans="2:9" x14ac:dyDescent="0.25">
      <c r="B472" t="s">
        <v>20</v>
      </c>
      <c r="C472">
        <f t="shared" si="14"/>
        <v>221</v>
      </c>
      <c r="D472" cm="1">
        <f t="array" ref="D472">_xlfn.IFS(C472&lt;=50,7+10*(C472-1),C472&lt;=110,507+25*(C472-51),C472&lt;=170,2007+50*(C472-111),C472&lt;=250,5007+50*(C472-171))</f>
        <v>7507</v>
      </c>
      <c r="E472" t="str" cm="1">
        <f t="array" ref="E472">IF(D472="","",_xlfn.IFS(D472&lt;=500,"Top_500",D472&lt;=2000,"501_2000",D472&lt;=5000,"2001_5000",D472&lt;=10000,"5001_10000"))</f>
        <v>5001_10000</v>
      </c>
      <c r="I472" s="8" t="str">
        <f t="shared" si="15"/>
        <v>|Engineer</v>
      </c>
    </row>
    <row r="473" spans="2:9" x14ac:dyDescent="0.25">
      <c r="B473" t="s">
        <v>20</v>
      </c>
      <c r="C473">
        <f t="shared" si="14"/>
        <v>222</v>
      </c>
      <c r="D473" cm="1">
        <f t="array" ref="D473">_xlfn.IFS(C473&lt;=50,7+10*(C473-1),C473&lt;=110,507+25*(C473-51),C473&lt;=170,2007+50*(C473-111),C473&lt;=250,5007+50*(C473-171))</f>
        <v>7557</v>
      </c>
      <c r="E473" t="str" cm="1">
        <f t="array" ref="E473">IF(D473="","",_xlfn.IFS(D473&lt;=500,"Top_500",D473&lt;=2000,"501_2000",D473&lt;=5000,"2001_5000",D473&lt;=10000,"5001_10000"))</f>
        <v>5001_10000</v>
      </c>
      <c r="I473" s="8" t="str">
        <f t="shared" si="15"/>
        <v>|Engineer</v>
      </c>
    </row>
    <row r="474" spans="2:9" x14ac:dyDescent="0.25">
      <c r="B474" t="s">
        <v>20</v>
      </c>
      <c r="C474">
        <f t="shared" si="14"/>
        <v>223</v>
      </c>
      <c r="D474" cm="1">
        <f t="array" ref="D474">_xlfn.IFS(C474&lt;=50,7+10*(C474-1),C474&lt;=110,507+25*(C474-51),C474&lt;=170,2007+50*(C474-111),C474&lt;=250,5007+50*(C474-171))</f>
        <v>7607</v>
      </c>
      <c r="E474" t="str" cm="1">
        <f t="array" ref="E474">IF(D474="","",_xlfn.IFS(D474&lt;=500,"Top_500",D474&lt;=2000,"501_2000",D474&lt;=5000,"2001_5000",D474&lt;=10000,"5001_10000"))</f>
        <v>5001_10000</v>
      </c>
      <c r="I474" s="8" t="str">
        <f t="shared" si="15"/>
        <v>|Engineer</v>
      </c>
    </row>
    <row r="475" spans="2:9" x14ac:dyDescent="0.25">
      <c r="B475" t="s">
        <v>20</v>
      </c>
      <c r="C475">
        <f t="shared" si="14"/>
        <v>224</v>
      </c>
      <c r="D475" cm="1">
        <f t="array" ref="D475">_xlfn.IFS(C475&lt;=50,7+10*(C475-1),C475&lt;=110,507+25*(C475-51),C475&lt;=170,2007+50*(C475-111),C475&lt;=250,5007+50*(C475-171))</f>
        <v>7657</v>
      </c>
      <c r="E475" t="str" cm="1">
        <f t="array" ref="E475">IF(D475="","",_xlfn.IFS(D475&lt;=500,"Top_500",D475&lt;=2000,"501_2000",D475&lt;=5000,"2001_5000",D475&lt;=10000,"5001_10000"))</f>
        <v>5001_10000</v>
      </c>
      <c r="I475" s="8" t="str">
        <f t="shared" si="15"/>
        <v>|Engineer</v>
      </c>
    </row>
    <row r="476" spans="2:9" x14ac:dyDescent="0.25">
      <c r="B476" t="s">
        <v>20</v>
      </c>
      <c r="C476">
        <f t="shared" si="14"/>
        <v>225</v>
      </c>
      <c r="D476" cm="1">
        <f t="array" ref="D476">_xlfn.IFS(C476&lt;=50,7+10*(C476-1),C476&lt;=110,507+25*(C476-51),C476&lt;=170,2007+50*(C476-111),C476&lt;=250,5007+50*(C476-171))</f>
        <v>7707</v>
      </c>
      <c r="E476" t="str" cm="1">
        <f t="array" ref="E476">IF(D476="","",_xlfn.IFS(D476&lt;=500,"Top_500",D476&lt;=2000,"501_2000",D476&lt;=5000,"2001_5000",D476&lt;=10000,"5001_10000"))</f>
        <v>5001_10000</v>
      </c>
      <c r="I476" s="8" t="str">
        <f t="shared" si="15"/>
        <v>|Engineer</v>
      </c>
    </row>
    <row r="477" spans="2:9" x14ac:dyDescent="0.25">
      <c r="B477" t="s">
        <v>20</v>
      </c>
      <c r="C477">
        <f t="shared" si="14"/>
        <v>226</v>
      </c>
      <c r="D477" cm="1">
        <f t="array" ref="D477">_xlfn.IFS(C477&lt;=50,7+10*(C477-1),C477&lt;=110,507+25*(C477-51),C477&lt;=170,2007+50*(C477-111),C477&lt;=250,5007+50*(C477-171))</f>
        <v>7757</v>
      </c>
      <c r="E477" t="str" cm="1">
        <f t="array" ref="E477">IF(D477="","",_xlfn.IFS(D477&lt;=500,"Top_500",D477&lt;=2000,"501_2000",D477&lt;=5000,"2001_5000",D477&lt;=10000,"5001_10000"))</f>
        <v>5001_10000</v>
      </c>
      <c r="I477" s="8" t="str">
        <f t="shared" si="15"/>
        <v>|Engineer</v>
      </c>
    </row>
    <row r="478" spans="2:9" x14ac:dyDescent="0.25">
      <c r="B478" t="s">
        <v>20</v>
      </c>
      <c r="C478">
        <f t="shared" si="14"/>
        <v>227</v>
      </c>
      <c r="D478" cm="1">
        <f t="array" ref="D478">_xlfn.IFS(C478&lt;=50,7+10*(C478-1),C478&lt;=110,507+25*(C478-51),C478&lt;=170,2007+50*(C478-111),C478&lt;=250,5007+50*(C478-171))</f>
        <v>7807</v>
      </c>
      <c r="E478" t="str" cm="1">
        <f t="array" ref="E478">IF(D478="","",_xlfn.IFS(D478&lt;=500,"Top_500",D478&lt;=2000,"501_2000",D478&lt;=5000,"2001_5000",D478&lt;=10000,"5001_10000"))</f>
        <v>5001_10000</v>
      </c>
      <c r="I478" s="8" t="str">
        <f t="shared" si="15"/>
        <v>|Engineer</v>
      </c>
    </row>
    <row r="479" spans="2:9" x14ac:dyDescent="0.25">
      <c r="B479" t="s">
        <v>20</v>
      </c>
      <c r="C479">
        <f t="shared" si="14"/>
        <v>228</v>
      </c>
      <c r="D479" cm="1">
        <f t="array" ref="D479">_xlfn.IFS(C479&lt;=50,7+10*(C479-1),C479&lt;=110,507+25*(C479-51),C479&lt;=170,2007+50*(C479-111),C479&lt;=250,5007+50*(C479-171))</f>
        <v>7857</v>
      </c>
      <c r="E479" t="str" cm="1">
        <f t="array" ref="E479">IF(D479="","",_xlfn.IFS(D479&lt;=500,"Top_500",D479&lt;=2000,"501_2000",D479&lt;=5000,"2001_5000",D479&lt;=10000,"5001_10000"))</f>
        <v>5001_10000</v>
      </c>
      <c r="I479" s="8" t="str">
        <f t="shared" si="15"/>
        <v>|Engineer</v>
      </c>
    </row>
    <row r="480" spans="2:9" x14ac:dyDescent="0.25">
      <c r="B480" t="s">
        <v>20</v>
      </c>
      <c r="C480">
        <f t="shared" si="14"/>
        <v>229</v>
      </c>
      <c r="D480" cm="1">
        <f t="array" ref="D480">_xlfn.IFS(C480&lt;=50,7+10*(C480-1),C480&lt;=110,507+25*(C480-51),C480&lt;=170,2007+50*(C480-111),C480&lt;=250,5007+50*(C480-171))</f>
        <v>7907</v>
      </c>
      <c r="E480" t="str" cm="1">
        <f t="array" ref="E480">IF(D480="","",_xlfn.IFS(D480&lt;=500,"Top_500",D480&lt;=2000,"501_2000",D480&lt;=5000,"2001_5000",D480&lt;=10000,"5001_10000"))</f>
        <v>5001_10000</v>
      </c>
      <c r="I480" s="8" t="str">
        <f t="shared" si="15"/>
        <v>|Engineer</v>
      </c>
    </row>
    <row r="481" spans="2:9" x14ac:dyDescent="0.25">
      <c r="B481" t="s">
        <v>20</v>
      </c>
      <c r="C481">
        <f t="shared" si="14"/>
        <v>230</v>
      </c>
      <c r="D481" cm="1">
        <f t="array" ref="D481">_xlfn.IFS(C481&lt;=50,7+10*(C481-1),C481&lt;=110,507+25*(C481-51),C481&lt;=170,2007+50*(C481-111),C481&lt;=250,5007+50*(C481-171))</f>
        <v>7957</v>
      </c>
      <c r="E481" t="str" cm="1">
        <f t="array" ref="E481">IF(D481="","",_xlfn.IFS(D481&lt;=500,"Top_500",D481&lt;=2000,"501_2000",D481&lt;=5000,"2001_5000",D481&lt;=10000,"5001_10000"))</f>
        <v>5001_10000</v>
      </c>
      <c r="I481" s="8" t="str">
        <f t="shared" si="15"/>
        <v>|Engineer</v>
      </c>
    </row>
    <row r="482" spans="2:9" x14ac:dyDescent="0.25">
      <c r="B482" t="s">
        <v>20</v>
      </c>
      <c r="C482">
        <f t="shared" si="14"/>
        <v>231</v>
      </c>
      <c r="D482" cm="1">
        <f t="array" ref="D482">_xlfn.IFS(C482&lt;=50,7+10*(C482-1),C482&lt;=110,507+25*(C482-51),C482&lt;=170,2007+50*(C482-111),C482&lt;=250,5007+50*(C482-171))</f>
        <v>8007</v>
      </c>
      <c r="E482" t="str" cm="1">
        <f t="array" ref="E482">IF(D482="","",_xlfn.IFS(D482&lt;=500,"Top_500",D482&lt;=2000,"501_2000",D482&lt;=5000,"2001_5000",D482&lt;=10000,"5001_10000"))</f>
        <v>5001_10000</v>
      </c>
      <c r="I482" s="8" t="str">
        <f t="shared" si="15"/>
        <v>|Engineer</v>
      </c>
    </row>
    <row r="483" spans="2:9" x14ac:dyDescent="0.25">
      <c r="B483" t="s">
        <v>20</v>
      </c>
      <c r="C483">
        <f t="shared" si="14"/>
        <v>232</v>
      </c>
      <c r="D483" cm="1">
        <f t="array" ref="D483">_xlfn.IFS(C483&lt;=50,7+10*(C483-1),C483&lt;=110,507+25*(C483-51),C483&lt;=170,2007+50*(C483-111),C483&lt;=250,5007+50*(C483-171))</f>
        <v>8057</v>
      </c>
      <c r="E483" t="str" cm="1">
        <f t="array" ref="E483">IF(D483="","",_xlfn.IFS(D483&lt;=500,"Top_500",D483&lt;=2000,"501_2000",D483&lt;=5000,"2001_5000",D483&lt;=10000,"5001_10000"))</f>
        <v>5001_10000</v>
      </c>
      <c r="I483" s="8" t="str">
        <f t="shared" si="15"/>
        <v>|Engineer</v>
      </c>
    </row>
    <row r="484" spans="2:9" x14ac:dyDescent="0.25">
      <c r="B484" t="s">
        <v>20</v>
      </c>
      <c r="C484">
        <f t="shared" si="14"/>
        <v>233</v>
      </c>
      <c r="D484" cm="1">
        <f t="array" ref="D484">_xlfn.IFS(C484&lt;=50,7+10*(C484-1),C484&lt;=110,507+25*(C484-51),C484&lt;=170,2007+50*(C484-111),C484&lt;=250,5007+50*(C484-171))</f>
        <v>8107</v>
      </c>
      <c r="E484" t="str" cm="1">
        <f t="array" ref="E484">IF(D484="","",_xlfn.IFS(D484&lt;=500,"Top_500",D484&lt;=2000,"501_2000",D484&lt;=5000,"2001_5000",D484&lt;=10000,"5001_10000"))</f>
        <v>5001_10000</v>
      </c>
      <c r="I484" s="8" t="str">
        <f t="shared" si="15"/>
        <v>|Engineer</v>
      </c>
    </row>
    <row r="485" spans="2:9" x14ac:dyDescent="0.25">
      <c r="B485" t="s">
        <v>20</v>
      </c>
      <c r="C485">
        <f t="shared" si="14"/>
        <v>234</v>
      </c>
      <c r="D485" cm="1">
        <f t="array" ref="D485">_xlfn.IFS(C485&lt;=50,7+10*(C485-1),C485&lt;=110,507+25*(C485-51),C485&lt;=170,2007+50*(C485-111),C485&lt;=250,5007+50*(C485-171))</f>
        <v>8157</v>
      </c>
      <c r="E485" t="str" cm="1">
        <f t="array" ref="E485">IF(D485="","",_xlfn.IFS(D485&lt;=500,"Top_500",D485&lt;=2000,"501_2000",D485&lt;=5000,"2001_5000",D485&lt;=10000,"5001_10000"))</f>
        <v>5001_10000</v>
      </c>
      <c r="I485" s="8" t="str">
        <f t="shared" si="15"/>
        <v>|Engineer</v>
      </c>
    </row>
    <row r="486" spans="2:9" x14ac:dyDescent="0.25">
      <c r="B486" t="s">
        <v>20</v>
      </c>
      <c r="C486">
        <f t="shared" si="14"/>
        <v>235</v>
      </c>
      <c r="D486" cm="1">
        <f t="array" ref="D486">_xlfn.IFS(C486&lt;=50,7+10*(C486-1),C486&lt;=110,507+25*(C486-51),C486&lt;=170,2007+50*(C486-111),C486&lt;=250,5007+50*(C486-171))</f>
        <v>8207</v>
      </c>
      <c r="E486" t="str" cm="1">
        <f t="array" ref="E486">IF(D486="","",_xlfn.IFS(D486&lt;=500,"Top_500",D486&lt;=2000,"501_2000",D486&lt;=5000,"2001_5000",D486&lt;=10000,"5001_10000"))</f>
        <v>5001_10000</v>
      </c>
      <c r="I486" s="8" t="str">
        <f t="shared" si="15"/>
        <v>|Engineer</v>
      </c>
    </row>
    <row r="487" spans="2:9" x14ac:dyDescent="0.25">
      <c r="B487" t="s">
        <v>20</v>
      </c>
      <c r="C487">
        <f t="shared" si="14"/>
        <v>236</v>
      </c>
      <c r="D487" cm="1">
        <f t="array" ref="D487">_xlfn.IFS(C487&lt;=50,7+10*(C487-1),C487&lt;=110,507+25*(C487-51),C487&lt;=170,2007+50*(C487-111),C487&lt;=250,5007+50*(C487-171))</f>
        <v>8257</v>
      </c>
      <c r="E487" t="str" cm="1">
        <f t="array" ref="E487">IF(D487="","",_xlfn.IFS(D487&lt;=500,"Top_500",D487&lt;=2000,"501_2000",D487&lt;=5000,"2001_5000",D487&lt;=10000,"5001_10000"))</f>
        <v>5001_10000</v>
      </c>
      <c r="I487" s="8" t="str">
        <f t="shared" si="15"/>
        <v>|Engineer</v>
      </c>
    </row>
    <row r="488" spans="2:9" x14ac:dyDescent="0.25">
      <c r="B488" t="s">
        <v>20</v>
      </c>
      <c r="C488">
        <f t="shared" si="14"/>
        <v>237</v>
      </c>
      <c r="D488" cm="1">
        <f t="array" ref="D488">_xlfn.IFS(C488&lt;=50,7+10*(C488-1),C488&lt;=110,507+25*(C488-51),C488&lt;=170,2007+50*(C488-111),C488&lt;=250,5007+50*(C488-171))</f>
        <v>8307</v>
      </c>
      <c r="E488" t="str" cm="1">
        <f t="array" ref="E488">IF(D488="","",_xlfn.IFS(D488&lt;=500,"Top_500",D488&lt;=2000,"501_2000",D488&lt;=5000,"2001_5000",D488&lt;=10000,"5001_10000"))</f>
        <v>5001_10000</v>
      </c>
      <c r="I488" s="8" t="str">
        <f t="shared" si="15"/>
        <v>|Engineer</v>
      </c>
    </row>
    <row r="489" spans="2:9" x14ac:dyDescent="0.25">
      <c r="B489" t="s">
        <v>20</v>
      </c>
      <c r="C489">
        <f t="shared" si="14"/>
        <v>238</v>
      </c>
      <c r="D489" cm="1">
        <f t="array" ref="D489">_xlfn.IFS(C489&lt;=50,7+10*(C489-1),C489&lt;=110,507+25*(C489-51),C489&lt;=170,2007+50*(C489-111),C489&lt;=250,5007+50*(C489-171))</f>
        <v>8357</v>
      </c>
      <c r="E489" t="str" cm="1">
        <f t="array" ref="E489">IF(D489="","",_xlfn.IFS(D489&lt;=500,"Top_500",D489&lt;=2000,"501_2000",D489&lt;=5000,"2001_5000",D489&lt;=10000,"5001_10000"))</f>
        <v>5001_10000</v>
      </c>
      <c r="I489" s="8" t="str">
        <f t="shared" si="15"/>
        <v>|Engineer</v>
      </c>
    </row>
    <row r="490" spans="2:9" x14ac:dyDescent="0.25">
      <c r="B490" t="s">
        <v>20</v>
      </c>
      <c r="C490">
        <f t="shared" si="14"/>
        <v>239</v>
      </c>
      <c r="D490" cm="1">
        <f t="array" ref="D490">_xlfn.IFS(C490&lt;=50,7+10*(C490-1),C490&lt;=110,507+25*(C490-51),C490&lt;=170,2007+50*(C490-111),C490&lt;=250,5007+50*(C490-171))</f>
        <v>8407</v>
      </c>
      <c r="E490" t="str" cm="1">
        <f t="array" ref="E490">IF(D490="","",_xlfn.IFS(D490&lt;=500,"Top_500",D490&lt;=2000,"501_2000",D490&lt;=5000,"2001_5000",D490&lt;=10000,"5001_10000"))</f>
        <v>5001_10000</v>
      </c>
      <c r="I490" s="8" t="str">
        <f t="shared" si="15"/>
        <v>|Engineer</v>
      </c>
    </row>
    <row r="491" spans="2:9" x14ac:dyDescent="0.25">
      <c r="B491" t="s">
        <v>20</v>
      </c>
      <c r="C491">
        <f t="shared" si="14"/>
        <v>240</v>
      </c>
      <c r="D491" cm="1">
        <f t="array" ref="D491">_xlfn.IFS(C491&lt;=50,7+10*(C491-1),C491&lt;=110,507+25*(C491-51),C491&lt;=170,2007+50*(C491-111),C491&lt;=250,5007+50*(C491-171))</f>
        <v>8457</v>
      </c>
      <c r="E491" t="str" cm="1">
        <f t="array" ref="E491">IF(D491="","",_xlfn.IFS(D491&lt;=500,"Top_500",D491&lt;=2000,"501_2000",D491&lt;=5000,"2001_5000",D491&lt;=10000,"5001_10000"))</f>
        <v>5001_10000</v>
      </c>
      <c r="I491" s="8" t="str">
        <f t="shared" si="15"/>
        <v>|Engineer</v>
      </c>
    </row>
    <row r="492" spans="2:9" x14ac:dyDescent="0.25">
      <c r="B492" t="s">
        <v>20</v>
      </c>
      <c r="C492">
        <f t="shared" si="14"/>
        <v>241</v>
      </c>
      <c r="D492" cm="1">
        <f t="array" ref="D492">_xlfn.IFS(C492&lt;=50,7+10*(C492-1),C492&lt;=110,507+25*(C492-51),C492&lt;=170,2007+50*(C492-111),C492&lt;=250,5007+50*(C492-171))</f>
        <v>8507</v>
      </c>
      <c r="E492" t="str" cm="1">
        <f t="array" ref="E492">IF(D492="","",_xlfn.IFS(D492&lt;=500,"Top_500",D492&lt;=2000,"501_2000",D492&lt;=5000,"2001_5000",D492&lt;=10000,"5001_10000"))</f>
        <v>5001_10000</v>
      </c>
      <c r="I492" s="8" t="str">
        <f t="shared" si="15"/>
        <v>|Engineer</v>
      </c>
    </row>
    <row r="493" spans="2:9" x14ac:dyDescent="0.25">
      <c r="B493" t="s">
        <v>20</v>
      </c>
      <c r="C493">
        <f t="shared" si="14"/>
        <v>242</v>
      </c>
      <c r="D493" cm="1">
        <f t="array" ref="D493">_xlfn.IFS(C493&lt;=50,7+10*(C493-1),C493&lt;=110,507+25*(C493-51),C493&lt;=170,2007+50*(C493-111),C493&lt;=250,5007+50*(C493-171))</f>
        <v>8557</v>
      </c>
      <c r="E493" t="str" cm="1">
        <f t="array" ref="E493">IF(D493="","",_xlfn.IFS(D493&lt;=500,"Top_500",D493&lt;=2000,"501_2000",D493&lt;=5000,"2001_5000",D493&lt;=10000,"5001_10000"))</f>
        <v>5001_10000</v>
      </c>
      <c r="I493" s="8" t="str">
        <f t="shared" si="15"/>
        <v>|Engineer</v>
      </c>
    </row>
    <row r="494" spans="2:9" x14ac:dyDescent="0.25">
      <c r="B494" t="s">
        <v>20</v>
      </c>
      <c r="C494">
        <f t="shared" si="14"/>
        <v>243</v>
      </c>
      <c r="D494" cm="1">
        <f t="array" ref="D494">_xlfn.IFS(C494&lt;=50,7+10*(C494-1),C494&lt;=110,507+25*(C494-51),C494&lt;=170,2007+50*(C494-111),C494&lt;=250,5007+50*(C494-171))</f>
        <v>8607</v>
      </c>
      <c r="E494" t="str" cm="1">
        <f t="array" ref="E494">IF(D494="","",_xlfn.IFS(D494&lt;=500,"Top_500",D494&lt;=2000,"501_2000",D494&lt;=5000,"2001_5000",D494&lt;=10000,"5001_10000"))</f>
        <v>5001_10000</v>
      </c>
      <c r="I494" s="8" t="str">
        <f t="shared" si="15"/>
        <v>|Engineer</v>
      </c>
    </row>
    <row r="495" spans="2:9" x14ac:dyDescent="0.25">
      <c r="B495" t="s">
        <v>20</v>
      </c>
      <c r="C495">
        <f t="shared" si="14"/>
        <v>244</v>
      </c>
      <c r="D495" cm="1">
        <f t="array" ref="D495">_xlfn.IFS(C495&lt;=50,7+10*(C495-1),C495&lt;=110,507+25*(C495-51),C495&lt;=170,2007+50*(C495-111),C495&lt;=250,5007+50*(C495-171))</f>
        <v>8657</v>
      </c>
      <c r="E495" t="str" cm="1">
        <f t="array" ref="E495">IF(D495="","",_xlfn.IFS(D495&lt;=500,"Top_500",D495&lt;=2000,"501_2000",D495&lt;=5000,"2001_5000",D495&lt;=10000,"5001_10000"))</f>
        <v>5001_10000</v>
      </c>
      <c r="I495" s="8" t="str">
        <f t="shared" si="15"/>
        <v>|Engineer</v>
      </c>
    </row>
    <row r="496" spans="2:9" x14ac:dyDescent="0.25">
      <c r="B496" t="s">
        <v>20</v>
      </c>
      <c r="C496">
        <f t="shared" si="14"/>
        <v>245</v>
      </c>
      <c r="D496" cm="1">
        <f t="array" ref="D496">_xlfn.IFS(C496&lt;=50,7+10*(C496-1),C496&lt;=110,507+25*(C496-51),C496&lt;=170,2007+50*(C496-111),C496&lt;=250,5007+50*(C496-171))</f>
        <v>8707</v>
      </c>
      <c r="E496" t="str" cm="1">
        <f t="array" ref="E496">IF(D496="","",_xlfn.IFS(D496&lt;=500,"Top_500",D496&lt;=2000,"501_2000",D496&lt;=5000,"2001_5000",D496&lt;=10000,"5001_10000"))</f>
        <v>5001_10000</v>
      </c>
      <c r="I496" s="8" t="str">
        <f t="shared" si="15"/>
        <v>|Engineer</v>
      </c>
    </row>
    <row r="497" spans="1:9" x14ac:dyDescent="0.25">
      <c r="B497" t="s">
        <v>20</v>
      </c>
      <c r="C497">
        <f t="shared" si="14"/>
        <v>246</v>
      </c>
      <c r="D497" cm="1">
        <f t="array" ref="D497">_xlfn.IFS(C497&lt;=50,7+10*(C497-1),C497&lt;=110,507+25*(C497-51),C497&lt;=170,2007+50*(C497-111),C497&lt;=250,5007+50*(C497-171))</f>
        <v>8757</v>
      </c>
      <c r="E497" t="str" cm="1">
        <f t="array" ref="E497">IF(D497="","",_xlfn.IFS(D497&lt;=500,"Top_500",D497&lt;=2000,"501_2000",D497&lt;=5000,"2001_5000",D497&lt;=10000,"5001_10000"))</f>
        <v>5001_10000</v>
      </c>
      <c r="I497" s="8" t="str">
        <f t="shared" si="15"/>
        <v>|Engineer</v>
      </c>
    </row>
    <row r="498" spans="1:9" x14ac:dyDescent="0.25">
      <c r="B498" t="s">
        <v>20</v>
      </c>
      <c r="C498">
        <f t="shared" si="14"/>
        <v>247</v>
      </c>
      <c r="D498" cm="1">
        <f t="array" ref="D498">_xlfn.IFS(C498&lt;=50,7+10*(C498-1),C498&lt;=110,507+25*(C498-51),C498&lt;=170,2007+50*(C498-111),C498&lt;=250,5007+50*(C498-171))</f>
        <v>8807</v>
      </c>
      <c r="E498" t="str" cm="1">
        <f t="array" ref="E498">IF(D498="","",_xlfn.IFS(D498&lt;=500,"Top_500",D498&lt;=2000,"501_2000",D498&lt;=5000,"2001_5000",D498&lt;=10000,"5001_10000"))</f>
        <v>5001_10000</v>
      </c>
      <c r="I498" s="8" t="str">
        <f t="shared" si="15"/>
        <v>|Engineer</v>
      </c>
    </row>
    <row r="499" spans="1:9" x14ac:dyDescent="0.25">
      <c r="B499" t="s">
        <v>20</v>
      </c>
      <c r="C499">
        <f t="shared" si="14"/>
        <v>248</v>
      </c>
      <c r="D499" cm="1">
        <f t="array" ref="D499">_xlfn.IFS(C499&lt;=50,7+10*(C499-1),C499&lt;=110,507+25*(C499-51),C499&lt;=170,2007+50*(C499-111),C499&lt;=250,5007+50*(C499-171))</f>
        <v>8857</v>
      </c>
      <c r="E499" t="str" cm="1">
        <f t="array" ref="E499">IF(D499="","",_xlfn.IFS(D499&lt;=500,"Top_500",D499&lt;=2000,"501_2000",D499&lt;=5000,"2001_5000",D499&lt;=10000,"5001_10000"))</f>
        <v>5001_10000</v>
      </c>
      <c r="I499" s="8" t="str">
        <f t="shared" si="15"/>
        <v>|Engineer</v>
      </c>
    </row>
    <row r="500" spans="1:9" x14ac:dyDescent="0.25">
      <c r="B500" t="s">
        <v>20</v>
      </c>
      <c r="C500">
        <f t="shared" si="14"/>
        <v>249</v>
      </c>
      <c r="D500" cm="1">
        <f t="array" ref="D500">_xlfn.IFS(C500&lt;=50,7+10*(C500-1),C500&lt;=110,507+25*(C500-51),C500&lt;=170,2007+50*(C500-111),C500&lt;=250,5007+50*(C500-171))</f>
        <v>8907</v>
      </c>
      <c r="E500" t="str" cm="1">
        <f t="array" ref="E500">IF(D500="","",_xlfn.IFS(D500&lt;=500,"Top_500",D500&lt;=2000,"501_2000",D500&lt;=5000,"2001_5000",D500&lt;=10000,"5001_10000"))</f>
        <v>5001_10000</v>
      </c>
      <c r="I500" s="8" t="str">
        <f t="shared" si="15"/>
        <v>|Engineer</v>
      </c>
    </row>
    <row r="501" spans="1:9" x14ac:dyDescent="0.25">
      <c r="B501" t="s">
        <v>20</v>
      </c>
      <c r="C501">
        <f t="shared" si="14"/>
        <v>250</v>
      </c>
      <c r="D501" cm="1">
        <f t="array" ref="D501">_xlfn.IFS(C501&lt;=50,7+10*(C501-1),C501&lt;=110,507+25*(C501-51),C501&lt;=170,2007+50*(C501-111),C501&lt;=250,5007+50*(C501-171))</f>
        <v>8957</v>
      </c>
      <c r="E501" t="str" cm="1">
        <f t="array" ref="E501">IF(D501="","",_xlfn.IFS(D501&lt;=500,"Top_500",D501&lt;=2000,"501_2000",D501&lt;=5000,"2001_5000",D501&lt;=10000,"5001_10000"))</f>
        <v>5001_10000</v>
      </c>
      <c r="I501" s="8" t="str">
        <f t="shared" si="15"/>
        <v>|Engineer</v>
      </c>
    </row>
    <row r="502" spans="1:9" x14ac:dyDescent="0.25">
      <c r="A502" t="s">
        <v>150</v>
      </c>
      <c r="B502" t="s">
        <v>22</v>
      </c>
      <c r="C502">
        <f t="shared" si="14"/>
        <v>1</v>
      </c>
      <c r="D502" cm="1">
        <f t="array" ref="D502">_xlfn.IFS(C502&lt;=50,7+10*(C502-1),C502&lt;=110,507+25*(C502-51),C502&lt;=170,2007+50*(C502-111),C502&lt;=250,5007+50*(C502-171))</f>
        <v>7</v>
      </c>
      <c r="E502" t="str" cm="1">
        <f t="array" ref="E502">IF(D502="","",_xlfn.IFS(D502&lt;=500,"Top_500",D502&lt;=2000,"501_2000",D502&lt;=5000,"2001_5000",D502&lt;=10000,"5001_10000"))</f>
        <v>Top_500</v>
      </c>
      <c r="F502">
        <v>21169</v>
      </c>
      <c r="G502">
        <v>476</v>
      </c>
      <c r="H502" s="13">
        <v>46048</v>
      </c>
      <c r="I502" s="8" t="str">
        <f t="shared" si="15"/>
        <v>ImKruss|Recon</v>
      </c>
    </row>
    <row r="503" spans="1:9" x14ac:dyDescent="0.25">
      <c r="A503" t="s">
        <v>151</v>
      </c>
      <c r="B503" t="s">
        <v>22</v>
      </c>
      <c r="C503">
        <f t="shared" si="14"/>
        <v>2</v>
      </c>
      <c r="D503" cm="1">
        <f t="array" ref="D503">_xlfn.IFS(C503&lt;=50,7+10*(C503-1),C503&lt;=110,507+25*(C503-51),C503&lt;=170,2007+50*(C503-111),C503&lt;=250,5007+50*(C503-171))</f>
        <v>17</v>
      </c>
      <c r="E503" t="str" cm="1">
        <f t="array" ref="E503">IF(D503="","",_xlfn.IFS(D503&lt;=500,"Top_500",D503&lt;=2000,"501_2000",D503&lt;=5000,"2001_5000",D503&lt;=10000,"5001_10000"))</f>
        <v>Top_500</v>
      </c>
      <c r="F503">
        <v>17330</v>
      </c>
      <c r="G503">
        <v>285</v>
      </c>
      <c r="H503" s="13">
        <v>46048</v>
      </c>
      <c r="I503" s="8" t="str">
        <f t="shared" si="15"/>
        <v>RASHxYT|Recon</v>
      </c>
    </row>
    <row r="504" spans="1:9" x14ac:dyDescent="0.25">
      <c r="A504" t="s">
        <v>152</v>
      </c>
      <c r="B504" t="s">
        <v>22</v>
      </c>
      <c r="C504">
        <f t="shared" si="14"/>
        <v>3</v>
      </c>
      <c r="D504" cm="1">
        <f t="array" ref="D504">_xlfn.IFS(C504&lt;=50,7+10*(C504-1),C504&lt;=110,507+25*(C504-51),C504&lt;=170,2007+50*(C504-111),C504&lt;=250,5007+50*(C504-171))</f>
        <v>27</v>
      </c>
      <c r="E504" t="str" cm="1">
        <f t="array" ref="E504">IF(D504="","",_xlfn.IFS(D504&lt;=500,"Top_500",D504&lt;=2000,"501_2000",D504&lt;=5000,"2001_5000",D504&lt;=10000,"5001_10000"))</f>
        <v>Top_500</v>
      </c>
      <c r="F504">
        <v>15653</v>
      </c>
      <c r="G504">
        <v>267</v>
      </c>
      <c r="H504" s="13">
        <v>46048</v>
      </c>
      <c r="I504" s="8" t="str">
        <f t="shared" si="15"/>
        <v>AutomotiveVP|Recon</v>
      </c>
    </row>
    <row r="505" spans="1:9" x14ac:dyDescent="0.25">
      <c r="A505" t="s">
        <v>153</v>
      </c>
      <c r="B505" t="s">
        <v>22</v>
      </c>
      <c r="C505">
        <f t="shared" si="14"/>
        <v>4</v>
      </c>
      <c r="D505" cm="1">
        <f t="array" ref="D505">_xlfn.IFS(C505&lt;=50,7+10*(C505-1),C505&lt;=110,507+25*(C505-51),C505&lt;=170,2007+50*(C505-111),C505&lt;=250,5007+50*(C505-171))</f>
        <v>37</v>
      </c>
      <c r="E505" t="str" cm="1">
        <f t="array" ref="E505">IF(D505="","",_xlfn.IFS(D505&lt;=500,"Top_500",D505&lt;=2000,"501_2000",D505&lt;=5000,"2001_5000",D505&lt;=10000,"5001_10000"))</f>
        <v>Top_500</v>
      </c>
      <c r="F505">
        <v>14343</v>
      </c>
      <c r="G505">
        <v>298</v>
      </c>
      <c r="H505" s="13">
        <v>46048</v>
      </c>
      <c r="I505" s="8" t="str">
        <f t="shared" si="15"/>
        <v>O_WOLF_SNIPER_O|Recon</v>
      </c>
    </row>
    <row r="506" spans="1:9" x14ac:dyDescent="0.25">
      <c r="A506" t="s">
        <v>154</v>
      </c>
      <c r="B506" t="s">
        <v>22</v>
      </c>
      <c r="C506">
        <f t="shared" si="14"/>
        <v>5</v>
      </c>
      <c r="D506" cm="1">
        <f t="array" ref="D506">_xlfn.IFS(C506&lt;=50,7+10*(C506-1),C506&lt;=110,507+25*(C506-51),C506&lt;=170,2007+50*(C506-111),C506&lt;=250,5007+50*(C506-171))</f>
        <v>47</v>
      </c>
      <c r="E506" t="str" cm="1">
        <f t="array" ref="E506">IF(D506="","",_xlfn.IFS(D506&lt;=500,"Top_500",D506&lt;=2000,"501_2000",D506&lt;=5000,"2001_5000",D506&lt;=10000,"5001_10000"))</f>
        <v>Top_500</v>
      </c>
      <c r="F506">
        <v>13314</v>
      </c>
      <c r="G506">
        <v>321</v>
      </c>
      <c r="H506" s="13">
        <v>46048</v>
      </c>
      <c r="I506" s="8" t="str">
        <f t="shared" si="15"/>
        <v>Colonel_Ghostman|Recon</v>
      </c>
    </row>
    <row r="507" spans="1:9" x14ac:dyDescent="0.25">
      <c r="A507" t="s">
        <v>155</v>
      </c>
      <c r="B507" t="s">
        <v>22</v>
      </c>
      <c r="C507">
        <f t="shared" si="14"/>
        <v>6</v>
      </c>
      <c r="D507" cm="1">
        <f t="array" ref="D507">_xlfn.IFS(C507&lt;=50,7+10*(C507-1),C507&lt;=110,507+25*(C507-51),C507&lt;=170,2007+50*(C507-111),C507&lt;=250,5007+50*(C507-171))</f>
        <v>57</v>
      </c>
      <c r="E507" t="str" cm="1">
        <f t="array" ref="E507">IF(D507="","",_xlfn.IFS(D507&lt;=500,"Top_500",D507&lt;=2000,"501_2000",D507&lt;=5000,"2001_5000",D507&lt;=10000,"5001_10000"))</f>
        <v>Top_500</v>
      </c>
      <c r="F507">
        <v>12787</v>
      </c>
      <c r="G507">
        <v>266</v>
      </c>
      <c r="H507" s="13">
        <v>46048</v>
      </c>
      <c r="I507" s="8" t="str">
        <f t="shared" si="15"/>
        <v>Baaghdaddy|Recon</v>
      </c>
    </row>
    <row r="508" spans="1:9" x14ac:dyDescent="0.25">
      <c r="A508" t="s">
        <v>156</v>
      </c>
      <c r="B508" t="s">
        <v>22</v>
      </c>
      <c r="C508">
        <f t="shared" si="14"/>
        <v>7</v>
      </c>
      <c r="D508" cm="1">
        <f t="array" ref="D508">_xlfn.IFS(C508&lt;=50,7+10*(C508-1),C508&lt;=110,507+25*(C508-51),C508&lt;=170,2007+50*(C508-111),C508&lt;=250,5007+50*(C508-171))</f>
        <v>67</v>
      </c>
      <c r="E508" t="str" cm="1">
        <f t="array" ref="E508">IF(D508="","",_xlfn.IFS(D508&lt;=500,"Top_500",D508&lt;=2000,"501_2000",D508&lt;=5000,"2001_5000",D508&lt;=10000,"5001_10000"))</f>
        <v>Top_500</v>
      </c>
      <c r="F508">
        <v>12439</v>
      </c>
      <c r="G508">
        <v>115</v>
      </c>
      <c r="H508" s="13">
        <v>46048</v>
      </c>
      <c r="I508" s="8" t="str">
        <f t="shared" si="15"/>
        <v>chrischwa_75|Recon</v>
      </c>
    </row>
    <row r="509" spans="1:9" x14ac:dyDescent="0.25">
      <c r="A509" t="s">
        <v>157</v>
      </c>
      <c r="B509" t="s">
        <v>22</v>
      </c>
      <c r="C509">
        <f t="shared" si="14"/>
        <v>8</v>
      </c>
      <c r="D509" cm="1">
        <f t="array" ref="D509">_xlfn.IFS(C509&lt;=50,7+10*(C509-1),C509&lt;=110,507+25*(C509-51),C509&lt;=170,2007+50*(C509-111),C509&lt;=250,5007+50*(C509-171))</f>
        <v>77</v>
      </c>
      <c r="E509" t="str" cm="1">
        <f t="array" ref="E509">IF(D509="","",_xlfn.IFS(D509&lt;=500,"Top_500",D509&lt;=2000,"501_2000",D509&lt;=5000,"2001_5000",D509&lt;=10000,"5001_10000"))</f>
        <v>Top_500</v>
      </c>
      <c r="F509">
        <v>11845</v>
      </c>
      <c r="G509">
        <v>354</v>
      </c>
      <c r="H509" s="13">
        <v>46048</v>
      </c>
      <c r="I509" s="8" t="str">
        <f t="shared" si="15"/>
        <v>Tha_Gingerbread|Recon</v>
      </c>
    </row>
    <row r="510" spans="1:9" x14ac:dyDescent="0.25">
      <c r="A510" t="s">
        <v>158</v>
      </c>
      <c r="B510" t="s">
        <v>22</v>
      </c>
      <c r="C510">
        <f t="shared" si="14"/>
        <v>9</v>
      </c>
      <c r="D510" cm="1">
        <f t="array" ref="D510">_xlfn.IFS(C510&lt;=50,7+10*(C510-1),C510&lt;=110,507+25*(C510-51),C510&lt;=170,2007+50*(C510-111),C510&lt;=250,5007+50*(C510-171))</f>
        <v>87</v>
      </c>
      <c r="E510" t="str" cm="1">
        <f t="array" ref="E510">IF(D510="","",_xlfn.IFS(D510&lt;=500,"Top_500",D510&lt;=2000,"501_2000",D510&lt;=5000,"2001_5000",D510&lt;=10000,"5001_10000"))</f>
        <v>Top_500</v>
      </c>
      <c r="F510">
        <v>12431</v>
      </c>
      <c r="G510">
        <v>181</v>
      </c>
      <c r="H510" s="13">
        <v>46048</v>
      </c>
      <c r="I510" s="8" t="str">
        <f t="shared" si="15"/>
        <v>Heimi72|Recon</v>
      </c>
    </row>
    <row r="511" spans="1:9" x14ac:dyDescent="0.25">
      <c r="A511" t="s">
        <v>159</v>
      </c>
      <c r="B511" t="s">
        <v>22</v>
      </c>
      <c r="C511">
        <f t="shared" si="14"/>
        <v>10</v>
      </c>
      <c r="D511" cm="1">
        <f t="array" ref="D511">_xlfn.IFS(C511&lt;=50,7+10*(C511-1),C511&lt;=110,507+25*(C511-51),C511&lt;=170,2007+50*(C511-111),C511&lt;=250,5007+50*(C511-171))</f>
        <v>97</v>
      </c>
      <c r="E511" t="str" cm="1">
        <f t="array" ref="E511">IF(D511="","",_xlfn.IFS(D511&lt;=500,"Top_500",D511&lt;=2000,"501_2000",D511&lt;=5000,"2001_5000",D511&lt;=10000,"5001_10000"))</f>
        <v>Top_500</v>
      </c>
      <c r="F511">
        <v>13829</v>
      </c>
      <c r="G511">
        <v>189</v>
      </c>
      <c r="H511" s="13">
        <v>46048</v>
      </c>
      <c r="I511" s="8" t="str">
        <f t="shared" si="15"/>
        <v>Slimline67|Recon</v>
      </c>
    </row>
    <row r="512" spans="1:9" x14ac:dyDescent="0.25">
      <c r="A512" t="s">
        <v>223</v>
      </c>
      <c r="B512" t="s">
        <v>22</v>
      </c>
      <c r="C512">
        <f t="shared" si="14"/>
        <v>11</v>
      </c>
      <c r="D512" cm="1">
        <f t="array" ref="D512">_xlfn.IFS(C512&lt;=50,7+10*(C512-1),C512&lt;=110,507+25*(C512-51),C512&lt;=170,2007+50*(C512-111),C512&lt;=250,5007+50*(C512-171))</f>
        <v>107</v>
      </c>
      <c r="E512" t="str" cm="1">
        <f t="array" ref="E512">IF(D512="","",_xlfn.IFS(D512&lt;=500,"Top_500",D512&lt;=2000,"501_2000",D512&lt;=5000,"2001_5000",D512&lt;=10000,"5001_10000"))</f>
        <v>Top_500</v>
      </c>
      <c r="F512">
        <v>11174</v>
      </c>
      <c r="G512">
        <v>262</v>
      </c>
      <c r="H512" s="13">
        <v>46049</v>
      </c>
      <c r="I512" s="8" t="str">
        <f t="shared" si="15"/>
        <v>Eucharion|Recon</v>
      </c>
    </row>
    <row r="513" spans="1:9" x14ac:dyDescent="0.25">
      <c r="A513" t="s">
        <v>224</v>
      </c>
      <c r="B513" t="s">
        <v>22</v>
      </c>
      <c r="C513">
        <f t="shared" si="14"/>
        <v>12</v>
      </c>
      <c r="D513" cm="1">
        <f t="array" ref="D513">_xlfn.IFS(C513&lt;=50,7+10*(C513-1),C513&lt;=110,507+25*(C513-51),C513&lt;=170,2007+50*(C513-111),C513&lt;=250,5007+50*(C513-171))</f>
        <v>117</v>
      </c>
      <c r="E513" t="str" cm="1">
        <f t="array" ref="E513">IF(D513="","",_xlfn.IFS(D513&lt;=500,"Top_500",D513&lt;=2000,"501_2000",D513&lt;=5000,"2001_5000",D513&lt;=10000,"5001_10000"))</f>
        <v>Top_500</v>
      </c>
      <c r="F513">
        <v>10801</v>
      </c>
      <c r="G513">
        <v>197</v>
      </c>
      <c r="H513" s="13">
        <v>46049</v>
      </c>
      <c r="I513" s="8" t="str">
        <f t="shared" si="15"/>
        <v>llZeroHeroll|Recon</v>
      </c>
    </row>
    <row r="514" spans="1:9" x14ac:dyDescent="0.25">
      <c r="A514" t="s">
        <v>225</v>
      </c>
      <c r="B514" t="s">
        <v>22</v>
      </c>
      <c r="C514">
        <f t="shared" ref="C514:C577" si="16">IF(ROW()=2,1,IF(B514&lt;&gt;B513,1,C513+1))</f>
        <v>13</v>
      </c>
      <c r="D514" cm="1">
        <f t="array" ref="D514">_xlfn.IFS(C514&lt;=50,7+10*(C514-1),C514&lt;=110,507+25*(C514-51),C514&lt;=170,2007+50*(C514-111),C514&lt;=250,5007+50*(C514-171))</f>
        <v>127</v>
      </c>
      <c r="E514" t="str" cm="1">
        <f t="array" ref="E514">IF(D514="","",_xlfn.IFS(D514&lt;=500,"Top_500",D514&lt;=2000,"501_2000",D514&lt;=5000,"2001_5000",D514&lt;=10000,"5001_10000"))</f>
        <v>Top_500</v>
      </c>
      <c r="F514">
        <v>10574</v>
      </c>
      <c r="G514">
        <v>124</v>
      </c>
      <c r="H514" s="13">
        <v>46049</v>
      </c>
      <c r="I514" s="8" t="str">
        <f t="shared" si="15"/>
        <v>SpotUpLevi|Recon</v>
      </c>
    </row>
    <row r="515" spans="1:9" x14ac:dyDescent="0.25">
      <c r="A515" t="s">
        <v>226</v>
      </c>
      <c r="B515" t="s">
        <v>22</v>
      </c>
      <c r="C515">
        <f t="shared" si="16"/>
        <v>14</v>
      </c>
      <c r="D515" cm="1">
        <f t="array" ref="D515">_xlfn.IFS(C515&lt;=50,7+10*(C515-1),C515&lt;=110,507+25*(C515-51),C515&lt;=170,2007+50*(C515-111),C515&lt;=250,5007+50*(C515-171))</f>
        <v>137</v>
      </c>
      <c r="E515" t="str" cm="1">
        <f t="array" ref="E515">IF(D515="","",_xlfn.IFS(D515&lt;=500,"Top_500",D515&lt;=2000,"501_2000",D515&lt;=5000,"2001_5000",D515&lt;=10000,"5001_10000"))</f>
        <v>Top_500</v>
      </c>
      <c r="F515">
        <v>10961</v>
      </c>
      <c r="G515">
        <v>140</v>
      </c>
      <c r="H515" s="13">
        <v>46049</v>
      </c>
      <c r="I515" s="8" t="str">
        <f t="shared" ref="I515:I578" si="17">A515 &amp; "|" &amp; B515</f>
        <v>TAKAMAS4|Recon</v>
      </c>
    </row>
    <row r="516" spans="1:9" x14ac:dyDescent="0.25">
      <c r="A516" t="s">
        <v>227</v>
      </c>
      <c r="B516" t="s">
        <v>22</v>
      </c>
      <c r="C516">
        <f t="shared" si="16"/>
        <v>15</v>
      </c>
      <c r="D516" cm="1">
        <f t="array" ref="D516">_xlfn.IFS(C516&lt;=50,7+10*(C516-1),C516&lt;=110,507+25*(C516-51),C516&lt;=170,2007+50*(C516-111),C516&lt;=250,5007+50*(C516-171))</f>
        <v>147</v>
      </c>
      <c r="E516" t="str" cm="1">
        <f t="array" ref="E516">IF(D516="","",_xlfn.IFS(D516&lt;=500,"Top_500",D516&lt;=2000,"501_2000",D516&lt;=5000,"2001_5000",D516&lt;=10000,"5001_10000"))</f>
        <v>Top_500</v>
      </c>
      <c r="F516">
        <v>9973</v>
      </c>
      <c r="G516">
        <v>263</v>
      </c>
      <c r="H516" s="13">
        <v>46049</v>
      </c>
      <c r="I516" s="8" t="str">
        <f t="shared" si="17"/>
        <v>Brock Xx Samson|Recon</v>
      </c>
    </row>
    <row r="517" spans="1:9" x14ac:dyDescent="0.25">
      <c r="A517" t="s">
        <v>414</v>
      </c>
      <c r="B517" t="s">
        <v>22</v>
      </c>
      <c r="C517">
        <f t="shared" si="16"/>
        <v>16</v>
      </c>
      <c r="D517" cm="1">
        <f t="array" ref="D517">_xlfn.IFS(C517&lt;=50,7+10*(C517-1),C517&lt;=110,507+25*(C517-51),C517&lt;=170,2007+50*(C517-111),C517&lt;=250,5007+50*(C517-171))</f>
        <v>157</v>
      </c>
      <c r="E517" t="str" cm="1">
        <f t="array" ref="E517">IF(D517="","",_xlfn.IFS(D517&lt;=500,"Top_500",D517&lt;=2000,"501_2000",D517&lt;=5000,"2001_5000",D517&lt;=10000,"5001_10000"))</f>
        <v>Top_500</v>
      </c>
      <c r="F517">
        <v>11406</v>
      </c>
      <c r="G517">
        <v>292</v>
      </c>
      <c r="H517" s="13">
        <v>46053</v>
      </c>
      <c r="I517" s="8" t="str">
        <f t="shared" si="17"/>
        <v>Youngling Force Kin|Recon</v>
      </c>
    </row>
    <row r="518" spans="1:9" x14ac:dyDescent="0.25">
      <c r="A518" t="s">
        <v>415</v>
      </c>
      <c r="B518" t="s">
        <v>22</v>
      </c>
      <c r="C518">
        <f t="shared" si="16"/>
        <v>17</v>
      </c>
      <c r="D518" cm="1">
        <f t="array" ref="D518">_xlfn.IFS(C518&lt;=50,7+10*(C518-1),C518&lt;=110,507+25*(C518-51),C518&lt;=170,2007+50*(C518-111),C518&lt;=250,5007+50*(C518-171))</f>
        <v>167</v>
      </c>
      <c r="E518" t="str" cm="1">
        <f t="array" ref="E518">IF(D518="","",_xlfn.IFS(D518&lt;=500,"Top_500",D518&lt;=2000,"501_2000",D518&lt;=5000,"2001_5000",D518&lt;=10000,"5001_10000"))</f>
        <v>Top_500</v>
      </c>
      <c r="F518">
        <v>11177</v>
      </c>
      <c r="G518">
        <v>207</v>
      </c>
      <c r="H518" s="13">
        <v>46053</v>
      </c>
      <c r="I518" s="8" t="str">
        <f t="shared" si="17"/>
        <v>ikuzza|Recon</v>
      </c>
    </row>
    <row r="519" spans="1:9" x14ac:dyDescent="0.25">
      <c r="A519" t="s">
        <v>416</v>
      </c>
      <c r="B519" t="s">
        <v>22</v>
      </c>
      <c r="C519">
        <f t="shared" si="16"/>
        <v>18</v>
      </c>
      <c r="D519" cm="1">
        <f t="array" ref="D519">_xlfn.IFS(C519&lt;=50,7+10*(C519-1),C519&lt;=110,507+25*(C519-51),C519&lt;=170,2007+50*(C519-111),C519&lt;=250,5007+50*(C519-171))</f>
        <v>177</v>
      </c>
      <c r="E519" t="str" cm="1">
        <f t="array" ref="E519">IF(D519="","",_xlfn.IFS(D519&lt;=500,"Top_500",D519&lt;=2000,"501_2000",D519&lt;=5000,"2001_5000",D519&lt;=10000,"5001_10000"))</f>
        <v>Top_500</v>
      </c>
      <c r="F519">
        <v>13291</v>
      </c>
      <c r="G519">
        <v>155</v>
      </c>
      <c r="H519" s="13">
        <v>46053</v>
      </c>
      <c r="I519" s="8" t="str">
        <f t="shared" si="17"/>
        <v>L10nhear|Recon</v>
      </c>
    </row>
    <row r="520" spans="1:9" x14ac:dyDescent="0.25">
      <c r="A520" t="s">
        <v>417</v>
      </c>
      <c r="B520" t="s">
        <v>22</v>
      </c>
      <c r="C520">
        <f t="shared" si="16"/>
        <v>19</v>
      </c>
      <c r="D520" cm="1">
        <f t="array" ref="D520">_xlfn.IFS(C520&lt;=50,7+10*(C520-1),C520&lt;=110,507+25*(C520-51),C520&lt;=170,2007+50*(C520-111),C520&lt;=250,5007+50*(C520-171))</f>
        <v>187</v>
      </c>
      <c r="E520" t="str" cm="1">
        <f t="array" ref="E520">IF(D520="","",_xlfn.IFS(D520&lt;=500,"Top_500",D520&lt;=2000,"501_2000",D520&lt;=5000,"2001_5000",D520&lt;=10000,"5001_10000"))</f>
        <v>Top_500</v>
      </c>
      <c r="F520">
        <v>11021</v>
      </c>
      <c r="G520">
        <v>223</v>
      </c>
      <c r="H520" s="13">
        <v>46053</v>
      </c>
      <c r="I520" s="8" t="str">
        <f t="shared" si="17"/>
        <v>CAP Mifune|Recon</v>
      </c>
    </row>
    <row r="521" spans="1:9" x14ac:dyDescent="0.25">
      <c r="A521" t="s">
        <v>418</v>
      </c>
      <c r="B521" t="s">
        <v>22</v>
      </c>
      <c r="C521">
        <f t="shared" si="16"/>
        <v>20</v>
      </c>
      <c r="D521" cm="1">
        <f t="array" ref="D521">_xlfn.IFS(C521&lt;=50,7+10*(C521-1),C521&lt;=110,507+25*(C521-51),C521&lt;=170,2007+50*(C521-111),C521&lt;=250,5007+50*(C521-171))</f>
        <v>197</v>
      </c>
      <c r="E521" t="str" cm="1">
        <f t="array" ref="E521">IF(D521="","",_xlfn.IFS(D521&lt;=500,"Top_500",D521&lt;=2000,"501_2000",D521&lt;=5000,"2001_5000",D521&lt;=10000,"5001_10000"))</f>
        <v>Top_500</v>
      </c>
      <c r="F521">
        <v>10277</v>
      </c>
      <c r="G521">
        <v>118</v>
      </c>
      <c r="H521" s="13">
        <v>46053</v>
      </c>
      <c r="I521" s="8" t="str">
        <f t="shared" si="17"/>
        <v>Veom18|Recon</v>
      </c>
    </row>
    <row r="522" spans="1:9" x14ac:dyDescent="0.25">
      <c r="A522" t="s">
        <v>419</v>
      </c>
      <c r="B522" t="s">
        <v>22</v>
      </c>
      <c r="C522">
        <f t="shared" si="16"/>
        <v>21</v>
      </c>
      <c r="D522" cm="1">
        <f t="array" ref="D522">_xlfn.IFS(C522&lt;=50,7+10*(C522-1),C522&lt;=110,507+25*(C522-51),C522&lt;=170,2007+50*(C522-111),C522&lt;=250,5007+50*(C522-171))</f>
        <v>207</v>
      </c>
      <c r="E522" t="str" cm="1">
        <f t="array" ref="E522">IF(D522="","",_xlfn.IFS(D522&lt;=500,"Top_500",D522&lt;=2000,"501_2000",D522&lt;=5000,"2001_5000",D522&lt;=10000,"5001_10000"))</f>
        <v>Top_500</v>
      </c>
      <c r="F522">
        <v>10032</v>
      </c>
      <c r="G522">
        <v>235</v>
      </c>
      <c r="H522" s="13">
        <v>46053</v>
      </c>
      <c r="I522" s="8" t="str">
        <f t="shared" si="17"/>
        <v>NotPravnikk|Recon</v>
      </c>
    </row>
    <row r="523" spans="1:9" x14ac:dyDescent="0.25">
      <c r="A523" t="s">
        <v>420</v>
      </c>
      <c r="B523" t="s">
        <v>22</v>
      </c>
      <c r="C523">
        <f t="shared" si="16"/>
        <v>22</v>
      </c>
      <c r="D523" cm="1">
        <f t="array" ref="D523">_xlfn.IFS(C523&lt;=50,7+10*(C523-1),C523&lt;=110,507+25*(C523-51),C523&lt;=170,2007+50*(C523-111),C523&lt;=250,5007+50*(C523-171))</f>
        <v>217</v>
      </c>
      <c r="E523" t="str" cm="1">
        <f t="array" ref="E523">IF(D523="","",_xlfn.IFS(D523&lt;=500,"Top_500",D523&lt;=2000,"501_2000",D523&lt;=5000,"2001_5000",D523&lt;=10000,"5001_10000"))</f>
        <v>Top_500</v>
      </c>
      <c r="F523">
        <v>10029</v>
      </c>
      <c r="G523">
        <v>214</v>
      </c>
      <c r="H523" s="13">
        <v>46053</v>
      </c>
      <c r="I523" s="8" t="str">
        <f t="shared" si="17"/>
        <v>Special_Foxs|Recon</v>
      </c>
    </row>
    <row r="524" spans="1:9" x14ac:dyDescent="0.25">
      <c r="A524" t="s">
        <v>421</v>
      </c>
      <c r="B524" t="s">
        <v>22</v>
      </c>
      <c r="C524">
        <f t="shared" si="16"/>
        <v>23</v>
      </c>
      <c r="D524" cm="1">
        <f t="array" ref="D524">_xlfn.IFS(C524&lt;=50,7+10*(C524-1),C524&lt;=110,507+25*(C524-51),C524&lt;=170,2007+50*(C524-111),C524&lt;=250,5007+50*(C524-171))</f>
        <v>227</v>
      </c>
      <c r="E524" t="str" cm="1">
        <f t="array" ref="E524">IF(D524="","",_xlfn.IFS(D524&lt;=500,"Top_500",D524&lt;=2000,"501_2000",D524&lt;=5000,"2001_5000",D524&lt;=10000,"5001_10000"))</f>
        <v>Top_500</v>
      </c>
      <c r="F524">
        <v>9788</v>
      </c>
      <c r="G524">
        <v>190</v>
      </c>
      <c r="H524" s="13">
        <v>46053</v>
      </c>
      <c r="I524" s="8" t="str">
        <f t="shared" si="17"/>
        <v>M3ThatGuy|Recon</v>
      </c>
    </row>
    <row r="525" spans="1:9" x14ac:dyDescent="0.25">
      <c r="A525" t="s">
        <v>422</v>
      </c>
      <c r="B525" t="s">
        <v>22</v>
      </c>
      <c r="C525">
        <f t="shared" si="16"/>
        <v>24</v>
      </c>
      <c r="D525" cm="1">
        <f t="array" ref="D525">_xlfn.IFS(C525&lt;=50,7+10*(C525-1),C525&lt;=110,507+25*(C525-51),C525&lt;=170,2007+50*(C525-111),C525&lt;=250,5007+50*(C525-171))</f>
        <v>237</v>
      </c>
      <c r="E525" t="str" cm="1">
        <f t="array" ref="E525">IF(D525="","",_xlfn.IFS(D525&lt;=500,"Top_500",D525&lt;=2000,"501_2000",D525&lt;=5000,"2001_5000",D525&lt;=10000,"5001_10000"))</f>
        <v>Top_500</v>
      </c>
      <c r="F525">
        <v>9837</v>
      </c>
      <c r="G525">
        <v>310</v>
      </c>
      <c r="H525" s="13">
        <v>46053</v>
      </c>
      <c r="I525" s="8" t="str">
        <f t="shared" si="17"/>
        <v>John Battledive|Recon</v>
      </c>
    </row>
    <row r="526" spans="1:9" x14ac:dyDescent="0.25">
      <c r="A526" t="s">
        <v>423</v>
      </c>
      <c r="B526" t="s">
        <v>22</v>
      </c>
      <c r="C526">
        <f t="shared" si="16"/>
        <v>25</v>
      </c>
      <c r="D526" cm="1">
        <f t="array" ref="D526">_xlfn.IFS(C526&lt;=50,7+10*(C526-1),C526&lt;=110,507+25*(C526-51),C526&lt;=170,2007+50*(C526-111),C526&lt;=250,5007+50*(C526-171))</f>
        <v>247</v>
      </c>
      <c r="E526" t="str" cm="1">
        <f t="array" ref="E526">IF(D526="","",_xlfn.IFS(D526&lt;=500,"Top_500",D526&lt;=2000,"501_2000",D526&lt;=5000,"2001_5000",D526&lt;=10000,"5001_10000"))</f>
        <v>Top_500</v>
      </c>
      <c r="F526">
        <v>9861</v>
      </c>
      <c r="G526">
        <v>266</v>
      </c>
      <c r="H526" s="13">
        <v>46053</v>
      </c>
      <c r="I526" s="8" t="str">
        <f t="shared" si="17"/>
        <v>Shotgun Savant|Recon</v>
      </c>
    </row>
    <row r="527" spans="1:9" x14ac:dyDescent="0.25">
      <c r="A527" t="s">
        <v>424</v>
      </c>
      <c r="B527" t="s">
        <v>22</v>
      </c>
      <c r="C527">
        <f t="shared" si="16"/>
        <v>26</v>
      </c>
      <c r="D527" cm="1">
        <f t="array" ref="D527">_xlfn.IFS(C527&lt;=50,7+10*(C527-1),C527&lt;=110,507+25*(C527-51),C527&lt;=170,2007+50*(C527-111),C527&lt;=250,5007+50*(C527-171))</f>
        <v>257</v>
      </c>
      <c r="E527" t="str" cm="1">
        <f t="array" ref="E527">IF(D527="","",_xlfn.IFS(D527&lt;=500,"Top_500",D527&lt;=2000,"501_2000",D527&lt;=5000,"2001_5000",D527&lt;=10000,"5001_10000"))</f>
        <v>Top_500</v>
      </c>
      <c r="F527">
        <v>10010</v>
      </c>
      <c r="G527">
        <v>200</v>
      </c>
      <c r="H527" s="13">
        <v>46053</v>
      </c>
      <c r="I527" s="8" t="str">
        <f t="shared" si="17"/>
        <v>ken640|Recon</v>
      </c>
    </row>
    <row r="528" spans="1:9" x14ac:dyDescent="0.25">
      <c r="A528" t="s">
        <v>425</v>
      </c>
      <c r="B528" t="s">
        <v>22</v>
      </c>
      <c r="C528">
        <f t="shared" si="16"/>
        <v>27</v>
      </c>
      <c r="D528" cm="1">
        <f t="array" ref="D528">_xlfn.IFS(C528&lt;=50,7+10*(C528-1),C528&lt;=110,507+25*(C528-51),C528&lt;=170,2007+50*(C528-111),C528&lt;=250,5007+50*(C528-171))</f>
        <v>267</v>
      </c>
      <c r="E528" t="str" cm="1">
        <f t="array" ref="E528">IF(D528="","",_xlfn.IFS(D528&lt;=500,"Top_500",D528&lt;=2000,"501_2000",D528&lt;=5000,"2001_5000",D528&lt;=10000,"5001_10000"))</f>
        <v>Top_500</v>
      </c>
      <c r="F528">
        <v>9257</v>
      </c>
      <c r="G528">
        <v>348</v>
      </c>
      <c r="H528" s="13">
        <v>46053</v>
      </c>
      <c r="I528" s="8" t="str">
        <f t="shared" si="17"/>
        <v>LukLira_14|Recon</v>
      </c>
    </row>
    <row r="529" spans="1:9" x14ac:dyDescent="0.25">
      <c r="A529" t="s">
        <v>426</v>
      </c>
      <c r="B529" t="s">
        <v>22</v>
      </c>
      <c r="C529">
        <f t="shared" si="16"/>
        <v>28</v>
      </c>
      <c r="D529" cm="1">
        <f t="array" ref="D529">_xlfn.IFS(C529&lt;=50,7+10*(C529-1),C529&lt;=110,507+25*(C529-51),C529&lt;=170,2007+50*(C529-111),C529&lt;=250,5007+50*(C529-171))</f>
        <v>277</v>
      </c>
      <c r="E529" t="str" cm="1">
        <f t="array" ref="E529">IF(D529="","",_xlfn.IFS(D529&lt;=500,"Top_500",D529&lt;=2000,"501_2000",D529&lt;=5000,"2001_5000",D529&lt;=10000,"5001_10000"))</f>
        <v>Top_500</v>
      </c>
      <c r="F529">
        <v>9192</v>
      </c>
      <c r="G529">
        <v>263</v>
      </c>
      <c r="H529" s="13">
        <v>46053</v>
      </c>
      <c r="I529" s="8" t="str">
        <f t="shared" si="17"/>
        <v>Fate by Fenrir|Recon</v>
      </c>
    </row>
    <row r="530" spans="1:9" x14ac:dyDescent="0.25">
      <c r="A530" t="s">
        <v>427</v>
      </c>
      <c r="B530" t="s">
        <v>22</v>
      </c>
      <c r="C530">
        <f t="shared" si="16"/>
        <v>29</v>
      </c>
      <c r="D530" cm="1">
        <f t="array" ref="D530">_xlfn.IFS(C530&lt;=50,7+10*(C530-1),C530&lt;=110,507+25*(C530-51),C530&lt;=170,2007+50*(C530-111),C530&lt;=250,5007+50*(C530-171))</f>
        <v>287</v>
      </c>
      <c r="E530" t="str" cm="1">
        <f t="array" ref="E530">IF(D530="","",_xlfn.IFS(D530&lt;=500,"Top_500",D530&lt;=2000,"501_2000",D530&lt;=5000,"2001_5000",D530&lt;=10000,"5001_10000"))</f>
        <v>Top_500</v>
      </c>
      <c r="F530">
        <v>9016</v>
      </c>
      <c r="G530">
        <v>239</v>
      </c>
      <c r="H530" s="13">
        <v>46053</v>
      </c>
      <c r="I530" s="8" t="str">
        <f t="shared" si="17"/>
        <v>//M34_|Recon</v>
      </c>
    </row>
    <row r="531" spans="1:9" x14ac:dyDescent="0.25">
      <c r="A531" t="s">
        <v>428</v>
      </c>
      <c r="B531" t="s">
        <v>22</v>
      </c>
      <c r="C531">
        <f t="shared" si="16"/>
        <v>30</v>
      </c>
      <c r="D531" cm="1">
        <f t="array" ref="D531">_xlfn.IFS(C531&lt;=50,7+10*(C531-1),C531&lt;=110,507+25*(C531-51),C531&lt;=170,2007+50*(C531-111),C531&lt;=250,5007+50*(C531-171))</f>
        <v>297</v>
      </c>
      <c r="E531" t="str" cm="1">
        <f t="array" ref="E531">IF(D531="","",_xlfn.IFS(D531&lt;=500,"Top_500",D531&lt;=2000,"501_2000",D531&lt;=5000,"2001_5000",D531&lt;=10000,"5001_10000"))</f>
        <v>Top_500</v>
      </c>
      <c r="F531">
        <v>8899</v>
      </c>
      <c r="G531">
        <v>209</v>
      </c>
      <c r="H531" s="13">
        <v>46053</v>
      </c>
      <c r="I531" s="8" t="str">
        <f t="shared" si="17"/>
        <v>Quagsie|Recon</v>
      </c>
    </row>
    <row r="532" spans="1:9" x14ac:dyDescent="0.25">
      <c r="A532" t="s">
        <v>429</v>
      </c>
      <c r="B532" t="s">
        <v>22</v>
      </c>
      <c r="C532">
        <f t="shared" si="16"/>
        <v>31</v>
      </c>
      <c r="D532" cm="1">
        <f t="array" ref="D532">_xlfn.IFS(C532&lt;=50,7+10*(C532-1),C532&lt;=110,507+25*(C532-51),C532&lt;=170,2007+50*(C532-111),C532&lt;=250,5007+50*(C532-171))</f>
        <v>307</v>
      </c>
      <c r="E532" t="str" cm="1">
        <f t="array" ref="E532">IF(D532="","",_xlfn.IFS(D532&lt;=500,"Top_500",D532&lt;=2000,"501_2000",D532&lt;=5000,"2001_5000",D532&lt;=10000,"5001_10000"))</f>
        <v>Top_500</v>
      </c>
      <c r="F532">
        <v>9576</v>
      </c>
      <c r="G532">
        <v>120</v>
      </c>
      <c r="H532" s="13">
        <v>46053</v>
      </c>
      <c r="I532" s="8" t="str">
        <f t="shared" si="17"/>
        <v>TheDumbLucky|Recon</v>
      </c>
    </row>
    <row r="533" spans="1:9" x14ac:dyDescent="0.25">
      <c r="A533" t="s">
        <v>430</v>
      </c>
      <c r="B533" t="s">
        <v>22</v>
      </c>
      <c r="C533">
        <f t="shared" si="16"/>
        <v>32</v>
      </c>
      <c r="D533" cm="1">
        <f t="array" ref="D533">_xlfn.IFS(C533&lt;=50,7+10*(C533-1),C533&lt;=110,507+25*(C533-51),C533&lt;=170,2007+50*(C533-111),C533&lt;=250,5007+50*(C533-171))</f>
        <v>317</v>
      </c>
      <c r="E533" t="str" cm="1">
        <f t="array" ref="E533">IF(D533="","",_xlfn.IFS(D533&lt;=500,"Top_500",D533&lt;=2000,"501_2000",D533&lt;=5000,"2001_5000",D533&lt;=10000,"5001_10000"))</f>
        <v>Top_500</v>
      </c>
      <c r="F533">
        <v>9122</v>
      </c>
      <c r="G533">
        <v>211</v>
      </c>
      <c r="H533" s="13">
        <v>46053</v>
      </c>
      <c r="I533" s="8" t="str">
        <f t="shared" si="17"/>
        <v>fxlive|Recon</v>
      </c>
    </row>
    <row r="534" spans="1:9" x14ac:dyDescent="0.25">
      <c r="A534" t="s">
        <v>431</v>
      </c>
      <c r="B534" t="s">
        <v>22</v>
      </c>
      <c r="C534">
        <f t="shared" si="16"/>
        <v>33</v>
      </c>
      <c r="D534" cm="1">
        <f t="array" ref="D534">_xlfn.IFS(C534&lt;=50,7+10*(C534-1),C534&lt;=110,507+25*(C534-51),C534&lt;=170,2007+50*(C534-111),C534&lt;=250,5007+50*(C534-171))</f>
        <v>327</v>
      </c>
      <c r="E534" t="str" cm="1">
        <f t="array" ref="E534">IF(D534="","",_xlfn.IFS(D534&lt;=500,"Top_500",D534&lt;=2000,"501_2000",D534&lt;=5000,"2001_5000",D534&lt;=10000,"5001_10000"))</f>
        <v>Top_500</v>
      </c>
      <c r="F534">
        <v>9307</v>
      </c>
      <c r="G534">
        <v>228</v>
      </c>
      <c r="H534" s="13">
        <v>46053</v>
      </c>
      <c r="I534" s="8" t="str">
        <f t="shared" si="17"/>
        <v>I-TomAce-I|Recon</v>
      </c>
    </row>
    <row r="535" spans="1:9" x14ac:dyDescent="0.25">
      <c r="A535" t="s">
        <v>432</v>
      </c>
      <c r="B535" t="s">
        <v>22</v>
      </c>
      <c r="C535">
        <f t="shared" si="16"/>
        <v>34</v>
      </c>
      <c r="D535" cm="1">
        <f t="array" ref="D535">_xlfn.IFS(C535&lt;=50,7+10*(C535-1),C535&lt;=110,507+25*(C535-51),C535&lt;=170,2007+50*(C535-111),C535&lt;=250,5007+50*(C535-171))</f>
        <v>337</v>
      </c>
      <c r="E535" t="str" cm="1">
        <f t="array" ref="E535">IF(D535="","",_xlfn.IFS(D535&lt;=500,"Top_500",D535&lt;=2000,"501_2000",D535&lt;=5000,"2001_5000",D535&lt;=10000,"5001_10000"))</f>
        <v>Top_500</v>
      </c>
      <c r="F535">
        <v>8652</v>
      </c>
      <c r="G535">
        <v>222</v>
      </c>
      <c r="H535" s="13">
        <v>46053</v>
      </c>
      <c r="I535" s="8" t="str">
        <f t="shared" si="17"/>
        <v>Vogge|Recon</v>
      </c>
    </row>
    <row r="536" spans="1:9" x14ac:dyDescent="0.25">
      <c r="A536" t="s">
        <v>433</v>
      </c>
      <c r="B536" t="s">
        <v>22</v>
      </c>
      <c r="C536">
        <f t="shared" si="16"/>
        <v>35</v>
      </c>
      <c r="D536" cm="1">
        <f t="array" ref="D536">_xlfn.IFS(C536&lt;=50,7+10*(C536-1),C536&lt;=110,507+25*(C536-51),C536&lt;=170,2007+50*(C536-111),C536&lt;=250,5007+50*(C536-171))</f>
        <v>347</v>
      </c>
      <c r="E536" t="str" cm="1">
        <f t="array" ref="E536">IF(D536="","",_xlfn.IFS(D536&lt;=500,"Top_500",D536&lt;=2000,"501_2000",D536&lt;=5000,"2001_5000",D536&lt;=10000,"5001_10000"))</f>
        <v>Top_500</v>
      </c>
      <c r="F536">
        <v>8379</v>
      </c>
      <c r="G536">
        <v>197</v>
      </c>
      <c r="H536" s="13">
        <v>46053</v>
      </c>
      <c r="I536" s="8" t="str">
        <f t="shared" si="17"/>
        <v>HeRbY-007|Recon</v>
      </c>
    </row>
    <row r="537" spans="1:9" x14ac:dyDescent="0.25">
      <c r="A537" t="s">
        <v>434</v>
      </c>
      <c r="B537" t="s">
        <v>22</v>
      </c>
      <c r="C537">
        <f t="shared" si="16"/>
        <v>36</v>
      </c>
      <c r="D537" cm="1">
        <f t="array" ref="D537">_xlfn.IFS(C537&lt;=50,7+10*(C537-1),C537&lt;=110,507+25*(C537-51),C537&lt;=170,2007+50*(C537-111),C537&lt;=250,5007+50*(C537-171))</f>
        <v>357</v>
      </c>
      <c r="E537" t="str" cm="1">
        <f t="array" ref="E537">IF(D537="","",_xlfn.IFS(D537&lt;=500,"Top_500",D537&lt;=2000,"501_2000",D537&lt;=5000,"2001_5000",D537&lt;=10000,"5001_10000"))</f>
        <v>Top_500</v>
      </c>
      <c r="F537">
        <v>7896</v>
      </c>
      <c r="G537">
        <v>134</v>
      </c>
      <c r="H537" s="13">
        <v>46053</v>
      </c>
      <c r="I537" s="8" t="str">
        <f t="shared" si="17"/>
        <v>Oldman2025xx|Recon</v>
      </c>
    </row>
    <row r="538" spans="1:9" x14ac:dyDescent="0.25">
      <c r="A538" t="s">
        <v>435</v>
      </c>
      <c r="B538" t="s">
        <v>22</v>
      </c>
      <c r="C538">
        <f t="shared" si="16"/>
        <v>37</v>
      </c>
      <c r="D538" cm="1">
        <f t="array" ref="D538">_xlfn.IFS(C538&lt;=50,7+10*(C538-1),C538&lt;=110,507+25*(C538-51),C538&lt;=170,2007+50*(C538-111),C538&lt;=250,5007+50*(C538-171))</f>
        <v>367</v>
      </c>
      <c r="E538" t="str" cm="1">
        <f t="array" ref="E538">IF(D538="","",_xlfn.IFS(D538&lt;=500,"Top_500",D538&lt;=2000,"501_2000",D538&lt;=5000,"2001_5000",D538&lt;=10000,"5001_10000"))</f>
        <v>Top_500</v>
      </c>
      <c r="F538">
        <v>7820</v>
      </c>
      <c r="G538">
        <v>249</v>
      </c>
      <c r="H538" s="13">
        <v>46053</v>
      </c>
      <c r="I538" s="8" t="str">
        <f t="shared" si="17"/>
        <v>ImSwiftt|Recon</v>
      </c>
    </row>
    <row r="539" spans="1:9" x14ac:dyDescent="0.25">
      <c r="A539" t="s">
        <v>436</v>
      </c>
      <c r="B539" t="s">
        <v>22</v>
      </c>
      <c r="C539">
        <f t="shared" si="16"/>
        <v>38</v>
      </c>
      <c r="D539" cm="1">
        <f t="array" ref="D539">_xlfn.IFS(C539&lt;=50,7+10*(C539-1),C539&lt;=110,507+25*(C539-51),C539&lt;=170,2007+50*(C539-111),C539&lt;=250,5007+50*(C539-171))</f>
        <v>377</v>
      </c>
      <c r="E539" t="str" cm="1">
        <f t="array" ref="E539">IF(D539="","",_xlfn.IFS(D539&lt;=500,"Top_500",D539&lt;=2000,"501_2000",D539&lt;=5000,"2001_5000",D539&lt;=10000,"5001_10000"))</f>
        <v>Top_500</v>
      </c>
      <c r="F539">
        <v>8380</v>
      </c>
      <c r="G539">
        <v>133</v>
      </c>
      <c r="H539" s="13">
        <v>46053</v>
      </c>
      <c r="I539" s="8" t="str">
        <f t="shared" si="17"/>
        <v>PinTao - Keep the Peace|Recon</v>
      </c>
    </row>
    <row r="540" spans="1:9" x14ac:dyDescent="0.25">
      <c r="A540" t="s">
        <v>437</v>
      </c>
      <c r="B540" t="s">
        <v>22</v>
      </c>
      <c r="C540">
        <f t="shared" si="16"/>
        <v>39</v>
      </c>
      <c r="D540" cm="1">
        <f t="array" ref="D540">_xlfn.IFS(C540&lt;=50,7+10*(C540-1),C540&lt;=110,507+25*(C540-51),C540&lt;=170,2007+50*(C540-111),C540&lt;=250,5007+50*(C540-171))</f>
        <v>387</v>
      </c>
      <c r="E540" t="str" cm="1">
        <f t="array" ref="E540">IF(D540="","",_xlfn.IFS(D540&lt;=500,"Top_500",D540&lt;=2000,"501_2000",D540&lt;=5000,"2001_5000",D540&lt;=10000,"5001_10000"))</f>
        <v>Top_500</v>
      </c>
      <c r="F540">
        <v>8230</v>
      </c>
      <c r="G540">
        <v>169</v>
      </c>
      <c r="H540" s="13">
        <v>46053</v>
      </c>
      <c r="I540" s="8" t="str">
        <f t="shared" si="17"/>
        <v>Gop-Stop Petroleum|Recon</v>
      </c>
    </row>
    <row r="541" spans="1:9" x14ac:dyDescent="0.25">
      <c r="A541" t="s">
        <v>438</v>
      </c>
      <c r="B541" t="s">
        <v>22</v>
      </c>
      <c r="C541">
        <f t="shared" si="16"/>
        <v>40</v>
      </c>
      <c r="D541" cm="1">
        <f t="array" ref="D541">_xlfn.IFS(C541&lt;=50,7+10*(C541-1),C541&lt;=110,507+25*(C541-51),C541&lt;=170,2007+50*(C541-111),C541&lt;=250,5007+50*(C541-171))</f>
        <v>397</v>
      </c>
      <c r="E541" t="str" cm="1">
        <f t="array" ref="E541">IF(D541="","",_xlfn.IFS(D541&lt;=500,"Top_500",D541&lt;=2000,"501_2000",D541&lt;=5000,"2001_5000",D541&lt;=10000,"5001_10000"))</f>
        <v>Top_500</v>
      </c>
      <c r="F541">
        <v>8010</v>
      </c>
      <c r="G541">
        <v>169</v>
      </c>
      <c r="H541" s="13">
        <v>46053</v>
      </c>
      <c r="I541" s="8" t="str">
        <f t="shared" si="17"/>
        <v>CisnBlack2393|Recon</v>
      </c>
    </row>
    <row r="542" spans="1:9" x14ac:dyDescent="0.25">
      <c r="A542" t="s">
        <v>439</v>
      </c>
      <c r="B542" t="s">
        <v>22</v>
      </c>
      <c r="C542">
        <f t="shared" si="16"/>
        <v>41</v>
      </c>
      <c r="D542" cm="1">
        <f t="array" ref="D542">_xlfn.IFS(C542&lt;=50,7+10*(C542-1),C542&lt;=110,507+25*(C542-51),C542&lt;=170,2007+50*(C542-111),C542&lt;=250,5007+50*(C542-171))</f>
        <v>407</v>
      </c>
      <c r="E542" t="str" cm="1">
        <f t="array" ref="E542">IF(D542="","",_xlfn.IFS(D542&lt;=500,"Top_500",D542&lt;=2000,"501_2000",D542&lt;=5000,"2001_5000",D542&lt;=10000,"5001_10000"))</f>
        <v>Top_500</v>
      </c>
      <c r="F542">
        <v>8622</v>
      </c>
      <c r="G542">
        <v>151</v>
      </c>
      <c r="H542" s="13">
        <v>46053</v>
      </c>
      <c r="I542" s="8" t="str">
        <f t="shared" si="17"/>
        <v>PapaSmurf_549|Recon</v>
      </c>
    </row>
    <row r="543" spans="1:9" x14ac:dyDescent="0.25">
      <c r="A543" t="s">
        <v>440</v>
      </c>
      <c r="B543" t="s">
        <v>22</v>
      </c>
      <c r="C543">
        <f t="shared" si="16"/>
        <v>42</v>
      </c>
      <c r="D543" cm="1">
        <f t="array" ref="D543">_xlfn.IFS(C543&lt;=50,7+10*(C543-1),C543&lt;=110,507+25*(C543-51),C543&lt;=170,2007+50*(C543-111),C543&lt;=250,5007+50*(C543-171))</f>
        <v>417</v>
      </c>
      <c r="E543" t="str" cm="1">
        <f t="array" ref="E543">IF(D543="","",_xlfn.IFS(D543&lt;=500,"Top_500",D543&lt;=2000,"501_2000",D543&lt;=5000,"2001_5000",D543&lt;=10000,"5001_10000"))</f>
        <v>Top_500</v>
      </c>
      <c r="F543">
        <v>7366</v>
      </c>
      <c r="G543">
        <v>92</v>
      </c>
      <c r="H543" s="13">
        <v>46053</v>
      </c>
      <c r="I543" s="8" t="str">
        <f t="shared" si="17"/>
        <v>JAYGGUERNAUT|Recon</v>
      </c>
    </row>
    <row r="544" spans="1:9" x14ac:dyDescent="0.25">
      <c r="A544" t="s">
        <v>441</v>
      </c>
      <c r="B544" t="s">
        <v>22</v>
      </c>
      <c r="C544">
        <f t="shared" si="16"/>
        <v>43</v>
      </c>
      <c r="D544" cm="1">
        <f t="array" ref="D544">_xlfn.IFS(C544&lt;=50,7+10*(C544-1),C544&lt;=110,507+25*(C544-51),C544&lt;=170,2007+50*(C544-111),C544&lt;=250,5007+50*(C544-171))</f>
        <v>427</v>
      </c>
      <c r="E544" t="str" cm="1">
        <f t="array" ref="E544">IF(D544="","",_xlfn.IFS(D544&lt;=500,"Top_500",D544&lt;=2000,"501_2000",D544&lt;=5000,"2001_5000",D544&lt;=10000,"5001_10000"))</f>
        <v>Top_500</v>
      </c>
      <c r="F544">
        <v>7924</v>
      </c>
      <c r="G544">
        <v>131</v>
      </c>
      <c r="H544" s="13">
        <v>46053</v>
      </c>
      <c r="I544" s="8" t="str">
        <f t="shared" si="17"/>
        <v>Squeaky4all|Recon</v>
      </c>
    </row>
    <row r="545" spans="1:9" x14ac:dyDescent="0.25">
      <c r="A545" t="s">
        <v>442</v>
      </c>
      <c r="B545" t="s">
        <v>22</v>
      </c>
      <c r="C545">
        <f t="shared" si="16"/>
        <v>44</v>
      </c>
      <c r="D545" cm="1">
        <f t="array" ref="D545">_xlfn.IFS(C545&lt;=50,7+10*(C545-1),C545&lt;=110,507+25*(C545-51),C545&lt;=170,2007+50*(C545-111),C545&lt;=250,5007+50*(C545-171))</f>
        <v>437</v>
      </c>
      <c r="E545" t="str" cm="1">
        <f t="array" ref="E545">IF(D545="","",_xlfn.IFS(D545&lt;=500,"Top_500",D545&lt;=2000,"501_2000",D545&lt;=5000,"2001_5000",D545&lt;=10000,"5001_10000"))</f>
        <v>Top_500</v>
      </c>
      <c r="F545">
        <v>7378</v>
      </c>
      <c r="G545">
        <v>140</v>
      </c>
      <c r="H545" s="13">
        <v>46053</v>
      </c>
      <c r="I545" s="8" t="str">
        <f t="shared" si="17"/>
        <v>Xeo_TV | YT|Recon</v>
      </c>
    </row>
    <row r="546" spans="1:9" x14ac:dyDescent="0.25">
      <c r="A546" t="s">
        <v>443</v>
      </c>
      <c r="B546" t="s">
        <v>22</v>
      </c>
      <c r="C546">
        <f t="shared" si="16"/>
        <v>45</v>
      </c>
      <c r="D546" cm="1">
        <f t="array" ref="D546">_xlfn.IFS(C546&lt;=50,7+10*(C546-1),C546&lt;=110,507+25*(C546-51),C546&lt;=170,2007+50*(C546-111),C546&lt;=250,5007+50*(C546-171))</f>
        <v>447</v>
      </c>
      <c r="E546" t="str" cm="1">
        <f t="array" ref="E546">IF(D546="","",_xlfn.IFS(D546&lt;=500,"Top_500",D546&lt;=2000,"501_2000",D546&lt;=5000,"2001_5000",D546&lt;=10000,"5001_10000"))</f>
        <v>Top_500</v>
      </c>
      <c r="F546">
        <v>7547</v>
      </c>
      <c r="G546">
        <v>208</v>
      </c>
      <c r="H546" s="13">
        <v>46053</v>
      </c>
      <c r="I546" s="8" t="str">
        <f t="shared" si="17"/>
        <v>Silenko|Recon</v>
      </c>
    </row>
    <row r="547" spans="1:9" x14ac:dyDescent="0.25">
      <c r="A547" t="s">
        <v>444</v>
      </c>
      <c r="B547" t="s">
        <v>22</v>
      </c>
      <c r="C547">
        <f t="shared" si="16"/>
        <v>46</v>
      </c>
      <c r="D547" cm="1">
        <f t="array" ref="D547">_xlfn.IFS(C547&lt;=50,7+10*(C547-1),C547&lt;=110,507+25*(C547-51),C547&lt;=170,2007+50*(C547-111),C547&lt;=250,5007+50*(C547-171))</f>
        <v>457</v>
      </c>
      <c r="E547" t="str" cm="1">
        <f t="array" ref="E547">IF(D547="","",_xlfn.IFS(D547&lt;=500,"Top_500",D547&lt;=2000,"501_2000",D547&lt;=5000,"2001_5000",D547&lt;=10000,"5001_10000"))</f>
        <v>Top_500</v>
      </c>
      <c r="F547">
        <v>7507</v>
      </c>
      <c r="G547">
        <v>111</v>
      </c>
      <c r="H547" s="13">
        <v>46053</v>
      </c>
      <c r="I547" s="8" t="str">
        <f t="shared" si="17"/>
        <v>THE_CLEANER-VIP-|Recon</v>
      </c>
    </row>
    <row r="548" spans="1:9" x14ac:dyDescent="0.25">
      <c r="A548" t="s">
        <v>445</v>
      </c>
      <c r="B548" t="s">
        <v>22</v>
      </c>
      <c r="C548">
        <f t="shared" si="16"/>
        <v>47</v>
      </c>
      <c r="D548" cm="1">
        <f t="array" ref="D548">_xlfn.IFS(C548&lt;=50,7+10*(C548-1),C548&lt;=110,507+25*(C548-51),C548&lt;=170,2007+50*(C548-111),C548&lt;=250,5007+50*(C548-171))</f>
        <v>467</v>
      </c>
      <c r="E548" t="str" cm="1">
        <f t="array" ref="E548">IF(D548="","",_xlfn.IFS(D548&lt;=500,"Top_500",D548&lt;=2000,"501_2000",D548&lt;=5000,"2001_5000",D548&lt;=10000,"5001_10000"))</f>
        <v>Top_500</v>
      </c>
      <c r="F548">
        <v>7939</v>
      </c>
      <c r="G548">
        <v>139</v>
      </c>
      <c r="H548" s="13">
        <v>46053</v>
      </c>
      <c r="I548" s="8" t="str">
        <f t="shared" si="17"/>
        <v>Mxyu|Recon</v>
      </c>
    </row>
    <row r="549" spans="1:9" x14ac:dyDescent="0.25">
      <c r="A549" t="s">
        <v>446</v>
      </c>
      <c r="B549" t="s">
        <v>22</v>
      </c>
      <c r="C549">
        <f t="shared" si="16"/>
        <v>48</v>
      </c>
      <c r="D549" cm="1">
        <f t="array" ref="D549">_xlfn.IFS(C549&lt;=50,7+10*(C549-1),C549&lt;=110,507+25*(C549-51),C549&lt;=170,2007+50*(C549-111),C549&lt;=250,5007+50*(C549-171))</f>
        <v>477</v>
      </c>
      <c r="E549" t="str" cm="1">
        <f t="array" ref="E549">IF(D549="","",_xlfn.IFS(D549&lt;=500,"Top_500",D549&lt;=2000,"501_2000",D549&lt;=5000,"2001_5000",D549&lt;=10000,"5001_10000"))</f>
        <v>Top_500</v>
      </c>
      <c r="F549">
        <v>7231</v>
      </c>
      <c r="G549">
        <v>183</v>
      </c>
      <c r="H549" s="13">
        <v>46053</v>
      </c>
      <c r="I549" s="8" t="str">
        <f t="shared" si="17"/>
        <v>zekim21TTV|Recon</v>
      </c>
    </row>
    <row r="550" spans="1:9" x14ac:dyDescent="0.25">
      <c r="A550" t="s">
        <v>447</v>
      </c>
      <c r="B550" t="s">
        <v>22</v>
      </c>
      <c r="C550">
        <f t="shared" si="16"/>
        <v>49</v>
      </c>
      <c r="D550" cm="1">
        <f t="array" ref="D550">_xlfn.IFS(C550&lt;=50,7+10*(C550-1),C550&lt;=110,507+25*(C550-51),C550&lt;=170,2007+50*(C550-111),C550&lt;=250,5007+50*(C550-171))</f>
        <v>487</v>
      </c>
      <c r="E550" t="str" cm="1">
        <f t="array" ref="E550">IF(D550="","",_xlfn.IFS(D550&lt;=500,"Top_500",D550&lt;=2000,"501_2000",D550&lt;=5000,"2001_5000",D550&lt;=10000,"5001_10000"))</f>
        <v>Top_500</v>
      </c>
      <c r="F550">
        <v>7219</v>
      </c>
      <c r="G550">
        <v>231</v>
      </c>
      <c r="H550" s="13">
        <v>46053</v>
      </c>
      <c r="I550" s="8" t="str">
        <f t="shared" si="17"/>
        <v>paid actor|Recon</v>
      </c>
    </row>
    <row r="551" spans="1:9" x14ac:dyDescent="0.25">
      <c r="A551" t="s">
        <v>448</v>
      </c>
      <c r="B551" t="s">
        <v>22</v>
      </c>
      <c r="C551">
        <f t="shared" si="16"/>
        <v>50</v>
      </c>
      <c r="D551" cm="1">
        <f t="array" ref="D551">_xlfn.IFS(C551&lt;=50,7+10*(C551-1),C551&lt;=110,507+25*(C551-51),C551&lt;=170,2007+50*(C551-111),C551&lt;=250,5007+50*(C551-171))</f>
        <v>497</v>
      </c>
      <c r="E551" t="str" cm="1">
        <f t="array" ref="E551">IF(D551="","",_xlfn.IFS(D551&lt;=500,"Top_500",D551&lt;=2000,"501_2000",D551&lt;=5000,"2001_5000",D551&lt;=10000,"5001_10000"))</f>
        <v>Top_500</v>
      </c>
      <c r="F551">
        <v>7118</v>
      </c>
      <c r="G551">
        <v>87</v>
      </c>
      <c r="H551" s="13">
        <v>46053</v>
      </c>
      <c r="I551" s="8" t="str">
        <f t="shared" si="17"/>
        <v>Too_Shiko|Recon</v>
      </c>
    </row>
    <row r="552" spans="1:9" x14ac:dyDescent="0.25">
      <c r="A552" t="s">
        <v>449</v>
      </c>
      <c r="B552" t="s">
        <v>22</v>
      </c>
      <c r="C552">
        <f t="shared" si="16"/>
        <v>51</v>
      </c>
      <c r="D552" cm="1">
        <f t="array" ref="D552">_xlfn.IFS(C552&lt;=50,7+10*(C552-1),C552&lt;=110,507+25*(C552-51),C552&lt;=170,2007+50*(C552-111),C552&lt;=250,5007+50*(C552-171))</f>
        <v>507</v>
      </c>
      <c r="E552" t="str" cm="1">
        <f t="array" ref="E552">IF(D552="","",_xlfn.IFS(D552&lt;=500,"Top_500",D552&lt;=2000,"501_2000",D552&lt;=5000,"2001_5000",D552&lt;=10000,"5001_10000"))</f>
        <v>501_2000</v>
      </c>
      <c r="F552">
        <v>7189</v>
      </c>
      <c r="G552">
        <v>82</v>
      </c>
      <c r="H552" s="13">
        <v>46053</v>
      </c>
      <c r="I552" s="8" t="str">
        <f t="shared" si="17"/>
        <v>AkudamaX|Recon</v>
      </c>
    </row>
    <row r="553" spans="1:9" x14ac:dyDescent="0.25">
      <c r="A553" t="s">
        <v>450</v>
      </c>
      <c r="B553" t="s">
        <v>22</v>
      </c>
      <c r="C553">
        <f t="shared" si="16"/>
        <v>52</v>
      </c>
      <c r="D553" cm="1">
        <f t="array" ref="D553">_xlfn.IFS(C553&lt;=50,7+10*(C553-1),C553&lt;=110,507+25*(C553-51),C553&lt;=170,2007+50*(C553-111),C553&lt;=250,5007+50*(C553-171))</f>
        <v>532</v>
      </c>
      <c r="E553" t="str" cm="1">
        <f t="array" ref="E553">IF(D553="","",_xlfn.IFS(D553&lt;=500,"Top_500",D553&lt;=2000,"501_2000",D553&lt;=5000,"2001_5000",D553&lt;=10000,"5001_10000"))</f>
        <v>501_2000</v>
      </c>
      <c r="F553">
        <v>7288</v>
      </c>
      <c r="G553">
        <v>145</v>
      </c>
      <c r="H553" s="13">
        <v>46053</v>
      </c>
      <c r="I553" s="8" t="str">
        <f t="shared" si="17"/>
        <v>Spark|Recon</v>
      </c>
    </row>
    <row r="554" spans="1:9" x14ac:dyDescent="0.25">
      <c r="A554" t="s">
        <v>451</v>
      </c>
      <c r="B554" t="s">
        <v>22</v>
      </c>
      <c r="C554">
        <f t="shared" si="16"/>
        <v>53</v>
      </c>
      <c r="D554" cm="1">
        <f t="array" ref="D554">_xlfn.IFS(C554&lt;=50,7+10*(C554-1),C554&lt;=110,507+25*(C554-51),C554&lt;=170,2007+50*(C554-111),C554&lt;=250,5007+50*(C554-171))</f>
        <v>557</v>
      </c>
      <c r="E554" t="str" cm="1">
        <f t="array" ref="E554">IF(D554="","",_xlfn.IFS(D554&lt;=500,"Top_500",D554&lt;=2000,"501_2000",D554&lt;=5000,"2001_5000",D554&lt;=10000,"5001_10000"))</f>
        <v>501_2000</v>
      </c>
      <c r="F554">
        <v>7029</v>
      </c>
      <c r="G554">
        <v>106</v>
      </c>
      <c r="H554" s="13">
        <v>46053</v>
      </c>
      <c r="I554" s="8" t="str">
        <f t="shared" si="17"/>
        <v>Curtron|Recon</v>
      </c>
    </row>
    <row r="555" spans="1:9" x14ac:dyDescent="0.25">
      <c r="A555" t="s">
        <v>452</v>
      </c>
      <c r="B555" t="s">
        <v>22</v>
      </c>
      <c r="C555">
        <f t="shared" si="16"/>
        <v>54</v>
      </c>
      <c r="D555" cm="1">
        <f t="array" ref="D555">_xlfn.IFS(C555&lt;=50,7+10*(C555-1),C555&lt;=110,507+25*(C555-51),C555&lt;=170,2007+50*(C555-111),C555&lt;=250,5007+50*(C555-171))</f>
        <v>582</v>
      </c>
      <c r="E555" t="str" cm="1">
        <f t="array" ref="E555">IF(D555="","",_xlfn.IFS(D555&lt;=500,"Top_500",D555&lt;=2000,"501_2000",D555&lt;=5000,"2001_5000",D555&lt;=10000,"5001_10000"))</f>
        <v>501_2000</v>
      </c>
      <c r="F555">
        <v>6763</v>
      </c>
      <c r="G555">
        <v>325</v>
      </c>
      <c r="H555" s="13">
        <v>46053</v>
      </c>
      <c r="I555" s="8" t="str">
        <f t="shared" si="17"/>
        <v>maverickman23=MM=|Recon</v>
      </c>
    </row>
    <row r="556" spans="1:9" x14ac:dyDescent="0.25">
      <c r="A556" t="s">
        <v>453</v>
      </c>
      <c r="B556" t="s">
        <v>22</v>
      </c>
      <c r="C556">
        <f t="shared" si="16"/>
        <v>55</v>
      </c>
      <c r="D556" cm="1">
        <f t="array" ref="D556">_xlfn.IFS(C556&lt;=50,7+10*(C556-1),C556&lt;=110,507+25*(C556-51),C556&lt;=170,2007+50*(C556-111),C556&lt;=250,5007+50*(C556-171))</f>
        <v>607</v>
      </c>
      <c r="E556" t="str" cm="1">
        <f t="array" ref="E556">IF(D556="","",_xlfn.IFS(D556&lt;=500,"Top_500",D556&lt;=2000,"501_2000",D556&lt;=5000,"2001_5000",D556&lt;=10000,"5001_10000"))</f>
        <v>501_2000</v>
      </c>
      <c r="F556">
        <v>6681</v>
      </c>
      <c r="G556">
        <v>100</v>
      </c>
      <c r="H556" s="13">
        <v>46053</v>
      </c>
      <c r="I556" s="8" t="str">
        <f t="shared" si="17"/>
        <v>Mr. Todello|Recon</v>
      </c>
    </row>
    <row r="557" spans="1:9" x14ac:dyDescent="0.25">
      <c r="A557" t="s">
        <v>454</v>
      </c>
      <c r="B557" t="s">
        <v>22</v>
      </c>
      <c r="C557">
        <f t="shared" si="16"/>
        <v>56</v>
      </c>
      <c r="D557" cm="1">
        <f t="array" ref="D557">_xlfn.IFS(C557&lt;=50,7+10*(C557-1),C557&lt;=110,507+25*(C557-51),C557&lt;=170,2007+50*(C557-111),C557&lt;=250,5007+50*(C557-171))</f>
        <v>632</v>
      </c>
      <c r="E557" t="str" cm="1">
        <f t="array" ref="E557">IF(D557="","",_xlfn.IFS(D557&lt;=500,"Top_500",D557&lt;=2000,"501_2000",D557&lt;=5000,"2001_5000",D557&lt;=10000,"5001_10000"))</f>
        <v>501_2000</v>
      </c>
      <c r="F557">
        <v>6882</v>
      </c>
      <c r="G557">
        <v>276</v>
      </c>
      <c r="H557" s="13">
        <v>46053</v>
      </c>
      <c r="I557" s="8" t="str">
        <f t="shared" si="17"/>
        <v>Stoned10thMtnVet|Recon</v>
      </c>
    </row>
    <row r="558" spans="1:9" x14ac:dyDescent="0.25">
      <c r="A558" t="s">
        <v>455</v>
      </c>
      <c r="B558" t="s">
        <v>22</v>
      </c>
      <c r="C558">
        <f t="shared" si="16"/>
        <v>57</v>
      </c>
      <c r="D558" cm="1">
        <f t="array" ref="D558">_xlfn.IFS(C558&lt;=50,7+10*(C558-1),C558&lt;=110,507+25*(C558-51),C558&lt;=170,2007+50*(C558-111),C558&lt;=250,5007+50*(C558-171))</f>
        <v>657</v>
      </c>
      <c r="E558" t="str" cm="1">
        <f t="array" ref="E558">IF(D558="","",_xlfn.IFS(D558&lt;=500,"Top_500",D558&lt;=2000,"501_2000",D558&lt;=5000,"2001_5000",D558&lt;=10000,"5001_10000"))</f>
        <v>501_2000</v>
      </c>
      <c r="F558">
        <v>6577</v>
      </c>
      <c r="G558">
        <v>203</v>
      </c>
      <c r="H558" s="13">
        <v>46053</v>
      </c>
      <c r="I558" s="8" t="str">
        <f t="shared" si="17"/>
        <v>Dark_Drunick is Free-ABH|Recon</v>
      </c>
    </row>
    <row r="559" spans="1:9" x14ac:dyDescent="0.25">
      <c r="A559" t="s">
        <v>456</v>
      </c>
      <c r="B559" t="s">
        <v>22</v>
      </c>
      <c r="C559">
        <f t="shared" si="16"/>
        <v>58</v>
      </c>
      <c r="D559" cm="1">
        <f t="array" ref="D559">_xlfn.IFS(C559&lt;=50,7+10*(C559-1),C559&lt;=110,507+25*(C559-51),C559&lt;=170,2007+50*(C559-111),C559&lt;=250,5007+50*(C559-171))</f>
        <v>682</v>
      </c>
      <c r="E559" t="str" cm="1">
        <f t="array" ref="E559">IF(D559="","",_xlfn.IFS(D559&lt;=500,"Top_500",D559&lt;=2000,"501_2000",D559&lt;=5000,"2001_5000",D559&lt;=10000,"5001_10000"))</f>
        <v>501_2000</v>
      </c>
      <c r="F559">
        <v>7871</v>
      </c>
      <c r="G559">
        <v>248</v>
      </c>
      <c r="H559" s="13">
        <v>46053</v>
      </c>
      <c r="I559" s="8" t="str">
        <f t="shared" si="17"/>
        <v>THE_MAJESTIC_PTERODACTYL|Recon</v>
      </c>
    </row>
    <row r="560" spans="1:9" x14ac:dyDescent="0.25">
      <c r="A560" t="s">
        <v>457</v>
      </c>
      <c r="B560" t="s">
        <v>22</v>
      </c>
      <c r="C560">
        <f t="shared" si="16"/>
        <v>59</v>
      </c>
      <c r="D560" cm="1">
        <f t="array" ref="D560">_xlfn.IFS(C560&lt;=50,7+10*(C560-1),C560&lt;=110,507+25*(C560-51),C560&lt;=170,2007+50*(C560-111),C560&lt;=250,5007+50*(C560-171))</f>
        <v>707</v>
      </c>
      <c r="E560" t="str" cm="1">
        <f t="array" ref="E560">IF(D560="","",_xlfn.IFS(D560&lt;=500,"Top_500",D560&lt;=2000,"501_2000",D560&lt;=5000,"2001_5000",D560&lt;=10000,"5001_10000"))</f>
        <v>501_2000</v>
      </c>
      <c r="F560">
        <v>6499</v>
      </c>
      <c r="G560">
        <v>110</v>
      </c>
      <c r="H560" s="13">
        <v>46053</v>
      </c>
      <c r="I560" s="8" t="str">
        <f t="shared" si="17"/>
        <v>miecugow|Recon</v>
      </c>
    </row>
    <row r="561" spans="1:9" x14ac:dyDescent="0.25">
      <c r="A561" t="s">
        <v>458</v>
      </c>
      <c r="B561" t="s">
        <v>22</v>
      </c>
      <c r="C561">
        <f t="shared" si="16"/>
        <v>60</v>
      </c>
      <c r="D561" cm="1">
        <f t="array" ref="D561">_xlfn.IFS(C561&lt;=50,7+10*(C561-1),C561&lt;=110,507+25*(C561-51),C561&lt;=170,2007+50*(C561-111),C561&lt;=250,5007+50*(C561-171))</f>
        <v>732</v>
      </c>
      <c r="E561" t="str" cm="1">
        <f t="array" ref="E561">IF(D561="","",_xlfn.IFS(D561&lt;=500,"Top_500",D561&lt;=2000,"501_2000",D561&lt;=5000,"2001_5000",D561&lt;=10000,"5001_10000"))</f>
        <v>501_2000</v>
      </c>
      <c r="F561">
        <v>6304</v>
      </c>
      <c r="G561">
        <v>132</v>
      </c>
      <c r="H561" s="13">
        <v>46053</v>
      </c>
      <c r="I561" s="8" t="str">
        <f t="shared" si="17"/>
        <v>Valdise|Recon</v>
      </c>
    </row>
    <row r="562" spans="1:9" x14ac:dyDescent="0.25">
      <c r="A562" t="s">
        <v>459</v>
      </c>
      <c r="B562" t="s">
        <v>22</v>
      </c>
      <c r="C562">
        <f t="shared" si="16"/>
        <v>61</v>
      </c>
      <c r="D562" cm="1">
        <f t="array" ref="D562">_xlfn.IFS(C562&lt;=50,7+10*(C562-1),C562&lt;=110,507+25*(C562-51),C562&lt;=170,2007+50*(C562-111),C562&lt;=250,5007+50*(C562-171))</f>
        <v>757</v>
      </c>
      <c r="E562" t="str" cm="1">
        <f t="array" ref="E562">IF(D562="","",_xlfn.IFS(D562&lt;=500,"Top_500",D562&lt;=2000,"501_2000",D562&lt;=5000,"2001_5000",D562&lt;=10000,"5001_10000"))</f>
        <v>501_2000</v>
      </c>
      <c r="F562">
        <v>10480</v>
      </c>
      <c r="G562">
        <v>120</v>
      </c>
      <c r="H562" s="13">
        <v>46053</v>
      </c>
      <c r="I562" s="8" t="str">
        <f t="shared" si="17"/>
        <v>Duvdevan-1|Recon</v>
      </c>
    </row>
    <row r="563" spans="1:9" x14ac:dyDescent="0.25">
      <c r="A563" t="s">
        <v>460</v>
      </c>
      <c r="B563" t="s">
        <v>22</v>
      </c>
      <c r="C563">
        <f t="shared" si="16"/>
        <v>62</v>
      </c>
      <c r="D563" cm="1">
        <f t="array" ref="D563">_xlfn.IFS(C563&lt;=50,7+10*(C563-1),C563&lt;=110,507+25*(C563-51),C563&lt;=170,2007+50*(C563-111),C563&lt;=250,5007+50*(C563-171))</f>
        <v>782</v>
      </c>
      <c r="E563" t="str" cm="1">
        <f t="array" ref="E563">IF(D563="","",_xlfn.IFS(D563&lt;=500,"Top_500",D563&lt;=2000,"501_2000",D563&lt;=5000,"2001_5000",D563&lt;=10000,"5001_10000"))</f>
        <v>501_2000</v>
      </c>
      <c r="F563">
        <v>6681</v>
      </c>
      <c r="G563">
        <v>111</v>
      </c>
      <c r="H563" s="13">
        <v>46053</v>
      </c>
      <c r="I563" s="8" t="str">
        <f t="shared" si="17"/>
        <v>Taojie-117|Recon</v>
      </c>
    </row>
    <row r="564" spans="1:9" x14ac:dyDescent="0.25">
      <c r="A564" t="s">
        <v>461</v>
      </c>
      <c r="B564" t="s">
        <v>22</v>
      </c>
      <c r="C564">
        <f t="shared" si="16"/>
        <v>63</v>
      </c>
      <c r="D564" cm="1">
        <f t="array" ref="D564">_xlfn.IFS(C564&lt;=50,7+10*(C564-1),C564&lt;=110,507+25*(C564-51),C564&lt;=170,2007+50*(C564-111),C564&lt;=250,5007+50*(C564-171))</f>
        <v>807</v>
      </c>
      <c r="E564" t="str" cm="1">
        <f t="array" ref="E564">IF(D564="","",_xlfn.IFS(D564&lt;=500,"Top_500",D564&lt;=2000,"501_2000",D564&lt;=5000,"2001_5000",D564&lt;=10000,"5001_10000"))</f>
        <v>501_2000</v>
      </c>
      <c r="F564">
        <v>7180</v>
      </c>
      <c r="G564">
        <v>154</v>
      </c>
      <c r="H564" s="13">
        <v>46053</v>
      </c>
      <c r="I564" s="8" t="str">
        <f t="shared" si="17"/>
        <v>LandingSupport|Recon</v>
      </c>
    </row>
    <row r="565" spans="1:9" x14ac:dyDescent="0.25">
      <c r="A565" t="s">
        <v>462</v>
      </c>
      <c r="B565" t="s">
        <v>22</v>
      </c>
      <c r="C565">
        <f t="shared" si="16"/>
        <v>64</v>
      </c>
      <c r="D565" cm="1">
        <f t="array" ref="D565">_xlfn.IFS(C565&lt;=50,7+10*(C565-1),C565&lt;=110,507+25*(C565-51),C565&lt;=170,2007+50*(C565-111),C565&lt;=250,5007+50*(C565-171))</f>
        <v>832</v>
      </c>
      <c r="E565" t="str" cm="1">
        <f t="array" ref="E565">IF(D565="","",_xlfn.IFS(D565&lt;=500,"Top_500",D565&lt;=2000,"501_2000",D565&lt;=5000,"2001_5000",D565&lt;=10000,"5001_10000"))</f>
        <v>501_2000</v>
      </c>
      <c r="F565">
        <v>6057</v>
      </c>
      <c r="G565">
        <v>132</v>
      </c>
      <c r="H565" s="13">
        <v>46053</v>
      </c>
      <c r="I565" s="8" t="str">
        <f t="shared" si="17"/>
        <v>t-money360|Recon</v>
      </c>
    </row>
    <row r="566" spans="1:9" x14ac:dyDescent="0.25">
      <c r="A566" t="s">
        <v>463</v>
      </c>
      <c r="B566" t="s">
        <v>22</v>
      </c>
      <c r="C566">
        <f t="shared" si="16"/>
        <v>65</v>
      </c>
      <c r="D566" cm="1">
        <f t="array" ref="D566">_xlfn.IFS(C566&lt;=50,7+10*(C566-1),C566&lt;=110,507+25*(C566-51),C566&lt;=170,2007+50*(C566-111),C566&lt;=250,5007+50*(C566-171))</f>
        <v>857</v>
      </c>
      <c r="E566" t="str" cm="1">
        <f t="array" ref="E566">IF(D566="","",_xlfn.IFS(D566&lt;=500,"Top_500",D566&lt;=2000,"501_2000",D566&lt;=5000,"2001_5000",D566&lt;=10000,"5001_10000"))</f>
        <v>501_2000</v>
      </c>
      <c r="F566">
        <v>6929</v>
      </c>
      <c r="G566">
        <v>89</v>
      </c>
      <c r="H566" s="13">
        <v>46053</v>
      </c>
      <c r="I566" s="8" t="str">
        <f t="shared" si="17"/>
        <v>alexolibaz|Recon</v>
      </c>
    </row>
    <row r="567" spans="1:9" x14ac:dyDescent="0.25">
      <c r="A567" t="s">
        <v>464</v>
      </c>
      <c r="B567" t="s">
        <v>22</v>
      </c>
      <c r="C567">
        <f t="shared" si="16"/>
        <v>66</v>
      </c>
      <c r="D567" cm="1">
        <f t="array" ref="D567">_xlfn.IFS(C567&lt;=50,7+10*(C567-1),C567&lt;=110,507+25*(C567-51),C567&lt;=170,2007+50*(C567-111),C567&lt;=250,5007+50*(C567-171))</f>
        <v>882</v>
      </c>
      <c r="E567" t="str" cm="1">
        <f t="array" ref="E567">IF(D567="","",_xlfn.IFS(D567&lt;=500,"Top_500",D567&lt;=2000,"501_2000",D567&lt;=5000,"2001_5000",D567&lt;=10000,"5001_10000"))</f>
        <v>501_2000</v>
      </c>
      <c r="F567">
        <v>6185</v>
      </c>
      <c r="G567">
        <v>159</v>
      </c>
      <c r="H567" s="13">
        <v>46053</v>
      </c>
      <c r="I567" s="8" t="str">
        <f t="shared" si="17"/>
        <v>XND-RAZIEL|Recon</v>
      </c>
    </row>
    <row r="568" spans="1:9" x14ac:dyDescent="0.25">
      <c r="A568" t="s">
        <v>465</v>
      </c>
      <c r="B568" t="s">
        <v>22</v>
      </c>
      <c r="C568">
        <f t="shared" si="16"/>
        <v>67</v>
      </c>
      <c r="D568" cm="1">
        <f t="array" ref="D568">_xlfn.IFS(C568&lt;=50,7+10*(C568-1),C568&lt;=110,507+25*(C568-51),C568&lt;=170,2007+50*(C568-111),C568&lt;=250,5007+50*(C568-171))</f>
        <v>907</v>
      </c>
      <c r="E568" t="str" cm="1">
        <f t="array" ref="E568">IF(D568="","",_xlfn.IFS(D568&lt;=500,"Top_500",D568&lt;=2000,"501_2000",D568&lt;=5000,"2001_5000",D568&lt;=10000,"5001_10000"))</f>
        <v>501_2000</v>
      </c>
      <c r="F568">
        <v>5865</v>
      </c>
      <c r="G568">
        <v>306</v>
      </c>
      <c r="H568" s="13">
        <v>46053</v>
      </c>
      <c r="I568" s="8" t="str">
        <f t="shared" si="17"/>
        <v>MMMDOGSOLDIER13|Recon</v>
      </c>
    </row>
    <row r="569" spans="1:9" x14ac:dyDescent="0.25">
      <c r="A569" t="s">
        <v>466</v>
      </c>
      <c r="B569" t="s">
        <v>22</v>
      </c>
      <c r="C569">
        <f t="shared" si="16"/>
        <v>68</v>
      </c>
      <c r="D569" cm="1">
        <f t="array" ref="D569">_xlfn.IFS(C569&lt;=50,7+10*(C569-1),C569&lt;=110,507+25*(C569-51),C569&lt;=170,2007+50*(C569-111),C569&lt;=250,5007+50*(C569-171))</f>
        <v>932</v>
      </c>
      <c r="E569" t="str" cm="1">
        <f t="array" ref="E569">IF(D569="","",_xlfn.IFS(D569&lt;=500,"Top_500",D569&lt;=2000,"501_2000",D569&lt;=5000,"2001_5000",D569&lt;=10000,"5001_10000"))</f>
        <v>501_2000</v>
      </c>
      <c r="F569">
        <v>5825</v>
      </c>
      <c r="G569">
        <v>409</v>
      </c>
      <c r="H569" s="13">
        <v>46053</v>
      </c>
      <c r="I569" s="8" t="str">
        <f t="shared" si="17"/>
        <v>BilibiLi-iDSGDAi|Recon</v>
      </c>
    </row>
    <row r="570" spans="1:9" x14ac:dyDescent="0.25">
      <c r="A570" t="s">
        <v>467</v>
      </c>
      <c r="B570" t="s">
        <v>22</v>
      </c>
      <c r="C570">
        <f t="shared" si="16"/>
        <v>69</v>
      </c>
      <c r="D570" cm="1">
        <f t="array" ref="D570">_xlfn.IFS(C570&lt;=50,7+10*(C570-1),C570&lt;=110,507+25*(C570-51),C570&lt;=170,2007+50*(C570-111),C570&lt;=250,5007+50*(C570-171))</f>
        <v>957</v>
      </c>
      <c r="E570" t="str" cm="1">
        <f t="array" ref="E570">IF(D570="","",_xlfn.IFS(D570&lt;=500,"Top_500",D570&lt;=2000,"501_2000",D570&lt;=5000,"2001_5000",D570&lt;=10000,"5001_10000"))</f>
        <v>501_2000</v>
      </c>
      <c r="F570">
        <v>5766</v>
      </c>
      <c r="G570">
        <v>64</v>
      </c>
      <c r="H570" s="13">
        <v>46053</v>
      </c>
      <c r="I570" s="8" t="str">
        <f t="shared" si="17"/>
        <v>性感蛤P在线打枪|Recon</v>
      </c>
    </row>
    <row r="571" spans="1:9" x14ac:dyDescent="0.25">
      <c r="A571" t="s">
        <v>468</v>
      </c>
      <c r="B571" t="s">
        <v>22</v>
      </c>
      <c r="C571">
        <f t="shared" si="16"/>
        <v>70</v>
      </c>
      <c r="D571" cm="1">
        <f t="array" ref="D571">_xlfn.IFS(C571&lt;=50,7+10*(C571-1),C571&lt;=110,507+25*(C571-51),C571&lt;=170,2007+50*(C571-111),C571&lt;=250,5007+50*(C571-171))</f>
        <v>982</v>
      </c>
      <c r="E571" t="str" cm="1">
        <f t="array" ref="E571">IF(D571="","",_xlfn.IFS(D571&lt;=500,"Top_500",D571&lt;=2000,"501_2000",D571&lt;=5000,"2001_5000",D571&lt;=10000,"5001_10000"))</f>
        <v>501_2000</v>
      </c>
      <c r="F571">
        <v>6580</v>
      </c>
      <c r="G571">
        <v>225</v>
      </c>
      <c r="H571" s="13">
        <v>46053</v>
      </c>
      <c r="I571" s="8" t="str">
        <f t="shared" si="17"/>
        <v>louco_007-YT_T|Recon</v>
      </c>
    </row>
    <row r="572" spans="1:9" x14ac:dyDescent="0.25">
      <c r="A572" t="s">
        <v>469</v>
      </c>
      <c r="B572" t="s">
        <v>22</v>
      </c>
      <c r="C572">
        <f t="shared" si="16"/>
        <v>71</v>
      </c>
      <c r="D572" cm="1">
        <f t="array" ref="D572">_xlfn.IFS(C572&lt;=50,7+10*(C572-1),C572&lt;=110,507+25*(C572-51),C572&lt;=170,2007+50*(C572-111),C572&lt;=250,5007+50*(C572-171))</f>
        <v>1007</v>
      </c>
      <c r="E572" t="str" cm="1">
        <f t="array" ref="E572">IF(D572="","",_xlfn.IFS(D572&lt;=500,"Top_500",D572&lt;=2000,"501_2000",D572&lt;=5000,"2001_5000",D572&lt;=10000,"5001_10000"))</f>
        <v>501_2000</v>
      </c>
      <c r="F572">
        <v>5649</v>
      </c>
      <c r="G572">
        <v>132</v>
      </c>
      <c r="H572" s="13">
        <v>46053</v>
      </c>
      <c r="I572" s="8" t="str">
        <f t="shared" si="17"/>
        <v>ade_do|Recon</v>
      </c>
    </row>
    <row r="573" spans="1:9" x14ac:dyDescent="0.25">
      <c r="A573" t="s">
        <v>470</v>
      </c>
      <c r="B573" t="s">
        <v>22</v>
      </c>
      <c r="C573">
        <f t="shared" si="16"/>
        <v>72</v>
      </c>
      <c r="D573" cm="1">
        <f t="array" ref="D573">_xlfn.IFS(C573&lt;=50,7+10*(C573-1),C573&lt;=110,507+25*(C573-51),C573&lt;=170,2007+50*(C573-111),C573&lt;=250,5007+50*(C573-171))</f>
        <v>1032</v>
      </c>
      <c r="E573" t="str" cm="1">
        <f t="array" ref="E573">IF(D573="","",_xlfn.IFS(D573&lt;=500,"Top_500",D573&lt;=2000,"501_2000",D573&lt;=5000,"2001_5000",D573&lt;=10000,"5001_10000"))</f>
        <v>501_2000</v>
      </c>
      <c r="F573">
        <v>7736</v>
      </c>
      <c r="G573">
        <v>208</v>
      </c>
      <c r="H573" s="13">
        <v>46053</v>
      </c>
      <c r="I573" s="8" t="str">
        <f t="shared" si="17"/>
        <v>showgunkid|Recon</v>
      </c>
    </row>
    <row r="574" spans="1:9" x14ac:dyDescent="0.25">
      <c r="A574" t="s">
        <v>471</v>
      </c>
      <c r="B574" t="s">
        <v>22</v>
      </c>
      <c r="C574">
        <f t="shared" si="16"/>
        <v>73</v>
      </c>
      <c r="D574" cm="1">
        <f t="array" ref="D574">_xlfn.IFS(C574&lt;=50,7+10*(C574-1),C574&lt;=110,507+25*(C574-51),C574&lt;=170,2007+50*(C574-111),C574&lt;=250,5007+50*(C574-171))</f>
        <v>1057</v>
      </c>
      <c r="E574" t="str" cm="1">
        <f t="array" ref="E574">IF(D574="","",_xlfn.IFS(D574&lt;=500,"Top_500",D574&lt;=2000,"501_2000",D574&lt;=5000,"2001_5000",D574&lt;=10000,"5001_10000"))</f>
        <v>501_2000</v>
      </c>
      <c r="F574">
        <v>5570</v>
      </c>
      <c r="G574">
        <v>122</v>
      </c>
      <c r="H574" s="13">
        <v>46053</v>
      </c>
      <c r="I574" s="8" t="str">
        <f t="shared" si="17"/>
        <v>PrimalX23|Recon</v>
      </c>
    </row>
    <row r="575" spans="1:9" x14ac:dyDescent="0.25">
      <c r="A575" t="s">
        <v>472</v>
      </c>
      <c r="B575" t="s">
        <v>22</v>
      </c>
      <c r="C575">
        <f t="shared" si="16"/>
        <v>74</v>
      </c>
      <c r="D575" cm="1">
        <f t="array" ref="D575">_xlfn.IFS(C575&lt;=50,7+10*(C575-1),C575&lt;=110,507+25*(C575-51),C575&lt;=170,2007+50*(C575-111),C575&lt;=250,5007+50*(C575-171))</f>
        <v>1082</v>
      </c>
      <c r="E575" t="str" cm="1">
        <f t="array" ref="E575">IF(D575="","",_xlfn.IFS(D575&lt;=500,"Top_500",D575&lt;=2000,"501_2000",D575&lt;=5000,"2001_5000",D575&lt;=10000,"5001_10000"))</f>
        <v>501_2000</v>
      </c>
      <c r="F575">
        <v>6442</v>
      </c>
      <c r="G575">
        <v>116</v>
      </c>
      <c r="H575" s="13">
        <v>46053</v>
      </c>
      <c r="I575" s="8" t="str">
        <f t="shared" si="17"/>
        <v>K1ng999|Recon</v>
      </c>
    </row>
    <row r="576" spans="1:9" x14ac:dyDescent="0.25">
      <c r="A576" t="s">
        <v>473</v>
      </c>
      <c r="B576" t="s">
        <v>22</v>
      </c>
      <c r="C576">
        <f t="shared" si="16"/>
        <v>75</v>
      </c>
      <c r="D576" cm="1">
        <f t="array" ref="D576">_xlfn.IFS(C576&lt;=50,7+10*(C576-1),C576&lt;=110,507+25*(C576-51),C576&lt;=170,2007+50*(C576-111),C576&lt;=250,5007+50*(C576-171))</f>
        <v>1107</v>
      </c>
      <c r="E576" t="str" cm="1">
        <f t="array" ref="E576">IF(D576="","",_xlfn.IFS(D576&lt;=500,"Top_500",D576&lt;=2000,"501_2000",D576&lt;=5000,"2001_5000",D576&lt;=10000,"5001_10000"))</f>
        <v>501_2000</v>
      </c>
      <c r="F576">
        <v>5555</v>
      </c>
      <c r="G576">
        <v>168</v>
      </c>
      <c r="H576" s="13">
        <v>46053</v>
      </c>
      <c r="I576" s="8" t="str">
        <f t="shared" si="17"/>
        <v>macamarcos|Recon</v>
      </c>
    </row>
    <row r="577" spans="1:9" x14ac:dyDescent="0.25">
      <c r="A577" t="s">
        <v>474</v>
      </c>
      <c r="B577" t="s">
        <v>22</v>
      </c>
      <c r="C577">
        <f t="shared" si="16"/>
        <v>76</v>
      </c>
      <c r="D577" cm="1">
        <f t="array" ref="D577">_xlfn.IFS(C577&lt;=50,7+10*(C577-1),C577&lt;=110,507+25*(C577-51),C577&lt;=170,2007+50*(C577-111),C577&lt;=250,5007+50*(C577-171))</f>
        <v>1132</v>
      </c>
      <c r="E577" t="str" cm="1">
        <f t="array" ref="E577">IF(D577="","",_xlfn.IFS(D577&lt;=500,"Top_500",D577&lt;=2000,"501_2000",D577&lt;=5000,"2001_5000",D577&lt;=10000,"5001_10000"))</f>
        <v>501_2000</v>
      </c>
      <c r="F577">
        <v>5513</v>
      </c>
      <c r="G577">
        <v>153</v>
      </c>
      <c r="H577" s="13">
        <v>46053</v>
      </c>
      <c r="I577" s="8" t="str">
        <f t="shared" si="17"/>
        <v>OneGekko|Recon</v>
      </c>
    </row>
    <row r="578" spans="1:9" x14ac:dyDescent="0.25">
      <c r="A578" t="s">
        <v>475</v>
      </c>
      <c r="B578" t="s">
        <v>22</v>
      </c>
      <c r="C578">
        <f t="shared" ref="C578:C641" si="18">IF(ROW()=2,1,IF(B578&lt;&gt;B577,1,C577+1))</f>
        <v>77</v>
      </c>
      <c r="D578" cm="1">
        <f t="array" ref="D578">_xlfn.IFS(C578&lt;=50,7+10*(C578-1),C578&lt;=110,507+25*(C578-51),C578&lt;=170,2007+50*(C578-111),C578&lt;=250,5007+50*(C578-171))</f>
        <v>1157</v>
      </c>
      <c r="E578" t="str" cm="1">
        <f t="array" ref="E578">IF(D578="","",_xlfn.IFS(D578&lt;=500,"Top_500",D578&lt;=2000,"501_2000",D578&lt;=5000,"2001_5000",D578&lt;=10000,"5001_10000"))</f>
        <v>501_2000</v>
      </c>
      <c r="F578">
        <v>5386</v>
      </c>
      <c r="G578">
        <v>222</v>
      </c>
      <c r="H578" s="13">
        <v>46053</v>
      </c>
      <c r="I578" s="8" t="str">
        <f t="shared" si="17"/>
        <v>Toobbee00|Recon</v>
      </c>
    </row>
    <row r="579" spans="1:9" x14ac:dyDescent="0.25">
      <c r="A579" t="s">
        <v>476</v>
      </c>
      <c r="B579" t="s">
        <v>22</v>
      </c>
      <c r="C579">
        <f t="shared" si="18"/>
        <v>78</v>
      </c>
      <c r="D579" cm="1">
        <f t="array" ref="D579">_xlfn.IFS(C579&lt;=50,7+10*(C579-1),C579&lt;=110,507+25*(C579-51),C579&lt;=170,2007+50*(C579-111),C579&lt;=250,5007+50*(C579-171))</f>
        <v>1182</v>
      </c>
      <c r="E579" t="str" cm="1">
        <f t="array" ref="E579">IF(D579="","",_xlfn.IFS(D579&lt;=500,"Top_500",D579&lt;=2000,"501_2000",D579&lt;=5000,"2001_5000",D579&lt;=10000,"5001_10000"))</f>
        <v>501_2000</v>
      </c>
      <c r="F579">
        <v>5508</v>
      </c>
      <c r="G579">
        <v>227</v>
      </c>
      <c r="H579" s="13">
        <v>46053</v>
      </c>
      <c r="I579" s="8" t="str">
        <f t="shared" ref="I579:I642" si="19">A579 &amp; "|" &amp; B579</f>
        <v>Bombardier|Recon</v>
      </c>
    </row>
    <row r="580" spans="1:9" x14ac:dyDescent="0.25">
      <c r="A580" t="s">
        <v>477</v>
      </c>
      <c r="B580" t="s">
        <v>22</v>
      </c>
      <c r="C580">
        <f t="shared" si="18"/>
        <v>79</v>
      </c>
      <c r="D580" cm="1">
        <f t="array" ref="D580">_xlfn.IFS(C580&lt;=50,7+10*(C580-1),C580&lt;=110,507+25*(C580-51),C580&lt;=170,2007+50*(C580-111),C580&lt;=250,5007+50*(C580-171))</f>
        <v>1207</v>
      </c>
      <c r="E580" t="str" cm="1">
        <f t="array" ref="E580">IF(D580="","",_xlfn.IFS(D580&lt;=500,"Top_500",D580&lt;=2000,"501_2000",D580&lt;=5000,"2001_5000",D580&lt;=10000,"5001_10000"))</f>
        <v>501_2000</v>
      </c>
      <c r="F580">
        <v>5559</v>
      </c>
      <c r="G580">
        <v>121</v>
      </c>
      <c r="H580" s="13">
        <v>46053</v>
      </c>
      <c r="I580" s="8" t="str">
        <f t="shared" si="19"/>
        <v>x Noxious Goat|Recon</v>
      </c>
    </row>
    <row r="581" spans="1:9" x14ac:dyDescent="0.25">
      <c r="A581" t="s">
        <v>478</v>
      </c>
      <c r="B581" t="s">
        <v>22</v>
      </c>
      <c r="C581">
        <f t="shared" si="18"/>
        <v>80</v>
      </c>
      <c r="D581" cm="1">
        <f t="array" ref="D581">_xlfn.IFS(C581&lt;=50,7+10*(C581-1),C581&lt;=110,507+25*(C581-51),C581&lt;=170,2007+50*(C581-111),C581&lt;=250,5007+50*(C581-171))</f>
        <v>1232</v>
      </c>
      <c r="E581" t="str" cm="1">
        <f t="array" ref="E581">IF(D581="","",_xlfn.IFS(D581&lt;=500,"Top_500",D581&lt;=2000,"501_2000",D581&lt;=5000,"2001_5000",D581&lt;=10000,"5001_10000"))</f>
        <v>501_2000</v>
      </c>
      <c r="F581">
        <v>5267</v>
      </c>
      <c r="G581">
        <v>169</v>
      </c>
      <c r="H581" s="13">
        <v>46053</v>
      </c>
      <c r="I581" s="8" t="str">
        <f t="shared" si="19"/>
        <v>eln2|Recon</v>
      </c>
    </row>
    <row r="582" spans="1:9" x14ac:dyDescent="0.25">
      <c r="A582" t="s">
        <v>479</v>
      </c>
      <c r="B582" t="s">
        <v>22</v>
      </c>
      <c r="C582">
        <f t="shared" si="18"/>
        <v>81</v>
      </c>
      <c r="D582" cm="1">
        <f t="array" ref="D582">_xlfn.IFS(C582&lt;=50,7+10*(C582-1),C582&lt;=110,507+25*(C582-51),C582&lt;=170,2007+50*(C582-111),C582&lt;=250,5007+50*(C582-171))</f>
        <v>1257</v>
      </c>
      <c r="E582" t="str" cm="1">
        <f t="array" ref="E582">IF(D582="","",_xlfn.IFS(D582&lt;=500,"Top_500",D582&lt;=2000,"501_2000",D582&lt;=5000,"2001_5000",D582&lt;=10000,"5001_10000"))</f>
        <v>501_2000</v>
      </c>
      <c r="F582">
        <v>5318</v>
      </c>
      <c r="G582">
        <v>238</v>
      </c>
      <c r="H582" s="13">
        <v>46053</v>
      </c>
      <c r="I582" s="8" t="str">
        <f t="shared" si="19"/>
        <v>xTempe|Recon</v>
      </c>
    </row>
    <row r="583" spans="1:9" x14ac:dyDescent="0.25">
      <c r="A583" t="s">
        <v>480</v>
      </c>
      <c r="B583" t="s">
        <v>22</v>
      </c>
      <c r="C583">
        <f t="shared" si="18"/>
        <v>82</v>
      </c>
      <c r="D583" cm="1">
        <f t="array" ref="D583">_xlfn.IFS(C583&lt;=50,7+10*(C583-1),C583&lt;=110,507+25*(C583-51),C583&lt;=170,2007+50*(C583-111),C583&lt;=250,5007+50*(C583-171))</f>
        <v>1282</v>
      </c>
      <c r="E583" t="str" cm="1">
        <f t="array" ref="E583">IF(D583="","",_xlfn.IFS(D583&lt;=500,"Top_500",D583&lt;=2000,"501_2000",D583&lt;=5000,"2001_5000",D583&lt;=10000,"5001_10000"))</f>
        <v>501_2000</v>
      </c>
      <c r="F583">
        <v>5382</v>
      </c>
      <c r="G583">
        <v>71</v>
      </c>
      <c r="H583" s="13">
        <v>46053</v>
      </c>
      <c r="I583" s="8" t="str">
        <f t="shared" si="19"/>
        <v>ZokaloneLGRX|Recon</v>
      </c>
    </row>
    <row r="584" spans="1:9" x14ac:dyDescent="0.25">
      <c r="A584" t="s">
        <v>481</v>
      </c>
      <c r="B584" t="s">
        <v>22</v>
      </c>
      <c r="C584">
        <f t="shared" si="18"/>
        <v>83</v>
      </c>
      <c r="D584" cm="1">
        <f t="array" ref="D584">_xlfn.IFS(C584&lt;=50,7+10*(C584-1),C584&lt;=110,507+25*(C584-51),C584&lt;=170,2007+50*(C584-111),C584&lt;=250,5007+50*(C584-171))</f>
        <v>1307</v>
      </c>
      <c r="E584" t="str" cm="1">
        <f t="array" ref="E584">IF(D584="","",_xlfn.IFS(D584&lt;=500,"Top_500",D584&lt;=2000,"501_2000",D584&lt;=5000,"2001_5000",D584&lt;=10000,"5001_10000"))</f>
        <v>501_2000</v>
      </c>
      <c r="F584">
        <v>5270</v>
      </c>
      <c r="G584">
        <v>113</v>
      </c>
      <c r="H584" s="13">
        <v>46053</v>
      </c>
      <c r="I584" s="8" t="str">
        <f t="shared" si="19"/>
        <v>BigYum|Recon</v>
      </c>
    </row>
    <row r="585" spans="1:9" x14ac:dyDescent="0.25">
      <c r="A585" t="s">
        <v>482</v>
      </c>
      <c r="B585" t="s">
        <v>22</v>
      </c>
      <c r="C585">
        <f t="shared" si="18"/>
        <v>84</v>
      </c>
      <c r="D585" cm="1">
        <f t="array" ref="D585">_xlfn.IFS(C585&lt;=50,7+10*(C585-1),C585&lt;=110,507+25*(C585-51),C585&lt;=170,2007+50*(C585-111),C585&lt;=250,5007+50*(C585-171))</f>
        <v>1332</v>
      </c>
      <c r="E585" t="str" cm="1">
        <f t="array" ref="E585">IF(D585="","",_xlfn.IFS(D585&lt;=500,"Top_500",D585&lt;=2000,"501_2000",D585&lt;=5000,"2001_5000",D585&lt;=10000,"5001_10000"))</f>
        <v>501_2000</v>
      </c>
      <c r="F585">
        <v>5290</v>
      </c>
      <c r="G585">
        <v>94</v>
      </c>
      <c r="H585" s="13">
        <v>46053</v>
      </c>
      <c r="I585" s="8" t="str">
        <f t="shared" si="19"/>
        <v>El-Cuco1|Recon</v>
      </c>
    </row>
    <row r="586" spans="1:9" x14ac:dyDescent="0.25">
      <c r="A586" t="s">
        <v>483</v>
      </c>
      <c r="B586" t="s">
        <v>22</v>
      </c>
      <c r="C586">
        <f t="shared" si="18"/>
        <v>85</v>
      </c>
      <c r="D586" cm="1">
        <f t="array" ref="D586">_xlfn.IFS(C586&lt;=50,7+10*(C586-1),C586&lt;=110,507+25*(C586-51),C586&lt;=170,2007+50*(C586-111),C586&lt;=250,5007+50*(C586-171))</f>
        <v>1357</v>
      </c>
      <c r="E586" t="str" cm="1">
        <f t="array" ref="E586">IF(D586="","",_xlfn.IFS(D586&lt;=500,"Top_500",D586&lt;=2000,"501_2000",D586&lt;=5000,"2001_5000",D586&lt;=10000,"5001_10000"))</f>
        <v>501_2000</v>
      </c>
      <c r="F586">
        <v>5323</v>
      </c>
      <c r="G586">
        <v>84</v>
      </c>
      <c r="H586" s="13">
        <v>46053</v>
      </c>
      <c r="I586" s="8" t="str">
        <f t="shared" si="19"/>
        <v>newrulesjkl|Recon</v>
      </c>
    </row>
    <row r="587" spans="1:9" x14ac:dyDescent="0.25">
      <c r="A587" t="s">
        <v>484</v>
      </c>
      <c r="B587" t="s">
        <v>22</v>
      </c>
      <c r="C587">
        <f t="shared" si="18"/>
        <v>86</v>
      </c>
      <c r="D587" cm="1">
        <f t="array" ref="D587">_xlfn.IFS(C587&lt;=50,7+10*(C587-1),C587&lt;=110,507+25*(C587-51),C587&lt;=170,2007+50*(C587-111),C587&lt;=250,5007+50*(C587-171))</f>
        <v>1382</v>
      </c>
      <c r="E587" t="str" cm="1">
        <f t="array" ref="E587">IF(D587="","",_xlfn.IFS(D587&lt;=500,"Top_500",D587&lt;=2000,"501_2000",D587&lt;=5000,"2001_5000",D587&lt;=10000,"5001_10000"))</f>
        <v>501_2000</v>
      </c>
      <c r="F587">
        <v>5076</v>
      </c>
      <c r="G587">
        <v>45</v>
      </c>
      <c r="H587" s="13">
        <v>46053</v>
      </c>
      <c r="I587" s="8" t="str">
        <f t="shared" si="19"/>
        <v>MoXie_Br0|Recon</v>
      </c>
    </row>
    <row r="588" spans="1:9" x14ac:dyDescent="0.25">
      <c r="A588" t="s">
        <v>485</v>
      </c>
      <c r="B588" t="s">
        <v>22</v>
      </c>
      <c r="C588">
        <f t="shared" si="18"/>
        <v>87</v>
      </c>
      <c r="D588" cm="1">
        <f t="array" ref="D588">_xlfn.IFS(C588&lt;=50,7+10*(C588-1),C588&lt;=110,507+25*(C588-51),C588&lt;=170,2007+50*(C588-111),C588&lt;=250,5007+50*(C588-171))</f>
        <v>1407</v>
      </c>
      <c r="E588" t="str" cm="1">
        <f t="array" ref="E588">IF(D588="","",_xlfn.IFS(D588&lt;=500,"Top_500",D588&lt;=2000,"501_2000",D588&lt;=5000,"2001_5000",D588&lt;=10000,"5001_10000"))</f>
        <v>501_2000</v>
      </c>
      <c r="F588">
        <v>5551</v>
      </c>
      <c r="G588">
        <v>107</v>
      </c>
      <c r="H588" s="13">
        <v>46053</v>
      </c>
      <c r="I588" s="8" t="str">
        <f t="shared" si="19"/>
        <v>Lightrift|Recon</v>
      </c>
    </row>
    <row r="589" spans="1:9" x14ac:dyDescent="0.25">
      <c r="A589" t="s">
        <v>486</v>
      </c>
      <c r="B589" t="s">
        <v>22</v>
      </c>
      <c r="C589">
        <f t="shared" si="18"/>
        <v>88</v>
      </c>
      <c r="D589" cm="1">
        <f t="array" ref="D589">_xlfn.IFS(C589&lt;=50,7+10*(C589-1),C589&lt;=110,507+25*(C589-51),C589&lt;=170,2007+50*(C589-111),C589&lt;=250,5007+50*(C589-171))</f>
        <v>1432</v>
      </c>
      <c r="E589" t="str" cm="1">
        <f t="array" ref="E589">IF(D589="","",_xlfn.IFS(D589&lt;=500,"Top_500",D589&lt;=2000,"501_2000",D589&lt;=5000,"2001_5000",D589&lt;=10000,"5001_10000"))</f>
        <v>501_2000</v>
      </c>
      <c r="F589">
        <v>5035</v>
      </c>
      <c r="G589">
        <v>223</v>
      </c>
      <c r="H589" s="13">
        <v>46053</v>
      </c>
      <c r="I589" s="8" t="str">
        <f t="shared" si="19"/>
        <v>siiderilehma|Recon</v>
      </c>
    </row>
    <row r="590" spans="1:9" x14ac:dyDescent="0.25">
      <c r="A590" t="s">
        <v>487</v>
      </c>
      <c r="B590" t="s">
        <v>22</v>
      </c>
      <c r="C590">
        <f t="shared" si="18"/>
        <v>89</v>
      </c>
      <c r="D590" cm="1">
        <f t="array" ref="D590">_xlfn.IFS(C590&lt;=50,7+10*(C590-1),C590&lt;=110,507+25*(C590-51),C590&lt;=170,2007+50*(C590-111),C590&lt;=250,5007+50*(C590-171))</f>
        <v>1457</v>
      </c>
      <c r="E590" t="str" cm="1">
        <f t="array" ref="E590">IF(D590="","",_xlfn.IFS(D590&lt;=500,"Top_500",D590&lt;=2000,"501_2000",D590&lt;=5000,"2001_5000",D590&lt;=10000,"5001_10000"))</f>
        <v>501_2000</v>
      </c>
      <c r="F590">
        <v>6078</v>
      </c>
      <c r="G590">
        <v>134</v>
      </c>
      <c r="H590" s="13">
        <v>46053</v>
      </c>
      <c r="I590" s="8" t="str">
        <f t="shared" si="19"/>
        <v>Alialy|Recon</v>
      </c>
    </row>
    <row r="591" spans="1:9" x14ac:dyDescent="0.25">
      <c r="A591" t="s">
        <v>488</v>
      </c>
      <c r="B591" t="s">
        <v>22</v>
      </c>
      <c r="C591">
        <f t="shared" si="18"/>
        <v>90</v>
      </c>
      <c r="D591" cm="1">
        <f t="array" ref="D591">_xlfn.IFS(C591&lt;=50,7+10*(C591-1),C591&lt;=110,507+25*(C591-51),C591&lt;=170,2007+50*(C591-111),C591&lt;=250,5007+50*(C591-171))</f>
        <v>1482</v>
      </c>
      <c r="E591" t="str" cm="1">
        <f t="array" ref="E591">IF(D591="","",_xlfn.IFS(D591&lt;=500,"Top_500",D591&lt;=2000,"501_2000",D591&lt;=5000,"2001_5000",D591&lt;=10000,"5001_10000"))</f>
        <v>501_2000</v>
      </c>
      <c r="F591">
        <v>5141</v>
      </c>
      <c r="G591">
        <v>84</v>
      </c>
      <c r="H591" s="13">
        <v>46053</v>
      </c>
      <c r="I591" s="8" t="str">
        <f t="shared" si="19"/>
        <v>teddy-juliana|Recon</v>
      </c>
    </row>
    <row r="592" spans="1:9" x14ac:dyDescent="0.25">
      <c r="A592" t="s">
        <v>489</v>
      </c>
      <c r="B592" t="s">
        <v>22</v>
      </c>
      <c r="C592">
        <f t="shared" si="18"/>
        <v>91</v>
      </c>
      <c r="D592" cm="1">
        <f t="array" ref="D592">_xlfn.IFS(C592&lt;=50,7+10*(C592-1),C592&lt;=110,507+25*(C592-51),C592&lt;=170,2007+50*(C592-111),C592&lt;=250,5007+50*(C592-171))</f>
        <v>1507</v>
      </c>
      <c r="E592" t="str" cm="1">
        <f t="array" ref="E592">IF(D592="","",_xlfn.IFS(D592&lt;=500,"Top_500",D592&lt;=2000,"501_2000",D592&lt;=5000,"2001_5000",D592&lt;=10000,"5001_10000"))</f>
        <v>501_2000</v>
      </c>
      <c r="F592">
        <v>4949</v>
      </c>
      <c r="G592">
        <v>155</v>
      </c>
      <c r="H592" s="13">
        <v>46053</v>
      </c>
      <c r="I592" s="8" t="str">
        <f t="shared" si="19"/>
        <v>tomaAR|Recon</v>
      </c>
    </row>
    <row r="593" spans="1:9" x14ac:dyDescent="0.25">
      <c r="A593" t="s">
        <v>490</v>
      </c>
      <c r="B593" t="s">
        <v>22</v>
      </c>
      <c r="C593">
        <f t="shared" si="18"/>
        <v>92</v>
      </c>
      <c r="D593" cm="1">
        <f t="array" ref="D593">_xlfn.IFS(C593&lt;=50,7+10*(C593-1),C593&lt;=110,507+25*(C593-51),C593&lt;=170,2007+50*(C593-111),C593&lt;=250,5007+50*(C593-171))</f>
        <v>1532</v>
      </c>
      <c r="E593" t="str" cm="1">
        <f t="array" ref="E593">IF(D593="","",_xlfn.IFS(D593&lt;=500,"Top_500",D593&lt;=2000,"501_2000",D593&lt;=5000,"2001_5000",D593&lt;=10000,"5001_10000"))</f>
        <v>501_2000</v>
      </c>
      <c r="F593">
        <v>4952</v>
      </c>
      <c r="G593">
        <v>99</v>
      </c>
      <c r="H593" s="13">
        <v>46053</v>
      </c>
      <c r="I593" s="8" t="str">
        <f t="shared" si="19"/>
        <v>SCZ|Recon</v>
      </c>
    </row>
    <row r="594" spans="1:9" x14ac:dyDescent="0.25">
      <c r="A594" t="s">
        <v>491</v>
      </c>
      <c r="B594" t="s">
        <v>22</v>
      </c>
      <c r="C594">
        <f t="shared" si="18"/>
        <v>93</v>
      </c>
      <c r="D594" cm="1">
        <f t="array" ref="D594">_xlfn.IFS(C594&lt;=50,7+10*(C594-1),C594&lt;=110,507+25*(C594-51),C594&lt;=170,2007+50*(C594-111),C594&lt;=250,5007+50*(C594-171))</f>
        <v>1557</v>
      </c>
      <c r="E594" t="str" cm="1">
        <f t="array" ref="E594">IF(D594="","",_xlfn.IFS(D594&lt;=500,"Top_500",D594&lt;=2000,"501_2000",D594&lt;=5000,"2001_5000",D594&lt;=10000,"5001_10000"))</f>
        <v>501_2000</v>
      </c>
      <c r="F594">
        <v>5167</v>
      </c>
      <c r="G594">
        <v>95</v>
      </c>
      <c r="H594" s="13">
        <v>46053</v>
      </c>
      <c r="I594" s="8" t="str">
        <f t="shared" si="19"/>
        <v>уволень|Recon</v>
      </c>
    </row>
    <row r="595" spans="1:9" x14ac:dyDescent="0.25">
      <c r="A595" s="90" t="s">
        <v>492</v>
      </c>
      <c r="B595" t="s">
        <v>22</v>
      </c>
      <c r="C595">
        <f t="shared" si="18"/>
        <v>94</v>
      </c>
      <c r="D595" cm="1">
        <f t="array" ref="D595">_xlfn.IFS(C595&lt;=50,7+10*(C595-1),C595&lt;=110,507+25*(C595-51),C595&lt;=170,2007+50*(C595-111),C595&lt;=250,5007+50*(C595-171))</f>
        <v>1582</v>
      </c>
      <c r="E595" t="str" cm="1">
        <f t="array" ref="E595">IF(D595="","",_xlfn.IFS(D595&lt;=500,"Top_500",D595&lt;=2000,"501_2000",D595&lt;=5000,"2001_5000",D595&lt;=10000,"5001_10000"))</f>
        <v>501_2000</v>
      </c>
      <c r="F595">
        <v>4866</v>
      </c>
      <c r="G595">
        <v>154</v>
      </c>
      <c r="H595" s="13">
        <v>46053</v>
      </c>
      <c r="I595" s="8" t="str">
        <f t="shared" si="19"/>
        <v>-F-Skelion|Recon</v>
      </c>
    </row>
    <row r="596" spans="1:9" x14ac:dyDescent="0.25">
      <c r="A596" t="s">
        <v>493</v>
      </c>
      <c r="B596" t="s">
        <v>22</v>
      </c>
      <c r="C596">
        <f t="shared" si="18"/>
        <v>95</v>
      </c>
      <c r="D596" cm="1">
        <f t="array" ref="D596">_xlfn.IFS(C596&lt;=50,7+10*(C596-1),C596&lt;=110,507+25*(C596-51),C596&lt;=170,2007+50*(C596-111),C596&lt;=250,5007+50*(C596-171))</f>
        <v>1607</v>
      </c>
      <c r="E596" t="str" cm="1">
        <f t="array" ref="E596">IF(D596="","",_xlfn.IFS(D596&lt;=500,"Top_500",D596&lt;=2000,"501_2000",D596&lt;=5000,"2001_5000",D596&lt;=10000,"5001_10000"))</f>
        <v>501_2000</v>
      </c>
      <c r="F596">
        <v>4984</v>
      </c>
      <c r="G596">
        <v>123</v>
      </c>
      <c r="H596" s="13">
        <v>46053</v>
      </c>
      <c r="I596" s="8" t="str">
        <f t="shared" si="19"/>
        <v>secondtoughestuk|Recon</v>
      </c>
    </row>
    <row r="597" spans="1:9" x14ac:dyDescent="0.25">
      <c r="A597" t="s">
        <v>494</v>
      </c>
      <c r="B597" t="s">
        <v>22</v>
      </c>
      <c r="C597">
        <f t="shared" si="18"/>
        <v>96</v>
      </c>
      <c r="D597" cm="1">
        <f t="array" ref="D597">_xlfn.IFS(C597&lt;=50,7+10*(C597-1),C597&lt;=110,507+25*(C597-51),C597&lt;=170,2007+50*(C597-111),C597&lt;=250,5007+50*(C597-171))</f>
        <v>1632</v>
      </c>
      <c r="E597" t="str" cm="1">
        <f t="array" ref="E597">IF(D597="","",_xlfn.IFS(D597&lt;=500,"Top_500",D597&lt;=2000,"501_2000",D597&lt;=5000,"2001_5000",D597&lt;=10000,"5001_10000"))</f>
        <v>501_2000</v>
      </c>
      <c r="F597">
        <v>4983</v>
      </c>
      <c r="G597">
        <v>134</v>
      </c>
      <c r="H597" s="13">
        <v>46053</v>
      </c>
      <c r="I597" s="8" t="str">
        <f t="shared" si="19"/>
        <v>Max White AT|Recon</v>
      </c>
    </row>
    <row r="598" spans="1:9" x14ac:dyDescent="0.25">
      <c r="A598" t="s">
        <v>495</v>
      </c>
      <c r="B598" t="s">
        <v>22</v>
      </c>
      <c r="C598">
        <f t="shared" si="18"/>
        <v>97</v>
      </c>
      <c r="D598" cm="1">
        <f t="array" ref="D598">_xlfn.IFS(C598&lt;=50,7+10*(C598-1),C598&lt;=110,507+25*(C598-51),C598&lt;=170,2007+50*(C598-111),C598&lt;=250,5007+50*(C598-171))</f>
        <v>1657</v>
      </c>
      <c r="E598" t="str" cm="1">
        <f t="array" ref="E598">IF(D598="","",_xlfn.IFS(D598&lt;=500,"Top_500",D598&lt;=2000,"501_2000",D598&lt;=5000,"2001_5000",D598&lt;=10000,"5001_10000"))</f>
        <v>501_2000</v>
      </c>
      <c r="F598">
        <v>4804</v>
      </c>
      <c r="G598">
        <v>138</v>
      </c>
      <c r="H598" s="13">
        <v>46053</v>
      </c>
      <c r="I598" s="8" t="str">
        <f t="shared" si="19"/>
        <v>imorimax-_-JET|Recon</v>
      </c>
    </row>
    <row r="599" spans="1:9" x14ac:dyDescent="0.25">
      <c r="A599" t="s">
        <v>496</v>
      </c>
      <c r="B599" t="s">
        <v>22</v>
      </c>
      <c r="C599">
        <f t="shared" si="18"/>
        <v>98</v>
      </c>
      <c r="D599" cm="1">
        <f t="array" ref="D599">_xlfn.IFS(C599&lt;=50,7+10*(C599-1),C599&lt;=110,507+25*(C599-51),C599&lt;=170,2007+50*(C599-111),C599&lt;=250,5007+50*(C599-171))</f>
        <v>1682</v>
      </c>
      <c r="E599" t="str" cm="1">
        <f t="array" ref="E599">IF(D599="","",_xlfn.IFS(D599&lt;=500,"Top_500",D599&lt;=2000,"501_2000",D599&lt;=5000,"2001_5000",D599&lt;=10000,"5001_10000"))</f>
        <v>501_2000</v>
      </c>
      <c r="F599">
        <v>4922</v>
      </c>
      <c r="G599">
        <v>62</v>
      </c>
      <c r="H599" s="13">
        <v>46053</v>
      </c>
      <c r="I599" s="8" t="str">
        <f t="shared" si="19"/>
        <v>WillhelmTheWise|Recon</v>
      </c>
    </row>
    <row r="600" spans="1:9" x14ac:dyDescent="0.25">
      <c r="A600" t="s">
        <v>497</v>
      </c>
      <c r="B600" t="s">
        <v>22</v>
      </c>
      <c r="C600">
        <f t="shared" si="18"/>
        <v>99</v>
      </c>
      <c r="D600" cm="1">
        <f t="array" ref="D600">_xlfn.IFS(C600&lt;=50,7+10*(C600-1),C600&lt;=110,507+25*(C600-51),C600&lt;=170,2007+50*(C600-111),C600&lt;=250,5007+50*(C600-171))</f>
        <v>1707</v>
      </c>
      <c r="E600" t="str" cm="1">
        <f t="array" ref="E600">IF(D600="","",_xlfn.IFS(D600&lt;=500,"Top_500",D600&lt;=2000,"501_2000",D600&lt;=5000,"2001_5000",D600&lt;=10000,"5001_10000"))</f>
        <v>501_2000</v>
      </c>
      <c r="F600">
        <v>4831</v>
      </c>
      <c r="G600">
        <v>112</v>
      </c>
      <c r="H600" s="13">
        <v>46053</v>
      </c>
      <c r="I600" s="8" t="str">
        <f t="shared" si="19"/>
        <v>slayerbear8|Recon</v>
      </c>
    </row>
    <row r="601" spans="1:9" x14ac:dyDescent="0.25">
      <c r="A601" t="s">
        <v>498</v>
      </c>
      <c r="B601" t="s">
        <v>22</v>
      </c>
      <c r="C601">
        <f t="shared" si="18"/>
        <v>100</v>
      </c>
      <c r="D601" cm="1">
        <f t="array" ref="D601">_xlfn.IFS(C601&lt;=50,7+10*(C601-1),C601&lt;=110,507+25*(C601-51),C601&lt;=170,2007+50*(C601-111),C601&lt;=250,5007+50*(C601-171))</f>
        <v>1732</v>
      </c>
      <c r="E601" t="str" cm="1">
        <f t="array" ref="E601">IF(D601="","",_xlfn.IFS(D601&lt;=500,"Top_500",D601&lt;=2000,"501_2000",D601&lt;=5000,"2001_5000",D601&lt;=10000,"5001_10000"))</f>
        <v>501_2000</v>
      </c>
      <c r="F601">
        <v>5821</v>
      </c>
      <c r="G601">
        <v>150</v>
      </c>
      <c r="H601" s="13">
        <v>46053</v>
      </c>
      <c r="I601" s="8" t="str">
        <f t="shared" si="19"/>
        <v>Kiu8|Recon</v>
      </c>
    </row>
    <row r="602" spans="1:9" x14ac:dyDescent="0.25">
      <c r="B602" t="s">
        <v>22</v>
      </c>
      <c r="C602">
        <f t="shared" si="18"/>
        <v>101</v>
      </c>
      <c r="D602" cm="1">
        <f t="array" ref="D602">_xlfn.IFS(C602&lt;=50,7+10*(C602-1),C602&lt;=110,507+25*(C602-51),C602&lt;=170,2007+50*(C602-111),C602&lt;=250,5007+50*(C602-171))</f>
        <v>1757</v>
      </c>
      <c r="E602" t="str" cm="1">
        <f t="array" ref="E602">IF(D602="","",_xlfn.IFS(D602&lt;=500,"Top_500",D602&lt;=2000,"501_2000",D602&lt;=5000,"2001_5000",D602&lt;=10000,"5001_10000"))</f>
        <v>501_2000</v>
      </c>
      <c r="I602" s="8" t="str">
        <f t="shared" si="19"/>
        <v>|Recon</v>
      </c>
    </row>
    <row r="603" spans="1:9" x14ac:dyDescent="0.25">
      <c r="B603" t="s">
        <v>22</v>
      </c>
      <c r="C603">
        <f t="shared" si="18"/>
        <v>102</v>
      </c>
      <c r="D603" cm="1">
        <f t="array" ref="D603">_xlfn.IFS(C603&lt;=50,7+10*(C603-1),C603&lt;=110,507+25*(C603-51),C603&lt;=170,2007+50*(C603-111),C603&lt;=250,5007+50*(C603-171))</f>
        <v>1782</v>
      </c>
      <c r="E603" t="str" cm="1">
        <f t="array" ref="E603">IF(D603="","",_xlfn.IFS(D603&lt;=500,"Top_500",D603&lt;=2000,"501_2000",D603&lt;=5000,"2001_5000",D603&lt;=10000,"5001_10000"))</f>
        <v>501_2000</v>
      </c>
      <c r="I603" s="8" t="str">
        <f t="shared" si="19"/>
        <v>|Recon</v>
      </c>
    </row>
    <row r="604" spans="1:9" x14ac:dyDescent="0.25">
      <c r="B604" t="s">
        <v>22</v>
      </c>
      <c r="C604">
        <f t="shared" si="18"/>
        <v>103</v>
      </c>
      <c r="D604" cm="1">
        <f t="array" ref="D604">_xlfn.IFS(C604&lt;=50,7+10*(C604-1),C604&lt;=110,507+25*(C604-51),C604&lt;=170,2007+50*(C604-111),C604&lt;=250,5007+50*(C604-171))</f>
        <v>1807</v>
      </c>
      <c r="E604" t="str" cm="1">
        <f t="array" ref="E604">IF(D604="","",_xlfn.IFS(D604&lt;=500,"Top_500",D604&lt;=2000,"501_2000",D604&lt;=5000,"2001_5000",D604&lt;=10000,"5001_10000"))</f>
        <v>501_2000</v>
      </c>
      <c r="I604" s="8" t="str">
        <f t="shared" si="19"/>
        <v>|Recon</v>
      </c>
    </row>
    <row r="605" spans="1:9" x14ac:dyDescent="0.25">
      <c r="B605" t="s">
        <v>22</v>
      </c>
      <c r="C605">
        <f t="shared" si="18"/>
        <v>104</v>
      </c>
      <c r="D605" cm="1">
        <f t="array" ref="D605">_xlfn.IFS(C605&lt;=50,7+10*(C605-1),C605&lt;=110,507+25*(C605-51),C605&lt;=170,2007+50*(C605-111),C605&lt;=250,5007+50*(C605-171))</f>
        <v>1832</v>
      </c>
      <c r="E605" t="str" cm="1">
        <f t="array" ref="E605">IF(D605="","",_xlfn.IFS(D605&lt;=500,"Top_500",D605&lt;=2000,"501_2000",D605&lt;=5000,"2001_5000",D605&lt;=10000,"5001_10000"))</f>
        <v>501_2000</v>
      </c>
      <c r="I605" s="8" t="str">
        <f t="shared" si="19"/>
        <v>|Recon</v>
      </c>
    </row>
    <row r="606" spans="1:9" x14ac:dyDescent="0.25">
      <c r="B606" t="s">
        <v>22</v>
      </c>
      <c r="C606">
        <f t="shared" si="18"/>
        <v>105</v>
      </c>
      <c r="D606" cm="1">
        <f t="array" ref="D606">_xlfn.IFS(C606&lt;=50,7+10*(C606-1),C606&lt;=110,507+25*(C606-51),C606&lt;=170,2007+50*(C606-111),C606&lt;=250,5007+50*(C606-171))</f>
        <v>1857</v>
      </c>
      <c r="E606" t="str" cm="1">
        <f t="array" ref="E606">IF(D606="","",_xlfn.IFS(D606&lt;=500,"Top_500",D606&lt;=2000,"501_2000",D606&lt;=5000,"2001_5000",D606&lt;=10000,"5001_10000"))</f>
        <v>501_2000</v>
      </c>
      <c r="I606" s="8" t="str">
        <f t="shared" si="19"/>
        <v>|Recon</v>
      </c>
    </row>
    <row r="607" spans="1:9" x14ac:dyDescent="0.25">
      <c r="B607" t="s">
        <v>22</v>
      </c>
      <c r="C607">
        <f t="shared" si="18"/>
        <v>106</v>
      </c>
      <c r="D607" cm="1">
        <f t="array" ref="D607">_xlfn.IFS(C607&lt;=50,7+10*(C607-1),C607&lt;=110,507+25*(C607-51),C607&lt;=170,2007+50*(C607-111),C607&lt;=250,5007+50*(C607-171))</f>
        <v>1882</v>
      </c>
      <c r="E607" t="str" cm="1">
        <f t="array" ref="E607">IF(D607="","",_xlfn.IFS(D607&lt;=500,"Top_500",D607&lt;=2000,"501_2000",D607&lt;=5000,"2001_5000",D607&lt;=10000,"5001_10000"))</f>
        <v>501_2000</v>
      </c>
      <c r="I607" s="8" t="str">
        <f t="shared" si="19"/>
        <v>|Recon</v>
      </c>
    </row>
    <row r="608" spans="1:9" x14ac:dyDescent="0.25">
      <c r="B608" t="s">
        <v>22</v>
      </c>
      <c r="C608">
        <f t="shared" si="18"/>
        <v>107</v>
      </c>
      <c r="D608" cm="1">
        <f t="array" ref="D608">_xlfn.IFS(C608&lt;=50,7+10*(C608-1),C608&lt;=110,507+25*(C608-51),C608&lt;=170,2007+50*(C608-111),C608&lt;=250,5007+50*(C608-171))</f>
        <v>1907</v>
      </c>
      <c r="E608" t="str" cm="1">
        <f t="array" ref="E608">IF(D608="","",_xlfn.IFS(D608&lt;=500,"Top_500",D608&lt;=2000,"501_2000",D608&lt;=5000,"2001_5000",D608&lt;=10000,"5001_10000"))</f>
        <v>501_2000</v>
      </c>
      <c r="I608" s="8" t="str">
        <f t="shared" si="19"/>
        <v>|Recon</v>
      </c>
    </row>
    <row r="609" spans="2:9" x14ac:dyDescent="0.25">
      <c r="B609" t="s">
        <v>22</v>
      </c>
      <c r="C609">
        <f t="shared" si="18"/>
        <v>108</v>
      </c>
      <c r="D609" cm="1">
        <f t="array" ref="D609">_xlfn.IFS(C609&lt;=50,7+10*(C609-1),C609&lt;=110,507+25*(C609-51),C609&lt;=170,2007+50*(C609-111),C609&lt;=250,5007+50*(C609-171))</f>
        <v>1932</v>
      </c>
      <c r="E609" t="str" cm="1">
        <f t="array" ref="E609">IF(D609="","",_xlfn.IFS(D609&lt;=500,"Top_500",D609&lt;=2000,"501_2000",D609&lt;=5000,"2001_5000",D609&lt;=10000,"5001_10000"))</f>
        <v>501_2000</v>
      </c>
      <c r="I609" s="8" t="str">
        <f t="shared" si="19"/>
        <v>|Recon</v>
      </c>
    </row>
    <row r="610" spans="2:9" x14ac:dyDescent="0.25">
      <c r="B610" t="s">
        <v>22</v>
      </c>
      <c r="C610">
        <f t="shared" si="18"/>
        <v>109</v>
      </c>
      <c r="D610" cm="1">
        <f t="array" ref="D610">_xlfn.IFS(C610&lt;=50,7+10*(C610-1),C610&lt;=110,507+25*(C610-51),C610&lt;=170,2007+50*(C610-111),C610&lt;=250,5007+50*(C610-171))</f>
        <v>1957</v>
      </c>
      <c r="E610" t="str" cm="1">
        <f t="array" ref="E610">IF(D610="","",_xlfn.IFS(D610&lt;=500,"Top_500",D610&lt;=2000,"501_2000",D610&lt;=5000,"2001_5000",D610&lt;=10000,"5001_10000"))</f>
        <v>501_2000</v>
      </c>
      <c r="I610" s="8" t="str">
        <f t="shared" si="19"/>
        <v>|Recon</v>
      </c>
    </row>
    <row r="611" spans="2:9" x14ac:dyDescent="0.25">
      <c r="B611" t="s">
        <v>22</v>
      </c>
      <c r="C611">
        <f t="shared" si="18"/>
        <v>110</v>
      </c>
      <c r="D611" cm="1">
        <f t="array" ref="D611">_xlfn.IFS(C611&lt;=50,7+10*(C611-1),C611&lt;=110,507+25*(C611-51),C611&lt;=170,2007+50*(C611-111),C611&lt;=250,5007+50*(C611-171))</f>
        <v>1982</v>
      </c>
      <c r="E611" t="str" cm="1">
        <f t="array" ref="E611">IF(D611="","",_xlfn.IFS(D611&lt;=500,"Top_500",D611&lt;=2000,"501_2000",D611&lt;=5000,"2001_5000",D611&lt;=10000,"5001_10000"))</f>
        <v>501_2000</v>
      </c>
      <c r="I611" s="8" t="str">
        <f t="shared" si="19"/>
        <v>|Recon</v>
      </c>
    </row>
    <row r="612" spans="2:9" x14ac:dyDescent="0.25">
      <c r="B612" t="s">
        <v>22</v>
      </c>
      <c r="C612">
        <f t="shared" si="18"/>
        <v>111</v>
      </c>
      <c r="D612" cm="1">
        <f t="array" ref="D612">_xlfn.IFS(C612&lt;=50,7+10*(C612-1),C612&lt;=110,507+25*(C612-51),C612&lt;=170,2007+50*(C612-111),C612&lt;=250,5007+50*(C612-171))</f>
        <v>2007</v>
      </c>
      <c r="E612" t="str" cm="1">
        <f t="array" ref="E612">IF(D612="","",_xlfn.IFS(D612&lt;=500,"Top_500",D612&lt;=2000,"501_2000",D612&lt;=5000,"2001_5000",D612&lt;=10000,"5001_10000"))</f>
        <v>2001_5000</v>
      </c>
      <c r="I612" s="8" t="str">
        <f t="shared" si="19"/>
        <v>|Recon</v>
      </c>
    </row>
    <row r="613" spans="2:9" x14ac:dyDescent="0.25">
      <c r="B613" t="s">
        <v>22</v>
      </c>
      <c r="C613">
        <f t="shared" si="18"/>
        <v>112</v>
      </c>
      <c r="D613" cm="1">
        <f t="array" ref="D613">_xlfn.IFS(C613&lt;=50,7+10*(C613-1),C613&lt;=110,507+25*(C613-51),C613&lt;=170,2007+50*(C613-111),C613&lt;=250,5007+50*(C613-171))</f>
        <v>2057</v>
      </c>
      <c r="E613" t="str" cm="1">
        <f t="array" ref="E613">IF(D613="","",_xlfn.IFS(D613&lt;=500,"Top_500",D613&lt;=2000,"501_2000",D613&lt;=5000,"2001_5000",D613&lt;=10000,"5001_10000"))</f>
        <v>2001_5000</v>
      </c>
      <c r="I613" s="8" t="str">
        <f t="shared" si="19"/>
        <v>|Recon</v>
      </c>
    </row>
    <row r="614" spans="2:9" x14ac:dyDescent="0.25">
      <c r="B614" t="s">
        <v>22</v>
      </c>
      <c r="C614">
        <f t="shared" si="18"/>
        <v>113</v>
      </c>
      <c r="D614" cm="1">
        <f t="array" ref="D614">_xlfn.IFS(C614&lt;=50,7+10*(C614-1),C614&lt;=110,507+25*(C614-51),C614&lt;=170,2007+50*(C614-111),C614&lt;=250,5007+50*(C614-171))</f>
        <v>2107</v>
      </c>
      <c r="E614" t="str" cm="1">
        <f t="array" ref="E614">IF(D614="","",_xlfn.IFS(D614&lt;=500,"Top_500",D614&lt;=2000,"501_2000",D614&lt;=5000,"2001_5000",D614&lt;=10000,"5001_10000"))</f>
        <v>2001_5000</v>
      </c>
      <c r="I614" s="8" t="str">
        <f t="shared" si="19"/>
        <v>|Recon</v>
      </c>
    </row>
    <row r="615" spans="2:9" x14ac:dyDescent="0.25">
      <c r="B615" t="s">
        <v>22</v>
      </c>
      <c r="C615">
        <f t="shared" si="18"/>
        <v>114</v>
      </c>
      <c r="D615" cm="1">
        <f t="array" ref="D615">_xlfn.IFS(C615&lt;=50,7+10*(C615-1),C615&lt;=110,507+25*(C615-51),C615&lt;=170,2007+50*(C615-111),C615&lt;=250,5007+50*(C615-171))</f>
        <v>2157</v>
      </c>
      <c r="E615" t="str" cm="1">
        <f t="array" ref="E615">IF(D615="","",_xlfn.IFS(D615&lt;=500,"Top_500",D615&lt;=2000,"501_2000",D615&lt;=5000,"2001_5000",D615&lt;=10000,"5001_10000"))</f>
        <v>2001_5000</v>
      </c>
      <c r="I615" s="8" t="str">
        <f t="shared" si="19"/>
        <v>|Recon</v>
      </c>
    </row>
    <row r="616" spans="2:9" x14ac:dyDescent="0.25">
      <c r="B616" t="s">
        <v>22</v>
      </c>
      <c r="C616">
        <f t="shared" si="18"/>
        <v>115</v>
      </c>
      <c r="D616" cm="1">
        <f t="array" ref="D616">_xlfn.IFS(C616&lt;=50,7+10*(C616-1),C616&lt;=110,507+25*(C616-51),C616&lt;=170,2007+50*(C616-111),C616&lt;=250,5007+50*(C616-171))</f>
        <v>2207</v>
      </c>
      <c r="E616" t="str" cm="1">
        <f t="array" ref="E616">IF(D616="","",_xlfn.IFS(D616&lt;=500,"Top_500",D616&lt;=2000,"501_2000",D616&lt;=5000,"2001_5000",D616&lt;=10000,"5001_10000"))</f>
        <v>2001_5000</v>
      </c>
      <c r="I616" s="8" t="str">
        <f t="shared" si="19"/>
        <v>|Recon</v>
      </c>
    </row>
    <row r="617" spans="2:9" x14ac:dyDescent="0.25">
      <c r="B617" t="s">
        <v>22</v>
      </c>
      <c r="C617">
        <f t="shared" si="18"/>
        <v>116</v>
      </c>
      <c r="D617" cm="1">
        <f t="array" ref="D617">_xlfn.IFS(C617&lt;=50,7+10*(C617-1),C617&lt;=110,507+25*(C617-51),C617&lt;=170,2007+50*(C617-111),C617&lt;=250,5007+50*(C617-171))</f>
        <v>2257</v>
      </c>
      <c r="E617" t="str" cm="1">
        <f t="array" ref="E617">IF(D617="","",_xlfn.IFS(D617&lt;=500,"Top_500",D617&lt;=2000,"501_2000",D617&lt;=5000,"2001_5000",D617&lt;=10000,"5001_10000"))</f>
        <v>2001_5000</v>
      </c>
      <c r="I617" s="8" t="str">
        <f t="shared" si="19"/>
        <v>|Recon</v>
      </c>
    </row>
    <row r="618" spans="2:9" x14ac:dyDescent="0.25">
      <c r="B618" t="s">
        <v>22</v>
      </c>
      <c r="C618">
        <f t="shared" si="18"/>
        <v>117</v>
      </c>
      <c r="D618" cm="1">
        <f t="array" ref="D618">_xlfn.IFS(C618&lt;=50,7+10*(C618-1),C618&lt;=110,507+25*(C618-51),C618&lt;=170,2007+50*(C618-111),C618&lt;=250,5007+50*(C618-171))</f>
        <v>2307</v>
      </c>
      <c r="E618" t="str" cm="1">
        <f t="array" ref="E618">IF(D618="","",_xlfn.IFS(D618&lt;=500,"Top_500",D618&lt;=2000,"501_2000",D618&lt;=5000,"2001_5000",D618&lt;=10000,"5001_10000"))</f>
        <v>2001_5000</v>
      </c>
      <c r="I618" s="8" t="str">
        <f t="shared" si="19"/>
        <v>|Recon</v>
      </c>
    </row>
    <row r="619" spans="2:9" x14ac:dyDescent="0.25">
      <c r="B619" t="s">
        <v>22</v>
      </c>
      <c r="C619">
        <f t="shared" si="18"/>
        <v>118</v>
      </c>
      <c r="D619" cm="1">
        <f t="array" ref="D619">_xlfn.IFS(C619&lt;=50,7+10*(C619-1),C619&lt;=110,507+25*(C619-51),C619&lt;=170,2007+50*(C619-111),C619&lt;=250,5007+50*(C619-171))</f>
        <v>2357</v>
      </c>
      <c r="E619" t="str" cm="1">
        <f t="array" ref="E619">IF(D619="","",_xlfn.IFS(D619&lt;=500,"Top_500",D619&lt;=2000,"501_2000",D619&lt;=5000,"2001_5000",D619&lt;=10000,"5001_10000"))</f>
        <v>2001_5000</v>
      </c>
      <c r="I619" s="8" t="str">
        <f t="shared" si="19"/>
        <v>|Recon</v>
      </c>
    </row>
    <row r="620" spans="2:9" x14ac:dyDescent="0.25">
      <c r="B620" t="s">
        <v>22</v>
      </c>
      <c r="C620">
        <f t="shared" si="18"/>
        <v>119</v>
      </c>
      <c r="D620" cm="1">
        <f t="array" ref="D620">_xlfn.IFS(C620&lt;=50,7+10*(C620-1),C620&lt;=110,507+25*(C620-51),C620&lt;=170,2007+50*(C620-111),C620&lt;=250,5007+50*(C620-171))</f>
        <v>2407</v>
      </c>
      <c r="E620" t="str" cm="1">
        <f t="array" ref="E620">IF(D620="","",_xlfn.IFS(D620&lt;=500,"Top_500",D620&lt;=2000,"501_2000",D620&lt;=5000,"2001_5000",D620&lt;=10000,"5001_10000"))</f>
        <v>2001_5000</v>
      </c>
      <c r="I620" s="8" t="str">
        <f t="shared" si="19"/>
        <v>|Recon</v>
      </c>
    </row>
    <row r="621" spans="2:9" x14ac:dyDescent="0.25">
      <c r="B621" t="s">
        <v>22</v>
      </c>
      <c r="C621">
        <f t="shared" si="18"/>
        <v>120</v>
      </c>
      <c r="D621" cm="1">
        <f t="array" ref="D621">_xlfn.IFS(C621&lt;=50,7+10*(C621-1),C621&lt;=110,507+25*(C621-51),C621&lt;=170,2007+50*(C621-111),C621&lt;=250,5007+50*(C621-171))</f>
        <v>2457</v>
      </c>
      <c r="E621" t="str" cm="1">
        <f t="array" ref="E621">IF(D621="","",_xlfn.IFS(D621&lt;=500,"Top_500",D621&lt;=2000,"501_2000",D621&lt;=5000,"2001_5000",D621&lt;=10000,"5001_10000"))</f>
        <v>2001_5000</v>
      </c>
      <c r="I621" s="8" t="str">
        <f t="shared" si="19"/>
        <v>|Recon</v>
      </c>
    </row>
    <row r="622" spans="2:9" x14ac:dyDescent="0.25">
      <c r="B622" t="s">
        <v>22</v>
      </c>
      <c r="C622">
        <f t="shared" si="18"/>
        <v>121</v>
      </c>
      <c r="D622" cm="1">
        <f t="array" ref="D622">_xlfn.IFS(C622&lt;=50,7+10*(C622-1),C622&lt;=110,507+25*(C622-51),C622&lt;=170,2007+50*(C622-111),C622&lt;=250,5007+50*(C622-171))</f>
        <v>2507</v>
      </c>
      <c r="E622" t="str" cm="1">
        <f t="array" ref="E622">IF(D622="","",_xlfn.IFS(D622&lt;=500,"Top_500",D622&lt;=2000,"501_2000",D622&lt;=5000,"2001_5000",D622&lt;=10000,"5001_10000"))</f>
        <v>2001_5000</v>
      </c>
      <c r="I622" s="8" t="str">
        <f t="shared" si="19"/>
        <v>|Recon</v>
      </c>
    </row>
    <row r="623" spans="2:9" x14ac:dyDescent="0.25">
      <c r="B623" t="s">
        <v>22</v>
      </c>
      <c r="C623">
        <f t="shared" si="18"/>
        <v>122</v>
      </c>
      <c r="D623" cm="1">
        <f t="array" ref="D623">_xlfn.IFS(C623&lt;=50,7+10*(C623-1),C623&lt;=110,507+25*(C623-51),C623&lt;=170,2007+50*(C623-111),C623&lt;=250,5007+50*(C623-171))</f>
        <v>2557</v>
      </c>
      <c r="E623" t="str" cm="1">
        <f t="array" ref="E623">IF(D623="","",_xlfn.IFS(D623&lt;=500,"Top_500",D623&lt;=2000,"501_2000",D623&lt;=5000,"2001_5000",D623&lt;=10000,"5001_10000"))</f>
        <v>2001_5000</v>
      </c>
      <c r="I623" s="8" t="str">
        <f t="shared" si="19"/>
        <v>|Recon</v>
      </c>
    </row>
    <row r="624" spans="2:9" x14ac:dyDescent="0.25">
      <c r="B624" t="s">
        <v>22</v>
      </c>
      <c r="C624">
        <f t="shared" si="18"/>
        <v>123</v>
      </c>
      <c r="D624" cm="1">
        <f t="array" ref="D624">_xlfn.IFS(C624&lt;=50,7+10*(C624-1),C624&lt;=110,507+25*(C624-51),C624&lt;=170,2007+50*(C624-111),C624&lt;=250,5007+50*(C624-171))</f>
        <v>2607</v>
      </c>
      <c r="E624" t="str" cm="1">
        <f t="array" ref="E624">IF(D624="","",_xlfn.IFS(D624&lt;=500,"Top_500",D624&lt;=2000,"501_2000",D624&lt;=5000,"2001_5000",D624&lt;=10000,"5001_10000"))</f>
        <v>2001_5000</v>
      </c>
      <c r="I624" s="8" t="str">
        <f t="shared" si="19"/>
        <v>|Recon</v>
      </c>
    </row>
    <row r="625" spans="2:9" x14ac:dyDescent="0.25">
      <c r="B625" t="s">
        <v>22</v>
      </c>
      <c r="C625">
        <f t="shared" si="18"/>
        <v>124</v>
      </c>
      <c r="D625" cm="1">
        <f t="array" ref="D625">_xlfn.IFS(C625&lt;=50,7+10*(C625-1),C625&lt;=110,507+25*(C625-51),C625&lt;=170,2007+50*(C625-111),C625&lt;=250,5007+50*(C625-171))</f>
        <v>2657</v>
      </c>
      <c r="E625" t="str" cm="1">
        <f t="array" ref="E625">IF(D625="","",_xlfn.IFS(D625&lt;=500,"Top_500",D625&lt;=2000,"501_2000",D625&lt;=5000,"2001_5000",D625&lt;=10000,"5001_10000"))</f>
        <v>2001_5000</v>
      </c>
      <c r="I625" s="8" t="str">
        <f t="shared" si="19"/>
        <v>|Recon</v>
      </c>
    </row>
    <row r="626" spans="2:9" x14ac:dyDescent="0.25">
      <c r="B626" t="s">
        <v>22</v>
      </c>
      <c r="C626">
        <f t="shared" si="18"/>
        <v>125</v>
      </c>
      <c r="D626" cm="1">
        <f t="array" ref="D626">_xlfn.IFS(C626&lt;=50,7+10*(C626-1),C626&lt;=110,507+25*(C626-51),C626&lt;=170,2007+50*(C626-111),C626&lt;=250,5007+50*(C626-171))</f>
        <v>2707</v>
      </c>
      <c r="E626" t="str" cm="1">
        <f t="array" ref="E626">IF(D626="","",_xlfn.IFS(D626&lt;=500,"Top_500",D626&lt;=2000,"501_2000",D626&lt;=5000,"2001_5000",D626&lt;=10000,"5001_10000"))</f>
        <v>2001_5000</v>
      </c>
      <c r="I626" s="8" t="str">
        <f t="shared" si="19"/>
        <v>|Recon</v>
      </c>
    </row>
    <row r="627" spans="2:9" x14ac:dyDescent="0.25">
      <c r="B627" t="s">
        <v>22</v>
      </c>
      <c r="C627">
        <f t="shared" si="18"/>
        <v>126</v>
      </c>
      <c r="D627" cm="1">
        <f t="array" ref="D627">_xlfn.IFS(C627&lt;=50,7+10*(C627-1),C627&lt;=110,507+25*(C627-51),C627&lt;=170,2007+50*(C627-111),C627&lt;=250,5007+50*(C627-171))</f>
        <v>2757</v>
      </c>
      <c r="E627" t="str" cm="1">
        <f t="array" ref="E627">IF(D627="","",_xlfn.IFS(D627&lt;=500,"Top_500",D627&lt;=2000,"501_2000",D627&lt;=5000,"2001_5000",D627&lt;=10000,"5001_10000"))</f>
        <v>2001_5000</v>
      </c>
      <c r="I627" s="8" t="str">
        <f t="shared" si="19"/>
        <v>|Recon</v>
      </c>
    </row>
    <row r="628" spans="2:9" x14ac:dyDescent="0.25">
      <c r="B628" t="s">
        <v>22</v>
      </c>
      <c r="C628">
        <f t="shared" si="18"/>
        <v>127</v>
      </c>
      <c r="D628" cm="1">
        <f t="array" ref="D628">_xlfn.IFS(C628&lt;=50,7+10*(C628-1),C628&lt;=110,507+25*(C628-51),C628&lt;=170,2007+50*(C628-111),C628&lt;=250,5007+50*(C628-171))</f>
        <v>2807</v>
      </c>
      <c r="E628" t="str" cm="1">
        <f t="array" ref="E628">IF(D628="","",_xlfn.IFS(D628&lt;=500,"Top_500",D628&lt;=2000,"501_2000",D628&lt;=5000,"2001_5000",D628&lt;=10000,"5001_10000"))</f>
        <v>2001_5000</v>
      </c>
      <c r="I628" s="8" t="str">
        <f t="shared" si="19"/>
        <v>|Recon</v>
      </c>
    </row>
    <row r="629" spans="2:9" x14ac:dyDescent="0.25">
      <c r="B629" t="s">
        <v>22</v>
      </c>
      <c r="C629">
        <f t="shared" si="18"/>
        <v>128</v>
      </c>
      <c r="D629" cm="1">
        <f t="array" ref="D629">_xlfn.IFS(C629&lt;=50,7+10*(C629-1),C629&lt;=110,507+25*(C629-51),C629&lt;=170,2007+50*(C629-111),C629&lt;=250,5007+50*(C629-171))</f>
        <v>2857</v>
      </c>
      <c r="E629" t="str" cm="1">
        <f t="array" ref="E629">IF(D629="","",_xlfn.IFS(D629&lt;=500,"Top_500",D629&lt;=2000,"501_2000",D629&lt;=5000,"2001_5000",D629&lt;=10000,"5001_10000"))</f>
        <v>2001_5000</v>
      </c>
      <c r="I629" s="8" t="str">
        <f t="shared" si="19"/>
        <v>|Recon</v>
      </c>
    </row>
    <row r="630" spans="2:9" x14ac:dyDescent="0.25">
      <c r="B630" t="s">
        <v>22</v>
      </c>
      <c r="C630">
        <f t="shared" si="18"/>
        <v>129</v>
      </c>
      <c r="D630" cm="1">
        <f t="array" ref="D630">_xlfn.IFS(C630&lt;=50,7+10*(C630-1),C630&lt;=110,507+25*(C630-51),C630&lt;=170,2007+50*(C630-111),C630&lt;=250,5007+50*(C630-171))</f>
        <v>2907</v>
      </c>
      <c r="E630" t="str" cm="1">
        <f t="array" ref="E630">IF(D630="","",_xlfn.IFS(D630&lt;=500,"Top_500",D630&lt;=2000,"501_2000",D630&lt;=5000,"2001_5000",D630&lt;=10000,"5001_10000"))</f>
        <v>2001_5000</v>
      </c>
      <c r="I630" s="8" t="str">
        <f t="shared" si="19"/>
        <v>|Recon</v>
      </c>
    </row>
    <row r="631" spans="2:9" x14ac:dyDescent="0.25">
      <c r="B631" t="s">
        <v>22</v>
      </c>
      <c r="C631">
        <f t="shared" si="18"/>
        <v>130</v>
      </c>
      <c r="D631" cm="1">
        <f t="array" ref="D631">_xlfn.IFS(C631&lt;=50,7+10*(C631-1),C631&lt;=110,507+25*(C631-51),C631&lt;=170,2007+50*(C631-111),C631&lt;=250,5007+50*(C631-171))</f>
        <v>2957</v>
      </c>
      <c r="E631" t="str" cm="1">
        <f t="array" ref="E631">IF(D631="","",_xlfn.IFS(D631&lt;=500,"Top_500",D631&lt;=2000,"501_2000",D631&lt;=5000,"2001_5000",D631&lt;=10000,"5001_10000"))</f>
        <v>2001_5000</v>
      </c>
      <c r="I631" s="8" t="str">
        <f t="shared" si="19"/>
        <v>|Recon</v>
      </c>
    </row>
    <row r="632" spans="2:9" x14ac:dyDescent="0.25">
      <c r="B632" t="s">
        <v>22</v>
      </c>
      <c r="C632">
        <f t="shared" si="18"/>
        <v>131</v>
      </c>
      <c r="D632" cm="1">
        <f t="array" ref="D632">_xlfn.IFS(C632&lt;=50,7+10*(C632-1),C632&lt;=110,507+25*(C632-51),C632&lt;=170,2007+50*(C632-111),C632&lt;=250,5007+50*(C632-171))</f>
        <v>3007</v>
      </c>
      <c r="E632" t="str" cm="1">
        <f t="array" ref="E632">IF(D632="","",_xlfn.IFS(D632&lt;=500,"Top_500",D632&lt;=2000,"501_2000",D632&lt;=5000,"2001_5000",D632&lt;=10000,"5001_10000"))</f>
        <v>2001_5000</v>
      </c>
      <c r="I632" s="8" t="str">
        <f t="shared" si="19"/>
        <v>|Recon</v>
      </c>
    </row>
    <row r="633" spans="2:9" x14ac:dyDescent="0.25">
      <c r="B633" t="s">
        <v>22</v>
      </c>
      <c r="C633">
        <f t="shared" si="18"/>
        <v>132</v>
      </c>
      <c r="D633" cm="1">
        <f t="array" ref="D633">_xlfn.IFS(C633&lt;=50,7+10*(C633-1),C633&lt;=110,507+25*(C633-51),C633&lt;=170,2007+50*(C633-111),C633&lt;=250,5007+50*(C633-171))</f>
        <v>3057</v>
      </c>
      <c r="E633" t="str" cm="1">
        <f t="array" ref="E633">IF(D633="","",_xlfn.IFS(D633&lt;=500,"Top_500",D633&lt;=2000,"501_2000",D633&lt;=5000,"2001_5000",D633&lt;=10000,"5001_10000"))</f>
        <v>2001_5000</v>
      </c>
      <c r="I633" s="8" t="str">
        <f t="shared" si="19"/>
        <v>|Recon</v>
      </c>
    </row>
    <row r="634" spans="2:9" x14ac:dyDescent="0.25">
      <c r="B634" t="s">
        <v>22</v>
      </c>
      <c r="C634">
        <f t="shared" si="18"/>
        <v>133</v>
      </c>
      <c r="D634" cm="1">
        <f t="array" ref="D634">_xlfn.IFS(C634&lt;=50,7+10*(C634-1),C634&lt;=110,507+25*(C634-51),C634&lt;=170,2007+50*(C634-111),C634&lt;=250,5007+50*(C634-171))</f>
        <v>3107</v>
      </c>
      <c r="E634" t="str" cm="1">
        <f t="array" ref="E634">IF(D634="","",_xlfn.IFS(D634&lt;=500,"Top_500",D634&lt;=2000,"501_2000",D634&lt;=5000,"2001_5000",D634&lt;=10000,"5001_10000"))</f>
        <v>2001_5000</v>
      </c>
      <c r="I634" s="8" t="str">
        <f t="shared" si="19"/>
        <v>|Recon</v>
      </c>
    </row>
    <row r="635" spans="2:9" x14ac:dyDescent="0.25">
      <c r="B635" t="s">
        <v>22</v>
      </c>
      <c r="C635">
        <f t="shared" si="18"/>
        <v>134</v>
      </c>
      <c r="D635" cm="1">
        <f t="array" ref="D635">_xlfn.IFS(C635&lt;=50,7+10*(C635-1),C635&lt;=110,507+25*(C635-51),C635&lt;=170,2007+50*(C635-111),C635&lt;=250,5007+50*(C635-171))</f>
        <v>3157</v>
      </c>
      <c r="E635" t="str" cm="1">
        <f t="array" ref="E635">IF(D635="","",_xlfn.IFS(D635&lt;=500,"Top_500",D635&lt;=2000,"501_2000",D635&lt;=5000,"2001_5000",D635&lt;=10000,"5001_10000"))</f>
        <v>2001_5000</v>
      </c>
      <c r="I635" s="8" t="str">
        <f t="shared" si="19"/>
        <v>|Recon</v>
      </c>
    </row>
    <row r="636" spans="2:9" x14ac:dyDescent="0.25">
      <c r="B636" t="s">
        <v>22</v>
      </c>
      <c r="C636">
        <f t="shared" si="18"/>
        <v>135</v>
      </c>
      <c r="D636" cm="1">
        <f t="array" ref="D636">_xlfn.IFS(C636&lt;=50,7+10*(C636-1),C636&lt;=110,507+25*(C636-51),C636&lt;=170,2007+50*(C636-111),C636&lt;=250,5007+50*(C636-171))</f>
        <v>3207</v>
      </c>
      <c r="E636" t="str" cm="1">
        <f t="array" ref="E636">IF(D636="","",_xlfn.IFS(D636&lt;=500,"Top_500",D636&lt;=2000,"501_2000",D636&lt;=5000,"2001_5000",D636&lt;=10000,"5001_10000"))</f>
        <v>2001_5000</v>
      </c>
      <c r="I636" s="8" t="str">
        <f t="shared" si="19"/>
        <v>|Recon</v>
      </c>
    </row>
    <row r="637" spans="2:9" x14ac:dyDescent="0.25">
      <c r="B637" t="s">
        <v>22</v>
      </c>
      <c r="C637">
        <f t="shared" si="18"/>
        <v>136</v>
      </c>
      <c r="D637" cm="1">
        <f t="array" ref="D637">_xlfn.IFS(C637&lt;=50,7+10*(C637-1),C637&lt;=110,507+25*(C637-51),C637&lt;=170,2007+50*(C637-111),C637&lt;=250,5007+50*(C637-171))</f>
        <v>3257</v>
      </c>
      <c r="E637" t="str" cm="1">
        <f t="array" ref="E637">IF(D637="","",_xlfn.IFS(D637&lt;=500,"Top_500",D637&lt;=2000,"501_2000",D637&lt;=5000,"2001_5000",D637&lt;=10000,"5001_10000"))</f>
        <v>2001_5000</v>
      </c>
      <c r="I637" s="8" t="str">
        <f t="shared" si="19"/>
        <v>|Recon</v>
      </c>
    </row>
    <row r="638" spans="2:9" x14ac:dyDescent="0.25">
      <c r="B638" t="s">
        <v>22</v>
      </c>
      <c r="C638">
        <f t="shared" si="18"/>
        <v>137</v>
      </c>
      <c r="D638" cm="1">
        <f t="array" ref="D638">_xlfn.IFS(C638&lt;=50,7+10*(C638-1),C638&lt;=110,507+25*(C638-51),C638&lt;=170,2007+50*(C638-111),C638&lt;=250,5007+50*(C638-171))</f>
        <v>3307</v>
      </c>
      <c r="E638" t="str" cm="1">
        <f t="array" ref="E638">IF(D638="","",_xlfn.IFS(D638&lt;=500,"Top_500",D638&lt;=2000,"501_2000",D638&lt;=5000,"2001_5000",D638&lt;=10000,"5001_10000"))</f>
        <v>2001_5000</v>
      </c>
      <c r="I638" s="8" t="str">
        <f t="shared" si="19"/>
        <v>|Recon</v>
      </c>
    </row>
    <row r="639" spans="2:9" x14ac:dyDescent="0.25">
      <c r="B639" t="s">
        <v>22</v>
      </c>
      <c r="C639">
        <f t="shared" si="18"/>
        <v>138</v>
      </c>
      <c r="D639" cm="1">
        <f t="array" ref="D639">_xlfn.IFS(C639&lt;=50,7+10*(C639-1),C639&lt;=110,507+25*(C639-51),C639&lt;=170,2007+50*(C639-111),C639&lt;=250,5007+50*(C639-171))</f>
        <v>3357</v>
      </c>
      <c r="E639" t="str" cm="1">
        <f t="array" ref="E639">IF(D639="","",_xlfn.IFS(D639&lt;=500,"Top_500",D639&lt;=2000,"501_2000",D639&lt;=5000,"2001_5000",D639&lt;=10000,"5001_10000"))</f>
        <v>2001_5000</v>
      </c>
      <c r="I639" s="8" t="str">
        <f t="shared" si="19"/>
        <v>|Recon</v>
      </c>
    </row>
    <row r="640" spans="2:9" x14ac:dyDescent="0.25">
      <c r="B640" t="s">
        <v>22</v>
      </c>
      <c r="C640">
        <f t="shared" si="18"/>
        <v>139</v>
      </c>
      <c r="D640" cm="1">
        <f t="array" ref="D640">_xlfn.IFS(C640&lt;=50,7+10*(C640-1),C640&lt;=110,507+25*(C640-51),C640&lt;=170,2007+50*(C640-111),C640&lt;=250,5007+50*(C640-171))</f>
        <v>3407</v>
      </c>
      <c r="E640" t="str" cm="1">
        <f t="array" ref="E640">IF(D640="","",_xlfn.IFS(D640&lt;=500,"Top_500",D640&lt;=2000,"501_2000",D640&lt;=5000,"2001_5000",D640&lt;=10000,"5001_10000"))</f>
        <v>2001_5000</v>
      </c>
      <c r="I640" s="8" t="str">
        <f t="shared" si="19"/>
        <v>|Recon</v>
      </c>
    </row>
    <row r="641" spans="2:9" x14ac:dyDescent="0.25">
      <c r="B641" t="s">
        <v>22</v>
      </c>
      <c r="C641">
        <f t="shared" si="18"/>
        <v>140</v>
      </c>
      <c r="D641" cm="1">
        <f t="array" ref="D641">_xlfn.IFS(C641&lt;=50,7+10*(C641-1),C641&lt;=110,507+25*(C641-51),C641&lt;=170,2007+50*(C641-111),C641&lt;=250,5007+50*(C641-171))</f>
        <v>3457</v>
      </c>
      <c r="E641" t="str" cm="1">
        <f t="array" ref="E641">IF(D641="","",_xlfn.IFS(D641&lt;=500,"Top_500",D641&lt;=2000,"501_2000",D641&lt;=5000,"2001_5000",D641&lt;=10000,"5001_10000"))</f>
        <v>2001_5000</v>
      </c>
      <c r="I641" s="8" t="str">
        <f t="shared" si="19"/>
        <v>|Recon</v>
      </c>
    </row>
    <row r="642" spans="2:9" x14ac:dyDescent="0.25">
      <c r="B642" t="s">
        <v>22</v>
      </c>
      <c r="C642">
        <f t="shared" ref="C642:C705" si="20">IF(ROW()=2,1,IF(B642&lt;&gt;B641,1,C641+1))</f>
        <v>141</v>
      </c>
      <c r="D642" cm="1">
        <f t="array" ref="D642">_xlfn.IFS(C642&lt;=50,7+10*(C642-1),C642&lt;=110,507+25*(C642-51),C642&lt;=170,2007+50*(C642-111),C642&lt;=250,5007+50*(C642-171))</f>
        <v>3507</v>
      </c>
      <c r="E642" t="str" cm="1">
        <f t="array" ref="E642">IF(D642="","",_xlfn.IFS(D642&lt;=500,"Top_500",D642&lt;=2000,"501_2000",D642&lt;=5000,"2001_5000",D642&lt;=10000,"5001_10000"))</f>
        <v>2001_5000</v>
      </c>
      <c r="I642" s="8" t="str">
        <f t="shared" si="19"/>
        <v>|Recon</v>
      </c>
    </row>
    <row r="643" spans="2:9" x14ac:dyDescent="0.25">
      <c r="B643" t="s">
        <v>22</v>
      </c>
      <c r="C643">
        <f t="shared" si="20"/>
        <v>142</v>
      </c>
      <c r="D643" cm="1">
        <f t="array" ref="D643">_xlfn.IFS(C643&lt;=50,7+10*(C643-1),C643&lt;=110,507+25*(C643-51),C643&lt;=170,2007+50*(C643-111),C643&lt;=250,5007+50*(C643-171))</f>
        <v>3557</v>
      </c>
      <c r="E643" t="str" cm="1">
        <f t="array" ref="E643">IF(D643="","",_xlfn.IFS(D643&lt;=500,"Top_500",D643&lt;=2000,"501_2000",D643&lt;=5000,"2001_5000",D643&lt;=10000,"5001_10000"))</f>
        <v>2001_5000</v>
      </c>
      <c r="I643" s="8" t="str">
        <f t="shared" ref="I643:I706" si="21">A643 &amp; "|" &amp; B643</f>
        <v>|Recon</v>
      </c>
    </row>
    <row r="644" spans="2:9" x14ac:dyDescent="0.25">
      <c r="B644" t="s">
        <v>22</v>
      </c>
      <c r="C644">
        <f t="shared" si="20"/>
        <v>143</v>
      </c>
      <c r="D644" cm="1">
        <f t="array" ref="D644">_xlfn.IFS(C644&lt;=50,7+10*(C644-1),C644&lt;=110,507+25*(C644-51),C644&lt;=170,2007+50*(C644-111),C644&lt;=250,5007+50*(C644-171))</f>
        <v>3607</v>
      </c>
      <c r="E644" t="str" cm="1">
        <f t="array" ref="E644">IF(D644="","",_xlfn.IFS(D644&lt;=500,"Top_500",D644&lt;=2000,"501_2000",D644&lt;=5000,"2001_5000",D644&lt;=10000,"5001_10000"))</f>
        <v>2001_5000</v>
      </c>
      <c r="I644" s="8" t="str">
        <f t="shared" si="21"/>
        <v>|Recon</v>
      </c>
    </row>
    <row r="645" spans="2:9" x14ac:dyDescent="0.25">
      <c r="B645" t="s">
        <v>22</v>
      </c>
      <c r="C645">
        <f t="shared" si="20"/>
        <v>144</v>
      </c>
      <c r="D645" cm="1">
        <f t="array" ref="D645">_xlfn.IFS(C645&lt;=50,7+10*(C645-1),C645&lt;=110,507+25*(C645-51),C645&lt;=170,2007+50*(C645-111),C645&lt;=250,5007+50*(C645-171))</f>
        <v>3657</v>
      </c>
      <c r="E645" t="str" cm="1">
        <f t="array" ref="E645">IF(D645="","",_xlfn.IFS(D645&lt;=500,"Top_500",D645&lt;=2000,"501_2000",D645&lt;=5000,"2001_5000",D645&lt;=10000,"5001_10000"))</f>
        <v>2001_5000</v>
      </c>
      <c r="I645" s="8" t="str">
        <f t="shared" si="21"/>
        <v>|Recon</v>
      </c>
    </row>
    <row r="646" spans="2:9" x14ac:dyDescent="0.25">
      <c r="B646" t="s">
        <v>22</v>
      </c>
      <c r="C646">
        <f t="shared" si="20"/>
        <v>145</v>
      </c>
      <c r="D646" cm="1">
        <f t="array" ref="D646">_xlfn.IFS(C646&lt;=50,7+10*(C646-1),C646&lt;=110,507+25*(C646-51),C646&lt;=170,2007+50*(C646-111),C646&lt;=250,5007+50*(C646-171))</f>
        <v>3707</v>
      </c>
      <c r="E646" t="str" cm="1">
        <f t="array" ref="E646">IF(D646="","",_xlfn.IFS(D646&lt;=500,"Top_500",D646&lt;=2000,"501_2000",D646&lt;=5000,"2001_5000",D646&lt;=10000,"5001_10000"))</f>
        <v>2001_5000</v>
      </c>
      <c r="I646" s="8" t="str">
        <f t="shared" si="21"/>
        <v>|Recon</v>
      </c>
    </row>
    <row r="647" spans="2:9" x14ac:dyDescent="0.25">
      <c r="B647" t="s">
        <v>22</v>
      </c>
      <c r="C647">
        <f t="shared" si="20"/>
        <v>146</v>
      </c>
      <c r="D647" cm="1">
        <f t="array" ref="D647">_xlfn.IFS(C647&lt;=50,7+10*(C647-1),C647&lt;=110,507+25*(C647-51),C647&lt;=170,2007+50*(C647-111),C647&lt;=250,5007+50*(C647-171))</f>
        <v>3757</v>
      </c>
      <c r="E647" t="str" cm="1">
        <f t="array" ref="E647">IF(D647="","",_xlfn.IFS(D647&lt;=500,"Top_500",D647&lt;=2000,"501_2000",D647&lt;=5000,"2001_5000",D647&lt;=10000,"5001_10000"))</f>
        <v>2001_5000</v>
      </c>
      <c r="I647" s="8" t="str">
        <f t="shared" si="21"/>
        <v>|Recon</v>
      </c>
    </row>
    <row r="648" spans="2:9" x14ac:dyDescent="0.25">
      <c r="B648" t="s">
        <v>22</v>
      </c>
      <c r="C648">
        <f t="shared" si="20"/>
        <v>147</v>
      </c>
      <c r="D648" cm="1">
        <f t="array" ref="D648">_xlfn.IFS(C648&lt;=50,7+10*(C648-1),C648&lt;=110,507+25*(C648-51),C648&lt;=170,2007+50*(C648-111),C648&lt;=250,5007+50*(C648-171))</f>
        <v>3807</v>
      </c>
      <c r="E648" t="str" cm="1">
        <f t="array" ref="E648">IF(D648="","",_xlfn.IFS(D648&lt;=500,"Top_500",D648&lt;=2000,"501_2000",D648&lt;=5000,"2001_5000",D648&lt;=10000,"5001_10000"))</f>
        <v>2001_5000</v>
      </c>
      <c r="I648" s="8" t="str">
        <f t="shared" si="21"/>
        <v>|Recon</v>
      </c>
    </row>
    <row r="649" spans="2:9" x14ac:dyDescent="0.25">
      <c r="B649" t="s">
        <v>22</v>
      </c>
      <c r="C649">
        <f t="shared" si="20"/>
        <v>148</v>
      </c>
      <c r="D649" cm="1">
        <f t="array" ref="D649">_xlfn.IFS(C649&lt;=50,7+10*(C649-1),C649&lt;=110,507+25*(C649-51),C649&lt;=170,2007+50*(C649-111),C649&lt;=250,5007+50*(C649-171))</f>
        <v>3857</v>
      </c>
      <c r="E649" t="str" cm="1">
        <f t="array" ref="E649">IF(D649="","",_xlfn.IFS(D649&lt;=500,"Top_500",D649&lt;=2000,"501_2000",D649&lt;=5000,"2001_5000",D649&lt;=10000,"5001_10000"))</f>
        <v>2001_5000</v>
      </c>
      <c r="I649" s="8" t="str">
        <f t="shared" si="21"/>
        <v>|Recon</v>
      </c>
    </row>
    <row r="650" spans="2:9" x14ac:dyDescent="0.25">
      <c r="B650" t="s">
        <v>22</v>
      </c>
      <c r="C650">
        <f t="shared" si="20"/>
        <v>149</v>
      </c>
      <c r="D650" cm="1">
        <f t="array" ref="D650">_xlfn.IFS(C650&lt;=50,7+10*(C650-1),C650&lt;=110,507+25*(C650-51),C650&lt;=170,2007+50*(C650-111),C650&lt;=250,5007+50*(C650-171))</f>
        <v>3907</v>
      </c>
      <c r="E650" t="str" cm="1">
        <f t="array" ref="E650">IF(D650="","",_xlfn.IFS(D650&lt;=500,"Top_500",D650&lt;=2000,"501_2000",D650&lt;=5000,"2001_5000",D650&lt;=10000,"5001_10000"))</f>
        <v>2001_5000</v>
      </c>
      <c r="I650" s="8" t="str">
        <f t="shared" si="21"/>
        <v>|Recon</v>
      </c>
    </row>
    <row r="651" spans="2:9" x14ac:dyDescent="0.25">
      <c r="B651" t="s">
        <v>22</v>
      </c>
      <c r="C651">
        <f t="shared" si="20"/>
        <v>150</v>
      </c>
      <c r="D651" cm="1">
        <f t="array" ref="D651">_xlfn.IFS(C651&lt;=50,7+10*(C651-1),C651&lt;=110,507+25*(C651-51),C651&lt;=170,2007+50*(C651-111),C651&lt;=250,5007+50*(C651-171))</f>
        <v>3957</v>
      </c>
      <c r="E651" t="str" cm="1">
        <f t="array" ref="E651">IF(D651="","",_xlfn.IFS(D651&lt;=500,"Top_500",D651&lt;=2000,"501_2000",D651&lt;=5000,"2001_5000",D651&lt;=10000,"5001_10000"))</f>
        <v>2001_5000</v>
      </c>
      <c r="I651" s="8" t="str">
        <f t="shared" si="21"/>
        <v>|Recon</v>
      </c>
    </row>
    <row r="652" spans="2:9" x14ac:dyDescent="0.25">
      <c r="B652" t="s">
        <v>22</v>
      </c>
      <c r="C652">
        <f t="shared" si="20"/>
        <v>151</v>
      </c>
      <c r="D652" cm="1">
        <f t="array" ref="D652">_xlfn.IFS(C652&lt;=50,7+10*(C652-1),C652&lt;=110,507+25*(C652-51),C652&lt;=170,2007+50*(C652-111),C652&lt;=250,5007+50*(C652-171))</f>
        <v>4007</v>
      </c>
      <c r="E652" t="str" cm="1">
        <f t="array" ref="E652">IF(D652="","",_xlfn.IFS(D652&lt;=500,"Top_500",D652&lt;=2000,"501_2000",D652&lt;=5000,"2001_5000",D652&lt;=10000,"5001_10000"))</f>
        <v>2001_5000</v>
      </c>
      <c r="I652" s="8" t="str">
        <f t="shared" si="21"/>
        <v>|Recon</v>
      </c>
    </row>
    <row r="653" spans="2:9" x14ac:dyDescent="0.25">
      <c r="B653" t="s">
        <v>22</v>
      </c>
      <c r="C653">
        <f t="shared" si="20"/>
        <v>152</v>
      </c>
      <c r="D653" cm="1">
        <f t="array" ref="D653">_xlfn.IFS(C653&lt;=50,7+10*(C653-1),C653&lt;=110,507+25*(C653-51),C653&lt;=170,2007+50*(C653-111),C653&lt;=250,5007+50*(C653-171))</f>
        <v>4057</v>
      </c>
      <c r="E653" t="str" cm="1">
        <f t="array" ref="E653">IF(D653="","",_xlfn.IFS(D653&lt;=500,"Top_500",D653&lt;=2000,"501_2000",D653&lt;=5000,"2001_5000",D653&lt;=10000,"5001_10000"))</f>
        <v>2001_5000</v>
      </c>
      <c r="I653" s="8" t="str">
        <f t="shared" si="21"/>
        <v>|Recon</v>
      </c>
    </row>
    <row r="654" spans="2:9" x14ac:dyDescent="0.25">
      <c r="B654" t="s">
        <v>22</v>
      </c>
      <c r="C654">
        <f t="shared" si="20"/>
        <v>153</v>
      </c>
      <c r="D654" cm="1">
        <f t="array" ref="D654">_xlfn.IFS(C654&lt;=50,7+10*(C654-1),C654&lt;=110,507+25*(C654-51),C654&lt;=170,2007+50*(C654-111),C654&lt;=250,5007+50*(C654-171))</f>
        <v>4107</v>
      </c>
      <c r="E654" t="str" cm="1">
        <f t="array" ref="E654">IF(D654="","",_xlfn.IFS(D654&lt;=500,"Top_500",D654&lt;=2000,"501_2000",D654&lt;=5000,"2001_5000",D654&lt;=10000,"5001_10000"))</f>
        <v>2001_5000</v>
      </c>
      <c r="I654" s="8" t="str">
        <f t="shared" si="21"/>
        <v>|Recon</v>
      </c>
    </row>
    <row r="655" spans="2:9" x14ac:dyDescent="0.25">
      <c r="B655" t="s">
        <v>22</v>
      </c>
      <c r="C655">
        <f t="shared" si="20"/>
        <v>154</v>
      </c>
      <c r="D655" cm="1">
        <f t="array" ref="D655">_xlfn.IFS(C655&lt;=50,7+10*(C655-1),C655&lt;=110,507+25*(C655-51),C655&lt;=170,2007+50*(C655-111),C655&lt;=250,5007+50*(C655-171))</f>
        <v>4157</v>
      </c>
      <c r="E655" t="str" cm="1">
        <f t="array" ref="E655">IF(D655="","",_xlfn.IFS(D655&lt;=500,"Top_500",D655&lt;=2000,"501_2000",D655&lt;=5000,"2001_5000",D655&lt;=10000,"5001_10000"))</f>
        <v>2001_5000</v>
      </c>
      <c r="I655" s="8" t="str">
        <f t="shared" si="21"/>
        <v>|Recon</v>
      </c>
    </row>
    <row r="656" spans="2:9" x14ac:dyDescent="0.25">
      <c r="B656" t="s">
        <v>22</v>
      </c>
      <c r="C656">
        <f t="shared" si="20"/>
        <v>155</v>
      </c>
      <c r="D656" cm="1">
        <f t="array" ref="D656">_xlfn.IFS(C656&lt;=50,7+10*(C656-1),C656&lt;=110,507+25*(C656-51),C656&lt;=170,2007+50*(C656-111),C656&lt;=250,5007+50*(C656-171))</f>
        <v>4207</v>
      </c>
      <c r="E656" t="str" cm="1">
        <f t="array" ref="E656">IF(D656="","",_xlfn.IFS(D656&lt;=500,"Top_500",D656&lt;=2000,"501_2000",D656&lt;=5000,"2001_5000",D656&lt;=10000,"5001_10000"))</f>
        <v>2001_5000</v>
      </c>
      <c r="I656" s="8" t="str">
        <f t="shared" si="21"/>
        <v>|Recon</v>
      </c>
    </row>
    <row r="657" spans="2:9" x14ac:dyDescent="0.25">
      <c r="B657" t="s">
        <v>22</v>
      </c>
      <c r="C657">
        <f t="shared" si="20"/>
        <v>156</v>
      </c>
      <c r="D657" cm="1">
        <f t="array" ref="D657">_xlfn.IFS(C657&lt;=50,7+10*(C657-1),C657&lt;=110,507+25*(C657-51),C657&lt;=170,2007+50*(C657-111),C657&lt;=250,5007+50*(C657-171))</f>
        <v>4257</v>
      </c>
      <c r="E657" t="str" cm="1">
        <f t="array" ref="E657">IF(D657="","",_xlfn.IFS(D657&lt;=500,"Top_500",D657&lt;=2000,"501_2000",D657&lt;=5000,"2001_5000",D657&lt;=10000,"5001_10000"))</f>
        <v>2001_5000</v>
      </c>
      <c r="I657" s="8" t="str">
        <f t="shared" si="21"/>
        <v>|Recon</v>
      </c>
    </row>
    <row r="658" spans="2:9" x14ac:dyDescent="0.25">
      <c r="B658" t="s">
        <v>22</v>
      </c>
      <c r="C658">
        <f t="shared" si="20"/>
        <v>157</v>
      </c>
      <c r="D658" cm="1">
        <f t="array" ref="D658">_xlfn.IFS(C658&lt;=50,7+10*(C658-1),C658&lt;=110,507+25*(C658-51),C658&lt;=170,2007+50*(C658-111),C658&lt;=250,5007+50*(C658-171))</f>
        <v>4307</v>
      </c>
      <c r="E658" t="str" cm="1">
        <f t="array" ref="E658">IF(D658="","",_xlfn.IFS(D658&lt;=500,"Top_500",D658&lt;=2000,"501_2000",D658&lt;=5000,"2001_5000",D658&lt;=10000,"5001_10000"))</f>
        <v>2001_5000</v>
      </c>
      <c r="I658" s="8" t="str">
        <f t="shared" si="21"/>
        <v>|Recon</v>
      </c>
    </row>
    <row r="659" spans="2:9" x14ac:dyDescent="0.25">
      <c r="B659" t="s">
        <v>22</v>
      </c>
      <c r="C659">
        <f t="shared" si="20"/>
        <v>158</v>
      </c>
      <c r="D659" cm="1">
        <f t="array" ref="D659">_xlfn.IFS(C659&lt;=50,7+10*(C659-1),C659&lt;=110,507+25*(C659-51),C659&lt;=170,2007+50*(C659-111),C659&lt;=250,5007+50*(C659-171))</f>
        <v>4357</v>
      </c>
      <c r="E659" t="str" cm="1">
        <f t="array" ref="E659">IF(D659="","",_xlfn.IFS(D659&lt;=500,"Top_500",D659&lt;=2000,"501_2000",D659&lt;=5000,"2001_5000",D659&lt;=10000,"5001_10000"))</f>
        <v>2001_5000</v>
      </c>
      <c r="I659" s="8" t="str">
        <f t="shared" si="21"/>
        <v>|Recon</v>
      </c>
    </row>
    <row r="660" spans="2:9" x14ac:dyDescent="0.25">
      <c r="B660" t="s">
        <v>22</v>
      </c>
      <c r="C660">
        <f t="shared" si="20"/>
        <v>159</v>
      </c>
      <c r="D660" cm="1">
        <f t="array" ref="D660">_xlfn.IFS(C660&lt;=50,7+10*(C660-1),C660&lt;=110,507+25*(C660-51),C660&lt;=170,2007+50*(C660-111),C660&lt;=250,5007+50*(C660-171))</f>
        <v>4407</v>
      </c>
      <c r="E660" t="str" cm="1">
        <f t="array" ref="E660">IF(D660="","",_xlfn.IFS(D660&lt;=500,"Top_500",D660&lt;=2000,"501_2000",D660&lt;=5000,"2001_5000",D660&lt;=10000,"5001_10000"))</f>
        <v>2001_5000</v>
      </c>
      <c r="I660" s="8" t="str">
        <f t="shared" si="21"/>
        <v>|Recon</v>
      </c>
    </row>
    <row r="661" spans="2:9" x14ac:dyDescent="0.25">
      <c r="B661" t="s">
        <v>22</v>
      </c>
      <c r="C661">
        <f t="shared" si="20"/>
        <v>160</v>
      </c>
      <c r="D661" cm="1">
        <f t="array" ref="D661">_xlfn.IFS(C661&lt;=50,7+10*(C661-1),C661&lt;=110,507+25*(C661-51),C661&lt;=170,2007+50*(C661-111),C661&lt;=250,5007+50*(C661-171))</f>
        <v>4457</v>
      </c>
      <c r="E661" t="str" cm="1">
        <f t="array" ref="E661">IF(D661="","",_xlfn.IFS(D661&lt;=500,"Top_500",D661&lt;=2000,"501_2000",D661&lt;=5000,"2001_5000",D661&lt;=10000,"5001_10000"))</f>
        <v>2001_5000</v>
      </c>
      <c r="I661" s="8" t="str">
        <f t="shared" si="21"/>
        <v>|Recon</v>
      </c>
    </row>
    <row r="662" spans="2:9" x14ac:dyDescent="0.25">
      <c r="B662" t="s">
        <v>22</v>
      </c>
      <c r="C662">
        <f t="shared" si="20"/>
        <v>161</v>
      </c>
      <c r="D662" cm="1">
        <f t="array" ref="D662">_xlfn.IFS(C662&lt;=50,7+10*(C662-1),C662&lt;=110,507+25*(C662-51),C662&lt;=170,2007+50*(C662-111),C662&lt;=250,5007+50*(C662-171))</f>
        <v>4507</v>
      </c>
      <c r="E662" t="str" cm="1">
        <f t="array" ref="E662">IF(D662="","",_xlfn.IFS(D662&lt;=500,"Top_500",D662&lt;=2000,"501_2000",D662&lt;=5000,"2001_5000",D662&lt;=10000,"5001_10000"))</f>
        <v>2001_5000</v>
      </c>
      <c r="I662" s="8" t="str">
        <f t="shared" si="21"/>
        <v>|Recon</v>
      </c>
    </row>
    <row r="663" spans="2:9" x14ac:dyDescent="0.25">
      <c r="B663" t="s">
        <v>22</v>
      </c>
      <c r="C663">
        <f t="shared" si="20"/>
        <v>162</v>
      </c>
      <c r="D663" cm="1">
        <f t="array" ref="D663">_xlfn.IFS(C663&lt;=50,7+10*(C663-1),C663&lt;=110,507+25*(C663-51),C663&lt;=170,2007+50*(C663-111),C663&lt;=250,5007+50*(C663-171))</f>
        <v>4557</v>
      </c>
      <c r="E663" t="str" cm="1">
        <f t="array" ref="E663">IF(D663="","",_xlfn.IFS(D663&lt;=500,"Top_500",D663&lt;=2000,"501_2000",D663&lt;=5000,"2001_5000",D663&lt;=10000,"5001_10000"))</f>
        <v>2001_5000</v>
      </c>
      <c r="I663" s="8" t="str">
        <f t="shared" si="21"/>
        <v>|Recon</v>
      </c>
    </row>
    <row r="664" spans="2:9" x14ac:dyDescent="0.25">
      <c r="B664" t="s">
        <v>22</v>
      </c>
      <c r="C664">
        <f t="shared" si="20"/>
        <v>163</v>
      </c>
      <c r="D664" cm="1">
        <f t="array" ref="D664">_xlfn.IFS(C664&lt;=50,7+10*(C664-1),C664&lt;=110,507+25*(C664-51),C664&lt;=170,2007+50*(C664-111),C664&lt;=250,5007+50*(C664-171))</f>
        <v>4607</v>
      </c>
      <c r="E664" t="str" cm="1">
        <f t="array" ref="E664">IF(D664="","",_xlfn.IFS(D664&lt;=500,"Top_500",D664&lt;=2000,"501_2000",D664&lt;=5000,"2001_5000",D664&lt;=10000,"5001_10000"))</f>
        <v>2001_5000</v>
      </c>
      <c r="I664" s="8" t="str">
        <f t="shared" si="21"/>
        <v>|Recon</v>
      </c>
    </row>
    <row r="665" spans="2:9" x14ac:dyDescent="0.25">
      <c r="B665" t="s">
        <v>22</v>
      </c>
      <c r="C665">
        <f t="shared" si="20"/>
        <v>164</v>
      </c>
      <c r="D665" cm="1">
        <f t="array" ref="D665">_xlfn.IFS(C665&lt;=50,7+10*(C665-1),C665&lt;=110,507+25*(C665-51),C665&lt;=170,2007+50*(C665-111),C665&lt;=250,5007+50*(C665-171))</f>
        <v>4657</v>
      </c>
      <c r="E665" t="str" cm="1">
        <f t="array" ref="E665">IF(D665="","",_xlfn.IFS(D665&lt;=500,"Top_500",D665&lt;=2000,"501_2000",D665&lt;=5000,"2001_5000",D665&lt;=10000,"5001_10000"))</f>
        <v>2001_5000</v>
      </c>
      <c r="I665" s="8" t="str">
        <f t="shared" si="21"/>
        <v>|Recon</v>
      </c>
    </row>
    <row r="666" spans="2:9" x14ac:dyDescent="0.25">
      <c r="B666" t="s">
        <v>22</v>
      </c>
      <c r="C666">
        <f t="shared" si="20"/>
        <v>165</v>
      </c>
      <c r="D666" cm="1">
        <f t="array" ref="D666">_xlfn.IFS(C666&lt;=50,7+10*(C666-1),C666&lt;=110,507+25*(C666-51),C666&lt;=170,2007+50*(C666-111),C666&lt;=250,5007+50*(C666-171))</f>
        <v>4707</v>
      </c>
      <c r="E666" t="str" cm="1">
        <f t="array" ref="E666">IF(D666="","",_xlfn.IFS(D666&lt;=500,"Top_500",D666&lt;=2000,"501_2000",D666&lt;=5000,"2001_5000",D666&lt;=10000,"5001_10000"))</f>
        <v>2001_5000</v>
      </c>
      <c r="I666" s="8" t="str">
        <f t="shared" si="21"/>
        <v>|Recon</v>
      </c>
    </row>
    <row r="667" spans="2:9" x14ac:dyDescent="0.25">
      <c r="B667" t="s">
        <v>22</v>
      </c>
      <c r="C667">
        <f t="shared" si="20"/>
        <v>166</v>
      </c>
      <c r="D667" cm="1">
        <f t="array" ref="D667">_xlfn.IFS(C667&lt;=50,7+10*(C667-1),C667&lt;=110,507+25*(C667-51),C667&lt;=170,2007+50*(C667-111),C667&lt;=250,5007+50*(C667-171))</f>
        <v>4757</v>
      </c>
      <c r="E667" t="str" cm="1">
        <f t="array" ref="E667">IF(D667="","",_xlfn.IFS(D667&lt;=500,"Top_500",D667&lt;=2000,"501_2000",D667&lt;=5000,"2001_5000",D667&lt;=10000,"5001_10000"))</f>
        <v>2001_5000</v>
      </c>
      <c r="I667" s="8" t="str">
        <f t="shared" si="21"/>
        <v>|Recon</v>
      </c>
    </row>
    <row r="668" spans="2:9" x14ac:dyDescent="0.25">
      <c r="B668" t="s">
        <v>22</v>
      </c>
      <c r="C668">
        <f t="shared" si="20"/>
        <v>167</v>
      </c>
      <c r="D668" cm="1">
        <f t="array" ref="D668">_xlfn.IFS(C668&lt;=50,7+10*(C668-1),C668&lt;=110,507+25*(C668-51),C668&lt;=170,2007+50*(C668-111),C668&lt;=250,5007+50*(C668-171))</f>
        <v>4807</v>
      </c>
      <c r="E668" t="str" cm="1">
        <f t="array" ref="E668">IF(D668="","",_xlfn.IFS(D668&lt;=500,"Top_500",D668&lt;=2000,"501_2000",D668&lt;=5000,"2001_5000",D668&lt;=10000,"5001_10000"))</f>
        <v>2001_5000</v>
      </c>
      <c r="I668" s="8" t="str">
        <f t="shared" si="21"/>
        <v>|Recon</v>
      </c>
    </row>
    <row r="669" spans="2:9" x14ac:dyDescent="0.25">
      <c r="B669" t="s">
        <v>22</v>
      </c>
      <c r="C669">
        <f t="shared" si="20"/>
        <v>168</v>
      </c>
      <c r="D669" cm="1">
        <f t="array" ref="D669">_xlfn.IFS(C669&lt;=50,7+10*(C669-1),C669&lt;=110,507+25*(C669-51),C669&lt;=170,2007+50*(C669-111),C669&lt;=250,5007+50*(C669-171))</f>
        <v>4857</v>
      </c>
      <c r="E669" t="str" cm="1">
        <f t="array" ref="E669">IF(D669="","",_xlfn.IFS(D669&lt;=500,"Top_500",D669&lt;=2000,"501_2000",D669&lt;=5000,"2001_5000",D669&lt;=10000,"5001_10000"))</f>
        <v>2001_5000</v>
      </c>
      <c r="I669" s="8" t="str">
        <f t="shared" si="21"/>
        <v>|Recon</v>
      </c>
    </row>
    <row r="670" spans="2:9" x14ac:dyDescent="0.25">
      <c r="B670" t="s">
        <v>22</v>
      </c>
      <c r="C670">
        <f t="shared" si="20"/>
        <v>169</v>
      </c>
      <c r="D670" cm="1">
        <f t="array" ref="D670">_xlfn.IFS(C670&lt;=50,7+10*(C670-1),C670&lt;=110,507+25*(C670-51),C670&lt;=170,2007+50*(C670-111),C670&lt;=250,5007+50*(C670-171))</f>
        <v>4907</v>
      </c>
      <c r="E670" t="str" cm="1">
        <f t="array" ref="E670">IF(D670="","",_xlfn.IFS(D670&lt;=500,"Top_500",D670&lt;=2000,"501_2000",D670&lt;=5000,"2001_5000",D670&lt;=10000,"5001_10000"))</f>
        <v>2001_5000</v>
      </c>
      <c r="I670" s="8" t="str">
        <f t="shared" si="21"/>
        <v>|Recon</v>
      </c>
    </row>
    <row r="671" spans="2:9" x14ac:dyDescent="0.25">
      <c r="B671" t="s">
        <v>22</v>
      </c>
      <c r="C671">
        <f t="shared" si="20"/>
        <v>170</v>
      </c>
      <c r="D671" cm="1">
        <f t="array" ref="D671">_xlfn.IFS(C671&lt;=50,7+10*(C671-1),C671&lt;=110,507+25*(C671-51),C671&lt;=170,2007+50*(C671-111),C671&lt;=250,5007+50*(C671-171))</f>
        <v>4957</v>
      </c>
      <c r="E671" t="str" cm="1">
        <f t="array" ref="E671">IF(D671="","",_xlfn.IFS(D671&lt;=500,"Top_500",D671&lt;=2000,"501_2000",D671&lt;=5000,"2001_5000",D671&lt;=10000,"5001_10000"))</f>
        <v>2001_5000</v>
      </c>
      <c r="I671" s="8" t="str">
        <f t="shared" si="21"/>
        <v>|Recon</v>
      </c>
    </row>
    <row r="672" spans="2:9" x14ac:dyDescent="0.25">
      <c r="B672" t="s">
        <v>22</v>
      </c>
      <c r="C672">
        <f t="shared" si="20"/>
        <v>171</v>
      </c>
      <c r="D672" cm="1">
        <f t="array" ref="D672">_xlfn.IFS(C672&lt;=50,7+10*(C672-1),C672&lt;=110,507+25*(C672-51),C672&lt;=170,2007+50*(C672-111),C672&lt;=250,5007+50*(C672-171))</f>
        <v>5007</v>
      </c>
      <c r="E672" t="str" cm="1">
        <f t="array" ref="E672">IF(D672="","",_xlfn.IFS(D672&lt;=500,"Top_500",D672&lt;=2000,"501_2000",D672&lt;=5000,"2001_5000",D672&lt;=10000,"5001_10000"))</f>
        <v>5001_10000</v>
      </c>
      <c r="I672" s="8" t="str">
        <f t="shared" si="21"/>
        <v>|Recon</v>
      </c>
    </row>
    <row r="673" spans="2:9" x14ac:dyDescent="0.25">
      <c r="B673" t="s">
        <v>22</v>
      </c>
      <c r="C673">
        <f t="shared" si="20"/>
        <v>172</v>
      </c>
      <c r="D673" cm="1">
        <f t="array" ref="D673">_xlfn.IFS(C673&lt;=50,7+10*(C673-1),C673&lt;=110,507+25*(C673-51),C673&lt;=170,2007+50*(C673-111),C673&lt;=250,5007+50*(C673-171))</f>
        <v>5057</v>
      </c>
      <c r="E673" t="str" cm="1">
        <f t="array" ref="E673">IF(D673="","",_xlfn.IFS(D673&lt;=500,"Top_500",D673&lt;=2000,"501_2000",D673&lt;=5000,"2001_5000",D673&lt;=10000,"5001_10000"))</f>
        <v>5001_10000</v>
      </c>
      <c r="I673" s="8" t="str">
        <f t="shared" si="21"/>
        <v>|Recon</v>
      </c>
    </row>
    <row r="674" spans="2:9" x14ac:dyDescent="0.25">
      <c r="B674" t="s">
        <v>22</v>
      </c>
      <c r="C674">
        <f t="shared" si="20"/>
        <v>173</v>
      </c>
      <c r="D674" cm="1">
        <f t="array" ref="D674">_xlfn.IFS(C674&lt;=50,7+10*(C674-1),C674&lt;=110,507+25*(C674-51),C674&lt;=170,2007+50*(C674-111),C674&lt;=250,5007+50*(C674-171))</f>
        <v>5107</v>
      </c>
      <c r="E674" t="str" cm="1">
        <f t="array" ref="E674">IF(D674="","",_xlfn.IFS(D674&lt;=500,"Top_500",D674&lt;=2000,"501_2000",D674&lt;=5000,"2001_5000",D674&lt;=10000,"5001_10000"))</f>
        <v>5001_10000</v>
      </c>
      <c r="I674" s="8" t="str">
        <f t="shared" si="21"/>
        <v>|Recon</v>
      </c>
    </row>
    <row r="675" spans="2:9" x14ac:dyDescent="0.25">
      <c r="B675" t="s">
        <v>22</v>
      </c>
      <c r="C675">
        <f t="shared" si="20"/>
        <v>174</v>
      </c>
      <c r="D675" cm="1">
        <f t="array" ref="D675">_xlfn.IFS(C675&lt;=50,7+10*(C675-1),C675&lt;=110,507+25*(C675-51),C675&lt;=170,2007+50*(C675-111),C675&lt;=250,5007+50*(C675-171))</f>
        <v>5157</v>
      </c>
      <c r="E675" t="str" cm="1">
        <f t="array" ref="E675">IF(D675="","",_xlfn.IFS(D675&lt;=500,"Top_500",D675&lt;=2000,"501_2000",D675&lt;=5000,"2001_5000",D675&lt;=10000,"5001_10000"))</f>
        <v>5001_10000</v>
      </c>
      <c r="I675" s="8" t="str">
        <f t="shared" si="21"/>
        <v>|Recon</v>
      </c>
    </row>
    <row r="676" spans="2:9" x14ac:dyDescent="0.25">
      <c r="B676" t="s">
        <v>22</v>
      </c>
      <c r="C676">
        <f t="shared" si="20"/>
        <v>175</v>
      </c>
      <c r="D676" cm="1">
        <f t="array" ref="D676">_xlfn.IFS(C676&lt;=50,7+10*(C676-1),C676&lt;=110,507+25*(C676-51),C676&lt;=170,2007+50*(C676-111),C676&lt;=250,5007+50*(C676-171))</f>
        <v>5207</v>
      </c>
      <c r="E676" t="str" cm="1">
        <f t="array" ref="E676">IF(D676="","",_xlfn.IFS(D676&lt;=500,"Top_500",D676&lt;=2000,"501_2000",D676&lt;=5000,"2001_5000",D676&lt;=10000,"5001_10000"))</f>
        <v>5001_10000</v>
      </c>
      <c r="I676" s="8" t="str">
        <f t="shared" si="21"/>
        <v>|Recon</v>
      </c>
    </row>
    <row r="677" spans="2:9" x14ac:dyDescent="0.25">
      <c r="B677" t="s">
        <v>22</v>
      </c>
      <c r="C677">
        <f t="shared" si="20"/>
        <v>176</v>
      </c>
      <c r="D677" cm="1">
        <f t="array" ref="D677">_xlfn.IFS(C677&lt;=50,7+10*(C677-1),C677&lt;=110,507+25*(C677-51),C677&lt;=170,2007+50*(C677-111),C677&lt;=250,5007+50*(C677-171))</f>
        <v>5257</v>
      </c>
      <c r="E677" t="str" cm="1">
        <f t="array" ref="E677">IF(D677="","",_xlfn.IFS(D677&lt;=500,"Top_500",D677&lt;=2000,"501_2000",D677&lt;=5000,"2001_5000",D677&lt;=10000,"5001_10000"))</f>
        <v>5001_10000</v>
      </c>
      <c r="I677" s="8" t="str">
        <f t="shared" si="21"/>
        <v>|Recon</v>
      </c>
    </row>
    <row r="678" spans="2:9" x14ac:dyDescent="0.25">
      <c r="B678" t="s">
        <v>22</v>
      </c>
      <c r="C678">
        <f t="shared" si="20"/>
        <v>177</v>
      </c>
      <c r="D678" cm="1">
        <f t="array" ref="D678">_xlfn.IFS(C678&lt;=50,7+10*(C678-1),C678&lt;=110,507+25*(C678-51),C678&lt;=170,2007+50*(C678-111),C678&lt;=250,5007+50*(C678-171))</f>
        <v>5307</v>
      </c>
      <c r="E678" t="str" cm="1">
        <f t="array" ref="E678">IF(D678="","",_xlfn.IFS(D678&lt;=500,"Top_500",D678&lt;=2000,"501_2000",D678&lt;=5000,"2001_5000",D678&lt;=10000,"5001_10000"))</f>
        <v>5001_10000</v>
      </c>
      <c r="I678" s="8" t="str">
        <f t="shared" si="21"/>
        <v>|Recon</v>
      </c>
    </row>
    <row r="679" spans="2:9" x14ac:dyDescent="0.25">
      <c r="B679" t="s">
        <v>22</v>
      </c>
      <c r="C679">
        <f t="shared" si="20"/>
        <v>178</v>
      </c>
      <c r="D679" cm="1">
        <f t="array" ref="D679">_xlfn.IFS(C679&lt;=50,7+10*(C679-1),C679&lt;=110,507+25*(C679-51),C679&lt;=170,2007+50*(C679-111),C679&lt;=250,5007+50*(C679-171))</f>
        <v>5357</v>
      </c>
      <c r="E679" t="str" cm="1">
        <f t="array" ref="E679">IF(D679="","",_xlfn.IFS(D679&lt;=500,"Top_500",D679&lt;=2000,"501_2000",D679&lt;=5000,"2001_5000",D679&lt;=10000,"5001_10000"))</f>
        <v>5001_10000</v>
      </c>
      <c r="I679" s="8" t="str">
        <f t="shared" si="21"/>
        <v>|Recon</v>
      </c>
    </row>
    <row r="680" spans="2:9" x14ac:dyDescent="0.25">
      <c r="B680" t="s">
        <v>22</v>
      </c>
      <c r="C680">
        <f t="shared" si="20"/>
        <v>179</v>
      </c>
      <c r="D680" cm="1">
        <f t="array" ref="D680">_xlfn.IFS(C680&lt;=50,7+10*(C680-1),C680&lt;=110,507+25*(C680-51),C680&lt;=170,2007+50*(C680-111),C680&lt;=250,5007+50*(C680-171))</f>
        <v>5407</v>
      </c>
      <c r="E680" t="str" cm="1">
        <f t="array" ref="E680">IF(D680="","",_xlfn.IFS(D680&lt;=500,"Top_500",D680&lt;=2000,"501_2000",D680&lt;=5000,"2001_5000",D680&lt;=10000,"5001_10000"))</f>
        <v>5001_10000</v>
      </c>
      <c r="I680" s="8" t="str">
        <f t="shared" si="21"/>
        <v>|Recon</v>
      </c>
    </row>
    <row r="681" spans="2:9" x14ac:dyDescent="0.25">
      <c r="B681" t="s">
        <v>22</v>
      </c>
      <c r="C681">
        <f t="shared" si="20"/>
        <v>180</v>
      </c>
      <c r="D681" cm="1">
        <f t="array" ref="D681">_xlfn.IFS(C681&lt;=50,7+10*(C681-1),C681&lt;=110,507+25*(C681-51),C681&lt;=170,2007+50*(C681-111),C681&lt;=250,5007+50*(C681-171))</f>
        <v>5457</v>
      </c>
      <c r="E681" t="str" cm="1">
        <f t="array" ref="E681">IF(D681="","",_xlfn.IFS(D681&lt;=500,"Top_500",D681&lt;=2000,"501_2000",D681&lt;=5000,"2001_5000",D681&lt;=10000,"5001_10000"))</f>
        <v>5001_10000</v>
      </c>
      <c r="I681" s="8" t="str">
        <f t="shared" si="21"/>
        <v>|Recon</v>
      </c>
    </row>
    <row r="682" spans="2:9" x14ac:dyDescent="0.25">
      <c r="B682" t="s">
        <v>22</v>
      </c>
      <c r="C682">
        <f t="shared" si="20"/>
        <v>181</v>
      </c>
      <c r="D682" cm="1">
        <f t="array" ref="D682">_xlfn.IFS(C682&lt;=50,7+10*(C682-1),C682&lt;=110,507+25*(C682-51),C682&lt;=170,2007+50*(C682-111),C682&lt;=250,5007+50*(C682-171))</f>
        <v>5507</v>
      </c>
      <c r="E682" t="str" cm="1">
        <f t="array" ref="E682">IF(D682="","",_xlfn.IFS(D682&lt;=500,"Top_500",D682&lt;=2000,"501_2000",D682&lt;=5000,"2001_5000",D682&lt;=10000,"5001_10000"))</f>
        <v>5001_10000</v>
      </c>
      <c r="I682" s="8" t="str">
        <f t="shared" si="21"/>
        <v>|Recon</v>
      </c>
    </row>
    <row r="683" spans="2:9" x14ac:dyDescent="0.25">
      <c r="B683" t="s">
        <v>22</v>
      </c>
      <c r="C683">
        <f t="shared" si="20"/>
        <v>182</v>
      </c>
      <c r="D683" cm="1">
        <f t="array" ref="D683">_xlfn.IFS(C683&lt;=50,7+10*(C683-1),C683&lt;=110,507+25*(C683-51),C683&lt;=170,2007+50*(C683-111),C683&lt;=250,5007+50*(C683-171))</f>
        <v>5557</v>
      </c>
      <c r="E683" t="str" cm="1">
        <f t="array" ref="E683">IF(D683="","",_xlfn.IFS(D683&lt;=500,"Top_500",D683&lt;=2000,"501_2000",D683&lt;=5000,"2001_5000",D683&lt;=10000,"5001_10000"))</f>
        <v>5001_10000</v>
      </c>
      <c r="I683" s="8" t="str">
        <f t="shared" si="21"/>
        <v>|Recon</v>
      </c>
    </row>
    <row r="684" spans="2:9" x14ac:dyDescent="0.25">
      <c r="B684" t="s">
        <v>22</v>
      </c>
      <c r="C684">
        <f t="shared" si="20"/>
        <v>183</v>
      </c>
      <c r="D684" cm="1">
        <f t="array" ref="D684">_xlfn.IFS(C684&lt;=50,7+10*(C684-1),C684&lt;=110,507+25*(C684-51),C684&lt;=170,2007+50*(C684-111),C684&lt;=250,5007+50*(C684-171))</f>
        <v>5607</v>
      </c>
      <c r="E684" t="str" cm="1">
        <f t="array" ref="E684">IF(D684="","",_xlfn.IFS(D684&lt;=500,"Top_500",D684&lt;=2000,"501_2000",D684&lt;=5000,"2001_5000",D684&lt;=10000,"5001_10000"))</f>
        <v>5001_10000</v>
      </c>
      <c r="I684" s="8" t="str">
        <f t="shared" si="21"/>
        <v>|Recon</v>
      </c>
    </row>
    <row r="685" spans="2:9" x14ac:dyDescent="0.25">
      <c r="B685" t="s">
        <v>22</v>
      </c>
      <c r="C685">
        <f t="shared" si="20"/>
        <v>184</v>
      </c>
      <c r="D685" cm="1">
        <f t="array" ref="D685">_xlfn.IFS(C685&lt;=50,7+10*(C685-1),C685&lt;=110,507+25*(C685-51),C685&lt;=170,2007+50*(C685-111),C685&lt;=250,5007+50*(C685-171))</f>
        <v>5657</v>
      </c>
      <c r="E685" t="str" cm="1">
        <f t="array" ref="E685">IF(D685="","",_xlfn.IFS(D685&lt;=500,"Top_500",D685&lt;=2000,"501_2000",D685&lt;=5000,"2001_5000",D685&lt;=10000,"5001_10000"))</f>
        <v>5001_10000</v>
      </c>
      <c r="I685" s="8" t="str">
        <f t="shared" si="21"/>
        <v>|Recon</v>
      </c>
    </row>
    <row r="686" spans="2:9" x14ac:dyDescent="0.25">
      <c r="B686" t="s">
        <v>22</v>
      </c>
      <c r="C686">
        <f t="shared" si="20"/>
        <v>185</v>
      </c>
      <c r="D686" cm="1">
        <f t="array" ref="D686">_xlfn.IFS(C686&lt;=50,7+10*(C686-1),C686&lt;=110,507+25*(C686-51),C686&lt;=170,2007+50*(C686-111),C686&lt;=250,5007+50*(C686-171))</f>
        <v>5707</v>
      </c>
      <c r="E686" t="str" cm="1">
        <f t="array" ref="E686">IF(D686="","",_xlfn.IFS(D686&lt;=500,"Top_500",D686&lt;=2000,"501_2000",D686&lt;=5000,"2001_5000",D686&lt;=10000,"5001_10000"))</f>
        <v>5001_10000</v>
      </c>
      <c r="I686" s="8" t="str">
        <f t="shared" si="21"/>
        <v>|Recon</v>
      </c>
    </row>
    <row r="687" spans="2:9" x14ac:dyDescent="0.25">
      <c r="B687" t="s">
        <v>22</v>
      </c>
      <c r="C687">
        <f t="shared" si="20"/>
        <v>186</v>
      </c>
      <c r="D687" cm="1">
        <f t="array" ref="D687">_xlfn.IFS(C687&lt;=50,7+10*(C687-1),C687&lt;=110,507+25*(C687-51),C687&lt;=170,2007+50*(C687-111),C687&lt;=250,5007+50*(C687-171))</f>
        <v>5757</v>
      </c>
      <c r="E687" t="str" cm="1">
        <f t="array" ref="E687">IF(D687="","",_xlfn.IFS(D687&lt;=500,"Top_500",D687&lt;=2000,"501_2000",D687&lt;=5000,"2001_5000",D687&lt;=10000,"5001_10000"))</f>
        <v>5001_10000</v>
      </c>
      <c r="I687" s="8" t="str">
        <f t="shared" si="21"/>
        <v>|Recon</v>
      </c>
    </row>
    <row r="688" spans="2:9" x14ac:dyDescent="0.25">
      <c r="B688" t="s">
        <v>22</v>
      </c>
      <c r="C688">
        <f t="shared" si="20"/>
        <v>187</v>
      </c>
      <c r="D688" cm="1">
        <f t="array" ref="D688">_xlfn.IFS(C688&lt;=50,7+10*(C688-1),C688&lt;=110,507+25*(C688-51),C688&lt;=170,2007+50*(C688-111),C688&lt;=250,5007+50*(C688-171))</f>
        <v>5807</v>
      </c>
      <c r="E688" t="str" cm="1">
        <f t="array" ref="E688">IF(D688="","",_xlfn.IFS(D688&lt;=500,"Top_500",D688&lt;=2000,"501_2000",D688&lt;=5000,"2001_5000",D688&lt;=10000,"5001_10000"))</f>
        <v>5001_10000</v>
      </c>
      <c r="I688" s="8" t="str">
        <f t="shared" si="21"/>
        <v>|Recon</v>
      </c>
    </row>
    <row r="689" spans="2:9" x14ac:dyDescent="0.25">
      <c r="B689" t="s">
        <v>22</v>
      </c>
      <c r="C689">
        <f t="shared" si="20"/>
        <v>188</v>
      </c>
      <c r="D689" cm="1">
        <f t="array" ref="D689">_xlfn.IFS(C689&lt;=50,7+10*(C689-1),C689&lt;=110,507+25*(C689-51),C689&lt;=170,2007+50*(C689-111),C689&lt;=250,5007+50*(C689-171))</f>
        <v>5857</v>
      </c>
      <c r="E689" t="str" cm="1">
        <f t="array" ref="E689">IF(D689="","",_xlfn.IFS(D689&lt;=500,"Top_500",D689&lt;=2000,"501_2000",D689&lt;=5000,"2001_5000",D689&lt;=10000,"5001_10000"))</f>
        <v>5001_10000</v>
      </c>
      <c r="I689" s="8" t="str">
        <f t="shared" si="21"/>
        <v>|Recon</v>
      </c>
    </row>
    <row r="690" spans="2:9" x14ac:dyDescent="0.25">
      <c r="B690" t="s">
        <v>22</v>
      </c>
      <c r="C690">
        <f t="shared" si="20"/>
        <v>189</v>
      </c>
      <c r="D690" cm="1">
        <f t="array" ref="D690">_xlfn.IFS(C690&lt;=50,7+10*(C690-1),C690&lt;=110,507+25*(C690-51),C690&lt;=170,2007+50*(C690-111),C690&lt;=250,5007+50*(C690-171))</f>
        <v>5907</v>
      </c>
      <c r="E690" t="str" cm="1">
        <f t="array" ref="E690">IF(D690="","",_xlfn.IFS(D690&lt;=500,"Top_500",D690&lt;=2000,"501_2000",D690&lt;=5000,"2001_5000",D690&lt;=10000,"5001_10000"))</f>
        <v>5001_10000</v>
      </c>
      <c r="I690" s="8" t="str">
        <f t="shared" si="21"/>
        <v>|Recon</v>
      </c>
    </row>
    <row r="691" spans="2:9" x14ac:dyDescent="0.25">
      <c r="B691" t="s">
        <v>22</v>
      </c>
      <c r="C691">
        <f t="shared" si="20"/>
        <v>190</v>
      </c>
      <c r="D691" cm="1">
        <f t="array" ref="D691">_xlfn.IFS(C691&lt;=50,7+10*(C691-1),C691&lt;=110,507+25*(C691-51),C691&lt;=170,2007+50*(C691-111),C691&lt;=250,5007+50*(C691-171))</f>
        <v>5957</v>
      </c>
      <c r="E691" t="str" cm="1">
        <f t="array" ref="E691">IF(D691="","",_xlfn.IFS(D691&lt;=500,"Top_500",D691&lt;=2000,"501_2000",D691&lt;=5000,"2001_5000",D691&lt;=10000,"5001_10000"))</f>
        <v>5001_10000</v>
      </c>
      <c r="I691" s="8" t="str">
        <f t="shared" si="21"/>
        <v>|Recon</v>
      </c>
    </row>
    <row r="692" spans="2:9" x14ac:dyDescent="0.25">
      <c r="B692" t="s">
        <v>22</v>
      </c>
      <c r="C692">
        <f t="shared" si="20"/>
        <v>191</v>
      </c>
      <c r="D692" cm="1">
        <f t="array" ref="D692">_xlfn.IFS(C692&lt;=50,7+10*(C692-1),C692&lt;=110,507+25*(C692-51),C692&lt;=170,2007+50*(C692-111),C692&lt;=250,5007+50*(C692-171))</f>
        <v>6007</v>
      </c>
      <c r="E692" t="str" cm="1">
        <f t="array" ref="E692">IF(D692="","",_xlfn.IFS(D692&lt;=500,"Top_500",D692&lt;=2000,"501_2000",D692&lt;=5000,"2001_5000",D692&lt;=10000,"5001_10000"))</f>
        <v>5001_10000</v>
      </c>
      <c r="I692" s="8" t="str">
        <f t="shared" si="21"/>
        <v>|Recon</v>
      </c>
    </row>
    <row r="693" spans="2:9" x14ac:dyDescent="0.25">
      <c r="B693" t="s">
        <v>22</v>
      </c>
      <c r="C693">
        <f t="shared" si="20"/>
        <v>192</v>
      </c>
      <c r="D693" cm="1">
        <f t="array" ref="D693">_xlfn.IFS(C693&lt;=50,7+10*(C693-1),C693&lt;=110,507+25*(C693-51),C693&lt;=170,2007+50*(C693-111),C693&lt;=250,5007+50*(C693-171))</f>
        <v>6057</v>
      </c>
      <c r="E693" t="str" cm="1">
        <f t="array" ref="E693">IF(D693="","",_xlfn.IFS(D693&lt;=500,"Top_500",D693&lt;=2000,"501_2000",D693&lt;=5000,"2001_5000",D693&lt;=10000,"5001_10000"))</f>
        <v>5001_10000</v>
      </c>
      <c r="I693" s="8" t="str">
        <f t="shared" si="21"/>
        <v>|Recon</v>
      </c>
    </row>
    <row r="694" spans="2:9" x14ac:dyDescent="0.25">
      <c r="B694" t="s">
        <v>22</v>
      </c>
      <c r="C694">
        <f t="shared" si="20"/>
        <v>193</v>
      </c>
      <c r="D694" cm="1">
        <f t="array" ref="D694">_xlfn.IFS(C694&lt;=50,7+10*(C694-1),C694&lt;=110,507+25*(C694-51),C694&lt;=170,2007+50*(C694-111),C694&lt;=250,5007+50*(C694-171))</f>
        <v>6107</v>
      </c>
      <c r="E694" t="str" cm="1">
        <f t="array" ref="E694">IF(D694="","",_xlfn.IFS(D694&lt;=500,"Top_500",D694&lt;=2000,"501_2000",D694&lt;=5000,"2001_5000",D694&lt;=10000,"5001_10000"))</f>
        <v>5001_10000</v>
      </c>
      <c r="I694" s="8" t="str">
        <f t="shared" si="21"/>
        <v>|Recon</v>
      </c>
    </row>
    <row r="695" spans="2:9" x14ac:dyDescent="0.25">
      <c r="B695" t="s">
        <v>22</v>
      </c>
      <c r="C695">
        <f t="shared" si="20"/>
        <v>194</v>
      </c>
      <c r="D695" cm="1">
        <f t="array" ref="D695">_xlfn.IFS(C695&lt;=50,7+10*(C695-1),C695&lt;=110,507+25*(C695-51),C695&lt;=170,2007+50*(C695-111),C695&lt;=250,5007+50*(C695-171))</f>
        <v>6157</v>
      </c>
      <c r="E695" t="str" cm="1">
        <f t="array" ref="E695">IF(D695="","",_xlfn.IFS(D695&lt;=500,"Top_500",D695&lt;=2000,"501_2000",D695&lt;=5000,"2001_5000",D695&lt;=10000,"5001_10000"))</f>
        <v>5001_10000</v>
      </c>
      <c r="I695" s="8" t="str">
        <f t="shared" si="21"/>
        <v>|Recon</v>
      </c>
    </row>
    <row r="696" spans="2:9" x14ac:dyDescent="0.25">
      <c r="B696" t="s">
        <v>22</v>
      </c>
      <c r="C696">
        <f t="shared" si="20"/>
        <v>195</v>
      </c>
      <c r="D696" cm="1">
        <f t="array" ref="D696">_xlfn.IFS(C696&lt;=50,7+10*(C696-1),C696&lt;=110,507+25*(C696-51),C696&lt;=170,2007+50*(C696-111),C696&lt;=250,5007+50*(C696-171))</f>
        <v>6207</v>
      </c>
      <c r="E696" t="str" cm="1">
        <f t="array" ref="E696">IF(D696="","",_xlfn.IFS(D696&lt;=500,"Top_500",D696&lt;=2000,"501_2000",D696&lt;=5000,"2001_5000",D696&lt;=10000,"5001_10000"))</f>
        <v>5001_10000</v>
      </c>
      <c r="I696" s="8" t="str">
        <f t="shared" si="21"/>
        <v>|Recon</v>
      </c>
    </row>
    <row r="697" spans="2:9" x14ac:dyDescent="0.25">
      <c r="B697" t="s">
        <v>22</v>
      </c>
      <c r="C697">
        <f t="shared" si="20"/>
        <v>196</v>
      </c>
      <c r="D697" cm="1">
        <f t="array" ref="D697">_xlfn.IFS(C697&lt;=50,7+10*(C697-1),C697&lt;=110,507+25*(C697-51),C697&lt;=170,2007+50*(C697-111),C697&lt;=250,5007+50*(C697-171))</f>
        <v>6257</v>
      </c>
      <c r="E697" t="str" cm="1">
        <f t="array" ref="E697">IF(D697="","",_xlfn.IFS(D697&lt;=500,"Top_500",D697&lt;=2000,"501_2000",D697&lt;=5000,"2001_5000",D697&lt;=10000,"5001_10000"))</f>
        <v>5001_10000</v>
      </c>
      <c r="I697" s="8" t="str">
        <f t="shared" si="21"/>
        <v>|Recon</v>
      </c>
    </row>
    <row r="698" spans="2:9" x14ac:dyDescent="0.25">
      <c r="B698" t="s">
        <v>22</v>
      </c>
      <c r="C698">
        <f t="shared" si="20"/>
        <v>197</v>
      </c>
      <c r="D698" cm="1">
        <f t="array" ref="D698">_xlfn.IFS(C698&lt;=50,7+10*(C698-1),C698&lt;=110,507+25*(C698-51),C698&lt;=170,2007+50*(C698-111),C698&lt;=250,5007+50*(C698-171))</f>
        <v>6307</v>
      </c>
      <c r="E698" t="str" cm="1">
        <f t="array" ref="E698">IF(D698="","",_xlfn.IFS(D698&lt;=500,"Top_500",D698&lt;=2000,"501_2000",D698&lt;=5000,"2001_5000",D698&lt;=10000,"5001_10000"))</f>
        <v>5001_10000</v>
      </c>
      <c r="I698" s="8" t="str">
        <f t="shared" si="21"/>
        <v>|Recon</v>
      </c>
    </row>
    <row r="699" spans="2:9" x14ac:dyDescent="0.25">
      <c r="B699" t="s">
        <v>22</v>
      </c>
      <c r="C699">
        <f t="shared" si="20"/>
        <v>198</v>
      </c>
      <c r="D699" cm="1">
        <f t="array" ref="D699">_xlfn.IFS(C699&lt;=50,7+10*(C699-1),C699&lt;=110,507+25*(C699-51),C699&lt;=170,2007+50*(C699-111),C699&lt;=250,5007+50*(C699-171))</f>
        <v>6357</v>
      </c>
      <c r="E699" t="str" cm="1">
        <f t="array" ref="E699">IF(D699="","",_xlfn.IFS(D699&lt;=500,"Top_500",D699&lt;=2000,"501_2000",D699&lt;=5000,"2001_5000",D699&lt;=10000,"5001_10000"))</f>
        <v>5001_10000</v>
      </c>
      <c r="I699" s="8" t="str">
        <f t="shared" si="21"/>
        <v>|Recon</v>
      </c>
    </row>
    <row r="700" spans="2:9" x14ac:dyDescent="0.25">
      <c r="B700" t="s">
        <v>22</v>
      </c>
      <c r="C700">
        <f t="shared" si="20"/>
        <v>199</v>
      </c>
      <c r="D700" cm="1">
        <f t="array" ref="D700">_xlfn.IFS(C700&lt;=50,7+10*(C700-1),C700&lt;=110,507+25*(C700-51),C700&lt;=170,2007+50*(C700-111),C700&lt;=250,5007+50*(C700-171))</f>
        <v>6407</v>
      </c>
      <c r="E700" t="str" cm="1">
        <f t="array" ref="E700">IF(D700="","",_xlfn.IFS(D700&lt;=500,"Top_500",D700&lt;=2000,"501_2000",D700&lt;=5000,"2001_5000",D700&lt;=10000,"5001_10000"))</f>
        <v>5001_10000</v>
      </c>
      <c r="I700" s="8" t="str">
        <f t="shared" si="21"/>
        <v>|Recon</v>
      </c>
    </row>
    <row r="701" spans="2:9" x14ac:dyDescent="0.25">
      <c r="B701" t="s">
        <v>22</v>
      </c>
      <c r="C701">
        <f t="shared" si="20"/>
        <v>200</v>
      </c>
      <c r="D701" cm="1">
        <f t="array" ref="D701">_xlfn.IFS(C701&lt;=50,7+10*(C701-1),C701&lt;=110,507+25*(C701-51),C701&lt;=170,2007+50*(C701-111),C701&lt;=250,5007+50*(C701-171))</f>
        <v>6457</v>
      </c>
      <c r="E701" t="str" cm="1">
        <f t="array" ref="E701">IF(D701="","",_xlfn.IFS(D701&lt;=500,"Top_500",D701&lt;=2000,"501_2000",D701&lt;=5000,"2001_5000",D701&lt;=10000,"5001_10000"))</f>
        <v>5001_10000</v>
      </c>
      <c r="I701" s="8" t="str">
        <f t="shared" si="21"/>
        <v>|Recon</v>
      </c>
    </row>
    <row r="702" spans="2:9" x14ac:dyDescent="0.25">
      <c r="B702" t="s">
        <v>22</v>
      </c>
      <c r="C702">
        <f t="shared" si="20"/>
        <v>201</v>
      </c>
      <c r="D702" cm="1">
        <f t="array" ref="D702">_xlfn.IFS(C702&lt;=50,7+10*(C702-1),C702&lt;=110,507+25*(C702-51),C702&lt;=170,2007+50*(C702-111),C702&lt;=250,5007+50*(C702-171))</f>
        <v>6507</v>
      </c>
      <c r="E702" t="str" cm="1">
        <f t="array" ref="E702">IF(D702="","",_xlfn.IFS(D702&lt;=500,"Top_500",D702&lt;=2000,"501_2000",D702&lt;=5000,"2001_5000",D702&lt;=10000,"5001_10000"))</f>
        <v>5001_10000</v>
      </c>
      <c r="I702" s="8" t="str">
        <f t="shared" si="21"/>
        <v>|Recon</v>
      </c>
    </row>
    <row r="703" spans="2:9" x14ac:dyDescent="0.25">
      <c r="B703" t="s">
        <v>22</v>
      </c>
      <c r="C703">
        <f t="shared" si="20"/>
        <v>202</v>
      </c>
      <c r="D703" cm="1">
        <f t="array" ref="D703">_xlfn.IFS(C703&lt;=50,7+10*(C703-1),C703&lt;=110,507+25*(C703-51),C703&lt;=170,2007+50*(C703-111),C703&lt;=250,5007+50*(C703-171))</f>
        <v>6557</v>
      </c>
      <c r="E703" t="str" cm="1">
        <f t="array" ref="E703">IF(D703="","",_xlfn.IFS(D703&lt;=500,"Top_500",D703&lt;=2000,"501_2000",D703&lt;=5000,"2001_5000",D703&lt;=10000,"5001_10000"))</f>
        <v>5001_10000</v>
      </c>
      <c r="I703" s="8" t="str">
        <f t="shared" si="21"/>
        <v>|Recon</v>
      </c>
    </row>
    <row r="704" spans="2:9" x14ac:dyDescent="0.25">
      <c r="B704" t="s">
        <v>22</v>
      </c>
      <c r="C704">
        <f t="shared" si="20"/>
        <v>203</v>
      </c>
      <c r="D704" cm="1">
        <f t="array" ref="D704">_xlfn.IFS(C704&lt;=50,7+10*(C704-1),C704&lt;=110,507+25*(C704-51),C704&lt;=170,2007+50*(C704-111),C704&lt;=250,5007+50*(C704-171))</f>
        <v>6607</v>
      </c>
      <c r="E704" t="str" cm="1">
        <f t="array" ref="E704">IF(D704="","",_xlfn.IFS(D704&lt;=500,"Top_500",D704&lt;=2000,"501_2000",D704&lt;=5000,"2001_5000",D704&lt;=10000,"5001_10000"))</f>
        <v>5001_10000</v>
      </c>
      <c r="I704" s="8" t="str">
        <f t="shared" si="21"/>
        <v>|Recon</v>
      </c>
    </row>
    <row r="705" spans="2:9" x14ac:dyDescent="0.25">
      <c r="B705" t="s">
        <v>22</v>
      </c>
      <c r="C705">
        <f t="shared" si="20"/>
        <v>204</v>
      </c>
      <c r="D705" cm="1">
        <f t="array" ref="D705">_xlfn.IFS(C705&lt;=50,7+10*(C705-1),C705&lt;=110,507+25*(C705-51),C705&lt;=170,2007+50*(C705-111),C705&lt;=250,5007+50*(C705-171))</f>
        <v>6657</v>
      </c>
      <c r="E705" t="str" cm="1">
        <f t="array" ref="E705">IF(D705="","",_xlfn.IFS(D705&lt;=500,"Top_500",D705&lt;=2000,"501_2000",D705&lt;=5000,"2001_5000",D705&lt;=10000,"5001_10000"))</f>
        <v>5001_10000</v>
      </c>
      <c r="I705" s="8" t="str">
        <f t="shared" si="21"/>
        <v>|Recon</v>
      </c>
    </row>
    <row r="706" spans="2:9" x14ac:dyDescent="0.25">
      <c r="B706" t="s">
        <v>22</v>
      </c>
      <c r="C706">
        <f t="shared" ref="C706:C769" si="22">IF(ROW()=2,1,IF(B706&lt;&gt;B705,1,C705+1))</f>
        <v>205</v>
      </c>
      <c r="D706" cm="1">
        <f t="array" ref="D706">_xlfn.IFS(C706&lt;=50,7+10*(C706-1),C706&lt;=110,507+25*(C706-51),C706&lt;=170,2007+50*(C706-111),C706&lt;=250,5007+50*(C706-171))</f>
        <v>6707</v>
      </c>
      <c r="E706" t="str" cm="1">
        <f t="array" ref="E706">IF(D706="","",_xlfn.IFS(D706&lt;=500,"Top_500",D706&lt;=2000,"501_2000",D706&lt;=5000,"2001_5000",D706&lt;=10000,"5001_10000"))</f>
        <v>5001_10000</v>
      </c>
      <c r="I706" s="8" t="str">
        <f t="shared" si="21"/>
        <v>|Recon</v>
      </c>
    </row>
    <row r="707" spans="2:9" x14ac:dyDescent="0.25">
      <c r="B707" t="s">
        <v>22</v>
      </c>
      <c r="C707">
        <f t="shared" si="22"/>
        <v>206</v>
      </c>
      <c r="D707" cm="1">
        <f t="array" ref="D707">_xlfn.IFS(C707&lt;=50,7+10*(C707-1),C707&lt;=110,507+25*(C707-51),C707&lt;=170,2007+50*(C707-111),C707&lt;=250,5007+50*(C707-171))</f>
        <v>6757</v>
      </c>
      <c r="E707" t="str" cm="1">
        <f t="array" ref="E707">IF(D707="","",_xlfn.IFS(D707&lt;=500,"Top_500",D707&lt;=2000,"501_2000",D707&lt;=5000,"2001_5000",D707&lt;=10000,"5001_10000"))</f>
        <v>5001_10000</v>
      </c>
      <c r="I707" s="8" t="str">
        <f t="shared" ref="I707:I770" si="23">A707 &amp; "|" &amp; B707</f>
        <v>|Recon</v>
      </c>
    </row>
    <row r="708" spans="2:9" x14ac:dyDescent="0.25">
      <c r="B708" t="s">
        <v>22</v>
      </c>
      <c r="C708">
        <f t="shared" si="22"/>
        <v>207</v>
      </c>
      <c r="D708" cm="1">
        <f t="array" ref="D708">_xlfn.IFS(C708&lt;=50,7+10*(C708-1),C708&lt;=110,507+25*(C708-51),C708&lt;=170,2007+50*(C708-111),C708&lt;=250,5007+50*(C708-171))</f>
        <v>6807</v>
      </c>
      <c r="E708" t="str" cm="1">
        <f t="array" ref="E708">IF(D708="","",_xlfn.IFS(D708&lt;=500,"Top_500",D708&lt;=2000,"501_2000",D708&lt;=5000,"2001_5000",D708&lt;=10000,"5001_10000"))</f>
        <v>5001_10000</v>
      </c>
      <c r="I708" s="8" t="str">
        <f t="shared" si="23"/>
        <v>|Recon</v>
      </c>
    </row>
    <row r="709" spans="2:9" x14ac:dyDescent="0.25">
      <c r="B709" t="s">
        <v>22</v>
      </c>
      <c r="C709">
        <f t="shared" si="22"/>
        <v>208</v>
      </c>
      <c r="D709" cm="1">
        <f t="array" ref="D709">_xlfn.IFS(C709&lt;=50,7+10*(C709-1),C709&lt;=110,507+25*(C709-51),C709&lt;=170,2007+50*(C709-111),C709&lt;=250,5007+50*(C709-171))</f>
        <v>6857</v>
      </c>
      <c r="E709" t="str" cm="1">
        <f t="array" ref="E709">IF(D709="","",_xlfn.IFS(D709&lt;=500,"Top_500",D709&lt;=2000,"501_2000",D709&lt;=5000,"2001_5000",D709&lt;=10000,"5001_10000"))</f>
        <v>5001_10000</v>
      </c>
      <c r="I709" s="8" t="str">
        <f t="shared" si="23"/>
        <v>|Recon</v>
      </c>
    </row>
    <row r="710" spans="2:9" x14ac:dyDescent="0.25">
      <c r="B710" t="s">
        <v>22</v>
      </c>
      <c r="C710">
        <f t="shared" si="22"/>
        <v>209</v>
      </c>
      <c r="D710" cm="1">
        <f t="array" ref="D710">_xlfn.IFS(C710&lt;=50,7+10*(C710-1),C710&lt;=110,507+25*(C710-51),C710&lt;=170,2007+50*(C710-111),C710&lt;=250,5007+50*(C710-171))</f>
        <v>6907</v>
      </c>
      <c r="E710" t="str" cm="1">
        <f t="array" ref="E710">IF(D710="","",_xlfn.IFS(D710&lt;=500,"Top_500",D710&lt;=2000,"501_2000",D710&lt;=5000,"2001_5000",D710&lt;=10000,"5001_10000"))</f>
        <v>5001_10000</v>
      </c>
      <c r="I710" s="8" t="str">
        <f t="shared" si="23"/>
        <v>|Recon</v>
      </c>
    </row>
    <row r="711" spans="2:9" x14ac:dyDescent="0.25">
      <c r="B711" t="s">
        <v>22</v>
      </c>
      <c r="C711">
        <f t="shared" si="22"/>
        <v>210</v>
      </c>
      <c r="D711" cm="1">
        <f t="array" ref="D711">_xlfn.IFS(C711&lt;=50,7+10*(C711-1),C711&lt;=110,507+25*(C711-51),C711&lt;=170,2007+50*(C711-111),C711&lt;=250,5007+50*(C711-171))</f>
        <v>6957</v>
      </c>
      <c r="E711" t="str" cm="1">
        <f t="array" ref="E711">IF(D711="","",_xlfn.IFS(D711&lt;=500,"Top_500",D711&lt;=2000,"501_2000",D711&lt;=5000,"2001_5000",D711&lt;=10000,"5001_10000"))</f>
        <v>5001_10000</v>
      </c>
      <c r="I711" s="8" t="str">
        <f t="shared" si="23"/>
        <v>|Recon</v>
      </c>
    </row>
    <row r="712" spans="2:9" x14ac:dyDescent="0.25">
      <c r="B712" t="s">
        <v>22</v>
      </c>
      <c r="C712">
        <f t="shared" si="22"/>
        <v>211</v>
      </c>
      <c r="D712" cm="1">
        <f t="array" ref="D712">_xlfn.IFS(C712&lt;=50,7+10*(C712-1),C712&lt;=110,507+25*(C712-51),C712&lt;=170,2007+50*(C712-111),C712&lt;=250,5007+50*(C712-171))</f>
        <v>7007</v>
      </c>
      <c r="E712" t="str" cm="1">
        <f t="array" ref="E712">IF(D712="","",_xlfn.IFS(D712&lt;=500,"Top_500",D712&lt;=2000,"501_2000",D712&lt;=5000,"2001_5000",D712&lt;=10000,"5001_10000"))</f>
        <v>5001_10000</v>
      </c>
      <c r="I712" s="8" t="str">
        <f t="shared" si="23"/>
        <v>|Recon</v>
      </c>
    </row>
    <row r="713" spans="2:9" x14ac:dyDescent="0.25">
      <c r="B713" t="s">
        <v>22</v>
      </c>
      <c r="C713">
        <f t="shared" si="22"/>
        <v>212</v>
      </c>
      <c r="D713" cm="1">
        <f t="array" ref="D713">_xlfn.IFS(C713&lt;=50,7+10*(C713-1),C713&lt;=110,507+25*(C713-51),C713&lt;=170,2007+50*(C713-111),C713&lt;=250,5007+50*(C713-171))</f>
        <v>7057</v>
      </c>
      <c r="E713" t="str" cm="1">
        <f t="array" ref="E713">IF(D713="","",_xlfn.IFS(D713&lt;=500,"Top_500",D713&lt;=2000,"501_2000",D713&lt;=5000,"2001_5000",D713&lt;=10000,"5001_10000"))</f>
        <v>5001_10000</v>
      </c>
      <c r="I713" s="8" t="str">
        <f t="shared" si="23"/>
        <v>|Recon</v>
      </c>
    </row>
    <row r="714" spans="2:9" x14ac:dyDescent="0.25">
      <c r="B714" t="s">
        <v>22</v>
      </c>
      <c r="C714">
        <f t="shared" si="22"/>
        <v>213</v>
      </c>
      <c r="D714" cm="1">
        <f t="array" ref="D714">_xlfn.IFS(C714&lt;=50,7+10*(C714-1),C714&lt;=110,507+25*(C714-51),C714&lt;=170,2007+50*(C714-111),C714&lt;=250,5007+50*(C714-171))</f>
        <v>7107</v>
      </c>
      <c r="E714" t="str" cm="1">
        <f t="array" ref="E714">IF(D714="","",_xlfn.IFS(D714&lt;=500,"Top_500",D714&lt;=2000,"501_2000",D714&lt;=5000,"2001_5000",D714&lt;=10000,"5001_10000"))</f>
        <v>5001_10000</v>
      </c>
      <c r="I714" s="8" t="str">
        <f t="shared" si="23"/>
        <v>|Recon</v>
      </c>
    </row>
    <row r="715" spans="2:9" x14ac:dyDescent="0.25">
      <c r="B715" t="s">
        <v>22</v>
      </c>
      <c r="C715">
        <f t="shared" si="22"/>
        <v>214</v>
      </c>
      <c r="D715" cm="1">
        <f t="array" ref="D715">_xlfn.IFS(C715&lt;=50,7+10*(C715-1),C715&lt;=110,507+25*(C715-51),C715&lt;=170,2007+50*(C715-111),C715&lt;=250,5007+50*(C715-171))</f>
        <v>7157</v>
      </c>
      <c r="E715" t="str" cm="1">
        <f t="array" ref="E715">IF(D715="","",_xlfn.IFS(D715&lt;=500,"Top_500",D715&lt;=2000,"501_2000",D715&lt;=5000,"2001_5000",D715&lt;=10000,"5001_10000"))</f>
        <v>5001_10000</v>
      </c>
      <c r="I715" s="8" t="str">
        <f t="shared" si="23"/>
        <v>|Recon</v>
      </c>
    </row>
    <row r="716" spans="2:9" x14ac:dyDescent="0.25">
      <c r="B716" t="s">
        <v>22</v>
      </c>
      <c r="C716">
        <f t="shared" si="22"/>
        <v>215</v>
      </c>
      <c r="D716" cm="1">
        <f t="array" ref="D716">_xlfn.IFS(C716&lt;=50,7+10*(C716-1),C716&lt;=110,507+25*(C716-51),C716&lt;=170,2007+50*(C716-111),C716&lt;=250,5007+50*(C716-171))</f>
        <v>7207</v>
      </c>
      <c r="E716" t="str" cm="1">
        <f t="array" ref="E716">IF(D716="","",_xlfn.IFS(D716&lt;=500,"Top_500",D716&lt;=2000,"501_2000",D716&lt;=5000,"2001_5000",D716&lt;=10000,"5001_10000"))</f>
        <v>5001_10000</v>
      </c>
      <c r="I716" s="8" t="str">
        <f t="shared" si="23"/>
        <v>|Recon</v>
      </c>
    </row>
    <row r="717" spans="2:9" x14ac:dyDescent="0.25">
      <c r="B717" t="s">
        <v>22</v>
      </c>
      <c r="C717">
        <f t="shared" si="22"/>
        <v>216</v>
      </c>
      <c r="D717" cm="1">
        <f t="array" ref="D717">_xlfn.IFS(C717&lt;=50,7+10*(C717-1),C717&lt;=110,507+25*(C717-51),C717&lt;=170,2007+50*(C717-111),C717&lt;=250,5007+50*(C717-171))</f>
        <v>7257</v>
      </c>
      <c r="E717" t="str" cm="1">
        <f t="array" ref="E717">IF(D717="","",_xlfn.IFS(D717&lt;=500,"Top_500",D717&lt;=2000,"501_2000",D717&lt;=5000,"2001_5000",D717&lt;=10000,"5001_10000"))</f>
        <v>5001_10000</v>
      </c>
      <c r="I717" s="8" t="str">
        <f t="shared" si="23"/>
        <v>|Recon</v>
      </c>
    </row>
    <row r="718" spans="2:9" x14ac:dyDescent="0.25">
      <c r="B718" t="s">
        <v>22</v>
      </c>
      <c r="C718">
        <f t="shared" si="22"/>
        <v>217</v>
      </c>
      <c r="D718" cm="1">
        <f t="array" ref="D718">_xlfn.IFS(C718&lt;=50,7+10*(C718-1),C718&lt;=110,507+25*(C718-51),C718&lt;=170,2007+50*(C718-111),C718&lt;=250,5007+50*(C718-171))</f>
        <v>7307</v>
      </c>
      <c r="E718" t="str" cm="1">
        <f t="array" ref="E718">IF(D718="","",_xlfn.IFS(D718&lt;=500,"Top_500",D718&lt;=2000,"501_2000",D718&lt;=5000,"2001_5000",D718&lt;=10000,"5001_10000"))</f>
        <v>5001_10000</v>
      </c>
      <c r="I718" s="8" t="str">
        <f t="shared" si="23"/>
        <v>|Recon</v>
      </c>
    </row>
    <row r="719" spans="2:9" x14ac:dyDescent="0.25">
      <c r="B719" t="s">
        <v>22</v>
      </c>
      <c r="C719">
        <f t="shared" si="22"/>
        <v>218</v>
      </c>
      <c r="D719" cm="1">
        <f t="array" ref="D719">_xlfn.IFS(C719&lt;=50,7+10*(C719-1),C719&lt;=110,507+25*(C719-51),C719&lt;=170,2007+50*(C719-111),C719&lt;=250,5007+50*(C719-171))</f>
        <v>7357</v>
      </c>
      <c r="E719" t="str" cm="1">
        <f t="array" ref="E719">IF(D719="","",_xlfn.IFS(D719&lt;=500,"Top_500",D719&lt;=2000,"501_2000",D719&lt;=5000,"2001_5000",D719&lt;=10000,"5001_10000"))</f>
        <v>5001_10000</v>
      </c>
      <c r="I719" s="8" t="str">
        <f t="shared" si="23"/>
        <v>|Recon</v>
      </c>
    </row>
    <row r="720" spans="2:9" x14ac:dyDescent="0.25">
      <c r="B720" t="s">
        <v>22</v>
      </c>
      <c r="C720">
        <f t="shared" si="22"/>
        <v>219</v>
      </c>
      <c r="D720" cm="1">
        <f t="array" ref="D720">_xlfn.IFS(C720&lt;=50,7+10*(C720-1),C720&lt;=110,507+25*(C720-51),C720&lt;=170,2007+50*(C720-111),C720&lt;=250,5007+50*(C720-171))</f>
        <v>7407</v>
      </c>
      <c r="E720" t="str" cm="1">
        <f t="array" ref="E720">IF(D720="","",_xlfn.IFS(D720&lt;=500,"Top_500",D720&lt;=2000,"501_2000",D720&lt;=5000,"2001_5000",D720&lt;=10000,"5001_10000"))</f>
        <v>5001_10000</v>
      </c>
      <c r="I720" s="8" t="str">
        <f t="shared" si="23"/>
        <v>|Recon</v>
      </c>
    </row>
    <row r="721" spans="2:9" x14ac:dyDescent="0.25">
      <c r="B721" t="s">
        <v>22</v>
      </c>
      <c r="C721">
        <f t="shared" si="22"/>
        <v>220</v>
      </c>
      <c r="D721" cm="1">
        <f t="array" ref="D721">_xlfn.IFS(C721&lt;=50,7+10*(C721-1),C721&lt;=110,507+25*(C721-51),C721&lt;=170,2007+50*(C721-111),C721&lt;=250,5007+50*(C721-171))</f>
        <v>7457</v>
      </c>
      <c r="E721" t="str" cm="1">
        <f t="array" ref="E721">IF(D721="","",_xlfn.IFS(D721&lt;=500,"Top_500",D721&lt;=2000,"501_2000",D721&lt;=5000,"2001_5000",D721&lt;=10000,"5001_10000"))</f>
        <v>5001_10000</v>
      </c>
      <c r="I721" s="8" t="str">
        <f t="shared" si="23"/>
        <v>|Recon</v>
      </c>
    </row>
    <row r="722" spans="2:9" x14ac:dyDescent="0.25">
      <c r="B722" t="s">
        <v>22</v>
      </c>
      <c r="C722">
        <f t="shared" si="22"/>
        <v>221</v>
      </c>
      <c r="D722" cm="1">
        <f t="array" ref="D722">_xlfn.IFS(C722&lt;=50,7+10*(C722-1),C722&lt;=110,507+25*(C722-51),C722&lt;=170,2007+50*(C722-111),C722&lt;=250,5007+50*(C722-171))</f>
        <v>7507</v>
      </c>
      <c r="E722" t="str" cm="1">
        <f t="array" ref="E722">IF(D722="","",_xlfn.IFS(D722&lt;=500,"Top_500",D722&lt;=2000,"501_2000",D722&lt;=5000,"2001_5000",D722&lt;=10000,"5001_10000"))</f>
        <v>5001_10000</v>
      </c>
      <c r="I722" s="8" t="str">
        <f t="shared" si="23"/>
        <v>|Recon</v>
      </c>
    </row>
    <row r="723" spans="2:9" x14ac:dyDescent="0.25">
      <c r="B723" t="s">
        <v>22</v>
      </c>
      <c r="C723">
        <f t="shared" si="22"/>
        <v>222</v>
      </c>
      <c r="D723" cm="1">
        <f t="array" ref="D723">_xlfn.IFS(C723&lt;=50,7+10*(C723-1),C723&lt;=110,507+25*(C723-51),C723&lt;=170,2007+50*(C723-111),C723&lt;=250,5007+50*(C723-171))</f>
        <v>7557</v>
      </c>
      <c r="E723" t="str" cm="1">
        <f t="array" ref="E723">IF(D723="","",_xlfn.IFS(D723&lt;=500,"Top_500",D723&lt;=2000,"501_2000",D723&lt;=5000,"2001_5000",D723&lt;=10000,"5001_10000"))</f>
        <v>5001_10000</v>
      </c>
      <c r="I723" s="8" t="str">
        <f t="shared" si="23"/>
        <v>|Recon</v>
      </c>
    </row>
    <row r="724" spans="2:9" x14ac:dyDescent="0.25">
      <c r="B724" t="s">
        <v>22</v>
      </c>
      <c r="C724">
        <f t="shared" si="22"/>
        <v>223</v>
      </c>
      <c r="D724" cm="1">
        <f t="array" ref="D724">_xlfn.IFS(C724&lt;=50,7+10*(C724-1),C724&lt;=110,507+25*(C724-51),C724&lt;=170,2007+50*(C724-111),C724&lt;=250,5007+50*(C724-171))</f>
        <v>7607</v>
      </c>
      <c r="E724" t="str" cm="1">
        <f t="array" ref="E724">IF(D724="","",_xlfn.IFS(D724&lt;=500,"Top_500",D724&lt;=2000,"501_2000",D724&lt;=5000,"2001_5000",D724&lt;=10000,"5001_10000"))</f>
        <v>5001_10000</v>
      </c>
      <c r="I724" s="8" t="str">
        <f t="shared" si="23"/>
        <v>|Recon</v>
      </c>
    </row>
    <row r="725" spans="2:9" x14ac:dyDescent="0.25">
      <c r="B725" t="s">
        <v>22</v>
      </c>
      <c r="C725">
        <f t="shared" si="22"/>
        <v>224</v>
      </c>
      <c r="D725" cm="1">
        <f t="array" ref="D725">_xlfn.IFS(C725&lt;=50,7+10*(C725-1),C725&lt;=110,507+25*(C725-51),C725&lt;=170,2007+50*(C725-111),C725&lt;=250,5007+50*(C725-171))</f>
        <v>7657</v>
      </c>
      <c r="E725" t="str" cm="1">
        <f t="array" ref="E725">IF(D725="","",_xlfn.IFS(D725&lt;=500,"Top_500",D725&lt;=2000,"501_2000",D725&lt;=5000,"2001_5000",D725&lt;=10000,"5001_10000"))</f>
        <v>5001_10000</v>
      </c>
      <c r="I725" s="8" t="str">
        <f t="shared" si="23"/>
        <v>|Recon</v>
      </c>
    </row>
    <row r="726" spans="2:9" x14ac:dyDescent="0.25">
      <c r="B726" t="s">
        <v>22</v>
      </c>
      <c r="C726">
        <f t="shared" si="22"/>
        <v>225</v>
      </c>
      <c r="D726" cm="1">
        <f t="array" ref="D726">_xlfn.IFS(C726&lt;=50,7+10*(C726-1),C726&lt;=110,507+25*(C726-51),C726&lt;=170,2007+50*(C726-111),C726&lt;=250,5007+50*(C726-171))</f>
        <v>7707</v>
      </c>
      <c r="E726" t="str" cm="1">
        <f t="array" ref="E726">IF(D726="","",_xlfn.IFS(D726&lt;=500,"Top_500",D726&lt;=2000,"501_2000",D726&lt;=5000,"2001_5000",D726&lt;=10000,"5001_10000"))</f>
        <v>5001_10000</v>
      </c>
      <c r="I726" s="8" t="str">
        <f t="shared" si="23"/>
        <v>|Recon</v>
      </c>
    </row>
    <row r="727" spans="2:9" x14ac:dyDescent="0.25">
      <c r="B727" t="s">
        <v>22</v>
      </c>
      <c r="C727">
        <f t="shared" si="22"/>
        <v>226</v>
      </c>
      <c r="D727" cm="1">
        <f t="array" ref="D727">_xlfn.IFS(C727&lt;=50,7+10*(C727-1),C727&lt;=110,507+25*(C727-51),C727&lt;=170,2007+50*(C727-111),C727&lt;=250,5007+50*(C727-171))</f>
        <v>7757</v>
      </c>
      <c r="E727" t="str" cm="1">
        <f t="array" ref="E727">IF(D727="","",_xlfn.IFS(D727&lt;=500,"Top_500",D727&lt;=2000,"501_2000",D727&lt;=5000,"2001_5000",D727&lt;=10000,"5001_10000"))</f>
        <v>5001_10000</v>
      </c>
      <c r="I727" s="8" t="str">
        <f t="shared" si="23"/>
        <v>|Recon</v>
      </c>
    </row>
    <row r="728" spans="2:9" x14ac:dyDescent="0.25">
      <c r="B728" t="s">
        <v>22</v>
      </c>
      <c r="C728">
        <f t="shared" si="22"/>
        <v>227</v>
      </c>
      <c r="D728" cm="1">
        <f t="array" ref="D728">_xlfn.IFS(C728&lt;=50,7+10*(C728-1),C728&lt;=110,507+25*(C728-51),C728&lt;=170,2007+50*(C728-111),C728&lt;=250,5007+50*(C728-171))</f>
        <v>7807</v>
      </c>
      <c r="E728" t="str" cm="1">
        <f t="array" ref="E728">IF(D728="","",_xlfn.IFS(D728&lt;=500,"Top_500",D728&lt;=2000,"501_2000",D728&lt;=5000,"2001_5000",D728&lt;=10000,"5001_10000"))</f>
        <v>5001_10000</v>
      </c>
      <c r="I728" s="8" t="str">
        <f t="shared" si="23"/>
        <v>|Recon</v>
      </c>
    </row>
    <row r="729" spans="2:9" x14ac:dyDescent="0.25">
      <c r="B729" t="s">
        <v>22</v>
      </c>
      <c r="C729">
        <f t="shared" si="22"/>
        <v>228</v>
      </c>
      <c r="D729" cm="1">
        <f t="array" ref="D729">_xlfn.IFS(C729&lt;=50,7+10*(C729-1),C729&lt;=110,507+25*(C729-51),C729&lt;=170,2007+50*(C729-111),C729&lt;=250,5007+50*(C729-171))</f>
        <v>7857</v>
      </c>
      <c r="E729" t="str" cm="1">
        <f t="array" ref="E729">IF(D729="","",_xlfn.IFS(D729&lt;=500,"Top_500",D729&lt;=2000,"501_2000",D729&lt;=5000,"2001_5000",D729&lt;=10000,"5001_10000"))</f>
        <v>5001_10000</v>
      </c>
      <c r="I729" s="8" t="str">
        <f t="shared" si="23"/>
        <v>|Recon</v>
      </c>
    </row>
    <row r="730" spans="2:9" x14ac:dyDescent="0.25">
      <c r="B730" t="s">
        <v>22</v>
      </c>
      <c r="C730">
        <f t="shared" si="22"/>
        <v>229</v>
      </c>
      <c r="D730" cm="1">
        <f t="array" ref="D730">_xlfn.IFS(C730&lt;=50,7+10*(C730-1),C730&lt;=110,507+25*(C730-51),C730&lt;=170,2007+50*(C730-111),C730&lt;=250,5007+50*(C730-171))</f>
        <v>7907</v>
      </c>
      <c r="E730" t="str" cm="1">
        <f t="array" ref="E730">IF(D730="","",_xlfn.IFS(D730&lt;=500,"Top_500",D730&lt;=2000,"501_2000",D730&lt;=5000,"2001_5000",D730&lt;=10000,"5001_10000"))</f>
        <v>5001_10000</v>
      </c>
      <c r="I730" s="8" t="str">
        <f t="shared" si="23"/>
        <v>|Recon</v>
      </c>
    </row>
    <row r="731" spans="2:9" x14ac:dyDescent="0.25">
      <c r="B731" t="s">
        <v>22</v>
      </c>
      <c r="C731">
        <f t="shared" si="22"/>
        <v>230</v>
      </c>
      <c r="D731" cm="1">
        <f t="array" ref="D731">_xlfn.IFS(C731&lt;=50,7+10*(C731-1),C731&lt;=110,507+25*(C731-51),C731&lt;=170,2007+50*(C731-111),C731&lt;=250,5007+50*(C731-171))</f>
        <v>7957</v>
      </c>
      <c r="E731" t="str" cm="1">
        <f t="array" ref="E731">IF(D731="","",_xlfn.IFS(D731&lt;=500,"Top_500",D731&lt;=2000,"501_2000",D731&lt;=5000,"2001_5000",D731&lt;=10000,"5001_10000"))</f>
        <v>5001_10000</v>
      </c>
      <c r="I731" s="8" t="str">
        <f t="shared" si="23"/>
        <v>|Recon</v>
      </c>
    </row>
    <row r="732" spans="2:9" x14ac:dyDescent="0.25">
      <c r="B732" t="s">
        <v>22</v>
      </c>
      <c r="C732">
        <f t="shared" si="22"/>
        <v>231</v>
      </c>
      <c r="D732" cm="1">
        <f t="array" ref="D732">_xlfn.IFS(C732&lt;=50,7+10*(C732-1),C732&lt;=110,507+25*(C732-51),C732&lt;=170,2007+50*(C732-111),C732&lt;=250,5007+50*(C732-171))</f>
        <v>8007</v>
      </c>
      <c r="E732" t="str" cm="1">
        <f t="array" ref="E732">IF(D732="","",_xlfn.IFS(D732&lt;=500,"Top_500",D732&lt;=2000,"501_2000",D732&lt;=5000,"2001_5000",D732&lt;=10000,"5001_10000"))</f>
        <v>5001_10000</v>
      </c>
      <c r="I732" s="8" t="str">
        <f t="shared" si="23"/>
        <v>|Recon</v>
      </c>
    </row>
    <row r="733" spans="2:9" x14ac:dyDescent="0.25">
      <c r="B733" t="s">
        <v>22</v>
      </c>
      <c r="C733">
        <f t="shared" si="22"/>
        <v>232</v>
      </c>
      <c r="D733" cm="1">
        <f t="array" ref="D733">_xlfn.IFS(C733&lt;=50,7+10*(C733-1),C733&lt;=110,507+25*(C733-51),C733&lt;=170,2007+50*(C733-111),C733&lt;=250,5007+50*(C733-171))</f>
        <v>8057</v>
      </c>
      <c r="E733" t="str" cm="1">
        <f t="array" ref="E733">IF(D733="","",_xlfn.IFS(D733&lt;=500,"Top_500",D733&lt;=2000,"501_2000",D733&lt;=5000,"2001_5000",D733&lt;=10000,"5001_10000"))</f>
        <v>5001_10000</v>
      </c>
      <c r="I733" s="8" t="str">
        <f t="shared" si="23"/>
        <v>|Recon</v>
      </c>
    </row>
    <row r="734" spans="2:9" x14ac:dyDescent="0.25">
      <c r="B734" t="s">
        <v>22</v>
      </c>
      <c r="C734">
        <f t="shared" si="22"/>
        <v>233</v>
      </c>
      <c r="D734" cm="1">
        <f t="array" ref="D734">_xlfn.IFS(C734&lt;=50,7+10*(C734-1),C734&lt;=110,507+25*(C734-51),C734&lt;=170,2007+50*(C734-111),C734&lt;=250,5007+50*(C734-171))</f>
        <v>8107</v>
      </c>
      <c r="E734" t="str" cm="1">
        <f t="array" ref="E734">IF(D734="","",_xlfn.IFS(D734&lt;=500,"Top_500",D734&lt;=2000,"501_2000",D734&lt;=5000,"2001_5000",D734&lt;=10000,"5001_10000"))</f>
        <v>5001_10000</v>
      </c>
      <c r="I734" s="8" t="str">
        <f t="shared" si="23"/>
        <v>|Recon</v>
      </c>
    </row>
    <row r="735" spans="2:9" x14ac:dyDescent="0.25">
      <c r="B735" t="s">
        <v>22</v>
      </c>
      <c r="C735">
        <f t="shared" si="22"/>
        <v>234</v>
      </c>
      <c r="D735" cm="1">
        <f t="array" ref="D735">_xlfn.IFS(C735&lt;=50,7+10*(C735-1),C735&lt;=110,507+25*(C735-51),C735&lt;=170,2007+50*(C735-111),C735&lt;=250,5007+50*(C735-171))</f>
        <v>8157</v>
      </c>
      <c r="E735" t="str" cm="1">
        <f t="array" ref="E735">IF(D735="","",_xlfn.IFS(D735&lt;=500,"Top_500",D735&lt;=2000,"501_2000",D735&lt;=5000,"2001_5000",D735&lt;=10000,"5001_10000"))</f>
        <v>5001_10000</v>
      </c>
      <c r="I735" s="8" t="str">
        <f t="shared" si="23"/>
        <v>|Recon</v>
      </c>
    </row>
    <row r="736" spans="2:9" x14ac:dyDescent="0.25">
      <c r="B736" t="s">
        <v>22</v>
      </c>
      <c r="C736">
        <f t="shared" si="22"/>
        <v>235</v>
      </c>
      <c r="D736" cm="1">
        <f t="array" ref="D736">_xlfn.IFS(C736&lt;=50,7+10*(C736-1),C736&lt;=110,507+25*(C736-51),C736&lt;=170,2007+50*(C736-111),C736&lt;=250,5007+50*(C736-171))</f>
        <v>8207</v>
      </c>
      <c r="E736" t="str" cm="1">
        <f t="array" ref="E736">IF(D736="","",_xlfn.IFS(D736&lt;=500,"Top_500",D736&lt;=2000,"501_2000",D736&lt;=5000,"2001_5000",D736&lt;=10000,"5001_10000"))</f>
        <v>5001_10000</v>
      </c>
      <c r="I736" s="8" t="str">
        <f t="shared" si="23"/>
        <v>|Recon</v>
      </c>
    </row>
    <row r="737" spans="1:9" x14ac:dyDescent="0.25">
      <c r="B737" t="s">
        <v>22</v>
      </c>
      <c r="C737">
        <f t="shared" si="22"/>
        <v>236</v>
      </c>
      <c r="D737" cm="1">
        <f t="array" ref="D737">_xlfn.IFS(C737&lt;=50,7+10*(C737-1),C737&lt;=110,507+25*(C737-51),C737&lt;=170,2007+50*(C737-111),C737&lt;=250,5007+50*(C737-171))</f>
        <v>8257</v>
      </c>
      <c r="E737" t="str" cm="1">
        <f t="array" ref="E737">IF(D737="","",_xlfn.IFS(D737&lt;=500,"Top_500",D737&lt;=2000,"501_2000",D737&lt;=5000,"2001_5000",D737&lt;=10000,"5001_10000"))</f>
        <v>5001_10000</v>
      </c>
      <c r="I737" s="8" t="str">
        <f t="shared" si="23"/>
        <v>|Recon</v>
      </c>
    </row>
    <row r="738" spans="1:9" x14ac:dyDescent="0.25">
      <c r="B738" t="s">
        <v>22</v>
      </c>
      <c r="C738">
        <f t="shared" si="22"/>
        <v>237</v>
      </c>
      <c r="D738" cm="1">
        <f t="array" ref="D738">_xlfn.IFS(C738&lt;=50,7+10*(C738-1),C738&lt;=110,507+25*(C738-51),C738&lt;=170,2007+50*(C738-111),C738&lt;=250,5007+50*(C738-171))</f>
        <v>8307</v>
      </c>
      <c r="E738" t="str" cm="1">
        <f t="array" ref="E738">IF(D738="","",_xlfn.IFS(D738&lt;=500,"Top_500",D738&lt;=2000,"501_2000",D738&lt;=5000,"2001_5000",D738&lt;=10000,"5001_10000"))</f>
        <v>5001_10000</v>
      </c>
      <c r="I738" s="8" t="str">
        <f t="shared" si="23"/>
        <v>|Recon</v>
      </c>
    </row>
    <row r="739" spans="1:9" x14ac:dyDescent="0.25">
      <c r="B739" t="s">
        <v>22</v>
      </c>
      <c r="C739">
        <f t="shared" si="22"/>
        <v>238</v>
      </c>
      <c r="D739" cm="1">
        <f t="array" ref="D739">_xlfn.IFS(C739&lt;=50,7+10*(C739-1),C739&lt;=110,507+25*(C739-51),C739&lt;=170,2007+50*(C739-111),C739&lt;=250,5007+50*(C739-171))</f>
        <v>8357</v>
      </c>
      <c r="E739" t="str" cm="1">
        <f t="array" ref="E739">IF(D739="","",_xlfn.IFS(D739&lt;=500,"Top_500",D739&lt;=2000,"501_2000",D739&lt;=5000,"2001_5000",D739&lt;=10000,"5001_10000"))</f>
        <v>5001_10000</v>
      </c>
      <c r="I739" s="8" t="str">
        <f t="shared" si="23"/>
        <v>|Recon</v>
      </c>
    </row>
    <row r="740" spans="1:9" x14ac:dyDescent="0.25">
      <c r="B740" t="s">
        <v>22</v>
      </c>
      <c r="C740">
        <f t="shared" si="22"/>
        <v>239</v>
      </c>
      <c r="D740" cm="1">
        <f t="array" ref="D740">_xlfn.IFS(C740&lt;=50,7+10*(C740-1),C740&lt;=110,507+25*(C740-51),C740&lt;=170,2007+50*(C740-111),C740&lt;=250,5007+50*(C740-171))</f>
        <v>8407</v>
      </c>
      <c r="E740" t="str" cm="1">
        <f t="array" ref="E740">IF(D740="","",_xlfn.IFS(D740&lt;=500,"Top_500",D740&lt;=2000,"501_2000",D740&lt;=5000,"2001_5000",D740&lt;=10000,"5001_10000"))</f>
        <v>5001_10000</v>
      </c>
      <c r="I740" s="8" t="str">
        <f t="shared" si="23"/>
        <v>|Recon</v>
      </c>
    </row>
    <row r="741" spans="1:9" x14ac:dyDescent="0.25">
      <c r="B741" t="s">
        <v>22</v>
      </c>
      <c r="C741">
        <f t="shared" si="22"/>
        <v>240</v>
      </c>
      <c r="D741" cm="1">
        <f t="array" ref="D741">_xlfn.IFS(C741&lt;=50,7+10*(C741-1),C741&lt;=110,507+25*(C741-51),C741&lt;=170,2007+50*(C741-111),C741&lt;=250,5007+50*(C741-171))</f>
        <v>8457</v>
      </c>
      <c r="E741" t="str" cm="1">
        <f t="array" ref="E741">IF(D741="","",_xlfn.IFS(D741&lt;=500,"Top_500",D741&lt;=2000,"501_2000",D741&lt;=5000,"2001_5000",D741&lt;=10000,"5001_10000"))</f>
        <v>5001_10000</v>
      </c>
      <c r="I741" s="8" t="str">
        <f t="shared" si="23"/>
        <v>|Recon</v>
      </c>
    </row>
    <row r="742" spans="1:9" x14ac:dyDescent="0.25">
      <c r="B742" t="s">
        <v>22</v>
      </c>
      <c r="C742">
        <f t="shared" si="22"/>
        <v>241</v>
      </c>
      <c r="D742" cm="1">
        <f t="array" ref="D742">_xlfn.IFS(C742&lt;=50,7+10*(C742-1),C742&lt;=110,507+25*(C742-51),C742&lt;=170,2007+50*(C742-111),C742&lt;=250,5007+50*(C742-171))</f>
        <v>8507</v>
      </c>
      <c r="E742" t="str" cm="1">
        <f t="array" ref="E742">IF(D742="","",_xlfn.IFS(D742&lt;=500,"Top_500",D742&lt;=2000,"501_2000",D742&lt;=5000,"2001_5000",D742&lt;=10000,"5001_10000"))</f>
        <v>5001_10000</v>
      </c>
      <c r="I742" s="8" t="str">
        <f t="shared" si="23"/>
        <v>|Recon</v>
      </c>
    </row>
    <row r="743" spans="1:9" x14ac:dyDescent="0.25">
      <c r="B743" t="s">
        <v>22</v>
      </c>
      <c r="C743">
        <f t="shared" si="22"/>
        <v>242</v>
      </c>
      <c r="D743" cm="1">
        <f t="array" ref="D743">_xlfn.IFS(C743&lt;=50,7+10*(C743-1),C743&lt;=110,507+25*(C743-51),C743&lt;=170,2007+50*(C743-111),C743&lt;=250,5007+50*(C743-171))</f>
        <v>8557</v>
      </c>
      <c r="E743" t="str" cm="1">
        <f t="array" ref="E743">IF(D743="","",_xlfn.IFS(D743&lt;=500,"Top_500",D743&lt;=2000,"501_2000",D743&lt;=5000,"2001_5000",D743&lt;=10000,"5001_10000"))</f>
        <v>5001_10000</v>
      </c>
      <c r="I743" s="8" t="str">
        <f t="shared" si="23"/>
        <v>|Recon</v>
      </c>
    </row>
    <row r="744" spans="1:9" x14ac:dyDescent="0.25">
      <c r="B744" t="s">
        <v>22</v>
      </c>
      <c r="C744">
        <f t="shared" si="22"/>
        <v>243</v>
      </c>
      <c r="D744" cm="1">
        <f t="array" ref="D744">_xlfn.IFS(C744&lt;=50,7+10*(C744-1),C744&lt;=110,507+25*(C744-51),C744&lt;=170,2007+50*(C744-111),C744&lt;=250,5007+50*(C744-171))</f>
        <v>8607</v>
      </c>
      <c r="E744" t="str" cm="1">
        <f t="array" ref="E744">IF(D744="","",_xlfn.IFS(D744&lt;=500,"Top_500",D744&lt;=2000,"501_2000",D744&lt;=5000,"2001_5000",D744&lt;=10000,"5001_10000"))</f>
        <v>5001_10000</v>
      </c>
      <c r="I744" s="8" t="str">
        <f t="shared" si="23"/>
        <v>|Recon</v>
      </c>
    </row>
    <row r="745" spans="1:9" x14ac:dyDescent="0.25">
      <c r="B745" t="s">
        <v>22</v>
      </c>
      <c r="C745">
        <f t="shared" si="22"/>
        <v>244</v>
      </c>
      <c r="D745" cm="1">
        <f t="array" ref="D745">_xlfn.IFS(C745&lt;=50,7+10*(C745-1),C745&lt;=110,507+25*(C745-51),C745&lt;=170,2007+50*(C745-111),C745&lt;=250,5007+50*(C745-171))</f>
        <v>8657</v>
      </c>
      <c r="E745" t="str" cm="1">
        <f t="array" ref="E745">IF(D745="","",_xlfn.IFS(D745&lt;=500,"Top_500",D745&lt;=2000,"501_2000",D745&lt;=5000,"2001_5000",D745&lt;=10000,"5001_10000"))</f>
        <v>5001_10000</v>
      </c>
      <c r="I745" s="8" t="str">
        <f t="shared" si="23"/>
        <v>|Recon</v>
      </c>
    </row>
    <row r="746" spans="1:9" x14ac:dyDescent="0.25">
      <c r="B746" t="s">
        <v>22</v>
      </c>
      <c r="C746">
        <f t="shared" si="22"/>
        <v>245</v>
      </c>
      <c r="D746" cm="1">
        <f t="array" ref="D746">_xlfn.IFS(C746&lt;=50,7+10*(C746-1),C746&lt;=110,507+25*(C746-51),C746&lt;=170,2007+50*(C746-111),C746&lt;=250,5007+50*(C746-171))</f>
        <v>8707</v>
      </c>
      <c r="E746" t="str" cm="1">
        <f t="array" ref="E746">IF(D746="","",_xlfn.IFS(D746&lt;=500,"Top_500",D746&lt;=2000,"501_2000",D746&lt;=5000,"2001_5000",D746&lt;=10000,"5001_10000"))</f>
        <v>5001_10000</v>
      </c>
      <c r="I746" s="8" t="str">
        <f t="shared" si="23"/>
        <v>|Recon</v>
      </c>
    </row>
    <row r="747" spans="1:9" x14ac:dyDescent="0.25">
      <c r="B747" t="s">
        <v>22</v>
      </c>
      <c r="C747">
        <f t="shared" si="22"/>
        <v>246</v>
      </c>
      <c r="D747" cm="1">
        <f t="array" ref="D747">_xlfn.IFS(C747&lt;=50,7+10*(C747-1),C747&lt;=110,507+25*(C747-51),C747&lt;=170,2007+50*(C747-111),C747&lt;=250,5007+50*(C747-171))</f>
        <v>8757</v>
      </c>
      <c r="E747" t="str" cm="1">
        <f t="array" ref="E747">IF(D747="","",_xlfn.IFS(D747&lt;=500,"Top_500",D747&lt;=2000,"501_2000",D747&lt;=5000,"2001_5000",D747&lt;=10000,"5001_10000"))</f>
        <v>5001_10000</v>
      </c>
      <c r="I747" s="8" t="str">
        <f t="shared" si="23"/>
        <v>|Recon</v>
      </c>
    </row>
    <row r="748" spans="1:9" x14ac:dyDescent="0.25">
      <c r="B748" t="s">
        <v>22</v>
      </c>
      <c r="C748">
        <f t="shared" si="22"/>
        <v>247</v>
      </c>
      <c r="D748" cm="1">
        <f t="array" ref="D748">_xlfn.IFS(C748&lt;=50,7+10*(C748-1),C748&lt;=110,507+25*(C748-51),C748&lt;=170,2007+50*(C748-111),C748&lt;=250,5007+50*(C748-171))</f>
        <v>8807</v>
      </c>
      <c r="E748" t="str" cm="1">
        <f t="array" ref="E748">IF(D748="","",_xlfn.IFS(D748&lt;=500,"Top_500",D748&lt;=2000,"501_2000",D748&lt;=5000,"2001_5000",D748&lt;=10000,"5001_10000"))</f>
        <v>5001_10000</v>
      </c>
      <c r="I748" s="8" t="str">
        <f t="shared" si="23"/>
        <v>|Recon</v>
      </c>
    </row>
    <row r="749" spans="1:9" x14ac:dyDescent="0.25">
      <c r="B749" t="s">
        <v>22</v>
      </c>
      <c r="C749">
        <f t="shared" si="22"/>
        <v>248</v>
      </c>
      <c r="D749" cm="1">
        <f t="array" ref="D749">_xlfn.IFS(C749&lt;=50,7+10*(C749-1),C749&lt;=110,507+25*(C749-51),C749&lt;=170,2007+50*(C749-111),C749&lt;=250,5007+50*(C749-171))</f>
        <v>8857</v>
      </c>
      <c r="E749" t="str" cm="1">
        <f t="array" ref="E749">IF(D749="","",_xlfn.IFS(D749&lt;=500,"Top_500",D749&lt;=2000,"501_2000",D749&lt;=5000,"2001_5000",D749&lt;=10000,"5001_10000"))</f>
        <v>5001_10000</v>
      </c>
      <c r="I749" s="8" t="str">
        <f t="shared" si="23"/>
        <v>|Recon</v>
      </c>
    </row>
    <row r="750" spans="1:9" x14ac:dyDescent="0.25">
      <c r="B750" t="s">
        <v>22</v>
      </c>
      <c r="C750">
        <f t="shared" si="22"/>
        <v>249</v>
      </c>
      <c r="D750" cm="1">
        <f t="array" ref="D750">_xlfn.IFS(C750&lt;=50,7+10*(C750-1),C750&lt;=110,507+25*(C750-51),C750&lt;=170,2007+50*(C750-111),C750&lt;=250,5007+50*(C750-171))</f>
        <v>8907</v>
      </c>
      <c r="E750" t="str" cm="1">
        <f t="array" ref="E750">IF(D750="","",_xlfn.IFS(D750&lt;=500,"Top_500",D750&lt;=2000,"501_2000",D750&lt;=5000,"2001_5000",D750&lt;=10000,"5001_10000"))</f>
        <v>5001_10000</v>
      </c>
      <c r="I750" s="8" t="str">
        <f t="shared" si="23"/>
        <v>|Recon</v>
      </c>
    </row>
    <row r="751" spans="1:9" x14ac:dyDescent="0.25">
      <c r="B751" t="s">
        <v>22</v>
      </c>
      <c r="C751">
        <f t="shared" si="22"/>
        <v>250</v>
      </c>
      <c r="D751" cm="1">
        <f t="array" ref="D751">_xlfn.IFS(C751&lt;=50,7+10*(C751-1),C751&lt;=110,507+25*(C751-51),C751&lt;=170,2007+50*(C751-111),C751&lt;=250,5007+50*(C751-171))</f>
        <v>8957</v>
      </c>
      <c r="E751" t="str" cm="1">
        <f t="array" ref="E751">IF(D751="","",_xlfn.IFS(D751&lt;=500,"Top_500",D751&lt;=2000,"501_2000",D751&lt;=5000,"2001_5000",D751&lt;=10000,"5001_10000"))</f>
        <v>5001_10000</v>
      </c>
      <c r="I751" s="8" t="str">
        <f t="shared" si="23"/>
        <v>|Recon</v>
      </c>
    </row>
    <row r="752" spans="1:9" x14ac:dyDescent="0.25">
      <c r="A752" t="s">
        <v>161</v>
      </c>
      <c r="B752" t="s">
        <v>21</v>
      </c>
      <c r="C752">
        <f t="shared" si="22"/>
        <v>1</v>
      </c>
      <c r="D752" cm="1">
        <f t="array" ref="D752">_xlfn.IFS(C752&lt;=50,7+10*(C752-1),C752&lt;=110,507+25*(C752-51),C752&lt;=170,2007+50*(C752-111),C752&lt;=250,5007+50*(C752-171))</f>
        <v>7</v>
      </c>
      <c r="E752" t="str" cm="1">
        <f t="array" ref="E752">IF(D752="","",_xlfn.IFS(D752&lt;=500,"Top_500",D752&lt;=2000,"501_2000",D752&lt;=5000,"2001_5000",D752&lt;=10000,"5001_10000"))</f>
        <v>Top_500</v>
      </c>
      <c r="F752">
        <v>27265</v>
      </c>
      <c r="G752">
        <v>391</v>
      </c>
      <c r="H752" s="13">
        <v>46048</v>
      </c>
      <c r="I752" s="8" t="str">
        <f t="shared" si="23"/>
        <v>R3NAULT125|Support</v>
      </c>
    </row>
    <row r="753" spans="1:9" x14ac:dyDescent="0.25">
      <c r="A753" t="s">
        <v>162</v>
      </c>
      <c r="B753" t="s">
        <v>21</v>
      </c>
      <c r="C753">
        <f t="shared" si="22"/>
        <v>2</v>
      </c>
      <c r="D753" cm="1">
        <f t="array" ref="D753">_xlfn.IFS(C753&lt;=50,7+10*(C753-1),C753&lt;=110,507+25*(C753-51),C753&lt;=170,2007+50*(C753-111),C753&lt;=250,5007+50*(C753-171))</f>
        <v>17</v>
      </c>
      <c r="E753" t="str" cm="1">
        <f t="array" ref="E753">IF(D753="","",_xlfn.IFS(D753&lt;=500,"Top_500",D753&lt;=2000,"501_2000",D753&lt;=5000,"2001_5000",D753&lt;=10000,"5001_10000"))</f>
        <v>Top_500</v>
      </c>
      <c r="F753">
        <v>24034</v>
      </c>
      <c r="G753">
        <v>616</v>
      </c>
      <c r="H753" s="13">
        <v>46048</v>
      </c>
      <c r="I753" s="8" t="str">
        <f t="shared" si="23"/>
        <v>HerEmpathy|Support</v>
      </c>
    </row>
    <row r="754" spans="1:9" x14ac:dyDescent="0.25">
      <c r="A754" t="s">
        <v>163</v>
      </c>
      <c r="B754" t="s">
        <v>21</v>
      </c>
      <c r="C754">
        <f t="shared" si="22"/>
        <v>3</v>
      </c>
      <c r="D754" cm="1">
        <f t="array" ref="D754">_xlfn.IFS(C754&lt;=50,7+10*(C754-1),C754&lt;=110,507+25*(C754-51),C754&lt;=170,2007+50*(C754-111),C754&lt;=250,5007+50*(C754-171))</f>
        <v>27</v>
      </c>
      <c r="E754" t="str" cm="1">
        <f t="array" ref="E754">IF(D754="","",_xlfn.IFS(D754&lt;=500,"Top_500",D754&lt;=2000,"501_2000",D754&lt;=5000,"2001_5000",D754&lt;=10000,"5001_10000"))</f>
        <v>Top_500</v>
      </c>
      <c r="F754">
        <v>21976</v>
      </c>
      <c r="G754">
        <v>314</v>
      </c>
      <c r="H754" s="13">
        <v>46048</v>
      </c>
      <c r="I754" s="8" t="str">
        <f t="shared" si="23"/>
        <v>TricksterX21|Support</v>
      </c>
    </row>
    <row r="755" spans="1:9" x14ac:dyDescent="0.25">
      <c r="A755" t="s">
        <v>164</v>
      </c>
      <c r="B755" t="s">
        <v>21</v>
      </c>
      <c r="C755">
        <f t="shared" si="22"/>
        <v>4</v>
      </c>
      <c r="D755" cm="1">
        <f t="array" ref="D755">_xlfn.IFS(C755&lt;=50,7+10*(C755-1),C755&lt;=110,507+25*(C755-51),C755&lt;=170,2007+50*(C755-111),C755&lt;=250,5007+50*(C755-171))</f>
        <v>37</v>
      </c>
      <c r="E755" t="str" cm="1">
        <f t="array" ref="E755">IF(D755="","",_xlfn.IFS(D755&lt;=500,"Top_500",D755&lt;=2000,"501_2000",D755&lt;=5000,"2001_5000",D755&lt;=10000,"5001_10000"))</f>
        <v>Top_500</v>
      </c>
      <c r="F755">
        <v>20442</v>
      </c>
      <c r="G755">
        <v>524</v>
      </c>
      <c r="H755" s="13">
        <v>46048</v>
      </c>
      <c r="I755" s="8" t="str">
        <f t="shared" si="23"/>
        <v>BREOGAN89|Support</v>
      </c>
    </row>
    <row r="756" spans="1:9" x14ac:dyDescent="0.25">
      <c r="A756" t="s">
        <v>188</v>
      </c>
      <c r="B756" t="s">
        <v>21</v>
      </c>
      <c r="C756">
        <f t="shared" si="22"/>
        <v>5</v>
      </c>
      <c r="D756" cm="1">
        <f t="array" ref="D756">_xlfn.IFS(C756&lt;=50,7+10*(C756-1),C756&lt;=110,507+25*(C756-51),C756&lt;=170,2007+50*(C756-111),C756&lt;=250,5007+50*(C756-171))</f>
        <v>47</v>
      </c>
      <c r="E756" t="str" cm="1">
        <f t="array" ref="E756">IF(D756="","",_xlfn.IFS(D756&lt;=500,"Top_500",D756&lt;=2000,"501_2000",D756&lt;=5000,"2001_5000",D756&lt;=10000,"5001_10000"))</f>
        <v>Top_500</v>
      </c>
      <c r="F756">
        <v>19357</v>
      </c>
      <c r="G756">
        <v>421</v>
      </c>
      <c r="H756" s="13">
        <v>46049</v>
      </c>
      <c r="I756" s="8" t="str">
        <f t="shared" si="23"/>
        <v>CTGxCBLostSoulx|Support</v>
      </c>
    </row>
    <row r="757" spans="1:9" x14ac:dyDescent="0.25">
      <c r="A757" t="s">
        <v>165</v>
      </c>
      <c r="B757" t="s">
        <v>21</v>
      </c>
      <c r="C757">
        <f t="shared" si="22"/>
        <v>6</v>
      </c>
      <c r="D757" cm="1">
        <f t="array" ref="D757">_xlfn.IFS(C757&lt;=50,7+10*(C757-1),C757&lt;=110,507+25*(C757-51),C757&lt;=170,2007+50*(C757-111),C757&lt;=250,5007+50*(C757-171))</f>
        <v>57</v>
      </c>
      <c r="E757" t="str" cm="1">
        <f t="array" ref="E757">IF(D757="","",_xlfn.IFS(D757&lt;=500,"Top_500",D757&lt;=2000,"501_2000",D757&lt;=5000,"2001_5000",D757&lt;=10000,"5001_10000"))</f>
        <v>Top_500</v>
      </c>
      <c r="F757">
        <v>18470</v>
      </c>
      <c r="G757">
        <v>387</v>
      </c>
      <c r="H757" s="13">
        <v>46048</v>
      </c>
      <c r="I757" s="8" t="str">
        <f t="shared" si="23"/>
        <v>1st-GrimReaper|Support</v>
      </c>
    </row>
    <row r="758" spans="1:9" x14ac:dyDescent="0.25">
      <c r="A758" t="s">
        <v>166</v>
      </c>
      <c r="B758" t="s">
        <v>21</v>
      </c>
      <c r="C758">
        <f t="shared" si="22"/>
        <v>7</v>
      </c>
      <c r="D758" cm="1">
        <f t="array" ref="D758">_xlfn.IFS(C758&lt;=50,7+10*(C758-1),C758&lt;=110,507+25*(C758-51),C758&lt;=170,2007+50*(C758-111),C758&lt;=250,5007+50*(C758-171))</f>
        <v>67</v>
      </c>
      <c r="E758" t="str" cm="1">
        <f t="array" ref="E758">IF(D758="","",_xlfn.IFS(D758&lt;=500,"Top_500",D758&lt;=2000,"501_2000",D758&lt;=5000,"2001_5000",D758&lt;=10000,"5001_10000"))</f>
        <v>Top_500</v>
      </c>
      <c r="F758">
        <v>18210</v>
      </c>
      <c r="G758">
        <v>231</v>
      </c>
      <c r="H758" s="13">
        <v>46048</v>
      </c>
      <c r="I758" s="8" t="str">
        <f t="shared" si="23"/>
        <v>Clay-_-x|Support</v>
      </c>
    </row>
    <row r="759" spans="1:9" x14ac:dyDescent="0.25">
      <c r="A759" t="s">
        <v>167</v>
      </c>
      <c r="B759" t="s">
        <v>21</v>
      </c>
      <c r="C759">
        <f t="shared" si="22"/>
        <v>8</v>
      </c>
      <c r="D759" cm="1">
        <f t="array" ref="D759">_xlfn.IFS(C759&lt;=50,7+10*(C759-1),C759&lt;=110,507+25*(C759-51),C759&lt;=170,2007+50*(C759-111),C759&lt;=250,5007+50*(C759-171))</f>
        <v>77</v>
      </c>
      <c r="E759" t="str" cm="1">
        <f t="array" ref="E759">IF(D759="","",_xlfn.IFS(D759&lt;=500,"Top_500",D759&lt;=2000,"501_2000",D759&lt;=5000,"2001_5000",D759&lt;=10000,"5001_10000"))</f>
        <v>Top_500</v>
      </c>
      <c r="F759">
        <v>17752</v>
      </c>
      <c r="G759">
        <v>322</v>
      </c>
      <c r="H759" s="13">
        <v>46048</v>
      </c>
      <c r="I759" s="8" t="str">
        <f t="shared" si="23"/>
        <v>o3koga|Support</v>
      </c>
    </row>
    <row r="760" spans="1:9" x14ac:dyDescent="0.25">
      <c r="A760" t="s">
        <v>168</v>
      </c>
      <c r="B760" t="s">
        <v>21</v>
      </c>
      <c r="C760">
        <f t="shared" si="22"/>
        <v>9</v>
      </c>
      <c r="D760" cm="1">
        <f t="array" ref="D760">_xlfn.IFS(C760&lt;=50,7+10*(C760-1),C760&lt;=110,507+25*(C760-51),C760&lt;=170,2007+50*(C760-111),C760&lt;=250,5007+50*(C760-171))</f>
        <v>87</v>
      </c>
      <c r="E760" t="str" cm="1">
        <f t="array" ref="E760">IF(D760="","",_xlfn.IFS(D760&lt;=500,"Top_500",D760&lt;=2000,"501_2000",D760&lt;=5000,"2001_5000",D760&lt;=10000,"5001_10000"))</f>
        <v>Top_500</v>
      </c>
      <c r="F760">
        <v>17081</v>
      </c>
      <c r="G760">
        <v>107</v>
      </c>
      <c r="H760" s="13">
        <v>46048</v>
      </c>
      <c r="I760" s="8" t="str">
        <f t="shared" si="23"/>
        <v>Veh|Support</v>
      </c>
    </row>
    <row r="761" spans="1:9" x14ac:dyDescent="0.25">
      <c r="A761" t="s">
        <v>169</v>
      </c>
      <c r="B761" t="s">
        <v>21</v>
      </c>
      <c r="C761">
        <f t="shared" si="22"/>
        <v>10</v>
      </c>
      <c r="D761" cm="1">
        <f t="array" ref="D761">_xlfn.IFS(C761&lt;=50,7+10*(C761-1),C761&lt;=110,507+25*(C761-51),C761&lt;=170,2007+50*(C761-111),C761&lt;=250,5007+50*(C761-171))</f>
        <v>97</v>
      </c>
      <c r="E761" t="str" cm="1">
        <f t="array" ref="E761">IF(D761="","",_xlfn.IFS(D761&lt;=500,"Top_500",D761&lt;=2000,"501_2000",D761&lt;=5000,"2001_5000",D761&lt;=10000,"5001_10000"))</f>
        <v>Top_500</v>
      </c>
      <c r="F761">
        <v>17048</v>
      </c>
      <c r="G761">
        <v>234</v>
      </c>
      <c r="H761" s="13">
        <v>46048</v>
      </c>
      <c r="I761" s="8" t="str">
        <f t="shared" si="23"/>
        <v>l_0NeaL_l|Support</v>
      </c>
    </row>
    <row r="762" spans="1:9" x14ac:dyDescent="0.25">
      <c r="A762" t="s">
        <v>229</v>
      </c>
      <c r="B762" t="s">
        <v>21</v>
      </c>
      <c r="C762">
        <f t="shared" si="22"/>
        <v>11</v>
      </c>
      <c r="D762" cm="1">
        <f t="array" ref="D762">_xlfn.IFS(C762&lt;=50,7+10*(C762-1),C762&lt;=110,507+25*(C762-51),C762&lt;=170,2007+50*(C762-111),C762&lt;=250,5007+50*(C762-171))</f>
        <v>107</v>
      </c>
      <c r="E762" t="str" cm="1">
        <f t="array" ref="E762">IF(D762="","",_xlfn.IFS(D762&lt;=500,"Top_500",D762&lt;=2000,"501_2000",D762&lt;=5000,"2001_5000",D762&lt;=10000,"5001_10000"))</f>
        <v>Top_500</v>
      </c>
      <c r="F762">
        <v>17213</v>
      </c>
      <c r="G762">
        <v>376</v>
      </c>
      <c r="H762" s="13">
        <v>46049</v>
      </c>
      <c r="I762" s="8" t="str">
        <f t="shared" si="23"/>
        <v>CptShoook|Support</v>
      </c>
    </row>
    <row r="763" spans="1:9" x14ac:dyDescent="0.25">
      <c r="A763" t="s">
        <v>230</v>
      </c>
      <c r="B763" t="s">
        <v>21</v>
      </c>
      <c r="C763">
        <f t="shared" si="22"/>
        <v>12</v>
      </c>
      <c r="D763" cm="1">
        <f t="array" ref="D763">_xlfn.IFS(C763&lt;=50,7+10*(C763-1),C763&lt;=110,507+25*(C763-51),C763&lt;=170,2007+50*(C763-111),C763&lt;=250,5007+50*(C763-171))</f>
        <v>117</v>
      </c>
      <c r="E763" t="str" cm="1">
        <f t="array" ref="E763">IF(D763="","",_xlfn.IFS(D763&lt;=500,"Top_500",D763&lt;=2000,"501_2000",D763&lt;=5000,"2001_5000",D763&lt;=10000,"5001_10000"))</f>
        <v>Top_500</v>
      </c>
      <c r="F763">
        <v>16249</v>
      </c>
      <c r="G763">
        <v>311</v>
      </c>
      <c r="H763" s="13">
        <v>46049</v>
      </c>
      <c r="I763" s="8" t="str">
        <f t="shared" si="23"/>
        <v>soju|Support</v>
      </c>
    </row>
    <row r="764" spans="1:9" x14ac:dyDescent="0.25">
      <c r="A764" t="s">
        <v>231</v>
      </c>
      <c r="B764" t="s">
        <v>21</v>
      </c>
      <c r="C764">
        <f t="shared" si="22"/>
        <v>13</v>
      </c>
      <c r="D764" cm="1">
        <f t="array" ref="D764">_xlfn.IFS(C764&lt;=50,7+10*(C764-1),C764&lt;=110,507+25*(C764-51),C764&lt;=170,2007+50*(C764-111),C764&lt;=250,5007+50*(C764-171))</f>
        <v>127</v>
      </c>
      <c r="E764" t="str" cm="1">
        <f t="array" ref="E764">IF(D764="","",_xlfn.IFS(D764&lt;=500,"Top_500",D764&lt;=2000,"501_2000",D764&lt;=5000,"2001_5000",D764&lt;=10000,"5001_10000"))</f>
        <v>Top_500</v>
      </c>
      <c r="F764">
        <v>16184</v>
      </c>
      <c r="G764">
        <v>231</v>
      </c>
      <c r="H764" s="13">
        <v>46049</v>
      </c>
      <c r="I764" s="8" t="str">
        <f t="shared" si="23"/>
        <v>PEB ZeneK|Support</v>
      </c>
    </row>
    <row r="765" spans="1:9" x14ac:dyDescent="0.25">
      <c r="A765" t="s">
        <v>232</v>
      </c>
      <c r="B765" t="s">
        <v>21</v>
      </c>
      <c r="C765">
        <f t="shared" si="22"/>
        <v>14</v>
      </c>
      <c r="D765" cm="1">
        <f t="array" ref="D765">_xlfn.IFS(C765&lt;=50,7+10*(C765-1),C765&lt;=110,507+25*(C765-51),C765&lt;=170,2007+50*(C765-111),C765&lt;=250,5007+50*(C765-171))</f>
        <v>137</v>
      </c>
      <c r="E765" t="str" cm="1">
        <f t="array" ref="E765">IF(D765="","",_xlfn.IFS(D765&lt;=500,"Top_500",D765&lt;=2000,"501_2000",D765&lt;=5000,"2001_5000",D765&lt;=10000,"5001_10000"))</f>
        <v>Top_500</v>
      </c>
      <c r="F765">
        <v>15907</v>
      </c>
      <c r="G765">
        <v>225</v>
      </c>
      <c r="H765" s="13">
        <v>46049</v>
      </c>
      <c r="I765" s="8" t="str">
        <f t="shared" si="23"/>
        <v>&lt;3 KANRA___TTV &lt;3|Support</v>
      </c>
    </row>
    <row r="766" spans="1:9" x14ac:dyDescent="0.25">
      <c r="A766" t="s">
        <v>233</v>
      </c>
      <c r="B766" t="s">
        <v>21</v>
      </c>
      <c r="C766">
        <f t="shared" si="22"/>
        <v>15</v>
      </c>
      <c r="D766" cm="1">
        <f t="array" ref="D766">_xlfn.IFS(C766&lt;=50,7+10*(C766-1),C766&lt;=110,507+25*(C766-51),C766&lt;=170,2007+50*(C766-111),C766&lt;=250,5007+50*(C766-171))</f>
        <v>147</v>
      </c>
      <c r="E766" t="str" cm="1">
        <f t="array" ref="E766">IF(D766="","",_xlfn.IFS(D766&lt;=500,"Top_500",D766&lt;=2000,"501_2000",D766&lt;=5000,"2001_5000",D766&lt;=10000,"5001_10000"))</f>
        <v>Top_500</v>
      </c>
      <c r="F766">
        <v>15701</v>
      </c>
      <c r="G766">
        <v>254</v>
      </c>
      <c r="H766" s="13">
        <v>46049</v>
      </c>
      <c r="I766" s="8" t="str">
        <f t="shared" si="23"/>
        <v>Nezmooo--|Support</v>
      </c>
    </row>
    <row r="767" spans="1:9" x14ac:dyDescent="0.25">
      <c r="A767" t="s">
        <v>499</v>
      </c>
      <c r="B767" t="s">
        <v>21</v>
      </c>
      <c r="C767">
        <f t="shared" si="22"/>
        <v>16</v>
      </c>
      <c r="D767" cm="1">
        <f t="array" ref="D767">_xlfn.IFS(C767&lt;=50,7+10*(C767-1),C767&lt;=110,507+25*(C767-51),C767&lt;=170,2007+50*(C767-111),C767&lt;=250,5007+50*(C767-171))</f>
        <v>157</v>
      </c>
      <c r="E767" t="str" cm="1">
        <f t="array" ref="E767">IF(D767="","",_xlfn.IFS(D767&lt;=500,"Top_500",D767&lt;=2000,"501_2000",D767&lt;=5000,"2001_5000",D767&lt;=10000,"5001_10000"))</f>
        <v>Top_500</v>
      </c>
      <c r="F767">
        <v>15991</v>
      </c>
      <c r="G767">
        <v>540</v>
      </c>
      <c r="H767" s="13">
        <v>46055</v>
      </c>
      <c r="I767" s="8" t="str">
        <f t="shared" si="23"/>
        <v>GreatAlaskan_907|Support</v>
      </c>
    </row>
    <row r="768" spans="1:9" x14ac:dyDescent="0.25">
      <c r="A768" t="s">
        <v>500</v>
      </c>
      <c r="B768" t="s">
        <v>21</v>
      </c>
      <c r="C768">
        <f t="shared" si="22"/>
        <v>17</v>
      </c>
      <c r="D768" cm="1">
        <f t="array" ref="D768">_xlfn.IFS(C768&lt;=50,7+10*(C768-1),C768&lt;=110,507+25*(C768-51),C768&lt;=170,2007+50*(C768-111),C768&lt;=250,5007+50*(C768-171))</f>
        <v>167</v>
      </c>
      <c r="E768" t="str" cm="1">
        <f t="array" ref="E768">IF(D768="","",_xlfn.IFS(D768&lt;=500,"Top_500",D768&lt;=2000,"501_2000",D768&lt;=5000,"2001_5000",D768&lt;=10000,"5001_10000"))</f>
        <v>Top_500</v>
      </c>
      <c r="F768">
        <v>15761</v>
      </c>
      <c r="G768">
        <v>310</v>
      </c>
      <c r="H768" s="13">
        <v>46055</v>
      </c>
      <c r="I768" s="8" t="str">
        <f t="shared" si="23"/>
        <v>TrapShotzTV|Support</v>
      </c>
    </row>
    <row r="769" spans="1:9" x14ac:dyDescent="0.25">
      <c r="A769" t="s">
        <v>501</v>
      </c>
      <c r="B769" t="s">
        <v>21</v>
      </c>
      <c r="C769">
        <f t="shared" si="22"/>
        <v>18</v>
      </c>
      <c r="D769" cm="1">
        <f t="array" ref="D769">_xlfn.IFS(C769&lt;=50,7+10*(C769-1),C769&lt;=110,507+25*(C769-51),C769&lt;=170,2007+50*(C769-111),C769&lt;=250,5007+50*(C769-171))</f>
        <v>177</v>
      </c>
      <c r="E769" t="str" cm="1">
        <f t="array" ref="E769">IF(D769="","",_xlfn.IFS(D769&lt;=500,"Top_500",D769&lt;=2000,"501_2000",D769&lt;=5000,"2001_5000",D769&lt;=10000,"5001_10000"))</f>
        <v>Top_500</v>
      </c>
      <c r="F769">
        <v>15536</v>
      </c>
      <c r="G769">
        <v>355</v>
      </c>
      <c r="H769" s="13">
        <v>46055</v>
      </c>
      <c r="I769" s="8" t="str">
        <f t="shared" si="23"/>
        <v>Barylak.|Support</v>
      </c>
    </row>
    <row r="770" spans="1:9" x14ac:dyDescent="0.25">
      <c r="A770" t="s">
        <v>502</v>
      </c>
      <c r="B770" t="s">
        <v>21</v>
      </c>
      <c r="C770">
        <f t="shared" ref="C770:C833" si="24">IF(ROW()=2,1,IF(B770&lt;&gt;B769,1,C769+1))</f>
        <v>19</v>
      </c>
      <c r="D770" cm="1">
        <f t="array" ref="D770">_xlfn.IFS(C770&lt;=50,7+10*(C770-1),C770&lt;=110,507+25*(C770-51),C770&lt;=170,2007+50*(C770-111),C770&lt;=250,5007+50*(C770-171))</f>
        <v>187</v>
      </c>
      <c r="E770" t="str" cm="1">
        <f t="array" ref="E770">IF(D770="","",_xlfn.IFS(D770&lt;=500,"Top_500",D770&lt;=2000,"501_2000",D770&lt;=5000,"2001_5000",D770&lt;=10000,"5001_10000"))</f>
        <v>Top_500</v>
      </c>
      <c r="F770">
        <v>15657</v>
      </c>
      <c r="G770">
        <v>285</v>
      </c>
      <c r="H770" s="13">
        <v>46055</v>
      </c>
      <c r="I770" s="8" t="str">
        <f t="shared" si="23"/>
        <v>XX_Kichon_IV|Support</v>
      </c>
    </row>
    <row r="771" spans="1:9" x14ac:dyDescent="0.25">
      <c r="A771" t="s">
        <v>503</v>
      </c>
      <c r="B771" t="s">
        <v>21</v>
      </c>
      <c r="C771">
        <f t="shared" si="24"/>
        <v>20</v>
      </c>
      <c r="D771" cm="1">
        <f t="array" ref="D771">_xlfn.IFS(C771&lt;=50,7+10*(C771-1),C771&lt;=110,507+25*(C771-51),C771&lt;=170,2007+50*(C771-111),C771&lt;=250,5007+50*(C771-171))</f>
        <v>197</v>
      </c>
      <c r="E771" t="str" cm="1">
        <f t="array" ref="E771">IF(D771="","",_xlfn.IFS(D771&lt;=500,"Top_500",D771&lt;=2000,"501_2000",D771&lt;=5000,"2001_5000",D771&lt;=10000,"5001_10000"))</f>
        <v>Top_500</v>
      </c>
      <c r="F771">
        <v>18427</v>
      </c>
      <c r="G771">
        <v>233</v>
      </c>
      <c r="H771" s="13">
        <v>46055</v>
      </c>
      <c r="I771" s="8" t="str">
        <f t="shared" ref="I771:I834" si="25">A771 &amp; "|" &amp; B771</f>
        <v>SadControllerPlayerOnPC|Support</v>
      </c>
    </row>
    <row r="772" spans="1:9" x14ac:dyDescent="0.25">
      <c r="A772" t="s">
        <v>504</v>
      </c>
      <c r="B772" t="s">
        <v>21</v>
      </c>
      <c r="C772">
        <f t="shared" si="24"/>
        <v>21</v>
      </c>
      <c r="D772" cm="1">
        <f t="array" ref="D772">_xlfn.IFS(C772&lt;=50,7+10*(C772-1),C772&lt;=110,507+25*(C772-51),C772&lt;=170,2007+50*(C772-111),C772&lt;=250,5007+50*(C772-171))</f>
        <v>207</v>
      </c>
      <c r="E772" t="str" cm="1">
        <f t="array" ref="E772">IF(D772="","",_xlfn.IFS(D772&lt;=500,"Top_500",D772&lt;=2000,"501_2000",D772&lt;=5000,"2001_5000",D772&lt;=10000,"5001_10000"))</f>
        <v>Top_500</v>
      </c>
      <c r="F772">
        <v>15753</v>
      </c>
      <c r="G772">
        <v>314</v>
      </c>
      <c r="H772" s="13">
        <v>46055</v>
      </c>
      <c r="I772" s="8" t="str">
        <f t="shared" si="25"/>
        <v>SGT_KHALIL|Support</v>
      </c>
    </row>
    <row r="773" spans="1:9" x14ac:dyDescent="0.25">
      <c r="A773" t="s">
        <v>505</v>
      </c>
      <c r="B773" t="s">
        <v>21</v>
      </c>
      <c r="C773">
        <f t="shared" si="24"/>
        <v>22</v>
      </c>
      <c r="D773" cm="1">
        <f t="array" ref="D773">_xlfn.IFS(C773&lt;=50,7+10*(C773-1),C773&lt;=110,507+25*(C773-51),C773&lt;=170,2007+50*(C773-111),C773&lt;=250,5007+50*(C773-171))</f>
        <v>217</v>
      </c>
      <c r="E773" t="str" cm="1">
        <f t="array" ref="E773">IF(D773="","",_xlfn.IFS(D773&lt;=500,"Top_500",D773&lt;=2000,"501_2000",D773&lt;=5000,"2001_5000",D773&lt;=10000,"5001_10000"))</f>
        <v>Top_500</v>
      </c>
      <c r="F773">
        <v>14828</v>
      </c>
      <c r="G773">
        <v>242</v>
      </c>
      <c r="H773" s="13">
        <v>46055</v>
      </c>
      <c r="I773" s="8" t="str">
        <f t="shared" si="25"/>
        <v>OCTOGUE|Support</v>
      </c>
    </row>
    <row r="774" spans="1:9" x14ac:dyDescent="0.25">
      <c r="A774" t="s">
        <v>506</v>
      </c>
      <c r="B774" t="s">
        <v>21</v>
      </c>
      <c r="C774">
        <f t="shared" si="24"/>
        <v>23</v>
      </c>
      <c r="D774" cm="1">
        <f t="array" ref="D774">_xlfn.IFS(C774&lt;=50,7+10*(C774-1),C774&lt;=110,507+25*(C774-51),C774&lt;=170,2007+50*(C774-111),C774&lt;=250,5007+50*(C774-171))</f>
        <v>227</v>
      </c>
      <c r="E774" t="str" cm="1">
        <f t="array" ref="E774">IF(D774="","",_xlfn.IFS(D774&lt;=500,"Top_500",D774&lt;=2000,"501_2000",D774&lt;=5000,"2001_5000",D774&lt;=10000,"5001_10000"))</f>
        <v>Top_500</v>
      </c>
      <c r="F774">
        <v>144649</v>
      </c>
      <c r="G774">
        <v>234</v>
      </c>
      <c r="H774" s="13">
        <v>46055</v>
      </c>
      <c r="I774" s="8" t="str">
        <f t="shared" si="25"/>
        <v>Akrokaiser|Support</v>
      </c>
    </row>
    <row r="775" spans="1:9" x14ac:dyDescent="0.25">
      <c r="A775" t="s">
        <v>507</v>
      </c>
      <c r="B775" t="s">
        <v>21</v>
      </c>
      <c r="C775">
        <f t="shared" si="24"/>
        <v>24</v>
      </c>
      <c r="D775" cm="1">
        <f t="array" ref="D775">_xlfn.IFS(C775&lt;=50,7+10*(C775-1),C775&lt;=110,507+25*(C775-51),C775&lt;=170,2007+50*(C775-111),C775&lt;=250,5007+50*(C775-171))</f>
        <v>237</v>
      </c>
      <c r="E775" t="str" cm="1">
        <f t="array" ref="E775">IF(D775="","",_xlfn.IFS(D775&lt;=500,"Top_500",D775&lt;=2000,"501_2000",D775&lt;=5000,"2001_5000",D775&lt;=10000,"5001_10000"))</f>
        <v>Top_500</v>
      </c>
      <c r="F775">
        <v>20152</v>
      </c>
      <c r="G775">
        <v>298</v>
      </c>
      <c r="H775" s="13">
        <v>46055</v>
      </c>
      <c r="I775" s="8" t="str">
        <f t="shared" si="25"/>
        <v>DEMONIO1988|Support</v>
      </c>
    </row>
    <row r="776" spans="1:9" x14ac:dyDescent="0.25">
      <c r="A776" t="s">
        <v>508</v>
      </c>
      <c r="B776" t="s">
        <v>21</v>
      </c>
      <c r="C776">
        <f t="shared" si="24"/>
        <v>25</v>
      </c>
      <c r="D776" cm="1">
        <f t="array" ref="D776">_xlfn.IFS(C776&lt;=50,7+10*(C776-1),C776&lt;=110,507+25*(C776-51),C776&lt;=170,2007+50*(C776-111),C776&lt;=250,5007+50*(C776-171))</f>
        <v>247</v>
      </c>
      <c r="E776" t="str" cm="1">
        <f t="array" ref="E776">IF(D776="","",_xlfn.IFS(D776&lt;=500,"Top_500",D776&lt;=2000,"501_2000",D776&lt;=5000,"2001_5000",D776&lt;=10000,"5001_10000"))</f>
        <v>Top_500</v>
      </c>
      <c r="F776">
        <v>14521</v>
      </c>
      <c r="G776">
        <v>252</v>
      </c>
      <c r="H776" s="13">
        <v>46055</v>
      </c>
      <c r="I776" s="8" t="str">
        <f t="shared" si="25"/>
        <v>R3V0LUTION|Support</v>
      </c>
    </row>
    <row r="777" spans="1:9" x14ac:dyDescent="0.25">
      <c r="A777" t="s">
        <v>509</v>
      </c>
      <c r="B777" t="s">
        <v>21</v>
      </c>
      <c r="C777">
        <f t="shared" si="24"/>
        <v>26</v>
      </c>
      <c r="D777" cm="1">
        <f t="array" ref="D777">_xlfn.IFS(C777&lt;=50,7+10*(C777-1),C777&lt;=110,507+25*(C777-51),C777&lt;=170,2007+50*(C777-111),C777&lt;=250,5007+50*(C777-171))</f>
        <v>257</v>
      </c>
      <c r="E777" t="str" cm="1">
        <f t="array" ref="E777">IF(D777="","",_xlfn.IFS(D777&lt;=500,"Top_500",D777&lt;=2000,"501_2000",D777&lt;=5000,"2001_5000",D777&lt;=10000,"5001_10000"))</f>
        <v>Top_500</v>
      </c>
      <c r="F777">
        <v>14278</v>
      </c>
      <c r="G777">
        <v>232</v>
      </c>
      <c r="H777" s="13">
        <v>46055</v>
      </c>
      <c r="I777" s="8" t="str">
        <f t="shared" si="25"/>
        <v>Major-Quimby-5th|Support</v>
      </c>
    </row>
    <row r="778" spans="1:9" x14ac:dyDescent="0.25">
      <c r="A778" t="s">
        <v>510</v>
      </c>
      <c r="B778" t="s">
        <v>21</v>
      </c>
      <c r="C778">
        <f t="shared" si="24"/>
        <v>27</v>
      </c>
      <c r="D778" cm="1">
        <f t="array" ref="D778">_xlfn.IFS(C778&lt;=50,7+10*(C778-1),C778&lt;=110,507+25*(C778-51),C778&lt;=170,2007+50*(C778-111),C778&lt;=250,5007+50*(C778-171))</f>
        <v>267</v>
      </c>
      <c r="E778" t="str" cm="1">
        <f t="array" ref="E778">IF(D778="","",_xlfn.IFS(D778&lt;=500,"Top_500",D778&lt;=2000,"501_2000",D778&lt;=5000,"2001_5000",D778&lt;=10000,"5001_10000"))</f>
        <v>Top_500</v>
      </c>
      <c r="F778">
        <v>14192</v>
      </c>
      <c r="G778">
        <v>355</v>
      </c>
      <c r="H778" s="13">
        <v>46055</v>
      </c>
      <c r="I778" s="8" t="str">
        <f t="shared" si="25"/>
        <v>Dezz|Support</v>
      </c>
    </row>
    <row r="779" spans="1:9" x14ac:dyDescent="0.25">
      <c r="A779" t="s">
        <v>511</v>
      </c>
      <c r="B779" t="s">
        <v>21</v>
      </c>
      <c r="C779">
        <f t="shared" si="24"/>
        <v>28</v>
      </c>
      <c r="D779" cm="1">
        <f t="array" ref="D779">_xlfn.IFS(C779&lt;=50,7+10*(C779-1),C779&lt;=110,507+25*(C779-51),C779&lt;=170,2007+50*(C779-111),C779&lt;=250,5007+50*(C779-171))</f>
        <v>277</v>
      </c>
      <c r="E779" t="str" cm="1">
        <f t="array" ref="E779">IF(D779="","",_xlfn.IFS(D779&lt;=500,"Top_500",D779&lt;=2000,"501_2000",D779&lt;=5000,"2001_5000",D779&lt;=10000,"5001_10000"))</f>
        <v>Top_500</v>
      </c>
      <c r="F779">
        <v>14080</v>
      </c>
      <c r="G779">
        <v>346</v>
      </c>
      <c r="H779" s="13">
        <v>46055</v>
      </c>
      <c r="I779" s="8" t="str">
        <f t="shared" si="25"/>
        <v>sguglio|Support</v>
      </c>
    </row>
    <row r="780" spans="1:9" x14ac:dyDescent="0.25">
      <c r="A780" t="s">
        <v>512</v>
      </c>
      <c r="B780" t="s">
        <v>21</v>
      </c>
      <c r="C780">
        <f t="shared" si="24"/>
        <v>29</v>
      </c>
      <c r="D780" cm="1">
        <f t="array" ref="D780">_xlfn.IFS(C780&lt;=50,7+10*(C780-1),C780&lt;=110,507+25*(C780-51),C780&lt;=170,2007+50*(C780-111),C780&lt;=250,5007+50*(C780-171))</f>
        <v>287</v>
      </c>
      <c r="E780" t="str" cm="1">
        <f t="array" ref="E780">IF(D780="","",_xlfn.IFS(D780&lt;=500,"Top_500",D780&lt;=2000,"501_2000",D780&lt;=5000,"2001_5000",D780&lt;=10000,"5001_10000"))</f>
        <v>Top_500</v>
      </c>
      <c r="F780">
        <v>14157</v>
      </c>
      <c r="G780">
        <v>322</v>
      </c>
      <c r="H780" s="13">
        <v>46055</v>
      </c>
      <c r="I780" s="8" t="str">
        <f t="shared" si="25"/>
        <v>Dodeyx|Support</v>
      </c>
    </row>
    <row r="781" spans="1:9" x14ac:dyDescent="0.25">
      <c r="A781" t="s">
        <v>513</v>
      </c>
      <c r="B781" t="s">
        <v>21</v>
      </c>
      <c r="C781">
        <f t="shared" si="24"/>
        <v>30</v>
      </c>
      <c r="D781" cm="1">
        <f t="array" ref="D781">_xlfn.IFS(C781&lt;=50,7+10*(C781-1),C781&lt;=110,507+25*(C781-51),C781&lt;=170,2007+50*(C781-111),C781&lt;=250,5007+50*(C781-171))</f>
        <v>297</v>
      </c>
      <c r="E781" t="str" cm="1">
        <f t="array" ref="E781">IF(D781="","",_xlfn.IFS(D781&lt;=500,"Top_500",D781&lt;=2000,"501_2000",D781&lt;=5000,"2001_5000",D781&lt;=10000,"5001_10000"))</f>
        <v>Top_500</v>
      </c>
      <c r="F781">
        <v>14760</v>
      </c>
      <c r="G781">
        <v>332</v>
      </c>
      <c r="H781" s="13">
        <v>46055</v>
      </c>
      <c r="I781" s="8" t="str">
        <f t="shared" si="25"/>
        <v>ramikingx1|Support</v>
      </c>
    </row>
    <row r="782" spans="1:9" x14ac:dyDescent="0.25">
      <c r="A782" t="s">
        <v>514</v>
      </c>
      <c r="B782" t="s">
        <v>21</v>
      </c>
      <c r="C782">
        <f t="shared" si="24"/>
        <v>31</v>
      </c>
      <c r="D782" cm="1">
        <f t="array" ref="D782">_xlfn.IFS(C782&lt;=50,7+10*(C782-1),C782&lt;=110,507+25*(C782-51),C782&lt;=170,2007+50*(C782-111),C782&lt;=250,5007+50*(C782-171))</f>
        <v>307</v>
      </c>
      <c r="E782" t="str" cm="1">
        <f t="array" ref="E782">IF(D782="","",_xlfn.IFS(D782&lt;=500,"Top_500",D782&lt;=2000,"501_2000",D782&lt;=5000,"2001_5000",D782&lt;=10000,"5001_10000"))</f>
        <v>Top_500</v>
      </c>
      <c r="F782">
        <v>13827</v>
      </c>
      <c r="G782">
        <v>685</v>
      </c>
      <c r="H782" s="13">
        <v>46055</v>
      </c>
      <c r="I782" s="8" t="str">
        <f t="shared" si="25"/>
        <v>ARMSQUADNYPD-TTV|Support</v>
      </c>
    </row>
    <row r="783" spans="1:9" x14ac:dyDescent="0.25">
      <c r="A783" t="s">
        <v>515</v>
      </c>
      <c r="B783" t="s">
        <v>21</v>
      </c>
      <c r="C783">
        <f t="shared" si="24"/>
        <v>32</v>
      </c>
      <c r="D783" cm="1">
        <f t="array" ref="D783">_xlfn.IFS(C783&lt;=50,7+10*(C783-1),C783&lt;=110,507+25*(C783-51),C783&lt;=170,2007+50*(C783-111),C783&lt;=250,5007+50*(C783-171))</f>
        <v>317</v>
      </c>
      <c r="E783" t="str" cm="1">
        <f t="array" ref="E783">IF(D783="","",_xlfn.IFS(D783&lt;=500,"Top_500",D783&lt;=2000,"501_2000",D783&lt;=5000,"2001_5000",D783&lt;=10000,"5001_10000"))</f>
        <v>Top_500</v>
      </c>
      <c r="F783">
        <v>13839</v>
      </c>
      <c r="G783">
        <v>277</v>
      </c>
      <c r="H783" s="13">
        <v>46055</v>
      </c>
      <c r="I783" s="8" t="str">
        <f t="shared" si="25"/>
        <v>Tsumarai|Support</v>
      </c>
    </row>
    <row r="784" spans="1:9" x14ac:dyDescent="0.25">
      <c r="A784" t="s">
        <v>516</v>
      </c>
      <c r="B784" t="s">
        <v>21</v>
      </c>
      <c r="C784">
        <f t="shared" si="24"/>
        <v>33</v>
      </c>
      <c r="D784" cm="1">
        <f t="array" ref="D784">_xlfn.IFS(C784&lt;=50,7+10*(C784-1),C784&lt;=110,507+25*(C784-51),C784&lt;=170,2007+50*(C784-111),C784&lt;=250,5007+50*(C784-171))</f>
        <v>327</v>
      </c>
      <c r="E784" t="str" cm="1">
        <f t="array" ref="E784">IF(D784="","",_xlfn.IFS(D784&lt;=500,"Top_500",D784&lt;=2000,"501_2000",D784&lt;=5000,"2001_5000",D784&lt;=10000,"5001_10000"))</f>
        <v>Top_500</v>
      </c>
      <c r="F784">
        <v>13554</v>
      </c>
      <c r="G784">
        <v>299</v>
      </c>
      <c r="H784" s="13">
        <v>46055</v>
      </c>
      <c r="I784" s="8" t="str">
        <f t="shared" si="25"/>
        <v>lB-A-G-D-A-lD|Support</v>
      </c>
    </row>
    <row r="785" spans="1:9" x14ac:dyDescent="0.25">
      <c r="A785" t="s">
        <v>517</v>
      </c>
      <c r="B785" t="s">
        <v>21</v>
      </c>
      <c r="C785">
        <f t="shared" si="24"/>
        <v>34</v>
      </c>
      <c r="D785" cm="1">
        <f t="array" ref="D785">_xlfn.IFS(C785&lt;=50,7+10*(C785-1),C785&lt;=110,507+25*(C785-51),C785&lt;=170,2007+50*(C785-111),C785&lt;=250,5007+50*(C785-171))</f>
        <v>337</v>
      </c>
      <c r="E785" t="str" cm="1">
        <f t="array" ref="E785">IF(D785="","",_xlfn.IFS(D785&lt;=500,"Top_500",D785&lt;=2000,"501_2000",D785&lt;=5000,"2001_5000",D785&lt;=10000,"5001_10000"))</f>
        <v>Top_500</v>
      </c>
      <c r="F785">
        <v>15028</v>
      </c>
      <c r="G785">
        <v>249</v>
      </c>
      <c r="H785" s="13">
        <v>46055</v>
      </c>
      <c r="I785" s="8" t="str">
        <f t="shared" si="25"/>
        <v>超威蓝猫Tom|Support</v>
      </c>
    </row>
    <row r="786" spans="1:9" x14ac:dyDescent="0.25">
      <c r="A786" s="90" t="s">
        <v>518</v>
      </c>
      <c r="B786" t="s">
        <v>21</v>
      </c>
      <c r="C786">
        <f t="shared" si="24"/>
        <v>35</v>
      </c>
      <c r="D786" cm="1">
        <f t="array" ref="D786">_xlfn.IFS(C786&lt;=50,7+10*(C786-1),C786&lt;=110,507+25*(C786-51),C786&lt;=170,2007+50*(C786-111),C786&lt;=250,5007+50*(C786-171))</f>
        <v>347</v>
      </c>
      <c r="E786" t="str" cm="1">
        <f t="array" ref="E786">IF(D786="","",_xlfn.IFS(D786&lt;=500,"Top_500",D786&lt;=2000,"501_2000",D786&lt;=5000,"2001_5000",D786&lt;=10000,"5001_10000"))</f>
        <v>Top_500</v>
      </c>
      <c r="F786">
        <v>13393</v>
      </c>
      <c r="G786">
        <v>246</v>
      </c>
      <c r="H786" s="13">
        <v>46055</v>
      </c>
      <c r="I786" s="8" t="str">
        <f t="shared" si="25"/>
        <v>-VCOR-Akagami|Support</v>
      </c>
    </row>
    <row r="787" spans="1:9" x14ac:dyDescent="0.25">
      <c r="A787" t="s">
        <v>519</v>
      </c>
      <c r="B787" t="s">
        <v>21</v>
      </c>
      <c r="C787">
        <f t="shared" si="24"/>
        <v>36</v>
      </c>
      <c r="D787" cm="1">
        <f t="array" ref="D787">_xlfn.IFS(C787&lt;=50,7+10*(C787-1),C787&lt;=110,507+25*(C787-51),C787&lt;=170,2007+50*(C787-111),C787&lt;=250,5007+50*(C787-171))</f>
        <v>357</v>
      </c>
      <c r="E787" t="str" cm="1">
        <f t="array" ref="E787">IF(D787="","",_xlfn.IFS(D787&lt;=500,"Top_500",D787&lt;=2000,"501_2000",D787&lt;=5000,"2001_5000",D787&lt;=10000,"5001_10000"))</f>
        <v>Top_500</v>
      </c>
      <c r="F787">
        <v>13402</v>
      </c>
      <c r="G787">
        <v>316</v>
      </c>
      <c r="H787" s="13">
        <v>46055</v>
      </c>
      <c r="I787" s="8" t="str">
        <f t="shared" si="25"/>
        <v>ego9__|Support</v>
      </c>
    </row>
    <row r="788" spans="1:9" x14ac:dyDescent="0.25">
      <c r="A788" t="s">
        <v>520</v>
      </c>
      <c r="B788" t="s">
        <v>21</v>
      </c>
      <c r="C788">
        <f t="shared" si="24"/>
        <v>37</v>
      </c>
      <c r="D788" cm="1">
        <f t="array" ref="D788">_xlfn.IFS(C788&lt;=50,7+10*(C788-1),C788&lt;=110,507+25*(C788-51),C788&lt;=170,2007+50*(C788-111),C788&lt;=250,5007+50*(C788-171))</f>
        <v>367</v>
      </c>
      <c r="E788" t="str" cm="1">
        <f t="array" ref="E788">IF(D788="","",_xlfn.IFS(D788&lt;=500,"Top_500",D788&lt;=2000,"501_2000",D788&lt;=5000,"2001_5000",D788&lt;=10000,"5001_10000"))</f>
        <v>Top_500</v>
      </c>
      <c r="F788">
        <v>13233</v>
      </c>
      <c r="G788">
        <v>340</v>
      </c>
      <c r="H788" s="13">
        <v>46055</v>
      </c>
      <c r="I788" s="8" t="str">
        <f t="shared" si="25"/>
        <v>Man_of_SteeI_93|Support</v>
      </c>
    </row>
    <row r="789" spans="1:9" x14ac:dyDescent="0.25">
      <c r="A789" t="s">
        <v>521</v>
      </c>
      <c r="B789" t="s">
        <v>21</v>
      </c>
      <c r="C789">
        <f t="shared" si="24"/>
        <v>38</v>
      </c>
      <c r="D789" cm="1">
        <f t="array" ref="D789">_xlfn.IFS(C789&lt;=50,7+10*(C789-1),C789&lt;=110,507+25*(C789-51),C789&lt;=170,2007+50*(C789-111),C789&lt;=250,5007+50*(C789-171))</f>
        <v>377</v>
      </c>
      <c r="E789" t="str" cm="1">
        <f t="array" ref="E789">IF(D789="","",_xlfn.IFS(D789&lt;=500,"Top_500",D789&lt;=2000,"501_2000",D789&lt;=5000,"2001_5000",D789&lt;=10000,"5001_10000"))</f>
        <v>Top_500</v>
      </c>
      <c r="F789">
        <v>14833</v>
      </c>
      <c r="G789">
        <v>174</v>
      </c>
      <c r="H789" s="13">
        <v>46055</v>
      </c>
      <c r="I789" s="8" t="str">
        <f t="shared" si="25"/>
        <v>invincibleKORE|Support</v>
      </c>
    </row>
    <row r="790" spans="1:9" x14ac:dyDescent="0.25">
      <c r="A790" t="s">
        <v>522</v>
      </c>
      <c r="B790" t="s">
        <v>21</v>
      </c>
      <c r="C790">
        <f t="shared" si="24"/>
        <v>39</v>
      </c>
      <c r="D790" cm="1">
        <f t="array" ref="D790">_xlfn.IFS(C790&lt;=50,7+10*(C790-1),C790&lt;=110,507+25*(C790-51),C790&lt;=170,2007+50*(C790-111),C790&lt;=250,5007+50*(C790-171))</f>
        <v>387</v>
      </c>
      <c r="E790" t="str" cm="1">
        <f t="array" ref="E790">IF(D790="","",_xlfn.IFS(D790&lt;=500,"Top_500",D790&lt;=2000,"501_2000",D790&lt;=5000,"2001_5000",D790&lt;=10000,"5001_10000"))</f>
        <v>Top_500</v>
      </c>
      <c r="F790">
        <v>13091</v>
      </c>
      <c r="G790">
        <v>334</v>
      </c>
      <c r="H790" s="13">
        <v>46055</v>
      </c>
      <c r="I790" s="8" t="str">
        <f t="shared" si="25"/>
        <v>NinjaDark34|Support</v>
      </c>
    </row>
    <row r="791" spans="1:9" x14ac:dyDescent="0.25">
      <c r="A791" t="s">
        <v>523</v>
      </c>
      <c r="B791" t="s">
        <v>21</v>
      </c>
      <c r="C791">
        <f t="shared" si="24"/>
        <v>40</v>
      </c>
      <c r="D791" cm="1">
        <f t="array" ref="D791">_xlfn.IFS(C791&lt;=50,7+10*(C791-1),C791&lt;=110,507+25*(C791-51),C791&lt;=170,2007+50*(C791-111),C791&lt;=250,5007+50*(C791-171))</f>
        <v>397</v>
      </c>
      <c r="E791" t="str" cm="1">
        <f t="array" ref="E791">IF(D791="","",_xlfn.IFS(D791&lt;=500,"Top_500",D791&lt;=2000,"501_2000",D791&lt;=5000,"2001_5000",D791&lt;=10000,"5001_10000"))</f>
        <v>Top_500</v>
      </c>
      <c r="F791">
        <v>13076</v>
      </c>
      <c r="G791">
        <v>150</v>
      </c>
      <c r="H791" s="13">
        <v>46055</v>
      </c>
      <c r="I791" s="8" t="str">
        <f t="shared" si="25"/>
        <v>FinsWishes|Support</v>
      </c>
    </row>
    <row r="792" spans="1:9" x14ac:dyDescent="0.25">
      <c r="A792" t="s">
        <v>524</v>
      </c>
      <c r="B792" t="s">
        <v>21</v>
      </c>
      <c r="C792">
        <f t="shared" si="24"/>
        <v>41</v>
      </c>
      <c r="D792" cm="1">
        <f t="array" ref="D792">_xlfn.IFS(C792&lt;=50,7+10*(C792-1),C792&lt;=110,507+25*(C792-51),C792&lt;=170,2007+50*(C792-111),C792&lt;=250,5007+50*(C792-171))</f>
        <v>407</v>
      </c>
      <c r="E792" t="str" cm="1">
        <f t="array" ref="E792">IF(D792="","",_xlfn.IFS(D792&lt;=500,"Top_500",D792&lt;=2000,"501_2000",D792&lt;=5000,"2001_5000",D792&lt;=10000,"5001_10000"))</f>
        <v>Top_500</v>
      </c>
      <c r="F792">
        <v>13041</v>
      </c>
      <c r="G792">
        <v>464</v>
      </c>
      <c r="H792" s="13">
        <v>46055</v>
      </c>
      <c r="I792" s="8" t="str">
        <f t="shared" si="25"/>
        <v>SaltyMtDew77|Support</v>
      </c>
    </row>
    <row r="793" spans="1:9" x14ac:dyDescent="0.25">
      <c r="A793" t="s">
        <v>525</v>
      </c>
      <c r="B793" t="s">
        <v>21</v>
      </c>
      <c r="C793">
        <f t="shared" si="24"/>
        <v>42</v>
      </c>
      <c r="D793" cm="1">
        <f t="array" ref="D793">_xlfn.IFS(C793&lt;=50,7+10*(C793-1),C793&lt;=110,507+25*(C793-51),C793&lt;=170,2007+50*(C793-111),C793&lt;=250,5007+50*(C793-171))</f>
        <v>417</v>
      </c>
      <c r="E793" t="str" cm="1">
        <f t="array" ref="E793">IF(D793="","",_xlfn.IFS(D793&lt;=500,"Top_500",D793&lt;=2000,"501_2000",D793&lt;=5000,"2001_5000",D793&lt;=10000,"5001_10000"))</f>
        <v>Top_500</v>
      </c>
      <c r="F793">
        <v>13082</v>
      </c>
      <c r="G793">
        <v>222</v>
      </c>
      <c r="H793" s="13">
        <v>46055</v>
      </c>
      <c r="I793" s="8" t="str">
        <f t="shared" si="25"/>
        <v>AG3NTHauser|Support</v>
      </c>
    </row>
    <row r="794" spans="1:9" x14ac:dyDescent="0.25">
      <c r="A794" t="s">
        <v>526</v>
      </c>
      <c r="B794" t="s">
        <v>21</v>
      </c>
      <c r="C794">
        <f t="shared" si="24"/>
        <v>43</v>
      </c>
      <c r="D794" cm="1">
        <f t="array" ref="D794">_xlfn.IFS(C794&lt;=50,7+10*(C794-1),C794&lt;=110,507+25*(C794-51),C794&lt;=170,2007+50*(C794-111),C794&lt;=250,5007+50*(C794-171))</f>
        <v>427</v>
      </c>
      <c r="E794" t="str" cm="1">
        <f t="array" ref="E794">IF(D794="","",_xlfn.IFS(D794&lt;=500,"Top_500",D794&lt;=2000,"501_2000",D794&lt;=5000,"2001_5000",D794&lt;=10000,"5001_10000"))</f>
        <v>Top_500</v>
      </c>
      <c r="F794">
        <v>12911</v>
      </c>
      <c r="G794">
        <v>301</v>
      </c>
      <c r="H794" s="13">
        <v>46055</v>
      </c>
      <c r="I794" s="8" t="str">
        <f t="shared" si="25"/>
        <v>YUZURU|Support</v>
      </c>
    </row>
    <row r="795" spans="1:9" x14ac:dyDescent="0.25">
      <c r="A795" t="s">
        <v>527</v>
      </c>
      <c r="B795" t="s">
        <v>21</v>
      </c>
      <c r="C795">
        <f t="shared" si="24"/>
        <v>44</v>
      </c>
      <c r="D795" cm="1">
        <f t="array" ref="D795">_xlfn.IFS(C795&lt;=50,7+10*(C795-1),C795&lt;=110,507+25*(C795-51),C795&lt;=170,2007+50*(C795-111),C795&lt;=250,5007+50*(C795-171))</f>
        <v>437</v>
      </c>
      <c r="E795" t="str" cm="1">
        <f t="array" ref="E795">IF(D795="","",_xlfn.IFS(D795&lt;=500,"Top_500",D795&lt;=2000,"501_2000",D795&lt;=5000,"2001_5000",D795&lt;=10000,"5001_10000"))</f>
        <v>Top_500</v>
      </c>
      <c r="F795">
        <v>12875</v>
      </c>
      <c r="G795">
        <v>581</v>
      </c>
      <c r="H795" s="13">
        <v>46055</v>
      </c>
      <c r="I795" s="8" t="str">
        <f t="shared" si="25"/>
        <v>sasquatchseesu|Support</v>
      </c>
    </row>
    <row r="796" spans="1:9" x14ac:dyDescent="0.25">
      <c r="A796" t="s">
        <v>528</v>
      </c>
      <c r="B796" t="s">
        <v>21</v>
      </c>
      <c r="C796">
        <f t="shared" si="24"/>
        <v>45</v>
      </c>
      <c r="D796" cm="1">
        <f t="array" ref="D796">_xlfn.IFS(C796&lt;=50,7+10*(C796-1),C796&lt;=110,507+25*(C796-51),C796&lt;=170,2007+50*(C796-111),C796&lt;=250,5007+50*(C796-171))</f>
        <v>447</v>
      </c>
      <c r="E796" t="str" cm="1">
        <f t="array" ref="E796">IF(D796="","",_xlfn.IFS(D796&lt;=500,"Top_500",D796&lt;=2000,"501_2000",D796&lt;=5000,"2001_5000",D796&lt;=10000,"5001_10000"))</f>
        <v>Top_500</v>
      </c>
      <c r="F796">
        <v>12791</v>
      </c>
      <c r="G796">
        <v>416</v>
      </c>
      <c r="H796" s="13">
        <v>46055</v>
      </c>
      <c r="I796" s="8" t="str">
        <f t="shared" si="25"/>
        <v>Unreal_Insanity|Support</v>
      </c>
    </row>
    <row r="797" spans="1:9" x14ac:dyDescent="0.25">
      <c r="A797" t="s">
        <v>529</v>
      </c>
      <c r="B797" t="s">
        <v>21</v>
      </c>
      <c r="C797">
        <f t="shared" si="24"/>
        <v>46</v>
      </c>
      <c r="D797" cm="1">
        <f t="array" ref="D797">_xlfn.IFS(C797&lt;=50,7+10*(C797-1),C797&lt;=110,507+25*(C797-51),C797&lt;=170,2007+50*(C797-111),C797&lt;=250,5007+50*(C797-171))</f>
        <v>457</v>
      </c>
      <c r="E797" t="str" cm="1">
        <f t="array" ref="E797">IF(D797="","",_xlfn.IFS(D797&lt;=500,"Top_500",D797&lt;=2000,"501_2000",D797&lt;=5000,"2001_5000",D797&lt;=10000,"5001_10000"))</f>
        <v>Top_500</v>
      </c>
      <c r="F797">
        <v>12742</v>
      </c>
      <c r="G797">
        <v>249</v>
      </c>
      <c r="H797" s="13">
        <v>46055</v>
      </c>
      <c r="I797" s="8" t="str">
        <f t="shared" si="25"/>
        <v>danix1999x|Support</v>
      </c>
    </row>
    <row r="798" spans="1:9" x14ac:dyDescent="0.25">
      <c r="A798" t="s">
        <v>530</v>
      </c>
      <c r="B798" t="s">
        <v>21</v>
      </c>
      <c r="C798">
        <f t="shared" si="24"/>
        <v>47</v>
      </c>
      <c r="D798" cm="1">
        <f t="array" ref="D798">_xlfn.IFS(C798&lt;=50,7+10*(C798-1),C798&lt;=110,507+25*(C798-51),C798&lt;=170,2007+50*(C798-111),C798&lt;=250,5007+50*(C798-171))</f>
        <v>467</v>
      </c>
      <c r="E798" t="str" cm="1">
        <f t="array" ref="E798">IF(D798="","",_xlfn.IFS(D798&lt;=500,"Top_500",D798&lt;=2000,"501_2000",D798&lt;=5000,"2001_5000",D798&lt;=10000,"5001_10000"))</f>
        <v>Top_500</v>
      </c>
      <c r="F798">
        <v>12717</v>
      </c>
      <c r="G798">
        <v>253</v>
      </c>
      <c r="H798" s="13">
        <v>46055</v>
      </c>
      <c r="I798" s="8" t="str">
        <f t="shared" si="25"/>
        <v>SMALLS1984XB|Support</v>
      </c>
    </row>
    <row r="799" spans="1:9" x14ac:dyDescent="0.25">
      <c r="A799" t="s">
        <v>531</v>
      </c>
      <c r="B799" t="s">
        <v>21</v>
      </c>
      <c r="C799">
        <f t="shared" si="24"/>
        <v>48</v>
      </c>
      <c r="D799" cm="1">
        <f t="array" ref="D799">_xlfn.IFS(C799&lt;=50,7+10*(C799-1),C799&lt;=110,507+25*(C799-51),C799&lt;=170,2007+50*(C799-111),C799&lt;=250,5007+50*(C799-171))</f>
        <v>477</v>
      </c>
      <c r="E799" t="str" cm="1">
        <f t="array" ref="E799">IF(D799="","",_xlfn.IFS(D799&lt;=500,"Top_500",D799&lt;=2000,"501_2000",D799&lt;=5000,"2001_5000",D799&lt;=10000,"5001_10000"))</f>
        <v>Top_500</v>
      </c>
      <c r="F799">
        <v>12651</v>
      </c>
      <c r="G799">
        <v>325</v>
      </c>
      <c r="H799" s="13">
        <v>46055</v>
      </c>
      <c r="I799" s="8" t="str">
        <f t="shared" si="25"/>
        <v>IKISUGIA1M|Support</v>
      </c>
    </row>
    <row r="800" spans="1:9" x14ac:dyDescent="0.25">
      <c r="A800" t="s">
        <v>532</v>
      </c>
      <c r="B800" t="s">
        <v>21</v>
      </c>
      <c r="C800">
        <f t="shared" si="24"/>
        <v>49</v>
      </c>
      <c r="D800" cm="1">
        <f t="array" ref="D800">_xlfn.IFS(C800&lt;=50,7+10*(C800-1),C800&lt;=110,507+25*(C800-51),C800&lt;=170,2007+50*(C800-111),C800&lt;=250,5007+50*(C800-171))</f>
        <v>487</v>
      </c>
      <c r="E800" t="str" cm="1">
        <f t="array" ref="E800">IF(D800="","",_xlfn.IFS(D800&lt;=500,"Top_500",D800&lt;=2000,"501_2000",D800&lt;=5000,"2001_5000",D800&lt;=10000,"5001_10000"))</f>
        <v>Top_500</v>
      </c>
      <c r="F800">
        <v>12565</v>
      </c>
      <c r="G800">
        <v>183</v>
      </c>
      <c r="H800" s="13">
        <v>46055</v>
      </c>
      <c r="I800" s="8" t="str">
        <f t="shared" si="25"/>
        <v>BeEatinU7533|Support</v>
      </c>
    </row>
    <row r="801" spans="1:9" x14ac:dyDescent="0.25">
      <c r="A801" t="s">
        <v>533</v>
      </c>
      <c r="B801" t="s">
        <v>21</v>
      </c>
      <c r="C801">
        <f t="shared" si="24"/>
        <v>50</v>
      </c>
      <c r="D801" cm="1">
        <f t="array" ref="D801">_xlfn.IFS(C801&lt;=50,7+10*(C801-1),C801&lt;=110,507+25*(C801-51),C801&lt;=170,2007+50*(C801-111),C801&lt;=250,5007+50*(C801-171))</f>
        <v>497</v>
      </c>
      <c r="E801" t="str" cm="1">
        <f t="array" ref="E801">IF(D801="","",_xlfn.IFS(D801&lt;=500,"Top_500",D801&lt;=2000,"501_2000",D801&lt;=5000,"2001_5000",D801&lt;=10000,"5001_10000"))</f>
        <v>Top_500</v>
      </c>
      <c r="F801">
        <v>13455</v>
      </c>
      <c r="G801">
        <v>161</v>
      </c>
      <c r="H801" s="13">
        <v>46055</v>
      </c>
      <c r="I801" s="8" t="str">
        <f t="shared" si="25"/>
        <v>Ayye1985|Support</v>
      </c>
    </row>
    <row r="802" spans="1:9" x14ac:dyDescent="0.25">
      <c r="A802" t="s">
        <v>534</v>
      </c>
      <c r="B802" t="s">
        <v>21</v>
      </c>
      <c r="C802">
        <f t="shared" si="24"/>
        <v>51</v>
      </c>
      <c r="D802" cm="1">
        <f t="array" ref="D802">_xlfn.IFS(C802&lt;=50,7+10*(C802-1),C802&lt;=110,507+25*(C802-51),C802&lt;=170,2007+50*(C802-111),C802&lt;=250,5007+50*(C802-171))</f>
        <v>507</v>
      </c>
      <c r="E802" t="str" cm="1">
        <f t="array" ref="E802">IF(D802="","",_xlfn.IFS(D802&lt;=500,"Top_500",D802&lt;=2000,"501_2000",D802&lt;=5000,"2001_5000",D802&lt;=10000,"5001_10000"))</f>
        <v>501_2000</v>
      </c>
      <c r="F802">
        <v>13501</v>
      </c>
      <c r="G802">
        <v>276</v>
      </c>
      <c r="H802" s="13">
        <v>46056</v>
      </c>
      <c r="I802" s="8" t="str">
        <f t="shared" si="25"/>
        <v>Mbalmer|Support</v>
      </c>
    </row>
    <row r="803" spans="1:9" x14ac:dyDescent="0.25">
      <c r="A803" t="s">
        <v>535</v>
      </c>
      <c r="B803" t="s">
        <v>21</v>
      </c>
      <c r="C803">
        <f t="shared" si="24"/>
        <v>52</v>
      </c>
      <c r="D803" cm="1">
        <f t="array" ref="D803">_xlfn.IFS(C803&lt;=50,7+10*(C803-1),C803&lt;=110,507+25*(C803-51),C803&lt;=170,2007+50*(C803-111),C803&lt;=250,5007+50*(C803-171))</f>
        <v>532</v>
      </c>
      <c r="E803" t="str" cm="1">
        <f t="array" ref="E803">IF(D803="","",_xlfn.IFS(D803&lt;=500,"Top_500",D803&lt;=2000,"501_2000",D803&lt;=5000,"2001_5000",D803&lt;=10000,"5001_10000"))</f>
        <v>501_2000</v>
      </c>
      <c r="F803">
        <v>12349</v>
      </c>
      <c r="G803">
        <v>225</v>
      </c>
      <c r="H803" s="13">
        <v>46056</v>
      </c>
      <c r="I803" s="8" t="str">
        <f t="shared" si="25"/>
        <v>BabyFatherYC|Support</v>
      </c>
    </row>
    <row r="804" spans="1:9" x14ac:dyDescent="0.25">
      <c r="A804" t="s">
        <v>536</v>
      </c>
      <c r="B804" t="s">
        <v>21</v>
      </c>
      <c r="C804">
        <f t="shared" si="24"/>
        <v>53</v>
      </c>
      <c r="D804" cm="1">
        <f t="array" ref="D804">_xlfn.IFS(C804&lt;=50,7+10*(C804-1),C804&lt;=110,507+25*(C804-51),C804&lt;=170,2007+50*(C804-111),C804&lt;=250,5007+50*(C804-171))</f>
        <v>557</v>
      </c>
      <c r="E804" t="str" cm="1">
        <f t="array" ref="E804">IF(D804="","",_xlfn.IFS(D804&lt;=500,"Top_500",D804&lt;=2000,"501_2000",D804&lt;=5000,"2001_5000",D804&lt;=10000,"5001_10000"))</f>
        <v>501_2000</v>
      </c>
      <c r="F804">
        <v>12286</v>
      </c>
      <c r="G804">
        <v>346</v>
      </c>
      <c r="H804" s="13">
        <v>46056</v>
      </c>
      <c r="I804" s="8" t="str">
        <f t="shared" si="25"/>
        <v>Twofastforum8|Support</v>
      </c>
    </row>
    <row r="805" spans="1:9" x14ac:dyDescent="0.25">
      <c r="A805" t="s">
        <v>537</v>
      </c>
      <c r="B805" t="s">
        <v>21</v>
      </c>
      <c r="C805">
        <f t="shared" si="24"/>
        <v>54</v>
      </c>
      <c r="D805" cm="1">
        <f t="array" ref="D805">_xlfn.IFS(C805&lt;=50,7+10*(C805-1),C805&lt;=110,507+25*(C805-51),C805&lt;=170,2007+50*(C805-111),C805&lt;=250,5007+50*(C805-171))</f>
        <v>582</v>
      </c>
      <c r="E805" t="str" cm="1">
        <f t="array" ref="E805">IF(D805="","",_xlfn.IFS(D805&lt;=500,"Top_500",D805&lt;=2000,"501_2000",D805&lt;=5000,"2001_5000",D805&lt;=10000,"5001_10000"))</f>
        <v>501_2000</v>
      </c>
      <c r="F805">
        <v>12377</v>
      </c>
      <c r="G805">
        <v>205</v>
      </c>
      <c r="H805" s="13">
        <v>46056</v>
      </c>
      <c r="I805" s="8" t="str">
        <f t="shared" si="25"/>
        <v>esojguy|Support</v>
      </c>
    </row>
    <row r="806" spans="1:9" x14ac:dyDescent="0.25">
      <c r="A806" t="s">
        <v>538</v>
      </c>
      <c r="B806" t="s">
        <v>21</v>
      </c>
      <c r="C806">
        <f t="shared" si="24"/>
        <v>55</v>
      </c>
      <c r="D806" cm="1">
        <f t="array" ref="D806">_xlfn.IFS(C806&lt;=50,7+10*(C806-1),C806&lt;=110,507+25*(C806-51),C806&lt;=170,2007+50*(C806-111),C806&lt;=250,5007+50*(C806-171))</f>
        <v>607</v>
      </c>
      <c r="E806" t="str" cm="1">
        <f t="array" ref="E806">IF(D806="","",_xlfn.IFS(D806&lt;=500,"Top_500",D806&lt;=2000,"501_2000",D806&lt;=5000,"2001_5000",D806&lt;=10000,"5001_10000"))</f>
        <v>501_2000</v>
      </c>
      <c r="F806">
        <v>12015</v>
      </c>
      <c r="G806">
        <v>216</v>
      </c>
      <c r="H806" s="13">
        <v>46056</v>
      </c>
      <c r="I806" s="8" t="str">
        <f t="shared" si="25"/>
        <v>ITyCE|Support</v>
      </c>
    </row>
    <row r="807" spans="1:9" x14ac:dyDescent="0.25">
      <c r="A807" t="s">
        <v>539</v>
      </c>
      <c r="B807" t="s">
        <v>21</v>
      </c>
      <c r="C807">
        <f t="shared" si="24"/>
        <v>56</v>
      </c>
      <c r="D807" cm="1">
        <f t="array" ref="D807">_xlfn.IFS(C807&lt;=50,7+10*(C807-1),C807&lt;=110,507+25*(C807-51),C807&lt;=170,2007+50*(C807-111),C807&lt;=250,5007+50*(C807-171))</f>
        <v>632</v>
      </c>
      <c r="E807" t="str" cm="1">
        <f t="array" ref="E807">IF(D807="","",_xlfn.IFS(D807&lt;=500,"Top_500",D807&lt;=2000,"501_2000",D807&lt;=5000,"2001_5000",D807&lt;=10000,"5001_10000"))</f>
        <v>501_2000</v>
      </c>
      <c r="F807">
        <v>11868</v>
      </c>
      <c r="G807">
        <v>244</v>
      </c>
      <c r="H807" s="13">
        <v>46056</v>
      </c>
      <c r="I807" s="8" t="str">
        <f t="shared" si="25"/>
        <v>Nardong Putik|Support</v>
      </c>
    </row>
    <row r="808" spans="1:9" x14ac:dyDescent="0.25">
      <c r="A808" t="s">
        <v>540</v>
      </c>
      <c r="B808" t="s">
        <v>21</v>
      </c>
      <c r="C808">
        <f t="shared" si="24"/>
        <v>57</v>
      </c>
      <c r="D808" cm="1">
        <f t="array" ref="D808">_xlfn.IFS(C808&lt;=50,7+10*(C808-1),C808&lt;=110,507+25*(C808-51),C808&lt;=170,2007+50*(C808-111),C808&lt;=250,5007+50*(C808-171))</f>
        <v>657</v>
      </c>
      <c r="E808" t="str" cm="1">
        <f t="array" ref="E808">IF(D808="","",_xlfn.IFS(D808&lt;=500,"Top_500",D808&lt;=2000,"501_2000",D808&lt;=5000,"2001_5000",D808&lt;=10000,"5001_10000"))</f>
        <v>501_2000</v>
      </c>
      <c r="F808">
        <v>11754</v>
      </c>
      <c r="G808">
        <v>232</v>
      </c>
      <c r="H808" s="13">
        <v>46056</v>
      </c>
      <c r="I808" s="8" t="str">
        <f t="shared" si="25"/>
        <v>xDLoadingx-|Support</v>
      </c>
    </row>
    <row r="809" spans="1:9" x14ac:dyDescent="0.25">
      <c r="A809" t="s">
        <v>541</v>
      </c>
      <c r="B809" t="s">
        <v>21</v>
      </c>
      <c r="C809">
        <f t="shared" si="24"/>
        <v>58</v>
      </c>
      <c r="D809" cm="1">
        <f t="array" ref="D809">_xlfn.IFS(C809&lt;=50,7+10*(C809-1),C809&lt;=110,507+25*(C809-51),C809&lt;=170,2007+50*(C809-111),C809&lt;=250,5007+50*(C809-171))</f>
        <v>682</v>
      </c>
      <c r="E809" t="str" cm="1">
        <f t="array" ref="E809">IF(D809="","",_xlfn.IFS(D809&lt;=500,"Top_500",D809&lt;=2000,"501_2000",D809&lt;=5000,"2001_5000",D809&lt;=10000,"5001_10000"))</f>
        <v>501_2000</v>
      </c>
      <c r="F809">
        <v>11647</v>
      </c>
      <c r="G809">
        <v>354</v>
      </c>
      <c r="H809" s="13">
        <v>46056</v>
      </c>
      <c r="I809" s="8" t="str">
        <f t="shared" si="25"/>
        <v>OnE-N-OnLy-GREEN|Support</v>
      </c>
    </row>
    <row r="810" spans="1:9" x14ac:dyDescent="0.25">
      <c r="A810" t="s">
        <v>542</v>
      </c>
      <c r="B810" t="s">
        <v>21</v>
      </c>
      <c r="C810">
        <f t="shared" si="24"/>
        <v>59</v>
      </c>
      <c r="D810" cm="1">
        <f t="array" ref="D810">_xlfn.IFS(C810&lt;=50,7+10*(C810-1),C810&lt;=110,507+25*(C810-51),C810&lt;=170,2007+50*(C810-111),C810&lt;=250,5007+50*(C810-171))</f>
        <v>707</v>
      </c>
      <c r="E810" t="str" cm="1">
        <f t="array" ref="E810">IF(D810="","",_xlfn.IFS(D810&lt;=500,"Top_500",D810&lt;=2000,"501_2000",D810&lt;=5000,"2001_5000",D810&lt;=10000,"5001_10000"))</f>
        <v>501_2000</v>
      </c>
      <c r="F810">
        <v>11561</v>
      </c>
      <c r="G810">
        <v>206</v>
      </c>
      <c r="H810" s="13">
        <v>46056</v>
      </c>
      <c r="I810" s="8" t="str">
        <f t="shared" si="25"/>
        <v>macdo12|Support</v>
      </c>
    </row>
    <row r="811" spans="1:9" x14ac:dyDescent="0.25">
      <c r="A811" t="s">
        <v>543</v>
      </c>
      <c r="B811" t="s">
        <v>21</v>
      </c>
      <c r="C811">
        <f t="shared" si="24"/>
        <v>60</v>
      </c>
      <c r="D811" cm="1">
        <f t="array" ref="D811">_xlfn.IFS(C811&lt;=50,7+10*(C811-1),C811&lt;=110,507+25*(C811-51),C811&lt;=170,2007+50*(C811-111),C811&lt;=250,5007+50*(C811-171))</f>
        <v>732</v>
      </c>
      <c r="E811" t="str" cm="1">
        <f t="array" ref="E811">IF(D811="","",_xlfn.IFS(D811&lt;=500,"Top_500",D811&lt;=2000,"501_2000",D811&lt;=5000,"2001_5000",D811&lt;=10000,"5001_10000"))</f>
        <v>501_2000</v>
      </c>
      <c r="F811">
        <v>11417</v>
      </c>
      <c r="G811">
        <v>409</v>
      </c>
      <c r="H811" s="13">
        <v>46056</v>
      </c>
      <c r="I811" s="8" t="str">
        <f t="shared" si="25"/>
        <v>VII-PHASZR|Support</v>
      </c>
    </row>
    <row r="812" spans="1:9" x14ac:dyDescent="0.25">
      <c r="A812" t="s">
        <v>544</v>
      </c>
      <c r="B812" t="s">
        <v>21</v>
      </c>
      <c r="C812">
        <f t="shared" si="24"/>
        <v>61</v>
      </c>
      <c r="D812" cm="1">
        <f t="array" ref="D812">_xlfn.IFS(C812&lt;=50,7+10*(C812-1),C812&lt;=110,507+25*(C812-51),C812&lt;=170,2007+50*(C812-111),C812&lt;=250,5007+50*(C812-171))</f>
        <v>757</v>
      </c>
      <c r="E812" t="str" cm="1">
        <f t="array" ref="E812">IF(D812="","",_xlfn.IFS(D812&lt;=500,"Top_500",D812&lt;=2000,"501_2000",D812&lt;=5000,"2001_5000",D812&lt;=10000,"5001_10000"))</f>
        <v>501_2000</v>
      </c>
      <c r="F812">
        <v>11440</v>
      </c>
      <c r="G812">
        <v>138</v>
      </c>
      <c r="H812" s="13">
        <v>46056</v>
      </c>
      <c r="I812" s="8" t="str">
        <f t="shared" si="25"/>
        <v>Tuffmiester|Support</v>
      </c>
    </row>
    <row r="813" spans="1:9" x14ac:dyDescent="0.25">
      <c r="A813" t="s">
        <v>545</v>
      </c>
      <c r="B813" t="s">
        <v>21</v>
      </c>
      <c r="C813">
        <f t="shared" si="24"/>
        <v>62</v>
      </c>
      <c r="D813" cm="1">
        <f t="array" ref="D813">_xlfn.IFS(C813&lt;=50,7+10*(C813-1),C813&lt;=110,507+25*(C813-51),C813&lt;=170,2007+50*(C813-111),C813&lt;=250,5007+50*(C813-171))</f>
        <v>782</v>
      </c>
      <c r="E813" t="str" cm="1">
        <f t="array" ref="E813">IF(D813="","",_xlfn.IFS(D813&lt;=500,"Top_500",D813&lt;=2000,"501_2000",D813&lt;=5000,"2001_5000",D813&lt;=10000,"5001_10000"))</f>
        <v>501_2000</v>
      </c>
      <c r="F813">
        <v>11934</v>
      </c>
      <c r="G813">
        <v>159</v>
      </c>
      <c r="H813" s="13">
        <v>46056</v>
      </c>
      <c r="I813" s="8" t="str">
        <f t="shared" si="25"/>
        <v>I ain't gonna die today|Support</v>
      </c>
    </row>
    <row r="814" spans="1:9" x14ac:dyDescent="0.25">
      <c r="A814" t="s">
        <v>546</v>
      </c>
      <c r="B814" t="s">
        <v>21</v>
      </c>
      <c r="C814">
        <f t="shared" si="24"/>
        <v>63</v>
      </c>
      <c r="D814" cm="1">
        <f t="array" ref="D814">_xlfn.IFS(C814&lt;=50,7+10*(C814-1),C814&lt;=110,507+25*(C814-51),C814&lt;=170,2007+50*(C814-111),C814&lt;=250,5007+50*(C814-171))</f>
        <v>807</v>
      </c>
      <c r="E814" t="str" cm="1">
        <f t="array" ref="E814">IF(D814="","",_xlfn.IFS(D814&lt;=500,"Top_500",D814&lt;=2000,"501_2000",D814&lt;=5000,"2001_5000",D814&lt;=10000,"5001_10000"))</f>
        <v>501_2000</v>
      </c>
      <c r="F814">
        <v>11138</v>
      </c>
      <c r="G814">
        <v>450</v>
      </c>
      <c r="H814" s="13">
        <v>46056</v>
      </c>
      <c r="I814" s="8" t="str">
        <f t="shared" si="25"/>
        <v>oHuey-|Support</v>
      </c>
    </row>
    <row r="815" spans="1:9" x14ac:dyDescent="0.25">
      <c r="A815" t="s">
        <v>547</v>
      </c>
      <c r="B815" t="s">
        <v>21</v>
      </c>
      <c r="C815">
        <f t="shared" si="24"/>
        <v>64</v>
      </c>
      <c r="D815" cm="1">
        <f t="array" ref="D815">_xlfn.IFS(C815&lt;=50,7+10*(C815-1),C815&lt;=110,507+25*(C815-51),C815&lt;=170,2007+50*(C815-111),C815&lt;=250,5007+50*(C815-171))</f>
        <v>832</v>
      </c>
      <c r="E815" t="str" cm="1">
        <f t="array" ref="E815">IF(D815="","",_xlfn.IFS(D815&lt;=500,"Top_500",D815&lt;=2000,"501_2000",D815&lt;=5000,"2001_5000",D815&lt;=10000,"5001_10000"))</f>
        <v>501_2000</v>
      </c>
      <c r="F815">
        <v>11249</v>
      </c>
      <c r="G815">
        <v>289</v>
      </c>
      <c r="H815" s="13">
        <v>46056</v>
      </c>
      <c r="I815" s="8" t="str">
        <f t="shared" si="25"/>
        <v>PesoKNG|Support</v>
      </c>
    </row>
    <row r="816" spans="1:9" x14ac:dyDescent="0.25">
      <c r="A816" t="s">
        <v>548</v>
      </c>
      <c r="B816" t="s">
        <v>21</v>
      </c>
      <c r="C816">
        <f t="shared" si="24"/>
        <v>65</v>
      </c>
      <c r="D816" cm="1">
        <f t="array" ref="D816">_xlfn.IFS(C816&lt;=50,7+10*(C816-1),C816&lt;=110,507+25*(C816-51),C816&lt;=170,2007+50*(C816-111),C816&lt;=250,5007+50*(C816-171))</f>
        <v>857</v>
      </c>
      <c r="E816" t="str" cm="1">
        <f t="array" ref="E816">IF(D816="","",_xlfn.IFS(D816&lt;=500,"Top_500",D816&lt;=2000,"501_2000",D816&lt;=5000,"2001_5000",D816&lt;=10000,"5001_10000"))</f>
        <v>501_2000</v>
      </c>
      <c r="F816">
        <v>11078</v>
      </c>
      <c r="G816">
        <v>203</v>
      </c>
      <c r="H816" s="13">
        <v>46056</v>
      </c>
      <c r="I816" s="8" t="str">
        <f t="shared" si="25"/>
        <v>etozhechase|Support</v>
      </c>
    </row>
    <row r="817" spans="1:9" x14ac:dyDescent="0.25">
      <c r="A817" t="s">
        <v>549</v>
      </c>
      <c r="B817" t="s">
        <v>21</v>
      </c>
      <c r="C817">
        <f t="shared" si="24"/>
        <v>66</v>
      </c>
      <c r="D817" cm="1">
        <f t="array" ref="D817">_xlfn.IFS(C817&lt;=50,7+10*(C817-1),C817&lt;=110,507+25*(C817-51),C817&lt;=170,2007+50*(C817-111),C817&lt;=250,5007+50*(C817-171))</f>
        <v>882</v>
      </c>
      <c r="E817" t="str" cm="1">
        <f t="array" ref="E817">IF(D817="","",_xlfn.IFS(D817&lt;=500,"Top_500",D817&lt;=2000,"501_2000",D817&lt;=5000,"2001_5000",D817&lt;=10000,"5001_10000"))</f>
        <v>501_2000</v>
      </c>
      <c r="F817">
        <v>10904</v>
      </c>
      <c r="G817">
        <v>296</v>
      </c>
      <c r="H817" s="13">
        <v>46056</v>
      </c>
      <c r="I817" s="8" t="str">
        <f t="shared" si="25"/>
        <v>Buchanan008|Support</v>
      </c>
    </row>
    <row r="818" spans="1:9" x14ac:dyDescent="0.25">
      <c r="A818" t="s">
        <v>550</v>
      </c>
      <c r="B818" t="s">
        <v>21</v>
      </c>
      <c r="C818">
        <f t="shared" si="24"/>
        <v>67</v>
      </c>
      <c r="D818" cm="1">
        <f t="array" ref="D818">_xlfn.IFS(C818&lt;=50,7+10*(C818-1),C818&lt;=110,507+25*(C818-51),C818&lt;=170,2007+50*(C818-111),C818&lt;=250,5007+50*(C818-171))</f>
        <v>907</v>
      </c>
      <c r="E818" t="str" cm="1">
        <f t="array" ref="E818">IF(D818="","",_xlfn.IFS(D818&lt;=500,"Top_500",D818&lt;=2000,"501_2000",D818&lt;=5000,"2001_5000",D818&lt;=10000,"5001_10000"))</f>
        <v>501_2000</v>
      </c>
      <c r="F818">
        <v>10876</v>
      </c>
      <c r="G818">
        <v>366</v>
      </c>
      <c r="H818" s="13">
        <v>46056</v>
      </c>
      <c r="I818" s="8" t="str">
        <f t="shared" si="25"/>
        <v>I-FriTuly-I|Support</v>
      </c>
    </row>
    <row r="819" spans="1:9" x14ac:dyDescent="0.25">
      <c r="A819" t="s">
        <v>551</v>
      </c>
      <c r="B819" t="s">
        <v>21</v>
      </c>
      <c r="C819">
        <f t="shared" si="24"/>
        <v>68</v>
      </c>
      <c r="D819" cm="1">
        <f t="array" ref="D819">_xlfn.IFS(C819&lt;=50,7+10*(C819-1),C819&lt;=110,507+25*(C819-51),C819&lt;=170,2007+50*(C819-111),C819&lt;=250,5007+50*(C819-171))</f>
        <v>932</v>
      </c>
      <c r="E819" t="str" cm="1">
        <f t="array" ref="E819">IF(D819="","",_xlfn.IFS(D819&lt;=500,"Top_500",D819&lt;=2000,"501_2000",D819&lt;=5000,"2001_5000",D819&lt;=10000,"5001_10000"))</f>
        <v>501_2000</v>
      </c>
      <c r="F819">
        <v>10750</v>
      </c>
      <c r="G819">
        <v>372</v>
      </c>
      <c r="H819" s="13">
        <v>46056</v>
      </c>
      <c r="I819" s="8" t="str">
        <f t="shared" si="25"/>
        <v>A_S_H_L_E_Y__13|Support</v>
      </c>
    </row>
    <row r="820" spans="1:9" x14ac:dyDescent="0.25">
      <c r="A820" t="s">
        <v>552</v>
      </c>
      <c r="B820" t="s">
        <v>21</v>
      </c>
      <c r="C820">
        <f t="shared" si="24"/>
        <v>69</v>
      </c>
      <c r="D820" cm="1">
        <f t="array" ref="D820">_xlfn.IFS(C820&lt;=50,7+10*(C820-1),C820&lt;=110,507+25*(C820-51),C820&lt;=170,2007+50*(C820-111),C820&lt;=250,5007+50*(C820-171))</f>
        <v>957</v>
      </c>
      <c r="E820" t="str" cm="1">
        <f t="array" ref="E820">IF(D820="","",_xlfn.IFS(D820&lt;=500,"Top_500",D820&lt;=2000,"501_2000",D820&lt;=5000,"2001_5000",D820&lt;=10000,"5001_10000"))</f>
        <v>501_2000</v>
      </c>
      <c r="F820">
        <v>10698</v>
      </c>
      <c r="G820">
        <v>213</v>
      </c>
      <c r="H820" s="13">
        <v>46056</v>
      </c>
      <c r="I820" s="8" t="str">
        <f t="shared" si="25"/>
        <v>AlpiMiami19|Support</v>
      </c>
    </row>
    <row r="821" spans="1:9" x14ac:dyDescent="0.25">
      <c r="A821" t="s">
        <v>553</v>
      </c>
      <c r="B821" t="s">
        <v>21</v>
      </c>
      <c r="C821">
        <f t="shared" si="24"/>
        <v>70</v>
      </c>
      <c r="D821" cm="1">
        <f t="array" ref="D821">_xlfn.IFS(C821&lt;=50,7+10*(C821-1),C821&lt;=110,507+25*(C821-51),C821&lt;=170,2007+50*(C821-111),C821&lt;=250,5007+50*(C821-171))</f>
        <v>982</v>
      </c>
      <c r="E821" t="str" cm="1">
        <f t="array" ref="E821">IF(D821="","",_xlfn.IFS(D821&lt;=500,"Top_500",D821&lt;=2000,"501_2000",D821&lt;=5000,"2001_5000",D821&lt;=10000,"5001_10000"))</f>
        <v>501_2000</v>
      </c>
      <c r="F821">
        <v>11197</v>
      </c>
      <c r="G821">
        <v>269</v>
      </c>
      <c r="H821" s="13">
        <v>46056</v>
      </c>
      <c r="I821" s="8" t="str">
        <f t="shared" si="25"/>
        <v>xMirkax|Support</v>
      </c>
    </row>
    <row r="822" spans="1:9" x14ac:dyDescent="0.25">
      <c r="A822" t="s">
        <v>554</v>
      </c>
      <c r="B822" t="s">
        <v>21</v>
      </c>
      <c r="C822">
        <f t="shared" si="24"/>
        <v>71</v>
      </c>
      <c r="D822" cm="1">
        <f t="array" ref="D822">_xlfn.IFS(C822&lt;=50,7+10*(C822-1),C822&lt;=110,507+25*(C822-51),C822&lt;=170,2007+50*(C822-111),C822&lt;=250,5007+50*(C822-171))</f>
        <v>1007</v>
      </c>
      <c r="E822" t="str" cm="1">
        <f t="array" ref="E822">IF(D822="","",_xlfn.IFS(D822&lt;=500,"Top_500",D822&lt;=2000,"501_2000",D822&lt;=5000,"2001_5000",D822&lt;=10000,"5001_10000"))</f>
        <v>501_2000</v>
      </c>
      <c r="F822">
        <v>10567</v>
      </c>
      <c r="G822">
        <v>305</v>
      </c>
      <c r="H822" s="13">
        <v>46056</v>
      </c>
      <c r="I822" s="8" t="str">
        <f t="shared" si="25"/>
        <v>reme!|Support</v>
      </c>
    </row>
    <row r="823" spans="1:9" x14ac:dyDescent="0.25">
      <c r="A823" t="s">
        <v>555</v>
      </c>
      <c r="B823" t="s">
        <v>21</v>
      </c>
      <c r="C823">
        <f t="shared" si="24"/>
        <v>72</v>
      </c>
      <c r="D823" cm="1">
        <f t="array" ref="D823">_xlfn.IFS(C823&lt;=50,7+10*(C823-1),C823&lt;=110,507+25*(C823-51),C823&lt;=170,2007+50*(C823-111),C823&lt;=250,5007+50*(C823-171))</f>
        <v>1032</v>
      </c>
      <c r="E823" t="str" cm="1">
        <f t="array" ref="E823">IF(D823="","",_xlfn.IFS(D823&lt;=500,"Top_500",D823&lt;=2000,"501_2000",D823&lt;=5000,"2001_5000",D823&lt;=10000,"5001_10000"))</f>
        <v>501_2000</v>
      </c>
      <c r="F823">
        <v>10505</v>
      </c>
      <c r="G823">
        <v>255</v>
      </c>
      <c r="H823" s="13">
        <v>46056</v>
      </c>
      <c r="I823" s="8" t="str">
        <f t="shared" si="25"/>
        <v>Negima-2896|Support</v>
      </c>
    </row>
    <row r="824" spans="1:9" x14ac:dyDescent="0.25">
      <c r="A824" t="s">
        <v>556</v>
      </c>
      <c r="B824" t="s">
        <v>21</v>
      </c>
      <c r="C824">
        <f t="shared" si="24"/>
        <v>73</v>
      </c>
      <c r="D824" cm="1">
        <f t="array" ref="D824">_xlfn.IFS(C824&lt;=50,7+10*(C824-1),C824&lt;=110,507+25*(C824-51),C824&lt;=170,2007+50*(C824-111),C824&lt;=250,5007+50*(C824-171))</f>
        <v>1057</v>
      </c>
      <c r="E824" t="str" cm="1">
        <f t="array" ref="E824">IF(D824="","",_xlfn.IFS(D824&lt;=500,"Top_500",D824&lt;=2000,"501_2000",D824&lt;=5000,"2001_5000",D824&lt;=10000,"5001_10000"))</f>
        <v>501_2000</v>
      </c>
      <c r="F824">
        <v>10491</v>
      </c>
      <c r="G824">
        <v>162</v>
      </c>
      <c r="H824" s="13">
        <v>46056</v>
      </c>
      <c r="I824" s="8" t="str">
        <f t="shared" si="25"/>
        <v>XXXnqXXX|Support</v>
      </c>
    </row>
    <row r="825" spans="1:9" x14ac:dyDescent="0.25">
      <c r="A825" t="s">
        <v>557</v>
      </c>
      <c r="B825" t="s">
        <v>21</v>
      </c>
      <c r="C825">
        <f t="shared" si="24"/>
        <v>74</v>
      </c>
      <c r="D825" cm="1">
        <f t="array" ref="D825">_xlfn.IFS(C825&lt;=50,7+10*(C825-1),C825&lt;=110,507+25*(C825-51),C825&lt;=170,2007+50*(C825-111),C825&lt;=250,5007+50*(C825-171))</f>
        <v>1082</v>
      </c>
      <c r="E825" t="str" cm="1">
        <f t="array" ref="E825">IF(D825="","",_xlfn.IFS(D825&lt;=500,"Top_500",D825&lt;=2000,"501_2000",D825&lt;=5000,"2001_5000",D825&lt;=10000,"5001_10000"))</f>
        <v>501_2000</v>
      </c>
      <c r="F825">
        <v>10388</v>
      </c>
      <c r="G825">
        <v>156</v>
      </c>
      <c r="H825" s="13">
        <v>46056</v>
      </c>
      <c r="I825" s="8" t="str">
        <f t="shared" si="25"/>
        <v>HerrAutonom|Support</v>
      </c>
    </row>
    <row r="826" spans="1:9" x14ac:dyDescent="0.25">
      <c r="A826" t="s">
        <v>558</v>
      </c>
      <c r="B826" t="s">
        <v>21</v>
      </c>
      <c r="C826">
        <f t="shared" si="24"/>
        <v>75</v>
      </c>
      <c r="D826" cm="1">
        <f t="array" ref="D826">_xlfn.IFS(C826&lt;=50,7+10*(C826-1),C826&lt;=110,507+25*(C826-51),C826&lt;=170,2007+50*(C826-111),C826&lt;=250,5007+50*(C826-171))</f>
        <v>1107</v>
      </c>
      <c r="E826" t="str" cm="1">
        <f t="array" ref="E826">IF(D826="","",_xlfn.IFS(D826&lt;=500,"Top_500",D826&lt;=2000,"501_2000",D826&lt;=5000,"2001_5000",D826&lt;=10000,"5001_10000"))</f>
        <v>501_2000</v>
      </c>
      <c r="F826">
        <v>10631</v>
      </c>
      <c r="G826">
        <v>161</v>
      </c>
      <c r="H826" s="13">
        <v>46056</v>
      </c>
      <c r="I826" s="8" t="str">
        <f t="shared" si="25"/>
        <v>Enigmafication|Support</v>
      </c>
    </row>
    <row r="827" spans="1:9" x14ac:dyDescent="0.25">
      <c r="A827" t="s">
        <v>559</v>
      </c>
      <c r="B827" t="s">
        <v>21</v>
      </c>
      <c r="C827">
        <f t="shared" si="24"/>
        <v>76</v>
      </c>
      <c r="D827" cm="1">
        <f t="array" ref="D827">_xlfn.IFS(C827&lt;=50,7+10*(C827-1),C827&lt;=110,507+25*(C827-51),C827&lt;=170,2007+50*(C827-111),C827&lt;=250,5007+50*(C827-171))</f>
        <v>1132</v>
      </c>
      <c r="E827" t="str" cm="1">
        <f t="array" ref="E827">IF(D827="","",_xlfn.IFS(D827&lt;=500,"Top_500",D827&lt;=2000,"501_2000",D827&lt;=5000,"2001_5000",D827&lt;=10000,"5001_10000"))</f>
        <v>501_2000</v>
      </c>
      <c r="F827">
        <v>10223</v>
      </c>
      <c r="G827">
        <v>176</v>
      </c>
      <c r="H827" s="13">
        <v>46056</v>
      </c>
      <c r="I827" s="8" t="str">
        <f t="shared" si="25"/>
        <v>baLzaN|Support</v>
      </c>
    </row>
    <row r="828" spans="1:9" x14ac:dyDescent="0.25">
      <c r="A828" t="s">
        <v>560</v>
      </c>
      <c r="B828" t="s">
        <v>21</v>
      </c>
      <c r="C828">
        <f t="shared" si="24"/>
        <v>77</v>
      </c>
      <c r="D828" cm="1">
        <f t="array" ref="D828">_xlfn.IFS(C828&lt;=50,7+10*(C828-1),C828&lt;=110,507+25*(C828-51),C828&lt;=170,2007+50*(C828-111),C828&lt;=250,5007+50*(C828-171))</f>
        <v>1157</v>
      </c>
      <c r="E828" t="str" cm="1">
        <f t="array" ref="E828">IF(D828="","",_xlfn.IFS(D828&lt;=500,"Top_500",D828&lt;=2000,"501_2000",D828&lt;=5000,"2001_5000",D828&lt;=10000,"5001_10000"))</f>
        <v>501_2000</v>
      </c>
      <c r="F828">
        <v>10268</v>
      </c>
      <c r="G828">
        <v>141</v>
      </c>
      <c r="H828" s="13">
        <v>46056</v>
      </c>
      <c r="I828" s="8" t="str">
        <f t="shared" si="25"/>
        <v>Markkkkkkk|Support</v>
      </c>
    </row>
    <row r="829" spans="1:9" x14ac:dyDescent="0.25">
      <c r="A829" t="s">
        <v>561</v>
      </c>
      <c r="B829" t="s">
        <v>21</v>
      </c>
      <c r="C829">
        <f t="shared" si="24"/>
        <v>78</v>
      </c>
      <c r="D829" cm="1">
        <f t="array" ref="D829">_xlfn.IFS(C829&lt;=50,7+10*(C829-1),C829&lt;=110,507+25*(C829-51),C829&lt;=170,2007+50*(C829-111),C829&lt;=250,5007+50*(C829-171))</f>
        <v>1182</v>
      </c>
      <c r="E829" t="str" cm="1">
        <f t="array" ref="E829">IF(D829="","",_xlfn.IFS(D829&lt;=500,"Top_500",D829&lt;=2000,"501_2000",D829&lt;=5000,"2001_5000",D829&lt;=10000,"5001_10000"))</f>
        <v>501_2000</v>
      </c>
      <c r="F829">
        <v>11235</v>
      </c>
      <c r="G829">
        <v>263</v>
      </c>
      <c r="H829" s="13">
        <v>46056</v>
      </c>
      <c r="I829" s="8" t="str">
        <f t="shared" si="25"/>
        <v>ttvtntoftwie|Support</v>
      </c>
    </row>
    <row r="830" spans="1:9" x14ac:dyDescent="0.25">
      <c r="A830" t="s">
        <v>562</v>
      </c>
      <c r="B830" t="s">
        <v>21</v>
      </c>
      <c r="C830">
        <f t="shared" si="24"/>
        <v>79</v>
      </c>
      <c r="D830" cm="1">
        <f t="array" ref="D830">_xlfn.IFS(C830&lt;=50,7+10*(C830-1),C830&lt;=110,507+25*(C830-51),C830&lt;=170,2007+50*(C830-111),C830&lt;=250,5007+50*(C830-171))</f>
        <v>1207</v>
      </c>
      <c r="E830" t="str" cm="1">
        <f t="array" ref="E830">IF(D830="","",_xlfn.IFS(D830&lt;=500,"Top_500",D830&lt;=2000,"501_2000",D830&lt;=5000,"2001_5000",D830&lt;=10000,"5001_10000"))</f>
        <v>501_2000</v>
      </c>
      <c r="F830">
        <v>11864</v>
      </c>
      <c r="G830">
        <v>147</v>
      </c>
      <c r="H830" s="13">
        <v>46056</v>
      </c>
      <c r="I830" s="8" t="str">
        <f t="shared" si="25"/>
        <v>mazovenozo|Support</v>
      </c>
    </row>
    <row r="831" spans="1:9" x14ac:dyDescent="0.25">
      <c r="A831" t="s">
        <v>563</v>
      </c>
      <c r="B831" t="s">
        <v>21</v>
      </c>
      <c r="C831">
        <f t="shared" si="24"/>
        <v>80</v>
      </c>
      <c r="D831" cm="1">
        <f t="array" ref="D831">_xlfn.IFS(C831&lt;=50,7+10*(C831-1),C831&lt;=110,507+25*(C831-51),C831&lt;=170,2007+50*(C831-111),C831&lt;=250,5007+50*(C831-171))</f>
        <v>1232</v>
      </c>
      <c r="E831" t="str" cm="1">
        <f t="array" ref="E831">IF(D831="","",_xlfn.IFS(D831&lt;=500,"Top_500",D831&lt;=2000,"501_2000",D831&lt;=5000,"2001_5000",D831&lt;=10000,"5001_10000"))</f>
        <v>501_2000</v>
      </c>
      <c r="F831">
        <v>10006</v>
      </c>
      <c r="G831">
        <v>220</v>
      </c>
      <c r="H831" s="13">
        <v>46056</v>
      </c>
      <c r="I831" s="8" t="str">
        <f t="shared" si="25"/>
        <v>DaLaoJM_233|Support</v>
      </c>
    </row>
    <row r="832" spans="1:9" x14ac:dyDescent="0.25">
      <c r="A832" t="s">
        <v>564</v>
      </c>
      <c r="B832" t="s">
        <v>21</v>
      </c>
      <c r="C832">
        <f t="shared" si="24"/>
        <v>81</v>
      </c>
      <c r="D832" cm="1">
        <f t="array" ref="D832">_xlfn.IFS(C832&lt;=50,7+10*(C832-1),C832&lt;=110,507+25*(C832-51),C832&lt;=170,2007+50*(C832-111),C832&lt;=250,5007+50*(C832-171))</f>
        <v>1257</v>
      </c>
      <c r="E832" t="str" cm="1">
        <f t="array" ref="E832">IF(D832="","",_xlfn.IFS(D832&lt;=500,"Top_500",D832&lt;=2000,"501_2000",D832&lt;=5000,"2001_5000",D832&lt;=10000,"5001_10000"))</f>
        <v>501_2000</v>
      </c>
      <c r="F832">
        <v>9967</v>
      </c>
      <c r="G832">
        <v>226</v>
      </c>
      <c r="H832" s="13">
        <v>46056</v>
      </c>
      <c r="I832" s="8" t="str">
        <f t="shared" si="25"/>
        <v>Ptooey|Support</v>
      </c>
    </row>
    <row r="833" spans="1:9" x14ac:dyDescent="0.25">
      <c r="A833" t="s">
        <v>565</v>
      </c>
      <c r="B833" t="s">
        <v>21</v>
      </c>
      <c r="C833">
        <f t="shared" si="24"/>
        <v>82</v>
      </c>
      <c r="D833" cm="1">
        <f t="array" ref="D833">_xlfn.IFS(C833&lt;=50,7+10*(C833-1),C833&lt;=110,507+25*(C833-51),C833&lt;=170,2007+50*(C833-111),C833&lt;=250,5007+50*(C833-171))</f>
        <v>1282</v>
      </c>
      <c r="E833" t="str" cm="1">
        <f t="array" ref="E833">IF(D833="","",_xlfn.IFS(D833&lt;=500,"Top_500",D833&lt;=2000,"501_2000",D833&lt;=5000,"2001_5000",D833&lt;=10000,"5001_10000"))</f>
        <v>501_2000</v>
      </c>
      <c r="F833">
        <v>9928</v>
      </c>
      <c r="G833">
        <v>246</v>
      </c>
      <c r="H833" s="13">
        <v>46056</v>
      </c>
      <c r="I833" s="8" t="str">
        <f t="shared" si="25"/>
        <v>DarthR0b|Support</v>
      </c>
    </row>
    <row r="834" spans="1:9" x14ac:dyDescent="0.25">
      <c r="A834" t="s">
        <v>566</v>
      </c>
      <c r="B834" t="s">
        <v>21</v>
      </c>
      <c r="C834">
        <f t="shared" ref="C834:C897" si="26">IF(ROW()=2,1,IF(B834&lt;&gt;B833,1,C833+1))</f>
        <v>83</v>
      </c>
      <c r="D834" cm="1">
        <f t="array" ref="D834">_xlfn.IFS(C834&lt;=50,7+10*(C834-1),C834&lt;=110,507+25*(C834-51),C834&lt;=170,2007+50*(C834-111),C834&lt;=250,5007+50*(C834-171))</f>
        <v>1307</v>
      </c>
      <c r="E834" t="str" cm="1">
        <f t="array" ref="E834">IF(D834="","",_xlfn.IFS(D834&lt;=500,"Top_500",D834&lt;=2000,"501_2000",D834&lt;=5000,"2001_5000",D834&lt;=10000,"5001_10000"))</f>
        <v>501_2000</v>
      </c>
      <c r="F834">
        <v>12178</v>
      </c>
      <c r="G834">
        <v>257</v>
      </c>
      <c r="H834" s="13">
        <v>46056</v>
      </c>
      <c r="I834" s="8" t="str">
        <f t="shared" si="25"/>
        <v>public_enemy_sa|Support</v>
      </c>
    </row>
    <row r="835" spans="1:9" x14ac:dyDescent="0.25">
      <c r="A835" t="s">
        <v>567</v>
      </c>
      <c r="B835" t="s">
        <v>21</v>
      </c>
      <c r="C835">
        <f t="shared" si="26"/>
        <v>84</v>
      </c>
      <c r="D835" cm="1">
        <f t="array" ref="D835">_xlfn.IFS(C835&lt;=50,7+10*(C835-1),C835&lt;=110,507+25*(C835-51),C835&lt;=170,2007+50*(C835-111),C835&lt;=250,5007+50*(C835-171))</f>
        <v>1332</v>
      </c>
      <c r="E835" t="str" cm="1">
        <f t="array" ref="E835">IF(D835="","",_xlfn.IFS(D835&lt;=500,"Top_500",D835&lt;=2000,"501_2000",D835&lt;=5000,"2001_5000",D835&lt;=10000,"5001_10000"))</f>
        <v>501_2000</v>
      </c>
      <c r="F835">
        <v>10076</v>
      </c>
      <c r="G835">
        <v>191</v>
      </c>
      <c r="H835" s="13">
        <v>46056</v>
      </c>
      <c r="I835" s="8" t="str">
        <f t="shared" ref="I835:I898" si="27">A835 &amp; "|" &amp; B835</f>
        <v>peanut17|Support</v>
      </c>
    </row>
    <row r="836" spans="1:9" x14ac:dyDescent="0.25">
      <c r="A836" t="s">
        <v>568</v>
      </c>
      <c r="B836" t="s">
        <v>21</v>
      </c>
      <c r="C836">
        <f t="shared" si="26"/>
        <v>85</v>
      </c>
      <c r="D836" cm="1">
        <f t="array" ref="D836">_xlfn.IFS(C836&lt;=50,7+10*(C836-1),C836&lt;=110,507+25*(C836-51),C836&lt;=170,2007+50*(C836-111),C836&lt;=250,5007+50*(C836-171))</f>
        <v>1357</v>
      </c>
      <c r="E836" t="str" cm="1">
        <f t="array" ref="E836">IF(D836="","",_xlfn.IFS(D836&lt;=500,"Top_500",D836&lt;=2000,"501_2000",D836&lt;=5000,"2001_5000",D836&lt;=10000,"5001_10000"))</f>
        <v>501_2000</v>
      </c>
      <c r="F836">
        <v>9835</v>
      </c>
      <c r="G836">
        <v>278</v>
      </c>
      <c r="H836" s="13">
        <v>46056</v>
      </c>
      <c r="I836" s="8" t="str">
        <f t="shared" si="27"/>
        <v>xKobra1|Support</v>
      </c>
    </row>
    <row r="837" spans="1:9" x14ac:dyDescent="0.25">
      <c r="A837" t="s">
        <v>569</v>
      </c>
      <c r="B837" t="s">
        <v>21</v>
      </c>
      <c r="C837">
        <f t="shared" si="26"/>
        <v>86</v>
      </c>
      <c r="D837" cm="1">
        <f t="array" ref="D837">_xlfn.IFS(C837&lt;=50,7+10*(C837-1),C837&lt;=110,507+25*(C837-51),C837&lt;=170,2007+50*(C837-111),C837&lt;=250,5007+50*(C837-171))</f>
        <v>1382</v>
      </c>
      <c r="E837" t="str" cm="1">
        <f t="array" ref="E837">IF(D837="","",_xlfn.IFS(D837&lt;=500,"Top_500",D837&lt;=2000,"501_2000",D837&lt;=5000,"2001_5000",D837&lt;=10000,"5001_10000"))</f>
        <v>501_2000</v>
      </c>
      <c r="F837">
        <v>10348</v>
      </c>
      <c r="G837">
        <v>302</v>
      </c>
      <c r="H837" s="13">
        <v>46056</v>
      </c>
      <c r="I837" s="8" t="str">
        <f t="shared" si="27"/>
        <v>BenRoberts24|Support</v>
      </c>
    </row>
    <row r="838" spans="1:9" x14ac:dyDescent="0.25">
      <c r="A838" t="s">
        <v>570</v>
      </c>
      <c r="B838" t="s">
        <v>21</v>
      </c>
      <c r="C838">
        <f t="shared" si="26"/>
        <v>87</v>
      </c>
      <c r="D838" cm="1">
        <f t="array" ref="D838">_xlfn.IFS(C838&lt;=50,7+10*(C838-1),C838&lt;=110,507+25*(C838-51),C838&lt;=170,2007+50*(C838-111),C838&lt;=250,5007+50*(C838-171))</f>
        <v>1407</v>
      </c>
      <c r="E838" t="str" cm="1">
        <f t="array" ref="E838">IF(D838="","",_xlfn.IFS(D838&lt;=500,"Top_500",D838&lt;=2000,"501_2000",D838&lt;=5000,"2001_5000",D838&lt;=10000,"5001_10000"))</f>
        <v>501_2000</v>
      </c>
      <c r="F838">
        <v>9981</v>
      </c>
      <c r="G838">
        <v>249</v>
      </c>
      <c r="H838" s="13">
        <v>46056</v>
      </c>
      <c r="I838" s="8" t="str">
        <f t="shared" si="27"/>
        <v>SmokeyPac|Support</v>
      </c>
    </row>
    <row r="839" spans="1:9" x14ac:dyDescent="0.25">
      <c r="A839" t="s">
        <v>571</v>
      </c>
      <c r="B839" t="s">
        <v>21</v>
      </c>
      <c r="C839">
        <f t="shared" si="26"/>
        <v>88</v>
      </c>
      <c r="D839" cm="1">
        <f t="array" ref="D839">_xlfn.IFS(C839&lt;=50,7+10*(C839-1),C839&lt;=110,507+25*(C839-51),C839&lt;=170,2007+50*(C839-111),C839&lt;=250,5007+50*(C839-171))</f>
        <v>1432</v>
      </c>
      <c r="E839" t="str" cm="1">
        <f t="array" ref="E839">IF(D839="","",_xlfn.IFS(D839&lt;=500,"Top_500",D839&lt;=2000,"501_2000",D839&lt;=5000,"2001_5000",D839&lt;=10000,"5001_10000"))</f>
        <v>501_2000</v>
      </c>
      <c r="F839">
        <v>9649</v>
      </c>
      <c r="G839">
        <v>320</v>
      </c>
      <c r="H839" s="13">
        <v>46056</v>
      </c>
      <c r="I839" s="8" t="str">
        <f t="shared" si="27"/>
        <v>Sceptos-Tamai|Support</v>
      </c>
    </row>
    <row r="840" spans="1:9" x14ac:dyDescent="0.25">
      <c r="A840" t="s">
        <v>572</v>
      </c>
      <c r="B840" t="s">
        <v>21</v>
      </c>
      <c r="C840">
        <f t="shared" si="26"/>
        <v>89</v>
      </c>
      <c r="D840" cm="1">
        <f t="array" ref="D840">_xlfn.IFS(C840&lt;=50,7+10*(C840-1),C840&lt;=110,507+25*(C840-51),C840&lt;=170,2007+50*(C840-111),C840&lt;=250,5007+50*(C840-171))</f>
        <v>1457</v>
      </c>
      <c r="E840" t="str" cm="1">
        <f t="array" ref="E840">IF(D840="","",_xlfn.IFS(D840&lt;=500,"Top_500",D840&lt;=2000,"501_2000",D840&lt;=5000,"2001_5000",D840&lt;=10000,"5001_10000"))</f>
        <v>501_2000</v>
      </c>
      <c r="F840">
        <v>9608</v>
      </c>
      <c r="G840">
        <v>207</v>
      </c>
      <c r="H840" s="13">
        <v>46056</v>
      </c>
      <c r="I840" s="8" t="str">
        <f t="shared" si="27"/>
        <v>NikitaTopStrelok|Support</v>
      </c>
    </row>
    <row r="841" spans="1:9" x14ac:dyDescent="0.25">
      <c r="A841" t="s">
        <v>573</v>
      </c>
      <c r="B841" t="s">
        <v>21</v>
      </c>
      <c r="C841">
        <f t="shared" si="26"/>
        <v>90</v>
      </c>
      <c r="D841" cm="1">
        <f t="array" ref="D841">_xlfn.IFS(C841&lt;=50,7+10*(C841-1),C841&lt;=110,507+25*(C841-51),C841&lt;=170,2007+50*(C841-111),C841&lt;=250,5007+50*(C841-171))</f>
        <v>1482</v>
      </c>
      <c r="E841" t="str" cm="1">
        <f t="array" ref="E841">IF(D841="","",_xlfn.IFS(D841&lt;=500,"Top_500",D841&lt;=2000,"501_2000",D841&lt;=5000,"2001_5000",D841&lt;=10000,"5001_10000"))</f>
        <v>501_2000</v>
      </c>
      <c r="F841">
        <v>10519</v>
      </c>
      <c r="G841">
        <v>288</v>
      </c>
      <c r="H841" s="13">
        <v>46056</v>
      </c>
      <c r="I841" s="8" t="str">
        <f t="shared" si="27"/>
        <v>LegendaryChampion|Support</v>
      </c>
    </row>
    <row r="842" spans="1:9" x14ac:dyDescent="0.25">
      <c r="A842" t="s">
        <v>574</v>
      </c>
      <c r="B842" t="s">
        <v>21</v>
      </c>
      <c r="C842">
        <f t="shared" si="26"/>
        <v>91</v>
      </c>
      <c r="D842" cm="1">
        <f t="array" ref="D842">_xlfn.IFS(C842&lt;=50,7+10*(C842-1),C842&lt;=110,507+25*(C842-51),C842&lt;=170,2007+50*(C842-111),C842&lt;=250,5007+50*(C842-171))</f>
        <v>1507</v>
      </c>
      <c r="E842" t="str" cm="1">
        <f t="array" ref="E842">IF(D842="","",_xlfn.IFS(D842&lt;=500,"Top_500",D842&lt;=2000,"501_2000",D842&lt;=5000,"2001_5000",D842&lt;=10000,"5001_10000"))</f>
        <v>501_2000</v>
      </c>
      <c r="F842">
        <v>9549</v>
      </c>
      <c r="G842">
        <v>127</v>
      </c>
      <c r="H842" s="13">
        <v>46056</v>
      </c>
      <c r="I842" s="8" t="str">
        <f t="shared" si="27"/>
        <v>THiRDEYEAiM|Support</v>
      </c>
    </row>
    <row r="843" spans="1:9" x14ac:dyDescent="0.25">
      <c r="A843" t="s">
        <v>575</v>
      </c>
      <c r="B843" t="s">
        <v>21</v>
      </c>
      <c r="C843">
        <f t="shared" si="26"/>
        <v>92</v>
      </c>
      <c r="D843" cm="1">
        <f t="array" ref="D843">_xlfn.IFS(C843&lt;=50,7+10*(C843-1),C843&lt;=110,507+25*(C843-51),C843&lt;=170,2007+50*(C843-111),C843&lt;=250,5007+50*(C843-171))</f>
        <v>1532</v>
      </c>
      <c r="E843" t="str" cm="1">
        <f t="array" ref="E843">IF(D843="","",_xlfn.IFS(D843&lt;=500,"Top_500",D843&lt;=2000,"501_2000",D843&lt;=5000,"2001_5000",D843&lt;=10000,"5001_10000"))</f>
        <v>501_2000</v>
      </c>
      <c r="F843">
        <v>9496</v>
      </c>
      <c r="G843">
        <v>137</v>
      </c>
      <c r="H843" s="13">
        <v>46056</v>
      </c>
      <c r="I843" s="8" t="str">
        <f t="shared" si="27"/>
        <v>trinity|Support</v>
      </c>
    </row>
    <row r="844" spans="1:9" x14ac:dyDescent="0.25">
      <c r="A844" t="s">
        <v>576</v>
      </c>
      <c r="B844" t="s">
        <v>21</v>
      </c>
      <c r="C844">
        <f t="shared" si="26"/>
        <v>93</v>
      </c>
      <c r="D844" cm="1">
        <f t="array" ref="D844">_xlfn.IFS(C844&lt;=50,7+10*(C844-1),C844&lt;=110,507+25*(C844-51),C844&lt;=170,2007+50*(C844-111),C844&lt;=250,5007+50*(C844-171))</f>
        <v>1557</v>
      </c>
      <c r="E844" t="str" cm="1">
        <f t="array" ref="E844">IF(D844="","",_xlfn.IFS(D844&lt;=500,"Top_500",D844&lt;=2000,"501_2000",D844&lt;=5000,"2001_5000",D844&lt;=10000,"5001_10000"))</f>
        <v>501_2000</v>
      </c>
      <c r="F844">
        <v>9453</v>
      </c>
      <c r="G844">
        <v>140</v>
      </c>
      <c r="H844" s="13">
        <v>46056</v>
      </c>
      <c r="I844" s="8" t="str">
        <f t="shared" si="27"/>
        <v>DieselChad|Support</v>
      </c>
    </row>
    <row r="845" spans="1:9" x14ac:dyDescent="0.25">
      <c r="A845" t="s">
        <v>577</v>
      </c>
      <c r="B845" t="s">
        <v>21</v>
      </c>
      <c r="C845">
        <f t="shared" si="26"/>
        <v>94</v>
      </c>
      <c r="D845" cm="1">
        <f t="array" ref="D845">_xlfn.IFS(C845&lt;=50,7+10*(C845-1),C845&lt;=110,507+25*(C845-51),C845&lt;=170,2007+50*(C845-111),C845&lt;=250,5007+50*(C845-171))</f>
        <v>1582</v>
      </c>
      <c r="E845" t="str" cm="1">
        <f t="array" ref="E845">IF(D845="","",_xlfn.IFS(D845&lt;=500,"Top_500",D845&lt;=2000,"501_2000",D845&lt;=5000,"2001_5000",D845&lt;=10000,"5001_10000"))</f>
        <v>501_2000</v>
      </c>
      <c r="F845">
        <v>12131</v>
      </c>
      <c r="G845">
        <v>216</v>
      </c>
      <c r="H845" s="13">
        <v>46056</v>
      </c>
      <c r="I845" s="8" t="str">
        <f t="shared" si="27"/>
        <v>偷屁眼儿|Support</v>
      </c>
    </row>
    <row r="846" spans="1:9" x14ac:dyDescent="0.25">
      <c r="A846" t="s">
        <v>578</v>
      </c>
      <c r="B846" t="s">
        <v>21</v>
      </c>
      <c r="C846">
        <f t="shared" si="26"/>
        <v>95</v>
      </c>
      <c r="D846" cm="1">
        <f t="array" ref="D846">_xlfn.IFS(C846&lt;=50,7+10*(C846-1),C846&lt;=110,507+25*(C846-51),C846&lt;=170,2007+50*(C846-111),C846&lt;=250,5007+50*(C846-171))</f>
        <v>1607</v>
      </c>
      <c r="E846" t="str" cm="1">
        <f t="array" ref="E846">IF(D846="","",_xlfn.IFS(D846&lt;=500,"Top_500",D846&lt;=2000,"501_2000",D846&lt;=5000,"2001_5000",D846&lt;=10000,"5001_10000"))</f>
        <v>501_2000</v>
      </c>
      <c r="F846">
        <v>9627</v>
      </c>
      <c r="G846">
        <v>150</v>
      </c>
      <c r="H846" s="13">
        <v>46056</v>
      </c>
      <c r="I846" s="8" t="str">
        <f t="shared" si="27"/>
        <v>x8_PRIMETlME_8x|Support</v>
      </c>
    </row>
    <row r="847" spans="1:9" x14ac:dyDescent="0.25">
      <c r="A847" t="s">
        <v>579</v>
      </c>
      <c r="B847" t="s">
        <v>21</v>
      </c>
      <c r="C847">
        <f t="shared" si="26"/>
        <v>96</v>
      </c>
      <c r="D847" cm="1">
        <f t="array" ref="D847">_xlfn.IFS(C847&lt;=50,7+10*(C847-1),C847&lt;=110,507+25*(C847-51),C847&lt;=170,2007+50*(C847-111),C847&lt;=250,5007+50*(C847-171))</f>
        <v>1632</v>
      </c>
      <c r="E847" t="str" cm="1">
        <f t="array" ref="E847">IF(D847="","",_xlfn.IFS(D847&lt;=500,"Top_500",D847&lt;=2000,"501_2000",D847&lt;=5000,"2001_5000",D847&lt;=10000,"5001_10000"))</f>
        <v>501_2000</v>
      </c>
      <c r="F847">
        <v>10350</v>
      </c>
      <c r="G847">
        <v>117</v>
      </c>
      <c r="H847" s="13">
        <v>46056</v>
      </c>
      <c r="I847" s="8" t="str">
        <f t="shared" si="27"/>
        <v>Pisu_RGB_Defib|Support</v>
      </c>
    </row>
    <row r="848" spans="1:9" x14ac:dyDescent="0.25">
      <c r="A848" t="s">
        <v>580</v>
      </c>
      <c r="B848" t="s">
        <v>21</v>
      </c>
      <c r="C848">
        <f t="shared" si="26"/>
        <v>97</v>
      </c>
      <c r="D848" cm="1">
        <f t="array" ref="D848">_xlfn.IFS(C848&lt;=50,7+10*(C848-1),C848&lt;=110,507+25*(C848-51),C848&lt;=170,2007+50*(C848-111),C848&lt;=250,5007+50*(C848-171))</f>
        <v>1657</v>
      </c>
      <c r="E848" t="str" cm="1">
        <f t="array" ref="E848">IF(D848="","",_xlfn.IFS(D848&lt;=500,"Top_500",D848&lt;=2000,"501_2000",D848&lt;=5000,"2001_5000",D848&lt;=10000,"5001_10000"))</f>
        <v>501_2000</v>
      </c>
      <c r="F848">
        <v>9436</v>
      </c>
      <c r="G848">
        <v>210</v>
      </c>
      <c r="H848" s="13">
        <v>46056</v>
      </c>
      <c r="I848" s="8" t="str">
        <f t="shared" si="27"/>
        <v>SKOWZER|Support</v>
      </c>
    </row>
    <row r="849" spans="1:9" x14ac:dyDescent="0.25">
      <c r="A849" t="s">
        <v>581</v>
      </c>
      <c r="B849" t="s">
        <v>21</v>
      </c>
      <c r="C849">
        <f t="shared" si="26"/>
        <v>98</v>
      </c>
      <c r="D849" cm="1">
        <f t="array" ref="D849">_xlfn.IFS(C849&lt;=50,7+10*(C849-1),C849&lt;=110,507+25*(C849-51),C849&lt;=170,2007+50*(C849-111),C849&lt;=250,5007+50*(C849-171))</f>
        <v>1682</v>
      </c>
      <c r="E849" t="str" cm="1">
        <f t="array" ref="E849">IF(D849="","",_xlfn.IFS(D849&lt;=500,"Top_500",D849&lt;=2000,"501_2000",D849&lt;=5000,"2001_5000",D849&lt;=10000,"5001_10000"))</f>
        <v>501_2000</v>
      </c>
      <c r="F849">
        <v>9704</v>
      </c>
      <c r="G849">
        <v>208</v>
      </c>
      <c r="H849" s="13">
        <v>46056</v>
      </c>
      <c r="I849" s="8" t="str">
        <f t="shared" si="27"/>
        <v>DasBomsom|Support</v>
      </c>
    </row>
    <row r="850" spans="1:9" x14ac:dyDescent="0.25">
      <c r="A850" t="s">
        <v>582</v>
      </c>
      <c r="B850" t="s">
        <v>21</v>
      </c>
      <c r="C850">
        <f t="shared" si="26"/>
        <v>99</v>
      </c>
      <c r="D850" cm="1">
        <f t="array" ref="D850">_xlfn.IFS(C850&lt;=50,7+10*(C850-1),C850&lt;=110,507+25*(C850-51),C850&lt;=170,2007+50*(C850-111),C850&lt;=250,5007+50*(C850-171))</f>
        <v>1707</v>
      </c>
      <c r="E850" t="str" cm="1">
        <f t="array" ref="E850">IF(D850="","",_xlfn.IFS(D850&lt;=500,"Top_500",D850&lt;=2000,"501_2000",D850&lt;=5000,"2001_5000",D850&lt;=10000,"5001_10000"))</f>
        <v>501_2000</v>
      </c>
      <c r="F850">
        <v>9234</v>
      </c>
      <c r="G850">
        <v>331</v>
      </c>
      <c r="H850" s="13">
        <v>46056</v>
      </c>
      <c r="I850" s="8" t="str">
        <f t="shared" si="27"/>
        <v>TheVAG4BOND|Support</v>
      </c>
    </row>
    <row r="851" spans="1:9" x14ac:dyDescent="0.25">
      <c r="A851" t="s">
        <v>583</v>
      </c>
      <c r="B851" t="s">
        <v>21</v>
      </c>
      <c r="C851">
        <f t="shared" si="26"/>
        <v>100</v>
      </c>
      <c r="D851" cm="1">
        <f t="array" ref="D851">_xlfn.IFS(C851&lt;=50,7+10*(C851-1),C851&lt;=110,507+25*(C851-51),C851&lt;=170,2007+50*(C851-111),C851&lt;=250,5007+50*(C851-171))</f>
        <v>1732</v>
      </c>
      <c r="E851" t="str" cm="1">
        <f t="array" ref="E851">IF(D851="","",_xlfn.IFS(D851&lt;=500,"Top_500",D851&lt;=2000,"501_2000",D851&lt;=5000,"2001_5000",D851&lt;=10000,"5001_10000"))</f>
        <v>501_2000</v>
      </c>
      <c r="F851">
        <v>9192</v>
      </c>
      <c r="G851">
        <v>154</v>
      </c>
      <c r="H851" s="13">
        <v>46056</v>
      </c>
      <c r="I851" s="8" t="str">
        <f t="shared" si="27"/>
        <v>sF-S1D656TTV|Support</v>
      </c>
    </row>
    <row r="852" spans="1:9" x14ac:dyDescent="0.25">
      <c r="B852" t="s">
        <v>21</v>
      </c>
      <c r="C852">
        <f t="shared" si="26"/>
        <v>101</v>
      </c>
      <c r="D852" cm="1">
        <f t="array" ref="D852">_xlfn.IFS(C852&lt;=50,7+10*(C852-1),C852&lt;=110,507+25*(C852-51),C852&lt;=170,2007+50*(C852-111),C852&lt;=250,5007+50*(C852-171))</f>
        <v>1757</v>
      </c>
      <c r="E852" t="str" cm="1">
        <f t="array" ref="E852">IF(D852="","",_xlfn.IFS(D852&lt;=500,"Top_500",D852&lt;=2000,"501_2000",D852&lt;=5000,"2001_5000",D852&lt;=10000,"5001_10000"))</f>
        <v>501_2000</v>
      </c>
      <c r="I852" s="8" t="str">
        <f t="shared" si="27"/>
        <v>|Support</v>
      </c>
    </row>
    <row r="853" spans="1:9" x14ac:dyDescent="0.25">
      <c r="B853" t="s">
        <v>21</v>
      </c>
      <c r="C853">
        <f t="shared" si="26"/>
        <v>102</v>
      </c>
      <c r="D853" cm="1">
        <f t="array" ref="D853">_xlfn.IFS(C853&lt;=50,7+10*(C853-1),C853&lt;=110,507+25*(C853-51),C853&lt;=170,2007+50*(C853-111),C853&lt;=250,5007+50*(C853-171))</f>
        <v>1782</v>
      </c>
      <c r="E853" t="str" cm="1">
        <f t="array" ref="E853">IF(D853="","",_xlfn.IFS(D853&lt;=500,"Top_500",D853&lt;=2000,"501_2000",D853&lt;=5000,"2001_5000",D853&lt;=10000,"5001_10000"))</f>
        <v>501_2000</v>
      </c>
      <c r="I853" s="8" t="str">
        <f t="shared" si="27"/>
        <v>|Support</v>
      </c>
    </row>
    <row r="854" spans="1:9" x14ac:dyDescent="0.25">
      <c r="B854" t="s">
        <v>21</v>
      </c>
      <c r="C854">
        <f t="shared" si="26"/>
        <v>103</v>
      </c>
      <c r="D854" cm="1">
        <f t="array" ref="D854">_xlfn.IFS(C854&lt;=50,7+10*(C854-1),C854&lt;=110,507+25*(C854-51),C854&lt;=170,2007+50*(C854-111),C854&lt;=250,5007+50*(C854-171))</f>
        <v>1807</v>
      </c>
      <c r="E854" t="str" cm="1">
        <f t="array" ref="E854">IF(D854="","",_xlfn.IFS(D854&lt;=500,"Top_500",D854&lt;=2000,"501_2000",D854&lt;=5000,"2001_5000",D854&lt;=10000,"5001_10000"))</f>
        <v>501_2000</v>
      </c>
      <c r="I854" s="8" t="str">
        <f t="shared" si="27"/>
        <v>|Support</v>
      </c>
    </row>
    <row r="855" spans="1:9" x14ac:dyDescent="0.25">
      <c r="B855" t="s">
        <v>21</v>
      </c>
      <c r="C855">
        <f t="shared" si="26"/>
        <v>104</v>
      </c>
      <c r="D855" cm="1">
        <f t="array" ref="D855">_xlfn.IFS(C855&lt;=50,7+10*(C855-1),C855&lt;=110,507+25*(C855-51),C855&lt;=170,2007+50*(C855-111),C855&lt;=250,5007+50*(C855-171))</f>
        <v>1832</v>
      </c>
      <c r="E855" t="str" cm="1">
        <f t="array" ref="E855">IF(D855="","",_xlfn.IFS(D855&lt;=500,"Top_500",D855&lt;=2000,"501_2000",D855&lt;=5000,"2001_5000",D855&lt;=10000,"5001_10000"))</f>
        <v>501_2000</v>
      </c>
      <c r="I855" s="8" t="str">
        <f t="shared" si="27"/>
        <v>|Support</v>
      </c>
    </row>
    <row r="856" spans="1:9" x14ac:dyDescent="0.25">
      <c r="B856" t="s">
        <v>21</v>
      </c>
      <c r="C856">
        <f t="shared" si="26"/>
        <v>105</v>
      </c>
      <c r="D856" cm="1">
        <f t="array" ref="D856">_xlfn.IFS(C856&lt;=50,7+10*(C856-1),C856&lt;=110,507+25*(C856-51),C856&lt;=170,2007+50*(C856-111),C856&lt;=250,5007+50*(C856-171))</f>
        <v>1857</v>
      </c>
      <c r="E856" t="str" cm="1">
        <f t="array" ref="E856">IF(D856="","",_xlfn.IFS(D856&lt;=500,"Top_500",D856&lt;=2000,"501_2000",D856&lt;=5000,"2001_5000",D856&lt;=10000,"5001_10000"))</f>
        <v>501_2000</v>
      </c>
      <c r="I856" s="8" t="str">
        <f t="shared" si="27"/>
        <v>|Support</v>
      </c>
    </row>
    <row r="857" spans="1:9" x14ac:dyDescent="0.25">
      <c r="B857" t="s">
        <v>21</v>
      </c>
      <c r="C857">
        <f t="shared" si="26"/>
        <v>106</v>
      </c>
      <c r="D857" cm="1">
        <f t="array" ref="D857">_xlfn.IFS(C857&lt;=50,7+10*(C857-1),C857&lt;=110,507+25*(C857-51),C857&lt;=170,2007+50*(C857-111),C857&lt;=250,5007+50*(C857-171))</f>
        <v>1882</v>
      </c>
      <c r="E857" t="str" cm="1">
        <f t="array" ref="E857">IF(D857="","",_xlfn.IFS(D857&lt;=500,"Top_500",D857&lt;=2000,"501_2000",D857&lt;=5000,"2001_5000",D857&lt;=10000,"5001_10000"))</f>
        <v>501_2000</v>
      </c>
      <c r="I857" s="8" t="str">
        <f t="shared" si="27"/>
        <v>|Support</v>
      </c>
    </row>
    <row r="858" spans="1:9" x14ac:dyDescent="0.25">
      <c r="B858" t="s">
        <v>21</v>
      </c>
      <c r="C858">
        <f t="shared" si="26"/>
        <v>107</v>
      </c>
      <c r="D858" cm="1">
        <f t="array" ref="D858">_xlfn.IFS(C858&lt;=50,7+10*(C858-1),C858&lt;=110,507+25*(C858-51),C858&lt;=170,2007+50*(C858-111),C858&lt;=250,5007+50*(C858-171))</f>
        <v>1907</v>
      </c>
      <c r="E858" t="str" cm="1">
        <f t="array" ref="E858">IF(D858="","",_xlfn.IFS(D858&lt;=500,"Top_500",D858&lt;=2000,"501_2000",D858&lt;=5000,"2001_5000",D858&lt;=10000,"5001_10000"))</f>
        <v>501_2000</v>
      </c>
      <c r="I858" s="8" t="str">
        <f t="shared" si="27"/>
        <v>|Support</v>
      </c>
    </row>
    <row r="859" spans="1:9" x14ac:dyDescent="0.25">
      <c r="B859" t="s">
        <v>21</v>
      </c>
      <c r="C859">
        <f t="shared" si="26"/>
        <v>108</v>
      </c>
      <c r="D859" cm="1">
        <f t="array" ref="D859">_xlfn.IFS(C859&lt;=50,7+10*(C859-1),C859&lt;=110,507+25*(C859-51),C859&lt;=170,2007+50*(C859-111),C859&lt;=250,5007+50*(C859-171))</f>
        <v>1932</v>
      </c>
      <c r="E859" t="str" cm="1">
        <f t="array" ref="E859">IF(D859="","",_xlfn.IFS(D859&lt;=500,"Top_500",D859&lt;=2000,"501_2000",D859&lt;=5000,"2001_5000",D859&lt;=10000,"5001_10000"))</f>
        <v>501_2000</v>
      </c>
      <c r="I859" s="8" t="str">
        <f t="shared" si="27"/>
        <v>|Support</v>
      </c>
    </row>
    <row r="860" spans="1:9" x14ac:dyDescent="0.25">
      <c r="B860" t="s">
        <v>21</v>
      </c>
      <c r="C860">
        <f t="shared" si="26"/>
        <v>109</v>
      </c>
      <c r="D860" cm="1">
        <f t="array" ref="D860">_xlfn.IFS(C860&lt;=50,7+10*(C860-1),C860&lt;=110,507+25*(C860-51),C860&lt;=170,2007+50*(C860-111),C860&lt;=250,5007+50*(C860-171))</f>
        <v>1957</v>
      </c>
      <c r="E860" t="str" cm="1">
        <f t="array" ref="E860">IF(D860="","",_xlfn.IFS(D860&lt;=500,"Top_500",D860&lt;=2000,"501_2000",D860&lt;=5000,"2001_5000",D860&lt;=10000,"5001_10000"))</f>
        <v>501_2000</v>
      </c>
      <c r="I860" s="8" t="str">
        <f t="shared" si="27"/>
        <v>|Support</v>
      </c>
    </row>
    <row r="861" spans="1:9" x14ac:dyDescent="0.25">
      <c r="B861" t="s">
        <v>21</v>
      </c>
      <c r="C861">
        <f t="shared" si="26"/>
        <v>110</v>
      </c>
      <c r="D861" cm="1">
        <f t="array" ref="D861">_xlfn.IFS(C861&lt;=50,7+10*(C861-1),C861&lt;=110,507+25*(C861-51),C861&lt;=170,2007+50*(C861-111),C861&lt;=250,5007+50*(C861-171))</f>
        <v>1982</v>
      </c>
      <c r="E861" t="str" cm="1">
        <f t="array" ref="E861">IF(D861="","",_xlfn.IFS(D861&lt;=500,"Top_500",D861&lt;=2000,"501_2000",D861&lt;=5000,"2001_5000",D861&lt;=10000,"5001_10000"))</f>
        <v>501_2000</v>
      </c>
      <c r="I861" s="8" t="str">
        <f t="shared" si="27"/>
        <v>|Support</v>
      </c>
    </row>
    <row r="862" spans="1:9" x14ac:dyDescent="0.25">
      <c r="B862" t="s">
        <v>21</v>
      </c>
      <c r="C862">
        <f t="shared" si="26"/>
        <v>111</v>
      </c>
      <c r="D862" cm="1">
        <f t="array" ref="D862">_xlfn.IFS(C862&lt;=50,7+10*(C862-1),C862&lt;=110,507+25*(C862-51),C862&lt;=170,2007+50*(C862-111),C862&lt;=250,5007+50*(C862-171))</f>
        <v>2007</v>
      </c>
      <c r="E862" t="str" cm="1">
        <f t="array" ref="E862">IF(D862="","",_xlfn.IFS(D862&lt;=500,"Top_500",D862&lt;=2000,"501_2000",D862&lt;=5000,"2001_5000",D862&lt;=10000,"5001_10000"))</f>
        <v>2001_5000</v>
      </c>
      <c r="I862" s="8" t="str">
        <f t="shared" si="27"/>
        <v>|Support</v>
      </c>
    </row>
    <row r="863" spans="1:9" x14ac:dyDescent="0.25">
      <c r="B863" t="s">
        <v>21</v>
      </c>
      <c r="C863">
        <f t="shared" si="26"/>
        <v>112</v>
      </c>
      <c r="D863" cm="1">
        <f t="array" ref="D863">_xlfn.IFS(C863&lt;=50,7+10*(C863-1),C863&lt;=110,507+25*(C863-51),C863&lt;=170,2007+50*(C863-111),C863&lt;=250,5007+50*(C863-171))</f>
        <v>2057</v>
      </c>
      <c r="E863" t="str" cm="1">
        <f t="array" ref="E863">IF(D863="","",_xlfn.IFS(D863&lt;=500,"Top_500",D863&lt;=2000,"501_2000",D863&lt;=5000,"2001_5000",D863&lt;=10000,"5001_10000"))</f>
        <v>2001_5000</v>
      </c>
      <c r="I863" s="8" t="str">
        <f t="shared" si="27"/>
        <v>|Support</v>
      </c>
    </row>
    <row r="864" spans="1:9" x14ac:dyDescent="0.25">
      <c r="B864" t="s">
        <v>21</v>
      </c>
      <c r="C864">
        <f t="shared" si="26"/>
        <v>113</v>
      </c>
      <c r="D864" cm="1">
        <f t="array" ref="D864">_xlfn.IFS(C864&lt;=50,7+10*(C864-1),C864&lt;=110,507+25*(C864-51),C864&lt;=170,2007+50*(C864-111),C864&lt;=250,5007+50*(C864-171))</f>
        <v>2107</v>
      </c>
      <c r="E864" t="str" cm="1">
        <f t="array" ref="E864">IF(D864="","",_xlfn.IFS(D864&lt;=500,"Top_500",D864&lt;=2000,"501_2000",D864&lt;=5000,"2001_5000",D864&lt;=10000,"5001_10000"))</f>
        <v>2001_5000</v>
      </c>
      <c r="I864" s="8" t="str">
        <f t="shared" si="27"/>
        <v>|Support</v>
      </c>
    </row>
    <row r="865" spans="2:9" x14ac:dyDescent="0.25">
      <c r="B865" t="s">
        <v>21</v>
      </c>
      <c r="C865">
        <f t="shared" si="26"/>
        <v>114</v>
      </c>
      <c r="D865" cm="1">
        <f t="array" ref="D865">_xlfn.IFS(C865&lt;=50,7+10*(C865-1),C865&lt;=110,507+25*(C865-51),C865&lt;=170,2007+50*(C865-111),C865&lt;=250,5007+50*(C865-171))</f>
        <v>2157</v>
      </c>
      <c r="E865" t="str" cm="1">
        <f t="array" ref="E865">IF(D865="","",_xlfn.IFS(D865&lt;=500,"Top_500",D865&lt;=2000,"501_2000",D865&lt;=5000,"2001_5000",D865&lt;=10000,"5001_10000"))</f>
        <v>2001_5000</v>
      </c>
      <c r="I865" s="8" t="str">
        <f t="shared" si="27"/>
        <v>|Support</v>
      </c>
    </row>
    <row r="866" spans="2:9" x14ac:dyDescent="0.25">
      <c r="B866" t="s">
        <v>21</v>
      </c>
      <c r="C866">
        <f t="shared" si="26"/>
        <v>115</v>
      </c>
      <c r="D866" cm="1">
        <f t="array" ref="D866">_xlfn.IFS(C866&lt;=50,7+10*(C866-1),C866&lt;=110,507+25*(C866-51),C866&lt;=170,2007+50*(C866-111),C866&lt;=250,5007+50*(C866-171))</f>
        <v>2207</v>
      </c>
      <c r="E866" t="str" cm="1">
        <f t="array" ref="E866">IF(D866="","",_xlfn.IFS(D866&lt;=500,"Top_500",D866&lt;=2000,"501_2000",D866&lt;=5000,"2001_5000",D866&lt;=10000,"5001_10000"))</f>
        <v>2001_5000</v>
      </c>
      <c r="I866" s="8" t="str">
        <f t="shared" si="27"/>
        <v>|Support</v>
      </c>
    </row>
    <row r="867" spans="2:9" x14ac:dyDescent="0.25">
      <c r="B867" t="s">
        <v>21</v>
      </c>
      <c r="C867">
        <f t="shared" si="26"/>
        <v>116</v>
      </c>
      <c r="D867" cm="1">
        <f t="array" ref="D867">_xlfn.IFS(C867&lt;=50,7+10*(C867-1),C867&lt;=110,507+25*(C867-51),C867&lt;=170,2007+50*(C867-111),C867&lt;=250,5007+50*(C867-171))</f>
        <v>2257</v>
      </c>
      <c r="E867" t="str" cm="1">
        <f t="array" ref="E867">IF(D867="","",_xlfn.IFS(D867&lt;=500,"Top_500",D867&lt;=2000,"501_2000",D867&lt;=5000,"2001_5000",D867&lt;=10000,"5001_10000"))</f>
        <v>2001_5000</v>
      </c>
      <c r="I867" s="8" t="str">
        <f t="shared" si="27"/>
        <v>|Support</v>
      </c>
    </row>
    <row r="868" spans="2:9" x14ac:dyDescent="0.25">
      <c r="B868" t="s">
        <v>21</v>
      </c>
      <c r="C868">
        <f t="shared" si="26"/>
        <v>117</v>
      </c>
      <c r="D868" cm="1">
        <f t="array" ref="D868">_xlfn.IFS(C868&lt;=50,7+10*(C868-1),C868&lt;=110,507+25*(C868-51),C868&lt;=170,2007+50*(C868-111),C868&lt;=250,5007+50*(C868-171))</f>
        <v>2307</v>
      </c>
      <c r="E868" t="str" cm="1">
        <f t="array" ref="E868">IF(D868="","",_xlfn.IFS(D868&lt;=500,"Top_500",D868&lt;=2000,"501_2000",D868&lt;=5000,"2001_5000",D868&lt;=10000,"5001_10000"))</f>
        <v>2001_5000</v>
      </c>
      <c r="I868" s="8" t="str">
        <f t="shared" si="27"/>
        <v>|Support</v>
      </c>
    </row>
    <row r="869" spans="2:9" x14ac:dyDescent="0.25">
      <c r="B869" t="s">
        <v>21</v>
      </c>
      <c r="C869">
        <f t="shared" si="26"/>
        <v>118</v>
      </c>
      <c r="D869" cm="1">
        <f t="array" ref="D869">_xlfn.IFS(C869&lt;=50,7+10*(C869-1),C869&lt;=110,507+25*(C869-51),C869&lt;=170,2007+50*(C869-111),C869&lt;=250,5007+50*(C869-171))</f>
        <v>2357</v>
      </c>
      <c r="E869" t="str" cm="1">
        <f t="array" ref="E869">IF(D869="","",_xlfn.IFS(D869&lt;=500,"Top_500",D869&lt;=2000,"501_2000",D869&lt;=5000,"2001_5000",D869&lt;=10000,"5001_10000"))</f>
        <v>2001_5000</v>
      </c>
      <c r="I869" s="8" t="str">
        <f t="shared" si="27"/>
        <v>|Support</v>
      </c>
    </row>
    <row r="870" spans="2:9" x14ac:dyDescent="0.25">
      <c r="B870" t="s">
        <v>21</v>
      </c>
      <c r="C870">
        <f t="shared" si="26"/>
        <v>119</v>
      </c>
      <c r="D870" cm="1">
        <f t="array" ref="D870">_xlfn.IFS(C870&lt;=50,7+10*(C870-1),C870&lt;=110,507+25*(C870-51),C870&lt;=170,2007+50*(C870-111),C870&lt;=250,5007+50*(C870-171))</f>
        <v>2407</v>
      </c>
      <c r="E870" t="str" cm="1">
        <f t="array" ref="E870">IF(D870="","",_xlfn.IFS(D870&lt;=500,"Top_500",D870&lt;=2000,"501_2000",D870&lt;=5000,"2001_5000",D870&lt;=10000,"5001_10000"))</f>
        <v>2001_5000</v>
      </c>
      <c r="I870" s="8" t="str">
        <f t="shared" si="27"/>
        <v>|Support</v>
      </c>
    </row>
    <row r="871" spans="2:9" x14ac:dyDescent="0.25">
      <c r="B871" t="s">
        <v>21</v>
      </c>
      <c r="C871">
        <f t="shared" si="26"/>
        <v>120</v>
      </c>
      <c r="D871" cm="1">
        <f t="array" ref="D871">_xlfn.IFS(C871&lt;=50,7+10*(C871-1),C871&lt;=110,507+25*(C871-51),C871&lt;=170,2007+50*(C871-111),C871&lt;=250,5007+50*(C871-171))</f>
        <v>2457</v>
      </c>
      <c r="E871" t="str" cm="1">
        <f t="array" ref="E871">IF(D871="","",_xlfn.IFS(D871&lt;=500,"Top_500",D871&lt;=2000,"501_2000",D871&lt;=5000,"2001_5000",D871&lt;=10000,"5001_10000"))</f>
        <v>2001_5000</v>
      </c>
      <c r="I871" s="8" t="str">
        <f t="shared" si="27"/>
        <v>|Support</v>
      </c>
    </row>
    <row r="872" spans="2:9" x14ac:dyDescent="0.25">
      <c r="B872" t="s">
        <v>21</v>
      </c>
      <c r="C872">
        <f t="shared" si="26"/>
        <v>121</v>
      </c>
      <c r="D872" cm="1">
        <f t="array" ref="D872">_xlfn.IFS(C872&lt;=50,7+10*(C872-1),C872&lt;=110,507+25*(C872-51),C872&lt;=170,2007+50*(C872-111),C872&lt;=250,5007+50*(C872-171))</f>
        <v>2507</v>
      </c>
      <c r="E872" t="str" cm="1">
        <f t="array" ref="E872">IF(D872="","",_xlfn.IFS(D872&lt;=500,"Top_500",D872&lt;=2000,"501_2000",D872&lt;=5000,"2001_5000",D872&lt;=10000,"5001_10000"))</f>
        <v>2001_5000</v>
      </c>
      <c r="I872" s="8" t="str">
        <f t="shared" si="27"/>
        <v>|Support</v>
      </c>
    </row>
    <row r="873" spans="2:9" x14ac:dyDescent="0.25">
      <c r="B873" t="s">
        <v>21</v>
      </c>
      <c r="C873">
        <f t="shared" si="26"/>
        <v>122</v>
      </c>
      <c r="D873" cm="1">
        <f t="array" ref="D873">_xlfn.IFS(C873&lt;=50,7+10*(C873-1),C873&lt;=110,507+25*(C873-51),C873&lt;=170,2007+50*(C873-111),C873&lt;=250,5007+50*(C873-171))</f>
        <v>2557</v>
      </c>
      <c r="E873" t="str" cm="1">
        <f t="array" ref="E873">IF(D873="","",_xlfn.IFS(D873&lt;=500,"Top_500",D873&lt;=2000,"501_2000",D873&lt;=5000,"2001_5000",D873&lt;=10000,"5001_10000"))</f>
        <v>2001_5000</v>
      </c>
      <c r="I873" s="8" t="str">
        <f t="shared" si="27"/>
        <v>|Support</v>
      </c>
    </row>
    <row r="874" spans="2:9" x14ac:dyDescent="0.25">
      <c r="B874" t="s">
        <v>21</v>
      </c>
      <c r="C874">
        <f t="shared" si="26"/>
        <v>123</v>
      </c>
      <c r="D874" cm="1">
        <f t="array" ref="D874">_xlfn.IFS(C874&lt;=50,7+10*(C874-1),C874&lt;=110,507+25*(C874-51),C874&lt;=170,2007+50*(C874-111),C874&lt;=250,5007+50*(C874-171))</f>
        <v>2607</v>
      </c>
      <c r="E874" t="str" cm="1">
        <f t="array" ref="E874">IF(D874="","",_xlfn.IFS(D874&lt;=500,"Top_500",D874&lt;=2000,"501_2000",D874&lt;=5000,"2001_5000",D874&lt;=10000,"5001_10000"))</f>
        <v>2001_5000</v>
      </c>
      <c r="I874" s="8" t="str">
        <f t="shared" si="27"/>
        <v>|Support</v>
      </c>
    </row>
    <row r="875" spans="2:9" x14ac:dyDescent="0.25">
      <c r="B875" t="s">
        <v>21</v>
      </c>
      <c r="C875">
        <f t="shared" si="26"/>
        <v>124</v>
      </c>
      <c r="D875" cm="1">
        <f t="array" ref="D875">_xlfn.IFS(C875&lt;=50,7+10*(C875-1),C875&lt;=110,507+25*(C875-51),C875&lt;=170,2007+50*(C875-111),C875&lt;=250,5007+50*(C875-171))</f>
        <v>2657</v>
      </c>
      <c r="E875" t="str" cm="1">
        <f t="array" ref="E875">IF(D875="","",_xlfn.IFS(D875&lt;=500,"Top_500",D875&lt;=2000,"501_2000",D875&lt;=5000,"2001_5000",D875&lt;=10000,"5001_10000"))</f>
        <v>2001_5000</v>
      </c>
      <c r="I875" s="8" t="str">
        <f t="shared" si="27"/>
        <v>|Support</v>
      </c>
    </row>
    <row r="876" spans="2:9" x14ac:dyDescent="0.25">
      <c r="B876" t="s">
        <v>21</v>
      </c>
      <c r="C876">
        <f t="shared" si="26"/>
        <v>125</v>
      </c>
      <c r="D876" cm="1">
        <f t="array" ref="D876">_xlfn.IFS(C876&lt;=50,7+10*(C876-1),C876&lt;=110,507+25*(C876-51),C876&lt;=170,2007+50*(C876-111),C876&lt;=250,5007+50*(C876-171))</f>
        <v>2707</v>
      </c>
      <c r="E876" t="str" cm="1">
        <f t="array" ref="E876">IF(D876="","",_xlfn.IFS(D876&lt;=500,"Top_500",D876&lt;=2000,"501_2000",D876&lt;=5000,"2001_5000",D876&lt;=10000,"5001_10000"))</f>
        <v>2001_5000</v>
      </c>
      <c r="I876" s="8" t="str">
        <f t="shared" si="27"/>
        <v>|Support</v>
      </c>
    </row>
    <row r="877" spans="2:9" x14ac:dyDescent="0.25">
      <c r="B877" t="s">
        <v>21</v>
      </c>
      <c r="C877">
        <f t="shared" si="26"/>
        <v>126</v>
      </c>
      <c r="D877" cm="1">
        <f t="array" ref="D877">_xlfn.IFS(C877&lt;=50,7+10*(C877-1),C877&lt;=110,507+25*(C877-51),C877&lt;=170,2007+50*(C877-111),C877&lt;=250,5007+50*(C877-171))</f>
        <v>2757</v>
      </c>
      <c r="E877" t="str" cm="1">
        <f t="array" ref="E877">IF(D877="","",_xlfn.IFS(D877&lt;=500,"Top_500",D877&lt;=2000,"501_2000",D877&lt;=5000,"2001_5000",D877&lt;=10000,"5001_10000"))</f>
        <v>2001_5000</v>
      </c>
      <c r="I877" s="8" t="str">
        <f t="shared" si="27"/>
        <v>|Support</v>
      </c>
    </row>
    <row r="878" spans="2:9" x14ac:dyDescent="0.25">
      <c r="B878" t="s">
        <v>21</v>
      </c>
      <c r="C878">
        <f t="shared" si="26"/>
        <v>127</v>
      </c>
      <c r="D878" cm="1">
        <f t="array" ref="D878">_xlfn.IFS(C878&lt;=50,7+10*(C878-1),C878&lt;=110,507+25*(C878-51),C878&lt;=170,2007+50*(C878-111),C878&lt;=250,5007+50*(C878-171))</f>
        <v>2807</v>
      </c>
      <c r="E878" t="str" cm="1">
        <f t="array" ref="E878">IF(D878="","",_xlfn.IFS(D878&lt;=500,"Top_500",D878&lt;=2000,"501_2000",D878&lt;=5000,"2001_5000",D878&lt;=10000,"5001_10000"))</f>
        <v>2001_5000</v>
      </c>
      <c r="I878" s="8" t="str">
        <f t="shared" si="27"/>
        <v>|Support</v>
      </c>
    </row>
    <row r="879" spans="2:9" x14ac:dyDescent="0.25">
      <c r="B879" t="s">
        <v>21</v>
      </c>
      <c r="C879">
        <f t="shared" si="26"/>
        <v>128</v>
      </c>
      <c r="D879" cm="1">
        <f t="array" ref="D879">_xlfn.IFS(C879&lt;=50,7+10*(C879-1),C879&lt;=110,507+25*(C879-51),C879&lt;=170,2007+50*(C879-111),C879&lt;=250,5007+50*(C879-171))</f>
        <v>2857</v>
      </c>
      <c r="E879" t="str" cm="1">
        <f t="array" ref="E879">IF(D879="","",_xlfn.IFS(D879&lt;=500,"Top_500",D879&lt;=2000,"501_2000",D879&lt;=5000,"2001_5000",D879&lt;=10000,"5001_10000"))</f>
        <v>2001_5000</v>
      </c>
      <c r="I879" s="8" t="str">
        <f t="shared" si="27"/>
        <v>|Support</v>
      </c>
    </row>
    <row r="880" spans="2:9" x14ac:dyDescent="0.25">
      <c r="B880" t="s">
        <v>21</v>
      </c>
      <c r="C880">
        <f t="shared" si="26"/>
        <v>129</v>
      </c>
      <c r="D880" cm="1">
        <f t="array" ref="D880">_xlfn.IFS(C880&lt;=50,7+10*(C880-1),C880&lt;=110,507+25*(C880-51),C880&lt;=170,2007+50*(C880-111),C880&lt;=250,5007+50*(C880-171))</f>
        <v>2907</v>
      </c>
      <c r="E880" t="str" cm="1">
        <f t="array" ref="E880">IF(D880="","",_xlfn.IFS(D880&lt;=500,"Top_500",D880&lt;=2000,"501_2000",D880&lt;=5000,"2001_5000",D880&lt;=10000,"5001_10000"))</f>
        <v>2001_5000</v>
      </c>
      <c r="I880" s="8" t="str">
        <f t="shared" si="27"/>
        <v>|Support</v>
      </c>
    </row>
    <row r="881" spans="2:9" x14ac:dyDescent="0.25">
      <c r="B881" t="s">
        <v>21</v>
      </c>
      <c r="C881">
        <f t="shared" si="26"/>
        <v>130</v>
      </c>
      <c r="D881" cm="1">
        <f t="array" ref="D881">_xlfn.IFS(C881&lt;=50,7+10*(C881-1),C881&lt;=110,507+25*(C881-51),C881&lt;=170,2007+50*(C881-111),C881&lt;=250,5007+50*(C881-171))</f>
        <v>2957</v>
      </c>
      <c r="E881" t="str" cm="1">
        <f t="array" ref="E881">IF(D881="","",_xlfn.IFS(D881&lt;=500,"Top_500",D881&lt;=2000,"501_2000",D881&lt;=5000,"2001_5000",D881&lt;=10000,"5001_10000"))</f>
        <v>2001_5000</v>
      </c>
      <c r="I881" s="8" t="str">
        <f t="shared" si="27"/>
        <v>|Support</v>
      </c>
    </row>
    <row r="882" spans="2:9" x14ac:dyDescent="0.25">
      <c r="B882" t="s">
        <v>21</v>
      </c>
      <c r="C882">
        <f t="shared" si="26"/>
        <v>131</v>
      </c>
      <c r="D882" cm="1">
        <f t="array" ref="D882">_xlfn.IFS(C882&lt;=50,7+10*(C882-1),C882&lt;=110,507+25*(C882-51),C882&lt;=170,2007+50*(C882-111),C882&lt;=250,5007+50*(C882-171))</f>
        <v>3007</v>
      </c>
      <c r="E882" t="str" cm="1">
        <f t="array" ref="E882">IF(D882="","",_xlfn.IFS(D882&lt;=500,"Top_500",D882&lt;=2000,"501_2000",D882&lt;=5000,"2001_5000",D882&lt;=10000,"5001_10000"))</f>
        <v>2001_5000</v>
      </c>
      <c r="I882" s="8" t="str">
        <f t="shared" si="27"/>
        <v>|Support</v>
      </c>
    </row>
    <row r="883" spans="2:9" x14ac:dyDescent="0.25">
      <c r="B883" t="s">
        <v>21</v>
      </c>
      <c r="C883">
        <f t="shared" si="26"/>
        <v>132</v>
      </c>
      <c r="D883" cm="1">
        <f t="array" ref="D883">_xlfn.IFS(C883&lt;=50,7+10*(C883-1),C883&lt;=110,507+25*(C883-51),C883&lt;=170,2007+50*(C883-111),C883&lt;=250,5007+50*(C883-171))</f>
        <v>3057</v>
      </c>
      <c r="E883" t="str" cm="1">
        <f t="array" ref="E883">IF(D883="","",_xlfn.IFS(D883&lt;=500,"Top_500",D883&lt;=2000,"501_2000",D883&lt;=5000,"2001_5000",D883&lt;=10000,"5001_10000"))</f>
        <v>2001_5000</v>
      </c>
      <c r="I883" s="8" t="str">
        <f t="shared" si="27"/>
        <v>|Support</v>
      </c>
    </row>
    <row r="884" spans="2:9" x14ac:dyDescent="0.25">
      <c r="B884" t="s">
        <v>21</v>
      </c>
      <c r="C884">
        <f t="shared" si="26"/>
        <v>133</v>
      </c>
      <c r="D884" cm="1">
        <f t="array" ref="D884">_xlfn.IFS(C884&lt;=50,7+10*(C884-1),C884&lt;=110,507+25*(C884-51),C884&lt;=170,2007+50*(C884-111),C884&lt;=250,5007+50*(C884-171))</f>
        <v>3107</v>
      </c>
      <c r="E884" t="str" cm="1">
        <f t="array" ref="E884">IF(D884="","",_xlfn.IFS(D884&lt;=500,"Top_500",D884&lt;=2000,"501_2000",D884&lt;=5000,"2001_5000",D884&lt;=10000,"5001_10000"))</f>
        <v>2001_5000</v>
      </c>
      <c r="I884" s="8" t="str">
        <f t="shared" si="27"/>
        <v>|Support</v>
      </c>
    </row>
    <row r="885" spans="2:9" x14ac:dyDescent="0.25">
      <c r="B885" t="s">
        <v>21</v>
      </c>
      <c r="C885">
        <f t="shared" si="26"/>
        <v>134</v>
      </c>
      <c r="D885" cm="1">
        <f t="array" ref="D885">_xlfn.IFS(C885&lt;=50,7+10*(C885-1),C885&lt;=110,507+25*(C885-51),C885&lt;=170,2007+50*(C885-111),C885&lt;=250,5007+50*(C885-171))</f>
        <v>3157</v>
      </c>
      <c r="E885" t="str" cm="1">
        <f t="array" ref="E885">IF(D885="","",_xlfn.IFS(D885&lt;=500,"Top_500",D885&lt;=2000,"501_2000",D885&lt;=5000,"2001_5000",D885&lt;=10000,"5001_10000"))</f>
        <v>2001_5000</v>
      </c>
      <c r="I885" s="8" t="str">
        <f t="shared" si="27"/>
        <v>|Support</v>
      </c>
    </row>
    <row r="886" spans="2:9" x14ac:dyDescent="0.25">
      <c r="B886" t="s">
        <v>21</v>
      </c>
      <c r="C886">
        <f t="shared" si="26"/>
        <v>135</v>
      </c>
      <c r="D886" cm="1">
        <f t="array" ref="D886">_xlfn.IFS(C886&lt;=50,7+10*(C886-1),C886&lt;=110,507+25*(C886-51),C886&lt;=170,2007+50*(C886-111),C886&lt;=250,5007+50*(C886-171))</f>
        <v>3207</v>
      </c>
      <c r="E886" t="str" cm="1">
        <f t="array" ref="E886">IF(D886="","",_xlfn.IFS(D886&lt;=500,"Top_500",D886&lt;=2000,"501_2000",D886&lt;=5000,"2001_5000",D886&lt;=10000,"5001_10000"))</f>
        <v>2001_5000</v>
      </c>
      <c r="I886" s="8" t="str">
        <f t="shared" si="27"/>
        <v>|Support</v>
      </c>
    </row>
    <row r="887" spans="2:9" x14ac:dyDescent="0.25">
      <c r="B887" t="s">
        <v>21</v>
      </c>
      <c r="C887">
        <f t="shared" si="26"/>
        <v>136</v>
      </c>
      <c r="D887" cm="1">
        <f t="array" ref="D887">_xlfn.IFS(C887&lt;=50,7+10*(C887-1),C887&lt;=110,507+25*(C887-51),C887&lt;=170,2007+50*(C887-111),C887&lt;=250,5007+50*(C887-171))</f>
        <v>3257</v>
      </c>
      <c r="E887" t="str" cm="1">
        <f t="array" ref="E887">IF(D887="","",_xlfn.IFS(D887&lt;=500,"Top_500",D887&lt;=2000,"501_2000",D887&lt;=5000,"2001_5000",D887&lt;=10000,"5001_10000"))</f>
        <v>2001_5000</v>
      </c>
      <c r="I887" s="8" t="str">
        <f t="shared" si="27"/>
        <v>|Support</v>
      </c>
    </row>
    <row r="888" spans="2:9" x14ac:dyDescent="0.25">
      <c r="B888" t="s">
        <v>21</v>
      </c>
      <c r="C888">
        <f t="shared" si="26"/>
        <v>137</v>
      </c>
      <c r="D888" cm="1">
        <f t="array" ref="D888">_xlfn.IFS(C888&lt;=50,7+10*(C888-1),C888&lt;=110,507+25*(C888-51),C888&lt;=170,2007+50*(C888-111),C888&lt;=250,5007+50*(C888-171))</f>
        <v>3307</v>
      </c>
      <c r="E888" t="str" cm="1">
        <f t="array" ref="E888">IF(D888="","",_xlfn.IFS(D888&lt;=500,"Top_500",D888&lt;=2000,"501_2000",D888&lt;=5000,"2001_5000",D888&lt;=10000,"5001_10000"))</f>
        <v>2001_5000</v>
      </c>
      <c r="I888" s="8" t="str">
        <f t="shared" si="27"/>
        <v>|Support</v>
      </c>
    </row>
    <row r="889" spans="2:9" x14ac:dyDescent="0.25">
      <c r="B889" t="s">
        <v>21</v>
      </c>
      <c r="C889">
        <f t="shared" si="26"/>
        <v>138</v>
      </c>
      <c r="D889" cm="1">
        <f t="array" ref="D889">_xlfn.IFS(C889&lt;=50,7+10*(C889-1),C889&lt;=110,507+25*(C889-51),C889&lt;=170,2007+50*(C889-111),C889&lt;=250,5007+50*(C889-171))</f>
        <v>3357</v>
      </c>
      <c r="E889" t="str" cm="1">
        <f t="array" ref="E889">IF(D889="","",_xlfn.IFS(D889&lt;=500,"Top_500",D889&lt;=2000,"501_2000",D889&lt;=5000,"2001_5000",D889&lt;=10000,"5001_10000"))</f>
        <v>2001_5000</v>
      </c>
      <c r="I889" s="8" t="str">
        <f t="shared" si="27"/>
        <v>|Support</v>
      </c>
    </row>
    <row r="890" spans="2:9" x14ac:dyDescent="0.25">
      <c r="B890" t="s">
        <v>21</v>
      </c>
      <c r="C890">
        <f t="shared" si="26"/>
        <v>139</v>
      </c>
      <c r="D890" cm="1">
        <f t="array" ref="D890">_xlfn.IFS(C890&lt;=50,7+10*(C890-1),C890&lt;=110,507+25*(C890-51),C890&lt;=170,2007+50*(C890-111),C890&lt;=250,5007+50*(C890-171))</f>
        <v>3407</v>
      </c>
      <c r="E890" t="str" cm="1">
        <f t="array" ref="E890">IF(D890="","",_xlfn.IFS(D890&lt;=500,"Top_500",D890&lt;=2000,"501_2000",D890&lt;=5000,"2001_5000",D890&lt;=10000,"5001_10000"))</f>
        <v>2001_5000</v>
      </c>
      <c r="I890" s="8" t="str">
        <f t="shared" si="27"/>
        <v>|Support</v>
      </c>
    </row>
    <row r="891" spans="2:9" x14ac:dyDescent="0.25">
      <c r="B891" t="s">
        <v>21</v>
      </c>
      <c r="C891">
        <f t="shared" si="26"/>
        <v>140</v>
      </c>
      <c r="D891" cm="1">
        <f t="array" ref="D891">_xlfn.IFS(C891&lt;=50,7+10*(C891-1),C891&lt;=110,507+25*(C891-51),C891&lt;=170,2007+50*(C891-111),C891&lt;=250,5007+50*(C891-171))</f>
        <v>3457</v>
      </c>
      <c r="E891" t="str" cm="1">
        <f t="array" ref="E891">IF(D891="","",_xlfn.IFS(D891&lt;=500,"Top_500",D891&lt;=2000,"501_2000",D891&lt;=5000,"2001_5000",D891&lt;=10000,"5001_10000"))</f>
        <v>2001_5000</v>
      </c>
      <c r="I891" s="8" t="str">
        <f t="shared" si="27"/>
        <v>|Support</v>
      </c>
    </row>
    <row r="892" spans="2:9" x14ac:dyDescent="0.25">
      <c r="B892" t="s">
        <v>21</v>
      </c>
      <c r="C892">
        <f t="shared" si="26"/>
        <v>141</v>
      </c>
      <c r="D892" cm="1">
        <f t="array" ref="D892">_xlfn.IFS(C892&lt;=50,7+10*(C892-1),C892&lt;=110,507+25*(C892-51),C892&lt;=170,2007+50*(C892-111),C892&lt;=250,5007+50*(C892-171))</f>
        <v>3507</v>
      </c>
      <c r="E892" t="str" cm="1">
        <f t="array" ref="E892">IF(D892="","",_xlfn.IFS(D892&lt;=500,"Top_500",D892&lt;=2000,"501_2000",D892&lt;=5000,"2001_5000",D892&lt;=10000,"5001_10000"))</f>
        <v>2001_5000</v>
      </c>
      <c r="I892" s="8" t="str">
        <f t="shared" si="27"/>
        <v>|Support</v>
      </c>
    </row>
    <row r="893" spans="2:9" x14ac:dyDescent="0.25">
      <c r="B893" t="s">
        <v>21</v>
      </c>
      <c r="C893">
        <f t="shared" si="26"/>
        <v>142</v>
      </c>
      <c r="D893" cm="1">
        <f t="array" ref="D893">_xlfn.IFS(C893&lt;=50,7+10*(C893-1),C893&lt;=110,507+25*(C893-51),C893&lt;=170,2007+50*(C893-111),C893&lt;=250,5007+50*(C893-171))</f>
        <v>3557</v>
      </c>
      <c r="E893" t="str" cm="1">
        <f t="array" ref="E893">IF(D893="","",_xlfn.IFS(D893&lt;=500,"Top_500",D893&lt;=2000,"501_2000",D893&lt;=5000,"2001_5000",D893&lt;=10000,"5001_10000"))</f>
        <v>2001_5000</v>
      </c>
      <c r="I893" s="8" t="str">
        <f t="shared" si="27"/>
        <v>|Support</v>
      </c>
    </row>
    <row r="894" spans="2:9" x14ac:dyDescent="0.25">
      <c r="B894" t="s">
        <v>21</v>
      </c>
      <c r="C894">
        <f t="shared" si="26"/>
        <v>143</v>
      </c>
      <c r="D894" cm="1">
        <f t="array" ref="D894">_xlfn.IFS(C894&lt;=50,7+10*(C894-1),C894&lt;=110,507+25*(C894-51),C894&lt;=170,2007+50*(C894-111),C894&lt;=250,5007+50*(C894-171))</f>
        <v>3607</v>
      </c>
      <c r="E894" t="str" cm="1">
        <f t="array" ref="E894">IF(D894="","",_xlfn.IFS(D894&lt;=500,"Top_500",D894&lt;=2000,"501_2000",D894&lt;=5000,"2001_5000",D894&lt;=10000,"5001_10000"))</f>
        <v>2001_5000</v>
      </c>
      <c r="I894" s="8" t="str">
        <f t="shared" si="27"/>
        <v>|Support</v>
      </c>
    </row>
    <row r="895" spans="2:9" x14ac:dyDescent="0.25">
      <c r="B895" t="s">
        <v>21</v>
      </c>
      <c r="C895">
        <f t="shared" si="26"/>
        <v>144</v>
      </c>
      <c r="D895" cm="1">
        <f t="array" ref="D895">_xlfn.IFS(C895&lt;=50,7+10*(C895-1),C895&lt;=110,507+25*(C895-51),C895&lt;=170,2007+50*(C895-111),C895&lt;=250,5007+50*(C895-171))</f>
        <v>3657</v>
      </c>
      <c r="E895" t="str" cm="1">
        <f t="array" ref="E895">IF(D895="","",_xlfn.IFS(D895&lt;=500,"Top_500",D895&lt;=2000,"501_2000",D895&lt;=5000,"2001_5000",D895&lt;=10000,"5001_10000"))</f>
        <v>2001_5000</v>
      </c>
      <c r="I895" s="8" t="str">
        <f t="shared" si="27"/>
        <v>|Support</v>
      </c>
    </row>
    <row r="896" spans="2:9" x14ac:dyDescent="0.25">
      <c r="B896" t="s">
        <v>21</v>
      </c>
      <c r="C896">
        <f t="shared" si="26"/>
        <v>145</v>
      </c>
      <c r="D896" cm="1">
        <f t="array" ref="D896">_xlfn.IFS(C896&lt;=50,7+10*(C896-1),C896&lt;=110,507+25*(C896-51),C896&lt;=170,2007+50*(C896-111),C896&lt;=250,5007+50*(C896-171))</f>
        <v>3707</v>
      </c>
      <c r="E896" t="str" cm="1">
        <f t="array" ref="E896">IF(D896="","",_xlfn.IFS(D896&lt;=500,"Top_500",D896&lt;=2000,"501_2000",D896&lt;=5000,"2001_5000",D896&lt;=10000,"5001_10000"))</f>
        <v>2001_5000</v>
      </c>
      <c r="I896" s="8" t="str">
        <f t="shared" si="27"/>
        <v>|Support</v>
      </c>
    </row>
    <row r="897" spans="2:9" x14ac:dyDescent="0.25">
      <c r="B897" t="s">
        <v>21</v>
      </c>
      <c r="C897">
        <f t="shared" si="26"/>
        <v>146</v>
      </c>
      <c r="D897" cm="1">
        <f t="array" ref="D897">_xlfn.IFS(C897&lt;=50,7+10*(C897-1),C897&lt;=110,507+25*(C897-51),C897&lt;=170,2007+50*(C897-111),C897&lt;=250,5007+50*(C897-171))</f>
        <v>3757</v>
      </c>
      <c r="E897" t="str" cm="1">
        <f t="array" ref="E897">IF(D897="","",_xlfn.IFS(D897&lt;=500,"Top_500",D897&lt;=2000,"501_2000",D897&lt;=5000,"2001_5000",D897&lt;=10000,"5001_10000"))</f>
        <v>2001_5000</v>
      </c>
      <c r="I897" s="8" t="str">
        <f t="shared" si="27"/>
        <v>|Support</v>
      </c>
    </row>
    <row r="898" spans="2:9" x14ac:dyDescent="0.25">
      <c r="B898" t="s">
        <v>21</v>
      </c>
      <c r="C898">
        <f t="shared" ref="C898:C961" si="28">IF(ROW()=2,1,IF(B898&lt;&gt;B897,1,C897+1))</f>
        <v>147</v>
      </c>
      <c r="D898" cm="1">
        <f t="array" ref="D898">_xlfn.IFS(C898&lt;=50,7+10*(C898-1),C898&lt;=110,507+25*(C898-51),C898&lt;=170,2007+50*(C898-111),C898&lt;=250,5007+50*(C898-171))</f>
        <v>3807</v>
      </c>
      <c r="E898" t="str" cm="1">
        <f t="array" ref="E898">IF(D898="","",_xlfn.IFS(D898&lt;=500,"Top_500",D898&lt;=2000,"501_2000",D898&lt;=5000,"2001_5000",D898&lt;=10000,"5001_10000"))</f>
        <v>2001_5000</v>
      </c>
      <c r="I898" s="8" t="str">
        <f t="shared" si="27"/>
        <v>|Support</v>
      </c>
    </row>
    <row r="899" spans="2:9" x14ac:dyDescent="0.25">
      <c r="B899" t="s">
        <v>21</v>
      </c>
      <c r="C899">
        <f t="shared" si="28"/>
        <v>148</v>
      </c>
      <c r="D899" cm="1">
        <f t="array" ref="D899">_xlfn.IFS(C899&lt;=50,7+10*(C899-1),C899&lt;=110,507+25*(C899-51),C899&lt;=170,2007+50*(C899-111),C899&lt;=250,5007+50*(C899-171))</f>
        <v>3857</v>
      </c>
      <c r="E899" t="str" cm="1">
        <f t="array" ref="E899">IF(D899="","",_xlfn.IFS(D899&lt;=500,"Top_500",D899&lt;=2000,"501_2000",D899&lt;=5000,"2001_5000",D899&lt;=10000,"5001_10000"))</f>
        <v>2001_5000</v>
      </c>
      <c r="I899" s="8" t="str">
        <f t="shared" ref="I899:I962" si="29">A899 &amp; "|" &amp; B899</f>
        <v>|Support</v>
      </c>
    </row>
    <row r="900" spans="2:9" x14ac:dyDescent="0.25">
      <c r="B900" t="s">
        <v>21</v>
      </c>
      <c r="C900">
        <f t="shared" si="28"/>
        <v>149</v>
      </c>
      <c r="D900" cm="1">
        <f t="array" ref="D900">_xlfn.IFS(C900&lt;=50,7+10*(C900-1),C900&lt;=110,507+25*(C900-51),C900&lt;=170,2007+50*(C900-111),C900&lt;=250,5007+50*(C900-171))</f>
        <v>3907</v>
      </c>
      <c r="E900" t="str" cm="1">
        <f t="array" ref="E900">IF(D900="","",_xlfn.IFS(D900&lt;=500,"Top_500",D900&lt;=2000,"501_2000",D900&lt;=5000,"2001_5000",D900&lt;=10000,"5001_10000"))</f>
        <v>2001_5000</v>
      </c>
      <c r="I900" s="8" t="str">
        <f t="shared" si="29"/>
        <v>|Support</v>
      </c>
    </row>
    <row r="901" spans="2:9" x14ac:dyDescent="0.25">
      <c r="B901" t="s">
        <v>21</v>
      </c>
      <c r="C901">
        <f t="shared" si="28"/>
        <v>150</v>
      </c>
      <c r="D901" cm="1">
        <f t="array" ref="D901">_xlfn.IFS(C901&lt;=50,7+10*(C901-1),C901&lt;=110,507+25*(C901-51),C901&lt;=170,2007+50*(C901-111),C901&lt;=250,5007+50*(C901-171))</f>
        <v>3957</v>
      </c>
      <c r="E901" t="str" cm="1">
        <f t="array" ref="E901">IF(D901="","",_xlfn.IFS(D901&lt;=500,"Top_500",D901&lt;=2000,"501_2000",D901&lt;=5000,"2001_5000",D901&lt;=10000,"5001_10000"))</f>
        <v>2001_5000</v>
      </c>
      <c r="I901" s="8" t="str">
        <f t="shared" si="29"/>
        <v>|Support</v>
      </c>
    </row>
    <row r="902" spans="2:9" x14ac:dyDescent="0.25">
      <c r="B902" t="s">
        <v>21</v>
      </c>
      <c r="C902">
        <f t="shared" si="28"/>
        <v>151</v>
      </c>
      <c r="D902" cm="1">
        <f t="array" ref="D902">_xlfn.IFS(C902&lt;=50,7+10*(C902-1),C902&lt;=110,507+25*(C902-51),C902&lt;=170,2007+50*(C902-111),C902&lt;=250,5007+50*(C902-171))</f>
        <v>4007</v>
      </c>
      <c r="E902" t="str" cm="1">
        <f t="array" ref="E902">IF(D902="","",_xlfn.IFS(D902&lt;=500,"Top_500",D902&lt;=2000,"501_2000",D902&lt;=5000,"2001_5000",D902&lt;=10000,"5001_10000"))</f>
        <v>2001_5000</v>
      </c>
      <c r="I902" s="8" t="str">
        <f t="shared" si="29"/>
        <v>|Support</v>
      </c>
    </row>
    <row r="903" spans="2:9" x14ac:dyDescent="0.25">
      <c r="B903" t="s">
        <v>21</v>
      </c>
      <c r="C903">
        <f t="shared" si="28"/>
        <v>152</v>
      </c>
      <c r="D903" cm="1">
        <f t="array" ref="D903">_xlfn.IFS(C903&lt;=50,7+10*(C903-1),C903&lt;=110,507+25*(C903-51),C903&lt;=170,2007+50*(C903-111),C903&lt;=250,5007+50*(C903-171))</f>
        <v>4057</v>
      </c>
      <c r="E903" t="str" cm="1">
        <f t="array" ref="E903">IF(D903="","",_xlfn.IFS(D903&lt;=500,"Top_500",D903&lt;=2000,"501_2000",D903&lt;=5000,"2001_5000",D903&lt;=10000,"5001_10000"))</f>
        <v>2001_5000</v>
      </c>
      <c r="I903" s="8" t="str">
        <f t="shared" si="29"/>
        <v>|Support</v>
      </c>
    </row>
    <row r="904" spans="2:9" x14ac:dyDescent="0.25">
      <c r="B904" t="s">
        <v>21</v>
      </c>
      <c r="C904">
        <f t="shared" si="28"/>
        <v>153</v>
      </c>
      <c r="D904" cm="1">
        <f t="array" ref="D904">_xlfn.IFS(C904&lt;=50,7+10*(C904-1),C904&lt;=110,507+25*(C904-51),C904&lt;=170,2007+50*(C904-111),C904&lt;=250,5007+50*(C904-171))</f>
        <v>4107</v>
      </c>
      <c r="E904" t="str" cm="1">
        <f t="array" ref="E904">IF(D904="","",_xlfn.IFS(D904&lt;=500,"Top_500",D904&lt;=2000,"501_2000",D904&lt;=5000,"2001_5000",D904&lt;=10000,"5001_10000"))</f>
        <v>2001_5000</v>
      </c>
      <c r="I904" s="8" t="str">
        <f t="shared" si="29"/>
        <v>|Support</v>
      </c>
    </row>
    <row r="905" spans="2:9" x14ac:dyDescent="0.25">
      <c r="B905" t="s">
        <v>21</v>
      </c>
      <c r="C905">
        <f t="shared" si="28"/>
        <v>154</v>
      </c>
      <c r="D905" cm="1">
        <f t="array" ref="D905">_xlfn.IFS(C905&lt;=50,7+10*(C905-1),C905&lt;=110,507+25*(C905-51),C905&lt;=170,2007+50*(C905-111),C905&lt;=250,5007+50*(C905-171))</f>
        <v>4157</v>
      </c>
      <c r="E905" t="str" cm="1">
        <f t="array" ref="E905">IF(D905="","",_xlfn.IFS(D905&lt;=500,"Top_500",D905&lt;=2000,"501_2000",D905&lt;=5000,"2001_5000",D905&lt;=10000,"5001_10000"))</f>
        <v>2001_5000</v>
      </c>
      <c r="I905" s="8" t="str">
        <f t="shared" si="29"/>
        <v>|Support</v>
      </c>
    </row>
    <row r="906" spans="2:9" x14ac:dyDescent="0.25">
      <c r="B906" t="s">
        <v>21</v>
      </c>
      <c r="C906">
        <f t="shared" si="28"/>
        <v>155</v>
      </c>
      <c r="D906" cm="1">
        <f t="array" ref="D906">_xlfn.IFS(C906&lt;=50,7+10*(C906-1),C906&lt;=110,507+25*(C906-51),C906&lt;=170,2007+50*(C906-111),C906&lt;=250,5007+50*(C906-171))</f>
        <v>4207</v>
      </c>
      <c r="E906" t="str" cm="1">
        <f t="array" ref="E906">IF(D906="","",_xlfn.IFS(D906&lt;=500,"Top_500",D906&lt;=2000,"501_2000",D906&lt;=5000,"2001_5000",D906&lt;=10000,"5001_10000"))</f>
        <v>2001_5000</v>
      </c>
      <c r="I906" s="8" t="str">
        <f t="shared" si="29"/>
        <v>|Support</v>
      </c>
    </row>
    <row r="907" spans="2:9" x14ac:dyDescent="0.25">
      <c r="B907" t="s">
        <v>21</v>
      </c>
      <c r="C907">
        <f t="shared" si="28"/>
        <v>156</v>
      </c>
      <c r="D907" cm="1">
        <f t="array" ref="D907">_xlfn.IFS(C907&lt;=50,7+10*(C907-1),C907&lt;=110,507+25*(C907-51),C907&lt;=170,2007+50*(C907-111),C907&lt;=250,5007+50*(C907-171))</f>
        <v>4257</v>
      </c>
      <c r="E907" t="str" cm="1">
        <f t="array" ref="E907">IF(D907="","",_xlfn.IFS(D907&lt;=500,"Top_500",D907&lt;=2000,"501_2000",D907&lt;=5000,"2001_5000",D907&lt;=10000,"5001_10000"))</f>
        <v>2001_5000</v>
      </c>
      <c r="I907" s="8" t="str">
        <f t="shared" si="29"/>
        <v>|Support</v>
      </c>
    </row>
    <row r="908" spans="2:9" x14ac:dyDescent="0.25">
      <c r="B908" t="s">
        <v>21</v>
      </c>
      <c r="C908">
        <f t="shared" si="28"/>
        <v>157</v>
      </c>
      <c r="D908" cm="1">
        <f t="array" ref="D908">_xlfn.IFS(C908&lt;=50,7+10*(C908-1),C908&lt;=110,507+25*(C908-51),C908&lt;=170,2007+50*(C908-111),C908&lt;=250,5007+50*(C908-171))</f>
        <v>4307</v>
      </c>
      <c r="E908" t="str" cm="1">
        <f t="array" ref="E908">IF(D908="","",_xlfn.IFS(D908&lt;=500,"Top_500",D908&lt;=2000,"501_2000",D908&lt;=5000,"2001_5000",D908&lt;=10000,"5001_10000"))</f>
        <v>2001_5000</v>
      </c>
      <c r="I908" s="8" t="str">
        <f t="shared" si="29"/>
        <v>|Support</v>
      </c>
    </row>
    <row r="909" spans="2:9" x14ac:dyDescent="0.25">
      <c r="B909" t="s">
        <v>21</v>
      </c>
      <c r="C909">
        <f t="shared" si="28"/>
        <v>158</v>
      </c>
      <c r="D909" cm="1">
        <f t="array" ref="D909">_xlfn.IFS(C909&lt;=50,7+10*(C909-1),C909&lt;=110,507+25*(C909-51),C909&lt;=170,2007+50*(C909-111),C909&lt;=250,5007+50*(C909-171))</f>
        <v>4357</v>
      </c>
      <c r="E909" t="str" cm="1">
        <f t="array" ref="E909">IF(D909="","",_xlfn.IFS(D909&lt;=500,"Top_500",D909&lt;=2000,"501_2000",D909&lt;=5000,"2001_5000",D909&lt;=10000,"5001_10000"))</f>
        <v>2001_5000</v>
      </c>
      <c r="I909" s="8" t="str">
        <f t="shared" si="29"/>
        <v>|Support</v>
      </c>
    </row>
    <row r="910" spans="2:9" x14ac:dyDescent="0.25">
      <c r="B910" t="s">
        <v>21</v>
      </c>
      <c r="C910">
        <f t="shared" si="28"/>
        <v>159</v>
      </c>
      <c r="D910" cm="1">
        <f t="array" ref="D910">_xlfn.IFS(C910&lt;=50,7+10*(C910-1),C910&lt;=110,507+25*(C910-51),C910&lt;=170,2007+50*(C910-111),C910&lt;=250,5007+50*(C910-171))</f>
        <v>4407</v>
      </c>
      <c r="E910" t="str" cm="1">
        <f t="array" ref="E910">IF(D910="","",_xlfn.IFS(D910&lt;=500,"Top_500",D910&lt;=2000,"501_2000",D910&lt;=5000,"2001_5000",D910&lt;=10000,"5001_10000"))</f>
        <v>2001_5000</v>
      </c>
      <c r="I910" s="8" t="str">
        <f t="shared" si="29"/>
        <v>|Support</v>
      </c>
    </row>
    <row r="911" spans="2:9" x14ac:dyDescent="0.25">
      <c r="B911" t="s">
        <v>21</v>
      </c>
      <c r="C911">
        <f t="shared" si="28"/>
        <v>160</v>
      </c>
      <c r="D911" cm="1">
        <f t="array" ref="D911">_xlfn.IFS(C911&lt;=50,7+10*(C911-1),C911&lt;=110,507+25*(C911-51),C911&lt;=170,2007+50*(C911-111),C911&lt;=250,5007+50*(C911-171))</f>
        <v>4457</v>
      </c>
      <c r="E911" t="str" cm="1">
        <f t="array" ref="E911">IF(D911="","",_xlfn.IFS(D911&lt;=500,"Top_500",D911&lt;=2000,"501_2000",D911&lt;=5000,"2001_5000",D911&lt;=10000,"5001_10000"))</f>
        <v>2001_5000</v>
      </c>
      <c r="I911" s="8" t="str">
        <f t="shared" si="29"/>
        <v>|Support</v>
      </c>
    </row>
    <row r="912" spans="2:9" x14ac:dyDescent="0.25">
      <c r="B912" t="s">
        <v>21</v>
      </c>
      <c r="C912">
        <f t="shared" si="28"/>
        <v>161</v>
      </c>
      <c r="D912" cm="1">
        <f t="array" ref="D912">_xlfn.IFS(C912&lt;=50,7+10*(C912-1),C912&lt;=110,507+25*(C912-51),C912&lt;=170,2007+50*(C912-111),C912&lt;=250,5007+50*(C912-171))</f>
        <v>4507</v>
      </c>
      <c r="E912" t="str" cm="1">
        <f t="array" ref="E912">IF(D912="","",_xlfn.IFS(D912&lt;=500,"Top_500",D912&lt;=2000,"501_2000",D912&lt;=5000,"2001_5000",D912&lt;=10000,"5001_10000"))</f>
        <v>2001_5000</v>
      </c>
      <c r="I912" s="8" t="str">
        <f t="shared" si="29"/>
        <v>|Support</v>
      </c>
    </row>
    <row r="913" spans="2:9" x14ac:dyDescent="0.25">
      <c r="B913" t="s">
        <v>21</v>
      </c>
      <c r="C913">
        <f t="shared" si="28"/>
        <v>162</v>
      </c>
      <c r="D913" cm="1">
        <f t="array" ref="D913">_xlfn.IFS(C913&lt;=50,7+10*(C913-1),C913&lt;=110,507+25*(C913-51),C913&lt;=170,2007+50*(C913-111),C913&lt;=250,5007+50*(C913-171))</f>
        <v>4557</v>
      </c>
      <c r="E913" t="str" cm="1">
        <f t="array" ref="E913">IF(D913="","",_xlfn.IFS(D913&lt;=500,"Top_500",D913&lt;=2000,"501_2000",D913&lt;=5000,"2001_5000",D913&lt;=10000,"5001_10000"))</f>
        <v>2001_5000</v>
      </c>
      <c r="I913" s="8" t="str">
        <f t="shared" si="29"/>
        <v>|Support</v>
      </c>
    </row>
    <row r="914" spans="2:9" x14ac:dyDescent="0.25">
      <c r="B914" t="s">
        <v>21</v>
      </c>
      <c r="C914">
        <f t="shared" si="28"/>
        <v>163</v>
      </c>
      <c r="D914" cm="1">
        <f t="array" ref="D914">_xlfn.IFS(C914&lt;=50,7+10*(C914-1),C914&lt;=110,507+25*(C914-51),C914&lt;=170,2007+50*(C914-111),C914&lt;=250,5007+50*(C914-171))</f>
        <v>4607</v>
      </c>
      <c r="E914" t="str" cm="1">
        <f t="array" ref="E914">IF(D914="","",_xlfn.IFS(D914&lt;=500,"Top_500",D914&lt;=2000,"501_2000",D914&lt;=5000,"2001_5000",D914&lt;=10000,"5001_10000"))</f>
        <v>2001_5000</v>
      </c>
      <c r="I914" s="8" t="str">
        <f t="shared" si="29"/>
        <v>|Support</v>
      </c>
    </row>
    <row r="915" spans="2:9" x14ac:dyDescent="0.25">
      <c r="B915" t="s">
        <v>21</v>
      </c>
      <c r="C915">
        <f t="shared" si="28"/>
        <v>164</v>
      </c>
      <c r="D915" cm="1">
        <f t="array" ref="D915">_xlfn.IFS(C915&lt;=50,7+10*(C915-1),C915&lt;=110,507+25*(C915-51),C915&lt;=170,2007+50*(C915-111),C915&lt;=250,5007+50*(C915-171))</f>
        <v>4657</v>
      </c>
      <c r="E915" t="str" cm="1">
        <f t="array" ref="E915">IF(D915="","",_xlfn.IFS(D915&lt;=500,"Top_500",D915&lt;=2000,"501_2000",D915&lt;=5000,"2001_5000",D915&lt;=10000,"5001_10000"))</f>
        <v>2001_5000</v>
      </c>
      <c r="I915" s="8" t="str">
        <f t="shared" si="29"/>
        <v>|Support</v>
      </c>
    </row>
    <row r="916" spans="2:9" x14ac:dyDescent="0.25">
      <c r="B916" t="s">
        <v>21</v>
      </c>
      <c r="C916">
        <f t="shared" si="28"/>
        <v>165</v>
      </c>
      <c r="D916" cm="1">
        <f t="array" ref="D916">_xlfn.IFS(C916&lt;=50,7+10*(C916-1),C916&lt;=110,507+25*(C916-51),C916&lt;=170,2007+50*(C916-111),C916&lt;=250,5007+50*(C916-171))</f>
        <v>4707</v>
      </c>
      <c r="E916" t="str" cm="1">
        <f t="array" ref="E916">IF(D916="","",_xlfn.IFS(D916&lt;=500,"Top_500",D916&lt;=2000,"501_2000",D916&lt;=5000,"2001_5000",D916&lt;=10000,"5001_10000"))</f>
        <v>2001_5000</v>
      </c>
      <c r="I916" s="8" t="str">
        <f t="shared" si="29"/>
        <v>|Support</v>
      </c>
    </row>
    <row r="917" spans="2:9" x14ac:dyDescent="0.25">
      <c r="B917" t="s">
        <v>21</v>
      </c>
      <c r="C917">
        <f t="shared" si="28"/>
        <v>166</v>
      </c>
      <c r="D917" cm="1">
        <f t="array" ref="D917">_xlfn.IFS(C917&lt;=50,7+10*(C917-1),C917&lt;=110,507+25*(C917-51),C917&lt;=170,2007+50*(C917-111),C917&lt;=250,5007+50*(C917-171))</f>
        <v>4757</v>
      </c>
      <c r="E917" t="str" cm="1">
        <f t="array" ref="E917">IF(D917="","",_xlfn.IFS(D917&lt;=500,"Top_500",D917&lt;=2000,"501_2000",D917&lt;=5000,"2001_5000",D917&lt;=10000,"5001_10000"))</f>
        <v>2001_5000</v>
      </c>
      <c r="I917" s="8" t="str">
        <f t="shared" si="29"/>
        <v>|Support</v>
      </c>
    </row>
    <row r="918" spans="2:9" x14ac:dyDescent="0.25">
      <c r="B918" t="s">
        <v>21</v>
      </c>
      <c r="C918">
        <f t="shared" si="28"/>
        <v>167</v>
      </c>
      <c r="D918" cm="1">
        <f t="array" ref="D918">_xlfn.IFS(C918&lt;=50,7+10*(C918-1),C918&lt;=110,507+25*(C918-51),C918&lt;=170,2007+50*(C918-111),C918&lt;=250,5007+50*(C918-171))</f>
        <v>4807</v>
      </c>
      <c r="E918" t="str" cm="1">
        <f t="array" ref="E918">IF(D918="","",_xlfn.IFS(D918&lt;=500,"Top_500",D918&lt;=2000,"501_2000",D918&lt;=5000,"2001_5000",D918&lt;=10000,"5001_10000"))</f>
        <v>2001_5000</v>
      </c>
      <c r="I918" s="8" t="str">
        <f t="shared" si="29"/>
        <v>|Support</v>
      </c>
    </row>
    <row r="919" spans="2:9" x14ac:dyDescent="0.25">
      <c r="B919" t="s">
        <v>21</v>
      </c>
      <c r="C919">
        <f t="shared" si="28"/>
        <v>168</v>
      </c>
      <c r="D919" cm="1">
        <f t="array" ref="D919">_xlfn.IFS(C919&lt;=50,7+10*(C919-1),C919&lt;=110,507+25*(C919-51),C919&lt;=170,2007+50*(C919-111),C919&lt;=250,5007+50*(C919-171))</f>
        <v>4857</v>
      </c>
      <c r="E919" t="str" cm="1">
        <f t="array" ref="E919">IF(D919="","",_xlfn.IFS(D919&lt;=500,"Top_500",D919&lt;=2000,"501_2000",D919&lt;=5000,"2001_5000",D919&lt;=10000,"5001_10000"))</f>
        <v>2001_5000</v>
      </c>
      <c r="I919" s="8" t="str">
        <f t="shared" si="29"/>
        <v>|Support</v>
      </c>
    </row>
    <row r="920" spans="2:9" x14ac:dyDescent="0.25">
      <c r="B920" t="s">
        <v>21</v>
      </c>
      <c r="C920">
        <f t="shared" si="28"/>
        <v>169</v>
      </c>
      <c r="D920" cm="1">
        <f t="array" ref="D920">_xlfn.IFS(C920&lt;=50,7+10*(C920-1),C920&lt;=110,507+25*(C920-51),C920&lt;=170,2007+50*(C920-111),C920&lt;=250,5007+50*(C920-171))</f>
        <v>4907</v>
      </c>
      <c r="E920" t="str" cm="1">
        <f t="array" ref="E920">IF(D920="","",_xlfn.IFS(D920&lt;=500,"Top_500",D920&lt;=2000,"501_2000",D920&lt;=5000,"2001_5000",D920&lt;=10000,"5001_10000"))</f>
        <v>2001_5000</v>
      </c>
      <c r="I920" s="8" t="str">
        <f t="shared" si="29"/>
        <v>|Support</v>
      </c>
    </row>
    <row r="921" spans="2:9" x14ac:dyDescent="0.25">
      <c r="B921" t="s">
        <v>21</v>
      </c>
      <c r="C921">
        <f t="shared" si="28"/>
        <v>170</v>
      </c>
      <c r="D921" cm="1">
        <f t="array" ref="D921">_xlfn.IFS(C921&lt;=50,7+10*(C921-1),C921&lt;=110,507+25*(C921-51),C921&lt;=170,2007+50*(C921-111),C921&lt;=250,5007+50*(C921-171))</f>
        <v>4957</v>
      </c>
      <c r="E921" t="str" cm="1">
        <f t="array" ref="E921">IF(D921="","",_xlfn.IFS(D921&lt;=500,"Top_500",D921&lt;=2000,"501_2000",D921&lt;=5000,"2001_5000",D921&lt;=10000,"5001_10000"))</f>
        <v>2001_5000</v>
      </c>
      <c r="I921" s="8" t="str">
        <f t="shared" si="29"/>
        <v>|Support</v>
      </c>
    </row>
    <row r="922" spans="2:9" x14ac:dyDescent="0.25">
      <c r="B922" t="s">
        <v>21</v>
      </c>
      <c r="C922">
        <f t="shared" si="28"/>
        <v>171</v>
      </c>
      <c r="D922" cm="1">
        <f t="array" ref="D922">_xlfn.IFS(C922&lt;=50,7+10*(C922-1),C922&lt;=110,507+25*(C922-51),C922&lt;=170,2007+50*(C922-111),C922&lt;=250,5007+50*(C922-171))</f>
        <v>5007</v>
      </c>
      <c r="E922" t="str" cm="1">
        <f t="array" ref="E922">IF(D922="","",_xlfn.IFS(D922&lt;=500,"Top_500",D922&lt;=2000,"501_2000",D922&lt;=5000,"2001_5000",D922&lt;=10000,"5001_10000"))</f>
        <v>5001_10000</v>
      </c>
      <c r="I922" s="8" t="str">
        <f t="shared" si="29"/>
        <v>|Support</v>
      </c>
    </row>
    <row r="923" spans="2:9" x14ac:dyDescent="0.25">
      <c r="B923" t="s">
        <v>21</v>
      </c>
      <c r="C923">
        <f t="shared" si="28"/>
        <v>172</v>
      </c>
      <c r="D923" cm="1">
        <f t="array" ref="D923">_xlfn.IFS(C923&lt;=50,7+10*(C923-1),C923&lt;=110,507+25*(C923-51),C923&lt;=170,2007+50*(C923-111),C923&lt;=250,5007+50*(C923-171))</f>
        <v>5057</v>
      </c>
      <c r="E923" t="str" cm="1">
        <f t="array" ref="E923">IF(D923="","",_xlfn.IFS(D923&lt;=500,"Top_500",D923&lt;=2000,"501_2000",D923&lt;=5000,"2001_5000",D923&lt;=10000,"5001_10000"))</f>
        <v>5001_10000</v>
      </c>
      <c r="I923" s="8" t="str">
        <f t="shared" si="29"/>
        <v>|Support</v>
      </c>
    </row>
    <row r="924" spans="2:9" x14ac:dyDescent="0.25">
      <c r="B924" t="s">
        <v>21</v>
      </c>
      <c r="C924">
        <f t="shared" si="28"/>
        <v>173</v>
      </c>
      <c r="D924" cm="1">
        <f t="array" ref="D924">_xlfn.IFS(C924&lt;=50,7+10*(C924-1),C924&lt;=110,507+25*(C924-51),C924&lt;=170,2007+50*(C924-111),C924&lt;=250,5007+50*(C924-171))</f>
        <v>5107</v>
      </c>
      <c r="E924" t="str" cm="1">
        <f t="array" ref="E924">IF(D924="","",_xlfn.IFS(D924&lt;=500,"Top_500",D924&lt;=2000,"501_2000",D924&lt;=5000,"2001_5000",D924&lt;=10000,"5001_10000"))</f>
        <v>5001_10000</v>
      </c>
      <c r="I924" s="8" t="str">
        <f t="shared" si="29"/>
        <v>|Support</v>
      </c>
    </row>
    <row r="925" spans="2:9" x14ac:dyDescent="0.25">
      <c r="B925" t="s">
        <v>21</v>
      </c>
      <c r="C925">
        <f t="shared" si="28"/>
        <v>174</v>
      </c>
      <c r="D925" cm="1">
        <f t="array" ref="D925">_xlfn.IFS(C925&lt;=50,7+10*(C925-1),C925&lt;=110,507+25*(C925-51),C925&lt;=170,2007+50*(C925-111),C925&lt;=250,5007+50*(C925-171))</f>
        <v>5157</v>
      </c>
      <c r="E925" t="str" cm="1">
        <f t="array" ref="E925">IF(D925="","",_xlfn.IFS(D925&lt;=500,"Top_500",D925&lt;=2000,"501_2000",D925&lt;=5000,"2001_5000",D925&lt;=10000,"5001_10000"))</f>
        <v>5001_10000</v>
      </c>
      <c r="I925" s="8" t="str">
        <f t="shared" si="29"/>
        <v>|Support</v>
      </c>
    </row>
    <row r="926" spans="2:9" x14ac:dyDescent="0.25">
      <c r="B926" t="s">
        <v>21</v>
      </c>
      <c r="C926">
        <f t="shared" si="28"/>
        <v>175</v>
      </c>
      <c r="D926" cm="1">
        <f t="array" ref="D926">_xlfn.IFS(C926&lt;=50,7+10*(C926-1),C926&lt;=110,507+25*(C926-51),C926&lt;=170,2007+50*(C926-111),C926&lt;=250,5007+50*(C926-171))</f>
        <v>5207</v>
      </c>
      <c r="E926" t="str" cm="1">
        <f t="array" ref="E926">IF(D926="","",_xlfn.IFS(D926&lt;=500,"Top_500",D926&lt;=2000,"501_2000",D926&lt;=5000,"2001_5000",D926&lt;=10000,"5001_10000"))</f>
        <v>5001_10000</v>
      </c>
      <c r="I926" s="8" t="str">
        <f t="shared" si="29"/>
        <v>|Support</v>
      </c>
    </row>
    <row r="927" spans="2:9" x14ac:dyDescent="0.25">
      <c r="B927" t="s">
        <v>21</v>
      </c>
      <c r="C927">
        <f t="shared" si="28"/>
        <v>176</v>
      </c>
      <c r="D927" cm="1">
        <f t="array" ref="D927">_xlfn.IFS(C927&lt;=50,7+10*(C927-1),C927&lt;=110,507+25*(C927-51),C927&lt;=170,2007+50*(C927-111),C927&lt;=250,5007+50*(C927-171))</f>
        <v>5257</v>
      </c>
      <c r="E927" t="str" cm="1">
        <f t="array" ref="E927">IF(D927="","",_xlfn.IFS(D927&lt;=500,"Top_500",D927&lt;=2000,"501_2000",D927&lt;=5000,"2001_5000",D927&lt;=10000,"5001_10000"))</f>
        <v>5001_10000</v>
      </c>
      <c r="I927" s="8" t="str">
        <f t="shared" si="29"/>
        <v>|Support</v>
      </c>
    </row>
    <row r="928" spans="2:9" x14ac:dyDescent="0.25">
      <c r="B928" t="s">
        <v>21</v>
      </c>
      <c r="C928">
        <f t="shared" si="28"/>
        <v>177</v>
      </c>
      <c r="D928" cm="1">
        <f t="array" ref="D928">_xlfn.IFS(C928&lt;=50,7+10*(C928-1),C928&lt;=110,507+25*(C928-51),C928&lt;=170,2007+50*(C928-111),C928&lt;=250,5007+50*(C928-171))</f>
        <v>5307</v>
      </c>
      <c r="E928" t="str" cm="1">
        <f t="array" ref="E928">IF(D928="","",_xlfn.IFS(D928&lt;=500,"Top_500",D928&lt;=2000,"501_2000",D928&lt;=5000,"2001_5000",D928&lt;=10000,"5001_10000"))</f>
        <v>5001_10000</v>
      </c>
      <c r="I928" s="8" t="str">
        <f t="shared" si="29"/>
        <v>|Support</v>
      </c>
    </row>
    <row r="929" spans="2:9" x14ac:dyDescent="0.25">
      <c r="B929" t="s">
        <v>21</v>
      </c>
      <c r="C929">
        <f t="shared" si="28"/>
        <v>178</v>
      </c>
      <c r="D929" cm="1">
        <f t="array" ref="D929">_xlfn.IFS(C929&lt;=50,7+10*(C929-1),C929&lt;=110,507+25*(C929-51),C929&lt;=170,2007+50*(C929-111),C929&lt;=250,5007+50*(C929-171))</f>
        <v>5357</v>
      </c>
      <c r="E929" t="str" cm="1">
        <f t="array" ref="E929">IF(D929="","",_xlfn.IFS(D929&lt;=500,"Top_500",D929&lt;=2000,"501_2000",D929&lt;=5000,"2001_5000",D929&lt;=10000,"5001_10000"))</f>
        <v>5001_10000</v>
      </c>
      <c r="I929" s="8" t="str">
        <f t="shared" si="29"/>
        <v>|Support</v>
      </c>
    </row>
    <row r="930" spans="2:9" x14ac:dyDescent="0.25">
      <c r="B930" t="s">
        <v>21</v>
      </c>
      <c r="C930">
        <f t="shared" si="28"/>
        <v>179</v>
      </c>
      <c r="D930" cm="1">
        <f t="array" ref="D930">_xlfn.IFS(C930&lt;=50,7+10*(C930-1),C930&lt;=110,507+25*(C930-51),C930&lt;=170,2007+50*(C930-111),C930&lt;=250,5007+50*(C930-171))</f>
        <v>5407</v>
      </c>
      <c r="E930" t="str" cm="1">
        <f t="array" ref="E930">IF(D930="","",_xlfn.IFS(D930&lt;=500,"Top_500",D930&lt;=2000,"501_2000",D930&lt;=5000,"2001_5000",D930&lt;=10000,"5001_10000"))</f>
        <v>5001_10000</v>
      </c>
      <c r="I930" s="8" t="str">
        <f t="shared" si="29"/>
        <v>|Support</v>
      </c>
    </row>
    <row r="931" spans="2:9" x14ac:dyDescent="0.25">
      <c r="B931" t="s">
        <v>21</v>
      </c>
      <c r="C931">
        <f t="shared" si="28"/>
        <v>180</v>
      </c>
      <c r="D931" cm="1">
        <f t="array" ref="D931">_xlfn.IFS(C931&lt;=50,7+10*(C931-1),C931&lt;=110,507+25*(C931-51),C931&lt;=170,2007+50*(C931-111),C931&lt;=250,5007+50*(C931-171))</f>
        <v>5457</v>
      </c>
      <c r="E931" t="str" cm="1">
        <f t="array" ref="E931">IF(D931="","",_xlfn.IFS(D931&lt;=500,"Top_500",D931&lt;=2000,"501_2000",D931&lt;=5000,"2001_5000",D931&lt;=10000,"5001_10000"))</f>
        <v>5001_10000</v>
      </c>
      <c r="I931" s="8" t="str">
        <f t="shared" si="29"/>
        <v>|Support</v>
      </c>
    </row>
    <row r="932" spans="2:9" x14ac:dyDescent="0.25">
      <c r="B932" t="s">
        <v>21</v>
      </c>
      <c r="C932">
        <f t="shared" si="28"/>
        <v>181</v>
      </c>
      <c r="D932" cm="1">
        <f t="array" ref="D932">_xlfn.IFS(C932&lt;=50,7+10*(C932-1),C932&lt;=110,507+25*(C932-51),C932&lt;=170,2007+50*(C932-111),C932&lt;=250,5007+50*(C932-171))</f>
        <v>5507</v>
      </c>
      <c r="E932" t="str" cm="1">
        <f t="array" ref="E932">IF(D932="","",_xlfn.IFS(D932&lt;=500,"Top_500",D932&lt;=2000,"501_2000",D932&lt;=5000,"2001_5000",D932&lt;=10000,"5001_10000"))</f>
        <v>5001_10000</v>
      </c>
      <c r="I932" s="8" t="str">
        <f t="shared" si="29"/>
        <v>|Support</v>
      </c>
    </row>
    <row r="933" spans="2:9" x14ac:dyDescent="0.25">
      <c r="B933" t="s">
        <v>21</v>
      </c>
      <c r="C933">
        <f t="shared" si="28"/>
        <v>182</v>
      </c>
      <c r="D933" cm="1">
        <f t="array" ref="D933">_xlfn.IFS(C933&lt;=50,7+10*(C933-1),C933&lt;=110,507+25*(C933-51),C933&lt;=170,2007+50*(C933-111),C933&lt;=250,5007+50*(C933-171))</f>
        <v>5557</v>
      </c>
      <c r="E933" t="str" cm="1">
        <f t="array" ref="E933">IF(D933="","",_xlfn.IFS(D933&lt;=500,"Top_500",D933&lt;=2000,"501_2000",D933&lt;=5000,"2001_5000",D933&lt;=10000,"5001_10000"))</f>
        <v>5001_10000</v>
      </c>
      <c r="I933" s="8" t="str">
        <f t="shared" si="29"/>
        <v>|Support</v>
      </c>
    </row>
    <row r="934" spans="2:9" x14ac:dyDescent="0.25">
      <c r="B934" t="s">
        <v>21</v>
      </c>
      <c r="C934">
        <f t="shared" si="28"/>
        <v>183</v>
      </c>
      <c r="D934" cm="1">
        <f t="array" ref="D934">_xlfn.IFS(C934&lt;=50,7+10*(C934-1),C934&lt;=110,507+25*(C934-51),C934&lt;=170,2007+50*(C934-111),C934&lt;=250,5007+50*(C934-171))</f>
        <v>5607</v>
      </c>
      <c r="E934" t="str" cm="1">
        <f t="array" ref="E934">IF(D934="","",_xlfn.IFS(D934&lt;=500,"Top_500",D934&lt;=2000,"501_2000",D934&lt;=5000,"2001_5000",D934&lt;=10000,"5001_10000"))</f>
        <v>5001_10000</v>
      </c>
      <c r="I934" s="8" t="str">
        <f t="shared" si="29"/>
        <v>|Support</v>
      </c>
    </row>
    <row r="935" spans="2:9" x14ac:dyDescent="0.25">
      <c r="B935" t="s">
        <v>21</v>
      </c>
      <c r="C935">
        <f t="shared" si="28"/>
        <v>184</v>
      </c>
      <c r="D935" cm="1">
        <f t="array" ref="D935">_xlfn.IFS(C935&lt;=50,7+10*(C935-1),C935&lt;=110,507+25*(C935-51),C935&lt;=170,2007+50*(C935-111),C935&lt;=250,5007+50*(C935-171))</f>
        <v>5657</v>
      </c>
      <c r="E935" t="str" cm="1">
        <f t="array" ref="E935">IF(D935="","",_xlfn.IFS(D935&lt;=500,"Top_500",D935&lt;=2000,"501_2000",D935&lt;=5000,"2001_5000",D935&lt;=10000,"5001_10000"))</f>
        <v>5001_10000</v>
      </c>
      <c r="I935" s="8" t="str">
        <f t="shared" si="29"/>
        <v>|Support</v>
      </c>
    </row>
    <row r="936" spans="2:9" x14ac:dyDescent="0.25">
      <c r="B936" t="s">
        <v>21</v>
      </c>
      <c r="C936">
        <f t="shared" si="28"/>
        <v>185</v>
      </c>
      <c r="D936" cm="1">
        <f t="array" ref="D936">_xlfn.IFS(C936&lt;=50,7+10*(C936-1),C936&lt;=110,507+25*(C936-51),C936&lt;=170,2007+50*(C936-111),C936&lt;=250,5007+50*(C936-171))</f>
        <v>5707</v>
      </c>
      <c r="E936" t="str" cm="1">
        <f t="array" ref="E936">IF(D936="","",_xlfn.IFS(D936&lt;=500,"Top_500",D936&lt;=2000,"501_2000",D936&lt;=5000,"2001_5000",D936&lt;=10000,"5001_10000"))</f>
        <v>5001_10000</v>
      </c>
      <c r="I936" s="8" t="str">
        <f t="shared" si="29"/>
        <v>|Support</v>
      </c>
    </row>
    <row r="937" spans="2:9" x14ac:dyDescent="0.25">
      <c r="B937" t="s">
        <v>21</v>
      </c>
      <c r="C937">
        <f t="shared" si="28"/>
        <v>186</v>
      </c>
      <c r="D937" cm="1">
        <f t="array" ref="D937">_xlfn.IFS(C937&lt;=50,7+10*(C937-1),C937&lt;=110,507+25*(C937-51),C937&lt;=170,2007+50*(C937-111),C937&lt;=250,5007+50*(C937-171))</f>
        <v>5757</v>
      </c>
      <c r="E937" t="str" cm="1">
        <f t="array" ref="E937">IF(D937="","",_xlfn.IFS(D937&lt;=500,"Top_500",D937&lt;=2000,"501_2000",D937&lt;=5000,"2001_5000",D937&lt;=10000,"5001_10000"))</f>
        <v>5001_10000</v>
      </c>
      <c r="I937" s="8" t="str">
        <f t="shared" si="29"/>
        <v>|Support</v>
      </c>
    </row>
    <row r="938" spans="2:9" x14ac:dyDescent="0.25">
      <c r="B938" t="s">
        <v>21</v>
      </c>
      <c r="C938">
        <f t="shared" si="28"/>
        <v>187</v>
      </c>
      <c r="D938" cm="1">
        <f t="array" ref="D938">_xlfn.IFS(C938&lt;=50,7+10*(C938-1),C938&lt;=110,507+25*(C938-51),C938&lt;=170,2007+50*(C938-111),C938&lt;=250,5007+50*(C938-171))</f>
        <v>5807</v>
      </c>
      <c r="E938" t="str" cm="1">
        <f t="array" ref="E938">IF(D938="","",_xlfn.IFS(D938&lt;=500,"Top_500",D938&lt;=2000,"501_2000",D938&lt;=5000,"2001_5000",D938&lt;=10000,"5001_10000"))</f>
        <v>5001_10000</v>
      </c>
      <c r="I938" s="8" t="str">
        <f t="shared" si="29"/>
        <v>|Support</v>
      </c>
    </row>
    <row r="939" spans="2:9" x14ac:dyDescent="0.25">
      <c r="B939" t="s">
        <v>21</v>
      </c>
      <c r="C939">
        <f t="shared" si="28"/>
        <v>188</v>
      </c>
      <c r="D939" cm="1">
        <f t="array" ref="D939">_xlfn.IFS(C939&lt;=50,7+10*(C939-1),C939&lt;=110,507+25*(C939-51),C939&lt;=170,2007+50*(C939-111),C939&lt;=250,5007+50*(C939-171))</f>
        <v>5857</v>
      </c>
      <c r="E939" t="str" cm="1">
        <f t="array" ref="E939">IF(D939="","",_xlfn.IFS(D939&lt;=500,"Top_500",D939&lt;=2000,"501_2000",D939&lt;=5000,"2001_5000",D939&lt;=10000,"5001_10000"))</f>
        <v>5001_10000</v>
      </c>
      <c r="I939" s="8" t="str">
        <f t="shared" si="29"/>
        <v>|Support</v>
      </c>
    </row>
    <row r="940" spans="2:9" x14ac:dyDescent="0.25">
      <c r="B940" t="s">
        <v>21</v>
      </c>
      <c r="C940">
        <f t="shared" si="28"/>
        <v>189</v>
      </c>
      <c r="D940" cm="1">
        <f t="array" ref="D940">_xlfn.IFS(C940&lt;=50,7+10*(C940-1),C940&lt;=110,507+25*(C940-51),C940&lt;=170,2007+50*(C940-111),C940&lt;=250,5007+50*(C940-171))</f>
        <v>5907</v>
      </c>
      <c r="E940" t="str" cm="1">
        <f t="array" ref="E940">IF(D940="","",_xlfn.IFS(D940&lt;=500,"Top_500",D940&lt;=2000,"501_2000",D940&lt;=5000,"2001_5000",D940&lt;=10000,"5001_10000"))</f>
        <v>5001_10000</v>
      </c>
      <c r="I940" s="8" t="str">
        <f t="shared" si="29"/>
        <v>|Support</v>
      </c>
    </row>
    <row r="941" spans="2:9" x14ac:dyDescent="0.25">
      <c r="B941" t="s">
        <v>21</v>
      </c>
      <c r="C941">
        <f t="shared" si="28"/>
        <v>190</v>
      </c>
      <c r="D941" cm="1">
        <f t="array" ref="D941">_xlfn.IFS(C941&lt;=50,7+10*(C941-1),C941&lt;=110,507+25*(C941-51),C941&lt;=170,2007+50*(C941-111),C941&lt;=250,5007+50*(C941-171))</f>
        <v>5957</v>
      </c>
      <c r="E941" t="str" cm="1">
        <f t="array" ref="E941">IF(D941="","",_xlfn.IFS(D941&lt;=500,"Top_500",D941&lt;=2000,"501_2000",D941&lt;=5000,"2001_5000",D941&lt;=10000,"5001_10000"))</f>
        <v>5001_10000</v>
      </c>
      <c r="I941" s="8" t="str">
        <f t="shared" si="29"/>
        <v>|Support</v>
      </c>
    </row>
    <row r="942" spans="2:9" x14ac:dyDescent="0.25">
      <c r="B942" t="s">
        <v>21</v>
      </c>
      <c r="C942">
        <f t="shared" si="28"/>
        <v>191</v>
      </c>
      <c r="D942" cm="1">
        <f t="array" ref="D942">_xlfn.IFS(C942&lt;=50,7+10*(C942-1),C942&lt;=110,507+25*(C942-51),C942&lt;=170,2007+50*(C942-111),C942&lt;=250,5007+50*(C942-171))</f>
        <v>6007</v>
      </c>
      <c r="E942" t="str" cm="1">
        <f t="array" ref="E942">IF(D942="","",_xlfn.IFS(D942&lt;=500,"Top_500",D942&lt;=2000,"501_2000",D942&lt;=5000,"2001_5000",D942&lt;=10000,"5001_10000"))</f>
        <v>5001_10000</v>
      </c>
      <c r="I942" s="8" t="str">
        <f t="shared" si="29"/>
        <v>|Support</v>
      </c>
    </row>
    <row r="943" spans="2:9" x14ac:dyDescent="0.25">
      <c r="B943" t="s">
        <v>21</v>
      </c>
      <c r="C943">
        <f t="shared" si="28"/>
        <v>192</v>
      </c>
      <c r="D943" cm="1">
        <f t="array" ref="D943">_xlfn.IFS(C943&lt;=50,7+10*(C943-1),C943&lt;=110,507+25*(C943-51),C943&lt;=170,2007+50*(C943-111),C943&lt;=250,5007+50*(C943-171))</f>
        <v>6057</v>
      </c>
      <c r="E943" t="str" cm="1">
        <f t="array" ref="E943">IF(D943="","",_xlfn.IFS(D943&lt;=500,"Top_500",D943&lt;=2000,"501_2000",D943&lt;=5000,"2001_5000",D943&lt;=10000,"5001_10000"))</f>
        <v>5001_10000</v>
      </c>
      <c r="I943" s="8" t="str">
        <f t="shared" si="29"/>
        <v>|Support</v>
      </c>
    </row>
    <row r="944" spans="2:9" x14ac:dyDescent="0.25">
      <c r="B944" t="s">
        <v>21</v>
      </c>
      <c r="C944">
        <f t="shared" si="28"/>
        <v>193</v>
      </c>
      <c r="D944" cm="1">
        <f t="array" ref="D944">_xlfn.IFS(C944&lt;=50,7+10*(C944-1),C944&lt;=110,507+25*(C944-51),C944&lt;=170,2007+50*(C944-111),C944&lt;=250,5007+50*(C944-171))</f>
        <v>6107</v>
      </c>
      <c r="E944" t="str" cm="1">
        <f t="array" ref="E944">IF(D944="","",_xlfn.IFS(D944&lt;=500,"Top_500",D944&lt;=2000,"501_2000",D944&lt;=5000,"2001_5000",D944&lt;=10000,"5001_10000"))</f>
        <v>5001_10000</v>
      </c>
      <c r="I944" s="8" t="str">
        <f t="shared" si="29"/>
        <v>|Support</v>
      </c>
    </row>
    <row r="945" spans="2:9" x14ac:dyDescent="0.25">
      <c r="B945" t="s">
        <v>21</v>
      </c>
      <c r="C945">
        <f t="shared" si="28"/>
        <v>194</v>
      </c>
      <c r="D945" cm="1">
        <f t="array" ref="D945">_xlfn.IFS(C945&lt;=50,7+10*(C945-1),C945&lt;=110,507+25*(C945-51),C945&lt;=170,2007+50*(C945-111),C945&lt;=250,5007+50*(C945-171))</f>
        <v>6157</v>
      </c>
      <c r="E945" t="str" cm="1">
        <f t="array" ref="E945">IF(D945="","",_xlfn.IFS(D945&lt;=500,"Top_500",D945&lt;=2000,"501_2000",D945&lt;=5000,"2001_5000",D945&lt;=10000,"5001_10000"))</f>
        <v>5001_10000</v>
      </c>
      <c r="I945" s="8" t="str">
        <f t="shared" si="29"/>
        <v>|Support</v>
      </c>
    </row>
    <row r="946" spans="2:9" x14ac:dyDescent="0.25">
      <c r="B946" t="s">
        <v>21</v>
      </c>
      <c r="C946">
        <f t="shared" si="28"/>
        <v>195</v>
      </c>
      <c r="D946" cm="1">
        <f t="array" ref="D946">_xlfn.IFS(C946&lt;=50,7+10*(C946-1),C946&lt;=110,507+25*(C946-51),C946&lt;=170,2007+50*(C946-111),C946&lt;=250,5007+50*(C946-171))</f>
        <v>6207</v>
      </c>
      <c r="E946" t="str" cm="1">
        <f t="array" ref="E946">IF(D946="","",_xlfn.IFS(D946&lt;=500,"Top_500",D946&lt;=2000,"501_2000",D946&lt;=5000,"2001_5000",D946&lt;=10000,"5001_10000"))</f>
        <v>5001_10000</v>
      </c>
      <c r="I946" s="8" t="str">
        <f t="shared" si="29"/>
        <v>|Support</v>
      </c>
    </row>
    <row r="947" spans="2:9" x14ac:dyDescent="0.25">
      <c r="B947" t="s">
        <v>21</v>
      </c>
      <c r="C947">
        <f t="shared" si="28"/>
        <v>196</v>
      </c>
      <c r="D947" cm="1">
        <f t="array" ref="D947">_xlfn.IFS(C947&lt;=50,7+10*(C947-1),C947&lt;=110,507+25*(C947-51),C947&lt;=170,2007+50*(C947-111),C947&lt;=250,5007+50*(C947-171))</f>
        <v>6257</v>
      </c>
      <c r="E947" t="str" cm="1">
        <f t="array" ref="E947">IF(D947="","",_xlfn.IFS(D947&lt;=500,"Top_500",D947&lt;=2000,"501_2000",D947&lt;=5000,"2001_5000",D947&lt;=10000,"5001_10000"))</f>
        <v>5001_10000</v>
      </c>
      <c r="I947" s="8" t="str">
        <f t="shared" si="29"/>
        <v>|Support</v>
      </c>
    </row>
    <row r="948" spans="2:9" x14ac:dyDescent="0.25">
      <c r="B948" t="s">
        <v>21</v>
      </c>
      <c r="C948">
        <f t="shared" si="28"/>
        <v>197</v>
      </c>
      <c r="D948" cm="1">
        <f t="array" ref="D948">_xlfn.IFS(C948&lt;=50,7+10*(C948-1),C948&lt;=110,507+25*(C948-51),C948&lt;=170,2007+50*(C948-111),C948&lt;=250,5007+50*(C948-171))</f>
        <v>6307</v>
      </c>
      <c r="E948" t="str" cm="1">
        <f t="array" ref="E948">IF(D948="","",_xlfn.IFS(D948&lt;=500,"Top_500",D948&lt;=2000,"501_2000",D948&lt;=5000,"2001_5000",D948&lt;=10000,"5001_10000"))</f>
        <v>5001_10000</v>
      </c>
      <c r="I948" s="8" t="str">
        <f t="shared" si="29"/>
        <v>|Support</v>
      </c>
    </row>
    <row r="949" spans="2:9" x14ac:dyDescent="0.25">
      <c r="B949" t="s">
        <v>21</v>
      </c>
      <c r="C949">
        <f t="shared" si="28"/>
        <v>198</v>
      </c>
      <c r="D949" cm="1">
        <f t="array" ref="D949">_xlfn.IFS(C949&lt;=50,7+10*(C949-1),C949&lt;=110,507+25*(C949-51),C949&lt;=170,2007+50*(C949-111),C949&lt;=250,5007+50*(C949-171))</f>
        <v>6357</v>
      </c>
      <c r="E949" t="str" cm="1">
        <f t="array" ref="E949">IF(D949="","",_xlfn.IFS(D949&lt;=500,"Top_500",D949&lt;=2000,"501_2000",D949&lt;=5000,"2001_5000",D949&lt;=10000,"5001_10000"))</f>
        <v>5001_10000</v>
      </c>
      <c r="I949" s="8" t="str">
        <f t="shared" si="29"/>
        <v>|Support</v>
      </c>
    </row>
    <row r="950" spans="2:9" x14ac:dyDescent="0.25">
      <c r="B950" t="s">
        <v>21</v>
      </c>
      <c r="C950">
        <f t="shared" si="28"/>
        <v>199</v>
      </c>
      <c r="D950" cm="1">
        <f t="array" ref="D950">_xlfn.IFS(C950&lt;=50,7+10*(C950-1),C950&lt;=110,507+25*(C950-51),C950&lt;=170,2007+50*(C950-111),C950&lt;=250,5007+50*(C950-171))</f>
        <v>6407</v>
      </c>
      <c r="E950" t="str" cm="1">
        <f t="array" ref="E950">IF(D950="","",_xlfn.IFS(D950&lt;=500,"Top_500",D950&lt;=2000,"501_2000",D950&lt;=5000,"2001_5000",D950&lt;=10000,"5001_10000"))</f>
        <v>5001_10000</v>
      </c>
      <c r="I950" s="8" t="str">
        <f t="shared" si="29"/>
        <v>|Support</v>
      </c>
    </row>
    <row r="951" spans="2:9" x14ac:dyDescent="0.25">
      <c r="B951" t="s">
        <v>21</v>
      </c>
      <c r="C951">
        <f t="shared" si="28"/>
        <v>200</v>
      </c>
      <c r="D951" cm="1">
        <f t="array" ref="D951">_xlfn.IFS(C951&lt;=50,7+10*(C951-1),C951&lt;=110,507+25*(C951-51),C951&lt;=170,2007+50*(C951-111),C951&lt;=250,5007+50*(C951-171))</f>
        <v>6457</v>
      </c>
      <c r="E951" t="str" cm="1">
        <f t="array" ref="E951">IF(D951="","",_xlfn.IFS(D951&lt;=500,"Top_500",D951&lt;=2000,"501_2000",D951&lt;=5000,"2001_5000",D951&lt;=10000,"5001_10000"))</f>
        <v>5001_10000</v>
      </c>
      <c r="I951" s="8" t="str">
        <f t="shared" si="29"/>
        <v>|Support</v>
      </c>
    </row>
    <row r="952" spans="2:9" x14ac:dyDescent="0.25">
      <c r="B952" t="s">
        <v>21</v>
      </c>
      <c r="C952">
        <f t="shared" si="28"/>
        <v>201</v>
      </c>
      <c r="D952" cm="1">
        <f t="array" ref="D952">_xlfn.IFS(C952&lt;=50,7+10*(C952-1),C952&lt;=110,507+25*(C952-51),C952&lt;=170,2007+50*(C952-111),C952&lt;=250,5007+50*(C952-171))</f>
        <v>6507</v>
      </c>
      <c r="E952" t="str" cm="1">
        <f t="array" ref="E952">IF(D952="","",_xlfn.IFS(D952&lt;=500,"Top_500",D952&lt;=2000,"501_2000",D952&lt;=5000,"2001_5000",D952&lt;=10000,"5001_10000"))</f>
        <v>5001_10000</v>
      </c>
      <c r="I952" s="8" t="str">
        <f t="shared" si="29"/>
        <v>|Support</v>
      </c>
    </row>
    <row r="953" spans="2:9" x14ac:dyDescent="0.25">
      <c r="B953" t="s">
        <v>21</v>
      </c>
      <c r="C953">
        <f t="shared" si="28"/>
        <v>202</v>
      </c>
      <c r="D953" cm="1">
        <f t="array" ref="D953">_xlfn.IFS(C953&lt;=50,7+10*(C953-1),C953&lt;=110,507+25*(C953-51),C953&lt;=170,2007+50*(C953-111),C953&lt;=250,5007+50*(C953-171))</f>
        <v>6557</v>
      </c>
      <c r="E953" t="str" cm="1">
        <f t="array" ref="E953">IF(D953="","",_xlfn.IFS(D953&lt;=500,"Top_500",D953&lt;=2000,"501_2000",D953&lt;=5000,"2001_5000",D953&lt;=10000,"5001_10000"))</f>
        <v>5001_10000</v>
      </c>
      <c r="I953" s="8" t="str">
        <f t="shared" si="29"/>
        <v>|Support</v>
      </c>
    </row>
    <row r="954" spans="2:9" x14ac:dyDescent="0.25">
      <c r="B954" t="s">
        <v>21</v>
      </c>
      <c r="C954">
        <f t="shared" si="28"/>
        <v>203</v>
      </c>
      <c r="D954" cm="1">
        <f t="array" ref="D954">_xlfn.IFS(C954&lt;=50,7+10*(C954-1),C954&lt;=110,507+25*(C954-51),C954&lt;=170,2007+50*(C954-111),C954&lt;=250,5007+50*(C954-171))</f>
        <v>6607</v>
      </c>
      <c r="E954" t="str" cm="1">
        <f t="array" ref="E954">IF(D954="","",_xlfn.IFS(D954&lt;=500,"Top_500",D954&lt;=2000,"501_2000",D954&lt;=5000,"2001_5000",D954&lt;=10000,"5001_10000"))</f>
        <v>5001_10000</v>
      </c>
      <c r="I954" s="8" t="str">
        <f t="shared" si="29"/>
        <v>|Support</v>
      </c>
    </row>
    <row r="955" spans="2:9" x14ac:dyDescent="0.25">
      <c r="B955" t="s">
        <v>21</v>
      </c>
      <c r="C955">
        <f t="shared" si="28"/>
        <v>204</v>
      </c>
      <c r="D955" cm="1">
        <f t="array" ref="D955">_xlfn.IFS(C955&lt;=50,7+10*(C955-1),C955&lt;=110,507+25*(C955-51),C955&lt;=170,2007+50*(C955-111),C955&lt;=250,5007+50*(C955-171))</f>
        <v>6657</v>
      </c>
      <c r="E955" t="str" cm="1">
        <f t="array" ref="E955">IF(D955="","",_xlfn.IFS(D955&lt;=500,"Top_500",D955&lt;=2000,"501_2000",D955&lt;=5000,"2001_5000",D955&lt;=10000,"5001_10000"))</f>
        <v>5001_10000</v>
      </c>
      <c r="I955" s="8" t="str">
        <f t="shared" si="29"/>
        <v>|Support</v>
      </c>
    </row>
    <row r="956" spans="2:9" x14ac:dyDescent="0.25">
      <c r="B956" t="s">
        <v>21</v>
      </c>
      <c r="C956">
        <f t="shared" si="28"/>
        <v>205</v>
      </c>
      <c r="D956" cm="1">
        <f t="array" ref="D956">_xlfn.IFS(C956&lt;=50,7+10*(C956-1),C956&lt;=110,507+25*(C956-51),C956&lt;=170,2007+50*(C956-111),C956&lt;=250,5007+50*(C956-171))</f>
        <v>6707</v>
      </c>
      <c r="E956" t="str" cm="1">
        <f t="array" ref="E956">IF(D956="","",_xlfn.IFS(D956&lt;=500,"Top_500",D956&lt;=2000,"501_2000",D956&lt;=5000,"2001_5000",D956&lt;=10000,"5001_10000"))</f>
        <v>5001_10000</v>
      </c>
      <c r="I956" s="8" t="str">
        <f t="shared" si="29"/>
        <v>|Support</v>
      </c>
    </row>
    <row r="957" spans="2:9" x14ac:dyDescent="0.25">
      <c r="B957" t="s">
        <v>21</v>
      </c>
      <c r="C957">
        <f t="shared" si="28"/>
        <v>206</v>
      </c>
      <c r="D957" cm="1">
        <f t="array" ref="D957">_xlfn.IFS(C957&lt;=50,7+10*(C957-1),C957&lt;=110,507+25*(C957-51),C957&lt;=170,2007+50*(C957-111),C957&lt;=250,5007+50*(C957-171))</f>
        <v>6757</v>
      </c>
      <c r="E957" t="str" cm="1">
        <f t="array" ref="E957">IF(D957="","",_xlfn.IFS(D957&lt;=500,"Top_500",D957&lt;=2000,"501_2000",D957&lt;=5000,"2001_5000",D957&lt;=10000,"5001_10000"))</f>
        <v>5001_10000</v>
      </c>
      <c r="I957" s="8" t="str">
        <f t="shared" si="29"/>
        <v>|Support</v>
      </c>
    </row>
    <row r="958" spans="2:9" x14ac:dyDescent="0.25">
      <c r="B958" t="s">
        <v>21</v>
      </c>
      <c r="C958">
        <f t="shared" si="28"/>
        <v>207</v>
      </c>
      <c r="D958" cm="1">
        <f t="array" ref="D958">_xlfn.IFS(C958&lt;=50,7+10*(C958-1),C958&lt;=110,507+25*(C958-51),C958&lt;=170,2007+50*(C958-111),C958&lt;=250,5007+50*(C958-171))</f>
        <v>6807</v>
      </c>
      <c r="E958" t="str" cm="1">
        <f t="array" ref="E958">IF(D958="","",_xlfn.IFS(D958&lt;=500,"Top_500",D958&lt;=2000,"501_2000",D958&lt;=5000,"2001_5000",D958&lt;=10000,"5001_10000"))</f>
        <v>5001_10000</v>
      </c>
      <c r="I958" s="8" t="str">
        <f t="shared" si="29"/>
        <v>|Support</v>
      </c>
    </row>
    <row r="959" spans="2:9" x14ac:dyDescent="0.25">
      <c r="B959" t="s">
        <v>21</v>
      </c>
      <c r="C959">
        <f t="shared" si="28"/>
        <v>208</v>
      </c>
      <c r="D959" cm="1">
        <f t="array" ref="D959">_xlfn.IFS(C959&lt;=50,7+10*(C959-1),C959&lt;=110,507+25*(C959-51),C959&lt;=170,2007+50*(C959-111),C959&lt;=250,5007+50*(C959-171))</f>
        <v>6857</v>
      </c>
      <c r="E959" t="str" cm="1">
        <f t="array" ref="E959">IF(D959="","",_xlfn.IFS(D959&lt;=500,"Top_500",D959&lt;=2000,"501_2000",D959&lt;=5000,"2001_5000",D959&lt;=10000,"5001_10000"))</f>
        <v>5001_10000</v>
      </c>
      <c r="I959" s="8" t="str">
        <f t="shared" si="29"/>
        <v>|Support</v>
      </c>
    </row>
    <row r="960" spans="2:9" x14ac:dyDescent="0.25">
      <c r="B960" t="s">
        <v>21</v>
      </c>
      <c r="C960">
        <f t="shared" si="28"/>
        <v>209</v>
      </c>
      <c r="D960" cm="1">
        <f t="array" ref="D960">_xlfn.IFS(C960&lt;=50,7+10*(C960-1),C960&lt;=110,507+25*(C960-51),C960&lt;=170,2007+50*(C960-111),C960&lt;=250,5007+50*(C960-171))</f>
        <v>6907</v>
      </c>
      <c r="E960" t="str" cm="1">
        <f t="array" ref="E960">IF(D960="","",_xlfn.IFS(D960&lt;=500,"Top_500",D960&lt;=2000,"501_2000",D960&lt;=5000,"2001_5000",D960&lt;=10000,"5001_10000"))</f>
        <v>5001_10000</v>
      </c>
      <c r="I960" s="8" t="str">
        <f t="shared" si="29"/>
        <v>|Support</v>
      </c>
    </row>
    <row r="961" spans="2:9" x14ac:dyDescent="0.25">
      <c r="B961" t="s">
        <v>21</v>
      </c>
      <c r="C961">
        <f t="shared" si="28"/>
        <v>210</v>
      </c>
      <c r="D961" cm="1">
        <f t="array" ref="D961">_xlfn.IFS(C961&lt;=50,7+10*(C961-1),C961&lt;=110,507+25*(C961-51),C961&lt;=170,2007+50*(C961-111),C961&lt;=250,5007+50*(C961-171))</f>
        <v>6957</v>
      </c>
      <c r="E961" t="str" cm="1">
        <f t="array" ref="E961">IF(D961="","",_xlfn.IFS(D961&lt;=500,"Top_500",D961&lt;=2000,"501_2000",D961&lt;=5000,"2001_5000",D961&lt;=10000,"5001_10000"))</f>
        <v>5001_10000</v>
      </c>
      <c r="I961" s="8" t="str">
        <f t="shared" si="29"/>
        <v>|Support</v>
      </c>
    </row>
    <row r="962" spans="2:9" x14ac:dyDescent="0.25">
      <c r="B962" t="s">
        <v>21</v>
      </c>
      <c r="C962">
        <f t="shared" ref="C962:C1001" si="30">IF(ROW()=2,1,IF(B962&lt;&gt;B961,1,C961+1))</f>
        <v>211</v>
      </c>
      <c r="D962" cm="1">
        <f t="array" ref="D962">_xlfn.IFS(C962&lt;=50,7+10*(C962-1),C962&lt;=110,507+25*(C962-51),C962&lt;=170,2007+50*(C962-111),C962&lt;=250,5007+50*(C962-171))</f>
        <v>7007</v>
      </c>
      <c r="E962" t="str" cm="1">
        <f t="array" ref="E962">IF(D962="","",_xlfn.IFS(D962&lt;=500,"Top_500",D962&lt;=2000,"501_2000",D962&lt;=5000,"2001_5000",D962&lt;=10000,"5001_10000"))</f>
        <v>5001_10000</v>
      </c>
      <c r="I962" s="8" t="str">
        <f t="shared" si="29"/>
        <v>|Support</v>
      </c>
    </row>
    <row r="963" spans="2:9" x14ac:dyDescent="0.25">
      <c r="B963" t="s">
        <v>21</v>
      </c>
      <c r="C963">
        <f t="shared" si="30"/>
        <v>212</v>
      </c>
      <c r="D963" cm="1">
        <f t="array" ref="D963">_xlfn.IFS(C963&lt;=50,7+10*(C963-1),C963&lt;=110,507+25*(C963-51),C963&lt;=170,2007+50*(C963-111),C963&lt;=250,5007+50*(C963-171))</f>
        <v>7057</v>
      </c>
      <c r="E963" t="str" cm="1">
        <f t="array" ref="E963">IF(D963="","",_xlfn.IFS(D963&lt;=500,"Top_500",D963&lt;=2000,"501_2000",D963&lt;=5000,"2001_5000",D963&lt;=10000,"5001_10000"))</f>
        <v>5001_10000</v>
      </c>
      <c r="I963" s="8" t="str">
        <f t="shared" ref="I963:I1001" si="31">A963 &amp; "|" &amp; B963</f>
        <v>|Support</v>
      </c>
    </row>
    <row r="964" spans="2:9" x14ac:dyDescent="0.25">
      <c r="B964" t="s">
        <v>21</v>
      </c>
      <c r="C964">
        <f t="shared" si="30"/>
        <v>213</v>
      </c>
      <c r="D964" cm="1">
        <f t="array" ref="D964">_xlfn.IFS(C964&lt;=50,7+10*(C964-1),C964&lt;=110,507+25*(C964-51),C964&lt;=170,2007+50*(C964-111),C964&lt;=250,5007+50*(C964-171))</f>
        <v>7107</v>
      </c>
      <c r="E964" t="str" cm="1">
        <f t="array" ref="E964">IF(D964="","",_xlfn.IFS(D964&lt;=500,"Top_500",D964&lt;=2000,"501_2000",D964&lt;=5000,"2001_5000",D964&lt;=10000,"5001_10000"))</f>
        <v>5001_10000</v>
      </c>
      <c r="I964" s="8" t="str">
        <f t="shared" si="31"/>
        <v>|Support</v>
      </c>
    </row>
    <row r="965" spans="2:9" x14ac:dyDescent="0.25">
      <c r="B965" t="s">
        <v>21</v>
      </c>
      <c r="C965">
        <f t="shared" si="30"/>
        <v>214</v>
      </c>
      <c r="D965" cm="1">
        <f t="array" ref="D965">_xlfn.IFS(C965&lt;=50,7+10*(C965-1),C965&lt;=110,507+25*(C965-51),C965&lt;=170,2007+50*(C965-111),C965&lt;=250,5007+50*(C965-171))</f>
        <v>7157</v>
      </c>
      <c r="E965" t="str" cm="1">
        <f t="array" ref="E965">IF(D965="","",_xlfn.IFS(D965&lt;=500,"Top_500",D965&lt;=2000,"501_2000",D965&lt;=5000,"2001_5000",D965&lt;=10000,"5001_10000"))</f>
        <v>5001_10000</v>
      </c>
      <c r="I965" s="8" t="str">
        <f t="shared" si="31"/>
        <v>|Support</v>
      </c>
    </row>
    <row r="966" spans="2:9" x14ac:dyDescent="0.25">
      <c r="B966" t="s">
        <v>21</v>
      </c>
      <c r="C966">
        <f t="shared" si="30"/>
        <v>215</v>
      </c>
      <c r="D966" cm="1">
        <f t="array" ref="D966">_xlfn.IFS(C966&lt;=50,7+10*(C966-1),C966&lt;=110,507+25*(C966-51),C966&lt;=170,2007+50*(C966-111),C966&lt;=250,5007+50*(C966-171))</f>
        <v>7207</v>
      </c>
      <c r="E966" t="str" cm="1">
        <f t="array" ref="E966">IF(D966="","",_xlfn.IFS(D966&lt;=500,"Top_500",D966&lt;=2000,"501_2000",D966&lt;=5000,"2001_5000",D966&lt;=10000,"5001_10000"))</f>
        <v>5001_10000</v>
      </c>
      <c r="I966" s="8" t="str">
        <f t="shared" si="31"/>
        <v>|Support</v>
      </c>
    </row>
    <row r="967" spans="2:9" x14ac:dyDescent="0.25">
      <c r="B967" t="s">
        <v>21</v>
      </c>
      <c r="C967">
        <f t="shared" si="30"/>
        <v>216</v>
      </c>
      <c r="D967" cm="1">
        <f t="array" ref="D967">_xlfn.IFS(C967&lt;=50,7+10*(C967-1),C967&lt;=110,507+25*(C967-51),C967&lt;=170,2007+50*(C967-111),C967&lt;=250,5007+50*(C967-171))</f>
        <v>7257</v>
      </c>
      <c r="E967" t="str" cm="1">
        <f t="array" ref="E967">IF(D967="","",_xlfn.IFS(D967&lt;=500,"Top_500",D967&lt;=2000,"501_2000",D967&lt;=5000,"2001_5000",D967&lt;=10000,"5001_10000"))</f>
        <v>5001_10000</v>
      </c>
      <c r="I967" s="8" t="str">
        <f t="shared" si="31"/>
        <v>|Support</v>
      </c>
    </row>
    <row r="968" spans="2:9" x14ac:dyDescent="0.25">
      <c r="B968" t="s">
        <v>21</v>
      </c>
      <c r="C968">
        <f t="shared" si="30"/>
        <v>217</v>
      </c>
      <c r="D968" cm="1">
        <f t="array" ref="D968">_xlfn.IFS(C968&lt;=50,7+10*(C968-1),C968&lt;=110,507+25*(C968-51),C968&lt;=170,2007+50*(C968-111),C968&lt;=250,5007+50*(C968-171))</f>
        <v>7307</v>
      </c>
      <c r="E968" t="str" cm="1">
        <f t="array" ref="E968">IF(D968="","",_xlfn.IFS(D968&lt;=500,"Top_500",D968&lt;=2000,"501_2000",D968&lt;=5000,"2001_5000",D968&lt;=10000,"5001_10000"))</f>
        <v>5001_10000</v>
      </c>
      <c r="I968" s="8" t="str">
        <f t="shared" si="31"/>
        <v>|Support</v>
      </c>
    </row>
    <row r="969" spans="2:9" x14ac:dyDescent="0.25">
      <c r="B969" t="s">
        <v>21</v>
      </c>
      <c r="C969">
        <f t="shared" si="30"/>
        <v>218</v>
      </c>
      <c r="D969" cm="1">
        <f t="array" ref="D969">_xlfn.IFS(C969&lt;=50,7+10*(C969-1),C969&lt;=110,507+25*(C969-51),C969&lt;=170,2007+50*(C969-111),C969&lt;=250,5007+50*(C969-171))</f>
        <v>7357</v>
      </c>
      <c r="E969" t="str" cm="1">
        <f t="array" ref="E969">IF(D969="","",_xlfn.IFS(D969&lt;=500,"Top_500",D969&lt;=2000,"501_2000",D969&lt;=5000,"2001_5000",D969&lt;=10000,"5001_10000"))</f>
        <v>5001_10000</v>
      </c>
      <c r="I969" s="8" t="str">
        <f t="shared" si="31"/>
        <v>|Support</v>
      </c>
    </row>
    <row r="970" spans="2:9" x14ac:dyDescent="0.25">
      <c r="B970" t="s">
        <v>21</v>
      </c>
      <c r="C970">
        <f t="shared" si="30"/>
        <v>219</v>
      </c>
      <c r="D970" cm="1">
        <f t="array" ref="D970">_xlfn.IFS(C970&lt;=50,7+10*(C970-1),C970&lt;=110,507+25*(C970-51),C970&lt;=170,2007+50*(C970-111),C970&lt;=250,5007+50*(C970-171))</f>
        <v>7407</v>
      </c>
      <c r="E970" t="str" cm="1">
        <f t="array" ref="E970">IF(D970="","",_xlfn.IFS(D970&lt;=500,"Top_500",D970&lt;=2000,"501_2000",D970&lt;=5000,"2001_5000",D970&lt;=10000,"5001_10000"))</f>
        <v>5001_10000</v>
      </c>
      <c r="I970" s="8" t="str">
        <f t="shared" si="31"/>
        <v>|Support</v>
      </c>
    </row>
    <row r="971" spans="2:9" x14ac:dyDescent="0.25">
      <c r="B971" t="s">
        <v>21</v>
      </c>
      <c r="C971">
        <f t="shared" si="30"/>
        <v>220</v>
      </c>
      <c r="D971" cm="1">
        <f t="array" ref="D971">_xlfn.IFS(C971&lt;=50,7+10*(C971-1),C971&lt;=110,507+25*(C971-51),C971&lt;=170,2007+50*(C971-111),C971&lt;=250,5007+50*(C971-171))</f>
        <v>7457</v>
      </c>
      <c r="E971" t="str" cm="1">
        <f t="array" ref="E971">IF(D971="","",_xlfn.IFS(D971&lt;=500,"Top_500",D971&lt;=2000,"501_2000",D971&lt;=5000,"2001_5000",D971&lt;=10000,"5001_10000"))</f>
        <v>5001_10000</v>
      </c>
      <c r="I971" s="8" t="str">
        <f t="shared" si="31"/>
        <v>|Support</v>
      </c>
    </row>
    <row r="972" spans="2:9" x14ac:dyDescent="0.25">
      <c r="B972" t="s">
        <v>21</v>
      </c>
      <c r="C972">
        <f t="shared" si="30"/>
        <v>221</v>
      </c>
      <c r="D972" cm="1">
        <f t="array" ref="D972">_xlfn.IFS(C972&lt;=50,7+10*(C972-1),C972&lt;=110,507+25*(C972-51),C972&lt;=170,2007+50*(C972-111),C972&lt;=250,5007+50*(C972-171))</f>
        <v>7507</v>
      </c>
      <c r="E972" t="str" cm="1">
        <f t="array" ref="E972">IF(D972="","",_xlfn.IFS(D972&lt;=500,"Top_500",D972&lt;=2000,"501_2000",D972&lt;=5000,"2001_5000",D972&lt;=10000,"5001_10000"))</f>
        <v>5001_10000</v>
      </c>
      <c r="I972" s="8" t="str">
        <f t="shared" si="31"/>
        <v>|Support</v>
      </c>
    </row>
    <row r="973" spans="2:9" x14ac:dyDescent="0.25">
      <c r="B973" t="s">
        <v>21</v>
      </c>
      <c r="C973">
        <f t="shared" si="30"/>
        <v>222</v>
      </c>
      <c r="D973" cm="1">
        <f t="array" ref="D973">_xlfn.IFS(C973&lt;=50,7+10*(C973-1),C973&lt;=110,507+25*(C973-51),C973&lt;=170,2007+50*(C973-111),C973&lt;=250,5007+50*(C973-171))</f>
        <v>7557</v>
      </c>
      <c r="E973" t="str" cm="1">
        <f t="array" ref="E973">IF(D973="","",_xlfn.IFS(D973&lt;=500,"Top_500",D973&lt;=2000,"501_2000",D973&lt;=5000,"2001_5000",D973&lt;=10000,"5001_10000"))</f>
        <v>5001_10000</v>
      </c>
      <c r="I973" s="8" t="str">
        <f t="shared" si="31"/>
        <v>|Support</v>
      </c>
    </row>
    <row r="974" spans="2:9" x14ac:dyDescent="0.25">
      <c r="B974" t="s">
        <v>21</v>
      </c>
      <c r="C974">
        <f t="shared" si="30"/>
        <v>223</v>
      </c>
      <c r="D974" cm="1">
        <f t="array" ref="D974">_xlfn.IFS(C974&lt;=50,7+10*(C974-1),C974&lt;=110,507+25*(C974-51),C974&lt;=170,2007+50*(C974-111),C974&lt;=250,5007+50*(C974-171))</f>
        <v>7607</v>
      </c>
      <c r="E974" t="str" cm="1">
        <f t="array" ref="E974">IF(D974="","",_xlfn.IFS(D974&lt;=500,"Top_500",D974&lt;=2000,"501_2000",D974&lt;=5000,"2001_5000",D974&lt;=10000,"5001_10000"))</f>
        <v>5001_10000</v>
      </c>
      <c r="I974" s="8" t="str">
        <f t="shared" si="31"/>
        <v>|Support</v>
      </c>
    </row>
    <row r="975" spans="2:9" x14ac:dyDescent="0.25">
      <c r="B975" t="s">
        <v>21</v>
      </c>
      <c r="C975">
        <f t="shared" si="30"/>
        <v>224</v>
      </c>
      <c r="D975" cm="1">
        <f t="array" ref="D975">_xlfn.IFS(C975&lt;=50,7+10*(C975-1),C975&lt;=110,507+25*(C975-51),C975&lt;=170,2007+50*(C975-111),C975&lt;=250,5007+50*(C975-171))</f>
        <v>7657</v>
      </c>
      <c r="E975" t="str" cm="1">
        <f t="array" ref="E975">IF(D975="","",_xlfn.IFS(D975&lt;=500,"Top_500",D975&lt;=2000,"501_2000",D975&lt;=5000,"2001_5000",D975&lt;=10000,"5001_10000"))</f>
        <v>5001_10000</v>
      </c>
      <c r="I975" s="8" t="str">
        <f t="shared" si="31"/>
        <v>|Support</v>
      </c>
    </row>
    <row r="976" spans="2:9" x14ac:dyDescent="0.25">
      <c r="B976" t="s">
        <v>21</v>
      </c>
      <c r="C976">
        <f t="shared" si="30"/>
        <v>225</v>
      </c>
      <c r="D976" cm="1">
        <f t="array" ref="D976">_xlfn.IFS(C976&lt;=50,7+10*(C976-1),C976&lt;=110,507+25*(C976-51),C976&lt;=170,2007+50*(C976-111),C976&lt;=250,5007+50*(C976-171))</f>
        <v>7707</v>
      </c>
      <c r="E976" t="str" cm="1">
        <f t="array" ref="E976">IF(D976="","",_xlfn.IFS(D976&lt;=500,"Top_500",D976&lt;=2000,"501_2000",D976&lt;=5000,"2001_5000",D976&lt;=10000,"5001_10000"))</f>
        <v>5001_10000</v>
      </c>
      <c r="I976" s="8" t="str">
        <f t="shared" si="31"/>
        <v>|Support</v>
      </c>
    </row>
    <row r="977" spans="2:9" x14ac:dyDescent="0.25">
      <c r="B977" t="s">
        <v>21</v>
      </c>
      <c r="C977">
        <f t="shared" si="30"/>
        <v>226</v>
      </c>
      <c r="D977" cm="1">
        <f t="array" ref="D977">_xlfn.IFS(C977&lt;=50,7+10*(C977-1),C977&lt;=110,507+25*(C977-51),C977&lt;=170,2007+50*(C977-111),C977&lt;=250,5007+50*(C977-171))</f>
        <v>7757</v>
      </c>
      <c r="E977" t="str" cm="1">
        <f t="array" ref="E977">IF(D977="","",_xlfn.IFS(D977&lt;=500,"Top_500",D977&lt;=2000,"501_2000",D977&lt;=5000,"2001_5000",D977&lt;=10000,"5001_10000"))</f>
        <v>5001_10000</v>
      </c>
      <c r="I977" s="8" t="str">
        <f t="shared" si="31"/>
        <v>|Support</v>
      </c>
    </row>
    <row r="978" spans="2:9" x14ac:dyDescent="0.25">
      <c r="B978" t="s">
        <v>21</v>
      </c>
      <c r="C978">
        <f t="shared" si="30"/>
        <v>227</v>
      </c>
      <c r="D978" cm="1">
        <f t="array" ref="D978">_xlfn.IFS(C978&lt;=50,7+10*(C978-1),C978&lt;=110,507+25*(C978-51),C978&lt;=170,2007+50*(C978-111),C978&lt;=250,5007+50*(C978-171))</f>
        <v>7807</v>
      </c>
      <c r="E978" t="str" cm="1">
        <f t="array" ref="E978">IF(D978="","",_xlfn.IFS(D978&lt;=500,"Top_500",D978&lt;=2000,"501_2000",D978&lt;=5000,"2001_5000",D978&lt;=10000,"5001_10000"))</f>
        <v>5001_10000</v>
      </c>
      <c r="I978" s="8" t="str">
        <f t="shared" si="31"/>
        <v>|Support</v>
      </c>
    </row>
    <row r="979" spans="2:9" x14ac:dyDescent="0.25">
      <c r="B979" t="s">
        <v>21</v>
      </c>
      <c r="C979">
        <f t="shared" si="30"/>
        <v>228</v>
      </c>
      <c r="D979" cm="1">
        <f t="array" ref="D979">_xlfn.IFS(C979&lt;=50,7+10*(C979-1),C979&lt;=110,507+25*(C979-51),C979&lt;=170,2007+50*(C979-111),C979&lt;=250,5007+50*(C979-171))</f>
        <v>7857</v>
      </c>
      <c r="E979" t="str" cm="1">
        <f t="array" ref="E979">IF(D979="","",_xlfn.IFS(D979&lt;=500,"Top_500",D979&lt;=2000,"501_2000",D979&lt;=5000,"2001_5000",D979&lt;=10000,"5001_10000"))</f>
        <v>5001_10000</v>
      </c>
      <c r="I979" s="8" t="str">
        <f t="shared" si="31"/>
        <v>|Support</v>
      </c>
    </row>
    <row r="980" spans="2:9" x14ac:dyDescent="0.25">
      <c r="B980" t="s">
        <v>21</v>
      </c>
      <c r="C980">
        <f t="shared" si="30"/>
        <v>229</v>
      </c>
      <c r="D980" cm="1">
        <f t="array" ref="D980">_xlfn.IFS(C980&lt;=50,7+10*(C980-1),C980&lt;=110,507+25*(C980-51),C980&lt;=170,2007+50*(C980-111),C980&lt;=250,5007+50*(C980-171))</f>
        <v>7907</v>
      </c>
      <c r="E980" t="str" cm="1">
        <f t="array" ref="E980">IF(D980="","",_xlfn.IFS(D980&lt;=500,"Top_500",D980&lt;=2000,"501_2000",D980&lt;=5000,"2001_5000",D980&lt;=10000,"5001_10000"))</f>
        <v>5001_10000</v>
      </c>
      <c r="I980" s="8" t="str">
        <f t="shared" si="31"/>
        <v>|Support</v>
      </c>
    </row>
    <row r="981" spans="2:9" x14ac:dyDescent="0.25">
      <c r="B981" t="s">
        <v>21</v>
      </c>
      <c r="C981">
        <f t="shared" si="30"/>
        <v>230</v>
      </c>
      <c r="D981" cm="1">
        <f t="array" ref="D981">_xlfn.IFS(C981&lt;=50,7+10*(C981-1),C981&lt;=110,507+25*(C981-51),C981&lt;=170,2007+50*(C981-111),C981&lt;=250,5007+50*(C981-171))</f>
        <v>7957</v>
      </c>
      <c r="E981" t="str" cm="1">
        <f t="array" ref="E981">IF(D981="","",_xlfn.IFS(D981&lt;=500,"Top_500",D981&lt;=2000,"501_2000",D981&lt;=5000,"2001_5000",D981&lt;=10000,"5001_10000"))</f>
        <v>5001_10000</v>
      </c>
      <c r="I981" s="8" t="str">
        <f t="shared" si="31"/>
        <v>|Support</v>
      </c>
    </row>
    <row r="982" spans="2:9" x14ac:dyDescent="0.25">
      <c r="B982" t="s">
        <v>21</v>
      </c>
      <c r="C982">
        <f t="shared" si="30"/>
        <v>231</v>
      </c>
      <c r="D982" cm="1">
        <f t="array" ref="D982">_xlfn.IFS(C982&lt;=50,7+10*(C982-1),C982&lt;=110,507+25*(C982-51),C982&lt;=170,2007+50*(C982-111),C982&lt;=250,5007+50*(C982-171))</f>
        <v>8007</v>
      </c>
      <c r="E982" t="str" cm="1">
        <f t="array" ref="E982">IF(D982="","",_xlfn.IFS(D982&lt;=500,"Top_500",D982&lt;=2000,"501_2000",D982&lt;=5000,"2001_5000",D982&lt;=10000,"5001_10000"))</f>
        <v>5001_10000</v>
      </c>
      <c r="I982" s="8" t="str">
        <f t="shared" si="31"/>
        <v>|Support</v>
      </c>
    </row>
    <row r="983" spans="2:9" x14ac:dyDescent="0.25">
      <c r="B983" t="s">
        <v>21</v>
      </c>
      <c r="C983">
        <f t="shared" si="30"/>
        <v>232</v>
      </c>
      <c r="D983" cm="1">
        <f t="array" ref="D983">_xlfn.IFS(C983&lt;=50,7+10*(C983-1),C983&lt;=110,507+25*(C983-51),C983&lt;=170,2007+50*(C983-111),C983&lt;=250,5007+50*(C983-171))</f>
        <v>8057</v>
      </c>
      <c r="E983" t="str" cm="1">
        <f t="array" ref="E983">IF(D983="","",_xlfn.IFS(D983&lt;=500,"Top_500",D983&lt;=2000,"501_2000",D983&lt;=5000,"2001_5000",D983&lt;=10000,"5001_10000"))</f>
        <v>5001_10000</v>
      </c>
      <c r="I983" s="8" t="str">
        <f t="shared" si="31"/>
        <v>|Support</v>
      </c>
    </row>
    <row r="984" spans="2:9" x14ac:dyDescent="0.25">
      <c r="B984" t="s">
        <v>21</v>
      </c>
      <c r="C984">
        <f t="shared" si="30"/>
        <v>233</v>
      </c>
      <c r="D984" cm="1">
        <f t="array" ref="D984">_xlfn.IFS(C984&lt;=50,7+10*(C984-1),C984&lt;=110,507+25*(C984-51),C984&lt;=170,2007+50*(C984-111),C984&lt;=250,5007+50*(C984-171))</f>
        <v>8107</v>
      </c>
      <c r="E984" t="str" cm="1">
        <f t="array" ref="E984">IF(D984="","",_xlfn.IFS(D984&lt;=500,"Top_500",D984&lt;=2000,"501_2000",D984&lt;=5000,"2001_5000",D984&lt;=10000,"5001_10000"))</f>
        <v>5001_10000</v>
      </c>
      <c r="I984" s="8" t="str">
        <f t="shared" si="31"/>
        <v>|Support</v>
      </c>
    </row>
    <row r="985" spans="2:9" x14ac:dyDescent="0.25">
      <c r="B985" t="s">
        <v>21</v>
      </c>
      <c r="C985">
        <f t="shared" si="30"/>
        <v>234</v>
      </c>
      <c r="D985" cm="1">
        <f t="array" ref="D985">_xlfn.IFS(C985&lt;=50,7+10*(C985-1),C985&lt;=110,507+25*(C985-51),C985&lt;=170,2007+50*(C985-111),C985&lt;=250,5007+50*(C985-171))</f>
        <v>8157</v>
      </c>
      <c r="E985" t="str" cm="1">
        <f t="array" ref="E985">IF(D985="","",_xlfn.IFS(D985&lt;=500,"Top_500",D985&lt;=2000,"501_2000",D985&lt;=5000,"2001_5000",D985&lt;=10000,"5001_10000"))</f>
        <v>5001_10000</v>
      </c>
      <c r="I985" s="8" t="str">
        <f t="shared" si="31"/>
        <v>|Support</v>
      </c>
    </row>
    <row r="986" spans="2:9" x14ac:dyDescent="0.25">
      <c r="B986" t="s">
        <v>21</v>
      </c>
      <c r="C986">
        <f t="shared" si="30"/>
        <v>235</v>
      </c>
      <c r="D986" cm="1">
        <f t="array" ref="D986">_xlfn.IFS(C986&lt;=50,7+10*(C986-1),C986&lt;=110,507+25*(C986-51),C986&lt;=170,2007+50*(C986-111),C986&lt;=250,5007+50*(C986-171))</f>
        <v>8207</v>
      </c>
      <c r="E986" t="str" cm="1">
        <f t="array" ref="E986">IF(D986="","",_xlfn.IFS(D986&lt;=500,"Top_500",D986&lt;=2000,"501_2000",D986&lt;=5000,"2001_5000",D986&lt;=10000,"5001_10000"))</f>
        <v>5001_10000</v>
      </c>
      <c r="I986" s="8" t="str">
        <f t="shared" si="31"/>
        <v>|Support</v>
      </c>
    </row>
    <row r="987" spans="2:9" x14ac:dyDescent="0.25">
      <c r="B987" t="s">
        <v>21</v>
      </c>
      <c r="C987">
        <f t="shared" si="30"/>
        <v>236</v>
      </c>
      <c r="D987" cm="1">
        <f t="array" ref="D987">_xlfn.IFS(C987&lt;=50,7+10*(C987-1),C987&lt;=110,507+25*(C987-51),C987&lt;=170,2007+50*(C987-111),C987&lt;=250,5007+50*(C987-171))</f>
        <v>8257</v>
      </c>
      <c r="E987" t="str" cm="1">
        <f t="array" ref="E987">IF(D987="","",_xlfn.IFS(D987&lt;=500,"Top_500",D987&lt;=2000,"501_2000",D987&lt;=5000,"2001_5000",D987&lt;=10000,"5001_10000"))</f>
        <v>5001_10000</v>
      </c>
      <c r="I987" s="8" t="str">
        <f t="shared" si="31"/>
        <v>|Support</v>
      </c>
    </row>
    <row r="988" spans="2:9" x14ac:dyDescent="0.25">
      <c r="B988" t="s">
        <v>21</v>
      </c>
      <c r="C988">
        <f t="shared" si="30"/>
        <v>237</v>
      </c>
      <c r="D988" cm="1">
        <f t="array" ref="D988">_xlfn.IFS(C988&lt;=50,7+10*(C988-1),C988&lt;=110,507+25*(C988-51),C988&lt;=170,2007+50*(C988-111),C988&lt;=250,5007+50*(C988-171))</f>
        <v>8307</v>
      </c>
      <c r="E988" t="str" cm="1">
        <f t="array" ref="E988">IF(D988="","",_xlfn.IFS(D988&lt;=500,"Top_500",D988&lt;=2000,"501_2000",D988&lt;=5000,"2001_5000",D988&lt;=10000,"5001_10000"))</f>
        <v>5001_10000</v>
      </c>
      <c r="I988" s="8" t="str">
        <f t="shared" si="31"/>
        <v>|Support</v>
      </c>
    </row>
    <row r="989" spans="2:9" x14ac:dyDescent="0.25">
      <c r="B989" t="s">
        <v>21</v>
      </c>
      <c r="C989">
        <f t="shared" si="30"/>
        <v>238</v>
      </c>
      <c r="D989" cm="1">
        <f t="array" ref="D989">_xlfn.IFS(C989&lt;=50,7+10*(C989-1),C989&lt;=110,507+25*(C989-51),C989&lt;=170,2007+50*(C989-111),C989&lt;=250,5007+50*(C989-171))</f>
        <v>8357</v>
      </c>
      <c r="E989" t="str" cm="1">
        <f t="array" ref="E989">IF(D989="","",_xlfn.IFS(D989&lt;=500,"Top_500",D989&lt;=2000,"501_2000",D989&lt;=5000,"2001_5000",D989&lt;=10000,"5001_10000"))</f>
        <v>5001_10000</v>
      </c>
      <c r="I989" s="8" t="str">
        <f t="shared" si="31"/>
        <v>|Support</v>
      </c>
    </row>
    <row r="990" spans="2:9" x14ac:dyDescent="0.25">
      <c r="B990" t="s">
        <v>21</v>
      </c>
      <c r="C990">
        <f t="shared" si="30"/>
        <v>239</v>
      </c>
      <c r="D990" cm="1">
        <f t="array" ref="D990">_xlfn.IFS(C990&lt;=50,7+10*(C990-1),C990&lt;=110,507+25*(C990-51),C990&lt;=170,2007+50*(C990-111),C990&lt;=250,5007+50*(C990-171))</f>
        <v>8407</v>
      </c>
      <c r="E990" t="str" cm="1">
        <f t="array" ref="E990">IF(D990="","",_xlfn.IFS(D990&lt;=500,"Top_500",D990&lt;=2000,"501_2000",D990&lt;=5000,"2001_5000",D990&lt;=10000,"5001_10000"))</f>
        <v>5001_10000</v>
      </c>
      <c r="I990" s="8" t="str">
        <f t="shared" si="31"/>
        <v>|Support</v>
      </c>
    </row>
    <row r="991" spans="2:9" x14ac:dyDescent="0.25">
      <c r="B991" t="s">
        <v>21</v>
      </c>
      <c r="C991">
        <f t="shared" si="30"/>
        <v>240</v>
      </c>
      <c r="D991" cm="1">
        <f t="array" ref="D991">_xlfn.IFS(C991&lt;=50,7+10*(C991-1),C991&lt;=110,507+25*(C991-51),C991&lt;=170,2007+50*(C991-111),C991&lt;=250,5007+50*(C991-171))</f>
        <v>8457</v>
      </c>
      <c r="E991" t="str" cm="1">
        <f t="array" ref="E991">IF(D991="","",_xlfn.IFS(D991&lt;=500,"Top_500",D991&lt;=2000,"501_2000",D991&lt;=5000,"2001_5000",D991&lt;=10000,"5001_10000"))</f>
        <v>5001_10000</v>
      </c>
      <c r="I991" s="8" t="str">
        <f t="shared" si="31"/>
        <v>|Support</v>
      </c>
    </row>
    <row r="992" spans="2:9" x14ac:dyDescent="0.25">
      <c r="B992" t="s">
        <v>21</v>
      </c>
      <c r="C992">
        <f t="shared" si="30"/>
        <v>241</v>
      </c>
      <c r="D992" cm="1">
        <f t="array" ref="D992">_xlfn.IFS(C992&lt;=50,7+10*(C992-1),C992&lt;=110,507+25*(C992-51),C992&lt;=170,2007+50*(C992-111),C992&lt;=250,5007+50*(C992-171))</f>
        <v>8507</v>
      </c>
      <c r="E992" t="str" cm="1">
        <f t="array" ref="E992">IF(D992="","",_xlfn.IFS(D992&lt;=500,"Top_500",D992&lt;=2000,"501_2000",D992&lt;=5000,"2001_5000",D992&lt;=10000,"5001_10000"))</f>
        <v>5001_10000</v>
      </c>
      <c r="I992" s="8" t="str">
        <f t="shared" si="31"/>
        <v>|Support</v>
      </c>
    </row>
    <row r="993" spans="2:9" x14ac:dyDescent="0.25">
      <c r="B993" t="s">
        <v>21</v>
      </c>
      <c r="C993">
        <f t="shared" si="30"/>
        <v>242</v>
      </c>
      <c r="D993" cm="1">
        <f t="array" ref="D993">_xlfn.IFS(C993&lt;=50,7+10*(C993-1),C993&lt;=110,507+25*(C993-51),C993&lt;=170,2007+50*(C993-111),C993&lt;=250,5007+50*(C993-171))</f>
        <v>8557</v>
      </c>
      <c r="E993" t="str" cm="1">
        <f t="array" ref="E993">IF(D993="","",_xlfn.IFS(D993&lt;=500,"Top_500",D993&lt;=2000,"501_2000",D993&lt;=5000,"2001_5000",D993&lt;=10000,"5001_10000"))</f>
        <v>5001_10000</v>
      </c>
      <c r="I993" s="8" t="str">
        <f t="shared" si="31"/>
        <v>|Support</v>
      </c>
    </row>
    <row r="994" spans="2:9" x14ac:dyDescent="0.25">
      <c r="B994" t="s">
        <v>21</v>
      </c>
      <c r="C994">
        <f t="shared" si="30"/>
        <v>243</v>
      </c>
      <c r="D994" cm="1">
        <f t="array" ref="D994">_xlfn.IFS(C994&lt;=50,7+10*(C994-1),C994&lt;=110,507+25*(C994-51),C994&lt;=170,2007+50*(C994-111),C994&lt;=250,5007+50*(C994-171))</f>
        <v>8607</v>
      </c>
      <c r="E994" t="str" cm="1">
        <f t="array" ref="E994">IF(D994="","",_xlfn.IFS(D994&lt;=500,"Top_500",D994&lt;=2000,"501_2000",D994&lt;=5000,"2001_5000",D994&lt;=10000,"5001_10000"))</f>
        <v>5001_10000</v>
      </c>
      <c r="I994" s="8" t="str">
        <f t="shared" si="31"/>
        <v>|Support</v>
      </c>
    </row>
    <row r="995" spans="2:9" x14ac:dyDescent="0.25">
      <c r="B995" t="s">
        <v>21</v>
      </c>
      <c r="C995">
        <f t="shared" si="30"/>
        <v>244</v>
      </c>
      <c r="D995" cm="1">
        <f t="array" ref="D995">_xlfn.IFS(C995&lt;=50,7+10*(C995-1),C995&lt;=110,507+25*(C995-51),C995&lt;=170,2007+50*(C995-111),C995&lt;=250,5007+50*(C995-171))</f>
        <v>8657</v>
      </c>
      <c r="E995" t="str" cm="1">
        <f t="array" ref="E995">IF(D995="","",_xlfn.IFS(D995&lt;=500,"Top_500",D995&lt;=2000,"501_2000",D995&lt;=5000,"2001_5000",D995&lt;=10000,"5001_10000"))</f>
        <v>5001_10000</v>
      </c>
      <c r="I995" s="8" t="str">
        <f t="shared" si="31"/>
        <v>|Support</v>
      </c>
    </row>
    <row r="996" spans="2:9" x14ac:dyDescent="0.25">
      <c r="B996" t="s">
        <v>21</v>
      </c>
      <c r="C996">
        <f t="shared" si="30"/>
        <v>245</v>
      </c>
      <c r="D996" cm="1">
        <f t="array" ref="D996">_xlfn.IFS(C996&lt;=50,7+10*(C996-1),C996&lt;=110,507+25*(C996-51),C996&lt;=170,2007+50*(C996-111),C996&lt;=250,5007+50*(C996-171))</f>
        <v>8707</v>
      </c>
      <c r="E996" t="str" cm="1">
        <f t="array" ref="E996">IF(D996="","",_xlfn.IFS(D996&lt;=500,"Top_500",D996&lt;=2000,"501_2000",D996&lt;=5000,"2001_5000",D996&lt;=10000,"5001_10000"))</f>
        <v>5001_10000</v>
      </c>
      <c r="I996" s="8" t="str">
        <f t="shared" si="31"/>
        <v>|Support</v>
      </c>
    </row>
    <row r="997" spans="2:9" x14ac:dyDescent="0.25">
      <c r="B997" t="s">
        <v>21</v>
      </c>
      <c r="C997">
        <f t="shared" si="30"/>
        <v>246</v>
      </c>
      <c r="D997" cm="1">
        <f t="array" ref="D997">_xlfn.IFS(C997&lt;=50,7+10*(C997-1),C997&lt;=110,507+25*(C997-51),C997&lt;=170,2007+50*(C997-111),C997&lt;=250,5007+50*(C997-171))</f>
        <v>8757</v>
      </c>
      <c r="E997" t="str" cm="1">
        <f t="array" ref="E997">IF(D997="","",_xlfn.IFS(D997&lt;=500,"Top_500",D997&lt;=2000,"501_2000",D997&lt;=5000,"2001_5000",D997&lt;=10000,"5001_10000"))</f>
        <v>5001_10000</v>
      </c>
      <c r="I997" s="8" t="str">
        <f t="shared" si="31"/>
        <v>|Support</v>
      </c>
    </row>
    <row r="998" spans="2:9" x14ac:dyDescent="0.25">
      <c r="B998" t="s">
        <v>21</v>
      </c>
      <c r="C998">
        <f t="shared" si="30"/>
        <v>247</v>
      </c>
      <c r="D998" cm="1">
        <f t="array" ref="D998">_xlfn.IFS(C998&lt;=50,7+10*(C998-1),C998&lt;=110,507+25*(C998-51),C998&lt;=170,2007+50*(C998-111),C998&lt;=250,5007+50*(C998-171))</f>
        <v>8807</v>
      </c>
      <c r="E998" t="str" cm="1">
        <f t="array" ref="E998">IF(D998="","",_xlfn.IFS(D998&lt;=500,"Top_500",D998&lt;=2000,"501_2000",D998&lt;=5000,"2001_5000",D998&lt;=10000,"5001_10000"))</f>
        <v>5001_10000</v>
      </c>
      <c r="I998" s="8" t="str">
        <f t="shared" si="31"/>
        <v>|Support</v>
      </c>
    </row>
    <row r="999" spans="2:9" x14ac:dyDescent="0.25">
      <c r="B999" t="s">
        <v>21</v>
      </c>
      <c r="C999">
        <f t="shared" si="30"/>
        <v>248</v>
      </c>
      <c r="D999" cm="1">
        <f t="array" ref="D999">_xlfn.IFS(C999&lt;=50,7+10*(C999-1),C999&lt;=110,507+25*(C999-51),C999&lt;=170,2007+50*(C999-111),C999&lt;=250,5007+50*(C999-171))</f>
        <v>8857</v>
      </c>
      <c r="E999" t="str" cm="1">
        <f t="array" ref="E999">IF(D999="","",_xlfn.IFS(D999&lt;=500,"Top_500",D999&lt;=2000,"501_2000",D999&lt;=5000,"2001_5000",D999&lt;=10000,"5001_10000"))</f>
        <v>5001_10000</v>
      </c>
      <c r="I999" s="8" t="str">
        <f t="shared" si="31"/>
        <v>|Support</v>
      </c>
    </row>
    <row r="1000" spans="2:9" x14ac:dyDescent="0.25">
      <c r="B1000" t="s">
        <v>21</v>
      </c>
      <c r="C1000">
        <f t="shared" si="30"/>
        <v>249</v>
      </c>
      <c r="D1000" cm="1">
        <f t="array" ref="D1000">_xlfn.IFS(C1000&lt;=50,7+10*(C1000-1),C1000&lt;=110,507+25*(C1000-51),C1000&lt;=170,2007+50*(C1000-111),C1000&lt;=250,5007+50*(C1000-171))</f>
        <v>8907</v>
      </c>
      <c r="E1000" t="str" cm="1">
        <f t="array" ref="E1000">IF(D1000="","",_xlfn.IFS(D1000&lt;=500,"Top_500",D1000&lt;=2000,"501_2000",D1000&lt;=5000,"2001_5000",D1000&lt;=10000,"5001_10000"))</f>
        <v>5001_10000</v>
      </c>
      <c r="I1000" s="8" t="str">
        <f t="shared" si="31"/>
        <v>|Support</v>
      </c>
    </row>
    <row r="1001" spans="2:9" x14ac:dyDescent="0.25">
      <c r="B1001" t="s">
        <v>21</v>
      </c>
      <c r="C1001">
        <f t="shared" si="30"/>
        <v>250</v>
      </c>
      <c r="D1001" cm="1">
        <f t="array" ref="D1001">_xlfn.IFS(C1001&lt;=50,7+10*(C1001-1),C1001&lt;=110,507+25*(C1001-51),C1001&lt;=170,2007+50*(C1001-111),C1001&lt;=250,5007+50*(C1001-171))</f>
        <v>8957</v>
      </c>
      <c r="E1001" t="str" cm="1">
        <f t="array" ref="E1001">IF(D1001="","",_xlfn.IFS(D1001&lt;=500,"Top_500",D1001&lt;=2000,"501_2000",D1001&lt;=5000,"2001_5000",D1001&lt;=10000,"5001_10000"))</f>
        <v>5001_10000</v>
      </c>
      <c r="I1001" s="8" t="str">
        <f t="shared" si="31"/>
        <v>|Support</v>
      </c>
    </row>
  </sheetData>
  <phoneticPr fontId="3" type="noConversion"/>
  <conditionalFormatting sqref="A1:A1048576">
    <cfRule type="duplicateValues" dxfId="14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842484-4A40-476A-A8D6-9708AB330826}">
          <x14:formula1>
            <xm:f>Lookups!#REF!</xm:f>
          </x14:formula1>
          <xm:sqref>B1252:B1048576 B2:B1001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9D249-DB07-4A4F-9143-7E4D80F2FAB8}">
  <dimension ref="A1:L701"/>
  <sheetViews>
    <sheetView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16" style="42" bestFit="1" customWidth="1"/>
    <col min="2" max="2" width="7.5703125" style="42" bestFit="1" customWidth="1"/>
    <col min="3" max="3" width="43.140625" style="42" bestFit="1" customWidth="1"/>
    <col min="4" max="4" width="18.28515625" style="42" customWidth="1"/>
    <col min="5" max="5" width="12.85546875" style="43" bestFit="1" customWidth="1"/>
    <col min="6" max="6" width="16.7109375" style="43" bestFit="1" customWidth="1"/>
    <col min="7" max="7" width="14.7109375" style="43" bestFit="1" customWidth="1"/>
    <col min="8" max="8" width="19.28515625" style="43" bestFit="1" customWidth="1"/>
    <col min="9" max="9" width="21.7109375" style="44" bestFit="1" customWidth="1"/>
    <col min="10" max="10" width="11.140625" style="43" bestFit="1" customWidth="1"/>
    <col min="11" max="11" width="17" style="42" bestFit="1" customWidth="1"/>
    <col min="12" max="12" width="13.5703125" style="42" bestFit="1" customWidth="1"/>
    <col min="13" max="16384" width="9.140625" style="42"/>
  </cols>
  <sheetData>
    <row r="1" spans="1:12" s="63" customFormat="1" ht="15.75" thickBot="1" x14ac:dyDescent="0.3">
      <c r="A1" s="9" t="s">
        <v>0</v>
      </c>
      <c r="B1" s="9" t="s">
        <v>2</v>
      </c>
      <c r="C1" s="9" t="s">
        <v>5</v>
      </c>
      <c r="D1" s="9" t="s">
        <v>190</v>
      </c>
      <c r="E1" s="11" t="s">
        <v>6</v>
      </c>
      <c r="F1" s="11" t="s">
        <v>178</v>
      </c>
      <c r="G1" s="11" t="s">
        <v>7</v>
      </c>
      <c r="H1" s="11" t="s">
        <v>3</v>
      </c>
      <c r="I1" s="10" t="s">
        <v>124</v>
      </c>
      <c r="J1" s="11" t="s">
        <v>125</v>
      </c>
      <c r="K1" s="11" t="s">
        <v>234</v>
      </c>
      <c r="L1" s="27" t="s">
        <v>235</v>
      </c>
    </row>
    <row r="2" spans="1:12" x14ac:dyDescent="0.25">
      <c r="A2" s="42" t="str" cm="1">
        <f t="array" ref="A2">IFERROR(INDEX(_xlfn._xlws.FILTER(Class_Players!A:A,Class_Players!B:B="Assault"),QUOTIENT(ROW()-ROW($A$2),7)+1),"")</f>
        <v>mirovampiro</v>
      </c>
      <c r="B2" s="42" t="str">
        <f>_xlfn.XLOOKUP(A2,Class_Players!$A:$A,Class_Players!$B:$B,"")</f>
        <v>Assault</v>
      </c>
      <c r="C2" s="48" t="str" cm="1">
        <f t="array" ref="C2">INDEX(Lookups!$A$2:$A$8,MOD(ROW()-ROW($B$2),ROWS(Lookups!$A$2:$A$8))+1)</f>
        <v>Assault Ladder</v>
      </c>
      <c r="D2" s="48" t="str">
        <f>_xlfn.XLOOKUP(C2,Analysis_Gadgets!$C:$C,Analysis_Gadgets!$B:$B)</f>
        <v>Gadget</v>
      </c>
      <c r="E2" s="43">
        <v>98</v>
      </c>
      <c r="F2" s="43">
        <f>_xlfn.XLOOKUP(A2,Class_Players!A:A,Class_Players!G:G)</f>
        <v>491</v>
      </c>
      <c r="G2" s="43">
        <f>IF(F2=0,"",E2/F2)</f>
        <v>0.19959266802443992</v>
      </c>
      <c r="H2" s="43">
        <f>_xlfn.XLOOKUP(A2,Class_Players!$A:$A,Class_Players!$F:$F,"")</f>
        <v>28809</v>
      </c>
      <c r="I2" s="44">
        <f>IF(H2=0,"",E2/H2)</f>
        <v>3.4017147419209276E-3</v>
      </c>
      <c r="J2" s="43">
        <f>IF(I2&gt;=0.1,1,0)</f>
        <v>0</v>
      </c>
      <c r="K2" s="44" cm="1">
        <f t="array" ref="K2">IF(D2="Gadget",_xlfn.IFS(I2&gt;=0.2,0.5,I2&gt;=0.1,0.35,I2&gt;=0.05,0.2,TRUE,0),IF(D2="Grenade",_xlfn.IFS(I2&gt;=0.2,1,I2&gt;=0.1,0.7,I2&gt;=0.05,0.4,TRUE,0),0))</f>
        <v>0</v>
      </c>
      <c r="L2" s="57">
        <f>IF($K2=0,0,$K2 / SUMIFS($K:$K,$A:$A,$A2,$D:$D,"Gadget"))</f>
        <v>0</v>
      </c>
    </row>
    <row r="3" spans="1:12" x14ac:dyDescent="0.25">
      <c r="A3" s="42" t="str" cm="1">
        <f t="array" ref="A3">IFERROR(INDEX(_xlfn._xlws.FILTER(Class_Players!A:A,Class_Players!B:B="Assault"),QUOTIENT(ROW()-ROW($A$2),7)+1),"")</f>
        <v>mirovampiro</v>
      </c>
      <c r="B3" s="42" t="str">
        <f>_xlfn.XLOOKUP(A3,Class_Players!$A:$A,Class_Players!$B:$B,"")</f>
        <v>Assault</v>
      </c>
      <c r="C3" s="48" t="str" cm="1">
        <f t="array" ref="C3">INDEX(Lookups!$A$2:$A$8,MOD(ROW()-ROW($B$2),ROWS(Lookups!$A$2:$A$8))+1)</f>
        <v>X95 BRE (Breaching Projectile Launcher)</v>
      </c>
      <c r="D3" s="48" t="str">
        <f>_xlfn.XLOOKUP(C3,Analysis_Gadgets!$C:$C,Analysis_Gadgets!$B:$B)</f>
        <v>Gadget</v>
      </c>
      <c r="E3" s="43">
        <v>0</v>
      </c>
      <c r="F3" s="43">
        <f>_xlfn.XLOOKUP(A3,Class_Players!A:A,Class_Players!G:G)</f>
        <v>491</v>
      </c>
      <c r="G3" s="43">
        <f t="shared" ref="G3:G64" si="0">IF(F3=0,"",E3/F3)</f>
        <v>0</v>
      </c>
      <c r="H3" s="43">
        <f>_xlfn.XLOOKUP(A3,Class_Players!$A:$A,Class_Players!$F:$F,"")</f>
        <v>28809</v>
      </c>
      <c r="I3" s="44">
        <f>IF(H3=0,"",E3/H3)</f>
        <v>0</v>
      </c>
      <c r="J3" s="43">
        <f t="shared" ref="J3:J66" si="1">IF(I3&gt;=0.1,1,0)</f>
        <v>0</v>
      </c>
      <c r="K3" s="44" cm="1">
        <f t="array" ref="K3">IF(D3="Gadget",_xlfn.IFS(I3&gt;=0.2,0.5,I3&gt;=0.1,0.35,I3&gt;=0.05,0.2,TRUE,0),IF(D3="Grenade",_xlfn.IFS(I3&gt;=0.2,1,I3&gt;=0.1,0.7,I3&gt;=0.05,0.4,TRUE,0),0))</f>
        <v>0</v>
      </c>
      <c r="L3" s="57">
        <f t="shared" ref="L3:L6" si="2">IF($K3=0,0,$K3 / SUMIFS($K:$K,$A:$A,$A3,$D:$D,"Gadget"))</f>
        <v>0</v>
      </c>
    </row>
    <row r="4" spans="1:12" x14ac:dyDescent="0.25">
      <c r="A4" s="42" t="str" cm="1">
        <f t="array" ref="A4">IFERROR(INDEX(_xlfn._xlws.FILTER(Class_Players!A:A,Class_Players!B:B="Assault"),QUOTIENT(ROW()-ROW($A$2),7)+1),"")</f>
        <v>mirovampiro</v>
      </c>
      <c r="B4" s="42" t="str">
        <f>_xlfn.XLOOKUP(A4,Class_Players!$A:$A,Class_Players!$B:$B,"")</f>
        <v>Assault</v>
      </c>
      <c r="C4" s="48" t="str" cm="1">
        <f t="array" ref="C4">INDEX(Lookups!$A$2:$A$8,MOD(ROW()-ROW($B$2),ROWS(Lookups!$A$2:$A$8))+1)</f>
        <v>M320A1 HE (Grenade Launcher)</v>
      </c>
      <c r="D4" s="48" t="str">
        <f>_xlfn.XLOOKUP(C4,Analysis_Gadgets!$C:$C,Analysis_Gadgets!$B:$B)</f>
        <v>Gadget</v>
      </c>
      <c r="E4" s="43">
        <v>2791</v>
      </c>
      <c r="F4" s="43">
        <f>_xlfn.XLOOKUP(A4,Class_Players!A:A,Class_Players!G:G)</f>
        <v>491</v>
      </c>
      <c r="G4" s="43">
        <f t="shared" si="0"/>
        <v>5.6843177189409371</v>
      </c>
      <c r="H4" s="43">
        <f>_xlfn.XLOOKUP(A4,Class_Players!$A:$A,Class_Players!$F:$F,"")</f>
        <v>28809</v>
      </c>
      <c r="I4" s="44">
        <f>IF(H4=0,"",E4/H4)</f>
        <v>9.6879447394911306E-2</v>
      </c>
      <c r="J4" s="43">
        <f t="shared" si="1"/>
        <v>0</v>
      </c>
      <c r="K4" s="44" cm="1">
        <f t="array" ref="K4">IF(D4="Gadget",_xlfn.IFS(I4&gt;=0.2,0.5,I4&gt;=0.1,0.35,I4&gt;=0.05,0.2,TRUE,0),IF(D4="Grenade",_xlfn.IFS(I4&gt;=0.2,1,I4&gt;=0.1,0.7,I4&gt;=0.05,0.4,TRUE,0),0))</f>
        <v>0.2</v>
      </c>
      <c r="L4" s="57">
        <f t="shared" si="2"/>
        <v>0.36363636363636365</v>
      </c>
    </row>
    <row r="5" spans="1:12" x14ac:dyDescent="0.25">
      <c r="A5" s="42" t="str" cm="1">
        <f t="array" ref="A5">IFERROR(INDEX(_xlfn._xlws.FILTER(Class_Players!A:A,Class_Players!B:B="Assault"),QUOTIENT(ROW()-ROW($A$2),7)+1),"")</f>
        <v>mirovampiro</v>
      </c>
      <c r="B5" s="42" t="str">
        <f>_xlfn.XLOOKUP(A5,Class_Players!$A:$A,Class_Players!$B:$B,"")</f>
        <v>Assault</v>
      </c>
      <c r="C5" s="48" t="str" cm="1">
        <f t="array" ref="C5">INDEX(Lookups!$A$2:$A$8,MOD(ROW()-ROW($B$2),ROWS(Lookups!$A$2:$A$8))+1)</f>
        <v>M320A1 THRM    (Incendiary Grenade Launcher)</v>
      </c>
      <c r="D5" s="48" t="str">
        <f>_xlfn.XLOOKUP(C5,Analysis_Gadgets!$C:$C,Analysis_Gadgets!$B:$B)</f>
        <v>Gadget</v>
      </c>
      <c r="E5" s="43">
        <v>33</v>
      </c>
      <c r="F5" s="43">
        <f>_xlfn.XLOOKUP(A5,Class_Players!A:A,Class_Players!G:G)</f>
        <v>491</v>
      </c>
      <c r="G5" s="43">
        <f t="shared" si="0"/>
        <v>6.720977596741344E-2</v>
      </c>
      <c r="H5" s="43">
        <f>_xlfn.XLOOKUP(A5,Class_Players!$A:$A,Class_Players!$F:$F,"")</f>
        <v>28809</v>
      </c>
      <c r="I5" s="44">
        <f t="shared" ref="I5:I8" si="3">IF(H5=0,"",E5/H5)</f>
        <v>1.145475372279496E-3</v>
      </c>
      <c r="J5" s="43">
        <f t="shared" si="1"/>
        <v>0</v>
      </c>
      <c r="K5" s="44" cm="1">
        <f t="array" ref="K5">IF(D5="Gadget",_xlfn.IFS(I5&gt;=0.2,0.5,I5&gt;=0.1,0.35,I5&gt;=0.05,0.2,TRUE,0),IF(D5="Grenade",_xlfn.IFS(I5&gt;=0.2,1,I5&gt;=0.1,0.7,I5&gt;=0.05,0.4,TRUE,0),0))</f>
        <v>0</v>
      </c>
      <c r="L5" s="57">
        <f t="shared" si="2"/>
        <v>0</v>
      </c>
    </row>
    <row r="6" spans="1:12" x14ac:dyDescent="0.25">
      <c r="A6" s="42" t="str" cm="1">
        <f t="array" ref="A6">IFERROR(INDEX(_xlfn._xlws.FILTER(Class_Players!A:A,Class_Players!B:B="Assault"),QUOTIENT(ROW()-ROW($A$2),7)+1),"")</f>
        <v>mirovampiro</v>
      </c>
      <c r="B6" s="42" t="str">
        <f>_xlfn.XLOOKUP(A6,Class_Players!$A:$A,Class_Players!$B:$B,"")</f>
        <v>Assault</v>
      </c>
      <c r="C6" s="48" t="str" cm="1">
        <f t="array" ref="C6">INDEX(Lookups!$A$2:$A$8,MOD(ROW()-ROW($B$2),ROWS(Lookups!$A$2:$A$8))+1)</f>
        <v>QLINK (Deploy Beacon)</v>
      </c>
      <c r="D6" s="48" t="str">
        <f>_xlfn.XLOOKUP(C6,Analysis_Gadgets!$C:$C,Analysis_Gadgets!$B:$B)</f>
        <v>Gadget</v>
      </c>
      <c r="E6" s="43">
        <v>5283</v>
      </c>
      <c r="F6" s="43">
        <f>_xlfn.XLOOKUP(A6,Class_Players!A:A,Class_Players!G:G)</f>
        <v>491</v>
      </c>
      <c r="G6" s="43">
        <f t="shared" si="0"/>
        <v>10.759674134419551</v>
      </c>
      <c r="H6" s="43">
        <f>_xlfn.XLOOKUP(A6,Class_Players!$A:$A,Class_Players!$F:$F,"")</f>
        <v>28809</v>
      </c>
      <c r="I6" s="44">
        <f t="shared" si="3"/>
        <v>0.18338019368947203</v>
      </c>
      <c r="J6" s="43">
        <f t="shared" si="1"/>
        <v>1</v>
      </c>
      <c r="K6" s="44" cm="1">
        <f t="array" ref="K6">IF(D6="Gadget",_xlfn.IFS(I6&gt;=0.2,0.5,I6&gt;=0.1,0.35,I6&gt;=0.05,0.2,TRUE,0),IF(D6="Grenade",_xlfn.IFS(I6&gt;=0.2,1,I6&gt;=0.1,0.7,I6&gt;=0.05,0.4,TRUE,0),0))</f>
        <v>0.35</v>
      </c>
      <c r="L6" s="57">
        <f t="shared" si="2"/>
        <v>0.63636363636363624</v>
      </c>
    </row>
    <row r="7" spans="1:12" x14ac:dyDescent="0.25">
      <c r="A7" s="42" t="str" cm="1">
        <f t="array" ref="A7">IFERROR(INDEX(_xlfn._xlws.FILTER(Class_Players!A:A,Class_Players!B:B="Assault"),QUOTIENT(ROW()-ROW($A$2),7)+1),"")</f>
        <v>mirovampiro</v>
      </c>
      <c r="B7" s="42" t="str">
        <f>_xlfn.XLOOKUP(A7,Class_Players!$A:$A,Class_Players!$B:$B,"")</f>
        <v>Assault</v>
      </c>
      <c r="C7" s="48" t="str" cm="1">
        <f t="array" ref="C7">INDEX(Lookups!$A$2:$A$8,MOD(ROW()-ROW($B$2),ROWS(Lookups!$A$2:$A$8))+1)</f>
        <v>Stun Grenade</v>
      </c>
      <c r="D7" s="48" t="str">
        <f>_xlfn.XLOOKUP(C7,Analysis_Gadgets!$C:$C,Analysis_Gadgets!$B:$B)</f>
        <v>Grenade</v>
      </c>
      <c r="E7" s="43">
        <v>105</v>
      </c>
      <c r="F7" s="43">
        <f>_xlfn.XLOOKUP(A7,Class_Players!A:A,Class_Players!G:G)</f>
        <v>491</v>
      </c>
      <c r="G7" s="43">
        <f t="shared" si="0"/>
        <v>0.21384928716904278</v>
      </c>
      <c r="H7" s="43">
        <f>_xlfn.XLOOKUP(A7,Class_Players!$A:$A,Class_Players!$F:$F,"")</f>
        <v>28809</v>
      </c>
      <c r="I7" s="44">
        <f t="shared" si="3"/>
        <v>3.6446943663438511E-3</v>
      </c>
      <c r="J7" s="43">
        <f t="shared" si="1"/>
        <v>0</v>
      </c>
      <c r="K7" s="44" cm="1">
        <f t="array" ref="K7">IF(D7="Gadget",_xlfn.IFS(I7&gt;=0.2,0.5,I7&gt;=0.1,0.35,I7&gt;=0.05,0.2,TRUE,0),IF(D7="Grenade",_xlfn.IFS(I7&gt;=0.2,1,I7&gt;=0.1,0.7,I7&gt;=0.05,0.4,TRUE,0),0))</f>
        <v>0</v>
      </c>
      <c r="L7" s="57">
        <f>IF($K7=0,0,$K7 / SUMIFS($K:$K,$A:$A,$A7,$D:$D,"Grenade"))</f>
        <v>0</v>
      </c>
    </row>
    <row r="8" spans="1:12" x14ac:dyDescent="0.25">
      <c r="A8" s="42" t="str" cm="1">
        <f t="array" ref="A8">IFERROR(INDEX(_xlfn._xlws.FILTER(Class_Players!A:A,Class_Players!B:B="Assault"),QUOTIENT(ROW()-ROW($A$2),7)+1),"")</f>
        <v>mirovampiro</v>
      </c>
      <c r="B8" s="42" t="str">
        <f>_xlfn.XLOOKUP(A8,Class_Players!$A:$A,Class_Players!$B:$B,"")</f>
        <v>Assault</v>
      </c>
      <c r="C8" s="48" t="str" cm="1">
        <f t="array" ref="C8">INDEX(Lookups!$A$2:$A$8,MOD(ROW()-ROW($B$2),ROWS(Lookups!$A$2:$A$8))+1)</f>
        <v>Flash Grenade</v>
      </c>
      <c r="D8" s="48" t="str">
        <f>_xlfn.XLOOKUP(C8,Analysis_Gadgets!$C:$C,Analysis_Gadgets!$B:$B)</f>
        <v>Grenade</v>
      </c>
      <c r="E8" s="43">
        <v>71</v>
      </c>
      <c r="F8" s="43">
        <f>_xlfn.XLOOKUP(A8,Class_Players!A:A,Class_Players!G:G)</f>
        <v>491</v>
      </c>
      <c r="G8" s="43">
        <f t="shared" si="0"/>
        <v>0.14460285132382891</v>
      </c>
      <c r="H8" s="43">
        <f>_xlfn.XLOOKUP(A8,Class_Players!$A:$A,Class_Players!$F:$F,"")</f>
        <v>28809</v>
      </c>
      <c r="I8" s="44">
        <f t="shared" si="3"/>
        <v>2.4645076191467945E-3</v>
      </c>
      <c r="J8" s="43">
        <f t="shared" si="1"/>
        <v>0</v>
      </c>
      <c r="K8" s="44" cm="1">
        <f t="array" ref="K8">IF(D8="Gadget",_xlfn.IFS(I8&gt;=0.2,0.5,I8&gt;=0.1,0.35,I8&gt;=0.05,0.2,TRUE,0),IF(D8="Grenade",_xlfn.IFS(I8&gt;=0.2,1,I8&gt;=0.1,0.7,I8&gt;=0.05,0.4,TRUE,0),0))</f>
        <v>0</v>
      </c>
      <c r="L8" s="57">
        <f>IF($K8=0,0,$K8 / SUMIFS($K:$K,$A:$A,$A8,$D:$D,"Grenade"))</f>
        <v>0</v>
      </c>
    </row>
    <row r="9" spans="1:12" x14ac:dyDescent="0.25">
      <c r="A9" s="42" t="str" cm="1">
        <f t="array" ref="A9">IFERROR(INDEX(_xlfn._xlws.FILTER(Class_Players!A:A,Class_Players!B:B="Assault"),QUOTIENT(ROW()-ROW($A$2),7)+1),"")</f>
        <v>Francko Escobar</v>
      </c>
      <c r="B9" s="42" t="str">
        <f>_xlfn.XLOOKUP(A9,Class_Players!$A:$A,Class_Players!$B:$B,"")</f>
        <v>Assault</v>
      </c>
      <c r="C9" s="48" t="str" cm="1">
        <f t="array" ref="C9">INDEX(Lookups!$A$2:$A$8,MOD(ROW()-ROW($B$2),ROWS(Lookups!$A$2:$A$8))+1)</f>
        <v>Assault Ladder</v>
      </c>
      <c r="D9" s="48" t="str">
        <f>_xlfn.XLOOKUP(C9,Analysis_Gadgets!$C:$C,Analysis_Gadgets!$B:$B)</f>
        <v>Gadget</v>
      </c>
      <c r="E9" s="43">
        <v>123</v>
      </c>
      <c r="F9" s="43">
        <f>_xlfn.XLOOKUP(A9,Class_Players!A:A,Class_Players!G:G)</f>
        <v>388</v>
      </c>
      <c r="G9" s="43">
        <f t="shared" si="0"/>
        <v>0.3170103092783505</v>
      </c>
      <c r="H9" s="42">
        <f>_xlfn.XLOOKUP(A9,Class_Players!A:A,Class_Players!F:F)</f>
        <v>22167</v>
      </c>
      <c r="I9" s="44">
        <f>IF(H9=0,"",E9/H9)</f>
        <v>5.548788740018947E-3</v>
      </c>
      <c r="J9" s="43">
        <f t="shared" si="1"/>
        <v>0</v>
      </c>
      <c r="K9" s="44" cm="1">
        <f t="array" ref="K9">IF(D9="Gadget",_xlfn.IFS(I9&gt;=0.2,0.5,I9&gt;=0.1,0.35,I9&gt;=0.05,0.2,TRUE,0),IF(D9="Grenade",_xlfn.IFS(I9&gt;=0.2,1,I9&gt;=0.1,0.7,I9&gt;=0.05,0.4,TRUE,0),0))</f>
        <v>0</v>
      </c>
      <c r="L9" s="57">
        <f>IF($K9=0,0,$K9 / SUMIFS($K:$K,$A:$A,$A9,$D:$D,"Gadget"))</f>
        <v>0</v>
      </c>
    </row>
    <row r="10" spans="1:12" x14ac:dyDescent="0.25">
      <c r="A10" s="42" t="str" cm="1">
        <f t="array" ref="A10">IFERROR(INDEX(_xlfn._xlws.FILTER(Class_Players!A:A,Class_Players!B:B="Assault"),QUOTIENT(ROW()-ROW($A$2),7)+1),"")</f>
        <v>Francko Escobar</v>
      </c>
      <c r="B10" s="42" t="str">
        <f>_xlfn.XLOOKUP(A10,Class_Players!$A:$A,Class_Players!$B:$B,"")</f>
        <v>Assault</v>
      </c>
      <c r="C10" s="48" t="str" cm="1">
        <f t="array" ref="C10">INDEX(Lookups!$A$2:$A$8,MOD(ROW()-ROW($B$2),ROWS(Lookups!$A$2:$A$8))+1)</f>
        <v>X95 BRE (Breaching Projectile Launcher)</v>
      </c>
      <c r="D10" s="48" t="str">
        <f>_xlfn.XLOOKUP(C10,Analysis_Gadgets!$C:$C,Analysis_Gadgets!$B:$B)</f>
        <v>Gadget</v>
      </c>
      <c r="E10" s="43">
        <v>0</v>
      </c>
      <c r="F10" s="43">
        <f>_xlfn.XLOOKUP(A10,Class_Players!A:A,Class_Players!G:G)</f>
        <v>388</v>
      </c>
      <c r="G10" s="43">
        <f t="shared" si="0"/>
        <v>0</v>
      </c>
      <c r="H10" s="42">
        <f>_xlfn.XLOOKUP(A10,Class_Players!A:A,Class_Players!F:F)</f>
        <v>22167</v>
      </c>
      <c r="I10" s="44">
        <f>IF(H10=0,"",E10/H10)</f>
        <v>0</v>
      </c>
      <c r="J10" s="43">
        <f t="shared" si="1"/>
        <v>0</v>
      </c>
      <c r="K10" s="44" cm="1">
        <f t="array" ref="K10">IF(D10="Gadget",_xlfn.IFS(I10&gt;=0.2,0.5,I10&gt;=0.1,0.35,I10&gt;=0.05,0.2,TRUE,0),IF(D10="Grenade",_xlfn.IFS(I10&gt;=0.2,1,I10&gt;=0.1,0.7,I10&gt;=0.05,0.4,TRUE,0),0))</f>
        <v>0</v>
      </c>
      <c r="L10" s="57">
        <f t="shared" ref="L10:L13" si="4">IF($K10=0,0,$K10 / SUMIFS($K:$K,$A:$A,$A10,$D:$D,"Gadget"))</f>
        <v>0</v>
      </c>
    </row>
    <row r="11" spans="1:12" x14ac:dyDescent="0.25">
      <c r="A11" s="42" t="str" cm="1">
        <f t="array" ref="A11">IFERROR(INDEX(_xlfn._xlws.FILTER(Class_Players!A:A,Class_Players!B:B="Assault"),QUOTIENT(ROW()-ROW($A$2),7)+1),"")</f>
        <v>Francko Escobar</v>
      </c>
      <c r="B11" s="42" t="str">
        <f>_xlfn.XLOOKUP(A11,Class_Players!$A:$A,Class_Players!$B:$B,"")</f>
        <v>Assault</v>
      </c>
      <c r="C11" s="48" t="str" cm="1">
        <f t="array" ref="C11">INDEX(Lookups!$A$2:$A$8,MOD(ROW()-ROW($B$2),ROWS(Lookups!$A$2:$A$8))+1)</f>
        <v>M320A1 HE (Grenade Launcher)</v>
      </c>
      <c r="D11" s="48" t="str">
        <f>_xlfn.XLOOKUP(C11,Analysis_Gadgets!$C:$C,Analysis_Gadgets!$B:$B)</f>
        <v>Gadget</v>
      </c>
      <c r="E11" s="43">
        <v>2529</v>
      </c>
      <c r="F11" s="43">
        <f>_xlfn.XLOOKUP(A11,Class_Players!A:A,Class_Players!G:G)</f>
        <v>388</v>
      </c>
      <c r="G11" s="43">
        <f t="shared" si="0"/>
        <v>6.518041237113402</v>
      </c>
      <c r="H11" s="42">
        <f>_xlfn.XLOOKUP(A11,Class_Players!A:A,Class_Players!F:F)</f>
        <v>22167</v>
      </c>
      <c r="I11" s="44">
        <f>IF(H11=0,"",E11/H11)</f>
        <v>0.11408850994721884</v>
      </c>
      <c r="J11" s="43">
        <f t="shared" si="1"/>
        <v>1</v>
      </c>
      <c r="K11" s="44" cm="1">
        <f t="array" ref="K11">IF(D11="Gadget",_xlfn.IFS(I11&gt;=0.2,0.5,I11&gt;=0.1,0.35,I11&gt;=0.05,0.2,TRUE,0),IF(D11="Grenade",_xlfn.IFS(I11&gt;=0.2,1,I11&gt;=0.1,0.7,I11&gt;=0.05,0.4,TRUE,0),0))</f>
        <v>0.35</v>
      </c>
      <c r="L11" s="57">
        <f t="shared" si="4"/>
        <v>1</v>
      </c>
    </row>
    <row r="12" spans="1:12" x14ac:dyDescent="0.25">
      <c r="A12" s="42" t="str" cm="1">
        <f t="array" ref="A12">IFERROR(INDEX(_xlfn._xlws.FILTER(Class_Players!A:A,Class_Players!B:B="Assault"),QUOTIENT(ROW()-ROW($A$2),7)+1),"")</f>
        <v>Francko Escobar</v>
      </c>
      <c r="B12" s="42" t="str">
        <f>_xlfn.XLOOKUP(A12,Class_Players!$A:$A,Class_Players!$B:$B,"")</f>
        <v>Assault</v>
      </c>
      <c r="C12" s="48" t="str" cm="1">
        <f t="array" ref="C12">INDEX(Lookups!$A$2:$A$8,MOD(ROW()-ROW($B$2),ROWS(Lookups!$A$2:$A$8))+1)</f>
        <v>M320A1 THRM    (Incendiary Grenade Launcher)</v>
      </c>
      <c r="D12" s="48" t="str">
        <f>_xlfn.XLOOKUP(C12,Analysis_Gadgets!$C:$C,Analysis_Gadgets!$B:$B)</f>
        <v>Gadget</v>
      </c>
      <c r="E12" s="43">
        <v>252</v>
      </c>
      <c r="F12" s="43">
        <f>_xlfn.XLOOKUP(A12,Class_Players!A:A,Class_Players!G:G)</f>
        <v>388</v>
      </c>
      <c r="G12" s="43">
        <f t="shared" si="0"/>
        <v>0.64948453608247425</v>
      </c>
      <c r="H12" s="42">
        <f>_xlfn.XLOOKUP(A12,Class_Players!A:A,Class_Players!F:F)</f>
        <v>22167</v>
      </c>
      <c r="I12" s="44">
        <f t="shared" ref="I12:I15" si="5">IF(H12=0,"",E12/H12)</f>
        <v>1.1368250101502234E-2</v>
      </c>
      <c r="J12" s="43">
        <f t="shared" si="1"/>
        <v>0</v>
      </c>
      <c r="K12" s="44" cm="1">
        <f t="array" ref="K12">IF(D12="Gadget",_xlfn.IFS(I12&gt;=0.2,0.5,I12&gt;=0.1,0.35,I12&gt;=0.05,0.2,TRUE,0),IF(D12="Grenade",_xlfn.IFS(I12&gt;=0.2,1,I12&gt;=0.1,0.7,I12&gt;=0.05,0.4,TRUE,0),0))</f>
        <v>0</v>
      </c>
      <c r="L12" s="57">
        <f t="shared" si="4"/>
        <v>0</v>
      </c>
    </row>
    <row r="13" spans="1:12" x14ac:dyDescent="0.25">
      <c r="A13" s="42" t="str" cm="1">
        <f t="array" ref="A13">IFERROR(INDEX(_xlfn._xlws.FILTER(Class_Players!A:A,Class_Players!B:B="Assault"),QUOTIENT(ROW()-ROW($A$2),7)+1),"")</f>
        <v>Francko Escobar</v>
      </c>
      <c r="B13" s="42" t="str">
        <f>_xlfn.XLOOKUP(A13,Class_Players!$A:$A,Class_Players!$B:$B,"")</f>
        <v>Assault</v>
      </c>
      <c r="C13" s="48" t="str" cm="1">
        <f t="array" ref="C13">INDEX(Lookups!$A$2:$A$8,MOD(ROW()-ROW($B$2),ROWS(Lookups!$A$2:$A$8))+1)</f>
        <v>QLINK (Deploy Beacon)</v>
      </c>
      <c r="D13" s="48" t="str">
        <f>_xlfn.XLOOKUP(C13,Analysis_Gadgets!$C:$C,Analysis_Gadgets!$B:$B)</f>
        <v>Gadget</v>
      </c>
      <c r="E13" s="43">
        <v>471</v>
      </c>
      <c r="F13" s="43">
        <f>_xlfn.XLOOKUP(A13,Class_Players!A:A,Class_Players!G:G)</f>
        <v>388</v>
      </c>
      <c r="G13" s="43">
        <f t="shared" si="0"/>
        <v>1.2139175257731958</v>
      </c>
      <c r="H13" s="42">
        <f>_xlfn.XLOOKUP(A13,Class_Players!A:A,Class_Players!F:F)</f>
        <v>22167</v>
      </c>
      <c r="I13" s="44">
        <f t="shared" si="5"/>
        <v>2.1247800784950602E-2</v>
      </c>
      <c r="J13" s="43">
        <f t="shared" si="1"/>
        <v>0</v>
      </c>
      <c r="K13" s="44" cm="1">
        <f t="array" ref="K13">IF(D13="Gadget",_xlfn.IFS(I13&gt;=0.2,0.5,I13&gt;=0.1,0.35,I13&gt;=0.05,0.2,TRUE,0),IF(D13="Grenade",_xlfn.IFS(I13&gt;=0.2,1,I13&gt;=0.1,0.7,I13&gt;=0.05,0.4,TRUE,0),0))</f>
        <v>0</v>
      </c>
      <c r="L13" s="57">
        <f t="shared" si="4"/>
        <v>0</v>
      </c>
    </row>
    <row r="14" spans="1:12" x14ac:dyDescent="0.25">
      <c r="A14" s="42" t="str" cm="1">
        <f t="array" ref="A14">IFERROR(INDEX(_xlfn._xlws.FILTER(Class_Players!A:A,Class_Players!B:B="Assault"),QUOTIENT(ROW()-ROW($A$2),7)+1),"")</f>
        <v>Francko Escobar</v>
      </c>
      <c r="B14" s="42" t="str">
        <f>_xlfn.XLOOKUP(A14,Class_Players!$A:$A,Class_Players!$B:$B,"")</f>
        <v>Assault</v>
      </c>
      <c r="C14" s="48" t="str" cm="1">
        <f t="array" ref="C14">INDEX(Lookups!$A$2:$A$8,MOD(ROW()-ROW($B$2),ROWS(Lookups!$A$2:$A$8))+1)</f>
        <v>Stun Grenade</v>
      </c>
      <c r="D14" s="48" t="str">
        <f>_xlfn.XLOOKUP(C14,Analysis_Gadgets!$C:$C,Analysis_Gadgets!$B:$B)</f>
        <v>Grenade</v>
      </c>
      <c r="E14" s="43">
        <v>131</v>
      </c>
      <c r="F14" s="43">
        <f>_xlfn.XLOOKUP(A14,Class_Players!A:A,Class_Players!G:G)</f>
        <v>388</v>
      </c>
      <c r="G14" s="43">
        <f t="shared" si="0"/>
        <v>0.33762886597938147</v>
      </c>
      <c r="H14" s="42">
        <f>_xlfn.XLOOKUP(A14,Class_Players!A:A,Class_Players!F:F)</f>
        <v>22167</v>
      </c>
      <c r="I14" s="44">
        <f t="shared" si="5"/>
        <v>5.9096855686380659E-3</v>
      </c>
      <c r="J14" s="43">
        <f t="shared" si="1"/>
        <v>0</v>
      </c>
      <c r="K14" s="44" cm="1">
        <f t="array" ref="K14">IF(D14="Gadget",_xlfn.IFS(I14&gt;=0.2,0.5,I14&gt;=0.1,0.35,I14&gt;=0.05,0.2,TRUE,0),IF(D14="Grenade",_xlfn.IFS(I14&gt;=0.2,1,I14&gt;=0.1,0.7,I14&gt;=0.05,0.4,TRUE,0),0))</f>
        <v>0</v>
      </c>
      <c r="L14" s="57">
        <f>IF($K14=0,0,$K14 / SUMIFS($K:$K,$A:$A,$A14,$D:$D,"Grenade"))</f>
        <v>0</v>
      </c>
    </row>
    <row r="15" spans="1:12" x14ac:dyDescent="0.25">
      <c r="A15" s="42" t="str" cm="1">
        <f t="array" ref="A15">IFERROR(INDEX(_xlfn._xlws.FILTER(Class_Players!A:A,Class_Players!B:B="Assault"),QUOTIENT(ROW()-ROW($A$2),7)+1),"")</f>
        <v>Francko Escobar</v>
      </c>
      <c r="B15" s="42" t="str">
        <f>_xlfn.XLOOKUP(A15,Class_Players!$A:$A,Class_Players!$B:$B,"")</f>
        <v>Assault</v>
      </c>
      <c r="C15" s="48" t="str" cm="1">
        <f t="array" ref="C15">INDEX(Lookups!$A$2:$A$8,MOD(ROW()-ROW($B$2),ROWS(Lookups!$A$2:$A$8))+1)</f>
        <v>Flash Grenade</v>
      </c>
      <c r="D15" s="48" t="str">
        <f>_xlfn.XLOOKUP(C15,Analysis_Gadgets!$C:$C,Analysis_Gadgets!$B:$B)</f>
        <v>Grenade</v>
      </c>
      <c r="E15" s="43">
        <v>99</v>
      </c>
      <c r="F15" s="43">
        <f>_xlfn.XLOOKUP(A15,Class_Players!A:A,Class_Players!G:G)</f>
        <v>388</v>
      </c>
      <c r="G15" s="43">
        <f t="shared" si="0"/>
        <v>0.25515463917525771</v>
      </c>
      <c r="H15" s="42">
        <f>_xlfn.XLOOKUP(A15,Class_Players!A:A,Class_Players!F:F)</f>
        <v>22167</v>
      </c>
      <c r="I15" s="44">
        <f t="shared" si="5"/>
        <v>4.4660982541615919E-3</v>
      </c>
      <c r="J15" s="43">
        <f t="shared" si="1"/>
        <v>0</v>
      </c>
      <c r="K15" s="44" cm="1">
        <f t="array" ref="K15">IF(D15="Gadget",_xlfn.IFS(I15&gt;=0.2,0.5,I15&gt;=0.1,0.35,I15&gt;=0.05,0.2,TRUE,0),IF(D15="Grenade",_xlfn.IFS(I15&gt;=0.2,1,I15&gt;=0.1,0.7,I15&gt;=0.05,0.4,TRUE,0),0))</f>
        <v>0</v>
      </c>
      <c r="L15" s="57">
        <f>IF($K15=0,0,$K15 / SUMIFS($K:$K,$A:$A,$A15,$D:$D,"Grenade"))</f>
        <v>0</v>
      </c>
    </row>
    <row r="16" spans="1:12" x14ac:dyDescent="0.25">
      <c r="A16" s="42" t="str" cm="1">
        <f t="array" ref="A16">IFERROR(INDEX(_xlfn._xlws.FILTER(Class_Players!A:A,Class_Players!B:B="Assault"),QUOTIENT(ROW()-ROW($A$2),7)+1),"")</f>
        <v>CFGBOT</v>
      </c>
      <c r="B16" s="42" t="str">
        <f>_xlfn.XLOOKUP(A16,Class_Players!$A:$A,Class_Players!$B:$B,"")</f>
        <v>Assault</v>
      </c>
      <c r="C16" s="48" t="str" cm="1">
        <f t="array" ref="C16">INDEX(Lookups!$A$2:$A$8,MOD(ROW()-ROW($B$2),ROWS(Lookups!$A$2:$A$8))+1)</f>
        <v>Assault Ladder</v>
      </c>
      <c r="D16" s="48" t="str">
        <f>_xlfn.XLOOKUP(C16,Analysis_Gadgets!$C:$C,Analysis_Gadgets!$B:$B)</f>
        <v>Gadget</v>
      </c>
      <c r="E16" s="43">
        <v>2</v>
      </c>
      <c r="F16" s="43">
        <f>_xlfn.XLOOKUP(A16,Class_Players!A:A,Class_Players!G:G)</f>
        <v>351</v>
      </c>
      <c r="G16" s="43">
        <f t="shared" si="0"/>
        <v>5.6980056980056983E-3</v>
      </c>
      <c r="H16" s="43">
        <f>_xlfn.XLOOKUP(A16,Class_Players!$A:$A,Class_Players!$F:$F,"")</f>
        <v>21125</v>
      </c>
      <c r="I16" s="44">
        <f>IF(H16=0,"",E16/H16)</f>
        <v>9.4674556213017751E-5</v>
      </c>
      <c r="J16" s="43">
        <f t="shared" si="1"/>
        <v>0</v>
      </c>
      <c r="K16" s="44" cm="1">
        <f t="array" ref="K16">IF(D16="Gadget",_xlfn.IFS(I16&gt;=0.2,0.5,I16&gt;=0.1,0.35,I16&gt;=0.05,0.2,TRUE,0),IF(D16="Grenade",_xlfn.IFS(I16&gt;=0.2,1,I16&gt;=0.1,0.7,I16&gt;=0.05,0.4,TRUE,0),0))</f>
        <v>0</v>
      </c>
      <c r="L16" s="57">
        <f t="shared" ref="L16:L20" si="6">IF($K16=0,0,$K16 / SUMIFS($K:$K,$A:$A,$A16,$D:$D,"Gadget"))</f>
        <v>0</v>
      </c>
    </row>
    <row r="17" spans="1:12" x14ac:dyDescent="0.25">
      <c r="A17" s="42" t="str" cm="1">
        <f t="array" ref="A17">IFERROR(INDEX(_xlfn._xlws.FILTER(Class_Players!A:A,Class_Players!B:B="Assault"),QUOTIENT(ROW()-ROW($A$2),7)+1),"")</f>
        <v>CFGBOT</v>
      </c>
      <c r="B17" s="42" t="str">
        <f>_xlfn.XLOOKUP(A17,Class_Players!$A:$A,Class_Players!$B:$B,"")</f>
        <v>Assault</v>
      </c>
      <c r="C17" s="48" t="str" cm="1">
        <f t="array" ref="C17">INDEX(Lookups!$A$2:$A$8,MOD(ROW()-ROW($B$2),ROWS(Lookups!$A$2:$A$8))+1)</f>
        <v>X95 BRE (Breaching Projectile Launcher)</v>
      </c>
      <c r="D17" s="48" t="str">
        <f>_xlfn.XLOOKUP(C17,Analysis_Gadgets!$C:$C,Analysis_Gadgets!$B:$B)</f>
        <v>Gadget</v>
      </c>
      <c r="E17" s="43">
        <v>0</v>
      </c>
      <c r="F17" s="43">
        <f>_xlfn.XLOOKUP(A17,Class_Players!A:A,Class_Players!G:G)</f>
        <v>351</v>
      </c>
      <c r="G17" s="43">
        <f t="shared" si="0"/>
        <v>0</v>
      </c>
      <c r="H17" s="43">
        <f>_xlfn.XLOOKUP(A17,Class_Players!$A:$A,Class_Players!$F:$F,"")</f>
        <v>21125</v>
      </c>
      <c r="I17" s="44">
        <f>IF(H17=0,"",E17/H17)</f>
        <v>0</v>
      </c>
      <c r="J17" s="43">
        <f t="shared" si="1"/>
        <v>0</v>
      </c>
      <c r="K17" s="44" cm="1">
        <f t="array" ref="K17">IF(D17="Gadget",_xlfn.IFS(I17&gt;=0.2,0.5,I17&gt;=0.1,0.35,I17&gt;=0.05,0.2,TRUE,0),IF(D17="Grenade",_xlfn.IFS(I17&gt;=0.2,1,I17&gt;=0.1,0.7,I17&gt;=0.05,0.4,TRUE,0),0))</f>
        <v>0</v>
      </c>
      <c r="L17" s="57">
        <f t="shared" si="6"/>
        <v>0</v>
      </c>
    </row>
    <row r="18" spans="1:12" x14ac:dyDescent="0.25">
      <c r="A18" s="42" t="str" cm="1">
        <f t="array" ref="A18">IFERROR(INDEX(_xlfn._xlws.FILTER(Class_Players!A:A,Class_Players!B:B="Assault"),QUOTIENT(ROW()-ROW($A$2),7)+1),"")</f>
        <v>CFGBOT</v>
      </c>
      <c r="B18" s="42" t="str">
        <f>_xlfn.XLOOKUP(A18,Class_Players!$A:$A,Class_Players!$B:$B,"")</f>
        <v>Assault</v>
      </c>
      <c r="C18" s="48" t="str" cm="1">
        <f t="array" ref="C18">INDEX(Lookups!$A$2:$A$8,MOD(ROW()-ROW($B$2),ROWS(Lookups!$A$2:$A$8))+1)</f>
        <v>M320A1 HE (Grenade Launcher)</v>
      </c>
      <c r="D18" s="48" t="str">
        <f>_xlfn.XLOOKUP(C18,Analysis_Gadgets!$C:$C,Analysis_Gadgets!$B:$B)</f>
        <v>Gadget</v>
      </c>
      <c r="E18" s="43">
        <v>8810</v>
      </c>
      <c r="F18" s="43">
        <f>_xlfn.XLOOKUP(A18,Class_Players!A:A,Class_Players!G:G)</f>
        <v>351</v>
      </c>
      <c r="G18" s="43">
        <f t="shared" si="0"/>
        <v>25.099715099715098</v>
      </c>
      <c r="H18" s="43">
        <f>_xlfn.XLOOKUP(A18,Class_Players!$A:$A,Class_Players!$F:$F,"")</f>
        <v>21125</v>
      </c>
      <c r="I18" s="44">
        <f>IF(H18=0,"",E18/H18)</f>
        <v>0.41704142011834322</v>
      </c>
      <c r="J18" s="43">
        <f t="shared" si="1"/>
        <v>1</v>
      </c>
      <c r="K18" s="44" cm="1">
        <f t="array" ref="K18">IF(D18="Gadget",_xlfn.IFS(I18&gt;=0.2,0.5,I18&gt;=0.1,0.35,I18&gt;=0.05,0.2,TRUE,0),IF(D18="Grenade",_xlfn.IFS(I18&gt;=0.2,1,I18&gt;=0.1,0.7,I18&gt;=0.05,0.4,TRUE,0),0))</f>
        <v>0.5</v>
      </c>
      <c r="L18" s="57">
        <f t="shared" si="6"/>
        <v>0.5</v>
      </c>
    </row>
    <row r="19" spans="1:12" x14ac:dyDescent="0.25">
      <c r="A19" s="42" t="str" cm="1">
        <f t="array" ref="A19">IFERROR(INDEX(_xlfn._xlws.FILTER(Class_Players!A:A,Class_Players!B:B="Assault"),QUOTIENT(ROW()-ROW($A$2),7)+1),"")</f>
        <v>CFGBOT</v>
      </c>
      <c r="B19" s="42" t="str">
        <f>_xlfn.XLOOKUP(A19,Class_Players!$A:$A,Class_Players!$B:$B,"")</f>
        <v>Assault</v>
      </c>
      <c r="C19" s="48" t="str" cm="1">
        <f t="array" ref="C19">INDEX(Lookups!$A$2:$A$8,MOD(ROW()-ROW($B$2),ROWS(Lookups!$A$2:$A$8))+1)</f>
        <v>M320A1 THRM    (Incendiary Grenade Launcher)</v>
      </c>
      <c r="D19" s="48" t="str">
        <f>_xlfn.XLOOKUP(C19,Analysis_Gadgets!$C:$C,Analysis_Gadgets!$B:$B)</f>
        <v>Gadget</v>
      </c>
      <c r="E19" s="43">
        <v>193</v>
      </c>
      <c r="F19" s="43">
        <f>_xlfn.XLOOKUP(A19,Class_Players!A:A,Class_Players!G:G)</f>
        <v>351</v>
      </c>
      <c r="G19" s="43">
        <f t="shared" si="0"/>
        <v>0.54985754985754987</v>
      </c>
      <c r="H19" s="43">
        <f>_xlfn.XLOOKUP(A19,Class_Players!$A:$A,Class_Players!$F:$F,"")</f>
        <v>21125</v>
      </c>
      <c r="I19" s="44">
        <f t="shared" ref="I19:I22" si="7">IF(H19=0,"",E19/H19)</f>
        <v>9.1360946745562138E-3</v>
      </c>
      <c r="J19" s="43">
        <f t="shared" si="1"/>
        <v>0</v>
      </c>
      <c r="K19" s="44" cm="1">
        <f t="array" ref="K19">IF(D19="Gadget",_xlfn.IFS(I19&gt;=0.2,0.5,I19&gt;=0.1,0.35,I19&gt;=0.05,0.2,TRUE,0),IF(D19="Grenade",_xlfn.IFS(I19&gt;=0.2,1,I19&gt;=0.1,0.7,I19&gt;=0.05,0.4,TRUE,0),0))</f>
        <v>0</v>
      </c>
      <c r="L19" s="57">
        <f t="shared" si="6"/>
        <v>0</v>
      </c>
    </row>
    <row r="20" spans="1:12" x14ac:dyDescent="0.25">
      <c r="A20" s="42" t="str" cm="1">
        <f t="array" ref="A20">IFERROR(INDEX(_xlfn._xlws.FILTER(Class_Players!A:A,Class_Players!B:B="Assault"),QUOTIENT(ROW()-ROW($A$2),7)+1),"")</f>
        <v>CFGBOT</v>
      </c>
      <c r="B20" s="42" t="str">
        <f>_xlfn.XLOOKUP(A20,Class_Players!$A:$A,Class_Players!$B:$B,"")</f>
        <v>Assault</v>
      </c>
      <c r="C20" s="48" t="str" cm="1">
        <f t="array" ref="C20">INDEX(Lookups!$A$2:$A$8,MOD(ROW()-ROW($B$2),ROWS(Lookups!$A$2:$A$8))+1)</f>
        <v>QLINK (Deploy Beacon)</v>
      </c>
      <c r="D20" s="48" t="str">
        <f>_xlfn.XLOOKUP(C20,Analysis_Gadgets!$C:$C,Analysis_Gadgets!$B:$B)</f>
        <v>Gadget</v>
      </c>
      <c r="E20" s="43">
        <v>4829</v>
      </c>
      <c r="F20" s="43">
        <f>_xlfn.XLOOKUP(A20,Class_Players!A:A,Class_Players!G:G)</f>
        <v>351</v>
      </c>
      <c r="G20" s="43">
        <f t="shared" si="0"/>
        <v>13.757834757834758</v>
      </c>
      <c r="H20" s="43">
        <f>_xlfn.XLOOKUP(A20,Class_Players!$A:$A,Class_Players!$F:$F,"")</f>
        <v>21125</v>
      </c>
      <c r="I20" s="44">
        <f t="shared" si="7"/>
        <v>0.22859171597633135</v>
      </c>
      <c r="J20" s="43">
        <f t="shared" si="1"/>
        <v>1</v>
      </c>
      <c r="K20" s="44" cm="1">
        <f t="array" ref="K20">IF(D20="Gadget",_xlfn.IFS(I20&gt;=0.2,0.5,I20&gt;=0.1,0.35,I20&gt;=0.05,0.2,TRUE,0),IF(D20="Grenade",_xlfn.IFS(I20&gt;=0.2,1,I20&gt;=0.1,0.7,I20&gt;=0.05,0.4,TRUE,0),0))</f>
        <v>0.5</v>
      </c>
      <c r="L20" s="57">
        <f t="shared" si="6"/>
        <v>0.5</v>
      </c>
    </row>
    <row r="21" spans="1:12" x14ac:dyDescent="0.25">
      <c r="A21" s="42" t="str" cm="1">
        <f t="array" ref="A21">IFERROR(INDEX(_xlfn._xlws.FILTER(Class_Players!A:A,Class_Players!B:B="Assault"),QUOTIENT(ROW()-ROW($A$2),7)+1),"")</f>
        <v>CFGBOT</v>
      </c>
      <c r="B21" s="42" t="str">
        <f>_xlfn.XLOOKUP(A21,Class_Players!$A:$A,Class_Players!$B:$B,"")</f>
        <v>Assault</v>
      </c>
      <c r="C21" s="48" t="str" cm="1">
        <f t="array" ref="C21">INDEX(Lookups!$A$2:$A$8,MOD(ROW()-ROW($B$2),ROWS(Lookups!$A$2:$A$8))+1)</f>
        <v>Stun Grenade</v>
      </c>
      <c r="D21" s="48" t="str">
        <f>_xlfn.XLOOKUP(C21,Analysis_Gadgets!$C:$C,Analysis_Gadgets!$B:$B)</f>
        <v>Grenade</v>
      </c>
      <c r="E21" s="43">
        <v>39</v>
      </c>
      <c r="F21" s="43">
        <f>_xlfn.XLOOKUP(A21,Class_Players!A:A,Class_Players!G:G)</f>
        <v>351</v>
      </c>
      <c r="G21" s="43">
        <f t="shared" si="0"/>
        <v>0.1111111111111111</v>
      </c>
      <c r="H21" s="43">
        <f>_xlfn.XLOOKUP(A21,Class_Players!$A:$A,Class_Players!$F:$F,"")</f>
        <v>21125</v>
      </c>
      <c r="I21" s="44">
        <f t="shared" si="7"/>
        <v>1.8461538461538461E-3</v>
      </c>
      <c r="J21" s="43">
        <f t="shared" si="1"/>
        <v>0</v>
      </c>
      <c r="K21" s="44" cm="1">
        <f t="array" ref="K21">IF(D21="Gadget",_xlfn.IFS(I21&gt;=0.2,0.5,I21&gt;=0.1,0.35,I21&gt;=0.05,0.2,TRUE,0),IF(D21="Grenade",_xlfn.IFS(I21&gt;=0.2,1,I21&gt;=0.1,0.7,I21&gt;=0.05,0.4,TRUE,0),0))</f>
        <v>0</v>
      </c>
      <c r="L21" s="57">
        <f t="shared" ref="L21:L22" si="8">IF($K21=0,0,$K21 / SUMIFS($K:$K,$A:$A,$A21,$D:$D,"Grenade"))</f>
        <v>0</v>
      </c>
    </row>
    <row r="22" spans="1:12" x14ac:dyDescent="0.25">
      <c r="A22" s="42" t="str" cm="1">
        <f t="array" ref="A22">IFERROR(INDEX(_xlfn._xlws.FILTER(Class_Players!A:A,Class_Players!B:B="Assault"),QUOTIENT(ROW()-ROW($A$2),7)+1),"")</f>
        <v>CFGBOT</v>
      </c>
      <c r="B22" s="42" t="str">
        <f>_xlfn.XLOOKUP(A22,Class_Players!$A:$A,Class_Players!$B:$B,"")</f>
        <v>Assault</v>
      </c>
      <c r="C22" s="48" t="str" cm="1">
        <f t="array" ref="C22">INDEX(Lookups!$A$2:$A$8,MOD(ROW()-ROW($B$2),ROWS(Lookups!$A$2:$A$8))+1)</f>
        <v>Flash Grenade</v>
      </c>
      <c r="D22" s="48" t="str">
        <f>_xlfn.XLOOKUP(C22,Analysis_Gadgets!$C:$C,Analysis_Gadgets!$B:$B)</f>
        <v>Grenade</v>
      </c>
      <c r="E22" s="43">
        <v>61</v>
      </c>
      <c r="F22" s="43">
        <f>_xlfn.XLOOKUP(A22,Class_Players!A:A,Class_Players!G:G)</f>
        <v>351</v>
      </c>
      <c r="G22" s="43">
        <f t="shared" si="0"/>
        <v>0.1737891737891738</v>
      </c>
      <c r="H22" s="43">
        <f>_xlfn.XLOOKUP(A22,Class_Players!$A:$A,Class_Players!$F:$F,"")</f>
        <v>21125</v>
      </c>
      <c r="I22" s="44">
        <f t="shared" si="7"/>
        <v>2.8875739644970413E-3</v>
      </c>
      <c r="J22" s="43">
        <f t="shared" si="1"/>
        <v>0</v>
      </c>
      <c r="K22" s="44" cm="1">
        <f t="array" ref="K22">IF(D22="Gadget",_xlfn.IFS(I22&gt;=0.2,0.5,I22&gt;=0.1,0.35,I22&gt;=0.05,0.2,TRUE,0),IF(D22="Grenade",_xlfn.IFS(I22&gt;=0.2,1,I22&gt;=0.1,0.7,I22&gt;=0.05,0.4,TRUE,0),0))</f>
        <v>0</v>
      </c>
      <c r="L22" s="57">
        <f t="shared" si="8"/>
        <v>0</v>
      </c>
    </row>
    <row r="23" spans="1:12" x14ac:dyDescent="0.25">
      <c r="A23" s="42" t="str" cm="1">
        <f t="array" ref="A23">IFERROR(INDEX(_xlfn._xlws.FILTER(Class_Players!A:A,Class_Players!B:B="Assault"),QUOTIENT(ROW()-ROW($A$2),7)+1),"")</f>
        <v>avengerhawk</v>
      </c>
      <c r="B23" s="42" t="str">
        <f>_xlfn.XLOOKUP(A23,Class_Players!$A:$A,Class_Players!$B:$B,"")</f>
        <v>Assault</v>
      </c>
      <c r="C23" s="48" t="str" cm="1">
        <f t="array" ref="C23">INDEX(Lookups!$A$2:$A$8,MOD(ROW()-ROW($B$2),ROWS(Lookups!$A$2:$A$8))+1)</f>
        <v>Assault Ladder</v>
      </c>
      <c r="D23" s="48" t="str">
        <f>_xlfn.XLOOKUP(C23,Analysis_Gadgets!$C:$C,Analysis_Gadgets!$B:$B)</f>
        <v>Gadget</v>
      </c>
      <c r="E23" s="43">
        <v>14</v>
      </c>
      <c r="F23" s="43">
        <f>_xlfn.XLOOKUP(A23,Class_Players!A:A,Class_Players!G:G)</f>
        <v>258</v>
      </c>
      <c r="G23" s="43">
        <f t="shared" si="0"/>
        <v>5.4263565891472867E-2</v>
      </c>
      <c r="H23" s="43">
        <f>_xlfn.XLOOKUP(A23,Class_Players!$A:$A,Class_Players!$F:$F,"")</f>
        <v>20105</v>
      </c>
      <c r="I23" s="44">
        <f>IF(H23=0,"",E23/H23)</f>
        <v>6.9634419298681923E-4</v>
      </c>
      <c r="J23" s="43">
        <f t="shared" si="1"/>
        <v>0</v>
      </c>
      <c r="K23" s="44" cm="1">
        <f t="array" ref="K23">IF(D23="Gadget",_xlfn.IFS(I23&gt;=0.2,0.5,I23&gt;=0.1,0.35,I23&gt;=0.05,0.2,TRUE,0),IF(D23="Grenade",_xlfn.IFS(I23&gt;=0.2,1,I23&gt;=0.1,0.7,I23&gt;=0.05,0.4,TRUE,0),0))</f>
        <v>0</v>
      </c>
      <c r="L23" s="57">
        <f t="shared" ref="L23:L27" si="9">IF($K23=0,0,$K23 / SUMIFS($K:$K,$A:$A,$A23,$D:$D,"Gadget"))</f>
        <v>0</v>
      </c>
    </row>
    <row r="24" spans="1:12" x14ac:dyDescent="0.25">
      <c r="A24" s="42" t="str" cm="1">
        <f t="array" ref="A24">IFERROR(INDEX(_xlfn._xlws.FILTER(Class_Players!A:A,Class_Players!B:B="Assault"),QUOTIENT(ROW()-ROW($A$2),7)+1),"")</f>
        <v>avengerhawk</v>
      </c>
      <c r="B24" s="42" t="str">
        <f>_xlfn.XLOOKUP(A24,Class_Players!$A:$A,Class_Players!$B:$B,"")</f>
        <v>Assault</v>
      </c>
      <c r="C24" s="48" t="str" cm="1">
        <f t="array" ref="C24">INDEX(Lookups!$A$2:$A$8,MOD(ROW()-ROW($B$2),ROWS(Lookups!$A$2:$A$8))+1)</f>
        <v>X95 BRE (Breaching Projectile Launcher)</v>
      </c>
      <c r="D24" s="48" t="str">
        <f>_xlfn.XLOOKUP(C24,Analysis_Gadgets!$C:$C,Analysis_Gadgets!$B:$B)</f>
        <v>Gadget</v>
      </c>
      <c r="E24" s="43">
        <v>65</v>
      </c>
      <c r="F24" s="43">
        <f>_xlfn.XLOOKUP(A24,Class_Players!A:A,Class_Players!G:G)</f>
        <v>258</v>
      </c>
      <c r="G24" s="43">
        <f t="shared" si="0"/>
        <v>0.25193798449612403</v>
      </c>
      <c r="H24" s="43">
        <f>_xlfn.XLOOKUP(A24,Class_Players!$A:$A,Class_Players!$F:$F,"")</f>
        <v>20105</v>
      </c>
      <c r="I24" s="44">
        <f>IF(H24=0,"",E24/H24)</f>
        <v>3.2330266102959461E-3</v>
      </c>
      <c r="J24" s="43">
        <f t="shared" si="1"/>
        <v>0</v>
      </c>
      <c r="K24" s="44" cm="1">
        <f t="array" ref="K24">IF(D24="Gadget",_xlfn.IFS(I24&gt;=0.2,0.5,I24&gt;=0.1,0.35,I24&gt;=0.05,0.2,TRUE,0),IF(D24="Grenade",_xlfn.IFS(I24&gt;=0.2,1,I24&gt;=0.1,0.7,I24&gt;=0.05,0.4,TRUE,0),0))</f>
        <v>0</v>
      </c>
      <c r="L24" s="57">
        <f t="shared" si="9"/>
        <v>0</v>
      </c>
    </row>
    <row r="25" spans="1:12" x14ac:dyDescent="0.25">
      <c r="A25" s="42" t="str" cm="1">
        <f t="array" ref="A25">IFERROR(INDEX(_xlfn._xlws.FILTER(Class_Players!A:A,Class_Players!B:B="Assault"),QUOTIENT(ROW()-ROW($A$2),7)+1),"")</f>
        <v>avengerhawk</v>
      </c>
      <c r="B25" s="42" t="str">
        <f>_xlfn.XLOOKUP(A25,Class_Players!$A:$A,Class_Players!$B:$B,"")</f>
        <v>Assault</v>
      </c>
      <c r="C25" s="48" t="str" cm="1">
        <f t="array" ref="C25">INDEX(Lookups!$A$2:$A$8,MOD(ROW()-ROW($B$2),ROWS(Lookups!$A$2:$A$8))+1)</f>
        <v>M320A1 HE (Grenade Launcher)</v>
      </c>
      <c r="D25" s="48" t="str">
        <f>_xlfn.XLOOKUP(C25,Analysis_Gadgets!$C:$C,Analysis_Gadgets!$B:$B)</f>
        <v>Gadget</v>
      </c>
      <c r="E25" s="43">
        <v>166</v>
      </c>
      <c r="F25" s="43">
        <f>_xlfn.XLOOKUP(A25,Class_Players!A:A,Class_Players!G:G)</f>
        <v>258</v>
      </c>
      <c r="G25" s="43">
        <f t="shared" si="0"/>
        <v>0.64341085271317833</v>
      </c>
      <c r="H25" s="43">
        <f>_xlfn.XLOOKUP(A25,Class_Players!$A:$A,Class_Players!$F:$F,"")</f>
        <v>20105</v>
      </c>
      <c r="I25" s="44">
        <f>IF(H25=0,"",E25/H25)</f>
        <v>8.2566525739865698E-3</v>
      </c>
      <c r="J25" s="43">
        <f t="shared" si="1"/>
        <v>0</v>
      </c>
      <c r="K25" s="44" cm="1">
        <f t="array" ref="K25">IF(D25="Gadget",_xlfn.IFS(I25&gt;=0.2,0.5,I25&gt;=0.1,0.35,I25&gt;=0.05,0.2,TRUE,0),IF(D25="Grenade",_xlfn.IFS(I25&gt;=0.2,1,I25&gt;=0.1,0.7,I25&gt;=0.05,0.4,TRUE,0),0))</f>
        <v>0</v>
      </c>
      <c r="L25" s="57">
        <f t="shared" si="9"/>
        <v>0</v>
      </c>
    </row>
    <row r="26" spans="1:12" x14ac:dyDescent="0.25">
      <c r="A26" s="42" t="str" cm="1">
        <f t="array" ref="A26">IFERROR(INDEX(_xlfn._xlws.FILTER(Class_Players!A:A,Class_Players!B:B="Assault"),QUOTIENT(ROW()-ROW($A$2),7)+1),"")</f>
        <v>avengerhawk</v>
      </c>
      <c r="B26" s="42" t="str">
        <f>_xlfn.XLOOKUP(A26,Class_Players!$A:$A,Class_Players!$B:$B,"")</f>
        <v>Assault</v>
      </c>
      <c r="C26" s="48" t="str" cm="1">
        <f t="array" ref="C26">INDEX(Lookups!$A$2:$A$8,MOD(ROW()-ROW($B$2),ROWS(Lookups!$A$2:$A$8))+1)</f>
        <v>M320A1 THRM    (Incendiary Grenade Launcher)</v>
      </c>
      <c r="D26" s="48" t="str">
        <f>_xlfn.XLOOKUP(C26,Analysis_Gadgets!$C:$C,Analysis_Gadgets!$B:$B)</f>
        <v>Gadget</v>
      </c>
      <c r="E26" s="43">
        <v>9</v>
      </c>
      <c r="F26" s="43">
        <f>_xlfn.XLOOKUP(A26,Class_Players!A:A,Class_Players!G:G)</f>
        <v>258</v>
      </c>
      <c r="G26" s="43">
        <f t="shared" si="0"/>
        <v>3.4883720930232558E-2</v>
      </c>
      <c r="H26" s="43">
        <f>_xlfn.XLOOKUP(A26,Class_Players!$A:$A,Class_Players!$F:$F,"")</f>
        <v>20105</v>
      </c>
      <c r="I26" s="44">
        <f t="shared" ref="I26:I29" si="10">IF(H26=0,"",E26/H26)</f>
        <v>4.4764983834866951E-4</v>
      </c>
      <c r="J26" s="43">
        <f t="shared" si="1"/>
        <v>0</v>
      </c>
      <c r="K26" s="44" cm="1">
        <f t="array" ref="K26">IF(D26="Gadget",_xlfn.IFS(I26&gt;=0.2,0.5,I26&gt;=0.1,0.35,I26&gt;=0.05,0.2,TRUE,0),IF(D26="Grenade",_xlfn.IFS(I26&gt;=0.2,1,I26&gt;=0.1,0.7,I26&gt;=0.05,0.4,TRUE,0),0))</f>
        <v>0</v>
      </c>
      <c r="L26" s="57">
        <f t="shared" si="9"/>
        <v>0</v>
      </c>
    </row>
    <row r="27" spans="1:12" x14ac:dyDescent="0.25">
      <c r="A27" s="42" t="str" cm="1">
        <f t="array" ref="A27">IFERROR(INDEX(_xlfn._xlws.FILTER(Class_Players!A:A,Class_Players!B:B="Assault"),QUOTIENT(ROW()-ROW($A$2),7)+1),"")</f>
        <v>avengerhawk</v>
      </c>
      <c r="B27" s="42" t="str">
        <f>_xlfn.XLOOKUP(A27,Class_Players!$A:$A,Class_Players!$B:$B,"")</f>
        <v>Assault</v>
      </c>
      <c r="C27" s="48" t="str" cm="1">
        <f t="array" ref="C27">INDEX(Lookups!$A$2:$A$8,MOD(ROW()-ROW($B$2),ROWS(Lookups!$A$2:$A$8))+1)</f>
        <v>QLINK (Deploy Beacon)</v>
      </c>
      <c r="D27" s="48" t="str">
        <f>_xlfn.XLOOKUP(C27,Analysis_Gadgets!$C:$C,Analysis_Gadgets!$B:$B)</f>
        <v>Gadget</v>
      </c>
      <c r="E27" s="43">
        <v>15410</v>
      </c>
      <c r="F27" s="43">
        <f>_xlfn.XLOOKUP(A27,Class_Players!A:A,Class_Players!G:G)</f>
        <v>258</v>
      </c>
      <c r="G27" s="43">
        <f t="shared" si="0"/>
        <v>59.728682170542633</v>
      </c>
      <c r="H27" s="43">
        <f>_xlfn.XLOOKUP(A27,Class_Players!$A:$A,Class_Players!$F:$F,"")</f>
        <v>20105</v>
      </c>
      <c r="I27" s="44">
        <f t="shared" si="10"/>
        <v>0.76647600099477742</v>
      </c>
      <c r="J27" s="43">
        <f t="shared" si="1"/>
        <v>1</v>
      </c>
      <c r="K27" s="44" cm="1">
        <f t="array" ref="K27">IF(D27="Gadget",_xlfn.IFS(I27&gt;=0.2,0.5,I27&gt;=0.1,0.35,I27&gt;=0.05,0.2,TRUE,0),IF(D27="Grenade",_xlfn.IFS(I27&gt;=0.2,1,I27&gt;=0.1,0.7,I27&gt;=0.05,0.4,TRUE,0),0))</f>
        <v>0.5</v>
      </c>
      <c r="L27" s="57">
        <f t="shared" si="9"/>
        <v>1</v>
      </c>
    </row>
    <row r="28" spans="1:12" x14ac:dyDescent="0.25">
      <c r="A28" s="42" t="str" cm="1">
        <f t="array" ref="A28">IFERROR(INDEX(_xlfn._xlws.FILTER(Class_Players!A:A,Class_Players!B:B="Assault"),QUOTIENT(ROW()-ROW($A$2),7)+1),"")</f>
        <v>avengerhawk</v>
      </c>
      <c r="B28" s="42" t="str">
        <f>_xlfn.XLOOKUP(A28,Class_Players!$A:$A,Class_Players!$B:$B,"")</f>
        <v>Assault</v>
      </c>
      <c r="C28" s="48" t="str" cm="1">
        <f t="array" ref="C28">INDEX(Lookups!$A$2:$A$8,MOD(ROW()-ROW($B$2),ROWS(Lookups!$A$2:$A$8))+1)</f>
        <v>Stun Grenade</v>
      </c>
      <c r="D28" s="48" t="str">
        <f>_xlfn.XLOOKUP(C28,Analysis_Gadgets!$C:$C,Analysis_Gadgets!$B:$B)</f>
        <v>Grenade</v>
      </c>
      <c r="E28" s="43">
        <v>155</v>
      </c>
      <c r="F28" s="43">
        <f>_xlfn.XLOOKUP(A28,Class_Players!A:A,Class_Players!G:G)</f>
        <v>258</v>
      </c>
      <c r="G28" s="43">
        <f t="shared" si="0"/>
        <v>0.60077519379844957</v>
      </c>
      <c r="H28" s="43">
        <f>_xlfn.XLOOKUP(A28,Class_Players!$A:$A,Class_Players!$F:$F,"")</f>
        <v>20105</v>
      </c>
      <c r="I28" s="44">
        <f t="shared" si="10"/>
        <v>7.709524993782641E-3</v>
      </c>
      <c r="J28" s="43">
        <f t="shared" si="1"/>
        <v>0</v>
      </c>
      <c r="K28" s="44" cm="1">
        <f t="array" ref="K28">IF(D28="Gadget",_xlfn.IFS(I28&gt;=0.2,0.5,I28&gt;=0.1,0.35,I28&gt;=0.05,0.2,TRUE,0),IF(D28="Grenade",_xlfn.IFS(I28&gt;=0.2,1,I28&gt;=0.1,0.7,I28&gt;=0.05,0.4,TRUE,0),0))</f>
        <v>0</v>
      </c>
      <c r="L28" s="57">
        <f t="shared" ref="L28:L29" si="11">IF($K28=0,0,$K28 / SUMIFS($K:$K,$A:$A,$A28,$D:$D,"Grenade"))</f>
        <v>0</v>
      </c>
    </row>
    <row r="29" spans="1:12" x14ac:dyDescent="0.25">
      <c r="A29" s="42" t="str" cm="1">
        <f t="array" ref="A29">IFERROR(INDEX(_xlfn._xlws.FILTER(Class_Players!A:A,Class_Players!B:B="Assault"),QUOTIENT(ROW()-ROW($A$2),7)+1),"")</f>
        <v>avengerhawk</v>
      </c>
      <c r="B29" s="42" t="str">
        <f>_xlfn.XLOOKUP(A29,Class_Players!$A:$A,Class_Players!$B:$B,"")</f>
        <v>Assault</v>
      </c>
      <c r="C29" s="48" t="str" cm="1">
        <f t="array" ref="C29">INDEX(Lookups!$A$2:$A$8,MOD(ROW()-ROW($B$2),ROWS(Lookups!$A$2:$A$8))+1)</f>
        <v>Flash Grenade</v>
      </c>
      <c r="D29" s="48" t="str">
        <f>_xlfn.XLOOKUP(C29,Analysis_Gadgets!$C:$C,Analysis_Gadgets!$B:$B)</f>
        <v>Grenade</v>
      </c>
      <c r="E29" s="43">
        <v>6</v>
      </c>
      <c r="F29" s="43">
        <f>_xlfn.XLOOKUP(A29,Class_Players!A:A,Class_Players!G:G)</f>
        <v>258</v>
      </c>
      <c r="G29" s="43">
        <f t="shared" si="0"/>
        <v>2.3255813953488372E-2</v>
      </c>
      <c r="H29" s="43">
        <f>_xlfn.XLOOKUP(A29,Class_Players!$A:$A,Class_Players!$F:$F,"")</f>
        <v>20105</v>
      </c>
      <c r="I29" s="44">
        <f t="shared" si="10"/>
        <v>2.9843322556577967E-4</v>
      </c>
      <c r="J29" s="43">
        <f t="shared" si="1"/>
        <v>0</v>
      </c>
      <c r="K29" s="44" cm="1">
        <f t="array" ref="K29">IF(D29="Gadget",_xlfn.IFS(I29&gt;=0.2,0.5,I29&gt;=0.1,0.35,I29&gt;=0.05,0.2,TRUE,0),IF(D29="Grenade",_xlfn.IFS(I29&gt;=0.2,1,I29&gt;=0.1,0.7,I29&gt;=0.05,0.4,TRUE,0),0))</f>
        <v>0</v>
      </c>
      <c r="L29" s="57">
        <f t="shared" si="11"/>
        <v>0</v>
      </c>
    </row>
    <row r="30" spans="1:12" x14ac:dyDescent="0.25">
      <c r="A30" s="42" t="str" cm="1">
        <f t="array" ref="A30">IFERROR(INDEX(_xlfn._xlws.FILTER(Class_Players!A:A,Class_Players!B:B="Assault"),QUOTIENT(ROW()-ROW($A$2),7)+1),"")</f>
        <v>Chopppppperrrrr</v>
      </c>
      <c r="B30" s="42" t="str">
        <f>_xlfn.XLOOKUP(A30,Class_Players!$A:$A,Class_Players!$B:$B,"")</f>
        <v>Assault</v>
      </c>
      <c r="C30" s="48" t="str" cm="1">
        <f t="array" ref="C30">INDEX(Lookups!$A$2:$A$8,MOD(ROW()-ROW($B$2),ROWS(Lookups!$A$2:$A$8))+1)</f>
        <v>Assault Ladder</v>
      </c>
      <c r="D30" s="48" t="str">
        <f>_xlfn.XLOOKUP(C30,Analysis_Gadgets!$C:$C,Analysis_Gadgets!$B:$B)</f>
        <v>Gadget</v>
      </c>
      <c r="E30" s="43">
        <v>4</v>
      </c>
      <c r="F30" s="43">
        <f>_xlfn.XLOOKUP(A30,Class_Players!A:A,Class_Players!G:G)</f>
        <v>157</v>
      </c>
      <c r="G30" s="43">
        <f t="shared" si="0"/>
        <v>2.5477707006369428E-2</v>
      </c>
      <c r="H30" s="43">
        <f>_xlfn.XLOOKUP(A30,Class_Players!$A:$A,Class_Players!$F:$F,"")</f>
        <v>18236</v>
      </c>
      <c r="I30" s="44">
        <f>IF(H30=0,"",E30/H30)</f>
        <v>2.1934634788330776E-4</v>
      </c>
      <c r="J30" s="43">
        <f t="shared" si="1"/>
        <v>0</v>
      </c>
      <c r="K30" s="44" cm="1">
        <f t="array" ref="K30">IF(D30="Gadget",_xlfn.IFS(I30&gt;=0.2,0.5,I30&gt;=0.1,0.35,I30&gt;=0.05,0.2,TRUE,0),IF(D30="Grenade",_xlfn.IFS(I30&gt;=0.2,1,I30&gt;=0.1,0.7,I30&gt;=0.05,0.4,TRUE,0),0))</f>
        <v>0</v>
      </c>
      <c r="L30" s="57">
        <f t="shared" ref="L30:L34" si="12">IF($K30=0,0,$K30 / SUMIFS($K:$K,$A:$A,$A30,$D:$D,"Gadget"))</f>
        <v>0</v>
      </c>
    </row>
    <row r="31" spans="1:12" x14ac:dyDescent="0.25">
      <c r="A31" s="42" t="str" cm="1">
        <f t="array" ref="A31">IFERROR(INDEX(_xlfn._xlws.FILTER(Class_Players!A:A,Class_Players!B:B="Assault"),QUOTIENT(ROW()-ROW($A$2),7)+1),"")</f>
        <v>Chopppppperrrrr</v>
      </c>
      <c r="B31" s="42" t="str">
        <f>_xlfn.XLOOKUP(A31,Class_Players!$A:$A,Class_Players!$B:$B,"")</f>
        <v>Assault</v>
      </c>
      <c r="C31" s="48" t="str" cm="1">
        <f t="array" ref="C31">INDEX(Lookups!$A$2:$A$8,MOD(ROW()-ROW($B$2),ROWS(Lookups!$A$2:$A$8))+1)</f>
        <v>X95 BRE (Breaching Projectile Launcher)</v>
      </c>
      <c r="D31" s="48" t="str">
        <f>_xlfn.XLOOKUP(C31,Analysis_Gadgets!$C:$C,Analysis_Gadgets!$B:$B)</f>
        <v>Gadget</v>
      </c>
      <c r="E31" s="43">
        <v>15</v>
      </c>
      <c r="F31" s="43">
        <f>_xlfn.XLOOKUP(A31,Class_Players!A:A,Class_Players!G:G)</f>
        <v>157</v>
      </c>
      <c r="G31" s="43">
        <f t="shared" si="0"/>
        <v>9.5541401273885357E-2</v>
      </c>
      <c r="H31" s="43">
        <f>_xlfn.XLOOKUP(A31,Class_Players!$A:$A,Class_Players!$F:$F,"")</f>
        <v>18236</v>
      </c>
      <c r="I31" s="44">
        <f>IF(H31=0,"",E31/H31)</f>
        <v>8.2254880456240399E-4</v>
      </c>
      <c r="J31" s="43">
        <f t="shared" si="1"/>
        <v>0</v>
      </c>
      <c r="K31" s="44" cm="1">
        <f t="array" ref="K31">IF(D31="Gadget",_xlfn.IFS(I31&gt;=0.2,0.5,I31&gt;=0.1,0.35,I31&gt;=0.05,0.2,TRUE,0),IF(D31="Grenade",_xlfn.IFS(I31&gt;=0.2,1,I31&gt;=0.1,0.7,I31&gt;=0.05,0.4,TRUE,0),0))</f>
        <v>0</v>
      </c>
      <c r="L31" s="57">
        <f t="shared" si="12"/>
        <v>0</v>
      </c>
    </row>
    <row r="32" spans="1:12" x14ac:dyDescent="0.25">
      <c r="A32" s="42" t="str" cm="1">
        <f t="array" ref="A32">IFERROR(INDEX(_xlfn._xlws.FILTER(Class_Players!A:A,Class_Players!B:B="Assault"),QUOTIENT(ROW()-ROW($A$2),7)+1),"")</f>
        <v>Chopppppperrrrr</v>
      </c>
      <c r="B32" s="42" t="str">
        <f>_xlfn.XLOOKUP(A32,Class_Players!$A:$A,Class_Players!$B:$B,"")</f>
        <v>Assault</v>
      </c>
      <c r="C32" s="48" t="str" cm="1">
        <f t="array" ref="C32">INDEX(Lookups!$A$2:$A$8,MOD(ROW()-ROW($B$2),ROWS(Lookups!$A$2:$A$8))+1)</f>
        <v>M320A1 HE (Grenade Launcher)</v>
      </c>
      <c r="D32" s="48" t="str">
        <f>_xlfn.XLOOKUP(C32,Analysis_Gadgets!$C:$C,Analysis_Gadgets!$B:$B)</f>
        <v>Gadget</v>
      </c>
      <c r="E32" s="43">
        <v>3328</v>
      </c>
      <c r="F32" s="43">
        <f>_xlfn.XLOOKUP(A32,Class_Players!A:A,Class_Players!G:G)</f>
        <v>157</v>
      </c>
      <c r="G32" s="43">
        <f t="shared" si="0"/>
        <v>21.197452229299362</v>
      </c>
      <c r="H32" s="43">
        <f>_xlfn.XLOOKUP(A32,Class_Players!$A:$A,Class_Players!$F:$F,"")</f>
        <v>18236</v>
      </c>
      <c r="I32" s="44">
        <f>IF(H32=0,"",E32/H32)</f>
        <v>0.18249616143891204</v>
      </c>
      <c r="J32" s="43">
        <f t="shared" si="1"/>
        <v>1</v>
      </c>
      <c r="K32" s="44" cm="1">
        <f t="array" ref="K32">IF(D32="Gadget",_xlfn.IFS(I32&gt;=0.2,0.5,I32&gt;=0.1,0.35,I32&gt;=0.05,0.2,TRUE,0),IF(D32="Grenade",_xlfn.IFS(I32&gt;=0.2,1,I32&gt;=0.1,0.7,I32&gt;=0.05,0.4,TRUE,0),0))</f>
        <v>0.35</v>
      </c>
      <c r="L32" s="57">
        <f t="shared" si="12"/>
        <v>1</v>
      </c>
    </row>
    <row r="33" spans="1:12" x14ac:dyDescent="0.25">
      <c r="A33" s="42" t="str" cm="1">
        <f t="array" ref="A33">IFERROR(INDEX(_xlfn._xlws.FILTER(Class_Players!A:A,Class_Players!B:B="Assault"),QUOTIENT(ROW()-ROW($A$2),7)+1),"")</f>
        <v>Chopppppperrrrr</v>
      </c>
      <c r="B33" s="42" t="str">
        <f>_xlfn.XLOOKUP(A33,Class_Players!$A:$A,Class_Players!$B:$B,"")</f>
        <v>Assault</v>
      </c>
      <c r="C33" s="48" t="str" cm="1">
        <f t="array" ref="C33">INDEX(Lookups!$A$2:$A$8,MOD(ROW()-ROW($B$2),ROWS(Lookups!$A$2:$A$8))+1)</f>
        <v>M320A1 THRM    (Incendiary Grenade Launcher)</v>
      </c>
      <c r="D33" s="48" t="str">
        <f>_xlfn.XLOOKUP(C33,Analysis_Gadgets!$C:$C,Analysis_Gadgets!$B:$B)</f>
        <v>Gadget</v>
      </c>
      <c r="E33" s="43">
        <v>506</v>
      </c>
      <c r="F33" s="43">
        <f>_xlfn.XLOOKUP(A33,Class_Players!A:A,Class_Players!G:G)</f>
        <v>157</v>
      </c>
      <c r="G33" s="43">
        <f t="shared" si="0"/>
        <v>3.2229299363057327</v>
      </c>
      <c r="H33" s="43">
        <f>_xlfn.XLOOKUP(A33,Class_Players!$A:$A,Class_Players!$F:$F,"")</f>
        <v>18236</v>
      </c>
      <c r="I33" s="44">
        <f t="shared" ref="I33:I36" si="13">IF(H33=0,"",E33/H33)</f>
        <v>2.7747313007238428E-2</v>
      </c>
      <c r="J33" s="43">
        <f t="shared" si="1"/>
        <v>0</v>
      </c>
      <c r="K33" s="44" cm="1">
        <f t="array" ref="K33">IF(D33="Gadget",_xlfn.IFS(I33&gt;=0.2,0.5,I33&gt;=0.1,0.35,I33&gt;=0.05,0.2,TRUE,0),IF(D33="Grenade",_xlfn.IFS(I33&gt;=0.2,1,I33&gt;=0.1,0.7,I33&gt;=0.05,0.4,TRUE,0),0))</f>
        <v>0</v>
      </c>
      <c r="L33" s="57">
        <f t="shared" si="12"/>
        <v>0</v>
      </c>
    </row>
    <row r="34" spans="1:12" x14ac:dyDescent="0.25">
      <c r="A34" s="42" t="str" cm="1">
        <f t="array" ref="A34">IFERROR(INDEX(_xlfn._xlws.FILTER(Class_Players!A:A,Class_Players!B:B="Assault"),QUOTIENT(ROW()-ROW($A$2),7)+1),"")</f>
        <v>Chopppppperrrrr</v>
      </c>
      <c r="B34" s="42" t="str">
        <f>_xlfn.XLOOKUP(A34,Class_Players!$A:$A,Class_Players!$B:$B,"")</f>
        <v>Assault</v>
      </c>
      <c r="C34" s="48" t="str" cm="1">
        <f t="array" ref="C34">INDEX(Lookups!$A$2:$A$8,MOD(ROW()-ROW($B$2),ROWS(Lookups!$A$2:$A$8))+1)</f>
        <v>QLINK (Deploy Beacon)</v>
      </c>
      <c r="D34" s="48" t="str">
        <f>_xlfn.XLOOKUP(C34,Analysis_Gadgets!$C:$C,Analysis_Gadgets!$B:$B)</f>
        <v>Gadget</v>
      </c>
      <c r="E34" s="43">
        <v>155</v>
      </c>
      <c r="F34" s="43">
        <f>_xlfn.XLOOKUP(A34,Class_Players!A:A,Class_Players!G:G)</f>
        <v>157</v>
      </c>
      <c r="G34" s="43">
        <f t="shared" si="0"/>
        <v>0.98726114649681529</v>
      </c>
      <c r="H34" s="43">
        <f>_xlfn.XLOOKUP(A34,Class_Players!$A:$A,Class_Players!$F:$F,"")</f>
        <v>18236</v>
      </c>
      <c r="I34" s="44">
        <f t="shared" si="13"/>
        <v>8.4996709804781752E-3</v>
      </c>
      <c r="J34" s="43">
        <f t="shared" si="1"/>
        <v>0</v>
      </c>
      <c r="K34" s="44" cm="1">
        <f t="array" ref="K34">IF(D34="Gadget",_xlfn.IFS(I34&gt;=0.2,0.5,I34&gt;=0.1,0.35,I34&gt;=0.05,0.2,TRUE,0),IF(D34="Grenade",_xlfn.IFS(I34&gt;=0.2,1,I34&gt;=0.1,0.7,I34&gt;=0.05,0.4,TRUE,0),0))</f>
        <v>0</v>
      </c>
      <c r="L34" s="57">
        <f t="shared" si="12"/>
        <v>0</v>
      </c>
    </row>
    <row r="35" spans="1:12" x14ac:dyDescent="0.25">
      <c r="A35" s="42" t="str" cm="1">
        <f t="array" ref="A35">IFERROR(INDEX(_xlfn._xlws.FILTER(Class_Players!A:A,Class_Players!B:B="Assault"),QUOTIENT(ROW()-ROW($A$2),7)+1),"")</f>
        <v>Chopppppperrrrr</v>
      </c>
      <c r="B35" s="42" t="str">
        <f>_xlfn.XLOOKUP(A35,Class_Players!$A:$A,Class_Players!$B:$B,"")</f>
        <v>Assault</v>
      </c>
      <c r="C35" s="48" t="str" cm="1">
        <f t="array" ref="C35">INDEX(Lookups!$A$2:$A$8,MOD(ROW()-ROW($B$2),ROWS(Lookups!$A$2:$A$8))+1)</f>
        <v>Stun Grenade</v>
      </c>
      <c r="D35" s="48" t="str">
        <f>_xlfn.XLOOKUP(C35,Analysis_Gadgets!$C:$C,Analysis_Gadgets!$B:$B)</f>
        <v>Grenade</v>
      </c>
      <c r="E35" s="43">
        <v>1</v>
      </c>
      <c r="F35" s="43">
        <f>_xlfn.XLOOKUP(A35,Class_Players!A:A,Class_Players!G:G)</f>
        <v>157</v>
      </c>
      <c r="G35" s="43">
        <f t="shared" si="0"/>
        <v>6.369426751592357E-3</v>
      </c>
      <c r="H35" s="43">
        <f>_xlfn.XLOOKUP(A35,Class_Players!$A:$A,Class_Players!$F:$F,"")</f>
        <v>18236</v>
      </c>
      <c r="I35" s="44">
        <f t="shared" si="13"/>
        <v>5.4836586970826939E-5</v>
      </c>
      <c r="J35" s="43">
        <f t="shared" si="1"/>
        <v>0</v>
      </c>
      <c r="K35" s="44" cm="1">
        <f t="array" ref="K35">IF(D35="Gadget",_xlfn.IFS(I35&gt;=0.2,0.5,I35&gt;=0.1,0.35,I35&gt;=0.05,0.2,TRUE,0),IF(D35="Grenade",_xlfn.IFS(I35&gt;=0.2,1,I35&gt;=0.1,0.7,I35&gt;=0.05,0.4,TRUE,0),0))</f>
        <v>0</v>
      </c>
      <c r="L35" s="57">
        <f t="shared" ref="L35:L36" si="14">IF($K35=0,0,$K35 / SUMIFS($K:$K,$A:$A,$A35,$D:$D,"Grenade"))</f>
        <v>0</v>
      </c>
    </row>
    <row r="36" spans="1:12" x14ac:dyDescent="0.25">
      <c r="A36" s="42" t="str" cm="1">
        <f t="array" ref="A36">IFERROR(INDEX(_xlfn._xlws.FILTER(Class_Players!A:A,Class_Players!B:B="Assault"),QUOTIENT(ROW()-ROW($A$2),7)+1),"")</f>
        <v>Chopppppperrrrr</v>
      </c>
      <c r="B36" s="42" t="str">
        <f>_xlfn.XLOOKUP(A36,Class_Players!$A:$A,Class_Players!$B:$B,"")</f>
        <v>Assault</v>
      </c>
      <c r="C36" s="48" t="str" cm="1">
        <f t="array" ref="C36">INDEX(Lookups!$A$2:$A$8,MOD(ROW()-ROW($B$2),ROWS(Lookups!$A$2:$A$8))+1)</f>
        <v>Flash Grenade</v>
      </c>
      <c r="D36" s="48" t="str">
        <f>_xlfn.XLOOKUP(C36,Analysis_Gadgets!$C:$C,Analysis_Gadgets!$B:$B)</f>
        <v>Grenade</v>
      </c>
      <c r="E36" s="43">
        <v>0</v>
      </c>
      <c r="F36" s="43">
        <f>_xlfn.XLOOKUP(A36,Class_Players!A:A,Class_Players!G:G)</f>
        <v>157</v>
      </c>
      <c r="G36" s="43">
        <f t="shared" si="0"/>
        <v>0</v>
      </c>
      <c r="H36" s="43">
        <f>_xlfn.XLOOKUP(A36,Class_Players!$A:$A,Class_Players!$F:$F,"")</f>
        <v>18236</v>
      </c>
      <c r="I36" s="44">
        <f t="shared" si="13"/>
        <v>0</v>
      </c>
      <c r="J36" s="43">
        <f t="shared" si="1"/>
        <v>0</v>
      </c>
      <c r="K36" s="44" cm="1">
        <f t="array" ref="K36">IF(D36="Gadget",_xlfn.IFS(I36&gt;=0.2,0.5,I36&gt;=0.1,0.35,I36&gt;=0.05,0.2,TRUE,0),IF(D36="Grenade",_xlfn.IFS(I36&gt;=0.2,1,I36&gt;=0.1,0.7,I36&gt;=0.05,0.4,TRUE,0),0))</f>
        <v>0</v>
      </c>
      <c r="L36" s="57">
        <f t="shared" si="14"/>
        <v>0</v>
      </c>
    </row>
    <row r="37" spans="1:12" x14ac:dyDescent="0.25">
      <c r="A37" s="42" t="str" cm="1">
        <f t="array" ref="A37">IFERROR(INDEX(_xlfn._xlws.FILTER(Class_Players!A:A,Class_Players!B:B="Assault"),QUOTIENT(ROW()-ROW($A$2),7)+1),"")</f>
        <v>d00hn!e+</v>
      </c>
      <c r="B37" s="42" t="str">
        <f>_xlfn.XLOOKUP(A37,Class_Players!$A:$A,Class_Players!$B:$B,"")</f>
        <v>Assault</v>
      </c>
      <c r="C37" s="48" t="str" cm="1">
        <f t="array" ref="C37">INDEX(Lookups!$A$2:$A$8,MOD(ROW()-ROW($B$2),ROWS(Lookups!$A$2:$A$8))+1)</f>
        <v>Assault Ladder</v>
      </c>
      <c r="D37" s="48" t="str">
        <f>_xlfn.XLOOKUP(C37,Analysis_Gadgets!$C:$C,Analysis_Gadgets!$B:$B)</f>
        <v>Gadget</v>
      </c>
      <c r="E37" s="43">
        <v>2</v>
      </c>
      <c r="F37" s="43">
        <f>_xlfn.XLOOKUP(A37,Class_Players!A:A,Class_Players!G:G)</f>
        <v>350</v>
      </c>
      <c r="G37" s="43">
        <f t="shared" si="0"/>
        <v>5.7142857142857143E-3</v>
      </c>
      <c r="H37" s="43">
        <f>_xlfn.XLOOKUP(A37,Class_Players!$A:$A,Class_Players!$F:$F,"")</f>
        <v>17549</v>
      </c>
      <c r="I37" s="44">
        <f>IF(H37=0,"",E37/H37)</f>
        <v>1.1396660778391932E-4</v>
      </c>
      <c r="J37" s="43">
        <f t="shared" si="1"/>
        <v>0</v>
      </c>
      <c r="K37" s="44" cm="1">
        <f t="array" ref="K37">IF(D37="Gadget",_xlfn.IFS(I37&gt;=0.2,0.5,I37&gt;=0.1,0.35,I37&gt;=0.05,0.2,TRUE,0),IF(D37="Grenade",_xlfn.IFS(I37&gt;=0.2,1,I37&gt;=0.1,0.7,I37&gt;=0.05,0.4,TRUE,0),0))</f>
        <v>0</v>
      </c>
      <c r="L37" s="57">
        <f t="shared" ref="L37:L41" si="15">IF($K37=0,0,$K37 / SUMIFS($K:$K,$A:$A,$A37,$D:$D,"Gadget"))</f>
        <v>0</v>
      </c>
    </row>
    <row r="38" spans="1:12" x14ac:dyDescent="0.25">
      <c r="A38" s="42" t="str" cm="1">
        <f t="array" ref="A38">IFERROR(INDEX(_xlfn._xlws.FILTER(Class_Players!A:A,Class_Players!B:B="Assault"),QUOTIENT(ROW()-ROW($A$2),7)+1),"")</f>
        <v>d00hn!e+</v>
      </c>
      <c r="B38" s="42" t="str">
        <f>_xlfn.XLOOKUP(A38,Class_Players!$A:$A,Class_Players!$B:$B,"")</f>
        <v>Assault</v>
      </c>
      <c r="C38" s="48" t="str" cm="1">
        <f t="array" ref="C38">INDEX(Lookups!$A$2:$A$8,MOD(ROW()-ROW($B$2),ROWS(Lookups!$A$2:$A$8))+1)</f>
        <v>X95 BRE (Breaching Projectile Launcher)</v>
      </c>
      <c r="D38" s="48" t="str">
        <f>_xlfn.XLOOKUP(C38,Analysis_Gadgets!$C:$C,Analysis_Gadgets!$B:$B)</f>
        <v>Gadget</v>
      </c>
      <c r="E38" s="43">
        <v>146</v>
      </c>
      <c r="F38" s="43">
        <f>_xlfn.XLOOKUP(A38,Class_Players!A:A,Class_Players!G:G)</f>
        <v>350</v>
      </c>
      <c r="G38" s="43">
        <f t="shared" si="0"/>
        <v>0.41714285714285715</v>
      </c>
      <c r="H38" s="43">
        <f>_xlfn.XLOOKUP(A38,Class_Players!$A:$A,Class_Players!$F:$F,"")</f>
        <v>17549</v>
      </c>
      <c r="I38" s="44">
        <f>IF(H38=0,"",E38/H38)</f>
        <v>8.3195623682261102E-3</v>
      </c>
      <c r="J38" s="43">
        <f t="shared" si="1"/>
        <v>0</v>
      </c>
      <c r="K38" s="44" cm="1">
        <f t="array" ref="K38">IF(D38="Gadget",_xlfn.IFS(I38&gt;=0.2,0.5,I38&gt;=0.1,0.35,I38&gt;=0.05,0.2,TRUE,0),IF(D38="Grenade",_xlfn.IFS(I38&gt;=0.2,1,I38&gt;=0.1,0.7,I38&gt;=0.05,0.4,TRUE,0),0))</f>
        <v>0</v>
      </c>
      <c r="L38" s="57">
        <f t="shared" si="15"/>
        <v>0</v>
      </c>
    </row>
    <row r="39" spans="1:12" x14ac:dyDescent="0.25">
      <c r="A39" s="42" t="str" cm="1">
        <f t="array" ref="A39">IFERROR(INDEX(_xlfn._xlws.FILTER(Class_Players!A:A,Class_Players!B:B="Assault"),QUOTIENT(ROW()-ROW($A$2),7)+1),"")</f>
        <v>d00hn!e+</v>
      </c>
      <c r="B39" s="42" t="str">
        <f>_xlfn.XLOOKUP(A39,Class_Players!$A:$A,Class_Players!$B:$B,"")</f>
        <v>Assault</v>
      </c>
      <c r="C39" s="48" t="str" cm="1">
        <f t="array" ref="C39">INDEX(Lookups!$A$2:$A$8,MOD(ROW()-ROW($B$2),ROWS(Lookups!$A$2:$A$8))+1)</f>
        <v>M320A1 HE (Grenade Launcher)</v>
      </c>
      <c r="D39" s="48" t="str">
        <f>_xlfn.XLOOKUP(C39,Analysis_Gadgets!$C:$C,Analysis_Gadgets!$B:$B)</f>
        <v>Gadget</v>
      </c>
      <c r="E39" s="43">
        <v>1383</v>
      </c>
      <c r="F39" s="43">
        <f>_xlfn.XLOOKUP(A39,Class_Players!A:A,Class_Players!G:G)</f>
        <v>350</v>
      </c>
      <c r="G39" s="43">
        <f t="shared" si="0"/>
        <v>3.9514285714285715</v>
      </c>
      <c r="H39" s="43">
        <f>_xlfn.XLOOKUP(A39,Class_Players!$A:$A,Class_Players!$F:$F,"")</f>
        <v>17549</v>
      </c>
      <c r="I39" s="44">
        <f>IF(H39=0,"",E39/H39)</f>
        <v>7.8807909282580205E-2</v>
      </c>
      <c r="J39" s="43">
        <f t="shared" si="1"/>
        <v>0</v>
      </c>
      <c r="K39" s="44" cm="1">
        <f t="array" ref="K39">IF(D39="Gadget",_xlfn.IFS(I39&gt;=0.2,0.5,I39&gt;=0.1,0.35,I39&gt;=0.05,0.2,TRUE,0),IF(D39="Grenade",_xlfn.IFS(I39&gt;=0.2,1,I39&gt;=0.1,0.7,I39&gt;=0.05,0.4,TRUE,0),0))</f>
        <v>0.2</v>
      </c>
      <c r="L39" s="57">
        <f t="shared" si="15"/>
        <v>0.28571428571428575</v>
      </c>
    </row>
    <row r="40" spans="1:12" x14ac:dyDescent="0.25">
      <c r="A40" s="42" t="str" cm="1">
        <f t="array" ref="A40">IFERROR(INDEX(_xlfn._xlws.FILTER(Class_Players!A:A,Class_Players!B:B="Assault"),QUOTIENT(ROW()-ROW($A$2),7)+1),"")</f>
        <v>d00hn!e+</v>
      </c>
      <c r="B40" s="42" t="str">
        <f>_xlfn.XLOOKUP(A40,Class_Players!$A:$A,Class_Players!$B:$B,"")</f>
        <v>Assault</v>
      </c>
      <c r="C40" s="48" t="str" cm="1">
        <f t="array" ref="C40">INDEX(Lookups!$A$2:$A$8,MOD(ROW()-ROW($B$2),ROWS(Lookups!$A$2:$A$8))+1)</f>
        <v>M320A1 THRM    (Incendiary Grenade Launcher)</v>
      </c>
      <c r="D40" s="48" t="str">
        <f>_xlfn.XLOOKUP(C40,Analysis_Gadgets!$C:$C,Analysis_Gadgets!$B:$B)</f>
        <v>Gadget</v>
      </c>
      <c r="E40" s="43">
        <v>7574</v>
      </c>
      <c r="F40" s="43">
        <f>_xlfn.XLOOKUP(A40,Class_Players!A:A,Class_Players!G:G)</f>
        <v>350</v>
      </c>
      <c r="G40" s="43">
        <f t="shared" si="0"/>
        <v>21.64</v>
      </c>
      <c r="H40" s="43">
        <f>_xlfn.XLOOKUP(A40,Class_Players!$A:$A,Class_Players!$F:$F,"")</f>
        <v>17549</v>
      </c>
      <c r="I40" s="44">
        <f t="shared" ref="I40:I43" si="16">IF(H40=0,"",E40/H40)</f>
        <v>0.43159154367770242</v>
      </c>
      <c r="J40" s="43">
        <f t="shared" si="1"/>
        <v>1</v>
      </c>
      <c r="K40" s="44" cm="1">
        <f t="array" ref="K40">IF(D40="Gadget",_xlfn.IFS(I40&gt;=0.2,0.5,I40&gt;=0.1,0.35,I40&gt;=0.05,0.2,TRUE,0),IF(D40="Grenade",_xlfn.IFS(I40&gt;=0.2,1,I40&gt;=0.1,0.7,I40&gt;=0.05,0.4,TRUE,0),0))</f>
        <v>0.5</v>
      </c>
      <c r="L40" s="57">
        <f t="shared" si="15"/>
        <v>0.7142857142857143</v>
      </c>
    </row>
    <row r="41" spans="1:12" x14ac:dyDescent="0.25">
      <c r="A41" s="42" t="str" cm="1">
        <f t="array" ref="A41">IFERROR(INDEX(_xlfn._xlws.FILTER(Class_Players!A:A,Class_Players!B:B="Assault"),QUOTIENT(ROW()-ROW($A$2),7)+1),"")</f>
        <v>d00hn!e+</v>
      </c>
      <c r="B41" s="42" t="str">
        <f>_xlfn.XLOOKUP(A41,Class_Players!$A:$A,Class_Players!$B:$B,"")</f>
        <v>Assault</v>
      </c>
      <c r="C41" s="48" t="str" cm="1">
        <f t="array" ref="C41">INDEX(Lookups!$A$2:$A$8,MOD(ROW()-ROW($B$2),ROWS(Lookups!$A$2:$A$8))+1)</f>
        <v>QLINK (Deploy Beacon)</v>
      </c>
      <c r="D41" s="48" t="str">
        <f>_xlfn.XLOOKUP(C41,Analysis_Gadgets!$C:$C,Analysis_Gadgets!$B:$B)</f>
        <v>Gadget</v>
      </c>
      <c r="E41" s="43">
        <v>1</v>
      </c>
      <c r="F41" s="43">
        <f>_xlfn.XLOOKUP(A41,Class_Players!A:A,Class_Players!G:G)</f>
        <v>350</v>
      </c>
      <c r="G41" s="43">
        <f t="shared" si="0"/>
        <v>2.8571428571428571E-3</v>
      </c>
      <c r="H41" s="43">
        <f>_xlfn.XLOOKUP(A41,Class_Players!$A:$A,Class_Players!$F:$F,"")</f>
        <v>17549</v>
      </c>
      <c r="I41" s="44">
        <f t="shared" si="16"/>
        <v>5.6983303891959658E-5</v>
      </c>
      <c r="J41" s="43">
        <f t="shared" si="1"/>
        <v>0</v>
      </c>
      <c r="K41" s="44" cm="1">
        <f t="array" ref="K41">IF(D41="Gadget",_xlfn.IFS(I41&gt;=0.2,0.5,I41&gt;=0.1,0.35,I41&gt;=0.05,0.2,TRUE,0),IF(D41="Grenade",_xlfn.IFS(I41&gt;=0.2,1,I41&gt;=0.1,0.7,I41&gt;=0.05,0.4,TRUE,0),0))</f>
        <v>0</v>
      </c>
      <c r="L41" s="57">
        <f t="shared" si="15"/>
        <v>0</v>
      </c>
    </row>
    <row r="42" spans="1:12" x14ac:dyDescent="0.25">
      <c r="A42" s="42" t="str" cm="1">
        <f t="array" ref="A42">IFERROR(INDEX(_xlfn._xlws.FILTER(Class_Players!A:A,Class_Players!B:B="Assault"),QUOTIENT(ROW()-ROW($A$2),7)+1),"")</f>
        <v>d00hn!e+</v>
      </c>
      <c r="B42" s="42" t="str">
        <f>_xlfn.XLOOKUP(A42,Class_Players!$A:$A,Class_Players!$B:$B,"")</f>
        <v>Assault</v>
      </c>
      <c r="C42" s="48" t="str" cm="1">
        <f t="array" ref="C42">INDEX(Lookups!$A$2:$A$8,MOD(ROW()-ROW($B$2),ROWS(Lookups!$A$2:$A$8))+1)</f>
        <v>Stun Grenade</v>
      </c>
      <c r="D42" s="48" t="str">
        <f>_xlfn.XLOOKUP(C42,Analysis_Gadgets!$C:$C,Analysis_Gadgets!$B:$B)</f>
        <v>Grenade</v>
      </c>
      <c r="E42" s="43">
        <v>8</v>
      </c>
      <c r="F42" s="43">
        <f>_xlfn.XLOOKUP(A42,Class_Players!A:A,Class_Players!G:G)</f>
        <v>350</v>
      </c>
      <c r="G42" s="43">
        <f t="shared" si="0"/>
        <v>2.2857142857142857E-2</v>
      </c>
      <c r="H42" s="43">
        <f>_xlfn.XLOOKUP(A42,Class_Players!$A:$A,Class_Players!$F:$F,"")</f>
        <v>17549</v>
      </c>
      <c r="I42" s="44">
        <f t="shared" si="16"/>
        <v>4.5586643113567726E-4</v>
      </c>
      <c r="J42" s="43">
        <f t="shared" si="1"/>
        <v>0</v>
      </c>
      <c r="K42" s="44" cm="1">
        <f t="array" ref="K42">IF(D42="Gadget",_xlfn.IFS(I42&gt;=0.2,0.5,I42&gt;=0.1,0.35,I42&gt;=0.05,0.2,TRUE,0),IF(D42="Grenade",_xlfn.IFS(I42&gt;=0.2,1,I42&gt;=0.1,0.7,I42&gt;=0.05,0.4,TRUE,0),0))</f>
        <v>0</v>
      </c>
      <c r="L42" s="57">
        <f t="shared" ref="L42:L43" si="17">IF($K42=0,0,$K42 / SUMIFS($K:$K,$A:$A,$A42,$D:$D,"Grenade"))</f>
        <v>0</v>
      </c>
    </row>
    <row r="43" spans="1:12" x14ac:dyDescent="0.25">
      <c r="A43" s="42" t="str" cm="1">
        <f t="array" ref="A43">IFERROR(INDEX(_xlfn._xlws.FILTER(Class_Players!A:A,Class_Players!B:B="Assault"),QUOTIENT(ROW()-ROW($A$2),7)+1),"")</f>
        <v>d00hn!e+</v>
      </c>
      <c r="B43" s="42" t="str">
        <f>_xlfn.XLOOKUP(A43,Class_Players!$A:$A,Class_Players!$B:$B,"")</f>
        <v>Assault</v>
      </c>
      <c r="C43" s="48" t="str" cm="1">
        <f t="array" ref="C43">INDEX(Lookups!$A$2:$A$8,MOD(ROW()-ROW($B$2),ROWS(Lookups!$A$2:$A$8))+1)</f>
        <v>Flash Grenade</v>
      </c>
      <c r="D43" s="48" t="str">
        <f>_xlfn.XLOOKUP(C43,Analysis_Gadgets!$C:$C,Analysis_Gadgets!$B:$B)</f>
        <v>Grenade</v>
      </c>
      <c r="E43" s="43">
        <v>1</v>
      </c>
      <c r="F43" s="43">
        <f>_xlfn.XLOOKUP(A43,Class_Players!A:A,Class_Players!G:G)</f>
        <v>350</v>
      </c>
      <c r="G43" s="43">
        <f t="shared" si="0"/>
        <v>2.8571428571428571E-3</v>
      </c>
      <c r="H43" s="43">
        <f>_xlfn.XLOOKUP(A43,Class_Players!$A:$A,Class_Players!$F:$F,"")</f>
        <v>17549</v>
      </c>
      <c r="I43" s="44">
        <f t="shared" si="16"/>
        <v>5.6983303891959658E-5</v>
      </c>
      <c r="J43" s="43">
        <f t="shared" si="1"/>
        <v>0</v>
      </c>
      <c r="K43" s="44" cm="1">
        <f t="array" ref="K43">IF(D43="Gadget",_xlfn.IFS(I43&gt;=0.2,0.5,I43&gt;=0.1,0.35,I43&gt;=0.05,0.2,TRUE,0),IF(D43="Grenade",_xlfn.IFS(I43&gt;=0.2,1,I43&gt;=0.1,0.7,I43&gt;=0.05,0.4,TRUE,0),0))</f>
        <v>0</v>
      </c>
      <c r="L43" s="57">
        <f t="shared" si="17"/>
        <v>0</v>
      </c>
    </row>
    <row r="44" spans="1:12" x14ac:dyDescent="0.25">
      <c r="A44" s="42" t="str" cm="1">
        <f t="array" ref="A44">IFERROR(INDEX(_xlfn._xlws.FILTER(Class_Players!A:A,Class_Players!B:B="Assault"),QUOTIENT(ROW()-ROW($A$2),7)+1),"")</f>
        <v>Wiesiu_PL</v>
      </c>
      <c r="B44" s="42" t="str">
        <f>_xlfn.XLOOKUP(A44,Class_Players!$A:$A,Class_Players!$B:$B,"")</f>
        <v>Assault</v>
      </c>
      <c r="C44" s="48" t="str" cm="1">
        <f t="array" ref="C44">INDEX(Lookups!$A$2:$A$8,MOD(ROW()-ROW($B$2),ROWS(Lookups!$A$2:$A$8))+1)</f>
        <v>Assault Ladder</v>
      </c>
      <c r="D44" s="48" t="str">
        <f>_xlfn.XLOOKUP(C44,Analysis_Gadgets!$C:$C,Analysis_Gadgets!$B:$B)</f>
        <v>Gadget</v>
      </c>
      <c r="E44" s="43">
        <v>28</v>
      </c>
      <c r="F44" s="43">
        <f>_xlfn.XLOOKUP(A44,Class_Players!A:A,Class_Players!G:G)</f>
        <v>307</v>
      </c>
      <c r="G44" s="43">
        <f t="shared" si="0"/>
        <v>9.1205211726384364E-2</v>
      </c>
      <c r="H44" s="43">
        <f>_xlfn.XLOOKUP(A44,Class_Players!$A:$A,Class_Players!$F:$F,"")</f>
        <v>16810</v>
      </c>
      <c r="I44" s="44">
        <f>IF(H44=0,"",E44/H44)</f>
        <v>1.6656751933372992E-3</v>
      </c>
      <c r="J44" s="43">
        <f t="shared" si="1"/>
        <v>0</v>
      </c>
      <c r="K44" s="44" cm="1">
        <f t="array" ref="K44">IF(D44="Gadget",_xlfn.IFS(I44&gt;=0.2,0.5,I44&gt;=0.1,0.35,I44&gt;=0.05,0.2,TRUE,0),IF(D44="Grenade",_xlfn.IFS(I44&gt;=0.2,1,I44&gt;=0.1,0.7,I44&gt;=0.05,0.4,TRUE,0),0))</f>
        <v>0</v>
      </c>
      <c r="L44" s="57">
        <f t="shared" ref="L44:L48" si="18">IF($K44=0,0,$K44 / SUMIFS($K:$K,$A:$A,$A44,$D:$D,"Gadget"))</f>
        <v>0</v>
      </c>
    </row>
    <row r="45" spans="1:12" x14ac:dyDescent="0.25">
      <c r="A45" s="42" t="str" cm="1">
        <f t="array" ref="A45">IFERROR(INDEX(_xlfn._xlws.FILTER(Class_Players!A:A,Class_Players!B:B="Assault"),QUOTIENT(ROW()-ROW($A$2),7)+1),"")</f>
        <v>Wiesiu_PL</v>
      </c>
      <c r="B45" s="42" t="str">
        <f>_xlfn.XLOOKUP(A45,Class_Players!$A:$A,Class_Players!$B:$B,"")</f>
        <v>Assault</v>
      </c>
      <c r="C45" s="48" t="str" cm="1">
        <f t="array" ref="C45">INDEX(Lookups!$A$2:$A$8,MOD(ROW()-ROW($B$2),ROWS(Lookups!$A$2:$A$8))+1)</f>
        <v>X95 BRE (Breaching Projectile Launcher)</v>
      </c>
      <c r="D45" s="48" t="str">
        <f>_xlfn.XLOOKUP(C45,Analysis_Gadgets!$C:$C,Analysis_Gadgets!$B:$B)</f>
        <v>Gadget</v>
      </c>
      <c r="E45" s="43">
        <v>63</v>
      </c>
      <c r="F45" s="43">
        <f>_xlfn.XLOOKUP(A45,Class_Players!A:A,Class_Players!G:G)</f>
        <v>307</v>
      </c>
      <c r="G45" s="43">
        <f t="shared" si="0"/>
        <v>0.20521172638436483</v>
      </c>
      <c r="H45" s="43">
        <f>_xlfn.XLOOKUP(A45,Class_Players!$A:$A,Class_Players!$F:$F,"")</f>
        <v>16810</v>
      </c>
      <c r="I45" s="44">
        <f>IF(H45=0,"",E45/H45)</f>
        <v>3.7477691850089233E-3</v>
      </c>
      <c r="J45" s="43">
        <f t="shared" si="1"/>
        <v>0</v>
      </c>
      <c r="K45" s="44" cm="1">
        <f t="array" ref="K45">IF(D45="Gadget",_xlfn.IFS(I45&gt;=0.2,0.5,I45&gt;=0.1,0.35,I45&gt;=0.05,0.2,TRUE,0),IF(D45="Grenade",_xlfn.IFS(I45&gt;=0.2,1,I45&gt;=0.1,0.7,I45&gt;=0.05,0.4,TRUE,0),0))</f>
        <v>0</v>
      </c>
      <c r="L45" s="57">
        <f t="shared" si="18"/>
        <v>0</v>
      </c>
    </row>
    <row r="46" spans="1:12" x14ac:dyDescent="0.25">
      <c r="A46" s="42" t="str" cm="1">
        <f t="array" ref="A46">IFERROR(INDEX(_xlfn._xlws.FILTER(Class_Players!A:A,Class_Players!B:B="Assault"),QUOTIENT(ROW()-ROW($A$2),7)+1),"")</f>
        <v>Wiesiu_PL</v>
      </c>
      <c r="B46" s="42" t="str">
        <f>_xlfn.XLOOKUP(A46,Class_Players!$A:$A,Class_Players!$B:$B,"")</f>
        <v>Assault</v>
      </c>
      <c r="C46" s="48" t="str" cm="1">
        <f t="array" ref="C46">INDEX(Lookups!$A$2:$A$8,MOD(ROW()-ROW($B$2),ROWS(Lookups!$A$2:$A$8))+1)</f>
        <v>M320A1 HE (Grenade Launcher)</v>
      </c>
      <c r="D46" s="48" t="str">
        <f>_xlfn.XLOOKUP(C46,Analysis_Gadgets!$C:$C,Analysis_Gadgets!$B:$B)</f>
        <v>Gadget</v>
      </c>
      <c r="E46" s="43">
        <v>182</v>
      </c>
      <c r="F46" s="43">
        <f>_xlfn.XLOOKUP(A46,Class_Players!A:A,Class_Players!G:G)</f>
        <v>307</v>
      </c>
      <c r="G46" s="43">
        <f t="shared" si="0"/>
        <v>0.59283387622149841</v>
      </c>
      <c r="H46" s="43">
        <f>_xlfn.XLOOKUP(A46,Class_Players!$A:$A,Class_Players!$F:$F,"")</f>
        <v>16810</v>
      </c>
      <c r="I46" s="44">
        <f>IF(H46=0,"",E46/H46)</f>
        <v>1.0826888756692445E-2</v>
      </c>
      <c r="J46" s="43">
        <f t="shared" si="1"/>
        <v>0</v>
      </c>
      <c r="K46" s="44" cm="1">
        <f t="array" ref="K46">IF(D46="Gadget",_xlfn.IFS(I46&gt;=0.2,0.5,I46&gt;=0.1,0.35,I46&gt;=0.05,0.2,TRUE,0),IF(D46="Grenade",_xlfn.IFS(I46&gt;=0.2,1,I46&gt;=0.1,0.7,I46&gt;=0.05,0.4,TRUE,0),0))</f>
        <v>0</v>
      </c>
      <c r="L46" s="57">
        <f t="shared" si="18"/>
        <v>0</v>
      </c>
    </row>
    <row r="47" spans="1:12" x14ac:dyDescent="0.25">
      <c r="A47" s="42" t="str" cm="1">
        <f t="array" ref="A47">IFERROR(INDEX(_xlfn._xlws.FILTER(Class_Players!A:A,Class_Players!B:B="Assault"),QUOTIENT(ROW()-ROW($A$2),7)+1),"")</f>
        <v>Wiesiu_PL</v>
      </c>
      <c r="B47" s="42" t="str">
        <f>_xlfn.XLOOKUP(A47,Class_Players!$A:$A,Class_Players!$B:$B,"")</f>
        <v>Assault</v>
      </c>
      <c r="C47" s="48" t="str" cm="1">
        <f t="array" ref="C47">INDEX(Lookups!$A$2:$A$8,MOD(ROW()-ROW($B$2),ROWS(Lookups!$A$2:$A$8))+1)</f>
        <v>M320A1 THRM    (Incendiary Grenade Launcher)</v>
      </c>
      <c r="D47" s="48" t="str">
        <f>_xlfn.XLOOKUP(C47,Analysis_Gadgets!$C:$C,Analysis_Gadgets!$B:$B)</f>
        <v>Gadget</v>
      </c>
      <c r="E47" s="43">
        <v>434</v>
      </c>
      <c r="F47" s="43">
        <f>_xlfn.XLOOKUP(A47,Class_Players!A:A,Class_Players!G:G)</f>
        <v>307</v>
      </c>
      <c r="G47" s="43">
        <f t="shared" si="0"/>
        <v>1.4136807817589576</v>
      </c>
      <c r="H47" s="43">
        <f>_xlfn.XLOOKUP(A47,Class_Players!$A:$A,Class_Players!$F:$F,"")</f>
        <v>16810</v>
      </c>
      <c r="I47" s="44">
        <f t="shared" ref="I47:I50" si="19">IF(H47=0,"",E47/H47)</f>
        <v>2.581796549672814E-2</v>
      </c>
      <c r="J47" s="43">
        <f t="shared" si="1"/>
        <v>0</v>
      </c>
      <c r="K47" s="44" cm="1">
        <f t="array" ref="K47">IF(D47="Gadget",_xlfn.IFS(I47&gt;=0.2,0.5,I47&gt;=0.1,0.35,I47&gt;=0.05,0.2,TRUE,0),IF(D47="Grenade",_xlfn.IFS(I47&gt;=0.2,1,I47&gt;=0.1,0.7,I47&gt;=0.05,0.4,TRUE,0),0))</f>
        <v>0</v>
      </c>
      <c r="L47" s="57">
        <f t="shared" si="18"/>
        <v>0</v>
      </c>
    </row>
    <row r="48" spans="1:12" x14ac:dyDescent="0.25">
      <c r="A48" s="42" t="str" cm="1">
        <f t="array" ref="A48">IFERROR(INDEX(_xlfn._xlws.FILTER(Class_Players!A:A,Class_Players!B:B="Assault"),QUOTIENT(ROW()-ROW($A$2),7)+1),"")</f>
        <v>Wiesiu_PL</v>
      </c>
      <c r="B48" s="42" t="str">
        <f>_xlfn.XLOOKUP(A48,Class_Players!$A:$A,Class_Players!$B:$B,"")</f>
        <v>Assault</v>
      </c>
      <c r="C48" s="48" t="str" cm="1">
        <f t="array" ref="C48">INDEX(Lookups!$A$2:$A$8,MOD(ROW()-ROW($B$2),ROWS(Lookups!$A$2:$A$8))+1)</f>
        <v>QLINK (Deploy Beacon)</v>
      </c>
      <c r="D48" s="48" t="str">
        <f>_xlfn.XLOOKUP(C48,Analysis_Gadgets!$C:$C,Analysis_Gadgets!$B:$B)</f>
        <v>Gadget</v>
      </c>
      <c r="E48" s="43">
        <v>5218</v>
      </c>
      <c r="F48" s="43">
        <f>_xlfn.XLOOKUP(A48,Class_Players!A:A,Class_Players!G:G)</f>
        <v>307</v>
      </c>
      <c r="G48" s="43">
        <f t="shared" si="0"/>
        <v>16.996742671009773</v>
      </c>
      <c r="H48" s="43">
        <f>_xlfn.XLOOKUP(A48,Class_Players!$A:$A,Class_Players!$F:$F,"")</f>
        <v>16810</v>
      </c>
      <c r="I48" s="44">
        <f t="shared" si="19"/>
        <v>0.31041046995835814</v>
      </c>
      <c r="J48" s="43">
        <f t="shared" si="1"/>
        <v>1</v>
      </c>
      <c r="K48" s="44" cm="1">
        <f t="array" ref="K48">IF(D48="Gadget",_xlfn.IFS(I48&gt;=0.2,0.5,I48&gt;=0.1,0.35,I48&gt;=0.05,0.2,TRUE,0),IF(D48="Grenade",_xlfn.IFS(I48&gt;=0.2,1,I48&gt;=0.1,0.7,I48&gt;=0.05,0.4,TRUE,0),0))</f>
        <v>0.5</v>
      </c>
      <c r="L48" s="57">
        <f t="shared" si="18"/>
        <v>1</v>
      </c>
    </row>
    <row r="49" spans="1:12" x14ac:dyDescent="0.25">
      <c r="A49" s="42" t="str" cm="1">
        <f t="array" ref="A49">IFERROR(INDEX(_xlfn._xlws.FILTER(Class_Players!A:A,Class_Players!B:B="Assault"),QUOTIENT(ROW()-ROW($A$2),7)+1),"")</f>
        <v>Wiesiu_PL</v>
      </c>
      <c r="B49" s="42" t="str">
        <f>_xlfn.XLOOKUP(A49,Class_Players!$A:$A,Class_Players!$B:$B,"")</f>
        <v>Assault</v>
      </c>
      <c r="C49" s="48" t="str" cm="1">
        <f t="array" ref="C49">INDEX(Lookups!$A$2:$A$8,MOD(ROW()-ROW($B$2),ROWS(Lookups!$A$2:$A$8))+1)</f>
        <v>Stun Grenade</v>
      </c>
      <c r="D49" s="48" t="str">
        <f>_xlfn.XLOOKUP(C49,Analysis_Gadgets!$C:$C,Analysis_Gadgets!$B:$B)</f>
        <v>Grenade</v>
      </c>
      <c r="E49" s="43">
        <v>72</v>
      </c>
      <c r="F49" s="43">
        <f>_xlfn.XLOOKUP(A49,Class_Players!A:A,Class_Players!G:G)</f>
        <v>307</v>
      </c>
      <c r="G49" s="43">
        <f t="shared" si="0"/>
        <v>0.23452768729641693</v>
      </c>
      <c r="H49" s="43">
        <f>_xlfn.XLOOKUP(A49,Class_Players!$A:$A,Class_Players!$F:$F,"")</f>
        <v>16810</v>
      </c>
      <c r="I49" s="44">
        <f t="shared" si="19"/>
        <v>4.2831647828673412E-3</v>
      </c>
      <c r="J49" s="43">
        <f t="shared" si="1"/>
        <v>0</v>
      </c>
      <c r="K49" s="44" cm="1">
        <f t="array" ref="K49">IF(D49="Gadget",_xlfn.IFS(I49&gt;=0.2,0.5,I49&gt;=0.1,0.35,I49&gt;=0.05,0.2,TRUE,0),IF(D49="Grenade",_xlfn.IFS(I49&gt;=0.2,1,I49&gt;=0.1,0.7,I49&gt;=0.05,0.4,TRUE,0),0))</f>
        <v>0</v>
      </c>
      <c r="L49" s="57">
        <f t="shared" ref="L49:L50" si="20">IF($K49=0,0,$K49 / SUMIFS($K:$K,$A:$A,$A49,$D:$D,"Grenade"))</f>
        <v>0</v>
      </c>
    </row>
    <row r="50" spans="1:12" x14ac:dyDescent="0.25">
      <c r="A50" s="42" t="str" cm="1">
        <f t="array" ref="A50">IFERROR(INDEX(_xlfn._xlws.FILTER(Class_Players!A:A,Class_Players!B:B="Assault"),QUOTIENT(ROW()-ROW($A$2),7)+1),"")</f>
        <v>Wiesiu_PL</v>
      </c>
      <c r="B50" s="42" t="str">
        <f>_xlfn.XLOOKUP(A50,Class_Players!$A:$A,Class_Players!$B:$B,"")</f>
        <v>Assault</v>
      </c>
      <c r="C50" s="48" t="str" cm="1">
        <f t="array" ref="C50">INDEX(Lookups!$A$2:$A$8,MOD(ROW()-ROW($B$2),ROWS(Lookups!$A$2:$A$8))+1)</f>
        <v>Flash Grenade</v>
      </c>
      <c r="D50" s="48" t="str">
        <f>_xlfn.XLOOKUP(C50,Analysis_Gadgets!$C:$C,Analysis_Gadgets!$B:$B)</f>
        <v>Grenade</v>
      </c>
      <c r="E50" s="43">
        <v>26</v>
      </c>
      <c r="F50" s="43">
        <f>_xlfn.XLOOKUP(A50,Class_Players!A:A,Class_Players!G:G)</f>
        <v>307</v>
      </c>
      <c r="G50" s="43">
        <f t="shared" si="0"/>
        <v>8.4690553745928335E-2</v>
      </c>
      <c r="H50" s="43">
        <f>_xlfn.XLOOKUP(A50,Class_Players!$A:$A,Class_Players!$F:$F,"")</f>
        <v>16810</v>
      </c>
      <c r="I50" s="44">
        <f t="shared" si="19"/>
        <v>1.5466983938132064E-3</v>
      </c>
      <c r="J50" s="43">
        <f t="shared" si="1"/>
        <v>0</v>
      </c>
      <c r="K50" s="44" cm="1">
        <f t="array" ref="K50">IF(D50="Gadget",_xlfn.IFS(I50&gt;=0.2,0.5,I50&gt;=0.1,0.35,I50&gt;=0.05,0.2,TRUE,0),IF(D50="Grenade",_xlfn.IFS(I50&gt;=0.2,1,I50&gt;=0.1,0.7,I50&gt;=0.05,0.4,TRUE,0),0))</f>
        <v>0</v>
      </c>
      <c r="L50" s="57">
        <f t="shared" si="20"/>
        <v>0</v>
      </c>
    </row>
    <row r="51" spans="1:12" x14ac:dyDescent="0.25">
      <c r="A51" s="42" t="str" cm="1">
        <f t="array" ref="A51">IFERROR(INDEX(_xlfn._xlws.FILTER(Class_Players!A:A,Class_Players!B:B="Assault"),QUOTIENT(ROW()-ROW($A$2),7)+1),"")</f>
        <v>Nathanchor</v>
      </c>
      <c r="B51" s="42" t="str">
        <f>_xlfn.XLOOKUP(A51,Class_Players!$A:$A,Class_Players!$B:$B,"")</f>
        <v>Assault</v>
      </c>
      <c r="C51" s="48" t="str" cm="1">
        <f t="array" ref="C51">INDEX(Lookups!$A$2:$A$8,MOD(ROW()-ROW($B$2),ROWS(Lookups!$A$2:$A$8))+1)</f>
        <v>Assault Ladder</v>
      </c>
      <c r="D51" s="48" t="str">
        <f>_xlfn.XLOOKUP(C51,Analysis_Gadgets!$C:$C,Analysis_Gadgets!$B:$B)</f>
        <v>Gadget</v>
      </c>
      <c r="E51" s="43">
        <v>87</v>
      </c>
      <c r="F51" s="43">
        <f>_xlfn.XLOOKUP(A51,Class_Players!A:A,Class_Players!G:G)</f>
        <v>317</v>
      </c>
      <c r="G51" s="43">
        <f t="shared" si="0"/>
        <v>0.27444794952681389</v>
      </c>
      <c r="H51" s="43">
        <f>_xlfn.XLOOKUP(A51,Class_Players!$A:$A,Class_Players!$F:$F,"")</f>
        <v>16195</v>
      </c>
      <c r="I51" s="44">
        <f>IF(H51=0,"",E51/H51)</f>
        <v>5.3720284038283423E-3</v>
      </c>
      <c r="J51" s="43">
        <f t="shared" si="1"/>
        <v>0</v>
      </c>
      <c r="K51" s="44" cm="1">
        <f t="array" ref="K51">IF(D51="Gadget",_xlfn.IFS(I51&gt;=0.2,0.5,I51&gt;=0.1,0.35,I51&gt;=0.05,0.2,TRUE,0),IF(D51="Grenade",_xlfn.IFS(I51&gt;=0.2,1,I51&gt;=0.1,0.7,I51&gt;=0.05,0.4,TRUE,0),0))</f>
        <v>0</v>
      </c>
      <c r="L51" s="57">
        <f t="shared" ref="L51:L55" si="21">IF($K51=0,0,$K51 / SUMIFS($K:$K,$A:$A,$A51,$D:$D,"Gadget"))</f>
        <v>0</v>
      </c>
    </row>
    <row r="52" spans="1:12" x14ac:dyDescent="0.25">
      <c r="A52" s="42" t="str" cm="1">
        <f t="array" ref="A52">IFERROR(INDEX(_xlfn._xlws.FILTER(Class_Players!A:A,Class_Players!B:B="Assault"),QUOTIENT(ROW()-ROW($A$2),7)+1),"")</f>
        <v>Nathanchor</v>
      </c>
      <c r="B52" s="42" t="str">
        <f>_xlfn.XLOOKUP(A52,Class_Players!$A:$A,Class_Players!$B:$B,"")</f>
        <v>Assault</v>
      </c>
      <c r="C52" s="48" t="str" cm="1">
        <f t="array" ref="C52">INDEX(Lookups!$A$2:$A$8,MOD(ROW()-ROW($B$2),ROWS(Lookups!$A$2:$A$8))+1)</f>
        <v>X95 BRE (Breaching Projectile Launcher)</v>
      </c>
      <c r="D52" s="48" t="str">
        <f>_xlfn.XLOOKUP(C52,Analysis_Gadgets!$C:$C,Analysis_Gadgets!$B:$B)</f>
        <v>Gadget</v>
      </c>
      <c r="E52" s="43">
        <v>96</v>
      </c>
      <c r="F52" s="43">
        <f>_xlfn.XLOOKUP(A52,Class_Players!A:A,Class_Players!G:G)</f>
        <v>317</v>
      </c>
      <c r="G52" s="43">
        <f t="shared" si="0"/>
        <v>0.30283911671924291</v>
      </c>
      <c r="H52" s="43">
        <f>_xlfn.XLOOKUP(A52,Class_Players!$A:$A,Class_Players!$F:$F,"")</f>
        <v>16195</v>
      </c>
      <c r="I52" s="44">
        <f>IF(H52=0,"",E52/H52)</f>
        <v>5.9277554800864461E-3</v>
      </c>
      <c r="J52" s="43">
        <f t="shared" si="1"/>
        <v>0</v>
      </c>
      <c r="K52" s="44" cm="1">
        <f t="array" ref="K52">IF(D52="Gadget",_xlfn.IFS(I52&gt;=0.2,0.5,I52&gt;=0.1,0.35,I52&gt;=0.05,0.2,TRUE,0),IF(D52="Grenade",_xlfn.IFS(I52&gt;=0.2,1,I52&gt;=0.1,0.7,I52&gt;=0.05,0.4,TRUE,0),0))</f>
        <v>0</v>
      </c>
      <c r="L52" s="57">
        <f t="shared" si="21"/>
        <v>0</v>
      </c>
    </row>
    <row r="53" spans="1:12" x14ac:dyDescent="0.25">
      <c r="A53" s="42" t="str" cm="1">
        <f t="array" ref="A53">IFERROR(INDEX(_xlfn._xlws.FILTER(Class_Players!A:A,Class_Players!B:B="Assault"),QUOTIENT(ROW()-ROW($A$2),7)+1),"")</f>
        <v>Nathanchor</v>
      </c>
      <c r="B53" s="42" t="str">
        <f>_xlfn.XLOOKUP(A53,Class_Players!$A:$A,Class_Players!$B:$B,"")</f>
        <v>Assault</v>
      </c>
      <c r="C53" s="48" t="str" cm="1">
        <f t="array" ref="C53">INDEX(Lookups!$A$2:$A$8,MOD(ROW()-ROW($B$2),ROWS(Lookups!$A$2:$A$8))+1)</f>
        <v>M320A1 HE (Grenade Launcher)</v>
      </c>
      <c r="D53" s="48" t="str">
        <f>_xlfn.XLOOKUP(C53,Analysis_Gadgets!$C:$C,Analysis_Gadgets!$B:$B)</f>
        <v>Gadget</v>
      </c>
      <c r="E53" s="43">
        <v>2766</v>
      </c>
      <c r="F53" s="43">
        <f>_xlfn.XLOOKUP(A53,Class_Players!A:A,Class_Players!G:G)</f>
        <v>317</v>
      </c>
      <c r="G53" s="43">
        <f t="shared" si="0"/>
        <v>8.7255520504731869</v>
      </c>
      <c r="H53" s="43">
        <f>_xlfn.XLOOKUP(A53,Class_Players!$A:$A,Class_Players!$F:$F,"")</f>
        <v>16195</v>
      </c>
      <c r="I53" s="44">
        <f>IF(H53=0,"",E53/H53)</f>
        <v>0.17079345476999075</v>
      </c>
      <c r="J53" s="43">
        <f t="shared" si="1"/>
        <v>1</v>
      </c>
      <c r="K53" s="44" cm="1">
        <f t="array" ref="K53">IF(D53="Gadget",_xlfn.IFS(I53&gt;=0.2,0.5,I53&gt;=0.1,0.35,I53&gt;=0.05,0.2,TRUE,0),IF(D53="Grenade",_xlfn.IFS(I53&gt;=0.2,1,I53&gt;=0.1,0.7,I53&gt;=0.05,0.4,TRUE,0),0))</f>
        <v>0.35</v>
      </c>
      <c r="L53" s="57">
        <f t="shared" si="21"/>
        <v>0.41176470588235292</v>
      </c>
    </row>
    <row r="54" spans="1:12" x14ac:dyDescent="0.25">
      <c r="A54" s="42" t="str" cm="1">
        <f t="array" ref="A54">IFERROR(INDEX(_xlfn._xlws.FILTER(Class_Players!A:A,Class_Players!B:B="Assault"),QUOTIENT(ROW()-ROW($A$2),7)+1),"")</f>
        <v>Nathanchor</v>
      </c>
      <c r="B54" s="42" t="str">
        <f>_xlfn.XLOOKUP(A54,Class_Players!$A:$A,Class_Players!$B:$B,"")</f>
        <v>Assault</v>
      </c>
      <c r="C54" s="48" t="str" cm="1">
        <f t="array" ref="C54">INDEX(Lookups!$A$2:$A$8,MOD(ROW()-ROW($B$2),ROWS(Lookups!$A$2:$A$8))+1)</f>
        <v>M320A1 THRM    (Incendiary Grenade Launcher)</v>
      </c>
      <c r="D54" s="48" t="str">
        <f>_xlfn.XLOOKUP(C54,Analysis_Gadgets!$C:$C,Analysis_Gadgets!$B:$B)</f>
        <v>Gadget</v>
      </c>
      <c r="E54" s="43">
        <v>412</v>
      </c>
      <c r="F54" s="43">
        <f>_xlfn.XLOOKUP(A54,Class_Players!A:A,Class_Players!G:G)</f>
        <v>317</v>
      </c>
      <c r="G54" s="43">
        <f t="shared" si="0"/>
        <v>1.2996845425867507</v>
      </c>
      <c r="H54" s="43">
        <f>_xlfn.XLOOKUP(A54,Class_Players!$A:$A,Class_Players!$F:$F,"")</f>
        <v>16195</v>
      </c>
      <c r="I54" s="44">
        <f t="shared" ref="I54:I57" si="22">IF(H54=0,"",E54/H54)</f>
        <v>2.5439950602037666E-2</v>
      </c>
      <c r="J54" s="43">
        <f t="shared" si="1"/>
        <v>0</v>
      </c>
      <c r="K54" s="44" cm="1">
        <f t="array" ref="K54">IF(D54="Gadget",_xlfn.IFS(I54&gt;=0.2,0.5,I54&gt;=0.1,0.35,I54&gt;=0.05,0.2,TRUE,0),IF(D54="Grenade",_xlfn.IFS(I54&gt;=0.2,1,I54&gt;=0.1,0.7,I54&gt;=0.05,0.4,TRUE,0),0))</f>
        <v>0</v>
      </c>
      <c r="L54" s="57">
        <f t="shared" si="21"/>
        <v>0</v>
      </c>
    </row>
    <row r="55" spans="1:12" x14ac:dyDescent="0.25">
      <c r="A55" s="42" t="str" cm="1">
        <f t="array" ref="A55">IFERROR(INDEX(_xlfn._xlws.FILTER(Class_Players!A:A,Class_Players!B:B="Assault"),QUOTIENT(ROW()-ROW($A$2),7)+1),"")</f>
        <v>Nathanchor</v>
      </c>
      <c r="B55" s="42" t="str">
        <f>_xlfn.XLOOKUP(A55,Class_Players!$A:$A,Class_Players!$B:$B,"")</f>
        <v>Assault</v>
      </c>
      <c r="C55" s="48" t="str" cm="1">
        <f t="array" ref="C55">INDEX(Lookups!$A$2:$A$8,MOD(ROW()-ROW($B$2),ROWS(Lookups!$A$2:$A$8))+1)</f>
        <v>QLINK (Deploy Beacon)</v>
      </c>
      <c r="D55" s="48" t="str">
        <f>_xlfn.XLOOKUP(C55,Analysis_Gadgets!$C:$C,Analysis_Gadgets!$B:$B)</f>
        <v>Gadget</v>
      </c>
      <c r="E55" s="43">
        <v>10398</v>
      </c>
      <c r="F55" s="43">
        <f>_xlfn.XLOOKUP(A55,Class_Players!A:A,Class_Players!G:G)</f>
        <v>317</v>
      </c>
      <c r="G55" s="43">
        <f t="shared" si="0"/>
        <v>32.801261829652994</v>
      </c>
      <c r="H55" s="43">
        <f>_xlfn.XLOOKUP(A55,Class_Players!$A:$A,Class_Players!$F:$F,"")</f>
        <v>16195</v>
      </c>
      <c r="I55" s="44">
        <f t="shared" si="22"/>
        <v>0.64205001543686324</v>
      </c>
      <c r="J55" s="43">
        <f t="shared" si="1"/>
        <v>1</v>
      </c>
      <c r="K55" s="44" cm="1">
        <f t="array" ref="K55">IF(D55="Gadget",_xlfn.IFS(I55&gt;=0.2,0.5,I55&gt;=0.1,0.35,I55&gt;=0.05,0.2,TRUE,0),IF(D55="Grenade",_xlfn.IFS(I55&gt;=0.2,1,I55&gt;=0.1,0.7,I55&gt;=0.05,0.4,TRUE,0),0))</f>
        <v>0.5</v>
      </c>
      <c r="L55" s="57">
        <f t="shared" si="21"/>
        <v>0.58823529411764708</v>
      </c>
    </row>
    <row r="56" spans="1:12" x14ac:dyDescent="0.25">
      <c r="A56" s="42" t="str" cm="1">
        <f t="array" ref="A56">IFERROR(INDEX(_xlfn._xlws.FILTER(Class_Players!A:A,Class_Players!B:B="Assault"),QUOTIENT(ROW()-ROW($A$2),7)+1),"")</f>
        <v>Nathanchor</v>
      </c>
      <c r="B56" s="42" t="str">
        <f>_xlfn.XLOOKUP(A56,Class_Players!$A:$A,Class_Players!$B:$B,"")</f>
        <v>Assault</v>
      </c>
      <c r="C56" s="48" t="str" cm="1">
        <f t="array" ref="C56">INDEX(Lookups!$A$2:$A$8,MOD(ROW()-ROW($B$2),ROWS(Lookups!$A$2:$A$8))+1)</f>
        <v>Stun Grenade</v>
      </c>
      <c r="D56" s="48" t="str">
        <f>_xlfn.XLOOKUP(C56,Analysis_Gadgets!$C:$C,Analysis_Gadgets!$B:$B)</f>
        <v>Grenade</v>
      </c>
      <c r="E56" s="43">
        <v>23</v>
      </c>
      <c r="F56" s="43">
        <f>_xlfn.XLOOKUP(A56,Class_Players!A:A,Class_Players!G:G)</f>
        <v>317</v>
      </c>
      <c r="G56" s="43">
        <f t="shared" si="0"/>
        <v>7.2555205047318619E-2</v>
      </c>
      <c r="H56" s="43">
        <f>_xlfn.XLOOKUP(A56,Class_Players!$A:$A,Class_Players!$F:$F,"")</f>
        <v>16195</v>
      </c>
      <c r="I56" s="44">
        <f t="shared" si="22"/>
        <v>1.4201914171040446E-3</v>
      </c>
      <c r="J56" s="43">
        <f t="shared" si="1"/>
        <v>0</v>
      </c>
      <c r="K56" s="44" cm="1">
        <f t="array" ref="K56">IF(D56="Gadget",_xlfn.IFS(I56&gt;=0.2,0.5,I56&gt;=0.1,0.35,I56&gt;=0.05,0.2,TRUE,0),IF(D56="Grenade",_xlfn.IFS(I56&gt;=0.2,1,I56&gt;=0.1,0.7,I56&gt;=0.05,0.4,TRUE,0),0))</f>
        <v>0</v>
      </c>
      <c r="L56" s="57">
        <f t="shared" ref="L56:L57" si="23">IF($K56=0,0,$K56 / SUMIFS($K:$K,$A:$A,$A56,$D:$D,"Grenade"))</f>
        <v>0</v>
      </c>
    </row>
    <row r="57" spans="1:12" x14ac:dyDescent="0.25">
      <c r="A57" s="42" t="str" cm="1">
        <f t="array" ref="A57">IFERROR(INDEX(_xlfn._xlws.FILTER(Class_Players!A:A,Class_Players!B:B="Assault"),QUOTIENT(ROW()-ROW($A$2),7)+1),"")</f>
        <v>Nathanchor</v>
      </c>
      <c r="B57" s="42" t="str">
        <f>_xlfn.XLOOKUP(A57,Class_Players!$A:$A,Class_Players!$B:$B,"")</f>
        <v>Assault</v>
      </c>
      <c r="C57" s="48" t="str" cm="1">
        <f t="array" ref="C57">INDEX(Lookups!$A$2:$A$8,MOD(ROW()-ROW($B$2),ROWS(Lookups!$A$2:$A$8))+1)</f>
        <v>Flash Grenade</v>
      </c>
      <c r="D57" s="48" t="str">
        <f>_xlfn.XLOOKUP(C57,Analysis_Gadgets!$C:$C,Analysis_Gadgets!$B:$B)</f>
        <v>Grenade</v>
      </c>
      <c r="E57" s="43">
        <v>384</v>
      </c>
      <c r="F57" s="43">
        <f>_xlfn.XLOOKUP(A57,Class_Players!A:A,Class_Players!G:G)</f>
        <v>317</v>
      </c>
      <c r="G57" s="43">
        <f t="shared" si="0"/>
        <v>1.2113564668769716</v>
      </c>
      <c r="H57" s="43">
        <f>_xlfn.XLOOKUP(A57,Class_Players!$A:$A,Class_Players!$F:$F,"")</f>
        <v>16195</v>
      </c>
      <c r="I57" s="44">
        <f t="shared" si="22"/>
        <v>2.3711021920345784E-2</v>
      </c>
      <c r="J57" s="43">
        <f t="shared" si="1"/>
        <v>0</v>
      </c>
      <c r="K57" s="44" cm="1">
        <f t="array" ref="K57">IF(D57="Gadget",_xlfn.IFS(I57&gt;=0.2,0.5,I57&gt;=0.1,0.35,I57&gt;=0.05,0.2,TRUE,0),IF(D57="Grenade",_xlfn.IFS(I57&gt;=0.2,1,I57&gt;=0.1,0.7,I57&gt;=0.05,0.4,TRUE,0),0))</f>
        <v>0</v>
      </c>
      <c r="L57" s="57">
        <f t="shared" si="23"/>
        <v>0</v>
      </c>
    </row>
    <row r="58" spans="1:12" x14ac:dyDescent="0.25">
      <c r="A58" s="42" t="str" cm="1">
        <f t="array" ref="A58">IFERROR(INDEX(_xlfn._xlws.FILTER(Class_Players!A:A,Class_Players!B:B="Assault"),QUOTIENT(ROW()-ROW($A$2),7)+1),"")</f>
        <v>Sempire90</v>
      </c>
      <c r="B58" s="42" t="str">
        <f>_xlfn.XLOOKUP(A58,Class_Players!$A:$A,Class_Players!$B:$B,"")</f>
        <v>Assault</v>
      </c>
      <c r="C58" s="48" t="str" cm="1">
        <f t="array" ref="C58">INDEX(Lookups!$A$2:$A$8,MOD(ROW()-ROW($B$2),ROWS(Lookups!$A$2:$A$8))+1)</f>
        <v>Assault Ladder</v>
      </c>
      <c r="D58" s="48" t="str">
        <f>_xlfn.XLOOKUP(C58,Analysis_Gadgets!$C:$C,Analysis_Gadgets!$B:$B)</f>
        <v>Gadget</v>
      </c>
      <c r="E58" s="43">
        <v>483</v>
      </c>
      <c r="F58" s="43">
        <f>_xlfn.XLOOKUP(A58,Class_Players!A:A,Class_Players!G:G)</f>
        <v>159</v>
      </c>
      <c r="G58" s="43">
        <f t="shared" si="0"/>
        <v>3.0377358490566038</v>
      </c>
      <c r="H58" s="43">
        <f>_xlfn.XLOOKUP(A58,Class_Players!$A:$A,Class_Players!$F:$F,"")</f>
        <v>15789</v>
      </c>
      <c r="I58" s="44">
        <f>IF(H58=0,"",E58/H58)</f>
        <v>3.0590917727531825E-2</v>
      </c>
      <c r="J58" s="43">
        <f t="shared" si="1"/>
        <v>0</v>
      </c>
      <c r="K58" s="44" cm="1">
        <f t="array" ref="K58">IF(D58="Gadget",_xlfn.IFS(I58&gt;=0.2,0.5,I58&gt;=0.1,0.35,I58&gt;=0.05,0.2,TRUE,0),IF(D58="Grenade",_xlfn.IFS(I58&gt;=0.2,1,I58&gt;=0.1,0.7,I58&gt;=0.05,0.4,TRUE,0),0))</f>
        <v>0</v>
      </c>
      <c r="L58" s="57">
        <f t="shared" ref="L58:L62" si="24">IF($K58=0,0,$K58 / SUMIFS($K:$K,$A:$A,$A58,$D:$D,"Gadget"))</f>
        <v>0</v>
      </c>
    </row>
    <row r="59" spans="1:12" x14ac:dyDescent="0.25">
      <c r="A59" s="42" t="str" cm="1">
        <f t="array" ref="A59">IFERROR(INDEX(_xlfn._xlws.FILTER(Class_Players!A:A,Class_Players!B:B="Assault"),QUOTIENT(ROW()-ROW($A$2),7)+1),"")</f>
        <v>Sempire90</v>
      </c>
      <c r="B59" s="42" t="str">
        <f>_xlfn.XLOOKUP(A59,Class_Players!$A:$A,Class_Players!$B:$B,"")</f>
        <v>Assault</v>
      </c>
      <c r="C59" s="48" t="str" cm="1">
        <f t="array" ref="C59">INDEX(Lookups!$A$2:$A$8,MOD(ROW()-ROW($B$2),ROWS(Lookups!$A$2:$A$8))+1)</f>
        <v>X95 BRE (Breaching Projectile Launcher)</v>
      </c>
      <c r="D59" s="48" t="str">
        <f>_xlfn.XLOOKUP(C59,Analysis_Gadgets!$C:$C,Analysis_Gadgets!$B:$B)</f>
        <v>Gadget</v>
      </c>
      <c r="E59" s="43">
        <v>2</v>
      </c>
      <c r="F59" s="43">
        <f>_xlfn.XLOOKUP(A59,Class_Players!A:A,Class_Players!G:G)</f>
        <v>159</v>
      </c>
      <c r="G59" s="43">
        <f t="shared" si="0"/>
        <v>1.2578616352201259E-2</v>
      </c>
      <c r="H59" s="43">
        <f>_xlfn.XLOOKUP(A59,Class_Players!$A:$A,Class_Players!$F:$F,"")</f>
        <v>15789</v>
      </c>
      <c r="I59" s="44">
        <f>IF(H59=0,"",E59/H59)</f>
        <v>1.2667046678067008E-4</v>
      </c>
      <c r="J59" s="43">
        <f t="shared" si="1"/>
        <v>0</v>
      </c>
      <c r="K59" s="44" cm="1">
        <f t="array" ref="K59">IF(D59="Gadget",_xlfn.IFS(I59&gt;=0.2,0.5,I59&gt;=0.1,0.35,I59&gt;=0.05,0.2,TRUE,0),IF(D59="Grenade",_xlfn.IFS(I59&gt;=0.2,1,I59&gt;=0.1,0.7,I59&gt;=0.05,0.4,TRUE,0),0))</f>
        <v>0</v>
      </c>
      <c r="L59" s="57">
        <f t="shared" si="24"/>
        <v>0</v>
      </c>
    </row>
    <row r="60" spans="1:12" x14ac:dyDescent="0.25">
      <c r="A60" s="42" t="str" cm="1">
        <f t="array" ref="A60">IFERROR(INDEX(_xlfn._xlws.FILTER(Class_Players!A:A,Class_Players!B:B="Assault"),QUOTIENT(ROW()-ROW($A$2),7)+1),"")</f>
        <v>Sempire90</v>
      </c>
      <c r="B60" s="42" t="str">
        <f>_xlfn.XLOOKUP(A60,Class_Players!$A:$A,Class_Players!$B:$B,"")</f>
        <v>Assault</v>
      </c>
      <c r="C60" s="48" t="str" cm="1">
        <f t="array" ref="C60">INDEX(Lookups!$A$2:$A$8,MOD(ROW()-ROW($B$2),ROWS(Lookups!$A$2:$A$8))+1)</f>
        <v>M320A1 HE (Grenade Launcher)</v>
      </c>
      <c r="D60" s="48" t="str">
        <f>_xlfn.XLOOKUP(C60,Analysis_Gadgets!$C:$C,Analysis_Gadgets!$B:$B)</f>
        <v>Gadget</v>
      </c>
      <c r="E60" s="43">
        <v>5672</v>
      </c>
      <c r="F60" s="43">
        <f>_xlfn.XLOOKUP(A60,Class_Players!A:A,Class_Players!G:G)</f>
        <v>159</v>
      </c>
      <c r="G60" s="43">
        <f t="shared" si="0"/>
        <v>35.672955974842765</v>
      </c>
      <c r="H60" s="43">
        <f>_xlfn.XLOOKUP(A60,Class_Players!$A:$A,Class_Players!$F:$F,"")</f>
        <v>15789</v>
      </c>
      <c r="I60" s="44">
        <f>IF(H60=0,"",E60/H60)</f>
        <v>0.35923744378998035</v>
      </c>
      <c r="J60" s="43">
        <f t="shared" si="1"/>
        <v>1</v>
      </c>
      <c r="K60" s="44" cm="1">
        <f t="array" ref="K60">IF(D60="Gadget",_xlfn.IFS(I60&gt;=0.2,0.5,I60&gt;=0.1,0.35,I60&gt;=0.05,0.2,TRUE,0),IF(D60="Grenade",_xlfn.IFS(I60&gt;=0.2,1,I60&gt;=0.1,0.7,I60&gt;=0.05,0.4,TRUE,0),0))</f>
        <v>0.5</v>
      </c>
      <c r="L60" s="57">
        <f t="shared" si="24"/>
        <v>1</v>
      </c>
    </row>
    <row r="61" spans="1:12" x14ac:dyDescent="0.25">
      <c r="A61" s="42" t="str" cm="1">
        <f t="array" ref="A61">IFERROR(INDEX(_xlfn._xlws.FILTER(Class_Players!A:A,Class_Players!B:B="Assault"),QUOTIENT(ROW()-ROW($A$2),7)+1),"")</f>
        <v>Sempire90</v>
      </c>
      <c r="B61" s="42" t="str">
        <f>_xlfn.XLOOKUP(A61,Class_Players!$A:$A,Class_Players!$B:$B,"")</f>
        <v>Assault</v>
      </c>
      <c r="C61" s="48" t="str" cm="1">
        <f t="array" ref="C61">INDEX(Lookups!$A$2:$A$8,MOD(ROW()-ROW($B$2),ROWS(Lookups!$A$2:$A$8))+1)</f>
        <v>M320A1 THRM    (Incendiary Grenade Launcher)</v>
      </c>
      <c r="D61" s="48" t="str">
        <f>_xlfn.XLOOKUP(C61,Analysis_Gadgets!$C:$C,Analysis_Gadgets!$B:$B)</f>
        <v>Gadget</v>
      </c>
      <c r="E61" s="43">
        <v>23</v>
      </c>
      <c r="F61" s="43">
        <f>_xlfn.XLOOKUP(A61,Class_Players!A:A,Class_Players!G:G)</f>
        <v>159</v>
      </c>
      <c r="G61" s="43">
        <f t="shared" si="0"/>
        <v>0.14465408805031446</v>
      </c>
      <c r="H61" s="43">
        <f>_xlfn.XLOOKUP(A61,Class_Players!$A:$A,Class_Players!$F:$F,"")</f>
        <v>15789</v>
      </c>
      <c r="I61" s="44">
        <f t="shared" ref="I61:I64" si="25">IF(H61=0,"",E61/H61)</f>
        <v>1.456710367977706E-3</v>
      </c>
      <c r="J61" s="43">
        <f t="shared" si="1"/>
        <v>0</v>
      </c>
      <c r="K61" s="44" cm="1">
        <f t="array" ref="K61">IF(D61="Gadget",_xlfn.IFS(I61&gt;=0.2,0.5,I61&gt;=0.1,0.35,I61&gt;=0.05,0.2,TRUE,0),IF(D61="Grenade",_xlfn.IFS(I61&gt;=0.2,1,I61&gt;=0.1,0.7,I61&gt;=0.05,0.4,TRUE,0),0))</f>
        <v>0</v>
      </c>
      <c r="L61" s="57">
        <f t="shared" si="24"/>
        <v>0</v>
      </c>
    </row>
    <row r="62" spans="1:12" x14ac:dyDescent="0.25">
      <c r="A62" s="42" t="str" cm="1">
        <f t="array" ref="A62">IFERROR(INDEX(_xlfn._xlws.FILTER(Class_Players!A:A,Class_Players!B:B="Assault"),QUOTIENT(ROW()-ROW($A$2),7)+1),"")</f>
        <v>Sempire90</v>
      </c>
      <c r="B62" s="42" t="str">
        <f>_xlfn.XLOOKUP(A62,Class_Players!$A:$A,Class_Players!$B:$B,"")</f>
        <v>Assault</v>
      </c>
      <c r="C62" s="48" t="str" cm="1">
        <f t="array" ref="C62">INDEX(Lookups!$A$2:$A$8,MOD(ROW()-ROW($B$2),ROWS(Lookups!$A$2:$A$8))+1)</f>
        <v>QLINK (Deploy Beacon)</v>
      </c>
      <c r="D62" s="48" t="str">
        <f>_xlfn.XLOOKUP(C62,Analysis_Gadgets!$C:$C,Analysis_Gadgets!$B:$B)</f>
        <v>Gadget</v>
      </c>
      <c r="E62" s="43">
        <v>133</v>
      </c>
      <c r="F62" s="43">
        <f>_xlfn.XLOOKUP(A62,Class_Players!A:A,Class_Players!G:G)</f>
        <v>159</v>
      </c>
      <c r="G62" s="43">
        <f t="shared" si="0"/>
        <v>0.83647798742138368</v>
      </c>
      <c r="H62" s="43">
        <f>_xlfn.XLOOKUP(A62,Class_Players!$A:$A,Class_Players!$F:$F,"")</f>
        <v>15789</v>
      </c>
      <c r="I62" s="44">
        <f t="shared" si="25"/>
        <v>8.4235860409145602E-3</v>
      </c>
      <c r="J62" s="43">
        <f t="shared" si="1"/>
        <v>0</v>
      </c>
      <c r="K62" s="44" cm="1">
        <f t="array" ref="K62">IF(D62="Gadget",_xlfn.IFS(I62&gt;=0.2,0.5,I62&gt;=0.1,0.35,I62&gt;=0.05,0.2,TRUE,0),IF(D62="Grenade",_xlfn.IFS(I62&gt;=0.2,1,I62&gt;=0.1,0.7,I62&gt;=0.05,0.4,TRUE,0),0))</f>
        <v>0</v>
      </c>
      <c r="L62" s="57">
        <f t="shared" si="24"/>
        <v>0</v>
      </c>
    </row>
    <row r="63" spans="1:12" x14ac:dyDescent="0.25">
      <c r="A63" s="42" t="str" cm="1">
        <f t="array" ref="A63">IFERROR(INDEX(_xlfn._xlws.FILTER(Class_Players!A:A,Class_Players!B:B="Assault"),QUOTIENT(ROW()-ROW($A$2),7)+1),"")</f>
        <v>Sempire90</v>
      </c>
      <c r="B63" s="42" t="str">
        <f>_xlfn.XLOOKUP(A63,Class_Players!$A:$A,Class_Players!$B:$B,"")</f>
        <v>Assault</v>
      </c>
      <c r="C63" s="48" t="str" cm="1">
        <f t="array" ref="C63">INDEX(Lookups!$A$2:$A$8,MOD(ROW()-ROW($B$2),ROWS(Lookups!$A$2:$A$8))+1)</f>
        <v>Stun Grenade</v>
      </c>
      <c r="D63" s="48" t="str">
        <f>_xlfn.XLOOKUP(C63,Analysis_Gadgets!$C:$C,Analysis_Gadgets!$B:$B)</f>
        <v>Grenade</v>
      </c>
      <c r="E63" s="43">
        <v>169</v>
      </c>
      <c r="F63" s="43">
        <f>_xlfn.XLOOKUP(A63,Class_Players!A:A,Class_Players!G:G)</f>
        <v>159</v>
      </c>
      <c r="G63" s="43">
        <f t="shared" si="0"/>
        <v>1.0628930817610063</v>
      </c>
      <c r="H63" s="43">
        <f>_xlfn.XLOOKUP(A63,Class_Players!$A:$A,Class_Players!$F:$F,"")</f>
        <v>15789</v>
      </c>
      <c r="I63" s="44">
        <f t="shared" si="25"/>
        <v>1.0703654442966622E-2</v>
      </c>
      <c r="J63" s="43">
        <f t="shared" si="1"/>
        <v>0</v>
      </c>
      <c r="K63" s="44" cm="1">
        <f t="array" ref="K63">IF(D63="Gadget",_xlfn.IFS(I63&gt;=0.2,0.5,I63&gt;=0.1,0.35,I63&gt;=0.05,0.2,TRUE,0),IF(D63="Grenade",_xlfn.IFS(I63&gt;=0.2,1,I63&gt;=0.1,0.7,I63&gt;=0.05,0.4,TRUE,0),0))</f>
        <v>0</v>
      </c>
      <c r="L63" s="57">
        <f t="shared" ref="L63:L64" si="26">IF($K63=0,0,$K63 / SUMIFS($K:$K,$A:$A,$A63,$D:$D,"Grenade"))</f>
        <v>0</v>
      </c>
    </row>
    <row r="64" spans="1:12" x14ac:dyDescent="0.25">
      <c r="A64" s="42" t="str" cm="1">
        <f t="array" ref="A64">IFERROR(INDEX(_xlfn._xlws.FILTER(Class_Players!A:A,Class_Players!B:B="Assault"),QUOTIENT(ROW()-ROW($A$2),7)+1),"")</f>
        <v>Sempire90</v>
      </c>
      <c r="B64" s="42" t="str">
        <f>_xlfn.XLOOKUP(A64,Class_Players!$A:$A,Class_Players!$B:$B,"")</f>
        <v>Assault</v>
      </c>
      <c r="C64" s="48" t="str" cm="1">
        <f t="array" ref="C64">INDEX(Lookups!$A$2:$A$8,MOD(ROW()-ROW($B$2),ROWS(Lookups!$A$2:$A$8))+1)</f>
        <v>Flash Grenade</v>
      </c>
      <c r="D64" s="48" t="str">
        <f>_xlfn.XLOOKUP(C64,Analysis_Gadgets!$C:$C,Analysis_Gadgets!$B:$B)</f>
        <v>Grenade</v>
      </c>
      <c r="E64" s="43">
        <v>6</v>
      </c>
      <c r="F64" s="43">
        <f>_xlfn.XLOOKUP(A64,Class_Players!A:A,Class_Players!G:G)</f>
        <v>159</v>
      </c>
      <c r="G64" s="43">
        <f t="shared" si="0"/>
        <v>3.7735849056603772E-2</v>
      </c>
      <c r="H64" s="43">
        <f>_xlfn.XLOOKUP(A64,Class_Players!$A:$A,Class_Players!$F:$F,"")</f>
        <v>15789</v>
      </c>
      <c r="I64" s="44">
        <f t="shared" si="25"/>
        <v>3.8001140034201028E-4</v>
      </c>
      <c r="J64" s="43">
        <f t="shared" si="1"/>
        <v>0</v>
      </c>
      <c r="K64" s="44" cm="1">
        <f t="array" ref="K64">IF(D64="Gadget",_xlfn.IFS(I64&gt;=0.2,0.5,I64&gt;=0.1,0.35,I64&gt;=0.05,0.2,TRUE,0),IF(D64="Grenade",_xlfn.IFS(I64&gt;=0.2,1,I64&gt;=0.1,0.7,I64&gt;=0.05,0.4,TRUE,0),0))</f>
        <v>0</v>
      </c>
      <c r="L64" s="57">
        <f t="shared" si="26"/>
        <v>0</v>
      </c>
    </row>
    <row r="65" spans="1:12" x14ac:dyDescent="0.25">
      <c r="A65" s="42" t="str" cm="1">
        <f t="array" ref="A65">IFERROR(INDEX(_xlfn._xlws.FILTER(Class_Players!A:A,Class_Players!B:B="Assault"),QUOTIENT(ROW()-ROW($A$2),7)+1),"")</f>
        <v>frothandbubble</v>
      </c>
      <c r="B65" s="42" t="str">
        <f>_xlfn.XLOOKUP(A65,Class_Players!$A:$A,Class_Players!$B:$B,"")</f>
        <v>Assault</v>
      </c>
      <c r="C65" s="48" t="str" cm="1">
        <f t="array" ref="C65">INDEX(Lookups!$A$2:$A$8,MOD(ROW()-ROW($B$2),ROWS(Lookups!$A$2:$A$8))+1)</f>
        <v>Assault Ladder</v>
      </c>
      <c r="D65" s="48" t="str">
        <f>_xlfn.XLOOKUP(C65,Analysis_Gadgets!$C:$C,Analysis_Gadgets!$B:$B)</f>
        <v>Gadget</v>
      </c>
      <c r="E65" s="43">
        <v>631</v>
      </c>
      <c r="F65" s="43">
        <f>_xlfn.XLOOKUP(A65,Class_Players!A:A,Class_Players!G:G)</f>
        <v>393</v>
      </c>
      <c r="G65" s="43">
        <f>IF(F65=0,"",E65/F65)</f>
        <v>1.6055979643765903</v>
      </c>
      <c r="H65" s="43">
        <f>_xlfn.XLOOKUP(A65,Class_Players!$A:$A,Class_Players!$F:$F,"")</f>
        <v>15912</v>
      </c>
      <c r="I65" s="44">
        <f>IF(H65=0,"",E65/H65)</f>
        <v>3.9655605832076418E-2</v>
      </c>
      <c r="J65" s="43">
        <f t="shared" si="1"/>
        <v>0</v>
      </c>
      <c r="K65" s="44" cm="1">
        <f t="array" ref="K65">IF(D65="Gadget",_xlfn.IFS(I65&gt;=0.2,0.5,I65&gt;=0.1,0.35,I65&gt;=0.05,0.2,TRUE,0),IF(D65="Grenade",_xlfn.IFS(I65&gt;=0.2,1,I65&gt;=0.1,0.7,I65&gt;=0.05,0.4,TRUE,0),0))</f>
        <v>0</v>
      </c>
      <c r="L65" s="57">
        <f t="shared" ref="L65:L69" si="27">IF($K65=0,0,$K65 / SUMIFS($K:$K,$A:$A,$A65,$D:$D,"Gadget"))</f>
        <v>0</v>
      </c>
    </row>
    <row r="66" spans="1:12" x14ac:dyDescent="0.25">
      <c r="A66" s="42" t="str" cm="1">
        <f t="array" ref="A66">IFERROR(INDEX(_xlfn._xlws.FILTER(Class_Players!A:A,Class_Players!B:B="Assault"),QUOTIENT(ROW()-ROW($A$2),7)+1),"")</f>
        <v>frothandbubble</v>
      </c>
      <c r="B66" s="42" t="str">
        <f>_xlfn.XLOOKUP(A66,Class_Players!$A:$A,Class_Players!$B:$B,"")</f>
        <v>Assault</v>
      </c>
      <c r="C66" s="48" t="str" cm="1">
        <f t="array" ref="C66">INDEX(Lookups!$A$2:$A$8,MOD(ROW()-ROW($B$2),ROWS(Lookups!$A$2:$A$8))+1)</f>
        <v>X95 BRE (Breaching Projectile Launcher)</v>
      </c>
      <c r="D66" s="48" t="str">
        <f>_xlfn.XLOOKUP(C66,Analysis_Gadgets!$C:$C,Analysis_Gadgets!$B:$B)</f>
        <v>Gadget</v>
      </c>
      <c r="E66" s="43">
        <v>0</v>
      </c>
      <c r="F66" s="43">
        <f>_xlfn.XLOOKUP(A66,Class_Players!A:A,Class_Players!G:G)</f>
        <v>393</v>
      </c>
      <c r="G66" s="43">
        <f>IF(F66=0,"",E66/F66)</f>
        <v>0</v>
      </c>
      <c r="H66" s="43">
        <f>_xlfn.XLOOKUP(A66,Class_Players!$A:$A,Class_Players!$F:$F,"")</f>
        <v>15912</v>
      </c>
      <c r="I66" s="44">
        <f>IF(H66=0,"",E66/H66)</f>
        <v>0</v>
      </c>
      <c r="J66" s="43">
        <f t="shared" si="1"/>
        <v>0</v>
      </c>
      <c r="K66" s="44" cm="1">
        <f t="array" ref="K66">IF(D66="Gadget",_xlfn.IFS(I66&gt;=0.2,0.5,I66&gt;=0.1,0.35,I66&gt;=0.05,0.2,TRUE,0),IF(D66="Grenade",_xlfn.IFS(I66&gt;=0.2,1,I66&gt;=0.1,0.7,I66&gt;=0.05,0.4,TRUE,0),0))</f>
        <v>0</v>
      </c>
      <c r="L66" s="57">
        <f t="shared" si="27"/>
        <v>0</v>
      </c>
    </row>
    <row r="67" spans="1:12" x14ac:dyDescent="0.25">
      <c r="A67" s="42" t="str" cm="1">
        <f t="array" ref="A67">IFERROR(INDEX(_xlfn._xlws.FILTER(Class_Players!A:A,Class_Players!B:B="Assault"),QUOTIENT(ROW()-ROW($A$2),7)+1),"")</f>
        <v>frothandbubble</v>
      </c>
      <c r="B67" s="42" t="str">
        <f>_xlfn.XLOOKUP(A67,Class_Players!$A:$A,Class_Players!$B:$B,"")</f>
        <v>Assault</v>
      </c>
      <c r="C67" s="48" t="str" cm="1">
        <f t="array" ref="C67">INDEX(Lookups!$A$2:$A$8,MOD(ROW()-ROW($B$2),ROWS(Lookups!$A$2:$A$8))+1)</f>
        <v>M320A1 HE (Grenade Launcher)</v>
      </c>
      <c r="D67" s="48" t="str">
        <f>_xlfn.XLOOKUP(C67,Analysis_Gadgets!$C:$C,Analysis_Gadgets!$B:$B)</f>
        <v>Gadget</v>
      </c>
      <c r="E67" s="43">
        <v>0</v>
      </c>
      <c r="F67" s="43">
        <f>_xlfn.XLOOKUP(A67,Class_Players!A:A,Class_Players!G:G)</f>
        <v>393</v>
      </c>
      <c r="G67" s="43">
        <f t="shared" ref="G67:G71" si="28">IF(F67=0,"",E67/F67)</f>
        <v>0</v>
      </c>
      <c r="H67" s="43">
        <f>_xlfn.XLOOKUP(A67,Class_Players!$A:$A,Class_Players!$F:$F,"")</f>
        <v>15912</v>
      </c>
      <c r="I67" s="44">
        <f>IF(H67=0,"",E67/H67)</f>
        <v>0</v>
      </c>
      <c r="J67" s="43">
        <f t="shared" ref="J67:J130" si="29">IF(I67&gt;=0.1,1,0)</f>
        <v>0</v>
      </c>
      <c r="K67" s="44" cm="1">
        <f t="array" ref="K67">IF(D67="Gadget",_xlfn.IFS(I67&gt;=0.2,0.5,I67&gt;=0.1,0.35,I67&gt;=0.05,0.2,TRUE,0),IF(D67="Grenade",_xlfn.IFS(I67&gt;=0.2,1,I67&gt;=0.1,0.7,I67&gt;=0.05,0.4,TRUE,0),0))</f>
        <v>0</v>
      </c>
      <c r="L67" s="57">
        <f t="shared" si="27"/>
        <v>0</v>
      </c>
    </row>
    <row r="68" spans="1:12" x14ac:dyDescent="0.25">
      <c r="A68" s="42" t="str" cm="1">
        <f t="array" ref="A68">IFERROR(INDEX(_xlfn._xlws.FILTER(Class_Players!A:A,Class_Players!B:B="Assault"),QUOTIENT(ROW()-ROW($A$2),7)+1),"")</f>
        <v>frothandbubble</v>
      </c>
      <c r="B68" s="42" t="str">
        <f>_xlfn.XLOOKUP(A68,Class_Players!$A:$A,Class_Players!$B:$B,"")</f>
        <v>Assault</v>
      </c>
      <c r="C68" s="48" t="str" cm="1">
        <f t="array" ref="C68">INDEX(Lookups!$A$2:$A$8,MOD(ROW()-ROW($B$2),ROWS(Lookups!$A$2:$A$8))+1)</f>
        <v>M320A1 THRM    (Incendiary Grenade Launcher)</v>
      </c>
      <c r="D68" s="48" t="str">
        <f>_xlfn.XLOOKUP(C68,Analysis_Gadgets!$C:$C,Analysis_Gadgets!$B:$B)</f>
        <v>Gadget</v>
      </c>
      <c r="E68" s="43">
        <v>137</v>
      </c>
      <c r="F68" s="43">
        <f>_xlfn.XLOOKUP(A68,Class_Players!A:A,Class_Players!G:G)</f>
        <v>393</v>
      </c>
      <c r="G68" s="43">
        <f t="shared" si="28"/>
        <v>0.34860050890585242</v>
      </c>
      <c r="H68" s="43">
        <f>_xlfn.XLOOKUP(A68,Class_Players!$A:$A,Class_Players!$F:$F,"")</f>
        <v>15912</v>
      </c>
      <c r="I68" s="44">
        <f t="shared" ref="I68:I71" si="30">IF(H68=0,"",E68/H68)</f>
        <v>8.6098541980894928E-3</v>
      </c>
      <c r="J68" s="43">
        <f t="shared" si="29"/>
        <v>0</v>
      </c>
      <c r="K68" s="44" cm="1">
        <f t="array" ref="K68">IF(D68="Gadget",_xlfn.IFS(I68&gt;=0.2,0.5,I68&gt;=0.1,0.35,I68&gt;=0.05,0.2,TRUE,0),IF(D68="Grenade",_xlfn.IFS(I68&gt;=0.2,1,I68&gt;=0.1,0.7,I68&gt;=0.05,0.4,TRUE,0),0))</f>
        <v>0</v>
      </c>
      <c r="L68" s="57">
        <f t="shared" si="27"/>
        <v>0</v>
      </c>
    </row>
    <row r="69" spans="1:12" x14ac:dyDescent="0.25">
      <c r="A69" s="42" t="str" cm="1">
        <f t="array" ref="A69">IFERROR(INDEX(_xlfn._xlws.FILTER(Class_Players!A:A,Class_Players!B:B="Assault"),QUOTIENT(ROW()-ROW($A$2),7)+1),"")</f>
        <v>frothandbubble</v>
      </c>
      <c r="B69" s="42" t="str">
        <f>_xlfn.XLOOKUP(A69,Class_Players!$A:$A,Class_Players!$B:$B,"")</f>
        <v>Assault</v>
      </c>
      <c r="C69" s="48" t="str" cm="1">
        <f t="array" ref="C69">INDEX(Lookups!$A$2:$A$8,MOD(ROW()-ROW($B$2),ROWS(Lookups!$A$2:$A$8))+1)</f>
        <v>QLINK (Deploy Beacon)</v>
      </c>
      <c r="D69" s="48" t="str">
        <f>_xlfn.XLOOKUP(C69,Analysis_Gadgets!$C:$C,Analysis_Gadgets!$B:$B)</f>
        <v>Gadget</v>
      </c>
      <c r="E69" s="43">
        <v>2095</v>
      </c>
      <c r="F69" s="43">
        <f>_xlfn.XLOOKUP(A69,Class_Players!A:A,Class_Players!G:G)</f>
        <v>393</v>
      </c>
      <c r="G69" s="43">
        <f t="shared" si="28"/>
        <v>5.330788804071247</v>
      </c>
      <c r="H69" s="43">
        <f>_xlfn.XLOOKUP(A69,Class_Players!$A:$A,Class_Players!$F:$F,"")</f>
        <v>15912</v>
      </c>
      <c r="I69" s="44">
        <f t="shared" si="30"/>
        <v>0.1316616390145802</v>
      </c>
      <c r="J69" s="43">
        <f t="shared" si="29"/>
        <v>1</v>
      </c>
      <c r="K69" s="44" cm="1">
        <f t="array" ref="K69">IF(D69="Gadget",_xlfn.IFS(I69&gt;=0.2,0.5,I69&gt;=0.1,0.35,I69&gt;=0.05,0.2,TRUE,0),IF(D69="Grenade",_xlfn.IFS(I69&gt;=0.2,1,I69&gt;=0.1,0.7,I69&gt;=0.05,0.4,TRUE,0),0))</f>
        <v>0.35</v>
      </c>
      <c r="L69" s="57">
        <f t="shared" si="27"/>
        <v>1</v>
      </c>
    </row>
    <row r="70" spans="1:12" x14ac:dyDescent="0.25">
      <c r="A70" s="42" t="str" cm="1">
        <f t="array" ref="A70">IFERROR(INDEX(_xlfn._xlws.FILTER(Class_Players!A:A,Class_Players!B:B="Assault"),QUOTIENT(ROW()-ROW($A$2),7)+1),"")</f>
        <v>frothandbubble</v>
      </c>
      <c r="B70" s="42" t="str">
        <f>_xlfn.XLOOKUP(A70,Class_Players!$A:$A,Class_Players!$B:$B,"")</f>
        <v>Assault</v>
      </c>
      <c r="C70" s="48" t="str" cm="1">
        <f t="array" ref="C70">INDEX(Lookups!$A$2:$A$8,MOD(ROW()-ROW($B$2),ROWS(Lookups!$A$2:$A$8))+1)</f>
        <v>Stun Grenade</v>
      </c>
      <c r="D70" s="48" t="str">
        <f>_xlfn.XLOOKUP(C70,Analysis_Gadgets!$C:$C,Analysis_Gadgets!$B:$B)</f>
        <v>Grenade</v>
      </c>
      <c r="E70" s="43">
        <v>269</v>
      </c>
      <c r="F70" s="43">
        <f>_xlfn.XLOOKUP(A70,Class_Players!A:A,Class_Players!G:G)</f>
        <v>393</v>
      </c>
      <c r="G70" s="43">
        <f t="shared" si="28"/>
        <v>0.68447837150127222</v>
      </c>
      <c r="H70" s="43">
        <f>_xlfn.XLOOKUP(A70,Class_Players!$A:$A,Class_Players!$F:$F,"")</f>
        <v>15912</v>
      </c>
      <c r="I70" s="44">
        <f t="shared" si="30"/>
        <v>1.6905480140774257E-2</v>
      </c>
      <c r="J70" s="43">
        <f t="shared" si="29"/>
        <v>0</v>
      </c>
      <c r="K70" s="44" cm="1">
        <f t="array" ref="K70">IF(D70="Gadget",_xlfn.IFS(I70&gt;=0.2,0.5,I70&gt;=0.1,0.35,I70&gt;=0.05,0.2,TRUE,0),IF(D70="Grenade",_xlfn.IFS(I70&gt;=0.2,1,I70&gt;=0.1,0.7,I70&gt;=0.05,0.4,TRUE,0),0))</f>
        <v>0</v>
      </c>
      <c r="L70" s="57">
        <f t="shared" ref="L70:L71" si="31">IF($K70=0,0,$K70 / SUMIFS($K:$K,$A:$A,$A70,$D:$D,"Grenade"))</f>
        <v>0</v>
      </c>
    </row>
    <row r="71" spans="1:12" x14ac:dyDescent="0.25">
      <c r="A71" s="42" t="str" cm="1">
        <f t="array" ref="A71">IFERROR(INDEX(_xlfn._xlws.FILTER(Class_Players!A:A,Class_Players!B:B="Assault"),QUOTIENT(ROW()-ROW($A$2),7)+1),"")</f>
        <v>frothandbubble</v>
      </c>
      <c r="B71" s="42" t="str">
        <f>_xlfn.XLOOKUP(A71,Class_Players!$A:$A,Class_Players!$B:$B,"")</f>
        <v>Assault</v>
      </c>
      <c r="C71" s="48" t="str" cm="1">
        <f t="array" ref="C71">INDEX(Lookups!$A$2:$A$8,MOD(ROW()-ROW($B$2),ROWS(Lookups!$A$2:$A$8))+1)</f>
        <v>Flash Grenade</v>
      </c>
      <c r="D71" s="48" t="str">
        <f>_xlfn.XLOOKUP(C71,Analysis_Gadgets!$C:$C,Analysis_Gadgets!$B:$B)</f>
        <v>Grenade</v>
      </c>
      <c r="E71" s="43">
        <v>0</v>
      </c>
      <c r="F71" s="43">
        <f>_xlfn.XLOOKUP(A71,Class_Players!A:A,Class_Players!G:G)</f>
        <v>393</v>
      </c>
      <c r="G71" s="43">
        <f t="shared" si="28"/>
        <v>0</v>
      </c>
      <c r="H71" s="43">
        <f>_xlfn.XLOOKUP(A71,Class_Players!$A:$A,Class_Players!$F:$F,"")</f>
        <v>15912</v>
      </c>
      <c r="I71" s="44">
        <f t="shared" si="30"/>
        <v>0</v>
      </c>
      <c r="J71" s="43">
        <f t="shared" si="29"/>
        <v>0</v>
      </c>
      <c r="K71" s="44" cm="1">
        <f t="array" ref="K71">IF(D71="Gadget",_xlfn.IFS(I71&gt;=0.2,0.5,I71&gt;=0.1,0.35,I71&gt;=0.05,0.2,TRUE,0),IF(D71="Grenade",_xlfn.IFS(I71&gt;=0.2,1,I71&gt;=0.1,0.7,I71&gt;=0.05,0.4,TRUE,0),0))</f>
        <v>0</v>
      </c>
      <c r="L71" s="57">
        <f t="shared" si="31"/>
        <v>0</v>
      </c>
    </row>
    <row r="72" spans="1:12" x14ac:dyDescent="0.25">
      <c r="A72" s="42" t="str" cm="1">
        <f t="array" ref="A72">IFERROR(INDEX(_xlfn._xlws.FILTER(Class_Players!A:A,Class_Players!B:B="Assault"),QUOTIENT(ROW()-ROW($A$2),7)+1),"")</f>
        <v>VARIIANT99</v>
      </c>
      <c r="B72" s="42" t="str">
        <f>_xlfn.XLOOKUP(A72,Class_Players!$A:$A,Class_Players!$B:$B,"")</f>
        <v>Assault</v>
      </c>
      <c r="C72" s="48" t="str" cm="1">
        <f t="array" ref="C72">INDEX(Lookups!$A$2:$A$8,MOD(ROW()-ROW($B$2),ROWS(Lookups!$A$2:$A$8))+1)</f>
        <v>Assault Ladder</v>
      </c>
      <c r="D72" s="48" t="str">
        <f>_xlfn.XLOOKUP(C72,Analysis_Gadgets!$C:$C,Analysis_Gadgets!$B:$B)</f>
        <v>Gadget</v>
      </c>
      <c r="E72" s="43">
        <v>4</v>
      </c>
      <c r="F72" s="43">
        <f>_xlfn.XLOOKUP(A72,Class_Players!A:A,Class_Players!G:G)</f>
        <v>252</v>
      </c>
      <c r="G72" s="43">
        <f>IF(F72=0,"",E72/F72)</f>
        <v>1.5873015873015872E-2</v>
      </c>
      <c r="H72" s="43">
        <f>_xlfn.XLOOKUP(A72,Class_Players!$A:$A,Class_Players!$F:$F,"")</f>
        <v>15421</v>
      </c>
      <c r="I72" s="44">
        <f>IF(H72=0,"",E72/H72)</f>
        <v>2.5938655080734061E-4</v>
      </c>
      <c r="J72" s="43">
        <f t="shared" si="29"/>
        <v>0</v>
      </c>
      <c r="K72" s="44" cm="1">
        <f t="array" ref="K72">IF(D72="Gadget",_xlfn.IFS(I72&gt;=0.2,0.5,I72&gt;=0.1,0.35,I72&gt;=0.05,0.2,TRUE,0),IF(D72="Grenade",_xlfn.IFS(I72&gt;=0.2,1,I72&gt;=0.1,0.7,I72&gt;=0.05,0.4,TRUE,0),0))</f>
        <v>0</v>
      </c>
      <c r="L72" s="57">
        <f t="shared" ref="L72:L76" si="32">IF($K72=0,0,$K72 / SUMIFS($K:$K,$A:$A,$A72,$D:$D,"Gadget"))</f>
        <v>0</v>
      </c>
    </row>
    <row r="73" spans="1:12" x14ac:dyDescent="0.25">
      <c r="A73" s="42" t="str" cm="1">
        <f t="array" ref="A73">IFERROR(INDEX(_xlfn._xlws.FILTER(Class_Players!A:A,Class_Players!B:B="Assault"),QUOTIENT(ROW()-ROW($A$2),7)+1),"")</f>
        <v>VARIIANT99</v>
      </c>
      <c r="B73" s="42" t="str">
        <f>_xlfn.XLOOKUP(A73,Class_Players!$A:$A,Class_Players!$B:$B,"")</f>
        <v>Assault</v>
      </c>
      <c r="C73" s="48" t="str" cm="1">
        <f t="array" ref="C73">INDEX(Lookups!$A$2:$A$8,MOD(ROW()-ROW($B$2),ROWS(Lookups!$A$2:$A$8))+1)</f>
        <v>X95 BRE (Breaching Projectile Launcher)</v>
      </c>
      <c r="D73" s="48" t="str">
        <f>_xlfn.XLOOKUP(C73,Analysis_Gadgets!$C:$C,Analysis_Gadgets!$B:$B)</f>
        <v>Gadget</v>
      </c>
      <c r="E73" s="43">
        <v>1</v>
      </c>
      <c r="F73" s="43">
        <f>_xlfn.XLOOKUP(A73,Class_Players!A:A,Class_Players!G:G)</f>
        <v>252</v>
      </c>
      <c r="G73" s="43">
        <f>IF(F73=0,"",E73/F73)</f>
        <v>3.968253968253968E-3</v>
      </c>
      <c r="H73" s="43">
        <f>_xlfn.XLOOKUP(A73,Class_Players!$A:$A,Class_Players!$F:$F,"")</f>
        <v>15421</v>
      </c>
      <c r="I73" s="44">
        <f>IF(H73=0,"",E73/H73)</f>
        <v>6.4846637701835154E-5</v>
      </c>
      <c r="J73" s="43">
        <f t="shared" si="29"/>
        <v>0</v>
      </c>
      <c r="K73" s="44" cm="1">
        <f t="array" ref="K73">IF(D73="Gadget",_xlfn.IFS(I73&gt;=0.2,0.5,I73&gt;=0.1,0.35,I73&gt;=0.05,0.2,TRUE,0),IF(D73="Grenade",_xlfn.IFS(I73&gt;=0.2,1,I73&gt;=0.1,0.7,I73&gt;=0.05,0.4,TRUE,0),0))</f>
        <v>0</v>
      </c>
      <c r="L73" s="57">
        <f t="shared" si="32"/>
        <v>0</v>
      </c>
    </row>
    <row r="74" spans="1:12" x14ac:dyDescent="0.25">
      <c r="A74" s="42" t="str" cm="1">
        <f t="array" ref="A74">IFERROR(INDEX(_xlfn._xlws.FILTER(Class_Players!A:A,Class_Players!B:B="Assault"),QUOTIENT(ROW()-ROW($A$2),7)+1),"")</f>
        <v>VARIIANT99</v>
      </c>
      <c r="B74" s="42" t="str">
        <f>_xlfn.XLOOKUP(A74,Class_Players!$A:$A,Class_Players!$B:$B,"")</f>
        <v>Assault</v>
      </c>
      <c r="C74" s="48" t="str" cm="1">
        <f t="array" ref="C74">INDEX(Lookups!$A$2:$A$8,MOD(ROW()-ROW($B$2),ROWS(Lookups!$A$2:$A$8))+1)</f>
        <v>M320A1 HE (Grenade Launcher)</v>
      </c>
      <c r="D74" s="48" t="str">
        <f>_xlfn.XLOOKUP(C74,Analysis_Gadgets!$C:$C,Analysis_Gadgets!$B:$B)</f>
        <v>Gadget</v>
      </c>
      <c r="E74" s="43">
        <v>0</v>
      </c>
      <c r="F74" s="43">
        <f>_xlfn.XLOOKUP(A74,Class_Players!A:A,Class_Players!G:G)</f>
        <v>252</v>
      </c>
      <c r="G74" s="43">
        <f t="shared" ref="G74:G80" si="33">IF(F74=0,"",E74/F74)</f>
        <v>0</v>
      </c>
      <c r="H74" s="43">
        <f>_xlfn.XLOOKUP(A74,Class_Players!$A:$A,Class_Players!$F:$F,"")</f>
        <v>15421</v>
      </c>
      <c r="I74" s="44">
        <f>IF(H74=0,"",E74/H74)</f>
        <v>0</v>
      </c>
      <c r="J74" s="43">
        <f t="shared" si="29"/>
        <v>0</v>
      </c>
      <c r="K74" s="44" cm="1">
        <f t="array" ref="K74">IF(D74="Gadget",_xlfn.IFS(I74&gt;=0.2,0.5,I74&gt;=0.1,0.35,I74&gt;=0.05,0.2,TRUE,0),IF(D74="Grenade",_xlfn.IFS(I74&gt;=0.2,1,I74&gt;=0.1,0.7,I74&gt;=0.05,0.4,TRUE,0),0))</f>
        <v>0</v>
      </c>
      <c r="L74" s="57">
        <f t="shared" si="32"/>
        <v>0</v>
      </c>
    </row>
    <row r="75" spans="1:12" x14ac:dyDescent="0.25">
      <c r="A75" s="42" t="str" cm="1">
        <f t="array" ref="A75">IFERROR(INDEX(_xlfn._xlws.FILTER(Class_Players!A:A,Class_Players!B:B="Assault"),QUOTIENT(ROW()-ROW($A$2),7)+1),"")</f>
        <v>VARIIANT99</v>
      </c>
      <c r="B75" s="42" t="str">
        <f>_xlfn.XLOOKUP(A75,Class_Players!$A:$A,Class_Players!$B:$B,"")</f>
        <v>Assault</v>
      </c>
      <c r="C75" s="48" t="str" cm="1">
        <f t="array" ref="C75">INDEX(Lookups!$A$2:$A$8,MOD(ROW()-ROW($B$2),ROWS(Lookups!$A$2:$A$8))+1)</f>
        <v>M320A1 THRM    (Incendiary Grenade Launcher)</v>
      </c>
      <c r="D75" s="48" t="str">
        <f>_xlfn.XLOOKUP(C75,Analysis_Gadgets!$C:$C,Analysis_Gadgets!$B:$B)</f>
        <v>Gadget</v>
      </c>
      <c r="E75" s="43">
        <v>0</v>
      </c>
      <c r="F75" s="43">
        <f>_xlfn.XLOOKUP(A75,Class_Players!A:A,Class_Players!G:G)</f>
        <v>252</v>
      </c>
      <c r="G75" s="43">
        <f t="shared" si="33"/>
        <v>0</v>
      </c>
      <c r="H75" s="43">
        <f>_xlfn.XLOOKUP(A75,Class_Players!$A:$A,Class_Players!$F:$F,"")</f>
        <v>15421</v>
      </c>
      <c r="I75" s="44">
        <f t="shared" ref="I75:I81" si="34">IF(H75=0,"",E75/H75)</f>
        <v>0</v>
      </c>
      <c r="J75" s="43">
        <f t="shared" si="29"/>
        <v>0</v>
      </c>
      <c r="K75" s="44" cm="1">
        <f t="array" ref="K75">IF(D75="Gadget",_xlfn.IFS(I75&gt;=0.2,0.5,I75&gt;=0.1,0.35,I75&gt;=0.05,0.2,TRUE,0),IF(D75="Grenade",_xlfn.IFS(I75&gt;=0.2,1,I75&gt;=0.1,0.7,I75&gt;=0.05,0.4,TRUE,0),0))</f>
        <v>0</v>
      </c>
      <c r="L75" s="57">
        <f t="shared" si="32"/>
        <v>0</v>
      </c>
    </row>
    <row r="76" spans="1:12" x14ac:dyDescent="0.25">
      <c r="A76" s="42" t="str" cm="1">
        <f t="array" ref="A76">IFERROR(INDEX(_xlfn._xlws.FILTER(Class_Players!A:A,Class_Players!B:B="Assault"),QUOTIENT(ROW()-ROW($A$2),7)+1),"")</f>
        <v>VARIIANT99</v>
      </c>
      <c r="B76" s="42" t="str">
        <f>_xlfn.XLOOKUP(A76,Class_Players!$A:$A,Class_Players!$B:$B,"")</f>
        <v>Assault</v>
      </c>
      <c r="C76" s="48" t="str" cm="1">
        <f t="array" ref="C76">INDEX(Lookups!$A$2:$A$8,MOD(ROW()-ROW($B$2),ROWS(Lookups!$A$2:$A$8))+1)</f>
        <v>QLINK (Deploy Beacon)</v>
      </c>
      <c r="D76" s="48" t="str">
        <f>_xlfn.XLOOKUP(C76,Analysis_Gadgets!$C:$C,Analysis_Gadgets!$B:$B)</f>
        <v>Gadget</v>
      </c>
      <c r="E76" s="43">
        <v>4688</v>
      </c>
      <c r="F76" s="43">
        <f>_xlfn.XLOOKUP(A76,Class_Players!A:A,Class_Players!G:G)</f>
        <v>252</v>
      </c>
      <c r="G76" s="43">
        <f t="shared" si="33"/>
        <v>18.603174603174605</v>
      </c>
      <c r="H76" s="43">
        <f>_xlfn.XLOOKUP(A76,Class_Players!$A:$A,Class_Players!$F:$F,"")</f>
        <v>15421</v>
      </c>
      <c r="I76" s="44">
        <f t="shared" si="34"/>
        <v>0.30400103754620322</v>
      </c>
      <c r="J76" s="43">
        <f t="shared" si="29"/>
        <v>1</v>
      </c>
      <c r="K76" s="44" cm="1">
        <f t="array" ref="K76">IF(D76="Gadget",_xlfn.IFS(I76&gt;=0.2,0.5,I76&gt;=0.1,0.35,I76&gt;=0.05,0.2,TRUE,0),IF(D76="Grenade",_xlfn.IFS(I76&gt;=0.2,1,I76&gt;=0.1,0.7,I76&gt;=0.05,0.4,TRUE,0),0))</f>
        <v>0.5</v>
      </c>
      <c r="L76" s="57">
        <f t="shared" si="32"/>
        <v>1</v>
      </c>
    </row>
    <row r="77" spans="1:12" x14ac:dyDescent="0.25">
      <c r="A77" s="42" t="str" cm="1">
        <f t="array" ref="A77">IFERROR(INDEX(_xlfn._xlws.FILTER(Class_Players!A:A,Class_Players!B:B="Assault"),QUOTIENT(ROW()-ROW($A$2),7)+1),"")</f>
        <v>VARIIANT99</v>
      </c>
      <c r="B77" s="42" t="str">
        <f>_xlfn.XLOOKUP(A77,Class_Players!$A:$A,Class_Players!$B:$B,"")</f>
        <v>Assault</v>
      </c>
      <c r="C77" s="48" t="str" cm="1">
        <f t="array" ref="C77">INDEX(Lookups!$A$2:$A$8,MOD(ROW()-ROW($B$2),ROWS(Lookups!$A$2:$A$8))+1)</f>
        <v>Stun Grenade</v>
      </c>
      <c r="D77" s="48" t="str">
        <f>_xlfn.XLOOKUP(C77,Analysis_Gadgets!$C:$C,Analysis_Gadgets!$B:$B)</f>
        <v>Grenade</v>
      </c>
      <c r="E77" s="43">
        <v>32</v>
      </c>
      <c r="F77" s="43">
        <f>_xlfn.XLOOKUP(A77,Class_Players!A:A,Class_Players!G:G)</f>
        <v>252</v>
      </c>
      <c r="G77" s="43">
        <f t="shared" si="33"/>
        <v>0.12698412698412698</v>
      </c>
      <c r="H77" s="43">
        <f>_xlfn.XLOOKUP(A77,Class_Players!$A:$A,Class_Players!$F:$F,"")</f>
        <v>15421</v>
      </c>
      <c r="I77" s="44">
        <f t="shared" si="34"/>
        <v>2.0750924064587249E-3</v>
      </c>
      <c r="J77" s="43">
        <f t="shared" si="29"/>
        <v>0</v>
      </c>
      <c r="K77" s="44" cm="1">
        <f t="array" ref="K77">IF(D77="Gadget",_xlfn.IFS(I77&gt;=0.2,0.5,I77&gt;=0.1,0.35,I77&gt;=0.05,0.2,TRUE,0),IF(D77="Grenade",_xlfn.IFS(I77&gt;=0.2,1,I77&gt;=0.1,0.7,I77&gt;=0.05,0.4,TRUE,0),0))</f>
        <v>0</v>
      </c>
      <c r="L77" s="57">
        <f t="shared" ref="L77:L78" si="35">IF($K77=0,0,$K77 / SUMIFS($K:$K,$A:$A,$A77,$D:$D,"Grenade"))</f>
        <v>0</v>
      </c>
    </row>
    <row r="78" spans="1:12" x14ac:dyDescent="0.25">
      <c r="A78" s="42" t="str" cm="1">
        <f t="array" ref="A78">IFERROR(INDEX(_xlfn._xlws.FILTER(Class_Players!A:A,Class_Players!B:B="Assault"),QUOTIENT(ROW()-ROW($A$2),7)+1),"")</f>
        <v>VARIIANT99</v>
      </c>
      <c r="B78" s="42" t="str">
        <f>_xlfn.XLOOKUP(A78,Class_Players!$A:$A,Class_Players!$B:$B,"")</f>
        <v>Assault</v>
      </c>
      <c r="C78" s="48" t="str" cm="1">
        <f t="array" ref="C78">INDEX(Lookups!$A$2:$A$8,MOD(ROW()-ROW($B$2),ROWS(Lookups!$A$2:$A$8))+1)</f>
        <v>Flash Grenade</v>
      </c>
      <c r="D78" s="48" t="str">
        <f>_xlfn.XLOOKUP(C78,Analysis_Gadgets!$C:$C,Analysis_Gadgets!$B:$B)</f>
        <v>Grenade</v>
      </c>
      <c r="E78" s="43">
        <v>30</v>
      </c>
      <c r="F78" s="43">
        <f>_xlfn.XLOOKUP(A78,Class_Players!A:A,Class_Players!G:G)</f>
        <v>252</v>
      </c>
      <c r="G78" s="43">
        <f t="shared" si="33"/>
        <v>0.11904761904761904</v>
      </c>
      <c r="H78" s="43">
        <f>_xlfn.XLOOKUP(A78,Class_Players!$A:$A,Class_Players!$F:$F,"")</f>
        <v>15421</v>
      </c>
      <c r="I78" s="44">
        <f t="shared" si="34"/>
        <v>1.9453991310550548E-3</v>
      </c>
      <c r="J78" s="43">
        <f t="shared" si="29"/>
        <v>0</v>
      </c>
      <c r="K78" s="44" cm="1">
        <f t="array" ref="K78">IF(D78="Gadget",_xlfn.IFS(I78&gt;=0.2,0.5,I78&gt;=0.1,0.35,I78&gt;=0.05,0.2,TRUE,0),IF(D78="Grenade",_xlfn.IFS(I78&gt;=0.2,1,I78&gt;=0.1,0.7,I78&gt;=0.05,0.4,TRUE,0),0))</f>
        <v>0</v>
      </c>
      <c r="L78" s="57">
        <f t="shared" si="35"/>
        <v>0</v>
      </c>
    </row>
    <row r="79" spans="1:12" x14ac:dyDescent="0.25">
      <c r="A79" s="42" t="str" cm="1">
        <f t="array" ref="A79">IFERROR(INDEX(_xlfn._xlws.FILTER(Class_Players!A:A,Class_Players!B:B="Assault"),QUOTIENT(ROW()-ROW($A$2),7)+1),"")</f>
        <v>Plasem</v>
      </c>
      <c r="B79" s="42" t="str">
        <f>_xlfn.XLOOKUP(A79,Class_Players!$A:$A,Class_Players!$B:$B,"")</f>
        <v>Assault</v>
      </c>
      <c r="C79" s="48" t="str" cm="1">
        <f t="array" ref="C79">INDEX(Lookups!$A$2:$A$8,MOD(ROW()-ROW($B$2),ROWS(Lookups!$A$2:$A$8))+1)</f>
        <v>Assault Ladder</v>
      </c>
      <c r="D79" s="48" t="str">
        <f>_xlfn.XLOOKUP(C79,Analysis_Gadgets!$C:$C,Analysis_Gadgets!$B:$B)</f>
        <v>Gadget</v>
      </c>
      <c r="E79" s="43">
        <v>430</v>
      </c>
      <c r="F79" s="43">
        <f>_xlfn.XLOOKUP(A79,Class_Players!A:A,Class_Players!G:G)</f>
        <v>381</v>
      </c>
      <c r="G79" s="43">
        <f t="shared" si="33"/>
        <v>1.1286089238845145</v>
      </c>
      <c r="H79" s="43">
        <f>_xlfn.XLOOKUP(A79,Class_Players!$A:$A,Class_Players!$F:$F,"")</f>
        <v>14952</v>
      </c>
      <c r="I79" s="44">
        <f t="shared" si="34"/>
        <v>2.8758694489031567E-2</v>
      </c>
      <c r="J79" s="43">
        <f t="shared" si="29"/>
        <v>0</v>
      </c>
      <c r="K79" s="44" cm="1">
        <f t="array" ref="K79">IF(D79="Gadget",_xlfn.IFS(I79&gt;=0.2,0.5,I79&gt;=0.1,0.35,I79&gt;=0.05,0.2,TRUE,0),IF(D79="Grenade",_xlfn.IFS(I79&gt;=0.2,1,I79&gt;=0.1,0.7,I79&gt;=0.05,0.4,TRUE,0),0))</f>
        <v>0</v>
      </c>
      <c r="L79" s="57">
        <f t="shared" ref="L79:L83" si="36">IF($K79=0,0,$K79 / SUMIFS($K:$K,$A:$A,$A79,$D:$D,"Gadget"))</f>
        <v>0</v>
      </c>
    </row>
    <row r="80" spans="1:12" x14ac:dyDescent="0.25">
      <c r="A80" s="42" t="str" cm="1">
        <f t="array" ref="A80">IFERROR(INDEX(_xlfn._xlws.FILTER(Class_Players!A:A,Class_Players!B:B="Assault"),QUOTIENT(ROW()-ROW($A$2),7)+1),"")</f>
        <v>Plasem</v>
      </c>
      <c r="B80" s="42" t="str">
        <f>_xlfn.XLOOKUP(A80,Class_Players!$A:$A,Class_Players!$B:$B,"")</f>
        <v>Assault</v>
      </c>
      <c r="C80" s="48" t="str" cm="1">
        <f t="array" ref="C80">INDEX(Lookups!$A$2:$A$8,MOD(ROW()-ROW($B$2),ROWS(Lookups!$A$2:$A$8))+1)</f>
        <v>X95 BRE (Breaching Projectile Launcher)</v>
      </c>
      <c r="D80" s="48" t="str">
        <f>_xlfn.XLOOKUP(C80,Analysis_Gadgets!$C:$C,Analysis_Gadgets!$B:$B)</f>
        <v>Gadget</v>
      </c>
      <c r="E80" s="43">
        <v>26</v>
      </c>
      <c r="F80" s="43">
        <f>_xlfn.XLOOKUP(A80,Class_Players!A:A,Class_Players!G:G)</f>
        <v>381</v>
      </c>
      <c r="G80" s="43">
        <f t="shared" si="33"/>
        <v>6.8241469816272965E-2</v>
      </c>
      <c r="H80" s="43">
        <f>_xlfn.XLOOKUP(A80,Class_Players!$A:$A,Class_Players!$F:$F,"")</f>
        <v>14952</v>
      </c>
      <c r="I80" s="44">
        <f t="shared" si="34"/>
        <v>1.7388978063135367E-3</v>
      </c>
      <c r="J80" s="43">
        <f t="shared" si="29"/>
        <v>0</v>
      </c>
      <c r="K80" s="44" cm="1">
        <f t="array" ref="K80">IF(D80="Gadget",_xlfn.IFS(I80&gt;=0.2,0.5,I80&gt;=0.1,0.35,I80&gt;=0.05,0.2,TRUE,0),IF(D80="Grenade",_xlfn.IFS(I80&gt;=0.2,1,I80&gt;=0.1,0.7,I80&gt;=0.05,0.4,TRUE,0),0))</f>
        <v>0</v>
      </c>
      <c r="L80" s="57">
        <f t="shared" si="36"/>
        <v>0</v>
      </c>
    </row>
    <row r="81" spans="1:12" x14ac:dyDescent="0.25">
      <c r="A81" s="42" t="str" cm="1">
        <f t="array" ref="A81">IFERROR(INDEX(_xlfn._xlws.FILTER(Class_Players!A:A,Class_Players!B:B="Assault"),QUOTIENT(ROW()-ROW($A$2),7)+1),"")</f>
        <v>Plasem</v>
      </c>
      <c r="B81" s="42" t="str">
        <f>_xlfn.XLOOKUP(A81,Class_Players!$A:$A,Class_Players!$B:$B,"")</f>
        <v>Assault</v>
      </c>
      <c r="C81" s="48" t="str" cm="1">
        <f t="array" ref="C81">INDEX(Lookups!$A$2:$A$8,MOD(ROW()-ROW($B$2),ROWS(Lookups!$A$2:$A$8))+1)</f>
        <v>M320A1 HE (Grenade Launcher)</v>
      </c>
      <c r="D81" s="48" t="str">
        <f>_xlfn.XLOOKUP(C81,Analysis_Gadgets!$C:$C,Analysis_Gadgets!$B:$B)</f>
        <v>Gadget</v>
      </c>
      <c r="E81" s="43">
        <v>1662</v>
      </c>
      <c r="F81" s="43">
        <f>_xlfn.XLOOKUP(A81,Class_Players!A:A,Class_Players!G:G)</f>
        <v>381</v>
      </c>
      <c r="G81" s="43">
        <f t="shared" ref="G81:G99" si="37">IF(F81=0,"",E81/F81)</f>
        <v>4.3622047244094491</v>
      </c>
      <c r="H81" s="43">
        <f>_xlfn.XLOOKUP(A81,Class_Players!$A:$A,Class_Players!$F:$F,"")</f>
        <v>14952</v>
      </c>
      <c r="I81" s="44">
        <f t="shared" si="34"/>
        <v>0.11115569823434993</v>
      </c>
      <c r="J81" s="43">
        <f t="shared" si="29"/>
        <v>1</v>
      </c>
      <c r="K81" s="44" cm="1">
        <f t="array" ref="K81">IF(D81="Gadget",_xlfn.IFS(I81&gt;=0.2,0.5,I81&gt;=0.1,0.35,I81&gt;=0.05,0.2,TRUE,0),IF(D81="Grenade",_xlfn.IFS(I81&gt;=0.2,1,I81&gt;=0.1,0.7,I81&gt;=0.05,0.4,TRUE,0),0))</f>
        <v>0.35</v>
      </c>
      <c r="L81" s="57">
        <f t="shared" si="36"/>
        <v>0.41176470588235292</v>
      </c>
    </row>
    <row r="82" spans="1:12" x14ac:dyDescent="0.25">
      <c r="A82" s="42" t="str" cm="1">
        <f t="array" ref="A82">IFERROR(INDEX(_xlfn._xlws.FILTER(Class_Players!A:A,Class_Players!B:B="Assault"),QUOTIENT(ROW()-ROW($A$2),7)+1),"")</f>
        <v>Plasem</v>
      </c>
      <c r="B82" s="42" t="str">
        <f>_xlfn.XLOOKUP(A82,Class_Players!$A:$A,Class_Players!$B:$B,"")</f>
        <v>Assault</v>
      </c>
      <c r="C82" s="48" t="str" cm="1">
        <f t="array" ref="C82">INDEX(Lookups!$A$2:$A$8,MOD(ROW()-ROW($B$2),ROWS(Lookups!$A$2:$A$8))+1)</f>
        <v>M320A1 THRM    (Incendiary Grenade Launcher)</v>
      </c>
      <c r="D82" s="48" t="str">
        <f>_xlfn.XLOOKUP(C82,Analysis_Gadgets!$C:$C,Analysis_Gadgets!$B:$B)</f>
        <v>Gadget</v>
      </c>
      <c r="E82" s="43">
        <v>58</v>
      </c>
      <c r="F82" s="43">
        <f>_xlfn.XLOOKUP(A82,Class_Players!A:A,Class_Players!G:G)</f>
        <v>381</v>
      </c>
      <c r="G82" s="43">
        <f t="shared" si="37"/>
        <v>0.15223097112860892</v>
      </c>
      <c r="H82" s="43">
        <f>_xlfn.XLOOKUP(A82,Class_Players!$A:$A,Class_Players!$F:$F,"")</f>
        <v>14952</v>
      </c>
      <c r="I82" s="44">
        <f t="shared" ref="I82:I99" si="38">IF(H82=0,"",E82/H82)</f>
        <v>3.879079721776351E-3</v>
      </c>
      <c r="J82" s="43">
        <f t="shared" si="29"/>
        <v>0</v>
      </c>
      <c r="K82" s="44" cm="1">
        <f t="array" ref="K82">IF(D82="Gadget",_xlfn.IFS(I82&gt;=0.2,0.5,I82&gt;=0.1,0.35,I82&gt;=0.05,0.2,TRUE,0),IF(D82="Grenade",_xlfn.IFS(I82&gt;=0.2,1,I82&gt;=0.1,0.7,I82&gt;=0.05,0.4,TRUE,0),0))</f>
        <v>0</v>
      </c>
      <c r="L82" s="57">
        <f t="shared" si="36"/>
        <v>0</v>
      </c>
    </row>
    <row r="83" spans="1:12" x14ac:dyDescent="0.25">
      <c r="A83" s="42" t="str" cm="1">
        <f t="array" ref="A83">IFERROR(INDEX(_xlfn._xlws.FILTER(Class_Players!A:A,Class_Players!B:B="Assault"),QUOTIENT(ROW()-ROW($A$2),7)+1),"")</f>
        <v>Plasem</v>
      </c>
      <c r="B83" s="42" t="str">
        <f>_xlfn.XLOOKUP(A83,Class_Players!$A:$A,Class_Players!$B:$B,"")</f>
        <v>Assault</v>
      </c>
      <c r="C83" s="48" t="str" cm="1">
        <f t="array" ref="C83">INDEX(Lookups!$A$2:$A$8,MOD(ROW()-ROW($B$2),ROWS(Lookups!$A$2:$A$8))+1)</f>
        <v>QLINK (Deploy Beacon)</v>
      </c>
      <c r="D83" s="48" t="str">
        <f>_xlfn.XLOOKUP(C83,Analysis_Gadgets!$C:$C,Analysis_Gadgets!$B:$B)</f>
        <v>Gadget</v>
      </c>
      <c r="E83" s="43">
        <v>10006</v>
      </c>
      <c r="F83" s="43">
        <f>_xlfn.XLOOKUP(A83,Class_Players!A:A,Class_Players!G:G)</f>
        <v>381</v>
      </c>
      <c r="G83" s="43">
        <f t="shared" si="37"/>
        <v>26.262467191601051</v>
      </c>
      <c r="H83" s="43">
        <f>_xlfn.XLOOKUP(A83,Class_Players!$A:$A,Class_Players!$F:$F,"")</f>
        <v>14952</v>
      </c>
      <c r="I83" s="44">
        <f t="shared" si="38"/>
        <v>0.66920813269127877</v>
      </c>
      <c r="J83" s="43">
        <f t="shared" si="29"/>
        <v>1</v>
      </c>
      <c r="K83" s="44" cm="1">
        <f t="array" ref="K83">IF(D83="Gadget",_xlfn.IFS(I83&gt;=0.2,0.5,I83&gt;=0.1,0.35,I83&gt;=0.05,0.2,TRUE,0),IF(D83="Grenade",_xlfn.IFS(I83&gt;=0.2,1,I83&gt;=0.1,0.7,I83&gt;=0.05,0.4,TRUE,0),0))</f>
        <v>0.5</v>
      </c>
      <c r="L83" s="57">
        <f t="shared" si="36"/>
        <v>0.58823529411764708</v>
      </c>
    </row>
    <row r="84" spans="1:12" x14ac:dyDescent="0.25">
      <c r="A84" s="42" t="str" cm="1">
        <f t="array" ref="A84">IFERROR(INDEX(_xlfn._xlws.FILTER(Class_Players!A:A,Class_Players!B:B="Assault"),QUOTIENT(ROW()-ROW($A$2),7)+1),"")</f>
        <v>Plasem</v>
      </c>
      <c r="B84" s="42" t="str">
        <f>_xlfn.XLOOKUP(A84,Class_Players!$A:$A,Class_Players!$B:$B,"")</f>
        <v>Assault</v>
      </c>
      <c r="C84" s="48" t="str" cm="1">
        <f t="array" ref="C84">INDEX(Lookups!$A$2:$A$8,MOD(ROW()-ROW($B$2),ROWS(Lookups!$A$2:$A$8))+1)</f>
        <v>Stun Grenade</v>
      </c>
      <c r="D84" s="48" t="str">
        <f>_xlfn.XLOOKUP(C84,Analysis_Gadgets!$C:$C,Analysis_Gadgets!$B:$B)</f>
        <v>Grenade</v>
      </c>
      <c r="E84" s="43">
        <v>96</v>
      </c>
      <c r="F84" s="43">
        <f>_xlfn.XLOOKUP(A84,Class_Players!A:A,Class_Players!G:G)</f>
        <v>381</v>
      </c>
      <c r="G84" s="43">
        <f t="shared" si="37"/>
        <v>0.25196850393700787</v>
      </c>
      <c r="H84" s="43">
        <f>_xlfn.XLOOKUP(A84,Class_Players!$A:$A,Class_Players!$F:$F,"")</f>
        <v>14952</v>
      </c>
      <c r="I84" s="44">
        <f t="shared" si="38"/>
        <v>6.420545746388443E-3</v>
      </c>
      <c r="J84" s="43">
        <f t="shared" si="29"/>
        <v>0</v>
      </c>
      <c r="K84" s="44" cm="1">
        <f t="array" ref="K84">IF(D84="Gadget",_xlfn.IFS(I84&gt;=0.2,0.5,I84&gt;=0.1,0.35,I84&gt;=0.05,0.2,TRUE,0),IF(D84="Grenade",_xlfn.IFS(I84&gt;=0.2,1,I84&gt;=0.1,0.7,I84&gt;=0.05,0.4,TRUE,0),0))</f>
        <v>0</v>
      </c>
      <c r="L84" s="57">
        <f t="shared" ref="L84:L85" si="39">IF($K84=0,0,$K84 / SUMIFS($K:$K,$A:$A,$A84,$D:$D,"Grenade"))</f>
        <v>0</v>
      </c>
    </row>
    <row r="85" spans="1:12" x14ac:dyDescent="0.25">
      <c r="A85" s="42" t="str" cm="1">
        <f t="array" ref="A85">IFERROR(INDEX(_xlfn._xlws.FILTER(Class_Players!A:A,Class_Players!B:B="Assault"),QUOTIENT(ROW()-ROW($A$2),7)+1),"")</f>
        <v>Plasem</v>
      </c>
      <c r="B85" s="42" t="str">
        <f>_xlfn.XLOOKUP(A85,Class_Players!$A:$A,Class_Players!$B:$B,"")</f>
        <v>Assault</v>
      </c>
      <c r="C85" s="48" t="str" cm="1">
        <f t="array" ref="C85">INDEX(Lookups!$A$2:$A$8,MOD(ROW()-ROW($B$2),ROWS(Lookups!$A$2:$A$8))+1)</f>
        <v>Flash Grenade</v>
      </c>
      <c r="D85" s="48" t="str">
        <f>_xlfn.XLOOKUP(C85,Analysis_Gadgets!$C:$C,Analysis_Gadgets!$B:$B)</f>
        <v>Grenade</v>
      </c>
      <c r="E85" s="43">
        <v>0</v>
      </c>
      <c r="F85" s="43">
        <f>_xlfn.XLOOKUP(A85,Class_Players!A:A,Class_Players!G:G)</f>
        <v>381</v>
      </c>
      <c r="G85" s="43">
        <f t="shared" si="37"/>
        <v>0</v>
      </c>
      <c r="H85" s="43">
        <f>_xlfn.XLOOKUP(A85,Class_Players!$A:$A,Class_Players!$F:$F,"")</f>
        <v>14952</v>
      </c>
      <c r="I85" s="44">
        <f t="shared" si="38"/>
        <v>0</v>
      </c>
      <c r="J85" s="43">
        <f t="shared" si="29"/>
        <v>0</v>
      </c>
      <c r="K85" s="44" cm="1">
        <f t="array" ref="K85">IF(D85="Gadget",_xlfn.IFS(I85&gt;=0.2,0.5,I85&gt;=0.1,0.35,I85&gt;=0.05,0.2,TRUE,0),IF(D85="Grenade",_xlfn.IFS(I85&gt;=0.2,1,I85&gt;=0.1,0.7,I85&gt;=0.05,0.4,TRUE,0),0))</f>
        <v>0</v>
      </c>
      <c r="L85" s="57">
        <f t="shared" si="39"/>
        <v>0</v>
      </c>
    </row>
    <row r="86" spans="1:12" x14ac:dyDescent="0.25">
      <c r="A86" s="42" t="str" cm="1">
        <f t="array" ref="A86">IFERROR(INDEX(_xlfn._xlws.FILTER(Class_Players!A:A,Class_Players!B:B="Assault"),QUOTIENT(ROW()-ROW($A$2),7)+1),"")</f>
        <v>devilferreira</v>
      </c>
      <c r="B86" s="42" t="str">
        <f>_xlfn.XLOOKUP(A86,Class_Players!$A:$A,Class_Players!$B:$B,"")</f>
        <v>Assault</v>
      </c>
      <c r="C86" s="48" t="str" cm="1">
        <f t="array" ref="C86">INDEX(Lookups!$A$2:$A$8,MOD(ROW()-ROW($B$2),ROWS(Lookups!$A$2:$A$8))+1)</f>
        <v>Assault Ladder</v>
      </c>
      <c r="D86" s="48" t="str">
        <f>_xlfn.XLOOKUP(C86,Analysis_Gadgets!$C:$C,Analysis_Gadgets!$B:$B)</f>
        <v>Gadget</v>
      </c>
      <c r="E86" s="43">
        <v>116</v>
      </c>
      <c r="F86" s="43">
        <f>_xlfn.XLOOKUP(A86,Class_Players!A:A,Class_Players!G:G)</f>
        <v>273</v>
      </c>
      <c r="G86" s="43">
        <f t="shared" si="37"/>
        <v>0.4249084249084249</v>
      </c>
      <c r="H86" s="43">
        <f>_xlfn.XLOOKUP(A86,Class_Players!$A:$A,Class_Players!$F:$F,"")</f>
        <v>14627</v>
      </c>
      <c r="I86" s="44">
        <f t="shared" si="38"/>
        <v>7.9305394134135503E-3</v>
      </c>
      <c r="J86" s="43">
        <f t="shared" si="29"/>
        <v>0</v>
      </c>
      <c r="K86" s="44" cm="1">
        <f t="array" ref="K86">IF(D86="Gadget",_xlfn.IFS(I86&gt;=0.2,0.5,I86&gt;=0.1,0.35,I86&gt;=0.05,0.2,TRUE,0),IF(D86="Grenade",_xlfn.IFS(I86&gt;=0.2,1,I86&gt;=0.1,0.7,I86&gt;=0.05,0.4,TRUE,0),0))</f>
        <v>0</v>
      </c>
      <c r="L86" s="57">
        <f t="shared" ref="L86:L90" si="40">IF($K86=0,0,$K86 / SUMIFS($K:$K,$A:$A,$A86,$D:$D,"Gadget"))</f>
        <v>0</v>
      </c>
    </row>
    <row r="87" spans="1:12" x14ac:dyDescent="0.25">
      <c r="A87" s="42" t="str" cm="1">
        <f t="array" ref="A87">IFERROR(INDEX(_xlfn._xlws.FILTER(Class_Players!A:A,Class_Players!B:B="Assault"),QUOTIENT(ROW()-ROW($A$2),7)+1),"")</f>
        <v>devilferreira</v>
      </c>
      <c r="B87" s="42" t="str">
        <f>_xlfn.XLOOKUP(A87,Class_Players!$A:$A,Class_Players!$B:$B,"")</f>
        <v>Assault</v>
      </c>
      <c r="C87" s="48" t="str" cm="1">
        <f t="array" ref="C87">INDEX(Lookups!$A$2:$A$8,MOD(ROW()-ROW($B$2),ROWS(Lookups!$A$2:$A$8))+1)</f>
        <v>X95 BRE (Breaching Projectile Launcher)</v>
      </c>
      <c r="D87" s="48" t="str">
        <f>_xlfn.XLOOKUP(C87,Analysis_Gadgets!$C:$C,Analysis_Gadgets!$B:$B)</f>
        <v>Gadget</v>
      </c>
      <c r="E87" s="43">
        <v>0</v>
      </c>
      <c r="F87" s="43">
        <f>_xlfn.XLOOKUP(A87,Class_Players!A:A,Class_Players!G:G)</f>
        <v>273</v>
      </c>
      <c r="G87" s="43">
        <f t="shared" si="37"/>
        <v>0</v>
      </c>
      <c r="H87" s="43">
        <f>_xlfn.XLOOKUP(A87,Class_Players!$A:$A,Class_Players!$F:$F,"")</f>
        <v>14627</v>
      </c>
      <c r="I87" s="44">
        <f t="shared" si="38"/>
        <v>0</v>
      </c>
      <c r="J87" s="43">
        <f t="shared" si="29"/>
        <v>0</v>
      </c>
      <c r="K87" s="44" cm="1">
        <f t="array" ref="K87">IF(D87="Gadget",_xlfn.IFS(I87&gt;=0.2,0.5,I87&gt;=0.1,0.35,I87&gt;=0.05,0.2,TRUE,0),IF(D87="Grenade",_xlfn.IFS(I87&gt;=0.2,1,I87&gt;=0.1,0.7,I87&gt;=0.05,0.4,TRUE,0),0))</f>
        <v>0</v>
      </c>
      <c r="L87" s="57">
        <f t="shared" si="40"/>
        <v>0</v>
      </c>
    </row>
    <row r="88" spans="1:12" x14ac:dyDescent="0.25">
      <c r="A88" s="42" t="str" cm="1">
        <f t="array" ref="A88">IFERROR(INDEX(_xlfn._xlws.FILTER(Class_Players!A:A,Class_Players!B:B="Assault"),QUOTIENT(ROW()-ROW($A$2),7)+1),"")</f>
        <v>devilferreira</v>
      </c>
      <c r="B88" s="42" t="str">
        <f>_xlfn.XLOOKUP(A88,Class_Players!$A:$A,Class_Players!$B:$B,"")</f>
        <v>Assault</v>
      </c>
      <c r="C88" s="48" t="str" cm="1">
        <f t="array" ref="C88">INDEX(Lookups!$A$2:$A$8,MOD(ROW()-ROW($B$2),ROWS(Lookups!$A$2:$A$8))+1)</f>
        <v>M320A1 HE (Grenade Launcher)</v>
      </c>
      <c r="D88" s="48" t="str">
        <f>_xlfn.XLOOKUP(C88,Analysis_Gadgets!$C:$C,Analysis_Gadgets!$B:$B)</f>
        <v>Gadget</v>
      </c>
      <c r="E88" s="43">
        <v>2137</v>
      </c>
      <c r="F88" s="43">
        <f>_xlfn.XLOOKUP(A88,Class_Players!A:A,Class_Players!G:G)</f>
        <v>273</v>
      </c>
      <c r="G88" s="43">
        <f t="shared" si="37"/>
        <v>7.8278388278388276</v>
      </c>
      <c r="H88" s="43">
        <f>_xlfn.XLOOKUP(A88,Class_Players!$A:$A,Class_Players!$F:$F,"")</f>
        <v>14627</v>
      </c>
      <c r="I88" s="44">
        <f t="shared" si="38"/>
        <v>0.14609967867642032</v>
      </c>
      <c r="J88" s="43">
        <f t="shared" si="29"/>
        <v>1</v>
      </c>
      <c r="K88" s="44" cm="1">
        <f t="array" ref="K88">IF(D88="Gadget",_xlfn.IFS(I88&gt;=0.2,0.5,I88&gt;=0.1,0.35,I88&gt;=0.05,0.2,TRUE,0),IF(D88="Grenade",_xlfn.IFS(I88&gt;=0.2,1,I88&gt;=0.1,0.7,I88&gt;=0.05,0.4,TRUE,0),0))</f>
        <v>0.35</v>
      </c>
      <c r="L88" s="57">
        <f t="shared" si="40"/>
        <v>0.41176470588235292</v>
      </c>
    </row>
    <row r="89" spans="1:12" x14ac:dyDescent="0.25">
      <c r="A89" s="42" t="str" cm="1">
        <f t="array" ref="A89">IFERROR(INDEX(_xlfn._xlws.FILTER(Class_Players!A:A,Class_Players!B:B="Assault"),QUOTIENT(ROW()-ROW($A$2),7)+1),"")</f>
        <v>devilferreira</v>
      </c>
      <c r="B89" s="42" t="str">
        <f>_xlfn.XLOOKUP(A89,Class_Players!$A:$A,Class_Players!$B:$B,"")</f>
        <v>Assault</v>
      </c>
      <c r="C89" s="48" t="str" cm="1">
        <f t="array" ref="C89">INDEX(Lookups!$A$2:$A$8,MOD(ROW()-ROW($B$2),ROWS(Lookups!$A$2:$A$8))+1)</f>
        <v>M320A1 THRM    (Incendiary Grenade Launcher)</v>
      </c>
      <c r="D89" s="48" t="str">
        <f>_xlfn.XLOOKUP(C89,Analysis_Gadgets!$C:$C,Analysis_Gadgets!$B:$B)</f>
        <v>Gadget</v>
      </c>
      <c r="E89" s="43">
        <v>1</v>
      </c>
      <c r="F89" s="43">
        <f>_xlfn.XLOOKUP(A89,Class_Players!A:A,Class_Players!G:G)</f>
        <v>273</v>
      </c>
      <c r="G89" s="43">
        <f t="shared" si="37"/>
        <v>3.663003663003663E-3</v>
      </c>
      <c r="H89" s="43">
        <f>_xlfn.XLOOKUP(A89,Class_Players!$A:$A,Class_Players!$F:$F,"")</f>
        <v>14627</v>
      </c>
      <c r="I89" s="44">
        <f t="shared" si="38"/>
        <v>6.8366719081151302E-5</v>
      </c>
      <c r="J89" s="43">
        <f t="shared" si="29"/>
        <v>0</v>
      </c>
      <c r="K89" s="44" cm="1">
        <f t="array" ref="K89">IF(D89="Gadget",_xlfn.IFS(I89&gt;=0.2,0.5,I89&gt;=0.1,0.35,I89&gt;=0.05,0.2,TRUE,0),IF(D89="Grenade",_xlfn.IFS(I89&gt;=0.2,1,I89&gt;=0.1,0.7,I89&gt;=0.05,0.4,TRUE,0),0))</f>
        <v>0</v>
      </c>
      <c r="L89" s="57">
        <f t="shared" si="40"/>
        <v>0</v>
      </c>
    </row>
    <row r="90" spans="1:12" x14ac:dyDescent="0.25">
      <c r="A90" s="42" t="str" cm="1">
        <f t="array" ref="A90">IFERROR(INDEX(_xlfn._xlws.FILTER(Class_Players!A:A,Class_Players!B:B="Assault"),QUOTIENT(ROW()-ROW($A$2),7)+1),"")</f>
        <v>devilferreira</v>
      </c>
      <c r="B90" s="42" t="str">
        <f>_xlfn.XLOOKUP(A90,Class_Players!$A:$A,Class_Players!$B:$B,"")</f>
        <v>Assault</v>
      </c>
      <c r="C90" s="48" t="str" cm="1">
        <f t="array" ref="C90">INDEX(Lookups!$A$2:$A$8,MOD(ROW()-ROW($B$2),ROWS(Lookups!$A$2:$A$8))+1)</f>
        <v>QLINK (Deploy Beacon)</v>
      </c>
      <c r="D90" s="48" t="str">
        <f>_xlfn.XLOOKUP(C90,Analysis_Gadgets!$C:$C,Analysis_Gadgets!$B:$B)</f>
        <v>Gadget</v>
      </c>
      <c r="E90" s="43">
        <v>9227</v>
      </c>
      <c r="F90" s="43">
        <f>_xlfn.XLOOKUP(A90,Class_Players!A:A,Class_Players!G:G)</f>
        <v>273</v>
      </c>
      <c r="G90" s="43">
        <f t="shared" si="37"/>
        <v>33.798534798534796</v>
      </c>
      <c r="H90" s="43">
        <f>_xlfn.XLOOKUP(A90,Class_Players!$A:$A,Class_Players!$F:$F,"")</f>
        <v>14627</v>
      </c>
      <c r="I90" s="44">
        <f t="shared" si="38"/>
        <v>0.63081971696178296</v>
      </c>
      <c r="J90" s="43">
        <f t="shared" si="29"/>
        <v>1</v>
      </c>
      <c r="K90" s="44" cm="1">
        <f t="array" ref="K90">IF(D90="Gadget",_xlfn.IFS(I90&gt;=0.2,0.5,I90&gt;=0.1,0.35,I90&gt;=0.05,0.2,TRUE,0),IF(D90="Grenade",_xlfn.IFS(I90&gt;=0.2,1,I90&gt;=0.1,0.7,I90&gt;=0.05,0.4,TRUE,0),0))</f>
        <v>0.5</v>
      </c>
      <c r="L90" s="57">
        <f t="shared" si="40"/>
        <v>0.58823529411764708</v>
      </c>
    </row>
    <row r="91" spans="1:12" x14ac:dyDescent="0.25">
      <c r="A91" s="42" t="str" cm="1">
        <f t="array" ref="A91">IFERROR(INDEX(_xlfn._xlws.FILTER(Class_Players!A:A,Class_Players!B:B="Assault"),QUOTIENT(ROW()-ROW($A$2),7)+1),"")</f>
        <v>devilferreira</v>
      </c>
      <c r="B91" s="42" t="str">
        <f>_xlfn.XLOOKUP(A91,Class_Players!$A:$A,Class_Players!$B:$B,"")</f>
        <v>Assault</v>
      </c>
      <c r="C91" s="48" t="str" cm="1">
        <f t="array" ref="C91">INDEX(Lookups!$A$2:$A$8,MOD(ROW()-ROW($B$2),ROWS(Lookups!$A$2:$A$8))+1)</f>
        <v>Stun Grenade</v>
      </c>
      <c r="D91" s="48" t="str">
        <f>_xlfn.XLOOKUP(C91,Analysis_Gadgets!$C:$C,Analysis_Gadgets!$B:$B)</f>
        <v>Grenade</v>
      </c>
      <c r="E91" s="43">
        <v>191</v>
      </c>
      <c r="F91" s="43">
        <f>_xlfn.XLOOKUP(A91,Class_Players!A:A,Class_Players!G:G)</f>
        <v>273</v>
      </c>
      <c r="G91" s="43">
        <f t="shared" si="37"/>
        <v>0.69963369963369959</v>
      </c>
      <c r="H91" s="43">
        <f>_xlfn.XLOOKUP(A91,Class_Players!$A:$A,Class_Players!$F:$F,"")</f>
        <v>14627</v>
      </c>
      <c r="I91" s="44">
        <f t="shared" si="38"/>
        <v>1.3058043344499897E-2</v>
      </c>
      <c r="J91" s="43">
        <f t="shared" si="29"/>
        <v>0</v>
      </c>
      <c r="K91" s="44" cm="1">
        <f t="array" ref="K91">IF(D91="Gadget",_xlfn.IFS(I91&gt;=0.2,0.5,I91&gt;=0.1,0.35,I91&gt;=0.05,0.2,TRUE,0),IF(D91="Grenade",_xlfn.IFS(I91&gt;=0.2,1,I91&gt;=0.1,0.7,I91&gt;=0.05,0.4,TRUE,0),0))</f>
        <v>0</v>
      </c>
      <c r="L91" s="57">
        <f t="shared" ref="L91:L92" si="41">IF($K91=0,0,$K91 / SUMIFS($K:$K,$A:$A,$A91,$D:$D,"Grenade"))</f>
        <v>0</v>
      </c>
    </row>
    <row r="92" spans="1:12" x14ac:dyDescent="0.25">
      <c r="A92" s="42" t="str" cm="1">
        <f t="array" ref="A92">IFERROR(INDEX(_xlfn._xlws.FILTER(Class_Players!A:A,Class_Players!B:B="Assault"),QUOTIENT(ROW()-ROW($A$2),7)+1),"")</f>
        <v>devilferreira</v>
      </c>
      <c r="B92" s="42" t="str">
        <f>_xlfn.XLOOKUP(A92,Class_Players!$A:$A,Class_Players!$B:$B,"")</f>
        <v>Assault</v>
      </c>
      <c r="C92" s="48" t="str" cm="1">
        <f t="array" ref="C92">INDEX(Lookups!$A$2:$A$8,MOD(ROW()-ROW($B$2),ROWS(Lookups!$A$2:$A$8))+1)</f>
        <v>Flash Grenade</v>
      </c>
      <c r="D92" s="48" t="str">
        <f>_xlfn.XLOOKUP(C92,Analysis_Gadgets!$C:$C,Analysis_Gadgets!$B:$B)</f>
        <v>Grenade</v>
      </c>
      <c r="E92" s="43">
        <v>59</v>
      </c>
      <c r="F92" s="43">
        <f>_xlfn.XLOOKUP(A92,Class_Players!A:A,Class_Players!G:G)</f>
        <v>273</v>
      </c>
      <c r="G92" s="43">
        <f t="shared" si="37"/>
        <v>0.21611721611721613</v>
      </c>
      <c r="H92" s="43">
        <f>_xlfn.XLOOKUP(A92,Class_Players!$A:$A,Class_Players!$F:$F,"")</f>
        <v>14627</v>
      </c>
      <c r="I92" s="44">
        <f t="shared" si="38"/>
        <v>4.0336364257879268E-3</v>
      </c>
      <c r="J92" s="43">
        <f t="shared" si="29"/>
        <v>0</v>
      </c>
      <c r="K92" s="44" cm="1">
        <f t="array" ref="K92">IF(D92="Gadget",_xlfn.IFS(I92&gt;=0.2,0.5,I92&gt;=0.1,0.35,I92&gt;=0.05,0.2,TRUE,0),IF(D92="Grenade",_xlfn.IFS(I92&gt;=0.2,1,I92&gt;=0.1,0.7,I92&gt;=0.05,0.4,TRUE,0),0))</f>
        <v>0</v>
      </c>
      <c r="L92" s="57">
        <f t="shared" si="41"/>
        <v>0</v>
      </c>
    </row>
    <row r="93" spans="1:12" x14ac:dyDescent="0.25">
      <c r="A93" s="42" t="str" cm="1">
        <f t="array" ref="A93">IFERROR(INDEX(_xlfn._xlws.FILTER(Class_Players!A:A,Class_Players!B:B="Assault"),QUOTIENT(ROW()-ROW($A$2),7)+1),"")</f>
        <v>michieI</v>
      </c>
      <c r="B93" s="42" t="str">
        <f>_xlfn.XLOOKUP(A93,Class_Players!$A:$A,Class_Players!$B:$B,"")</f>
        <v>Assault</v>
      </c>
      <c r="C93" s="48" t="str" cm="1">
        <f t="array" ref="C93">INDEX(Lookups!$A$2:$A$8,MOD(ROW()-ROW($B$2),ROWS(Lookups!$A$2:$A$8))+1)</f>
        <v>Assault Ladder</v>
      </c>
      <c r="D93" s="48" t="str">
        <f>_xlfn.XLOOKUP(C93,Analysis_Gadgets!$C:$C,Analysis_Gadgets!$B:$B)</f>
        <v>Gadget</v>
      </c>
      <c r="E93" s="43">
        <v>1</v>
      </c>
      <c r="F93" s="43">
        <f>_xlfn.XLOOKUP(A93,Class_Players!A:A,Class_Players!G:G)</f>
        <v>188</v>
      </c>
      <c r="G93" s="43">
        <f t="shared" si="37"/>
        <v>5.3191489361702126E-3</v>
      </c>
      <c r="H93" s="43">
        <f>_xlfn.XLOOKUP(A93,Class_Players!$A:$A,Class_Players!$F:$F,"")</f>
        <v>14425</v>
      </c>
      <c r="I93" s="44">
        <f t="shared" si="38"/>
        <v>6.9324090121317163E-5</v>
      </c>
      <c r="J93" s="43">
        <f t="shared" si="29"/>
        <v>0</v>
      </c>
      <c r="K93" s="44" cm="1">
        <f t="array" ref="K93">IF(D93="Gadget",_xlfn.IFS(I93&gt;=0.2,0.5,I93&gt;=0.1,0.35,I93&gt;=0.05,0.2,TRUE,0),IF(D93="Grenade",_xlfn.IFS(I93&gt;=0.2,1,I93&gt;=0.1,0.7,I93&gt;=0.05,0.4,TRUE,0),0))</f>
        <v>0</v>
      </c>
      <c r="L93" s="57">
        <f t="shared" ref="L93:L97" si="42">IF($K93=0,0,$K93 / SUMIFS($K:$K,$A:$A,$A93,$D:$D,"Gadget"))</f>
        <v>0</v>
      </c>
    </row>
    <row r="94" spans="1:12" x14ac:dyDescent="0.25">
      <c r="A94" s="42" t="str" cm="1">
        <f t="array" ref="A94">IFERROR(INDEX(_xlfn._xlws.FILTER(Class_Players!A:A,Class_Players!B:B="Assault"),QUOTIENT(ROW()-ROW($A$2),7)+1),"")</f>
        <v>michieI</v>
      </c>
      <c r="B94" s="42" t="str">
        <f>_xlfn.XLOOKUP(A94,Class_Players!$A:$A,Class_Players!$B:$B,"")</f>
        <v>Assault</v>
      </c>
      <c r="C94" s="48" t="str" cm="1">
        <f t="array" ref="C94">INDEX(Lookups!$A$2:$A$8,MOD(ROW()-ROW($B$2),ROWS(Lookups!$A$2:$A$8))+1)</f>
        <v>X95 BRE (Breaching Projectile Launcher)</v>
      </c>
      <c r="D94" s="48" t="str">
        <f>_xlfn.XLOOKUP(C94,Analysis_Gadgets!$C:$C,Analysis_Gadgets!$B:$B)</f>
        <v>Gadget</v>
      </c>
      <c r="E94" s="43">
        <v>3</v>
      </c>
      <c r="F94" s="43">
        <f>_xlfn.XLOOKUP(A94,Class_Players!A:A,Class_Players!G:G)</f>
        <v>188</v>
      </c>
      <c r="G94" s="43">
        <f t="shared" si="37"/>
        <v>1.5957446808510637E-2</v>
      </c>
      <c r="H94" s="43">
        <f>_xlfn.XLOOKUP(A94,Class_Players!$A:$A,Class_Players!$F:$F,"")</f>
        <v>14425</v>
      </c>
      <c r="I94" s="44">
        <f t="shared" si="38"/>
        <v>2.0797227036395148E-4</v>
      </c>
      <c r="J94" s="43">
        <f t="shared" si="29"/>
        <v>0</v>
      </c>
      <c r="K94" s="44" cm="1">
        <f t="array" ref="K94">IF(D94="Gadget",_xlfn.IFS(I94&gt;=0.2,0.5,I94&gt;=0.1,0.35,I94&gt;=0.05,0.2,TRUE,0),IF(D94="Grenade",_xlfn.IFS(I94&gt;=0.2,1,I94&gt;=0.1,0.7,I94&gt;=0.05,0.4,TRUE,0),0))</f>
        <v>0</v>
      </c>
      <c r="L94" s="57">
        <f t="shared" si="42"/>
        <v>0</v>
      </c>
    </row>
    <row r="95" spans="1:12" x14ac:dyDescent="0.25">
      <c r="A95" s="42" t="str" cm="1">
        <f t="array" ref="A95">IFERROR(INDEX(_xlfn._xlws.FILTER(Class_Players!A:A,Class_Players!B:B="Assault"),QUOTIENT(ROW()-ROW($A$2),7)+1),"")</f>
        <v>michieI</v>
      </c>
      <c r="B95" s="42" t="str">
        <f>_xlfn.XLOOKUP(A95,Class_Players!$A:$A,Class_Players!$B:$B,"")</f>
        <v>Assault</v>
      </c>
      <c r="C95" s="48" t="str" cm="1">
        <f t="array" ref="C95">INDEX(Lookups!$A$2:$A$8,MOD(ROW()-ROW($B$2),ROWS(Lookups!$A$2:$A$8))+1)</f>
        <v>M320A1 HE (Grenade Launcher)</v>
      </c>
      <c r="D95" s="48" t="str">
        <f>_xlfn.XLOOKUP(C95,Analysis_Gadgets!$C:$C,Analysis_Gadgets!$B:$B)</f>
        <v>Gadget</v>
      </c>
      <c r="E95" s="43">
        <v>16560</v>
      </c>
      <c r="F95" s="43">
        <f>_xlfn.XLOOKUP(A95,Class_Players!A:A,Class_Players!G:G)</f>
        <v>188</v>
      </c>
      <c r="G95" s="43">
        <f t="shared" si="37"/>
        <v>88.085106382978722</v>
      </c>
      <c r="H95" s="43">
        <f>_xlfn.XLOOKUP(A95,Class_Players!$A:$A,Class_Players!$F:$F,"")</f>
        <v>14425</v>
      </c>
      <c r="I95" s="44">
        <f t="shared" si="38"/>
        <v>1.1480069324090121</v>
      </c>
      <c r="J95" s="43">
        <f t="shared" si="29"/>
        <v>1</v>
      </c>
      <c r="K95" s="44" cm="1">
        <f t="array" ref="K95">IF(D95="Gadget",_xlfn.IFS(I95&gt;=0.2,0.5,I95&gt;=0.1,0.35,I95&gt;=0.05,0.2,TRUE,0),IF(D95="Grenade",_xlfn.IFS(I95&gt;=0.2,1,I95&gt;=0.1,0.7,I95&gt;=0.05,0.4,TRUE,0),0))</f>
        <v>0.5</v>
      </c>
      <c r="L95" s="57">
        <f t="shared" si="42"/>
        <v>1</v>
      </c>
    </row>
    <row r="96" spans="1:12" x14ac:dyDescent="0.25">
      <c r="A96" s="42" t="str" cm="1">
        <f t="array" ref="A96">IFERROR(INDEX(_xlfn._xlws.FILTER(Class_Players!A:A,Class_Players!B:B="Assault"),QUOTIENT(ROW()-ROW($A$2),7)+1),"")</f>
        <v>michieI</v>
      </c>
      <c r="B96" s="42" t="str">
        <f>_xlfn.XLOOKUP(A96,Class_Players!$A:$A,Class_Players!$B:$B,"")</f>
        <v>Assault</v>
      </c>
      <c r="C96" s="48" t="str" cm="1">
        <f t="array" ref="C96">INDEX(Lookups!$A$2:$A$8,MOD(ROW()-ROW($B$2),ROWS(Lookups!$A$2:$A$8))+1)</f>
        <v>M320A1 THRM    (Incendiary Grenade Launcher)</v>
      </c>
      <c r="D96" s="48" t="str">
        <f>_xlfn.XLOOKUP(C96,Analysis_Gadgets!$C:$C,Analysis_Gadgets!$B:$B)</f>
        <v>Gadget</v>
      </c>
      <c r="E96" s="43">
        <v>1</v>
      </c>
      <c r="F96" s="43">
        <f>_xlfn.XLOOKUP(A96,Class_Players!A:A,Class_Players!G:G)</f>
        <v>188</v>
      </c>
      <c r="G96" s="43">
        <f t="shared" si="37"/>
        <v>5.3191489361702126E-3</v>
      </c>
      <c r="H96" s="43">
        <f>_xlfn.XLOOKUP(A96,Class_Players!$A:$A,Class_Players!$F:$F,"")</f>
        <v>14425</v>
      </c>
      <c r="I96" s="44">
        <f t="shared" si="38"/>
        <v>6.9324090121317163E-5</v>
      </c>
      <c r="J96" s="43">
        <f t="shared" si="29"/>
        <v>0</v>
      </c>
      <c r="K96" s="44" cm="1">
        <f t="array" ref="K96">IF(D96="Gadget",_xlfn.IFS(I96&gt;=0.2,0.5,I96&gt;=0.1,0.35,I96&gt;=0.05,0.2,TRUE,0),IF(D96="Grenade",_xlfn.IFS(I96&gt;=0.2,1,I96&gt;=0.1,0.7,I96&gt;=0.05,0.4,TRUE,0),0))</f>
        <v>0</v>
      </c>
      <c r="L96" s="57">
        <f t="shared" si="42"/>
        <v>0</v>
      </c>
    </row>
    <row r="97" spans="1:12" x14ac:dyDescent="0.25">
      <c r="A97" s="42" t="str" cm="1">
        <f t="array" ref="A97">IFERROR(INDEX(_xlfn._xlws.FILTER(Class_Players!A:A,Class_Players!B:B="Assault"),QUOTIENT(ROW()-ROW($A$2),7)+1),"")</f>
        <v>michieI</v>
      </c>
      <c r="B97" s="42" t="str">
        <f>_xlfn.XLOOKUP(A97,Class_Players!$A:$A,Class_Players!$B:$B,"")</f>
        <v>Assault</v>
      </c>
      <c r="C97" s="48" t="str" cm="1">
        <f t="array" ref="C97">INDEX(Lookups!$A$2:$A$8,MOD(ROW()-ROW($B$2),ROWS(Lookups!$A$2:$A$8))+1)</f>
        <v>QLINK (Deploy Beacon)</v>
      </c>
      <c r="D97" s="48" t="str">
        <f>_xlfn.XLOOKUP(C97,Analysis_Gadgets!$C:$C,Analysis_Gadgets!$B:$B)</f>
        <v>Gadget</v>
      </c>
      <c r="E97" s="43">
        <v>0</v>
      </c>
      <c r="F97" s="43">
        <f>_xlfn.XLOOKUP(A97,Class_Players!A:A,Class_Players!G:G)</f>
        <v>188</v>
      </c>
      <c r="G97" s="43">
        <f t="shared" si="37"/>
        <v>0</v>
      </c>
      <c r="H97" s="43">
        <f>_xlfn.XLOOKUP(A97,Class_Players!$A:$A,Class_Players!$F:$F,"")</f>
        <v>14425</v>
      </c>
      <c r="I97" s="44">
        <f t="shared" si="38"/>
        <v>0</v>
      </c>
      <c r="J97" s="43">
        <f t="shared" si="29"/>
        <v>0</v>
      </c>
      <c r="K97" s="44" cm="1">
        <f t="array" ref="K97">IF(D97="Gadget",_xlfn.IFS(I97&gt;=0.2,0.5,I97&gt;=0.1,0.35,I97&gt;=0.05,0.2,TRUE,0),IF(D97="Grenade",_xlfn.IFS(I97&gt;=0.2,1,I97&gt;=0.1,0.7,I97&gt;=0.05,0.4,TRUE,0),0))</f>
        <v>0</v>
      </c>
      <c r="L97" s="57">
        <f t="shared" si="42"/>
        <v>0</v>
      </c>
    </row>
    <row r="98" spans="1:12" x14ac:dyDescent="0.25">
      <c r="A98" s="42" t="str" cm="1">
        <f t="array" ref="A98">IFERROR(INDEX(_xlfn._xlws.FILTER(Class_Players!A:A,Class_Players!B:B="Assault"),QUOTIENT(ROW()-ROW($A$2),7)+1),"")</f>
        <v>michieI</v>
      </c>
      <c r="B98" s="42" t="str">
        <f>_xlfn.XLOOKUP(A98,Class_Players!$A:$A,Class_Players!$B:$B,"")</f>
        <v>Assault</v>
      </c>
      <c r="C98" s="48" t="str" cm="1">
        <f t="array" ref="C98">INDEX(Lookups!$A$2:$A$8,MOD(ROW()-ROW($B$2),ROWS(Lookups!$A$2:$A$8))+1)</f>
        <v>Stun Grenade</v>
      </c>
      <c r="D98" s="48" t="str">
        <f>_xlfn.XLOOKUP(C98,Analysis_Gadgets!$C:$C,Analysis_Gadgets!$B:$B)</f>
        <v>Grenade</v>
      </c>
      <c r="E98" s="43">
        <v>87</v>
      </c>
      <c r="F98" s="43">
        <f>_xlfn.XLOOKUP(A98,Class_Players!A:A,Class_Players!G:G)</f>
        <v>188</v>
      </c>
      <c r="G98" s="43">
        <f t="shared" si="37"/>
        <v>0.46276595744680848</v>
      </c>
      <c r="H98" s="43">
        <f>_xlfn.XLOOKUP(A98,Class_Players!$A:$A,Class_Players!$F:$F,"")</f>
        <v>14425</v>
      </c>
      <c r="I98" s="44">
        <f t="shared" si="38"/>
        <v>6.0311958405545926E-3</v>
      </c>
      <c r="J98" s="43">
        <f t="shared" si="29"/>
        <v>0</v>
      </c>
      <c r="K98" s="44" cm="1">
        <f t="array" ref="K98">IF(D98="Gadget",_xlfn.IFS(I98&gt;=0.2,0.5,I98&gt;=0.1,0.35,I98&gt;=0.05,0.2,TRUE,0),IF(D98="Grenade",_xlfn.IFS(I98&gt;=0.2,1,I98&gt;=0.1,0.7,I98&gt;=0.05,0.4,TRUE,0),0))</f>
        <v>0</v>
      </c>
      <c r="L98" s="57">
        <f t="shared" ref="L98:L99" si="43">IF($K98=0,0,$K98 / SUMIFS($K:$K,$A:$A,$A98,$D:$D,"Grenade"))</f>
        <v>0</v>
      </c>
    </row>
    <row r="99" spans="1:12" x14ac:dyDescent="0.25">
      <c r="A99" s="42" t="str" cm="1">
        <f t="array" ref="A99">IFERROR(INDEX(_xlfn._xlws.FILTER(Class_Players!A:A,Class_Players!B:B="Assault"),QUOTIENT(ROW()-ROW($A$2),7)+1),"")</f>
        <v>michieI</v>
      </c>
      <c r="B99" s="42" t="str">
        <f>_xlfn.XLOOKUP(A99,Class_Players!$A:$A,Class_Players!$B:$B,"")</f>
        <v>Assault</v>
      </c>
      <c r="C99" s="48" t="str" cm="1">
        <f t="array" ref="C99">INDEX(Lookups!$A$2:$A$8,MOD(ROW()-ROW($B$2),ROWS(Lookups!$A$2:$A$8))+1)</f>
        <v>Flash Grenade</v>
      </c>
      <c r="D99" s="48" t="str">
        <f>_xlfn.XLOOKUP(C99,Analysis_Gadgets!$C:$C,Analysis_Gadgets!$B:$B)</f>
        <v>Grenade</v>
      </c>
      <c r="E99" s="43">
        <v>0</v>
      </c>
      <c r="F99" s="43">
        <f>_xlfn.XLOOKUP(A99,Class_Players!A:A,Class_Players!G:G)</f>
        <v>188</v>
      </c>
      <c r="G99" s="43">
        <f t="shared" si="37"/>
        <v>0</v>
      </c>
      <c r="H99" s="43">
        <f>_xlfn.XLOOKUP(A99,Class_Players!$A:$A,Class_Players!$F:$F,"")</f>
        <v>14425</v>
      </c>
      <c r="I99" s="44">
        <f t="shared" si="38"/>
        <v>0</v>
      </c>
      <c r="J99" s="43">
        <f t="shared" si="29"/>
        <v>0</v>
      </c>
      <c r="K99" s="44" cm="1">
        <f t="array" ref="K99">IF(D99="Gadget",_xlfn.IFS(I99&gt;=0.2,0.5,I99&gt;=0.1,0.35,I99&gt;=0.05,0.2,TRUE,0),IF(D99="Grenade",_xlfn.IFS(I99&gt;=0.2,1,I99&gt;=0.1,0.7,I99&gt;=0.05,0.4,TRUE,0),0))</f>
        <v>0</v>
      </c>
      <c r="L99" s="57">
        <f t="shared" si="43"/>
        <v>0</v>
      </c>
    </row>
    <row r="100" spans="1:12" x14ac:dyDescent="0.25">
      <c r="A100" s="42" t="str" cm="1">
        <f t="array" ref="A100">IFERROR(INDEX(_xlfn._xlws.FILTER(Class_Players!A:A,Class_Players!B:B="Assault"),QUOTIENT(ROW()-ROW($A$2),7)+1),"")</f>
        <v>呆呆梦末兽520</v>
      </c>
      <c r="B100" s="42" t="str">
        <f>_xlfn.XLOOKUP(A100,Class_Players!$A:$A,Class_Players!$B:$B,"")</f>
        <v>Assault</v>
      </c>
      <c r="C100" s="48" t="str" cm="1">
        <f t="array" ref="C100">INDEX(Lookups!$A$2:$A$8,MOD(ROW()-ROW($B$2),ROWS(Lookups!$A$2:$A$8))+1)</f>
        <v>Assault Ladder</v>
      </c>
      <c r="D100" s="48" t="str">
        <f>_xlfn.XLOOKUP(C100,Analysis_Gadgets!$C:$C,Analysis_Gadgets!$B:$B)</f>
        <v>Gadget</v>
      </c>
      <c r="E100" s="43">
        <v>1230</v>
      </c>
      <c r="F100" s="43">
        <f>_xlfn.XLOOKUP(A100,Class_Players!A:A,Class_Players!G:G)</f>
        <v>162</v>
      </c>
      <c r="G100" s="43">
        <f t="shared" ref="G100:G106" si="44">IF(F100=0,"",E100/F100)</f>
        <v>7.5925925925925926</v>
      </c>
      <c r="H100" s="43">
        <f>_xlfn.XLOOKUP(A100,Class_Players!$A:$A,Class_Players!$F:$F,"")</f>
        <v>14120</v>
      </c>
      <c r="I100" s="44">
        <f t="shared" ref="I100:I106" si="45">IF(H100=0,"",E100/H100)</f>
        <v>8.7110481586402264E-2</v>
      </c>
      <c r="J100" s="43">
        <f t="shared" si="29"/>
        <v>0</v>
      </c>
      <c r="K100" s="44" cm="1">
        <f t="array" ref="K100">IF(D100="Gadget",_xlfn.IFS(I100&gt;=0.2,0.5,I100&gt;=0.1,0.35,I100&gt;=0.05,0.2,TRUE,0),IF(D100="Grenade",_xlfn.IFS(I100&gt;=0.2,1,I100&gt;=0.1,0.7,I100&gt;=0.05,0.4,TRUE,0),0))</f>
        <v>0.2</v>
      </c>
      <c r="L100" s="57">
        <f t="shared" ref="L100:L104" si="46">IF($K100=0,0,$K100 / SUMIFS($K:$K,$A:$A,$A100,$D:$D,"Gadget"))</f>
        <v>0.16666666666666669</v>
      </c>
    </row>
    <row r="101" spans="1:12" x14ac:dyDescent="0.25">
      <c r="A101" s="42" t="str" cm="1">
        <f t="array" ref="A101">IFERROR(INDEX(_xlfn._xlws.FILTER(Class_Players!A:A,Class_Players!B:B="Assault"),QUOTIENT(ROW()-ROW($A$2),7)+1),"")</f>
        <v>呆呆梦末兽520</v>
      </c>
      <c r="B101" s="42" t="str">
        <f>_xlfn.XLOOKUP(A101,Class_Players!$A:$A,Class_Players!$B:$B,"")</f>
        <v>Assault</v>
      </c>
      <c r="C101" s="48" t="str" cm="1">
        <f t="array" ref="C101">INDEX(Lookups!$A$2:$A$8,MOD(ROW()-ROW($B$2),ROWS(Lookups!$A$2:$A$8))+1)</f>
        <v>X95 BRE (Breaching Projectile Launcher)</v>
      </c>
      <c r="D101" s="48" t="str">
        <f>_xlfn.XLOOKUP(C101,Analysis_Gadgets!$C:$C,Analysis_Gadgets!$B:$B)</f>
        <v>Gadget</v>
      </c>
      <c r="E101" s="43">
        <v>21</v>
      </c>
      <c r="F101" s="43">
        <f>_xlfn.XLOOKUP(A101,Class_Players!A:A,Class_Players!G:G)</f>
        <v>162</v>
      </c>
      <c r="G101" s="43">
        <f t="shared" si="44"/>
        <v>0.12962962962962962</v>
      </c>
      <c r="H101" s="43">
        <f>_xlfn.XLOOKUP(A101,Class_Players!$A:$A,Class_Players!$F:$F,"")</f>
        <v>14120</v>
      </c>
      <c r="I101" s="44">
        <f t="shared" si="45"/>
        <v>1.4872521246458925E-3</v>
      </c>
      <c r="J101" s="43">
        <f t="shared" si="29"/>
        <v>0</v>
      </c>
      <c r="K101" s="44" cm="1">
        <f t="array" ref="K101">IF(D101="Gadget",_xlfn.IFS(I101&gt;=0.2,0.5,I101&gt;=0.1,0.35,I101&gt;=0.05,0.2,TRUE,0),IF(D101="Grenade",_xlfn.IFS(I101&gt;=0.2,1,I101&gt;=0.1,0.7,I101&gt;=0.05,0.4,TRUE,0),0))</f>
        <v>0</v>
      </c>
      <c r="L101" s="57">
        <f t="shared" si="46"/>
        <v>0</v>
      </c>
    </row>
    <row r="102" spans="1:12" x14ac:dyDescent="0.25">
      <c r="A102" s="42" t="str" cm="1">
        <f t="array" ref="A102">IFERROR(INDEX(_xlfn._xlws.FILTER(Class_Players!A:A,Class_Players!B:B="Assault"),QUOTIENT(ROW()-ROW($A$2),7)+1),"")</f>
        <v>呆呆梦末兽520</v>
      </c>
      <c r="B102" s="42" t="str">
        <f>_xlfn.XLOOKUP(A102,Class_Players!$A:$A,Class_Players!$B:$B,"")</f>
        <v>Assault</v>
      </c>
      <c r="C102" s="48" t="str" cm="1">
        <f t="array" ref="C102">INDEX(Lookups!$A$2:$A$8,MOD(ROW()-ROW($B$2),ROWS(Lookups!$A$2:$A$8))+1)</f>
        <v>M320A1 HE (Grenade Launcher)</v>
      </c>
      <c r="D102" s="48" t="str">
        <f>_xlfn.XLOOKUP(C102,Analysis_Gadgets!$C:$C,Analysis_Gadgets!$B:$B)</f>
        <v>Gadget</v>
      </c>
      <c r="E102" s="43">
        <v>4708</v>
      </c>
      <c r="F102" s="43">
        <f>_xlfn.XLOOKUP(A102,Class_Players!A:A,Class_Players!G:G)</f>
        <v>162</v>
      </c>
      <c r="G102" s="43">
        <f t="shared" si="44"/>
        <v>29.061728395061728</v>
      </c>
      <c r="H102" s="43">
        <f>_xlfn.XLOOKUP(A102,Class_Players!$A:$A,Class_Players!$F:$F,"")</f>
        <v>14120</v>
      </c>
      <c r="I102" s="44">
        <f t="shared" si="45"/>
        <v>0.33342776203966007</v>
      </c>
      <c r="J102" s="43">
        <f t="shared" si="29"/>
        <v>1</v>
      </c>
      <c r="K102" s="44" cm="1">
        <f t="array" ref="K102">IF(D102="Gadget",_xlfn.IFS(I102&gt;=0.2,0.5,I102&gt;=0.1,0.35,I102&gt;=0.05,0.2,TRUE,0),IF(D102="Grenade",_xlfn.IFS(I102&gt;=0.2,1,I102&gt;=0.1,0.7,I102&gt;=0.05,0.4,TRUE,0),0))</f>
        <v>0.5</v>
      </c>
      <c r="L102" s="57">
        <f t="shared" si="46"/>
        <v>0.41666666666666669</v>
      </c>
    </row>
    <row r="103" spans="1:12" x14ac:dyDescent="0.25">
      <c r="A103" s="42" t="str" cm="1">
        <f t="array" ref="A103">IFERROR(INDEX(_xlfn._xlws.FILTER(Class_Players!A:A,Class_Players!B:B="Assault"),QUOTIENT(ROW()-ROW($A$2),7)+1),"")</f>
        <v>呆呆梦末兽520</v>
      </c>
      <c r="B103" s="42" t="str">
        <f>_xlfn.XLOOKUP(A103,Class_Players!$A:$A,Class_Players!$B:$B,"")</f>
        <v>Assault</v>
      </c>
      <c r="C103" s="48" t="str" cm="1">
        <f t="array" ref="C103">INDEX(Lookups!$A$2:$A$8,MOD(ROW()-ROW($B$2),ROWS(Lookups!$A$2:$A$8))+1)</f>
        <v>M320A1 THRM    (Incendiary Grenade Launcher)</v>
      </c>
      <c r="D103" s="48" t="str">
        <f>_xlfn.XLOOKUP(C103,Analysis_Gadgets!$C:$C,Analysis_Gadgets!$B:$B)</f>
        <v>Gadget</v>
      </c>
      <c r="E103" s="43">
        <v>11</v>
      </c>
      <c r="F103" s="43">
        <f>_xlfn.XLOOKUP(A103,Class_Players!A:A,Class_Players!G:G)</f>
        <v>162</v>
      </c>
      <c r="G103" s="43">
        <f t="shared" si="44"/>
        <v>6.7901234567901231E-2</v>
      </c>
      <c r="H103" s="43">
        <f>_xlfn.XLOOKUP(A103,Class_Players!$A:$A,Class_Players!$F:$F,"")</f>
        <v>14120</v>
      </c>
      <c r="I103" s="44">
        <f t="shared" si="45"/>
        <v>7.7903682719546738E-4</v>
      </c>
      <c r="J103" s="43">
        <f t="shared" si="29"/>
        <v>0</v>
      </c>
      <c r="K103" s="44" cm="1">
        <f t="array" ref="K103">IF(D103="Gadget",_xlfn.IFS(I103&gt;=0.2,0.5,I103&gt;=0.1,0.35,I103&gt;=0.05,0.2,TRUE,0),IF(D103="Grenade",_xlfn.IFS(I103&gt;=0.2,1,I103&gt;=0.1,0.7,I103&gt;=0.05,0.4,TRUE,0),0))</f>
        <v>0</v>
      </c>
      <c r="L103" s="57">
        <f t="shared" si="46"/>
        <v>0</v>
      </c>
    </row>
    <row r="104" spans="1:12" x14ac:dyDescent="0.25">
      <c r="A104" s="42" t="str" cm="1">
        <f t="array" ref="A104">IFERROR(INDEX(_xlfn._xlws.FILTER(Class_Players!A:A,Class_Players!B:B="Assault"),QUOTIENT(ROW()-ROW($A$2),7)+1),"")</f>
        <v>呆呆梦末兽520</v>
      </c>
      <c r="B104" s="42" t="str">
        <f>_xlfn.XLOOKUP(A104,Class_Players!$A:$A,Class_Players!$B:$B,"")</f>
        <v>Assault</v>
      </c>
      <c r="C104" s="48" t="str" cm="1">
        <f t="array" ref="C104">INDEX(Lookups!$A$2:$A$8,MOD(ROW()-ROW($B$2),ROWS(Lookups!$A$2:$A$8))+1)</f>
        <v>QLINK (Deploy Beacon)</v>
      </c>
      <c r="D104" s="48" t="str">
        <f>_xlfn.XLOOKUP(C104,Analysis_Gadgets!$C:$C,Analysis_Gadgets!$B:$B)</f>
        <v>Gadget</v>
      </c>
      <c r="E104" s="43">
        <v>4412</v>
      </c>
      <c r="F104" s="43">
        <f>_xlfn.XLOOKUP(A104,Class_Players!A:A,Class_Players!G:G)</f>
        <v>162</v>
      </c>
      <c r="G104" s="43">
        <f t="shared" si="44"/>
        <v>27.234567901234566</v>
      </c>
      <c r="H104" s="43">
        <f>_xlfn.XLOOKUP(A104,Class_Players!$A:$A,Class_Players!$F:$F,"")</f>
        <v>14120</v>
      </c>
      <c r="I104" s="44">
        <f t="shared" si="45"/>
        <v>0.31246458923512749</v>
      </c>
      <c r="J104" s="43">
        <f t="shared" si="29"/>
        <v>1</v>
      </c>
      <c r="K104" s="44" cm="1">
        <f t="array" ref="K104">IF(D104="Gadget",_xlfn.IFS(I104&gt;=0.2,0.5,I104&gt;=0.1,0.35,I104&gt;=0.05,0.2,TRUE,0),IF(D104="Grenade",_xlfn.IFS(I104&gt;=0.2,1,I104&gt;=0.1,0.7,I104&gt;=0.05,0.4,TRUE,0),0))</f>
        <v>0.5</v>
      </c>
      <c r="L104" s="57">
        <f t="shared" si="46"/>
        <v>0.41666666666666669</v>
      </c>
    </row>
    <row r="105" spans="1:12" x14ac:dyDescent="0.25">
      <c r="A105" s="42" t="str" cm="1">
        <f t="array" ref="A105">IFERROR(INDEX(_xlfn._xlws.FILTER(Class_Players!A:A,Class_Players!B:B="Assault"),QUOTIENT(ROW()-ROW($A$2),7)+1),"")</f>
        <v>呆呆梦末兽520</v>
      </c>
      <c r="B105" s="42" t="str">
        <f>_xlfn.XLOOKUP(A105,Class_Players!$A:$A,Class_Players!$B:$B,"")</f>
        <v>Assault</v>
      </c>
      <c r="C105" s="48" t="str" cm="1">
        <f t="array" ref="C105">INDEX(Lookups!$A$2:$A$8,MOD(ROW()-ROW($B$2),ROWS(Lookups!$A$2:$A$8))+1)</f>
        <v>Stun Grenade</v>
      </c>
      <c r="D105" s="48" t="str">
        <f>_xlfn.XLOOKUP(C105,Analysis_Gadgets!$C:$C,Analysis_Gadgets!$B:$B)</f>
        <v>Grenade</v>
      </c>
      <c r="E105" s="43">
        <v>186</v>
      </c>
      <c r="F105" s="43">
        <f>_xlfn.XLOOKUP(A105,Class_Players!A:A,Class_Players!G:G)</f>
        <v>162</v>
      </c>
      <c r="G105" s="43">
        <f t="shared" si="44"/>
        <v>1.1481481481481481</v>
      </c>
      <c r="H105" s="43">
        <f>_xlfn.XLOOKUP(A105,Class_Players!$A:$A,Class_Players!$F:$F,"")</f>
        <v>14120</v>
      </c>
      <c r="I105" s="44">
        <f t="shared" si="45"/>
        <v>1.3172804532577903E-2</v>
      </c>
      <c r="J105" s="43">
        <f t="shared" si="29"/>
        <v>0</v>
      </c>
      <c r="K105" s="44" cm="1">
        <f t="array" ref="K105">IF(D105="Gadget",_xlfn.IFS(I105&gt;=0.2,0.5,I105&gt;=0.1,0.35,I105&gt;=0.05,0.2,TRUE,0),IF(D105="Grenade",_xlfn.IFS(I105&gt;=0.2,1,I105&gt;=0.1,0.7,I105&gt;=0.05,0.4,TRUE,0),0))</f>
        <v>0</v>
      </c>
      <c r="L105" s="57">
        <f t="shared" ref="L105:L106" si="47">IF($K105=0,0,$K105 / SUMIFS($K:$K,$A:$A,$A105,$D:$D,"Grenade"))</f>
        <v>0</v>
      </c>
    </row>
    <row r="106" spans="1:12" x14ac:dyDescent="0.25">
      <c r="A106" s="42" t="str" cm="1">
        <f t="array" ref="A106">IFERROR(INDEX(_xlfn._xlws.FILTER(Class_Players!A:A,Class_Players!B:B="Assault"),QUOTIENT(ROW()-ROW($A$2),7)+1),"")</f>
        <v>呆呆梦末兽520</v>
      </c>
      <c r="B106" s="42" t="str">
        <f>_xlfn.XLOOKUP(A106,Class_Players!$A:$A,Class_Players!$B:$B,"")</f>
        <v>Assault</v>
      </c>
      <c r="C106" s="48" t="str" cm="1">
        <f t="array" ref="C106">INDEX(Lookups!$A$2:$A$8,MOD(ROW()-ROW($B$2),ROWS(Lookups!$A$2:$A$8))+1)</f>
        <v>Flash Grenade</v>
      </c>
      <c r="D106" s="48" t="str">
        <f>_xlfn.XLOOKUP(C106,Analysis_Gadgets!$C:$C,Analysis_Gadgets!$B:$B)</f>
        <v>Grenade</v>
      </c>
      <c r="E106" s="43">
        <v>55</v>
      </c>
      <c r="F106" s="43">
        <f>_xlfn.XLOOKUP(A106,Class_Players!A:A,Class_Players!G:G)</f>
        <v>162</v>
      </c>
      <c r="G106" s="43">
        <f t="shared" si="44"/>
        <v>0.33950617283950618</v>
      </c>
      <c r="H106" s="43">
        <f>_xlfn.XLOOKUP(A106,Class_Players!$A:$A,Class_Players!$F:$F,"")</f>
        <v>14120</v>
      </c>
      <c r="I106" s="44">
        <f t="shared" si="45"/>
        <v>3.8951841359773369E-3</v>
      </c>
      <c r="J106" s="43">
        <f t="shared" si="29"/>
        <v>0</v>
      </c>
      <c r="K106" s="44" cm="1">
        <f t="array" ref="K106">IF(D106="Gadget",_xlfn.IFS(I106&gt;=0.2,0.5,I106&gt;=0.1,0.35,I106&gt;=0.05,0.2,TRUE,0),IF(D106="Grenade",_xlfn.IFS(I106&gt;=0.2,1,I106&gt;=0.1,0.7,I106&gt;=0.05,0.4,TRUE,0),0))</f>
        <v>0</v>
      </c>
      <c r="L106" s="57">
        <f t="shared" si="47"/>
        <v>0</v>
      </c>
    </row>
    <row r="107" spans="1:12" x14ac:dyDescent="0.25">
      <c r="A107" s="42" t="str" cm="1">
        <f t="array" ref="A107">IFERROR(INDEX(_xlfn._xlws.FILTER(Class_Players!A:A,Class_Players!B:B="Assault"),QUOTIENT(ROW()-ROW($A$2),7)+1),"")</f>
        <v>Yuri__S94</v>
      </c>
      <c r="B107" s="42" t="str">
        <f>_xlfn.XLOOKUP(A107,Class_Players!$A:$A,Class_Players!$B:$B,"")</f>
        <v>Assault</v>
      </c>
      <c r="C107" s="48" t="str" cm="1">
        <f t="array" ref="C107">INDEX(Lookups!$A$2:$A$8,MOD(ROW()-ROW($B$2),ROWS(Lookups!$A$2:$A$8))+1)</f>
        <v>Assault Ladder</v>
      </c>
      <c r="D107" s="48" t="str">
        <f>_xlfn.XLOOKUP(C107,Analysis_Gadgets!$C:$C,Analysis_Gadgets!$B:$B)</f>
        <v>Gadget</v>
      </c>
      <c r="E107" s="43">
        <v>75</v>
      </c>
      <c r="F107" s="43">
        <f>_xlfn.XLOOKUP(A107,Class_Players!A:A,Class_Players!G:G)</f>
        <v>249</v>
      </c>
      <c r="G107" s="43">
        <f t="shared" ref="G107:G141" si="48">IF(F107=0,"",E107/F107)</f>
        <v>0.30120481927710846</v>
      </c>
      <c r="H107" s="43">
        <f>_xlfn.XLOOKUP(A107,Class_Players!$A:$A,Class_Players!$F:$F,"")</f>
        <v>14080</v>
      </c>
      <c r="I107" s="44">
        <f t="shared" ref="I107:I141" si="49">IF(H107=0,"",E107/H107)</f>
        <v>5.3267045454545451E-3</v>
      </c>
      <c r="J107" s="43">
        <f t="shared" si="29"/>
        <v>0</v>
      </c>
      <c r="K107" s="44" cm="1">
        <f t="array" ref="K107">IF(D107="Gadget",_xlfn.IFS(I107&gt;=0.2,0.5,I107&gt;=0.1,0.35,I107&gt;=0.05,0.2,TRUE,0),IF(D107="Grenade",_xlfn.IFS(I107&gt;=0.2,1,I107&gt;=0.1,0.7,I107&gt;=0.05,0.4,TRUE,0),0))</f>
        <v>0</v>
      </c>
      <c r="L107" s="57">
        <f t="shared" ref="L107:L111" si="50">IF($K107=0,0,$K107 / SUMIFS($K:$K,$A:$A,$A107,$D:$D,"Gadget"))</f>
        <v>0</v>
      </c>
    </row>
    <row r="108" spans="1:12" x14ac:dyDescent="0.25">
      <c r="A108" s="42" t="str" cm="1">
        <f t="array" ref="A108">IFERROR(INDEX(_xlfn._xlws.FILTER(Class_Players!A:A,Class_Players!B:B="Assault"),QUOTIENT(ROW()-ROW($A$2),7)+1),"")</f>
        <v>Yuri__S94</v>
      </c>
      <c r="B108" s="42" t="str">
        <f>_xlfn.XLOOKUP(A108,Class_Players!$A:$A,Class_Players!$B:$B,"")</f>
        <v>Assault</v>
      </c>
      <c r="C108" s="48" t="str" cm="1">
        <f t="array" ref="C108">INDEX(Lookups!$A$2:$A$8,MOD(ROW()-ROW($B$2),ROWS(Lookups!$A$2:$A$8))+1)</f>
        <v>X95 BRE (Breaching Projectile Launcher)</v>
      </c>
      <c r="D108" s="48" t="str">
        <f>_xlfn.XLOOKUP(C108,Analysis_Gadgets!$C:$C,Analysis_Gadgets!$B:$B)</f>
        <v>Gadget</v>
      </c>
      <c r="E108" s="43">
        <v>1</v>
      </c>
      <c r="F108" s="43">
        <f>_xlfn.XLOOKUP(A108,Class_Players!A:A,Class_Players!G:G)</f>
        <v>249</v>
      </c>
      <c r="G108" s="43">
        <f t="shared" si="48"/>
        <v>4.0160642570281121E-3</v>
      </c>
      <c r="H108" s="43">
        <f>_xlfn.XLOOKUP(A108,Class_Players!$A:$A,Class_Players!$F:$F,"")</f>
        <v>14080</v>
      </c>
      <c r="I108" s="44">
        <f t="shared" si="49"/>
        <v>7.1022727272727269E-5</v>
      </c>
      <c r="J108" s="43">
        <f t="shared" si="29"/>
        <v>0</v>
      </c>
      <c r="K108" s="44" cm="1">
        <f t="array" ref="K108">IF(D108="Gadget",_xlfn.IFS(I108&gt;=0.2,0.5,I108&gt;=0.1,0.35,I108&gt;=0.05,0.2,TRUE,0),IF(D108="Grenade",_xlfn.IFS(I108&gt;=0.2,1,I108&gt;=0.1,0.7,I108&gt;=0.05,0.4,TRUE,0),0))</f>
        <v>0</v>
      </c>
      <c r="L108" s="57">
        <f t="shared" si="50"/>
        <v>0</v>
      </c>
    </row>
    <row r="109" spans="1:12" x14ac:dyDescent="0.25">
      <c r="A109" s="42" t="str" cm="1">
        <f t="array" ref="A109">IFERROR(INDEX(_xlfn._xlws.FILTER(Class_Players!A:A,Class_Players!B:B="Assault"),QUOTIENT(ROW()-ROW($A$2),7)+1),"")</f>
        <v>Yuri__S94</v>
      </c>
      <c r="B109" s="42" t="str">
        <f>_xlfn.XLOOKUP(A109,Class_Players!$A:$A,Class_Players!$B:$B,"")</f>
        <v>Assault</v>
      </c>
      <c r="C109" s="48" t="str" cm="1">
        <f t="array" ref="C109">INDEX(Lookups!$A$2:$A$8,MOD(ROW()-ROW($B$2),ROWS(Lookups!$A$2:$A$8))+1)</f>
        <v>M320A1 HE (Grenade Launcher)</v>
      </c>
      <c r="D109" s="48" t="str">
        <f>_xlfn.XLOOKUP(C109,Analysis_Gadgets!$C:$C,Analysis_Gadgets!$B:$B)</f>
        <v>Gadget</v>
      </c>
      <c r="E109" s="43">
        <v>2538</v>
      </c>
      <c r="F109" s="43">
        <f>_xlfn.XLOOKUP(A109,Class_Players!A:A,Class_Players!G:G)</f>
        <v>249</v>
      </c>
      <c r="G109" s="43">
        <f t="shared" si="48"/>
        <v>10.19277108433735</v>
      </c>
      <c r="H109" s="43">
        <f>_xlfn.XLOOKUP(A109,Class_Players!$A:$A,Class_Players!$F:$F,"")</f>
        <v>14080</v>
      </c>
      <c r="I109" s="44">
        <f t="shared" si="49"/>
        <v>0.18025568181818183</v>
      </c>
      <c r="J109" s="43">
        <f t="shared" si="29"/>
        <v>1</v>
      </c>
      <c r="K109" s="44" cm="1">
        <f t="array" ref="K109">IF(D109="Gadget",_xlfn.IFS(I109&gt;=0.2,0.5,I109&gt;=0.1,0.35,I109&gt;=0.05,0.2,TRUE,0),IF(D109="Grenade",_xlfn.IFS(I109&gt;=0.2,1,I109&gt;=0.1,0.7,I109&gt;=0.05,0.4,TRUE,0),0))</f>
        <v>0.35</v>
      </c>
      <c r="L109" s="57">
        <f t="shared" si="50"/>
        <v>1</v>
      </c>
    </row>
    <row r="110" spans="1:12" x14ac:dyDescent="0.25">
      <c r="A110" s="42" t="str" cm="1">
        <f t="array" ref="A110">IFERROR(INDEX(_xlfn._xlws.FILTER(Class_Players!A:A,Class_Players!B:B="Assault"),QUOTIENT(ROW()-ROW($A$2),7)+1),"")</f>
        <v>Yuri__S94</v>
      </c>
      <c r="B110" s="42" t="str">
        <f>_xlfn.XLOOKUP(A110,Class_Players!$A:$A,Class_Players!$B:$B,"")</f>
        <v>Assault</v>
      </c>
      <c r="C110" s="48" t="str" cm="1">
        <f t="array" ref="C110">INDEX(Lookups!$A$2:$A$8,MOD(ROW()-ROW($B$2),ROWS(Lookups!$A$2:$A$8))+1)</f>
        <v>M320A1 THRM    (Incendiary Grenade Launcher)</v>
      </c>
      <c r="D110" s="48" t="str">
        <f>_xlfn.XLOOKUP(C110,Analysis_Gadgets!$C:$C,Analysis_Gadgets!$B:$B)</f>
        <v>Gadget</v>
      </c>
      <c r="E110" s="43">
        <v>0</v>
      </c>
      <c r="F110" s="43">
        <f>_xlfn.XLOOKUP(A110,Class_Players!A:A,Class_Players!G:G)</f>
        <v>249</v>
      </c>
      <c r="G110" s="43">
        <f t="shared" si="48"/>
        <v>0</v>
      </c>
      <c r="H110" s="43">
        <f>_xlfn.XLOOKUP(A110,Class_Players!$A:$A,Class_Players!$F:$F,"")</f>
        <v>14080</v>
      </c>
      <c r="I110" s="44">
        <f t="shared" si="49"/>
        <v>0</v>
      </c>
      <c r="J110" s="43">
        <f t="shared" si="29"/>
        <v>0</v>
      </c>
      <c r="K110" s="44" cm="1">
        <f t="array" ref="K110">IF(D110="Gadget",_xlfn.IFS(I110&gt;=0.2,0.5,I110&gt;=0.1,0.35,I110&gt;=0.05,0.2,TRUE,0),IF(D110="Grenade",_xlfn.IFS(I110&gt;=0.2,1,I110&gt;=0.1,0.7,I110&gt;=0.05,0.4,TRUE,0),0))</f>
        <v>0</v>
      </c>
      <c r="L110" s="57">
        <f t="shared" si="50"/>
        <v>0</v>
      </c>
    </row>
    <row r="111" spans="1:12" x14ac:dyDescent="0.25">
      <c r="A111" s="42" t="str" cm="1">
        <f t="array" ref="A111">IFERROR(INDEX(_xlfn._xlws.FILTER(Class_Players!A:A,Class_Players!B:B="Assault"),QUOTIENT(ROW()-ROW($A$2),7)+1),"")</f>
        <v>Yuri__S94</v>
      </c>
      <c r="B111" s="42" t="str">
        <f>_xlfn.XLOOKUP(A111,Class_Players!$A:$A,Class_Players!$B:$B,"")</f>
        <v>Assault</v>
      </c>
      <c r="C111" s="48" t="str" cm="1">
        <f t="array" ref="C111">INDEX(Lookups!$A$2:$A$8,MOD(ROW()-ROW($B$2),ROWS(Lookups!$A$2:$A$8))+1)</f>
        <v>QLINK (Deploy Beacon)</v>
      </c>
      <c r="D111" s="48" t="str">
        <f>_xlfn.XLOOKUP(C111,Analysis_Gadgets!$C:$C,Analysis_Gadgets!$B:$B)</f>
        <v>Gadget</v>
      </c>
      <c r="E111" s="43">
        <v>22</v>
      </c>
      <c r="F111" s="43">
        <f>_xlfn.XLOOKUP(A111,Class_Players!A:A,Class_Players!G:G)</f>
        <v>249</v>
      </c>
      <c r="G111" s="43">
        <f t="shared" si="48"/>
        <v>8.8353413654618476E-2</v>
      </c>
      <c r="H111" s="43">
        <f>_xlfn.XLOOKUP(A111,Class_Players!$A:$A,Class_Players!$F:$F,"")</f>
        <v>14080</v>
      </c>
      <c r="I111" s="44">
        <f t="shared" si="49"/>
        <v>1.5625000000000001E-3</v>
      </c>
      <c r="J111" s="43">
        <f t="shared" si="29"/>
        <v>0</v>
      </c>
      <c r="K111" s="44" cm="1">
        <f t="array" ref="K111">IF(D111="Gadget",_xlfn.IFS(I111&gt;=0.2,0.5,I111&gt;=0.1,0.35,I111&gt;=0.05,0.2,TRUE,0),IF(D111="Grenade",_xlfn.IFS(I111&gt;=0.2,1,I111&gt;=0.1,0.7,I111&gt;=0.05,0.4,TRUE,0),0))</f>
        <v>0</v>
      </c>
      <c r="L111" s="57">
        <f t="shared" si="50"/>
        <v>0</v>
      </c>
    </row>
    <row r="112" spans="1:12" x14ac:dyDescent="0.25">
      <c r="A112" s="42" t="str" cm="1">
        <f t="array" ref="A112">IFERROR(INDEX(_xlfn._xlws.FILTER(Class_Players!A:A,Class_Players!B:B="Assault"),QUOTIENT(ROW()-ROW($A$2),7)+1),"")</f>
        <v>Yuri__S94</v>
      </c>
      <c r="B112" s="42" t="str">
        <f>_xlfn.XLOOKUP(A112,Class_Players!$A:$A,Class_Players!$B:$B,"")</f>
        <v>Assault</v>
      </c>
      <c r="C112" s="48" t="str" cm="1">
        <f t="array" ref="C112">INDEX(Lookups!$A$2:$A$8,MOD(ROW()-ROW($B$2),ROWS(Lookups!$A$2:$A$8))+1)</f>
        <v>Stun Grenade</v>
      </c>
      <c r="D112" s="48" t="str">
        <f>_xlfn.XLOOKUP(C112,Analysis_Gadgets!$C:$C,Analysis_Gadgets!$B:$B)</f>
        <v>Grenade</v>
      </c>
      <c r="E112" s="43">
        <v>164</v>
      </c>
      <c r="F112" s="43">
        <f>_xlfn.XLOOKUP(A112,Class_Players!A:A,Class_Players!G:G)</f>
        <v>249</v>
      </c>
      <c r="G112" s="43">
        <f t="shared" si="48"/>
        <v>0.65863453815261042</v>
      </c>
      <c r="H112" s="43">
        <f>_xlfn.XLOOKUP(A112,Class_Players!$A:$A,Class_Players!$F:$F,"")</f>
        <v>14080</v>
      </c>
      <c r="I112" s="44">
        <f t="shared" si="49"/>
        <v>1.1647727272727273E-2</v>
      </c>
      <c r="J112" s="43">
        <f t="shared" si="29"/>
        <v>0</v>
      </c>
      <c r="K112" s="44" cm="1">
        <f t="array" ref="K112">IF(D112="Gadget",_xlfn.IFS(I112&gt;=0.2,0.5,I112&gt;=0.1,0.35,I112&gt;=0.05,0.2,TRUE,0),IF(D112="Grenade",_xlfn.IFS(I112&gt;=0.2,1,I112&gt;=0.1,0.7,I112&gt;=0.05,0.4,TRUE,0),0))</f>
        <v>0</v>
      </c>
      <c r="L112" s="57">
        <f t="shared" ref="L112:L113" si="51">IF($K112=0,0,$K112 / SUMIFS($K:$K,$A:$A,$A112,$D:$D,"Grenade"))</f>
        <v>0</v>
      </c>
    </row>
    <row r="113" spans="1:12" x14ac:dyDescent="0.25">
      <c r="A113" s="42" t="str" cm="1">
        <f t="array" ref="A113">IFERROR(INDEX(_xlfn._xlws.FILTER(Class_Players!A:A,Class_Players!B:B="Assault"),QUOTIENT(ROW()-ROW($A$2),7)+1),"")</f>
        <v>Yuri__S94</v>
      </c>
      <c r="B113" s="42" t="str">
        <f>_xlfn.XLOOKUP(A113,Class_Players!$A:$A,Class_Players!$B:$B,"")</f>
        <v>Assault</v>
      </c>
      <c r="C113" s="48" t="str" cm="1">
        <f t="array" ref="C113">INDEX(Lookups!$A$2:$A$8,MOD(ROW()-ROW($B$2),ROWS(Lookups!$A$2:$A$8))+1)</f>
        <v>Flash Grenade</v>
      </c>
      <c r="D113" s="48" t="str">
        <f>_xlfn.XLOOKUP(C113,Analysis_Gadgets!$C:$C,Analysis_Gadgets!$B:$B)</f>
        <v>Grenade</v>
      </c>
      <c r="E113" s="43">
        <v>0</v>
      </c>
      <c r="F113" s="43">
        <f>_xlfn.XLOOKUP(A113,Class_Players!A:A,Class_Players!G:G)</f>
        <v>249</v>
      </c>
      <c r="G113" s="43">
        <f t="shared" si="48"/>
        <v>0</v>
      </c>
      <c r="H113" s="43">
        <f>_xlfn.XLOOKUP(A113,Class_Players!$A:$A,Class_Players!$F:$F,"")</f>
        <v>14080</v>
      </c>
      <c r="I113" s="44">
        <f t="shared" si="49"/>
        <v>0</v>
      </c>
      <c r="J113" s="43">
        <f t="shared" si="29"/>
        <v>0</v>
      </c>
      <c r="K113" s="44" cm="1">
        <f t="array" ref="K113">IF(D113="Gadget",_xlfn.IFS(I113&gt;=0.2,0.5,I113&gt;=0.1,0.35,I113&gt;=0.05,0.2,TRUE,0),IF(D113="Grenade",_xlfn.IFS(I113&gt;=0.2,1,I113&gt;=0.1,0.7,I113&gt;=0.05,0.4,TRUE,0),0))</f>
        <v>0</v>
      </c>
      <c r="L113" s="57">
        <f t="shared" si="51"/>
        <v>0</v>
      </c>
    </row>
    <row r="114" spans="1:12" x14ac:dyDescent="0.25">
      <c r="A114" s="42" t="str" cm="1">
        <f t="array" ref="A114">IFERROR(INDEX(_xlfn._xlws.FILTER(Class_Players!A:A,Class_Players!B:B="Assault"),QUOTIENT(ROW()-ROW($A$2),7)+1),"")</f>
        <v>Morgue</v>
      </c>
      <c r="B114" s="42" t="str">
        <f>_xlfn.XLOOKUP(A114,Class_Players!$A:$A,Class_Players!$B:$B,"")</f>
        <v>Assault</v>
      </c>
      <c r="C114" s="48" t="str" cm="1">
        <f t="array" ref="C114">INDEX(Lookups!$A$2:$A$8,MOD(ROW()-ROW($B$2),ROWS(Lookups!$A$2:$A$8))+1)</f>
        <v>Assault Ladder</v>
      </c>
      <c r="D114" s="48" t="str">
        <f>_xlfn.XLOOKUP(C114,Analysis_Gadgets!$C:$C,Analysis_Gadgets!$B:$B)</f>
        <v>Gadget</v>
      </c>
      <c r="E114" s="43">
        <v>606</v>
      </c>
      <c r="F114" s="43">
        <f>_xlfn.XLOOKUP(A114,Class_Players!A:A,Class_Players!G:G)</f>
        <v>306</v>
      </c>
      <c r="G114" s="43">
        <f t="shared" si="48"/>
        <v>1.9803921568627452</v>
      </c>
      <c r="H114" s="43">
        <f>_xlfn.XLOOKUP(A114,Class_Players!$A:$A,Class_Players!$F:$F,"")</f>
        <v>13982</v>
      </c>
      <c r="I114" s="44">
        <f t="shared" si="49"/>
        <v>4.3341438992990991E-2</v>
      </c>
      <c r="J114" s="43">
        <f t="shared" si="29"/>
        <v>0</v>
      </c>
      <c r="K114" s="44" cm="1">
        <f t="array" ref="K114">IF(D114="Gadget",_xlfn.IFS(I114&gt;=0.2,0.5,I114&gt;=0.1,0.35,I114&gt;=0.05,0.2,TRUE,0),IF(D114="Grenade",_xlfn.IFS(I114&gt;=0.2,1,I114&gt;=0.1,0.7,I114&gt;=0.05,0.4,TRUE,0),0))</f>
        <v>0</v>
      </c>
      <c r="L114" s="57">
        <f t="shared" ref="L114:L118" si="52">IF($K114=0,0,$K114 / SUMIFS($K:$K,$A:$A,$A114,$D:$D,"Gadget"))</f>
        <v>0</v>
      </c>
    </row>
    <row r="115" spans="1:12" x14ac:dyDescent="0.25">
      <c r="A115" s="42" t="str" cm="1">
        <f t="array" ref="A115">IFERROR(INDEX(_xlfn._xlws.FILTER(Class_Players!A:A,Class_Players!B:B="Assault"),QUOTIENT(ROW()-ROW($A$2),7)+1),"")</f>
        <v>Morgue</v>
      </c>
      <c r="B115" s="42" t="str">
        <f>_xlfn.XLOOKUP(A115,Class_Players!$A:$A,Class_Players!$B:$B,"")</f>
        <v>Assault</v>
      </c>
      <c r="C115" s="48" t="str" cm="1">
        <f t="array" ref="C115">INDEX(Lookups!$A$2:$A$8,MOD(ROW()-ROW($B$2),ROWS(Lookups!$A$2:$A$8))+1)</f>
        <v>X95 BRE (Breaching Projectile Launcher)</v>
      </c>
      <c r="D115" s="48" t="str">
        <f>_xlfn.XLOOKUP(C115,Analysis_Gadgets!$C:$C,Analysis_Gadgets!$B:$B)</f>
        <v>Gadget</v>
      </c>
      <c r="E115" s="43">
        <v>3</v>
      </c>
      <c r="F115" s="43">
        <f>_xlfn.XLOOKUP(A115,Class_Players!A:A,Class_Players!G:G)</f>
        <v>306</v>
      </c>
      <c r="G115" s="43">
        <f t="shared" si="48"/>
        <v>9.8039215686274508E-3</v>
      </c>
      <c r="H115" s="43">
        <f>_xlfn.XLOOKUP(A115,Class_Players!$A:$A,Class_Players!$F:$F,"")</f>
        <v>13982</v>
      </c>
      <c r="I115" s="44">
        <f t="shared" si="49"/>
        <v>2.1456157917322272E-4</v>
      </c>
      <c r="J115" s="43">
        <f t="shared" si="29"/>
        <v>0</v>
      </c>
      <c r="K115" s="44" cm="1">
        <f t="array" ref="K115">IF(D115="Gadget",_xlfn.IFS(I115&gt;=0.2,0.5,I115&gt;=0.1,0.35,I115&gt;=0.05,0.2,TRUE,0),IF(D115="Grenade",_xlfn.IFS(I115&gt;=0.2,1,I115&gt;=0.1,0.7,I115&gt;=0.05,0.4,TRUE,0),0))</f>
        <v>0</v>
      </c>
      <c r="L115" s="57">
        <f t="shared" si="52"/>
        <v>0</v>
      </c>
    </row>
    <row r="116" spans="1:12" x14ac:dyDescent="0.25">
      <c r="A116" s="42" t="str" cm="1">
        <f t="array" ref="A116">IFERROR(INDEX(_xlfn._xlws.FILTER(Class_Players!A:A,Class_Players!B:B="Assault"),QUOTIENT(ROW()-ROW($A$2),7)+1),"")</f>
        <v>Morgue</v>
      </c>
      <c r="B116" s="42" t="str">
        <f>_xlfn.XLOOKUP(A116,Class_Players!$A:$A,Class_Players!$B:$B,"")</f>
        <v>Assault</v>
      </c>
      <c r="C116" s="48" t="str" cm="1">
        <f t="array" ref="C116">INDEX(Lookups!$A$2:$A$8,MOD(ROW()-ROW($B$2),ROWS(Lookups!$A$2:$A$8))+1)</f>
        <v>M320A1 HE (Grenade Launcher)</v>
      </c>
      <c r="D116" s="48" t="str">
        <f>_xlfn.XLOOKUP(C116,Analysis_Gadgets!$C:$C,Analysis_Gadgets!$B:$B)</f>
        <v>Gadget</v>
      </c>
      <c r="E116" s="43">
        <v>920</v>
      </c>
      <c r="F116" s="43">
        <f>_xlfn.XLOOKUP(A116,Class_Players!A:A,Class_Players!G:G)</f>
        <v>306</v>
      </c>
      <c r="G116" s="43">
        <f t="shared" si="48"/>
        <v>3.0065359477124183</v>
      </c>
      <c r="H116" s="43">
        <f>_xlfn.XLOOKUP(A116,Class_Players!$A:$A,Class_Players!$F:$F,"")</f>
        <v>13982</v>
      </c>
      <c r="I116" s="44">
        <f t="shared" si="49"/>
        <v>6.5798884279788306E-2</v>
      </c>
      <c r="J116" s="43">
        <f t="shared" si="29"/>
        <v>0</v>
      </c>
      <c r="K116" s="44" cm="1">
        <f t="array" ref="K116">IF(D116="Gadget",_xlfn.IFS(I116&gt;=0.2,0.5,I116&gt;=0.1,0.35,I116&gt;=0.05,0.2,TRUE,0),IF(D116="Grenade",_xlfn.IFS(I116&gt;=0.2,1,I116&gt;=0.1,0.7,I116&gt;=0.05,0.4,TRUE,0),0))</f>
        <v>0.2</v>
      </c>
      <c r="L116" s="57">
        <f t="shared" si="52"/>
        <v>0.28571428571428575</v>
      </c>
    </row>
    <row r="117" spans="1:12" x14ac:dyDescent="0.25">
      <c r="A117" s="42" t="str" cm="1">
        <f t="array" ref="A117">IFERROR(INDEX(_xlfn._xlws.FILTER(Class_Players!A:A,Class_Players!B:B="Assault"),QUOTIENT(ROW()-ROW($A$2),7)+1),"")</f>
        <v>Morgue</v>
      </c>
      <c r="B117" s="42" t="str">
        <f>_xlfn.XLOOKUP(A117,Class_Players!$A:$A,Class_Players!$B:$B,"")</f>
        <v>Assault</v>
      </c>
      <c r="C117" s="48" t="str" cm="1">
        <f t="array" ref="C117">INDEX(Lookups!$A$2:$A$8,MOD(ROW()-ROW($B$2),ROWS(Lookups!$A$2:$A$8))+1)</f>
        <v>M320A1 THRM    (Incendiary Grenade Launcher)</v>
      </c>
      <c r="D117" s="48" t="str">
        <f>_xlfn.XLOOKUP(C117,Analysis_Gadgets!$C:$C,Analysis_Gadgets!$B:$B)</f>
        <v>Gadget</v>
      </c>
      <c r="E117" s="43">
        <v>175</v>
      </c>
      <c r="F117" s="43">
        <f>_xlfn.XLOOKUP(A117,Class_Players!A:A,Class_Players!G:G)</f>
        <v>306</v>
      </c>
      <c r="G117" s="43">
        <f t="shared" si="48"/>
        <v>0.57189542483660127</v>
      </c>
      <c r="H117" s="43">
        <f>_xlfn.XLOOKUP(A117,Class_Players!$A:$A,Class_Players!$F:$F,"")</f>
        <v>13982</v>
      </c>
      <c r="I117" s="44">
        <f t="shared" si="49"/>
        <v>1.2516092118437992E-2</v>
      </c>
      <c r="J117" s="43">
        <f t="shared" si="29"/>
        <v>0</v>
      </c>
      <c r="K117" s="44" cm="1">
        <f t="array" ref="K117">IF(D117="Gadget",_xlfn.IFS(I117&gt;=0.2,0.5,I117&gt;=0.1,0.35,I117&gt;=0.05,0.2,TRUE,0),IF(D117="Grenade",_xlfn.IFS(I117&gt;=0.2,1,I117&gt;=0.1,0.7,I117&gt;=0.05,0.4,TRUE,0),0))</f>
        <v>0</v>
      </c>
      <c r="L117" s="57">
        <f t="shared" si="52"/>
        <v>0</v>
      </c>
    </row>
    <row r="118" spans="1:12" x14ac:dyDescent="0.25">
      <c r="A118" s="42" t="str" cm="1">
        <f t="array" ref="A118">IFERROR(INDEX(_xlfn._xlws.FILTER(Class_Players!A:A,Class_Players!B:B="Assault"),QUOTIENT(ROW()-ROW($A$2),7)+1),"")</f>
        <v>Morgue</v>
      </c>
      <c r="B118" s="42" t="str">
        <f>_xlfn.XLOOKUP(A118,Class_Players!$A:$A,Class_Players!$B:$B,"")</f>
        <v>Assault</v>
      </c>
      <c r="C118" s="48" t="str" cm="1">
        <f t="array" ref="C118">INDEX(Lookups!$A$2:$A$8,MOD(ROW()-ROW($B$2),ROWS(Lookups!$A$2:$A$8))+1)</f>
        <v>QLINK (Deploy Beacon)</v>
      </c>
      <c r="D118" s="48" t="str">
        <f>_xlfn.XLOOKUP(C118,Analysis_Gadgets!$C:$C,Analysis_Gadgets!$B:$B)</f>
        <v>Gadget</v>
      </c>
      <c r="E118" s="43">
        <v>5064</v>
      </c>
      <c r="F118" s="43">
        <f>_xlfn.XLOOKUP(A118,Class_Players!A:A,Class_Players!G:G)</f>
        <v>306</v>
      </c>
      <c r="G118" s="43">
        <f t="shared" si="48"/>
        <v>16.549019607843139</v>
      </c>
      <c r="H118" s="43">
        <f>_xlfn.XLOOKUP(A118,Class_Players!$A:$A,Class_Players!$F:$F,"")</f>
        <v>13982</v>
      </c>
      <c r="I118" s="44">
        <f t="shared" si="49"/>
        <v>0.36217994564439993</v>
      </c>
      <c r="J118" s="43">
        <f t="shared" si="29"/>
        <v>1</v>
      </c>
      <c r="K118" s="44" cm="1">
        <f t="array" ref="K118">IF(D118="Gadget",_xlfn.IFS(I118&gt;=0.2,0.5,I118&gt;=0.1,0.35,I118&gt;=0.05,0.2,TRUE,0),IF(D118="Grenade",_xlfn.IFS(I118&gt;=0.2,1,I118&gt;=0.1,0.7,I118&gt;=0.05,0.4,TRUE,0),0))</f>
        <v>0.5</v>
      </c>
      <c r="L118" s="57">
        <f t="shared" si="52"/>
        <v>0.7142857142857143</v>
      </c>
    </row>
    <row r="119" spans="1:12" x14ac:dyDescent="0.25">
      <c r="A119" s="42" t="str" cm="1">
        <f t="array" ref="A119">IFERROR(INDEX(_xlfn._xlws.FILTER(Class_Players!A:A,Class_Players!B:B="Assault"),QUOTIENT(ROW()-ROW($A$2),7)+1),"")</f>
        <v>Morgue</v>
      </c>
      <c r="B119" s="42" t="str">
        <f>_xlfn.XLOOKUP(A119,Class_Players!$A:$A,Class_Players!$B:$B,"")</f>
        <v>Assault</v>
      </c>
      <c r="C119" s="48" t="str" cm="1">
        <f t="array" ref="C119">INDEX(Lookups!$A$2:$A$8,MOD(ROW()-ROW($B$2),ROWS(Lookups!$A$2:$A$8))+1)</f>
        <v>Stun Grenade</v>
      </c>
      <c r="D119" s="48" t="str">
        <f>_xlfn.XLOOKUP(C119,Analysis_Gadgets!$C:$C,Analysis_Gadgets!$B:$B)</f>
        <v>Grenade</v>
      </c>
      <c r="E119" s="43">
        <v>211</v>
      </c>
      <c r="F119" s="43">
        <f>_xlfn.XLOOKUP(A119,Class_Players!A:A,Class_Players!G:G)</f>
        <v>306</v>
      </c>
      <c r="G119" s="43">
        <f t="shared" si="48"/>
        <v>0.68954248366013071</v>
      </c>
      <c r="H119" s="43">
        <f>_xlfn.XLOOKUP(A119,Class_Players!$A:$A,Class_Players!$F:$F,"")</f>
        <v>13982</v>
      </c>
      <c r="I119" s="44">
        <f t="shared" si="49"/>
        <v>1.5090831068516664E-2</v>
      </c>
      <c r="J119" s="43">
        <f t="shared" si="29"/>
        <v>0</v>
      </c>
      <c r="K119" s="44" cm="1">
        <f t="array" ref="K119">IF(D119="Gadget",_xlfn.IFS(I119&gt;=0.2,0.5,I119&gt;=0.1,0.35,I119&gt;=0.05,0.2,TRUE,0),IF(D119="Grenade",_xlfn.IFS(I119&gt;=0.2,1,I119&gt;=0.1,0.7,I119&gt;=0.05,0.4,TRUE,0),0))</f>
        <v>0</v>
      </c>
      <c r="L119" s="57">
        <f t="shared" ref="L119:L120" si="53">IF($K119=0,0,$K119 / SUMIFS($K:$K,$A:$A,$A119,$D:$D,"Grenade"))</f>
        <v>0</v>
      </c>
    </row>
    <row r="120" spans="1:12" x14ac:dyDescent="0.25">
      <c r="A120" s="42" t="str" cm="1">
        <f t="array" ref="A120">IFERROR(INDEX(_xlfn._xlws.FILTER(Class_Players!A:A,Class_Players!B:B="Assault"),QUOTIENT(ROW()-ROW($A$2),7)+1),"")</f>
        <v>Morgue</v>
      </c>
      <c r="B120" s="42" t="str">
        <f>_xlfn.XLOOKUP(A120,Class_Players!$A:$A,Class_Players!$B:$B,"")</f>
        <v>Assault</v>
      </c>
      <c r="C120" s="48" t="str" cm="1">
        <f t="array" ref="C120">INDEX(Lookups!$A$2:$A$8,MOD(ROW()-ROW($B$2),ROWS(Lookups!$A$2:$A$8))+1)</f>
        <v>Flash Grenade</v>
      </c>
      <c r="D120" s="48" t="str">
        <f>_xlfn.XLOOKUP(C120,Analysis_Gadgets!$C:$C,Analysis_Gadgets!$B:$B)</f>
        <v>Grenade</v>
      </c>
      <c r="E120" s="43">
        <v>24</v>
      </c>
      <c r="F120" s="43">
        <f>_xlfn.XLOOKUP(A120,Class_Players!A:A,Class_Players!G:G)</f>
        <v>306</v>
      </c>
      <c r="G120" s="43">
        <f t="shared" si="48"/>
        <v>7.8431372549019607E-2</v>
      </c>
      <c r="H120" s="43">
        <f>_xlfn.XLOOKUP(A120,Class_Players!$A:$A,Class_Players!$F:$F,"")</f>
        <v>13982</v>
      </c>
      <c r="I120" s="44">
        <f t="shared" si="49"/>
        <v>1.7164926333857818E-3</v>
      </c>
      <c r="J120" s="43">
        <f t="shared" si="29"/>
        <v>0</v>
      </c>
      <c r="K120" s="44" cm="1">
        <f t="array" ref="K120">IF(D120="Gadget",_xlfn.IFS(I120&gt;=0.2,0.5,I120&gt;=0.1,0.35,I120&gt;=0.05,0.2,TRUE,0),IF(D120="Grenade",_xlfn.IFS(I120&gt;=0.2,1,I120&gt;=0.1,0.7,I120&gt;=0.05,0.4,TRUE,0),0))</f>
        <v>0</v>
      </c>
      <c r="L120" s="57">
        <f t="shared" si="53"/>
        <v>0</v>
      </c>
    </row>
    <row r="121" spans="1:12" x14ac:dyDescent="0.25">
      <c r="A121" s="42" t="str" cm="1">
        <f t="array" ref="A121">IFERROR(INDEX(_xlfn._xlws.FILTER(Class_Players!A:A,Class_Players!B:B="Assault"),QUOTIENT(ROW()-ROW($A$2),7)+1),"")</f>
        <v>sukapower</v>
      </c>
      <c r="B121" s="42" t="str">
        <f>_xlfn.XLOOKUP(A121,Class_Players!$A:$A,Class_Players!$B:$B,"")</f>
        <v>Assault</v>
      </c>
      <c r="C121" s="48" t="str" cm="1">
        <f t="array" ref="C121">INDEX(Lookups!$A$2:$A$8,MOD(ROW()-ROW($B$2),ROWS(Lookups!$A$2:$A$8))+1)</f>
        <v>Assault Ladder</v>
      </c>
      <c r="D121" s="48" t="str">
        <f>_xlfn.XLOOKUP(C121,Analysis_Gadgets!$C:$C,Analysis_Gadgets!$B:$B)</f>
        <v>Gadget</v>
      </c>
      <c r="E121" s="43">
        <v>601</v>
      </c>
      <c r="F121" s="43">
        <f>_xlfn.XLOOKUP(A121,Class_Players!A:A,Class_Players!G:G)</f>
        <v>151</v>
      </c>
      <c r="G121" s="43">
        <f t="shared" si="48"/>
        <v>3.9801324503311259</v>
      </c>
      <c r="H121" s="43">
        <f>_xlfn.XLOOKUP(A121,Class_Players!$A:$A,Class_Players!$F:$F,"")</f>
        <v>13463</v>
      </c>
      <c r="I121" s="44">
        <f t="shared" si="49"/>
        <v>4.4640867562950305E-2</v>
      </c>
      <c r="J121" s="43">
        <f t="shared" si="29"/>
        <v>0</v>
      </c>
      <c r="K121" s="44" cm="1">
        <f t="array" ref="K121">IF(D121="Gadget",_xlfn.IFS(I121&gt;=0.2,0.5,I121&gt;=0.1,0.35,I121&gt;=0.05,0.2,TRUE,0),IF(D121="Grenade",_xlfn.IFS(I121&gt;=0.2,1,I121&gt;=0.1,0.7,I121&gt;=0.05,0.4,TRUE,0),0))</f>
        <v>0</v>
      </c>
      <c r="L121" s="57">
        <f t="shared" ref="L121:L125" si="54">IF($K121=0,0,$K121 / SUMIFS($K:$K,$A:$A,$A121,$D:$D,"Gadget"))</f>
        <v>0</v>
      </c>
    </row>
    <row r="122" spans="1:12" x14ac:dyDescent="0.25">
      <c r="A122" s="42" t="str" cm="1">
        <f t="array" ref="A122">IFERROR(INDEX(_xlfn._xlws.FILTER(Class_Players!A:A,Class_Players!B:B="Assault"),QUOTIENT(ROW()-ROW($A$2),7)+1),"")</f>
        <v>sukapower</v>
      </c>
      <c r="B122" s="42" t="str">
        <f>_xlfn.XLOOKUP(A122,Class_Players!$A:$A,Class_Players!$B:$B,"")</f>
        <v>Assault</v>
      </c>
      <c r="C122" s="48" t="str" cm="1">
        <f t="array" ref="C122">INDEX(Lookups!$A$2:$A$8,MOD(ROW()-ROW($B$2),ROWS(Lookups!$A$2:$A$8))+1)</f>
        <v>X95 BRE (Breaching Projectile Launcher)</v>
      </c>
      <c r="D122" s="48" t="str">
        <f>_xlfn.XLOOKUP(C122,Analysis_Gadgets!$C:$C,Analysis_Gadgets!$B:$B)</f>
        <v>Gadget</v>
      </c>
      <c r="E122" s="43">
        <v>30</v>
      </c>
      <c r="F122" s="43">
        <f>_xlfn.XLOOKUP(A122,Class_Players!A:A,Class_Players!G:G)</f>
        <v>151</v>
      </c>
      <c r="G122" s="43">
        <f t="shared" si="48"/>
        <v>0.19867549668874171</v>
      </c>
      <c r="H122" s="43">
        <f>_xlfn.XLOOKUP(A122,Class_Players!$A:$A,Class_Players!$F:$F,"")</f>
        <v>13463</v>
      </c>
      <c r="I122" s="44">
        <f t="shared" si="49"/>
        <v>2.2283294956547575E-3</v>
      </c>
      <c r="J122" s="43">
        <f t="shared" si="29"/>
        <v>0</v>
      </c>
      <c r="K122" s="44" cm="1">
        <f t="array" ref="K122">IF(D122="Gadget",_xlfn.IFS(I122&gt;=0.2,0.5,I122&gt;=0.1,0.35,I122&gt;=0.05,0.2,TRUE,0),IF(D122="Grenade",_xlfn.IFS(I122&gt;=0.2,1,I122&gt;=0.1,0.7,I122&gt;=0.05,0.4,TRUE,0),0))</f>
        <v>0</v>
      </c>
      <c r="L122" s="57">
        <f t="shared" si="54"/>
        <v>0</v>
      </c>
    </row>
    <row r="123" spans="1:12" x14ac:dyDescent="0.25">
      <c r="A123" s="42" t="str" cm="1">
        <f t="array" ref="A123">IFERROR(INDEX(_xlfn._xlws.FILTER(Class_Players!A:A,Class_Players!B:B="Assault"),QUOTIENT(ROW()-ROW($A$2),7)+1),"")</f>
        <v>sukapower</v>
      </c>
      <c r="B123" s="42" t="str">
        <f>_xlfn.XLOOKUP(A123,Class_Players!$A:$A,Class_Players!$B:$B,"")</f>
        <v>Assault</v>
      </c>
      <c r="C123" s="48" t="str" cm="1">
        <f t="array" ref="C123">INDEX(Lookups!$A$2:$A$8,MOD(ROW()-ROW($B$2),ROWS(Lookups!$A$2:$A$8))+1)</f>
        <v>M320A1 HE (Grenade Launcher)</v>
      </c>
      <c r="D123" s="48" t="str">
        <f>_xlfn.XLOOKUP(C123,Analysis_Gadgets!$C:$C,Analysis_Gadgets!$B:$B)</f>
        <v>Gadget</v>
      </c>
      <c r="E123" s="43">
        <v>7316</v>
      </c>
      <c r="F123" s="43">
        <f>_xlfn.XLOOKUP(A123,Class_Players!A:A,Class_Players!G:G)</f>
        <v>151</v>
      </c>
      <c r="G123" s="43">
        <f t="shared" si="48"/>
        <v>48.450331125827816</v>
      </c>
      <c r="H123" s="43">
        <f>_xlfn.XLOOKUP(A123,Class_Players!$A:$A,Class_Players!$F:$F,"")</f>
        <v>13463</v>
      </c>
      <c r="I123" s="44">
        <f t="shared" si="49"/>
        <v>0.5434152863403402</v>
      </c>
      <c r="J123" s="43">
        <f t="shared" si="29"/>
        <v>1</v>
      </c>
      <c r="K123" s="44" cm="1">
        <f t="array" ref="K123">IF(D123="Gadget",_xlfn.IFS(I123&gt;=0.2,0.5,I123&gt;=0.1,0.35,I123&gt;=0.05,0.2,TRUE,0),IF(D123="Grenade",_xlfn.IFS(I123&gt;=0.2,1,I123&gt;=0.1,0.7,I123&gt;=0.05,0.4,TRUE,0),0))</f>
        <v>0.5</v>
      </c>
      <c r="L123" s="57">
        <f t="shared" si="54"/>
        <v>1</v>
      </c>
    </row>
    <row r="124" spans="1:12" x14ac:dyDescent="0.25">
      <c r="A124" s="42" t="str" cm="1">
        <f t="array" ref="A124">IFERROR(INDEX(_xlfn._xlws.FILTER(Class_Players!A:A,Class_Players!B:B="Assault"),QUOTIENT(ROW()-ROW($A$2),7)+1),"")</f>
        <v>sukapower</v>
      </c>
      <c r="B124" s="42" t="str">
        <f>_xlfn.XLOOKUP(A124,Class_Players!$A:$A,Class_Players!$B:$B,"")</f>
        <v>Assault</v>
      </c>
      <c r="C124" s="48" t="str" cm="1">
        <f t="array" ref="C124">INDEX(Lookups!$A$2:$A$8,MOD(ROW()-ROW($B$2),ROWS(Lookups!$A$2:$A$8))+1)</f>
        <v>M320A1 THRM    (Incendiary Grenade Launcher)</v>
      </c>
      <c r="D124" s="48" t="str">
        <f>_xlfn.XLOOKUP(C124,Analysis_Gadgets!$C:$C,Analysis_Gadgets!$B:$B)</f>
        <v>Gadget</v>
      </c>
      <c r="E124" s="43">
        <v>42</v>
      </c>
      <c r="F124" s="43">
        <f>_xlfn.XLOOKUP(A124,Class_Players!A:A,Class_Players!G:G)</f>
        <v>151</v>
      </c>
      <c r="G124" s="43">
        <f t="shared" si="48"/>
        <v>0.27814569536423839</v>
      </c>
      <c r="H124" s="43">
        <f>_xlfn.XLOOKUP(A124,Class_Players!$A:$A,Class_Players!$F:$F,"")</f>
        <v>13463</v>
      </c>
      <c r="I124" s="44">
        <f t="shared" si="49"/>
        <v>3.1196612939166607E-3</v>
      </c>
      <c r="J124" s="43">
        <f t="shared" si="29"/>
        <v>0</v>
      </c>
      <c r="K124" s="44" cm="1">
        <f t="array" ref="K124">IF(D124="Gadget",_xlfn.IFS(I124&gt;=0.2,0.5,I124&gt;=0.1,0.35,I124&gt;=0.05,0.2,TRUE,0),IF(D124="Grenade",_xlfn.IFS(I124&gt;=0.2,1,I124&gt;=0.1,0.7,I124&gt;=0.05,0.4,TRUE,0),0))</f>
        <v>0</v>
      </c>
      <c r="L124" s="57">
        <f t="shared" si="54"/>
        <v>0</v>
      </c>
    </row>
    <row r="125" spans="1:12" x14ac:dyDescent="0.25">
      <c r="A125" s="42" t="str" cm="1">
        <f t="array" ref="A125">IFERROR(INDEX(_xlfn._xlws.FILTER(Class_Players!A:A,Class_Players!B:B="Assault"),QUOTIENT(ROW()-ROW($A$2),7)+1),"")</f>
        <v>sukapower</v>
      </c>
      <c r="B125" s="42" t="str">
        <f>_xlfn.XLOOKUP(A125,Class_Players!$A:$A,Class_Players!$B:$B,"")</f>
        <v>Assault</v>
      </c>
      <c r="C125" s="48" t="str" cm="1">
        <f t="array" ref="C125">INDEX(Lookups!$A$2:$A$8,MOD(ROW()-ROW($B$2),ROWS(Lookups!$A$2:$A$8))+1)</f>
        <v>QLINK (Deploy Beacon)</v>
      </c>
      <c r="D125" s="48" t="str">
        <f>_xlfn.XLOOKUP(C125,Analysis_Gadgets!$C:$C,Analysis_Gadgets!$B:$B)</f>
        <v>Gadget</v>
      </c>
      <c r="E125" s="43">
        <v>153</v>
      </c>
      <c r="F125" s="43">
        <f>_xlfn.XLOOKUP(A125,Class_Players!A:A,Class_Players!G:G)</f>
        <v>151</v>
      </c>
      <c r="G125" s="43">
        <f t="shared" si="48"/>
        <v>1.0132450331125828</v>
      </c>
      <c r="H125" s="43">
        <f>_xlfn.XLOOKUP(A125,Class_Players!$A:$A,Class_Players!$F:$F,"")</f>
        <v>13463</v>
      </c>
      <c r="I125" s="44">
        <f t="shared" si="49"/>
        <v>1.1364480427839264E-2</v>
      </c>
      <c r="J125" s="43">
        <f t="shared" si="29"/>
        <v>0</v>
      </c>
      <c r="K125" s="44" cm="1">
        <f t="array" ref="K125">IF(D125="Gadget",_xlfn.IFS(I125&gt;=0.2,0.5,I125&gt;=0.1,0.35,I125&gt;=0.05,0.2,TRUE,0),IF(D125="Grenade",_xlfn.IFS(I125&gt;=0.2,1,I125&gt;=0.1,0.7,I125&gt;=0.05,0.4,TRUE,0),0))</f>
        <v>0</v>
      </c>
      <c r="L125" s="57">
        <f t="shared" si="54"/>
        <v>0</v>
      </c>
    </row>
    <row r="126" spans="1:12" x14ac:dyDescent="0.25">
      <c r="A126" s="42" t="str" cm="1">
        <f t="array" ref="A126">IFERROR(INDEX(_xlfn._xlws.FILTER(Class_Players!A:A,Class_Players!B:B="Assault"),QUOTIENT(ROW()-ROW($A$2),7)+1),"")</f>
        <v>sukapower</v>
      </c>
      <c r="B126" s="42" t="str">
        <f>_xlfn.XLOOKUP(A126,Class_Players!$A:$A,Class_Players!$B:$B,"")</f>
        <v>Assault</v>
      </c>
      <c r="C126" s="48" t="str" cm="1">
        <f t="array" ref="C126">INDEX(Lookups!$A$2:$A$8,MOD(ROW()-ROW($B$2),ROWS(Lookups!$A$2:$A$8))+1)</f>
        <v>Stun Grenade</v>
      </c>
      <c r="D126" s="48" t="str">
        <f>_xlfn.XLOOKUP(C126,Analysis_Gadgets!$C:$C,Analysis_Gadgets!$B:$B)</f>
        <v>Grenade</v>
      </c>
      <c r="E126" s="43">
        <v>429</v>
      </c>
      <c r="F126" s="43">
        <f>_xlfn.XLOOKUP(A126,Class_Players!A:A,Class_Players!G:G)</f>
        <v>151</v>
      </c>
      <c r="G126" s="43">
        <f t="shared" si="48"/>
        <v>2.8410596026490067</v>
      </c>
      <c r="H126" s="43">
        <f>_xlfn.XLOOKUP(A126,Class_Players!$A:$A,Class_Players!$F:$F,"")</f>
        <v>13463</v>
      </c>
      <c r="I126" s="44">
        <f t="shared" si="49"/>
        <v>3.1865111787863033E-2</v>
      </c>
      <c r="J126" s="43">
        <f t="shared" si="29"/>
        <v>0</v>
      </c>
      <c r="K126" s="44" cm="1">
        <f t="array" ref="K126">IF(D126="Gadget",_xlfn.IFS(I126&gt;=0.2,0.5,I126&gt;=0.1,0.35,I126&gt;=0.05,0.2,TRUE,0),IF(D126="Grenade",_xlfn.IFS(I126&gt;=0.2,1,I126&gt;=0.1,0.7,I126&gt;=0.05,0.4,TRUE,0),0))</f>
        <v>0</v>
      </c>
      <c r="L126" s="57">
        <f t="shared" ref="L126:L127" si="55">IF($K126=0,0,$K126 / SUMIFS($K:$K,$A:$A,$A126,$D:$D,"Grenade"))</f>
        <v>0</v>
      </c>
    </row>
    <row r="127" spans="1:12" x14ac:dyDescent="0.25">
      <c r="A127" s="42" t="str" cm="1">
        <f t="array" ref="A127">IFERROR(INDEX(_xlfn._xlws.FILTER(Class_Players!A:A,Class_Players!B:B="Assault"),QUOTIENT(ROW()-ROW($A$2),7)+1),"")</f>
        <v>sukapower</v>
      </c>
      <c r="B127" s="42" t="str">
        <f>_xlfn.XLOOKUP(A127,Class_Players!$A:$A,Class_Players!$B:$B,"")</f>
        <v>Assault</v>
      </c>
      <c r="C127" s="48" t="str" cm="1">
        <f t="array" ref="C127">INDEX(Lookups!$A$2:$A$8,MOD(ROW()-ROW($B$2),ROWS(Lookups!$A$2:$A$8))+1)</f>
        <v>Flash Grenade</v>
      </c>
      <c r="D127" s="48" t="str">
        <f>_xlfn.XLOOKUP(C127,Analysis_Gadgets!$C:$C,Analysis_Gadgets!$B:$B)</f>
        <v>Grenade</v>
      </c>
      <c r="E127" s="43">
        <v>26</v>
      </c>
      <c r="F127" s="43">
        <f>_xlfn.XLOOKUP(A127,Class_Players!A:A,Class_Players!G:G)</f>
        <v>151</v>
      </c>
      <c r="G127" s="43">
        <f t="shared" si="48"/>
        <v>0.17218543046357615</v>
      </c>
      <c r="H127" s="43">
        <f>_xlfn.XLOOKUP(A127,Class_Players!$A:$A,Class_Players!$F:$F,"")</f>
        <v>13463</v>
      </c>
      <c r="I127" s="44">
        <f t="shared" si="49"/>
        <v>1.9312188962341231E-3</v>
      </c>
      <c r="J127" s="43">
        <f t="shared" si="29"/>
        <v>0</v>
      </c>
      <c r="K127" s="44" cm="1">
        <f t="array" ref="K127">IF(D127="Gadget",_xlfn.IFS(I127&gt;=0.2,0.5,I127&gt;=0.1,0.35,I127&gt;=0.05,0.2,TRUE,0),IF(D127="Grenade",_xlfn.IFS(I127&gt;=0.2,1,I127&gt;=0.1,0.7,I127&gt;=0.05,0.4,TRUE,0),0))</f>
        <v>0</v>
      </c>
      <c r="L127" s="57">
        <f t="shared" si="55"/>
        <v>0</v>
      </c>
    </row>
    <row r="128" spans="1:12" x14ac:dyDescent="0.25">
      <c r="A128" s="42" t="str" cm="1">
        <f t="array" ref="A128">IFERROR(INDEX(_xlfn._xlws.FILTER(Class_Players!A:A,Class_Players!B:B="Assault"),QUOTIENT(ROW()-ROW($A$2),7)+1),"")</f>
        <v>MiaoSangSSS</v>
      </c>
      <c r="B128" s="42" t="str">
        <f>_xlfn.XLOOKUP(A128,Class_Players!$A:$A,Class_Players!$B:$B,"")</f>
        <v>Assault</v>
      </c>
      <c r="C128" s="48" t="str" cm="1">
        <f t="array" ref="C128">INDEX(Lookups!$A$2:$A$8,MOD(ROW()-ROW($B$2),ROWS(Lookups!$A$2:$A$8))+1)</f>
        <v>Assault Ladder</v>
      </c>
      <c r="D128" s="48" t="str">
        <f>_xlfn.XLOOKUP(C128,Analysis_Gadgets!$C:$C,Analysis_Gadgets!$B:$B)</f>
        <v>Gadget</v>
      </c>
      <c r="E128" s="43">
        <v>492</v>
      </c>
      <c r="F128" s="43">
        <f>_xlfn.XLOOKUP(A128,Class_Players!A:A,Class_Players!G:G)</f>
        <v>185</v>
      </c>
      <c r="G128" s="43">
        <f t="shared" si="48"/>
        <v>2.6594594594594594</v>
      </c>
      <c r="H128" s="43">
        <f>_xlfn.XLOOKUP(A128,Class_Players!$A:$A,Class_Players!$F:$F,"")</f>
        <v>13257</v>
      </c>
      <c r="I128" s="44">
        <f t="shared" si="49"/>
        <v>3.7112468884362981E-2</v>
      </c>
      <c r="J128" s="43">
        <f t="shared" si="29"/>
        <v>0</v>
      </c>
      <c r="K128" s="44" cm="1">
        <f t="array" ref="K128">IF(D128="Gadget",_xlfn.IFS(I128&gt;=0.2,0.5,I128&gt;=0.1,0.35,I128&gt;=0.05,0.2,TRUE,0),IF(D128="Grenade",_xlfn.IFS(I128&gt;=0.2,1,I128&gt;=0.1,0.7,I128&gt;=0.05,0.4,TRUE,0),0))</f>
        <v>0</v>
      </c>
      <c r="L128" s="57">
        <f t="shared" ref="L128:L132" si="56">IF($K128=0,0,$K128 / SUMIFS($K:$K,$A:$A,$A128,$D:$D,"Gadget"))</f>
        <v>0</v>
      </c>
    </row>
    <row r="129" spans="1:12" x14ac:dyDescent="0.25">
      <c r="A129" s="42" t="str" cm="1">
        <f t="array" ref="A129">IFERROR(INDEX(_xlfn._xlws.FILTER(Class_Players!A:A,Class_Players!B:B="Assault"),QUOTIENT(ROW()-ROW($A$2),7)+1),"")</f>
        <v>MiaoSangSSS</v>
      </c>
      <c r="B129" s="42" t="str">
        <f>_xlfn.XLOOKUP(A129,Class_Players!$A:$A,Class_Players!$B:$B,"")</f>
        <v>Assault</v>
      </c>
      <c r="C129" s="48" t="str" cm="1">
        <f t="array" ref="C129">INDEX(Lookups!$A$2:$A$8,MOD(ROW()-ROW($B$2),ROWS(Lookups!$A$2:$A$8))+1)</f>
        <v>X95 BRE (Breaching Projectile Launcher)</v>
      </c>
      <c r="D129" s="48" t="str">
        <f>_xlfn.XLOOKUP(C129,Analysis_Gadgets!$C:$C,Analysis_Gadgets!$B:$B)</f>
        <v>Gadget</v>
      </c>
      <c r="E129" s="43">
        <v>29</v>
      </c>
      <c r="F129" s="43">
        <f>_xlfn.XLOOKUP(A129,Class_Players!A:A,Class_Players!G:G)</f>
        <v>185</v>
      </c>
      <c r="G129" s="43">
        <f t="shared" si="48"/>
        <v>0.15675675675675677</v>
      </c>
      <c r="H129" s="43">
        <f>_xlfn.XLOOKUP(A129,Class_Players!$A:$A,Class_Players!$F:$F,"")</f>
        <v>13257</v>
      </c>
      <c r="I129" s="44">
        <f t="shared" si="49"/>
        <v>2.1875235724522894E-3</v>
      </c>
      <c r="J129" s="43">
        <f t="shared" si="29"/>
        <v>0</v>
      </c>
      <c r="K129" s="44" cm="1">
        <f t="array" ref="K129">IF(D129="Gadget",_xlfn.IFS(I129&gt;=0.2,0.5,I129&gt;=0.1,0.35,I129&gt;=0.05,0.2,TRUE,0),IF(D129="Grenade",_xlfn.IFS(I129&gt;=0.2,1,I129&gt;=0.1,0.7,I129&gt;=0.05,0.4,TRUE,0),0))</f>
        <v>0</v>
      </c>
      <c r="L129" s="57">
        <f t="shared" si="56"/>
        <v>0</v>
      </c>
    </row>
    <row r="130" spans="1:12" x14ac:dyDescent="0.25">
      <c r="A130" s="42" t="str" cm="1">
        <f t="array" ref="A130">IFERROR(INDEX(_xlfn._xlws.FILTER(Class_Players!A:A,Class_Players!B:B="Assault"),QUOTIENT(ROW()-ROW($A$2),7)+1),"")</f>
        <v>MiaoSangSSS</v>
      </c>
      <c r="B130" s="42" t="str">
        <f>_xlfn.XLOOKUP(A130,Class_Players!$A:$A,Class_Players!$B:$B,"")</f>
        <v>Assault</v>
      </c>
      <c r="C130" s="48" t="str" cm="1">
        <f t="array" ref="C130">INDEX(Lookups!$A$2:$A$8,MOD(ROW()-ROW($B$2),ROWS(Lookups!$A$2:$A$8))+1)</f>
        <v>M320A1 HE (Grenade Launcher)</v>
      </c>
      <c r="D130" s="48" t="str">
        <f>_xlfn.XLOOKUP(C130,Analysis_Gadgets!$C:$C,Analysis_Gadgets!$B:$B)</f>
        <v>Gadget</v>
      </c>
      <c r="E130" s="43">
        <v>4691</v>
      </c>
      <c r="F130" s="43">
        <f>_xlfn.XLOOKUP(A130,Class_Players!A:A,Class_Players!G:G)</f>
        <v>185</v>
      </c>
      <c r="G130" s="43">
        <f t="shared" si="48"/>
        <v>25.356756756756756</v>
      </c>
      <c r="H130" s="43">
        <f>_xlfn.XLOOKUP(A130,Class_Players!$A:$A,Class_Players!$F:$F,"")</f>
        <v>13257</v>
      </c>
      <c r="I130" s="44">
        <f t="shared" si="49"/>
        <v>0.35385079580598927</v>
      </c>
      <c r="J130" s="43">
        <f t="shared" si="29"/>
        <v>1</v>
      </c>
      <c r="K130" s="44" cm="1">
        <f t="array" ref="K130">IF(D130="Gadget",_xlfn.IFS(I130&gt;=0.2,0.5,I130&gt;=0.1,0.35,I130&gt;=0.05,0.2,TRUE,0),IF(D130="Grenade",_xlfn.IFS(I130&gt;=0.2,1,I130&gt;=0.1,0.7,I130&gt;=0.05,0.4,TRUE,0),0))</f>
        <v>0.5</v>
      </c>
      <c r="L130" s="57">
        <f t="shared" si="56"/>
        <v>0.5</v>
      </c>
    </row>
    <row r="131" spans="1:12" x14ac:dyDescent="0.25">
      <c r="A131" s="42" t="str" cm="1">
        <f t="array" ref="A131">IFERROR(INDEX(_xlfn._xlws.FILTER(Class_Players!A:A,Class_Players!B:B="Assault"),QUOTIENT(ROW()-ROW($A$2),7)+1),"")</f>
        <v>MiaoSangSSS</v>
      </c>
      <c r="B131" s="42" t="str">
        <f>_xlfn.XLOOKUP(A131,Class_Players!$A:$A,Class_Players!$B:$B,"")</f>
        <v>Assault</v>
      </c>
      <c r="C131" s="48" t="str" cm="1">
        <f t="array" ref="C131">INDEX(Lookups!$A$2:$A$8,MOD(ROW()-ROW($B$2),ROWS(Lookups!$A$2:$A$8))+1)</f>
        <v>M320A1 THRM    (Incendiary Grenade Launcher)</v>
      </c>
      <c r="D131" s="48" t="str">
        <f>_xlfn.XLOOKUP(C131,Analysis_Gadgets!$C:$C,Analysis_Gadgets!$B:$B)</f>
        <v>Gadget</v>
      </c>
      <c r="E131" s="43">
        <v>250</v>
      </c>
      <c r="F131" s="43">
        <f>_xlfn.XLOOKUP(A131,Class_Players!A:A,Class_Players!G:G)</f>
        <v>185</v>
      </c>
      <c r="G131" s="43">
        <f t="shared" si="48"/>
        <v>1.3513513513513513</v>
      </c>
      <c r="H131" s="43">
        <f>_xlfn.XLOOKUP(A131,Class_Players!$A:$A,Class_Players!$F:$F,"")</f>
        <v>13257</v>
      </c>
      <c r="I131" s="44">
        <f t="shared" si="49"/>
        <v>1.8857961831485252E-2</v>
      </c>
      <c r="J131" s="43">
        <f t="shared" ref="J131:J194" si="57">IF(I131&gt;=0.1,1,0)</f>
        <v>0</v>
      </c>
      <c r="K131" s="44" cm="1">
        <f t="array" ref="K131">IF(D131="Gadget",_xlfn.IFS(I131&gt;=0.2,0.5,I131&gt;=0.1,0.35,I131&gt;=0.05,0.2,TRUE,0),IF(D131="Grenade",_xlfn.IFS(I131&gt;=0.2,1,I131&gt;=0.1,0.7,I131&gt;=0.05,0.4,TRUE,0),0))</f>
        <v>0</v>
      </c>
      <c r="L131" s="57">
        <f t="shared" si="56"/>
        <v>0</v>
      </c>
    </row>
    <row r="132" spans="1:12" x14ac:dyDescent="0.25">
      <c r="A132" s="42" t="str" cm="1">
        <f t="array" ref="A132">IFERROR(INDEX(_xlfn._xlws.FILTER(Class_Players!A:A,Class_Players!B:B="Assault"),QUOTIENT(ROW()-ROW($A$2),7)+1),"")</f>
        <v>MiaoSangSSS</v>
      </c>
      <c r="B132" s="42" t="str">
        <f>_xlfn.XLOOKUP(A132,Class_Players!$A:$A,Class_Players!$B:$B,"")</f>
        <v>Assault</v>
      </c>
      <c r="C132" s="48" t="str" cm="1">
        <f t="array" ref="C132">INDEX(Lookups!$A$2:$A$8,MOD(ROW()-ROW($B$2),ROWS(Lookups!$A$2:$A$8))+1)</f>
        <v>QLINK (Deploy Beacon)</v>
      </c>
      <c r="D132" s="48" t="str">
        <f>_xlfn.XLOOKUP(C132,Analysis_Gadgets!$C:$C,Analysis_Gadgets!$B:$B)</f>
        <v>Gadget</v>
      </c>
      <c r="E132" s="43">
        <v>7408</v>
      </c>
      <c r="F132" s="43">
        <f>_xlfn.XLOOKUP(A132,Class_Players!A:A,Class_Players!G:G)</f>
        <v>185</v>
      </c>
      <c r="G132" s="43">
        <f t="shared" si="48"/>
        <v>40.043243243243246</v>
      </c>
      <c r="H132" s="43">
        <f>_xlfn.XLOOKUP(A132,Class_Players!$A:$A,Class_Players!$F:$F,"")</f>
        <v>13257</v>
      </c>
      <c r="I132" s="44">
        <f t="shared" si="49"/>
        <v>0.55879912499057105</v>
      </c>
      <c r="J132" s="43">
        <f t="shared" si="57"/>
        <v>1</v>
      </c>
      <c r="K132" s="44" cm="1">
        <f t="array" ref="K132">IF(D132="Gadget",_xlfn.IFS(I132&gt;=0.2,0.5,I132&gt;=0.1,0.35,I132&gt;=0.05,0.2,TRUE,0),IF(D132="Grenade",_xlfn.IFS(I132&gt;=0.2,1,I132&gt;=0.1,0.7,I132&gt;=0.05,0.4,TRUE,0),0))</f>
        <v>0.5</v>
      </c>
      <c r="L132" s="57">
        <f t="shared" si="56"/>
        <v>0.5</v>
      </c>
    </row>
    <row r="133" spans="1:12" x14ac:dyDescent="0.25">
      <c r="A133" s="42" t="str" cm="1">
        <f t="array" ref="A133">IFERROR(INDEX(_xlfn._xlws.FILTER(Class_Players!A:A,Class_Players!B:B="Assault"),QUOTIENT(ROW()-ROW($A$2),7)+1),"")</f>
        <v>MiaoSangSSS</v>
      </c>
      <c r="B133" s="42" t="str">
        <f>_xlfn.XLOOKUP(A133,Class_Players!$A:$A,Class_Players!$B:$B,"")</f>
        <v>Assault</v>
      </c>
      <c r="C133" s="48" t="str" cm="1">
        <f t="array" ref="C133">INDEX(Lookups!$A$2:$A$8,MOD(ROW()-ROW($B$2),ROWS(Lookups!$A$2:$A$8))+1)</f>
        <v>Stun Grenade</v>
      </c>
      <c r="D133" s="48" t="str">
        <f>_xlfn.XLOOKUP(C133,Analysis_Gadgets!$C:$C,Analysis_Gadgets!$B:$B)</f>
        <v>Grenade</v>
      </c>
      <c r="E133" s="43">
        <v>65</v>
      </c>
      <c r="F133" s="43">
        <f>_xlfn.XLOOKUP(A133,Class_Players!A:A,Class_Players!G:G)</f>
        <v>185</v>
      </c>
      <c r="G133" s="43">
        <f t="shared" si="48"/>
        <v>0.35135135135135137</v>
      </c>
      <c r="H133" s="43">
        <f>_xlfn.XLOOKUP(A133,Class_Players!$A:$A,Class_Players!$F:$F,"")</f>
        <v>13257</v>
      </c>
      <c r="I133" s="44">
        <f t="shared" si="49"/>
        <v>4.9030700761861657E-3</v>
      </c>
      <c r="J133" s="43">
        <f t="shared" si="57"/>
        <v>0</v>
      </c>
      <c r="K133" s="44" cm="1">
        <f t="array" ref="K133">IF(D133="Gadget",_xlfn.IFS(I133&gt;=0.2,0.5,I133&gt;=0.1,0.35,I133&gt;=0.05,0.2,TRUE,0),IF(D133="Grenade",_xlfn.IFS(I133&gt;=0.2,1,I133&gt;=0.1,0.7,I133&gt;=0.05,0.4,TRUE,0),0))</f>
        <v>0</v>
      </c>
      <c r="L133" s="57">
        <f t="shared" ref="L133:L134" si="58">IF($K133=0,0,$K133 / SUMIFS($K:$K,$A:$A,$A133,$D:$D,"Grenade"))</f>
        <v>0</v>
      </c>
    </row>
    <row r="134" spans="1:12" x14ac:dyDescent="0.25">
      <c r="A134" s="42" t="str" cm="1">
        <f t="array" ref="A134">IFERROR(INDEX(_xlfn._xlws.FILTER(Class_Players!A:A,Class_Players!B:B="Assault"),QUOTIENT(ROW()-ROW($A$2),7)+1),"")</f>
        <v>MiaoSangSSS</v>
      </c>
      <c r="B134" s="42" t="str">
        <f>_xlfn.XLOOKUP(A134,Class_Players!$A:$A,Class_Players!$B:$B,"")</f>
        <v>Assault</v>
      </c>
      <c r="C134" s="48" t="str" cm="1">
        <f t="array" ref="C134">INDEX(Lookups!$A$2:$A$8,MOD(ROW()-ROW($B$2),ROWS(Lookups!$A$2:$A$8))+1)</f>
        <v>Flash Grenade</v>
      </c>
      <c r="D134" s="48" t="str">
        <f>_xlfn.XLOOKUP(C134,Analysis_Gadgets!$C:$C,Analysis_Gadgets!$B:$B)</f>
        <v>Grenade</v>
      </c>
      <c r="E134" s="43">
        <v>54</v>
      </c>
      <c r="F134" s="43">
        <f>_xlfn.XLOOKUP(A134,Class_Players!A:A,Class_Players!G:G)</f>
        <v>185</v>
      </c>
      <c r="G134" s="43">
        <f t="shared" si="48"/>
        <v>0.29189189189189191</v>
      </c>
      <c r="H134" s="43">
        <f>_xlfn.XLOOKUP(A134,Class_Players!$A:$A,Class_Players!$F:$F,"")</f>
        <v>13257</v>
      </c>
      <c r="I134" s="44">
        <f t="shared" si="49"/>
        <v>4.0733197556008143E-3</v>
      </c>
      <c r="J134" s="43">
        <f t="shared" si="57"/>
        <v>0</v>
      </c>
      <c r="K134" s="44" cm="1">
        <f t="array" ref="K134">IF(D134="Gadget",_xlfn.IFS(I134&gt;=0.2,0.5,I134&gt;=0.1,0.35,I134&gt;=0.05,0.2,TRUE,0),IF(D134="Grenade",_xlfn.IFS(I134&gt;=0.2,1,I134&gt;=0.1,0.7,I134&gt;=0.05,0.4,TRUE,0),0))</f>
        <v>0</v>
      </c>
      <c r="L134" s="57">
        <f t="shared" si="58"/>
        <v>0</v>
      </c>
    </row>
    <row r="135" spans="1:12" x14ac:dyDescent="0.25">
      <c r="A135" s="42" t="str" cm="1">
        <f t="array" ref="A135">IFERROR(INDEX(_xlfn._xlws.FILTER(Class_Players!A:A,Class_Players!B:B="Assault"),QUOTIENT(ROW()-ROW($A$2),7)+1),"")</f>
        <v>1st1hautor</v>
      </c>
      <c r="B135" s="42" t="str">
        <f>_xlfn.XLOOKUP(A135,Class_Players!$A:$A,Class_Players!$B:$B,"")</f>
        <v>Assault</v>
      </c>
      <c r="C135" s="48" t="str" cm="1">
        <f t="array" ref="C135">INDEX(Lookups!$A$2:$A$8,MOD(ROW()-ROW($B$2),ROWS(Lookups!$A$2:$A$8))+1)</f>
        <v>Assault Ladder</v>
      </c>
      <c r="D135" s="48" t="str">
        <f>_xlfn.XLOOKUP(C135,Analysis_Gadgets!$C:$C,Analysis_Gadgets!$B:$B)</f>
        <v>Gadget</v>
      </c>
      <c r="E135" s="43">
        <v>2</v>
      </c>
      <c r="F135" s="43">
        <f>_xlfn.XLOOKUP(A135,Class_Players!A:A,Class_Players!G:G)</f>
        <v>154</v>
      </c>
      <c r="G135" s="43">
        <f t="shared" si="48"/>
        <v>1.2987012987012988E-2</v>
      </c>
      <c r="H135" s="43">
        <f>_xlfn.XLOOKUP(A135,Class_Players!$A:$A,Class_Players!$F:$F,"")</f>
        <v>13128</v>
      </c>
      <c r="I135" s="44">
        <f t="shared" si="49"/>
        <v>1.5234613040828764E-4</v>
      </c>
      <c r="J135" s="43">
        <f t="shared" si="57"/>
        <v>0</v>
      </c>
      <c r="K135" s="44" cm="1">
        <f t="array" ref="K135">IF(D135="Gadget",_xlfn.IFS(I135&gt;=0.2,0.5,I135&gt;=0.1,0.35,I135&gt;=0.05,0.2,TRUE,0),IF(D135="Grenade",_xlfn.IFS(I135&gt;=0.2,1,I135&gt;=0.1,0.7,I135&gt;=0.05,0.4,TRUE,0),0))</f>
        <v>0</v>
      </c>
      <c r="L135" s="57">
        <f t="shared" ref="L135:L139" si="59">IF($K135=0,0,$K135 / SUMIFS($K:$K,$A:$A,$A135,$D:$D,"Gadget"))</f>
        <v>0</v>
      </c>
    </row>
    <row r="136" spans="1:12" x14ac:dyDescent="0.25">
      <c r="A136" s="42" t="str" cm="1">
        <f t="array" ref="A136">IFERROR(INDEX(_xlfn._xlws.FILTER(Class_Players!A:A,Class_Players!B:B="Assault"),QUOTIENT(ROW()-ROW($A$2),7)+1),"")</f>
        <v>1st1hautor</v>
      </c>
      <c r="B136" s="42" t="str">
        <f>_xlfn.XLOOKUP(A136,Class_Players!$A:$A,Class_Players!$B:$B,"")</f>
        <v>Assault</v>
      </c>
      <c r="C136" s="48" t="str" cm="1">
        <f t="array" ref="C136">INDEX(Lookups!$A$2:$A$8,MOD(ROW()-ROW($B$2),ROWS(Lookups!$A$2:$A$8))+1)</f>
        <v>X95 BRE (Breaching Projectile Launcher)</v>
      </c>
      <c r="D136" s="48" t="str">
        <f>_xlfn.XLOOKUP(C136,Analysis_Gadgets!$C:$C,Analysis_Gadgets!$B:$B)</f>
        <v>Gadget</v>
      </c>
      <c r="E136" s="43">
        <v>0</v>
      </c>
      <c r="F136" s="43">
        <f>_xlfn.XLOOKUP(A136,Class_Players!A:A,Class_Players!G:G)</f>
        <v>154</v>
      </c>
      <c r="G136" s="43">
        <f t="shared" si="48"/>
        <v>0</v>
      </c>
      <c r="H136" s="43">
        <f>_xlfn.XLOOKUP(A136,Class_Players!$A:$A,Class_Players!$F:$F,"")</f>
        <v>13128</v>
      </c>
      <c r="I136" s="44">
        <f t="shared" si="49"/>
        <v>0</v>
      </c>
      <c r="J136" s="43">
        <f t="shared" si="57"/>
        <v>0</v>
      </c>
      <c r="K136" s="44" cm="1">
        <f t="array" ref="K136">IF(D136="Gadget",_xlfn.IFS(I136&gt;=0.2,0.5,I136&gt;=0.1,0.35,I136&gt;=0.05,0.2,TRUE,0),IF(D136="Grenade",_xlfn.IFS(I136&gt;=0.2,1,I136&gt;=0.1,0.7,I136&gt;=0.05,0.4,TRUE,0),0))</f>
        <v>0</v>
      </c>
      <c r="L136" s="57">
        <f t="shared" si="59"/>
        <v>0</v>
      </c>
    </row>
    <row r="137" spans="1:12" x14ac:dyDescent="0.25">
      <c r="A137" s="42" t="str" cm="1">
        <f t="array" ref="A137">IFERROR(INDEX(_xlfn._xlws.FILTER(Class_Players!A:A,Class_Players!B:B="Assault"),QUOTIENT(ROW()-ROW($A$2),7)+1),"")</f>
        <v>1st1hautor</v>
      </c>
      <c r="B137" s="42" t="str">
        <f>_xlfn.XLOOKUP(A137,Class_Players!$A:$A,Class_Players!$B:$B,"")</f>
        <v>Assault</v>
      </c>
      <c r="C137" s="48" t="str" cm="1">
        <f t="array" ref="C137">INDEX(Lookups!$A$2:$A$8,MOD(ROW()-ROW($B$2),ROWS(Lookups!$A$2:$A$8))+1)</f>
        <v>M320A1 HE (Grenade Launcher)</v>
      </c>
      <c r="D137" s="48" t="str">
        <f>_xlfn.XLOOKUP(C137,Analysis_Gadgets!$C:$C,Analysis_Gadgets!$B:$B)</f>
        <v>Gadget</v>
      </c>
      <c r="E137" s="43">
        <v>11355</v>
      </c>
      <c r="F137" s="43">
        <f>_xlfn.XLOOKUP(A137,Class_Players!A:A,Class_Players!G:G)</f>
        <v>154</v>
      </c>
      <c r="G137" s="43">
        <f t="shared" si="48"/>
        <v>73.733766233766232</v>
      </c>
      <c r="H137" s="43">
        <f>_xlfn.XLOOKUP(A137,Class_Players!$A:$A,Class_Players!$F:$F,"")</f>
        <v>13128</v>
      </c>
      <c r="I137" s="44">
        <f t="shared" si="49"/>
        <v>0.86494515539305306</v>
      </c>
      <c r="J137" s="43">
        <f t="shared" si="57"/>
        <v>1</v>
      </c>
      <c r="K137" s="44" cm="1">
        <f t="array" ref="K137">IF(D137="Gadget",_xlfn.IFS(I137&gt;=0.2,0.5,I137&gt;=0.1,0.35,I137&gt;=0.05,0.2,TRUE,0),IF(D137="Grenade",_xlfn.IFS(I137&gt;=0.2,1,I137&gt;=0.1,0.7,I137&gt;=0.05,0.4,TRUE,0),0))</f>
        <v>0.5</v>
      </c>
      <c r="L137" s="57">
        <f t="shared" si="59"/>
        <v>1</v>
      </c>
    </row>
    <row r="138" spans="1:12" x14ac:dyDescent="0.25">
      <c r="A138" s="42" t="str" cm="1">
        <f t="array" ref="A138">IFERROR(INDEX(_xlfn._xlws.FILTER(Class_Players!A:A,Class_Players!B:B="Assault"),QUOTIENT(ROW()-ROW($A$2),7)+1),"")</f>
        <v>1st1hautor</v>
      </c>
      <c r="B138" s="42" t="str">
        <f>_xlfn.XLOOKUP(A138,Class_Players!$A:$A,Class_Players!$B:$B,"")</f>
        <v>Assault</v>
      </c>
      <c r="C138" s="48" t="str" cm="1">
        <f t="array" ref="C138">INDEX(Lookups!$A$2:$A$8,MOD(ROW()-ROW($B$2),ROWS(Lookups!$A$2:$A$8))+1)</f>
        <v>M320A1 THRM    (Incendiary Grenade Launcher)</v>
      </c>
      <c r="D138" s="48" t="str">
        <f>_xlfn.XLOOKUP(C138,Analysis_Gadgets!$C:$C,Analysis_Gadgets!$B:$B)</f>
        <v>Gadget</v>
      </c>
      <c r="E138" s="43">
        <v>4</v>
      </c>
      <c r="F138" s="43">
        <f>_xlfn.XLOOKUP(A138,Class_Players!A:A,Class_Players!G:G)</f>
        <v>154</v>
      </c>
      <c r="G138" s="43">
        <f t="shared" si="48"/>
        <v>2.5974025974025976E-2</v>
      </c>
      <c r="H138" s="43">
        <f>_xlfn.XLOOKUP(A138,Class_Players!$A:$A,Class_Players!$F:$F,"")</f>
        <v>13128</v>
      </c>
      <c r="I138" s="44">
        <f t="shared" si="49"/>
        <v>3.0469226081657528E-4</v>
      </c>
      <c r="J138" s="43">
        <f t="shared" si="57"/>
        <v>0</v>
      </c>
      <c r="K138" s="44" cm="1">
        <f t="array" ref="K138">IF(D138="Gadget",_xlfn.IFS(I138&gt;=0.2,0.5,I138&gt;=0.1,0.35,I138&gt;=0.05,0.2,TRUE,0),IF(D138="Grenade",_xlfn.IFS(I138&gt;=0.2,1,I138&gt;=0.1,0.7,I138&gt;=0.05,0.4,TRUE,0),0))</f>
        <v>0</v>
      </c>
      <c r="L138" s="57">
        <f t="shared" si="59"/>
        <v>0</v>
      </c>
    </row>
    <row r="139" spans="1:12" x14ac:dyDescent="0.25">
      <c r="A139" s="42" t="str" cm="1">
        <f t="array" ref="A139">IFERROR(INDEX(_xlfn._xlws.FILTER(Class_Players!A:A,Class_Players!B:B="Assault"),QUOTIENT(ROW()-ROW($A$2),7)+1),"")</f>
        <v>1st1hautor</v>
      </c>
      <c r="B139" s="42" t="str">
        <f>_xlfn.XLOOKUP(A139,Class_Players!$A:$A,Class_Players!$B:$B,"")</f>
        <v>Assault</v>
      </c>
      <c r="C139" s="48" t="str" cm="1">
        <f t="array" ref="C139">INDEX(Lookups!$A$2:$A$8,MOD(ROW()-ROW($B$2),ROWS(Lookups!$A$2:$A$8))+1)</f>
        <v>QLINK (Deploy Beacon)</v>
      </c>
      <c r="D139" s="48" t="str">
        <f>_xlfn.XLOOKUP(C139,Analysis_Gadgets!$C:$C,Analysis_Gadgets!$B:$B)</f>
        <v>Gadget</v>
      </c>
      <c r="E139" s="43">
        <v>130</v>
      </c>
      <c r="F139" s="43">
        <f>_xlfn.XLOOKUP(A139,Class_Players!A:A,Class_Players!G:G)</f>
        <v>154</v>
      </c>
      <c r="G139" s="43">
        <f t="shared" si="48"/>
        <v>0.8441558441558441</v>
      </c>
      <c r="H139" s="43">
        <f>_xlfn.XLOOKUP(A139,Class_Players!$A:$A,Class_Players!$F:$F,"")</f>
        <v>13128</v>
      </c>
      <c r="I139" s="44">
        <f t="shared" si="49"/>
        <v>9.9024984765386966E-3</v>
      </c>
      <c r="J139" s="43">
        <f t="shared" si="57"/>
        <v>0</v>
      </c>
      <c r="K139" s="44" cm="1">
        <f t="array" ref="K139">IF(D139="Gadget",_xlfn.IFS(I139&gt;=0.2,0.5,I139&gt;=0.1,0.35,I139&gt;=0.05,0.2,TRUE,0),IF(D139="Grenade",_xlfn.IFS(I139&gt;=0.2,1,I139&gt;=0.1,0.7,I139&gt;=0.05,0.4,TRUE,0),0))</f>
        <v>0</v>
      </c>
      <c r="L139" s="57">
        <f t="shared" si="59"/>
        <v>0</v>
      </c>
    </row>
    <row r="140" spans="1:12" x14ac:dyDescent="0.25">
      <c r="A140" s="42" t="str" cm="1">
        <f t="array" ref="A140">IFERROR(INDEX(_xlfn._xlws.FILTER(Class_Players!A:A,Class_Players!B:B="Assault"),QUOTIENT(ROW()-ROW($A$2),7)+1),"")</f>
        <v>1st1hautor</v>
      </c>
      <c r="B140" s="42" t="str">
        <f>_xlfn.XLOOKUP(A140,Class_Players!$A:$A,Class_Players!$B:$B,"")</f>
        <v>Assault</v>
      </c>
      <c r="C140" s="48" t="str" cm="1">
        <f t="array" ref="C140">INDEX(Lookups!$A$2:$A$8,MOD(ROW()-ROW($B$2),ROWS(Lookups!$A$2:$A$8))+1)</f>
        <v>Stun Grenade</v>
      </c>
      <c r="D140" s="48" t="str">
        <f>_xlfn.XLOOKUP(C140,Analysis_Gadgets!$C:$C,Analysis_Gadgets!$B:$B)</f>
        <v>Grenade</v>
      </c>
      <c r="E140" s="43">
        <v>181</v>
      </c>
      <c r="F140" s="43">
        <f>_xlfn.XLOOKUP(A140,Class_Players!A:A,Class_Players!G:G)</f>
        <v>154</v>
      </c>
      <c r="G140" s="43">
        <f t="shared" si="48"/>
        <v>1.1753246753246753</v>
      </c>
      <c r="H140" s="43">
        <f>_xlfn.XLOOKUP(A140,Class_Players!$A:$A,Class_Players!$F:$F,"")</f>
        <v>13128</v>
      </c>
      <c r="I140" s="44">
        <f t="shared" si="49"/>
        <v>1.3787324801950031E-2</v>
      </c>
      <c r="J140" s="43">
        <f t="shared" si="57"/>
        <v>0</v>
      </c>
      <c r="K140" s="44" cm="1">
        <f t="array" ref="K140">IF(D140="Gadget",_xlfn.IFS(I140&gt;=0.2,0.5,I140&gt;=0.1,0.35,I140&gt;=0.05,0.2,TRUE,0),IF(D140="Grenade",_xlfn.IFS(I140&gt;=0.2,1,I140&gt;=0.1,0.7,I140&gt;=0.05,0.4,TRUE,0),0))</f>
        <v>0</v>
      </c>
      <c r="L140" s="57">
        <f t="shared" ref="L140:L141" si="60">IF($K140=0,0,$K140 / SUMIFS($K:$K,$A:$A,$A140,$D:$D,"Grenade"))</f>
        <v>0</v>
      </c>
    </row>
    <row r="141" spans="1:12" x14ac:dyDescent="0.25">
      <c r="A141" s="42" t="str" cm="1">
        <f t="array" ref="A141">IFERROR(INDEX(_xlfn._xlws.FILTER(Class_Players!A:A,Class_Players!B:B="Assault"),QUOTIENT(ROW()-ROW($A$2),7)+1),"")</f>
        <v>1st1hautor</v>
      </c>
      <c r="B141" s="42" t="str">
        <f>_xlfn.XLOOKUP(A141,Class_Players!$A:$A,Class_Players!$B:$B,"")</f>
        <v>Assault</v>
      </c>
      <c r="C141" s="48" t="str" cm="1">
        <f t="array" ref="C141">INDEX(Lookups!$A$2:$A$8,MOD(ROW()-ROW($B$2),ROWS(Lookups!$A$2:$A$8))+1)</f>
        <v>Flash Grenade</v>
      </c>
      <c r="D141" s="48" t="str">
        <f>_xlfn.XLOOKUP(C141,Analysis_Gadgets!$C:$C,Analysis_Gadgets!$B:$B)</f>
        <v>Grenade</v>
      </c>
      <c r="E141" s="43">
        <v>7</v>
      </c>
      <c r="F141" s="43">
        <f>_xlfn.XLOOKUP(A141,Class_Players!A:A,Class_Players!G:G)</f>
        <v>154</v>
      </c>
      <c r="G141" s="43">
        <f t="shared" si="48"/>
        <v>4.5454545454545456E-2</v>
      </c>
      <c r="H141" s="43">
        <f>_xlfn.XLOOKUP(A141,Class_Players!$A:$A,Class_Players!$F:$F,"")</f>
        <v>13128</v>
      </c>
      <c r="I141" s="44">
        <f t="shared" si="49"/>
        <v>5.3321145642900669E-4</v>
      </c>
      <c r="J141" s="43">
        <f t="shared" si="57"/>
        <v>0</v>
      </c>
      <c r="K141" s="44" cm="1">
        <f t="array" ref="K141">IF(D141="Gadget",_xlfn.IFS(I141&gt;=0.2,0.5,I141&gt;=0.1,0.35,I141&gt;=0.05,0.2,TRUE,0),IF(D141="Grenade",_xlfn.IFS(I141&gt;=0.2,1,I141&gt;=0.1,0.7,I141&gt;=0.05,0.4,TRUE,0),0))</f>
        <v>0</v>
      </c>
      <c r="L141" s="57">
        <f t="shared" si="60"/>
        <v>0</v>
      </c>
    </row>
    <row r="142" spans="1:12" x14ac:dyDescent="0.25">
      <c r="A142" s="42" t="str" cm="1">
        <f t="array" ref="A142">IFERROR(INDEX(_xlfn._xlws.FILTER(Class_Players!A:A,Class_Players!B:B="Assault"),QUOTIENT(ROW()-ROW($A$2),7)+1),"")</f>
        <v>ProngBastard</v>
      </c>
      <c r="B142" s="42" t="str">
        <f>_xlfn.XLOOKUP(A142,Class_Players!$A:$A,Class_Players!$B:$B,"")</f>
        <v>Assault</v>
      </c>
      <c r="C142" s="48" t="str" cm="1">
        <f t="array" ref="C142">INDEX(Lookups!$A$2:$A$8,MOD(ROW()-ROW($B$2),ROWS(Lookups!$A$2:$A$8))+1)</f>
        <v>Assault Ladder</v>
      </c>
      <c r="D142" s="48" t="str">
        <f>_xlfn.XLOOKUP(C142,Analysis_Gadgets!$C:$C,Analysis_Gadgets!$B:$B)</f>
        <v>Gadget</v>
      </c>
      <c r="E142" s="43">
        <v>3162</v>
      </c>
      <c r="F142" s="43">
        <f>_xlfn.XLOOKUP(A142,Class_Players!A:A,Class_Players!G:G)</f>
        <v>257</v>
      </c>
      <c r="G142" s="43">
        <f t="shared" ref="G142:G155" si="61">IF(F142=0,"",E142/F142)</f>
        <v>12.303501945525293</v>
      </c>
      <c r="H142" s="43">
        <f>_xlfn.XLOOKUP(A142,Class_Players!$A:$A,Class_Players!$F:$F,"")</f>
        <v>13056</v>
      </c>
      <c r="I142" s="44">
        <f t="shared" ref="I142:I155" si="62">IF(H142=0,"",E142/H142)</f>
        <v>0.2421875</v>
      </c>
      <c r="J142" s="43">
        <f t="shared" si="57"/>
        <v>1</v>
      </c>
      <c r="K142" s="44" cm="1">
        <f t="array" ref="K142">IF(D142="Gadget",_xlfn.IFS(I142&gt;=0.2,0.5,I142&gt;=0.1,0.35,I142&gt;=0.05,0.2,TRUE,0),IF(D142="Grenade",_xlfn.IFS(I142&gt;=0.2,1,I142&gt;=0.1,0.7,I142&gt;=0.05,0.4,TRUE,0),0))</f>
        <v>0.5</v>
      </c>
      <c r="L142" s="57">
        <f t="shared" ref="L142:L146" si="63">IF($K142=0,0,$K142 / SUMIFS($K:$K,$A:$A,$A142,$D:$D,"Gadget"))</f>
        <v>0.5</v>
      </c>
    </row>
    <row r="143" spans="1:12" x14ac:dyDescent="0.25">
      <c r="A143" s="42" t="str" cm="1">
        <f t="array" ref="A143">IFERROR(INDEX(_xlfn._xlws.FILTER(Class_Players!A:A,Class_Players!B:B="Assault"),QUOTIENT(ROW()-ROW($A$2),7)+1),"")</f>
        <v>ProngBastard</v>
      </c>
      <c r="B143" s="42" t="str">
        <f>_xlfn.XLOOKUP(A143,Class_Players!$A:$A,Class_Players!$B:$B,"")</f>
        <v>Assault</v>
      </c>
      <c r="C143" s="48" t="str" cm="1">
        <f t="array" ref="C143">INDEX(Lookups!$A$2:$A$8,MOD(ROW()-ROW($B$2),ROWS(Lookups!$A$2:$A$8))+1)</f>
        <v>X95 BRE (Breaching Projectile Launcher)</v>
      </c>
      <c r="D143" s="48" t="str">
        <f>_xlfn.XLOOKUP(C143,Analysis_Gadgets!$C:$C,Analysis_Gadgets!$B:$B)</f>
        <v>Gadget</v>
      </c>
      <c r="E143" s="43">
        <v>5</v>
      </c>
      <c r="F143" s="43">
        <f>_xlfn.XLOOKUP(A143,Class_Players!A:A,Class_Players!G:G)</f>
        <v>257</v>
      </c>
      <c r="G143" s="43">
        <f t="shared" si="61"/>
        <v>1.9455252918287938E-2</v>
      </c>
      <c r="H143" s="43">
        <f>_xlfn.XLOOKUP(A143,Class_Players!$A:$A,Class_Players!$F:$F,"")</f>
        <v>13056</v>
      </c>
      <c r="I143" s="44">
        <f t="shared" si="62"/>
        <v>3.829656862745098E-4</v>
      </c>
      <c r="J143" s="43">
        <f t="shared" si="57"/>
        <v>0</v>
      </c>
      <c r="K143" s="44" cm="1">
        <f t="array" ref="K143">IF(D143="Gadget",_xlfn.IFS(I143&gt;=0.2,0.5,I143&gt;=0.1,0.35,I143&gt;=0.05,0.2,TRUE,0),IF(D143="Grenade",_xlfn.IFS(I143&gt;=0.2,1,I143&gt;=0.1,0.7,I143&gt;=0.05,0.4,TRUE,0),0))</f>
        <v>0</v>
      </c>
      <c r="L143" s="57">
        <f t="shared" si="63"/>
        <v>0</v>
      </c>
    </row>
    <row r="144" spans="1:12" x14ac:dyDescent="0.25">
      <c r="A144" s="42" t="str" cm="1">
        <f t="array" ref="A144">IFERROR(INDEX(_xlfn._xlws.FILTER(Class_Players!A:A,Class_Players!B:B="Assault"),QUOTIENT(ROW()-ROW($A$2),7)+1),"")</f>
        <v>ProngBastard</v>
      </c>
      <c r="B144" s="42" t="str">
        <f>_xlfn.XLOOKUP(A144,Class_Players!$A:$A,Class_Players!$B:$B,"")</f>
        <v>Assault</v>
      </c>
      <c r="C144" s="48" t="str" cm="1">
        <f t="array" ref="C144">INDEX(Lookups!$A$2:$A$8,MOD(ROW()-ROW($B$2),ROWS(Lookups!$A$2:$A$8))+1)</f>
        <v>M320A1 HE (Grenade Launcher)</v>
      </c>
      <c r="D144" s="48" t="str">
        <f>_xlfn.XLOOKUP(C144,Analysis_Gadgets!$C:$C,Analysis_Gadgets!$B:$B)</f>
        <v>Gadget</v>
      </c>
      <c r="E144" s="43">
        <v>531</v>
      </c>
      <c r="F144" s="43">
        <f>_xlfn.XLOOKUP(A144,Class_Players!A:A,Class_Players!G:G)</f>
        <v>257</v>
      </c>
      <c r="G144" s="43">
        <f t="shared" si="61"/>
        <v>2.0661478599221792</v>
      </c>
      <c r="H144" s="43">
        <f>_xlfn.XLOOKUP(A144,Class_Players!$A:$A,Class_Players!$F:$F,"")</f>
        <v>13056</v>
      </c>
      <c r="I144" s="44">
        <f t="shared" si="62"/>
        <v>4.0670955882352942E-2</v>
      </c>
      <c r="J144" s="43">
        <f t="shared" si="57"/>
        <v>0</v>
      </c>
      <c r="K144" s="44" cm="1">
        <f t="array" ref="K144">IF(D144="Gadget",_xlfn.IFS(I144&gt;=0.2,0.5,I144&gt;=0.1,0.35,I144&gt;=0.05,0.2,TRUE,0),IF(D144="Grenade",_xlfn.IFS(I144&gt;=0.2,1,I144&gt;=0.1,0.7,I144&gt;=0.05,0.4,TRUE,0),0))</f>
        <v>0</v>
      </c>
      <c r="L144" s="57">
        <f t="shared" si="63"/>
        <v>0</v>
      </c>
    </row>
    <row r="145" spans="1:12" x14ac:dyDescent="0.25">
      <c r="A145" s="42" t="str" cm="1">
        <f t="array" ref="A145">IFERROR(INDEX(_xlfn._xlws.FILTER(Class_Players!A:A,Class_Players!B:B="Assault"),QUOTIENT(ROW()-ROW($A$2),7)+1),"")</f>
        <v>ProngBastard</v>
      </c>
      <c r="B145" s="42" t="str">
        <f>_xlfn.XLOOKUP(A145,Class_Players!$A:$A,Class_Players!$B:$B,"")</f>
        <v>Assault</v>
      </c>
      <c r="C145" s="48" t="str" cm="1">
        <f t="array" ref="C145">INDEX(Lookups!$A$2:$A$8,MOD(ROW()-ROW($B$2),ROWS(Lookups!$A$2:$A$8))+1)</f>
        <v>M320A1 THRM    (Incendiary Grenade Launcher)</v>
      </c>
      <c r="D145" s="48" t="str">
        <f>_xlfn.XLOOKUP(C145,Analysis_Gadgets!$C:$C,Analysis_Gadgets!$B:$B)</f>
        <v>Gadget</v>
      </c>
      <c r="E145" s="43">
        <v>120</v>
      </c>
      <c r="F145" s="43">
        <f>_xlfn.XLOOKUP(A145,Class_Players!A:A,Class_Players!G:G)</f>
        <v>257</v>
      </c>
      <c r="G145" s="43">
        <f t="shared" si="61"/>
        <v>0.46692607003891051</v>
      </c>
      <c r="H145" s="43">
        <f>_xlfn.XLOOKUP(A145,Class_Players!$A:$A,Class_Players!$F:$F,"")</f>
        <v>13056</v>
      </c>
      <c r="I145" s="44">
        <f t="shared" si="62"/>
        <v>9.1911764705882356E-3</v>
      </c>
      <c r="J145" s="43">
        <f t="shared" si="57"/>
        <v>0</v>
      </c>
      <c r="K145" s="44" cm="1">
        <f t="array" ref="K145">IF(D145="Gadget",_xlfn.IFS(I145&gt;=0.2,0.5,I145&gt;=0.1,0.35,I145&gt;=0.05,0.2,TRUE,0),IF(D145="Grenade",_xlfn.IFS(I145&gt;=0.2,1,I145&gt;=0.1,0.7,I145&gt;=0.05,0.4,TRUE,0),0))</f>
        <v>0</v>
      </c>
      <c r="L145" s="57">
        <f t="shared" si="63"/>
        <v>0</v>
      </c>
    </row>
    <row r="146" spans="1:12" x14ac:dyDescent="0.25">
      <c r="A146" s="42" t="str" cm="1">
        <f t="array" ref="A146">IFERROR(INDEX(_xlfn._xlws.FILTER(Class_Players!A:A,Class_Players!B:B="Assault"),QUOTIENT(ROW()-ROW($A$2),7)+1),"")</f>
        <v>ProngBastard</v>
      </c>
      <c r="B146" s="42" t="str">
        <f>_xlfn.XLOOKUP(A146,Class_Players!$A:$A,Class_Players!$B:$B,"")</f>
        <v>Assault</v>
      </c>
      <c r="C146" s="48" t="str" cm="1">
        <f t="array" ref="C146">INDEX(Lookups!$A$2:$A$8,MOD(ROW()-ROW($B$2),ROWS(Lookups!$A$2:$A$8))+1)</f>
        <v>QLINK (Deploy Beacon)</v>
      </c>
      <c r="D146" s="48" t="str">
        <f>_xlfn.XLOOKUP(C146,Analysis_Gadgets!$C:$C,Analysis_Gadgets!$B:$B)</f>
        <v>Gadget</v>
      </c>
      <c r="E146" s="43">
        <v>10308</v>
      </c>
      <c r="F146" s="43">
        <f>_xlfn.XLOOKUP(A146,Class_Players!A:A,Class_Players!G:G)</f>
        <v>257</v>
      </c>
      <c r="G146" s="43">
        <f t="shared" si="61"/>
        <v>40.108949416342412</v>
      </c>
      <c r="H146" s="43">
        <f>_xlfn.XLOOKUP(A146,Class_Players!$A:$A,Class_Players!$F:$F,"")</f>
        <v>13056</v>
      </c>
      <c r="I146" s="44">
        <f t="shared" si="62"/>
        <v>0.78952205882352944</v>
      </c>
      <c r="J146" s="43">
        <f t="shared" si="57"/>
        <v>1</v>
      </c>
      <c r="K146" s="44" cm="1">
        <f t="array" ref="K146">IF(D146="Gadget",_xlfn.IFS(I146&gt;=0.2,0.5,I146&gt;=0.1,0.35,I146&gt;=0.05,0.2,TRUE,0),IF(D146="Grenade",_xlfn.IFS(I146&gt;=0.2,1,I146&gt;=0.1,0.7,I146&gt;=0.05,0.4,TRUE,0),0))</f>
        <v>0.5</v>
      </c>
      <c r="L146" s="57">
        <f t="shared" si="63"/>
        <v>0.5</v>
      </c>
    </row>
    <row r="147" spans="1:12" x14ac:dyDescent="0.25">
      <c r="A147" s="42" t="str" cm="1">
        <f t="array" ref="A147">IFERROR(INDEX(_xlfn._xlws.FILTER(Class_Players!A:A,Class_Players!B:B="Assault"),QUOTIENT(ROW()-ROW($A$2),7)+1),"")</f>
        <v>ProngBastard</v>
      </c>
      <c r="B147" s="42" t="str">
        <f>_xlfn.XLOOKUP(A147,Class_Players!$A:$A,Class_Players!$B:$B,"")</f>
        <v>Assault</v>
      </c>
      <c r="C147" s="48" t="str" cm="1">
        <f t="array" ref="C147">INDEX(Lookups!$A$2:$A$8,MOD(ROW()-ROW($B$2),ROWS(Lookups!$A$2:$A$8))+1)</f>
        <v>Stun Grenade</v>
      </c>
      <c r="D147" s="48" t="str">
        <f>_xlfn.XLOOKUP(C147,Analysis_Gadgets!$C:$C,Analysis_Gadgets!$B:$B)</f>
        <v>Grenade</v>
      </c>
      <c r="E147" s="43">
        <v>80</v>
      </c>
      <c r="F147" s="43">
        <f>_xlfn.XLOOKUP(A147,Class_Players!A:A,Class_Players!G:G)</f>
        <v>257</v>
      </c>
      <c r="G147" s="43">
        <f t="shared" si="61"/>
        <v>0.31128404669260701</v>
      </c>
      <c r="H147" s="43">
        <f>_xlfn.XLOOKUP(A147,Class_Players!$A:$A,Class_Players!$F:$F,"")</f>
        <v>13056</v>
      </c>
      <c r="I147" s="44">
        <f t="shared" si="62"/>
        <v>6.1274509803921568E-3</v>
      </c>
      <c r="J147" s="43">
        <f t="shared" si="57"/>
        <v>0</v>
      </c>
      <c r="K147" s="44" cm="1">
        <f t="array" ref="K147">IF(D147="Gadget",_xlfn.IFS(I147&gt;=0.2,0.5,I147&gt;=0.1,0.35,I147&gt;=0.05,0.2,TRUE,0),IF(D147="Grenade",_xlfn.IFS(I147&gt;=0.2,1,I147&gt;=0.1,0.7,I147&gt;=0.05,0.4,TRUE,0),0))</f>
        <v>0</v>
      </c>
      <c r="L147" s="57">
        <f t="shared" ref="L147:L148" si="64">IF($K147=0,0,$K147 / SUMIFS($K:$K,$A:$A,$A147,$D:$D,"Grenade"))</f>
        <v>0</v>
      </c>
    </row>
    <row r="148" spans="1:12" x14ac:dyDescent="0.25">
      <c r="A148" s="42" t="str" cm="1">
        <f t="array" ref="A148">IFERROR(INDEX(_xlfn._xlws.FILTER(Class_Players!A:A,Class_Players!B:B="Assault"),QUOTIENT(ROW()-ROW($A$2),7)+1),"")</f>
        <v>ProngBastard</v>
      </c>
      <c r="B148" s="42" t="str">
        <f>_xlfn.XLOOKUP(A148,Class_Players!$A:$A,Class_Players!$B:$B,"")</f>
        <v>Assault</v>
      </c>
      <c r="C148" s="48" t="str" cm="1">
        <f t="array" ref="C148">INDEX(Lookups!$A$2:$A$8,MOD(ROW()-ROW($B$2),ROWS(Lookups!$A$2:$A$8))+1)</f>
        <v>Flash Grenade</v>
      </c>
      <c r="D148" s="48" t="str">
        <f>_xlfn.XLOOKUP(C148,Analysis_Gadgets!$C:$C,Analysis_Gadgets!$B:$B)</f>
        <v>Grenade</v>
      </c>
      <c r="E148" s="43">
        <v>0</v>
      </c>
      <c r="F148" s="43">
        <f>_xlfn.XLOOKUP(A148,Class_Players!A:A,Class_Players!G:G)</f>
        <v>257</v>
      </c>
      <c r="G148" s="43">
        <f t="shared" si="61"/>
        <v>0</v>
      </c>
      <c r="H148" s="43">
        <f>_xlfn.XLOOKUP(A148,Class_Players!$A:$A,Class_Players!$F:$F,"")</f>
        <v>13056</v>
      </c>
      <c r="I148" s="44">
        <f t="shared" si="62"/>
        <v>0</v>
      </c>
      <c r="J148" s="43">
        <f t="shared" si="57"/>
        <v>0</v>
      </c>
      <c r="K148" s="44" cm="1">
        <f t="array" ref="K148">IF(D148="Gadget",_xlfn.IFS(I148&gt;=0.2,0.5,I148&gt;=0.1,0.35,I148&gt;=0.05,0.2,TRUE,0),IF(D148="Grenade",_xlfn.IFS(I148&gt;=0.2,1,I148&gt;=0.1,0.7,I148&gt;=0.05,0.4,TRUE,0),0))</f>
        <v>0</v>
      </c>
      <c r="L148" s="57">
        <f t="shared" si="64"/>
        <v>0</v>
      </c>
    </row>
    <row r="149" spans="1:12" x14ac:dyDescent="0.25">
      <c r="A149" s="42" t="str" cm="1">
        <f t="array" ref="A149">IFERROR(INDEX(_xlfn._xlws.FILTER(Class_Players!A:A,Class_Players!B:B="Assault"),QUOTIENT(ROW()-ROW($A$2),7)+1),"")</f>
        <v>Tboss_3000</v>
      </c>
      <c r="B149" s="42" t="str">
        <f>_xlfn.XLOOKUP(A149,Class_Players!$A:$A,Class_Players!$B:$B,"")</f>
        <v>Assault</v>
      </c>
      <c r="C149" s="48" t="str" cm="1">
        <f t="array" ref="C149">INDEX(Lookups!$A$2:$A$8,MOD(ROW()-ROW($B$2),ROWS(Lookups!$A$2:$A$8))+1)</f>
        <v>Assault Ladder</v>
      </c>
      <c r="D149" s="48" t="str">
        <f>_xlfn.XLOOKUP(C149,Analysis_Gadgets!$C:$C,Analysis_Gadgets!$B:$B)</f>
        <v>Gadget</v>
      </c>
      <c r="E149" s="43">
        <v>182</v>
      </c>
      <c r="F149" s="43">
        <f>_xlfn.XLOOKUP(A149,Class_Players!A:A,Class_Players!G:G)</f>
        <v>184</v>
      </c>
      <c r="G149" s="43">
        <f t="shared" si="61"/>
        <v>0.98913043478260865</v>
      </c>
      <c r="H149" s="43">
        <f>_xlfn.XLOOKUP(A149,Class_Players!$A:$A,Class_Players!$F:$F,"")</f>
        <v>16373</v>
      </c>
      <c r="I149" s="44">
        <f t="shared" si="62"/>
        <v>1.1115861479264643E-2</v>
      </c>
      <c r="J149" s="43">
        <f t="shared" si="57"/>
        <v>0</v>
      </c>
      <c r="K149" s="44" cm="1">
        <f t="array" ref="K149">IF(D149="Gadget",_xlfn.IFS(I149&gt;=0.2,0.5,I149&gt;=0.1,0.35,I149&gt;=0.05,0.2,TRUE,0),IF(D149="Grenade",_xlfn.IFS(I149&gt;=0.2,1,I149&gt;=0.1,0.7,I149&gt;=0.05,0.4,TRUE,0),0))</f>
        <v>0</v>
      </c>
      <c r="L149" s="57">
        <f t="shared" ref="L149:L153" si="65">IF($K149=0,0,$K149 / SUMIFS($K:$K,$A:$A,$A149,$D:$D,"Gadget"))</f>
        <v>0</v>
      </c>
    </row>
    <row r="150" spans="1:12" x14ac:dyDescent="0.25">
      <c r="A150" s="42" t="str" cm="1">
        <f t="array" ref="A150">IFERROR(INDEX(_xlfn._xlws.FILTER(Class_Players!A:A,Class_Players!B:B="Assault"),QUOTIENT(ROW()-ROW($A$2),7)+1),"")</f>
        <v>Tboss_3000</v>
      </c>
      <c r="B150" s="42" t="str">
        <f>_xlfn.XLOOKUP(A150,Class_Players!$A:$A,Class_Players!$B:$B,"")</f>
        <v>Assault</v>
      </c>
      <c r="C150" s="48" t="str" cm="1">
        <f t="array" ref="C150">INDEX(Lookups!$A$2:$A$8,MOD(ROW()-ROW($B$2),ROWS(Lookups!$A$2:$A$8))+1)</f>
        <v>X95 BRE (Breaching Projectile Launcher)</v>
      </c>
      <c r="D150" s="48" t="str">
        <f>_xlfn.XLOOKUP(C150,Analysis_Gadgets!$C:$C,Analysis_Gadgets!$B:$B)</f>
        <v>Gadget</v>
      </c>
      <c r="E150" s="43">
        <v>0</v>
      </c>
      <c r="F150" s="43">
        <f>_xlfn.XLOOKUP(A150,Class_Players!A:A,Class_Players!G:G)</f>
        <v>184</v>
      </c>
      <c r="G150" s="43">
        <f t="shared" si="61"/>
        <v>0</v>
      </c>
      <c r="H150" s="43">
        <f>_xlfn.XLOOKUP(A150,Class_Players!$A:$A,Class_Players!$F:$F,"")</f>
        <v>16373</v>
      </c>
      <c r="I150" s="44">
        <f t="shared" si="62"/>
        <v>0</v>
      </c>
      <c r="J150" s="43">
        <f t="shared" si="57"/>
        <v>0</v>
      </c>
      <c r="K150" s="44" cm="1">
        <f t="array" ref="K150">IF(D150="Gadget",_xlfn.IFS(I150&gt;=0.2,0.5,I150&gt;=0.1,0.35,I150&gt;=0.05,0.2,TRUE,0),IF(D150="Grenade",_xlfn.IFS(I150&gt;=0.2,1,I150&gt;=0.1,0.7,I150&gt;=0.05,0.4,TRUE,0),0))</f>
        <v>0</v>
      </c>
      <c r="L150" s="57">
        <f t="shared" si="65"/>
        <v>0</v>
      </c>
    </row>
    <row r="151" spans="1:12" x14ac:dyDescent="0.25">
      <c r="A151" s="42" t="str" cm="1">
        <f t="array" ref="A151">IFERROR(INDEX(_xlfn._xlws.FILTER(Class_Players!A:A,Class_Players!B:B="Assault"),QUOTIENT(ROW()-ROW($A$2),7)+1),"")</f>
        <v>Tboss_3000</v>
      </c>
      <c r="B151" s="42" t="str">
        <f>_xlfn.XLOOKUP(A151,Class_Players!$A:$A,Class_Players!$B:$B,"")</f>
        <v>Assault</v>
      </c>
      <c r="C151" s="48" t="str" cm="1">
        <f t="array" ref="C151">INDEX(Lookups!$A$2:$A$8,MOD(ROW()-ROW($B$2),ROWS(Lookups!$A$2:$A$8))+1)</f>
        <v>M320A1 HE (Grenade Launcher)</v>
      </c>
      <c r="D151" s="48" t="str">
        <f>_xlfn.XLOOKUP(C151,Analysis_Gadgets!$C:$C,Analysis_Gadgets!$B:$B)</f>
        <v>Gadget</v>
      </c>
      <c r="E151" s="43">
        <v>317</v>
      </c>
      <c r="F151" s="43">
        <f>_xlfn.XLOOKUP(A151,Class_Players!A:A,Class_Players!G:G)</f>
        <v>184</v>
      </c>
      <c r="G151" s="43">
        <f t="shared" si="61"/>
        <v>1.7228260869565217</v>
      </c>
      <c r="H151" s="43">
        <f>_xlfn.XLOOKUP(A151,Class_Players!$A:$A,Class_Players!$F:$F,"")</f>
        <v>16373</v>
      </c>
      <c r="I151" s="44">
        <f t="shared" si="62"/>
        <v>1.9361143345752153E-2</v>
      </c>
      <c r="J151" s="43">
        <f t="shared" si="57"/>
        <v>0</v>
      </c>
      <c r="K151" s="44" cm="1">
        <f t="array" ref="K151">IF(D151="Gadget",_xlfn.IFS(I151&gt;=0.2,0.5,I151&gt;=0.1,0.35,I151&gt;=0.05,0.2,TRUE,0),IF(D151="Grenade",_xlfn.IFS(I151&gt;=0.2,1,I151&gt;=0.1,0.7,I151&gt;=0.05,0.4,TRUE,0),0))</f>
        <v>0</v>
      </c>
      <c r="L151" s="57">
        <f t="shared" si="65"/>
        <v>0</v>
      </c>
    </row>
    <row r="152" spans="1:12" x14ac:dyDescent="0.25">
      <c r="A152" s="42" t="str" cm="1">
        <f t="array" ref="A152">IFERROR(INDEX(_xlfn._xlws.FILTER(Class_Players!A:A,Class_Players!B:B="Assault"),QUOTIENT(ROW()-ROW($A$2),7)+1),"")</f>
        <v>Tboss_3000</v>
      </c>
      <c r="B152" s="42" t="str">
        <f>_xlfn.XLOOKUP(A152,Class_Players!$A:$A,Class_Players!$B:$B,"")</f>
        <v>Assault</v>
      </c>
      <c r="C152" s="48" t="str" cm="1">
        <f t="array" ref="C152">INDEX(Lookups!$A$2:$A$8,MOD(ROW()-ROW($B$2),ROWS(Lookups!$A$2:$A$8))+1)</f>
        <v>M320A1 THRM    (Incendiary Grenade Launcher)</v>
      </c>
      <c r="D152" s="48" t="str">
        <f>_xlfn.XLOOKUP(C152,Analysis_Gadgets!$C:$C,Analysis_Gadgets!$B:$B)</f>
        <v>Gadget</v>
      </c>
      <c r="E152" s="43">
        <v>297</v>
      </c>
      <c r="F152" s="43">
        <f>_xlfn.XLOOKUP(A152,Class_Players!A:A,Class_Players!G:G)</f>
        <v>184</v>
      </c>
      <c r="G152" s="43">
        <f t="shared" si="61"/>
        <v>1.6141304347826086</v>
      </c>
      <c r="H152" s="43">
        <f>_xlfn.XLOOKUP(A152,Class_Players!$A:$A,Class_Players!$F:$F,"")</f>
        <v>16373</v>
      </c>
      <c r="I152" s="44">
        <f t="shared" si="62"/>
        <v>1.8139620106272521E-2</v>
      </c>
      <c r="J152" s="43">
        <f t="shared" si="57"/>
        <v>0</v>
      </c>
      <c r="K152" s="44" cm="1">
        <f t="array" ref="K152">IF(D152="Gadget",_xlfn.IFS(I152&gt;=0.2,0.5,I152&gt;=0.1,0.35,I152&gt;=0.05,0.2,TRUE,0),IF(D152="Grenade",_xlfn.IFS(I152&gt;=0.2,1,I152&gt;=0.1,0.7,I152&gt;=0.05,0.4,TRUE,0),0))</f>
        <v>0</v>
      </c>
      <c r="L152" s="57">
        <f t="shared" si="65"/>
        <v>0</v>
      </c>
    </row>
    <row r="153" spans="1:12" x14ac:dyDescent="0.25">
      <c r="A153" s="42" t="str" cm="1">
        <f t="array" ref="A153">IFERROR(INDEX(_xlfn._xlws.FILTER(Class_Players!A:A,Class_Players!B:B="Assault"),QUOTIENT(ROW()-ROW($A$2),7)+1),"")</f>
        <v>Tboss_3000</v>
      </c>
      <c r="B153" s="42" t="str">
        <f>_xlfn.XLOOKUP(A153,Class_Players!$A:$A,Class_Players!$B:$B,"")</f>
        <v>Assault</v>
      </c>
      <c r="C153" s="48" t="str" cm="1">
        <f t="array" ref="C153">INDEX(Lookups!$A$2:$A$8,MOD(ROW()-ROW($B$2),ROWS(Lookups!$A$2:$A$8))+1)</f>
        <v>QLINK (Deploy Beacon)</v>
      </c>
      <c r="D153" s="48" t="str">
        <f>_xlfn.XLOOKUP(C153,Analysis_Gadgets!$C:$C,Analysis_Gadgets!$B:$B)</f>
        <v>Gadget</v>
      </c>
      <c r="E153" s="43">
        <v>8</v>
      </c>
      <c r="F153" s="43">
        <f>_xlfn.XLOOKUP(A153,Class_Players!A:A,Class_Players!G:G)</f>
        <v>184</v>
      </c>
      <c r="G153" s="43">
        <f t="shared" si="61"/>
        <v>4.3478260869565216E-2</v>
      </c>
      <c r="H153" s="43">
        <f>_xlfn.XLOOKUP(A153,Class_Players!$A:$A,Class_Players!$F:$F,"")</f>
        <v>16373</v>
      </c>
      <c r="I153" s="44">
        <f t="shared" si="62"/>
        <v>4.8860929579185247E-4</v>
      </c>
      <c r="J153" s="43">
        <f t="shared" si="57"/>
        <v>0</v>
      </c>
      <c r="K153" s="44" cm="1">
        <f t="array" ref="K153">IF(D153="Gadget",_xlfn.IFS(I153&gt;=0.2,0.5,I153&gt;=0.1,0.35,I153&gt;=0.05,0.2,TRUE,0),IF(D153="Grenade",_xlfn.IFS(I153&gt;=0.2,1,I153&gt;=0.1,0.7,I153&gt;=0.05,0.4,TRUE,0),0))</f>
        <v>0</v>
      </c>
      <c r="L153" s="57">
        <f t="shared" si="65"/>
        <v>0</v>
      </c>
    </row>
    <row r="154" spans="1:12" x14ac:dyDescent="0.25">
      <c r="A154" s="42" t="str" cm="1">
        <f t="array" ref="A154">IFERROR(INDEX(_xlfn._xlws.FILTER(Class_Players!A:A,Class_Players!B:B="Assault"),QUOTIENT(ROW()-ROW($A$2),7)+1),"")</f>
        <v>Tboss_3000</v>
      </c>
      <c r="B154" s="42" t="str">
        <f>_xlfn.XLOOKUP(A154,Class_Players!$A:$A,Class_Players!$B:$B,"")</f>
        <v>Assault</v>
      </c>
      <c r="C154" s="48" t="str" cm="1">
        <f t="array" ref="C154">INDEX(Lookups!$A$2:$A$8,MOD(ROW()-ROW($B$2),ROWS(Lookups!$A$2:$A$8))+1)</f>
        <v>Stun Grenade</v>
      </c>
      <c r="D154" s="48" t="str">
        <f>_xlfn.XLOOKUP(C154,Analysis_Gadgets!$C:$C,Analysis_Gadgets!$B:$B)</f>
        <v>Grenade</v>
      </c>
      <c r="E154" s="43">
        <v>34</v>
      </c>
      <c r="F154" s="43">
        <f>_xlfn.XLOOKUP(A154,Class_Players!A:A,Class_Players!G:G)</f>
        <v>184</v>
      </c>
      <c r="G154" s="43">
        <f t="shared" si="61"/>
        <v>0.18478260869565216</v>
      </c>
      <c r="H154" s="43">
        <f>_xlfn.XLOOKUP(A154,Class_Players!$A:$A,Class_Players!$F:$F,"")</f>
        <v>16373</v>
      </c>
      <c r="I154" s="44">
        <f t="shared" si="62"/>
        <v>2.0765895071153729E-3</v>
      </c>
      <c r="J154" s="43">
        <f t="shared" si="57"/>
        <v>0</v>
      </c>
      <c r="K154" s="44" cm="1">
        <f t="array" ref="K154">IF(D154="Gadget",_xlfn.IFS(I154&gt;=0.2,0.5,I154&gt;=0.1,0.35,I154&gt;=0.05,0.2,TRUE,0),IF(D154="Grenade",_xlfn.IFS(I154&gt;=0.2,1,I154&gt;=0.1,0.7,I154&gt;=0.05,0.4,TRUE,0),0))</f>
        <v>0</v>
      </c>
      <c r="L154" s="57">
        <f t="shared" ref="L154:L155" si="66">IF($K154=0,0,$K154 / SUMIFS($K:$K,$A:$A,$A154,$D:$D,"Grenade"))</f>
        <v>0</v>
      </c>
    </row>
    <row r="155" spans="1:12" x14ac:dyDescent="0.25">
      <c r="A155" s="42" t="str" cm="1">
        <f t="array" ref="A155">IFERROR(INDEX(_xlfn._xlws.FILTER(Class_Players!A:A,Class_Players!B:B="Assault"),QUOTIENT(ROW()-ROW($A$2),7)+1),"")</f>
        <v>Tboss_3000</v>
      </c>
      <c r="B155" s="42" t="str">
        <f>_xlfn.XLOOKUP(A155,Class_Players!$A:$A,Class_Players!$B:$B,"")</f>
        <v>Assault</v>
      </c>
      <c r="C155" s="48" t="str" cm="1">
        <f t="array" ref="C155">INDEX(Lookups!$A$2:$A$8,MOD(ROW()-ROW($B$2),ROWS(Lookups!$A$2:$A$8))+1)</f>
        <v>Flash Grenade</v>
      </c>
      <c r="D155" s="48" t="str">
        <f>_xlfn.XLOOKUP(C155,Analysis_Gadgets!$C:$C,Analysis_Gadgets!$B:$B)</f>
        <v>Grenade</v>
      </c>
      <c r="E155" s="43">
        <v>43</v>
      </c>
      <c r="F155" s="43">
        <f>_xlfn.XLOOKUP(A155,Class_Players!A:A,Class_Players!G:G)</f>
        <v>184</v>
      </c>
      <c r="G155" s="43">
        <f t="shared" si="61"/>
        <v>0.23369565217391305</v>
      </c>
      <c r="H155" s="43">
        <f>_xlfn.XLOOKUP(A155,Class_Players!$A:$A,Class_Players!$F:$F,"")</f>
        <v>16373</v>
      </c>
      <c r="I155" s="44">
        <f t="shared" si="62"/>
        <v>2.6262749648812067E-3</v>
      </c>
      <c r="J155" s="43">
        <f t="shared" si="57"/>
        <v>0</v>
      </c>
      <c r="K155" s="44" cm="1">
        <f t="array" ref="K155">IF(D155="Gadget",_xlfn.IFS(I155&gt;=0.2,0.5,I155&gt;=0.1,0.35,I155&gt;=0.05,0.2,TRUE,0),IF(D155="Grenade",_xlfn.IFS(I155&gt;=0.2,1,I155&gt;=0.1,0.7,I155&gt;=0.05,0.4,TRUE,0),0))</f>
        <v>0</v>
      </c>
      <c r="L155" s="57">
        <f t="shared" si="66"/>
        <v>0</v>
      </c>
    </row>
    <row r="156" spans="1:12" x14ac:dyDescent="0.25">
      <c r="A156" s="42" t="str" cm="1">
        <f t="array" ref="A156">IFERROR(INDEX(_xlfn._xlws.FILTER(Class_Players!A:A,Class_Players!B:B="Assault"),QUOTIENT(ROW()-ROW($A$2),7)+1),"")</f>
        <v>手柄PRO哥</v>
      </c>
      <c r="B156" s="42" t="str">
        <f>_xlfn.XLOOKUP(A156,Class_Players!$A:$A,Class_Players!$B:$B,"")</f>
        <v>Assault</v>
      </c>
      <c r="C156" s="48" t="str" cm="1">
        <f t="array" ref="C156">INDEX(Lookups!$A$2:$A$8,MOD(ROW()-ROW($B$2),ROWS(Lookups!$A$2:$A$8))+1)</f>
        <v>Assault Ladder</v>
      </c>
      <c r="D156" s="48" t="str">
        <f>_xlfn.XLOOKUP(C156,Analysis_Gadgets!$C:$C,Analysis_Gadgets!$B:$B)</f>
        <v>Gadget</v>
      </c>
      <c r="E156" s="43">
        <v>181</v>
      </c>
      <c r="F156" s="43">
        <f>_xlfn.XLOOKUP(A156,Class_Players!A:A,Class_Players!G:G)</f>
        <v>230</v>
      </c>
      <c r="G156" s="43">
        <f t="shared" ref="G156:G204" si="67">IF(F156=0,"",E156/F156)</f>
        <v>0.78695652173913044</v>
      </c>
      <c r="H156" s="43">
        <f>_xlfn.XLOOKUP(A156,Class_Players!$A:$A,Class_Players!$F:$F,"")</f>
        <v>12826</v>
      </c>
      <c r="I156" s="44">
        <f t="shared" ref="I156:I204" si="68">IF(H156=0,"",E156/H156)</f>
        <v>1.4111960081085296E-2</v>
      </c>
      <c r="J156" s="43">
        <f t="shared" si="57"/>
        <v>0</v>
      </c>
      <c r="K156" s="44" cm="1">
        <f t="array" ref="K156">IF(D156="Gadget",_xlfn.IFS(I156&gt;=0.2,0.5,I156&gt;=0.1,0.35,I156&gt;=0.05,0.2,TRUE,0),IF(D156="Grenade",_xlfn.IFS(I156&gt;=0.2,1,I156&gt;=0.1,0.7,I156&gt;=0.05,0.4,TRUE,0),0))</f>
        <v>0</v>
      </c>
      <c r="L156" s="57">
        <f t="shared" ref="L156:L160" si="69">IF($K156=0,0,$K156 / SUMIFS($K:$K,$A:$A,$A156,$D:$D,"Gadget"))</f>
        <v>0</v>
      </c>
    </row>
    <row r="157" spans="1:12" x14ac:dyDescent="0.25">
      <c r="A157" s="42" t="str" cm="1">
        <f t="array" ref="A157">IFERROR(INDEX(_xlfn._xlws.FILTER(Class_Players!A:A,Class_Players!B:B="Assault"),QUOTIENT(ROW()-ROW($A$2),7)+1),"")</f>
        <v>手柄PRO哥</v>
      </c>
      <c r="B157" s="42" t="str">
        <f>_xlfn.XLOOKUP(A157,Class_Players!$A:$A,Class_Players!$B:$B,"")</f>
        <v>Assault</v>
      </c>
      <c r="C157" s="48" t="str" cm="1">
        <f t="array" ref="C157">INDEX(Lookups!$A$2:$A$8,MOD(ROW()-ROW($B$2),ROWS(Lookups!$A$2:$A$8))+1)</f>
        <v>X95 BRE (Breaching Projectile Launcher)</v>
      </c>
      <c r="D157" s="48" t="str">
        <f>_xlfn.XLOOKUP(C157,Analysis_Gadgets!$C:$C,Analysis_Gadgets!$B:$B)</f>
        <v>Gadget</v>
      </c>
      <c r="E157" s="43">
        <v>12</v>
      </c>
      <c r="F157" s="43">
        <f>_xlfn.XLOOKUP(A157,Class_Players!A:A,Class_Players!G:G)</f>
        <v>230</v>
      </c>
      <c r="G157" s="43">
        <f t="shared" si="67"/>
        <v>5.2173913043478258E-2</v>
      </c>
      <c r="H157" s="43">
        <f>_xlfn.XLOOKUP(A157,Class_Players!$A:$A,Class_Players!$F:$F,"")</f>
        <v>12826</v>
      </c>
      <c r="I157" s="44">
        <f t="shared" si="68"/>
        <v>9.3559956338687042E-4</v>
      </c>
      <c r="J157" s="43">
        <f t="shared" si="57"/>
        <v>0</v>
      </c>
      <c r="K157" s="44" cm="1">
        <f t="array" ref="K157">IF(D157="Gadget",_xlfn.IFS(I157&gt;=0.2,0.5,I157&gt;=0.1,0.35,I157&gt;=0.05,0.2,TRUE,0),IF(D157="Grenade",_xlfn.IFS(I157&gt;=0.2,1,I157&gt;=0.1,0.7,I157&gt;=0.05,0.4,TRUE,0),0))</f>
        <v>0</v>
      </c>
      <c r="L157" s="57">
        <f t="shared" si="69"/>
        <v>0</v>
      </c>
    </row>
    <row r="158" spans="1:12" x14ac:dyDescent="0.25">
      <c r="A158" s="42" t="str" cm="1">
        <f t="array" ref="A158">IFERROR(INDEX(_xlfn._xlws.FILTER(Class_Players!A:A,Class_Players!B:B="Assault"),QUOTIENT(ROW()-ROW($A$2),7)+1),"")</f>
        <v>手柄PRO哥</v>
      </c>
      <c r="B158" s="42" t="str">
        <f>_xlfn.XLOOKUP(A158,Class_Players!$A:$A,Class_Players!$B:$B,"")</f>
        <v>Assault</v>
      </c>
      <c r="C158" s="48" t="str" cm="1">
        <f t="array" ref="C158">INDEX(Lookups!$A$2:$A$8,MOD(ROW()-ROW($B$2),ROWS(Lookups!$A$2:$A$8))+1)</f>
        <v>M320A1 HE (Grenade Launcher)</v>
      </c>
      <c r="D158" s="48" t="str">
        <f>_xlfn.XLOOKUP(C158,Analysis_Gadgets!$C:$C,Analysis_Gadgets!$B:$B)</f>
        <v>Gadget</v>
      </c>
      <c r="E158" s="43">
        <v>2168</v>
      </c>
      <c r="F158" s="43">
        <f>_xlfn.XLOOKUP(A158,Class_Players!A:A,Class_Players!G:G)</f>
        <v>230</v>
      </c>
      <c r="G158" s="43">
        <f t="shared" si="67"/>
        <v>9.4260869565217398</v>
      </c>
      <c r="H158" s="43">
        <f>_xlfn.XLOOKUP(A158,Class_Players!$A:$A,Class_Players!$F:$F,"")</f>
        <v>12826</v>
      </c>
      <c r="I158" s="44">
        <f t="shared" si="68"/>
        <v>0.16903165445189458</v>
      </c>
      <c r="J158" s="43">
        <f t="shared" si="57"/>
        <v>1</v>
      </c>
      <c r="K158" s="44" cm="1">
        <f t="array" ref="K158">IF(D158="Gadget",_xlfn.IFS(I158&gt;=0.2,0.5,I158&gt;=0.1,0.35,I158&gt;=0.05,0.2,TRUE,0),IF(D158="Grenade",_xlfn.IFS(I158&gt;=0.2,1,I158&gt;=0.1,0.7,I158&gt;=0.05,0.4,TRUE,0),0))</f>
        <v>0.35</v>
      </c>
      <c r="L158" s="57">
        <f t="shared" si="69"/>
        <v>0.41176470588235292</v>
      </c>
    </row>
    <row r="159" spans="1:12" x14ac:dyDescent="0.25">
      <c r="A159" s="42" t="str" cm="1">
        <f t="array" ref="A159">IFERROR(INDEX(_xlfn._xlws.FILTER(Class_Players!A:A,Class_Players!B:B="Assault"),QUOTIENT(ROW()-ROW($A$2),7)+1),"")</f>
        <v>手柄PRO哥</v>
      </c>
      <c r="B159" s="42" t="str">
        <f>_xlfn.XLOOKUP(A159,Class_Players!$A:$A,Class_Players!$B:$B,"")</f>
        <v>Assault</v>
      </c>
      <c r="C159" s="48" t="str" cm="1">
        <f t="array" ref="C159">INDEX(Lookups!$A$2:$A$8,MOD(ROW()-ROW($B$2),ROWS(Lookups!$A$2:$A$8))+1)</f>
        <v>M320A1 THRM    (Incendiary Grenade Launcher)</v>
      </c>
      <c r="D159" s="48" t="str">
        <f>_xlfn.XLOOKUP(C159,Analysis_Gadgets!$C:$C,Analysis_Gadgets!$B:$B)</f>
        <v>Gadget</v>
      </c>
      <c r="E159" s="43">
        <v>26</v>
      </c>
      <c r="F159" s="43">
        <f>_xlfn.XLOOKUP(A159,Class_Players!A:A,Class_Players!G:G)</f>
        <v>230</v>
      </c>
      <c r="G159" s="43">
        <f t="shared" si="67"/>
        <v>0.11304347826086956</v>
      </c>
      <c r="H159" s="43">
        <f>_xlfn.XLOOKUP(A159,Class_Players!$A:$A,Class_Players!$F:$F,"")</f>
        <v>12826</v>
      </c>
      <c r="I159" s="44">
        <f t="shared" si="68"/>
        <v>2.0271323873382193E-3</v>
      </c>
      <c r="J159" s="43">
        <f t="shared" si="57"/>
        <v>0</v>
      </c>
      <c r="K159" s="44" cm="1">
        <f t="array" ref="K159">IF(D159="Gadget",_xlfn.IFS(I159&gt;=0.2,0.5,I159&gt;=0.1,0.35,I159&gt;=0.05,0.2,TRUE,0),IF(D159="Grenade",_xlfn.IFS(I159&gt;=0.2,1,I159&gt;=0.1,0.7,I159&gt;=0.05,0.4,TRUE,0),0))</f>
        <v>0</v>
      </c>
      <c r="L159" s="57">
        <f t="shared" si="69"/>
        <v>0</v>
      </c>
    </row>
    <row r="160" spans="1:12" x14ac:dyDescent="0.25">
      <c r="A160" s="42" t="str" cm="1">
        <f t="array" ref="A160">IFERROR(INDEX(_xlfn._xlws.FILTER(Class_Players!A:A,Class_Players!B:B="Assault"),QUOTIENT(ROW()-ROW($A$2),7)+1),"")</f>
        <v>手柄PRO哥</v>
      </c>
      <c r="B160" s="42" t="str">
        <f>_xlfn.XLOOKUP(A160,Class_Players!$A:$A,Class_Players!$B:$B,"")</f>
        <v>Assault</v>
      </c>
      <c r="C160" s="48" t="str" cm="1">
        <f t="array" ref="C160">INDEX(Lookups!$A$2:$A$8,MOD(ROW()-ROW($B$2),ROWS(Lookups!$A$2:$A$8))+1)</f>
        <v>QLINK (Deploy Beacon)</v>
      </c>
      <c r="D160" s="48" t="str">
        <f>_xlfn.XLOOKUP(C160,Analysis_Gadgets!$C:$C,Analysis_Gadgets!$B:$B)</f>
        <v>Gadget</v>
      </c>
      <c r="E160" s="43">
        <v>3548</v>
      </c>
      <c r="F160" s="43">
        <f>_xlfn.XLOOKUP(A160,Class_Players!A:A,Class_Players!G:G)</f>
        <v>230</v>
      </c>
      <c r="G160" s="43">
        <f t="shared" si="67"/>
        <v>15.42608695652174</v>
      </c>
      <c r="H160" s="43">
        <f>_xlfn.XLOOKUP(A160,Class_Players!$A:$A,Class_Players!$F:$F,"")</f>
        <v>12826</v>
      </c>
      <c r="I160" s="44">
        <f t="shared" si="68"/>
        <v>0.27662560424138471</v>
      </c>
      <c r="J160" s="43">
        <f t="shared" si="57"/>
        <v>1</v>
      </c>
      <c r="K160" s="44" cm="1">
        <f t="array" ref="K160">IF(D160="Gadget",_xlfn.IFS(I160&gt;=0.2,0.5,I160&gt;=0.1,0.35,I160&gt;=0.05,0.2,TRUE,0),IF(D160="Grenade",_xlfn.IFS(I160&gt;=0.2,1,I160&gt;=0.1,0.7,I160&gt;=0.05,0.4,TRUE,0),0))</f>
        <v>0.5</v>
      </c>
      <c r="L160" s="57">
        <f t="shared" si="69"/>
        <v>0.58823529411764708</v>
      </c>
    </row>
    <row r="161" spans="1:12" x14ac:dyDescent="0.25">
      <c r="A161" s="42" t="str" cm="1">
        <f t="array" ref="A161">IFERROR(INDEX(_xlfn._xlws.FILTER(Class_Players!A:A,Class_Players!B:B="Assault"),QUOTIENT(ROW()-ROW($A$2),7)+1),"")</f>
        <v>手柄PRO哥</v>
      </c>
      <c r="B161" s="42" t="str">
        <f>_xlfn.XLOOKUP(A161,Class_Players!$A:$A,Class_Players!$B:$B,"")</f>
        <v>Assault</v>
      </c>
      <c r="C161" s="48" t="str" cm="1">
        <f t="array" ref="C161">INDEX(Lookups!$A$2:$A$8,MOD(ROW()-ROW($B$2),ROWS(Lookups!$A$2:$A$8))+1)</f>
        <v>Stun Grenade</v>
      </c>
      <c r="D161" s="48" t="str">
        <f>_xlfn.XLOOKUP(C161,Analysis_Gadgets!$C:$C,Analysis_Gadgets!$B:$B)</f>
        <v>Grenade</v>
      </c>
      <c r="E161" s="43">
        <v>203</v>
      </c>
      <c r="F161" s="43">
        <f>_xlfn.XLOOKUP(A161,Class_Players!A:A,Class_Players!G:G)</f>
        <v>230</v>
      </c>
      <c r="G161" s="43">
        <f t="shared" si="67"/>
        <v>0.88260869565217392</v>
      </c>
      <c r="H161" s="43">
        <f>_xlfn.XLOOKUP(A161,Class_Players!$A:$A,Class_Players!$F:$F,"")</f>
        <v>12826</v>
      </c>
      <c r="I161" s="44">
        <f t="shared" si="68"/>
        <v>1.5827225947294559E-2</v>
      </c>
      <c r="J161" s="43">
        <f t="shared" si="57"/>
        <v>0</v>
      </c>
      <c r="K161" s="44" cm="1">
        <f t="array" ref="K161">IF(D161="Gadget",_xlfn.IFS(I161&gt;=0.2,0.5,I161&gt;=0.1,0.35,I161&gt;=0.05,0.2,TRUE,0),IF(D161="Grenade",_xlfn.IFS(I161&gt;=0.2,1,I161&gt;=0.1,0.7,I161&gt;=0.05,0.4,TRUE,0),0))</f>
        <v>0</v>
      </c>
      <c r="L161" s="57">
        <f t="shared" ref="L161:L162" si="70">IF($K161=0,0,$K161 / SUMIFS($K:$K,$A:$A,$A161,$D:$D,"Grenade"))</f>
        <v>0</v>
      </c>
    </row>
    <row r="162" spans="1:12" x14ac:dyDescent="0.25">
      <c r="A162" s="42" t="str" cm="1">
        <f t="array" ref="A162">IFERROR(INDEX(_xlfn._xlws.FILTER(Class_Players!A:A,Class_Players!B:B="Assault"),QUOTIENT(ROW()-ROW($A$2),7)+1),"")</f>
        <v>手柄PRO哥</v>
      </c>
      <c r="B162" s="42" t="str">
        <f>_xlfn.XLOOKUP(A162,Class_Players!$A:$A,Class_Players!$B:$B,"")</f>
        <v>Assault</v>
      </c>
      <c r="C162" s="48" t="str" cm="1">
        <f t="array" ref="C162">INDEX(Lookups!$A$2:$A$8,MOD(ROW()-ROW($B$2),ROWS(Lookups!$A$2:$A$8))+1)</f>
        <v>Flash Grenade</v>
      </c>
      <c r="D162" s="48" t="str">
        <f>_xlfn.XLOOKUP(C162,Analysis_Gadgets!$C:$C,Analysis_Gadgets!$B:$B)</f>
        <v>Grenade</v>
      </c>
      <c r="E162" s="43">
        <v>0</v>
      </c>
      <c r="F162" s="43">
        <f>_xlfn.XLOOKUP(A162,Class_Players!A:A,Class_Players!G:G)</f>
        <v>230</v>
      </c>
      <c r="G162" s="43">
        <f t="shared" si="67"/>
        <v>0</v>
      </c>
      <c r="H162" s="43">
        <f>_xlfn.XLOOKUP(A162,Class_Players!$A:$A,Class_Players!$F:$F,"")</f>
        <v>12826</v>
      </c>
      <c r="I162" s="44">
        <f t="shared" si="68"/>
        <v>0</v>
      </c>
      <c r="J162" s="43">
        <f t="shared" si="57"/>
        <v>0</v>
      </c>
      <c r="K162" s="44" cm="1">
        <f t="array" ref="K162">IF(D162="Gadget",_xlfn.IFS(I162&gt;=0.2,0.5,I162&gt;=0.1,0.35,I162&gt;=0.05,0.2,TRUE,0),IF(D162="Grenade",_xlfn.IFS(I162&gt;=0.2,1,I162&gt;=0.1,0.7,I162&gt;=0.05,0.4,TRUE,0),0))</f>
        <v>0</v>
      </c>
      <c r="L162" s="57">
        <f t="shared" si="70"/>
        <v>0</v>
      </c>
    </row>
    <row r="163" spans="1:12" x14ac:dyDescent="0.25">
      <c r="A163" s="42" t="str" cm="1">
        <f t="array" ref="A163">IFERROR(INDEX(_xlfn._xlws.FILTER(Class_Players!A:A,Class_Players!B:B="Assault"),QUOTIENT(ROW()-ROW($A$2),7)+1),"")</f>
        <v>11edenprod</v>
      </c>
      <c r="B163" s="42" t="str">
        <f>_xlfn.XLOOKUP(A163,Class_Players!$A:$A,Class_Players!$B:$B,"")</f>
        <v>Assault</v>
      </c>
      <c r="C163" s="48" t="str" cm="1">
        <f t="array" ref="C163">INDEX(Lookups!$A$2:$A$8,MOD(ROW()-ROW($B$2),ROWS(Lookups!$A$2:$A$8))+1)</f>
        <v>Assault Ladder</v>
      </c>
      <c r="D163" s="48" t="str">
        <f>_xlfn.XLOOKUP(C163,Analysis_Gadgets!$C:$C,Analysis_Gadgets!$B:$B)</f>
        <v>Gadget</v>
      </c>
      <c r="E163" s="43">
        <v>61</v>
      </c>
      <c r="F163" s="43">
        <f>_xlfn.XLOOKUP(A163,Class_Players!A:A,Class_Players!G:G)</f>
        <v>119</v>
      </c>
      <c r="G163" s="43">
        <f t="shared" si="67"/>
        <v>0.51260504201680668</v>
      </c>
      <c r="H163" s="43">
        <f>_xlfn.XLOOKUP(A163,Class_Players!$A:$A,Class_Players!$F:$F,"")</f>
        <v>12906</v>
      </c>
      <c r="I163" s="44">
        <f t="shared" si="68"/>
        <v>4.7264838059817137E-3</v>
      </c>
      <c r="J163" s="43">
        <f t="shared" si="57"/>
        <v>0</v>
      </c>
      <c r="K163" s="44" cm="1">
        <f t="array" ref="K163">IF(D163="Gadget",_xlfn.IFS(I163&gt;=0.2,0.5,I163&gt;=0.1,0.35,I163&gt;=0.05,0.2,TRUE,0),IF(D163="Grenade",_xlfn.IFS(I163&gt;=0.2,1,I163&gt;=0.1,0.7,I163&gt;=0.05,0.4,TRUE,0),0))</f>
        <v>0</v>
      </c>
      <c r="L163" s="57">
        <f t="shared" ref="L163:L167" si="71">IF($K163=0,0,$K163 / SUMIFS($K:$K,$A:$A,$A163,$D:$D,"Gadget"))</f>
        <v>0</v>
      </c>
    </row>
    <row r="164" spans="1:12" x14ac:dyDescent="0.25">
      <c r="A164" s="42" t="str" cm="1">
        <f t="array" ref="A164">IFERROR(INDEX(_xlfn._xlws.FILTER(Class_Players!A:A,Class_Players!B:B="Assault"),QUOTIENT(ROW()-ROW($A$2),7)+1),"")</f>
        <v>11edenprod</v>
      </c>
      <c r="B164" s="42" t="str">
        <f>_xlfn.XLOOKUP(A164,Class_Players!$A:$A,Class_Players!$B:$B,"")</f>
        <v>Assault</v>
      </c>
      <c r="C164" s="48" t="str" cm="1">
        <f t="array" ref="C164">INDEX(Lookups!$A$2:$A$8,MOD(ROW()-ROW($B$2),ROWS(Lookups!$A$2:$A$8))+1)</f>
        <v>X95 BRE (Breaching Projectile Launcher)</v>
      </c>
      <c r="D164" s="48" t="str">
        <f>_xlfn.XLOOKUP(C164,Analysis_Gadgets!$C:$C,Analysis_Gadgets!$B:$B)</f>
        <v>Gadget</v>
      </c>
      <c r="E164" s="43">
        <v>0</v>
      </c>
      <c r="F164" s="43">
        <f>_xlfn.XLOOKUP(A164,Class_Players!A:A,Class_Players!G:G)</f>
        <v>119</v>
      </c>
      <c r="G164" s="43">
        <f t="shared" si="67"/>
        <v>0</v>
      </c>
      <c r="H164" s="43">
        <f>_xlfn.XLOOKUP(A164,Class_Players!$A:$A,Class_Players!$F:$F,"")</f>
        <v>12906</v>
      </c>
      <c r="I164" s="44">
        <f t="shared" si="68"/>
        <v>0</v>
      </c>
      <c r="J164" s="43">
        <f t="shared" si="57"/>
        <v>0</v>
      </c>
      <c r="K164" s="44" cm="1">
        <f t="array" ref="K164">IF(D164="Gadget",_xlfn.IFS(I164&gt;=0.2,0.5,I164&gt;=0.1,0.35,I164&gt;=0.05,0.2,TRUE,0),IF(D164="Grenade",_xlfn.IFS(I164&gt;=0.2,1,I164&gt;=0.1,0.7,I164&gt;=0.05,0.4,TRUE,0),0))</f>
        <v>0</v>
      </c>
      <c r="L164" s="57">
        <f t="shared" si="71"/>
        <v>0</v>
      </c>
    </row>
    <row r="165" spans="1:12" x14ac:dyDescent="0.25">
      <c r="A165" s="42" t="str" cm="1">
        <f t="array" ref="A165">IFERROR(INDEX(_xlfn._xlws.FILTER(Class_Players!A:A,Class_Players!B:B="Assault"),QUOTIENT(ROW()-ROW($A$2),7)+1),"")</f>
        <v>11edenprod</v>
      </c>
      <c r="B165" s="42" t="str">
        <f>_xlfn.XLOOKUP(A165,Class_Players!$A:$A,Class_Players!$B:$B,"")</f>
        <v>Assault</v>
      </c>
      <c r="C165" s="48" t="str" cm="1">
        <f t="array" ref="C165">INDEX(Lookups!$A$2:$A$8,MOD(ROW()-ROW($B$2),ROWS(Lookups!$A$2:$A$8))+1)</f>
        <v>M320A1 HE (Grenade Launcher)</v>
      </c>
      <c r="D165" s="48" t="str">
        <f>_xlfn.XLOOKUP(C165,Analysis_Gadgets!$C:$C,Analysis_Gadgets!$B:$B)</f>
        <v>Gadget</v>
      </c>
      <c r="E165" s="43">
        <v>4427</v>
      </c>
      <c r="F165" s="43">
        <f>_xlfn.XLOOKUP(A165,Class_Players!A:A,Class_Players!G:G)</f>
        <v>119</v>
      </c>
      <c r="G165" s="43">
        <f t="shared" si="67"/>
        <v>37.201680672268907</v>
      </c>
      <c r="H165" s="43">
        <f>_xlfn.XLOOKUP(A165,Class_Players!$A:$A,Class_Players!$F:$F,"")</f>
        <v>12906</v>
      </c>
      <c r="I165" s="44">
        <f t="shared" si="68"/>
        <v>0.34301875096854179</v>
      </c>
      <c r="J165" s="43">
        <f t="shared" si="57"/>
        <v>1</v>
      </c>
      <c r="K165" s="44" cm="1">
        <f t="array" ref="K165">IF(D165="Gadget",_xlfn.IFS(I165&gt;=0.2,0.5,I165&gt;=0.1,0.35,I165&gt;=0.05,0.2,TRUE,0),IF(D165="Grenade",_xlfn.IFS(I165&gt;=0.2,1,I165&gt;=0.1,0.7,I165&gt;=0.05,0.4,TRUE,0),0))</f>
        <v>0.5</v>
      </c>
      <c r="L165" s="57">
        <f t="shared" si="71"/>
        <v>1</v>
      </c>
    </row>
    <row r="166" spans="1:12" x14ac:dyDescent="0.25">
      <c r="A166" s="42" t="str" cm="1">
        <f t="array" ref="A166">IFERROR(INDEX(_xlfn._xlws.FILTER(Class_Players!A:A,Class_Players!B:B="Assault"),QUOTIENT(ROW()-ROW($A$2),7)+1),"")</f>
        <v>11edenprod</v>
      </c>
      <c r="B166" s="42" t="str">
        <f>_xlfn.XLOOKUP(A166,Class_Players!$A:$A,Class_Players!$B:$B,"")</f>
        <v>Assault</v>
      </c>
      <c r="C166" s="48" t="str" cm="1">
        <f t="array" ref="C166">INDEX(Lookups!$A$2:$A$8,MOD(ROW()-ROW($B$2),ROWS(Lookups!$A$2:$A$8))+1)</f>
        <v>M320A1 THRM    (Incendiary Grenade Launcher)</v>
      </c>
      <c r="D166" s="48" t="str">
        <f>_xlfn.XLOOKUP(C166,Analysis_Gadgets!$C:$C,Analysis_Gadgets!$B:$B)</f>
        <v>Gadget</v>
      </c>
      <c r="E166" s="43">
        <v>23</v>
      </c>
      <c r="F166" s="43">
        <f>_xlfn.XLOOKUP(A166,Class_Players!A:A,Class_Players!G:G)</f>
        <v>119</v>
      </c>
      <c r="G166" s="43">
        <f t="shared" si="67"/>
        <v>0.19327731092436976</v>
      </c>
      <c r="H166" s="43">
        <f>_xlfn.XLOOKUP(A166,Class_Players!$A:$A,Class_Players!$F:$F,"")</f>
        <v>12906</v>
      </c>
      <c r="I166" s="44">
        <f t="shared" si="68"/>
        <v>1.7821168448783511E-3</v>
      </c>
      <c r="J166" s="43">
        <f t="shared" si="57"/>
        <v>0</v>
      </c>
      <c r="K166" s="44" cm="1">
        <f t="array" ref="K166">IF(D166="Gadget",_xlfn.IFS(I166&gt;=0.2,0.5,I166&gt;=0.1,0.35,I166&gt;=0.05,0.2,TRUE,0),IF(D166="Grenade",_xlfn.IFS(I166&gt;=0.2,1,I166&gt;=0.1,0.7,I166&gt;=0.05,0.4,TRUE,0),0))</f>
        <v>0</v>
      </c>
      <c r="L166" s="57">
        <f t="shared" si="71"/>
        <v>0</v>
      </c>
    </row>
    <row r="167" spans="1:12" x14ac:dyDescent="0.25">
      <c r="A167" s="42" t="str" cm="1">
        <f t="array" ref="A167">IFERROR(INDEX(_xlfn._xlws.FILTER(Class_Players!A:A,Class_Players!B:B="Assault"),QUOTIENT(ROW()-ROW($A$2),7)+1),"")</f>
        <v>11edenprod</v>
      </c>
      <c r="B167" s="42" t="str">
        <f>_xlfn.XLOOKUP(A167,Class_Players!$A:$A,Class_Players!$B:$B,"")</f>
        <v>Assault</v>
      </c>
      <c r="C167" s="48" t="str" cm="1">
        <f t="array" ref="C167">INDEX(Lookups!$A$2:$A$8,MOD(ROW()-ROW($B$2),ROWS(Lookups!$A$2:$A$8))+1)</f>
        <v>QLINK (Deploy Beacon)</v>
      </c>
      <c r="D167" s="48" t="str">
        <f>_xlfn.XLOOKUP(C167,Analysis_Gadgets!$C:$C,Analysis_Gadgets!$B:$B)</f>
        <v>Gadget</v>
      </c>
      <c r="E167" s="43">
        <v>0</v>
      </c>
      <c r="F167" s="43">
        <f>_xlfn.XLOOKUP(A167,Class_Players!A:A,Class_Players!G:G)</f>
        <v>119</v>
      </c>
      <c r="G167" s="43">
        <f t="shared" si="67"/>
        <v>0</v>
      </c>
      <c r="H167" s="43">
        <f>_xlfn.XLOOKUP(A167,Class_Players!$A:$A,Class_Players!$F:$F,"")</f>
        <v>12906</v>
      </c>
      <c r="I167" s="44">
        <f t="shared" si="68"/>
        <v>0</v>
      </c>
      <c r="J167" s="43">
        <f t="shared" si="57"/>
        <v>0</v>
      </c>
      <c r="K167" s="44" cm="1">
        <f t="array" ref="K167">IF(D167="Gadget",_xlfn.IFS(I167&gt;=0.2,0.5,I167&gt;=0.1,0.35,I167&gt;=0.05,0.2,TRUE,0),IF(D167="Grenade",_xlfn.IFS(I167&gt;=0.2,1,I167&gt;=0.1,0.7,I167&gt;=0.05,0.4,TRUE,0),0))</f>
        <v>0</v>
      </c>
      <c r="L167" s="57">
        <f t="shared" si="71"/>
        <v>0</v>
      </c>
    </row>
    <row r="168" spans="1:12" x14ac:dyDescent="0.25">
      <c r="A168" s="42" t="str" cm="1">
        <f t="array" ref="A168">IFERROR(INDEX(_xlfn._xlws.FILTER(Class_Players!A:A,Class_Players!B:B="Assault"),QUOTIENT(ROW()-ROW($A$2),7)+1),"")</f>
        <v>11edenprod</v>
      </c>
      <c r="B168" s="42" t="str">
        <f>_xlfn.XLOOKUP(A168,Class_Players!$A:$A,Class_Players!$B:$B,"")</f>
        <v>Assault</v>
      </c>
      <c r="C168" s="48" t="str" cm="1">
        <f t="array" ref="C168">INDEX(Lookups!$A$2:$A$8,MOD(ROW()-ROW($B$2),ROWS(Lookups!$A$2:$A$8))+1)</f>
        <v>Stun Grenade</v>
      </c>
      <c r="D168" s="48" t="str">
        <f>_xlfn.XLOOKUP(C168,Analysis_Gadgets!$C:$C,Analysis_Gadgets!$B:$B)</f>
        <v>Grenade</v>
      </c>
      <c r="E168" s="43">
        <v>7</v>
      </c>
      <c r="F168" s="43">
        <f>_xlfn.XLOOKUP(A168,Class_Players!A:A,Class_Players!G:G)</f>
        <v>119</v>
      </c>
      <c r="G168" s="43">
        <f t="shared" si="67"/>
        <v>5.8823529411764705E-2</v>
      </c>
      <c r="H168" s="43">
        <f>_xlfn.XLOOKUP(A168,Class_Players!$A:$A,Class_Players!$F:$F,"")</f>
        <v>12906</v>
      </c>
      <c r="I168" s="44">
        <f t="shared" si="68"/>
        <v>5.4238338757167214E-4</v>
      </c>
      <c r="J168" s="43">
        <f t="shared" si="57"/>
        <v>0</v>
      </c>
      <c r="K168" s="44" cm="1">
        <f t="array" ref="K168">IF(D168="Gadget",_xlfn.IFS(I168&gt;=0.2,0.5,I168&gt;=0.1,0.35,I168&gt;=0.05,0.2,TRUE,0),IF(D168="Grenade",_xlfn.IFS(I168&gt;=0.2,1,I168&gt;=0.1,0.7,I168&gt;=0.05,0.4,TRUE,0),0))</f>
        <v>0</v>
      </c>
      <c r="L168" s="57">
        <f t="shared" ref="L168:L169" si="72">IF($K168=0,0,$K168 / SUMIFS($K:$K,$A:$A,$A168,$D:$D,"Grenade"))</f>
        <v>0</v>
      </c>
    </row>
    <row r="169" spans="1:12" x14ac:dyDescent="0.25">
      <c r="A169" s="42" t="str" cm="1">
        <f t="array" ref="A169">IFERROR(INDEX(_xlfn._xlws.FILTER(Class_Players!A:A,Class_Players!B:B="Assault"),QUOTIENT(ROW()-ROW($A$2),7)+1),"")</f>
        <v>11edenprod</v>
      </c>
      <c r="B169" s="42" t="str">
        <f>_xlfn.XLOOKUP(A169,Class_Players!$A:$A,Class_Players!$B:$B,"")</f>
        <v>Assault</v>
      </c>
      <c r="C169" s="48" t="str" cm="1">
        <f t="array" ref="C169">INDEX(Lookups!$A$2:$A$8,MOD(ROW()-ROW($B$2),ROWS(Lookups!$A$2:$A$8))+1)</f>
        <v>Flash Grenade</v>
      </c>
      <c r="D169" s="48" t="str">
        <f>_xlfn.XLOOKUP(C169,Analysis_Gadgets!$C:$C,Analysis_Gadgets!$B:$B)</f>
        <v>Grenade</v>
      </c>
      <c r="E169" s="43">
        <v>1</v>
      </c>
      <c r="F169" s="43">
        <f>_xlfn.XLOOKUP(A169,Class_Players!A:A,Class_Players!G:G)</f>
        <v>119</v>
      </c>
      <c r="G169" s="43">
        <f t="shared" si="67"/>
        <v>8.4033613445378148E-3</v>
      </c>
      <c r="H169" s="43">
        <f>_xlfn.XLOOKUP(A169,Class_Players!$A:$A,Class_Players!$F:$F,"")</f>
        <v>12906</v>
      </c>
      <c r="I169" s="44">
        <f t="shared" si="68"/>
        <v>7.7483341081667443E-5</v>
      </c>
      <c r="J169" s="43">
        <f t="shared" si="57"/>
        <v>0</v>
      </c>
      <c r="K169" s="44" cm="1">
        <f t="array" ref="K169">IF(D169="Gadget",_xlfn.IFS(I169&gt;=0.2,0.5,I169&gt;=0.1,0.35,I169&gt;=0.05,0.2,TRUE,0),IF(D169="Grenade",_xlfn.IFS(I169&gt;=0.2,1,I169&gt;=0.1,0.7,I169&gt;=0.05,0.4,TRUE,0),0))</f>
        <v>0</v>
      </c>
      <c r="L169" s="57">
        <f t="shared" si="72"/>
        <v>0</v>
      </c>
    </row>
    <row r="170" spans="1:12" x14ac:dyDescent="0.25">
      <c r="A170" s="42" t="str" cm="1">
        <f t="array" ref="A170">IFERROR(INDEX(_xlfn._xlws.FILTER(Class_Players!A:A,Class_Players!B:B="Assault"),QUOTIENT(ROW()-ROW($A$2),7)+1),"")</f>
        <v>YunaTatski</v>
      </c>
      <c r="B170" s="42" t="str">
        <f>_xlfn.XLOOKUP(A170,Class_Players!$A:$A,Class_Players!$B:$B,"")</f>
        <v>Assault</v>
      </c>
      <c r="C170" s="48" t="str" cm="1">
        <f t="array" ref="C170">INDEX(Lookups!$A$2:$A$8,MOD(ROW()-ROW($B$2),ROWS(Lookups!$A$2:$A$8))+1)</f>
        <v>Assault Ladder</v>
      </c>
      <c r="D170" s="48" t="str">
        <f>_xlfn.XLOOKUP(C170,Analysis_Gadgets!$C:$C,Analysis_Gadgets!$B:$B)</f>
        <v>Gadget</v>
      </c>
      <c r="E170" s="43">
        <v>4533</v>
      </c>
      <c r="F170" s="43">
        <f>_xlfn.XLOOKUP(A170,Class_Players!A:A,Class_Players!G:G)</f>
        <v>203</v>
      </c>
      <c r="G170" s="43">
        <f t="shared" si="67"/>
        <v>22.330049261083744</v>
      </c>
      <c r="H170" s="43">
        <f>_xlfn.XLOOKUP(A170,Class_Players!$A:$A,Class_Players!$F:$F,"")</f>
        <v>13247</v>
      </c>
      <c r="I170" s="44">
        <f t="shared" si="68"/>
        <v>0.34219068468332453</v>
      </c>
      <c r="J170" s="43">
        <f t="shared" si="57"/>
        <v>1</v>
      </c>
      <c r="K170" s="44" cm="1">
        <f t="array" ref="K170">IF(D170="Gadget",_xlfn.IFS(I170&gt;=0.2,0.5,I170&gt;=0.1,0.35,I170&gt;=0.05,0.2,TRUE,0),IF(D170="Grenade",_xlfn.IFS(I170&gt;=0.2,1,I170&gt;=0.1,0.7,I170&gt;=0.05,0.4,TRUE,0),0))</f>
        <v>0.5</v>
      </c>
      <c r="L170" s="57">
        <f t="shared" ref="L170:L174" si="73">IF($K170=0,0,$K170 / SUMIFS($K:$K,$A:$A,$A170,$D:$D,"Gadget"))</f>
        <v>0.41666666666666669</v>
      </c>
    </row>
    <row r="171" spans="1:12" x14ac:dyDescent="0.25">
      <c r="A171" s="42" t="str" cm="1">
        <f t="array" ref="A171">IFERROR(INDEX(_xlfn._xlws.FILTER(Class_Players!A:A,Class_Players!B:B="Assault"),QUOTIENT(ROW()-ROW($A$2),7)+1),"")</f>
        <v>YunaTatski</v>
      </c>
      <c r="B171" s="42" t="str">
        <f>_xlfn.XLOOKUP(A171,Class_Players!$A:$A,Class_Players!$B:$B,"")</f>
        <v>Assault</v>
      </c>
      <c r="C171" s="48" t="str" cm="1">
        <f t="array" ref="C171">INDEX(Lookups!$A$2:$A$8,MOD(ROW()-ROW($B$2),ROWS(Lookups!$A$2:$A$8))+1)</f>
        <v>X95 BRE (Breaching Projectile Launcher)</v>
      </c>
      <c r="D171" s="48" t="str">
        <f>_xlfn.XLOOKUP(C171,Analysis_Gadgets!$C:$C,Analysis_Gadgets!$B:$B)</f>
        <v>Gadget</v>
      </c>
      <c r="E171" s="43">
        <v>0</v>
      </c>
      <c r="F171" s="43">
        <f>_xlfn.XLOOKUP(A171,Class_Players!A:A,Class_Players!G:G)</f>
        <v>203</v>
      </c>
      <c r="G171" s="43">
        <f t="shared" si="67"/>
        <v>0</v>
      </c>
      <c r="H171" s="43">
        <f>_xlfn.XLOOKUP(A171,Class_Players!$A:$A,Class_Players!$F:$F,"")</f>
        <v>13247</v>
      </c>
      <c r="I171" s="44">
        <f t="shared" si="68"/>
        <v>0</v>
      </c>
      <c r="J171" s="43">
        <f t="shared" si="57"/>
        <v>0</v>
      </c>
      <c r="K171" s="44" cm="1">
        <f t="array" ref="K171">IF(D171="Gadget",_xlfn.IFS(I171&gt;=0.2,0.5,I171&gt;=0.1,0.35,I171&gt;=0.05,0.2,TRUE,0),IF(D171="Grenade",_xlfn.IFS(I171&gt;=0.2,1,I171&gt;=0.1,0.7,I171&gt;=0.05,0.4,TRUE,0),0))</f>
        <v>0</v>
      </c>
      <c r="L171" s="57">
        <f t="shared" si="73"/>
        <v>0</v>
      </c>
    </row>
    <row r="172" spans="1:12" x14ac:dyDescent="0.25">
      <c r="A172" s="42" t="str" cm="1">
        <f t="array" ref="A172">IFERROR(INDEX(_xlfn._xlws.FILTER(Class_Players!A:A,Class_Players!B:B="Assault"),QUOTIENT(ROW()-ROW($A$2),7)+1),"")</f>
        <v>YunaTatski</v>
      </c>
      <c r="B172" s="42" t="str">
        <f>_xlfn.XLOOKUP(A172,Class_Players!$A:$A,Class_Players!$B:$B,"")</f>
        <v>Assault</v>
      </c>
      <c r="C172" s="48" t="str" cm="1">
        <f t="array" ref="C172">INDEX(Lookups!$A$2:$A$8,MOD(ROW()-ROW($B$2),ROWS(Lookups!$A$2:$A$8))+1)</f>
        <v>M320A1 HE (Grenade Launcher)</v>
      </c>
      <c r="D172" s="48" t="str">
        <f>_xlfn.XLOOKUP(C172,Analysis_Gadgets!$C:$C,Analysis_Gadgets!$B:$B)</f>
        <v>Gadget</v>
      </c>
      <c r="E172" s="43">
        <v>880</v>
      </c>
      <c r="F172" s="43">
        <f>_xlfn.XLOOKUP(A172,Class_Players!A:A,Class_Players!G:G)</f>
        <v>203</v>
      </c>
      <c r="G172" s="43">
        <f t="shared" si="67"/>
        <v>4.3349753694581281</v>
      </c>
      <c r="H172" s="43">
        <f>_xlfn.XLOOKUP(A172,Class_Players!$A:$A,Class_Players!$F:$F,"")</f>
        <v>13247</v>
      </c>
      <c r="I172" s="44">
        <f t="shared" si="68"/>
        <v>6.6430135124933953E-2</v>
      </c>
      <c r="J172" s="43">
        <f t="shared" si="57"/>
        <v>0</v>
      </c>
      <c r="K172" s="44" cm="1">
        <f t="array" ref="K172">IF(D172="Gadget",_xlfn.IFS(I172&gt;=0.2,0.5,I172&gt;=0.1,0.35,I172&gt;=0.05,0.2,TRUE,0),IF(D172="Grenade",_xlfn.IFS(I172&gt;=0.2,1,I172&gt;=0.1,0.7,I172&gt;=0.05,0.4,TRUE,0),0))</f>
        <v>0.2</v>
      </c>
      <c r="L172" s="57">
        <f t="shared" si="73"/>
        <v>0.16666666666666669</v>
      </c>
    </row>
    <row r="173" spans="1:12" x14ac:dyDescent="0.25">
      <c r="A173" s="42" t="str" cm="1">
        <f t="array" ref="A173">IFERROR(INDEX(_xlfn._xlws.FILTER(Class_Players!A:A,Class_Players!B:B="Assault"),QUOTIENT(ROW()-ROW($A$2),7)+1),"")</f>
        <v>YunaTatski</v>
      </c>
      <c r="B173" s="42" t="str">
        <f>_xlfn.XLOOKUP(A173,Class_Players!$A:$A,Class_Players!$B:$B,"")</f>
        <v>Assault</v>
      </c>
      <c r="C173" s="48" t="str" cm="1">
        <f t="array" ref="C173">INDEX(Lookups!$A$2:$A$8,MOD(ROW()-ROW($B$2),ROWS(Lookups!$A$2:$A$8))+1)</f>
        <v>M320A1 THRM    (Incendiary Grenade Launcher)</v>
      </c>
      <c r="D173" s="48" t="str">
        <f>_xlfn.XLOOKUP(C173,Analysis_Gadgets!$C:$C,Analysis_Gadgets!$B:$B)</f>
        <v>Gadget</v>
      </c>
      <c r="E173" s="43">
        <v>0</v>
      </c>
      <c r="F173" s="43">
        <f>_xlfn.XLOOKUP(A173,Class_Players!A:A,Class_Players!G:G)</f>
        <v>203</v>
      </c>
      <c r="G173" s="43">
        <f t="shared" si="67"/>
        <v>0</v>
      </c>
      <c r="H173" s="43">
        <f>_xlfn.XLOOKUP(A173,Class_Players!$A:$A,Class_Players!$F:$F,"")</f>
        <v>13247</v>
      </c>
      <c r="I173" s="44">
        <f t="shared" si="68"/>
        <v>0</v>
      </c>
      <c r="J173" s="43">
        <f t="shared" si="57"/>
        <v>0</v>
      </c>
      <c r="K173" s="44" cm="1">
        <f t="array" ref="K173">IF(D173="Gadget",_xlfn.IFS(I173&gt;=0.2,0.5,I173&gt;=0.1,0.35,I173&gt;=0.05,0.2,TRUE,0),IF(D173="Grenade",_xlfn.IFS(I173&gt;=0.2,1,I173&gt;=0.1,0.7,I173&gt;=0.05,0.4,TRUE,0),0))</f>
        <v>0</v>
      </c>
      <c r="L173" s="57">
        <f t="shared" si="73"/>
        <v>0</v>
      </c>
    </row>
    <row r="174" spans="1:12" x14ac:dyDescent="0.25">
      <c r="A174" s="42" t="str" cm="1">
        <f t="array" ref="A174">IFERROR(INDEX(_xlfn._xlws.FILTER(Class_Players!A:A,Class_Players!B:B="Assault"),QUOTIENT(ROW()-ROW($A$2),7)+1),"")</f>
        <v>YunaTatski</v>
      </c>
      <c r="B174" s="42" t="str">
        <f>_xlfn.XLOOKUP(A174,Class_Players!$A:$A,Class_Players!$B:$B,"")</f>
        <v>Assault</v>
      </c>
      <c r="C174" s="48" t="str" cm="1">
        <f t="array" ref="C174">INDEX(Lookups!$A$2:$A$8,MOD(ROW()-ROW($B$2),ROWS(Lookups!$A$2:$A$8))+1)</f>
        <v>QLINK (Deploy Beacon)</v>
      </c>
      <c r="D174" s="48" t="str">
        <f>_xlfn.XLOOKUP(C174,Analysis_Gadgets!$C:$C,Analysis_Gadgets!$B:$B)</f>
        <v>Gadget</v>
      </c>
      <c r="E174" s="43">
        <v>10054</v>
      </c>
      <c r="F174" s="43">
        <f>_xlfn.XLOOKUP(A174,Class_Players!A:A,Class_Players!G:G)</f>
        <v>203</v>
      </c>
      <c r="G174" s="43">
        <f t="shared" si="67"/>
        <v>49.52709359605911</v>
      </c>
      <c r="H174" s="43">
        <f>_xlfn.XLOOKUP(A174,Class_Players!$A:$A,Class_Players!$F:$F,"")</f>
        <v>13247</v>
      </c>
      <c r="I174" s="44">
        <f t="shared" si="68"/>
        <v>0.75896429380237029</v>
      </c>
      <c r="J174" s="43">
        <f t="shared" si="57"/>
        <v>1</v>
      </c>
      <c r="K174" s="44" cm="1">
        <f t="array" ref="K174">IF(D174="Gadget",_xlfn.IFS(I174&gt;=0.2,0.5,I174&gt;=0.1,0.35,I174&gt;=0.05,0.2,TRUE,0),IF(D174="Grenade",_xlfn.IFS(I174&gt;=0.2,1,I174&gt;=0.1,0.7,I174&gt;=0.05,0.4,TRUE,0),0))</f>
        <v>0.5</v>
      </c>
      <c r="L174" s="57">
        <f t="shared" si="73"/>
        <v>0.41666666666666669</v>
      </c>
    </row>
    <row r="175" spans="1:12" x14ac:dyDescent="0.25">
      <c r="A175" s="42" t="str" cm="1">
        <f t="array" ref="A175">IFERROR(INDEX(_xlfn._xlws.FILTER(Class_Players!A:A,Class_Players!B:B="Assault"),QUOTIENT(ROW()-ROW($A$2),7)+1),"")</f>
        <v>YunaTatski</v>
      </c>
      <c r="B175" s="42" t="str">
        <f>_xlfn.XLOOKUP(A175,Class_Players!$A:$A,Class_Players!$B:$B,"")</f>
        <v>Assault</v>
      </c>
      <c r="C175" s="48" t="str" cm="1">
        <f t="array" ref="C175">INDEX(Lookups!$A$2:$A$8,MOD(ROW()-ROW($B$2),ROWS(Lookups!$A$2:$A$8))+1)</f>
        <v>Stun Grenade</v>
      </c>
      <c r="D175" s="48" t="str">
        <f>_xlfn.XLOOKUP(C175,Analysis_Gadgets!$C:$C,Analysis_Gadgets!$B:$B)</f>
        <v>Grenade</v>
      </c>
      <c r="E175" s="43">
        <v>2018</v>
      </c>
      <c r="F175" s="43">
        <f>_xlfn.XLOOKUP(A175,Class_Players!A:A,Class_Players!G:G)</f>
        <v>203</v>
      </c>
      <c r="G175" s="43">
        <f t="shared" si="67"/>
        <v>9.9408866995073897</v>
      </c>
      <c r="H175" s="43">
        <f>_xlfn.XLOOKUP(A175,Class_Players!$A:$A,Class_Players!$F:$F,"")</f>
        <v>13247</v>
      </c>
      <c r="I175" s="44">
        <f t="shared" si="68"/>
        <v>0.1523363780478599</v>
      </c>
      <c r="J175" s="43">
        <f t="shared" si="57"/>
        <v>1</v>
      </c>
      <c r="K175" s="44" cm="1">
        <f t="array" ref="K175">IF(D175="Gadget",_xlfn.IFS(I175&gt;=0.2,0.5,I175&gt;=0.1,0.35,I175&gt;=0.05,0.2,TRUE,0),IF(D175="Grenade",_xlfn.IFS(I175&gt;=0.2,1,I175&gt;=0.1,0.7,I175&gt;=0.05,0.4,TRUE,0),0))</f>
        <v>0.7</v>
      </c>
      <c r="L175" s="57">
        <f t="shared" ref="L175:L176" si="74">IF($K175=0,0,$K175 / SUMIFS($K:$K,$A:$A,$A175,$D:$D,"Grenade"))</f>
        <v>1</v>
      </c>
    </row>
    <row r="176" spans="1:12" x14ac:dyDescent="0.25">
      <c r="A176" s="42" t="str" cm="1">
        <f t="array" ref="A176">IFERROR(INDEX(_xlfn._xlws.FILTER(Class_Players!A:A,Class_Players!B:B="Assault"),QUOTIENT(ROW()-ROW($A$2),7)+1),"")</f>
        <v>YunaTatski</v>
      </c>
      <c r="B176" s="42" t="str">
        <f>_xlfn.XLOOKUP(A176,Class_Players!$A:$A,Class_Players!$B:$B,"")</f>
        <v>Assault</v>
      </c>
      <c r="C176" s="48" t="str" cm="1">
        <f t="array" ref="C176">INDEX(Lookups!$A$2:$A$8,MOD(ROW()-ROW($B$2),ROWS(Lookups!$A$2:$A$8))+1)</f>
        <v>Flash Grenade</v>
      </c>
      <c r="D176" s="48" t="str">
        <f>_xlfn.XLOOKUP(C176,Analysis_Gadgets!$C:$C,Analysis_Gadgets!$B:$B)</f>
        <v>Grenade</v>
      </c>
      <c r="E176" s="43">
        <v>289</v>
      </c>
      <c r="F176" s="43">
        <f>_xlfn.XLOOKUP(A176,Class_Players!A:A,Class_Players!G:G)</f>
        <v>203</v>
      </c>
      <c r="G176" s="43">
        <f t="shared" si="67"/>
        <v>1.4236453201970443</v>
      </c>
      <c r="H176" s="43">
        <f>_xlfn.XLOOKUP(A176,Class_Players!$A:$A,Class_Players!$F:$F,"")</f>
        <v>13247</v>
      </c>
      <c r="I176" s="44">
        <f t="shared" si="68"/>
        <v>2.1816260285347625E-2</v>
      </c>
      <c r="J176" s="43">
        <f t="shared" si="57"/>
        <v>0</v>
      </c>
      <c r="K176" s="44" cm="1">
        <f t="array" ref="K176">IF(D176="Gadget",_xlfn.IFS(I176&gt;=0.2,0.5,I176&gt;=0.1,0.35,I176&gt;=0.05,0.2,TRUE,0),IF(D176="Grenade",_xlfn.IFS(I176&gt;=0.2,1,I176&gt;=0.1,0.7,I176&gt;=0.05,0.4,TRUE,0),0))</f>
        <v>0</v>
      </c>
      <c r="L176" s="57">
        <f t="shared" si="74"/>
        <v>0</v>
      </c>
    </row>
    <row r="177" spans="1:12" x14ac:dyDescent="0.25">
      <c r="A177" s="42" t="str" cm="1">
        <f t="array" ref="A177">IFERROR(INDEX(_xlfn._xlws.FILTER(Class_Players!A:A,Class_Players!B:B="Assault"),QUOTIENT(ROW()-ROW($A$2),7)+1),"")</f>
        <v>SilverVenom</v>
      </c>
      <c r="B177" s="42" t="str">
        <f>_xlfn.XLOOKUP(A177,Class_Players!$A:$A,Class_Players!$B:$B,"")</f>
        <v>Assault</v>
      </c>
      <c r="C177" s="48" t="str" cm="1">
        <f t="array" ref="C177">INDEX(Lookups!$A$2:$A$8,MOD(ROW()-ROW($B$2),ROWS(Lookups!$A$2:$A$8))+1)</f>
        <v>Assault Ladder</v>
      </c>
      <c r="D177" s="48" t="str">
        <f>_xlfn.XLOOKUP(C177,Analysis_Gadgets!$C:$C,Analysis_Gadgets!$B:$B)</f>
        <v>Gadget</v>
      </c>
      <c r="E177" s="43">
        <v>157</v>
      </c>
      <c r="F177" s="43">
        <f>_xlfn.XLOOKUP(A177,Class_Players!A:A,Class_Players!G:G)</f>
        <v>197</v>
      </c>
      <c r="G177" s="43">
        <f t="shared" si="67"/>
        <v>0.79695431472081213</v>
      </c>
      <c r="H177" s="43">
        <f>_xlfn.XLOOKUP(A177,Class_Players!$A:$A,Class_Players!$F:$F,"")</f>
        <v>13125</v>
      </c>
      <c r="I177" s="44">
        <f t="shared" si="68"/>
        <v>1.1961904761904762E-2</v>
      </c>
      <c r="J177" s="43">
        <f t="shared" si="57"/>
        <v>0</v>
      </c>
      <c r="K177" s="44" cm="1">
        <f t="array" ref="K177">IF(D177="Gadget",_xlfn.IFS(I177&gt;=0.2,0.5,I177&gt;=0.1,0.35,I177&gt;=0.05,0.2,TRUE,0),IF(D177="Grenade",_xlfn.IFS(I177&gt;=0.2,1,I177&gt;=0.1,0.7,I177&gt;=0.05,0.4,TRUE,0),0))</f>
        <v>0</v>
      </c>
      <c r="L177" s="57">
        <f t="shared" ref="L177:L181" si="75">IF($K177=0,0,$K177 / SUMIFS($K:$K,$A:$A,$A177,$D:$D,"Gadget"))</f>
        <v>0</v>
      </c>
    </row>
    <row r="178" spans="1:12" x14ac:dyDescent="0.25">
      <c r="A178" s="42" t="str" cm="1">
        <f t="array" ref="A178">IFERROR(INDEX(_xlfn._xlws.FILTER(Class_Players!A:A,Class_Players!B:B="Assault"),QUOTIENT(ROW()-ROW($A$2),7)+1),"")</f>
        <v>SilverVenom</v>
      </c>
      <c r="B178" s="42" t="str">
        <f>_xlfn.XLOOKUP(A178,Class_Players!$A:$A,Class_Players!$B:$B,"")</f>
        <v>Assault</v>
      </c>
      <c r="C178" s="48" t="str" cm="1">
        <f t="array" ref="C178">INDEX(Lookups!$A$2:$A$8,MOD(ROW()-ROW($B$2),ROWS(Lookups!$A$2:$A$8))+1)</f>
        <v>X95 BRE (Breaching Projectile Launcher)</v>
      </c>
      <c r="D178" s="48" t="str">
        <f>_xlfn.XLOOKUP(C178,Analysis_Gadgets!$C:$C,Analysis_Gadgets!$B:$B)</f>
        <v>Gadget</v>
      </c>
      <c r="E178" s="43">
        <v>56</v>
      </c>
      <c r="F178" s="43">
        <f>_xlfn.XLOOKUP(A178,Class_Players!A:A,Class_Players!G:G)</f>
        <v>197</v>
      </c>
      <c r="G178" s="43">
        <f t="shared" si="67"/>
        <v>0.28426395939086296</v>
      </c>
      <c r="H178" s="43">
        <f>_xlfn.XLOOKUP(A178,Class_Players!$A:$A,Class_Players!$F:$F,"")</f>
        <v>13125</v>
      </c>
      <c r="I178" s="44">
        <f t="shared" si="68"/>
        <v>4.2666666666666669E-3</v>
      </c>
      <c r="J178" s="43">
        <f t="shared" si="57"/>
        <v>0</v>
      </c>
      <c r="K178" s="44" cm="1">
        <f t="array" ref="K178">IF(D178="Gadget",_xlfn.IFS(I178&gt;=0.2,0.5,I178&gt;=0.1,0.35,I178&gt;=0.05,0.2,TRUE,0),IF(D178="Grenade",_xlfn.IFS(I178&gt;=0.2,1,I178&gt;=0.1,0.7,I178&gt;=0.05,0.4,TRUE,0),0))</f>
        <v>0</v>
      </c>
      <c r="L178" s="57">
        <f t="shared" si="75"/>
        <v>0</v>
      </c>
    </row>
    <row r="179" spans="1:12" x14ac:dyDescent="0.25">
      <c r="A179" s="42" t="str" cm="1">
        <f t="array" ref="A179">IFERROR(INDEX(_xlfn._xlws.FILTER(Class_Players!A:A,Class_Players!B:B="Assault"),QUOTIENT(ROW()-ROW($A$2),7)+1),"")</f>
        <v>SilverVenom</v>
      </c>
      <c r="B179" s="42" t="str">
        <f>_xlfn.XLOOKUP(A179,Class_Players!$A:$A,Class_Players!$B:$B,"")</f>
        <v>Assault</v>
      </c>
      <c r="C179" s="48" t="str" cm="1">
        <f t="array" ref="C179">INDEX(Lookups!$A$2:$A$8,MOD(ROW()-ROW($B$2),ROWS(Lookups!$A$2:$A$8))+1)</f>
        <v>M320A1 HE (Grenade Launcher)</v>
      </c>
      <c r="D179" s="48" t="str">
        <f>_xlfn.XLOOKUP(C179,Analysis_Gadgets!$C:$C,Analysis_Gadgets!$B:$B)</f>
        <v>Gadget</v>
      </c>
      <c r="E179" s="43">
        <v>2363</v>
      </c>
      <c r="F179" s="43">
        <f>_xlfn.XLOOKUP(A179,Class_Players!A:A,Class_Players!G:G)</f>
        <v>197</v>
      </c>
      <c r="G179" s="43">
        <f t="shared" si="67"/>
        <v>11.99492385786802</v>
      </c>
      <c r="H179" s="43">
        <f>_xlfn.XLOOKUP(A179,Class_Players!$A:$A,Class_Players!$F:$F,"")</f>
        <v>13125</v>
      </c>
      <c r="I179" s="44">
        <f t="shared" si="68"/>
        <v>0.18003809523809525</v>
      </c>
      <c r="J179" s="43">
        <f t="shared" si="57"/>
        <v>1</v>
      </c>
      <c r="K179" s="44" cm="1">
        <f t="array" ref="K179">IF(D179="Gadget",_xlfn.IFS(I179&gt;=0.2,0.5,I179&gt;=0.1,0.35,I179&gt;=0.05,0.2,TRUE,0),IF(D179="Grenade",_xlfn.IFS(I179&gt;=0.2,1,I179&gt;=0.1,0.7,I179&gt;=0.05,0.4,TRUE,0),0))</f>
        <v>0.35</v>
      </c>
      <c r="L179" s="57">
        <f t="shared" si="75"/>
        <v>0.5</v>
      </c>
    </row>
    <row r="180" spans="1:12" x14ac:dyDescent="0.25">
      <c r="A180" s="42" t="str" cm="1">
        <f t="array" ref="A180">IFERROR(INDEX(_xlfn._xlws.FILTER(Class_Players!A:A,Class_Players!B:B="Assault"),QUOTIENT(ROW()-ROW($A$2),7)+1),"")</f>
        <v>SilverVenom</v>
      </c>
      <c r="B180" s="42" t="str">
        <f>_xlfn.XLOOKUP(A180,Class_Players!$A:$A,Class_Players!$B:$B,"")</f>
        <v>Assault</v>
      </c>
      <c r="C180" s="48" t="str" cm="1">
        <f t="array" ref="C180">INDEX(Lookups!$A$2:$A$8,MOD(ROW()-ROW($B$2),ROWS(Lookups!$A$2:$A$8))+1)</f>
        <v>M320A1 THRM    (Incendiary Grenade Launcher)</v>
      </c>
      <c r="D180" s="48" t="str">
        <f>_xlfn.XLOOKUP(C180,Analysis_Gadgets!$C:$C,Analysis_Gadgets!$B:$B)</f>
        <v>Gadget</v>
      </c>
      <c r="E180" s="43">
        <v>1350</v>
      </c>
      <c r="F180" s="43">
        <f>_xlfn.XLOOKUP(A180,Class_Players!A:A,Class_Players!G:G)</f>
        <v>197</v>
      </c>
      <c r="G180" s="43">
        <f t="shared" si="67"/>
        <v>6.8527918781725887</v>
      </c>
      <c r="H180" s="43">
        <f>_xlfn.XLOOKUP(A180,Class_Players!$A:$A,Class_Players!$F:$F,"")</f>
        <v>13125</v>
      </c>
      <c r="I180" s="44">
        <f t="shared" si="68"/>
        <v>0.10285714285714286</v>
      </c>
      <c r="J180" s="43">
        <f t="shared" si="57"/>
        <v>1</v>
      </c>
      <c r="K180" s="44" cm="1">
        <f t="array" ref="K180">IF(D180="Gadget",_xlfn.IFS(I180&gt;=0.2,0.5,I180&gt;=0.1,0.35,I180&gt;=0.05,0.2,TRUE,0),IF(D180="Grenade",_xlfn.IFS(I180&gt;=0.2,1,I180&gt;=0.1,0.7,I180&gt;=0.05,0.4,TRUE,0),0))</f>
        <v>0.35</v>
      </c>
      <c r="L180" s="57">
        <f t="shared" si="75"/>
        <v>0.5</v>
      </c>
    </row>
    <row r="181" spans="1:12" x14ac:dyDescent="0.25">
      <c r="A181" s="42" t="str" cm="1">
        <f t="array" ref="A181">IFERROR(INDEX(_xlfn._xlws.FILTER(Class_Players!A:A,Class_Players!B:B="Assault"),QUOTIENT(ROW()-ROW($A$2),7)+1),"")</f>
        <v>SilverVenom</v>
      </c>
      <c r="B181" s="42" t="str">
        <f>_xlfn.XLOOKUP(A181,Class_Players!$A:$A,Class_Players!$B:$B,"")</f>
        <v>Assault</v>
      </c>
      <c r="C181" s="48" t="str" cm="1">
        <f t="array" ref="C181">INDEX(Lookups!$A$2:$A$8,MOD(ROW()-ROW($B$2),ROWS(Lookups!$A$2:$A$8))+1)</f>
        <v>QLINK (Deploy Beacon)</v>
      </c>
      <c r="D181" s="48" t="str">
        <f>_xlfn.XLOOKUP(C181,Analysis_Gadgets!$C:$C,Analysis_Gadgets!$B:$B)</f>
        <v>Gadget</v>
      </c>
      <c r="E181" s="43">
        <v>551</v>
      </c>
      <c r="F181" s="43">
        <f>_xlfn.XLOOKUP(A181,Class_Players!A:A,Class_Players!G:G)</f>
        <v>197</v>
      </c>
      <c r="G181" s="43">
        <f t="shared" si="67"/>
        <v>2.796954314720812</v>
      </c>
      <c r="H181" s="43">
        <f>_xlfn.XLOOKUP(A181,Class_Players!$A:$A,Class_Players!$F:$F,"")</f>
        <v>13125</v>
      </c>
      <c r="I181" s="44">
        <f t="shared" si="68"/>
        <v>4.1980952380952383E-2</v>
      </c>
      <c r="J181" s="43">
        <f t="shared" si="57"/>
        <v>0</v>
      </c>
      <c r="K181" s="44" cm="1">
        <f t="array" ref="K181">IF(D181="Gadget",_xlfn.IFS(I181&gt;=0.2,0.5,I181&gt;=0.1,0.35,I181&gt;=0.05,0.2,TRUE,0),IF(D181="Grenade",_xlfn.IFS(I181&gt;=0.2,1,I181&gt;=0.1,0.7,I181&gt;=0.05,0.4,TRUE,0),0))</f>
        <v>0</v>
      </c>
      <c r="L181" s="57">
        <f t="shared" si="75"/>
        <v>0</v>
      </c>
    </row>
    <row r="182" spans="1:12" x14ac:dyDescent="0.25">
      <c r="A182" s="42" t="str" cm="1">
        <f t="array" ref="A182">IFERROR(INDEX(_xlfn._xlws.FILTER(Class_Players!A:A,Class_Players!B:B="Assault"),QUOTIENT(ROW()-ROW($A$2),7)+1),"")</f>
        <v>SilverVenom</v>
      </c>
      <c r="B182" s="42" t="str">
        <f>_xlfn.XLOOKUP(A182,Class_Players!$A:$A,Class_Players!$B:$B,"")</f>
        <v>Assault</v>
      </c>
      <c r="C182" s="48" t="str" cm="1">
        <f t="array" ref="C182">INDEX(Lookups!$A$2:$A$8,MOD(ROW()-ROW($B$2),ROWS(Lookups!$A$2:$A$8))+1)</f>
        <v>Stun Grenade</v>
      </c>
      <c r="D182" s="48" t="str">
        <f>_xlfn.XLOOKUP(C182,Analysis_Gadgets!$C:$C,Analysis_Gadgets!$B:$B)</f>
        <v>Grenade</v>
      </c>
      <c r="E182" s="43">
        <v>88</v>
      </c>
      <c r="F182" s="43">
        <f>_xlfn.XLOOKUP(A182,Class_Players!A:A,Class_Players!G:G)</f>
        <v>197</v>
      </c>
      <c r="G182" s="43">
        <f t="shared" si="67"/>
        <v>0.4467005076142132</v>
      </c>
      <c r="H182" s="43">
        <f>_xlfn.XLOOKUP(A182,Class_Players!$A:$A,Class_Players!$F:$F,"")</f>
        <v>13125</v>
      </c>
      <c r="I182" s="44">
        <f t="shared" si="68"/>
        <v>6.7047619047619043E-3</v>
      </c>
      <c r="J182" s="43">
        <f t="shared" si="57"/>
        <v>0</v>
      </c>
      <c r="K182" s="44" cm="1">
        <f t="array" ref="K182">IF(D182="Gadget",_xlfn.IFS(I182&gt;=0.2,0.5,I182&gt;=0.1,0.35,I182&gt;=0.05,0.2,TRUE,0),IF(D182="Grenade",_xlfn.IFS(I182&gt;=0.2,1,I182&gt;=0.1,0.7,I182&gt;=0.05,0.4,TRUE,0),0))</f>
        <v>0</v>
      </c>
      <c r="L182" s="57">
        <f t="shared" ref="L182:L183" si="76">IF($K182=0,0,$K182 / SUMIFS($K:$K,$A:$A,$A182,$D:$D,"Grenade"))</f>
        <v>0</v>
      </c>
    </row>
    <row r="183" spans="1:12" x14ac:dyDescent="0.25">
      <c r="A183" s="42" t="str" cm="1">
        <f t="array" ref="A183">IFERROR(INDEX(_xlfn._xlws.FILTER(Class_Players!A:A,Class_Players!B:B="Assault"),QUOTIENT(ROW()-ROW($A$2),7)+1),"")</f>
        <v>SilverVenom</v>
      </c>
      <c r="B183" s="42" t="str">
        <f>_xlfn.XLOOKUP(A183,Class_Players!$A:$A,Class_Players!$B:$B,"")</f>
        <v>Assault</v>
      </c>
      <c r="C183" s="48" t="str" cm="1">
        <f t="array" ref="C183">INDEX(Lookups!$A$2:$A$8,MOD(ROW()-ROW($B$2),ROWS(Lookups!$A$2:$A$8))+1)</f>
        <v>Flash Grenade</v>
      </c>
      <c r="D183" s="48" t="str">
        <f>_xlfn.XLOOKUP(C183,Analysis_Gadgets!$C:$C,Analysis_Gadgets!$B:$B)</f>
        <v>Grenade</v>
      </c>
      <c r="E183" s="43">
        <v>8</v>
      </c>
      <c r="F183" s="43">
        <f>_xlfn.XLOOKUP(A183,Class_Players!A:A,Class_Players!G:G)</f>
        <v>197</v>
      </c>
      <c r="G183" s="43">
        <f t="shared" si="67"/>
        <v>4.060913705583756E-2</v>
      </c>
      <c r="H183" s="43">
        <f>_xlfn.XLOOKUP(A183,Class_Players!$A:$A,Class_Players!$F:$F,"")</f>
        <v>13125</v>
      </c>
      <c r="I183" s="44">
        <f t="shared" si="68"/>
        <v>6.0952380952380948E-4</v>
      </c>
      <c r="J183" s="43">
        <f t="shared" si="57"/>
        <v>0</v>
      </c>
      <c r="K183" s="44" cm="1">
        <f t="array" ref="K183">IF(D183="Gadget",_xlfn.IFS(I183&gt;=0.2,0.5,I183&gt;=0.1,0.35,I183&gt;=0.05,0.2,TRUE,0),IF(D183="Grenade",_xlfn.IFS(I183&gt;=0.2,1,I183&gt;=0.1,0.7,I183&gt;=0.05,0.4,TRUE,0),0))</f>
        <v>0</v>
      </c>
      <c r="L183" s="57">
        <f t="shared" si="76"/>
        <v>0</v>
      </c>
    </row>
    <row r="184" spans="1:12" x14ac:dyDescent="0.25">
      <c r="A184" s="42" t="str" cm="1">
        <f t="array" ref="A184">IFERROR(INDEX(_xlfn._xlws.FILTER(Class_Players!A:A,Class_Players!B:B="Assault"),QUOTIENT(ROW()-ROW($A$2),7)+1),"")</f>
        <v>EL FARY 1986</v>
      </c>
      <c r="B184" s="42" t="str">
        <f>_xlfn.XLOOKUP(A184,Class_Players!$A:$A,Class_Players!$B:$B,"")</f>
        <v>Assault</v>
      </c>
      <c r="C184" s="48" t="str" cm="1">
        <f t="array" ref="C184">INDEX(Lookups!$A$2:$A$8,MOD(ROW()-ROW($B$2),ROWS(Lookups!$A$2:$A$8))+1)</f>
        <v>Assault Ladder</v>
      </c>
      <c r="D184" s="48" t="str">
        <f>_xlfn.XLOOKUP(C184,Analysis_Gadgets!$C:$C,Analysis_Gadgets!$B:$B)</f>
        <v>Gadget</v>
      </c>
      <c r="E184" s="43">
        <v>4</v>
      </c>
      <c r="F184" s="43">
        <f>_xlfn.XLOOKUP(A184,Class_Players!A:A,Class_Players!G:G)</f>
        <v>164</v>
      </c>
      <c r="G184" s="43">
        <f t="shared" si="67"/>
        <v>2.4390243902439025E-2</v>
      </c>
      <c r="H184" s="43">
        <f>_xlfn.XLOOKUP(A184,Class_Players!$A:$A,Class_Players!$F:$F,"")</f>
        <v>12689</v>
      </c>
      <c r="I184" s="44">
        <f t="shared" si="68"/>
        <v>3.1523366695563086E-4</v>
      </c>
      <c r="J184" s="43">
        <f t="shared" si="57"/>
        <v>0</v>
      </c>
      <c r="K184" s="44" cm="1">
        <f t="array" ref="K184">IF(D184="Gadget",_xlfn.IFS(I184&gt;=0.2,0.5,I184&gt;=0.1,0.35,I184&gt;=0.05,0.2,TRUE,0),IF(D184="Grenade",_xlfn.IFS(I184&gt;=0.2,1,I184&gt;=0.1,0.7,I184&gt;=0.05,0.4,TRUE,0),0))</f>
        <v>0</v>
      </c>
      <c r="L184" s="57">
        <f t="shared" ref="L184:L188" si="77">IF($K184=0,0,$K184 / SUMIFS($K:$K,$A:$A,$A184,$D:$D,"Gadget"))</f>
        <v>0</v>
      </c>
    </row>
    <row r="185" spans="1:12" x14ac:dyDescent="0.25">
      <c r="A185" s="42" t="str" cm="1">
        <f t="array" ref="A185">IFERROR(INDEX(_xlfn._xlws.FILTER(Class_Players!A:A,Class_Players!B:B="Assault"),QUOTIENT(ROW()-ROW($A$2),7)+1),"")</f>
        <v>EL FARY 1986</v>
      </c>
      <c r="B185" s="42" t="str">
        <f>_xlfn.XLOOKUP(A185,Class_Players!$A:$A,Class_Players!$B:$B,"")</f>
        <v>Assault</v>
      </c>
      <c r="C185" s="48" t="str" cm="1">
        <f t="array" ref="C185">INDEX(Lookups!$A$2:$A$8,MOD(ROW()-ROW($B$2),ROWS(Lookups!$A$2:$A$8))+1)</f>
        <v>X95 BRE (Breaching Projectile Launcher)</v>
      </c>
      <c r="D185" s="48" t="str">
        <f>_xlfn.XLOOKUP(C185,Analysis_Gadgets!$C:$C,Analysis_Gadgets!$B:$B)</f>
        <v>Gadget</v>
      </c>
      <c r="E185" s="43">
        <v>9</v>
      </c>
      <c r="F185" s="43">
        <f>_xlfn.XLOOKUP(A185,Class_Players!A:A,Class_Players!G:G)</f>
        <v>164</v>
      </c>
      <c r="G185" s="43">
        <f t="shared" si="67"/>
        <v>5.4878048780487805E-2</v>
      </c>
      <c r="H185" s="43">
        <f>_xlfn.XLOOKUP(A185,Class_Players!$A:$A,Class_Players!$F:$F,"")</f>
        <v>12689</v>
      </c>
      <c r="I185" s="44">
        <f t="shared" si="68"/>
        <v>7.092757506501694E-4</v>
      </c>
      <c r="J185" s="43">
        <f t="shared" si="57"/>
        <v>0</v>
      </c>
      <c r="K185" s="44" cm="1">
        <f t="array" ref="K185">IF(D185="Gadget",_xlfn.IFS(I185&gt;=0.2,0.5,I185&gt;=0.1,0.35,I185&gt;=0.05,0.2,TRUE,0),IF(D185="Grenade",_xlfn.IFS(I185&gt;=0.2,1,I185&gt;=0.1,0.7,I185&gt;=0.05,0.4,TRUE,0),0))</f>
        <v>0</v>
      </c>
      <c r="L185" s="57">
        <f t="shared" si="77"/>
        <v>0</v>
      </c>
    </row>
    <row r="186" spans="1:12" x14ac:dyDescent="0.25">
      <c r="A186" s="42" t="str" cm="1">
        <f t="array" ref="A186">IFERROR(INDEX(_xlfn._xlws.FILTER(Class_Players!A:A,Class_Players!B:B="Assault"),QUOTIENT(ROW()-ROW($A$2),7)+1),"")</f>
        <v>EL FARY 1986</v>
      </c>
      <c r="B186" s="42" t="str">
        <f>_xlfn.XLOOKUP(A186,Class_Players!$A:$A,Class_Players!$B:$B,"")</f>
        <v>Assault</v>
      </c>
      <c r="C186" s="48" t="str" cm="1">
        <f t="array" ref="C186">INDEX(Lookups!$A$2:$A$8,MOD(ROW()-ROW($B$2),ROWS(Lookups!$A$2:$A$8))+1)</f>
        <v>M320A1 HE (Grenade Launcher)</v>
      </c>
      <c r="D186" s="48" t="str">
        <f>_xlfn.XLOOKUP(C186,Analysis_Gadgets!$C:$C,Analysis_Gadgets!$B:$B)</f>
        <v>Gadget</v>
      </c>
      <c r="E186" s="43">
        <v>31</v>
      </c>
      <c r="F186" s="43">
        <f>_xlfn.XLOOKUP(A186,Class_Players!A:A,Class_Players!G:G)</f>
        <v>164</v>
      </c>
      <c r="G186" s="43">
        <f t="shared" si="67"/>
        <v>0.18902439024390244</v>
      </c>
      <c r="H186" s="43">
        <f>_xlfn.XLOOKUP(A186,Class_Players!$A:$A,Class_Players!$F:$F,"")</f>
        <v>12689</v>
      </c>
      <c r="I186" s="44">
        <f t="shared" si="68"/>
        <v>2.4430609189061391E-3</v>
      </c>
      <c r="J186" s="43">
        <f t="shared" si="57"/>
        <v>0</v>
      </c>
      <c r="K186" s="44" cm="1">
        <f t="array" ref="K186">IF(D186="Gadget",_xlfn.IFS(I186&gt;=0.2,0.5,I186&gt;=0.1,0.35,I186&gt;=0.05,0.2,TRUE,0),IF(D186="Grenade",_xlfn.IFS(I186&gt;=0.2,1,I186&gt;=0.1,0.7,I186&gt;=0.05,0.4,TRUE,0),0))</f>
        <v>0</v>
      </c>
      <c r="L186" s="57">
        <f t="shared" si="77"/>
        <v>0</v>
      </c>
    </row>
    <row r="187" spans="1:12" x14ac:dyDescent="0.25">
      <c r="A187" s="42" t="str" cm="1">
        <f t="array" ref="A187">IFERROR(INDEX(_xlfn._xlws.FILTER(Class_Players!A:A,Class_Players!B:B="Assault"),QUOTIENT(ROW()-ROW($A$2),7)+1),"")</f>
        <v>EL FARY 1986</v>
      </c>
      <c r="B187" s="42" t="str">
        <f>_xlfn.XLOOKUP(A187,Class_Players!$A:$A,Class_Players!$B:$B,"")</f>
        <v>Assault</v>
      </c>
      <c r="C187" s="48" t="str" cm="1">
        <f t="array" ref="C187">INDEX(Lookups!$A$2:$A$8,MOD(ROW()-ROW($B$2),ROWS(Lookups!$A$2:$A$8))+1)</f>
        <v>M320A1 THRM    (Incendiary Grenade Launcher)</v>
      </c>
      <c r="D187" s="48" t="str">
        <f>_xlfn.XLOOKUP(C187,Analysis_Gadgets!$C:$C,Analysis_Gadgets!$B:$B)</f>
        <v>Gadget</v>
      </c>
      <c r="E187" s="43">
        <v>57</v>
      </c>
      <c r="F187" s="43">
        <f>_xlfn.XLOOKUP(A187,Class_Players!A:A,Class_Players!G:G)</f>
        <v>164</v>
      </c>
      <c r="G187" s="43">
        <f t="shared" si="67"/>
        <v>0.34756097560975607</v>
      </c>
      <c r="H187" s="43">
        <f>_xlfn.XLOOKUP(A187,Class_Players!$A:$A,Class_Players!$F:$F,"")</f>
        <v>12689</v>
      </c>
      <c r="I187" s="44">
        <f t="shared" si="68"/>
        <v>4.49207975411774E-3</v>
      </c>
      <c r="J187" s="43">
        <f t="shared" si="57"/>
        <v>0</v>
      </c>
      <c r="K187" s="44" cm="1">
        <f t="array" ref="K187">IF(D187="Gadget",_xlfn.IFS(I187&gt;=0.2,0.5,I187&gt;=0.1,0.35,I187&gt;=0.05,0.2,TRUE,0),IF(D187="Grenade",_xlfn.IFS(I187&gt;=0.2,1,I187&gt;=0.1,0.7,I187&gt;=0.05,0.4,TRUE,0),0))</f>
        <v>0</v>
      </c>
      <c r="L187" s="57">
        <f t="shared" si="77"/>
        <v>0</v>
      </c>
    </row>
    <row r="188" spans="1:12" x14ac:dyDescent="0.25">
      <c r="A188" s="42" t="str" cm="1">
        <f t="array" ref="A188">IFERROR(INDEX(_xlfn._xlws.FILTER(Class_Players!A:A,Class_Players!B:B="Assault"),QUOTIENT(ROW()-ROW($A$2),7)+1),"")</f>
        <v>EL FARY 1986</v>
      </c>
      <c r="B188" s="42" t="str">
        <f>_xlfn.XLOOKUP(A188,Class_Players!$A:$A,Class_Players!$B:$B,"")</f>
        <v>Assault</v>
      </c>
      <c r="C188" s="48" t="str" cm="1">
        <f t="array" ref="C188">INDEX(Lookups!$A$2:$A$8,MOD(ROW()-ROW($B$2),ROWS(Lookups!$A$2:$A$8))+1)</f>
        <v>QLINK (Deploy Beacon)</v>
      </c>
      <c r="D188" s="48" t="str">
        <f>_xlfn.XLOOKUP(C188,Analysis_Gadgets!$C:$C,Analysis_Gadgets!$B:$B)</f>
        <v>Gadget</v>
      </c>
      <c r="E188" s="43">
        <v>2051</v>
      </c>
      <c r="F188" s="43">
        <f>_xlfn.XLOOKUP(A188,Class_Players!A:A,Class_Players!G:G)</f>
        <v>164</v>
      </c>
      <c r="G188" s="43">
        <f t="shared" si="67"/>
        <v>12.50609756097561</v>
      </c>
      <c r="H188" s="43">
        <f>_xlfn.XLOOKUP(A188,Class_Players!$A:$A,Class_Players!$F:$F,"")</f>
        <v>12689</v>
      </c>
      <c r="I188" s="44">
        <f t="shared" si="68"/>
        <v>0.16163606273149972</v>
      </c>
      <c r="J188" s="43">
        <f t="shared" si="57"/>
        <v>1</v>
      </c>
      <c r="K188" s="44" cm="1">
        <f t="array" ref="K188">IF(D188="Gadget",_xlfn.IFS(I188&gt;=0.2,0.5,I188&gt;=0.1,0.35,I188&gt;=0.05,0.2,TRUE,0),IF(D188="Grenade",_xlfn.IFS(I188&gt;=0.2,1,I188&gt;=0.1,0.7,I188&gt;=0.05,0.4,TRUE,0),0))</f>
        <v>0.35</v>
      </c>
      <c r="L188" s="57">
        <f t="shared" si="77"/>
        <v>1</v>
      </c>
    </row>
    <row r="189" spans="1:12" x14ac:dyDescent="0.25">
      <c r="A189" s="42" t="str" cm="1">
        <f t="array" ref="A189">IFERROR(INDEX(_xlfn._xlws.FILTER(Class_Players!A:A,Class_Players!B:B="Assault"),QUOTIENT(ROW()-ROW($A$2),7)+1),"")</f>
        <v>EL FARY 1986</v>
      </c>
      <c r="B189" s="42" t="str">
        <f>_xlfn.XLOOKUP(A189,Class_Players!$A:$A,Class_Players!$B:$B,"")</f>
        <v>Assault</v>
      </c>
      <c r="C189" s="48" t="str" cm="1">
        <f t="array" ref="C189">INDEX(Lookups!$A$2:$A$8,MOD(ROW()-ROW($B$2),ROWS(Lookups!$A$2:$A$8))+1)</f>
        <v>Stun Grenade</v>
      </c>
      <c r="D189" s="48" t="str">
        <f>_xlfn.XLOOKUP(C189,Analysis_Gadgets!$C:$C,Analysis_Gadgets!$B:$B)</f>
        <v>Grenade</v>
      </c>
      <c r="E189" s="43">
        <v>261</v>
      </c>
      <c r="F189" s="43">
        <f>_xlfn.XLOOKUP(A189,Class_Players!A:A,Class_Players!G:G)</f>
        <v>164</v>
      </c>
      <c r="G189" s="43">
        <f t="shared" si="67"/>
        <v>1.5914634146341464</v>
      </c>
      <c r="H189" s="43">
        <f>_xlfn.XLOOKUP(A189,Class_Players!$A:$A,Class_Players!$F:$F,"")</f>
        <v>12689</v>
      </c>
      <c r="I189" s="44">
        <f t="shared" si="68"/>
        <v>2.0568996768854913E-2</v>
      </c>
      <c r="J189" s="43">
        <f t="shared" si="57"/>
        <v>0</v>
      </c>
      <c r="K189" s="44" cm="1">
        <f t="array" ref="K189">IF(D189="Gadget",_xlfn.IFS(I189&gt;=0.2,0.5,I189&gt;=0.1,0.35,I189&gt;=0.05,0.2,TRUE,0),IF(D189="Grenade",_xlfn.IFS(I189&gt;=0.2,1,I189&gt;=0.1,0.7,I189&gt;=0.05,0.4,TRUE,0),0))</f>
        <v>0</v>
      </c>
      <c r="L189" s="57">
        <f t="shared" ref="L189:L190" si="78">IF($K189=0,0,$K189 / SUMIFS($K:$K,$A:$A,$A189,$D:$D,"Grenade"))</f>
        <v>0</v>
      </c>
    </row>
    <row r="190" spans="1:12" x14ac:dyDescent="0.25">
      <c r="A190" s="42" t="str" cm="1">
        <f t="array" ref="A190">IFERROR(INDEX(_xlfn._xlws.FILTER(Class_Players!A:A,Class_Players!B:B="Assault"),QUOTIENT(ROW()-ROW($A$2),7)+1),"")</f>
        <v>EL FARY 1986</v>
      </c>
      <c r="B190" s="42" t="str">
        <f>_xlfn.XLOOKUP(A190,Class_Players!$A:$A,Class_Players!$B:$B,"")</f>
        <v>Assault</v>
      </c>
      <c r="C190" s="48" t="str" cm="1">
        <f t="array" ref="C190">INDEX(Lookups!$A$2:$A$8,MOD(ROW()-ROW($B$2),ROWS(Lookups!$A$2:$A$8))+1)</f>
        <v>Flash Grenade</v>
      </c>
      <c r="D190" s="48" t="str">
        <f>_xlfn.XLOOKUP(C190,Analysis_Gadgets!$C:$C,Analysis_Gadgets!$B:$B)</f>
        <v>Grenade</v>
      </c>
      <c r="E190" s="43">
        <v>32</v>
      </c>
      <c r="F190" s="43">
        <f>_xlfn.XLOOKUP(A190,Class_Players!A:A,Class_Players!G:G)</f>
        <v>164</v>
      </c>
      <c r="G190" s="43">
        <f t="shared" si="67"/>
        <v>0.1951219512195122</v>
      </c>
      <c r="H190" s="43">
        <f>_xlfn.XLOOKUP(A190,Class_Players!$A:$A,Class_Players!$F:$F,"")</f>
        <v>12689</v>
      </c>
      <c r="I190" s="44">
        <f t="shared" si="68"/>
        <v>2.5218693356450468E-3</v>
      </c>
      <c r="J190" s="43">
        <f t="shared" si="57"/>
        <v>0</v>
      </c>
      <c r="K190" s="44" cm="1">
        <f t="array" ref="K190">IF(D190="Gadget",_xlfn.IFS(I190&gt;=0.2,0.5,I190&gt;=0.1,0.35,I190&gt;=0.05,0.2,TRUE,0),IF(D190="Grenade",_xlfn.IFS(I190&gt;=0.2,1,I190&gt;=0.1,0.7,I190&gt;=0.05,0.4,TRUE,0),0))</f>
        <v>0</v>
      </c>
      <c r="L190" s="57">
        <f t="shared" si="78"/>
        <v>0</v>
      </c>
    </row>
    <row r="191" spans="1:12" x14ac:dyDescent="0.25">
      <c r="A191" s="42" t="str" cm="1">
        <f t="array" ref="A191">IFERROR(INDEX(_xlfn._xlws.FILTER(Class_Players!A:A,Class_Players!B:B="Assault"),QUOTIENT(ROW()-ROW($A$2),7)+1),"")</f>
        <v>AlciroMadara</v>
      </c>
      <c r="B191" s="42" t="str">
        <f>_xlfn.XLOOKUP(A191,Class_Players!$A:$A,Class_Players!$B:$B,"")</f>
        <v>Assault</v>
      </c>
      <c r="C191" s="48" t="str" cm="1">
        <f t="array" ref="C191">INDEX(Lookups!$A$2:$A$8,MOD(ROW()-ROW($B$2),ROWS(Lookups!$A$2:$A$8))+1)</f>
        <v>Assault Ladder</v>
      </c>
      <c r="D191" s="48" t="str">
        <f>_xlfn.XLOOKUP(C191,Analysis_Gadgets!$C:$C,Analysis_Gadgets!$B:$B)</f>
        <v>Gadget</v>
      </c>
      <c r="E191" s="43">
        <v>2</v>
      </c>
      <c r="F191" s="43">
        <f>_xlfn.XLOOKUP(A191,Class_Players!A:A,Class_Players!G:G)</f>
        <v>114</v>
      </c>
      <c r="G191" s="43">
        <f t="shared" si="67"/>
        <v>1.7543859649122806E-2</v>
      </c>
      <c r="H191" s="43">
        <f>_xlfn.XLOOKUP(A191,Class_Players!$A:$A,Class_Players!$F:$F,"")</f>
        <v>12478</v>
      </c>
      <c r="I191" s="44">
        <f t="shared" si="68"/>
        <v>1.6028209648982208E-4</v>
      </c>
      <c r="J191" s="43">
        <f t="shared" si="57"/>
        <v>0</v>
      </c>
      <c r="K191" s="44" cm="1">
        <f t="array" ref="K191">IF(D191="Gadget",_xlfn.IFS(I191&gt;=0.2,0.5,I191&gt;=0.1,0.35,I191&gt;=0.05,0.2,TRUE,0),IF(D191="Grenade",_xlfn.IFS(I191&gt;=0.2,1,I191&gt;=0.1,0.7,I191&gt;=0.05,0.4,TRUE,0),0))</f>
        <v>0</v>
      </c>
      <c r="L191" s="57">
        <f t="shared" ref="L191:L195" si="79">IF($K191=0,0,$K191 / SUMIFS($K:$K,$A:$A,$A191,$D:$D,"Gadget"))</f>
        <v>0</v>
      </c>
    </row>
    <row r="192" spans="1:12" x14ac:dyDescent="0.25">
      <c r="A192" s="42" t="str" cm="1">
        <f t="array" ref="A192">IFERROR(INDEX(_xlfn._xlws.FILTER(Class_Players!A:A,Class_Players!B:B="Assault"),QUOTIENT(ROW()-ROW($A$2),7)+1),"")</f>
        <v>AlciroMadara</v>
      </c>
      <c r="B192" s="42" t="str">
        <f>_xlfn.XLOOKUP(A192,Class_Players!$A:$A,Class_Players!$B:$B,"")</f>
        <v>Assault</v>
      </c>
      <c r="C192" s="48" t="str" cm="1">
        <f t="array" ref="C192">INDEX(Lookups!$A$2:$A$8,MOD(ROW()-ROW($B$2),ROWS(Lookups!$A$2:$A$8))+1)</f>
        <v>X95 BRE (Breaching Projectile Launcher)</v>
      </c>
      <c r="D192" s="48" t="str">
        <f>_xlfn.XLOOKUP(C192,Analysis_Gadgets!$C:$C,Analysis_Gadgets!$B:$B)</f>
        <v>Gadget</v>
      </c>
      <c r="E192" s="43">
        <v>10</v>
      </c>
      <c r="F192" s="43">
        <f>_xlfn.XLOOKUP(A192,Class_Players!A:A,Class_Players!G:G)</f>
        <v>114</v>
      </c>
      <c r="G192" s="43">
        <f t="shared" si="67"/>
        <v>8.771929824561403E-2</v>
      </c>
      <c r="H192" s="43">
        <f>_xlfn.XLOOKUP(A192,Class_Players!$A:$A,Class_Players!$F:$F,"")</f>
        <v>12478</v>
      </c>
      <c r="I192" s="44">
        <f t="shared" si="68"/>
        <v>8.0141048244911041E-4</v>
      </c>
      <c r="J192" s="43">
        <f t="shared" si="57"/>
        <v>0</v>
      </c>
      <c r="K192" s="44" cm="1">
        <f t="array" ref="K192">IF(D192="Gadget",_xlfn.IFS(I192&gt;=0.2,0.5,I192&gt;=0.1,0.35,I192&gt;=0.05,0.2,TRUE,0),IF(D192="Grenade",_xlfn.IFS(I192&gt;=0.2,1,I192&gt;=0.1,0.7,I192&gt;=0.05,0.4,TRUE,0),0))</f>
        <v>0</v>
      </c>
      <c r="L192" s="57">
        <f t="shared" si="79"/>
        <v>0</v>
      </c>
    </row>
    <row r="193" spans="1:12" x14ac:dyDescent="0.25">
      <c r="A193" s="42" t="str" cm="1">
        <f t="array" ref="A193">IFERROR(INDEX(_xlfn._xlws.FILTER(Class_Players!A:A,Class_Players!B:B="Assault"),QUOTIENT(ROW()-ROW($A$2),7)+1),"")</f>
        <v>AlciroMadara</v>
      </c>
      <c r="B193" s="42" t="str">
        <f>_xlfn.XLOOKUP(A193,Class_Players!$A:$A,Class_Players!$B:$B,"")</f>
        <v>Assault</v>
      </c>
      <c r="C193" s="48" t="str" cm="1">
        <f t="array" ref="C193">INDEX(Lookups!$A$2:$A$8,MOD(ROW()-ROW($B$2),ROWS(Lookups!$A$2:$A$8))+1)</f>
        <v>M320A1 HE (Grenade Launcher)</v>
      </c>
      <c r="D193" s="48" t="str">
        <f>_xlfn.XLOOKUP(C193,Analysis_Gadgets!$C:$C,Analysis_Gadgets!$B:$B)</f>
        <v>Gadget</v>
      </c>
      <c r="E193" s="43">
        <v>900</v>
      </c>
      <c r="F193" s="43">
        <f>_xlfn.XLOOKUP(A193,Class_Players!A:A,Class_Players!G:G)</f>
        <v>114</v>
      </c>
      <c r="G193" s="43">
        <f t="shared" si="67"/>
        <v>7.8947368421052628</v>
      </c>
      <c r="H193" s="43">
        <f>_xlfn.XLOOKUP(A193,Class_Players!$A:$A,Class_Players!$F:$F,"")</f>
        <v>12478</v>
      </c>
      <c r="I193" s="44">
        <f t="shared" si="68"/>
        <v>7.2126943420419934E-2</v>
      </c>
      <c r="J193" s="43">
        <f t="shared" si="57"/>
        <v>0</v>
      </c>
      <c r="K193" s="44" cm="1">
        <f t="array" ref="K193">IF(D193="Gadget",_xlfn.IFS(I193&gt;=0.2,0.5,I193&gt;=0.1,0.35,I193&gt;=0.05,0.2,TRUE,0),IF(D193="Grenade",_xlfn.IFS(I193&gt;=0.2,1,I193&gt;=0.1,0.7,I193&gt;=0.05,0.4,TRUE,0),0))</f>
        <v>0.2</v>
      </c>
      <c r="L193" s="57">
        <f t="shared" si="79"/>
        <v>0.36363636363636365</v>
      </c>
    </row>
    <row r="194" spans="1:12" x14ac:dyDescent="0.25">
      <c r="A194" s="42" t="str" cm="1">
        <f t="array" ref="A194">IFERROR(INDEX(_xlfn._xlws.FILTER(Class_Players!A:A,Class_Players!B:B="Assault"),QUOTIENT(ROW()-ROW($A$2),7)+1),"")</f>
        <v>AlciroMadara</v>
      </c>
      <c r="B194" s="42" t="str">
        <f>_xlfn.XLOOKUP(A194,Class_Players!$A:$A,Class_Players!$B:$B,"")</f>
        <v>Assault</v>
      </c>
      <c r="C194" s="48" t="str" cm="1">
        <f t="array" ref="C194">INDEX(Lookups!$A$2:$A$8,MOD(ROW()-ROW($B$2),ROWS(Lookups!$A$2:$A$8))+1)</f>
        <v>M320A1 THRM    (Incendiary Grenade Launcher)</v>
      </c>
      <c r="D194" s="48" t="str">
        <f>_xlfn.XLOOKUP(C194,Analysis_Gadgets!$C:$C,Analysis_Gadgets!$B:$B)</f>
        <v>Gadget</v>
      </c>
      <c r="E194" s="43">
        <v>1263</v>
      </c>
      <c r="F194" s="43">
        <f>_xlfn.XLOOKUP(A194,Class_Players!A:A,Class_Players!G:G)</f>
        <v>114</v>
      </c>
      <c r="G194" s="43">
        <f t="shared" si="67"/>
        <v>11.078947368421053</v>
      </c>
      <c r="H194" s="43">
        <f>_xlfn.XLOOKUP(A194,Class_Players!$A:$A,Class_Players!$F:$F,"")</f>
        <v>12478</v>
      </c>
      <c r="I194" s="44">
        <f t="shared" si="68"/>
        <v>0.10121814393332265</v>
      </c>
      <c r="J194" s="43">
        <f t="shared" si="57"/>
        <v>1</v>
      </c>
      <c r="K194" s="44" cm="1">
        <f t="array" ref="K194">IF(D194="Gadget",_xlfn.IFS(I194&gt;=0.2,0.5,I194&gt;=0.1,0.35,I194&gt;=0.05,0.2,TRUE,0),IF(D194="Grenade",_xlfn.IFS(I194&gt;=0.2,1,I194&gt;=0.1,0.7,I194&gt;=0.05,0.4,TRUE,0),0))</f>
        <v>0.35</v>
      </c>
      <c r="L194" s="57">
        <f t="shared" si="79"/>
        <v>0.63636363636363624</v>
      </c>
    </row>
    <row r="195" spans="1:12" x14ac:dyDescent="0.25">
      <c r="A195" s="42" t="str" cm="1">
        <f t="array" ref="A195">IFERROR(INDEX(_xlfn._xlws.FILTER(Class_Players!A:A,Class_Players!B:B="Assault"),QUOTIENT(ROW()-ROW($A$2),7)+1),"")</f>
        <v>AlciroMadara</v>
      </c>
      <c r="B195" s="42" t="str">
        <f>_xlfn.XLOOKUP(A195,Class_Players!$A:$A,Class_Players!$B:$B,"")</f>
        <v>Assault</v>
      </c>
      <c r="C195" s="48" t="str" cm="1">
        <f t="array" ref="C195">INDEX(Lookups!$A$2:$A$8,MOD(ROW()-ROW($B$2),ROWS(Lookups!$A$2:$A$8))+1)</f>
        <v>QLINK (Deploy Beacon)</v>
      </c>
      <c r="D195" s="48" t="str">
        <f>_xlfn.XLOOKUP(C195,Analysis_Gadgets!$C:$C,Analysis_Gadgets!$B:$B)</f>
        <v>Gadget</v>
      </c>
      <c r="E195" s="43">
        <v>21</v>
      </c>
      <c r="F195" s="43">
        <f>_xlfn.XLOOKUP(A195,Class_Players!A:A,Class_Players!G:G)</f>
        <v>114</v>
      </c>
      <c r="G195" s="43">
        <f t="shared" si="67"/>
        <v>0.18421052631578946</v>
      </c>
      <c r="H195" s="43">
        <f>_xlfn.XLOOKUP(A195,Class_Players!$A:$A,Class_Players!$F:$F,"")</f>
        <v>12478</v>
      </c>
      <c r="I195" s="44">
        <f t="shared" si="68"/>
        <v>1.6829620131431319E-3</v>
      </c>
      <c r="J195" s="43">
        <f t="shared" ref="J195:J258" si="80">IF(I195&gt;=0.1,1,0)</f>
        <v>0</v>
      </c>
      <c r="K195" s="44" cm="1">
        <f t="array" ref="K195">IF(D195="Gadget",_xlfn.IFS(I195&gt;=0.2,0.5,I195&gt;=0.1,0.35,I195&gt;=0.05,0.2,TRUE,0),IF(D195="Grenade",_xlfn.IFS(I195&gt;=0.2,1,I195&gt;=0.1,0.7,I195&gt;=0.05,0.4,TRUE,0),0))</f>
        <v>0</v>
      </c>
      <c r="L195" s="57">
        <f t="shared" si="79"/>
        <v>0</v>
      </c>
    </row>
    <row r="196" spans="1:12" x14ac:dyDescent="0.25">
      <c r="A196" s="42" t="str" cm="1">
        <f t="array" ref="A196">IFERROR(INDEX(_xlfn._xlws.FILTER(Class_Players!A:A,Class_Players!B:B="Assault"),QUOTIENT(ROW()-ROW($A$2),7)+1),"")</f>
        <v>AlciroMadara</v>
      </c>
      <c r="B196" s="42" t="str">
        <f>_xlfn.XLOOKUP(A196,Class_Players!$A:$A,Class_Players!$B:$B,"")</f>
        <v>Assault</v>
      </c>
      <c r="C196" s="48" t="str" cm="1">
        <f t="array" ref="C196">INDEX(Lookups!$A$2:$A$8,MOD(ROW()-ROW($B$2),ROWS(Lookups!$A$2:$A$8))+1)</f>
        <v>Stun Grenade</v>
      </c>
      <c r="D196" s="48" t="str">
        <f>_xlfn.XLOOKUP(C196,Analysis_Gadgets!$C:$C,Analysis_Gadgets!$B:$B)</f>
        <v>Grenade</v>
      </c>
      <c r="E196" s="43">
        <v>282</v>
      </c>
      <c r="F196" s="43">
        <f>_xlfn.XLOOKUP(A196,Class_Players!A:A,Class_Players!G:G)</f>
        <v>114</v>
      </c>
      <c r="G196" s="43">
        <f t="shared" si="67"/>
        <v>2.4736842105263159</v>
      </c>
      <c r="H196" s="43">
        <f>_xlfn.XLOOKUP(A196,Class_Players!$A:$A,Class_Players!$F:$F,"")</f>
        <v>12478</v>
      </c>
      <c r="I196" s="44">
        <f t="shared" si="68"/>
        <v>2.2599775605064914E-2</v>
      </c>
      <c r="J196" s="43">
        <f t="shared" si="80"/>
        <v>0</v>
      </c>
      <c r="K196" s="44" cm="1">
        <f t="array" ref="K196">IF(D196="Gadget",_xlfn.IFS(I196&gt;=0.2,0.5,I196&gt;=0.1,0.35,I196&gt;=0.05,0.2,TRUE,0),IF(D196="Grenade",_xlfn.IFS(I196&gt;=0.2,1,I196&gt;=0.1,0.7,I196&gt;=0.05,0.4,TRUE,0),0))</f>
        <v>0</v>
      </c>
      <c r="L196" s="57">
        <f t="shared" ref="L196:L197" si="81">IF($K196=0,0,$K196 / SUMIFS($K:$K,$A:$A,$A196,$D:$D,"Grenade"))</f>
        <v>0</v>
      </c>
    </row>
    <row r="197" spans="1:12" x14ac:dyDescent="0.25">
      <c r="A197" s="42" t="str" cm="1">
        <f t="array" ref="A197">IFERROR(INDEX(_xlfn._xlws.FILTER(Class_Players!A:A,Class_Players!B:B="Assault"),QUOTIENT(ROW()-ROW($A$2),7)+1),"")</f>
        <v>AlciroMadara</v>
      </c>
      <c r="B197" s="42" t="str">
        <f>_xlfn.XLOOKUP(A197,Class_Players!$A:$A,Class_Players!$B:$B,"")</f>
        <v>Assault</v>
      </c>
      <c r="C197" s="48" t="str" cm="1">
        <f t="array" ref="C197">INDEX(Lookups!$A$2:$A$8,MOD(ROW()-ROW($B$2),ROWS(Lookups!$A$2:$A$8))+1)</f>
        <v>Flash Grenade</v>
      </c>
      <c r="D197" s="48" t="str">
        <f>_xlfn.XLOOKUP(C197,Analysis_Gadgets!$C:$C,Analysis_Gadgets!$B:$B)</f>
        <v>Grenade</v>
      </c>
      <c r="E197" s="43">
        <v>0</v>
      </c>
      <c r="F197" s="43">
        <f>_xlfn.XLOOKUP(A197,Class_Players!A:A,Class_Players!G:G)</f>
        <v>114</v>
      </c>
      <c r="G197" s="43">
        <f t="shared" si="67"/>
        <v>0</v>
      </c>
      <c r="H197" s="43">
        <f>_xlfn.XLOOKUP(A197,Class_Players!$A:$A,Class_Players!$F:$F,"")</f>
        <v>12478</v>
      </c>
      <c r="I197" s="44">
        <f t="shared" si="68"/>
        <v>0</v>
      </c>
      <c r="J197" s="43">
        <f t="shared" si="80"/>
        <v>0</v>
      </c>
      <c r="K197" s="44" cm="1">
        <f t="array" ref="K197">IF(D197="Gadget",_xlfn.IFS(I197&gt;=0.2,0.5,I197&gt;=0.1,0.35,I197&gt;=0.05,0.2,TRUE,0),IF(D197="Grenade",_xlfn.IFS(I197&gt;=0.2,1,I197&gt;=0.1,0.7,I197&gt;=0.05,0.4,TRUE,0),0))</f>
        <v>0</v>
      </c>
      <c r="L197" s="57">
        <f t="shared" si="81"/>
        <v>0</v>
      </c>
    </row>
    <row r="198" spans="1:12" x14ac:dyDescent="0.25">
      <c r="A198" s="42" t="str" cm="1">
        <f t="array" ref="A198">IFERROR(INDEX(_xlfn._xlws.FILTER(Class_Players!A:A,Class_Players!B:B="Assault"),QUOTIENT(ROW()-ROW($A$2),7)+1),"")</f>
        <v>Bentsen</v>
      </c>
      <c r="B198" s="42" t="str">
        <f>_xlfn.XLOOKUP(A198,Class_Players!$A:$A,Class_Players!$B:$B,"")</f>
        <v>Assault</v>
      </c>
      <c r="C198" s="48" t="str" cm="1">
        <f t="array" ref="C198">INDEX(Lookups!$A$2:$A$8,MOD(ROW()-ROW($B$2),ROWS(Lookups!$A$2:$A$8))+1)</f>
        <v>Assault Ladder</v>
      </c>
      <c r="D198" s="48" t="str">
        <f>_xlfn.XLOOKUP(C198,Analysis_Gadgets!$C:$C,Analysis_Gadgets!$B:$B)</f>
        <v>Gadget</v>
      </c>
      <c r="E198" s="43">
        <v>265</v>
      </c>
      <c r="F198" s="43">
        <f>_xlfn.XLOOKUP(A198,Class_Players!A:A,Class_Players!G:G)</f>
        <v>186</v>
      </c>
      <c r="G198" s="43">
        <f t="shared" si="67"/>
        <v>1.424731182795699</v>
      </c>
      <c r="H198" s="43">
        <f>_xlfn.XLOOKUP(A198,Class_Players!$A:$A,Class_Players!$F:$F,"")</f>
        <v>12098</v>
      </c>
      <c r="I198" s="44">
        <f t="shared" si="68"/>
        <v>2.1904447016035708E-2</v>
      </c>
      <c r="J198" s="43">
        <f t="shared" si="80"/>
        <v>0</v>
      </c>
      <c r="K198" s="44" cm="1">
        <f t="array" ref="K198">IF(D198="Gadget",_xlfn.IFS(I198&gt;=0.2,0.5,I198&gt;=0.1,0.35,I198&gt;=0.05,0.2,TRUE,0),IF(D198="Grenade",_xlfn.IFS(I198&gt;=0.2,1,I198&gt;=0.1,0.7,I198&gt;=0.05,0.4,TRUE,0),0))</f>
        <v>0</v>
      </c>
      <c r="L198" s="57">
        <f t="shared" ref="L198:L202" si="82">IF($K198=0,0,$K198 / SUMIFS($K:$K,$A:$A,$A198,$D:$D,"Gadget"))</f>
        <v>0</v>
      </c>
    </row>
    <row r="199" spans="1:12" x14ac:dyDescent="0.25">
      <c r="A199" s="42" t="str" cm="1">
        <f t="array" ref="A199">IFERROR(INDEX(_xlfn._xlws.FILTER(Class_Players!A:A,Class_Players!B:B="Assault"),QUOTIENT(ROW()-ROW($A$2),7)+1),"")</f>
        <v>Bentsen</v>
      </c>
      <c r="B199" s="42" t="str">
        <f>_xlfn.XLOOKUP(A199,Class_Players!$A:$A,Class_Players!$B:$B,"")</f>
        <v>Assault</v>
      </c>
      <c r="C199" s="48" t="str" cm="1">
        <f t="array" ref="C199">INDEX(Lookups!$A$2:$A$8,MOD(ROW()-ROW($B$2),ROWS(Lookups!$A$2:$A$8))+1)</f>
        <v>X95 BRE (Breaching Projectile Launcher)</v>
      </c>
      <c r="D199" s="48" t="str">
        <f>_xlfn.XLOOKUP(C199,Analysis_Gadgets!$C:$C,Analysis_Gadgets!$B:$B)</f>
        <v>Gadget</v>
      </c>
      <c r="E199" s="43">
        <v>1</v>
      </c>
      <c r="F199" s="43">
        <f>_xlfn.XLOOKUP(A199,Class_Players!A:A,Class_Players!G:G)</f>
        <v>186</v>
      </c>
      <c r="G199" s="43">
        <f t="shared" si="67"/>
        <v>5.3763440860215058E-3</v>
      </c>
      <c r="H199" s="43">
        <f>_xlfn.XLOOKUP(A199,Class_Players!$A:$A,Class_Players!$F:$F,"")</f>
        <v>12098</v>
      </c>
      <c r="I199" s="44">
        <f t="shared" si="68"/>
        <v>8.2658290626549838E-5</v>
      </c>
      <c r="J199" s="43">
        <f t="shared" si="80"/>
        <v>0</v>
      </c>
      <c r="K199" s="44" cm="1">
        <f t="array" ref="K199">IF(D199="Gadget",_xlfn.IFS(I199&gt;=0.2,0.5,I199&gt;=0.1,0.35,I199&gt;=0.05,0.2,TRUE,0),IF(D199="Grenade",_xlfn.IFS(I199&gt;=0.2,1,I199&gt;=0.1,0.7,I199&gt;=0.05,0.4,TRUE,0),0))</f>
        <v>0</v>
      </c>
      <c r="L199" s="57">
        <f t="shared" si="82"/>
        <v>0</v>
      </c>
    </row>
    <row r="200" spans="1:12" x14ac:dyDescent="0.25">
      <c r="A200" s="42" t="str" cm="1">
        <f t="array" ref="A200">IFERROR(INDEX(_xlfn._xlws.FILTER(Class_Players!A:A,Class_Players!B:B="Assault"),QUOTIENT(ROW()-ROW($A$2),7)+1),"")</f>
        <v>Bentsen</v>
      </c>
      <c r="B200" s="42" t="str">
        <f>_xlfn.XLOOKUP(A200,Class_Players!$A:$A,Class_Players!$B:$B,"")</f>
        <v>Assault</v>
      </c>
      <c r="C200" s="48" t="str" cm="1">
        <f t="array" ref="C200">INDEX(Lookups!$A$2:$A$8,MOD(ROW()-ROW($B$2),ROWS(Lookups!$A$2:$A$8))+1)</f>
        <v>M320A1 HE (Grenade Launcher)</v>
      </c>
      <c r="D200" s="48" t="str">
        <f>_xlfn.XLOOKUP(C200,Analysis_Gadgets!$C:$C,Analysis_Gadgets!$B:$B)</f>
        <v>Gadget</v>
      </c>
      <c r="E200" s="43">
        <v>2721</v>
      </c>
      <c r="F200" s="43">
        <f>_xlfn.XLOOKUP(A200,Class_Players!A:A,Class_Players!G:G)</f>
        <v>186</v>
      </c>
      <c r="G200" s="43">
        <f t="shared" si="67"/>
        <v>14.629032258064516</v>
      </c>
      <c r="H200" s="43">
        <f>_xlfn.XLOOKUP(A200,Class_Players!$A:$A,Class_Players!$F:$F,"")</f>
        <v>12098</v>
      </c>
      <c r="I200" s="44">
        <f t="shared" si="68"/>
        <v>0.22491320879484211</v>
      </c>
      <c r="J200" s="43">
        <f t="shared" si="80"/>
        <v>1</v>
      </c>
      <c r="K200" s="44" cm="1">
        <f t="array" ref="K200">IF(D200="Gadget",_xlfn.IFS(I200&gt;=0.2,0.5,I200&gt;=0.1,0.35,I200&gt;=0.05,0.2,TRUE,0),IF(D200="Grenade",_xlfn.IFS(I200&gt;=0.2,1,I200&gt;=0.1,0.7,I200&gt;=0.05,0.4,TRUE,0),0))</f>
        <v>0.5</v>
      </c>
      <c r="L200" s="57">
        <f t="shared" si="82"/>
        <v>1</v>
      </c>
    </row>
    <row r="201" spans="1:12" x14ac:dyDescent="0.25">
      <c r="A201" s="42" t="str" cm="1">
        <f t="array" ref="A201">IFERROR(INDEX(_xlfn._xlws.FILTER(Class_Players!A:A,Class_Players!B:B="Assault"),QUOTIENT(ROW()-ROW($A$2),7)+1),"")</f>
        <v>Bentsen</v>
      </c>
      <c r="B201" s="42" t="str">
        <f>_xlfn.XLOOKUP(A201,Class_Players!$A:$A,Class_Players!$B:$B,"")</f>
        <v>Assault</v>
      </c>
      <c r="C201" s="48" t="str" cm="1">
        <f t="array" ref="C201">INDEX(Lookups!$A$2:$A$8,MOD(ROW()-ROW($B$2),ROWS(Lookups!$A$2:$A$8))+1)</f>
        <v>M320A1 THRM    (Incendiary Grenade Launcher)</v>
      </c>
      <c r="D201" s="48" t="str">
        <f>_xlfn.XLOOKUP(C201,Analysis_Gadgets!$C:$C,Analysis_Gadgets!$B:$B)</f>
        <v>Gadget</v>
      </c>
      <c r="E201" s="43">
        <v>11</v>
      </c>
      <c r="F201" s="43">
        <f>_xlfn.XLOOKUP(A201,Class_Players!A:A,Class_Players!G:G)</f>
        <v>186</v>
      </c>
      <c r="G201" s="43">
        <f t="shared" si="67"/>
        <v>5.9139784946236562E-2</v>
      </c>
      <c r="H201" s="43">
        <f>_xlfn.XLOOKUP(A201,Class_Players!$A:$A,Class_Players!$F:$F,"")</f>
        <v>12098</v>
      </c>
      <c r="I201" s="44">
        <f t="shared" si="68"/>
        <v>9.0924119689204832E-4</v>
      </c>
      <c r="J201" s="43">
        <f t="shared" si="80"/>
        <v>0</v>
      </c>
      <c r="K201" s="44" cm="1">
        <f t="array" ref="K201">IF(D201="Gadget",_xlfn.IFS(I201&gt;=0.2,0.5,I201&gt;=0.1,0.35,I201&gt;=0.05,0.2,TRUE,0),IF(D201="Grenade",_xlfn.IFS(I201&gt;=0.2,1,I201&gt;=0.1,0.7,I201&gt;=0.05,0.4,TRUE,0),0))</f>
        <v>0</v>
      </c>
      <c r="L201" s="57">
        <f t="shared" si="82"/>
        <v>0</v>
      </c>
    </row>
    <row r="202" spans="1:12" x14ac:dyDescent="0.25">
      <c r="A202" s="42" t="str" cm="1">
        <f t="array" ref="A202">IFERROR(INDEX(_xlfn._xlws.FILTER(Class_Players!A:A,Class_Players!B:B="Assault"),QUOTIENT(ROW()-ROW($A$2),7)+1),"")</f>
        <v>Bentsen</v>
      </c>
      <c r="B202" s="42" t="str">
        <f>_xlfn.XLOOKUP(A202,Class_Players!$A:$A,Class_Players!$B:$B,"")</f>
        <v>Assault</v>
      </c>
      <c r="C202" s="48" t="str" cm="1">
        <f t="array" ref="C202">INDEX(Lookups!$A$2:$A$8,MOD(ROW()-ROW($B$2),ROWS(Lookups!$A$2:$A$8))+1)</f>
        <v>QLINK (Deploy Beacon)</v>
      </c>
      <c r="D202" s="48" t="str">
        <f>_xlfn.XLOOKUP(C202,Analysis_Gadgets!$C:$C,Analysis_Gadgets!$B:$B)</f>
        <v>Gadget</v>
      </c>
      <c r="E202" s="43">
        <v>488</v>
      </c>
      <c r="F202" s="43">
        <f>_xlfn.XLOOKUP(A202,Class_Players!A:A,Class_Players!G:G)</f>
        <v>186</v>
      </c>
      <c r="G202" s="43">
        <f t="shared" si="67"/>
        <v>2.6236559139784945</v>
      </c>
      <c r="H202" s="43">
        <f>_xlfn.XLOOKUP(A202,Class_Players!$A:$A,Class_Players!$F:$F,"")</f>
        <v>12098</v>
      </c>
      <c r="I202" s="44">
        <f t="shared" si="68"/>
        <v>4.0337245825756325E-2</v>
      </c>
      <c r="J202" s="43">
        <f t="shared" si="80"/>
        <v>0</v>
      </c>
      <c r="K202" s="44" cm="1">
        <f t="array" ref="K202">IF(D202="Gadget",_xlfn.IFS(I202&gt;=0.2,0.5,I202&gt;=0.1,0.35,I202&gt;=0.05,0.2,TRUE,0),IF(D202="Grenade",_xlfn.IFS(I202&gt;=0.2,1,I202&gt;=0.1,0.7,I202&gt;=0.05,0.4,TRUE,0),0))</f>
        <v>0</v>
      </c>
      <c r="L202" s="57">
        <f t="shared" si="82"/>
        <v>0</v>
      </c>
    </row>
    <row r="203" spans="1:12" x14ac:dyDescent="0.25">
      <c r="A203" s="42" t="str" cm="1">
        <f t="array" ref="A203">IFERROR(INDEX(_xlfn._xlws.FILTER(Class_Players!A:A,Class_Players!B:B="Assault"),QUOTIENT(ROW()-ROW($A$2),7)+1),"")</f>
        <v>Bentsen</v>
      </c>
      <c r="B203" s="42" t="str">
        <f>_xlfn.XLOOKUP(A203,Class_Players!$A:$A,Class_Players!$B:$B,"")</f>
        <v>Assault</v>
      </c>
      <c r="C203" s="48" t="str" cm="1">
        <f t="array" ref="C203">INDEX(Lookups!$A$2:$A$8,MOD(ROW()-ROW($B$2),ROWS(Lookups!$A$2:$A$8))+1)</f>
        <v>Stun Grenade</v>
      </c>
      <c r="D203" s="48" t="str">
        <f>_xlfn.XLOOKUP(C203,Analysis_Gadgets!$C:$C,Analysis_Gadgets!$B:$B)</f>
        <v>Grenade</v>
      </c>
      <c r="E203" s="43">
        <v>39</v>
      </c>
      <c r="F203" s="43">
        <f>_xlfn.XLOOKUP(A203,Class_Players!A:A,Class_Players!G:G)</f>
        <v>186</v>
      </c>
      <c r="G203" s="43">
        <f t="shared" si="67"/>
        <v>0.20967741935483872</v>
      </c>
      <c r="H203" s="43">
        <f>_xlfn.XLOOKUP(A203,Class_Players!$A:$A,Class_Players!$F:$F,"")</f>
        <v>12098</v>
      </c>
      <c r="I203" s="44">
        <f t="shared" si="68"/>
        <v>3.223673334435444E-3</v>
      </c>
      <c r="J203" s="43">
        <f t="shared" si="80"/>
        <v>0</v>
      </c>
      <c r="K203" s="44" cm="1">
        <f t="array" ref="K203">IF(D203="Gadget",_xlfn.IFS(I203&gt;=0.2,0.5,I203&gt;=0.1,0.35,I203&gt;=0.05,0.2,TRUE,0),IF(D203="Grenade",_xlfn.IFS(I203&gt;=0.2,1,I203&gt;=0.1,0.7,I203&gt;=0.05,0.4,TRUE,0),0))</f>
        <v>0</v>
      </c>
      <c r="L203" s="57">
        <f t="shared" ref="L203:L204" si="83">IF($K203=0,0,$K203 / SUMIFS($K:$K,$A:$A,$A203,$D:$D,"Grenade"))</f>
        <v>0</v>
      </c>
    </row>
    <row r="204" spans="1:12" x14ac:dyDescent="0.25">
      <c r="A204" s="42" t="str" cm="1">
        <f t="array" ref="A204">IFERROR(INDEX(_xlfn._xlws.FILTER(Class_Players!A:A,Class_Players!B:B="Assault"),QUOTIENT(ROW()-ROW($A$2),7)+1),"")</f>
        <v>Bentsen</v>
      </c>
      <c r="B204" s="42" t="str">
        <f>_xlfn.XLOOKUP(A204,Class_Players!$A:$A,Class_Players!$B:$B,"")</f>
        <v>Assault</v>
      </c>
      <c r="C204" s="48" t="str" cm="1">
        <f t="array" ref="C204">INDEX(Lookups!$A$2:$A$8,MOD(ROW()-ROW($B$2),ROWS(Lookups!$A$2:$A$8))+1)</f>
        <v>Flash Grenade</v>
      </c>
      <c r="D204" s="48" t="str">
        <f>_xlfn.XLOOKUP(C204,Analysis_Gadgets!$C:$C,Analysis_Gadgets!$B:$B)</f>
        <v>Grenade</v>
      </c>
      <c r="E204" s="43">
        <v>4</v>
      </c>
      <c r="F204" s="43">
        <f>_xlfn.XLOOKUP(A204,Class_Players!A:A,Class_Players!G:G)</f>
        <v>186</v>
      </c>
      <c r="G204" s="43">
        <f t="shared" si="67"/>
        <v>2.1505376344086023E-2</v>
      </c>
      <c r="H204" s="43">
        <f>_xlfn.XLOOKUP(A204,Class_Players!$A:$A,Class_Players!$F:$F,"")</f>
        <v>12098</v>
      </c>
      <c r="I204" s="44">
        <f t="shared" si="68"/>
        <v>3.3063316250619935E-4</v>
      </c>
      <c r="J204" s="43">
        <f t="shared" si="80"/>
        <v>0</v>
      </c>
      <c r="K204" s="44" cm="1">
        <f t="array" ref="K204">IF(D204="Gadget",_xlfn.IFS(I204&gt;=0.2,0.5,I204&gt;=0.1,0.35,I204&gt;=0.05,0.2,TRUE,0),IF(D204="Grenade",_xlfn.IFS(I204&gt;=0.2,1,I204&gt;=0.1,0.7,I204&gt;=0.05,0.4,TRUE,0),0))</f>
        <v>0</v>
      </c>
      <c r="L204" s="57">
        <f t="shared" si="83"/>
        <v>0</v>
      </c>
    </row>
    <row r="205" spans="1:12" x14ac:dyDescent="0.25">
      <c r="A205" s="42" t="str" cm="1">
        <f t="array" ref="A205">IFERROR(INDEX(_xlfn._xlws.FILTER(Class_Players!A:A,Class_Players!B:B="Assault"),QUOTIENT(ROW()-ROW($A$2),7)+1),"")</f>
        <v>Rekyon</v>
      </c>
      <c r="B205" s="42" t="str">
        <f>_xlfn.XLOOKUP(A205,Class_Players!$A:$A,Class_Players!$B:$B,"")</f>
        <v>Assault</v>
      </c>
      <c r="C205" s="48" t="str" cm="1">
        <f t="array" ref="C205">INDEX(Lookups!$A$2:$A$8,MOD(ROW()-ROW($B$2),ROWS(Lookups!$A$2:$A$8))+1)</f>
        <v>Assault Ladder</v>
      </c>
      <c r="D205" s="48" t="str">
        <f>_xlfn.XLOOKUP(C205,Analysis_Gadgets!$C:$C,Analysis_Gadgets!$B:$B)</f>
        <v>Gadget</v>
      </c>
      <c r="E205" s="43">
        <v>14</v>
      </c>
      <c r="F205" s="43">
        <f>_xlfn.XLOOKUP(A205,Class_Players!A:A,Class_Players!G:G)</f>
        <v>150</v>
      </c>
      <c r="G205" s="43">
        <f t="shared" ref="G205:G218" si="84">IF(F205=0,"",E205/F205)</f>
        <v>9.3333333333333338E-2</v>
      </c>
      <c r="H205" s="43">
        <f>_xlfn.XLOOKUP(A205,Class_Players!$A:$A,Class_Players!$F:$F,"")</f>
        <v>12029</v>
      </c>
      <c r="I205" s="44">
        <f t="shared" ref="I205:I218" si="85">IF(H205=0,"",E205/H205)</f>
        <v>1.1638540194529887E-3</v>
      </c>
      <c r="J205" s="43">
        <f t="shared" si="80"/>
        <v>0</v>
      </c>
      <c r="K205" s="44" cm="1">
        <f t="array" ref="K205">IF(D205="Gadget",_xlfn.IFS(I205&gt;=0.2,0.5,I205&gt;=0.1,0.35,I205&gt;=0.05,0.2,TRUE,0),IF(D205="Grenade",_xlfn.IFS(I205&gt;=0.2,1,I205&gt;=0.1,0.7,I205&gt;=0.05,0.4,TRUE,0),0))</f>
        <v>0</v>
      </c>
      <c r="L205" s="57">
        <f t="shared" ref="L205:L209" si="86">IF($K205=0,0,$K205 / SUMIFS($K:$K,$A:$A,$A205,$D:$D,"Gadget"))</f>
        <v>0</v>
      </c>
    </row>
    <row r="206" spans="1:12" x14ac:dyDescent="0.25">
      <c r="A206" s="42" t="str" cm="1">
        <f t="array" ref="A206">IFERROR(INDEX(_xlfn._xlws.FILTER(Class_Players!A:A,Class_Players!B:B="Assault"),QUOTIENT(ROW()-ROW($A$2),7)+1),"")</f>
        <v>Rekyon</v>
      </c>
      <c r="B206" s="42" t="str">
        <f>_xlfn.XLOOKUP(A206,Class_Players!$A:$A,Class_Players!$B:$B,"")</f>
        <v>Assault</v>
      </c>
      <c r="C206" s="48" t="str" cm="1">
        <f t="array" ref="C206">INDEX(Lookups!$A$2:$A$8,MOD(ROW()-ROW($B$2),ROWS(Lookups!$A$2:$A$8))+1)</f>
        <v>X95 BRE (Breaching Projectile Launcher)</v>
      </c>
      <c r="D206" s="48" t="str">
        <f>_xlfn.XLOOKUP(C206,Analysis_Gadgets!$C:$C,Analysis_Gadgets!$B:$B)</f>
        <v>Gadget</v>
      </c>
      <c r="E206" s="43">
        <v>10</v>
      </c>
      <c r="F206" s="43">
        <f>_xlfn.XLOOKUP(A206,Class_Players!A:A,Class_Players!G:G)</f>
        <v>150</v>
      </c>
      <c r="G206" s="43">
        <f t="shared" si="84"/>
        <v>6.6666666666666666E-2</v>
      </c>
      <c r="H206" s="43">
        <f>_xlfn.XLOOKUP(A206,Class_Players!$A:$A,Class_Players!$F:$F,"")</f>
        <v>12029</v>
      </c>
      <c r="I206" s="44">
        <f t="shared" si="85"/>
        <v>8.3132429960927753E-4</v>
      </c>
      <c r="J206" s="43">
        <f t="shared" si="80"/>
        <v>0</v>
      </c>
      <c r="K206" s="44" cm="1">
        <f t="array" ref="K206">IF(D206="Gadget",_xlfn.IFS(I206&gt;=0.2,0.5,I206&gt;=0.1,0.35,I206&gt;=0.05,0.2,TRUE,0),IF(D206="Grenade",_xlfn.IFS(I206&gt;=0.2,1,I206&gt;=0.1,0.7,I206&gt;=0.05,0.4,TRUE,0),0))</f>
        <v>0</v>
      </c>
      <c r="L206" s="57">
        <f t="shared" si="86"/>
        <v>0</v>
      </c>
    </row>
    <row r="207" spans="1:12" x14ac:dyDescent="0.25">
      <c r="A207" s="42" t="str" cm="1">
        <f t="array" ref="A207">IFERROR(INDEX(_xlfn._xlws.FILTER(Class_Players!A:A,Class_Players!B:B="Assault"),QUOTIENT(ROW()-ROW($A$2),7)+1),"")</f>
        <v>Rekyon</v>
      </c>
      <c r="B207" s="42" t="str">
        <f>_xlfn.XLOOKUP(A207,Class_Players!$A:$A,Class_Players!$B:$B,"")</f>
        <v>Assault</v>
      </c>
      <c r="C207" s="48" t="str" cm="1">
        <f t="array" ref="C207">INDEX(Lookups!$A$2:$A$8,MOD(ROW()-ROW($B$2),ROWS(Lookups!$A$2:$A$8))+1)</f>
        <v>M320A1 HE (Grenade Launcher)</v>
      </c>
      <c r="D207" s="48" t="str">
        <f>_xlfn.XLOOKUP(C207,Analysis_Gadgets!$C:$C,Analysis_Gadgets!$B:$B)</f>
        <v>Gadget</v>
      </c>
      <c r="E207" s="43">
        <v>4421</v>
      </c>
      <c r="F207" s="43">
        <f>_xlfn.XLOOKUP(A207,Class_Players!A:A,Class_Players!G:G)</f>
        <v>150</v>
      </c>
      <c r="G207" s="43">
        <f t="shared" si="84"/>
        <v>29.473333333333333</v>
      </c>
      <c r="H207" s="43">
        <f>_xlfn.XLOOKUP(A207,Class_Players!$A:$A,Class_Players!$F:$F,"")</f>
        <v>12029</v>
      </c>
      <c r="I207" s="44">
        <f t="shared" si="85"/>
        <v>0.36752847285726165</v>
      </c>
      <c r="J207" s="43">
        <f t="shared" si="80"/>
        <v>1</v>
      </c>
      <c r="K207" s="44" cm="1">
        <f t="array" ref="K207">IF(D207="Gadget",_xlfn.IFS(I207&gt;=0.2,0.5,I207&gt;=0.1,0.35,I207&gt;=0.05,0.2,TRUE,0),IF(D207="Grenade",_xlfn.IFS(I207&gt;=0.2,1,I207&gt;=0.1,0.7,I207&gt;=0.05,0.4,TRUE,0),0))</f>
        <v>0.5</v>
      </c>
      <c r="L207" s="57">
        <f t="shared" si="86"/>
        <v>0.58823529411764708</v>
      </c>
    </row>
    <row r="208" spans="1:12" x14ac:dyDescent="0.25">
      <c r="A208" s="42" t="str" cm="1">
        <f t="array" ref="A208">IFERROR(INDEX(_xlfn._xlws.FILTER(Class_Players!A:A,Class_Players!B:B="Assault"),QUOTIENT(ROW()-ROW($A$2),7)+1),"")</f>
        <v>Rekyon</v>
      </c>
      <c r="B208" s="42" t="str">
        <f>_xlfn.XLOOKUP(A208,Class_Players!$A:$A,Class_Players!$B:$B,"")</f>
        <v>Assault</v>
      </c>
      <c r="C208" s="48" t="str" cm="1">
        <f t="array" ref="C208">INDEX(Lookups!$A$2:$A$8,MOD(ROW()-ROW($B$2),ROWS(Lookups!$A$2:$A$8))+1)</f>
        <v>M320A1 THRM    (Incendiary Grenade Launcher)</v>
      </c>
      <c r="D208" s="48" t="str">
        <f>_xlfn.XLOOKUP(C208,Analysis_Gadgets!$C:$C,Analysis_Gadgets!$B:$B)</f>
        <v>Gadget</v>
      </c>
      <c r="E208" s="43">
        <v>4</v>
      </c>
      <c r="F208" s="43">
        <f>_xlfn.XLOOKUP(A208,Class_Players!A:A,Class_Players!G:G)</f>
        <v>150</v>
      </c>
      <c r="G208" s="43">
        <f t="shared" si="84"/>
        <v>2.6666666666666668E-2</v>
      </c>
      <c r="H208" s="43">
        <f>_xlfn.XLOOKUP(A208,Class_Players!$A:$A,Class_Players!$F:$F,"")</f>
        <v>12029</v>
      </c>
      <c r="I208" s="44">
        <f t="shared" si="85"/>
        <v>3.3252971984371103E-4</v>
      </c>
      <c r="J208" s="43">
        <f t="shared" si="80"/>
        <v>0</v>
      </c>
      <c r="K208" s="44" cm="1">
        <f t="array" ref="K208">IF(D208="Gadget",_xlfn.IFS(I208&gt;=0.2,0.5,I208&gt;=0.1,0.35,I208&gt;=0.05,0.2,TRUE,0),IF(D208="Grenade",_xlfn.IFS(I208&gt;=0.2,1,I208&gt;=0.1,0.7,I208&gt;=0.05,0.4,TRUE,0),0))</f>
        <v>0</v>
      </c>
      <c r="L208" s="57">
        <f t="shared" si="86"/>
        <v>0</v>
      </c>
    </row>
    <row r="209" spans="1:12" x14ac:dyDescent="0.25">
      <c r="A209" s="42" t="str" cm="1">
        <f t="array" ref="A209">IFERROR(INDEX(_xlfn._xlws.FILTER(Class_Players!A:A,Class_Players!B:B="Assault"),QUOTIENT(ROW()-ROW($A$2),7)+1),"")</f>
        <v>Rekyon</v>
      </c>
      <c r="B209" s="42" t="str">
        <f>_xlfn.XLOOKUP(A209,Class_Players!$A:$A,Class_Players!$B:$B,"")</f>
        <v>Assault</v>
      </c>
      <c r="C209" s="48" t="str" cm="1">
        <f t="array" ref="C209">INDEX(Lookups!$A$2:$A$8,MOD(ROW()-ROW($B$2),ROWS(Lookups!$A$2:$A$8))+1)</f>
        <v>QLINK (Deploy Beacon)</v>
      </c>
      <c r="D209" s="48" t="str">
        <f>_xlfn.XLOOKUP(C209,Analysis_Gadgets!$C:$C,Analysis_Gadgets!$B:$B)</f>
        <v>Gadget</v>
      </c>
      <c r="E209" s="43">
        <v>1319</v>
      </c>
      <c r="F209" s="43">
        <f>_xlfn.XLOOKUP(A209,Class_Players!A:A,Class_Players!G:G)</f>
        <v>150</v>
      </c>
      <c r="G209" s="43">
        <f t="shared" si="84"/>
        <v>8.793333333333333</v>
      </c>
      <c r="H209" s="43">
        <f>_xlfn.XLOOKUP(A209,Class_Players!$A:$A,Class_Players!$F:$F,"")</f>
        <v>12029</v>
      </c>
      <c r="I209" s="44">
        <f t="shared" si="85"/>
        <v>0.10965167511846372</v>
      </c>
      <c r="J209" s="43">
        <f t="shared" si="80"/>
        <v>1</v>
      </c>
      <c r="K209" s="44" cm="1">
        <f t="array" ref="K209">IF(D209="Gadget",_xlfn.IFS(I209&gt;=0.2,0.5,I209&gt;=0.1,0.35,I209&gt;=0.05,0.2,TRUE,0),IF(D209="Grenade",_xlfn.IFS(I209&gt;=0.2,1,I209&gt;=0.1,0.7,I209&gt;=0.05,0.4,TRUE,0),0))</f>
        <v>0.35</v>
      </c>
      <c r="L209" s="57">
        <f t="shared" si="86"/>
        <v>0.41176470588235292</v>
      </c>
    </row>
    <row r="210" spans="1:12" x14ac:dyDescent="0.25">
      <c r="A210" s="42" t="str" cm="1">
        <f t="array" ref="A210">IFERROR(INDEX(_xlfn._xlws.FILTER(Class_Players!A:A,Class_Players!B:B="Assault"),QUOTIENT(ROW()-ROW($A$2),7)+1),"")</f>
        <v>Rekyon</v>
      </c>
      <c r="B210" s="42" t="str">
        <f>_xlfn.XLOOKUP(A210,Class_Players!$A:$A,Class_Players!$B:$B,"")</f>
        <v>Assault</v>
      </c>
      <c r="C210" s="48" t="str" cm="1">
        <f t="array" ref="C210">INDEX(Lookups!$A$2:$A$8,MOD(ROW()-ROW($B$2),ROWS(Lookups!$A$2:$A$8))+1)</f>
        <v>Stun Grenade</v>
      </c>
      <c r="D210" s="48" t="str">
        <f>_xlfn.XLOOKUP(C210,Analysis_Gadgets!$C:$C,Analysis_Gadgets!$B:$B)</f>
        <v>Grenade</v>
      </c>
      <c r="E210" s="43">
        <v>166</v>
      </c>
      <c r="F210" s="43">
        <f>_xlfn.XLOOKUP(A210,Class_Players!A:A,Class_Players!G:G)</f>
        <v>150</v>
      </c>
      <c r="G210" s="43">
        <f t="shared" si="84"/>
        <v>1.1066666666666667</v>
      </c>
      <c r="H210" s="43">
        <f>_xlfn.XLOOKUP(A210,Class_Players!$A:$A,Class_Players!$F:$F,"")</f>
        <v>12029</v>
      </c>
      <c r="I210" s="44">
        <f t="shared" si="85"/>
        <v>1.3799983373514008E-2</v>
      </c>
      <c r="J210" s="43">
        <f t="shared" si="80"/>
        <v>0</v>
      </c>
      <c r="K210" s="44" cm="1">
        <f t="array" ref="K210">IF(D210="Gadget",_xlfn.IFS(I210&gt;=0.2,0.5,I210&gt;=0.1,0.35,I210&gt;=0.05,0.2,TRUE,0),IF(D210="Grenade",_xlfn.IFS(I210&gt;=0.2,1,I210&gt;=0.1,0.7,I210&gt;=0.05,0.4,TRUE,0),0))</f>
        <v>0</v>
      </c>
      <c r="L210" s="57">
        <f t="shared" ref="L210:L211" si="87">IF($K210=0,0,$K210 / SUMIFS($K:$K,$A:$A,$A210,$D:$D,"Grenade"))</f>
        <v>0</v>
      </c>
    </row>
    <row r="211" spans="1:12" x14ac:dyDescent="0.25">
      <c r="A211" s="42" t="str" cm="1">
        <f t="array" ref="A211">IFERROR(INDEX(_xlfn._xlws.FILTER(Class_Players!A:A,Class_Players!B:B="Assault"),QUOTIENT(ROW()-ROW($A$2),7)+1),"")</f>
        <v>Rekyon</v>
      </c>
      <c r="B211" s="42" t="str">
        <f>_xlfn.XLOOKUP(A211,Class_Players!$A:$A,Class_Players!$B:$B,"")</f>
        <v>Assault</v>
      </c>
      <c r="C211" s="48" t="str" cm="1">
        <f t="array" ref="C211">INDEX(Lookups!$A$2:$A$8,MOD(ROW()-ROW($B$2),ROWS(Lookups!$A$2:$A$8))+1)</f>
        <v>Flash Grenade</v>
      </c>
      <c r="D211" s="48" t="str">
        <f>_xlfn.XLOOKUP(C211,Analysis_Gadgets!$C:$C,Analysis_Gadgets!$B:$B)</f>
        <v>Grenade</v>
      </c>
      <c r="E211" s="43">
        <v>4</v>
      </c>
      <c r="F211" s="43">
        <f>_xlfn.XLOOKUP(A211,Class_Players!A:A,Class_Players!G:G)</f>
        <v>150</v>
      </c>
      <c r="G211" s="43">
        <f t="shared" si="84"/>
        <v>2.6666666666666668E-2</v>
      </c>
      <c r="H211" s="43">
        <f>_xlfn.XLOOKUP(A211,Class_Players!$A:$A,Class_Players!$F:$F,"")</f>
        <v>12029</v>
      </c>
      <c r="I211" s="44">
        <f t="shared" si="85"/>
        <v>3.3252971984371103E-4</v>
      </c>
      <c r="J211" s="43">
        <f t="shared" si="80"/>
        <v>0</v>
      </c>
      <c r="K211" s="44" cm="1">
        <f t="array" ref="K211">IF(D211="Gadget",_xlfn.IFS(I211&gt;=0.2,0.5,I211&gt;=0.1,0.35,I211&gt;=0.05,0.2,TRUE,0),IF(D211="Grenade",_xlfn.IFS(I211&gt;=0.2,1,I211&gt;=0.1,0.7,I211&gt;=0.05,0.4,TRUE,0),0))</f>
        <v>0</v>
      </c>
      <c r="L211" s="57">
        <f t="shared" si="87"/>
        <v>0</v>
      </c>
    </row>
    <row r="212" spans="1:12" x14ac:dyDescent="0.25">
      <c r="A212" s="42" t="str" cm="1">
        <f t="array" ref="A212">IFERROR(INDEX(_xlfn._xlws.FILTER(Class_Players!A:A,Class_Players!B:B="Assault"),QUOTIENT(ROW()-ROW($A$2),7)+1),"")</f>
        <v>Rinnez</v>
      </c>
      <c r="B212" s="42" t="str">
        <f>_xlfn.XLOOKUP(A212,Class_Players!$A:$A,Class_Players!$B:$B,"")</f>
        <v>Assault</v>
      </c>
      <c r="C212" s="48" t="str" cm="1">
        <f t="array" ref="C212">INDEX(Lookups!$A$2:$A$8,MOD(ROW()-ROW($B$2),ROWS(Lookups!$A$2:$A$8))+1)</f>
        <v>Assault Ladder</v>
      </c>
      <c r="D212" s="48" t="str">
        <f>_xlfn.XLOOKUP(C212,Analysis_Gadgets!$C:$C,Analysis_Gadgets!$B:$B)</f>
        <v>Gadget</v>
      </c>
      <c r="E212" s="43">
        <v>2</v>
      </c>
      <c r="F212" s="43">
        <f>_xlfn.XLOOKUP(A212,Class_Players!A:A,Class_Players!G:G)</f>
        <v>154</v>
      </c>
      <c r="G212" s="43">
        <f t="shared" si="84"/>
        <v>1.2987012987012988E-2</v>
      </c>
      <c r="H212" s="43">
        <f>_xlfn.XLOOKUP(A212,Class_Players!$A:$A,Class_Players!$F:$F,"")</f>
        <v>11872</v>
      </c>
      <c r="I212" s="44">
        <f t="shared" si="85"/>
        <v>1.6846361185983828E-4</v>
      </c>
      <c r="J212" s="43">
        <f t="shared" si="80"/>
        <v>0</v>
      </c>
      <c r="K212" s="44" cm="1">
        <f t="array" ref="K212">IF(D212="Gadget",_xlfn.IFS(I212&gt;=0.2,0.5,I212&gt;=0.1,0.35,I212&gt;=0.05,0.2,TRUE,0),IF(D212="Grenade",_xlfn.IFS(I212&gt;=0.2,1,I212&gt;=0.1,0.7,I212&gt;=0.05,0.4,TRUE,0),0))</f>
        <v>0</v>
      </c>
      <c r="L212" s="57">
        <f t="shared" ref="L212:L216" si="88">IF($K212=0,0,$K212 / SUMIFS($K:$K,$A:$A,$A212,$D:$D,"Gadget"))</f>
        <v>0</v>
      </c>
    </row>
    <row r="213" spans="1:12" x14ac:dyDescent="0.25">
      <c r="A213" s="42" t="str" cm="1">
        <f t="array" ref="A213">IFERROR(INDEX(_xlfn._xlws.FILTER(Class_Players!A:A,Class_Players!B:B="Assault"),QUOTIENT(ROW()-ROW($A$2),7)+1),"")</f>
        <v>Rinnez</v>
      </c>
      <c r="B213" s="42" t="str">
        <f>_xlfn.XLOOKUP(A213,Class_Players!$A:$A,Class_Players!$B:$B,"")</f>
        <v>Assault</v>
      </c>
      <c r="C213" s="48" t="str" cm="1">
        <f t="array" ref="C213">INDEX(Lookups!$A$2:$A$8,MOD(ROW()-ROW($B$2),ROWS(Lookups!$A$2:$A$8))+1)</f>
        <v>X95 BRE (Breaching Projectile Launcher)</v>
      </c>
      <c r="D213" s="48" t="str">
        <f>_xlfn.XLOOKUP(C213,Analysis_Gadgets!$C:$C,Analysis_Gadgets!$B:$B)</f>
        <v>Gadget</v>
      </c>
      <c r="E213" s="43">
        <v>2</v>
      </c>
      <c r="F213" s="43">
        <f>_xlfn.XLOOKUP(A213,Class_Players!A:A,Class_Players!G:G)</f>
        <v>154</v>
      </c>
      <c r="G213" s="43">
        <f t="shared" si="84"/>
        <v>1.2987012987012988E-2</v>
      </c>
      <c r="H213" s="43">
        <f>_xlfn.XLOOKUP(A213,Class_Players!$A:$A,Class_Players!$F:$F,"")</f>
        <v>11872</v>
      </c>
      <c r="I213" s="44">
        <f t="shared" si="85"/>
        <v>1.6846361185983828E-4</v>
      </c>
      <c r="J213" s="43">
        <f t="shared" si="80"/>
        <v>0</v>
      </c>
      <c r="K213" s="44" cm="1">
        <f t="array" ref="K213">IF(D213="Gadget",_xlfn.IFS(I213&gt;=0.2,0.5,I213&gt;=0.1,0.35,I213&gt;=0.05,0.2,TRUE,0),IF(D213="Grenade",_xlfn.IFS(I213&gt;=0.2,1,I213&gt;=0.1,0.7,I213&gt;=0.05,0.4,TRUE,0),0))</f>
        <v>0</v>
      </c>
      <c r="L213" s="57">
        <f t="shared" si="88"/>
        <v>0</v>
      </c>
    </row>
    <row r="214" spans="1:12" x14ac:dyDescent="0.25">
      <c r="A214" s="42" t="str" cm="1">
        <f t="array" ref="A214">IFERROR(INDEX(_xlfn._xlws.FILTER(Class_Players!A:A,Class_Players!B:B="Assault"),QUOTIENT(ROW()-ROW($A$2),7)+1),"")</f>
        <v>Rinnez</v>
      </c>
      <c r="B214" s="42" t="str">
        <f>_xlfn.XLOOKUP(A214,Class_Players!$A:$A,Class_Players!$B:$B,"")</f>
        <v>Assault</v>
      </c>
      <c r="C214" s="48" t="str" cm="1">
        <f t="array" ref="C214">INDEX(Lookups!$A$2:$A$8,MOD(ROW()-ROW($B$2),ROWS(Lookups!$A$2:$A$8))+1)</f>
        <v>M320A1 HE (Grenade Launcher)</v>
      </c>
      <c r="D214" s="48" t="str">
        <f>_xlfn.XLOOKUP(C214,Analysis_Gadgets!$C:$C,Analysis_Gadgets!$B:$B)</f>
        <v>Gadget</v>
      </c>
      <c r="E214" s="43">
        <v>10693</v>
      </c>
      <c r="F214" s="43">
        <f>_xlfn.XLOOKUP(A214,Class_Players!A:A,Class_Players!G:G)</f>
        <v>154</v>
      </c>
      <c r="G214" s="43">
        <f t="shared" si="84"/>
        <v>69.435064935064929</v>
      </c>
      <c r="H214" s="43">
        <f>_xlfn.XLOOKUP(A214,Class_Players!$A:$A,Class_Players!$F:$F,"")</f>
        <v>11872</v>
      </c>
      <c r="I214" s="44">
        <f t="shared" si="85"/>
        <v>0.90069070080862534</v>
      </c>
      <c r="J214" s="43">
        <f t="shared" si="80"/>
        <v>1</v>
      </c>
      <c r="K214" s="44" cm="1">
        <f t="array" ref="K214">IF(D214="Gadget",_xlfn.IFS(I214&gt;=0.2,0.5,I214&gt;=0.1,0.35,I214&gt;=0.05,0.2,TRUE,0),IF(D214="Grenade",_xlfn.IFS(I214&gt;=0.2,1,I214&gt;=0.1,0.7,I214&gt;=0.05,0.4,TRUE,0),0))</f>
        <v>0.5</v>
      </c>
      <c r="L214" s="57">
        <f t="shared" si="88"/>
        <v>1</v>
      </c>
    </row>
    <row r="215" spans="1:12" x14ac:dyDescent="0.25">
      <c r="A215" s="42" t="str" cm="1">
        <f t="array" ref="A215">IFERROR(INDEX(_xlfn._xlws.FILTER(Class_Players!A:A,Class_Players!B:B="Assault"),QUOTIENT(ROW()-ROW($A$2),7)+1),"")</f>
        <v>Rinnez</v>
      </c>
      <c r="B215" s="42" t="str">
        <f>_xlfn.XLOOKUP(A215,Class_Players!$A:$A,Class_Players!$B:$B,"")</f>
        <v>Assault</v>
      </c>
      <c r="C215" s="48" t="str" cm="1">
        <f t="array" ref="C215">INDEX(Lookups!$A$2:$A$8,MOD(ROW()-ROW($B$2),ROWS(Lookups!$A$2:$A$8))+1)</f>
        <v>M320A1 THRM    (Incendiary Grenade Launcher)</v>
      </c>
      <c r="D215" s="48" t="str">
        <f>_xlfn.XLOOKUP(C215,Analysis_Gadgets!$C:$C,Analysis_Gadgets!$B:$B)</f>
        <v>Gadget</v>
      </c>
      <c r="E215" s="43">
        <v>11</v>
      </c>
      <c r="F215" s="43">
        <f>_xlfn.XLOOKUP(A215,Class_Players!A:A,Class_Players!G:G)</f>
        <v>154</v>
      </c>
      <c r="G215" s="43">
        <f t="shared" si="84"/>
        <v>7.1428571428571425E-2</v>
      </c>
      <c r="H215" s="43">
        <f>_xlfn.XLOOKUP(A215,Class_Players!$A:$A,Class_Players!$F:$F,"")</f>
        <v>11872</v>
      </c>
      <c r="I215" s="44">
        <f t="shared" si="85"/>
        <v>9.2654986522911051E-4</v>
      </c>
      <c r="J215" s="43">
        <f t="shared" si="80"/>
        <v>0</v>
      </c>
      <c r="K215" s="44" cm="1">
        <f t="array" ref="K215">IF(D215="Gadget",_xlfn.IFS(I215&gt;=0.2,0.5,I215&gt;=0.1,0.35,I215&gt;=0.05,0.2,TRUE,0),IF(D215="Grenade",_xlfn.IFS(I215&gt;=0.2,1,I215&gt;=0.1,0.7,I215&gt;=0.05,0.4,TRUE,0),0))</f>
        <v>0</v>
      </c>
      <c r="L215" s="57">
        <f t="shared" si="88"/>
        <v>0</v>
      </c>
    </row>
    <row r="216" spans="1:12" x14ac:dyDescent="0.25">
      <c r="A216" s="42" t="str" cm="1">
        <f t="array" ref="A216">IFERROR(INDEX(_xlfn._xlws.FILTER(Class_Players!A:A,Class_Players!B:B="Assault"),QUOTIENT(ROW()-ROW($A$2),7)+1),"")</f>
        <v>Rinnez</v>
      </c>
      <c r="B216" s="42" t="str">
        <f>_xlfn.XLOOKUP(A216,Class_Players!$A:$A,Class_Players!$B:$B,"")</f>
        <v>Assault</v>
      </c>
      <c r="C216" s="48" t="str" cm="1">
        <f t="array" ref="C216">INDEX(Lookups!$A$2:$A$8,MOD(ROW()-ROW($B$2),ROWS(Lookups!$A$2:$A$8))+1)</f>
        <v>QLINK (Deploy Beacon)</v>
      </c>
      <c r="D216" s="48" t="str">
        <f>_xlfn.XLOOKUP(C216,Analysis_Gadgets!$C:$C,Analysis_Gadgets!$B:$B)</f>
        <v>Gadget</v>
      </c>
      <c r="E216" s="43">
        <v>92</v>
      </c>
      <c r="F216" s="43">
        <f>_xlfn.XLOOKUP(A216,Class_Players!A:A,Class_Players!G:G)</f>
        <v>154</v>
      </c>
      <c r="G216" s="43">
        <f t="shared" si="84"/>
        <v>0.59740259740259738</v>
      </c>
      <c r="H216" s="43">
        <f>_xlfn.XLOOKUP(A216,Class_Players!$A:$A,Class_Players!$F:$F,"")</f>
        <v>11872</v>
      </c>
      <c r="I216" s="44">
        <f t="shared" si="85"/>
        <v>7.7493261455525604E-3</v>
      </c>
      <c r="J216" s="43">
        <f t="shared" si="80"/>
        <v>0</v>
      </c>
      <c r="K216" s="44" cm="1">
        <f t="array" ref="K216">IF(D216="Gadget",_xlfn.IFS(I216&gt;=0.2,0.5,I216&gt;=0.1,0.35,I216&gt;=0.05,0.2,TRUE,0),IF(D216="Grenade",_xlfn.IFS(I216&gt;=0.2,1,I216&gt;=0.1,0.7,I216&gt;=0.05,0.4,TRUE,0),0))</f>
        <v>0</v>
      </c>
      <c r="L216" s="57">
        <f t="shared" si="88"/>
        <v>0</v>
      </c>
    </row>
    <row r="217" spans="1:12" x14ac:dyDescent="0.25">
      <c r="A217" s="42" t="str" cm="1">
        <f t="array" ref="A217">IFERROR(INDEX(_xlfn._xlws.FILTER(Class_Players!A:A,Class_Players!B:B="Assault"),QUOTIENT(ROW()-ROW($A$2),7)+1),"")</f>
        <v>Rinnez</v>
      </c>
      <c r="B217" s="42" t="str">
        <f>_xlfn.XLOOKUP(A217,Class_Players!$A:$A,Class_Players!$B:$B,"")</f>
        <v>Assault</v>
      </c>
      <c r="C217" s="48" t="str" cm="1">
        <f t="array" ref="C217">INDEX(Lookups!$A$2:$A$8,MOD(ROW()-ROW($B$2),ROWS(Lookups!$A$2:$A$8))+1)</f>
        <v>Stun Grenade</v>
      </c>
      <c r="D217" s="48" t="str">
        <f>_xlfn.XLOOKUP(C217,Analysis_Gadgets!$C:$C,Analysis_Gadgets!$B:$B)</f>
        <v>Grenade</v>
      </c>
      <c r="E217" s="43">
        <v>168</v>
      </c>
      <c r="F217" s="43">
        <f>_xlfn.XLOOKUP(A217,Class_Players!A:A,Class_Players!G:G)</f>
        <v>154</v>
      </c>
      <c r="G217" s="43">
        <f t="shared" si="84"/>
        <v>1.0909090909090908</v>
      </c>
      <c r="H217" s="43">
        <f>_xlfn.XLOOKUP(A217,Class_Players!$A:$A,Class_Players!$F:$F,"")</f>
        <v>11872</v>
      </c>
      <c r="I217" s="44">
        <f t="shared" si="85"/>
        <v>1.4150943396226415E-2</v>
      </c>
      <c r="J217" s="43">
        <f t="shared" si="80"/>
        <v>0</v>
      </c>
      <c r="K217" s="44" cm="1">
        <f t="array" ref="K217">IF(D217="Gadget",_xlfn.IFS(I217&gt;=0.2,0.5,I217&gt;=0.1,0.35,I217&gt;=0.05,0.2,TRUE,0),IF(D217="Grenade",_xlfn.IFS(I217&gt;=0.2,1,I217&gt;=0.1,0.7,I217&gt;=0.05,0.4,TRUE,0),0))</f>
        <v>0</v>
      </c>
      <c r="L217" s="57">
        <f t="shared" ref="L217:L218" si="89">IF($K217=0,0,$K217 / SUMIFS($K:$K,$A:$A,$A217,$D:$D,"Grenade"))</f>
        <v>0</v>
      </c>
    </row>
    <row r="218" spans="1:12" x14ac:dyDescent="0.25">
      <c r="A218" s="42" t="str" cm="1">
        <f t="array" ref="A218">IFERROR(INDEX(_xlfn._xlws.FILTER(Class_Players!A:A,Class_Players!B:B="Assault"),QUOTIENT(ROW()-ROW($A$2),7)+1),"")</f>
        <v>Rinnez</v>
      </c>
      <c r="B218" s="42" t="str">
        <f>_xlfn.XLOOKUP(A218,Class_Players!$A:$A,Class_Players!$B:$B,"")</f>
        <v>Assault</v>
      </c>
      <c r="C218" s="48" t="str" cm="1">
        <f t="array" ref="C218">INDEX(Lookups!$A$2:$A$8,MOD(ROW()-ROW($B$2),ROWS(Lookups!$A$2:$A$8))+1)</f>
        <v>Flash Grenade</v>
      </c>
      <c r="D218" s="48" t="str">
        <f>_xlfn.XLOOKUP(C218,Analysis_Gadgets!$C:$C,Analysis_Gadgets!$B:$B)</f>
        <v>Grenade</v>
      </c>
      <c r="E218" s="43">
        <v>308</v>
      </c>
      <c r="F218" s="43">
        <f>_xlfn.XLOOKUP(A218,Class_Players!A:A,Class_Players!G:G)</f>
        <v>154</v>
      </c>
      <c r="G218" s="43">
        <f t="shared" si="84"/>
        <v>2</v>
      </c>
      <c r="H218" s="43">
        <f>_xlfn.XLOOKUP(A218,Class_Players!$A:$A,Class_Players!$F:$F,"")</f>
        <v>11872</v>
      </c>
      <c r="I218" s="44">
        <f t="shared" si="85"/>
        <v>2.5943396226415096E-2</v>
      </c>
      <c r="J218" s="43">
        <f t="shared" si="80"/>
        <v>0</v>
      </c>
      <c r="K218" s="44" cm="1">
        <f t="array" ref="K218">IF(D218="Gadget",_xlfn.IFS(I218&gt;=0.2,0.5,I218&gt;=0.1,0.35,I218&gt;=0.05,0.2,TRUE,0),IF(D218="Grenade",_xlfn.IFS(I218&gt;=0.2,1,I218&gt;=0.1,0.7,I218&gt;=0.05,0.4,TRUE,0),0))</f>
        <v>0</v>
      </c>
      <c r="L218" s="57">
        <f t="shared" si="89"/>
        <v>0</v>
      </c>
    </row>
    <row r="219" spans="1:12" x14ac:dyDescent="0.25">
      <c r="A219" s="42" t="str" cm="1">
        <f t="array" ref="A219">IFERROR(INDEX(_xlfn._xlws.FILTER(Class_Players!A:A,Class_Players!B:B="Assault"),QUOTIENT(ROW()-ROW($A$2),7)+1),"")</f>
        <v>Aleksandr_rich</v>
      </c>
      <c r="B219" s="42" t="str">
        <f>_xlfn.XLOOKUP(A219,Class_Players!$A:$A,Class_Players!$B:$B,"")</f>
        <v>Assault</v>
      </c>
      <c r="C219" s="48" t="str" cm="1">
        <f t="array" ref="C219">INDEX(Lookups!$A$2:$A$8,MOD(ROW()-ROW($B$2),ROWS(Lookups!$A$2:$A$8))+1)</f>
        <v>Assault Ladder</v>
      </c>
      <c r="D219" s="48" t="str">
        <f>_xlfn.XLOOKUP(C219,Analysis_Gadgets!$C:$C,Analysis_Gadgets!$B:$B)</f>
        <v>Gadget</v>
      </c>
      <c r="E219" s="43">
        <v>4</v>
      </c>
      <c r="F219" s="43">
        <f>_xlfn.XLOOKUP(A219,Class_Players!A:A,Class_Players!G:G)</f>
        <v>164</v>
      </c>
      <c r="G219" s="43">
        <f t="shared" ref="G219:G281" si="90">IF(F219=0,"",E219/F219)</f>
        <v>2.4390243902439025E-2</v>
      </c>
      <c r="H219" s="43">
        <f>_xlfn.XLOOKUP(A219,Class_Players!$A:$A,Class_Players!$F:$F,"")</f>
        <v>13241</v>
      </c>
      <c r="I219" s="44">
        <f t="shared" ref="I219:I281" si="91">IF(H219=0,"",E219/H219)</f>
        <v>3.0209198701004454E-4</v>
      </c>
      <c r="J219" s="43">
        <f t="shared" si="80"/>
        <v>0</v>
      </c>
      <c r="K219" s="44" cm="1">
        <f t="array" ref="K219">IF(D219="Gadget",_xlfn.IFS(I219&gt;=0.2,0.5,I219&gt;=0.1,0.35,I219&gt;=0.05,0.2,TRUE,0),IF(D219="Grenade",_xlfn.IFS(I219&gt;=0.2,1,I219&gt;=0.1,0.7,I219&gt;=0.05,0.4,TRUE,0),0))</f>
        <v>0</v>
      </c>
      <c r="L219" s="57">
        <f t="shared" ref="L219:L223" si="92">IF($K219=0,0,$K219 / SUMIFS($K:$K,$A:$A,$A219,$D:$D,"Gadget"))</f>
        <v>0</v>
      </c>
    </row>
    <row r="220" spans="1:12" x14ac:dyDescent="0.25">
      <c r="A220" s="42" t="str" cm="1">
        <f t="array" ref="A220">IFERROR(INDEX(_xlfn._xlws.FILTER(Class_Players!A:A,Class_Players!B:B="Assault"),QUOTIENT(ROW()-ROW($A$2),7)+1),"")</f>
        <v>Aleksandr_rich</v>
      </c>
      <c r="B220" s="42" t="str">
        <f>_xlfn.XLOOKUP(A220,Class_Players!$A:$A,Class_Players!$B:$B,"")</f>
        <v>Assault</v>
      </c>
      <c r="C220" s="48" t="str" cm="1">
        <f t="array" ref="C220">INDEX(Lookups!$A$2:$A$8,MOD(ROW()-ROW($B$2),ROWS(Lookups!$A$2:$A$8))+1)</f>
        <v>X95 BRE (Breaching Projectile Launcher)</v>
      </c>
      <c r="D220" s="48" t="str">
        <f>_xlfn.XLOOKUP(C220,Analysis_Gadgets!$C:$C,Analysis_Gadgets!$B:$B)</f>
        <v>Gadget</v>
      </c>
      <c r="E220" s="43">
        <v>0</v>
      </c>
      <c r="F220" s="43">
        <f>_xlfn.XLOOKUP(A220,Class_Players!A:A,Class_Players!G:G)</f>
        <v>164</v>
      </c>
      <c r="G220" s="43">
        <f t="shared" si="90"/>
        <v>0</v>
      </c>
      <c r="H220" s="43">
        <f>_xlfn.XLOOKUP(A220,Class_Players!$A:$A,Class_Players!$F:$F,"")</f>
        <v>13241</v>
      </c>
      <c r="I220" s="44">
        <f t="shared" si="91"/>
        <v>0</v>
      </c>
      <c r="J220" s="43">
        <f t="shared" si="80"/>
        <v>0</v>
      </c>
      <c r="K220" s="44" cm="1">
        <f t="array" ref="K220">IF(D220="Gadget",_xlfn.IFS(I220&gt;=0.2,0.5,I220&gt;=0.1,0.35,I220&gt;=0.05,0.2,TRUE,0),IF(D220="Grenade",_xlfn.IFS(I220&gt;=0.2,1,I220&gt;=0.1,0.7,I220&gt;=0.05,0.4,TRUE,0),0))</f>
        <v>0</v>
      </c>
      <c r="L220" s="57">
        <f t="shared" si="92"/>
        <v>0</v>
      </c>
    </row>
    <row r="221" spans="1:12" x14ac:dyDescent="0.25">
      <c r="A221" s="42" t="str" cm="1">
        <f t="array" ref="A221">IFERROR(INDEX(_xlfn._xlws.FILTER(Class_Players!A:A,Class_Players!B:B="Assault"),QUOTIENT(ROW()-ROW($A$2),7)+1),"")</f>
        <v>Aleksandr_rich</v>
      </c>
      <c r="B221" s="42" t="str">
        <f>_xlfn.XLOOKUP(A221,Class_Players!$A:$A,Class_Players!$B:$B,"")</f>
        <v>Assault</v>
      </c>
      <c r="C221" s="48" t="str" cm="1">
        <f t="array" ref="C221">INDEX(Lookups!$A$2:$A$8,MOD(ROW()-ROW($B$2),ROWS(Lookups!$A$2:$A$8))+1)</f>
        <v>M320A1 HE (Grenade Launcher)</v>
      </c>
      <c r="D221" s="48" t="str">
        <f>_xlfn.XLOOKUP(C221,Analysis_Gadgets!$C:$C,Analysis_Gadgets!$B:$B)</f>
        <v>Gadget</v>
      </c>
      <c r="E221" s="43">
        <v>10281</v>
      </c>
      <c r="F221" s="43">
        <f>_xlfn.XLOOKUP(A221,Class_Players!A:A,Class_Players!G:G)</f>
        <v>164</v>
      </c>
      <c r="G221" s="43">
        <f t="shared" si="90"/>
        <v>62.689024390243901</v>
      </c>
      <c r="H221" s="43">
        <f>_xlfn.XLOOKUP(A221,Class_Players!$A:$A,Class_Players!$F:$F,"")</f>
        <v>13241</v>
      </c>
      <c r="I221" s="44">
        <f t="shared" si="91"/>
        <v>0.77645192961256704</v>
      </c>
      <c r="J221" s="43">
        <f t="shared" si="80"/>
        <v>1</v>
      </c>
      <c r="K221" s="44" cm="1">
        <f t="array" ref="K221">IF(D221="Gadget",_xlfn.IFS(I221&gt;=0.2,0.5,I221&gt;=0.1,0.35,I221&gt;=0.05,0.2,TRUE,0),IF(D221="Grenade",_xlfn.IFS(I221&gt;=0.2,1,I221&gt;=0.1,0.7,I221&gt;=0.05,0.4,TRUE,0),0))</f>
        <v>0.5</v>
      </c>
      <c r="L221" s="57">
        <f t="shared" si="92"/>
        <v>1</v>
      </c>
    </row>
    <row r="222" spans="1:12" x14ac:dyDescent="0.25">
      <c r="A222" s="42" t="str" cm="1">
        <f t="array" ref="A222">IFERROR(INDEX(_xlfn._xlws.FILTER(Class_Players!A:A,Class_Players!B:B="Assault"),QUOTIENT(ROW()-ROW($A$2),7)+1),"")</f>
        <v>Aleksandr_rich</v>
      </c>
      <c r="B222" s="42" t="str">
        <f>_xlfn.XLOOKUP(A222,Class_Players!$A:$A,Class_Players!$B:$B,"")</f>
        <v>Assault</v>
      </c>
      <c r="C222" s="48" t="str" cm="1">
        <f t="array" ref="C222">INDEX(Lookups!$A$2:$A$8,MOD(ROW()-ROW($B$2),ROWS(Lookups!$A$2:$A$8))+1)</f>
        <v>M320A1 THRM    (Incendiary Grenade Launcher)</v>
      </c>
      <c r="D222" s="48" t="str">
        <f>_xlfn.XLOOKUP(C222,Analysis_Gadgets!$C:$C,Analysis_Gadgets!$B:$B)</f>
        <v>Gadget</v>
      </c>
      <c r="E222" s="43">
        <v>645</v>
      </c>
      <c r="F222" s="43">
        <f>_xlfn.XLOOKUP(A222,Class_Players!A:A,Class_Players!G:G)</f>
        <v>164</v>
      </c>
      <c r="G222" s="43">
        <f t="shared" si="90"/>
        <v>3.9329268292682928</v>
      </c>
      <c r="H222" s="43">
        <f>_xlfn.XLOOKUP(A222,Class_Players!$A:$A,Class_Players!$F:$F,"")</f>
        <v>13241</v>
      </c>
      <c r="I222" s="44">
        <f t="shared" si="91"/>
        <v>4.8712332905369686E-2</v>
      </c>
      <c r="J222" s="43">
        <f t="shared" si="80"/>
        <v>0</v>
      </c>
      <c r="K222" s="44" cm="1">
        <f t="array" ref="K222">IF(D222="Gadget",_xlfn.IFS(I222&gt;=0.2,0.5,I222&gt;=0.1,0.35,I222&gt;=0.05,0.2,TRUE,0),IF(D222="Grenade",_xlfn.IFS(I222&gt;=0.2,1,I222&gt;=0.1,0.7,I222&gt;=0.05,0.4,TRUE,0),0))</f>
        <v>0</v>
      </c>
      <c r="L222" s="57">
        <f t="shared" si="92"/>
        <v>0</v>
      </c>
    </row>
    <row r="223" spans="1:12" x14ac:dyDescent="0.25">
      <c r="A223" s="42" t="str" cm="1">
        <f t="array" ref="A223">IFERROR(INDEX(_xlfn._xlws.FILTER(Class_Players!A:A,Class_Players!B:B="Assault"),QUOTIENT(ROW()-ROW($A$2),7)+1),"")</f>
        <v>Aleksandr_rich</v>
      </c>
      <c r="B223" s="42" t="str">
        <f>_xlfn.XLOOKUP(A223,Class_Players!$A:$A,Class_Players!$B:$B,"")</f>
        <v>Assault</v>
      </c>
      <c r="C223" s="48" t="str" cm="1">
        <f t="array" ref="C223">INDEX(Lookups!$A$2:$A$8,MOD(ROW()-ROW($B$2),ROWS(Lookups!$A$2:$A$8))+1)</f>
        <v>QLINK (Deploy Beacon)</v>
      </c>
      <c r="D223" s="48" t="str">
        <f>_xlfn.XLOOKUP(C223,Analysis_Gadgets!$C:$C,Analysis_Gadgets!$B:$B)</f>
        <v>Gadget</v>
      </c>
      <c r="E223" s="43">
        <v>0</v>
      </c>
      <c r="F223" s="43">
        <f>_xlfn.XLOOKUP(A223,Class_Players!A:A,Class_Players!G:G)</f>
        <v>164</v>
      </c>
      <c r="G223" s="43">
        <f t="shared" si="90"/>
        <v>0</v>
      </c>
      <c r="H223" s="43">
        <f>_xlfn.XLOOKUP(A223,Class_Players!$A:$A,Class_Players!$F:$F,"")</f>
        <v>13241</v>
      </c>
      <c r="I223" s="44">
        <f t="shared" si="91"/>
        <v>0</v>
      </c>
      <c r="J223" s="43">
        <f t="shared" si="80"/>
        <v>0</v>
      </c>
      <c r="K223" s="44" cm="1">
        <f t="array" ref="K223">IF(D223="Gadget",_xlfn.IFS(I223&gt;=0.2,0.5,I223&gt;=0.1,0.35,I223&gt;=0.05,0.2,TRUE,0),IF(D223="Grenade",_xlfn.IFS(I223&gt;=0.2,1,I223&gt;=0.1,0.7,I223&gt;=0.05,0.4,TRUE,0),0))</f>
        <v>0</v>
      </c>
      <c r="L223" s="57">
        <f t="shared" si="92"/>
        <v>0</v>
      </c>
    </row>
    <row r="224" spans="1:12" x14ac:dyDescent="0.25">
      <c r="A224" s="42" t="str" cm="1">
        <f t="array" ref="A224">IFERROR(INDEX(_xlfn._xlws.FILTER(Class_Players!A:A,Class_Players!B:B="Assault"),QUOTIENT(ROW()-ROW($A$2),7)+1),"")</f>
        <v>Aleksandr_rich</v>
      </c>
      <c r="B224" s="42" t="str">
        <f>_xlfn.XLOOKUP(A224,Class_Players!$A:$A,Class_Players!$B:$B,"")</f>
        <v>Assault</v>
      </c>
      <c r="C224" s="48" t="str" cm="1">
        <f t="array" ref="C224">INDEX(Lookups!$A$2:$A$8,MOD(ROW()-ROW($B$2),ROWS(Lookups!$A$2:$A$8))+1)</f>
        <v>Stun Grenade</v>
      </c>
      <c r="D224" s="48" t="str">
        <f>_xlfn.XLOOKUP(C224,Analysis_Gadgets!$C:$C,Analysis_Gadgets!$B:$B)</f>
        <v>Grenade</v>
      </c>
      <c r="E224" s="43">
        <v>0</v>
      </c>
      <c r="F224" s="43">
        <f>_xlfn.XLOOKUP(A224,Class_Players!A:A,Class_Players!G:G)</f>
        <v>164</v>
      </c>
      <c r="G224" s="43">
        <f t="shared" si="90"/>
        <v>0</v>
      </c>
      <c r="H224" s="43">
        <f>_xlfn.XLOOKUP(A224,Class_Players!$A:$A,Class_Players!$F:$F,"")</f>
        <v>13241</v>
      </c>
      <c r="I224" s="44">
        <f t="shared" si="91"/>
        <v>0</v>
      </c>
      <c r="J224" s="43">
        <f t="shared" si="80"/>
        <v>0</v>
      </c>
      <c r="K224" s="44" cm="1">
        <f t="array" ref="K224">IF(D224="Gadget",_xlfn.IFS(I224&gt;=0.2,0.5,I224&gt;=0.1,0.35,I224&gt;=0.05,0.2,TRUE,0),IF(D224="Grenade",_xlfn.IFS(I224&gt;=0.2,1,I224&gt;=0.1,0.7,I224&gt;=0.05,0.4,TRUE,0),0))</f>
        <v>0</v>
      </c>
      <c r="L224" s="57">
        <f t="shared" ref="L224:L225" si="93">IF($K224=0,0,$K224 / SUMIFS($K:$K,$A:$A,$A224,$D:$D,"Grenade"))</f>
        <v>0</v>
      </c>
    </row>
    <row r="225" spans="1:12" x14ac:dyDescent="0.25">
      <c r="A225" s="42" t="str" cm="1">
        <f t="array" ref="A225">IFERROR(INDEX(_xlfn._xlws.FILTER(Class_Players!A:A,Class_Players!B:B="Assault"),QUOTIENT(ROW()-ROW($A$2),7)+1),"")</f>
        <v>Aleksandr_rich</v>
      </c>
      <c r="B225" s="42" t="str">
        <f>_xlfn.XLOOKUP(A225,Class_Players!$A:$A,Class_Players!$B:$B,"")</f>
        <v>Assault</v>
      </c>
      <c r="C225" s="48" t="str" cm="1">
        <f t="array" ref="C225">INDEX(Lookups!$A$2:$A$8,MOD(ROW()-ROW($B$2),ROWS(Lookups!$A$2:$A$8))+1)</f>
        <v>Flash Grenade</v>
      </c>
      <c r="D225" s="48" t="str">
        <f>_xlfn.XLOOKUP(C225,Analysis_Gadgets!$C:$C,Analysis_Gadgets!$B:$B)</f>
        <v>Grenade</v>
      </c>
      <c r="E225" s="43">
        <v>113</v>
      </c>
      <c r="F225" s="43">
        <f>_xlfn.XLOOKUP(A225,Class_Players!A:A,Class_Players!G:G)</f>
        <v>164</v>
      </c>
      <c r="G225" s="43">
        <f t="shared" si="90"/>
        <v>0.68902439024390238</v>
      </c>
      <c r="H225" s="43">
        <f>_xlfn.XLOOKUP(A225,Class_Players!$A:$A,Class_Players!$F:$F,"")</f>
        <v>13241</v>
      </c>
      <c r="I225" s="44">
        <f t="shared" si="91"/>
        <v>8.5340986330337595E-3</v>
      </c>
      <c r="J225" s="43">
        <f t="shared" si="80"/>
        <v>0</v>
      </c>
      <c r="K225" s="44" cm="1">
        <f t="array" ref="K225">IF(D225="Gadget",_xlfn.IFS(I225&gt;=0.2,0.5,I225&gt;=0.1,0.35,I225&gt;=0.05,0.2,TRUE,0),IF(D225="Grenade",_xlfn.IFS(I225&gt;=0.2,1,I225&gt;=0.1,0.7,I225&gt;=0.05,0.4,TRUE,0),0))</f>
        <v>0</v>
      </c>
      <c r="L225" s="57">
        <f t="shared" si="93"/>
        <v>0</v>
      </c>
    </row>
    <row r="226" spans="1:12" x14ac:dyDescent="0.25">
      <c r="A226" s="42" t="str" cm="1">
        <f t="array" ref="A226">IFERROR(INDEX(_xlfn._xlws.FILTER(Class_Players!A:A,Class_Players!B:B="Assault"),QUOTIENT(ROW()-ROW($A$2),7)+1),"")</f>
        <v>Lukas Nguyen</v>
      </c>
      <c r="B226" s="42" t="str">
        <f>_xlfn.XLOOKUP(A226,Class_Players!$A:$A,Class_Players!$B:$B,"")</f>
        <v>Assault</v>
      </c>
      <c r="C226" s="48" t="str" cm="1">
        <f t="array" ref="C226">INDEX(Lookups!$A$2:$A$8,MOD(ROW()-ROW($B$2),ROWS(Lookups!$A$2:$A$8))+1)</f>
        <v>Assault Ladder</v>
      </c>
      <c r="D226" s="48" t="str">
        <f>_xlfn.XLOOKUP(C226,Analysis_Gadgets!$C:$C,Analysis_Gadgets!$B:$B)</f>
        <v>Gadget</v>
      </c>
      <c r="E226" s="43">
        <v>4</v>
      </c>
      <c r="F226" s="43">
        <f>_xlfn.XLOOKUP(A226,Class_Players!A:A,Class_Players!G:G)</f>
        <v>142</v>
      </c>
      <c r="G226" s="43">
        <f t="shared" si="90"/>
        <v>2.8169014084507043E-2</v>
      </c>
      <c r="H226" s="43">
        <f>_xlfn.XLOOKUP(A226,Class_Players!$A:$A,Class_Players!$F:$F,"")</f>
        <v>11722</v>
      </c>
      <c r="I226" s="44">
        <f t="shared" si="91"/>
        <v>3.4123869646817952E-4</v>
      </c>
      <c r="J226" s="43">
        <f t="shared" si="80"/>
        <v>0</v>
      </c>
      <c r="K226" s="44" cm="1">
        <f t="array" ref="K226">IF(D226="Gadget",_xlfn.IFS(I226&gt;=0.2,0.5,I226&gt;=0.1,0.35,I226&gt;=0.05,0.2,TRUE,0),IF(D226="Grenade",_xlfn.IFS(I226&gt;=0.2,1,I226&gt;=0.1,0.7,I226&gt;=0.05,0.4,TRUE,0),0))</f>
        <v>0</v>
      </c>
      <c r="L226" s="57">
        <f t="shared" ref="L226:L230" si="94">IF($K226=0,0,$K226 / SUMIFS($K:$K,$A:$A,$A226,$D:$D,"Gadget"))</f>
        <v>0</v>
      </c>
    </row>
    <row r="227" spans="1:12" x14ac:dyDescent="0.25">
      <c r="A227" s="42" t="str" cm="1">
        <f t="array" ref="A227">IFERROR(INDEX(_xlfn._xlws.FILTER(Class_Players!A:A,Class_Players!B:B="Assault"),QUOTIENT(ROW()-ROW($A$2),7)+1),"")</f>
        <v>Lukas Nguyen</v>
      </c>
      <c r="B227" s="42" t="str">
        <f>_xlfn.XLOOKUP(A227,Class_Players!$A:$A,Class_Players!$B:$B,"")</f>
        <v>Assault</v>
      </c>
      <c r="C227" s="48" t="str" cm="1">
        <f t="array" ref="C227">INDEX(Lookups!$A$2:$A$8,MOD(ROW()-ROW($B$2),ROWS(Lookups!$A$2:$A$8))+1)</f>
        <v>X95 BRE (Breaching Projectile Launcher)</v>
      </c>
      <c r="D227" s="48" t="str">
        <f>_xlfn.XLOOKUP(C227,Analysis_Gadgets!$C:$C,Analysis_Gadgets!$B:$B)</f>
        <v>Gadget</v>
      </c>
      <c r="E227" s="43">
        <v>0</v>
      </c>
      <c r="F227" s="43">
        <f>_xlfn.XLOOKUP(A227,Class_Players!A:A,Class_Players!G:G)</f>
        <v>142</v>
      </c>
      <c r="G227" s="43">
        <f t="shared" si="90"/>
        <v>0</v>
      </c>
      <c r="H227" s="43">
        <f>_xlfn.XLOOKUP(A227,Class_Players!$A:$A,Class_Players!$F:$F,"")</f>
        <v>11722</v>
      </c>
      <c r="I227" s="44">
        <f t="shared" si="91"/>
        <v>0</v>
      </c>
      <c r="J227" s="43">
        <f t="shared" si="80"/>
        <v>0</v>
      </c>
      <c r="K227" s="44" cm="1">
        <f t="array" ref="K227">IF(D227="Gadget",_xlfn.IFS(I227&gt;=0.2,0.5,I227&gt;=0.1,0.35,I227&gt;=0.05,0.2,TRUE,0),IF(D227="Grenade",_xlfn.IFS(I227&gt;=0.2,1,I227&gt;=0.1,0.7,I227&gt;=0.05,0.4,TRUE,0),0))</f>
        <v>0</v>
      </c>
      <c r="L227" s="57">
        <f t="shared" si="94"/>
        <v>0</v>
      </c>
    </row>
    <row r="228" spans="1:12" x14ac:dyDescent="0.25">
      <c r="A228" s="42" t="str" cm="1">
        <f t="array" ref="A228">IFERROR(INDEX(_xlfn._xlws.FILTER(Class_Players!A:A,Class_Players!B:B="Assault"),QUOTIENT(ROW()-ROW($A$2),7)+1),"")</f>
        <v>Lukas Nguyen</v>
      </c>
      <c r="B228" s="42" t="str">
        <f>_xlfn.XLOOKUP(A228,Class_Players!$A:$A,Class_Players!$B:$B,"")</f>
        <v>Assault</v>
      </c>
      <c r="C228" s="48" t="str" cm="1">
        <f t="array" ref="C228">INDEX(Lookups!$A$2:$A$8,MOD(ROW()-ROW($B$2),ROWS(Lookups!$A$2:$A$8))+1)</f>
        <v>M320A1 HE (Grenade Launcher)</v>
      </c>
      <c r="D228" s="48" t="str">
        <f>_xlfn.XLOOKUP(C228,Analysis_Gadgets!$C:$C,Analysis_Gadgets!$B:$B)</f>
        <v>Gadget</v>
      </c>
      <c r="E228" s="43">
        <v>6490</v>
      </c>
      <c r="F228" s="43">
        <f>_xlfn.XLOOKUP(A228,Class_Players!A:A,Class_Players!G:G)</f>
        <v>142</v>
      </c>
      <c r="G228" s="43">
        <f t="shared" si="90"/>
        <v>45.70422535211268</v>
      </c>
      <c r="H228" s="43">
        <f>_xlfn.XLOOKUP(A228,Class_Players!$A:$A,Class_Players!$F:$F,"")</f>
        <v>11722</v>
      </c>
      <c r="I228" s="44">
        <f t="shared" si="91"/>
        <v>0.55365978501962121</v>
      </c>
      <c r="J228" s="43">
        <f t="shared" si="80"/>
        <v>1</v>
      </c>
      <c r="K228" s="44" cm="1">
        <f t="array" ref="K228">IF(D228="Gadget",_xlfn.IFS(I228&gt;=0.2,0.5,I228&gt;=0.1,0.35,I228&gt;=0.05,0.2,TRUE,0),IF(D228="Grenade",_xlfn.IFS(I228&gt;=0.2,1,I228&gt;=0.1,0.7,I228&gt;=0.05,0.4,TRUE,0),0))</f>
        <v>0.5</v>
      </c>
      <c r="L228" s="57">
        <f t="shared" si="94"/>
        <v>1</v>
      </c>
    </row>
    <row r="229" spans="1:12" x14ac:dyDescent="0.25">
      <c r="A229" s="42" t="str" cm="1">
        <f t="array" ref="A229">IFERROR(INDEX(_xlfn._xlws.FILTER(Class_Players!A:A,Class_Players!B:B="Assault"),QUOTIENT(ROW()-ROW($A$2),7)+1),"")</f>
        <v>Lukas Nguyen</v>
      </c>
      <c r="B229" s="42" t="str">
        <f>_xlfn.XLOOKUP(A229,Class_Players!$A:$A,Class_Players!$B:$B,"")</f>
        <v>Assault</v>
      </c>
      <c r="C229" s="48" t="str" cm="1">
        <f t="array" ref="C229">INDEX(Lookups!$A$2:$A$8,MOD(ROW()-ROW($B$2),ROWS(Lookups!$A$2:$A$8))+1)</f>
        <v>M320A1 THRM    (Incendiary Grenade Launcher)</v>
      </c>
      <c r="D229" s="48" t="str">
        <f>_xlfn.XLOOKUP(C229,Analysis_Gadgets!$C:$C,Analysis_Gadgets!$B:$B)</f>
        <v>Gadget</v>
      </c>
      <c r="E229" s="43">
        <v>8</v>
      </c>
      <c r="F229" s="43">
        <f>_xlfn.XLOOKUP(A229,Class_Players!A:A,Class_Players!G:G)</f>
        <v>142</v>
      </c>
      <c r="G229" s="43">
        <f t="shared" si="90"/>
        <v>5.6338028169014086E-2</v>
      </c>
      <c r="H229" s="43">
        <f>_xlfn.XLOOKUP(A229,Class_Players!$A:$A,Class_Players!$F:$F,"")</f>
        <v>11722</v>
      </c>
      <c r="I229" s="44">
        <f t="shared" si="91"/>
        <v>6.8247739293635903E-4</v>
      </c>
      <c r="J229" s="43">
        <f t="shared" si="80"/>
        <v>0</v>
      </c>
      <c r="K229" s="44" cm="1">
        <f t="array" ref="K229">IF(D229="Gadget",_xlfn.IFS(I229&gt;=0.2,0.5,I229&gt;=0.1,0.35,I229&gt;=0.05,0.2,TRUE,0),IF(D229="Grenade",_xlfn.IFS(I229&gt;=0.2,1,I229&gt;=0.1,0.7,I229&gt;=0.05,0.4,TRUE,0),0))</f>
        <v>0</v>
      </c>
      <c r="L229" s="57">
        <f t="shared" si="94"/>
        <v>0</v>
      </c>
    </row>
    <row r="230" spans="1:12" x14ac:dyDescent="0.25">
      <c r="A230" s="42" t="str" cm="1">
        <f t="array" ref="A230">IFERROR(INDEX(_xlfn._xlws.FILTER(Class_Players!A:A,Class_Players!B:B="Assault"),QUOTIENT(ROW()-ROW($A$2),7)+1),"")</f>
        <v>Lukas Nguyen</v>
      </c>
      <c r="B230" s="42" t="str">
        <f>_xlfn.XLOOKUP(A230,Class_Players!$A:$A,Class_Players!$B:$B,"")</f>
        <v>Assault</v>
      </c>
      <c r="C230" s="48" t="str" cm="1">
        <f t="array" ref="C230">INDEX(Lookups!$A$2:$A$8,MOD(ROW()-ROW($B$2),ROWS(Lookups!$A$2:$A$8))+1)</f>
        <v>QLINK (Deploy Beacon)</v>
      </c>
      <c r="D230" s="48" t="str">
        <f>_xlfn.XLOOKUP(C230,Analysis_Gadgets!$C:$C,Analysis_Gadgets!$B:$B)</f>
        <v>Gadget</v>
      </c>
      <c r="E230" s="43">
        <v>7</v>
      </c>
      <c r="F230" s="43">
        <f>_xlfn.XLOOKUP(A230,Class_Players!A:A,Class_Players!G:G)</f>
        <v>142</v>
      </c>
      <c r="G230" s="43">
        <f t="shared" si="90"/>
        <v>4.9295774647887321E-2</v>
      </c>
      <c r="H230" s="43">
        <f>_xlfn.XLOOKUP(A230,Class_Players!$A:$A,Class_Players!$F:$F,"")</f>
        <v>11722</v>
      </c>
      <c r="I230" s="44">
        <f t="shared" si="91"/>
        <v>5.9716771881931409E-4</v>
      </c>
      <c r="J230" s="43">
        <f t="shared" si="80"/>
        <v>0</v>
      </c>
      <c r="K230" s="44" cm="1">
        <f t="array" ref="K230">IF(D230="Gadget",_xlfn.IFS(I230&gt;=0.2,0.5,I230&gt;=0.1,0.35,I230&gt;=0.05,0.2,TRUE,0),IF(D230="Grenade",_xlfn.IFS(I230&gt;=0.2,1,I230&gt;=0.1,0.7,I230&gt;=0.05,0.4,TRUE,0),0))</f>
        <v>0</v>
      </c>
      <c r="L230" s="57">
        <f t="shared" si="94"/>
        <v>0</v>
      </c>
    </row>
    <row r="231" spans="1:12" x14ac:dyDescent="0.25">
      <c r="A231" s="42" t="str" cm="1">
        <f t="array" ref="A231">IFERROR(INDEX(_xlfn._xlws.FILTER(Class_Players!A:A,Class_Players!B:B="Assault"),QUOTIENT(ROW()-ROW($A$2),7)+1),"")</f>
        <v>Lukas Nguyen</v>
      </c>
      <c r="B231" s="42" t="str">
        <f>_xlfn.XLOOKUP(A231,Class_Players!$A:$A,Class_Players!$B:$B,"")</f>
        <v>Assault</v>
      </c>
      <c r="C231" s="48" t="str" cm="1">
        <f t="array" ref="C231">INDEX(Lookups!$A$2:$A$8,MOD(ROW()-ROW($B$2),ROWS(Lookups!$A$2:$A$8))+1)</f>
        <v>Stun Grenade</v>
      </c>
      <c r="D231" s="48" t="str">
        <f>_xlfn.XLOOKUP(C231,Analysis_Gadgets!$C:$C,Analysis_Gadgets!$B:$B)</f>
        <v>Grenade</v>
      </c>
      <c r="E231" s="43">
        <v>85</v>
      </c>
      <c r="F231" s="43">
        <f>_xlfn.XLOOKUP(A231,Class_Players!A:A,Class_Players!G:G)</f>
        <v>142</v>
      </c>
      <c r="G231" s="43">
        <f t="shared" si="90"/>
        <v>0.59859154929577463</v>
      </c>
      <c r="H231" s="43">
        <f>_xlfn.XLOOKUP(A231,Class_Players!$A:$A,Class_Players!$F:$F,"")</f>
        <v>11722</v>
      </c>
      <c r="I231" s="44">
        <f t="shared" si="91"/>
        <v>7.2513222999488142E-3</v>
      </c>
      <c r="J231" s="43">
        <f t="shared" si="80"/>
        <v>0</v>
      </c>
      <c r="K231" s="44" cm="1">
        <f t="array" ref="K231">IF(D231="Gadget",_xlfn.IFS(I231&gt;=0.2,0.5,I231&gt;=0.1,0.35,I231&gt;=0.05,0.2,TRUE,0),IF(D231="Grenade",_xlfn.IFS(I231&gt;=0.2,1,I231&gt;=0.1,0.7,I231&gt;=0.05,0.4,TRUE,0),0))</f>
        <v>0</v>
      </c>
      <c r="L231" s="57">
        <f t="shared" ref="L231:L232" si="95">IF($K231=0,0,$K231 / SUMIFS($K:$K,$A:$A,$A231,$D:$D,"Grenade"))</f>
        <v>0</v>
      </c>
    </row>
    <row r="232" spans="1:12" x14ac:dyDescent="0.25">
      <c r="A232" s="42" t="str" cm="1">
        <f t="array" ref="A232">IFERROR(INDEX(_xlfn._xlws.FILTER(Class_Players!A:A,Class_Players!B:B="Assault"),QUOTIENT(ROW()-ROW($A$2),7)+1),"")</f>
        <v>Lukas Nguyen</v>
      </c>
      <c r="B232" s="42" t="str">
        <f>_xlfn.XLOOKUP(A232,Class_Players!$A:$A,Class_Players!$B:$B,"")</f>
        <v>Assault</v>
      </c>
      <c r="C232" s="48" t="str" cm="1">
        <f t="array" ref="C232">INDEX(Lookups!$A$2:$A$8,MOD(ROW()-ROW($B$2),ROWS(Lookups!$A$2:$A$8))+1)</f>
        <v>Flash Grenade</v>
      </c>
      <c r="D232" s="48" t="str">
        <f>_xlfn.XLOOKUP(C232,Analysis_Gadgets!$C:$C,Analysis_Gadgets!$B:$B)</f>
        <v>Grenade</v>
      </c>
      <c r="E232" s="43">
        <v>0</v>
      </c>
      <c r="F232" s="43">
        <f>_xlfn.XLOOKUP(A232,Class_Players!A:A,Class_Players!G:G)</f>
        <v>142</v>
      </c>
      <c r="G232" s="43">
        <f t="shared" si="90"/>
        <v>0</v>
      </c>
      <c r="H232" s="43">
        <f>_xlfn.XLOOKUP(A232,Class_Players!$A:$A,Class_Players!$F:$F,"")</f>
        <v>11722</v>
      </c>
      <c r="I232" s="44">
        <f t="shared" si="91"/>
        <v>0</v>
      </c>
      <c r="J232" s="43">
        <f t="shared" si="80"/>
        <v>0</v>
      </c>
      <c r="K232" s="44" cm="1">
        <f t="array" ref="K232">IF(D232="Gadget",_xlfn.IFS(I232&gt;=0.2,0.5,I232&gt;=0.1,0.35,I232&gt;=0.05,0.2,TRUE,0),IF(D232="Grenade",_xlfn.IFS(I232&gt;=0.2,1,I232&gt;=0.1,0.7,I232&gt;=0.05,0.4,TRUE,0),0))</f>
        <v>0</v>
      </c>
      <c r="L232" s="57">
        <f t="shared" si="95"/>
        <v>0</v>
      </c>
    </row>
    <row r="233" spans="1:12" x14ac:dyDescent="0.25">
      <c r="A233" s="42" t="str" cm="1">
        <f t="array" ref="A233">IFERROR(INDEX(_xlfn._xlws.FILTER(Class_Players!A:A,Class_Players!B:B="Assault"),QUOTIENT(ROW()-ROW($A$2),7)+1),"")</f>
        <v>BoaConstrictor42</v>
      </c>
      <c r="B233" s="42" t="str">
        <f>_xlfn.XLOOKUP(A233,Class_Players!$A:$A,Class_Players!$B:$B,"")</f>
        <v>Assault</v>
      </c>
      <c r="C233" s="48" t="str" cm="1">
        <f t="array" ref="C233">INDEX(Lookups!$A$2:$A$8,MOD(ROW()-ROW($B$2),ROWS(Lookups!$A$2:$A$8))+1)</f>
        <v>Assault Ladder</v>
      </c>
      <c r="D233" s="48" t="str">
        <f>_xlfn.XLOOKUP(C233,Analysis_Gadgets!$C:$C,Analysis_Gadgets!$B:$B)</f>
        <v>Gadget</v>
      </c>
      <c r="E233" s="43">
        <v>19</v>
      </c>
      <c r="F233" s="43">
        <f>_xlfn.XLOOKUP(A233,Class_Players!A:A,Class_Players!G:G)</f>
        <v>158</v>
      </c>
      <c r="G233" s="43">
        <f t="shared" si="90"/>
        <v>0.12025316455696203</v>
      </c>
      <c r="H233" s="43">
        <f>_xlfn.XLOOKUP(A233,Class_Players!$A:$A,Class_Players!$F:$F,"")</f>
        <v>11646</v>
      </c>
      <c r="I233" s="44">
        <f t="shared" si="91"/>
        <v>1.6314614459900395E-3</v>
      </c>
      <c r="J233" s="43">
        <f t="shared" si="80"/>
        <v>0</v>
      </c>
      <c r="K233" s="44" cm="1">
        <f t="array" ref="K233">IF(D233="Gadget",_xlfn.IFS(I233&gt;=0.2,0.5,I233&gt;=0.1,0.35,I233&gt;=0.05,0.2,TRUE,0),IF(D233="Grenade",_xlfn.IFS(I233&gt;=0.2,1,I233&gt;=0.1,0.7,I233&gt;=0.05,0.4,TRUE,0),0))</f>
        <v>0</v>
      </c>
      <c r="L233" s="57">
        <f t="shared" ref="L233:L237" si="96">IF($K233=0,0,$K233 / SUMIFS($K:$K,$A:$A,$A233,$D:$D,"Gadget"))</f>
        <v>0</v>
      </c>
    </row>
    <row r="234" spans="1:12" x14ac:dyDescent="0.25">
      <c r="A234" s="42" t="str" cm="1">
        <f t="array" ref="A234">IFERROR(INDEX(_xlfn._xlws.FILTER(Class_Players!A:A,Class_Players!B:B="Assault"),QUOTIENT(ROW()-ROW($A$2),7)+1),"")</f>
        <v>BoaConstrictor42</v>
      </c>
      <c r="B234" s="42" t="str">
        <f>_xlfn.XLOOKUP(A234,Class_Players!$A:$A,Class_Players!$B:$B,"")</f>
        <v>Assault</v>
      </c>
      <c r="C234" s="48" t="str" cm="1">
        <f t="array" ref="C234">INDEX(Lookups!$A$2:$A$8,MOD(ROW()-ROW($B$2),ROWS(Lookups!$A$2:$A$8))+1)</f>
        <v>X95 BRE (Breaching Projectile Launcher)</v>
      </c>
      <c r="D234" s="48" t="str">
        <f>_xlfn.XLOOKUP(C234,Analysis_Gadgets!$C:$C,Analysis_Gadgets!$B:$B)</f>
        <v>Gadget</v>
      </c>
      <c r="E234" s="43">
        <v>131</v>
      </c>
      <c r="F234" s="43">
        <f>_xlfn.XLOOKUP(A234,Class_Players!A:A,Class_Players!G:G)</f>
        <v>158</v>
      </c>
      <c r="G234" s="43">
        <f t="shared" si="90"/>
        <v>0.82911392405063289</v>
      </c>
      <c r="H234" s="43">
        <f>_xlfn.XLOOKUP(A234,Class_Players!$A:$A,Class_Players!$F:$F,"")</f>
        <v>11646</v>
      </c>
      <c r="I234" s="44">
        <f t="shared" si="91"/>
        <v>1.1248497338141851E-2</v>
      </c>
      <c r="J234" s="43">
        <f t="shared" si="80"/>
        <v>0</v>
      </c>
      <c r="K234" s="44" cm="1">
        <f t="array" ref="K234">IF(D234="Gadget",_xlfn.IFS(I234&gt;=0.2,0.5,I234&gt;=0.1,0.35,I234&gt;=0.05,0.2,TRUE,0),IF(D234="Grenade",_xlfn.IFS(I234&gt;=0.2,1,I234&gt;=0.1,0.7,I234&gt;=0.05,0.4,TRUE,0),0))</f>
        <v>0</v>
      </c>
      <c r="L234" s="57">
        <f t="shared" si="96"/>
        <v>0</v>
      </c>
    </row>
    <row r="235" spans="1:12" x14ac:dyDescent="0.25">
      <c r="A235" s="42" t="str" cm="1">
        <f t="array" ref="A235">IFERROR(INDEX(_xlfn._xlws.FILTER(Class_Players!A:A,Class_Players!B:B="Assault"),QUOTIENT(ROW()-ROW($A$2),7)+1),"")</f>
        <v>BoaConstrictor42</v>
      </c>
      <c r="B235" s="42" t="str">
        <f>_xlfn.XLOOKUP(A235,Class_Players!$A:$A,Class_Players!$B:$B,"")</f>
        <v>Assault</v>
      </c>
      <c r="C235" s="48" t="str" cm="1">
        <f t="array" ref="C235">INDEX(Lookups!$A$2:$A$8,MOD(ROW()-ROW($B$2),ROWS(Lookups!$A$2:$A$8))+1)</f>
        <v>M320A1 HE (Grenade Launcher)</v>
      </c>
      <c r="D235" s="48" t="str">
        <f>_xlfn.XLOOKUP(C235,Analysis_Gadgets!$C:$C,Analysis_Gadgets!$B:$B)</f>
        <v>Gadget</v>
      </c>
      <c r="E235" s="43">
        <v>6317</v>
      </c>
      <c r="F235" s="43">
        <f>_xlfn.XLOOKUP(A235,Class_Players!A:A,Class_Players!G:G)</f>
        <v>158</v>
      </c>
      <c r="G235" s="43">
        <f t="shared" si="90"/>
        <v>39.981012658227847</v>
      </c>
      <c r="H235" s="43">
        <f>_xlfn.XLOOKUP(A235,Class_Players!$A:$A,Class_Players!$F:$F,"")</f>
        <v>11646</v>
      </c>
      <c r="I235" s="44">
        <f t="shared" si="91"/>
        <v>0.54241799759574105</v>
      </c>
      <c r="J235" s="43">
        <f t="shared" si="80"/>
        <v>1</v>
      </c>
      <c r="K235" s="44" cm="1">
        <f t="array" ref="K235">IF(D235="Gadget",_xlfn.IFS(I235&gt;=0.2,0.5,I235&gt;=0.1,0.35,I235&gt;=0.05,0.2,TRUE,0),IF(D235="Grenade",_xlfn.IFS(I235&gt;=0.2,1,I235&gt;=0.1,0.7,I235&gt;=0.05,0.4,TRUE,0),0))</f>
        <v>0.5</v>
      </c>
      <c r="L235" s="57">
        <f t="shared" si="96"/>
        <v>1</v>
      </c>
    </row>
    <row r="236" spans="1:12" x14ac:dyDescent="0.25">
      <c r="A236" s="42" t="str" cm="1">
        <f t="array" ref="A236">IFERROR(INDEX(_xlfn._xlws.FILTER(Class_Players!A:A,Class_Players!B:B="Assault"),QUOTIENT(ROW()-ROW($A$2),7)+1),"")</f>
        <v>BoaConstrictor42</v>
      </c>
      <c r="B236" s="42" t="str">
        <f>_xlfn.XLOOKUP(A236,Class_Players!$A:$A,Class_Players!$B:$B,"")</f>
        <v>Assault</v>
      </c>
      <c r="C236" s="48" t="str" cm="1">
        <f t="array" ref="C236">INDEX(Lookups!$A$2:$A$8,MOD(ROW()-ROW($B$2),ROWS(Lookups!$A$2:$A$8))+1)</f>
        <v>M320A1 THRM    (Incendiary Grenade Launcher)</v>
      </c>
      <c r="D236" s="48" t="str">
        <f>_xlfn.XLOOKUP(C236,Analysis_Gadgets!$C:$C,Analysis_Gadgets!$B:$B)</f>
        <v>Gadget</v>
      </c>
      <c r="E236" s="43">
        <v>33</v>
      </c>
      <c r="F236" s="43">
        <f>_xlfn.XLOOKUP(A236,Class_Players!A:A,Class_Players!G:G)</f>
        <v>158</v>
      </c>
      <c r="G236" s="43">
        <f t="shared" si="90"/>
        <v>0.20886075949367089</v>
      </c>
      <c r="H236" s="43">
        <f>_xlfn.XLOOKUP(A236,Class_Players!$A:$A,Class_Players!$F:$F,"")</f>
        <v>11646</v>
      </c>
      <c r="I236" s="44">
        <f t="shared" si="91"/>
        <v>2.8335909325090162E-3</v>
      </c>
      <c r="J236" s="43">
        <f t="shared" si="80"/>
        <v>0</v>
      </c>
      <c r="K236" s="44" cm="1">
        <f t="array" ref="K236">IF(D236="Gadget",_xlfn.IFS(I236&gt;=0.2,0.5,I236&gt;=0.1,0.35,I236&gt;=0.05,0.2,TRUE,0),IF(D236="Grenade",_xlfn.IFS(I236&gt;=0.2,1,I236&gt;=0.1,0.7,I236&gt;=0.05,0.4,TRUE,0),0))</f>
        <v>0</v>
      </c>
      <c r="L236" s="57">
        <f t="shared" si="96"/>
        <v>0</v>
      </c>
    </row>
    <row r="237" spans="1:12" x14ac:dyDescent="0.25">
      <c r="A237" s="42" t="str" cm="1">
        <f t="array" ref="A237">IFERROR(INDEX(_xlfn._xlws.FILTER(Class_Players!A:A,Class_Players!B:B="Assault"),QUOTIENT(ROW()-ROW($A$2),7)+1),"")</f>
        <v>BoaConstrictor42</v>
      </c>
      <c r="B237" s="42" t="str">
        <f>_xlfn.XLOOKUP(A237,Class_Players!$A:$A,Class_Players!$B:$B,"")</f>
        <v>Assault</v>
      </c>
      <c r="C237" s="48" t="str" cm="1">
        <f t="array" ref="C237">INDEX(Lookups!$A$2:$A$8,MOD(ROW()-ROW($B$2),ROWS(Lookups!$A$2:$A$8))+1)</f>
        <v>QLINK (Deploy Beacon)</v>
      </c>
      <c r="D237" s="48" t="str">
        <f>_xlfn.XLOOKUP(C237,Analysis_Gadgets!$C:$C,Analysis_Gadgets!$B:$B)</f>
        <v>Gadget</v>
      </c>
      <c r="E237" s="43">
        <v>268</v>
      </c>
      <c r="F237" s="43">
        <f>_xlfn.XLOOKUP(A237,Class_Players!A:A,Class_Players!G:G)</f>
        <v>158</v>
      </c>
      <c r="G237" s="43">
        <f t="shared" si="90"/>
        <v>1.6962025316455696</v>
      </c>
      <c r="H237" s="43">
        <f>_xlfn.XLOOKUP(A237,Class_Players!$A:$A,Class_Players!$F:$F,"")</f>
        <v>11646</v>
      </c>
      <c r="I237" s="44">
        <f t="shared" si="91"/>
        <v>2.3012193027648977E-2</v>
      </c>
      <c r="J237" s="43">
        <f t="shared" si="80"/>
        <v>0</v>
      </c>
      <c r="K237" s="44" cm="1">
        <f t="array" ref="K237">IF(D237="Gadget",_xlfn.IFS(I237&gt;=0.2,0.5,I237&gt;=0.1,0.35,I237&gt;=0.05,0.2,TRUE,0),IF(D237="Grenade",_xlfn.IFS(I237&gt;=0.2,1,I237&gt;=0.1,0.7,I237&gt;=0.05,0.4,TRUE,0),0))</f>
        <v>0</v>
      </c>
      <c r="L237" s="57">
        <f t="shared" si="96"/>
        <v>0</v>
      </c>
    </row>
    <row r="238" spans="1:12" x14ac:dyDescent="0.25">
      <c r="A238" s="42" t="str" cm="1">
        <f t="array" ref="A238">IFERROR(INDEX(_xlfn._xlws.FILTER(Class_Players!A:A,Class_Players!B:B="Assault"),QUOTIENT(ROW()-ROW($A$2),7)+1),"")</f>
        <v>BoaConstrictor42</v>
      </c>
      <c r="B238" s="42" t="str">
        <f>_xlfn.XLOOKUP(A238,Class_Players!$A:$A,Class_Players!$B:$B,"")</f>
        <v>Assault</v>
      </c>
      <c r="C238" s="48" t="str" cm="1">
        <f t="array" ref="C238">INDEX(Lookups!$A$2:$A$8,MOD(ROW()-ROW($B$2),ROWS(Lookups!$A$2:$A$8))+1)</f>
        <v>Stun Grenade</v>
      </c>
      <c r="D238" s="48" t="str">
        <f>_xlfn.XLOOKUP(C238,Analysis_Gadgets!$C:$C,Analysis_Gadgets!$B:$B)</f>
        <v>Grenade</v>
      </c>
      <c r="E238" s="43">
        <v>59</v>
      </c>
      <c r="F238" s="43">
        <f>_xlfn.XLOOKUP(A238,Class_Players!A:A,Class_Players!G:G)</f>
        <v>158</v>
      </c>
      <c r="G238" s="43">
        <f t="shared" si="90"/>
        <v>0.37341772151898733</v>
      </c>
      <c r="H238" s="43">
        <f>_xlfn.XLOOKUP(A238,Class_Players!$A:$A,Class_Players!$F:$F,"")</f>
        <v>11646</v>
      </c>
      <c r="I238" s="44">
        <f t="shared" si="91"/>
        <v>5.0661171217585435E-3</v>
      </c>
      <c r="J238" s="43">
        <f t="shared" si="80"/>
        <v>0</v>
      </c>
      <c r="K238" s="44" cm="1">
        <f t="array" ref="K238">IF(D238="Gadget",_xlfn.IFS(I238&gt;=0.2,0.5,I238&gt;=0.1,0.35,I238&gt;=0.05,0.2,TRUE,0),IF(D238="Grenade",_xlfn.IFS(I238&gt;=0.2,1,I238&gt;=0.1,0.7,I238&gt;=0.05,0.4,TRUE,0),0))</f>
        <v>0</v>
      </c>
      <c r="L238" s="57">
        <f t="shared" ref="L238:L239" si="97">IF($K238=0,0,$K238 / SUMIFS($K:$K,$A:$A,$A238,$D:$D,"Grenade"))</f>
        <v>0</v>
      </c>
    </row>
    <row r="239" spans="1:12" x14ac:dyDescent="0.25">
      <c r="A239" s="42" t="str" cm="1">
        <f t="array" ref="A239">IFERROR(INDEX(_xlfn._xlws.FILTER(Class_Players!A:A,Class_Players!B:B="Assault"),QUOTIENT(ROW()-ROW($A$2),7)+1),"")</f>
        <v>BoaConstrictor42</v>
      </c>
      <c r="B239" s="42" t="str">
        <f>_xlfn.XLOOKUP(A239,Class_Players!$A:$A,Class_Players!$B:$B,"")</f>
        <v>Assault</v>
      </c>
      <c r="C239" s="48" t="str" cm="1">
        <f t="array" ref="C239">INDEX(Lookups!$A$2:$A$8,MOD(ROW()-ROW($B$2),ROWS(Lookups!$A$2:$A$8))+1)</f>
        <v>Flash Grenade</v>
      </c>
      <c r="D239" s="48" t="str">
        <f>_xlfn.XLOOKUP(C239,Analysis_Gadgets!$C:$C,Analysis_Gadgets!$B:$B)</f>
        <v>Grenade</v>
      </c>
      <c r="E239" s="43">
        <v>1</v>
      </c>
      <c r="F239" s="43">
        <f>_xlfn.XLOOKUP(A239,Class_Players!A:A,Class_Players!G:G)</f>
        <v>158</v>
      </c>
      <c r="G239" s="43">
        <f t="shared" si="90"/>
        <v>6.3291139240506328E-3</v>
      </c>
      <c r="H239" s="43">
        <f>_xlfn.XLOOKUP(A239,Class_Players!$A:$A,Class_Players!$F:$F,"")</f>
        <v>11646</v>
      </c>
      <c r="I239" s="44">
        <f t="shared" si="91"/>
        <v>8.5866391894212605E-5</v>
      </c>
      <c r="J239" s="43">
        <f t="shared" si="80"/>
        <v>0</v>
      </c>
      <c r="K239" s="44" cm="1">
        <f t="array" ref="K239">IF(D239="Gadget",_xlfn.IFS(I239&gt;=0.2,0.5,I239&gt;=0.1,0.35,I239&gt;=0.05,0.2,TRUE,0),IF(D239="Grenade",_xlfn.IFS(I239&gt;=0.2,1,I239&gt;=0.1,0.7,I239&gt;=0.05,0.4,TRUE,0),0))</f>
        <v>0</v>
      </c>
      <c r="L239" s="57">
        <f t="shared" si="97"/>
        <v>0</v>
      </c>
    </row>
    <row r="240" spans="1:12" x14ac:dyDescent="0.25">
      <c r="A240" s="42" t="str" cm="1">
        <f t="array" ref="A240">IFERROR(INDEX(_xlfn._xlws.FILTER(Class_Players!A:A,Class_Players!B:B="Assault"),QUOTIENT(ROW()-ROW($A$2),7)+1),"")</f>
        <v>-Duke-</v>
      </c>
      <c r="B240" s="42" t="str">
        <f>_xlfn.XLOOKUP(A240,Class_Players!$A:$A,Class_Players!$B:$B,"")</f>
        <v>Assault</v>
      </c>
      <c r="C240" s="48" t="str" cm="1">
        <f t="array" ref="C240">INDEX(Lookups!$A$2:$A$8,MOD(ROW()-ROW($B$2),ROWS(Lookups!$A$2:$A$8))+1)</f>
        <v>Assault Ladder</v>
      </c>
      <c r="D240" s="48" t="str">
        <f>_xlfn.XLOOKUP(C240,Analysis_Gadgets!$C:$C,Analysis_Gadgets!$B:$B)</f>
        <v>Gadget</v>
      </c>
      <c r="E240" s="43">
        <v>435</v>
      </c>
      <c r="F240" s="43">
        <f>_xlfn.XLOOKUP(A240,Class_Players!A:A,Class_Players!G:G)</f>
        <v>160</v>
      </c>
      <c r="G240" s="43">
        <f t="shared" si="90"/>
        <v>2.71875</v>
      </c>
      <c r="H240" s="43">
        <f>_xlfn.XLOOKUP(A240,Class_Players!$A:$A,Class_Players!$F:$F,"")</f>
        <v>11918</v>
      </c>
      <c r="I240" s="44">
        <f t="shared" si="91"/>
        <v>3.6499412653129719E-2</v>
      </c>
      <c r="J240" s="43">
        <f t="shared" si="80"/>
        <v>0</v>
      </c>
      <c r="K240" s="44" cm="1">
        <f t="array" ref="K240">IF(D240="Gadget",_xlfn.IFS(I240&gt;=0.2,0.5,I240&gt;=0.1,0.35,I240&gt;=0.05,0.2,TRUE,0),IF(D240="Grenade",_xlfn.IFS(I240&gt;=0.2,1,I240&gt;=0.1,0.7,I240&gt;=0.05,0.4,TRUE,0),0))</f>
        <v>0</v>
      </c>
      <c r="L240" s="57">
        <f t="shared" ref="L240:L244" si="98">IF($K240=0,0,$K240 / SUMIFS($K:$K,$A:$A,$A240,$D:$D,"Gadget"))</f>
        <v>0</v>
      </c>
    </row>
    <row r="241" spans="1:12" x14ac:dyDescent="0.25">
      <c r="A241" s="42" t="str" cm="1">
        <f t="array" ref="A241">IFERROR(INDEX(_xlfn._xlws.FILTER(Class_Players!A:A,Class_Players!B:B="Assault"),QUOTIENT(ROW()-ROW($A$2),7)+1),"")</f>
        <v>-Duke-</v>
      </c>
      <c r="B241" s="42" t="str">
        <f>_xlfn.XLOOKUP(A241,Class_Players!$A:$A,Class_Players!$B:$B,"")</f>
        <v>Assault</v>
      </c>
      <c r="C241" s="48" t="str" cm="1">
        <f t="array" ref="C241">INDEX(Lookups!$A$2:$A$8,MOD(ROW()-ROW($B$2),ROWS(Lookups!$A$2:$A$8))+1)</f>
        <v>X95 BRE (Breaching Projectile Launcher)</v>
      </c>
      <c r="D241" s="48" t="str">
        <f>_xlfn.XLOOKUP(C241,Analysis_Gadgets!$C:$C,Analysis_Gadgets!$B:$B)</f>
        <v>Gadget</v>
      </c>
      <c r="E241" s="43">
        <v>0</v>
      </c>
      <c r="F241" s="43">
        <f>_xlfn.XLOOKUP(A241,Class_Players!A:A,Class_Players!G:G)</f>
        <v>160</v>
      </c>
      <c r="G241" s="43">
        <f t="shared" si="90"/>
        <v>0</v>
      </c>
      <c r="H241" s="43">
        <f>_xlfn.XLOOKUP(A241,Class_Players!$A:$A,Class_Players!$F:$F,"")</f>
        <v>11918</v>
      </c>
      <c r="I241" s="44">
        <f t="shared" si="91"/>
        <v>0</v>
      </c>
      <c r="J241" s="43">
        <f t="shared" si="80"/>
        <v>0</v>
      </c>
      <c r="K241" s="44" cm="1">
        <f t="array" ref="K241">IF(D241="Gadget",_xlfn.IFS(I241&gt;=0.2,0.5,I241&gt;=0.1,0.35,I241&gt;=0.05,0.2,TRUE,0),IF(D241="Grenade",_xlfn.IFS(I241&gt;=0.2,1,I241&gt;=0.1,0.7,I241&gt;=0.05,0.4,TRUE,0),0))</f>
        <v>0</v>
      </c>
      <c r="L241" s="57">
        <f t="shared" si="98"/>
        <v>0</v>
      </c>
    </row>
    <row r="242" spans="1:12" x14ac:dyDescent="0.25">
      <c r="A242" s="42" t="str" cm="1">
        <f t="array" ref="A242">IFERROR(INDEX(_xlfn._xlws.FILTER(Class_Players!A:A,Class_Players!B:B="Assault"),QUOTIENT(ROW()-ROW($A$2),7)+1),"")</f>
        <v>-Duke-</v>
      </c>
      <c r="B242" s="42" t="str">
        <f>_xlfn.XLOOKUP(A242,Class_Players!$A:$A,Class_Players!$B:$B,"")</f>
        <v>Assault</v>
      </c>
      <c r="C242" s="48" t="str" cm="1">
        <f t="array" ref="C242">INDEX(Lookups!$A$2:$A$8,MOD(ROW()-ROW($B$2),ROWS(Lookups!$A$2:$A$8))+1)</f>
        <v>M320A1 HE (Grenade Launcher)</v>
      </c>
      <c r="D242" s="48" t="str">
        <f>_xlfn.XLOOKUP(C242,Analysis_Gadgets!$C:$C,Analysis_Gadgets!$B:$B)</f>
        <v>Gadget</v>
      </c>
      <c r="E242" s="43">
        <v>2330</v>
      </c>
      <c r="F242" s="43">
        <f>_xlfn.XLOOKUP(A242,Class_Players!A:A,Class_Players!G:G)</f>
        <v>160</v>
      </c>
      <c r="G242" s="43">
        <f t="shared" si="90"/>
        <v>14.5625</v>
      </c>
      <c r="H242" s="43">
        <f>_xlfn.XLOOKUP(A242,Class_Players!$A:$A,Class_Players!$F:$F,"")</f>
        <v>11918</v>
      </c>
      <c r="I242" s="44">
        <f t="shared" si="91"/>
        <v>0.1955026011075684</v>
      </c>
      <c r="J242" s="43">
        <f t="shared" si="80"/>
        <v>1</v>
      </c>
      <c r="K242" s="44" cm="1">
        <f t="array" ref="K242">IF(D242="Gadget",_xlfn.IFS(I242&gt;=0.2,0.5,I242&gt;=0.1,0.35,I242&gt;=0.05,0.2,TRUE,0),IF(D242="Grenade",_xlfn.IFS(I242&gt;=0.2,1,I242&gt;=0.1,0.7,I242&gt;=0.05,0.4,TRUE,0),0))</f>
        <v>0.35</v>
      </c>
      <c r="L242" s="57">
        <f t="shared" si="98"/>
        <v>1</v>
      </c>
    </row>
    <row r="243" spans="1:12" x14ac:dyDescent="0.25">
      <c r="A243" s="42" t="str" cm="1">
        <f t="array" ref="A243">IFERROR(INDEX(_xlfn._xlws.FILTER(Class_Players!A:A,Class_Players!B:B="Assault"),QUOTIENT(ROW()-ROW($A$2),7)+1),"")</f>
        <v>-Duke-</v>
      </c>
      <c r="B243" s="42" t="str">
        <f>_xlfn.XLOOKUP(A243,Class_Players!$A:$A,Class_Players!$B:$B,"")</f>
        <v>Assault</v>
      </c>
      <c r="C243" s="48" t="str" cm="1">
        <f t="array" ref="C243">INDEX(Lookups!$A$2:$A$8,MOD(ROW()-ROW($B$2),ROWS(Lookups!$A$2:$A$8))+1)</f>
        <v>M320A1 THRM    (Incendiary Grenade Launcher)</v>
      </c>
      <c r="D243" s="48" t="str">
        <f>_xlfn.XLOOKUP(C243,Analysis_Gadgets!$C:$C,Analysis_Gadgets!$B:$B)</f>
        <v>Gadget</v>
      </c>
      <c r="E243" s="43">
        <v>77</v>
      </c>
      <c r="F243" s="43">
        <f>_xlfn.XLOOKUP(A243,Class_Players!A:A,Class_Players!G:G)</f>
        <v>160</v>
      </c>
      <c r="G243" s="43">
        <f t="shared" si="90"/>
        <v>0.48125000000000001</v>
      </c>
      <c r="H243" s="43">
        <f>_xlfn.XLOOKUP(A243,Class_Players!$A:$A,Class_Players!$F:$F,"")</f>
        <v>11918</v>
      </c>
      <c r="I243" s="44">
        <f t="shared" si="91"/>
        <v>6.4608155730827323E-3</v>
      </c>
      <c r="J243" s="43">
        <f t="shared" si="80"/>
        <v>0</v>
      </c>
      <c r="K243" s="44" cm="1">
        <f t="array" ref="K243">IF(D243="Gadget",_xlfn.IFS(I243&gt;=0.2,0.5,I243&gt;=0.1,0.35,I243&gt;=0.05,0.2,TRUE,0),IF(D243="Grenade",_xlfn.IFS(I243&gt;=0.2,1,I243&gt;=0.1,0.7,I243&gt;=0.05,0.4,TRUE,0),0))</f>
        <v>0</v>
      </c>
      <c r="L243" s="57">
        <f t="shared" si="98"/>
        <v>0</v>
      </c>
    </row>
    <row r="244" spans="1:12" x14ac:dyDescent="0.25">
      <c r="A244" s="42" t="str" cm="1">
        <f t="array" ref="A244">IFERROR(INDEX(_xlfn._xlws.FILTER(Class_Players!A:A,Class_Players!B:B="Assault"),QUOTIENT(ROW()-ROW($A$2),7)+1),"")</f>
        <v>-Duke-</v>
      </c>
      <c r="B244" s="42" t="str">
        <f>_xlfn.XLOOKUP(A244,Class_Players!$A:$A,Class_Players!$B:$B,"")</f>
        <v>Assault</v>
      </c>
      <c r="C244" s="48" t="str" cm="1">
        <f t="array" ref="C244">INDEX(Lookups!$A$2:$A$8,MOD(ROW()-ROW($B$2),ROWS(Lookups!$A$2:$A$8))+1)</f>
        <v>QLINK (Deploy Beacon)</v>
      </c>
      <c r="D244" s="48" t="str">
        <f>_xlfn.XLOOKUP(C244,Analysis_Gadgets!$C:$C,Analysis_Gadgets!$B:$B)</f>
        <v>Gadget</v>
      </c>
      <c r="E244" s="43">
        <v>437</v>
      </c>
      <c r="F244" s="43">
        <f>_xlfn.XLOOKUP(A244,Class_Players!A:A,Class_Players!G:G)</f>
        <v>160</v>
      </c>
      <c r="G244" s="43">
        <f t="shared" si="90"/>
        <v>2.7312500000000002</v>
      </c>
      <c r="H244" s="43">
        <f>_xlfn.XLOOKUP(A244,Class_Players!$A:$A,Class_Players!$F:$F,"")</f>
        <v>11918</v>
      </c>
      <c r="I244" s="44">
        <f t="shared" si="91"/>
        <v>3.666722604463836E-2</v>
      </c>
      <c r="J244" s="43">
        <f t="shared" si="80"/>
        <v>0</v>
      </c>
      <c r="K244" s="44" cm="1">
        <f t="array" ref="K244">IF(D244="Gadget",_xlfn.IFS(I244&gt;=0.2,0.5,I244&gt;=0.1,0.35,I244&gt;=0.05,0.2,TRUE,0),IF(D244="Grenade",_xlfn.IFS(I244&gt;=0.2,1,I244&gt;=0.1,0.7,I244&gt;=0.05,0.4,TRUE,0),0))</f>
        <v>0</v>
      </c>
      <c r="L244" s="57">
        <f t="shared" si="98"/>
        <v>0</v>
      </c>
    </row>
    <row r="245" spans="1:12" x14ac:dyDescent="0.25">
      <c r="A245" s="42" t="str" cm="1">
        <f t="array" ref="A245">IFERROR(INDEX(_xlfn._xlws.FILTER(Class_Players!A:A,Class_Players!B:B="Assault"),QUOTIENT(ROW()-ROW($A$2),7)+1),"")</f>
        <v>-Duke-</v>
      </c>
      <c r="B245" s="42" t="str">
        <f>_xlfn.XLOOKUP(A245,Class_Players!$A:$A,Class_Players!$B:$B,"")</f>
        <v>Assault</v>
      </c>
      <c r="C245" s="48" t="str" cm="1">
        <f t="array" ref="C245">INDEX(Lookups!$A$2:$A$8,MOD(ROW()-ROW($B$2),ROWS(Lookups!$A$2:$A$8))+1)</f>
        <v>Stun Grenade</v>
      </c>
      <c r="D245" s="48" t="str">
        <f>_xlfn.XLOOKUP(C245,Analysis_Gadgets!$C:$C,Analysis_Gadgets!$B:$B)</f>
        <v>Grenade</v>
      </c>
      <c r="E245" s="43">
        <v>29</v>
      </c>
      <c r="F245" s="43">
        <f>_xlfn.XLOOKUP(A245,Class_Players!A:A,Class_Players!G:G)</f>
        <v>160</v>
      </c>
      <c r="G245" s="43">
        <f t="shared" si="90"/>
        <v>0.18124999999999999</v>
      </c>
      <c r="H245" s="43">
        <f>_xlfn.XLOOKUP(A245,Class_Players!$A:$A,Class_Players!$F:$F,"")</f>
        <v>11918</v>
      </c>
      <c r="I245" s="44">
        <f t="shared" si="91"/>
        <v>2.4332941768753147E-3</v>
      </c>
      <c r="J245" s="43">
        <f t="shared" si="80"/>
        <v>0</v>
      </c>
      <c r="K245" s="44" cm="1">
        <f t="array" ref="K245">IF(D245="Gadget",_xlfn.IFS(I245&gt;=0.2,0.5,I245&gt;=0.1,0.35,I245&gt;=0.05,0.2,TRUE,0),IF(D245="Grenade",_xlfn.IFS(I245&gt;=0.2,1,I245&gt;=0.1,0.7,I245&gt;=0.05,0.4,TRUE,0),0))</f>
        <v>0</v>
      </c>
      <c r="L245" s="57">
        <f t="shared" ref="L245:L246" si="99">IF($K245=0,0,$K245 / SUMIFS($K:$K,$A:$A,$A245,$D:$D,"Grenade"))</f>
        <v>0</v>
      </c>
    </row>
    <row r="246" spans="1:12" x14ac:dyDescent="0.25">
      <c r="A246" s="42" t="str" cm="1">
        <f t="array" ref="A246">IFERROR(INDEX(_xlfn._xlws.FILTER(Class_Players!A:A,Class_Players!B:B="Assault"),QUOTIENT(ROW()-ROW($A$2),7)+1),"")</f>
        <v>-Duke-</v>
      </c>
      <c r="B246" s="42" t="str">
        <f>_xlfn.XLOOKUP(A246,Class_Players!$A:$A,Class_Players!$B:$B,"")</f>
        <v>Assault</v>
      </c>
      <c r="C246" s="48" t="str" cm="1">
        <f t="array" ref="C246">INDEX(Lookups!$A$2:$A$8,MOD(ROW()-ROW($B$2),ROWS(Lookups!$A$2:$A$8))+1)</f>
        <v>Flash Grenade</v>
      </c>
      <c r="D246" s="48" t="str">
        <f>_xlfn.XLOOKUP(C246,Analysis_Gadgets!$C:$C,Analysis_Gadgets!$B:$B)</f>
        <v>Grenade</v>
      </c>
      <c r="E246" s="43">
        <v>11</v>
      </c>
      <c r="F246" s="43">
        <f>_xlfn.XLOOKUP(A246,Class_Players!A:A,Class_Players!G:G)</f>
        <v>160</v>
      </c>
      <c r="G246" s="43">
        <f t="shared" si="90"/>
        <v>6.8750000000000006E-2</v>
      </c>
      <c r="H246" s="43">
        <f>_xlfn.XLOOKUP(A246,Class_Players!$A:$A,Class_Players!$F:$F,"")</f>
        <v>11918</v>
      </c>
      <c r="I246" s="44">
        <f t="shared" si="91"/>
        <v>9.2297365329753315E-4</v>
      </c>
      <c r="J246" s="43">
        <f t="shared" si="80"/>
        <v>0</v>
      </c>
      <c r="K246" s="44" cm="1">
        <f t="array" ref="K246">IF(D246="Gadget",_xlfn.IFS(I246&gt;=0.2,0.5,I246&gt;=0.1,0.35,I246&gt;=0.05,0.2,TRUE,0),IF(D246="Grenade",_xlfn.IFS(I246&gt;=0.2,1,I246&gt;=0.1,0.7,I246&gt;=0.05,0.4,TRUE,0),0))</f>
        <v>0</v>
      </c>
      <c r="L246" s="57">
        <f t="shared" si="99"/>
        <v>0</v>
      </c>
    </row>
    <row r="247" spans="1:12" x14ac:dyDescent="0.25">
      <c r="A247" s="42" t="str" cm="1">
        <f t="array" ref="A247">IFERROR(INDEX(_xlfn._xlws.FILTER(Class_Players!A:A,Class_Players!B:B="Assault"),QUOTIENT(ROW()-ROW($A$2),7)+1),"")</f>
        <v>L1nniker</v>
      </c>
      <c r="B247" s="42" t="str">
        <f>_xlfn.XLOOKUP(A247,Class_Players!$A:$A,Class_Players!$B:$B,"")</f>
        <v>Assault</v>
      </c>
      <c r="C247" s="48" t="str" cm="1">
        <f t="array" ref="C247">INDEX(Lookups!$A$2:$A$8,MOD(ROW()-ROW($B$2),ROWS(Lookups!$A$2:$A$8))+1)</f>
        <v>Assault Ladder</v>
      </c>
      <c r="D247" s="48" t="str">
        <f>_xlfn.XLOOKUP(C247,Analysis_Gadgets!$C:$C,Analysis_Gadgets!$B:$B)</f>
        <v>Gadget</v>
      </c>
      <c r="E247" s="43">
        <v>113</v>
      </c>
      <c r="F247" s="43">
        <f>_xlfn.XLOOKUP(A247,Class_Players!A:A,Class_Players!G:G)</f>
        <v>195</v>
      </c>
      <c r="G247" s="43">
        <f t="shared" si="90"/>
        <v>0.57948717948717954</v>
      </c>
      <c r="H247" s="43">
        <f>_xlfn.XLOOKUP(A247,Class_Players!$A:$A,Class_Players!$F:$F,"")</f>
        <v>11475</v>
      </c>
      <c r="I247" s="44">
        <f t="shared" si="91"/>
        <v>9.8474945533769068E-3</v>
      </c>
      <c r="J247" s="43">
        <f t="shared" si="80"/>
        <v>0</v>
      </c>
      <c r="K247" s="44" cm="1">
        <f t="array" ref="K247">IF(D247="Gadget",_xlfn.IFS(I247&gt;=0.2,0.5,I247&gt;=0.1,0.35,I247&gt;=0.05,0.2,TRUE,0),IF(D247="Grenade",_xlfn.IFS(I247&gt;=0.2,1,I247&gt;=0.1,0.7,I247&gt;=0.05,0.4,TRUE,0),0))</f>
        <v>0</v>
      </c>
      <c r="L247" s="57">
        <f t="shared" ref="L247:L251" si="100">IF($K247=0,0,$K247 / SUMIFS($K:$K,$A:$A,$A247,$D:$D,"Gadget"))</f>
        <v>0</v>
      </c>
    </row>
    <row r="248" spans="1:12" x14ac:dyDescent="0.25">
      <c r="A248" s="42" t="str" cm="1">
        <f t="array" ref="A248">IFERROR(INDEX(_xlfn._xlws.FILTER(Class_Players!A:A,Class_Players!B:B="Assault"),QUOTIENT(ROW()-ROW($A$2),7)+1),"")</f>
        <v>L1nniker</v>
      </c>
      <c r="B248" s="42" t="str">
        <f>_xlfn.XLOOKUP(A248,Class_Players!$A:$A,Class_Players!$B:$B,"")</f>
        <v>Assault</v>
      </c>
      <c r="C248" s="48" t="str" cm="1">
        <f t="array" ref="C248">INDEX(Lookups!$A$2:$A$8,MOD(ROW()-ROW($B$2),ROWS(Lookups!$A$2:$A$8))+1)</f>
        <v>X95 BRE (Breaching Projectile Launcher)</v>
      </c>
      <c r="D248" s="48" t="str">
        <f>_xlfn.XLOOKUP(C248,Analysis_Gadgets!$C:$C,Analysis_Gadgets!$B:$B)</f>
        <v>Gadget</v>
      </c>
      <c r="F248" s="43">
        <f>_xlfn.XLOOKUP(A248,Class_Players!A:A,Class_Players!G:G)</f>
        <v>195</v>
      </c>
      <c r="G248" s="43">
        <f t="shared" si="90"/>
        <v>0</v>
      </c>
      <c r="H248" s="43">
        <f>_xlfn.XLOOKUP(A248,Class_Players!$A:$A,Class_Players!$F:$F,"")</f>
        <v>11475</v>
      </c>
      <c r="I248" s="44">
        <f t="shared" si="91"/>
        <v>0</v>
      </c>
      <c r="J248" s="43">
        <f t="shared" si="80"/>
        <v>0</v>
      </c>
      <c r="K248" s="44" cm="1">
        <f t="array" ref="K248">IF(D248="Gadget",_xlfn.IFS(I248&gt;=0.2,0.5,I248&gt;=0.1,0.35,I248&gt;=0.05,0.2,TRUE,0),IF(D248="Grenade",_xlfn.IFS(I248&gt;=0.2,1,I248&gt;=0.1,0.7,I248&gt;=0.05,0.4,TRUE,0),0))</f>
        <v>0</v>
      </c>
      <c r="L248" s="57">
        <f t="shared" si="100"/>
        <v>0</v>
      </c>
    </row>
    <row r="249" spans="1:12" x14ac:dyDescent="0.25">
      <c r="A249" s="42" t="str" cm="1">
        <f t="array" ref="A249">IFERROR(INDEX(_xlfn._xlws.FILTER(Class_Players!A:A,Class_Players!B:B="Assault"),QUOTIENT(ROW()-ROW($A$2),7)+1),"")</f>
        <v>L1nniker</v>
      </c>
      <c r="B249" s="42" t="str">
        <f>_xlfn.XLOOKUP(A249,Class_Players!$A:$A,Class_Players!$B:$B,"")</f>
        <v>Assault</v>
      </c>
      <c r="C249" s="48" t="str" cm="1">
        <f t="array" ref="C249">INDEX(Lookups!$A$2:$A$8,MOD(ROW()-ROW($B$2),ROWS(Lookups!$A$2:$A$8))+1)</f>
        <v>M320A1 HE (Grenade Launcher)</v>
      </c>
      <c r="D249" s="48" t="str">
        <f>_xlfn.XLOOKUP(C249,Analysis_Gadgets!$C:$C,Analysis_Gadgets!$B:$B)</f>
        <v>Gadget</v>
      </c>
      <c r="E249" s="43">
        <v>16</v>
      </c>
      <c r="F249" s="43">
        <f>_xlfn.XLOOKUP(A249,Class_Players!A:A,Class_Players!G:G)</f>
        <v>195</v>
      </c>
      <c r="G249" s="43">
        <f t="shared" si="90"/>
        <v>8.2051282051282051E-2</v>
      </c>
      <c r="H249" s="43">
        <f>_xlfn.XLOOKUP(A249,Class_Players!$A:$A,Class_Players!$F:$F,"")</f>
        <v>11475</v>
      </c>
      <c r="I249" s="44">
        <f t="shared" si="91"/>
        <v>1.3943355119825707E-3</v>
      </c>
      <c r="J249" s="43">
        <f t="shared" si="80"/>
        <v>0</v>
      </c>
      <c r="K249" s="44" cm="1">
        <f t="array" ref="K249">IF(D249="Gadget",_xlfn.IFS(I249&gt;=0.2,0.5,I249&gt;=0.1,0.35,I249&gt;=0.05,0.2,TRUE,0),IF(D249="Grenade",_xlfn.IFS(I249&gt;=0.2,1,I249&gt;=0.1,0.7,I249&gt;=0.05,0.4,TRUE,0),0))</f>
        <v>0</v>
      </c>
      <c r="L249" s="57">
        <f t="shared" si="100"/>
        <v>0</v>
      </c>
    </row>
    <row r="250" spans="1:12" x14ac:dyDescent="0.25">
      <c r="A250" s="42" t="str" cm="1">
        <f t="array" ref="A250">IFERROR(INDEX(_xlfn._xlws.FILTER(Class_Players!A:A,Class_Players!B:B="Assault"),QUOTIENT(ROW()-ROW($A$2),7)+1),"")</f>
        <v>L1nniker</v>
      </c>
      <c r="B250" s="42" t="str">
        <f>_xlfn.XLOOKUP(A250,Class_Players!$A:$A,Class_Players!$B:$B,"")</f>
        <v>Assault</v>
      </c>
      <c r="C250" s="48" t="str" cm="1">
        <f t="array" ref="C250">INDEX(Lookups!$A$2:$A$8,MOD(ROW()-ROW($B$2),ROWS(Lookups!$A$2:$A$8))+1)</f>
        <v>M320A1 THRM    (Incendiary Grenade Launcher)</v>
      </c>
      <c r="D250" s="48" t="str">
        <f>_xlfn.XLOOKUP(C250,Analysis_Gadgets!$C:$C,Analysis_Gadgets!$B:$B)</f>
        <v>Gadget</v>
      </c>
      <c r="E250" s="43">
        <v>568</v>
      </c>
      <c r="F250" s="43">
        <f>_xlfn.XLOOKUP(A250,Class_Players!A:A,Class_Players!G:G)</f>
        <v>195</v>
      </c>
      <c r="G250" s="43">
        <f t="shared" si="90"/>
        <v>2.9128205128205127</v>
      </c>
      <c r="H250" s="43">
        <f>_xlfn.XLOOKUP(A250,Class_Players!$A:$A,Class_Players!$F:$F,"")</f>
        <v>11475</v>
      </c>
      <c r="I250" s="44">
        <f t="shared" si="91"/>
        <v>4.9498910675381265E-2</v>
      </c>
      <c r="J250" s="43">
        <f t="shared" si="80"/>
        <v>0</v>
      </c>
      <c r="K250" s="44" cm="1">
        <f t="array" ref="K250">IF(D250="Gadget",_xlfn.IFS(I250&gt;=0.2,0.5,I250&gt;=0.1,0.35,I250&gt;=0.05,0.2,TRUE,0),IF(D250="Grenade",_xlfn.IFS(I250&gt;=0.2,1,I250&gt;=0.1,0.7,I250&gt;=0.05,0.4,TRUE,0),0))</f>
        <v>0</v>
      </c>
      <c r="L250" s="57">
        <f t="shared" si="100"/>
        <v>0</v>
      </c>
    </row>
    <row r="251" spans="1:12" x14ac:dyDescent="0.25">
      <c r="A251" s="42" t="str" cm="1">
        <f t="array" ref="A251">IFERROR(INDEX(_xlfn._xlws.FILTER(Class_Players!A:A,Class_Players!B:B="Assault"),QUOTIENT(ROW()-ROW($A$2),7)+1),"")</f>
        <v>L1nniker</v>
      </c>
      <c r="B251" s="42" t="str">
        <f>_xlfn.XLOOKUP(A251,Class_Players!$A:$A,Class_Players!$B:$B,"")</f>
        <v>Assault</v>
      </c>
      <c r="C251" s="48" t="str" cm="1">
        <f t="array" ref="C251">INDEX(Lookups!$A$2:$A$8,MOD(ROW()-ROW($B$2),ROWS(Lookups!$A$2:$A$8))+1)</f>
        <v>QLINK (Deploy Beacon)</v>
      </c>
      <c r="D251" s="48" t="str">
        <f>_xlfn.XLOOKUP(C251,Analysis_Gadgets!$C:$C,Analysis_Gadgets!$B:$B)</f>
        <v>Gadget</v>
      </c>
      <c r="E251" s="43">
        <v>4602</v>
      </c>
      <c r="F251" s="43">
        <f>_xlfn.XLOOKUP(A251,Class_Players!A:A,Class_Players!G:G)</f>
        <v>195</v>
      </c>
      <c r="G251" s="43">
        <f t="shared" si="90"/>
        <v>23.6</v>
      </c>
      <c r="H251" s="43">
        <f>_xlfn.XLOOKUP(A251,Class_Players!$A:$A,Class_Players!$F:$F,"")</f>
        <v>11475</v>
      </c>
      <c r="I251" s="44">
        <f t="shared" si="91"/>
        <v>0.40104575163398692</v>
      </c>
      <c r="J251" s="43">
        <f t="shared" si="80"/>
        <v>1</v>
      </c>
      <c r="K251" s="44" cm="1">
        <f t="array" ref="K251">IF(D251="Gadget",_xlfn.IFS(I251&gt;=0.2,0.5,I251&gt;=0.1,0.35,I251&gt;=0.05,0.2,TRUE,0),IF(D251="Grenade",_xlfn.IFS(I251&gt;=0.2,1,I251&gt;=0.1,0.7,I251&gt;=0.05,0.4,TRUE,0),0))</f>
        <v>0.5</v>
      </c>
      <c r="L251" s="57">
        <f t="shared" si="100"/>
        <v>1</v>
      </c>
    </row>
    <row r="252" spans="1:12" x14ac:dyDescent="0.25">
      <c r="A252" s="42" t="str" cm="1">
        <f t="array" ref="A252">IFERROR(INDEX(_xlfn._xlws.FILTER(Class_Players!A:A,Class_Players!B:B="Assault"),QUOTIENT(ROW()-ROW($A$2),7)+1),"")</f>
        <v>L1nniker</v>
      </c>
      <c r="B252" s="42" t="str">
        <f>_xlfn.XLOOKUP(A252,Class_Players!$A:$A,Class_Players!$B:$B,"")</f>
        <v>Assault</v>
      </c>
      <c r="C252" s="48" t="str" cm="1">
        <f t="array" ref="C252">INDEX(Lookups!$A$2:$A$8,MOD(ROW()-ROW($B$2),ROWS(Lookups!$A$2:$A$8))+1)</f>
        <v>Stun Grenade</v>
      </c>
      <c r="D252" s="48" t="str">
        <f>_xlfn.XLOOKUP(C252,Analysis_Gadgets!$C:$C,Analysis_Gadgets!$B:$B)</f>
        <v>Grenade</v>
      </c>
      <c r="E252" s="43">
        <v>40</v>
      </c>
      <c r="F252" s="43">
        <f>_xlfn.XLOOKUP(A252,Class_Players!A:A,Class_Players!G:G)</f>
        <v>195</v>
      </c>
      <c r="G252" s="43">
        <f t="shared" si="90"/>
        <v>0.20512820512820512</v>
      </c>
      <c r="H252" s="43">
        <f>_xlfn.XLOOKUP(A252,Class_Players!$A:$A,Class_Players!$F:$F,"")</f>
        <v>11475</v>
      </c>
      <c r="I252" s="44">
        <f t="shared" si="91"/>
        <v>3.4858387799564269E-3</v>
      </c>
      <c r="J252" s="43">
        <f t="shared" si="80"/>
        <v>0</v>
      </c>
      <c r="K252" s="44" cm="1">
        <f t="array" ref="K252">IF(D252="Gadget",_xlfn.IFS(I252&gt;=0.2,0.5,I252&gt;=0.1,0.35,I252&gt;=0.05,0.2,TRUE,0),IF(D252="Grenade",_xlfn.IFS(I252&gt;=0.2,1,I252&gt;=0.1,0.7,I252&gt;=0.05,0.4,TRUE,0),0))</f>
        <v>0</v>
      </c>
      <c r="L252" s="57">
        <f t="shared" ref="L252:L253" si="101">IF($K252=0,0,$K252 / SUMIFS($K:$K,$A:$A,$A252,$D:$D,"Grenade"))</f>
        <v>0</v>
      </c>
    </row>
    <row r="253" spans="1:12" x14ac:dyDescent="0.25">
      <c r="A253" s="42" t="str" cm="1">
        <f t="array" ref="A253">IFERROR(INDEX(_xlfn._xlws.FILTER(Class_Players!A:A,Class_Players!B:B="Assault"),QUOTIENT(ROW()-ROW($A$2),7)+1),"")</f>
        <v>L1nniker</v>
      </c>
      <c r="B253" s="42" t="str">
        <f>_xlfn.XLOOKUP(A253,Class_Players!$A:$A,Class_Players!$B:$B,"")</f>
        <v>Assault</v>
      </c>
      <c r="C253" s="48" t="str" cm="1">
        <f t="array" ref="C253">INDEX(Lookups!$A$2:$A$8,MOD(ROW()-ROW($B$2),ROWS(Lookups!$A$2:$A$8))+1)</f>
        <v>Flash Grenade</v>
      </c>
      <c r="D253" s="48" t="str">
        <f>_xlfn.XLOOKUP(C253,Analysis_Gadgets!$C:$C,Analysis_Gadgets!$B:$B)</f>
        <v>Grenade</v>
      </c>
      <c r="E253" s="43">
        <v>137</v>
      </c>
      <c r="F253" s="43">
        <f>_xlfn.XLOOKUP(A253,Class_Players!A:A,Class_Players!G:G)</f>
        <v>195</v>
      </c>
      <c r="G253" s="43">
        <f t="shared" si="90"/>
        <v>0.70256410256410251</v>
      </c>
      <c r="H253" s="43">
        <f>_xlfn.XLOOKUP(A253,Class_Players!$A:$A,Class_Players!$F:$F,"")</f>
        <v>11475</v>
      </c>
      <c r="I253" s="44">
        <f t="shared" si="91"/>
        <v>1.1938997821350763E-2</v>
      </c>
      <c r="J253" s="43">
        <f t="shared" si="80"/>
        <v>0</v>
      </c>
      <c r="K253" s="44" cm="1">
        <f t="array" ref="K253">IF(D253="Gadget",_xlfn.IFS(I253&gt;=0.2,0.5,I253&gt;=0.1,0.35,I253&gt;=0.05,0.2,TRUE,0),IF(D253="Grenade",_xlfn.IFS(I253&gt;=0.2,1,I253&gt;=0.1,0.7,I253&gt;=0.05,0.4,TRUE,0),0))</f>
        <v>0</v>
      </c>
      <c r="L253" s="57">
        <f t="shared" si="101"/>
        <v>0</v>
      </c>
    </row>
    <row r="254" spans="1:12" x14ac:dyDescent="0.25">
      <c r="A254" s="42" t="str" cm="1">
        <f t="array" ref="A254">IFERROR(INDEX(_xlfn._xlws.FILTER(Class_Players!A:A,Class_Players!B:B="Assault"),QUOTIENT(ROW()-ROW($A$2),7)+1),"")</f>
        <v>besthua</v>
      </c>
      <c r="B254" s="42" t="str">
        <f>_xlfn.XLOOKUP(A254,Class_Players!$A:$A,Class_Players!$B:$B,"")</f>
        <v>Assault</v>
      </c>
      <c r="C254" s="48" t="str" cm="1">
        <f t="array" ref="C254">INDEX(Lookups!$A$2:$A$8,MOD(ROW()-ROW($B$2),ROWS(Lookups!$A$2:$A$8))+1)</f>
        <v>Assault Ladder</v>
      </c>
      <c r="D254" s="48" t="str">
        <f>_xlfn.XLOOKUP(C254,Analysis_Gadgets!$C:$C,Analysis_Gadgets!$B:$B)</f>
        <v>Gadget</v>
      </c>
      <c r="E254" s="43">
        <v>27</v>
      </c>
      <c r="F254" s="43">
        <f>_xlfn.XLOOKUP(A254,Class_Players!A:A,Class_Players!G:G)</f>
        <v>166</v>
      </c>
      <c r="G254" s="43">
        <f t="shared" si="90"/>
        <v>0.16265060240963855</v>
      </c>
      <c r="H254" s="43">
        <f>_xlfn.XLOOKUP(A254,Class_Players!$A:$A,Class_Players!$F:$F,"")</f>
        <v>12705</v>
      </c>
      <c r="I254" s="44">
        <f t="shared" si="91"/>
        <v>2.1251475796930344E-3</v>
      </c>
      <c r="J254" s="43">
        <f t="shared" si="80"/>
        <v>0</v>
      </c>
      <c r="K254" s="44" cm="1">
        <f t="array" ref="K254">IF(D254="Gadget",_xlfn.IFS(I254&gt;=0.2,0.5,I254&gt;=0.1,0.35,I254&gt;=0.05,0.2,TRUE,0),IF(D254="Grenade",_xlfn.IFS(I254&gt;=0.2,1,I254&gt;=0.1,0.7,I254&gt;=0.05,0.4,TRUE,0),0))</f>
        <v>0</v>
      </c>
      <c r="L254" s="57">
        <f t="shared" ref="L254:L258" si="102">IF($K254=0,0,$K254 / SUMIFS($K:$K,$A:$A,$A254,$D:$D,"Gadget"))</f>
        <v>0</v>
      </c>
    </row>
    <row r="255" spans="1:12" x14ac:dyDescent="0.25">
      <c r="A255" s="42" t="str" cm="1">
        <f t="array" ref="A255">IFERROR(INDEX(_xlfn._xlws.FILTER(Class_Players!A:A,Class_Players!B:B="Assault"),QUOTIENT(ROW()-ROW($A$2),7)+1),"")</f>
        <v>besthua</v>
      </c>
      <c r="B255" s="42" t="str">
        <f>_xlfn.XLOOKUP(A255,Class_Players!$A:$A,Class_Players!$B:$B,"")</f>
        <v>Assault</v>
      </c>
      <c r="C255" s="48" t="str" cm="1">
        <f t="array" ref="C255">INDEX(Lookups!$A$2:$A$8,MOD(ROW()-ROW($B$2),ROWS(Lookups!$A$2:$A$8))+1)</f>
        <v>X95 BRE (Breaching Projectile Launcher)</v>
      </c>
      <c r="D255" s="48" t="str">
        <f>_xlfn.XLOOKUP(C255,Analysis_Gadgets!$C:$C,Analysis_Gadgets!$B:$B)</f>
        <v>Gadget</v>
      </c>
      <c r="E255" s="43">
        <v>2</v>
      </c>
      <c r="F255" s="43">
        <f>_xlfn.XLOOKUP(A255,Class_Players!A:A,Class_Players!G:G)</f>
        <v>166</v>
      </c>
      <c r="G255" s="43">
        <f t="shared" si="90"/>
        <v>1.2048192771084338E-2</v>
      </c>
      <c r="H255" s="43">
        <f>_xlfn.XLOOKUP(A255,Class_Players!$A:$A,Class_Players!$F:$F,"")</f>
        <v>12705</v>
      </c>
      <c r="I255" s="44">
        <f t="shared" si="91"/>
        <v>1.5741833923652105E-4</v>
      </c>
      <c r="J255" s="43">
        <f t="shared" si="80"/>
        <v>0</v>
      </c>
      <c r="K255" s="44" cm="1">
        <f t="array" ref="K255">IF(D255="Gadget",_xlfn.IFS(I255&gt;=0.2,0.5,I255&gt;=0.1,0.35,I255&gt;=0.05,0.2,TRUE,0),IF(D255="Grenade",_xlfn.IFS(I255&gt;=0.2,1,I255&gt;=0.1,0.7,I255&gt;=0.05,0.4,TRUE,0),0))</f>
        <v>0</v>
      </c>
      <c r="L255" s="57">
        <f t="shared" si="102"/>
        <v>0</v>
      </c>
    </row>
    <row r="256" spans="1:12" x14ac:dyDescent="0.25">
      <c r="A256" s="42" t="str" cm="1">
        <f t="array" ref="A256">IFERROR(INDEX(_xlfn._xlws.FILTER(Class_Players!A:A,Class_Players!B:B="Assault"),QUOTIENT(ROW()-ROW($A$2),7)+1),"")</f>
        <v>besthua</v>
      </c>
      <c r="B256" s="42" t="str">
        <f>_xlfn.XLOOKUP(A256,Class_Players!$A:$A,Class_Players!$B:$B,"")</f>
        <v>Assault</v>
      </c>
      <c r="C256" s="48" t="str" cm="1">
        <f t="array" ref="C256">INDEX(Lookups!$A$2:$A$8,MOD(ROW()-ROW($B$2),ROWS(Lookups!$A$2:$A$8))+1)</f>
        <v>M320A1 HE (Grenade Launcher)</v>
      </c>
      <c r="D256" s="48" t="str">
        <f>_xlfn.XLOOKUP(C256,Analysis_Gadgets!$C:$C,Analysis_Gadgets!$B:$B)</f>
        <v>Gadget</v>
      </c>
      <c r="E256" s="43">
        <v>8333</v>
      </c>
      <c r="F256" s="43">
        <f>_xlfn.XLOOKUP(A256,Class_Players!A:A,Class_Players!G:G)</f>
        <v>166</v>
      </c>
      <c r="G256" s="43">
        <f t="shared" si="90"/>
        <v>50.19879518072289</v>
      </c>
      <c r="H256" s="43">
        <f>_xlfn.XLOOKUP(A256,Class_Players!$A:$A,Class_Players!$F:$F,"")</f>
        <v>12705</v>
      </c>
      <c r="I256" s="44">
        <f t="shared" si="91"/>
        <v>0.65588351042896498</v>
      </c>
      <c r="J256" s="43">
        <f t="shared" si="80"/>
        <v>1</v>
      </c>
      <c r="K256" s="44" cm="1">
        <f t="array" ref="K256">IF(D256="Gadget",_xlfn.IFS(I256&gt;=0.2,0.5,I256&gt;=0.1,0.35,I256&gt;=0.05,0.2,TRUE,0),IF(D256="Grenade",_xlfn.IFS(I256&gt;=0.2,1,I256&gt;=0.1,0.7,I256&gt;=0.05,0.4,TRUE,0),0))</f>
        <v>0.5</v>
      </c>
      <c r="L256" s="57">
        <f t="shared" si="102"/>
        <v>1</v>
      </c>
    </row>
    <row r="257" spans="1:12" x14ac:dyDescent="0.25">
      <c r="A257" s="42" t="str" cm="1">
        <f t="array" ref="A257">IFERROR(INDEX(_xlfn._xlws.FILTER(Class_Players!A:A,Class_Players!B:B="Assault"),QUOTIENT(ROW()-ROW($A$2),7)+1),"")</f>
        <v>besthua</v>
      </c>
      <c r="B257" s="42" t="str">
        <f>_xlfn.XLOOKUP(A257,Class_Players!$A:$A,Class_Players!$B:$B,"")</f>
        <v>Assault</v>
      </c>
      <c r="C257" s="48" t="str" cm="1">
        <f t="array" ref="C257">INDEX(Lookups!$A$2:$A$8,MOD(ROW()-ROW($B$2),ROWS(Lookups!$A$2:$A$8))+1)</f>
        <v>M320A1 THRM    (Incendiary Grenade Launcher)</v>
      </c>
      <c r="D257" s="48" t="str">
        <f>_xlfn.XLOOKUP(C257,Analysis_Gadgets!$C:$C,Analysis_Gadgets!$B:$B)</f>
        <v>Gadget</v>
      </c>
      <c r="E257" s="43">
        <v>295</v>
      </c>
      <c r="F257" s="43">
        <f>_xlfn.XLOOKUP(A257,Class_Players!A:A,Class_Players!G:G)</f>
        <v>166</v>
      </c>
      <c r="G257" s="43">
        <f t="shared" si="90"/>
        <v>1.7771084337349397</v>
      </c>
      <c r="H257" s="43">
        <f>_xlfn.XLOOKUP(A257,Class_Players!$A:$A,Class_Players!$F:$F,"")</f>
        <v>12705</v>
      </c>
      <c r="I257" s="44">
        <f t="shared" si="91"/>
        <v>2.3219205037386857E-2</v>
      </c>
      <c r="J257" s="43">
        <f t="shared" si="80"/>
        <v>0</v>
      </c>
      <c r="K257" s="44" cm="1">
        <f t="array" ref="K257">IF(D257="Gadget",_xlfn.IFS(I257&gt;=0.2,0.5,I257&gt;=0.1,0.35,I257&gt;=0.05,0.2,TRUE,0),IF(D257="Grenade",_xlfn.IFS(I257&gt;=0.2,1,I257&gt;=0.1,0.7,I257&gt;=0.05,0.4,TRUE,0),0))</f>
        <v>0</v>
      </c>
      <c r="L257" s="57">
        <f t="shared" si="102"/>
        <v>0</v>
      </c>
    </row>
    <row r="258" spans="1:12" x14ac:dyDescent="0.25">
      <c r="A258" s="42" t="str" cm="1">
        <f t="array" ref="A258">IFERROR(INDEX(_xlfn._xlws.FILTER(Class_Players!A:A,Class_Players!B:B="Assault"),QUOTIENT(ROW()-ROW($A$2),7)+1),"")</f>
        <v>besthua</v>
      </c>
      <c r="B258" s="42" t="str">
        <f>_xlfn.XLOOKUP(A258,Class_Players!$A:$A,Class_Players!$B:$B,"")</f>
        <v>Assault</v>
      </c>
      <c r="C258" s="48" t="str" cm="1">
        <f t="array" ref="C258">INDEX(Lookups!$A$2:$A$8,MOD(ROW()-ROW($B$2),ROWS(Lookups!$A$2:$A$8))+1)</f>
        <v>QLINK (Deploy Beacon)</v>
      </c>
      <c r="D258" s="48" t="str">
        <f>_xlfn.XLOOKUP(C258,Analysis_Gadgets!$C:$C,Analysis_Gadgets!$B:$B)</f>
        <v>Gadget</v>
      </c>
      <c r="E258" s="43">
        <v>532</v>
      </c>
      <c r="F258" s="43">
        <f>_xlfn.XLOOKUP(A258,Class_Players!A:A,Class_Players!G:G)</f>
        <v>166</v>
      </c>
      <c r="G258" s="43">
        <f t="shared" si="90"/>
        <v>3.2048192771084336</v>
      </c>
      <c r="H258" s="43">
        <f>_xlfn.XLOOKUP(A258,Class_Players!$A:$A,Class_Players!$F:$F,"")</f>
        <v>12705</v>
      </c>
      <c r="I258" s="44">
        <f t="shared" si="91"/>
        <v>4.1873278236914599E-2</v>
      </c>
      <c r="J258" s="43">
        <f t="shared" si="80"/>
        <v>0</v>
      </c>
      <c r="K258" s="44" cm="1">
        <f t="array" ref="K258">IF(D258="Gadget",_xlfn.IFS(I258&gt;=0.2,0.5,I258&gt;=0.1,0.35,I258&gt;=0.05,0.2,TRUE,0),IF(D258="Grenade",_xlfn.IFS(I258&gt;=0.2,1,I258&gt;=0.1,0.7,I258&gt;=0.05,0.4,TRUE,0),0))</f>
        <v>0</v>
      </c>
      <c r="L258" s="57">
        <f t="shared" si="102"/>
        <v>0</v>
      </c>
    </row>
    <row r="259" spans="1:12" x14ac:dyDescent="0.25">
      <c r="A259" s="42" t="str" cm="1">
        <f t="array" ref="A259">IFERROR(INDEX(_xlfn._xlws.FILTER(Class_Players!A:A,Class_Players!B:B="Assault"),QUOTIENT(ROW()-ROW($A$2),7)+1),"")</f>
        <v>besthua</v>
      </c>
      <c r="B259" s="42" t="str">
        <f>_xlfn.XLOOKUP(A259,Class_Players!$A:$A,Class_Players!$B:$B,"")</f>
        <v>Assault</v>
      </c>
      <c r="C259" s="48" t="str" cm="1">
        <f t="array" ref="C259">INDEX(Lookups!$A$2:$A$8,MOD(ROW()-ROW($B$2),ROWS(Lookups!$A$2:$A$8))+1)</f>
        <v>Stun Grenade</v>
      </c>
      <c r="D259" s="48" t="str">
        <f>_xlfn.XLOOKUP(C259,Analysis_Gadgets!$C:$C,Analysis_Gadgets!$B:$B)</f>
        <v>Grenade</v>
      </c>
      <c r="E259" s="43">
        <v>12</v>
      </c>
      <c r="F259" s="43">
        <f>_xlfn.XLOOKUP(A259,Class_Players!A:A,Class_Players!G:G)</f>
        <v>166</v>
      </c>
      <c r="G259" s="43">
        <f t="shared" si="90"/>
        <v>7.2289156626506021E-2</v>
      </c>
      <c r="H259" s="43">
        <f>_xlfn.XLOOKUP(A259,Class_Players!$A:$A,Class_Players!$F:$F,"")</f>
        <v>12705</v>
      </c>
      <c r="I259" s="44">
        <f t="shared" si="91"/>
        <v>9.4451003541912637E-4</v>
      </c>
      <c r="J259" s="43">
        <f t="shared" ref="J259:J322" si="103">IF(I259&gt;=0.1,1,0)</f>
        <v>0</v>
      </c>
      <c r="K259" s="44" cm="1">
        <f t="array" ref="K259">IF(D259="Gadget",_xlfn.IFS(I259&gt;=0.2,0.5,I259&gt;=0.1,0.35,I259&gt;=0.05,0.2,TRUE,0),IF(D259="Grenade",_xlfn.IFS(I259&gt;=0.2,1,I259&gt;=0.1,0.7,I259&gt;=0.05,0.4,TRUE,0),0))</f>
        <v>0</v>
      </c>
      <c r="L259" s="57">
        <f t="shared" ref="L259:L260" si="104">IF($K259=0,0,$K259 / SUMIFS($K:$K,$A:$A,$A259,$D:$D,"Grenade"))</f>
        <v>0</v>
      </c>
    </row>
    <row r="260" spans="1:12" x14ac:dyDescent="0.25">
      <c r="A260" s="42" t="str" cm="1">
        <f t="array" ref="A260">IFERROR(INDEX(_xlfn._xlws.FILTER(Class_Players!A:A,Class_Players!B:B="Assault"),QUOTIENT(ROW()-ROW($A$2),7)+1),"")</f>
        <v>besthua</v>
      </c>
      <c r="B260" s="42" t="str">
        <f>_xlfn.XLOOKUP(A260,Class_Players!$A:$A,Class_Players!$B:$B,"")</f>
        <v>Assault</v>
      </c>
      <c r="C260" s="48" t="str" cm="1">
        <f t="array" ref="C260">INDEX(Lookups!$A$2:$A$8,MOD(ROW()-ROW($B$2),ROWS(Lookups!$A$2:$A$8))+1)</f>
        <v>Flash Grenade</v>
      </c>
      <c r="D260" s="48" t="str">
        <f>_xlfn.XLOOKUP(C260,Analysis_Gadgets!$C:$C,Analysis_Gadgets!$B:$B)</f>
        <v>Grenade</v>
      </c>
      <c r="E260" s="43">
        <v>11</v>
      </c>
      <c r="F260" s="43">
        <f>_xlfn.XLOOKUP(A260,Class_Players!A:A,Class_Players!G:G)</f>
        <v>166</v>
      </c>
      <c r="G260" s="43">
        <f t="shared" si="90"/>
        <v>6.6265060240963861E-2</v>
      </c>
      <c r="H260" s="43">
        <f>_xlfn.XLOOKUP(A260,Class_Players!$A:$A,Class_Players!$F:$F,"")</f>
        <v>12705</v>
      </c>
      <c r="I260" s="44">
        <f t="shared" si="91"/>
        <v>8.658008658008658E-4</v>
      </c>
      <c r="J260" s="43">
        <f t="shared" si="103"/>
        <v>0</v>
      </c>
      <c r="K260" s="44" cm="1">
        <f t="array" ref="K260">IF(D260="Gadget",_xlfn.IFS(I260&gt;=0.2,0.5,I260&gt;=0.1,0.35,I260&gt;=0.05,0.2,TRUE,0),IF(D260="Grenade",_xlfn.IFS(I260&gt;=0.2,1,I260&gt;=0.1,0.7,I260&gt;=0.05,0.4,TRUE,0),0))</f>
        <v>0</v>
      </c>
      <c r="L260" s="57">
        <f t="shared" si="104"/>
        <v>0</v>
      </c>
    </row>
    <row r="261" spans="1:12" x14ac:dyDescent="0.25">
      <c r="A261" s="42" t="str" cm="1">
        <f t="array" ref="A261">IFERROR(INDEX(_xlfn._xlws.FILTER(Class_Players!A:A,Class_Players!B:B="Assault"),QUOTIENT(ROW()-ROW($A$2),7)+1),"")</f>
        <v>Teebeutel_D3luXE</v>
      </c>
      <c r="B261" s="42" t="str">
        <f>_xlfn.XLOOKUP(A261,Class_Players!$A:$A,Class_Players!$B:$B,"")</f>
        <v>Assault</v>
      </c>
      <c r="C261" s="48" t="str" cm="1">
        <f t="array" ref="C261">INDEX(Lookups!$A$2:$A$8,MOD(ROW()-ROW($B$2),ROWS(Lookups!$A$2:$A$8))+1)</f>
        <v>Assault Ladder</v>
      </c>
      <c r="D261" s="48" t="str">
        <f>_xlfn.XLOOKUP(C261,Analysis_Gadgets!$C:$C,Analysis_Gadgets!$B:$B)</f>
        <v>Gadget</v>
      </c>
      <c r="E261" s="43">
        <v>3121</v>
      </c>
      <c r="F261" s="43">
        <f>_xlfn.XLOOKUP(A261,Class_Players!A:A,Class_Players!G:G)</f>
        <v>209</v>
      </c>
      <c r="G261" s="43">
        <f t="shared" si="90"/>
        <v>14.933014354066986</v>
      </c>
      <c r="H261" s="43">
        <f>_xlfn.XLOOKUP(A261,Class_Players!$A:$A,Class_Players!$F:$F,"")</f>
        <v>11186</v>
      </c>
      <c r="I261" s="44">
        <f t="shared" si="91"/>
        <v>0.2790094761308779</v>
      </c>
      <c r="J261" s="43">
        <f t="shared" si="103"/>
        <v>1</v>
      </c>
      <c r="K261" s="44" cm="1">
        <f t="array" ref="K261">IF(D261="Gadget",_xlfn.IFS(I261&gt;=0.2,0.5,I261&gt;=0.1,0.35,I261&gt;=0.05,0.2,TRUE,0),IF(D261="Grenade",_xlfn.IFS(I261&gt;=0.2,1,I261&gt;=0.1,0.7,I261&gt;=0.05,0.4,TRUE,0),0))</f>
        <v>0.5</v>
      </c>
      <c r="L261" s="57">
        <f t="shared" ref="L261:L265" si="105">IF($K261=0,0,$K261 / SUMIFS($K:$K,$A:$A,$A261,$D:$D,"Gadget"))</f>
        <v>0.33333333333333331</v>
      </c>
    </row>
    <row r="262" spans="1:12" x14ac:dyDescent="0.25">
      <c r="A262" s="42" t="str" cm="1">
        <f t="array" ref="A262">IFERROR(INDEX(_xlfn._xlws.FILTER(Class_Players!A:A,Class_Players!B:B="Assault"),QUOTIENT(ROW()-ROW($A$2),7)+1),"")</f>
        <v>Teebeutel_D3luXE</v>
      </c>
      <c r="B262" s="42" t="str">
        <f>_xlfn.XLOOKUP(A262,Class_Players!$A:$A,Class_Players!$B:$B,"")</f>
        <v>Assault</v>
      </c>
      <c r="C262" s="48" t="str" cm="1">
        <f t="array" ref="C262">INDEX(Lookups!$A$2:$A$8,MOD(ROW()-ROW($B$2),ROWS(Lookups!$A$2:$A$8))+1)</f>
        <v>X95 BRE (Breaching Projectile Launcher)</v>
      </c>
      <c r="D262" s="48" t="str">
        <f>_xlfn.XLOOKUP(C262,Analysis_Gadgets!$C:$C,Analysis_Gadgets!$B:$B)</f>
        <v>Gadget</v>
      </c>
      <c r="E262" s="43">
        <v>2</v>
      </c>
      <c r="F262" s="43">
        <f>_xlfn.XLOOKUP(A262,Class_Players!A:A,Class_Players!G:G)</f>
        <v>209</v>
      </c>
      <c r="G262" s="43">
        <f t="shared" si="90"/>
        <v>9.5693779904306216E-3</v>
      </c>
      <c r="H262" s="43">
        <f>_xlfn.XLOOKUP(A262,Class_Players!$A:$A,Class_Players!$F:$F,"")</f>
        <v>11186</v>
      </c>
      <c r="I262" s="44">
        <f t="shared" si="91"/>
        <v>1.7879492222420883E-4</v>
      </c>
      <c r="J262" s="43">
        <f t="shared" si="103"/>
        <v>0</v>
      </c>
      <c r="K262" s="44" cm="1">
        <f t="array" ref="K262">IF(D262="Gadget",_xlfn.IFS(I262&gt;=0.2,0.5,I262&gt;=0.1,0.35,I262&gt;=0.05,0.2,TRUE,0),IF(D262="Grenade",_xlfn.IFS(I262&gt;=0.2,1,I262&gt;=0.1,0.7,I262&gt;=0.05,0.4,TRUE,0),0))</f>
        <v>0</v>
      </c>
      <c r="L262" s="57">
        <f t="shared" si="105"/>
        <v>0</v>
      </c>
    </row>
    <row r="263" spans="1:12" x14ac:dyDescent="0.25">
      <c r="A263" s="42" t="str" cm="1">
        <f t="array" ref="A263">IFERROR(INDEX(_xlfn._xlws.FILTER(Class_Players!A:A,Class_Players!B:B="Assault"),QUOTIENT(ROW()-ROW($A$2),7)+1),"")</f>
        <v>Teebeutel_D3luXE</v>
      </c>
      <c r="B263" s="42" t="str">
        <f>_xlfn.XLOOKUP(A263,Class_Players!$A:$A,Class_Players!$B:$B,"")</f>
        <v>Assault</v>
      </c>
      <c r="C263" s="48" t="str" cm="1">
        <f t="array" ref="C263">INDEX(Lookups!$A$2:$A$8,MOD(ROW()-ROW($B$2),ROWS(Lookups!$A$2:$A$8))+1)</f>
        <v>M320A1 HE (Grenade Launcher)</v>
      </c>
      <c r="D263" s="48" t="str">
        <f>_xlfn.XLOOKUP(C263,Analysis_Gadgets!$C:$C,Analysis_Gadgets!$B:$B)</f>
        <v>Gadget</v>
      </c>
      <c r="E263" s="43">
        <v>4372</v>
      </c>
      <c r="F263" s="43">
        <f>_xlfn.XLOOKUP(A263,Class_Players!A:A,Class_Players!G:G)</f>
        <v>209</v>
      </c>
      <c r="G263" s="43">
        <f t="shared" si="90"/>
        <v>20.918660287081341</v>
      </c>
      <c r="H263" s="43">
        <f>_xlfn.XLOOKUP(A263,Class_Players!$A:$A,Class_Players!$F:$F,"")</f>
        <v>11186</v>
      </c>
      <c r="I263" s="44">
        <f t="shared" si="91"/>
        <v>0.39084569998212049</v>
      </c>
      <c r="J263" s="43">
        <f t="shared" si="103"/>
        <v>1</v>
      </c>
      <c r="K263" s="44" cm="1">
        <f t="array" ref="K263">IF(D263="Gadget",_xlfn.IFS(I263&gt;=0.2,0.5,I263&gt;=0.1,0.35,I263&gt;=0.05,0.2,TRUE,0),IF(D263="Grenade",_xlfn.IFS(I263&gt;=0.2,1,I263&gt;=0.1,0.7,I263&gt;=0.05,0.4,TRUE,0),0))</f>
        <v>0.5</v>
      </c>
      <c r="L263" s="57">
        <f t="shared" si="105"/>
        <v>0.33333333333333331</v>
      </c>
    </row>
    <row r="264" spans="1:12" x14ac:dyDescent="0.25">
      <c r="A264" s="42" t="str" cm="1">
        <f t="array" ref="A264">IFERROR(INDEX(_xlfn._xlws.FILTER(Class_Players!A:A,Class_Players!B:B="Assault"),QUOTIENT(ROW()-ROW($A$2),7)+1),"")</f>
        <v>Teebeutel_D3luXE</v>
      </c>
      <c r="B264" s="42" t="str">
        <f>_xlfn.XLOOKUP(A264,Class_Players!$A:$A,Class_Players!$B:$B,"")</f>
        <v>Assault</v>
      </c>
      <c r="C264" s="48" t="str" cm="1">
        <f t="array" ref="C264">INDEX(Lookups!$A$2:$A$8,MOD(ROW()-ROW($B$2),ROWS(Lookups!$A$2:$A$8))+1)</f>
        <v>M320A1 THRM    (Incendiary Grenade Launcher)</v>
      </c>
      <c r="D264" s="48" t="str">
        <f>_xlfn.XLOOKUP(C264,Analysis_Gadgets!$C:$C,Analysis_Gadgets!$B:$B)</f>
        <v>Gadget</v>
      </c>
      <c r="E264" s="43">
        <v>15</v>
      </c>
      <c r="F264" s="43">
        <f>_xlfn.XLOOKUP(A264,Class_Players!A:A,Class_Players!G:G)</f>
        <v>209</v>
      </c>
      <c r="G264" s="43">
        <f t="shared" si="90"/>
        <v>7.1770334928229665E-2</v>
      </c>
      <c r="H264" s="43">
        <f>_xlfn.XLOOKUP(A264,Class_Players!$A:$A,Class_Players!$F:$F,"")</f>
        <v>11186</v>
      </c>
      <c r="I264" s="44">
        <f t="shared" si="91"/>
        <v>1.3409619166815663E-3</v>
      </c>
      <c r="J264" s="43">
        <f t="shared" si="103"/>
        <v>0</v>
      </c>
      <c r="K264" s="44" cm="1">
        <f t="array" ref="K264">IF(D264="Gadget",_xlfn.IFS(I264&gt;=0.2,0.5,I264&gt;=0.1,0.35,I264&gt;=0.05,0.2,TRUE,0),IF(D264="Grenade",_xlfn.IFS(I264&gt;=0.2,1,I264&gt;=0.1,0.7,I264&gt;=0.05,0.4,TRUE,0),0))</f>
        <v>0</v>
      </c>
      <c r="L264" s="57">
        <f t="shared" si="105"/>
        <v>0</v>
      </c>
    </row>
    <row r="265" spans="1:12" x14ac:dyDescent="0.25">
      <c r="A265" s="42" t="str" cm="1">
        <f t="array" ref="A265">IFERROR(INDEX(_xlfn._xlws.FILTER(Class_Players!A:A,Class_Players!B:B="Assault"),QUOTIENT(ROW()-ROW($A$2),7)+1),"")</f>
        <v>Teebeutel_D3luXE</v>
      </c>
      <c r="B265" s="42" t="str">
        <f>_xlfn.XLOOKUP(A265,Class_Players!$A:$A,Class_Players!$B:$B,"")</f>
        <v>Assault</v>
      </c>
      <c r="C265" s="48" t="str" cm="1">
        <f t="array" ref="C265">INDEX(Lookups!$A$2:$A$8,MOD(ROW()-ROW($B$2),ROWS(Lookups!$A$2:$A$8))+1)</f>
        <v>QLINK (Deploy Beacon)</v>
      </c>
      <c r="D265" s="48" t="str">
        <f>_xlfn.XLOOKUP(C265,Analysis_Gadgets!$C:$C,Analysis_Gadgets!$B:$B)</f>
        <v>Gadget</v>
      </c>
      <c r="E265" s="43">
        <v>7037</v>
      </c>
      <c r="F265" s="43">
        <f>_xlfn.XLOOKUP(A265,Class_Players!A:A,Class_Players!G:G)</f>
        <v>209</v>
      </c>
      <c r="G265" s="43">
        <f t="shared" si="90"/>
        <v>33.669856459330141</v>
      </c>
      <c r="H265" s="43">
        <f>_xlfn.XLOOKUP(A265,Class_Players!$A:$A,Class_Players!$F:$F,"")</f>
        <v>11186</v>
      </c>
      <c r="I265" s="44">
        <f t="shared" si="91"/>
        <v>0.62908993384587875</v>
      </c>
      <c r="J265" s="43">
        <f t="shared" si="103"/>
        <v>1</v>
      </c>
      <c r="K265" s="44" cm="1">
        <f t="array" ref="K265">IF(D265="Gadget",_xlfn.IFS(I265&gt;=0.2,0.5,I265&gt;=0.1,0.35,I265&gt;=0.05,0.2,TRUE,0),IF(D265="Grenade",_xlfn.IFS(I265&gt;=0.2,1,I265&gt;=0.1,0.7,I265&gt;=0.05,0.4,TRUE,0),0))</f>
        <v>0.5</v>
      </c>
      <c r="L265" s="57">
        <f t="shared" si="105"/>
        <v>0.33333333333333331</v>
      </c>
    </row>
    <row r="266" spans="1:12" x14ac:dyDescent="0.25">
      <c r="A266" s="42" t="str" cm="1">
        <f t="array" ref="A266">IFERROR(INDEX(_xlfn._xlws.FILTER(Class_Players!A:A,Class_Players!B:B="Assault"),QUOTIENT(ROW()-ROW($A$2),7)+1),"")</f>
        <v>Teebeutel_D3luXE</v>
      </c>
      <c r="B266" s="42" t="str">
        <f>_xlfn.XLOOKUP(A266,Class_Players!$A:$A,Class_Players!$B:$B,"")</f>
        <v>Assault</v>
      </c>
      <c r="C266" s="48" t="str" cm="1">
        <f t="array" ref="C266">INDEX(Lookups!$A$2:$A$8,MOD(ROW()-ROW($B$2),ROWS(Lookups!$A$2:$A$8))+1)</f>
        <v>Stun Grenade</v>
      </c>
      <c r="D266" s="48" t="str">
        <f>_xlfn.XLOOKUP(C266,Analysis_Gadgets!$C:$C,Analysis_Gadgets!$B:$B)</f>
        <v>Grenade</v>
      </c>
      <c r="E266" s="43">
        <v>52</v>
      </c>
      <c r="F266" s="43">
        <f>_xlfn.XLOOKUP(A266,Class_Players!A:A,Class_Players!G:G)</f>
        <v>209</v>
      </c>
      <c r="G266" s="43">
        <f t="shared" si="90"/>
        <v>0.24880382775119617</v>
      </c>
      <c r="H266" s="43">
        <f>_xlfn.XLOOKUP(A266,Class_Players!$A:$A,Class_Players!$F:$F,"")</f>
        <v>11186</v>
      </c>
      <c r="I266" s="44">
        <f t="shared" si="91"/>
        <v>4.6486679778294298E-3</v>
      </c>
      <c r="J266" s="43">
        <f t="shared" si="103"/>
        <v>0</v>
      </c>
      <c r="K266" s="44" cm="1">
        <f t="array" ref="K266">IF(D266="Gadget",_xlfn.IFS(I266&gt;=0.2,0.5,I266&gt;=0.1,0.35,I266&gt;=0.05,0.2,TRUE,0),IF(D266="Grenade",_xlfn.IFS(I266&gt;=0.2,1,I266&gt;=0.1,0.7,I266&gt;=0.05,0.4,TRUE,0),0))</f>
        <v>0</v>
      </c>
      <c r="L266" s="57">
        <f t="shared" ref="L266:L267" si="106">IF($K266=0,0,$K266 / SUMIFS($K:$K,$A:$A,$A266,$D:$D,"Grenade"))</f>
        <v>0</v>
      </c>
    </row>
    <row r="267" spans="1:12" x14ac:dyDescent="0.25">
      <c r="A267" s="42" t="str" cm="1">
        <f t="array" ref="A267">IFERROR(INDEX(_xlfn._xlws.FILTER(Class_Players!A:A,Class_Players!B:B="Assault"),QUOTIENT(ROW()-ROW($A$2),7)+1),"")</f>
        <v>Teebeutel_D3luXE</v>
      </c>
      <c r="B267" s="42" t="str">
        <f>_xlfn.XLOOKUP(A267,Class_Players!$A:$A,Class_Players!$B:$B,"")</f>
        <v>Assault</v>
      </c>
      <c r="C267" s="48" t="str" cm="1">
        <f t="array" ref="C267">INDEX(Lookups!$A$2:$A$8,MOD(ROW()-ROW($B$2),ROWS(Lookups!$A$2:$A$8))+1)</f>
        <v>Flash Grenade</v>
      </c>
      <c r="D267" s="48" t="str">
        <f>_xlfn.XLOOKUP(C267,Analysis_Gadgets!$C:$C,Analysis_Gadgets!$B:$B)</f>
        <v>Grenade</v>
      </c>
      <c r="E267" s="43">
        <v>1</v>
      </c>
      <c r="F267" s="43">
        <f>_xlfn.XLOOKUP(A267,Class_Players!A:A,Class_Players!G:G)</f>
        <v>209</v>
      </c>
      <c r="G267" s="43">
        <f t="shared" si="90"/>
        <v>4.7846889952153108E-3</v>
      </c>
      <c r="H267" s="43">
        <f>_xlfn.XLOOKUP(A267,Class_Players!$A:$A,Class_Players!$F:$F,"")</f>
        <v>11186</v>
      </c>
      <c r="I267" s="44">
        <f t="shared" si="91"/>
        <v>8.9397461112104417E-5</v>
      </c>
      <c r="J267" s="43">
        <f t="shared" si="103"/>
        <v>0</v>
      </c>
      <c r="K267" s="44" cm="1">
        <f t="array" ref="K267">IF(D267="Gadget",_xlfn.IFS(I267&gt;=0.2,0.5,I267&gt;=0.1,0.35,I267&gt;=0.05,0.2,TRUE,0),IF(D267="Grenade",_xlfn.IFS(I267&gt;=0.2,1,I267&gt;=0.1,0.7,I267&gt;=0.05,0.4,TRUE,0),0))</f>
        <v>0</v>
      </c>
      <c r="L267" s="57">
        <f t="shared" si="106"/>
        <v>0</v>
      </c>
    </row>
    <row r="268" spans="1:12" x14ac:dyDescent="0.25">
      <c r="A268" s="42" t="str" cm="1">
        <f t="array" ref="A268">IFERROR(INDEX(_xlfn._xlws.FILTER(Class_Players!A:A,Class_Players!B:B="Assault"),QUOTIENT(ROW()-ROW($A$2),7)+1),"")</f>
        <v>pittasmama</v>
      </c>
      <c r="B268" s="42" t="str">
        <f>_xlfn.XLOOKUP(A268,Class_Players!$A:$A,Class_Players!$B:$B,"")</f>
        <v>Assault</v>
      </c>
      <c r="C268" s="48" t="str" cm="1">
        <f t="array" ref="C268">INDEX(Lookups!$A$2:$A$8,MOD(ROW()-ROW($B$2),ROWS(Lookups!$A$2:$A$8))+1)</f>
        <v>Assault Ladder</v>
      </c>
      <c r="D268" s="48" t="str">
        <f>_xlfn.XLOOKUP(C268,Analysis_Gadgets!$C:$C,Analysis_Gadgets!$B:$B)</f>
        <v>Gadget</v>
      </c>
      <c r="E268" s="43">
        <v>154</v>
      </c>
      <c r="F268" s="43">
        <f>_xlfn.XLOOKUP(A268,Class_Players!A:A,Class_Players!G:G)</f>
        <v>130</v>
      </c>
      <c r="G268" s="43">
        <f t="shared" si="90"/>
        <v>1.1846153846153846</v>
      </c>
      <c r="H268" s="43">
        <f>_xlfn.XLOOKUP(A268,Class_Players!$A:$A,Class_Players!$F:$F,"")</f>
        <v>11447</v>
      </c>
      <c r="I268" s="44">
        <f t="shared" si="91"/>
        <v>1.3453306543199092E-2</v>
      </c>
      <c r="J268" s="43">
        <f t="shared" si="103"/>
        <v>0</v>
      </c>
      <c r="K268" s="44" cm="1">
        <f t="array" ref="K268">IF(D268="Gadget",_xlfn.IFS(I268&gt;=0.2,0.5,I268&gt;=0.1,0.35,I268&gt;=0.05,0.2,TRUE,0),IF(D268="Grenade",_xlfn.IFS(I268&gt;=0.2,1,I268&gt;=0.1,0.7,I268&gt;=0.05,0.4,TRUE,0),0))</f>
        <v>0</v>
      </c>
      <c r="L268" s="57">
        <f t="shared" ref="L268:L272" si="107">IF($K268=0,0,$K268 / SUMIFS($K:$K,$A:$A,$A268,$D:$D,"Gadget"))</f>
        <v>0</v>
      </c>
    </row>
    <row r="269" spans="1:12" x14ac:dyDescent="0.25">
      <c r="A269" s="42" t="str" cm="1">
        <f t="array" ref="A269">IFERROR(INDEX(_xlfn._xlws.FILTER(Class_Players!A:A,Class_Players!B:B="Assault"),QUOTIENT(ROW()-ROW($A$2),7)+1),"")</f>
        <v>pittasmama</v>
      </c>
      <c r="B269" s="42" t="str">
        <f>_xlfn.XLOOKUP(A269,Class_Players!$A:$A,Class_Players!$B:$B,"")</f>
        <v>Assault</v>
      </c>
      <c r="C269" s="48" t="str" cm="1">
        <f t="array" ref="C269">INDEX(Lookups!$A$2:$A$8,MOD(ROW()-ROW($B$2),ROWS(Lookups!$A$2:$A$8))+1)</f>
        <v>X95 BRE (Breaching Projectile Launcher)</v>
      </c>
      <c r="D269" s="48" t="str">
        <f>_xlfn.XLOOKUP(C269,Analysis_Gadgets!$C:$C,Analysis_Gadgets!$B:$B)</f>
        <v>Gadget</v>
      </c>
      <c r="E269" s="43">
        <v>0</v>
      </c>
      <c r="F269" s="43">
        <f>_xlfn.XLOOKUP(A269,Class_Players!A:A,Class_Players!G:G)</f>
        <v>130</v>
      </c>
      <c r="G269" s="43">
        <f t="shared" si="90"/>
        <v>0</v>
      </c>
      <c r="H269" s="43">
        <f>_xlfn.XLOOKUP(A269,Class_Players!$A:$A,Class_Players!$F:$F,"")</f>
        <v>11447</v>
      </c>
      <c r="I269" s="44">
        <f t="shared" si="91"/>
        <v>0</v>
      </c>
      <c r="J269" s="43">
        <f t="shared" si="103"/>
        <v>0</v>
      </c>
      <c r="K269" s="44" cm="1">
        <f t="array" ref="K269">IF(D269="Gadget",_xlfn.IFS(I269&gt;=0.2,0.5,I269&gt;=0.1,0.35,I269&gt;=0.05,0.2,TRUE,0),IF(D269="Grenade",_xlfn.IFS(I269&gt;=0.2,1,I269&gt;=0.1,0.7,I269&gt;=0.05,0.4,TRUE,0),0))</f>
        <v>0</v>
      </c>
      <c r="L269" s="57">
        <f t="shared" si="107"/>
        <v>0</v>
      </c>
    </row>
    <row r="270" spans="1:12" x14ac:dyDescent="0.25">
      <c r="A270" s="42" t="str" cm="1">
        <f t="array" ref="A270">IFERROR(INDEX(_xlfn._xlws.FILTER(Class_Players!A:A,Class_Players!B:B="Assault"),QUOTIENT(ROW()-ROW($A$2),7)+1),"")</f>
        <v>pittasmama</v>
      </c>
      <c r="B270" s="42" t="str">
        <f>_xlfn.XLOOKUP(A270,Class_Players!$A:$A,Class_Players!$B:$B,"")</f>
        <v>Assault</v>
      </c>
      <c r="C270" s="48" t="str" cm="1">
        <f t="array" ref="C270">INDEX(Lookups!$A$2:$A$8,MOD(ROW()-ROW($B$2),ROWS(Lookups!$A$2:$A$8))+1)</f>
        <v>M320A1 HE (Grenade Launcher)</v>
      </c>
      <c r="D270" s="48" t="str">
        <f>_xlfn.XLOOKUP(C270,Analysis_Gadgets!$C:$C,Analysis_Gadgets!$B:$B)</f>
        <v>Gadget</v>
      </c>
      <c r="E270" s="43">
        <v>2422</v>
      </c>
      <c r="F270" s="43">
        <f>_xlfn.XLOOKUP(A270,Class_Players!A:A,Class_Players!G:G)</f>
        <v>130</v>
      </c>
      <c r="G270" s="43">
        <f t="shared" si="90"/>
        <v>18.630769230769232</v>
      </c>
      <c r="H270" s="43">
        <f>_xlfn.XLOOKUP(A270,Class_Players!$A:$A,Class_Players!$F:$F,"")</f>
        <v>11447</v>
      </c>
      <c r="I270" s="44">
        <f t="shared" si="91"/>
        <v>0.2115838210884948</v>
      </c>
      <c r="J270" s="43">
        <f t="shared" si="103"/>
        <v>1</v>
      </c>
      <c r="K270" s="44" cm="1">
        <f t="array" ref="K270">IF(D270="Gadget",_xlfn.IFS(I270&gt;=0.2,0.5,I270&gt;=0.1,0.35,I270&gt;=0.05,0.2,TRUE,0),IF(D270="Grenade",_xlfn.IFS(I270&gt;=0.2,1,I270&gt;=0.1,0.7,I270&gt;=0.05,0.4,TRUE,0),0))</f>
        <v>0.5</v>
      </c>
      <c r="L270" s="57">
        <f t="shared" si="107"/>
        <v>1</v>
      </c>
    </row>
    <row r="271" spans="1:12" x14ac:dyDescent="0.25">
      <c r="A271" s="42" t="str" cm="1">
        <f t="array" ref="A271">IFERROR(INDEX(_xlfn._xlws.FILTER(Class_Players!A:A,Class_Players!B:B="Assault"),QUOTIENT(ROW()-ROW($A$2),7)+1),"")</f>
        <v>pittasmama</v>
      </c>
      <c r="B271" s="42" t="str">
        <f>_xlfn.XLOOKUP(A271,Class_Players!$A:$A,Class_Players!$B:$B,"")</f>
        <v>Assault</v>
      </c>
      <c r="C271" s="48" t="str" cm="1">
        <f t="array" ref="C271">INDEX(Lookups!$A$2:$A$8,MOD(ROW()-ROW($B$2),ROWS(Lookups!$A$2:$A$8))+1)</f>
        <v>M320A1 THRM    (Incendiary Grenade Launcher)</v>
      </c>
      <c r="D271" s="48" t="str">
        <f>_xlfn.XLOOKUP(C271,Analysis_Gadgets!$C:$C,Analysis_Gadgets!$B:$B)</f>
        <v>Gadget</v>
      </c>
      <c r="E271" s="43">
        <v>14</v>
      </c>
      <c r="F271" s="43">
        <f>_xlfn.XLOOKUP(A271,Class_Players!A:A,Class_Players!G:G)</f>
        <v>130</v>
      </c>
      <c r="G271" s="43">
        <f t="shared" si="90"/>
        <v>0.1076923076923077</v>
      </c>
      <c r="H271" s="43">
        <f>_xlfn.XLOOKUP(A271,Class_Players!$A:$A,Class_Players!$F:$F,"")</f>
        <v>11447</v>
      </c>
      <c r="I271" s="44">
        <f t="shared" si="91"/>
        <v>1.2230278675635538E-3</v>
      </c>
      <c r="J271" s="43">
        <f t="shared" si="103"/>
        <v>0</v>
      </c>
      <c r="K271" s="44" cm="1">
        <f t="array" ref="K271">IF(D271="Gadget",_xlfn.IFS(I271&gt;=0.2,0.5,I271&gt;=0.1,0.35,I271&gt;=0.05,0.2,TRUE,0),IF(D271="Grenade",_xlfn.IFS(I271&gt;=0.2,1,I271&gt;=0.1,0.7,I271&gt;=0.05,0.4,TRUE,0),0))</f>
        <v>0</v>
      </c>
      <c r="L271" s="57">
        <f t="shared" si="107"/>
        <v>0</v>
      </c>
    </row>
    <row r="272" spans="1:12" x14ac:dyDescent="0.25">
      <c r="A272" s="42" t="str" cm="1">
        <f t="array" ref="A272">IFERROR(INDEX(_xlfn._xlws.FILTER(Class_Players!A:A,Class_Players!B:B="Assault"),QUOTIENT(ROW()-ROW($A$2),7)+1),"")</f>
        <v>pittasmama</v>
      </c>
      <c r="B272" s="42" t="str">
        <f>_xlfn.XLOOKUP(A272,Class_Players!$A:$A,Class_Players!$B:$B,"")</f>
        <v>Assault</v>
      </c>
      <c r="C272" s="48" t="str" cm="1">
        <f t="array" ref="C272">INDEX(Lookups!$A$2:$A$8,MOD(ROW()-ROW($B$2),ROWS(Lookups!$A$2:$A$8))+1)</f>
        <v>QLINK (Deploy Beacon)</v>
      </c>
      <c r="D272" s="48" t="str">
        <f>_xlfn.XLOOKUP(C272,Analysis_Gadgets!$C:$C,Analysis_Gadgets!$B:$B)</f>
        <v>Gadget</v>
      </c>
      <c r="E272" s="43">
        <v>340</v>
      </c>
      <c r="F272" s="43">
        <f>_xlfn.XLOOKUP(A272,Class_Players!A:A,Class_Players!G:G)</f>
        <v>130</v>
      </c>
      <c r="G272" s="43">
        <f t="shared" si="90"/>
        <v>2.6153846153846154</v>
      </c>
      <c r="H272" s="43">
        <f>_xlfn.XLOOKUP(A272,Class_Players!$A:$A,Class_Players!$F:$F,"")</f>
        <v>11447</v>
      </c>
      <c r="I272" s="44">
        <f t="shared" si="91"/>
        <v>2.9702105355114878E-2</v>
      </c>
      <c r="J272" s="43">
        <f t="shared" si="103"/>
        <v>0</v>
      </c>
      <c r="K272" s="44" cm="1">
        <f t="array" ref="K272">IF(D272="Gadget",_xlfn.IFS(I272&gt;=0.2,0.5,I272&gt;=0.1,0.35,I272&gt;=0.05,0.2,TRUE,0),IF(D272="Grenade",_xlfn.IFS(I272&gt;=0.2,1,I272&gt;=0.1,0.7,I272&gt;=0.05,0.4,TRUE,0),0))</f>
        <v>0</v>
      </c>
      <c r="L272" s="57">
        <f t="shared" si="107"/>
        <v>0</v>
      </c>
    </row>
    <row r="273" spans="1:12" x14ac:dyDescent="0.25">
      <c r="A273" s="42" t="str" cm="1">
        <f t="array" ref="A273">IFERROR(INDEX(_xlfn._xlws.FILTER(Class_Players!A:A,Class_Players!B:B="Assault"),QUOTIENT(ROW()-ROW($A$2),7)+1),"")</f>
        <v>pittasmama</v>
      </c>
      <c r="B273" s="42" t="str">
        <f>_xlfn.XLOOKUP(A273,Class_Players!$A:$A,Class_Players!$B:$B,"")</f>
        <v>Assault</v>
      </c>
      <c r="C273" s="48" t="str" cm="1">
        <f t="array" ref="C273">INDEX(Lookups!$A$2:$A$8,MOD(ROW()-ROW($B$2),ROWS(Lookups!$A$2:$A$8))+1)</f>
        <v>Stun Grenade</v>
      </c>
      <c r="D273" s="48" t="str">
        <f>_xlfn.XLOOKUP(C273,Analysis_Gadgets!$C:$C,Analysis_Gadgets!$B:$B)</f>
        <v>Grenade</v>
      </c>
      <c r="E273" s="43">
        <v>579</v>
      </c>
      <c r="F273" s="43">
        <f>_xlfn.XLOOKUP(A273,Class_Players!A:A,Class_Players!G:G)</f>
        <v>130</v>
      </c>
      <c r="G273" s="43">
        <f t="shared" si="90"/>
        <v>4.453846153846154</v>
      </c>
      <c r="H273" s="43">
        <f>_xlfn.XLOOKUP(A273,Class_Players!$A:$A,Class_Players!$F:$F,"")</f>
        <v>11447</v>
      </c>
      <c r="I273" s="44">
        <f t="shared" si="91"/>
        <v>5.0580938237092685E-2</v>
      </c>
      <c r="J273" s="43">
        <f t="shared" si="103"/>
        <v>0</v>
      </c>
      <c r="K273" s="44" cm="1">
        <f t="array" ref="K273">IF(D273="Gadget",_xlfn.IFS(I273&gt;=0.2,0.5,I273&gt;=0.1,0.35,I273&gt;=0.05,0.2,TRUE,0),IF(D273="Grenade",_xlfn.IFS(I273&gt;=0.2,1,I273&gt;=0.1,0.7,I273&gt;=0.05,0.4,TRUE,0),0))</f>
        <v>0.4</v>
      </c>
      <c r="L273" s="57">
        <f t="shared" ref="L273:L274" si="108">IF($K273=0,0,$K273 / SUMIFS($K:$K,$A:$A,$A273,$D:$D,"Grenade"))</f>
        <v>1</v>
      </c>
    </row>
    <row r="274" spans="1:12" x14ac:dyDescent="0.25">
      <c r="A274" s="42" t="str" cm="1">
        <f t="array" ref="A274">IFERROR(INDEX(_xlfn._xlws.FILTER(Class_Players!A:A,Class_Players!B:B="Assault"),QUOTIENT(ROW()-ROW($A$2),7)+1),"")</f>
        <v>pittasmama</v>
      </c>
      <c r="B274" s="42" t="str">
        <f>_xlfn.XLOOKUP(A274,Class_Players!$A:$A,Class_Players!$B:$B,"")</f>
        <v>Assault</v>
      </c>
      <c r="C274" s="48" t="str" cm="1">
        <f t="array" ref="C274">INDEX(Lookups!$A$2:$A$8,MOD(ROW()-ROW($B$2),ROWS(Lookups!$A$2:$A$8))+1)</f>
        <v>Flash Grenade</v>
      </c>
      <c r="D274" s="48" t="str">
        <f>_xlfn.XLOOKUP(C274,Analysis_Gadgets!$C:$C,Analysis_Gadgets!$B:$B)</f>
        <v>Grenade</v>
      </c>
      <c r="E274" s="43">
        <v>417</v>
      </c>
      <c r="F274" s="43">
        <f>_xlfn.XLOOKUP(A274,Class_Players!A:A,Class_Players!G:G)</f>
        <v>130</v>
      </c>
      <c r="G274" s="43">
        <f t="shared" si="90"/>
        <v>3.2076923076923078</v>
      </c>
      <c r="H274" s="43">
        <f>_xlfn.XLOOKUP(A274,Class_Players!$A:$A,Class_Players!$F:$F,"")</f>
        <v>11447</v>
      </c>
      <c r="I274" s="44">
        <f t="shared" si="91"/>
        <v>3.6428758626714422E-2</v>
      </c>
      <c r="J274" s="43">
        <f t="shared" si="103"/>
        <v>0</v>
      </c>
      <c r="K274" s="44" cm="1">
        <f t="array" ref="K274">IF(D274="Gadget",_xlfn.IFS(I274&gt;=0.2,0.5,I274&gt;=0.1,0.35,I274&gt;=0.05,0.2,TRUE,0),IF(D274="Grenade",_xlfn.IFS(I274&gt;=0.2,1,I274&gt;=0.1,0.7,I274&gt;=0.05,0.4,TRUE,0),0))</f>
        <v>0</v>
      </c>
      <c r="L274" s="57">
        <f t="shared" si="108"/>
        <v>0</v>
      </c>
    </row>
    <row r="275" spans="1:12" x14ac:dyDescent="0.25">
      <c r="A275" s="42" t="str" cm="1">
        <f t="array" ref="A275">IFERROR(INDEX(_xlfn._xlws.FILTER(Class_Players!A:A,Class_Players!B:B="Assault"),QUOTIENT(ROW()-ROW($A$2),7)+1),"")</f>
        <v>Schulz_9393</v>
      </c>
      <c r="B275" s="42" t="str">
        <f>_xlfn.XLOOKUP(A275,Class_Players!$A:$A,Class_Players!$B:$B,"")</f>
        <v>Assault</v>
      </c>
      <c r="C275" s="48" t="str" cm="1">
        <f t="array" ref="C275">INDEX(Lookups!$A$2:$A$8,MOD(ROW()-ROW($B$2),ROWS(Lookups!$A$2:$A$8))+1)</f>
        <v>Assault Ladder</v>
      </c>
      <c r="D275" s="48" t="str">
        <f>_xlfn.XLOOKUP(C275,Analysis_Gadgets!$C:$C,Analysis_Gadgets!$B:$B)</f>
        <v>Gadget</v>
      </c>
      <c r="E275" s="43">
        <v>15</v>
      </c>
      <c r="F275" s="43">
        <f>_xlfn.XLOOKUP(A275,Class_Players!A:A,Class_Players!G:G)</f>
        <v>123</v>
      </c>
      <c r="G275" s="43">
        <f t="shared" si="90"/>
        <v>0.12195121951219512</v>
      </c>
      <c r="H275" s="43">
        <f>_xlfn.XLOOKUP(A275,Class_Players!$A:$A,Class_Players!$F:$F,"")</f>
        <v>11021</v>
      </c>
      <c r="I275" s="44">
        <f t="shared" si="91"/>
        <v>1.3610380183286454E-3</v>
      </c>
      <c r="J275" s="43">
        <f t="shared" si="103"/>
        <v>0</v>
      </c>
      <c r="K275" s="44" cm="1">
        <f t="array" ref="K275">IF(D275="Gadget",_xlfn.IFS(I275&gt;=0.2,0.5,I275&gt;=0.1,0.35,I275&gt;=0.05,0.2,TRUE,0),IF(D275="Grenade",_xlfn.IFS(I275&gt;=0.2,1,I275&gt;=0.1,0.7,I275&gt;=0.05,0.4,TRUE,0),0))</f>
        <v>0</v>
      </c>
      <c r="L275" s="57">
        <f t="shared" ref="L275:L314" si="109">IF($K275=0,0,$K275 / SUMIFS($K:$K,$A:$A,$A275,$D:$D,"Gadget"))</f>
        <v>0</v>
      </c>
    </row>
    <row r="276" spans="1:12" x14ac:dyDescent="0.25">
      <c r="A276" s="42" t="str" cm="1">
        <f t="array" ref="A276">IFERROR(INDEX(_xlfn._xlws.FILTER(Class_Players!A:A,Class_Players!B:B="Assault"),QUOTIENT(ROW()-ROW($A$2),7)+1),"")</f>
        <v>Schulz_9393</v>
      </c>
      <c r="B276" s="42" t="str">
        <f>_xlfn.XLOOKUP(A276,Class_Players!$A:$A,Class_Players!$B:$B,"")</f>
        <v>Assault</v>
      </c>
      <c r="C276" s="48" t="str" cm="1">
        <f t="array" ref="C276">INDEX(Lookups!$A$2:$A$8,MOD(ROW()-ROW($B$2),ROWS(Lookups!$A$2:$A$8))+1)</f>
        <v>X95 BRE (Breaching Projectile Launcher)</v>
      </c>
      <c r="D276" s="48" t="str">
        <f>_xlfn.XLOOKUP(C276,Analysis_Gadgets!$C:$C,Analysis_Gadgets!$B:$B)</f>
        <v>Gadget</v>
      </c>
      <c r="E276" s="43">
        <v>241</v>
      </c>
      <c r="F276" s="43">
        <f>_xlfn.XLOOKUP(A276,Class_Players!A:A,Class_Players!G:G)</f>
        <v>123</v>
      </c>
      <c r="G276" s="43">
        <f t="shared" si="90"/>
        <v>1.9593495934959348</v>
      </c>
      <c r="H276" s="43">
        <f>_xlfn.XLOOKUP(A276,Class_Players!$A:$A,Class_Players!$F:$F,"")</f>
        <v>11021</v>
      </c>
      <c r="I276" s="44">
        <f t="shared" si="91"/>
        <v>2.1867344161146902E-2</v>
      </c>
      <c r="J276" s="43">
        <f t="shared" si="103"/>
        <v>0</v>
      </c>
      <c r="K276" s="44" cm="1">
        <f t="array" ref="K276">IF(D276="Gadget",_xlfn.IFS(I276&gt;=0.2,0.5,I276&gt;=0.1,0.35,I276&gt;=0.05,0.2,TRUE,0),IF(D276="Grenade",_xlfn.IFS(I276&gt;=0.2,1,I276&gt;=0.1,0.7,I276&gt;=0.05,0.4,TRUE,0),0))</f>
        <v>0</v>
      </c>
      <c r="L276" s="57">
        <f t="shared" si="109"/>
        <v>0</v>
      </c>
    </row>
    <row r="277" spans="1:12" x14ac:dyDescent="0.25">
      <c r="A277" s="42" t="str" cm="1">
        <f t="array" ref="A277">IFERROR(INDEX(_xlfn._xlws.FILTER(Class_Players!A:A,Class_Players!B:B="Assault"),QUOTIENT(ROW()-ROW($A$2),7)+1),"")</f>
        <v>Schulz_9393</v>
      </c>
      <c r="B277" s="42" t="str">
        <f>_xlfn.XLOOKUP(A277,Class_Players!$A:$A,Class_Players!$B:$B,"")</f>
        <v>Assault</v>
      </c>
      <c r="C277" s="48" t="str" cm="1">
        <f t="array" ref="C277">INDEX(Lookups!$A$2:$A$8,MOD(ROW()-ROW($B$2),ROWS(Lookups!$A$2:$A$8))+1)</f>
        <v>M320A1 HE (Grenade Launcher)</v>
      </c>
      <c r="D277" s="48" t="str">
        <f>_xlfn.XLOOKUP(C277,Analysis_Gadgets!$C:$C,Analysis_Gadgets!$B:$B)</f>
        <v>Gadget</v>
      </c>
      <c r="E277" s="43">
        <v>37</v>
      </c>
      <c r="F277" s="43">
        <f>_xlfn.XLOOKUP(A277,Class_Players!A:A,Class_Players!G:G)</f>
        <v>123</v>
      </c>
      <c r="G277" s="43">
        <f t="shared" si="90"/>
        <v>0.30081300813008133</v>
      </c>
      <c r="H277" s="43">
        <f>_xlfn.XLOOKUP(A277,Class_Players!$A:$A,Class_Players!$F:$F,"")</f>
        <v>11021</v>
      </c>
      <c r="I277" s="44">
        <f t="shared" si="91"/>
        <v>3.3572271118773251E-3</v>
      </c>
      <c r="J277" s="43">
        <f t="shared" si="103"/>
        <v>0</v>
      </c>
      <c r="K277" s="44" cm="1">
        <f t="array" ref="K277">IF(D277="Gadget",_xlfn.IFS(I277&gt;=0.2,0.5,I277&gt;=0.1,0.35,I277&gt;=0.05,0.2,TRUE,0),IF(D277="Grenade",_xlfn.IFS(I277&gt;=0.2,1,I277&gt;=0.1,0.7,I277&gt;=0.05,0.4,TRUE,0),0))</f>
        <v>0</v>
      </c>
      <c r="L277" s="57">
        <f t="shared" si="109"/>
        <v>0</v>
      </c>
    </row>
    <row r="278" spans="1:12" x14ac:dyDescent="0.25">
      <c r="A278" s="42" t="str" cm="1">
        <f t="array" ref="A278">IFERROR(INDEX(_xlfn._xlws.FILTER(Class_Players!A:A,Class_Players!B:B="Assault"),QUOTIENT(ROW()-ROW($A$2),7)+1),"")</f>
        <v>Schulz_9393</v>
      </c>
      <c r="B278" s="42" t="str">
        <f>_xlfn.XLOOKUP(A278,Class_Players!$A:$A,Class_Players!$B:$B,"")</f>
        <v>Assault</v>
      </c>
      <c r="C278" s="48" t="str" cm="1">
        <f t="array" ref="C278">INDEX(Lookups!$A$2:$A$8,MOD(ROW()-ROW($B$2),ROWS(Lookups!$A$2:$A$8))+1)</f>
        <v>M320A1 THRM    (Incendiary Grenade Launcher)</v>
      </c>
      <c r="D278" s="48" t="str">
        <f>_xlfn.XLOOKUP(C278,Analysis_Gadgets!$C:$C,Analysis_Gadgets!$B:$B)</f>
        <v>Gadget</v>
      </c>
      <c r="E278" s="43">
        <v>822</v>
      </c>
      <c r="F278" s="43">
        <f>_xlfn.XLOOKUP(A278,Class_Players!A:A,Class_Players!G:G)</f>
        <v>123</v>
      </c>
      <c r="G278" s="43">
        <f t="shared" si="90"/>
        <v>6.6829268292682924</v>
      </c>
      <c r="H278" s="43">
        <f>_xlfn.XLOOKUP(A278,Class_Players!$A:$A,Class_Players!$F:$F,"")</f>
        <v>11021</v>
      </c>
      <c r="I278" s="44">
        <f t="shared" si="91"/>
        <v>7.458488340440976E-2</v>
      </c>
      <c r="J278" s="43">
        <f t="shared" si="103"/>
        <v>0</v>
      </c>
      <c r="K278" s="44" cm="1">
        <f t="array" ref="K278">IF(D278="Gadget",_xlfn.IFS(I278&gt;=0.2,0.5,I278&gt;=0.1,0.35,I278&gt;=0.05,0.2,TRUE,0),IF(D278="Grenade",_xlfn.IFS(I278&gt;=0.2,1,I278&gt;=0.1,0.7,I278&gt;=0.05,0.4,TRUE,0),0))</f>
        <v>0.2</v>
      </c>
      <c r="L278" s="57">
        <f t="shared" si="109"/>
        <v>1</v>
      </c>
    </row>
    <row r="279" spans="1:12" x14ac:dyDescent="0.25">
      <c r="A279" s="42" t="str" cm="1">
        <f t="array" ref="A279">IFERROR(INDEX(_xlfn._xlws.FILTER(Class_Players!A:A,Class_Players!B:B="Assault"),QUOTIENT(ROW()-ROW($A$2),7)+1),"")</f>
        <v>Schulz_9393</v>
      </c>
      <c r="B279" s="42" t="str">
        <f>_xlfn.XLOOKUP(A279,Class_Players!$A:$A,Class_Players!$B:$B,"")</f>
        <v>Assault</v>
      </c>
      <c r="C279" s="48" t="str" cm="1">
        <f t="array" ref="C279">INDEX(Lookups!$A$2:$A$8,MOD(ROW()-ROW($B$2),ROWS(Lookups!$A$2:$A$8))+1)</f>
        <v>QLINK (Deploy Beacon)</v>
      </c>
      <c r="D279" s="48" t="str">
        <f>_xlfn.XLOOKUP(C279,Analysis_Gadgets!$C:$C,Analysis_Gadgets!$B:$B)</f>
        <v>Gadget</v>
      </c>
      <c r="E279" s="43">
        <v>126</v>
      </c>
      <c r="F279" s="43">
        <f>_xlfn.XLOOKUP(A279,Class_Players!A:A,Class_Players!G:G)</f>
        <v>123</v>
      </c>
      <c r="G279" s="43">
        <f t="shared" si="90"/>
        <v>1.024390243902439</v>
      </c>
      <c r="H279" s="43">
        <f>_xlfn.XLOOKUP(A279,Class_Players!$A:$A,Class_Players!$F:$F,"")</f>
        <v>11021</v>
      </c>
      <c r="I279" s="44">
        <f t="shared" si="91"/>
        <v>1.143271935396062E-2</v>
      </c>
      <c r="J279" s="43">
        <f t="shared" si="103"/>
        <v>0</v>
      </c>
      <c r="K279" s="44" cm="1">
        <f t="array" ref="K279">IF(D279="Gadget",_xlfn.IFS(I279&gt;=0.2,0.5,I279&gt;=0.1,0.35,I279&gt;=0.05,0.2,TRUE,0),IF(D279="Grenade",_xlfn.IFS(I279&gt;=0.2,1,I279&gt;=0.1,0.7,I279&gt;=0.05,0.4,TRUE,0),0))</f>
        <v>0</v>
      </c>
      <c r="L279" s="57">
        <f t="shared" si="109"/>
        <v>0</v>
      </c>
    </row>
    <row r="280" spans="1:12" x14ac:dyDescent="0.25">
      <c r="A280" s="42" t="str" cm="1">
        <f t="array" ref="A280">IFERROR(INDEX(_xlfn._xlws.FILTER(Class_Players!A:A,Class_Players!B:B="Assault"),QUOTIENT(ROW()-ROW($A$2),7)+1),"")</f>
        <v>Schulz_9393</v>
      </c>
      <c r="B280" s="42" t="str">
        <f>_xlfn.XLOOKUP(A280,Class_Players!$A:$A,Class_Players!$B:$B,"")</f>
        <v>Assault</v>
      </c>
      <c r="C280" s="48" t="str" cm="1">
        <f t="array" ref="C280">INDEX(Lookups!$A$2:$A$8,MOD(ROW()-ROW($B$2),ROWS(Lookups!$A$2:$A$8))+1)</f>
        <v>Stun Grenade</v>
      </c>
      <c r="D280" s="48" t="str">
        <f>_xlfn.XLOOKUP(C280,Analysis_Gadgets!$C:$C,Analysis_Gadgets!$B:$B)</f>
        <v>Grenade</v>
      </c>
      <c r="E280" s="43">
        <v>49</v>
      </c>
      <c r="F280" s="43">
        <f>_xlfn.XLOOKUP(A280,Class_Players!A:A,Class_Players!G:G)</f>
        <v>123</v>
      </c>
      <c r="G280" s="43">
        <f t="shared" si="90"/>
        <v>0.3983739837398374</v>
      </c>
      <c r="H280" s="43">
        <f>_xlfn.XLOOKUP(A280,Class_Players!$A:$A,Class_Players!$F:$F,"")</f>
        <v>11021</v>
      </c>
      <c r="I280" s="44">
        <f t="shared" si="91"/>
        <v>4.4460575265402417E-3</v>
      </c>
      <c r="J280" s="43">
        <f t="shared" si="103"/>
        <v>0</v>
      </c>
      <c r="K280" s="44" cm="1">
        <f t="array" ref="K280">IF(D280="Gadget",_xlfn.IFS(I280&gt;=0.2,0.5,I280&gt;=0.1,0.35,I280&gt;=0.05,0.2,TRUE,0),IF(D280="Grenade",_xlfn.IFS(I280&gt;=0.2,1,I280&gt;=0.1,0.7,I280&gt;=0.05,0.4,TRUE,0),0))</f>
        <v>0</v>
      </c>
      <c r="L280" s="57">
        <f t="shared" ref="L280:L309" si="110">IF($K280=0,0,$K280 / SUMIFS($K:$K,$A:$A,$A280,$D:$D,"Grenade"))</f>
        <v>0</v>
      </c>
    </row>
    <row r="281" spans="1:12" x14ac:dyDescent="0.25">
      <c r="A281" s="42" t="str" cm="1">
        <f t="array" ref="A281">IFERROR(INDEX(_xlfn._xlws.FILTER(Class_Players!A:A,Class_Players!B:B="Assault"),QUOTIENT(ROW()-ROW($A$2),7)+1),"")</f>
        <v>Schulz_9393</v>
      </c>
      <c r="B281" s="42" t="str">
        <f>_xlfn.XLOOKUP(A281,Class_Players!$A:$A,Class_Players!$B:$B,"")</f>
        <v>Assault</v>
      </c>
      <c r="C281" s="48" t="str" cm="1">
        <f t="array" ref="C281">INDEX(Lookups!$A$2:$A$8,MOD(ROW()-ROW($B$2),ROWS(Lookups!$A$2:$A$8))+1)</f>
        <v>Flash Grenade</v>
      </c>
      <c r="D281" s="48" t="str">
        <f>_xlfn.XLOOKUP(C281,Analysis_Gadgets!$C:$C,Analysis_Gadgets!$B:$B)</f>
        <v>Grenade</v>
      </c>
      <c r="E281" s="43">
        <v>47</v>
      </c>
      <c r="F281" s="43">
        <f>_xlfn.XLOOKUP(A281,Class_Players!A:A,Class_Players!G:G)</f>
        <v>123</v>
      </c>
      <c r="G281" s="43">
        <f t="shared" si="90"/>
        <v>0.38211382113821141</v>
      </c>
      <c r="H281" s="43">
        <f>_xlfn.XLOOKUP(A281,Class_Players!$A:$A,Class_Players!$F:$F,"")</f>
        <v>11021</v>
      </c>
      <c r="I281" s="44">
        <f t="shared" si="91"/>
        <v>4.2645857907630882E-3</v>
      </c>
      <c r="J281" s="43">
        <f t="shared" si="103"/>
        <v>0</v>
      </c>
      <c r="K281" s="44" cm="1">
        <f t="array" ref="K281">IF(D281="Gadget",_xlfn.IFS(I281&gt;=0.2,0.5,I281&gt;=0.1,0.35,I281&gt;=0.05,0.2,TRUE,0),IF(D281="Grenade",_xlfn.IFS(I281&gt;=0.2,1,I281&gt;=0.1,0.7,I281&gt;=0.05,0.4,TRUE,0),0))</f>
        <v>0</v>
      </c>
      <c r="L281" s="57">
        <f t="shared" si="110"/>
        <v>0</v>
      </c>
    </row>
    <row r="282" spans="1:12" x14ac:dyDescent="0.25">
      <c r="A282" s="42" t="str" cm="1">
        <f t="array" ref="A282">IFERROR(INDEX(_xlfn._xlws.FILTER(Class_Players!A:A,Class_Players!B:B="Assault"),QUOTIENT(ROW()-ROW($A$2),7)+1),"")</f>
        <v>Bail</v>
      </c>
      <c r="B282" s="42" t="str">
        <f>_xlfn.XLOOKUP(A282,Class_Players!$A:$A,Class_Players!$B:$B,"")</f>
        <v>Assault</v>
      </c>
      <c r="C282" s="48" t="str" cm="1">
        <f t="array" ref="C282">INDEX(Lookups!$A$2:$A$8,MOD(ROW()-ROW($B$2),ROWS(Lookups!$A$2:$A$8))+1)</f>
        <v>Assault Ladder</v>
      </c>
      <c r="D282" s="48" t="str">
        <f>_xlfn.XLOOKUP(C282,Analysis_Gadgets!$C:$C,Analysis_Gadgets!$B:$B)</f>
        <v>Gadget</v>
      </c>
      <c r="E282" s="43">
        <v>34</v>
      </c>
      <c r="F282" s="43">
        <f>_xlfn.XLOOKUP(A282,Class_Players!A:A,Class_Players!G:G)</f>
        <v>186</v>
      </c>
      <c r="G282" s="43">
        <f t="shared" ref="G282:G288" si="111">IF(F282=0,"",E282/F282)</f>
        <v>0.18279569892473119</v>
      </c>
      <c r="H282" s="43">
        <f>_xlfn.XLOOKUP(A282,Class_Players!$A:$A,Class_Players!$F:$F,"")</f>
        <v>11011</v>
      </c>
      <c r="I282" s="44">
        <f t="shared" ref="I282:I288" si="112">IF(H282=0,"",E282/H282)</f>
        <v>3.0878212696394515E-3</v>
      </c>
      <c r="J282" s="43">
        <f t="shared" si="103"/>
        <v>0</v>
      </c>
      <c r="K282" s="44" cm="1">
        <f t="array" ref="K282">IF(D282="Gadget",_xlfn.IFS(I282&gt;=0.2,0.5,I282&gt;=0.1,0.35,I282&gt;=0.05,0.2,TRUE,0),IF(D282="Grenade",_xlfn.IFS(I282&gt;=0.2,1,I282&gt;=0.1,0.7,I282&gt;=0.05,0.4,TRUE,0),0))</f>
        <v>0</v>
      </c>
      <c r="L282" s="57">
        <f t="shared" si="109"/>
        <v>0</v>
      </c>
    </row>
    <row r="283" spans="1:12" x14ac:dyDescent="0.25">
      <c r="A283" s="42" t="str" cm="1">
        <f t="array" ref="A283">IFERROR(INDEX(_xlfn._xlws.FILTER(Class_Players!A:A,Class_Players!B:B="Assault"),QUOTIENT(ROW()-ROW($A$2),7)+1),"")</f>
        <v>Bail</v>
      </c>
      <c r="B283" s="42" t="str">
        <f>_xlfn.XLOOKUP(A283,Class_Players!$A:$A,Class_Players!$B:$B,"")</f>
        <v>Assault</v>
      </c>
      <c r="C283" s="48" t="str" cm="1">
        <f t="array" ref="C283">INDEX(Lookups!$A$2:$A$8,MOD(ROW()-ROW($B$2),ROWS(Lookups!$A$2:$A$8))+1)</f>
        <v>X95 BRE (Breaching Projectile Launcher)</v>
      </c>
      <c r="D283" s="48" t="str">
        <f>_xlfn.XLOOKUP(C283,Analysis_Gadgets!$C:$C,Analysis_Gadgets!$B:$B)</f>
        <v>Gadget</v>
      </c>
      <c r="E283" s="43">
        <v>0</v>
      </c>
      <c r="F283" s="43">
        <f>_xlfn.XLOOKUP(A283,Class_Players!A:A,Class_Players!G:G)</f>
        <v>186</v>
      </c>
      <c r="G283" s="43">
        <f t="shared" si="111"/>
        <v>0</v>
      </c>
      <c r="H283" s="43">
        <f>_xlfn.XLOOKUP(A283,Class_Players!$A:$A,Class_Players!$F:$F,"")</f>
        <v>11011</v>
      </c>
      <c r="I283" s="44">
        <f t="shared" si="112"/>
        <v>0</v>
      </c>
      <c r="J283" s="43">
        <f t="shared" si="103"/>
        <v>0</v>
      </c>
      <c r="K283" s="44" cm="1">
        <f t="array" ref="K283">IF(D283="Gadget",_xlfn.IFS(I283&gt;=0.2,0.5,I283&gt;=0.1,0.35,I283&gt;=0.05,0.2,TRUE,0),IF(D283="Grenade",_xlfn.IFS(I283&gt;=0.2,1,I283&gt;=0.1,0.7,I283&gt;=0.05,0.4,TRUE,0),0))</f>
        <v>0</v>
      </c>
      <c r="L283" s="57">
        <f t="shared" si="109"/>
        <v>0</v>
      </c>
    </row>
    <row r="284" spans="1:12" x14ac:dyDescent="0.25">
      <c r="A284" s="42" t="str" cm="1">
        <f t="array" ref="A284">IFERROR(INDEX(_xlfn._xlws.FILTER(Class_Players!A:A,Class_Players!B:B="Assault"),QUOTIENT(ROW()-ROW($A$2),7)+1),"")</f>
        <v>Bail</v>
      </c>
      <c r="B284" s="42" t="str">
        <f>_xlfn.XLOOKUP(A284,Class_Players!$A:$A,Class_Players!$B:$B,"")</f>
        <v>Assault</v>
      </c>
      <c r="C284" s="48" t="str" cm="1">
        <f t="array" ref="C284">INDEX(Lookups!$A$2:$A$8,MOD(ROW()-ROW($B$2),ROWS(Lookups!$A$2:$A$8))+1)</f>
        <v>M320A1 HE (Grenade Launcher)</v>
      </c>
      <c r="D284" s="48" t="str">
        <f>_xlfn.XLOOKUP(C284,Analysis_Gadgets!$C:$C,Analysis_Gadgets!$B:$B)</f>
        <v>Gadget</v>
      </c>
      <c r="E284" s="43">
        <v>4119</v>
      </c>
      <c r="F284" s="43">
        <f>_xlfn.XLOOKUP(A284,Class_Players!A:A,Class_Players!G:G)</f>
        <v>186</v>
      </c>
      <c r="G284" s="43">
        <f t="shared" si="111"/>
        <v>22.14516129032258</v>
      </c>
      <c r="H284" s="43">
        <f>_xlfn.XLOOKUP(A284,Class_Players!$A:$A,Class_Players!$F:$F,"")</f>
        <v>11011</v>
      </c>
      <c r="I284" s="44">
        <f t="shared" si="112"/>
        <v>0.37408046498955588</v>
      </c>
      <c r="J284" s="43">
        <f t="shared" si="103"/>
        <v>1</v>
      </c>
      <c r="K284" s="44" cm="1">
        <f t="array" ref="K284">IF(D284="Gadget",_xlfn.IFS(I284&gt;=0.2,0.5,I284&gt;=0.1,0.35,I284&gt;=0.05,0.2,TRUE,0),IF(D284="Grenade",_xlfn.IFS(I284&gt;=0.2,1,I284&gt;=0.1,0.7,I284&gt;=0.05,0.4,TRUE,0),0))</f>
        <v>0.5</v>
      </c>
      <c r="L284" s="57">
        <f t="shared" si="109"/>
        <v>0.5</v>
      </c>
    </row>
    <row r="285" spans="1:12" x14ac:dyDescent="0.25">
      <c r="A285" s="42" t="str" cm="1">
        <f t="array" ref="A285">IFERROR(INDEX(_xlfn._xlws.FILTER(Class_Players!A:A,Class_Players!B:B="Assault"),QUOTIENT(ROW()-ROW($A$2),7)+1),"")</f>
        <v>Bail</v>
      </c>
      <c r="B285" s="42" t="str">
        <f>_xlfn.XLOOKUP(A285,Class_Players!$A:$A,Class_Players!$B:$B,"")</f>
        <v>Assault</v>
      </c>
      <c r="C285" s="48" t="str" cm="1">
        <f t="array" ref="C285">INDEX(Lookups!$A$2:$A$8,MOD(ROW()-ROW($B$2),ROWS(Lookups!$A$2:$A$8))+1)</f>
        <v>M320A1 THRM    (Incendiary Grenade Launcher)</v>
      </c>
      <c r="D285" s="48" t="str">
        <f>_xlfn.XLOOKUP(C285,Analysis_Gadgets!$C:$C,Analysis_Gadgets!$B:$B)</f>
        <v>Gadget</v>
      </c>
      <c r="E285" s="43">
        <v>180</v>
      </c>
      <c r="F285" s="43">
        <f>_xlfn.XLOOKUP(A285,Class_Players!A:A,Class_Players!G:G)</f>
        <v>186</v>
      </c>
      <c r="G285" s="43">
        <f t="shared" si="111"/>
        <v>0.967741935483871</v>
      </c>
      <c r="H285" s="43">
        <f>_xlfn.XLOOKUP(A285,Class_Players!$A:$A,Class_Players!$F:$F,"")</f>
        <v>11011</v>
      </c>
      <c r="I285" s="44">
        <f t="shared" si="112"/>
        <v>1.6347289074561802E-2</v>
      </c>
      <c r="J285" s="43">
        <f t="shared" si="103"/>
        <v>0</v>
      </c>
      <c r="K285" s="44" cm="1">
        <f t="array" ref="K285">IF(D285="Gadget",_xlfn.IFS(I285&gt;=0.2,0.5,I285&gt;=0.1,0.35,I285&gt;=0.05,0.2,TRUE,0),IF(D285="Grenade",_xlfn.IFS(I285&gt;=0.2,1,I285&gt;=0.1,0.7,I285&gt;=0.05,0.4,TRUE,0),0))</f>
        <v>0</v>
      </c>
      <c r="L285" s="57">
        <f t="shared" si="109"/>
        <v>0</v>
      </c>
    </row>
    <row r="286" spans="1:12" x14ac:dyDescent="0.25">
      <c r="A286" s="42" t="str" cm="1">
        <f t="array" ref="A286">IFERROR(INDEX(_xlfn._xlws.FILTER(Class_Players!A:A,Class_Players!B:B="Assault"),QUOTIENT(ROW()-ROW($A$2),7)+1),"")</f>
        <v>Bail</v>
      </c>
      <c r="B286" s="42" t="str">
        <f>_xlfn.XLOOKUP(A286,Class_Players!$A:$A,Class_Players!$B:$B,"")</f>
        <v>Assault</v>
      </c>
      <c r="C286" s="48" t="str" cm="1">
        <f t="array" ref="C286">INDEX(Lookups!$A$2:$A$8,MOD(ROW()-ROW($B$2),ROWS(Lookups!$A$2:$A$8))+1)</f>
        <v>QLINK (Deploy Beacon)</v>
      </c>
      <c r="D286" s="48" t="str">
        <f>_xlfn.XLOOKUP(C286,Analysis_Gadgets!$C:$C,Analysis_Gadgets!$B:$B)</f>
        <v>Gadget</v>
      </c>
      <c r="E286" s="43">
        <v>9425</v>
      </c>
      <c r="F286" s="43">
        <f>_xlfn.XLOOKUP(A286,Class_Players!A:A,Class_Players!G:G)</f>
        <v>186</v>
      </c>
      <c r="G286" s="43">
        <f t="shared" si="111"/>
        <v>50.672043010752688</v>
      </c>
      <c r="H286" s="43">
        <f>_xlfn.XLOOKUP(A286,Class_Players!$A:$A,Class_Players!$F:$F,"")</f>
        <v>11011</v>
      </c>
      <c r="I286" s="44">
        <f t="shared" si="112"/>
        <v>0.85596221959858321</v>
      </c>
      <c r="J286" s="43">
        <f t="shared" si="103"/>
        <v>1</v>
      </c>
      <c r="K286" s="44" cm="1">
        <f t="array" ref="K286">IF(D286="Gadget",_xlfn.IFS(I286&gt;=0.2,0.5,I286&gt;=0.1,0.35,I286&gt;=0.05,0.2,TRUE,0),IF(D286="Grenade",_xlfn.IFS(I286&gt;=0.2,1,I286&gt;=0.1,0.7,I286&gt;=0.05,0.4,TRUE,0),0))</f>
        <v>0.5</v>
      </c>
      <c r="L286" s="57">
        <f t="shared" si="109"/>
        <v>0.5</v>
      </c>
    </row>
    <row r="287" spans="1:12" x14ac:dyDescent="0.25">
      <c r="A287" s="42" t="str" cm="1">
        <f t="array" ref="A287">IFERROR(INDEX(_xlfn._xlws.FILTER(Class_Players!A:A,Class_Players!B:B="Assault"),QUOTIENT(ROW()-ROW($A$2),7)+1),"")</f>
        <v>Bail</v>
      </c>
      <c r="B287" s="42" t="str">
        <f>_xlfn.XLOOKUP(A287,Class_Players!$A:$A,Class_Players!$B:$B,"")</f>
        <v>Assault</v>
      </c>
      <c r="C287" s="48" t="str" cm="1">
        <f t="array" ref="C287">INDEX(Lookups!$A$2:$A$8,MOD(ROW()-ROW($B$2),ROWS(Lookups!$A$2:$A$8))+1)</f>
        <v>Stun Grenade</v>
      </c>
      <c r="D287" s="48" t="str">
        <f>_xlfn.XLOOKUP(C287,Analysis_Gadgets!$C:$C,Analysis_Gadgets!$B:$B)</f>
        <v>Grenade</v>
      </c>
      <c r="E287" s="43">
        <v>44</v>
      </c>
      <c r="F287" s="43">
        <f>_xlfn.XLOOKUP(A287,Class_Players!A:A,Class_Players!G:G)</f>
        <v>186</v>
      </c>
      <c r="G287" s="43">
        <f t="shared" si="111"/>
        <v>0.23655913978494625</v>
      </c>
      <c r="H287" s="43">
        <f>_xlfn.XLOOKUP(A287,Class_Players!$A:$A,Class_Players!$F:$F,"")</f>
        <v>11011</v>
      </c>
      <c r="I287" s="44">
        <f t="shared" si="112"/>
        <v>3.996003996003996E-3</v>
      </c>
      <c r="J287" s="43">
        <f t="shared" si="103"/>
        <v>0</v>
      </c>
      <c r="K287" s="44" cm="1">
        <f t="array" ref="K287">IF(D287="Gadget",_xlfn.IFS(I287&gt;=0.2,0.5,I287&gt;=0.1,0.35,I287&gt;=0.05,0.2,TRUE,0),IF(D287="Grenade",_xlfn.IFS(I287&gt;=0.2,1,I287&gt;=0.1,0.7,I287&gt;=0.05,0.4,TRUE,0),0))</f>
        <v>0</v>
      </c>
      <c r="L287" s="57">
        <f t="shared" si="110"/>
        <v>0</v>
      </c>
    </row>
    <row r="288" spans="1:12" x14ac:dyDescent="0.25">
      <c r="A288" s="42" t="str" cm="1">
        <f t="array" ref="A288">IFERROR(INDEX(_xlfn._xlws.FILTER(Class_Players!A:A,Class_Players!B:B="Assault"),QUOTIENT(ROW()-ROW($A$2),7)+1),"")</f>
        <v>Bail</v>
      </c>
      <c r="B288" s="42" t="str">
        <f>_xlfn.XLOOKUP(A288,Class_Players!$A:$A,Class_Players!$B:$B,"")</f>
        <v>Assault</v>
      </c>
      <c r="C288" s="48" t="str" cm="1">
        <f t="array" ref="C288">INDEX(Lookups!$A$2:$A$8,MOD(ROW()-ROW($B$2),ROWS(Lookups!$A$2:$A$8))+1)</f>
        <v>Flash Grenade</v>
      </c>
      <c r="D288" s="48" t="str">
        <f>_xlfn.XLOOKUP(C288,Analysis_Gadgets!$C:$C,Analysis_Gadgets!$B:$B)</f>
        <v>Grenade</v>
      </c>
      <c r="E288" s="43">
        <v>0</v>
      </c>
      <c r="F288" s="43">
        <f>_xlfn.XLOOKUP(A288,Class_Players!A:A,Class_Players!G:G)</f>
        <v>186</v>
      </c>
      <c r="G288" s="43">
        <f t="shared" si="111"/>
        <v>0</v>
      </c>
      <c r="H288" s="43">
        <f>_xlfn.XLOOKUP(A288,Class_Players!$A:$A,Class_Players!$F:$F,"")</f>
        <v>11011</v>
      </c>
      <c r="I288" s="44">
        <f t="shared" si="112"/>
        <v>0</v>
      </c>
      <c r="J288" s="43">
        <f t="shared" si="103"/>
        <v>0</v>
      </c>
      <c r="K288" s="44" cm="1">
        <f t="array" ref="K288">IF(D288="Gadget",_xlfn.IFS(I288&gt;=0.2,0.5,I288&gt;=0.1,0.35,I288&gt;=0.05,0.2,TRUE,0),IF(D288="Grenade",_xlfn.IFS(I288&gt;=0.2,1,I288&gt;=0.1,0.7,I288&gt;=0.05,0.4,TRUE,0),0))</f>
        <v>0</v>
      </c>
      <c r="L288" s="57">
        <f t="shared" si="110"/>
        <v>0</v>
      </c>
    </row>
    <row r="289" spans="1:12" x14ac:dyDescent="0.25">
      <c r="A289" s="42" t="str" cm="1">
        <f t="array" ref="A289">IFERROR(INDEX(_xlfn._xlws.FILTER(Class_Players!A:A,Class_Players!B:B="Assault"),QUOTIENT(ROW()-ROW($A$2),7)+1),"")</f>
        <v>BrewCitySiggy</v>
      </c>
      <c r="B289" s="42" t="str">
        <f>_xlfn.XLOOKUP(A289,Class_Players!$A:$A,Class_Players!$B:$B,"")</f>
        <v>Assault</v>
      </c>
      <c r="C289" s="48" t="str" cm="1">
        <f t="array" ref="C289">INDEX(Lookups!$A$2:$A$8,MOD(ROW()-ROW($B$2),ROWS(Lookups!$A$2:$A$8))+1)</f>
        <v>Assault Ladder</v>
      </c>
      <c r="D289" s="48" t="str">
        <f>_xlfn.XLOOKUP(C289,Analysis_Gadgets!$C:$C,Analysis_Gadgets!$B:$B)</f>
        <v>Gadget</v>
      </c>
      <c r="E289" s="43">
        <v>3</v>
      </c>
      <c r="F289" s="43">
        <f>_xlfn.XLOOKUP(A289,Class_Players!A:A,Class_Players!G:G)</f>
        <v>174</v>
      </c>
      <c r="G289" s="43">
        <f t="shared" ref="G289:G351" si="113">IF(F289=0,"",E289/F289)</f>
        <v>1.7241379310344827E-2</v>
      </c>
      <c r="H289" s="43">
        <f>_xlfn.XLOOKUP(A289,Class_Players!$A:$A,Class_Players!$F:$F,"")</f>
        <v>10956</v>
      </c>
      <c r="I289" s="44">
        <f t="shared" ref="I289:I351" si="114">IF(H289=0,"",E289/H289)</f>
        <v>2.7382256297918948E-4</v>
      </c>
      <c r="J289" s="43">
        <f t="shared" si="103"/>
        <v>0</v>
      </c>
      <c r="K289" s="44" cm="1">
        <f t="array" ref="K289">IF(D289="Gadget",_xlfn.IFS(I289&gt;=0.2,0.5,I289&gt;=0.1,0.35,I289&gt;=0.05,0.2,TRUE,0),IF(D289="Grenade",_xlfn.IFS(I289&gt;=0.2,1,I289&gt;=0.1,0.7,I289&gt;=0.05,0.4,TRUE,0),0))</f>
        <v>0</v>
      </c>
      <c r="L289" s="57">
        <f t="shared" si="109"/>
        <v>0</v>
      </c>
    </row>
    <row r="290" spans="1:12" x14ac:dyDescent="0.25">
      <c r="A290" s="42" t="str" cm="1">
        <f t="array" ref="A290">IFERROR(INDEX(_xlfn._xlws.FILTER(Class_Players!A:A,Class_Players!B:B="Assault"),QUOTIENT(ROW()-ROW($A$2),7)+1),"")</f>
        <v>BrewCitySiggy</v>
      </c>
      <c r="B290" s="42" t="str">
        <f>_xlfn.XLOOKUP(A290,Class_Players!$A:$A,Class_Players!$B:$B,"")</f>
        <v>Assault</v>
      </c>
      <c r="C290" s="48" t="str" cm="1">
        <f t="array" ref="C290">INDEX(Lookups!$A$2:$A$8,MOD(ROW()-ROW($B$2),ROWS(Lookups!$A$2:$A$8))+1)</f>
        <v>X95 BRE (Breaching Projectile Launcher)</v>
      </c>
      <c r="D290" s="48" t="str">
        <f>_xlfn.XLOOKUP(C290,Analysis_Gadgets!$C:$C,Analysis_Gadgets!$B:$B)</f>
        <v>Gadget</v>
      </c>
      <c r="E290" s="43">
        <v>9</v>
      </c>
      <c r="F290" s="43">
        <f>_xlfn.XLOOKUP(A290,Class_Players!A:A,Class_Players!G:G)</f>
        <v>174</v>
      </c>
      <c r="G290" s="43">
        <f t="shared" si="113"/>
        <v>5.1724137931034482E-2</v>
      </c>
      <c r="H290" s="43">
        <f>_xlfn.XLOOKUP(A290,Class_Players!$A:$A,Class_Players!$F:$F,"")</f>
        <v>10956</v>
      </c>
      <c r="I290" s="44">
        <f t="shared" si="114"/>
        <v>8.2146768893756844E-4</v>
      </c>
      <c r="J290" s="43">
        <f t="shared" si="103"/>
        <v>0</v>
      </c>
      <c r="K290" s="44" cm="1">
        <f t="array" ref="K290">IF(D290="Gadget",_xlfn.IFS(I290&gt;=0.2,0.5,I290&gt;=0.1,0.35,I290&gt;=0.05,0.2,TRUE,0),IF(D290="Grenade",_xlfn.IFS(I290&gt;=0.2,1,I290&gt;=0.1,0.7,I290&gt;=0.05,0.4,TRUE,0),0))</f>
        <v>0</v>
      </c>
      <c r="L290" s="57">
        <f t="shared" si="109"/>
        <v>0</v>
      </c>
    </row>
    <row r="291" spans="1:12" x14ac:dyDescent="0.25">
      <c r="A291" s="42" t="str" cm="1">
        <f t="array" ref="A291">IFERROR(INDEX(_xlfn._xlws.FILTER(Class_Players!A:A,Class_Players!B:B="Assault"),QUOTIENT(ROW()-ROW($A$2),7)+1),"")</f>
        <v>BrewCitySiggy</v>
      </c>
      <c r="B291" s="42" t="str">
        <f>_xlfn.XLOOKUP(A291,Class_Players!$A:$A,Class_Players!$B:$B,"")</f>
        <v>Assault</v>
      </c>
      <c r="C291" s="48" t="str" cm="1">
        <f t="array" ref="C291">INDEX(Lookups!$A$2:$A$8,MOD(ROW()-ROW($B$2),ROWS(Lookups!$A$2:$A$8))+1)</f>
        <v>M320A1 HE (Grenade Launcher)</v>
      </c>
      <c r="D291" s="48" t="str">
        <f>_xlfn.XLOOKUP(C291,Analysis_Gadgets!$C:$C,Analysis_Gadgets!$B:$B)</f>
        <v>Gadget</v>
      </c>
      <c r="E291" s="43">
        <v>1131</v>
      </c>
      <c r="F291" s="43">
        <f>_xlfn.XLOOKUP(A291,Class_Players!A:A,Class_Players!G:G)</f>
        <v>174</v>
      </c>
      <c r="G291" s="43">
        <f t="shared" si="113"/>
        <v>6.5</v>
      </c>
      <c r="H291" s="43">
        <f>_xlfn.XLOOKUP(A291,Class_Players!$A:$A,Class_Players!$F:$F,"")</f>
        <v>10956</v>
      </c>
      <c r="I291" s="44">
        <f t="shared" si="114"/>
        <v>0.10323110624315443</v>
      </c>
      <c r="J291" s="43">
        <f t="shared" si="103"/>
        <v>1</v>
      </c>
      <c r="K291" s="44" cm="1">
        <f t="array" ref="K291">IF(D291="Gadget",_xlfn.IFS(I291&gt;=0.2,0.5,I291&gt;=0.1,0.35,I291&gt;=0.05,0.2,TRUE,0),IF(D291="Grenade",_xlfn.IFS(I291&gt;=0.2,1,I291&gt;=0.1,0.7,I291&gt;=0.05,0.4,TRUE,0),0))</f>
        <v>0.35</v>
      </c>
      <c r="L291" s="57">
        <f t="shared" si="109"/>
        <v>0.5</v>
      </c>
    </row>
    <row r="292" spans="1:12" x14ac:dyDescent="0.25">
      <c r="A292" s="42" t="str" cm="1">
        <f t="array" ref="A292">IFERROR(INDEX(_xlfn._xlws.FILTER(Class_Players!A:A,Class_Players!B:B="Assault"),QUOTIENT(ROW()-ROW($A$2),7)+1),"")</f>
        <v>BrewCitySiggy</v>
      </c>
      <c r="B292" s="42" t="str">
        <f>_xlfn.XLOOKUP(A292,Class_Players!$A:$A,Class_Players!$B:$B,"")</f>
        <v>Assault</v>
      </c>
      <c r="C292" s="48" t="str" cm="1">
        <f t="array" ref="C292">INDEX(Lookups!$A$2:$A$8,MOD(ROW()-ROW($B$2),ROWS(Lookups!$A$2:$A$8))+1)</f>
        <v>M320A1 THRM    (Incendiary Grenade Launcher)</v>
      </c>
      <c r="D292" s="48" t="str">
        <f>_xlfn.XLOOKUP(C292,Analysis_Gadgets!$C:$C,Analysis_Gadgets!$B:$B)</f>
        <v>Gadget</v>
      </c>
      <c r="E292" s="43">
        <v>2003</v>
      </c>
      <c r="F292" s="43">
        <f>_xlfn.XLOOKUP(A292,Class_Players!A:A,Class_Players!G:G)</f>
        <v>174</v>
      </c>
      <c r="G292" s="43">
        <f t="shared" si="113"/>
        <v>11.511494252873563</v>
      </c>
      <c r="H292" s="43">
        <f>_xlfn.XLOOKUP(A292,Class_Players!$A:$A,Class_Players!$F:$F,"")</f>
        <v>10956</v>
      </c>
      <c r="I292" s="44">
        <f t="shared" si="114"/>
        <v>0.18282219788243884</v>
      </c>
      <c r="J292" s="43">
        <f t="shared" si="103"/>
        <v>1</v>
      </c>
      <c r="K292" s="44" cm="1">
        <f t="array" ref="K292">IF(D292="Gadget",_xlfn.IFS(I292&gt;=0.2,0.5,I292&gt;=0.1,0.35,I292&gt;=0.05,0.2,TRUE,0),IF(D292="Grenade",_xlfn.IFS(I292&gt;=0.2,1,I292&gt;=0.1,0.7,I292&gt;=0.05,0.4,TRUE,0),0))</f>
        <v>0.35</v>
      </c>
      <c r="L292" s="57">
        <f t="shared" si="109"/>
        <v>0.5</v>
      </c>
    </row>
    <row r="293" spans="1:12" x14ac:dyDescent="0.25">
      <c r="A293" s="42" t="str" cm="1">
        <f t="array" ref="A293">IFERROR(INDEX(_xlfn._xlws.FILTER(Class_Players!A:A,Class_Players!B:B="Assault"),QUOTIENT(ROW()-ROW($A$2),7)+1),"")</f>
        <v>BrewCitySiggy</v>
      </c>
      <c r="B293" s="42" t="str">
        <f>_xlfn.XLOOKUP(A293,Class_Players!$A:$A,Class_Players!$B:$B,"")</f>
        <v>Assault</v>
      </c>
      <c r="C293" s="48" t="str" cm="1">
        <f t="array" ref="C293">INDEX(Lookups!$A$2:$A$8,MOD(ROW()-ROW($B$2),ROWS(Lookups!$A$2:$A$8))+1)</f>
        <v>QLINK (Deploy Beacon)</v>
      </c>
      <c r="D293" s="48" t="str">
        <f>_xlfn.XLOOKUP(C293,Analysis_Gadgets!$C:$C,Analysis_Gadgets!$B:$B)</f>
        <v>Gadget</v>
      </c>
      <c r="E293" s="43">
        <v>14</v>
      </c>
      <c r="F293" s="43">
        <f>_xlfn.XLOOKUP(A293,Class_Players!A:A,Class_Players!G:G)</f>
        <v>174</v>
      </c>
      <c r="G293" s="43">
        <f t="shared" si="113"/>
        <v>8.0459770114942528E-2</v>
      </c>
      <c r="H293" s="43">
        <f>_xlfn.XLOOKUP(A293,Class_Players!$A:$A,Class_Players!$F:$F,"")</f>
        <v>10956</v>
      </c>
      <c r="I293" s="44">
        <f t="shared" si="114"/>
        <v>1.2778386272362175E-3</v>
      </c>
      <c r="J293" s="43">
        <f t="shared" si="103"/>
        <v>0</v>
      </c>
      <c r="K293" s="44" cm="1">
        <f t="array" ref="K293">IF(D293="Gadget",_xlfn.IFS(I293&gt;=0.2,0.5,I293&gt;=0.1,0.35,I293&gt;=0.05,0.2,TRUE,0),IF(D293="Grenade",_xlfn.IFS(I293&gt;=0.2,1,I293&gt;=0.1,0.7,I293&gt;=0.05,0.4,TRUE,0),0))</f>
        <v>0</v>
      </c>
      <c r="L293" s="57">
        <f t="shared" si="109"/>
        <v>0</v>
      </c>
    </row>
    <row r="294" spans="1:12" x14ac:dyDescent="0.25">
      <c r="A294" s="42" t="str" cm="1">
        <f t="array" ref="A294">IFERROR(INDEX(_xlfn._xlws.FILTER(Class_Players!A:A,Class_Players!B:B="Assault"),QUOTIENT(ROW()-ROW($A$2),7)+1),"")</f>
        <v>BrewCitySiggy</v>
      </c>
      <c r="B294" s="42" t="str">
        <f>_xlfn.XLOOKUP(A294,Class_Players!$A:$A,Class_Players!$B:$B,"")</f>
        <v>Assault</v>
      </c>
      <c r="C294" s="48" t="str" cm="1">
        <f t="array" ref="C294">INDEX(Lookups!$A$2:$A$8,MOD(ROW()-ROW($B$2),ROWS(Lookups!$A$2:$A$8))+1)</f>
        <v>Stun Grenade</v>
      </c>
      <c r="D294" s="48" t="str">
        <f>_xlfn.XLOOKUP(C294,Analysis_Gadgets!$C:$C,Analysis_Gadgets!$B:$B)</f>
        <v>Grenade</v>
      </c>
      <c r="E294" s="43">
        <v>286</v>
      </c>
      <c r="F294" s="43">
        <f>_xlfn.XLOOKUP(A294,Class_Players!A:A,Class_Players!G:G)</f>
        <v>174</v>
      </c>
      <c r="G294" s="43">
        <f t="shared" si="113"/>
        <v>1.6436781609195403</v>
      </c>
      <c r="H294" s="43">
        <f>_xlfn.XLOOKUP(A294,Class_Players!$A:$A,Class_Players!$F:$F,"")</f>
        <v>10956</v>
      </c>
      <c r="I294" s="44">
        <f t="shared" si="114"/>
        <v>2.6104417670682729E-2</v>
      </c>
      <c r="J294" s="43">
        <f t="shared" si="103"/>
        <v>0</v>
      </c>
      <c r="K294" s="44" cm="1">
        <f t="array" ref="K294">IF(D294="Gadget",_xlfn.IFS(I294&gt;=0.2,0.5,I294&gt;=0.1,0.35,I294&gt;=0.05,0.2,TRUE,0),IF(D294="Grenade",_xlfn.IFS(I294&gt;=0.2,1,I294&gt;=0.1,0.7,I294&gt;=0.05,0.4,TRUE,0),0))</f>
        <v>0</v>
      </c>
      <c r="L294" s="57">
        <f t="shared" si="110"/>
        <v>0</v>
      </c>
    </row>
    <row r="295" spans="1:12" x14ac:dyDescent="0.25">
      <c r="A295" s="42" t="str" cm="1">
        <f t="array" ref="A295">IFERROR(INDEX(_xlfn._xlws.FILTER(Class_Players!A:A,Class_Players!B:B="Assault"),QUOTIENT(ROW()-ROW($A$2),7)+1),"")</f>
        <v>BrewCitySiggy</v>
      </c>
      <c r="B295" s="42" t="str">
        <f>_xlfn.XLOOKUP(A295,Class_Players!$A:$A,Class_Players!$B:$B,"")</f>
        <v>Assault</v>
      </c>
      <c r="C295" s="48" t="str" cm="1">
        <f t="array" ref="C295">INDEX(Lookups!$A$2:$A$8,MOD(ROW()-ROW($B$2),ROWS(Lookups!$A$2:$A$8))+1)</f>
        <v>Flash Grenade</v>
      </c>
      <c r="D295" s="48" t="str">
        <f>_xlfn.XLOOKUP(C295,Analysis_Gadgets!$C:$C,Analysis_Gadgets!$B:$B)</f>
        <v>Grenade</v>
      </c>
      <c r="E295" s="43">
        <v>0</v>
      </c>
      <c r="F295" s="43">
        <f>_xlfn.XLOOKUP(A295,Class_Players!A:A,Class_Players!G:G)</f>
        <v>174</v>
      </c>
      <c r="G295" s="43">
        <f t="shared" si="113"/>
        <v>0</v>
      </c>
      <c r="H295" s="43">
        <f>_xlfn.XLOOKUP(A295,Class_Players!$A:$A,Class_Players!$F:$F,"")</f>
        <v>10956</v>
      </c>
      <c r="I295" s="44">
        <f t="shared" si="114"/>
        <v>0</v>
      </c>
      <c r="J295" s="43">
        <f t="shared" si="103"/>
        <v>0</v>
      </c>
      <c r="K295" s="44" cm="1">
        <f t="array" ref="K295">IF(D295="Gadget",_xlfn.IFS(I295&gt;=0.2,0.5,I295&gt;=0.1,0.35,I295&gt;=0.05,0.2,TRUE,0),IF(D295="Grenade",_xlfn.IFS(I295&gt;=0.2,1,I295&gt;=0.1,0.7,I295&gt;=0.05,0.4,TRUE,0),0))</f>
        <v>0</v>
      </c>
      <c r="L295" s="57">
        <f t="shared" si="110"/>
        <v>0</v>
      </c>
    </row>
    <row r="296" spans="1:12" x14ac:dyDescent="0.25">
      <c r="A296" s="42" t="str" cm="1">
        <f t="array" ref="A296">IFERROR(INDEX(_xlfn._xlws.FILTER(Class_Players!A:A,Class_Players!B:B="Assault"),QUOTIENT(ROW()-ROW($A$2),7)+1),"")</f>
        <v>B站风雨连尘</v>
      </c>
      <c r="B296" s="42" t="str">
        <f>_xlfn.XLOOKUP(A296,Class_Players!$A:$A,Class_Players!$B:$B,"")</f>
        <v>Assault</v>
      </c>
      <c r="C296" s="48" t="str" cm="1">
        <f t="array" ref="C296">INDEX(Lookups!$A$2:$A$8,MOD(ROW()-ROW($B$2),ROWS(Lookups!$A$2:$A$8))+1)</f>
        <v>Assault Ladder</v>
      </c>
      <c r="D296" s="48" t="str">
        <f>_xlfn.XLOOKUP(C296,Analysis_Gadgets!$C:$C,Analysis_Gadgets!$B:$B)</f>
        <v>Gadget</v>
      </c>
      <c r="E296" s="43">
        <v>52</v>
      </c>
      <c r="F296" s="43">
        <f>_xlfn.XLOOKUP(A296,Class_Players!A:A,Class_Players!G:G)</f>
        <v>149</v>
      </c>
      <c r="G296" s="43">
        <f t="shared" si="113"/>
        <v>0.34899328859060402</v>
      </c>
      <c r="H296" s="43">
        <f>_xlfn.XLOOKUP(A296,Class_Players!$A:$A,Class_Players!$F:$F,"")</f>
        <v>10747</v>
      </c>
      <c r="I296" s="44">
        <f t="shared" si="114"/>
        <v>4.8385595980273569E-3</v>
      </c>
      <c r="J296" s="43">
        <f t="shared" si="103"/>
        <v>0</v>
      </c>
      <c r="K296" s="44" cm="1">
        <f t="array" ref="K296">IF(D296="Gadget",_xlfn.IFS(I296&gt;=0.2,0.5,I296&gt;=0.1,0.35,I296&gt;=0.05,0.2,TRUE,0),IF(D296="Grenade",_xlfn.IFS(I296&gt;=0.2,1,I296&gt;=0.1,0.7,I296&gt;=0.05,0.4,TRUE,0),0))</f>
        <v>0</v>
      </c>
      <c r="L296" s="57">
        <f t="shared" si="109"/>
        <v>0</v>
      </c>
    </row>
    <row r="297" spans="1:12" x14ac:dyDescent="0.25">
      <c r="A297" s="42" t="str" cm="1">
        <f t="array" ref="A297">IFERROR(INDEX(_xlfn._xlws.FILTER(Class_Players!A:A,Class_Players!B:B="Assault"),QUOTIENT(ROW()-ROW($A$2),7)+1),"")</f>
        <v>B站风雨连尘</v>
      </c>
      <c r="B297" s="42" t="str">
        <f>_xlfn.XLOOKUP(A297,Class_Players!$A:$A,Class_Players!$B:$B,"")</f>
        <v>Assault</v>
      </c>
      <c r="C297" s="48" t="str" cm="1">
        <f t="array" ref="C297">INDEX(Lookups!$A$2:$A$8,MOD(ROW()-ROW($B$2),ROWS(Lookups!$A$2:$A$8))+1)</f>
        <v>X95 BRE (Breaching Projectile Launcher)</v>
      </c>
      <c r="D297" s="48" t="str">
        <f>_xlfn.XLOOKUP(C297,Analysis_Gadgets!$C:$C,Analysis_Gadgets!$B:$B)</f>
        <v>Gadget</v>
      </c>
      <c r="E297" s="43">
        <v>69</v>
      </c>
      <c r="F297" s="43">
        <f>_xlfn.XLOOKUP(A297,Class_Players!A:A,Class_Players!G:G)</f>
        <v>149</v>
      </c>
      <c r="G297" s="43">
        <f t="shared" si="113"/>
        <v>0.46308724832214765</v>
      </c>
      <c r="H297" s="43">
        <f>_xlfn.XLOOKUP(A297,Class_Players!$A:$A,Class_Players!$F:$F,"")</f>
        <v>10747</v>
      </c>
      <c r="I297" s="44">
        <f t="shared" si="114"/>
        <v>6.4203963896901457E-3</v>
      </c>
      <c r="J297" s="43">
        <f t="shared" si="103"/>
        <v>0</v>
      </c>
      <c r="K297" s="44" cm="1">
        <f t="array" ref="K297">IF(D297="Gadget",_xlfn.IFS(I297&gt;=0.2,0.5,I297&gt;=0.1,0.35,I297&gt;=0.05,0.2,TRUE,0),IF(D297="Grenade",_xlfn.IFS(I297&gt;=0.2,1,I297&gt;=0.1,0.7,I297&gt;=0.05,0.4,TRUE,0),0))</f>
        <v>0</v>
      </c>
      <c r="L297" s="57">
        <f t="shared" si="109"/>
        <v>0</v>
      </c>
    </row>
    <row r="298" spans="1:12" x14ac:dyDescent="0.25">
      <c r="A298" s="42" t="str" cm="1">
        <f t="array" ref="A298">IFERROR(INDEX(_xlfn._xlws.FILTER(Class_Players!A:A,Class_Players!B:B="Assault"),QUOTIENT(ROW()-ROW($A$2),7)+1),"")</f>
        <v>B站风雨连尘</v>
      </c>
      <c r="B298" s="42" t="str">
        <f>_xlfn.XLOOKUP(A298,Class_Players!$A:$A,Class_Players!$B:$B,"")</f>
        <v>Assault</v>
      </c>
      <c r="C298" s="48" t="str" cm="1">
        <f t="array" ref="C298">INDEX(Lookups!$A$2:$A$8,MOD(ROW()-ROW($B$2),ROWS(Lookups!$A$2:$A$8))+1)</f>
        <v>M320A1 HE (Grenade Launcher)</v>
      </c>
      <c r="D298" s="48" t="str">
        <f>_xlfn.XLOOKUP(C298,Analysis_Gadgets!$C:$C,Analysis_Gadgets!$B:$B)</f>
        <v>Gadget</v>
      </c>
      <c r="E298" s="43">
        <v>7490</v>
      </c>
      <c r="F298" s="43">
        <f>_xlfn.XLOOKUP(A298,Class_Players!A:A,Class_Players!G:G)</f>
        <v>149</v>
      </c>
      <c r="G298" s="43">
        <f t="shared" si="113"/>
        <v>50.268456375838923</v>
      </c>
      <c r="H298" s="43">
        <f>_xlfn.XLOOKUP(A298,Class_Players!$A:$A,Class_Players!$F:$F,"")</f>
        <v>10747</v>
      </c>
      <c r="I298" s="44">
        <f t="shared" si="114"/>
        <v>0.69693868056201735</v>
      </c>
      <c r="J298" s="43">
        <f t="shared" si="103"/>
        <v>1</v>
      </c>
      <c r="K298" s="44" cm="1">
        <f t="array" ref="K298">IF(D298="Gadget",_xlfn.IFS(I298&gt;=0.2,0.5,I298&gt;=0.1,0.35,I298&gt;=0.05,0.2,TRUE,0),IF(D298="Grenade",_xlfn.IFS(I298&gt;=0.2,1,I298&gt;=0.1,0.7,I298&gt;=0.05,0.4,TRUE,0),0))</f>
        <v>0.5</v>
      </c>
      <c r="L298" s="57">
        <f t="shared" si="109"/>
        <v>0.5</v>
      </c>
    </row>
    <row r="299" spans="1:12" x14ac:dyDescent="0.25">
      <c r="A299" s="42" t="str" cm="1">
        <f t="array" ref="A299">IFERROR(INDEX(_xlfn._xlws.FILTER(Class_Players!A:A,Class_Players!B:B="Assault"),QUOTIENT(ROW()-ROW($A$2),7)+1),"")</f>
        <v>B站风雨连尘</v>
      </c>
      <c r="B299" s="42" t="str">
        <f>_xlfn.XLOOKUP(A299,Class_Players!$A:$A,Class_Players!$B:$B,"")</f>
        <v>Assault</v>
      </c>
      <c r="C299" s="48" t="str" cm="1">
        <f t="array" ref="C299">INDEX(Lookups!$A$2:$A$8,MOD(ROW()-ROW($B$2),ROWS(Lookups!$A$2:$A$8))+1)</f>
        <v>M320A1 THRM    (Incendiary Grenade Launcher)</v>
      </c>
      <c r="D299" s="48" t="str">
        <f>_xlfn.XLOOKUP(C299,Analysis_Gadgets!$C:$C,Analysis_Gadgets!$B:$B)</f>
        <v>Gadget</v>
      </c>
      <c r="E299" s="43">
        <v>78</v>
      </c>
      <c r="F299" s="43">
        <f>_xlfn.XLOOKUP(A299,Class_Players!A:A,Class_Players!G:G)</f>
        <v>149</v>
      </c>
      <c r="G299" s="43">
        <f t="shared" si="113"/>
        <v>0.52348993288590606</v>
      </c>
      <c r="H299" s="43">
        <f>_xlfn.XLOOKUP(A299,Class_Players!$A:$A,Class_Players!$F:$F,"")</f>
        <v>10747</v>
      </c>
      <c r="I299" s="44">
        <f t="shared" si="114"/>
        <v>7.2578393970410349E-3</v>
      </c>
      <c r="J299" s="43">
        <f t="shared" si="103"/>
        <v>0</v>
      </c>
      <c r="K299" s="44" cm="1">
        <f t="array" ref="K299">IF(D299="Gadget",_xlfn.IFS(I299&gt;=0.2,0.5,I299&gt;=0.1,0.35,I299&gt;=0.05,0.2,TRUE,0),IF(D299="Grenade",_xlfn.IFS(I299&gt;=0.2,1,I299&gt;=0.1,0.7,I299&gt;=0.05,0.4,TRUE,0),0))</f>
        <v>0</v>
      </c>
      <c r="L299" s="57">
        <f t="shared" si="109"/>
        <v>0</v>
      </c>
    </row>
    <row r="300" spans="1:12" x14ac:dyDescent="0.25">
      <c r="A300" s="42" t="str" cm="1">
        <f t="array" ref="A300">IFERROR(INDEX(_xlfn._xlws.FILTER(Class_Players!A:A,Class_Players!B:B="Assault"),QUOTIENT(ROW()-ROW($A$2),7)+1),"")</f>
        <v>B站风雨连尘</v>
      </c>
      <c r="B300" s="42" t="str">
        <f>_xlfn.XLOOKUP(A300,Class_Players!$A:$A,Class_Players!$B:$B,"")</f>
        <v>Assault</v>
      </c>
      <c r="C300" s="48" t="str" cm="1">
        <f t="array" ref="C300">INDEX(Lookups!$A$2:$A$8,MOD(ROW()-ROW($B$2),ROWS(Lookups!$A$2:$A$8))+1)</f>
        <v>QLINK (Deploy Beacon)</v>
      </c>
      <c r="D300" s="48" t="str">
        <f>_xlfn.XLOOKUP(C300,Analysis_Gadgets!$C:$C,Analysis_Gadgets!$B:$B)</f>
        <v>Gadget</v>
      </c>
      <c r="E300" s="43">
        <v>5087</v>
      </c>
      <c r="F300" s="43">
        <f>_xlfn.XLOOKUP(A300,Class_Players!A:A,Class_Players!G:G)</f>
        <v>149</v>
      </c>
      <c r="G300" s="43">
        <f t="shared" si="113"/>
        <v>34.140939597315437</v>
      </c>
      <c r="H300" s="43">
        <f>_xlfn.XLOOKUP(A300,Class_Players!$A:$A,Class_Players!$F:$F,"")</f>
        <v>10747</v>
      </c>
      <c r="I300" s="44">
        <f t="shared" si="114"/>
        <v>0.47334139759933003</v>
      </c>
      <c r="J300" s="43">
        <f t="shared" si="103"/>
        <v>1</v>
      </c>
      <c r="K300" s="44" cm="1">
        <f t="array" ref="K300">IF(D300="Gadget",_xlfn.IFS(I300&gt;=0.2,0.5,I300&gt;=0.1,0.35,I300&gt;=0.05,0.2,TRUE,0),IF(D300="Grenade",_xlfn.IFS(I300&gt;=0.2,1,I300&gt;=0.1,0.7,I300&gt;=0.05,0.4,TRUE,0),0))</f>
        <v>0.5</v>
      </c>
      <c r="L300" s="57">
        <f t="shared" si="109"/>
        <v>0.5</v>
      </c>
    </row>
    <row r="301" spans="1:12" x14ac:dyDescent="0.25">
      <c r="A301" s="42" t="str" cm="1">
        <f t="array" ref="A301">IFERROR(INDEX(_xlfn._xlws.FILTER(Class_Players!A:A,Class_Players!B:B="Assault"),QUOTIENT(ROW()-ROW($A$2),7)+1),"")</f>
        <v>B站风雨连尘</v>
      </c>
      <c r="B301" s="42" t="str">
        <f>_xlfn.XLOOKUP(A301,Class_Players!$A:$A,Class_Players!$B:$B,"")</f>
        <v>Assault</v>
      </c>
      <c r="C301" s="48" t="str" cm="1">
        <f t="array" ref="C301">INDEX(Lookups!$A$2:$A$8,MOD(ROW()-ROW($B$2),ROWS(Lookups!$A$2:$A$8))+1)</f>
        <v>Stun Grenade</v>
      </c>
      <c r="D301" s="48" t="str">
        <f>_xlfn.XLOOKUP(C301,Analysis_Gadgets!$C:$C,Analysis_Gadgets!$B:$B)</f>
        <v>Grenade</v>
      </c>
      <c r="E301" s="43">
        <v>1246</v>
      </c>
      <c r="F301" s="43">
        <f>_xlfn.XLOOKUP(A301,Class_Players!A:A,Class_Players!G:G)</f>
        <v>149</v>
      </c>
      <c r="G301" s="43">
        <f t="shared" si="113"/>
        <v>8.3624161073825505</v>
      </c>
      <c r="H301" s="43">
        <f>_xlfn.XLOOKUP(A301,Class_Players!$A:$A,Class_Players!$F:$F,"")</f>
        <v>10747</v>
      </c>
      <c r="I301" s="44">
        <f t="shared" si="114"/>
        <v>0.11593933190657858</v>
      </c>
      <c r="J301" s="43">
        <f t="shared" si="103"/>
        <v>1</v>
      </c>
      <c r="K301" s="44" cm="1">
        <f t="array" ref="K301">IF(D301="Gadget",_xlfn.IFS(I301&gt;=0.2,0.5,I301&gt;=0.1,0.35,I301&gt;=0.05,0.2,TRUE,0),IF(D301="Grenade",_xlfn.IFS(I301&gt;=0.2,1,I301&gt;=0.1,0.7,I301&gt;=0.05,0.4,TRUE,0),0))</f>
        <v>0.7</v>
      </c>
      <c r="L301" s="57">
        <f t="shared" si="110"/>
        <v>1</v>
      </c>
    </row>
    <row r="302" spans="1:12" x14ac:dyDescent="0.25">
      <c r="A302" s="42" t="str" cm="1">
        <f t="array" ref="A302">IFERROR(INDEX(_xlfn._xlws.FILTER(Class_Players!A:A,Class_Players!B:B="Assault"),QUOTIENT(ROW()-ROW($A$2),7)+1),"")</f>
        <v>B站风雨连尘</v>
      </c>
      <c r="B302" s="42" t="str">
        <f>_xlfn.XLOOKUP(A302,Class_Players!$A:$A,Class_Players!$B:$B,"")</f>
        <v>Assault</v>
      </c>
      <c r="C302" s="48" t="str" cm="1">
        <f t="array" ref="C302">INDEX(Lookups!$A$2:$A$8,MOD(ROW()-ROW($B$2),ROWS(Lookups!$A$2:$A$8))+1)</f>
        <v>Flash Grenade</v>
      </c>
      <c r="D302" s="48" t="str">
        <f>_xlfn.XLOOKUP(C302,Analysis_Gadgets!$C:$C,Analysis_Gadgets!$B:$B)</f>
        <v>Grenade</v>
      </c>
      <c r="E302" s="43">
        <v>148</v>
      </c>
      <c r="F302" s="43">
        <f>_xlfn.XLOOKUP(A302,Class_Players!A:A,Class_Players!G:G)</f>
        <v>149</v>
      </c>
      <c r="G302" s="43">
        <f t="shared" si="113"/>
        <v>0.99328859060402686</v>
      </c>
      <c r="H302" s="43">
        <f>_xlfn.XLOOKUP(A302,Class_Players!$A:$A,Class_Players!$F:$F,"")</f>
        <v>10747</v>
      </c>
      <c r="I302" s="44">
        <f t="shared" si="114"/>
        <v>1.3771285009770168E-2</v>
      </c>
      <c r="J302" s="43">
        <f t="shared" si="103"/>
        <v>0</v>
      </c>
      <c r="K302" s="44" cm="1">
        <f t="array" ref="K302">IF(D302="Gadget",_xlfn.IFS(I302&gt;=0.2,0.5,I302&gt;=0.1,0.35,I302&gt;=0.05,0.2,TRUE,0),IF(D302="Grenade",_xlfn.IFS(I302&gt;=0.2,1,I302&gt;=0.1,0.7,I302&gt;=0.05,0.4,TRUE,0),0))</f>
        <v>0</v>
      </c>
      <c r="L302" s="57">
        <f t="shared" si="110"/>
        <v>0</v>
      </c>
    </row>
    <row r="303" spans="1:12" x14ac:dyDescent="0.25">
      <c r="A303" s="42" t="str" cm="1">
        <f t="array" ref="A303">IFERROR(INDEX(_xlfn._xlws.FILTER(Class_Players!A:A,Class_Players!B:B="Assault"),QUOTIENT(ROW()-ROW($A$2),7)+1),"")</f>
        <v>AlchemistMac</v>
      </c>
      <c r="B303" s="42" t="str">
        <f>_xlfn.XLOOKUP(A303,Class_Players!$A:$A,Class_Players!$B:$B,"")</f>
        <v>Assault</v>
      </c>
      <c r="C303" s="48" t="str" cm="1">
        <f t="array" ref="C303">INDEX(Lookups!$A$2:$A$8,MOD(ROW()-ROW($B$2),ROWS(Lookups!$A$2:$A$8))+1)</f>
        <v>Assault Ladder</v>
      </c>
      <c r="D303" s="48" t="str">
        <f>_xlfn.XLOOKUP(C303,Analysis_Gadgets!$C:$C,Analysis_Gadgets!$B:$B)</f>
        <v>Gadget</v>
      </c>
      <c r="E303" s="43">
        <v>203</v>
      </c>
      <c r="F303" s="43">
        <f>_xlfn.XLOOKUP(A303,Class_Players!A:A,Class_Players!G:G)</f>
        <v>133</v>
      </c>
      <c r="G303" s="43">
        <f t="shared" si="113"/>
        <v>1.5263157894736843</v>
      </c>
      <c r="H303" s="43">
        <f>_xlfn.XLOOKUP(A303,Class_Players!$A:$A,Class_Players!$F:$F,"")</f>
        <v>13292</v>
      </c>
      <c r="I303" s="44">
        <f t="shared" si="114"/>
        <v>1.5272344267228408E-2</v>
      </c>
      <c r="J303" s="43">
        <f t="shared" si="103"/>
        <v>0</v>
      </c>
      <c r="K303" s="44" cm="1">
        <f t="array" ref="K303">IF(D303="Gadget",_xlfn.IFS(I303&gt;=0.2,0.5,I303&gt;=0.1,0.35,I303&gt;=0.05,0.2,TRUE,0),IF(D303="Grenade",_xlfn.IFS(I303&gt;=0.2,1,I303&gt;=0.1,0.7,I303&gt;=0.05,0.4,TRUE,0),0))</f>
        <v>0</v>
      </c>
      <c r="L303" s="57">
        <f t="shared" si="109"/>
        <v>0</v>
      </c>
    </row>
    <row r="304" spans="1:12" x14ac:dyDescent="0.25">
      <c r="A304" s="42" t="str" cm="1">
        <f t="array" ref="A304">IFERROR(INDEX(_xlfn._xlws.FILTER(Class_Players!A:A,Class_Players!B:B="Assault"),QUOTIENT(ROW()-ROW($A$2),7)+1),"")</f>
        <v>AlchemistMac</v>
      </c>
      <c r="B304" s="42" t="str">
        <f>_xlfn.XLOOKUP(A304,Class_Players!$A:$A,Class_Players!$B:$B,"")</f>
        <v>Assault</v>
      </c>
      <c r="C304" s="48" t="str" cm="1">
        <f t="array" ref="C304">INDEX(Lookups!$A$2:$A$8,MOD(ROW()-ROW($B$2),ROWS(Lookups!$A$2:$A$8))+1)</f>
        <v>X95 BRE (Breaching Projectile Launcher)</v>
      </c>
      <c r="D304" s="48" t="str">
        <f>_xlfn.XLOOKUP(C304,Analysis_Gadgets!$C:$C,Analysis_Gadgets!$B:$B)</f>
        <v>Gadget</v>
      </c>
      <c r="E304" s="43">
        <v>51</v>
      </c>
      <c r="F304" s="43">
        <f>_xlfn.XLOOKUP(A304,Class_Players!A:A,Class_Players!G:G)</f>
        <v>133</v>
      </c>
      <c r="G304" s="43">
        <f t="shared" si="113"/>
        <v>0.38345864661654133</v>
      </c>
      <c r="H304" s="43">
        <f>_xlfn.XLOOKUP(A304,Class_Players!$A:$A,Class_Players!$F:$F,"")</f>
        <v>13292</v>
      </c>
      <c r="I304" s="44">
        <f t="shared" si="114"/>
        <v>3.8368943725549201E-3</v>
      </c>
      <c r="J304" s="43">
        <f t="shared" si="103"/>
        <v>0</v>
      </c>
      <c r="K304" s="44" cm="1">
        <f t="array" ref="K304">IF(D304="Gadget",_xlfn.IFS(I304&gt;=0.2,0.5,I304&gt;=0.1,0.35,I304&gt;=0.05,0.2,TRUE,0),IF(D304="Grenade",_xlfn.IFS(I304&gt;=0.2,1,I304&gt;=0.1,0.7,I304&gt;=0.05,0.4,TRUE,0),0))</f>
        <v>0</v>
      </c>
      <c r="L304" s="57">
        <f t="shared" si="109"/>
        <v>0</v>
      </c>
    </row>
    <row r="305" spans="1:12" x14ac:dyDescent="0.25">
      <c r="A305" s="42" t="str" cm="1">
        <f t="array" ref="A305">IFERROR(INDEX(_xlfn._xlws.FILTER(Class_Players!A:A,Class_Players!B:B="Assault"),QUOTIENT(ROW()-ROW($A$2),7)+1),"")</f>
        <v>AlchemistMac</v>
      </c>
      <c r="B305" s="42" t="str">
        <f>_xlfn.XLOOKUP(A305,Class_Players!$A:$A,Class_Players!$B:$B,"")</f>
        <v>Assault</v>
      </c>
      <c r="C305" s="48" t="str" cm="1">
        <f t="array" ref="C305">INDEX(Lookups!$A$2:$A$8,MOD(ROW()-ROW($B$2),ROWS(Lookups!$A$2:$A$8))+1)</f>
        <v>M320A1 HE (Grenade Launcher)</v>
      </c>
      <c r="D305" s="48" t="str">
        <f>_xlfn.XLOOKUP(C305,Analysis_Gadgets!$C:$C,Analysis_Gadgets!$B:$B)</f>
        <v>Gadget</v>
      </c>
      <c r="E305" s="43">
        <v>4420</v>
      </c>
      <c r="F305" s="43">
        <f>_xlfn.XLOOKUP(A305,Class_Players!A:A,Class_Players!G:G)</f>
        <v>133</v>
      </c>
      <c r="G305" s="43">
        <f t="shared" si="113"/>
        <v>33.233082706766915</v>
      </c>
      <c r="H305" s="43">
        <f>_xlfn.XLOOKUP(A305,Class_Players!$A:$A,Class_Players!$F:$F,"")</f>
        <v>13292</v>
      </c>
      <c r="I305" s="44">
        <f t="shared" si="114"/>
        <v>0.33253084562142643</v>
      </c>
      <c r="J305" s="43">
        <f t="shared" si="103"/>
        <v>1</v>
      </c>
      <c r="K305" s="44" cm="1">
        <f t="array" ref="K305">IF(D305="Gadget",_xlfn.IFS(I305&gt;=0.2,0.5,I305&gt;=0.1,0.35,I305&gt;=0.05,0.2,TRUE,0),IF(D305="Grenade",_xlfn.IFS(I305&gt;=0.2,1,I305&gt;=0.1,0.7,I305&gt;=0.05,0.4,TRUE,0),0))</f>
        <v>0.5</v>
      </c>
      <c r="L305" s="57">
        <f t="shared" si="109"/>
        <v>1</v>
      </c>
    </row>
    <row r="306" spans="1:12" x14ac:dyDescent="0.25">
      <c r="A306" s="42" t="str" cm="1">
        <f t="array" ref="A306">IFERROR(INDEX(_xlfn._xlws.FILTER(Class_Players!A:A,Class_Players!B:B="Assault"),QUOTIENT(ROW()-ROW($A$2),7)+1),"")</f>
        <v>AlchemistMac</v>
      </c>
      <c r="B306" s="42" t="str">
        <f>_xlfn.XLOOKUP(A306,Class_Players!$A:$A,Class_Players!$B:$B,"")</f>
        <v>Assault</v>
      </c>
      <c r="C306" s="48" t="str" cm="1">
        <f t="array" ref="C306">INDEX(Lookups!$A$2:$A$8,MOD(ROW()-ROW($B$2),ROWS(Lookups!$A$2:$A$8))+1)</f>
        <v>M320A1 THRM    (Incendiary Grenade Launcher)</v>
      </c>
      <c r="D306" s="48" t="str">
        <f>_xlfn.XLOOKUP(C306,Analysis_Gadgets!$C:$C,Analysis_Gadgets!$B:$B)</f>
        <v>Gadget</v>
      </c>
      <c r="E306" s="43">
        <v>7</v>
      </c>
      <c r="F306" s="43">
        <f>_xlfn.XLOOKUP(A306,Class_Players!A:A,Class_Players!G:G)</f>
        <v>133</v>
      </c>
      <c r="G306" s="43">
        <f t="shared" si="113"/>
        <v>5.2631578947368418E-2</v>
      </c>
      <c r="H306" s="43">
        <f>_xlfn.XLOOKUP(A306,Class_Players!$A:$A,Class_Players!$F:$F,"")</f>
        <v>13292</v>
      </c>
      <c r="I306" s="44">
        <f t="shared" si="114"/>
        <v>5.2663256093891063E-4</v>
      </c>
      <c r="J306" s="43">
        <f t="shared" si="103"/>
        <v>0</v>
      </c>
      <c r="K306" s="44" cm="1">
        <f t="array" ref="K306">IF(D306="Gadget",_xlfn.IFS(I306&gt;=0.2,0.5,I306&gt;=0.1,0.35,I306&gt;=0.05,0.2,TRUE,0),IF(D306="Grenade",_xlfn.IFS(I306&gt;=0.2,1,I306&gt;=0.1,0.7,I306&gt;=0.05,0.4,TRUE,0),0))</f>
        <v>0</v>
      </c>
      <c r="L306" s="57">
        <f t="shared" si="109"/>
        <v>0</v>
      </c>
    </row>
    <row r="307" spans="1:12" x14ac:dyDescent="0.25">
      <c r="A307" s="42" t="str" cm="1">
        <f t="array" ref="A307">IFERROR(INDEX(_xlfn._xlws.FILTER(Class_Players!A:A,Class_Players!B:B="Assault"),QUOTIENT(ROW()-ROW($A$2),7)+1),"")</f>
        <v>AlchemistMac</v>
      </c>
      <c r="B307" s="42" t="str">
        <f>_xlfn.XLOOKUP(A307,Class_Players!$A:$A,Class_Players!$B:$B,"")</f>
        <v>Assault</v>
      </c>
      <c r="C307" s="48" t="str" cm="1">
        <f t="array" ref="C307">INDEX(Lookups!$A$2:$A$8,MOD(ROW()-ROW($B$2),ROWS(Lookups!$A$2:$A$8))+1)</f>
        <v>QLINK (Deploy Beacon)</v>
      </c>
      <c r="D307" s="48" t="str">
        <f>_xlfn.XLOOKUP(C307,Analysis_Gadgets!$C:$C,Analysis_Gadgets!$B:$B)</f>
        <v>Gadget</v>
      </c>
      <c r="E307" s="43">
        <v>20</v>
      </c>
      <c r="F307" s="43">
        <f>_xlfn.XLOOKUP(A307,Class_Players!A:A,Class_Players!G:G)</f>
        <v>133</v>
      </c>
      <c r="G307" s="43">
        <f t="shared" si="113"/>
        <v>0.15037593984962405</v>
      </c>
      <c r="H307" s="43">
        <f>_xlfn.XLOOKUP(A307,Class_Players!$A:$A,Class_Players!$F:$F,"")</f>
        <v>13292</v>
      </c>
      <c r="I307" s="44">
        <f t="shared" si="114"/>
        <v>1.5046644598254589E-3</v>
      </c>
      <c r="J307" s="43">
        <f t="shared" si="103"/>
        <v>0</v>
      </c>
      <c r="K307" s="44" cm="1">
        <f t="array" ref="K307">IF(D307="Gadget",_xlfn.IFS(I307&gt;=0.2,0.5,I307&gt;=0.1,0.35,I307&gt;=0.05,0.2,TRUE,0),IF(D307="Grenade",_xlfn.IFS(I307&gt;=0.2,1,I307&gt;=0.1,0.7,I307&gt;=0.05,0.4,TRUE,0),0))</f>
        <v>0</v>
      </c>
      <c r="L307" s="57">
        <f t="shared" si="109"/>
        <v>0</v>
      </c>
    </row>
    <row r="308" spans="1:12" x14ac:dyDescent="0.25">
      <c r="A308" s="42" t="str" cm="1">
        <f t="array" ref="A308">IFERROR(INDEX(_xlfn._xlws.FILTER(Class_Players!A:A,Class_Players!B:B="Assault"),QUOTIENT(ROW()-ROW($A$2),7)+1),"")</f>
        <v>AlchemistMac</v>
      </c>
      <c r="B308" s="42" t="str">
        <f>_xlfn.XLOOKUP(A308,Class_Players!$A:$A,Class_Players!$B:$B,"")</f>
        <v>Assault</v>
      </c>
      <c r="C308" s="48" t="str" cm="1">
        <f t="array" ref="C308">INDEX(Lookups!$A$2:$A$8,MOD(ROW()-ROW($B$2),ROWS(Lookups!$A$2:$A$8))+1)</f>
        <v>Stun Grenade</v>
      </c>
      <c r="D308" s="48" t="str">
        <f>_xlfn.XLOOKUP(C308,Analysis_Gadgets!$C:$C,Analysis_Gadgets!$B:$B)</f>
        <v>Grenade</v>
      </c>
      <c r="E308" s="43">
        <v>23</v>
      </c>
      <c r="F308" s="43">
        <f>_xlfn.XLOOKUP(A308,Class_Players!A:A,Class_Players!G:G)</f>
        <v>133</v>
      </c>
      <c r="G308" s="43">
        <f t="shared" si="113"/>
        <v>0.17293233082706766</v>
      </c>
      <c r="H308" s="43">
        <f>_xlfn.XLOOKUP(A308,Class_Players!$A:$A,Class_Players!$F:$F,"")</f>
        <v>13292</v>
      </c>
      <c r="I308" s="44">
        <f t="shared" si="114"/>
        <v>1.7303641287992777E-3</v>
      </c>
      <c r="J308" s="43">
        <f t="shared" si="103"/>
        <v>0</v>
      </c>
      <c r="K308" s="44" cm="1">
        <f t="array" ref="K308">IF(D308="Gadget",_xlfn.IFS(I308&gt;=0.2,0.5,I308&gt;=0.1,0.35,I308&gt;=0.05,0.2,TRUE,0),IF(D308="Grenade",_xlfn.IFS(I308&gt;=0.2,1,I308&gt;=0.1,0.7,I308&gt;=0.05,0.4,TRUE,0),0))</f>
        <v>0</v>
      </c>
      <c r="L308" s="57">
        <f t="shared" si="110"/>
        <v>0</v>
      </c>
    </row>
    <row r="309" spans="1:12" x14ac:dyDescent="0.25">
      <c r="A309" s="42" t="str" cm="1">
        <f t="array" ref="A309">IFERROR(INDEX(_xlfn._xlws.FILTER(Class_Players!A:A,Class_Players!B:B="Assault"),QUOTIENT(ROW()-ROW($A$2),7)+1),"")</f>
        <v>AlchemistMac</v>
      </c>
      <c r="B309" s="42" t="str">
        <f>_xlfn.XLOOKUP(A309,Class_Players!$A:$A,Class_Players!$B:$B,"")</f>
        <v>Assault</v>
      </c>
      <c r="C309" s="48" t="str" cm="1">
        <f t="array" ref="C309">INDEX(Lookups!$A$2:$A$8,MOD(ROW()-ROW($B$2),ROWS(Lookups!$A$2:$A$8))+1)</f>
        <v>Flash Grenade</v>
      </c>
      <c r="D309" s="48" t="str">
        <f>_xlfn.XLOOKUP(C309,Analysis_Gadgets!$C:$C,Analysis_Gadgets!$B:$B)</f>
        <v>Grenade</v>
      </c>
      <c r="E309" s="43">
        <v>0</v>
      </c>
      <c r="F309" s="43">
        <f>_xlfn.XLOOKUP(A309,Class_Players!A:A,Class_Players!G:G)</f>
        <v>133</v>
      </c>
      <c r="G309" s="43">
        <f t="shared" si="113"/>
        <v>0</v>
      </c>
      <c r="H309" s="43">
        <f>_xlfn.XLOOKUP(A309,Class_Players!$A:$A,Class_Players!$F:$F,"")</f>
        <v>13292</v>
      </c>
      <c r="I309" s="44">
        <f t="shared" si="114"/>
        <v>0</v>
      </c>
      <c r="J309" s="43">
        <f t="shared" si="103"/>
        <v>0</v>
      </c>
      <c r="K309" s="44" cm="1">
        <f t="array" ref="K309">IF(D309="Gadget",_xlfn.IFS(I309&gt;=0.2,0.5,I309&gt;=0.1,0.35,I309&gt;=0.05,0.2,TRUE,0),IF(D309="Grenade",_xlfn.IFS(I309&gt;=0.2,1,I309&gt;=0.1,0.7,I309&gt;=0.05,0.4,TRUE,0),0))</f>
        <v>0</v>
      </c>
      <c r="L309" s="57">
        <f t="shared" si="110"/>
        <v>0</v>
      </c>
    </row>
    <row r="310" spans="1:12" x14ac:dyDescent="0.25">
      <c r="A310" s="42" t="str" cm="1">
        <f t="array" ref="A310">IFERROR(INDEX(_xlfn._xlws.FILTER(Class_Players!A:A,Class_Players!B:B="Assault"),QUOTIENT(ROW()-ROW($A$2),7)+1),"")</f>
        <v>ManChild174790</v>
      </c>
      <c r="B310" s="42" t="str">
        <f>_xlfn.XLOOKUP(A310,Class_Players!$A:$A,Class_Players!$B:$B,"")</f>
        <v>Assault</v>
      </c>
      <c r="C310" s="48" t="str" cm="1">
        <f t="array" ref="C310">INDEX(Lookups!$A$2:$A$8,MOD(ROW()-ROW($B$2),ROWS(Lookups!$A$2:$A$8))+1)</f>
        <v>Assault Ladder</v>
      </c>
      <c r="D310" s="48" t="str">
        <f>_xlfn.XLOOKUP(C310,Analysis_Gadgets!$C:$C,Analysis_Gadgets!$B:$B)</f>
        <v>Gadget</v>
      </c>
      <c r="E310" s="43">
        <v>45</v>
      </c>
      <c r="F310" s="43">
        <f>_xlfn.XLOOKUP(A310,Class_Players!A:A,Class_Players!G:G)</f>
        <v>125</v>
      </c>
      <c r="G310" s="43">
        <f t="shared" si="113"/>
        <v>0.36</v>
      </c>
      <c r="H310" s="43">
        <f>_xlfn.XLOOKUP(A310,Class_Players!$A:$A,Class_Players!$F:$F,"")</f>
        <v>13887</v>
      </c>
      <c r="I310" s="44">
        <f t="shared" si="114"/>
        <v>3.2404406999351912E-3</v>
      </c>
      <c r="J310" s="43">
        <f t="shared" si="103"/>
        <v>0</v>
      </c>
      <c r="K310" s="44" cm="1">
        <f t="array" ref="K310">IF(D310="Gadget",_xlfn.IFS(I310&gt;=0.2,0.5,I310&gt;=0.1,0.35,I310&gt;=0.05,0.2,TRUE,0),IF(D310="Grenade",_xlfn.IFS(I310&gt;=0.2,1,I310&gt;=0.1,0.7,I310&gt;=0.05,0.4,TRUE,0),0))</f>
        <v>0</v>
      </c>
      <c r="L310" s="57">
        <f t="shared" si="109"/>
        <v>0</v>
      </c>
    </row>
    <row r="311" spans="1:12" x14ac:dyDescent="0.25">
      <c r="A311" s="42" t="str" cm="1">
        <f t="array" ref="A311">IFERROR(INDEX(_xlfn._xlws.FILTER(Class_Players!A:A,Class_Players!B:B="Assault"),QUOTIENT(ROW()-ROW($A$2),7)+1),"")</f>
        <v>ManChild174790</v>
      </c>
      <c r="B311" s="42" t="str">
        <f>_xlfn.XLOOKUP(A311,Class_Players!$A:$A,Class_Players!$B:$B,"")</f>
        <v>Assault</v>
      </c>
      <c r="C311" s="48" t="str" cm="1">
        <f t="array" ref="C311">INDEX(Lookups!$A$2:$A$8,MOD(ROW()-ROW($B$2),ROWS(Lookups!$A$2:$A$8))+1)</f>
        <v>X95 BRE (Breaching Projectile Launcher)</v>
      </c>
      <c r="D311" s="48" t="str">
        <f>_xlfn.XLOOKUP(C311,Analysis_Gadgets!$C:$C,Analysis_Gadgets!$B:$B)</f>
        <v>Gadget</v>
      </c>
      <c r="E311" s="43">
        <v>88</v>
      </c>
      <c r="F311" s="43">
        <f>_xlfn.XLOOKUP(A311,Class_Players!A:A,Class_Players!G:G)</f>
        <v>125</v>
      </c>
      <c r="G311" s="43">
        <f t="shared" si="113"/>
        <v>0.70399999999999996</v>
      </c>
      <c r="H311" s="43">
        <f>_xlfn.XLOOKUP(A311,Class_Players!$A:$A,Class_Players!$F:$F,"")</f>
        <v>13887</v>
      </c>
      <c r="I311" s="44">
        <f t="shared" si="114"/>
        <v>6.3368618132065959E-3</v>
      </c>
      <c r="J311" s="43">
        <f t="shared" si="103"/>
        <v>0</v>
      </c>
      <c r="K311" s="44" cm="1">
        <f t="array" ref="K311">IF(D311="Gadget",_xlfn.IFS(I311&gt;=0.2,0.5,I311&gt;=0.1,0.35,I311&gt;=0.05,0.2,TRUE,0),IF(D311="Grenade",_xlfn.IFS(I311&gt;=0.2,1,I311&gt;=0.1,0.7,I311&gt;=0.05,0.4,TRUE,0),0))</f>
        <v>0</v>
      </c>
      <c r="L311" s="57">
        <f t="shared" si="109"/>
        <v>0</v>
      </c>
    </row>
    <row r="312" spans="1:12" x14ac:dyDescent="0.25">
      <c r="A312" s="42" t="str" cm="1">
        <f t="array" ref="A312">IFERROR(INDEX(_xlfn._xlws.FILTER(Class_Players!A:A,Class_Players!B:B="Assault"),QUOTIENT(ROW()-ROW($A$2),7)+1),"")</f>
        <v>ManChild174790</v>
      </c>
      <c r="B312" s="42" t="str">
        <f>_xlfn.XLOOKUP(A312,Class_Players!$A:$A,Class_Players!$B:$B,"")</f>
        <v>Assault</v>
      </c>
      <c r="C312" s="48" t="str" cm="1">
        <f t="array" ref="C312">INDEX(Lookups!$A$2:$A$8,MOD(ROW()-ROW($B$2),ROWS(Lookups!$A$2:$A$8))+1)</f>
        <v>M320A1 HE (Grenade Launcher)</v>
      </c>
      <c r="D312" s="48" t="str">
        <f>_xlfn.XLOOKUP(C312,Analysis_Gadgets!$C:$C,Analysis_Gadgets!$B:$B)</f>
        <v>Gadget</v>
      </c>
      <c r="E312" s="43">
        <v>9302</v>
      </c>
      <c r="F312" s="43">
        <f>_xlfn.XLOOKUP(A312,Class_Players!A:A,Class_Players!G:G)</f>
        <v>125</v>
      </c>
      <c r="G312" s="43">
        <f t="shared" si="113"/>
        <v>74.415999999999997</v>
      </c>
      <c r="H312" s="43">
        <f>_xlfn.XLOOKUP(A312,Class_Players!$A:$A,Class_Players!$F:$F,"")</f>
        <v>13887</v>
      </c>
      <c r="I312" s="44">
        <f t="shared" si="114"/>
        <v>0.66983509757326998</v>
      </c>
      <c r="J312" s="43">
        <f t="shared" si="103"/>
        <v>1</v>
      </c>
      <c r="K312" s="44" cm="1">
        <f t="array" ref="K312">IF(D312="Gadget",_xlfn.IFS(I312&gt;=0.2,0.5,I312&gt;=0.1,0.35,I312&gt;=0.05,0.2,TRUE,0),IF(D312="Grenade",_xlfn.IFS(I312&gt;=0.2,1,I312&gt;=0.1,0.7,I312&gt;=0.05,0.4,TRUE,0),0))</f>
        <v>0.5</v>
      </c>
      <c r="L312" s="57">
        <f t="shared" si="109"/>
        <v>1</v>
      </c>
    </row>
    <row r="313" spans="1:12" x14ac:dyDescent="0.25">
      <c r="A313" s="42" t="str" cm="1">
        <f t="array" ref="A313">IFERROR(INDEX(_xlfn._xlws.FILTER(Class_Players!A:A,Class_Players!B:B="Assault"),QUOTIENT(ROW()-ROW($A$2),7)+1),"")</f>
        <v>ManChild174790</v>
      </c>
      <c r="B313" s="42" t="str">
        <f>_xlfn.XLOOKUP(A313,Class_Players!$A:$A,Class_Players!$B:$B,"")</f>
        <v>Assault</v>
      </c>
      <c r="C313" s="48" t="str" cm="1">
        <f t="array" ref="C313">INDEX(Lookups!$A$2:$A$8,MOD(ROW()-ROW($B$2),ROWS(Lookups!$A$2:$A$8))+1)</f>
        <v>M320A1 THRM    (Incendiary Grenade Launcher)</v>
      </c>
      <c r="D313" s="48" t="str">
        <f>_xlfn.XLOOKUP(C313,Analysis_Gadgets!$C:$C,Analysis_Gadgets!$B:$B)</f>
        <v>Gadget</v>
      </c>
      <c r="E313" s="43">
        <v>76</v>
      </c>
      <c r="F313" s="43">
        <f>_xlfn.XLOOKUP(A313,Class_Players!A:A,Class_Players!G:G)</f>
        <v>125</v>
      </c>
      <c r="G313" s="43">
        <f t="shared" si="113"/>
        <v>0.60799999999999998</v>
      </c>
      <c r="H313" s="43">
        <f>_xlfn.XLOOKUP(A313,Class_Players!$A:$A,Class_Players!$F:$F,"")</f>
        <v>13887</v>
      </c>
      <c r="I313" s="44">
        <f t="shared" si="114"/>
        <v>5.4727442932238782E-3</v>
      </c>
      <c r="J313" s="43">
        <f t="shared" si="103"/>
        <v>0</v>
      </c>
      <c r="K313" s="44" cm="1">
        <f t="array" ref="K313">IF(D313="Gadget",_xlfn.IFS(I313&gt;=0.2,0.5,I313&gt;=0.1,0.35,I313&gt;=0.05,0.2,TRUE,0),IF(D313="Grenade",_xlfn.IFS(I313&gt;=0.2,1,I313&gt;=0.1,0.7,I313&gt;=0.05,0.4,TRUE,0),0))</f>
        <v>0</v>
      </c>
      <c r="L313" s="57">
        <f t="shared" si="109"/>
        <v>0</v>
      </c>
    </row>
    <row r="314" spans="1:12" x14ac:dyDescent="0.25">
      <c r="A314" s="42" t="str" cm="1">
        <f t="array" ref="A314">IFERROR(INDEX(_xlfn._xlws.FILTER(Class_Players!A:A,Class_Players!B:B="Assault"),QUOTIENT(ROW()-ROW($A$2),7)+1),"")</f>
        <v>ManChild174790</v>
      </c>
      <c r="B314" s="42" t="str">
        <f>_xlfn.XLOOKUP(A314,Class_Players!$A:$A,Class_Players!$B:$B,"")</f>
        <v>Assault</v>
      </c>
      <c r="C314" s="48" t="str" cm="1">
        <f t="array" ref="C314">INDEX(Lookups!$A$2:$A$8,MOD(ROW()-ROW($B$2),ROWS(Lookups!$A$2:$A$8))+1)</f>
        <v>QLINK (Deploy Beacon)</v>
      </c>
      <c r="D314" s="48" t="str">
        <f>_xlfn.XLOOKUP(C314,Analysis_Gadgets!$C:$C,Analysis_Gadgets!$B:$B)</f>
        <v>Gadget</v>
      </c>
      <c r="E314" s="43">
        <v>605</v>
      </c>
      <c r="F314" s="43">
        <f>_xlfn.XLOOKUP(A314,Class_Players!A:A,Class_Players!G:G)</f>
        <v>125</v>
      </c>
      <c r="G314" s="43">
        <f t="shared" si="113"/>
        <v>4.84</v>
      </c>
      <c r="H314" s="43">
        <f>_xlfn.XLOOKUP(A314,Class_Players!$A:$A,Class_Players!$F:$F,"")</f>
        <v>13887</v>
      </c>
      <c r="I314" s="44">
        <f t="shared" si="114"/>
        <v>4.3565924965795345E-2</v>
      </c>
      <c r="J314" s="43">
        <f t="shared" si="103"/>
        <v>0</v>
      </c>
      <c r="K314" s="44" cm="1">
        <f t="array" ref="K314">IF(D314="Gadget",_xlfn.IFS(I314&gt;=0.2,0.5,I314&gt;=0.1,0.35,I314&gt;=0.05,0.2,TRUE,0),IF(D314="Grenade",_xlfn.IFS(I314&gt;=0.2,1,I314&gt;=0.1,0.7,I314&gt;=0.05,0.4,TRUE,0),0))</f>
        <v>0</v>
      </c>
      <c r="L314" s="57">
        <f t="shared" si="109"/>
        <v>0</v>
      </c>
    </row>
    <row r="315" spans="1:12" x14ac:dyDescent="0.25">
      <c r="A315" s="42" t="str" cm="1">
        <f t="array" ref="A315">IFERROR(INDEX(_xlfn._xlws.FILTER(Class_Players!A:A,Class_Players!B:B="Assault"),QUOTIENT(ROW()-ROW($A$2),7)+1),"")</f>
        <v>ManChild174790</v>
      </c>
      <c r="B315" s="42" t="str">
        <f>_xlfn.XLOOKUP(A315,Class_Players!$A:$A,Class_Players!$B:$B,"")</f>
        <v>Assault</v>
      </c>
      <c r="C315" s="48" t="str" cm="1">
        <f t="array" ref="C315">INDEX(Lookups!$A$2:$A$8,MOD(ROW()-ROW($B$2),ROWS(Lookups!$A$2:$A$8))+1)</f>
        <v>Stun Grenade</v>
      </c>
      <c r="D315" s="48" t="str">
        <f>_xlfn.XLOOKUP(C315,Analysis_Gadgets!$C:$C,Analysis_Gadgets!$B:$B)</f>
        <v>Grenade</v>
      </c>
      <c r="E315" s="43">
        <v>27</v>
      </c>
      <c r="F315" s="43">
        <f>_xlfn.XLOOKUP(A315,Class_Players!A:A,Class_Players!G:G)</f>
        <v>125</v>
      </c>
      <c r="G315" s="43">
        <f t="shared" si="113"/>
        <v>0.216</v>
      </c>
      <c r="H315" s="43">
        <f>_xlfn.XLOOKUP(A315,Class_Players!$A:$A,Class_Players!$F:$F,"")</f>
        <v>13887</v>
      </c>
      <c r="I315" s="44">
        <f t="shared" si="114"/>
        <v>1.9442644199611147E-3</v>
      </c>
      <c r="J315" s="43">
        <f t="shared" si="103"/>
        <v>0</v>
      </c>
      <c r="K315" s="44" cm="1">
        <f t="array" ref="K315">IF(D315="Gadget",_xlfn.IFS(I315&gt;=0.2,0.5,I315&gt;=0.1,0.35,I315&gt;=0.05,0.2,TRUE,0),IF(D315="Grenade",_xlfn.IFS(I315&gt;=0.2,1,I315&gt;=0.1,0.7,I315&gt;=0.05,0.4,TRUE,0),0))</f>
        <v>0</v>
      </c>
      <c r="L315" s="57">
        <f t="shared" ref="L315:L316" si="115">IF($K315=0,0,$K315 / SUMIFS($K:$K,$A:$A,$A315,$D:$D,"Grenade"))</f>
        <v>0</v>
      </c>
    </row>
    <row r="316" spans="1:12" x14ac:dyDescent="0.25">
      <c r="A316" s="42" t="str" cm="1">
        <f t="array" ref="A316">IFERROR(INDEX(_xlfn._xlws.FILTER(Class_Players!A:A,Class_Players!B:B="Assault"),QUOTIENT(ROW()-ROW($A$2),7)+1),"")</f>
        <v>ManChild174790</v>
      </c>
      <c r="B316" s="42" t="str">
        <f>_xlfn.XLOOKUP(A316,Class_Players!$A:$A,Class_Players!$B:$B,"")</f>
        <v>Assault</v>
      </c>
      <c r="C316" s="48" t="str" cm="1">
        <f t="array" ref="C316">INDEX(Lookups!$A$2:$A$8,MOD(ROW()-ROW($B$2),ROWS(Lookups!$A$2:$A$8))+1)</f>
        <v>Flash Grenade</v>
      </c>
      <c r="D316" s="48" t="str">
        <f>_xlfn.XLOOKUP(C316,Analysis_Gadgets!$C:$C,Analysis_Gadgets!$B:$B)</f>
        <v>Grenade</v>
      </c>
      <c r="E316" s="43">
        <v>18</v>
      </c>
      <c r="F316" s="43">
        <f>_xlfn.XLOOKUP(A316,Class_Players!A:A,Class_Players!G:G)</f>
        <v>125</v>
      </c>
      <c r="G316" s="43">
        <f t="shared" si="113"/>
        <v>0.14399999999999999</v>
      </c>
      <c r="H316" s="43">
        <f>_xlfn.XLOOKUP(A316,Class_Players!$A:$A,Class_Players!$F:$F,"")</f>
        <v>13887</v>
      </c>
      <c r="I316" s="44">
        <f t="shared" si="114"/>
        <v>1.2961762799740765E-3</v>
      </c>
      <c r="J316" s="43">
        <f t="shared" si="103"/>
        <v>0</v>
      </c>
      <c r="K316" s="44" cm="1">
        <f t="array" ref="K316">IF(D316="Gadget",_xlfn.IFS(I316&gt;=0.2,0.5,I316&gt;=0.1,0.35,I316&gt;=0.05,0.2,TRUE,0),IF(D316="Grenade",_xlfn.IFS(I316&gt;=0.2,1,I316&gt;=0.1,0.7,I316&gt;=0.05,0.4,TRUE,0),0))</f>
        <v>0</v>
      </c>
      <c r="L316" s="57">
        <f t="shared" si="115"/>
        <v>0</v>
      </c>
    </row>
    <row r="317" spans="1:12" x14ac:dyDescent="0.25">
      <c r="A317" s="42" t="str" cm="1">
        <f t="array" ref="A317">IFERROR(INDEX(_xlfn._xlws.FILTER(Class_Players!A:A,Class_Players!B:B="Assault"),QUOTIENT(ROW()-ROW($A$2),7)+1),"")</f>
        <v>BlulessBlueberry</v>
      </c>
      <c r="B317" s="42" t="str">
        <f>_xlfn.XLOOKUP(A317,Class_Players!$A:$A,Class_Players!$B:$B,"")</f>
        <v>Assault</v>
      </c>
      <c r="C317" s="48" t="str" cm="1">
        <f t="array" ref="C317">INDEX(Lookups!$A$2:$A$8,MOD(ROW()-ROW($B$2),ROWS(Lookups!$A$2:$A$8))+1)</f>
        <v>Assault Ladder</v>
      </c>
      <c r="D317" s="48" t="str">
        <f>_xlfn.XLOOKUP(C317,Analysis_Gadgets!$C:$C,Analysis_Gadgets!$B:$B)</f>
        <v>Gadget</v>
      </c>
      <c r="E317" s="43">
        <v>553</v>
      </c>
      <c r="F317" s="43">
        <f>_xlfn.XLOOKUP(A317,Class_Players!A:A,Class_Players!G:G)</f>
        <v>304</v>
      </c>
      <c r="G317" s="43">
        <f t="shared" si="113"/>
        <v>1.819078947368421</v>
      </c>
      <c r="H317" s="43">
        <f>_xlfn.XLOOKUP(A317,Class_Players!$A:$A,Class_Players!$F:$F,"")</f>
        <v>10558</v>
      </c>
      <c r="I317" s="44">
        <f t="shared" si="114"/>
        <v>5.2377344193976133E-2</v>
      </c>
      <c r="J317" s="43">
        <f t="shared" si="103"/>
        <v>0</v>
      </c>
      <c r="K317" s="44" cm="1">
        <f t="array" ref="K317">IF(D317="Gadget",_xlfn.IFS(I317&gt;=0.2,0.5,I317&gt;=0.1,0.35,I317&gt;=0.05,0.2,TRUE,0),IF(D317="Grenade",_xlfn.IFS(I317&gt;=0.2,1,I317&gt;=0.1,0.7,I317&gt;=0.05,0.4,TRUE,0),0))</f>
        <v>0.2</v>
      </c>
      <c r="L317" s="57">
        <f t="shared" ref="L317:L321" si="116">IF($K317=0,0,$K317 / SUMIFS($K:$K,$A:$A,$A317,$D:$D,"Gadget"))</f>
        <v>0.16666666666666669</v>
      </c>
    </row>
    <row r="318" spans="1:12" x14ac:dyDescent="0.25">
      <c r="A318" s="42" t="str" cm="1">
        <f t="array" ref="A318">IFERROR(INDEX(_xlfn._xlws.FILTER(Class_Players!A:A,Class_Players!B:B="Assault"),QUOTIENT(ROW()-ROW($A$2),7)+1),"")</f>
        <v>BlulessBlueberry</v>
      </c>
      <c r="B318" s="42" t="str">
        <f>_xlfn.XLOOKUP(A318,Class_Players!$A:$A,Class_Players!$B:$B,"")</f>
        <v>Assault</v>
      </c>
      <c r="C318" s="48" t="str" cm="1">
        <f t="array" ref="C318">INDEX(Lookups!$A$2:$A$8,MOD(ROW()-ROW($B$2),ROWS(Lookups!$A$2:$A$8))+1)</f>
        <v>X95 BRE (Breaching Projectile Launcher)</v>
      </c>
      <c r="D318" s="48" t="str">
        <f>_xlfn.XLOOKUP(C318,Analysis_Gadgets!$C:$C,Analysis_Gadgets!$B:$B)</f>
        <v>Gadget</v>
      </c>
      <c r="E318" s="43">
        <v>3</v>
      </c>
      <c r="F318" s="43">
        <f>_xlfn.XLOOKUP(A318,Class_Players!A:A,Class_Players!G:G)</f>
        <v>304</v>
      </c>
      <c r="G318" s="43">
        <f t="shared" si="113"/>
        <v>9.8684210526315784E-3</v>
      </c>
      <c r="H318" s="43">
        <f>_xlfn.XLOOKUP(A318,Class_Players!$A:$A,Class_Players!$F:$F,"")</f>
        <v>10558</v>
      </c>
      <c r="I318" s="44">
        <f t="shared" si="114"/>
        <v>2.8414472437961733E-4</v>
      </c>
      <c r="J318" s="43">
        <f t="shared" si="103"/>
        <v>0</v>
      </c>
      <c r="K318" s="44" cm="1">
        <f t="array" ref="K318">IF(D318="Gadget",_xlfn.IFS(I318&gt;=0.2,0.5,I318&gt;=0.1,0.35,I318&gt;=0.05,0.2,TRUE,0),IF(D318="Grenade",_xlfn.IFS(I318&gt;=0.2,1,I318&gt;=0.1,0.7,I318&gt;=0.05,0.4,TRUE,0),0))</f>
        <v>0</v>
      </c>
      <c r="L318" s="57">
        <f t="shared" si="116"/>
        <v>0</v>
      </c>
    </row>
    <row r="319" spans="1:12" x14ac:dyDescent="0.25">
      <c r="A319" s="42" t="str" cm="1">
        <f t="array" ref="A319">IFERROR(INDEX(_xlfn._xlws.FILTER(Class_Players!A:A,Class_Players!B:B="Assault"),QUOTIENT(ROW()-ROW($A$2),7)+1),"")</f>
        <v>BlulessBlueberry</v>
      </c>
      <c r="B319" s="42" t="str">
        <f>_xlfn.XLOOKUP(A319,Class_Players!$A:$A,Class_Players!$B:$B,"")</f>
        <v>Assault</v>
      </c>
      <c r="C319" s="48" t="str" cm="1">
        <f t="array" ref="C319">INDEX(Lookups!$A$2:$A$8,MOD(ROW()-ROW($B$2),ROWS(Lookups!$A$2:$A$8))+1)</f>
        <v>M320A1 HE (Grenade Launcher)</v>
      </c>
      <c r="D319" s="48" t="str">
        <f>_xlfn.XLOOKUP(C319,Analysis_Gadgets!$C:$C,Analysis_Gadgets!$B:$B)</f>
        <v>Gadget</v>
      </c>
      <c r="E319" s="43">
        <v>5479</v>
      </c>
      <c r="F319" s="43">
        <f>_xlfn.XLOOKUP(A319,Class_Players!A:A,Class_Players!G:G)</f>
        <v>304</v>
      </c>
      <c r="G319" s="43">
        <f t="shared" si="113"/>
        <v>18.023026315789473</v>
      </c>
      <c r="H319" s="43">
        <f>_xlfn.XLOOKUP(A319,Class_Players!$A:$A,Class_Players!$F:$F,"")</f>
        <v>10558</v>
      </c>
      <c r="I319" s="44">
        <f t="shared" si="114"/>
        <v>0.51894298162530783</v>
      </c>
      <c r="J319" s="43">
        <f t="shared" si="103"/>
        <v>1</v>
      </c>
      <c r="K319" s="44" cm="1">
        <f t="array" ref="K319">IF(D319="Gadget",_xlfn.IFS(I319&gt;=0.2,0.5,I319&gt;=0.1,0.35,I319&gt;=0.05,0.2,TRUE,0),IF(D319="Grenade",_xlfn.IFS(I319&gt;=0.2,1,I319&gt;=0.1,0.7,I319&gt;=0.05,0.4,TRUE,0),0))</f>
        <v>0.5</v>
      </c>
      <c r="L319" s="57">
        <f t="shared" si="116"/>
        <v>0.41666666666666669</v>
      </c>
    </row>
    <row r="320" spans="1:12" x14ac:dyDescent="0.25">
      <c r="A320" s="42" t="str" cm="1">
        <f t="array" ref="A320">IFERROR(INDEX(_xlfn._xlws.FILTER(Class_Players!A:A,Class_Players!B:B="Assault"),QUOTIENT(ROW()-ROW($A$2),7)+1),"")</f>
        <v>BlulessBlueberry</v>
      </c>
      <c r="B320" s="42" t="str">
        <f>_xlfn.XLOOKUP(A320,Class_Players!$A:$A,Class_Players!$B:$B,"")</f>
        <v>Assault</v>
      </c>
      <c r="C320" s="48" t="str" cm="1">
        <f t="array" ref="C320">INDEX(Lookups!$A$2:$A$8,MOD(ROW()-ROW($B$2),ROWS(Lookups!$A$2:$A$8))+1)</f>
        <v>M320A1 THRM    (Incendiary Grenade Launcher)</v>
      </c>
      <c r="D320" s="48" t="str">
        <f>_xlfn.XLOOKUP(C320,Analysis_Gadgets!$C:$C,Analysis_Gadgets!$B:$B)</f>
        <v>Gadget</v>
      </c>
      <c r="E320" s="43">
        <v>48</v>
      </c>
      <c r="F320" s="43">
        <f>_xlfn.XLOOKUP(A320,Class_Players!A:A,Class_Players!G:G)</f>
        <v>304</v>
      </c>
      <c r="G320" s="43">
        <f t="shared" si="113"/>
        <v>0.15789473684210525</v>
      </c>
      <c r="H320" s="43">
        <f>_xlfn.XLOOKUP(A320,Class_Players!$A:$A,Class_Players!$F:$F,"")</f>
        <v>10558</v>
      </c>
      <c r="I320" s="44">
        <f t="shared" si="114"/>
        <v>4.5463155900738773E-3</v>
      </c>
      <c r="J320" s="43">
        <f t="shared" si="103"/>
        <v>0</v>
      </c>
      <c r="K320" s="44" cm="1">
        <f t="array" ref="K320">IF(D320="Gadget",_xlfn.IFS(I320&gt;=0.2,0.5,I320&gt;=0.1,0.35,I320&gt;=0.05,0.2,TRUE,0),IF(D320="Grenade",_xlfn.IFS(I320&gt;=0.2,1,I320&gt;=0.1,0.7,I320&gt;=0.05,0.4,TRUE,0),0))</f>
        <v>0</v>
      </c>
      <c r="L320" s="57">
        <f t="shared" si="116"/>
        <v>0</v>
      </c>
    </row>
    <row r="321" spans="1:12" x14ac:dyDescent="0.25">
      <c r="A321" s="42" t="str" cm="1">
        <f t="array" ref="A321">IFERROR(INDEX(_xlfn._xlws.FILTER(Class_Players!A:A,Class_Players!B:B="Assault"),QUOTIENT(ROW()-ROW($A$2),7)+1),"")</f>
        <v>BlulessBlueberry</v>
      </c>
      <c r="B321" s="42" t="str">
        <f>_xlfn.XLOOKUP(A321,Class_Players!$A:$A,Class_Players!$B:$B,"")</f>
        <v>Assault</v>
      </c>
      <c r="C321" s="48" t="str" cm="1">
        <f t="array" ref="C321">INDEX(Lookups!$A$2:$A$8,MOD(ROW()-ROW($B$2),ROWS(Lookups!$A$2:$A$8))+1)</f>
        <v>QLINK (Deploy Beacon)</v>
      </c>
      <c r="D321" s="48" t="str">
        <f>_xlfn.XLOOKUP(C321,Analysis_Gadgets!$C:$C,Analysis_Gadgets!$B:$B)</f>
        <v>Gadget</v>
      </c>
      <c r="E321" s="43">
        <v>4541</v>
      </c>
      <c r="F321" s="43">
        <f>_xlfn.XLOOKUP(A321,Class_Players!A:A,Class_Players!G:G)</f>
        <v>304</v>
      </c>
      <c r="G321" s="43">
        <f t="shared" si="113"/>
        <v>14.9375</v>
      </c>
      <c r="H321" s="43">
        <f>_xlfn.XLOOKUP(A321,Class_Players!$A:$A,Class_Players!$F:$F,"")</f>
        <v>10558</v>
      </c>
      <c r="I321" s="44">
        <f t="shared" si="114"/>
        <v>0.43010039780261411</v>
      </c>
      <c r="J321" s="43">
        <f t="shared" si="103"/>
        <v>1</v>
      </c>
      <c r="K321" s="44" cm="1">
        <f t="array" ref="K321">IF(D321="Gadget",_xlfn.IFS(I321&gt;=0.2,0.5,I321&gt;=0.1,0.35,I321&gt;=0.05,0.2,TRUE,0),IF(D321="Grenade",_xlfn.IFS(I321&gt;=0.2,1,I321&gt;=0.1,0.7,I321&gt;=0.05,0.4,TRUE,0),0))</f>
        <v>0.5</v>
      </c>
      <c r="L321" s="57">
        <f t="shared" si="116"/>
        <v>0.41666666666666669</v>
      </c>
    </row>
    <row r="322" spans="1:12" x14ac:dyDescent="0.25">
      <c r="A322" s="42" t="str" cm="1">
        <f t="array" ref="A322">IFERROR(INDEX(_xlfn._xlws.FILTER(Class_Players!A:A,Class_Players!B:B="Assault"),QUOTIENT(ROW()-ROW($A$2),7)+1),"")</f>
        <v>BlulessBlueberry</v>
      </c>
      <c r="B322" s="42" t="str">
        <f>_xlfn.XLOOKUP(A322,Class_Players!$A:$A,Class_Players!$B:$B,"")</f>
        <v>Assault</v>
      </c>
      <c r="C322" s="48" t="str" cm="1">
        <f t="array" ref="C322">INDEX(Lookups!$A$2:$A$8,MOD(ROW()-ROW($B$2),ROWS(Lookups!$A$2:$A$8))+1)</f>
        <v>Stun Grenade</v>
      </c>
      <c r="D322" s="48" t="str">
        <f>_xlfn.XLOOKUP(C322,Analysis_Gadgets!$C:$C,Analysis_Gadgets!$B:$B)</f>
        <v>Grenade</v>
      </c>
      <c r="E322" s="43">
        <v>163</v>
      </c>
      <c r="F322" s="43">
        <f>_xlfn.XLOOKUP(A322,Class_Players!A:A,Class_Players!G:G)</f>
        <v>304</v>
      </c>
      <c r="G322" s="43">
        <f t="shared" si="113"/>
        <v>0.53618421052631582</v>
      </c>
      <c r="H322" s="43">
        <f>_xlfn.XLOOKUP(A322,Class_Players!$A:$A,Class_Players!$F:$F,"")</f>
        <v>10558</v>
      </c>
      <c r="I322" s="44">
        <f t="shared" si="114"/>
        <v>1.5438530024625877E-2</v>
      </c>
      <c r="J322" s="43">
        <f t="shared" si="103"/>
        <v>0</v>
      </c>
      <c r="K322" s="44" cm="1">
        <f t="array" ref="K322">IF(D322="Gadget",_xlfn.IFS(I322&gt;=0.2,0.5,I322&gt;=0.1,0.35,I322&gt;=0.05,0.2,TRUE,0),IF(D322="Grenade",_xlfn.IFS(I322&gt;=0.2,1,I322&gt;=0.1,0.7,I322&gt;=0.05,0.4,TRUE,0),0))</f>
        <v>0</v>
      </c>
      <c r="L322" s="57">
        <f t="shared" ref="L322:L323" si="117">IF($K322=0,0,$K322 / SUMIFS($K:$K,$A:$A,$A322,$D:$D,"Grenade"))</f>
        <v>0</v>
      </c>
    </row>
    <row r="323" spans="1:12" x14ac:dyDescent="0.25">
      <c r="A323" s="42" t="str" cm="1">
        <f t="array" ref="A323">IFERROR(INDEX(_xlfn._xlws.FILTER(Class_Players!A:A,Class_Players!B:B="Assault"),QUOTIENT(ROW()-ROW($A$2),7)+1),"")</f>
        <v>BlulessBlueberry</v>
      </c>
      <c r="B323" s="42" t="str">
        <f>_xlfn.XLOOKUP(A323,Class_Players!$A:$A,Class_Players!$B:$B,"")</f>
        <v>Assault</v>
      </c>
      <c r="C323" s="48" t="str" cm="1">
        <f t="array" ref="C323">INDEX(Lookups!$A$2:$A$8,MOD(ROW()-ROW($B$2),ROWS(Lookups!$A$2:$A$8))+1)</f>
        <v>Flash Grenade</v>
      </c>
      <c r="D323" s="48" t="str">
        <f>_xlfn.XLOOKUP(C323,Analysis_Gadgets!$C:$C,Analysis_Gadgets!$B:$B)</f>
        <v>Grenade</v>
      </c>
      <c r="E323" s="43">
        <v>0</v>
      </c>
      <c r="F323" s="43">
        <f>_xlfn.XLOOKUP(A323,Class_Players!A:A,Class_Players!G:G)</f>
        <v>304</v>
      </c>
      <c r="G323" s="43">
        <f t="shared" si="113"/>
        <v>0</v>
      </c>
      <c r="H323" s="43">
        <f>_xlfn.XLOOKUP(A323,Class_Players!$A:$A,Class_Players!$F:$F,"")</f>
        <v>10558</v>
      </c>
      <c r="I323" s="44">
        <f t="shared" si="114"/>
        <v>0</v>
      </c>
      <c r="J323" s="43">
        <f t="shared" ref="J323:J386" si="118">IF(I323&gt;=0.1,1,0)</f>
        <v>0</v>
      </c>
      <c r="K323" s="44" cm="1">
        <f t="array" ref="K323">IF(D323="Gadget",_xlfn.IFS(I323&gt;=0.2,0.5,I323&gt;=0.1,0.35,I323&gt;=0.05,0.2,TRUE,0),IF(D323="Grenade",_xlfn.IFS(I323&gt;=0.2,1,I323&gt;=0.1,0.7,I323&gt;=0.05,0.4,TRUE,0),0))</f>
        <v>0</v>
      </c>
      <c r="L323" s="57">
        <f t="shared" si="117"/>
        <v>0</v>
      </c>
    </row>
    <row r="324" spans="1:12" x14ac:dyDescent="0.25">
      <c r="A324" s="42" t="str" cm="1">
        <f t="array" ref="A324">IFERROR(INDEX(_xlfn._xlws.FILTER(Class_Players!A:A,Class_Players!B:B="Assault"),QUOTIENT(ROW()-ROW($A$2),7)+1),"")</f>
        <v>Parashade</v>
      </c>
      <c r="B324" s="42" t="str">
        <f>_xlfn.XLOOKUP(A324,Class_Players!$A:$A,Class_Players!$B:$B,"")</f>
        <v>Assault</v>
      </c>
      <c r="C324" s="48" t="str" cm="1">
        <f t="array" ref="C324">INDEX(Lookups!$A$2:$A$8,MOD(ROW()-ROW($B$2),ROWS(Lookups!$A$2:$A$8))+1)</f>
        <v>Assault Ladder</v>
      </c>
      <c r="D324" s="48" t="str">
        <f>_xlfn.XLOOKUP(C324,Analysis_Gadgets!$C:$C,Analysis_Gadgets!$B:$B)</f>
        <v>Gadget</v>
      </c>
      <c r="E324" s="43">
        <v>5</v>
      </c>
      <c r="F324" s="43">
        <f>_xlfn.XLOOKUP(A324,Class_Players!A:A,Class_Players!G:G)</f>
        <v>192</v>
      </c>
      <c r="G324" s="43">
        <f t="shared" si="113"/>
        <v>2.6041666666666668E-2</v>
      </c>
      <c r="H324" s="43">
        <f>_xlfn.XLOOKUP(A324,Class_Players!$A:$A,Class_Players!$F:$F,"")</f>
        <v>10551</v>
      </c>
      <c r="I324" s="44">
        <f t="shared" si="114"/>
        <v>4.738887309259786E-4</v>
      </c>
      <c r="J324" s="43">
        <f t="shared" si="118"/>
        <v>0</v>
      </c>
      <c r="K324" s="44" cm="1">
        <f t="array" ref="K324">IF(D324="Gadget",_xlfn.IFS(I324&gt;=0.2,0.5,I324&gt;=0.1,0.35,I324&gt;=0.05,0.2,TRUE,0),IF(D324="Grenade",_xlfn.IFS(I324&gt;=0.2,1,I324&gt;=0.1,0.7,I324&gt;=0.05,0.4,TRUE,0),0))</f>
        <v>0</v>
      </c>
      <c r="L324" s="57">
        <f t="shared" ref="L324:L328" si="119">IF($K324=0,0,$K324 / SUMIFS($K:$K,$A:$A,$A324,$D:$D,"Gadget"))</f>
        <v>0</v>
      </c>
    </row>
    <row r="325" spans="1:12" x14ac:dyDescent="0.25">
      <c r="A325" s="42" t="str" cm="1">
        <f t="array" ref="A325">IFERROR(INDEX(_xlfn._xlws.FILTER(Class_Players!A:A,Class_Players!B:B="Assault"),QUOTIENT(ROW()-ROW($A$2),7)+1),"")</f>
        <v>Parashade</v>
      </c>
      <c r="B325" s="42" t="str">
        <f>_xlfn.XLOOKUP(A325,Class_Players!$A:$A,Class_Players!$B:$B,"")</f>
        <v>Assault</v>
      </c>
      <c r="C325" s="48" t="str" cm="1">
        <f t="array" ref="C325">INDEX(Lookups!$A$2:$A$8,MOD(ROW()-ROW($B$2),ROWS(Lookups!$A$2:$A$8))+1)</f>
        <v>X95 BRE (Breaching Projectile Launcher)</v>
      </c>
      <c r="D325" s="48" t="str">
        <f>_xlfn.XLOOKUP(C325,Analysis_Gadgets!$C:$C,Analysis_Gadgets!$B:$B)</f>
        <v>Gadget</v>
      </c>
      <c r="E325" s="43">
        <v>0</v>
      </c>
      <c r="F325" s="43">
        <f>_xlfn.XLOOKUP(A325,Class_Players!A:A,Class_Players!G:G)</f>
        <v>192</v>
      </c>
      <c r="G325" s="43">
        <f t="shared" si="113"/>
        <v>0</v>
      </c>
      <c r="H325" s="43">
        <f>_xlfn.XLOOKUP(A325,Class_Players!$A:$A,Class_Players!$F:$F,"")</f>
        <v>10551</v>
      </c>
      <c r="I325" s="44">
        <f t="shared" si="114"/>
        <v>0</v>
      </c>
      <c r="J325" s="43">
        <f t="shared" si="118"/>
        <v>0</v>
      </c>
      <c r="K325" s="44" cm="1">
        <f t="array" ref="K325">IF(D325="Gadget",_xlfn.IFS(I325&gt;=0.2,0.5,I325&gt;=0.1,0.35,I325&gt;=0.05,0.2,TRUE,0),IF(D325="Grenade",_xlfn.IFS(I325&gt;=0.2,1,I325&gt;=0.1,0.7,I325&gt;=0.05,0.4,TRUE,0),0))</f>
        <v>0</v>
      </c>
      <c r="L325" s="57">
        <f t="shared" si="119"/>
        <v>0</v>
      </c>
    </row>
    <row r="326" spans="1:12" x14ac:dyDescent="0.25">
      <c r="A326" s="42" t="str" cm="1">
        <f t="array" ref="A326">IFERROR(INDEX(_xlfn._xlws.FILTER(Class_Players!A:A,Class_Players!B:B="Assault"),QUOTIENT(ROW()-ROW($A$2),7)+1),"")</f>
        <v>Parashade</v>
      </c>
      <c r="B326" s="42" t="str">
        <f>_xlfn.XLOOKUP(A326,Class_Players!$A:$A,Class_Players!$B:$B,"")</f>
        <v>Assault</v>
      </c>
      <c r="C326" s="48" t="str" cm="1">
        <f t="array" ref="C326">INDEX(Lookups!$A$2:$A$8,MOD(ROW()-ROW($B$2),ROWS(Lookups!$A$2:$A$8))+1)</f>
        <v>M320A1 HE (Grenade Launcher)</v>
      </c>
      <c r="D326" s="48" t="str">
        <f>_xlfn.XLOOKUP(C326,Analysis_Gadgets!$C:$C,Analysis_Gadgets!$B:$B)</f>
        <v>Gadget</v>
      </c>
      <c r="E326" s="43">
        <v>5489</v>
      </c>
      <c r="F326" s="43">
        <f>_xlfn.XLOOKUP(A326,Class_Players!A:A,Class_Players!G:G)</f>
        <v>192</v>
      </c>
      <c r="G326" s="43">
        <f t="shared" si="113"/>
        <v>28.588541666666668</v>
      </c>
      <c r="H326" s="43">
        <f>_xlfn.XLOOKUP(A326,Class_Players!$A:$A,Class_Players!$F:$F,"")</f>
        <v>10551</v>
      </c>
      <c r="I326" s="44">
        <f t="shared" si="114"/>
        <v>0.52023504881053928</v>
      </c>
      <c r="J326" s="43">
        <f t="shared" si="118"/>
        <v>1</v>
      </c>
      <c r="K326" s="44" cm="1">
        <f t="array" ref="K326">IF(D326="Gadget",_xlfn.IFS(I326&gt;=0.2,0.5,I326&gt;=0.1,0.35,I326&gt;=0.05,0.2,TRUE,0),IF(D326="Grenade",_xlfn.IFS(I326&gt;=0.2,1,I326&gt;=0.1,0.7,I326&gt;=0.05,0.4,TRUE,0),0))</f>
        <v>0.5</v>
      </c>
      <c r="L326" s="57">
        <f t="shared" si="119"/>
        <v>1</v>
      </c>
    </row>
    <row r="327" spans="1:12" x14ac:dyDescent="0.25">
      <c r="A327" s="42" t="str" cm="1">
        <f t="array" ref="A327">IFERROR(INDEX(_xlfn._xlws.FILTER(Class_Players!A:A,Class_Players!B:B="Assault"),QUOTIENT(ROW()-ROW($A$2),7)+1),"")</f>
        <v>Parashade</v>
      </c>
      <c r="B327" s="42" t="str">
        <f>_xlfn.XLOOKUP(A327,Class_Players!$A:$A,Class_Players!$B:$B,"")</f>
        <v>Assault</v>
      </c>
      <c r="C327" s="48" t="str" cm="1">
        <f t="array" ref="C327">INDEX(Lookups!$A$2:$A$8,MOD(ROW()-ROW($B$2),ROWS(Lookups!$A$2:$A$8))+1)</f>
        <v>M320A1 THRM    (Incendiary Grenade Launcher)</v>
      </c>
      <c r="D327" s="48" t="str">
        <f>_xlfn.XLOOKUP(C327,Analysis_Gadgets!$C:$C,Analysis_Gadgets!$B:$B)</f>
        <v>Gadget</v>
      </c>
      <c r="E327" s="43">
        <v>0</v>
      </c>
      <c r="F327" s="43">
        <f>_xlfn.XLOOKUP(A327,Class_Players!A:A,Class_Players!G:G)</f>
        <v>192</v>
      </c>
      <c r="G327" s="43">
        <f t="shared" si="113"/>
        <v>0</v>
      </c>
      <c r="H327" s="43">
        <f>_xlfn.XLOOKUP(A327,Class_Players!$A:$A,Class_Players!$F:$F,"")</f>
        <v>10551</v>
      </c>
      <c r="I327" s="44">
        <f t="shared" si="114"/>
        <v>0</v>
      </c>
      <c r="J327" s="43">
        <f t="shared" si="118"/>
        <v>0</v>
      </c>
      <c r="K327" s="44" cm="1">
        <f t="array" ref="K327">IF(D327="Gadget",_xlfn.IFS(I327&gt;=0.2,0.5,I327&gt;=0.1,0.35,I327&gt;=0.05,0.2,TRUE,0),IF(D327="Grenade",_xlfn.IFS(I327&gt;=0.2,1,I327&gt;=0.1,0.7,I327&gt;=0.05,0.4,TRUE,0),0))</f>
        <v>0</v>
      </c>
      <c r="L327" s="57">
        <f t="shared" si="119"/>
        <v>0</v>
      </c>
    </row>
    <row r="328" spans="1:12" x14ac:dyDescent="0.25">
      <c r="A328" s="42" t="str" cm="1">
        <f t="array" ref="A328">IFERROR(INDEX(_xlfn._xlws.FILTER(Class_Players!A:A,Class_Players!B:B="Assault"),QUOTIENT(ROW()-ROW($A$2),7)+1),"")</f>
        <v>Parashade</v>
      </c>
      <c r="B328" s="42" t="str">
        <f>_xlfn.XLOOKUP(A328,Class_Players!$A:$A,Class_Players!$B:$B,"")</f>
        <v>Assault</v>
      </c>
      <c r="C328" s="48" t="str" cm="1">
        <f t="array" ref="C328">INDEX(Lookups!$A$2:$A$8,MOD(ROW()-ROW($B$2),ROWS(Lookups!$A$2:$A$8))+1)</f>
        <v>QLINK (Deploy Beacon)</v>
      </c>
      <c r="D328" s="48" t="str">
        <f>_xlfn.XLOOKUP(C328,Analysis_Gadgets!$C:$C,Analysis_Gadgets!$B:$B)</f>
        <v>Gadget</v>
      </c>
      <c r="E328" s="43">
        <v>8</v>
      </c>
      <c r="F328" s="43">
        <f>_xlfn.XLOOKUP(A328,Class_Players!A:A,Class_Players!G:G)</f>
        <v>192</v>
      </c>
      <c r="G328" s="43">
        <f t="shared" si="113"/>
        <v>4.1666666666666664E-2</v>
      </c>
      <c r="H328" s="43">
        <f>_xlfn.XLOOKUP(A328,Class_Players!$A:$A,Class_Players!$F:$F,"")</f>
        <v>10551</v>
      </c>
      <c r="I328" s="44">
        <f t="shared" si="114"/>
        <v>7.5822196948156578E-4</v>
      </c>
      <c r="J328" s="43">
        <f t="shared" si="118"/>
        <v>0</v>
      </c>
      <c r="K328" s="44" cm="1">
        <f t="array" ref="K328">IF(D328="Gadget",_xlfn.IFS(I328&gt;=0.2,0.5,I328&gt;=0.1,0.35,I328&gt;=0.05,0.2,TRUE,0),IF(D328="Grenade",_xlfn.IFS(I328&gt;=0.2,1,I328&gt;=0.1,0.7,I328&gt;=0.05,0.4,TRUE,0),0))</f>
        <v>0</v>
      </c>
      <c r="L328" s="57">
        <f t="shared" si="119"/>
        <v>0</v>
      </c>
    </row>
    <row r="329" spans="1:12" x14ac:dyDescent="0.25">
      <c r="A329" s="42" t="str" cm="1">
        <f t="array" ref="A329">IFERROR(INDEX(_xlfn._xlws.FILTER(Class_Players!A:A,Class_Players!B:B="Assault"),QUOTIENT(ROW()-ROW($A$2),7)+1),"")</f>
        <v>Parashade</v>
      </c>
      <c r="B329" s="42" t="str">
        <f>_xlfn.XLOOKUP(A329,Class_Players!$A:$A,Class_Players!$B:$B,"")</f>
        <v>Assault</v>
      </c>
      <c r="C329" s="48" t="str" cm="1">
        <f t="array" ref="C329">INDEX(Lookups!$A$2:$A$8,MOD(ROW()-ROW($B$2),ROWS(Lookups!$A$2:$A$8))+1)</f>
        <v>Stun Grenade</v>
      </c>
      <c r="D329" s="48" t="str">
        <f>_xlfn.XLOOKUP(C329,Analysis_Gadgets!$C:$C,Analysis_Gadgets!$B:$B)</f>
        <v>Grenade</v>
      </c>
      <c r="E329" s="43">
        <v>5</v>
      </c>
      <c r="F329" s="43">
        <f>_xlfn.XLOOKUP(A329,Class_Players!A:A,Class_Players!G:G)</f>
        <v>192</v>
      </c>
      <c r="G329" s="43">
        <f t="shared" si="113"/>
        <v>2.6041666666666668E-2</v>
      </c>
      <c r="H329" s="43">
        <f>_xlfn.XLOOKUP(A329,Class_Players!$A:$A,Class_Players!$F:$F,"")</f>
        <v>10551</v>
      </c>
      <c r="I329" s="44">
        <f t="shared" si="114"/>
        <v>4.738887309259786E-4</v>
      </c>
      <c r="J329" s="43">
        <f t="shared" si="118"/>
        <v>0</v>
      </c>
      <c r="K329" s="44" cm="1">
        <f t="array" ref="K329">IF(D329="Gadget",_xlfn.IFS(I329&gt;=0.2,0.5,I329&gt;=0.1,0.35,I329&gt;=0.05,0.2,TRUE,0),IF(D329="Grenade",_xlfn.IFS(I329&gt;=0.2,1,I329&gt;=0.1,0.7,I329&gt;=0.05,0.4,TRUE,0),0))</f>
        <v>0</v>
      </c>
      <c r="L329" s="57">
        <f t="shared" ref="L329:L330" si="120">IF($K329=0,0,$K329 / SUMIFS($K:$K,$A:$A,$A329,$D:$D,"Grenade"))</f>
        <v>0</v>
      </c>
    </row>
    <row r="330" spans="1:12" x14ac:dyDescent="0.25">
      <c r="A330" s="42" t="str" cm="1">
        <f t="array" ref="A330">IFERROR(INDEX(_xlfn._xlws.FILTER(Class_Players!A:A,Class_Players!B:B="Assault"),QUOTIENT(ROW()-ROW($A$2),7)+1),"")</f>
        <v>Parashade</v>
      </c>
      <c r="B330" s="42" t="str">
        <f>_xlfn.XLOOKUP(A330,Class_Players!$A:$A,Class_Players!$B:$B,"")</f>
        <v>Assault</v>
      </c>
      <c r="C330" s="48" t="str" cm="1">
        <f t="array" ref="C330">INDEX(Lookups!$A$2:$A$8,MOD(ROW()-ROW($B$2),ROWS(Lookups!$A$2:$A$8))+1)</f>
        <v>Flash Grenade</v>
      </c>
      <c r="D330" s="48" t="str">
        <f>_xlfn.XLOOKUP(C330,Analysis_Gadgets!$C:$C,Analysis_Gadgets!$B:$B)</f>
        <v>Grenade</v>
      </c>
      <c r="E330" s="43">
        <v>2</v>
      </c>
      <c r="F330" s="43">
        <f>_xlfn.XLOOKUP(A330,Class_Players!A:A,Class_Players!G:G)</f>
        <v>192</v>
      </c>
      <c r="G330" s="43">
        <f t="shared" si="113"/>
        <v>1.0416666666666666E-2</v>
      </c>
      <c r="H330" s="43">
        <f>_xlfn.XLOOKUP(A330,Class_Players!$A:$A,Class_Players!$F:$F,"")</f>
        <v>10551</v>
      </c>
      <c r="I330" s="44">
        <f t="shared" si="114"/>
        <v>1.8955549237039144E-4</v>
      </c>
      <c r="J330" s="43">
        <f t="shared" si="118"/>
        <v>0</v>
      </c>
      <c r="K330" s="44" cm="1">
        <f t="array" ref="K330">IF(D330="Gadget",_xlfn.IFS(I330&gt;=0.2,0.5,I330&gt;=0.1,0.35,I330&gt;=0.05,0.2,TRUE,0),IF(D330="Grenade",_xlfn.IFS(I330&gt;=0.2,1,I330&gt;=0.1,0.7,I330&gt;=0.05,0.4,TRUE,0),0))</f>
        <v>0</v>
      </c>
      <c r="L330" s="57">
        <f t="shared" si="120"/>
        <v>0</v>
      </c>
    </row>
    <row r="331" spans="1:12" x14ac:dyDescent="0.25">
      <c r="A331" s="42" t="str" cm="1">
        <f t="array" ref="A331">IFERROR(INDEX(_xlfn._xlws.FILTER(Class_Players!A:A,Class_Players!B:B="Assault"),QUOTIENT(ROW()-ROW($A$2),7)+1),"")</f>
        <v>KingEpyon1</v>
      </c>
      <c r="B331" s="42" t="str">
        <f>_xlfn.XLOOKUP(A331,Class_Players!$A:$A,Class_Players!$B:$B,"")</f>
        <v>Assault</v>
      </c>
      <c r="C331" s="48" t="str" cm="1">
        <f t="array" ref="C331">INDEX(Lookups!$A$2:$A$8,MOD(ROW()-ROW($B$2),ROWS(Lookups!$A$2:$A$8))+1)</f>
        <v>Assault Ladder</v>
      </c>
      <c r="D331" s="48" t="str">
        <f>_xlfn.XLOOKUP(C331,Analysis_Gadgets!$C:$C,Analysis_Gadgets!$B:$B)</f>
        <v>Gadget</v>
      </c>
      <c r="E331" s="43">
        <v>0</v>
      </c>
      <c r="F331" s="43">
        <f>_xlfn.XLOOKUP(A331,Class_Players!A:A,Class_Players!G:G)</f>
        <v>150</v>
      </c>
      <c r="G331" s="43">
        <f t="shared" si="113"/>
        <v>0</v>
      </c>
      <c r="H331" s="43">
        <f>_xlfn.XLOOKUP(A331,Class_Players!$A:$A,Class_Players!$F:$F,"")</f>
        <v>10864</v>
      </c>
      <c r="I331" s="44">
        <f t="shared" si="114"/>
        <v>0</v>
      </c>
      <c r="J331" s="43">
        <f t="shared" si="118"/>
        <v>0</v>
      </c>
      <c r="K331" s="44" cm="1">
        <f t="array" ref="K331">IF(D331="Gadget",_xlfn.IFS(I331&gt;=0.2,0.5,I331&gt;=0.1,0.35,I331&gt;=0.05,0.2,TRUE,0),IF(D331="Grenade",_xlfn.IFS(I331&gt;=0.2,1,I331&gt;=0.1,0.7,I331&gt;=0.05,0.4,TRUE,0),0))</f>
        <v>0</v>
      </c>
      <c r="L331" s="57">
        <f t="shared" ref="L331:L335" si="121">IF($K331=0,0,$K331 / SUMIFS($K:$K,$A:$A,$A331,$D:$D,"Gadget"))</f>
        <v>0</v>
      </c>
    </row>
    <row r="332" spans="1:12" x14ac:dyDescent="0.25">
      <c r="A332" s="42" t="str" cm="1">
        <f t="array" ref="A332">IFERROR(INDEX(_xlfn._xlws.FILTER(Class_Players!A:A,Class_Players!B:B="Assault"),QUOTIENT(ROW()-ROW($A$2),7)+1),"")</f>
        <v>KingEpyon1</v>
      </c>
      <c r="B332" s="42" t="str">
        <f>_xlfn.XLOOKUP(A332,Class_Players!$A:$A,Class_Players!$B:$B,"")</f>
        <v>Assault</v>
      </c>
      <c r="C332" s="48" t="str" cm="1">
        <f t="array" ref="C332">INDEX(Lookups!$A$2:$A$8,MOD(ROW()-ROW($B$2),ROWS(Lookups!$A$2:$A$8))+1)</f>
        <v>X95 BRE (Breaching Projectile Launcher)</v>
      </c>
      <c r="D332" s="48" t="str">
        <f>_xlfn.XLOOKUP(C332,Analysis_Gadgets!$C:$C,Analysis_Gadgets!$B:$B)</f>
        <v>Gadget</v>
      </c>
      <c r="E332" s="43">
        <v>34</v>
      </c>
      <c r="F332" s="43">
        <f>_xlfn.XLOOKUP(A332,Class_Players!A:A,Class_Players!G:G)</f>
        <v>150</v>
      </c>
      <c r="G332" s="43">
        <f t="shared" si="113"/>
        <v>0.22666666666666666</v>
      </c>
      <c r="H332" s="43">
        <f>_xlfn.XLOOKUP(A332,Class_Players!$A:$A,Class_Players!$F:$F,"")</f>
        <v>10864</v>
      </c>
      <c r="I332" s="44">
        <f t="shared" si="114"/>
        <v>3.1296023564064803E-3</v>
      </c>
      <c r="J332" s="43">
        <f t="shared" si="118"/>
        <v>0</v>
      </c>
      <c r="K332" s="44" cm="1">
        <f t="array" ref="K332">IF(D332="Gadget",_xlfn.IFS(I332&gt;=0.2,0.5,I332&gt;=0.1,0.35,I332&gt;=0.05,0.2,TRUE,0),IF(D332="Grenade",_xlfn.IFS(I332&gt;=0.2,1,I332&gt;=0.1,0.7,I332&gt;=0.05,0.4,TRUE,0),0))</f>
        <v>0</v>
      </c>
      <c r="L332" s="57">
        <f t="shared" si="121"/>
        <v>0</v>
      </c>
    </row>
    <row r="333" spans="1:12" x14ac:dyDescent="0.25">
      <c r="A333" s="42" t="str" cm="1">
        <f t="array" ref="A333">IFERROR(INDEX(_xlfn._xlws.FILTER(Class_Players!A:A,Class_Players!B:B="Assault"),QUOTIENT(ROW()-ROW($A$2),7)+1),"")</f>
        <v>KingEpyon1</v>
      </c>
      <c r="B333" s="42" t="str">
        <f>_xlfn.XLOOKUP(A333,Class_Players!$A:$A,Class_Players!$B:$B,"")</f>
        <v>Assault</v>
      </c>
      <c r="C333" s="48" t="str" cm="1">
        <f t="array" ref="C333">INDEX(Lookups!$A$2:$A$8,MOD(ROW()-ROW($B$2),ROWS(Lookups!$A$2:$A$8))+1)</f>
        <v>M320A1 HE (Grenade Launcher)</v>
      </c>
      <c r="D333" s="48" t="str">
        <f>_xlfn.XLOOKUP(C333,Analysis_Gadgets!$C:$C,Analysis_Gadgets!$B:$B)</f>
        <v>Gadget</v>
      </c>
      <c r="E333" s="43">
        <v>8012</v>
      </c>
      <c r="F333" s="43">
        <f>_xlfn.XLOOKUP(A333,Class_Players!A:A,Class_Players!G:G)</f>
        <v>150</v>
      </c>
      <c r="G333" s="43">
        <f t="shared" si="113"/>
        <v>53.413333333333334</v>
      </c>
      <c r="H333" s="43">
        <f>_xlfn.XLOOKUP(A333,Class_Players!$A:$A,Class_Players!$F:$F,"")</f>
        <v>10864</v>
      </c>
      <c r="I333" s="44">
        <f t="shared" si="114"/>
        <v>0.73748159057437412</v>
      </c>
      <c r="J333" s="43">
        <f t="shared" si="118"/>
        <v>1</v>
      </c>
      <c r="K333" s="44" cm="1">
        <f t="array" ref="K333">IF(D333="Gadget",_xlfn.IFS(I333&gt;=0.2,0.5,I333&gt;=0.1,0.35,I333&gt;=0.05,0.2,TRUE,0),IF(D333="Grenade",_xlfn.IFS(I333&gt;=0.2,1,I333&gt;=0.1,0.7,I333&gt;=0.05,0.4,TRUE,0),0))</f>
        <v>0.5</v>
      </c>
      <c r="L333" s="57">
        <f t="shared" si="121"/>
        <v>0.58823529411764708</v>
      </c>
    </row>
    <row r="334" spans="1:12" x14ac:dyDescent="0.25">
      <c r="A334" s="42" t="str" cm="1">
        <f t="array" ref="A334">IFERROR(INDEX(_xlfn._xlws.FILTER(Class_Players!A:A,Class_Players!B:B="Assault"),QUOTIENT(ROW()-ROW($A$2),7)+1),"")</f>
        <v>KingEpyon1</v>
      </c>
      <c r="B334" s="42" t="str">
        <f>_xlfn.XLOOKUP(A334,Class_Players!$A:$A,Class_Players!$B:$B,"")</f>
        <v>Assault</v>
      </c>
      <c r="C334" s="48" t="str" cm="1">
        <f t="array" ref="C334">INDEX(Lookups!$A$2:$A$8,MOD(ROW()-ROW($B$2),ROWS(Lookups!$A$2:$A$8))+1)</f>
        <v>M320A1 THRM    (Incendiary Grenade Launcher)</v>
      </c>
      <c r="D334" s="48" t="str">
        <f>_xlfn.XLOOKUP(C334,Analysis_Gadgets!$C:$C,Analysis_Gadgets!$B:$B)</f>
        <v>Gadget</v>
      </c>
      <c r="E334" s="43">
        <v>7</v>
      </c>
      <c r="F334" s="43">
        <f>_xlfn.XLOOKUP(A334,Class_Players!A:A,Class_Players!G:G)</f>
        <v>150</v>
      </c>
      <c r="G334" s="43">
        <f t="shared" si="113"/>
        <v>4.6666666666666669E-2</v>
      </c>
      <c r="H334" s="43">
        <f>_xlfn.XLOOKUP(A334,Class_Players!$A:$A,Class_Players!$F:$F,"")</f>
        <v>10864</v>
      </c>
      <c r="I334" s="44">
        <f t="shared" si="114"/>
        <v>6.4432989690721648E-4</v>
      </c>
      <c r="J334" s="43">
        <f t="shared" si="118"/>
        <v>0</v>
      </c>
      <c r="K334" s="44" cm="1">
        <f t="array" ref="K334">IF(D334="Gadget",_xlfn.IFS(I334&gt;=0.2,0.5,I334&gt;=0.1,0.35,I334&gt;=0.05,0.2,TRUE,0),IF(D334="Grenade",_xlfn.IFS(I334&gt;=0.2,1,I334&gt;=0.1,0.7,I334&gt;=0.05,0.4,TRUE,0),0))</f>
        <v>0</v>
      </c>
      <c r="L334" s="57">
        <f t="shared" si="121"/>
        <v>0</v>
      </c>
    </row>
    <row r="335" spans="1:12" x14ac:dyDescent="0.25">
      <c r="A335" s="42" t="str" cm="1">
        <f t="array" ref="A335">IFERROR(INDEX(_xlfn._xlws.FILTER(Class_Players!A:A,Class_Players!B:B="Assault"),QUOTIENT(ROW()-ROW($A$2),7)+1),"")</f>
        <v>KingEpyon1</v>
      </c>
      <c r="B335" s="42" t="str">
        <f>_xlfn.XLOOKUP(A335,Class_Players!$A:$A,Class_Players!$B:$B,"")</f>
        <v>Assault</v>
      </c>
      <c r="C335" s="48" t="str" cm="1">
        <f t="array" ref="C335">INDEX(Lookups!$A$2:$A$8,MOD(ROW()-ROW($B$2),ROWS(Lookups!$A$2:$A$8))+1)</f>
        <v>QLINK (Deploy Beacon)</v>
      </c>
      <c r="D335" s="48" t="str">
        <f>_xlfn.XLOOKUP(C335,Analysis_Gadgets!$C:$C,Analysis_Gadgets!$B:$B)</f>
        <v>Gadget</v>
      </c>
      <c r="E335" s="43">
        <v>1294</v>
      </c>
      <c r="F335" s="43">
        <f>_xlfn.XLOOKUP(A335,Class_Players!A:A,Class_Players!G:G)</f>
        <v>150</v>
      </c>
      <c r="G335" s="43">
        <f t="shared" si="113"/>
        <v>8.6266666666666669</v>
      </c>
      <c r="H335" s="43">
        <f>_xlfn.XLOOKUP(A335,Class_Players!$A:$A,Class_Players!$F:$F,"")</f>
        <v>10864</v>
      </c>
      <c r="I335" s="44">
        <f t="shared" si="114"/>
        <v>0.11910898379970544</v>
      </c>
      <c r="J335" s="43">
        <f t="shared" si="118"/>
        <v>1</v>
      </c>
      <c r="K335" s="44" cm="1">
        <f t="array" ref="K335">IF(D335="Gadget",_xlfn.IFS(I335&gt;=0.2,0.5,I335&gt;=0.1,0.35,I335&gt;=0.05,0.2,TRUE,0),IF(D335="Grenade",_xlfn.IFS(I335&gt;=0.2,1,I335&gt;=0.1,0.7,I335&gt;=0.05,0.4,TRUE,0),0))</f>
        <v>0.35</v>
      </c>
      <c r="L335" s="57">
        <f t="shared" si="121"/>
        <v>0.41176470588235292</v>
      </c>
    </row>
    <row r="336" spans="1:12" x14ac:dyDescent="0.25">
      <c r="A336" s="42" t="str" cm="1">
        <f t="array" ref="A336">IFERROR(INDEX(_xlfn._xlws.FILTER(Class_Players!A:A,Class_Players!B:B="Assault"),QUOTIENT(ROW()-ROW($A$2),7)+1),"")</f>
        <v>KingEpyon1</v>
      </c>
      <c r="B336" s="42" t="str">
        <f>_xlfn.XLOOKUP(A336,Class_Players!$A:$A,Class_Players!$B:$B,"")</f>
        <v>Assault</v>
      </c>
      <c r="C336" s="48" t="str" cm="1">
        <f t="array" ref="C336">INDEX(Lookups!$A$2:$A$8,MOD(ROW()-ROW($B$2),ROWS(Lookups!$A$2:$A$8))+1)</f>
        <v>Stun Grenade</v>
      </c>
      <c r="D336" s="48" t="str">
        <f>_xlfn.XLOOKUP(C336,Analysis_Gadgets!$C:$C,Analysis_Gadgets!$B:$B)</f>
        <v>Grenade</v>
      </c>
      <c r="E336" s="43">
        <v>329</v>
      </c>
      <c r="F336" s="43">
        <f>_xlfn.XLOOKUP(A336,Class_Players!A:A,Class_Players!G:G)</f>
        <v>150</v>
      </c>
      <c r="G336" s="43">
        <f t="shared" si="113"/>
        <v>2.1933333333333334</v>
      </c>
      <c r="H336" s="43">
        <f>_xlfn.XLOOKUP(A336,Class_Players!$A:$A,Class_Players!$F:$F,"")</f>
        <v>10864</v>
      </c>
      <c r="I336" s="44">
        <f t="shared" si="114"/>
        <v>3.0283505154639175E-2</v>
      </c>
      <c r="J336" s="43">
        <f t="shared" si="118"/>
        <v>0</v>
      </c>
      <c r="K336" s="44" cm="1">
        <f t="array" ref="K336">IF(D336="Gadget",_xlfn.IFS(I336&gt;=0.2,0.5,I336&gt;=0.1,0.35,I336&gt;=0.05,0.2,TRUE,0),IF(D336="Grenade",_xlfn.IFS(I336&gt;=0.2,1,I336&gt;=0.1,0.7,I336&gt;=0.05,0.4,TRUE,0),0))</f>
        <v>0</v>
      </c>
      <c r="L336" s="57">
        <f t="shared" ref="L336:L337" si="122">IF($K336=0,0,$K336 / SUMIFS($K:$K,$A:$A,$A336,$D:$D,"Grenade"))</f>
        <v>0</v>
      </c>
    </row>
    <row r="337" spans="1:12" x14ac:dyDescent="0.25">
      <c r="A337" s="42" t="str" cm="1">
        <f t="array" ref="A337">IFERROR(INDEX(_xlfn._xlws.FILTER(Class_Players!A:A,Class_Players!B:B="Assault"),QUOTIENT(ROW()-ROW($A$2),7)+1),"")</f>
        <v>KingEpyon1</v>
      </c>
      <c r="B337" s="42" t="str">
        <f>_xlfn.XLOOKUP(A337,Class_Players!$A:$A,Class_Players!$B:$B,"")</f>
        <v>Assault</v>
      </c>
      <c r="C337" s="48" t="str" cm="1">
        <f t="array" ref="C337">INDEX(Lookups!$A$2:$A$8,MOD(ROW()-ROW($B$2),ROWS(Lookups!$A$2:$A$8))+1)</f>
        <v>Flash Grenade</v>
      </c>
      <c r="D337" s="48" t="str">
        <f>_xlfn.XLOOKUP(C337,Analysis_Gadgets!$C:$C,Analysis_Gadgets!$B:$B)</f>
        <v>Grenade</v>
      </c>
      <c r="E337" s="43">
        <v>0</v>
      </c>
      <c r="F337" s="43">
        <f>_xlfn.XLOOKUP(A337,Class_Players!A:A,Class_Players!G:G)</f>
        <v>150</v>
      </c>
      <c r="G337" s="43">
        <f t="shared" si="113"/>
        <v>0</v>
      </c>
      <c r="H337" s="43">
        <f>_xlfn.XLOOKUP(A337,Class_Players!$A:$A,Class_Players!$F:$F,"")</f>
        <v>10864</v>
      </c>
      <c r="I337" s="44">
        <f t="shared" si="114"/>
        <v>0</v>
      </c>
      <c r="J337" s="43">
        <f t="shared" si="118"/>
        <v>0</v>
      </c>
      <c r="K337" s="44" cm="1">
        <f t="array" ref="K337">IF(D337="Gadget",_xlfn.IFS(I337&gt;=0.2,0.5,I337&gt;=0.1,0.35,I337&gt;=0.05,0.2,TRUE,0),IF(D337="Grenade",_xlfn.IFS(I337&gt;=0.2,1,I337&gt;=0.1,0.7,I337&gt;=0.05,0.4,TRUE,0),0))</f>
        <v>0</v>
      </c>
      <c r="L337" s="57">
        <f t="shared" si="122"/>
        <v>0</v>
      </c>
    </row>
    <row r="338" spans="1:12" x14ac:dyDescent="0.25">
      <c r="A338" s="42" t="str" cm="1">
        <f t="array" ref="A338">IFERROR(INDEX(_xlfn._xlws.FILTER(Class_Players!A:A,Class_Players!B:B="Assault"),QUOTIENT(ROW()-ROW($A$2),7)+1),"")</f>
        <v>EMA.Losec</v>
      </c>
      <c r="B338" s="42" t="str">
        <f>_xlfn.XLOOKUP(A338,Class_Players!$A:$A,Class_Players!$B:$B,"")</f>
        <v>Assault</v>
      </c>
      <c r="C338" s="48" t="str" cm="1">
        <f t="array" ref="C338">INDEX(Lookups!$A$2:$A$8,MOD(ROW()-ROW($B$2),ROWS(Lookups!$A$2:$A$8))+1)</f>
        <v>Assault Ladder</v>
      </c>
      <c r="D338" s="48" t="str">
        <f>_xlfn.XLOOKUP(C338,Analysis_Gadgets!$C:$C,Analysis_Gadgets!$B:$B)</f>
        <v>Gadget</v>
      </c>
      <c r="E338" s="43">
        <v>48</v>
      </c>
      <c r="F338" s="43">
        <f>_xlfn.XLOOKUP(A338,Class_Players!A:A,Class_Players!G:G)</f>
        <v>144</v>
      </c>
      <c r="G338" s="43">
        <f t="shared" si="113"/>
        <v>0.33333333333333331</v>
      </c>
      <c r="H338" s="43">
        <f>_xlfn.XLOOKUP(A338,Class_Players!$A:$A,Class_Players!$F:$F,"")</f>
        <v>10383</v>
      </c>
      <c r="I338" s="44">
        <f t="shared" si="114"/>
        <v>4.6229413464316674E-3</v>
      </c>
      <c r="J338" s="43">
        <f t="shared" si="118"/>
        <v>0</v>
      </c>
      <c r="K338" s="44" cm="1">
        <f t="array" ref="K338">IF(D338="Gadget",_xlfn.IFS(I338&gt;=0.2,0.5,I338&gt;=0.1,0.35,I338&gt;=0.05,0.2,TRUE,0),IF(D338="Grenade",_xlfn.IFS(I338&gt;=0.2,1,I338&gt;=0.1,0.7,I338&gt;=0.05,0.4,TRUE,0),0))</f>
        <v>0</v>
      </c>
      <c r="L338" s="57">
        <f t="shared" ref="L338:L342" si="123">IF($K338=0,0,$K338 / SUMIFS($K:$K,$A:$A,$A338,$D:$D,"Gadget"))</f>
        <v>0</v>
      </c>
    </row>
    <row r="339" spans="1:12" x14ac:dyDescent="0.25">
      <c r="A339" s="42" t="str" cm="1">
        <f t="array" ref="A339">IFERROR(INDEX(_xlfn._xlws.FILTER(Class_Players!A:A,Class_Players!B:B="Assault"),QUOTIENT(ROW()-ROW($A$2),7)+1),"")</f>
        <v>EMA.Losec</v>
      </c>
      <c r="B339" s="42" t="str">
        <f>_xlfn.XLOOKUP(A339,Class_Players!$A:$A,Class_Players!$B:$B,"")</f>
        <v>Assault</v>
      </c>
      <c r="C339" s="48" t="str" cm="1">
        <f t="array" ref="C339">INDEX(Lookups!$A$2:$A$8,MOD(ROW()-ROW($B$2),ROWS(Lookups!$A$2:$A$8))+1)</f>
        <v>X95 BRE (Breaching Projectile Launcher)</v>
      </c>
      <c r="D339" s="48" t="str">
        <f>_xlfn.XLOOKUP(C339,Analysis_Gadgets!$C:$C,Analysis_Gadgets!$B:$B)</f>
        <v>Gadget</v>
      </c>
      <c r="E339" s="43">
        <v>33</v>
      </c>
      <c r="F339" s="43">
        <f>_xlfn.XLOOKUP(A339,Class_Players!A:A,Class_Players!G:G)</f>
        <v>144</v>
      </c>
      <c r="G339" s="43">
        <f t="shared" si="113"/>
        <v>0.22916666666666666</v>
      </c>
      <c r="H339" s="43">
        <f>_xlfn.XLOOKUP(A339,Class_Players!$A:$A,Class_Players!$F:$F,"")</f>
        <v>10383</v>
      </c>
      <c r="I339" s="44">
        <f t="shared" si="114"/>
        <v>3.1782721756717712E-3</v>
      </c>
      <c r="J339" s="43">
        <f t="shared" si="118"/>
        <v>0</v>
      </c>
      <c r="K339" s="44" cm="1">
        <f t="array" ref="K339">IF(D339="Gadget",_xlfn.IFS(I339&gt;=0.2,0.5,I339&gt;=0.1,0.35,I339&gt;=0.05,0.2,TRUE,0),IF(D339="Grenade",_xlfn.IFS(I339&gt;=0.2,1,I339&gt;=0.1,0.7,I339&gt;=0.05,0.4,TRUE,0),0))</f>
        <v>0</v>
      </c>
      <c r="L339" s="57">
        <f t="shared" si="123"/>
        <v>0</v>
      </c>
    </row>
    <row r="340" spans="1:12" x14ac:dyDescent="0.25">
      <c r="A340" s="42" t="str" cm="1">
        <f t="array" ref="A340">IFERROR(INDEX(_xlfn._xlws.FILTER(Class_Players!A:A,Class_Players!B:B="Assault"),QUOTIENT(ROW()-ROW($A$2),7)+1),"")</f>
        <v>EMA.Losec</v>
      </c>
      <c r="B340" s="42" t="str">
        <f>_xlfn.XLOOKUP(A340,Class_Players!$A:$A,Class_Players!$B:$B,"")</f>
        <v>Assault</v>
      </c>
      <c r="C340" s="48" t="str" cm="1">
        <f t="array" ref="C340">INDEX(Lookups!$A$2:$A$8,MOD(ROW()-ROW($B$2),ROWS(Lookups!$A$2:$A$8))+1)</f>
        <v>M320A1 HE (Grenade Launcher)</v>
      </c>
      <c r="D340" s="48" t="str">
        <f>_xlfn.XLOOKUP(C340,Analysis_Gadgets!$C:$C,Analysis_Gadgets!$B:$B)</f>
        <v>Gadget</v>
      </c>
      <c r="E340" s="43">
        <v>1827</v>
      </c>
      <c r="F340" s="43">
        <f>_xlfn.XLOOKUP(A340,Class_Players!A:A,Class_Players!G:G)</f>
        <v>144</v>
      </c>
      <c r="G340" s="43">
        <f t="shared" si="113"/>
        <v>12.6875</v>
      </c>
      <c r="H340" s="43">
        <f>_xlfn.XLOOKUP(A340,Class_Players!$A:$A,Class_Players!$F:$F,"")</f>
        <v>10383</v>
      </c>
      <c r="I340" s="44">
        <f t="shared" si="114"/>
        <v>0.17596070499855532</v>
      </c>
      <c r="J340" s="43">
        <f t="shared" si="118"/>
        <v>1</v>
      </c>
      <c r="K340" s="44" cm="1">
        <f t="array" ref="K340">IF(D340="Gadget",_xlfn.IFS(I340&gt;=0.2,0.5,I340&gt;=0.1,0.35,I340&gt;=0.05,0.2,TRUE,0),IF(D340="Grenade",_xlfn.IFS(I340&gt;=0.2,1,I340&gt;=0.1,0.7,I340&gt;=0.05,0.4,TRUE,0),0))</f>
        <v>0.35</v>
      </c>
      <c r="L340" s="57">
        <f t="shared" si="123"/>
        <v>0.41176470588235292</v>
      </c>
    </row>
    <row r="341" spans="1:12" x14ac:dyDescent="0.25">
      <c r="A341" s="42" t="str" cm="1">
        <f t="array" ref="A341">IFERROR(INDEX(_xlfn._xlws.FILTER(Class_Players!A:A,Class_Players!B:B="Assault"),QUOTIENT(ROW()-ROW($A$2),7)+1),"")</f>
        <v>EMA.Losec</v>
      </c>
      <c r="B341" s="42" t="str">
        <f>_xlfn.XLOOKUP(A341,Class_Players!$A:$A,Class_Players!$B:$B,"")</f>
        <v>Assault</v>
      </c>
      <c r="C341" s="48" t="str" cm="1">
        <f t="array" ref="C341">INDEX(Lookups!$A$2:$A$8,MOD(ROW()-ROW($B$2),ROWS(Lookups!$A$2:$A$8))+1)</f>
        <v>M320A1 THRM    (Incendiary Grenade Launcher)</v>
      </c>
      <c r="D341" s="48" t="str">
        <f>_xlfn.XLOOKUP(C341,Analysis_Gadgets!$C:$C,Analysis_Gadgets!$B:$B)</f>
        <v>Gadget</v>
      </c>
      <c r="E341" s="43">
        <v>10387</v>
      </c>
      <c r="F341" s="43">
        <f>_xlfn.XLOOKUP(A341,Class_Players!A:A,Class_Players!G:G)</f>
        <v>144</v>
      </c>
      <c r="G341" s="43">
        <f t="shared" si="113"/>
        <v>72.131944444444443</v>
      </c>
      <c r="H341" s="43">
        <f>_xlfn.XLOOKUP(A341,Class_Players!$A:$A,Class_Players!$F:$F,"")</f>
        <v>10383</v>
      </c>
      <c r="I341" s="44">
        <f t="shared" si="114"/>
        <v>1.0003852451122026</v>
      </c>
      <c r="J341" s="43">
        <f t="shared" si="118"/>
        <v>1</v>
      </c>
      <c r="K341" s="44" cm="1">
        <f t="array" ref="K341">IF(D341="Gadget",_xlfn.IFS(I341&gt;=0.2,0.5,I341&gt;=0.1,0.35,I341&gt;=0.05,0.2,TRUE,0),IF(D341="Grenade",_xlfn.IFS(I341&gt;=0.2,1,I341&gt;=0.1,0.7,I341&gt;=0.05,0.4,TRUE,0),0))</f>
        <v>0.5</v>
      </c>
      <c r="L341" s="57">
        <f t="shared" si="123"/>
        <v>0.58823529411764708</v>
      </c>
    </row>
    <row r="342" spans="1:12" x14ac:dyDescent="0.25">
      <c r="A342" s="42" t="str" cm="1">
        <f t="array" ref="A342">IFERROR(INDEX(_xlfn._xlws.FILTER(Class_Players!A:A,Class_Players!B:B="Assault"),QUOTIENT(ROW()-ROW($A$2),7)+1),"")</f>
        <v>EMA.Losec</v>
      </c>
      <c r="B342" s="42" t="str">
        <f>_xlfn.XLOOKUP(A342,Class_Players!$A:$A,Class_Players!$B:$B,"")</f>
        <v>Assault</v>
      </c>
      <c r="C342" s="48" t="str" cm="1">
        <f t="array" ref="C342">INDEX(Lookups!$A$2:$A$8,MOD(ROW()-ROW($B$2),ROWS(Lookups!$A$2:$A$8))+1)</f>
        <v>QLINK (Deploy Beacon)</v>
      </c>
      <c r="D342" s="48" t="str">
        <f>_xlfn.XLOOKUP(C342,Analysis_Gadgets!$C:$C,Analysis_Gadgets!$B:$B)</f>
        <v>Gadget</v>
      </c>
      <c r="E342" s="43">
        <v>50</v>
      </c>
      <c r="F342" s="43">
        <f>_xlfn.XLOOKUP(A342,Class_Players!A:A,Class_Players!G:G)</f>
        <v>144</v>
      </c>
      <c r="G342" s="43">
        <f t="shared" si="113"/>
        <v>0.34722222222222221</v>
      </c>
      <c r="H342" s="43">
        <f>_xlfn.XLOOKUP(A342,Class_Players!$A:$A,Class_Players!$F:$F,"")</f>
        <v>10383</v>
      </c>
      <c r="I342" s="44">
        <f t="shared" si="114"/>
        <v>4.8155639025329868E-3</v>
      </c>
      <c r="J342" s="43">
        <f t="shared" si="118"/>
        <v>0</v>
      </c>
      <c r="K342" s="44" cm="1">
        <f t="array" ref="K342">IF(D342="Gadget",_xlfn.IFS(I342&gt;=0.2,0.5,I342&gt;=0.1,0.35,I342&gt;=0.05,0.2,TRUE,0),IF(D342="Grenade",_xlfn.IFS(I342&gt;=0.2,1,I342&gt;=0.1,0.7,I342&gt;=0.05,0.4,TRUE,0),0))</f>
        <v>0</v>
      </c>
      <c r="L342" s="57">
        <f t="shared" si="123"/>
        <v>0</v>
      </c>
    </row>
    <row r="343" spans="1:12" x14ac:dyDescent="0.25">
      <c r="A343" s="42" t="str" cm="1">
        <f t="array" ref="A343">IFERROR(INDEX(_xlfn._xlws.FILTER(Class_Players!A:A,Class_Players!B:B="Assault"),QUOTIENT(ROW()-ROW($A$2),7)+1),"")</f>
        <v>EMA.Losec</v>
      </c>
      <c r="B343" s="42" t="str">
        <f>_xlfn.XLOOKUP(A343,Class_Players!$A:$A,Class_Players!$B:$B,"")</f>
        <v>Assault</v>
      </c>
      <c r="C343" s="48" t="str" cm="1">
        <f t="array" ref="C343">INDEX(Lookups!$A$2:$A$8,MOD(ROW()-ROW($B$2),ROWS(Lookups!$A$2:$A$8))+1)</f>
        <v>Stun Grenade</v>
      </c>
      <c r="D343" s="48" t="str">
        <f>_xlfn.XLOOKUP(C343,Analysis_Gadgets!$C:$C,Analysis_Gadgets!$B:$B)</f>
        <v>Grenade</v>
      </c>
      <c r="E343" s="43">
        <v>30</v>
      </c>
      <c r="F343" s="43">
        <f>_xlfn.XLOOKUP(A343,Class_Players!A:A,Class_Players!G:G)</f>
        <v>144</v>
      </c>
      <c r="G343" s="43">
        <f t="shared" si="113"/>
        <v>0.20833333333333334</v>
      </c>
      <c r="H343" s="43">
        <f>_xlfn.XLOOKUP(A343,Class_Players!$A:$A,Class_Players!$F:$F,"")</f>
        <v>10383</v>
      </c>
      <c r="I343" s="44">
        <f t="shared" si="114"/>
        <v>2.889338341519792E-3</v>
      </c>
      <c r="J343" s="43">
        <f t="shared" si="118"/>
        <v>0</v>
      </c>
      <c r="K343" s="44" cm="1">
        <f t="array" ref="K343">IF(D343="Gadget",_xlfn.IFS(I343&gt;=0.2,0.5,I343&gt;=0.1,0.35,I343&gt;=0.05,0.2,TRUE,0),IF(D343="Grenade",_xlfn.IFS(I343&gt;=0.2,1,I343&gt;=0.1,0.7,I343&gt;=0.05,0.4,TRUE,0),0))</f>
        <v>0</v>
      </c>
      <c r="L343" s="57">
        <f t="shared" ref="L343:L344" si="124">IF($K343=0,0,$K343 / SUMIFS($K:$K,$A:$A,$A343,$D:$D,"Grenade"))</f>
        <v>0</v>
      </c>
    </row>
    <row r="344" spans="1:12" x14ac:dyDescent="0.25">
      <c r="A344" s="42" t="str" cm="1">
        <f t="array" ref="A344">IFERROR(INDEX(_xlfn._xlws.FILTER(Class_Players!A:A,Class_Players!B:B="Assault"),QUOTIENT(ROW()-ROW($A$2),7)+1),"")</f>
        <v>EMA.Losec</v>
      </c>
      <c r="B344" s="42" t="str">
        <f>_xlfn.XLOOKUP(A344,Class_Players!$A:$A,Class_Players!$B:$B,"")</f>
        <v>Assault</v>
      </c>
      <c r="C344" s="48" t="str" cm="1">
        <f t="array" ref="C344">INDEX(Lookups!$A$2:$A$8,MOD(ROW()-ROW($B$2),ROWS(Lookups!$A$2:$A$8))+1)</f>
        <v>Flash Grenade</v>
      </c>
      <c r="D344" s="48" t="str">
        <f>_xlfn.XLOOKUP(C344,Analysis_Gadgets!$C:$C,Analysis_Gadgets!$B:$B)</f>
        <v>Grenade</v>
      </c>
      <c r="E344" s="43">
        <v>1016</v>
      </c>
      <c r="F344" s="43">
        <f>_xlfn.XLOOKUP(A344,Class_Players!A:A,Class_Players!G:G)</f>
        <v>144</v>
      </c>
      <c r="G344" s="43">
        <f t="shared" si="113"/>
        <v>7.0555555555555554</v>
      </c>
      <c r="H344" s="43">
        <f>_xlfn.XLOOKUP(A344,Class_Players!$A:$A,Class_Players!$F:$F,"")</f>
        <v>10383</v>
      </c>
      <c r="I344" s="44">
        <f t="shared" si="114"/>
        <v>9.7852258499470282E-2</v>
      </c>
      <c r="J344" s="43">
        <f t="shared" si="118"/>
        <v>0</v>
      </c>
      <c r="K344" s="44" cm="1">
        <f t="array" ref="K344">IF(D344="Gadget",_xlfn.IFS(I344&gt;=0.2,0.5,I344&gt;=0.1,0.35,I344&gt;=0.05,0.2,TRUE,0),IF(D344="Grenade",_xlfn.IFS(I344&gt;=0.2,1,I344&gt;=0.1,0.7,I344&gt;=0.05,0.4,TRUE,0),0))</f>
        <v>0.4</v>
      </c>
      <c r="L344" s="57">
        <f t="shared" si="124"/>
        <v>1</v>
      </c>
    </row>
    <row r="345" spans="1:12" x14ac:dyDescent="0.25">
      <c r="A345" s="42" t="str" cm="1">
        <f t="array" ref="A345">IFERROR(INDEX(_xlfn._xlws.FILTER(Class_Players!A:A,Class_Players!B:B="Assault"),QUOTIENT(ROW()-ROW($A$2),7)+1),"")</f>
        <v>NoEsc4pe</v>
      </c>
      <c r="B345" s="42" t="str">
        <f>_xlfn.XLOOKUP(A345,Class_Players!$A:$A,Class_Players!$B:$B,"")</f>
        <v>Assault</v>
      </c>
      <c r="C345" s="48" t="str" cm="1">
        <f t="array" ref="C345">INDEX(Lookups!$A$2:$A$8,MOD(ROW()-ROW($B$2),ROWS(Lookups!$A$2:$A$8))+1)</f>
        <v>Assault Ladder</v>
      </c>
      <c r="D345" s="48" t="str">
        <f>_xlfn.XLOOKUP(C345,Analysis_Gadgets!$C:$C,Analysis_Gadgets!$B:$B)</f>
        <v>Gadget</v>
      </c>
      <c r="E345" s="43">
        <v>20</v>
      </c>
      <c r="F345" s="43">
        <f>_xlfn.XLOOKUP(A345,Class_Players!A:A,Class_Players!G:G)</f>
        <v>163</v>
      </c>
      <c r="G345" s="43">
        <f t="shared" si="113"/>
        <v>0.12269938650306748</v>
      </c>
      <c r="H345" s="43">
        <f>_xlfn.XLOOKUP(A345,Class_Players!$A:$A,Class_Players!$F:$F,"")</f>
        <v>10314</v>
      </c>
      <c r="I345" s="44">
        <f t="shared" si="114"/>
        <v>1.9391118867558659E-3</v>
      </c>
      <c r="J345" s="43">
        <f t="shared" si="118"/>
        <v>0</v>
      </c>
      <c r="K345" s="44" cm="1">
        <f t="array" ref="K345">IF(D345="Gadget",_xlfn.IFS(I345&gt;=0.2,0.5,I345&gt;=0.1,0.35,I345&gt;=0.05,0.2,TRUE,0),IF(D345="Grenade",_xlfn.IFS(I345&gt;=0.2,1,I345&gt;=0.1,0.7,I345&gt;=0.05,0.4,TRUE,0),0))</f>
        <v>0</v>
      </c>
      <c r="L345" s="57">
        <f t="shared" ref="L345:L356" si="125">IF($K345=0,0,$K345 / SUMIFS($K:$K,$A:$A,$A345,$D:$D,"Gadget"))</f>
        <v>0</v>
      </c>
    </row>
    <row r="346" spans="1:12" x14ac:dyDescent="0.25">
      <c r="A346" s="42" t="str" cm="1">
        <f t="array" ref="A346">IFERROR(INDEX(_xlfn._xlws.FILTER(Class_Players!A:A,Class_Players!B:B="Assault"),QUOTIENT(ROW()-ROW($A$2),7)+1),"")</f>
        <v>NoEsc4pe</v>
      </c>
      <c r="B346" s="42" t="str">
        <f>_xlfn.XLOOKUP(A346,Class_Players!$A:$A,Class_Players!$B:$B,"")</f>
        <v>Assault</v>
      </c>
      <c r="C346" s="48" t="str" cm="1">
        <f t="array" ref="C346">INDEX(Lookups!$A$2:$A$8,MOD(ROW()-ROW($B$2),ROWS(Lookups!$A$2:$A$8))+1)</f>
        <v>X95 BRE (Breaching Projectile Launcher)</v>
      </c>
      <c r="D346" s="48" t="str">
        <f>_xlfn.XLOOKUP(C346,Analysis_Gadgets!$C:$C,Analysis_Gadgets!$B:$B)</f>
        <v>Gadget</v>
      </c>
      <c r="E346" s="43">
        <v>0</v>
      </c>
      <c r="F346" s="43">
        <f>_xlfn.XLOOKUP(A346,Class_Players!A:A,Class_Players!G:G)</f>
        <v>163</v>
      </c>
      <c r="G346" s="43">
        <f t="shared" si="113"/>
        <v>0</v>
      </c>
      <c r="H346" s="43">
        <f>_xlfn.XLOOKUP(A346,Class_Players!$A:$A,Class_Players!$F:$F,"")</f>
        <v>10314</v>
      </c>
      <c r="I346" s="44">
        <f t="shared" si="114"/>
        <v>0</v>
      </c>
      <c r="J346" s="43">
        <f t="shared" si="118"/>
        <v>0</v>
      </c>
      <c r="K346" s="44" cm="1">
        <f t="array" ref="K346">IF(D346="Gadget",_xlfn.IFS(I346&gt;=0.2,0.5,I346&gt;=0.1,0.35,I346&gt;=0.05,0.2,TRUE,0),IF(D346="Grenade",_xlfn.IFS(I346&gt;=0.2,1,I346&gt;=0.1,0.7,I346&gt;=0.05,0.4,TRUE,0),0))</f>
        <v>0</v>
      </c>
      <c r="L346" s="57">
        <f t="shared" si="125"/>
        <v>0</v>
      </c>
    </row>
    <row r="347" spans="1:12" x14ac:dyDescent="0.25">
      <c r="A347" s="42" t="str" cm="1">
        <f t="array" ref="A347">IFERROR(INDEX(_xlfn._xlws.FILTER(Class_Players!A:A,Class_Players!B:B="Assault"),QUOTIENT(ROW()-ROW($A$2),7)+1),"")</f>
        <v>NoEsc4pe</v>
      </c>
      <c r="B347" s="42" t="str">
        <f>_xlfn.XLOOKUP(A347,Class_Players!$A:$A,Class_Players!$B:$B,"")</f>
        <v>Assault</v>
      </c>
      <c r="C347" s="48" t="str" cm="1">
        <f t="array" ref="C347">INDEX(Lookups!$A$2:$A$8,MOD(ROW()-ROW($B$2),ROWS(Lookups!$A$2:$A$8))+1)</f>
        <v>M320A1 HE (Grenade Launcher)</v>
      </c>
      <c r="D347" s="48" t="str">
        <f>_xlfn.XLOOKUP(C347,Analysis_Gadgets!$C:$C,Analysis_Gadgets!$B:$B)</f>
        <v>Gadget</v>
      </c>
      <c r="E347" s="43">
        <v>4893</v>
      </c>
      <c r="F347" s="43">
        <f>_xlfn.XLOOKUP(A347,Class_Players!A:A,Class_Players!G:G)</f>
        <v>163</v>
      </c>
      <c r="G347" s="43">
        <f t="shared" si="113"/>
        <v>30.018404907975459</v>
      </c>
      <c r="H347" s="43">
        <f>_xlfn.XLOOKUP(A347,Class_Players!$A:$A,Class_Players!$F:$F,"")</f>
        <v>10314</v>
      </c>
      <c r="I347" s="44">
        <f t="shared" si="114"/>
        <v>0.47440372309482259</v>
      </c>
      <c r="J347" s="43">
        <f t="shared" si="118"/>
        <v>1</v>
      </c>
      <c r="K347" s="44" cm="1">
        <f t="array" ref="K347">IF(D347="Gadget",_xlfn.IFS(I347&gt;=0.2,0.5,I347&gt;=0.1,0.35,I347&gt;=0.05,0.2,TRUE,0),IF(D347="Grenade",_xlfn.IFS(I347&gt;=0.2,1,I347&gt;=0.1,0.7,I347&gt;=0.05,0.4,TRUE,0),0))</f>
        <v>0.5</v>
      </c>
      <c r="L347" s="57">
        <f t="shared" si="125"/>
        <v>0.7142857142857143</v>
      </c>
    </row>
    <row r="348" spans="1:12" x14ac:dyDescent="0.25">
      <c r="A348" s="42" t="str" cm="1">
        <f t="array" ref="A348">IFERROR(INDEX(_xlfn._xlws.FILTER(Class_Players!A:A,Class_Players!B:B="Assault"),QUOTIENT(ROW()-ROW($A$2),7)+1),"")</f>
        <v>NoEsc4pe</v>
      </c>
      <c r="B348" s="42" t="str">
        <f>_xlfn.XLOOKUP(A348,Class_Players!$A:$A,Class_Players!$B:$B,"")</f>
        <v>Assault</v>
      </c>
      <c r="C348" s="48" t="str" cm="1">
        <f t="array" ref="C348">INDEX(Lookups!$A$2:$A$8,MOD(ROW()-ROW($B$2),ROWS(Lookups!$A$2:$A$8))+1)</f>
        <v>M320A1 THRM    (Incendiary Grenade Launcher)</v>
      </c>
      <c r="D348" s="48" t="str">
        <f>_xlfn.XLOOKUP(C348,Analysis_Gadgets!$C:$C,Analysis_Gadgets!$B:$B)</f>
        <v>Gadget</v>
      </c>
      <c r="E348" s="43">
        <v>375</v>
      </c>
      <c r="F348" s="43">
        <f>_xlfn.XLOOKUP(A348,Class_Players!A:A,Class_Players!G:G)</f>
        <v>163</v>
      </c>
      <c r="G348" s="43">
        <f t="shared" si="113"/>
        <v>2.3006134969325154</v>
      </c>
      <c r="H348" s="43">
        <f>_xlfn.XLOOKUP(A348,Class_Players!$A:$A,Class_Players!$F:$F,"")</f>
        <v>10314</v>
      </c>
      <c r="I348" s="44">
        <f t="shared" si="114"/>
        <v>3.6358347876672484E-2</v>
      </c>
      <c r="J348" s="43">
        <f t="shared" si="118"/>
        <v>0</v>
      </c>
      <c r="K348" s="44" cm="1">
        <f t="array" ref="K348">IF(D348="Gadget",_xlfn.IFS(I348&gt;=0.2,0.5,I348&gt;=0.1,0.35,I348&gt;=0.05,0.2,TRUE,0),IF(D348="Grenade",_xlfn.IFS(I348&gt;=0.2,1,I348&gt;=0.1,0.7,I348&gt;=0.05,0.4,TRUE,0),0))</f>
        <v>0</v>
      </c>
      <c r="L348" s="57">
        <f t="shared" si="125"/>
        <v>0</v>
      </c>
    </row>
    <row r="349" spans="1:12" x14ac:dyDescent="0.25">
      <c r="A349" s="42" t="str" cm="1">
        <f t="array" ref="A349">IFERROR(INDEX(_xlfn._xlws.FILTER(Class_Players!A:A,Class_Players!B:B="Assault"),QUOTIENT(ROW()-ROW($A$2),7)+1),"")</f>
        <v>NoEsc4pe</v>
      </c>
      <c r="B349" s="42" t="str">
        <f>_xlfn.XLOOKUP(A349,Class_Players!$A:$A,Class_Players!$B:$B,"")</f>
        <v>Assault</v>
      </c>
      <c r="C349" s="48" t="str" cm="1">
        <f t="array" ref="C349">INDEX(Lookups!$A$2:$A$8,MOD(ROW()-ROW($B$2),ROWS(Lookups!$A$2:$A$8))+1)</f>
        <v>QLINK (Deploy Beacon)</v>
      </c>
      <c r="D349" s="48" t="str">
        <f>_xlfn.XLOOKUP(C349,Analysis_Gadgets!$C:$C,Analysis_Gadgets!$B:$B)</f>
        <v>Gadget</v>
      </c>
      <c r="E349" s="43">
        <v>516</v>
      </c>
      <c r="F349" s="43">
        <f>_xlfn.XLOOKUP(A349,Class_Players!A:A,Class_Players!G:G)</f>
        <v>163</v>
      </c>
      <c r="G349" s="43">
        <f t="shared" si="113"/>
        <v>3.165644171779141</v>
      </c>
      <c r="H349" s="43">
        <f>_xlfn.XLOOKUP(A349,Class_Players!$A:$A,Class_Players!$F:$F,"")</f>
        <v>10314</v>
      </c>
      <c r="I349" s="44">
        <f t="shared" si="114"/>
        <v>5.0029086678301339E-2</v>
      </c>
      <c r="J349" s="43">
        <f t="shared" si="118"/>
        <v>0</v>
      </c>
      <c r="K349" s="44" cm="1">
        <f t="array" ref="K349">IF(D349="Gadget",_xlfn.IFS(I349&gt;=0.2,0.5,I349&gt;=0.1,0.35,I349&gt;=0.05,0.2,TRUE,0),IF(D349="Grenade",_xlfn.IFS(I349&gt;=0.2,1,I349&gt;=0.1,0.7,I349&gt;=0.05,0.4,TRUE,0),0))</f>
        <v>0.2</v>
      </c>
      <c r="L349" s="57">
        <f t="shared" si="125"/>
        <v>0.28571428571428575</v>
      </c>
    </row>
    <row r="350" spans="1:12" x14ac:dyDescent="0.25">
      <c r="A350" s="42" t="str" cm="1">
        <f t="array" ref="A350">IFERROR(INDEX(_xlfn._xlws.FILTER(Class_Players!A:A,Class_Players!B:B="Assault"),QUOTIENT(ROW()-ROW($A$2),7)+1),"")</f>
        <v>NoEsc4pe</v>
      </c>
      <c r="B350" s="42" t="str">
        <f>_xlfn.XLOOKUP(A350,Class_Players!$A:$A,Class_Players!$B:$B,"")</f>
        <v>Assault</v>
      </c>
      <c r="C350" s="48" t="str" cm="1">
        <f t="array" ref="C350">INDEX(Lookups!$A$2:$A$8,MOD(ROW()-ROW($B$2),ROWS(Lookups!$A$2:$A$8))+1)</f>
        <v>Stun Grenade</v>
      </c>
      <c r="D350" s="48" t="str">
        <f>_xlfn.XLOOKUP(C350,Analysis_Gadgets!$C:$C,Analysis_Gadgets!$B:$B)</f>
        <v>Grenade</v>
      </c>
      <c r="E350" s="43">
        <v>187</v>
      </c>
      <c r="F350" s="43">
        <f>_xlfn.XLOOKUP(A350,Class_Players!A:A,Class_Players!G:G)</f>
        <v>163</v>
      </c>
      <c r="G350" s="43">
        <f t="shared" si="113"/>
        <v>1.147239263803681</v>
      </c>
      <c r="H350" s="43">
        <f>_xlfn.XLOOKUP(A350,Class_Players!$A:$A,Class_Players!$F:$F,"")</f>
        <v>10314</v>
      </c>
      <c r="I350" s="44">
        <f t="shared" si="114"/>
        <v>1.8130696141167347E-2</v>
      </c>
      <c r="J350" s="43">
        <f t="shared" si="118"/>
        <v>0</v>
      </c>
      <c r="K350" s="44" cm="1">
        <f t="array" ref="K350">IF(D350="Gadget",_xlfn.IFS(I350&gt;=0.2,0.5,I350&gt;=0.1,0.35,I350&gt;=0.05,0.2,TRUE,0),IF(D350="Grenade",_xlfn.IFS(I350&gt;=0.2,1,I350&gt;=0.1,0.7,I350&gt;=0.05,0.4,TRUE,0),0))</f>
        <v>0</v>
      </c>
      <c r="L350" s="57">
        <f t="shared" ref="L350:L358" si="126">IF($K350=0,0,$K350 / SUMIFS($K:$K,$A:$A,$A350,$D:$D,"Grenade"))</f>
        <v>0</v>
      </c>
    </row>
    <row r="351" spans="1:12" x14ac:dyDescent="0.25">
      <c r="A351" s="42" t="str" cm="1">
        <f t="array" ref="A351">IFERROR(INDEX(_xlfn._xlws.FILTER(Class_Players!A:A,Class_Players!B:B="Assault"),QUOTIENT(ROW()-ROW($A$2),7)+1),"")</f>
        <v>NoEsc4pe</v>
      </c>
      <c r="B351" s="42" t="str">
        <f>_xlfn.XLOOKUP(A351,Class_Players!$A:$A,Class_Players!$B:$B,"")</f>
        <v>Assault</v>
      </c>
      <c r="C351" s="48" t="str" cm="1">
        <f t="array" ref="C351">INDEX(Lookups!$A$2:$A$8,MOD(ROW()-ROW($B$2),ROWS(Lookups!$A$2:$A$8))+1)</f>
        <v>Flash Grenade</v>
      </c>
      <c r="D351" s="48" t="str">
        <f>_xlfn.XLOOKUP(C351,Analysis_Gadgets!$C:$C,Analysis_Gadgets!$B:$B)</f>
        <v>Grenade</v>
      </c>
      <c r="E351" s="43">
        <v>19</v>
      </c>
      <c r="F351" s="43">
        <f>_xlfn.XLOOKUP(A351,Class_Players!A:A,Class_Players!G:G)</f>
        <v>163</v>
      </c>
      <c r="G351" s="43">
        <f t="shared" si="113"/>
        <v>0.1165644171779141</v>
      </c>
      <c r="H351" s="43">
        <f>_xlfn.XLOOKUP(A351,Class_Players!$A:$A,Class_Players!$F:$F,"")</f>
        <v>10314</v>
      </c>
      <c r="I351" s="44">
        <f t="shared" si="114"/>
        <v>1.8421562924180726E-3</v>
      </c>
      <c r="J351" s="43">
        <f t="shared" si="118"/>
        <v>0</v>
      </c>
      <c r="K351" s="44" cm="1">
        <f t="array" ref="K351">IF(D351="Gadget",_xlfn.IFS(I351&gt;=0.2,0.5,I351&gt;=0.1,0.35,I351&gt;=0.05,0.2,TRUE,0),IF(D351="Grenade",_xlfn.IFS(I351&gt;=0.2,1,I351&gt;=0.1,0.7,I351&gt;=0.05,0.4,TRUE,0),0))</f>
        <v>0</v>
      </c>
      <c r="L351" s="57">
        <f t="shared" si="126"/>
        <v>0</v>
      </c>
    </row>
    <row r="352" spans="1:12" x14ac:dyDescent="0.25">
      <c r="A352" s="42" t="str" cm="1">
        <f t="array" ref="A352">IFERROR(INDEX(_xlfn._xlws.FILTER(Class_Players!A:A,Class_Players!B:B="Assault"),QUOTIENT(ROW()-ROW($A$2),7)+1),"")</f>
        <v>Tonylovakmer</v>
      </c>
      <c r="B352" s="42" t="str">
        <f>_xlfn.XLOOKUP(A352,Class_Players!$A:$A,Class_Players!$B:$B,"")</f>
        <v>Assault</v>
      </c>
      <c r="C352" s="48" t="str" cm="1">
        <f t="array" ref="C352">INDEX(Lookups!$A$2:$A$8,MOD(ROW()-ROW($B$2),ROWS(Lookups!$A$2:$A$8))+1)</f>
        <v>Assault Ladder</v>
      </c>
      <c r="D352" s="48" t="str">
        <f>_xlfn.XLOOKUP(C352,Analysis_Gadgets!$C:$C,Analysis_Gadgets!$B:$B)</f>
        <v>Gadget</v>
      </c>
      <c r="E352" s="43">
        <v>0</v>
      </c>
      <c r="F352" s="43">
        <f>_xlfn.XLOOKUP(A352,Class_Players!A:A,Class_Players!G:G)</f>
        <v>127</v>
      </c>
      <c r="G352" s="43">
        <f t="shared" ref="G352:G358" si="127">IF(F352=0,"",E352/F352)</f>
        <v>0</v>
      </c>
      <c r="H352" s="43">
        <f>_xlfn.XLOOKUP(A352,Class_Players!$A:$A,Class_Players!$F:$F,"")</f>
        <v>10513</v>
      </c>
      <c r="I352" s="44">
        <f t="shared" ref="I352:I358" si="128">IF(H352=0,"",E352/H352)</f>
        <v>0</v>
      </c>
      <c r="J352" s="43">
        <f t="shared" si="118"/>
        <v>0</v>
      </c>
      <c r="K352" s="44" cm="1">
        <f t="array" ref="K352">IF(D352="Gadget",_xlfn.IFS(I352&gt;=0.2,0.5,I352&gt;=0.1,0.35,I352&gt;=0.05,0.2,TRUE,0),IF(D352="Grenade",_xlfn.IFS(I352&gt;=0.2,1,I352&gt;=0.1,0.7,I352&gt;=0.05,0.4,TRUE,0),0))</f>
        <v>0</v>
      </c>
      <c r="L352" s="57">
        <f t="shared" si="125"/>
        <v>0</v>
      </c>
    </row>
    <row r="353" spans="1:12" x14ac:dyDescent="0.25">
      <c r="A353" s="42" t="str" cm="1">
        <f t="array" ref="A353">IFERROR(INDEX(_xlfn._xlws.FILTER(Class_Players!A:A,Class_Players!B:B="Assault"),QUOTIENT(ROW()-ROW($A$2),7)+1),"")</f>
        <v>Tonylovakmer</v>
      </c>
      <c r="B353" s="42" t="str">
        <f>_xlfn.XLOOKUP(A353,Class_Players!$A:$A,Class_Players!$B:$B,"")</f>
        <v>Assault</v>
      </c>
      <c r="C353" s="48" t="str" cm="1">
        <f t="array" ref="C353">INDEX(Lookups!$A$2:$A$8,MOD(ROW()-ROW($B$2),ROWS(Lookups!$A$2:$A$8))+1)</f>
        <v>X95 BRE (Breaching Projectile Launcher)</v>
      </c>
      <c r="D353" s="48" t="str">
        <f>_xlfn.XLOOKUP(C353,Analysis_Gadgets!$C:$C,Analysis_Gadgets!$B:$B)</f>
        <v>Gadget</v>
      </c>
      <c r="E353" s="43">
        <v>0</v>
      </c>
      <c r="F353" s="43">
        <f>_xlfn.XLOOKUP(A353,Class_Players!A:A,Class_Players!G:G)</f>
        <v>127</v>
      </c>
      <c r="G353" s="43">
        <f t="shared" si="127"/>
        <v>0</v>
      </c>
      <c r="H353" s="43">
        <f>_xlfn.XLOOKUP(A353,Class_Players!$A:$A,Class_Players!$F:$F,"")</f>
        <v>10513</v>
      </c>
      <c r="I353" s="44">
        <f t="shared" si="128"/>
        <v>0</v>
      </c>
      <c r="J353" s="43">
        <f t="shared" si="118"/>
        <v>0</v>
      </c>
      <c r="K353" s="44" cm="1">
        <f t="array" ref="K353">IF(D353="Gadget",_xlfn.IFS(I353&gt;=0.2,0.5,I353&gt;=0.1,0.35,I353&gt;=0.05,0.2,TRUE,0),IF(D353="Grenade",_xlfn.IFS(I353&gt;=0.2,1,I353&gt;=0.1,0.7,I353&gt;=0.05,0.4,TRUE,0),0))</f>
        <v>0</v>
      </c>
      <c r="L353" s="57">
        <f t="shared" si="125"/>
        <v>0</v>
      </c>
    </row>
    <row r="354" spans="1:12" x14ac:dyDescent="0.25">
      <c r="A354" s="42" t="str" cm="1">
        <f t="array" ref="A354">IFERROR(INDEX(_xlfn._xlws.FILTER(Class_Players!A:A,Class_Players!B:B="Assault"),QUOTIENT(ROW()-ROW($A$2),7)+1),"")</f>
        <v>Tonylovakmer</v>
      </c>
      <c r="B354" s="42" t="str">
        <f>_xlfn.XLOOKUP(A354,Class_Players!$A:$A,Class_Players!$B:$B,"")</f>
        <v>Assault</v>
      </c>
      <c r="C354" s="48" t="str" cm="1">
        <f t="array" ref="C354">INDEX(Lookups!$A$2:$A$8,MOD(ROW()-ROW($B$2),ROWS(Lookups!$A$2:$A$8))+1)</f>
        <v>M320A1 HE (Grenade Launcher)</v>
      </c>
      <c r="D354" s="48" t="str">
        <f>_xlfn.XLOOKUP(C354,Analysis_Gadgets!$C:$C,Analysis_Gadgets!$B:$B)</f>
        <v>Gadget</v>
      </c>
      <c r="E354" s="43">
        <v>46</v>
      </c>
      <c r="F354" s="43">
        <f>_xlfn.XLOOKUP(A354,Class_Players!A:A,Class_Players!G:G)</f>
        <v>127</v>
      </c>
      <c r="G354" s="43">
        <f t="shared" si="127"/>
        <v>0.36220472440944884</v>
      </c>
      <c r="H354" s="43">
        <f>_xlfn.XLOOKUP(A354,Class_Players!$A:$A,Class_Players!$F:$F,"")</f>
        <v>10513</v>
      </c>
      <c r="I354" s="44">
        <f t="shared" si="128"/>
        <v>4.3755350518405785E-3</v>
      </c>
      <c r="J354" s="43">
        <f t="shared" si="118"/>
        <v>0</v>
      </c>
      <c r="K354" s="44" cm="1">
        <f t="array" ref="K354">IF(D354="Gadget",_xlfn.IFS(I354&gt;=0.2,0.5,I354&gt;=0.1,0.35,I354&gt;=0.05,0.2,TRUE,0),IF(D354="Grenade",_xlfn.IFS(I354&gt;=0.2,1,I354&gt;=0.1,0.7,I354&gt;=0.05,0.4,TRUE,0),0))</f>
        <v>0</v>
      </c>
      <c r="L354" s="57">
        <f t="shared" si="125"/>
        <v>0</v>
      </c>
    </row>
    <row r="355" spans="1:12" x14ac:dyDescent="0.25">
      <c r="A355" s="42" t="str" cm="1">
        <f t="array" ref="A355">IFERROR(INDEX(_xlfn._xlws.FILTER(Class_Players!A:A,Class_Players!B:B="Assault"),QUOTIENT(ROW()-ROW($A$2),7)+1),"")</f>
        <v>Tonylovakmer</v>
      </c>
      <c r="B355" s="42" t="str">
        <f>_xlfn.XLOOKUP(A355,Class_Players!$A:$A,Class_Players!$B:$B,"")</f>
        <v>Assault</v>
      </c>
      <c r="C355" s="48" t="str" cm="1">
        <f t="array" ref="C355">INDEX(Lookups!$A$2:$A$8,MOD(ROW()-ROW($B$2),ROWS(Lookups!$A$2:$A$8))+1)</f>
        <v>M320A1 THRM    (Incendiary Grenade Launcher)</v>
      </c>
      <c r="D355" s="48" t="str">
        <f>_xlfn.XLOOKUP(C355,Analysis_Gadgets!$C:$C,Analysis_Gadgets!$B:$B)</f>
        <v>Gadget</v>
      </c>
      <c r="E355" s="43">
        <v>0</v>
      </c>
      <c r="F355" s="43">
        <f>_xlfn.XLOOKUP(A355,Class_Players!A:A,Class_Players!G:G)</f>
        <v>127</v>
      </c>
      <c r="G355" s="43">
        <f t="shared" si="127"/>
        <v>0</v>
      </c>
      <c r="H355" s="43">
        <f>_xlfn.XLOOKUP(A355,Class_Players!$A:$A,Class_Players!$F:$F,"")</f>
        <v>10513</v>
      </c>
      <c r="I355" s="44">
        <f t="shared" si="128"/>
        <v>0</v>
      </c>
      <c r="J355" s="43">
        <f t="shared" si="118"/>
        <v>0</v>
      </c>
      <c r="K355" s="44" cm="1">
        <f t="array" ref="K355">IF(D355="Gadget",_xlfn.IFS(I355&gt;=0.2,0.5,I355&gt;=0.1,0.35,I355&gt;=0.05,0.2,TRUE,0),IF(D355="Grenade",_xlfn.IFS(I355&gt;=0.2,1,I355&gt;=0.1,0.7,I355&gt;=0.05,0.4,TRUE,0),0))</f>
        <v>0</v>
      </c>
      <c r="L355" s="57">
        <f t="shared" si="125"/>
        <v>0</v>
      </c>
    </row>
    <row r="356" spans="1:12" x14ac:dyDescent="0.25">
      <c r="A356" s="42" t="str" cm="1">
        <f t="array" ref="A356">IFERROR(INDEX(_xlfn._xlws.FILTER(Class_Players!A:A,Class_Players!B:B="Assault"),QUOTIENT(ROW()-ROW($A$2),7)+1),"")</f>
        <v>Tonylovakmer</v>
      </c>
      <c r="B356" s="42" t="str">
        <f>_xlfn.XLOOKUP(A356,Class_Players!$A:$A,Class_Players!$B:$B,"")</f>
        <v>Assault</v>
      </c>
      <c r="C356" s="48" t="str" cm="1">
        <f t="array" ref="C356">INDEX(Lookups!$A$2:$A$8,MOD(ROW()-ROW($B$2),ROWS(Lookups!$A$2:$A$8))+1)</f>
        <v>QLINK (Deploy Beacon)</v>
      </c>
      <c r="D356" s="48" t="str">
        <f>_xlfn.XLOOKUP(C356,Analysis_Gadgets!$C:$C,Analysis_Gadgets!$B:$B)</f>
        <v>Gadget</v>
      </c>
      <c r="E356" s="43">
        <v>0</v>
      </c>
      <c r="F356" s="43">
        <f>_xlfn.XLOOKUP(A356,Class_Players!A:A,Class_Players!G:G)</f>
        <v>127</v>
      </c>
      <c r="G356" s="43">
        <f t="shared" si="127"/>
        <v>0</v>
      </c>
      <c r="H356" s="43">
        <f>_xlfn.XLOOKUP(A356,Class_Players!$A:$A,Class_Players!$F:$F,"")</f>
        <v>10513</v>
      </c>
      <c r="I356" s="44">
        <f t="shared" si="128"/>
        <v>0</v>
      </c>
      <c r="J356" s="43">
        <f t="shared" si="118"/>
        <v>0</v>
      </c>
      <c r="K356" s="44" cm="1">
        <f t="array" ref="K356">IF(D356="Gadget",_xlfn.IFS(I356&gt;=0.2,0.5,I356&gt;=0.1,0.35,I356&gt;=0.05,0.2,TRUE,0),IF(D356="Grenade",_xlfn.IFS(I356&gt;=0.2,1,I356&gt;=0.1,0.7,I356&gt;=0.05,0.4,TRUE,0),0))</f>
        <v>0</v>
      </c>
      <c r="L356" s="57">
        <f t="shared" si="125"/>
        <v>0</v>
      </c>
    </row>
    <row r="357" spans="1:12" x14ac:dyDescent="0.25">
      <c r="A357" s="42" t="str" cm="1">
        <f t="array" ref="A357">IFERROR(INDEX(_xlfn._xlws.FILTER(Class_Players!A:A,Class_Players!B:B="Assault"),QUOTIENT(ROW()-ROW($A$2),7)+1),"")</f>
        <v>Tonylovakmer</v>
      </c>
      <c r="B357" s="42" t="str">
        <f>_xlfn.XLOOKUP(A357,Class_Players!$A:$A,Class_Players!$B:$B,"")</f>
        <v>Assault</v>
      </c>
      <c r="C357" s="48" t="str" cm="1">
        <f t="array" ref="C357">INDEX(Lookups!$A$2:$A$8,MOD(ROW()-ROW($B$2),ROWS(Lookups!$A$2:$A$8))+1)</f>
        <v>Stun Grenade</v>
      </c>
      <c r="D357" s="48" t="str">
        <f>_xlfn.XLOOKUP(C357,Analysis_Gadgets!$C:$C,Analysis_Gadgets!$B:$B)</f>
        <v>Grenade</v>
      </c>
      <c r="E357" s="43">
        <v>7</v>
      </c>
      <c r="F357" s="43">
        <f>_xlfn.XLOOKUP(A357,Class_Players!A:A,Class_Players!G:G)</f>
        <v>127</v>
      </c>
      <c r="G357" s="43">
        <f t="shared" si="127"/>
        <v>5.5118110236220472E-2</v>
      </c>
      <c r="H357" s="43">
        <f>_xlfn.XLOOKUP(A357,Class_Players!$A:$A,Class_Players!$F:$F,"")</f>
        <v>10513</v>
      </c>
      <c r="I357" s="44">
        <f t="shared" si="128"/>
        <v>6.658422904974793E-4</v>
      </c>
      <c r="J357" s="43">
        <f t="shared" si="118"/>
        <v>0</v>
      </c>
      <c r="K357" s="44" cm="1">
        <f t="array" ref="K357">IF(D357="Gadget",_xlfn.IFS(I357&gt;=0.2,0.5,I357&gt;=0.1,0.35,I357&gt;=0.05,0.2,TRUE,0),IF(D357="Grenade",_xlfn.IFS(I357&gt;=0.2,1,I357&gt;=0.1,0.7,I357&gt;=0.05,0.4,TRUE,0),0))</f>
        <v>0</v>
      </c>
      <c r="L357" s="57">
        <f t="shared" si="126"/>
        <v>0</v>
      </c>
    </row>
    <row r="358" spans="1:12" x14ac:dyDescent="0.25">
      <c r="A358" s="42" t="str" cm="1">
        <f t="array" ref="A358">IFERROR(INDEX(_xlfn._xlws.FILTER(Class_Players!A:A,Class_Players!B:B="Assault"),QUOTIENT(ROW()-ROW($A$2),7)+1),"")</f>
        <v>Tonylovakmer</v>
      </c>
      <c r="B358" s="42" t="str">
        <f>_xlfn.XLOOKUP(A358,Class_Players!$A:$A,Class_Players!$B:$B,"")</f>
        <v>Assault</v>
      </c>
      <c r="C358" s="48" t="str" cm="1">
        <f t="array" ref="C358">INDEX(Lookups!$A$2:$A$8,MOD(ROW()-ROW($B$2),ROWS(Lookups!$A$2:$A$8))+1)</f>
        <v>Flash Grenade</v>
      </c>
      <c r="D358" s="48" t="str">
        <f>_xlfn.XLOOKUP(C358,Analysis_Gadgets!$C:$C,Analysis_Gadgets!$B:$B)</f>
        <v>Grenade</v>
      </c>
      <c r="E358" s="43">
        <v>19</v>
      </c>
      <c r="F358" s="43">
        <f>_xlfn.XLOOKUP(A358,Class_Players!A:A,Class_Players!G:G)</f>
        <v>127</v>
      </c>
      <c r="G358" s="43">
        <f t="shared" si="127"/>
        <v>0.14960629921259844</v>
      </c>
      <c r="H358" s="43">
        <f>_xlfn.XLOOKUP(A358,Class_Players!$A:$A,Class_Players!$F:$F,"")</f>
        <v>10513</v>
      </c>
      <c r="I358" s="44">
        <f t="shared" si="128"/>
        <v>1.8072862170645868E-3</v>
      </c>
      <c r="J358" s="43">
        <f t="shared" si="118"/>
        <v>0</v>
      </c>
      <c r="K358" s="44" cm="1">
        <f t="array" ref="K358">IF(D358="Gadget",_xlfn.IFS(I358&gt;=0.2,0.5,I358&gt;=0.1,0.35,I358&gt;=0.05,0.2,TRUE,0),IF(D358="Grenade",_xlfn.IFS(I358&gt;=0.2,1,I358&gt;=0.1,0.7,I358&gt;=0.05,0.4,TRUE,0),0))</f>
        <v>0</v>
      </c>
      <c r="L358" s="57">
        <f t="shared" si="126"/>
        <v>0</v>
      </c>
    </row>
    <row r="359" spans="1:12" x14ac:dyDescent="0.25">
      <c r="A359" s="42" t="str" cm="1">
        <f t="array" ref="A359">IFERROR(INDEX(_xlfn._xlws.FILTER(Class_Players!A:A,Class_Players!B:B="Assault"),QUOTIENT(ROW()-ROW($A$2),7)+1),"")</f>
        <v>2Scrap</v>
      </c>
      <c r="B359" s="42" t="str">
        <f>_xlfn.XLOOKUP(A359,Class_Players!$A:$A,Class_Players!$B:$B,"")</f>
        <v>Assault</v>
      </c>
      <c r="C359" s="48" t="str" cm="1">
        <f t="array" ref="C359">INDEX(Lookups!$A$2:$A$8,MOD(ROW()-ROW($B$2),ROWS(Lookups!$A$2:$A$8))+1)</f>
        <v>Assault Ladder</v>
      </c>
      <c r="D359" s="48" t="str">
        <f>_xlfn.XLOOKUP(C359,Analysis_Gadgets!$C:$C,Analysis_Gadgets!$B:$B)</f>
        <v>Gadget</v>
      </c>
      <c r="E359" s="43">
        <v>17</v>
      </c>
      <c r="F359" s="43">
        <f>_xlfn.XLOOKUP(A359,Class_Players!A:A,Class_Players!G:G)</f>
        <v>74</v>
      </c>
      <c r="G359" s="43">
        <f t="shared" ref="G359:G386" si="129">IF(F359=0,"",E359/F359)</f>
        <v>0.22972972972972974</v>
      </c>
      <c r="H359" s="43">
        <f>_xlfn.XLOOKUP(A359,Class_Players!$A:$A,Class_Players!$F:$F,"")</f>
        <v>10106</v>
      </c>
      <c r="I359" s="44">
        <f t="shared" ref="I359:I386" si="130">IF(H359=0,"",E359/H359)</f>
        <v>1.6821690085097962E-3</v>
      </c>
      <c r="J359" s="43">
        <f t="shared" si="118"/>
        <v>0</v>
      </c>
      <c r="K359" s="44" cm="1">
        <f t="array" ref="K359">IF(D359="Gadget",_xlfn.IFS(I359&gt;=0.2,0.5,I359&gt;=0.1,0.35,I359&gt;=0.05,0.2,TRUE,0),IF(D359="Grenade",_xlfn.IFS(I359&gt;=0.2,1,I359&gt;=0.1,0.7,I359&gt;=0.05,0.4,TRUE,0),0))</f>
        <v>0</v>
      </c>
      <c r="L359" s="57">
        <f t="shared" ref="L359:L363" si="131">IF($K359=0,0,$K359 / SUMIFS($K:$K,$A:$A,$A359,$D:$D,"Gadget"))</f>
        <v>0</v>
      </c>
    </row>
    <row r="360" spans="1:12" x14ac:dyDescent="0.25">
      <c r="A360" s="42" t="str" cm="1">
        <f t="array" ref="A360">IFERROR(INDEX(_xlfn._xlws.FILTER(Class_Players!A:A,Class_Players!B:B="Assault"),QUOTIENT(ROW()-ROW($A$2),7)+1),"")</f>
        <v>2Scrap</v>
      </c>
      <c r="B360" s="42" t="str">
        <f>_xlfn.XLOOKUP(A360,Class_Players!$A:$A,Class_Players!$B:$B,"")</f>
        <v>Assault</v>
      </c>
      <c r="C360" s="48" t="str" cm="1">
        <f t="array" ref="C360">INDEX(Lookups!$A$2:$A$8,MOD(ROW()-ROW($B$2),ROWS(Lookups!$A$2:$A$8))+1)</f>
        <v>X95 BRE (Breaching Projectile Launcher)</v>
      </c>
      <c r="D360" s="48" t="str">
        <f>_xlfn.XLOOKUP(C360,Analysis_Gadgets!$C:$C,Analysis_Gadgets!$B:$B)</f>
        <v>Gadget</v>
      </c>
      <c r="E360" s="43">
        <v>0</v>
      </c>
      <c r="F360" s="43">
        <f>_xlfn.XLOOKUP(A360,Class_Players!A:A,Class_Players!G:G)</f>
        <v>74</v>
      </c>
      <c r="G360" s="43">
        <f t="shared" si="129"/>
        <v>0</v>
      </c>
      <c r="H360" s="43">
        <f>_xlfn.XLOOKUP(A360,Class_Players!$A:$A,Class_Players!$F:$F,"")</f>
        <v>10106</v>
      </c>
      <c r="I360" s="44">
        <f t="shared" si="130"/>
        <v>0</v>
      </c>
      <c r="J360" s="43">
        <f t="shared" si="118"/>
        <v>0</v>
      </c>
      <c r="K360" s="44" cm="1">
        <f t="array" ref="K360">IF(D360="Gadget",_xlfn.IFS(I360&gt;=0.2,0.5,I360&gt;=0.1,0.35,I360&gt;=0.05,0.2,TRUE,0),IF(D360="Grenade",_xlfn.IFS(I360&gt;=0.2,1,I360&gt;=0.1,0.7,I360&gt;=0.05,0.4,TRUE,0),0))</f>
        <v>0</v>
      </c>
      <c r="L360" s="57">
        <f t="shared" si="131"/>
        <v>0</v>
      </c>
    </row>
    <row r="361" spans="1:12" x14ac:dyDescent="0.25">
      <c r="A361" s="42" t="str" cm="1">
        <f t="array" ref="A361">IFERROR(INDEX(_xlfn._xlws.FILTER(Class_Players!A:A,Class_Players!B:B="Assault"),QUOTIENT(ROW()-ROW($A$2),7)+1),"")</f>
        <v>2Scrap</v>
      </c>
      <c r="B361" s="42" t="str">
        <f>_xlfn.XLOOKUP(A361,Class_Players!$A:$A,Class_Players!$B:$B,"")</f>
        <v>Assault</v>
      </c>
      <c r="C361" s="48" t="str" cm="1">
        <f t="array" ref="C361">INDEX(Lookups!$A$2:$A$8,MOD(ROW()-ROW($B$2),ROWS(Lookups!$A$2:$A$8))+1)</f>
        <v>M320A1 HE (Grenade Launcher)</v>
      </c>
      <c r="D361" s="48" t="str">
        <f>_xlfn.XLOOKUP(C361,Analysis_Gadgets!$C:$C,Analysis_Gadgets!$B:$B)</f>
        <v>Gadget</v>
      </c>
      <c r="E361" s="43">
        <v>973</v>
      </c>
      <c r="F361" s="43">
        <f>_xlfn.XLOOKUP(A361,Class_Players!A:A,Class_Players!G:G)</f>
        <v>74</v>
      </c>
      <c r="G361" s="43">
        <f t="shared" si="129"/>
        <v>13.148648648648649</v>
      </c>
      <c r="H361" s="43">
        <f>_xlfn.XLOOKUP(A361,Class_Players!$A:$A,Class_Players!$F:$F,"")</f>
        <v>10106</v>
      </c>
      <c r="I361" s="44">
        <f t="shared" si="130"/>
        <v>9.6279437957648928E-2</v>
      </c>
      <c r="J361" s="43">
        <f t="shared" si="118"/>
        <v>0</v>
      </c>
      <c r="K361" s="44" cm="1">
        <f t="array" ref="K361">IF(D361="Gadget",_xlfn.IFS(I361&gt;=0.2,0.5,I361&gt;=0.1,0.35,I361&gt;=0.05,0.2,TRUE,0),IF(D361="Grenade",_xlfn.IFS(I361&gt;=0.2,1,I361&gt;=0.1,0.7,I361&gt;=0.05,0.4,TRUE,0),0))</f>
        <v>0.2</v>
      </c>
      <c r="L361" s="57">
        <f t="shared" si="131"/>
        <v>1</v>
      </c>
    </row>
    <row r="362" spans="1:12" x14ac:dyDescent="0.25">
      <c r="A362" s="42" t="str" cm="1">
        <f t="array" ref="A362">IFERROR(INDEX(_xlfn._xlws.FILTER(Class_Players!A:A,Class_Players!B:B="Assault"),QUOTIENT(ROW()-ROW($A$2),7)+1),"")</f>
        <v>2Scrap</v>
      </c>
      <c r="B362" s="42" t="str">
        <f>_xlfn.XLOOKUP(A362,Class_Players!$A:$A,Class_Players!$B:$B,"")</f>
        <v>Assault</v>
      </c>
      <c r="C362" s="48" t="str" cm="1">
        <f t="array" ref="C362">INDEX(Lookups!$A$2:$A$8,MOD(ROW()-ROW($B$2),ROWS(Lookups!$A$2:$A$8))+1)</f>
        <v>M320A1 THRM    (Incendiary Grenade Launcher)</v>
      </c>
      <c r="D362" s="48" t="str">
        <f>_xlfn.XLOOKUP(C362,Analysis_Gadgets!$C:$C,Analysis_Gadgets!$B:$B)</f>
        <v>Gadget</v>
      </c>
      <c r="E362" s="43">
        <v>0</v>
      </c>
      <c r="F362" s="43">
        <f>_xlfn.XLOOKUP(A362,Class_Players!A:A,Class_Players!G:G)</f>
        <v>74</v>
      </c>
      <c r="G362" s="43">
        <f t="shared" si="129"/>
        <v>0</v>
      </c>
      <c r="H362" s="43">
        <f>_xlfn.XLOOKUP(A362,Class_Players!$A:$A,Class_Players!$F:$F,"")</f>
        <v>10106</v>
      </c>
      <c r="I362" s="44">
        <f t="shared" si="130"/>
        <v>0</v>
      </c>
      <c r="J362" s="43">
        <f t="shared" si="118"/>
        <v>0</v>
      </c>
      <c r="K362" s="44" cm="1">
        <f t="array" ref="K362">IF(D362="Gadget",_xlfn.IFS(I362&gt;=0.2,0.5,I362&gt;=0.1,0.35,I362&gt;=0.05,0.2,TRUE,0),IF(D362="Grenade",_xlfn.IFS(I362&gt;=0.2,1,I362&gt;=0.1,0.7,I362&gt;=0.05,0.4,TRUE,0),0))</f>
        <v>0</v>
      </c>
      <c r="L362" s="57">
        <f t="shared" si="131"/>
        <v>0</v>
      </c>
    </row>
    <row r="363" spans="1:12" x14ac:dyDescent="0.25">
      <c r="A363" s="42" t="str" cm="1">
        <f t="array" ref="A363">IFERROR(INDEX(_xlfn._xlws.FILTER(Class_Players!A:A,Class_Players!B:B="Assault"),QUOTIENT(ROW()-ROW($A$2),7)+1),"")</f>
        <v>2Scrap</v>
      </c>
      <c r="B363" s="42" t="str">
        <f>_xlfn.XLOOKUP(A363,Class_Players!$A:$A,Class_Players!$B:$B,"")</f>
        <v>Assault</v>
      </c>
      <c r="C363" s="48" t="str" cm="1">
        <f t="array" ref="C363">INDEX(Lookups!$A$2:$A$8,MOD(ROW()-ROW($B$2),ROWS(Lookups!$A$2:$A$8))+1)</f>
        <v>QLINK (Deploy Beacon)</v>
      </c>
      <c r="D363" s="48" t="str">
        <f>_xlfn.XLOOKUP(C363,Analysis_Gadgets!$C:$C,Analysis_Gadgets!$B:$B)</f>
        <v>Gadget</v>
      </c>
      <c r="E363" s="43">
        <v>91</v>
      </c>
      <c r="F363" s="43">
        <f>_xlfn.XLOOKUP(A363,Class_Players!A:A,Class_Players!G:G)</f>
        <v>74</v>
      </c>
      <c r="G363" s="43">
        <f t="shared" si="129"/>
        <v>1.2297297297297298</v>
      </c>
      <c r="H363" s="43">
        <f>_xlfn.XLOOKUP(A363,Class_Players!$A:$A,Class_Players!$F:$F,"")</f>
        <v>10106</v>
      </c>
      <c r="I363" s="44">
        <f t="shared" si="130"/>
        <v>9.0045517514347907E-3</v>
      </c>
      <c r="J363" s="43">
        <f t="shared" si="118"/>
        <v>0</v>
      </c>
      <c r="K363" s="44" cm="1">
        <f t="array" ref="K363">IF(D363="Gadget",_xlfn.IFS(I363&gt;=0.2,0.5,I363&gt;=0.1,0.35,I363&gt;=0.05,0.2,TRUE,0),IF(D363="Grenade",_xlfn.IFS(I363&gt;=0.2,1,I363&gt;=0.1,0.7,I363&gt;=0.05,0.4,TRUE,0),0))</f>
        <v>0</v>
      </c>
      <c r="L363" s="57">
        <f t="shared" si="131"/>
        <v>0</v>
      </c>
    </row>
    <row r="364" spans="1:12" x14ac:dyDescent="0.25">
      <c r="A364" s="42" t="str" cm="1">
        <f t="array" ref="A364">IFERROR(INDEX(_xlfn._xlws.FILTER(Class_Players!A:A,Class_Players!B:B="Assault"),QUOTIENT(ROW()-ROW($A$2),7)+1),"")</f>
        <v>2Scrap</v>
      </c>
      <c r="B364" s="42" t="str">
        <f>_xlfn.XLOOKUP(A364,Class_Players!$A:$A,Class_Players!$B:$B,"")</f>
        <v>Assault</v>
      </c>
      <c r="C364" s="48" t="str" cm="1">
        <f t="array" ref="C364">INDEX(Lookups!$A$2:$A$8,MOD(ROW()-ROW($B$2),ROWS(Lookups!$A$2:$A$8))+1)</f>
        <v>Stun Grenade</v>
      </c>
      <c r="D364" s="48" t="str">
        <f>_xlfn.XLOOKUP(C364,Analysis_Gadgets!$C:$C,Analysis_Gadgets!$B:$B)</f>
        <v>Grenade</v>
      </c>
      <c r="E364" s="43">
        <v>46</v>
      </c>
      <c r="F364" s="43">
        <f>_xlfn.XLOOKUP(A364,Class_Players!A:A,Class_Players!G:G)</f>
        <v>74</v>
      </c>
      <c r="G364" s="43">
        <f t="shared" si="129"/>
        <v>0.6216216216216216</v>
      </c>
      <c r="H364" s="43">
        <f>_xlfn.XLOOKUP(A364,Class_Players!$A:$A,Class_Players!$F:$F,"")</f>
        <v>10106</v>
      </c>
      <c r="I364" s="44">
        <f t="shared" si="130"/>
        <v>4.5517514347912132E-3</v>
      </c>
      <c r="J364" s="43">
        <f t="shared" si="118"/>
        <v>0</v>
      </c>
      <c r="K364" s="44" cm="1">
        <f t="array" ref="K364">IF(D364="Gadget",_xlfn.IFS(I364&gt;=0.2,0.5,I364&gt;=0.1,0.35,I364&gt;=0.05,0.2,TRUE,0),IF(D364="Grenade",_xlfn.IFS(I364&gt;=0.2,1,I364&gt;=0.1,0.7,I364&gt;=0.05,0.4,TRUE,0),0))</f>
        <v>0</v>
      </c>
      <c r="L364" s="57">
        <f t="shared" ref="L364:L365" si="132">IF($K364=0,0,$K364 / SUMIFS($K:$K,$A:$A,$A364,$D:$D,"Grenade"))</f>
        <v>0</v>
      </c>
    </row>
    <row r="365" spans="1:12" x14ac:dyDescent="0.25">
      <c r="A365" s="42" t="str" cm="1">
        <f t="array" ref="A365">IFERROR(INDEX(_xlfn._xlws.FILTER(Class_Players!A:A,Class_Players!B:B="Assault"),QUOTIENT(ROW()-ROW($A$2),7)+1),"")</f>
        <v>2Scrap</v>
      </c>
      <c r="B365" s="42" t="str">
        <f>_xlfn.XLOOKUP(A365,Class_Players!$A:$A,Class_Players!$B:$B,"")</f>
        <v>Assault</v>
      </c>
      <c r="C365" s="48" t="str" cm="1">
        <f t="array" ref="C365">INDEX(Lookups!$A$2:$A$8,MOD(ROW()-ROW($B$2),ROWS(Lookups!$A$2:$A$8))+1)</f>
        <v>Flash Grenade</v>
      </c>
      <c r="D365" s="48" t="str">
        <f>_xlfn.XLOOKUP(C365,Analysis_Gadgets!$C:$C,Analysis_Gadgets!$B:$B)</f>
        <v>Grenade</v>
      </c>
      <c r="E365" s="43">
        <v>0</v>
      </c>
      <c r="F365" s="43">
        <f>_xlfn.XLOOKUP(A365,Class_Players!A:A,Class_Players!G:G)</f>
        <v>74</v>
      </c>
      <c r="G365" s="43">
        <f t="shared" si="129"/>
        <v>0</v>
      </c>
      <c r="H365" s="43">
        <f>_xlfn.XLOOKUP(A365,Class_Players!$A:$A,Class_Players!$F:$F,"")</f>
        <v>10106</v>
      </c>
      <c r="I365" s="44">
        <f t="shared" si="130"/>
        <v>0</v>
      </c>
      <c r="J365" s="43">
        <f t="shared" si="118"/>
        <v>0</v>
      </c>
      <c r="K365" s="44" cm="1">
        <f t="array" ref="K365">IF(D365="Gadget",_xlfn.IFS(I365&gt;=0.2,0.5,I365&gt;=0.1,0.35,I365&gt;=0.05,0.2,TRUE,0),IF(D365="Grenade",_xlfn.IFS(I365&gt;=0.2,1,I365&gt;=0.1,0.7,I365&gt;=0.05,0.4,TRUE,0),0))</f>
        <v>0</v>
      </c>
      <c r="L365" s="57">
        <f t="shared" si="132"/>
        <v>0</v>
      </c>
    </row>
    <row r="366" spans="1:12" x14ac:dyDescent="0.25">
      <c r="A366" s="42" t="str" cm="1">
        <f t="array" ref="A366">IFERROR(INDEX(_xlfn._xlws.FILTER(Class_Players!A:A,Class_Players!B:B="Assault"),QUOTIENT(ROW()-ROW($A$2),7)+1),"")</f>
        <v>Jason275</v>
      </c>
      <c r="B366" s="42" t="str">
        <f>_xlfn.XLOOKUP(A366,Class_Players!$A:$A,Class_Players!$B:$B,"")</f>
        <v>Assault</v>
      </c>
      <c r="C366" s="48" t="str" cm="1">
        <f t="array" ref="C366">INDEX(Lookups!$A$2:$A$8,MOD(ROW()-ROW($B$2),ROWS(Lookups!$A$2:$A$8))+1)</f>
        <v>Assault Ladder</v>
      </c>
      <c r="D366" s="48" t="str">
        <f>_xlfn.XLOOKUP(C366,Analysis_Gadgets!$C:$C,Analysis_Gadgets!$B:$B)</f>
        <v>Gadget</v>
      </c>
      <c r="E366" s="43">
        <v>4</v>
      </c>
      <c r="F366" s="43">
        <f>_xlfn.XLOOKUP(A366,Class_Players!A:A,Class_Players!G:G)</f>
        <v>163</v>
      </c>
      <c r="G366" s="43">
        <f t="shared" si="129"/>
        <v>2.4539877300613498E-2</v>
      </c>
      <c r="H366" s="43">
        <f>_xlfn.XLOOKUP(A366,Class_Players!$A:$A,Class_Players!$F:$F,"")</f>
        <v>10292</v>
      </c>
      <c r="I366" s="44">
        <f t="shared" si="130"/>
        <v>3.8865137971239797E-4</v>
      </c>
      <c r="J366" s="43">
        <f t="shared" si="118"/>
        <v>0</v>
      </c>
      <c r="K366" s="44" cm="1">
        <f t="array" ref="K366">IF(D366="Gadget",_xlfn.IFS(I366&gt;=0.2,0.5,I366&gt;=0.1,0.35,I366&gt;=0.05,0.2,TRUE,0),IF(D366="Grenade",_xlfn.IFS(I366&gt;=0.2,1,I366&gt;=0.1,0.7,I366&gt;=0.05,0.4,TRUE,0),0))</f>
        <v>0</v>
      </c>
      <c r="L366" s="57">
        <f t="shared" ref="L366:L370" si="133">IF($K366=0,0,$K366 / SUMIFS($K:$K,$A:$A,$A366,$D:$D,"Gadget"))</f>
        <v>0</v>
      </c>
    </row>
    <row r="367" spans="1:12" x14ac:dyDescent="0.25">
      <c r="A367" s="42" t="str" cm="1">
        <f t="array" ref="A367">IFERROR(INDEX(_xlfn._xlws.FILTER(Class_Players!A:A,Class_Players!B:B="Assault"),QUOTIENT(ROW()-ROW($A$2),7)+1),"")</f>
        <v>Jason275</v>
      </c>
      <c r="B367" s="42" t="str">
        <f>_xlfn.XLOOKUP(A367,Class_Players!$A:$A,Class_Players!$B:$B,"")</f>
        <v>Assault</v>
      </c>
      <c r="C367" s="48" t="str" cm="1">
        <f t="array" ref="C367">INDEX(Lookups!$A$2:$A$8,MOD(ROW()-ROW($B$2),ROWS(Lookups!$A$2:$A$8))+1)</f>
        <v>X95 BRE (Breaching Projectile Launcher)</v>
      </c>
      <c r="D367" s="48" t="str">
        <f>_xlfn.XLOOKUP(C367,Analysis_Gadgets!$C:$C,Analysis_Gadgets!$B:$B)</f>
        <v>Gadget</v>
      </c>
      <c r="E367" s="43">
        <v>0</v>
      </c>
      <c r="F367" s="43">
        <f>_xlfn.XLOOKUP(A367,Class_Players!A:A,Class_Players!G:G)</f>
        <v>163</v>
      </c>
      <c r="G367" s="43">
        <f t="shared" si="129"/>
        <v>0</v>
      </c>
      <c r="H367" s="43">
        <f>_xlfn.XLOOKUP(A367,Class_Players!$A:$A,Class_Players!$F:$F,"")</f>
        <v>10292</v>
      </c>
      <c r="I367" s="44">
        <f t="shared" si="130"/>
        <v>0</v>
      </c>
      <c r="J367" s="43">
        <f t="shared" si="118"/>
        <v>0</v>
      </c>
      <c r="K367" s="44" cm="1">
        <f t="array" ref="K367">IF(D367="Gadget",_xlfn.IFS(I367&gt;=0.2,0.5,I367&gt;=0.1,0.35,I367&gt;=0.05,0.2,TRUE,0),IF(D367="Grenade",_xlfn.IFS(I367&gt;=0.2,1,I367&gt;=0.1,0.7,I367&gt;=0.05,0.4,TRUE,0),0))</f>
        <v>0</v>
      </c>
      <c r="L367" s="57">
        <f t="shared" si="133"/>
        <v>0</v>
      </c>
    </row>
    <row r="368" spans="1:12" x14ac:dyDescent="0.25">
      <c r="A368" s="42" t="str" cm="1">
        <f t="array" ref="A368">IFERROR(INDEX(_xlfn._xlws.FILTER(Class_Players!A:A,Class_Players!B:B="Assault"),QUOTIENT(ROW()-ROW($A$2),7)+1),"")</f>
        <v>Jason275</v>
      </c>
      <c r="B368" s="42" t="str">
        <f>_xlfn.XLOOKUP(A368,Class_Players!$A:$A,Class_Players!$B:$B,"")</f>
        <v>Assault</v>
      </c>
      <c r="C368" s="48" t="str" cm="1">
        <f t="array" ref="C368">INDEX(Lookups!$A$2:$A$8,MOD(ROW()-ROW($B$2),ROWS(Lookups!$A$2:$A$8))+1)</f>
        <v>M320A1 HE (Grenade Launcher)</v>
      </c>
      <c r="D368" s="48" t="str">
        <f>_xlfn.XLOOKUP(C368,Analysis_Gadgets!$C:$C,Analysis_Gadgets!$B:$B)</f>
        <v>Gadget</v>
      </c>
      <c r="E368" s="43">
        <v>3521</v>
      </c>
      <c r="F368" s="43">
        <f>_xlfn.XLOOKUP(A368,Class_Players!A:A,Class_Players!G:G)</f>
        <v>163</v>
      </c>
      <c r="G368" s="43">
        <f t="shared" si="129"/>
        <v>21.60122699386503</v>
      </c>
      <c r="H368" s="43">
        <f>_xlfn.XLOOKUP(A368,Class_Players!$A:$A,Class_Players!$F:$F,"")</f>
        <v>10292</v>
      </c>
      <c r="I368" s="44">
        <f t="shared" si="130"/>
        <v>0.34211037699183833</v>
      </c>
      <c r="J368" s="43">
        <f t="shared" si="118"/>
        <v>1</v>
      </c>
      <c r="K368" s="44" cm="1">
        <f t="array" ref="K368">IF(D368="Gadget",_xlfn.IFS(I368&gt;=0.2,0.5,I368&gt;=0.1,0.35,I368&gt;=0.05,0.2,TRUE,0),IF(D368="Grenade",_xlfn.IFS(I368&gt;=0.2,1,I368&gt;=0.1,0.7,I368&gt;=0.05,0.4,TRUE,0),0))</f>
        <v>0.5</v>
      </c>
      <c r="L368" s="57">
        <f t="shared" si="133"/>
        <v>0.5</v>
      </c>
    </row>
    <row r="369" spans="1:12" x14ac:dyDescent="0.25">
      <c r="A369" s="42" t="str" cm="1">
        <f t="array" ref="A369">IFERROR(INDEX(_xlfn._xlws.FILTER(Class_Players!A:A,Class_Players!B:B="Assault"),QUOTIENT(ROW()-ROW($A$2),7)+1),"")</f>
        <v>Jason275</v>
      </c>
      <c r="B369" s="42" t="str">
        <f>_xlfn.XLOOKUP(A369,Class_Players!$A:$A,Class_Players!$B:$B,"")</f>
        <v>Assault</v>
      </c>
      <c r="C369" s="48" t="str" cm="1">
        <f t="array" ref="C369">INDEX(Lookups!$A$2:$A$8,MOD(ROW()-ROW($B$2),ROWS(Lookups!$A$2:$A$8))+1)</f>
        <v>M320A1 THRM    (Incendiary Grenade Launcher)</v>
      </c>
      <c r="D369" s="48" t="str">
        <f>_xlfn.XLOOKUP(C369,Analysis_Gadgets!$C:$C,Analysis_Gadgets!$B:$B)</f>
        <v>Gadget</v>
      </c>
      <c r="E369" s="43">
        <v>17</v>
      </c>
      <c r="F369" s="43">
        <f>_xlfn.XLOOKUP(A369,Class_Players!A:A,Class_Players!G:G)</f>
        <v>163</v>
      </c>
      <c r="G369" s="43">
        <f t="shared" si="129"/>
        <v>0.10429447852760736</v>
      </c>
      <c r="H369" s="43">
        <f>_xlfn.XLOOKUP(A369,Class_Players!$A:$A,Class_Players!$F:$F,"")</f>
        <v>10292</v>
      </c>
      <c r="I369" s="44">
        <f t="shared" si="130"/>
        <v>1.6517683637776914E-3</v>
      </c>
      <c r="J369" s="43">
        <f t="shared" si="118"/>
        <v>0</v>
      </c>
      <c r="K369" s="44" cm="1">
        <f t="array" ref="K369">IF(D369="Gadget",_xlfn.IFS(I369&gt;=0.2,0.5,I369&gt;=0.1,0.35,I369&gt;=0.05,0.2,TRUE,0),IF(D369="Grenade",_xlfn.IFS(I369&gt;=0.2,1,I369&gt;=0.1,0.7,I369&gt;=0.05,0.4,TRUE,0),0))</f>
        <v>0</v>
      </c>
      <c r="L369" s="57">
        <f t="shared" si="133"/>
        <v>0</v>
      </c>
    </row>
    <row r="370" spans="1:12" x14ac:dyDescent="0.25">
      <c r="A370" s="42" t="str" cm="1">
        <f t="array" ref="A370">IFERROR(INDEX(_xlfn._xlws.FILTER(Class_Players!A:A,Class_Players!B:B="Assault"),QUOTIENT(ROW()-ROW($A$2),7)+1),"")</f>
        <v>Jason275</v>
      </c>
      <c r="B370" s="42" t="str">
        <f>_xlfn.XLOOKUP(A370,Class_Players!$A:$A,Class_Players!$B:$B,"")</f>
        <v>Assault</v>
      </c>
      <c r="C370" s="48" t="str" cm="1">
        <f t="array" ref="C370">INDEX(Lookups!$A$2:$A$8,MOD(ROW()-ROW($B$2),ROWS(Lookups!$A$2:$A$8))+1)</f>
        <v>QLINK (Deploy Beacon)</v>
      </c>
      <c r="D370" s="48" t="str">
        <f>_xlfn.XLOOKUP(C370,Analysis_Gadgets!$C:$C,Analysis_Gadgets!$B:$B)</f>
        <v>Gadget</v>
      </c>
      <c r="E370" s="43">
        <v>3692</v>
      </c>
      <c r="F370" s="43">
        <f>_xlfn.XLOOKUP(A370,Class_Players!A:A,Class_Players!G:G)</f>
        <v>163</v>
      </c>
      <c r="G370" s="43">
        <f t="shared" si="129"/>
        <v>22.650306748466257</v>
      </c>
      <c r="H370" s="43">
        <f>_xlfn.XLOOKUP(A370,Class_Players!$A:$A,Class_Players!$F:$F,"")</f>
        <v>10292</v>
      </c>
      <c r="I370" s="44">
        <f t="shared" si="130"/>
        <v>0.35872522347454333</v>
      </c>
      <c r="J370" s="43">
        <f t="shared" si="118"/>
        <v>1</v>
      </c>
      <c r="K370" s="44" cm="1">
        <f t="array" ref="K370">IF(D370="Gadget",_xlfn.IFS(I370&gt;=0.2,0.5,I370&gt;=0.1,0.35,I370&gt;=0.05,0.2,TRUE,0),IF(D370="Grenade",_xlfn.IFS(I370&gt;=0.2,1,I370&gt;=0.1,0.7,I370&gt;=0.05,0.4,TRUE,0),0))</f>
        <v>0.5</v>
      </c>
      <c r="L370" s="57">
        <f t="shared" si="133"/>
        <v>0.5</v>
      </c>
    </row>
    <row r="371" spans="1:12" x14ac:dyDescent="0.25">
      <c r="A371" s="42" t="str" cm="1">
        <f t="array" ref="A371">IFERROR(INDEX(_xlfn._xlws.FILTER(Class_Players!A:A,Class_Players!B:B="Assault"),QUOTIENT(ROW()-ROW($A$2),7)+1),"")</f>
        <v>Jason275</v>
      </c>
      <c r="B371" s="42" t="str">
        <f>_xlfn.XLOOKUP(A371,Class_Players!$A:$A,Class_Players!$B:$B,"")</f>
        <v>Assault</v>
      </c>
      <c r="C371" s="48" t="str" cm="1">
        <f t="array" ref="C371">INDEX(Lookups!$A$2:$A$8,MOD(ROW()-ROW($B$2),ROWS(Lookups!$A$2:$A$8))+1)</f>
        <v>Stun Grenade</v>
      </c>
      <c r="D371" s="48" t="str">
        <f>_xlfn.XLOOKUP(C371,Analysis_Gadgets!$C:$C,Analysis_Gadgets!$B:$B)</f>
        <v>Grenade</v>
      </c>
      <c r="E371" s="43">
        <v>153</v>
      </c>
      <c r="F371" s="43">
        <f>_xlfn.XLOOKUP(A371,Class_Players!A:A,Class_Players!G:G)</f>
        <v>163</v>
      </c>
      <c r="G371" s="43">
        <f t="shared" si="129"/>
        <v>0.93865030674846628</v>
      </c>
      <c r="H371" s="43">
        <f>_xlfn.XLOOKUP(A371,Class_Players!$A:$A,Class_Players!$F:$F,"")</f>
        <v>10292</v>
      </c>
      <c r="I371" s="44">
        <f t="shared" si="130"/>
        <v>1.4865915273999223E-2</v>
      </c>
      <c r="J371" s="43">
        <f t="shared" si="118"/>
        <v>0</v>
      </c>
      <c r="K371" s="44" cm="1">
        <f t="array" ref="K371">IF(D371="Gadget",_xlfn.IFS(I371&gt;=0.2,0.5,I371&gt;=0.1,0.35,I371&gt;=0.05,0.2,TRUE,0),IF(D371="Grenade",_xlfn.IFS(I371&gt;=0.2,1,I371&gt;=0.1,0.7,I371&gt;=0.05,0.4,TRUE,0),0))</f>
        <v>0</v>
      </c>
      <c r="L371" s="57">
        <f t="shared" ref="L371:L372" si="134">IF($K371=0,0,$K371 / SUMIFS($K:$K,$A:$A,$A371,$D:$D,"Grenade"))</f>
        <v>0</v>
      </c>
    </row>
    <row r="372" spans="1:12" x14ac:dyDescent="0.25">
      <c r="A372" s="42" t="str" cm="1">
        <f t="array" ref="A372">IFERROR(INDEX(_xlfn._xlws.FILTER(Class_Players!A:A,Class_Players!B:B="Assault"),QUOTIENT(ROW()-ROW($A$2),7)+1),"")</f>
        <v>Jason275</v>
      </c>
      <c r="B372" s="42" t="str">
        <f>_xlfn.XLOOKUP(A372,Class_Players!$A:$A,Class_Players!$B:$B,"")</f>
        <v>Assault</v>
      </c>
      <c r="C372" s="48" t="str" cm="1">
        <f t="array" ref="C372">INDEX(Lookups!$A$2:$A$8,MOD(ROW()-ROW($B$2),ROWS(Lookups!$A$2:$A$8))+1)</f>
        <v>Flash Grenade</v>
      </c>
      <c r="D372" s="48" t="str">
        <f>_xlfn.XLOOKUP(C372,Analysis_Gadgets!$C:$C,Analysis_Gadgets!$B:$B)</f>
        <v>Grenade</v>
      </c>
      <c r="E372" s="43">
        <v>46</v>
      </c>
      <c r="F372" s="43">
        <f>_xlfn.XLOOKUP(A372,Class_Players!A:A,Class_Players!G:G)</f>
        <v>163</v>
      </c>
      <c r="G372" s="43">
        <f t="shared" si="129"/>
        <v>0.2822085889570552</v>
      </c>
      <c r="H372" s="43">
        <f>_xlfn.XLOOKUP(A372,Class_Players!$A:$A,Class_Players!$F:$F,"")</f>
        <v>10292</v>
      </c>
      <c r="I372" s="44">
        <f t="shared" si="130"/>
        <v>4.4694908666925767E-3</v>
      </c>
      <c r="J372" s="43">
        <f t="shared" si="118"/>
        <v>0</v>
      </c>
      <c r="K372" s="44" cm="1">
        <f t="array" ref="K372">IF(D372="Gadget",_xlfn.IFS(I372&gt;=0.2,0.5,I372&gt;=0.1,0.35,I372&gt;=0.05,0.2,TRUE,0),IF(D372="Grenade",_xlfn.IFS(I372&gt;=0.2,1,I372&gt;=0.1,0.7,I372&gt;=0.05,0.4,TRUE,0),0))</f>
        <v>0</v>
      </c>
      <c r="L372" s="57">
        <f t="shared" si="134"/>
        <v>0</v>
      </c>
    </row>
    <row r="373" spans="1:12" x14ac:dyDescent="0.25">
      <c r="A373" s="42" t="str" cm="1">
        <f t="array" ref="A373">IFERROR(INDEX(_xlfn._xlws.FILTER(Class_Players!A:A,Class_Players!B:B="Assault"),QUOTIENT(ROW()-ROW($A$2),7)+1),"")</f>
        <v>MA5TER_D</v>
      </c>
      <c r="B373" s="42" t="str">
        <f>_xlfn.XLOOKUP(A373,Class_Players!$A:$A,Class_Players!$B:$B,"")</f>
        <v>Assault</v>
      </c>
      <c r="C373" s="48" t="str" cm="1">
        <f t="array" ref="C373">INDEX(Lookups!$A$2:$A$8,MOD(ROW()-ROW($B$2),ROWS(Lookups!$A$2:$A$8))+1)</f>
        <v>Assault Ladder</v>
      </c>
      <c r="D373" s="48" t="str">
        <f>_xlfn.XLOOKUP(C373,Analysis_Gadgets!$C:$C,Analysis_Gadgets!$B:$B)</f>
        <v>Gadget</v>
      </c>
      <c r="E373" s="43">
        <v>92</v>
      </c>
      <c r="F373" s="43">
        <f>_xlfn.XLOOKUP(A373,Class_Players!A:A,Class_Players!G:G)</f>
        <v>186</v>
      </c>
      <c r="G373" s="43">
        <f t="shared" si="129"/>
        <v>0.4946236559139785</v>
      </c>
      <c r="H373" s="43">
        <f>_xlfn.XLOOKUP(A373,Class_Players!$A:$A,Class_Players!$F:$F,"")</f>
        <v>9932</v>
      </c>
      <c r="I373" s="44">
        <f t="shared" si="130"/>
        <v>9.2629883205799443E-3</v>
      </c>
      <c r="J373" s="43">
        <f t="shared" si="118"/>
        <v>0</v>
      </c>
      <c r="K373" s="44" cm="1">
        <f t="array" ref="K373">IF(D373="Gadget",_xlfn.IFS(I373&gt;=0.2,0.5,I373&gt;=0.1,0.35,I373&gt;=0.05,0.2,TRUE,0),IF(D373="Grenade",_xlfn.IFS(I373&gt;=0.2,1,I373&gt;=0.1,0.7,I373&gt;=0.05,0.4,TRUE,0),0))</f>
        <v>0</v>
      </c>
      <c r="L373" s="57">
        <f t="shared" ref="L373:L377" si="135">IF($K373=0,0,$K373 / SUMIFS($K:$K,$A:$A,$A373,$D:$D,"Gadget"))</f>
        <v>0</v>
      </c>
    </row>
    <row r="374" spans="1:12" x14ac:dyDescent="0.25">
      <c r="A374" s="42" t="str" cm="1">
        <f t="array" ref="A374">IFERROR(INDEX(_xlfn._xlws.FILTER(Class_Players!A:A,Class_Players!B:B="Assault"),QUOTIENT(ROW()-ROW($A$2),7)+1),"")</f>
        <v>MA5TER_D</v>
      </c>
      <c r="B374" s="42" t="str">
        <f>_xlfn.XLOOKUP(A374,Class_Players!$A:$A,Class_Players!$B:$B,"")</f>
        <v>Assault</v>
      </c>
      <c r="C374" s="48" t="str" cm="1">
        <f t="array" ref="C374">INDEX(Lookups!$A$2:$A$8,MOD(ROW()-ROW($B$2),ROWS(Lookups!$A$2:$A$8))+1)</f>
        <v>X95 BRE (Breaching Projectile Launcher)</v>
      </c>
      <c r="D374" s="48" t="str">
        <f>_xlfn.XLOOKUP(C374,Analysis_Gadgets!$C:$C,Analysis_Gadgets!$B:$B)</f>
        <v>Gadget</v>
      </c>
      <c r="E374" s="43">
        <v>5</v>
      </c>
      <c r="F374" s="43">
        <f>_xlfn.XLOOKUP(A374,Class_Players!A:A,Class_Players!G:G)</f>
        <v>186</v>
      </c>
      <c r="G374" s="43">
        <f t="shared" si="129"/>
        <v>2.6881720430107527E-2</v>
      </c>
      <c r="H374" s="43">
        <f>_xlfn.XLOOKUP(A374,Class_Players!$A:$A,Class_Players!$F:$F,"")</f>
        <v>9932</v>
      </c>
      <c r="I374" s="44">
        <f t="shared" si="130"/>
        <v>5.0342327829238829E-4</v>
      </c>
      <c r="J374" s="43">
        <f t="shared" si="118"/>
        <v>0</v>
      </c>
      <c r="K374" s="44" cm="1">
        <f t="array" ref="K374">IF(D374="Gadget",_xlfn.IFS(I374&gt;=0.2,0.5,I374&gt;=0.1,0.35,I374&gt;=0.05,0.2,TRUE,0),IF(D374="Grenade",_xlfn.IFS(I374&gt;=0.2,1,I374&gt;=0.1,0.7,I374&gt;=0.05,0.4,TRUE,0),0))</f>
        <v>0</v>
      </c>
      <c r="L374" s="57">
        <f t="shared" si="135"/>
        <v>0</v>
      </c>
    </row>
    <row r="375" spans="1:12" x14ac:dyDescent="0.25">
      <c r="A375" s="42" t="str" cm="1">
        <f t="array" ref="A375">IFERROR(INDEX(_xlfn._xlws.FILTER(Class_Players!A:A,Class_Players!B:B="Assault"),QUOTIENT(ROW()-ROW($A$2),7)+1),"")</f>
        <v>MA5TER_D</v>
      </c>
      <c r="B375" s="42" t="str">
        <f>_xlfn.XLOOKUP(A375,Class_Players!$A:$A,Class_Players!$B:$B,"")</f>
        <v>Assault</v>
      </c>
      <c r="C375" s="48" t="str" cm="1">
        <f t="array" ref="C375">INDEX(Lookups!$A$2:$A$8,MOD(ROW()-ROW($B$2),ROWS(Lookups!$A$2:$A$8))+1)</f>
        <v>M320A1 HE (Grenade Launcher)</v>
      </c>
      <c r="D375" s="48" t="str">
        <f>_xlfn.XLOOKUP(C375,Analysis_Gadgets!$C:$C,Analysis_Gadgets!$B:$B)</f>
        <v>Gadget</v>
      </c>
      <c r="E375" s="43">
        <v>436</v>
      </c>
      <c r="F375" s="43">
        <f>_xlfn.XLOOKUP(A375,Class_Players!A:A,Class_Players!G:G)</f>
        <v>186</v>
      </c>
      <c r="G375" s="43">
        <f t="shared" si="129"/>
        <v>2.3440860215053765</v>
      </c>
      <c r="H375" s="43">
        <f>_xlfn.XLOOKUP(A375,Class_Players!$A:$A,Class_Players!$F:$F,"")</f>
        <v>9932</v>
      </c>
      <c r="I375" s="44">
        <f t="shared" si="130"/>
        <v>4.3898509867096251E-2</v>
      </c>
      <c r="J375" s="43">
        <f t="shared" si="118"/>
        <v>0</v>
      </c>
      <c r="K375" s="44" cm="1">
        <f t="array" ref="K375">IF(D375="Gadget",_xlfn.IFS(I375&gt;=0.2,0.5,I375&gt;=0.1,0.35,I375&gt;=0.05,0.2,TRUE,0),IF(D375="Grenade",_xlfn.IFS(I375&gt;=0.2,1,I375&gt;=0.1,0.7,I375&gt;=0.05,0.4,TRUE,0),0))</f>
        <v>0</v>
      </c>
      <c r="L375" s="57">
        <f t="shared" si="135"/>
        <v>0</v>
      </c>
    </row>
    <row r="376" spans="1:12" x14ac:dyDescent="0.25">
      <c r="A376" s="42" t="str" cm="1">
        <f t="array" ref="A376">IFERROR(INDEX(_xlfn._xlws.FILTER(Class_Players!A:A,Class_Players!B:B="Assault"),QUOTIENT(ROW()-ROW($A$2),7)+1),"")</f>
        <v>MA5TER_D</v>
      </c>
      <c r="B376" s="42" t="str">
        <f>_xlfn.XLOOKUP(A376,Class_Players!$A:$A,Class_Players!$B:$B,"")</f>
        <v>Assault</v>
      </c>
      <c r="C376" s="48" t="str" cm="1">
        <f t="array" ref="C376">INDEX(Lookups!$A$2:$A$8,MOD(ROW()-ROW($B$2),ROWS(Lookups!$A$2:$A$8))+1)</f>
        <v>M320A1 THRM    (Incendiary Grenade Launcher)</v>
      </c>
      <c r="D376" s="48" t="str">
        <f>_xlfn.XLOOKUP(C376,Analysis_Gadgets!$C:$C,Analysis_Gadgets!$B:$B)</f>
        <v>Gadget</v>
      </c>
      <c r="E376" s="43">
        <v>155</v>
      </c>
      <c r="F376" s="43">
        <f>_xlfn.XLOOKUP(A376,Class_Players!A:A,Class_Players!G:G)</f>
        <v>186</v>
      </c>
      <c r="G376" s="43">
        <f t="shared" si="129"/>
        <v>0.83333333333333337</v>
      </c>
      <c r="H376" s="43">
        <f>_xlfn.XLOOKUP(A376,Class_Players!$A:$A,Class_Players!$F:$F,"")</f>
        <v>9932</v>
      </c>
      <c r="I376" s="44">
        <f t="shared" si="130"/>
        <v>1.5606121627064035E-2</v>
      </c>
      <c r="J376" s="43">
        <f t="shared" si="118"/>
        <v>0</v>
      </c>
      <c r="K376" s="44" cm="1">
        <f t="array" ref="K376">IF(D376="Gadget",_xlfn.IFS(I376&gt;=0.2,0.5,I376&gt;=0.1,0.35,I376&gt;=0.05,0.2,TRUE,0),IF(D376="Grenade",_xlfn.IFS(I376&gt;=0.2,1,I376&gt;=0.1,0.7,I376&gt;=0.05,0.4,TRUE,0),0))</f>
        <v>0</v>
      </c>
      <c r="L376" s="57">
        <f t="shared" si="135"/>
        <v>0</v>
      </c>
    </row>
    <row r="377" spans="1:12" x14ac:dyDescent="0.25">
      <c r="A377" s="42" t="str" cm="1">
        <f t="array" ref="A377">IFERROR(INDEX(_xlfn._xlws.FILTER(Class_Players!A:A,Class_Players!B:B="Assault"),QUOTIENT(ROW()-ROW($A$2),7)+1),"")</f>
        <v>MA5TER_D</v>
      </c>
      <c r="B377" s="42" t="str">
        <f>_xlfn.XLOOKUP(A377,Class_Players!$A:$A,Class_Players!$B:$B,"")</f>
        <v>Assault</v>
      </c>
      <c r="C377" s="48" t="str" cm="1">
        <f t="array" ref="C377">INDEX(Lookups!$A$2:$A$8,MOD(ROW()-ROW($B$2),ROWS(Lookups!$A$2:$A$8))+1)</f>
        <v>QLINK (Deploy Beacon)</v>
      </c>
      <c r="D377" s="48" t="str">
        <f>_xlfn.XLOOKUP(C377,Analysis_Gadgets!$C:$C,Analysis_Gadgets!$B:$B)</f>
        <v>Gadget</v>
      </c>
      <c r="E377" s="43">
        <v>6085</v>
      </c>
      <c r="F377" s="43">
        <f>_xlfn.XLOOKUP(A377,Class_Players!A:A,Class_Players!G:G)</f>
        <v>186</v>
      </c>
      <c r="G377" s="43">
        <f t="shared" si="129"/>
        <v>32.715053763440864</v>
      </c>
      <c r="H377" s="43">
        <f>_xlfn.XLOOKUP(A377,Class_Players!$A:$A,Class_Players!$F:$F,"")</f>
        <v>9932</v>
      </c>
      <c r="I377" s="44">
        <f t="shared" si="130"/>
        <v>0.61266612968183654</v>
      </c>
      <c r="J377" s="43">
        <f t="shared" si="118"/>
        <v>1</v>
      </c>
      <c r="K377" s="44" cm="1">
        <f t="array" ref="K377">IF(D377="Gadget",_xlfn.IFS(I377&gt;=0.2,0.5,I377&gt;=0.1,0.35,I377&gt;=0.05,0.2,TRUE,0),IF(D377="Grenade",_xlfn.IFS(I377&gt;=0.2,1,I377&gt;=0.1,0.7,I377&gt;=0.05,0.4,TRUE,0),0))</f>
        <v>0.5</v>
      </c>
      <c r="L377" s="57">
        <f t="shared" si="135"/>
        <v>1</v>
      </c>
    </row>
    <row r="378" spans="1:12" x14ac:dyDescent="0.25">
      <c r="A378" s="42" t="str" cm="1">
        <f t="array" ref="A378">IFERROR(INDEX(_xlfn._xlws.FILTER(Class_Players!A:A,Class_Players!B:B="Assault"),QUOTIENT(ROW()-ROW($A$2),7)+1),"")</f>
        <v>MA5TER_D</v>
      </c>
      <c r="B378" s="42" t="str">
        <f>_xlfn.XLOOKUP(A378,Class_Players!$A:$A,Class_Players!$B:$B,"")</f>
        <v>Assault</v>
      </c>
      <c r="C378" s="48" t="str" cm="1">
        <f t="array" ref="C378">INDEX(Lookups!$A$2:$A$8,MOD(ROW()-ROW($B$2),ROWS(Lookups!$A$2:$A$8))+1)</f>
        <v>Stun Grenade</v>
      </c>
      <c r="D378" s="48" t="str">
        <f>_xlfn.XLOOKUP(C378,Analysis_Gadgets!$C:$C,Analysis_Gadgets!$B:$B)</f>
        <v>Grenade</v>
      </c>
      <c r="E378" s="43">
        <v>334</v>
      </c>
      <c r="F378" s="43">
        <f>_xlfn.XLOOKUP(A378,Class_Players!A:A,Class_Players!G:G)</f>
        <v>186</v>
      </c>
      <c r="G378" s="43">
        <f t="shared" si="129"/>
        <v>1.7956989247311828</v>
      </c>
      <c r="H378" s="43">
        <f>_xlfn.XLOOKUP(A378,Class_Players!$A:$A,Class_Players!$F:$F,"")</f>
        <v>9932</v>
      </c>
      <c r="I378" s="44">
        <f t="shared" si="130"/>
        <v>3.3628674989931537E-2</v>
      </c>
      <c r="J378" s="43">
        <f t="shared" si="118"/>
        <v>0</v>
      </c>
      <c r="K378" s="44" cm="1">
        <f t="array" ref="K378">IF(D378="Gadget",_xlfn.IFS(I378&gt;=0.2,0.5,I378&gt;=0.1,0.35,I378&gt;=0.05,0.2,TRUE,0),IF(D378="Grenade",_xlfn.IFS(I378&gt;=0.2,1,I378&gt;=0.1,0.7,I378&gt;=0.05,0.4,TRUE,0),0))</f>
        <v>0</v>
      </c>
      <c r="L378" s="57">
        <f t="shared" ref="L378:L379" si="136">IF($K378=0,0,$K378 / SUMIFS($K:$K,$A:$A,$A378,$D:$D,"Grenade"))</f>
        <v>0</v>
      </c>
    </row>
    <row r="379" spans="1:12" x14ac:dyDescent="0.25">
      <c r="A379" s="42" t="str" cm="1">
        <f t="array" ref="A379">IFERROR(INDEX(_xlfn._xlws.FILTER(Class_Players!A:A,Class_Players!B:B="Assault"),QUOTIENT(ROW()-ROW($A$2),7)+1),"")</f>
        <v>MA5TER_D</v>
      </c>
      <c r="B379" s="42" t="str">
        <f>_xlfn.XLOOKUP(A379,Class_Players!$A:$A,Class_Players!$B:$B,"")</f>
        <v>Assault</v>
      </c>
      <c r="C379" s="48" t="str" cm="1">
        <f t="array" ref="C379">INDEX(Lookups!$A$2:$A$8,MOD(ROW()-ROW($B$2),ROWS(Lookups!$A$2:$A$8))+1)</f>
        <v>Flash Grenade</v>
      </c>
      <c r="D379" s="48" t="str">
        <f>_xlfn.XLOOKUP(C379,Analysis_Gadgets!$C:$C,Analysis_Gadgets!$B:$B)</f>
        <v>Grenade</v>
      </c>
      <c r="E379" s="43">
        <v>1</v>
      </c>
      <c r="F379" s="43">
        <f>_xlfn.XLOOKUP(A379,Class_Players!A:A,Class_Players!G:G)</f>
        <v>186</v>
      </c>
      <c r="G379" s="43">
        <f t="shared" si="129"/>
        <v>5.3763440860215058E-3</v>
      </c>
      <c r="H379" s="43">
        <f>_xlfn.XLOOKUP(A379,Class_Players!$A:$A,Class_Players!$F:$F,"")</f>
        <v>9932</v>
      </c>
      <c r="I379" s="44">
        <f t="shared" si="130"/>
        <v>1.0068465565847765E-4</v>
      </c>
      <c r="J379" s="43">
        <f t="shared" si="118"/>
        <v>0</v>
      </c>
      <c r="K379" s="44" cm="1">
        <f t="array" ref="K379">IF(D379="Gadget",_xlfn.IFS(I379&gt;=0.2,0.5,I379&gt;=0.1,0.35,I379&gt;=0.05,0.2,TRUE,0),IF(D379="Grenade",_xlfn.IFS(I379&gt;=0.2,1,I379&gt;=0.1,0.7,I379&gt;=0.05,0.4,TRUE,0),0))</f>
        <v>0</v>
      </c>
      <c r="L379" s="57">
        <f t="shared" si="136"/>
        <v>0</v>
      </c>
    </row>
    <row r="380" spans="1:12" x14ac:dyDescent="0.25">
      <c r="A380" s="42" t="str" cm="1">
        <f t="array" ref="A380">IFERROR(INDEX(_xlfn._xlws.FILTER(Class_Players!A:A,Class_Players!B:B="Assault"),QUOTIENT(ROW()-ROW($A$2),7)+1),"")</f>
        <v>SynCole</v>
      </c>
      <c r="B380" s="42" t="str">
        <f>_xlfn.XLOOKUP(A380,Class_Players!$A:$A,Class_Players!$B:$B,"")</f>
        <v>Assault</v>
      </c>
      <c r="C380" s="48" t="str" cm="1">
        <f t="array" ref="C380">INDEX(Lookups!$A$2:$A$8,MOD(ROW()-ROW($B$2),ROWS(Lookups!$A$2:$A$8))+1)</f>
        <v>Assault Ladder</v>
      </c>
      <c r="D380" s="48" t="str">
        <f>_xlfn.XLOOKUP(C380,Analysis_Gadgets!$C:$C,Analysis_Gadgets!$B:$B)</f>
        <v>Gadget</v>
      </c>
      <c r="E380" s="43">
        <v>594</v>
      </c>
      <c r="F380" s="43">
        <f>_xlfn.XLOOKUP(A380,Class_Players!A:A,Class_Players!G:G)</f>
        <v>109</v>
      </c>
      <c r="G380" s="43">
        <f t="shared" si="129"/>
        <v>5.4495412844036695</v>
      </c>
      <c r="H380" s="43">
        <f>_xlfn.XLOOKUP(A380,Class_Players!$A:$A,Class_Players!$F:$F,"")</f>
        <v>9734</v>
      </c>
      <c r="I380" s="44">
        <f t="shared" si="130"/>
        <v>6.1023217587836451E-2</v>
      </c>
      <c r="J380" s="43">
        <f t="shared" si="118"/>
        <v>0</v>
      </c>
      <c r="K380" s="44" cm="1">
        <f t="array" ref="K380">IF(D380="Gadget",_xlfn.IFS(I380&gt;=0.2,0.5,I380&gt;=0.1,0.35,I380&gt;=0.05,0.2,TRUE,0),IF(D380="Grenade",_xlfn.IFS(I380&gt;=0.2,1,I380&gt;=0.1,0.7,I380&gt;=0.05,0.4,TRUE,0),0))</f>
        <v>0.2</v>
      </c>
      <c r="L380" s="57">
        <f t="shared" ref="L380:L384" si="137">IF($K380=0,0,$K380 / SUMIFS($K:$K,$A:$A,$A380,$D:$D,"Gadget"))</f>
        <v>0.28571428571428575</v>
      </c>
    </row>
    <row r="381" spans="1:12" x14ac:dyDescent="0.25">
      <c r="A381" s="42" t="str" cm="1">
        <f t="array" ref="A381">IFERROR(INDEX(_xlfn._xlws.FILTER(Class_Players!A:A,Class_Players!B:B="Assault"),QUOTIENT(ROW()-ROW($A$2),7)+1),"")</f>
        <v>SynCole</v>
      </c>
      <c r="B381" s="42" t="str">
        <f>_xlfn.XLOOKUP(A381,Class_Players!$A:$A,Class_Players!$B:$B,"")</f>
        <v>Assault</v>
      </c>
      <c r="C381" s="48" t="str" cm="1">
        <f t="array" ref="C381">INDEX(Lookups!$A$2:$A$8,MOD(ROW()-ROW($B$2),ROWS(Lookups!$A$2:$A$8))+1)</f>
        <v>X95 BRE (Breaching Projectile Launcher)</v>
      </c>
      <c r="D381" s="48" t="str">
        <f>_xlfn.XLOOKUP(C381,Analysis_Gadgets!$C:$C,Analysis_Gadgets!$B:$B)</f>
        <v>Gadget</v>
      </c>
      <c r="E381" s="43">
        <v>6</v>
      </c>
      <c r="F381" s="43">
        <f>_xlfn.XLOOKUP(A381,Class_Players!A:A,Class_Players!G:G)</f>
        <v>109</v>
      </c>
      <c r="G381" s="43">
        <f t="shared" si="129"/>
        <v>5.5045871559633031E-2</v>
      </c>
      <c r="H381" s="43">
        <f>_xlfn.XLOOKUP(A381,Class_Players!$A:$A,Class_Players!$F:$F,"")</f>
        <v>9734</v>
      </c>
      <c r="I381" s="44">
        <f t="shared" si="130"/>
        <v>6.1639613725087328E-4</v>
      </c>
      <c r="J381" s="43">
        <f t="shared" si="118"/>
        <v>0</v>
      </c>
      <c r="K381" s="44" cm="1">
        <f t="array" ref="K381">IF(D381="Gadget",_xlfn.IFS(I381&gt;=0.2,0.5,I381&gt;=0.1,0.35,I381&gt;=0.05,0.2,TRUE,0),IF(D381="Grenade",_xlfn.IFS(I381&gt;=0.2,1,I381&gt;=0.1,0.7,I381&gt;=0.05,0.4,TRUE,0),0))</f>
        <v>0</v>
      </c>
      <c r="L381" s="57">
        <f t="shared" si="137"/>
        <v>0</v>
      </c>
    </row>
    <row r="382" spans="1:12" x14ac:dyDescent="0.25">
      <c r="A382" s="42" t="str" cm="1">
        <f t="array" ref="A382">IFERROR(INDEX(_xlfn._xlws.FILTER(Class_Players!A:A,Class_Players!B:B="Assault"),QUOTIENT(ROW()-ROW($A$2),7)+1),"")</f>
        <v>SynCole</v>
      </c>
      <c r="B382" s="42" t="str">
        <f>_xlfn.XLOOKUP(A382,Class_Players!$A:$A,Class_Players!$B:$B,"")</f>
        <v>Assault</v>
      </c>
      <c r="C382" s="48" t="str" cm="1">
        <f t="array" ref="C382">INDEX(Lookups!$A$2:$A$8,MOD(ROW()-ROW($B$2),ROWS(Lookups!$A$2:$A$8))+1)</f>
        <v>M320A1 HE (Grenade Launcher)</v>
      </c>
      <c r="D382" s="48" t="str">
        <f>_xlfn.XLOOKUP(C382,Analysis_Gadgets!$C:$C,Analysis_Gadgets!$B:$B)</f>
        <v>Gadget</v>
      </c>
      <c r="E382" s="43">
        <v>2695</v>
      </c>
      <c r="F382" s="43">
        <f>_xlfn.XLOOKUP(A382,Class_Players!A:A,Class_Players!G:G)</f>
        <v>109</v>
      </c>
      <c r="G382" s="43">
        <f t="shared" si="129"/>
        <v>24.724770642201836</v>
      </c>
      <c r="H382" s="43">
        <f>_xlfn.XLOOKUP(A382,Class_Players!$A:$A,Class_Players!$F:$F,"")</f>
        <v>9734</v>
      </c>
      <c r="I382" s="44">
        <f t="shared" si="130"/>
        <v>0.2768645983151839</v>
      </c>
      <c r="J382" s="43">
        <f t="shared" si="118"/>
        <v>1</v>
      </c>
      <c r="K382" s="44" cm="1">
        <f t="array" ref="K382">IF(D382="Gadget",_xlfn.IFS(I382&gt;=0.2,0.5,I382&gt;=0.1,0.35,I382&gt;=0.05,0.2,TRUE,0),IF(D382="Grenade",_xlfn.IFS(I382&gt;=0.2,1,I382&gt;=0.1,0.7,I382&gt;=0.05,0.4,TRUE,0),0))</f>
        <v>0.5</v>
      </c>
      <c r="L382" s="57">
        <f t="shared" si="137"/>
        <v>0.7142857142857143</v>
      </c>
    </row>
    <row r="383" spans="1:12" x14ac:dyDescent="0.25">
      <c r="A383" s="42" t="str" cm="1">
        <f t="array" ref="A383">IFERROR(INDEX(_xlfn._xlws.FILTER(Class_Players!A:A,Class_Players!B:B="Assault"),QUOTIENT(ROW()-ROW($A$2),7)+1),"")</f>
        <v>SynCole</v>
      </c>
      <c r="B383" s="42" t="str">
        <f>_xlfn.XLOOKUP(A383,Class_Players!$A:$A,Class_Players!$B:$B,"")</f>
        <v>Assault</v>
      </c>
      <c r="C383" s="48" t="str" cm="1">
        <f t="array" ref="C383">INDEX(Lookups!$A$2:$A$8,MOD(ROW()-ROW($B$2),ROWS(Lookups!$A$2:$A$8))+1)</f>
        <v>M320A1 THRM    (Incendiary Grenade Launcher)</v>
      </c>
      <c r="D383" s="48" t="str">
        <f>_xlfn.XLOOKUP(C383,Analysis_Gadgets!$C:$C,Analysis_Gadgets!$B:$B)</f>
        <v>Gadget</v>
      </c>
      <c r="E383" s="43">
        <v>0</v>
      </c>
      <c r="F383" s="43">
        <f>_xlfn.XLOOKUP(A383,Class_Players!A:A,Class_Players!G:G)</f>
        <v>109</v>
      </c>
      <c r="G383" s="43">
        <f t="shared" si="129"/>
        <v>0</v>
      </c>
      <c r="H383" s="43">
        <f>_xlfn.XLOOKUP(A383,Class_Players!$A:$A,Class_Players!$F:$F,"")</f>
        <v>9734</v>
      </c>
      <c r="I383" s="44">
        <f t="shared" si="130"/>
        <v>0</v>
      </c>
      <c r="J383" s="43">
        <f t="shared" si="118"/>
        <v>0</v>
      </c>
      <c r="K383" s="44" cm="1">
        <f t="array" ref="K383">IF(D383="Gadget",_xlfn.IFS(I383&gt;=0.2,0.5,I383&gt;=0.1,0.35,I383&gt;=0.05,0.2,TRUE,0),IF(D383="Grenade",_xlfn.IFS(I383&gt;=0.2,1,I383&gt;=0.1,0.7,I383&gt;=0.05,0.4,TRUE,0),0))</f>
        <v>0</v>
      </c>
      <c r="L383" s="57">
        <f t="shared" si="137"/>
        <v>0</v>
      </c>
    </row>
    <row r="384" spans="1:12" x14ac:dyDescent="0.25">
      <c r="A384" s="42" t="str" cm="1">
        <f t="array" ref="A384">IFERROR(INDEX(_xlfn._xlws.FILTER(Class_Players!A:A,Class_Players!B:B="Assault"),QUOTIENT(ROW()-ROW($A$2),7)+1),"")</f>
        <v>SynCole</v>
      </c>
      <c r="B384" s="42" t="str">
        <f>_xlfn.XLOOKUP(A384,Class_Players!$A:$A,Class_Players!$B:$B,"")</f>
        <v>Assault</v>
      </c>
      <c r="C384" s="48" t="str" cm="1">
        <f t="array" ref="C384">INDEX(Lookups!$A$2:$A$8,MOD(ROW()-ROW($B$2),ROWS(Lookups!$A$2:$A$8))+1)</f>
        <v>QLINK (Deploy Beacon)</v>
      </c>
      <c r="D384" s="48" t="str">
        <f>_xlfn.XLOOKUP(C384,Analysis_Gadgets!$C:$C,Analysis_Gadgets!$B:$B)</f>
        <v>Gadget</v>
      </c>
      <c r="E384" s="43">
        <v>22</v>
      </c>
      <c r="F384" s="43">
        <f>_xlfn.XLOOKUP(A384,Class_Players!A:A,Class_Players!G:G)</f>
        <v>109</v>
      </c>
      <c r="G384" s="43">
        <f t="shared" si="129"/>
        <v>0.20183486238532111</v>
      </c>
      <c r="H384" s="43">
        <f>_xlfn.XLOOKUP(A384,Class_Players!$A:$A,Class_Players!$F:$F,"")</f>
        <v>9734</v>
      </c>
      <c r="I384" s="44">
        <f t="shared" si="130"/>
        <v>2.2601191699198686E-3</v>
      </c>
      <c r="J384" s="43">
        <f t="shared" si="118"/>
        <v>0</v>
      </c>
      <c r="K384" s="44" cm="1">
        <f t="array" ref="K384">IF(D384="Gadget",_xlfn.IFS(I384&gt;=0.2,0.5,I384&gt;=0.1,0.35,I384&gt;=0.05,0.2,TRUE,0),IF(D384="Grenade",_xlfn.IFS(I384&gt;=0.2,1,I384&gt;=0.1,0.7,I384&gt;=0.05,0.4,TRUE,0),0))</f>
        <v>0</v>
      </c>
      <c r="L384" s="57">
        <f t="shared" si="137"/>
        <v>0</v>
      </c>
    </row>
    <row r="385" spans="1:12" x14ac:dyDescent="0.25">
      <c r="A385" s="42" t="str" cm="1">
        <f t="array" ref="A385">IFERROR(INDEX(_xlfn._xlws.FILTER(Class_Players!A:A,Class_Players!B:B="Assault"),QUOTIENT(ROW()-ROW($A$2),7)+1),"")</f>
        <v>SynCole</v>
      </c>
      <c r="B385" s="42" t="str">
        <f>_xlfn.XLOOKUP(A385,Class_Players!$A:$A,Class_Players!$B:$B,"")</f>
        <v>Assault</v>
      </c>
      <c r="C385" s="48" t="str" cm="1">
        <f t="array" ref="C385">INDEX(Lookups!$A$2:$A$8,MOD(ROW()-ROW($B$2),ROWS(Lookups!$A$2:$A$8))+1)</f>
        <v>Stun Grenade</v>
      </c>
      <c r="D385" s="48" t="str">
        <f>_xlfn.XLOOKUP(C385,Analysis_Gadgets!$C:$C,Analysis_Gadgets!$B:$B)</f>
        <v>Grenade</v>
      </c>
      <c r="E385" s="43">
        <v>17</v>
      </c>
      <c r="F385" s="43">
        <f>_xlfn.XLOOKUP(A385,Class_Players!A:A,Class_Players!G:G)</f>
        <v>109</v>
      </c>
      <c r="G385" s="43">
        <f t="shared" si="129"/>
        <v>0.15596330275229359</v>
      </c>
      <c r="H385" s="43">
        <f>_xlfn.XLOOKUP(A385,Class_Players!$A:$A,Class_Players!$F:$F,"")</f>
        <v>9734</v>
      </c>
      <c r="I385" s="44">
        <f t="shared" si="130"/>
        <v>1.7464557222108075E-3</v>
      </c>
      <c r="J385" s="43">
        <f t="shared" si="118"/>
        <v>0</v>
      </c>
      <c r="K385" s="44" cm="1">
        <f t="array" ref="K385">IF(D385="Gadget",_xlfn.IFS(I385&gt;=0.2,0.5,I385&gt;=0.1,0.35,I385&gt;=0.05,0.2,TRUE,0),IF(D385="Grenade",_xlfn.IFS(I385&gt;=0.2,1,I385&gt;=0.1,0.7,I385&gt;=0.05,0.4,TRUE,0),0))</f>
        <v>0</v>
      </c>
      <c r="L385" s="57">
        <f t="shared" ref="L385:L386" si="138">IF($K385=0,0,$K385 / SUMIFS($K:$K,$A:$A,$A385,$D:$D,"Grenade"))</f>
        <v>0</v>
      </c>
    </row>
    <row r="386" spans="1:12" x14ac:dyDescent="0.25">
      <c r="A386" s="42" t="str" cm="1">
        <f t="array" ref="A386">IFERROR(INDEX(_xlfn._xlws.FILTER(Class_Players!A:A,Class_Players!B:B="Assault"),QUOTIENT(ROW()-ROW($A$2),7)+1),"")</f>
        <v>SynCole</v>
      </c>
      <c r="B386" s="42" t="str">
        <f>_xlfn.XLOOKUP(A386,Class_Players!$A:$A,Class_Players!$B:$B,"")</f>
        <v>Assault</v>
      </c>
      <c r="C386" s="48" t="str" cm="1">
        <f t="array" ref="C386">INDEX(Lookups!$A$2:$A$8,MOD(ROW()-ROW($B$2),ROWS(Lookups!$A$2:$A$8))+1)</f>
        <v>Flash Grenade</v>
      </c>
      <c r="D386" s="48" t="str">
        <f>_xlfn.XLOOKUP(C386,Analysis_Gadgets!$C:$C,Analysis_Gadgets!$B:$B)</f>
        <v>Grenade</v>
      </c>
      <c r="E386" s="43">
        <v>0</v>
      </c>
      <c r="F386" s="43">
        <f>_xlfn.XLOOKUP(A386,Class_Players!A:A,Class_Players!G:G)</f>
        <v>109</v>
      </c>
      <c r="G386" s="43">
        <f t="shared" si="129"/>
        <v>0</v>
      </c>
      <c r="H386" s="43">
        <f>_xlfn.XLOOKUP(A386,Class_Players!$A:$A,Class_Players!$F:$F,"")</f>
        <v>9734</v>
      </c>
      <c r="I386" s="44">
        <f t="shared" si="130"/>
        <v>0</v>
      </c>
      <c r="J386" s="43">
        <f t="shared" si="118"/>
        <v>0</v>
      </c>
      <c r="K386" s="44" cm="1">
        <f t="array" ref="K386">IF(D386="Gadget",_xlfn.IFS(I386&gt;=0.2,0.5,I386&gt;=0.1,0.35,I386&gt;=0.05,0.2,TRUE,0),IF(D386="Grenade",_xlfn.IFS(I386&gt;=0.2,1,I386&gt;=0.1,0.7,I386&gt;=0.05,0.4,TRUE,0),0))</f>
        <v>0</v>
      </c>
      <c r="L386" s="57">
        <f t="shared" si="138"/>
        <v>0</v>
      </c>
    </row>
    <row r="387" spans="1:12" x14ac:dyDescent="0.25">
      <c r="A387" s="42" t="str" cm="1">
        <f t="array" ref="A387">IFERROR(INDEX(_xlfn._xlws.FILTER(Class_Players!A:A,Class_Players!B:B="Assault"),QUOTIENT(ROW()-ROW($A$2),7)+1),"")</f>
        <v>Arzabv</v>
      </c>
      <c r="B387" s="42" t="str">
        <f>_xlfn.XLOOKUP(A387,Class_Players!$A:$A,Class_Players!$B:$B,"")</f>
        <v>Assault</v>
      </c>
      <c r="C387" s="48" t="str" cm="1">
        <f t="array" ref="C387">INDEX(Lookups!$A$2:$A$8,MOD(ROW()-ROW($B$2),ROWS(Lookups!$A$2:$A$8))+1)</f>
        <v>Assault Ladder</v>
      </c>
      <c r="D387" s="48" t="str">
        <f>_xlfn.XLOOKUP(C387,Analysis_Gadgets!$C:$C,Analysis_Gadgets!$B:$B)</f>
        <v>Gadget</v>
      </c>
      <c r="E387" s="43">
        <v>66</v>
      </c>
      <c r="F387" s="43">
        <f>_xlfn.XLOOKUP(A387,Class_Players!A:A,Class_Players!G:G)</f>
        <v>112</v>
      </c>
      <c r="G387" s="43">
        <f t="shared" ref="G387:G450" si="139">IF(F387=0,"",E387/F387)</f>
        <v>0.5892857142857143</v>
      </c>
      <c r="H387" s="43">
        <f>_xlfn.XLOOKUP(A387,Class_Players!$A:$A,Class_Players!$F:$F,"")</f>
        <v>9748</v>
      </c>
      <c r="I387" s="44">
        <f t="shared" ref="I387:I450" si="140">IF(H387=0,"",E387/H387)</f>
        <v>6.7706196142798521E-3</v>
      </c>
      <c r="J387" s="43">
        <f t="shared" ref="J387:J450" si="141">IF(I387&gt;=0.1,1,0)</f>
        <v>0</v>
      </c>
      <c r="K387" s="44" cm="1">
        <f t="array" ref="K387">IF(D387="Gadget",_xlfn.IFS(I387&gt;=0.2,0.5,I387&gt;=0.1,0.35,I387&gt;=0.05,0.2,TRUE,0),IF(D387="Grenade",_xlfn.IFS(I387&gt;=0.2,1,I387&gt;=0.1,0.7,I387&gt;=0.05,0.4,TRUE,0),0))</f>
        <v>0</v>
      </c>
      <c r="L387" s="57">
        <f t="shared" ref="L387:L391" si="142">IF($K387=0,0,$K387 / SUMIFS($K:$K,$A:$A,$A387,$D:$D,"Gadget"))</f>
        <v>0</v>
      </c>
    </row>
    <row r="388" spans="1:12" x14ac:dyDescent="0.25">
      <c r="A388" s="42" t="str" cm="1">
        <f t="array" ref="A388">IFERROR(INDEX(_xlfn._xlws.FILTER(Class_Players!A:A,Class_Players!B:B="Assault"),QUOTIENT(ROW()-ROW($A$2),7)+1),"")</f>
        <v>Arzabv</v>
      </c>
      <c r="B388" s="42" t="str">
        <f>_xlfn.XLOOKUP(A388,Class_Players!$A:$A,Class_Players!$B:$B,"")</f>
        <v>Assault</v>
      </c>
      <c r="C388" s="48" t="str" cm="1">
        <f t="array" ref="C388">INDEX(Lookups!$A$2:$A$8,MOD(ROW()-ROW($B$2),ROWS(Lookups!$A$2:$A$8))+1)</f>
        <v>X95 BRE (Breaching Projectile Launcher)</v>
      </c>
      <c r="D388" s="48" t="str">
        <f>_xlfn.XLOOKUP(C388,Analysis_Gadgets!$C:$C,Analysis_Gadgets!$B:$B)</f>
        <v>Gadget</v>
      </c>
      <c r="E388" s="43">
        <v>0</v>
      </c>
      <c r="F388" s="43">
        <f>_xlfn.XLOOKUP(A388,Class_Players!A:A,Class_Players!G:G)</f>
        <v>112</v>
      </c>
      <c r="G388" s="43">
        <f t="shared" si="139"/>
        <v>0</v>
      </c>
      <c r="H388" s="43">
        <f>_xlfn.XLOOKUP(A388,Class_Players!$A:$A,Class_Players!$F:$F,"")</f>
        <v>9748</v>
      </c>
      <c r="I388" s="44">
        <f t="shared" si="140"/>
        <v>0</v>
      </c>
      <c r="J388" s="43">
        <f t="shared" si="141"/>
        <v>0</v>
      </c>
      <c r="K388" s="44" cm="1">
        <f t="array" ref="K388">IF(D388="Gadget",_xlfn.IFS(I388&gt;=0.2,0.5,I388&gt;=0.1,0.35,I388&gt;=0.05,0.2,TRUE,0),IF(D388="Grenade",_xlfn.IFS(I388&gt;=0.2,1,I388&gt;=0.1,0.7,I388&gt;=0.05,0.4,TRUE,0),0))</f>
        <v>0</v>
      </c>
      <c r="L388" s="57">
        <f t="shared" si="142"/>
        <v>0</v>
      </c>
    </row>
    <row r="389" spans="1:12" x14ac:dyDescent="0.25">
      <c r="A389" s="42" t="str" cm="1">
        <f t="array" ref="A389">IFERROR(INDEX(_xlfn._xlws.FILTER(Class_Players!A:A,Class_Players!B:B="Assault"),QUOTIENT(ROW()-ROW($A$2),7)+1),"")</f>
        <v>Arzabv</v>
      </c>
      <c r="B389" s="42" t="str">
        <f>_xlfn.XLOOKUP(A389,Class_Players!$A:$A,Class_Players!$B:$B,"")</f>
        <v>Assault</v>
      </c>
      <c r="C389" s="48" t="str" cm="1">
        <f t="array" ref="C389">INDEX(Lookups!$A$2:$A$8,MOD(ROW()-ROW($B$2),ROWS(Lookups!$A$2:$A$8))+1)</f>
        <v>M320A1 HE (Grenade Launcher)</v>
      </c>
      <c r="D389" s="48" t="str">
        <f>_xlfn.XLOOKUP(C389,Analysis_Gadgets!$C:$C,Analysis_Gadgets!$B:$B)</f>
        <v>Gadget</v>
      </c>
      <c r="E389" s="43">
        <v>6690</v>
      </c>
      <c r="F389" s="43">
        <f>_xlfn.XLOOKUP(A389,Class_Players!A:A,Class_Players!G:G)</f>
        <v>112</v>
      </c>
      <c r="G389" s="43">
        <f t="shared" si="139"/>
        <v>59.732142857142854</v>
      </c>
      <c r="H389" s="43">
        <f>_xlfn.XLOOKUP(A389,Class_Players!$A:$A,Class_Players!$F:$F,"")</f>
        <v>9748</v>
      </c>
      <c r="I389" s="44">
        <f t="shared" si="140"/>
        <v>0.68629462453836687</v>
      </c>
      <c r="J389" s="43">
        <f t="shared" si="141"/>
        <v>1</v>
      </c>
      <c r="K389" s="44" cm="1">
        <f t="array" ref="K389">IF(D389="Gadget",_xlfn.IFS(I389&gt;=0.2,0.5,I389&gt;=0.1,0.35,I389&gt;=0.05,0.2,TRUE,0),IF(D389="Grenade",_xlfn.IFS(I389&gt;=0.2,1,I389&gt;=0.1,0.7,I389&gt;=0.05,0.4,TRUE,0),0))</f>
        <v>0.5</v>
      </c>
      <c r="L389" s="57">
        <f t="shared" si="142"/>
        <v>0.58823529411764708</v>
      </c>
    </row>
    <row r="390" spans="1:12" x14ac:dyDescent="0.25">
      <c r="A390" s="42" t="str" cm="1">
        <f t="array" ref="A390">IFERROR(INDEX(_xlfn._xlws.FILTER(Class_Players!A:A,Class_Players!B:B="Assault"),QUOTIENT(ROW()-ROW($A$2),7)+1),"")</f>
        <v>Arzabv</v>
      </c>
      <c r="B390" s="42" t="str">
        <f>_xlfn.XLOOKUP(A390,Class_Players!$A:$A,Class_Players!$B:$B,"")</f>
        <v>Assault</v>
      </c>
      <c r="C390" s="48" t="str" cm="1">
        <f t="array" ref="C390">INDEX(Lookups!$A$2:$A$8,MOD(ROW()-ROW($B$2),ROWS(Lookups!$A$2:$A$8))+1)</f>
        <v>M320A1 THRM    (Incendiary Grenade Launcher)</v>
      </c>
      <c r="D390" s="48" t="str">
        <f>_xlfn.XLOOKUP(C390,Analysis_Gadgets!$C:$C,Analysis_Gadgets!$B:$B)</f>
        <v>Gadget</v>
      </c>
      <c r="E390" s="43">
        <v>2</v>
      </c>
      <c r="F390" s="43">
        <f>_xlfn.XLOOKUP(A390,Class_Players!A:A,Class_Players!G:G)</f>
        <v>112</v>
      </c>
      <c r="G390" s="43">
        <f t="shared" si="139"/>
        <v>1.7857142857142856E-2</v>
      </c>
      <c r="H390" s="43">
        <f>_xlfn.XLOOKUP(A390,Class_Players!$A:$A,Class_Players!$F:$F,"")</f>
        <v>9748</v>
      </c>
      <c r="I390" s="44">
        <f t="shared" si="140"/>
        <v>2.051702913418137E-4</v>
      </c>
      <c r="J390" s="43">
        <f t="shared" si="141"/>
        <v>0</v>
      </c>
      <c r="K390" s="44" cm="1">
        <f t="array" ref="K390">IF(D390="Gadget",_xlfn.IFS(I390&gt;=0.2,0.5,I390&gt;=0.1,0.35,I390&gt;=0.05,0.2,TRUE,0),IF(D390="Grenade",_xlfn.IFS(I390&gt;=0.2,1,I390&gt;=0.1,0.7,I390&gt;=0.05,0.4,TRUE,0),0))</f>
        <v>0</v>
      </c>
      <c r="L390" s="57">
        <f t="shared" si="142"/>
        <v>0</v>
      </c>
    </row>
    <row r="391" spans="1:12" x14ac:dyDescent="0.25">
      <c r="A391" s="42" t="str" cm="1">
        <f t="array" ref="A391">IFERROR(INDEX(_xlfn._xlws.FILTER(Class_Players!A:A,Class_Players!B:B="Assault"),QUOTIENT(ROW()-ROW($A$2),7)+1),"")</f>
        <v>Arzabv</v>
      </c>
      <c r="B391" s="42" t="str">
        <f>_xlfn.XLOOKUP(A391,Class_Players!$A:$A,Class_Players!$B:$B,"")</f>
        <v>Assault</v>
      </c>
      <c r="C391" s="48" t="str" cm="1">
        <f t="array" ref="C391">INDEX(Lookups!$A$2:$A$8,MOD(ROW()-ROW($B$2),ROWS(Lookups!$A$2:$A$8))+1)</f>
        <v>QLINK (Deploy Beacon)</v>
      </c>
      <c r="D391" s="48" t="str">
        <f>_xlfn.XLOOKUP(C391,Analysis_Gadgets!$C:$C,Analysis_Gadgets!$B:$B)</f>
        <v>Gadget</v>
      </c>
      <c r="E391" s="43">
        <v>1236</v>
      </c>
      <c r="F391" s="43">
        <f>_xlfn.XLOOKUP(A391,Class_Players!A:A,Class_Players!G:G)</f>
        <v>112</v>
      </c>
      <c r="G391" s="43">
        <f t="shared" si="139"/>
        <v>11.035714285714286</v>
      </c>
      <c r="H391" s="43">
        <f>_xlfn.XLOOKUP(A391,Class_Players!$A:$A,Class_Players!$F:$F,"")</f>
        <v>9748</v>
      </c>
      <c r="I391" s="44">
        <f t="shared" si="140"/>
        <v>0.12679524004924086</v>
      </c>
      <c r="J391" s="43">
        <f t="shared" si="141"/>
        <v>1</v>
      </c>
      <c r="K391" s="44" cm="1">
        <f t="array" ref="K391">IF(D391="Gadget",_xlfn.IFS(I391&gt;=0.2,0.5,I391&gt;=0.1,0.35,I391&gt;=0.05,0.2,TRUE,0),IF(D391="Grenade",_xlfn.IFS(I391&gt;=0.2,1,I391&gt;=0.1,0.7,I391&gt;=0.05,0.4,TRUE,0),0))</f>
        <v>0.35</v>
      </c>
      <c r="L391" s="57">
        <f t="shared" si="142"/>
        <v>0.41176470588235292</v>
      </c>
    </row>
    <row r="392" spans="1:12" x14ac:dyDescent="0.25">
      <c r="A392" s="42" t="str" cm="1">
        <f t="array" ref="A392">IFERROR(INDEX(_xlfn._xlws.FILTER(Class_Players!A:A,Class_Players!B:B="Assault"),QUOTIENT(ROW()-ROW($A$2),7)+1),"")</f>
        <v>Arzabv</v>
      </c>
      <c r="B392" s="42" t="str">
        <f>_xlfn.XLOOKUP(A392,Class_Players!$A:$A,Class_Players!$B:$B,"")</f>
        <v>Assault</v>
      </c>
      <c r="C392" s="48" t="str" cm="1">
        <f t="array" ref="C392">INDEX(Lookups!$A$2:$A$8,MOD(ROW()-ROW($B$2),ROWS(Lookups!$A$2:$A$8))+1)</f>
        <v>Stun Grenade</v>
      </c>
      <c r="D392" s="48" t="str">
        <f>_xlfn.XLOOKUP(C392,Analysis_Gadgets!$C:$C,Analysis_Gadgets!$B:$B)</f>
        <v>Grenade</v>
      </c>
      <c r="E392" s="43">
        <v>235</v>
      </c>
      <c r="F392" s="43">
        <f>_xlfn.XLOOKUP(A392,Class_Players!A:A,Class_Players!G:G)</f>
        <v>112</v>
      </c>
      <c r="G392" s="43">
        <f t="shared" si="139"/>
        <v>2.0982142857142856</v>
      </c>
      <c r="H392" s="43">
        <f>_xlfn.XLOOKUP(A392,Class_Players!$A:$A,Class_Players!$F:$F,"")</f>
        <v>9748</v>
      </c>
      <c r="I392" s="44">
        <f t="shared" si="140"/>
        <v>2.410750923266311E-2</v>
      </c>
      <c r="J392" s="43">
        <f t="shared" si="141"/>
        <v>0</v>
      </c>
      <c r="K392" s="44" cm="1">
        <f t="array" ref="K392">IF(D392="Gadget",_xlfn.IFS(I392&gt;=0.2,0.5,I392&gt;=0.1,0.35,I392&gt;=0.05,0.2,TRUE,0),IF(D392="Grenade",_xlfn.IFS(I392&gt;=0.2,1,I392&gt;=0.1,0.7,I392&gt;=0.05,0.4,TRUE,0),0))</f>
        <v>0</v>
      </c>
      <c r="L392" s="57">
        <f t="shared" ref="L392:L393" si="143">IF($K392=0,0,$K392 / SUMIFS($K:$K,$A:$A,$A392,$D:$D,"Grenade"))</f>
        <v>0</v>
      </c>
    </row>
    <row r="393" spans="1:12" x14ac:dyDescent="0.25">
      <c r="A393" s="42" t="str" cm="1">
        <f t="array" ref="A393">IFERROR(INDEX(_xlfn._xlws.FILTER(Class_Players!A:A,Class_Players!B:B="Assault"),QUOTIENT(ROW()-ROW($A$2),7)+1),"")</f>
        <v>Arzabv</v>
      </c>
      <c r="B393" s="42" t="str">
        <f>_xlfn.XLOOKUP(A393,Class_Players!$A:$A,Class_Players!$B:$B,"")</f>
        <v>Assault</v>
      </c>
      <c r="C393" s="48" t="str" cm="1">
        <f t="array" ref="C393">INDEX(Lookups!$A$2:$A$8,MOD(ROW()-ROW($B$2),ROWS(Lookups!$A$2:$A$8))+1)</f>
        <v>Flash Grenade</v>
      </c>
      <c r="D393" s="48" t="str">
        <f>_xlfn.XLOOKUP(C393,Analysis_Gadgets!$C:$C,Analysis_Gadgets!$B:$B)</f>
        <v>Grenade</v>
      </c>
      <c r="E393" s="43">
        <v>117</v>
      </c>
      <c r="F393" s="43">
        <f>_xlfn.XLOOKUP(A393,Class_Players!A:A,Class_Players!G:G)</f>
        <v>112</v>
      </c>
      <c r="G393" s="43">
        <f t="shared" si="139"/>
        <v>1.0446428571428572</v>
      </c>
      <c r="H393" s="43">
        <f>_xlfn.XLOOKUP(A393,Class_Players!$A:$A,Class_Players!$F:$F,"")</f>
        <v>9748</v>
      </c>
      <c r="I393" s="44">
        <f t="shared" si="140"/>
        <v>1.2002462043496101E-2</v>
      </c>
      <c r="J393" s="43">
        <f t="shared" si="141"/>
        <v>0</v>
      </c>
      <c r="K393" s="44" cm="1">
        <f t="array" ref="K393">IF(D393="Gadget",_xlfn.IFS(I393&gt;=0.2,0.5,I393&gt;=0.1,0.35,I393&gt;=0.05,0.2,TRUE,0),IF(D393="Grenade",_xlfn.IFS(I393&gt;=0.2,1,I393&gt;=0.1,0.7,I393&gt;=0.05,0.4,TRUE,0),0))</f>
        <v>0</v>
      </c>
      <c r="L393" s="57">
        <f t="shared" si="143"/>
        <v>0</v>
      </c>
    </row>
    <row r="394" spans="1:12" x14ac:dyDescent="0.25">
      <c r="A394" s="42" t="str" cm="1">
        <f t="array" ref="A394">IFERROR(INDEX(_xlfn._xlws.FILTER(Class_Players!A:A,Class_Players!B:B="Assault"),QUOTIENT(ROW()-ROW($A$2),7)+1),"")</f>
        <v>CrazyHorsse13</v>
      </c>
      <c r="B394" s="42" t="str">
        <f>_xlfn.XLOOKUP(A394,Class_Players!$A:$A,Class_Players!$B:$B,"")</f>
        <v>Assault</v>
      </c>
      <c r="C394" s="48" t="str" cm="1">
        <f t="array" ref="C394">INDEX(Lookups!$A$2:$A$8,MOD(ROW()-ROW($B$2),ROWS(Lookups!$A$2:$A$8))+1)</f>
        <v>Assault Ladder</v>
      </c>
      <c r="D394" s="48" t="str">
        <f>_xlfn.XLOOKUP(C394,Analysis_Gadgets!$C:$C,Analysis_Gadgets!$B:$B)</f>
        <v>Gadget</v>
      </c>
      <c r="E394" s="43">
        <v>275</v>
      </c>
      <c r="F394" s="43">
        <f>_xlfn.XLOOKUP(A394,Class_Players!A:A,Class_Players!G:G)</f>
        <v>193</v>
      </c>
      <c r="G394" s="43">
        <f t="shared" si="139"/>
        <v>1.4248704663212435</v>
      </c>
      <c r="H394" s="43">
        <f>_xlfn.XLOOKUP(A394,Class_Players!$A:$A,Class_Players!$F:$F,"")</f>
        <v>9998</v>
      </c>
      <c r="I394" s="44">
        <f t="shared" si="140"/>
        <v>2.7505501100220046E-2</v>
      </c>
      <c r="J394" s="43">
        <f t="shared" si="141"/>
        <v>0</v>
      </c>
      <c r="K394" s="44" cm="1">
        <f t="array" ref="K394">IF(D394="Gadget",_xlfn.IFS(I394&gt;=0.2,0.5,I394&gt;=0.1,0.35,I394&gt;=0.05,0.2,TRUE,0),IF(D394="Grenade",_xlfn.IFS(I394&gt;=0.2,1,I394&gt;=0.1,0.7,I394&gt;=0.05,0.4,TRUE,0),0))</f>
        <v>0</v>
      </c>
      <c r="L394" s="57">
        <f t="shared" ref="L394:L398" si="144">IF($K394=0,0,$K394 / SUMIFS($K:$K,$A:$A,$A394,$D:$D,"Gadget"))</f>
        <v>0</v>
      </c>
    </row>
    <row r="395" spans="1:12" x14ac:dyDescent="0.25">
      <c r="A395" s="42" t="str" cm="1">
        <f t="array" ref="A395">IFERROR(INDEX(_xlfn._xlws.FILTER(Class_Players!A:A,Class_Players!B:B="Assault"),QUOTIENT(ROW()-ROW($A$2),7)+1),"")</f>
        <v>CrazyHorsse13</v>
      </c>
      <c r="B395" s="42" t="str">
        <f>_xlfn.XLOOKUP(A395,Class_Players!$A:$A,Class_Players!$B:$B,"")</f>
        <v>Assault</v>
      </c>
      <c r="C395" s="48" t="str" cm="1">
        <f t="array" ref="C395">INDEX(Lookups!$A$2:$A$8,MOD(ROW()-ROW($B$2),ROWS(Lookups!$A$2:$A$8))+1)</f>
        <v>X95 BRE (Breaching Projectile Launcher)</v>
      </c>
      <c r="D395" s="48" t="str">
        <f>_xlfn.XLOOKUP(C395,Analysis_Gadgets!$C:$C,Analysis_Gadgets!$B:$B)</f>
        <v>Gadget</v>
      </c>
      <c r="E395" s="43">
        <v>21</v>
      </c>
      <c r="F395" s="43">
        <f>_xlfn.XLOOKUP(A395,Class_Players!A:A,Class_Players!G:G)</f>
        <v>193</v>
      </c>
      <c r="G395" s="43">
        <f t="shared" si="139"/>
        <v>0.10880829015544041</v>
      </c>
      <c r="H395" s="43">
        <f>_xlfn.XLOOKUP(A395,Class_Players!$A:$A,Class_Players!$F:$F,"")</f>
        <v>9998</v>
      </c>
      <c r="I395" s="44">
        <f t="shared" si="140"/>
        <v>2.1004200840168035E-3</v>
      </c>
      <c r="J395" s="43">
        <f t="shared" si="141"/>
        <v>0</v>
      </c>
      <c r="K395" s="44" cm="1">
        <f t="array" ref="K395">IF(D395="Gadget",_xlfn.IFS(I395&gt;=0.2,0.5,I395&gt;=0.1,0.35,I395&gt;=0.05,0.2,TRUE,0),IF(D395="Grenade",_xlfn.IFS(I395&gt;=0.2,1,I395&gt;=0.1,0.7,I395&gt;=0.05,0.4,TRUE,0),0))</f>
        <v>0</v>
      </c>
      <c r="L395" s="57">
        <f t="shared" si="144"/>
        <v>0</v>
      </c>
    </row>
    <row r="396" spans="1:12" x14ac:dyDescent="0.25">
      <c r="A396" s="42" t="str" cm="1">
        <f t="array" ref="A396">IFERROR(INDEX(_xlfn._xlws.FILTER(Class_Players!A:A,Class_Players!B:B="Assault"),QUOTIENT(ROW()-ROW($A$2),7)+1),"")</f>
        <v>CrazyHorsse13</v>
      </c>
      <c r="B396" s="42" t="str">
        <f>_xlfn.XLOOKUP(A396,Class_Players!$A:$A,Class_Players!$B:$B,"")</f>
        <v>Assault</v>
      </c>
      <c r="C396" s="48" t="str" cm="1">
        <f t="array" ref="C396">INDEX(Lookups!$A$2:$A$8,MOD(ROW()-ROW($B$2),ROWS(Lookups!$A$2:$A$8))+1)</f>
        <v>M320A1 HE (Grenade Launcher)</v>
      </c>
      <c r="D396" s="48" t="str">
        <f>_xlfn.XLOOKUP(C396,Analysis_Gadgets!$C:$C,Analysis_Gadgets!$B:$B)</f>
        <v>Gadget</v>
      </c>
      <c r="E396" s="43">
        <v>2330</v>
      </c>
      <c r="F396" s="43">
        <f>_xlfn.XLOOKUP(A396,Class_Players!A:A,Class_Players!G:G)</f>
        <v>193</v>
      </c>
      <c r="G396" s="43">
        <f t="shared" si="139"/>
        <v>12.072538860103627</v>
      </c>
      <c r="H396" s="43">
        <f>_xlfn.XLOOKUP(A396,Class_Players!$A:$A,Class_Players!$F:$F,"")</f>
        <v>9998</v>
      </c>
      <c r="I396" s="44">
        <f t="shared" si="140"/>
        <v>0.23304660932186438</v>
      </c>
      <c r="J396" s="43">
        <f t="shared" si="141"/>
        <v>1</v>
      </c>
      <c r="K396" s="44" cm="1">
        <f t="array" ref="K396">IF(D396="Gadget",_xlfn.IFS(I396&gt;=0.2,0.5,I396&gt;=0.1,0.35,I396&gt;=0.05,0.2,TRUE,0),IF(D396="Grenade",_xlfn.IFS(I396&gt;=0.2,1,I396&gt;=0.1,0.7,I396&gt;=0.05,0.4,TRUE,0),0))</f>
        <v>0.5</v>
      </c>
      <c r="L396" s="57">
        <f t="shared" si="144"/>
        <v>0.58823529411764708</v>
      </c>
    </row>
    <row r="397" spans="1:12" x14ac:dyDescent="0.25">
      <c r="A397" s="42" t="str" cm="1">
        <f t="array" ref="A397">IFERROR(INDEX(_xlfn._xlws.FILTER(Class_Players!A:A,Class_Players!B:B="Assault"),QUOTIENT(ROW()-ROW($A$2),7)+1),"")</f>
        <v>CrazyHorsse13</v>
      </c>
      <c r="B397" s="42" t="str">
        <f>_xlfn.XLOOKUP(A397,Class_Players!$A:$A,Class_Players!$B:$B,"")</f>
        <v>Assault</v>
      </c>
      <c r="C397" s="48" t="str" cm="1">
        <f t="array" ref="C397">INDEX(Lookups!$A$2:$A$8,MOD(ROW()-ROW($B$2),ROWS(Lookups!$A$2:$A$8))+1)</f>
        <v>M320A1 THRM    (Incendiary Grenade Launcher)</v>
      </c>
      <c r="D397" s="48" t="str">
        <f>_xlfn.XLOOKUP(C397,Analysis_Gadgets!$C:$C,Analysis_Gadgets!$B:$B)</f>
        <v>Gadget</v>
      </c>
      <c r="E397" s="43">
        <v>57</v>
      </c>
      <c r="F397" s="43">
        <f>_xlfn.XLOOKUP(A397,Class_Players!A:A,Class_Players!G:G)</f>
        <v>193</v>
      </c>
      <c r="G397" s="43">
        <f t="shared" si="139"/>
        <v>0.29533678756476683</v>
      </c>
      <c r="H397" s="43">
        <f>_xlfn.XLOOKUP(A397,Class_Players!$A:$A,Class_Players!$F:$F,"")</f>
        <v>9998</v>
      </c>
      <c r="I397" s="44">
        <f t="shared" si="140"/>
        <v>5.7011402280456088E-3</v>
      </c>
      <c r="J397" s="43">
        <f t="shared" si="141"/>
        <v>0</v>
      </c>
      <c r="K397" s="44" cm="1">
        <f t="array" ref="K397">IF(D397="Gadget",_xlfn.IFS(I397&gt;=0.2,0.5,I397&gt;=0.1,0.35,I397&gt;=0.05,0.2,TRUE,0),IF(D397="Grenade",_xlfn.IFS(I397&gt;=0.2,1,I397&gt;=0.1,0.7,I397&gt;=0.05,0.4,TRUE,0),0))</f>
        <v>0</v>
      </c>
      <c r="L397" s="57">
        <f t="shared" si="144"/>
        <v>0</v>
      </c>
    </row>
    <row r="398" spans="1:12" x14ac:dyDescent="0.25">
      <c r="A398" s="42" t="str" cm="1">
        <f t="array" ref="A398">IFERROR(INDEX(_xlfn._xlws.FILTER(Class_Players!A:A,Class_Players!B:B="Assault"),QUOTIENT(ROW()-ROW($A$2),7)+1),"")</f>
        <v>CrazyHorsse13</v>
      </c>
      <c r="B398" s="42" t="str">
        <f>_xlfn.XLOOKUP(A398,Class_Players!$A:$A,Class_Players!$B:$B,"")</f>
        <v>Assault</v>
      </c>
      <c r="C398" s="48" t="str" cm="1">
        <f t="array" ref="C398">INDEX(Lookups!$A$2:$A$8,MOD(ROW()-ROW($B$2),ROWS(Lookups!$A$2:$A$8))+1)</f>
        <v>QLINK (Deploy Beacon)</v>
      </c>
      <c r="D398" s="48" t="str">
        <f>_xlfn.XLOOKUP(C398,Analysis_Gadgets!$C:$C,Analysis_Gadgets!$B:$B)</f>
        <v>Gadget</v>
      </c>
      <c r="E398" s="43">
        <v>1170</v>
      </c>
      <c r="F398" s="43">
        <f>_xlfn.XLOOKUP(A398,Class_Players!A:A,Class_Players!G:G)</f>
        <v>193</v>
      </c>
      <c r="G398" s="43">
        <f t="shared" si="139"/>
        <v>6.062176165803109</v>
      </c>
      <c r="H398" s="43">
        <f>_xlfn.XLOOKUP(A398,Class_Players!$A:$A,Class_Players!$F:$F,"")</f>
        <v>9998</v>
      </c>
      <c r="I398" s="44">
        <f t="shared" si="140"/>
        <v>0.11702340468093619</v>
      </c>
      <c r="J398" s="43">
        <f t="shared" si="141"/>
        <v>1</v>
      </c>
      <c r="K398" s="44" cm="1">
        <f t="array" ref="K398">IF(D398="Gadget",_xlfn.IFS(I398&gt;=0.2,0.5,I398&gt;=0.1,0.35,I398&gt;=0.05,0.2,TRUE,0),IF(D398="Grenade",_xlfn.IFS(I398&gt;=0.2,1,I398&gt;=0.1,0.7,I398&gt;=0.05,0.4,TRUE,0),0))</f>
        <v>0.35</v>
      </c>
      <c r="L398" s="57">
        <f t="shared" si="144"/>
        <v>0.41176470588235292</v>
      </c>
    </row>
    <row r="399" spans="1:12" x14ac:dyDescent="0.25">
      <c r="A399" s="42" t="str" cm="1">
        <f t="array" ref="A399">IFERROR(INDEX(_xlfn._xlws.FILTER(Class_Players!A:A,Class_Players!B:B="Assault"),QUOTIENT(ROW()-ROW($A$2),7)+1),"")</f>
        <v>CrazyHorsse13</v>
      </c>
      <c r="B399" s="42" t="str">
        <f>_xlfn.XLOOKUP(A399,Class_Players!$A:$A,Class_Players!$B:$B,"")</f>
        <v>Assault</v>
      </c>
      <c r="C399" s="48" t="str" cm="1">
        <f t="array" ref="C399">INDEX(Lookups!$A$2:$A$8,MOD(ROW()-ROW($B$2),ROWS(Lookups!$A$2:$A$8))+1)</f>
        <v>Stun Grenade</v>
      </c>
      <c r="D399" s="48" t="str">
        <f>_xlfn.XLOOKUP(C399,Analysis_Gadgets!$C:$C,Analysis_Gadgets!$B:$B)</f>
        <v>Grenade</v>
      </c>
      <c r="E399" s="43">
        <v>55</v>
      </c>
      <c r="F399" s="43">
        <f>_xlfn.XLOOKUP(A399,Class_Players!A:A,Class_Players!G:G)</f>
        <v>193</v>
      </c>
      <c r="G399" s="43">
        <f t="shared" si="139"/>
        <v>0.28497409326424872</v>
      </c>
      <c r="H399" s="43">
        <f>_xlfn.XLOOKUP(A399,Class_Players!$A:$A,Class_Players!$F:$F,"")</f>
        <v>9998</v>
      </c>
      <c r="I399" s="44">
        <f t="shared" si="140"/>
        <v>5.5011002200440091E-3</v>
      </c>
      <c r="J399" s="43">
        <f t="shared" si="141"/>
        <v>0</v>
      </c>
      <c r="K399" s="44" cm="1">
        <f t="array" ref="K399">IF(D399="Gadget",_xlfn.IFS(I399&gt;=0.2,0.5,I399&gt;=0.1,0.35,I399&gt;=0.05,0.2,TRUE,0),IF(D399="Grenade",_xlfn.IFS(I399&gt;=0.2,1,I399&gt;=0.1,0.7,I399&gt;=0.05,0.4,TRUE,0),0))</f>
        <v>0</v>
      </c>
      <c r="L399" s="57">
        <f t="shared" ref="L399:L400" si="145">IF($K399=0,0,$K399 / SUMIFS($K:$K,$A:$A,$A399,$D:$D,"Grenade"))</f>
        <v>0</v>
      </c>
    </row>
    <row r="400" spans="1:12" x14ac:dyDescent="0.25">
      <c r="A400" s="42" t="str" cm="1">
        <f t="array" ref="A400">IFERROR(INDEX(_xlfn._xlws.FILTER(Class_Players!A:A,Class_Players!B:B="Assault"),QUOTIENT(ROW()-ROW($A$2),7)+1),"")</f>
        <v>CrazyHorsse13</v>
      </c>
      <c r="B400" s="42" t="str">
        <f>_xlfn.XLOOKUP(A400,Class_Players!$A:$A,Class_Players!$B:$B,"")</f>
        <v>Assault</v>
      </c>
      <c r="C400" s="48" t="str" cm="1">
        <f t="array" ref="C400">INDEX(Lookups!$A$2:$A$8,MOD(ROW()-ROW($B$2),ROWS(Lookups!$A$2:$A$8))+1)</f>
        <v>Flash Grenade</v>
      </c>
      <c r="D400" s="48" t="str">
        <f>_xlfn.XLOOKUP(C400,Analysis_Gadgets!$C:$C,Analysis_Gadgets!$B:$B)</f>
        <v>Grenade</v>
      </c>
      <c r="E400" s="43">
        <v>35</v>
      </c>
      <c r="F400" s="43">
        <f>_xlfn.XLOOKUP(A400,Class_Players!A:A,Class_Players!G:G)</f>
        <v>193</v>
      </c>
      <c r="G400" s="43">
        <f t="shared" si="139"/>
        <v>0.18134715025906736</v>
      </c>
      <c r="H400" s="43">
        <f>_xlfn.XLOOKUP(A400,Class_Players!$A:$A,Class_Players!$F:$F,"")</f>
        <v>9998</v>
      </c>
      <c r="I400" s="44">
        <f t="shared" si="140"/>
        <v>3.5007001400280055E-3</v>
      </c>
      <c r="J400" s="43">
        <f t="shared" si="141"/>
        <v>0</v>
      </c>
      <c r="K400" s="44" cm="1">
        <f t="array" ref="K400">IF(D400="Gadget",_xlfn.IFS(I400&gt;=0.2,0.5,I400&gt;=0.1,0.35,I400&gt;=0.05,0.2,TRUE,0),IF(D400="Grenade",_xlfn.IFS(I400&gt;=0.2,1,I400&gt;=0.1,0.7,I400&gt;=0.05,0.4,TRUE,0),0))</f>
        <v>0</v>
      </c>
      <c r="L400" s="57">
        <f t="shared" si="145"/>
        <v>0</v>
      </c>
    </row>
    <row r="401" spans="1:12" x14ac:dyDescent="0.25">
      <c r="A401" s="42" t="str" cm="1">
        <f t="array" ref="A401">IFERROR(INDEX(_xlfn._xlws.FILTER(Class_Players!A:A,Class_Players!B:B="Assault"),QUOTIENT(ROW()-ROW($A$2),7)+1),"")</f>
        <v>Night Fusion</v>
      </c>
      <c r="B401" s="42" t="str">
        <f>_xlfn.XLOOKUP(A401,Class_Players!$A:$A,Class_Players!$B:$B,"")</f>
        <v>Assault</v>
      </c>
      <c r="C401" s="48" t="str" cm="1">
        <f t="array" ref="C401">INDEX(Lookups!$A$2:$A$8,MOD(ROW()-ROW($B$2),ROWS(Lookups!$A$2:$A$8))+1)</f>
        <v>Assault Ladder</v>
      </c>
      <c r="D401" s="48" t="str">
        <f>_xlfn.XLOOKUP(C401,Analysis_Gadgets!$C:$C,Analysis_Gadgets!$B:$B)</f>
        <v>Gadget</v>
      </c>
      <c r="E401" s="43">
        <v>2220</v>
      </c>
      <c r="F401" s="43">
        <f>_xlfn.XLOOKUP(A401,Class_Players!A:A,Class_Players!G:G)</f>
        <v>157</v>
      </c>
      <c r="G401" s="43">
        <f t="shared" si="139"/>
        <v>14.140127388535031</v>
      </c>
      <c r="H401" s="43">
        <f>_xlfn.XLOOKUP(A401,Class_Players!$A:$A,Class_Players!$F:$F,"")</f>
        <v>12622</v>
      </c>
      <c r="I401" s="44">
        <f t="shared" si="140"/>
        <v>0.17588337822848993</v>
      </c>
      <c r="J401" s="43">
        <f t="shared" si="141"/>
        <v>1</v>
      </c>
      <c r="K401" s="44" cm="1">
        <f t="array" ref="K401">IF(D401="Gadget",_xlfn.IFS(I401&gt;=0.2,0.5,I401&gt;=0.1,0.35,I401&gt;=0.05,0.2,TRUE,0),IF(D401="Grenade",_xlfn.IFS(I401&gt;=0.2,1,I401&gt;=0.1,0.7,I401&gt;=0.05,0.4,TRUE,0),0))</f>
        <v>0.35</v>
      </c>
      <c r="L401" s="57">
        <f t="shared" ref="L401:L405" si="146">IF($K401=0,0,$K401 / SUMIFS($K:$K,$A:$A,$A401,$D:$D,"Gadget"))</f>
        <v>0.41176470588235292</v>
      </c>
    </row>
    <row r="402" spans="1:12" x14ac:dyDescent="0.25">
      <c r="A402" s="42" t="str" cm="1">
        <f t="array" ref="A402">IFERROR(INDEX(_xlfn._xlws.FILTER(Class_Players!A:A,Class_Players!B:B="Assault"),QUOTIENT(ROW()-ROW($A$2),7)+1),"")</f>
        <v>Night Fusion</v>
      </c>
      <c r="B402" s="42" t="str">
        <f>_xlfn.XLOOKUP(A402,Class_Players!$A:$A,Class_Players!$B:$B,"")</f>
        <v>Assault</v>
      </c>
      <c r="C402" s="48" t="str" cm="1">
        <f t="array" ref="C402">INDEX(Lookups!$A$2:$A$8,MOD(ROW()-ROW($B$2),ROWS(Lookups!$A$2:$A$8))+1)</f>
        <v>X95 BRE (Breaching Projectile Launcher)</v>
      </c>
      <c r="D402" s="48" t="str">
        <f>_xlfn.XLOOKUP(C402,Analysis_Gadgets!$C:$C,Analysis_Gadgets!$B:$B)</f>
        <v>Gadget</v>
      </c>
      <c r="E402" s="43">
        <v>1</v>
      </c>
      <c r="F402" s="43">
        <f>_xlfn.XLOOKUP(A402,Class_Players!A:A,Class_Players!G:G)</f>
        <v>157</v>
      </c>
      <c r="G402" s="43">
        <f t="shared" si="139"/>
        <v>6.369426751592357E-3</v>
      </c>
      <c r="H402" s="43">
        <f>_xlfn.XLOOKUP(A402,Class_Players!$A:$A,Class_Players!$F:$F,"")</f>
        <v>12622</v>
      </c>
      <c r="I402" s="44">
        <f t="shared" si="140"/>
        <v>7.9226746949770242E-5</v>
      </c>
      <c r="J402" s="43">
        <f t="shared" si="141"/>
        <v>0</v>
      </c>
      <c r="K402" s="44" cm="1">
        <f t="array" ref="K402">IF(D402="Gadget",_xlfn.IFS(I402&gt;=0.2,0.5,I402&gt;=0.1,0.35,I402&gt;=0.05,0.2,TRUE,0),IF(D402="Grenade",_xlfn.IFS(I402&gt;=0.2,1,I402&gt;=0.1,0.7,I402&gt;=0.05,0.4,TRUE,0),0))</f>
        <v>0</v>
      </c>
      <c r="L402" s="57">
        <f t="shared" si="146"/>
        <v>0</v>
      </c>
    </row>
    <row r="403" spans="1:12" x14ac:dyDescent="0.25">
      <c r="A403" s="42" t="str" cm="1">
        <f t="array" ref="A403">IFERROR(INDEX(_xlfn._xlws.FILTER(Class_Players!A:A,Class_Players!B:B="Assault"),QUOTIENT(ROW()-ROW($A$2),7)+1),"")</f>
        <v>Night Fusion</v>
      </c>
      <c r="B403" s="42" t="str">
        <f>_xlfn.XLOOKUP(A403,Class_Players!$A:$A,Class_Players!$B:$B,"")</f>
        <v>Assault</v>
      </c>
      <c r="C403" s="48" t="str" cm="1">
        <f t="array" ref="C403">INDEX(Lookups!$A$2:$A$8,MOD(ROW()-ROW($B$2),ROWS(Lookups!$A$2:$A$8))+1)</f>
        <v>M320A1 HE (Grenade Launcher)</v>
      </c>
      <c r="D403" s="48" t="str">
        <f>_xlfn.XLOOKUP(C403,Analysis_Gadgets!$C:$C,Analysis_Gadgets!$B:$B)</f>
        <v>Gadget</v>
      </c>
      <c r="E403" s="43">
        <v>137</v>
      </c>
      <c r="F403" s="43">
        <f>_xlfn.XLOOKUP(A403,Class_Players!A:A,Class_Players!G:G)</f>
        <v>157</v>
      </c>
      <c r="G403" s="43">
        <f t="shared" si="139"/>
        <v>0.87261146496815289</v>
      </c>
      <c r="H403" s="43">
        <f>_xlfn.XLOOKUP(A403,Class_Players!$A:$A,Class_Players!$F:$F,"")</f>
        <v>12622</v>
      </c>
      <c r="I403" s="44">
        <f t="shared" si="140"/>
        <v>1.0854064332118524E-2</v>
      </c>
      <c r="J403" s="43">
        <f t="shared" si="141"/>
        <v>0</v>
      </c>
      <c r="K403" s="44" cm="1">
        <f t="array" ref="K403">IF(D403="Gadget",_xlfn.IFS(I403&gt;=0.2,0.5,I403&gt;=0.1,0.35,I403&gt;=0.05,0.2,TRUE,0),IF(D403="Grenade",_xlfn.IFS(I403&gt;=0.2,1,I403&gt;=0.1,0.7,I403&gt;=0.05,0.4,TRUE,0),0))</f>
        <v>0</v>
      </c>
      <c r="L403" s="57">
        <f t="shared" si="146"/>
        <v>0</v>
      </c>
    </row>
    <row r="404" spans="1:12" x14ac:dyDescent="0.25">
      <c r="A404" s="42" t="str" cm="1">
        <f t="array" ref="A404">IFERROR(INDEX(_xlfn._xlws.FILTER(Class_Players!A:A,Class_Players!B:B="Assault"),QUOTIENT(ROW()-ROW($A$2),7)+1),"")</f>
        <v>Night Fusion</v>
      </c>
      <c r="B404" s="42" t="str">
        <f>_xlfn.XLOOKUP(A404,Class_Players!$A:$A,Class_Players!$B:$B,"")</f>
        <v>Assault</v>
      </c>
      <c r="C404" s="48" t="str" cm="1">
        <f t="array" ref="C404">INDEX(Lookups!$A$2:$A$8,MOD(ROW()-ROW($B$2),ROWS(Lookups!$A$2:$A$8))+1)</f>
        <v>M320A1 THRM    (Incendiary Grenade Launcher)</v>
      </c>
      <c r="D404" s="48" t="str">
        <f>_xlfn.XLOOKUP(C404,Analysis_Gadgets!$C:$C,Analysis_Gadgets!$B:$B)</f>
        <v>Gadget</v>
      </c>
      <c r="E404" s="43">
        <v>34</v>
      </c>
      <c r="F404" s="43">
        <f>_xlfn.XLOOKUP(A404,Class_Players!A:A,Class_Players!G:G)</f>
        <v>157</v>
      </c>
      <c r="G404" s="43">
        <f t="shared" si="139"/>
        <v>0.21656050955414013</v>
      </c>
      <c r="H404" s="43">
        <f>_xlfn.XLOOKUP(A404,Class_Players!$A:$A,Class_Players!$F:$F,"")</f>
        <v>12622</v>
      </c>
      <c r="I404" s="44">
        <f t="shared" si="140"/>
        <v>2.6937093962921882E-3</v>
      </c>
      <c r="J404" s="43">
        <f t="shared" si="141"/>
        <v>0</v>
      </c>
      <c r="K404" s="44" cm="1">
        <f t="array" ref="K404">IF(D404="Gadget",_xlfn.IFS(I404&gt;=0.2,0.5,I404&gt;=0.1,0.35,I404&gt;=0.05,0.2,TRUE,0),IF(D404="Grenade",_xlfn.IFS(I404&gt;=0.2,1,I404&gt;=0.1,0.7,I404&gt;=0.05,0.4,TRUE,0),0))</f>
        <v>0</v>
      </c>
      <c r="L404" s="57">
        <f t="shared" si="146"/>
        <v>0</v>
      </c>
    </row>
    <row r="405" spans="1:12" x14ac:dyDescent="0.25">
      <c r="A405" s="42" t="str" cm="1">
        <f t="array" ref="A405">IFERROR(INDEX(_xlfn._xlws.FILTER(Class_Players!A:A,Class_Players!B:B="Assault"),QUOTIENT(ROW()-ROW($A$2),7)+1),"")</f>
        <v>Night Fusion</v>
      </c>
      <c r="B405" s="42" t="str">
        <f>_xlfn.XLOOKUP(A405,Class_Players!$A:$A,Class_Players!$B:$B,"")</f>
        <v>Assault</v>
      </c>
      <c r="C405" s="48" t="str" cm="1">
        <f t="array" ref="C405">INDEX(Lookups!$A$2:$A$8,MOD(ROW()-ROW($B$2),ROWS(Lookups!$A$2:$A$8))+1)</f>
        <v>QLINK (Deploy Beacon)</v>
      </c>
      <c r="D405" s="48" t="str">
        <f>_xlfn.XLOOKUP(C405,Analysis_Gadgets!$C:$C,Analysis_Gadgets!$B:$B)</f>
        <v>Gadget</v>
      </c>
      <c r="E405" s="43">
        <v>9334</v>
      </c>
      <c r="F405" s="43">
        <f>_xlfn.XLOOKUP(A405,Class_Players!A:A,Class_Players!G:G)</f>
        <v>157</v>
      </c>
      <c r="G405" s="43">
        <f t="shared" si="139"/>
        <v>59.452229299363054</v>
      </c>
      <c r="H405" s="43">
        <f>_xlfn.XLOOKUP(A405,Class_Players!$A:$A,Class_Players!$F:$F,"")</f>
        <v>12622</v>
      </c>
      <c r="I405" s="44">
        <f t="shared" si="140"/>
        <v>0.73950245602915543</v>
      </c>
      <c r="J405" s="43">
        <f t="shared" si="141"/>
        <v>1</v>
      </c>
      <c r="K405" s="44" cm="1">
        <f t="array" ref="K405">IF(D405="Gadget",_xlfn.IFS(I405&gt;=0.2,0.5,I405&gt;=0.1,0.35,I405&gt;=0.05,0.2,TRUE,0),IF(D405="Grenade",_xlfn.IFS(I405&gt;=0.2,1,I405&gt;=0.1,0.7,I405&gt;=0.05,0.4,TRUE,0),0))</f>
        <v>0.5</v>
      </c>
      <c r="L405" s="57">
        <f t="shared" si="146"/>
        <v>0.58823529411764708</v>
      </c>
    </row>
    <row r="406" spans="1:12" x14ac:dyDescent="0.25">
      <c r="A406" s="42" t="str" cm="1">
        <f t="array" ref="A406">IFERROR(INDEX(_xlfn._xlws.FILTER(Class_Players!A:A,Class_Players!B:B="Assault"),QUOTIENT(ROW()-ROW($A$2),7)+1),"")</f>
        <v>Night Fusion</v>
      </c>
      <c r="B406" s="42" t="str">
        <f>_xlfn.XLOOKUP(A406,Class_Players!$A:$A,Class_Players!$B:$B,"")</f>
        <v>Assault</v>
      </c>
      <c r="C406" s="48" t="str" cm="1">
        <f t="array" ref="C406">INDEX(Lookups!$A$2:$A$8,MOD(ROW()-ROW($B$2),ROWS(Lookups!$A$2:$A$8))+1)</f>
        <v>Stun Grenade</v>
      </c>
      <c r="D406" s="48" t="str">
        <f>_xlfn.XLOOKUP(C406,Analysis_Gadgets!$C:$C,Analysis_Gadgets!$B:$B)</f>
        <v>Grenade</v>
      </c>
      <c r="E406" s="43">
        <v>28</v>
      </c>
      <c r="F406" s="43">
        <f>_xlfn.XLOOKUP(A406,Class_Players!A:A,Class_Players!G:G)</f>
        <v>157</v>
      </c>
      <c r="G406" s="43">
        <f t="shared" si="139"/>
        <v>0.17834394904458598</v>
      </c>
      <c r="H406" s="43">
        <f>_xlfn.XLOOKUP(A406,Class_Players!$A:$A,Class_Players!$F:$F,"")</f>
        <v>12622</v>
      </c>
      <c r="I406" s="44">
        <f t="shared" si="140"/>
        <v>2.2183489145935669E-3</v>
      </c>
      <c r="J406" s="43">
        <f t="shared" si="141"/>
        <v>0</v>
      </c>
      <c r="K406" s="44" cm="1">
        <f t="array" ref="K406">IF(D406="Gadget",_xlfn.IFS(I406&gt;=0.2,0.5,I406&gt;=0.1,0.35,I406&gt;=0.05,0.2,TRUE,0),IF(D406="Grenade",_xlfn.IFS(I406&gt;=0.2,1,I406&gt;=0.1,0.7,I406&gt;=0.05,0.4,TRUE,0),0))</f>
        <v>0</v>
      </c>
      <c r="L406" s="57">
        <f t="shared" ref="L406:L407" si="147">IF($K406=0,0,$K406 / SUMIFS($K:$K,$A:$A,$A406,$D:$D,"Grenade"))</f>
        <v>0</v>
      </c>
    </row>
    <row r="407" spans="1:12" x14ac:dyDescent="0.25">
      <c r="A407" s="42" t="str" cm="1">
        <f t="array" ref="A407">IFERROR(INDEX(_xlfn._xlws.FILTER(Class_Players!A:A,Class_Players!B:B="Assault"),QUOTIENT(ROW()-ROW($A$2),7)+1),"")</f>
        <v>Night Fusion</v>
      </c>
      <c r="B407" s="42" t="str">
        <f>_xlfn.XLOOKUP(A407,Class_Players!$A:$A,Class_Players!$B:$B,"")</f>
        <v>Assault</v>
      </c>
      <c r="C407" s="48" t="str" cm="1">
        <f t="array" ref="C407">INDEX(Lookups!$A$2:$A$8,MOD(ROW()-ROW($B$2),ROWS(Lookups!$A$2:$A$8))+1)</f>
        <v>Flash Grenade</v>
      </c>
      <c r="D407" s="48" t="str">
        <f>_xlfn.XLOOKUP(C407,Analysis_Gadgets!$C:$C,Analysis_Gadgets!$B:$B)</f>
        <v>Grenade</v>
      </c>
      <c r="E407" s="43">
        <v>134</v>
      </c>
      <c r="F407" s="43">
        <f>_xlfn.XLOOKUP(A407,Class_Players!A:A,Class_Players!G:G)</f>
        <v>157</v>
      </c>
      <c r="G407" s="43">
        <f t="shared" si="139"/>
        <v>0.85350318471337583</v>
      </c>
      <c r="H407" s="43">
        <f>_xlfn.XLOOKUP(A407,Class_Players!$A:$A,Class_Players!$F:$F,"")</f>
        <v>12622</v>
      </c>
      <c r="I407" s="44">
        <f t="shared" si="140"/>
        <v>1.0616384091269212E-2</v>
      </c>
      <c r="J407" s="43">
        <f t="shared" si="141"/>
        <v>0</v>
      </c>
      <c r="K407" s="44" cm="1">
        <f t="array" ref="K407">IF(D407="Gadget",_xlfn.IFS(I407&gt;=0.2,0.5,I407&gt;=0.1,0.35,I407&gt;=0.05,0.2,TRUE,0),IF(D407="Grenade",_xlfn.IFS(I407&gt;=0.2,1,I407&gt;=0.1,0.7,I407&gt;=0.05,0.4,TRUE,0),0))</f>
        <v>0</v>
      </c>
      <c r="L407" s="57">
        <f t="shared" si="147"/>
        <v>0</v>
      </c>
    </row>
    <row r="408" spans="1:12" x14ac:dyDescent="0.25">
      <c r="A408" s="42" t="str" cm="1">
        <f t="array" ref="A408">IFERROR(INDEX(_xlfn._xlws.FILTER(Class_Players!A:A,Class_Players!B:B="Assault"),QUOTIENT(ROW()-ROW($A$2),7)+1),"")</f>
        <v>Captain Dell</v>
      </c>
      <c r="B408" s="42" t="str">
        <f>_xlfn.XLOOKUP(A408,Class_Players!$A:$A,Class_Players!$B:$B,"")</f>
        <v>Assault</v>
      </c>
      <c r="C408" s="48" t="str" cm="1">
        <f t="array" ref="C408">INDEX(Lookups!$A$2:$A$8,MOD(ROW()-ROW($B$2),ROWS(Lookups!$A$2:$A$8))+1)</f>
        <v>Assault Ladder</v>
      </c>
      <c r="D408" s="48" t="str">
        <f>_xlfn.XLOOKUP(C408,Analysis_Gadgets!$C:$C,Analysis_Gadgets!$B:$B)</f>
        <v>Gadget</v>
      </c>
      <c r="E408" s="43">
        <v>269</v>
      </c>
      <c r="F408" s="43">
        <f>_xlfn.XLOOKUP(A408,Class_Players!A:A,Class_Players!G:G)</f>
        <v>164</v>
      </c>
      <c r="G408" s="43">
        <f t="shared" si="139"/>
        <v>1.6402439024390243</v>
      </c>
      <c r="H408" s="43">
        <f>_xlfn.XLOOKUP(A408,Class_Players!$A:$A,Class_Players!$F:$F,"")</f>
        <v>9301</v>
      </c>
      <c r="I408" s="44">
        <f t="shared" si="140"/>
        <v>2.8921621331039673E-2</v>
      </c>
      <c r="J408" s="43">
        <f t="shared" si="141"/>
        <v>0</v>
      </c>
      <c r="K408" s="44" cm="1">
        <f t="array" ref="K408">IF(D408="Gadget",_xlfn.IFS(I408&gt;=0.2,0.5,I408&gt;=0.1,0.35,I408&gt;=0.05,0.2,TRUE,0),IF(D408="Grenade",_xlfn.IFS(I408&gt;=0.2,1,I408&gt;=0.1,0.7,I408&gt;=0.05,0.4,TRUE,0),0))</f>
        <v>0</v>
      </c>
      <c r="L408" s="57">
        <f t="shared" ref="L408:L412" si="148">IF($K408=0,0,$K408 / SUMIFS($K:$K,$A:$A,$A408,$D:$D,"Gadget"))</f>
        <v>0</v>
      </c>
    </row>
    <row r="409" spans="1:12" x14ac:dyDescent="0.25">
      <c r="A409" s="42" t="str" cm="1">
        <f t="array" ref="A409">IFERROR(INDEX(_xlfn._xlws.FILTER(Class_Players!A:A,Class_Players!B:B="Assault"),QUOTIENT(ROW()-ROW($A$2),7)+1),"")</f>
        <v>Captain Dell</v>
      </c>
      <c r="B409" s="42" t="str">
        <f>_xlfn.XLOOKUP(A409,Class_Players!$A:$A,Class_Players!$B:$B,"")</f>
        <v>Assault</v>
      </c>
      <c r="C409" s="48" t="str" cm="1">
        <f t="array" ref="C409">INDEX(Lookups!$A$2:$A$8,MOD(ROW()-ROW($B$2),ROWS(Lookups!$A$2:$A$8))+1)</f>
        <v>X95 BRE (Breaching Projectile Launcher)</v>
      </c>
      <c r="D409" s="48" t="str">
        <f>_xlfn.XLOOKUP(C409,Analysis_Gadgets!$C:$C,Analysis_Gadgets!$B:$B)</f>
        <v>Gadget</v>
      </c>
      <c r="E409" s="43">
        <v>3</v>
      </c>
      <c r="F409" s="43">
        <f>_xlfn.XLOOKUP(A409,Class_Players!A:A,Class_Players!G:G)</f>
        <v>164</v>
      </c>
      <c r="G409" s="43">
        <f t="shared" si="139"/>
        <v>1.8292682926829267E-2</v>
      </c>
      <c r="H409" s="43">
        <f>_xlfn.XLOOKUP(A409,Class_Players!$A:$A,Class_Players!$F:$F,"")</f>
        <v>9301</v>
      </c>
      <c r="I409" s="44">
        <f t="shared" si="140"/>
        <v>3.2254596279969894E-4</v>
      </c>
      <c r="J409" s="43">
        <f t="shared" si="141"/>
        <v>0</v>
      </c>
      <c r="K409" s="44" cm="1">
        <f t="array" ref="K409">IF(D409="Gadget",_xlfn.IFS(I409&gt;=0.2,0.5,I409&gt;=0.1,0.35,I409&gt;=0.05,0.2,TRUE,0),IF(D409="Grenade",_xlfn.IFS(I409&gt;=0.2,1,I409&gt;=0.1,0.7,I409&gt;=0.05,0.4,TRUE,0),0))</f>
        <v>0</v>
      </c>
      <c r="L409" s="57">
        <f t="shared" si="148"/>
        <v>0</v>
      </c>
    </row>
    <row r="410" spans="1:12" x14ac:dyDescent="0.25">
      <c r="A410" s="42" t="str" cm="1">
        <f t="array" ref="A410">IFERROR(INDEX(_xlfn._xlws.FILTER(Class_Players!A:A,Class_Players!B:B="Assault"),QUOTIENT(ROW()-ROW($A$2),7)+1),"")</f>
        <v>Captain Dell</v>
      </c>
      <c r="B410" s="42" t="str">
        <f>_xlfn.XLOOKUP(A410,Class_Players!$A:$A,Class_Players!$B:$B,"")</f>
        <v>Assault</v>
      </c>
      <c r="C410" s="48" t="str" cm="1">
        <f t="array" ref="C410">INDEX(Lookups!$A$2:$A$8,MOD(ROW()-ROW($B$2),ROWS(Lookups!$A$2:$A$8))+1)</f>
        <v>M320A1 HE (Grenade Launcher)</v>
      </c>
      <c r="D410" s="48" t="str">
        <f>_xlfn.XLOOKUP(C410,Analysis_Gadgets!$C:$C,Analysis_Gadgets!$B:$B)</f>
        <v>Gadget</v>
      </c>
      <c r="E410" s="43">
        <v>4551</v>
      </c>
      <c r="F410" s="43">
        <f>_xlfn.XLOOKUP(A410,Class_Players!A:A,Class_Players!G:G)</f>
        <v>164</v>
      </c>
      <c r="G410" s="43">
        <f t="shared" si="139"/>
        <v>27.75</v>
      </c>
      <c r="H410" s="43">
        <f>_xlfn.XLOOKUP(A410,Class_Players!$A:$A,Class_Players!$F:$F,"")</f>
        <v>9301</v>
      </c>
      <c r="I410" s="44">
        <f t="shared" si="140"/>
        <v>0.48930222556714331</v>
      </c>
      <c r="J410" s="43">
        <f t="shared" si="141"/>
        <v>1</v>
      </c>
      <c r="K410" s="44" cm="1">
        <f t="array" ref="K410">IF(D410="Gadget",_xlfn.IFS(I410&gt;=0.2,0.5,I410&gt;=0.1,0.35,I410&gt;=0.05,0.2,TRUE,0),IF(D410="Grenade",_xlfn.IFS(I410&gt;=0.2,1,I410&gt;=0.1,0.7,I410&gt;=0.05,0.4,TRUE,0),0))</f>
        <v>0.5</v>
      </c>
      <c r="L410" s="57">
        <f t="shared" si="148"/>
        <v>0.58823529411764708</v>
      </c>
    </row>
    <row r="411" spans="1:12" x14ac:dyDescent="0.25">
      <c r="A411" s="42" t="str" cm="1">
        <f t="array" ref="A411">IFERROR(INDEX(_xlfn._xlws.FILTER(Class_Players!A:A,Class_Players!B:B="Assault"),QUOTIENT(ROW()-ROW($A$2),7)+1),"")</f>
        <v>Captain Dell</v>
      </c>
      <c r="B411" s="42" t="str">
        <f>_xlfn.XLOOKUP(A411,Class_Players!$A:$A,Class_Players!$B:$B,"")</f>
        <v>Assault</v>
      </c>
      <c r="C411" s="48" t="str" cm="1">
        <f t="array" ref="C411">INDEX(Lookups!$A$2:$A$8,MOD(ROW()-ROW($B$2),ROWS(Lookups!$A$2:$A$8))+1)</f>
        <v>M320A1 THRM    (Incendiary Grenade Launcher)</v>
      </c>
      <c r="D411" s="48" t="str">
        <f>_xlfn.XLOOKUP(C411,Analysis_Gadgets!$C:$C,Analysis_Gadgets!$B:$B)</f>
        <v>Gadget</v>
      </c>
      <c r="E411" s="43">
        <v>2</v>
      </c>
      <c r="F411" s="43">
        <f>_xlfn.XLOOKUP(A411,Class_Players!A:A,Class_Players!G:G)</f>
        <v>164</v>
      </c>
      <c r="G411" s="43">
        <f t="shared" si="139"/>
        <v>1.2195121951219513E-2</v>
      </c>
      <c r="H411" s="43">
        <f>_xlfn.XLOOKUP(A411,Class_Players!$A:$A,Class_Players!$F:$F,"")</f>
        <v>9301</v>
      </c>
      <c r="I411" s="44">
        <f t="shared" si="140"/>
        <v>2.1503064186646596E-4</v>
      </c>
      <c r="J411" s="43">
        <f t="shared" si="141"/>
        <v>0</v>
      </c>
      <c r="K411" s="44" cm="1">
        <f t="array" ref="K411">IF(D411="Gadget",_xlfn.IFS(I411&gt;=0.2,0.5,I411&gt;=0.1,0.35,I411&gt;=0.05,0.2,TRUE,0),IF(D411="Grenade",_xlfn.IFS(I411&gt;=0.2,1,I411&gt;=0.1,0.7,I411&gt;=0.05,0.4,TRUE,0),0))</f>
        <v>0</v>
      </c>
      <c r="L411" s="57">
        <f t="shared" si="148"/>
        <v>0</v>
      </c>
    </row>
    <row r="412" spans="1:12" x14ac:dyDescent="0.25">
      <c r="A412" s="42" t="str" cm="1">
        <f t="array" ref="A412">IFERROR(INDEX(_xlfn._xlws.FILTER(Class_Players!A:A,Class_Players!B:B="Assault"),QUOTIENT(ROW()-ROW($A$2),7)+1),"")</f>
        <v>Captain Dell</v>
      </c>
      <c r="B412" s="42" t="str">
        <f>_xlfn.XLOOKUP(A412,Class_Players!$A:$A,Class_Players!$B:$B,"")</f>
        <v>Assault</v>
      </c>
      <c r="C412" s="48" t="str" cm="1">
        <f t="array" ref="C412">INDEX(Lookups!$A$2:$A$8,MOD(ROW()-ROW($B$2),ROWS(Lookups!$A$2:$A$8))+1)</f>
        <v>QLINK (Deploy Beacon)</v>
      </c>
      <c r="D412" s="48" t="str">
        <f>_xlfn.XLOOKUP(C412,Analysis_Gadgets!$C:$C,Analysis_Gadgets!$B:$B)</f>
        <v>Gadget</v>
      </c>
      <c r="E412" s="43">
        <v>1701</v>
      </c>
      <c r="F412" s="43">
        <f>_xlfn.XLOOKUP(A412,Class_Players!A:A,Class_Players!G:G)</f>
        <v>164</v>
      </c>
      <c r="G412" s="43">
        <f t="shared" si="139"/>
        <v>10.371951219512194</v>
      </c>
      <c r="H412" s="43">
        <f>_xlfn.XLOOKUP(A412,Class_Players!$A:$A,Class_Players!$F:$F,"")</f>
        <v>9301</v>
      </c>
      <c r="I412" s="44">
        <f t="shared" si="140"/>
        <v>0.1828835609074293</v>
      </c>
      <c r="J412" s="43">
        <f t="shared" si="141"/>
        <v>1</v>
      </c>
      <c r="K412" s="44" cm="1">
        <f t="array" ref="K412">IF(D412="Gadget",_xlfn.IFS(I412&gt;=0.2,0.5,I412&gt;=0.1,0.35,I412&gt;=0.05,0.2,TRUE,0),IF(D412="Grenade",_xlfn.IFS(I412&gt;=0.2,1,I412&gt;=0.1,0.7,I412&gt;=0.05,0.4,TRUE,0),0))</f>
        <v>0.35</v>
      </c>
      <c r="L412" s="57">
        <f t="shared" si="148"/>
        <v>0.41176470588235292</v>
      </c>
    </row>
    <row r="413" spans="1:12" x14ac:dyDescent="0.25">
      <c r="A413" s="42" t="str" cm="1">
        <f t="array" ref="A413">IFERROR(INDEX(_xlfn._xlws.FILTER(Class_Players!A:A,Class_Players!B:B="Assault"),QUOTIENT(ROW()-ROW($A$2),7)+1),"")</f>
        <v>Captain Dell</v>
      </c>
      <c r="B413" s="42" t="str">
        <f>_xlfn.XLOOKUP(A413,Class_Players!$A:$A,Class_Players!$B:$B,"")</f>
        <v>Assault</v>
      </c>
      <c r="C413" s="48" t="str" cm="1">
        <f t="array" ref="C413">INDEX(Lookups!$A$2:$A$8,MOD(ROW()-ROW($B$2),ROWS(Lookups!$A$2:$A$8))+1)</f>
        <v>Stun Grenade</v>
      </c>
      <c r="D413" s="48" t="str">
        <f>_xlfn.XLOOKUP(C413,Analysis_Gadgets!$C:$C,Analysis_Gadgets!$B:$B)</f>
        <v>Grenade</v>
      </c>
      <c r="E413" s="43">
        <v>194</v>
      </c>
      <c r="F413" s="43">
        <f>_xlfn.XLOOKUP(A413,Class_Players!A:A,Class_Players!G:G)</f>
        <v>164</v>
      </c>
      <c r="G413" s="43">
        <f t="shared" si="139"/>
        <v>1.1829268292682926</v>
      </c>
      <c r="H413" s="43">
        <f>_xlfn.XLOOKUP(A413,Class_Players!$A:$A,Class_Players!$F:$F,"")</f>
        <v>9301</v>
      </c>
      <c r="I413" s="44">
        <f t="shared" si="140"/>
        <v>2.08579722610472E-2</v>
      </c>
      <c r="J413" s="43">
        <f t="shared" si="141"/>
        <v>0</v>
      </c>
      <c r="K413" s="44" cm="1">
        <f t="array" ref="K413">IF(D413="Gadget",_xlfn.IFS(I413&gt;=0.2,0.5,I413&gt;=0.1,0.35,I413&gt;=0.05,0.2,TRUE,0),IF(D413="Grenade",_xlfn.IFS(I413&gt;=0.2,1,I413&gt;=0.1,0.7,I413&gt;=0.05,0.4,TRUE,0),0))</f>
        <v>0</v>
      </c>
      <c r="L413" s="57">
        <f t="shared" ref="L413:L414" si="149">IF($K413=0,0,$K413 / SUMIFS($K:$K,$A:$A,$A413,$D:$D,"Grenade"))</f>
        <v>0</v>
      </c>
    </row>
    <row r="414" spans="1:12" x14ac:dyDescent="0.25">
      <c r="A414" s="42" t="str" cm="1">
        <f t="array" ref="A414">IFERROR(INDEX(_xlfn._xlws.FILTER(Class_Players!A:A,Class_Players!B:B="Assault"),QUOTIENT(ROW()-ROW($A$2),7)+1),"")</f>
        <v>Captain Dell</v>
      </c>
      <c r="B414" s="42" t="str">
        <f>_xlfn.XLOOKUP(A414,Class_Players!$A:$A,Class_Players!$B:$B,"")</f>
        <v>Assault</v>
      </c>
      <c r="C414" s="48" t="str" cm="1">
        <f t="array" ref="C414">INDEX(Lookups!$A$2:$A$8,MOD(ROW()-ROW($B$2),ROWS(Lookups!$A$2:$A$8))+1)</f>
        <v>Flash Grenade</v>
      </c>
      <c r="D414" s="48" t="str">
        <f>_xlfn.XLOOKUP(C414,Analysis_Gadgets!$C:$C,Analysis_Gadgets!$B:$B)</f>
        <v>Grenade</v>
      </c>
      <c r="E414" s="43">
        <v>16</v>
      </c>
      <c r="F414" s="43">
        <f>_xlfn.XLOOKUP(A414,Class_Players!A:A,Class_Players!G:G)</f>
        <v>164</v>
      </c>
      <c r="G414" s="43">
        <f t="shared" si="139"/>
        <v>9.7560975609756101E-2</v>
      </c>
      <c r="H414" s="43">
        <f>_xlfn.XLOOKUP(A414,Class_Players!$A:$A,Class_Players!$F:$F,"")</f>
        <v>9301</v>
      </c>
      <c r="I414" s="44">
        <f t="shared" si="140"/>
        <v>1.7202451349317277E-3</v>
      </c>
      <c r="J414" s="43">
        <f t="shared" si="141"/>
        <v>0</v>
      </c>
      <c r="K414" s="44" cm="1">
        <f t="array" ref="K414">IF(D414="Gadget",_xlfn.IFS(I414&gt;=0.2,0.5,I414&gt;=0.1,0.35,I414&gt;=0.05,0.2,TRUE,0),IF(D414="Grenade",_xlfn.IFS(I414&gt;=0.2,1,I414&gt;=0.1,0.7,I414&gt;=0.05,0.4,TRUE,0),0))</f>
        <v>0</v>
      </c>
      <c r="L414" s="57">
        <f t="shared" si="149"/>
        <v>0</v>
      </c>
    </row>
    <row r="415" spans="1:12" x14ac:dyDescent="0.25">
      <c r="A415" s="42" t="str" cm="1">
        <f t="array" ref="A415">IFERROR(INDEX(_xlfn._xlws.FILTER(Class_Players!A:A,Class_Players!B:B="Assault"),QUOTIENT(ROW()-ROW($A$2),7)+1),"")</f>
        <v>An Army of Kiel</v>
      </c>
      <c r="B415" s="42" t="str">
        <f>_xlfn.XLOOKUP(A415,Class_Players!$A:$A,Class_Players!$B:$B,"")</f>
        <v>Assault</v>
      </c>
      <c r="C415" s="48" t="str" cm="1">
        <f t="array" ref="C415">INDEX(Lookups!$A$2:$A$8,MOD(ROW()-ROW($B$2),ROWS(Lookups!$A$2:$A$8))+1)</f>
        <v>Assault Ladder</v>
      </c>
      <c r="D415" s="48" t="str">
        <f>_xlfn.XLOOKUP(C415,Analysis_Gadgets!$C:$C,Analysis_Gadgets!$B:$B)</f>
        <v>Gadget</v>
      </c>
      <c r="E415" s="43">
        <v>14</v>
      </c>
      <c r="F415" s="43">
        <f>_xlfn.XLOOKUP(A415,Class_Players!A:A,Class_Players!G:G)</f>
        <v>185</v>
      </c>
      <c r="G415" s="43">
        <f t="shared" si="139"/>
        <v>7.567567567567568E-2</v>
      </c>
      <c r="H415" s="43">
        <f>_xlfn.XLOOKUP(A415,Class_Players!$A:$A,Class_Players!$F:$F,"")</f>
        <v>9228</v>
      </c>
      <c r="I415" s="44">
        <f t="shared" si="140"/>
        <v>1.5171218032076291E-3</v>
      </c>
      <c r="J415" s="43">
        <f t="shared" si="141"/>
        <v>0</v>
      </c>
      <c r="K415" s="44" cm="1">
        <f t="array" ref="K415">IF(D415="Gadget",_xlfn.IFS(I415&gt;=0.2,0.5,I415&gt;=0.1,0.35,I415&gt;=0.05,0.2,TRUE,0),IF(D415="Grenade",_xlfn.IFS(I415&gt;=0.2,1,I415&gt;=0.1,0.7,I415&gt;=0.05,0.4,TRUE,0),0))</f>
        <v>0</v>
      </c>
      <c r="L415" s="57">
        <f t="shared" ref="L415:L419" si="150">IF($K415=0,0,$K415 / SUMIFS($K:$K,$A:$A,$A415,$D:$D,"Gadget"))</f>
        <v>0</v>
      </c>
    </row>
    <row r="416" spans="1:12" x14ac:dyDescent="0.25">
      <c r="A416" s="42" t="str" cm="1">
        <f t="array" ref="A416">IFERROR(INDEX(_xlfn._xlws.FILTER(Class_Players!A:A,Class_Players!B:B="Assault"),QUOTIENT(ROW()-ROW($A$2),7)+1),"")</f>
        <v>An Army of Kiel</v>
      </c>
      <c r="B416" s="42" t="str">
        <f>_xlfn.XLOOKUP(A416,Class_Players!$A:$A,Class_Players!$B:$B,"")</f>
        <v>Assault</v>
      </c>
      <c r="C416" s="48" t="str" cm="1">
        <f t="array" ref="C416">INDEX(Lookups!$A$2:$A$8,MOD(ROW()-ROW($B$2),ROWS(Lookups!$A$2:$A$8))+1)</f>
        <v>X95 BRE (Breaching Projectile Launcher)</v>
      </c>
      <c r="D416" s="48" t="str">
        <f>_xlfn.XLOOKUP(C416,Analysis_Gadgets!$C:$C,Analysis_Gadgets!$B:$B)</f>
        <v>Gadget</v>
      </c>
      <c r="E416" s="43">
        <v>0</v>
      </c>
      <c r="F416" s="43">
        <f>_xlfn.XLOOKUP(A416,Class_Players!A:A,Class_Players!G:G)</f>
        <v>185</v>
      </c>
      <c r="G416" s="43">
        <f t="shared" si="139"/>
        <v>0</v>
      </c>
      <c r="H416" s="43">
        <f>_xlfn.XLOOKUP(A416,Class_Players!$A:$A,Class_Players!$F:$F,"")</f>
        <v>9228</v>
      </c>
      <c r="I416" s="44">
        <f t="shared" si="140"/>
        <v>0</v>
      </c>
      <c r="J416" s="43">
        <f t="shared" si="141"/>
        <v>0</v>
      </c>
      <c r="K416" s="44" cm="1">
        <f t="array" ref="K416">IF(D416="Gadget",_xlfn.IFS(I416&gt;=0.2,0.5,I416&gt;=0.1,0.35,I416&gt;=0.05,0.2,TRUE,0),IF(D416="Grenade",_xlfn.IFS(I416&gt;=0.2,1,I416&gt;=0.1,0.7,I416&gt;=0.05,0.4,TRUE,0),0))</f>
        <v>0</v>
      </c>
      <c r="L416" s="57">
        <f t="shared" si="150"/>
        <v>0</v>
      </c>
    </row>
    <row r="417" spans="1:12" x14ac:dyDescent="0.25">
      <c r="A417" s="42" t="str" cm="1">
        <f t="array" ref="A417">IFERROR(INDEX(_xlfn._xlws.FILTER(Class_Players!A:A,Class_Players!B:B="Assault"),QUOTIENT(ROW()-ROW($A$2),7)+1),"")</f>
        <v>An Army of Kiel</v>
      </c>
      <c r="B417" s="42" t="str">
        <f>_xlfn.XLOOKUP(A417,Class_Players!$A:$A,Class_Players!$B:$B,"")</f>
        <v>Assault</v>
      </c>
      <c r="C417" s="48" t="str" cm="1">
        <f t="array" ref="C417">INDEX(Lookups!$A$2:$A$8,MOD(ROW()-ROW($B$2),ROWS(Lookups!$A$2:$A$8))+1)</f>
        <v>M320A1 HE (Grenade Launcher)</v>
      </c>
      <c r="D417" s="48" t="str">
        <f>_xlfn.XLOOKUP(C417,Analysis_Gadgets!$C:$C,Analysis_Gadgets!$B:$B)</f>
        <v>Gadget</v>
      </c>
      <c r="E417" s="43">
        <v>4350</v>
      </c>
      <c r="F417" s="43">
        <f>_xlfn.XLOOKUP(A417,Class_Players!A:A,Class_Players!G:G)</f>
        <v>185</v>
      </c>
      <c r="G417" s="43">
        <f t="shared" si="139"/>
        <v>23.513513513513512</v>
      </c>
      <c r="H417" s="43">
        <f>_xlfn.XLOOKUP(A417,Class_Players!$A:$A,Class_Players!$F:$F,"")</f>
        <v>9228</v>
      </c>
      <c r="I417" s="44">
        <f t="shared" si="140"/>
        <v>0.47139141742522755</v>
      </c>
      <c r="J417" s="43">
        <f t="shared" si="141"/>
        <v>1</v>
      </c>
      <c r="K417" s="44" cm="1">
        <f t="array" ref="K417">IF(D417="Gadget",_xlfn.IFS(I417&gt;=0.2,0.5,I417&gt;=0.1,0.35,I417&gt;=0.05,0.2,TRUE,0),IF(D417="Grenade",_xlfn.IFS(I417&gt;=0.2,1,I417&gt;=0.1,0.7,I417&gt;=0.05,0.4,TRUE,0),0))</f>
        <v>0.5</v>
      </c>
      <c r="L417" s="57">
        <f t="shared" si="150"/>
        <v>1</v>
      </c>
    </row>
    <row r="418" spans="1:12" x14ac:dyDescent="0.25">
      <c r="A418" s="42" t="str" cm="1">
        <f t="array" ref="A418">IFERROR(INDEX(_xlfn._xlws.FILTER(Class_Players!A:A,Class_Players!B:B="Assault"),QUOTIENT(ROW()-ROW($A$2),7)+1),"")</f>
        <v>An Army of Kiel</v>
      </c>
      <c r="B418" s="42" t="str">
        <f>_xlfn.XLOOKUP(A418,Class_Players!$A:$A,Class_Players!$B:$B,"")</f>
        <v>Assault</v>
      </c>
      <c r="C418" s="48" t="str" cm="1">
        <f t="array" ref="C418">INDEX(Lookups!$A$2:$A$8,MOD(ROW()-ROW($B$2),ROWS(Lookups!$A$2:$A$8))+1)</f>
        <v>M320A1 THRM    (Incendiary Grenade Launcher)</v>
      </c>
      <c r="D418" s="48" t="str">
        <f>_xlfn.XLOOKUP(C418,Analysis_Gadgets!$C:$C,Analysis_Gadgets!$B:$B)</f>
        <v>Gadget</v>
      </c>
      <c r="E418" s="43">
        <v>138</v>
      </c>
      <c r="F418" s="43">
        <f>_xlfn.XLOOKUP(A418,Class_Players!A:A,Class_Players!G:G)</f>
        <v>185</v>
      </c>
      <c r="G418" s="43">
        <f t="shared" si="139"/>
        <v>0.74594594594594599</v>
      </c>
      <c r="H418" s="43">
        <f>_xlfn.XLOOKUP(A418,Class_Players!$A:$A,Class_Players!$F:$F,"")</f>
        <v>9228</v>
      </c>
      <c r="I418" s="44">
        <f t="shared" si="140"/>
        <v>1.495448634590377E-2</v>
      </c>
      <c r="J418" s="43">
        <f t="shared" si="141"/>
        <v>0</v>
      </c>
      <c r="K418" s="44" cm="1">
        <f t="array" ref="K418">IF(D418="Gadget",_xlfn.IFS(I418&gt;=0.2,0.5,I418&gt;=0.1,0.35,I418&gt;=0.05,0.2,TRUE,0),IF(D418="Grenade",_xlfn.IFS(I418&gt;=0.2,1,I418&gt;=0.1,0.7,I418&gt;=0.05,0.4,TRUE,0),0))</f>
        <v>0</v>
      </c>
      <c r="L418" s="57">
        <f t="shared" si="150"/>
        <v>0</v>
      </c>
    </row>
    <row r="419" spans="1:12" x14ac:dyDescent="0.25">
      <c r="A419" s="42" t="str" cm="1">
        <f t="array" ref="A419">IFERROR(INDEX(_xlfn._xlws.FILTER(Class_Players!A:A,Class_Players!B:B="Assault"),QUOTIENT(ROW()-ROW($A$2),7)+1),"")</f>
        <v>An Army of Kiel</v>
      </c>
      <c r="B419" s="42" t="str">
        <f>_xlfn.XLOOKUP(A419,Class_Players!$A:$A,Class_Players!$B:$B,"")</f>
        <v>Assault</v>
      </c>
      <c r="C419" s="48" t="str" cm="1">
        <f t="array" ref="C419">INDEX(Lookups!$A$2:$A$8,MOD(ROW()-ROW($B$2),ROWS(Lookups!$A$2:$A$8))+1)</f>
        <v>QLINK (Deploy Beacon)</v>
      </c>
      <c r="D419" s="48" t="str">
        <f>_xlfn.XLOOKUP(C419,Analysis_Gadgets!$C:$C,Analysis_Gadgets!$B:$B)</f>
        <v>Gadget</v>
      </c>
      <c r="E419" s="43">
        <v>53</v>
      </c>
      <c r="F419" s="43">
        <f>_xlfn.XLOOKUP(A419,Class_Players!A:A,Class_Players!G:G)</f>
        <v>185</v>
      </c>
      <c r="G419" s="43">
        <f t="shared" si="139"/>
        <v>0.2864864864864865</v>
      </c>
      <c r="H419" s="43">
        <f>_xlfn.XLOOKUP(A419,Class_Players!$A:$A,Class_Players!$F:$F,"")</f>
        <v>9228</v>
      </c>
      <c r="I419" s="44">
        <f t="shared" si="140"/>
        <v>5.7433896835717381E-3</v>
      </c>
      <c r="J419" s="43">
        <f t="shared" si="141"/>
        <v>0</v>
      </c>
      <c r="K419" s="44" cm="1">
        <f t="array" ref="K419">IF(D419="Gadget",_xlfn.IFS(I419&gt;=0.2,0.5,I419&gt;=0.1,0.35,I419&gt;=0.05,0.2,TRUE,0),IF(D419="Grenade",_xlfn.IFS(I419&gt;=0.2,1,I419&gt;=0.1,0.7,I419&gt;=0.05,0.4,TRUE,0),0))</f>
        <v>0</v>
      </c>
      <c r="L419" s="57">
        <f t="shared" si="150"/>
        <v>0</v>
      </c>
    </row>
    <row r="420" spans="1:12" x14ac:dyDescent="0.25">
      <c r="A420" s="42" t="str" cm="1">
        <f t="array" ref="A420">IFERROR(INDEX(_xlfn._xlws.FILTER(Class_Players!A:A,Class_Players!B:B="Assault"),QUOTIENT(ROW()-ROW($A$2),7)+1),"")</f>
        <v>An Army of Kiel</v>
      </c>
      <c r="B420" s="42" t="str">
        <f>_xlfn.XLOOKUP(A420,Class_Players!$A:$A,Class_Players!$B:$B,"")</f>
        <v>Assault</v>
      </c>
      <c r="C420" s="48" t="str" cm="1">
        <f t="array" ref="C420">INDEX(Lookups!$A$2:$A$8,MOD(ROW()-ROW($B$2),ROWS(Lookups!$A$2:$A$8))+1)</f>
        <v>Stun Grenade</v>
      </c>
      <c r="D420" s="48" t="str">
        <f>_xlfn.XLOOKUP(C420,Analysis_Gadgets!$C:$C,Analysis_Gadgets!$B:$B)</f>
        <v>Grenade</v>
      </c>
      <c r="E420" s="43">
        <v>64</v>
      </c>
      <c r="F420" s="43">
        <f>_xlfn.XLOOKUP(A420,Class_Players!A:A,Class_Players!G:G)</f>
        <v>185</v>
      </c>
      <c r="G420" s="43">
        <f t="shared" si="139"/>
        <v>0.34594594594594597</v>
      </c>
      <c r="H420" s="43">
        <f>_xlfn.XLOOKUP(A420,Class_Players!$A:$A,Class_Players!$F:$F,"")</f>
        <v>9228</v>
      </c>
      <c r="I420" s="44">
        <f t="shared" si="140"/>
        <v>6.9354139575205894E-3</v>
      </c>
      <c r="J420" s="43">
        <f t="shared" si="141"/>
        <v>0</v>
      </c>
      <c r="K420" s="44" cm="1">
        <f t="array" ref="K420">IF(D420="Gadget",_xlfn.IFS(I420&gt;=0.2,0.5,I420&gt;=0.1,0.35,I420&gt;=0.05,0.2,TRUE,0),IF(D420="Grenade",_xlfn.IFS(I420&gt;=0.2,1,I420&gt;=0.1,0.7,I420&gt;=0.05,0.4,TRUE,0),0))</f>
        <v>0</v>
      </c>
      <c r="L420" s="57">
        <f t="shared" ref="L420:L421" si="151">IF($K420=0,0,$K420 / SUMIFS($K:$K,$A:$A,$A420,$D:$D,"Grenade"))</f>
        <v>0</v>
      </c>
    </row>
    <row r="421" spans="1:12" x14ac:dyDescent="0.25">
      <c r="A421" s="42" t="str" cm="1">
        <f t="array" ref="A421">IFERROR(INDEX(_xlfn._xlws.FILTER(Class_Players!A:A,Class_Players!B:B="Assault"),QUOTIENT(ROW()-ROW($A$2),7)+1),"")</f>
        <v>An Army of Kiel</v>
      </c>
      <c r="B421" s="42" t="str">
        <f>_xlfn.XLOOKUP(A421,Class_Players!$A:$A,Class_Players!$B:$B,"")</f>
        <v>Assault</v>
      </c>
      <c r="C421" s="48" t="str" cm="1">
        <f t="array" ref="C421">INDEX(Lookups!$A$2:$A$8,MOD(ROW()-ROW($B$2),ROWS(Lookups!$A$2:$A$8))+1)</f>
        <v>Flash Grenade</v>
      </c>
      <c r="D421" s="48" t="str">
        <f>_xlfn.XLOOKUP(C421,Analysis_Gadgets!$C:$C,Analysis_Gadgets!$B:$B)</f>
        <v>Grenade</v>
      </c>
      <c r="E421" s="43">
        <v>3</v>
      </c>
      <c r="F421" s="43">
        <f>_xlfn.XLOOKUP(A421,Class_Players!A:A,Class_Players!G:G)</f>
        <v>185</v>
      </c>
      <c r="G421" s="43">
        <f t="shared" si="139"/>
        <v>1.6216216216216217E-2</v>
      </c>
      <c r="H421" s="43">
        <f>_xlfn.XLOOKUP(A421,Class_Players!$A:$A,Class_Players!$F:$F,"")</f>
        <v>9228</v>
      </c>
      <c r="I421" s="44">
        <f t="shared" si="140"/>
        <v>3.2509752925877764E-4</v>
      </c>
      <c r="J421" s="43">
        <f t="shared" si="141"/>
        <v>0</v>
      </c>
      <c r="K421" s="44" cm="1">
        <f t="array" ref="K421">IF(D421="Gadget",_xlfn.IFS(I421&gt;=0.2,0.5,I421&gt;=0.1,0.35,I421&gt;=0.05,0.2,TRUE,0),IF(D421="Grenade",_xlfn.IFS(I421&gt;=0.2,1,I421&gt;=0.1,0.7,I421&gt;=0.05,0.4,TRUE,0),0))</f>
        <v>0</v>
      </c>
      <c r="L421" s="57">
        <f t="shared" si="151"/>
        <v>0</v>
      </c>
    </row>
    <row r="422" spans="1:12" x14ac:dyDescent="0.25">
      <c r="A422" s="42" t="str" cm="1">
        <f t="array" ref="A422">IFERROR(INDEX(_xlfn._xlws.FILTER(Class_Players!A:A,Class_Players!B:B="Assault"),QUOTIENT(ROW()-ROW($A$2),7)+1),"")</f>
        <v>rOve_DeCOy</v>
      </c>
      <c r="B422" s="42" t="str">
        <f>_xlfn.XLOOKUP(A422,Class_Players!$A:$A,Class_Players!$B:$B,"")</f>
        <v>Assault</v>
      </c>
      <c r="C422" s="48" t="str" cm="1">
        <f t="array" ref="C422">INDEX(Lookups!$A$2:$A$8,MOD(ROW()-ROW($B$2),ROWS(Lookups!$A$2:$A$8))+1)</f>
        <v>Assault Ladder</v>
      </c>
      <c r="D422" s="48" t="str">
        <f>_xlfn.XLOOKUP(C422,Analysis_Gadgets!$C:$C,Analysis_Gadgets!$B:$B)</f>
        <v>Gadget</v>
      </c>
      <c r="E422" s="43">
        <v>219</v>
      </c>
      <c r="F422" s="43">
        <f>_xlfn.XLOOKUP(A422,Class_Players!A:A,Class_Players!G:G)</f>
        <v>214</v>
      </c>
      <c r="G422" s="43">
        <f t="shared" si="139"/>
        <v>1.0233644859813085</v>
      </c>
      <c r="H422" s="43">
        <f>_xlfn.XLOOKUP(A422,Class_Players!$A:$A,Class_Players!$F:$F,"")</f>
        <v>10259</v>
      </c>
      <c r="I422" s="44">
        <f t="shared" si="140"/>
        <v>2.1347109854761674E-2</v>
      </c>
      <c r="J422" s="43">
        <f t="shared" si="141"/>
        <v>0</v>
      </c>
      <c r="K422" s="44" cm="1">
        <f t="array" ref="K422">IF(D422="Gadget",_xlfn.IFS(I422&gt;=0.2,0.5,I422&gt;=0.1,0.35,I422&gt;=0.05,0.2,TRUE,0),IF(D422="Grenade",_xlfn.IFS(I422&gt;=0.2,1,I422&gt;=0.1,0.7,I422&gt;=0.05,0.4,TRUE,0),0))</f>
        <v>0</v>
      </c>
      <c r="L422" s="57">
        <f t="shared" ref="L422:L426" si="152">IF($K422=0,0,$K422 / SUMIFS($K:$K,$A:$A,$A422,$D:$D,"Gadget"))</f>
        <v>0</v>
      </c>
    </row>
    <row r="423" spans="1:12" x14ac:dyDescent="0.25">
      <c r="A423" s="42" t="str" cm="1">
        <f t="array" ref="A423">IFERROR(INDEX(_xlfn._xlws.FILTER(Class_Players!A:A,Class_Players!B:B="Assault"),QUOTIENT(ROW()-ROW($A$2),7)+1),"")</f>
        <v>rOve_DeCOy</v>
      </c>
      <c r="B423" s="42" t="str">
        <f>_xlfn.XLOOKUP(A423,Class_Players!$A:$A,Class_Players!$B:$B,"")</f>
        <v>Assault</v>
      </c>
      <c r="C423" s="48" t="str" cm="1">
        <f t="array" ref="C423">INDEX(Lookups!$A$2:$A$8,MOD(ROW()-ROW($B$2),ROWS(Lookups!$A$2:$A$8))+1)</f>
        <v>X95 BRE (Breaching Projectile Launcher)</v>
      </c>
      <c r="D423" s="48" t="str">
        <f>_xlfn.XLOOKUP(C423,Analysis_Gadgets!$C:$C,Analysis_Gadgets!$B:$B)</f>
        <v>Gadget</v>
      </c>
      <c r="E423" s="43">
        <v>3</v>
      </c>
      <c r="F423" s="43">
        <f>_xlfn.XLOOKUP(A423,Class_Players!A:A,Class_Players!G:G)</f>
        <v>214</v>
      </c>
      <c r="G423" s="43">
        <f t="shared" si="139"/>
        <v>1.4018691588785047E-2</v>
      </c>
      <c r="H423" s="43">
        <f>_xlfn.XLOOKUP(A423,Class_Players!$A:$A,Class_Players!$F:$F,"")</f>
        <v>10259</v>
      </c>
      <c r="I423" s="44">
        <f t="shared" si="140"/>
        <v>2.9242616239399553E-4</v>
      </c>
      <c r="J423" s="43">
        <f t="shared" si="141"/>
        <v>0</v>
      </c>
      <c r="K423" s="44" cm="1">
        <f t="array" ref="K423">IF(D423="Gadget",_xlfn.IFS(I423&gt;=0.2,0.5,I423&gt;=0.1,0.35,I423&gt;=0.05,0.2,TRUE,0),IF(D423="Grenade",_xlfn.IFS(I423&gt;=0.2,1,I423&gt;=0.1,0.7,I423&gt;=0.05,0.4,TRUE,0),0))</f>
        <v>0</v>
      </c>
      <c r="L423" s="57">
        <f t="shared" si="152"/>
        <v>0</v>
      </c>
    </row>
    <row r="424" spans="1:12" x14ac:dyDescent="0.25">
      <c r="A424" s="42" t="str" cm="1">
        <f t="array" ref="A424">IFERROR(INDEX(_xlfn._xlws.FILTER(Class_Players!A:A,Class_Players!B:B="Assault"),QUOTIENT(ROW()-ROW($A$2),7)+1),"")</f>
        <v>rOve_DeCOy</v>
      </c>
      <c r="B424" s="42" t="str">
        <f>_xlfn.XLOOKUP(A424,Class_Players!$A:$A,Class_Players!$B:$B,"")</f>
        <v>Assault</v>
      </c>
      <c r="C424" s="48" t="str" cm="1">
        <f t="array" ref="C424">INDEX(Lookups!$A$2:$A$8,MOD(ROW()-ROW($B$2),ROWS(Lookups!$A$2:$A$8))+1)</f>
        <v>M320A1 HE (Grenade Launcher)</v>
      </c>
      <c r="D424" s="48" t="str">
        <f>_xlfn.XLOOKUP(C424,Analysis_Gadgets!$C:$C,Analysis_Gadgets!$B:$B)</f>
        <v>Gadget</v>
      </c>
      <c r="E424" s="43">
        <v>2408</v>
      </c>
      <c r="F424" s="43">
        <f>_xlfn.XLOOKUP(A424,Class_Players!A:A,Class_Players!G:G)</f>
        <v>214</v>
      </c>
      <c r="G424" s="43">
        <f t="shared" si="139"/>
        <v>11.252336448598131</v>
      </c>
      <c r="H424" s="43">
        <f>_xlfn.XLOOKUP(A424,Class_Players!$A:$A,Class_Players!$F:$F,"")</f>
        <v>10259</v>
      </c>
      <c r="I424" s="44">
        <f t="shared" si="140"/>
        <v>0.23472073301491372</v>
      </c>
      <c r="J424" s="43">
        <f t="shared" si="141"/>
        <v>1</v>
      </c>
      <c r="K424" s="44" cm="1">
        <f t="array" ref="K424">IF(D424="Gadget",_xlfn.IFS(I424&gt;=0.2,0.5,I424&gt;=0.1,0.35,I424&gt;=0.05,0.2,TRUE,0),IF(D424="Grenade",_xlfn.IFS(I424&gt;=0.2,1,I424&gt;=0.1,0.7,I424&gt;=0.05,0.4,TRUE,0),0))</f>
        <v>0.5</v>
      </c>
      <c r="L424" s="57">
        <f t="shared" si="152"/>
        <v>0.5</v>
      </c>
    </row>
    <row r="425" spans="1:12" x14ac:dyDescent="0.25">
      <c r="A425" s="42" t="str" cm="1">
        <f t="array" ref="A425">IFERROR(INDEX(_xlfn._xlws.FILTER(Class_Players!A:A,Class_Players!B:B="Assault"),QUOTIENT(ROW()-ROW($A$2),7)+1),"")</f>
        <v>rOve_DeCOy</v>
      </c>
      <c r="B425" s="42" t="str">
        <f>_xlfn.XLOOKUP(A425,Class_Players!$A:$A,Class_Players!$B:$B,"")</f>
        <v>Assault</v>
      </c>
      <c r="C425" s="48" t="str" cm="1">
        <f t="array" ref="C425">INDEX(Lookups!$A$2:$A$8,MOD(ROW()-ROW($B$2),ROWS(Lookups!$A$2:$A$8))+1)</f>
        <v>M320A1 THRM    (Incendiary Grenade Launcher)</v>
      </c>
      <c r="D425" s="48" t="str">
        <f>_xlfn.XLOOKUP(C425,Analysis_Gadgets!$C:$C,Analysis_Gadgets!$B:$B)</f>
        <v>Gadget</v>
      </c>
      <c r="E425" s="43">
        <v>22</v>
      </c>
      <c r="F425" s="43">
        <f>_xlfn.XLOOKUP(A425,Class_Players!A:A,Class_Players!G:G)</f>
        <v>214</v>
      </c>
      <c r="G425" s="43">
        <f t="shared" si="139"/>
        <v>0.10280373831775701</v>
      </c>
      <c r="H425" s="43">
        <f>_xlfn.XLOOKUP(A425,Class_Players!$A:$A,Class_Players!$F:$F,"")</f>
        <v>10259</v>
      </c>
      <c r="I425" s="44">
        <f t="shared" si="140"/>
        <v>2.1444585242226337E-3</v>
      </c>
      <c r="J425" s="43">
        <f t="shared" si="141"/>
        <v>0</v>
      </c>
      <c r="K425" s="44" cm="1">
        <f t="array" ref="K425">IF(D425="Gadget",_xlfn.IFS(I425&gt;=0.2,0.5,I425&gt;=0.1,0.35,I425&gt;=0.05,0.2,TRUE,0),IF(D425="Grenade",_xlfn.IFS(I425&gt;=0.2,1,I425&gt;=0.1,0.7,I425&gt;=0.05,0.4,TRUE,0),0))</f>
        <v>0</v>
      </c>
      <c r="L425" s="57">
        <f t="shared" si="152"/>
        <v>0</v>
      </c>
    </row>
    <row r="426" spans="1:12" x14ac:dyDescent="0.25">
      <c r="A426" s="42" t="str" cm="1">
        <f t="array" ref="A426">IFERROR(INDEX(_xlfn._xlws.FILTER(Class_Players!A:A,Class_Players!B:B="Assault"),QUOTIENT(ROW()-ROW($A$2),7)+1),"")</f>
        <v>rOve_DeCOy</v>
      </c>
      <c r="B426" s="42" t="str">
        <f>_xlfn.XLOOKUP(A426,Class_Players!$A:$A,Class_Players!$B:$B,"")</f>
        <v>Assault</v>
      </c>
      <c r="C426" s="48" t="str" cm="1">
        <f t="array" ref="C426">INDEX(Lookups!$A$2:$A$8,MOD(ROW()-ROW($B$2),ROWS(Lookups!$A$2:$A$8))+1)</f>
        <v>QLINK (Deploy Beacon)</v>
      </c>
      <c r="D426" s="48" t="str">
        <f>_xlfn.XLOOKUP(C426,Analysis_Gadgets!$C:$C,Analysis_Gadgets!$B:$B)</f>
        <v>Gadget</v>
      </c>
      <c r="E426" s="43">
        <v>5584</v>
      </c>
      <c r="F426" s="43">
        <f>_xlfn.XLOOKUP(A426,Class_Players!A:A,Class_Players!G:G)</f>
        <v>214</v>
      </c>
      <c r="G426" s="43">
        <f t="shared" si="139"/>
        <v>26.093457943925234</v>
      </c>
      <c r="H426" s="43">
        <f>_xlfn.XLOOKUP(A426,Class_Players!$A:$A,Class_Players!$F:$F,"")</f>
        <v>10259</v>
      </c>
      <c r="I426" s="44">
        <f t="shared" si="140"/>
        <v>0.54430256360269036</v>
      </c>
      <c r="J426" s="43">
        <f t="shared" si="141"/>
        <v>1</v>
      </c>
      <c r="K426" s="44" cm="1">
        <f t="array" ref="K426">IF(D426="Gadget",_xlfn.IFS(I426&gt;=0.2,0.5,I426&gt;=0.1,0.35,I426&gt;=0.05,0.2,TRUE,0),IF(D426="Grenade",_xlfn.IFS(I426&gt;=0.2,1,I426&gt;=0.1,0.7,I426&gt;=0.05,0.4,TRUE,0),0))</f>
        <v>0.5</v>
      </c>
      <c r="L426" s="57">
        <f t="shared" si="152"/>
        <v>0.5</v>
      </c>
    </row>
    <row r="427" spans="1:12" x14ac:dyDescent="0.25">
      <c r="A427" s="42" t="str" cm="1">
        <f t="array" ref="A427">IFERROR(INDEX(_xlfn._xlws.FILTER(Class_Players!A:A,Class_Players!B:B="Assault"),QUOTIENT(ROW()-ROW($A$2),7)+1),"")</f>
        <v>rOve_DeCOy</v>
      </c>
      <c r="B427" s="42" t="str">
        <f>_xlfn.XLOOKUP(A427,Class_Players!$A:$A,Class_Players!$B:$B,"")</f>
        <v>Assault</v>
      </c>
      <c r="C427" s="48" t="str" cm="1">
        <f t="array" ref="C427">INDEX(Lookups!$A$2:$A$8,MOD(ROW()-ROW($B$2),ROWS(Lookups!$A$2:$A$8))+1)</f>
        <v>Stun Grenade</v>
      </c>
      <c r="D427" s="48" t="str">
        <f>_xlfn.XLOOKUP(C427,Analysis_Gadgets!$C:$C,Analysis_Gadgets!$B:$B)</f>
        <v>Grenade</v>
      </c>
      <c r="E427" s="43">
        <v>18</v>
      </c>
      <c r="F427" s="43">
        <f>_xlfn.XLOOKUP(A427,Class_Players!A:A,Class_Players!G:G)</f>
        <v>214</v>
      </c>
      <c r="G427" s="43">
        <f t="shared" si="139"/>
        <v>8.4112149532710276E-2</v>
      </c>
      <c r="H427" s="43">
        <f>_xlfn.XLOOKUP(A427,Class_Players!$A:$A,Class_Players!$F:$F,"")</f>
        <v>10259</v>
      </c>
      <c r="I427" s="44">
        <f t="shared" si="140"/>
        <v>1.7545569743639732E-3</v>
      </c>
      <c r="J427" s="43">
        <f t="shared" si="141"/>
        <v>0</v>
      </c>
      <c r="K427" s="44" cm="1">
        <f t="array" ref="K427">IF(D427="Gadget",_xlfn.IFS(I427&gt;=0.2,0.5,I427&gt;=0.1,0.35,I427&gt;=0.05,0.2,TRUE,0),IF(D427="Grenade",_xlfn.IFS(I427&gt;=0.2,1,I427&gt;=0.1,0.7,I427&gt;=0.05,0.4,TRUE,0),0))</f>
        <v>0</v>
      </c>
      <c r="L427" s="57">
        <f t="shared" ref="L427:L428" si="153">IF($K427=0,0,$K427 / SUMIFS($K:$K,$A:$A,$A427,$D:$D,"Grenade"))</f>
        <v>0</v>
      </c>
    </row>
    <row r="428" spans="1:12" x14ac:dyDescent="0.25">
      <c r="A428" s="42" t="str" cm="1">
        <f t="array" ref="A428">IFERROR(INDEX(_xlfn._xlws.FILTER(Class_Players!A:A,Class_Players!B:B="Assault"),QUOTIENT(ROW()-ROW($A$2),7)+1),"")</f>
        <v>rOve_DeCOy</v>
      </c>
      <c r="B428" s="42" t="str">
        <f>_xlfn.XLOOKUP(A428,Class_Players!$A:$A,Class_Players!$B:$B,"")</f>
        <v>Assault</v>
      </c>
      <c r="C428" s="48" t="str" cm="1">
        <f t="array" ref="C428">INDEX(Lookups!$A$2:$A$8,MOD(ROW()-ROW($B$2),ROWS(Lookups!$A$2:$A$8))+1)</f>
        <v>Flash Grenade</v>
      </c>
      <c r="D428" s="48" t="str">
        <f>_xlfn.XLOOKUP(C428,Analysis_Gadgets!$C:$C,Analysis_Gadgets!$B:$B)</f>
        <v>Grenade</v>
      </c>
      <c r="E428" s="43">
        <v>270</v>
      </c>
      <c r="F428" s="43">
        <f>_xlfn.XLOOKUP(A428,Class_Players!A:A,Class_Players!G:G)</f>
        <v>214</v>
      </c>
      <c r="G428" s="43">
        <f t="shared" si="139"/>
        <v>1.2616822429906542</v>
      </c>
      <c r="H428" s="43">
        <f>_xlfn.XLOOKUP(A428,Class_Players!$A:$A,Class_Players!$F:$F,"")</f>
        <v>10259</v>
      </c>
      <c r="I428" s="44">
        <f t="shared" si="140"/>
        <v>2.6318354615459595E-2</v>
      </c>
      <c r="J428" s="43">
        <f t="shared" si="141"/>
        <v>0</v>
      </c>
      <c r="K428" s="44" cm="1">
        <f t="array" ref="K428">IF(D428="Gadget",_xlfn.IFS(I428&gt;=0.2,0.5,I428&gt;=0.1,0.35,I428&gt;=0.05,0.2,TRUE,0),IF(D428="Grenade",_xlfn.IFS(I428&gt;=0.2,1,I428&gt;=0.1,0.7,I428&gt;=0.05,0.4,TRUE,0),0))</f>
        <v>0</v>
      </c>
      <c r="L428" s="57">
        <f t="shared" si="153"/>
        <v>0</v>
      </c>
    </row>
    <row r="429" spans="1:12" x14ac:dyDescent="0.25">
      <c r="A429" s="42" t="str" cm="1">
        <f t="array" ref="A429">IFERROR(INDEX(_xlfn._xlws.FILTER(Class_Players!A:A,Class_Players!B:B="Assault"),QUOTIENT(ROW()-ROW($A$2),7)+1),"")</f>
        <v>Romacdc</v>
      </c>
      <c r="B429" s="42" t="str">
        <f>_xlfn.XLOOKUP(A429,Class_Players!$A:$A,Class_Players!$B:$B,"")</f>
        <v>Assault</v>
      </c>
      <c r="C429" s="48" t="str" cm="1">
        <f t="array" ref="C429">INDEX(Lookups!$A$2:$A$8,MOD(ROW()-ROW($B$2),ROWS(Lookups!$A$2:$A$8))+1)</f>
        <v>Assault Ladder</v>
      </c>
      <c r="D429" s="48" t="str">
        <f>_xlfn.XLOOKUP(C429,Analysis_Gadgets!$C:$C,Analysis_Gadgets!$B:$B)</f>
        <v>Gadget</v>
      </c>
      <c r="E429" s="43">
        <v>48</v>
      </c>
      <c r="F429" s="43">
        <f>_xlfn.XLOOKUP(A429,Class_Players!A:A,Class_Players!G:G)</f>
        <v>198</v>
      </c>
      <c r="G429" s="43">
        <f t="shared" si="139"/>
        <v>0.24242424242424243</v>
      </c>
      <c r="H429" s="43">
        <f>_xlfn.XLOOKUP(A429,Class_Players!$A:$A,Class_Players!$F:$F,"")</f>
        <v>9741</v>
      </c>
      <c r="I429" s="44">
        <f t="shared" si="140"/>
        <v>4.927625500461965E-3</v>
      </c>
      <c r="J429" s="43">
        <f t="shared" si="141"/>
        <v>0</v>
      </c>
      <c r="K429" s="44" cm="1">
        <f t="array" ref="K429">IF(D429="Gadget",_xlfn.IFS(I429&gt;=0.2,0.5,I429&gt;=0.1,0.35,I429&gt;=0.05,0.2,TRUE,0),IF(D429="Grenade",_xlfn.IFS(I429&gt;=0.2,1,I429&gt;=0.1,0.7,I429&gt;=0.05,0.4,TRUE,0),0))</f>
        <v>0</v>
      </c>
      <c r="L429" s="57">
        <f t="shared" ref="L429:L433" si="154">IF($K429=0,0,$K429 / SUMIFS($K:$K,$A:$A,$A429,$D:$D,"Gadget"))</f>
        <v>0</v>
      </c>
    </row>
    <row r="430" spans="1:12" x14ac:dyDescent="0.25">
      <c r="A430" s="42" t="str" cm="1">
        <f t="array" ref="A430">IFERROR(INDEX(_xlfn._xlws.FILTER(Class_Players!A:A,Class_Players!B:B="Assault"),QUOTIENT(ROW()-ROW($A$2),7)+1),"")</f>
        <v>Romacdc</v>
      </c>
      <c r="B430" s="42" t="str">
        <f>_xlfn.XLOOKUP(A430,Class_Players!$A:$A,Class_Players!$B:$B,"")</f>
        <v>Assault</v>
      </c>
      <c r="C430" s="48" t="str" cm="1">
        <f t="array" ref="C430">INDEX(Lookups!$A$2:$A$8,MOD(ROW()-ROW($B$2),ROWS(Lookups!$A$2:$A$8))+1)</f>
        <v>X95 BRE (Breaching Projectile Launcher)</v>
      </c>
      <c r="D430" s="48" t="str">
        <f>_xlfn.XLOOKUP(C430,Analysis_Gadgets!$C:$C,Analysis_Gadgets!$B:$B)</f>
        <v>Gadget</v>
      </c>
      <c r="E430" s="43">
        <v>8</v>
      </c>
      <c r="F430" s="43">
        <f>_xlfn.XLOOKUP(A430,Class_Players!A:A,Class_Players!G:G)</f>
        <v>198</v>
      </c>
      <c r="G430" s="43">
        <f t="shared" si="139"/>
        <v>4.0404040404040407E-2</v>
      </c>
      <c r="H430" s="43">
        <f>_xlfn.XLOOKUP(A430,Class_Players!$A:$A,Class_Players!$F:$F,"")</f>
        <v>9741</v>
      </c>
      <c r="I430" s="44">
        <f t="shared" si="140"/>
        <v>8.2127091674366083E-4</v>
      </c>
      <c r="J430" s="43">
        <f t="shared" si="141"/>
        <v>0</v>
      </c>
      <c r="K430" s="44" cm="1">
        <f t="array" ref="K430">IF(D430="Gadget",_xlfn.IFS(I430&gt;=0.2,0.5,I430&gt;=0.1,0.35,I430&gt;=0.05,0.2,TRUE,0),IF(D430="Grenade",_xlfn.IFS(I430&gt;=0.2,1,I430&gt;=0.1,0.7,I430&gt;=0.05,0.4,TRUE,0),0))</f>
        <v>0</v>
      </c>
      <c r="L430" s="57">
        <f t="shared" si="154"/>
        <v>0</v>
      </c>
    </row>
    <row r="431" spans="1:12" x14ac:dyDescent="0.25">
      <c r="A431" s="42" t="str" cm="1">
        <f t="array" ref="A431">IFERROR(INDEX(_xlfn._xlws.FILTER(Class_Players!A:A,Class_Players!B:B="Assault"),QUOTIENT(ROW()-ROW($A$2),7)+1),"")</f>
        <v>Romacdc</v>
      </c>
      <c r="B431" s="42" t="str">
        <f>_xlfn.XLOOKUP(A431,Class_Players!$A:$A,Class_Players!$B:$B,"")</f>
        <v>Assault</v>
      </c>
      <c r="C431" s="48" t="str" cm="1">
        <f t="array" ref="C431">INDEX(Lookups!$A$2:$A$8,MOD(ROW()-ROW($B$2),ROWS(Lookups!$A$2:$A$8))+1)</f>
        <v>M320A1 HE (Grenade Launcher)</v>
      </c>
      <c r="D431" s="48" t="str">
        <f>_xlfn.XLOOKUP(C431,Analysis_Gadgets!$C:$C,Analysis_Gadgets!$B:$B)</f>
        <v>Gadget</v>
      </c>
      <c r="E431" s="43">
        <v>2332</v>
      </c>
      <c r="F431" s="43">
        <f>_xlfn.XLOOKUP(A431,Class_Players!A:A,Class_Players!G:G)</f>
        <v>198</v>
      </c>
      <c r="G431" s="43">
        <f t="shared" si="139"/>
        <v>11.777777777777779</v>
      </c>
      <c r="H431" s="43">
        <f>_xlfn.XLOOKUP(A431,Class_Players!$A:$A,Class_Players!$F:$F,"")</f>
        <v>9741</v>
      </c>
      <c r="I431" s="44">
        <f t="shared" si="140"/>
        <v>0.23940047223077712</v>
      </c>
      <c r="J431" s="43">
        <f t="shared" si="141"/>
        <v>1</v>
      </c>
      <c r="K431" s="44" cm="1">
        <f t="array" ref="K431">IF(D431="Gadget",_xlfn.IFS(I431&gt;=0.2,0.5,I431&gt;=0.1,0.35,I431&gt;=0.05,0.2,TRUE,0),IF(D431="Grenade",_xlfn.IFS(I431&gt;=0.2,1,I431&gt;=0.1,0.7,I431&gt;=0.05,0.4,TRUE,0),0))</f>
        <v>0.5</v>
      </c>
      <c r="L431" s="57">
        <f t="shared" si="154"/>
        <v>0.5</v>
      </c>
    </row>
    <row r="432" spans="1:12" x14ac:dyDescent="0.25">
      <c r="A432" s="42" t="str" cm="1">
        <f t="array" ref="A432">IFERROR(INDEX(_xlfn._xlws.FILTER(Class_Players!A:A,Class_Players!B:B="Assault"),QUOTIENT(ROW()-ROW($A$2),7)+1),"")</f>
        <v>Romacdc</v>
      </c>
      <c r="B432" s="42" t="str">
        <f>_xlfn.XLOOKUP(A432,Class_Players!$A:$A,Class_Players!$B:$B,"")</f>
        <v>Assault</v>
      </c>
      <c r="C432" s="48" t="str" cm="1">
        <f t="array" ref="C432">INDEX(Lookups!$A$2:$A$8,MOD(ROW()-ROW($B$2),ROWS(Lookups!$A$2:$A$8))+1)</f>
        <v>M320A1 THRM    (Incendiary Grenade Launcher)</v>
      </c>
      <c r="D432" s="48" t="str">
        <f>_xlfn.XLOOKUP(C432,Analysis_Gadgets!$C:$C,Analysis_Gadgets!$B:$B)</f>
        <v>Gadget</v>
      </c>
      <c r="E432" s="43">
        <v>93</v>
      </c>
      <c r="F432" s="43">
        <f>_xlfn.XLOOKUP(A432,Class_Players!A:A,Class_Players!G:G)</f>
        <v>198</v>
      </c>
      <c r="G432" s="43">
        <f t="shared" si="139"/>
        <v>0.46969696969696972</v>
      </c>
      <c r="H432" s="43">
        <f>_xlfn.XLOOKUP(A432,Class_Players!$A:$A,Class_Players!$F:$F,"")</f>
        <v>9741</v>
      </c>
      <c r="I432" s="44">
        <f t="shared" si="140"/>
        <v>9.5472744071450569E-3</v>
      </c>
      <c r="J432" s="43">
        <f t="shared" si="141"/>
        <v>0</v>
      </c>
      <c r="K432" s="44" cm="1">
        <f t="array" ref="K432">IF(D432="Gadget",_xlfn.IFS(I432&gt;=0.2,0.5,I432&gt;=0.1,0.35,I432&gt;=0.05,0.2,TRUE,0),IF(D432="Grenade",_xlfn.IFS(I432&gt;=0.2,1,I432&gt;=0.1,0.7,I432&gt;=0.05,0.4,TRUE,0),0))</f>
        <v>0</v>
      </c>
      <c r="L432" s="57">
        <f t="shared" si="154"/>
        <v>0</v>
      </c>
    </row>
    <row r="433" spans="1:12" x14ac:dyDescent="0.25">
      <c r="A433" s="42" t="str" cm="1">
        <f t="array" ref="A433">IFERROR(INDEX(_xlfn._xlws.FILTER(Class_Players!A:A,Class_Players!B:B="Assault"),QUOTIENT(ROW()-ROW($A$2),7)+1),"")</f>
        <v>Romacdc</v>
      </c>
      <c r="B433" s="42" t="str">
        <f>_xlfn.XLOOKUP(A433,Class_Players!$A:$A,Class_Players!$B:$B,"")</f>
        <v>Assault</v>
      </c>
      <c r="C433" s="48" t="str" cm="1">
        <f t="array" ref="C433">INDEX(Lookups!$A$2:$A$8,MOD(ROW()-ROW($B$2),ROWS(Lookups!$A$2:$A$8))+1)</f>
        <v>QLINK (Deploy Beacon)</v>
      </c>
      <c r="D433" s="48" t="str">
        <f>_xlfn.XLOOKUP(C433,Analysis_Gadgets!$C:$C,Analysis_Gadgets!$B:$B)</f>
        <v>Gadget</v>
      </c>
      <c r="E433" s="43">
        <v>2187</v>
      </c>
      <c r="F433" s="43">
        <f>_xlfn.XLOOKUP(A433,Class_Players!A:A,Class_Players!G:G)</f>
        <v>198</v>
      </c>
      <c r="G433" s="43">
        <f t="shared" si="139"/>
        <v>11.045454545454545</v>
      </c>
      <c r="H433" s="43">
        <f>_xlfn.XLOOKUP(A433,Class_Players!$A:$A,Class_Players!$F:$F,"")</f>
        <v>9741</v>
      </c>
      <c r="I433" s="44">
        <f t="shared" si="140"/>
        <v>0.22451493686479829</v>
      </c>
      <c r="J433" s="43">
        <f t="shared" si="141"/>
        <v>1</v>
      </c>
      <c r="K433" s="44" cm="1">
        <f t="array" ref="K433">IF(D433="Gadget",_xlfn.IFS(I433&gt;=0.2,0.5,I433&gt;=0.1,0.35,I433&gt;=0.05,0.2,TRUE,0),IF(D433="Grenade",_xlfn.IFS(I433&gt;=0.2,1,I433&gt;=0.1,0.7,I433&gt;=0.05,0.4,TRUE,0),0))</f>
        <v>0.5</v>
      </c>
      <c r="L433" s="57">
        <f t="shared" si="154"/>
        <v>0.5</v>
      </c>
    </row>
    <row r="434" spans="1:12" x14ac:dyDescent="0.25">
      <c r="A434" s="42" t="str" cm="1">
        <f t="array" ref="A434">IFERROR(INDEX(_xlfn._xlws.FILTER(Class_Players!A:A,Class_Players!B:B="Assault"),QUOTIENT(ROW()-ROW($A$2),7)+1),"")</f>
        <v>Romacdc</v>
      </c>
      <c r="B434" s="42" t="str">
        <f>_xlfn.XLOOKUP(A434,Class_Players!$A:$A,Class_Players!$B:$B,"")</f>
        <v>Assault</v>
      </c>
      <c r="C434" s="48" t="str" cm="1">
        <f t="array" ref="C434">INDEX(Lookups!$A$2:$A$8,MOD(ROW()-ROW($B$2),ROWS(Lookups!$A$2:$A$8))+1)</f>
        <v>Stun Grenade</v>
      </c>
      <c r="D434" s="48" t="str">
        <f>_xlfn.XLOOKUP(C434,Analysis_Gadgets!$C:$C,Analysis_Gadgets!$B:$B)</f>
        <v>Grenade</v>
      </c>
      <c r="E434" s="43">
        <v>5</v>
      </c>
      <c r="F434" s="43">
        <f>_xlfn.XLOOKUP(A434,Class_Players!A:A,Class_Players!G:G)</f>
        <v>198</v>
      </c>
      <c r="G434" s="43">
        <f t="shared" si="139"/>
        <v>2.5252525252525252E-2</v>
      </c>
      <c r="H434" s="43">
        <f>_xlfn.XLOOKUP(A434,Class_Players!$A:$A,Class_Players!$F:$F,"")</f>
        <v>9741</v>
      </c>
      <c r="I434" s="44">
        <f t="shared" si="140"/>
        <v>5.1329432296478802E-4</v>
      </c>
      <c r="J434" s="43">
        <f t="shared" si="141"/>
        <v>0</v>
      </c>
      <c r="K434" s="44" cm="1">
        <f t="array" ref="K434">IF(D434="Gadget",_xlfn.IFS(I434&gt;=0.2,0.5,I434&gt;=0.1,0.35,I434&gt;=0.05,0.2,TRUE,0),IF(D434="Grenade",_xlfn.IFS(I434&gt;=0.2,1,I434&gt;=0.1,0.7,I434&gt;=0.05,0.4,TRUE,0),0))</f>
        <v>0</v>
      </c>
      <c r="L434" s="57">
        <f t="shared" ref="L434:L435" si="155">IF($K434=0,0,$K434 / SUMIFS($K:$K,$A:$A,$A434,$D:$D,"Grenade"))</f>
        <v>0</v>
      </c>
    </row>
    <row r="435" spans="1:12" x14ac:dyDescent="0.25">
      <c r="A435" s="42" t="str" cm="1">
        <f t="array" ref="A435">IFERROR(INDEX(_xlfn._xlws.FILTER(Class_Players!A:A,Class_Players!B:B="Assault"),QUOTIENT(ROW()-ROW($A$2),7)+1),"")</f>
        <v>Romacdc</v>
      </c>
      <c r="B435" s="42" t="str">
        <f>_xlfn.XLOOKUP(A435,Class_Players!$A:$A,Class_Players!$B:$B,"")</f>
        <v>Assault</v>
      </c>
      <c r="C435" s="48" t="str" cm="1">
        <f t="array" ref="C435">INDEX(Lookups!$A$2:$A$8,MOD(ROW()-ROW($B$2),ROWS(Lookups!$A$2:$A$8))+1)</f>
        <v>Flash Grenade</v>
      </c>
      <c r="D435" s="48" t="str">
        <f>_xlfn.XLOOKUP(C435,Analysis_Gadgets!$C:$C,Analysis_Gadgets!$B:$B)</f>
        <v>Grenade</v>
      </c>
      <c r="E435" s="43">
        <v>9</v>
      </c>
      <c r="F435" s="43">
        <f>_xlfn.XLOOKUP(A435,Class_Players!A:A,Class_Players!G:G)</f>
        <v>198</v>
      </c>
      <c r="G435" s="43">
        <f t="shared" si="139"/>
        <v>4.5454545454545456E-2</v>
      </c>
      <c r="H435" s="43">
        <f>_xlfn.XLOOKUP(A435,Class_Players!$A:$A,Class_Players!$F:$F,"")</f>
        <v>9741</v>
      </c>
      <c r="I435" s="44">
        <f t="shared" si="140"/>
        <v>9.2392978133661843E-4</v>
      </c>
      <c r="J435" s="43">
        <f t="shared" si="141"/>
        <v>0</v>
      </c>
      <c r="K435" s="44" cm="1">
        <f t="array" ref="K435">IF(D435="Gadget",_xlfn.IFS(I435&gt;=0.2,0.5,I435&gt;=0.1,0.35,I435&gt;=0.05,0.2,TRUE,0),IF(D435="Grenade",_xlfn.IFS(I435&gt;=0.2,1,I435&gt;=0.1,0.7,I435&gt;=0.05,0.4,TRUE,0),0))</f>
        <v>0</v>
      </c>
      <c r="L435" s="57">
        <f t="shared" si="155"/>
        <v>0</v>
      </c>
    </row>
    <row r="436" spans="1:12" x14ac:dyDescent="0.25">
      <c r="A436" s="42" t="str" cm="1">
        <f t="array" ref="A436">IFERROR(INDEX(_xlfn._xlws.FILTER(Class_Players!A:A,Class_Players!B:B="Assault"),QUOTIENT(ROW()-ROW($A$2),7)+1),"")</f>
        <v>Vang-262</v>
      </c>
      <c r="B436" s="42" t="str">
        <f>_xlfn.XLOOKUP(A436,Class_Players!$A:$A,Class_Players!$B:$B,"")</f>
        <v>Assault</v>
      </c>
      <c r="C436" s="48" t="str" cm="1">
        <f t="array" ref="C436">INDEX(Lookups!$A$2:$A$8,MOD(ROW()-ROW($B$2),ROWS(Lookups!$A$2:$A$8))+1)</f>
        <v>Assault Ladder</v>
      </c>
      <c r="D436" s="48" t="str">
        <f>_xlfn.XLOOKUP(C436,Analysis_Gadgets!$C:$C,Analysis_Gadgets!$B:$B)</f>
        <v>Gadget</v>
      </c>
      <c r="E436" s="43">
        <v>6</v>
      </c>
      <c r="F436" s="43">
        <f>_xlfn.XLOOKUP(A436,Class_Players!A:A,Class_Players!G:G)</f>
        <v>221</v>
      </c>
      <c r="G436" s="43">
        <f t="shared" si="139"/>
        <v>2.7149321266968326E-2</v>
      </c>
      <c r="H436" s="43">
        <f>_xlfn.XLOOKUP(A436,Class_Players!$A:$A,Class_Players!$F:$F,"")</f>
        <v>10945</v>
      </c>
      <c r="I436" s="44">
        <f t="shared" si="140"/>
        <v>5.4819552306989493E-4</v>
      </c>
      <c r="J436" s="43">
        <f t="shared" si="141"/>
        <v>0</v>
      </c>
      <c r="K436" s="44" cm="1">
        <f t="array" ref="K436">IF(D436="Gadget",_xlfn.IFS(I436&gt;=0.2,0.5,I436&gt;=0.1,0.35,I436&gt;=0.05,0.2,TRUE,0),IF(D436="Grenade",_xlfn.IFS(I436&gt;=0.2,1,I436&gt;=0.1,0.7,I436&gt;=0.05,0.4,TRUE,0),0))</f>
        <v>0</v>
      </c>
      <c r="L436" s="57">
        <f t="shared" ref="L436:L440" si="156">IF($K436=0,0,$K436 / SUMIFS($K:$K,$A:$A,$A436,$D:$D,"Gadget"))</f>
        <v>0</v>
      </c>
    </row>
    <row r="437" spans="1:12" x14ac:dyDescent="0.25">
      <c r="A437" s="42" t="str" cm="1">
        <f t="array" ref="A437">IFERROR(INDEX(_xlfn._xlws.FILTER(Class_Players!A:A,Class_Players!B:B="Assault"),QUOTIENT(ROW()-ROW($A$2),7)+1),"")</f>
        <v>Vang-262</v>
      </c>
      <c r="B437" s="42" t="str">
        <f>_xlfn.XLOOKUP(A437,Class_Players!$A:$A,Class_Players!$B:$B,"")</f>
        <v>Assault</v>
      </c>
      <c r="C437" s="48" t="str" cm="1">
        <f t="array" ref="C437">INDEX(Lookups!$A$2:$A$8,MOD(ROW()-ROW($B$2),ROWS(Lookups!$A$2:$A$8))+1)</f>
        <v>X95 BRE (Breaching Projectile Launcher)</v>
      </c>
      <c r="D437" s="48" t="str">
        <f>_xlfn.XLOOKUP(C437,Analysis_Gadgets!$C:$C,Analysis_Gadgets!$B:$B)</f>
        <v>Gadget</v>
      </c>
      <c r="E437" s="43">
        <v>0</v>
      </c>
      <c r="F437" s="43">
        <f>_xlfn.XLOOKUP(A437,Class_Players!A:A,Class_Players!G:G)</f>
        <v>221</v>
      </c>
      <c r="G437" s="43">
        <f t="shared" si="139"/>
        <v>0</v>
      </c>
      <c r="H437" s="43">
        <f>_xlfn.XLOOKUP(A437,Class_Players!$A:$A,Class_Players!$F:$F,"")</f>
        <v>10945</v>
      </c>
      <c r="I437" s="44">
        <f t="shared" si="140"/>
        <v>0</v>
      </c>
      <c r="J437" s="43">
        <f t="shared" si="141"/>
        <v>0</v>
      </c>
      <c r="K437" s="44" cm="1">
        <f t="array" ref="K437">IF(D437="Gadget",_xlfn.IFS(I437&gt;=0.2,0.5,I437&gt;=0.1,0.35,I437&gt;=0.05,0.2,TRUE,0),IF(D437="Grenade",_xlfn.IFS(I437&gt;=0.2,1,I437&gt;=0.1,0.7,I437&gt;=0.05,0.4,TRUE,0),0))</f>
        <v>0</v>
      </c>
      <c r="L437" s="57">
        <f t="shared" si="156"/>
        <v>0</v>
      </c>
    </row>
    <row r="438" spans="1:12" x14ac:dyDescent="0.25">
      <c r="A438" s="42" t="str" cm="1">
        <f t="array" ref="A438">IFERROR(INDEX(_xlfn._xlws.FILTER(Class_Players!A:A,Class_Players!B:B="Assault"),QUOTIENT(ROW()-ROW($A$2),7)+1),"")</f>
        <v>Vang-262</v>
      </c>
      <c r="B438" s="42" t="str">
        <f>_xlfn.XLOOKUP(A438,Class_Players!$A:$A,Class_Players!$B:$B,"")</f>
        <v>Assault</v>
      </c>
      <c r="C438" s="48" t="str" cm="1">
        <f t="array" ref="C438">INDEX(Lookups!$A$2:$A$8,MOD(ROW()-ROW($B$2),ROWS(Lookups!$A$2:$A$8))+1)</f>
        <v>M320A1 HE (Grenade Launcher)</v>
      </c>
      <c r="D438" s="48" t="str">
        <f>_xlfn.XLOOKUP(C438,Analysis_Gadgets!$C:$C,Analysis_Gadgets!$B:$B)</f>
        <v>Gadget</v>
      </c>
      <c r="E438" s="43">
        <v>855</v>
      </c>
      <c r="F438" s="43">
        <f>_xlfn.XLOOKUP(A438,Class_Players!A:A,Class_Players!G:G)</f>
        <v>221</v>
      </c>
      <c r="G438" s="43">
        <f t="shared" si="139"/>
        <v>3.8687782805429864</v>
      </c>
      <c r="H438" s="43">
        <f>_xlfn.XLOOKUP(A438,Class_Players!$A:$A,Class_Players!$F:$F,"")</f>
        <v>10945</v>
      </c>
      <c r="I438" s="44">
        <f t="shared" si="140"/>
        <v>7.8117862037460031E-2</v>
      </c>
      <c r="J438" s="43">
        <f t="shared" si="141"/>
        <v>0</v>
      </c>
      <c r="K438" s="44" cm="1">
        <f t="array" ref="K438">IF(D438="Gadget",_xlfn.IFS(I438&gt;=0.2,0.5,I438&gt;=0.1,0.35,I438&gt;=0.05,0.2,TRUE,0),IF(D438="Grenade",_xlfn.IFS(I438&gt;=0.2,1,I438&gt;=0.1,0.7,I438&gt;=0.05,0.4,TRUE,0),0))</f>
        <v>0.2</v>
      </c>
      <c r="L438" s="57">
        <f t="shared" si="156"/>
        <v>0.26666666666666666</v>
      </c>
    </row>
    <row r="439" spans="1:12" x14ac:dyDescent="0.25">
      <c r="A439" s="42" t="str" cm="1">
        <f t="array" ref="A439">IFERROR(INDEX(_xlfn._xlws.FILTER(Class_Players!A:A,Class_Players!B:B="Assault"),QUOTIENT(ROW()-ROW($A$2),7)+1),"")</f>
        <v>Vang-262</v>
      </c>
      <c r="B439" s="42" t="str">
        <f>_xlfn.XLOOKUP(A439,Class_Players!$A:$A,Class_Players!$B:$B,"")</f>
        <v>Assault</v>
      </c>
      <c r="C439" s="48" t="str" cm="1">
        <f t="array" ref="C439">INDEX(Lookups!$A$2:$A$8,MOD(ROW()-ROW($B$2),ROWS(Lookups!$A$2:$A$8))+1)</f>
        <v>M320A1 THRM    (Incendiary Grenade Launcher)</v>
      </c>
      <c r="D439" s="48" t="str">
        <f>_xlfn.XLOOKUP(C439,Analysis_Gadgets!$C:$C,Analysis_Gadgets!$B:$B)</f>
        <v>Gadget</v>
      </c>
      <c r="E439" s="43">
        <v>1241</v>
      </c>
      <c r="F439" s="43">
        <f>_xlfn.XLOOKUP(A439,Class_Players!A:A,Class_Players!G:G)</f>
        <v>221</v>
      </c>
      <c r="G439" s="43">
        <f t="shared" si="139"/>
        <v>5.615384615384615</v>
      </c>
      <c r="H439" s="43">
        <f>_xlfn.XLOOKUP(A439,Class_Players!$A:$A,Class_Players!$F:$F,"")</f>
        <v>10945</v>
      </c>
      <c r="I439" s="44">
        <f t="shared" si="140"/>
        <v>0.1133851073549566</v>
      </c>
      <c r="J439" s="43">
        <f t="shared" si="141"/>
        <v>1</v>
      </c>
      <c r="K439" s="44" cm="1">
        <f t="array" ref="K439">IF(D439="Gadget",_xlfn.IFS(I439&gt;=0.2,0.5,I439&gt;=0.1,0.35,I439&gt;=0.05,0.2,TRUE,0),IF(D439="Grenade",_xlfn.IFS(I439&gt;=0.2,1,I439&gt;=0.1,0.7,I439&gt;=0.05,0.4,TRUE,0),0))</f>
        <v>0.35</v>
      </c>
      <c r="L439" s="57">
        <f t="shared" si="156"/>
        <v>0.46666666666666662</v>
      </c>
    </row>
    <row r="440" spans="1:12" x14ac:dyDescent="0.25">
      <c r="A440" s="42" t="str" cm="1">
        <f t="array" ref="A440">IFERROR(INDEX(_xlfn._xlws.FILTER(Class_Players!A:A,Class_Players!B:B="Assault"),QUOTIENT(ROW()-ROW($A$2),7)+1),"")</f>
        <v>Vang-262</v>
      </c>
      <c r="B440" s="42" t="str">
        <f>_xlfn.XLOOKUP(A440,Class_Players!$A:$A,Class_Players!$B:$B,"")</f>
        <v>Assault</v>
      </c>
      <c r="C440" s="48" t="str" cm="1">
        <f t="array" ref="C440">INDEX(Lookups!$A$2:$A$8,MOD(ROW()-ROW($B$2),ROWS(Lookups!$A$2:$A$8))+1)</f>
        <v>QLINK (Deploy Beacon)</v>
      </c>
      <c r="D440" s="48" t="str">
        <f>_xlfn.XLOOKUP(C440,Analysis_Gadgets!$C:$C,Analysis_Gadgets!$B:$B)</f>
        <v>Gadget</v>
      </c>
      <c r="E440" s="43">
        <v>668</v>
      </c>
      <c r="F440" s="43">
        <f>_xlfn.XLOOKUP(A440,Class_Players!A:A,Class_Players!G:G)</f>
        <v>221</v>
      </c>
      <c r="G440" s="43">
        <f t="shared" si="139"/>
        <v>3.0226244343891402</v>
      </c>
      <c r="H440" s="43">
        <f>_xlfn.XLOOKUP(A440,Class_Players!$A:$A,Class_Players!$F:$F,"")</f>
        <v>10945</v>
      </c>
      <c r="I440" s="44">
        <f t="shared" si="140"/>
        <v>6.1032434901781632E-2</v>
      </c>
      <c r="J440" s="43">
        <f t="shared" si="141"/>
        <v>0</v>
      </c>
      <c r="K440" s="44" cm="1">
        <f t="array" ref="K440">IF(D440="Gadget",_xlfn.IFS(I440&gt;=0.2,0.5,I440&gt;=0.1,0.35,I440&gt;=0.05,0.2,TRUE,0),IF(D440="Grenade",_xlfn.IFS(I440&gt;=0.2,1,I440&gt;=0.1,0.7,I440&gt;=0.05,0.4,TRUE,0),0))</f>
        <v>0.2</v>
      </c>
      <c r="L440" s="57">
        <f t="shared" si="156"/>
        <v>0.26666666666666666</v>
      </c>
    </row>
    <row r="441" spans="1:12" x14ac:dyDescent="0.25">
      <c r="A441" s="42" t="str" cm="1">
        <f t="array" ref="A441">IFERROR(INDEX(_xlfn._xlws.FILTER(Class_Players!A:A,Class_Players!B:B="Assault"),QUOTIENT(ROW()-ROW($A$2),7)+1),"")</f>
        <v>Vang-262</v>
      </c>
      <c r="B441" s="42" t="str">
        <f>_xlfn.XLOOKUP(A441,Class_Players!$A:$A,Class_Players!$B:$B,"")</f>
        <v>Assault</v>
      </c>
      <c r="C441" s="48" t="str" cm="1">
        <f t="array" ref="C441">INDEX(Lookups!$A$2:$A$8,MOD(ROW()-ROW($B$2),ROWS(Lookups!$A$2:$A$8))+1)</f>
        <v>Stun Grenade</v>
      </c>
      <c r="D441" s="48" t="str">
        <f>_xlfn.XLOOKUP(C441,Analysis_Gadgets!$C:$C,Analysis_Gadgets!$B:$B)</f>
        <v>Grenade</v>
      </c>
      <c r="E441" s="43">
        <v>2</v>
      </c>
      <c r="F441" s="43">
        <f>_xlfn.XLOOKUP(A441,Class_Players!A:A,Class_Players!G:G)</f>
        <v>221</v>
      </c>
      <c r="G441" s="43">
        <f t="shared" si="139"/>
        <v>9.0497737556561094E-3</v>
      </c>
      <c r="H441" s="43">
        <f>_xlfn.XLOOKUP(A441,Class_Players!$A:$A,Class_Players!$F:$F,"")</f>
        <v>10945</v>
      </c>
      <c r="I441" s="44">
        <f t="shared" si="140"/>
        <v>1.8273184102329831E-4</v>
      </c>
      <c r="J441" s="43">
        <f t="shared" si="141"/>
        <v>0</v>
      </c>
      <c r="K441" s="44" cm="1">
        <f t="array" ref="K441">IF(D441="Gadget",_xlfn.IFS(I441&gt;=0.2,0.5,I441&gt;=0.1,0.35,I441&gt;=0.05,0.2,TRUE,0),IF(D441="Grenade",_xlfn.IFS(I441&gt;=0.2,1,I441&gt;=0.1,0.7,I441&gt;=0.05,0.4,TRUE,0),0))</f>
        <v>0</v>
      </c>
      <c r="L441" s="57">
        <f t="shared" ref="L441:L442" si="157">IF($K441=0,0,$K441 / SUMIFS($K:$K,$A:$A,$A441,$D:$D,"Grenade"))</f>
        <v>0</v>
      </c>
    </row>
    <row r="442" spans="1:12" x14ac:dyDescent="0.25">
      <c r="A442" s="42" t="str" cm="1">
        <f t="array" ref="A442">IFERROR(INDEX(_xlfn._xlws.FILTER(Class_Players!A:A,Class_Players!B:B="Assault"),QUOTIENT(ROW()-ROW($A$2),7)+1),"")</f>
        <v>Vang-262</v>
      </c>
      <c r="B442" s="42" t="str">
        <f>_xlfn.XLOOKUP(A442,Class_Players!$A:$A,Class_Players!$B:$B,"")</f>
        <v>Assault</v>
      </c>
      <c r="C442" s="48" t="str" cm="1">
        <f t="array" ref="C442">INDEX(Lookups!$A$2:$A$8,MOD(ROW()-ROW($B$2),ROWS(Lookups!$A$2:$A$8))+1)</f>
        <v>Flash Grenade</v>
      </c>
      <c r="D442" s="48" t="str">
        <f>_xlfn.XLOOKUP(C442,Analysis_Gadgets!$C:$C,Analysis_Gadgets!$B:$B)</f>
        <v>Grenade</v>
      </c>
      <c r="E442" s="43">
        <v>3</v>
      </c>
      <c r="F442" s="43">
        <f>_xlfn.XLOOKUP(A442,Class_Players!A:A,Class_Players!G:G)</f>
        <v>221</v>
      </c>
      <c r="G442" s="43">
        <f t="shared" si="139"/>
        <v>1.3574660633484163E-2</v>
      </c>
      <c r="H442" s="43">
        <f>_xlfn.XLOOKUP(A442,Class_Players!$A:$A,Class_Players!$F:$F,"")</f>
        <v>10945</v>
      </c>
      <c r="I442" s="44">
        <f t="shared" si="140"/>
        <v>2.7409776153494746E-4</v>
      </c>
      <c r="J442" s="43">
        <f t="shared" si="141"/>
        <v>0</v>
      </c>
      <c r="K442" s="44" cm="1">
        <f t="array" ref="K442">IF(D442="Gadget",_xlfn.IFS(I442&gt;=0.2,0.5,I442&gt;=0.1,0.35,I442&gt;=0.05,0.2,TRUE,0),IF(D442="Grenade",_xlfn.IFS(I442&gt;=0.2,1,I442&gt;=0.1,0.7,I442&gt;=0.05,0.4,TRUE,0),0))</f>
        <v>0</v>
      </c>
      <c r="L442" s="57">
        <f t="shared" si="157"/>
        <v>0</v>
      </c>
    </row>
    <row r="443" spans="1:12" x14ac:dyDescent="0.25">
      <c r="A443" s="42" t="str" cm="1">
        <f t="array" ref="A443">IFERROR(INDEX(_xlfn._xlws.FILTER(Class_Players!A:A,Class_Players!B:B="Assault"),QUOTIENT(ROW()-ROW($A$2),7)+1),"")</f>
        <v>milet</v>
      </c>
      <c r="B443" s="42" t="str">
        <f>_xlfn.XLOOKUP(A443,Class_Players!$A:$A,Class_Players!$B:$B,"")</f>
        <v>Assault</v>
      </c>
      <c r="C443" s="48" t="str" cm="1">
        <f t="array" ref="C443">INDEX(Lookups!$A$2:$A$8,MOD(ROW()-ROW($B$2),ROWS(Lookups!$A$2:$A$8))+1)</f>
        <v>Assault Ladder</v>
      </c>
      <c r="D443" s="48" t="str">
        <f>_xlfn.XLOOKUP(C443,Analysis_Gadgets!$C:$C,Analysis_Gadgets!$B:$B)</f>
        <v>Gadget</v>
      </c>
      <c r="E443" s="43">
        <v>51</v>
      </c>
      <c r="F443" s="43">
        <f>_xlfn.XLOOKUP(A443,Class_Players!A:A,Class_Players!G:G)</f>
        <v>150</v>
      </c>
      <c r="G443" s="43">
        <f t="shared" si="139"/>
        <v>0.34</v>
      </c>
      <c r="H443" s="43">
        <f>_xlfn.XLOOKUP(A443,Class_Players!$A:$A,Class_Players!$F:$F,"")</f>
        <v>9135</v>
      </c>
      <c r="I443" s="44">
        <f t="shared" si="140"/>
        <v>5.5829228243021349E-3</v>
      </c>
      <c r="J443" s="43">
        <f t="shared" si="141"/>
        <v>0</v>
      </c>
      <c r="K443" s="44" cm="1">
        <f t="array" ref="K443">IF(D443="Gadget",_xlfn.IFS(I443&gt;=0.2,0.5,I443&gt;=0.1,0.35,I443&gt;=0.05,0.2,TRUE,0),IF(D443="Grenade",_xlfn.IFS(I443&gt;=0.2,1,I443&gt;=0.1,0.7,I443&gt;=0.05,0.4,TRUE,0),0))</f>
        <v>0</v>
      </c>
      <c r="L443" s="57">
        <f t="shared" ref="L443:L447" si="158">IF($K443=0,0,$K443 / SUMIFS($K:$K,$A:$A,$A443,$D:$D,"Gadget"))</f>
        <v>0</v>
      </c>
    </row>
    <row r="444" spans="1:12" x14ac:dyDescent="0.25">
      <c r="A444" s="42" t="str" cm="1">
        <f t="array" ref="A444">IFERROR(INDEX(_xlfn._xlws.FILTER(Class_Players!A:A,Class_Players!B:B="Assault"),QUOTIENT(ROW()-ROW($A$2),7)+1),"")</f>
        <v>milet</v>
      </c>
      <c r="B444" s="42" t="str">
        <f>_xlfn.XLOOKUP(A444,Class_Players!$A:$A,Class_Players!$B:$B,"")</f>
        <v>Assault</v>
      </c>
      <c r="C444" s="48" t="str" cm="1">
        <f t="array" ref="C444">INDEX(Lookups!$A$2:$A$8,MOD(ROW()-ROW($B$2),ROWS(Lookups!$A$2:$A$8))+1)</f>
        <v>X95 BRE (Breaching Projectile Launcher)</v>
      </c>
      <c r="D444" s="48" t="str">
        <f>_xlfn.XLOOKUP(C444,Analysis_Gadgets!$C:$C,Analysis_Gadgets!$B:$B)</f>
        <v>Gadget</v>
      </c>
      <c r="E444" s="43">
        <v>5</v>
      </c>
      <c r="F444" s="43">
        <f>_xlfn.XLOOKUP(A444,Class_Players!A:A,Class_Players!G:G)</f>
        <v>150</v>
      </c>
      <c r="G444" s="43">
        <f t="shared" si="139"/>
        <v>3.3333333333333333E-2</v>
      </c>
      <c r="H444" s="43">
        <f>_xlfn.XLOOKUP(A444,Class_Players!$A:$A,Class_Players!$F:$F,"")</f>
        <v>9135</v>
      </c>
      <c r="I444" s="44">
        <f t="shared" si="140"/>
        <v>5.4734537493158185E-4</v>
      </c>
      <c r="J444" s="43">
        <f t="shared" si="141"/>
        <v>0</v>
      </c>
      <c r="K444" s="44" cm="1">
        <f t="array" ref="K444">IF(D444="Gadget",_xlfn.IFS(I444&gt;=0.2,0.5,I444&gt;=0.1,0.35,I444&gt;=0.05,0.2,TRUE,0),IF(D444="Grenade",_xlfn.IFS(I444&gt;=0.2,1,I444&gt;=0.1,0.7,I444&gt;=0.05,0.4,TRUE,0),0))</f>
        <v>0</v>
      </c>
      <c r="L444" s="57">
        <f t="shared" si="158"/>
        <v>0</v>
      </c>
    </row>
    <row r="445" spans="1:12" x14ac:dyDescent="0.25">
      <c r="A445" s="42" t="str" cm="1">
        <f t="array" ref="A445">IFERROR(INDEX(_xlfn._xlws.FILTER(Class_Players!A:A,Class_Players!B:B="Assault"),QUOTIENT(ROW()-ROW($A$2),7)+1),"")</f>
        <v>milet</v>
      </c>
      <c r="B445" s="42" t="str">
        <f>_xlfn.XLOOKUP(A445,Class_Players!$A:$A,Class_Players!$B:$B,"")</f>
        <v>Assault</v>
      </c>
      <c r="C445" s="48" t="str" cm="1">
        <f t="array" ref="C445">INDEX(Lookups!$A$2:$A$8,MOD(ROW()-ROW($B$2),ROWS(Lookups!$A$2:$A$8))+1)</f>
        <v>M320A1 HE (Grenade Launcher)</v>
      </c>
      <c r="D445" s="48" t="str">
        <f>_xlfn.XLOOKUP(C445,Analysis_Gadgets!$C:$C,Analysis_Gadgets!$B:$B)</f>
        <v>Gadget</v>
      </c>
      <c r="E445" s="43">
        <v>5756</v>
      </c>
      <c r="F445" s="43">
        <f>_xlfn.XLOOKUP(A445,Class_Players!A:A,Class_Players!G:G)</f>
        <v>150</v>
      </c>
      <c r="G445" s="43">
        <f t="shared" si="139"/>
        <v>38.373333333333335</v>
      </c>
      <c r="H445" s="43">
        <f>_xlfn.XLOOKUP(A445,Class_Players!$A:$A,Class_Players!$F:$F,"")</f>
        <v>9135</v>
      </c>
      <c r="I445" s="44">
        <f t="shared" si="140"/>
        <v>0.63010399562123698</v>
      </c>
      <c r="J445" s="43">
        <f t="shared" si="141"/>
        <v>1</v>
      </c>
      <c r="K445" s="44" cm="1">
        <f t="array" ref="K445">IF(D445="Gadget",_xlfn.IFS(I445&gt;=0.2,0.5,I445&gt;=0.1,0.35,I445&gt;=0.05,0.2,TRUE,0),IF(D445="Grenade",_xlfn.IFS(I445&gt;=0.2,1,I445&gt;=0.1,0.7,I445&gt;=0.05,0.4,TRUE,0),0))</f>
        <v>0.5</v>
      </c>
      <c r="L445" s="57">
        <f t="shared" si="158"/>
        <v>0.58823529411764708</v>
      </c>
    </row>
    <row r="446" spans="1:12" x14ac:dyDescent="0.25">
      <c r="A446" s="42" t="str" cm="1">
        <f t="array" ref="A446">IFERROR(INDEX(_xlfn._xlws.FILTER(Class_Players!A:A,Class_Players!B:B="Assault"),QUOTIENT(ROW()-ROW($A$2),7)+1),"")</f>
        <v>milet</v>
      </c>
      <c r="B446" s="42" t="str">
        <f>_xlfn.XLOOKUP(A446,Class_Players!$A:$A,Class_Players!$B:$B,"")</f>
        <v>Assault</v>
      </c>
      <c r="C446" s="48" t="str" cm="1">
        <f t="array" ref="C446">INDEX(Lookups!$A$2:$A$8,MOD(ROW()-ROW($B$2),ROWS(Lookups!$A$2:$A$8))+1)</f>
        <v>M320A1 THRM    (Incendiary Grenade Launcher)</v>
      </c>
      <c r="D446" s="48" t="str">
        <f>_xlfn.XLOOKUP(C446,Analysis_Gadgets!$C:$C,Analysis_Gadgets!$B:$B)</f>
        <v>Gadget</v>
      </c>
      <c r="E446" s="43">
        <v>43</v>
      </c>
      <c r="F446" s="43">
        <f>_xlfn.XLOOKUP(A446,Class_Players!A:A,Class_Players!G:G)</f>
        <v>150</v>
      </c>
      <c r="G446" s="43">
        <f t="shared" si="139"/>
        <v>0.28666666666666668</v>
      </c>
      <c r="H446" s="43">
        <f>_xlfn.XLOOKUP(A446,Class_Players!$A:$A,Class_Players!$F:$F,"")</f>
        <v>9135</v>
      </c>
      <c r="I446" s="44">
        <f t="shared" si="140"/>
        <v>4.707170224411604E-3</v>
      </c>
      <c r="J446" s="43">
        <f t="shared" si="141"/>
        <v>0</v>
      </c>
      <c r="K446" s="44" cm="1">
        <f t="array" ref="K446">IF(D446="Gadget",_xlfn.IFS(I446&gt;=0.2,0.5,I446&gt;=0.1,0.35,I446&gt;=0.05,0.2,TRUE,0),IF(D446="Grenade",_xlfn.IFS(I446&gt;=0.2,1,I446&gt;=0.1,0.7,I446&gt;=0.05,0.4,TRUE,0),0))</f>
        <v>0</v>
      </c>
      <c r="L446" s="57">
        <f t="shared" si="158"/>
        <v>0</v>
      </c>
    </row>
    <row r="447" spans="1:12" x14ac:dyDescent="0.25">
      <c r="A447" s="42" t="str" cm="1">
        <f t="array" ref="A447">IFERROR(INDEX(_xlfn._xlws.FILTER(Class_Players!A:A,Class_Players!B:B="Assault"),QUOTIENT(ROW()-ROW($A$2),7)+1),"")</f>
        <v>milet</v>
      </c>
      <c r="B447" s="42" t="str">
        <f>_xlfn.XLOOKUP(A447,Class_Players!$A:$A,Class_Players!$B:$B,"")</f>
        <v>Assault</v>
      </c>
      <c r="C447" s="48" t="str" cm="1">
        <f t="array" ref="C447">INDEX(Lookups!$A$2:$A$8,MOD(ROW()-ROW($B$2),ROWS(Lookups!$A$2:$A$8))+1)</f>
        <v>QLINK (Deploy Beacon)</v>
      </c>
      <c r="D447" s="48" t="str">
        <f>_xlfn.XLOOKUP(C447,Analysis_Gadgets!$C:$C,Analysis_Gadgets!$B:$B)</f>
        <v>Gadget</v>
      </c>
      <c r="E447" s="43">
        <v>1768</v>
      </c>
      <c r="F447" s="43">
        <f>_xlfn.XLOOKUP(A447,Class_Players!A:A,Class_Players!G:G)</f>
        <v>150</v>
      </c>
      <c r="G447" s="43">
        <f t="shared" si="139"/>
        <v>11.786666666666667</v>
      </c>
      <c r="H447" s="43">
        <f>_xlfn.XLOOKUP(A447,Class_Players!$A:$A,Class_Players!$F:$F,"")</f>
        <v>9135</v>
      </c>
      <c r="I447" s="44">
        <f t="shared" si="140"/>
        <v>0.19354132457580733</v>
      </c>
      <c r="J447" s="43">
        <f t="shared" si="141"/>
        <v>1</v>
      </c>
      <c r="K447" s="44" cm="1">
        <f t="array" ref="K447">IF(D447="Gadget",_xlfn.IFS(I447&gt;=0.2,0.5,I447&gt;=0.1,0.35,I447&gt;=0.05,0.2,TRUE,0),IF(D447="Grenade",_xlfn.IFS(I447&gt;=0.2,1,I447&gt;=0.1,0.7,I447&gt;=0.05,0.4,TRUE,0),0))</f>
        <v>0.35</v>
      </c>
      <c r="L447" s="57">
        <f t="shared" si="158"/>
        <v>0.41176470588235292</v>
      </c>
    </row>
    <row r="448" spans="1:12" x14ac:dyDescent="0.25">
      <c r="A448" s="42" t="str" cm="1">
        <f t="array" ref="A448">IFERROR(INDEX(_xlfn._xlws.FILTER(Class_Players!A:A,Class_Players!B:B="Assault"),QUOTIENT(ROW()-ROW($A$2),7)+1),"")</f>
        <v>milet</v>
      </c>
      <c r="B448" s="42" t="str">
        <f>_xlfn.XLOOKUP(A448,Class_Players!$A:$A,Class_Players!$B:$B,"")</f>
        <v>Assault</v>
      </c>
      <c r="C448" s="48" t="str" cm="1">
        <f t="array" ref="C448">INDEX(Lookups!$A$2:$A$8,MOD(ROW()-ROW($B$2),ROWS(Lookups!$A$2:$A$8))+1)</f>
        <v>Stun Grenade</v>
      </c>
      <c r="D448" s="48" t="str">
        <f>_xlfn.XLOOKUP(C448,Analysis_Gadgets!$C:$C,Analysis_Gadgets!$B:$B)</f>
        <v>Grenade</v>
      </c>
      <c r="E448" s="43">
        <v>32</v>
      </c>
      <c r="F448" s="43">
        <f>_xlfn.XLOOKUP(A448,Class_Players!A:A,Class_Players!G:G)</f>
        <v>150</v>
      </c>
      <c r="G448" s="43">
        <f t="shared" si="139"/>
        <v>0.21333333333333335</v>
      </c>
      <c r="H448" s="43">
        <f>_xlfn.XLOOKUP(A448,Class_Players!$A:$A,Class_Players!$F:$F,"")</f>
        <v>9135</v>
      </c>
      <c r="I448" s="44">
        <f t="shared" si="140"/>
        <v>3.5030103995621238E-3</v>
      </c>
      <c r="J448" s="43">
        <f t="shared" si="141"/>
        <v>0</v>
      </c>
      <c r="K448" s="44" cm="1">
        <f t="array" ref="K448">IF(D448="Gadget",_xlfn.IFS(I448&gt;=0.2,0.5,I448&gt;=0.1,0.35,I448&gt;=0.05,0.2,TRUE,0),IF(D448="Grenade",_xlfn.IFS(I448&gt;=0.2,1,I448&gt;=0.1,0.7,I448&gt;=0.05,0.4,TRUE,0),0))</f>
        <v>0</v>
      </c>
      <c r="L448" s="57">
        <f t="shared" ref="L448:L449" si="159">IF($K448=0,0,$K448 / SUMIFS($K:$K,$A:$A,$A448,$D:$D,"Grenade"))</f>
        <v>0</v>
      </c>
    </row>
    <row r="449" spans="1:12" x14ac:dyDescent="0.25">
      <c r="A449" s="42" t="str" cm="1">
        <f t="array" ref="A449">IFERROR(INDEX(_xlfn._xlws.FILTER(Class_Players!A:A,Class_Players!B:B="Assault"),QUOTIENT(ROW()-ROW($A$2),7)+1),"")</f>
        <v>milet</v>
      </c>
      <c r="B449" s="42" t="str">
        <f>_xlfn.XLOOKUP(A449,Class_Players!$A:$A,Class_Players!$B:$B,"")</f>
        <v>Assault</v>
      </c>
      <c r="C449" s="48" t="str" cm="1">
        <f t="array" ref="C449">INDEX(Lookups!$A$2:$A$8,MOD(ROW()-ROW($B$2),ROWS(Lookups!$A$2:$A$8))+1)</f>
        <v>Flash Grenade</v>
      </c>
      <c r="D449" s="48" t="str">
        <f>_xlfn.XLOOKUP(C449,Analysis_Gadgets!$C:$C,Analysis_Gadgets!$B:$B)</f>
        <v>Grenade</v>
      </c>
      <c r="E449" s="43">
        <v>0</v>
      </c>
      <c r="F449" s="43">
        <f>_xlfn.XLOOKUP(A449,Class_Players!A:A,Class_Players!G:G)</f>
        <v>150</v>
      </c>
      <c r="G449" s="43">
        <f t="shared" si="139"/>
        <v>0</v>
      </c>
      <c r="H449" s="43">
        <f>_xlfn.XLOOKUP(A449,Class_Players!$A:$A,Class_Players!$F:$F,"")</f>
        <v>9135</v>
      </c>
      <c r="I449" s="44">
        <f t="shared" si="140"/>
        <v>0</v>
      </c>
      <c r="J449" s="43">
        <f t="shared" si="141"/>
        <v>0</v>
      </c>
      <c r="K449" s="44" cm="1">
        <f t="array" ref="K449">IF(D449="Gadget",_xlfn.IFS(I449&gt;=0.2,0.5,I449&gt;=0.1,0.35,I449&gt;=0.05,0.2,TRUE,0),IF(D449="Grenade",_xlfn.IFS(I449&gt;=0.2,1,I449&gt;=0.1,0.7,I449&gt;=0.05,0.4,TRUE,0),0))</f>
        <v>0</v>
      </c>
      <c r="L449" s="57">
        <f t="shared" si="159"/>
        <v>0</v>
      </c>
    </row>
    <row r="450" spans="1:12" x14ac:dyDescent="0.25">
      <c r="A450" s="42" t="str" cm="1">
        <f t="array" ref="A450">IFERROR(INDEX(_xlfn._xlws.FILTER(Class_Players!A:A,Class_Players!B:B="Assault"),QUOTIENT(ROW()-ROW($A$2),7)+1),"")</f>
        <v>adriacus11</v>
      </c>
      <c r="B450" s="42" t="str">
        <f>_xlfn.XLOOKUP(A450,Class_Players!$A:$A,Class_Players!$B:$B,"")</f>
        <v>Assault</v>
      </c>
      <c r="C450" s="48" t="str" cm="1">
        <f t="array" ref="C450">INDEX(Lookups!$A$2:$A$8,MOD(ROW()-ROW($B$2),ROWS(Lookups!$A$2:$A$8))+1)</f>
        <v>Assault Ladder</v>
      </c>
      <c r="D450" s="48" t="str">
        <f>_xlfn.XLOOKUP(C450,Analysis_Gadgets!$C:$C,Analysis_Gadgets!$B:$B)</f>
        <v>Gadget</v>
      </c>
      <c r="E450" s="43">
        <v>55</v>
      </c>
      <c r="F450" s="43">
        <f>_xlfn.XLOOKUP(A450,Class_Players!A:A,Class_Players!G:G)</f>
        <v>112</v>
      </c>
      <c r="G450" s="43">
        <f t="shared" si="139"/>
        <v>0.49107142857142855</v>
      </c>
      <c r="H450" s="43">
        <f>_xlfn.XLOOKUP(A450,Class_Players!$A:$A,Class_Players!$F:$F,"")</f>
        <v>8875</v>
      </c>
      <c r="I450" s="44">
        <f t="shared" si="140"/>
        <v>6.1971830985915492E-3</v>
      </c>
      <c r="J450" s="43">
        <f t="shared" si="141"/>
        <v>0</v>
      </c>
      <c r="K450" s="44" cm="1">
        <f t="array" ref="K450">IF(D450="Gadget",_xlfn.IFS(I450&gt;=0.2,0.5,I450&gt;=0.1,0.35,I450&gt;=0.05,0.2,TRUE,0),IF(D450="Grenade",_xlfn.IFS(I450&gt;=0.2,1,I450&gt;=0.1,0.7,I450&gt;=0.05,0.4,TRUE,0),0))</f>
        <v>0</v>
      </c>
      <c r="L450" s="57">
        <f t="shared" ref="L450:L454" si="160">IF($K450=0,0,$K450 / SUMIFS($K:$K,$A:$A,$A450,$D:$D,"Gadget"))</f>
        <v>0</v>
      </c>
    </row>
    <row r="451" spans="1:12" x14ac:dyDescent="0.25">
      <c r="A451" s="42" t="str" cm="1">
        <f t="array" ref="A451">IFERROR(INDEX(_xlfn._xlws.FILTER(Class_Players!A:A,Class_Players!B:B="Assault"),QUOTIENT(ROW()-ROW($A$2),7)+1),"")</f>
        <v>adriacus11</v>
      </c>
      <c r="B451" s="42" t="str">
        <f>_xlfn.XLOOKUP(A451,Class_Players!$A:$A,Class_Players!$B:$B,"")</f>
        <v>Assault</v>
      </c>
      <c r="C451" s="48" t="str" cm="1">
        <f t="array" ref="C451">INDEX(Lookups!$A$2:$A$8,MOD(ROW()-ROW($B$2),ROWS(Lookups!$A$2:$A$8))+1)</f>
        <v>X95 BRE (Breaching Projectile Launcher)</v>
      </c>
      <c r="D451" s="48" t="str">
        <f>_xlfn.XLOOKUP(C451,Analysis_Gadgets!$C:$C,Analysis_Gadgets!$B:$B)</f>
        <v>Gadget</v>
      </c>
      <c r="E451" s="43">
        <v>23</v>
      </c>
      <c r="F451" s="43">
        <f>_xlfn.XLOOKUP(A451,Class_Players!A:A,Class_Players!G:G)</f>
        <v>112</v>
      </c>
      <c r="G451" s="43">
        <f t="shared" ref="G451:G491" si="161">IF(F451=0,"",E451/F451)</f>
        <v>0.20535714285714285</v>
      </c>
      <c r="H451" s="43">
        <f>_xlfn.XLOOKUP(A451,Class_Players!$A:$A,Class_Players!$F:$F,"")</f>
        <v>8875</v>
      </c>
      <c r="I451" s="44">
        <f t="shared" ref="I451:I491" si="162">IF(H451=0,"",E451/H451)</f>
        <v>2.5915492957746477E-3</v>
      </c>
      <c r="J451" s="43">
        <f t="shared" ref="J451:J514" si="163">IF(I451&gt;=0.1,1,0)</f>
        <v>0</v>
      </c>
      <c r="K451" s="44" cm="1">
        <f t="array" ref="K451">IF(D451="Gadget",_xlfn.IFS(I451&gt;=0.2,0.5,I451&gt;=0.1,0.35,I451&gt;=0.05,0.2,TRUE,0),IF(D451="Grenade",_xlfn.IFS(I451&gt;=0.2,1,I451&gt;=0.1,0.7,I451&gt;=0.05,0.4,TRUE,0),0))</f>
        <v>0</v>
      </c>
      <c r="L451" s="57">
        <f t="shared" si="160"/>
        <v>0</v>
      </c>
    </row>
    <row r="452" spans="1:12" x14ac:dyDescent="0.25">
      <c r="A452" s="42" t="str" cm="1">
        <f t="array" ref="A452">IFERROR(INDEX(_xlfn._xlws.FILTER(Class_Players!A:A,Class_Players!B:B="Assault"),QUOTIENT(ROW()-ROW($A$2),7)+1),"")</f>
        <v>adriacus11</v>
      </c>
      <c r="B452" s="42" t="str">
        <f>_xlfn.XLOOKUP(A452,Class_Players!$A:$A,Class_Players!$B:$B,"")</f>
        <v>Assault</v>
      </c>
      <c r="C452" s="48" t="str" cm="1">
        <f t="array" ref="C452">INDEX(Lookups!$A$2:$A$8,MOD(ROW()-ROW($B$2),ROWS(Lookups!$A$2:$A$8))+1)</f>
        <v>M320A1 HE (Grenade Launcher)</v>
      </c>
      <c r="D452" s="48" t="str">
        <f>_xlfn.XLOOKUP(C452,Analysis_Gadgets!$C:$C,Analysis_Gadgets!$B:$B)</f>
        <v>Gadget</v>
      </c>
      <c r="E452" s="43">
        <v>1838</v>
      </c>
      <c r="F452" s="43">
        <f>_xlfn.XLOOKUP(A452,Class_Players!A:A,Class_Players!G:G)</f>
        <v>112</v>
      </c>
      <c r="G452" s="43">
        <f t="shared" si="161"/>
        <v>16.410714285714285</v>
      </c>
      <c r="H452" s="43">
        <f>_xlfn.XLOOKUP(A452,Class_Players!$A:$A,Class_Players!$F:$F,"")</f>
        <v>8875</v>
      </c>
      <c r="I452" s="44">
        <f t="shared" si="162"/>
        <v>0.20709859154929577</v>
      </c>
      <c r="J452" s="43">
        <f t="shared" si="163"/>
        <v>1</v>
      </c>
      <c r="K452" s="44" cm="1">
        <f t="array" ref="K452">IF(D452="Gadget",_xlfn.IFS(I452&gt;=0.2,0.5,I452&gt;=0.1,0.35,I452&gt;=0.05,0.2,TRUE,0),IF(D452="Grenade",_xlfn.IFS(I452&gt;=0.2,1,I452&gt;=0.1,0.7,I452&gt;=0.05,0.4,TRUE,0),0))</f>
        <v>0.5</v>
      </c>
      <c r="L452" s="57">
        <f t="shared" si="160"/>
        <v>0.7142857142857143</v>
      </c>
    </row>
    <row r="453" spans="1:12" x14ac:dyDescent="0.25">
      <c r="A453" s="42" t="str" cm="1">
        <f t="array" ref="A453">IFERROR(INDEX(_xlfn._xlws.FILTER(Class_Players!A:A,Class_Players!B:B="Assault"),QUOTIENT(ROW()-ROW($A$2),7)+1),"")</f>
        <v>adriacus11</v>
      </c>
      <c r="B453" s="42" t="str">
        <f>_xlfn.XLOOKUP(A453,Class_Players!$A:$A,Class_Players!$B:$B,"")</f>
        <v>Assault</v>
      </c>
      <c r="C453" s="48" t="str" cm="1">
        <f t="array" ref="C453">INDEX(Lookups!$A$2:$A$8,MOD(ROW()-ROW($B$2),ROWS(Lookups!$A$2:$A$8))+1)</f>
        <v>M320A1 THRM    (Incendiary Grenade Launcher)</v>
      </c>
      <c r="D453" s="48" t="str">
        <f>_xlfn.XLOOKUP(C453,Analysis_Gadgets!$C:$C,Analysis_Gadgets!$B:$B)</f>
        <v>Gadget</v>
      </c>
      <c r="E453" s="43">
        <v>73</v>
      </c>
      <c r="F453" s="43">
        <f>_xlfn.XLOOKUP(A453,Class_Players!A:A,Class_Players!G:G)</f>
        <v>112</v>
      </c>
      <c r="G453" s="43">
        <f t="shared" si="161"/>
        <v>0.6517857142857143</v>
      </c>
      <c r="H453" s="43">
        <f>_xlfn.XLOOKUP(A453,Class_Players!$A:$A,Class_Players!$F:$F,"")</f>
        <v>8875</v>
      </c>
      <c r="I453" s="44">
        <f t="shared" si="162"/>
        <v>8.225352112676056E-3</v>
      </c>
      <c r="J453" s="43">
        <f t="shared" si="163"/>
        <v>0</v>
      </c>
      <c r="K453" s="44" cm="1">
        <f t="array" ref="K453">IF(D453="Gadget",_xlfn.IFS(I453&gt;=0.2,0.5,I453&gt;=0.1,0.35,I453&gt;=0.05,0.2,TRUE,0),IF(D453="Grenade",_xlfn.IFS(I453&gt;=0.2,1,I453&gt;=0.1,0.7,I453&gt;=0.05,0.4,TRUE,0),0))</f>
        <v>0</v>
      </c>
      <c r="L453" s="57">
        <f t="shared" si="160"/>
        <v>0</v>
      </c>
    </row>
    <row r="454" spans="1:12" x14ac:dyDescent="0.25">
      <c r="A454" s="42" t="str" cm="1">
        <f t="array" ref="A454">IFERROR(INDEX(_xlfn._xlws.FILTER(Class_Players!A:A,Class_Players!B:B="Assault"),QUOTIENT(ROW()-ROW($A$2),7)+1),"")</f>
        <v>adriacus11</v>
      </c>
      <c r="B454" s="42" t="str">
        <f>_xlfn.XLOOKUP(A454,Class_Players!$A:$A,Class_Players!$B:$B,"")</f>
        <v>Assault</v>
      </c>
      <c r="C454" s="48" t="str" cm="1">
        <f t="array" ref="C454">INDEX(Lookups!$A$2:$A$8,MOD(ROW()-ROW($B$2),ROWS(Lookups!$A$2:$A$8))+1)</f>
        <v>QLINK (Deploy Beacon)</v>
      </c>
      <c r="D454" s="48" t="str">
        <f>_xlfn.XLOOKUP(C454,Analysis_Gadgets!$C:$C,Analysis_Gadgets!$B:$B)</f>
        <v>Gadget</v>
      </c>
      <c r="E454" s="43">
        <v>550</v>
      </c>
      <c r="F454" s="43">
        <f>_xlfn.XLOOKUP(A454,Class_Players!A:A,Class_Players!G:G)</f>
        <v>112</v>
      </c>
      <c r="G454" s="43">
        <f t="shared" si="161"/>
        <v>4.9107142857142856</v>
      </c>
      <c r="H454" s="43">
        <f>_xlfn.XLOOKUP(A454,Class_Players!$A:$A,Class_Players!$F:$F,"")</f>
        <v>8875</v>
      </c>
      <c r="I454" s="44">
        <f t="shared" si="162"/>
        <v>6.1971830985915494E-2</v>
      </c>
      <c r="J454" s="43">
        <f t="shared" si="163"/>
        <v>0</v>
      </c>
      <c r="K454" s="44" cm="1">
        <f t="array" ref="K454">IF(D454="Gadget",_xlfn.IFS(I454&gt;=0.2,0.5,I454&gt;=0.1,0.35,I454&gt;=0.05,0.2,TRUE,0),IF(D454="Grenade",_xlfn.IFS(I454&gt;=0.2,1,I454&gt;=0.1,0.7,I454&gt;=0.05,0.4,TRUE,0),0))</f>
        <v>0.2</v>
      </c>
      <c r="L454" s="57">
        <f t="shared" si="160"/>
        <v>0.28571428571428575</v>
      </c>
    </row>
    <row r="455" spans="1:12" x14ac:dyDescent="0.25">
      <c r="A455" s="42" t="str" cm="1">
        <f t="array" ref="A455">IFERROR(INDEX(_xlfn._xlws.FILTER(Class_Players!A:A,Class_Players!B:B="Assault"),QUOTIENT(ROW()-ROW($A$2),7)+1),"")</f>
        <v>adriacus11</v>
      </c>
      <c r="B455" s="42" t="str">
        <f>_xlfn.XLOOKUP(A455,Class_Players!$A:$A,Class_Players!$B:$B,"")</f>
        <v>Assault</v>
      </c>
      <c r="C455" s="48" t="str" cm="1">
        <f t="array" ref="C455">INDEX(Lookups!$A$2:$A$8,MOD(ROW()-ROW($B$2),ROWS(Lookups!$A$2:$A$8))+1)</f>
        <v>Stun Grenade</v>
      </c>
      <c r="D455" s="48" t="str">
        <f>_xlfn.XLOOKUP(C455,Analysis_Gadgets!$C:$C,Analysis_Gadgets!$B:$B)</f>
        <v>Grenade</v>
      </c>
      <c r="E455" s="43">
        <v>10</v>
      </c>
      <c r="F455" s="43">
        <f>_xlfn.XLOOKUP(A455,Class_Players!A:A,Class_Players!G:G)</f>
        <v>112</v>
      </c>
      <c r="G455" s="43">
        <f t="shared" si="161"/>
        <v>8.9285714285714288E-2</v>
      </c>
      <c r="H455" s="43">
        <f>_xlfn.XLOOKUP(A455,Class_Players!$A:$A,Class_Players!$F:$F,"")</f>
        <v>8875</v>
      </c>
      <c r="I455" s="44">
        <f t="shared" si="162"/>
        <v>1.1267605633802818E-3</v>
      </c>
      <c r="J455" s="43">
        <f t="shared" si="163"/>
        <v>0</v>
      </c>
      <c r="K455" s="44" cm="1">
        <f t="array" ref="K455">IF(D455="Gadget",_xlfn.IFS(I455&gt;=0.2,0.5,I455&gt;=0.1,0.35,I455&gt;=0.05,0.2,TRUE,0),IF(D455="Grenade",_xlfn.IFS(I455&gt;=0.2,1,I455&gt;=0.1,0.7,I455&gt;=0.05,0.4,TRUE,0),0))</f>
        <v>0</v>
      </c>
      <c r="L455" s="57">
        <f t="shared" ref="L455:L456" si="164">IF($K455=0,0,$K455 / SUMIFS($K:$K,$A:$A,$A455,$D:$D,"Grenade"))</f>
        <v>0</v>
      </c>
    </row>
    <row r="456" spans="1:12" x14ac:dyDescent="0.25">
      <c r="A456" s="42" t="str" cm="1">
        <f t="array" ref="A456">IFERROR(INDEX(_xlfn._xlws.FILTER(Class_Players!A:A,Class_Players!B:B="Assault"),QUOTIENT(ROW()-ROW($A$2),7)+1),"")</f>
        <v>adriacus11</v>
      </c>
      <c r="B456" s="42" t="str">
        <f>_xlfn.XLOOKUP(A456,Class_Players!$A:$A,Class_Players!$B:$B,"")</f>
        <v>Assault</v>
      </c>
      <c r="C456" s="48" t="str" cm="1">
        <f t="array" ref="C456">INDEX(Lookups!$A$2:$A$8,MOD(ROW()-ROW($B$2),ROWS(Lookups!$A$2:$A$8))+1)</f>
        <v>Flash Grenade</v>
      </c>
      <c r="D456" s="48" t="str">
        <f>_xlfn.XLOOKUP(C456,Analysis_Gadgets!$C:$C,Analysis_Gadgets!$B:$B)</f>
        <v>Grenade</v>
      </c>
      <c r="E456" s="43">
        <v>14</v>
      </c>
      <c r="F456" s="43">
        <f>_xlfn.XLOOKUP(A456,Class_Players!A:A,Class_Players!G:G)</f>
        <v>112</v>
      </c>
      <c r="G456" s="43">
        <f t="shared" si="161"/>
        <v>0.125</v>
      </c>
      <c r="H456" s="43">
        <f>_xlfn.XLOOKUP(A456,Class_Players!$A:$A,Class_Players!$F:$F,"")</f>
        <v>8875</v>
      </c>
      <c r="I456" s="44">
        <f t="shared" si="162"/>
        <v>1.5774647887323943E-3</v>
      </c>
      <c r="J456" s="43">
        <f t="shared" si="163"/>
        <v>0</v>
      </c>
      <c r="K456" s="44" cm="1">
        <f t="array" ref="K456">IF(D456="Gadget",_xlfn.IFS(I456&gt;=0.2,0.5,I456&gt;=0.1,0.35,I456&gt;=0.05,0.2,TRUE,0),IF(D456="Grenade",_xlfn.IFS(I456&gt;=0.2,1,I456&gt;=0.1,0.7,I456&gt;=0.05,0.4,TRUE,0),0))</f>
        <v>0</v>
      </c>
      <c r="L456" s="57">
        <f t="shared" si="164"/>
        <v>0</v>
      </c>
    </row>
    <row r="457" spans="1:12" x14ac:dyDescent="0.25">
      <c r="A457" s="42" t="str" cm="1">
        <f t="array" ref="A457">IFERROR(INDEX(_xlfn._xlws.FILTER(Class_Players!A:A,Class_Players!B:B="Assault"),QUOTIENT(ROW()-ROW($A$2),7)+1),"")</f>
        <v>Flipovsy</v>
      </c>
      <c r="B457" s="42" t="str">
        <f>_xlfn.XLOOKUP(A457,Class_Players!$A:$A,Class_Players!$B:$B,"")</f>
        <v>Assault</v>
      </c>
      <c r="C457" s="48" t="str" cm="1">
        <f t="array" ref="C457">INDEX(Lookups!$A$2:$A$8,MOD(ROW()-ROW($B$2),ROWS(Lookups!$A$2:$A$8))+1)</f>
        <v>Assault Ladder</v>
      </c>
      <c r="D457" s="48" t="str">
        <f>_xlfn.XLOOKUP(C457,Analysis_Gadgets!$C:$C,Analysis_Gadgets!$B:$B)</f>
        <v>Gadget</v>
      </c>
      <c r="E457" s="43">
        <v>3</v>
      </c>
      <c r="F457" s="43">
        <f>_xlfn.XLOOKUP(A457,Class_Players!A:A,Class_Players!G:G)</f>
        <v>185</v>
      </c>
      <c r="G457" s="43">
        <f t="shared" si="161"/>
        <v>1.6216216216216217E-2</v>
      </c>
      <c r="H457" s="43">
        <f>_xlfn.XLOOKUP(A457,Class_Players!$A:$A,Class_Players!$F:$F,"")</f>
        <v>13429</v>
      </c>
      <c r="I457" s="44">
        <f t="shared" si="162"/>
        <v>2.2339712562365031E-4</v>
      </c>
      <c r="J457" s="43">
        <f t="shared" si="163"/>
        <v>0</v>
      </c>
      <c r="K457" s="44" cm="1">
        <f t="array" ref="K457">IF(D457="Gadget",_xlfn.IFS(I457&gt;=0.2,0.5,I457&gt;=0.1,0.35,I457&gt;=0.05,0.2,TRUE,0),IF(D457="Grenade",_xlfn.IFS(I457&gt;=0.2,1,I457&gt;=0.1,0.7,I457&gt;=0.05,0.4,TRUE,0),0))</f>
        <v>0</v>
      </c>
      <c r="L457" s="57">
        <f t="shared" ref="L457:L461" si="165">IF($K457=0,0,$K457 / SUMIFS($K:$K,$A:$A,$A457,$D:$D,"Gadget"))</f>
        <v>0</v>
      </c>
    </row>
    <row r="458" spans="1:12" x14ac:dyDescent="0.25">
      <c r="A458" s="42" t="str" cm="1">
        <f t="array" ref="A458">IFERROR(INDEX(_xlfn._xlws.FILTER(Class_Players!A:A,Class_Players!B:B="Assault"),QUOTIENT(ROW()-ROW($A$2),7)+1),"")</f>
        <v>Flipovsy</v>
      </c>
      <c r="B458" s="42" t="str">
        <f>_xlfn.XLOOKUP(A458,Class_Players!$A:$A,Class_Players!$B:$B,"")</f>
        <v>Assault</v>
      </c>
      <c r="C458" s="48" t="str" cm="1">
        <f t="array" ref="C458">INDEX(Lookups!$A$2:$A$8,MOD(ROW()-ROW($B$2),ROWS(Lookups!$A$2:$A$8))+1)</f>
        <v>X95 BRE (Breaching Projectile Launcher)</v>
      </c>
      <c r="D458" s="48" t="str">
        <f>_xlfn.XLOOKUP(C458,Analysis_Gadgets!$C:$C,Analysis_Gadgets!$B:$B)</f>
        <v>Gadget</v>
      </c>
      <c r="E458" s="43">
        <v>0</v>
      </c>
      <c r="F458" s="43">
        <f>_xlfn.XLOOKUP(A458,Class_Players!A:A,Class_Players!G:G)</f>
        <v>185</v>
      </c>
      <c r="G458" s="43">
        <f t="shared" si="161"/>
        <v>0</v>
      </c>
      <c r="H458" s="43">
        <f>_xlfn.XLOOKUP(A458,Class_Players!$A:$A,Class_Players!$F:$F,"")</f>
        <v>13429</v>
      </c>
      <c r="I458" s="44">
        <f t="shared" si="162"/>
        <v>0</v>
      </c>
      <c r="J458" s="43">
        <f t="shared" si="163"/>
        <v>0</v>
      </c>
      <c r="K458" s="44" cm="1">
        <f t="array" ref="K458">IF(D458="Gadget",_xlfn.IFS(I458&gt;=0.2,0.5,I458&gt;=0.1,0.35,I458&gt;=0.05,0.2,TRUE,0),IF(D458="Grenade",_xlfn.IFS(I458&gt;=0.2,1,I458&gt;=0.1,0.7,I458&gt;=0.05,0.4,TRUE,0),0))</f>
        <v>0</v>
      </c>
      <c r="L458" s="57">
        <f t="shared" si="165"/>
        <v>0</v>
      </c>
    </row>
    <row r="459" spans="1:12" x14ac:dyDescent="0.25">
      <c r="A459" s="42" t="str" cm="1">
        <f t="array" ref="A459">IFERROR(INDEX(_xlfn._xlws.FILTER(Class_Players!A:A,Class_Players!B:B="Assault"),QUOTIENT(ROW()-ROW($A$2),7)+1),"")</f>
        <v>Flipovsy</v>
      </c>
      <c r="B459" s="42" t="str">
        <f>_xlfn.XLOOKUP(A459,Class_Players!$A:$A,Class_Players!$B:$B,"")</f>
        <v>Assault</v>
      </c>
      <c r="C459" s="48" t="str" cm="1">
        <f t="array" ref="C459">INDEX(Lookups!$A$2:$A$8,MOD(ROW()-ROW($B$2),ROWS(Lookups!$A$2:$A$8))+1)</f>
        <v>M320A1 HE (Grenade Launcher)</v>
      </c>
      <c r="D459" s="48" t="str">
        <f>_xlfn.XLOOKUP(C459,Analysis_Gadgets!$C:$C,Analysis_Gadgets!$B:$B)</f>
        <v>Gadget</v>
      </c>
      <c r="E459" s="43">
        <v>5478</v>
      </c>
      <c r="F459" s="43">
        <f>_xlfn.XLOOKUP(A459,Class_Players!A:A,Class_Players!G:G)</f>
        <v>185</v>
      </c>
      <c r="G459" s="43">
        <f t="shared" si="161"/>
        <v>29.610810810810811</v>
      </c>
      <c r="H459" s="43">
        <f>_xlfn.XLOOKUP(A459,Class_Players!$A:$A,Class_Players!$F:$F,"")</f>
        <v>13429</v>
      </c>
      <c r="I459" s="44">
        <f t="shared" si="162"/>
        <v>0.40792315138878549</v>
      </c>
      <c r="J459" s="43">
        <f t="shared" si="163"/>
        <v>1</v>
      </c>
      <c r="K459" s="44" cm="1">
        <f t="array" ref="K459">IF(D459="Gadget",_xlfn.IFS(I459&gt;=0.2,0.5,I459&gt;=0.1,0.35,I459&gt;=0.05,0.2,TRUE,0),IF(D459="Grenade",_xlfn.IFS(I459&gt;=0.2,1,I459&gt;=0.1,0.7,I459&gt;=0.05,0.4,TRUE,0),0))</f>
        <v>0.5</v>
      </c>
      <c r="L459" s="57">
        <f t="shared" si="165"/>
        <v>1</v>
      </c>
    </row>
    <row r="460" spans="1:12" x14ac:dyDescent="0.25">
      <c r="A460" s="42" t="str" cm="1">
        <f t="array" ref="A460">IFERROR(INDEX(_xlfn._xlws.FILTER(Class_Players!A:A,Class_Players!B:B="Assault"),QUOTIENT(ROW()-ROW($A$2),7)+1),"")</f>
        <v>Flipovsy</v>
      </c>
      <c r="B460" s="42" t="str">
        <f>_xlfn.XLOOKUP(A460,Class_Players!$A:$A,Class_Players!$B:$B,"")</f>
        <v>Assault</v>
      </c>
      <c r="C460" s="48" t="str" cm="1">
        <f t="array" ref="C460">INDEX(Lookups!$A$2:$A$8,MOD(ROW()-ROW($B$2),ROWS(Lookups!$A$2:$A$8))+1)</f>
        <v>M320A1 THRM    (Incendiary Grenade Launcher)</v>
      </c>
      <c r="D460" s="48" t="str">
        <f>_xlfn.XLOOKUP(C460,Analysis_Gadgets!$C:$C,Analysis_Gadgets!$B:$B)</f>
        <v>Gadget</v>
      </c>
      <c r="E460" s="43">
        <v>192</v>
      </c>
      <c r="F460" s="43">
        <f>_xlfn.XLOOKUP(A460,Class_Players!A:A,Class_Players!G:G)</f>
        <v>185</v>
      </c>
      <c r="G460" s="43">
        <f t="shared" si="161"/>
        <v>1.0378378378378379</v>
      </c>
      <c r="H460" s="43">
        <f>_xlfn.XLOOKUP(A460,Class_Players!$A:$A,Class_Players!$F:$F,"")</f>
        <v>13429</v>
      </c>
      <c r="I460" s="44">
        <f t="shared" si="162"/>
        <v>1.429741603991362E-2</v>
      </c>
      <c r="J460" s="43">
        <f t="shared" si="163"/>
        <v>0</v>
      </c>
      <c r="K460" s="44" cm="1">
        <f t="array" ref="K460">IF(D460="Gadget",_xlfn.IFS(I460&gt;=0.2,0.5,I460&gt;=0.1,0.35,I460&gt;=0.05,0.2,TRUE,0),IF(D460="Grenade",_xlfn.IFS(I460&gt;=0.2,1,I460&gt;=0.1,0.7,I460&gt;=0.05,0.4,TRUE,0),0))</f>
        <v>0</v>
      </c>
      <c r="L460" s="57">
        <f t="shared" si="165"/>
        <v>0</v>
      </c>
    </row>
    <row r="461" spans="1:12" x14ac:dyDescent="0.25">
      <c r="A461" s="42" t="str" cm="1">
        <f t="array" ref="A461">IFERROR(INDEX(_xlfn._xlws.FILTER(Class_Players!A:A,Class_Players!B:B="Assault"),QUOTIENT(ROW()-ROW($A$2),7)+1),"")</f>
        <v>Flipovsy</v>
      </c>
      <c r="B461" s="42" t="str">
        <f>_xlfn.XLOOKUP(A461,Class_Players!$A:$A,Class_Players!$B:$B,"")</f>
        <v>Assault</v>
      </c>
      <c r="C461" s="48" t="str" cm="1">
        <f t="array" ref="C461">INDEX(Lookups!$A$2:$A$8,MOD(ROW()-ROW($B$2),ROWS(Lookups!$A$2:$A$8))+1)</f>
        <v>QLINK (Deploy Beacon)</v>
      </c>
      <c r="D461" s="48" t="str">
        <f>_xlfn.XLOOKUP(C461,Analysis_Gadgets!$C:$C,Analysis_Gadgets!$B:$B)</f>
        <v>Gadget</v>
      </c>
      <c r="E461" s="43">
        <v>31</v>
      </c>
      <c r="F461" s="43">
        <f>_xlfn.XLOOKUP(A461,Class_Players!A:A,Class_Players!G:G)</f>
        <v>185</v>
      </c>
      <c r="G461" s="43">
        <f t="shared" si="161"/>
        <v>0.16756756756756758</v>
      </c>
      <c r="H461" s="43">
        <f>_xlfn.XLOOKUP(A461,Class_Players!$A:$A,Class_Players!$F:$F,"")</f>
        <v>13429</v>
      </c>
      <c r="I461" s="44">
        <f t="shared" si="162"/>
        <v>2.30843696477772E-3</v>
      </c>
      <c r="J461" s="43">
        <f t="shared" si="163"/>
        <v>0</v>
      </c>
      <c r="K461" s="44" cm="1">
        <f t="array" ref="K461">IF(D461="Gadget",_xlfn.IFS(I461&gt;=0.2,0.5,I461&gt;=0.1,0.35,I461&gt;=0.05,0.2,TRUE,0),IF(D461="Grenade",_xlfn.IFS(I461&gt;=0.2,1,I461&gt;=0.1,0.7,I461&gt;=0.05,0.4,TRUE,0),0))</f>
        <v>0</v>
      </c>
      <c r="L461" s="57">
        <f t="shared" si="165"/>
        <v>0</v>
      </c>
    </row>
    <row r="462" spans="1:12" x14ac:dyDescent="0.25">
      <c r="A462" s="42" t="str" cm="1">
        <f t="array" ref="A462">IFERROR(INDEX(_xlfn._xlws.FILTER(Class_Players!A:A,Class_Players!B:B="Assault"),QUOTIENT(ROW()-ROW($A$2),7)+1),"")</f>
        <v>Flipovsy</v>
      </c>
      <c r="B462" s="42" t="str">
        <f>_xlfn.XLOOKUP(A462,Class_Players!$A:$A,Class_Players!$B:$B,"")</f>
        <v>Assault</v>
      </c>
      <c r="C462" s="48" t="str" cm="1">
        <f t="array" ref="C462">INDEX(Lookups!$A$2:$A$8,MOD(ROW()-ROW($B$2),ROWS(Lookups!$A$2:$A$8))+1)</f>
        <v>Stun Grenade</v>
      </c>
      <c r="D462" s="48" t="str">
        <f>_xlfn.XLOOKUP(C462,Analysis_Gadgets!$C:$C,Analysis_Gadgets!$B:$B)</f>
        <v>Grenade</v>
      </c>
      <c r="E462" s="43">
        <v>14</v>
      </c>
      <c r="F462" s="43">
        <f>_xlfn.XLOOKUP(A462,Class_Players!A:A,Class_Players!G:G)</f>
        <v>185</v>
      </c>
      <c r="G462" s="43">
        <f t="shared" si="161"/>
        <v>7.567567567567568E-2</v>
      </c>
      <c r="H462" s="43">
        <f>_xlfn.XLOOKUP(A462,Class_Players!$A:$A,Class_Players!$F:$F,"")</f>
        <v>13429</v>
      </c>
      <c r="I462" s="44">
        <f t="shared" si="162"/>
        <v>1.0425199195770347E-3</v>
      </c>
      <c r="J462" s="43">
        <f t="shared" si="163"/>
        <v>0</v>
      </c>
      <c r="K462" s="44" cm="1">
        <f t="array" ref="K462">IF(D462="Gadget",_xlfn.IFS(I462&gt;=0.2,0.5,I462&gt;=0.1,0.35,I462&gt;=0.05,0.2,TRUE,0),IF(D462="Grenade",_xlfn.IFS(I462&gt;=0.2,1,I462&gt;=0.1,0.7,I462&gt;=0.05,0.4,TRUE,0),0))</f>
        <v>0</v>
      </c>
      <c r="L462" s="57">
        <f t="shared" ref="L462:L463" si="166">IF($K462=0,0,$K462 / SUMIFS($K:$K,$A:$A,$A462,$D:$D,"Grenade"))</f>
        <v>0</v>
      </c>
    </row>
    <row r="463" spans="1:12" x14ac:dyDescent="0.25">
      <c r="A463" s="42" t="str" cm="1">
        <f t="array" ref="A463">IFERROR(INDEX(_xlfn._xlws.FILTER(Class_Players!A:A,Class_Players!B:B="Assault"),QUOTIENT(ROW()-ROW($A$2),7)+1),"")</f>
        <v>Flipovsy</v>
      </c>
      <c r="B463" s="42" t="str">
        <f>_xlfn.XLOOKUP(A463,Class_Players!$A:$A,Class_Players!$B:$B,"")</f>
        <v>Assault</v>
      </c>
      <c r="C463" s="48" t="str" cm="1">
        <f t="array" ref="C463">INDEX(Lookups!$A$2:$A$8,MOD(ROW()-ROW($B$2),ROWS(Lookups!$A$2:$A$8))+1)</f>
        <v>Flash Grenade</v>
      </c>
      <c r="D463" s="48" t="str">
        <f>_xlfn.XLOOKUP(C463,Analysis_Gadgets!$C:$C,Analysis_Gadgets!$B:$B)</f>
        <v>Grenade</v>
      </c>
      <c r="E463" s="43">
        <v>9</v>
      </c>
      <c r="F463" s="43">
        <f>_xlfn.XLOOKUP(A463,Class_Players!A:A,Class_Players!G:G)</f>
        <v>185</v>
      </c>
      <c r="G463" s="43">
        <f t="shared" si="161"/>
        <v>4.8648648648648651E-2</v>
      </c>
      <c r="H463" s="43">
        <f>_xlfn.XLOOKUP(A463,Class_Players!$A:$A,Class_Players!$F:$F,"")</f>
        <v>13429</v>
      </c>
      <c r="I463" s="44">
        <f t="shared" si="162"/>
        <v>6.7019137687095089E-4</v>
      </c>
      <c r="J463" s="43">
        <f t="shared" si="163"/>
        <v>0</v>
      </c>
      <c r="K463" s="44" cm="1">
        <f t="array" ref="K463">IF(D463="Gadget",_xlfn.IFS(I463&gt;=0.2,0.5,I463&gt;=0.1,0.35,I463&gt;=0.05,0.2,TRUE,0),IF(D463="Grenade",_xlfn.IFS(I463&gt;=0.2,1,I463&gt;=0.1,0.7,I463&gt;=0.05,0.4,TRUE,0),0))</f>
        <v>0</v>
      </c>
      <c r="L463" s="57">
        <f t="shared" si="166"/>
        <v>0</v>
      </c>
    </row>
    <row r="464" spans="1:12" x14ac:dyDescent="0.25">
      <c r="A464" s="42" t="str" cm="1">
        <f t="array" ref="A464">IFERROR(INDEX(_xlfn._xlws.FILTER(Class_Players!A:A,Class_Players!B:B="Assault"),QUOTIENT(ROW()-ROW($A$2),7)+1),"")</f>
        <v>Ctrl</v>
      </c>
      <c r="B464" s="42" t="str">
        <f>_xlfn.XLOOKUP(A464,Class_Players!$A:$A,Class_Players!$B:$B,"")</f>
        <v>Assault</v>
      </c>
      <c r="C464" s="48" t="str" cm="1">
        <f t="array" ref="C464">INDEX(Lookups!$A$2:$A$8,MOD(ROW()-ROW($B$2),ROWS(Lookups!$A$2:$A$8))+1)</f>
        <v>Assault Ladder</v>
      </c>
      <c r="D464" s="48" t="str">
        <f>_xlfn.XLOOKUP(C464,Analysis_Gadgets!$C:$C,Analysis_Gadgets!$B:$B)</f>
        <v>Gadget</v>
      </c>
      <c r="E464" s="43">
        <v>91</v>
      </c>
      <c r="F464" s="43">
        <f>_xlfn.XLOOKUP(A464,Class_Players!A:A,Class_Players!G:G)</f>
        <v>131</v>
      </c>
      <c r="G464" s="43">
        <f t="shared" si="161"/>
        <v>0.69465648854961837</v>
      </c>
      <c r="H464" s="43">
        <f>_xlfn.XLOOKUP(A464,Class_Players!$A:$A,Class_Players!$F:$F,"")</f>
        <v>8777</v>
      </c>
      <c r="I464" s="44">
        <f t="shared" si="162"/>
        <v>1.0368007291785348E-2</v>
      </c>
      <c r="J464" s="43">
        <f t="shared" si="163"/>
        <v>0</v>
      </c>
      <c r="K464" s="44" cm="1">
        <f t="array" ref="K464">IF(D464="Gadget",_xlfn.IFS(I464&gt;=0.2,0.5,I464&gt;=0.1,0.35,I464&gt;=0.05,0.2,TRUE,0),IF(D464="Grenade",_xlfn.IFS(I464&gt;=0.2,1,I464&gt;=0.1,0.7,I464&gt;=0.05,0.4,TRUE,0),0))</f>
        <v>0</v>
      </c>
      <c r="L464" s="57">
        <f t="shared" ref="L464:L468" si="167">IF($K464=0,0,$K464 / SUMIFS($K:$K,$A:$A,$A464,$D:$D,"Gadget"))</f>
        <v>0</v>
      </c>
    </row>
    <row r="465" spans="1:12" x14ac:dyDescent="0.25">
      <c r="A465" s="42" t="str" cm="1">
        <f t="array" ref="A465">IFERROR(INDEX(_xlfn._xlws.FILTER(Class_Players!A:A,Class_Players!B:B="Assault"),QUOTIENT(ROW()-ROW($A$2),7)+1),"")</f>
        <v>Ctrl</v>
      </c>
      <c r="B465" s="42" t="str">
        <f>_xlfn.XLOOKUP(A465,Class_Players!$A:$A,Class_Players!$B:$B,"")</f>
        <v>Assault</v>
      </c>
      <c r="C465" s="48" t="str" cm="1">
        <f t="array" ref="C465">INDEX(Lookups!$A$2:$A$8,MOD(ROW()-ROW($B$2),ROWS(Lookups!$A$2:$A$8))+1)</f>
        <v>X95 BRE (Breaching Projectile Launcher)</v>
      </c>
      <c r="D465" s="48" t="str">
        <f>_xlfn.XLOOKUP(C465,Analysis_Gadgets!$C:$C,Analysis_Gadgets!$B:$B)</f>
        <v>Gadget</v>
      </c>
      <c r="E465" s="43">
        <v>0</v>
      </c>
      <c r="F465" s="43">
        <f>_xlfn.XLOOKUP(A465,Class_Players!A:A,Class_Players!G:G)</f>
        <v>131</v>
      </c>
      <c r="G465" s="43">
        <f t="shared" si="161"/>
        <v>0</v>
      </c>
      <c r="H465" s="43">
        <f>_xlfn.XLOOKUP(A465,Class_Players!$A:$A,Class_Players!$F:$F,"")</f>
        <v>8777</v>
      </c>
      <c r="I465" s="44">
        <f t="shared" si="162"/>
        <v>0</v>
      </c>
      <c r="J465" s="43">
        <f t="shared" si="163"/>
        <v>0</v>
      </c>
      <c r="K465" s="44" cm="1">
        <f t="array" ref="K465">IF(D465="Gadget",_xlfn.IFS(I465&gt;=0.2,0.5,I465&gt;=0.1,0.35,I465&gt;=0.05,0.2,TRUE,0),IF(D465="Grenade",_xlfn.IFS(I465&gt;=0.2,1,I465&gt;=0.1,0.7,I465&gt;=0.05,0.4,TRUE,0),0))</f>
        <v>0</v>
      </c>
      <c r="L465" s="57">
        <f t="shared" si="167"/>
        <v>0</v>
      </c>
    </row>
    <row r="466" spans="1:12" x14ac:dyDescent="0.25">
      <c r="A466" s="42" t="str" cm="1">
        <f t="array" ref="A466">IFERROR(INDEX(_xlfn._xlws.FILTER(Class_Players!A:A,Class_Players!B:B="Assault"),QUOTIENT(ROW()-ROW($A$2),7)+1),"")</f>
        <v>Ctrl</v>
      </c>
      <c r="B466" s="42" t="str">
        <f>_xlfn.XLOOKUP(A466,Class_Players!$A:$A,Class_Players!$B:$B,"")</f>
        <v>Assault</v>
      </c>
      <c r="C466" s="48" t="str" cm="1">
        <f t="array" ref="C466">INDEX(Lookups!$A$2:$A$8,MOD(ROW()-ROW($B$2),ROWS(Lookups!$A$2:$A$8))+1)</f>
        <v>M320A1 HE (Grenade Launcher)</v>
      </c>
      <c r="D466" s="48" t="str">
        <f>_xlfn.XLOOKUP(C466,Analysis_Gadgets!$C:$C,Analysis_Gadgets!$B:$B)</f>
        <v>Gadget</v>
      </c>
      <c r="E466" s="43">
        <v>1830</v>
      </c>
      <c r="F466" s="43">
        <f>_xlfn.XLOOKUP(A466,Class_Players!A:A,Class_Players!G:G)</f>
        <v>131</v>
      </c>
      <c r="G466" s="43">
        <f t="shared" si="161"/>
        <v>13.969465648854962</v>
      </c>
      <c r="H466" s="43">
        <f>_xlfn.XLOOKUP(A466,Class_Players!$A:$A,Class_Players!$F:$F,"")</f>
        <v>8777</v>
      </c>
      <c r="I466" s="44">
        <f t="shared" si="162"/>
        <v>0.20849948729634271</v>
      </c>
      <c r="J466" s="43">
        <f t="shared" si="163"/>
        <v>1</v>
      </c>
      <c r="K466" s="44" cm="1">
        <f t="array" ref="K466">IF(D466="Gadget",_xlfn.IFS(I466&gt;=0.2,0.5,I466&gt;=0.1,0.35,I466&gt;=0.05,0.2,TRUE,0),IF(D466="Grenade",_xlfn.IFS(I466&gt;=0.2,1,I466&gt;=0.1,0.7,I466&gt;=0.05,0.4,TRUE,0),0))</f>
        <v>0.5</v>
      </c>
      <c r="L466" s="57">
        <f t="shared" si="167"/>
        <v>0.58823529411764708</v>
      </c>
    </row>
    <row r="467" spans="1:12" x14ac:dyDescent="0.25">
      <c r="A467" s="42" t="str" cm="1">
        <f t="array" ref="A467">IFERROR(INDEX(_xlfn._xlws.FILTER(Class_Players!A:A,Class_Players!B:B="Assault"),QUOTIENT(ROW()-ROW($A$2),7)+1),"")</f>
        <v>Ctrl</v>
      </c>
      <c r="B467" s="42" t="str">
        <f>_xlfn.XLOOKUP(A467,Class_Players!$A:$A,Class_Players!$B:$B,"")</f>
        <v>Assault</v>
      </c>
      <c r="C467" s="48" t="str" cm="1">
        <f t="array" ref="C467">INDEX(Lookups!$A$2:$A$8,MOD(ROW()-ROW($B$2),ROWS(Lookups!$A$2:$A$8))+1)</f>
        <v>M320A1 THRM    (Incendiary Grenade Launcher)</v>
      </c>
      <c r="D467" s="48" t="str">
        <f>_xlfn.XLOOKUP(C467,Analysis_Gadgets!$C:$C,Analysis_Gadgets!$B:$B)</f>
        <v>Gadget</v>
      </c>
      <c r="E467" s="43">
        <v>1</v>
      </c>
      <c r="F467" s="43">
        <f>_xlfn.XLOOKUP(A467,Class_Players!A:A,Class_Players!G:G)</f>
        <v>131</v>
      </c>
      <c r="G467" s="43">
        <f t="shared" si="161"/>
        <v>7.6335877862595417E-3</v>
      </c>
      <c r="H467" s="43">
        <f>_xlfn.XLOOKUP(A467,Class_Players!$A:$A,Class_Players!$F:$F,"")</f>
        <v>8777</v>
      </c>
      <c r="I467" s="44">
        <f t="shared" si="162"/>
        <v>1.1393414606357525E-4</v>
      </c>
      <c r="J467" s="43">
        <f t="shared" si="163"/>
        <v>0</v>
      </c>
      <c r="K467" s="44" cm="1">
        <f t="array" ref="K467">IF(D467="Gadget",_xlfn.IFS(I467&gt;=0.2,0.5,I467&gt;=0.1,0.35,I467&gt;=0.05,0.2,TRUE,0),IF(D467="Grenade",_xlfn.IFS(I467&gt;=0.2,1,I467&gt;=0.1,0.7,I467&gt;=0.05,0.4,TRUE,0),0))</f>
        <v>0</v>
      </c>
      <c r="L467" s="57">
        <f t="shared" si="167"/>
        <v>0</v>
      </c>
    </row>
    <row r="468" spans="1:12" x14ac:dyDescent="0.25">
      <c r="A468" s="42" t="str" cm="1">
        <f t="array" ref="A468">IFERROR(INDEX(_xlfn._xlws.FILTER(Class_Players!A:A,Class_Players!B:B="Assault"),QUOTIENT(ROW()-ROW($A$2),7)+1),"")</f>
        <v>Ctrl</v>
      </c>
      <c r="B468" s="42" t="str">
        <f>_xlfn.XLOOKUP(A468,Class_Players!$A:$A,Class_Players!$B:$B,"")</f>
        <v>Assault</v>
      </c>
      <c r="C468" s="48" t="str" cm="1">
        <f t="array" ref="C468">INDEX(Lookups!$A$2:$A$8,MOD(ROW()-ROW($B$2),ROWS(Lookups!$A$2:$A$8))+1)</f>
        <v>QLINK (Deploy Beacon)</v>
      </c>
      <c r="D468" s="48" t="str">
        <f>_xlfn.XLOOKUP(C468,Analysis_Gadgets!$C:$C,Analysis_Gadgets!$B:$B)</f>
        <v>Gadget</v>
      </c>
      <c r="E468" s="43">
        <v>969</v>
      </c>
      <c r="F468" s="43">
        <f>_xlfn.XLOOKUP(A468,Class_Players!A:A,Class_Players!G:G)</f>
        <v>131</v>
      </c>
      <c r="G468" s="43">
        <f t="shared" si="161"/>
        <v>7.3969465648854964</v>
      </c>
      <c r="H468" s="43">
        <f>_xlfn.XLOOKUP(A468,Class_Players!$A:$A,Class_Players!$F:$F,"")</f>
        <v>8777</v>
      </c>
      <c r="I468" s="44">
        <f t="shared" si="162"/>
        <v>0.11040218753560442</v>
      </c>
      <c r="J468" s="43">
        <f t="shared" si="163"/>
        <v>1</v>
      </c>
      <c r="K468" s="44" cm="1">
        <f t="array" ref="K468">IF(D468="Gadget",_xlfn.IFS(I468&gt;=0.2,0.5,I468&gt;=0.1,0.35,I468&gt;=0.05,0.2,TRUE,0),IF(D468="Grenade",_xlfn.IFS(I468&gt;=0.2,1,I468&gt;=0.1,0.7,I468&gt;=0.05,0.4,TRUE,0),0))</f>
        <v>0.35</v>
      </c>
      <c r="L468" s="57">
        <f t="shared" si="167"/>
        <v>0.41176470588235292</v>
      </c>
    </row>
    <row r="469" spans="1:12" x14ac:dyDescent="0.25">
      <c r="A469" s="42" t="str" cm="1">
        <f t="array" ref="A469">IFERROR(INDEX(_xlfn._xlws.FILTER(Class_Players!A:A,Class_Players!B:B="Assault"),QUOTIENT(ROW()-ROW($A$2),7)+1),"")</f>
        <v>Ctrl</v>
      </c>
      <c r="B469" s="42" t="str">
        <f>_xlfn.XLOOKUP(A469,Class_Players!$A:$A,Class_Players!$B:$B,"")</f>
        <v>Assault</v>
      </c>
      <c r="C469" s="48" t="str" cm="1">
        <f t="array" ref="C469">INDEX(Lookups!$A$2:$A$8,MOD(ROW()-ROW($B$2),ROWS(Lookups!$A$2:$A$8))+1)</f>
        <v>Stun Grenade</v>
      </c>
      <c r="D469" s="48" t="str">
        <f>_xlfn.XLOOKUP(C469,Analysis_Gadgets!$C:$C,Analysis_Gadgets!$B:$B)</f>
        <v>Grenade</v>
      </c>
      <c r="E469" s="43">
        <v>0</v>
      </c>
      <c r="F469" s="43">
        <f>_xlfn.XLOOKUP(A469,Class_Players!A:A,Class_Players!G:G)</f>
        <v>131</v>
      </c>
      <c r="G469" s="43">
        <f t="shared" si="161"/>
        <v>0</v>
      </c>
      <c r="H469" s="43">
        <f>_xlfn.XLOOKUP(A469,Class_Players!$A:$A,Class_Players!$F:$F,"")</f>
        <v>8777</v>
      </c>
      <c r="I469" s="44">
        <f t="shared" si="162"/>
        <v>0</v>
      </c>
      <c r="J469" s="43">
        <f t="shared" si="163"/>
        <v>0</v>
      </c>
      <c r="K469" s="44" cm="1">
        <f t="array" ref="K469">IF(D469="Gadget",_xlfn.IFS(I469&gt;=0.2,0.5,I469&gt;=0.1,0.35,I469&gt;=0.05,0.2,TRUE,0),IF(D469="Grenade",_xlfn.IFS(I469&gt;=0.2,1,I469&gt;=0.1,0.7,I469&gt;=0.05,0.4,TRUE,0),0))</f>
        <v>0</v>
      </c>
      <c r="L469" s="57">
        <f t="shared" ref="L469:L470" si="168">IF($K469=0,0,$K469 / SUMIFS($K:$K,$A:$A,$A469,$D:$D,"Grenade"))</f>
        <v>0</v>
      </c>
    </row>
    <row r="470" spans="1:12" x14ac:dyDescent="0.25">
      <c r="A470" s="42" t="str" cm="1">
        <f t="array" ref="A470">IFERROR(INDEX(_xlfn._xlws.FILTER(Class_Players!A:A,Class_Players!B:B="Assault"),QUOTIENT(ROW()-ROW($A$2),7)+1),"")</f>
        <v>Ctrl</v>
      </c>
      <c r="B470" s="42" t="str">
        <f>_xlfn.XLOOKUP(A470,Class_Players!$A:$A,Class_Players!$B:$B,"")</f>
        <v>Assault</v>
      </c>
      <c r="C470" s="48" t="str" cm="1">
        <f t="array" ref="C470">INDEX(Lookups!$A$2:$A$8,MOD(ROW()-ROW($B$2),ROWS(Lookups!$A$2:$A$8))+1)</f>
        <v>Flash Grenade</v>
      </c>
      <c r="D470" s="48" t="str">
        <f>_xlfn.XLOOKUP(C470,Analysis_Gadgets!$C:$C,Analysis_Gadgets!$B:$B)</f>
        <v>Grenade</v>
      </c>
      <c r="E470" s="43">
        <v>0</v>
      </c>
      <c r="F470" s="43">
        <f>_xlfn.XLOOKUP(A470,Class_Players!A:A,Class_Players!G:G)</f>
        <v>131</v>
      </c>
      <c r="G470" s="43">
        <f t="shared" si="161"/>
        <v>0</v>
      </c>
      <c r="H470" s="43">
        <f>_xlfn.XLOOKUP(A470,Class_Players!$A:$A,Class_Players!$F:$F,"")</f>
        <v>8777</v>
      </c>
      <c r="I470" s="44">
        <f t="shared" si="162"/>
        <v>0</v>
      </c>
      <c r="J470" s="43">
        <f t="shared" si="163"/>
        <v>0</v>
      </c>
      <c r="K470" s="44" cm="1">
        <f t="array" ref="K470">IF(D470="Gadget",_xlfn.IFS(I470&gt;=0.2,0.5,I470&gt;=0.1,0.35,I470&gt;=0.05,0.2,TRUE,0),IF(D470="Grenade",_xlfn.IFS(I470&gt;=0.2,1,I470&gt;=0.1,0.7,I470&gt;=0.05,0.4,TRUE,0),0))</f>
        <v>0</v>
      </c>
      <c r="L470" s="57">
        <f t="shared" si="168"/>
        <v>0</v>
      </c>
    </row>
    <row r="471" spans="1:12" x14ac:dyDescent="0.25">
      <c r="A471" s="42" t="str" cm="1">
        <f t="array" ref="A471">IFERROR(INDEX(_xlfn._xlws.FILTER(Class_Players!A:A,Class_Players!B:B="Assault"),QUOTIENT(ROW()-ROW($A$2),7)+1),"")</f>
        <v>Krzysiek--777</v>
      </c>
      <c r="B471" s="42" t="str">
        <f>_xlfn.XLOOKUP(A471,Class_Players!$A:$A,Class_Players!$B:$B,"")</f>
        <v>Assault</v>
      </c>
      <c r="C471" s="48" t="str" cm="1">
        <f t="array" ref="C471">INDEX(Lookups!$A$2:$A$8,MOD(ROW()-ROW($B$2),ROWS(Lookups!$A$2:$A$8))+1)</f>
        <v>Assault Ladder</v>
      </c>
      <c r="D471" s="48" t="str">
        <f>_xlfn.XLOOKUP(C471,Analysis_Gadgets!$C:$C,Analysis_Gadgets!$B:$B)</f>
        <v>Gadget</v>
      </c>
      <c r="E471" s="43">
        <v>1</v>
      </c>
      <c r="F471" s="43">
        <f>_xlfn.XLOOKUP(A471,Class_Players!A:A,Class_Players!G:G)</f>
        <v>94</v>
      </c>
      <c r="G471" s="43">
        <f t="shared" si="161"/>
        <v>1.0638297872340425E-2</v>
      </c>
      <c r="H471" s="43">
        <f>_xlfn.XLOOKUP(A471,Class_Players!$A:$A,Class_Players!$F:$F,"")</f>
        <v>9226</v>
      </c>
      <c r="I471" s="44">
        <f t="shared" si="162"/>
        <v>1.0838933448948623E-4</v>
      </c>
      <c r="J471" s="43">
        <f t="shared" si="163"/>
        <v>0</v>
      </c>
      <c r="K471" s="44" cm="1">
        <f t="array" ref="K471">IF(D471="Gadget",_xlfn.IFS(I471&gt;=0.2,0.5,I471&gt;=0.1,0.35,I471&gt;=0.05,0.2,TRUE,0),IF(D471="Grenade",_xlfn.IFS(I471&gt;=0.2,1,I471&gt;=0.1,0.7,I471&gt;=0.05,0.4,TRUE,0),0))</f>
        <v>0</v>
      </c>
      <c r="L471" s="57">
        <f t="shared" ref="L471:L475" si="169">IF($K471=0,0,$K471 / SUMIFS($K:$K,$A:$A,$A471,$D:$D,"Gadget"))</f>
        <v>0</v>
      </c>
    </row>
    <row r="472" spans="1:12" x14ac:dyDescent="0.25">
      <c r="A472" s="42" t="str" cm="1">
        <f t="array" ref="A472">IFERROR(INDEX(_xlfn._xlws.FILTER(Class_Players!A:A,Class_Players!B:B="Assault"),QUOTIENT(ROW()-ROW($A$2),7)+1),"")</f>
        <v>Krzysiek--777</v>
      </c>
      <c r="B472" s="42" t="str">
        <f>_xlfn.XLOOKUP(A472,Class_Players!$A:$A,Class_Players!$B:$B,"")</f>
        <v>Assault</v>
      </c>
      <c r="C472" s="48" t="str" cm="1">
        <f t="array" ref="C472">INDEX(Lookups!$A$2:$A$8,MOD(ROW()-ROW($B$2),ROWS(Lookups!$A$2:$A$8))+1)</f>
        <v>X95 BRE (Breaching Projectile Launcher)</v>
      </c>
      <c r="D472" s="48" t="str">
        <f>_xlfn.XLOOKUP(C472,Analysis_Gadgets!$C:$C,Analysis_Gadgets!$B:$B)</f>
        <v>Gadget</v>
      </c>
      <c r="E472" s="43">
        <v>15</v>
      </c>
      <c r="F472" s="43">
        <f>_xlfn.XLOOKUP(A472,Class_Players!A:A,Class_Players!G:G)</f>
        <v>94</v>
      </c>
      <c r="G472" s="43">
        <f t="shared" si="161"/>
        <v>0.15957446808510639</v>
      </c>
      <c r="H472" s="43">
        <f>_xlfn.XLOOKUP(A472,Class_Players!$A:$A,Class_Players!$F:$F,"")</f>
        <v>9226</v>
      </c>
      <c r="I472" s="44">
        <f t="shared" si="162"/>
        <v>1.6258400173422935E-3</v>
      </c>
      <c r="J472" s="43">
        <f t="shared" si="163"/>
        <v>0</v>
      </c>
      <c r="K472" s="44" cm="1">
        <f t="array" ref="K472">IF(D472="Gadget",_xlfn.IFS(I472&gt;=0.2,0.5,I472&gt;=0.1,0.35,I472&gt;=0.05,0.2,TRUE,0),IF(D472="Grenade",_xlfn.IFS(I472&gt;=0.2,1,I472&gt;=0.1,0.7,I472&gt;=0.05,0.4,TRUE,0),0))</f>
        <v>0</v>
      </c>
      <c r="L472" s="57">
        <f t="shared" si="169"/>
        <v>0</v>
      </c>
    </row>
    <row r="473" spans="1:12" x14ac:dyDescent="0.25">
      <c r="A473" s="42" t="str" cm="1">
        <f t="array" ref="A473">IFERROR(INDEX(_xlfn._xlws.FILTER(Class_Players!A:A,Class_Players!B:B="Assault"),QUOTIENT(ROW()-ROW($A$2),7)+1),"")</f>
        <v>Krzysiek--777</v>
      </c>
      <c r="B473" s="42" t="str">
        <f>_xlfn.XLOOKUP(A473,Class_Players!$A:$A,Class_Players!$B:$B,"")</f>
        <v>Assault</v>
      </c>
      <c r="C473" s="48" t="str" cm="1">
        <f t="array" ref="C473">INDEX(Lookups!$A$2:$A$8,MOD(ROW()-ROW($B$2),ROWS(Lookups!$A$2:$A$8))+1)</f>
        <v>M320A1 HE (Grenade Launcher)</v>
      </c>
      <c r="D473" s="48" t="str">
        <f>_xlfn.XLOOKUP(C473,Analysis_Gadgets!$C:$C,Analysis_Gadgets!$B:$B)</f>
        <v>Gadget</v>
      </c>
      <c r="E473" s="43">
        <v>425</v>
      </c>
      <c r="F473" s="43">
        <f>_xlfn.XLOOKUP(A473,Class_Players!A:A,Class_Players!G:G)</f>
        <v>94</v>
      </c>
      <c r="G473" s="43">
        <f t="shared" si="161"/>
        <v>4.5212765957446805</v>
      </c>
      <c r="H473" s="43">
        <f>_xlfn.XLOOKUP(A473,Class_Players!$A:$A,Class_Players!$F:$F,"")</f>
        <v>9226</v>
      </c>
      <c r="I473" s="44">
        <f t="shared" si="162"/>
        <v>4.6065467158031649E-2</v>
      </c>
      <c r="J473" s="43">
        <f t="shared" si="163"/>
        <v>0</v>
      </c>
      <c r="K473" s="44" cm="1">
        <f t="array" ref="K473">IF(D473="Gadget",_xlfn.IFS(I473&gt;=0.2,0.5,I473&gt;=0.1,0.35,I473&gt;=0.05,0.2,TRUE,0),IF(D473="Grenade",_xlfn.IFS(I473&gt;=0.2,1,I473&gt;=0.1,0.7,I473&gt;=0.05,0.4,TRUE,0),0))</f>
        <v>0</v>
      </c>
      <c r="L473" s="57">
        <f t="shared" si="169"/>
        <v>0</v>
      </c>
    </row>
    <row r="474" spans="1:12" x14ac:dyDescent="0.25">
      <c r="A474" s="42" t="str" cm="1">
        <f t="array" ref="A474">IFERROR(INDEX(_xlfn._xlws.FILTER(Class_Players!A:A,Class_Players!B:B="Assault"),QUOTIENT(ROW()-ROW($A$2),7)+1),"")</f>
        <v>Krzysiek--777</v>
      </c>
      <c r="B474" s="42" t="str">
        <f>_xlfn.XLOOKUP(A474,Class_Players!$A:$A,Class_Players!$B:$B,"")</f>
        <v>Assault</v>
      </c>
      <c r="C474" s="48" t="str" cm="1">
        <f t="array" ref="C474">INDEX(Lookups!$A$2:$A$8,MOD(ROW()-ROW($B$2),ROWS(Lookups!$A$2:$A$8))+1)</f>
        <v>M320A1 THRM    (Incendiary Grenade Launcher)</v>
      </c>
      <c r="D474" s="48" t="str">
        <f>_xlfn.XLOOKUP(C474,Analysis_Gadgets!$C:$C,Analysis_Gadgets!$B:$B)</f>
        <v>Gadget</v>
      </c>
      <c r="E474" s="43">
        <v>582</v>
      </c>
      <c r="F474" s="43">
        <f>_xlfn.XLOOKUP(A474,Class_Players!A:A,Class_Players!G:G)</f>
        <v>94</v>
      </c>
      <c r="G474" s="43">
        <f t="shared" si="161"/>
        <v>6.1914893617021276</v>
      </c>
      <c r="H474" s="43">
        <f>_xlfn.XLOOKUP(A474,Class_Players!$A:$A,Class_Players!$F:$F,"")</f>
        <v>9226</v>
      </c>
      <c r="I474" s="44">
        <f t="shared" si="162"/>
        <v>6.3082592672880994E-2</v>
      </c>
      <c r="J474" s="43">
        <f t="shared" si="163"/>
        <v>0</v>
      </c>
      <c r="K474" s="44" cm="1">
        <f t="array" ref="K474">IF(D474="Gadget",_xlfn.IFS(I474&gt;=0.2,0.5,I474&gt;=0.1,0.35,I474&gt;=0.05,0.2,TRUE,0),IF(D474="Grenade",_xlfn.IFS(I474&gt;=0.2,1,I474&gt;=0.1,0.7,I474&gt;=0.05,0.4,TRUE,0),0))</f>
        <v>0.2</v>
      </c>
      <c r="L474" s="57">
        <f t="shared" si="169"/>
        <v>1</v>
      </c>
    </row>
    <row r="475" spans="1:12" x14ac:dyDescent="0.25">
      <c r="A475" s="42" t="str" cm="1">
        <f t="array" ref="A475">IFERROR(INDEX(_xlfn._xlws.FILTER(Class_Players!A:A,Class_Players!B:B="Assault"),QUOTIENT(ROW()-ROW($A$2),7)+1),"")</f>
        <v>Krzysiek--777</v>
      </c>
      <c r="B475" s="42" t="str">
        <f>_xlfn.XLOOKUP(A475,Class_Players!$A:$A,Class_Players!$B:$B,"")</f>
        <v>Assault</v>
      </c>
      <c r="C475" s="48" t="str" cm="1">
        <f t="array" ref="C475">INDEX(Lookups!$A$2:$A$8,MOD(ROW()-ROW($B$2),ROWS(Lookups!$A$2:$A$8))+1)</f>
        <v>QLINK (Deploy Beacon)</v>
      </c>
      <c r="D475" s="48" t="str">
        <f>_xlfn.XLOOKUP(C475,Analysis_Gadgets!$C:$C,Analysis_Gadgets!$B:$B)</f>
        <v>Gadget</v>
      </c>
      <c r="E475" s="43">
        <v>208</v>
      </c>
      <c r="F475" s="43">
        <f>_xlfn.XLOOKUP(A475,Class_Players!A:A,Class_Players!G:G)</f>
        <v>94</v>
      </c>
      <c r="G475" s="43">
        <f t="shared" si="161"/>
        <v>2.2127659574468086</v>
      </c>
      <c r="H475" s="43">
        <f>_xlfn.XLOOKUP(A475,Class_Players!$A:$A,Class_Players!$F:$F,"")</f>
        <v>9226</v>
      </c>
      <c r="I475" s="44">
        <f t="shared" si="162"/>
        <v>2.2544981573813138E-2</v>
      </c>
      <c r="J475" s="43">
        <f t="shared" si="163"/>
        <v>0</v>
      </c>
      <c r="K475" s="44" cm="1">
        <f t="array" ref="K475">IF(D475="Gadget",_xlfn.IFS(I475&gt;=0.2,0.5,I475&gt;=0.1,0.35,I475&gt;=0.05,0.2,TRUE,0),IF(D475="Grenade",_xlfn.IFS(I475&gt;=0.2,1,I475&gt;=0.1,0.7,I475&gt;=0.05,0.4,TRUE,0),0))</f>
        <v>0</v>
      </c>
      <c r="L475" s="57">
        <f t="shared" si="169"/>
        <v>0</v>
      </c>
    </row>
    <row r="476" spans="1:12" x14ac:dyDescent="0.25">
      <c r="A476" s="42" t="str" cm="1">
        <f t="array" ref="A476">IFERROR(INDEX(_xlfn._xlws.FILTER(Class_Players!A:A,Class_Players!B:B="Assault"),QUOTIENT(ROW()-ROW($A$2),7)+1),"")</f>
        <v>Krzysiek--777</v>
      </c>
      <c r="B476" s="42" t="str">
        <f>_xlfn.XLOOKUP(A476,Class_Players!$A:$A,Class_Players!$B:$B,"")</f>
        <v>Assault</v>
      </c>
      <c r="C476" s="48" t="str" cm="1">
        <f t="array" ref="C476">INDEX(Lookups!$A$2:$A$8,MOD(ROW()-ROW($B$2),ROWS(Lookups!$A$2:$A$8))+1)</f>
        <v>Stun Grenade</v>
      </c>
      <c r="D476" s="48" t="str">
        <f>_xlfn.XLOOKUP(C476,Analysis_Gadgets!$C:$C,Analysis_Gadgets!$B:$B)</f>
        <v>Grenade</v>
      </c>
      <c r="E476" s="43">
        <v>43</v>
      </c>
      <c r="F476" s="43">
        <f>_xlfn.XLOOKUP(A476,Class_Players!A:A,Class_Players!G:G)</f>
        <v>94</v>
      </c>
      <c r="G476" s="43">
        <f t="shared" si="161"/>
        <v>0.45744680851063829</v>
      </c>
      <c r="H476" s="43">
        <f>_xlfn.XLOOKUP(A476,Class_Players!$A:$A,Class_Players!$F:$F,"")</f>
        <v>9226</v>
      </c>
      <c r="I476" s="44">
        <f t="shared" si="162"/>
        <v>4.660741383047908E-3</v>
      </c>
      <c r="J476" s="43">
        <f t="shared" si="163"/>
        <v>0</v>
      </c>
      <c r="K476" s="44" cm="1">
        <f t="array" ref="K476">IF(D476="Gadget",_xlfn.IFS(I476&gt;=0.2,0.5,I476&gt;=0.1,0.35,I476&gt;=0.05,0.2,TRUE,0),IF(D476="Grenade",_xlfn.IFS(I476&gt;=0.2,1,I476&gt;=0.1,0.7,I476&gt;=0.05,0.4,TRUE,0),0))</f>
        <v>0</v>
      </c>
      <c r="L476" s="57">
        <f t="shared" ref="L476:L477" si="170">IF($K476=0,0,$K476 / SUMIFS($K:$K,$A:$A,$A476,$D:$D,"Grenade"))</f>
        <v>0</v>
      </c>
    </row>
    <row r="477" spans="1:12" x14ac:dyDescent="0.25">
      <c r="A477" s="42" t="str" cm="1">
        <f t="array" ref="A477">IFERROR(INDEX(_xlfn._xlws.FILTER(Class_Players!A:A,Class_Players!B:B="Assault"),QUOTIENT(ROW()-ROW($A$2),7)+1),"")</f>
        <v>Krzysiek--777</v>
      </c>
      <c r="B477" s="42" t="str">
        <f>_xlfn.XLOOKUP(A477,Class_Players!$A:$A,Class_Players!$B:$B,"")</f>
        <v>Assault</v>
      </c>
      <c r="C477" s="48" t="str" cm="1">
        <f t="array" ref="C477">INDEX(Lookups!$A$2:$A$8,MOD(ROW()-ROW($B$2),ROWS(Lookups!$A$2:$A$8))+1)</f>
        <v>Flash Grenade</v>
      </c>
      <c r="D477" s="48" t="str">
        <f>_xlfn.XLOOKUP(C477,Analysis_Gadgets!$C:$C,Analysis_Gadgets!$B:$B)</f>
        <v>Grenade</v>
      </c>
      <c r="E477" s="43">
        <v>4</v>
      </c>
      <c r="F477" s="43">
        <f>_xlfn.XLOOKUP(A477,Class_Players!A:A,Class_Players!G:G)</f>
        <v>94</v>
      </c>
      <c r="G477" s="43">
        <f t="shared" si="161"/>
        <v>4.2553191489361701E-2</v>
      </c>
      <c r="H477" s="43">
        <f>_xlfn.XLOOKUP(A477,Class_Players!$A:$A,Class_Players!$F:$F,"")</f>
        <v>9226</v>
      </c>
      <c r="I477" s="44">
        <f t="shared" si="162"/>
        <v>4.3355733795794494E-4</v>
      </c>
      <c r="J477" s="43">
        <f t="shared" si="163"/>
        <v>0</v>
      </c>
      <c r="K477" s="44" cm="1">
        <f t="array" ref="K477">IF(D477="Gadget",_xlfn.IFS(I477&gt;=0.2,0.5,I477&gt;=0.1,0.35,I477&gt;=0.05,0.2,TRUE,0),IF(D477="Grenade",_xlfn.IFS(I477&gt;=0.2,1,I477&gt;=0.1,0.7,I477&gt;=0.05,0.4,TRUE,0),0))</f>
        <v>0</v>
      </c>
      <c r="L477" s="57">
        <f t="shared" si="170"/>
        <v>0</v>
      </c>
    </row>
    <row r="478" spans="1:12" x14ac:dyDescent="0.25">
      <c r="A478" s="42" t="str" cm="1">
        <f t="array" ref="A478">IFERROR(INDEX(_xlfn._xlws.FILTER(Class_Players!A:A,Class_Players!B:B="Assault"),QUOTIENT(ROW()-ROW($A$2),7)+1),"")</f>
        <v>DzzzNt</v>
      </c>
      <c r="B478" s="42" t="str">
        <f>_xlfn.XLOOKUP(A478,Class_Players!$A:$A,Class_Players!$B:$B,"")</f>
        <v>Assault</v>
      </c>
      <c r="C478" s="48" t="str" cm="1">
        <f t="array" ref="C478">INDEX(Lookups!$A$2:$A$8,MOD(ROW()-ROW($B$2),ROWS(Lookups!$A$2:$A$8))+1)</f>
        <v>Assault Ladder</v>
      </c>
      <c r="D478" s="48" t="str">
        <f>_xlfn.XLOOKUP(C478,Analysis_Gadgets!$C:$C,Analysis_Gadgets!$B:$B)</f>
        <v>Gadget</v>
      </c>
      <c r="E478" s="43">
        <v>51</v>
      </c>
      <c r="F478" s="43">
        <f>_xlfn.XLOOKUP(A478,Class_Players!A:A,Class_Players!G:G)</f>
        <v>178</v>
      </c>
      <c r="G478" s="43">
        <f t="shared" si="161"/>
        <v>0.28651685393258425</v>
      </c>
      <c r="H478" s="43">
        <f>_xlfn.XLOOKUP(A478,Class_Players!$A:$A,Class_Players!$F:$F,"")</f>
        <v>8574</v>
      </c>
      <c r="I478" s="44">
        <f t="shared" si="162"/>
        <v>5.9482155353393984E-3</v>
      </c>
      <c r="J478" s="43">
        <f t="shared" si="163"/>
        <v>0</v>
      </c>
      <c r="K478" s="44" cm="1">
        <f t="array" ref="K478">IF(D478="Gadget",_xlfn.IFS(I478&gt;=0.2,0.5,I478&gt;=0.1,0.35,I478&gt;=0.05,0.2,TRUE,0),IF(D478="Grenade",_xlfn.IFS(I478&gt;=0.2,1,I478&gt;=0.1,0.7,I478&gt;=0.05,0.4,TRUE,0),0))</f>
        <v>0</v>
      </c>
      <c r="L478" s="57">
        <f t="shared" ref="L478:L482" si="171">IF($K478=0,0,$K478 / SUMIFS($K:$K,$A:$A,$A478,$D:$D,"Gadget"))</f>
        <v>0</v>
      </c>
    </row>
    <row r="479" spans="1:12" x14ac:dyDescent="0.25">
      <c r="A479" s="42" t="str" cm="1">
        <f t="array" ref="A479">IFERROR(INDEX(_xlfn._xlws.FILTER(Class_Players!A:A,Class_Players!B:B="Assault"),QUOTIENT(ROW()-ROW($A$2),7)+1),"")</f>
        <v>DzzzNt</v>
      </c>
      <c r="B479" s="42" t="str">
        <f>_xlfn.XLOOKUP(A479,Class_Players!$A:$A,Class_Players!$B:$B,"")</f>
        <v>Assault</v>
      </c>
      <c r="C479" s="48" t="str" cm="1">
        <f t="array" ref="C479">INDEX(Lookups!$A$2:$A$8,MOD(ROW()-ROW($B$2),ROWS(Lookups!$A$2:$A$8))+1)</f>
        <v>X95 BRE (Breaching Projectile Launcher)</v>
      </c>
      <c r="D479" s="48" t="str">
        <f>_xlfn.XLOOKUP(C479,Analysis_Gadgets!$C:$C,Analysis_Gadgets!$B:$B)</f>
        <v>Gadget</v>
      </c>
      <c r="E479" s="43">
        <v>0</v>
      </c>
      <c r="F479" s="43">
        <f>_xlfn.XLOOKUP(A479,Class_Players!A:A,Class_Players!G:G)</f>
        <v>178</v>
      </c>
      <c r="G479" s="43">
        <f t="shared" si="161"/>
        <v>0</v>
      </c>
      <c r="H479" s="43">
        <f>_xlfn.XLOOKUP(A479,Class_Players!$A:$A,Class_Players!$F:$F,"")</f>
        <v>8574</v>
      </c>
      <c r="I479" s="44">
        <f t="shared" si="162"/>
        <v>0</v>
      </c>
      <c r="J479" s="43">
        <f t="shared" si="163"/>
        <v>0</v>
      </c>
      <c r="K479" s="44" cm="1">
        <f t="array" ref="K479">IF(D479="Gadget",_xlfn.IFS(I479&gt;=0.2,0.5,I479&gt;=0.1,0.35,I479&gt;=0.05,0.2,TRUE,0),IF(D479="Grenade",_xlfn.IFS(I479&gt;=0.2,1,I479&gt;=0.1,0.7,I479&gt;=0.05,0.4,TRUE,0),0))</f>
        <v>0</v>
      </c>
      <c r="L479" s="57">
        <f t="shared" si="171"/>
        <v>0</v>
      </c>
    </row>
    <row r="480" spans="1:12" x14ac:dyDescent="0.25">
      <c r="A480" s="42" t="str" cm="1">
        <f t="array" ref="A480">IFERROR(INDEX(_xlfn._xlws.FILTER(Class_Players!A:A,Class_Players!B:B="Assault"),QUOTIENT(ROW()-ROW($A$2),7)+1),"")</f>
        <v>DzzzNt</v>
      </c>
      <c r="B480" s="42" t="str">
        <f>_xlfn.XLOOKUP(A480,Class_Players!$A:$A,Class_Players!$B:$B,"")</f>
        <v>Assault</v>
      </c>
      <c r="C480" s="48" t="str" cm="1">
        <f t="array" ref="C480">INDEX(Lookups!$A$2:$A$8,MOD(ROW()-ROW($B$2),ROWS(Lookups!$A$2:$A$8))+1)</f>
        <v>M320A1 HE (Grenade Launcher)</v>
      </c>
      <c r="D480" s="48" t="str">
        <f>_xlfn.XLOOKUP(C480,Analysis_Gadgets!$C:$C,Analysis_Gadgets!$B:$B)</f>
        <v>Gadget</v>
      </c>
      <c r="E480" s="43">
        <v>2486</v>
      </c>
      <c r="F480" s="43">
        <f>_xlfn.XLOOKUP(A480,Class_Players!A:A,Class_Players!G:G)</f>
        <v>178</v>
      </c>
      <c r="G480" s="43">
        <f t="shared" si="161"/>
        <v>13.966292134831461</v>
      </c>
      <c r="H480" s="43">
        <f>_xlfn.XLOOKUP(A480,Class_Players!$A:$A,Class_Players!$F:$F,"")</f>
        <v>8574</v>
      </c>
      <c r="I480" s="44">
        <f t="shared" si="162"/>
        <v>0.28994634942850478</v>
      </c>
      <c r="J480" s="43">
        <f t="shared" si="163"/>
        <v>1</v>
      </c>
      <c r="K480" s="44" cm="1">
        <f t="array" ref="K480">IF(D480="Gadget",_xlfn.IFS(I480&gt;=0.2,0.5,I480&gt;=0.1,0.35,I480&gt;=0.05,0.2,TRUE,0),IF(D480="Grenade",_xlfn.IFS(I480&gt;=0.2,1,I480&gt;=0.1,0.7,I480&gt;=0.05,0.4,TRUE,0),0))</f>
        <v>0.5</v>
      </c>
      <c r="L480" s="57">
        <f t="shared" si="171"/>
        <v>0.5</v>
      </c>
    </row>
    <row r="481" spans="1:12" x14ac:dyDescent="0.25">
      <c r="A481" s="42" t="str" cm="1">
        <f t="array" ref="A481">IFERROR(INDEX(_xlfn._xlws.FILTER(Class_Players!A:A,Class_Players!B:B="Assault"),QUOTIENT(ROW()-ROW($A$2),7)+1),"")</f>
        <v>DzzzNt</v>
      </c>
      <c r="B481" s="42" t="str">
        <f>_xlfn.XLOOKUP(A481,Class_Players!$A:$A,Class_Players!$B:$B,"")</f>
        <v>Assault</v>
      </c>
      <c r="C481" s="48" t="str" cm="1">
        <f t="array" ref="C481">INDEX(Lookups!$A$2:$A$8,MOD(ROW()-ROW($B$2),ROWS(Lookups!$A$2:$A$8))+1)</f>
        <v>M320A1 THRM    (Incendiary Grenade Launcher)</v>
      </c>
      <c r="D481" s="48" t="str">
        <f>_xlfn.XLOOKUP(C481,Analysis_Gadgets!$C:$C,Analysis_Gadgets!$B:$B)</f>
        <v>Gadget</v>
      </c>
      <c r="E481" s="43">
        <v>26</v>
      </c>
      <c r="F481" s="43">
        <f>_xlfn.XLOOKUP(A481,Class_Players!A:A,Class_Players!G:G)</f>
        <v>178</v>
      </c>
      <c r="G481" s="43">
        <f t="shared" si="161"/>
        <v>0.14606741573033707</v>
      </c>
      <c r="H481" s="43">
        <f>_xlfn.XLOOKUP(A481,Class_Players!$A:$A,Class_Players!$F:$F,"")</f>
        <v>8574</v>
      </c>
      <c r="I481" s="44">
        <f t="shared" si="162"/>
        <v>3.0324236062514577E-3</v>
      </c>
      <c r="J481" s="43">
        <f t="shared" si="163"/>
        <v>0</v>
      </c>
      <c r="K481" s="44" cm="1">
        <f t="array" ref="K481">IF(D481="Gadget",_xlfn.IFS(I481&gt;=0.2,0.5,I481&gt;=0.1,0.35,I481&gt;=0.05,0.2,TRUE,0),IF(D481="Grenade",_xlfn.IFS(I481&gt;=0.2,1,I481&gt;=0.1,0.7,I481&gt;=0.05,0.4,TRUE,0),0))</f>
        <v>0</v>
      </c>
      <c r="L481" s="57">
        <f t="shared" si="171"/>
        <v>0</v>
      </c>
    </row>
    <row r="482" spans="1:12" x14ac:dyDescent="0.25">
      <c r="A482" s="42" t="str" cm="1">
        <f t="array" ref="A482">IFERROR(INDEX(_xlfn._xlws.FILTER(Class_Players!A:A,Class_Players!B:B="Assault"),QUOTIENT(ROW()-ROW($A$2),7)+1),"")</f>
        <v>DzzzNt</v>
      </c>
      <c r="B482" s="42" t="str">
        <f>_xlfn.XLOOKUP(A482,Class_Players!$A:$A,Class_Players!$B:$B,"")</f>
        <v>Assault</v>
      </c>
      <c r="C482" s="48" t="str" cm="1">
        <f t="array" ref="C482">INDEX(Lookups!$A$2:$A$8,MOD(ROW()-ROW($B$2),ROWS(Lookups!$A$2:$A$8))+1)</f>
        <v>QLINK (Deploy Beacon)</v>
      </c>
      <c r="D482" s="48" t="str">
        <f>_xlfn.XLOOKUP(C482,Analysis_Gadgets!$C:$C,Analysis_Gadgets!$B:$B)</f>
        <v>Gadget</v>
      </c>
      <c r="E482" s="43">
        <v>3006</v>
      </c>
      <c r="F482" s="43">
        <f>_xlfn.XLOOKUP(A482,Class_Players!A:A,Class_Players!G:G)</f>
        <v>178</v>
      </c>
      <c r="G482" s="43">
        <f t="shared" si="161"/>
        <v>16.887640449438202</v>
      </c>
      <c r="H482" s="43">
        <f>_xlfn.XLOOKUP(A482,Class_Players!$A:$A,Class_Players!$F:$F,"")</f>
        <v>8574</v>
      </c>
      <c r="I482" s="44">
        <f t="shared" si="162"/>
        <v>0.35059482155353394</v>
      </c>
      <c r="J482" s="43">
        <f t="shared" si="163"/>
        <v>1</v>
      </c>
      <c r="K482" s="44" cm="1">
        <f t="array" ref="K482">IF(D482="Gadget",_xlfn.IFS(I482&gt;=0.2,0.5,I482&gt;=0.1,0.35,I482&gt;=0.05,0.2,TRUE,0),IF(D482="Grenade",_xlfn.IFS(I482&gt;=0.2,1,I482&gt;=0.1,0.7,I482&gt;=0.05,0.4,TRUE,0),0))</f>
        <v>0.5</v>
      </c>
      <c r="L482" s="57">
        <f t="shared" si="171"/>
        <v>0.5</v>
      </c>
    </row>
    <row r="483" spans="1:12" x14ac:dyDescent="0.25">
      <c r="A483" s="42" t="str" cm="1">
        <f t="array" ref="A483">IFERROR(INDEX(_xlfn._xlws.FILTER(Class_Players!A:A,Class_Players!B:B="Assault"),QUOTIENT(ROW()-ROW($A$2),7)+1),"")</f>
        <v>DzzzNt</v>
      </c>
      <c r="B483" s="42" t="str">
        <f>_xlfn.XLOOKUP(A483,Class_Players!$A:$A,Class_Players!$B:$B,"")</f>
        <v>Assault</v>
      </c>
      <c r="C483" s="48" t="str" cm="1">
        <f t="array" ref="C483">INDEX(Lookups!$A$2:$A$8,MOD(ROW()-ROW($B$2),ROWS(Lookups!$A$2:$A$8))+1)</f>
        <v>Stun Grenade</v>
      </c>
      <c r="D483" s="48" t="str">
        <f>_xlfn.XLOOKUP(C483,Analysis_Gadgets!$C:$C,Analysis_Gadgets!$B:$B)</f>
        <v>Grenade</v>
      </c>
      <c r="E483" s="43">
        <v>116</v>
      </c>
      <c r="F483" s="43">
        <f>_xlfn.XLOOKUP(A483,Class_Players!A:A,Class_Players!G:G)</f>
        <v>178</v>
      </c>
      <c r="G483" s="43">
        <f t="shared" si="161"/>
        <v>0.651685393258427</v>
      </c>
      <c r="H483" s="43">
        <f>_xlfn.XLOOKUP(A483,Class_Players!$A:$A,Class_Players!$F:$F,"")</f>
        <v>8574</v>
      </c>
      <c r="I483" s="44">
        <f t="shared" si="162"/>
        <v>1.3529274550968043E-2</v>
      </c>
      <c r="J483" s="43">
        <f t="shared" si="163"/>
        <v>0</v>
      </c>
      <c r="K483" s="44" cm="1">
        <f t="array" ref="K483">IF(D483="Gadget",_xlfn.IFS(I483&gt;=0.2,0.5,I483&gt;=0.1,0.35,I483&gt;=0.05,0.2,TRUE,0),IF(D483="Grenade",_xlfn.IFS(I483&gt;=0.2,1,I483&gt;=0.1,0.7,I483&gt;=0.05,0.4,TRUE,0),0))</f>
        <v>0</v>
      </c>
      <c r="L483" s="57">
        <f t="shared" ref="L483:L484" si="172">IF($K483=0,0,$K483 / SUMIFS($K:$K,$A:$A,$A483,$D:$D,"Grenade"))</f>
        <v>0</v>
      </c>
    </row>
    <row r="484" spans="1:12" x14ac:dyDescent="0.25">
      <c r="A484" s="42" t="str" cm="1">
        <f t="array" ref="A484">IFERROR(INDEX(_xlfn._xlws.FILTER(Class_Players!A:A,Class_Players!B:B="Assault"),QUOTIENT(ROW()-ROW($A$2),7)+1),"")</f>
        <v>DzzzNt</v>
      </c>
      <c r="B484" s="42" t="str">
        <f>_xlfn.XLOOKUP(A484,Class_Players!$A:$A,Class_Players!$B:$B,"")</f>
        <v>Assault</v>
      </c>
      <c r="C484" s="48" t="str" cm="1">
        <f t="array" ref="C484">INDEX(Lookups!$A$2:$A$8,MOD(ROW()-ROW($B$2),ROWS(Lookups!$A$2:$A$8))+1)</f>
        <v>Flash Grenade</v>
      </c>
      <c r="D484" s="48" t="str">
        <f>_xlfn.XLOOKUP(C484,Analysis_Gadgets!$C:$C,Analysis_Gadgets!$B:$B)</f>
        <v>Grenade</v>
      </c>
      <c r="E484" s="43">
        <v>118</v>
      </c>
      <c r="F484" s="43">
        <f>_xlfn.XLOOKUP(A484,Class_Players!A:A,Class_Players!G:G)</f>
        <v>178</v>
      </c>
      <c r="G484" s="43">
        <f t="shared" si="161"/>
        <v>0.6629213483146067</v>
      </c>
      <c r="H484" s="43">
        <f>_xlfn.XLOOKUP(A484,Class_Players!$A:$A,Class_Players!$F:$F,"")</f>
        <v>8574</v>
      </c>
      <c r="I484" s="44">
        <f t="shared" si="162"/>
        <v>1.3762537905295079E-2</v>
      </c>
      <c r="J484" s="43">
        <f t="shared" si="163"/>
        <v>0</v>
      </c>
      <c r="K484" s="44" cm="1">
        <f t="array" ref="K484">IF(D484="Gadget",_xlfn.IFS(I484&gt;=0.2,0.5,I484&gt;=0.1,0.35,I484&gt;=0.05,0.2,TRUE,0),IF(D484="Grenade",_xlfn.IFS(I484&gt;=0.2,1,I484&gt;=0.1,0.7,I484&gt;=0.05,0.4,TRUE,0),0))</f>
        <v>0</v>
      </c>
      <c r="L484" s="57">
        <f t="shared" si="172"/>
        <v>0</v>
      </c>
    </row>
    <row r="485" spans="1:12" x14ac:dyDescent="0.25">
      <c r="A485" s="42" t="str" cm="1">
        <f t="array" ref="A485">IFERROR(INDEX(_xlfn._xlws.FILTER(Class_Players!A:A,Class_Players!B:B="Assault"),QUOTIENT(ROW()-ROW($A$2),7)+1),"")</f>
        <v>Replenishment Oiler</v>
      </c>
      <c r="B485" s="42" t="str">
        <f>_xlfn.XLOOKUP(A485,Class_Players!$A:$A,Class_Players!$B:$B,"")</f>
        <v>Assault</v>
      </c>
      <c r="C485" s="48" t="str" cm="1">
        <f t="array" ref="C485">INDEX(Lookups!$A$2:$A$8,MOD(ROW()-ROW($B$2),ROWS(Lookups!$A$2:$A$8))+1)</f>
        <v>Assault Ladder</v>
      </c>
      <c r="D485" s="48" t="str">
        <f>_xlfn.XLOOKUP(C485,Analysis_Gadgets!$C:$C,Analysis_Gadgets!$B:$B)</f>
        <v>Gadget</v>
      </c>
      <c r="E485" s="43">
        <v>192</v>
      </c>
      <c r="F485" s="43">
        <f>_xlfn.XLOOKUP(A485,Class_Players!A:A,Class_Players!G:G)</f>
        <v>153</v>
      </c>
      <c r="G485" s="43">
        <f t="shared" si="161"/>
        <v>1.2549019607843137</v>
      </c>
      <c r="H485" s="43">
        <f>_xlfn.XLOOKUP(A485,Class_Players!$A:$A,Class_Players!$F:$F,"")</f>
        <v>8576</v>
      </c>
      <c r="I485" s="44">
        <f t="shared" si="162"/>
        <v>2.2388059701492536E-2</v>
      </c>
      <c r="J485" s="43">
        <f t="shared" si="163"/>
        <v>0</v>
      </c>
      <c r="K485" s="44" cm="1">
        <f t="array" ref="K485">IF(D485="Gadget",_xlfn.IFS(I485&gt;=0.2,0.5,I485&gt;=0.1,0.35,I485&gt;=0.05,0.2,TRUE,0),IF(D485="Grenade",_xlfn.IFS(I485&gt;=0.2,1,I485&gt;=0.1,0.7,I485&gt;=0.05,0.4,TRUE,0),0))</f>
        <v>0</v>
      </c>
      <c r="L485" s="57">
        <f t="shared" ref="L485:L496" si="173">IF($K485=0,0,$K485 / SUMIFS($K:$K,$A:$A,$A485,$D:$D,"Gadget"))</f>
        <v>0</v>
      </c>
    </row>
    <row r="486" spans="1:12" x14ac:dyDescent="0.25">
      <c r="A486" s="42" t="str" cm="1">
        <f t="array" ref="A486">IFERROR(INDEX(_xlfn._xlws.FILTER(Class_Players!A:A,Class_Players!B:B="Assault"),QUOTIENT(ROW()-ROW($A$2),7)+1),"")</f>
        <v>Replenishment Oiler</v>
      </c>
      <c r="B486" s="42" t="str">
        <f>_xlfn.XLOOKUP(A486,Class_Players!$A:$A,Class_Players!$B:$B,"")</f>
        <v>Assault</v>
      </c>
      <c r="C486" s="48" t="str" cm="1">
        <f t="array" ref="C486">INDEX(Lookups!$A$2:$A$8,MOD(ROW()-ROW($B$2),ROWS(Lookups!$A$2:$A$8))+1)</f>
        <v>X95 BRE (Breaching Projectile Launcher)</v>
      </c>
      <c r="D486" s="48" t="str">
        <f>_xlfn.XLOOKUP(C486,Analysis_Gadgets!$C:$C,Analysis_Gadgets!$B:$B)</f>
        <v>Gadget</v>
      </c>
      <c r="E486" s="43">
        <v>8</v>
      </c>
      <c r="F486" s="43">
        <f>_xlfn.XLOOKUP(A486,Class_Players!A:A,Class_Players!G:G)</f>
        <v>153</v>
      </c>
      <c r="G486" s="43">
        <f t="shared" si="161"/>
        <v>5.2287581699346407E-2</v>
      </c>
      <c r="H486" s="43">
        <f>_xlfn.XLOOKUP(A486,Class_Players!$A:$A,Class_Players!$F:$F,"")</f>
        <v>8576</v>
      </c>
      <c r="I486" s="44">
        <f t="shared" si="162"/>
        <v>9.3283582089552237E-4</v>
      </c>
      <c r="J486" s="43">
        <f t="shared" si="163"/>
        <v>0</v>
      </c>
      <c r="K486" s="44" cm="1">
        <f t="array" ref="K486">IF(D486="Gadget",_xlfn.IFS(I486&gt;=0.2,0.5,I486&gt;=0.1,0.35,I486&gt;=0.05,0.2,TRUE,0),IF(D486="Grenade",_xlfn.IFS(I486&gt;=0.2,1,I486&gt;=0.1,0.7,I486&gt;=0.05,0.4,TRUE,0),0))</f>
        <v>0</v>
      </c>
      <c r="L486" s="57">
        <f t="shared" si="173"/>
        <v>0</v>
      </c>
    </row>
    <row r="487" spans="1:12" x14ac:dyDescent="0.25">
      <c r="A487" s="42" t="str" cm="1">
        <f t="array" ref="A487">IFERROR(INDEX(_xlfn._xlws.FILTER(Class_Players!A:A,Class_Players!B:B="Assault"),QUOTIENT(ROW()-ROW($A$2),7)+1),"")</f>
        <v>Replenishment Oiler</v>
      </c>
      <c r="B487" s="42" t="str">
        <f>_xlfn.XLOOKUP(A487,Class_Players!$A:$A,Class_Players!$B:$B,"")</f>
        <v>Assault</v>
      </c>
      <c r="C487" s="48" t="str" cm="1">
        <f t="array" ref="C487">INDEX(Lookups!$A$2:$A$8,MOD(ROW()-ROW($B$2),ROWS(Lookups!$A$2:$A$8))+1)</f>
        <v>M320A1 HE (Grenade Launcher)</v>
      </c>
      <c r="D487" s="48" t="str">
        <f>_xlfn.XLOOKUP(C487,Analysis_Gadgets!$C:$C,Analysis_Gadgets!$B:$B)</f>
        <v>Gadget</v>
      </c>
      <c r="E487" s="43">
        <v>5629</v>
      </c>
      <c r="F487" s="43">
        <f>_xlfn.XLOOKUP(A487,Class_Players!A:A,Class_Players!G:G)</f>
        <v>153</v>
      </c>
      <c r="G487" s="43">
        <f t="shared" si="161"/>
        <v>36.790849673202615</v>
      </c>
      <c r="H487" s="43">
        <f>_xlfn.XLOOKUP(A487,Class_Players!$A:$A,Class_Players!$F:$F,"")</f>
        <v>8576</v>
      </c>
      <c r="I487" s="44">
        <f t="shared" si="162"/>
        <v>0.65636660447761197</v>
      </c>
      <c r="J487" s="43">
        <f t="shared" si="163"/>
        <v>1</v>
      </c>
      <c r="K487" s="44" cm="1">
        <f t="array" ref="K487">IF(D487="Gadget",_xlfn.IFS(I487&gt;=0.2,0.5,I487&gt;=0.1,0.35,I487&gt;=0.05,0.2,TRUE,0),IF(D487="Grenade",_xlfn.IFS(I487&gt;=0.2,1,I487&gt;=0.1,0.7,I487&gt;=0.05,0.4,TRUE,0),0))</f>
        <v>0.5</v>
      </c>
      <c r="L487" s="57">
        <f t="shared" si="173"/>
        <v>0.5</v>
      </c>
    </row>
    <row r="488" spans="1:12" x14ac:dyDescent="0.25">
      <c r="A488" s="42" t="str" cm="1">
        <f t="array" ref="A488">IFERROR(INDEX(_xlfn._xlws.FILTER(Class_Players!A:A,Class_Players!B:B="Assault"),QUOTIENT(ROW()-ROW($A$2),7)+1),"")</f>
        <v>Replenishment Oiler</v>
      </c>
      <c r="B488" s="42" t="str">
        <f>_xlfn.XLOOKUP(A488,Class_Players!$A:$A,Class_Players!$B:$B,"")</f>
        <v>Assault</v>
      </c>
      <c r="C488" s="48" t="str" cm="1">
        <f t="array" ref="C488">INDEX(Lookups!$A$2:$A$8,MOD(ROW()-ROW($B$2),ROWS(Lookups!$A$2:$A$8))+1)</f>
        <v>M320A1 THRM    (Incendiary Grenade Launcher)</v>
      </c>
      <c r="D488" s="48" t="str">
        <f>_xlfn.XLOOKUP(C488,Analysis_Gadgets!$C:$C,Analysis_Gadgets!$B:$B)</f>
        <v>Gadget</v>
      </c>
      <c r="E488" s="43">
        <v>48</v>
      </c>
      <c r="F488" s="43">
        <f>_xlfn.XLOOKUP(A488,Class_Players!A:A,Class_Players!G:G)</f>
        <v>153</v>
      </c>
      <c r="G488" s="43">
        <f t="shared" si="161"/>
        <v>0.31372549019607843</v>
      </c>
      <c r="H488" s="43">
        <f>_xlfn.XLOOKUP(A488,Class_Players!$A:$A,Class_Players!$F:$F,"")</f>
        <v>8576</v>
      </c>
      <c r="I488" s="44">
        <f t="shared" si="162"/>
        <v>5.597014925373134E-3</v>
      </c>
      <c r="J488" s="43">
        <f t="shared" si="163"/>
        <v>0</v>
      </c>
      <c r="K488" s="44" cm="1">
        <f t="array" ref="K488">IF(D488="Gadget",_xlfn.IFS(I488&gt;=0.2,0.5,I488&gt;=0.1,0.35,I488&gt;=0.05,0.2,TRUE,0),IF(D488="Grenade",_xlfn.IFS(I488&gt;=0.2,1,I488&gt;=0.1,0.7,I488&gt;=0.05,0.4,TRUE,0),0))</f>
        <v>0</v>
      </c>
      <c r="L488" s="57">
        <f t="shared" si="173"/>
        <v>0</v>
      </c>
    </row>
    <row r="489" spans="1:12" x14ac:dyDescent="0.25">
      <c r="A489" s="42" t="str" cm="1">
        <f t="array" ref="A489">IFERROR(INDEX(_xlfn._xlws.FILTER(Class_Players!A:A,Class_Players!B:B="Assault"),QUOTIENT(ROW()-ROW($A$2),7)+1),"")</f>
        <v>Replenishment Oiler</v>
      </c>
      <c r="B489" s="42" t="str">
        <f>_xlfn.XLOOKUP(A489,Class_Players!$A:$A,Class_Players!$B:$B,"")</f>
        <v>Assault</v>
      </c>
      <c r="C489" s="48" t="str" cm="1">
        <f t="array" ref="C489">INDEX(Lookups!$A$2:$A$8,MOD(ROW()-ROW($B$2),ROWS(Lookups!$A$2:$A$8))+1)</f>
        <v>QLINK (Deploy Beacon)</v>
      </c>
      <c r="D489" s="48" t="str">
        <f>_xlfn.XLOOKUP(C489,Analysis_Gadgets!$C:$C,Analysis_Gadgets!$B:$B)</f>
        <v>Gadget</v>
      </c>
      <c r="E489" s="43">
        <v>5132</v>
      </c>
      <c r="F489" s="43">
        <f>_xlfn.XLOOKUP(A489,Class_Players!A:A,Class_Players!G:G)</f>
        <v>153</v>
      </c>
      <c r="G489" s="43">
        <f t="shared" si="161"/>
        <v>33.542483660130721</v>
      </c>
      <c r="H489" s="43">
        <f>_xlfn.XLOOKUP(A489,Class_Players!$A:$A,Class_Players!$F:$F,"")</f>
        <v>8576</v>
      </c>
      <c r="I489" s="44">
        <f t="shared" si="162"/>
        <v>0.59841417910447758</v>
      </c>
      <c r="J489" s="43">
        <f t="shared" si="163"/>
        <v>1</v>
      </c>
      <c r="K489" s="44" cm="1">
        <f t="array" ref="K489">IF(D489="Gadget",_xlfn.IFS(I489&gt;=0.2,0.5,I489&gt;=0.1,0.35,I489&gt;=0.05,0.2,TRUE,0),IF(D489="Grenade",_xlfn.IFS(I489&gt;=0.2,1,I489&gt;=0.1,0.7,I489&gt;=0.05,0.4,TRUE,0),0))</f>
        <v>0.5</v>
      </c>
      <c r="L489" s="57">
        <f t="shared" si="173"/>
        <v>0.5</v>
      </c>
    </row>
    <row r="490" spans="1:12" x14ac:dyDescent="0.25">
      <c r="A490" s="42" t="str" cm="1">
        <f t="array" ref="A490">IFERROR(INDEX(_xlfn._xlws.FILTER(Class_Players!A:A,Class_Players!B:B="Assault"),QUOTIENT(ROW()-ROW($A$2),7)+1),"")</f>
        <v>Replenishment Oiler</v>
      </c>
      <c r="B490" s="42" t="str">
        <f>_xlfn.XLOOKUP(A490,Class_Players!$A:$A,Class_Players!$B:$B,"")</f>
        <v>Assault</v>
      </c>
      <c r="C490" s="48" t="str" cm="1">
        <f t="array" ref="C490">INDEX(Lookups!$A$2:$A$8,MOD(ROW()-ROW($B$2),ROWS(Lookups!$A$2:$A$8))+1)</f>
        <v>Stun Grenade</v>
      </c>
      <c r="D490" s="48" t="str">
        <f>_xlfn.XLOOKUP(C490,Analysis_Gadgets!$C:$C,Analysis_Gadgets!$B:$B)</f>
        <v>Grenade</v>
      </c>
      <c r="E490" s="43">
        <v>15</v>
      </c>
      <c r="F490" s="43">
        <f>_xlfn.XLOOKUP(A490,Class_Players!A:A,Class_Players!G:G)</f>
        <v>153</v>
      </c>
      <c r="G490" s="43">
        <f t="shared" si="161"/>
        <v>9.8039215686274508E-2</v>
      </c>
      <c r="H490" s="43">
        <f>_xlfn.XLOOKUP(A490,Class_Players!$A:$A,Class_Players!$F:$F,"")</f>
        <v>8576</v>
      </c>
      <c r="I490" s="44">
        <f t="shared" si="162"/>
        <v>1.7490671641791045E-3</v>
      </c>
      <c r="J490" s="43">
        <f t="shared" si="163"/>
        <v>0</v>
      </c>
      <c r="K490" s="44" cm="1">
        <f t="array" ref="K490">IF(D490="Gadget",_xlfn.IFS(I490&gt;=0.2,0.5,I490&gt;=0.1,0.35,I490&gt;=0.05,0.2,TRUE,0),IF(D490="Grenade",_xlfn.IFS(I490&gt;=0.2,1,I490&gt;=0.1,0.7,I490&gt;=0.05,0.4,TRUE,0),0))</f>
        <v>0</v>
      </c>
      <c r="L490" s="57">
        <f t="shared" ref="L490:L638" si="174">IF($K490=0,0,$K490 / SUMIFS($K:$K,$A:$A,$A490,$D:$D,"Grenade"))</f>
        <v>0</v>
      </c>
    </row>
    <row r="491" spans="1:12" x14ac:dyDescent="0.25">
      <c r="A491" s="42" t="str" cm="1">
        <f t="array" ref="A491">IFERROR(INDEX(_xlfn._xlws.FILTER(Class_Players!A:A,Class_Players!B:B="Assault"),QUOTIENT(ROW()-ROW($A$2),7)+1),"")</f>
        <v>Replenishment Oiler</v>
      </c>
      <c r="B491" s="42" t="str">
        <f>_xlfn.XLOOKUP(A491,Class_Players!$A:$A,Class_Players!$B:$B,"")</f>
        <v>Assault</v>
      </c>
      <c r="C491" s="48" t="str" cm="1">
        <f t="array" ref="C491">INDEX(Lookups!$A$2:$A$8,MOD(ROW()-ROW($B$2),ROWS(Lookups!$A$2:$A$8))+1)</f>
        <v>Flash Grenade</v>
      </c>
      <c r="D491" s="48" t="str">
        <f>_xlfn.XLOOKUP(C491,Analysis_Gadgets!$C:$C,Analysis_Gadgets!$B:$B)</f>
        <v>Grenade</v>
      </c>
      <c r="E491" s="43">
        <v>25</v>
      </c>
      <c r="F491" s="43">
        <f>_xlfn.XLOOKUP(A491,Class_Players!A:A,Class_Players!G:G)</f>
        <v>153</v>
      </c>
      <c r="G491" s="43">
        <f t="shared" si="161"/>
        <v>0.16339869281045752</v>
      </c>
      <c r="H491" s="43">
        <f>_xlfn.XLOOKUP(A491,Class_Players!$A:$A,Class_Players!$F:$F,"")</f>
        <v>8576</v>
      </c>
      <c r="I491" s="44">
        <f t="shared" si="162"/>
        <v>2.9151119402985076E-3</v>
      </c>
      <c r="J491" s="43">
        <f t="shared" si="163"/>
        <v>0</v>
      </c>
      <c r="K491" s="44" cm="1">
        <f t="array" ref="K491">IF(D491="Gadget",_xlfn.IFS(I491&gt;=0.2,0.5,I491&gt;=0.1,0.35,I491&gt;=0.05,0.2,TRUE,0),IF(D491="Grenade",_xlfn.IFS(I491&gt;=0.2,1,I491&gt;=0.1,0.7,I491&gt;=0.05,0.4,TRUE,0),0))</f>
        <v>0</v>
      </c>
      <c r="L491" s="57">
        <f t="shared" si="174"/>
        <v>0</v>
      </c>
    </row>
    <row r="492" spans="1:12" x14ac:dyDescent="0.25">
      <c r="A492" s="42" t="str" cm="1">
        <f t="array" ref="A492">IFERROR(INDEX(_xlfn._xlws.FILTER(Class_Players!A:A,Class_Players!B:B="Assault"),QUOTIENT(ROW()-ROW($A$2),7)+1),"")</f>
        <v>Situ Sifang</v>
      </c>
      <c r="B492" s="42" t="str">
        <f>_xlfn.XLOOKUP(A492,Class_Players!$A:$A,Class_Players!$B:$B,"")</f>
        <v>Assault</v>
      </c>
      <c r="C492" s="48" t="str" cm="1">
        <f t="array" ref="C492">INDEX(Lookups!$A$2:$A$8,MOD(ROW()-ROW($B$2),ROWS(Lookups!$A$2:$A$8))+1)</f>
        <v>Assault Ladder</v>
      </c>
      <c r="D492" s="48" t="str">
        <f>_xlfn.XLOOKUP(C492,Analysis_Gadgets!$C:$C,Analysis_Gadgets!$B:$B)</f>
        <v>Gadget</v>
      </c>
      <c r="E492" s="43">
        <v>1231</v>
      </c>
      <c r="F492" s="43">
        <f>_xlfn.XLOOKUP(A492,Class_Players!A:A,Class_Players!G:G)</f>
        <v>177</v>
      </c>
      <c r="G492" s="43">
        <f t="shared" ref="G492:G555" si="175">IF(F492=0,"",E492/F492)</f>
        <v>6.9548022598870061</v>
      </c>
      <c r="H492" s="43">
        <f>_xlfn.XLOOKUP(A492,Class_Players!$A:$A,Class_Players!$F:$F,"")</f>
        <v>8436</v>
      </c>
      <c r="I492" s="44">
        <f t="shared" ref="I492:I555" si="176">IF(H492=0,"",E492/H492)</f>
        <v>0.14592223802750118</v>
      </c>
      <c r="J492" s="43">
        <f t="shared" si="163"/>
        <v>1</v>
      </c>
      <c r="K492" s="44" cm="1">
        <f t="array" ref="K492">IF(D492="Gadget",_xlfn.IFS(I492&gt;=0.2,0.5,I492&gt;=0.1,0.35,I492&gt;=0.05,0.2,TRUE,0),IF(D492="Grenade",_xlfn.IFS(I492&gt;=0.2,1,I492&gt;=0.1,0.7,I492&gt;=0.05,0.4,TRUE,0),0))</f>
        <v>0.35</v>
      </c>
      <c r="L492" s="57">
        <f t="shared" si="173"/>
        <v>0.25925925925925924</v>
      </c>
    </row>
    <row r="493" spans="1:12" x14ac:dyDescent="0.25">
      <c r="A493" s="42" t="str" cm="1">
        <f t="array" ref="A493">IFERROR(INDEX(_xlfn._xlws.FILTER(Class_Players!A:A,Class_Players!B:B="Assault"),QUOTIENT(ROW()-ROW($A$2),7)+1),"")</f>
        <v>Situ Sifang</v>
      </c>
      <c r="B493" s="42" t="str">
        <f>_xlfn.XLOOKUP(A493,Class_Players!$A:$A,Class_Players!$B:$B,"")</f>
        <v>Assault</v>
      </c>
      <c r="C493" s="48" t="str" cm="1">
        <f t="array" ref="C493">INDEX(Lookups!$A$2:$A$8,MOD(ROW()-ROW($B$2),ROWS(Lookups!$A$2:$A$8))+1)</f>
        <v>X95 BRE (Breaching Projectile Launcher)</v>
      </c>
      <c r="D493" s="48" t="str">
        <f>_xlfn.XLOOKUP(C493,Analysis_Gadgets!$C:$C,Analysis_Gadgets!$B:$B)</f>
        <v>Gadget</v>
      </c>
      <c r="E493" s="43">
        <v>12</v>
      </c>
      <c r="F493" s="43">
        <f>_xlfn.XLOOKUP(A493,Class_Players!A:A,Class_Players!G:G)</f>
        <v>177</v>
      </c>
      <c r="G493" s="43">
        <f t="shared" si="175"/>
        <v>6.7796610169491525E-2</v>
      </c>
      <c r="H493" s="43">
        <f>_xlfn.XLOOKUP(A493,Class_Players!$A:$A,Class_Players!$F:$F,"")</f>
        <v>8436</v>
      </c>
      <c r="I493" s="44">
        <f t="shared" si="176"/>
        <v>1.4224751066856331E-3</v>
      </c>
      <c r="J493" s="43">
        <f t="shared" si="163"/>
        <v>0</v>
      </c>
      <c r="K493" s="44" cm="1">
        <f t="array" ref="K493">IF(D493="Gadget",_xlfn.IFS(I493&gt;=0.2,0.5,I493&gt;=0.1,0.35,I493&gt;=0.05,0.2,TRUE,0),IF(D493="Grenade",_xlfn.IFS(I493&gt;=0.2,1,I493&gt;=0.1,0.7,I493&gt;=0.05,0.4,TRUE,0),0))</f>
        <v>0</v>
      </c>
      <c r="L493" s="57">
        <f t="shared" si="173"/>
        <v>0</v>
      </c>
    </row>
    <row r="494" spans="1:12" x14ac:dyDescent="0.25">
      <c r="A494" s="42" t="str" cm="1">
        <f t="array" ref="A494">IFERROR(INDEX(_xlfn._xlws.FILTER(Class_Players!A:A,Class_Players!B:B="Assault"),QUOTIENT(ROW()-ROW($A$2),7)+1),"")</f>
        <v>Situ Sifang</v>
      </c>
      <c r="B494" s="42" t="str">
        <f>_xlfn.XLOOKUP(A494,Class_Players!$A:$A,Class_Players!$B:$B,"")</f>
        <v>Assault</v>
      </c>
      <c r="C494" s="48" t="str" cm="1">
        <f t="array" ref="C494">INDEX(Lookups!$A$2:$A$8,MOD(ROW()-ROW($B$2),ROWS(Lookups!$A$2:$A$8))+1)</f>
        <v>M320A1 HE (Grenade Launcher)</v>
      </c>
      <c r="D494" s="48" t="str">
        <f>_xlfn.XLOOKUP(C494,Analysis_Gadgets!$C:$C,Analysis_Gadgets!$B:$B)</f>
        <v>Gadget</v>
      </c>
      <c r="E494" s="43">
        <v>5094</v>
      </c>
      <c r="F494" s="43">
        <f>_xlfn.XLOOKUP(A494,Class_Players!A:A,Class_Players!G:G)</f>
        <v>177</v>
      </c>
      <c r="G494" s="43">
        <f t="shared" si="175"/>
        <v>28.779661016949152</v>
      </c>
      <c r="H494" s="43">
        <f>_xlfn.XLOOKUP(A494,Class_Players!$A:$A,Class_Players!$F:$F,"")</f>
        <v>8436</v>
      </c>
      <c r="I494" s="44">
        <f t="shared" si="176"/>
        <v>0.60384068278805125</v>
      </c>
      <c r="J494" s="43">
        <f t="shared" si="163"/>
        <v>1</v>
      </c>
      <c r="K494" s="44" cm="1">
        <f t="array" ref="K494">IF(D494="Gadget",_xlfn.IFS(I494&gt;=0.2,0.5,I494&gt;=0.1,0.35,I494&gt;=0.05,0.2,TRUE,0),IF(D494="Grenade",_xlfn.IFS(I494&gt;=0.2,1,I494&gt;=0.1,0.7,I494&gt;=0.05,0.4,TRUE,0),0))</f>
        <v>0.5</v>
      </c>
      <c r="L494" s="57">
        <f t="shared" si="173"/>
        <v>0.37037037037037035</v>
      </c>
    </row>
    <row r="495" spans="1:12" x14ac:dyDescent="0.25">
      <c r="A495" s="42" t="str" cm="1">
        <f t="array" ref="A495">IFERROR(INDEX(_xlfn._xlws.FILTER(Class_Players!A:A,Class_Players!B:B="Assault"),QUOTIENT(ROW()-ROW($A$2),7)+1),"")</f>
        <v>Situ Sifang</v>
      </c>
      <c r="B495" s="42" t="str">
        <f>_xlfn.XLOOKUP(A495,Class_Players!$A:$A,Class_Players!$B:$B,"")</f>
        <v>Assault</v>
      </c>
      <c r="C495" s="48" t="str" cm="1">
        <f t="array" ref="C495">INDEX(Lookups!$A$2:$A$8,MOD(ROW()-ROW($B$2),ROWS(Lookups!$A$2:$A$8))+1)</f>
        <v>M320A1 THRM    (Incendiary Grenade Launcher)</v>
      </c>
      <c r="D495" s="48" t="str">
        <f>_xlfn.XLOOKUP(C495,Analysis_Gadgets!$C:$C,Analysis_Gadgets!$B:$B)</f>
        <v>Gadget</v>
      </c>
      <c r="E495" s="43">
        <v>26</v>
      </c>
      <c r="F495" s="43">
        <f>_xlfn.XLOOKUP(A495,Class_Players!A:A,Class_Players!G:G)</f>
        <v>177</v>
      </c>
      <c r="G495" s="43">
        <f t="shared" si="175"/>
        <v>0.14689265536723164</v>
      </c>
      <c r="H495" s="43">
        <f>_xlfn.XLOOKUP(A495,Class_Players!$A:$A,Class_Players!$F:$F,"")</f>
        <v>8436</v>
      </c>
      <c r="I495" s="44">
        <f t="shared" si="176"/>
        <v>3.0820293978188716E-3</v>
      </c>
      <c r="J495" s="43">
        <f t="shared" si="163"/>
        <v>0</v>
      </c>
      <c r="K495" s="44" cm="1">
        <f t="array" ref="K495">IF(D495="Gadget",_xlfn.IFS(I495&gt;=0.2,0.5,I495&gt;=0.1,0.35,I495&gt;=0.05,0.2,TRUE,0),IF(D495="Grenade",_xlfn.IFS(I495&gt;=0.2,1,I495&gt;=0.1,0.7,I495&gt;=0.05,0.4,TRUE,0),0))</f>
        <v>0</v>
      </c>
      <c r="L495" s="57">
        <f t="shared" si="173"/>
        <v>0</v>
      </c>
    </row>
    <row r="496" spans="1:12" x14ac:dyDescent="0.25">
      <c r="A496" s="42" t="str" cm="1">
        <f t="array" ref="A496">IFERROR(INDEX(_xlfn._xlws.FILTER(Class_Players!A:A,Class_Players!B:B="Assault"),QUOTIENT(ROW()-ROW($A$2),7)+1),"")</f>
        <v>Situ Sifang</v>
      </c>
      <c r="B496" s="42" t="str">
        <f>_xlfn.XLOOKUP(A496,Class_Players!$A:$A,Class_Players!$B:$B,"")</f>
        <v>Assault</v>
      </c>
      <c r="C496" s="48" t="str" cm="1">
        <f t="array" ref="C496">INDEX(Lookups!$A$2:$A$8,MOD(ROW()-ROW($B$2),ROWS(Lookups!$A$2:$A$8))+1)</f>
        <v>QLINK (Deploy Beacon)</v>
      </c>
      <c r="D496" s="48" t="str">
        <f>_xlfn.XLOOKUP(C496,Analysis_Gadgets!$C:$C,Analysis_Gadgets!$B:$B)</f>
        <v>Gadget</v>
      </c>
      <c r="E496" s="43">
        <v>5706</v>
      </c>
      <c r="F496" s="43">
        <f>_xlfn.XLOOKUP(A496,Class_Players!A:A,Class_Players!G:G)</f>
        <v>177</v>
      </c>
      <c r="G496" s="43">
        <f t="shared" si="175"/>
        <v>32.237288135593218</v>
      </c>
      <c r="H496" s="43">
        <f>_xlfn.XLOOKUP(A496,Class_Players!$A:$A,Class_Players!$F:$F,"")</f>
        <v>8436</v>
      </c>
      <c r="I496" s="44">
        <f t="shared" si="176"/>
        <v>0.67638691322901845</v>
      </c>
      <c r="J496" s="43">
        <f t="shared" si="163"/>
        <v>1</v>
      </c>
      <c r="K496" s="44" cm="1">
        <f t="array" ref="K496">IF(D496="Gadget",_xlfn.IFS(I496&gt;=0.2,0.5,I496&gt;=0.1,0.35,I496&gt;=0.05,0.2,TRUE,0),IF(D496="Grenade",_xlfn.IFS(I496&gt;=0.2,1,I496&gt;=0.1,0.7,I496&gt;=0.05,0.4,TRUE,0),0))</f>
        <v>0.5</v>
      </c>
      <c r="L496" s="57">
        <f t="shared" si="173"/>
        <v>0.37037037037037035</v>
      </c>
    </row>
    <row r="497" spans="1:12" x14ac:dyDescent="0.25">
      <c r="A497" s="42" t="str" cm="1">
        <f t="array" ref="A497">IFERROR(INDEX(_xlfn._xlws.FILTER(Class_Players!A:A,Class_Players!B:B="Assault"),QUOTIENT(ROW()-ROW($A$2),7)+1),"")</f>
        <v>Situ Sifang</v>
      </c>
      <c r="B497" s="42" t="str">
        <f>_xlfn.XLOOKUP(A497,Class_Players!$A:$A,Class_Players!$B:$B,"")</f>
        <v>Assault</v>
      </c>
      <c r="C497" s="48" t="str" cm="1">
        <f t="array" ref="C497">INDEX(Lookups!$A$2:$A$8,MOD(ROW()-ROW($B$2),ROWS(Lookups!$A$2:$A$8))+1)</f>
        <v>Stun Grenade</v>
      </c>
      <c r="D497" s="48" t="str">
        <f>_xlfn.XLOOKUP(C497,Analysis_Gadgets!$C:$C,Analysis_Gadgets!$B:$B)</f>
        <v>Grenade</v>
      </c>
      <c r="E497" s="43">
        <v>0</v>
      </c>
      <c r="F497" s="43">
        <f>_xlfn.XLOOKUP(A497,Class_Players!A:A,Class_Players!G:G)</f>
        <v>177</v>
      </c>
      <c r="G497" s="43">
        <f t="shared" si="175"/>
        <v>0</v>
      </c>
      <c r="H497" s="43">
        <f>_xlfn.XLOOKUP(A497,Class_Players!$A:$A,Class_Players!$F:$F,"")</f>
        <v>8436</v>
      </c>
      <c r="I497" s="44">
        <f t="shared" si="176"/>
        <v>0</v>
      </c>
      <c r="J497" s="43">
        <f t="shared" si="163"/>
        <v>0</v>
      </c>
      <c r="K497" s="44" cm="1">
        <f t="array" ref="K497">IF(D497="Gadget",_xlfn.IFS(I497&gt;=0.2,0.5,I497&gt;=0.1,0.35,I497&gt;=0.05,0.2,TRUE,0),IF(D497="Grenade",_xlfn.IFS(I497&gt;=0.2,1,I497&gt;=0.1,0.7,I497&gt;=0.05,0.4,TRUE,0),0))</f>
        <v>0</v>
      </c>
      <c r="L497" s="57">
        <f t="shared" si="174"/>
        <v>0</v>
      </c>
    </row>
    <row r="498" spans="1:12" x14ac:dyDescent="0.25">
      <c r="A498" s="42" t="str" cm="1">
        <f t="array" ref="A498">IFERROR(INDEX(_xlfn._xlws.FILTER(Class_Players!A:A,Class_Players!B:B="Assault"),QUOTIENT(ROW()-ROW($A$2),7)+1),"")</f>
        <v>Situ Sifang</v>
      </c>
      <c r="B498" s="42" t="str">
        <f>_xlfn.XLOOKUP(A498,Class_Players!$A:$A,Class_Players!$B:$B,"")</f>
        <v>Assault</v>
      </c>
      <c r="C498" s="48" t="str" cm="1">
        <f t="array" ref="C498">INDEX(Lookups!$A$2:$A$8,MOD(ROW()-ROW($B$2),ROWS(Lookups!$A$2:$A$8))+1)</f>
        <v>Flash Grenade</v>
      </c>
      <c r="D498" s="48" t="str">
        <f>_xlfn.XLOOKUP(C498,Analysis_Gadgets!$C:$C,Analysis_Gadgets!$B:$B)</f>
        <v>Grenade</v>
      </c>
      <c r="E498" s="43">
        <v>11</v>
      </c>
      <c r="F498" s="43">
        <f>_xlfn.XLOOKUP(A498,Class_Players!A:A,Class_Players!G:G)</f>
        <v>177</v>
      </c>
      <c r="G498" s="43">
        <f t="shared" si="175"/>
        <v>6.2146892655367235E-2</v>
      </c>
      <c r="H498" s="43">
        <f>_xlfn.XLOOKUP(A498,Class_Players!$A:$A,Class_Players!$F:$F,"")</f>
        <v>8436</v>
      </c>
      <c r="I498" s="44">
        <f t="shared" si="176"/>
        <v>1.3039355144618303E-3</v>
      </c>
      <c r="J498" s="43">
        <f t="shared" si="163"/>
        <v>0</v>
      </c>
      <c r="K498" s="44" cm="1">
        <f t="array" ref="K498">IF(D498="Gadget",_xlfn.IFS(I498&gt;=0.2,0.5,I498&gt;=0.1,0.35,I498&gt;=0.05,0.2,TRUE,0),IF(D498="Grenade",_xlfn.IFS(I498&gt;=0.2,1,I498&gt;=0.1,0.7,I498&gt;=0.05,0.4,TRUE,0),0))</f>
        <v>0</v>
      </c>
      <c r="L498" s="57">
        <f t="shared" si="174"/>
        <v>0</v>
      </c>
    </row>
    <row r="499" spans="1:12" x14ac:dyDescent="0.25">
      <c r="A499" s="42" t="str" cm="1">
        <f t="array" ref="A499">IFERROR(INDEX(_xlfn._xlws.FILTER(Class_Players!A:A,Class_Players!B:B="Assault"),QUOTIENT(ROW()-ROW($A$2),7)+1),"")</f>
        <v>TsaDiNi</v>
      </c>
      <c r="B499" s="42" t="str">
        <f>_xlfn.XLOOKUP(A499,Class_Players!$A:$A,Class_Players!$B:$B,"")</f>
        <v>Assault</v>
      </c>
      <c r="C499" s="48" t="str" cm="1">
        <f t="array" ref="C499">INDEX(Lookups!$A$2:$A$8,MOD(ROW()-ROW($B$2),ROWS(Lookups!$A$2:$A$8))+1)</f>
        <v>Assault Ladder</v>
      </c>
      <c r="D499" s="48" t="str">
        <f>_xlfn.XLOOKUP(C499,Analysis_Gadgets!$C:$C,Analysis_Gadgets!$B:$B)</f>
        <v>Gadget</v>
      </c>
      <c r="E499" s="43">
        <v>288</v>
      </c>
      <c r="F499" s="43">
        <f>_xlfn.XLOOKUP(A499,Class_Players!A:A,Class_Players!G:G)</f>
        <v>171</v>
      </c>
      <c r="G499" s="43">
        <f t="shared" si="175"/>
        <v>1.6842105263157894</v>
      </c>
      <c r="H499" s="43">
        <f>_xlfn.XLOOKUP(A499,Class_Players!$A:$A,Class_Players!$F:$F,"")</f>
        <v>8510</v>
      </c>
      <c r="I499" s="44">
        <f t="shared" si="176"/>
        <v>3.3842538190364278E-2</v>
      </c>
      <c r="J499" s="43">
        <f t="shared" si="163"/>
        <v>0</v>
      </c>
      <c r="K499" s="44" cm="1">
        <f t="array" ref="K499">IF(D499="Gadget",_xlfn.IFS(I499&gt;=0.2,0.5,I499&gt;=0.1,0.35,I499&gt;=0.05,0.2,TRUE,0),IF(D499="Grenade",_xlfn.IFS(I499&gt;=0.2,1,I499&gt;=0.1,0.7,I499&gt;=0.05,0.4,TRUE,0),0))</f>
        <v>0</v>
      </c>
      <c r="L499" s="57">
        <f t="shared" ref="L499:L503" si="177">IF($K499=0,0,$K499 / SUMIFS($K:$K,$A:$A,$A499,$D:$D,"Gadget"))</f>
        <v>0</v>
      </c>
    </row>
    <row r="500" spans="1:12" x14ac:dyDescent="0.25">
      <c r="A500" s="42" t="str" cm="1">
        <f t="array" ref="A500">IFERROR(INDEX(_xlfn._xlws.FILTER(Class_Players!A:A,Class_Players!B:B="Assault"),QUOTIENT(ROW()-ROW($A$2),7)+1),"")</f>
        <v>TsaDiNi</v>
      </c>
      <c r="B500" s="42" t="str">
        <f>_xlfn.XLOOKUP(A500,Class_Players!$A:$A,Class_Players!$B:$B,"")</f>
        <v>Assault</v>
      </c>
      <c r="C500" s="48" t="str" cm="1">
        <f t="array" ref="C500">INDEX(Lookups!$A$2:$A$8,MOD(ROW()-ROW($B$2),ROWS(Lookups!$A$2:$A$8))+1)</f>
        <v>X95 BRE (Breaching Projectile Launcher)</v>
      </c>
      <c r="D500" s="48" t="str">
        <f>_xlfn.XLOOKUP(C500,Analysis_Gadgets!$C:$C,Analysis_Gadgets!$B:$B)</f>
        <v>Gadget</v>
      </c>
      <c r="E500" s="43">
        <v>6</v>
      </c>
      <c r="F500" s="43">
        <f>_xlfn.XLOOKUP(A500,Class_Players!A:A,Class_Players!G:G)</f>
        <v>171</v>
      </c>
      <c r="G500" s="43">
        <f t="shared" si="175"/>
        <v>3.5087719298245612E-2</v>
      </c>
      <c r="H500" s="43">
        <f>_xlfn.XLOOKUP(A500,Class_Players!$A:$A,Class_Players!$F:$F,"")</f>
        <v>8510</v>
      </c>
      <c r="I500" s="44">
        <f t="shared" si="176"/>
        <v>7.0505287896592246E-4</v>
      </c>
      <c r="J500" s="43">
        <f t="shared" si="163"/>
        <v>0</v>
      </c>
      <c r="K500" s="44" cm="1">
        <f t="array" ref="K500">IF(D500="Gadget",_xlfn.IFS(I500&gt;=0.2,0.5,I500&gt;=0.1,0.35,I500&gt;=0.05,0.2,TRUE,0),IF(D500="Grenade",_xlfn.IFS(I500&gt;=0.2,1,I500&gt;=0.1,0.7,I500&gt;=0.05,0.4,TRUE,0),0))</f>
        <v>0</v>
      </c>
      <c r="L500" s="57">
        <f t="shared" si="177"/>
        <v>0</v>
      </c>
    </row>
    <row r="501" spans="1:12" x14ac:dyDescent="0.25">
      <c r="A501" s="42" t="str" cm="1">
        <f t="array" ref="A501">IFERROR(INDEX(_xlfn._xlws.FILTER(Class_Players!A:A,Class_Players!B:B="Assault"),QUOTIENT(ROW()-ROW($A$2),7)+1),"")</f>
        <v>TsaDiNi</v>
      </c>
      <c r="B501" s="42" t="str">
        <f>_xlfn.XLOOKUP(A501,Class_Players!$A:$A,Class_Players!$B:$B,"")</f>
        <v>Assault</v>
      </c>
      <c r="C501" s="48" t="str" cm="1">
        <f t="array" ref="C501">INDEX(Lookups!$A$2:$A$8,MOD(ROW()-ROW($B$2),ROWS(Lookups!$A$2:$A$8))+1)</f>
        <v>M320A1 HE (Grenade Launcher)</v>
      </c>
      <c r="D501" s="48" t="str">
        <f>_xlfn.XLOOKUP(C501,Analysis_Gadgets!$C:$C,Analysis_Gadgets!$B:$B)</f>
        <v>Gadget</v>
      </c>
      <c r="E501" s="43">
        <v>4618</v>
      </c>
      <c r="F501" s="43">
        <f>_xlfn.XLOOKUP(A501,Class_Players!A:A,Class_Players!G:G)</f>
        <v>171</v>
      </c>
      <c r="G501" s="43">
        <f t="shared" si="175"/>
        <v>27.005847953216374</v>
      </c>
      <c r="H501" s="43">
        <f>_xlfn.XLOOKUP(A501,Class_Players!$A:$A,Class_Players!$F:$F,"")</f>
        <v>8510</v>
      </c>
      <c r="I501" s="44">
        <f t="shared" si="176"/>
        <v>0.54265569917743828</v>
      </c>
      <c r="J501" s="43">
        <f t="shared" si="163"/>
        <v>1</v>
      </c>
      <c r="K501" s="44" cm="1">
        <f t="array" ref="K501">IF(D501="Gadget",_xlfn.IFS(I501&gt;=0.2,0.5,I501&gt;=0.1,0.35,I501&gt;=0.05,0.2,TRUE,0),IF(D501="Grenade",_xlfn.IFS(I501&gt;=0.2,1,I501&gt;=0.1,0.7,I501&gt;=0.05,0.4,TRUE,0),0))</f>
        <v>0.5</v>
      </c>
      <c r="L501" s="57">
        <f t="shared" si="177"/>
        <v>0.5</v>
      </c>
    </row>
    <row r="502" spans="1:12" x14ac:dyDescent="0.25">
      <c r="A502" s="42" t="str" cm="1">
        <f t="array" ref="A502">IFERROR(INDEX(_xlfn._xlws.FILTER(Class_Players!A:A,Class_Players!B:B="Assault"),QUOTIENT(ROW()-ROW($A$2),7)+1),"")</f>
        <v>TsaDiNi</v>
      </c>
      <c r="B502" s="42" t="str">
        <f>_xlfn.XLOOKUP(A502,Class_Players!$A:$A,Class_Players!$B:$B,"")</f>
        <v>Assault</v>
      </c>
      <c r="C502" s="48" t="str" cm="1">
        <f t="array" ref="C502">INDEX(Lookups!$A$2:$A$8,MOD(ROW()-ROW($B$2),ROWS(Lookups!$A$2:$A$8))+1)</f>
        <v>M320A1 THRM    (Incendiary Grenade Launcher)</v>
      </c>
      <c r="D502" s="48" t="str">
        <f>_xlfn.XLOOKUP(C502,Analysis_Gadgets!$C:$C,Analysis_Gadgets!$B:$B)</f>
        <v>Gadget</v>
      </c>
      <c r="E502" s="43">
        <v>18</v>
      </c>
      <c r="F502" s="43">
        <f>_xlfn.XLOOKUP(A502,Class_Players!A:A,Class_Players!G:G)</f>
        <v>171</v>
      </c>
      <c r="G502" s="43">
        <f t="shared" si="175"/>
        <v>0.10526315789473684</v>
      </c>
      <c r="H502" s="43">
        <f>_xlfn.XLOOKUP(A502,Class_Players!$A:$A,Class_Players!$F:$F,"")</f>
        <v>8510</v>
      </c>
      <c r="I502" s="44">
        <f t="shared" si="176"/>
        <v>2.1151586368977674E-3</v>
      </c>
      <c r="J502" s="43">
        <f t="shared" si="163"/>
        <v>0</v>
      </c>
      <c r="K502" s="44" cm="1">
        <f t="array" ref="K502">IF(D502="Gadget",_xlfn.IFS(I502&gt;=0.2,0.5,I502&gt;=0.1,0.35,I502&gt;=0.05,0.2,TRUE,0),IF(D502="Grenade",_xlfn.IFS(I502&gt;=0.2,1,I502&gt;=0.1,0.7,I502&gt;=0.05,0.4,TRUE,0),0))</f>
        <v>0</v>
      </c>
      <c r="L502" s="57">
        <f t="shared" si="177"/>
        <v>0</v>
      </c>
    </row>
    <row r="503" spans="1:12" x14ac:dyDescent="0.25">
      <c r="A503" s="42" t="str" cm="1">
        <f t="array" ref="A503">IFERROR(INDEX(_xlfn._xlws.FILTER(Class_Players!A:A,Class_Players!B:B="Assault"),QUOTIENT(ROW()-ROW($A$2),7)+1),"")</f>
        <v>TsaDiNi</v>
      </c>
      <c r="B503" s="42" t="str">
        <f>_xlfn.XLOOKUP(A503,Class_Players!$A:$A,Class_Players!$B:$B,"")</f>
        <v>Assault</v>
      </c>
      <c r="C503" s="48" t="str" cm="1">
        <f t="array" ref="C503">INDEX(Lookups!$A$2:$A$8,MOD(ROW()-ROW($B$2),ROWS(Lookups!$A$2:$A$8))+1)</f>
        <v>QLINK (Deploy Beacon)</v>
      </c>
      <c r="D503" s="48" t="str">
        <f>_xlfn.XLOOKUP(C503,Analysis_Gadgets!$C:$C,Analysis_Gadgets!$B:$B)</f>
        <v>Gadget</v>
      </c>
      <c r="E503" s="43">
        <v>5678</v>
      </c>
      <c r="F503" s="43">
        <f>_xlfn.XLOOKUP(A503,Class_Players!A:A,Class_Players!G:G)</f>
        <v>171</v>
      </c>
      <c r="G503" s="43">
        <f t="shared" si="175"/>
        <v>33.204678362573098</v>
      </c>
      <c r="H503" s="43">
        <f>_xlfn.XLOOKUP(A503,Class_Players!$A:$A,Class_Players!$F:$F,"")</f>
        <v>8510</v>
      </c>
      <c r="I503" s="44">
        <f t="shared" si="176"/>
        <v>0.66721504112808461</v>
      </c>
      <c r="J503" s="43">
        <f t="shared" si="163"/>
        <v>1</v>
      </c>
      <c r="K503" s="44" cm="1">
        <f t="array" ref="K503">IF(D503="Gadget",_xlfn.IFS(I503&gt;=0.2,0.5,I503&gt;=0.1,0.35,I503&gt;=0.05,0.2,TRUE,0),IF(D503="Grenade",_xlfn.IFS(I503&gt;=0.2,1,I503&gt;=0.1,0.7,I503&gt;=0.05,0.4,TRUE,0),0))</f>
        <v>0.5</v>
      </c>
      <c r="L503" s="57">
        <f t="shared" si="177"/>
        <v>0.5</v>
      </c>
    </row>
    <row r="504" spans="1:12" x14ac:dyDescent="0.25">
      <c r="A504" s="42" t="str" cm="1">
        <f t="array" ref="A504">IFERROR(INDEX(_xlfn._xlws.FILTER(Class_Players!A:A,Class_Players!B:B="Assault"),QUOTIENT(ROW()-ROW($A$2),7)+1),"")</f>
        <v>TsaDiNi</v>
      </c>
      <c r="B504" s="42" t="str">
        <f>_xlfn.XLOOKUP(A504,Class_Players!$A:$A,Class_Players!$B:$B,"")</f>
        <v>Assault</v>
      </c>
      <c r="C504" s="48" t="str" cm="1">
        <f t="array" ref="C504">INDEX(Lookups!$A$2:$A$8,MOD(ROW()-ROW($B$2),ROWS(Lookups!$A$2:$A$8))+1)</f>
        <v>Stun Grenade</v>
      </c>
      <c r="D504" s="48" t="str">
        <f>_xlfn.XLOOKUP(C504,Analysis_Gadgets!$C:$C,Analysis_Gadgets!$B:$B)</f>
        <v>Grenade</v>
      </c>
      <c r="E504" s="43">
        <v>175</v>
      </c>
      <c r="F504" s="43">
        <f>_xlfn.XLOOKUP(A504,Class_Players!A:A,Class_Players!G:G)</f>
        <v>171</v>
      </c>
      <c r="G504" s="43">
        <f t="shared" si="175"/>
        <v>1.0233918128654971</v>
      </c>
      <c r="H504" s="43">
        <f>_xlfn.XLOOKUP(A504,Class_Players!$A:$A,Class_Players!$F:$F,"")</f>
        <v>8510</v>
      </c>
      <c r="I504" s="44">
        <f t="shared" si="176"/>
        <v>2.0564042303172738E-2</v>
      </c>
      <c r="J504" s="43">
        <f t="shared" si="163"/>
        <v>0</v>
      </c>
      <c r="K504" s="44" cm="1">
        <f t="array" ref="K504">IF(D504="Gadget",_xlfn.IFS(I504&gt;=0.2,0.5,I504&gt;=0.1,0.35,I504&gt;=0.05,0.2,TRUE,0),IF(D504="Grenade",_xlfn.IFS(I504&gt;=0.2,1,I504&gt;=0.1,0.7,I504&gt;=0.05,0.4,TRUE,0),0))</f>
        <v>0</v>
      </c>
      <c r="L504" s="57">
        <f t="shared" si="174"/>
        <v>0</v>
      </c>
    </row>
    <row r="505" spans="1:12" x14ac:dyDescent="0.25">
      <c r="A505" s="42" t="str" cm="1">
        <f t="array" ref="A505">IFERROR(INDEX(_xlfn._xlws.FILTER(Class_Players!A:A,Class_Players!B:B="Assault"),QUOTIENT(ROW()-ROW($A$2),7)+1),"")</f>
        <v>TsaDiNi</v>
      </c>
      <c r="B505" s="42" t="str">
        <f>_xlfn.XLOOKUP(A505,Class_Players!$A:$A,Class_Players!$B:$B,"")</f>
        <v>Assault</v>
      </c>
      <c r="C505" s="48" t="str" cm="1">
        <f t="array" ref="C505">INDEX(Lookups!$A$2:$A$8,MOD(ROW()-ROW($B$2),ROWS(Lookups!$A$2:$A$8))+1)</f>
        <v>Flash Grenade</v>
      </c>
      <c r="D505" s="48" t="str">
        <f>_xlfn.XLOOKUP(C505,Analysis_Gadgets!$C:$C,Analysis_Gadgets!$B:$B)</f>
        <v>Grenade</v>
      </c>
      <c r="E505" s="43">
        <v>57</v>
      </c>
      <c r="F505" s="43">
        <f>_xlfn.XLOOKUP(A505,Class_Players!A:A,Class_Players!G:G)</f>
        <v>171</v>
      </c>
      <c r="G505" s="43">
        <f t="shared" si="175"/>
        <v>0.33333333333333331</v>
      </c>
      <c r="H505" s="43">
        <f>_xlfn.XLOOKUP(A505,Class_Players!$A:$A,Class_Players!$F:$F,"")</f>
        <v>8510</v>
      </c>
      <c r="I505" s="44">
        <f t="shared" si="176"/>
        <v>6.6980023501762636E-3</v>
      </c>
      <c r="J505" s="43">
        <f t="shared" si="163"/>
        <v>0</v>
      </c>
      <c r="K505" s="44" cm="1">
        <f t="array" ref="K505">IF(D505="Gadget",_xlfn.IFS(I505&gt;=0.2,0.5,I505&gt;=0.1,0.35,I505&gt;=0.05,0.2,TRUE,0),IF(D505="Grenade",_xlfn.IFS(I505&gt;=0.2,1,I505&gt;=0.1,0.7,I505&gt;=0.05,0.4,TRUE,0),0))</f>
        <v>0</v>
      </c>
      <c r="L505" s="57">
        <f t="shared" si="174"/>
        <v>0</v>
      </c>
    </row>
    <row r="506" spans="1:12" x14ac:dyDescent="0.25">
      <c r="A506" s="42" t="str" cm="1">
        <f t="array" ref="A506">IFERROR(INDEX(_xlfn._xlws.FILTER(Class_Players!A:A,Class_Players!B:B="Assault"),QUOTIENT(ROW()-ROW($A$2),7)+1),"")</f>
        <v>Villkiss</v>
      </c>
      <c r="B506" s="42" t="str">
        <f>_xlfn.XLOOKUP(A506,Class_Players!$A:$A,Class_Players!$B:$B,"")</f>
        <v>Assault</v>
      </c>
      <c r="C506" s="48" t="str" cm="1">
        <f t="array" ref="C506">INDEX(Lookups!$A$2:$A$8,MOD(ROW()-ROW($B$2),ROWS(Lookups!$A$2:$A$8))+1)</f>
        <v>Assault Ladder</v>
      </c>
      <c r="D506" s="48" t="str">
        <f>_xlfn.XLOOKUP(C506,Analysis_Gadgets!$C:$C,Analysis_Gadgets!$B:$B)</f>
        <v>Gadget</v>
      </c>
      <c r="E506" s="43">
        <v>15</v>
      </c>
      <c r="F506" s="43">
        <f>_xlfn.XLOOKUP(A506,Class_Players!A:A,Class_Players!G:G)</f>
        <v>135</v>
      </c>
      <c r="G506" s="43">
        <f t="shared" si="175"/>
        <v>0.1111111111111111</v>
      </c>
      <c r="H506" s="43">
        <f>_xlfn.XLOOKUP(A506,Class_Players!$A:$A,Class_Players!$F:$F,"")</f>
        <v>8323</v>
      </c>
      <c r="I506" s="44">
        <f t="shared" si="176"/>
        <v>1.8022347711161841E-3</v>
      </c>
      <c r="J506" s="43">
        <f t="shared" si="163"/>
        <v>0</v>
      </c>
      <c r="K506" s="44" cm="1">
        <f t="array" ref="K506">IF(D506="Gadget",_xlfn.IFS(I506&gt;=0.2,0.5,I506&gt;=0.1,0.35,I506&gt;=0.05,0.2,TRUE,0),IF(D506="Grenade",_xlfn.IFS(I506&gt;=0.2,1,I506&gt;=0.1,0.7,I506&gt;=0.05,0.4,TRUE,0),0))</f>
        <v>0</v>
      </c>
      <c r="L506" s="57">
        <f t="shared" ref="L506:L510" si="178">IF($K506=0,0,$K506 / SUMIFS($K:$K,$A:$A,$A506,$D:$D,"Gadget"))</f>
        <v>0</v>
      </c>
    </row>
    <row r="507" spans="1:12" x14ac:dyDescent="0.25">
      <c r="A507" s="42" t="str" cm="1">
        <f t="array" ref="A507">IFERROR(INDEX(_xlfn._xlws.FILTER(Class_Players!A:A,Class_Players!B:B="Assault"),QUOTIENT(ROW()-ROW($A$2),7)+1),"")</f>
        <v>Villkiss</v>
      </c>
      <c r="B507" s="42" t="str">
        <f>_xlfn.XLOOKUP(A507,Class_Players!$A:$A,Class_Players!$B:$B,"")</f>
        <v>Assault</v>
      </c>
      <c r="C507" s="48" t="str" cm="1">
        <f t="array" ref="C507">INDEX(Lookups!$A$2:$A$8,MOD(ROW()-ROW($B$2),ROWS(Lookups!$A$2:$A$8))+1)</f>
        <v>X95 BRE (Breaching Projectile Launcher)</v>
      </c>
      <c r="D507" s="48" t="str">
        <f>_xlfn.XLOOKUP(C507,Analysis_Gadgets!$C:$C,Analysis_Gadgets!$B:$B)</f>
        <v>Gadget</v>
      </c>
      <c r="E507" s="43">
        <v>0</v>
      </c>
      <c r="F507" s="43">
        <f>_xlfn.XLOOKUP(A507,Class_Players!A:A,Class_Players!G:G)</f>
        <v>135</v>
      </c>
      <c r="G507" s="43">
        <f t="shared" si="175"/>
        <v>0</v>
      </c>
      <c r="H507" s="43">
        <f>_xlfn.XLOOKUP(A507,Class_Players!$A:$A,Class_Players!$F:$F,"")</f>
        <v>8323</v>
      </c>
      <c r="I507" s="44">
        <f t="shared" si="176"/>
        <v>0</v>
      </c>
      <c r="J507" s="43">
        <f t="shared" si="163"/>
        <v>0</v>
      </c>
      <c r="K507" s="44" cm="1">
        <f t="array" ref="K507">IF(D507="Gadget",_xlfn.IFS(I507&gt;=0.2,0.5,I507&gt;=0.1,0.35,I507&gt;=0.05,0.2,TRUE,0),IF(D507="Grenade",_xlfn.IFS(I507&gt;=0.2,1,I507&gt;=0.1,0.7,I507&gt;=0.05,0.4,TRUE,0),0))</f>
        <v>0</v>
      </c>
      <c r="L507" s="57">
        <f t="shared" si="178"/>
        <v>0</v>
      </c>
    </row>
    <row r="508" spans="1:12" x14ac:dyDescent="0.25">
      <c r="A508" s="42" t="str" cm="1">
        <f t="array" ref="A508">IFERROR(INDEX(_xlfn._xlws.FILTER(Class_Players!A:A,Class_Players!B:B="Assault"),QUOTIENT(ROW()-ROW($A$2),7)+1),"")</f>
        <v>Villkiss</v>
      </c>
      <c r="B508" s="42" t="str">
        <f>_xlfn.XLOOKUP(A508,Class_Players!$A:$A,Class_Players!$B:$B,"")</f>
        <v>Assault</v>
      </c>
      <c r="C508" s="48" t="str" cm="1">
        <f t="array" ref="C508">INDEX(Lookups!$A$2:$A$8,MOD(ROW()-ROW($B$2),ROWS(Lookups!$A$2:$A$8))+1)</f>
        <v>M320A1 HE (Grenade Launcher)</v>
      </c>
      <c r="D508" s="48" t="str">
        <f>_xlfn.XLOOKUP(C508,Analysis_Gadgets!$C:$C,Analysis_Gadgets!$B:$B)</f>
        <v>Gadget</v>
      </c>
      <c r="E508" s="43">
        <v>3184</v>
      </c>
      <c r="F508" s="43">
        <f>_xlfn.XLOOKUP(A508,Class_Players!A:A,Class_Players!G:G)</f>
        <v>135</v>
      </c>
      <c r="G508" s="43">
        <f t="shared" si="175"/>
        <v>23.585185185185185</v>
      </c>
      <c r="H508" s="43">
        <f>_xlfn.XLOOKUP(A508,Class_Players!$A:$A,Class_Players!$F:$F,"")</f>
        <v>8323</v>
      </c>
      <c r="I508" s="44">
        <f t="shared" si="176"/>
        <v>0.38255436741559534</v>
      </c>
      <c r="J508" s="43">
        <f t="shared" si="163"/>
        <v>1</v>
      </c>
      <c r="K508" s="44" cm="1">
        <f t="array" ref="K508">IF(D508="Gadget",_xlfn.IFS(I508&gt;=0.2,0.5,I508&gt;=0.1,0.35,I508&gt;=0.05,0.2,TRUE,0),IF(D508="Grenade",_xlfn.IFS(I508&gt;=0.2,1,I508&gt;=0.1,0.7,I508&gt;=0.05,0.4,TRUE,0),0))</f>
        <v>0.5</v>
      </c>
      <c r="L508" s="57">
        <f t="shared" si="178"/>
        <v>0.5</v>
      </c>
    </row>
    <row r="509" spans="1:12" x14ac:dyDescent="0.25">
      <c r="A509" s="42" t="str" cm="1">
        <f t="array" ref="A509">IFERROR(INDEX(_xlfn._xlws.FILTER(Class_Players!A:A,Class_Players!B:B="Assault"),QUOTIENT(ROW()-ROW($A$2),7)+1),"")</f>
        <v>Villkiss</v>
      </c>
      <c r="B509" s="42" t="str">
        <f>_xlfn.XLOOKUP(A509,Class_Players!$A:$A,Class_Players!$B:$B,"")</f>
        <v>Assault</v>
      </c>
      <c r="C509" s="48" t="str" cm="1">
        <f t="array" ref="C509">INDEX(Lookups!$A$2:$A$8,MOD(ROW()-ROW($B$2),ROWS(Lookups!$A$2:$A$8))+1)</f>
        <v>M320A1 THRM    (Incendiary Grenade Launcher)</v>
      </c>
      <c r="D509" s="48" t="str">
        <f>_xlfn.XLOOKUP(C509,Analysis_Gadgets!$C:$C,Analysis_Gadgets!$B:$B)</f>
        <v>Gadget</v>
      </c>
      <c r="E509" s="43">
        <v>8</v>
      </c>
      <c r="F509" s="43">
        <f>_xlfn.XLOOKUP(A509,Class_Players!A:A,Class_Players!G:G)</f>
        <v>135</v>
      </c>
      <c r="G509" s="43">
        <f t="shared" si="175"/>
        <v>5.9259259259259262E-2</v>
      </c>
      <c r="H509" s="43">
        <f>_xlfn.XLOOKUP(A509,Class_Players!$A:$A,Class_Players!$F:$F,"")</f>
        <v>8323</v>
      </c>
      <c r="I509" s="44">
        <f t="shared" si="176"/>
        <v>9.6119187792863151E-4</v>
      </c>
      <c r="J509" s="43">
        <f t="shared" si="163"/>
        <v>0</v>
      </c>
      <c r="K509" s="44" cm="1">
        <f t="array" ref="K509">IF(D509="Gadget",_xlfn.IFS(I509&gt;=0.2,0.5,I509&gt;=0.1,0.35,I509&gt;=0.05,0.2,TRUE,0),IF(D509="Grenade",_xlfn.IFS(I509&gt;=0.2,1,I509&gt;=0.1,0.7,I509&gt;=0.05,0.4,TRUE,0),0))</f>
        <v>0</v>
      </c>
      <c r="L509" s="57">
        <f t="shared" si="178"/>
        <v>0</v>
      </c>
    </row>
    <row r="510" spans="1:12" x14ac:dyDescent="0.25">
      <c r="A510" s="42" t="str" cm="1">
        <f t="array" ref="A510">IFERROR(INDEX(_xlfn._xlws.FILTER(Class_Players!A:A,Class_Players!B:B="Assault"),QUOTIENT(ROW()-ROW($A$2),7)+1),"")</f>
        <v>Villkiss</v>
      </c>
      <c r="B510" s="42" t="str">
        <f>_xlfn.XLOOKUP(A510,Class_Players!$A:$A,Class_Players!$B:$B,"")</f>
        <v>Assault</v>
      </c>
      <c r="C510" s="48" t="str" cm="1">
        <f t="array" ref="C510">INDEX(Lookups!$A$2:$A$8,MOD(ROW()-ROW($B$2),ROWS(Lookups!$A$2:$A$8))+1)</f>
        <v>QLINK (Deploy Beacon)</v>
      </c>
      <c r="D510" s="48" t="str">
        <f>_xlfn.XLOOKUP(C510,Analysis_Gadgets!$C:$C,Analysis_Gadgets!$B:$B)</f>
        <v>Gadget</v>
      </c>
      <c r="E510" s="43">
        <v>2312</v>
      </c>
      <c r="F510" s="43">
        <f>_xlfn.XLOOKUP(A510,Class_Players!A:A,Class_Players!G:G)</f>
        <v>135</v>
      </c>
      <c r="G510" s="43">
        <f t="shared" si="175"/>
        <v>17.125925925925927</v>
      </c>
      <c r="H510" s="43">
        <f>_xlfn.XLOOKUP(A510,Class_Players!$A:$A,Class_Players!$F:$F,"")</f>
        <v>8323</v>
      </c>
      <c r="I510" s="44">
        <f t="shared" si="176"/>
        <v>0.27778445272137453</v>
      </c>
      <c r="J510" s="43">
        <f t="shared" si="163"/>
        <v>1</v>
      </c>
      <c r="K510" s="44" cm="1">
        <f t="array" ref="K510">IF(D510="Gadget",_xlfn.IFS(I510&gt;=0.2,0.5,I510&gt;=0.1,0.35,I510&gt;=0.05,0.2,TRUE,0),IF(D510="Grenade",_xlfn.IFS(I510&gt;=0.2,1,I510&gt;=0.1,0.7,I510&gt;=0.05,0.4,TRUE,0),0))</f>
        <v>0.5</v>
      </c>
      <c r="L510" s="57">
        <f t="shared" si="178"/>
        <v>0.5</v>
      </c>
    </row>
    <row r="511" spans="1:12" x14ac:dyDescent="0.25">
      <c r="A511" s="42" t="str" cm="1">
        <f t="array" ref="A511">IFERROR(INDEX(_xlfn._xlws.FILTER(Class_Players!A:A,Class_Players!B:B="Assault"),QUOTIENT(ROW()-ROW($A$2),7)+1),"")</f>
        <v>Villkiss</v>
      </c>
      <c r="B511" s="42" t="str">
        <f>_xlfn.XLOOKUP(A511,Class_Players!$A:$A,Class_Players!$B:$B,"")</f>
        <v>Assault</v>
      </c>
      <c r="C511" s="48" t="str" cm="1">
        <f t="array" ref="C511">INDEX(Lookups!$A$2:$A$8,MOD(ROW()-ROW($B$2),ROWS(Lookups!$A$2:$A$8))+1)</f>
        <v>Stun Grenade</v>
      </c>
      <c r="D511" s="48" t="str">
        <f>_xlfn.XLOOKUP(C511,Analysis_Gadgets!$C:$C,Analysis_Gadgets!$B:$B)</f>
        <v>Grenade</v>
      </c>
      <c r="E511" s="43">
        <v>23</v>
      </c>
      <c r="F511" s="43">
        <f>_xlfn.XLOOKUP(A511,Class_Players!A:A,Class_Players!G:G)</f>
        <v>135</v>
      </c>
      <c r="G511" s="43">
        <f t="shared" si="175"/>
        <v>0.17037037037037037</v>
      </c>
      <c r="H511" s="43">
        <f>_xlfn.XLOOKUP(A511,Class_Players!$A:$A,Class_Players!$F:$F,"")</f>
        <v>8323</v>
      </c>
      <c r="I511" s="44">
        <f t="shared" si="176"/>
        <v>2.7634266490448155E-3</v>
      </c>
      <c r="J511" s="43">
        <f t="shared" si="163"/>
        <v>0</v>
      </c>
      <c r="K511" s="44" cm="1">
        <f t="array" ref="K511">IF(D511="Gadget",_xlfn.IFS(I511&gt;=0.2,0.5,I511&gt;=0.1,0.35,I511&gt;=0.05,0.2,TRUE,0),IF(D511="Grenade",_xlfn.IFS(I511&gt;=0.2,1,I511&gt;=0.1,0.7,I511&gt;=0.05,0.4,TRUE,0),0))</f>
        <v>0</v>
      </c>
      <c r="L511" s="57">
        <f t="shared" si="174"/>
        <v>0</v>
      </c>
    </row>
    <row r="512" spans="1:12" x14ac:dyDescent="0.25">
      <c r="A512" s="42" t="str" cm="1">
        <f t="array" ref="A512">IFERROR(INDEX(_xlfn._xlws.FILTER(Class_Players!A:A,Class_Players!B:B="Assault"),QUOTIENT(ROW()-ROW($A$2),7)+1),"")</f>
        <v>Villkiss</v>
      </c>
      <c r="B512" s="42" t="str">
        <f>_xlfn.XLOOKUP(A512,Class_Players!$A:$A,Class_Players!$B:$B,"")</f>
        <v>Assault</v>
      </c>
      <c r="C512" s="48" t="str" cm="1">
        <f t="array" ref="C512">INDEX(Lookups!$A$2:$A$8,MOD(ROW()-ROW($B$2),ROWS(Lookups!$A$2:$A$8))+1)</f>
        <v>Flash Grenade</v>
      </c>
      <c r="D512" s="48" t="str">
        <f>_xlfn.XLOOKUP(C512,Analysis_Gadgets!$C:$C,Analysis_Gadgets!$B:$B)</f>
        <v>Grenade</v>
      </c>
      <c r="E512" s="43">
        <v>0</v>
      </c>
      <c r="F512" s="43">
        <f>_xlfn.XLOOKUP(A512,Class_Players!A:A,Class_Players!G:G)</f>
        <v>135</v>
      </c>
      <c r="G512" s="43">
        <f t="shared" si="175"/>
        <v>0</v>
      </c>
      <c r="H512" s="43">
        <f>_xlfn.XLOOKUP(A512,Class_Players!$A:$A,Class_Players!$F:$F,"")</f>
        <v>8323</v>
      </c>
      <c r="I512" s="44">
        <f t="shared" si="176"/>
        <v>0</v>
      </c>
      <c r="J512" s="43">
        <f t="shared" si="163"/>
        <v>0</v>
      </c>
      <c r="K512" s="44" cm="1">
        <f t="array" ref="K512">IF(D512="Gadget",_xlfn.IFS(I512&gt;=0.2,0.5,I512&gt;=0.1,0.35,I512&gt;=0.05,0.2,TRUE,0),IF(D512="Grenade",_xlfn.IFS(I512&gt;=0.2,1,I512&gt;=0.1,0.7,I512&gt;=0.05,0.4,TRUE,0),0))</f>
        <v>0</v>
      </c>
      <c r="L512" s="57">
        <f t="shared" si="174"/>
        <v>0</v>
      </c>
    </row>
    <row r="513" spans="1:12" x14ac:dyDescent="0.25">
      <c r="A513" s="42" t="str" cm="1">
        <f t="array" ref="A513">IFERROR(INDEX(_xlfn._xlws.FILTER(Class_Players!A:A,Class_Players!B:B="Assault"),QUOTIENT(ROW()-ROW($A$2),7)+1),"")</f>
        <v>L O V E</v>
      </c>
      <c r="B513" s="42" t="str">
        <f>_xlfn.XLOOKUP(A513,Class_Players!$A:$A,Class_Players!$B:$B,"")</f>
        <v>Assault</v>
      </c>
      <c r="C513" s="48" t="str" cm="1">
        <f t="array" ref="C513">INDEX(Lookups!$A$2:$A$8,MOD(ROW()-ROW($B$2),ROWS(Lookups!$A$2:$A$8))+1)</f>
        <v>Assault Ladder</v>
      </c>
      <c r="D513" s="48" t="str">
        <f>_xlfn.XLOOKUP(C513,Analysis_Gadgets!$C:$C,Analysis_Gadgets!$B:$B)</f>
        <v>Gadget</v>
      </c>
      <c r="E513" s="43">
        <v>3066</v>
      </c>
      <c r="F513" s="43">
        <f>_xlfn.XLOOKUP(A513,Class_Players!A:A,Class_Players!G:G)</f>
        <v>105</v>
      </c>
      <c r="G513" s="43">
        <f t="shared" si="175"/>
        <v>29.2</v>
      </c>
      <c r="H513" s="43">
        <f>_xlfn.XLOOKUP(A513,Class_Players!$A:$A,Class_Players!$F:$F,"")</f>
        <v>8438</v>
      </c>
      <c r="I513" s="44">
        <f t="shared" si="176"/>
        <v>0.36335624555581891</v>
      </c>
      <c r="J513" s="43">
        <f t="shared" si="163"/>
        <v>1</v>
      </c>
      <c r="K513" s="44" cm="1">
        <f t="array" ref="K513">IF(D513="Gadget",_xlfn.IFS(I513&gt;=0.2,0.5,I513&gt;=0.1,0.35,I513&gt;=0.05,0.2,TRUE,0),IF(D513="Grenade",_xlfn.IFS(I513&gt;=0.2,1,I513&gt;=0.1,0.7,I513&gt;=0.05,0.4,TRUE,0),0))</f>
        <v>0.5</v>
      </c>
      <c r="L513" s="57">
        <f t="shared" ref="L513:L517" si="179">IF($K513=0,0,$K513 / SUMIFS($K:$K,$A:$A,$A513,$D:$D,"Gadget"))</f>
        <v>0.5</v>
      </c>
    </row>
    <row r="514" spans="1:12" x14ac:dyDescent="0.25">
      <c r="A514" s="42" t="str" cm="1">
        <f t="array" ref="A514">IFERROR(INDEX(_xlfn._xlws.FILTER(Class_Players!A:A,Class_Players!B:B="Assault"),QUOTIENT(ROW()-ROW($A$2),7)+1),"")</f>
        <v>L O V E</v>
      </c>
      <c r="B514" s="42" t="str">
        <f>_xlfn.XLOOKUP(A514,Class_Players!$A:$A,Class_Players!$B:$B,"")</f>
        <v>Assault</v>
      </c>
      <c r="C514" s="48" t="str" cm="1">
        <f t="array" ref="C514">INDEX(Lookups!$A$2:$A$8,MOD(ROW()-ROW($B$2),ROWS(Lookups!$A$2:$A$8))+1)</f>
        <v>X95 BRE (Breaching Projectile Launcher)</v>
      </c>
      <c r="D514" s="48" t="str">
        <f>_xlfn.XLOOKUP(C514,Analysis_Gadgets!$C:$C,Analysis_Gadgets!$B:$B)</f>
        <v>Gadget</v>
      </c>
      <c r="E514" s="43">
        <v>0</v>
      </c>
      <c r="F514" s="43">
        <f>_xlfn.XLOOKUP(A514,Class_Players!A:A,Class_Players!G:G)</f>
        <v>105</v>
      </c>
      <c r="G514" s="43">
        <f t="shared" si="175"/>
        <v>0</v>
      </c>
      <c r="H514" s="43">
        <f>_xlfn.XLOOKUP(A514,Class_Players!$A:$A,Class_Players!$F:$F,"")</f>
        <v>8438</v>
      </c>
      <c r="I514" s="44">
        <f t="shared" si="176"/>
        <v>0</v>
      </c>
      <c r="J514" s="43">
        <f t="shared" si="163"/>
        <v>0</v>
      </c>
      <c r="K514" s="44" cm="1">
        <f t="array" ref="K514">IF(D514="Gadget",_xlfn.IFS(I514&gt;=0.2,0.5,I514&gt;=0.1,0.35,I514&gt;=0.05,0.2,TRUE,0),IF(D514="Grenade",_xlfn.IFS(I514&gt;=0.2,1,I514&gt;=0.1,0.7,I514&gt;=0.05,0.4,TRUE,0),0))</f>
        <v>0</v>
      </c>
      <c r="L514" s="57">
        <f t="shared" si="179"/>
        <v>0</v>
      </c>
    </row>
    <row r="515" spans="1:12" x14ac:dyDescent="0.25">
      <c r="A515" s="42" t="str" cm="1">
        <f t="array" ref="A515">IFERROR(INDEX(_xlfn._xlws.FILTER(Class_Players!A:A,Class_Players!B:B="Assault"),QUOTIENT(ROW()-ROW($A$2),7)+1),"")</f>
        <v>L O V E</v>
      </c>
      <c r="B515" s="42" t="str">
        <f>_xlfn.XLOOKUP(A515,Class_Players!$A:$A,Class_Players!$B:$B,"")</f>
        <v>Assault</v>
      </c>
      <c r="C515" s="48" t="str" cm="1">
        <f t="array" ref="C515">INDEX(Lookups!$A$2:$A$8,MOD(ROW()-ROW($B$2),ROWS(Lookups!$A$2:$A$8))+1)</f>
        <v>M320A1 HE (Grenade Launcher)</v>
      </c>
      <c r="D515" s="48" t="str">
        <f>_xlfn.XLOOKUP(C515,Analysis_Gadgets!$C:$C,Analysis_Gadgets!$B:$B)</f>
        <v>Gadget</v>
      </c>
      <c r="E515" s="43">
        <v>4262</v>
      </c>
      <c r="F515" s="43">
        <f>_xlfn.XLOOKUP(A515,Class_Players!A:A,Class_Players!G:G)</f>
        <v>105</v>
      </c>
      <c r="G515" s="43">
        <f t="shared" si="175"/>
        <v>40.590476190476188</v>
      </c>
      <c r="H515" s="43">
        <f>_xlfn.XLOOKUP(A515,Class_Players!$A:$A,Class_Players!$F:$F,"")</f>
        <v>8438</v>
      </c>
      <c r="I515" s="44">
        <f t="shared" si="176"/>
        <v>0.50509599431144825</v>
      </c>
      <c r="J515" s="43">
        <f t="shared" ref="J515:J578" si="180">IF(I515&gt;=0.1,1,0)</f>
        <v>1</v>
      </c>
      <c r="K515" s="44" cm="1">
        <f t="array" ref="K515">IF(D515="Gadget",_xlfn.IFS(I515&gt;=0.2,0.5,I515&gt;=0.1,0.35,I515&gt;=0.05,0.2,TRUE,0),IF(D515="Grenade",_xlfn.IFS(I515&gt;=0.2,1,I515&gt;=0.1,0.7,I515&gt;=0.05,0.4,TRUE,0),0))</f>
        <v>0.5</v>
      </c>
      <c r="L515" s="57">
        <f t="shared" si="179"/>
        <v>0.5</v>
      </c>
    </row>
    <row r="516" spans="1:12" x14ac:dyDescent="0.25">
      <c r="A516" s="42" t="str" cm="1">
        <f t="array" ref="A516">IFERROR(INDEX(_xlfn._xlws.FILTER(Class_Players!A:A,Class_Players!B:B="Assault"),QUOTIENT(ROW()-ROW($A$2),7)+1),"")</f>
        <v>L O V E</v>
      </c>
      <c r="B516" s="42" t="str">
        <f>_xlfn.XLOOKUP(A516,Class_Players!$A:$A,Class_Players!$B:$B,"")</f>
        <v>Assault</v>
      </c>
      <c r="C516" s="48" t="str" cm="1">
        <f t="array" ref="C516">INDEX(Lookups!$A$2:$A$8,MOD(ROW()-ROW($B$2),ROWS(Lookups!$A$2:$A$8))+1)</f>
        <v>M320A1 THRM    (Incendiary Grenade Launcher)</v>
      </c>
      <c r="D516" s="48" t="str">
        <f>_xlfn.XLOOKUP(C516,Analysis_Gadgets!$C:$C,Analysis_Gadgets!$B:$B)</f>
        <v>Gadget</v>
      </c>
      <c r="E516" s="43">
        <v>4</v>
      </c>
      <c r="F516" s="43">
        <f>_xlfn.XLOOKUP(A516,Class_Players!A:A,Class_Players!G:G)</f>
        <v>105</v>
      </c>
      <c r="G516" s="43">
        <f t="shared" si="175"/>
        <v>3.8095238095238099E-2</v>
      </c>
      <c r="H516" s="43">
        <f>_xlfn.XLOOKUP(A516,Class_Players!$A:$A,Class_Players!$F:$F,"")</f>
        <v>8438</v>
      </c>
      <c r="I516" s="44">
        <f t="shared" si="176"/>
        <v>4.7404598246029864E-4</v>
      </c>
      <c r="J516" s="43">
        <f t="shared" si="180"/>
        <v>0</v>
      </c>
      <c r="K516" s="44" cm="1">
        <f t="array" ref="K516">IF(D516="Gadget",_xlfn.IFS(I516&gt;=0.2,0.5,I516&gt;=0.1,0.35,I516&gt;=0.05,0.2,TRUE,0),IF(D516="Grenade",_xlfn.IFS(I516&gt;=0.2,1,I516&gt;=0.1,0.7,I516&gt;=0.05,0.4,TRUE,0),0))</f>
        <v>0</v>
      </c>
      <c r="L516" s="57">
        <f t="shared" si="179"/>
        <v>0</v>
      </c>
    </row>
    <row r="517" spans="1:12" x14ac:dyDescent="0.25">
      <c r="A517" s="42" t="str" cm="1">
        <f t="array" ref="A517">IFERROR(INDEX(_xlfn._xlws.FILTER(Class_Players!A:A,Class_Players!B:B="Assault"),QUOTIENT(ROW()-ROW($A$2),7)+1),"")</f>
        <v>L O V E</v>
      </c>
      <c r="B517" s="42" t="str">
        <f>_xlfn.XLOOKUP(A517,Class_Players!$A:$A,Class_Players!$B:$B,"")</f>
        <v>Assault</v>
      </c>
      <c r="C517" s="48" t="str" cm="1">
        <f t="array" ref="C517">INDEX(Lookups!$A$2:$A$8,MOD(ROW()-ROW($B$2),ROWS(Lookups!$A$2:$A$8))+1)</f>
        <v>QLINK (Deploy Beacon)</v>
      </c>
      <c r="D517" s="48" t="str">
        <f>_xlfn.XLOOKUP(C517,Analysis_Gadgets!$C:$C,Analysis_Gadgets!$B:$B)</f>
        <v>Gadget</v>
      </c>
      <c r="E517" s="43">
        <v>129</v>
      </c>
      <c r="F517" s="43">
        <f>_xlfn.XLOOKUP(A517,Class_Players!A:A,Class_Players!G:G)</f>
        <v>105</v>
      </c>
      <c r="G517" s="43">
        <f t="shared" si="175"/>
        <v>1.2285714285714286</v>
      </c>
      <c r="H517" s="43">
        <f>_xlfn.XLOOKUP(A517,Class_Players!$A:$A,Class_Players!$F:$F,"")</f>
        <v>8438</v>
      </c>
      <c r="I517" s="44">
        <f t="shared" si="176"/>
        <v>1.5287982934344631E-2</v>
      </c>
      <c r="J517" s="43">
        <f t="shared" si="180"/>
        <v>0</v>
      </c>
      <c r="K517" s="44" cm="1">
        <f t="array" ref="K517">IF(D517="Gadget",_xlfn.IFS(I517&gt;=0.2,0.5,I517&gt;=0.1,0.35,I517&gt;=0.05,0.2,TRUE,0),IF(D517="Grenade",_xlfn.IFS(I517&gt;=0.2,1,I517&gt;=0.1,0.7,I517&gt;=0.05,0.4,TRUE,0),0))</f>
        <v>0</v>
      </c>
      <c r="L517" s="57">
        <f t="shared" si="179"/>
        <v>0</v>
      </c>
    </row>
    <row r="518" spans="1:12" x14ac:dyDescent="0.25">
      <c r="A518" s="42" t="str" cm="1">
        <f t="array" ref="A518">IFERROR(INDEX(_xlfn._xlws.FILTER(Class_Players!A:A,Class_Players!B:B="Assault"),QUOTIENT(ROW()-ROW($A$2),7)+1),"")</f>
        <v>L O V E</v>
      </c>
      <c r="B518" s="42" t="str">
        <f>_xlfn.XLOOKUP(A518,Class_Players!$A:$A,Class_Players!$B:$B,"")</f>
        <v>Assault</v>
      </c>
      <c r="C518" s="48" t="str" cm="1">
        <f t="array" ref="C518">INDEX(Lookups!$A$2:$A$8,MOD(ROW()-ROW($B$2),ROWS(Lookups!$A$2:$A$8))+1)</f>
        <v>Stun Grenade</v>
      </c>
      <c r="D518" s="48" t="str">
        <f>_xlfn.XLOOKUP(C518,Analysis_Gadgets!$C:$C,Analysis_Gadgets!$B:$B)</f>
        <v>Grenade</v>
      </c>
      <c r="E518" s="43">
        <v>1031</v>
      </c>
      <c r="F518" s="43">
        <f>_xlfn.XLOOKUP(A518,Class_Players!A:A,Class_Players!G:G)</f>
        <v>105</v>
      </c>
      <c r="G518" s="43">
        <f t="shared" si="175"/>
        <v>9.8190476190476197</v>
      </c>
      <c r="H518" s="43">
        <f>_xlfn.XLOOKUP(A518,Class_Players!$A:$A,Class_Players!$F:$F,"")</f>
        <v>8438</v>
      </c>
      <c r="I518" s="44">
        <f t="shared" si="176"/>
        <v>0.12218535197914197</v>
      </c>
      <c r="J518" s="43">
        <f t="shared" si="180"/>
        <v>1</v>
      </c>
      <c r="K518" s="44" cm="1">
        <f t="array" ref="K518">IF(D518="Gadget",_xlfn.IFS(I518&gt;=0.2,0.5,I518&gt;=0.1,0.35,I518&gt;=0.05,0.2,TRUE,0),IF(D518="Grenade",_xlfn.IFS(I518&gt;=0.2,1,I518&gt;=0.1,0.7,I518&gt;=0.05,0.4,TRUE,0),0))</f>
        <v>0.7</v>
      </c>
      <c r="L518" s="57">
        <f t="shared" si="174"/>
        <v>1</v>
      </c>
    </row>
    <row r="519" spans="1:12" x14ac:dyDescent="0.25">
      <c r="A519" s="42" t="str" cm="1">
        <f t="array" ref="A519">IFERROR(INDEX(_xlfn._xlws.FILTER(Class_Players!A:A,Class_Players!B:B="Assault"),QUOTIENT(ROW()-ROW($A$2),7)+1),"")</f>
        <v>L O V E</v>
      </c>
      <c r="B519" s="42" t="str">
        <f>_xlfn.XLOOKUP(A519,Class_Players!$A:$A,Class_Players!$B:$B,"")</f>
        <v>Assault</v>
      </c>
      <c r="C519" s="48" t="str" cm="1">
        <f t="array" ref="C519">INDEX(Lookups!$A$2:$A$8,MOD(ROW()-ROW($B$2),ROWS(Lookups!$A$2:$A$8))+1)</f>
        <v>Flash Grenade</v>
      </c>
      <c r="D519" s="48" t="str">
        <f>_xlfn.XLOOKUP(C519,Analysis_Gadgets!$C:$C,Analysis_Gadgets!$B:$B)</f>
        <v>Grenade</v>
      </c>
      <c r="E519" s="43">
        <v>117</v>
      </c>
      <c r="F519" s="43">
        <f>_xlfn.XLOOKUP(A519,Class_Players!A:A,Class_Players!G:G)</f>
        <v>105</v>
      </c>
      <c r="G519" s="43">
        <f t="shared" si="175"/>
        <v>1.1142857142857143</v>
      </c>
      <c r="H519" s="43">
        <f>_xlfn.XLOOKUP(A519,Class_Players!$A:$A,Class_Players!$F:$F,"")</f>
        <v>8438</v>
      </c>
      <c r="I519" s="44">
        <f t="shared" si="176"/>
        <v>1.3865844986963735E-2</v>
      </c>
      <c r="J519" s="43">
        <f t="shared" si="180"/>
        <v>0</v>
      </c>
      <c r="K519" s="44" cm="1">
        <f t="array" ref="K519">IF(D519="Gadget",_xlfn.IFS(I519&gt;=0.2,0.5,I519&gt;=0.1,0.35,I519&gt;=0.05,0.2,TRUE,0),IF(D519="Grenade",_xlfn.IFS(I519&gt;=0.2,1,I519&gt;=0.1,0.7,I519&gt;=0.05,0.4,TRUE,0),0))</f>
        <v>0</v>
      </c>
      <c r="L519" s="57">
        <f t="shared" si="174"/>
        <v>0</v>
      </c>
    </row>
    <row r="520" spans="1:12" x14ac:dyDescent="0.25">
      <c r="A520" s="42" t="str" cm="1">
        <f t="array" ref="A520">IFERROR(INDEX(_xlfn._xlws.FILTER(Class_Players!A:A,Class_Players!B:B="Assault"),QUOTIENT(ROW()-ROW($A$2),7)+1),"")</f>
        <v>theG</v>
      </c>
      <c r="B520" s="42" t="str">
        <f>_xlfn.XLOOKUP(A520,Class_Players!$A:$A,Class_Players!$B:$B,"")</f>
        <v>Assault</v>
      </c>
      <c r="C520" s="48" t="str" cm="1">
        <f t="array" ref="C520">INDEX(Lookups!$A$2:$A$8,MOD(ROW()-ROW($B$2),ROWS(Lookups!$A$2:$A$8))+1)</f>
        <v>Assault Ladder</v>
      </c>
      <c r="D520" s="48" t="str">
        <f>_xlfn.XLOOKUP(C520,Analysis_Gadgets!$C:$C,Analysis_Gadgets!$B:$B)</f>
        <v>Gadget</v>
      </c>
      <c r="E520" s="43">
        <v>54</v>
      </c>
      <c r="F520" s="43">
        <f>_xlfn.XLOOKUP(A520,Class_Players!A:A,Class_Players!G:G)</f>
        <v>137</v>
      </c>
      <c r="G520" s="43">
        <f t="shared" si="175"/>
        <v>0.39416058394160586</v>
      </c>
      <c r="H520" s="43">
        <f>_xlfn.XLOOKUP(A520,Class_Players!$A:$A,Class_Players!$F:$F,"")</f>
        <v>8204</v>
      </c>
      <c r="I520" s="44">
        <f t="shared" si="176"/>
        <v>6.582155046318869E-3</v>
      </c>
      <c r="J520" s="43">
        <f t="shared" si="180"/>
        <v>0</v>
      </c>
      <c r="K520" s="44" cm="1">
        <f t="array" ref="K520">IF(D520="Gadget",_xlfn.IFS(I520&gt;=0.2,0.5,I520&gt;=0.1,0.35,I520&gt;=0.05,0.2,TRUE,0),IF(D520="Grenade",_xlfn.IFS(I520&gt;=0.2,1,I520&gt;=0.1,0.7,I520&gt;=0.05,0.4,TRUE,0),0))</f>
        <v>0</v>
      </c>
      <c r="L520" s="57">
        <f t="shared" ref="L520:L524" si="181">IF($K520=0,0,$K520 / SUMIFS($K:$K,$A:$A,$A520,$D:$D,"Gadget"))</f>
        <v>0</v>
      </c>
    </row>
    <row r="521" spans="1:12" x14ac:dyDescent="0.25">
      <c r="A521" s="42" t="str" cm="1">
        <f t="array" ref="A521">IFERROR(INDEX(_xlfn._xlws.FILTER(Class_Players!A:A,Class_Players!B:B="Assault"),QUOTIENT(ROW()-ROW($A$2),7)+1),"")</f>
        <v>theG</v>
      </c>
      <c r="B521" s="42" t="str">
        <f>_xlfn.XLOOKUP(A521,Class_Players!$A:$A,Class_Players!$B:$B,"")</f>
        <v>Assault</v>
      </c>
      <c r="C521" s="48" t="str" cm="1">
        <f t="array" ref="C521">INDEX(Lookups!$A$2:$A$8,MOD(ROW()-ROW($B$2),ROWS(Lookups!$A$2:$A$8))+1)</f>
        <v>X95 BRE (Breaching Projectile Launcher)</v>
      </c>
      <c r="D521" s="48" t="str">
        <f>_xlfn.XLOOKUP(C521,Analysis_Gadgets!$C:$C,Analysis_Gadgets!$B:$B)</f>
        <v>Gadget</v>
      </c>
      <c r="E521" s="43">
        <v>0</v>
      </c>
      <c r="F521" s="43">
        <f>_xlfn.XLOOKUP(A521,Class_Players!A:A,Class_Players!G:G)</f>
        <v>137</v>
      </c>
      <c r="G521" s="43">
        <f t="shared" si="175"/>
        <v>0</v>
      </c>
      <c r="H521" s="43">
        <f>_xlfn.XLOOKUP(A521,Class_Players!$A:$A,Class_Players!$F:$F,"")</f>
        <v>8204</v>
      </c>
      <c r="I521" s="44">
        <f t="shared" si="176"/>
        <v>0</v>
      </c>
      <c r="J521" s="43">
        <f t="shared" si="180"/>
        <v>0</v>
      </c>
      <c r="K521" s="44" cm="1">
        <f t="array" ref="K521">IF(D521="Gadget",_xlfn.IFS(I521&gt;=0.2,0.5,I521&gt;=0.1,0.35,I521&gt;=0.05,0.2,TRUE,0),IF(D521="Grenade",_xlfn.IFS(I521&gt;=0.2,1,I521&gt;=0.1,0.7,I521&gt;=0.05,0.4,TRUE,0),0))</f>
        <v>0</v>
      </c>
      <c r="L521" s="57">
        <f t="shared" si="181"/>
        <v>0</v>
      </c>
    </row>
    <row r="522" spans="1:12" x14ac:dyDescent="0.25">
      <c r="A522" s="42" t="str" cm="1">
        <f t="array" ref="A522">IFERROR(INDEX(_xlfn._xlws.FILTER(Class_Players!A:A,Class_Players!B:B="Assault"),QUOTIENT(ROW()-ROW($A$2),7)+1),"")</f>
        <v>theG</v>
      </c>
      <c r="B522" s="42" t="str">
        <f>_xlfn.XLOOKUP(A522,Class_Players!$A:$A,Class_Players!$B:$B,"")</f>
        <v>Assault</v>
      </c>
      <c r="C522" s="48" t="str" cm="1">
        <f t="array" ref="C522">INDEX(Lookups!$A$2:$A$8,MOD(ROW()-ROW($B$2),ROWS(Lookups!$A$2:$A$8))+1)</f>
        <v>M320A1 HE (Grenade Launcher)</v>
      </c>
      <c r="D522" s="48" t="str">
        <f>_xlfn.XLOOKUP(C522,Analysis_Gadgets!$C:$C,Analysis_Gadgets!$B:$B)</f>
        <v>Gadget</v>
      </c>
      <c r="E522" s="43">
        <v>3426</v>
      </c>
      <c r="F522" s="43">
        <f>_xlfn.XLOOKUP(A522,Class_Players!A:A,Class_Players!G:G)</f>
        <v>137</v>
      </c>
      <c r="G522" s="43">
        <f t="shared" si="175"/>
        <v>25.007299270072991</v>
      </c>
      <c r="H522" s="43">
        <f>_xlfn.XLOOKUP(A522,Class_Players!$A:$A,Class_Players!$F:$F,"")</f>
        <v>8204</v>
      </c>
      <c r="I522" s="44">
        <f t="shared" si="176"/>
        <v>0.41760117016089715</v>
      </c>
      <c r="J522" s="43">
        <f t="shared" si="180"/>
        <v>1</v>
      </c>
      <c r="K522" s="44" cm="1">
        <f t="array" ref="K522">IF(D522="Gadget",_xlfn.IFS(I522&gt;=0.2,0.5,I522&gt;=0.1,0.35,I522&gt;=0.05,0.2,TRUE,0),IF(D522="Grenade",_xlfn.IFS(I522&gt;=0.2,1,I522&gt;=0.1,0.7,I522&gt;=0.05,0.4,TRUE,0),0))</f>
        <v>0.5</v>
      </c>
      <c r="L522" s="57">
        <f t="shared" si="181"/>
        <v>0.5</v>
      </c>
    </row>
    <row r="523" spans="1:12" x14ac:dyDescent="0.25">
      <c r="A523" s="42" t="str" cm="1">
        <f t="array" ref="A523">IFERROR(INDEX(_xlfn._xlws.FILTER(Class_Players!A:A,Class_Players!B:B="Assault"),QUOTIENT(ROW()-ROW($A$2),7)+1),"")</f>
        <v>theG</v>
      </c>
      <c r="B523" s="42" t="str">
        <f>_xlfn.XLOOKUP(A523,Class_Players!$A:$A,Class_Players!$B:$B,"")</f>
        <v>Assault</v>
      </c>
      <c r="C523" s="48" t="str" cm="1">
        <f t="array" ref="C523">INDEX(Lookups!$A$2:$A$8,MOD(ROW()-ROW($B$2),ROWS(Lookups!$A$2:$A$8))+1)</f>
        <v>M320A1 THRM    (Incendiary Grenade Launcher)</v>
      </c>
      <c r="D523" s="48" t="str">
        <f>_xlfn.XLOOKUP(C523,Analysis_Gadgets!$C:$C,Analysis_Gadgets!$B:$B)</f>
        <v>Gadget</v>
      </c>
      <c r="E523" s="43">
        <v>0</v>
      </c>
      <c r="F523" s="43">
        <f>_xlfn.XLOOKUP(A523,Class_Players!A:A,Class_Players!G:G)</f>
        <v>137</v>
      </c>
      <c r="G523" s="43">
        <f t="shared" si="175"/>
        <v>0</v>
      </c>
      <c r="H523" s="43">
        <f>_xlfn.XLOOKUP(A523,Class_Players!$A:$A,Class_Players!$F:$F,"")</f>
        <v>8204</v>
      </c>
      <c r="I523" s="44">
        <f t="shared" si="176"/>
        <v>0</v>
      </c>
      <c r="J523" s="43">
        <f t="shared" si="180"/>
        <v>0</v>
      </c>
      <c r="K523" s="44" cm="1">
        <f t="array" ref="K523">IF(D523="Gadget",_xlfn.IFS(I523&gt;=0.2,0.5,I523&gt;=0.1,0.35,I523&gt;=0.05,0.2,TRUE,0),IF(D523="Grenade",_xlfn.IFS(I523&gt;=0.2,1,I523&gt;=0.1,0.7,I523&gt;=0.05,0.4,TRUE,0),0))</f>
        <v>0</v>
      </c>
      <c r="L523" s="57">
        <f t="shared" si="181"/>
        <v>0</v>
      </c>
    </row>
    <row r="524" spans="1:12" x14ac:dyDescent="0.25">
      <c r="A524" s="42" t="str" cm="1">
        <f t="array" ref="A524">IFERROR(INDEX(_xlfn._xlws.FILTER(Class_Players!A:A,Class_Players!B:B="Assault"),QUOTIENT(ROW()-ROW($A$2),7)+1),"")</f>
        <v>theG</v>
      </c>
      <c r="B524" s="42" t="str">
        <f>_xlfn.XLOOKUP(A524,Class_Players!$A:$A,Class_Players!$B:$B,"")</f>
        <v>Assault</v>
      </c>
      <c r="C524" s="48" t="str" cm="1">
        <f t="array" ref="C524">INDEX(Lookups!$A$2:$A$8,MOD(ROW()-ROW($B$2),ROWS(Lookups!$A$2:$A$8))+1)</f>
        <v>QLINK (Deploy Beacon)</v>
      </c>
      <c r="D524" s="48" t="str">
        <f>_xlfn.XLOOKUP(C524,Analysis_Gadgets!$C:$C,Analysis_Gadgets!$B:$B)</f>
        <v>Gadget</v>
      </c>
      <c r="E524" s="43">
        <v>3326</v>
      </c>
      <c r="F524" s="43">
        <f>_xlfn.XLOOKUP(A524,Class_Players!A:A,Class_Players!G:G)</f>
        <v>137</v>
      </c>
      <c r="G524" s="43">
        <f t="shared" si="175"/>
        <v>24.277372262773724</v>
      </c>
      <c r="H524" s="43">
        <f>_xlfn.XLOOKUP(A524,Class_Players!$A:$A,Class_Players!$F:$F,"")</f>
        <v>8204</v>
      </c>
      <c r="I524" s="44">
        <f t="shared" si="176"/>
        <v>0.40541199414919549</v>
      </c>
      <c r="J524" s="43">
        <f t="shared" si="180"/>
        <v>1</v>
      </c>
      <c r="K524" s="44" cm="1">
        <f t="array" ref="K524">IF(D524="Gadget",_xlfn.IFS(I524&gt;=0.2,0.5,I524&gt;=0.1,0.35,I524&gt;=0.05,0.2,TRUE,0),IF(D524="Grenade",_xlfn.IFS(I524&gt;=0.2,1,I524&gt;=0.1,0.7,I524&gt;=0.05,0.4,TRUE,0),0))</f>
        <v>0.5</v>
      </c>
      <c r="L524" s="57">
        <f t="shared" si="181"/>
        <v>0.5</v>
      </c>
    </row>
    <row r="525" spans="1:12" x14ac:dyDescent="0.25">
      <c r="A525" s="42" t="str" cm="1">
        <f t="array" ref="A525">IFERROR(INDEX(_xlfn._xlws.FILTER(Class_Players!A:A,Class_Players!B:B="Assault"),QUOTIENT(ROW()-ROW($A$2),7)+1),"")</f>
        <v>theG</v>
      </c>
      <c r="B525" s="42" t="str">
        <f>_xlfn.XLOOKUP(A525,Class_Players!$A:$A,Class_Players!$B:$B,"")</f>
        <v>Assault</v>
      </c>
      <c r="C525" s="48" t="str" cm="1">
        <f t="array" ref="C525">INDEX(Lookups!$A$2:$A$8,MOD(ROW()-ROW($B$2),ROWS(Lookups!$A$2:$A$8))+1)</f>
        <v>Stun Grenade</v>
      </c>
      <c r="D525" s="48" t="str">
        <f>_xlfn.XLOOKUP(C525,Analysis_Gadgets!$C:$C,Analysis_Gadgets!$B:$B)</f>
        <v>Grenade</v>
      </c>
      <c r="E525" s="43">
        <v>20</v>
      </c>
      <c r="F525" s="43">
        <f>_xlfn.XLOOKUP(A525,Class_Players!A:A,Class_Players!G:G)</f>
        <v>137</v>
      </c>
      <c r="G525" s="43">
        <f t="shared" si="175"/>
        <v>0.145985401459854</v>
      </c>
      <c r="H525" s="43">
        <f>_xlfn.XLOOKUP(A525,Class_Players!$A:$A,Class_Players!$F:$F,"")</f>
        <v>8204</v>
      </c>
      <c r="I525" s="44">
        <f t="shared" si="176"/>
        <v>2.4378352023403218E-3</v>
      </c>
      <c r="J525" s="43">
        <f t="shared" si="180"/>
        <v>0</v>
      </c>
      <c r="K525" s="44" cm="1">
        <f t="array" ref="K525">IF(D525="Gadget",_xlfn.IFS(I525&gt;=0.2,0.5,I525&gt;=0.1,0.35,I525&gt;=0.05,0.2,TRUE,0),IF(D525="Grenade",_xlfn.IFS(I525&gt;=0.2,1,I525&gt;=0.1,0.7,I525&gt;=0.05,0.4,TRUE,0),0))</f>
        <v>0</v>
      </c>
      <c r="L525" s="57">
        <f t="shared" si="174"/>
        <v>0</v>
      </c>
    </row>
    <row r="526" spans="1:12" x14ac:dyDescent="0.25">
      <c r="A526" s="42" t="str" cm="1">
        <f t="array" ref="A526">IFERROR(INDEX(_xlfn._xlws.FILTER(Class_Players!A:A,Class_Players!B:B="Assault"),QUOTIENT(ROW()-ROW($A$2),7)+1),"")</f>
        <v>theG</v>
      </c>
      <c r="B526" s="42" t="str">
        <f>_xlfn.XLOOKUP(A526,Class_Players!$A:$A,Class_Players!$B:$B,"")</f>
        <v>Assault</v>
      </c>
      <c r="C526" s="48" t="str" cm="1">
        <f t="array" ref="C526">INDEX(Lookups!$A$2:$A$8,MOD(ROW()-ROW($B$2),ROWS(Lookups!$A$2:$A$8))+1)</f>
        <v>Flash Grenade</v>
      </c>
      <c r="D526" s="48" t="str">
        <f>_xlfn.XLOOKUP(C526,Analysis_Gadgets!$C:$C,Analysis_Gadgets!$B:$B)</f>
        <v>Grenade</v>
      </c>
      <c r="E526" s="43">
        <v>2</v>
      </c>
      <c r="F526" s="43">
        <f>_xlfn.XLOOKUP(A526,Class_Players!A:A,Class_Players!G:G)</f>
        <v>137</v>
      </c>
      <c r="G526" s="43">
        <f t="shared" si="175"/>
        <v>1.4598540145985401E-2</v>
      </c>
      <c r="H526" s="43">
        <f>_xlfn.XLOOKUP(A526,Class_Players!$A:$A,Class_Players!$F:$F,"")</f>
        <v>8204</v>
      </c>
      <c r="I526" s="44">
        <f t="shared" si="176"/>
        <v>2.4378352023403217E-4</v>
      </c>
      <c r="J526" s="43">
        <f t="shared" si="180"/>
        <v>0</v>
      </c>
      <c r="K526" s="44" cm="1">
        <f t="array" ref="K526">IF(D526="Gadget",_xlfn.IFS(I526&gt;=0.2,0.5,I526&gt;=0.1,0.35,I526&gt;=0.05,0.2,TRUE,0),IF(D526="Grenade",_xlfn.IFS(I526&gt;=0.2,1,I526&gt;=0.1,0.7,I526&gt;=0.05,0.4,TRUE,0),0))</f>
        <v>0</v>
      </c>
      <c r="L526" s="57">
        <f t="shared" si="174"/>
        <v>0</v>
      </c>
    </row>
    <row r="527" spans="1:12" x14ac:dyDescent="0.25">
      <c r="A527" s="42" t="str" cm="1">
        <f t="array" ref="A527">IFERROR(INDEX(_xlfn._xlws.FILTER(Class_Players!A:A,Class_Players!B:B="Assault"),QUOTIENT(ROW()-ROW($A$2),7)+1),"")</f>
        <v>Supaeydjent</v>
      </c>
      <c r="B527" s="42" t="str">
        <f>_xlfn.XLOOKUP(A527,Class_Players!$A:$A,Class_Players!$B:$B,"")</f>
        <v>Assault</v>
      </c>
      <c r="C527" s="48" t="str" cm="1">
        <f t="array" ref="C527">INDEX(Lookups!$A$2:$A$8,MOD(ROW()-ROW($B$2),ROWS(Lookups!$A$2:$A$8))+1)</f>
        <v>Assault Ladder</v>
      </c>
      <c r="D527" s="48" t="str">
        <f>_xlfn.XLOOKUP(C527,Analysis_Gadgets!$C:$C,Analysis_Gadgets!$B:$B)</f>
        <v>Gadget</v>
      </c>
      <c r="E527" s="43">
        <v>815</v>
      </c>
      <c r="F527" s="43">
        <f>_xlfn.XLOOKUP(A527,Class_Players!A:A,Class_Players!G:G)</f>
        <v>159</v>
      </c>
      <c r="G527" s="43">
        <f t="shared" si="175"/>
        <v>5.1257861635220126</v>
      </c>
      <c r="H527" s="43">
        <f>_xlfn.XLOOKUP(A527,Class_Players!$A:$A,Class_Players!$F:$F,"")</f>
        <v>8759</v>
      </c>
      <c r="I527" s="44">
        <f t="shared" si="176"/>
        <v>9.304715150131293E-2</v>
      </c>
      <c r="J527" s="43">
        <f t="shared" si="180"/>
        <v>0</v>
      </c>
      <c r="K527" s="44" cm="1">
        <f t="array" ref="K527">IF(D527="Gadget",_xlfn.IFS(I527&gt;=0.2,0.5,I527&gt;=0.1,0.35,I527&gt;=0.05,0.2,TRUE,0),IF(D527="Grenade",_xlfn.IFS(I527&gt;=0.2,1,I527&gt;=0.1,0.7,I527&gt;=0.05,0.4,TRUE,0),0))</f>
        <v>0.2</v>
      </c>
      <c r="L527" s="57">
        <f t="shared" ref="L527:L531" si="182">IF($K527=0,0,$K527 / SUMIFS($K:$K,$A:$A,$A527,$D:$D,"Gadget"))</f>
        <v>0.22222222222222227</v>
      </c>
    </row>
    <row r="528" spans="1:12" x14ac:dyDescent="0.25">
      <c r="A528" s="42" t="str" cm="1">
        <f t="array" ref="A528">IFERROR(INDEX(_xlfn._xlws.FILTER(Class_Players!A:A,Class_Players!B:B="Assault"),QUOTIENT(ROW()-ROW($A$2),7)+1),"")</f>
        <v>Supaeydjent</v>
      </c>
      <c r="B528" s="42" t="str">
        <f>_xlfn.XLOOKUP(A528,Class_Players!$A:$A,Class_Players!$B:$B,"")</f>
        <v>Assault</v>
      </c>
      <c r="C528" s="48" t="str" cm="1">
        <f t="array" ref="C528">INDEX(Lookups!$A$2:$A$8,MOD(ROW()-ROW($B$2),ROWS(Lookups!$A$2:$A$8))+1)</f>
        <v>X95 BRE (Breaching Projectile Launcher)</v>
      </c>
      <c r="D528" s="48" t="str">
        <f>_xlfn.XLOOKUP(C528,Analysis_Gadgets!$C:$C,Analysis_Gadgets!$B:$B)</f>
        <v>Gadget</v>
      </c>
      <c r="E528" s="43">
        <v>44</v>
      </c>
      <c r="F528" s="43">
        <f>_xlfn.XLOOKUP(A528,Class_Players!A:A,Class_Players!G:G)</f>
        <v>159</v>
      </c>
      <c r="G528" s="43">
        <f t="shared" si="175"/>
        <v>0.27672955974842767</v>
      </c>
      <c r="H528" s="43">
        <f>_xlfn.XLOOKUP(A528,Class_Players!$A:$A,Class_Players!$F:$F,"")</f>
        <v>8759</v>
      </c>
      <c r="I528" s="44">
        <f t="shared" si="176"/>
        <v>5.0234044982303914E-3</v>
      </c>
      <c r="J528" s="43">
        <f t="shared" si="180"/>
        <v>0</v>
      </c>
      <c r="K528" s="44" cm="1">
        <f t="array" ref="K528">IF(D528="Gadget",_xlfn.IFS(I528&gt;=0.2,0.5,I528&gt;=0.1,0.35,I528&gt;=0.05,0.2,TRUE,0),IF(D528="Grenade",_xlfn.IFS(I528&gt;=0.2,1,I528&gt;=0.1,0.7,I528&gt;=0.05,0.4,TRUE,0),0))</f>
        <v>0</v>
      </c>
      <c r="L528" s="57">
        <f t="shared" si="182"/>
        <v>0</v>
      </c>
    </row>
    <row r="529" spans="1:12" x14ac:dyDescent="0.25">
      <c r="A529" s="42" t="str" cm="1">
        <f t="array" ref="A529">IFERROR(INDEX(_xlfn._xlws.FILTER(Class_Players!A:A,Class_Players!B:B="Assault"),QUOTIENT(ROW()-ROW($A$2),7)+1),"")</f>
        <v>Supaeydjent</v>
      </c>
      <c r="B529" s="42" t="str">
        <f>_xlfn.XLOOKUP(A529,Class_Players!$A:$A,Class_Players!$B:$B,"")</f>
        <v>Assault</v>
      </c>
      <c r="C529" s="48" t="str" cm="1">
        <f t="array" ref="C529">INDEX(Lookups!$A$2:$A$8,MOD(ROW()-ROW($B$2),ROWS(Lookups!$A$2:$A$8))+1)</f>
        <v>M320A1 HE (Grenade Launcher)</v>
      </c>
      <c r="D529" s="48" t="str">
        <f>_xlfn.XLOOKUP(C529,Analysis_Gadgets!$C:$C,Analysis_Gadgets!$B:$B)</f>
        <v>Gadget</v>
      </c>
      <c r="E529" s="43">
        <v>3978</v>
      </c>
      <c r="F529" s="43">
        <f>_xlfn.XLOOKUP(A529,Class_Players!A:A,Class_Players!G:G)</f>
        <v>159</v>
      </c>
      <c r="G529" s="43">
        <f t="shared" si="175"/>
        <v>25.018867924528301</v>
      </c>
      <c r="H529" s="43">
        <f>_xlfn.XLOOKUP(A529,Class_Players!$A:$A,Class_Players!$F:$F,"")</f>
        <v>8759</v>
      </c>
      <c r="I529" s="44">
        <f t="shared" si="176"/>
        <v>0.45416143395364766</v>
      </c>
      <c r="J529" s="43">
        <f t="shared" si="180"/>
        <v>1</v>
      </c>
      <c r="K529" s="44" cm="1">
        <f t="array" ref="K529">IF(D529="Gadget",_xlfn.IFS(I529&gt;=0.2,0.5,I529&gt;=0.1,0.35,I529&gt;=0.05,0.2,TRUE,0),IF(D529="Grenade",_xlfn.IFS(I529&gt;=0.2,1,I529&gt;=0.1,0.7,I529&gt;=0.05,0.4,TRUE,0),0))</f>
        <v>0.5</v>
      </c>
      <c r="L529" s="57">
        <f t="shared" si="182"/>
        <v>0.55555555555555558</v>
      </c>
    </row>
    <row r="530" spans="1:12" x14ac:dyDescent="0.25">
      <c r="A530" s="42" t="str" cm="1">
        <f t="array" ref="A530">IFERROR(INDEX(_xlfn._xlws.FILTER(Class_Players!A:A,Class_Players!B:B="Assault"),QUOTIENT(ROW()-ROW($A$2),7)+1),"")</f>
        <v>Supaeydjent</v>
      </c>
      <c r="B530" s="42" t="str">
        <f>_xlfn.XLOOKUP(A530,Class_Players!$A:$A,Class_Players!$B:$B,"")</f>
        <v>Assault</v>
      </c>
      <c r="C530" s="48" t="str" cm="1">
        <f t="array" ref="C530">INDEX(Lookups!$A$2:$A$8,MOD(ROW()-ROW($B$2),ROWS(Lookups!$A$2:$A$8))+1)</f>
        <v>M320A1 THRM    (Incendiary Grenade Launcher)</v>
      </c>
      <c r="D530" s="48" t="str">
        <f>_xlfn.XLOOKUP(C530,Analysis_Gadgets!$C:$C,Analysis_Gadgets!$B:$B)</f>
        <v>Gadget</v>
      </c>
      <c r="E530" s="43">
        <v>9</v>
      </c>
      <c r="F530" s="43">
        <f>_xlfn.XLOOKUP(A530,Class_Players!A:A,Class_Players!G:G)</f>
        <v>159</v>
      </c>
      <c r="G530" s="43">
        <f t="shared" si="175"/>
        <v>5.6603773584905662E-2</v>
      </c>
      <c r="H530" s="43">
        <f>_xlfn.XLOOKUP(A530,Class_Players!$A:$A,Class_Players!$F:$F,"")</f>
        <v>8759</v>
      </c>
      <c r="I530" s="44">
        <f t="shared" si="176"/>
        <v>1.0275145564562164E-3</v>
      </c>
      <c r="J530" s="43">
        <f t="shared" si="180"/>
        <v>0</v>
      </c>
      <c r="K530" s="44" cm="1">
        <f t="array" ref="K530">IF(D530="Gadget",_xlfn.IFS(I530&gt;=0.2,0.5,I530&gt;=0.1,0.35,I530&gt;=0.05,0.2,TRUE,0),IF(D530="Grenade",_xlfn.IFS(I530&gt;=0.2,1,I530&gt;=0.1,0.7,I530&gt;=0.05,0.4,TRUE,0),0))</f>
        <v>0</v>
      </c>
      <c r="L530" s="57">
        <f t="shared" si="182"/>
        <v>0</v>
      </c>
    </row>
    <row r="531" spans="1:12" x14ac:dyDescent="0.25">
      <c r="A531" s="42" t="str" cm="1">
        <f t="array" ref="A531">IFERROR(INDEX(_xlfn._xlws.FILTER(Class_Players!A:A,Class_Players!B:B="Assault"),QUOTIENT(ROW()-ROW($A$2),7)+1),"")</f>
        <v>Supaeydjent</v>
      </c>
      <c r="B531" s="42" t="str">
        <f>_xlfn.XLOOKUP(A531,Class_Players!$A:$A,Class_Players!$B:$B,"")</f>
        <v>Assault</v>
      </c>
      <c r="C531" s="48" t="str" cm="1">
        <f t="array" ref="C531">INDEX(Lookups!$A$2:$A$8,MOD(ROW()-ROW($B$2),ROWS(Lookups!$A$2:$A$8))+1)</f>
        <v>QLINK (Deploy Beacon)</v>
      </c>
      <c r="D531" s="48" t="str">
        <f>_xlfn.XLOOKUP(C531,Analysis_Gadgets!$C:$C,Analysis_Gadgets!$B:$B)</f>
        <v>Gadget</v>
      </c>
      <c r="E531" s="43">
        <v>816</v>
      </c>
      <c r="F531" s="43">
        <f>_xlfn.XLOOKUP(A531,Class_Players!A:A,Class_Players!G:G)</f>
        <v>159</v>
      </c>
      <c r="G531" s="43">
        <f t="shared" si="175"/>
        <v>5.132075471698113</v>
      </c>
      <c r="H531" s="43">
        <f>_xlfn.XLOOKUP(A531,Class_Players!$A:$A,Class_Players!$F:$F,"")</f>
        <v>8759</v>
      </c>
      <c r="I531" s="44">
        <f t="shared" si="176"/>
        <v>9.3161319785363628E-2</v>
      </c>
      <c r="J531" s="43">
        <f t="shared" si="180"/>
        <v>0</v>
      </c>
      <c r="K531" s="44" cm="1">
        <f t="array" ref="K531">IF(D531="Gadget",_xlfn.IFS(I531&gt;=0.2,0.5,I531&gt;=0.1,0.35,I531&gt;=0.05,0.2,TRUE,0),IF(D531="Grenade",_xlfn.IFS(I531&gt;=0.2,1,I531&gt;=0.1,0.7,I531&gt;=0.05,0.4,TRUE,0),0))</f>
        <v>0.2</v>
      </c>
      <c r="L531" s="57">
        <f t="shared" si="182"/>
        <v>0.22222222222222227</v>
      </c>
    </row>
    <row r="532" spans="1:12" x14ac:dyDescent="0.25">
      <c r="A532" s="42" t="str" cm="1">
        <f t="array" ref="A532">IFERROR(INDEX(_xlfn._xlws.FILTER(Class_Players!A:A,Class_Players!B:B="Assault"),QUOTIENT(ROW()-ROW($A$2),7)+1),"")</f>
        <v>Supaeydjent</v>
      </c>
      <c r="B532" s="42" t="str">
        <f>_xlfn.XLOOKUP(A532,Class_Players!$A:$A,Class_Players!$B:$B,"")</f>
        <v>Assault</v>
      </c>
      <c r="C532" s="48" t="str" cm="1">
        <f t="array" ref="C532">INDEX(Lookups!$A$2:$A$8,MOD(ROW()-ROW($B$2),ROWS(Lookups!$A$2:$A$8))+1)</f>
        <v>Stun Grenade</v>
      </c>
      <c r="D532" s="48" t="str">
        <f>_xlfn.XLOOKUP(C532,Analysis_Gadgets!$C:$C,Analysis_Gadgets!$B:$B)</f>
        <v>Grenade</v>
      </c>
      <c r="E532" s="43">
        <v>186</v>
      </c>
      <c r="F532" s="43">
        <f>_xlfn.XLOOKUP(A532,Class_Players!A:A,Class_Players!G:G)</f>
        <v>159</v>
      </c>
      <c r="G532" s="43">
        <f t="shared" si="175"/>
        <v>1.1698113207547169</v>
      </c>
      <c r="H532" s="43">
        <f>_xlfn.XLOOKUP(A532,Class_Players!$A:$A,Class_Players!$F:$F,"")</f>
        <v>8759</v>
      </c>
      <c r="I532" s="44">
        <f t="shared" si="176"/>
        <v>2.1235300833428474E-2</v>
      </c>
      <c r="J532" s="43">
        <f t="shared" si="180"/>
        <v>0</v>
      </c>
      <c r="K532" s="44" cm="1">
        <f t="array" ref="K532">IF(D532="Gadget",_xlfn.IFS(I532&gt;=0.2,0.5,I532&gt;=0.1,0.35,I532&gt;=0.05,0.2,TRUE,0),IF(D532="Grenade",_xlfn.IFS(I532&gt;=0.2,1,I532&gt;=0.1,0.7,I532&gt;=0.05,0.4,TRUE,0),0))</f>
        <v>0</v>
      </c>
      <c r="L532" s="57">
        <f t="shared" si="174"/>
        <v>0</v>
      </c>
    </row>
    <row r="533" spans="1:12" x14ac:dyDescent="0.25">
      <c r="A533" s="42" t="str" cm="1">
        <f t="array" ref="A533">IFERROR(INDEX(_xlfn._xlws.FILTER(Class_Players!A:A,Class_Players!B:B="Assault"),QUOTIENT(ROW()-ROW($A$2),7)+1),"")</f>
        <v>Supaeydjent</v>
      </c>
      <c r="B533" s="42" t="str">
        <f>_xlfn.XLOOKUP(A533,Class_Players!$A:$A,Class_Players!$B:$B,"")</f>
        <v>Assault</v>
      </c>
      <c r="C533" s="48" t="str" cm="1">
        <f t="array" ref="C533">INDEX(Lookups!$A$2:$A$8,MOD(ROW()-ROW($B$2),ROWS(Lookups!$A$2:$A$8))+1)</f>
        <v>Flash Grenade</v>
      </c>
      <c r="D533" s="48" t="str">
        <f>_xlfn.XLOOKUP(C533,Analysis_Gadgets!$C:$C,Analysis_Gadgets!$B:$B)</f>
        <v>Grenade</v>
      </c>
      <c r="E533" s="43">
        <v>88</v>
      </c>
      <c r="F533" s="43">
        <f>_xlfn.XLOOKUP(A533,Class_Players!A:A,Class_Players!G:G)</f>
        <v>159</v>
      </c>
      <c r="G533" s="43">
        <f t="shared" si="175"/>
        <v>0.55345911949685533</v>
      </c>
      <c r="H533" s="43">
        <f>_xlfn.XLOOKUP(A533,Class_Players!$A:$A,Class_Players!$F:$F,"")</f>
        <v>8759</v>
      </c>
      <c r="I533" s="44">
        <f t="shared" si="176"/>
        <v>1.0046808996460783E-2</v>
      </c>
      <c r="J533" s="43">
        <f t="shared" si="180"/>
        <v>0</v>
      </c>
      <c r="K533" s="44" cm="1">
        <f t="array" ref="K533">IF(D533="Gadget",_xlfn.IFS(I533&gt;=0.2,0.5,I533&gt;=0.1,0.35,I533&gt;=0.05,0.2,TRUE,0),IF(D533="Grenade",_xlfn.IFS(I533&gt;=0.2,1,I533&gt;=0.1,0.7,I533&gt;=0.05,0.4,TRUE,0),0))</f>
        <v>0</v>
      </c>
      <c r="L533" s="57">
        <f t="shared" si="174"/>
        <v>0</v>
      </c>
    </row>
    <row r="534" spans="1:12" x14ac:dyDescent="0.25">
      <c r="A534" s="42" t="str" cm="1">
        <f t="array" ref="A534">IFERROR(INDEX(_xlfn._xlws.FILTER(Class_Players!A:A,Class_Players!B:B="Assault"),QUOTIENT(ROW()-ROW($A$2),7)+1),"")</f>
        <v>TwinTurbo86</v>
      </c>
      <c r="B534" s="42" t="str">
        <f>_xlfn.XLOOKUP(A534,Class_Players!$A:$A,Class_Players!$B:$B,"")</f>
        <v>Assault</v>
      </c>
      <c r="C534" s="48" t="str" cm="1">
        <f t="array" ref="C534">INDEX(Lookups!$A$2:$A$8,MOD(ROW()-ROW($B$2),ROWS(Lookups!$A$2:$A$8))+1)</f>
        <v>Assault Ladder</v>
      </c>
      <c r="D534" s="48" t="str">
        <f>_xlfn.XLOOKUP(C534,Analysis_Gadgets!$C:$C,Analysis_Gadgets!$B:$B)</f>
        <v>Gadget</v>
      </c>
      <c r="E534" s="43">
        <v>138</v>
      </c>
      <c r="F534" s="43">
        <f>_xlfn.XLOOKUP(A534,Class_Players!A:A,Class_Players!G:G)</f>
        <v>277</v>
      </c>
      <c r="G534" s="43">
        <f t="shared" si="175"/>
        <v>0.49819494584837543</v>
      </c>
      <c r="H534" s="43">
        <f>_xlfn.XLOOKUP(A534,Class_Players!$A:$A,Class_Players!$F:$F,"")</f>
        <v>8146</v>
      </c>
      <c r="I534" s="44">
        <f t="shared" si="176"/>
        <v>1.6940829855143627E-2</v>
      </c>
      <c r="J534" s="43">
        <f t="shared" si="180"/>
        <v>0</v>
      </c>
      <c r="K534" s="44" cm="1">
        <f t="array" ref="K534">IF(D534="Gadget",_xlfn.IFS(I534&gt;=0.2,0.5,I534&gt;=0.1,0.35,I534&gt;=0.05,0.2,TRUE,0),IF(D534="Grenade",_xlfn.IFS(I534&gt;=0.2,1,I534&gt;=0.1,0.7,I534&gt;=0.05,0.4,TRUE,0),0))</f>
        <v>0</v>
      </c>
      <c r="L534" s="57">
        <f t="shared" ref="L534:L538" si="183">IF($K534=0,0,$K534 / SUMIFS($K:$K,$A:$A,$A534,$D:$D,"Gadget"))</f>
        <v>0</v>
      </c>
    </row>
    <row r="535" spans="1:12" x14ac:dyDescent="0.25">
      <c r="A535" s="42" t="str" cm="1">
        <f t="array" ref="A535">IFERROR(INDEX(_xlfn._xlws.FILTER(Class_Players!A:A,Class_Players!B:B="Assault"),QUOTIENT(ROW()-ROW($A$2),7)+1),"")</f>
        <v>TwinTurbo86</v>
      </c>
      <c r="B535" s="42" t="str">
        <f>_xlfn.XLOOKUP(A535,Class_Players!$A:$A,Class_Players!$B:$B,"")</f>
        <v>Assault</v>
      </c>
      <c r="C535" s="48" t="str" cm="1">
        <f t="array" ref="C535">INDEX(Lookups!$A$2:$A$8,MOD(ROW()-ROW($B$2),ROWS(Lookups!$A$2:$A$8))+1)</f>
        <v>X95 BRE (Breaching Projectile Launcher)</v>
      </c>
      <c r="D535" s="48" t="str">
        <f>_xlfn.XLOOKUP(C535,Analysis_Gadgets!$C:$C,Analysis_Gadgets!$B:$B)</f>
        <v>Gadget</v>
      </c>
      <c r="E535" s="43">
        <v>0</v>
      </c>
      <c r="F535" s="43">
        <f>_xlfn.XLOOKUP(A535,Class_Players!A:A,Class_Players!G:G)</f>
        <v>277</v>
      </c>
      <c r="G535" s="43">
        <f t="shared" si="175"/>
        <v>0</v>
      </c>
      <c r="H535" s="43">
        <f>_xlfn.XLOOKUP(A535,Class_Players!$A:$A,Class_Players!$F:$F,"")</f>
        <v>8146</v>
      </c>
      <c r="I535" s="44">
        <f t="shared" si="176"/>
        <v>0</v>
      </c>
      <c r="J535" s="43">
        <f t="shared" si="180"/>
        <v>0</v>
      </c>
      <c r="K535" s="44" cm="1">
        <f t="array" ref="K535">IF(D535="Gadget",_xlfn.IFS(I535&gt;=0.2,0.5,I535&gt;=0.1,0.35,I535&gt;=0.05,0.2,TRUE,0),IF(D535="Grenade",_xlfn.IFS(I535&gt;=0.2,1,I535&gt;=0.1,0.7,I535&gt;=0.05,0.4,TRUE,0),0))</f>
        <v>0</v>
      </c>
      <c r="L535" s="57">
        <f t="shared" si="183"/>
        <v>0</v>
      </c>
    </row>
    <row r="536" spans="1:12" x14ac:dyDescent="0.25">
      <c r="A536" s="42" t="str" cm="1">
        <f t="array" ref="A536">IFERROR(INDEX(_xlfn._xlws.FILTER(Class_Players!A:A,Class_Players!B:B="Assault"),QUOTIENT(ROW()-ROW($A$2),7)+1),"")</f>
        <v>TwinTurbo86</v>
      </c>
      <c r="B536" s="42" t="str">
        <f>_xlfn.XLOOKUP(A536,Class_Players!$A:$A,Class_Players!$B:$B,"")</f>
        <v>Assault</v>
      </c>
      <c r="C536" s="48" t="str" cm="1">
        <f t="array" ref="C536">INDEX(Lookups!$A$2:$A$8,MOD(ROW()-ROW($B$2),ROWS(Lookups!$A$2:$A$8))+1)</f>
        <v>M320A1 HE (Grenade Launcher)</v>
      </c>
      <c r="D536" s="48" t="str">
        <f>_xlfn.XLOOKUP(C536,Analysis_Gadgets!$C:$C,Analysis_Gadgets!$B:$B)</f>
        <v>Gadget</v>
      </c>
      <c r="E536" s="43">
        <v>9505</v>
      </c>
      <c r="F536" s="43">
        <f>_xlfn.XLOOKUP(A536,Class_Players!A:A,Class_Players!G:G)</f>
        <v>277</v>
      </c>
      <c r="G536" s="43">
        <f t="shared" si="175"/>
        <v>34.314079422382669</v>
      </c>
      <c r="H536" s="43">
        <f>_xlfn.XLOOKUP(A536,Class_Players!$A:$A,Class_Players!$F:$F,"")</f>
        <v>8146</v>
      </c>
      <c r="I536" s="44">
        <f t="shared" si="176"/>
        <v>1.1668303461821754</v>
      </c>
      <c r="J536" s="43">
        <f t="shared" si="180"/>
        <v>1</v>
      </c>
      <c r="K536" s="44" cm="1">
        <f t="array" ref="K536">IF(D536="Gadget",_xlfn.IFS(I536&gt;=0.2,0.5,I536&gt;=0.1,0.35,I536&gt;=0.05,0.2,TRUE,0),IF(D536="Grenade",_xlfn.IFS(I536&gt;=0.2,1,I536&gt;=0.1,0.7,I536&gt;=0.05,0.4,TRUE,0),0))</f>
        <v>0.5</v>
      </c>
      <c r="L536" s="57">
        <f t="shared" si="183"/>
        <v>0.5</v>
      </c>
    </row>
    <row r="537" spans="1:12" x14ac:dyDescent="0.25">
      <c r="A537" s="42" t="str" cm="1">
        <f t="array" ref="A537">IFERROR(INDEX(_xlfn._xlws.FILTER(Class_Players!A:A,Class_Players!B:B="Assault"),QUOTIENT(ROW()-ROW($A$2),7)+1),"")</f>
        <v>TwinTurbo86</v>
      </c>
      <c r="B537" s="42" t="str">
        <f>_xlfn.XLOOKUP(A537,Class_Players!$A:$A,Class_Players!$B:$B,"")</f>
        <v>Assault</v>
      </c>
      <c r="C537" s="48" t="str" cm="1">
        <f t="array" ref="C537">INDEX(Lookups!$A$2:$A$8,MOD(ROW()-ROW($B$2),ROWS(Lookups!$A$2:$A$8))+1)</f>
        <v>M320A1 THRM    (Incendiary Grenade Launcher)</v>
      </c>
      <c r="D537" s="48" t="str">
        <f>_xlfn.XLOOKUP(C537,Analysis_Gadgets!$C:$C,Analysis_Gadgets!$B:$B)</f>
        <v>Gadget</v>
      </c>
      <c r="E537" s="43">
        <v>162</v>
      </c>
      <c r="F537" s="43">
        <f>_xlfn.XLOOKUP(A537,Class_Players!A:A,Class_Players!G:G)</f>
        <v>277</v>
      </c>
      <c r="G537" s="43">
        <f t="shared" si="175"/>
        <v>0.58483754512635377</v>
      </c>
      <c r="H537" s="43">
        <f>_xlfn.XLOOKUP(A537,Class_Players!$A:$A,Class_Players!$F:$F,"")</f>
        <v>8146</v>
      </c>
      <c r="I537" s="44">
        <f t="shared" si="176"/>
        <v>1.9887061134299042E-2</v>
      </c>
      <c r="J537" s="43">
        <f t="shared" si="180"/>
        <v>0</v>
      </c>
      <c r="K537" s="44" cm="1">
        <f t="array" ref="K537">IF(D537="Gadget",_xlfn.IFS(I537&gt;=0.2,0.5,I537&gt;=0.1,0.35,I537&gt;=0.05,0.2,TRUE,0),IF(D537="Grenade",_xlfn.IFS(I537&gt;=0.2,1,I537&gt;=0.1,0.7,I537&gt;=0.05,0.4,TRUE,0),0))</f>
        <v>0</v>
      </c>
      <c r="L537" s="57">
        <f t="shared" si="183"/>
        <v>0</v>
      </c>
    </row>
    <row r="538" spans="1:12" x14ac:dyDescent="0.25">
      <c r="A538" s="42" t="str" cm="1">
        <f t="array" ref="A538">IFERROR(INDEX(_xlfn._xlws.FILTER(Class_Players!A:A,Class_Players!B:B="Assault"),QUOTIENT(ROW()-ROW($A$2),7)+1),"")</f>
        <v>TwinTurbo86</v>
      </c>
      <c r="B538" s="42" t="str">
        <f>_xlfn.XLOOKUP(A538,Class_Players!$A:$A,Class_Players!$B:$B,"")</f>
        <v>Assault</v>
      </c>
      <c r="C538" s="48" t="str" cm="1">
        <f t="array" ref="C538">INDEX(Lookups!$A$2:$A$8,MOD(ROW()-ROW($B$2),ROWS(Lookups!$A$2:$A$8))+1)</f>
        <v>QLINK (Deploy Beacon)</v>
      </c>
      <c r="D538" s="48" t="str">
        <f>_xlfn.XLOOKUP(C538,Analysis_Gadgets!$C:$C,Analysis_Gadgets!$B:$B)</f>
        <v>Gadget</v>
      </c>
      <c r="E538" s="43">
        <v>5729</v>
      </c>
      <c r="F538" s="43">
        <f>_xlfn.XLOOKUP(A538,Class_Players!A:A,Class_Players!G:G)</f>
        <v>277</v>
      </c>
      <c r="G538" s="43">
        <f t="shared" si="175"/>
        <v>20.682310469314078</v>
      </c>
      <c r="H538" s="43">
        <f>_xlfn.XLOOKUP(A538,Class_Players!$A:$A,Class_Players!$F:$F,"")</f>
        <v>8146</v>
      </c>
      <c r="I538" s="44">
        <f t="shared" si="176"/>
        <v>0.70328995826172358</v>
      </c>
      <c r="J538" s="43">
        <f t="shared" si="180"/>
        <v>1</v>
      </c>
      <c r="K538" s="44" cm="1">
        <f t="array" ref="K538">IF(D538="Gadget",_xlfn.IFS(I538&gt;=0.2,0.5,I538&gt;=0.1,0.35,I538&gt;=0.05,0.2,TRUE,0),IF(D538="Grenade",_xlfn.IFS(I538&gt;=0.2,1,I538&gt;=0.1,0.7,I538&gt;=0.05,0.4,TRUE,0),0))</f>
        <v>0.5</v>
      </c>
      <c r="L538" s="57">
        <f t="shared" si="183"/>
        <v>0.5</v>
      </c>
    </row>
    <row r="539" spans="1:12" x14ac:dyDescent="0.25">
      <c r="A539" s="42" t="str" cm="1">
        <f t="array" ref="A539">IFERROR(INDEX(_xlfn._xlws.FILTER(Class_Players!A:A,Class_Players!B:B="Assault"),QUOTIENT(ROW()-ROW($A$2),7)+1),"")</f>
        <v>TwinTurbo86</v>
      </c>
      <c r="B539" s="42" t="str">
        <f>_xlfn.XLOOKUP(A539,Class_Players!$A:$A,Class_Players!$B:$B,"")</f>
        <v>Assault</v>
      </c>
      <c r="C539" s="48" t="str" cm="1">
        <f t="array" ref="C539">INDEX(Lookups!$A$2:$A$8,MOD(ROW()-ROW($B$2),ROWS(Lookups!$A$2:$A$8))+1)</f>
        <v>Stun Grenade</v>
      </c>
      <c r="D539" s="48" t="str">
        <f>_xlfn.XLOOKUP(C539,Analysis_Gadgets!$C:$C,Analysis_Gadgets!$B:$B)</f>
        <v>Grenade</v>
      </c>
      <c r="E539" s="43">
        <v>5</v>
      </c>
      <c r="F539" s="43">
        <f>_xlfn.XLOOKUP(A539,Class_Players!A:A,Class_Players!G:G)</f>
        <v>277</v>
      </c>
      <c r="G539" s="43">
        <f t="shared" si="175"/>
        <v>1.8050541516245487E-2</v>
      </c>
      <c r="H539" s="43">
        <f>_xlfn.XLOOKUP(A539,Class_Players!$A:$A,Class_Players!$F:$F,"")</f>
        <v>8146</v>
      </c>
      <c r="I539" s="44">
        <f t="shared" si="176"/>
        <v>6.1379818315737786E-4</v>
      </c>
      <c r="J539" s="43">
        <f t="shared" si="180"/>
        <v>0</v>
      </c>
      <c r="K539" s="44" cm="1">
        <f t="array" ref="K539">IF(D539="Gadget",_xlfn.IFS(I539&gt;=0.2,0.5,I539&gt;=0.1,0.35,I539&gt;=0.05,0.2,TRUE,0),IF(D539="Grenade",_xlfn.IFS(I539&gt;=0.2,1,I539&gt;=0.1,0.7,I539&gt;=0.05,0.4,TRUE,0),0))</f>
        <v>0</v>
      </c>
      <c r="L539" s="57">
        <f t="shared" si="174"/>
        <v>0</v>
      </c>
    </row>
    <row r="540" spans="1:12" x14ac:dyDescent="0.25">
      <c r="A540" s="42" t="str" cm="1">
        <f t="array" ref="A540">IFERROR(INDEX(_xlfn._xlws.FILTER(Class_Players!A:A,Class_Players!B:B="Assault"),QUOTIENT(ROW()-ROW($A$2),7)+1),"")</f>
        <v>TwinTurbo86</v>
      </c>
      <c r="B540" s="42" t="str">
        <f>_xlfn.XLOOKUP(A540,Class_Players!$A:$A,Class_Players!$B:$B,"")</f>
        <v>Assault</v>
      </c>
      <c r="C540" s="48" t="str" cm="1">
        <f t="array" ref="C540">INDEX(Lookups!$A$2:$A$8,MOD(ROW()-ROW($B$2),ROWS(Lookups!$A$2:$A$8))+1)</f>
        <v>Flash Grenade</v>
      </c>
      <c r="D540" s="48" t="str">
        <f>_xlfn.XLOOKUP(C540,Analysis_Gadgets!$C:$C,Analysis_Gadgets!$B:$B)</f>
        <v>Grenade</v>
      </c>
      <c r="E540" s="43">
        <v>303</v>
      </c>
      <c r="F540" s="43">
        <f>_xlfn.XLOOKUP(A540,Class_Players!A:A,Class_Players!G:G)</f>
        <v>277</v>
      </c>
      <c r="G540" s="43">
        <f t="shared" si="175"/>
        <v>1.0938628158844765</v>
      </c>
      <c r="H540" s="43">
        <f>_xlfn.XLOOKUP(A540,Class_Players!$A:$A,Class_Players!$F:$F,"")</f>
        <v>8146</v>
      </c>
      <c r="I540" s="44">
        <f t="shared" si="176"/>
        <v>3.7196169899337099E-2</v>
      </c>
      <c r="J540" s="43">
        <f t="shared" si="180"/>
        <v>0</v>
      </c>
      <c r="K540" s="44" cm="1">
        <f t="array" ref="K540">IF(D540="Gadget",_xlfn.IFS(I540&gt;=0.2,0.5,I540&gt;=0.1,0.35,I540&gt;=0.05,0.2,TRUE,0),IF(D540="Grenade",_xlfn.IFS(I540&gt;=0.2,1,I540&gt;=0.1,0.7,I540&gt;=0.05,0.4,TRUE,0),0))</f>
        <v>0</v>
      </c>
      <c r="L540" s="57">
        <f t="shared" si="174"/>
        <v>0</v>
      </c>
    </row>
    <row r="541" spans="1:12" x14ac:dyDescent="0.25">
      <c r="A541" s="42" t="str" cm="1">
        <f t="array" ref="A541">IFERROR(INDEX(_xlfn._xlws.FILTER(Class_Players!A:A,Class_Players!B:B="Assault"),QUOTIENT(ROW()-ROW($A$2),7)+1),"")</f>
        <v>xBeerMeJesus</v>
      </c>
      <c r="B541" s="42" t="str">
        <f>_xlfn.XLOOKUP(A541,Class_Players!$A:$A,Class_Players!$B:$B,"")</f>
        <v>Assault</v>
      </c>
      <c r="C541" s="48" t="str" cm="1">
        <f t="array" ref="C541">INDEX(Lookups!$A$2:$A$8,MOD(ROW()-ROW($B$2),ROWS(Lookups!$A$2:$A$8))+1)</f>
        <v>Assault Ladder</v>
      </c>
      <c r="D541" s="48" t="str">
        <f>_xlfn.XLOOKUP(C541,Analysis_Gadgets!$C:$C,Analysis_Gadgets!$B:$B)</f>
        <v>Gadget</v>
      </c>
      <c r="E541" s="43">
        <v>540</v>
      </c>
      <c r="F541" s="43">
        <f>_xlfn.XLOOKUP(A541,Class_Players!A:A,Class_Players!G:G)</f>
        <v>123</v>
      </c>
      <c r="G541" s="43">
        <f t="shared" si="175"/>
        <v>4.3902439024390247</v>
      </c>
      <c r="H541" s="43">
        <f>_xlfn.XLOOKUP(A541,Class_Players!$A:$A,Class_Players!$F:$F,"")</f>
        <v>9125</v>
      </c>
      <c r="I541" s="44">
        <f t="shared" si="176"/>
        <v>5.917808219178082E-2</v>
      </c>
      <c r="J541" s="43">
        <f t="shared" si="180"/>
        <v>0</v>
      </c>
      <c r="K541" s="44" cm="1">
        <f t="array" ref="K541">IF(D541="Gadget",_xlfn.IFS(I541&gt;=0.2,0.5,I541&gt;=0.1,0.35,I541&gt;=0.05,0.2,TRUE,0),IF(D541="Grenade",_xlfn.IFS(I541&gt;=0.2,1,I541&gt;=0.1,0.7,I541&gt;=0.05,0.4,TRUE,0),0))</f>
        <v>0.2</v>
      </c>
      <c r="L541" s="57">
        <f t="shared" ref="L541:L545" si="184">IF($K541=0,0,$K541 / SUMIFS($K:$K,$A:$A,$A541,$D:$D,"Gadget"))</f>
        <v>0.19047619047619052</v>
      </c>
    </row>
    <row r="542" spans="1:12" x14ac:dyDescent="0.25">
      <c r="A542" s="42" t="str" cm="1">
        <f t="array" ref="A542">IFERROR(INDEX(_xlfn._xlws.FILTER(Class_Players!A:A,Class_Players!B:B="Assault"),QUOTIENT(ROW()-ROW($A$2),7)+1),"")</f>
        <v>xBeerMeJesus</v>
      </c>
      <c r="B542" s="42" t="str">
        <f>_xlfn.XLOOKUP(A542,Class_Players!$A:$A,Class_Players!$B:$B,"")</f>
        <v>Assault</v>
      </c>
      <c r="C542" s="48" t="str" cm="1">
        <f t="array" ref="C542">INDEX(Lookups!$A$2:$A$8,MOD(ROW()-ROW($B$2),ROWS(Lookups!$A$2:$A$8))+1)</f>
        <v>X95 BRE (Breaching Projectile Launcher)</v>
      </c>
      <c r="D542" s="48" t="str">
        <f>_xlfn.XLOOKUP(C542,Analysis_Gadgets!$C:$C,Analysis_Gadgets!$B:$B)</f>
        <v>Gadget</v>
      </c>
      <c r="E542" s="43">
        <v>30</v>
      </c>
      <c r="F542" s="43">
        <f>_xlfn.XLOOKUP(A542,Class_Players!A:A,Class_Players!G:G)</f>
        <v>123</v>
      </c>
      <c r="G542" s="43">
        <f t="shared" si="175"/>
        <v>0.24390243902439024</v>
      </c>
      <c r="H542" s="43">
        <f>_xlfn.XLOOKUP(A542,Class_Players!$A:$A,Class_Players!$F:$F,"")</f>
        <v>9125</v>
      </c>
      <c r="I542" s="44">
        <f t="shared" si="176"/>
        <v>3.2876712328767125E-3</v>
      </c>
      <c r="J542" s="43">
        <f t="shared" si="180"/>
        <v>0</v>
      </c>
      <c r="K542" s="44" cm="1">
        <f t="array" ref="K542">IF(D542="Gadget",_xlfn.IFS(I542&gt;=0.2,0.5,I542&gt;=0.1,0.35,I542&gt;=0.05,0.2,TRUE,0),IF(D542="Grenade",_xlfn.IFS(I542&gt;=0.2,1,I542&gt;=0.1,0.7,I542&gt;=0.05,0.4,TRUE,0),0))</f>
        <v>0</v>
      </c>
      <c r="L542" s="57">
        <f t="shared" si="184"/>
        <v>0</v>
      </c>
    </row>
    <row r="543" spans="1:12" x14ac:dyDescent="0.25">
      <c r="A543" s="42" t="str" cm="1">
        <f t="array" ref="A543">IFERROR(INDEX(_xlfn._xlws.FILTER(Class_Players!A:A,Class_Players!B:B="Assault"),QUOTIENT(ROW()-ROW($A$2),7)+1),"")</f>
        <v>xBeerMeJesus</v>
      </c>
      <c r="B543" s="42" t="str">
        <f>_xlfn.XLOOKUP(A543,Class_Players!$A:$A,Class_Players!$B:$B,"")</f>
        <v>Assault</v>
      </c>
      <c r="C543" s="48" t="str" cm="1">
        <f t="array" ref="C543">INDEX(Lookups!$A$2:$A$8,MOD(ROW()-ROW($B$2),ROWS(Lookups!$A$2:$A$8))+1)</f>
        <v>M320A1 HE (Grenade Launcher)</v>
      </c>
      <c r="D543" s="48" t="str">
        <f>_xlfn.XLOOKUP(C543,Analysis_Gadgets!$C:$C,Analysis_Gadgets!$B:$B)</f>
        <v>Gadget</v>
      </c>
      <c r="E543" s="43">
        <v>3882</v>
      </c>
      <c r="F543" s="43">
        <f>_xlfn.XLOOKUP(A543,Class_Players!A:A,Class_Players!G:G)</f>
        <v>123</v>
      </c>
      <c r="G543" s="43">
        <f t="shared" si="175"/>
        <v>31.560975609756099</v>
      </c>
      <c r="H543" s="43">
        <f>_xlfn.XLOOKUP(A543,Class_Players!$A:$A,Class_Players!$F:$F,"")</f>
        <v>9125</v>
      </c>
      <c r="I543" s="44">
        <f t="shared" si="176"/>
        <v>0.42542465753424658</v>
      </c>
      <c r="J543" s="43">
        <f t="shared" si="180"/>
        <v>1</v>
      </c>
      <c r="K543" s="44" cm="1">
        <f t="array" ref="K543">IF(D543="Gadget",_xlfn.IFS(I543&gt;=0.2,0.5,I543&gt;=0.1,0.35,I543&gt;=0.05,0.2,TRUE,0),IF(D543="Grenade",_xlfn.IFS(I543&gt;=0.2,1,I543&gt;=0.1,0.7,I543&gt;=0.05,0.4,TRUE,0),0))</f>
        <v>0.5</v>
      </c>
      <c r="L543" s="57">
        <f t="shared" si="184"/>
        <v>0.47619047619047628</v>
      </c>
    </row>
    <row r="544" spans="1:12" x14ac:dyDescent="0.25">
      <c r="A544" s="42" t="str" cm="1">
        <f t="array" ref="A544">IFERROR(INDEX(_xlfn._xlws.FILTER(Class_Players!A:A,Class_Players!B:B="Assault"),QUOTIENT(ROW()-ROW($A$2),7)+1),"")</f>
        <v>xBeerMeJesus</v>
      </c>
      <c r="B544" s="42" t="str">
        <f>_xlfn.XLOOKUP(A544,Class_Players!$A:$A,Class_Players!$B:$B,"")</f>
        <v>Assault</v>
      </c>
      <c r="C544" s="48" t="str" cm="1">
        <f t="array" ref="C544">INDEX(Lookups!$A$2:$A$8,MOD(ROW()-ROW($B$2),ROWS(Lookups!$A$2:$A$8))+1)</f>
        <v>M320A1 THRM    (Incendiary Grenade Launcher)</v>
      </c>
      <c r="D544" s="48" t="str">
        <f>_xlfn.XLOOKUP(C544,Analysis_Gadgets!$C:$C,Analysis_Gadgets!$B:$B)</f>
        <v>Gadget</v>
      </c>
      <c r="E544" s="43">
        <v>194</v>
      </c>
      <c r="F544" s="43">
        <f>_xlfn.XLOOKUP(A544,Class_Players!A:A,Class_Players!G:G)</f>
        <v>123</v>
      </c>
      <c r="G544" s="43">
        <f t="shared" si="175"/>
        <v>1.5772357723577235</v>
      </c>
      <c r="H544" s="43">
        <f>_xlfn.XLOOKUP(A544,Class_Players!$A:$A,Class_Players!$F:$F,"")</f>
        <v>9125</v>
      </c>
      <c r="I544" s="44">
        <f t="shared" si="176"/>
        <v>2.1260273972602741E-2</v>
      </c>
      <c r="J544" s="43">
        <f t="shared" si="180"/>
        <v>0</v>
      </c>
      <c r="K544" s="44" cm="1">
        <f t="array" ref="K544">IF(D544="Gadget",_xlfn.IFS(I544&gt;=0.2,0.5,I544&gt;=0.1,0.35,I544&gt;=0.05,0.2,TRUE,0),IF(D544="Grenade",_xlfn.IFS(I544&gt;=0.2,1,I544&gt;=0.1,0.7,I544&gt;=0.05,0.4,TRUE,0),0))</f>
        <v>0</v>
      </c>
      <c r="L544" s="57">
        <f t="shared" si="184"/>
        <v>0</v>
      </c>
    </row>
    <row r="545" spans="1:12" x14ac:dyDescent="0.25">
      <c r="A545" s="42" t="str" cm="1">
        <f t="array" ref="A545">IFERROR(INDEX(_xlfn._xlws.FILTER(Class_Players!A:A,Class_Players!B:B="Assault"),QUOTIENT(ROW()-ROW($A$2),7)+1),"")</f>
        <v>xBeerMeJesus</v>
      </c>
      <c r="B545" s="42" t="str">
        <f>_xlfn.XLOOKUP(A545,Class_Players!$A:$A,Class_Players!$B:$B,"")</f>
        <v>Assault</v>
      </c>
      <c r="C545" s="48" t="str" cm="1">
        <f t="array" ref="C545">INDEX(Lookups!$A$2:$A$8,MOD(ROW()-ROW($B$2),ROWS(Lookups!$A$2:$A$8))+1)</f>
        <v>QLINK (Deploy Beacon)</v>
      </c>
      <c r="D545" s="48" t="str">
        <f>_xlfn.XLOOKUP(C545,Analysis_Gadgets!$C:$C,Analysis_Gadgets!$B:$B)</f>
        <v>Gadget</v>
      </c>
      <c r="E545" s="43">
        <v>915</v>
      </c>
      <c r="F545" s="43">
        <f>_xlfn.XLOOKUP(A545,Class_Players!A:A,Class_Players!G:G)</f>
        <v>123</v>
      </c>
      <c r="G545" s="43">
        <f t="shared" si="175"/>
        <v>7.4390243902439028</v>
      </c>
      <c r="H545" s="43">
        <f>_xlfn.XLOOKUP(A545,Class_Players!$A:$A,Class_Players!$F:$F,"")</f>
        <v>9125</v>
      </c>
      <c r="I545" s="44">
        <f t="shared" si="176"/>
        <v>0.10027397260273972</v>
      </c>
      <c r="J545" s="43">
        <f t="shared" si="180"/>
        <v>1</v>
      </c>
      <c r="K545" s="44" cm="1">
        <f t="array" ref="K545">IF(D545="Gadget",_xlfn.IFS(I545&gt;=0.2,0.5,I545&gt;=0.1,0.35,I545&gt;=0.05,0.2,TRUE,0),IF(D545="Grenade",_xlfn.IFS(I545&gt;=0.2,1,I545&gt;=0.1,0.7,I545&gt;=0.05,0.4,TRUE,0),0))</f>
        <v>0.35</v>
      </c>
      <c r="L545" s="57">
        <f t="shared" si="184"/>
        <v>0.33333333333333337</v>
      </c>
    </row>
    <row r="546" spans="1:12" x14ac:dyDescent="0.25">
      <c r="A546" s="42" t="str" cm="1">
        <f t="array" ref="A546">IFERROR(INDEX(_xlfn._xlws.FILTER(Class_Players!A:A,Class_Players!B:B="Assault"),QUOTIENT(ROW()-ROW($A$2),7)+1),"")</f>
        <v>xBeerMeJesus</v>
      </c>
      <c r="B546" s="42" t="str">
        <f>_xlfn.XLOOKUP(A546,Class_Players!$A:$A,Class_Players!$B:$B,"")</f>
        <v>Assault</v>
      </c>
      <c r="C546" s="48" t="str" cm="1">
        <f t="array" ref="C546">INDEX(Lookups!$A$2:$A$8,MOD(ROW()-ROW($B$2),ROWS(Lookups!$A$2:$A$8))+1)</f>
        <v>Stun Grenade</v>
      </c>
      <c r="D546" s="48" t="str">
        <f>_xlfn.XLOOKUP(C546,Analysis_Gadgets!$C:$C,Analysis_Gadgets!$B:$B)</f>
        <v>Grenade</v>
      </c>
      <c r="E546" s="43">
        <v>97</v>
      </c>
      <c r="F546" s="43">
        <f>_xlfn.XLOOKUP(A546,Class_Players!A:A,Class_Players!G:G)</f>
        <v>123</v>
      </c>
      <c r="G546" s="43">
        <f t="shared" si="175"/>
        <v>0.78861788617886175</v>
      </c>
      <c r="H546" s="43">
        <f>_xlfn.XLOOKUP(A546,Class_Players!$A:$A,Class_Players!$F:$F,"")</f>
        <v>9125</v>
      </c>
      <c r="I546" s="44">
        <f t="shared" si="176"/>
        <v>1.0630136986301371E-2</v>
      </c>
      <c r="J546" s="43">
        <f t="shared" si="180"/>
        <v>0</v>
      </c>
      <c r="K546" s="44" cm="1">
        <f t="array" ref="K546">IF(D546="Gadget",_xlfn.IFS(I546&gt;=0.2,0.5,I546&gt;=0.1,0.35,I546&gt;=0.05,0.2,TRUE,0),IF(D546="Grenade",_xlfn.IFS(I546&gt;=0.2,1,I546&gt;=0.1,0.7,I546&gt;=0.05,0.4,TRUE,0),0))</f>
        <v>0</v>
      </c>
      <c r="L546" s="57">
        <f t="shared" si="174"/>
        <v>0</v>
      </c>
    </row>
    <row r="547" spans="1:12" x14ac:dyDescent="0.25">
      <c r="A547" s="42" t="str" cm="1">
        <f t="array" ref="A547">IFERROR(INDEX(_xlfn._xlws.FILTER(Class_Players!A:A,Class_Players!B:B="Assault"),QUOTIENT(ROW()-ROW($A$2),7)+1),"")</f>
        <v>xBeerMeJesus</v>
      </c>
      <c r="B547" s="42" t="str">
        <f>_xlfn.XLOOKUP(A547,Class_Players!$A:$A,Class_Players!$B:$B,"")</f>
        <v>Assault</v>
      </c>
      <c r="C547" s="48" t="str" cm="1">
        <f t="array" ref="C547">INDEX(Lookups!$A$2:$A$8,MOD(ROW()-ROW($B$2),ROWS(Lookups!$A$2:$A$8))+1)</f>
        <v>Flash Grenade</v>
      </c>
      <c r="D547" s="48" t="str">
        <f>_xlfn.XLOOKUP(C547,Analysis_Gadgets!$C:$C,Analysis_Gadgets!$B:$B)</f>
        <v>Grenade</v>
      </c>
      <c r="E547" s="43">
        <v>20</v>
      </c>
      <c r="F547" s="43">
        <f>_xlfn.XLOOKUP(A547,Class_Players!A:A,Class_Players!G:G)</f>
        <v>123</v>
      </c>
      <c r="G547" s="43">
        <f t="shared" si="175"/>
        <v>0.16260162601626016</v>
      </c>
      <c r="H547" s="43">
        <f>_xlfn.XLOOKUP(A547,Class_Players!$A:$A,Class_Players!$F:$F,"")</f>
        <v>9125</v>
      </c>
      <c r="I547" s="44">
        <f t="shared" si="176"/>
        <v>2.1917808219178081E-3</v>
      </c>
      <c r="J547" s="43">
        <f t="shared" si="180"/>
        <v>0</v>
      </c>
      <c r="K547" s="44" cm="1">
        <f t="array" ref="K547">IF(D547="Gadget",_xlfn.IFS(I547&gt;=0.2,0.5,I547&gt;=0.1,0.35,I547&gt;=0.05,0.2,TRUE,0),IF(D547="Grenade",_xlfn.IFS(I547&gt;=0.2,1,I547&gt;=0.1,0.7,I547&gt;=0.05,0.4,TRUE,0),0))</f>
        <v>0</v>
      </c>
      <c r="L547" s="57">
        <f t="shared" si="174"/>
        <v>0</v>
      </c>
    </row>
    <row r="548" spans="1:12" x14ac:dyDescent="0.25">
      <c r="A548" s="42" t="str" cm="1">
        <f t="array" ref="A548">IFERROR(INDEX(_xlfn._xlws.FILTER(Class_Players!A:A,Class_Players!B:B="Assault"),QUOTIENT(ROW()-ROW($A$2),7)+1),"")</f>
        <v>Ira</v>
      </c>
      <c r="B548" s="42" t="str">
        <f>_xlfn.XLOOKUP(A548,Class_Players!$A:$A,Class_Players!$B:$B,"")</f>
        <v>Assault</v>
      </c>
      <c r="C548" s="48" t="str" cm="1">
        <f t="array" ref="C548">INDEX(Lookups!$A$2:$A$8,MOD(ROW()-ROW($B$2),ROWS(Lookups!$A$2:$A$8))+1)</f>
        <v>Assault Ladder</v>
      </c>
      <c r="D548" s="48" t="str">
        <f>_xlfn.XLOOKUP(C548,Analysis_Gadgets!$C:$C,Analysis_Gadgets!$B:$B)</f>
        <v>Gadget</v>
      </c>
      <c r="E548" s="43">
        <v>10</v>
      </c>
      <c r="F548" s="43">
        <f>_xlfn.XLOOKUP(A548,Class_Players!A:A,Class_Players!G:G)</f>
        <v>182</v>
      </c>
      <c r="G548" s="43">
        <f t="shared" si="175"/>
        <v>5.4945054945054944E-2</v>
      </c>
      <c r="H548" s="43">
        <f>_xlfn.XLOOKUP(A548,Class_Players!$A:$A,Class_Players!$F:$F,"")</f>
        <v>8104</v>
      </c>
      <c r="I548" s="44">
        <f t="shared" si="176"/>
        <v>1.2339585389930898E-3</v>
      </c>
      <c r="J548" s="43">
        <f t="shared" si="180"/>
        <v>0</v>
      </c>
      <c r="K548" s="44" cm="1">
        <f t="array" ref="K548">IF(D548="Gadget",_xlfn.IFS(I548&gt;=0.2,0.5,I548&gt;=0.1,0.35,I548&gt;=0.05,0.2,TRUE,0),IF(D548="Grenade",_xlfn.IFS(I548&gt;=0.2,1,I548&gt;=0.1,0.7,I548&gt;=0.05,0.4,TRUE,0),0))</f>
        <v>0</v>
      </c>
      <c r="L548" s="57">
        <f t="shared" ref="L548:L552" si="185">IF($K548=0,0,$K548 / SUMIFS($K:$K,$A:$A,$A548,$D:$D,"Gadget"))</f>
        <v>0</v>
      </c>
    </row>
    <row r="549" spans="1:12" x14ac:dyDescent="0.25">
      <c r="A549" s="42" t="str" cm="1">
        <f t="array" ref="A549">IFERROR(INDEX(_xlfn._xlws.FILTER(Class_Players!A:A,Class_Players!B:B="Assault"),QUOTIENT(ROW()-ROW($A$2),7)+1),"")</f>
        <v>Ira</v>
      </c>
      <c r="B549" s="42" t="str">
        <f>_xlfn.XLOOKUP(A549,Class_Players!$A:$A,Class_Players!$B:$B,"")</f>
        <v>Assault</v>
      </c>
      <c r="C549" s="48" t="str" cm="1">
        <f t="array" ref="C549">INDEX(Lookups!$A$2:$A$8,MOD(ROW()-ROW($B$2),ROWS(Lookups!$A$2:$A$8))+1)</f>
        <v>X95 BRE (Breaching Projectile Launcher)</v>
      </c>
      <c r="D549" s="48" t="str">
        <f>_xlfn.XLOOKUP(C549,Analysis_Gadgets!$C:$C,Analysis_Gadgets!$B:$B)</f>
        <v>Gadget</v>
      </c>
      <c r="E549" s="43">
        <v>47</v>
      </c>
      <c r="F549" s="43">
        <f>_xlfn.XLOOKUP(A549,Class_Players!A:A,Class_Players!G:G)</f>
        <v>182</v>
      </c>
      <c r="G549" s="43">
        <f t="shared" si="175"/>
        <v>0.25824175824175827</v>
      </c>
      <c r="H549" s="43">
        <f>_xlfn.XLOOKUP(A549,Class_Players!$A:$A,Class_Players!$F:$F,"")</f>
        <v>8104</v>
      </c>
      <c r="I549" s="44">
        <f t="shared" si="176"/>
        <v>5.7996051332675222E-3</v>
      </c>
      <c r="J549" s="43">
        <f t="shared" si="180"/>
        <v>0</v>
      </c>
      <c r="K549" s="44" cm="1">
        <f t="array" ref="K549">IF(D549="Gadget",_xlfn.IFS(I549&gt;=0.2,0.5,I549&gt;=0.1,0.35,I549&gt;=0.05,0.2,TRUE,0),IF(D549="Grenade",_xlfn.IFS(I549&gt;=0.2,1,I549&gt;=0.1,0.7,I549&gt;=0.05,0.4,TRUE,0),0))</f>
        <v>0</v>
      </c>
      <c r="L549" s="57">
        <f t="shared" si="185"/>
        <v>0</v>
      </c>
    </row>
    <row r="550" spans="1:12" x14ac:dyDescent="0.25">
      <c r="A550" s="42" t="str" cm="1">
        <f t="array" ref="A550">IFERROR(INDEX(_xlfn._xlws.FILTER(Class_Players!A:A,Class_Players!B:B="Assault"),QUOTIENT(ROW()-ROW($A$2),7)+1),"")</f>
        <v>Ira</v>
      </c>
      <c r="B550" s="42" t="str">
        <f>_xlfn.XLOOKUP(A550,Class_Players!$A:$A,Class_Players!$B:$B,"")</f>
        <v>Assault</v>
      </c>
      <c r="C550" s="48" t="str" cm="1">
        <f t="array" ref="C550">INDEX(Lookups!$A$2:$A$8,MOD(ROW()-ROW($B$2),ROWS(Lookups!$A$2:$A$8))+1)</f>
        <v>M320A1 HE (Grenade Launcher)</v>
      </c>
      <c r="D550" s="48" t="str">
        <f>_xlfn.XLOOKUP(C550,Analysis_Gadgets!$C:$C,Analysis_Gadgets!$B:$B)</f>
        <v>Gadget</v>
      </c>
      <c r="E550" s="43">
        <v>3247</v>
      </c>
      <c r="F550" s="43">
        <f>_xlfn.XLOOKUP(A550,Class_Players!A:A,Class_Players!G:G)</f>
        <v>182</v>
      </c>
      <c r="G550" s="43">
        <f t="shared" si="175"/>
        <v>17.840659340659339</v>
      </c>
      <c r="H550" s="43">
        <f>_xlfn.XLOOKUP(A550,Class_Players!$A:$A,Class_Players!$F:$F,"")</f>
        <v>8104</v>
      </c>
      <c r="I550" s="44">
        <f t="shared" si="176"/>
        <v>0.40066633761105624</v>
      </c>
      <c r="J550" s="43">
        <f t="shared" si="180"/>
        <v>1</v>
      </c>
      <c r="K550" s="44" cm="1">
        <f t="array" ref="K550">IF(D550="Gadget",_xlfn.IFS(I550&gt;=0.2,0.5,I550&gt;=0.1,0.35,I550&gt;=0.05,0.2,TRUE,0),IF(D550="Grenade",_xlfn.IFS(I550&gt;=0.2,1,I550&gt;=0.1,0.7,I550&gt;=0.05,0.4,TRUE,0),0))</f>
        <v>0.5</v>
      </c>
      <c r="L550" s="57">
        <f t="shared" si="185"/>
        <v>0.5</v>
      </c>
    </row>
    <row r="551" spans="1:12" x14ac:dyDescent="0.25">
      <c r="A551" s="42" t="str" cm="1">
        <f t="array" ref="A551">IFERROR(INDEX(_xlfn._xlws.FILTER(Class_Players!A:A,Class_Players!B:B="Assault"),QUOTIENT(ROW()-ROW($A$2),7)+1),"")</f>
        <v>Ira</v>
      </c>
      <c r="B551" s="42" t="str">
        <f>_xlfn.XLOOKUP(A551,Class_Players!$A:$A,Class_Players!$B:$B,"")</f>
        <v>Assault</v>
      </c>
      <c r="C551" s="48" t="str" cm="1">
        <f t="array" ref="C551">INDEX(Lookups!$A$2:$A$8,MOD(ROW()-ROW($B$2),ROWS(Lookups!$A$2:$A$8))+1)</f>
        <v>M320A1 THRM    (Incendiary Grenade Launcher)</v>
      </c>
      <c r="D551" s="48" t="str">
        <f>_xlfn.XLOOKUP(C551,Analysis_Gadgets!$C:$C,Analysis_Gadgets!$B:$B)</f>
        <v>Gadget</v>
      </c>
      <c r="E551" s="43">
        <v>176</v>
      </c>
      <c r="F551" s="43">
        <f>_xlfn.XLOOKUP(A551,Class_Players!A:A,Class_Players!G:G)</f>
        <v>182</v>
      </c>
      <c r="G551" s="43">
        <f t="shared" si="175"/>
        <v>0.96703296703296704</v>
      </c>
      <c r="H551" s="43">
        <f>_xlfn.XLOOKUP(A551,Class_Players!$A:$A,Class_Players!$F:$F,"")</f>
        <v>8104</v>
      </c>
      <c r="I551" s="44">
        <f t="shared" si="176"/>
        <v>2.1717670286278381E-2</v>
      </c>
      <c r="J551" s="43">
        <f t="shared" si="180"/>
        <v>0</v>
      </c>
      <c r="K551" s="44" cm="1">
        <f t="array" ref="K551">IF(D551="Gadget",_xlfn.IFS(I551&gt;=0.2,0.5,I551&gt;=0.1,0.35,I551&gt;=0.05,0.2,TRUE,0),IF(D551="Grenade",_xlfn.IFS(I551&gt;=0.2,1,I551&gt;=0.1,0.7,I551&gt;=0.05,0.4,TRUE,0),0))</f>
        <v>0</v>
      </c>
      <c r="L551" s="57">
        <f t="shared" si="185"/>
        <v>0</v>
      </c>
    </row>
    <row r="552" spans="1:12" x14ac:dyDescent="0.25">
      <c r="A552" s="42" t="str" cm="1">
        <f t="array" ref="A552">IFERROR(INDEX(_xlfn._xlws.FILTER(Class_Players!A:A,Class_Players!B:B="Assault"),QUOTIENT(ROW()-ROW($A$2),7)+1),"")</f>
        <v>Ira</v>
      </c>
      <c r="B552" s="42" t="str">
        <f>_xlfn.XLOOKUP(A552,Class_Players!$A:$A,Class_Players!$B:$B,"")</f>
        <v>Assault</v>
      </c>
      <c r="C552" s="48" t="str" cm="1">
        <f t="array" ref="C552">INDEX(Lookups!$A$2:$A$8,MOD(ROW()-ROW($B$2),ROWS(Lookups!$A$2:$A$8))+1)</f>
        <v>QLINK (Deploy Beacon)</v>
      </c>
      <c r="D552" s="48" t="str">
        <f>_xlfn.XLOOKUP(C552,Analysis_Gadgets!$C:$C,Analysis_Gadgets!$B:$B)</f>
        <v>Gadget</v>
      </c>
      <c r="E552" s="43">
        <v>2966</v>
      </c>
      <c r="F552" s="43">
        <f>_xlfn.XLOOKUP(A552,Class_Players!A:A,Class_Players!G:G)</f>
        <v>182</v>
      </c>
      <c r="G552" s="43">
        <f t="shared" si="175"/>
        <v>16.296703296703296</v>
      </c>
      <c r="H552" s="43">
        <f>_xlfn.XLOOKUP(A552,Class_Players!$A:$A,Class_Players!$F:$F,"")</f>
        <v>8104</v>
      </c>
      <c r="I552" s="44">
        <f t="shared" si="176"/>
        <v>0.36599210266535043</v>
      </c>
      <c r="J552" s="43">
        <f t="shared" si="180"/>
        <v>1</v>
      </c>
      <c r="K552" s="44" cm="1">
        <f t="array" ref="K552">IF(D552="Gadget",_xlfn.IFS(I552&gt;=0.2,0.5,I552&gt;=0.1,0.35,I552&gt;=0.05,0.2,TRUE,0),IF(D552="Grenade",_xlfn.IFS(I552&gt;=0.2,1,I552&gt;=0.1,0.7,I552&gt;=0.05,0.4,TRUE,0),0))</f>
        <v>0.5</v>
      </c>
      <c r="L552" s="57">
        <f t="shared" si="185"/>
        <v>0.5</v>
      </c>
    </row>
    <row r="553" spans="1:12" x14ac:dyDescent="0.25">
      <c r="A553" s="42" t="str" cm="1">
        <f t="array" ref="A553">IFERROR(INDEX(_xlfn._xlws.FILTER(Class_Players!A:A,Class_Players!B:B="Assault"),QUOTIENT(ROW()-ROW($A$2),7)+1),"")</f>
        <v>Ira</v>
      </c>
      <c r="B553" s="42" t="str">
        <f>_xlfn.XLOOKUP(A553,Class_Players!$A:$A,Class_Players!$B:$B,"")</f>
        <v>Assault</v>
      </c>
      <c r="C553" s="48" t="str" cm="1">
        <f t="array" ref="C553">INDEX(Lookups!$A$2:$A$8,MOD(ROW()-ROW($B$2),ROWS(Lookups!$A$2:$A$8))+1)</f>
        <v>Stun Grenade</v>
      </c>
      <c r="D553" s="48" t="str">
        <f>_xlfn.XLOOKUP(C553,Analysis_Gadgets!$C:$C,Analysis_Gadgets!$B:$B)</f>
        <v>Grenade</v>
      </c>
      <c r="E553" s="43">
        <v>1723</v>
      </c>
      <c r="F553" s="43">
        <f>_xlfn.XLOOKUP(A553,Class_Players!A:A,Class_Players!G:G)</f>
        <v>182</v>
      </c>
      <c r="G553" s="43">
        <f t="shared" si="175"/>
        <v>9.4670329670329672</v>
      </c>
      <c r="H553" s="43">
        <f>_xlfn.XLOOKUP(A553,Class_Players!$A:$A,Class_Players!$F:$F,"")</f>
        <v>8104</v>
      </c>
      <c r="I553" s="44">
        <f t="shared" si="176"/>
        <v>0.21261105626850937</v>
      </c>
      <c r="J553" s="43">
        <f t="shared" si="180"/>
        <v>1</v>
      </c>
      <c r="K553" s="44" cm="1">
        <f t="array" ref="K553">IF(D553="Gadget",_xlfn.IFS(I553&gt;=0.2,0.5,I553&gt;=0.1,0.35,I553&gt;=0.05,0.2,TRUE,0),IF(D553="Grenade",_xlfn.IFS(I553&gt;=0.2,1,I553&gt;=0.1,0.7,I553&gt;=0.05,0.4,TRUE,0),0))</f>
        <v>1</v>
      </c>
      <c r="L553" s="57">
        <f t="shared" si="174"/>
        <v>1</v>
      </c>
    </row>
    <row r="554" spans="1:12" x14ac:dyDescent="0.25">
      <c r="A554" s="42" t="str" cm="1">
        <f t="array" ref="A554">IFERROR(INDEX(_xlfn._xlws.FILTER(Class_Players!A:A,Class_Players!B:B="Assault"),QUOTIENT(ROW()-ROW($A$2),7)+1),"")</f>
        <v>Ira</v>
      </c>
      <c r="B554" s="42" t="str">
        <f>_xlfn.XLOOKUP(A554,Class_Players!$A:$A,Class_Players!$B:$B,"")</f>
        <v>Assault</v>
      </c>
      <c r="C554" s="48" t="str" cm="1">
        <f t="array" ref="C554">INDEX(Lookups!$A$2:$A$8,MOD(ROW()-ROW($B$2),ROWS(Lookups!$A$2:$A$8))+1)</f>
        <v>Flash Grenade</v>
      </c>
      <c r="D554" s="48" t="str">
        <f>_xlfn.XLOOKUP(C554,Analysis_Gadgets!$C:$C,Analysis_Gadgets!$B:$B)</f>
        <v>Grenade</v>
      </c>
      <c r="E554" s="43">
        <v>139</v>
      </c>
      <c r="F554" s="43">
        <f>_xlfn.XLOOKUP(A554,Class_Players!A:A,Class_Players!G:G)</f>
        <v>182</v>
      </c>
      <c r="G554" s="43">
        <f t="shared" si="175"/>
        <v>0.76373626373626369</v>
      </c>
      <c r="H554" s="43">
        <f>_xlfn.XLOOKUP(A554,Class_Players!$A:$A,Class_Players!$F:$F,"")</f>
        <v>8104</v>
      </c>
      <c r="I554" s="44">
        <f t="shared" si="176"/>
        <v>1.715202369200395E-2</v>
      </c>
      <c r="J554" s="43">
        <f t="shared" si="180"/>
        <v>0</v>
      </c>
      <c r="K554" s="44" cm="1">
        <f t="array" ref="K554">IF(D554="Gadget",_xlfn.IFS(I554&gt;=0.2,0.5,I554&gt;=0.1,0.35,I554&gt;=0.05,0.2,TRUE,0),IF(D554="Grenade",_xlfn.IFS(I554&gt;=0.2,1,I554&gt;=0.1,0.7,I554&gt;=0.05,0.4,TRUE,0),0))</f>
        <v>0</v>
      </c>
      <c r="L554" s="57">
        <f t="shared" si="174"/>
        <v>0</v>
      </c>
    </row>
    <row r="555" spans="1:12" x14ac:dyDescent="0.25">
      <c r="A555" s="42" t="str" cm="1">
        <f t="array" ref="A555">IFERROR(INDEX(_xlfn._xlws.FILTER(Class_Players!A:A,Class_Players!B:B="Assault"),QUOTIENT(ROW()-ROW($A$2),7)+1),"")</f>
        <v>Grey Poupon</v>
      </c>
      <c r="B555" s="42" t="str">
        <f>_xlfn.XLOOKUP(A555,Class_Players!$A:$A,Class_Players!$B:$B,"")</f>
        <v>Assault</v>
      </c>
      <c r="C555" s="48" t="str" cm="1">
        <f t="array" ref="C555">INDEX(Lookups!$A$2:$A$8,MOD(ROW()-ROW($B$2),ROWS(Lookups!$A$2:$A$8))+1)</f>
        <v>Assault Ladder</v>
      </c>
      <c r="D555" s="48" t="str">
        <f>_xlfn.XLOOKUP(C555,Analysis_Gadgets!$C:$C,Analysis_Gadgets!$B:$B)</f>
        <v>Gadget</v>
      </c>
      <c r="E555" s="43">
        <v>71</v>
      </c>
      <c r="F555" s="43">
        <f>_xlfn.XLOOKUP(A555,Class_Players!A:A,Class_Players!G:G)</f>
        <v>164</v>
      </c>
      <c r="G555" s="43">
        <f t="shared" si="175"/>
        <v>0.43292682926829268</v>
      </c>
      <c r="H555" s="43">
        <f>_xlfn.XLOOKUP(A555,Class_Players!$A:$A,Class_Players!$F:$F,"")</f>
        <v>8077</v>
      </c>
      <c r="I555" s="44">
        <f t="shared" si="176"/>
        <v>8.790392472452644E-3</v>
      </c>
      <c r="J555" s="43">
        <f t="shared" si="180"/>
        <v>0</v>
      </c>
      <c r="K555" s="44" cm="1">
        <f t="array" ref="K555">IF(D555="Gadget",_xlfn.IFS(I555&gt;=0.2,0.5,I555&gt;=0.1,0.35,I555&gt;=0.05,0.2,TRUE,0),IF(D555="Grenade",_xlfn.IFS(I555&gt;=0.2,1,I555&gt;=0.1,0.7,I555&gt;=0.05,0.4,TRUE,0),0))</f>
        <v>0</v>
      </c>
      <c r="L555" s="57">
        <f t="shared" ref="L555:L559" si="186">IF($K555=0,0,$K555 / SUMIFS($K:$K,$A:$A,$A555,$D:$D,"Gadget"))</f>
        <v>0</v>
      </c>
    </row>
    <row r="556" spans="1:12" x14ac:dyDescent="0.25">
      <c r="A556" s="42" t="str" cm="1">
        <f t="array" ref="A556">IFERROR(INDEX(_xlfn._xlws.FILTER(Class_Players!A:A,Class_Players!B:B="Assault"),QUOTIENT(ROW()-ROW($A$2),7)+1),"")</f>
        <v>Grey Poupon</v>
      </c>
      <c r="B556" s="42" t="str">
        <f>_xlfn.XLOOKUP(A556,Class_Players!$A:$A,Class_Players!$B:$B,"")</f>
        <v>Assault</v>
      </c>
      <c r="C556" s="48" t="str" cm="1">
        <f t="array" ref="C556">INDEX(Lookups!$A$2:$A$8,MOD(ROW()-ROW($B$2),ROWS(Lookups!$A$2:$A$8))+1)</f>
        <v>X95 BRE (Breaching Projectile Launcher)</v>
      </c>
      <c r="D556" s="48" t="str">
        <f>_xlfn.XLOOKUP(C556,Analysis_Gadgets!$C:$C,Analysis_Gadgets!$B:$B)</f>
        <v>Gadget</v>
      </c>
      <c r="E556" s="43">
        <v>33</v>
      </c>
      <c r="F556" s="43">
        <f>_xlfn.XLOOKUP(A556,Class_Players!A:A,Class_Players!G:G)</f>
        <v>164</v>
      </c>
      <c r="G556" s="43">
        <f t="shared" ref="G556:G603" si="187">IF(F556=0,"",E556/F556)</f>
        <v>0.20121951219512196</v>
      </c>
      <c r="H556" s="43">
        <f>_xlfn.XLOOKUP(A556,Class_Players!$A:$A,Class_Players!$F:$F,"")</f>
        <v>8077</v>
      </c>
      <c r="I556" s="44">
        <f t="shared" ref="I556:I603" si="188">IF(H556=0,"",E556/H556)</f>
        <v>4.0856753745202425E-3</v>
      </c>
      <c r="J556" s="43">
        <f t="shared" si="180"/>
        <v>0</v>
      </c>
      <c r="K556" s="44" cm="1">
        <f t="array" ref="K556">IF(D556="Gadget",_xlfn.IFS(I556&gt;=0.2,0.5,I556&gt;=0.1,0.35,I556&gt;=0.05,0.2,TRUE,0),IF(D556="Grenade",_xlfn.IFS(I556&gt;=0.2,1,I556&gt;=0.1,0.7,I556&gt;=0.05,0.4,TRUE,0),0))</f>
        <v>0</v>
      </c>
      <c r="L556" s="57">
        <f t="shared" si="186"/>
        <v>0</v>
      </c>
    </row>
    <row r="557" spans="1:12" x14ac:dyDescent="0.25">
      <c r="A557" s="42" t="str" cm="1">
        <f t="array" ref="A557">IFERROR(INDEX(_xlfn._xlws.FILTER(Class_Players!A:A,Class_Players!B:B="Assault"),QUOTIENT(ROW()-ROW($A$2),7)+1),"")</f>
        <v>Grey Poupon</v>
      </c>
      <c r="B557" s="42" t="str">
        <f>_xlfn.XLOOKUP(A557,Class_Players!$A:$A,Class_Players!$B:$B,"")</f>
        <v>Assault</v>
      </c>
      <c r="C557" s="48" t="str" cm="1">
        <f t="array" ref="C557">INDEX(Lookups!$A$2:$A$8,MOD(ROW()-ROW($B$2),ROWS(Lookups!$A$2:$A$8))+1)</f>
        <v>M320A1 HE (Grenade Launcher)</v>
      </c>
      <c r="D557" s="48" t="str">
        <f>_xlfn.XLOOKUP(C557,Analysis_Gadgets!$C:$C,Analysis_Gadgets!$B:$B)</f>
        <v>Gadget</v>
      </c>
      <c r="E557" s="43">
        <v>6268</v>
      </c>
      <c r="F557" s="43">
        <f>_xlfn.XLOOKUP(A557,Class_Players!A:A,Class_Players!G:G)</f>
        <v>164</v>
      </c>
      <c r="G557" s="43">
        <f t="shared" si="187"/>
        <v>38.219512195121951</v>
      </c>
      <c r="H557" s="43">
        <f>_xlfn.XLOOKUP(A557,Class_Players!$A:$A,Class_Players!$F:$F,"")</f>
        <v>8077</v>
      </c>
      <c r="I557" s="44">
        <f t="shared" si="188"/>
        <v>0.77603070446948119</v>
      </c>
      <c r="J557" s="43">
        <f t="shared" si="180"/>
        <v>1</v>
      </c>
      <c r="K557" s="44" cm="1">
        <f t="array" ref="K557">IF(D557="Gadget",_xlfn.IFS(I557&gt;=0.2,0.5,I557&gt;=0.1,0.35,I557&gt;=0.05,0.2,TRUE,0),IF(D557="Grenade",_xlfn.IFS(I557&gt;=0.2,1,I557&gt;=0.1,0.7,I557&gt;=0.05,0.4,TRUE,0),0))</f>
        <v>0.5</v>
      </c>
      <c r="L557" s="57">
        <f t="shared" si="186"/>
        <v>0.5</v>
      </c>
    </row>
    <row r="558" spans="1:12" x14ac:dyDescent="0.25">
      <c r="A558" s="42" t="str" cm="1">
        <f t="array" ref="A558">IFERROR(INDEX(_xlfn._xlws.FILTER(Class_Players!A:A,Class_Players!B:B="Assault"),QUOTIENT(ROW()-ROW($A$2),7)+1),"")</f>
        <v>Grey Poupon</v>
      </c>
      <c r="B558" s="42" t="str">
        <f>_xlfn.XLOOKUP(A558,Class_Players!$A:$A,Class_Players!$B:$B,"")</f>
        <v>Assault</v>
      </c>
      <c r="C558" s="48" t="str" cm="1">
        <f t="array" ref="C558">INDEX(Lookups!$A$2:$A$8,MOD(ROW()-ROW($B$2),ROWS(Lookups!$A$2:$A$8))+1)</f>
        <v>M320A1 THRM    (Incendiary Grenade Launcher)</v>
      </c>
      <c r="D558" s="48" t="str">
        <f>_xlfn.XLOOKUP(C558,Analysis_Gadgets!$C:$C,Analysis_Gadgets!$B:$B)</f>
        <v>Gadget</v>
      </c>
      <c r="E558" s="43">
        <v>96</v>
      </c>
      <c r="F558" s="43">
        <f>_xlfn.XLOOKUP(A558,Class_Players!A:A,Class_Players!G:G)</f>
        <v>164</v>
      </c>
      <c r="G558" s="43">
        <f t="shared" si="187"/>
        <v>0.58536585365853655</v>
      </c>
      <c r="H558" s="43">
        <f>_xlfn.XLOOKUP(A558,Class_Players!$A:$A,Class_Players!$F:$F,"")</f>
        <v>8077</v>
      </c>
      <c r="I558" s="44">
        <f t="shared" si="188"/>
        <v>1.1885601089513434E-2</v>
      </c>
      <c r="J558" s="43">
        <f t="shared" si="180"/>
        <v>0</v>
      </c>
      <c r="K558" s="44" cm="1">
        <f t="array" ref="K558">IF(D558="Gadget",_xlfn.IFS(I558&gt;=0.2,0.5,I558&gt;=0.1,0.35,I558&gt;=0.05,0.2,TRUE,0),IF(D558="Grenade",_xlfn.IFS(I558&gt;=0.2,1,I558&gt;=0.1,0.7,I558&gt;=0.05,0.4,TRUE,0),0))</f>
        <v>0</v>
      </c>
      <c r="L558" s="57">
        <f t="shared" si="186"/>
        <v>0</v>
      </c>
    </row>
    <row r="559" spans="1:12" x14ac:dyDescent="0.25">
      <c r="A559" s="42" t="str" cm="1">
        <f t="array" ref="A559">IFERROR(INDEX(_xlfn._xlws.FILTER(Class_Players!A:A,Class_Players!B:B="Assault"),QUOTIENT(ROW()-ROW($A$2),7)+1),"")</f>
        <v>Grey Poupon</v>
      </c>
      <c r="B559" s="42" t="str">
        <f>_xlfn.XLOOKUP(A559,Class_Players!$A:$A,Class_Players!$B:$B,"")</f>
        <v>Assault</v>
      </c>
      <c r="C559" s="48" t="str" cm="1">
        <f t="array" ref="C559">INDEX(Lookups!$A$2:$A$8,MOD(ROW()-ROW($B$2),ROWS(Lookups!$A$2:$A$8))+1)</f>
        <v>QLINK (Deploy Beacon)</v>
      </c>
      <c r="D559" s="48" t="str">
        <f>_xlfn.XLOOKUP(C559,Analysis_Gadgets!$C:$C,Analysis_Gadgets!$B:$B)</f>
        <v>Gadget</v>
      </c>
      <c r="E559" s="43">
        <v>5547</v>
      </c>
      <c r="F559" s="43">
        <f>_xlfn.XLOOKUP(A559,Class_Players!A:A,Class_Players!G:G)</f>
        <v>164</v>
      </c>
      <c r="G559" s="43">
        <f t="shared" si="187"/>
        <v>33.823170731707314</v>
      </c>
      <c r="H559" s="43">
        <f>_xlfn.XLOOKUP(A559,Class_Players!$A:$A,Class_Players!$F:$F,"")</f>
        <v>8077</v>
      </c>
      <c r="I559" s="44">
        <f t="shared" si="188"/>
        <v>0.68676488795344803</v>
      </c>
      <c r="J559" s="43">
        <f t="shared" si="180"/>
        <v>1</v>
      </c>
      <c r="K559" s="44" cm="1">
        <f t="array" ref="K559">IF(D559="Gadget",_xlfn.IFS(I559&gt;=0.2,0.5,I559&gt;=0.1,0.35,I559&gt;=0.05,0.2,TRUE,0),IF(D559="Grenade",_xlfn.IFS(I559&gt;=0.2,1,I559&gt;=0.1,0.7,I559&gt;=0.05,0.4,TRUE,0),0))</f>
        <v>0.5</v>
      </c>
      <c r="L559" s="57">
        <f t="shared" si="186"/>
        <v>0.5</v>
      </c>
    </row>
    <row r="560" spans="1:12" x14ac:dyDescent="0.25">
      <c r="A560" s="42" t="str" cm="1">
        <f t="array" ref="A560">IFERROR(INDEX(_xlfn._xlws.FILTER(Class_Players!A:A,Class_Players!B:B="Assault"),QUOTIENT(ROW()-ROW($A$2),7)+1),"")</f>
        <v>Grey Poupon</v>
      </c>
      <c r="B560" s="42" t="str">
        <f>_xlfn.XLOOKUP(A560,Class_Players!$A:$A,Class_Players!$B:$B,"")</f>
        <v>Assault</v>
      </c>
      <c r="C560" s="48" t="str" cm="1">
        <f t="array" ref="C560">INDEX(Lookups!$A$2:$A$8,MOD(ROW()-ROW($B$2),ROWS(Lookups!$A$2:$A$8))+1)</f>
        <v>Stun Grenade</v>
      </c>
      <c r="D560" s="48" t="str">
        <f>_xlfn.XLOOKUP(C560,Analysis_Gadgets!$C:$C,Analysis_Gadgets!$B:$B)</f>
        <v>Grenade</v>
      </c>
      <c r="E560" s="43">
        <v>150</v>
      </c>
      <c r="F560" s="43">
        <f>_xlfn.XLOOKUP(A560,Class_Players!A:A,Class_Players!G:G)</f>
        <v>164</v>
      </c>
      <c r="G560" s="43">
        <f t="shared" si="187"/>
        <v>0.91463414634146345</v>
      </c>
      <c r="H560" s="43">
        <f>_xlfn.XLOOKUP(A560,Class_Players!$A:$A,Class_Players!$F:$F,"")</f>
        <v>8077</v>
      </c>
      <c r="I560" s="44">
        <f t="shared" si="188"/>
        <v>1.857125170236474E-2</v>
      </c>
      <c r="J560" s="43">
        <f t="shared" si="180"/>
        <v>0</v>
      </c>
      <c r="K560" s="44" cm="1">
        <f t="array" ref="K560">IF(D560="Gadget",_xlfn.IFS(I560&gt;=0.2,0.5,I560&gt;=0.1,0.35,I560&gt;=0.05,0.2,TRUE,0),IF(D560="Grenade",_xlfn.IFS(I560&gt;=0.2,1,I560&gt;=0.1,0.7,I560&gt;=0.05,0.4,TRUE,0),0))</f>
        <v>0</v>
      </c>
      <c r="L560" s="57">
        <f t="shared" si="174"/>
        <v>0</v>
      </c>
    </row>
    <row r="561" spans="1:12" x14ac:dyDescent="0.25">
      <c r="A561" s="42" t="str" cm="1">
        <f t="array" ref="A561">IFERROR(INDEX(_xlfn._xlws.FILTER(Class_Players!A:A,Class_Players!B:B="Assault"),QUOTIENT(ROW()-ROW($A$2),7)+1),"")</f>
        <v>Grey Poupon</v>
      </c>
      <c r="B561" s="42" t="str">
        <f>_xlfn.XLOOKUP(A561,Class_Players!$A:$A,Class_Players!$B:$B,"")</f>
        <v>Assault</v>
      </c>
      <c r="C561" s="48" t="str" cm="1">
        <f t="array" ref="C561">INDEX(Lookups!$A$2:$A$8,MOD(ROW()-ROW($B$2),ROWS(Lookups!$A$2:$A$8))+1)</f>
        <v>Flash Grenade</v>
      </c>
      <c r="D561" s="48" t="str">
        <f>_xlfn.XLOOKUP(C561,Analysis_Gadgets!$C:$C,Analysis_Gadgets!$B:$B)</f>
        <v>Grenade</v>
      </c>
      <c r="E561" s="43">
        <v>1</v>
      </c>
      <c r="F561" s="43">
        <f>_xlfn.XLOOKUP(A561,Class_Players!A:A,Class_Players!G:G)</f>
        <v>164</v>
      </c>
      <c r="G561" s="43">
        <f t="shared" si="187"/>
        <v>6.0975609756097563E-3</v>
      </c>
      <c r="H561" s="43">
        <f>_xlfn.XLOOKUP(A561,Class_Players!$A:$A,Class_Players!$F:$F,"")</f>
        <v>8077</v>
      </c>
      <c r="I561" s="44">
        <f t="shared" si="188"/>
        <v>1.2380834468243159E-4</v>
      </c>
      <c r="J561" s="43">
        <f t="shared" si="180"/>
        <v>0</v>
      </c>
      <c r="K561" s="44" cm="1">
        <f t="array" ref="K561">IF(D561="Gadget",_xlfn.IFS(I561&gt;=0.2,0.5,I561&gt;=0.1,0.35,I561&gt;=0.05,0.2,TRUE,0),IF(D561="Grenade",_xlfn.IFS(I561&gt;=0.2,1,I561&gt;=0.1,0.7,I561&gt;=0.05,0.4,TRUE,0),0))</f>
        <v>0</v>
      </c>
      <c r="L561" s="57">
        <f t="shared" si="174"/>
        <v>0</v>
      </c>
    </row>
    <row r="562" spans="1:12" x14ac:dyDescent="0.25">
      <c r="A562" s="42" t="str" cm="1">
        <f t="array" ref="A562">IFERROR(INDEX(_xlfn._xlws.FILTER(Class_Players!A:A,Class_Players!B:B="Assault"),QUOTIENT(ROW()-ROW($A$2),7)+1),"")</f>
        <v>GHOST123</v>
      </c>
      <c r="B562" s="42" t="str">
        <f>_xlfn.XLOOKUP(A562,Class_Players!$A:$A,Class_Players!$B:$B,"")</f>
        <v>Assault</v>
      </c>
      <c r="C562" s="48" t="str" cm="1">
        <f t="array" ref="C562">INDEX(Lookups!$A$2:$A$8,MOD(ROW()-ROW($B$2),ROWS(Lookups!$A$2:$A$8))+1)</f>
        <v>Assault Ladder</v>
      </c>
      <c r="D562" s="48" t="str">
        <f>_xlfn.XLOOKUP(C562,Analysis_Gadgets!$C:$C,Analysis_Gadgets!$B:$B)</f>
        <v>Gadget</v>
      </c>
      <c r="E562" s="43">
        <v>142</v>
      </c>
      <c r="F562" s="43">
        <f>_xlfn.XLOOKUP(A562,Class_Players!A:A,Class_Players!G:G)</f>
        <v>159</v>
      </c>
      <c r="G562" s="43">
        <f t="shared" si="187"/>
        <v>0.89308176100628933</v>
      </c>
      <c r="H562" s="43">
        <f>_xlfn.XLOOKUP(A562,Class_Players!$A:$A,Class_Players!$F:$F,"")</f>
        <v>8073</v>
      </c>
      <c r="I562" s="44">
        <f t="shared" si="188"/>
        <v>1.7589495850365417E-2</v>
      </c>
      <c r="J562" s="43">
        <f t="shared" si="180"/>
        <v>0</v>
      </c>
      <c r="K562" s="44" cm="1">
        <f t="array" ref="K562">IF(D562="Gadget",_xlfn.IFS(I562&gt;=0.2,0.5,I562&gt;=0.1,0.35,I562&gt;=0.05,0.2,TRUE,0),IF(D562="Grenade",_xlfn.IFS(I562&gt;=0.2,1,I562&gt;=0.1,0.7,I562&gt;=0.05,0.4,TRUE,0),0))</f>
        <v>0</v>
      </c>
      <c r="L562" s="57">
        <f t="shared" ref="L562:L566" si="189">IF($K562=0,0,$K562 / SUMIFS($K:$K,$A:$A,$A562,$D:$D,"Gadget"))</f>
        <v>0</v>
      </c>
    </row>
    <row r="563" spans="1:12" x14ac:dyDescent="0.25">
      <c r="A563" s="42" t="str" cm="1">
        <f t="array" ref="A563">IFERROR(INDEX(_xlfn._xlws.FILTER(Class_Players!A:A,Class_Players!B:B="Assault"),QUOTIENT(ROW()-ROW($A$2),7)+1),"")</f>
        <v>GHOST123</v>
      </c>
      <c r="B563" s="42" t="str">
        <f>_xlfn.XLOOKUP(A563,Class_Players!$A:$A,Class_Players!$B:$B,"")</f>
        <v>Assault</v>
      </c>
      <c r="C563" s="48" t="str" cm="1">
        <f t="array" ref="C563">INDEX(Lookups!$A$2:$A$8,MOD(ROW()-ROW($B$2),ROWS(Lookups!$A$2:$A$8))+1)</f>
        <v>X95 BRE (Breaching Projectile Launcher)</v>
      </c>
      <c r="D563" s="48" t="str">
        <f>_xlfn.XLOOKUP(C563,Analysis_Gadgets!$C:$C,Analysis_Gadgets!$B:$B)</f>
        <v>Gadget</v>
      </c>
      <c r="E563" s="43">
        <v>40</v>
      </c>
      <c r="F563" s="43">
        <f>_xlfn.XLOOKUP(A563,Class_Players!A:A,Class_Players!G:G)</f>
        <v>159</v>
      </c>
      <c r="G563" s="43">
        <f t="shared" si="187"/>
        <v>0.25157232704402516</v>
      </c>
      <c r="H563" s="43">
        <f>_xlfn.XLOOKUP(A563,Class_Players!$A:$A,Class_Players!$F:$F,"")</f>
        <v>8073</v>
      </c>
      <c r="I563" s="44">
        <f t="shared" si="188"/>
        <v>4.9547875634832154E-3</v>
      </c>
      <c r="J563" s="43">
        <f t="shared" si="180"/>
        <v>0</v>
      </c>
      <c r="K563" s="44" cm="1">
        <f t="array" ref="K563">IF(D563="Gadget",_xlfn.IFS(I563&gt;=0.2,0.5,I563&gt;=0.1,0.35,I563&gt;=0.05,0.2,TRUE,0),IF(D563="Grenade",_xlfn.IFS(I563&gt;=0.2,1,I563&gt;=0.1,0.7,I563&gt;=0.05,0.4,TRUE,0),0))</f>
        <v>0</v>
      </c>
      <c r="L563" s="57">
        <f t="shared" si="189"/>
        <v>0</v>
      </c>
    </row>
    <row r="564" spans="1:12" x14ac:dyDescent="0.25">
      <c r="A564" s="42" t="str" cm="1">
        <f t="array" ref="A564">IFERROR(INDEX(_xlfn._xlws.FILTER(Class_Players!A:A,Class_Players!B:B="Assault"),QUOTIENT(ROW()-ROW($A$2),7)+1),"")</f>
        <v>GHOST123</v>
      </c>
      <c r="B564" s="42" t="str">
        <f>_xlfn.XLOOKUP(A564,Class_Players!$A:$A,Class_Players!$B:$B,"")</f>
        <v>Assault</v>
      </c>
      <c r="C564" s="48" t="str" cm="1">
        <f t="array" ref="C564">INDEX(Lookups!$A$2:$A$8,MOD(ROW()-ROW($B$2),ROWS(Lookups!$A$2:$A$8))+1)</f>
        <v>M320A1 HE (Grenade Launcher)</v>
      </c>
      <c r="D564" s="48" t="str">
        <f>_xlfn.XLOOKUP(C564,Analysis_Gadgets!$C:$C,Analysis_Gadgets!$B:$B)</f>
        <v>Gadget</v>
      </c>
      <c r="E564" s="43">
        <v>2019</v>
      </c>
      <c r="F564" s="43">
        <f>_xlfn.XLOOKUP(A564,Class_Players!A:A,Class_Players!G:G)</f>
        <v>159</v>
      </c>
      <c r="G564" s="43">
        <f t="shared" si="187"/>
        <v>12.69811320754717</v>
      </c>
      <c r="H564" s="43">
        <f>_xlfn.XLOOKUP(A564,Class_Players!$A:$A,Class_Players!$F:$F,"")</f>
        <v>8073</v>
      </c>
      <c r="I564" s="44">
        <f t="shared" si="188"/>
        <v>0.2500929022668153</v>
      </c>
      <c r="J564" s="43">
        <f t="shared" si="180"/>
        <v>1</v>
      </c>
      <c r="K564" s="44" cm="1">
        <f t="array" ref="K564">IF(D564="Gadget",_xlfn.IFS(I564&gt;=0.2,0.5,I564&gt;=0.1,0.35,I564&gt;=0.05,0.2,TRUE,0),IF(D564="Grenade",_xlfn.IFS(I564&gt;=0.2,1,I564&gt;=0.1,0.7,I564&gt;=0.05,0.4,TRUE,0),0))</f>
        <v>0.5</v>
      </c>
      <c r="L564" s="57">
        <f t="shared" si="189"/>
        <v>0.5</v>
      </c>
    </row>
    <row r="565" spans="1:12" x14ac:dyDescent="0.25">
      <c r="A565" s="42" t="str" cm="1">
        <f t="array" ref="A565">IFERROR(INDEX(_xlfn._xlws.FILTER(Class_Players!A:A,Class_Players!B:B="Assault"),QUOTIENT(ROW()-ROW($A$2),7)+1),"")</f>
        <v>GHOST123</v>
      </c>
      <c r="B565" s="42" t="str">
        <f>_xlfn.XLOOKUP(A565,Class_Players!$A:$A,Class_Players!$B:$B,"")</f>
        <v>Assault</v>
      </c>
      <c r="C565" s="48" t="str" cm="1">
        <f t="array" ref="C565">INDEX(Lookups!$A$2:$A$8,MOD(ROW()-ROW($B$2),ROWS(Lookups!$A$2:$A$8))+1)</f>
        <v>M320A1 THRM    (Incendiary Grenade Launcher)</v>
      </c>
      <c r="D565" s="48" t="str">
        <f>_xlfn.XLOOKUP(C565,Analysis_Gadgets!$C:$C,Analysis_Gadgets!$B:$B)</f>
        <v>Gadget</v>
      </c>
      <c r="E565" s="43">
        <v>0</v>
      </c>
      <c r="F565" s="43">
        <f>_xlfn.XLOOKUP(A565,Class_Players!A:A,Class_Players!G:G)</f>
        <v>159</v>
      </c>
      <c r="G565" s="43">
        <f t="shared" si="187"/>
        <v>0</v>
      </c>
      <c r="H565" s="43">
        <f>_xlfn.XLOOKUP(A565,Class_Players!$A:$A,Class_Players!$F:$F,"")</f>
        <v>8073</v>
      </c>
      <c r="I565" s="44">
        <f t="shared" si="188"/>
        <v>0</v>
      </c>
      <c r="J565" s="43">
        <f t="shared" si="180"/>
        <v>0</v>
      </c>
      <c r="K565" s="44" cm="1">
        <f t="array" ref="K565">IF(D565="Gadget",_xlfn.IFS(I565&gt;=0.2,0.5,I565&gt;=0.1,0.35,I565&gt;=0.05,0.2,TRUE,0),IF(D565="Grenade",_xlfn.IFS(I565&gt;=0.2,1,I565&gt;=0.1,0.7,I565&gt;=0.05,0.4,TRUE,0),0))</f>
        <v>0</v>
      </c>
      <c r="L565" s="57">
        <f t="shared" si="189"/>
        <v>0</v>
      </c>
    </row>
    <row r="566" spans="1:12" x14ac:dyDescent="0.25">
      <c r="A566" s="42" t="str" cm="1">
        <f t="array" ref="A566">IFERROR(INDEX(_xlfn._xlws.FILTER(Class_Players!A:A,Class_Players!B:B="Assault"),QUOTIENT(ROW()-ROW($A$2),7)+1),"")</f>
        <v>GHOST123</v>
      </c>
      <c r="B566" s="42" t="str">
        <f>_xlfn.XLOOKUP(A566,Class_Players!$A:$A,Class_Players!$B:$B,"")</f>
        <v>Assault</v>
      </c>
      <c r="C566" s="48" t="str" cm="1">
        <f t="array" ref="C566">INDEX(Lookups!$A$2:$A$8,MOD(ROW()-ROW($B$2),ROWS(Lookups!$A$2:$A$8))+1)</f>
        <v>QLINK (Deploy Beacon)</v>
      </c>
      <c r="D566" s="48" t="str">
        <f>_xlfn.XLOOKUP(C566,Analysis_Gadgets!$C:$C,Analysis_Gadgets!$B:$B)</f>
        <v>Gadget</v>
      </c>
      <c r="E566" s="43">
        <v>2702</v>
      </c>
      <c r="F566" s="43">
        <f>_xlfn.XLOOKUP(A566,Class_Players!A:A,Class_Players!G:G)</f>
        <v>159</v>
      </c>
      <c r="G566" s="43">
        <f t="shared" si="187"/>
        <v>16.9937106918239</v>
      </c>
      <c r="H566" s="43">
        <f>_xlfn.XLOOKUP(A566,Class_Players!$A:$A,Class_Players!$F:$F,"")</f>
        <v>8073</v>
      </c>
      <c r="I566" s="44">
        <f t="shared" si="188"/>
        <v>0.33469589991329124</v>
      </c>
      <c r="J566" s="43">
        <f t="shared" si="180"/>
        <v>1</v>
      </c>
      <c r="K566" s="44" cm="1">
        <f t="array" ref="K566">IF(D566="Gadget",_xlfn.IFS(I566&gt;=0.2,0.5,I566&gt;=0.1,0.35,I566&gt;=0.05,0.2,TRUE,0),IF(D566="Grenade",_xlfn.IFS(I566&gt;=0.2,1,I566&gt;=0.1,0.7,I566&gt;=0.05,0.4,TRUE,0),0))</f>
        <v>0.5</v>
      </c>
      <c r="L566" s="57">
        <f t="shared" si="189"/>
        <v>0.5</v>
      </c>
    </row>
    <row r="567" spans="1:12" x14ac:dyDescent="0.25">
      <c r="A567" s="42" t="str" cm="1">
        <f t="array" ref="A567">IFERROR(INDEX(_xlfn._xlws.FILTER(Class_Players!A:A,Class_Players!B:B="Assault"),QUOTIENT(ROW()-ROW($A$2),7)+1),"")</f>
        <v>GHOST123</v>
      </c>
      <c r="B567" s="42" t="str">
        <f>_xlfn.XLOOKUP(A567,Class_Players!$A:$A,Class_Players!$B:$B,"")</f>
        <v>Assault</v>
      </c>
      <c r="C567" s="48" t="str" cm="1">
        <f t="array" ref="C567">INDEX(Lookups!$A$2:$A$8,MOD(ROW()-ROW($B$2),ROWS(Lookups!$A$2:$A$8))+1)</f>
        <v>Stun Grenade</v>
      </c>
      <c r="D567" s="48" t="str">
        <f>_xlfn.XLOOKUP(C567,Analysis_Gadgets!$C:$C,Analysis_Gadgets!$B:$B)</f>
        <v>Grenade</v>
      </c>
      <c r="E567" s="43">
        <v>23</v>
      </c>
      <c r="F567" s="43">
        <f>_xlfn.XLOOKUP(A567,Class_Players!A:A,Class_Players!G:G)</f>
        <v>159</v>
      </c>
      <c r="G567" s="43">
        <f t="shared" si="187"/>
        <v>0.14465408805031446</v>
      </c>
      <c r="H567" s="43">
        <f>_xlfn.XLOOKUP(A567,Class_Players!$A:$A,Class_Players!$F:$F,"")</f>
        <v>8073</v>
      </c>
      <c r="I567" s="44">
        <f t="shared" si="188"/>
        <v>2.8490028490028491E-3</v>
      </c>
      <c r="J567" s="43">
        <f t="shared" si="180"/>
        <v>0</v>
      </c>
      <c r="K567" s="44" cm="1">
        <f t="array" ref="K567">IF(D567="Gadget",_xlfn.IFS(I567&gt;=0.2,0.5,I567&gt;=0.1,0.35,I567&gt;=0.05,0.2,TRUE,0),IF(D567="Grenade",_xlfn.IFS(I567&gt;=0.2,1,I567&gt;=0.1,0.7,I567&gt;=0.05,0.4,TRUE,0),0))</f>
        <v>0</v>
      </c>
      <c r="L567" s="57">
        <f t="shared" si="174"/>
        <v>0</v>
      </c>
    </row>
    <row r="568" spans="1:12" x14ac:dyDescent="0.25">
      <c r="A568" s="42" t="str" cm="1">
        <f t="array" ref="A568">IFERROR(INDEX(_xlfn._xlws.FILTER(Class_Players!A:A,Class_Players!B:B="Assault"),QUOTIENT(ROW()-ROW($A$2),7)+1),"")</f>
        <v>GHOST123</v>
      </c>
      <c r="B568" s="42" t="str">
        <f>_xlfn.XLOOKUP(A568,Class_Players!$A:$A,Class_Players!$B:$B,"")</f>
        <v>Assault</v>
      </c>
      <c r="C568" s="48" t="str" cm="1">
        <f t="array" ref="C568">INDEX(Lookups!$A$2:$A$8,MOD(ROW()-ROW($B$2),ROWS(Lookups!$A$2:$A$8))+1)</f>
        <v>Flash Grenade</v>
      </c>
      <c r="D568" s="48" t="str">
        <f>_xlfn.XLOOKUP(C568,Analysis_Gadgets!$C:$C,Analysis_Gadgets!$B:$B)</f>
        <v>Grenade</v>
      </c>
      <c r="E568" s="43">
        <v>0</v>
      </c>
      <c r="F568" s="43">
        <f>_xlfn.XLOOKUP(A568,Class_Players!A:A,Class_Players!G:G)</f>
        <v>159</v>
      </c>
      <c r="G568" s="43">
        <f t="shared" si="187"/>
        <v>0</v>
      </c>
      <c r="H568" s="43">
        <f>_xlfn.XLOOKUP(A568,Class_Players!$A:$A,Class_Players!$F:$F,"")</f>
        <v>8073</v>
      </c>
      <c r="I568" s="44">
        <f t="shared" si="188"/>
        <v>0</v>
      </c>
      <c r="J568" s="43">
        <f t="shared" si="180"/>
        <v>0</v>
      </c>
      <c r="K568" s="44" cm="1">
        <f t="array" ref="K568">IF(D568="Gadget",_xlfn.IFS(I568&gt;=0.2,0.5,I568&gt;=0.1,0.35,I568&gt;=0.05,0.2,TRUE,0),IF(D568="Grenade",_xlfn.IFS(I568&gt;=0.2,1,I568&gt;=0.1,0.7,I568&gt;=0.05,0.4,TRUE,0),0))</f>
        <v>0</v>
      </c>
      <c r="L568" s="57">
        <f t="shared" si="174"/>
        <v>0</v>
      </c>
    </row>
    <row r="569" spans="1:12" x14ac:dyDescent="0.25">
      <c r="A569" s="42" t="str" cm="1">
        <f t="array" ref="A569">IFERROR(INDEX(_xlfn._xlws.FILTER(Class_Players!A:A,Class_Players!B:B="Assault"),QUOTIENT(ROW()-ROW($A$2),7)+1),"")</f>
        <v>MACTEP</v>
      </c>
      <c r="B569" s="42" t="str">
        <f>_xlfn.XLOOKUP(A569,Class_Players!$A:$A,Class_Players!$B:$B,"")</f>
        <v>Assault</v>
      </c>
      <c r="C569" s="48" t="str" cm="1">
        <f t="array" ref="C569">INDEX(Lookups!$A$2:$A$8,MOD(ROW()-ROW($B$2),ROWS(Lookups!$A$2:$A$8))+1)</f>
        <v>Assault Ladder</v>
      </c>
      <c r="D569" s="48" t="str">
        <f>_xlfn.XLOOKUP(C569,Analysis_Gadgets!$C:$C,Analysis_Gadgets!$B:$B)</f>
        <v>Gadget</v>
      </c>
      <c r="E569" s="43">
        <v>24</v>
      </c>
      <c r="F569" s="43">
        <f>_xlfn.XLOOKUP(A569,Class_Players!A:A,Class_Players!G:G)</f>
        <v>106</v>
      </c>
      <c r="G569" s="43">
        <f t="shared" si="187"/>
        <v>0.22641509433962265</v>
      </c>
      <c r="H569" s="43">
        <f>_xlfn.XLOOKUP(A569,Class_Players!$A:$A,Class_Players!$F:$F,"")</f>
        <v>8917</v>
      </c>
      <c r="I569" s="44">
        <f t="shared" si="188"/>
        <v>2.6914881686665921E-3</v>
      </c>
      <c r="J569" s="43">
        <f t="shared" si="180"/>
        <v>0</v>
      </c>
      <c r="K569" s="44" cm="1">
        <f t="array" ref="K569">IF(D569="Gadget",_xlfn.IFS(I569&gt;=0.2,0.5,I569&gt;=0.1,0.35,I569&gt;=0.05,0.2,TRUE,0),IF(D569="Grenade",_xlfn.IFS(I569&gt;=0.2,1,I569&gt;=0.1,0.7,I569&gt;=0.05,0.4,TRUE,0),0))</f>
        <v>0</v>
      </c>
      <c r="L569" s="57">
        <f t="shared" ref="L569:L573" si="190">IF($K569=0,0,$K569 / SUMIFS($K:$K,$A:$A,$A569,$D:$D,"Gadget"))</f>
        <v>0</v>
      </c>
    </row>
    <row r="570" spans="1:12" x14ac:dyDescent="0.25">
      <c r="A570" s="42" t="str" cm="1">
        <f t="array" ref="A570">IFERROR(INDEX(_xlfn._xlws.FILTER(Class_Players!A:A,Class_Players!B:B="Assault"),QUOTIENT(ROW()-ROW($A$2),7)+1),"")</f>
        <v>MACTEP</v>
      </c>
      <c r="B570" s="42" t="str">
        <f>_xlfn.XLOOKUP(A570,Class_Players!$A:$A,Class_Players!$B:$B,"")</f>
        <v>Assault</v>
      </c>
      <c r="C570" s="48" t="str" cm="1">
        <f t="array" ref="C570">INDEX(Lookups!$A$2:$A$8,MOD(ROW()-ROW($B$2),ROWS(Lookups!$A$2:$A$8))+1)</f>
        <v>X95 BRE (Breaching Projectile Launcher)</v>
      </c>
      <c r="D570" s="48" t="str">
        <f>_xlfn.XLOOKUP(C570,Analysis_Gadgets!$C:$C,Analysis_Gadgets!$B:$B)</f>
        <v>Gadget</v>
      </c>
      <c r="E570" s="43">
        <v>5</v>
      </c>
      <c r="F570" s="43">
        <f>_xlfn.XLOOKUP(A570,Class_Players!A:A,Class_Players!G:G)</f>
        <v>106</v>
      </c>
      <c r="G570" s="43">
        <f t="shared" si="187"/>
        <v>4.716981132075472E-2</v>
      </c>
      <c r="H570" s="43">
        <f>_xlfn.XLOOKUP(A570,Class_Players!$A:$A,Class_Players!$F:$F,"")</f>
        <v>8917</v>
      </c>
      <c r="I570" s="44">
        <f t="shared" si="188"/>
        <v>5.6072670180554E-4</v>
      </c>
      <c r="J570" s="43">
        <f t="shared" si="180"/>
        <v>0</v>
      </c>
      <c r="K570" s="44" cm="1">
        <f t="array" ref="K570">IF(D570="Gadget",_xlfn.IFS(I570&gt;=0.2,0.5,I570&gt;=0.1,0.35,I570&gt;=0.05,0.2,TRUE,0),IF(D570="Grenade",_xlfn.IFS(I570&gt;=0.2,1,I570&gt;=0.1,0.7,I570&gt;=0.05,0.4,TRUE,0),0))</f>
        <v>0</v>
      </c>
      <c r="L570" s="57">
        <f t="shared" si="190"/>
        <v>0</v>
      </c>
    </row>
    <row r="571" spans="1:12" x14ac:dyDescent="0.25">
      <c r="A571" s="42" t="str" cm="1">
        <f t="array" ref="A571">IFERROR(INDEX(_xlfn._xlws.FILTER(Class_Players!A:A,Class_Players!B:B="Assault"),QUOTIENT(ROW()-ROW($A$2),7)+1),"")</f>
        <v>MACTEP</v>
      </c>
      <c r="B571" s="42" t="str">
        <f>_xlfn.XLOOKUP(A571,Class_Players!$A:$A,Class_Players!$B:$B,"")</f>
        <v>Assault</v>
      </c>
      <c r="C571" s="48" t="str" cm="1">
        <f t="array" ref="C571">INDEX(Lookups!$A$2:$A$8,MOD(ROW()-ROW($B$2),ROWS(Lookups!$A$2:$A$8))+1)</f>
        <v>M320A1 HE (Grenade Launcher)</v>
      </c>
      <c r="D571" s="48" t="str">
        <f>_xlfn.XLOOKUP(C571,Analysis_Gadgets!$C:$C,Analysis_Gadgets!$B:$B)</f>
        <v>Gadget</v>
      </c>
      <c r="E571" s="43">
        <v>1727</v>
      </c>
      <c r="F571" s="43">
        <f>_xlfn.XLOOKUP(A571,Class_Players!A:A,Class_Players!G:G)</f>
        <v>106</v>
      </c>
      <c r="G571" s="43">
        <f t="shared" si="187"/>
        <v>16.29245283018868</v>
      </c>
      <c r="H571" s="43">
        <f>_xlfn.XLOOKUP(A571,Class_Players!$A:$A,Class_Players!$F:$F,"")</f>
        <v>8917</v>
      </c>
      <c r="I571" s="44">
        <f t="shared" si="188"/>
        <v>0.19367500280363351</v>
      </c>
      <c r="J571" s="43">
        <f t="shared" si="180"/>
        <v>1</v>
      </c>
      <c r="K571" s="44" cm="1">
        <f t="array" ref="K571">IF(D571="Gadget",_xlfn.IFS(I571&gt;=0.2,0.5,I571&gt;=0.1,0.35,I571&gt;=0.05,0.2,TRUE,0),IF(D571="Grenade",_xlfn.IFS(I571&gt;=0.2,1,I571&gt;=0.1,0.7,I571&gt;=0.05,0.4,TRUE,0),0))</f>
        <v>0.35</v>
      </c>
      <c r="L571" s="57">
        <f t="shared" si="190"/>
        <v>0.5</v>
      </c>
    </row>
    <row r="572" spans="1:12" x14ac:dyDescent="0.25">
      <c r="A572" s="42" t="str" cm="1">
        <f t="array" ref="A572">IFERROR(INDEX(_xlfn._xlws.FILTER(Class_Players!A:A,Class_Players!B:B="Assault"),QUOTIENT(ROW()-ROW($A$2),7)+1),"")</f>
        <v>MACTEP</v>
      </c>
      <c r="B572" s="42" t="str">
        <f>_xlfn.XLOOKUP(A572,Class_Players!$A:$A,Class_Players!$B:$B,"")</f>
        <v>Assault</v>
      </c>
      <c r="C572" s="48" t="str" cm="1">
        <f t="array" ref="C572">INDEX(Lookups!$A$2:$A$8,MOD(ROW()-ROW($B$2),ROWS(Lookups!$A$2:$A$8))+1)</f>
        <v>M320A1 THRM    (Incendiary Grenade Launcher)</v>
      </c>
      <c r="D572" s="48" t="str">
        <f>_xlfn.XLOOKUP(C572,Analysis_Gadgets!$C:$C,Analysis_Gadgets!$B:$B)</f>
        <v>Gadget</v>
      </c>
      <c r="E572" s="43">
        <v>912</v>
      </c>
      <c r="F572" s="43">
        <f>_xlfn.XLOOKUP(A572,Class_Players!A:A,Class_Players!G:G)</f>
        <v>106</v>
      </c>
      <c r="G572" s="43">
        <f t="shared" si="187"/>
        <v>8.6037735849056602</v>
      </c>
      <c r="H572" s="43">
        <f>_xlfn.XLOOKUP(A572,Class_Players!$A:$A,Class_Players!$F:$F,"")</f>
        <v>8917</v>
      </c>
      <c r="I572" s="44">
        <f t="shared" si="188"/>
        <v>0.10227655040933049</v>
      </c>
      <c r="J572" s="43">
        <f t="shared" si="180"/>
        <v>1</v>
      </c>
      <c r="K572" s="44" cm="1">
        <f t="array" ref="K572">IF(D572="Gadget",_xlfn.IFS(I572&gt;=0.2,0.5,I572&gt;=0.1,0.35,I572&gt;=0.05,0.2,TRUE,0),IF(D572="Grenade",_xlfn.IFS(I572&gt;=0.2,1,I572&gt;=0.1,0.7,I572&gt;=0.05,0.4,TRUE,0),0))</f>
        <v>0.35</v>
      </c>
      <c r="L572" s="57">
        <f t="shared" si="190"/>
        <v>0.5</v>
      </c>
    </row>
    <row r="573" spans="1:12" x14ac:dyDescent="0.25">
      <c r="A573" s="42" t="str" cm="1">
        <f t="array" ref="A573">IFERROR(INDEX(_xlfn._xlws.FILTER(Class_Players!A:A,Class_Players!B:B="Assault"),QUOTIENT(ROW()-ROW($A$2),7)+1),"")</f>
        <v>MACTEP</v>
      </c>
      <c r="B573" s="42" t="str">
        <f>_xlfn.XLOOKUP(A573,Class_Players!$A:$A,Class_Players!$B:$B,"")</f>
        <v>Assault</v>
      </c>
      <c r="C573" s="48" t="str" cm="1">
        <f t="array" ref="C573">INDEX(Lookups!$A$2:$A$8,MOD(ROW()-ROW($B$2),ROWS(Lookups!$A$2:$A$8))+1)</f>
        <v>QLINK (Deploy Beacon)</v>
      </c>
      <c r="D573" s="48" t="str">
        <f>_xlfn.XLOOKUP(C573,Analysis_Gadgets!$C:$C,Analysis_Gadgets!$B:$B)</f>
        <v>Gadget</v>
      </c>
      <c r="E573" s="43">
        <v>1</v>
      </c>
      <c r="F573" s="43">
        <f>_xlfn.XLOOKUP(A573,Class_Players!A:A,Class_Players!G:G)</f>
        <v>106</v>
      </c>
      <c r="G573" s="43">
        <f t="shared" si="187"/>
        <v>9.433962264150943E-3</v>
      </c>
      <c r="H573" s="43">
        <f>_xlfn.XLOOKUP(A573,Class_Players!$A:$A,Class_Players!$F:$F,"")</f>
        <v>8917</v>
      </c>
      <c r="I573" s="44">
        <f t="shared" si="188"/>
        <v>1.12145340361108E-4</v>
      </c>
      <c r="J573" s="43">
        <f t="shared" si="180"/>
        <v>0</v>
      </c>
      <c r="K573" s="44" cm="1">
        <f t="array" ref="K573">IF(D573="Gadget",_xlfn.IFS(I573&gt;=0.2,0.5,I573&gt;=0.1,0.35,I573&gt;=0.05,0.2,TRUE,0),IF(D573="Grenade",_xlfn.IFS(I573&gt;=0.2,1,I573&gt;=0.1,0.7,I573&gt;=0.05,0.4,TRUE,0),0))</f>
        <v>0</v>
      </c>
      <c r="L573" s="57">
        <f t="shared" si="190"/>
        <v>0</v>
      </c>
    </row>
    <row r="574" spans="1:12" x14ac:dyDescent="0.25">
      <c r="A574" s="42" t="str" cm="1">
        <f t="array" ref="A574">IFERROR(INDEX(_xlfn._xlws.FILTER(Class_Players!A:A,Class_Players!B:B="Assault"),QUOTIENT(ROW()-ROW($A$2),7)+1),"")</f>
        <v>MACTEP</v>
      </c>
      <c r="B574" s="42" t="str">
        <f>_xlfn.XLOOKUP(A574,Class_Players!$A:$A,Class_Players!$B:$B,"")</f>
        <v>Assault</v>
      </c>
      <c r="C574" s="48" t="str" cm="1">
        <f t="array" ref="C574">INDEX(Lookups!$A$2:$A$8,MOD(ROW()-ROW($B$2),ROWS(Lookups!$A$2:$A$8))+1)</f>
        <v>Stun Grenade</v>
      </c>
      <c r="D574" s="48" t="str">
        <f>_xlfn.XLOOKUP(C574,Analysis_Gadgets!$C:$C,Analysis_Gadgets!$B:$B)</f>
        <v>Grenade</v>
      </c>
      <c r="E574" s="43">
        <v>6</v>
      </c>
      <c r="F574" s="43">
        <f>_xlfn.XLOOKUP(A574,Class_Players!A:A,Class_Players!G:G)</f>
        <v>106</v>
      </c>
      <c r="G574" s="43">
        <f t="shared" si="187"/>
        <v>5.6603773584905662E-2</v>
      </c>
      <c r="H574" s="43">
        <f>_xlfn.XLOOKUP(A574,Class_Players!$A:$A,Class_Players!$F:$F,"")</f>
        <v>8917</v>
      </c>
      <c r="I574" s="44">
        <f t="shared" si="188"/>
        <v>6.7287204216664803E-4</v>
      </c>
      <c r="J574" s="43">
        <f t="shared" si="180"/>
        <v>0</v>
      </c>
      <c r="K574" s="44" cm="1">
        <f t="array" ref="K574">IF(D574="Gadget",_xlfn.IFS(I574&gt;=0.2,0.5,I574&gt;=0.1,0.35,I574&gt;=0.05,0.2,TRUE,0),IF(D574="Grenade",_xlfn.IFS(I574&gt;=0.2,1,I574&gt;=0.1,0.7,I574&gt;=0.05,0.4,TRUE,0),0))</f>
        <v>0</v>
      </c>
      <c r="L574" s="57">
        <f t="shared" si="174"/>
        <v>0</v>
      </c>
    </row>
    <row r="575" spans="1:12" x14ac:dyDescent="0.25">
      <c r="A575" s="42" t="str" cm="1">
        <f t="array" ref="A575">IFERROR(INDEX(_xlfn._xlws.FILTER(Class_Players!A:A,Class_Players!B:B="Assault"),QUOTIENT(ROW()-ROW($A$2),7)+1),"")</f>
        <v>MACTEP</v>
      </c>
      <c r="B575" s="42" t="str">
        <f>_xlfn.XLOOKUP(A575,Class_Players!$A:$A,Class_Players!$B:$B,"")</f>
        <v>Assault</v>
      </c>
      <c r="C575" s="48" t="str" cm="1">
        <f t="array" ref="C575">INDEX(Lookups!$A$2:$A$8,MOD(ROW()-ROW($B$2),ROWS(Lookups!$A$2:$A$8))+1)</f>
        <v>Flash Grenade</v>
      </c>
      <c r="D575" s="48" t="str">
        <f>_xlfn.XLOOKUP(C575,Analysis_Gadgets!$C:$C,Analysis_Gadgets!$B:$B)</f>
        <v>Grenade</v>
      </c>
      <c r="E575" s="43">
        <v>2</v>
      </c>
      <c r="F575" s="43">
        <f>_xlfn.XLOOKUP(A575,Class_Players!A:A,Class_Players!G:G)</f>
        <v>106</v>
      </c>
      <c r="G575" s="43">
        <f t="shared" si="187"/>
        <v>1.8867924528301886E-2</v>
      </c>
      <c r="H575" s="43">
        <f>_xlfn.XLOOKUP(A575,Class_Players!$A:$A,Class_Players!$F:$F,"")</f>
        <v>8917</v>
      </c>
      <c r="I575" s="44">
        <f t="shared" si="188"/>
        <v>2.2429068072221599E-4</v>
      </c>
      <c r="J575" s="43">
        <f t="shared" si="180"/>
        <v>0</v>
      </c>
      <c r="K575" s="44" cm="1">
        <f t="array" ref="K575">IF(D575="Gadget",_xlfn.IFS(I575&gt;=0.2,0.5,I575&gt;=0.1,0.35,I575&gt;=0.05,0.2,TRUE,0),IF(D575="Grenade",_xlfn.IFS(I575&gt;=0.2,1,I575&gt;=0.1,0.7,I575&gt;=0.05,0.4,TRUE,0),0))</f>
        <v>0</v>
      </c>
      <c r="L575" s="57">
        <f t="shared" si="174"/>
        <v>0</v>
      </c>
    </row>
    <row r="576" spans="1:12" x14ac:dyDescent="0.25">
      <c r="A576" s="42" t="str" cm="1">
        <f t="array" ref="A576">IFERROR(INDEX(_xlfn._xlws.FILTER(Class_Players!A:A,Class_Players!B:B="Assault"),QUOTIENT(ROW()-ROW($A$2),7)+1),"")</f>
        <v>apt-foot49</v>
      </c>
      <c r="B576" s="42" t="str">
        <f>_xlfn.XLOOKUP(A576,Class_Players!$A:$A,Class_Players!$B:$B,"")</f>
        <v>Assault</v>
      </c>
      <c r="C576" s="48" t="str" cm="1">
        <f t="array" ref="C576">INDEX(Lookups!$A$2:$A$8,MOD(ROW()-ROW($B$2),ROWS(Lookups!$A$2:$A$8))+1)</f>
        <v>Assault Ladder</v>
      </c>
      <c r="D576" s="48" t="str">
        <f>_xlfn.XLOOKUP(C576,Analysis_Gadgets!$C:$C,Analysis_Gadgets!$B:$B)</f>
        <v>Gadget</v>
      </c>
      <c r="E576" s="43">
        <v>0</v>
      </c>
      <c r="F576" s="43">
        <f>_xlfn.XLOOKUP(A576,Class_Players!A:A,Class_Players!G:G)</f>
        <v>195</v>
      </c>
      <c r="G576" s="43">
        <f t="shared" si="187"/>
        <v>0</v>
      </c>
      <c r="H576" s="43">
        <f>_xlfn.XLOOKUP(A576,Class_Players!$A:$A,Class_Players!$F:$F,"")</f>
        <v>7887</v>
      </c>
      <c r="I576" s="44">
        <f t="shared" si="188"/>
        <v>0</v>
      </c>
      <c r="J576" s="43">
        <f t="shared" si="180"/>
        <v>0</v>
      </c>
      <c r="K576" s="44" cm="1">
        <f t="array" ref="K576">IF(D576="Gadget",_xlfn.IFS(I576&gt;=0.2,0.5,I576&gt;=0.1,0.35,I576&gt;=0.05,0.2,TRUE,0),IF(D576="Grenade",_xlfn.IFS(I576&gt;=0.2,1,I576&gt;=0.1,0.7,I576&gt;=0.05,0.4,TRUE,0),0))</f>
        <v>0</v>
      </c>
      <c r="L576" s="57">
        <f t="shared" ref="L576:L580" si="191">IF($K576=0,0,$K576 / SUMIFS($K:$K,$A:$A,$A576,$D:$D,"Gadget"))</f>
        <v>0</v>
      </c>
    </row>
    <row r="577" spans="1:12" x14ac:dyDescent="0.25">
      <c r="A577" s="42" t="str" cm="1">
        <f t="array" ref="A577">IFERROR(INDEX(_xlfn._xlws.FILTER(Class_Players!A:A,Class_Players!B:B="Assault"),QUOTIENT(ROW()-ROW($A$2),7)+1),"")</f>
        <v>apt-foot49</v>
      </c>
      <c r="B577" s="42" t="str">
        <f>_xlfn.XLOOKUP(A577,Class_Players!$A:$A,Class_Players!$B:$B,"")</f>
        <v>Assault</v>
      </c>
      <c r="C577" s="48" t="str" cm="1">
        <f t="array" ref="C577">INDEX(Lookups!$A$2:$A$8,MOD(ROW()-ROW($B$2),ROWS(Lookups!$A$2:$A$8))+1)</f>
        <v>X95 BRE (Breaching Projectile Launcher)</v>
      </c>
      <c r="D577" s="48" t="str">
        <f>_xlfn.XLOOKUP(C577,Analysis_Gadgets!$C:$C,Analysis_Gadgets!$B:$B)</f>
        <v>Gadget</v>
      </c>
      <c r="E577" s="43">
        <v>0</v>
      </c>
      <c r="F577" s="43">
        <f>_xlfn.XLOOKUP(A577,Class_Players!A:A,Class_Players!G:G)</f>
        <v>195</v>
      </c>
      <c r="G577" s="43">
        <f t="shared" si="187"/>
        <v>0</v>
      </c>
      <c r="H577" s="43">
        <f>_xlfn.XLOOKUP(A577,Class_Players!$A:$A,Class_Players!$F:$F,"")</f>
        <v>7887</v>
      </c>
      <c r="I577" s="44">
        <f t="shared" si="188"/>
        <v>0</v>
      </c>
      <c r="J577" s="43">
        <f t="shared" si="180"/>
        <v>0</v>
      </c>
      <c r="K577" s="44" cm="1">
        <f t="array" ref="K577">IF(D577="Gadget",_xlfn.IFS(I577&gt;=0.2,0.5,I577&gt;=0.1,0.35,I577&gt;=0.05,0.2,TRUE,0),IF(D577="Grenade",_xlfn.IFS(I577&gt;=0.2,1,I577&gt;=0.1,0.7,I577&gt;=0.05,0.4,TRUE,0),0))</f>
        <v>0</v>
      </c>
      <c r="L577" s="57">
        <f t="shared" si="191"/>
        <v>0</v>
      </c>
    </row>
    <row r="578" spans="1:12" x14ac:dyDescent="0.25">
      <c r="A578" s="42" t="str" cm="1">
        <f t="array" ref="A578">IFERROR(INDEX(_xlfn._xlws.FILTER(Class_Players!A:A,Class_Players!B:B="Assault"),QUOTIENT(ROW()-ROW($A$2),7)+1),"")</f>
        <v>apt-foot49</v>
      </c>
      <c r="B578" s="42" t="str">
        <f>_xlfn.XLOOKUP(A578,Class_Players!$A:$A,Class_Players!$B:$B,"")</f>
        <v>Assault</v>
      </c>
      <c r="C578" s="48" t="str" cm="1">
        <f t="array" ref="C578">INDEX(Lookups!$A$2:$A$8,MOD(ROW()-ROW($B$2),ROWS(Lookups!$A$2:$A$8))+1)</f>
        <v>M320A1 HE (Grenade Launcher)</v>
      </c>
      <c r="D578" s="48" t="str">
        <f>_xlfn.XLOOKUP(C578,Analysis_Gadgets!$C:$C,Analysis_Gadgets!$B:$B)</f>
        <v>Gadget</v>
      </c>
      <c r="E578" s="43">
        <v>613</v>
      </c>
      <c r="F578" s="43">
        <f>_xlfn.XLOOKUP(A578,Class_Players!A:A,Class_Players!G:G)</f>
        <v>195</v>
      </c>
      <c r="G578" s="43">
        <f t="shared" si="187"/>
        <v>3.1435897435897435</v>
      </c>
      <c r="H578" s="43">
        <f>_xlfn.XLOOKUP(A578,Class_Players!$A:$A,Class_Players!$F:$F,"")</f>
        <v>7887</v>
      </c>
      <c r="I578" s="44">
        <f t="shared" si="188"/>
        <v>7.7722835045010777E-2</v>
      </c>
      <c r="J578" s="43">
        <f t="shared" si="180"/>
        <v>0</v>
      </c>
      <c r="K578" s="44" cm="1">
        <f t="array" ref="K578">IF(D578="Gadget",_xlfn.IFS(I578&gt;=0.2,0.5,I578&gt;=0.1,0.35,I578&gt;=0.05,0.2,TRUE,0),IF(D578="Grenade",_xlfn.IFS(I578&gt;=0.2,1,I578&gt;=0.1,0.7,I578&gt;=0.05,0.4,TRUE,0),0))</f>
        <v>0.2</v>
      </c>
      <c r="L578" s="57">
        <f t="shared" si="191"/>
        <v>0.5</v>
      </c>
    </row>
    <row r="579" spans="1:12" x14ac:dyDescent="0.25">
      <c r="A579" s="42" t="str" cm="1">
        <f t="array" ref="A579">IFERROR(INDEX(_xlfn._xlws.FILTER(Class_Players!A:A,Class_Players!B:B="Assault"),QUOTIENT(ROW()-ROW($A$2),7)+1),"")</f>
        <v>apt-foot49</v>
      </c>
      <c r="B579" s="42" t="str">
        <f>_xlfn.XLOOKUP(A579,Class_Players!$A:$A,Class_Players!$B:$B,"")</f>
        <v>Assault</v>
      </c>
      <c r="C579" s="48" t="str" cm="1">
        <f t="array" ref="C579">INDEX(Lookups!$A$2:$A$8,MOD(ROW()-ROW($B$2),ROWS(Lookups!$A$2:$A$8))+1)</f>
        <v>M320A1 THRM    (Incendiary Grenade Launcher)</v>
      </c>
      <c r="D579" s="48" t="str">
        <f>_xlfn.XLOOKUP(C579,Analysis_Gadgets!$C:$C,Analysis_Gadgets!$B:$B)</f>
        <v>Gadget</v>
      </c>
      <c r="E579" s="43">
        <v>138</v>
      </c>
      <c r="F579" s="43">
        <f>_xlfn.XLOOKUP(A579,Class_Players!A:A,Class_Players!G:G)</f>
        <v>195</v>
      </c>
      <c r="G579" s="43">
        <f t="shared" si="187"/>
        <v>0.70769230769230773</v>
      </c>
      <c r="H579" s="43">
        <f>_xlfn.XLOOKUP(A579,Class_Players!$A:$A,Class_Players!$F:$F,"")</f>
        <v>7887</v>
      </c>
      <c r="I579" s="44">
        <f t="shared" si="188"/>
        <v>1.7497147204260176E-2</v>
      </c>
      <c r="J579" s="43">
        <f t="shared" ref="J579:J642" si="192">IF(I579&gt;=0.1,1,0)</f>
        <v>0</v>
      </c>
      <c r="K579" s="44" cm="1">
        <f t="array" ref="K579">IF(D579="Gadget",_xlfn.IFS(I579&gt;=0.2,0.5,I579&gt;=0.1,0.35,I579&gt;=0.05,0.2,TRUE,0),IF(D579="Grenade",_xlfn.IFS(I579&gt;=0.2,1,I579&gt;=0.1,0.7,I579&gt;=0.05,0.4,TRUE,0),0))</f>
        <v>0</v>
      </c>
      <c r="L579" s="57">
        <f t="shared" si="191"/>
        <v>0</v>
      </c>
    </row>
    <row r="580" spans="1:12" x14ac:dyDescent="0.25">
      <c r="A580" s="42" t="str" cm="1">
        <f t="array" ref="A580">IFERROR(INDEX(_xlfn._xlws.FILTER(Class_Players!A:A,Class_Players!B:B="Assault"),QUOTIENT(ROW()-ROW($A$2),7)+1),"")</f>
        <v>apt-foot49</v>
      </c>
      <c r="B580" s="42" t="str">
        <f>_xlfn.XLOOKUP(A580,Class_Players!$A:$A,Class_Players!$B:$B,"")</f>
        <v>Assault</v>
      </c>
      <c r="C580" s="48" t="str" cm="1">
        <f t="array" ref="C580">INDEX(Lookups!$A$2:$A$8,MOD(ROW()-ROW($B$2),ROWS(Lookups!$A$2:$A$8))+1)</f>
        <v>QLINK (Deploy Beacon)</v>
      </c>
      <c r="D580" s="48" t="str">
        <f>_xlfn.XLOOKUP(C580,Analysis_Gadgets!$C:$C,Analysis_Gadgets!$B:$B)</f>
        <v>Gadget</v>
      </c>
      <c r="E580" s="43">
        <v>608</v>
      </c>
      <c r="F580" s="43">
        <f>_xlfn.XLOOKUP(A580,Class_Players!A:A,Class_Players!G:G)</f>
        <v>195</v>
      </c>
      <c r="G580" s="43">
        <f t="shared" si="187"/>
        <v>3.117948717948718</v>
      </c>
      <c r="H580" s="43">
        <f>_xlfn.XLOOKUP(A580,Class_Players!$A:$A,Class_Players!$F:$F,"")</f>
        <v>7887</v>
      </c>
      <c r="I580" s="44">
        <f t="shared" si="188"/>
        <v>7.7088880436160773E-2</v>
      </c>
      <c r="J580" s="43">
        <f t="shared" si="192"/>
        <v>0</v>
      </c>
      <c r="K580" s="44" cm="1">
        <f t="array" ref="K580">IF(D580="Gadget",_xlfn.IFS(I580&gt;=0.2,0.5,I580&gt;=0.1,0.35,I580&gt;=0.05,0.2,TRUE,0),IF(D580="Grenade",_xlfn.IFS(I580&gt;=0.2,1,I580&gt;=0.1,0.7,I580&gt;=0.05,0.4,TRUE,0),0))</f>
        <v>0.2</v>
      </c>
      <c r="L580" s="57">
        <f t="shared" si="191"/>
        <v>0.5</v>
      </c>
    </row>
    <row r="581" spans="1:12" x14ac:dyDescent="0.25">
      <c r="A581" s="42" t="str" cm="1">
        <f t="array" ref="A581">IFERROR(INDEX(_xlfn._xlws.FILTER(Class_Players!A:A,Class_Players!B:B="Assault"),QUOTIENT(ROW()-ROW($A$2),7)+1),"")</f>
        <v>apt-foot49</v>
      </c>
      <c r="B581" s="42" t="str">
        <f>_xlfn.XLOOKUP(A581,Class_Players!$A:$A,Class_Players!$B:$B,"")</f>
        <v>Assault</v>
      </c>
      <c r="C581" s="48" t="str" cm="1">
        <f t="array" ref="C581">INDEX(Lookups!$A$2:$A$8,MOD(ROW()-ROW($B$2),ROWS(Lookups!$A$2:$A$8))+1)</f>
        <v>Stun Grenade</v>
      </c>
      <c r="D581" s="48" t="str">
        <f>_xlfn.XLOOKUP(C581,Analysis_Gadgets!$C:$C,Analysis_Gadgets!$B:$B)</f>
        <v>Grenade</v>
      </c>
      <c r="E581" s="43">
        <v>12</v>
      </c>
      <c r="F581" s="43">
        <f>_xlfn.XLOOKUP(A581,Class_Players!A:A,Class_Players!G:G)</f>
        <v>195</v>
      </c>
      <c r="G581" s="43">
        <f t="shared" si="187"/>
        <v>6.1538461538461542E-2</v>
      </c>
      <c r="H581" s="43">
        <f>_xlfn.XLOOKUP(A581,Class_Players!$A:$A,Class_Players!$F:$F,"")</f>
        <v>7887</v>
      </c>
      <c r="I581" s="44">
        <f t="shared" si="188"/>
        <v>1.5214910612400153E-3</v>
      </c>
      <c r="J581" s="43">
        <f t="shared" si="192"/>
        <v>0</v>
      </c>
      <c r="K581" s="44" cm="1">
        <f t="array" ref="K581">IF(D581="Gadget",_xlfn.IFS(I581&gt;=0.2,0.5,I581&gt;=0.1,0.35,I581&gt;=0.05,0.2,TRUE,0),IF(D581="Grenade",_xlfn.IFS(I581&gt;=0.2,1,I581&gt;=0.1,0.7,I581&gt;=0.05,0.4,TRUE,0),0))</f>
        <v>0</v>
      </c>
      <c r="L581" s="57">
        <f t="shared" si="174"/>
        <v>0</v>
      </c>
    </row>
    <row r="582" spans="1:12" x14ac:dyDescent="0.25">
      <c r="A582" s="42" t="str" cm="1">
        <f t="array" ref="A582">IFERROR(INDEX(_xlfn._xlws.FILTER(Class_Players!A:A,Class_Players!B:B="Assault"),QUOTIENT(ROW()-ROW($A$2),7)+1),"")</f>
        <v>apt-foot49</v>
      </c>
      <c r="B582" s="42" t="str">
        <f>_xlfn.XLOOKUP(A582,Class_Players!$A:$A,Class_Players!$B:$B,"")</f>
        <v>Assault</v>
      </c>
      <c r="C582" s="48" t="str" cm="1">
        <f t="array" ref="C582">INDEX(Lookups!$A$2:$A$8,MOD(ROW()-ROW($B$2),ROWS(Lookups!$A$2:$A$8))+1)</f>
        <v>Flash Grenade</v>
      </c>
      <c r="D582" s="48" t="str">
        <f>_xlfn.XLOOKUP(C582,Analysis_Gadgets!$C:$C,Analysis_Gadgets!$B:$B)</f>
        <v>Grenade</v>
      </c>
      <c r="E582" s="43">
        <v>0</v>
      </c>
      <c r="F582" s="43">
        <f>_xlfn.XLOOKUP(A582,Class_Players!A:A,Class_Players!G:G)</f>
        <v>195</v>
      </c>
      <c r="G582" s="43">
        <f t="shared" si="187"/>
        <v>0</v>
      </c>
      <c r="H582" s="43">
        <f>_xlfn.XLOOKUP(A582,Class_Players!$A:$A,Class_Players!$F:$F,"")</f>
        <v>7887</v>
      </c>
      <c r="I582" s="44">
        <f t="shared" si="188"/>
        <v>0</v>
      </c>
      <c r="J582" s="43">
        <f t="shared" si="192"/>
        <v>0</v>
      </c>
      <c r="K582" s="44" cm="1">
        <f t="array" ref="K582">IF(D582="Gadget",_xlfn.IFS(I582&gt;=0.2,0.5,I582&gt;=0.1,0.35,I582&gt;=0.05,0.2,TRUE,0),IF(D582="Grenade",_xlfn.IFS(I582&gt;=0.2,1,I582&gt;=0.1,0.7,I582&gt;=0.05,0.4,TRUE,0),0))</f>
        <v>0</v>
      </c>
      <c r="L582" s="57">
        <f t="shared" si="174"/>
        <v>0</v>
      </c>
    </row>
    <row r="583" spans="1:12" x14ac:dyDescent="0.25">
      <c r="A583" s="42" t="str" cm="1">
        <f t="array" ref="A583">IFERROR(INDEX(_xlfn._xlws.FILTER(Class_Players!A:A,Class_Players!B:B="Assault"),QUOTIENT(ROW()-ROW($A$2),7)+1),"")</f>
        <v>Blacha</v>
      </c>
      <c r="B583" s="42" t="str">
        <f>_xlfn.XLOOKUP(A583,Class_Players!$A:$A,Class_Players!$B:$B,"")</f>
        <v>Assault</v>
      </c>
      <c r="C583" s="48" t="str" cm="1">
        <f t="array" ref="C583">INDEX(Lookups!$A$2:$A$8,MOD(ROW()-ROW($B$2),ROWS(Lookups!$A$2:$A$8))+1)</f>
        <v>Assault Ladder</v>
      </c>
      <c r="D583" s="48" t="str">
        <f>_xlfn.XLOOKUP(C583,Analysis_Gadgets!$C:$C,Analysis_Gadgets!$B:$B)</f>
        <v>Gadget</v>
      </c>
      <c r="E583" s="43">
        <v>4547</v>
      </c>
      <c r="F583" s="43">
        <f>_xlfn.XLOOKUP(A583,Class_Players!A:A,Class_Players!G:G)</f>
        <v>138</v>
      </c>
      <c r="G583" s="43">
        <f t="shared" si="187"/>
        <v>32.949275362318843</v>
      </c>
      <c r="H583" s="43">
        <f>_xlfn.XLOOKUP(A583,Class_Players!$A:$A,Class_Players!$F:$F,"")</f>
        <v>9267</v>
      </c>
      <c r="I583" s="44">
        <f t="shared" si="188"/>
        <v>0.49066580338836735</v>
      </c>
      <c r="J583" s="43">
        <f t="shared" si="192"/>
        <v>1</v>
      </c>
      <c r="K583" s="44" cm="1">
        <f t="array" ref="K583">IF(D583="Gadget",_xlfn.IFS(I583&gt;=0.2,0.5,I583&gt;=0.1,0.35,I583&gt;=0.05,0.2,TRUE,0),IF(D583="Grenade",_xlfn.IFS(I583&gt;=0.2,1,I583&gt;=0.1,0.7,I583&gt;=0.05,0.4,TRUE,0),0))</f>
        <v>0.5</v>
      </c>
      <c r="L583" s="57">
        <f t="shared" ref="L583:L587" si="193">IF($K583=0,0,$K583 / SUMIFS($K:$K,$A:$A,$A583,$D:$D,"Gadget"))</f>
        <v>0.35714285714285715</v>
      </c>
    </row>
    <row r="584" spans="1:12" x14ac:dyDescent="0.25">
      <c r="A584" s="42" t="str" cm="1">
        <f t="array" ref="A584">IFERROR(INDEX(_xlfn._xlws.FILTER(Class_Players!A:A,Class_Players!B:B="Assault"),QUOTIENT(ROW()-ROW($A$2),7)+1),"")</f>
        <v>Blacha</v>
      </c>
      <c r="B584" s="42" t="str">
        <f>_xlfn.XLOOKUP(A584,Class_Players!$A:$A,Class_Players!$B:$B,"")</f>
        <v>Assault</v>
      </c>
      <c r="C584" s="48" t="str" cm="1">
        <f t="array" ref="C584">INDEX(Lookups!$A$2:$A$8,MOD(ROW()-ROW($B$2),ROWS(Lookups!$A$2:$A$8))+1)</f>
        <v>X95 BRE (Breaching Projectile Launcher)</v>
      </c>
      <c r="D584" s="48" t="str">
        <f>_xlfn.XLOOKUP(C584,Analysis_Gadgets!$C:$C,Analysis_Gadgets!$B:$B)</f>
        <v>Gadget</v>
      </c>
      <c r="E584" s="43">
        <v>35</v>
      </c>
      <c r="F584" s="43">
        <f>_xlfn.XLOOKUP(A584,Class_Players!A:A,Class_Players!G:G)</f>
        <v>138</v>
      </c>
      <c r="G584" s="43">
        <f t="shared" si="187"/>
        <v>0.25362318840579712</v>
      </c>
      <c r="H584" s="43">
        <f>_xlfn.XLOOKUP(A584,Class_Players!$A:$A,Class_Players!$F:$F,"")</f>
        <v>9267</v>
      </c>
      <c r="I584" s="44">
        <f t="shared" si="188"/>
        <v>3.7768425596201574E-3</v>
      </c>
      <c r="J584" s="43">
        <f t="shared" si="192"/>
        <v>0</v>
      </c>
      <c r="K584" s="44" cm="1">
        <f t="array" ref="K584">IF(D584="Gadget",_xlfn.IFS(I584&gt;=0.2,0.5,I584&gt;=0.1,0.35,I584&gt;=0.05,0.2,TRUE,0),IF(D584="Grenade",_xlfn.IFS(I584&gt;=0.2,1,I584&gt;=0.1,0.7,I584&gt;=0.05,0.4,TRUE,0),0))</f>
        <v>0</v>
      </c>
      <c r="L584" s="57">
        <f t="shared" si="193"/>
        <v>0</v>
      </c>
    </row>
    <row r="585" spans="1:12" x14ac:dyDescent="0.25">
      <c r="A585" s="42" t="str" cm="1">
        <f t="array" ref="A585">IFERROR(INDEX(_xlfn._xlws.FILTER(Class_Players!A:A,Class_Players!B:B="Assault"),QUOTIENT(ROW()-ROW($A$2),7)+1),"")</f>
        <v>Blacha</v>
      </c>
      <c r="B585" s="42" t="str">
        <f>_xlfn.XLOOKUP(A585,Class_Players!$A:$A,Class_Players!$B:$B,"")</f>
        <v>Assault</v>
      </c>
      <c r="C585" s="48" t="str" cm="1">
        <f t="array" ref="C585">INDEX(Lookups!$A$2:$A$8,MOD(ROW()-ROW($B$2),ROWS(Lookups!$A$2:$A$8))+1)</f>
        <v>M320A1 HE (Grenade Launcher)</v>
      </c>
      <c r="D585" s="48" t="str">
        <f>_xlfn.XLOOKUP(C585,Analysis_Gadgets!$C:$C,Analysis_Gadgets!$B:$B)</f>
        <v>Gadget</v>
      </c>
      <c r="E585" s="43">
        <v>627</v>
      </c>
      <c r="F585" s="43">
        <f>_xlfn.XLOOKUP(A585,Class_Players!A:A,Class_Players!G:G)</f>
        <v>138</v>
      </c>
      <c r="G585" s="43">
        <f t="shared" si="187"/>
        <v>4.5434782608695654</v>
      </c>
      <c r="H585" s="43">
        <f>_xlfn.XLOOKUP(A585,Class_Players!$A:$A,Class_Players!$F:$F,"")</f>
        <v>9267</v>
      </c>
      <c r="I585" s="44">
        <f t="shared" si="188"/>
        <v>6.7659436710909682E-2</v>
      </c>
      <c r="J585" s="43">
        <f t="shared" si="192"/>
        <v>0</v>
      </c>
      <c r="K585" s="44" cm="1">
        <f t="array" ref="K585">IF(D585="Gadget",_xlfn.IFS(I585&gt;=0.2,0.5,I585&gt;=0.1,0.35,I585&gt;=0.05,0.2,TRUE,0),IF(D585="Grenade",_xlfn.IFS(I585&gt;=0.2,1,I585&gt;=0.1,0.7,I585&gt;=0.05,0.4,TRUE,0),0))</f>
        <v>0.2</v>
      </c>
      <c r="L585" s="57">
        <f t="shared" si="193"/>
        <v>0.14285714285714288</v>
      </c>
    </row>
    <row r="586" spans="1:12" x14ac:dyDescent="0.25">
      <c r="A586" s="42" t="str" cm="1">
        <f t="array" ref="A586">IFERROR(INDEX(_xlfn._xlws.FILTER(Class_Players!A:A,Class_Players!B:B="Assault"),QUOTIENT(ROW()-ROW($A$2),7)+1),"")</f>
        <v>Blacha</v>
      </c>
      <c r="B586" s="42" t="str">
        <f>_xlfn.XLOOKUP(A586,Class_Players!$A:$A,Class_Players!$B:$B,"")</f>
        <v>Assault</v>
      </c>
      <c r="C586" s="48" t="str" cm="1">
        <f t="array" ref="C586">INDEX(Lookups!$A$2:$A$8,MOD(ROW()-ROW($B$2),ROWS(Lookups!$A$2:$A$8))+1)</f>
        <v>M320A1 THRM    (Incendiary Grenade Launcher)</v>
      </c>
      <c r="D586" s="48" t="str">
        <f>_xlfn.XLOOKUP(C586,Analysis_Gadgets!$C:$C,Analysis_Gadgets!$B:$B)</f>
        <v>Gadget</v>
      </c>
      <c r="E586" s="43">
        <v>596</v>
      </c>
      <c r="F586" s="43">
        <f>_xlfn.XLOOKUP(A586,Class_Players!A:A,Class_Players!G:G)</f>
        <v>138</v>
      </c>
      <c r="G586" s="43">
        <f t="shared" si="187"/>
        <v>4.3188405797101446</v>
      </c>
      <c r="H586" s="43">
        <f>_xlfn.XLOOKUP(A586,Class_Players!$A:$A,Class_Players!$F:$F,"")</f>
        <v>9267</v>
      </c>
      <c r="I586" s="44">
        <f t="shared" si="188"/>
        <v>6.4314233300960394E-2</v>
      </c>
      <c r="J586" s="43">
        <f t="shared" si="192"/>
        <v>0</v>
      </c>
      <c r="K586" s="44" cm="1">
        <f t="array" ref="K586">IF(D586="Gadget",_xlfn.IFS(I586&gt;=0.2,0.5,I586&gt;=0.1,0.35,I586&gt;=0.05,0.2,TRUE,0),IF(D586="Grenade",_xlfn.IFS(I586&gt;=0.2,1,I586&gt;=0.1,0.7,I586&gt;=0.05,0.4,TRUE,0),0))</f>
        <v>0.2</v>
      </c>
      <c r="L586" s="57">
        <f t="shared" si="193"/>
        <v>0.14285714285714288</v>
      </c>
    </row>
    <row r="587" spans="1:12" x14ac:dyDescent="0.25">
      <c r="A587" s="42" t="str" cm="1">
        <f t="array" ref="A587">IFERROR(INDEX(_xlfn._xlws.FILTER(Class_Players!A:A,Class_Players!B:B="Assault"),QUOTIENT(ROW()-ROW($A$2),7)+1),"")</f>
        <v>Blacha</v>
      </c>
      <c r="B587" s="42" t="str">
        <f>_xlfn.XLOOKUP(A587,Class_Players!$A:$A,Class_Players!$B:$B,"")</f>
        <v>Assault</v>
      </c>
      <c r="C587" s="48" t="str" cm="1">
        <f t="array" ref="C587">INDEX(Lookups!$A$2:$A$8,MOD(ROW()-ROW($B$2),ROWS(Lookups!$A$2:$A$8))+1)</f>
        <v>QLINK (Deploy Beacon)</v>
      </c>
      <c r="D587" s="48" t="str">
        <f>_xlfn.XLOOKUP(C587,Analysis_Gadgets!$C:$C,Analysis_Gadgets!$B:$B)</f>
        <v>Gadget</v>
      </c>
      <c r="E587" s="43">
        <v>6460</v>
      </c>
      <c r="F587" s="43">
        <f>_xlfn.XLOOKUP(A587,Class_Players!A:A,Class_Players!G:G)</f>
        <v>138</v>
      </c>
      <c r="G587" s="43">
        <f t="shared" si="187"/>
        <v>46.811594202898547</v>
      </c>
      <c r="H587" s="43">
        <f>_xlfn.XLOOKUP(A587,Class_Players!$A:$A,Class_Players!$F:$F,"")</f>
        <v>9267</v>
      </c>
      <c r="I587" s="44">
        <f t="shared" si="188"/>
        <v>0.69709722671846341</v>
      </c>
      <c r="J587" s="43">
        <f t="shared" si="192"/>
        <v>1</v>
      </c>
      <c r="K587" s="44" cm="1">
        <f t="array" ref="K587">IF(D587="Gadget",_xlfn.IFS(I587&gt;=0.2,0.5,I587&gt;=0.1,0.35,I587&gt;=0.05,0.2,TRUE,0),IF(D587="Grenade",_xlfn.IFS(I587&gt;=0.2,1,I587&gt;=0.1,0.7,I587&gt;=0.05,0.4,TRUE,0),0))</f>
        <v>0.5</v>
      </c>
      <c r="L587" s="57">
        <f t="shared" si="193"/>
        <v>0.35714285714285715</v>
      </c>
    </row>
    <row r="588" spans="1:12" x14ac:dyDescent="0.25">
      <c r="A588" s="42" t="str" cm="1">
        <f t="array" ref="A588">IFERROR(INDEX(_xlfn._xlws.FILTER(Class_Players!A:A,Class_Players!B:B="Assault"),QUOTIENT(ROW()-ROW($A$2),7)+1),"")</f>
        <v>Blacha</v>
      </c>
      <c r="B588" s="42" t="str">
        <f>_xlfn.XLOOKUP(A588,Class_Players!$A:$A,Class_Players!$B:$B,"")</f>
        <v>Assault</v>
      </c>
      <c r="C588" s="48" t="str" cm="1">
        <f t="array" ref="C588">INDEX(Lookups!$A$2:$A$8,MOD(ROW()-ROW($B$2),ROWS(Lookups!$A$2:$A$8))+1)</f>
        <v>Stun Grenade</v>
      </c>
      <c r="D588" s="48" t="str">
        <f>_xlfn.XLOOKUP(C588,Analysis_Gadgets!$C:$C,Analysis_Gadgets!$B:$B)</f>
        <v>Grenade</v>
      </c>
      <c r="E588" s="43">
        <v>87</v>
      </c>
      <c r="F588" s="43">
        <f>_xlfn.XLOOKUP(A588,Class_Players!A:A,Class_Players!G:G)</f>
        <v>138</v>
      </c>
      <c r="G588" s="43">
        <f t="shared" si="187"/>
        <v>0.63043478260869568</v>
      </c>
      <c r="H588" s="43">
        <f>_xlfn.XLOOKUP(A588,Class_Players!$A:$A,Class_Players!$F:$F,"")</f>
        <v>9267</v>
      </c>
      <c r="I588" s="44">
        <f t="shared" si="188"/>
        <v>9.3881515053415351E-3</v>
      </c>
      <c r="J588" s="43">
        <f t="shared" si="192"/>
        <v>0</v>
      </c>
      <c r="K588" s="44" cm="1">
        <f t="array" ref="K588">IF(D588="Gadget",_xlfn.IFS(I588&gt;=0.2,0.5,I588&gt;=0.1,0.35,I588&gt;=0.05,0.2,TRUE,0),IF(D588="Grenade",_xlfn.IFS(I588&gt;=0.2,1,I588&gt;=0.1,0.7,I588&gt;=0.05,0.4,TRUE,0),0))</f>
        <v>0</v>
      </c>
      <c r="L588" s="57">
        <f t="shared" si="174"/>
        <v>0</v>
      </c>
    </row>
    <row r="589" spans="1:12" x14ac:dyDescent="0.25">
      <c r="A589" s="42" t="str" cm="1">
        <f t="array" ref="A589">IFERROR(INDEX(_xlfn._xlws.FILTER(Class_Players!A:A,Class_Players!B:B="Assault"),QUOTIENT(ROW()-ROW($A$2),7)+1),"")</f>
        <v>Blacha</v>
      </c>
      <c r="B589" s="42" t="str">
        <f>_xlfn.XLOOKUP(A589,Class_Players!$A:$A,Class_Players!$B:$B,"")</f>
        <v>Assault</v>
      </c>
      <c r="C589" s="48" t="str" cm="1">
        <f t="array" ref="C589">INDEX(Lookups!$A$2:$A$8,MOD(ROW()-ROW($B$2),ROWS(Lookups!$A$2:$A$8))+1)</f>
        <v>Flash Grenade</v>
      </c>
      <c r="D589" s="48" t="str">
        <f>_xlfn.XLOOKUP(C589,Analysis_Gadgets!$C:$C,Analysis_Gadgets!$B:$B)</f>
        <v>Grenade</v>
      </c>
      <c r="E589" s="43">
        <v>2</v>
      </c>
      <c r="F589" s="43">
        <f>_xlfn.XLOOKUP(A589,Class_Players!A:A,Class_Players!G:G)</f>
        <v>138</v>
      </c>
      <c r="G589" s="43">
        <f t="shared" si="187"/>
        <v>1.4492753623188406E-2</v>
      </c>
      <c r="H589" s="43">
        <f>_xlfn.XLOOKUP(A589,Class_Players!$A:$A,Class_Players!$F:$F,"")</f>
        <v>9267</v>
      </c>
      <c r="I589" s="44">
        <f t="shared" si="188"/>
        <v>2.1581957483543757E-4</v>
      </c>
      <c r="J589" s="43">
        <f t="shared" si="192"/>
        <v>0</v>
      </c>
      <c r="K589" s="44" cm="1">
        <f t="array" ref="K589">IF(D589="Gadget",_xlfn.IFS(I589&gt;=0.2,0.5,I589&gt;=0.1,0.35,I589&gt;=0.05,0.2,TRUE,0),IF(D589="Grenade",_xlfn.IFS(I589&gt;=0.2,1,I589&gt;=0.1,0.7,I589&gt;=0.05,0.4,TRUE,0),0))</f>
        <v>0</v>
      </c>
      <c r="L589" s="57">
        <f t="shared" si="174"/>
        <v>0</v>
      </c>
    </row>
    <row r="590" spans="1:12" x14ac:dyDescent="0.25">
      <c r="A590" s="42" t="str" cm="1">
        <f t="array" ref="A590">IFERROR(INDEX(_xlfn._xlws.FILTER(Class_Players!A:A,Class_Players!B:B="Assault"),QUOTIENT(ROW()-ROW($A$2),7)+1),"")</f>
        <v>FiftyWeevil348</v>
      </c>
      <c r="B590" s="42" t="str">
        <f>_xlfn.XLOOKUP(A590,Class_Players!$A:$A,Class_Players!$B:$B,"")</f>
        <v>Assault</v>
      </c>
      <c r="C590" s="48" t="str" cm="1">
        <f t="array" ref="C590">INDEX(Lookups!$A$2:$A$8,MOD(ROW()-ROW($B$2),ROWS(Lookups!$A$2:$A$8))+1)</f>
        <v>Assault Ladder</v>
      </c>
      <c r="D590" s="48" t="str">
        <f>_xlfn.XLOOKUP(C590,Analysis_Gadgets!$C:$C,Analysis_Gadgets!$B:$B)</f>
        <v>Gadget</v>
      </c>
      <c r="E590" s="43">
        <v>1</v>
      </c>
      <c r="F590" s="43">
        <f>_xlfn.XLOOKUP(A590,Class_Players!A:A,Class_Players!G:G)</f>
        <v>190</v>
      </c>
      <c r="G590" s="43">
        <f t="shared" si="187"/>
        <v>5.263157894736842E-3</v>
      </c>
      <c r="H590" s="43">
        <f>_xlfn.XLOOKUP(A590,Class_Players!$A:$A,Class_Players!$F:$F,"")</f>
        <v>8898</v>
      </c>
      <c r="I590" s="44">
        <f t="shared" si="188"/>
        <v>1.1238480557428635E-4</v>
      </c>
      <c r="J590" s="43">
        <f t="shared" si="192"/>
        <v>0</v>
      </c>
      <c r="K590" s="44" cm="1">
        <f t="array" ref="K590">IF(D590="Gadget",_xlfn.IFS(I590&gt;=0.2,0.5,I590&gt;=0.1,0.35,I590&gt;=0.05,0.2,TRUE,0),IF(D590="Grenade",_xlfn.IFS(I590&gt;=0.2,1,I590&gt;=0.1,0.7,I590&gt;=0.05,0.4,TRUE,0),0))</f>
        <v>0</v>
      </c>
      <c r="L590" s="57">
        <f t="shared" ref="L590:L608" si="194">IF($K590=0,0,$K590 / SUMIFS($K:$K,$A:$A,$A590,$D:$D,"Gadget"))</f>
        <v>0</v>
      </c>
    </row>
    <row r="591" spans="1:12" x14ac:dyDescent="0.25">
      <c r="A591" s="42" t="str" cm="1">
        <f t="array" ref="A591">IFERROR(INDEX(_xlfn._xlws.FILTER(Class_Players!A:A,Class_Players!B:B="Assault"),QUOTIENT(ROW()-ROW($A$2),7)+1),"")</f>
        <v>FiftyWeevil348</v>
      </c>
      <c r="B591" s="42" t="str">
        <f>_xlfn.XLOOKUP(A591,Class_Players!$A:$A,Class_Players!$B:$B,"")</f>
        <v>Assault</v>
      </c>
      <c r="C591" s="48" t="str" cm="1">
        <f t="array" ref="C591">INDEX(Lookups!$A$2:$A$8,MOD(ROW()-ROW($B$2),ROWS(Lookups!$A$2:$A$8))+1)</f>
        <v>X95 BRE (Breaching Projectile Launcher)</v>
      </c>
      <c r="D591" s="48" t="str">
        <f>_xlfn.XLOOKUP(C591,Analysis_Gadgets!$C:$C,Analysis_Gadgets!$B:$B)</f>
        <v>Gadget</v>
      </c>
      <c r="E591" s="43">
        <v>0</v>
      </c>
      <c r="F591" s="43">
        <f>_xlfn.XLOOKUP(A591,Class_Players!A:A,Class_Players!G:G)</f>
        <v>190</v>
      </c>
      <c r="G591" s="43">
        <f t="shared" si="187"/>
        <v>0</v>
      </c>
      <c r="H591" s="43">
        <f>_xlfn.XLOOKUP(A591,Class_Players!$A:$A,Class_Players!$F:$F,"")</f>
        <v>8898</v>
      </c>
      <c r="I591" s="44">
        <f t="shared" si="188"/>
        <v>0</v>
      </c>
      <c r="J591" s="43">
        <f t="shared" si="192"/>
        <v>0</v>
      </c>
      <c r="K591" s="44" cm="1">
        <f t="array" ref="K591">IF(D591="Gadget",_xlfn.IFS(I591&gt;=0.2,0.5,I591&gt;=0.1,0.35,I591&gt;=0.05,0.2,TRUE,0),IF(D591="Grenade",_xlfn.IFS(I591&gt;=0.2,1,I591&gt;=0.1,0.7,I591&gt;=0.05,0.4,TRUE,0),0))</f>
        <v>0</v>
      </c>
      <c r="L591" s="57">
        <f t="shared" si="194"/>
        <v>0</v>
      </c>
    </row>
    <row r="592" spans="1:12" x14ac:dyDescent="0.25">
      <c r="A592" s="42" t="str" cm="1">
        <f t="array" ref="A592">IFERROR(INDEX(_xlfn._xlws.FILTER(Class_Players!A:A,Class_Players!B:B="Assault"),QUOTIENT(ROW()-ROW($A$2),7)+1),"")</f>
        <v>FiftyWeevil348</v>
      </c>
      <c r="B592" s="42" t="str">
        <f>_xlfn.XLOOKUP(A592,Class_Players!$A:$A,Class_Players!$B:$B,"")</f>
        <v>Assault</v>
      </c>
      <c r="C592" s="48" t="str" cm="1">
        <f t="array" ref="C592">INDEX(Lookups!$A$2:$A$8,MOD(ROW()-ROW($B$2),ROWS(Lookups!$A$2:$A$8))+1)</f>
        <v>M320A1 HE (Grenade Launcher)</v>
      </c>
      <c r="D592" s="48" t="str">
        <f>_xlfn.XLOOKUP(C592,Analysis_Gadgets!$C:$C,Analysis_Gadgets!$B:$B)</f>
        <v>Gadget</v>
      </c>
      <c r="E592" s="43">
        <v>5668</v>
      </c>
      <c r="F592" s="43">
        <f>_xlfn.XLOOKUP(A592,Class_Players!A:A,Class_Players!G:G)</f>
        <v>190</v>
      </c>
      <c r="G592" s="43">
        <f t="shared" si="187"/>
        <v>29.831578947368421</v>
      </c>
      <c r="H592" s="43">
        <f>_xlfn.XLOOKUP(A592,Class_Players!$A:$A,Class_Players!$F:$F,"")</f>
        <v>8898</v>
      </c>
      <c r="I592" s="44">
        <f t="shared" si="188"/>
        <v>0.63699707799505512</v>
      </c>
      <c r="J592" s="43">
        <f t="shared" si="192"/>
        <v>1</v>
      </c>
      <c r="K592" s="44" cm="1">
        <f t="array" ref="K592">IF(D592="Gadget",_xlfn.IFS(I592&gt;=0.2,0.5,I592&gt;=0.1,0.35,I592&gt;=0.05,0.2,TRUE,0),IF(D592="Grenade",_xlfn.IFS(I592&gt;=0.2,1,I592&gt;=0.1,0.7,I592&gt;=0.05,0.4,TRUE,0),0))</f>
        <v>0.5</v>
      </c>
      <c r="L592" s="57">
        <f t="shared" si="194"/>
        <v>0.7142857142857143</v>
      </c>
    </row>
    <row r="593" spans="1:12" x14ac:dyDescent="0.25">
      <c r="A593" s="42" t="str" cm="1">
        <f t="array" ref="A593">IFERROR(INDEX(_xlfn._xlws.FILTER(Class_Players!A:A,Class_Players!B:B="Assault"),QUOTIENT(ROW()-ROW($A$2),7)+1),"")</f>
        <v>FiftyWeevil348</v>
      </c>
      <c r="B593" s="42" t="str">
        <f>_xlfn.XLOOKUP(A593,Class_Players!$A:$A,Class_Players!$B:$B,"")</f>
        <v>Assault</v>
      </c>
      <c r="C593" s="48" t="str" cm="1">
        <f t="array" ref="C593">INDEX(Lookups!$A$2:$A$8,MOD(ROW()-ROW($B$2),ROWS(Lookups!$A$2:$A$8))+1)</f>
        <v>M320A1 THRM    (Incendiary Grenade Launcher)</v>
      </c>
      <c r="D593" s="48" t="str">
        <f>_xlfn.XLOOKUP(C593,Analysis_Gadgets!$C:$C,Analysis_Gadgets!$B:$B)</f>
        <v>Gadget</v>
      </c>
      <c r="E593" s="43">
        <v>634</v>
      </c>
      <c r="F593" s="43">
        <f>_xlfn.XLOOKUP(A593,Class_Players!A:A,Class_Players!G:G)</f>
        <v>190</v>
      </c>
      <c r="G593" s="43">
        <f t="shared" si="187"/>
        <v>3.3368421052631581</v>
      </c>
      <c r="H593" s="43">
        <f>_xlfn.XLOOKUP(A593,Class_Players!$A:$A,Class_Players!$F:$F,"")</f>
        <v>8898</v>
      </c>
      <c r="I593" s="44">
        <f t="shared" si="188"/>
        <v>7.1251966734097547E-2</v>
      </c>
      <c r="J593" s="43">
        <f t="shared" si="192"/>
        <v>0</v>
      </c>
      <c r="K593" s="44" cm="1">
        <f t="array" ref="K593">IF(D593="Gadget",_xlfn.IFS(I593&gt;=0.2,0.5,I593&gt;=0.1,0.35,I593&gt;=0.05,0.2,TRUE,0),IF(D593="Grenade",_xlfn.IFS(I593&gt;=0.2,1,I593&gt;=0.1,0.7,I593&gt;=0.05,0.4,TRUE,0),0))</f>
        <v>0.2</v>
      </c>
      <c r="L593" s="57">
        <f t="shared" si="194"/>
        <v>0.28571428571428575</v>
      </c>
    </row>
    <row r="594" spans="1:12" x14ac:dyDescent="0.25">
      <c r="A594" s="42" t="str" cm="1">
        <f t="array" ref="A594">IFERROR(INDEX(_xlfn._xlws.FILTER(Class_Players!A:A,Class_Players!B:B="Assault"),QUOTIENT(ROW()-ROW($A$2),7)+1),"")</f>
        <v>FiftyWeevil348</v>
      </c>
      <c r="B594" s="42" t="str">
        <f>_xlfn.XLOOKUP(A594,Class_Players!$A:$A,Class_Players!$B:$B,"")</f>
        <v>Assault</v>
      </c>
      <c r="C594" s="48" t="str" cm="1">
        <f t="array" ref="C594">INDEX(Lookups!$A$2:$A$8,MOD(ROW()-ROW($B$2),ROWS(Lookups!$A$2:$A$8))+1)</f>
        <v>QLINK (Deploy Beacon)</v>
      </c>
      <c r="D594" s="48" t="str">
        <f>_xlfn.XLOOKUP(C594,Analysis_Gadgets!$C:$C,Analysis_Gadgets!$B:$B)</f>
        <v>Gadget</v>
      </c>
      <c r="E594" s="43">
        <v>0</v>
      </c>
      <c r="F594" s="43">
        <f>_xlfn.XLOOKUP(A594,Class_Players!A:A,Class_Players!G:G)</f>
        <v>190</v>
      </c>
      <c r="G594" s="43">
        <f t="shared" si="187"/>
        <v>0</v>
      </c>
      <c r="H594" s="43">
        <f>_xlfn.XLOOKUP(A594,Class_Players!$A:$A,Class_Players!$F:$F,"")</f>
        <v>8898</v>
      </c>
      <c r="I594" s="44">
        <f t="shared" si="188"/>
        <v>0</v>
      </c>
      <c r="J594" s="43">
        <f t="shared" si="192"/>
        <v>0</v>
      </c>
      <c r="K594" s="44" cm="1">
        <f t="array" ref="K594">IF(D594="Gadget",_xlfn.IFS(I594&gt;=0.2,0.5,I594&gt;=0.1,0.35,I594&gt;=0.05,0.2,TRUE,0),IF(D594="Grenade",_xlfn.IFS(I594&gt;=0.2,1,I594&gt;=0.1,0.7,I594&gt;=0.05,0.4,TRUE,0),0))</f>
        <v>0</v>
      </c>
      <c r="L594" s="57">
        <f t="shared" si="194"/>
        <v>0</v>
      </c>
    </row>
    <row r="595" spans="1:12" x14ac:dyDescent="0.25">
      <c r="A595" s="42" t="str" cm="1">
        <f t="array" ref="A595">IFERROR(INDEX(_xlfn._xlws.FILTER(Class_Players!A:A,Class_Players!B:B="Assault"),QUOTIENT(ROW()-ROW($A$2),7)+1),"")</f>
        <v>FiftyWeevil348</v>
      </c>
      <c r="B595" s="42" t="str">
        <f>_xlfn.XLOOKUP(A595,Class_Players!$A:$A,Class_Players!$B:$B,"")</f>
        <v>Assault</v>
      </c>
      <c r="C595" s="48" t="str" cm="1">
        <f t="array" ref="C595">INDEX(Lookups!$A$2:$A$8,MOD(ROW()-ROW($B$2),ROWS(Lookups!$A$2:$A$8))+1)</f>
        <v>Stun Grenade</v>
      </c>
      <c r="D595" s="48" t="str">
        <f>_xlfn.XLOOKUP(C595,Analysis_Gadgets!$C:$C,Analysis_Gadgets!$B:$B)</f>
        <v>Grenade</v>
      </c>
      <c r="E595" s="43">
        <v>1</v>
      </c>
      <c r="F595" s="43">
        <f>_xlfn.XLOOKUP(A595,Class_Players!A:A,Class_Players!G:G)</f>
        <v>190</v>
      </c>
      <c r="G595" s="43">
        <f t="shared" si="187"/>
        <v>5.263157894736842E-3</v>
      </c>
      <c r="H595" s="43">
        <f>_xlfn.XLOOKUP(A595,Class_Players!$A:$A,Class_Players!$F:$F,"")</f>
        <v>8898</v>
      </c>
      <c r="I595" s="44">
        <f t="shared" si="188"/>
        <v>1.1238480557428635E-4</v>
      </c>
      <c r="J595" s="43">
        <f t="shared" si="192"/>
        <v>0</v>
      </c>
      <c r="K595" s="44" cm="1">
        <f t="array" ref="K595">IF(D595="Gadget",_xlfn.IFS(I595&gt;=0.2,0.5,I595&gt;=0.1,0.35,I595&gt;=0.05,0.2,TRUE,0),IF(D595="Grenade",_xlfn.IFS(I595&gt;=0.2,1,I595&gt;=0.1,0.7,I595&gt;=0.05,0.4,TRUE,0),0))</f>
        <v>0</v>
      </c>
      <c r="L595" s="57">
        <f t="shared" si="174"/>
        <v>0</v>
      </c>
    </row>
    <row r="596" spans="1:12" x14ac:dyDescent="0.25">
      <c r="A596" s="42" t="str" cm="1">
        <f t="array" ref="A596">IFERROR(INDEX(_xlfn._xlws.FILTER(Class_Players!A:A,Class_Players!B:B="Assault"),QUOTIENT(ROW()-ROW($A$2),7)+1),"")</f>
        <v>FiftyWeevil348</v>
      </c>
      <c r="B596" s="42" t="str">
        <f>_xlfn.XLOOKUP(A596,Class_Players!$A:$A,Class_Players!$B:$B,"")</f>
        <v>Assault</v>
      </c>
      <c r="C596" s="48" t="str" cm="1">
        <f t="array" ref="C596">INDEX(Lookups!$A$2:$A$8,MOD(ROW()-ROW($B$2),ROWS(Lookups!$A$2:$A$8))+1)</f>
        <v>Flash Grenade</v>
      </c>
      <c r="D596" s="48" t="str">
        <f>_xlfn.XLOOKUP(C596,Analysis_Gadgets!$C:$C,Analysis_Gadgets!$B:$B)</f>
        <v>Grenade</v>
      </c>
      <c r="E596" s="43">
        <v>44</v>
      </c>
      <c r="F596" s="43">
        <f>_xlfn.XLOOKUP(A596,Class_Players!A:A,Class_Players!G:G)</f>
        <v>190</v>
      </c>
      <c r="G596" s="43">
        <f t="shared" si="187"/>
        <v>0.23157894736842105</v>
      </c>
      <c r="H596" s="43">
        <f>_xlfn.XLOOKUP(A596,Class_Players!$A:$A,Class_Players!$F:$F,"")</f>
        <v>8898</v>
      </c>
      <c r="I596" s="44">
        <f t="shared" si="188"/>
        <v>4.9449314452685994E-3</v>
      </c>
      <c r="J596" s="43">
        <f t="shared" si="192"/>
        <v>0</v>
      </c>
      <c r="K596" s="44" cm="1">
        <f t="array" ref="K596">IF(D596="Gadget",_xlfn.IFS(I596&gt;=0.2,0.5,I596&gt;=0.1,0.35,I596&gt;=0.05,0.2,TRUE,0),IF(D596="Grenade",_xlfn.IFS(I596&gt;=0.2,1,I596&gt;=0.1,0.7,I596&gt;=0.05,0.4,TRUE,0),0))</f>
        <v>0</v>
      </c>
      <c r="L596" s="57">
        <f t="shared" si="174"/>
        <v>0</v>
      </c>
    </row>
    <row r="597" spans="1:12" x14ac:dyDescent="0.25">
      <c r="A597" s="42" t="str" cm="1">
        <f t="array" ref="A597">IFERROR(INDEX(_xlfn._xlws.FILTER(Class_Players!A:A,Class_Players!B:B="Assault"),QUOTIENT(ROW()-ROW($A$2),7)+1),"")</f>
        <v>Dellguy</v>
      </c>
      <c r="B597" s="42" t="str">
        <f>_xlfn.XLOOKUP(A597,Class_Players!$A:$A,Class_Players!$B:$B,"")</f>
        <v>Assault</v>
      </c>
      <c r="C597" s="48" t="str" cm="1">
        <f t="array" ref="C597">INDEX(Lookups!$A$2:$A$8,MOD(ROW()-ROW($B$2),ROWS(Lookups!$A$2:$A$8))+1)</f>
        <v>Assault Ladder</v>
      </c>
      <c r="D597" s="48" t="str">
        <f>_xlfn.XLOOKUP(C597,Analysis_Gadgets!$C:$C,Analysis_Gadgets!$B:$B)</f>
        <v>Gadget</v>
      </c>
      <c r="E597" s="43">
        <v>105</v>
      </c>
      <c r="F597" s="43">
        <f>_xlfn.XLOOKUP(A597,Class_Players!A:A,Class_Players!G:G)</f>
        <v>131</v>
      </c>
      <c r="G597" s="43">
        <f t="shared" si="187"/>
        <v>0.80152671755725191</v>
      </c>
      <c r="H597" s="43">
        <f>_xlfn.XLOOKUP(A597,Class_Players!$A:$A,Class_Players!$F:$F,"")</f>
        <v>7682</v>
      </c>
      <c r="I597" s="44">
        <f t="shared" si="188"/>
        <v>1.3668315542827389E-2</v>
      </c>
      <c r="J597" s="43">
        <f t="shared" si="192"/>
        <v>0</v>
      </c>
      <c r="K597" s="44" cm="1">
        <f t="array" ref="K597">IF(D597="Gadget",_xlfn.IFS(I597&gt;=0.2,0.5,I597&gt;=0.1,0.35,I597&gt;=0.05,0.2,TRUE,0),IF(D597="Grenade",_xlfn.IFS(I597&gt;=0.2,1,I597&gt;=0.1,0.7,I597&gt;=0.05,0.4,TRUE,0),0))</f>
        <v>0</v>
      </c>
      <c r="L597" s="57">
        <f t="shared" ref="L597:L601" si="195">IF($K597=0,0,$K597 / SUMIFS($K:$K,$A:$A,$A597,$D:$D,"Gadget"))</f>
        <v>0</v>
      </c>
    </row>
    <row r="598" spans="1:12" x14ac:dyDescent="0.25">
      <c r="A598" s="42" t="str" cm="1">
        <f t="array" ref="A598">IFERROR(INDEX(_xlfn._xlws.FILTER(Class_Players!A:A,Class_Players!B:B="Assault"),QUOTIENT(ROW()-ROW($A$2),7)+1),"")</f>
        <v>Dellguy</v>
      </c>
      <c r="B598" s="42" t="str">
        <f>_xlfn.XLOOKUP(A598,Class_Players!$A:$A,Class_Players!$B:$B,"")</f>
        <v>Assault</v>
      </c>
      <c r="C598" s="48" t="str" cm="1">
        <f t="array" ref="C598">INDEX(Lookups!$A$2:$A$8,MOD(ROW()-ROW($B$2),ROWS(Lookups!$A$2:$A$8))+1)</f>
        <v>X95 BRE (Breaching Projectile Launcher)</v>
      </c>
      <c r="D598" s="48" t="str">
        <f>_xlfn.XLOOKUP(C598,Analysis_Gadgets!$C:$C,Analysis_Gadgets!$B:$B)</f>
        <v>Gadget</v>
      </c>
      <c r="E598" s="43">
        <v>0</v>
      </c>
      <c r="F598" s="43">
        <f>_xlfn.XLOOKUP(A598,Class_Players!A:A,Class_Players!G:G)</f>
        <v>131</v>
      </c>
      <c r="G598" s="43">
        <f t="shared" si="187"/>
        <v>0</v>
      </c>
      <c r="H598" s="43">
        <f>_xlfn.XLOOKUP(A598,Class_Players!$A:$A,Class_Players!$F:$F,"")</f>
        <v>7682</v>
      </c>
      <c r="I598" s="44">
        <f t="shared" si="188"/>
        <v>0</v>
      </c>
      <c r="J598" s="43">
        <f t="shared" si="192"/>
        <v>0</v>
      </c>
      <c r="K598" s="44" cm="1">
        <f t="array" ref="K598">IF(D598="Gadget",_xlfn.IFS(I598&gt;=0.2,0.5,I598&gt;=0.1,0.35,I598&gt;=0.05,0.2,TRUE,0),IF(D598="Grenade",_xlfn.IFS(I598&gt;=0.2,1,I598&gt;=0.1,0.7,I598&gt;=0.05,0.4,TRUE,0),0))</f>
        <v>0</v>
      </c>
      <c r="L598" s="57">
        <f t="shared" si="195"/>
        <v>0</v>
      </c>
    </row>
    <row r="599" spans="1:12" x14ac:dyDescent="0.25">
      <c r="A599" s="42" t="str" cm="1">
        <f t="array" ref="A599">IFERROR(INDEX(_xlfn._xlws.FILTER(Class_Players!A:A,Class_Players!B:B="Assault"),QUOTIENT(ROW()-ROW($A$2),7)+1),"")</f>
        <v>Dellguy</v>
      </c>
      <c r="B599" s="42" t="str">
        <f>_xlfn.XLOOKUP(A599,Class_Players!$A:$A,Class_Players!$B:$B,"")</f>
        <v>Assault</v>
      </c>
      <c r="C599" s="48" t="str" cm="1">
        <f t="array" ref="C599">INDEX(Lookups!$A$2:$A$8,MOD(ROW()-ROW($B$2),ROWS(Lookups!$A$2:$A$8))+1)</f>
        <v>M320A1 HE (Grenade Launcher)</v>
      </c>
      <c r="D599" s="48" t="str">
        <f>_xlfn.XLOOKUP(C599,Analysis_Gadgets!$C:$C,Analysis_Gadgets!$B:$B)</f>
        <v>Gadget</v>
      </c>
      <c r="E599" s="43">
        <v>316</v>
      </c>
      <c r="F599" s="43">
        <f>_xlfn.XLOOKUP(A599,Class_Players!A:A,Class_Players!G:G)</f>
        <v>131</v>
      </c>
      <c r="G599" s="43">
        <f t="shared" si="187"/>
        <v>2.4122137404580153</v>
      </c>
      <c r="H599" s="43">
        <f>_xlfn.XLOOKUP(A599,Class_Players!$A:$A,Class_Players!$F:$F,"")</f>
        <v>7682</v>
      </c>
      <c r="I599" s="44">
        <f t="shared" si="188"/>
        <v>4.1135121062223376E-2</v>
      </c>
      <c r="J599" s="43">
        <f t="shared" si="192"/>
        <v>0</v>
      </c>
      <c r="K599" s="44" cm="1">
        <f t="array" ref="K599">IF(D599="Gadget",_xlfn.IFS(I599&gt;=0.2,0.5,I599&gt;=0.1,0.35,I599&gt;=0.05,0.2,TRUE,0),IF(D599="Grenade",_xlfn.IFS(I599&gt;=0.2,1,I599&gt;=0.1,0.7,I599&gt;=0.05,0.4,TRUE,0),0))</f>
        <v>0</v>
      </c>
      <c r="L599" s="57">
        <f t="shared" si="195"/>
        <v>0</v>
      </c>
    </row>
    <row r="600" spans="1:12" x14ac:dyDescent="0.25">
      <c r="A600" s="42" t="str" cm="1">
        <f t="array" ref="A600">IFERROR(INDEX(_xlfn._xlws.FILTER(Class_Players!A:A,Class_Players!B:B="Assault"),QUOTIENT(ROW()-ROW($A$2),7)+1),"")</f>
        <v>Dellguy</v>
      </c>
      <c r="B600" s="42" t="str">
        <f>_xlfn.XLOOKUP(A600,Class_Players!$A:$A,Class_Players!$B:$B,"")</f>
        <v>Assault</v>
      </c>
      <c r="C600" s="48" t="str" cm="1">
        <f t="array" ref="C600">INDEX(Lookups!$A$2:$A$8,MOD(ROW()-ROW($B$2),ROWS(Lookups!$A$2:$A$8))+1)</f>
        <v>M320A1 THRM    (Incendiary Grenade Launcher)</v>
      </c>
      <c r="D600" s="48" t="str">
        <f>_xlfn.XLOOKUP(C600,Analysis_Gadgets!$C:$C,Analysis_Gadgets!$B:$B)</f>
        <v>Gadget</v>
      </c>
      <c r="E600" s="43">
        <v>22</v>
      </c>
      <c r="F600" s="43">
        <f>_xlfn.XLOOKUP(A600,Class_Players!A:A,Class_Players!G:G)</f>
        <v>131</v>
      </c>
      <c r="G600" s="43">
        <f t="shared" si="187"/>
        <v>0.16793893129770993</v>
      </c>
      <c r="H600" s="43">
        <f>_xlfn.XLOOKUP(A600,Class_Players!$A:$A,Class_Players!$F:$F,"")</f>
        <v>7682</v>
      </c>
      <c r="I600" s="44">
        <f t="shared" si="188"/>
        <v>2.863837542306691E-3</v>
      </c>
      <c r="J600" s="43">
        <f t="shared" si="192"/>
        <v>0</v>
      </c>
      <c r="K600" s="44" cm="1">
        <f t="array" ref="K600">IF(D600="Gadget",_xlfn.IFS(I600&gt;=0.2,0.5,I600&gt;=0.1,0.35,I600&gt;=0.05,0.2,TRUE,0),IF(D600="Grenade",_xlfn.IFS(I600&gt;=0.2,1,I600&gt;=0.1,0.7,I600&gt;=0.05,0.4,TRUE,0),0))</f>
        <v>0</v>
      </c>
      <c r="L600" s="57">
        <f t="shared" si="195"/>
        <v>0</v>
      </c>
    </row>
    <row r="601" spans="1:12" x14ac:dyDescent="0.25">
      <c r="A601" s="42" t="str" cm="1">
        <f t="array" ref="A601">IFERROR(INDEX(_xlfn._xlws.FILTER(Class_Players!A:A,Class_Players!B:B="Assault"),QUOTIENT(ROW()-ROW($A$2),7)+1),"")</f>
        <v>Dellguy</v>
      </c>
      <c r="B601" s="42" t="str">
        <f>_xlfn.XLOOKUP(A601,Class_Players!$A:$A,Class_Players!$B:$B,"")</f>
        <v>Assault</v>
      </c>
      <c r="C601" s="48" t="str" cm="1">
        <f t="array" ref="C601">INDEX(Lookups!$A$2:$A$8,MOD(ROW()-ROW($B$2),ROWS(Lookups!$A$2:$A$8))+1)</f>
        <v>QLINK (Deploy Beacon)</v>
      </c>
      <c r="D601" s="48" t="str">
        <f>_xlfn.XLOOKUP(C601,Analysis_Gadgets!$C:$C,Analysis_Gadgets!$B:$B)</f>
        <v>Gadget</v>
      </c>
      <c r="E601" s="43">
        <v>2453</v>
      </c>
      <c r="F601" s="43">
        <f>_xlfn.XLOOKUP(A601,Class_Players!A:A,Class_Players!G:G)</f>
        <v>131</v>
      </c>
      <c r="G601" s="43">
        <f t="shared" si="187"/>
        <v>18.725190839694658</v>
      </c>
      <c r="H601" s="43">
        <f>_xlfn.XLOOKUP(A601,Class_Players!$A:$A,Class_Players!$F:$F,"")</f>
        <v>7682</v>
      </c>
      <c r="I601" s="44">
        <f t="shared" si="188"/>
        <v>0.31931788596719607</v>
      </c>
      <c r="J601" s="43">
        <f t="shared" si="192"/>
        <v>1</v>
      </c>
      <c r="K601" s="44" cm="1">
        <f t="array" ref="K601">IF(D601="Gadget",_xlfn.IFS(I601&gt;=0.2,0.5,I601&gt;=0.1,0.35,I601&gt;=0.05,0.2,TRUE,0),IF(D601="Grenade",_xlfn.IFS(I601&gt;=0.2,1,I601&gt;=0.1,0.7,I601&gt;=0.05,0.4,TRUE,0),0))</f>
        <v>0.5</v>
      </c>
      <c r="L601" s="57">
        <f t="shared" si="195"/>
        <v>1</v>
      </c>
    </row>
    <row r="602" spans="1:12" x14ac:dyDescent="0.25">
      <c r="A602" s="42" t="str" cm="1">
        <f t="array" ref="A602">IFERROR(INDEX(_xlfn._xlws.FILTER(Class_Players!A:A,Class_Players!B:B="Assault"),QUOTIENT(ROW()-ROW($A$2),7)+1),"")</f>
        <v>Dellguy</v>
      </c>
      <c r="B602" s="42" t="str">
        <f>_xlfn.XLOOKUP(A602,Class_Players!$A:$A,Class_Players!$B:$B,"")</f>
        <v>Assault</v>
      </c>
      <c r="C602" s="48" t="str" cm="1">
        <f t="array" ref="C602">INDEX(Lookups!$A$2:$A$8,MOD(ROW()-ROW($B$2),ROWS(Lookups!$A$2:$A$8))+1)</f>
        <v>Stun Grenade</v>
      </c>
      <c r="D602" s="48" t="str">
        <f>_xlfn.XLOOKUP(C602,Analysis_Gadgets!$C:$C,Analysis_Gadgets!$B:$B)</f>
        <v>Grenade</v>
      </c>
      <c r="E602" s="43">
        <v>53</v>
      </c>
      <c r="F602" s="43">
        <f>_xlfn.XLOOKUP(A602,Class_Players!A:A,Class_Players!G:G)</f>
        <v>131</v>
      </c>
      <c r="G602" s="43">
        <f t="shared" si="187"/>
        <v>0.40458015267175573</v>
      </c>
      <c r="H602" s="43">
        <f>_xlfn.XLOOKUP(A602,Class_Players!$A:$A,Class_Players!$F:$F,"")</f>
        <v>7682</v>
      </c>
      <c r="I602" s="44">
        <f t="shared" si="188"/>
        <v>6.8992449882843013E-3</v>
      </c>
      <c r="J602" s="43">
        <f t="shared" si="192"/>
        <v>0</v>
      </c>
      <c r="K602" s="44" cm="1">
        <f t="array" ref="K602">IF(D602="Gadget",_xlfn.IFS(I602&gt;=0.2,0.5,I602&gt;=0.1,0.35,I602&gt;=0.05,0.2,TRUE,0),IF(D602="Grenade",_xlfn.IFS(I602&gt;=0.2,1,I602&gt;=0.1,0.7,I602&gt;=0.05,0.4,TRUE,0),0))</f>
        <v>0</v>
      </c>
      <c r="L602" s="57">
        <f t="shared" si="174"/>
        <v>0</v>
      </c>
    </row>
    <row r="603" spans="1:12" x14ac:dyDescent="0.25">
      <c r="A603" s="42" t="str" cm="1">
        <f t="array" ref="A603">IFERROR(INDEX(_xlfn._xlws.FILTER(Class_Players!A:A,Class_Players!B:B="Assault"),QUOTIENT(ROW()-ROW($A$2),7)+1),"")</f>
        <v>Dellguy</v>
      </c>
      <c r="B603" s="42" t="str">
        <f>_xlfn.XLOOKUP(A603,Class_Players!$A:$A,Class_Players!$B:$B,"")</f>
        <v>Assault</v>
      </c>
      <c r="C603" s="48" t="str" cm="1">
        <f t="array" ref="C603">INDEX(Lookups!$A$2:$A$8,MOD(ROW()-ROW($B$2),ROWS(Lookups!$A$2:$A$8))+1)</f>
        <v>Flash Grenade</v>
      </c>
      <c r="D603" s="48" t="str">
        <f>_xlfn.XLOOKUP(C603,Analysis_Gadgets!$C:$C,Analysis_Gadgets!$B:$B)</f>
        <v>Grenade</v>
      </c>
      <c r="E603" s="43">
        <v>8</v>
      </c>
      <c r="F603" s="43">
        <f>_xlfn.XLOOKUP(A603,Class_Players!A:A,Class_Players!G:G)</f>
        <v>131</v>
      </c>
      <c r="G603" s="43">
        <f t="shared" si="187"/>
        <v>6.1068702290076333E-2</v>
      </c>
      <c r="H603" s="43">
        <f>_xlfn.XLOOKUP(A603,Class_Players!$A:$A,Class_Players!$F:$F,"")</f>
        <v>7682</v>
      </c>
      <c r="I603" s="44">
        <f t="shared" si="188"/>
        <v>1.0413954699297059E-3</v>
      </c>
      <c r="J603" s="43">
        <f t="shared" si="192"/>
        <v>0</v>
      </c>
      <c r="K603" s="44" cm="1">
        <f t="array" ref="K603">IF(D603="Gadget",_xlfn.IFS(I603&gt;=0.2,0.5,I603&gt;=0.1,0.35,I603&gt;=0.05,0.2,TRUE,0),IF(D603="Grenade",_xlfn.IFS(I603&gt;=0.2,1,I603&gt;=0.1,0.7,I603&gt;=0.05,0.4,TRUE,0),0))</f>
        <v>0</v>
      </c>
      <c r="L603" s="57">
        <f t="shared" si="174"/>
        <v>0</v>
      </c>
    </row>
    <row r="604" spans="1:12" x14ac:dyDescent="0.25">
      <c r="A604" s="42" t="str" cm="1">
        <f t="array" ref="A604">IFERROR(INDEX(_xlfn._xlws.FILTER(Class_Players!A:A,Class_Players!B:B="Assault"),QUOTIENT(ROW()-ROW($A$2),7)+1),"")</f>
        <v>파워오버웰밍</v>
      </c>
      <c r="B604" s="42" t="str">
        <f>_xlfn.XLOOKUP(A604,Class_Players!$A:$A,Class_Players!$B:$B,"")</f>
        <v>Assault</v>
      </c>
      <c r="C604" s="48" t="str" cm="1">
        <f t="array" ref="C604">INDEX(Lookups!$A$2:$A$8,MOD(ROW()-ROW($B$2),ROWS(Lookups!$A$2:$A$8))+1)</f>
        <v>Assault Ladder</v>
      </c>
      <c r="D604" s="48" t="str">
        <f>_xlfn.XLOOKUP(C604,Analysis_Gadgets!$C:$C,Analysis_Gadgets!$B:$B)</f>
        <v>Gadget</v>
      </c>
      <c r="E604" s="43">
        <v>268</v>
      </c>
      <c r="F604" s="43">
        <f>_xlfn.XLOOKUP(A604,Class_Players!A:A,Class_Players!G:G)</f>
        <v>117</v>
      </c>
      <c r="G604" s="43">
        <f t="shared" ref="G604:G610" si="196">IF(F604=0,"",E604/F604)</f>
        <v>2.2905982905982905</v>
      </c>
      <c r="H604" s="43">
        <f>_xlfn.XLOOKUP(A604,Class_Players!$A:$A,Class_Players!$F:$F,"")</f>
        <v>8012</v>
      </c>
      <c r="I604" s="44">
        <f t="shared" ref="I604:I610" si="197">IF(H604=0,"",E604/H604)</f>
        <v>3.3449825262106839E-2</v>
      </c>
      <c r="J604" s="43">
        <f t="shared" si="192"/>
        <v>0</v>
      </c>
      <c r="K604" s="44" cm="1">
        <f t="array" ref="K604">IF(D604="Gadget",_xlfn.IFS(I604&gt;=0.2,0.5,I604&gt;=0.1,0.35,I604&gt;=0.05,0.2,TRUE,0),IF(D604="Grenade",_xlfn.IFS(I604&gt;=0.2,1,I604&gt;=0.1,0.7,I604&gt;=0.05,0.4,TRUE,0),0))</f>
        <v>0</v>
      </c>
      <c r="L604" s="57">
        <f t="shared" si="194"/>
        <v>0</v>
      </c>
    </row>
    <row r="605" spans="1:12" x14ac:dyDescent="0.25">
      <c r="A605" s="42" t="str" cm="1">
        <f t="array" ref="A605">IFERROR(INDEX(_xlfn._xlws.FILTER(Class_Players!A:A,Class_Players!B:B="Assault"),QUOTIENT(ROW()-ROW($A$2),7)+1),"")</f>
        <v>파워오버웰밍</v>
      </c>
      <c r="B605" s="42" t="str">
        <f>_xlfn.XLOOKUP(A605,Class_Players!$A:$A,Class_Players!$B:$B,"")</f>
        <v>Assault</v>
      </c>
      <c r="C605" s="48" t="str" cm="1">
        <f t="array" ref="C605">INDEX(Lookups!$A$2:$A$8,MOD(ROW()-ROW($B$2),ROWS(Lookups!$A$2:$A$8))+1)</f>
        <v>X95 BRE (Breaching Projectile Launcher)</v>
      </c>
      <c r="D605" s="48" t="str">
        <f>_xlfn.XLOOKUP(C605,Analysis_Gadgets!$C:$C,Analysis_Gadgets!$B:$B)</f>
        <v>Gadget</v>
      </c>
      <c r="E605" s="43">
        <v>0</v>
      </c>
      <c r="F605" s="43">
        <f>_xlfn.XLOOKUP(A605,Class_Players!A:A,Class_Players!G:G)</f>
        <v>117</v>
      </c>
      <c r="G605" s="43">
        <f t="shared" si="196"/>
        <v>0</v>
      </c>
      <c r="H605" s="43">
        <f>_xlfn.XLOOKUP(A605,Class_Players!$A:$A,Class_Players!$F:$F,"")</f>
        <v>8012</v>
      </c>
      <c r="I605" s="44">
        <f t="shared" si="197"/>
        <v>0</v>
      </c>
      <c r="J605" s="43">
        <f t="shared" si="192"/>
        <v>0</v>
      </c>
      <c r="K605" s="44" cm="1">
        <f t="array" ref="K605">IF(D605="Gadget",_xlfn.IFS(I605&gt;=0.2,0.5,I605&gt;=0.1,0.35,I605&gt;=0.05,0.2,TRUE,0),IF(D605="Grenade",_xlfn.IFS(I605&gt;=0.2,1,I605&gt;=0.1,0.7,I605&gt;=0.05,0.4,TRUE,0),0))</f>
        <v>0</v>
      </c>
      <c r="L605" s="57">
        <f t="shared" si="194"/>
        <v>0</v>
      </c>
    </row>
    <row r="606" spans="1:12" x14ac:dyDescent="0.25">
      <c r="A606" s="42" t="str" cm="1">
        <f t="array" ref="A606">IFERROR(INDEX(_xlfn._xlws.FILTER(Class_Players!A:A,Class_Players!B:B="Assault"),QUOTIENT(ROW()-ROW($A$2),7)+1),"")</f>
        <v>파워오버웰밍</v>
      </c>
      <c r="B606" s="42" t="str">
        <f>_xlfn.XLOOKUP(A606,Class_Players!$A:$A,Class_Players!$B:$B,"")</f>
        <v>Assault</v>
      </c>
      <c r="C606" s="48" t="str" cm="1">
        <f t="array" ref="C606">INDEX(Lookups!$A$2:$A$8,MOD(ROW()-ROW($B$2),ROWS(Lookups!$A$2:$A$8))+1)</f>
        <v>M320A1 HE (Grenade Launcher)</v>
      </c>
      <c r="D606" s="48" t="str">
        <f>_xlfn.XLOOKUP(C606,Analysis_Gadgets!$C:$C,Analysis_Gadgets!$B:$B)</f>
        <v>Gadget</v>
      </c>
      <c r="E606" s="43">
        <v>1243</v>
      </c>
      <c r="F606" s="43">
        <f>_xlfn.XLOOKUP(A606,Class_Players!A:A,Class_Players!G:G)</f>
        <v>117</v>
      </c>
      <c r="G606" s="43">
        <f t="shared" si="196"/>
        <v>10.623931623931623</v>
      </c>
      <c r="H606" s="43">
        <f>_xlfn.XLOOKUP(A606,Class_Players!$A:$A,Class_Players!$F:$F,"")</f>
        <v>8012</v>
      </c>
      <c r="I606" s="44">
        <f t="shared" si="197"/>
        <v>0.15514228657014478</v>
      </c>
      <c r="J606" s="43">
        <f t="shared" si="192"/>
        <v>1</v>
      </c>
      <c r="K606" s="44" cm="1">
        <f t="array" ref="K606">IF(D606="Gadget",_xlfn.IFS(I606&gt;=0.2,0.5,I606&gt;=0.1,0.35,I606&gt;=0.05,0.2,TRUE,0),IF(D606="Grenade",_xlfn.IFS(I606&gt;=0.2,1,I606&gt;=0.1,0.7,I606&gt;=0.05,0.4,TRUE,0),0))</f>
        <v>0.35</v>
      </c>
      <c r="L606" s="57">
        <f t="shared" si="194"/>
        <v>0.41176470588235292</v>
      </c>
    </row>
    <row r="607" spans="1:12" x14ac:dyDescent="0.25">
      <c r="A607" s="42" t="str" cm="1">
        <f t="array" ref="A607">IFERROR(INDEX(_xlfn._xlws.FILTER(Class_Players!A:A,Class_Players!B:B="Assault"),QUOTIENT(ROW()-ROW($A$2),7)+1),"")</f>
        <v>파워오버웰밍</v>
      </c>
      <c r="B607" s="42" t="str">
        <f>_xlfn.XLOOKUP(A607,Class_Players!$A:$A,Class_Players!$B:$B,"")</f>
        <v>Assault</v>
      </c>
      <c r="C607" s="48" t="str" cm="1">
        <f t="array" ref="C607">INDEX(Lookups!$A$2:$A$8,MOD(ROW()-ROW($B$2),ROWS(Lookups!$A$2:$A$8))+1)</f>
        <v>M320A1 THRM    (Incendiary Grenade Launcher)</v>
      </c>
      <c r="D607" s="48" t="str">
        <f>_xlfn.XLOOKUP(C607,Analysis_Gadgets!$C:$C,Analysis_Gadgets!$B:$B)</f>
        <v>Gadget</v>
      </c>
      <c r="E607" s="43">
        <v>14</v>
      </c>
      <c r="F607" s="43">
        <f>_xlfn.XLOOKUP(A607,Class_Players!A:A,Class_Players!G:G)</f>
        <v>117</v>
      </c>
      <c r="G607" s="43">
        <f t="shared" si="196"/>
        <v>0.11965811965811966</v>
      </c>
      <c r="H607" s="43">
        <f>_xlfn.XLOOKUP(A607,Class_Players!$A:$A,Class_Players!$F:$F,"")</f>
        <v>8012</v>
      </c>
      <c r="I607" s="44">
        <f t="shared" si="197"/>
        <v>1.747378931602596E-3</v>
      </c>
      <c r="J607" s="43">
        <f t="shared" si="192"/>
        <v>0</v>
      </c>
      <c r="K607" s="44" cm="1">
        <f t="array" ref="K607">IF(D607="Gadget",_xlfn.IFS(I607&gt;=0.2,0.5,I607&gt;=0.1,0.35,I607&gt;=0.05,0.2,TRUE,0),IF(D607="Grenade",_xlfn.IFS(I607&gt;=0.2,1,I607&gt;=0.1,0.7,I607&gt;=0.05,0.4,TRUE,0),0))</f>
        <v>0</v>
      </c>
      <c r="L607" s="57">
        <f t="shared" si="194"/>
        <v>0</v>
      </c>
    </row>
    <row r="608" spans="1:12" x14ac:dyDescent="0.25">
      <c r="A608" s="42" t="str" cm="1">
        <f t="array" ref="A608">IFERROR(INDEX(_xlfn._xlws.FILTER(Class_Players!A:A,Class_Players!B:B="Assault"),QUOTIENT(ROW()-ROW($A$2),7)+1),"")</f>
        <v>파워오버웰밍</v>
      </c>
      <c r="B608" s="42" t="str">
        <f>_xlfn.XLOOKUP(A608,Class_Players!$A:$A,Class_Players!$B:$B,"")</f>
        <v>Assault</v>
      </c>
      <c r="C608" s="48" t="str" cm="1">
        <f t="array" ref="C608">INDEX(Lookups!$A$2:$A$8,MOD(ROW()-ROW($B$2),ROWS(Lookups!$A$2:$A$8))+1)</f>
        <v>QLINK (Deploy Beacon)</v>
      </c>
      <c r="D608" s="48" t="str">
        <f>_xlfn.XLOOKUP(C608,Analysis_Gadgets!$C:$C,Analysis_Gadgets!$B:$B)</f>
        <v>Gadget</v>
      </c>
      <c r="E608" s="43">
        <v>2209</v>
      </c>
      <c r="F608" s="43">
        <f>_xlfn.XLOOKUP(A608,Class_Players!A:A,Class_Players!G:G)</f>
        <v>117</v>
      </c>
      <c r="G608" s="43">
        <f t="shared" si="196"/>
        <v>18.880341880341881</v>
      </c>
      <c r="H608" s="43">
        <f>_xlfn.XLOOKUP(A608,Class_Players!$A:$A,Class_Players!$F:$F,"")</f>
        <v>8012</v>
      </c>
      <c r="I608" s="44">
        <f t="shared" si="197"/>
        <v>0.27571143285072391</v>
      </c>
      <c r="J608" s="43">
        <f t="shared" si="192"/>
        <v>1</v>
      </c>
      <c r="K608" s="44" cm="1">
        <f t="array" ref="K608">IF(D608="Gadget",_xlfn.IFS(I608&gt;=0.2,0.5,I608&gt;=0.1,0.35,I608&gt;=0.05,0.2,TRUE,0),IF(D608="Grenade",_xlfn.IFS(I608&gt;=0.2,1,I608&gt;=0.1,0.7,I608&gt;=0.05,0.4,TRUE,0),0))</f>
        <v>0.5</v>
      </c>
      <c r="L608" s="57">
        <f t="shared" si="194"/>
        <v>0.58823529411764708</v>
      </c>
    </row>
    <row r="609" spans="1:12" x14ac:dyDescent="0.25">
      <c r="A609" s="42" t="str" cm="1">
        <f t="array" ref="A609">IFERROR(INDEX(_xlfn._xlws.FILTER(Class_Players!A:A,Class_Players!B:B="Assault"),QUOTIENT(ROW()-ROW($A$2),7)+1),"")</f>
        <v>파워오버웰밍</v>
      </c>
      <c r="B609" s="42" t="str">
        <f>_xlfn.XLOOKUP(A609,Class_Players!$A:$A,Class_Players!$B:$B,"")</f>
        <v>Assault</v>
      </c>
      <c r="C609" s="48" t="str" cm="1">
        <f t="array" ref="C609">INDEX(Lookups!$A$2:$A$8,MOD(ROW()-ROW($B$2),ROWS(Lookups!$A$2:$A$8))+1)</f>
        <v>Stun Grenade</v>
      </c>
      <c r="D609" s="48" t="str">
        <f>_xlfn.XLOOKUP(C609,Analysis_Gadgets!$C:$C,Analysis_Gadgets!$B:$B)</f>
        <v>Grenade</v>
      </c>
      <c r="E609" s="43">
        <v>26</v>
      </c>
      <c r="F609" s="43">
        <f>_xlfn.XLOOKUP(A609,Class_Players!A:A,Class_Players!G:G)</f>
        <v>117</v>
      </c>
      <c r="G609" s="43">
        <f t="shared" si="196"/>
        <v>0.22222222222222221</v>
      </c>
      <c r="H609" s="43">
        <f>_xlfn.XLOOKUP(A609,Class_Players!$A:$A,Class_Players!$F:$F,"")</f>
        <v>8012</v>
      </c>
      <c r="I609" s="44">
        <f t="shared" si="197"/>
        <v>3.2451323015476783E-3</v>
      </c>
      <c r="J609" s="43">
        <f t="shared" si="192"/>
        <v>0</v>
      </c>
      <c r="K609" s="44" cm="1">
        <f t="array" ref="K609">IF(D609="Gadget",_xlfn.IFS(I609&gt;=0.2,0.5,I609&gt;=0.1,0.35,I609&gt;=0.05,0.2,TRUE,0),IF(D609="Grenade",_xlfn.IFS(I609&gt;=0.2,1,I609&gt;=0.1,0.7,I609&gt;=0.05,0.4,TRUE,0),0))</f>
        <v>0</v>
      </c>
      <c r="L609" s="57">
        <f t="shared" si="174"/>
        <v>0</v>
      </c>
    </row>
    <row r="610" spans="1:12" x14ac:dyDescent="0.25">
      <c r="A610" s="42" t="str" cm="1">
        <f t="array" ref="A610">IFERROR(INDEX(_xlfn._xlws.FILTER(Class_Players!A:A,Class_Players!B:B="Assault"),QUOTIENT(ROW()-ROW($A$2),7)+1),"")</f>
        <v>파워오버웰밍</v>
      </c>
      <c r="B610" s="42" t="str">
        <f>_xlfn.XLOOKUP(A610,Class_Players!$A:$A,Class_Players!$B:$B,"")</f>
        <v>Assault</v>
      </c>
      <c r="C610" s="48" t="str" cm="1">
        <f t="array" ref="C610">INDEX(Lookups!$A$2:$A$8,MOD(ROW()-ROW($B$2),ROWS(Lookups!$A$2:$A$8))+1)</f>
        <v>Flash Grenade</v>
      </c>
      <c r="D610" s="48" t="str">
        <f>_xlfn.XLOOKUP(C610,Analysis_Gadgets!$C:$C,Analysis_Gadgets!$B:$B)</f>
        <v>Grenade</v>
      </c>
      <c r="E610" s="43">
        <v>16</v>
      </c>
      <c r="F610" s="43">
        <f>_xlfn.XLOOKUP(A610,Class_Players!A:A,Class_Players!G:G)</f>
        <v>117</v>
      </c>
      <c r="G610" s="43">
        <f t="shared" si="196"/>
        <v>0.13675213675213677</v>
      </c>
      <c r="H610" s="43">
        <f>_xlfn.XLOOKUP(A610,Class_Players!$A:$A,Class_Players!$F:$F,"")</f>
        <v>8012</v>
      </c>
      <c r="I610" s="44">
        <f t="shared" si="197"/>
        <v>1.99700449326011E-3</v>
      </c>
      <c r="J610" s="43">
        <f t="shared" si="192"/>
        <v>0</v>
      </c>
      <c r="K610" s="44" cm="1">
        <f t="array" ref="K610">IF(D610="Gadget",_xlfn.IFS(I610&gt;=0.2,0.5,I610&gt;=0.1,0.35,I610&gt;=0.05,0.2,TRUE,0),IF(D610="Grenade",_xlfn.IFS(I610&gt;=0.2,1,I610&gt;=0.1,0.7,I610&gt;=0.05,0.4,TRUE,0),0))</f>
        <v>0</v>
      </c>
      <c r="L610" s="57">
        <f t="shared" si="174"/>
        <v>0</v>
      </c>
    </row>
    <row r="611" spans="1:12" x14ac:dyDescent="0.25">
      <c r="A611" s="42" t="str" cm="1">
        <f t="array" ref="A611">IFERROR(INDEX(_xlfn._xlws.FILTER(Class_Players!A:A,Class_Players!B:B="Assault"),QUOTIENT(ROW()-ROW($A$2),7)+1),"")</f>
        <v>origamii</v>
      </c>
      <c r="B611" s="42" t="str">
        <f>_xlfn.XLOOKUP(A611,Class_Players!$A:$A,Class_Players!$B:$B,"")</f>
        <v>Assault</v>
      </c>
      <c r="C611" s="48" t="str" cm="1">
        <f t="array" ref="C611">INDEX(Lookups!$A$2:$A$8,MOD(ROW()-ROW($B$2),ROWS(Lookups!$A$2:$A$8))+1)</f>
        <v>Assault Ladder</v>
      </c>
      <c r="D611" s="48" t="str">
        <f>_xlfn.XLOOKUP(C611,Analysis_Gadgets!$C:$C,Analysis_Gadgets!$B:$B)</f>
        <v>Gadget</v>
      </c>
      <c r="E611" s="43">
        <v>0</v>
      </c>
      <c r="F611" s="43">
        <f>_xlfn.XLOOKUP(A611,Class_Players!A:A,Class_Players!G:G)</f>
        <v>98</v>
      </c>
      <c r="G611" s="43">
        <f t="shared" ref="G611:G624" si="198">IF(F611=0,"",E611/F611)</f>
        <v>0</v>
      </c>
      <c r="H611" s="43">
        <f>_xlfn.XLOOKUP(A611,Class_Players!$A:$A,Class_Players!$F:$F,"")</f>
        <v>9643</v>
      </c>
      <c r="I611" s="44">
        <f t="shared" ref="I611:I624" si="199">IF(H611=0,"",E611/H611)</f>
        <v>0</v>
      </c>
      <c r="J611" s="43">
        <f t="shared" si="192"/>
        <v>0</v>
      </c>
      <c r="K611" s="44" cm="1">
        <f t="array" ref="K611">IF(D611="Gadget",_xlfn.IFS(I611&gt;=0.2,0.5,I611&gt;=0.1,0.35,I611&gt;=0.05,0.2,TRUE,0),IF(D611="Grenade",_xlfn.IFS(I611&gt;=0.2,1,I611&gt;=0.1,0.7,I611&gt;=0.05,0.4,TRUE,0),0))</f>
        <v>0</v>
      </c>
      <c r="L611" s="57">
        <f t="shared" ref="L611:L615" si="200">IF($K611=0,0,$K611 / SUMIFS($K:$K,$A:$A,$A611,$D:$D,"Gadget"))</f>
        <v>0</v>
      </c>
    </row>
    <row r="612" spans="1:12" x14ac:dyDescent="0.25">
      <c r="A612" s="42" t="str" cm="1">
        <f t="array" ref="A612">IFERROR(INDEX(_xlfn._xlws.FILTER(Class_Players!A:A,Class_Players!B:B="Assault"),QUOTIENT(ROW()-ROW($A$2),7)+1),"")</f>
        <v>origamii</v>
      </c>
      <c r="B612" s="42" t="str">
        <f>_xlfn.XLOOKUP(A612,Class_Players!$A:$A,Class_Players!$B:$B,"")</f>
        <v>Assault</v>
      </c>
      <c r="C612" s="48" t="str" cm="1">
        <f t="array" ref="C612">INDEX(Lookups!$A$2:$A$8,MOD(ROW()-ROW($B$2),ROWS(Lookups!$A$2:$A$8))+1)</f>
        <v>X95 BRE (Breaching Projectile Launcher)</v>
      </c>
      <c r="D612" s="48" t="str">
        <f>_xlfn.XLOOKUP(C612,Analysis_Gadgets!$C:$C,Analysis_Gadgets!$B:$B)</f>
        <v>Gadget</v>
      </c>
      <c r="E612" s="43">
        <v>41</v>
      </c>
      <c r="F612" s="43">
        <f>_xlfn.XLOOKUP(A612,Class_Players!A:A,Class_Players!G:G)</f>
        <v>98</v>
      </c>
      <c r="G612" s="43">
        <f t="shared" si="198"/>
        <v>0.41836734693877553</v>
      </c>
      <c r="H612" s="43">
        <f>_xlfn.XLOOKUP(A612,Class_Players!$A:$A,Class_Players!$F:$F,"")</f>
        <v>9643</v>
      </c>
      <c r="I612" s="44">
        <f t="shared" si="199"/>
        <v>4.2517888623872235E-3</v>
      </c>
      <c r="J612" s="43">
        <f t="shared" si="192"/>
        <v>0</v>
      </c>
      <c r="K612" s="44" cm="1">
        <f t="array" ref="K612">IF(D612="Gadget",_xlfn.IFS(I612&gt;=0.2,0.5,I612&gt;=0.1,0.35,I612&gt;=0.05,0.2,TRUE,0),IF(D612="Grenade",_xlfn.IFS(I612&gt;=0.2,1,I612&gt;=0.1,0.7,I612&gt;=0.05,0.4,TRUE,0),0))</f>
        <v>0</v>
      </c>
      <c r="L612" s="57">
        <f t="shared" si="200"/>
        <v>0</v>
      </c>
    </row>
    <row r="613" spans="1:12" x14ac:dyDescent="0.25">
      <c r="A613" s="42" t="str" cm="1">
        <f t="array" ref="A613">IFERROR(INDEX(_xlfn._xlws.FILTER(Class_Players!A:A,Class_Players!B:B="Assault"),QUOTIENT(ROW()-ROW($A$2),7)+1),"")</f>
        <v>origamii</v>
      </c>
      <c r="B613" s="42" t="str">
        <f>_xlfn.XLOOKUP(A613,Class_Players!$A:$A,Class_Players!$B:$B,"")</f>
        <v>Assault</v>
      </c>
      <c r="C613" s="48" t="str" cm="1">
        <f t="array" ref="C613">INDEX(Lookups!$A$2:$A$8,MOD(ROW()-ROW($B$2),ROWS(Lookups!$A$2:$A$8))+1)</f>
        <v>M320A1 HE (Grenade Launcher)</v>
      </c>
      <c r="D613" s="48" t="str">
        <f>_xlfn.XLOOKUP(C613,Analysis_Gadgets!$C:$C,Analysis_Gadgets!$B:$B)</f>
        <v>Gadget</v>
      </c>
      <c r="E613" s="43">
        <v>517</v>
      </c>
      <c r="F613" s="43">
        <f>_xlfn.XLOOKUP(A613,Class_Players!A:A,Class_Players!G:G)</f>
        <v>98</v>
      </c>
      <c r="G613" s="43">
        <f t="shared" si="198"/>
        <v>5.2755102040816331</v>
      </c>
      <c r="H613" s="43">
        <f>_xlfn.XLOOKUP(A613,Class_Players!$A:$A,Class_Players!$F:$F,"")</f>
        <v>9643</v>
      </c>
      <c r="I613" s="44">
        <f t="shared" si="199"/>
        <v>5.361402053302914E-2</v>
      </c>
      <c r="J613" s="43">
        <f t="shared" si="192"/>
        <v>0</v>
      </c>
      <c r="K613" s="44" cm="1">
        <f t="array" ref="K613">IF(D613="Gadget",_xlfn.IFS(I613&gt;=0.2,0.5,I613&gt;=0.1,0.35,I613&gt;=0.05,0.2,TRUE,0),IF(D613="Grenade",_xlfn.IFS(I613&gt;=0.2,1,I613&gt;=0.1,0.7,I613&gt;=0.05,0.4,TRUE,0),0))</f>
        <v>0.2</v>
      </c>
      <c r="L613" s="57">
        <f t="shared" si="200"/>
        <v>1</v>
      </c>
    </row>
    <row r="614" spans="1:12" x14ac:dyDescent="0.25">
      <c r="A614" s="42" t="str" cm="1">
        <f t="array" ref="A614">IFERROR(INDEX(_xlfn._xlws.FILTER(Class_Players!A:A,Class_Players!B:B="Assault"),QUOTIENT(ROW()-ROW($A$2),7)+1),"")</f>
        <v>origamii</v>
      </c>
      <c r="B614" s="42" t="str">
        <f>_xlfn.XLOOKUP(A614,Class_Players!$A:$A,Class_Players!$B:$B,"")</f>
        <v>Assault</v>
      </c>
      <c r="C614" s="48" t="str" cm="1">
        <f t="array" ref="C614">INDEX(Lookups!$A$2:$A$8,MOD(ROW()-ROW($B$2),ROWS(Lookups!$A$2:$A$8))+1)</f>
        <v>M320A1 THRM    (Incendiary Grenade Launcher)</v>
      </c>
      <c r="D614" s="48" t="str">
        <f>_xlfn.XLOOKUP(C614,Analysis_Gadgets!$C:$C,Analysis_Gadgets!$B:$B)</f>
        <v>Gadget</v>
      </c>
      <c r="E614" s="43">
        <v>1</v>
      </c>
      <c r="F614" s="43">
        <f>_xlfn.XLOOKUP(A614,Class_Players!A:A,Class_Players!G:G)</f>
        <v>98</v>
      </c>
      <c r="G614" s="43">
        <f t="shared" si="198"/>
        <v>1.020408163265306E-2</v>
      </c>
      <c r="H614" s="43">
        <f>_xlfn.XLOOKUP(A614,Class_Players!$A:$A,Class_Players!$F:$F,"")</f>
        <v>9643</v>
      </c>
      <c r="I614" s="44">
        <f t="shared" si="199"/>
        <v>1.0370216737529814E-4</v>
      </c>
      <c r="J614" s="43">
        <f t="shared" si="192"/>
        <v>0</v>
      </c>
      <c r="K614" s="44" cm="1">
        <f t="array" ref="K614">IF(D614="Gadget",_xlfn.IFS(I614&gt;=0.2,0.5,I614&gt;=0.1,0.35,I614&gt;=0.05,0.2,TRUE,0),IF(D614="Grenade",_xlfn.IFS(I614&gt;=0.2,1,I614&gt;=0.1,0.7,I614&gt;=0.05,0.4,TRUE,0),0))</f>
        <v>0</v>
      </c>
      <c r="L614" s="57">
        <f t="shared" si="200"/>
        <v>0</v>
      </c>
    </row>
    <row r="615" spans="1:12" x14ac:dyDescent="0.25">
      <c r="A615" s="42" t="str" cm="1">
        <f t="array" ref="A615">IFERROR(INDEX(_xlfn._xlws.FILTER(Class_Players!A:A,Class_Players!B:B="Assault"),QUOTIENT(ROW()-ROW($A$2),7)+1),"")</f>
        <v>origamii</v>
      </c>
      <c r="B615" s="42" t="str">
        <f>_xlfn.XLOOKUP(A615,Class_Players!$A:$A,Class_Players!$B:$B,"")</f>
        <v>Assault</v>
      </c>
      <c r="C615" s="48" t="str" cm="1">
        <f t="array" ref="C615">INDEX(Lookups!$A$2:$A$8,MOD(ROW()-ROW($B$2),ROWS(Lookups!$A$2:$A$8))+1)</f>
        <v>QLINK (Deploy Beacon)</v>
      </c>
      <c r="D615" s="48" t="str">
        <f>_xlfn.XLOOKUP(C615,Analysis_Gadgets!$C:$C,Analysis_Gadgets!$B:$B)</f>
        <v>Gadget</v>
      </c>
      <c r="E615" s="43">
        <v>153</v>
      </c>
      <c r="F615" s="43">
        <f>_xlfn.XLOOKUP(A615,Class_Players!A:A,Class_Players!G:G)</f>
        <v>98</v>
      </c>
      <c r="G615" s="43">
        <f t="shared" si="198"/>
        <v>1.5612244897959184</v>
      </c>
      <c r="H615" s="43">
        <f>_xlfn.XLOOKUP(A615,Class_Players!$A:$A,Class_Players!$F:$F,"")</f>
        <v>9643</v>
      </c>
      <c r="I615" s="44">
        <f t="shared" si="199"/>
        <v>1.5866431608420616E-2</v>
      </c>
      <c r="J615" s="43">
        <f t="shared" si="192"/>
        <v>0</v>
      </c>
      <c r="K615" s="44" cm="1">
        <f t="array" ref="K615">IF(D615="Gadget",_xlfn.IFS(I615&gt;=0.2,0.5,I615&gt;=0.1,0.35,I615&gt;=0.05,0.2,TRUE,0),IF(D615="Grenade",_xlfn.IFS(I615&gt;=0.2,1,I615&gt;=0.1,0.7,I615&gt;=0.05,0.4,TRUE,0),0))</f>
        <v>0</v>
      </c>
      <c r="L615" s="57">
        <f t="shared" si="200"/>
        <v>0</v>
      </c>
    </row>
    <row r="616" spans="1:12" x14ac:dyDescent="0.25">
      <c r="A616" s="42" t="str" cm="1">
        <f t="array" ref="A616">IFERROR(INDEX(_xlfn._xlws.FILTER(Class_Players!A:A,Class_Players!B:B="Assault"),QUOTIENT(ROW()-ROW($A$2),7)+1),"")</f>
        <v>origamii</v>
      </c>
      <c r="B616" s="42" t="str">
        <f>_xlfn.XLOOKUP(A616,Class_Players!$A:$A,Class_Players!$B:$B,"")</f>
        <v>Assault</v>
      </c>
      <c r="C616" s="48" t="str" cm="1">
        <f t="array" ref="C616">INDEX(Lookups!$A$2:$A$8,MOD(ROW()-ROW($B$2),ROWS(Lookups!$A$2:$A$8))+1)</f>
        <v>Stun Grenade</v>
      </c>
      <c r="D616" s="48" t="str">
        <f>_xlfn.XLOOKUP(C616,Analysis_Gadgets!$C:$C,Analysis_Gadgets!$B:$B)</f>
        <v>Grenade</v>
      </c>
      <c r="E616" s="43">
        <v>129</v>
      </c>
      <c r="F616" s="43">
        <f>_xlfn.XLOOKUP(A616,Class_Players!A:A,Class_Players!G:G)</f>
        <v>98</v>
      </c>
      <c r="G616" s="43">
        <f t="shared" si="198"/>
        <v>1.3163265306122449</v>
      </c>
      <c r="H616" s="43">
        <f>_xlfn.XLOOKUP(A616,Class_Players!$A:$A,Class_Players!$F:$F,"")</f>
        <v>9643</v>
      </c>
      <c r="I616" s="44">
        <f t="shared" si="199"/>
        <v>1.337757959141346E-2</v>
      </c>
      <c r="J616" s="43">
        <f t="shared" si="192"/>
        <v>0</v>
      </c>
      <c r="K616" s="44" cm="1">
        <f t="array" ref="K616">IF(D616="Gadget",_xlfn.IFS(I616&gt;=0.2,0.5,I616&gt;=0.1,0.35,I616&gt;=0.05,0.2,TRUE,0),IF(D616="Grenade",_xlfn.IFS(I616&gt;=0.2,1,I616&gt;=0.1,0.7,I616&gt;=0.05,0.4,TRUE,0),0))</f>
        <v>0</v>
      </c>
      <c r="L616" s="57">
        <f t="shared" si="174"/>
        <v>0</v>
      </c>
    </row>
    <row r="617" spans="1:12" x14ac:dyDescent="0.25">
      <c r="A617" s="42" t="str" cm="1">
        <f t="array" ref="A617">IFERROR(INDEX(_xlfn._xlws.FILTER(Class_Players!A:A,Class_Players!B:B="Assault"),QUOTIENT(ROW()-ROW($A$2),7)+1),"")</f>
        <v>origamii</v>
      </c>
      <c r="B617" s="42" t="str">
        <f>_xlfn.XLOOKUP(A617,Class_Players!$A:$A,Class_Players!$B:$B,"")</f>
        <v>Assault</v>
      </c>
      <c r="C617" s="48" t="str" cm="1">
        <f t="array" ref="C617">INDEX(Lookups!$A$2:$A$8,MOD(ROW()-ROW($B$2),ROWS(Lookups!$A$2:$A$8))+1)</f>
        <v>Flash Grenade</v>
      </c>
      <c r="D617" s="48" t="str">
        <f>_xlfn.XLOOKUP(C617,Analysis_Gadgets!$C:$C,Analysis_Gadgets!$B:$B)</f>
        <v>Grenade</v>
      </c>
      <c r="E617" s="43">
        <v>3</v>
      </c>
      <c r="F617" s="43">
        <f>_xlfn.XLOOKUP(A617,Class_Players!A:A,Class_Players!G:G)</f>
        <v>98</v>
      </c>
      <c r="G617" s="43">
        <f t="shared" si="198"/>
        <v>3.0612244897959183E-2</v>
      </c>
      <c r="H617" s="43">
        <f>_xlfn.XLOOKUP(A617,Class_Players!$A:$A,Class_Players!$F:$F,"")</f>
        <v>9643</v>
      </c>
      <c r="I617" s="44">
        <f t="shared" si="199"/>
        <v>3.1110650212589442E-4</v>
      </c>
      <c r="J617" s="43">
        <f t="shared" si="192"/>
        <v>0</v>
      </c>
      <c r="K617" s="44" cm="1">
        <f t="array" ref="K617">IF(D617="Gadget",_xlfn.IFS(I617&gt;=0.2,0.5,I617&gt;=0.1,0.35,I617&gt;=0.05,0.2,TRUE,0),IF(D617="Grenade",_xlfn.IFS(I617&gt;=0.2,1,I617&gt;=0.1,0.7,I617&gt;=0.05,0.4,TRUE,0),0))</f>
        <v>0</v>
      </c>
      <c r="L617" s="57">
        <f t="shared" si="174"/>
        <v>0</v>
      </c>
    </row>
    <row r="618" spans="1:12" x14ac:dyDescent="0.25">
      <c r="A618" s="42" t="str" cm="1">
        <f t="array" ref="A618">IFERROR(INDEX(_xlfn._xlws.FILTER(Class_Players!A:A,Class_Players!B:B="Assault"),QUOTIENT(ROW()-ROW($A$2),7)+1),"")</f>
        <v>TGR Alexz</v>
      </c>
      <c r="B618" s="42" t="str">
        <f>_xlfn.XLOOKUP(A618,Class_Players!$A:$A,Class_Players!$B:$B,"")</f>
        <v>Assault</v>
      </c>
      <c r="C618" s="48" t="str" cm="1">
        <f t="array" ref="C618">INDEX(Lookups!$A$2:$A$8,MOD(ROW()-ROW($B$2),ROWS(Lookups!$A$2:$A$8))+1)</f>
        <v>Assault Ladder</v>
      </c>
      <c r="D618" s="48" t="str">
        <f>_xlfn.XLOOKUP(C618,Analysis_Gadgets!$C:$C,Analysis_Gadgets!$B:$B)</f>
        <v>Gadget</v>
      </c>
      <c r="E618" s="43">
        <v>1270</v>
      </c>
      <c r="F618" s="43">
        <f>_xlfn.XLOOKUP(A618,Class_Players!A:A,Class_Players!G:G)</f>
        <v>136</v>
      </c>
      <c r="G618" s="43">
        <f t="shared" si="198"/>
        <v>9.3382352941176467</v>
      </c>
      <c r="H618" s="43">
        <f>_xlfn.XLOOKUP(A618,Class_Players!$A:$A,Class_Players!$F:$F,"")</f>
        <v>7920</v>
      </c>
      <c r="I618" s="44">
        <f t="shared" si="199"/>
        <v>0.16035353535353536</v>
      </c>
      <c r="J618" s="43">
        <f t="shared" si="192"/>
        <v>1</v>
      </c>
      <c r="K618" s="44" cm="1">
        <f t="array" ref="K618">IF(D618="Gadget",_xlfn.IFS(I618&gt;=0.2,0.5,I618&gt;=0.1,0.35,I618&gt;=0.05,0.2,TRUE,0),IF(D618="Grenade",_xlfn.IFS(I618&gt;=0.2,1,I618&gt;=0.1,0.7,I618&gt;=0.05,0.4,TRUE,0),0))</f>
        <v>0.35</v>
      </c>
      <c r="L618" s="57">
        <f t="shared" ref="L618:L622" si="201">IF($K618=0,0,$K618 / SUMIFS($K:$K,$A:$A,$A618,$D:$D,"Gadget"))</f>
        <v>0.29166666666666669</v>
      </c>
    </row>
    <row r="619" spans="1:12" x14ac:dyDescent="0.25">
      <c r="A619" s="42" t="str" cm="1">
        <f t="array" ref="A619">IFERROR(INDEX(_xlfn._xlws.FILTER(Class_Players!A:A,Class_Players!B:B="Assault"),QUOTIENT(ROW()-ROW($A$2),7)+1),"")</f>
        <v>TGR Alexz</v>
      </c>
      <c r="B619" s="42" t="str">
        <f>_xlfn.XLOOKUP(A619,Class_Players!$A:$A,Class_Players!$B:$B,"")</f>
        <v>Assault</v>
      </c>
      <c r="C619" s="48" t="str" cm="1">
        <f t="array" ref="C619">INDEX(Lookups!$A$2:$A$8,MOD(ROW()-ROW($B$2),ROWS(Lookups!$A$2:$A$8))+1)</f>
        <v>X95 BRE (Breaching Projectile Launcher)</v>
      </c>
      <c r="D619" s="48" t="str">
        <f>_xlfn.XLOOKUP(C619,Analysis_Gadgets!$C:$C,Analysis_Gadgets!$B:$B)</f>
        <v>Gadget</v>
      </c>
      <c r="E619" s="43">
        <v>4</v>
      </c>
      <c r="F619" s="43">
        <f>_xlfn.XLOOKUP(A619,Class_Players!A:A,Class_Players!G:G)</f>
        <v>136</v>
      </c>
      <c r="G619" s="43">
        <f t="shared" si="198"/>
        <v>2.9411764705882353E-2</v>
      </c>
      <c r="H619" s="43">
        <f>_xlfn.XLOOKUP(A619,Class_Players!$A:$A,Class_Players!$F:$F,"")</f>
        <v>7920</v>
      </c>
      <c r="I619" s="44">
        <f t="shared" si="199"/>
        <v>5.0505050505050505E-4</v>
      </c>
      <c r="J619" s="43">
        <f t="shared" si="192"/>
        <v>0</v>
      </c>
      <c r="K619" s="44" cm="1">
        <f t="array" ref="K619">IF(D619="Gadget",_xlfn.IFS(I619&gt;=0.2,0.5,I619&gt;=0.1,0.35,I619&gt;=0.05,0.2,TRUE,0),IF(D619="Grenade",_xlfn.IFS(I619&gt;=0.2,1,I619&gt;=0.1,0.7,I619&gt;=0.05,0.4,TRUE,0),0))</f>
        <v>0</v>
      </c>
      <c r="L619" s="57">
        <f t="shared" si="201"/>
        <v>0</v>
      </c>
    </row>
    <row r="620" spans="1:12" x14ac:dyDescent="0.25">
      <c r="A620" s="42" t="str" cm="1">
        <f t="array" ref="A620">IFERROR(INDEX(_xlfn._xlws.FILTER(Class_Players!A:A,Class_Players!B:B="Assault"),QUOTIENT(ROW()-ROW($A$2),7)+1),"")</f>
        <v>TGR Alexz</v>
      </c>
      <c r="B620" s="42" t="str">
        <f>_xlfn.XLOOKUP(A620,Class_Players!$A:$A,Class_Players!$B:$B,"")</f>
        <v>Assault</v>
      </c>
      <c r="C620" s="48" t="str" cm="1">
        <f t="array" ref="C620">INDEX(Lookups!$A$2:$A$8,MOD(ROW()-ROW($B$2),ROWS(Lookups!$A$2:$A$8))+1)</f>
        <v>M320A1 HE (Grenade Launcher)</v>
      </c>
      <c r="D620" s="48" t="str">
        <f>_xlfn.XLOOKUP(C620,Analysis_Gadgets!$C:$C,Analysis_Gadgets!$B:$B)</f>
        <v>Gadget</v>
      </c>
      <c r="E620" s="43">
        <v>1252</v>
      </c>
      <c r="F620" s="43">
        <f>_xlfn.XLOOKUP(A620,Class_Players!A:A,Class_Players!G:G)</f>
        <v>136</v>
      </c>
      <c r="G620" s="43">
        <f t="shared" si="198"/>
        <v>9.2058823529411757</v>
      </c>
      <c r="H620" s="43">
        <f>_xlfn.XLOOKUP(A620,Class_Players!$A:$A,Class_Players!$F:$F,"")</f>
        <v>7920</v>
      </c>
      <c r="I620" s="44">
        <f t="shared" si="199"/>
        <v>0.15808080808080807</v>
      </c>
      <c r="J620" s="43">
        <f t="shared" si="192"/>
        <v>1</v>
      </c>
      <c r="K620" s="44" cm="1">
        <f t="array" ref="K620">IF(D620="Gadget",_xlfn.IFS(I620&gt;=0.2,0.5,I620&gt;=0.1,0.35,I620&gt;=0.05,0.2,TRUE,0),IF(D620="Grenade",_xlfn.IFS(I620&gt;=0.2,1,I620&gt;=0.1,0.7,I620&gt;=0.05,0.4,TRUE,0),0))</f>
        <v>0.35</v>
      </c>
      <c r="L620" s="57">
        <f t="shared" si="201"/>
        <v>0.29166666666666669</v>
      </c>
    </row>
    <row r="621" spans="1:12" x14ac:dyDescent="0.25">
      <c r="A621" s="42" t="str" cm="1">
        <f t="array" ref="A621">IFERROR(INDEX(_xlfn._xlws.FILTER(Class_Players!A:A,Class_Players!B:B="Assault"),QUOTIENT(ROW()-ROW($A$2),7)+1),"")</f>
        <v>TGR Alexz</v>
      </c>
      <c r="B621" s="42" t="str">
        <f>_xlfn.XLOOKUP(A621,Class_Players!$A:$A,Class_Players!$B:$B,"")</f>
        <v>Assault</v>
      </c>
      <c r="C621" s="48" t="str" cm="1">
        <f t="array" ref="C621">INDEX(Lookups!$A$2:$A$8,MOD(ROW()-ROW($B$2),ROWS(Lookups!$A$2:$A$8))+1)</f>
        <v>M320A1 THRM    (Incendiary Grenade Launcher)</v>
      </c>
      <c r="D621" s="48" t="str">
        <f>_xlfn.XLOOKUP(C621,Analysis_Gadgets!$C:$C,Analysis_Gadgets!$B:$B)</f>
        <v>Gadget</v>
      </c>
      <c r="E621" s="43">
        <v>9</v>
      </c>
      <c r="F621" s="43">
        <f>_xlfn.XLOOKUP(A621,Class_Players!A:A,Class_Players!G:G)</f>
        <v>136</v>
      </c>
      <c r="G621" s="43">
        <f t="shared" si="198"/>
        <v>6.6176470588235295E-2</v>
      </c>
      <c r="H621" s="43">
        <f>_xlfn.XLOOKUP(A621,Class_Players!$A:$A,Class_Players!$F:$F,"")</f>
        <v>7920</v>
      </c>
      <c r="I621" s="44">
        <f t="shared" si="199"/>
        <v>1.1363636363636363E-3</v>
      </c>
      <c r="J621" s="43">
        <f t="shared" si="192"/>
        <v>0</v>
      </c>
      <c r="K621" s="44" cm="1">
        <f t="array" ref="K621">IF(D621="Gadget",_xlfn.IFS(I621&gt;=0.2,0.5,I621&gt;=0.1,0.35,I621&gt;=0.05,0.2,TRUE,0),IF(D621="Grenade",_xlfn.IFS(I621&gt;=0.2,1,I621&gt;=0.1,0.7,I621&gt;=0.05,0.4,TRUE,0),0))</f>
        <v>0</v>
      </c>
      <c r="L621" s="57">
        <f t="shared" si="201"/>
        <v>0</v>
      </c>
    </row>
    <row r="622" spans="1:12" x14ac:dyDescent="0.25">
      <c r="A622" s="42" t="str" cm="1">
        <f t="array" ref="A622">IFERROR(INDEX(_xlfn._xlws.FILTER(Class_Players!A:A,Class_Players!B:B="Assault"),QUOTIENT(ROW()-ROW($A$2),7)+1),"")</f>
        <v>TGR Alexz</v>
      </c>
      <c r="B622" s="42" t="str">
        <f>_xlfn.XLOOKUP(A622,Class_Players!$A:$A,Class_Players!$B:$B,"")</f>
        <v>Assault</v>
      </c>
      <c r="C622" s="48" t="str" cm="1">
        <f t="array" ref="C622">INDEX(Lookups!$A$2:$A$8,MOD(ROW()-ROW($B$2),ROWS(Lookups!$A$2:$A$8))+1)</f>
        <v>QLINK (Deploy Beacon)</v>
      </c>
      <c r="D622" s="48" t="str">
        <f>_xlfn.XLOOKUP(C622,Analysis_Gadgets!$C:$C,Analysis_Gadgets!$B:$B)</f>
        <v>Gadget</v>
      </c>
      <c r="E622" s="43">
        <v>5022</v>
      </c>
      <c r="F622" s="43">
        <f>_xlfn.XLOOKUP(A622,Class_Players!A:A,Class_Players!G:G)</f>
        <v>136</v>
      </c>
      <c r="G622" s="43">
        <f t="shared" si="198"/>
        <v>36.926470588235297</v>
      </c>
      <c r="H622" s="43">
        <f>_xlfn.XLOOKUP(A622,Class_Players!$A:$A,Class_Players!$F:$F,"")</f>
        <v>7920</v>
      </c>
      <c r="I622" s="44">
        <f t="shared" si="199"/>
        <v>0.63409090909090904</v>
      </c>
      <c r="J622" s="43">
        <f t="shared" si="192"/>
        <v>1</v>
      </c>
      <c r="K622" s="44" cm="1">
        <f t="array" ref="K622">IF(D622="Gadget",_xlfn.IFS(I622&gt;=0.2,0.5,I622&gt;=0.1,0.35,I622&gt;=0.05,0.2,TRUE,0),IF(D622="Grenade",_xlfn.IFS(I622&gt;=0.2,1,I622&gt;=0.1,0.7,I622&gt;=0.05,0.4,TRUE,0),0))</f>
        <v>0.5</v>
      </c>
      <c r="L622" s="57">
        <f t="shared" si="201"/>
        <v>0.41666666666666669</v>
      </c>
    </row>
    <row r="623" spans="1:12" x14ac:dyDescent="0.25">
      <c r="A623" s="42" t="str" cm="1">
        <f t="array" ref="A623">IFERROR(INDEX(_xlfn._xlws.FILTER(Class_Players!A:A,Class_Players!B:B="Assault"),QUOTIENT(ROW()-ROW($A$2),7)+1),"")</f>
        <v>TGR Alexz</v>
      </c>
      <c r="B623" s="42" t="str">
        <f>_xlfn.XLOOKUP(A623,Class_Players!$A:$A,Class_Players!$B:$B,"")</f>
        <v>Assault</v>
      </c>
      <c r="C623" s="48" t="str" cm="1">
        <f t="array" ref="C623">INDEX(Lookups!$A$2:$A$8,MOD(ROW()-ROW($B$2),ROWS(Lookups!$A$2:$A$8))+1)</f>
        <v>Stun Grenade</v>
      </c>
      <c r="D623" s="48" t="str">
        <f>_xlfn.XLOOKUP(C623,Analysis_Gadgets!$C:$C,Analysis_Gadgets!$B:$B)</f>
        <v>Grenade</v>
      </c>
      <c r="E623" s="43">
        <v>0</v>
      </c>
      <c r="F623" s="43">
        <f>_xlfn.XLOOKUP(A623,Class_Players!A:A,Class_Players!G:G)</f>
        <v>136</v>
      </c>
      <c r="G623" s="43">
        <f t="shared" si="198"/>
        <v>0</v>
      </c>
      <c r="H623" s="43">
        <f>_xlfn.XLOOKUP(A623,Class_Players!$A:$A,Class_Players!$F:$F,"")</f>
        <v>7920</v>
      </c>
      <c r="I623" s="44">
        <f t="shared" si="199"/>
        <v>0</v>
      </c>
      <c r="J623" s="43">
        <f t="shared" si="192"/>
        <v>0</v>
      </c>
      <c r="K623" s="44" cm="1">
        <f t="array" ref="K623">IF(D623="Gadget",_xlfn.IFS(I623&gt;=0.2,0.5,I623&gt;=0.1,0.35,I623&gt;=0.05,0.2,TRUE,0),IF(D623="Grenade",_xlfn.IFS(I623&gt;=0.2,1,I623&gt;=0.1,0.7,I623&gt;=0.05,0.4,TRUE,0),0))</f>
        <v>0</v>
      </c>
      <c r="L623" s="57">
        <f t="shared" si="174"/>
        <v>0</v>
      </c>
    </row>
    <row r="624" spans="1:12" x14ac:dyDescent="0.25">
      <c r="A624" s="42" t="str" cm="1">
        <f t="array" ref="A624">IFERROR(INDEX(_xlfn._xlws.FILTER(Class_Players!A:A,Class_Players!B:B="Assault"),QUOTIENT(ROW()-ROW($A$2),7)+1),"")</f>
        <v>TGR Alexz</v>
      </c>
      <c r="B624" s="42" t="str">
        <f>_xlfn.XLOOKUP(A624,Class_Players!$A:$A,Class_Players!$B:$B,"")</f>
        <v>Assault</v>
      </c>
      <c r="C624" s="48" t="str" cm="1">
        <f t="array" ref="C624">INDEX(Lookups!$A$2:$A$8,MOD(ROW()-ROW($B$2),ROWS(Lookups!$A$2:$A$8))+1)</f>
        <v>Flash Grenade</v>
      </c>
      <c r="D624" s="48" t="str">
        <f>_xlfn.XLOOKUP(C624,Analysis_Gadgets!$C:$C,Analysis_Gadgets!$B:$B)</f>
        <v>Grenade</v>
      </c>
      <c r="E624" s="43">
        <v>0</v>
      </c>
      <c r="F624" s="43">
        <f>_xlfn.XLOOKUP(A624,Class_Players!A:A,Class_Players!G:G)</f>
        <v>136</v>
      </c>
      <c r="G624" s="43">
        <f t="shared" si="198"/>
        <v>0</v>
      </c>
      <c r="H624" s="43">
        <f>_xlfn.XLOOKUP(A624,Class_Players!$A:$A,Class_Players!$F:$F,"")</f>
        <v>7920</v>
      </c>
      <c r="I624" s="44">
        <f t="shared" si="199"/>
        <v>0</v>
      </c>
      <c r="J624" s="43">
        <f t="shared" si="192"/>
        <v>0</v>
      </c>
      <c r="K624" s="44" cm="1">
        <f t="array" ref="K624">IF(D624="Gadget",_xlfn.IFS(I624&gt;=0.2,0.5,I624&gt;=0.1,0.35,I624&gt;=0.05,0.2,TRUE,0),IF(D624="Grenade",_xlfn.IFS(I624&gt;=0.2,1,I624&gt;=0.1,0.7,I624&gt;=0.05,0.4,TRUE,0),0))</f>
        <v>0</v>
      </c>
      <c r="L624" s="57">
        <f t="shared" si="174"/>
        <v>0</v>
      </c>
    </row>
    <row r="625" spans="1:12" x14ac:dyDescent="0.25">
      <c r="A625" s="42" t="str" cm="1">
        <f t="array" ref="A625">IFERROR(INDEX(_xlfn._xlws.FILTER(Class_Players!A:A,Class_Players!B:B="Assault"),QUOTIENT(ROW()-ROW($A$2),7)+1),"")</f>
        <v>iAm_ineviTable66</v>
      </c>
      <c r="B625" s="42" t="str">
        <f>_xlfn.XLOOKUP(A625,Class_Players!$A:$A,Class_Players!$B:$B,"")</f>
        <v>Assault</v>
      </c>
      <c r="C625" s="48" t="str" cm="1">
        <f t="array" ref="C625">INDEX(Lookups!$A$2:$A$8,MOD(ROW()-ROW($B$2),ROWS(Lookups!$A$2:$A$8))+1)</f>
        <v>Assault Ladder</v>
      </c>
      <c r="D625" s="48" t="str">
        <f>_xlfn.XLOOKUP(C625,Analysis_Gadgets!$C:$C,Analysis_Gadgets!$B:$B)</f>
        <v>Gadget</v>
      </c>
      <c r="E625" s="43">
        <v>1023</v>
      </c>
      <c r="F625" s="43">
        <f>_xlfn.XLOOKUP(A625,Class_Players!A:A,Class_Players!G:G)</f>
        <v>151</v>
      </c>
      <c r="G625" s="43">
        <f t="shared" ref="G625:G652" si="202">IF(F625=0,"",E625/F625)</f>
        <v>6.7748344370860929</v>
      </c>
      <c r="H625" s="43">
        <f>_xlfn.XLOOKUP(A625,Class_Players!$A:$A,Class_Players!$F:$F,"")</f>
        <v>7539</v>
      </c>
      <c r="I625" s="44">
        <f t="shared" ref="I625:I652" si="203">IF(H625=0,"",E625/H625)</f>
        <v>0.13569438917628332</v>
      </c>
      <c r="J625" s="43">
        <f t="shared" si="192"/>
        <v>1</v>
      </c>
      <c r="K625" s="44" cm="1">
        <f t="array" ref="K625">IF(D625="Gadget",_xlfn.IFS(I625&gt;=0.2,0.5,I625&gt;=0.1,0.35,I625&gt;=0.05,0.2,TRUE,0),IF(D625="Grenade",_xlfn.IFS(I625&gt;=0.2,1,I625&gt;=0.1,0.7,I625&gt;=0.05,0.4,TRUE,0),0))</f>
        <v>0.35</v>
      </c>
      <c r="L625" s="57">
        <f t="shared" ref="L625:L629" si="204">IF($K625=0,0,$K625 / SUMIFS($K:$K,$A:$A,$A625,$D:$D,"Gadget"))</f>
        <v>0.33333333333333331</v>
      </c>
    </row>
    <row r="626" spans="1:12" x14ac:dyDescent="0.25">
      <c r="A626" s="42" t="str" cm="1">
        <f t="array" ref="A626">IFERROR(INDEX(_xlfn._xlws.FILTER(Class_Players!A:A,Class_Players!B:B="Assault"),QUOTIENT(ROW()-ROW($A$2),7)+1),"")</f>
        <v>iAm_ineviTable66</v>
      </c>
      <c r="B626" s="42" t="str">
        <f>_xlfn.XLOOKUP(A626,Class_Players!$A:$A,Class_Players!$B:$B,"")</f>
        <v>Assault</v>
      </c>
      <c r="C626" s="48" t="str" cm="1">
        <f t="array" ref="C626">INDEX(Lookups!$A$2:$A$8,MOD(ROW()-ROW($B$2),ROWS(Lookups!$A$2:$A$8))+1)</f>
        <v>X95 BRE (Breaching Projectile Launcher)</v>
      </c>
      <c r="D626" s="48" t="str">
        <f>_xlfn.XLOOKUP(C626,Analysis_Gadgets!$C:$C,Analysis_Gadgets!$B:$B)</f>
        <v>Gadget</v>
      </c>
      <c r="E626" s="43">
        <v>0</v>
      </c>
      <c r="F626" s="43">
        <f>_xlfn.XLOOKUP(A626,Class_Players!A:A,Class_Players!G:G)</f>
        <v>151</v>
      </c>
      <c r="G626" s="43">
        <f t="shared" si="202"/>
        <v>0</v>
      </c>
      <c r="H626" s="43">
        <f>_xlfn.XLOOKUP(A626,Class_Players!$A:$A,Class_Players!$F:$F,"")</f>
        <v>7539</v>
      </c>
      <c r="I626" s="44">
        <f t="shared" si="203"/>
        <v>0</v>
      </c>
      <c r="J626" s="43">
        <f t="shared" si="192"/>
        <v>0</v>
      </c>
      <c r="K626" s="44" cm="1">
        <f t="array" ref="K626">IF(D626="Gadget",_xlfn.IFS(I626&gt;=0.2,0.5,I626&gt;=0.1,0.35,I626&gt;=0.05,0.2,TRUE,0),IF(D626="Grenade",_xlfn.IFS(I626&gt;=0.2,1,I626&gt;=0.1,0.7,I626&gt;=0.05,0.4,TRUE,0),0))</f>
        <v>0</v>
      </c>
      <c r="L626" s="57">
        <f t="shared" si="204"/>
        <v>0</v>
      </c>
    </row>
    <row r="627" spans="1:12" x14ac:dyDescent="0.25">
      <c r="A627" s="42" t="str" cm="1">
        <f t="array" ref="A627">IFERROR(INDEX(_xlfn._xlws.FILTER(Class_Players!A:A,Class_Players!B:B="Assault"),QUOTIENT(ROW()-ROW($A$2),7)+1),"")</f>
        <v>iAm_ineviTable66</v>
      </c>
      <c r="B627" s="42" t="str">
        <f>_xlfn.XLOOKUP(A627,Class_Players!$A:$A,Class_Players!$B:$B,"")</f>
        <v>Assault</v>
      </c>
      <c r="C627" s="48" t="str" cm="1">
        <f t="array" ref="C627">INDEX(Lookups!$A$2:$A$8,MOD(ROW()-ROW($B$2),ROWS(Lookups!$A$2:$A$8))+1)</f>
        <v>M320A1 HE (Grenade Launcher)</v>
      </c>
      <c r="D627" s="48" t="str">
        <f>_xlfn.XLOOKUP(C627,Analysis_Gadgets!$C:$C,Analysis_Gadgets!$B:$B)</f>
        <v>Gadget</v>
      </c>
      <c r="E627" s="43">
        <v>4818</v>
      </c>
      <c r="F627" s="43">
        <f>_xlfn.XLOOKUP(A627,Class_Players!A:A,Class_Players!G:G)</f>
        <v>151</v>
      </c>
      <c r="G627" s="43">
        <f t="shared" si="202"/>
        <v>31.90728476821192</v>
      </c>
      <c r="H627" s="43">
        <f>_xlfn.XLOOKUP(A627,Class_Players!$A:$A,Class_Players!$F:$F,"")</f>
        <v>7539</v>
      </c>
      <c r="I627" s="44">
        <f t="shared" si="203"/>
        <v>0.63907680063668926</v>
      </c>
      <c r="J627" s="43">
        <f t="shared" si="192"/>
        <v>1</v>
      </c>
      <c r="K627" s="44" cm="1">
        <f t="array" ref="K627">IF(D627="Gadget",_xlfn.IFS(I627&gt;=0.2,0.5,I627&gt;=0.1,0.35,I627&gt;=0.05,0.2,TRUE,0),IF(D627="Grenade",_xlfn.IFS(I627&gt;=0.2,1,I627&gt;=0.1,0.7,I627&gt;=0.05,0.4,TRUE,0),0))</f>
        <v>0.5</v>
      </c>
      <c r="L627" s="57">
        <f t="shared" si="204"/>
        <v>0.47619047619047616</v>
      </c>
    </row>
    <row r="628" spans="1:12" x14ac:dyDescent="0.25">
      <c r="A628" s="42" t="str" cm="1">
        <f t="array" ref="A628">IFERROR(INDEX(_xlfn._xlws.FILTER(Class_Players!A:A,Class_Players!B:B="Assault"),QUOTIENT(ROW()-ROW($A$2),7)+1),"")</f>
        <v>iAm_ineviTable66</v>
      </c>
      <c r="B628" s="42" t="str">
        <f>_xlfn.XLOOKUP(A628,Class_Players!$A:$A,Class_Players!$B:$B,"")</f>
        <v>Assault</v>
      </c>
      <c r="C628" s="48" t="str" cm="1">
        <f t="array" ref="C628">INDEX(Lookups!$A$2:$A$8,MOD(ROW()-ROW($B$2),ROWS(Lookups!$A$2:$A$8))+1)</f>
        <v>M320A1 THRM    (Incendiary Grenade Launcher)</v>
      </c>
      <c r="D628" s="48" t="str">
        <f>_xlfn.XLOOKUP(C628,Analysis_Gadgets!$C:$C,Analysis_Gadgets!$B:$B)</f>
        <v>Gadget</v>
      </c>
      <c r="E628" s="43">
        <v>29</v>
      </c>
      <c r="F628" s="43">
        <f>_xlfn.XLOOKUP(A628,Class_Players!A:A,Class_Players!G:G)</f>
        <v>151</v>
      </c>
      <c r="G628" s="43">
        <f t="shared" si="202"/>
        <v>0.19205298013245034</v>
      </c>
      <c r="H628" s="43">
        <f>_xlfn.XLOOKUP(A628,Class_Players!$A:$A,Class_Players!$F:$F,"")</f>
        <v>7539</v>
      </c>
      <c r="I628" s="44">
        <f t="shared" si="203"/>
        <v>3.8466640137949332E-3</v>
      </c>
      <c r="J628" s="43">
        <f t="shared" si="192"/>
        <v>0</v>
      </c>
      <c r="K628" s="44" cm="1">
        <f t="array" ref="K628">IF(D628="Gadget",_xlfn.IFS(I628&gt;=0.2,0.5,I628&gt;=0.1,0.35,I628&gt;=0.05,0.2,TRUE,0),IF(D628="Grenade",_xlfn.IFS(I628&gt;=0.2,1,I628&gt;=0.1,0.7,I628&gt;=0.05,0.4,TRUE,0),0))</f>
        <v>0</v>
      </c>
      <c r="L628" s="57">
        <f t="shared" si="204"/>
        <v>0</v>
      </c>
    </row>
    <row r="629" spans="1:12" x14ac:dyDescent="0.25">
      <c r="A629" s="42" t="str" cm="1">
        <f t="array" ref="A629">IFERROR(INDEX(_xlfn._xlws.FILTER(Class_Players!A:A,Class_Players!B:B="Assault"),QUOTIENT(ROW()-ROW($A$2),7)+1),"")</f>
        <v>iAm_ineviTable66</v>
      </c>
      <c r="B629" s="42" t="str">
        <f>_xlfn.XLOOKUP(A629,Class_Players!$A:$A,Class_Players!$B:$B,"")</f>
        <v>Assault</v>
      </c>
      <c r="C629" s="48" t="str" cm="1">
        <f t="array" ref="C629">INDEX(Lookups!$A$2:$A$8,MOD(ROW()-ROW($B$2),ROWS(Lookups!$A$2:$A$8))+1)</f>
        <v>QLINK (Deploy Beacon)</v>
      </c>
      <c r="D629" s="48" t="str">
        <f>_xlfn.XLOOKUP(C629,Analysis_Gadgets!$C:$C,Analysis_Gadgets!$B:$B)</f>
        <v>Gadget</v>
      </c>
      <c r="E629" s="43">
        <v>728</v>
      </c>
      <c r="F629" s="43">
        <f>_xlfn.XLOOKUP(A629,Class_Players!A:A,Class_Players!G:G)</f>
        <v>151</v>
      </c>
      <c r="G629" s="43">
        <f t="shared" si="202"/>
        <v>4.8211920529801322</v>
      </c>
      <c r="H629" s="43">
        <f>_xlfn.XLOOKUP(A629,Class_Players!$A:$A,Class_Players!$F:$F,"")</f>
        <v>7539</v>
      </c>
      <c r="I629" s="44">
        <f t="shared" si="203"/>
        <v>9.6564531104921081E-2</v>
      </c>
      <c r="J629" s="43">
        <f t="shared" si="192"/>
        <v>0</v>
      </c>
      <c r="K629" s="44" cm="1">
        <f t="array" ref="K629">IF(D629="Gadget",_xlfn.IFS(I629&gt;=0.2,0.5,I629&gt;=0.1,0.35,I629&gt;=0.05,0.2,TRUE,0),IF(D629="Grenade",_xlfn.IFS(I629&gt;=0.2,1,I629&gt;=0.1,0.7,I629&gt;=0.05,0.4,TRUE,0),0))</f>
        <v>0.2</v>
      </c>
      <c r="L629" s="57">
        <f t="shared" si="204"/>
        <v>0.19047619047619047</v>
      </c>
    </row>
    <row r="630" spans="1:12" x14ac:dyDescent="0.25">
      <c r="A630" s="42" t="str" cm="1">
        <f t="array" ref="A630">IFERROR(INDEX(_xlfn._xlws.FILTER(Class_Players!A:A,Class_Players!B:B="Assault"),QUOTIENT(ROW()-ROW($A$2),7)+1),"")</f>
        <v>iAm_ineviTable66</v>
      </c>
      <c r="B630" s="42" t="str">
        <f>_xlfn.XLOOKUP(A630,Class_Players!$A:$A,Class_Players!$B:$B,"")</f>
        <v>Assault</v>
      </c>
      <c r="C630" s="48" t="str" cm="1">
        <f t="array" ref="C630">INDEX(Lookups!$A$2:$A$8,MOD(ROW()-ROW($B$2),ROWS(Lookups!$A$2:$A$8))+1)</f>
        <v>Stun Grenade</v>
      </c>
      <c r="D630" s="48" t="str">
        <f>_xlfn.XLOOKUP(C630,Analysis_Gadgets!$C:$C,Analysis_Gadgets!$B:$B)</f>
        <v>Grenade</v>
      </c>
      <c r="E630" s="43">
        <v>407</v>
      </c>
      <c r="F630" s="43">
        <f>_xlfn.XLOOKUP(A630,Class_Players!A:A,Class_Players!G:G)</f>
        <v>151</v>
      </c>
      <c r="G630" s="43">
        <f t="shared" si="202"/>
        <v>2.6953642384105962</v>
      </c>
      <c r="H630" s="43">
        <f>_xlfn.XLOOKUP(A630,Class_Players!$A:$A,Class_Players!$F:$F,"")</f>
        <v>7539</v>
      </c>
      <c r="I630" s="44">
        <f t="shared" si="203"/>
        <v>5.3985939779811649E-2</v>
      </c>
      <c r="J630" s="43">
        <f t="shared" si="192"/>
        <v>0</v>
      </c>
      <c r="K630" s="44" cm="1">
        <f t="array" ref="K630">IF(D630="Gadget",_xlfn.IFS(I630&gt;=0.2,0.5,I630&gt;=0.1,0.35,I630&gt;=0.05,0.2,TRUE,0),IF(D630="Grenade",_xlfn.IFS(I630&gt;=0.2,1,I630&gt;=0.1,0.7,I630&gt;=0.05,0.4,TRUE,0),0))</f>
        <v>0.4</v>
      </c>
      <c r="L630" s="57">
        <f t="shared" si="174"/>
        <v>1</v>
      </c>
    </row>
    <row r="631" spans="1:12" x14ac:dyDescent="0.25">
      <c r="A631" s="42" t="str" cm="1">
        <f t="array" ref="A631">IFERROR(INDEX(_xlfn._xlws.FILTER(Class_Players!A:A,Class_Players!B:B="Assault"),QUOTIENT(ROW()-ROW($A$2),7)+1),"")</f>
        <v>iAm_ineviTable66</v>
      </c>
      <c r="B631" s="42" t="str">
        <f>_xlfn.XLOOKUP(A631,Class_Players!$A:$A,Class_Players!$B:$B,"")</f>
        <v>Assault</v>
      </c>
      <c r="C631" s="48" t="str" cm="1">
        <f t="array" ref="C631">INDEX(Lookups!$A$2:$A$8,MOD(ROW()-ROW($B$2),ROWS(Lookups!$A$2:$A$8))+1)</f>
        <v>Flash Grenade</v>
      </c>
      <c r="D631" s="48" t="str">
        <f>_xlfn.XLOOKUP(C631,Analysis_Gadgets!$C:$C,Analysis_Gadgets!$B:$B)</f>
        <v>Grenade</v>
      </c>
      <c r="E631" s="43">
        <v>72</v>
      </c>
      <c r="F631" s="43">
        <f>_xlfn.XLOOKUP(A631,Class_Players!A:A,Class_Players!G:G)</f>
        <v>151</v>
      </c>
      <c r="G631" s="43">
        <f t="shared" si="202"/>
        <v>0.47682119205298013</v>
      </c>
      <c r="H631" s="43">
        <f>_xlfn.XLOOKUP(A631,Class_Players!$A:$A,Class_Players!$F:$F,"")</f>
        <v>7539</v>
      </c>
      <c r="I631" s="44">
        <f t="shared" si="203"/>
        <v>9.5503382411460409E-3</v>
      </c>
      <c r="J631" s="43">
        <f t="shared" si="192"/>
        <v>0</v>
      </c>
      <c r="K631" s="44" cm="1">
        <f t="array" ref="K631">IF(D631="Gadget",_xlfn.IFS(I631&gt;=0.2,0.5,I631&gt;=0.1,0.35,I631&gt;=0.05,0.2,TRUE,0),IF(D631="Grenade",_xlfn.IFS(I631&gt;=0.2,1,I631&gt;=0.1,0.7,I631&gt;=0.05,0.4,TRUE,0),0))</f>
        <v>0</v>
      </c>
      <c r="L631" s="57">
        <f t="shared" si="174"/>
        <v>0</v>
      </c>
    </row>
    <row r="632" spans="1:12" x14ac:dyDescent="0.25">
      <c r="A632" s="42" t="str" cm="1">
        <f t="array" ref="A632">IFERROR(INDEX(_xlfn._xlws.FILTER(Class_Players!A:A,Class_Players!B:B="Assault"),QUOTIENT(ROW()-ROW($A$2),7)+1),"")</f>
        <v>GoddMustaine</v>
      </c>
      <c r="B632" s="42" t="str">
        <f>_xlfn.XLOOKUP(A632,Class_Players!$A:$A,Class_Players!$B:$B,"")</f>
        <v>Assault</v>
      </c>
      <c r="C632" s="48" t="str" cm="1">
        <f t="array" ref="C632">INDEX(Lookups!$A$2:$A$8,MOD(ROW()-ROW($B$2),ROWS(Lookups!$A$2:$A$8))+1)</f>
        <v>Assault Ladder</v>
      </c>
      <c r="D632" s="48" t="str">
        <f>_xlfn.XLOOKUP(C632,Analysis_Gadgets!$C:$C,Analysis_Gadgets!$B:$B)</f>
        <v>Gadget</v>
      </c>
      <c r="E632" s="43">
        <v>9</v>
      </c>
      <c r="F632" s="43">
        <f>_xlfn.XLOOKUP(A632,Class_Players!A:A,Class_Players!G:G)</f>
        <v>139</v>
      </c>
      <c r="G632" s="43">
        <f t="shared" si="202"/>
        <v>6.4748201438848921E-2</v>
      </c>
      <c r="H632" s="43">
        <f>_xlfn.XLOOKUP(A632,Class_Players!$A:$A,Class_Players!$F:$F,"")</f>
        <v>7989</v>
      </c>
      <c r="I632" s="44">
        <f t="shared" si="203"/>
        <v>1.1265490048817123E-3</v>
      </c>
      <c r="J632" s="43">
        <f t="shared" si="192"/>
        <v>0</v>
      </c>
      <c r="K632" s="44" cm="1">
        <f t="array" ref="K632">IF(D632="Gadget",_xlfn.IFS(I632&gt;=0.2,0.5,I632&gt;=0.1,0.35,I632&gt;=0.05,0.2,TRUE,0),IF(D632="Grenade",_xlfn.IFS(I632&gt;=0.2,1,I632&gt;=0.1,0.7,I632&gt;=0.05,0.4,TRUE,0),0))</f>
        <v>0</v>
      </c>
      <c r="L632" s="57">
        <f t="shared" ref="L632:L636" si="205">IF($K632=0,0,$K632 / SUMIFS($K:$K,$A:$A,$A632,$D:$D,"Gadget"))</f>
        <v>0</v>
      </c>
    </row>
    <row r="633" spans="1:12" x14ac:dyDescent="0.25">
      <c r="A633" s="42" t="str" cm="1">
        <f t="array" ref="A633">IFERROR(INDEX(_xlfn._xlws.FILTER(Class_Players!A:A,Class_Players!B:B="Assault"),QUOTIENT(ROW()-ROW($A$2),7)+1),"")</f>
        <v>GoddMustaine</v>
      </c>
      <c r="B633" s="42" t="str">
        <f>_xlfn.XLOOKUP(A633,Class_Players!$A:$A,Class_Players!$B:$B,"")</f>
        <v>Assault</v>
      </c>
      <c r="C633" s="48" t="str" cm="1">
        <f t="array" ref="C633">INDEX(Lookups!$A$2:$A$8,MOD(ROW()-ROW($B$2),ROWS(Lookups!$A$2:$A$8))+1)</f>
        <v>X95 BRE (Breaching Projectile Launcher)</v>
      </c>
      <c r="D633" s="48" t="str">
        <f>_xlfn.XLOOKUP(C633,Analysis_Gadgets!$C:$C,Analysis_Gadgets!$B:$B)</f>
        <v>Gadget</v>
      </c>
      <c r="E633" s="43">
        <v>21</v>
      </c>
      <c r="F633" s="43">
        <f>_xlfn.XLOOKUP(A633,Class_Players!A:A,Class_Players!G:G)</f>
        <v>139</v>
      </c>
      <c r="G633" s="43">
        <f t="shared" si="202"/>
        <v>0.15107913669064749</v>
      </c>
      <c r="H633" s="43">
        <f>_xlfn.XLOOKUP(A633,Class_Players!$A:$A,Class_Players!$F:$F,"")</f>
        <v>7989</v>
      </c>
      <c r="I633" s="44">
        <f t="shared" si="203"/>
        <v>2.6286143447239955E-3</v>
      </c>
      <c r="J633" s="43">
        <f t="shared" si="192"/>
        <v>0</v>
      </c>
      <c r="K633" s="44" cm="1">
        <f t="array" ref="K633">IF(D633="Gadget",_xlfn.IFS(I633&gt;=0.2,0.5,I633&gt;=0.1,0.35,I633&gt;=0.05,0.2,TRUE,0),IF(D633="Grenade",_xlfn.IFS(I633&gt;=0.2,1,I633&gt;=0.1,0.7,I633&gt;=0.05,0.4,TRUE,0),0))</f>
        <v>0</v>
      </c>
      <c r="L633" s="57">
        <f t="shared" si="205"/>
        <v>0</v>
      </c>
    </row>
    <row r="634" spans="1:12" x14ac:dyDescent="0.25">
      <c r="A634" s="42" t="str" cm="1">
        <f t="array" ref="A634">IFERROR(INDEX(_xlfn._xlws.FILTER(Class_Players!A:A,Class_Players!B:B="Assault"),QUOTIENT(ROW()-ROW($A$2),7)+1),"")</f>
        <v>GoddMustaine</v>
      </c>
      <c r="B634" s="42" t="str">
        <f>_xlfn.XLOOKUP(A634,Class_Players!$A:$A,Class_Players!$B:$B,"")</f>
        <v>Assault</v>
      </c>
      <c r="C634" s="48" t="str" cm="1">
        <f t="array" ref="C634">INDEX(Lookups!$A$2:$A$8,MOD(ROW()-ROW($B$2),ROWS(Lookups!$A$2:$A$8))+1)</f>
        <v>M320A1 HE (Grenade Launcher)</v>
      </c>
      <c r="D634" s="48" t="str">
        <f>_xlfn.XLOOKUP(C634,Analysis_Gadgets!$C:$C,Analysis_Gadgets!$B:$B)</f>
        <v>Gadget</v>
      </c>
      <c r="E634" s="43">
        <v>3426</v>
      </c>
      <c r="F634" s="43">
        <f>_xlfn.XLOOKUP(A634,Class_Players!A:A,Class_Players!G:G)</f>
        <v>139</v>
      </c>
      <c r="G634" s="43">
        <f t="shared" si="202"/>
        <v>24.647482014388491</v>
      </c>
      <c r="H634" s="43">
        <f>_xlfn.XLOOKUP(A634,Class_Players!$A:$A,Class_Players!$F:$F,"")</f>
        <v>7989</v>
      </c>
      <c r="I634" s="44">
        <f t="shared" si="203"/>
        <v>0.42883965452497186</v>
      </c>
      <c r="J634" s="43">
        <f t="shared" si="192"/>
        <v>1</v>
      </c>
      <c r="K634" s="44" cm="1">
        <f t="array" ref="K634">IF(D634="Gadget",_xlfn.IFS(I634&gt;=0.2,0.5,I634&gt;=0.1,0.35,I634&gt;=0.05,0.2,TRUE,0),IF(D634="Grenade",_xlfn.IFS(I634&gt;=0.2,1,I634&gt;=0.1,0.7,I634&gt;=0.05,0.4,TRUE,0),0))</f>
        <v>0.5</v>
      </c>
      <c r="L634" s="57">
        <f t="shared" si="205"/>
        <v>1</v>
      </c>
    </row>
    <row r="635" spans="1:12" x14ac:dyDescent="0.25">
      <c r="A635" s="42" t="str" cm="1">
        <f t="array" ref="A635">IFERROR(INDEX(_xlfn._xlws.FILTER(Class_Players!A:A,Class_Players!B:B="Assault"),QUOTIENT(ROW()-ROW($A$2),7)+1),"")</f>
        <v>GoddMustaine</v>
      </c>
      <c r="B635" s="42" t="str">
        <f>_xlfn.XLOOKUP(A635,Class_Players!$A:$A,Class_Players!$B:$B,"")</f>
        <v>Assault</v>
      </c>
      <c r="C635" s="48" t="str" cm="1">
        <f t="array" ref="C635">INDEX(Lookups!$A$2:$A$8,MOD(ROW()-ROW($B$2),ROWS(Lookups!$A$2:$A$8))+1)</f>
        <v>M320A1 THRM    (Incendiary Grenade Launcher)</v>
      </c>
      <c r="D635" s="48" t="str">
        <f>_xlfn.XLOOKUP(C635,Analysis_Gadgets!$C:$C,Analysis_Gadgets!$B:$B)</f>
        <v>Gadget</v>
      </c>
      <c r="E635" s="43">
        <v>135</v>
      </c>
      <c r="F635" s="43">
        <f>_xlfn.XLOOKUP(A635,Class_Players!A:A,Class_Players!G:G)</f>
        <v>139</v>
      </c>
      <c r="G635" s="43">
        <f t="shared" si="202"/>
        <v>0.97122302158273377</v>
      </c>
      <c r="H635" s="43">
        <f>_xlfn.XLOOKUP(A635,Class_Players!$A:$A,Class_Players!$F:$F,"")</f>
        <v>7989</v>
      </c>
      <c r="I635" s="44">
        <f t="shared" si="203"/>
        <v>1.6898235073225687E-2</v>
      </c>
      <c r="J635" s="43">
        <f t="shared" si="192"/>
        <v>0</v>
      </c>
      <c r="K635" s="44" cm="1">
        <f t="array" ref="K635">IF(D635="Gadget",_xlfn.IFS(I635&gt;=0.2,0.5,I635&gt;=0.1,0.35,I635&gt;=0.05,0.2,TRUE,0),IF(D635="Grenade",_xlfn.IFS(I635&gt;=0.2,1,I635&gt;=0.1,0.7,I635&gt;=0.05,0.4,TRUE,0),0))</f>
        <v>0</v>
      </c>
      <c r="L635" s="57">
        <f t="shared" si="205"/>
        <v>0</v>
      </c>
    </row>
    <row r="636" spans="1:12" x14ac:dyDescent="0.25">
      <c r="A636" s="42" t="str" cm="1">
        <f t="array" ref="A636">IFERROR(INDEX(_xlfn._xlws.FILTER(Class_Players!A:A,Class_Players!B:B="Assault"),QUOTIENT(ROW()-ROW($A$2),7)+1),"")</f>
        <v>GoddMustaine</v>
      </c>
      <c r="B636" s="42" t="str">
        <f>_xlfn.XLOOKUP(A636,Class_Players!$A:$A,Class_Players!$B:$B,"")</f>
        <v>Assault</v>
      </c>
      <c r="C636" s="48" t="str" cm="1">
        <f t="array" ref="C636">INDEX(Lookups!$A$2:$A$8,MOD(ROW()-ROW($B$2),ROWS(Lookups!$A$2:$A$8))+1)</f>
        <v>QLINK (Deploy Beacon)</v>
      </c>
      <c r="D636" s="48" t="str">
        <f>_xlfn.XLOOKUP(C636,Analysis_Gadgets!$C:$C,Analysis_Gadgets!$B:$B)</f>
        <v>Gadget</v>
      </c>
      <c r="E636" s="43">
        <v>34</v>
      </c>
      <c r="F636" s="43">
        <f>_xlfn.XLOOKUP(A636,Class_Players!A:A,Class_Players!G:G)</f>
        <v>139</v>
      </c>
      <c r="G636" s="43">
        <f t="shared" si="202"/>
        <v>0.2446043165467626</v>
      </c>
      <c r="H636" s="43">
        <f>_xlfn.XLOOKUP(A636,Class_Players!$A:$A,Class_Players!$F:$F,"")</f>
        <v>7989</v>
      </c>
      <c r="I636" s="44">
        <f t="shared" si="203"/>
        <v>4.2558517962198025E-3</v>
      </c>
      <c r="J636" s="43">
        <f t="shared" si="192"/>
        <v>0</v>
      </c>
      <c r="K636" s="44" cm="1">
        <f t="array" ref="K636">IF(D636="Gadget",_xlfn.IFS(I636&gt;=0.2,0.5,I636&gt;=0.1,0.35,I636&gt;=0.05,0.2,TRUE,0),IF(D636="Grenade",_xlfn.IFS(I636&gt;=0.2,1,I636&gt;=0.1,0.7,I636&gt;=0.05,0.4,TRUE,0),0))</f>
        <v>0</v>
      </c>
      <c r="L636" s="57">
        <f t="shared" si="205"/>
        <v>0</v>
      </c>
    </row>
    <row r="637" spans="1:12" x14ac:dyDescent="0.25">
      <c r="A637" s="42" t="str" cm="1">
        <f t="array" ref="A637">IFERROR(INDEX(_xlfn._xlws.FILTER(Class_Players!A:A,Class_Players!B:B="Assault"),QUOTIENT(ROW()-ROW($A$2),7)+1),"")</f>
        <v>GoddMustaine</v>
      </c>
      <c r="B637" s="42" t="str">
        <f>_xlfn.XLOOKUP(A637,Class_Players!$A:$A,Class_Players!$B:$B,"")</f>
        <v>Assault</v>
      </c>
      <c r="C637" s="48" t="str" cm="1">
        <f t="array" ref="C637">INDEX(Lookups!$A$2:$A$8,MOD(ROW()-ROW($B$2),ROWS(Lookups!$A$2:$A$8))+1)</f>
        <v>Stun Grenade</v>
      </c>
      <c r="D637" s="48" t="str">
        <f>_xlfn.XLOOKUP(C637,Analysis_Gadgets!$C:$C,Analysis_Gadgets!$B:$B)</f>
        <v>Grenade</v>
      </c>
      <c r="E637" s="43">
        <v>95</v>
      </c>
      <c r="F637" s="43">
        <f>_xlfn.XLOOKUP(A637,Class_Players!A:A,Class_Players!G:G)</f>
        <v>139</v>
      </c>
      <c r="G637" s="43">
        <f t="shared" si="202"/>
        <v>0.68345323741007191</v>
      </c>
      <c r="H637" s="43">
        <f>_xlfn.XLOOKUP(A637,Class_Players!$A:$A,Class_Players!$F:$F,"")</f>
        <v>7989</v>
      </c>
      <c r="I637" s="44">
        <f t="shared" si="203"/>
        <v>1.1891350607084742E-2</v>
      </c>
      <c r="J637" s="43">
        <f t="shared" si="192"/>
        <v>0</v>
      </c>
      <c r="K637" s="44" cm="1">
        <f t="array" ref="K637">IF(D637="Gadget",_xlfn.IFS(I637&gt;=0.2,0.5,I637&gt;=0.1,0.35,I637&gt;=0.05,0.2,TRUE,0),IF(D637="Grenade",_xlfn.IFS(I637&gt;=0.2,1,I637&gt;=0.1,0.7,I637&gt;=0.05,0.4,TRUE,0),0))</f>
        <v>0</v>
      </c>
      <c r="L637" s="57">
        <f t="shared" si="174"/>
        <v>0</v>
      </c>
    </row>
    <row r="638" spans="1:12" x14ac:dyDescent="0.25">
      <c r="A638" s="42" t="str" cm="1">
        <f t="array" ref="A638">IFERROR(INDEX(_xlfn._xlws.FILTER(Class_Players!A:A,Class_Players!B:B="Assault"),QUOTIENT(ROW()-ROW($A$2),7)+1),"")</f>
        <v>GoddMustaine</v>
      </c>
      <c r="B638" s="42" t="str">
        <f>_xlfn.XLOOKUP(A638,Class_Players!$A:$A,Class_Players!$B:$B,"")</f>
        <v>Assault</v>
      </c>
      <c r="C638" s="48" t="str" cm="1">
        <f t="array" ref="C638">INDEX(Lookups!$A$2:$A$8,MOD(ROW()-ROW($B$2),ROWS(Lookups!$A$2:$A$8))+1)</f>
        <v>Flash Grenade</v>
      </c>
      <c r="D638" s="48" t="str">
        <f>_xlfn.XLOOKUP(C638,Analysis_Gadgets!$C:$C,Analysis_Gadgets!$B:$B)</f>
        <v>Grenade</v>
      </c>
      <c r="E638" s="43">
        <v>37</v>
      </c>
      <c r="F638" s="43">
        <f>_xlfn.XLOOKUP(A638,Class_Players!A:A,Class_Players!G:G)</f>
        <v>139</v>
      </c>
      <c r="G638" s="43">
        <f t="shared" si="202"/>
        <v>0.26618705035971224</v>
      </c>
      <c r="H638" s="43">
        <f>_xlfn.XLOOKUP(A638,Class_Players!$A:$A,Class_Players!$F:$F,"")</f>
        <v>7989</v>
      </c>
      <c r="I638" s="44">
        <f t="shared" si="203"/>
        <v>4.6313681311803733E-3</v>
      </c>
      <c r="J638" s="43">
        <f t="shared" si="192"/>
        <v>0</v>
      </c>
      <c r="K638" s="44" cm="1">
        <f t="array" ref="K638">IF(D638="Gadget",_xlfn.IFS(I638&gt;=0.2,0.5,I638&gt;=0.1,0.35,I638&gt;=0.05,0.2,TRUE,0),IF(D638="Grenade",_xlfn.IFS(I638&gt;=0.2,1,I638&gt;=0.1,0.7,I638&gt;=0.05,0.4,TRUE,0),0))</f>
        <v>0</v>
      </c>
      <c r="L638" s="57">
        <f t="shared" si="174"/>
        <v>0</v>
      </c>
    </row>
    <row r="639" spans="1:12" x14ac:dyDescent="0.25">
      <c r="A639" s="42" t="str" cm="1">
        <f t="array" ref="A639">IFERROR(INDEX(_xlfn._xlws.FILTER(Class_Players!A:A,Class_Players!B:B="Assault"),QUOTIENT(ROW()-ROW($A$2),7)+1),"")</f>
        <v>ilovethisgameoko</v>
      </c>
      <c r="B639" s="42" t="str">
        <f>_xlfn.XLOOKUP(A639,Class_Players!$A:$A,Class_Players!$B:$B,"")</f>
        <v>Assault</v>
      </c>
      <c r="C639" s="48" t="str" cm="1">
        <f t="array" ref="C639">INDEX(Lookups!$A$2:$A$8,MOD(ROW()-ROW($B$2),ROWS(Lookups!$A$2:$A$8))+1)</f>
        <v>Assault Ladder</v>
      </c>
      <c r="D639" s="48" t="str">
        <f>_xlfn.XLOOKUP(C639,Analysis_Gadgets!$C:$C,Analysis_Gadgets!$B:$B)</f>
        <v>Gadget</v>
      </c>
      <c r="E639" s="43">
        <v>30</v>
      </c>
      <c r="F639" s="43">
        <f>_xlfn.XLOOKUP(A639,Class_Players!A:A,Class_Players!G:G)</f>
        <v>122</v>
      </c>
      <c r="G639" s="43">
        <f t="shared" si="202"/>
        <v>0.24590163934426229</v>
      </c>
      <c r="H639" s="43">
        <f>_xlfn.XLOOKUP(A639,Class_Players!$A:$A,Class_Players!$F:$F,"")</f>
        <v>7464</v>
      </c>
      <c r="I639" s="44">
        <f t="shared" si="203"/>
        <v>4.0192926045016075E-3</v>
      </c>
      <c r="J639" s="43">
        <f t="shared" si="192"/>
        <v>0</v>
      </c>
      <c r="K639" s="44" cm="1">
        <f t="array" ref="K639">IF(D639="Gadget",_xlfn.IFS(I639&gt;=0.2,0.5,I639&gt;=0.1,0.35,I639&gt;=0.05,0.2,TRUE,0),IF(D639="Grenade",_xlfn.IFS(I639&gt;=0.2,1,I639&gt;=0.1,0.7,I639&gt;=0.05,0.4,TRUE,0),0))</f>
        <v>0</v>
      </c>
      <c r="L639" s="57">
        <f t="shared" ref="L639:L643" si="206">IF($K639=0,0,$K639 / SUMIFS($K:$K,$A:$A,$A639,$D:$D,"Gadget"))</f>
        <v>0</v>
      </c>
    </row>
    <row r="640" spans="1:12" x14ac:dyDescent="0.25">
      <c r="A640" s="42" t="str" cm="1">
        <f t="array" ref="A640">IFERROR(INDEX(_xlfn._xlws.FILTER(Class_Players!A:A,Class_Players!B:B="Assault"),QUOTIENT(ROW()-ROW($A$2),7)+1),"")</f>
        <v>ilovethisgameoko</v>
      </c>
      <c r="B640" s="42" t="str">
        <f>_xlfn.XLOOKUP(A640,Class_Players!$A:$A,Class_Players!$B:$B,"")</f>
        <v>Assault</v>
      </c>
      <c r="C640" s="48" t="str" cm="1">
        <f t="array" ref="C640">INDEX(Lookups!$A$2:$A$8,MOD(ROW()-ROW($B$2),ROWS(Lookups!$A$2:$A$8))+1)</f>
        <v>X95 BRE (Breaching Projectile Launcher)</v>
      </c>
      <c r="D640" s="48" t="str">
        <f>_xlfn.XLOOKUP(C640,Analysis_Gadgets!$C:$C,Analysis_Gadgets!$B:$B)</f>
        <v>Gadget</v>
      </c>
      <c r="E640" s="43">
        <v>0</v>
      </c>
      <c r="F640" s="43">
        <f>_xlfn.XLOOKUP(A640,Class_Players!A:A,Class_Players!G:G)</f>
        <v>122</v>
      </c>
      <c r="G640" s="43">
        <f t="shared" si="202"/>
        <v>0</v>
      </c>
      <c r="H640" s="43">
        <f>_xlfn.XLOOKUP(A640,Class_Players!$A:$A,Class_Players!$F:$F,"")</f>
        <v>7464</v>
      </c>
      <c r="I640" s="44">
        <f t="shared" si="203"/>
        <v>0</v>
      </c>
      <c r="J640" s="43">
        <f t="shared" si="192"/>
        <v>0</v>
      </c>
      <c r="K640" s="44" cm="1">
        <f t="array" ref="K640">IF(D640="Gadget",_xlfn.IFS(I640&gt;=0.2,0.5,I640&gt;=0.1,0.35,I640&gt;=0.05,0.2,TRUE,0),IF(D640="Grenade",_xlfn.IFS(I640&gt;=0.2,1,I640&gt;=0.1,0.7,I640&gt;=0.05,0.4,TRUE,0),0))</f>
        <v>0</v>
      </c>
      <c r="L640" s="57">
        <f t="shared" si="206"/>
        <v>0</v>
      </c>
    </row>
    <row r="641" spans="1:12" x14ac:dyDescent="0.25">
      <c r="A641" s="42" t="str" cm="1">
        <f t="array" ref="A641">IFERROR(INDEX(_xlfn._xlws.FILTER(Class_Players!A:A,Class_Players!B:B="Assault"),QUOTIENT(ROW()-ROW($A$2),7)+1),"")</f>
        <v>ilovethisgameoko</v>
      </c>
      <c r="B641" s="42" t="str">
        <f>_xlfn.XLOOKUP(A641,Class_Players!$A:$A,Class_Players!$B:$B,"")</f>
        <v>Assault</v>
      </c>
      <c r="C641" s="48" t="str" cm="1">
        <f t="array" ref="C641">INDEX(Lookups!$A$2:$A$8,MOD(ROW()-ROW($B$2),ROWS(Lookups!$A$2:$A$8))+1)</f>
        <v>M320A1 HE (Grenade Launcher)</v>
      </c>
      <c r="D641" s="48" t="str">
        <f>_xlfn.XLOOKUP(C641,Analysis_Gadgets!$C:$C,Analysis_Gadgets!$B:$B)</f>
        <v>Gadget</v>
      </c>
      <c r="E641" s="43">
        <v>4</v>
      </c>
      <c r="F641" s="43">
        <f>_xlfn.XLOOKUP(A641,Class_Players!A:A,Class_Players!G:G)</f>
        <v>122</v>
      </c>
      <c r="G641" s="43">
        <f t="shared" si="202"/>
        <v>3.2786885245901641E-2</v>
      </c>
      <c r="H641" s="43">
        <f>_xlfn.XLOOKUP(A641,Class_Players!$A:$A,Class_Players!$F:$F,"")</f>
        <v>7464</v>
      </c>
      <c r="I641" s="44">
        <f t="shared" si="203"/>
        <v>5.3590568060021436E-4</v>
      </c>
      <c r="J641" s="43">
        <f t="shared" si="192"/>
        <v>0</v>
      </c>
      <c r="K641" s="44" cm="1">
        <f t="array" ref="K641">IF(D641="Gadget",_xlfn.IFS(I641&gt;=0.2,0.5,I641&gt;=0.1,0.35,I641&gt;=0.05,0.2,TRUE,0),IF(D641="Grenade",_xlfn.IFS(I641&gt;=0.2,1,I641&gt;=0.1,0.7,I641&gt;=0.05,0.4,TRUE,0),0))</f>
        <v>0</v>
      </c>
      <c r="L641" s="57">
        <f t="shared" si="206"/>
        <v>0</v>
      </c>
    </row>
    <row r="642" spans="1:12" x14ac:dyDescent="0.25">
      <c r="A642" s="42" t="str" cm="1">
        <f t="array" ref="A642">IFERROR(INDEX(_xlfn._xlws.FILTER(Class_Players!A:A,Class_Players!B:B="Assault"),QUOTIENT(ROW()-ROW($A$2),7)+1),"")</f>
        <v>ilovethisgameoko</v>
      </c>
      <c r="B642" s="42" t="str">
        <f>_xlfn.XLOOKUP(A642,Class_Players!$A:$A,Class_Players!$B:$B,"")</f>
        <v>Assault</v>
      </c>
      <c r="C642" s="48" t="str" cm="1">
        <f t="array" ref="C642">INDEX(Lookups!$A$2:$A$8,MOD(ROW()-ROW($B$2),ROWS(Lookups!$A$2:$A$8))+1)</f>
        <v>M320A1 THRM    (Incendiary Grenade Launcher)</v>
      </c>
      <c r="D642" s="48" t="str">
        <f>_xlfn.XLOOKUP(C642,Analysis_Gadgets!$C:$C,Analysis_Gadgets!$B:$B)</f>
        <v>Gadget</v>
      </c>
      <c r="E642" s="43">
        <v>642</v>
      </c>
      <c r="F642" s="43">
        <f>_xlfn.XLOOKUP(A642,Class_Players!A:A,Class_Players!G:G)</f>
        <v>122</v>
      </c>
      <c r="G642" s="43">
        <f t="shared" si="202"/>
        <v>5.2622950819672134</v>
      </c>
      <c r="H642" s="43">
        <f>_xlfn.XLOOKUP(A642,Class_Players!$A:$A,Class_Players!$F:$F,"")</f>
        <v>7464</v>
      </c>
      <c r="I642" s="44">
        <f t="shared" si="203"/>
        <v>8.6012861736334406E-2</v>
      </c>
      <c r="J642" s="43">
        <f t="shared" si="192"/>
        <v>0</v>
      </c>
      <c r="K642" s="44" cm="1">
        <f t="array" ref="K642">IF(D642="Gadget",_xlfn.IFS(I642&gt;=0.2,0.5,I642&gt;=0.1,0.35,I642&gt;=0.05,0.2,TRUE,0),IF(D642="Grenade",_xlfn.IFS(I642&gt;=0.2,1,I642&gt;=0.1,0.7,I642&gt;=0.05,0.4,TRUE,0),0))</f>
        <v>0.2</v>
      </c>
      <c r="L642" s="57">
        <f t="shared" si="206"/>
        <v>1</v>
      </c>
    </row>
    <row r="643" spans="1:12" x14ac:dyDescent="0.25">
      <c r="A643" s="42" t="str" cm="1">
        <f t="array" ref="A643">IFERROR(INDEX(_xlfn._xlws.FILTER(Class_Players!A:A,Class_Players!B:B="Assault"),QUOTIENT(ROW()-ROW($A$2),7)+1),"")</f>
        <v>ilovethisgameoko</v>
      </c>
      <c r="B643" s="42" t="str">
        <f>_xlfn.XLOOKUP(A643,Class_Players!$A:$A,Class_Players!$B:$B,"")</f>
        <v>Assault</v>
      </c>
      <c r="C643" s="48" t="str" cm="1">
        <f t="array" ref="C643">INDEX(Lookups!$A$2:$A$8,MOD(ROW()-ROW($B$2),ROWS(Lookups!$A$2:$A$8))+1)</f>
        <v>QLINK (Deploy Beacon)</v>
      </c>
      <c r="D643" s="48" t="str">
        <f>_xlfn.XLOOKUP(C643,Analysis_Gadgets!$C:$C,Analysis_Gadgets!$B:$B)</f>
        <v>Gadget</v>
      </c>
      <c r="E643" s="43">
        <v>126</v>
      </c>
      <c r="F643" s="43">
        <f>_xlfn.XLOOKUP(A643,Class_Players!A:A,Class_Players!G:G)</f>
        <v>122</v>
      </c>
      <c r="G643" s="43">
        <f t="shared" si="202"/>
        <v>1.0327868852459017</v>
      </c>
      <c r="H643" s="43">
        <f>_xlfn.XLOOKUP(A643,Class_Players!$A:$A,Class_Players!$F:$F,"")</f>
        <v>7464</v>
      </c>
      <c r="I643" s="44">
        <f t="shared" si="203"/>
        <v>1.6881028938906754E-2</v>
      </c>
      <c r="J643" s="43">
        <f t="shared" ref="J643:J701" si="207">IF(I643&gt;=0.1,1,0)</f>
        <v>0</v>
      </c>
      <c r="K643" s="44" cm="1">
        <f t="array" ref="K643">IF(D643="Gadget",_xlfn.IFS(I643&gt;=0.2,0.5,I643&gt;=0.1,0.35,I643&gt;=0.05,0.2,TRUE,0),IF(D643="Grenade",_xlfn.IFS(I643&gt;=0.2,1,I643&gt;=0.1,0.7,I643&gt;=0.05,0.4,TRUE,0),0))</f>
        <v>0</v>
      </c>
      <c r="L643" s="57">
        <f t="shared" si="206"/>
        <v>0</v>
      </c>
    </row>
    <row r="644" spans="1:12" x14ac:dyDescent="0.25">
      <c r="A644" s="42" t="str" cm="1">
        <f t="array" ref="A644">IFERROR(INDEX(_xlfn._xlws.FILTER(Class_Players!A:A,Class_Players!B:B="Assault"),QUOTIENT(ROW()-ROW($A$2),7)+1),"")</f>
        <v>ilovethisgameoko</v>
      </c>
      <c r="B644" s="42" t="str">
        <f>_xlfn.XLOOKUP(A644,Class_Players!$A:$A,Class_Players!$B:$B,"")</f>
        <v>Assault</v>
      </c>
      <c r="C644" s="48" t="str" cm="1">
        <f t="array" ref="C644">INDEX(Lookups!$A$2:$A$8,MOD(ROW()-ROW($B$2),ROWS(Lookups!$A$2:$A$8))+1)</f>
        <v>Stun Grenade</v>
      </c>
      <c r="D644" s="48" t="str">
        <f>_xlfn.XLOOKUP(C644,Analysis_Gadgets!$C:$C,Analysis_Gadgets!$B:$B)</f>
        <v>Grenade</v>
      </c>
      <c r="E644" s="43">
        <v>192</v>
      </c>
      <c r="F644" s="43">
        <f>_xlfn.XLOOKUP(A644,Class_Players!A:A,Class_Players!G:G)</f>
        <v>122</v>
      </c>
      <c r="G644" s="43">
        <f t="shared" si="202"/>
        <v>1.5737704918032787</v>
      </c>
      <c r="H644" s="43">
        <f>_xlfn.XLOOKUP(A644,Class_Players!$A:$A,Class_Players!$F:$F,"")</f>
        <v>7464</v>
      </c>
      <c r="I644" s="44">
        <f t="shared" si="203"/>
        <v>2.5723472668810289E-2</v>
      </c>
      <c r="J644" s="43">
        <f t="shared" si="207"/>
        <v>0</v>
      </c>
      <c r="K644" s="44" cm="1">
        <f t="array" ref="K644">IF(D644="Gadget",_xlfn.IFS(I644&gt;=0.2,0.5,I644&gt;=0.1,0.35,I644&gt;=0.05,0.2,TRUE,0),IF(D644="Grenade",_xlfn.IFS(I644&gt;=0.2,1,I644&gt;=0.1,0.7,I644&gt;=0.05,0.4,TRUE,0),0))</f>
        <v>0</v>
      </c>
      <c r="L644" s="57">
        <f t="shared" ref="L644:L645" si="208">IF($K644=0,0,$K644 / SUMIFS($K:$K,$A:$A,$A644,$D:$D,"Grenade"))</f>
        <v>0</v>
      </c>
    </row>
    <row r="645" spans="1:12" x14ac:dyDescent="0.25">
      <c r="A645" s="42" t="str" cm="1">
        <f t="array" ref="A645">IFERROR(INDEX(_xlfn._xlws.FILTER(Class_Players!A:A,Class_Players!B:B="Assault"),QUOTIENT(ROW()-ROW($A$2),7)+1),"")</f>
        <v>ilovethisgameoko</v>
      </c>
      <c r="B645" s="42" t="str">
        <f>_xlfn.XLOOKUP(A645,Class_Players!$A:$A,Class_Players!$B:$B,"")</f>
        <v>Assault</v>
      </c>
      <c r="C645" s="48" t="str" cm="1">
        <f t="array" ref="C645">INDEX(Lookups!$A$2:$A$8,MOD(ROW()-ROW($B$2),ROWS(Lookups!$A$2:$A$8))+1)</f>
        <v>Flash Grenade</v>
      </c>
      <c r="D645" s="48" t="str">
        <f>_xlfn.XLOOKUP(C645,Analysis_Gadgets!$C:$C,Analysis_Gadgets!$B:$B)</f>
        <v>Grenade</v>
      </c>
      <c r="E645" s="43">
        <v>64</v>
      </c>
      <c r="F645" s="43">
        <f>_xlfn.XLOOKUP(A645,Class_Players!A:A,Class_Players!G:G)</f>
        <v>122</v>
      </c>
      <c r="G645" s="43">
        <f t="shared" si="202"/>
        <v>0.52459016393442626</v>
      </c>
      <c r="H645" s="43">
        <f>_xlfn.XLOOKUP(A645,Class_Players!$A:$A,Class_Players!$F:$F,"")</f>
        <v>7464</v>
      </c>
      <c r="I645" s="44">
        <f t="shared" si="203"/>
        <v>8.5744908896034297E-3</v>
      </c>
      <c r="J645" s="43">
        <f t="shared" si="207"/>
        <v>0</v>
      </c>
      <c r="K645" s="44" cm="1">
        <f t="array" ref="K645">IF(D645="Gadget",_xlfn.IFS(I645&gt;=0.2,0.5,I645&gt;=0.1,0.35,I645&gt;=0.05,0.2,TRUE,0),IF(D645="Grenade",_xlfn.IFS(I645&gt;=0.2,1,I645&gt;=0.1,0.7,I645&gt;=0.05,0.4,TRUE,0),0))</f>
        <v>0</v>
      </c>
      <c r="L645" s="57">
        <f t="shared" si="208"/>
        <v>0</v>
      </c>
    </row>
    <row r="646" spans="1:12" x14ac:dyDescent="0.25">
      <c r="A646" s="42" t="str" cm="1">
        <f t="array" ref="A646">IFERROR(INDEX(_xlfn._xlws.FILTER(Class_Players!A:A,Class_Players!B:B="Assault"),QUOTIENT(ROW()-ROW($A$2),7)+1),"")</f>
        <v>ZulCul</v>
      </c>
      <c r="B646" s="42" t="str">
        <f>_xlfn.XLOOKUP(A646,Class_Players!$A:$A,Class_Players!$B:$B,"")</f>
        <v>Assault</v>
      </c>
      <c r="C646" s="48" t="str" cm="1">
        <f t="array" ref="C646">INDEX(Lookups!$A$2:$A$8,MOD(ROW()-ROW($B$2),ROWS(Lookups!$A$2:$A$8))+1)</f>
        <v>Assault Ladder</v>
      </c>
      <c r="D646" s="48" t="str">
        <f>_xlfn.XLOOKUP(C646,Analysis_Gadgets!$C:$C,Analysis_Gadgets!$B:$B)</f>
        <v>Gadget</v>
      </c>
      <c r="E646" s="43">
        <v>117</v>
      </c>
      <c r="F646" s="43">
        <f>_xlfn.XLOOKUP(A646,Class_Players!A:A,Class_Players!G:G)</f>
        <v>187</v>
      </c>
      <c r="G646" s="43">
        <f t="shared" si="202"/>
        <v>0.62566844919786091</v>
      </c>
      <c r="H646" s="43">
        <f>_xlfn.XLOOKUP(A646,Class_Players!$A:$A,Class_Players!$F:$F,"")</f>
        <v>7785</v>
      </c>
      <c r="I646" s="44">
        <f t="shared" si="203"/>
        <v>1.5028901734104046E-2</v>
      </c>
      <c r="J646" s="43">
        <f t="shared" si="207"/>
        <v>0</v>
      </c>
      <c r="K646" s="44" cm="1">
        <f t="array" ref="K646">IF(D646="Gadget",_xlfn.IFS(I646&gt;=0.2,0.5,I646&gt;=0.1,0.35,I646&gt;=0.05,0.2,TRUE,0),IF(D646="Grenade",_xlfn.IFS(I646&gt;=0.2,1,I646&gt;=0.1,0.7,I646&gt;=0.05,0.4,TRUE,0),0))</f>
        <v>0</v>
      </c>
      <c r="L646" s="57">
        <f t="shared" ref="L646:L650" si="209">IF($K646=0,0,$K646 / SUMIFS($K:$K,$A:$A,$A646,$D:$D,"Gadget"))</f>
        <v>0</v>
      </c>
    </row>
    <row r="647" spans="1:12" x14ac:dyDescent="0.25">
      <c r="A647" s="42" t="str" cm="1">
        <f t="array" ref="A647">IFERROR(INDEX(_xlfn._xlws.FILTER(Class_Players!A:A,Class_Players!B:B="Assault"),QUOTIENT(ROW()-ROW($A$2),7)+1),"")</f>
        <v>ZulCul</v>
      </c>
      <c r="B647" s="42" t="str">
        <f>_xlfn.XLOOKUP(A647,Class_Players!$A:$A,Class_Players!$B:$B,"")</f>
        <v>Assault</v>
      </c>
      <c r="C647" s="48" t="str" cm="1">
        <f t="array" ref="C647">INDEX(Lookups!$A$2:$A$8,MOD(ROW()-ROW($B$2),ROWS(Lookups!$A$2:$A$8))+1)</f>
        <v>X95 BRE (Breaching Projectile Launcher)</v>
      </c>
      <c r="D647" s="48" t="str">
        <f>_xlfn.XLOOKUP(C647,Analysis_Gadgets!$C:$C,Analysis_Gadgets!$B:$B)</f>
        <v>Gadget</v>
      </c>
      <c r="E647" s="43">
        <v>19</v>
      </c>
      <c r="F647" s="43">
        <f>_xlfn.XLOOKUP(A647,Class_Players!A:A,Class_Players!G:G)</f>
        <v>187</v>
      </c>
      <c r="G647" s="43">
        <f t="shared" si="202"/>
        <v>0.10160427807486631</v>
      </c>
      <c r="H647" s="43">
        <f>_xlfn.XLOOKUP(A647,Class_Players!$A:$A,Class_Players!$F:$F,"")</f>
        <v>7785</v>
      </c>
      <c r="I647" s="44">
        <f t="shared" si="203"/>
        <v>2.4405908798972383E-3</v>
      </c>
      <c r="J647" s="43">
        <f t="shared" si="207"/>
        <v>0</v>
      </c>
      <c r="K647" s="44" cm="1">
        <f t="array" ref="K647">IF(D647="Gadget",_xlfn.IFS(I647&gt;=0.2,0.5,I647&gt;=0.1,0.35,I647&gt;=0.05,0.2,TRUE,0),IF(D647="Grenade",_xlfn.IFS(I647&gt;=0.2,1,I647&gt;=0.1,0.7,I647&gt;=0.05,0.4,TRUE,0),0))</f>
        <v>0</v>
      </c>
      <c r="L647" s="57">
        <f t="shared" si="209"/>
        <v>0</v>
      </c>
    </row>
    <row r="648" spans="1:12" x14ac:dyDescent="0.25">
      <c r="A648" s="42" t="str" cm="1">
        <f t="array" ref="A648">IFERROR(INDEX(_xlfn._xlws.FILTER(Class_Players!A:A,Class_Players!B:B="Assault"),QUOTIENT(ROW()-ROW($A$2),7)+1),"")</f>
        <v>ZulCul</v>
      </c>
      <c r="B648" s="42" t="str">
        <f>_xlfn.XLOOKUP(A648,Class_Players!$A:$A,Class_Players!$B:$B,"")</f>
        <v>Assault</v>
      </c>
      <c r="C648" s="48" t="str" cm="1">
        <f t="array" ref="C648">INDEX(Lookups!$A$2:$A$8,MOD(ROW()-ROW($B$2),ROWS(Lookups!$A$2:$A$8))+1)</f>
        <v>M320A1 HE (Grenade Launcher)</v>
      </c>
      <c r="D648" s="48" t="str">
        <f>_xlfn.XLOOKUP(C648,Analysis_Gadgets!$C:$C,Analysis_Gadgets!$B:$B)</f>
        <v>Gadget</v>
      </c>
      <c r="E648" s="43">
        <v>3005</v>
      </c>
      <c r="F648" s="43">
        <f>_xlfn.XLOOKUP(A648,Class_Players!A:A,Class_Players!G:G)</f>
        <v>187</v>
      </c>
      <c r="G648" s="43">
        <f t="shared" si="202"/>
        <v>16.069518716577541</v>
      </c>
      <c r="H648" s="43">
        <f>_xlfn.XLOOKUP(A648,Class_Players!$A:$A,Class_Players!$F:$F,"")</f>
        <v>7785</v>
      </c>
      <c r="I648" s="44">
        <f t="shared" si="203"/>
        <v>0.38599871547848424</v>
      </c>
      <c r="J648" s="43">
        <f t="shared" si="207"/>
        <v>1</v>
      </c>
      <c r="K648" s="44" cm="1">
        <f t="array" ref="K648">IF(D648="Gadget",_xlfn.IFS(I648&gt;=0.2,0.5,I648&gt;=0.1,0.35,I648&gt;=0.05,0.2,TRUE,0),IF(D648="Grenade",_xlfn.IFS(I648&gt;=0.2,1,I648&gt;=0.1,0.7,I648&gt;=0.05,0.4,TRUE,0),0))</f>
        <v>0.5</v>
      </c>
      <c r="L648" s="57">
        <f t="shared" si="209"/>
        <v>0.7142857142857143</v>
      </c>
    </row>
    <row r="649" spans="1:12" x14ac:dyDescent="0.25">
      <c r="A649" s="42" t="str" cm="1">
        <f t="array" ref="A649">IFERROR(INDEX(_xlfn._xlws.FILTER(Class_Players!A:A,Class_Players!B:B="Assault"),QUOTIENT(ROW()-ROW($A$2),7)+1),"")</f>
        <v>ZulCul</v>
      </c>
      <c r="B649" s="42" t="str">
        <f>_xlfn.XLOOKUP(A649,Class_Players!$A:$A,Class_Players!$B:$B,"")</f>
        <v>Assault</v>
      </c>
      <c r="C649" s="48" t="str" cm="1">
        <f t="array" ref="C649">INDEX(Lookups!$A$2:$A$8,MOD(ROW()-ROW($B$2),ROWS(Lookups!$A$2:$A$8))+1)</f>
        <v>M320A1 THRM    (Incendiary Grenade Launcher)</v>
      </c>
      <c r="D649" s="48" t="str">
        <f>_xlfn.XLOOKUP(C649,Analysis_Gadgets!$C:$C,Analysis_Gadgets!$B:$B)</f>
        <v>Gadget</v>
      </c>
      <c r="E649" s="43">
        <v>53</v>
      </c>
      <c r="F649" s="43">
        <f>_xlfn.XLOOKUP(A649,Class_Players!A:A,Class_Players!G:G)</f>
        <v>187</v>
      </c>
      <c r="G649" s="43">
        <f t="shared" si="202"/>
        <v>0.28342245989304815</v>
      </c>
      <c r="H649" s="43">
        <f>_xlfn.XLOOKUP(A649,Class_Players!$A:$A,Class_Players!$F:$F,"")</f>
        <v>7785</v>
      </c>
      <c r="I649" s="44">
        <f t="shared" si="203"/>
        <v>6.8079640333975596E-3</v>
      </c>
      <c r="J649" s="43">
        <f t="shared" si="207"/>
        <v>0</v>
      </c>
      <c r="K649" s="44" cm="1">
        <f t="array" ref="K649">IF(D649="Gadget",_xlfn.IFS(I649&gt;=0.2,0.5,I649&gt;=0.1,0.35,I649&gt;=0.05,0.2,TRUE,0),IF(D649="Grenade",_xlfn.IFS(I649&gt;=0.2,1,I649&gt;=0.1,0.7,I649&gt;=0.05,0.4,TRUE,0),0))</f>
        <v>0</v>
      </c>
      <c r="L649" s="57">
        <f t="shared" si="209"/>
        <v>0</v>
      </c>
    </row>
    <row r="650" spans="1:12" x14ac:dyDescent="0.25">
      <c r="A650" s="42" t="str" cm="1">
        <f t="array" ref="A650">IFERROR(INDEX(_xlfn._xlws.FILTER(Class_Players!A:A,Class_Players!B:B="Assault"),QUOTIENT(ROW()-ROW($A$2),7)+1),"")</f>
        <v>ZulCul</v>
      </c>
      <c r="B650" s="42" t="str">
        <f>_xlfn.XLOOKUP(A650,Class_Players!$A:$A,Class_Players!$B:$B,"")</f>
        <v>Assault</v>
      </c>
      <c r="C650" s="48" t="str" cm="1">
        <f t="array" ref="C650">INDEX(Lookups!$A$2:$A$8,MOD(ROW()-ROW($B$2),ROWS(Lookups!$A$2:$A$8))+1)</f>
        <v>QLINK (Deploy Beacon)</v>
      </c>
      <c r="D650" s="48" t="str">
        <f>_xlfn.XLOOKUP(C650,Analysis_Gadgets!$C:$C,Analysis_Gadgets!$B:$B)</f>
        <v>Gadget</v>
      </c>
      <c r="E650" s="43">
        <v>744</v>
      </c>
      <c r="F650" s="43">
        <f>_xlfn.XLOOKUP(A650,Class_Players!A:A,Class_Players!G:G)</f>
        <v>187</v>
      </c>
      <c r="G650" s="43">
        <f t="shared" si="202"/>
        <v>3.9786096256684491</v>
      </c>
      <c r="H650" s="43">
        <f>_xlfn.XLOOKUP(A650,Class_Players!$A:$A,Class_Players!$F:$F,"")</f>
        <v>7785</v>
      </c>
      <c r="I650" s="44">
        <f t="shared" si="203"/>
        <v>9.5568400770712908E-2</v>
      </c>
      <c r="J650" s="43">
        <f t="shared" si="207"/>
        <v>0</v>
      </c>
      <c r="K650" s="44" cm="1">
        <f t="array" ref="K650">IF(D650="Gadget",_xlfn.IFS(I650&gt;=0.2,0.5,I650&gt;=0.1,0.35,I650&gt;=0.05,0.2,TRUE,0),IF(D650="Grenade",_xlfn.IFS(I650&gt;=0.2,1,I650&gt;=0.1,0.7,I650&gt;=0.05,0.4,TRUE,0),0))</f>
        <v>0.2</v>
      </c>
      <c r="L650" s="57">
        <f t="shared" si="209"/>
        <v>0.28571428571428575</v>
      </c>
    </row>
    <row r="651" spans="1:12" x14ac:dyDescent="0.25">
      <c r="A651" s="42" t="str" cm="1">
        <f t="array" ref="A651">IFERROR(INDEX(_xlfn._xlws.FILTER(Class_Players!A:A,Class_Players!B:B="Assault"),QUOTIENT(ROW()-ROW($A$2),7)+1),"")</f>
        <v>ZulCul</v>
      </c>
      <c r="B651" s="42" t="str">
        <f>_xlfn.XLOOKUP(A651,Class_Players!$A:$A,Class_Players!$B:$B,"")</f>
        <v>Assault</v>
      </c>
      <c r="C651" s="48" t="str" cm="1">
        <f t="array" ref="C651">INDEX(Lookups!$A$2:$A$8,MOD(ROW()-ROW($B$2),ROWS(Lookups!$A$2:$A$8))+1)</f>
        <v>Stun Grenade</v>
      </c>
      <c r="D651" s="48" t="str">
        <f>_xlfn.XLOOKUP(C651,Analysis_Gadgets!$C:$C,Analysis_Gadgets!$B:$B)</f>
        <v>Grenade</v>
      </c>
      <c r="E651" s="43">
        <v>53</v>
      </c>
      <c r="F651" s="43">
        <f>_xlfn.XLOOKUP(A651,Class_Players!A:A,Class_Players!G:G)</f>
        <v>187</v>
      </c>
      <c r="G651" s="43">
        <f t="shared" si="202"/>
        <v>0.28342245989304815</v>
      </c>
      <c r="H651" s="43">
        <f>_xlfn.XLOOKUP(A651,Class_Players!$A:$A,Class_Players!$F:$F,"")</f>
        <v>7785</v>
      </c>
      <c r="I651" s="44">
        <f t="shared" si="203"/>
        <v>6.8079640333975596E-3</v>
      </c>
      <c r="J651" s="43">
        <f t="shared" si="207"/>
        <v>0</v>
      </c>
      <c r="K651" s="44" cm="1">
        <f t="array" ref="K651">IF(D651="Gadget",_xlfn.IFS(I651&gt;=0.2,0.5,I651&gt;=0.1,0.35,I651&gt;=0.05,0.2,TRUE,0),IF(D651="Grenade",_xlfn.IFS(I651&gt;=0.2,1,I651&gt;=0.1,0.7,I651&gt;=0.05,0.4,TRUE,0),0))</f>
        <v>0</v>
      </c>
      <c r="L651" s="57">
        <f t="shared" ref="L651:L652" si="210">IF($K651=0,0,$K651 / SUMIFS($K:$K,$A:$A,$A651,$D:$D,"Grenade"))</f>
        <v>0</v>
      </c>
    </row>
    <row r="652" spans="1:12" x14ac:dyDescent="0.25">
      <c r="A652" s="42" t="str" cm="1">
        <f t="array" ref="A652">IFERROR(INDEX(_xlfn._xlws.FILTER(Class_Players!A:A,Class_Players!B:B="Assault"),QUOTIENT(ROW()-ROW($A$2),7)+1),"")</f>
        <v>ZulCul</v>
      </c>
      <c r="B652" s="42" t="str">
        <f>_xlfn.XLOOKUP(A652,Class_Players!$A:$A,Class_Players!$B:$B,"")</f>
        <v>Assault</v>
      </c>
      <c r="C652" s="48" t="str" cm="1">
        <f t="array" ref="C652">INDEX(Lookups!$A$2:$A$8,MOD(ROW()-ROW($B$2),ROWS(Lookups!$A$2:$A$8))+1)</f>
        <v>Flash Grenade</v>
      </c>
      <c r="D652" s="48" t="str">
        <f>_xlfn.XLOOKUP(C652,Analysis_Gadgets!$C:$C,Analysis_Gadgets!$B:$B)</f>
        <v>Grenade</v>
      </c>
      <c r="E652" s="43">
        <v>1</v>
      </c>
      <c r="F652" s="43">
        <f>_xlfn.XLOOKUP(A652,Class_Players!A:A,Class_Players!G:G)</f>
        <v>187</v>
      </c>
      <c r="G652" s="43">
        <f t="shared" si="202"/>
        <v>5.3475935828877002E-3</v>
      </c>
      <c r="H652" s="43">
        <f>_xlfn.XLOOKUP(A652,Class_Players!$A:$A,Class_Players!$F:$F,"")</f>
        <v>7785</v>
      </c>
      <c r="I652" s="44">
        <f t="shared" si="203"/>
        <v>1.2845215157353886E-4</v>
      </c>
      <c r="J652" s="43">
        <f t="shared" si="207"/>
        <v>0</v>
      </c>
      <c r="K652" s="44" cm="1">
        <f t="array" ref="K652">IF(D652="Gadget",_xlfn.IFS(I652&gt;=0.2,0.5,I652&gt;=0.1,0.35,I652&gt;=0.05,0.2,TRUE,0),IF(D652="Grenade",_xlfn.IFS(I652&gt;=0.2,1,I652&gt;=0.1,0.7,I652&gt;=0.05,0.4,TRUE,0),0))</f>
        <v>0</v>
      </c>
      <c r="L652" s="57">
        <f t="shared" si="210"/>
        <v>0</v>
      </c>
    </row>
    <row r="653" spans="1:12" x14ac:dyDescent="0.25">
      <c r="A653" s="42" t="str" cm="1">
        <f t="array" ref="A653">IFERROR(INDEX(_xlfn._xlws.FILTER(Class_Players!A:A,Class_Players!B:B="Assault"),QUOTIENT(ROW()-ROW($A$2),7)+1),"")</f>
        <v>amekpl</v>
      </c>
      <c r="B653" s="42" t="str">
        <f>_xlfn.XLOOKUP(A653,Class_Players!$A:$A,Class_Players!$B:$B,"")</f>
        <v>Assault</v>
      </c>
      <c r="C653" s="48" t="str" cm="1">
        <f t="array" ref="C653">INDEX(Lookups!$A$2:$A$8,MOD(ROW()-ROW($B$2),ROWS(Lookups!$A$2:$A$8))+1)</f>
        <v>Assault Ladder</v>
      </c>
      <c r="D653" s="48" t="str">
        <f>_xlfn.XLOOKUP(C653,Analysis_Gadgets!$C:$C,Analysis_Gadgets!$B:$B)</f>
        <v>Gadget</v>
      </c>
      <c r="E653" s="43">
        <v>49</v>
      </c>
      <c r="F653" s="43">
        <f>_xlfn.XLOOKUP(A653,Class_Players!A:A,Class_Players!G:G)</f>
        <v>115</v>
      </c>
      <c r="G653" s="43">
        <f t="shared" ref="G653:G701" si="211">IF(F653=0,"",E653/F653)</f>
        <v>0.42608695652173911</v>
      </c>
      <c r="H653" s="43">
        <f>_xlfn.XLOOKUP(A653,Class_Players!$A:$A,Class_Players!$F:$F,"")</f>
        <v>7419</v>
      </c>
      <c r="I653" s="44">
        <f t="shared" ref="I653:I701" si="212">IF(H653=0,"",E653/H653)</f>
        <v>6.6046637013074542E-3</v>
      </c>
      <c r="J653" s="43">
        <f t="shared" si="207"/>
        <v>0</v>
      </c>
      <c r="K653" s="44" cm="1">
        <f t="array" ref="K653">IF(D653="Gadget",_xlfn.IFS(I653&gt;=0.2,0.5,I653&gt;=0.1,0.35,I653&gt;=0.05,0.2,TRUE,0),IF(D653="Grenade",_xlfn.IFS(I653&gt;=0.2,1,I653&gt;=0.1,0.7,I653&gt;=0.05,0.4,TRUE,0),0))</f>
        <v>0</v>
      </c>
      <c r="L653" s="57">
        <f t="shared" ref="L653:L657" si="213">IF($K653=0,0,$K653 / SUMIFS($K:$K,$A:$A,$A653,$D:$D,"Gadget"))</f>
        <v>0</v>
      </c>
    </row>
    <row r="654" spans="1:12" x14ac:dyDescent="0.25">
      <c r="A654" s="42" t="str" cm="1">
        <f t="array" ref="A654">IFERROR(INDEX(_xlfn._xlws.FILTER(Class_Players!A:A,Class_Players!B:B="Assault"),QUOTIENT(ROW()-ROW($A$2),7)+1),"")</f>
        <v>amekpl</v>
      </c>
      <c r="B654" s="42" t="str">
        <f>_xlfn.XLOOKUP(A654,Class_Players!$A:$A,Class_Players!$B:$B,"")</f>
        <v>Assault</v>
      </c>
      <c r="C654" s="48" t="str" cm="1">
        <f t="array" ref="C654">INDEX(Lookups!$A$2:$A$8,MOD(ROW()-ROW($B$2),ROWS(Lookups!$A$2:$A$8))+1)</f>
        <v>X95 BRE (Breaching Projectile Launcher)</v>
      </c>
      <c r="D654" s="48" t="str">
        <f>_xlfn.XLOOKUP(C654,Analysis_Gadgets!$C:$C,Analysis_Gadgets!$B:$B)</f>
        <v>Gadget</v>
      </c>
      <c r="E654" s="43">
        <v>107</v>
      </c>
      <c r="F654" s="43">
        <f>_xlfn.XLOOKUP(A654,Class_Players!A:A,Class_Players!G:G)</f>
        <v>115</v>
      </c>
      <c r="G654" s="43">
        <f t="shared" si="211"/>
        <v>0.93043478260869561</v>
      </c>
      <c r="H654" s="43">
        <f>_xlfn.XLOOKUP(A654,Class_Players!$A:$A,Class_Players!$F:$F,"")</f>
        <v>7419</v>
      </c>
      <c r="I654" s="44">
        <f t="shared" si="212"/>
        <v>1.442242889877342E-2</v>
      </c>
      <c r="J654" s="43">
        <f t="shared" si="207"/>
        <v>0</v>
      </c>
      <c r="K654" s="44" cm="1">
        <f t="array" ref="K654">IF(D654="Gadget",_xlfn.IFS(I654&gt;=0.2,0.5,I654&gt;=0.1,0.35,I654&gt;=0.05,0.2,TRUE,0),IF(D654="Grenade",_xlfn.IFS(I654&gt;=0.2,1,I654&gt;=0.1,0.7,I654&gt;=0.05,0.4,TRUE,0),0))</f>
        <v>0</v>
      </c>
      <c r="L654" s="57">
        <f t="shared" si="213"/>
        <v>0</v>
      </c>
    </row>
    <row r="655" spans="1:12" x14ac:dyDescent="0.25">
      <c r="A655" s="42" t="str" cm="1">
        <f t="array" ref="A655">IFERROR(INDEX(_xlfn._xlws.FILTER(Class_Players!A:A,Class_Players!B:B="Assault"),QUOTIENT(ROW()-ROW($A$2),7)+1),"")</f>
        <v>amekpl</v>
      </c>
      <c r="B655" s="42" t="str">
        <f>_xlfn.XLOOKUP(A655,Class_Players!$A:$A,Class_Players!$B:$B,"")</f>
        <v>Assault</v>
      </c>
      <c r="C655" s="48" t="str" cm="1">
        <f t="array" ref="C655">INDEX(Lookups!$A$2:$A$8,MOD(ROW()-ROW($B$2),ROWS(Lookups!$A$2:$A$8))+1)</f>
        <v>M320A1 HE (Grenade Launcher)</v>
      </c>
      <c r="D655" s="48" t="str">
        <f>_xlfn.XLOOKUP(C655,Analysis_Gadgets!$C:$C,Analysis_Gadgets!$B:$B)</f>
        <v>Gadget</v>
      </c>
      <c r="E655" s="43">
        <v>6538</v>
      </c>
      <c r="F655" s="43">
        <f>_xlfn.XLOOKUP(A655,Class_Players!A:A,Class_Players!G:G)</f>
        <v>115</v>
      </c>
      <c r="G655" s="43">
        <f t="shared" si="211"/>
        <v>56.85217391304348</v>
      </c>
      <c r="H655" s="43">
        <f>_xlfn.XLOOKUP(A655,Class_Players!$A:$A,Class_Players!$F:$F,"")</f>
        <v>7419</v>
      </c>
      <c r="I655" s="44">
        <f t="shared" si="212"/>
        <v>0.88125084243159457</v>
      </c>
      <c r="J655" s="43">
        <f t="shared" si="207"/>
        <v>1</v>
      </c>
      <c r="K655" s="44" cm="1">
        <f t="array" ref="K655">IF(D655="Gadget",_xlfn.IFS(I655&gt;=0.2,0.5,I655&gt;=0.1,0.35,I655&gt;=0.05,0.2,TRUE,0),IF(D655="Grenade",_xlfn.IFS(I655&gt;=0.2,1,I655&gt;=0.1,0.7,I655&gt;=0.05,0.4,TRUE,0),0))</f>
        <v>0.5</v>
      </c>
      <c r="L655" s="57">
        <f t="shared" si="213"/>
        <v>0.5</v>
      </c>
    </row>
    <row r="656" spans="1:12" x14ac:dyDescent="0.25">
      <c r="A656" s="42" t="str" cm="1">
        <f t="array" ref="A656">IFERROR(INDEX(_xlfn._xlws.FILTER(Class_Players!A:A,Class_Players!B:B="Assault"),QUOTIENT(ROW()-ROW($A$2),7)+1),"")</f>
        <v>amekpl</v>
      </c>
      <c r="B656" s="42" t="str">
        <f>_xlfn.XLOOKUP(A656,Class_Players!$A:$A,Class_Players!$B:$B,"")</f>
        <v>Assault</v>
      </c>
      <c r="C656" s="48" t="str" cm="1">
        <f t="array" ref="C656">INDEX(Lookups!$A$2:$A$8,MOD(ROW()-ROW($B$2),ROWS(Lookups!$A$2:$A$8))+1)</f>
        <v>M320A1 THRM    (Incendiary Grenade Launcher)</v>
      </c>
      <c r="D656" s="48" t="str">
        <f>_xlfn.XLOOKUP(C656,Analysis_Gadgets!$C:$C,Analysis_Gadgets!$B:$B)</f>
        <v>Gadget</v>
      </c>
      <c r="E656" s="43">
        <v>117</v>
      </c>
      <c r="F656" s="43">
        <f>_xlfn.XLOOKUP(A656,Class_Players!A:A,Class_Players!G:G)</f>
        <v>115</v>
      </c>
      <c r="G656" s="43">
        <f t="shared" si="211"/>
        <v>1.017391304347826</v>
      </c>
      <c r="H656" s="43">
        <f>_xlfn.XLOOKUP(A656,Class_Players!$A:$A,Class_Players!$F:$F,"")</f>
        <v>7419</v>
      </c>
      <c r="I656" s="44">
        <f t="shared" si="212"/>
        <v>1.5770319450060657E-2</v>
      </c>
      <c r="J656" s="43">
        <f t="shared" si="207"/>
        <v>0</v>
      </c>
      <c r="K656" s="44" cm="1">
        <f t="array" ref="K656">IF(D656="Gadget",_xlfn.IFS(I656&gt;=0.2,0.5,I656&gt;=0.1,0.35,I656&gt;=0.05,0.2,TRUE,0),IF(D656="Grenade",_xlfn.IFS(I656&gt;=0.2,1,I656&gt;=0.1,0.7,I656&gt;=0.05,0.4,TRUE,0),0))</f>
        <v>0</v>
      </c>
      <c r="L656" s="57">
        <f t="shared" si="213"/>
        <v>0</v>
      </c>
    </row>
    <row r="657" spans="1:12" x14ac:dyDescent="0.25">
      <c r="A657" s="42" t="str" cm="1">
        <f t="array" ref="A657">IFERROR(INDEX(_xlfn._xlws.FILTER(Class_Players!A:A,Class_Players!B:B="Assault"),QUOTIENT(ROW()-ROW($A$2),7)+1),"")</f>
        <v>amekpl</v>
      </c>
      <c r="B657" s="42" t="str">
        <f>_xlfn.XLOOKUP(A657,Class_Players!$A:$A,Class_Players!$B:$B,"")</f>
        <v>Assault</v>
      </c>
      <c r="C657" s="48" t="str" cm="1">
        <f t="array" ref="C657">INDEX(Lookups!$A$2:$A$8,MOD(ROW()-ROW($B$2),ROWS(Lookups!$A$2:$A$8))+1)</f>
        <v>QLINK (Deploy Beacon)</v>
      </c>
      <c r="D657" s="48" t="str">
        <f>_xlfn.XLOOKUP(C657,Analysis_Gadgets!$C:$C,Analysis_Gadgets!$B:$B)</f>
        <v>Gadget</v>
      </c>
      <c r="E657" s="43">
        <v>3071</v>
      </c>
      <c r="F657" s="43">
        <f>_xlfn.XLOOKUP(A657,Class_Players!A:A,Class_Players!G:G)</f>
        <v>115</v>
      </c>
      <c r="G657" s="43">
        <f t="shared" si="211"/>
        <v>26.704347826086956</v>
      </c>
      <c r="H657" s="43">
        <f>_xlfn.XLOOKUP(A657,Class_Players!$A:$A,Class_Players!$F:$F,"")</f>
        <v>7419</v>
      </c>
      <c r="I657" s="44">
        <f t="shared" si="212"/>
        <v>0.41393718830031001</v>
      </c>
      <c r="J657" s="43">
        <f t="shared" si="207"/>
        <v>1</v>
      </c>
      <c r="K657" s="44" cm="1">
        <f t="array" ref="K657">IF(D657="Gadget",_xlfn.IFS(I657&gt;=0.2,0.5,I657&gt;=0.1,0.35,I657&gt;=0.05,0.2,TRUE,0),IF(D657="Grenade",_xlfn.IFS(I657&gt;=0.2,1,I657&gt;=0.1,0.7,I657&gt;=0.05,0.4,TRUE,0),0))</f>
        <v>0.5</v>
      </c>
      <c r="L657" s="57">
        <f t="shared" si="213"/>
        <v>0.5</v>
      </c>
    </row>
    <row r="658" spans="1:12" x14ac:dyDescent="0.25">
      <c r="A658" s="42" t="str" cm="1">
        <f t="array" ref="A658">IFERROR(INDEX(_xlfn._xlws.FILTER(Class_Players!A:A,Class_Players!B:B="Assault"),QUOTIENT(ROW()-ROW($A$2),7)+1),"")</f>
        <v>amekpl</v>
      </c>
      <c r="B658" s="42" t="str">
        <f>_xlfn.XLOOKUP(A658,Class_Players!$A:$A,Class_Players!$B:$B,"")</f>
        <v>Assault</v>
      </c>
      <c r="C658" s="48" t="str" cm="1">
        <f t="array" ref="C658">INDEX(Lookups!$A$2:$A$8,MOD(ROW()-ROW($B$2),ROWS(Lookups!$A$2:$A$8))+1)</f>
        <v>Stun Grenade</v>
      </c>
      <c r="D658" s="48" t="str">
        <f>_xlfn.XLOOKUP(C658,Analysis_Gadgets!$C:$C,Analysis_Gadgets!$B:$B)</f>
        <v>Grenade</v>
      </c>
      <c r="E658" s="43">
        <v>10</v>
      </c>
      <c r="F658" s="43">
        <f>_xlfn.XLOOKUP(A658,Class_Players!A:A,Class_Players!G:G)</f>
        <v>115</v>
      </c>
      <c r="G658" s="43">
        <f t="shared" si="211"/>
        <v>8.6956521739130432E-2</v>
      </c>
      <c r="H658" s="43">
        <f>_xlfn.XLOOKUP(A658,Class_Players!$A:$A,Class_Players!$F:$F,"")</f>
        <v>7419</v>
      </c>
      <c r="I658" s="44">
        <f t="shared" si="212"/>
        <v>1.3478905512872355E-3</v>
      </c>
      <c r="J658" s="43">
        <f t="shared" si="207"/>
        <v>0</v>
      </c>
      <c r="K658" s="44" cm="1">
        <f t="array" ref="K658">IF(D658="Gadget",_xlfn.IFS(I658&gt;=0.2,0.5,I658&gt;=0.1,0.35,I658&gt;=0.05,0.2,TRUE,0),IF(D658="Grenade",_xlfn.IFS(I658&gt;=0.2,1,I658&gt;=0.1,0.7,I658&gt;=0.05,0.4,TRUE,0),0))</f>
        <v>0</v>
      </c>
      <c r="L658" s="57">
        <f t="shared" ref="L658:L659" si="214">IF($K658=0,0,$K658 / SUMIFS($K:$K,$A:$A,$A658,$D:$D,"Grenade"))</f>
        <v>0</v>
      </c>
    </row>
    <row r="659" spans="1:12" x14ac:dyDescent="0.25">
      <c r="A659" s="42" t="str" cm="1">
        <f t="array" ref="A659">IFERROR(INDEX(_xlfn._xlws.FILTER(Class_Players!A:A,Class_Players!B:B="Assault"),QUOTIENT(ROW()-ROW($A$2),7)+1),"")</f>
        <v>amekpl</v>
      </c>
      <c r="B659" s="42" t="str">
        <f>_xlfn.XLOOKUP(A659,Class_Players!$A:$A,Class_Players!$B:$B,"")</f>
        <v>Assault</v>
      </c>
      <c r="C659" s="48" t="str" cm="1">
        <f t="array" ref="C659">INDEX(Lookups!$A$2:$A$8,MOD(ROW()-ROW($B$2),ROWS(Lookups!$A$2:$A$8))+1)</f>
        <v>Flash Grenade</v>
      </c>
      <c r="D659" s="48" t="str">
        <f>_xlfn.XLOOKUP(C659,Analysis_Gadgets!$C:$C,Analysis_Gadgets!$B:$B)</f>
        <v>Grenade</v>
      </c>
      <c r="E659" s="43">
        <v>21</v>
      </c>
      <c r="F659" s="43">
        <f>_xlfn.XLOOKUP(A659,Class_Players!A:A,Class_Players!G:G)</f>
        <v>115</v>
      </c>
      <c r="G659" s="43">
        <f t="shared" si="211"/>
        <v>0.18260869565217391</v>
      </c>
      <c r="H659" s="43">
        <f>_xlfn.XLOOKUP(A659,Class_Players!$A:$A,Class_Players!$F:$F,"")</f>
        <v>7419</v>
      </c>
      <c r="I659" s="44">
        <f t="shared" si="212"/>
        <v>2.8305701577031944E-3</v>
      </c>
      <c r="J659" s="43">
        <f t="shared" si="207"/>
        <v>0</v>
      </c>
      <c r="K659" s="44" cm="1">
        <f t="array" ref="K659">IF(D659="Gadget",_xlfn.IFS(I659&gt;=0.2,0.5,I659&gt;=0.1,0.35,I659&gt;=0.05,0.2,TRUE,0),IF(D659="Grenade",_xlfn.IFS(I659&gt;=0.2,1,I659&gt;=0.1,0.7,I659&gt;=0.05,0.4,TRUE,0),0))</f>
        <v>0</v>
      </c>
      <c r="L659" s="57">
        <f t="shared" si="214"/>
        <v>0</v>
      </c>
    </row>
    <row r="660" spans="1:12" x14ac:dyDescent="0.25">
      <c r="A660" s="42" t="str" cm="1">
        <f t="array" ref="A660">IFERROR(INDEX(_xlfn._xlws.FILTER(Class_Players!A:A,Class_Players!B:B="Assault"),QUOTIENT(ROW()-ROW($A$2),7)+1),"")</f>
        <v>xaRwN</v>
      </c>
      <c r="B660" s="42" t="str">
        <f>_xlfn.XLOOKUP(A660,Class_Players!$A:$A,Class_Players!$B:$B,"")</f>
        <v>Assault</v>
      </c>
      <c r="C660" s="48" t="str" cm="1">
        <f t="array" ref="C660">INDEX(Lookups!$A$2:$A$8,MOD(ROW()-ROW($B$2),ROWS(Lookups!$A$2:$A$8))+1)</f>
        <v>Assault Ladder</v>
      </c>
      <c r="D660" s="48" t="str">
        <f>_xlfn.XLOOKUP(C660,Analysis_Gadgets!$C:$C,Analysis_Gadgets!$B:$B)</f>
        <v>Gadget</v>
      </c>
      <c r="E660" s="43">
        <v>51</v>
      </c>
      <c r="F660" s="43">
        <f>_xlfn.XLOOKUP(A660,Class_Players!A:A,Class_Players!G:G)</f>
        <v>92</v>
      </c>
      <c r="G660" s="43">
        <f t="shared" si="211"/>
        <v>0.55434782608695654</v>
      </c>
      <c r="H660" s="43">
        <f>_xlfn.XLOOKUP(A660,Class_Players!$A:$A,Class_Players!$F:$F,"")</f>
        <v>7381</v>
      </c>
      <c r="I660" s="44">
        <f t="shared" si="212"/>
        <v>6.9096328410784445E-3</v>
      </c>
      <c r="J660" s="43">
        <f t="shared" si="207"/>
        <v>0</v>
      </c>
      <c r="K660" s="44" cm="1">
        <f t="array" ref="K660">IF(D660="Gadget",_xlfn.IFS(I660&gt;=0.2,0.5,I660&gt;=0.1,0.35,I660&gt;=0.05,0.2,TRUE,0),IF(D660="Grenade",_xlfn.IFS(I660&gt;=0.2,1,I660&gt;=0.1,0.7,I660&gt;=0.05,0.4,TRUE,0),0))</f>
        <v>0</v>
      </c>
      <c r="L660" s="57">
        <f t="shared" ref="L660:L664" si="215">IF($K660=0,0,$K660 / SUMIFS($K:$K,$A:$A,$A660,$D:$D,"Gadget"))</f>
        <v>0</v>
      </c>
    </row>
    <row r="661" spans="1:12" x14ac:dyDescent="0.25">
      <c r="A661" s="42" t="str" cm="1">
        <f t="array" ref="A661">IFERROR(INDEX(_xlfn._xlws.FILTER(Class_Players!A:A,Class_Players!B:B="Assault"),QUOTIENT(ROW()-ROW($A$2),7)+1),"")</f>
        <v>xaRwN</v>
      </c>
      <c r="B661" s="42" t="str">
        <f>_xlfn.XLOOKUP(A661,Class_Players!$A:$A,Class_Players!$B:$B,"")</f>
        <v>Assault</v>
      </c>
      <c r="C661" s="48" t="str" cm="1">
        <f t="array" ref="C661">INDEX(Lookups!$A$2:$A$8,MOD(ROW()-ROW($B$2),ROWS(Lookups!$A$2:$A$8))+1)</f>
        <v>X95 BRE (Breaching Projectile Launcher)</v>
      </c>
      <c r="D661" s="48" t="str">
        <f>_xlfn.XLOOKUP(C661,Analysis_Gadgets!$C:$C,Analysis_Gadgets!$B:$B)</f>
        <v>Gadget</v>
      </c>
      <c r="E661" s="43">
        <v>1</v>
      </c>
      <c r="F661" s="43">
        <f>_xlfn.XLOOKUP(A661,Class_Players!A:A,Class_Players!G:G)</f>
        <v>92</v>
      </c>
      <c r="G661" s="43">
        <f t="shared" si="211"/>
        <v>1.0869565217391304E-2</v>
      </c>
      <c r="H661" s="43">
        <f>_xlfn.XLOOKUP(A661,Class_Players!$A:$A,Class_Players!$F:$F,"")</f>
        <v>7381</v>
      </c>
      <c r="I661" s="44">
        <f t="shared" si="212"/>
        <v>1.3548299688389108E-4</v>
      </c>
      <c r="J661" s="43">
        <f t="shared" si="207"/>
        <v>0</v>
      </c>
      <c r="K661" s="44" cm="1">
        <f t="array" ref="K661">IF(D661="Gadget",_xlfn.IFS(I661&gt;=0.2,0.5,I661&gt;=0.1,0.35,I661&gt;=0.05,0.2,TRUE,0),IF(D661="Grenade",_xlfn.IFS(I661&gt;=0.2,1,I661&gt;=0.1,0.7,I661&gt;=0.05,0.4,TRUE,0),0))</f>
        <v>0</v>
      </c>
      <c r="L661" s="57">
        <f t="shared" si="215"/>
        <v>0</v>
      </c>
    </row>
    <row r="662" spans="1:12" x14ac:dyDescent="0.25">
      <c r="A662" s="42" t="str" cm="1">
        <f t="array" ref="A662">IFERROR(INDEX(_xlfn._xlws.FILTER(Class_Players!A:A,Class_Players!B:B="Assault"),QUOTIENT(ROW()-ROW($A$2),7)+1),"")</f>
        <v>xaRwN</v>
      </c>
      <c r="B662" s="42" t="str">
        <f>_xlfn.XLOOKUP(A662,Class_Players!$A:$A,Class_Players!$B:$B,"")</f>
        <v>Assault</v>
      </c>
      <c r="C662" s="48" t="str" cm="1">
        <f t="array" ref="C662">INDEX(Lookups!$A$2:$A$8,MOD(ROW()-ROW($B$2),ROWS(Lookups!$A$2:$A$8))+1)</f>
        <v>M320A1 HE (Grenade Launcher)</v>
      </c>
      <c r="D662" s="48" t="str">
        <f>_xlfn.XLOOKUP(C662,Analysis_Gadgets!$C:$C,Analysis_Gadgets!$B:$B)</f>
        <v>Gadget</v>
      </c>
      <c r="E662" s="43">
        <v>2312</v>
      </c>
      <c r="F662" s="43">
        <f>_xlfn.XLOOKUP(A662,Class_Players!A:A,Class_Players!G:G)</f>
        <v>92</v>
      </c>
      <c r="G662" s="43">
        <f t="shared" si="211"/>
        <v>25.130434782608695</v>
      </c>
      <c r="H662" s="43">
        <f>_xlfn.XLOOKUP(A662,Class_Players!$A:$A,Class_Players!$F:$F,"")</f>
        <v>7381</v>
      </c>
      <c r="I662" s="44">
        <f t="shared" si="212"/>
        <v>0.31323668879555616</v>
      </c>
      <c r="J662" s="43">
        <f t="shared" si="207"/>
        <v>1</v>
      </c>
      <c r="K662" s="44" cm="1">
        <f t="array" ref="K662">IF(D662="Gadget",_xlfn.IFS(I662&gt;=0.2,0.5,I662&gt;=0.1,0.35,I662&gt;=0.05,0.2,TRUE,0),IF(D662="Grenade",_xlfn.IFS(I662&gt;=0.2,1,I662&gt;=0.1,0.7,I662&gt;=0.05,0.4,TRUE,0),0))</f>
        <v>0.5</v>
      </c>
      <c r="L662" s="57">
        <f t="shared" si="215"/>
        <v>1</v>
      </c>
    </row>
    <row r="663" spans="1:12" x14ac:dyDescent="0.25">
      <c r="A663" s="42" t="str" cm="1">
        <f t="array" ref="A663">IFERROR(INDEX(_xlfn._xlws.FILTER(Class_Players!A:A,Class_Players!B:B="Assault"),QUOTIENT(ROW()-ROW($A$2),7)+1),"")</f>
        <v>xaRwN</v>
      </c>
      <c r="B663" s="42" t="str">
        <f>_xlfn.XLOOKUP(A663,Class_Players!$A:$A,Class_Players!$B:$B,"")</f>
        <v>Assault</v>
      </c>
      <c r="C663" s="48" t="str" cm="1">
        <f t="array" ref="C663">INDEX(Lookups!$A$2:$A$8,MOD(ROW()-ROW($B$2),ROWS(Lookups!$A$2:$A$8))+1)</f>
        <v>M320A1 THRM    (Incendiary Grenade Launcher)</v>
      </c>
      <c r="D663" s="48" t="str">
        <f>_xlfn.XLOOKUP(C663,Analysis_Gadgets!$C:$C,Analysis_Gadgets!$B:$B)</f>
        <v>Gadget</v>
      </c>
      <c r="E663" s="43">
        <v>150</v>
      </c>
      <c r="F663" s="43">
        <f>_xlfn.XLOOKUP(A663,Class_Players!A:A,Class_Players!G:G)</f>
        <v>92</v>
      </c>
      <c r="G663" s="43">
        <f t="shared" si="211"/>
        <v>1.6304347826086956</v>
      </c>
      <c r="H663" s="43">
        <f>_xlfn.XLOOKUP(A663,Class_Players!$A:$A,Class_Players!$F:$F,"")</f>
        <v>7381</v>
      </c>
      <c r="I663" s="44">
        <f t="shared" si="212"/>
        <v>2.0322449532583661E-2</v>
      </c>
      <c r="J663" s="43">
        <f t="shared" si="207"/>
        <v>0</v>
      </c>
      <c r="K663" s="44" cm="1">
        <f t="array" ref="K663">IF(D663="Gadget",_xlfn.IFS(I663&gt;=0.2,0.5,I663&gt;=0.1,0.35,I663&gt;=0.05,0.2,TRUE,0),IF(D663="Grenade",_xlfn.IFS(I663&gt;=0.2,1,I663&gt;=0.1,0.7,I663&gt;=0.05,0.4,TRUE,0),0))</f>
        <v>0</v>
      </c>
      <c r="L663" s="57">
        <f t="shared" si="215"/>
        <v>0</v>
      </c>
    </row>
    <row r="664" spans="1:12" x14ac:dyDescent="0.25">
      <c r="A664" s="42" t="str" cm="1">
        <f t="array" ref="A664">IFERROR(INDEX(_xlfn._xlws.FILTER(Class_Players!A:A,Class_Players!B:B="Assault"),QUOTIENT(ROW()-ROW($A$2),7)+1),"")</f>
        <v>xaRwN</v>
      </c>
      <c r="B664" s="42" t="str">
        <f>_xlfn.XLOOKUP(A664,Class_Players!$A:$A,Class_Players!$B:$B,"")</f>
        <v>Assault</v>
      </c>
      <c r="C664" s="48" t="str" cm="1">
        <f t="array" ref="C664">INDEX(Lookups!$A$2:$A$8,MOD(ROW()-ROW($B$2),ROWS(Lookups!$A$2:$A$8))+1)</f>
        <v>QLINK (Deploy Beacon)</v>
      </c>
      <c r="D664" s="48" t="str">
        <f>_xlfn.XLOOKUP(C664,Analysis_Gadgets!$C:$C,Analysis_Gadgets!$B:$B)</f>
        <v>Gadget</v>
      </c>
      <c r="E664" s="43">
        <v>13</v>
      </c>
      <c r="F664" s="43">
        <f>_xlfn.XLOOKUP(A664,Class_Players!A:A,Class_Players!G:G)</f>
        <v>92</v>
      </c>
      <c r="G664" s="43">
        <f t="shared" si="211"/>
        <v>0.14130434782608695</v>
      </c>
      <c r="H664" s="43">
        <f>_xlfn.XLOOKUP(A664,Class_Players!$A:$A,Class_Players!$F:$F,"")</f>
        <v>7381</v>
      </c>
      <c r="I664" s="44">
        <f t="shared" si="212"/>
        <v>1.761278959490584E-3</v>
      </c>
      <c r="J664" s="43">
        <f t="shared" si="207"/>
        <v>0</v>
      </c>
      <c r="K664" s="44" cm="1">
        <f t="array" ref="K664">IF(D664="Gadget",_xlfn.IFS(I664&gt;=0.2,0.5,I664&gt;=0.1,0.35,I664&gt;=0.05,0.2,TRUE,0),IF(D664="Grenade",_xlfn.IFS(I664&gt;=0.2,1,I664&gt;=0.1,0.7,I664&gt;=0.05,0.4,TRUE,0),0))</f>
        <v>0</v>
      </c>
      <c r="L664" s="57">
        <f t="shared" si="215"/>
        <v>0</v>
      </c>
    </row>
    <row r="665" spans="1:12" x14ac:dyDescent="0.25">
      <c r="A665" s="42" t="str" cm="1">
        <f t="array" ref="A665">IFERROR(INDEX(_xlfn._xlws.FILTER(Class_Players!A:A,Class_Players!B:B="Assault"),QUOTIENT(ROW()-ROW($A$2),7)+1),"")</f>
        <v>xaRwN</v>
      </c>
      <c r="B665" s="42" t="str">
        <f>_xlfn.XLOOKUP(A665,Class_Players!$A:$A,Class_Players!$B:$B,"")</f>
        <v>Assault</v>
      </c>
      <c r="C665" s="48" t="str" cm="1">
        <f t="array" ref="C665">INDEX(Lookups!$A$2:$A$8,MOD(ROW()-ROW($B$2),ROWS(Lookups!$A$2:$A$8))+1)</f>
        <v>Stun Grenade</v>
      </c>
      <c r="D665" s="48" t="str">
        <f>_xlfn.XLOOKUP(C665,Analysis_Gadgets!$C:$C,Analysis_Gadgets!$B:$B)</f>
        <v>Grenade</v>
      </c>
      <c r="E665" s="43">
        <v>8</v>
      </c>
      <c r="F665" s="43">
        <f>_xlfn.XLOOKUP(A665,Class_Players!A:A,Class_Players!G:G)</f>
        <v>92</v>
      </c>
      <c r="G665" s="43">
        <f t="shared" si="211"/>
        <v>8.6956521739130432E-2</v>
      </c>
      <c r="H665" s="43">
        <f>_xlfn.XLOOKUP(A665,Class_Players!$A:$A,Class_Players!$F:$F,"")</f>
        <v>7381</v>
      </c>
      <c r="I665" s="44">
        <f t="shared" si="212"/>
        <v>1.0838639750711287E-3</v>
      </c>
      <c r="J665" s="43">
        <f t="shared" si="207"/>
        <v>0</v>
      </c>
      <c r="K665" s="44" cm="1">
        <f t="array" ref="K665">IF(D665="Gadget",_xlfn.IFS(I665&gt;=0.2,0.5,I665&gt;=0.1,0.35,I665&gt;=0.05,0.2,TRUE,0),IF(D665="Grenade",_xlfn.IFS(I665&gt;=0.2,1,I665&gt;=0.1,0.7,I665&gt;=0.05,0.4,TRUE,0),0))</f>
        <v>0</v>
      </c>
      <c r="L665" s="57">
        <f t="shared" ref="L665:L666" si="216">IF($K665=0,0,$K665 / SUMIFS($K:$K,$A:$A,$A665,$D:$D,"Grenade"))</f>
        <v>0</v>
      </c>
    </row>
    <row r="666" spans="1:12" x14ac:dyDescent="0.25">
      <c r="A666" s="42" t="str" cm="1">
        <f t="array" ref="A666">IFERROR(INDEX(_xlfn._xlws.FILTER(Class_Players!A:A,Class_Players!B:B="Assault"),QUOTIENT(ROW()-ROW($A$2),7)+1),"")</f>
        <v>xaRwN</v>
      </c>
      <c r="B666" s="42" t="str">
        <f>_xlfn.XLOOKUP(A666,Class_Players!$A:$A,Class_Players!$B:$B,"")</f>
        <v>Assault</v>
      </c>
      <c r="C666" s="48" t="str" cm="1">
        <f t="array" ref="C666">INDEX(Lookups!$A$2:$A$8,MOD(ROW()-ROW($B$2),ROWS(Lookups!$A$2:$A$8))+1)</f>
        <v>Flash Grenade</v>
      </c>
      <c r="D666" s="48" t="str">
        <f>_xlfn.XLOOKUP(C666,Analysis_Gadgets!$C:$C,Analysis_Gadgets!$B:$B)</f>
        <v>Grenade</v>
      </c>
      <c r="E666" s="43">
        <v>6</v>
      </c>
      <c r="F666" s="43">
        <f>_xlfn.XLOOKUP(A666,Class_Players!A:A,Class_Players!G:G)</f>
        <v>92</v>
      </c>
      <c r="G666" s="43">
        <f t="shared" si="211"/>
        <v>6.5217391304347824E-2</v>
      </c>
      <c r="H666" s="43">
        <f>_xlfn.XLOOKUP(A666,Class_Players!$A:$A,Class_Players!$F:$F,"")</f>
        <v>7381</v>
      </c>
      <c r="I666" s="44">
        <f t="shared" si="212"/>
        <v>8.1289798130334645E-4</v>
      </c>
      <c r="J666" s="43">
        <f t="shared" si="207"/>
        <v>0</v>
      </c>
      <c r="K666" s="44" cm="1">
        <f t="array" ref="K666">IF(D666="Gadget",_xlfn.IFS(I666&gt;=0.2,0.5,I666&gt;=0.1,0.35,I666&gt;=0.05,0.2,TRUE,0),IF(D666="Grenade",_xlfn.IFS(I666&gt;=0.2,1,I666&gt;=0.1,0.7,I666&gt;=0.05,0.4,TRUE,0),0))</f>
        <v>0</v>
      </c>
      <c r="L666" s="57">
        <f t="shared" si="216"/>
        <v>0</v>
      </c>
    </row>
    <row r="667" spans="1:12" x14ac:dyDescent="0.25">
      <c r="A667" s="42" t="str" cm="1">
        <f t="array" ref="A667">IFERROR(INDEX(_xlfn._xlws.FILTER(Class_Players!A:A,Class_Players!B:B="Assault"),QUOTIENT(ROW()-ROW($A$2),7)+1),"")</f>
        <v>Krypt Monky</v>
      </c>
      <c r="B667" s="42" t="str">
        <f>_xlfn.XLOOKUP(A667,Class_Players!$A:$A,Class_Players!$B:$B,"")</f>
        <v>Assault</v>
      </c>
      <c r="C667" s="48" t="str" cm="1">
        <f t="array" ref="C667">INDEX(Lookups!$A$2:$A$8,MOD(ROW()-ROW($B$2),ROWS(Lookups!$A$2:$A$8))+1)</f>
        <v>Assault Ladder</v>
      </c>
      <c r="D667" s="48" t="str">
        <f>_xlfn.XLOOKUP(C667,Analysis_Gadgets!$C:$C,Analysis_Gadgets!$B:$B)</f>
        <v>Gadget</v>
      </c>
      <c r="E667" s="43">
        <v>69</v>
      </c>
      <c r="F667" s="43">
        <f>_xlfn.XLOOKUP(A667,Class_Players!A:A,Class_Players!G:G)</f>
        <v>179</v>
      </c>
      <c r="G667" s="43">
        <f t="shared" si="211"/>
        <v>0.38547486033519551</v>
      </c>
      <c r="H667" s="43">
        <f>_xlfn.XLOOKUP(A667,Class_Players!$A:$A,Class_Players!$F:$F,"")</f>
        <v>7317</v>
      </c>
      <c r="I667" s="44">
        <f t="shared" si="212"/>
        <v>9.4300943009430101E-3</v>
      </c>
      <c r="J667" s="43">
        <f t="shared" si="207"/>
        <v>0</v>
      </c>
      <c r="K667" s="44" cm="1">
        <f t="array" ref="K667">IF(D667="Gadget",_xlfn.IFS(I667&gt;=0.2,0.5,I667&gt;=0.1,0.35,I667&gt;=0.05,0.2,TRUE,0),IF(D667="Grenade",_xlfn.IFS(I667&gt;=0.2,1,I667&gt;=0.1,0.7,I667&gt;=0.05,0.4,TRUE,0),0))</f>
        <v>0</v>
      </c>
      <c r="L667" s="57">
        <f t="shared" ref="L667:L671" si="217">IF($K667=0,0,$K667 / SUMIFS($K:$K,$A:$A,$A667,$D:$D,"Gadget"))</f>
        <v>0</v>
      </c>
    </row>
    <row r="668" spans="1:12" x14ac:dyDescent="0.25">
      <c r="A668" s="42" t="str" cm="1">
        <f t="array" ref="A668">IFERROR(INDEX(_xlfn._xlws.FILTER(Class_Players!A:A,Class_Players!B:B="Assault"),QUOTIENT(ROW()-ROW($A$2),7)+1),"")</f>
        <v>Krypt Monky</v>
      </c>
      <c r="B668" s="42" t="str">
        <f>_xlfn.XLOOKUP(A668,Class_Players!$A:$A,Class_Players!$B:$B,"")</f>
        <v>Assault</v>
      </c>
      <c r="C668" s="48" t="str" cm="1">
        <f t="array" ref="C668">INDEX(Lookups!$A$2:$A$8,MOD(ROW()-ROW($B$2),ROWS(Lookups!$A$2:$A$8))+1)</f>
        <v>X95 BRE (Breaching Projectile Launcher)</v>
      </c>
      <c r="D668" s="48" t="str">
        <f>_xlfn.XLOOKUP(C668,Analysis_Gadgets!$C:$C,Analysis_Gadgets!$B:$B)</f>
        <v>Gadget</v>
      </c>
      <c r="E668" s="43">
        <v>35</v>
      </c>
      <c r="F668" s="43">
        <f>_xlfn.XLOOKUP(A668,Class_Players!A:A,Class_Players!G:G)</f>
        <v>179</v>
      </c>
      <c r="G668" s="43">
        <f t="shared" si="211"/>
        <v>0.19553072625698323</v>
      </c>
      <c r="H668" s="43">
        <f>_xlfn.XLOOKUP(A668,Class_Players!$A:$A,Class_Players!$F:$F,"")</f>
        <v>7317</v>
      </c>
      <c r="I668" s="44">
        <f t="shared" si="212"/>
        <v>4.783381167145005E-3</v>
      </c>
      <c r="J668" s="43">
        <f t="shared" si="207"/>
        <v>0</v>
      </c>
      <c r="K668" s="44" cm="1">
        <f t="array" ref="K668">IF(D668="Gadget",_xlfn.IFS(I668&gt;=0.2,0.5,I668&gt;=0.1,0.35,I668&gt;=0.05,0.2,TRUE,0),IF(D668="Grenade",_xlfn.IFS(I668&gt;=0.2,1,I668&gt;=0.1,0.7,I668&gt;=0.05,0.4,TRUE,0),0))</f>
        <v>0</v>
      </c>
      <c r="L668" s="57">
        <f t="shared" si="217"/>
        <v>0</v>
      </c>
    </row>
    <row r="669" spans="1:12" x14ac:dyDescent="0.25">
      <c r="A669" s="42" t="str" cm="1">
        <f t="array" ref="A669">IFERROR(INDEX(_xlfn._xlws.FILTER(Class_Players!A:A,Class_Players!B:B="Assault"),QUOTIENT(ROW()-ROW($A$2),7)+1),"")</f>
        <v>Krypt Monky</v>
      </c>
      <c r="B669" s="42" t="str">
        <f>_xlfn.XLOOKUP(A669,Class_Players!$A:$A,Class_Players!$B:$B,"")</f>
        <v>Assault</v>
      </c>
      <c r="C669" s="48" t="str" cm="1">
        <f t="array" ref="C669">INDEX(Lookups!$A$2:$A$8,MOD(ROW()-ROW($B$2),ROWS(Lookups!$A$2:$A$8))+1)</f>
        <v>M320A1 HE (Grenade Launcher)</v>
      </c>
      <c r="D669" s="48" t="str">
        <f>_xlfn.XLOOKUP(C669,Analysis_Gadgets!$C:$C,Analysis_Gadgets!$B:$B)</f>
        <v>Gadget</v>
      </c>
      <c r="E669" s="43">
        <v>2017</v>
      </c>
      <c r="F669" s="43">
        <f>_xlfn.XLOOKUP(A669,Class_Players!A:A,Class_Players!G:G)</f>
        <v>179</v>
      </c>
      <c r="G669" s="43">
        <f t="shared" si="211"/>
        <v>11.268156424581006</v>
      </c>
      <c r="H669" s="43">
        <f>_xlfn.XLOOKUP(A669,Class_Players!$A:$A,Class_Players!$F:$F,"")</f>
        <v>7317</v>
      </c>
      <c r="I669" s="44">
        <f t="shared" si="212"/>
        <v>0.27565942326089926</v>
      </c>
      <c r="J669" s="43">
        <f t="shared" si="207"/>
        <v>1</v>
      </c>
      <c r="K669" s="44" cm="1">
        <f t="array" ref="K669">IF(D669="Gadget",_xlfn.IFS(I669&gt;=0.2,0.5,I669&gt;=0.1,0.35,I669&gt;=0.05,0.2,TRUE,0),IF(D669="Grenade",_xlfn.IFS(I669&gt;=0.2,1,I669&gt;=0.1,0.7,I669&gt;=0.05,0.4,TRUE,0),0))</f>
        <v>0.5</v>
      </c>
      <c r="L669" s="57">
        <f t="shared" si="217"/>
        <v>0.5</v>
      </c>
    </row>
    <row r="670" spans="1:12" x14ac:dyDescent="0.25">
      <c r="A670" s="42" t="str" cm="1">
        <f t="array" ref="A670">IFERROR(INDEX(_xlfn._xlws.FILTER(Class_Players!A:A,Class_Players!B:B="Assault"),QUOTIENT(ROW()-ROW($A$2),7)+1),"")</f>
        <v>Krypt Monky</v>
      </c>
      <c r="B670" s="42" t="str">
        <f>_xlfn.XLOOKUP(A670,Class_Players!$A:$A,Class_Players!$B:$B,"")</f>
        <v>Assault</v>
      </c>
      <c r="C670" s="48" t="str" cm="1">
        <f t="array" ref="C670">INDEX(Lookups!$A$2:$A$8,MOD(ROW()-ROW($B$2),ROWS(Lookups!$A$2:$A$8))+1)</f>
        <v>M320A1 THRM    (Incendiary Grenade Launcher)</v>
      </c>
      <c r="D670" s="48" t="str">
        <f>_xlfn.XLOOKUP(C670,Analysis_Gadgets!$C:$C,Analysis_Gadgets!$B:$B)</f>
        <v>Gadget</v>
      </c>
      <c r="E670" s="43">
        <v>128</v>
      </c>
      <c r="F670" s="43">
        <f>_xlfn.XLOOKUP(A670,Class_Players!A:A,Class_Players!G:G)</f>
        <v>179</v>
      </c>
      <c r="G670" s="43">
        <f t="shared" si="211"/>
        <v>0.71508379888268159</v>
      </c>
      <c r="H670" s="43">
        <f>_xlfn.XLOOKUP(A670,Class_Players!$A:$A,Class_Players!$F:$F,"")</f>
        <v>7317</v>
      </c>
      <c r="I670" s="44">
        <f t="shared" si="212"/>
        <v>1.7493508268416016E-2</v>
      </c>
      <c r="J670" s="43">
        <f t="shared" si="207"/>
        <v>0</v>
      </c>
      <c r="K670" s="44" cm="1">
        <f t="array" ref="K670">IF(D670="Gadget",_xlfn.IFS(I670&gt;=0.2,0.5,I670&gt;=0.1,0.35,I670&gt;=0.05,0.2,TRUE,0),IF(D670="Grenade",_xlfn.IFS(I670&gt;=0.2,1,I670&gt;=0.1,0.7,I670&gt;=0.05,0.4,TRUE,0),0))</f>
        <v>0</v>
      </c>
      <c r="L670" s="57">
        <f t="shared" si="217"/>
        <v>0</v>
      </c>
    </row>
    <row r="671" spans="1:12" x14ac:dyDescent="0.25">
      <c r="A671" s="42" t="str" cm="1">
        <f t="array" ref="A671">IFERROR(INDEX(_xlfn._xlws.FILTER(Class_Players!A:A,Class_Players!B:B="Assault"),QUOTIENT(ROW()-ROW($A$2),7)+1),"")</f>
        <v>Krypt Monky</v>
      </c>
      <c r="B671" s="42" t="str">
        <f>_xlfn.XLOOKUP(A671,Class_Players!$A:$A,Class_Players!$B:$B,"")</f>
        <v>Assault</v>
      </c>
      <c r="C671" s="48" t="str" cm="1">
        <f t="array" ref="C671">INDEX(Lookups!$A$2:$A$8,MOD(ROW()-ROW($B$2),ROWS(Lookups!$A$2:$A$8))+1)</f>
        <v>QLINK (Deploy Beacon)</v>
      </c>
      <c r="D671" s="48" t="str">
        <f>_xlfn.XLOOKUP(C671,Analysis_Gadgets!$C:$C,Analysis_Gadgets!$B:$B)</f>
        <v>Gadget</v>
      </c>
      <c r="E671" s="43">
        <v>3379</v>
      </c>
      <c r="F671" s="43">
        <f>_xlfn.XLOOKUP(A671,Class_Players!A:A,Class_Players!G:G)</f>
        <v>179</v>
      </c>
      <c r="G671" s="43">
        <f t="shared" si="211"/>
        <v>18.877094972067038</v>
      </c>
      <c r="H671" s="43">
        <f>_xlfn.XLOOKUP(A671,Class_Players!$A:$A,Class_Players!$F:$F,"")</f>
        <v>7317</v>
      </c>
      <c r="I671" s="44">
        <f t="shared" si="212"/>
        <v>0.46180128467951348</v>
      </c>
      <c r="J671" s="43">
        <f t="shared" si="207"/>
        <v>1</v>
      </c>
      <c r="K671" s="44" cm="1">
        <f t="array" ref="K671">IF(D671="Gadget",_xlfn.IFS(I671&gt;=0.2,0.5,I671&gt;=0.1,0.35,I671&gt;=0.05,0.2,TRUE,0),IF(D671="Grenade",_xlfn.IFS(I671&gt;=0.2,1,I671&gt;=0.1,0.7,I671&gt;=0.05,0.4,TRUE,0),0))</f>
        <v>0.5</v>
      </c>
      <c r="L671" s="57">
        <f t="shared" si="217"/>
        <v>0.5</v>
      </c>
    </row>
    <row r="672" spans="1:12" x14ac:dyDescent="0.25">
      <c r="A672" s="42" t="str" cm="1">
        <f t="array" ref="A672">IFERROR(INDEX(_xlfn._xlws.FILTER(Class_Players!A:A,Class_Players!B:B="Assault"),QUOTIENT(ROW()-ROW($A$2),7)+1),"")</f>
        <v>Krypt Monky</v>
      </c>
      <c r="B672" s="42" t="str">
        <f>_xlfn.XLOOKUP(A672,Class_Players!$A:$A,Class_Players!$B:$B,"")</f>
        <v>Assault</v>
      </c>
      <c r="C672" s="48" t="str" cm="1">
        <f t="array" ref="C672">INDEX(Lookups!$A$2:$A$8,MOD(ROW()-ROW($B$2),ROWS(Lookups!$A$2:$A$8))+1)</f>
        <v>Stun Grenade</v>
      </c>
      <c r="D672" s="48" t="str">
        <f>_xlfn.XLOOKUP(C672,Analysis_Gadgets!$C:$C,Analysis_Gadgets!$B:$B)</f>
        <v>Grenade</v>
      </c>
      <c r="E672" s="43">
        <v>130</v>
      </c>
      <c r="F672" s="43">
        <f>_xlfn.XLOOKUP(A672,Class_Players!A:A,Class_Players!G:G)</f>
        <v>179</v>
      </c>
      <c r="G672" s="43">
        <f t="shared" si="211"/>
        <v>0.72625698324022347</v>
      </c>
      <c r="H672" s="43">
        <f>_xlfn.XLOOKUP(A672,Class_Players!$A:$A,Class_Players!$F:$F,"")</f>
        <v>7317</v>
      </c>
      <c r="I672" s="44">
        <f t="shared" si="212"/>
        <v>1.7766844335110017E-2</v>
      </c>
      <c r="J672" s="43">
        <f t="shared" si="207"/>
        <v>0</v>
      </c>
      <c r="K672" s="44" cm="1">
        <f t="array" ref="K672">IF(D672="Gadget",_xlfn.IFS(I672&gt;=0.2,0.5,I672&gt;=0.1,0.35,I672&gt;=0.05,0.2,TRUE,0),IF(D672="Grenade",_xlfn.IFS(I672&gt;=0.2,1,I672&gt;=0.1,0.7,I672&gt;=0.05,0.4,TRUE,0),0))</f>
        <v>0</v>
      </c>
      <c r="L672" s="57">
        <f t="shared" ref="L672:L673" si="218">IF($K672=0,0,$K672 / SUMIFS($K:$K,$A:$A,$A672,$D:$D,"Grenade"))</f>
        <v>0</v>
      </c>
    </row>
    <row r="673" spans="1:12" x14ac:dyDescent="0.25">
      <c r="A673" s="42" t="str" cm="1">
        <f t="array" ref="A673">IFERROR(INDEX(_xlfn._xlws.FILTER(Class_Players!A:A,Class_Players!B:B="Assault"),QUOTIENT(ROW()-ROW($A$2),7)+1),"")</f>
        <v>Krypt Monky</v>
      </c>
      <c r="B673" s="42" t="str">
        <f>_xlfn.XLOOKUP(A673,Class_Players!$A:$A,Class_Players!$B:$B,"")</f>
        <v>Assault</v>
      </c>
      <c r="C673" s="48" t="str" cm="1">
        <f t="array" ref="C673">INDEX(Lookups!$A$2:$A$8,MOD(ROW()-ROW($B$2),ROWS(Lookups!$A$2:$A$8))+1)</f>
        <v>Flash Grenade</v>
      </c>
      <c r="D673" s="48" t="str">
        <f>_xlfn.XLOOKUP(C673,Analysis_Gadgets!$C:$C,Analysis_Gadgets!$B:$B)</f>
        <v>Grenade</v>
      </c>
      <c r="E673" s="43">
        <v>0</v>
      </c>
      <c r="F673" s="43">
        <f>_xlfn.XLOOKUP(A673,Class_Players!A:A,Class_Players!G:G)</f>
        <v>179</v>
      </c>
      <c r="G673" s="43">
        <f t="shared" si="211"/>
        <v>0</v>
      </c>
      <c r="H673" s="43">
        <f>_xlfn.XLOOKUP(A673,Class_Players!$A:$A,Class_Players!$F:$F,"")</f>
        <v>7317</v>
      </c>
      <c r="I673" s="44">
        <f t="shared" si="212"/>
        <v>0</v>
      </c>
      <c r="J673" s="43">
        <f t="shared" si="207"/>
        <v>0</v>
      </c>
      <c r="K673" s="44" cm="1">
        <f t="array" ref="K673">IF(D673="Gadget",_xlfn.IFS(I673&gt;=0.2,0.5,I673&gt;=0.1,0.35,I673&gt;=0.05,0.2,TRUE,0),IF(D673="Grenade",_xlfn.IFS(I673&gt;=0.2,1,I673&gt;=0.1,0.7,I673&gt;=0.05,0.4,TRUE,0),0))</f>
        <v>0</v>
      </c>
      <c r="L673" s="57">
        <f t="shared" si="218"/>
        <v>0</v>
      </c>
    </row>
    <row r="674" spans="1:12" x14ac:dyDescent="0.25">
      <c r="A674" s="42" t="str" cm="1">
        <f t="array" ref="A674">IFERROR(INDEX(_xlfn._xlws.FILTER(Class_Players!A:A,Class_Players!B:B="Assault"),QUOTIENT(ROW()-ROW($A$2),7)+1),"")</f>
        <v>ggenghis</v>
      </c>
      <c r="B674" s="42" t="str">
        <f>_xlfn.XLOOKUP(A674,Class_Players!$A:$A,Class_Players!$B:$B,"")</f>
        <v>Assault</v>
      </c>
      <c r="C674" s="48" t="str" cm="1">
        <f t="array" ref="C674">INDEX(Lookups!$A$2:$A$8,MOD(ROW()-ROW($B$2),ROWS(Lookups!$A$2:$A$8))+1)</f>
        <v>Assault Ladder</v>
      </c>
      <c r="D674" s="48" t="str">
        <f>_xlfn.XLOOKUP(C674,Analysis_Gadgets!$C:$C,Analysis_Gadgets!$B:$B)</f>
        <v>Gadget</v>
      </c>
      <c r="E674" s="43">
        <v>2</v>
      </c>
      <c r="F674" s="43">
        <f>_xlfn.XLOOKUP(A674,Class_Players!A:A,Class_Players!G:G)</f>
        <v>224</v>
      </c>
      <c r="G674" s="43">
        <f t="shared" si="211"/>
        <v>8.9285714285714281E-3</v>
      </c>
      <c r="H674" s="43">
        <f>_xlfn.XLOOKUP(A674,Class_Players!$A:$A,Class_Players!$F:$F,"")</f>
        <v>8298</v>
      </c>
      <c r="I674" s="44">
        <f t="shared" si="212"/>
        <v>2.4102193299590263E-4</v>
      </c>
      <c r="J674" s="43">
        <f t="shared" si="207"/>
        <v>0</v>
      </c>
      <c r="K674" s="44" cm="1">
        <f t="array" ref="K674">IF(D674="Gadget",_xlfn.IFS(I674&gt;=0.2,0.5,I674&gt;=0.1,0.35,I674&gt;=0.05,0.2,TRUE,0),IF(D674="Grenade",_xlfn.IFS(I674&gt;=0.2,1,I674&gt;=0.1,0.7,I674&gt;=0.05,0.4,TRUE,0),0))</f>
        <v>0</v>
      </c>
      <c r="L674" s="57">
        <f t="shared" ref="L674:L678" si="219">IF($K674=0,0,$K674 / SUMIFS($K:$K,$A:$A,$A674,$D:$D,"Gadget"))</f>
        <v>0</v>
      </c>
    </row>
    <row r="675" spans="1:12" x14ac:dyDescent="0.25">
      <c r="A675" s="42" t="str" cm="1">
        <f t="array" ref="A675">IFERROR(INDEX(_xlfn._xlws.FILTER(Class_Players!A:A,Class_Players!B:B="Assault"),QUOTIENT(ROW()-ROW($A$2),7)+1),"")</f>
        <v>ggenghis</v>
      </c>
      <c r="B675" s="42" t="str">
        <f>_xlfn.XLOOKUP(A675,Class_Players!$A:$A,Class_Players!$B:$B,"")</f>
        <v>Assault</v>
      </c>
      <c r="C675" s="48" t="str" cm="1">
        <f t="array" ref="C675">INDEX(Lookups!$A$2:$A$8,MOD(ROW()-ROW($B$2),ROWS(Lookups!$A$2:$A$8))+1)</f>
        <v>X95 BRE (Breaching Projectile Launcher)</v>
      </c>
      <c r="D675" s="48" t="str">
        <f>_xlfn.XLOOKUP(C675,Analysis_Gadgets!$C:$C,Analysis_Gadgets!$B:$B)</f>
        <v>Gadget</v>
      </c>
      <c r="E675" s="43">
        <v>8</v>
      </c>
      <c r="F675" s="43">
        <f>_xlfn.XLOOKUP(A675,Class_Players!A:A,Class_Players!G:G)</f>
        <v>224</v>
      </c>
      <c r="G675" s="43">
        <f t="shared" si="211"/>
        <v>3.5714285714285712E-2</v>
      </c>
      <c r="H675" s="43">
        <f>_xlfn.XLOOKUP(A675,Class_Players!$A:$A,Class_Players!$F:$F,"")</f>
        <v>8298</v>
      </c>
      <c r="I675" s="44">
        <f t="shared" si="212"/>
        <v>9.6408773198361053E-4</v>
      </c>
      <c r="J675" s="43">
        <f t="shared" si="207"/>
        <v>0</v>
      </c>
      <c r="K675" s="44" cm="1">
        <f t="array" ref="K675">IF(D675="Gadget",_xlfn.IFS(I675&gt;=0.2,0.5,I675&gt;=0.1,0.35,I675&gt;=0.05,0.2,TRUE,0),IF(D675="Grenade",_xlfn.IFS(I675&gt;=0.2,1,I675&gt;=0.1,0.7,I675&gt;=0.05,0.4,TRUE,0),0))</f>
        <v>0</v>
      </c>
      <c r="L675" s="57">
        <f t="shared" si="219"/>
        <v>0</v>
      </c>
    </row>
    <row r="676" spans="1:12" x14ac:dyDescent="0.25">
      <c r="A676" s="42" t="str" cm="1">
        <f t="array" ref="A676">IFERROR(INDEX(_xlfn._xlws.FILTER(Class_Players!A:A,Class_Players!B:B="Assault"),QUOTIENT(ROW()-ROW($A$2),7)+1),"")</f>
        <v>ggenghis</v>
      </c>
      <c r="B676" s="42" t="str">
        <f>_xlfn.XLOOKUP(A676,Class_Players!$A:$A,Class_Players!$B:$B,"")</f>
        <v>Assault</v>
      </c>
      <c r="C676" s="48" t="str" cm="1">
        <f t="array" ref="C676">INDEX(Lookups!$A$2:$A$8,MOD(ROW()-ROW($B$2),ROWS(Lookups!$A$2:$A$8))+1)</f>
        <v>M320A1 HE (Grenade Launcher)</v>
      </c>
      <c r="D676" s="48" t="str">
        <f>_xlfn.XLOOKUP(C676,Analysis_Gadgets!$C:$C,Analysis_Gadgets!$B:$B)</f>
        <v>Gadget</v>
      </c>
      <c r="E676" s="43">
        <v>5430</v>
      </c>
      <c r="F676" s="43">
        <f>_xlfn.XLOOKUP(A676,Class_Players!A:A,Class_Players!G:G)</f>
        <v>224</v>
      </c>
      <c r="G676" s="43">
        <f t="shared" si="211"/>
        <v>24.241071428571427</v>
      </c>
      <c r="H676" s="43">
        <f>_xlfn.XLOOKUP(A676,Class_Players!$A:$A,Class_Players!$F:$F,"")</f>
        <v>8298</v>
      </c>
      <c r="I676" s="44">
        <f t="shared" si="212"/>
        <v>0.65437454808387563</v>
      </c>
      <c r="J676" s="43">
        <f t="shared" si="207"/>
        <v>1</v>
      </c>
      <c r="K676" s="44" cm="1">
        <f t="array" ref="K676">IF(D676="Gadget",_xlfn.IFS(I676&gt;=0.2,0.5,I676&gt;=0.1,0.35,I676&gt;=0.05,0.2,TRUE,0),IF(D676="Grenade",_xlfn.IFS(I676&gt;=0.2,1,I676&gt;=0.1,0.7,I676&gt;=0.05,0.4,TRUE,0),0))</f>
        <v>0.5</v>
      </c>
      <c r="L676" s="57">
        <f t="shared" si="219"/>
        <v>0.5</v>
      </c>
    </row>
    <row r="677" spans="1:12" x14ac:dyDescent="0.25">
      <c r="A677" s="42" t="str" cm="1">
        <f t="array" ref="A677">IFERROR(INDEX(_xlfn._xlws.FILTER(Class_Players!A:A,Class_Players!B:B="Assault"),QUOTIENT(ROW()-ROW($A$2),7)+1),"")</f>
        <v>ggenghis</v>
      </c>
      <c r="B677" s="42" t="str">
        <f>_xlfn.XLOOKUP(A677,Class_Players!$A:$A,Class_Players!$B:$B,"")</f>
        <v>Assault</v>
      </c>
      <c r="C677" s="48" t="str" cm="1">
        <f t="array" ref="C677">INDEX(Lookups!$A$2:$A$8,MOD(ROW()-ROW($B$2),ROWS(Lookups!$A$2:$A$8))+1)</f>
        <v>M320A1 THRM    (Incendiary Grenade Launcher)</v>
      </c>
      <c r="D677" s="48" t="str">
        <f>_xlfn.XLOOKUP(C677,Analysis_Gadgets!$C:$C,Analysis_Gadgets!$B:$B)</f>
        <v>Gadget</v>
      </c>
      <c r="E677" s="43">
        <v>144</v>
      </c>
      <c r="F677" s="43">
        <f>_xlfn.XLOOKUP(A677,Class_Players!A:A,Class_Players!G:G)</f>
        <v>224</v>
      </c>
      <c r="G677" s="43">
        <f t="shared" si="211"/>
        <v>0.6428571428571429</v>
      </c>
      <c r="H677" s="43">
        <f>_xlfn.XLOOKUP(A677,Class_Players!$A:$A,Class_Players!$F:$F,"")</f>
        <v>8298</v>
      </c>
      <c r="I677" s="44">
        <f t="shared" si="212"/>
        <v>1.735357917570499E-2</v>
      </c>
      <c r="J677" s="43">
        <f t="shared" si="207"/>
        <v>0</v>
      </c>
      <c r="K677" s="44" cm="1">
        <f t="array" ref="K677">IF(D677="Gadget",_xlfn.IFS(I677&gt;=0.2,0.5,I677&gt;=0.1,0.35,I677&gt;=0.05,0.2,TRUE,0),IF(D677="Grenade",_xlfn.IFS(I677&gt;=0.2,1,I677&gt;=0.1,0.7,I677&gt;=0.05,0.4,TRUE,0),0))</f>
        <v>0</v>
      </c>
      <c r="L677" s="57">
        <f t="shared" si="219"/>
        <v>0</v>
      </c>
    </row>
    <row r="678" spans="1:12" x14ac:dyDescent="0.25">
      <c r="A678" s="42" t="str" cm="1">
        <f t="array" ref="A678">IFERROR(INDEX(_xlfn._xlws.FILTER(Class_Players!A:A,Class_Players!B:B="Assault"),QUOTIENT(ROW()-ROW($A$2),7)+1),"")</f>
        <v>ggenghis</v>
      </c>
      <c r="B678" s="42" t="str">
        <f>_xlfn.XLOOKUP(A678,Class_Players!$A:$A,Class_Players!$B:$B,"")</f>
        <v>Assault</v>
      </c>
      <c r="C678" s="48" t="str" cm="1">
        <f t="array" ref="C678">INDEX(Lookups!$A$2:$A$8,MOD(ROW()-ROW($B$2),ROWS(Lookups!$A$2:$A$8))+1)</f>
        <v>QLINK (Deploy Beacon)</v>
      </c>
      <c r="D678" s="48" t="str">
        <f>_xlfn.XLOOKUP(C678,Analysis_Gadgets!$C:$C,Analysis_Gadgets!$B:$B)</f>
        <v>Gadget</v>
      </c>
      <c r="E678" s="43">
        <v>3307</v>
      </c>
      <c r="F678" s="43">
        <f>_xlfn.XLOOKUP(A678,Class_Players!A:A,Class_Players!G:G)</f>
        <v>224</v>
      </c>
      <c r="G678" s="43">
        <f t="shared" si="211"/>
        <v>14.763392857142858</v>
      </c>
      <c r="H678" s="43">
        <f>_xlfn.XLOOKUP(A678,Class_Players!$A:$A,Class_Players!$F:$F,"")</f>
        <v>8298</v>
      </c>
      <c r="I678" s="44">
        <f t="shared" si="212"/>
        <v>0.39852976620872499</v>
      </c>
      <c r="J678" s="43">
        <f t="shared" si="207"/>
        <v>1</v>
      </c>
      <c r="K678" s="44" cm="1">
        <f t="array" ref="K678">IF(D678="Gadget",_xlfn.IFS(I678&gt;=0.2,0.5,I678&gt;=0.1,0.35,I678&gt;=0.05,0.2,TRUE,0),IF(D678="Grenade",_xlfn.IFS(I678&gt;=0.2,1,I678&gt;=0.1,0.7,I678&gt;=0.05,0.4,TRUE,0),0))</f>
        <v>0.5</v>
      </c>
      <c r="L678" s="57">
        <f t="shared" si="219"/>
        <v>0.5</v>
      </c>
    </row>
    <row r="679" spans="1:12" x14ac:dyDescent="0.25">
      <c r="A679" s="42" t="str" cm="1">
        <f t="array" ref="A679">IFERROR(INDEX(_xlfn._xlws.FILTER(Class_Players!A:A,Class_Players!B:B="Assault"),QUOTIENT(ROW()-ROW($A$2),7)+1),"")</f>
        <v>ggenghis</v>
      </c>
      <c r="B679" s="42" t="str">
        <f>_xlfn.XLOOKUP(A679,Class_Players!$A:$A,Class_Players!$B:$B,"")</f>
        <v>Assault</v>
      </c>
      <c r="C679" s="48" t="str" cm="1">
        <f t="array" ref="C679">INDEX(Lookups!$A$2:$A$8,MOD(ROW()-ROW($B$2),ROWS(Lookups!$A$2:$A$8))+1)</f>
        <v>Stun Grenade</v>
      </c>
      <c r="D679" s="48" t="str">
        <f>_xlfn.XLOOKUP(C679,Analysis_Gadgets!$C:$C,Analysis_Gadgets!$B:$B)</f>
        <v>Grenade</v>
      </c>
      <c r="E679" s="43">
        <v>230</v>
      </c>
      <c r="F679" s="43">
        <f>_xlfn.XLOOKUP(A679,Class_Players!A:A,Class_Players!G:G)</f>
        <v>224</v>
      </c>
      <c r="G679" s="43">
        <f t="shared" si="211"/>
        <v>1.0267857142857142</v>
      </c>
      <c r="H679" s="43">
        <f>_xlfn.XLOOKUP(A679,Class_Players!$A:$A,Class_Players!$F:$F,"")</f>
        <v>8298</v>
      </c>
      <c r="I679" s="44">
        <f t="shared" si="212"/>
        <v>2.7717522294528802E-2</v>
      </c>
      <c r="J679" s="43">
        <f t="shared" si="207"/>
        <v>0</v>
      </c>
      <c r="K679" s="44" cm="1">
        <f t="array" ref="K679">IF(D679="Gadget",_xlfn.IFS(I679&gt;=0.2,0.5,I679&gt;=0.1,0.35,I679&gt;=0.05,0.2,TRUE,0),IF(D679="Grenade",_xlfn.IFS(I679&gt;=0.2,1,I679&gt;=0.1,0.7,I679&gt;=0.05,0.4,TRUE,0),0))</f>
        <v>0</v>
      </c>
      <c r="L679" s="57">
        <f t="shared" ref="L679:L680" si="220">IF($K679=0,0,$K679 / SUMIFS($K:$K,$A:$A,$A679,$D:$D,"Grenade"))</f>
        <v>0</v>
      </c>
    </row>
    <row r="680" spans="1:12" x14ac:dyDescent="0.25">
      <c r="A680" s="42" t="str" cm="1">
        <f t="array" ref="A680">IFERROR(INDEX(_xlfn._xlws.FILTER(Class_Players!A:A,Class_Players!B:B="Assault"),QUOTIENT(ROW()-ROW($A$2),7)+1),"")</f>
        <v>ggenghis</v>
      </c>
      <c r="B680" s="42" t="str">
        <f>_xlfn.XLOOKUP(A680,Class_Players!$A:$A,Class_Players!$B:$B,"")</f>
        <v>Assault</v>
      </c>
      <c r="C680" s="48" t="str" cm="1">
        <f t="array" ref="C680">INDEX(Lookups!$A$2:$A$8,MOD(ROW()-ROW($B$2),ROWS(Lookups!$A$2:$A$8))+1)</f>
        <v>Flash Grenade</v>
      </c>
      <c r="D680" s="48" t="str">
        <f>_xlfn.XLOOKUP(C680,Analysis_Gadgets!$C:$C,Analysis_Gadgets!$B:$B)</f>
        <v>Grenade</v>
      </c>
      <c r="E680" s="43">
        <v>2</v>
      </c>
      <c r="F680" s="43">
        <f>_xlfn.XLOOKUP(A680,Class_Players!A:A,Class_Players!G:G)</f>
        <v>224</v>
      </c>
      <c r="G680" s="43">
        <f t="shared" si="211"/>
        <v>8.9285714285714281E-3</v>
      </c>
      <c r="H680" s="43">
        <f>_xlfn.XLOOKUP(A680,Class_Players!$A:$A,Class_Players!$F:$F,"")</f>
        <v>8298</v>
      </c>
      <c r="I680" s="44">
        <f t="shared" si="212"/>
        <v>2.4102193299590263E-4</v>
      </c>
      <c r="J680" s="43">
        <f t="shared" si="207"/>
        <v>0</v>
      </c>
      <c r="K680" s="44" cm="1">
        <f t="array" ref="K680">IF(D680="Gadget",_xlfn.IFS(I680&gt;=0.2,0.5,I680&gt;=0.1,0.35,I680&gt;=0.05,0.2,TRUE,0),IF(D680="Grenade",_xlfn.IFS(I680&gt;=0.2,1,I680&gt;=0.1,0.7,I680&gt;=0.05,0.4,TRUE,0),0))</f>
        <v>0</v>
      </c>
      <c r="L680" s="57">
        <f t="shared" si="220"/>
        <v>0</v>
      </c>
    </row>
    <row r="681" spans="1:12" x14ac:dyDescent="0.25">
      <c r="A681" s="42" t="str" cm="1">
        <f t="array" ref="A681">IFERROR(INDEX(_xlfn._xlws.FILTER(Class_Players!A:A,Class_Players!B:B="Assault"),QUOTIENT(ROW()-ROW($A$2),7)+1),"")</f>
        <v>SalkiN</v>
      </c>
      <c r="B681" s="42" t="str">
        <f>_xlfn.XLOOKUP(A681,Class_Players!$A:$A,Class_Players!$B:$B,"")</f>
        <v>Assault</v>
      </c>
      <c r="C681" s="48" t="str" cm="1">
        <f t="array" ref="C681">INDEX(Lookups!$A$2:$A$8,MOD(ROW()-ROW($B$2),ROWS(Lookups!$A$2:$A$8))+1)</f>
        <v>Assault Ladder</v>
      </c>
      <c r="D681" s="48" t="str">
        <f>_xlfn.XLOOKUP(C681,Analysis_Gadgets!$C:$C,Analysis_Gadgets!$B:$B)</f>
        <v>Gadget</v>
      </c>
      <c r="E681" s="43">
        <v>3136</v>
      </c>
      <c r="F681" s="43">
        <f>_xlfn.XLOOKUP(A681,Class_Players!A:A,Class_Players!G:G)</f>
        <v>175</v>
      </c>
      <c r="G681" s="43">
        <f t="shared" si="211"/>
        <v>17.920000000000002</v>
      </c>
      <c r="H681" s="43">
        <f>_xlfn.XLOOKUP(A681,Class_Players!$A:$A,Class_Players!$F:$F,"")</f>
        <v>7248</v>
      </c>
      <c r="I681" s="44">
        <f t="shared" si="212"/>
        <v>0.43267108167770418</v>
      </c>
      <c r="J681" s="43">
        <f t="shared" si="207"/>
        <v>1</v>
      </c>
      <c r="K681" s="44" cm="1">
        <f t="array" ref="K681">IF(D681="Gadget",_xlfn.IFS(I681&gt;=0.2,0.5,I681&gt;=0.1,0.35,I681&gt;=0.05,0.2,TRUE,0),IF(D681="Grenade",_xlfn.IFS(I681&gt;=0.2,1,I681&gt;=0.1,0.7,I681&gt;=0.05,0.4,TRUE,0),0))</f>
        <v>0.5</v>
      </c>
      <c r="L681" s="57">
        <f t="shared" ref="L681:L685" si="221">IF($K681=0,0,$K681 / SUMIFS($K:$K,$A:$A,$A681,$D:$D,"Gadget"))</f>
        <v>0.41666666666666669</v>
      </c>
    </row>
    <row r="682" spans="1:12" x14ac:dyDescent="0.25">
      <c r="A682" s="42" t="str" cm="1">
        <f t="array" ref="A682">IFERROR(INDEX(_xlfn._xlws.FILTER(Class_Players!A:A,Class_Players!B:B="Assault"),QUOTIENT(ROW()-ROW($A$2),7)+1),"")</f>
        <v>SalkiN</v>
      </c>
      <c r="B682" s="42" t="str">
        <f>_xlfn.XLOOKUP(A682,Class_Players!$A:$A,Class_Players!$B:$B,"")</f>
        <v>Assault</v>
      </c>
      <c r="C682" s="48" t="str" cm="1">
        <f t="array" ref="C682">INDEX(Lookups!$A$2:$A$8,MOD(ROW()-ROW($B$2),ROWS(Lookups!$A$2:$A$8))+1)</f>
        <v>X95 BRE (Breaching Projectile Launcher)</v>
      </c>
      <c r="D682" s="48" t="str">
        <f>_xlfn.XLOOKUP(C682,Analysis_Gadgets!$C:$C,Analysis_Gadgets!$B:$B)</f>
        <v>Gadget</v>
      </c>
      <c r="E682" s="43">
        <v>19</v>
      </c>
      <c r="F682" s="43">
        <f>_xlfn.XLOOKUP(A682,Class_Players!A:A,Class_Players!G:G)</f>
        <v>175</v>
      </c>
      <c r="G682" s="43">
        <f t="shared" si="211"/>
        <v>0.10857142857142857</v>
      </c>
      <c r="H682" s="43">
        <f>_xlfn.XLOOKUP(A682,Class_Players!$A:$A,Class_Players!$F:$F,"")</f>
        <v>7248</v>
      </c>
      <c r="I682" s="44">
        <f t="shared" si="212"/>
        <v>2.6214128035320088E-3</v>
      </c>
      <c r="J682" s="43">
        <f t="shared" si="207"/>
        <v>0</v>
      </c>
      <c r="K682" s="44" cm="1">
        <f t="array" ref="K682">IF(D682="Gadget",_xlfn.IFS(I682&gt;=0.2,0.5,I682&gt;=0.1,0.35,I682&gt;=0.05,0.2,TRUE,0),IF(D682="Grenade",_xlfn.IFS(I682&gt;=0.2,1,I682&gt;=0.1,0.7,I682&gt;=0.05,0.4,TRUE,0),0))</f>
        <v>0</v>
      </c>
      <c r="L682" s="57">
        <f t="shared" si="221"/>
        <v>0</v>
      </c>
    </row>
    <row r="683" spans="1:12" x14ac:dyDescent="0.25">
      <c r="A683" s="42" t="str" cm="1">
        <f t="array" ref="A683">IFERROR(INDEX(_xlfn._xlws.FILTER(Class_Players!A:A,Class_Players!B:B="Assault"),QUOTIENT(ROW()-ROW($A$2),7)+1),"")</f>
        <v>SalkiN</v>
      </c>
      <c r="B683" s="42" t="str">
        <f>_xlfn.XLOOKUP(A683,Class_Players!$A:$A,Class_Players!$B:$B,"")</f>
        <v>Assault</v>
      </c>
      <c r="C683" s="48" t="str" cm="1">
        <f t="array" ref="C683">INDEX(Lookups!$A$2:$A$8,MOD(ROW()-ROW($B$2),ROWS(Lookups!$A$2:$A$8))+1)</f>
        <v>M320A1 HE (Grenade Launcher)</v>
      </c>
      <c r="D683" s="48" t="str">
        <f>_xlfn.XLOOKUP(C683,Analysis_Gadgets!$C:$C,Analysis_Gadgets!$B:$B)</f>
        <v>Gadget</v>
      </c>
      <c r="E683" s="43">
        <v>157</v>
      </c>
      <c r="F683" s="43">
        <f>_xlfn.XLOOKUP(A683,Class_Players!A:A,Class_Players!G:G)</f>
        <v>175</v>
      </c>
      <c r="G683" s="43">
        <f t="shared" si="211"/>
        <v>0.89714285714285713</v>
      </c>
      <c r="H683" s="43">
        <f>_xlfn.XLOOKUP(A683,Class_Players!$A:$A,Class_Players!$F:$F,"")</f>
        <v>7248</v>
      </c>
      <c r="I683" s="44">
        <f t="shared" si="212"/>
        <v>2.1661147902869757E-2</v>
      </c>
      <c r="J683" s="43">
        <f t="shared" si="207"/>
        <v>0</v>
      </c>
      <c r="K683" s="44" cm="1">
        <f t="array" ref="K683">IF(D683="Gadget",_xlfn.IFS(I683&gt;=0.2,0.5,I683&gt;=0.1,0.35,I683&gt;=0.05,0.2,TRUE,0),IF(D683="Grenade",_xlfn.IFS(I683&gt;=0.2,1,I683&gt;=0.1,0.7,I683&gt;=0.05,0.4,TRUE,0),0))</f>
        <v>0</v>
      </c>
      <c r="L683" s="57">
        <f t="shared" si="221"/>
        <v>0</v>
      </c>
    </row>
    <row r="684" spans="1:12" x14ac:dyDescent="0.25">
      <c r="A684" s="42" t="str" cm="1">
        <f t="array" ref="A684">IFERROR(INDEX(_xlfn._xlws.FILTER(Class_Players!A:A,Class_Players!B:B="Assault"),QUOTIENT(ROW()-ROW($A$2),7)+1),"")</f>
        <v>SalkiN</v>
      </c>
      <c r="B684" s="42" t="str">
        <f>_xlfn.XLOOKUP(A684,Class_Players!$A:$A,Class_Players!$B:$B,"")</f>
        <v>Assault</v>
      </c>
      <c r="C684" s="48" t="str" cm="1">
        <f t="array" ref="C684">INDEX(Lookups!$A$2:$A$8,MOD(ROW()-ROW($B$2),ROWS(Lookups!$A$2:$A$8))+1)</f>
        <v>M320A1 THRM    (Incendiary Grenade Launcher)</v>
      </c>
      <c r="D684" s="48" t="str">
        <f>_xlfn.XLOOKUP(C684,Analysis_Gadgets!$C:$C,Analysis_Gadgets!$B:$B)</f>
        <v>Gadget</v>
      </c>
      <c r="E684" s="43">
        <v>394</v>
      </c>
      <c r="F684" s="43">
        <f>_xlfn.XLOOKUP(A684,Class_Players!A:A,Class_Players!G:G)</f>
        <v>175</v>
      </c>
      <c r="G684" s="43">
        <f t="shared" si="211"/>
        <v>2.2514285714285713</v>
      </c>
      <c r="H684" s="43">
        <f>_xlfn.XLOOKUP(A684,Class_Players!$A:$A,Class_Players!$F:$F,"")</f>
        <v>7248</v>
      </c>
      <c r="I684" s="44">
        <f t="shared" si="212"/>
        <v>5.4359823399558499E-2</v>
      </c>
      <c r="J684" s="43">
        <f t="shared" si="207"/>
        <v>0</v>
      </c>
      <c r="K684" s="44" cm="1">
        <f t="array" ref="K684">IF(D684="Gadget",_xlfn.IFS(I684&gt;=0.2,0.5,I684&gt;=0.1,0.35,I684&gt;=0.05,0.2,TRUE,0),IF(D684="Grenade",_xlfn.IFS(I684&gt;=0.2,1,I684&gt;=0.1,0.7,I684&gt;=0.05,0.4,TRUE,0),0))</f>
        <v>0.2</v>
      </c>
      <c r="L684" s="57">
        <f t="shared" si="221"/>
        <v>0.16666666666666669</v>
      </c>
    </row>
    <row r="685" spans="1:12" x14ac:dyDescent="0.25">
      <c r="A685" s="42" t="str" cm="1">
        <f t="array" ref="A685">IFERROR(INDEX(_xlfn._xlws.FILTER(Class_Players!A:A,Class_Players!B:B="Assault"),QUOTIENT(ROW()-ROW($A$2),7)+1),"")</f>
        <v>SalkiN</v>
      </c>
      <c r="B685" s="42" t="str">
        <f>_xlfn.XLOOKUP(A685,Class_Players!$A:$A,Class_Players!$B:$B,"")</f>
        <v>Assault</v>
      </c>
      <c r="C685" s="48" t="str" cm="1">
        <f t="array" ref="C685">INDEX(Lookups!$A$2:$A$8,MOD(ROW()-ROW($B$2),ROWS(Lookups!$A$2:$A$8))+1)</f>
        <v>QLINK (Deploy Beacon)</v>
      </c>
      <c r="D685" s="48" t="str">
        <f>_xlfn.XLOOKUP(C685,Analysis_Gadgets!$C:$C,Analysis_Gadgets!$B:$B)</f>
        <v>Gadget</v>
      </c>
      <c r="E685" s="43">
        <v>3695</v>
      </c>
      <c r="F685" s="43">
        <f>_xlfn.XLOOKUP(A685,Class_Players!A:A,Class_Players!G:G)</f>
        <v>175</v>
      </c>
      <c r="G685" s="43">
        <f t="shared" si="211"/>
        <v>21.114285714285714</v>
      </c>
      <c r="H685" s="43">
        <f>_xlfn.XLOOKUP(A685,Class_Players!$A:$A,Class_Players!$F:$F,"")</f>
        <v>7248</v>
      </c>
      <c r="I685" s="44">
        <f t="shared" si="212"/>
        <v>0.50979580573951433</v>
      </c>
      <c r="J685" s="43">
        <f t="shared" si="207"/>
        <v>1</v>
      </c>
      <c r="K685" s="44" cm="1">
        <f t="array" ref="K685">IF(D685="Gadget",_xlfn.IFS(I685&gt;=0.2,0.5,I685&gt;=0.1,0.35,I685&gt;=0.05,0.2,TRUE,0),IF(D685="Grenade",_xlfn.IFS(I685&gt;=0.2,1,I685&gt;=0.1,0.7,I685&gt;=0.05,0.4,TRUE,0),0))</f>
        <v>0.5</v>
      </c>
      <c r="L685" s="57">
        <f t="shared" si="221"/>
        <v>0.41666666666666669</v>
      </c>
    </row>
    <row r="686" spans="1:12" x14ac:dyDescent="0.25">
      <c r="A686" s="42" t="str" cm="1">
        <f t="array" ref="A686">IFERROR(INDEX(_xlfn._xlws.FILTER(Class_Players!A:A,Class_Players!B:B="Assault"),QUOTIENT(ROW()-ROW($A$2),7)+1),"")</f>
        <v>SalkiN</v>
      </c>
      <c r="B686" s="42" t="str">
        <f>_xlfn.XLOOKUP(A686,Class_Players!$A:$A,Class_Players!$B:$B,"")</f>
        <v>Assault</v>
      </c>
      <c r="C686" s="48" t="str" cm="1">
        <f t="array" ref="C686">INDEX(Lookups!$A$2:$A$8,MOD(ROW()-ROW($B$2),ROWS(Lookups!$A$2:$A$8))+1)</f>
        <v>Stun Grenade</v>
      </c>
      <c r="D686" s="48" t="str">
        <f>_xlfn.XLOOKUP(C686,Analysis_Gadgets!$C:$C,Analysis_Gadgets!$B:$B)</f>
        <v>Grenade</v>
      </c>
      <c r="E686" s="43">
        <v>219</v>
      </c>
      <c r="F686" s="43">
        <f>_xlfn.XLOOKUP(A686,Class_Players!A:A,Class_Players!G:G)</f>
        <v>175</v>
      </c>
      <c r="G686" s="43">
        <f t="shared" si="211"/>
        <v>1.2514285714285713</v>
      </c>
      <c r="H686" s="43">
        <f>_xlfn.XLOOKUP(A686,Class_Players!$A:$A,Class_Players!$F:$F,"")</f>
        <v>7248</v>
      </c>
      <c r="I686" s="44">
        <f t="shared" si="212"/>
        <v>3.0215231788079472E-2</v>
      </c>
      <c r="J686" s="43">
        <f t="shared" si="207"/>
        <v>0</v>
      </c>
      <c r="K686" s="44" cm="1">
        <f t="array" ref="K686">IF(D686="Gadget",_xlfn.IFS(I686&gt;=0.2,0.5,I686&gt;=0.1,0.35,I686&gt;=0.05,0.2,TRUE,0),IF(D686="Grenade",_xlfn.IFS(I686&gt;=0.2,1,I686&gt;=0.1,0.7,I686&gt;=0.05,0.4,TRUE,0),0))</f>
        <v>0</v>
      </c>
      <c r="L686" s="57">
        <f t="shared" ref="L686:L687" si="222">IF($K686=0,0,$K686 / SUMIFS($K:$K,$A:$A,$A686,$D:$D,"Grenade"))</f>
        <v>0</v>
      </c>
    </row>
    <row r="687" spans="1:12" x14ac:dyDescent="0.25">
      <c r="A687" s="42" t="str" cm="1">
        <f t="array" ref="A687">IFERROR(INDEX(_xlfn._xlws.FILTER(Class_Players!A:A,Class_Players!B:B="Assault"),QUOTIENT(ROW()-ROW($A$2),7)+1),"")</f>
        <v>SalkiN</v>
      </c>
      <c r="B687" s="42" t="str">
        <f>_xlfn.XLOOKUP(A687,Class_Players!$A:$A,Class_Players!$B:$B,"")</f>
        <v>Assault</v>
      </c>
      <c r="C687" s="48" t="str" cm="1">
        <f t="array" ref="C687">INDEX(Lookups!$A$2:$A$8,MOD(ROW()-ROW($B$2),ROWS(Lookups!$A$2:$A$8))+1)</f>
        <v>Flash Grenade</v>
      </c>
      <c r="D687" s="48" t="str">
        <f>_xlfn.XLOOKUP(C687,Analysis_Gadgets!$C:$C,Analysis_Gadgets!$B:$B)</f>
        <v>Grenade</v>
      </c>
      <c r="E687" s="43">
        <v>235</v>
      </c>
      <c r="F687" s="43">
        <f>_xlfn.XLOOKUP(A687,Class_Players!A:A,Class_Players!G:G)</f>
        <v>175</v>
      </c>
      <c r="G687" s="43">
        <f t="shared" si="211"/>
        <v>1.3428571428571427</v>
      </c>
      <c r="H687" s="43">
        <f>_xlfn.XLOOKUP(A687,Class_Players!$A:$A,Class_Players!$F:$F,"")</f>
        <v>7248</v>
      </c>
      <c r="I687" s="44">
        <f t="shared" si="212"/>
        <v>3.2422737306843266E-2</v>
      </c>
      <c r="J687" s="43">
        <f t="shared" si="207"/>
        <v>0</v>
      </c>
      <c r="K687" s="44" cm="1">
        <f t="array" ref="K687">IF(D687="Gadget",_xlfn.IFS(I687&gt;=0.2,0.5,I687&gt;=0.1,0.35,I687&gt;=0.05,0.2,TRUE,0),IF(D687="Grenade",_xlfn.IFS(I687&gt;=0.2,1,I687&gt;=0.1,0.7,I687&gt;=0.05,0.4,TRUE,0),0))</f>
        <v>0</v>
      </c>
      <c r="L687" s="57">
        <f t="shared" si="222"/>
        <v>0</v>
      </c>
    </row>
    <row r="688" spans="1:12" x14ac:dyDescent="0.25">
      <c r="A688" s="42" t="str" cm="1">
        <f t="array" ref="A688">IFERROR(INDEX(_xlfn._xlws.FILTER(Class_Players!A:A,Class_Players!B:B="Assault"),QUOTIENT(ROW()-ROW($A$2),7)+1),"")</f>
        <v>zoppp</v>
      </c>
      <c r="B688" s="42" t="str">
        <f>_xlfn.XLOOKUP(A688,Class_Players!$A:$A,Class_Players!$B:$B,"")</f>
        <v>Assault</v>
      </c>
      <c r="C688" s="48" t="str" cm="1">
        <f t="array" ref="C688">INDEX(Lookups!$A$2:$A$8,MOD(ROW()-ROW($B$2),ROWS(Lookups!$A$2:$A$8))+1)</f>
        <v>Assault Ladder</v>
      </c>
      <c r="D688" s="48" t="str">
        <f>_xlfn.XLOOKUP(C688,Analysis_Gadgets!$C:$C,Analysis_Gadgets!$B:$B)</f>
        <v>Gadget</v>
      </c>
      <c r="E688" s="43">
        <v>1422</v>
      </c>
      <c r="F688" s="43">
        <f>_xlfn.XLOOKUP(A688,Class_Players!A:A,Class_Players!G:G)</f>
        <v>122</v>
      </c>
      <c r="G688" s="43">
        <f t="shared" si="211"/>
        <v>11.655737704918034</v>
      </c>
      <c r="H688" s="43">
        <f>_xlfn.XLOOKUP(A688,Class_Players!$A:$A,Class_Players!$F:$F,"")</f>
        <v>7312</v>
      </c>
      <c r="I688" s="44">
        <f t="shared" si="212"/>
        <v>0.19447483588621445</v>
      </c>
      <c r="J688" s="43">
        <f t="shared" si="207"/>
        <v>1</v>
      </c>
      <c r="K688" s="44" cm="1">
        <f t="array" ref="K688">IF(D688="Gadget",_xlfn.IFS(I688&gt;=0.2,0.5,I688&gt;=0.1,0.35,I688&gt;=0.05,0.2,TRUE,0),IF(D688="Grenade",_xlfn.IFS(I688&gt;=0.2,1,I688&gt;=0.1,0.7,I688&gt;=0.05,0.4,TRUE,0),0))</f>
        <v>0.35</v>
      </c>
      <c r="L688" s="57">
        <f t="shared" ref="L688:L692" si="223">IF($K688=0,0,$K688 / SUMIFS($K:$K,$A:$A,$A688,$D:$D,"Gadget"))</f>
        <v>0.41176470588235292</v>
      </c>
    </row>
    <row r="689" spans="1:12" x14ac:dyDescent="0.25">
      <c r="A689" s="42" t="str" cm="1">
        <f t="array" ref="A689">IFERROR(INDEX(_xlfn._xlws.FILTER(Class_Players!A:A,Class_Players!B:B="Assault"),QUOTIENT(ROW()-ROW($A$2),7)+1),"")</f>
        <v>zoppp</v>
      </c>
      <c r="B689" s="42" t="str">
        <f>_xlfn.XLOOKUP(A689,Class_Players!$A:$A,Class_Players!$B:$B,"")</f>
        <v>Assault</v>
      </c>
      <c r="C689" s="48" t="str" cm="1">
        <f t="array" ref="C689">INDEX(Lookups!$A$2:$A$8,MOD(ROW()-ROW($B$2),ROWS(Lookups!$A$2:$A$8))+1)</f>
        <v>X95 BRE (Breaching Projectile Launcher)</v>
      </c>
      <c r="D689" s="48" t="str">
        <f>_xlfn.XLOOKUP(C689,Analysis_Gadgets!$C:$C,Analysis_Gadgets!$B:$B)</f>
        <v>Gadget</v>
      </c>
      <c r="E689" s="43">
        <v>0</v>
      </c>
      <c r="F689" s="43">
        <f>_xlfn.XLOOKUP(A689,Class_Players!A:A,Class_Players!G:G)</f>
        <v>122</v>
      </c>
      <c r="G689" s="43">
        <f t="shared" si="211"/>
        <v>0</v>
      </c>
      <c r="H689" s="43">
        <f>_xlfn.XLOOKUP(A689,Class_Players!$A:$A,Class_Players!$F:$F,"")</f>
        <v>7312</v>
      </c>
      <c r="I689" s="44">
        <f t="shared" si="212"/>
        <v>0</v>
      </c>
      <c r="J689" s="43">
        <f t="shared" si="207"/>
        <v>0</v>
      </c>
      <c r="K689" s="44" cm="1">
        <f t="array" ref="K689">IF(D689="Gadget",_xlfn.IFS(I689&gt;=0.2,0.5,I689&gt;=0.1,0.35,I689&gt;=0.05,0.2,TRUE,0),IF(D689="Grenade",_xlfn.IFS(I689&gt;=0.2,1,I689&gt;=0.1,0.7,I689&gt;=0.05,0.4,TRUE,0),0))</f>
        <v>0</v>
      </c>
      <c r="L689" s="57">
        <f t="shared" si="223"/>
        <v>0</v>
      </c>
    </row>
    <row r="690" spans="1:12" x14ac:dyDescent="0.25">
      <c r="A690" s="42" t="str" cm="1">
        <f t="array" ref="A690">IFERROR(INDEX(_xlfn._xlws.FILTER(Class_Players!A:A,Class_Players!B:B="Assault"),QUOTIENT(ROW()-ROW($A$2),7)+1),"")</f>
        <v>zoppp</v>
      </c>
      <c r="B690" s="42" t="str">
        <f>_xlfn.XLOOKUP(A690,Class_Players!$A:$A,Class_Players!$B:$B,"")</f>
        <v>Assault</v>
      </c>
      <c r="C690" s="48" t="str" cm="1">
        <f t="array" ref="C690">INDEX(Lookups!$A$2:$A$8,MOD(ROW()-ROW($B$2),ROWS(Lookups!$A$2:$A$8))+1)</f>
        <v>M320A1 HE (Grenade Launcher)</v>
      </c>
      <c r="D690" s="48" t="str">
        <f>_xlfn.XLOOKUP(C690,Analysis_Gadgets!$C:$C,Analysis_Gadgets!$B:$B)</f>
        <v>Gadget</v>
      </c>
      <c r="E690" s="43">
        <v>357</v>
      </c>
      <c r="F690" s="43">
        <f>_xlfn.XLOOKUP(A690,Class_Players!A:A,Class_Players!G:G)</f>
        <v>122</v>
      </c>
      <c r="G690" s="43">
        <f t="shared" si="211"/>
        <v>2.9262295081967213</v>
      </c>
      <c r="H690" s="43">
        <f>_xlfn.XLOOKUP(A690,Class_Players!$A:$A,Class_Players!$F:$F,"")</f>
        <v>7312</v>
      </c>
      <c r="I690" s="44">
        <f t="shared" si="212"/>
        <v>4.8823851203501092E-2</v>
      </c>
      <c r="J690" s="43">
        <f t="shared" si="207"/>
        <v>0</v>
      </c>
      <c r="K690" s="44" cm="1">
        <f t="array" ref="K690">IF(D690="Gadget",_xlfn.IFS(I690&gt;=0.2,0.5,I690&gt;=0.1,0.35,I690&gt;=0.05,0.2,TRUE,0),IF(D690="Grenade",_xlfn.IFS(I690&gt;=0.2,1,I690&gt;=0.1,0.7,I690&gt;=0.05,0.4,TRUE,0),0))</f>
        <v>0</v>
      </c>
      <c r="L690" s="57">
        <f t="shared" si="223"/>
        <v>0</v>
      </c>
    </row>
    <row r="691" spans="1:12" x14ac:dyDescent="0.25">
      <c r="A691" s="42" t="str" cm="1">
        <f t="array" ref="A691">IFERROR(INDEX(_xlfn._xlws.FILTER(Class_Players!A:A,Class_Players!B:B="Assault"),QUOTIENT(ROW()-ROW($A$2),7)+1),"")</f>
        <v>zoppp</v>
      </c>
      <c r="B691" s="42" t="str">
        <f>_xlfn.XLOOKUP(A691,Class_Players!$A:$A,Class_Players!$B:$B,"")</f>
        <v>Assault</v>
      </c>
      <c r="C691" s="48" t="str" cm="1">
        <f t="array" ref="C691">INDEX(Lookups!$A$2:$A$8,MOD(ROW()-ROW($B$2),ROWS(Lookups!$A$2:$A$8))+1)</f>
        <v>M320A1 THRM    (Incendiary Grenade Launcher)</v>
      </c>
      <c r="D691" s="48" t="str">
        <f>_xlfn.XLOOKUP(C691,Analysis_Gadgets!$C:$C,Analysis_Gadgets!$B:$B)</f>
        <v>Gadget</v>
      </c>
      <c r="E691" s="43">
        <v>105</v>
      </c>
      <c r="F691" s="43">
        <f>_xlfn.XLOOKUP(A691,Class_Players!A:A,Class_Players!G:G)</f>
        <v>122</v>
      </c>
      <c r="G691" s="43">
        <f t="shared" si="211"/>
        <v>0.86065573770491799</v>
      </c>
      <c r="H691" s="43">
        <f>_xlfn.XLOOKUP(A691,Class_Players!$A:$A,Class_Players!$F:$F,"")</f>
        <v>7312</v>
      </c>
      <c r="I691" s="44">
        <f t="shared" si="212"/>
        <v>1.4359956236323851E-2</v>
      </c>
      <c r="J691" s="43">
        <f t="shared" si="207"/>
        <v>0</v>
      </c>
      <c r="K691" s="44" cm="1">
        <f t="array" ref="K691">IF(D691="Gadget",_xlfn.IFS(I691&gt;=0.2,0.5,I691&gt;=0.1,0.35,I691&gt;=0.05,0.2,TRUE,0),IF(D691="Grenade",_xlfn.IFS(I691&gt;=0.2,1,I691&gt;=0.1,0.7,I691&gt;=0.05,0.4,TRUE,0),0))</f>
        <v>0</v>
      </c>
      <c r="L691" s="57">
        <f t="shared" si="223"/>
        <v>0</v>
      </c>
    </row>
    <row r="692" spans="1:12" x14ac:dyDescent="0.25">
      <c r="A692" s="42" t="str" cm="1">
        <f t="array" ref="A692">IFERROR(INDEX(_xlfn._xlws.FILTER(Class_Players!A:A,Class_Players!B:B="Assault"),QUOTIENT(ROW()-ROW($A$2),7)+1),"")</f>
        <v>zoppp</v>
      </c>
      <c r="B692" s="42" t="str">
        <f>_xlfn.XLOOKUP(A692,Class_Players!$A:$A,Class_Players!$B:$B,"")</f>
        <v>Assault</v>
      </c>
      <c r="C692" s="48" t="str" cm="1">
        <f t="array" ref="C692">INDEX(Lookups!$A$2:$A$8,MOD(ROW()-ROW($B$2),ROWS(Lookups!$A$2:$A$8))+1)</f>
        <v>QLINK (Deploy Beacon)</v>
      </c>
      <c r="D692" s="48" t="str">
        <f>_xlfn.XLOOKUP(C692,Analysis_Gadgets!$C:$C,Analysis_Gadgets!$B:$B)</f>
        <v>Gadget</v>
      </c>
      <c r="E692" s="43">
        <v>3486</v>
      </c>
      <c r="F692" s="43">
        <f>_xlfn.XLOOKUP(A692,Class_Players!A:A,Class_Players!G:G)</f>
        <v>122</v>
      </c>
      <c r="G692" s="43">
        <f t="shared" si="211"/>
        <v>28.57377049180328</v>
      </c>
      <c r="H692" s="43">
        <f>_xlfn.XLOOKUP(A692,Class_Players!$A:$A,Class_Players!$F:$F,"")</f>
        <v>7312</v>
      </c>
      <c r="I692" s="44">
        <f t="shared" si="212"/>
        <v>0.47675054704595188</v>
      </c>
      <c r="J692" s="43">
        <f t="shared" si="207"/>
        <v>1</v>
      </c>
      <c r="K692" s="44" cm="1">
        <f t="array" ref="K692">IF(D692="Gadget",_xlfn.IFS(I692&gt;=0.2,0.5,I692&gt;=0.1,0.35,I692&gt;=0.05,0.2,TRUE,0),IF(D692="Grenade",_xlfn.IFS(I692&gt;=0.2,1,I692&gt;=0.1,0.7,I692&gt;=0.05,0.4,TRUE,0),0))</f>
        <v>0.5</v>
      </c>
      <c r="L692" s="57">
        <f t="shared" si="223"/>
        <v>0.58823529411764708</v>
      </c>
    </row>
    <row r="693" spans="1:12" x14ac:dyDescent="0.25">
      <c r="A693" s="42" t="str" cm="1">
        <f t="array" ref="A693">IFERROR(INDEX(_xlfn._xlws.FILTER(Class_Players!A:A,Class_Players!B:B="Assault"),QUOTIENT(ROW()-ROW($A$2),7)+1),"")</f>
        <v>zoppp</v>
      </c>
      <c r="B693" s="42" t="str">
        <f>_xlfn.XLOOKUP(A693,Class_Players!$A:$A,Class_Players!$B:$B,"")</f>
        <v>Assault</v>
      </c>
      <c r="C693" s="48" t="str" cm="1">
        <f t="array" ref="C693">INDEX(Lookups!$A$2:$A$8,MOD(ROW()-ROW($B$2),ROWS(Lookups!$A$2:$A$8))+1)</f>
        <v>Stun Grenade</v>
      </c>
      <c r="D693" s="48" t="str">
        <f>_xlfn.XLOOKUP(C693,Analysis_Gadgets!$C:$C,Analysis_Gadgets!$B:$B)</f>
        <v>Grenade</v>
      </c>
      <c r="E693" s="43">
        <v>28</v>
      </c>
      <c r="F693" s="43">
        <f>_xlfn.XLOOKUP(A693,Class_Players!A:A,Class_Players!G:G)</f>
        <v>122</v>
      </c>
      <c r="G693" s="43">
        <f t="shared" si="211"/>
        <v>0.22950819672131148</v>
      </c>
      <c r="H693" s="43">
        <f>_xlfn.XLOOKUP(A693,Class_Players!$A:$A,Class_Players!$F:$F,"")</f>
        <v>7312</v>
      </c>
      <c r="I693" s="44">
        <f t="shared" si="212"/>
        <v>3.8293216630196935E-3</v>
      </c>
      <c r="J693" s="43">
        <f t="shared" si="207"/>
        <v>0</v>
      </c>
      <c r="K693" s="44" cm="1">
        <f t="array" ref="K693">IF(D693="Gadget",_xlfn.IFS(I693&gt;=0.2,0.5,I693&gt;=0.1,0.35,I693&gt;=0.05,0.2,TRUE,0),IF(D693="Grenade",_xlfn.IFS(I693&gt;=0.2,1,I693&gt;=0.1,0.7,I693&gt;=0.05,0.4,TRUE,0),0))</f>
        <v>0</v>
      </c>
      <c r="L693" s="57">
        <f t="shared" ref="L693:L694" si="224">IF($K693=0,0,$K693 / SUMIFS($K:$K,$A:$A,$A693,$D:$D,"Grenade"))</f>
        <v>0</v>
      </c>
    </row>
    <row r="694" spans="1:12" x14ac:dyDescent="0.25">
      <c r="A694" s="42" t="str" cm="1">
        <f t="array" ref="A694">IFERROR(INDEX(_xlfn._xlws.FILTER(Class_Players!A:A,Class_Players!B:B="Assault"),QUOTIENT(ROW()-ROW($A$2),7)+1),"")</f>
        <v>zoppp</v>
      </c>
      <c r="B694" s="42" t="str">
        <f>_xlfn.XLOOKUP(A694,Class_Players!$A:$A,Class_Players!$B:$B,"")</f>
        <v>Assault</v>
      </c>
      <c r="C694" s="48" t="str" cm="1">
        <f t="array" ref="C694">INDEX(Lookups!$A$2:$A$8,MOD(ROW()-ROW($B$2),ROWS(Lookups!$A$2:$A$8))+1)</f>
        <v>Flash Grenade</v>
      </c>
      <c r="D694" s="48" t="str">
        <f>_xlfn.XLOOKUP(C694,Analysis_Gadgets!$C:$C,Analysis_Gadgets!$B:$B)</f>
        <v>Grenade</v>
      </c>
      <c r="E694" s="43">
        <v>0</v>
      </c>
      <c r="F694" s="43">
        <f>_xlfn.XLOOKUP(A694,Class_Players!A:A,Class_Players!G:G)</f>
        <v>122</v>
      </c>
      <c r="G694" s="43">
        <f t="shared" si="211"/>
        <v>0</v>
      </c>
      <c r="H694" s="43">
        <f>_xlfn.XLOOKUP(A694,Class_Players!$A:$A,Class_Players!$F:$F,"")</f>
        <v>7312</v>
      </c>
      <c r="I694" s="44">
        <f t="shared" si="212"/>
        <v>0</v>
      </c>
      <c r="J694" s="43">
        <f t="shared" si="207"/>
        <v>0</v>
      </c>
      <c r="K694" s="44" cm="1">
        <f t="array" ref="K694">IF(D694="Gadget",_xlfn.IFS(I694&gt;=0.2,0.5,I694&gt;=0.1,0.35,I694&gt;=0.05,0.2,TRUE,0),IF(D694="Grenade",_xlfn.IFS(I694&gt;=0.2,1,I694&gt;=0.1,0.7,I694&gt;=0.05,0.4,TRUE,0),0))</f>
        <v>0</v>
      </c>
      <c r="L694" s="57">
        <f t="shared" si="224"/>
        <v>0</v>
      </c>
    </row>
    <row r="695" spans="1:12" x14ac:dyDescent="0.25">
      <c r="A695" s="42" t="str" cm="1">
        <f t="array" ref="A695">IFERROR(INDEX(_xlfn._xlws.FILTER(Class_Players!A:A,Class_Players!B:B="Assault"),QUOTIENT(ROW()-ROW($A$2),7)+1),"")</f>
        <v>ARMIS-INVAR-RUSH</v>
      </c>
      <c r="B695" s="42" t="str">
        <f>_xlfn.XLOOKUP(A695,Class_Players!$A:$A,Class_Players!$B:$B,"")</f>
        <v>Assault</v>
      </c>
      <c r="C695" s="48" t="str" cm="1">
        <f t="array" ref="C695">INDEX(Lookups!$A$2:$A$8,MOD(ROW()-ROW($B$2),ROWS(Lookups!$A$2:$A$8))+1)</f>
        <v>Assault Ladder</v>
      </c>
      <c r="D695" s="48" t="str">
        <f>_xlfn.XLOOKUP(C695,Analysis_Gadgets!$C:$C,Analysis_Gadgets!$B:$B)</f>
        <v>Gadget</v>
      </c>
      <c r="E695" s="43">
        <v>34</v>
      </c>
      <c r="F695" s="43">
        <f>_xlfn.XLOOKUP(A695,Class_Players!A:A,Class_Players!G:G)</f>
        <v>107</v>
      </c>
      <c r="G695" s="43">
        <f t="shared" si="211"/>
        <v>0.31775700934579437</v>
      </c>
      <c r="H695" s="43">
        <f>_xlfn.XLOOKUP(A695,Class_Players!$A:$A,Class_Players!$F:$F,"")</f>
        <v>7175</v>
      </c>
      <c r="I695" s="44">
        <f t="shared" si="212"/>
        <v>4.7386759581881533E-3</v>
      </c>
      <c r="J695" s="43">
        <f t="shared" si="207"/>
        <v>0</v>
      </c>
      <c r="K695" s="44" cm="1">
        <f t="array" ref="K695">IF(D695="Gadget",_xlfn.IFS(I695&gt;=0.2,0.5,I695&gt;=0.1,0.35,I695&gt;=0.05,0.2,TRUE,0),IF(D695="Grenade",_xlfn.IFS(I695&gt;=0.2,1,I695&gt;=0.1,0.7,I695&gt;=0.05,0.4,TRUE,0),0))</f>
        <v>0</v>
      </c>
      <c r="L695" s="57">
        <f t="shared" ref="L695:L699" si="225">IF($K695=0,0,$K695 / SUMIFS($K:$K,$A:$A,$A695,$D:$D,"Gadget"))</f>
        <v>0</v>
      </c>
    </row>
    <row r="696" spans="1:12" x14ac:dyDescent="0.25">
      <c r="A696" s="42" t="str" cm="1">
        <f t="array" ref="A696">IFERROR(INDEX(_xlfn._xlws.FILTER(Class_Players!A:A,Class_Players!B:B="Assault"),QUOTIENT(ROW()-ROW($A$2),7)+1),"")</f>
        <v>ARMIS-INVAR-RUSH</v>
      </c>
      <c r="B696" s="42" t="str">
        <f>_xlfn.XLOOKUP(A696,Class_Players!$A:$A,Class_Players!$B:$B,"")</f>
        <v>Assault</v>
      </c>
      <c r="C696" s="48" t="str" cm="1">
        <f t="array" ref="C696">INDEX(Lookups!$A$2:$A$8,MOD(ROW()-ROW($B$2),ROWS(Lookups!$A$2:$A$8))+1)</f>
        <v>X95 BRE (Breaching Projectile Launcher)</v>
      </c>
      <c r="D696" s="48" t="str">
        <f>_xlfn.XLOOKUP(C696,Analysis_Gadgets!$C:$C,Analysis_Gadgets!$B:$B)</f>
        <v>Gadget</v>
      </c>
      <c r="E696" s="43">
        <v>18</v>
      </c>
      <c r="F696" s="43">
        <f>_xlfn.XLOOKUP(A696,Class_Players!A:A,Class_Players!G:G)</f>
        <v>107</v>
      </c>
      <c r="G696" s="43">
        <f t="shared" si="211"/>
        <v>0.16822429906542055</v>
      </c>
      <c r="H696" s="43">
        <f>_xlfn.XLOOKUP(A696,Class_Players!$A:$A,Class_Players!$F:$F,"")</f>
        <v>7175</v>
      </c>
      <c r="I696" s="44">
        <f t="shared" si="212"/>
        <v>2.5087108013937282E-3</v>
      </c>
      <c r="J696" s="43">
        <f t="shared" si="207"/>
        <v>0</v>
      </c>
      <c r="K696" s="44" cm="1">
        <f t="array" ref="K696">IF(D696="Gadget",_xlfn.IFS(I696&gt;=0.2,0.5,I696&gt;=0.1,0.35,I696&gt;=0.05,0.2,TRUE,0),IF(D696="Grenade",_xlfn.IFS(I696&gt;=0.2,1,I696&gt;=0.1,0.7,I696&gt;=0.05,0.4,TRUE,0),0))</f>
        <v>0</v>
      </c>
      <c r="L696" s="57">
        <f t="shared" si="225"/>
        <v>0</v>
      </c>
    </row>
    <row r="697" spans="1:12" x14ac:dyDescent="0.25">
      <c r="A697" s="42" t="str" cm="1">
        <f t="array" ref="A697">IFERROR(INDEX(_xlfn._xlws.FILTER(Class_Players!A:A,Class_Players!B:B="Assault"),QUOTIENT(ROW()-ROW($A$2),7)+1),"")</f>
        <v>ARMIS-INVAR-RUSH</v>
      </c>
      <c r="B697" s="42" t="str">
        <f>_xlfn.XLOOKUP(A697,Class_Players!$A:$A,Class_Players!$B:$B,"")</f>
        <v>Assault</v>
      </c>
      <c r="C697" s="48" t="str" cm="1">
        <f t="array" ref="C697">INDEX(Lookups!$A$2:$A$8,MOD(ROW()-ROW($B$2),ROWS(Lookups!$A$2:$A$8))+1)</f>
        <v>M320A1 HE (Grenade Launcher)</v>
      </c>
      <c r="D697" s="48" t="str">
        <f>_xlfn.XLOOKUP(C697,Analysis_Gadgets!$C:$C,Analysis_Gadgets!$B:$B)</f>
        <v>Gadget</v>
      </c>
      <c r="E697" s="43">
        <v>4057</v>
      </c>
      <c r="F697" s="43">
        <f>_xlfn.XLOOKUP(A697,Class_Players!A:A,Class_Players!G:G)</f>
        <v>107</v>
      </c>
      <c r="G697" s="43">
        <f t="shared" si="211"/>
        <v>37.915887850467293</v>
      </c>
      <c r="H697" s="43">
        <f>_xlfn.XLOOKUP(A697,Class_Players!$A:$A,Class_Players!$F:$F,"")</f>
        <v>7175</v>
      </c>
      <c r="I697" s="44">
        <f t="shared" si="212"/>
        <v>0.56543554006968644</v>
      </c>
      <c r="J697" s="43">
        <f t="shared" si="207"/>
        <v>1</v>
      </c>
      <c r="K697" s="44" cm="1">
        <f t="array" ref="K697">IF(D697="Gadget",_xlfn.IFS(I697&gt;=0.2,0.5,I697&gt;=0.1,0.35,I697&gt;=0.05,0.2,TRUE,0),IF(D697="Grenade",_xlfn.IFS(I697&gt;=0.2,1,I697&gt;=0.1,0.7,I697&gt;=0.05,0.4,TRUE,0),0))</f>
        <v>0.5</v>
      </c>
      <c r="L697" s="57">
        <f t="shared" si="225"/>
        <v>0.5</v>
      </c>
    </row>
    <row r="698" spans="1:12" x14ac:dyDescent="0.25">
      <c r="A698" s="42" t="str" cm="1">
        <f t="array" ref="A698">IFERROR(INDEX(_xlfn._xlws.FILTER(Class_Players!A:A,Class_Players!B:B="Assault"),QUOTIENT(ROW()-ROW($A$2),7)+1),"")</f>
        <v>ARMIS-INVAR-RUSH</v>
      </c>
      <c r="B698" s="42" t="str">
        <f>_xlfn.XLOOKUP(A698,Class_Players!$A:$A,Class_Players!$B:$B,"")</f>
        <v>Assault</v>
      </c>
      <c r="C698" s="48" t="str" cm="1">
        <f t="array" ref="C698">INDEX(Lookups!$A$2:$A$8,MOD(ROW()-ROW($B$2),ROWS(Lookups!$A$2:$A$8))+1)</f>
        <v>M320A1 THRM    (Incendiary Grenade Launcher)</v>
      </c>
      <c r="D698" s="48" t="str">
        <f>_xlfn.XLOOKUP(C698,Analysis_Gadgets!$C:$C,Analysis_Gadgets!$B:$B)</f>
        <v>Gadget</v>
      </c>
      <c r="E698" s="43">
        <v>113</v>
      </c>
      <c r="F698" s="43">
        <f>_xlfn.XLOOKUP(A698,Class_Players!A:A,Class_Players!G:G)</f>
        <v>107</v>
      </c>
      <c r="G698" s="43">
        <f t="shared" si="211"/>
        <v>1.0560747663551402</v>
      </c>
      <c r="H698" s="43">
        <f>_xlfn.XLOOKUP(A698,Class_Players!$A:$A,Class_Players!$F:$F,"")</f>
        <v>7175</v>
      </c>
      <c r="I698" s="44">
        <f t="shared" si="212"/>
        <v>1.5749128919860626E-2</v>
      </c>
      <c r="J698" s="43">
        <f t="shared" si="207"/>
        <v>0</v>
      </c>
      <c r="K698" s="44" cm="1">
        <f t="array" ref="K698">IF(D698="Gadget",_xlfn.IFS(I698&gt;=0.2,0.5,I698&gt;=0.1,0.35,I698&gt;=0.05,0.2,TRUE,0),IF(D698="Grenade",_xlfn.IFS(I698&gt;=0.2,1,I698&gt;=0.1,0.7,I698&gt;=0.05,0.4,TRUE,0),0))</f>
        <v>0</v>
      </c>
      <c r="L698" s="57">
        <f t="shared" si="225"/>
        <v>0</v>
      </c>
    </row>
    <row r="699" spans="1:12" x14ac:dyDescent="0.25">
      <c r="A699" s="42" t="str" cm="1">
        <f t="array" ref="A699">IFERROR(INDEX(_xlfn._xlws.FILTER(Class_Players!A:A,Class_Players!B:B="Assault"),QUOTIENT(ROW()-ROW($A$2),7)+1),"")</f>
        <v>ARMIS-INVAR-RUSH</v>
      </c>
      <c r="B699" s="42" t="str">
        <f>_xlfn.XLOOKUP(A699,Class_Players!$A:$A,Class_Players!$B:$B,"")</f>
        <v>Assault</v>
      </c>
      <c r="C699" s="48" t="str" cm="1">
        <f t="array" ref="C699">INDEX(Lookups!$A$2:$A$8,MOD(ROW()-ROW($B$2),ROWS(Lookups!$A$2:$A$8))+1)</f>
        <v>QLINK (Deploy Beacon)</v>
      </c>
      <c r="D699" s="48" t="str">
        <f>_xlfn.XLOOKUP(C699,Analysis_Gadgets!$C:$C,Analysis_Gadgets!$B:$B)</f>
        <v>Gadget</v>
      </c>
      <c r="E699" s="43">
        <v>4389</v>
      </c>
      <c r="F699" s="43">
        <f>_xlfn.XLOOKUP(A699,Class_Players!A:A,Class_Players!G:G)</f>
        <v>107</v>
      </c>
      <c r="G699" s="43">
        <f t="shared" si="211"/>
        <v>41.018691588785046</v>
      </c>
      <c r="H699" s="43">
        <f>_xlfn.XLOOKUP(A699,Class_Players!$A:$A,Class_Players!$F:$F,"")</f>
        <v>7175</v>
      </c>
      <c r="I699" s="44">
        <f t="shared" si="212"/>
        <v>0.61170731707317072</v>
      </c>
      <c r="J699" s="43">
        <f t="shared" si="207"/>
        <v>1</v>
      </c>
      <c r="K699" s="44" cm="1">
        <f t="array" ref="K699">IF(D699="Gadget",_xlfn.IFS(I699&gt;=0.2,0.5,I699&gt;=0.1,0.35,I699&gt;=0.05,0.2,TRUE,0),IF(D699="Grenade",_xlfn.IFS(I699&gt;=0.2,1,I699&gt;=0.1,0.7,I699&gt;=0.05,0.4,TRUE,0),0))</f>
        <v>0.5</v>
      </c>
      <c r="L699" s="57">
        <f t="shared" si="225"/>
        <v>0.5</v>
      </c>
    </row>
    <row r="700" spans="1:12" x14ac:dyDescent="0.25">
      <c r="A700" s="42" t="str" cm="1">
        <f t="array" ref="A700">IFERROR(INDEX(_xlfn._xlws.FILTER(Class_Players!A:A,Class_Players!B:B="Assault"),QUOTIENT(ROW()-ROW($A$2),7)+1),"")</f>
        <v>ARMIS-INVAR-RUSH</v>
      </c>
      <c r="B700" s="42" t="str">
        <f>_xlfn.XLOOKUP(A700,Class_Players!$A:$A,Class_Players!$B:$B,"")</f>
        <v>Assault</v>
      </c>
      <c r="C700" s="48" t="str" cm="1">
        <f t="array" ref="C700">INDEX(Lookups!$A$2:$A$8,MOD(ROW()-ROW($B$2),ROWS(Lookups!$A$2:$A$8))+1)</f>
        <v>Stun Grenade</v>
      </c>
      <c r="D700" s="48" t="str">
        <f>_xlfn.XLOOKUP(C700,Analysis_Gadgets!$C:$C,Analysis_Gadgets!$B:$B)</f>
        <v>Grenade</v>
      </c>
      <c r="E700" s="43">
        <v>45</v>
      </c>
      <c r="F700" s="43">
        <f>_xlfn.XLOOKUP(A700,Class_Players!A:A,Class_Players!G:G)</f>
        <v>107</v>
      </c>
      <c r="G700" s="43">
        <f t="shared" si="211"/>
        <v>0.42056074766355139</v>
      </c>
      <c r="H700" s="43">
        <f>_xlfn.XLOOKUP(A700,Class_Players!$A:$A,Class_Players!$F:$F,"")</f>
        <v>7175</v>
      </c>
      <c r="I700" s="44">
        <f t="shared" si="212"/>
        <v>6.2717770034843206E-3</v>
      </c>
      <c r="J700" s="43">
        <f t="shared" si="207"/>
        <v>0</v>
      </c>
      <c r="K700" s="44" cm="1">
        <f t="array" ref="K700">IF(D700="Gadget",_xlfn.IFS(I700&gt;=0.2,0.5,I700&gt;=0.1,0.35,I700&gt;=0.05,0.2,TRUE,0),IF(D700="Grenade",_xlfn.IFS(I700&gt;=0.2,1,I700&gt;=0.1,0.7,I700&gt;=0.05,0.4,TRUE,0),0))</f>
        <v>0</v>
      </c>
      <c r="L700" s="57">
        <f t="shared" ref="L700:L701" si="226">IF($K700=0,0,$K700 / SUMIFS($K:$K,$A:$A,$A700,$D:$D,"Grenade"))</f>
        <v>0</v>
      </c>
    </row>
    <row r="701" spans="1:12" x14ac:dyDescent="0.25">
      <c r="A701" s="42" t="str" cm="1">
        <f t="array" ref="A701">IFERROR(INDEX(_xlfn._xlws.FILTER(Class_Players!A:A,Class_Players!B:B="Assault"),QUOTIENT(ROW()-ROW($A$2),7)+1),"")</f>
        <v>ARMIS-INVAR-RUSH</v>
      </c>
      <c r="B701" s="42" t="str">
        <f>_xlfn.XLOOKUP(A701,Class_Players!$A:$A,Class_Players!$B:$B,"")</f>
        <v>Assault</v>
      </c>
      <c r="C701" s="48" t="str" cm="1">
        <f t="array" ref="C701">INDEX(Lookups!$A$2:$A$8,MOD(ROW()-ROW($B$2),ROWS(Lookups!$A$2:$A$8))+1)</f>
        <v>Flash Grenade</v>
      </c>
      <c r="D701" s="48" t="str">
        <f>_xlfn.XLOOKUP(C701,Analysis_Gadgets!$C:$C,Analysis_Gadgets!$B:$B)</f>
        <v>Grenade</v>
      </c>
      <c r="E701" s="43">
        <v>14</v>
      </c>
      <c r="F701" s="43">
        <f>_xlfn.XLOOKUP(A701,Class_Players!A:A,Class_Players!G:G)</f>
        <v>107</v>
      </c>
      <c r="G701" s="43">
        <f t="shared" si="211"/>
        <v>0.13084112149532709</v>
      </c>
      <c r="H701" s="43">
        <f>_xlfn.XLOOKUP(A701,Class_Players!$A:$A,Class_Players!$F:$F,"")</f>
        <v>7175</v>
      </c>
      <c r="I701" s="44">
        <f t="shared" si="212"/>
        <v>1.9512195121951219E-3</v>
      </c>
      <c r="J701" s="43">
        <f t="shared" si="207"/>
        <v>0</v>
      </c>
      <c r="K701" s="44" cm="1">
        <f t="array" ref="K701">IF(D701="Gadget",_xlfn.IFS(I701&gt;=0.2,0.5,I701&gt;=0.1,0.35,I701&gt;=0.05,0.2,TRUE,0),IF(D701="Grenade",_xlfn.IFS(I701&gt;=0.2,1,I701&gt;=0.1,0.7,I701&gt;=0.05,0.4,TRUE,0),0))</f>
        <v>0</v>
      </c>
      <c r="L701" s="57">
        <f t="shared" si="226"/>
        <v>0</v>
      </c>
    </row>
  </sheetData>
  <phoneticPr fontId="3" type="noConversion"/>
  <conditionalFormatting sqref="A1:L993">
    <cfRule type="expression" dxfId="13" priority="11">
      <formula>MOD(ROW()-8,7)=0</formula>
    </cfRule>
  </conditionalFormatting>
  <conditionalFormatting sqref="J1:J1048576">
    <cfRule type="colorScale" priority="31">
      <colorScale>
        <cfvo type="min"/>
        <cfvo type="max"/>
        <color rgb="FFFCFCFF"/>
        <color rgb="FF63BE7B"/>
      </colorScale>
    </cfRule>
  </conditionalFormatting>
  <conditionalFormatting sqref="K1:K701">
    <cfRule type="colorScale" priority="6">
      <colorScale>
        <cfvo type="min"/>
        <cfvo type="max"/>
        <color rgb="FFFCFCFF"/>
        <color rgb="FF63BE7B"/>
      </colorScale>
    </cfRule>
  </conditionalFormatting>
  <conditionalFormatting sqref="K7:K8 K14:K15 K21:K22 K28:K29 K35:K36 K42:K43 K49:K50 K56:K57 K63:K64 K70:K71 K77:K78 K84:K85 K91:K92 K98:K99 K105:K106 K112:K113 K119:K120 K126:K127 K133:K134 K140:K141 K147:K148 K154:K155 K161:K162 K168:K169 K175:K176 K182:K183 K189:K190 K196:K197 K203:K204 K210:K211 K217:K218 K231:K232 K245:K246 K259:K260 K273:K274 K224:K225 K238:K239 K252:K253 K266:K267 K280:K281 K287:K288 K294:K295 K301:K302 K308:K309 K315:K316 K322:K323 K329:K330 K336:K337 K343:K344 K350:K351 K357:K358 K364:K365 K371:K372 K378:K379 K385:K386 K413:K414 K441:K442 K392:K393 K420:K421 K448:K449 K399:K400 K427:K428 K455:K456 K406:K407 K434:K435 K462:K463 K469:K470 K476:K477 K483:K484 K490:K701">
    <cfRule type="colorScale" priority="2">
      <colorScale>
        <cfvo type="min"/>
        <cfvo type="max"/>
        <color rgb="FFFCFCFF"/>
        <color rgb="FF63BE7B"/>
      </colorScale>
    </cfRule>
  </conditionalFormatting>
  <conditionalFormatting sqref="K1:L1">
    <cfRule type="colorScale" priority="7">
      <colorScale>
        <cfvo type="min"/>
        <cfvo type="max"/>
        <color rgb="FFFCFCFF"/>
        <color rgb="FF63BE7B"/>
      </colorScale>
    </cfRule>
  </conditionalFormatting>
  <conditionalFormatting sqref="L1">
    <cfRule type="colorScale" priority="5">
      <colorScale>
        <cfvo type="min"/>
        <cfvo type="max"/>
        <color rgb="FFFCFCFF"/>
        <color rgb="FF63BE7B"/>
      </colorScale>
    </cfRule>
  </conditionalFormatting>
  <conditionalFormatting sqref="L1:L6 L9:L13 L16:L20 L23:L27 L30:L34 L37:L41 L44:L48 L51:L55 L58:L62 L65:L69 L72:L76 L79:L83 L86:L90 L93:L97 L100:L104 L107:L111 L114:L118 L121:L125 L128:L132 L135:L139 L142:L146 L149:L153 L156:L160 L163:L167 L170:L174 L177:L181 L184:L188 L191:L195 L198:L202 L205:L209 L212:L216 L226:L230 L240:L244 L254:L258 L268:L272 L219:L223 L233:L237 L247:L251 L261:L265 L275:L279 L282:L286 L289:L293 L296:L300 L303:L307 L310:L314 L317:L321 L324:L328 L331:L335 L338:L342 L345:L349 L352:L356 L359:L363 L366:L370 L373:L377 L380:L384 L408:L412 L436:L440 L387:L391 L415:L419 L443:L447 L394:L398 L422:L426 L450:L454 L401:L405 L429:L433 L457:L461 L464:L468 L471:L475 L478:L482 L485:L489 L492:L496 L499:L503 L506:L510 L513:L517 L520:L524 L527:L531 L534:L538 L541:L545 L548:L552 L555:L559 L562:L566 L569:L573 L576:L580 L583:L587 L590:L594 L597:L601 L604:L608 L611:L615 L618:L622 L625:L629 L632:L636 L660:L664 L639:L643 L646:L650 L653:L657 L667:L671 L674:L678 L681:L685 L688:L692 L695:L699">
    <cfRule type="colorScale" priority="4">
      <colorScale>
        <cfvo type="min"/>
        <cfvo type="max"/>
        <color rgb="FFFCFCFF"/>
        <color rgb="FF63BE7B"/>
      </colorScale>
    </cfRule>
  </conditionalFormatting>
  <conditionalFormatting sqref="L7:L8 L14:L15 L21:L22 L28:L29 L35:L36 L42:L43 L49:L50 L56:L57 L63:L64 L70:L71 L77:L78 L84:L85 L91:L92 L98:L99 L105:L106 L112:L113 L119:L120 L126:L127 L133:L134 L140:L141 L147:L148 L154:L155 L161:L162 L168:L169 L175:L176 L182:L183 L189:L190 L196:L197 L203:L204 L210:L211 L217:L218 L231:L232 L245:L246 L259:L260 L273:L274 L224:L225 L238:L239 L252:L253 L266:L267 L280:L281 L287:L288 L294:L295 L301:L302 L308:L309 L315:L316 L322:L323 L329:L330 L336:L337 L343:L344 L350:L351 L357:L358 L364:L365 L371:L372 L378:L379 L385:L386 L413:L414 L441:L442 L392:L393 L420:L421 L448:L449 L399:L400 L427:L428 L455:L456 L406:L407 L434:L435 L462:L463 L469:L470 L476:L477 L483:L484 L490:L70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7658-C6AA-4654-B00F-274BC9B4DB6B}">
  <dimension ref="A1:D18"/>
  <sheetViews>
    <sheetView workbookViewId="0">
      <selection activeCell="B6" sqref="B6"/>
    </sheetView>
  </sheetViews>
  <sheetFormatPr defaultRowHeight="15" x14ac:dyDescent="0.25"/>
  <cols>
    <col min="1" max="3" width="23" customWidth="1"/>
    <col min="4" max="4" width="27.140625" customWidth="1"/>
  </cols>
  <sheetData>
    <row r="1" spans="1:4" x14ac:dyDescent="0.25">
      <c r="A1" s="15" t="s">
        <v>57</v>
      </c>
      <c r="B1" s="15" t="s">
        <v>54</v>
      </c>
      <c r="C1" s="15" t="s">
        <v>55</v>
      </c>
      <c r="D1" s="15" t="s">
        <v>56</v>
      </c>
    </row>
    <row r="2" spans="1:4" s="12" customFormat="1" ht="15.75" thickBot="1" x14ac:dyDescent="0.3">
      <c r="A2" s="93" t="s">
        <v>32</v>
      </c>
      <c r="B2" s="93"/>
      <c r="C2" s="93"/>
      <c r="D2" s="93"/>
    </row>
    <row r="3" spans="1:4" ht="30" x14ac:dyDescent="0.25">
      <c r="A3" s="22" t="s">
        <v>29</v>
      </c>
      <c r="B3" s="16" t="s">
        <v>60</v>
      </c>
      <c r="C3" s="19" t="s">
        <v>33</v>
      </c>
      <c r="D3" s="19" t="s">
        <v>47</v>
      </c>
    </row>
    <row r="4" spans="1:4" ht="30" x14ac:dyDescent="0.25">
      <c r="A4" s="23" t="s">
        <v>37</v>
      </c>
      <c r="B4" s="17" t="s">
        <v>61</v>
      </c>
      <c r="C4" s="20" t="s">
        <v>42</v>
      </c>
      <c r="D4" s="20" t="s">
        <v>48</v>
      </c>
    </row>
    <row r="5" spans="1:4" ht="30" x14ac:dyDescent="0.25">
      <c r="A5" s="23" t="s">
        <v>38</v>
      </c>
      <c r="B5" s="17" t="s">
        <v>62</v>
      </c>
      <c r="C5" s="20" t="s">
        <v>43</v>
      </c>
      <c r="D5" s="20" t="s">
        <v>49</v>
      </c>
    </row>
    <row r="6" spans="1:4" ht="45" x14ac:dyDescent="0.25">
      <c r="A6" s="23" t="s">
        <v>39</v>
      </c>
      <c r="B6" s="17" t="s">
        <v>63</v>
      </c>
      <c r="C6" s="20" t="s">
        <v>44</v>
      </c>
      <c r="D6" s="20" t="s">
        <v>50</v>
      </c>
    </row>
    <row r="7" spans="1:4" ht="30" x14ac:dyDescent="0.25">
      <c r="A7" s="23" t="s">
        <v>36</v>
      </c>
      <c r="B7" s="17" t="s">
        <v>64</v>
      </c>
      <c r="C7" s="20" t="s">
        <v>45</v>
      </c>
      <c r="D7" s="20" t="s">
        <v>51</v>
      </c>
    </row>
    <row r="8" spans="1:4" ht="30" x14ac:dyDescent="0.25">
      <c r="A8" s="23" t="s">
        <v>40</v>
      </c>
      <c r="B8" s="20" t="s">
        <v>30</v>
      </c>
      <c r="C8" s="20" t="s">
        <v>46</v>
      </c>
      <c r="D8" s="20" t="s">
        <v>52</v>
      </c>
    </row>
    <row r="9" spans="1:4" ht="45" x14ac:dyDescent="0.25">
      <c r="A9" s="23" t="s">
        <v>41</v>
      </c>
      <c r="B9" s="17" t="s">
        <v>65</v>
      </c>
      <c r="C9" s="20" t="s">
        <v>34</v>
      </c>
      <c r="D9" s="21"/>
    </row>
    <row r="10" spans="1:4" ht="30" x14ac:dyDescent="0.25">
      <c r="A10" s="23"/>
      <c r="B10" s="17" t="s">
        <v>66</v>
      </c>
      <c r="C10" s="20" t="s">
        <v>35</v>
      </c>
      <c r="D10" s="21"/>
    </row>
    <row r="11" spans="1:4" x14ac:dyDescent="0.25">
      <c r="A11" s="23"/>
      <c r="B11" s="20" t="s">
        <v>31</v>
      </c>
      <c r="C11" s="21"/>
      <c r="D11" s="21"/>
    </row>
    <row r="12" spans="1:4" ht="30" x14ac:dyDescent="0.25">
      <c r="A12" s="23"/>
      <c r="B12" s="17" t="s">
        <v>67</v>
      </c>
      <c r="C12" s="21"/>
      <c r="D12" s="21"/>
    </row>
    <row r="13" spans="1:4" x14ac:dyDescent="0.25">
      <c r="A13" s="24"/>
      <c r="B13" s="18"/>
      <c r="C13" s="18"/>
      <c r="D13" s="18"/>
    </row>
    <row r="14" spans="1:4" x14ac:dyDescent="0.25">
      <c r="A14" s="15" t="s">
        <v>57</v>
      </c>
      <c r="B14" s="15" t="s">
        <v>54</v>
      </c>
      <c r="C14" s="15" t="s">
        <v>55</v>
      </c>
      <c r="D14" s="15" t="s">
        <v>56</v>
      </c>
    </row>
    <row r="15" spans="1:4" ht="15.75" thickBot="1" x14ac:dyDescent="0.3">
      <c r="A15" s="93" t="s">
        <v>58</v>
      </c>
      <c r="B15" s="93"/>
      <c r="C15" s="93"/>
      <c r="D15" s="93"/>
    </row>
    <row r="16" spans="1:4" x14ac:dyDescent="0.25">
      <c r="A16" t="s">
        <v>68</v>
      </c>
      <c r="B16" t="s">
        <v>68</v>
      </c>
      <c r="C16" t="s">
        <v>68</v>
      </c>
      <c r="D16" t="s">
        <v>68</v>
      </c>
    </row>
    <row r="17" spans="1:4" x14ac:dyDescent="0.25">
      <c r="A17" t="s">
        <v>59</v>
      </c>
      <c r="B17" t="s">
        <v>70</v>
      </c>
      <c r="C17" t="s">
        <v>72</v>
      </c>
      <c r="D17" t="s">
        <v>74</v>
      </c>
    </row>
    <row r="18" spans="1:4" x14ac:dyDescent="0.25">
      <c r="A18" t="s">
        <v>69</v>
      </c>
      <c r="B18" t="s">
        <v>71</v>
      </c>
      <c r="C18" t="s">
        <v>73</v>
      </c>
      <c r="D18" t="s">
        <v>75</v>
      </c>
    </row>
  </sheetData>
  <mergeCells count="2">
    <mergeCell ref="A2:D2"/>
    <mergeCell ref="A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AE77-D0A7-447D-A7F2-4F1C00751806}">
  <dimension ref="A1:L1201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7.85546875" style="42" bestFit="1" customWidth="1"/>
    <col min="2" max="2" width="8.5703125" style="42" bestFit="1" customWidth="1"/>
    <col min="3" max="3" width="22.140625" style="42" customWidth="1"/>
    <col min="4" max="4" width="16.140625" style="42" bestFit="1" customWidth="1"/>
    <col min="5" max="5" width="12.85546875" style="43" bestFit="1" customWidth="1"/>
    <col min="6" max="6" width="16.7109375" style="43" bestFit="1" customWidth="1"/>
    <col min="7" max="7" width="14.7109375" style="43" bestFit="1" customWidth="1"/>
    <col min="8" max="8" width="19.28515625" style="43" bestFit="1" customWidth="1"/>
    <col min="9" max="9" width="21.7109375" style="44" bestFit="1" customWidth="1"/>
    <col min="10" max="10" width="11.140625" style="43" bestFit="1" customWidth="1"/>
    <col min="11" max="11" width="17" style="42" bestFit="1" customWidth="1"/>
    <col min="12" max="12" width="13.5703125" style="42" bestFit="1" customWidth="1"/>
    <col min="13" max="16384" width="9.140625" style="42"/>
  </cols>
  <sheetData>
    <row r="1" spans="1:12" s="41" customFormat="1" x14ac:dyDescent="0.25">
      <c r="A1" s="58" t="s">
        <v>0</v>
      </c>
      <c r="B1" s="58" t="s">
        <v>2</v>
      </c>
      <c r="C1" s="58" t="s">
        <v>5</v>
      </c>
      <c r="D1" s="58" t="s">
        <v>190</v>
      </c>
      <c r="E1" s="59" t="s">
        <v>6</v>
      </c>
      <c r="F1" s="59" t="s">
        <v>178</v>
      </c>
      <c r="G1" s="59" t="s">
        <v>7</v>
      </c>
      <c r="H1" s="59" t="s">
        <v>3</v>
      </c>
      <c r="I1" s="60" t="s">
        <v>124</v>
      </c>
      <c r="J1" s="59" t="s">
        <v>125</v>
      </c>
      <c r="K1" s="59" t="s">
        <v>234</v>
      </c>
      <c r="L1" s="61" t="s">
        <v>235</v>
      </c>
    </row>
    <row r="2" spans="1:12" ht="15" customHeight="1" x14ac:dyDescent="0.25">
      <c r="A2" s="42" t="str" cm="1">
        <f t="array" ref="A2">IFERROR(INDEX(_xlfn._xlws.FILTER(Class_Players!A:A,Class_Players!B:B="Engineer"),QUOTIENT(ROW()-ROW($A$2),12)+1),"")</f>
        <v>gym-imperator-ju</v>
      </c>
      <c r="B2" s="42" t="str">
        <f>_xlfn.XLOOKUP(A2,Class_Players!$A:$A,Class_Players!$B:$B,"")</f>
        <v>Engineer</v>
      </c>
      <c r="C2" s="38" t="str" cm="1">
        <f t="array" ref="C2">INDEX(Lookups!$B$2:$B$13,MOD(ROW()-ROW($B$2),ROWS(Lookups!$B$2:$B$13))+1)</f>
        <v>MBT-LAW (Auto-Guided Launcher)</v>
      </c>
      <c r="D2" s="38" t="str">
        <f>_xlfn.XLOOKUP(C2,Analysis_Gadgets!$C:$C,Analysis_Gadgets!$B:$B)</f>
        <v>Gadget</v>
      </c>
      <c r="E2" s="43">
        <v>0</v>
      </c>
      <c r="F2" s="43">
        <f>_xlfn.XLOOKUP(A2,Class_Players!A:A,Class_Players!G:G)</f>
        <v>299</v>
      </c>
      <c r="G2" s="43">
        <f>IF(F2=0,"",E2/(F2))</f>
        <v>0</v>
      </c>
      <c r="H2" s="43">
        <f>_xlfn.XLOOKUP(A2,Class_Players!$A:$A,Class_Players!$F:$F,"")</f>
        <v>21734</v>
      </c>
      <c r="I2" s="44">
        <f>IF(H2=0,"",E2/H2)</f>
        <v>0</v>
      </c>
      <c r="J2" s="43">
        <f>IF(I2&gt;=0.1,1,0)</f>
        <v>0</v>
      </c>
      <c r="K2" s="44" cm="1">
        <f t="array" ref="K2">IF(D2="Gadget",_xlfn.IFS(I2&gt;=0.2,0.5,I2&gt;=0.1,0.35,I2&gt;=0.05,0.2,TRUE,0),IF(D2="Grenade",_xlfn.IFS(I2&gt;=0.2,1,I2&gt;=0.1,0.7,I2&gt;=0.05,0.4,TRUE,0),0))</f>
        <v>0</v>
      </c>
      <c r="L2" s="57">
        <f>IF($K2=0,0,$K2 / SUMIFS($K:$K,$A:$A,$A2,$D:$D,"Gadget"))</f>
        <v>0</v>
      </c>
    </row>
    <row r="3" spans="1:12" ht="15" customHeight="1" x14ac:dyDescent="0.25">
      <c r="A3" s="42" t="str" cm="1">
        <f t="array" ref="A3">IFERROR(INDEX(_xlfn._xlws.FILTER(Class_Players!A:A,Class_Players!B:B="Engineer"),QUOTIENT(ROW()-ROW($A$2),12)+1),"")</f>
        <v>gym-imperator-ju</v>
      </c>
      <c r="B3" s="42" t="str">
        <f>_xlfn.XLOOKUP(A3,Class_Players!$A:$A,Class_Players!$B:$B,"")</f>
        <v>Engineer</v>
      </c>
      <c r="C3" s="38" t="str" cm="1">
        <f t="array" ref="C3">INDEX(Lookups!$B$2:$B$13,MOD(ROW()-ROW($B$2),ROWS(Lookups!$B$2:$B$13))+1)</f>
        <v>SLM-93A (Air-Defense Launcher)</v>
      </c>
      <c r="D3" s="38" t="str">
        <f>_xlfn.XLOOKUP(C3,Analysis_Gadgets!$C:$C,Analysis_Gadgets!$B:$B)</f>
        <v>Gadget</v>
      </c>
      <c r="E3" s="43">
        <v>355</v>
      </c>
      <c r="F3" s="43">
        <f>_xlfn.XLOOKUP(A3,Class_Players!A:A,Class_Players!G:G)</f>
        <v>299</v>
      </c>
      <c r="G3" s="43">
        <f t="shared" ref="G3:G14" si="0">IF(F3=0,"",E3/(F3))</f>
        <v>1.1872909698996656</v>
      </c>
      <c r="H3" s="43">
        <f>_xlfn.XLOOKUP(A3,Class_Players!$A:$A,Class_Players!$F:$F,"")</f>
        <v>21734</v>
      </c>
      <c r="I3" s="44">
        <f>IF(H3=0,"",E3/H3)</f>
        <v>1.6333854789730377E-2</v>
      </c>
      <c r="J3" s="43">
        <f t="shared" ref="J3:J66" si="1">IF(I3&gt;=0.1,1,0)</f>
        <v>0</v>
      </c>
      <c r="K3" s="44" cm="1">
        <f t="array" ref="K3">IF(D3="Gadget",_xlfn.IFS(I3&gt;=0.2,0.5,I3&gt;=0.1,0.35,I3&gt;=0.05,0.2,TRUE,0),IF(D3="Grenade",_xlfn.IFS(I3&gt;=0.2,1,I3&gt;=0.1,0.7,I3&gt;=0.05,0.4,TRUE,0),0))</f>
        <v>0</v>
      </c>
      <c r="L3" s="57">
        <f t="shared" ref="L3:L11" si="2">IF($K3=0,0,$K3 / SUMIFS($K:$K,$A:$A,$A3,$D:$D,"Gadget"))</f>
        <v>0</v>
      </c>
    </row>
    <row r="4" spans="1:12" ht="15" customHeight="1" x14ac:dyDescent="0.25">
      <c r="A4" s="42" t="str" cm="1">
        <f t="array" ref="A4">IFERROR(INDEX(_xlfn._xlws.FILTER(Class_Players!A:A,Class_Players!B:B="Engineer"),QUOTIENT(ROW()-ROW($A$2),12)+1),"")</f>
        <v>gym-imperator-ju</v>
      </c>
      <c r="B4" s="42" t="str">
        <f>_xlfn.XLOOKUP(A4,Class_Players!$A:$A,Class_Players!$B:$B,"")</f>
        <v>Engineer</v>
      </c>
      <c r="C4" s="38" t="str" cm="1">
        <f t="array" ref="C4">INDEX(Lookups!$B$2:$B$13,MOD(ROW()-ROW($B$2),ROWS(Lookups!$B$2:$B$13))+1)</f>
        <v>RPG-7V2 (Unguided Rocket Launcher)</v>
      </c>
      <c r="D4" s="38" t="str">
        <f>_xlfn.XLOOKUP(C4,Analysis_Gadgets!$C:$C,Analysis_Gadgets!$B:$B)</f>
        <v>Gadget</v>
      </c>
      <c r="E4" s="43">
        <v>4933</v>
      </c>
      <c r="F4" s="43">
        <f>_xlfn.XLOOKUP(A4,Class_Players!A:A,Class_Players!G:G)</f>
        <v>299</v>
      </c>
      <c r="G4" s="43">
        <f t="shared" si="0"/>
        <v>16.498327759197323</v>
      </c>
      <c r="H4" s="43">
        <f>_xlfn.XLOOKUP(A4,Class_Players!$A:$A,Class_Players!$F:$F,"")</f>
        <v>21734</v>
      </c>
      <c r="I4" s="44">
        <f>IF(H4=0,"",E4/H4)</f>
        <v>0.22697156528940829</v>
      </c>
      <c r="J4" s="43">
        <f t="shared" si="1"/>
        <v>1</v>
      </c>
      <c r="K4" s="44" cm="1">
        <f t="array" ref="K4">IF(D4="Gadget",_xlfn.IFS(I4&gt;=0.2,0.5,I4&gt;=0.1,0.35,I4&gt;=0.05,0.2,TRUE,0),IF(D4="Grenade",_xlfn.IFS(I4&gt;=0.2,1,I4&gt;=0.1,0.7,I4&gt;=0.05,0.4,TRUE,0),0))</f>
        <v>0.5</v>
      </c>
      <c r="L4" s="57">
        <f t="shared" si="2"/>
        <v>0.5</v>
      </c>
    </row>
    <row r="5" spans="1:12" ht="15" customHeight="1" x14ac:dyDescent="0.25">
      <c r="A5" s="42" t="str" cm="1">
        <f t="array" ref="A5">IFERROR(INDEX(_xlfn._xlws.FILTER(Class_Players!A:A,Class_Players!B:B="Engineer"),QUOTIENT(ROW()-ROW($A$2),12)+1),"")</f>
        <v>gym-imperator-ju</v>
      </c>
      <c r="B5" s="42" t="str">
        <f>_xlfn.XLOOKUP(A5,Class_Players!$A:$A,Class_Players!$B:$B,"")</f>
        <v>Engineer</v>
      </c>
      <c r="C5" s="38" t="str" cm="1">
        <f t="array" ref="C5">INDEX(Lookups!$B$2:$B$13,MOD(ROW()-ROW($B$2),ROWS(Lookups!$B$2:$B$13))+1)</f>
        <v>MAS 148 (Long-Range Launcher)</v>
      </c>
      <c r="D5" s="38" t="str">
        <f>_xlfn.XLOOKUP(C5,Analysis_Gadgets!$C:$C,Analysis_Gadgets!$B:$B)</f>
        <v>Gadget</v>
      </c>
      <c r="E5" s="43">
        <v>3</v>
      </c>
      <c r="F5" s="43">
        <f>_xlfn.XLOOKUP(A5,Class_Players!A:A,Class_Players!G:G)</f>
        <v>299</v>
      </c>
      <c r="G5" s="43">
        <f t="shared" si="0"/>
        <v>1.0033444816053512E-2</v>
      </c>
      <c r="H5" s="43">
        <f>_xlfn.XLOOKUP(A5,Class_Players!$A:$A,Class_Players!$F:$F,"")</f>
        <v>21734</v>
      </c>
      <c r="I5" s="44">
        <f t="shared" ref="I5:I16" si="3">IF(H5=0,"",E5/H5)</f>
        <v>1.3803257568786233E-4</v>
      </c>
      <c r="J5" s="43">
        <f t="shared" si="1"/>
        <v>0</v>
      </c>
      <c r="K5" s="44" cm="1">
        <f t="array" ref="K5">IF(D5="Gadget",_xlfn.IFS(I5&gt;=0.2,0.5,I5&gt;=0.1,0.35,I5&gt;=0.05,0.2,TRUE,0),IF(D5="Grenade",_xlfn.IFS(I5&gt;=0.2,1,I5&gt;=0.1,0.7,I5&gt;=0.05,0.4,TRUE,0),0))</f>
        <v>0</v>
      </c>
      <c r="L5" s="57">
        <f t="shared" si="2"/>
        <v>0</v>
      </c>
    </row>
    <row r="6" spans="1:12" ht="15" customHeight="1" x14ac:dyDescent="0.25">
      <c r="A6" s="42" t="str" cm="1">
        <f t="array" ref="A6">IFERROR(INDEX(_xlfn._xlws.FILTER(Class_Players!A:A,Class_Players!B:B="Engineer"),QUOTIENT(ROW()-ROW($A$2),12)+1),"")</f>
        <v>gym-imperator-ju</v>
      </c>
      <c r="B6" s="42" t="str">
        <f>_xlfn.XLOOKUP(A6,Class_Players!$A:$A,Class_Players!$B:$B,"")</f>
        <v>Engineer</v>
      </c>
      <c r="C6" s="38" t="str" cm="1">
        <f t="array" ref="C6">INDEX(Lookups!$B$2:$B$13,MOD(ROW()-ROW($B$2),ROWS(Lookups!$B$2:$B$13))+1)</f>
        <v>M136 AT (Aim-Guided Launcher)</v>
      </c>
      <c r="D6" s="38" t="str">
        <f>_xlfn.XLOOKUP(C6,Analysis_Gadgets!$C:$C,Analysis_Gadgets!$B:$B)</f>
        <v>Gadget</v>
      </c>
      <c r="E6" s="43">
        <v>1</v>
      </c>
      <c r="F6" s="43">
        <f>_xlfn.XLOOKUP(A6,Class_Players!A:A,Class_Players!G:G)</f>
        <v>299</v>
      </c>
      <c r="G6" s="43">
        <f t="shared" si="0"/>
        <v>3.3444816053511705E-3</v>
      </c>
      <c r="H6" s="43">
        <f>_xlfn.XLOOKUP(A6,Class_Players!$A:$A,Class_Players!$F:$F,"")</f>
        <v>21734</v>
      </c>
      <c r="I6" s="44">
        <f t="shared" si="3"/>
        <v>4.601085856262078E-5</v>
      </c>
      <c r="J6" s="43">
        <f t="shared" si="1"/>
        <v>0</v>
      </c>
      <c r="K6" s="44" cm="1">
        <f t="array" ref="K6">IF(D6="Gadget",_xlfn.IFS(I6&gt;=0.2,0.5,I6&gt;=0.1,0.35,I6&gt;=0.05,0.2,TRUE,0),IF(D6="Grenade",_xlfn.IFS(I6&gt;=0.2,1,I6&gt;=0.1,0.7,I6&gt;=0.05,0.4,TRUE,0),0))</f>
        <v>0</v>
      </c>
      <c r="L6" s="57">
        <f t="shared" si="2"/>
        <v>0</v>
      </c>
    </row>
    <row r="7" spans="1:12" ht="15" customHeight="1" x14ac:dyDescent="0.25">
      <c r="A7" s="42" t="str" cm="1">
        <f t="array" ref="A7">IFERROR(INDEX(_xlfn._xlws.FILTER(Class_Players!A:A,Class_Players!B:B="Engineer"),QUOTIENT(ROW()-ROW($A$2),12)+1),"")</f>
        <v>gym-imperator-ju</v>
      </c>
      <c r="B7" s="42" t="str">
        <f>_xlfn.XLOOKUP(A7,Class_Players!$A:$A,Class_Players!$B:$B,"")</f>
        <v>Engineer</v>
      </c>
      <c r="C7" s="38" t="str" cm="1">
        <f t="array" ref="C7">INDEX(Lookups!$B$2:$B$13,MOD(ROW()-ROW($B$2),ROWS(Lookups!$B$2:$B$13))+1)</f>
        <v>Supply Crate</v>
      </c>
      <c r="D7" s="38" t="str">
        <f>_xlfn.XLOOKUP(C7,Analysis_Gadgets!$C:$C,Analysis_Gadgets!$B:$B)</f>
        <v>Gadget</v>
      </c>
      <c r="E7" s="43">
        <v>5</v>
      </c>
      <c r="F7" s="43">
        <f>_xlfn.XLOOKUP(A7,Class_Players!A:A,Class_Players!G:G)</f>
        <v>299</v>
      </c>
      <c r="G7" s="43">
        <f t="shared" si="0"/>
        <v>1.6722408026755852E-2</v>
      </c>
      <c r="H7" s="43">
        <f>_xlfn.XLOOKUP(A7,Class_Players!$A:$A,Class_Players!$F:$F,"")</f>
        <v>21734</v>
      </c>
      <c r="I7" s="44">
        <f t="shared" si="3"/>
        <v>2.3005429281310389E-4</v>
      </c>
      <c r="J7" s="43">
        <f t="shared" si="1"/>
        <v>0</v>
      </c>
      <c r="K7" s="44" cm="1">
        <f t="array" ref="K7">IF(D7="Gadget",_xlfn.IFS(I7&gt;=0.2,0.5,I7&gt;=0.1,0.35,I7&gt;=0.05,0.2,TRUE,0),IF(D7="Grenade",_xlfn.IFS(I7&gt;=0.2,1,I7&gt;=0.1,0.7,I7&gt;=0.05,0.4,TRUE,0),0))</f>
        <v>0</v>
      </c>
      <c r="L7" s="57">
        <f t="shared" si="2"/>
        <v>0</v>
      </c>
    </row>
    <row r="8" spans="1:12" ht="15" customHeight="1" x14ac:dyDescent="0.25">
      <c r="A8" s="42" t="str" cm="1">
        <f t="array" ref="A8">IFERROR(INDEX(_xlfn._xlws.FILTER(Class_Players!A:A,Class_Players!B:B="Engineer"),QUOTIENT(ROW()-ROW($A$2),12)+1),"")</f>
        <v>gym-imperator-ju</v>
      </c>
      <c r="B8" s="42" t="str">
        <f>_xlfn.XLOOKUP(A8,Class_Players!$A:$A,Class_Players!$B:$B,"")</f>
        <v>Engineer</v>
      </c>
      <c r="C8" s="38" t="str" cm="1">
        <f t="array" ref="C8">INDEX(Lookups!$B$2:$B$13,MOD(ROW()-ROW($B$2),ROWS(Lookups!$B$2:$B$13))+1)</f>
        <v>M15 (Anti-Vehicle Mine)</v>
      </c>
      <c r="D8" s="38" t="str">
        <f>_xlfn.XLOOKUP(C8,Analysis_Gadgets!$C:$C,Analysis_Gadgets!$B:$B)</f>
        <v>Gadget</v>
      </c>
      <c r="E8" s="43">
        <v>8529</v>
      </c>
      <c r="F8" s="43">
        <f>_xlfn.XLOOKUP(A8,Class_Players!A:A,Class_Players!G:G)</f>
        <v>299</v>
      </c>
      <c r="G8" s="43">
        <f t="shared" si="0"/>
        <v>28.525083612040135</v>
      </c>
      <c r="H8" s="43">
        <f>_xlfn.XLOOKUP(A8,Class_Players!$A:$A,Class_Players!$F:$F,"")</f>
        <v>21734</v>
      </c>
      <c r="I8" s="44">
        <f t="shared" si="3"/>
        <v>0.39242661268059265</v>
      </c>
      <c r="J8" s="43">
        <f t="shared" si="1"/>
        <v>1</v>
      </c>
      <c r="K8" s="44" cm="1">
        <f t="array" ref="K8">IF(D8="Gadget",_xlfn.IFS(I8&gt;=0.2,0.5,I8&gt;=0.1,0.35,I8&gt;=0.05,0.2,TRUE,0),IF(D8="Grenade",_xlfn.IFS(I8&gt;=0.2,1,I8&gt;=0.1,0.7,I8&gt;=0.05,0.4,TRUE,0),0))</f>
        <v>0.5</v>
      </c>
      <c r="L8" s="57">
        <f t="shared" si="2"/>
        <v>0.5</v>
      </c>
    </row>
    <row r="9" spans="1:12" ht="15" customHeight="1" x14ac:dyDescent="0.25">
      <c r="A9" s="42" t="str" cm="1">
        <f t="array" ref="A9">IFERROR(INDEX(_xlfn._xlws.FILTER(Class_Players!A:A,Class_Players!B:B="Engineer"),QUOTIENT(ROW()-ROW($A$2),12)+1),"")</f>
        <v>gym-imperator-ju</v>
      </c>
      <c r="B9" s="42" t="str">
        <f>_xlfn.XLOOKUP(A9,Class_Players!$A:$A,Class_Players!$B:$B,"")</f>
        <v>Engineer</v>
      </c>
      <c r="C9" s="38" t="str" cm="1">
        <f t="array" ref="C9">INDEX(Lookups!$B$2:$B$13,MOD(ROW()-ROW($B$2),ROWS(Lookups!$B$2:$B$13))+1)</f>
        <v>PTKM-1R (Acoustic Sensor AV Mine)</v>
      </c>
      <c r="D9" s="38" t="str">
        <f>_xlfn.XLOOKUP(C9,Analysis_Gadgets!$C:$C,Analysis_Gadgets!$B:$B)</f>
        <v>Gadget</v>
      </c>
      <c r="E9" s="43">
        <v>0</v>
      </c>
      <c r="F9" s="43">
        <f>_xlfn.XLOOKUP(A9,Class_Players!A:A,Class_Players!G:G)</f>
        <v>299</v>
      </c>
      <c r="G9" s="43">
        <f t="shared" si="0"/>
        <v>0</v>
      </c>
      <c r="H9" s="43">
        <f>_xlfn.XLOOKUP(A9,Class_Players!$A:$A,Class_Players!$F:$F,"")</f>
        <v>21734</v>
      </c>
      <c r="I9" s="44">
        <f t="shared" si="3"/>
        <v>0</v>
      </c>
      <c r="J9" s="43">
        <f t="shared" si="1"/>
        <v>0</v>
      </c>
      <c r="K9" s="44" cm="1">
        <f t="array" ref="K9">IF(D9="Gadget",_xlfn.IFS(I9&gt;=0.2,0.5,I9&gt;=0.1,0.35,I9&gt;=0.05,0.2,TRUE,0),IF(D9="Grenade",_xlfn.IFS(I9&gt;=0.2,1,I9&gt;=0.1,0.7,I9&gt;=0.05,0.4,TRUE,0),0))</f>
        <v>0</v>
      </c>
      <c r="L9" s="57">
        <f t="shared" si="2"/>
        <v>0</v>
      </c>
    </row>
    <row r="10" spans="1:12" ht="15" customHeight="1" x14ac:dyDescent="0.25">
      <c r="A10" s="42" t="str" cm="1">
        <f t="array" ref="A10">IFERROR(INDEX(_xlfn._xlws.FILTER(Class_Players!A:A,Class_Players!B:B="Engineer"),QUOTIENT(ROW()-ROW($A$2),12)+1),"")</f>
        <v>gym-imperator-ju</v>
      </c>
      <c r="B10" s="42" t="str">
        <f>_xlfn.XLOOKUP(A10,Class_Players!$A:$A,Class_Players!$B:$B,"")</f>
        <v>Engineer</v>
      </c>
      <c r="C10" s="38" t="str" cm="1">
        <f t="array" ref="C10">INDEX(Lookups!$B$2:$B$13,MOD(ROW()-ROW($B$2),ROWS(Lookups!$B$2:$B$13))+1)</f>
        <v>EOD Bot</v>
      </c>
      <c r="D10" s="38" t="str">
        <f>_xlfn.XLOOKUP(C10,Analysis_Gadgets!$C:$C,Analysis_Gadgets!$B:$B)</f>
        <v>Gadget</v>
      </c>
      <c r="E10" s="43">
        <v>0</v>
      </c>
      <c r="F10" s="43">
        <f>_xlfn.XLOOKUP(A10,Class_Players!A:A,Class_Players!G:G)</f>
        <v>299</v>
      </c>
      <c r="G10" s="43">
        <f t="shared" si="0"/>
        <v>0</v>
      </c>
      <c r="H10" s="43">
        <f>_xlfn.XLOOKUP(A10,Class_Players!$A:$A,Class_Players!$F:$F,"")</f>
        <v>21734</v>
      </c>
      <c r="I10" s="44">
        <f t="shared" si="3"/>
        <v>0</v>
      </c>
      <c r="J10" s="43">
        <f t="shared" si="1"/>
        <v>0</v>
      </c>
      <c r="K10" s="44" cm="1">
        <f t="array" ref="K10">IF(D10="Gadget",_xlfn.IFS(I10&gt;=0.2,0.5,I10&gt;=0.1,0.35,I10&gt;=0.05,0.2,TRUE,0),IF(D10="Grenade",_xlfn.IFS(I10&gt;=0.2,1,I10&gt;=0.1,0.7,I10&gt;=0.05,0.4,TRUE,0),0))</f>
        <v>0</v>
      </c>
      <c r="L10" s="57">
        <f t="shared" si="2"/>
        <v>0</v>
      </c>
    </row>
    <row r="11" spans="1:12" ht="15" customHeight="1" x14ac:dyDescent="0.25">
      <c r="A11" s="42" t="str" cm="1">
        <f t="array" ref="A11">IFERROR(INDEX(_xlfn._xlws.FILTER(Class_Players!A:A,Class_Players!B:B="Engineer"),QUOTIENT(ROW()-ROW($A$2),12)+1),"")</f>
        <v>gym-imperator-ju</v>
      </c>
      <c r="B11" s="42" t="str">
        <f>_xlfn.XLOOKUP(A11,Class_Players!$A:$A,Class_Players!$B:$B,"")</f>
        <v>Engineer</v>
      </c>
      <c r="C11" s="38" t="str" cm="1">
        <f t="array" ref="C11">INDEX(Lookups!$B$2:$B$13,MOD(ROW()-ROW($B$2),ROWS(Lookups!$B$2:$B$13))+1)</f>
        <v>M4A1 SLAM (Tripwire Sensor AV Mine)</v>
      </c>
      <c r="D11" s="38" t="str">
        <f>_xlfn.XLOOKUP(C11,Analysis_Gadgets!$C:$C,Analysis_Gadgets!$B:$B)</f>
        <v>Gadget</v>
      </c>
      <c r="E11" s="43">
        <v>0</v>
      </c>
      <c r="F11" s="43">
        <f>_xlfn.XLOOKUP(A11,Class_Players!A:A,Class_Players!G:G)</f>
        <v>299</v>
      </c>
      <c r="G11" s="43">
        <f t="shared" si="0"/>
        <v>0</v>
      </c>
      <c r="H11" s="43">
        <f>_xlfn.XLOOKUP(A11,Class_Players!$A:$A,Class_Players!$F:$F,"")</f>
        <v>21734</v>
      </c>
      <c r="I11" s="44">
        <f t="shared" si="3"/>
        <v>0</v>
      </c>
      <c r="J11" s="43">
        <f t="shared" si="1"/>
        <v>0</v>
      </c>
      <c r="K11" s="44" cm="1">
        <f t="array" ref="K11">IF(D11="Gadget",_xlfn.IFS(I11&gt;=0.2,0.5,I11&gt;=0.1,0.35,I11&gt;=0.05,0.2,TRUE,0),IF(D11="Grenade",_xlfn.IFS(I11&gt;=0.2,1,I11&gt;=0.1,0.7,I11&gt;=0.05,0.4,TRUE,0),0))</f>
        <v>0</v>
      </c>
      <c r="L11" s="57">
        <f t="shared" si="2"/>
        <v>0</v>
      </c>
    </row>
    <row r="12" spans="1:12" ht="15" customHeight="1" x14ac:dyDescent="0.25">
      <c r="A12" s="42" t="str" cm="1">
        <f t="array" ref="A12">IFERROR(INDEX(_xlfn._xlws.FILTER(Class_Players!A:A,Class_Players!B:B="Engineer"),QUOTIENT(ROW()-ROW($A$2),12)+1),"")</f>
        <v>gym-imperator-ju</v>
      </c>
      <c r="B12" s="42" t="str">
        <f>_xlfn.XLOOKUP(A12,Class_Players!$A:$A,Class_Players!$B:$B,"")</f>
        <v>Engineer</v>
      </c>
      <c r="C12" s="38" t="str" cm="1">
        <f t="array" ref="C12">INDEX(Lookups!$B$2:$B$13,MOD(ROW()-ROW($B$2),ROWS(Lookups!$B$2:$B$13))+1)</f>
        <v>Mini Frag Grenade</v>
      </c>
      <c r="D12" s="38" t="str">
        <f>_xlfn.XLOOKUP(C12,Analysis_Gadgets!$C:$C,Analysis_Gadgets!$B:$B)</f>
        <v>Grenade</v>
      </c>
      <c r="E12" s="43">
        <v>2</v>
      </c>
      <c r="F12" s="43">
        <f>_xlfn.XLOOKUP(A12,Class_Players!A:A,Class_Players!G:G)</f>
        <v>299</v>
      </c>
      <c r="G12" s="43">
        <f t="shared" si="0"/>
        <v>6.688963210702341E-3</v>
      </c>
      <c r="H12" s="43">
        <f>_xlfn.XLOOKUP(A12,Class_Players!$A:$A,Class_Players!$F:$F,"")</f>
        <v>21734</v>
      </c>
      <c r="I12" s="44">
        <f t="shared" si="3"/>
        <v>9.202171712524156E-5</v>
      </c>
      <c r="J12" s="43">
        <f t="shared" si="1"/>
        <v>0</v>
      </c>
      <c r="K12" s="44" cm="1">
        <f t="array" ref="K12">IF(D12="Gadget",_xlfn.IFS(I12&gt;=0.2,0.5,I12&gt;=0.1,0.35,I12&gt;=0.05,0.2,TRUE,0),IF(D12="Grenade",_xlfn.IFS(I12&gt;=0.2,1,I12&gt;=0.1,0.7,I12&gt;=0.05,0.4,TRUE,0),0))</f>
        <v>0</v>
      </c>
      <c r="L12" s="57">
        <f>IF($K12=0,0,$K12 / SUMIFS($K:$K,$A:$A,$A12,$D:$D,"Grenade"))</f>
        <v>0</v>
      </c>
    </row>
    <row r="13" spans="1:12" ht="15" customHeight="1" x14ac:dyDescent="0.25">
      <c r="A13" s="42" t="str" cm="1">
        <f t="array" ref="A13">IFERROR(INDEX(_xlfn._xlws.FILTER(Class_Players!A:A,Class_Players!B:B="Engineer"),QUOTIENT(ROW()-ROW($A$2),12)+1),"")</f>
        <v>gym-imperator-ju</v>
      </c>
      <c r="B13" s="42" t="str">
        <f>_xlfn.XLOOKUP(A13,Class_Players!$A:$A,Class_Players!$B:$B,"")</f>
        <v>Engineer</v>
      </c>
      <c r="C13" s="38" t="str" cm="1">
        <f t="array" ref="C13">INDEX(Lookups!$B$2:$B$13,MOD(ROW()-ROW($B$2),ROWS(Lookups!$B$2:$B$13))+1)</f>
        <v>Anti-Vehicle Grenade</v>
      </c>
      <c r="D13" s="38" t="str">
        <f>_xlfn.XLOOKUP(C13,Analysis_Gadgets!$C:$C,Analysis_Gadgets!$B:$B)</f>
        <v>Grenade</v>
      </c>
      <c r="E13" s="43">
        <v>0</v>
      </c>
      <c r="F13" s="43">
        <f>_xlfn.XLOOKUP(A13,Class_Players!A:A,Class_Players!G:G)</f>
        <v>299</v>
      </c>
      <c r="G13" s="43">
        <f t="shared" si="0"/>
        <v>0</v>
      </c>
      <c r="H13" s="43">
        <f>_xlfn.XLOOKUP(A13,Class_Players!$A:$A,Class_Players!$F:$F,"")</f>
        <v>21734</v>
      </c>
      <c r="I13" s="44">
        <f t="shared" si="3"/>
        <v>0</v>
      </c>
      <c r="J13" s="43">
        <f t="shared" si="1"/>
        <v>0</v>
      </c>
      <c r="K13" s="44" cm="1">
        <f t="array" ref="K13">IF(D13="Gadget",_xlfn.IFS(I13&gt;=0.2,0.5,I13&gt;=0.1,0.35,I13&gt;=0.05,0.2,TRUE,0),IF(D13="Grenade",_xlfn.IFS(I13&gt;=0.2,1,I13&gt;=0.1,0.7,I13&gt;=0.05,0.4,TRUE,0),0))</f>
        <v>0</v>
      </c>
      <c r="L13" s="57">
        <f>IF($K13=0,0,$K13 / SUMIFS($K:$K,$A:$A,$A13,$D:$D,"Grenade"))</f>
        <v>0</v>
      </c>
    </row>
    <row r="14" spans="1:12" ht="15" customHeight="1" x14ac:dyDescent="0.25">
      <c r="A14" s="42" t="str" cm="1">
        <f t="array" ref="A14">IFERROR(INDEX(_xlfn._xlws.FILTER(Class_Players!A:A,Class_Players!B:B="Engineer"),QUOTIENT(ROW()-ROW($A$2),12)+1),"")</f>
        <v>Samyt4040</v>
      </c>
      <c r="B14" s="42" t="str">
        <f>_xlfn.XLOOKUP(A14,Class_Players!$A:$A,Class_Players!$B:$B,"")</f>
        <v>Engineer</v>
      </c>
      <c r="C14" s="38" t="str" cm="1">
        <f t="array" ref="C14">INDEX(Lookups!$B$2:$B$13,MOD(ROW()-ROW($B$2),ROWS(Lookups!$B$2:$B$13))+1)</f>
        <v>MBT-LAW (Auto-Guided Launcher)</v>
      </c>
      <c r="D14" s="38" t="str">
        <f>_xlfn.XLOOKUP(C14,Analysis_Gadgets!$C:$C,Analysis_Gadgets!$B:$B)</f>
        <v>Gadget</v>
      </c>
      <c r="E14" s="43">
        <v>0</v>
      </c>
      <c r="F14" s="43">
        <f>_xlfn.XLOOKUP(A14,Class_Players!A:A,Class_Players!G:G)</f>
        <v>145</v>
      </c>
      <c r="G14" s="43">
        <f t="shared" si="0"/>
        <v>0</v>
      </c>
      <c r="H14" s="43">
        <f>_xlfn.XLOOKUP(A14,Class_Players!$A:$A,Class_Players!$F:$F,"")</f>
        <v>18459</v>
      </c>
      <c r="I14" s="44">
        <f t="shared" si="3"/>
        <v>0</v>
      </c>
      <c r="J14" s="43">
        <f t="shared" si="1"/>
        <v>0</v>
      </c>
      <c r="K14" s="44" cm="1">
        <f t="array" ref="K14">IF(D14="Gadget",_xlfn.IFS(I14&gt;=0.2,0.5,I14&gt;=0.1,0.35,I14&gt;=0.05,0.2,TRUE,0),IF(D14="Grenade",_xlfn.IFS(I14&gt;=0.2,1,I14&gt;=0.1,0.7,I14&gt;=0.05,0.4,TRUE,0),0))</f>
        <v>0</v>
      </c>
      <c r="L14" s="57">
        <f>IF($K14=0,0,$K14 / SUMIFS($K:$K,$A:$A,$A14,$D:$D,"Gadget"))</f>
        <v>0</v>
      </c>
    </row>
    <row r="15" spans="1:12" ht="15" customHeight="1" x14ac:dyDescent="0.25">
      <c r="A15" s="42" t="str" cm="1">
        <f t="array" ref="A15">IFERROR(INDEX(_xlfn._xlws.FILTER(Class_Players!A:A,Class_Players!B:B="Engineer"),QUOTIENT(ROW()-ROW($A$2),12)+1),"")</f>
        <v>Samyt4040</v>
      </c>
      <c r="B15" s="42" t="str">
        <f>_xlfn.XLOOKUP(A15,Class_Players!$A:$A,Class_Players!$B:$B,"")</f>
        <v>Engineer</v>
      </c>
      <c r="C15" s="38" t="str" cm="1">
        <f t="array" ref="C15">INDEX(Lookups!$B$2:$B$13,MOD(ROW()-ROW($B$2),ROWS(Lookups!$B$2:$B$13))+1)</f>
        <v>SLM-93A (Air-Defense Launcher)</v>
      </c>
      <c r="D15" s="38" t="str">
        <f>_xlfn.XLOOKUP(C15,Analysis_Gadgets!$C:$C,Analysis_Gadgets!$B:$B)</f>
        <v>Gadget</v>
      </c>
      <c r="E15" s="43">
        <v>9</v>
      </c>
      <c r="F15" s="43">
        <f>_xlfn.XLOOKUP(A15,Class_Players!A:A,Class_Players!G:G)</f>
        <v>145</v>
      </c>
      <c r="G15" s="43">
        <f t="shared" ref="G15:G78" si="4">IF(F15=0,"",E15/(F15))</f>
        <v>6.2068965517241378E-2</v>
      </c>
      <c r="H15" s="43">
        <f>_xlfn.XLOOKUP(A15,Class_Players!$A:$A,Class_Players!$F:$F,"")</f>
        <v>18459</v>
      </c>
      <c r="I15" s="44">
        <f t="shared" si="3"/>
        <v>4.8756704046806434E-4</v>
      </c>
      <c r="J15" s="43">
        <f t="shared" si="1"/>
        <v>0</v>
      </c>
      <c r="K15" s="44" cm="1">
        <f t="array" ref="K15">IF(D15="Gadget",_xlfn.IFS(I15&gt;=0.2,0.5,I15&gt;=0.1,0.35,I15&gt;=0.05,0.2,TRUE,0),IF(D15="Grenade",_xlfn.IFS(I15&gt;=0.2,1,I15&gt;=0.1,0.7,I15&gt;=0.05,0.4,TRUE,0),0))</f>
        <v>0</v>
      </c>
      <c r="L15" s="57">
        <f t="shared" ref="L15:L23" si="5">IF($K15=0,0,$K15 / SUMIFS($K:$K,$A:$A,$A15,$D:$D,"Gadget"))</f>
        <v>0</v>
      </c>
    </row>
    <row r="16" spans="1:12" ht="15" customHeight="1" x14ac:dyDescent="0.25">
      <c r="A16" s="42" t="str" cm="1">
        <f t="array" ref="A16">IFERROR(INDEX(_xlfn._xlws.FILTER(Class_Players!A:A,Class_Players!B:B="Engineer"),QUOTIENT(ROW()-ROW($A$2),12)+1),"")</f>
        <v>Samyt4040</v>
      </c>
      <c r="B16" s="42" t="str">
        <f>_xlfn.XLOOKUP(A16,Class_Players!$A:$A,Class_Players!$B:$B,"")</f>
        <v>Engineer</v>
      </c>
      <c r="C16" s="38" t="str" cm="1">
        <f t="array" ref="C16">INDEX(Lookups!$B$2:$B$13,MOD(ROW()-ROW($B$2),ROWS(Lookups!$B$2:$B$13))+1)</f>
        <v>RPG-7V2 (Unguided Rocket Launcher)</v>
      </c>
      <c r="D16" s="38" t="str">
        <f>_xlfn.XLOOKUP(C16,Analysis_Gadgets!$C:$C,Analysis_Gadgets!$B:$B)</f>
        <v>Gadget</v>
      </c>
      <c r="E16" s="43">
        <v>564</v>
      </c>
      <c r="F16" s="43">
        <f>_xlfn.XLOOKUP(A16,Class_Players!A:A,Class_Players!G:G)</f>
        <v>145</v>
      </c>
      <c r="G16" s="43">
        <f t="shared" si="4"/>
        <v>3.8896551724137929</v>
      </c>
      <c r="H16" s="43">
        <f>_xlfn.XLOOKUP(A16,Class_Players!$A:$A,Class_Players!$F:$F,"")</f>
        <v>18459</v>
      </c>
      <c r="I16" s="44">
        <f t="shared" si="3"/>
        <v>3.0554201202665367E-2</v>
      </c>
      <c r="J16" s="43">
        <f t="shared" si="1"/>
        <v>0</v>
      </c>
      <c r="K16" s="44" cm="1">
        <f t="array" ref="K16">IF(D16="Gadget",_xlfn.IFS(I16&gt;=0.2,0.5,I16&gt;=0.1,0.35,I16&gt;=0.05,0.2,TRUE,0),IF(D16="Grenade",_xlfn.IFS(I16&gt;=0.2,1,I16&gt;=0.1,0.7,I16&gt;=0.05,0.4,TRUE,0),0))</f>
        <v>0</v>
      </c>
      <c r="L16" s="57">
        <f t="shared" si="5"/>
        <v>0</v>
      </c>
    </row>
    <row r="17" spans="1:12" ht="15" customHeight="1" x14ac:dyDescent="0.25">
      <c r="A17" s="42" t="str" cm="1">
        <f t="array" ref="A17">IFERROR(INDEX(_xlfn._xlws.FILTER(Class_Players!A:A,Class_Players!B:B="Engineer"),QUOTIENT(ROW()-ROW($A$2),12)+1),"")</f>
        <v>Samyt4040</v>
      </c>
      <c r="B17" s="42" t="str">
        <f>_xlfn.XLOOKUP(A17,Class_Players!$A:$A,Class_Players!$B:$B,"")</f>
        <v>Engineer</v>
      </c>
      <c r="C17" s="38" t="str" cm="1">
        <f t="array" ref="C17">INDEX(Lookups!$B$2:$B$13,MOD(ROW()-ROW($B$2),ROWS(Lookups!$B$2:$B$13))+1)</f>
        <v>MAS 148 (Long-Range Launcher)</v>
      </c>
      <c r="D17" s="38" t="str">
        <f>_xlfn.XLOOKUP(C17,Analysis_Gadgets!$C:$C,Analysis_Gadgets!$B:$B)</f>
        <v>Gadget</v>
      </c>
      <c r="E17" s="43">
        <v>19</v>
      </c>
      <c r="F17" s="43">
        <f>_xlfn.XLOOKUP(A17,Class_Players!A:A,Class_Players!G:G)</f>
        <v>145</v>
      </c>
      <c r="G17" s="43">
        <f t="shared" si="4"/>
        <v>0.1310344827586207</v>
      </c>
      <c r="H17" s="43">
        <f>_xlfn.XLOOKUP(A17,Class_Players!$A:$A,Class_Players!$F:$F,"")</f>
        <v>18459</v>
      </c>
      <c r="I17" s="44">
        <f t="shared" ref="I17:I80" si="6">IF(H17=0,"",E17/H17)</f>
        <v>1.0293081965436915E-3</v>
      </c>
      <c r="J17" s="43">
        <f t="shared" si="1"/>
        <v>0</v>
      </c>
      <c r="K17" s="44" cm="1">
        <f t="array" ref="K17">IF(D17="Gadget",_xlfn.IFS(I17&gt;=0.2,0.5,I17&gt;=0.1,0.35,I17&gt;=0.05,0.2,TRUE,0),IF(D17="Grenade",_xlfn.IFS(I17&gt;=0.2,1,I17&gt;=0.1,0.7,I17&gt;=0.05,0.4,TRUE,0),0))</f>
        <v>0</v>
      </c>
      <c r="L17" s="57">
        <f t="shared" si="5"/>
        <v>0</v>
      </c>
    </row>
    <row r="18" spans="1:12" ht="15" customHeight="1" x14ac:dyDescent="0.25">
      <c r="A18" s="42" t="str" cm="1">
        <f t="array" ref="A18">IFERROR(INDEX(_xlfn._xlws.FILTER(Class_Players!A:A,Class_Players!B:B="Engineer"),QUOTIENT(ROW()-ROW($A$2),12)+1),"")</f>
        <v>Samyt4040</v>
      </c>
      <c r="B18" s="42" t="str">
        <f>_xlfn.XLOOKUP(A18,Class_Players!$A:$A,Class_Players!$B:$B,"")</f>
        <v>Engineer</v>
      </c>
      <c r="C18" s="38" t="str" cm="1">
        <f t="array" ref="C18">INDEX(Lookups!$B$2:$B$13,MOD(ROW()-ROW($B$2),ROWS(Lookups!$B$2:$B$13))+1)</f>
        <v>M136 AT (Aim-Guided Launcher)</v>
      </c>
      <c r="D18" s="38" t="str">
        <f>_xlfn.XLOOKUP(C18,Analysis_Gadgets!$C:$C,Analysis_Gadgets!$B:$B)</f>
        <v>Gadget</v>
      </c>
      <c r="E18" s="43">
        <v>3</v>
      </c>
      <c r="F18" s="43">
        <f>_xlfn.XLOOKUP(A18,Class_Players!A:A,Class_Players!G:G)</f>
        <v>145</v>
      </c>
      <c r="G18" s="43">
        <f t="shared" si="4"/>
        <v>2.0689655172413793E-2</v>
      </c>
      <c r="H18" s="43">
        <f>_xlfn.XLOOKUP(A18,Class_Players!$A:$A,Class_Players!$F:$F,"")</f>
        <v>18459</v>
      </c>
      <c r="I18" s="44">
        <f t="shared" si="6"/>
        <v>1.6252234682268812E-4</v>
      </c>
      <c r="J18" s="43">
        <f t="shared" si="1"/>
        <v>0</v>
      </c>
      <c r="K18" s="44" cm="1">
        <f t="array" ref="K18">IF(D18="Gadget",_xlfn.IFS(I18&gt;=0.2,0.5,I18&gt;=0.1,0.35,I18&gt;=0.05,0.2,TRUE,0),IF(D18="Grenade",_xlfn.IFS(I18&gt;=0.2,1,I18&gt;=0.1,0.7,I18&gt;=0.05,0.4,TRUE,0),0))</f>
        <v>0</v>
      </c>
      <c r="L18" s="57">
        <f t="shared" si="5"/>
        <v>0</v>
      </c>
    </row>
    <row r="19" spans="1:12" ht="15" customHeight="1" x14ac:dyDescent="0.25">
      <c r="A19" s="42" t="str" cm="1">
        <f t="array" ref="A19">IFERROR(INDEX(_xlfn._xlws.FILTER(Class_Players!A:A,Class_Players!B:B="Engineer"),QUOTIENT(ROW()-ROW($A$2),12)+1),"")</f>
        <v>Samyt4040</v>
      </c>
      <c r="B19" s="42" t="str">
        <f>_xlfn.XLOOKUP(A19,Class_Players!$A:$A,Class_Players!$B:$B,"")</f>
        <v>Engineer</v>
      </c>
      <c r="C19" s="38" t="str" cm="1">
        <f t="array" ref="C19">INDEX(Lookups!$B$2:$B$13,MOD(ROW()-ROW($B$2),ROWS(Lookups!$B$2:$B$13))+1)</f>
        <v>Supply Crate</v>
      </c>
      <c r="D19" s="38" t="str">
        <f>_xlfn.XLOOKUP(C19,Analysis_Gadgets!$C:$C,Analysis_Gadgets!$B:$B)</f>
        <v>Gadget</v>
      </c>
      <c r="E19" s="43">
        <v>12</v>
      </c>
      <c r="F19" s="43">
        <f>_xlfn.XLOOKUP(A19,Class_Players!A:A,Class_Players!G:G)</f>
        <v>145</v>
      </c>
      <c r="G19" s="43">
        <f t="shared" si="4"/>
        <v>8.2758620689655171E-2</v>
      </c>
      <c r="H19" s="43">
        <f>_xlfn.XLOOKUP(A19,Class_Players!$A:$A,Class_Players!$F:$F,"")</f>
        <v>18459</v>
      </c>
      <c r="I19" s="44">
        <f t="shared" si="6"/>
        <v>6.5008938729075249E-4</v>
      </c>
      <c r="J19" s="43">
        <f t="shared" si="1"/>
        <v>0</v>
      </c>
      <c r="K19" s="44" cm="1">
        <f t="array" ref="K19">IF(D19="Gadget",_xlfn.IFS(I19&gt;=0.2,0.5,I19&gt;=0.1,0.35,I19&gt;=0.05,0.2,TRUE,0),IF(D19="Grenade",_xlfn.IFS(I19&gt;=0.2,1,I19&gt;=0.1,0.7,I19&gt;=0.05,0.4,TRUE,0),0))</f>
        <v>0</v>
      </c>
      <c r="L19" s="57">
        <f t="shared" si="5"/>
        <v>0</v>
      </c>
    </row>
    <row r="20" spans="1:12" ht="15" customHeight="1" x14ac:dyDescent="0.25">
      <c r="A20" s="42" t="str" cm="1">
        <f t="array" ref="A20">IFERROR(INDEX(_xlfn._xlws.FILTER(Class_Players!A:A,Class_Players!B:B="Engineer"),QUOTIENT(ROW()-ROW($A$2),12)+1),"")</f>
        <v>Samyt4040</v>
      </c>
      <c r="B20" s="42" t="str">
        <f>_xlfn.XLOOKUP(A20,Class_Players!$A:$A,Class_Players!$B:$B,"")</f>
        <v>Engineer</v>
      </c>
      <c r="C20" s="38" t="str" cm="1">
        <f t="array" ref="C20">INDEX(Lookups!$B$2:$B$13,MOD(ROW()-ROW($B$2),ROWS(Lookups!$B$2:$B$13))+1)</f>
        <v>M15 (Anti-Vehicle Mine)</v>
      </c>
      <c r="D20" s="38" t="str">
        <f>_xlfn.XLOOKUP(C20,Analysis_Gadgets!$C:$C,Analysis_Gadgets!$B:$B)</f>
        <v>Gadget</v>
      </c>
      <c r="E20" s="43">
        <v>1034</v>
      </c>
      <c r="F20" s="43">
        <f>_xlfn.XLOOKUP(A20,Class_Players!A:A,Class_Players!G:G)</f>
        <v>145</v>
      </c>
      <c r="G20" s="43">
        <f t="shared" si="4"/>
        <v>7.1310344827586203</v>
      </c>
      <c r="H20" s="43">
        <f>_xlfn.XLOOKUP(A20,Class_Players!$A:$A,Class_Players!$F:$F,"")</f>
        <v>18459</v>
      </c>
      <c r="I20" s="44">
        <f t="shared" si="6"/>
        <v>5.6016035538219835E-2</v>
      </c>
      <c r="J20" s="43">
        <f t="shared" si="1"/>
        <v>0</v>
      </c>
      <c r="K20" s="44" cm="1">
        <f t="array" ref="K20">IF(D20="Gadget",_xlfn.IFS(I20&gt;=0.2,0.5,I20&gt;=0.1,0.35,I20&gt;=0.05,0.2,TRUE,0),IF(D20="Grenade",_xlfn.IFS(I20&gt;=0.2,1,I20&gt;=0.1,0.7,I20&gt;=0.05,0.4,TRUE,0),0))</f>
        <v>0.2</v>
      </c>
      <c r="L20" s="57">
        <f t="shared" si="5"/>
        <v>1</v>
      </c>
    </row>
    <row r="21" spans="1:12" ht="15" customHeight="1" x14ac:dyDescent="0.25">
      <c r="A21" s="42" t="str" cm="1">
        <f t="array" ref="A21">IFERROR(INDEX(_xlfn._xlws.FILTER(Class_Players!A:A,Class_Players!B:B="Engineer"),QUOTIENT(ROW()-ROW($A$2),12)+1),"")</f>
        <v>Samyt4040</v>
      </c>
      <c r="B21" s="42" t="str">
        <f>_xlfn.XLOOKUP(A21,Class_Players!$A:$A,Class_Players!$B:$B,"")</f>
        <v>Engineer</v>
      </c>
      <c r="C21" s="38" t="str" cm="1">
        <f t="array" ref="C21">INDEX(Lookups!$B$2:$B$13,MOD(ROW()-ROW($B$2),ROWS(Lookups!$B$2:$B$13))+1)</f>
        <v>PTKM-1R (Acoustic Sensor AV Mine)</v>
      </c>
      <c r="D21" s="38" t="str">
        <f>_xlfn.XLOOKUP(C21,Analysis_Gadgets!$C:$C,Analysis_Gadgets!$B:$B)</f>
        <v>Gadget</v>
      </c>
      <c r="E21" s="43">
        <v>10</v>
      </c>
      <c r="F21" s="43">
        <f>_xlfn.XLOOKUP(A21,Class_Players!A:A,Class_Players!G:G)</f>
        <v>145</v>
      </c>
      <c r="G21" s="43">
        <f t="shared" si="4"/>
        <v>6.8965517241379309E-2</v>
      </c>
      <c r="H21" s="43">
        <f>_xlfn.XLOOKUP(A21,Class_Players!$A:$A,Class_Players!$F:$F,"")</f>
        <v>18459</v>
      </c>
      <c r="I21" s="44">
        <f t="shared" si="6"/>
        <v>5.4174115607562702E-4</v>
      </c>
      <c r="J21" s="43">
        <f t="shared" si="1"/>
        <v>0</v>
      </c>
      <c r="K21" s="44" cm="1">
        <f t="array" ref="K21">IF(D21="Gadget",_xlfn.IFS(I21&gt;=0.2,0.5,I21&gt;=0.1,0.35,I21&gt;=0.05,0.2,TRUE,0),IF(D21="Grenade",_xlfn.IFS(I21&gt;=0.2,1,I21&gt;=0.1,0.7,I21&gt;=0.05,0.4,TRUE,0),0))</f>
        <v>0</v>
      </c>
      <c r="L21" s="57">
        <f t="shared" si="5"/>
        <v>0</v>
      </c>
    </row>
    <row r="22" spans="1:12" ht="15" customHeight="1" x14ac:dyDescent="0.25">
      <c r="A22" s="42" t="str" cm="1">
        <f t="array" ref="A22">IFERROR(INDEX(_xlfn._xlws.FILTER(Class_Players!A:A,Class_Players!B:B="Engineer"),QUOTIENT(ROW()-ROW($A$2),12)+1),"")</f>
        <v>Samyt4040</v>
      </c>
      <c r="B22" s="42" t="str">
        <f>_xlfn.XLOOKUP(A22,Class_Players!$A:$A,Class_Players!$B:$B,"")</f>
        <v>Engineer</v>
      </c>
      <c r="C22" s="38" t="str" cm="1">
        <f t="array" ref="C22">INDEX(Lookups!$B$2:$B$13,MOD(ROW()-ROW($B$2),ROWS(Lookups!$B$2:$B$13))+1)</f>
        <v>EOD Bot</v>
      </c>
      <c r="D22" s="38" t="str">
        <f>_xlfn.XLOOKUP(C22,Analysis_Gadgets!$C:$C,Analysis_Gadgets!$B:$B)</f>
        <v>Gadget</v>
      </c>
      <c r="E22" s="43">
        <v>0</v>
      </c>
      <c r="F22" s="43">
        <f>_xlfn.XLOOKUP(A22,Class_Players!A:A,Class_Players!G:G)</f>
        <v>145</v>
      </c>
      <c r="G22" s="43">
        <f t="shared" si="4"/>
        <v>0</v>
      </c>
      <c r="H22" s="43">
        <f>_xlfn.XLOOKUP(A22,Class_Players!$A:$A,Class_Players!$F:$F,"")</f>
        <v>18459</v>
      </c>
      <c r="I22" s="44">
        <f t="shared" si="6"/>
        <v>0</v>
      </c>
      <c r="J22" s="43">
        <f t="shared" si="1"/>
        <v>0</v>
      </c>
      <c r="K22" s="44" cm="1">
        <f t="array" ref="K22">IF(D22="Gadget",_xlfn.IFS(I22&gt;=0.2,0.5,I22&gt;=0.1,0.35,I22&gt;=0.05,0.2,TRUE,0),IF(D22="Grenade",_xlfn.IFS(I22&gt;=0.2,1,I22&gt;=0.1,0.7,I22&gt;=0.05,0.4,TRUE,0),0))</f>
        <v>0</v>
      </c>
      <c r="L22" s="57">
        <f t="shared" si="5"/>
        <v>0</v>
      </c>
    </row>
    <row r="23" spans="1:12" ht="15" customHeight="1" x14ac:dyDescent="0.25">
      <c r="A23" s="42" t="str" cm="1">
        <f t="array" ref="A23">IFERROR(INDEX(_xlfn._xlws.FILTER(Class_Players!A:A,Class_Players!B:B="Engineer"),QUOTIENT(ROW()-ROW($A$2),12)+1),"")</f>
        <v>Samyt4040</v>
      </c>
      <c r="B23" s="42" t="str">
        <f>_xlfn.XLOOKUP(A23,Class_Players!$A:$A,Class_Players!$B:$B,"")</f>
        <v>Engineer</v>
      </c>
      <c r="C23" s="38" t="str" cm="1">
        <f t="array" ref="C23">INDEX(Lookups!$B$2:$B$13,MOD(ROW()-ROW($B$2),ROWS(Lookups!$B$2:$B$13))+1)</f>
        <v>M4A1 SLAM (Tripwire Sensor AV Mine)</v>
      </c>
      <c r="D23" s="38" t="str">
        <f>_xlfn.XLOOKUP(C23,Analysis_Gadgets!$C:$C,Analysis_Gadgets!$B:$B)</f>
        <v>Gadget</v>
      </c>
      <c r="E23" s="43">
        <v>0</v>
      </c>
      <c r="F23" s="43">
        <f>_xlfn.XLOOKUP(A23,Class_Players!A:A,Class_Players!G:G)</f>
        <v>145</v>
      </c>
      <c r="G23" s="43">
        <f t="shared" si="4"/>
        <v>0</v>
      </c>
      <c r="H23" s="43">
        <f>_xlfn.XLOOKUP(A23,Class_Players!$A:$A,Class_Players!$F:$F,"")</f>
        <v>18459</v>
      </c>
      <c r="I23" s="44">
        <f t="shared" si="6"/>
        <v>0</v>
      </c>
      <c r="J23" s="43">
        <f t="shared" si="1"/>
        <v>0</v>
      </c>
      <c r="K23" s="44" cm="1">
        <f t="array" ref="K23">IF(D23="Gadget",_xlfn.IFS(I23&gt;=0.2,0.5,I23&gt;=0.1,0.35,I23&gt;=0.05,0.2,TRUE,0),IF(D23="Grenade",_xlfn.IFS(I23&gt;=0.2,1,I23&gt;=0.1,0.7,I23&gt;=0.05,0.4,TRUE,0),0))</f>
        <v>0</v>
      </c>
      <c r="L23" s="57">
        <f t="shared" si="5"/>
        <v>0</v>
      </c>
    </row>
    <row r="24" spans="1:12" ht="15" customHeight="1" x14ac:dyDescent="0.25">
      <c r="A24" s="42" t="str" cm="1">
        <f t="array" ref="A24">IFERROR(INDEX(_xlfn._xlws.FILTER(Class_Players!A:A,Class_Players!B:B="Engineer"),QUOTIENT(ROW()-ROW($A$2),12)+1),"")</f>
        <v>Samyt4040</v>
      </c>
      <c r="B24" s="42" t="str">
        <f>_xlfn.XLOOKUP(A24,Class_Players!$A:$A,Class_Players!$B:$B,"")</f>
        <v>Engineer</v>
      </c>
      <c r="C24" s="38" t="str" cm="1">
        <f t="array" ref="C24">INDEX(Lookups!$B$2:$B$13,MOD(ROW()-ROW($B$2),ROWS(Lookups!$B$2:$B$13))+1)</f>
        <v>Mini Frag Grenade</v>
      </c>
      <c r="D24" s="38" t="str">
        <f>_xlfn.XLOOKUP(C24,Analysis_Gadgets!$C:$C,Analysis_Gadgets!$B:$B)</f>
        <v>Grenade</v>
      </c>
      <c r="E24" s="43">
        <v>3</v>
      </c>
      <c r="F24" s="43">
        <f>_xlfn.XLOOKUP(A24,Class_Players!A:A,Class_Players!G:G)</f>
        <v>145</v>
      </c>
      <c r="G24" s="43">
        <f t="shared" si="4"/>
        <v>2.0689655172413793E-2</v>
      </c>
      <c r="H24" s="43">
        <f>_xlfn.XLOOKUP(A24,Class_Players!$A:$A,Class_Players!$F:$F,"")</f>
        <v>18459</v>
      </c>
      <c r="I24" s="44">
        <f t="shared" si="6"/>
        <v>1.6252234682268812E-4</v>
      </c>
      <c r="J24" s="43">
        <f t="shared" si="1"/>
        <v>0</v>
      </c>
      <c r="K24" s="44" cm="1">
        <f t="array" ref="K24">IF(D24="Gadget",_xlfn.IFS(I24&gt;=0.2,0.5,I24&gt;=0.1,0.35,I24&gt;=0.05,0.2,TRUE,0),IF(D24="Grenade",_xlfn.IFS(I24&gt;=0.2,1,I24&gt;=0.1,0.7,I24&gt;=0.05,0.4,TRUE,0),0))</f>
        <v>0</v>
      </c>
      <c r="L24" s="57">
        <f>IF($K24=0,0,$K24 / SUMIFS($K:$K,$A:$A,$A24,$D:$D,"Grenade"))</f>
        <v>0</v>
      </c>
    </row>
    <row r="25" spans="1:12" ht="15" customHeight="1" x14ac:dyDescent="0.25">
      <c r="A25" s="42" t="str" cm="1">
        <f t="array" ref="A25">IFERROR(INDEX(_xlfn._xlws.FILTER(Class_Players!A:A,Class_Players!B:B="Engineer"),QUOTIENT(ROW()-ROW($A$2),12)+1),"")</f>
        <v>Samyt4040</v>
      </c>
      <c r="B25" s="42" t="str">
        <f>_xlfn.XLOOKUP(A25,Class_Players!$A:$A,Class_Players!$B:$B,"")</f>
        <v>Engineer</v>
      </c>
      <c r="C25" s="38" t="str" cm="1">
        <f t="array" ref="C25">INDEX(Lookups!$B$2:$B$13,MOD(ROW()-ROW($B$2),ROWS(Lookups!$B$2:$B$13))+1)</f>
        <v>Anti-Vehicle Grenade</v>
      </c>
      <c r="D25" s="38" t="str">
        <f>_xlfn.XLOOKUP(C25,Analysis_Gadgets!$C:$C,Analysis_Gadgets!$B:$B)</f>
        <v>Grenade</v>
      </c>
      <c r="E25" s="43">
        <v>0</v>
      </c>
      <c r="F25" s="43">
        <f>_xlfn.XLOOKUP(A25,Class_Players!A:A,Class_Players!G:G)</f>
        <v>145</v>
      </c>
      <c r="G25" s="43">
        <f t="shared" si="4"/>
        <v>0</v>
      </c>
      <c r="H25" s="43">
        <f>_xlfn.XLOOKUP(A25,Class_Players!$A:$A,Class_Players!$F:$F,"")</f>
        <v>18459</v>
      </c>
      <c r="I25" s="44">
        <f t="shared" si="6"/>
        <v>0</v>
      </c>
      <c r="J25" s="43">
        <f t="shared" si="1"/>
        <v>0</v>
      </c>
      <c r="K25" s="44" cm="1">
        <f t="array" ref="K25">IF(D25="Gadget",_xlfn.IFS(I25&gt;=0.2,0.5,I25&gt;=0.1,0.35,I25&gt;=0.05,0.2,TRUE,0),IF(D25="Grenade",_xlfn.IFS(I25&gt;=0.2,1,I25&gt;=0.1,0.7,I25&gt;=0.05,0.4,TRUE,0),0))</f>
        <v>0</v>
      </c>
      <c r="L25" s="57">
        <f>IF($K25=0,0,$K25 / SUMIFS($K:$K,$A:$A,$A25,$D:$D,"Grenade"))</f>
        <v>0</v>
      </c>
    </row>
    <row r="26" spans="1:12" x14ac:dyDescent="0.25">
      <c r="A26" s="42" t="str" cm="1">
        <f t="array" ref="A26">IFERROR(INDEX(_xlfn._xlws.FILTER(Class_Players!A:A,Class_Players!B:B="Engineer"),QUOTIENT(ROW()-ROW($A$2),12)+1),"")</f>
        <v>Dc-Duck</v>
      </c>
      <c r="B26" s="42" t="str">
        <f>_xlfn.XLOOKUP(A26,Class_Players!$A:$A,Class_Players!$B:$B,"")</f>
        <v>Engineer</v>
      </c>
      <c r="C26" s="42" t="str" cm="1">
        <f t="array" ref="C26">INDEX(Lookups!$B$2:$B$13,MOD(ROW()-ROW($B$2),ROWS(Lookups!$B$2:$B$13))+1)</f>
        <v>MBT-LAW (Auto-Guided Launcher)</v>
      </c>
      <c r="D26" s="38" t="str">
        <f>_xlfn.XLOOKUP(C26,Analysis_Gadgets!$C:$C,Analysis_Gadgets!$B:$B)</f>
        <v>Gadget</v>
      </c>
      <c r="E26" s="43">
        <v>0</v>
      </c>
      <c r="F26" s="43">
        <f>_xlfn.XLOOKUP(A26,Class_Players!A:A,Class_Players!G:G)</f>
        <v>399</v>
      </c>
      <c r="G26" s="43">
        <f t="shared" si="4"/>
        <v>0</v>
      </c>
      <c r="H26" s="43">
        <f>_xlfn.XLOOKUP(A26,Class_Players!$A:$A,Class_Players!$F:$F,"")</f>
        <v>16655</v>
      </c>
      <c r="I26" s="44">
        <f t="shared" si="6"/>
        <v>0</v>
      </c>
      <c r="J26" s="43">
        <f t="shared" si="1"/>
        <v>0</v>
      </c>
      <c r="K26" s="44" cm="1">
        <f t="array" ref="K26">IF(D26="Gadget",_xlfn.IFS(I26&gt;=0.2,0.5,I26&gt;=0.1,0.35,I26&gt;=0.05,0.2,TRUE,0),IF(D26="Grenade",_xlfn.IFS(I26&gt;=0.2,1,I26&gt;=0.1,0.7,I26&gt;=0.05,0.4,TRUE,0),0))</f>
        <v>0</v>
      </c>
      <c r="L26" s="57">
        <f t="shared" ref="L26:L35" si="7">IF($K26=0,0,$K26 / SUMIFS($K:$K,$A:$A,$A26,$D:$D,"Gadget"))</f>
        <v>0</v>
      </c>
    </row>
    <row r="27" spans="1:12" x14ac:dyDescent="0.25">
      <c r="A27" s="42" t="str" cm="1">
        <f t="array" ref="A27">IFERROR(INDEX(_xlfn._xlws.FILTER(Class_Players!A:A,Class_Players!B:B="Engineer"),QUOTIENT(ROW()-ROW($A$2),12)+1),"")</f>
        <v>Dc-Duck</v>
      </c>
      <c r="B27" s="42" t="str">
        <f>_xlfn.XLOOKUP(A27,Class_Players!$A:$A,Class_Players!$B:$B,"")</f>
        <v>Engineer</v>
      </c>
      <c r="C27" s="42" t="str" cm="1">
        <f t="array" ref="C27">INDEX(Lookups!$B$2:$B$13,MOD(ROW()-ROW($B$2),ROWS(Lookups!$B$2:$B$13))+1)</f>
        <v>SLM-93A (Air-Defense Launcher)</v>
      </c>
      <c r="D27" s="38" t="str">
        <f>_xlfn.XLOOKUP(C27,Analysis_Gadgets!$C:$C,Analysis_Gadgets!$B:$B)</f>
        <v>Gadget</v>
      </c>
      <c r="E27" s="43">
        <v>0</v>
      </c>
      <c r="F27" s="43">
        <f>_xlfn.XLOOKUP(A27,Class_Players!A:A,Class_Players!G:G)</f>
        <v>399</v>
      </c>
      <c r="G27" s="43">
        <f t="shared" si="4"/>
        <v>0</v>
      </c>
      <c r="H27" s="43">
        <f>_xlfn.XLOOKUP(A27,Class_Players!$A:$A,Class_Players!$F:$F,"")</f>
        <v>16655</v>
      </c>
      <c r="I27" s="44">
        <f t="shared" si="6"/>
        <v>0</v>
      </c>
      <c r="J27" s="43">
        <f t="shared" si="1"/>
        <v>0</v>
      </c>
      <c r="K27" s="44" cm="1">
        <f t="array" ref="K27">IF(D27="Gadget",_xlfn.IFS(I27&gt;=0.2,0.5,I27&gt;=0.1,0.35,I27&gt;=0.05,0.2,TRUE,0),IF(D27="Grenade",_xlfn.IFS(I27&gt;=0.2,1,I27&gt;=0.1,0.7,I27&gt;=0.05,0.4,TRUE,0),0))</f>
        <v>0</v>
      </c>
      <c r="L27" s="57">
        <f t="shared" si="7"/>
        <v>0</v>
      </c>
    </row>
    <row r="28" spans="1:12" x14ac:dyDescent="0.25">
      <c r="A28" s="42" t="str" cm="1">
        <f t="array" ref="A28">IFERROR(INDEX(_xlfn._xlws.FILTER(Class_Players!A:A,Class_Players!B:B="Engineer"),QUOTIENT(ROW()-ROW($A$2),12)+1),"")</f>
        <v>Dc-Duck</v>
      </c>
      <c r="B28" s="42" t="str">
        <f>_xlfn.XLOOKUP(A28,Class_Players!$A:$A,Class_Players!$B:$B,"")</f>
        <v>Engineer</v>
      </c>
      <c r="C28" s="42" t="str" cm="1">
        <f t="array" ref="C28">INDEX(Lookups!$B$2:$B$13,MOD(ROW()-ROW($B$2),ROWS(Lookups!$B$2:$B$13))+1)</f>
        <v>RPG-7V2 (Unguided Rocket Launcher)</v>
      </c>
      <c r="D28" s="38" t="str">
        <f>_xlfn.XLOOKUP(C28,Analysis_Gadgets!$C:$C,Analysis_Gadgets!$B:$B)</f>
        <v>Gadget</v>
      </c>
      <c r="E28" s="43">
        <v>16367</v>
      </c>
      <c r="F28" s="43">
        <f>_xlfn.XLOOKUP(A28,Class_Players!A:A,Class_Players!G:G)</f>
        <v>399</v>
      </c>
      <c r="G28" s="43">
        <f t="shared" si="4"/>
        <v>41.020050125313283</v>
      </c>
      <c r="H28" s="43">
        <f>_xlfn.XLOOKUP(A28,Class_Players!$A:$A,Class_Players!$F:$F,"")</f>
        <v>16655</v>
      </c>
      <c r="I28" s="44">
        <f t="shared" si="6"/>
        <v>0.98270789552686877</v>
      </c>
      <c r="J28" s="43">
        <f t="shared" si="1"/>
        <v>1</v>
      </c>
      <c r="K28" s="44" cm="1">
        <f t="array" ref="K28">IF(D28="Gadget",_xlfn.IFS(I28&gt;=0.2,0.5,I28&gt;=0.1,0.35,I28&gt;=0.05,0.2,TRUE,0),IF(D28="Grenade",_xlfn.IFS(I28&gt;=0.2,1,I28&gt;=0.1,0.7,I28&gt;=0.05,0.4,TRUE,0),0))</f>
        <v>0.5</v>
      </c>
      <c r="L28" s="57">
        <f t="shared" si="7"/>
        <v>0.5</v>
      </c>
    </row>
    <row r="29" spans="1:12" x14ac:dyDescent="0.25">
      <c r="A29" s="42" t="str" cm="1">
        <f t="array" ref="A29">IFERROR(INDEX(_xlfn._xlws.FILTER(Class_Players!A:A,Class_Players!B:B="Engineer"),QUOTIENT(ROW()-ROW($A$2),12)+1),"")</f>
        <v>Dc-Duck</v>
      </c>
      <c r="B29" s="42" t="str">
        <f>_xlfn.XLOOKUP(A29,Class_Players!$A:$A,Class_Players!$B:$B,"")</f>
        <v>Engineer</v>
      </c>
      <c r="C29" s="42" t="str" cm="1">
        <f t="array" ref="C29">INDEX(Lookups!$B$2:$B$13,MOD(ROW()-ROW($B$2),ROWS(Lookups!$B$2:$B$13))+1)</f>
        <v>MAS 148 (Long-Range Launcher)</v>
      </c>
      <c r="D29" s="38" t="str">
        <f>_xlfn.XLOOKUP(C29,Analysis_Gadgets!$C:$C,Analysis_Gadgets!$B:$B)</f>
        <v>Gadget</v>
      </c>
      <c r="E29" s="43">
        <v>0</v>
      </c>
      <c r="F29" s="43">
        <f>_xlfn.XLOOKUP(A29,Class_Players!A:A,Class_Players!G:G)</f>
        <v>399</v>
      </c>
      <c r="G29" s="43">
        <f t="shared" si="4"/>
        <v>0</v>
      </c>
      <c r="H29" s="43">
        <f>_xlfn.XLOOKUP(A29,Class_Players!$A:$A,Class_Players!$F:$F,"")</f>
        <v>16655</v>
      </c>
      <c r="I29" s="44">
        <f t="shared" si="6"/>
        <v>0</v>
      </c>
      <c r="J29" s="43">
        <f t="shared" si="1"/>
        <v>0</v>
      </c>
      <c r="K29" s="44" cm="1">
        <f t="array" ref="K29">IF(D29="Gadget",_xlfn.IFS(I29&gt;=0.2,0.5,I29&gt;=0.1,0.35,I29&gt;=0.05,0.2,TRUE,0),IF(D29="Grenade",_xlfn.IFS(I29&gt;=0.2,1,I29&gt;=0.1,0.7,I29&gt;=0.05,0.4,TRUE,0),0))</f>
        <v>0</v>
      </c>
      <c r="L29" s="57">
        <f t="shared" si="7"/>
        <v>0</v>
      </c>
    </row>
    <row r="30" spans="1:12" x14ac:dyDescent="0.25">
      <c r="A30" s="42" t="str" cm="1">
        <f t="array" ref="A30">IFERROR(INDEX(_xlfn._xlws.FILTER(Class_Players!A:A,Class_Players!B:B="Engineer"),QUOTIENT(ROW()-ROW($A$2),12)+1),"")</f>
        <v>Dc-Duck</v>
      </c>
      <c r="B30" s="42" t="str">
        <f>_xlfn.XLOOKUP(A30,Class_Players!$A:$A,Class_Players!$B:$B,"")</f>
        <v>Engineer</v>
      </c>
      <c r="C30" s="42" t="str" cm="1">
        <f t="array" ref="C30">INDEX(Lookups!$B$2:$B$13,MOD(ROW()-ROW($B$2),ROWS(Lookups!$B$2:$B$13))+1)</f>
        <v>M136 AT (Aim-Guided Launcher)</v>
      </c>
      <c r="D30" s="38" t="str">
        <f>_xlfn.XLOOKUP(C30,Analysis_Gadgets!$C:$C,Analysis_Gadgets!$B:$B)</f>
        <v>Gadget</v>
      </c>
      <c r="E30" s="43">
        <v>3</v>
      </c>
      <c r="F30" s="43">
        <f>_xlfn.XLOOKUP(A30,Class_Players!A:A,Class_Players!G:G)</f>
        <v>399</v>
      </c>
      <c r="G30" s="43">
        <f t="shared" si="4"/>
        <v>7.5187969924812026E-3</v>
      </c>
      <c r="H30" s="43">
        <f>_xlfn.XLOOKUP(A30,Class_Players!$A:$A,Class_Players!$F:$F,"")</f>
        <v>16655</v>
      </c>
      <c r="I30" s="44">
        <f t="shared" si="6"/>
        <v>1.8012608826178326E-4</v>
      </c>
      <c r="J30" s="43">
        <f t="shared" si="1"/>
        <v>0</v>
      </c>
      <c r="K30" s="44" cm="1">
        <f t="array" ref="K30">IF(D30="Gadget",_xlfn.IFS(I30&gt;=0.2,0.5,I30&gt;=0.1,0.35,I30&gt;=0.05,0.2,TRUE,0),IF(D30="Grenade",_xlfn.IFS(I30&gt;=0.2,1,I30&gt;=0.1,0.7,I30&gt;=0.05,0.4,TRUE,0),0))</f>
        <v>0</v>
      </c>
      <c r="L30" s="57">
        <f t="shared" si="7"/>
        <v>0</v>
      </c>
    </row>
    <row r="31" spans="1:12" x14ac:dyDescent="0.25">
      <c r="A31" s="42" t="str" cm="1">
        <f t="array" ref="A31">IFERROR(INDEX(_xlfn._xlws.FILTER(Class_Players!A:A,Class_Players!B:B="Engineer"),QUOTIENT(ROW()-ROW($A$2),12)+1),"")</f>
        <v>Dc-Duck</v>
      </c>
      <c r="B31" s="42" t="str">
        <f>_xlfn.XLOOKUP(A31,Class_Players!$A:$A,Class_Players!$B:$B,"")</f>
        <v>Engineer</v>
      </c>
      <c r="C31" s="42" t="str" cm="1">
        <f t="array" ref="C31">INDEX(Lookups!$B$2:$B$13,MOD(ROW()-ROW($B$2),ROWS(Lookups!$B$2:$B$13))+1)</f>
        <v>Supply Crate</v>
      </c>
      <c r="D31" s="38" t="str">
        <f>_xlfn.XLOOKUP(C31,Analysis_Gadgets!$C:$C,Analysis_Gadgets!$B:$B)</f>
        <v>Gadget</v>
      </c>
      <c r="E31" s="43">
        <v>17</v>
      </c>
      <c r="F31" s="43">
        <f>_xlfn.XLOOKUP(A31,Class_Players!A:A,Class_Players!G:G)</f>
        <v>399</v>
      </c>
      <c r="G31" s="43">
        <f t="shared" si="4"/>
        <v>4.2606516290726815E-2</v>
      </c>
      <c r="H31" s="43">
        <f>_xlfn.XLOOKUP(A31,Class_Players!$A:$A,Class_Players!$F:$F,"")</f>
        <v>16655</v>
      </c>
      <c r="I31" s="44">
        <f t="shared" si="6"/>
        <v>1.020714500150105E-3</v>
      </c>
      <c r="J31" s="43">
        <f t="shared" si="1"/>
        <v>0</v>
      </c>
      <c r="K31" s="44" cm="1">
        <f t="array" ref="K31">IF(D31="Gadget",_xlfn.IFS(I31&gt;=0.2,0.5,I31&gt;=0.1,0.35,I31&gt;=0.05,0.2,TRUE,0),IF(D31="Grenade",_xlfn.IFS(I31&gt;=0.2,1,I31&gt;=0.1,0.7,I31&gt;=0.05,0.4,TRUE,0),0))</f>
        <v>0</v>
      </c>
      <c r="L31" s="57">
        <f t="shared" si="7"/>
        <v>0</v>
      </c>
    </row>
    <row r="32" spans="1:12" x14ac:dyDescent="0.25">
      <c r="A32" s="42" t="str" cm="1">
        <f t="array" ref="A32">IFERROR(INDEX(_xlfn._xlws.FILTER(Class_Players!A:A,Class_Players!B:B="Engineer"),QUOTIENT(ROW()-ROW($A$2),12)+1),"")</f>
        <v>Dc-Duck</v>
      </c>
      <c r="B32" s="42" t="str">
        <f>_xlfn.XLOOKUP(A32,Class_Players!$A:$A,Class_Players!$B:$B,"")</f>
        <v>Engineer</v>
      </c>
      <c r="C32" s="42" t="str" cm="1">
        <f t="array" ref="C32">INDEX(Lookups!$B$2:$B$13,MOD(ROW()-ROW($B$2),ROWS(Lookups!$B$2:$B$13))+1)</f>
        <v>M15 (Anti-Vehicle Mine)</v>
      </c>
      <c r="D32" s="38" t="str">
        <f>_xlfn.XLOOKUP(C32,Analysis_Gadgets!$C:$C,Analysis_Gadgets!$B:$B)</f>
        <v>Gadget</v>
      </c>
      <c r="E32" s="43">
        <v>4880</v>
      </c>
      <c r="F32" s="43">
        <f>_xlfn.XLOOKUP(A32,Class_Players!A:A,Class_Players!G:G)</f>
        <v>399</v>
      </c>
      <c r="G32" s="43">
        <f t="shared" si="4"/>
        <v>12.230576441102757</v>
      </c>
      <c r="H32" s="43">
        <f>_xlfn.XLOOKUP(A32,Class_Players!$A:$A,Class_Players!$F:$F,"")</f>
        <v>16655</v>
      </c>
      <c r="I32" s="44">
        <f t="shared" si="6"/>
        <v>0.29300510357250076</v>
      </c>
      <c r="J32" s="43">
        <f t="shared" si="1"/>
        <v>1</v>
      </c>
      <c r="K32" s="44" cm="1">
        <f t="array" ref="K32">IF(D32="Gadget",_xlfn.IFS(I32&gt;=0.2,0.5,I32&gt;=0.1,0.35,I32&gt;=0.05,0.2,TRUE,0),IF(D32="Grenade",_xlfn.IFS(I32&gt;=0.2,1,I32&gt;=0.1,0.7,I32&gt;=0.05,0.4,TRUE,0),0))</f>
        <v>0.5</v>
      </c>
      <c r="L32" s="57">
        <f t="shared" si="7"/>
        <v>0.5</v>
      </c>
    </row>
    <row r="33" spans="1:12" x14ac:dyDescent="0.25">
      <c r="A33" s="42" t="str" cm="1">
        <f t="array" ref="A33">IFERROR(INDEX(_xlfn._xlws.FILTER(Class_Players!A:A,Class_Players!B:B="Engineer"),QUOTIENT(ROW()-ROW($A$2),12)+1),"")</f>
        <v>Dc-Duck</v>
      </c>
      <c r="B33" s="42" t="str">
        <f>_xlfn.XLOOKUP(A33,Class_Players!$A:$A,Class_Players!$B:$B,"")</f>
        <v>Engineer</v>
      </c>
      <c r="C33" s="42" t="str" cm="1">
        <f t="array" ref="C33">INDEX(Lookups!$B$2:$B$13,MOD(ROW()-ROW($B$2),ROWS(Lookups!$B$2:$B$13))+1)</f>
        <v>PTKM-1R (Acoustic Sensor AV Mine)</v>
      </c>
      <c r="D33" s="38" t="str">
        <f>_xlfn.XLOOKUP(C33,Analysis_Gadgets!$C:$C,Analysis_Gadgets!$B:$B)</f>
        <v>Gadget</v>
      </c>
      <c r="E33" s="43">
        <v>8</v>
      </c>
      <c r="F33" s="43">
        <f>_xlfn.XLOOKUP(A33,Class_Players!A:A,Class_Players!G:G)</f>
        <v>399</v>
      </c>
      <c r="G33" s="43">
        <f t="shared" si="4"/>
        <v>2.0050125313283207E-2</v>
      </c>
      <c r="H33" s="43">
        <f>_xlfn.XLOOKUP(A33,Class_Players!$A:$A,Class_Players!$F:$F,"")</f>
        <v>16655</v>
      </c>
      <c r="I33" s="44">
        <f t="shared" si="6"/>
        <v>4.8033623536475534E-4</v>
      </c>
      <c r="J33" s="43">
        <f t="shared" si="1"/>
        <v>0</v>
      </c>
      <c r="K33" s="44" cm="1">
        <f t="array" ref="K33">IF(D33="Gadget",_xlfn.IFS(I33&gt;=0.2,0.5,I33&gt;=0.1,0.35,I33&gt;=0.05,0.2,TRUE,0),IF(D33="Grenade",_xlfn.IFS(I33&gt;=0.2,1,I33&gt;=0.1,0.7,I33&gt;=0.05,0.4,TRUE,0),0))</f>
        <v>0</v>
      </c>
      <c r="L33" s="57">
        <f t="shared" si="7"/>
        <v>0</v>
      </c>
    </row>
    <row r="34" spans="1:12" x14ac:dyDescent="0.25">
      <c r="A34" s="42" t="str" cm="1">
        <f t="array" ref="A34">IFERROR(INDEX(_xlfn._xlws.FILTER(Class_Players!A:A,Class_Players!B:B="Engineer"),QUOTIENT(ROW()-ROW($A$2),12)+1),"")</f>
        <v>Dc-Duck</v>
      </c>
      <c r="B34" s="42" t="str">
        <f>_xlfn.XLOOKUP(A34,Class_Players!$A:$A,Class_Players!$B:$B,"")</f>
        <v>Engineer</v>
      </c>
      <c r="C34" s="42" t="str" cm="1">
        <f t="array" ref="C34">INDEX(Lookups!$B$2:$B$13,MOD(ROW()-ROW($B$2),ROWS(Lookups!$B$2:$B$13))+1)</f>
        <v>EOD Bot</v>
      </c>
      <c r="D34" s="38" t="str">
        <f>_xlfn.XLOOKUP(C34,Analysis_Gadgets!$C:$C,Analysis_Gadgets!$B:$B)</f>
        <v>Gadget</v>
      </c>
      <c r="E34" s="43">
        <v>6</v>
      </c>
      <c r="F34" s="43">
        <f>_xlfn.XLOOKUP(A34,Class_Players!A:A,Class_Players!G:G)</f>
        <v>399</v>
      </c>
      <c r="G34" s="43">
        <f t="shared" si="4"/>
        <v>1.5037593984962405E-2</v>
      </c>
      <c r="H34" s="43">
        <f>_xlfn.XLOOKUP(A34,Class_Players!$A:$A,Class_Players!$F:$F,"")</f>
        <v>16655</v>
      </c>
      <c r="I34" s="44">
        <f t="shared" si="6"/>
        <v>3.6025217652356652E-4</v>
      </c>
      <c r="J34" s="43">
        <f t="shared" si="1"/>
        <v>0</v>
      </c>
      <c r="K34" s="44" cm="1">
        <f t="array" ref="K34">IF(D34="Gadget",_xlfn.IFS(I34&gt;=0.2,0.5,I34&gt;=0.1,0.35,I34&gt;=0.05,0.2,TRUE,0),IF(D34="Grenade",_xlfn.IFS(I34&gt;=0.2,1,I34&gt;=0.1,0.7,I34&gt;=0.05,0.4,TRUE,0),0))</f>
        <v>0</v>
      </c>
      <c r="L34" s="57">
        <f t="shared" si="7"/>
        <v>0</v>
      </c>
    </row>
    <row r="35" spans="1:12" x14ac:dyDescent="0.25">
      <c r="A35" s="42" t="str" cm="1">
        <f t="array" ref="A35">IFERROR(INDEX(_xlfn._xlws.FILTER(Class_Players!A:A,Class_Players!B:B="Engineer"),QUOTIENT(ROW()-ROW($A$2),12)+1),"")</f>
        <v>Dc-Duck</v>
      </c>
      <c r="B35" s="42" t="str">
        <f>_xlfn.XLOOKUP(A35,Class_Players!$A:$A,Class_Players!$B:$B,"")</f>
        <v>Engineer</v>
      </c>
      <c r="C35" s="42" t="str" cm="1">
        <f t="array" ref="C35">INDEX(Lookups!$B$2:$B$13,MOD(ROW()-ROW($B$2),ROWS(Lookups!$B$2:$B$13))+1)</f>
        <v>M4A1 SLAM (Tripwire Sensor AV Mine)</v>
      </c>
      <c r="D35" s="38" t="str">
        <f>_xlfn.XLOOKUP(C35,Analysis_Gadgets!$C:$C,Analysis_Gadgets!$B:$B)</f>
        <v>Gadget</v>
      </c>
      <c r="E35" s="43">
        <v>0</v>
      </c>
      <c r="F35" s="43">
        <f>_xlfn.XLOOKUP(A35,Class_Players!A:A,Class_Players!G:G)</f>
        <v>399</v>
      </c>
      <c r="G35" s="43">
        <f t="shared" si="4"/>
        <v>0</v>
      </c>
      <c r="H35" s="43">
        <f>_xlfn.XLOOKUP(A35,Class_Players!$A:$A,Class_Players!$F:$F,"")</f>
        <v>16655</v>
      </c>
      <c r="I35" s="44">
        <f t="shared" si="6"/>
        <v>0</v>
      </c>
      <c r="J35" s="43">
        <f t="shared" si="1"/>
        <v>0</v>
      </c>
      <c r="K35" s="44" cm="1">
        <f t="array" ref="K35">IF(D35="Gadget",_xlfn.IFS(I35&gt;=0.2,0.5,I35&gt;=0.1,0.35,I35&gt;=0.05,0.2,TRUE,0),IF(D35="Grenade",_xlfn.IFS(I35&gt;=0.2,1,I35&gt;=0.1,0.7,I35&gt;=0.05,0.4,TRUE,0),0))</f>
        <v>0</v>
      </c>
      <c r="L35" s="57">
        <f t="shared" si="7"/>
        <v>0</v>
      </c>
    </row>
    <row r="36" spans="1:12" x14ac:dyDescent="0.25">
      <c r="A36" s="42" t="str" cm="1">
        <f t="array" ref="A36">IFERROR(INDEX(_xlfn._xlws.FILTER(Class_Players!A:A,Class_Players!B:B="Engineer"),QUOTIENT(ROW()-ROW($A$2),12)+1),"")</f>
        <v>Dc-Duck</v>
      </c>
      <c r="B36" s="42" t="str">
        <f>_xlfn.XLOOKUP(A36,Class_Players!$A:$A,Class_Players!$B:$B,"")</f>
        <v>Engineer</v>
      </c>
      <c r="C36" s="42" t="str" cm="1">
        <f t="array" ref="C36">INDEX(Lookups!$B$2:$B$13,MOD(ROW()-ROW($B$2),ROWS(Lookups!$B$2:$B$13))+1)</f>
        <v>Mini Frag Grenade</v>
      </c>
      <c r="D36" s="38" t="str">
        <f>_xlfn.XLOOKUP(C36,Analysis_Gadgets!$C:$C,Analysis_Gadgets!$B:$B)</f>
        <v>Grenade</v>
      </c>
      <c r="E36" s="43">
        <v>3</v>
      </c>
      <c r="F36" s="43">
        <f>_xlfn.XLOOKUP(A36,Class_Players!A:A,Class_Players!G:G)</f>
        <v>399</v>
      </c>
      <c r="G36" s="43">
        <f t="shared" si="4"/>
        <v>7.5187969924812026E-3</v>
      </c>
      <c r="H36" s="43">
        <f>_xlfn.XLOOKUP(A36,Class_Players!$A:$A,Class_Players!$F:$F,"")</f>
        <v>16655</v>
      </c>
      <c r="I36" s="44">
        <f t="shared" si="6"/>
        <v>1.8012608826178326E-4</v>
      </c>
      <c r="J36" s="43">
        <f t="shared" si="1"/>
        <v>0</v>
      </c>
      <c r="K36" s="44" cm="1">
        <f t="array" ref="K36">IF(D36="Gadget",_xlfn.IFS(I36&gt;=0.2,0.5,I36&gt;=0.1,0.35,I36&gt;=0.05,0.2,TRUE,0),IF(D36="Grenade",_xlfn.IFS(I36&gt;=0.2,1,I36&gt;=0.1,0.7,I36&gt;=0.05,0.4,TRUE,0),0))</f>
        <v>0</v>
      </c>
      <c r="L36" s="57">
        <f t="shared" ref="L36:L37" si="8">IF($K36=0,0,$K36 / SUMIFS($K:$K,$A:$A,$A36,$D:$D,"Grenade"))</f>
        <v>0</v>
      </c>
    </row>
    <row r="37" spans="1:12" x14ac:dyDescent="0.25">
      <c r="A37" s="42" t="str" cm="1">
        <f t="array" ref="A37">IFERROR(INDEX(_xlfn._xlws.FILTER(Class_Players!A:A,Class_Players!B:B="Engineer"),QUOTIENT(ROW()-ROW($A$2),12)+1),"")</f>
        <v>Dc-Duck</v>
      </c>
      <c r="B37" s="42" t="str">
        <f>_xlfn.XLOOKUP(A37,Class_Players!$A:$A,Class_Players!$B:$B,"")</f>
        <v>Engineer</v>
      </c>
      <c r="C37" s="42" t="str" cm="1">
        <f t="array" ref="C37">INDEX(Lookups!$B$2:$B$13,MOD(ROW()-ROW($B$2),ROWS(Lookups!$B$2:$B$13))+1)</f>
        <v>Anti-Vehicle Grenade</v>
      </c>
      <c r="D37" s="38" t="str">
        <f>_xlfn.XLOOKUP(C37,Analysis_Gadgets!$C:$C,Analysis_Gadgets!$B:$B)</f>
        <v>Grenade</v>
      </c>
      <c r="E37" s="43">
        <v>0</v>
      </c>
      <c r="F37" s="43">
        <f>_xlfn.XLOOKUP(A37,Class_Players!A:A,Class_Players!G:G)</f>
        <v>399</v>
      </c>
      <c r="G37" s="43">
        <f t="shared" si="4"/>
        <v>0</v>
      </c>
      <c r="H37" s="43">
        <f>_xlfn.XLOOKUP(A37,Class_Players!$A:$A,Class_Players!$F:$F,"")</f>
        <v>16655</v>
      </c>
      <c r="I37" s="44">
        <f t="shared" si="6"/>
        <v>0</v>
      </c>
      <c r="J37" s="43">
        <f t="shared" si="1"/>
        <v>0</v>
      </c>
      <c r="K37" s="44" cm="1">
        <f t="array" ref="K37">IF(D37="Gadget",_xlfn.IFS(I37&gt;=0.2,0.5,I37&gt;=0.1,0.35,I37&gt;=0.05,0.2,TRUE,0),IF(D37="Grenade",_xlfn.IFS(I37&gt;=0.2,1,I37&gt;=0.1,0.7,I37&gt;=0.05,0.4,TRUE,0),0))</f>
        <v>0</v>
      </c>
      <c r="L37" s="57">
        <f t="shared" si="8"/>
        <v>0</v>
      </c>
    </row>
    <row r="38" spans="1:12" x14ac:dyDescent="0.25">
      <c r="A38" s="42" t="str" cm="1">
        <f t="array" ref="A38">IFERROR(INDEX(_xlfn._xlws.FILTER(Class_Players!A:A,Class_Players!B:B="Engineer"),QUOTIENT(ROW()-ROW($A$2),12)+1),"")</f>
        <v>BIGBaNANaBender</v>
      </c>
      <c r="B38" s="42" t="str">
        <f>_xlfn.XLOOKUP(A38,Class_Players!$A:$A,Class_Players!$B:$B,"")</f>
        <v>Engineer</v>
      </c>
      <c r="C38" s="42" t="str" cm="1">
        <f t="array" ref="C38">INDEX(Lookups!$B$2:$B$13,MOD(ROW()-ROW($B$2),ROWS(Lookups!$B$2:$B$13))+1)</f>
        <v>MBT-LAW (Auto-Guided Launcher)</v>
      </c>
      <c r="D38" s="38" t="str">
        <f>_xlfn.XLOOKUP(C38,Analysis_Gadgets!$C:$C,Analysis_Gadgets!$B:$B)</f>
        <v>Gadget</v>
      </c>
      <c r="E38" s="43">
        <v>0</v>
      </c>
      <c r="F38" s="43">
        <f>_xlfn.XLOOKUP(A38,Class_Players!A:A,Class_Players!G:G)</f>
        <v>310</v>
      </c>
      <c r="G38" s="43">
        <f t="shared" si="4"/>
        <v>0</v>
      </c>
      <c r="H38" s="43">
        <f>_xlfn.XLOOKUP(A38,Class_Players!$A:$A,Class_Players!$F:$F,"")</f>
        <v>15761</v>
      </c>
      <c r="I38" s="44">
        <f t="shared" si="6"/>
        <v>0</v>
      </c>
      <c r="J38" s="43">
        <f t="shared" si="1"/>
        <v>0</v>
      </c>
      <c r="K38" s="44" cm="1">
        <f t="array" ref="K38">IF(D38="Gadget",_xlfn.IFS(I38&gt;=0.2,0.5,I38&gt;=0.1,0.35,I38&gt;=0.05,0.2,TRUE,0),IF(D38="Grenade",_xlfn.IFS(I38&gt;=0.2,1,I38&gt;=0.1,0.7,I38&gt;=0.05,0.4,TRUE,0),0))</f>
        <v>0</v>
      </c>
      <c r="L38" s="57">
        <f t="shared" ref="L38:L47" si="9">IF($K38=0,0,$K38 / SUMIFS($K:$K,$A:$A,$A38,$D:$D,"Gadget"))</f>
        <v>0</v>
      </c>
    </row>
    <row r="39" spans="1:12" x14ac:dyDescent="0.25">
      <c r="A39" s="42" t="str" cm="1">
        <f t="array" ref="A39">IFERROR(INDEX(_xlfn._xlws.FILTER(Class_Players!A:A,Class_Players!B:B="Engineer"),QUOTIENT(ROW()-ROW($A$2),12)+1),"")</f>
        <v>BIGBaNANaBender</v>
      </c>
      <c r="B39" s="42" t="str">
        <f>_xlfn.XLOOKUP(A39,Class_Players!$A:$A,Class_Players!$B:$B,"")</f>
        <v>Engineer</v>
      </c>
      <c r="C39" s="42" t="str" cm="1">
        <f t="array" ref="C39">INDEX(Lookups!$B$2:$B$13,MOD(ROW()-ROW($B$2),ROWS(Lookups!$B$2:$B$13))+1)</f>
        <v>SLM-93A (Air-Defense Launcher)</v>
      </c>
      <c r="D39" s="38" t="str">
        <f>_xlfn.XLOOKUP(C39,Analysis_Gadgets!$C:$C,Analysis_Gadgets!$B:$B)</f>
        <v>Gadget</v>
      </c>
      <c r="E39" s="43">
        <v>1</v>
      </c>
      <c r="F39" s="43">
        <f>_xlfn.XLOOKUP(A39,Class_Players!A:A,Class_Players!G:G)</f>
        <v>310</v>
      </c>
      <c r="G39" s="43">
        <f t="shared" si="4"/>
        <v>3.2258064516129032E-3</v>
      </c>
      <c r="H39" s="43">
        <f>_xlfn.XLOOKUP(A39,Class_Players!$A:$A,Class_Players!$F:$F,"")</f>
        <v>15761</v>
      </c>
      <c r="I39" s="44">
        <f t="shared" si="6"/>
        <v>6.3447750777234941E-5</v>
      </c>
      <c r="J39" s="43">
        <f t="shared" si="1"/>
        <v>0</v>
      </c>
      <c r="K39" s="44" cm="1">
        <f t="array" ref="K39">IF(D39="Gadget",_xlfn.IFS(I39&gt;=0.2,0.5,I39&gt;=0.1,0.35,I39&gt;=0.05,0.2,TRUE,0),IF(D39="Grenade",_xlfn.IFS(I39&gt;=0.2,1,I39&gt;=0.1,0.7,I39&gt;=0.05,0.4,TRUE,0),0))</f>
        <v>0</v>
      </c>
      <c r="L39" s="57">
        <f t="shared" si="9"/>
        <v>0</v>
      </c>
    </row>
    <row r="40" spans="1:12" x14ac:dyDescent="0.25">
      <c r="A40" s="42" t="str" cm="1">
        <f t="array" ref="A40">IFERROR(INDEX(_xlfn._xlws.FILTER(Class_Players!A:A,Class_Players!B:B="Engineer"),QUOTIENT(ROW()-ROW($A$2),12)+1),"")</f>
        <v>BIGBaNANaBender</v>
      </c>
      <c r="B40" s="42" t="str">
        <f>_xlfn.XLOOKUP(A40,Class_Players!$A:$A,Class_Players!$B:$B,"")</f>
        <v>Engineer</v>
      </c>
      <c r="C40" s="42" t="str" cm="1">
        <f t="array" ref="C40">INDEX(Lookups!$B$2:$B$13,MOD(ROW()-ROW($B$2),ROWS(Lookups!$B$2:$B$13))+1)</f>
        <v>RPG-7V2 (Unguided Rocket Launcher)</v>
      </c>
      <c r="D40" s="38" t="str">
        <f>_xlfn.XLOOKUP(C40,Analysis_Gadgets!$C:$C,Analysis_Gadgets!$B:$B)</f>
        <v>Gadget</v>
      </c>
      <c r="E40" s="43">
        <v>13819</v>
      </c>
      <c r="F40" s="43">
        <f>_xlfn.XLOOKUP(A40,Class_Players!A:A,Class_Players!G:G)</f>
        <v>310</v>
      </c>
      <c r="G40" s="43">
        <f t="shared" si="4"/>
        <v>44.57741935483871</v>
      </c>
      <c r="H40" s="43">
        <f>_xlfn.XLOOKUP(A40,Class_Players!$A:$A,Class_Players!$F:$F,"")</f>
        <v>15761</v>
      </c>
      <c r="I40" s="44">
        <f t="shared" si="6"/>
        <v>0.87678446799060972</v>
      </c>
      <c r="J40" s="43">
        <f t="shared" si="1"/>
        <v>1</v>
      </c>
      <c r="K40" s="44" cm="1">
        <f t="array" ref="K40">IF(D40="Gadget",_xlfn.IFS(I40&gt;=0.2,0.5,I40&gt;=0.1,0.35,I40&gt;=0.05,0.2,TRUE,0),IF(D40="Grenade",_xlfn.IFS(I40&gt;=0.2,1,I40&gt;=0.1,0.7,I40&gt;=0.05,0.4,TRUE,0),0))</f>
        <v>0.5</v>
      </c>
      <c r="L40" s="57">
        <f t="shared" si="9"/>
        <v>0.5</v>
      </c>
    </row>
    <row r="41" spans="1:12" x14ac:dyDescent="0.25">
      <c r="A41" s="42" t="str" cm="1">
        <f t="array" ref="A41">IFERROR(INDEX(_xlfn._xlws.FILTER(Class_Players!A:A,Class_Players!B:B="Engineer"),QUOTIENT(ROW()-ROW($A$2),12)+1),"")</f>
        <v>BIGBaNANaBender</v>
      </c>
      <c r="B41" s="42" t="str">
        <f>_xlfn.XLOOKUP(A41,Class_Players!$A:$A,Class_Players!$B:$B,"")</f>
        <v>Engineer</v>
      </c>
      <c r="C41" s="42" t="str" cm="1">
        <f t="array" ref="C41">INDEX(Lookups!$B$2:$B$13,MOD(ROW()-ROW($B$2),ROWS(Lookups!$B$2:$B$13))+1)</f>
        <v>MAS 148 (Long-Range Launcher)</v>
      </c>
      <c r="D41" s="38" t="str">
        <f>_xlfn.XLOOKUP(C41,Analysis_Gadgets!$C:$C,Analysis_Gadgets!$B:$B)</f>
        <v>Gadget</v>
      </c>
      <c r="E41" s="43">
        <v>0</v>
      </c>
      <c r="F41" s="43">
        <f>_xlfn.XLOOKUP(A41,Class_Players!A:A,Class_Players!G:G)</f>
        <v>310</v>
      </c>
      <c r="G41" s="43">
        <f t="shared" si="4"/>
        <v>0</v>
      </c>
      <c r="H41" s="43">
        <f>_xlfn.XLOOKUP(A41,Class_Players!$A:$A,Class_Players!$F:$F,"")</f>
        <v>15761</v>
      </c>
      <c r="I41" s="44">
        <f t="shared" si="6"/>
        <v>0</v>
      </c>
      <c r="J41" s="43">
        <f t="shared" si="1"/>
        <v>0</v>
      </c>
      <c r="K41" s="44" cm="1">
        <f t="array" ref="K41">IF(D41="Gadget",_xlfn.IFS(I41&gt;=0.2,0.5,I41&gt;=0.1,0.35,I41&gt;=0.05,0.2,TRUE,0),IF(D41="Grenade",_xlfn.IFS(I41&gt;=0.2,1,I41&gt;=0.1,0.7,I41&gt;=0.05,0.4,TRUE,0),0))</f>
        <v>0</v>
      </c>
      <c r="L41" s="57">
        <f t="shared" si="9"/>
        <v>0</v>
      </c>
    </row>
    <row r="42" spans="1:12" x14ac:dyDescent="0.25">
      <c r="A42" s="42" t="str" cm="1">
        <f t="array" ref="A42">IFERROR(INDEX(_xlfn._xlws.FILTER(Class_Players!A:A,Class_Players!B:B="Engineer"),QUOTIENT(ROW()-ROW($A$2),12)+1),"")</f>
        <v>BIGBaNANaBender</v>
      </c>
      <c r="B42" s="42" t="str">
        <f>_xlfn.XLOOKUP(A42,Class_Players!$A:$A,Class_Players!$B:$B,"")</f>
        <v>Engineer</v>
      </c>
      <c r="C42" s="42" t="str" cm="1">
        <f t="array" ref="C42">INDEX(Lookups!$B$2:$B$13,MOD(ROW()-ROW($B$2),ROWS(Lookups!$B$2:$B$13))+1)</f>
        <v>M136 AT (Aim-Guided Launcher)</v>
      </c>
      <c r="D42" s="38" t="str">
        <f>_xlfn.XLOOKUP(C42,Analysis_Gadgets!$C:$C,Analysis_Gadgets!$B:$B)</f>
        <v>Gadget</v>
      </c>
      <c r="E42" s="43">
        <v>583</v>
      </c>
      <c r="F42" s="43">
        <f>_xlfn.XLOOKUP(A42,Class_Players!A:A,Class_Players!G:G)</f>
        <v>310</v>
      </c>
      <c r="G42" s="43">
        <f t="shared" si="4"/>
        <v>1.8806451612903226</v>
      </c>
      <c r="H42" s="43">
        <f>_xlfn.XLOOKUP(A42,Class_Players!$A:$A,Class_Players!$F:$F,"")</f>
        <v>15761</v>
      </c>
      <c r="I42" s="44">
        <f t="shared" si="6"/>
        <v>3.6990038703127975E-2</v>
      </c>
      <c r="J42" s="43">
        <f t="shared" si="1"/>
        <v>0</v>
      </c>
      <c r="K42" s="44" cm="1">
        <f t="array" ref="K42">IF(D42="Gadget",_xlfn.IFS(I42&gt;=0.2,0.5,I42&gt;=0.1,0.35,I42&gt;=0.05,0.2,TRUE,0),IF(D42="Grenade",_xlfn.IFS(I42&gt;=0.2,1,I42&gt;=0.1,0.7,I42&gt;=0.05,0.4,TRUE,0),0))</f>
        <v>0</v>
      </c>
      <c r="L42" s="57">
        <f t="shared" si="9"/>
        <v>0</v>
      </c>
    </row>
    <row r="43" spans="1:12" x14ac:dyDescent="0.25">
      <c r="A43" s="42" t="str" cm="1">
        <f t="array" ref="A43">IFERROR(INDEX(_xlfn._xlws.FILTER(Class_Players!A:A,Class_Players!B:B="Engineer"),QUOTIENT(ROW()-ROW($A$2),12)+1),"")</f>
        <v>BIGBaNANaBender</v>
      </c>
      <c r="B43" s="42" t="str">
        <f>_xlfn.XLOOKUP(A43,Class_Players!$A:$A,Class_Players!$B:$B,"")</f>
        <v>Engineer</v>
      </c>
      <c r="C43" s="42" t="str" cm="1">
        <f t="array" ref="C43">INDEX(Lookups!$B$2:$B$13,MOD(ROW()-ROW($B$2),ROWS(Lookups!$B$2:$B$13))+1)</f>
        <v>Supply Crate</v>
      </c>
      <c r="D43" s="38" t="str">
        <f>_xlfn.XLOOKUP(C43,Analysis_Gadgets!$C:$C,Analysis_Gadgets!$B:$B)</f>
        <v>Gadget</v>
      </c>
      <c r="E43" s="43">
        <v>6</v>
      </c>
      <c r="F43" s="43">
        <f>_xlfn.XLOOKUP(A43,Class_Players!A:A,Class_Players!G:G)</f>
        <v>310</v>
      </c>
      <c r="G43" s="43">
        <f t="shared" si="4"/>
        <v>1.935483870967742E-2</v>
      </c>
      <c r="H43" s="43">
        <f>_xlfn.XLOOKUP(A43,Class_Players!$A:$A,Class_Players!$F:$F,"")</f>
        <v>15761</v>
      </c>
      <c r="I43" s="44">
        <f t="shared" si="6"/>
        <v>3.8068650466340967E-4</v>
      </c>
      <c r="J43" s="43">
        <f t="shared" si="1"/>
        <v>0</v>
      </c>
      <c r="K43" s="44" cm="1">
        <f t="array" ref="K43">IF(D43="Gadget",_xlfn.IFS(I43&gt;=0.2,0.5,I43&gt;=0.1,0.35,I43&gt;=0.05,0.2,TRUE,0),IF(D43="Grenade",_xlfn.IFS(I43&gt;=0.2,1,I43&gt;=0.1,0.7,I43&gt;=0.05,0.4,TRUE,0),0))</f>
        <v>0</v>
      </c>
      <c r="L43" s="57">
        <f t="shared" si="9"/>
        <v>0</v>
      </c>
    </row>
    <row r="44" spans="1:12" x14ac:dyDescent="0.25">
      <c r="A44" s="42" t="str" cm="1">
        <f t="array" ref="A44">IFERROR(INDEX(_xlfn._xlws.FILTER(Class_Players!A:A,Class_Players!B:B="Engineer"),QUOTIENT(ROW()-ROW($A$2),12)+1),"")</f>
        <v>BIGBaNANaBender</v>
      </c>
      <c r="B44" s="42" t="str">
        <f>_xlfn.XLOOKUP(A44,Class_Players!$A:$A,Class_Players!$B:$B,"")</f>
        <v>Engineer</v>
      </c>
      <c r="C44" s="42" t="str" cm="1">
        <f t="array" ref="C44">INDEX(Lookups!$B$2:$B$13,MOD(ROW()-ROW($B$2),ROWS(Lookups!$B$2:$B$13))+1)</f>
        <v>M15 (Anti-Vehicle Mine)</v>
      </c>
      <c r="D44" s="38" t="str">
        <f>_xlfn.XLOOKUP(C44,Analysis_Gadgets!$C:$C,Analysis_Gadgets!$B:$B)</f>
        <v>Gadget</v>
      </c>
      <c r="E44" s="43">
        <v>9762</v>
      </c>
      <c r="F44" s="43">
        <f>_xlfn.XLOOKUP(A44,Class_Players!A:A,Class_Players!G:G)</f>
        <v>310</v>
      </c>
      <c r="G44" s="43">
        <f t="shared" si="4"/>
        <v>31.490322580645163</v>
      </c>
      <c r="H44" s="43">
        <f>_xlfn.XLOOKUP(A44,Class_Players!$A:$A,Class_Players!$F:$F,"")</f>
        <v>15761</v>
      </c>
      <c r="I44" s="44">
        <f t="shared" si="6"/>
        <v>0.61937694308736757</v>
      </c>
      <c r="J44" s="43">
        <f t="shared" si="1"/>
        <v>1</v>
      </c>
      <c r="K44" s="44" cm="1">
        <f t="array" ref="K44">IF(D44="Gadget",_xlfn.IFS(I44&gt;=0.2,0.5,I44&gt;=0.1,0.35,I44&gt;=0.05,0.2,TRUE,0),IF(D44="Grenade",_xlfn.IFS(I44&gt;=0.2,1,I44&gt;=0.1,0.7,I44&gt;=0.05,0.4,TRUE,0),0))</f>
        <v>0.5</v>
      </c>
      <c r="L44" s="57">
        <f t="shared" si="9"/>
        <v>0.5</v>
      </c>
    </row>
    <row r="45" spans="1:12" x14ac:dyDescent="0.25">
      <c r="A45" s="42" t="str" cm="1">
        <f t="array" ref="A45">IFERROR(INDEX(_xlfn._xlws.FILTER(Class_Players!A:A,Class_Players!B:B="Engineer"),QUOTIENT(ROW()-ROW($A$2),12)+1),"")</f>
        <v>BIGBaNANaBender</v>
      </c>
      <c r="B45" s="42" t="str">
        <f>_xlfn.XLOOKUP(A45,Class_Players!$A:$A,Class_Players!$B:$B,"")</f>
        <v>Engineer</v>
      </c>
      <c r="C45" s="42" t="str" cm="1">
        <f t="array" ref="C45">INDEX(Lookups!$B$2:$B$13,MOD(ROW()-ROW($B$2),ROWS(Lookups!$B$2:$B$13))+1)</f>
        <v>PTKM-1R (Acoustic Sensor AV Mine)</v>
      </c>
      <c r="D45" s="38" t="str">
        <f>_xlfn.XLOOKUP(C45,Analysis_Gadgets!$C:$C,Analysis_Gadgets!$B:$B)</f>
        <v>Gadget</v>
      </c>
      <c r="E45" s="43">
        <v>9</v>
      </c>
      <c r="F45" s="43">
        <f>_xlfn.XLOOKUP(A45,Class_Players!A:A,Class_Players!G:G)</f>
        <v>310</v>
      </c>
      <c r="G45" s="43">
        <f t="shared" si="4"/>
        <v>2.903225806451613E-2</v>
      </c>
      <c r="H45" s="43">
        <f>_xlfn.XLOOKUP(A45,Class_Players!$A:$A,Class_Players!$F:$F,"")</f>
        <v>15761</v>
      </c>
      <c r="I45" s="44">
        <f t="shared" si="6"/>
        <v>5.7102975699511451E-4</v>
      </c>
      <c r="J45" s="43">
        <f t="shared" si="1"/>
        <v>0</v>
      </c>
      <c r="K45" s="44" cm="1">
        <f t="array" ref="K45">IF(D45="Gadget",_xlfn.IFS(I45&gt;=0.2,0.5,I45&gt;=0.1,0.35,I45&gt;=0.05,0.2,TRUE,0),IF(D45="Grenade",_xlfn.IFS(I45&gt;=0.2,1,I45&gt;=0.1,0.7,I45&gt;=0.05,0.4,TRUE,0),0))</f>
        <v>0</v>
      </c>
      <c r="L45" s="57">
        <f t="shared" si="9"/>
        <v>0</v>
      </c>
    </row>
    <row r="46" spans="1:12" x14ac:dyDescent="0.25">
      <c r="A46" s="42" t="str" cm="1">
        <f t="array" ref="A46">IFERROR(INDEX(_xlfn._xlws.FILTER(Class_Players!A:A,Class_Players!B:B="Engineer"),QUOTIENT(ROW()-ROW($A$2),12)+1),"")</f>
        <v>BIGBaNANaBender</v>
      </c>
      <c r="B46" s="42" t="str">
        <f>_xlfn.XLOOKUP(A46,Class_Players!$A:$A,Class_Players!$B:$B,"")</f>
        <v>Engineer</v>
      </c>
      <c r="C46" s="42" t="str" cm="1">
        <f t="array" ref="C46">INDEX(Lookups!$B$2:$B$13,MOD(ROW()-ROW($B$2),ROWS(Lookups!$B$2:$B$13))+1)</f>
        <v>EOD Bot</v>
      </c>
      <c r="D46" s="38" t="str">
        <f>_xlfn.XLOOKUP(C46,Analysis_Gadgets!$C:$C,Analysis_Gadgets!$B:$B)</f>
        <v>Gadget</v>
      </c>
      <c r="E46" s="43">
        <v>0</v>
      </c>
      <c r="F46" s="43">
        <f>_xlfn.XLOOKUP(A46,Class_Players!A:A,Class_Players!G:G)</f>
        <v>310</v>
      </c>
      <c r="G46" s="43">
        <f t="shared" si="4"/>
        <v>0</v>
      </c>
      <c r="H46" s="43">
        <f>_xlfn.XLOOKUP(A46,Class_Players!$A:$A,Class_Players!$F:$F,"")</f>
        <v>15761</v>
      </c>
      <c r="I46" s="44">
        <f t="shared" si="6"/>
        <v>0</v>
      </c>
      <c r="J46" s="43">
        <f t="shared" si="1"/>
        <v>0</v>
      </c>
      <c r="K46" s="44" cm="1">
        <f t="array" ref="K46">IF(D46="Gadget",_xlfn.IFS(I46&gt;=0.2,0.5,I46&gt;=0.1,0.35,I46&gt;=0.05,0.2,TRUE,0),IF(D46="Grenade",_xlfn.IFS(I46&gt;=0.2,1,I46&gt;=0.1,0.7,I46&gt;=0.05,0.4,TRUE,0),0))</f>
        <v>0</v>
      </c>
      <c r="L46" s="57">
        <f t="shared" si="9"/>
        <v>0</v>
      </c>
    </row>
    <row r="47" spans="1:12" x14ac:dyDescent="0.25">
      <c r="A47" s="42" t="str" cm="1">
        <f t="array" ref="A47">IFERROR(INDEX(_xlfn._xlws.FILTER(Class_Players!A:A,Class_Players!B:B="Engineer"),QUOTIENT(ROW()-ROW($A$2),12)+1),"")</f>
        <v>BIGBaNANaBender</v>
      </c>
      <c r="B47" s="42" t="str">
        <f>_xlfn.XLOOKUP(A47,Class_Players!$A:$A,Class_Players!$B:$B,"")</f>
        <v>Engineer</v>
      </c>
      <c r="C47" s="42" t="str" cm="1">
        <f t="array" ref="C47">INDEX(Lookups!$B$2:$B$13,MOD(ROW()-ROW($B$2),ROWS(Lookups!$B$2:$B$13))+1)</f>
        <v>M4A1 SLAM (Tripwire Sensor AV Mine)</v>
      </c>
      <c r="D47" s="38" t="str">
        <f>_xlfn.XLOOKUP(C47,Analysis_Gadgets!$C:$C,Analysis_Gadgets!$B:$B)</f>
        <v>Gadget</v>
      </c>
      <c r="E47" s="43">
        <v>0</v>
      </c>
      <c r="F47" s="43">
        <f>_xlfn.XLOOKUP(A47,Class_Players!A:A,Class_Players!G:G)</f>
        <v>310</v>
      </c>
      <c r="G47" s="43">
        <f t="shared" si="4"/>
        <v>0</v>
      </c>
      <c r="H47" s="43">
        <f>_xlfn.XLOOKUP(A47,Class_Players!$A:$A,Class_Players!$F:$F,"")</f>
        <v>15761</v>
      </c>
      <c r="I47" s="44">
        <f t="shared" si="6"/>
        <v>0</v>
      </c>
      <c r="J47" s="43">
        <f t="shared" si="1"/>
        <v>0</v>
      </c>
      <c r="K47" s="44" cm="1">
        <f t="array" ref="K47">IF(D47="Gadget",_xlfn.IFS(I47&gt;=0.2,0.5,I47&gt;=0.1,0.35,I47&gt;=0.05,0.2,TRUE,0),IF(D47="Grenade",_xlfn.IFS(I47&gt;=0.2,1,I47&gt;=0.1,0.7,I47&gt;=0.05,0.4,TRUE,0),0))</f>
        <v>0</v>
      </c>
      <c r="L47" s="57">
        <f t="shared" si="9"/>
        <v>0</v>
      </c>
    </row>
    <row r="48" spans="1:12" x14ac:dyDescent="0.25">
      <c r="A48" s="42" t="str" cm="1">
        <f t="array" ref="A48">IFERROR(INDEX(_xlfn._xlws.FILTER(Class_Players!A:A,Class_Players!B:B="Engineer"),QUOTIENT(ROW()-ROW($A$2),12)+1),"")</f>
        <v>BIGBaNANaBender</v>
      </c>
      <c r="B48" s="42" t="str">
        <f>_xlfn.XLOOKUP(A48,Class_Players!$A:$A,Class_Players!$B:$B,"")</f>
        <v>Engineer</v>
      </c>
      <c r="C48" s="42" t="str" cm="1">
        <f t="array" ref="C48">INDEX(Lookups!$B$2:$B$13,MOD(ROW()-ROW($B$2),ROWS(Lookups!$B$2:$B$13))+1)</f>
        <v>Mini Frag Grenade</v>
      </c>
      <c r="D48" s="38" t="str">
        <f>_xlfn.XLOOKUP(C48,Analysis_Gadgets!$C:$C,Analysis_Gadgets!$B:$B)</f>
        <v>Grenade</v>
      </c>
      <c r="E48" s="43">
        <v>1</v>
      </c>
      <c r="F48" s="43">
        <f>_xlfn.XLOOKUP(A48,Class_Players!A:A,Class_Players!G:G)</f>
        <v>310</v>
      </c>
      <c r="G48" s="43">
        <f t="shared" si="4"/>
        <v>3.2258064516129032E-3</v>
      </c>
      <c r="H48" s="43">
        <f>_xlfn.XLOOKUP(A48,Class_Players!$A:$A,Class_Players!$F:$F,"")</f>
        <v>15761</v>
      </c>
      <c r="I48" s="44">
        <f t="shared" si="6"/>
        <v>6.3447750777234941E-5</v>
      </c>
      <c r="J48" s="43">
        <f t="shared" si="1"/>
        <v>0</v>
      </c>
      <c r="K48" s="44" cm="1">
        <f t="array" ref="K48">IF(D48="Gadget",_xlfn.IFS(I48&gt;=0.2,0.5,I48&gt;=0.1,0.35,I48&gt;=0.05,0.2,TRUE,0),IF(D48="Grenade",_xlfn.IFS(I48&gt;=0.2,1,I48&gt;=0.1,0.7,I48&gt;=0.05,0.4,TRUE,0),0))</f>
        <v>0</v>
      </c>
      <c r="L48" s="57">
        <f t="shared" ref="L48:L49" si="10">IF($K48=0,0,$K48 / SUMIFS($K:$K,$A:$A,$A48,$D:$D,"Grenade"))</f>
        <v>0</v>
      </c>
    </row>
    <row r="49" spans="1:12" x14ac:dyDescent="0.25">
      <c r="A49" s="42" t="str" cm="1">
        <f t="array" ref="A49">IFERROR(INDEX(_xlfn._xlws.FILTER(Class_Players!A:A,Class_Players!B:B="Engineer"),QUOTIENT(ROW()-ROW($A$2),12)+1),"")</f>
        <v>BIGBaNANaBender</v>
      </c>
      <c r="B49" s="42" t="str">
        <f>_xlfn.XLOOKUP(A49,Class_Players!$A:$A,Class_Players!$B:$B,"")</f>
        <v>Engineer</v>
      </c>
      <c r="C49" s="42" t="str" cm="1">
        <f t="array" ref="C49">INDEX(Lookups!$B$2:$B$13,MOD(ROW()-ROW($B$2),ROWS(Lookups!$B$2:$B$13))+1)</f>
        <v>Anti-Vehicle Grenade</v>
      </c>
      <c r="D49" s="38" t="str">
        <f>_xlfn.XLOOKUP(C49,Analysis_Gadgets!$C:$C,Analysis_Gadgets!$B:$B)</f>
        <v>Grenade</v>
      </c>
      <c r="E49" s="43">
        <v>0</v>
      </c>
      <c r="F49" s="43">
        <f>_xlfn.XLOOKUP(A49,Class_Players!A:A,Class_Players!G:G)</f>
        <v>310</v>
      </c>
      <c r="G49" s="43">
        <f t="shared" si="4"/>
        <v>0</v>
      </c>
      <c r="H49" s="43">
        <f>_xlfn.XLOOKUP(A49,Class_Players!$A:$A,Class_Players!$F:$F,"")</f>
        <v>15761</v>
      </c>
      <c r="I49" s="44">
        <f t="shared" si="6"/>
        <v>0</v>
      </c>
      <c r="J49" s="43">
        <f t="shared" si="1"/>
        <v>0</v>
      </c>
      <c r="K49" s="44" cm="1">
        <f t="array" ref="K49">IF(D49="Gadget",_xlfn.IFS(I49&gt;=0.2,0.5,I49&gt;=0.1,0.35,I49&gt;=0.05,0.2,TRUE,0),IF(D49="Grenade",_xlfn.IFS(I49&gt;=0.2,1,I49&gt;=0.1,0.7,I49&gt;=0.05,0.4,TRUE,0),0))</f>
        <v>0</v>
      </c>
      <c r="L49" s="57">
        <f t="shared" si="10"/>
        <v>0</v>
      </c>
    </row>
    <row r="50" spans="1:12" x14ac:dyDescent="0.25">
      <c r="A50" s="42" t="str" cm="1">
        <f t="array" ref="A50">IFERROR(INDEX(_xlfn._xlws.FILTER(Class_Players!A:A,Class_Players!B:B="Engineer"),QUOTIENT(ROW()-ROW($A$2),12)+1),"")</f>
        <v>tangsifuuu</v>
      </c>
      <c r="B50" s="42" t="str">
        <f>_xlfn.XLOOKUP(A50,Class_Players!$A:$A,Class_Players!$B:$B,"")</f>
        <v>Engineer</v>
      </c>
      <c r="C50" s="42" t="str" cm="1">
        <f t="array" ref="C50">INDEX(Lookups!$B$2:$B$13,MOD(ROW()-ROW($B$2),ROWS(Lookups!$B$2:$B$13))+1)</f>
        <v>MBT-LAW (Auto-Guided Launcher)</v>
      </c>
      <c r="D50" s="38" t="str">
        <f>_xlfn.XLOOKUP(C50,Analysis_Gadgets!$C:$C,Analysis_Gadgets!$B:$B)</f>
        <v>Gadget</v>
      </c>
      <c r="E50" s="43">
        <v>0</v>
      </c>
      <c r="F50" s="43">
        <f>_xlfn.XLOOKUP(A50,Class_Players!A:A,Class_Players!G:G)</f>
        <v>357</v>
      </c>
      <c r="G50" s="43">
        <f t="shared" si="4"/>
        <v>0</v>
      </c>
      <c r="H50" s="43">
        <f>_xlfn.XLOOKUP(A50,Class_Players!$A:$A,Class_Players!$F:$F,"")</f>
        <v>15141</v>
      </c>
      <c r="I50" s="44">
        <f t="shared" si="6"/>
        <v>0</v>
      </c>
      <c r="J50" s="43">
        <f t="shared" si="1"/>
        <v>0</v>
      </c>
      <c r="K50" s="44" cm="1">
        <f t="array" ref="K50">IF(D50="Gadget",_xlfn.IFS(I50&gt;=0.2,0.5,I50&gt;=0.1,0.35,I50&gt;=0.05,0.2,TRUE,0),IF(D50="Grenade",_xlfn.IFS(I50&gt;=0.2,1,I50&gt;=0.1,0.7,I50&gt;=0.05,0.4,TRUE,0),0))</f>
        <v>0</v>
      </c>
      <c r="L50" s="57">
        <f t="shared" ref="L50:L59" si="11">IF($K50=0,0,$K50 / SUMIFS($K:$K,$A:$A,$A50,$D:$D,"Gadget"))</f>
        <v>0</v>
      </c>
    </row>
    <row r="51" spans="1:12" x14ac:dyDescent="0.25">
      <c r="A51" s="42" t="str" cm="1">
        <f t="array" ref="A51">IFERROR(INDEX(_xlfn._xlws.FILTER(Class_Players!A:A,Class_Players!B:B="Engineer"),QUOTIENT(ROW()-ROW($A$2),12)+1),"")</f>
        <v>tangsifuuu</v>
      </c>
      <c r="B51" s="42" t="str">
        <f>_xlfn.XLOOKUP(A51,Class_Players!$A:$A,Class_Players!$B:$B,"")</f>
        <v>Engineer</v>
      </c>
      <c r="C51" s="42" t="str" cm="1">
        <f t="array" ref="C51">INDEX(Lookups!$B$2:$B$13,MOD(ROW()-ROW($B$2),ROWS(Lookups!$B$2:$B$13))+1)</f>
        <v>SLM-93A (Air-Defense Launcher)</v>
      </c>
      <c r="D51" s="38" t="str">
        <f>_xlfn.XLOOKUP(C51,Analysis_Gadgets!$C:$C,Analysis_Gadgets!$B:$B)</f>
        <v>Gadget</v>
      </c>
      <c r="E51" s="43">
        <v>0</v>
      </c>
      <c r="F51" s="43">
        <f>_xlfn.XLOOKUP(A51,Class_Players!A:A,Class_Players!G:G)</f>
        <v>357</v>
      </c>
      <c r="G51" s="43">
        <f t="shared" si="4"/>
        <v>0</v>
      </c>
      <c r="H51" s="43">
        <f>_xlfn.XLOOKUP(A51,Class_Players!$A:$A,Class_Players!$F:$F,"")</f>
        <v>15141</v>
      </c>
      <c r="I51" s="44">
        <f t="shared" si="6"/>
        <v>0</v>
      </c>
      <c r="J51" s="43">
        <f t="shared" si="1"/>
        <v>0</v>
      </c>
      <c r="K51" s="44" cm="1">
        <f t="array" ref="K51">IF(D51="Gadget",_xlfn.IFS(I51&gt;=0.2,0.5,I51&gt;=0.1,0.35,I51&gt;=0.05,0.2,TRUE,0),IF(D51="Grenade",_xlfn.IFS(I51&gt;=0.2,1,I51&gt;=0.1,0.7,I51&gt;=0.05,0.4,TRUE,0),0))</f>
        <v>0</v>
      </c>
      <c r="L51" s="57">
        <f t="shared" si="11"/>
        <v>0</v>
      </c>
    </row>
    <row r="52" spans="1:12" x14ac:dyDescent="0.25">
      <c r="A52" s="42" t="str" cm="1">
        <f t="array" ref="A52">IFERROR(INDEX(_xlfn._xlws.FILTER(Class_Players!A:A,Class_Players!B:B="Engineer"),QUOTIENT(ROW()-ROW($A$2),12)+1),"")</f>
        <v>tangsifuuu</v>
      </c>
      <c r="B52" s="42" t="str">
        <f>_xlfn.XLOOKUP(A52,Class_Players!$A:$A,Class_Players!$B:$B,"")</f>
        <v>Engineer</v>
      </c>
      <c r="C52" s="42" t="str" cm="1">
        <f t="array" ref="C52">INDEX(Lookups!$B$2:$B$13,MOD(ROW()-ROW($B$2),ROWS(Lookups!$B$2:$B$13))+1)</f>
        <v>RPG-7V2 (Unguided Rocket Launcher)</v>
      </c>
      <c r="D52" s="38" t="str">
        <f>_xlfn.XLOOKUP(C52,Analysis_Gadgets!$C:$C,Analysis_Gadgets!$B:$B)</f>
        <v>Gadget</v>
      </c>
      <c r="E52" s="43">
        <v>6447</v>
      </c>
      <c r="F52" s="43">
        <f>_xlfn.XLOOKUP(A52,Class_Players!A:A,Class_Players!G:G)</f>
        <v>357</v>
      </c>
      <c r="G52" s="43">
        <f t="shared" si="4"/>
        <v>18.058823529411764</v>
      </c>
      <c r="H52" s="43">
        <f>_xlfn.XLOOKUP(A52,Class_Players!$A:$A,Class_Players!$F:$F,"")</f>
        <v>15141</v>
      </c>
      <c r="I52" s="44">
        <f t="shared" si="6"/>
        <v>0.42579750346740636</v>
      </c>
      <c r="J52" s="43">
        <f t="shared" si="1"/>
        <v>1</v>
      </c>
      <c r="K52" s="44" cm="1">
        <f t="array" ref="K52">IF(D52="Gadget",_xlfn.IFS(I52&gt;=0.2,0.5,I52&gt;=0.1,0.35,I52&gt;=0.05,0.2,TRUE,0),IF(D52="Grenade",_xlfn.IFS(I52&gt;=0.2,1,I52&gt;=0.1,0.7,I52&gt;=0.05,0.4,TRUE,0),0))</f>
        <v>0.5</v>
      </c>
      <c r="L52" s="57">
        <f t="shared" si="11"/>
        <v>0.5</v>
      </c>
    </row>
    <row r="53" spans="1:12" x14ac:dyDescent="0.25">
      <c r="A53" s="42" t="str" cm="1">
        <f t="array" ref="A53">IFERROR(INDEX(_xlfn._xlws.FILTER(Class_Players!A:A,Class_Players!B:B="Engineer"),QUOTIENT(ROW()-ROW($A$2),12)+1),"")</f>
        <v>tangsifuuu</v>
      </c>
      <c r="B53" s="42" t="str">
        <f>_xlfn.XLOOKUP(A53,Class_Players!$A:$A,Class_Players!$B:$B,"")</f>
        <v>Engineer</v>
      </c>
      <c r="C53" s="42" t="str" cm="1">
        <f t="array" ref="C53">INDEX(Lookups!$B$2:$B$13,MOD(ROW()-ROW($B$2),ROWS(Lookups!$B$2:$B$13))+1)</f>
        <v>MAS 148 (Long-Range Launcher)</v>
      </c>
      <c r="D53" s="38" t="str">
        <f>_xlfn.XLOOKUP(C53,Analysis_Gadgets!$C:$C,Analysis_Gadgets!$B:$B)</f>
        <v>Gadget</v>
      </c>
      <c r="E53" s="43">
        <v>0</v>
      </c>
      <c r="F53" s="43">
        <f>_xlfn.XLOOKUP(A53,Class_Players!A:A,Class_Players!G:G)</f>
        <v>357</v>
      </c>
      <c r="G53" s="43">
        <f t="shared" si="4"/>
        <v>0</v>
      </c>
      <c r="H53" s="43">
        <f>_xlfn.XLOOKUP(A53,Class_Players!$A:$A,Class_Players!$F:$F,"")</f>
        <v>15141</v>
      </c>
      <c r="I53" s="44">
        <f t="shared" si="6"/>
        <v>0</v>
      </c>
      <c r="J53" s="43">
        <f t="shared" si="1"/>
        <v>0</v>
      </c>
      <c r="K53" s="44" cm="1">
        <f t="array" ref="K53">IF(D53="Gadget",_xlfn.IFS(I53&gt;=0.2,0.5,I53&gt;=0.1,0.35,I53&gt;=0.05,0.2,TRUE,0),IF(D53="Grenade",_xlfn.IFS(I53&gt;=0.2,1,I53&gt;=0.1,0.7,I53&gt;=0.05,0.4,TRUE,0),0))</f>
        <v>0</v>
      </c>
      <c r="L53" s="57">
        <f t="shared" si="11"/>
        <v>0</v>
      </c>
    </row>
    <row r="54" spans="1:12" x14ac:dyDescent="0.25">
      <c r="A54" s="42" t="str" cm="1">
        <f t="array" ref="A54">IFERROR(INDEX(_xlfn._xlws.FILTER(Class_Players!A:A,Class_Players!B:B="Engineer"),QUOTIENT(ROW()-ROW($A$2),12)+1),"")</f>
        <v>tangsifuuu</v>
      </c>
      <c r="B54" s="42" t="str">
        <f>_xlfn.XLOOKUP(A54,Class_Players!$A:$A,Class_Players!$B:$B,"")</f>
        <v>Engineer</v>
      </c>
      <c r="C54" s="42" t="str" cm="1">
        <f t="array" ref="C54">INDEX(Lookups!$B$2:$B$13,MOD(ROW()-ROW($B$2),ROWS(Lookups!$B$2:$B$13))+1)</f>
        <v>M136 AT (Aim-Guided Launcher)</v>
      </c>
      <c r="D54" s="38" t="str">
        <f>_xlfn.XLOOKUP(C54,Analysis_Gadgets!$C:$C,Analysis_Gadgets!$B:$B)</f>
        <v>Gadget</v>
      </c>
      <c r="E54" s="43">
        <v>1</v>
      </c>
      <c r="F54" s="43">
        <f>_xlfn.XLOOKUP(A54,Class_Players!A:A,Class_Players!G:G)</f>
        <v>357</v>
      </c>
      <c r="G54" s="43">
        <f t="shared" si="4"/>
        <v>2.8011204481792717E-3</v>
      </c>
      <c r="H54" s="43">
        <f>_xlfn.XLOOKUP(A54,Class_Players!$A:$A,Class_Players!$F:$F,"")</f>
        <v>15141</v>
      </c>
      <c r="I54" s="44">
        <f t="shared" si="6"/>
        <v>6.6045835810052173E-5</v>
      </c>
      <c r="J54" s="43">
        <f t="shared" si="1"/>
        <v>0</v>
      </c>
      <c r="K54" s="44" cm="1">
        <f t="array" ref="K54">IF(D54="Gadget",_xlfn.IFS(I54&gt;=0.2,0.5,I54&gt;=0.1,0.35,I54&gt;=0.05,0.2,TRUE,0),IF(D54="Grenade",_xlfn.IFS(I54&gt;=0.2,1,I54&gt;=0.1,0.7,I54&gt;=0.05,0.4,TRUE,0),0))</f>
        <v>0</v>
      </c>
      <c r="L54" s="57">
        <f t="shared" si="11"/>
        <v>0</v>
      </c>
    </row>
    <row r="55" spans="1:12" x14ac:dyDescent="0.25">
      <c r="A55" s="42" t="str" cm="1">
        <f t="array" ref="A55">IFERROR(INDEX(_xlfn._xlws.FILTER(Class_Players!A:A,Class_Players!B:B="Engineer"),QUOTIENT(ROW()-ROW($A$2),12)+1),"")</f>
        <v>tangsifuuu</v>
      </c>
      <c r="B55" s="42" t="str">
        <f>_xlfn.XLOOKUP(A55,Class_Players!$A:$A,Class_Players!$B:$B,"")</f>
        <v>Engineer</v>
      </c>
      <c r="C55" s="42" t="str" cm="1">
        <f t="array" ref="C55">INDEX(Lookups!$B$2:$B$13,MOD(ROW()-ROW($B$2),ROWS(Lookups!$B$2:$B$13))+1)</f>
        <v>Supply Crate</v>
      </c>
      <c r="D55" s="38" t="str">
        <f>_xlfn.XLOOKUP(C55,Analysis_Gadgets!$C:$C,Analysis_Gadgets!$B:$B)</f>
        <v>Gadget</v>
      </c>
      <c r="E55" s="43">
        <v>5</v>
      </c>
      <c r="F55" s="43">
        <f>_xlfn.XLOOKUP(A55,Class_Players!A:A,Class_Players!G:G)</f>
        <v>357</v>
      </c>
      <c r="G55" s="43">
        <f t="shared" si="4"/>
        <v>1.4005602240896359E-2</v>
      </c>
      <c r="H55" s="43">
        <f>_xlfn.XLOOKUP(A55,Class_Players!$A:$A,Class_Players!$F:$F,"")</f>
        <v>15141</v>
      </c>
      <c r="I55" s="44">
        <f t="shared" si="6"/>
        <v>3.3022917905026086E-4</v>
      </c>
      <c r="J55" s="43">
        <f t="shared" si="1"/>
        <v>0</v>
      </c>
      <c r="K55" s="44" cm="1">
        <f t="array" ref="K55">IF(D55="Gadget",_xlfn.IFS(I55&gt;=0.2,0.5,I55&gt;=0.1,0.35,I55&gt;=0.05,0.2,TRUE,0),IF(D55="Grenade",_xlfn.IFS(I55&gt;=0.2,1,I55&gt;=0.1,0.7,I55&gt;=0.05,0.4,TRUE,0),0))</f>
        <v>0</v>
      </c>
      <c r="L55" s="57">
        <f t="shared" si="11"/>
        <v>0</v>
      </c>
    </row>
    <row r="56" spans="1:12" x14ac:dyDescent="0.25">
      <c r="A56" s="42" t="str" cm="1">
        <f t="array" ref="A56">IFERROR(INDEX(_xlfn._xlws.FILTER(Class_Players!A:A,Class_Players!B:B="Engineer"),QUOTIENT(ROW()-ROW($A$2),12)+1),"")</f>
        <v>tangsifuuu</v>
      </c>
      <c r="B56" s="42" t="str">
        <f>_xlfn.XLOOKUP(A56,Class_Players!$A:$A,Class_Players!$B:$B,"")</f>
        <v>Engineer</v>
      </c>
      <c r="C56" s="42" t="str" cm="1">
        <f t="array" ref="C56">INDEX(Lookups!$B$2:$B$13,MOD(ROW()-ROW($B$2),ROWS(Lookups!$B$2:$B$13))+1)</f>
        <v>M15 (Anti-Vehicle Mine)</v>
      </c>
      <c r="D56" s="38" t="str">
        <f>_xlfn.XLOOKUP(C56,Analysis_Gadgets!$C:$C,Analysis_Gadgets!$B:$B)</f>
        <v>Gadget</v>
      </c>
      <c r="E56" s="43">
        <v>6869</v>
      </c>
      <c r="F56" s="43">
        <f>_xlfn.XLOOKUP(A56,Class_Players!A:A,Class_Players!G:G)</f>
        <v>357</v>
      </c>
      <c r="G56" s="43">
        <f t="shared" si="4"/>
        <v>19.240896358543417</v>
      </c>
      <c r="H56" s="43">
        <f>_xlfn.XLOOKUP(A56,Class_Players!$A:$A,Class_Players!$F:$F,"")</f>
        <v>15141</v>
      </c>
      <c r="I56" s="44">
        <f t="shared" si="6"/>
        <v>0.45366884617924841</v>
      </c>
      <c r="J56" s="43">
        <f t="shared" si="1"/>
        <v>1</v>
      </c>
      <c r="K56" s="44" cm="1">
        <f t="array" ref="K56">IF(D56="Gadget",_xlfn.IFS(I56&gt;=0.2,0.5,I56&gt;=0.1,0.35,I56&gt;=0.05,0.2,TRUE,0),IF(D56="Grenade",_xlfn.IFS(I56&gt;=0.2,1,I56&gt;=0.1,0.7,I56&gt;=0.05,0.4,TRUE,0),0))</f>
        <v>0.5</v>
      </c>
      <c r="L56" s="57">
        <f t="shared" si="11"/>
        <v>0.5</v>
      </c>
    </row>
    <row r="57" spans="1:12" x14ac:dyDescent="0.25">
      <c r="A57" s="42" t="str" cm="1">
        <f t="array" ref="A57">IFERROR(INDEX(_xlfn._xlws.FILTER(Class_Players!A:A,Class_Players!B:B="Engineer"),QUOTIENT(ROW()-ROW($A$2),12)+1),"")</f>
        <v>tangsifuuu</v>
      </c>
      <c r="B57" s="42" t="str">
        <f>_xlfn.XLOOKUP(A57,Class_Players!$A:$A,Class_Players!$B:$B,"")</f>
        <v>Engineer</v>
      </c>
      <c r="C57" s="42" t="str" cm="1">
        <f t="array" ref="C57">INDEX(Lookups!$B$2:$B$13,MOD(ROW()-ROW($B$2),ROWS(Lookups!$B$2:$B$13))+1)</f>
        <v>PTKM-1R (Acoustic Sensor AV Mine)</v>
      </c>
      <c r="D57" s="38" t="str">
        <f>_xlfn.XLOOKUP(C57,Analysis_Gadgets!$C:$C,Analysis_Gadgets!$B:$B)</f>
        <v>Gadget</v>
      </c>
      <c r="E57" s="43">
        <v>3</v>
      </c>
      <c r="F57" s="43">
        <f>_xlfn.XLOOKUP(A57,Class_Players!A:A,Class_Players!G:G)</f>
        <v>357</v>
      </c>
      <c r="G57" s="43">
        <f t="shared" si="4"/>
        <v>8.4033613445378148E-3</v>
      </c>
      <c r="H57" s="43">
        <f>_xlfn.XLOOKUP(A57,Class_Players!$A:$A,Class_Players!$F:$F,"")</f>
        <v>15141</v>
      </c>
      <c r="I57" s="44">
        <f t="shared" si="6"/>
        <v>1.9813750743015652E-4</v>
      </c>
      <c r="J57" s="43">
        <f t="shared" si="1"/>
        <v>0</v>
      </c>
      <c r="K57" s="44" cm="1">
        <f t="array" ref="K57">IF(D57="Gadget",_xlfn.IFS(I57&gt;=0.2,0.5,I57&gt;=0.1,0.35,I57&gt;=0.05,0.2,TRUE,0),IF(D57="Grenade",_xlfn.IFS(I57&gt;=0.2,1,I57&gt;=0.1,0.7,I57&gt;=0.05,0.4,TRUE,0),0))</f>
        <v>0</v>
      </c>
      <c r="L57" s="57">
        <f t="shared" si="11"/>
        <v>0</v>
      </c>
    </row>
    <row r="58" spans="1:12" x14ac:dyDescent="0.25">
      <c r="A58" s="42" t="str" cm="1">
        <f t="array" ref="A58">IFERROR(INDEX(_xlfn._xlws.FILTER(Class_Players!A:A,Class_Players!B:B="Engineer"),QUOTIENT(ROW()-ROW($A$2),12)+1),"")</f>
        <v>tangsifuuu</v>
      </c>
      <c r="B58" s="42" t="str">
        <f>_xlfn.XLOOKUP(A58,Class_Players!$A:$A,Class_Players!$B:$B,"")</f>
        <v>Engineer</v>
      </c>
      <c r="C58" s="42" t="str" cm="1">
        <f t="array" ref="C58">INDEX(Lookups!$B$2:$B$13,MOD(ROW()-ROW($B$2),ROWS(Lookups!$B$2:$B$13))+1)</f>
        <v>EOD Bot</v>
      </c>
      <c r="D58" s="38" t="str">
        <f>_xlfn.XLOOKUP(C58,Analysis_Gadgets!$C:$C,Analysis_Gadgets!$B:$B)</f>
        <v>Gadget</v>
      </c>
      <c r="E58" s="43">
        <v>0</v>
      </c>
      <c r="F58" s="43">
        <f>_xlfn.XLOOKUP(A58,Class_Players!A:A,Class_Players!G:G)</f>
        <v>357</v>
      </c>
      <c r="G58" s="43">
        <f t="shared" si="4"/>
        <v>0</v>
      </c>
      <c r="H58" s="43">
        <f>_xlfn.XLOOKUP(A58,Class_Players!$A:$A,Class_Players!$F:$F,"")</f>
        <v>15141</v>
      </c>
      <c r="I58" s="44">
        <f t="shared" si="6"/>
        <v>0</v>
      </c>
      <c r="J58" s="43">
        <f t="shared" si="1"/>
        <v>0</v>
      </c>
      <c r="K58" s="44" cm="1">
        <f t="array" ref="K58">IF(D58="Gadget",_xlfn.IFS(I58&gt;=0.2,0.5,I58&gt;=0.1,0.35,I58&gt;=0.05,0.2,TRUE,0),IF(D58="Grenade",_xlfn.IFS(I58&gt;=0.2,1,I58&gt;=0.1,0.7,I58&gt;=0.05,0.4,TRUE,0),0))</f>
        <v>0</v>
      </c>
      <c r="L58" s="57">
        <f t="shared" si="11"/>
        <v>0</v>
      </c>
    </row>
    <row r="59" spans="1:12" x14ac:dyDescent="0.25">
      <c r="A59" s="42" t="str" cm="1">
        <f t="array" ref="A59">IFERROR(INDEX(_xlfn._xlws.FILTER(Class_Players!A:A,Class_Players!B:B="Engineer"),QUOTIENT(ROW()-ROW($A$2),12)+1),"")</f>
        <v>tangsifuuu</v>
      </c>
      <c r="B59" s="42" t="str">
        <f>_xlfn.XLOOKUP(A59,Class_Players!$A:$A,Class_Players!$B:$B,"")</f>
        <v>Engineer</v>
      </c>
      <c r="C59" s="42" t="str" cm="1">
        <f t="array" ref="C59">INDEX(Lookups!$B$2:$B$13,MOD(ROW()-ROW($B$2),ROWS(Lookups!$B$2:$B$13))+1)</f>
        <v>M4A1 SLAM (Tripwire Sensor AV Mine)</v>
      </c>
      <c r="D59" s="38" t="str">
        <f>_xlfn.XLOOKUP(C59,Analysis_Gadgets!$C:$C,Analysis_Gadgets!$B:$B)</f>
        <v>Gadget</v>
      </c>
      <c r="E59" s="43">
        <v>0</v>
      </c>
      <c r="F59" s="43">
        <f>_xlfn.XLOOKUP(A59,Class_Players!A:A,Class_Players!G:G)</f>
        <v>357</v>
      </c>
      <c r="G59" s="43">
        <f t="shared" si="4"/>
        <v>0</v>
      </c>
      <c r="H59" s="43">
        <f>_xlfn.XLOOKUP(A59,Class_Players!$A:$A,Class_Players!$F:$F,"")</f>
        <v>15141</v>
      </c>
      <c r="I59" s="44">
        <f t="shared" si="6"/>
        <v>0</v>
      </c>
      <c r="J59" s="43">
        <f t="shared" si="1"/>
        <v>0</v>
      </c>
      <c r="K59" s="44" cm="1">
        <f t="array" ref="K59">IF(D59="Gadget",_xlfn.IFS(I59&gt;=0.2,0.5,I59&gt;=0.1,0.35,I59&gt;=0.05,0.2,TRUE,0),IF(D59="Grenade",_xlfn.IFS(I59&gt;=0.2,1,I59&gt;=0.1,0.7,I59&gt;=0.05,0.4,TRUE,0),0))</f>
        <v>0</v>
      </c>
      <c r="L59" s="57">
        <f t="shared" si="11"/>
        <v>0</v>
      </c>
    </row>
    <row r="60" spans="1:12" x14ac:dyDescent="0.25">
      <c r="A60" s="42" t="str" cm="1">
        <f t="array" ref="A60">IFERROR(INDEX(_xlfn._xlws.FILTER(Class_Players!A:A,Class_Players!B:B="Engineer"),QUOTIENT(ROW()-ROW($A$2),12)+1),"")</f>
        <v>tangsifuuu</v>
      </c>
      <c r="B60" s="42" t="str">
        <f>_xlfn.XLOOKUP(A60,Class_Players!$A:$A,Class_Players!$B:$B,"")</f>
        <v>Engineer</v>
      </c>
      <c r="C60" s="42" t="str" cm="1">
        <f t="array" ref="C60">INDEX(Lookups!$B$2:$B$13,MOD(ROW()-ROW($B$2),ROWS(Lookups!$B$2:$B$13))+1)</f>
        <v>Mini Frag Grenade</v>
      </c>
      <c r="D60" s="38" t="str">
        <f>_xlfn.XLOOKUP(C60,Analysis_Gadgets!$C:$C,Analysis_Gadgets!$B:$B)</f>
        <v>Grenade</v>
      </c>
      <c r="E60" s="43">
        <v>0</v>
      </c>
      <c r="F60" s="43">
        <f>_xlfn.XLOOKUP(A60,Class_Players!A:A,Class_Players!G:G)</f>
        <v>357</v>
      </c>
      <c r="G60" s="43">
        <f t="shared" si="4"/>
        <v>0</v>
      </c>
      <c r="H60" s="43">
        <f>_xlfn.XLOOKUP(A60,Class_Players!$A:$A,Class_Players!$F:$F,"")</f>
        <v>15141</v>
      </c>
      <c r="I60" s="44">
        <f t="shared" si="6"/>
        <v>0</v>
      </c>
      <c r="J60" s="43">
        <f t="shared" si="1"/>
        <v>0</v>
      </c>
      <c r="K60" s="44" cm="1">
        <f t="array" ref="K60">IF(D60="Gadget",_xlfn.IFS(I60&gt;=0.2,0.5,I60&gt;=0.1,0.35,I60&gt;=0.05,0.2,TRUE,0),IF(D60="Grenade",_xlfn.IFS(I60&gt;=0.2,1,I60&gt;=0.1,0.7,I60&gt;=0.05,0.4,TRUE,0),0))</f>
        <v>0</v>
      </c>
      <c r="L60" s="57">
        <f t="shared" ref="L60:L61" si="12">IF($K60=0,0,$K60 / SUMIFS($K:$K,$A:$A,$A60,$D:$D,"Grenade"))</f>
        <v>0</v>
      </c>
    </row>
    <row r="61" spans="1:12" x14ac:dyDescent="0.25">
      <c r="A61" s="42" t="str" cm="1">
        <f t="array" ref="A61">IFERROR(INDEX(_xlfn._xlws.FILTER(Class_Players!A:A,Class_Players!B:B="Engineer"),QUOTIENT(ROW()-ROW($A$2),12)+1),"")</f>
        <v>tangsifuuu</v>
      </c>
      <c r="B61" s="42" t="str">
        <f>_xlfn.XLOOKUP(A61,Class_Players!$A:$A,Class_Players!$B:$B,"")</f>
        <v>Engineer</v>
      </c>
      <c r="C61" s="42" t="str" cm="1">
        <f t="array" ref="C61">INDEX(Lookups!$B$2:$B$13,MOD(ROW()-ROW($B$2),ROWS(Lookups!$B$2:$B$13))+1)</f>
        <v>Anti-Vehicle Grenade</v>
      </c>
      <c r="D61" s="38" t="str">
        <f>_xlfn.XLOOKUP(C61,Analysis_Gadgets!$C:$C,Analysis_Gadgets!$B:$B)</f>
        <v>Grenade</v>
      </c>
      <c r="E61" s="43">
        <v>0</v>
      </c>
      <c r="F61" s="43">
        <f>_xlfn.XLOOKUP(A61,Class_Players!A:A,Class_Players!G:G)</f>
        <v>357</v>
      </c>
      <c r="G61" s="43">
        <f t="shared" si="4"/>
        <v>0</v>
      </c>
      <c r="H61" s="43">
        <f>_xlfn.XLOOKUP(A61,Class_Players!$A:$A,Class_Players!$F:$F,"")</f>
        <v>15141</v>
      </c>
      <c r="I61" s="44">
        <f t="shared" si="6"/>
        <v>0</v>
      </c>
      <c r="J61" s="43">
        <f t="shared" si="1"/>
        <v>0</v>
      </c>
      <c r="K61" s="44" cm="1">
        <f t="array" ref="K61">IF(D61="Gadget",_xlfn.IFS(I61&gt;=0.2,0.5,I61&gt;=0.1,0.35,I61&gt;=0.05,0.2,TRUE,0),IF(D61="Grenade",_xlfn.IFS(I61&gt;=0.2,1,I61&gt;=0.1,0.7,I61&gt;=0.05,0.4,TRUE,0),0))</f>
        <v>0</v>
      </c>
      <c r="L61" s="57">
        <f t="shared" si="12"/>
        <v>0</v>
      </c>
    </row>
    <row r="62" spans="1:12" x14ac:dyDescent="0.25">
      <c r="A62" s="42" t="str" cm="1">
        <f t="array" ref="A62">IFERROR(INDEX(_xlfn._xlws.FILTER(Class_Players!A:A,Class_Players!B:B="Engineer"),QUOTIENT(ROW()-ROW($A$2),12)+1),"")</f>
        <v>|bulletproof64</v>
      </c>
      <c r="B62" s="42" t="str">
        <f>_xlfn.XLOOKUP(A62,Class_Players!$A:$A,Class_Players!$B:$B,"")</f>
        <v>Engineer</v>
      </c>
      <c r="C62" s="42" t="str" cm="1">
        <f t="array" ref="C62">INDEX(Lookups!$B$2:$B$13,MOD(ROW()-ROW($B$2),ROWS(Lookups!$B$2:$B$13))+1)</f>
        <v>MBT-LAW (Auto-Guided Launcher)</v>
      </c>
      <c r="D62" s="38" t="str">
        <f>_xlfn.XLOOKUP(C62,Analysis_Gadgets!$C:$C,Analysis_Gadgets!$B:$B)</f>
        <v>Gadget</v>
      </c>
      <c r="E62" s="43">
        <v>0</v>
      </c>
      <c r="F62" s="43">
        <f>_xlfn.XLOOKUP(A62,Class_Players!A:A,Class_Players!G:G)</f>
        <v>176</v>
      </c>
      <c r="G62" s="43">
        <f t="shared" si="4"/>
        <v>0</v>
      </c>
      <c r="H62" s="43">
        <f>_xlfn.XLOOKUP(A62,Class_Players!$A:$A,Class_Players!$F:$F,"")</f>
        <v>14038</v>
      </c>
      <c r="I62" s="44">
        <f t="shared" si="6"/>
        <v>0</v>
      </c>
      <c r="J62" s="43">
        <f t="shared" si="1"/>
        <v>0</v>
      </c>
      <c r="K62" s="44" cm="1">
        <f t="array" ref="K62">IF(D62="Gadget",_xlfn.IFS(I62&gt;=0.2,0.5,I62&gt;=0.1,0.35,I62&gt;=0.05,0.2,TRUE,0),IF(D62="Grenade",_xlfn.IFS(I62&gt;=0.2,1,I62&gt;=0.1,0.7,I62&gt;=0.05,0.4,TRUE,0),0))</f>
        <v>0</v>
      </c>
      <c r="L62" s="57">
        <f t="shared" ref="L62:L71" si="13">IF($K62=0,0,$K62 / SUMIFS($K:$K,$A:$A,$A62,$D:$D,"Gadget"))</f>
        <v>0</v>
      </c>
    </row>
    <row r="63" spans="1:12" x14ac:dyDescent="0.25">
      <c r="A63" s="42" t="str" cm="1">
        <f t="array" ref="A63">IFERROR(INDEX(_xlfn._xlws.FILTER(Class_Players!A:A,Class_Players!B:B="Engineer"),QUOTIENT(ROW()-ROW($A$2),12)+1),"")</f>
        <v>|bulletproof64</v>
      </c>
      <c r="B63" s="42" t="str">
        <f>_xlfn.XLOOKUP(A63,Class_Players!$A:$A,Class_Players!$B:$B,"")</f>
        <v>Engineer</v>
      </c>
      <c r="C63" s="42" t="str" cm="1">
        <f t="array" ref="C63">INDEX(Lookups!$B$2:$B$13,MOD(ROW()-ROW($B$2),ROWS(Lookups!$B$2:$B$13))+1)</f>
        <v>SLM-93A (Air-Defense Launcher)</v>
      </c>
      <c r="D63" s="38" t="str">
        <f>_xlfn.XLOOKUP(C63,Analysis_Gadgets!$C:$C,Analysis_Gadgets!$B:$B)</f>
        <v>Gadget</v>
      </c>
      <c r="E63" s="43">
        <v>0</v>
      </c>
      <c r="F63" s="43">
        <f>_xlfn.XLOOKUP(A63,Class_Players!A:A,Class_Players!G:G)</f>
        <v>176</v>
      </c>
      <c r="G63" s="43">
        <f t="shared" si="4"/>
        <v>0</v>
      </c>
      <c r="H63" s="43">
        <f>_xlfn.XLOOKUP(A63,Class_Players!$A:$A,Class_Players!$F:$F,"")</f>
        <v>14038</v>
      </c>
      <c r="I63" s="44">
        <f t="shared" si="6"/>
        <v>0</v>
      </c>
      <c r="J63" s="43">
        <f t="shared" si="1"/>
        <v>0</v>
      </c>
      <c r="K63" s="44" cm="1">
        <f t="array" ref="K63">IF(D63="Gadget",_xlfn.IFS(I63&gt;=0.2,0.5,I63&gt;=0.1,0.35,I63&gt;=0.05,0.2,TRUE,0),IF(D63="Grenade",_xlfn.IFS(I63&gt;=0.2,1,I63&gt;=0.1,0.7,I63&gt;=0.05,0.4,TRUE,0),0))</f>
        <v>0</v>
      </c>
      <c r="L63" s="57">
        <f t="shared" si="13"/>
        <v>0</v>
      </c>
    </row>
    <row r="64" spans="1:12" x14ac:dyDescent="0.25">
      <c r="A64" s="42" t="str" cm="1">
        <f t="array" ref="A64">IFERROR(INDEX(_xlfn._xlws.FILTER(Class_Players!A:A,Class_Players!B:B="Engineer"),QUOTIENT(ROW()-ROW($A$2),12)+1),"")</f>
        <v>|bulletproof64</v>
      </c>
      <c r="B64" s="42" t="str">
        <f>_xlfn.XLOOKUP(A64,Class_Players!$A:$A,Class_Players!$B:$B,"")</f>
        <v>Engineer</v>
      </c>
      <c r="C64" s="42" t="str" cm="1">
        <f t="array" ref="C64">INDEX(Lookups!$B$2:$B$13,MOD(ROW()-ROW($B$2),ROWS(Lookups!$B$2:$B$13))+1)</f>
        <v>RPG-7V2 (Unguided Rocket Launcher)</v>
      </c>
      <c r="D64" s="38" t="str">
        <f>_xlfn.XLOOKUP(C64,Analysis_Gadgets!$C:$C,Analysis_Gadgets!$B:$B)</f>
        <v>Gadget</v>
      </c>
      <c r="E64" s="43">
        <v>10649</v>
      </c>
      <c r="F64" s="43">
        <f>_xlfn.XLOOKUP(A64,Class_Players!A:A,Class_Players!G:G)</f>
        <v>176</v>
      </c>
      <c r="G64" s="43">
        <f t="shared" si="4"/>
        <v>60.50568181818182</v>
      </c>
      <c r="H64" s="43">
        <f>_xlfn.XLOOKUP(A64,Class_Players!$A:$A,Class_Players!$F:$F,"")</f>
        <v>14038</v>
      </c>
      <c r="I64" s="44">
        <f t="shared" si="6"/>
        <v>0.75858384385240063</v>
      </c>
      <c r="J64" s="43">
        <f t="shared" si="1"/>
        <v>1</v>
      </c>
      <c r="K64" s="44" cm="1">
        <f t="array" ref="K64">IF(D64="Gadget",_xlfn.IFS(I64&gt;=0.2,0.5,I64&gt;=0.1,0.35,I64&gt;=0.05,0.2,TRUE,0),IF(D64="Grenade",_xlfn.IFS(I64&gt;=0.2,1,I64&gt;=0.1,0.7,I64&gt;=0.05,0.4,TRUE,0),0))</f>
        <v>0.5</v>
      </c>
      <c r="L64" s="57">
        <f t="shared" si="13"/>
        <v>1</v>
      </c>
    </row>
    <row r="65" spans="1:12" x14ac:dyDescent="0.25">
      <c r="A65" s="42" t="str" cm="1">
        <f t="array" ref="A65">IFERROR(INDEX(_xlfn._xlws.FILTER(Class_Players!A:A,Class_Players!B:B="Engineer"),QUOTIENT(ROW()-ROW($A$2),12)+1),"")</f>
        <v>|bulletproof64</v>
      </c>
      <c r="B65" s="42" t="str">
        <f>_xlfn.XLOOKUP(A65,Class_Players!$A:$A,Class_Players!$B:$B,"")</f>
        <v>Engineer</v>
      </c>
      <c r="C65" s="42" t="str" cm="1">
        <f t="array" ref="C65">INDEX(Lookups!$B$2:$B$13,MOD(ROW()-ROW($B$2),ROWS(Lookups!$B$2:$B$13))+1)</f>
        <v>MAS 148 (Long-Range Launcher)</v>
      </c>
      <c r="D65" s="38" t="str">
        <f>_xlfn.XLOOKUP(C65,Analysis_Gadgets!$C:$C,Analysis_Gadgets!$B:$B)</f>
        <v>Gadget</v>
      </c>
      <c r="E65" s="43">
        <v>0</v>
      </c>
      <c r="F65" s="43">
        <f>_xlfn.XLOOKUP(A65,Class_Players!A:A,Class_Players!G:G)</f>
        <v>176</v>
      </c>
      <c r="G65" s="43">
        <f t="shared" si="4"/>
        <v>0</v>
      </c>
      <c r="H65" s="43">
        <f>_xlfn.XLOOKUP(A65,Class_Players!$A:$A,Class_Players!$F:$F,"")</f>
        <v>14038</v>
      </c>
      <c r="I65" s="44">
        <f t="shared" si="6"/>
        <v>0</v>
      </c>
      <c r="J65" s="43">
        <f t="shared" si="1"/>
        <v>0</v>
      </c>
      <c r="K65" s="44" cm="1">
        <f t="array" ref="K65">IF(D65="Gadget",_xlfn.IFS(I65&gt;=0.2,0.5,I65&gt;=0.1,0.35,I65&gt;=0.05,0.2,TRUE,0),IF(D65="Grenade",_xlfn.IFS(I65&gt;=0.2,1,I65&gt;=0.1,0.7,I65&gt;=0.05,0.4,TRUE,0),0))</f>
        <v>0</v>
      </c>
      <c r="L65" s="57">
        <f t="shared" si="13"/>
        <v>0</v>
      </c>
    </row>
    <row r="66" spans="1:12" x14ac:dyDescent="0.25">
      <c r="A66" s="42" t="str" cm="1">
        <f t="array" ref="A66">IFERROR(INDEX(_xlfn._xlws.FILTER(Class_Players!A:A,Class_Players!B:B="Engineer"),QUOTIENT(ROW()-ROW($A$2),12)+1),"")</f>
        <v>|bulletproof64</v>
      </c>
      <c r="B66" s="42" t="str">
        <f>_xlfn.XLOOKUP(A66,Class_Players!$A:$A,Class_Players!$B:$B,"")</f>
        <v>Engineer</v>
      </c>
      <c r="C66" s="42" t="str" cm="1">
        <f t="array" ref="C66">INDEX(Lookups!$B$2:$B$13,MOD(ROW()-ROW($B$2),ROWS(Lookups!$B$2:$B$13))+1)</f>
        <v>M136 AT (Aim-Guided Launcher)</v>
      </c>
      <c r="D66" s="38" t="str">
        <f>_xlfn.XLOOKUP(C66,Analysis_Gadgets!$C:$C,Analysis_Gadgets!$B:$B)</f>
        <v>Gadget</v>
      </c>
      <c r="E66" s="43">
        <v>0</v>
      </c>
      <c r="F66" s="43">
        <f>_xlfn.XLOOKUP(A66,Class_Players!A:A,Class_Players!G:G)</f>
        <v>176</v>
      </c>
      <c r="G66" s="43">
        <f t="shared" si="4"/>
        <v>0</v>
      </c>
      <c r="H66" s="43">
        <f>_xlfn.XLOOKUP(A66,Class_Players!$A:$A,Class_Players!$F:$F,"")</f>
        <v>14038</v>
      </c>
      <c r="I66" s="44">
        <f t="shared" si="6"/>
        <v>0</v>
      </c>
      <c r="J66" s="43">
        <f t="shared" si="1"/>
        <v>0</v>
      </c>
      <c r="K66" s="44" cm="1">
        <f t="array" ref="K66">IF(D66="Gadget",_xlfn.IFS(I66&gt;=0.2,0.5,I66&gt;=0.1,0.35,I66&gt;=0.05,0.2,TRUE,0),IF(D66="Grenade",_xlfn.IFS(I66&gt;=0.2,1,I66&gt;=0.1,0.7,I66&gt;=0.05,0.4,TRUE,0),0))</f>
        <v>0</v>
      </c>
      <c r="L66" s="57">
        <f t="shared" si="13"/>
        <v>0</v>
      </c>
    </row>
    <row r="67" spans="1:12" x14ac:dyDescent="0.25">
      <c r="A67" s="42" t="str" cm="1">
        <f t="array" ref="A67">IFERROR(INDEX(_xlfn._xlws.FILTER(Class_Players!A:A,Class_Players!B:B="Engineer"),QUOTIENT(ROW()-ROW($A$2),12)+1),"")</f>
        <v>|bulletproof64</v>
      </c>
      <c r="B67" s="42" t="str">
        <f>_xlfn.XLOOKUP(A67,Class_Players!$A:$A,Class_Players!$B:$B,"")</f>
        <v>Engineer</v>
      </c>
      <c r="C67" s="42" t="str" cm="1">
        <f t="array" ref="C67">INDEX(Lookups!$B$2:$B$13,MOD(ROW()-ROW($B$2),ROWS(Lookups!$B$2:$B$13))+1)</f>
        <v>Supply Crate</v>
      </c>
      <c r="D67" s="38" t="str">
        <f>_xlfn.XLOOKUP(C67,Analysis_Gadgets!$C:$C,Analysis_Gadgets!$B:$B)</f>
        <v>Gadget</v>
      </c>
      <c r="E67" s="43">
        <v>17</v>
      </c>
      <c r="F67" s="43">
        <f>_xlfn.XLOOKUP(A67,Class_Players!A:A,Class_Players!G:G)</f>
        <v>176</v>
      </c>
      <c r="G67" s="43">
        <f t="shared" si="4"/>
        <v>9.6590909090909088E-2</v>
      </c>
      <c r="H67" s="43">
        <f>_xlfn.XLOOKUP(A67,Class_Players!$A:$A,Class_Players!$F:$F,"")</f>
        <v>14038</v>
      </c>
      <c r="I67" s="44">
        <f t="shared" si="6"/>
        <v>1.2109987177660636E-3</v>
      </c>
      <c r="J67" s="43">
        <f t="shared" ref="J67:J181" si="14">IF(I67&gt;=0.1,1,0)</f>
        <v>0</v>
      </c>
      <c r="K67" s="44" cm="1">
        <f t="array" ref="K67">IF(D67="Gadget",_xlfn.IFS(I67&gt;=0.2,0.5,I67&gt;=0.1,0.35,I67&gt;=0.05,0.2,TRUE,0),IF(D67="Grenade",_xlfn.IFS(I67&gt;=0.2,1,I67&gt;=0.1,0.7,I67&gt;=0.05,0.4,TRUE,0),0))</f>
        <v>0</v>
      </c>
      <c r="L67" s="57">
        <f t="shared" si="13"/>
        <v>0</v>
      </c>
    </row>
    <row r="68" spans="1:12" x14ac:dyDescent="0.25">
      <c r="A68" s="42" t="str" cm="1">
        <f t="array" ref="A68">IFERROR(INDEX(_xlfn._xlws.FILTER(Class_Players!A:A,Class_Players!B:B="Engineer"),QUOTIENT(ROW()-ROW($A$2),12)+1),"")</f>
        <v>|bulletproof64</v>
      </c>
      <c r="B68" s="42" t="str">
        <f>_xlfn.XLOOKUP(A68,Class_Players!$A:$A,Class_Players!$B:$B,"")</f>
        <v>Engineer</v>
      </c>
      <c r="C68" s="42" t="str" cm="1">
        <f t="array" ref="C68">INDEX(Lookups!$B$2:$B$13,MOD(ROW()-ROW($B$2),ROWS(Lookups!$B$2:$B$13))+1)</f>
        <v>M15 (Anti-Vehicle Mine)</v>
      </c>
      <c r="D68" s="38" t="str">
        <f>_xlfn.XLOOKUP(C68,Analysis_Gadgets!$C:$C,Analysis_Gadgets!$B:$B)</f>
        <v>Gadget</v>
      </c>
      <c r="E68" s="43">
        <v>34</v>
      </c>
      <c r="F68" s="43">
        <f>_xlfn.XLOOKUP(A68,Class_Players!A:A,Class_Players!G:G)</f>
        <v>176</v>
      </c>
      <c r="G68" s="43">
        <f t="shared" si="4"/>
        <v>0.19318181818181818</v>
      </c>
      <c r="H68" s="43">
        <f>_xlfn.XLOOKUP(A68,Class_Players!$A:$A,Class_Players!$F:$F,"")</f>
        <v>14038</v>
      </c>
      <c r="I68" s="44">
        <f t="shared" si="6"/>
        <v>2.4219974355321272E-3</v>
      </c>
      <c r="J68" s="43">
        <f t="shared" si="14"/>
        <v>0</v>
      </c>
      <c r="K68" s="44" cm="1">
        <f t="array" ref="K68">IF(D68="Gadget",_xlfn.IFS(I68&gt;=0.2,0.5,I68&gt;=0.1,0.35,I68&gt;=0.05,0.2,TRUE,0),IF(D68="Grenade",_xlfn.IFS(I68&gt;=0.2,1,I68&gt;=0.1,0.7,I68&gt;=0.05,0.4,TRUE,0),0))</f>
        <v>0</v>
      </c>
      <c r="L68" s="57">
        <f t="shared" si="13"/>
        <v>0</v>
      </c>
    </row>
    <row r="69" spans="1:12" x14ac:dyDescent="0.25">
      <c r="A69" s="42" t="str" cm="1">
        <f t="array" ref="A69">IFERROR(INDEX(_xlfn._xlws.FILTER(Class_Players!A:A,Class_Players!B:B="Engineer"),QUOTIENT(ROW()-ROW($A$2),12)+1),"")</f>
        <v>|bulletproof64</v>
      </c>
      <c r="B69" s="42" t="str">
        <f>_xlfn.XLOOKUP(A69,Class_Players!$A:$A,Class_Players!$B:$B,"")</f>
        <v>Engineer</v>
      </c>
      <c r="C69" s="42" t="str" cm="1">
        <f t="array" ref="C69">INDEX(Lookups!$B$2:$B$13,MOD(ROW()-ROW($B$2),ROWS(Lookups!$B$2:$B$13))+1)</f>
        <v>PTKM-1R (Acoustic Sensor AV Mine)</v>
      </c>
      <c r="D69" s="38" t="str">
        <f>_xlfn.XLOOKUP(C69,Analysis_Gadgets!$C:$C,Analysis_Gadgets!$B:$B)</f>
        <v>Gadget</v>
      </c>
      <c r="E69" s="43">
        <v>72</v>
      </c>
      <c r="F69" s="43">
        <f>_xlfn.XLOOKUP(A69,Class_Players!A:A,Class_Players!G:G)</f>
        <v>176</v>
      </c>
      <c r="G69" s="43">
        <f t="shared" si="4"/>
        <v>0.40909090909090912</v>
      </c>
      <c r="H69" s="43">
        <f>_xlfn.XLOOKUP(A69,Class_Players!$A:$A,Class_Players!$F:$F,"")</f>
        <v>14038</v>
      </c>
      <c r="I69" s="44">
        <f t="shared" si="6"/>
        <v>5.1289357458327396E-3</v>
      </c>
      <c r="J69" s="43">
        <f t="shared" si="14"/>
        <v>0</v>
      </c>
      <c r="K69" s="44" cm="1">
        <f t="array" ref="K69">IF(D69="Gadget",_xlfn.IFS(I69&gt;=0.2,0.5,I69&gt;=0.1,0.35,I69&gt;=0.05,0.2,TRUE,0),IF(D69="Grenade",_xlfn.IFS(I69&gt;=0.2,1,I69&gt;=0.1,0.7,I69&gt;=0.05,0.4,TRUE,0),0))</f>
        <v>0</v>
      </c>
      <c r="L69" s="57">
        <f t="shared" si="13"/>
        <v>0</v>
      </c>
    </row>
    <row r="70" spans="1:12" x14ac:dyDescent="0.25">
      <c r="A70" s="42" t="str" cm="1">
        <f t="array" ref="A70">IFERROR(INDEX(_xlfn._xlws.FILTER(Class_Players!A:A,Class_Players!B:B="Engineer"),QUOTIENT(ROW()-ROW($A$2),12)+1),"")</f>
        <v>|bulletproof64</v>
      </c>
      <c r="B70" s="42" t="str">
        <f>_xlfn.XLOOKUP(A70,Class_Players!$A:$A,Class_Players!$B:$B,"")</f>
        <v>Engineer</v>
      </c>
      <c r="C70" s="42" t="str" cm="1">
        <f t="array" ref="C70">INDEX(Lookups!$B$2:$B$13,MOD(ROW()-ROW($B$2),ROWS(Lookups!$B$2:$B$13))+1)</f>
        <v>EOD Bot</v>
      </c>
      <c r="D70" s="38" t="str">
        <f>_xlfn.XLOOKUP(C70,Analysis_Gadgets!$C:$C,Analysis_Gadgets!$B:$B)</f>
        <v>Gadget</v>
      </c>
      <c r="E70" s="43">
        <v>0</v>
      </c>
      <c r="F70" s="43">
        <f>_xlfn.XLOOKUP(A70,Class_Players!A:A,Class_Players!G:G)</f>
        <v>176</v>
      </c>
      <c r="G70" s="43">
        <f t="shared" si="4"/>
        <v>0</v>
      </c>
      <c r="H70" s="43">
        <f>_xlfn.XLOOKUP(A70,Class_Players!$A:$A,Class_Players!$F:$F,"")</f>
        <v>14038</v>
      </c>
      <c r="I70" s="44">
        <f t="shared" si="6"/>
        <v>0</v>
      </c>
      <c r="J70" s="43">
        <f t="shared" si="14"/>
        <v>0</v>
      </c>
      <c r="K70" s="44" cm="1">
        <f t="array" ref="K70">IF(D70="Gadget",_xlfn.IFS(I70&gt;=0.2,0.5,I70&gt;=0.1,0.35,I70&gt;=0.05,0.2,TRUE,0),IF(D70="Grenade",_xlfn.IFS(I70&gt;=0.2,1,I70&gt;=0.1,0.7,I70&gt;=0.05,0.4,TRUE,0),0))</f>
        <v>0</v>
      </c>
      <c r="L70" s="57">
        <f t="shared" si="13"/>
        <v>0</v>
      </c>
    </row>
    <row r="71" spans="1:12" x14ac:dyDescent="0.25">
      <c r="A71" s="42" t="str" cm="1">
        <f t="array" ref="A71">IFERROR(INDEX(_xlfn._xlws.FILTER(Class_Players!A:A,Class_Players!B:B="Engineer"),QUOTIENT(ROW()-ROW($A$2),12)+1),"")</f>
        <v>|bulletproof64</v>
      </c>
      <c r="B71" s="42" t="str">
        <f>_xlfn.XLOOKUP(A71,Class_Players!$A:$A,Class_Players!$B:$B,"")</f>
        <v>Engineer</v>
      </c>
      <c r="C71" s="42" t="str" cm="1">
        <f t="array" ref="C71">INDEX(Lookups!$B$2:$B$13,MOD(ROW()-ROW($B$2),ROWS(Lookups!$B$2:$B$13))+1)</f>
        <v>M4A1 SLAM (Tripwire Sensor AV Mine)</v>
      </c>
      <c r="D71" s="38" t="str">
        <f>_xlfn.XLOOKUP(C71,Analysis_Gadgets!$C:$C,Analysis_Gadgets!$B:$B)</f>
        <v>Gadget</v>
      </c>
      <c r="E71" s="43">
        <v>0</v>
      </c>
      <c r="F71" s="43">
        <f>_xlfn.XLOOKUP(A71,Class_Players!A:A,Class_Players!G:G)</f>
        <v>176</v>
      </c>
      <c r="G71" s="43">
        <f t="shared" si="4"/>
        <v>0</v>
      </c>
      <c r="H71" s="43">
        <f>_xlfn.XLOOKUP(A71,Class_Players!$A:$A,Class_Players!$F:$F,"")</f>
        <v>14038</v>
      </c>
      <c r="I71" s="44">
        <f t="shared" si="6"/>
        <v>0</v>
      </c>
      <c r="J71" s="43">
        <f t="shared" si="14"/>
        <v>0</v>
      </c>
      <c r="K71" s="44" cm="1">
        <f t="array" ref="K71">IF(D71="Gadget",_xlfn.IFS(I71&gt;=0.2,0.5,I71&gt;=0.1,0.35,I71&gt;=0.05,0.2,TRUE,0),IF(D71="Grenade",_xlfn.IFS(I71&gt;=0.2,1,I71&gt;=0.1,0.7,I71&gt;=0.05,0.4,TRUE,0),0))</f>
        <v>0</v>
      </c>
      <c r="L71" s="57">
        <f t="shared" si="13"/>
        <v>0</v>
      </c>
    </row>
    <row r="72" spans="1:12" x14ac:dyDescent="0.25">
      <c r="A72" s="42" t="str" cm="1">
        <f t="array" ref="A72">IFERROR(INDEX(_xlfn._xlws.FILTER(Class_Players!A:A,Class_Players!B:B="Engineer"),QUOTIENT(ROW()-ROW($A$2),12)+1),"")</f>
        <v>|bulletproof64</v>
      </c>
      <c r="B72" s="42" t="str">
        <f>_xlfn.XLOOKUP(A72,Class_Players!$A:$A,Class_Players!$B:$B,"")</f>
        <v>Engineer</v>
      </c>
      <c r="C72" s="42" t="str" cm="1">
        <f t="array" ref="C72">INDEX(Lookups!$B$2:$B$13,MOD(ROW()-ROW($B$2),ROWS(Lookups!$B$2:$B$13))+1)</f>
        <v>Mini Frag Grenade</v>
      </c>
      <c r="D72" s="38" t="str">
        <f>_xlfn.XLOOKUP(C72,Analysis_Gadgets!$C:$C,Analysis_Gadgets!$B:$B)</f>
        <v>Grenade</v>
      </c>
      <c r="E72" s="43">
        <v>3062</v>
      </c>
      <c r="F72" s="43">
        <f>_xlfn.XLOOKUP(A72,Class_Players!A:A,Class_Players!G:G)</f>
        <v>176</v>
      </c>
      <c r="G72" s="43">
        <f t="shared" si="4"/>
        <v>17.397727272727273</v>
      </c>
      <c r="H72" s="43">
        <f>_xlfn.XLOOKUP(A72,Class_Players!$A:$A,Class_Players!$F:$F,"")</f>
        <v>14038</v>
      </c>
      <c r="I72" s="44">
        <f t="shared" si="6"/>
        <v>0.21812223963527569</v>
      </c>
      <c r="J72" s="43">
        <f t="shared" si="14"/>
        <v>1</v>
      </c>
      <c r="K72" s="44" cm="1">
        <f t="array" ref="K72">IF(D72="Gadget",_xlfn.IFS(I72&gt;=0.2,0.5,I72&gt;=0.1,0.35,I72&gt;=0.05,0.2,TRUE,0),IF(D72="Grenade",_xlfn.IFS(I72&gt;=0.2,1,I72&gt;=0.1,0.7,I72&gt;=0.05,0.4,TRUE,0),0))</f>
        <v>1</v>
      </c>
      <c r="L72" s="57">
        <f t="shared" ref="L72:L73" si="15">IF($K72=0,0,$K72 / SUMIFS($K:$K,$A:$A,$A72,$D:$D,"Grenade"))</f>
        <v>1</v>
      </c>
    </row>
    <row r="73" spans="1:12" x14ac:dyDescent="0.25">
      <c r="A73" s="42" t="str" cm="1">
        <f t="array" ref="A73">IFERROR(INDEX(_xlfn._xlws.FILTER(Class_Players!A:A,Class_Players!B:B="Engineer"),QUOTIENT(ROW()-ROW($A$2),12)+1),"")</f>
        <v>|bulletproof64</v>
      </c>
      <c r="B73" s="42" t="str">
        <f>_xlfn.XLOOKUP(A73,Class_Players!$A:$A,Class_Players!$B:$B,"")</f>
        <v>Engineer</v>
      </c>
      <c r="C73" s="42" t="str" cm="1">
        <f t="array" ref="C73">INDEX(Lookups!$B$2:$B$13,MOD(ROW()-ROW($B$2),ROWS(Lookups!$B$2:$B$13))+1)</f>
        <v>Anti-Vehicle Grenade</v>
      </c>
      <c r="D73" s="38" t="str">
        <f>_xlfn.XLOOKUP(C73,Analysis_Gadgets!$C:$C,Analysis_Gadgets!$B:$B)</f>
        <v>Grenade</v>
      </c>
      <c r="E73" s="43">
        <v>0</v>
      </c>
      <c r="F73" s="43">
        <f>_xlfn.XLOOKUP(A73,Class_Players!A:A,Class_Players!G:G)</f>
        <v>176</v>
      </c>
      <c r="G73" s="43">
        <f t="shared" si="4"/>
        <v>0</v>
      </c>
      <c r="H73" s="43">
        <f>_xlfn.XLOOKUP(A73,Class_Players!$A:$A,Class_Players!$F:$F,"")</f>
        <v>14038</v>
      </c>
      <c r="I73" s="44">
        <f t="shared" si="6"/>
        <v>0</v>
      </c>
      <c r="J73" s="43">
        <f t="shared" si="14"/>
        <v>0</v>
      </c>
      <c r="K73" s="44" cm="1">
        <f t="array" ref="K73">IF(D73="Gadget",_xlfn.IFS(I73&gt;=0.2,0.5,I73&gt;=0.1,0.35,I73&gt;=0.05,0.2,TRUE,0),IF(D73="Grenade",_xlfn.IFS(I73&gt;=0.2,1,I73&gt;=0.1,0.7,I73&gt;=0.05,0.4,TRUE,0),0))</f>
        <v>0</v>
      </c>
      <c r="L73" s="57">
        <f t="shared" si="15"/>
        <v>0</v>
      </c>
    </row>
    <row r="74" spans="1:12" x14ac:dyDescent="0.25">
      <c r="A74" s="42" t="str" cm="1">
        <f t="array" ref="A74">IFERROR(INDEX(_xlfn._xlws.FILTER(Class_Players!A:A,Class_Players!B:B="Engineer"),QUOTIENT(ROW()-ROW($A$2),12)+1),"")</f>
        <v>SilverBullet479</v>
      </c>
      <c r="B74" s="42" t="str">
        <f>_xlfn.XLOOKUP(A74,Class_Players!$A:$A,Class_Players!$B:$B,"")</f>
        <v>Engineer</v>
      </c>
      <c r="C74" s="42" t="str" cm="1">
        <f t="array" ref="C74">INDEX(Lookups!$B$2:$B$13,MOD(ROW()-ROW($B$2),ROWS(Lookups!$B$2:$B$13))+1)</f>
        <v>MBT-LAW (Auto-Guided Launcher)</v>
      </c>
      <c r="D74" s="38" t="str">
        <f>_xlfn.XLOOKUP(C74,Analysis_Gadgets!$C:$C,Analysis_Gadgets!$B:$B)</f>
        <v>Gadget</v>
      </c>
      <c r="E74" s="43">
        <v>0</v>
      </c>
      <c r="F74" s="43">
        <f>_xlfn.XLOOKUP(A74,Class_Players!A:A,Class_Players!G:G)</f>
        <v>301</v>
      </c>
      <c r="G74" s="43">
        <f t="shared" si="4"/>
        <v>0</v>
      </c>
      <c r="H74" s="43">
        <f>_xlfn.XLOOKUP(A74,Class_Players!$A:$A,Class_Players!$F:$F,"")</f>
        <v>14557</v>
      </c>
      <c r="I74" s="44">
        <f t="shared" si="6"/>
        <v>0</v>
      </c>
      <c r="J74" s="43">
        <f t="shared" si="14"/>
        <v>0</v>
      </c>
      <c r="K74" s="44" cm="1">
        <f t="array" ref="K74">IF(D74="Gadget",_xlfn.IFS(I74&gt;=0.2,0.5,I74&gt;=0.1,0.35,I74&gt;=0.05,0.2,TRUE,0),IF(D74="Grenade",_xlfn.IFS(I74&gt;=0.2,1,I74&gt;=0.1,0.7,I74&gt;=0.05,0.4,TRUE,0),0))</f>
        <v>0</v>
      </c>
      <c r="L74" s="57">
        <f t="shared" ref="L74:L83" si="16">IF($K74=0,0,$K74 / SUMIFS($K:$K,$A:$A,$A74,$D:$D,"Gadget"))</f>
        <v>0</v>
      </c>
    </row>
    <row r="75" spans="1:12" x14ac:dyDescent="0.25">
      <c r="A75" s="42" t="str" cm="1">
        <f t="array" ref="A75">IFERROR(INDEX(_xlfn._xlws.FILTER(Class_Players!A:A,Class_Players!B:B="Engineer"),QUOTIENT(ROW()-ROW($A$2),12)+1),"")</f>
        <v>SilverBullet479</v>
      </c>
      <c r="B75" s="42" t="str">
        <f>_xlfn.XLOOKUP(A75,Class_Players!$A:$A,Class_Players!$B:$B,"")</f>
        <v>Engineer</v>
      </c>
      <c r="C75" s="42" t="str" cm="1">
        <f t="array" ref="C75">INDEX(Lookups!$B$2:$B$13,MOD(ROW()-ROW($B$2),ROWS(Lookups!$B$2:$B$13))+1)</f>
        <v>SLM-93A (Air-Defense Launcher)</v>
      </c>
      <c r="D75" s="38" t="str">
        <f>_xlfn.XLOOKUP(C75,Analysis_Gadgets!$C:$C,Analysis_Gadgets!$B:$B)</f>
        <v>Gadget</v>
      </c>
      <c r="E75" s="43">
        <v>25</v>
      </c>
      <c r="F75" s="43">
        <f>_xlfn.XLOOKUP(A75,Class_Players!A:A,Class_Players!G:G)</f>
        <v>301</v>
      </c>
      <c r="G75" s="43">
        <f t="shared" si="4"/>
        <v>8.3056478405315617E-2</v>
      </c>
      <c r="H75" s="43">
        <f>_xlfn.XLOOKUP(A75,Class_Players!$A:$A,Class_Players!$F:$F,"")</f>
        <v>14557</v>
      </c>
      <c r="I75" s="44">
        <f t="shared" si="6"/>
        <v>1.7173868242082847E-3</v>
      </c>
      <c r="J75" s="43">
        <f t="shared" si="14"/>
        <v>0</v>
      </c>
      <c r="K75" s="44" cm="1">
        <f t="array" ref="K75">IF(D75="Gadget",_xlfn.IFS(I75&gt;=0.2,0.5,I75&gt;=0.1,0.35,I75&gt;=0.05,0.2,TRUE,0),IF(D75="Grenade",_xlfn.IFS(I75&gt;=0.2,1,I75&gt;=0.1,0.7,I75&gt;=0.05,0.4,TRUE,0),0))</f>
        <v>0</v>
      </c>
      <c r="L75" s="57">
        <f t="shared" si="16"/>
        <v>0</v>
      </c>
    </row>
    <row r="76" spans="1:12" x14ac:dyDescent="0.25">
      <c r="A76" s="42" t="str" cm="1">
        <f t="array" ref="A76">IFERROR(INDEX(_xlfn._xlws.FILTER(Class_Players!A:A,Class_Players!B:B="Engineer"),QUOTIENT(ROW()-ROW($A$2),12)+1),"")</f>
        <v>SilverBullet479</v>
      </c>
      <c r="B76" s="42" t="str">
        <f>_xlfn.XLOOKUP(A76,Class_Players!$A:$A,Class_Players!$B:$B,"")</f>
        <v>Engineer</v>
      </c>
      <c r="C76" s="42" t="str" cm="1">
        <f t="array" ref="C76">INDEX(Lookups!$B$2:$B$13,MOD(ROW()-ROW($B$2),ROWS(Lookups!$B$2:$B$13))+1)</f>
        <v>RPG-7V2 (Unguided Rocket Launcher)</v>
      </c>
      <c r="D76" s="38" t="str">
        <f>_xlfn.XLOOKUP(C76,Analysis_Gadgets!$C:$C,Analysis_Gadgets!$B:$B)</f>
        <v>Gadget</v>
      </c>
      <c r="E76" s="43">
        <v>4890</v>
      </c>
      <c r="F76" s="43">
        <f>_xlfn.XLOOKUP(A76,Class_Players!A:A,Class_Players!G:G)</f>
        <v>301</v>
      </c>
      <c r="G76" s="43">
        <f t="shared" si="4"/>
        <v>16.245847176079735</v>
      </c>
      <c r="H76" s="43">
        <f>_xlfn.XLOOKUP(A76,Class_Players!$A:$A,Class_Players!$F:$F,"")</f>
        <v>14557</v>
      </c>
      <c r="I76" s="44">
        <f t="shared" si="6"/>
        <v>0.3359208628151405</v>
      </c>
      <c r="J76" s="43">
        <f t="shared" si="14"/>
        <v>1</v>
      </c>
      <c r="K76" s="44" cm="1">
        <f t="array" ref="K76">IF(D76="Gadget",_xlfn.IFS(I76&gt;=0.2,0.5,I76&gt;=0.1,0.35,I76&gt;=0.05,0.2,TRUE,0),IF(D76="Grenade",_xlfn.IFS(I76&gt;=0.2,1,I76&gt;=0.1,0.7,I76&gt;=0.05,0.4,TRUE,0),0))</f>
        <v>0.5</v>
      </c>
      <c r="L76" s="57">
        <f t="shared" si="16"/>
        <v>0.7142857142857143</v>
      </c>
    </row>
    <row r="77" spans="1:12" x14ac:dyDescent="0.25">
      <c r="A77" s="42" t="str" cm="1">
        <f t="array" ref="A77">IFERROR(INDEX(_xlfn._xlws.FILTER(Class_Players!A:A,Class_Players!B:B="Engineer"),QUOTIENT(ROW()-ROW($A$2),12)+1),"")</f>
        <v>SilverBullet479</v>
      </c>
      <c r="B77" s="42" t="str">
        <f>_xlfn.XLOOKUP(A77,Class_Players!$A:$A,Class_Players!$B:$B,"")</f>
        <v>Engineer</v>
      </c>
      <c r="C77" s="42" t="str" cm="1">
        <f t="array" ref="C77">INDEX(Lookups!$B$2:$B$13,MOD(ROW()-ROW($B$2),ROWS(Lookups!$B$2:$B$13))+1)</f>
        <v>MAS 148 (Long-Range Launcher)</v>
      </c>
      <c r="D77" s="38" t="str">
        <f>_xlfn.XLOOKUP(C77,Analysis_Gadgets!$C:$C,Analysis_Gadgets!$B:$B)</f>
        <v>Gadget</v>
      </c>
      <c r="E77" s="43">
        <v>9</v>
      </c>
      <c r="F77" s="43">
        <f>_xlfn.XLOOKUP(A77,Class_Players!A:A,Class_Players!G:G)</f>
        <v>301</v>
      </c>
      <c r="G77" s="43">
        <f t="shared" si="4"/>
        <v>2.9900332225913623E-2</v>
      </c>
      <c r="H77" s="43">
        <f>_xlfn.XLOOKUP(A77,Class_Players!$A:$A,Class_Players!$F:$F,"")</f>
        <v>14557</v>
      </c>
      <c r="I77" s="44">
        <f t="shared" si="6"/>
        <v>6.1825925671498251E-4</v>
      </c>
      <c r="J77" s="43">
        <f t="shared" si="14"/>
        <v>0</v>
      </c>
      <c r="K77" s="44" cm="1">
        <f t="array" ref="K77">IF(D77="Gadget",_xlfn.IFS(I77&gt;=0.2,0.5,I77&gt;=0.1,0.35,I77&gt;=0.05,0.2,TRUE,0),IF(D77="Grenade",_xlfn.IFS(I77&gt;=0.2,1,I77&gt;=0.1,0.7,I77&gt;=0.05,0.4,TRUE,0),0))</f>
        <v>0</v>
      </c>
      <c r="L77" s="57">
        <f t="shared" si="16"/>
        <v>0</v>
      </c>
    </row>
    <row r="78" spans="1:12" x14ac:dyDescent="0.25">
      <c r="A78" s="42" t="str" cm="1">
        <f t="array" ref="A78">IFERROR(INDEX(_xlfn._xlws.FILTER(Class_Players!A:A,Class_Players!B:B="Engineer"),QUOTIENT(ROW()-ROW($A$2),12)+1),"")</f>
        <v>SilverBullet479</v>
      </c>
      <c r="B78" s="42" t="str">
        <f>_xlfn.XLOOKUP(A78,Class_Players!$A:$A,Class_Players!$B:$B,"")</f>
        <v>Engineer</v>
      </c>
      <c r="C78" s="42" t="str" cm="1">
        <f t="array" ref="C78">INDEX(Lookups!$B$2:$B$13,MOD(ROW()-ROW($B$2),ROWS(Lookups!$B$2:$B$13))+1)</f>
        <v>M136 AT (Aim-Guided Launcher)</v>
      </c>
      <c r="D78" s="38" t="str">
        <f>_xlfn.XLOOKUP(C78,Analysis_Gadgets!$C:$C,Analysis_Gadgets!$B:$B)</f>
        <v>Gadget</v>
      </c>
      <c r="E78" s="43">
        <v>40</v>
      </c>
      <c r="F78" s="43">
        <f>_xlfn.XLOOKUP(A78,Class_Players!A:A,Class_Players!G:G)</f>
        <v>301</v>
      </c>
      <c r="G78" s="43">
        <f t="shared" si="4"/>
        <v>0.13289036544850499</v>
      </c>
      <c r="H78" s="43">
        <f>_xlfn.XLOOKUP(A78,Class_Players!$A:$A,Class_Players!$F:$F,"")</f>
        <v>14557</v>
      </c>
      <c r="I78" s="44">
        <f t="shared" si="6"/>
        <v>2.7478189187332557E-3</v>
      </c>
      <c r="J78" s="43">
        <f t="shared" si="14"/>
        <v>0</v>
      </c>
      <c r="K78" s="44" cm="1">
        <f t="array" ref="K78">IF(D78="Gadget",_xlfn.IFS(I78&gt;=0.2,0.5,I78&gt;=0.1,0.35,I78&gt;=0.05,0.2,TRUE,0),IF(D78="Grenade",_xlfn.IFS(I78&gt;=0.2,1,I78&gt;=0.1,0.7,I78&gt;=0.05,0.4,TRUE,0),0))</f>
        <v>0</v>
      </c>
      <c r="L78" s="57">
        <f t="shared" si="16"/>
        <v>0</v>
      </c>
    </row>
    <row r="79" spans="1:12" x14ac:dyDescent="0.25">
      <c r="A79" s="42" t="str" cm="1">
        <f t="array" ref="A79">IFERROR(INDEX(_xlfn._xlws.FILTER(Class_Players!A:A,Class_Players!B:B="Engineer"),QUOTIENT(ROW()-ROW($A$2),12)+1),"")</f>
        <v>SilverBullet479</v>
      </c>
      <c r="B79" s="42" t="str">
        <f>_xlfn.XLOOKUP(A79,Class_Players!$A:$A,Class_Players!$B:$B,"")</f>
        <v>Engineer</v>
      </c>
      <c r="C79" s="42" t="str" cm="1">
        <f t="array" ref="C79">INDEX(Lookups!$B$2:$B$13,MOD(ROW()-ROW($B$2),ROWS(Lookups!$B$2:$B$13))+1)</f>
        <v>Supply Crate</v>
      </c>
      <c r="D79" s="38" t="str">
        <f>_xlfn.XLOOKUP(C79,Analysis_Gadgets!$C:$C,Analysis_Gadgets!$B:$B)</f>
        <v>Gadget</v>
      </c>
      <c r="E79" s="43">
        <v>6</v>
      </c>
      <c r="F79" s="43">
        <f>_xlfn.XLOOKUP(A79,Class_Players!A:A,Class_Players!G:G)</f>
        <v>301</v>
      </c>
      <c r="G79" s="43">
        <f t="shared" ref="G79:G121" si="17">IF(F79=0,"",E79/(F79))</f>
        <v>1.9933554817275746E-2</v>
      </c>
      <c r="H79" s="43">
        <f>_xlfn.XLOOKUP(A79,Class_Players!$A:$A,Class_Players!$F:$F,"")</f>
        <v>14557</v>
      </c>
      <c r="I79" s="44">
        <f t="shared" si="6"/>
        <v>4.1217283780998831E-4</v>
      </c>
      <c r="J79" s="43">
        <f t="shared" si="14"/>
        <v>0</v>
      </c>
      <c r="K79" s="44" cm="1">
        <f t="array" ref="K79">IF(D79="Gadget",_xlfn.IFS(I79&gt;=0.2,0.5,I79&gt;=0.1,0.35,I79&gt;=0.05,0.2,TRUE,0),IF(D79="Grenade",_xlfn.IFS(I79&gt;=0.2,1,I79&gt;=0.1,0.7,I79&gt;=0.05,0.4,TRUE,0),0))</f>
        <v>0</v>
      </c>
      <c r="L79" s="57">
        <f t="shared" si="16"/>
        <v>0</v>
      </c>
    </row>
    <row r="80" spans="1:12" x14ac:dyDescent="0.25">
      <c r="A80" s="42" t="str" cm="1">
        <f t="array" ref="A80">IFERROR(INDEX(_xlfn._xlws.FILTER(Class_Players!A:A,Class_Players!B:B="Engineer"),QUOTIENT(ROW()-ROW($A$2),12)+1),"")</f>
        <v>SilverBullet479</v>
      </c>
      <c r="B80" s="42" t="str">
        <f>_xlfn.XLOOKUP(A80,Class_Players!$A:$A,Class_Players!$B:$B,"")</f>
        <v>Engineer</v>
      </c>
      <c r="C80" s="42" t="str" cm="1">
        <f t="array" ref="C80">INDEX(Lookups!$B$2:$B$13,MOD(ROW()-ROW($B$2),ROWS(Lookups!$B$2:$B$13))+1)</f>
        <v>M15 (Anti-Vehicle Mine)</v>
      </c>
      <c r="D80" s="38" t="str">
        <f>_xlfn.XLOOKUP(C80,Analysis_Gadgets!$C:$C,Analysis_Gadgets!$B:$B)</f>
        <v>Gadget</v>
      </c>
      <c r="E80" s="43">
        <v>1336</v>
      </c>
      <c r="F80" s="43">
        <f>_xlfn.XLOOKUP(A80,Class_Players!A:A,Class_Players!G:G)</f>
        <v>301</v>
      </c>
      <c r="G80" s="43">
        <f t="shared" si="17"/>
        <v>4.4385382059800662</v>
      </c>
      <c r="H80" s="43">
        <f>_xlfn.XLOOKUP(A80,Class_Players!$A:$A,Class_Players!$F:$F,"")</f>
        <v>14557</v>
      </c>
      <c r="I80" s="44">
        <f t="shared" si="6"/>
        <v>9.177715188569073E-2</v>
      </c>
      <c r="J80" s="43">
        <f t="shared" si="14"/>
        <v>0</v>
      </c>
      <c r="K80" s="44" cm="1">
        <f t="array" ref="K80">IF(D80="Gadget",_xlfn.IFS(I80&gt;=0.2,0.5,I80&gt;=0.1,0.35,I80&gt;=0.05,0.2,TRUE,0),IF(D80="Grenade",_xlfn.IFS(I80&gt;=0.2,1,I80&gt;=0.1,0.7,I80&gt;=0.05,0.4,TRUE,0),0))</f>
        <v>0.2</v>
      </c>
      <c r="L80" s="57">
        <f t="shared" si="16"/>
        <v>0.28571428571428575</v>
      </c>
    </row>
    <row r="81" spans="1:12" x14ac:dyDescent="0.25">
      <c r="A81" s="42" t="str" cm="1">
        <f t="array" ref="A81">IFERROR(INDEX(_xlfn._xlws.FILTER(Class_Players!A:A,Class_Players!B:B="Engineer"),QUOTIENT(ROW()-ROW($A$2),12)+1),"")</f>
        <v>SilverBullet479</v>
      </c>
      <c r="B81" s="42" t="str">
        <f>_xlfn.XLOOKUP(A81,Class_Players!$A:$A,Class_Players!$B:$B,"")</f>
        <v>Engineer</v>
      </c>
      <c r="C81" s="42" t="str" cm="1">
        <f t="array" ref="C81">INDEX(Lookups!$B$2:$B$13,MOD(ROW()-ROW($B$2),ROWS(Lookups!$B$2:$B$13))+1)</f>
        <v>PTKM-1R (Acoustic Sensor AV Mine)</v>
      </c>
      <c r="D81" s="38" t="str">
        <f>_xlfn.XLOOKUP(C81,Analysis_Gadgets!$C:$C,Analysis_Gadgets!$B:$B)</f>
        <v>Gadget</v>
      </c>
      <c r="E81" s="43">
        <v>76</v>
      </c>
      <c r="F81" s="43">
        <f>_xlfn.XLOOKUP(A81,Class_Players!A:A,Class_Players!G:G)</f>
        <v>301</v>
      </c>
      <c r="G81" s="43">
        <f t="shared" si="17"/>
        <v>0.25249169435215946</v>
      </c>
      <c r="H81" s="43">
        <f>_xlfn.XLOOKUP(A81,Class_Players!$A:$A,Class_Players!$F:$F,"")</f>
        <v>14557</v>
      </c>
      <c r="I81" s="44">
        <f t="shared" ref="I81:I121" si="18">IF(H81=0,"",E81/H81)</f>
        <v>5.2208559455931853E-3</v>
      </c>
      <c r="J81" s="43">
        <f t="shared" si="14"/>
        <v>0</v>
      </c>
      <c r="K81" s="44" cm="1">
        <f t="array" ref="K81">IF(D81="Gadget",_xlfn.IFS(I81&gt;=0.2,0.5,I81&gt;=0.1,0.35,I81&gt;=0.05,0.2,TRUE,0),IF(D81="Grenade",_xlfn.IFS(I81&gt;=0.2,1,I81&gt;=0.1,0.7,I81&gt;=0.05,0.4,TRUE,0),0))</f>
        <v>0</v>
      </c>
      <c r="L81" s="57">
        <f t="shared" si="16"/>
        <v>0</v>
      </c>
    </row>
    <row r="82" spans="1:12" x14ac:dyDescent="0.25">
      <c r="A82" s="42" t="str" cm="1">
        <f t="array" ref="A82">IFERROR(INDEX(_xlfn._xlws.FILTER(Class_Players!A:A,Class_Players!B:B="Engineer"),QUOTIENT(ROW()-ROW($A$2),12)+1),"")</f>
        <v>SilverBullet479</v>
      </c>
      <c r="B82" s="42" t="str">
        <f>_xlfn.XLOOKUP(A82,Class_Players!$A:$A,Class_Players!$B:$B,"")</f>
        <v>Engineer</v>
      </c>
      <c r="C82" s="42" t="str" cm="1">
        <f t="array" ref="C82">INDEX(Lookups!$B$2:$B$13,MOD(ROW()-ROW($B$2),ROWS(Lookups!$B$2:$B$13))+1)</f>
        <v>EOD Bot</v>
      </c>
      <c r="D82" s="38" t="str">
        <f>_xlfn.XLOOKUP(C82,Analysis_Gadgets!$C:$C,Analysis_Gadgets!$B:$B)</f>
        <v>Gadget</v>
      </c>
      <c r="E82" s="43">
        <v>1</v>
      </c>
      <c r="F82" s="43">
        <f>_xlfn.XLOOKUP(A82,Class_Players!A:A,Class_Players!G:G)</f>
        <v>301</v>
      </c>
      <c r="G82" s="43">
        <f t="shared" si="17"/>
        <v>3.3222591362126247E-3</v>
      </c>
      <c r="H82" s="43">
        <f>_xlfn.XLOOKUP(A82,Class_Players!$A:$A,Class_Players!$F:$F,"")</f>
        <v>14557</v>
      </c>
      <c r="I82" s="44">
        <f t="shared" si="18"/>
        <v>6.8695472968331389E-5</v>
      </c>
      <c r="J82" s="43">
        <f t="shared" si="14"/>
        <v>0</v>
      </c>
      <c r="K82" s="44" cm="1">
        <f t="array" ref="K82">IF(D82="Gadget",_xlfn.IFS(I82&gt;=0.2,0.5,I82&gt;=0.1,0.35,I82&gt;=0.05,0.2,TRUE,0),IF(D82="Grenade",_xlfn.IFS(I82&gt;=0.2,1,I82&gt;=0.1,0.7,I82&gt;=0.05,0.4,TRUE,0),0))</f>
        <v>0</v>
      </c>
      <c r="L82" s="57">
        <f t="shared" si="16"/>
        <v>0</v>
      </c>
    </row>
    <row r="83" spans="1:12" x14ac:dyDescent="0.25">
      <c r="A83" s="42" t="str" cm="1">
        <f t="array" ref="A83">IFERROR(INDEX(_xlfn._xlws.FILTER(Class_Players!A:A,Class_Players!B:B="Engineer"),QUOTIENT(ROW()-ROW($A$2),12)+1),"")</f>
        <v>SilverBullet479</v>
      </c>
      <c r="B83" s="42" t="str">
        <f>_xlfn.XLOOKUP(A83,Class_Players!$A:$A,Class_Players!$B:$B,"")</f>
        <v>Engineer</v>
      </c>
      <c r="C83" s="42" t="str" cm="1">
        <f t="array" ref="C83">INDEX(Lookups!$B$2:$B$13,MOD(ROW()-ROW($B$2),ROWS(Lookups!$B$2:$B$13))+1)</f>
        <v>M4A1 SLAM (Tripwire Sensor AV Mine)</v>
      </c>
      <c r="D83" s="38" t="str">
        <f>_xlfn.XLOOKUP(C83,Analysis_Gadgets!$C:$C,Analysis_Gadgets!$B:$B)</f>
        <v>Gadget</v>
      </c>
      <c r="E83" s="43">
        <v>0</v>
      </c>
      <c r="F83" s="43">
        <f>_xlfn.XLOOKUP(A83,Class_Players!A:A,Class_Players!G:G)</f>
        <v>301</v>
      </c>
      <c r="G83" s="43">
        <f t="shared" si="17"/>
        <v>0</v>
      </c>
      <c r="H83" s="43">
        <f>_xlfn.XLOOKUP(A83,Class_Players!$A:$A,Class_Players!$F:$F,"")</f>
        <v>14557</v>
      </c>
      <c r="I83" s="44">
        <f t="shared" si="18"/>
        <v>0</v>
      </c>
      <c r="J83" s="43">
        <f t="shared" si="14"/>
        <v>0</v>
      </c>
      <c r="K83" s="44" cm="1">
        <f t="array" ref="K83">IF(D83="Gadget",_xlfn.IFS(I83&gt;=0.2,0.5,I83&gt;=0.1,0.35,I83&gt;=0.05,0.2,TRUE,0),IF(D83="Grenade",_xlfn.IFS(I83&gt;=0.2,1,I83&gt;=0.1,0.7,I83&gt;=0.05,0.4,TRUE,0),0))</f>
        <v>0</v>
      </c>
      <c r="L83" s="57">
        <f t="shared" si="16"/>
        <v>0</v>
      </c>
    </row>
    <row r="84" spans="1:12" x14ac:dyDescent="0.25">
      <c r="A84" s="42" t="str" cm="1">
        <f t="array" ref="A84">IFERROR(INDEX(_xlfn._xlws.FILTER(Class_Players!A:A,Class_Players!B:B="Engineer"),QUOTIENT(ROW()-ROW($A$2),12)+1),"")</f>
        <v>SilverBullet479</v>
      </c>
      <c r="B84" s="42" t="str">
        <f>_xlfn.XLOOKUP(A84,Class_Players!$A:$A,Class_Players!$B:$B,"")</f>
        <v>Engineer</v>
      </c>
      <c r="C84" s="42" t="str" cm="1">
        <f t="array" ref="C84">INDEX(Lookups!$B$2:$B$13,MOD(ROW()-ROW($B$2),ROWS(Lookups!$B$2:$B$13))+1)</f>
        <v>Mini Frag Grenade</v>
      </c>
      <c r="D84" s="38" t="str">
        <f>_xlfn.XLOOKUP(C84,Analysis_Gadgets!$C:$C,Analysis_Gadgets!$B:$B)</f>
        <v>Grenade</v>
      </c>
      <c r="E84" s="43">
        <v>6</v>
      </c>
      <c r="F84" s="43">
        <f>_xlfn.XLOOKUP(A84,Class_Players!A:A,Class_Players!G:G)</f>
        <v>301</v>
      </c>
      <c r="G84" s="43">
        <f t="shared" si="17"/>
        <v>1.9933554817275746E-2</v>
      </c>
      <c r="H84" s="43">
        <f>_xlfn.XLOOKUP(A84,Class_Players!$A:$A,Class_Players!$F:$F,"")</f>
        <v>14557</v>
      </c>
      <c r="I84" s="44">
        <f t="shared" si="18"/>
        <v>4.1217283780998831E-4</v>
      </c>
      <c r="J84" s="43">
        <f t="shared" si="14"/>
        <v>0</v>
      </c>
      <c r="K84" s="44" cm="1">
        <f t="array" ref="K84">IF(D84="Gadget",_xlfn.IFS(I84&gt;=0.2,0.5,I84&gt;=0.1,0.35,I84&gt;=0.05,0.2,TRUE,0),IF(D84="Grenade",_xlfn.IFS(I84&gt;=0.2,1,I84&gt;=0.1,0.7,I84&gt;=0.05,0.4,TRUE,0),0))</f>
        <v>0</v>
      </c>
      <c r="L84" s="57">
        <f t="shared" ref="L84:L85" si="19">IF($K84=0,0,$K84 / SUMIFS($K:$K,$A:$A,$A84,$D:$D,"Grenade"))</f>
        <v>0</v>
      </c>
    </row>
    <row r="85" spans="1:12" x14ac:dyDescent="0.25">
      <c r="A85" s="42" t="str" cm="1">
        <f t="array" ref="A85">IFERROR(INDEX(_xlfn._xlws.FILTER(Class_Players!A:A,Class_Players!B:B="Engineer"),QUOTIENT(ROW()-ROW($A$2),12)+1),"")</f>
        <v>SilverBullet479</v>
      </c>
      <c r="B85" s="42" t="str">
        <f>_xlfn.XLOOKUP(A85,Class_Players!$A:$A,Class_Players!$B:$B,"")</f>
        <v>Engineer</v>
      </c>
      <c r="C85" s="42" t="str" cm="1">
        <f t="array" ref="C85">INDEX(Lookups!$B$2:$B$13,MOD(ROW()-ROW($B$2),ROWS(Lookups!$B$2:$B$13))+1)</f>
        <v>Anti-Vehicle Grenade</v>
      </c>
      <c r="D85" s="38" t="str">
        <f>_xlfn.XLOOKUP(C85,Analysis_Gadgets!$C:$C,Analysis_Gadgets!$B:$B)</f>
        <v>Grenade</v>
      </c>
      <c r="E85" s="43">
        <v>0</v>
      </c>
      <c r="F85" s="43">
        <f>_xlfn.XLOOKUP(A85,Class_Players!A:A,Class_Players!G:G)</f>
        <v>301</v>
      </c>
      <c r="G85" s="43">
        <f t="shared" si="17"/>
        <v>0</v>
      </c>
      <c r="H85" s="43">
        <f>_xlfn.XLOOKUP(A85,Class_Players!$A:$A,Class_Players!$F:$F,"")</f>
        <v>14557</v>
      </c>
      <c r="I85" s="44">
        <f t="shared" si="18"/>
        <v>0</v>
      </c>
      <c r="J85" s="43">
        <f t="shared" si="14"/>
        <v>0</v>
      </c>
      <c r="K85" s="44" cm="1">
        <f t="array" ref="K85">IF(D85="Gadget",_xlfn.IFS(I85&gt;=0.2,0.5,I85&gt;=0.1,0.35,I85&gt;=0.05,0.2,TRUE,0),IF(D85="Grenade",_xlfn.IFS(I85&gt;=0.2,1,I85&gt;=0.1,0.7,I85&gt;=0.05,0.4,TRUE,0),0))</f>
        <v>0</v>
      </c>
      <c r="L85" s="57">
        <f t="shared" si="19"/>
        <v>0</v>
      </c>
    </row>
    <row r="86" spans="1:12" x14ac:dyDescent="0.25">
      <c r="A86" s="42" t="str" cm="1">
        <f t="array" ref="A86">IFERROR(INDEX(_xlfn._xlws.FILTER(Class_Players!A:A,Class_Players!B:B="Engineer"),QUOTIENT(ROW()-ROW($A$2),12)+1),"")</f>
        <v>Formerly_AL</v>
      </c>
      <c r="B86" s="42" t="str">
        <f>_xlfn.XLOOKUP(A86,Class_Players!$A:$A,Class_Players!$B:$B,"")</f>
        <v>Engineer</v>
      </c>
      <c r="C86" s="42" t="str" cm="1">
        <f t="array" ref="C86">INDEX(Lookups!$B$2:$B$13,MOD(ROW()-ROW($B$2),ROWS(Lookups!$B$2:$B$13))+1)</f>
        <v>MBT-LAW (Auto-Guided Launcher)</v>
      </c>
      <c r="D86" s="38" t="str">
        <f>_xlfn.XLOOKUP(C86,Analysis_Gadgets!$C:$C,Analysis_Gadgets!$B:$B)</f>
        <v>Gadget</v>
      </c>
      <c r="E86" s="43">
        <v>0</v>
      </c>
      <c r="F86" s="43">
        <f>_xlfn.XLOOKUP(A86,Class_Players!A:A,Class_Players!G:G)</f>
        <v>274</v>
      </c>
      <c r="G86" s="43">
        <f t="shared" si="17"/>
        <v>0</v>
      </c>
      <c r="H86" s="43">
        <f>_xlfn.XLOOKUP(A86,Class_Players!$A:$A,Class_Players!$F:$F,"")</f>
        <v>13465</v>
      </c>
      <c r="I86" s="44">
        <f t="shared" si="18"/>
        <v>0</v>
      </c>
      <c r="J86" s="43">
        <f t="shared" si="14"/>
        <v>0</v>
      </c>
      <c r="K86" s="44" cm="1">
        <f t="array" ref="K86">IF(D86="Gadget",_xlfn.IFS(I86&gt;=0.2,0.5,I86&gt;=0.1,0.35,I86&gt;=0.05,0.2,TRUE,0),IF(D86="Grenade",_xlfn.IFS(I86&gt;=0.2,1,I86&gt;=0.1,0.7,I86&gt;=0.05,0.4,TRUE,0),0))</f>
        <v>0</v>
      </c>
      <c r="L86" s="57">
        <f t="shared" ref="L86:L95" si="20">IF($K86=0,0,$K86 / SUMIFS($K:$K,$A:$A,$A86,$D:$D,"Gadget"))</f>
        <v>0</v>
      </c>
    </row>
    <row r="87" spans="1:12" x14ac:dyDescent="0.25">
      <c r="A87" s="42" t="str" cm="1">
        <f t="array" ref="A87">IFERROR(INDEX(_xlfn._xlws.FILTER(Class_Players!A:A,Class_Players!B:B="Engineer"),QUOTIENT(ROW()-ROW($A$2),12)+1),"")</f>
        <v>Formerly_AL</v>
      </c>
      <c r="B87" s="42" t="str">
        <f>_xlfn.XLOOKUP(A87,Class_Players!$A:$A,Class_Players!$B:$B,"")</f>
        <v>Engineer</v>
      </c>
      <c r="C87" s="42" t="str" cm="1">
        <f t="array" ref="C87">INDEX(Lookups!$B$2:$B$13,MOD(ROW()-ROW($B$2),ROWS(Lookups!$B$2:$B$13))+1)</f>
        <v>SLM-93A (Air-Defense Launcher)</v>
      </c>
      <c r="D87" s="38" t="str">
        <f>_xlfn.XLOOKUP(C87,Analysis_Gadgets!$C:$C,Analysis_Gadgets!$B:$B)</f>
        <v>Gadget</v>
      </c>
      <c r="E87" s="43">
        <v>354</v>
      </c>
      <c r="F87" s="43">
        <f>_xlfn.XLOOKUP(A87,Class_Players!A:A,Class_Players!G:G)</f>
        <v>274</v>
      </c>
      <c r="G87" s="43">
        <f t="shared" si="17"/>
        <v>1.2919708029197081</v>
      </c>
      <c r="H87" s="43">
        <f>_xlfn.XLOOKUP(A87,Class_Players!$A:$A,Class_Players!$F:$F,"")</f>
        <v>13465</v>
      </c>
      <c r="I87" s="44">
        <f t="shared" si="18"/>
        <v>2.6290382473078352E-2</v>
      </c>
      <c r="J87" s="43">
        <f t="shared" si="14"/>
        <v>0</v>
      </c>
      <c r="K87" s="44" cm="1">
        <f t="array" ref="K87">IF(D87="Gadget",_xlfn.IFS(I87&gt;=0.2,0.5,I87&gt;=0.1,0.35,I87&gt;=0.05,0.2,TRUE,0),IF(D87="Grenade",_xlfn.IFS(I87&gt;=0.2,1,I87&gt;=0.1,0.7,I87&gt;=0.05,0.4,TRUE,0),0))</f>
        <v>0</v>
      </c>
      <c r="L87" s="57">
        <f t="shared" si="20"/>
        <v>0</v>
      </c>
    </row>
    <row r="88" spans="1:12" x14ac:dyDescent="0.25">
      <c r="A88" s="42" t="str" cm="1">
        <f t="array" ref="A88">IFERROR(INDEX(_xlfn._xlws.FILTER(Class_Players!A:A,Class_Players!B:B="Engineer"),QUOTIENT(ROW()-ROW($A$2),12)+1),"")</f>
        <v>Formerly_AL</v>
      </c>
      <c r="B88" s="42" t="str">
        <f>_xlfn.XLOOKUP(A88,Class_Players!$A:$A,Class_Players!$B:$B,"")</f>
        <v>Engineer</v>
      </c>
      <c r="C88" s="42" t="str" cm="1">
        <f t="array" ref="C88">INDEX(Lookups!$B$2:$B$13,MOD(ROW()-ROW($B$2),ROWS(Lookups!$B$2:$B$13))+1)</f>
        <v>RPG-7V2 (Unguided Rocket Launcher)</v>
      </c>
      <c r="D88" s="38" t="str">
        <f>_xlfn.XLOOKUP(C88,Analysis_Gadgets!$C:$C,Analysis_Gadgets!$B:$B)</f>
        <v>Gadget</v>
      </c>
      <c r="E88" s="43">
        <v>9024</v>
      </c>
      <c r="F88" s="43">
        <f>_xlfn.XLOOKUP(A88,Class_Players!A:A,Class_Players!G:G)</f>
        <v>274</v>
      </c>
      <c r="G88" s="43">
        <f t="shared" si="17"/>
        <v>32.934306569343065</v>
      </c>
      <c r="H88" s="43">
        <f>_xlfn.XLOOKUP(A88,Class_Players!$A:$A,Class_Players!$F:$F,"")</f>
        <v>13465</v>
      </c>
      <c r="I88" s="44">
        <f t="shared" si="18"/>
        <v>0.67018195321203122</v>
      </c>
      <c r="J88" s="43">
        <f t="shared" si="14"/>
        <v>1</v>
      </c>
      <c r="K88" s="44" cm="1">
        <f t="array" ref="K88">IF(D88="Gadget",_xlfn.IFS(I88&gt;=0.2,0.5,I88&gt;=0.1,0.35,I88&gt;=0.05,0.2,TRUE,0),IF(D88="Grenade",_xlfn.IFS(I88&gt;=0.2,1,I88&gt;=0.1,0.7,I88&gt;=0.05,0.4,TRUE,0),0))</f>
        <v>0.5</v>
      </c>
      <c r="L88" s="57">
        <f t="shared" si="20"/>
        <v>0.5</v>
      </c>
    </row>
    <row r="89" spans="1:12" x14ac:dyDescent="0.25">
      <c r="A89" s="42" t="str" cm="1">
        <f t="array" ref="A89">IFERROR(INDEX(_xlfn._xlws.FILTER(Class_Players!A:A,Class_Players!B:B="Engineer"),QUOTIENT(ROW()-ROW($A$2),12)+1),"")</f>
        <v>Formerly_AL</v>
      </c>
      <c r="B89" s="42" t="str">
        <f>_xlfn.XLOOKUP(A89,Class_Players!$A:$A,Class_Players!$B:$B,"")</f>
        <v>Engineer</v>
      </c>
      <c r="C89" s="42" t="str" cm="1">
        <f t="array" ref="C89">INDEX(Lookups!$B$2:$B$13,MOD(ROW()-ROW($B$2),ROWS(Lookups!$B$2:$B$13))+1)</f>
        <v>MAS 148 (Long-Range Launcher)</v>
      </c>
      <c r="D89" s="38" t="str">
        <f>_xlfn.XLOOKUP(C89,Analysis_Gadgets!$C:$C,Analysis_Gadgets!$B:$B)</f>
        <v>Gadget</v>
      </c>
      <c r="E89" s="43">
        <v>29</v>
      </c>
      <c r="F89" s="43">
        <f>_xlfn.XLOOKUP(A89,Class_Players!A:A,Class_Players!G:G)</f>
        <v>274</v>
      </c>
      <c r="G89" s="43">
        <f t="shared" si="17"/>
        <v>0.10583941605839416</v>
      </c>
      <c r="H89" s="43">
        <f>_xlfn.XLOOKUP(A89,Class_Players!$A:$A,Class_Players!$F:$F,"")</f>
        <v>13465</v>
      </c>
      <c r="I89" s="44">
        <f t="shared" si="18"/>
        <v>2.1537318975120684E-3</v>
      </c>
      <c r="J89" s="43">
        <f t="shared" si="14"/>
        <v>0</v>
      </c>
      <c r="K89" s="44" cm="1">
        <f t="array" ref="K89">IF(D89="Gadget",_xlfn.IFS(I89&gt;=0.2,0.5,I89&gt;=0.1,0.35,I89&gt;=0.05,0.2,TRUE,0),IF(D89="Grenade",_xlfn.IFS(I89&gt;=0.2,1,I89&gt;=0.1,0.7,I89&gt;=0.05,0.4,TRUE,0),0))</f>
        <v>0</v>
      </c>
      <c r="L89" s="57">
        <f t="shared" si="20"/>
        <v>0</v>
      </c>
    </row>
    <row r="90" spans="1:12" x14ac:dyDescent="0.25">
      <c r="A90" s="42" t="str" cm="1">
        <f t="array" ref="A90">IFERROR(INDEX(_xlfn._xlws.FILTER(Class_Players!A:A,Class_Players!B:B="Engineer"),QUOTIENT(ROW()-ROW($A$2),12)+1),"")</f>
        <v>Formerly_AL</v>
      </c>
      <c r="B90" s="42" t="str">
        <f>_xlfn.XLOOKUP(A90,Class_Players!$A:$A,Class_Players!$B:$B,"")</f>
        <v>Engineer</v>
      </c>
      <c r="C90" s="42" t="str" cm="1">
        <f t="array" ref="C90">INDEX(Lookups!$B$2:$B$13,MOD(ROW()-ROW($B$2),ROWS(Lookups!$B$2:$B$13))+1)</f>
        <v>M136 AT (Aim-Guided Launcher)</v>
      </c>
      <c r="D90" s="38" t="str">
        <f>_xlfn.XLOOKUP(C90,Analysis_Gadgets!$C:$C,Analysis_Gadgets!$B:$B)</f>
        <v>Gadget</v>
      </c>
      <c r="E90" s="43">
        <v>7</v>
      </c>
      <c r="F90" s="43">
        <f>_xlfn.XLOOKUP(A90,Class_Players!A:A,Class_Players!G:G)</f>
        <v>274</v>
      </c>
      <c r="G90" s="43">
        <f t="shared" si="17"/>
        <v>2.5547445255474453E-2</v>
      </c>
      <c r="H90" s="43">
        <f>_xlfn.XLOOKUP(A90,Class_Players!$A:$A,Class_Players!$F:$F,"")</f>
        <v>13465</v>
      </c>
      <c r="I90" s="44">
        <f t="shared" si="18"/>
        <v>5.1986632008911994E-4</v>
      </c>
      <c r="J90" s="43">
        <f t="shared" si="14"/>
        <v>0</v>
      </c>
      <c r="K90" s="44" cm="1">
        <f t="array" ref="K90">IF(D90="Gadget",_xlfn.IFS(I90&gt;=0.2,0.5,I90&gt;=0.1,0.35,I90&gt;=0.05,0.2,TRUE,0),IF(D90="Grenade",_xlfn.IFS(I90&gt;=0.2,1,I90&gt;=0.1,0.7,I90&gt;=0.05,0.4,TRUE,0),0))</f>
        <v>0</v>
      </c>
      <c r="L90" s="57">
        <f t="shared" si="20"/>
        <v>0</v>
      </c>
    </row>
    <row r="91" spans="1:12" x14ac:dyDescent="0.25">
      <c r="A91" s="42" t="str" cm="1">
        <f t="array" ref="A91">IFERROR(INDEX(_xlfn._xlws.FILTER(Class_Players!A:A,Class_Players!B:B="Engineer"),QUOTIENT(ROW()-ROW($A$2),12)+1),"")</f>
        <v>Formerly_AL</v>
      </c>
      <c r="B91" s="42" t="str">
        <f>_xlfn.XLOOKUP(A91,Class_Players!$A:$A,Class_Players!$B:$B,"")</f>
        <v>Engineer</v>
      </c>
      <c r="C91" s="42" t="str" cm="1">
        <f t="array" ref="C91">INDEX(Lookups!$B$2:$B$13,MOD(ROW()-ROW($B$2),ROWS(Lookups!$B$2:$B$13))+1)</f>
        <v>Supply Crate</v>
      </c>
      <c r="D91" s="38" t="str">
        <f>_xlfn.XLOOKUP(C91,Analysis_Gadgets!$C:$C,Analysis_Gadgets!$B:$B)</f>
        <v>Gadget</v>
      </c>
      <c r="E91" s="43">
        <v>84</v>
      </c>
      <c r="F91" s="43">
        <f>_xlfn.XLOOKUP(A91,Class_Players!A:A,Class_Players!G:G)</f>
        <v>274</v>
      </c>
      <c r="G91" s="43">
        <f t="shared" si="17"/>
        <v>0.30656934306569344</v>
      </c>
      <c r="H91" s="43">
        <f>_xlfn.XLOOKUP(A91,Class_Players!$A:$A,Class_Players!$F:$F,"")</f>
        <v>13465</v>
      </c>
      <c r="I91" s="44">
        <f t="shared" si="18"/>
        <v>6.2383958410694397E-3</v>
      </c>
      <c r="J91" s="43">
        <f t="shared" si="14"/>
        <v>0</v>
      </c>
      <c r="K91" s="44" cm="1">
        <f t="array" ref="K91">IF(D91="Gadget",_xlfn.IFS(I91&gt;=0.2,0.5,I91&gt;=0.1,0.35,I91&gt;=0.05,0.2,TRUE,0),IF(D91="Grenade",_xlfn.IFS(I91&gt;=0.2,1,I91&gt;=0.1,0.7,I91&gt;=0.05,0.4,TRUE,0),0))</f>
        <v>0</v>
      </c>
      <c r="L91" s="57">
        <f t="shared" si="20"/>
        <v>0</v>
      </c>
    </row>
    <row r="92" spans="1:12" x14ac:dyDescent="0.25">
      <c r="A92" s="42" t="str" cm="1">
        <f t="array" ref="A92">IFERROR(INDEX(_xlfn._xlws.FILTER(Class_Players!A:A,Class_Players!B:B="Engineer"),QUOTIENT(ROW()-ROW($A$2),12)+1),"")</f>
        <v>Formerly_AL</v>
      </c>
      <c r="B92" s="42" t="str">
        <f>_xlfn.XLOOKUP(A92,Class_Players!$A:$A,Class_Players!$B:$B,"")</f>
        <v>Engineer</v>
      </c>
      <c r="C92" s="42" t="str" cm="1">
        <f t="array" ref="C92">INDEX(Lookups!$B$2:$B$13,MOD(ROW()-ROW($B$2),ROWS(Lookups!$B$2:$B$13))+1)</f>
        <v>M15 (Anti-Vehicle Mine)</v>
      </c>
      <c r="D92" s="38" t="str">
        <f>_xlfn.XLOOKUP(C92,Analysis_Gadgets!$C:$C,Analysis_Gadgets!$B:$B)</f>
        <v>Gadget</v>
      </c>
      <c r="E92" s="43">
        <v>8913</v>
      </c>
      <c r="F92" s="43">
        <f>_xlfn.XLOOKUP(A92,Class_Players!A:A,Class_Players!G:G)</f>
        <v>274</v>
      </c>
      <c r="G92" s="43">
        <f t="shared" si="17"/>
        <v>32.529197080291972</v>
      </c>
      <c r="H92" s="43">
        <f>_xlfn.XLOOKUP(A92,Class_Players!$A:$A,Class_Players!$F:$F,"")</f>
        <v>13465</v>
      </c>
      <c r="I92" s="44">
        <f t="shared" si="18"/>
        <v>0.66193835870776085</v>
      </c>
      <c r="J92" s="43">
        <f t="shared" si="14"/>
        <v>1</v>
      </c>
      <c r="K92" s="44" cm="1">
        <f t="array" ref="K92">IF(D92="Gadget",_xlfn.IFS(I92&gt;=0.2,0.5,I92&gt;=0.1,0.35,I92&gt;=0.05,0.2,TRUE,0),IF(D92="Grenade",_xlfn.IFS(I92&gt;=0.2,1,I92&gt;=0.1,0.7,I92&gt;=0.05,0.4,TRUE,0),0))</f>
        <v>0.5</v>
      </c>
      <c r="L92" s="57">
        <f t="shared" si="20"/>
        <v>0.5</v>
      </c>
    </row>
    <row r="93" spans="1:12" x14ac:dyDescent="0.25">
      <c r="A93" s="42" t="str" cm="1">
        <f t="array" ref="A93">IFERROR(INDEX(_xlfn._xlws.FILTER(Class_Players!A:A,Class_Players!B:B="Engineer"),QUOTIENT(ROW()-ROW($A$2),12)+1),"")</f>
        <v>Formerly_AL</v>
      </c>
      <c r="B93" s="42" t="str">
        <f>_xlfn.XLOOKUP(A93,Class_Players!$A:$A,Class_Players!$B:$B,"")</f>
        <v>Engineer</v>
      </c>
      <c r="C93" s="42" t="str" cm="1">
        <f t="array" ref="C93">INDEX(Lookups!$B$2:$B$13,MOD(ROW()-ROW($B$2),ROWS(Lookups!$B$2:$B$13))+1)</f>
        <v>PTKM-1R (Acoustic Sensor AV Mine)</v>
      </c>
      <c r="D93" s="38" t="str">
        <f>_xlfn.XLOOKUP(C93,Analysis_Gadgets!$C:$C,Analysis_Gadgets!$B:$B)</f>
        <v>Gadget</v>
      </c>
      <c r="E93" s="43">
        <v>313</v>
      </c>
      <c r="F93" s="43">
        <f>_xlfn.XLOOKUP(A93,Class_Players!A:A,Class_Players!G:G)</f>
        <v>274</v>
      </c>
      <c r="G93" s="43">
        <f t="shared" si="17"/>
        <v>1.1423357664233578</v>
      </c>
      <c r="H93" s="43">
        <f>_xlfn.XLOOKUP(A93,Class_Players!$A:$A,Class_Players!$F:$F,"")</f>
        <v>13465</v>
      </c>
      <c r="I93" s="44">
        <f t="shared" si="18"/>
        <v>2.324545116969922E-2</v>
      </c>
      <c r="J93" s="43">
        <f t="shared" si="14"/>
        <v>0</v>
      </c>
      <c r="K93" s="44" cm="1">
        <f t="array" ref="K93">IF(D93="Gadget",_xlfn.IFS(I93&gt;=0.2,0.5,I93&gt;=0.1,0.35,I93&gt;=0.05,0.2,TRUE,0),IF(D93="Grenade",_xlfn.IFS(I93&gt;=0.2,1,I93&gt;=0.1,0.7,I93&gt;=0.05,0.4,TRUE,0),0))</f>
        <v>0</v>
      </c>
      <c r="L93" s="57">
        <f t="shared" si="20"/>
        <v>0</v>
      </c>
    </row>
    <row r="94" spans="1:12" x14ac:dyDescent="0.25">
      <c r="A94" s="42" t="str" cm="1">
        <f t="array" ref="A94">IFERROR(INDEX(_xlfn._xlws.FILTER(Class_Players!A:A,Class_Players!B:B="Engineer"),QUOTIENT(ROW()-ROW($A$2),12)+1),"")</f>
        <v>Formerly_AL</v>
      </c>
      <c r="B94" s="42" t="str">
        <f>_xlfn.XLOOKUP(A94,Class_Players!$A:$A,Class_Players!$B:$B,"")</f>
        <v>Engineer</v>
      </c>
      <c r="C94" s="42" t="str" cm="1">
        <f t="array" ref="C94">INDEX(Lookups!$B$2:$B$13,MOD(ROW()-ROW($B$2),ROWS(Lookups!$B$2:$B$13))+1)</f>
        <v>EOD Bot</v>
      </c>
      <c r="D94" s="38" t="str">
        <f>_xlfn.XLOOKUP(C94,Analysis_Gadgets!$C:$C,Analysis_Gadgets!$B:$B)</f>
        <v>Gadget</v>
      </c>
      <c r="E94" s="43">
        <v>0</v>
      </c>
      <c r="F94" s="43">
        <f>_xlfn.XLOOKUP(A94,Class_Players!A:A,Class_Players!G:G)</f>
        <v>274</v>
      </c>
      <c r="G94" s="43">
        <f t="shared" si="17"/>
        <v>0</v>
      </c>
      <c r="H94" s="43">
        <f>_xlfn.XLOOKUP(A94,Class_Players!$A:$A,Class_Players!$F:$F,"")</f>
        <v>13465</v>
      </c>
      <c r="I94" s="44">
        <f t="shared" si="18"/>
        <v>0</v>
      </c>
      <c r="J94" s="43">
        <f t="shared" si="14"/>
        <v>0</v>
      </c>
      <c r="K94" s="44" cm="1">
        <f t="array" ref="K94">IF(D94="Gadget",_xlfn.IFS(I94&gt;=0.2,0.5,I94&gt;=0.1,0.35,I94&gt;=0.05,0.2,TRUE,0),IF(D94="Grenade",_xlfn.IFS(I94&gt;=0.2,1,I94&gt;=0.1,0.7,I94&gt;=0.05,0.4,TRUE,0),0))</f>
        <v>0</v>
      </c>
      <c r="L94" s="57">
        <f t="shared" si="20"/>
        <v>0</v>
      </c>
    </row>
    <row r="95" spans="1:12" x14ac:dyDescent="0.25">
      <c r="A95" s="42" t="str" cm="1">
        <f t="array" ref="A95">IFERROR(INDEX(_xlfn._xlws.FILTER(Class_Players!A:A,Class_Players!B:B="Engineer"),QUOTIENT(ROW()-ROW($A$2),12)+1),"")</f>
        <v>Formerly_AL</v>
      </c>
      <c r="B95" s="42" t="str">
        <f>_xlfn.XLOOKUP(A95,Class_Players!$A:$A,Class_Players!$B:$B,"")</f>
        <v>Engineer</v>
      </c>
      <c r="C95" s="42" t="str" cm="1">
        <f t="array" ref="C95">INDEX(Lookups!$B$2:$B$13,MOD(ROW()-ROW($B$2),ROWS(Lookups!$B$2:$B$13))+1)</f>
        <v>M4A1 SLAM (Tripwire Sensor AV Mine)</v>
      </c>
      <c r="D95" s="38" t="str">
        <f>_xlfn.XLOOKUP(C95,Analysis_Gadgets!$C:$C,Analysis_Gadgets!$B:$B)</f>
        <v>Gadget</v>
      </c>
      <c r="E95" s="43">
        <v>311</v>
      </c>
      <c r="F95" s="43">
        <f>_xlfn.XLOOKUP(A95,Class_Players!A:A,Class_Players!G:G)</f>
        <v>274</v>
      </c>
      <c r="G95" s="43">
        <f t="shared" si="17"/>
        <v>1.135036496350365</v>
      </c>
      <c r="H95" s="43">
        <f>_xlfn.XLOOKUP(A95,Class_Players!$A:$A,Class_Players!$F:$F,"")</f>
        <v>13465</v>
      </c>
      <c r="I95" s="44">
        <f t="shared" si="18"/>
        <v>2.3096917935388043E-2</v>
      </c>
      <c r="J95" s="43">
        <f t="shared" si="14"/>
        <v>0</v>
      </c>
      <c r="K95" s="44" cm="1">
        <f t="array" ref="K95">IF(D95="Gadget",_xlfn.IFS(I95&gt;=0.2,0.5,I95&gt;=0.1,0.35,I95&gt;=0.05,0.2,TRUE,0),IF(D95="Grenade",_xlfn.IFS(I95&gt;=0.2,1,I95&gt;=0.1,0.7,I95&gt;=0.05,0.4,TRUE,0),0))</f>
        <v>0</v>
      </c>
      <c r="L95" s="57">
        <f t="shared" si="20"/>
        <v>0</v>
      </c>
    </row>
    <row r="96" spans="1:12" x14ac:dyDescent="0.25">
      <c r="A96" s="42" t="str" cm="1">
        <f t="array" ref="A96">IFERROR(INDEX(_xlfn._xlws.FILTER(Class_Players!A:A,Class_Players!B:B="Engineer"),QUOTIENT(ROW()-ROW($A$2),12)+1),"")</f>
        <v>Formerly_AL</v>
      </c>
      <c r="B96" s="42" t="str">
        <f>_xlfn.XLOOKUP(A96,Class_Players!$A:$A,Class_Players!$B:$B,"")</f>
        <v>Engineer</v>
      </c>
      <c r="C96" s="42" t="str" cm="1">
        <f t="array" ref="C96">INDEX(Lookups!$B$2:$B$13,MOD(ROW()-ROW($B$2),ROWS(Lookups!$B$2:$B$13))+1)</f>
        <v>Mini Frag Grenade</v>
      </c>
      <c r="D96" s="38" t="str">
        <f>_xlfn.XLOOKUP(C96,Analysis_Gadgets!$C:$C,Analysis_Gadgets!$B:$B)</f>
        <v>Grenade</v>
      </c>
      <c r="E96" s="43">
        <v>2</v>
      </c>
      <c r="F96" s="43">
        <f>_xlfn.XLOOKUP(A96,Class_Players!A:A,Class_Players!G:G)</f>
        <v>274</v>
      </c>
      <c r="G96" s="43">
        <f t="shared" si="17"/>
        <v>7.2992700729927005E-3</v>
      </c>
      <c r="H96" s="43">
        <f>_xlfn.XLOOKUP(A96,Class_Players!$A:$A,Class_Players!$F:$F,"")</f>
        <v>13465</v>
      </c>
      <c r="I96" s="44">
        <f t="shared" si="18"/>
        <v>1.4853323431117713E-4</v>
      </c>
      <c r="J96" s="43">
        <f t="shared" si="14"/>
        <v>0</v>
      </c>
      <c r="K96" s="44" cm="1">
        <f t="array" ref="K96">IF(D96="Gadget",_xlfn.IFS(I96&gt;=0.2,0.5,I96&gt;=0.1,0.35,I96&gt;=0.05,0.2,TRUE,0),IF(D96="Grenade",_xlfn.IFS(I96&gt;=0.2,1,I96&gt;=0.1,0.7,I96&gt;=0.05,0.4,TRUE,0),0))</f>
        <v>0</v>
      </c>
      <c r="L96" s="57">
        <f t="shared" ref="L96:L97" si="21">IF($K96=0,0,$K96 / SUMIFS($K:$K,$A:$A,$A96,$D:$D,"Grenade"))</f>
        <v>0</v>
      </c>
    </row>
    <row r="97" spans="1:12" x14ac:dyDescent="0.25">
      <c r="A97" s="42" t="str" cm="1">
        <f t="array" ref="A97">IFERROR(INDEX(_xlfn._xlws.FILTER(Class_Players!A:A,Class_Players!B:B="Engineer"),QUOTIENT(ROW()-ROW($A$2),12)+1),"")</f>
        <v>Formerly_AL</v>
      </c>
      <c r="B97" s="42" t="str">
        <f>_xlfn.XLOOKUP(A97,Class_Players!$A:$A,Class_Players!$B:$B,"")</f>
        <v>Engineer</v>
      </c>
      <c r="C97" s="42" t="str" cm="1">
        <f t="array" ref="C97">INDEX(Lookups!$B$2:$B$13,MOD(ROW()-ROW($B$2),ROWS(Lookups!$B$2:$B$13))+1)</f>
        <v>Anti-Vehicle Grenade</v>
      </c>
      <c r="D97" s="38" t="str">
        <f>_xlfn.XLOOKUP(C97,Analysis_Gadgets!$C:$C,Analysis_Gadgets!$B:$B)</f>
        <v>Grenade</v>
      </c>
      <c r="E97" s="43">
        <v>0</v>
      </c>
      <c r="F97" s="43">
        <f>_xlfn.XLOOKUP(A97,Class_Players!A:A,Class_Players!G:G)</f>
        <v>274</v>
      </c>
      <c r="G97" s="43">
        <f t="shared" si="17"/>
        <v>0</v>
      </c>
      <c r="H97" s="43">
        <f>_xlfn.XLOOKUP(A97,Class_Players!$A:$A,Class_Players!$F:$F,"")</f>
        <v>13465</v>
      </c>
      <c r="I97" s="44">
        <f t="shared" si="18"/>
        <v>0</v>
      </c>
      <c r="J97" s="43">
        <f t="shared" si="14"/>
        <v>0</v>
      </c>
      <c r="K97" s="44" cm="1">
        <f t="array" ref="K97">IF(D97="Gadget",_xlfn.IFS(I97&gt;=0.2,0.5,I97&gt;=0.1,0.35,I97&gt;=0.05,0.2,TRUE,0),IF(D97="Grenade",_xlfn.IFS(I97&gt;=0.2,1,I97&gt;=0.1,0.7,I97&gt;=0.05,0.4,TRUE,0),0))</f>
        <v>0</v>
      </c>
      <c r="L97" s="57">
        <f t="shared" si="21"/>
        <v>0</v>
      </c>
    </row>
    <row r="98" spans="1:12" x14ac:dyDescent="0.25">
      <c r="A98" s="42" t="str" cm="1">
        <f t="array" ref="A98">IFERROR(INDEX(_xlfn._xlws.FILTER(Class_Players!A:A,Class_Players!B:B="Engineer"),QUOTIENT(ROW()-ROW($A$2),12)+1),"")</f>
        <v>OleksandrEighty9</v>
      </c>
      <c r="B98" s="42" t="str">
        <f>_xlfn.XLOOKUP(A98,Class_Players!$A:$A,Class_Players!$B:$B,"")</f>
        <v>Engineer</v>
      </c>
      <c r="C98" s="42" t="str" cm="1">
        <f t="array" ref="C98">INDEX(Lookups!$B$2:$B$13,MOD(ROW()-ROW($B$2),ROWS(Lookups!$B$2:$B$13))+1)</f>
        <v>MBT-LAW (Auto-Guided Launcher)</v>
      </c>
      <c r="D98" s="38" t="str">
        <f>_xlfn.XLOOKUP(C98,Analysis_Gadgets!$C:$C,Analysis_Gadgets!$B:$B)</f>
        <v>Gadget</v>
      </c>
      <c r="E98" s="43">
        <v>0</v>
      </c>
      <c r="F98" s="43">
        <f>_xlfn.XLOOKUP(A98,Class_Players!A:A,Class_Players!G:G)</f>
        <v>388</v>
      </c>
      <c r="G98" s="43">
        <f t="shared" si="17"/>
        <v>0</v>
      </c>
      <c r="H98" s="43">
        <f>_xlfn.XLOOKUP(A98,Class_Players!$A:$A,Class_Players!$F:$F,"")</f>
        <v>13276</v>
      </c>
      <c r="I98" s="44">
        <f t="shared" si="18"/>
        <v>0</v>
      </c>
      <c r="J98" s="43">
        <f t="shared" si="14"/>
        <v>0</v>
      </c>
      <c r="K98" s="44" cm="1">
        <f t="array" ref="K98">IF(D98="Gadget",_xlfn.IFS(I98&gt;=0.2,0.5,I98&gt;=0.1,0.35,I98&gt;=0.05,0.2,TRUE,0),IF(D98="Grenade",_xlfn.IFS(I98&gt;=0.2,1,I98&gt;=0.1,0.7,I98&gt;=0.05,0.4,TRUE,0),0))</f>
        <v>0</v>
      </c>
      <c r="L98" s="57">
        <f t="shared" ref="L98:L107" si="22">IF($K98=0,0,$K98 / SUMIFS($K:$K,$A:$A,$A98,$D:$D,"Gadget"))</f>
        <v>0</v>
      </c>
    </row>
    <row r="99" spans="1:12" x14ac:dyDescent="0.25">
      <c r="A99" s="42" t="str" cm="1">
        <f t="array" ref="A99">IFERROR(INDEX(_xlfn._xlws.FILTER(Class_Players!A:A,Class_Players!B:B="Engineer"),QUOTIENT(ROW()-ROW($A$2),12)+1),"")</f>
        <v>OleksandrEighty9</v>
      </c>
      <c r="B99" s="42" t="str">
        <f>_xlfn.XLOOKUP(A99,Class_Players!$A:$A,Class_Players!$B:$B,"")</f>
        <v>Engineer</v>
      </c>
      <c r="C99" s="42" t="str" cm="1">
        <f t="array" ref="C99">INDEX(Lookups!$B$2:$B$13,MOD(ROW()-ROW($B$2),ROWS(Lookups!$B$2:$B$13))+1)</f>
        <v>SLM-93A (Air-Defense Launcher)</v>
      </c>
      <c r="D99" s="38" t="str">
        <f>_xlfn.XLOOKUP(C99,Analysis_Gadgets!$C:$C,Analysis_Gadgets!$B:$B)</f>
        <v>Gadget</v>
      </c>
      <c r="E99" s="43">
        <v>125</v>
      </c>
      <c r="F99" s="43">
        <f>_xlfn.XLOOKUP(A99,Class_Players!A:A,Class_Players!G:G)</f>
        <v>388</v>
      </c>
      <c r="G99" s="43">
        <f t="shared" si="17"/>
        <v>0.32216494845360827</v>
      </c>
      <c r="H99" s="43">
        <f>_xlfn.XLOOKUP(A99,Class_Players!$A:$A,Class_Players!$F:$F,"")</f>
        <v>13276</v>
      </c>
      <c r="I99" s="44">
        <f t="shared" si="18"/>
        <v>9.4154865923470922E-3</v>
      </c>
      <c r="J99" s="43">
        <f t="shared" si="14"/>
        <v>0</v>
      </c>
      <c r="K99" s="44" cm="1">
        <f t="array" ref="K99">IF(D99="Gadget",_xlfn.IFS(I99&gt;=0.2,0.5,I99&gt;=0.1,0.35,I99&gt;=0.05,0.2,TRUE,0),IF(D99="Grenade",_xlfn.IFS(I99&gt;=0.2,1,I99&gt;=0.1,0.7,I99&gt;=0.05,0.4,TRUE,0),0))</f>
        <v>0</v>
      </c>
      <c r="L99" s="57">
        <f t="shared" si="22"/>
        <v>0</v>
      </c>
    </row>
    <row r="100" spans="1:12" x14ac:dyDescent="0.25">
      <c r="A100" s="42" t="str" cm="1">
        <f t="array" ref="A100">IFERROR(INDEX(_xlfn._xlws.FILTER(Class_Players!A:A,Class_Players!B:B="Engineer"),QUOTIENT(ROW()-ROW($A$2),12)+1),"")</f>
        <v>OleksandrEighty9</v>
      </c>
      <c r="B100" s="42" t="str">
        <f>_xlfn.XLOOKUP(A100,Class_Players!$A:$A,Class_Players!$B:$B,"")</f>
        <v>Engineer</v>
      </c>
      <c r="C100" s="42" t="str" cm="1">
        <f t="array" ref="C100">INDEX(Lookups!$B$2:$B$13,MOD(ROW()-ROW($B$2),ROWS(Lookups!$B$2:$B$13))+1)</f>
        <v>RPG-7V2 (Unguided Rocket Launcher)</v>
      </c>
      <c r="D100" s="38" t="str">
        <f>_xlfn.XLOOKUP(C100,Analysis_Gadgets!$C:$C,Analysis_Gadgets!$B:$B)</f>
        <v>Gadget</v>
      </c>
      <c r="E100" s="43">
        <v>6366</v>
      </c>
      <c r="F100" s="43">
        <f>_xlfn.XLOOKUP(A100,Class_Players!A:A,Class_Players!G:G)</f>
        <v>388</v>
      </c>
      <c r="G100" s="43">
        <f t="shared" si="17"/>
        <v>16.407216494845361</v>
      </c>
      <c r="H100" s="43">
        <f>_xlfn.XLOOKUP(A100,Class_Players!$A:$A,Class_Players!$F:$F,"")</f>
        <v>13276</v>
      </c>
      <c r="I100" s="44">
        <f t="shared" si="18"/>
        <v>0.47951190117505271</v>
      </c>
      <c r="J100" s="43">
        <f t="shared" si="14"/>
        <v>1</v>
      </c>
      <c r="K100" s="44" cm="1">
        <f t="array" ref="K100">IF(D100="Gadget",_xlfn.IFS(I100&gt;=0.2,0.5,I100&gt;=0.1,0.35,I100&gt;=0.05,0.2,TRUE,0),IF(D100="Grenade",_xlfn.IFS(I100&gt;=0.2,1,I100&gt;=0.1,0.7,I100&gt;=0.05,0.4,TRUE,0),0))</f>
        <v>0.5</v>
      </c>
      <c r="L100" s="57">
        <f t="shared" si="22"/>
        <v>0.41666666666666669</v>
      </c>
    </row>
    <row r="101" spans="1:12" x14ac:dyDescent="0.25">
      <c r="A101" s="42" t="str" cm="1">
        <f t="array" ref="A101">IFERROR(INDEX(_xlfn._xlws.FILTER(Class_Players!A:A,Class_Players!B:B="Engineer"),QUOTIENT(ROW()-ROW($A$2),12)+1),"")</f>
        <v>OleksandrEighty9</v>
      </c>
      <c r="B101" s="42" t="str">
        <f>_xlfn.XLOOKUP(A101,Class_Players!$A:$A,Class_Players!$B:$B,"")</f>
        <v>Engineer</v>
      </c>
      <c r="C101" s="42" t="str" cm="1">
        <f t="array" ref="C101">INDEX(Lookups!$B$2:$B$13,MOD(ROW()-ROW($B$2),ROWS(Lookups!$B$2:$B$13))+1)</f>
        <v>MAS 148 (Long-Range Launcher)</v>
      </c>
      <c r="D101" s="38" t="str">
        <f>_xlfn.XLOOKUP(C101,Analysis_Gadgets!$C:$C,Analysis_Gadgets!$B:$B)</f>
        <v>Gadget</v>
      </c>
      <c r="E101" s="43">
        <v>18</v>
      </c>
      <c r="F101" s="43">
        <f>_xlfn.XLOOKUP(A101,Class_Players!A:A,Class_Players!G:G)</f>
        <v>388</v>
      </c>
      <c r="G101" s="43">
        <f t="shared" si="17"/>
        <v>4.6391752577319589E-2</v>
      </c>
      <c r="H101" s="43">
        <f>_xlfn.XLOOKUP(A101,Class_Players!$A:$A,Class_Players!$F:$F,"")</f>
        <v>13276</v>
      </c>
      <c r="I101" s="44">
        <f t="shared" si="18"/>
        <v>1.3558300692979813E-3</v>
      </c>
      <c r="J101" s="43">
        <f t="shared" si="14"/>
        <v>0</v>
      </c>
      <c r="K101" s="44" cm="1">
        <f t="array" ref="K101">IF(D101="Gadget",_xlfn.IFS(I101&gt;=0.2,0.5,I101&gt;=0.1,0.35,I101&gt;=0.05,0.2,TRUE,0),IF(D101="Grenade",_xlfn.IFS(I101&gt;=0.2,1,I101&gt;=0.1,0.7,I101&gt;=0.05,0.4,TRUE,0),0))</f>
        <v>0</v>
      </c>
      <c r="L101" s="57">
        <f t="shared" si="22"/>
        <v>0</v>
      </c>
    </row>
    <row r="102" spans="1:12" x14ac:dyDescent="0.25">
      <c r="A102" s="42" t="str" cm="1">
        <f t="array" ref="A102">IFERROR(INDEX(_xlfn._xlws.FILTER(Class_Players!A:A,Class_Players!B:B="Engineer"),QUOTIENT(ROW()-ROW($A$2),12)+1),"")</f>
        <v>OleksandrEighty9</v>
      </c>
      <c r="B102" s="42" t="str">
        <f>_xlfn.XLOOKUP(A102,Class_Players!$A:$A,Class_Players!$B:$B,"")</f>
        <v>Engineer</v>
      </c>
      <c r="C102" s="42" t="str" cm="1">
        <f t="array" ref="C102">INDEX(Lookups!$B$2:$B$13,MOD(ROW()-ROW($B$2),ROWS(Lookups!$B$2:$B$13))+1)</f>
        <v>M136 AT (Aim-Guided Launcher)</v>
      </c>
      <c r="D102" s="38" t="str">
        <f>_xlfn.XLOOKUP(C102,Analysis_Gadgets!$C:$C,Analysis_Gadgets!$B:$B)</f>
        <v>Gadget</v>
      </c>
      <c r="E102" s="43">
        <v>717</v>
      </c>
      <c r="F102" s="43">
        <f>_xlfn.XLOOKUP(A102,Class_Players!A:A,Class_Players!G:G)</f>
        <v>388</v>
      </c>
      <c r="G102" s="43">
        <f t="shared" si="17"/>
        <v>1.847938144329897</v>
      </c>
      <c r="H102" s="43">
        <f>_xlfn.XLOOKUP(A102,Class_Players!$A:$A,Class_Players!$F:$F,"")</f>
        <v>13276</v>
      </c>
      <c r="I102" s="44">
        <f t="shared" si="18"/>
        <v>5.4007231093702923E-2</v>
      </c>
      <c r="J102" s="43">
        <f t="shared" si="14"/>
        <v>0</v>
      </c>
      <c r="K102" s="44" cm="1">
        <f t="array" ref="K102">IF(D102="Gadget",_xlfn.IFS(I102&gt;=0.2,0.5,I102&gt;=0.1,0.35,I102&gt;=0.05,0.2,TRUE,0),IF(D102="Grenade",_xlfn.IFS(I102&gt;=0.2,1,I102&gt;=0.1,0.7,I102&gt;=0.05,0.4,TRUE,0),0))</f>
        <v>0.2</v>
      </c>
      <c r="L102" s="57">
        <f t="shared" si="22"/>
        <v>0.16666666666666669</v>
      </c>
    </row>
    <row r="103" spans="1:12" x14ac:dyDescent="0.25">
      <c r="A103" s="42" t="str" cm="1">
        <f t="array" ref="A103">IFERROR(INDEX(_xlfn._xlws.FILTER(Class_Players!A:A,Class_Players!B:B="Engineer"),QUOTIENT(ROW()-ROW($A$2),12)+1),"")</f>
        <v>OleksandrEighty9</v>
      </c>
      <c r="B103" s="42" t="str">
        <f>_xlfn.XLOOKUP(A103,Class_Players!$A:$A,Class_Players!$B:$B,"")</f>
        <v>Engineer</v>
      </c>
      <c r="C103" s="42" t="str" cm="1">
        <f t="array" ref="C103">INDEX(Lookups!$B$2:$B$13,MOD(ROW()-ROW($B$2),ROWS(Lookups!$B$2:$B$13))+1)</f>
        <v>Supply Crate</v>
      </c>
      <c r="D103" s="38" t="str">
        <f>_xlfn.XLOOKUP(C103,Analysis_Gadgets!$C:$C,Analysis_Gadgets!$B:$B)</f>
        <v>Gadget</v>
      </c>
      <c r="E103" s="43">
        <v>6</v>
      </c>
      <c r="F103" s="43">
        <f>_xlfn.XLOOKUP(A103,Class_Players!A:A,Class_Players!G:G)</f>
        <v>388</v>
      </c>
      <c r="G103" s="43">
        <f t="shared" si="17"/>
        <v>1.5463917525773196E-2</v>
      </c>
      <c r="H103" s="43">
        <f>_xlfn.XLOOKUP(A103,Class_Players!$A:$A,Class_Players!$F:$F,"")</f>
        <v>13276</v>
      </c>
      <c r="I103" s="44">
        <f t="shared" si="18"/>
        <v>4.5194335643266047E-4</v>
      </c>
      <c r="J103" s="43">
        <f t="shared" si="14"/>
        <v>0</v>
      </c>
      <c r="K103" s="44" cm="1">
        <f t="array" ref="K103">IF(D103="Gadget",_xlfn.IFS(I103&gt;=0.2,0.5,I103&gt;=0.1,0.35,I103&gt;=0.05,0.2,TRUE,0),IF(D103="Grenade",_xlfn.IFS(I103&gt;=0.2,1,I103&gt;=0.1,0.7,I103&gt;=0.05,0.4,TRUE,0),0))</f>
        <v>0</v>
      </c>
      <c r="L103" s="57">
        <f t="shared" si="22"/>
        <v>0</v>
      </c>
    </row>
    <row r="104" spans="1:12" x14ac:dyDescent="0.25">
      <c r="A104" s="42" t="str" cm="1">
        <f t="array" ref="A104">IFERROR(INDEX(_xlfn._xlws.FILTER(Class_Players!A:A,Class_Players!B:B="Engineer"),QUOTIENT(ROW()-ROW($A$2),12)+1),"")</f>
        <v>OleksandrEighty9</v>
      </c>
      <c r="B104" s="42" t="str">
        <f>_xlfn.XLOOKUP(A104,Class_Players!$A:$A,Class_Players!$B:$B,"")</f>
        <v>Engineer</v>
      </c>
      <c r="C104" s="42" t="str" cm="1">
        <f t="array" ref="C104">INDEX(Lookups!$B$2:$B$13,MOD(ROW()-ROW($B$2),ROWS(Lookups!$B$2:$B$13))+1)</f>
        <v>M15 (Anti-Vehicle Mine)</v>
      </c>
      <c r="D104" s="38" t="str">
        <f>_xlfn.XLOOKUP(C104,Analysis_Gadgets!$C:$C,Analysis_Gadgets!$B:$B)</f>
        <v>Gadget</v>
      </c>
      <c r="E104" s="43">
        <v>5920</v>
      </c>
      <c r="F104" s="43">
        <f>_xlfn.XLOOKUP(A104,Class_Players!A:A,Class_Players!G:G)</f>
        <v>388</v>
      </c>
      <c r="G104" s="43">
        <f t="shared" si="17"/>
        <v>15.257731958762887</v>
      </c>
      <c r="H104" s="43">
        <f>_xlfn.XLOOKUP(A104,Class_Players!$A:$A,Class_Players!$F:$F,"")</f>
        <v>13276</v>
      </c>
      <c r="I104" s="44">
        <f t="shared" si="18"/>
        <v>0.44591744501355829</v>
      </c>
      <c r="J104" s="43">
        <f t="shared" si="14"/>
        <v>1</v>
      </c>
      <c r="K104" s="44" cm="1">
        <f t="array" ref="K104">IF(D104="Gadget",_xlfn.IFS(I104&gt;=0.2,0.5,I104&gt;=0.1,0.35,I104&gt;=0.05,0.2,TRUE,0),IF(D104="Grenade",_xlfn.IFS(I104&gt;=0.2,1,I104&gt;=0.1,0.7,I104&gt;=0.05,0.4,TRUE,0),0))</f>
        <v>0.5</v>
      </c>
      <c r="L104" s="57">
        <f t="shared" si="22"/>
        <v>0.41666666666666669</v>
      </c>
    </row>
    <row r="105" spans="1:12" x14ac:dyDescent="0.25">
      <c r="A105" s="42" t="str" cm="1">
        <f t="array" ref="A105">IFERROR(INDEX(_xlfn._xlws.FILTER(Class_Players!A:A,Class_Players!B:B="Engineer"),QUOTIENT(ROW()-ROW($A$2),12)+1),"")</f>
        <v>OleksandrEighty9</v>
      </c>
      <c r="B105" s="42" t="str">
        <f>_xlfn.XLOOKUP(A105,Class_Players!$A:$A,Class_Players!$B:$B,"")</f>
        <v>Engineer</v>
      </c>
      <c r="C105" s="42" t="str" cm="1">
        <f t="array" ref="C105">INDEX(Lookups!$B$2:$B$13,MOD(ROW()-ROW($B$2),ROWS(Lookups!$B$2:$B$13))+1)</f>
        <v>PTKM-1R (Acoustic Sensor AV Mine)</v>
      </c>
      <c r="D105" s="38" t="str">
        <f>_xlfn.XLOOKUP(C105,Analysis_Gadgets!$C:$C,Analysis_Gadgets!$B:$B)</f>
        <v>Gadget</v>
      </c>
      <c r="E105" s="43">
        <v>13</v>
      </c>
      <c r="F105" s="43">
        <f>_xlfn.XLOOKUP(A105,Class_Players!A:A,Class_Players!G:G)</f>
        <v>388</v>
      </c>
      <c r="G105" s="43">
        <f t="shared" si="17"/>
        <v>3.3505154639175257E-2</v>
      </c>
      <c r="H105" s="43">
        <f>_xlfn.XLOOKUP(A105,Class_Players!$A:$A,Class_Players!$F:$F,"")</f>
        <v>13276</v>
      </c>
      <c r="I105" s="44">
        <f t="shared" si="18"/>
        <v>9.7921060560409758E-4</v>
      </c>
      <c r="J105" s="43">
        <f t="shared" si="14"/>
        <v>0</v>
      </c>
      <c r="K105" s="44" cm="1">
        <f t="array" ref="K105">IF(D105="Gadget",_xlfn.IFS(I105&gt;=0.2,0.5,I105&gt;=0.1,0.35,I105&gt;=0.05,0.2,TRUE,0),IF(D105="Grenade",_xlfn.IFS(I105&gt;=0.2,1,I105&gt;=0.1,0.7,I105&gt;=0.05,0.4,TRUE,0),0))</f>
        <v>0</v>
      </c>
      <c r="L105" s="57">
        <f t="shared" si="22"/>
        <v>0</v>
      </c>
    </row>
    <row r="106" spans="1:12" x14ac:dyDescent="0.25">
      <c r="A106" s="42" t="str" cm="1">
        <f t="array" ref="A106">IFERROR(INDEX(_xlfn._xlws.FILTER(Class_Players!A:A,Class_Players!B:B="Engineer"),QUOTIENT(ROW()-ROW($A$2),12)+1),"")</f>
        <v>OleksandrEighty9</v>
      </c>
      <c r="B106" s="42" t="str">
        <f>_xlfn.XLOOKUP(A106,Class_Players!$A:$A,Class_Players!$B:$B,"")</f>
        <v>Engineer</v>
      </c>
      <c r="C106" s="42" t="str" cm="1">
        <f t="array" ref="C106">INDEX(Lookups!$B$2:$B$13,MOD(ROW()-ROW($B$2),ROWS(Lookups!$B$2:$B$13))+1)</f>
        <v>EOD Bot</v>
      </c>
      <c r="D106" s="38" t="str">
        <f>_xlfn.XLOOKUP(C106,Analysis_Gadgets!$C:$C,Analysis_Gadgets!$B:$B)</f>
        <v>Gadget</v>
      </c>
      <c r="E106" s="43">
        <v>0</v>
      </c>
      <c r="F106" s="43">
        <f>_xlfn.XLOOKUP(A106,Class_Players!A:A,Class_Players!G:G)</f>
        <v>388</v>
      </c>
      <c r="G106" s="43">
        <f t="shared" si="17"/>
        <v>0</v>
      </c>
      <c r="H106" s="43">
        <f>_xlfn.XLOOKUP(A106,Class_Players!$A:$A,Class_Players!$F:$F,"")</f>
        <v>13276</v>
      </c>
      <c r="I106" s="44">
        <f t="shared" si="18"/>
        <v>0</v>
      </c>
      <c r="J106" s="43">
        <f t="shared" si="14"/>
        <v>0</v>
      </c>
      <c r="K106" s="44" cm="1">
        <f t="array" ref="K106">IF(D106="Gadget",_xlfn.IFS(I106&gt;=0.2,0.5,I106&gt;=0.1,0.35,I106&gt;=0.05,0.2,TRUE,0),IF(D106="Grenade",_xlfn.IFS(I106&gt;=0.2,1,I106&gt;=0.1,0.7,I106&gt;=0.05,0.4,TRUE,0),0))</f>
        <v>0</v>
      </c>
      <c r="L106" s="57">
        <f t="shared" si="22"/>
        <v>0</v>
      </c>
    </row>
    <row r="107" spans="1:12" x14ac:dyDescent="0.25">
      <c r="A107" s="42" t="str" cm="1">
        <f t="array" ref="A107">IFERROR(INDEX(_xlfn._xlws.FILTER(Class_Players!A:A,Class_Players!B:B="Engineer"),QUOTIENT(ROW()-ROW($A$2),12)+1),"")</f>
        <v>OleksandrEighty9</v>
      </c>
      <c r="B107" s="42" t="str">
        <f>_xlfn.XLOOKUP(A107,Class_Players!$A:$A,Class_Players!$B:$B,"")</f>
        <v>Engineer</v>
      </c>
      <c r="C107" s="42" t="str" cm="1">
        <f t="array" ref="C107">INDEX(Lookups!$B$2:$B$13,MOD(ROW()-ROW($B$2),ROWS(Lookups!$B$2:$B$13))+1)</f>
        <v>M4A1 SLAM (Tripwire Sensor AV Mine)</v>
      </c>
      <c r="D107" s="38" t="str">
        <f>_xlfn.XLOOKUP(C107,Analysis_Gadgets!$C:$C,Analysis_Gadgets!$B:$B)</f>
        <v>Gadget</v>
      </c>
      <c r="E107" s="43">
        <v>0</v>
      </c>
      <c r="F107" s="43">
        <f>_xlfn.XLOOKUP(A107,Class_Players!A:A,Class_Players!G:G)</f>
        <v>388</v>
      </c>
      <c r="G107" s="43">
        <f t="shared" si="17"/>
        <v>0</v>
      </c>
      <c r="H107" s="43">
        <f>_xlfn.XLOOKUP(A107,Class_Players!$A:$A,Class_Players!$F:$F,"")</f>
        <v>13276</v>
      </c>
      <c r="I107" s="44">
        <f t="shared" si="18"/>
        <v>0</v>
      </c>
      <c r="J107" s="43">
        <f t="shared" si="14"/>
        <v>0</v>
      </c>
      <c r="K107" s="44" cm="1">
        <f t="array" ref="K107">IF(D107="Gadget",_xlfn.IFS(I107&gt;=0.2,0.5,I107&gt;=0.1,0.35,I107&gt;=0.05,0.2,TRUE,0),IF(D107="Grenade",_xlfn.IFS(I107&gt;=0.2,1,I107&gt;=0.1,0.7,I107&gt;=0.05,0.4,TRUE,0),0))</f>
        <v>0</v>
      </c>
      <c r="L107" s="57">
        <f t="shared" si="22"/>
        <v>0</v>
      </c>
    </row>
    <row r="108" spans="1:12" x14ac:dyDescent="0.25">
      <c r="A108" s="42" t="str" cm="1">
        <f t="array" ref="A108">IFERROR(INDEX(_xlfn._xlws.FILTER(Class_Players!A:A,Class_Players!B:B="Engineer"),QUOTIENT(ROW()-ROW($A$2),12)+1),"")</f>
        <v>OleksandrEighty9</v>
      </c>
      <c r="B108" s="42" t="str">
        <f>_xlfn.XLOOKUP(A108,Class_Players!$A:$A,Class_Players!$B:$B,"")</f>
        <v>Engineer</v>
      </c>
      <c r="C108" s="42" t="str" cm="1">
        <f t="array" ref="C108">INDEX(Lookups!$B$2:$B$13,MOD(ROW()-ROW($B$2),ROWS(Lookups!$B$2:$B$13))+1)</f>
        <v>Mini Frag Grenade</v>
      </c>
      <c r="D108" s="38" t="str">
        <f>_xlfn.XLOOKUP(C108,Analysis_Gadgets!$C:$C,Analysis_Gadgets!$B:$B)</f>
        <v>Grenade</v>
      </c>
      <c r="E108" s="43">
        <v>282</v>
      </c>
      <c r="F108" s="43">
        <f>_xlfn.XLOOKUP(A108,Class_Players!A:A,Class_Players!G:G)</f>
        <v>388</v>
      </c>
      <c r="G108" s="43">
        <f t="shared" si="17"/>
        <v>0.72680412371134018</v>
      </c>
      <c r="H108" s="43">
        <f>_xlfn.XLOOKUP(A108,Class_Players!$A:$A,Class_Players!$F:$F,"")</f>
        <v>13276</v>
      </c>
      <c r="I108" s="44">
        <f t="shared" si="18"/>
        <v>2.1241337752335041E-2</v>
      </c>
      <c r="J108" s="43">
        <f t="shared" si="14"/>
        <v>0</v>
      </c>
      <c r="K108" s="44" cm="1">
        <f t="array" ref="K108">IF(D108="Gadget",_xlfn.IFS(I108&gt;=0.2,0.5,I108&gt;=0.1,0.35,I108&gt;=0.05,0.2,TRUE,0),IF(D108="Grenade",_xlfn.IFS(I108&gt;=0.2,1,I108&gt;=0.1,0.7,I108&gt;=0.05,0.4,TRUE,0),0))</f>
        <v>0</v>
      </c>
      <c r="L108" s="57">
        <f t="shared" ref="L108:L109" si="23">IF($K108=0,0,$K108 / SUMIFS($K:$K,$A:$A,$A108,$D:$D,"Grenade"))</f>
        <v>0</v>
      </c>
    </row>
    <row r="109" spans="1:12" x14ac:dyDescent="0.25">
      <c r="A109" s="42" t="str" cm="1">
        <f t="array" ref="A109">IFERROR(INDEX(_xlfn._xlws.FILTER(Class_Players!A:A,Class_Players!B:B="Engineer"),QUOTIENT(ROW()-ROW($A$2),12)+1),"")</f>
        <v>OleksandrEighty9</v>
      </c>
      <c r="B109" s="42" t="str">
        <f>_xlfn.XLOOKUP(A109,Class_Players!$A:$A,Class_Players!$B:$B,"")</f>
        <v>Engineer</v>
      </c>
      <c r="C109" s="42" t="str" cm="1">
        <f t="array" ref="C109">INDEX(Lookups!$B$2:$B$13,MOD(ROW()-ROW($B$2),ROWS(Lookups!$B$2:$B$13))+1)</f>
        <v>Anti-Vehicle Grenade</v>
      </c>
      <c r="D109" s="38" t="str">
        <f>_xlfn.XLOOKUP(C109,Analysis_Gadgets!$C:$C,Analysis_Gadgets!$B:$B)</f>
        <v>Grenade</v>
      </c>
      <c r="E109" s="43">
        <v>0</v>
      </c>
      <c r="F109" s="43">
        <f>_xlfn.XLOOKUP(A109,Class_Players!A:A,Class_Players!G:G)</f>
        <v>388</v>
      </c>
      <c r="G109" s="43">
        <f t="shared" si="17"/>
        <v>0</v>
      </c>
      <c r="H109" s="43">
        <f>_xlfn.XLOOKUP(A109,Class_Players!$A:$A,Class_Players!$F:$F,"")</f>
        <v>13276</v>
      </c>
      <c r="I109" s="44">
        <f t="shared" si="18"/>
        <v>0</v>
      </c>
      <c r="J109" s="43">
        <f t="shared" si="14"/>
        <v>0</v>
      </c>
      <c r="K109" s="44" cm="1">
        <f t="array" ref="K109">IF(D109="Gadget",_xlfn.IFS(I109&gt;=0.2,0.5,I109&gt;=0.1,0.35,I109&gt;=0.05,0.2,TRUE,0),IF(D109="Grenade",_xlfn.IFS(I109&gt;=0.2,1,I109&gt;=0.1,0.7,I109&gt;=0.05,0.4,TRUE,0),0))</f>
        <v>0</v>
      </c>
      <c r="L109" s="57">
        <f t="shared" si="23"/>
        <v>0</v>
      </c>
    </row>
    <row r="110" spans="1:12" x14ac:dyDescent="0.25">
      <c r="A110" s="42" t="str" cm="1">
        <f t="array" ref="A110">IFERROR(INDEX(_xlfn._xlws.FILTER(Class_Players!A:A,Class_Players!B:B="Engineer"),QUOTIENT(ROW()-ROW($A$2),12)+1),"")</f>
        <v>CubanMafia</v>
      </c>
      <c r="B110" s="42" t="str">
        <f>_xlfn.XLOOKUP(A110,Class_Players!$A:$A,Class_Players!$B:$B,"")</f>
        <v>Engineer</v>
      </c>
      <c r="C110" s="42" t="str" cm="1">
        <f t="array" ref="C110">INDEX(Lookups!$B$2:$B$13,MOD(ROW()-ROW($B$2),ROWS(Lookups!$B$2:$B$13))+1)</f>
        <v>MBT-LAW (Auto-Guided Launcher)</v>
      </c>
      <c r="D110" s="38" t="str">
        <f>_xlfn.XLOOKUP(C110,Analysis_Gadgets!$C:$C,Analysis_Gadgets!$B:$B)</f>
        <v>Gadget</v>
      </c>
      <c r="E110" s="43">
        <v>0</v>
      </c>
      <c r="F110" s="43">
        <f>_xlfn.XLOOKUP(A110,Class_Players!A:A,Class_Players!G:G)</f>
        <v>346</v>
      </c>
      <c r="G110" s="43">
        <f t="shared" si="17"/>
        <v>0</v>
      </c>
      <c r="H110" s="43">
        <f>_xlfn.XLOOKUP(A110,Class_Players!$A:$A,Class_Players!$F:$F,"")</f>
        <v>13737</v>
      </c>
      <c r="I110" s="44">
        <f t="shared" si="18"/>
        <v>0</v>
      </c>
      <c r="J110" s="43">
        <f t="shared" si="14"/>
        <v>0</v>
      </c>
      <c r="K110" s="44" cm="1">
        <f t="array" ref="K110">IF(D110="Gadget",_xlfn.IFS(I110&gt;=0.2,0.5,I110&gt;=0.1,0.35,I110&gt;=0.05,0.2,TRUE,0),IF(D110="Grenade",_xlfn.IFS(I110&gt;=0.2,1,I110&gt;=0.1,0.7,I110&gt;=0.05,0.4,TRUE,0),0))</f>
        <v>0</v>
      </c>
      <c r="L110" s="57">
        <f t="shared" ref="L110:L119" si="24">IF($K110=0,0,$K110 / SUMIFS($K:$K,$A:$A,$A110,$D:$D,"Gadget"))</f>
        <v>0</v>
      </c>
    </row>
    <row r="111" spans="1:12" x14ac:dyDescent="0.25">
      <c r="A111" s="42" t="str" cm="1">
        <f t="array" ref="A111">IFERROR(INDEX(_xlfn._xlws.FILTER(Class_Players!A:A,Class_Players!B:B="Engineer"),QUOTIENT(ROW()-ROW($A$2),12)+1),"")</f>
        <v>CubanMafia</v>
      </c>
      <c r="B111" s="42" t="str">
        <f>_xlfn.XLOOKUP(A111,Class_Players!$A:$A,Class_Players!$B:$B,"")</f>
        <v>Engineer</v>
      </c>
      <c r="C111" s="42" t="str" cm="1">
        <f t="array" ref="C111">INDEX(Lookups!$B$2:$B$13,MOD(ROW()-ROW($B$2),ROWS(Lookups!$B$2:$B$13))+1)</f>
        <v>SLM-93A (Air-Defense Launcher)</v>
      </c>
      <c r="D111" s="38" t="str">
        <f>_xlfn.XLOOKUP(C111,Analysis_Gadgets!$C:$C,Analysis_Gadgets!$B:$B)</f>
        <v>Gadget</v>
      </c>
      <c r="E111" s="43">
        <v>0</v>
      </c>
      <c r="F111" s="43">
        <f>_xlfn.XLOOKUP(A111,Class_Players!A:A,Class_Players!G:G)</f>
        <v>346</v>
      </c>
      <c r="G111" s="43">
        <f t="shared" si="17"/>
        <v>0</v>
      </c>
      <c r="H111" s="43">
        <f>_xlfn.XLOOKUP(A111,Class_Players!$A:$A,Class_Players!$F:$F,"")</f>
        <v>13737</v>
      </c>
      <c r="I111" s="44">
        <f t="shared" si="18"/>
        <v>0</v>
      </c>
      <c r="J111" s="43">
        <f t="shared" si="14"/>
        <v>0</v>
      </c>
      <c r="K111" s="44" cm="1">
        <f t="array" ref="K111">IF(D111="Gadget",_xlfn.IFS(I111&gt;=0.2,0.5,I111&gt;=0.1,0.35,I111&gt;=0.05,0.2,TRUE,0),IF(D111="Grenade",_xlfn.IFS(I111&gt;=0.2,1,I111&gt;=0.1,0.7,I111&gt;=0.05,0.4,TRUE,0),0))</f>
        <v>0</v>
      </c>
      <c r="L111" s="57">
        <f t="shared" si="24"/>
        <v>0</v>
      </c>
    </row>
    <row r="112" spans="1:12" x14ac:dyDescent="0.25">
      <c r="A112" s="42" t="str" cm="1">
        <f t="array" ref="A112">IFERROR(INDEX(_xlfn._xlws.FILTER(Class_Players!A:A,Class_Players!B:B="Engineer"),QUOTIENT(ROW()-ROW($A$2),12)+1),"")</f>
        <v>CubanMafia</v>
      </c>
      <c r="B112" s="42" t="str">
        <f>_xlfn.XLOOKUP(A112,Class_Players!$A:$A,Class_Players!$B:$B,"")</f>
        <v>Engineer</v>
      </c>
      <c r="C112" s="42" t="str" cm="1">
        <f t="array" ref="C112">INDEX(Lookups!$B$2:$B$13,MOD(ROW()-ROW($B$2),ROWS(Lookups!$B$2:$B$13))+1)</f>
        <v>RPG-7V2 (Unguided Rocket Launcher)</v>
      </c>
      <c r="D112" s="38" t="str">
        <f>_xlfn.XLOOKUP(C112,Analysis_Gadgets!$C:$C,Analysis_Gadgets!$B:$B)</f>
        <v>Gadget</v>
      </c>
      <c r="E112" s="43">
        <v>4753</v>
      </c>
      <c r="F112" s="43">
        <f>_xlfn.XLOOKUP(A112,Class_Players!A:A,Class_Players!G:G)</f>
        <v>346</v>
      </c>
      <c r="G112" s="43">
        <f t="shared" si="17"/>
        <v>13.736994219653178</v>
      </c>
      <c r="H112" s="43">
        <f>_xlfn.XLOOKUP(A112,Class_Players!$A:$A,Class_Players!$F:$F,"")</f>
        <v>13737</v>
      </c>
      <c r="I112" s="44">
        <f t="shared" si="18"/>
        <v>0.34599985440780373</v>
      </c>
      <c r="J112" s="43">
        <f t="shared" si="14"/>
        <v>1</v>
      </c>
      <c r="K112" s="44" cm="1">
        <f t="array" ref="K112">IF(D112="Gadget",_xlfn.IFS(I112&gt;=0.2,0.5,I112&gt;=0.1,0.35,I112&gt;=0.05,0.2,TRUE,0),IF(D112="Grenade",_xlfn.IFS(I112&gt;=0.2,1,I112&gt;=0.1,0.7,I112&gt;=0.05,0.4,TRUE,0),0))</f>
        <v>0.5</v>
      </c>
      <c r="L112" s="57">
        <f t="shared" si="24"/>
        <v>0.5</v>
      </c>
    </row>
    <row r="113" spans="1:12" x14ac:dyDescent="0.25">
      <c r="A113" s="42" t="str" cm="1">
        <f t="array" ref="A113">IFERROR(INDEX(_xlfn._xlws.FILTER(Class_Players!A:A,Class_Players!B:B="Engineer"),QUOTIENT(ROW()-ROW($A$2),12)+1),"")</f>
        <v>CubanMafia</v>
      </c>
      <c r="B113" s="42" t="str">
        <f>_xlfn.XLOOKUP(A113,Class_Players!$A:$A,Class_Players!$B:$B,"")</f>
        <v>Engineer</v>
      </c>
      <c r="C113" s="42" t="str" cm="1">
        <f t="array" ref="C113">INDEX(Lookups!$B$2:$B$13,MOD(ROW()-ROW($B$2),ROWS(Lookups!$B$2:$B$13))+1)</f>
        <v>MAS 148 (Long-Range Launcher)</v>
      </c>
      <c r="D113" s="38" t="str">
        <f>_xlfn.XLOOKUP(C113,Analysis_Gadgets!$C:$C,Analysis_Gadgets!$B:$B)</f>
        <v>Gadget</v>
      </c>
      <c r="E113" s="43">
        <v>0</v>
      </c>
      <c r="F113" s="43">
        <f>_xlfn.XLOOKUP(A113,Class_Players!A:A,Class_Players!G:G)</f>
        <v>346</v>
      </c>
      <c r="G113" s="43">
        <f t="shared" si="17"/>
        <v>0</v>
      </c>
      <c r="H113" s="43">
        <f>_xlfn.XLOOKUP(A113,Class_Players!$A:$A,Class_Players!$F:$F,"")</f>
        <v>13737</v>
      </c>
      <c r="I113" s="44">
        <f t="shared" si="18"/>
        <v>0</v>
      </c>
      <c r="J113" s="43">
        <f t="shared" si="14"/>
        <v>0</v>
      </c>
      <c r="K113" s="44" cm="1">
        <f t="array" ref="K113">IF(D113="Gadget",_xlfn.IFS(I113&gt;=0.2,0.5,I113&gt;=0.1,0.35,I113&gt;=0.05,0.2,TRUE,0),IF(D113="Grenade",_xlfn.IFS(I113&gt;=0.2,1,I113&gt;=0.1,0.7,I113&gt;=0.05,0.4,TRUE,0),0))</f>
        <v>0</v>
      </c>
      <c r="L113" s="57">
        <f t="shared" si="24"/>
        <v>0</v>
      </c>
    </row>
    <row r="114" spans="1:12" x14ac:dyDescent="0.25">
      <c r="A114" s="42" t="str" cm="1">
        <f t="array" ref="A114">IFERROR(INDEX(_xlfn._xlws.FILTER(Class_Players!A:A,Class_Players!B:B="Engineer"),QUOTIENT(ROW()-ROW($A$2),12)+1),"")</f>
        <v>CubanMafia</v>
      </c>
      <c r="B114" s="42" t="str">
        <f>_xlfn.XLOOKUP(A114,Class_Players!$A:$A,Class_Players!$B:$B,"")</f>
        <v>Engineer</v>
      </c>
      <c r="C114" s="42" t="str" cm="1">
        <f t="array" ref="C114">INDEX(Lookups!$B$2:$B$13,MOD(ROW()-ROW($B$2),ROWS(Lookups!$B$2:$B$13))+1)</f>
        <v>M136 AT (Aim-Guided Launcher)</v>
      </c>
      <c r="D114" s="38" t="str">
        <f>_xlfn.XLOOKUP(C114,Analysis_Gadgets!$C:$C,Analysis_Gadgets!$B:$B)</f>
        <v>Gadget</v>
      </c>
      <c r="E114" s="43">
        <v>0</v>
      </c>
      <c r="F114" s="43">
        <f>_xlfn.XLOOKUP(A114,Class_Players!A:A,Class_Players!G:G)</f>
        <v>346</v>
      </c>
      <c r="G114" s="43">
        <f t="shared" si="17"/>
        <v>0</v>
      </c>
      <c r="H114" s="43">
        <f>_xlfn.XLOOKUP(A114,Class_Players!$A:$A,Class_Players!$F:$F,"")</f>
        <v>13737</v>
      </c>
      <c r="I114" s="44">
        <f t="shared" si="18"/>
        <v>0</v>
      </c>
      <c r="J114" s="43">
        <f t="shared" si="14"/>
        <v>0</v>
      </c>
      <c r="K114" s="44" cm="1">
        <f t="array" ref="K114">IF(D114="Gadget",_xlfn.IFS(I114&gt;=0.2,0.5,I114&gt;=0.1,0.35,I114&gt;=0.05,0.2,TRUE,0),IF(D114="Grenade",_xlfn.IFS(I114&gt;=0.2,1,I114&gt;=0.1,0.7,I114&gt;=0.05,0.4,TRUE,0),0))</f>
        <v>0</v>
      </c>
      <c r="L114" s="57">
        <f t="shared" si="24"/>
        <v>0</v>
      </c>
    </row>
    <row r="115" spans="1:12" x14ac:dyDescent="0.25">
      <c r="A115" s="42" t="str" cm="1">
        <f t="array" ref="A115">IFERROR(INDEX(_xlfn._xlws.FILTER(Class_Players!A:A,Class_Players!B:B="Engineer"),QUOTIENT(ROW()-ROW($A$2),12)+1),"")</f>
        <v>CubanMafia</v>
      </c>
      <c r="B115" s="42" t="str">
        <f>_xlfn.XLOOKUP(A115,Class_Players!$A:$A,Class_Players!$B:$B,"")</f>
        <v>Engineer</v>
      </c>
      <c r="C115" s="42" t="str" cm="1">
        <f t="array" ref="C115">INDEX(Lookups!$B$2:$B$13,MOD(ROW()-ROW($B$2),ROWS(Lookups!$B$2:$B$13))+1)</f>
        <v>Supply Crate</v>
      </c>
      <c r="D115" s="38" t="str">
        <f>_xlfn.XLOOKUP(C115,Analysis_Gadgets!$C:$C,Analysis_Gadgets!$B:$B)</f>
        <v>Gadget</v>
      </c>
      <c r="E115" s="43">
        <v>9</v>
      </c>
      <c r="F115" s="43">
        <f>_xlfn.XLOOKUP(A115,Class_Players!A:A,Class_Players!G:G)</f>
        <v>346</v>
      </c>
      <c r="G115" s="43">
        <f t="shared" si="17"/>
        <v>2.6011560693641619E-2</v>
      </c>
      <c r="H115" s="43">
        <f>_xlfn.XLOOKUP(A115,Class_Players!$A:$A,Class_Players!$F:$F,"")</f>
        <v>13737</v>
      </c>
      <c r="I115" s="44">
        <f t="shared" si="18"/>
        <v>6.5516488316226247E-4</v>
      </c>
      <c r="J115" s="43">
        <f t="shared" si="14"/>
        <v>0</v>
      </c>
      <c r="K115" s="44" cm="1">
        <f t="array" ref="K115">IF(D115="Gadget",_xlfn.IFS(I115&gt;=0.2,0.5,I115&gt;=0.1,0.35,I115&gt;=0.05,0.2,TRUE,0),IF(D115="Grenade",_xlfn.IFS(I115&gt;=0.2,1,I115&gt;=0.1,0.7,I115&gt;=0.05,0.4,TRUE,0),0))</f>
        <v>0</v>
      </c>
      <c r="L115" s="57">
        <f t="shared" si="24"/>
        <v>0</v>
      </c>
    </row>
    <row r="116" spans="1:12" x14ac:dyDescent="0.25">
      <c r="A116" s="42" t="str" cm="1">
        <f t="array" ref="A116">IFERROR(INDEX(_xlfn._xlws.FILTER(Class_Players!A:A,Class_Players!B:B="Engineer"),QUOTIENT(ROW()-ROW($A$2),12)+1),"")</f>
        <v>CubanMafia</v>
      </c>
      <c r="B116" s="42" t="str">
        <f>_xlfn.XLOOKUP(A116,Class_Players!$A:$A,Class_Players!$B:$B,"")</f>
        <v>Engineer</v>
      </c>
      <c r="C116" s="42" t="str" cm="1">
        <f t="array" ref="C116">INDEX(Lookups!$B$2:$B$13,MOD(ROW()-ROW($B$2),ROWS(Lookups!$B$2:$B$13))+1)</f>
        <v>M15 (Anti-Vehicle Mine)</v>
      </c>
      <c r="D116" s="38" t="str">
        <f>_xlfn.XLOOKUP(C116,Analysis_Gadgets!$C:$C,Analysis_Gadgets!$B:$B)</f>
        <v>Gadget</v>
      </c>
      <c r="E116" s="43">
        <v>7109</v>
      </c>
      <c r="F116" s="43">
        <f>_xlfn.XLOOKUP(A116,Class_Players!A:A,Class_Players!G:G)</f>
        <v>346</v>
      </c>
      <c r="G116" s="43">
        <f t="shared" si="17"/>
        <v>20.546242774566473</v>
      </c>
      <c r="H116" s="43">
        <f>_xlfn.XLOOKUP(A116,Class_Players!$A:$A,Class_Players!$F:$F,"")</f>
        <v>13737</v>
      </c>
      <c r="I116" s="44">
        <f t="shared" si="18"/>
        <v>0.51750746160005823</v>
      </c>
      <c r="J116" s="43">
        <f t="shared" si="14"/>
        <v>1</v>
      </c>
      <c r="K116" s="44" cm="1">
        <f t="array" ref="K116">IF(D116="Gadget",_xlfn.IFS(I116&gt;=0.2,0.5,I116&gt;=0.1,0.35,I116&gt;=0.05,0.2,TRUE,0),IF(D116="Grenade",_xlfn.IFS(I116&gt;=0.2,1,I116&gt;=0.1,0.7,I116&gt;=0.05,0.4,TRUE,0),0))</f>
        <v>0.5</v>
      </c>
      <c r="L116" s="57">
        <f t="shared" si="24"/>
        <v>0.5</v>
      </c>
    </row>
    <row r="117" spans="1:12" x14ac:dyDescent="0.25">
      <c r="A117" s="42" t="str" cm="1">
        <f t="array" ref="A117">IFERROR(INDEX(_xlfn._xlws.FILTER(Class_Players!A:A,Class_Players!B:B="Engineer"),QUOTIENT(ROW()-ROW($A$2),12)+1),"")</f>
        <v>CubanMafia</v>
      </c>
      <c r="B117" s="42" t="str">
        <f>_xlfn.XLOOKUP(A117,Class_Players!$A:$A,Class_Players!$B:$B,"")</f>
        <v>Engineer</v>
      </c>
      <c r="C117" s="42" t="str" cm="1">
        <f t="array" ref="C117">INDEX(Lookups!$B$2:$B$13,MOD(ROW()-ROW($B$2),ROWS(Lookups!$B$2:$B$13))+1)</f>
        <v>PTKM-1R (Acoustic Sensor AV Mine)</v>
      </c>
      <c r="D117" s="38" t="str">
        <f>_xlfn.XLOOKUP(C117,Analysis_Gadgets!$C:$C,Analysis_Gadgets!$B:$B)</f>
        <v>Gadget</v>
      </c>
      <c r="E117" s="43">
        <v>25</v>
      </c>
      <c r="F117" s="43">
        <f>_xlfn.XLOOKUP(A117,Class_Players!A:A,Class_Players!G:G)</f>
        <v>346</v>
      </c>
      <c r="G117" s="43">
        <f t="shared" si="17"/>
        <v>7.2254335260115612E-2</v>
      </c>
      <c r="H117" s="43">
        <f>_xlfn.XLOOKUP(A117,Class_Players!$A:$A,Class_Players!$F:$F,"")</f>
        <v>13737</v>
      </c>
      <c r="I117" s="44">
        <f t="shared" si="18"/>
        <v>1.819902453228507E-3</v>
      </c>
      <c r="J117" s="43">
        <f t="shared" si="14"/>
        <v>0</v>
      </c>
      <c r="K117" s="44" cm="1">
        <f t="array" ref="K117">IF(D117="Gadget",_xlfn.IFS(I117&gt;=0.2,0.5,I117&gt;=0.1,0.35,I117&gt;=0.05,0.2,TRUE,0),IF(D117="Grenade",_xlfn.IFS(I117&gt;=0.2,1,I117&gt;=0.1,0.7,I117&gt;=0.05,0.4,TRUE,0),0))</f>
        <v>0</v>
      </c>
      <c r="L117" s="57">
        <f t="shared" si="24"/>
        <v>0</v>
      </c>
    </row>
    <row r="118" spans="1:12" x14ac:dyDescent="0.25">
      <c r="A118" s="42" t="str" cm="1">
        <f t="array" ref="A118">IFERROR(INDEX(_xlfn._xlws.FILTER(Class_Players!A:A,Class_Players!B:B="Engineer"),QUOTIENT(ROW()-ROW($A$2),12)+1),"")</f>
        <v>CubanMafia</v>
      </c>
      <c r="B118" s="42" t="str">
        <f>_xlfn.XLOOKUP(A118,Class_Players!$A:$A,Class_Players!$B:$B,"")</f>
        <v>Engineer</v>
      </c>
      <c r="C118" s="42" t="str" cm="1">
        <f t="array" ref="C118">INDEX(Lookups!$B$2:$B$13,MOD(ROW()-ROW($B$2),ROWS(Lookups!$B$2:$B$13))+1)</f>
        <v>EOD Bot</v>
      </c>
      <c r="D118" s="38" t="str">
        <f>_xlfn.XLOOKUP(C118,Analysis_Gadgets!$C:$C,Analysis_Gadgets!$B:$B)</f>
        <v>Gadget</v>
      </c>
      <c r="E118" s="43">
        <v>0</v>
      </c>
      <c r="F118" s="43">
        <f>_xlfn.XLOOKUP(A118,Class_Players!A:A,Class_Players!G:G)</f>
        <v>346</v>
      </c>
      <c r="G118" s="43">
        <f t="shared" si="17"/>
        <v>0</v>
      </c>
      <c r="H118" s="43">
        <f>_xlfn.XLOOKUP(A118,Class_Players!$A:$A,Class_Players!$F:$F,"")</f>
        <v>13737</v>
      </c>
      <c r="I118" s="44">
        <f t="shared" si="18"/>
        <v>0</v>
      </c>
      <c r="J118" s="43">
        <f t="shared" si="14"/>
        <v>0</v>
      </c>
      <c r="K118" s="44" cm="1">
        <f t="array" ref="K118">IF(D118="Gadget",_xlfn.IFS(I118&gt;=0.2,0.5,I118&gt;=0.1,0.35,I118&gt;=0.05,0.2,TRUE,0),IF(D118="Grenade",_xlfn.IFS(I118&gt;=0.2,1,I118&gt;=0.1,0.7,I118&gt;=0.05,0.4,TRUE,0),0))</f>
        <v>0</v>
      </c>
      <c r="L118" s="57">
        <f t="shared" si="24"/>
        <v>0</v>
      </c>
    </row>
    <row r="119" spans="1:12" x14ac:dyDescent="0.25">
      <c r="A119" s="42" t="str" cm="1">
        <f t="array" ref="A119">IFERROR(INDEX(_xlfn._xlws.FILTER(Class_Players!A:A,Class_Players!B:B="Engineer"),QUOTIENT(ROW()-ROW($A$2),12)+1),"")</f>
        <v>CubanMafia</v>
      </c>
      <c r="B119" s="42" t="str">
        <f>_xlfn.XLOOKUP(A119,Class_Players!$A:$A,Class_Players!$B:$B,"")</f>
        <v>Engineer</v>
      </c>
      <c r="C119" s="42" t="str" cm="1">
        <f t="array" ref="C119">INDEX(Lookups!$B$2:$B$13,MOD(ROW()-ROW($B$2),ROWS(Lookups!$B$2:$B$13))+1)</f>
        <v>M4A1 SLAM (Tripwire Sensor AV Mine)</v>
      </c>
      <c r="D119" s="38" t="str">
        <f>_xlfn.XLOOKUP(C119,Analysis_Gadgets!$C:$C,Analysis_Gadgets!$B:$B)</f>
        <v>Gadget</v>
      </c>
      <c r="E119" s="43">
        <v>190</v>
      </c>
      <c r="F119" s="43">
        <f>_xlfn.XLOOKUP(A119,Class_Players!A:A,Class_Players!G:G)</f>
        <v>346</v>
      </c>
      <c r="G119" s="43">
        <f t="shared" si="17"/>
        <v>0.54913294797687862</v>
      </c>
      <c r="H119" s="43">
        <f>_xlfn.XLOOKUP(A119,Class_Players!$A:$A,Class_Players!$F:$F,"")</f>
        <v>13737</v>
      </c>
      <c r="I119" s="44">
        <f t="shared" si="18"/>
        <v>1.3831258644536652E-2</v>
      </c>
      <c r="J119" s="43">
        <f t="shared" si="14"/>
        <v>0</v>
      </c>
      <c r="K119" s="44" cm="1">
        <f t="array" ref="K119">IF(D119="Gadget",_xlfn.IFS(I119&gt;=0.2,0.5,I119&gt;=0.1,0.35,I119&gt;=0.05,0.2,TRUE,0),IF(D119="Grenade",_xlfn.IFS(I119&gt;=0.2,1,I119&gt;=0.1,0.7,I119&gt;=0.05,0.4,TRUE,0),0))</f>
        <v>0</v>
      </c>
      <c r="L119" s="57">
        <f t="shared" si="24"/>
        <v>0</v>
      </c>
    </row>
    <row r="120" spans="1:12" x14ac:dyDescent="0.25">
      <c r="A120" s="42" t="str" cm="1">
        <f t="array" ref="A120">IFERROR(INDEX(_xlfn._xlws.FILTER(Class_Players!A:A,Class_Players!B:B="Engineer"),QUOTIENT(ROW()-ROW($A$2),12)+1),"")</f>
        <v>CubanMafia</v>
      </c>
      <c r="B120" s="42" t="str">
        <f>_xlfn.XLOOKUP(A120,Class_Players!$A:$A,Class_Players!$B:$B,"")</f>
        <v>Engineer</v>
      </c>
      <c r="C120" s="42" t="str" cm="1">
        <f t="array" ref="C120">INDEX(Lookups!$B$2:$B$13,MOD(ROW()-ROW($B$2),ROWS(Lookups!$B$2:$B$13))+1)</f>
        <v>Mini Frag Grenade</v>
      </c>
      <c r="D120" s="38" t="str">
        <f>_xlfn.XLOOKUP(C120,Analysis_Gadgets!$C:$C,Analysis_Gadgets!$B:$B)</f>
        <v>Grenade</v>
      </c>
      <c r="E120" s="43">
        <v>0</v>
      </c>
      <c r="F120" s="43">
        <f>_xlfn.XLOOKUP(A120,Class_Players!A:A,Class_Players!G:G)</f>
        <v>346</v>
      </c>
      <c r="G120" s="43">
        <f t="shared" si="17"/>
        <v>0</v>
      </c>
      <c r="H120" s="43">
        <f>_xlfn.XLOOKUP(A120,Class_Players!$A:$A,Class_Players!$F:$F,"")</f>
        <v>13737</v>
      </c>
      <c r="I120" s="44">
        <f t="shared" si="18"/>
        <v>0</v>
      </c>
      <c r="J120" s="43">
        <f t="shared" si="14"/>
        <v>0</v>
      </c>
      <c r="K120" s="44" cm="1">
        <f t="array" ref="K120">IF(D120="Gadget",_xlfn.IFS(I120&gt;=0.2,0.5,I120&gt;=0.1,0.35,I120&gt;=0.05,0.2,TRUE,0),IF(D120="Grenade",_xlfn.IFS(I120&gt;=0.2,1,I120&gt;=0.1,0.7,I120&gt;=0.05,0.4,TRUE,0),0))</f>
        <v>0</v>
      </c>
      <c r="L120" s="57">
        <f t="shared" ref="L120:L121" si="25">IF($K120=0,0,$K120 / SUMIFS($K:$K,$A:$A,$A120,$D:$D,"Grenade"))</f>
        <v>0</v>
      </c>
    </row>
    <row r="121" spans="1:12" x14ac:dyDescent="0.25">
      <c r="A121" s="42" t="str" cm="1">
        <f t="array" ref="A121">IFERROR(INDEX(_xlfn._xlws.FILTER(Class_Players!A:A,Class_Players!B:B="Engineer"),QUOTIENT(ROW()-ROW($A$2),12)+1),"")</f>
        <v>CubanMafia</v>
      </c>
      <c r="B121" s="42" t="str">
        <f>_xlfn.XLOOKUP(A121,Class_Players!$A:$A,Class_Players!$B:$B,"")</f>
        <v>Engineer</v>
      </c>
      <c r="C121" s="42" t="str" cm="1">
        <f t="array" ref="C121">INDEX(Lookups!$B$2:$B$13,MOD(ROW()-ROW($B$2),ROWS(Lookups!$B$2:$B$13))+1)</f>
        <v>Anti-Vehicle Grenade</v>
      </c>
      <c r="D121" s="38" t="str">
        <f>_xlfn.XLOOKUP(C121,Analysis_Gadgets!$C:$C,Analysis_Gadgets!$B:$B)</f>
        <v>Grenade</v>
      </c>
      <c r="E121" s="43">
        <v>0</v>
      </c>
      <c r="F121" s="43">
        <f>_xlfn.XLOOKUP(A121,Class_Players!A:A,Class_Players!G:G)</f>
        <v>346</v>
      </c>
      <c r="G121" s="43">
        <f t="shared" si="17"/>
        <v>0</v>
      </c>
      <c r="H121" s="43">
        <f>_xlfn.XLOOKUP(A121,Class_Players!$A:$A,Class_Players!$F:$F,"")</f>
        <v>13737</v>
      </c>
      <c r="I121" s="44">
        <f t="shared" si="18"/>
        <v>0</v>
      </c>
      <c r="J121" s="43">
        <f t="shared" si="14"/>
        <v>0</v>
      </c>
      <c r="K121" s="44" cm="1">
        <f t="array" ref="K121">IF(D121="Gadget",_xlfn.IFS(I121&gt;=0.2,0.5,I121&gt;=0.1,0.35,I121&gt;=0.05,0.2,TRUE,0),IF(D121="Grenade",_xlfn.IFS(I121&gt;=0.2,1,I121&gt;=0.1,0.7,I121&gt;=0.05,0.4,TRUE,0),0))</f>
        <v>0</v>
      </c>
      <c r="L121" s="57">
        <f t="shared" si="25"/>
        <v>0</v>
      </c>
    </row>
    <row r="122" spans="1:12" x14ac:dyDescent="0.25">
      <c r="A122" s="42" t="str" cm="1">
        <f t="array" ref="A122">IFERROR(INDEX(_xlfn._xlws.FILTER(Class_Players!A:A,Class_Players!B:B="Engineer"),QUOTIENT(ROW()-ROW($A$2),12)+1),"")</f>
        <v>NooterzXD</v>
      </c>
      <c r="B122" s="42" t="str">
        <f>_xlfn.XLOOKUP(A122,Class_Players!$A:$A,Class_Players!$B:$B,"")</f>
        <v>Engineer</v>
      </c>
      <c r="C122" s="42" t="str" cm="1">
        <f t="array" ref="C122">INDEX(Lookups!$B$2:$B$13,MOD(ROW()-ROW($B$2),ROWS(Lookups!$B$2:$B$13))+1)</f>
        <v>MBT-LAW (Auto-Guided Launcher)</v>
      </c>
      <c r="D122" s="38" t="str">
        <f>_xlfn.XLOOKUP(C122,Analysis_Gadgets!$C:$C,Analysis_Gadgets!$B:$B)</f>
        <v>Gadget</v>
      </c>
      <c r="E122" s="43">
        <v>0</v>
      </c>
      <c r="F122" s="43">
        <f>_xlfn.XLOOKUP(A122,Class_Players!A:A,Class_Players!G:G)</f>
        <v>293</v>
      </c>
      <c r="G122" s="43">
        <f t="shared" ref="G122:G169" si="26">IF(F122=0,"",E122/(F122))</f>
        <v>0</v>
      </c>
      <c r="H122" s="43">
        <f>_xlfn.XLOOKUP(A122,Class_Players!$A:$A,Class_Players!$F:$F,"")</f>
        <v>12749</v>
      </c>
      <c r="I122" s="44">
        <f t="shared" ref="I122:I169" si="27">IF(H122=0,"",E122/H122)</f>
        <v>0</v>
      </c>
      <c r="J122" s="43">
        <f t="shared" si="14"/>
        <v>0</v>
      </c>
      <c r="K122" s="44" cm="1">
        <f t="array" ref="K122">IF(D122="Gadget",_xlfn.IFS(I122&gt;=0.2,0.5,I122&gt;=0.1,0.35,I122&gt;=0.05,0.2,TRUE,0),IF(D122="Grenade",_xlfn.IFS(I122&gt;=0.2,1,I122&gt;=0.1,0.7,I122&gt;=0.05,0.4,TRUE,0),0))</f>
        <v>0</v>
      </c>
      <c r="L122" s="57">
        <f t="shared" ref="L122:L131" si="28">IF($K122=0,0,$K122 / SUMIFS($K:$K,$A:$A,$A122,$D:$D,"Gadget"))</f>
        <v>0</v>
      </c>
    </row>
    <row r="123" spans="1:12" x14ac:dyDescent="0.25">
      <c r="A123" s="42" t="str" cm="1">
        <f t="array" ref="A123">IFERROR(INDEX(_xlfn._xlws.FILTER(Class_Players!A:A,Class_Players!B:B="Engineer"),QUOTIENT(ROW()-ROW($A$2),12)+1),"")</f>
        <v>NooterzXD</v>
      </c>
      <c r="B123" s="42" t="str">
        <f>_xlfn.XLOOKUP(A123,Class_Players!$A:$A,Class_Players!$B:$B,"")</f>
        <v>Engineer</v>
      </c>
      <c r="C123" s="42" t="str" cm="1">
        <f t="array" ref="C123">INDEX(Lookups!$B$2:$B$13,MOD(ROW()-ROW($B$2),ROWS(Lookups!$B$2:$B$13))+1)</f>
        <v>SLM-93A (Air-Defense Launcher)</v>
      </c>
      <c r="D123" s="38" t="str">
        <f>_xlfn.XLOOKUP(C123,Analysis_Gadgets!$C:$C,Analysis_Gadgets!$B:$B)</f>
        <v>Gadget</v>
      </c>
      <c r="E123" s="43">
        <v>83</v>
      </c>
      <c r="F123" s="43">
        <f>_xlfn.XLOOKUP(A123,Class_Players!A:A,Class_Players!G:G)</f>
        <v>293</v>
      </c>
      <c r="G123" s="43">
        <f t="shared" si="26"/>
        <v>0.28327645051194539</v>
      </c>
      <c r="H123" s="43">
        <f>_xlfn.XLOOKUP(A123,Class_Players!$A:$A,Class_Players!$F:$F,"")</f>
        <v>12749</v>
      </c>
      <c r="I123" s="44">
        <f t="shared" si="27"/>
        <v>6.5103145344732917E-3</v>
      </c>
      <c r="J123" s="43">
        <f t="shared" si="14"/>
        <v>0</v>
      </c>
      <c r="K123" s="44" cm="1">
        <f t="array" ref="K123">IF(D123="Gadget",_xlfn.IFS(I123&gt;=0.2,0.5,I123&gt;=0.1,0.35,I123&gt;=0.05,0.2,TRUE,0),IF(D123="Grenade",_xlfn.IFS(I123&gt;=0.2,1,I123&gt;=0.1,0.7,I123&gt;=0.05,0.4,TRUE,0),0))</f>
        <v>0</v>
      </c>
      <c r="L123" s="57">
        <f t="shared" si="28"/>
        <v>0</v>
      </c>
    </row>
    <row r="124" spans="1:12" x14ac:dyDescent="0.25">
      <c r="A124" s="42" t="str" cm="1">
        <f t="array" ref="A124">IFERROR(INDEX(_xlfn._xlws.FILTER(Class_Players!A:A,Class_Players!B:B="Engineer"),QUOTIENT(ROW()-ROW($A$2),12)+1),"")</f>
        <v>NooterzXD</v>
      </c>
      <c r="B124" s="42" t="str">
        <f>_xlfn.XLOOKUP(A124,Class_Players!$A:$A,Class_Players!$B:$B,"")</f>
        <v>Engineer</v>
      </c>
      <c r="C124" s="42" t="str" cm="1">
        <f t="array" ref="C124">INDEX(Lookups!$B$2:$B$13,MOD(ROW()-ROW($B$2),ROWS(Lookups!$B$2:$B$13))+1)</f>
        <v>RPG-7V2 (Unguided Rocket Launcher)</v>
      </c>
      <c r="D124" s="38" t="str">
        <f>_xlfn.XLOOKUP(C124,Analysis_Gadgets!$C:$C,Analysis_Gadgets!$B:$B)</f>
        <v>Gadget</v>
      </c>
      <c r="E124" s="43">
        <v>5627</v>
      </c>
      <c r="F124" s="43">
        <f>_xlfn.XLOOKUP(A124,Class_Players!A:A,Class_Players!G:G)</f>
        <v>293</v>
      </c>
      <c r="G124" s="43">
        <f t="shared" si="26"/>
        <v>19.204778156996586</v>
      </c>
      <c r="H124" s="43">
        <f>_xlfn.XLOOKUP(A124,Class_Players!$A:$A,Class_Players!$F:$F,"")</f>
        <v>12749</v>
      </c>
      <c r="I124" s="44">
        <f t="shared" si="27"/>
        <v>0.4413679504274845</v>
      </c>
      <c r="J124" s="43">
        <f t="shared" si="14"/>
        <v>1</v>
      </c>
      <c r="K124" s="44" cm="1">
        <f t="array" ref="K124">IF(D124="Gadget",_xlfn.IFS(I124&gt;=0.2,0.5,I124&gt;=0.1,0.35,I124&gt;=0.05,0.2,TRUE,0),IF(D124="Grenade",_xlfn.IFS(I124&gt;=0.2,1,I124&gt;=0.1,0.7,I124&gt;=0.05,0.4,TRUE,0),0))</f>
        <v>0.5</v>
      </c>
      <c r="L124" s="57">
        <f t="shared" si="28"/>
        <v>0.7142857142857143</v>
      </c>
    </row>
    <row r="125" spans="1:12" x14ac:dyDescent="0.25">
      <c r="A125" s="42" t="str" cm="1">
        <f t="array" ref="A125">IFERROR(INDEX(_xlfn._xlws.FILTER(Class_Players!A:A,Class_Players!B:B="Engineer"),QUOTIENT(ROW()-ROW($A$2),12)+1),"")</f>
        <v>NooterzXD</v>
      </c>
      <c r="B125" s="42" t="str">
        <f>_xlfn.XLOOKUP(A125,Class_Players!$A:$A,Class_Players!$B:$B,"")</f>
        <v>Engineer</v>
      </c>
      <c r="C125" s="42" t="str" cm="1">
        <f t="array" ref="C125">INDEX(Lookups!$B$2:$B$13,MOD(ROW()-ROW($B$2),ROWS(Lookups!$B$2:$B$13))+1)</f>
        <v>MAS 148 (Long-Range Launcher)</v>
      </c>
      <c r="D125" s="38" t="str">
        <f>_xlfn.XLOOKUP(C125,Analysis_Gadgets!$C:$C,Analysis_Gadgets!$B:$B)</f>
        <v>Gadget</v>
      </c>
      <c r="E125" s="43">
        <v>18</v>
      </c>
      <c r="F125" s="43">
        <f>_xlfn.XLOOKUP(A125,Class_Players!A:A,Class_Players!G:G)</f>
        <v>293</v>
      </c>
      <c r="G125" s="43">
        <f t="shared" si="26"/>
        <v>6.1433447098976107E-2</v>
      </c>
      <c r="H125" s="43">
        <f>_xlfn.XLOOKUP(A125,Class_Players!$A:$A,Class_Players!$F:$F,"")</f>
        <v>12749</v>
      </c>
      <c r="I125" s="44">
        <f t="shared" si="27"/>
        <v>1.4118754412110754E-3</v>
      </c>
      <c r="J125" s="43">
        <f t="shared" si="14"/>
        <v>0</v>
      </c>
      <c r="K125" s="44" cm="1">
        <f t="array" ref="K125">IF(D125="Gadget",_xlfn.IFS(I125&gt;=0.2,0.5,I125&gt;=0.1,0.35,I125&gt;=0.05,0.2,TRUE,0),IF(D125="Grenade",_xlfn.IFS(I125&gt;=0.2,1,I125&gt;=0.1,0.7,I125&gt;=0.05,0.4,TRUE,0),0))</f>
        <v>0</v>
      </c>
      <c r="L125" s="57">
        <f t="shared" si="28"/>
        <v>0</v>
      </c>
    </row>
    <row r="126" spans="1:12" x14ac:dyDescent="0.25">
      <c r="A126" s="42" t="str" cm="1">
        <f t="array" ref="A126">IFERROR(INDEX(_xlfn._xlws.FILTER(Class_Players!A:A,Class_Players!B:B="Engineer"),QUOTIENT(ROW()-ROW($A$2),12)+1),"")</f>
        <v>NooterzXD</v>
      </c>
      <c r="B126" s="42" t="str">
        <f>_xlfn.XLOOKUP(A126,Class_Players!$A:$A,Class_Players!$B:$B,"")</f>
        <v>Engineer</v>
      </c>
      <c r="C126" s="42" t="str" cm="1">
        <f t="array" ref="C126">INDEX(Lookups!$B$2:$B$13,MOD(ROW()-ROW($B$2),ROWS(Lookups!$B$2:$B$13))+1)</f>
        <v>M136 AT (Aim-Guided Launcher)</v>
      </c>
      <c r="D126" s="38" t="str">
        <f>_xlfn.XLOOKUP(C126,Analysis_Gadgets!$C:$C,Analysis_Gadgets!$B:$B)</f>
        <v>Gadget</v>
      </c>
      <c r="E126" s="43">
        <v>17</v>
      </c>
      <c r="F126" s="43">
        <f>_xlfn.XLOOKUP(A126,Class_Players!A:A,Class_Players!G:G)</f>
        <v>293</v>
      </c>
      <c r="G126" s="43">
        <f t="shared" si="26"/>
        <v>5.8020477815699661E-2</v>
      </c>
      <c r="H126" s="43">
        <f>_xlfn.XLOOKUP(A126,Class_Players!$A:$A,Class_Players!$F:$F,"")</f>
        <v>12749</v>
      </c>
      <c r="I126" s="44">
        <f t="shared" si="27"/>
        <v>1.3334379166993491E-3</v>
      </c>
      <c r="J126" s="43">
        <f t="shared" si="14"/>
        <v>0</v>
      </c>
      <c r="K126" s="44" cm="1">
        <f t="array" ref="K126">IF(D126="Gadget",_xlfn.IFS(I126&gt;=0.2,0.5,I126&gt;=0.1,0.35,I126&gt;=0.05,0.2,TRUE,0),IF(D126="Grenade",_xlfn.IFS(I126&gt;=0.2,1,I126&gt;=0.1,0.7,I126&gt;=0.05,0.4,TRUE,0),0))</f>
        <v>0</v>
      </c>
      <c r="L126" s="57">
        <f t="shared" si="28"/>
        <v>0</v>
      </c>
    </row>
    <row r="127" spans="1:12" x14ac:dyDescent="0.25">
      <c r="A127" s="42" t="str" cm="1">
        <f t="array" ref="A127">IFERROR(INDEX(_xlfn._xlws.FILTER(Class_Players!A:A,Class_Players!B:B="Engineer"),QUOTIENT(ROW()-ROW($A$2),12)+1),"")</f>
        <v>NooterzXD</v>
      </c>
      <c r="B127" s="42" t="str">
        <f>_xlfn.XLOOKUP(A127,Class_Players!$A:$A,Class_Players!$B:$B,"")</f>
        <v>Engineer</v>
      </c>
      <c r="C127" s="42" t="str" cm="1">
        <f t="array" ref="C127">INDEX(Lookups!$B$2:$B$13,MOD(ROW()-ROW($B$2),ROWS(Lookups!$B$2:$B$13))+1)</f>
        <v>Supply Crate</v>
      </c>
      <c r="D127" s="38" t="str">
        <f>_xlfn.XLOOKUP(C127,Analysis_Gadgets!$C:$C,Analysis_Gadgets!$B:$B)</f>
        <v>Gadget</v>
      </c>
      <c r="E127" s="43">
        <v>24</v>
      </c>
      <c r="F127" s="43">
        <f>_xlfn.XLOOKUP(A127,Class_Players!A:A,Class_Players!G:G)</f>
        <v>293</v>
      </c>
      <c r="G127" s="43">
        <f t="shared" si="26"/>
        <v>8.191126279863481E-2</v>
      </c>
      <c r="H127" s="43">
        <f>_xlfn.XLOOKUP(A127,Class_Players!$A:$A,Class_Players!$F:$F,"")</f>
        <v>12749</v>
      </c>
      <c r="I127" s="44">
        <f t="shared" si="27"/>
        <v>1.8825005882814338E-3</v>
      </c>
      <c r="J127" s="43">
        <f t="shared" si="14"/>
        <v>0</v>
      </c>
      <c r="K127" s="44" cm="1">
        <f t="array" ref="K127">IF(D127="Gadget",_xlfn.IFS(I127&gt;=0.2,0.5,I127&gt;=0.1,0.35,I127&gt;=0.05,0.2,TRUE,0),IF(D127="Grenade",_xlfn.IFS(I127&gt;=0.2,1,I127&gt;=0.1,0.7,I127&gt;=0.05,0.4,TRUE,0),0))</f>
        <v>0</v>
      </c>
      <c r="L127" s="57">
        <f t="shared" si="28"/>
        <v>0</v>
      </c>
    </row>
    <row r="128" spans="1:12" x14ac:dyDescent="0.25">
      <c r="A128" s="42" t="str" cm="1">
        <f t="array" ref="A128">IFERROR(INDEX(_xlfn._xlws.FILTER(Class_Players!A:A,Class_Players!B:B="Engineer"),QUOTIENT(ROW()-ROW($A$2),12)+1),"")</f>
        <v>NooterzXD</v>
      </c>
      <c r="B128" s="42" t="str">
        <f>_xlfn.XLOOKUP(A128,Class_Players!$A:$A,Class_Players!$B:$B,"")</f>
        <v>Engineer</v>
      </c>
      <c r="C128" s="42" t="str" cm="1">
        <f t="array" ref="C128">INDEX(Lookups!$B$2:$B$13,MOD(ROW()-ROW($B$2),ROWS(Lookups!$B$2:$B$13))+1)</f>
        <v>M15 (Anti-Vehicle Mine)</v>
      </c>
      <c r="D128" s="38" t="str">
        <f>_xlfn.XLOOKUP(C128,Analysis_Gadgets!$C:$C,Analysis_Gadgets!$B:$B)</f>
        <v>Gadget</v>
      </c>
      <c r="E128" s="43">
        <v>406</v>
      </c>
      <c r="F128" s="43">
        <f>_xlfn.XLOOKUP(A128,Class_Players!A:A,Class_Players!G:G)</f>
        <v>293</v>
      </c>
      <c r="G128" s="43">
        <f t="shared" si="26"/>
        <v>1.3856655290102389</v>
      </c>
      <c r="H128" s="43">
        <f>_xlfn.XLOOKUP(A128,Class_Players!$A:$A,Class_Players!$F:$F,"")</f>
        <v>12749</v>
      </c>
      <c r="I128" s="44">
        <f t="shared" si="27"/>
        <v>3.1845634951760925E-2</v>
      </c>
      <c r="J128" s="43">
        <f t="shared" si="14"/>
        <v>0</v>
      </c>
      <c r="K128" s="44" cm="1">
        <f t="array" ref="K128">IF(D128="Gadget",_xlfn.IFS(I128&gt;=0.2,0.5,I128&gt;=0.1,0.35,I128&gt;=0.05,0.2,TRUE,0),IF(D128="Grenade",_xlfn.IFS(I128&gt;=0.2,1,I128&gt;=0.1,0.7,I128&gt;=0.05,0.4,TRUE,0),0))</f>
        <v>0</v>
      </c>
      <c r="L128" s="57">
        <f t="shared" si="28"/>
        <v>0</v>
      </c>
    </row>
    <row r="129" spans="1:12" x14ac:dyDescent="0.25">
      <c r="A129" s="42" t="str" cm="1">
        <f t="array" ref="A129">IFERROR(INDEX(_xlfn._xlws.FILTER(Class_Players!A:A,Class_Players!B:B="Engineer"),QUOTIENT(ROW()-ROW($A$2),12)+1),"")</f>
        <v>NooterzXD</v>
      </c>
      <c r="B129" s="42" t="str">
        <f>_xlfn.XLOOKUP(A129,Class_Players!$A:$A,Class_Players!$B:$B,"")</f>
        <v>Engineer</v>
      </c>
      <c r="C129" s="42" t="str" cm="1">
        <f t="array" ref="C129">INDEX(Lookups!$B$2:$B$13,MOD(ROW()-ROW($B$2),ROWS(Lookups!$B$2:$B$13))+1)</f>
        <v>PTKM-1R (Acoustic Sensor AV Mine)</v>
      </c>
      <c r="D129" s="38" t="str">
        <f>_xlfn.XLOOKUP(C129,Analysis_Gadgets!$C:$C,Analysis_Gadgets!$B:$B)</f>
        <v>Gadget</v>
      </c>
      <c r="E129" s="43">
        <v>1233</v>
      </c>
      <c r="F129" s="43">
        <f>_xlfn.XLOOKUP(A129,Class_Players!A:A,Class_Players!G:G)</f>
        <v>293</v>
      </c>
      <c r="G129" s="43">
        <f t="shared" si="26"/>
        <v>4.2081911262798632</v>
      </c>
      <c r="H129" s="43">
        <f>_xlfn.XLOOKUP(A129,Class_Players!$A:$A,Class_Players!$F:$F,"")</f>
        <v>12749</v>
      </c>
      <c r="I129" s="44">
        <f t="shared" si="27"/>
        <v>9.6713467722958663E-2</v>
      </c>
      <c r="J129" s="43">
        <f t="shared" si="14"/>
        <v>0</v>
      </c>
      <c r="K129" s="44" cm="1">
        <f t="array" ref="K129">IF(D129="Gadget",_xlfn.IFS(I129&gt;=0.2,0.5,I129&gt;=0.1,0.35,I129&gt;=0.05,0.2,TRUE,0),IF(D129="Grenade",_xlfn.IFS(I129&gt;=0.2,1,I129&gt;=0.1,0.7,I129&gt;=0.05,0.4,TRUE,0),0))</f>
        <v>0.2</v>
      </c>
      <c r="L129" s="57">
        <f t="shared" si="28"/>
        <v>0.28571428571428575</v>
      </c>
    </row>
    <row r="130" spans="1:12" x14ac:dyDescent="0.25">
      <c r="A130" s="42" t="str" cm="1">
        <f t="array" ref="A130">IFERROR(INDEX(_xlfn._xlws.FILTER(Class_Players!A:A,Class_Players!B:B="Engineer"),QUOTIENT(ROW()-ROW($A$2),12)+1),"")</f>
        <v>NooterzXD</v>
      </c>
      <c r="B130" s="42" t="str">
        <f>_xlfn.XLOOKUP(A130,Class_Players!$A:$A,Class_Players!$B:$B,"")</f>
        <v>Engineer</v>
      </c>
      <c r="C130" s="42" t="str" cm="1">
        <f t="array" ref="C130">INDEX(Lookups!$B$2:$B$13,MOD(ROW()-ROW($B$2),ROWS(Lookups!$B$2:$B$13))+1)</f>
        <v>EOD Bot</v>
      </c>
      <c r="D130" s="38" t="str">
        <f>_xlfn.XLOOKUP(C130,Analysis_Gadgets!$C:$C,Analysis_Gadgets!$B:$B)</f>
        <v>Gadget</v>
      </c>
      <c r="E130" s="43">
        <v>0</v>
      </c>
      <c r="F130" s="43">
        <f>_xlfn.XLOOKUP(A130,Class_Players!A:A,Class_Players!G:G)</f>
        <v>293</v>
      </c>
      <c r="G130" s="43">
        <f t="shared" si="26"/>
        <v>0</v>
      </c>
      <c r="H130" s="43">
        <f>_xlfn.XLOOKUP(A130,Class_Players!$A:$A,Class_Players!$F:$F,"")</f>
        <v>12749</v>
      </c>
      <c r="I130" s="44">
        <f t="shared" si="27"/>
        <v>0</v>
      </c>
      <c r="J130" s="43">
        <f t="shared" si="14"/>
        <v>0</v>
      </c>
      <c r="K130" s="44" cm="1">
        <f t="array" ref="K130">IF(D130="Gadget",_xlfn.IFS(I130&gt;=0.2,0.5,I130&gt;=0.1,0.35,I130&gt;=0.05,0.2,TRUE,0),IF(D130="Grenade",_xlfn.IFS(I130&gt;=0.2,1,I130&gt;=0.1,0.7,I130&gt;=0.05,0.4,TRUE,0),0))</f>
        <v>0</v>
      </c>
      <c r="L130" s="57">
        <f t="shared" si="28"/>
        <v>0</v>
      </c>
    </row>
    <row r="131" spans="1:12" x14ac:dyDescent="0.25">
      <c r="A131" s="42" t="str" cm="1">
        <f t="array" ref="A131">IFERROR(INDEX(_xlfn._xlws.FILTER(Class_Players!A:A,Class_Players!B:B="Engineer"),QUOTIENT(ROW()-ROW($A$2),12)+1),"")</f>
        <v>NooterzXD</v>
      </c>
      <c r="B131" s="42" t="str">
        <f>_xlfn.XLOOKUP(A131,Class_Players!$A:$A,Class_Players!$B:$B,"")</f>
        <v>Engineer</v>
      </c>
      <c r="C131" s="42" t="str" cm="1">
        <f t="array" ref="C131">INDEX(Lookups!$B$2:$B$13,MOD(ROW()-ROW($B$2),ROWS(Lookups!$B$2:$B$13))+1)</f>
        <v>M4A1 SLAM (Tripwire Sensor AV Mine)</v>
      </c>
      <c r="D131" s="38" t="str">
        <f>_xlfn.XLOOKUP(C131,Analysis_Gadgets!$C:$C,Analysis_Gadgets!$B:$B)</f>
        <v>Gadget</v>
      </c>
      <c r="E131" s="43">
        <v>8</v>
      </c>
      <c r="F131" s="43">
        <f>_xlfn.XLOOKUP(A131,Class_Players!A:A,Class_Players!G:G)</f>
        <v>293</v>
      </c>
      <c r="G131" s="43">
        <f t="shared" si="26"/>
        <v>2.7303754266211604E-2</v>
      </c>
      <c r="H131" s="43">
        <f>_xlfn.XLOOKUP(A131,Class_Players!$A:$A,Class_Players!$F:$F,"")</f>
        <v>12749</v>
      </c>
      <c r="I131" s="44">
        <f t="shared" si="27"/>
        <v>6.2750019609381124E-4</v>
      </c>
      <c r="J131" s="43">
        <f t="shared" si="14"/>
        <v>0</v>
      </c>
      <c r="K131" s="44" cm="1">
        <f t="array" ref="K131">IF(D131="Gadget",_xlfn.IFS(I131&gt;=0.2,0.5,I131&gt;=0.1,0.35,I131&gt;=0.05,0.2,TRUE,0),IF(D131="Grenade",_xlfn.IFS(I131&gt;=0.2,1,I131&gt;=0.1,0.7,I131&gt;=0.05,0.4,TRUE,0),0))</f>
        <v>0</v>
      </c>
      <c r="L131" s="57">
        <f t="shared" si="28"/>
        <v>0</v>
      </c>
    </row>
    <row r="132" spans="1:12" x14ac:dyDescent="0.25">
      <c r="A132" s="42" t="str" cm="1">
        <f t="array" ref="A132">IFERROR(INDEX(_xlfn._xlws.FILTER(Class_Players!A:A,Class_Players!B:B="Engineer"),QUOTIENT(ROW()-ROW($A$2),12)+1),"")</f>
        <v>NooterzXD</v>
      </c>
      <c r="B132" s="42" t="str">
        <f>_xlfn.XLOOKUP(A132,Class_Players!$A:$A,Class_Players!$B:$B,"")</f>
        <v>Engineer</v>
      </c>
      <c r="C132" s="42" t="str" cm="1">
        <f t="array" ref="C132">INDEX(Lookups!$B$2:$B$13,MOD(ROW()-ROW($B$2),ROWS(Lookups!$B$2:$B$13))+1)</f>
        <v>Mini Frag Grenade</v>
      </c>
      <c r="D132" s="38" t="str">
        <f>_xlfn.XLOOKUP(C132,Analysis_Gadgets!$C:$C,Analysis_Gadgets!$B:$B)</f>
        <v>Grenade</v>
      </c>
      <c r="E132" s="43">
        <v>5239</v>
      </c>
      <c r="F132" s="43">
        <f>_xlfn.XLOOKUP(A132,Class_Players!A:A,Class_Players!G:G)</f>
        <v>293</v>
      </c>
      <c r="G132" s="43">
        <f t="shared" si="26"/>
        <v>17.880546075085324</v>
      </c>
      <c r="H132" s="43">
        <f>_xlfn.XLOOKUP(A132,Class_Players!$A:$A,Class_Players!$F:$F,"")</f>
        <v>12749</v>
      </c>
      <c r="I132" s="44">
        <f t="shared" si="27"/>
        <v>0.41093419091693467</v>
      </c>
      <c r="J132" s="43">
        <f t="shared" si="14"/>
        <v>1</v>
      </c>
      <c r="K132" s="44" cm="1">
        <f t="array" ref="K132">IF(D132="Gadget",_xlfn.IFS(I132&gt;=0.2,0.5,I132&gt;=0.1,0.35,I132&gt;=0.05,0.2,TRUE,0),IF(D132="Grenade",_xlfn.IFS(I132&gt;=0.2,1,I132&gt;=0.1,0.7,I132&gt;=0.05,0.4,TRUE,0),0))</f>
        <v>1</v>
      </c>
      <c r="L132" s="57">
        <f t="shared" ref="L132:L133" si="29">IF($K132=0,0,$K132 / SUMIFS($K:$K,$A:$A,$A132,$D:$D,"Grenade"))</f>
        <v>1</v>
      </c>
    </row>
    <row r="133" spans="1:12" x14ac:dyDescent="0.25">
      <c r="A133" s="42" t="str" cm="1">
        <f t="array" ref="A133">IFERROR(INDEX(_xlfn._xlws.FILTER(Class_Players!A:A,Class_Players!B:B="Engineer"),QUOTIENT(ROW()-ROW($A$2),12)+1),"")</f>
        <v>NooterzXD</v>
      </c>
      <c r="B133" s="42" t="str">
        <f>_xlfn.XLOOKUP(A133,Class_Players!$A:$A,Class_Players!$B:$B,"")</f>
        <v>Engineer</v>
      </c>
      <c r="C133" s="42" t="str" cm="1">
        <f t="array" ref="C133">INDEX(Lookups!$B$2:$B$13,MOD(ROW()-ROW($B$2),ROWS(Lookups!$B$2:$B$13))+1)</f>
        <v>Anti-Vehicle Grenade</v>
      </c>
      <c r="D133" s="38" t="str">
        <f>_xlfn.XLOOKUP(C133,Analysis_Gadgets!$C:$C,Analysis_Gadgets!$B:$B)</f>
        <v>Grenade</v>
      </c>
      <c r="E133" s="43">
        <v>0</v>
      </c>
      <c r="F133" s="43">
        <f>_xlfn.XLOOKUP(A133,Class_Players!A:A,Class_Players!G:G)</f>
        <v>293</v>
      </c>
      <c r="G133" s="43">
        <f t="shared" si="26"/>
        <v>0</v>
      </c>
      <c r="H133" s="43">
        <f>_xlfn.XLOOKUP(A133,Class_Players!$A:$A,Class_Players!$F:$F,"")</f>
        <v>12749</v>
      </c>
      <c r="I133" s="44">
        <f t="shared" si="27"/>
        <v>0</v>
      </c>
      <c r="J133" s="43">
        <f t="shared" si="14"/>
        <v>0</v>
      </c>
      <c r="K133" s="44" cm="1">
        <f t="array" ref="K133">IF(D133="Gadget",_xlfn.IFS(I133&gt;=0.2,0.5,I133&gt;=0.1,0.35,I133&gt;=0.05,0.2,TRUE,0),IF(D133="Grenade",_xlfn.IFS(I133&gt;=0.2,1,I133&gt;=0.1,0.7,I133&gt;=0.05,0.4,TRUE,0),0))</f>
        <v>0</v>
      </c>
      <c r="L133" s="57">
        <f t="shared" si="29"/>
        <v>0</v>
      </c>
    </row>
    <row r="134" spans="1:12" x14ac:dyDescent="0.25">
      <c r="A134" s="42" t="str" cm="1">
        <f t="array" ref="A134">IFERROR(INDEX(_xlfn._xlws.FILTER(Class_Players!A:A,Class_Players!B:B="Engineer"),QUOTIENT(ROW()-ROW($A$2),12)+1),"")</f>
        <v>ylari</v>
      </c>
      <c r="B134" s="42" t="str">
        <f>_xlfn.XLOOKUP(A134,Class_Players!$A:$A,Class_Players!$B:$B,"")</f>
        <v>Engineer</v>
      </c>
      <c r="C134" s="42" t="str" cm="1">
        <f t="array" ref="C134">INDEX(Lookups!$B$2:$B$13,MOD(ROW()-ROW($B$2),ROWS(Lookups!$B$2:$B$13))+1)</f>
        <v>MBT-LAW (Auto-Guided Launcher)</v>
      </c>
      <c r="D134" s="38" t="str">
        <f>_xlfn.XLOOKUP(C134,Analysis_Gadgets!$C:$C,Analysis_Gadgets!$B:$B)</f>
        <v>Gadget</v>
      </c>
      <c r="E134" s="43">
        <v>0</v>
      </c>
      <c r="F134" s="43">
        <f>_xlfn.XLOOKUP(A134,Class_Players!A:A,Class_Players!G:G)</f>
        <v>213</v>
      </c>
      <c r="G134" s="43">
        <f t="shared" si="26"/>
        <v>0</v>
      </c>
      <c r="H134" s="43">
        <f>_xlfn.XLOOKUP(A134,Class_Players!$A:$A,Class_Players!$F:$F,"")</f>
        <v>15188</v>
      </c>
      <c r="I134" s="44">
        <f t="shared" si="27"/>
        <v>0</v>
      </c>
      <c r="J134" s="43">
        <f t="shared" si="14"/>
        <v>0</v>
      </c>
      <c r="K134" s="44" cm="1">
        <f t="array" ref="K134">IF(D134="Gadget",_xlfn.IFS(I134&gt;=0.2,0.5,I134&gt;=0.1,0.35,I134&gt;=0.05,0.2,TRUE,0),IF(D134="Grenade",_xlfn.IFS(I134&gt;=0.2,1,I134&gt;=0.1,0.7,I134&gt;=0.05,0.4,TRUE,0),0))</f>
        <v>0</v>
      </c>
      <c r="L134" s="57">
        <f t="shared" ref="L134:L143" si="30">IF($K134=0,0,$K134 / SUMIFS($K:$K,$A:$A,$A134,$D:$D,"Gadget"))</f>
        <v>0</v>
      </c>
    </row>
    <row r="135" spans="1:12" x14ac:dyDescent="0.25">
      <c r="A135" s="42" t="str" cm="1">
        <f t="array" ref="A135">IFERROR(INDEX(_xlfn._xlws.FILTER(Class_Players!A:A,Class_Players!B:B="Engineer"),QUOTIENT(ROW()-ROW($A$2),12)+1),"")</f>
        <v>ylari</v>
      </c>
      <c r="B135" s="42" t="str">
        <f>_xlfn.XLOOKUP(A135,Class_Players!$A:$A,Class_Players!$B:$B,"")</f>
        <v>Engineer</v>
      </c>
      <c r="C135" s="42" t="str" cm="1">
        <f t="array" ref="C135">INDEX(Lookups!$B$2:$B$13,MOD(ROW()-ROW($B$2),ROWS(Lookups!$B$2:$B$13))+1)</f>
        <v>SLM-93A (Air-Defense Launcher)</v>
      </c>
      <c r="D135" s="38" t="str">
        <f>_xlfn.XLOOKUP(C135,Analysis_Gadgets!$C:$C,Analysis_Gadgets!$B:$B)</f>
        <v>Gadget</v>
      </c>
      <c r="E135" s="43">
        <v>0</v>
      </c>
      <c r="F135" s="43">
        <f>_xlfn.XLOOKUP(A135,Class_Players!A:A,Class_Players!G:G)</f>
        <v>213</v>
      </c>
      <c r="G135" s="43">
        <f t="shared" si="26"/>
        <v>0</v>
      </c>
      <c r="H135" s="43">
        <f>_xlfn.XLOOKUP(A135,Class_Players!$A:$A,Class_Players!$F:$F,"")</f>
        <v>15188</v>
      </c>
      <c r="I135" s="44">
        <f t="shared" si="27"/>
        <v>0</v>
      </c>
      <c r="J135" s="43">
        <f t="shared" si="14"/>
        <v>0</v>
      </c>
      <c r="K135" s="44" cm="1">
        <f t="array" ref="K135">IF(D135="Gadget",_xlfn.IFS(I135&gt;=0.2,0.5,I135&gt;=0.1,0.35,I135&gt;=0.05,0.2,TRUE,0),IF(D135="Grenade",_xlfn.IFS(I135&gt;=0.2,1,I135&gt;=0.1,0.7,I135&gt;=0.05,0.4,TRUE,0),0))</f>
        <v>0</v>
      </c>
      <c r="L135" s="57">
        <f t="shared" si="30"/>
        <v>0</v>
      </c>
    </row>
    <row r="136" spans="1:12" x14ac:dyDescent="0.25">
      <c r="A136" s="42" t="str" cm="1">
        <f t="array" ref="A136">IFERROR(INDEX(_xlfn._xlws.FILTER(Class_Players!A:A,Class_Players!B:B="Engineer"),QUOTIENT(ROW()-ROW($A$2),12)+1),"")</f>
        <v>ylari</v>
      </c>
      <c r="B136" s="42" t="str">
        <f>_xlfn.XLOOKUP(A136,Class_Players!$A:$A,Class_Players!$B:$B,"")</f>
        <v>Engineer</v>
      </c>
      <c r="C136" s="42" t="str" cm="1">
        <f t="array" ref="C136">INDEX(Lookups!$B$2:$B$13,MOD(ROW()-ROW($B$2),ROWS(Lookups!$B$2:$B$13))+1)</f>
        <v>RPG-7V2 (Unguided Rocket Launcher)</v>
      </c>
      <c r="D136" s="38" t="str">
        <f>_xlfn.XLOOKUP(C136,Analysis_Gadgets!$C:$C,Analysis_Gadgets!$B:$B)</f>
        <v>Gadget</v>
      </c>
      <c r="E136" s="43">
        <v>1512</v>
      </c>
      <c r="F136" s="43">
        <f>_xlfn.XLOOKUP(A136,Class_Players!A:A,Class_Players!G:G)</f>
        <v>213</v>
      </c>
      <c r="G136" s="43">
        <f t="shared" si="26"/>
        <v>7.098591549295775</v>
      </c>
      <c r="H136" s="43">
        <f>_xlfn.XLOOKUP(A136,Class_Players!$A:$A,Class_Players!$F:$F,"")</f>
        <v>15188</v>
      </c>
      <c r="I136" s="44">
        <f t="shared" si="27"/>
        <v>9.9552278114300757E-2</v>
      </c>
      <c r="J136" s="43">
        <f t="shared" si="14"/>
        <v>0</v>
      </c>
      <c r="K136" s="44" cm="1">
        <f t="array" ref="K136">IF(D136="Gadget",_xlfn.IFS(I136&gt;=0.2,0.5,I136&gt;=0.1,0.35,I136&gt;=0.05,0.2,TRUE,0),IF(D136="Grenade",_xlfn.IFS(I136&gt;=0.2,1,I136&gt;=0.1,0.7,I136&gt;=0.05,0.4,TRUE,0),0))</f>
        <v>0.2</v>
      </c>
      <c r="L136" s="57">
        <f t="shared" si="30"/>
        <v>0.5</v>
      </c>
    </row>
    <row r="137" spans="1:12" x14ac:dyDescent="0.25">
      <c r="A137" s="42" t="str" cm="1">
        <f t="array" ref="A137">IFERROR(INDEX(_xlfn._xlws.FILTER(Class_Players!A:A,Class_Players!B:B="Engineer"),QUOTIENT(ROW()-ROW($A$2),12)+1),"")</f>
        <v>ylari</v>
      </c>
      <c r="B137" s="42" t="str">
        <f>_xlfn.XLOOKUP(A137,Class_Players!$A:$A,Class_Players!$B:$B,"")</f>
        <v>Engineer</v>
      </c>
      <c r="C137" s="42" t="str" cm="1">
        <f t="array" ref="C137">INDEX(Lookups!$B$2:$B$13,MOD(ROW()-ROW($B$2),ROWS(Lookups!$B$2:$B$13))+1)</f>
        <v>MAS 148 (Long-Range Launcher)</v>
      </c>
      <c r="D137" s="38" t="str">
        <f>_xlfn.XLOOKUP(C137,Analysis_Gadgets!$C:$C,Analysis_Gadgets!$B:$B)</f>
        <v>Gadget</v>
      </c>
      <c r="E137" s="43">
        <v>0</v>
      </c>
      <c r="F137" s="43">
        <f>_xlfn.XLOOKUP(A137,Class_Players!A:A,Class_Players!G:G)</f>
        <v>213</v>
      </c>
      <c r="G137" s="43">
        <f t="shared" si="26"/>
        <v>0</v>
      </c>
      <c r="H137" s="43">
        <f>_xlfn.XLOOKUP(A137,Class_Players!$A:$A,Class_Players!$F:$F,"")</f>
        <v>15188</v>
      </c>
      <c r="I137" s="44">
        <f t="shared" si="27"/>
        <v>0</v>
      </c>
      <c r="J137" s="43">
        <f t="shared" si="14"/>
        <v>0</v>
      </c>
      <c r="K137" s="44" cm="1">
        <f t="array" ref="K137">IF(D137="Gadget",_xlfn.IFS(I137&gt;=0.2,0.5,I137&gt;=0.1,0.35,I137&gt;=0.05,0.2,TRUE,0),IF(D137="Grenade",_xlfn.IFS(I137&gt;=0.2,1,I137&gt;=0.1,0.7,I137&gt;=0.05,0.4,TRUE,0),0))</f>
        <v>0</v>
      </c>
      <c r="L137" s="57">
        <f t="shared" si="30"/>
        <v>0</v>
      </c>
    </row>
    <row r="138" spans="1:12" x14ac:dyDescent="0.25">
      <c r="A138" s="42" t="str" cm="1">
        <f t="array" ref="A138">IFERROR(INDEX(_xlfn._xlws.FILTER(Class_Players!A:A,Class_Players!B:B="Engineer"),QUOTIENT(ROW()-ROW($A$2),12)+1),"")</f>
        <v>ylari</v>
      </c>
      <c r="B138" s="42" t="str">
        <f>_xlfn.XLOOKUP(A138,Class_Players!$A:$A,Class_Players!$B:$B,"")</f>
        <v>Engineer</v>
      </c>
      <c r="C138" s="42" t="str" cm="1">
        <f t="array" ref="C138">INDEX(Lookups!$B$2:$B$13,MOD(ROW()-ROW($B$2),ROWS(Lookups!$B$2:$B$13))+1)</f>
        <v>M136 AT (Aim-Guided Launcher)</v>
      </c>
      <c r="D138" s="38" t="str">
        <f>_xlfn.XLOOKUP(C138,Analysis_Gadgets!$C:$C,Analysis_Gadgets!$B:$B)</f>
        <v>Gadget</v>
      </c>
      <c r="E138" s="43">
        <v>0</v>
      </c>
      <c r="F138" s="43">
        <f>_xlfn.XLOOKUP(A138,Class_Players!A:A,Class_Players!G:G)</f>
        <v>213</v>
      </c>
      <c r="G138" s="43">
        <f t="shared" si="26"/>
        <v>0</v>
      </c>
      <c r="H138" s="43">
        <f>_xlfn.XLOOKUP(A138,Class_Players!$A:$A,Class_Players!$F:$F,"")</f>
        <v>15188</v>
      </c>
      <c r="I138" s="44">
        <f t="shared" si="27"/>
        <v>0</v>
      </c>
      <c r="J138" s="43">
        <f t="shared" si="14"/>
        <v>0</v>
      </c>
      <c r="K138" s="44" cm="1">
        <f t="array" ref="K138">IF(D138="Gadget",_xlfn.IFS(I138&gt;=0.2,0.5,I138&gt;=0.1,0.35,I138&gt;=0.05,0.2,TRUE,0),IF(D138="Grenade",_xlfn.IFS(I138&gt;=0.2,1,I138&gt;=0.1,0.7,I138&gt;=0.05,0.4,TRUE,0),0))</f>
        <v>0</v>
      </c>
      <c r="L138" s="57">
        <f t="shared" si="30"/>
        <v>0</v>
      </c>
    </row>
    <row r="139" spans="1:12" x14ac:dyDescent="0.25">
      <c r="A139" s="42" t="str" cm="1">
        <f t="array" ref="A139">IFERROR(INDEX(_xlfn._xlws.FILTER(Class_Players!A:A,Class_Players!B:B="Engineer"),QUOTIENT(ROW()-ROW($A$2),12)+1),"")</f>
        <v>ylari</v>
      </c>
      <c r="B139" s="42" t="str">
        <f>_xlfn.XLOOKUP(A139,Class_Players!$A:$A,Class_Players!$B:$B,"")</f>
        <v>Engineer</v>
      </c>
      <c r="C139" s="42" t="str" cm="1">
        <f t="array" ref="C139">INDEX(Lookups!$B$2:$B$13,MOD(ROW()-ROW($B$2),ROWS(Lookups!$B$2:$B$13))+1)</f>
        <v>Supply Crate</v>
      </c>
      <c r="D139" s="38" t="str">
        <f>_xlfn.XLOOKUP(C139,Analysis_Gadgets!$C:$C,Analysis_Gadgets!$B:$B)</f>
        <v>Gadget</v>
      </c>
      <c r="E139" s="43">
        <v>0</v>
      </c>
      <c r="F139" s="43">
        <f>_xlfn.XLOOKUP(A139,Class_Players!A:A,Class_Players!G:G)</f>
        <v>213</v>
      </c>
      <c r="G139" s="43">
        <f t="shared" si="26"/>
        <v>0</v>
      </c>
      <c r="H139" s="43">
        <f>_xlfn.XLOOKUP(A139,Class_Players!$A:$A,Class_Players!$F:$F,"")</f>
        <v>15188</v>
      </c>
      <c r="I139" s="44">
        <f t="shared" si="27"/>
        <v>0</v>
      </c>
      <c r="J139" s="43">
        <f t="shared" si="14"/>
        <v>0</v>
      </c>
      <c r="K139" s="44" cm="1">
        <f t="array" ref="K139">IF(D139="Gadget",_xlfn.IFS(I139&gt;=0.2,0.5,I139&gt;=0.1,0.35,I139&gt;=0.05,0.2,TRUE,0),IF(D139="Grenade",_xlfn.IFS(I139&gt;=0.2,1,I139&gt;=0.1,0.7,I139&gt;=0.05,0.4,TRUE,0),0))</f>
        <v>0</v>
      </c>
      <c r="L139" s="57">
        <f t="shared" si="30"/>
        <v>0</v>
      </c>
    </row>
    <row r="140" spans="1:12" x14ac:dyDescent="0.25">
      <c r="A140" s="42" t="str" cm="1">
        <f t="array" ref="A140">IFERROR(INDEX(_xlfn._xlws.FILTER(Class_Players!A:A,Class_Players!B:B="Engineer"),QUOTIENT(ROW()-ROW($A$2),12)+1),"")</f>
        <v>ylari</v>
      </c>
      <c r="B140" s="42" t="str">
        <f>_xlfn.XLOOKUP(A140,Class_Players!$A:$A,Class_Players!$B:$B,"")</f>
        <v>Engineer</v>
      </c>
      <c r="C140" s="42" t="str" cm="1">
        <f t="array" ref="C140">INDEX(Lookups!$B$2:$B$13,MOD(ROW()-ROW($B$2),ROWS(Lookups!$B$2:$B$13))+1)</f>
        <v>M15 (Anti-Vehicle Mine)</v>
      </c>
      <c r="D140" s="38" t="str">
        <f>_xlfn.XLOOKUP(C140,Analysis_Gadgets!$C:$C,Analysis_Gadgets!$B:$B)</f>
        <v>Gadget</v>
      </c>
      <c r="E140" s="43">
        <v>1198</v>
      </c>
      <c r="F140" s="43">
        <f>_xlfn.XLOOKUP(A140,Class_Players!A:A,Class_Players!G:G)</f>
        <v>213</v>
      </c>
      <c r="G140" s="43">
        <f t="shared" si="26"/>
        <v>5.624413145539906</v>
      </c>
      <c r="H140" s="43">
        <f>_xlfn.XLOOKUP(A140,Class_Players!$A:$A,Class_Players!$F:$F,"")</f>
        <v>15188</v>
      </c>
      <c r="I140" s="44">
        <f t="shared" si="27"/>
        <v>7.8878061627600735E-2</v>
      </c>
      <c r="J140" s="43">
        <f t="shared" si="14"/>
        <v>0</v>
      </c>
      <c r="K140" s="44" cm="1">
        <f t="array" ref="K140">IF(D140="Gadget",_xlfn.IFS(I140&gt;=0.2,0.5,I140&gt;=0.1,0.35,I140&gt;=0.05,0.2,TRUE,0),IF(D140="Grenade",_xlfn.IFS(I140&gt;=0.2,1,I140&gt;=0.1,0.7,I140&gt;=0.05,0.4,TRUE,0),0))</f>
        <v>0.2</v>
      </c>
      <c r="L140" s="57">
        <f t="shared" si="30"/>
        <v>0.5</v>
      </c>
    </row>
    <row r="141" spans="1:12" x14ac:dyDescent="0.25">
      <c r="A141" s="42" t="str" cm="1">
        <f t="array" ref="A141">IFERROR(INDEX(_xlfn._xlws.FILTER(Class_Players!A:A,Class_Players!B:B="Engineer"),QUOTIENT(ROW()-ROW($A$2),12)+1),"")</f>
        <v>ylari</v>
      </c>
      <c r="B141" s="42" t="str">
        <f>_xlfn.XLOOKUP(A141,Class_Players!$A:$A,Class_Players!$B:$B,"")</f>
        <v>Engineer</v>
      </c>
      <c r="C141" s="42" t="str" cm="1">
        <f t="array" ref="C141">INDEX(Lookups!$B$2:$B$13,MOD(ROW()-ROW($B$2),ROWS(Lookups!$B$2:$B$13))+1)</f>
        <v>PTKM-1R (Acoustic Sensor AV Mine)</v>
      </c>
      <c r="D141" s="38" t="str">
        <f>_xlfn.XLOOKUP(C141,Analysis_Gadgets!$C:$C,Analysis_Gadgets!$B:$B)</f>
        <v>Gadget</v>
      </c>
      <c r="E141" s="43">
        <v>0</v>
      </c>
      <c r="F141" s="43">
        <f>_xlfn.XLOOKUP(A141,Class_Players!A:A,Class_Players!G:G)</f>
        <v>213</v>
      </c>
      <c r="G141" s="43">
        <f t="shared" si="26"/>
        <v>0</v>
      </c>
      <c r="H141" s="43">
        <f>_xlfn.XLOOKUP(A141,Class_Players!$A:$A,Class_Players!$F:$F,"")</f>
        <v>15188</v>
      </c>
      <c r="I141" s="44">
        <f t="shared" si="27"/>
        <v>0</v>
      </c>
      <c r="J141" s="43">
        <f t="shared" si="14"/>
        <v>0</v>
      </c>
      <c r="K141" s="44" cm="1">
        <f t="array" ref="K141">IF(D141="Gadget",_xlfn.IFS(I141&gt;=0.2,0.5,I141&gt;=0.1,0.35,I141&gt;=0.05,0.2,TRUE,0),IF(D141="Grenade",_xlfn.IFS(I141&gt;=0.2,1,I141&gt;=0.1,0.7,I141&gt;=0.05,0.4,TRUE,0),0))</f>
        <v>0</v>
      </c>
      <c r="L141" s="57">
        <f t="shared" si="30"/>
        <v>0</v>
      </c>
    </row>
    <row r="142" spans="1:12" x14ac:dyDescent="0.25">
      <c r="A142" s="42" t="str" cm="1">
        <f t="array" ref="A142">IFERROR(INDEX(_xlfn._xlws.FILTER(Class_Players!A:A,Class_Players!B:B="Engineer"),QUOTIENT(ROW()-ROW($A$2),12)+1),"")</f>
        <v>ylari</v>
      </c>
      <c r="B142" s="42" t="str">
        <f>_xlfn.XLOOKUP(A142,Class_Players!$A:$A,Class_Players!$B:$B,"")</f>
        <v>Engineer</v>
      </c>
      <c r="C142" s="42" t="str" cm="1">
        <f t="array" ref="C142">INDEX(Lookups!$B$2:$B$13,MOD(ROW()-ROW($B$2),ROWS(Lookups!$B$2:$B$13))+1)</f>
        <v>EOD Bot</v>
      </c>
      <c r="D142" s="38" t="str">
        <f>_xlfn.XLOOKUP(C142,Analysis_Gadgets!$C:$C,Analysis_Gadgets!$B:$B)</f>
        <v>Gadget</v>
      </c>
      <c r="E142" s="43">
        <v>0</v>
      </c>
      <c r="F142" s="43">
        <f>_xlfn.XLOOKUP(A142,Class_Players!A:A,Class_Players!G:G)</f>
        <v>213</v>
      </c>
      <c r="G142" s="43">
        <f t="shared" si="26"/>
        <v>0</v>
      </c>
      <c r="H142" s="43">
        <f>_xlfn.XLOOKUP(A142,Class_Players!$A:$A,Class_Players!$F:$F,"")</f>
        <v>15188</v>
      </c>
      <c r="I142" s="44">
        <f t="shared" si="27"/>
        <v>0</v>
      </c>
      <c r="J142" s="43">
        <f t="shared" si="14"/>
        <v>0</v>
      </c>
      <c r="K142" s="44" cm="1">
        <f t="array" ref="K142">IF(D142="Gadget",_xlfn.IFS(I142&gt;=0.2,0.5,I142&gt;=0.1,0.35,I142&gt;=0.05,0.2,TRUE,0),IF(D142="Grenade",_xlfn.IFS(I142&gt;=0.2,1,I142&gt;=0.1,0.7,I142&gt;=0.05,0.4,TRUE,0),0))</f>
        <v>0</v>
      </c>
      <c r="L142" s="57">
        <f t="shared" si="30"/>
        <v>0</v>
      </c>
    </row>
    <row r="143" spans="1:12" x14ac:dyDescent="0.25">
      <c r="A143" s="42" t="str" cm="1">
        <f t="array" ref="A143">IFERROR(INDEX(_xlfn._xlws.FILTER(Class_Players!A:A,Class_Players!B:B="Engineer"),QUOTIENT(ROW()-ROW($A$2),12)+1),"")</f>
        <v>ylari</v>
      </c>
      <c r="B143" s="42" t="str">
        <f>_xlfn.XLOOKUP(A143,Class_Players!$A:$A,Class_Players!$B:$B,"")</f>
        <v>Engineer</v>
      </c>
      <c r="C143" s="42" t="str" cm="1">
        <f t="array" ref="C143">INDEX(Lookups!$B$2:$B$13,MOD(ROW()-ROW($B$2),ROWS(Lookups!$B$2:$B$13))+1)</f>
        <v>M4A1 SLAM (Tripwire Sensor AV Mine)</v>
      </c>
      <c r="D143" s="38" t="str">
        <f>_xlfn.XLOOKUP(C143,Analysis_Gadgets!$C:$C,Analysis_Gadgets!$B:$B)</f>
        <v>Gadget</v>
      </c>
      <c r="E143" s="43">
        <v>0</v>
      </c>
      <c r="F143" s="43">
        <f>_xlfn.XLOOKUP(A143,Class_Players!A:A,Class_Players!G:G)</f>
        <v>213</v>
      </c>
      <c r="G143" s="43">
        <f t="shared" si="26"/>
        <v>0</v>
      </c>
      <c r="H143" s="43">
        <f>_xlfn.XLOOKUP(A143,Class_Players!$A:$A,Class_Players!$F:$F,"")</f>
        <v>15188</v>
      </c>
      <c r="I143" s="44">
        <f t="shared" si="27"/>
        <v>0</v>
      </c>
      <c r="J143" s="43">
        <f t="shared" si="14"/>
        <v>0</v>
      </c>
      <c r="K143" s="44" cm="1">
        <f t="array" ref="K143">IF(D143="Gadget",_xlfn.IFS(I143&gt;=0.2,0.5,I143&gt;=0.1,0.35,I143&gt;=0.05,0.2,TRUE,0),IF(D143="Grenade",_xlfn.IFS(I143&gt;=0.2,1,I143&gt;=0.1,0.7,I143&gt;=0.05,0.4,TRUE,0),0))</f>
        <v>0</v>
      </c>
      <c r="L143" s="57">
        <f t="shared" si="30"/>
        <v>0</v>
      </c>
    </row>
    <row r="144" spans="1:12" x14ac:dyDescent="0.25">
      <c r="A144" s="42" t="str" cm="1">
        <f t="array" ref="A144">IFERROR(INDEX(_xlfn._xlws.FILTER(Class_Players!A:A,Class_Players!B:B="Engineer"),QUOTIENT(ROW()-ROW($A$2),12)+1),"")</f>
        <v>ylari</v>
      </c>
      <c r="B144" s="42" t="str">
        <f>_xlfn.XLOOKUP(A144,Class_Players!$A:$A,Class_Players!$B:$B,"")</f>
        <v>Engineer</v>
      </c>
      <c r="C144" s="42" t="str" cm="1">
        <f t="array" ref="C144">INDEX(Lookups!$B$2:$B$13,MOD(ROW()-ROW($B$2),ROWS(Lookups!$B$2:$B$13))+1)</f>
        <v>Mini Frag Grenade</v>
      </c>
      <c r="D144" s="38" t="str">
        <f>_xlfn.XLOOKUP(C144,Analysis_Gadgets!$C:$C,Analysis_Gadgets!$B:$B)</f>
        <v>Grenade</v>
      </c>
      <c r="E144" s="43">
        <v>0</v>
      </c>
      <c r="F144" s="43">
        <f>_xlfn.XLOOKUP(A144,Class_Players!A:A,Class_Players!G:G)</f>
        <v>213</v>
      </c>
      <c r="G144" s="43">
        <f t="shared" si="26"/>
        <v>0</v>
      </c>
      <c r="H144" s="43">
        <f>_xlfn.XLOOKUP(A144,Class_Players!$A:$A,Class_Players!$F:$F,"")</f>
        <v>15188</v>
      </c>
      <c r="I144" s="44">
        <f t="shared" si="27"/>
        <v>0</v>
      </c>
      <c r="J144" s="43">
        <f t="shared" si="14"/>
        <v>0</v>
      </c>
      <c r="K144" s="44" cm="1">
        <f t="array" ref="K144">IF(D144="Gadget",_xlfn.IFS(I144&gt;=0.2,0.5,I144&gt;=0.1,0.35,I144&gt;=0.05,0.2,TRUE,0),IF(D144="Grenade",_xlfn.IFS(I144&gt;=0.2,1,I144&gt;=0.1,0.7,I144&gt;=0.05,0.4,TRUE,0),0))</f>
        <v>0</v>
      </c>
      <c r="L144" s="57">
        <f t="shared" ref="L144:L145" si="31">IF($K144=0,0,$K144 / SUMIFS($K:$K,$A:$A,$A144,$D:$D,"Grenade"))</f>
        <v>0</v>
      </c>
    </row>
    <row r="145" spans="1:12" x14ac:dyDescent="0.25">
      <c r="A145" s="42" t="str" cm="1">
        <f t="array" ref="A145">IFERROR(INDEX(_xlfn._xlws.FILTER(Class_Players!A:A,Class_Players!B:B="Engineer"),QUOTIENT(ROW()-ROW($A$2),12)+1),"")</f>
        <v>ylari</v>
      </c>
      <c r="B145" s="42" t="str">
        <f>_xlfn.XLOOKUP(A145,Class_Players!$A:$A,Class_Players!$B:$B,"")</f>
        <v>Engineer</v>
      </c>
      <c r="C145" s="42" t="str" cm="1">
        <f t="array" ref="C145">INDEX(Lookups!$B$2:$B$13,MOD(ROW()-ROW($B$2),ROWS(Lookups!$B$2:$B$13))+1)</f>
        <v>Anti-Vehicle Grenade</v>
      </c>
      <c r="D145" s="38" t="str">
        <f>_xlfn.XLOOKUP(C145,Analysis_Gadgets!$C:$C,Analysis_Gadgets!$B:$B)</f>
        <v>Grenade</v>
      </c>
      <c r="E145" s="43">
        <v>0</v>
      </c>
      <c r="F145" s="43">
        <f>_xlfn.XLOOKUP(A145,Class_Players!A:A,Class_Players!G:G)</f>
        <v>213</v>
      </c>
      <c r="G145" s="43">
        <f t="shared" si="26"/>
        <v>0</v>
      </c>
      <c r="H145" s="43">
        <f>_xlfn.XLOOKUP(A145,Class_Players!$A:$A,Class_Players!$F:$F,"")</f>
        <v>15188</v>
      </c>
      <c r="I145" s="44">
        <f t="shared" si="27"/>
        <v>0</v>
      </c>
      <c r="J145" s="43">
        <f t="shared" si="14"/>
        <v>0</v>
      </c>
      <c r="K145" s="44" cm="1">
        <f t="array" ref="K145">IF(D145="Gadget",_xlfn.IFS(I145&gt;=0.2,0.5,I145&gt;=0.1,0.35,I145&gt;=0.05,0.2,TRUE,0),IF(D145="Grenade",_xlfn.IFS(I145&gt;=0.2,1,I145&gt;=0.1,0.7,I145&gt;=0.05,0.4,TRUE,0),0))</f>
        <v>0</v>
      </c>
      <c r="L145" s="57">
        <f t="shared" si="31"/>
        <v>0</v>
      </c>
    </row>
    <row r="146" spans="1:12" x14ac:dyDescent="0.25">
      <c r="A146" s="42" t="str" cm="1">
        <f t="array" ref="A146">IFERROR(INDEX(_xlfn._xlws.FILTER(Class_Players!A:A,Class_Players!B:B="Engineer"),QUOTIENT(ROW()-ROW($A$2),12)+1),"")</f>
        <v>ShamRkn</v>
      </c>
      <c r="B146" s="42" t="str">
        <f>_xlfn.XLOOKUP(A146,Class_Players!$A:$A,Class_Players!$B:$B,"")</f>
        <v>Engineer</v>
      </c>
      <c r="C146" s="42" t="str" cm="1">
        <f t="array" ref="C146">INDEX(Lookups!$B$2:$B$13,MOD(ROW()-ROW($B$2),ROWS(Lookups!$B$2:$B$13))+1)</f>
        <v>MBT-LAW (Auto-Guided Launcher)</v>
      </c>
      <c r="D146" s="38" t="str">
        <f>_xlfn.XLOOKUP(C146,Analysis_Gadgets!$C:$C,Analysis_Gadgets!$B:$B)</f>
        <v>Gadget</v>
      </c>
      <c r="E146" s="43">
        <v>0</v>
      </c>
      <c r="F146" s="43">
        <f>_xlfn.XLOOKUP(A146,Class_Players!A:A,Class_Players!G:G)</f>
        <v>235</v>
      </c>
      <c r="G146" s="43">
        <f t="shared" si="26"/>
        <v>0</v>
      </c>
      <c r="H146" s="43">
        <f>_xlfn.XLOOKUP(A146,Class_Players!$A:$A,Class_Players!$F:$F,"")</f>
        <v>12295</v>
      </c>
      <c r="I146" s="44">
        <f t="shared" si="27"/>
        <v>0</v>
      </c>
      <c r="J146" s="43">
        <f t="shared" si="14"/>
        <v>0</v>
      </c>
      <c r="K146" s="44" cm="1">
        <f t="array" ref="K146">IF(D146="Gadget",_xlfn.IFS(I146&gt;=0.2,0.5,I146&gt;=0.1,0.35,I146&gt;=0.05,0.2,TRUE,0),IF(D146="Grenade",_xlfn.IFS(I146&gt;=0.2,1,I146&gt;=0.1,0.7,I146&gt;=0.05,0.4,TRUE,0),0))</f>
        <v>0</v>
      </c>
      <c r="L146" s="57">
        <f t="shared" ref="L146:L155" si="32">IF($K146=0,0,$K146 / SUMIFS($K:$K,$A:$A,$A146,$D:$D,"Gadget"))</f>
        <v>0</v>
      </c>
    </row>
    <row r="147" spans="1:12" x14ac:dyDescent="0.25">
      <c r="A147" s="42" t="str" cm="1">
        <f t="array" ref="A147">IFERROR(INDEX(_xlfn._xlws.FILTER(Class_Players!A:A,Class_Players!B:B="Engineer"),QUOTIENT(ROW()-ROW($A$2),12)+1),"")</f>
        <v>ShamRkn</v>
      </c>
      <c r="B147" s="42" t="str">
        <f>_xlfn.XLOOKUP(A147,Class_Players!$A:$A,Class_Players!$B:$B,"")</f>
        <v>Engineer</v>
      </c>
      <c r="C147" s="42" t="str" cm="1">
        <f t="array" ref="C147">INDEX(Lookups!$B$2:$B$13,MOD(ROW()-ROW($B$2),ROWS(Lookups!$B$2:$B$13))+1)</f>
        <v>SLM-93A (Air-Defense Launcher)</v>
      </c>
      <c r="D147" s="38" t="str">
        <f>_xlfn.XLOOKUP(C147,Analysis_Gadgets!$C:$C,Analysis_Gadgets!$B:$B)</f>
        <v>Gadget</v>
      </c>
      <c r="E147" s="43">
        <v>7</v>
      </c>
      <c r="F147" s="43">
        <f>_xlfn.XLOOKUP(A147,Class_Players!A:A,Class_Players!G:G)</f>
        <v>235</v>
      </c>
      <c r="G147" s="43">
        <f t="shared" si="26"/>
        <v>2.9787234042553193E-2</v>
      </c>
      <c r="H147" s="43">
        <f>_xlfn.XLOOKUP(A147,Class_Players!$A:$A,Class_Players!$F:$F,"")</f>
        <v>12295</v>
      </c>
      <c r="I147" s="44">
        <f t="shared" si="27"/>
        <v>5.6933712891419274E-4</v>
      </c>
      <c r="J147" s="43">
        <f t="shared" si="14"/>
        <v>0</v>
      </c>
      <c r="K147" s="44" cm="1">
        <f t="array" ref="K147">IF(D147="Gadget",_xlfn.IFS(I147&gt;=0.2,0.5,I147&gt;=0.1,0.35,I147&gt;=0.05,0.2,TRUE,0),IF(D147="Grenade",_xlfn.IFS(I147&gt;=0.2,1,I147&gt;=0.1,0.7,I147&gt;=0.05,0.4,TRUE,0),0))</f>
        <v>0</v>
      </c>
      <c r="L147" s="57">
        <f t="shared" si="32"/>
        <v>0</v>
      </c>
    </row>
    <row r="148" spans="1:12" x14ac:dyDescent="0.25">
      <c r="A148" s="42" t="str" cm="1">
        <f t="array" ref="A148">IFERROR(INDEX(_xlfn._xlws.FILTER(Class_Players!A:A,Class_Players!B:B="Engineer"),QUOTIENT(ROW()-ROW($A$2),12)+1),"")</f>
        <v>ShamRkn</v>
      </c>
      <c r="B148" s="42" t="str">
        <f>_xlfn.XLOOKUP(A148,Class_Players!$A:$A,Class_Players!$B:$B,"")</f>
        <v>Engineer</v>
      </c>
      <c r="C148" s="42" t="str" cm="1">
        <f t="array" ref="C148">INDEX(Lookups!$B$2:$B$13,MOD(ROW()-ROW($B$2),ROWS(Lookups!$B$2:$B$13))+1)</f>
        <v>RPG-7V2 (Unguided Rocket Launcher)</v>
      </c>
      <c r="D148" s="38" t="str">
        <f>_xlfn.XLOOKUP(C148,Analysis_Gadgets!$C:$C,Analysis_Gadgets!$B:$B)</f>
        <v>Gadget</v>
      </c>
      <c r="E148" s="43">
        <v>2965</v>
      </c>
      <c r="F148" s="43">
        <f>_xlfn.XLOOKUP(A148,Class_Players!A:A,Class_Players!G:G)</f>
        <v>235</v>
      </c>
      <c r="G148" s="43">
        <f t="shared" si="26"/>
        <v>12.617021276595745</v>
      </c>
      <c r="H148" s="43">
        <f>_xlfn.XLOOKUP(A148,Class_Players!$A:$A,Class_Players!$F:$F,"")</f>
        <v>12295</v>
      </c>
      <c r="I148" s="44">
        <f t="shared" si="27"/>
        <v>0.24115494103294022</v>
      </c>
      <c r="J148" s="43">
        <f t="shared" si="14"/>
        <v>1</v>
      </c>
      <c r="K148" s="44" cm="1">
        <f t="array" ref="K148">IF(D148="Gadget",_xlfn.IFS(I148&gt;=0.2,0.5,I148&gt;=0.1,0.35,I148&gt;=0.05,0.2,TRUE,0),IF(D148="Grenade",_xlfn.IFS(I148&gt;=0.2,1,I148&gt;=0.1,0.7,I148&gt;=0.05,0.4,TRUE,0),0))</f>
        <v>0.5</v>
      </c>
      <c r="L148" s="57">
        <f t="shared" si="32"/>
        <v>0.47619047619047616</v>
      </c>
    </row>
    <row r="149" spans="1:12" x14ac:dyDescent="0.25">
      <c r="A149" s="42" t="str" cm="1">
        <f t="array" ref="A149">IFERROR(INDEX(_xlfn._xlws.FILTER(Class_Players!A:A,Class_Players!B:B="Engineer"),QUOTIENT(ROW()-ROW($A$2),12)+1),"")</f>
        <v>ShamRkn</v>
      </c>
      <c r="B149" s="42" t="str">
        <f>_xlfn.XLOOKUP(A149,Class_Players!$A:$A,Class_Players!$B:$B,"")</f>
        <v>Engineer</v>
      </c>
      <c r="C149" s="42" t="str" cm="1">
        <f t="array" ref="C149">INDEX(Lookups!$B$2:$B$13,MOD(ROW()-ROW($B$2),ROWS(Lookups!$B$2:$B$13))+1)</f>
        <v>MAS 148 (Long-Range Launcher)</v>
      </c>
      <c r="D149" s="38" t="str">
        <f>_xlfn.XLOOKUP(C149,Analysis_Gadgets!$C:$C,Analysis_Gadgets!$B:$B)</f>
        <v>Gadget</v>
      </c>
      <c r="E149" s="43">
        <v>8</v>
      </c>
      <c r="F149" s="43">
        <f>_xlfn.XLOOKUP(A149,Class_Players!A:A,Class_Players!G:G)</f>
        <v>235</v>
      </c>
      <c r="G149" s="43">
        <f t="shared" si="26"/>
        <v>3.4042553191489362E-2</v>
      </c>
      <c r="H149" s="43">
        <f>_xlfn.XLOOKUP(A149,Class_Players!$A:$A,Class_Players!$F:$F,"")</f>
        <v>12295</v>
      </c>
      <c r="I149" s="44">
        <f t="shared" si="27"/>
        <v>6.506710044733631E-4</v>
      </c>
      <c r="J149" s="43">
        <f t="shared" si="14"/>
        <v>0</v>
      </c>
      <c r="K149" s="44" cm="1">
        <f t="array" ref="K149">IF(D149="Gadget",_xlfn.IFS(I149&gt;=0.2,0.5,I149&gt;=0.1,0.35,I149&gt;=0.05,0.2,TRUE,0),IF(D149="Grenade",_xlfn.IFS(I149&gt;=0.2,1,I149&gt;=0.1,0.7,I149&gt;=0.05,0.4,TRUE,0),0))</f>
        <v>0</v>
      </c>
      <c r="L149" s="57">
        <f t="shared" si="32"/>
        <v>0</v>
      </c>
    </row>
    <row r="150" spans="1:12" x14ac:dyDescent="0.25">
      <c r="A150" s="42" t="str" cm="1">
        <f t="array" ref="A150">IFERROR(INDEX(_xlfn._xlws.FILTER(Class_Players!A:A,Class_Players!B:B="Engineer"),QUOTIENT(ROW()-ROW($A$2),12)+1),"")</f>
        <v>ShamRkn</v>
      </c>
      <c r="B150" s="42" t="str">
        <f>_xlfn.XLOOKUP(A150,Class_Players!$A:$A,Class_Players!$B:$B,"")</f>
        <v>Engineer</v>
      </c>
      <c r="C150" s="42" t="str" cm="1">
        <f t="array" ref="C150">INDEX(Lookups!$B$2:$B$13,MOD(ROW()-ROW($B$2),ROWS(Lookups!$B$2:$B$13))+1)</f>
        <v>M136 AT (Aim-Guided Launcher)</v>
      </c>
      <c r="D150" s="38" t="str">
        <f>_xlfn.XLOOKUP(C150,Analysis_Gadgets!$C:$C,Analysis_Gadgets!$B:$B)</f>
        <v>Gadget</v>
      </c>
      <c r="E150" s="43">
        <v>2252</v>
      </c>
      <c r="F150" s="43">
        <f>_xlfn.XLOOKUP(A150,Class_Players!A:A,Class_Players!G:G)</f>
        <v>235</v>
      </c>
      <c r="G150" s="43">
        <f t="shared" si="26"/>
        <v>9.5829787234042545</v>
      </c>
      <c r="H150" s="43">
        <f>_xlfn.XLOOKUP(A150,Class_Players!$A:$A,Class_Players!$F:$F,"")</f>
        <v>12295</v>
      </c>
      <c r="I150" s="44">
        <f t="shared" si="27"/>
        <v>0.18316388775925171</v>
      </c>
      <c r="J150" s="43">
        <f t="shared" si="14"/>
        <v>1</v>
      </c>
      <c r="K150" s="44" cm="1">
        <f t="array" ref="K150">IF(D150="Gadget",_xlfn.IFS(I150&gt;=0.2,0.5,I150&gt;=0.1,0.35,I150&gt;=0.05,0.2,TRUE,0),IF(D150="Grenade",_xlfn.IFS(I150&gt;=0.2,1,I150&gt;=0.1,0.7,I150&gt;=0.05,0.4,TRUE,0),0))</f>
        <v>0.35</v>
      </c>
      <c r="L150" s="57">
        <f t="shared" si="32"/>
        <v>0.33333333333333331</v>
      </c>
    </row>
    <row r="151" spans="1:12" x14ac:dyDescent="0.25">
      <c r="A151" s="42" t="str" cm="1">
        <f t="array" ref="A151">IFERROR(INDEX(_xlfn._xlws.FILTER(Class_Players!A:A,Class_Players!B:B="Engineer"),QUOTIENT(ROW()-ROW($A$2),12)+1),"")</f>
        <v>ShamRkn</v>
      </c>
      <c r="B151" s="42" t="str">
        <f>_xlfn.XLOOKUP(A151,Class_Players!$A:$A,Class_Players!$B:$B,"")</f>
        <v>Engineer</v>
      </c>
      <c r="C151" s="42" t="str" cm="1">
        <f t="array" ref="C151">INDEX(Lookups!$B$2:$B$13,MOD(ROW()-ROW($B$2),ROWS(Lookups!$B$2:$B$13))+1)</f>
        <v>Supply Crate</v>
      </c>
      <c r="D151" s="38" t="str">
        <f>_xlfn.XLOOKUP(C151,Analysis_Gadgets!$C:$C,Analysis_Gadgets!$B:$B)</f>
        <v>Gadget</v>
      </c>
      <c r="E151" s="43">
        <v>13</v>
      </c>
      <c r="F151" s="43">
        <f>_xlfn.XLOOKUP(A151,Class_Players!A:A,Class_Players!G:G)</f>
        <v>235</v>
      </c>
      <c r="G151" s="43">
        <f t="shared" si="26"/>
        <v>5.5319148936170209E-2</v>
      </c>
      <c r="H151" s="43">
        <f>_xlfn.XLOOKUP(A151,Class_Players!$A:$A,Class_Players!$F:$F,"")</f>
        <v>12295</v>
      </c>
      <c r="I151" s="44">
        <f t="shared" si="27"/>
        <v>1.0573403822692151E-3</v>
      </c>
      <c r="J151" s="43">
        <f t="shared" si="14"/>
        <v>0</v>
      </c>
      <c r="K151" s="44" cm="1">
        <f t="array" ref="K151">IF(D151="Gadget",_xlfn.IFS(I151&gt;=0.2,0.5,I151&gt;=0.1,0.35,I151&gt;=0.05,0.2,TRUE,0),IF(D151="Grenade",_xlfn.IFS(I151&gt;=0.2,1,I151&gt;=0.1,0.7,I151&gt;=0.05,0.4,TRUE,0),0))</f>
        <v>0</v>
      </c>
      <c r="L151" s="57">
        <f t="shared" si="32"/>
        <v>0</v>
      </c>
    </row>
    <row r="152" spans="1:12" x14ac:dyDescent="0.25">
      <c r="A152" s="42" t="str" cm="1">
        <f t="array" ref="A152">IFERROR(INDEX(_xlfn._xlws.FILTER(Class_Players!A:A,Class_Players!B:B="Engineer"),QUOTIENT(ROW()-ROW($A$2),12)+1),"")</f>
        <v>ShamRkn</v>
      </c>
      <c r="B152" s="42" t="str">
        <f>_xlfn.XLOOKUP(A152,Class_Players!$A:$A,Class_Players!$B:$B,"")</f>
        <v>Engineer</v>
      </c>
      <c r="C152" s="42" t="str" cm="1">
        <f t="array" ref="C152">INDEX(Lookups!$B$2:$B$13,MOD(ROW()-ROW($B$2),ROWS(Lookups!$B$2:$B$13))+1)</f>
        <v>M15 (Anti-Vehicle Mine)</v>
      </c>
      <c r="D152" s="38" t="str">
        <f>_xlfn.XLOOKUP(C152,Analysis_Gadgets!$C:$C,Analysis_Gadgets!$B:$B)</f>
        <v>Gadget</v>
      </c>
      <c r="E152" s="43">
        <v>17</v>
      </c>
      <c r="F152" s="43">
        <f>_xlfn.XLOOKUP(A152,Class_Players!A:A,Class_Players!G:G)</f>
        <v>235</v>
      </c>
      <c r="G152" s="43">
        <f t="shared" si="26"/>
        <v>7.2340425531914887E-2</v>
      </c>
      <c r="H152" s="43">
        <f>_xlfn.XLOOKUP(A152,Class_Players!$A:$A,Class_Players!$F:$F,"")</f>
        <v>12295</v>
      </c>
      <c r="I152" s="44">
        <f t="shared" si="27"/>
        <v>1.3826758845058968E-3</v>
      </c>
      <c r="J152" s="43">
        <f t="shared" si="14"/>
        <v>0</v>
      </c>
      <c r="K152" s="44" cm="1">
        <f t="array" ref="K152">IF(D152="Gadget",_xlfn.IFS(I152&gt;=0.2,0.5,I152&gt;=0.1,0.35,I152&gt;=0.05,0.2,TRUE,0),IF(D152="Grenade",_xlfn.IFS(I152&gt;=0.2,1,I152&gt;=0.1,0.7,I152&gt;=0.05,0.4,TRUE,0),0))</f>
        <v>0</v>
      </c>
      <c r="L152" s="57">
        <f t="shared" si="32"/>
        <v>0</v>
      </c>
    </row>
    <row r="153" spans="1:12" x14ac:dyDescent="0.25">
      <c r="A153" s="42" t="str" cm="1">
        <f t="array" ref="A153">IFERROR(INDEX(_xlfn._xlws.FILTER(Class_Players!A:A,Class_Players!B:B="Engineer"),QUOTIENT(ROW()-ROW($A$2),12)+1),"")</f>
        <v>ShamRkn</v>
      </c>
      <c r="B153" s="42" t="str">
        <f>_xlfn.XLOOKUP(A153,Class_Players!$A:$A,Class_Players!$B:$B,"")</f>
        <v>Engineer</v>
      </c>
      <c r="C153" s="42" t="str" cm="1">
        <f t="array" ref="C153">INDEX(Lookups!$B$2:$B$13,MOD(ROW()-ROW($B$2),ROWS(Lookups!$B$2:$B$13))+1)</f>
        <v>PTKM-1R (Acoustic Sensor AV Mine)</v>
      </c>
      <c r="D153" s="38" t="str">
        <f>_xlfn.XLOOKUP(C153,Analysis_Gadgets!$C:$C,Analysis_Gadgets!$B:$B)</f>
        <v>Gadget</v>
      </c>
      <c r="E153" s="43">
        <v>639</v>
      </c>
      <c r="F153" s="43">
        <f>_xlfn.XLOOKUP(A153,Class_Players!A:A,Class_Players!G:G)</f>
        <v>235</v>
      </c>
      <c r="G153" s="43">
        <f t="shared" si="26"/>
        <v>2.7191489361702126</v>
      </c>
      <c r="H153" s="43">
        <f>_xlfn.XLOOKUP(A153,Class_Players!$A:$A,Class_Players!$F:$F,"")</f>
        <v>12295</v>
      </c>
      <c r="I153" s="44">
        <f t="shared" si="27"/>
        <v>5.1972346482309882E-2</v>
      </c>
      <c r="J153" s="43">
        <f t="shared" si="14"/>
        <v>0</v>
      </c>
      <c r="K153" s="44" cm="1">
        <f t="array" ref="K153">IF(D153="Gadget",_xlfn.IFS(I153&gt;=0.2,0.5,I153&gt;=0.1,0.35,I153&gt;=0.05,0.2,TRUE,0),IF(D153="Grenade",_xlfn.IFS(I153&gt;=0.2,1,I153&gt;=0.1,0.7,I153&gt;=0.05,0.4,TRUE,0),0))</f>
        <v>0.2</v>
      </c>
      <c r="L153" s="57">
        <f t="shared" si="32"/>
        <v>0.19047619047619047</v>
      </c>
    </row>
    <row r="154" spans="1:12" x14ac:dyDescent="0.25">
      <c r="A154" s="42" t="str" cm="1">
        <f t="array" ref="A154">IFERROR(INDEX(_xlfn._xlws.FILTER(Class_Players!A:A,Class_Players!B:B="Engineer"),QUOTIENT(ROW()-ROW($A$2),12)+1),"")</f>
        <v>ShamRkn</v>
      </c>
      <c r="B154" s="42" t="str">
        <f>_xlfn.XLOOKUP(A154,Class_Players!$A:$A,Class_Players!$B:$B,"")</f>
        <v>Engineer</v>
      </c>
      <c r="C154" s="42" t="str" cm="1">
        <f t="array" ref="C154">INDEX(Lookups!$B$2:$B$13,MOD(ROW()-ROW($B$2),ROWS(Lookups!$B$2:$B$13))+1)</f>
        <v>EOD Bot</v>
      </c>
      <c r="D154" s="38" t="str">
        <f>_xlfn.XLOOKUP(C154,Analysis_Gadgets!$C:$C,Analysis_Gadgets!$B:$B)</f>
        <v>Gadget</v>
      </c>
      <c r="E154" s="43">
        <v>0</v>
      </c>
      <c r="F154" s="43">
        <f>_xlfn.XLOOKUP(A154,Class_Players!A:A,Class_Players!G:G)</f>
        <v>235</v>
      </c>
      <c r="G154" s="43">
        <f t="shared" si="26"/>
        <v>0</v>
      </c>
      <c r="H154" s="43">
        <f>_xlfn.XLOOKUP(A154,Class_Players!$A:$A,Class_Players!$F:$F,"")</f>
        <v>12295</v>
      </c>
      <c r="I154" s="44">
        <f t="shared" si="27"/>
        <v>0</v>
      </c>
      <c r="J154" s="43">
        <f t="shared" si="14"/>
        <v>0</v>
      </c>
      <c r="K154" s="44" cm="1">
        <f t="array" ref="K154">IF(D154="Gadget",_xlfn.IFS(I154&gt;=0.2,0.5,I154&gt;=0.1,0.35,I154&gt;=0.05,0.2,TRUE,0),IF(D154="Grenade",_xlfn.IFS(I154&gt;=0.2,1,I154&gt;=0.1,0.7,I154&gt;=0.05,0.4,TRUE,0),0))</f>
        <v>0</v>
      </c>
      <c r="L154" s="57">
        <f t="shared" si="32"/>
        <v>0</v>
      </c>
    </row>
    <row r="155" spans="1:12" x14ac:dyDescent="0.25">
      <c r="A155" s="42" t="str" cm="1">
        <f t="array" ref="A155">IFERROR(INDEX(_xlfn._xlws.FILTER(Class_Players!A:A,Class_Players!B:B="Engineer"),QUOTIENT(ROW()-ROW($A$2),12)+1),"")</f>
        <v>ShamRkn</v>
      </c>
      <c r="B155" s="42" t="str">
        <f>_xlfn.XLOOKUP(A155,Class_Players!$A:$A,Class_Players!$B:$B,"")</f>
        <v>Engineer</v>
      </c>
      <c r="C155" s="42" t="str" cm="1">
        <f t="array" ref="C155">INDEX(Lookups!$B$2:$B$13,MOD(ROW()-ROW($B$2),ROWS(Lookups!$B$2:$B$13))+1)</f>
        <v>M4A1 SLAM (Tripwire Sensor AV Mine)</v>
      </c>
      <c r="D155" s="38" t="str">
        <f>_xlfn.XLOOKUP(C155,Analysis_Gadgets!$C:$C,Analysis_Gadgets!$B:$B)</f>
        <v>Gadget</v>
      </c>
      <c r="E155" s="43">
        <v>137</v>
      </c>
      <c r="F155" s="43">
        <f>_xlfn.XLOOKUP(A155,Class_Players!A:A,Class_Players!G:G)</f>
        <v>235</v>
      </c>
      <c r="G155" s="43">
        <f t="shared" si="26"/>
        <v>0.58297872340425527</v>
      </c>
      <c r="H155" s="43">
        <f>_xlfn.XLOOKUP(A155,Class_Players!$A:$A,Class_Players!$F:$F,"")</f>
        <v>12295</v>
      </c>
      <c r="I155" s="44">
        <f t="shared" si="27"/>
        <v>1.1142740951606344E-2</v>
      </c>
      <c r="J155" s="43">
        <f t="shared" si="14"/>
        <v>0</v>
      </c>
      <c r="K155" s="44" cm="1">
        <f t="array" ref="K155">IF(D155="Gadget",_xlfn.IFS(I155&gt;=0.2,0.5,I155&gt;=0.1,0.35,I155&gt;=0.05,0.2,TRUE,0),IF(D155="Grenade",_xlfn.IFS(I155&gt;=0.2,1,I155&gt;=0.1,0.7,I155&gt;=0.05,0.4,TRUE,0),0))</f>
        <v>0</v>
      </c>
      <c r="L155" s="57">
        <f t="shared" si="32"/>
        <v>0</v>
      </c>
    </row>
    <row r="156" spans="1:12" x14ac:dyDescent="0.25">
      <c r="A156" s="42" t="str" cm="1">
        <f t="array" ref="A156">IFERROR(INDEX(_xlfn._xlws.FILTER(Class_Players!A:A,Class_Players!B:B="Engineer"),QUOTIENT(ROW()-ROW($A$2),12)+1),"")</f>
        <v>ShamRkn</v>
      </c>
      <c r="B156" s="42" t="str">
        <f>_xlfn.XLOOKUP(A156,Class_Players!$A:$A,Class_Players!$B:$B,"")</f>
        <v>Engineer</v>
      </c>
      <c r="C156" s="42" t="str" cm="1">
        <f t="array" ref="C156">INDEX(Lookups!$B$2:$B$13,MOD(ROW()-ROW($B$2),ROWS(Lookups!$B$2:$B$13))+1)</f>
        <v>Mini Frag Grenade</v>
      </c>
      <c r="D156" s="38" t="str">
        <f>_xlfn.XLOOKUP(C156,Analysis_Gadgets!$C:$C,Analysis_Gadgets!$B:$B)</f>
        <v>Grenade</v>
      </c>
      <c r="E156" s="43">
        <v>0</v>
      </c>
      <c r="F156" s="43">
        <f>_xlfn.XLOOKUP(A156,Class_Players!A:A,Class_Players!G:G)</f>
        <v>235</v>
      </c>
      <c r="G156" s="43">
        <f t="shared" si="26"/>
        <v>0</v>
      </c>
      <c r="H156" s="43">
        <f>_xlfn.XLOOKUP(A156,Class_Players!$A:$A,Class_Players!$F:$F,"")</f>
        <v>12295</v>
      </c>
      <c r="I156" s="44">
        <f t="shared" si="27"/>
        <v>0</v>
      </c>
      <c r="J156" s="43">
        <f t="shared" si="14"/>
        <v>0</v>
      </c>
      <c r="K156" s="44" cm="1">
        <f t="array" ref="K156">IF(D156="Gadget",_xlfn.IFS(I156&gt;=0.2,0.5,I156&gt;=0.1,0.35,I156&gt;=0.05,0.2,TRUE,0),IF(D156="Grenade",_xlfn.IFS(I156&gt;=0.2,1,I156&gt;=0.1,0.7,I156&gt;=0.05,0.4,TRUE,0),0))</f>
        <v>0</v>
      </c>
      <c r="L156" s="57">
        <f t="shared" ref="L156:L157" si="33">IF($K156=0,0,$K156 / SUMIFS($K:$K,$A:$A,$A156,$D:$D,"Grenade"))</f>
        <v>0</v>
      </c>
    </row>
    <row r="157" spans="1:12" x14ac:dyDescent="0.25">
      <c r="A157" s="42" t="str" cm="1">
        <f t="array" ref="A157">IFERROR(INDEX(_xlfn._xlws.FILTER(Class_Players!A:A,Class_Players!B:B="Engineer"),QUOTIENT(ROW()-ROW($A$2),12)+1),"")</f>
        <v>ShamRkn</v>
      </c>
      <c r="B157" s="42" t="str">
        <f>_xlfn.XLOOKUP(A157,Class_Players!$A:$A,Class_Players!$B:$B,"")</f>
        <v>Engineer</v>
      </c>
      <c r="C157" s="42" t="str" cm="1">
        <f t="array" ref="C157">INDEX(Lookups!$B$2:$B$13,MOD(ROW()-ROW($B$2),ROWS(Lookups!$B$2:$B$13))+1)</f>
        <v>Anti-Vehicle Grenade</v>
      </c>
      <c r="D157" s="38" t="str">
        <f>_xlfn.XLOOKUP(C157,Analysis_Gadgets!$C:$C,Analysis_Gadgets!$B:$B)</f>
        <v>Grenade</v>
      </c>
      <c r="E157" s="43">
        <v>0</v>
      </c>
      <c r="F157" s="43">
        <f>_xlfn.XLOOKUP(A157,Class_Players!A:A,Class_Players!G:G)</f>
        <v>235</v>
      </c>
      <c r="G157" s="43">
        <f t="shared" si="26"/>
        <v>0</v>
      </c>
      <c r="H157" s="43">
        <f>_xlfn.XLOOKUP(A157,Class_Players!$A:$A,Class_Players!$F:$F,"")</f>
        <v>12295</v>
      </c>
      <c r="I157" s="44">
        <f t="shared" si="27"/>
        <v>0</v>
      </c>
      <c r="J157" s="43">
        <f t="shared" si="14"/>
        <v>0</v>
      </c>
      <c r="K157" s="44" cm="1">
        <f t="array" ref="K157">IF(D157="Gadget",_xlfn.IFS(I157&gt;=0.2,0.5,I157&gt;=0.1,0.35,I157&gt;=0.05,0.2,TRUE,0),IF(D157="Grenade",_xlfn.IFS(I157&gt;=0.2,1,I157&gt;=0.1,0.7,I157&gt;=0.05,0.4,TRUE,0),0))</f>
        <v>0</v>
      </c>
      <c r="L157" s="57">
        <f t="shared" si="33"/>
        <v>0</v>
      </c>
    </row>
    <row r="158" spans="1:12" x14ac:dyDescent="0.25">
      <c r="A158" s="42" t="str" cm="1">
        <f t="array" ref="A158">IFERROR(INDEX(_xlfn._xlws.FILTER(Class_Players!A:A,Class_Players!B:B="Engineer"),QUOTIENT(ROW()-ROW($A$2),12)+1),"")</f>
        <v>xzvirus600</v>
      </c>
      <c r="B158" s="42" t="str">
        <f>_xlfn.XLOOKUP(A158,Class_Players!$A:$A,Class_Players!$B:$B,"")</f>
        <v>Engineer</v>
      </c>
      <c r="C158" s="42" t="str" cm="1">
        <f t="array" ref="C158">INDEX(Lookups!$B$2:$B$13,MOD(ROW()-ROW($B$2),ROWS(Lookups!$B$2:$B$13))+1)</f>
        <v>MBT-LAW (Auto-Guided Launcher)</v>
      </c>
      <c r="D158" s="38" t="str">
        <f>_xlfn.XLOOKUP(C158,Analysis_Gadgets!$C:$C,Analysis_Gadgets!$B:$B)</f>
        <v>Gadget</v>
      </c>
      <c r="E158" s="43">
        <v>0</v>
      </c>
      <c r="F158" s="43">
        <f>_xlfn.XLOOKUP(A158,Class_Players!A:A,Class_Players!G:G)</f>
        <v>301</v>
      </c>
      <c r="G158" s="43">
        <f t="shared" si="26"/>
        <v>0</v>
      </c>
      <c r="H158" s="43">
        <f>_xlfn.XLOOKUP(A158,Class_Players!$A:$A,Class_Players!$F:$F,"")</f>
        <v>12268</v>
      </c>
      <c r="I158" s="44">
        <f t="shared" si="27"/>
        <v>0</v>
      </c>
      <c r="J158" s="43">
        <f t="shared" si="14"/>
        <v>0</v>
      </c>
      <c r="K158" s="44" cm="1">
        <f t="array" ref="K158">IF(D158="Gadget",_xlfn.IFS(I158&gt;=0.2,0.5,I158&gt;=0.1,0.35,I158&gt;=0.05,0.2,TRUE,0),IF(D158="Grenade",_xlfn.IFS(I158&gt;=0.2,1,I158&gt;=0.1,0.7,I158&gt;=0.05,0.4,TRUE,0),0))</f>
        <v>0</v>
      </c>
      <c r="L158" s="57">
        <f t="shared" ref="L158:L167" si="34">IF($K158=0,0,$K158 / SUMIFS($K:$K,$A:$A,$A158,$D:$D,"Gadget"))</f>
        <v>0</v>
      </c>
    </row>
    <row r="159" spans="1:12" x14ac:dyDescent="0.25">
      <c r="A159" s="42" t="str" cm="1">
        <f t="array" ref="A159">IFERROR(INDEX(_xlfn._xlws.FILTER(Class_Players!A:A,Class_Players!B:B="Engineer"),QUOTIENT(ROW()-ROW($A$2),12)+1),"")</f>
        <v>xzvirus600</v>
      </c>
      <c r="B159" s="42" t="str">
        <f>_xlfn.XLOOKUP(A159,Class_Players!$A:$A,Class_Players!$B:$B,"")</f>
        <v>Engineer</v>
      </c>
      <c r="C159" s="42" t="str" cm="1">
        <f t="array" ref="C159">INDEX(Lookups!$B$2:$B$13,MOD(ROW()-ROW($B$2),ROWS(Lookups!$B$2:$B$13))+1)</f>
        <v>SLM-93A (Air-Defense Launcher)</v>
      </c>
      <c r="D159" s="38" t="str">
        <f>_xlfn.XLOOKUP(C159,Analysis_Gadgets!$C:$C,Analysis_Gadgets!$B:$B)</f>
        <v>Gadget</v>
      </c>
      <c r="E159" s="43">
        <v>1240</v>
      </c>
      <c r="F159" s="43">
        <f>_xlfn.XLOOKUP(A159,Class_Players!A:A,Class_Players!G:G)</f>
        <v>301</v>
      </c>
      <c r="G159" s="43">
        <f t="shared" si="26"/>
        <v>4.1196013289036548</v>
      </c>
      <c r="H159" s="43">
        <f>_xlfn.XLOOKUP(A159,Class_Players!$A:$A,Class_Players!$F:$F,"")</f>
        <v>12268</v>
      </c>
      <c r="I159" s="44">
        <f t="shared" si="27"/>
        <v>0.10107597000326052</v>
      </c>
      <c r="J159" s="43">
        <f t="shared" si="14"/>
        <v>1</v>
      </c>
      <c r="K159" s="44" cm="1">
        <f t="array" ref="K159">IF(D159="Gadget",_xlfn.IFS(I159&gt;=0.2,0.5,I159&gt;=0.1,0.35,I159&gt;=0.05,0.2,TRUE,0),IF(D159="Grenade",_xlfn.IFS(I159&gt;=0.2,1,I159&gt;=0.1,0.7,I159&gt;=0.05,0.4,TRUE,0),0))</f>
        <v>0.35</v>
      </c>
      <c r="L159" s="57">
        <f t="shared" si="34"/>
        <v>0.41176470588235292</v>
      </c>
    </row>
    <row r="160" spans="1:12" x14ac:dyDescent="0.25">
      <c r="A160" s="42" t="str" cm="1">
        <f t="array" ref="A160">IFERROR(INDEX(_xlfn._xlws.FILTER(Class_Players!A:A,Class_Players!B:B="Engineer"),QUOTIENT(ROW()-ROW($A$2),12)+1),"")</f>
        <v>xzvirus600</v>
      </c>
      <c r="B160" s="42" t="str">
        <f>_xlfn.XLOOKUP(A160,Class_Players!$A:$A,Class_Players!$B:$B,"")</f>
        <v>Engineer</v>
      </c>
      <c r="C160" s="42" t="str" cm="1">
        <f t="array" ref="C160">INDEX(Lookups!$B$2:$B$13,MOD(ROW()-ROW($B$2),ROWS(Lookups!$B$2:$B$13))+1)</f>
        <v>RPG-7V2 (Unguided Rocket Launcher)</v>
      </c>
      <c r="D160" s="38" t="str">
        <f>_xlfn.XLOOKUP(C160,Analysis_Gadgets!$C:$C,Analysis_Gadgets!$B:$B)</f>
        <v>Gadget</v>
      </c>
      <c r="E160" s="43">
        <v>451</v>
      </c>
      <c r="F160" s="43">
        <f>_xlfn.XLOOKUP(A160,Class_Players!A:A,Class_Players!G:G)</f>
        <v>301</v>
      </c>
      <c r="G160" s="43">
        <f t="shared" si="26"/>
        <v>1.4983388704318936</v>
      </c>
      <c r="H160" s="43">
        <f>_xlfn.XLOOKUP(A160,Class_Players!$A:$A,Class_Players!$F:$F,"")</f>
        <v>12268</v>
      </c>
      <c r="I160" s="44">
        <f t="shared" si="27"/>
        <v>3.6762308444734271E-2</v>
      </c>
      <c r="J160" s="43">
        <f t="shared" si="14"/>
        <v>0</v>
      </c>
      <c r="K160" s="44" cm="1">
        <f t="array" ref="K160">IF(D160="Gadget",_xlfn.IFS(I160&gt;=0.2,0.5,I160&gt;=0.1,0.35,I160&gt;=0.05,0.2,TRUE,0),IF(D160="Grenade",_xlfn.IFS(I160&gt;=0.2,1,I160&gt;=0.1,0.7,I160&gt;=0.05,0.4,TRUE,0),0))</f>
        <v>0</v>
      </c>
      <c r="L160" s="57">
        <f t="shared" si="34"/>
        <v>0</v>
      </c>
    </row>
    <row r="161" spans="1:12" x14ac:dyDescent="0.25">
      <c r="A161" s="42" t="str" cm="1">
        <f t="array" ref="A161">IFERROR(INDEX(_xlfn._xlws.FILTER(Class_Players!A:A,Class_Players!B:B="Engineer"),QUOTIENT(ROW()-ROW($A$2),12)+1),"")</f>
        <v>xzvirus600</v>
      </c>
      <c r="B161" s="42" t="str">
        <f>_xlfn.XLOOKUP(A161,Class_Players!$A:$A,Class_Players!$B:$B,"")</f>
        <v>Engineer</v>
      </c>
      <c r="C161" s="42" t="str" cm="1">
        <f t="array" ref="C161">INDEX(Lookups!$B$2:$B$13,MOD(ROW()-ROW($B$2),ROWS(Lookups!$B$2:$B$13))+1)</f>
        <v>MAS 148 (Long-Range Launcher)</v>
      </c>
      <c r="D161" s="38" t="str">
        <f>_xlfn.XLOOKUP(C161,Analysis_Gadgets!$C:$C,Analysis_Gadgets!$B:$B)</f>
        <v>Gadget</v>
      </c>
      <c r="E161" s="43">
        <v>8</v>
      </c>
      <c r="F161" s="43">
        <f>_xlfn.XLOOKUP(A161,Class_Players!A:A,Class_Players!G:G)</f>
        <v>301</v>
      </c>
      <c r="G161" s="43">
        <f t="shared" si="26"/>
        <v>2.6578073089700997E-2</v>
      </c>
      <c r="H161" s="43">
        <f>_xlfn.XLOOKUP(A161,Class_Players!$A:$A,Class_Players!$F:$F,"")</f>
        <v>12268</v>
      </c>
      <c r="I161" s="44">
        <f t="shared" si="27"/>
        <v>6.5210303227910009E-4</v>
      </c>
      <c r="J161" s="43">
        <f t="shared" si="14"/>
        <v>0</v>
      </c>
      <c r="K161" s="44" cm="1">
        <f t="array" ref="K161">IF(D161="Gadget",_xlfn.IFS(I161&gt;=0.2,0.5,I161&gt;=0.1,0.35,I161&gt;=0.05,0.2,TRUE,0),IF(D161="Grenade",_xlfn.IFS(I161&gt;=0.2,1,I161&gt;=0.1,0.7,I161&gt;=0.05,0.4,TRUE,0),0))</f>
        <v>0</v>
      </c>
      <c r="L161" s="57">
        <f t="shared" si="34"/>
        <v>0</v>
      </c>
    </row>
    <row r="162" spans="1:12" x14ac:dyDescent="0.25">
      <c r="A162" s="42" t="str" cm="1">
        <f t="array" ref="A162">IFERROR(INDEX(_xlfn._xlws.FILTER(Class_Players!A:A,Class_Players!B:B="Engineer"),QUOTIENT(ROW()-ROW($A$2),12)+1),"")</f>
        <v>xzvirus600</v>
      </c>
      <c r="B162" s="42" t="str">
        <f>_xlfn.XLOOKUP(A162,Class_Players!$A:$A,Class_Players!$B:$B,"")</f>
        <v>Engineer</v>
      </c>
      <c r="C162" s="42" t="str" cm="1">
        <f t="array" ref="C162">INDEX(Lookups!$B$2:$B$13,MOD(ROW()-ROW($B$2),ROWS(Lookups!$B$2:$B$13))+1)</f>
        <v>M136 AT (Aim-Guided Launcher)</v>
      </c>
      <c r="D162" s="38" t="str">
        <f>_xlfn.XLOOKUP(C162,Analysis_Gadgets!$C:$C,Analysis_Gadgets!$B:$B)</f>
        <v>Gadget</v>
      </c>
      <c r="E162" s="43">
        <v>38</v>
      </c>
      <c r="F162" s="43">
        <f>_xlfn.XLOOKUP(A162,Class_Players!A:A,Class_Players!G:G)</f>
        <v>301</v>
      </c>
      <c r="G162" s="43">
        <f t="shared" si="26"/>
        <v>0.12624584717607973</v>
      </c>
      <c r="H162" s="43">
        <f>_xlfn.XLOOKUP(A162,Class_Players!$A:$A,Class_Players!$F:$F,"")</f>
        <v>12268</v>
      </c>
      <c r="I162" s="44">
        <f t="shared" si="27"/>
        <v>3.0974894033257254E-3</v>
      </c>
      <c r="J162" s="43">
        <f t="shared" si="14"/>
        <v>0</v>
      </c>
      <c r="K162" s="44" cm="1">
        <f t="array" ref="K162">IF(D162="Gadget",_xlfn.IFS(I162&gt;=0.2,0.5,I162&gt;=0.1,0.35,I162&gt;=0.05,0.2,TRUE,0),IF(D162="Grenade",_xlfn.IFS(I162&gt;=0.2,1,I162&gt;=0.1,0.7,I162&gt;=0.05,0.4,TRUE,0),0))</f>
        <v>0</v>
      </c>
      <c r="L162" s="57">
        <f t="shared" si="34"/>
        <v>0</v>
      </c>
    </row>
    <row r="163" spans="1:12" x14ac:dyDescent="0.25">
      <c r="A163" s="42" t="str" cm="1">
        <f t="array" ref="A163">IFERROR(INDEX(_xlfn._xlws.FILTER(Class_Players!A:A,Class_Players!B:B="Engineer"),QUOTIENT(ROW()-ROW($A$2),12)+1),"")</f>
        <v>xzvirus600</v>
      </c>
      <c r="B163" s="42" t="str">
        <f>_xlfn.XLOOKUP(A163,Class_Players!$A:$A,Class_Players!$B:$B,"")</f>
        <v>Engineer</v>
      </c>
      <c r="C163" s="42" t="str" cm="1">
        <f t="array" ref="C163">INDEX(Lookups!$B$2:$B$13,MOD(ROW()-ROW($B$2),ROWS(Lookups!$B$2:$B$13))+1)</f>
        <v>Supply Crate</v>
      </c>
      <c r="D163" s="38" t="str">
        <f>_xlfn.XLOOKUP(C163,Analysis_Gadgets!$C:$C,Analysis_Gadgets!$B:$B)</f>
        <v>Gadget</v>
      </c>
      <c r="E163" s="43">
        <v>8</v>
      </c>
      <c r="F163" s="43">
        <f>_xlfn.XLOOKUP(A163,Class_Players!A:A,Class_Players!G:G)</f>
        <v>301</v>
      </c>
      <c r="G163" s="43">
        <f t="shared" si="26"/>
        <v>2.6578073089700997E-2</v>
      </c>
      <c r="H163" s="43">
        <f>_xlfn.XLOOKUP(A163,Class_Players!$A:$A,Class_Players!$F:$F,"")</f>
        <v>12268</v>
      </c>
      <c r="I163" s="44">
        <f t="shared" si="27"/>
        <v>6.5210303227910009E-4</v>
      </c>
      <c r="J163" s="43">
        <f t="shared" si="14"/>
        <v>0</v>
      </c>
      <c r="K163" s="44" cm="1">
        <f t="array" ref="K163">IF(D163="Gadget",_xlfn.IFS(I163&gt;=0.2,0.5,I163&gt;=0.1,0.35,I163&gt;=0.05,0.2,TRUE,0),IF(D163="Grenade",_xlfn.IFS(I163&gt;=0.2,1,I163&gt;=0.1,0.7,I163&gt;=0.05,0.4,TRUE,0),0))</f>
        <v>0</v>
      </c>
      <c r="L163" s="57">
        <f t="shared" si="34"/>
        <v>0</v>
      </c>
    </row>
    <row r="164" spans="1:12" x14ac:dyDescent="0.25">
      <c r="A164" s="42" t="str" cm="1">
        <f t="array" ref="A164">IFERROR(INDEX(_xlfn._xlws.FILTER(Class_Players!A:A,Class_Players!B:B="Engineer"),QUOTIENT(ROW()-ROW($A$2),12)+1),"")</f>
        <v>xzvirus600</v>
      </c>
      <c r="B164" s="42" t="str">
        <f>_xlfn.XLOOKUP(A164,Class_Players!$A:$A,Class_Players!$B:$B,"")</f>
        <v>Engineer</v>
      </c>
      <c r="C164" s="42" t="str" cm="1">
        <f t="array" ref="C164">INDEX(Lookups!$B$2:$B$13,MOD(ROW()-ROW($B$2),ROWS(Lookups!$B$2:$B$13))+1)</f>
        <v>M15 (Anti-Vehicle Mine)</v>
      </c>
      <c r="D164" s="38" t="str">
        <f>_xlfn.XLOOKUP(C164,Analysis_Gadgets!$C:$C,Analysis_Gadgets!$B:$B)</f>
        <v>Gadget</v>
      </c>
      <c r="E164" s="43">
        <v>5475</v>
      </c>
      <c r="F164" s="43">
        <f>_xlfn.XLOOKUP(A164,Class_Players!A:A,Class_Players!G:G)</f>
        <v>301</v>
      </c>
      <c r="G164" s="43">
        <f t="shared" si="26"/>
        <v>18.189368770764119</v>
      </c>
      <c r="H164" s="43">
        <f>_xlfn.XLOOKUP(A164,Class_Players!$A:$A,Class_Players!$F:$F,"")</f>
        <v>12268</v>
      </c>
      <c r="I164" s="44">
        <f t="shared" si="27"/>
        <v>0.44628301271600912</v>
      </c>
      <c r="J164" s="43">
        <f t="shared" si="14"/>
        <v>1</v>
      </c>
      <c r="K164" s="44" cm="1">
        <f t="array" ref="K164">IF(D164="Gadget",_xlfn.IFS(I164&gt;=0.2,0.5,I164&gt;=0.1,0.35,I164&gt;=0.05,0.2,TRUE,0),IF(D164="Grenade",_xlfn.IFS(I164&gt;=0.2,1,I164&gt;=0.1,0.7,I164&gt;=0.05,0.4,TRUE,0),0))</f>
        <v>0.5</v>
      </c>
      <c r="L164" s="57">
        <f t="shared" si="34"/>
        <v>0.58823529411764708</v>
      </c>
    </row>
    <row r="165" spans="1:12" x14ac:dyDescent="0.25">
      <c r="A165" s="42" t="str" cm="1">
        <f t="array" ref="A165">IFERROR(INDEX(_xlfn._xlws.FILTER(Class_Players!A:A,Class_Players!B:B="Engineer"),QUOTIENT(ROW()-ROW($A$2),12)+1),"")</f>
        <v>xzvirus600</v>
      </c>
      <c r="B165" s="42" t="str">
        <f>_xlfn.XLOOKUP(A165,Class_Players!$A:$A,Class_Players!$B:$B,"")</f>
        <v>Engineer</v>
      </c>
      <c r="C165" s="42" t="str" cm="1">
        <f t="array" ref="C165">INDEX(Lookups!$B$2:$B$13,MOD(ROW()-ROW($B$2),ROWS(Lookups!$B$2:$B$13))+1)</f>
        <v>PTKM-1R (Acoustic Sensor AV Mine)</v>
      </c>
      <c r="D165" s="38" t="str">
        <f>_xlfn.XLOOKUP(C165,Analysis_Gadgets!$C:$C,Analysis_Gadgets!$B:$B)</f>
        <v>Gadget</v>
      </c>
      <c r="E165" s="43">
        <v>8</v>
      </c>
      <c r="F165" s="43">
        <f>_xlfn.XLOOKUP(A165,Class_Players!A:A,Class_Players!G:G)</f>
        <v>301</v>
      </c>
      <c r="G165" s="43">
        <f t="shared" si="26"/>
        <v>2.6578073089700997E-2</v>
      </c>
      <c r="H165" s="43">
        <f>_xlfn.XLOOKUP(A165,Class_Players!$A:$A,Class_Players!$F:$F,"")</f>
        <v>12268</v>
      </c>
      <c r="I165" s="44">
        <f t="shared" si="27"/>
        <v>6.5210303227910009E-4</v>
      </c>
      <c r="J165" s="43">
        <f t="shared" si="14"/>
        <v>0</v>
      </c>
      <c r="K165" s="44" cm="1">
        <f t="array" ref="K165">IF(D165="Gadget",_xlfn.IFS(I165&gt;=0.2,0.5,I165&gt;=0.1,0.35,I165&gt;=0.05,0.2,TRUE,0),IF(D165="Grenade",_xlfn.IFS(I165&gt;=0.2,1,I165&gt;=0.1,0.7,I165&gt;=0.05,0.4,TRUE,0),0))</f>
        <v>0</v>
      </c>
      <c r="L165" s="57">
        <f t="shared" si="34"/>
        <v>0</v>
      </c>
    </row>
    <row r="166" spans="1:12" x14ac:dyDescent="0.25">
      <c r="A166" s="42" t="str" cm="1">
        <f t="array" ref="A166">IFERROR(INDEX(_xlfn._xlws.FILTER(Class_Players!A:A,Class_Players!B:B="Engineer"),QUOTIENT(ROW()-ROW($A$2),12)+1),"")</f>
        <v>xzvirus600</v>
      </c>
      <c r="B166" s="42" t="str">
        <f>_xlfn.XLOOKUP(A166,Class_Players!$A:$A,Class_Players!$B:$B,"")</f>
        <v>Engineer</v>
      </c>
      <c r="C166" s="42" t="str" cm="1">
        <f t="array" ref="C166">INDEX(Lookups!$B$2:$B$13,MOD(ROW()-ROW($B$2),ROWS(Lookups!$B$2:$B$13))+1)</f>
        <v>EOD Bot</v>
      </c>
      <c r="D166" s="38" t="str">
        <f>_xlfn.XLOOKUP(C166,Analysis_Gadgets!$C:$C,Analysis_Gadgets!$B:$B)</f>
        <v>Gadget</v>
      </c>
      <c r="E166" s="43">
        <v>3</v>
      </c>
      <c r="F166" s="43">
        <f>_xlfn.XLOOKUP(A166,Class_Players!A:A,Class_Players!G:G)</f>
        <v>301</v>
      </c>
      <c r="G166" s="43">
        <f t="shared" si="26"/>
        <v>9.9667774086378731E-3</v>
      </c>
      <c r="H166" s="43">
        <f>_xlfn.XLOOKUP(A166,Class_Players!$A:$A,Class_Players!$F:$F,"")</f>
        <v>12268</v>
      </c>
      <c r="I166" s="44">
        <f t="shared" si="27"/>
        <v>2.4453863710466252E-4</v>
      </c>
      <c r="J166" s="43">
        <f t="shared" si="14"/>
        <v>0</v>
      </c>
      <c r="K166" s="44" cm="1">
        <f t="array" ref="K166">IF(D166="Gadget",_xlfn.IFS(I166&gt;=0.2,0.5,I166&gt;=0.1,0.35,I166&gt;=0.05,0.2,TRUE,0),IF(D166="Grenade",_xlfn.IFS(I166&gt;=0.2,1,I166&gt;=0.1,0.7,I166&gt;=0.05,0.4,TRUE,0),0))</f>
        <v>0</v>
      </c>
      <c r="L166" s="57">
        <f t="shared" si="34"/>
        <v>0</v>
      </c>
    </row>
    <row r="167" spans="1:12" x14ac:dyDescent="0.25">
      <c r="A167" s="42" t="str" cm="1">
        <f t="array" ref="A167">IFERROR(INDEX(_xlfn._xlws.FILTER(Class_Players!A:A,Class_Players!B:B="Engineer"),QUOTIENT(ROW()-ROW($A$2),12)+1),"")</f>
        <v>xzvirus600</v>
      </c>
      <c r="B167" s="42" t="str">
        <f>_xlfn.XLOOKUP(A167,Class_Players!$A:$A,Class_Players!$B:$B,"")</f>
        <v>Engineer</v>
      </c>
      <c r="C167" s="42" t="str" cm="1">
        <f t="array" ref="C167">INDEX(Lookups!$B$2:$B$13,MOD(ROW()-ROW($B$2),ROWS(Lookups!$B$2:$B$13))+1)</f>
        <v>M4A1 SLAM (Tripwire Sensor AV Mine)</v>
      </c>
      <c r="D167" s="38" t="str">
        <f>_xlfn.XLOOKUP(C167,Analysis_Gadgets!$C:$C,Analysis_Gadgets!$B:$B)</f>
        <v>Gadget</v>
      </c>
      <c r="E167" s="43">
        <v>26</v>
      </c>
      <c r="F167" s="43">
        <f>_xlfn.XLOOKUP(A167,Class_Players!A:A,Class_Players!G:G)</f>
        <v>301</v>
      </c>
      <c r="G167" s="43">
        <f t="shared" si="26"/>
        <v>8.6378737541528236E-2</v>
      </c>
      <c r="H167" s="43">
        <f>_xlfn.XLOOKUP(A167,Class_Players!$A:$A,Class_Players!$F:$F,"")</f>
        <v>12268</v>
      </c>
      <c r="I167" s="44">
        <f t="shared" si="27"/>
        <v>2.1193348549070753E-3</v>
      </c>
      <c r="J167" s="43">
        <f t="shared" si="14"/>
        <v>0</v>
      </c>
      <c r="K167" s="44" cm="1">
        <f t="array" ref="K167">IF(D167="Gadget",_xlfn.IFS(I167&gt;=0.2,0.5,I167&gt;=0.1,0.35,I167&gt;=0.05,0.2,TRUE,0),IF(D167="Grenade",_xlfn.IFS(I167&gt;=0.2,1,I167&gt;=0.1,0.7,I167&gt;=0.05,0.4,TRUE,0),0))</f>
        <v>0</v>
      </c>
      <c r="L167" s="57">
        <f t="shared" si="34"/>
        <v>0</v>
      </c>
    </row>
    <row r="168" spans="1:12" x14ac:dyDescent="0.25">
      <c r="A168" s="42" t="str" cm="1">
        <f t="array" ref="A168">IFERROR(INDEX(_xlfn._xlws.FILTER(Class_Players!A:A,Class_Players!B:B="Engineer"),QUOTIENT(ROW()-ROW($A$2),12)+1),"")</f>
        <v>xzvirus600</v>
      </c>
      <c r="B168" s="42" t="str">
        <f>_xlfn.XLOOKUP(A168,Class_Players!$A:$A,Class_Players!$B:$B,"")</f>
        <v>Engineer</v>
      </c>
      <c r="C168" s="42" t="str" cm="1">
        <f t="array" ref="C168">INDEX(Lookups!$B$2:$B$13,MOD(ROW()-ROW($B$2),ROWS(Lookups!$B$2:$B$13))+1)</f>
        <v>Mini Frag Grenade</v>
      </c>
      <c r="D168" s="38" t="str">
        <f>_xlfn.XLOOKUP(C168,Analysis_Gadgets!$C:$C,Analysis_Gadgets!$B:$B)</f>
        <v>Grenade</v>
      </c>
      <c r="E168" s="43">
        <v>49</v>
      </c>
      <c r="F168" s="43">
        <f>_xlfn.XLOOKUP(A168,Class_Players!A:A,Class_Players!G:G)</f>
        <v>301</v>
      </c>
      <c r="G168" s="43">
        <f t="shared" si="26"/>
        <v>0.16279069767441862</v>
      </c>
      <c r="H168" s="43">
        <f>_xlfn.XLOOKUP(A168,Class_Players!$A:$A,Class_Players!$F:$F,"")</f>
        <v>12268</v>
      </c>
      <c r="I168" s="44">
        <f t="shared" si="27"/>
        <v>3.9941310727094883E-3</v>
      </c>
      <c r="J168" s="43">
        <f t="shared" si="14"/>
        <v>0</v>
      </c>
      <c r="K168" s="44" cm="1">
        <f t="array" ref="K168">IF(D168="Gadget",_xlfn.IFS(I168&gt;=0.2,0.5,I168&gt;=0.1,0.35,I168&gt;=0.05,0.2,TRUE,0),IF(D168="Grenade",_xlfn.IFS(I168&gt;=0.2,1,I168&gt;=0.1,0.7,I168&gt;=0.05,0.4,TRUE,0),0))</f>
        <v>0</v>
      </c>
      <c r="L168" s="57">
        <f t="shared" ref="L168:L169" si="35">IF($K168=0,0,$K168 / SUMIFS($K:$K,$A:$A,$A168,$D:$D,"Grenade"))</f>
        <v>0</v>
      </c>
    </row>
    <row r="169" spans="1:12" x14ac:dyDescent="0.25">
      <c r="A169" s="42" t="str" cm="1">
        <f t="array" ref="A169">IFERROR(INDEX(_xlfn._xlws.FILTER(Class_Players!A:A,Class_Players!B:B="Engineer"),QUOTIENT(ROW()-ROW($A$2),12)+1),"")</f>
        <v>xzvirus600</v>
      </c>
      <c r="B169" s="42" t="str">
        <f>_xlfn.XLOOKUP(A169,Class_Players!$A:$A,Class_Players!$B:$B,"")</f>
        <v>Engineer</v>
      </c>
      <c r="C169" s="42" t="str" cm="1">
        <f t="array" ref="C169">INDEX(Lookups!$B$2:$B$13,MOD(ROW()-ROW($B$2),ROWS(Lookups!$B$2:$B$13))+1)</f>
        <v>Anti-Vehicle Grenade</v>
      </c>
      <c r="D169" s="38" t="str">
        <f>_xlfn.XLOOKUP(C169,Analysis_Gadgets!$C:$C,Analysis_Gadgets!$B:$B)</f>
        <v>Grenade</v>
      </c>
      <c r="E169" s="43">
        <v>0</v>
      </c>
      <c r="F169" s="43">
        <f>_xlfn.XLOOKUP(A169,Class_Players!A:A,Class_Players!G:G)</f>
        <v>301</v>
      </c>
      <c r="G169" s="43">
        <f t="shared" si="26"/>
        <v>0</v>
      </c>
      <c r="H169" s="43">
        <f>_xlfn.XLOOKUP(A169,Class_Players!$A:$A,Class_Players!$F:$F,"")</f>
        <v>12268</v>
      </c>
      <c r="I169" s="44">
        <f t="shared" si="27"/>
        <v>0</v>
      </c>
      <c r="J169" s="43">
        <f t="shared" si="14"/>
        <v>0</v>
      </c>
      <c r="K169" s="44" cm="1">
        <f t="array" ref="K169">IF(D169="Gadget",_xlfn.IFS(I169&gt;=0.2,0.5,I169&gt;=0.1,0.35,I169&gt;=0.05,0.2,TRUE,0),IF(D169="Grenade",_xlfn.IFS(I169&gt;=0.2,1,I169&gt;=0.1,0.7,I169&gt;=0.05,0.4,TRUE,0),0))</f>
        <v>0</v>
      </c>
      <c r="L169" s="57">
        <f t="shared" si="35"/>
        <v>0</v>
      </c>
    </row>
    <row r="170" spans="1:12" x14ac:dyDescent="0.25">
      <c r="A170" s="42" t="str" cm="1">
        <f t="array" ref="A170">IFERROR(INDEX(_xlfn._xlws.FILTER(Class_Players!A:A,Class_Players!B:B="Engineer"),QUOTIENT(ROW()-ROW($A$2),12)+1),"")</f>
        <v>OdinJens-Junior-</v>
      </c>
      <c r="B170" s="42" t="str">
        <f>_xlfn.XLOOKUP(A170,Class_Players!$A:$A,Class_Players!$B:$B,"")</f>
        <v>Engineer</v>
      </c>
      <c r="C170" s="42" t="str" cm="1">
        <f t="array" ref="C170">INDEX(Lookups!$B$2:$B$13,MOD(ROW()-ROW($B$2),ROWS(Lookups!$B$2:$B$13))+1)</f>
        <v>MBT-LAW (Auto-Guided Launcher)</v>
      </c>
      <c r="D170" s="38" t="str">
        <f>_xlfn.XLOOKUP(C170,Analysis_Gadgets!$C:$C,Analysis_Gadgets!$B:$B)</f>
        <v>Gadget</v>
      </c>
      <c r="E170" s="43">
        <v>0</v>
      </c>
      <c r="F170" s="43">
        <f>_xlfn.XLOOKUP(A170,Class_Players!A:A,Class_Players!G:G)</f>
        <v>327</v>
      </c>
      <c r="G170" s="43">
        <f t="shared" ref="G170:G181" si="36">IF(F170=0,"",E170/(F170))</f>
        <v>0</v>
      </c>
      <c r="H170" s="43">
        <f>_xlfn.XLOOKUP(A170,Class_Players!$A:$A,Class_Players!$F:$F,"")</f>
        <v>11804</v>
      </c>
      <c r="I170" s="44">
        <f t="shared" ref="I170:I181" si="37">IF(H170=0,"",E170/H170)</f>
        <v>0</v>
      </c>
      <c r="J170" s="43">
        <f t="shared" si="14"/>
        <v>0</v>
      </c>
      <c r="K170" s="44" cm="1">
        <f t="array" ref="K170">IF(D170="Gadget",_xlfn.IFS(I170&gt;=0.2,0.5,I170&gt;=0.1,0.35,I170&gt;=0.05,0.2,TRUE,0),IF(D170="Grenade",_xlfn.IFS(I170&gt;=0.2,1,I170&gt;=0.1,0.7,I170&gt;=0.05,0.4,TRUE,0),0))</f>
        <v>0</v>
      </c>
      <c r="L170" s="57">
        <f t="shared" ref="L170:L179" si="38">IF($K170=0,0,$K170 / SUMIFS($K:$K,$A:$A,$A170,$D:$D,"Gadget"))</f>
        <v>0</v>
      </c>
    </row>
    <row r="171" spans="1:12" x14ac:dyDescent="0.25">
      <c r="A171" s="42" t="str" cm="1">
        <f t="array" ref="A171">IFERROR(INDEX(_xlfn._xlws.FILTER(Class_Players!A:A,Class_Players!B:B="Engineer"),QUOTIENT(ROW()-ROW($A$2),12)+1),"")</f>
        <v>OdinJens-Junior-</v>
      </c>
      <c r="B171" s="42" t="str">
        <f>_xlfn.XLOOKUP(A171,Class_Players!$A:$A,Class_Players!$B:$B,"")</f>
        <v>Engineer</v>
      </c>
      <c r="C171" s="42" t="str" cm="1">
        <f t="array" ref="C171">INDEX(Lookups!$B$2:$B$13,MOD(ROW()-ROW($B$2),ROWS(Lookups!$B$2:$B$13))+1)</f>
        <v>SLM-93A (Air-Defense Launcher)</v>
      </c>
      <c r="D171" s="38" t="str">
        <f>_xlfn.XLOOKUP(C171,Analysis_Gadgets!$C:$C,Analysis_Gadgets!$B:$B)</f>
        <v>Gadget</v>
      </c>
      <c r="E171" s="43">
        <v>154</v>
      </c>
      <c r="F171" s="43">
        <f>_xlfn.XLOOKUP(A171,Class_Players!A:A,Class_Players!G:G)</f>
        <v>327</v>
      </c>
      <c r="G171" s="43">
        <f t="shared" si="36"/>
        <v>0.47094801223241589</v>
      </c>
      <c r="H171" s="43">
        <f>_xlfn.XLOOKUP(A171,Class_Players!$A:$A,Class_Players!$F:$F,"")</f>
        <v>11804</v>
      </c>
      <c r="I171" s="44">
        <f t="shared" si="37"/>
        <v>1.3046424940698069E-2</v>
      </c>
      <c r="J171" s="43">
        <f t="shared" si="14"/>
        <v>0</v>
      </c>
      <c r="K171" s="44" cm="1">
        <f t="array" ref="K171">IF(D171="Gadget",_xlfn.IFS(I171&gt;=0.2,0.5,I171&gt;=0.1,0.35,I171&gt;=0.05,0.2,TRUE,0),IF(D171="Grenade",_xlfn.IFS(I171&gt;=0.2,1,I171&gt;=0.1,0.7,I171&gt;=0.05,0.4,TRUE,0),0))</f>
        <v>0</v>
      </c>
      <c r="L171" s="57">
        <f t="shared" si="38"/>
        <v>0</v>
      </c>
    </row>
    <row r="172" spans="1:12" x14ac:dyDescent="0.25">
      <c r="A172" s="42" t="str" cm="1">
        <f t="array" ref="A172">IFERROR(INDEX(_xlfn._xlws.FILTER(Class_Players!A:A,Class_Players!B:B="Engineer"),QUOTIENT(ROW()-ROW($A$2),12)+1),"")</f>
        <v>OdinJens-Junior-</v>
      </c>
      <c r="B172" s="42" t="str">
        <f>_xlfn.XLOOKUP(A172,Class_Players!$A:$A,Class_Players!$B:$B,"")</f>
        <v>Engineer</v>
      </c>
      <c r="C172" s="42" t="str" cm="1">
        <f t="array" ref="C172">INDEX(Lookups!$B$2:$B$13,MOD(ROW()-ROW($B$2),ROWS(Lookups!$B$2:$B$13))+1)</f>
        <v>RPG-7V2 (Unguided Rocket Launcher)</v>
      </c>
      <c r="D172" s="38" t="str">
        <f>_xlfn.XLOOKUP(C172,Analysis_Gadgets!$C:$C,Analysis_Gadgets!$B:$B)</f>
        <v>Gadget</v>
      </c>
      <c r="E172" s="43">
        <v>4227</v>
      </c>
      <c r="F172" s="43">
        <f>_xlfn.XLOOKUP(A172,Class_Players!A:A,Class_Players!G:G)</f>
        <v>327</v>
      </c>
      <c r="G172" s="43">
        <f t="shared" si="36"/>
        <v>12.926605504587156</v>
      </c>
      <c r="H172" s="43">
        <f>_xlfn.XLOOKUP(A172,Class_Players!$A:$A,Class_Players!$F:$F,"")</f>
        <v>11804</v>
      </c>
      <c r="I172" s="44">
        <f t="shared" si="37"/>
        <v>0.35809894950864113</v>
      </c>
      <c r="J172" s="43">
        <f t="shared" si="14"/>
        <v>1</v>
      </c>
      <c r="K172" s="44" cm="1">
        <f t="array" ref="K172">IF(D172="Gadget",_xlfn.IFS(I172&gt;=0.2,0.5,I172&gt;=0.1,0.35,I172&gt;=0.05,0.2,TRUE,0),IF(D172="Grenade",_xlfn.IFS(I172&gt;=0.2,1,I172&gt;=0.1,0.7,I172&gt;=0.05,0.4,TRUE,0),0))</f>
        <v>0.5</v>
      </c>
      <c r="L172" s="57">
        <f t="shared" si="38"/>
        <v>0.37037037037037035</v>
      </c>
    </row>
    <row r="173" spans="1:12" x14ac:dyDescent="0.25">
      <c r="A173" s="42" t="str" cm="1">
        <f t="array" ref="A173">IFERROR(INDEX(_xlfn._xlws.FILTER(Class_Players!A:A,Class_Players!B:B="Engineer"),QUOTIENT(ROW()-ROW($A$2),12)+1),"")</f>
        <v>OdinJens-Junior-</v>
      </c>
      <c r="B173" s="42" t="str">
        <f>_xlfn.XLOOKUP(A173,Class_Players!$A:$A,Class_Players!$B:$B,"")</f>
        <v>Engineer</v>
      </c>
      <c r="C173" s="42" t="str" cm="1">
        <f t="array" ref="C173">INDEX(Lookups!$B$2:$B$13,MOD(ROW()-ROW($B$2),ROWS(Lookups!$B$2:$B$13))+1)</f>
        <v>MAS 148 (Long-Range Launcher)</v>
      </c>
      <c r="D173" s="38" t="str">
        <f>_xlfn.XLOOKUP(C173,Analysis_Gadgets!$C:$C,Analysis_Gadgets!$B:$B)</f>
        <v>Gadget</v>
      </c>
      <c r="E173" s="43">
        <v>45</v>
      </c>
      <c r="F173" s="43">
        <f>_xlfn.XLOOKUP(A173,Class_Players!A:A,Class_Players!G:G)</f>
        <v>327</v>
      </c>
      <c r="G173" s="43">
        <f t="shared" si="36"/>
        <v>0.13761467889908258</v>
      </c>
      <c r="H173" s="43">
        <f>_xlfn.XLOOKUP(A173,Class_Players!$A:$A,Class_Players!$F:$F,"")</f>
        <v>11804</v>
      </c>
      <c r="I173" s="44">
        <f t="shared" si="37"/>
        <v>3.812267028126059E-3</v>
      </c>
      <c r="J173" s="43">
        <f t="shared" si="14"/>
        <v>0</v>
      </c>
      <c r="K173" s="44" cm="1">
        <f t="array" ref="K173">IF(D173="Gadget",_xlfn.IFS(I173&gt;=0.2,0.5,I173&gt;=0.1,0.35,I173&gt;=0.05,0.2,TRUE,0),IF(D173="Grenade",_xlfn.IFS(I173&gt;=0.2,1,I173&gt;=0.1,0.7,I173&gt;=0.05,0.4,TRUE,0),0))</f>
        <v>0</v>
      </c>
      <c r="L173" s="57">
        <f t="shared" si="38"/>
        <v>0</v>
      </c>
    </row>
    <row r="174" spans="1:12" x14ac:dyDescent="0.25">
      <c r="A174" s="42" t="str" cm="1">
        <f t="array" ref="A174">IFERROR(INDEX(_xlfn._xlws.FILTER(Class_Players!A:A,Class_Players!B:B="Engineer"),QUOTIENT(ROW()-ROW($A$2),12)+1),"")</f>
        <v>OdinJens-Junior-</v>
      </c>
      <c r="B174" s="42" t="str">
        <f>_xlfn.XLOOKUP(A174,Class_Players!$A:$A,Class_Players!$B:$B,"")</f>
        <v>Engineer</v>
      </c>
      <c r="C174" s="42" t="str" cm="1">
        <f t="array" ref="C174">INDEX(Lookups!$B$2:$B$13,MOD(ROW()-ROW($B$2),ROWS(Lookups!$B$2:$B$13))+1)</f>
        <v>M136 AT (Aim-Guided Launcher)</v>
      </c>
      <c r="D174" s="38" t="str">
        <f>_xlfn.XLOOKUP(C174,Analysis_Gadgets!$C:$C,Analysis_Gadgets!$B:$B)</f>
        <v>Gadget</v>
      </c>
      <c r="E174" s="43">
        <v>45</v>
      </c>
      <c r="F174" s="43">
        <f>_xlfn.XLOOKUP(A174,Class_Players!A:A,Class_Players!G:G)</f>
        <v>327</v>
      </c>
      <c r="G174" s="43">
        <f t="shared" si="36"/>
        <v>0.13761467889908258</v>
      </c>
      <c r="H174" s="43">
        <f>_xlfn.XLOOKUP(A174,Class_Players!$A:$A,Class_Players!$F:$F,"")</f>
        <v>11804</v>
      </c>
      <c r="I174" s="44">
        <f t="shared" si="37"/>
        <v>3.812267028126059E-3</v>
      </c>
      <c r="J174" s="43">
        <f t="shared" si="14"/>
        <v>0</v>
      </c>
      <c r="K174" s="44" cm="1">
        <f t="array" ref="K174">IF(D174="Gadget",_xlfn.IFS(I174&gt;=0.2,0.5,I174&gt;=0.1,0.35,I174&gt;=0.05,0.2,TRUE,0),IF(D174="Grenade",_xlfn.IFS(I174&gt;=0.2,1,I174&gt;=0.1,0.7,I174&gt;=0.05,0.4,TRUE,0),0))</f>
        <v>0</v>
      </c>
      <c r="L174" s="57">
        <f t="shared" si="38"/>
        <v>0</v>
      </c>
    </row>
    <row r="175" spans="1:12" x14ac:dyDescent="0.25">
      <c r="A175" s="42" t="str" cm="1">
        <f t="array" ref="A175">IFERROR(INDEX(_xlfn._xlws.FILTER(Class_Players!A:A,Class_Players!B:B="Engineer"),QUOTIENT(ROW()-ROW($A$2),12)+1),"")</f>
        <v>OdinJens-Junior-</v>
      </c>
      <c r="B175" s="42" t="str">
        <f>_xlfn.XLOOKUP(A175,Class_Players!$A:$A,Class_Players!$B:$B,"")</f>
        <v>Engineer</v>
      </c>
      <c r="C175" s="42" t="str" cm="1">
        <f t="array" ref="C175">INDEX(Lookups!$B$2:$B$13,MOD(ROW()-ROW($B$2),ROWS(Lookups!$B$2:$B$13))+1)</f>
        <v>Supply Crate</v>
      </c>
      <c r="D175" s="38" t="str">
        <f>_xlfn.XLOOKUP(C175,Analysis_Gadgets!$C:$C,Analysis_Gadgets!$B:$B)</f>
        <v>Gadget</v>
      </c>
      <c r="E175" s="43">
        <v>3</v>
      </c>
      <c r="F175" s="43">
        <f>_xlfn.XLOOKUP(A175,Class_Players!A:A,Class_Players!G:G)</f>
        <v>327</v>
      </c>
      <c r="G175" s="43">
        <f t="shared" si="36"/>
        <v>9.1743119266055051E-3</v>
      </c>
      <c r="H175" s="43">
        <f>_xlfn.XLOOKUP(A175,Class_Players!$A:$A,Class_Players!$F:$F,"")</f>
        <v>11804</v>
      </c>
      <c r="I175" s="44">
        <f t="shared" si="37"/>
        <v>2.5415113520840392E-4</v>
      </c>
      <c r="J175" s="43">
        <f t="shared" si="14"/>
        <v>0</v>
      </c>
      <c r="K175" s="44" cm="1">
        <f t="array" ref="K175">IF(D175="Gadget",_xlfn.IFS(I175&gt;=0.2,0.5,I175&gt;=0.1,0.35,I175&gt;=0.05,0.2,TRUE,0),IF(D175="Grenade",_xlfn.IFS(I175&gt;=0.2,1,I175&gt;=0.1,0.7,I175&gt;=0.05,0.4,TRUE,0),0))</f>
        <v>0</v>
      </c>
      <c r="L175" s="57">
        <f t="shared" si="38"/>
        <v>0</v>
      </c>
    </row>
    <row r="176" spans="1:12" x14ac:dyDescent="0.25">
      <c r="A176" s="42" t="str" cm="1">
        <f t="array" ref="A176">IFERROR(INDEX(_xlfn._xlws.FILTER(Class_Players!A:A,Class_Players!B:B="Engineer"),QUOTIENT(ROW()-ROW($A$2),12)+1),"")</f>
        <v>OdinJens-Junior-</v>
      </c>
      <c r="B176" s="42" t="str">
        <f>_xlfn.XLOOKUP(A176,Class_Players!$A:$A,Class_Players!$B:$B,"")</f>
        <v>Engineer</v>
      </c>
      <c r="C176" s="42" t="str" cm="1">
        <f t="array" ref="C176">INDEX(Lookups!$B$2:$B$13,MOD(ROW()-ROW($B$2),ROWS(Lookups!$B$2:$B$13))+1)</f>
        <v>M15 (Anti-Vehicle Mine)</v>
      </c>
      <c r="D176" s="38" t="str">
        <f>_xlfn.XLOOKUP(C176,Analysis_Gadgets!$C:$C,Analysis_Gadgets!$B:$B)</f>
        <v>Gadget</v>
      </c>
      <c r="E176" s="43">
        <v>2774</v>
      </c>
      <c r="F176" s="43">
        <f>_xlfn.XLOOKUP(A176,Class_Players!A:A,Class_Players!G:G)</f>
        <v>327</v>
      </c>
      <c r="G176" s="43">
        <f t="shared" si="36"/>
        <v>8.4831804281345562</v>
      </c>
      <c r="H176" s="43">
        <f>_xlfn.XLOOKUP(A176,Class_Players!$A:$A,Class_Players!$F:$F,"")</f>
        <v>11804</v>
      </c>
      <c r="I176" s="44">
        <f t="shared" si="37"/>
        <v>0.23500508302270418</v>
      </c>
      <c r="J176" s="43">
        <f t="shared" si="14"/>
        <v>1</v>
      </c>
      <c r="K176" s="44" cm="1">
        <f t="array" ref="K176">IF(D176="Gadget",_xlfn.IFS(I176&gt;=0.2,0.5,I176&gt;=0.1,0.35,I176&gt;=0.05,0.2,TRUE,0),IF(D176="Grenade",_xlfn.IFS(I176&gt;=0.2,1,I176&gt;=0.1,0.7,I176&gt;=0.05,0.4,TRUE,0),0))</f>
        <v>0.5</v>
      </c>
      <c r="L176" s="57">
        <f t="shared" si="38"/>
        <v>0.37037037037037035</v>
      </c>
    </row>
    <row r="177" spans="1:12" x14ac:dyDescent="0.25">
      <c r="A177" s="42" t="str" cm="1">
        <f t="array" ref="A177">IFERROR(INDEX(_xlfn._xlws.FILTER(Class_Players!A:A,Class_Players!B:B="Engineer"),QUOTIENT(ROW()-ROW($A$2),12)+1),"")</f>
        <v>OdinJens-Junior-</v>
      </c>
      <c r="B177" s="42" t="str">
        <f>_xlfn.XLOOKUP(A177,Class_Players!$A:$A,Class_Players!$B:$B,"")</f>
        <v>Engineer</v>
      </c>
      <c r="C177" s="42" t="str" cm="1">
        <f t="array" ref="C177">INDEX(Lookups!$B$2:$B$13,MOD(ROW()-ROW($B$2),ROWS(Lookups!$B$2:$B$13))+1)</f>
        <v>PTKM-1R (Acoustic Sensor AV Mine)</v>
      </c>
      <c r="D177" s="38" t="str">
        <f>_xlfn.XLOOKUP(C177,Analysis_Gadgets!$C:$C,Analysis_Gadgets!$B:$B)</f>
        <v>Gadget</v>
      </c>
      <c r="E177" s="43">
        <v>18</v>
      </c>
      <c r="F177" s="43">
        <f>_xlfn.XLOOKUP(A177,Class_Players!A:A,Class_Players!G:G)</f>
        <v>327</v>
      </c>
      <c r="G177" s="43">
        <f t="shared" si="36"/>
        <v>5.5045871559633031E-2</v>
      </c>
      <c r="H177" s="43">
        <f>_xlfn.XLOOKUP(A177,Class_Players!$A:$A,Class_Players!$F:$F,"")</f>
        <v>11804</v>
      </c>
      <c r="I177" s="44">
        <f t="shared" si="37"/>
        <v>1.5249068112504235E-3</v>
      </c>
      <c r="J177" s="43">
        <f t="shared" si="14"/>
        <v>0</v>
      </c>
      <c r="K177" s="44" cm="1">
        <f t="array" ref="K177">IF(D177="Gadget",_xlfn.IFS(I177&gt;=0.2,0.5,I177&gt;=0.1,0.35,I177&gt;=0.05,0.2,TRUE,0),IF(D177="Grenade",_xlfn.IFS(I177&gt;=0.2,1,I177&gt;=0.1,0.7,I177&gt;=0.05,0.4,TRUE,0),0))</f>
        <v>0</v>
      </c>
      <c r="L177" s="57">
        <f t="shared" si="38"/>
        <v>0</v>
      </c>
    </row>
    <row r="178" spans="1:12" x14ac:dyDescent="0.25">
      <c r="A178" s="42" t="str" cm="1">
        <f t="array" ref="A178">IFERROR(INDEX(_xlfn._xlws.FILTER(Class_Players!A:A,Class_Players!B:B="Engineer"),QUOTIENT(ROW()-ROW($A$2),12)+1),"")</f>
        <v>OdinJens-Junior-</v>
      </c>
      <c r="B178" s="42" t="str">
        <f>_xlfn.XLOOKUP(A178,Class_Players!$A:$A,Class_Players!$B:$B,"")</f>
        <v>Engineer</v>
      </c>
      <c r="C178" s="42" t="str" cm="1">
        <f t="array" ref="C178">INDEX(Lookups!$B$2:$B$13,MOD(ROW()-ROW($B$2),ROWS(Lookups!$B$2:$B$13))+1)</f>
        <v>EOD Bot</v>
      </c>
      <c r="D178" s="38" t="str">
        <f>_xlfn.XLOOKUP(C178,Analysis_Gadgets!$C:$C,Analysis_Gadgets!$B:$B)</f>
        <v>Gadget</v>
      </c>
      <c r="E178" s="43">
        <v>0</v>
      </c>
      <c r="F178" s="43">
        <f>_xlfn.XLOOKUP(A178,Class_Players!A:A,Class_Players!G:G)</f>
        <v>327</v>
      </c>
      <c r="G178" s="43">
        <f t="shared" si="36"/>
        <v>0</v>
      </c>
      <c r="H178" s="43">
        <f>_xlfn.XLOOKUP(A178,Class_Players!$A:$A,Class_Players!$F:$F,"")</f>
        <v>11804</v>
      </c>
      <c r="I178" s="44">
        <f t="shared" si="37"/>
        <v>0</v>
      </c>
      <c r="J178" s="43">
        <f t="shared" si="14"/>
        <v>0</v>
      </c>
      <c r="K178" s="44" cm="1">
        <f t="array" ref="K178">IF(D178="Gadget",_xlfn.IFS(I178&gt;=0.2,0.5,I178&gt;=0.1,0.35,I178&gt;=0.05,0.2,TRUE,0),IF(D178="Grenade",_xlfn.IFS(I178&gt;=0.2,1,I178&gt;=0.1,0.7,I178&gt;=0.05,0.4,TRUE,0),0))</f>
        <v>0</v>
      </c>
      <c r="L178" s="57">
        <f t="shared" si="38"/>
        <v>0</v>
      </c>
    </row>
    <row r="179" spans="1:12" x14ac:dyDescent="0.25">
      <c r="A179" s="42" t="str" cm="1">
        <f t="array" ref="A179">IFERROR(INDEX(_xlfn._xlws.FILTER(Class_Players!A:A,Class_Players!B:B="Engineer"),QUOTIENT(ROW()-ROW($A$2),12)+1),"")</f>
        <v>OdinJens-Junior-</v>
      </c>
      <c r="B179" s="42" t="str">
        <f>_xlfn.XLOOKUP(A179,Class_Players!$A:$A,Class_Players!$B:$B,"")</f>
        <v>Engineer</v>
      </c>
      <c r="C179" s="42" t="str" cm="1">
        <f t="array" ref="C179">INDEX(Lookups!$B$2:$B$13,MOD(ROW()-ROW($B$2),ROWS(Lookups!$B$2:$B$13))+1)</f>
        <v>M4A1 SLAM (Tripwire Sensor AV Mine)</v>
      </c>
      <c r="D179" s="38" t="str">
        <f>_xlfn.XLOOKUP(C179,Analysis_Gadgets!$C:$C,Analysis_Gadgets!$B:$B)</f>
        <v>Gadget</v>
      </c>
      <c r="E179" s="43">
        <v>1534</v>
      </c>
      <c r="F179" s="43">
        <f>_xlfn.XLOOKUP(A179,Class_Players!A:A,Class_Players!G:G)</f>
        <v>327</v>
      </c>
      <c r="G179" s="43">
        <f t="shared" si="36"/>
        <v>4.6911314984709476</v>
      </c>
      <c r="H179" s="43">
        <f>_xlfn.XLOOKUP(A179,Class_Players!$A:$A,Class_Players!$F:$F,"")</f>
        <v>11804</v>
      </c>
      <c r="I179" s="44">
        <f t="shared" si="37"/>
        <v>0.12995594713656389</v>
      </c>
      <c r="J179" s="43">
        <f t="shared" si="14"/>
        <v>1</v>
      </c>
      <c r="K179" s="44" cm="1">
        <f t="array" ref="K179">IF(D179="Gadget",_xlfn.IFS(I179&gt;=0.2,0.5,I179&gt;=0.1,0.35,I179&gt;=0.05,0.2,TRUE,0),IF(D179="Grenade",_xlfn.IFS(I179&gt;=0.2,1,I179&gt;=0.1,0.7,I179&gt;=0.05,0.4,TRUE,0),0))</f>
        <v>0.35</v>
      </c>
      <c r="L179" s="57">
        <f t="shared" si="38"/>
        <v>0.25925925925925924</v>
      </c>
    </row>
    <row r="180" spans="1:12" x14ac:dyDescent="0.25">
      <c r="A180" s="42" t="str" cm="1">
        <f t="array" ref="A180">IFERROR(INDEX(_xlfn._xlws.FILTER(Class_Players!A:A,Class_Players!B:B="Engineer"),QUOTIENT(ROW()-ROW($A$2),12)+1),"")</f>
        <v>OdinJens-Junior-</v>
      </c>
      <c r="B180" s="42" t="str">
        <f>_xlfn.XLOOKUP(A180,Class_Players!$A:$A,Class_Players!$B:$B,"")</f>
        <v>Engineer</v>
      </c>
      <c r="C180" s="42" t="str" cm="1">
        <f t="array" ref="C180">INDEX(Lookups!$B$2:$B$13,MOD(ROW()-ROW($B$2),ROWS(Lookups!$B$2:$B$13))+1)</f>
        <v>Mini Frag Grenade</v>
      </c>
      <c r="D180" s="38" t="str">
        <f>_xlfn.XLOOKUP(C180,Analysis_Gadgets!$C:$C,Analysis_Gadgets!$B:$B)</f>
        <v>Grenade</v>
      </c>
      <c r="E180" s="43">
        <v>238</v>
      </c>
      <c r="F180" s="43">
        <f>_xlfn.XLOOKUP(A180,Class_Players!A:A,Class_Players!G:G)</f>
        <v>327</v>
      </c>
      <c r="G180" s="43">
        <f t="shared" si="36"/>
        <v>0.72782874617737003</v>
      </c>
      <c r="H180" s="43">
        <f>_xlfn.XLOOKUP(A180,Class_Players!$A:$A,Class_Players!$F:$F,"")</f>
        <v>11804</v>
      </c>
      <c r="I180" s="44">
        <f t="shared" si="37"/>
        <v>2.016265672653338E-2</v>
      </c>
      <c r="J180" s="43">
        <f t="shared" si="14"/>
        <v>0</v>
      </c>
      <c r="K180" s="44" cm="1">
        <f t="array" ref="K180">IF(D180="Gadget",_xlfn.IFS(I180&gt;=0.2,0.5,I180&gt;=0.1,0.35,I180&gt;=0.05,0.2,TRUE,0),IF(D180="Grenade",_xlfn.IFS(I180&gt;=0.2,1,I180&gt;=0.1,0.7,I180&gt;=0.05,0.4,TRUE,0),0))</f>
        <v>0</v>
      </c>
      <c r="L180" s="57">
        <f t="shared" ref="L180:L181" si="39">IF($K180=0,0,$K180 / SUMIFS($K:$K,$A:$A,$A180,$D:$D,"Grenade"))</f>
        <v>0</v>
      </c>
    </row>
    <row r="181" spans="1:12" x14ac:dyDescent="0.25">
      <c r="A181" s="42" t="str" cm="1">
        <f t="array" ref="A181">IFERROR(INDEX(_xlfn._xlws.FILTER(Class_Players!A:A,Class_Players!B:B="Engineer"),QUOTIENT(ROW()-ROW($A$2),12)+1),"")</f>
        <v>OdinJens-Junior-</v>
      </c>
      <c r="B181" s="42" t="str">
        <f>_xlfn.XLOOKUP(A181,Class_Players!$A:$A,Class_Players!$B:$B,"")</f>
        <v>Engineer</v>
      </c>
      <c r="C181" s="42" t="str" cm="1">
        <f t="array" ref="C181">INDEX(Lookups!$B$2:$B$13,MOD(ROW()-ROW($B$2),ROWS(Lookups!$B$2:$B$13))+1)</f>
        <v>Anti-Vehicle Grenade</v>
      </c>
      <c r="D181" s="38" t="str">
        <f>_xlfn.XLOOKUP(C181,Analysis_Gadgets!$C:$C,Analysis_Gadgets!$B:$B)</f>
        <v>Grenade</v>
      </c>
      <c r="E181" s="43">
        <v>0</v>
      </c>
      <c r="F181" s="43">
        <f>_xlfn.XLOOKUP(A181,Class_Players!A:A,Class_Players!G:G)</f>
        <v>327</v>
      </c>
      <c r="G181" s="43">
        <f t="shared" si="36"/>
        <v>0</v>
      </c>
      <c r="H181" s="43">
        <f>_xlfn.XLOOKUP(A181,Class_Players!$A:$A,Class_Players!$F:$F,"")</f>
        <v>11804</v>
      </c>
      <c r="I181" s="44">
        <f t="shared" si="37"/>
        <v>0</v>
      </c>
      <c r="J181" s="43">
        <f t="shared" si="14"/>
        <v>0</v>
      </c>
      <c r="K181" s="44" cm="1">
        <f t="array" ref="K181">IF(D181="Gadget",_xlfn.IFS(I181&gt;=0.2,0.5,I181&gt;=0.1,0.35,I181&gt;=0.05,0.2,TRUE,0),IF(D181="Grenade",_xlfn.IFS(I181&gt;=0.2,1,I181&gt;=0.1,0.7,I181&gt;=0.05,0.4,TRUE,0),0))</f>
        <v>0</v>
      </c>
      <c r="L181" s="57">
        <f t="shared" si="39"/>
        <v>0</v>
      </c>
    </row>
    <row r="182" spans="1:12" x14ac:dyDescent="0.25">
      <c r="A182" s="42" t="str" cm="1">
        <f t="array" ref="A182">IFERROR(INDEX(_xlfn._xlws.FILTER(Class_Players!A:A,Class_Players!B:B="Engineer"),QUOTIENT(ROW()-ROW($A$2),12)+1),"")</f>
        <v>EBV_LiptoN</v>
      </c>
      <c r="B182" s="42" t="str">
        <f>_xlfn.XLOOKUP(A182,Class_Players!$A:$A,Class_Players!$B:$B,"")</f>
        <v>Engineer</v>
      </c>
      <c r="C182" s="42" t="str" cm="1">
        <f t="array" ref="C182">INDEX(Lookups!$B$2:$B$13,MOD(ROW()-ROW($B$2),ROWS(Lookups!$B$2:$B$13))+1)</f>
        <v>MBT-LAW (Auto-Guided Launcher)</v>
      </c>
      <c r="D182" s="38" t="str">
        <f>_xlfn.XLOOKUP(C182,Analysis_Gadgets!$C:$C,Analysis_Gadgets!$B:$B)</f>
        <v>Gadget</v>
      </c>
      <c r="E182" s="43">
        <v>0</v>
      </c>
      <c r="F182" s="43">
        <f>_xlfn.XLOOKUP(A182,Class_Players!A:A,Class_Players!G:G)</f>
        <v>230</v>
      </c>
      <c r="G182" s="43">
        <f t="shared" ref="G182:G193" si="40">IF(F182=0,"",E182/(F182))</f>
        <v>0</v>
      </c>
      <c r="H182" s="43">
        <f>_xlfn.XLOOKUP(A182,Class_Players!$A:$A,Class_Players!$F:$F,"")</f>
        <v>11638</v>
      </c>
      <c r="I182" s="44">
        <f t="shared" ref="I182:I193" si="41">IF(H182=0,"",E182/H182)</f>
        <v>0</v>
      </c>
      <c r="J182" s="43">
        <f t="shared" ref="J182:J193" si="42">IF(I182&gt;=0.1,1,0)</f>
        <v>0</v>
      </c>
      <c r="K182" s="44" cm="1">
        <f t="array" ref="K182">IF(D182="Gadget",_xlfn.IFS(I182&gt;=0.2,0.5,I182&gt;=0.1,0.35,I182&gt;=0.05,0.2,TRUE,0),IF(D182="Grenade",_xlfn.IFS(I182&gt;=0.2,1,I182&gt;=0.1,0.7,I182&gt;=0.05,0.4,TRUE,0),0))</f>
        <v>0</v>
      </c>
      <c r="L182" s="57">
        <f t="shared" ref="L182:L191" si="43">IF($K182=0,0,$K182 / SUMIFS($K:$K,$A:$A,$A182,$D:$D,"Gadget"))</f>
        <v>0</v>
      </c>
    </row>
    <row r="183" spans="1:12" x14ac:dyDescent="0.25">
      <c r="A183" s="42" t="str" cm="1">
        <f t="array" ref="A183">IFERROR(INDEX(_xlfn._xlws.FILTER(Class_Players!A:A,Class_Players!B:B="Engineer"),QUOTIENT(ROW()-ROW($A$2),12)+1),"")</f>
        <v>EBV_LiptoN</v>
      </c>
      <c r="B183" s="42" t="str">
        <f>_xlfn.XLOOKUP(A183,Class_Players!$A:$A,Class_Players!$B:$B,"")</f>
        <v>Engineer</v>
      </c>
      <c r="C183" s="42" t="str" cm="1">
        <f t="array" ref="C183">INDEX(Lookups!$B$2:$B$13,MOD(ROW()-ROW($B$2),ROWS(Lookups!$B$2:$B$13))+1)</f>
        <v>SLM-93A (Air-Defense Launcher)</v>
      </c>
      <c r="D183" s="38" t="str">
        <f>_xlfn.XLOOKUP(C183,Analysis_Gadgets!$C:$C,Analysis_Gadgets!$B:$B)</f>
        <v>Gadget</v>
      </c>
      <c r="E183" s="43">
        <v>232</v>
      </c>
      <c r="F183" s="43">
        <f>_xlfn.XLOOKUP(A183,Class_Players!A:A,Class_Players!G:G)</f>
        <v>230</v>
      </c>
      <c r="G183" s="43">
        <f t="shared" si="40"/>
        <v>1.008695652173913</v>
      </c>
      <c r="H183" s="43">
        <f>_xlfn.XLOOKUP(A183,Class_Players!$A:$A,Class_Players!$F:$F,"")</f>
        <v>11638</v>
      </c>
      <c r="I183" s="44">
        <f t="shared" si="41"/>
        <v>1.9934696683278914E-2</v>
      </c>
      <c r="J183" s="43">
        <f t="shared" si="42"/>
        <v>0</v>
      </c>
      <c r="K183" s="44" cm="1">
        <f t="array" ref="K183">IF(D183="Gadget",_xlfn.IFS(I183&gt;=0.2,0.5,I183&gt;=0.1,0.35,I183&gt;=0.05,0.2,TRUE,0),IF(D183="Grenade",_xlfn.IFS(I183&gt;=0.2,1,I183&gt;=0.1,0.7,I183&gt;=0.05,0.4,TRUE,0),0))</f>
        <v>0</v>
      </c>
      <c r="L183" s="57">
        <f t="shared" si="43"/>
        <v>0</v>
      </c>
    </row>
    <row r="184" spans="1:12" x14ac:dyDescent="0.25">
      <c r="A184" s="42" t="str" cm="1">
        <f t="array" ref="A184">IFERROR(INDEX(_xlfn._xlws.FILTER(Class_Players!A:A,Class_Players!B:B="Engineer"),QUOTIENT(ROW()-ROW($A$2),12)+1),"")</f>
        <v>EBV_LiptoN</v>
      </c>
      <c r="B184" s="42" t="str">
        <f>_xlfn.XLOOKUP(A184,Class_Players!$A:$A,Class_Players!$B:$B,"")</f>
        <v>Engineer</v>
      </c>
      <c r="C184" s="42" t="str" cm="1">
        <f t="array" ref="C184">INDEX(Lookups!$B$2:$B$13,MOD(ROW()-ROW($B$2),ROWS(Lookups!$B$2:$B$13))+1)</f>
        <v>RPG-7V2 (Unguided Rocket Launcher)</v>
      </c>
      <c r="D184" s="38" t="str">
        <f>_xlfn.XLOOKUP(C184,Analysis_Gadgets!$C:$C,Analysis_Gadgets!$B:$B)</f>
        <v>Gadget</v>
      </c>
      <c r="E184" s="43">
        <v>4126</v>
      </c>
      <c r="F184" s="43">
        <f>_xlfn.XLOOKUP(A184,Class_Players!A:A,Class_Players!G:G)</f>
        <v>230</v>
      </c>
      <c r="G184" s="43">
        <f t="shared" si="40"/>
        <v>17.939130434782609</v>
      </c>
      <c r="H184" s="43">
        <f>_xlfn.XLOOKUP(A184,Class_Players!$A:$A,Class_Players!$F:$F,"")</f>
        <v>11638</v>
      </c>
      <c r="I184" s="44">
        <f t="shared" si="41"/>
        <v>0.35452826946210692</v>
      </c>
      <c r="J184" s="43">
        <f t="shared" si="42"/>
        <v>1</v>
      </c>
      <c r="K184" s="44" cm="1">
        <f t="array" ref="K184">IF(D184="Gadget",_xlfn.IFS(I184&gt;=0.2,0.5,I184&gt;=0.1,0.35,I184&gt;=0.05,0.2,TRUE,0),IF(D184="Grenade",_xlfn.IFS(I184&gt;=0.2,1,I184&gt;=0.1,0.7,I184&gt;=0.05,0.4,TRUE,0),0))</f>
        <v>0.5</v>
      </c>
      <c r="L184" s="57">
        <f t="shared" si="43"/>
        <v>0.7142857142857143</v>
      </c>
    </row>
    <row r="185" spans="1:12" x14ac:dyDescent="0.25">
      <c r="A185" s="42" t="str" cm="1">
        <f t="array" ref="A185">IFERROR(INDEX(_xlfn._xlws.FILTER(Class_Players!A:A,Class_Players!B:B="Engineer"),QUOTIENT(ROW()-ROW($A$2),12)+1),"")</f>
        <v>EBV_LiptoN</v>
      </c>
      <c r="B185" s="42" t="str">
        <f>_xlfn.XLOOKUP(A185,Class_Players!$A:$A,Class_Players!$B:$B,"")</f>
        <v>Engineer</v>
      </c>
      <c r="C185" s="42" t="str" cm="1">
        <f t="array" ref="C185">INDEX(Lookups!$B$2:$B$13,MOD(ROW()-ROW($B$2),ROWS(Lookups!$B$2:$B$13))+1)</f>
        <v>MAS 148 (Long-Range Launcher)</v>
      </c>
      <c r="D185" s="38" t="str">
        <f>_xlfn.XLOOKUP(C185,Analysis_Gadgets!$C:$C,Analysis_Gadgets!$B:$B)</f>
        <v>Gadget</v>
      </c>
      <c r="E185" s="43">
        <v>0</v>
      </c>
      <c r="F185" s="43">
        <f>_xlfn.XLOOKUP(A185,Class_Players!A:A,Class_Players!G:G)</f>
        <v>230</v>
      </c>
      <c r="G185" s="43">
        <f t="shared" si="40"/>
        <v>0</v>
      </c>
      <c r="H185" s="43">
        <f>_xlfn.XLOOKUP(A185,Class_Players!$A:$A,Class_Players!$F:$F,"")</f>
        <v>11638</v>
      </c>
      <c r="I185" s="44">
        <f t="shared" si="41"/>
        <v>0</v>
      </c>
      <c r="J185" s="43">
        <f t="shared" si="42"/>
        <v>0</v>
      </c>
      <c r="K185" s="44" cm="1">
        <f t="array" ref="K185">IF(D185="Gadget",_xlfn.IFS(I185&gt;=0.2,0.5,I185&gt;=0.1,0.35,I185&gt;=0.05,0.2,TRUE,0),IF(D185="Grenade",_xlfn.IFS(I185&gt;=0.2,1,I185&gt;=0.1,0.7,I185&gt;=0.05,0.4,TRUE,0),0))</f>
        <v>0</v>
      </c>
      <c r="L185" s="57">
        <f t="shared" si="43"/>
        <v>0</v>
      </c>
    </row>
    <row r="186" spans="1:12" x14ac:dyDescent="0.25">
      <c r="A186" s="42" t="str" cm="1">
        <f t="array" ref="A186">IFERROR(INDEX(_xlfn._xlws.FILTER(Class_Players!A:A,Class_Players!B:B="Engineer"),QUOTIENT(ROW()-ROW($A$2),12)+1),"")</f>
        <v>EBV_LiptoN</v>
      </c>
      <c r="B186" s="42" t="str">
        <f>_xlfn.XLOOKUP(A186,Class_Players!$A:$A,Class_Players!$B:$B,"")</f>
        <v>Engineer</v>
      </c>
      <c r="C186" s="42" t="str" cm="1">
        <f t="array" ref="C186">INDEX(Lookups!$B$2:$B$13,MOD(ROW()-ROW($B$2),ROWS(Lookups!$B$2:$B$13))+1)</f>
        <v>M136 AT (Aim-Guided Launcher)</v>
      </c>
      <c r="D186" s="38" t="str">
        <f>_xlfn.XLOOKUP(C186,Analysis_Gadgets!$C:$C,Analysis_Gadgets!$B:$B)</f>
        <v>Gadget</v>
      </c>
      <c r="E186" s="43">
        <v>36</v>
      </c>
      <c r="F186" s="43">
        <f>_xlfn.XLOOKUP(A186,Class_Players!A:A,Class_Players!G:G)</f>
        <v>230</v>
      </c>
      <c r="G186" s="43">
        <f t="shared" si="40"/>
        <v>0.15652173913043479</v>
      </c>
      <c r="H186" s="43">
        <f>_xlfn.XLOOKUP(A186,Class_Players!$A:$A,Class_Players!$F:$F,"")</f>
        <v>11638</v>
      </c>
      <c r="I186" s="44">
        <f t="shared" si="41"/>
        <v>3.0933150025777623E-3</v>
      </c>
      <c r="J186" s="43">
        <f t="shared" si="42"/>
        <v>0</v>
      </c>
      <c r="K186" s="44" cm="1">
        <f t="array" ref="K186">IF(D186="Gadget",_xlfn.IFS(I186&gt;=0.2,0.5,I186&gt;=0.1,0.35,I186&gt;=0.05,0.2,TRUE,0),IF(D186="Grenade",_xlfn.IFS(I186&gt;=0.2,1,I186&gt;=0.1,0.7,I186&gt;=0.05,0.4,TRUE,0),0))</f>
        <v>0</v>
      </c>
      <c r="L186" s="57">
        <f t="shared" si="43"/>
        <v>0</v>
      </c>
    </row>
    <row r="187" spans="1:12" x14ac:dyDescent="0.25">
      <c r="A187" s="42" t="str" cm="1">
        <f t="array" ref="A187">IFERROR(INDEX(_xlfn._xlws.FILTER(Class_Players!A:A,Class_Players!B:B="Engineer"),QUOTIENT(ROW()-ROW($A$2),12)+1),"")</f>
        <v>EBV_LiptoN</v>
      </c>
      <c r="B187" s="42" t="str">
        <f>_xlfn.XLOOKUP(A187,Class_Players!$A:$A,Class_Players!$B:$B,"")</f>
        <v>Engineer</v>
      </c>
      <c r="C187" s="42" t="str" cm="1">
        <f t="array" ref="C187">INDEX(Lookups!$B$2:$B$13,MOD(ROW()-ROW($B$2),ROWS(Lookups!$B$2:$B$13))+1)</f>
        <v>Supply Crate</v>
      </c>
      <c r="D187" s="38" t="str">
        <f>_xlfn.XLOOKUP(C187,Analysis_Gadgets!$C:$C,Analysis_Gadgets!$B:$B)</f>
        <v>Gadget</v>
      </c>
      <c r="E187" s="43">
        <v>3</v>
      </c>
      <c r="F187" s="43">
        <f>_xlfn.XLOOKUP(A187,Class_Players!A:A,Class_Players!G:G)</f>
        <v>230</v>
      </c>
      <c r="G187" s="43">
        <f t="shared" si="40"/>
        <v>1.3043478260869565E-2</v>
      </c>
      <c r="H187" s="43">
        <f>_xlfn.XLOOKUP(A187,Class_Players!$A:$A,Class_Players!$F:$F,"")</f>
        <v>11638</v>
      </c>
      <c r="I187" s="44">
        <f t="shared" si="41"/>
        <v>2.5777625021481353E-4</v>
      </c>
      <c r="J187" s="43">
        <f t="shared" si="42"/>
        <v>0</v>
      </c>
      <c r="K187" s="44" cm="1">
        <f t="array" ref="K187">IF(D187="Gadget",_xlfn.IFS(I187&gt;=0.2,0.5,I187&gt;=0.1,0.35,I187&gt;=0.05,0.2,TRUE,0),IF(D187="Grenade",_xlfn.IFS(I187&gt;=0.2,1,I187&gt;=0.1,0.7,I187&gt;=0.05,0.4,TRUE,0),0))</f>
        <v>0</v>
      </c>
      <c r="L187" s="57">
        <f t="shared" si="43"/>
        <v>0</v>
      </c>
    </row>
    <row r="188" spans="1:12" x14ac:dyDescent="0.25">
      <c r="A188" s="42" t="str" cm="1">
        <f t="array" ref="A188">IFERROR(INDEX(_xlfn._xlws.FILTER(Class_Players!A:A,Class_Players!B:B="Engineer"),QUOTIENT(ROW()-ROW($A$2),12)+1),"")</f>
        <v>EBV_LiptoN</v>
      </c>
      <c r="B188" s="42" t="str">
        <f>_xlfn.XLOOKUP(A188,Class_Players!$A:$A,Class_Players!$B:$B,"")</f>
        <v>Engineer</v>
      </c>
      <c r="C188" s="42" t="str" cm="1">
        <f t="array" ref="C188">INDEX(Lookups!$B$2:$B$13,MOD(ROW()-ROW($B$2),ROWS(Lookups!$B$2:$B$13))+1)</f>
        <v>M15 (Anti-Vehicle Mine)</v>
      </c>
      <c r="D188" s="38" t="str">
        <f>_xlfn.XLOOKUP(C188,Analysis_Gadgets!$C:$C,Analysis_Gadgets!$B:$B)</f>
        <v>Gadget</v>
      </c>
      <c r="E188" s="43">
        <v>1021</v>
      </c>
      <c r="F188" s="43">
        <f>_xlfn.XLOOKUP(A188,Class_Players!A:A,Class_Players!G:G)</f>
        <v>230</v>
      </c>
      <c r="G188" s="43">
        <f t="shared" si="40"/>
        <v>4.4391304347826086</v>
      </c>
      <c r="H188" s="43">
        <f>_xlfn.XLOOKUP(A188,Class_Players!$A:$A,Class_Players!$F:$F,"")</f>
        <v>11638</v>
      </c>
      <c r="I188" s="44">
        <f t="shared" si="41"/>
        <v>8.7729850489774872E-2</v>
      </c>
      <c r="J188" s="43">
        <f t="shared" si="42"/>
        <v>0</v>
      </c>
      <c r="K188" s="44" cm="1">
        <f t="array" ref="K188">IF(D188="Gadget",_xlfn.IFS(I188&gt;=0.2,0.5,I188&gt;=0.1,0.35,I188&gt;=0.05,0.2,TRUE,0),IF(D188="Grenade",_xlfn.IFS(I188&gt;=0.2,1,I188&gt;=0.1,0.7,I188&gt;=0.05,0.4,TRUE,0),0))</f>
        <v>0.2</v>
      </c>
      <c r="L188" s="57">
        <f t="shared" si="43"/>
        <v>0.28571428571428575</v>
      </c>
    </row>
    <row r="189" spans="1:12" x14ac:dyDescent="0.25">
      <c r="A189" s="42" t="str" cm="1">
        <f t="array" ref="A189">IFERROR(INDEX(_xlfn._xlws.FILTER(Class_Players!A:A,Class_Players!B:B="Engineer"),QUOTIENT(ROW()-ROW($A$2),12)+1),"")</f>
        <v>EBV_LiptoN</v>
      </c>
      <c r="B189" s="42" t="str">
        <f>_xlfn.XLOOKUP(A189,Class_Players!$A:$A,Class_Players!$B:$B,"")</f>
        <v>Engineer</v>
      </c>
      <c r="C189" s="42" t="str" cm="1">
        <f t="array" ref="C189">INDEX(Lookups!$B$2:$B$13,MOD(ROW()-ROW($B$2),ROWS(Lookups!$B$2:$B$13))+1)</f>
        <v>PTKM-1R (Acoustic Sensor AV Mine)</v>
      </c>
      <c r="D189" s="38" t="str">
        <f>_xlfn.XLOOKUP(C189,Analysis_Gadgets!$C:$C,Analysis_Gadgets!$B:$B)</f>
        <v>Gadget</v>
      </c>
      <c r="E189" s="43">
        <v>10</v>
      </c>
      <c r="F189" s="43">
        <f>_xlfn.XLOOKUP(A189,Class_Players!A:A,Class_Players!G:G)</f>
        <v>230</v>
      </c>
      <c r="G189" s="43">
        <f t="shared" si="40"/>
        <v>4.3478260869565216E-2</v>
      </c>
      <c r="H189" s="43">
        <f>_xlfn.XLOOKUP(A189,Class_Players!$A:$A,Class_Players!$F:$F,"")</f>
        <v>11638</v>
      </c>
      <c r="I189" s="44">
        <f t="shared" si="41"/>
        <v>8.592541673827118E-4</v>
      </c>
      <c r="J189" s="43">
        <f t="shared" si="42"/>
        <v>0</v>
      </c>
      <c r="K189" s="44" cm="1">
        <f t="array" ref="K189">IF(D189="Gadget",_xlfn.IFS(I189&gt;=0.2,0.5,I189&gt;=0.1,0.35,I189&gt;=0.05,0.2,TRUE,0),IF(D189="Grenade",_xlfn.IFS(I189&gt;=0.2,1,I189&gt;=0.1,0.7,I189&gt;=0.05,0.4,TRUE,0),0))</f>
        <v>0</v>
      </c>
      <c r="L189" s="57">
        <f t="shared" si="43"/>
        <v>0</v>
      </c>
    </row>
    <row r="190" spans="1:12" x14ac:dyDescent="0.25">
      <c r="A190" s="42" t="str" cm="1">
        <f t="array" ref="A190">IFERROR(INDEX(_xlfn._xlws.FILTER(Class_Players!A:A,Class_Players!B:B="Engineer"),QUOTIENT(ROW()-ROW($A$2),12)+1),"")</f>
        <v>EBV_LiptoN</v>
      </c>
      <c r="B190" s="42" t="str">
        <f>_xlfn.XLOOKUP(A190,Class_Players!$A:$A,Class_Players!$B:$B,"")</f>
        <v>Engineer</v>
      </c>
      <c r="C190" s="42" t="str" cm="1">
        <f t="array" ref="C190">INDEX(Lookups!$B$2:$B$13,MOD(ROW()-ROW($B$2),ROWS(Lookups!$B$2:$B$13))+1)</f>
        <v>EOD Bot</v>
      </c>
      <c r="D190" s="38" t="str">
        <f>_xlfn.XLOOKUP(C190,Analysis_Gadgets!$C:$C,Analysis_Gadgets!$B:$B)</f>
        <v>Gadget</v>
      </c>
      <c r="E190" s="43">
        <v>11</v>
      </c>
      <c r="F190" s="43">
        <f>_xlfn.XLOOKUP(A190,Class_Players!A:A,Class_Players!G:G)</f>
        <v>230</v>
      </c>
      <c r="G190" s="43">
        <f t="shared" si="40"/>
        <v>4.7826086956521741E-2</v>
      </c>
      <c r="H190" s="43">
        <f>_xlfn.XLOOKUP(A190,Class_Players!$A:$A,Class_Players!$F:$F,"")</f>
        <v>11638</v>
      </c>
      <c r="I190" s="44">
        <f t="shared" si="41"/>
        <v>9.4517958412098301E-4</v>
      </c>
      <c r="J190" s="43">
        <f t="shared" si="42"/>
        <v>0</v>
      </c>
      <c r="K190" s="44" cm="1">
        <f t="array" ref="K190">IF(D190="Gadget",_xlfn.IFS(I190&gt;=0.2,0.5,I190&gt;=0.1,0.35,I190&gt;=0.05,0.2,TRUE,0),IF(D190="Grenade",_xlfn.IFS(I190&gt;=0.2,1,I190&gt;=0.1,0.7,I190&gt;=0.05,0.4,TRUE,0),0))</f>
        <v>0</v>
      </c>
      <c r="L190" s="57">
        <f t="shared" si="43"/>
        <v>0</v>
      </c>
    </row>
    <row r="191" spans="1:12" x14ac:dyDescent="0.25">
      <c r="A191" s="42" t="str" cm="1">
        <f t="array" ref="A191">IFERROR(INDEX(_xlfn._xlws.FILTER(Class_Players!A:A,Class_Players!B:B="Engineer"),QUOTIENT(ROW()-ROW($A$2),12)+1),"")</f>
        <v>EBV_LiptoN</v>
      </c>
      <c r="B191" s="42" t="str">
        <f>_xlfn.XLOOKUP(A191,Class_Players!$A:$A,Class_Players!$B:$B,"")</f>
        <v>Engineer</v>
      </c>
      <c r="C191" s="42" t="str" cm="1">
        <f t="array" ref="C191">INDEX(Lookups!$B$2:$B$13,MOD(ROW()-ROW($B$2),ROWS(Lookups!$B$2:$B$13))+1)</f>
        <v>M4A1 SLAM (Tripwire Sensor AV Mine)</v>
      </c>
      <c r="D191" s="38" t="str">
        <f>_xlfn.XLOOKUP(C191,Analysis_Gadgets!$C:$C,Analysis_Gadgets!$B:$B)</f>
        <v>Gadget</v>
      </c>
      <c r="E191" s="43">
        <v>1</v>
      </c>
      <c r="F191" s="43">
        <f>_xlfn.XLOOKUP(A191,Class_Players!A:A,Class_Players!G:G)</f>
        <v>230</v>
      </c>
      <c r="G191" s="43">
        <f t="shared" si="40"/>
        <v>4.3478260869565218E-3</v>
      </c>
      <c r="H191" s="43">
        <f>_xlfn.XLOOKUP(A191,Class_Players!$A:$A,Class_Players!$F:$F,"")</f>
        <v>11638</v>
      </c>
      <c r="I191" s="44">
        <f t="shared" si="41"/>
        <v>8.5925416738271185E-5</v>
      </c>
      <c r="J191" s="43">
        <f t="shared" si="42"/>
        <v>0</v>
      </c>
      <c r="K191" s="44" cm="1">
        <f t="array" ref="K191">IF(D191="Gadget",_xlfn.IFS(I191&gt;=0.2,0.5,I191&gt;=0.1,0.35,I191&gt;=0.05,0.2,TRUE,0),IF(D191="Grenade",_xlfn.IFS(I191&gt;=0.2,1,I191&gt;=0.1,0.7,I191&gt;=0.05,0.4,TRUE,0),0))</f>
        <v>0</v>
      </c>
      <c r="L191" s="57">
        <f t="shared" si="43"/>
        <v>0</v>
      </c>
    </row>
    <row r="192" spans="1:12" x14ac:dyDescent="0.25">
      <c r="A192" s="42" t="str" cm="1">
        <f t="array" ref="A192">IFERROR(INDEX(_xlfn._xlws.FILTER(Class_Players!A:A,Class_Players!B:B="Engineer"),QUOTIENT(ROW()-ROW($A$2),12)+1),"")</f>
        <v>EBV_LiptoN</v>
      </c>
      <c r="B192" s="42" t="str">
        <f>_xlfn.XLOOKUP(A192,Class_Players!$A:$A,Class_Players!$B:$B,"")</f>
        <v>Engineer</v>
      </c>
      <c r="C192" s="42" t="str" cm="1">
        <f t="array" ref="C192">INDEX(Lookups!$B$2:$B$13,MOD(ROW()-ROW($B$2),ROWS(Lookups!$B$2:$B$13))+1)</f>
        <v>Mini Frag Grenade</v>
      </c>
      <c r="D192" s="38" t="str">
        <f>_xlfn.XLOOKUP(C192,Analysis_Gadgets!$C:$C,Analysis_Gadgets!$B:$B)</f>
        <v>Grenade</v>
      </c>
      <c r="E192" s="43">
        <v>5</v>
      </c>
      <c r="F192" s="43">
        <f>_xlfn.XLOOKUP(A192,Class_Players!A:A,Class_Players!G:G)</f>
        <v>230</v>
      </c>
      <c r="G192" s="43">
        <f t="shared" si="40"/>
        <v>2.1739130434782608E-2</v>
      </c>
      <c r="H192" s="43">
        <f>_xlfn.XLOOKUP(A192,Class_Players!$A:$A,Class_Players!$F:$F,"")</f>
        <v>11638</v>
      </c>
      <c r="I192" s="44">
        <f t="shared" si="41"/>
        <v>4.296270836913559E-4</v>
      </c>
      <c r="J192" s="43">
        <f t="shared" si="42"/>
        <v>0</v>
      </c>
      <c r="K192" s="44" cm="1">
        <f t="array" ref="K192">IF(D192="Gadget",_xlfn.IFS(I192&gt;=0.2,0.5,I192&gt;=0.1,0.35,I192&gt;=0.05,0.2,TRUE,0),IF(D192="Grenade",_xlfn.IFS(I192&gt;=0.2,1,I192&gt;=0.1,0.7,I192&gt;=0.05,0.4,TRUE,0),0))</f>
        <v>0</v>
      </c>
      <c r="L192" s="57">
        <f t="shared" ref="L192:L193" si="44">IF($K192=0,0,$K192 / SUMIFS($K:$K,$A:$A,$A192,$D:$D,"Grenade"))</f>
        <v>0</v>
      </c>
    </row>
    <row r="193" spans="1:12" x14ac:dyDescent="0.25">
      <c r="A193" s="42" t="str" cm="1">
        <f t="array" ref="A193">IFERROR(INDEX(_xlfn._xlws.FILTER(Class_Players!A:A,Class_Players!B:B="Engineer"),QUOTIENT(ROW()-ROW($A$2),12)+1),"")</f>
        <v>EBV_LiptoN</v>
      </c>
      <c r="B193" s="42" t="str">
        <f>_xlfn.XLOOKUP(A193,Class_Players!$A:$A,Class_Players!$B:$B,"")</f>
        <v>Engineer</v>
      </c>
      <c r="C193" s="42" t="str" cm="1">
        <f t="array" ref="C193">INDEX(Lookups!$B$2:$B$13,MOD(ROW()-ROW($B$2),ROWS(Lookups!$B$2:$B$13))+1)</f>
        <v>Anti-Vehicle Grenade</v>
      </c>
      <c r="D193" s="38" t="str">
        <f>_xlfn.XLOOKUP(C193,Analysis_Gadgets!$C:$C,Analysis_Gadgets!$B:$B)</f>
        <v>Grenade</v>
      </c>
      <c r="E193" s="43">
        <v>0</v>
      </c>
      <c r="F193" s="43">
        <f>_xlfn.XLOOKUP(A193,Class_Players!A:A,Class_Players!G:G)</f>
        <v>230</v>
      </c>
      <c r="G193" s="43">
        <f t="shared" si="40"/>
        <v>0</v>
      </c>
      <c r="H193" s="43">
        <f>_xlfn.XLOOKUP(A193,Class_Players!$A:$A,Class_Players!$F:$F,"")</f>
        <v>11638</v>
      </c>
      <c r="I193" s="44">
        <f t="shared" si="41"/>
        <v>0</v>
      </c>
      <c r="J193" s="43">
        <f t="shared" si="42"/>
        <v>0</v>
      </c>
      <c r="K193" s="44" cm="1">
        <f t="array" ref="K193">IF(D193="Gadget",_xlfn.IFS(I193&gt;=0.2,0.5,I193&gt;=0.1,0.35,I193&gt;=0.05,0.2,TRUE,0),IF(D193="Grenade",_xlfn.IFS(I193&gt;=0.2,1,I193&gt;=0.1,0.7,I193&gt;=0.05,0.4,TRUE,0),0))</f>
        <v>0</v>
      </c>
      <c r="L193" s="57">
        <f t="shared" si="44"/>
        <v>0</v>
      </c>
    </row>
    <row r="194" spans="1:12" x14ac:dyDescent="0.25">
      <c r="A194" s="42" t="str" cm="1">
        <f t="array" ref="A194">IFERROR(INDEX(_xlfn._xlws.FILTER(Class_Players!A:A,Class_Players!B:B="Engineer"),QUOTIENT(ROW()-ROW($A$2),12)+1),"")</f>
        <v>Robertois</v>
      </c>
      <c r="B194" s="42" t="str">
        <f>_xlfn.XLOOKUP(A194,Class_Players!$A:$A,Class_Players!$B:$B,"")</f>
        <v>Engineer</v>
      </c>
      <c r="C194" s="42" t="str" cm="1">
        <f t="array" ref="C194">INDEX(Lookups!$B$2:$B$13,MOD(ROW()-ROW($B$2),ROWS(Lookups!$B$2:$B$13))+1)</f>
        <v>MBT-LAW (Auto-Guided Launcher)</v>
      </c>
      <c r="D194" s="38" t="str">
        <f>_xlfn.XLOOKUP(C194,Analysis_Gadgets!$C:$C,Analysis_Gadgets!$B:$B)</f>
        <v>Gadget</v>
      </c>
      <c r="E194" s="43">
        <v>0</v>
      </c>
      <c r="F194" s="43">
        <f>_xlfn.XLOOKUP(A194,Class_Players!A:A,Class_Players!G:G)</f>
        <v>241</v>
      </c>
      <c r="G194" s="43">
        <f t="shared" ref="G194:G229" si="45">IF(F194=0,"",E194/(F194))</f>
        <v>0</v>
      </c>
      <c r="H194" s="43">
        <f>_xlfn.XLOOKUP(A194,Class_Players!$A:$A,Class_Players!$F:$F,"")</f>
        <v>14119</v>
      </c>
      <c r="I194" s="44">
        <f t="shared" ref="I194:I229" si="46">IF(H194=0,"",E194/H194)</f>
        <v>0</v>
      </c>
      <c r="J194" s="43">
        <f t="shared" ref="J194:J229" si="47">IF(I194&gt;=0.1,1,0)</f>
        <v>0</v>
      </c>
      <c r="K194" s="44" cm="1">
        <f t="array" ref="K194">IF(D194="Gadget",_xlfn.IFS(I194&gt;=0.2,0.5,I194&gt;=0.1,0.35,I194&gt;=0.05,0.2,TRUE,0),IF(D194="Grenade",_xlfn.IFS(I194&gt;=0.2,1,I194&gt;=0.1,0.7,I194&gt;=0.05,0.4,TRUE,0),0))</f>
        <v>0</v>
      </c>
      <c r="L194" s="57">
        <f t="shared" ref="L194:L203" si="48">IF($K194=0,0,$K194 / SUMIFS($K:$K,$A:$A,$A194,$D:$D,"Gadget"))</f>
        <v>0</v>
      </c>
    </row>
    <row r="195" spans="1:12" x14ac:dyDescent="0.25">
      <c r="A195" s="42" t="str" cm="1">
        <f t="array" ref="A195">IFERROR(INDEX(_xlfn._xlws.FILTER(Class_Players!A:A,Class_Players!B:B="Engineer"),QUOTIENT(ROW()-ROW($A$2),12)+1),"")</f>
        <v>Robertois</v>
      </c>
      <c r="B195" s="42" t="str">
        <f>_xlfn.XLOOKUP(A195,Class_Players!$A:$A,Class_Players!$B:$B,"")</f>
        <v>Engineer</v>
      </c>
      <c r="C195" s="42" t="str" cm="1">
        <f t="array" ref="C195">INDEX(Lookups!$B$2:$B$13,MOD(ROW()-ROW($B$2),ROWS(Lookups!$B$2:$B$13))+1)</f>
        <v>SLM-93A (Air-Defense Launcher)</v>
      </c>
      <c r="D195" s="38" t="str">
        <f>_xlfn.XLOOKUP(C195,Analysis_Gadgets!$C:$C,Analysis_Gadgets!$B:$B)</f>
        <v>Gadget</v>
      </c>
      <c r="E195" s="43">
        <v>0</v>
      </c>
      <c r="F195" s="43">
        <f>_xlfn.XLOOKUP(A195,Class_Players!A:A,Class_Players!G:G)</f>
        <v>241</v>
      </c>
      <c r="G195" s="43">
        <f t="shared" si="45"/>
        <v>0</v>
      </c>
      <c r="H195" s="43">
        <f>_xlfn.XLOOKUP(A195,Class_Players!$A:$A,Class_Players!$F:$F,"")</f>
        <v>14119</v>
      </c>
      <c r="I195" s="44">
        <f t="shared" si="46"/>
        <v>0</v>
      </c>
      <c r="J195" s="43">
        <f t="shared" si="47"/>
        <v>0</v>
      </c>
      <c r="K195" s="44" cm="1">
        <f t="array" ref="K195">IF(D195="Gadget",_xlfn.IFS(I195&gt;=0.2,0.5,I195&gt;=0.1,0.35,I195&gt;=0.05,0.2,TRUE,0),IF(D195="Grenade",_xlfn.IFS(I195&gt;=0.2,1,I195&gt;=0.1,0.7,I195&gt;=0.05,0.4,TRUE,0),0))</f>
        <v>0</v>
      </c>
      <c r="L195" s="57">
        <f t="shared" si="48"/>
        <v>0</v>
      </c>
    </row>
    <row r="196" spans="1:12" x14ac:dyDescent="0.25">
      <c r="A196" s="42" t="str" cm="1">
        <f t="array" ref="A196">IFERROR(INDEX(_xlfn._xlws.FILTER(Class_Players!A:A,Class_Players!B:B="Engineer"),QUOTIENT(ROW()-ROW($A$2),12)+1),"")</f>
        <v>Robertois</v>
      </c>
      <c r="B196" s="42" t="str">
        <f>_xlfn.XLOOKUP(A196,Class_Players!$A:$A,Class_Players!$B:$B,"")</f>
        <v>Engineer</v>
      </c>
      <c r="C196" s="42" t="str" cm="1">
        <f t="array" ref="C196">INDEX(Lookups!$B$2:$B$13,MOD(ROW()-ROW($B$2),ROWS(Lookups!$B$2:$B$13))+1)</f>
        <v>RPG-7V2 (Unguided Rocket Launcher)</v>
      </c>
      <c r="D196" s="38" t="str">
        <f>_xlfn.XLOOKUP(C196,Analysis_Gadgets!$C:$C,Analysis_Gadgets!$B:$B)</f>
        <v>Gadget</v>
      </c>
      <c r="E196" s="43">
        <v>3247</v>
      </c>
      <c r="F196" s="43">
        <f>_xlfn.XLOOKUP(A196,Class_Players!A:A,Class_Players!G:G)</f>
        <v>241</v>
      </c>
      <c r="G196" s="43">
        <f t="shared" si="45"/>
        <v>13.473029045643154</v>
      </c>
      <c r="H196" s="43">
        <f>_xlfn.XLOOKUP(A196,Class_Players!$A:$A,Class_Players!$F:$F,"")</f>
        <v>14119</v>
      </c>
      <c r="I196" s="44">
        <f t="shared" si="46"/>
        <v>0.22997379417805794</v>
      </c>
      <c r="J196" s="43">
        <f t="shared" si="47"/>
        <v>1</v>
      </c>
      <c r="K196" s="44" cm="1">
        <f t="array" ref="K196">IF(D196="Gadget",_xlfn.IFS(I196&gt;=0.2,0.5,I196&gt;=0.1,0.35,I196&gt;=0.05,0.2,TRUE,0),IF(D196="Grenade",_xlfn.IFS(I196&gt;=0.2,1,I196&gt;=0.1,0.7,I196&gt;=0.05,0.4,TRUE,0),0))</f>
        <v>0.5</v>
      </c>
      <c r="L196" s="57">
        <f t="shared" si="48"/>
        <v>0.7142857142857143</v>
      </c>
    </row>
    <row r="197" spans="1:12" x14ac:dyDescent="0.25">
      <c r="A197" s="42" t="str" cm="1">
        <f t="array" ref="A197">IFERROR(INDEX(_xlfn._xlws.FILTER(Class_Players!A:A,Class_Players!B:B="Engineer"),QUOTIENT(ROW()-ROW($A$2),12)+1),"")</f>
        <v>Robertois</v>
      </c>
      <c r="B197" s="42" t="str">
        <f>_xlfn.XLOOKUP(A197,Class_Players!$A:$A,Class_Players!$B:$B,"")</f>
        <v>Engineer</v>
      </c>
      <c r="C197" s="42" t="str" cm="1">
        <f t="array" ref="C197">INDEX(Lookups!$B$2:$B$13,MOD(ROW()-ROW($B$2),ROWS(Lookups!$B$2:$B$13))+1)</f>
        <v>MAS 148 (Long-Range Launcher)</v>
      </c>
      <c r="D197" s="38" t="str">
        <f>_xlfn.XLOOKUP(C197,Analysis_Gadgets!$C:$C,Analysis_Gadgets!$B:$B)</f>
        <v>Gadget</v>
      </c>
      <c r="E197" s="43">
        <v>0</v>
      </c>
      <c r="F197" s="43">
        <f>_xlfn.XLOOKUP(A197,Class_Players!A:A,Class_Players!G:G)</f>
        <v>241</v>
      </c>
      <c r="G197" s="43">
        <f t="shared" si="45"/>
        <v>0</v>
      </c>
      <c r="H197" s="43">
        <f>_xlfn.XLOOKUP(A197,Class_Players!$A:$A,Class_Players!$F:$F,"")</f>
        <v>14119</v>
      </c>
      <c r="I197" s="44">
        <f t="shared" si="46"/>
        <v>0</v>
      </c>
      <c r="J197" s="43">
        <f t="shared" si="47"/>
        <v>0</v>
      </c>
      <c r="K197" s="44" cm="1">
        <f t="array" ref="K197">IF(D197="Gadget",_xlfn.IFS(I197&gt;=0.2,0.5,I197&gt;=0.1,0.35,I197&gt;=0.05,0.2,TRUE,0),IF(D197="Grenade",_xlfn.IFS(I197&gt;=0.2,1,I197&gt;=0.1,0.7,I197&gt;=0.05,0.4,TRUE,0),0))</f>
        <v>0</v>
      </c>
      <c r="L197" s="57">
        <f t="shared" si="48"/>
        <v>0</v>
      </c>
    </row>
    <row r="198" spans="1:12" x14ac:dyDescent="0.25">
      <c r="A198" s="42" t="str" cm="1">
        <f t="array" ref="A198">IFERROR(INDEX(_xlfn._xlws.FILTER(Class_Players!A:A,Class_Players!B:B="Engineer"),QUOTIENT(ROW()-ROW($A$2),12)+1),"")</f>
        <v>Robertois</v>
      </c>
      <c r="B198" s="42" t="str">
        <f>_xlfn.XLOOKUP(A198,Class_Players!$A:$A,Class_Players!$B:$B,"")</f>
        <v>Engineer</v>
      </c>
      <c r="C198" s="42" t="str" cm="1">
        <f t="array" ref="C198">INDEX(Lookups!$B$2:$B$13,MOD(ROW()-ROW($B$2),ROWS(Lookups!$B$2:$B$13))+1)</f>
        <v>M136 AT (Aim-Guided Launcher)</v>
      </c>
      <c r="D198" s="38" t="str">
        <f>_xlfn.XLOOKUP(C198,Analysis_Gadgets!$C:$C,Analysis_Gadgets!$B:$B)</f>
        <v>Gadget</v>
      </c>
      <c r="E198" s="43">
        <v>2</v>
      </c>
      <c r="F198" s="43">
        <f>_xlfn.XLOOKUP(A198,Class_Players!A:A,Class_Players!G:G)</f>
        <v>241</v>
      </c>
      <c r="G198" s="43">
        <f t="shared" si="45"/>
        <v>8.2987551867219917E-3</v>
      </c>
      <c r="H198" s="43">
        <f>_xlfn.XLOOKUP(A198,Class_Players!$A:$A,Class_Players!$F:$F,"")</f>
        <v>14119</v>
      </c>
      <c r="I198" s="44">
        <f t="shared" si="46"/>
        <v>1.4165309157872371E-4</v>
      </c>
      <c r="J198" s="43">
        <f t="shared" si="47"/>
        <v>0</v>
      </c>
      <c r="K198" s="44" cm="1">
        <f t="array" ref="K198">IF(D198="Gadget",_xlfn.IFS(I198&gt;=0.2,0.5,I198&gt;=0.1,0.35,I198&gt;=0.05,0.2,TRUE,0),IF(D198="Grenade",_xlfn.IFS(I198&gt;=0.2,1,I198&gt;=0.1,0.7,I198&gt;=0.05,0.4,TRUE,0),0))</f>
        <v>0</v>
      </c>
      <c r="L198" s="57">
        <f t="shared" si="48"/>
        <v>0</v>
      </c>
    </row>
    <row r="199" spans="1:12" x14ac:dyDescent="0.25">
      <c r="A199" s="42" t="str" cm="1">
        <f t="array" ref="A199">IFERROR(INDEX(_xlfn._xlws.FILTER(Class_Players!A:A,Class_Players!B:B="Engineer"),QUOTIENT(ROW()-ROW($A$2),12)+1),"")</f>
        <v>Robertois</v>
      </c>
      <c r="B199" s="42" t="str">
        <f>_xlfn.XLOOKUP(A199,Class_Players!$A:$A,Class_Players!$B:$B,"")</f>
        <v>Engineer</v>
      </c>
      <c r="C199" s="42" t="str" cm="1">
        <f t="array" ref="C199">INDEX(Lookups!$B$2:$B$13,MOD(ROW()-ROW($B$2),ROWS(Lookups!$B$2:$B$13))+1)</f>
        <v>Supply Crate</v>
      </c>
      <c r="D199" s="38" t="str">
        <f>_xlfn.XLOOKUP(C199,Analysis_Gadgets!$C:$C,Analysis_Gadgets!$B:$B)</f>
        <v>Gadget</v>
      </c>
      <c r="E199" s="43">
        <v>6</v>
      </c>
      <c r="F199" s="43">
        <f>_xlfn.XLOOKUP(A199,Class_Players!A:A,Class_Players!G:G)</f>
        <v>241</v>
      </c>
      <c r="G199" s="43">
        <f t="shared" si="45"/>
        <v>2.4896265560165973E-2</v>
      </c>
      <c r="H199" s="43">
        <f>_xlfn.XLOOKUP(A199,Class_Players!$A:$A,Class_Players!$F:$F,"")</f>
        <v>14119</v>
      </c>
      <c r="I199" s="44">
        <f t="shared" si="46"/>
        <v>4.2495927473617113E-4</v>
      </c>
      <c r="J199" s="43">
        <f t="shared" si="47"/>
        <v>0</v>
      </c>
      <c r="K199" s="44" cm="1">
        <f t="array" ref="K199">IF(D199="Gadget",_xlfn.IFS(I199&gt;=0.2,0.5,I199&gt;=0.1,0.35,I199&gt;=0.05,0.2,TRUE,0),IF(D199="Grenade",_xlfn.IFS(I199&gt;=0.2,1,I199&gt;=0.1,0.7,I199&gt;=0.05,0.4,TRUE,0),0))</f>
        <v>0</v>
      </c>
      <c r="L199" s="57">
        <f t="shared" si="48"/>
        <v>0</v>
      </c>
    </row>
    <row r="200" spans="1:12" x14ac:dyDescent="0.25">
      <c r="A200" s="42" t="str" cm="1">
        <f t="array" ref="A200">IFERROR(INDEX(_xlfn._xlws.FILTER(Class_Players!A:A,Class_Players!B:B="Engineer"),QUOTIENT(ROW()-ROW($A$2),12)+1),"")</f>
        <v>Robertois</v>
      </c>
      <c r="B200" s="42" t="str">
        <f>_xlfn.XLOOKUP(A200,Class_Players!$A:$A,Class_Players!$B:$B,"")</f>
        <v>Engineer</v>
      </c>
      <c r="C200" s="42" t="str" cm="1">
        <f t="array" ref="C200">INDEX(Lookups!$B$2:$B$13,MOD(ROW()-ROW($B$2),ROWS(Lookups!$B$2:$B$13))+1)</f>
        <v>M15 (Anti-Vehicle Mine)</v>
      </c>
      <c r="D200" s="38" t="str">
        <f>_xlfn.XLOOKUP(C200,Analysis_Gadgets!$C:$C,Analysis_Gadgets!$B:$B)</f>
        <v>Gadget</v>
      </c>
      <c r="E200" s="43">
        <v>246</v>
      </c>
      <c r="F200" s="43">
        <f>_xlfn.XLOOKUP(A200,Class_Players!A:A,Class_Players!G:G)</f>
        <v>241</v>
      </c>
      <c r="G200" s="43">
        <f t="shared" si="45"/>
        <v>1.0207468879668049</v>
      </c>
      <c r="H200" s="43">
        <f>_xlfn.XLOOKUP(A200,Class_Players!$A:$A,Class_Players!$F:$F,"")</f>
        <v>14119</v>
      </c>
      <c r="I200" s="44">
        <f t="shared" si="46"/>
        <v>1.7423330264183017E-2</v>
      </c>
      <c r="J200" s="43">
        <f t="shared" si="47"/>
        <v>0</v>
      </c>
      <c r="K200" s="44" cm="1">
        <f t="array" ref="K200">IF(D200="Gadget",_xlfn.IFS(I200&gt;=0.2,0.5,I200&gt;=0.1,0.35,I200&gt;=0.05,0.2,TRUE,0),IF(D200="Grenade",_xlfn.IFS(I200&gt;=0.2,1,I200&gt;=0.1,0.7,I200&gt;=0.05,0.4,TRUE,0),0))</f>
        <v>0</v>
      </c>
      <c r="L200" s="57">
        <f t="shared" si="48"/>
        <v>0</v>
      </c>
    </row>
    <row r="201" spans="1:12" x14ac:dyDescent="0.25">
      <c r="A201" s="42" t="str" cm="1">
        <f t="array" ref="A201">IFERROR(INDEX(_xlfn._xlws.FILTER(Class_Players!A:A,Class_Players!B:B="Engineer"),QUOTIENT(ROW()-ROW($A$2),12)+1),"")</f>
        <v>Robertois</v>
      </c>
      <c r="B201" s="42" t="str">
        <f>_xlfn.XLOOKUP(A201,Class_Players!$A:$A,Class_Players!$B:$B,"")</f>
        <v>Engineer</v>
      </c>
      <c r="C201" s="42" t="str" cm="1">
        <f t="array" ref="C201">INDEX(Lookups!$B$2:$B$13,MOD(ROW()-ROW($B$2),ROWS(Lookups!$B$2:$B$13))+1)</f>
        <v>PTKM-1R (Acoustic Sensor AV Mine)</v>
      </c>
      <c r="D201" s="38" t="str">
        <f>_xlfn.XLOOKUP(C201,Analysis_Gadgets!$C:$C,Analysis_Gadgets!$B:$B)</f>
        <v>Gadget</v>
      </c>
      <c r="E201" s="43">
        <v>837</v>
      </c>
      <c r="F201" s="43">
        <f>_xlfn.XLOOKUP(A201,Class_Players!A:A,Class_Players!G:G)</f>
        <v>241</v>
      </c>
      <c r="G201" s="43">
        <f t="shared" si="45"/>
        <v>3.4730290456431536</v>
      </c>
      <c r="H201" s="43">
        <f>_xlfn.XLOOKUP(A201,Class_Players!$A:$A,Class_Players!$F:$F,"")</f>
        <v>14119</v>
      </c>
      <c r="I201" s="44">
        <f t="shared" si="46"/>
        <v>5.9281818825695873E-2</v>
      </c>
      <c r="J201" s="43">
        <f t="shared" si="47"/>
        <v>0</v>
      </c>
      <c r="K201" s="44" cm="1">
        <f t="array" ref="K201">IF(D201="Gadget",_xlfn.IFS(I201&gt;=0.2,0.5,I201&gt;=0.1,0.35,I201&gt;=0.05,0.2,TRUE,0),IF(D201="Grenade",_xlfn.IFS(I201&gt;=0.2,1,I201&gt;=0.1,0.7,I201&gt;=0.05,0.4,TRUE,0),0))</f>
        <v>0.2</v>
      </c>
      <c r="L201" s="57">
        <f t="shared" si="48"/>
        <v>0.28571428571428575</v>
      </c>
    </row>
    <row r="202" spans="1:12" x14ac:dyDescent="0.25">
      <c r="A202" s="42" t="str" cm="1">
        <f t="array" ref="A202">IFERROR(INDEX(_xlfn._xlws.FILTER(Class_Players!A:A,Class_Players!B:B="Engineer"),QUOTIENT(ROW()-ROW($A$2),12)+1),"")</f>
        <v>Robertois</v>
      </c>
      <c r="B202" s="42" t="str">
        <f>_xlfn.XLOOKUP(A202,Class_Players!$A:$A,Class_Players!$B:$B,"")</f>
        <v>Engineer</v>
      </c>
      <c r="C202" s="42" t="str" cm="1">
        <f t="array" ref="C202">INDEX(Lookups!$B$2:$B$13,MOD(ROW()-ROW($B$2),ROWS(Lookups!$B$2:$B$13))+1)</f>
        <v>EOD Bot</v>
      </c>
      <c r="D202" s="38" t="str">
        <f>_xlfn.XLOOKUP(C202,Analysis_Gadgets!$C:$C,Analysis_Gadgets!$B:$B)</f>
        <v>Gadget</v>
      </c>
      <c r="E202" s="43">
        <v>3</v>
      </c>
      <c r="F202" s="43">
        <f>_xlfn.XLOOKUP(A202,Class_Players!A:A,Class_Players!G:G)</f>
        <v>241</v>
      </c>
      <c r="G202" s="43">
        <f t="shared" si="45"/>
        <v>1.2448132780082987E-2</v>
      </c>
      <c r="H202" s="43">
        <f>_xlfn.XLOOKUP(A202,Class_Players!$A:$A,Class_Players!$F:$F,"")</f>
        <v>14119</v>
      </c>
      <c r="I202" s="44">
        <f t="shared" si="46"/>
        <v>2.1247963736808557E-4</v>
      </c>
      <c r="J202" s="43">
        <f t="shared" si="47"/>
        <v>0</v>
      </c>
      <c r="K202" s="44" cm="1">
        <f t="array" ref="K202">IF(D202="Gadget",_xlfn.IFS(I202&gt;=0.2,0.5,I202&gt;=0.1,0.35,I202&gt;=0.05,0.2,TRUE,0),IF(D202="Grenade",_xlfn.IFS(I202&gt;=0.2,1,I202&gt;=0.1,0.7,I202&gt;=0.05,0.4,TRUE,0),0))</f>
        <v>0</v>
      </c>
      <c r="L202" s="57">
        <f t="shared" si="48"/>
        <v>0</v>
      </c>
    </row>
    <row r="203" spans="1:12" x14ac:dyDescent="0.25">
      <c r="A203" s="42" t="str" cm="1">
        <f t="array" ref="A203">IFERROR(INDEX(_xlfn._xlws.FILTER(Class_Players!A:A,Class_Players!B:B="Engineer"),QUOTIENT(ROW()-ROW($A$2),12)+1),"")</f>
        <v>Robertois</v>
      </c>
      <c r="B203" s="42" t="str">
        <f>_xlfn.XLOOKUP(A203,Class_Players!$A:$A,Class_Players!$B:$B,"")</f>
        <v>Engineer</v>
      </c>
      <c r="C203" s="42" t="str" cm="1">
        <f t="array" ref="C203">INDEX(Lookups!$B$2:$B$13,MOD(ROW()-ROW($B$2),ROWS(Lookups!$B$2:$B$13))+1)</f>
        <v>M4A1 SLAM (Tripwire Sensor AV Mine)</v>
      </c>
      <c r="D203" s="38" t="str">
        <f>_xlfn.XLOOKUP(C203,Analysis_Gadgets!$C:$C,Analysis_Gadgets!$B:$B)</f>
        <v>Gadget</v>
      </c>
      <c r="E203" s="43">
        <v>0</v>
      </c>
      <c r="F203" s="43">
        <f>_xlfn.XLOOKUP(A203,Class_Players!A:A,Class_Players!G:G)</f>
        <v>241</v>
      </c>
      <c r="G203" s="43">
        <f t="shared" si="45"/>
        <v>0</v>
      </c>
      <c r="H203" s="43">
        <f>_xlfn.XLOOKUP(A203,Class_Players!$A:$A,Class_Players!$F:$F,"")</f>
        <v>14119</v>
      </c>
      <c r="I203" s="44">
        <f t="shared" si="46"/>
        <v>0</v>
      </c>
      <c r="J203" s="43">
        <f t="shared" si="47"/>
        <v>0</v>
      </c>
      <c r="K203" s="44" cm="1">
        <f t="array" ref="K203">IF(D203="Gadget",_xlfn.IFS(I203&gt;=0.2,0.5,I203&gt;=0.1,0.35,I203&gt;=0.05,0.2,TRUE,0),IF(D203="Grenade",_xlfn.IFS(I203&gt;=0.2,1,I203&gt;=0.1,0.7,I203&gt;=0.05,0.4,TRUE,0),0))</f>
        <v>0</v>
      </c>
      <c r="L203" s="57">
        <f t="shared" si="48"/>
        <v>0</v>
      </c>
    </row>
    <row r="204" spans="1:12" x14ac:dyDescent="0.25">
      <c r="A204" s="42" t="str" cm="1">
        <f t="array" ref="A204">IFERROR(INDEX(_xlfn._xlws.FILTER(Class_Players!A:A,Class_Players!B:B="Engineer"),QUOTIENT(ROW()-ROW($A$2),12)+1),"")</f>
        <v>Robertois</v>
      </c>
      <c r="B204" s="42" t="str">
        <f>_xlfn.XLOOKUP(A204,Class_Players!$A:$A,Class_Players!$B:$B,"")</f>
        <v>Engineer</v>
      </c>
      <c r="C204" s="42" t="str" cm="1">
        <f t="array" ref="C204">INDEX(Lookups!$B$2:$B$13,MOD(ROW()-ROW($B$2),ROWS(Lookups!$B$2:$B$13))+1)</f>
        <v>Mini Frag Grenade</v>
      </c>
      <c r="D204" s="38" t="str">
        <f>_xlfn.XLOOKUP(C204,Analysis_Gadgets!$C:$C,Analysis_Gadgets!$B:$B)</f>
        <v>Grenade</v>
      </c>
      <c r="E204" s="43">
        <v>0</v>
      </c>
      <c r="F204" s="43">
        <f>_xlfn.XLOOKUP(A204,Class_Players!A:A,Class_Players!G:G)</f>
        <v>241</v>
      </c>
      <c r="G204" s="43">
        <f t="shared" si="45"/>
        <v>0</v>
      </c>
      <c r="H204" s="43">
        <f>_xlfn.XLOOKUP(A204,Class_Players!$A:$A,Class_Players!$F:$F,"")</f>
        <v>14119</v>
      </c>
      <c r="I204" s="44">
        <f t="shared" si="46"/>
        <v>0</v>
      </c>
      <c r="J204" s="43">
        <f t="shared" si="47"/>
        <v>0</v>
      </c>
      <c r="K204" s="44" cm="1">
        <f t="array" ref="K204">IF(D204="Gadget",_xlfn.IFS(I204&gt;=0.2,0.5,I204&gt;=0.1,0.35,I204&gt;=0.05,0.2,TRUE,0),IF(D204="Grenade",_xlfn.IFS(I204&gt;=0.2,1,I204&gt;=0.1,0.7,I204&gt;=0.05,0.4,TRUE,0),0))</f>
        <v>0</v>
      </c>
      <c r="L204" s="57">
        <f t="shared" ref="L204:L205" si="49">IF($K204=0,0,$K204 / SUMIFS($K:$K,$A:$A,$A204,$D:$D,"Grenade"))</f>
        <v>0</v>
      </c>
    </row>
    <row r="205" spans="1:12" x14ac:dyDescent="0.25">
      <c r="A205" s="42" t="str" cm="1">
        <f t="array" ref="A205">IFERROR(INDEX(_xlfn._xlws.FILTER(Class_Players!A:A,Class_Players!B:B="Engineer"),QUOTIENT(ROW()-ROW($A$2),12)+1),"")</f>
        <v>Robertois</v>
      </c>
      <c r="B205" s="42" t="str">
        <f>_xlfn.XLOOKUP(A205,Class_Players!$A:$A,Class_Players!$B:$B,"")</f>
        <v>Engineer</v>
      </c>
      <c r="C205" s="42" t="str" cm="1">
        <f t="array" ref="C205">INDEX(Lookups!$B$2:$B$13,MOD(ROW()-ROW($B$2),ROWS(Lookups!$B$2:$B$13))+1)</f>
        <v>Anti-Vehicle Grenade</v>
      </c>
      <c r="D205" s="38" t="str">
        <f>_xlfn.XLOOKUP(C205,Analysis_Gadgets!$C:$C,Analysis_Gadgets!$B:$B)</f>
        <v>Grenade</v>
      </c>
      <c r="E205" s="43">
        <v>0</v>
      </c>
      <c r="F205" s="43">
        <f>_xlfn.XLOOKUP(A205,Class_Players!A:A,Class_Players!G:G)</f>
        <v>241</v>
      </c>
      <c r="G205" s="43">
        <f t="shared" si="45"/>
        <v>0</v>
      </c>
      <c r="H205" s="43">
        <f>_xlfn.XLOOKUP(A205,Class_Players!$A:$A,Class_Players!$F:$F,"")</f>
        <v>14119</v>
      </c>
      <c r="I205" s="44">
        <f t="shared" si="46"/>
        <v>0</v>
      </c>
      <c r="J205" s="43">
        <f t="shared" si="47"/>
        <v>0</v>
      </c>
      <c r="K205" s="44" cm="1">
        <f t="array" ref="K205">IF(D205="Gadget",_xlfn.IFS(I205&gt;=0.2,0.5,I205&gt;=0.1,0.35,I205&gt;=0.05,0.2,TRUE,0),IF(D205="Grenade",_xlfn.IFS(I205&gt;=0.2,1,I205&gt;=0.1,0.7,I205&gt;=0.05,0.4,TRUE,0),0))</f>
        <v>0</v>
      </c>
      <c r="L205" s="57">
        <f t="shared" si="49"/>
        <v>0</v>
      </c>
    </row>
    <row r="206" spans="1:12" x14ac:dyDescent="0.25">
      <c r="A206" s="42" t="str" cm="1">
        <f t="array" ref="A206">IFERROR(INDEX(_xlfn._xlws.FILTER(Class_Players!A:A,Class_Players!B:B="Engineer"),QUOTIENT(ROW()-ROW($A$2),12)+1),"")</f>
        <v>SrMuTe-</v>
      </c>
      <c r="B206" s="42" t="str">
        <f>_xlfn.XLOOKUP(A206,Class_Players!$A:$A,Class_Players!$B:$B,"")</f>
        <v>Engineer</v>
      </c>
      <c r="C206" s="42" t="str" cm="1">
        <f t="array" ref="C206">INDEX(Lookups!$B$2:$B$13,MOD(ROW()-ROW($B$2),ROWS(Lookups!$B$2:$B$13))+1)</f>
        <v>MBT-LAW (Auto-Guided Launcher)</v>
      </c>
      <c r="D206" s="38" t="str">
        <f>_xlfn.XLOOKUP(C206,Analysis_Gadgets!$C:$C,Analysis_Gadgets!$B:$B)</f>
        <v>Gadget</v>
      </c>
      <c r="E206" s="43">
        <v>0</v>
      </c>
      <c r="F206" s="43">
        <f>_xlfn.XLOOKUP(A206,Class_Players!A:A,Class_Players!G:G)</f>
        <v>272</v>
      </c>
      <c r="G206" s="43">
        <f t="shared" si="45"/>
        <v>0</v>
      </c>
      <c r="H206" s="43">
        <f>_xlfn.XLOOKUP(A206,Class_Players!$A:$A,Class_Players!$F:$F,"")</f>
        <v>13483</v>
      </c>
      <c r="I206" s="44">
        <f t="shared" si="46"/>
        <v>0</v>
      </c>
      <c r="J206" s="43">
        <f t="shared" si="47"/>
        <v>0</v>
      </c>
      <c r="K206" s="44" cm="1">
        <f t="array" ref="K206">IF(D206="Gadget",_xlfn.IFS(I206&gt;=0.2,0.5,I206&gt;=0.1,0.35,I206&gt;=0.05,0.2,TRUE,0),IF(D206="Grenade",_xlfn.IFS(I206&gt;=0.2,1,I206&gt;=0.1,0.7,I206&gt;=0.05,0.4,TRUE,0),0))</f>
        <v>0</v>
      </c>
      <c r="L206" s="57">
        <f t="shared" ref="L206:L215" si="50">IF($K206=0,0,$K206 / SUMIFS($K:$K,$A:$A,$A206,$D:$D,"Gadget"))</f>
        <v>0</v>
      </c>
    </row>
    <row r="207" spans="1:12" x14ac:dyDescent="0.25">
      <c r="A207" s="42" t="str" cm="1">
        <f t="array" ref="A207">IFERROR(INDEX(_xlfn._xlws.FILTER(Class_Players!A:A,Class_Players!B:B="Engineer"),QUOTIENT(ROW()-ROW($A$2),12)+1),"")</f>
        <v>SrMuTe-</v>
      </c>
      <c r="B207" s="42" t="str">
        <f>_xlfn.XLOOKUP(A207,Class_Players!$A:$A,Class_Players!$B:$B,"")</f>
        <v>Engineer</v>
      </c>
      <c r="C207" s="42" t="str" cm="1">
        <f t="array" ref="C207">INDEX(Lookups!$B$2:$B$13,MOD(ROW()-ROW($B$2),ROWS(Lookups!$B$2:$B$13))+1)</f>
        <v>SLM-93A (Air-Defense Launcher)</v>
      </c>
      <c r="D207" s="38" t="str">
        <f>_xlfn.XLOOKUP(C207,Analysis_Gadgets!$C:$C,Analysis_Gadgets!$B:$B)</f>
        <v>Gadget</v>
      </c>
      <c r="E207" s="43">
        <v>169</v>
      </c>
      <c r="F207" s="43">
        <f>_xlfn.XLOOKUP(A207,Class_Players!A:A,Class_Players!G:G)</f>
        <v>272</v>
      </c>
      <c r="G207" s="43">
        <f t="shared" si="45"/>
        <v>0.62132352941176472</v>
      </c>
      <c r="H207" s="43">
        <f>_xlfn.XLOOKUP(A207,Class_Players!$A:$A,Class_Players!$F:$F,"")</f>
        <v>13483</v>
      </c>
      <c r="I207" s="44">
        <f t="shared" si="46"/>
        <v>1.2534302454943263E-2</v>
      </c>
      <c r="J207" s="43">
        <f t="shared" si="47"/>
        <v>0</v>
      </c>
      <c r="K207" s="44" cm="1">
        <f t="array" ref="K207">IF(D207="Gadget",_xlfn.IFS(I207&gt;=0.2,0.5,I207&gt;=0.1,0.35,I207&gt;=0.05,0.2,TRUE,0),IF(D207="Grenade",_xlfn.IFS(I207&gt;=0.2,1,I207&gt;=0.1,0.7,I207&gt;=0.05,0.4,TRUE,0),0))</f>
        <v>0</v>
      </c>
      <c r="L207" s="57">
        <f t="shared" si="50"/>
        <v>0</v>
      </c>
    </row>
    <row r="208" spans="1:12" x14ac:dyDescent="0.25">
      <c r="A208" s="42" t="str" cm="1">
        <f t="array" ref="A208">IFERROR(INDEX(_xlfn._xlws.FILTER(Class_Players!A:A,Class_Players!B:B="Engineer"),QUOTIENT(ROW()-ROW($A$2),12)+1),"")</f>
        <v>SrMuTe-</v>
      </c>
      <c r="B208" s="42" t="str">
        <f>_xlfn.XLOOKUP(A208,Class_Players!$A:$A,Class_Players!$B:$B,"")</f>
        <v>Engineer</v>
      </c>
      <c r="C208" s="42" t="str" cm="1">
        <f t="array" ref="C208">INDEX(Lookups!$B$2:$B$13,MOD(ROW()-ROW($B$2),ROWS(Lookups!$B$2:$B$13))+1)</f>
        <v>RPG-7V2 (Unguided Rocket Launcher)</v>
      </c>
      <c r="D208" s="38" t="str">
        <f>_xlfn.XLOOKUP(C208,Analysis_Gadgets!$C:$C,Analysis_Gadgets!$B:$B)</f>
        <v>Gadget</v>
      </c>
      <c r="E208" s="43">
        <v>16205</v>
      </c>
      <c r="F208" s="43">
        <f>_xlfn.XLOOKUP(A208,Class_Players!A:A,Class_Players!G:G)</f>
        <v>272</v>
      </c>
      <c r="G208" s="43">
        <f t="shared" si="45"/>
        <v>59.577205882352942</v>
      </c>
      <c r="H208" s="43">
        <f>_xlfn.XLOOKUP(A208,Class_Players!$A:$A,Class_Players!$F:$F,"")</f>
        <v>13483</v>
      </c>
      <c r="I208" s="44">
        <f t="shared" si="46"/>
        <v>1.2018838537417489</v>
      </c>
      <c r="J208" s="43">
        <f t="shared" si="47"/>
        <v>1</v>
      </c>
      <c r="K208" s="44" cm="1">
        <f t="array" ref="K208">IF(D208="Gadget",_xlfn.IFS(I208&gt;=0.2,0.5,I208&gt;=0.1,0.35,I208&gt;=0.05,0.2,TRUE,0),IF(D208="Grenade",_xlfn.IFS(I208&gt;=0.2,1,I208&gt;=0.1,0.7,I208&gt;=0.05,0.4,TRUE,0),0))</f>
        <v>0.5</v>
      </c>
      <c r="L208" s="57">
        <f t="shared" si="50"/>
        <v>1</v>
      </c>
    </row>
    <row r="209" spans="1:12" x14ac:dyDescent="0.25">
      <c r="A209" s="42" t="str" cm="1">
        <f t="array" ref="A209">IFERROR(INDEX(_xlfn._xlws.FILTER(Class_Players!A:A,Class_Players!B:B="Engineer"),QUOTIENT(ROW()-ROW($A$2),12)+1),"")</f>
        <v>SrMuTe-</v>
      </c>
      <c r="B209" s="42" t="str">
        <f>_xlfn.XLOOKUP(A209,Class_Players!$A:$A,Class_Players!$B:$B,"")</f>
        <v>Engineer</v>
      </c>
      <c r="C209" s="42" t="str" cm="1">
        <f t="array" ref="C209">INDEX(Lookups!$B$2:$B$13,MOD(ROW()-ROW($B$2),ROWS(Lookups!$B$2:$B$13))+1)</f>
        <v>MAS 148 (Long-Range Launcher)</v>
      </c>
      <c r="D209" s="38" t="str">
        <f>_xlfn.XLOOKUP(C209,Analysis_Gadgets!$C:$C,Analysis_Gadgets!$B:$B)</f>
        <v>Gadget</v>
      </c>
      <c r="E209" s="43">
        <v>35</v>
      </c>
      <c r="F209" s="43">
        <f>_xlfn.XLOOKUP(A209,Class_Players!A:A,Class_Players!G:G)</f>
        <v>272</v>
      </c>
      <c r="G209" s="43">
        <f t="shared" si="45"/>
        <v>0.12867647058823528</v>
      </c>
      <c r="H209" s="43">
        <f>_xlfn.XLOOKUP(A209,Class_Players!$A:$A,Class_Players!$F:$F,"")</f>
        <v>13483</v>
      </c>
      <c r="I209" s="44">
        <f t="shared" si="46"/>
        <v>2.5958614551657641E-3</v>
      </c>
      <c r="J209" s="43">
        <f t="shared" si="47"/>
        <v>0</v>
      </c>
      <c r="K209" s="44" cm="1">
        <f t="array" ref="K209">IF(D209="Gadget",_xlfn.IFS(I209&gt;=0.2,0.5,I209&gt;=0.1,0.35,I209&gt;=0.05,0.2,TRUE,0),IF(D209="Grenade",_xlfn.IFS(I209&gt;=0.2,1,I209&gt;=0.1,0.7,I209&gt;=0.05,0.4,TRUE,0),0))</f>
        <v>0</v>
      </c>
      <c r="L209" s="57">
        <f t="shared" si="50"/>
        <v>0</v>
      </c>
    </row>
    <row r="210" spans="1:12" x14ac:dyDescent="0.25">
      <c r="A210" s="42" t="str" cm="1">
        <f t="array" ref="A210">IFERROR(INDEX(_xlfn._xlws.FILTER(Class_Players!A:A,Class_Players!B:B="Engineer"),QUOTIENT(ROW()-ROW($A$2),12)+1),"")</f>
        <v>SrMuTe-</v>
      </c>
      <c r="B210" s="42" t="str">
        <f>_xlfn.XLOOKUP(A210,Class_Players!$A:$A,Class_Players!$B:$B,"")</f>
        <v>Engineer</v>
      </c>
      <c r="C210" s="42" t="str" cm="1">
        <f t="array" ref="C210">INDEX(Lookups!$B$2:$B$13,MOD(ROW()-ROW($B$2),ROWS(Lookups!$B$2:$B$13))+1)</f>
        <v>M136 AT (Aim-Guided Launcher)</v>
      </c>
      <c r="D210" s="38" t="str">
        <f>_xlfn.XLOOKUP(C210,Analysis_Gadgets!$C:$C,Analysis_Gadgets!$B:$B)</f>
        <v>Gadget</v>
      </c>
      <c r="E210" s="43">
        <v>104</v>
      </c>
      <c r="F210" s="43">
        <f>_xlfn.XLOOKUP(A210,Class_Players!A:A,Class_Players!G:G)</f>
        <v>272</v>
      </c>
      <c r="G210" s="43">
        <f t="shared" si="45"/>
        <v>0.38235294117647056</v>
      </c>
      <c r="H210" s="43">
        <f>_xlfn.XLOOKUP(A210,Class_Players!$A:$A,Class_Players!$F:$F,"")</f>
        <v>13483</v>
      </c>
      <c r="I210" s="44">
        <f t="shared" si="46"/>
        <v>7.7134168953496996E-3</v>
      </c>
      <c r="J210" s="43">
        <f t="shared" si="47"/>
        <v>0</v>
      </c>
      <c r="K210" s="44" cm="1">
        <f t="array" ref="K210">IF(D210="Gadget",_xlfn.IFS(I210&gt;=0.2,0.5,I210&gt;=0.1,0.35,I210&gt;=0.05,0.2,TRUE,0),IF(D210="Grenade",_xlfn.IFS(I210&gt;=0.2,1,I210&gt;=0.1,0.7,I210&gt;=0.05,0.4,TRUE,0),0))</f>
        <v>0</v>
      </c>
      <c r="L210" s="57">
        <f t="shared" si="50"/>
        <v>0</v>
      </c>
    </row>
    <row r="211" spans="1:12" x14ac:dyDescent="0.25">
      <c r="A211" s="42" t="str" cm="1">
        <f t="array" ref="A211">IFERROR(INDEX(_xlfn._xlws.FILTER(Class_Players!A:A,Class_Players!B:B="Engineer"),QUOTIENT(ROW()-ROW($A$2),12)+1),"")</f>
        <v>SrMuTe-</v>
      </c>
      <c r="B211" s="42" t="str">
        <f>_xlfn.XLOOKUP(A211,Class_Players!$A:$A,Class_Players!$B:$B,"")</f>
        <v>Engineer</v>
      </c>
      <c r="C211" s="42" t="str" cm="1">
        <f t="array" ref="C211">INDEX(Lookups!$B$2:$B$13,MOD(ROW()-ROW($B$2),ROWS(Lookups!$B$2:$B$13))+1)</f>
        <v>Supply Crate</v>
      </c>
      <c r="D211" s="38" t="str">
        <f>_xlfn.XLOOKUP(C211,Analysis_Gadgets!$C:$C,Analysis_Gadgets!$B:$B)</f>
        <v>Gadget</v>
      </c>
      <c r="E211" s="43">
        <v>176</v>
      </c>
      <c r="F211" s="43">
        <f>_xlfn.XLOOKUP(A211,Class_Players!A:A,Class_Players!G:G)</f>
        <v>272</v>
      </c>
      <c r="G211" s="43">
        <f t="shared" si="45"/>
        <v>0.6470588235294118</v>
      </c>
      <c r="H211" s="43">
        <f>_xlfn.XLOOKUP(A211,Class_Players!$A:$A,Class_Players!$F:$F,"")</f>
        <v>13483</v>
      </c>
      <c r="I211" s="44">
        <f t="shared" si="46"/>
        <v>1.3053474745976415E-2</v>
      </c>
      <c r="J211" s="43">
        <f t="shared" si="47"/>
        <v>0</v>
      </c>
      <c r="K211" s="44" cm="1">
        <f t="array" ref="K211">IF(D211="Gadget",_xlfn.IFS(I211&gt;=0.2,0.5,I211&gt;=0.1,0.35,I211&gt;=0.05,0.2,TRUE,0),IF(D211="Grenade",_xlfn.IFS(I211&gt;=0.2,1,I211&gt;=0.1,0.7,I211&gt;=0.05,0.4,TRUE,0),0))</f>
        <v>0</v>
      </c>
      <c r="L211" s="57">
        <f t="shared" si="50"/>
        <v>0</v>
      </c>
    </row>
    <row r="212" spans="1:12" x14ac:dyDescent="0.25">
      <c r="A212" s="42" t="str" cm="1">
        <f t="array" ref="A212">IFERROR(INDEX(_xlfn._xlws.FILTER(Class_Players!A:A,Class_Players!B:B="Engineer"),QUOTIENT(ROW()-ROW($A$2),12)+1),"")</f>
        <v>SrMuTe-</v>
      </c>
      <c r="B212" s="42" t="str">
        <f>_xlfn.XLOOKUP(A212,Class_Players!$A:$A,Class_Players!$B:$B,"")</f>
        <v>Engineer</v>
      </c>
      <c r="C212" s="42" t="str" cm="1">
        <f t="array" ref="C212">INDEX(Lookups!$B$2:$B$13,MOD(ROW()-ROW($B$2),ROWS(Lookups!$B$2:$B$13))+1)</f>
        <v>M15 (Anti-Vehicle Mine)</v>
      </c>
      <c r="D212" s="38" t="str">
        <f>_xlfn.XLOOKUP(C212,Analysis_Gadgets!$C:$C,Analysis_Gadgets!$B:$B)</f>
        <v>Gadget</v>
      </c>
      <c r="E212" s="43">
        <v>68</v>
      </c>
      <c r="F212" s="43">
        <f>_xlfn.XLOOKUP(A212,Class_Players!A:A,Class_Players!G:G)</f>
        <v>272</v>
      </c>
      <c r="G212" s="43">
        <f t="shared" si="45"/>
        <v>0.25</v>
      </c>
      <c r="H212" s="43">
        <f>_xlfn.XLOOKUP(A212,Class_Players!$A:$A,Class_Players!$F:$F,"")</f>
        <v>13483</v>
      </c>
      <c r="I212" s="44">
        <f t="shared" si="46"/>
        <v>5.0433879700363419E-3</v>
      </c>
      <c r="J212" s="43">
        <f t="shared" si="47"/>
        <v>0</v>
      </c>
      <c r="K212" s="44" cm="1">
        <f t="array" ref="K212">IF(D212="Gadget",_xlfn.IFS(I212&gt;=0.2,0.5,I212&gt;=0.1,0.35,I212&gt;=0.05,0.2,TRUE,0),IF(D212="Grenade",_xlfn.IFS(I212&gt;=0.2,1,I212&gt;=0.1,0.7,I212&gt;=0.05,0.4,TRUE,0),0))</f>
        <v>0</v>
      </c>
      <c r="L212" s="57">
        <f t="shared" si="50"/>
        <v>0</v>
      </c>
    </row>
    <row r="213" spans="1:12" x14ac:dyDescent="0.25">
      <c r="A213" s="42" t="str" cm="1">
        <f t="array" ref="A213">IFERROR(INDEX(_xlfn._xlws.FILTER(Class_Players!A:A,Class_Players!B:B="Engineer"),QUOTIENT(ROW()-ROW($A$2),12)+1),"")</f>
        <v>SrMuTe-</v>
      </c>
      <c r="B213" s="42" t="str">
        <f>_xlfn.XLOOKUP(A213,Class_Players!$A:$A,Class_Players!$B:$B,"")</f>
        <v>Engineer</v>
      </c>
      <c r="C213" s="42" t="str" cm="1">
        <f t="array" ref="C213">INDEX(Lookups!$B$2:$B$13,MOD(ROW()-ROW($B$2),ROWS(Lookups!$B$2:$B$13))+1)</f>
        <v>PTKM-1R (Acoustic Sensor AV Mine)</v>
      </c>
      <c r="D213" s="38" t="str">
        <f>_xlfn.XLOOKUP(C213,Analysis_Gadgets!$C:$C,Analysis_Gadgets!$B:$B)</f>
        <v>Gadget</v>
      </c>
      <c r="E213" s="43">
        <v>652</v>
      </c>
      <c r="F213" s="43">
        <f>_xlfn.XLOOKUP(A213,Class_Players!A:A,Class_Players!G:G)</f>
        <v>272</v>
      </c>
      <c r="G213" s="43">
        <f t="shared" si="45"/>
        <v>2.3970588235294117</v>
      </c>
      <c r="H213" s="43">
        <f>_xlfn.XLOOKUP(A213,Class_Players!$A:$A,Class_Players!$F:$F,"")</f>
        <v>13483</v>
      </c>
      <c r="I213" s="44">
        <f t="shared" si="46"/>
        <v>4.8357190536230811E-2</v>
      </c>
      <c r="J213" s="43">
        <f t="shared" si="47"/>
        <v>0</v>
      </c>
      <c r="K213" s="44" cm="1">
        <f t="array" ref="K213">IF(D213="Gadget",_xlfn.IFS(I213&gt;=0.2,0.5,I213&gt;=0.1,0.35,I213&gt;=0.05,0.2,TRUE,0),IF(D213="Grenade",_xlfn.IFS(I213&gt;=0.2,1,I213&gt;=0.1,0.7,I213&gt;=0.05,0.4,TRUE,0),0))</f>
        <v>0</v>
      </c>
      <c r="L213" s="57">
        <f t="shared" si="50"/>
        <v>0</v>
      </c>
    </row>
    <row r="214" spans="1:12" x14ac:dyDescent="0.25">
      <c r="A214" s="42" t="str" cm="1">
        <f t="array" ref="A214">IFERROR(INDEX(_xlfn._xlws.FILTER(Class_Players!A:A,Class_Players!B:B="Engineer"),QUOTIENT(ROW()-ROW($A$2),12)+1),"")</f>
        <v>SrMuTe-</v>
      </c>
      <c r="B214" s="42" t="str">
        <f>_xlfn.XLOOKUP(A214,Class_Players!$A:$A,Class_Players!$B:$B,"")</f>
        <v>Engineer</v>
      </c>
      <c r="C214" s="42" t="str" cm="1">
        <f t="array" ref="C214">INDEX(Lookups!$B$2:$B$13,MOD(ROW()-ROW($B$2),ROWS(Lookups!$B$2:$B$13))+1)</f>
        <v>EOD Bot</v>
      </c>
      <c r="D214" s="38" t="str">
        <f>_xlfn.XLOOKUP(C214,Analysis_Gadgets!$C:$C,Analysis_Gadgets!$B:$B)</f>
        <v>Gadget</v>
      </c>
      <c r="E214" s="43">
        <v>6</v>
      </c>
      <c r="F214" s="43">
        <f>_xlfn.XLOOKUP(A214,Class_Players!A:A,Class_Players!G:G)</f>
        <v>272</v>
      </c>
      <c r="G214" s="43">
        <f t="shared" si="45"/>
        <v>2.2058823529411766E-2</v>
      </c>
      <c r="H214" s="43">
        <f>_xlfn.XLOOKUP(A214,Class_Players!$A:$A,Class_Players!$F:$F,"")</f>
        <v>13483</v>
      </c>
      <c r="I214" s="44">
        <f t="shared" si="46"/>
        <v>4.450048208855596E-4</v>
      </c>
      <c r="J214" s="43">
        <f t="shared" si="47"/>
        <v>0</v>
      </c>
      <c r="K214" s="44" cm="1">
        <f t="array" ref="K214">IF(D214="Gadget",_xlfn.IFS(I214&gt;=0.2,0.5,I214&gt;=0.1,0.35,I214&gt;=0.05,0.2,TRUE,0),IF(D214="Grenade",_xlfn.IFS(I214&gt;=0.2,1,I214&gt;=0.1,0.7,I214&gt;=0.05,0.4,TRUE,0),0))</f>
        <v>0</v>
      </c>
      <c r="L214" s="57">
        <f t="shared" si="50"/>
        <v>0</v>
      </c>
    </row>
    <row r="215" spans="1:12" x14ac:dyDescent="0.25">
      <c r="A215" s="42" t="str" cm="1">
        <f t="array" ref="A215">IFERROR(INDEX(_xlfn._xlws.FILTER(Class_Players!A:A,Class_Players!B:B="Engineer"),QUOTIENT(ROW()-ROW($A$2),12)+1),"")</f>
        <v>SrMuTe-</v>
      </c>
      <c r="B215" s="42" t="str">
        <f>_xlfn.XLOOKUP(A215,Class_Players!$A:$A,Class_Players!$B:$B,"")</f>
        <v>Engineer</v>
      </c>
      <c r="C215" s="42" t="str" cm="1">
        <f t="array" ref="C215">INDEX(Lookups!$B$2:$B$13,MOD(ROW()-ROW($B$2),ROWS(Lookups!$B$2:$B$13))+1)</f>
        <v>M4A1 SLAM (Tripwire Sensor AV Mine)</v>
      </c>
      <c r="D215" s="38" t="str">
        <f>_xlfn.XLOOKUP(C215,Analysis_Gadgets!$C:$C,Analysis_Gadgets!$B:$B)</f>
        <v>Gadget</v>
      </c>
      <c r="E215" s="43">
        <v>252</v>
      </c>
      <c r="F215" s="43">
        <f>_xlfn.XLOOKUP(A215,Class_Players!A:A,Class_Players!G:G)</f>
        <v>272</v>
      </c>
      <c r="G215" s="43">
        <f t="shared" si="45"/>
        <v>0.92647058823529416</v>
      </c>
      <c r="H215" s="43">
        <f>_xlfn.XLOOKUP(A215,Class_Players!$A:$A,Class_Players!$F:$F,"")</f>
        <v>13483</v>
      </c>
      <c r="I215" s="44">
        <f t="shared" si="46"/>
        <v>1.8690202477193503E-2</v>
      </c>
      <c r="J215" s="43">
        <f t="shared" si="47"/>
        <v>0</v>
      </c>
      <c r="K215" s="44" cm="1">
        <f t="array" ref="K215">IF(D215="Gadget",_xlfn.IFS(I215&gt;=0.2,0.5,I215&gt;=0.1,0.35,I215&gt;=0.05,0.2,TRUE,0),IF(D215="Grenade",_xlfn.IFS(I215&gt;=0.2,1,I215&gt;=0.1,0.7,I215&gt;=0.05,0.4,TRUE,0),0))</f>
        <v>0</v>
      </c>
      <c r="L215" s="57">
        <f t="shared" si="50"/>
        <v>0</v>
      </c>
    </row>
    <row r="216" spans="1:12" x14ac:dyDescent="0.25">
      <c r="A216" s="42" t="str" cm="1">
        <f t="array" ref="A216">IFERROR(INDEX(_xlfn._xlws.FILTER(Class_Players!A:A,Class_Players!B:B="Engineer"),QUOTIENT(ROW()-ROW($A$2),12)+1),"")</f>
        <v>SrMuTe-</v>
      </c>
      <c r="B216" s="42" t="str">
        <f>_xlfn.XLOOKUP(A216,Class_Players!$A:$A,Class_Players!$B:$B,"")</f>
        <v>Engineer</v>
      </c>
      <c r="C216" s="42" t="str" cm="1">
        <f t="array" ref="C216">INDEX(Lookups!$B$2:$B$13,MOD(ROW()-ROW($B$2),ROWS(Lookups!$B$2:$B$13))+1)</f>
        <v>Mini Frag Grenade</v>
      </c>
      <c r="D216" s="38" t="str">
        <f>_xlfn.XLOOKUP(C216,Analysis_Gadgets!$C:$C,Analysis_Gadgets!$B:$B)</f>
        <v>Grenade</v>
      </c>
      <c r="E216" s="43">
        <v>760</v>
      </c>
      <c r="F216" s="43">
        <f>_xlfn.XLOOKUP(A216,Class_Players!A:A,Class_Players!G:G)</f>
        <v>272</v>
      </c>
      <c r="G216" s="43">
        <f t="shared" si="45"/>
        <v>2.7941176470588234</v>
      </c>
      <c r="H216" s="43">
        <f>_xlfn.XLOOKUP(A216,Class_Players!$A:$A,Class_Players!$F:$F,"")</f>
        <v>13483</v>
      </c>
      <c r="I216" s="44">
        <f t="shared" si="46"/>
        <v>5.636727731217088E-2</v>
      </c>
      <c r="J216" s="43">
        <f t="shared" si="47"/>
        <v>0</v>
      </c>
      <c r="K216" s="44" cm="1">
        <f t="array" ref="K216">IF(D216="Gadget",_xlfn.IFS(I216&gt;=0.2,0.5,I216&gt;=0.1,0.35,I216&gt;=0.05,0.2,TRUE,0),IF(D216="Grenade",_xlfn.IFS(I216&gt;=0.2,1,I216&gt;=0.1,0.7,I216&gt;=0.05,0.4,TRUE,0),0))</f>
        <v>0.4</v>
      </c>
      <c r="L216" s="57">
        <f t="shared" ref="L216:L217" si="51">IF($K216=0,0,$K216 / SUMIFS($K:$K,$A:$A,$A216,$D:$D,"Grenade"))</f>
        <v>1</v>
      </c>
    </row>
    <row r="217" spans="1:12" x14ac:dyDescent="0.25">
      <c r="A217" s="42" t="str" cm="1">
        <f t="array" ref="A217">IFERROR(INDEX(_xlfn._xlws.FILTER(Class_Players!A:A,Class_Players!B:B="Engineer"),QUOTIENT(ROW()-ROW($A$2),12)+1),"")</f>
        <v>SrMuTe-</v>
      </c>
      <c r="B217" s="42" t="str">
        <f>_xlfn.XLOOKUP(A217,Class_Players!$A:$A,Class_Players!$B:$B,"")</f>
        <v>Engineer</v>
      </c>
      <c r="C217" s="42" t="str" cm="1">
        <f t="array" ref="C217">INDEX(Lookups!$B$2:$B$13,MOD(ROW()-ROW($B$2),ROWS(Lookups!$B$2:$B$13))+1)</f>
        <v>Anti-Vehicle Grenade</v>
      </c>
      <c r="D217" s="38" t="str">
        <f>_xlfn.XLOOKUP(C217,Analysis_Gadgets!$C:$C,Analysis_Gadgets!$B:$B)</f>
        <v>Grenade</v>
      </c>
      <c r="E217" s="43">
        <v>0</v>
      </c>
      <c r="F217" s="43">
        <f>_xlfn.XLOOKUP(A217,Class_Players!A:A,Class_Players!G:G)</f>
        <v>272</v>
      </c>
      <c r="G217" s="43">
        <f t="shared" si="45"/>
        <v>0</v>
      </c>
      <c r="H217" s="43">
        <f>_xlfn.XLOOKUP(A217,Class_Players!$A:$A,Class_Players!$F:$F,"")</f>
        <v>13483</v>
      </c>
      <c r="I217" s="44">
        <f t="shared" si="46"/>
        <v>0</v>
      </c>
      <c r="J217" s="43">
        <f t="shared" si="47"/>
        <v>0</v>
      </c>
      <c r="K217" s="44" cm="1">
        <f t="array" ref="K217">IF(D217="Gadget",_xlfn.IFS(I217&gt;=0.2,0.5,I217&gt;=0.1,0.35,I217&gt;=0.05,0.2,TRUE,0),IF(D217="Grenade",_xlfn.IFS(I217&gt;=0.2,1,I217&gt;=0.1,0.7,I217&gt;=0.05,0.4,TRUE,0),0))</f>
        <v>0</v>
      </c>
      <c r="L217" s="57">
        <f t="shared" si="51"/>
        <v>0</v>
      </c>
    </row>
    <row r="218" spans="1:12" x14ac:dyDescent="0.25">
      <c r="A218" s="42" t="str" cm="1">
        <f t="array" ref="A218">IFERROR(INDEX(_xlfn._xlws.FILTER(Class_Players!A:A,Class_Players!B:B="Engineer"),QUOTIENT(ROW()-ROW($A$2),12)+1),"")</f>
        <v>Ricardo Milos</v>
      </c>
      <c r="B218" s="42" t="str">
        <f>_xlfn.XLOOKUP(A218,Class_Players!$A:$A,Class_Players!$B:$B,"")</f>
        <v>Engineer</v>
      </c>
      <c r="C218" s="42" t="str" cm="1">
        <f t="array" ref="C218">INDEX(Lookups!$B$2:$B$13,MOD(ROW()-ROW($B$2),ROWS(Lookups!$B$2:$B$13))+1)</f>
        <v>MBT-LAW (Auto-Guided Launcher)</v>
      </c>
      <c r="D218" s="38" t="str">
        <f>_xlfn.XLOOKUP(C218,Analysis_Gadgets!$C:$C,Analysis_Gadgets!$B:$B)</f>
        <v>Gadget</v>
      </c>
      <c r="E218" s="43">
        <v>0</v>
      </c>
      <c r="F218" s="43">
        <f>_xlfn.XLOOKUP(A218,Class_Players!A:A,Class_Players!G:G)</f>
        <v>213</v>
      </c>
      <c r="G218" s="43">
        <f t="shared" si="45"/>
        <v>0</v>
      </c>
      <c r="H218" s="43">
        <f>_xlfn.XLOOKUP(A218,Class_Players!$A:$A,Class_Players!$F:$F,"")</f>
        <v>11320</v>
      </c>
      <c r="I218" s="44">
        <f t="shared" si="46"/>
        <v>0</v>
      </c>
      <c r="J218" s="43">
        <f t="shared" si="47"/>
        <v>0</v>
      </c>
      <c r="K218" s="44" cm="1">
        <f t="array" ref="K218">IF(D218="Gadget",_xlfn.IFS(I218&gt;=0.2,0.5,I218&gt;=0.1,0.35,I218&gt;=0.05,0.2,TRUE,0),IF(D218="Grenade",_xlfn.IFS(I218&gt;=0.2,1,I218&gt;=0.1,0.7,I218&gt;=0.05,0.4,TRUE,0),0))</f>
        <v>0</v>
      </c>
      <c r="L218" s="57">
        <f t="shared" ref="L218:L227" si="52">IF($K218=0,0,$K218 / SUMIFS($K:$K,$A:$A,$A218,$D:$D,"Gadget"))</f>
        <v>0</v>
      </c>
    </row>
    <row r="219" spans="1:12" x14ac:dyDescent="0.25">
      <c r="A219" s="42" t="str" cm="1">
        <f t="array" ref="A219">IFERROR(INDEX(_xlfn._xlws.FILTER(Class_Players!A:A,Class_Players!B:B="Engineer"),QUOTIENT(ROW()-ROW($A$2),12)+1),"")</f>
        <v>Ricardo Milos</v>
      </c>
      <c r="B219" s="42" t="str">
        <f>_xlfn.XLOOKUP(A219,Class_Players!$A:$A,Class_Players!$B:$B,"")</f>
        <v>Engineer</v>
      </c>
      <c r="C219" s="42" t="str" cm="1">
        <f t="array" ref="C219">INDEX(Lookups!$B$2:$B$13,MOD(ROW()-ROW($B$2),ROWS(Lookups!$B$2:$B$13))+1)</f>
        <v>SLM-93A (Air-Defense Launcher)</v>
      </c>
      <c r="D219" s="38" t="str">
        <f>_xlfn.XLOOKUP(C219,Analysis_Gadgets!$C:$C,Analysis_Gadgets!$B:$B)</f>
        <v>Gadget</v>
      </c>
      <c r="E219" s="43">
        <v>245</v>
      </c>
      <c r="F219" s="43">
        <f>_xlfn.XLOOKUP(A219,Class_Players!A:A,Class_Players!G:G)</f>
        <v>213</v>
      </c>
      <c r="G219" s="43">
        <f t="shared" si="45"/>
        <v>1.1502347417840375</v>
      </c>
      <c r="H219" s="43">
        <f>_xlfn.XLOOKUP(A219,Class_Players!$A:$A,Class_Players!$F:$F,"")</f>
        <v>11320</v>
      </c>
      <c r="I219" s="44">
        <f t="shared" si="46"/>
        <v>2.1643109540636044E-2</v>
      </c>
      <c r="J219" s="43">
        <f t="shared" si="47"/>
        <v>0</v>
      </c>
      <c r="K219" s="44" cm="1">
        <f t="array" ref="K219">IF(D219="Gadget",_xlfn.IFS(I219&gt;=0.2,0.5,I219&gt;=0.1,0.35,I219&gt;=0.05,0.2,TRUE,0),IF(D219="Grenade",_xlfn.IFS(I219&gt;=0.2,1,I219&gt;=0.1,0.7,I219&gt;=0.05,0.4,TRUE,0),0))</f>
        <v>0</v>
      </c>
      <c r="L219" s="57">
        <f t="shared" si="52"/>
        <v>0</v>
      </c>
    </row>
    <row r="220" spans="1:12" x14ac:dyDescent="0.25">
      <c r="A220" s="42" t="str" cm="1">
        <f t="array" ref="A220">IFERROR(INDEX(_xlfn._xlws.FILTER(Class_Players!A:A,Class_Players!B:B="Engineer"),QUOTIENT(ROW()-ROW($A$2),12)+1),"")</f>
        <v>Ricardo Milos</v>
      </c>
      <c r="B220" s="42" t="str">
        <f>_xlfn.XLOOKUP(A220,Class_Players!$A:$A,Class_Players!$B:$B,"")</f>
        <v>Engineer</v>
      </c>
      <c r="C220" s="42" t="str" cm="1">
        <f t="array" ref="C220">INDEX(Lookups!$B$2:$B$13,MOD(ROW()-ROW($B$2),ROWS(Lookups!$B$2:$B$13))+1)</f>
        <v>RPG-7V2 (Unguided Rocket Launcher)</v>
      </c>
      <c r="D220" s="38" t="str">
        <f>_xlfn.XLOOKUP(C220,Analysis_Gadgets!$C:$C,Analysis_Gadgets!$B:$B)</f>
        <v>Gadget</v>
      </c>
      <c r="E220" s="43">
        <v>5537</v>
      </c>
      <c r="F220" s="43">
        <f>_xlfn.XLOOKUP(A220,Class_Players!A:A,Class_Players!G:G)</f>
        <v>213</v>
      </c>
      <c r="G220" s="43">
        <f t="shared" si="45"/>
        <v>25.995305164319248</v>
      </c>
      <c r="H220" s="43">
        <f>_xlfn.XLOOKUP(A220,Class_Players!$A:$A,Class_Players!$F:$F,"")</f>
        <v>11320</v>
      </c>
      <c r="I220" s="44">
        <f t="shared" si="46"/>
        <v>0.48913427561837458</v>
      </c>
      <c r="J220" s="43">
        <f t="shared" si="47"/>
        <v>1</v>
      </c>
      <c r="K220" s="44" cm="1">
        <f t="array" ref="K220">IF(D220="Gadget",_xlfn.IFS(I220&gt;=0.2,0.5,I220&gt;=0.1,0.35,I220&gt;=0.05,0.2,TRUE,0),IF(D220="Grenade",_xlfn.IFS(I220&gt;=0.2,1,I220&gt;=0.1,0.7,I220&gt;=0.05,0.4,TRUE,0),0))</f>
        <v>0.5</v>
      </c>
      <c r="L220" s="57">
        <f t="shared" si="52"/>
        <v>1</v>
      </c>
    </row>
    <row r="221" spans="1:12" x14ac:dyDescent="0.25">
      <c r="A221" s="42" t="str" cm="1">
        <f t="array" ref="A221">IFERROR(INDEX(_xlfn._xlws.FILTER(Class_Players!A:A,Class_Players!B:B="Engineer"),QUOTIENT(ROW()-ROW($A$2),12)+1),"")</f>
        <v>Ricardo Milos</v>
      </c>
      <c r="B221" s="42" t="str">
        <f>_xlfn.XLOOKUP(A221,Class_Players!$A:$A,Class_Players!$B:$B,"")</f>
        <v>Engineer</v>
      </c>
      <c r="C221" s="42" t="str" cm="1">
        <f t="array" ref="C221">INDEX(Lookups!$B$2:$B$13,MOD(ROW()-ROW($B$2),ROWS(Lookups!$B$2:$B$13))+1)</f>
        <v>MAS 148 (Long-Range Launcher)</v>
      </c>
      <c r="D221" s="38" t="str">
        <f>_xlfn.XLOOKUP(C221,Analysis_Gadgets!$C:$C,Analysis_Gadgets!$B:$B)</f>
        <v>Gadget</v>
      </c>
      <c r="E221" s="43">
        <v>67</v>
      </c>
      <c r="F221" s="43">
        <f>_xlfn.XLOOKUP(A221,Class_Players!A:A,Class_Players!G:G)</f>
        <v>213</v>
      </c>
      <c r="G221" s="43">
        <f t="shared" si="45"/>
        <v>0.31455399061032863</v>
      </c>
      <c r="H221" s="43">
        <f>_xlfn.XLOOKUP(A221,Class_Players!$A:$A,Class_Players!$F:$F,"")</f>
        <v>11320</v>
      </c>
      <c r="I221" s="44">
        <f t="shared" si="46"/>
        <v>5.918727915194346E-3</v>
      </c>
      <c r="J221" s="43">
        <f t="shared" si="47"/>
        <v>0</v>
      </c>
      <c r="K221" s="44" cm="1">
        <f t="array" ref="K221">IF(D221="Gadget",_xlfn.IFS(I221&gt;=0.2,0.5,I221&gt;=0.1,0.35,I221&gt;=0.05,0.2,TRUE,0),IF(D221="Grenade",_xlfn.IFS(I221&gt;=0.2,1,I221&gt;=0.1,0.7,I221&gt;=0.05,0.4,TRUE,0),0))</f>
        <v>0</v>
      </c>
      <c r="L221" s="57">
        <f t="shared" si="52"/>
        <v>0</v>
      </c>
    </row>
    <row r="222" spans="1:12" x14ac:dyDescent="0.25">
      <c r="A222" s="42" t="str" cm="1">
        <f t="array" ref="A222">IFERROR(INDEX(_xlfn._xlws.FILTER(Class_Players!A:A,Class_Players!B:B="Engineer"),QUOTIENT(ROW()-ROW($A$2),12)+1),"")</f>
        <v>Ricardo Milos</v>
      </c>
      <c r="B222" s="42" t="str">
        <f>_xlfn.XLOOKUP(A222,Class_Players!$A:$A,Class_Players!$B:$B,"")</f>
        <v>Engineer</v>
      </c>
      <c r="C222" s="42" t="str" cm="1">
        <f t="array" ref="C222">INDEX(Lookups!$B$2:$B$13,MOD(ROW()-ROW($B$2),ROWS(Lookups!$B$2:$B$13))+1)</f>
        <v>M136 AT (Aim-Guided Launcher)</v>
      </c>
      <c r="D222" s="38" t="str">
        <f>_xlfn.XLOOKUP(C222,Analysis_Gadgets!$C:$C,Analysis_Gadgets!$B:$B)</f>
        <v>Gadget</v>
      </c>
      <c r="E222" s="43">
        <v>0</v>
      </c>
      <c r="F222" s="43">
        <f>_xlfn.XLOOKUP(A222,Class_Players!A:A,Class_Players!G:G)</f>
        <v>213</v>
      </c>
      <c r="G222" s="43">
        <f t="shared" si="45"/>
        <v>0</v>
      </c>
      <c r="H222" s="43">
        <f>_xlfn.XLOOKUP(A222,Class_Players!$A:$A,Class_Players!$F:$F,"")</f>
        <v>11320</v>
      </c>
      <c r="I222" s="44">
        <f t="shared" si="46"/>
        <v>0</v>
      </c>
      <c r="J222" s="43">
        <f t="shared" si="47"/>
        <v>0</v>
      </c>
      <c r="K222" s="44" cm="1">
        <f t="array" ref="K222">IF(D222="Gadget",_xlfn.IFS(I222&gt;=0.2,0.5,I222&gt;=0.1,0.35,I222&gt;=0.05,0.2,TRUE,0),IF(D222="Grenade",_xlfn.IFS(I222&gt;=0.2,1,I222&gt;=0.1,0.7,I222&gt;=0.05,0.4,TRUE,0),0))</f>
        <v>0</v>
      </c>
      <c r="L222" s="57">
        <f t="shared" si="52"/>
        <v>0</v>
      </c>
    </row>
    <row r="223" spans="1:12" x14ac:dyDescent="0.25">
      <c r="A223" s="42" t="str" cm="1">
        <f t="array" ref="A223">IFERROR(INDEX(_xlfn._xlws.FILTER(Class_Players!A:A,Class_Players!B:B="Engineer"),QUOTIENT(ROW()-ROW($A$2),12)+1),"")</f>
        <v>Ricardo Milos</v>
      </c>
      <c r="B223" s="42" t="str">
        <f>_xlfn.XLOOKUP(A223,Class_Players!$A:$A,Class_Players!$B:$B,"")</f>
        <v>Engineer</v>
      </c>
      <c r="C223" s="42" t="str" cm="1">
        <f t="array" ref="C223">INDEX(Lookups!$B$2:$B$13,MOD(ROW()-ROW($B$2),ROWS(Lookups!$B$2:$B$13))+1)</f>
        <v>Supply Crate</v>
      </c>
      <c r="D223" s="38" t="str">
        <f>_xlfn.XLOOKUP(C223,Analysis_Gadgets!$C:$C,Analysis_Gadgets!$B:$B)</f>
        <v>Gadget</v>
      </c>
      <c r="E223" s="43">
        <v>19</v>
      </c>
      <c r="F223" s="43">
        <f>_xlfn.XLOOKUP(A223,Class_Players!A:A,Class_Players!G:G)</f>
        <v>213</v>
      </c>
      <c r="G223" s="43">
        <f t="shared" si="45"/>
        <v>8.9201877934272297E-2</v>
      </c>
      <c r="H223" s="43">
        <f>_xlfn.XLOOKUP(A223,Class_Players!$A:$A,Class_Players!$F:$F,"")</f>
        <v>11320</v>
      </c>
      <c r="I223" s="44">
        <f t="shared" si="46"/>
        <v>1.6784452296819787E-3</v>
      </c>
      <c r="J223" s="43">
        <f t="shared" si="47"/>
        <v>0</v>
      </c>
      <c r="K223" s="44" cm="1">
        <f t="array" ref="K223">IF(D223="Gadget",_xlfn.IFS(I223&gt;=0.2,0.5,I223&gt;=0.1,0.35,I223&gt;=0.05,0.2,TRUE,0),IF(D223="Grenade",_xlfn.IFS(I223&gt;=0.2,1,I223&gt;=0.1,0.7,I223&gt;=0.05,0.4,TRUE,0),0))</f>
        <v>0</v>
      </c>
      <c r="L223" s="57">
        <f t="shared" si="52"/>
        <v>0</v>
      </c>
    </row>
    <row r="224" spans="1:12" x14ac:dyDescent="0.25">
      <c r="A224" s="42" t="str" cm="1">
        <f t="array" ref="A224">IFERROR(INDEX(_xlfn._xlws.FILTER(Class_Players!A:A,Class_Players!B:B="Engineer"),QUOTIENT(ROW()-ROW($A$2),12)+1),"")</f>
        <v>Ricardo Milos</v>
      </c>
      <c r="B224" s="42" t="str">
        <f>_xlfn.XLOOKUP(A224,Class_Players!$A:$A,Class_Players!$B:$B,"")</f>
        <v>Engineer</v>
      </c>
      <c r="C224" s="42" t="str" cm="1">
        <f t="array" ref="C224">INDEX(Lookups!$B$2:$B$13,MOD(ROW()-ROW($B$2),ROWS(Lookups!$B$2:$B$13))+1)</f>
        <v>M15 (Anti-Vehicle Mine)</v>
      </c>
      <c r="D224" s="38" t="str">
        <f>_xlfn.XLOOKUP(C224,Analysis_Gadgets!$C:$C,Analysis_Gadgets!$B:$B)</f>
        <v>Gadget</v>
      </c>
      <c r="E224" s="43">
        <v>407</v>
      </c>
      <c r="F224" s="43">
        <f>_xlfn.XLOOKUP(A224,Class_Players!A:A,Class_Players!G:G)</f>
        <v>213</v>
      </c>
      <c r="G224" s="43">
        <f t="shared" si="45"/>
        <v>1.9107981220657277</v>
      </c>
      <c r="H224" s="43">
        <f>_xlfn.XLOOKUP(A224,Class_Players!$A:$A,Class_Players!$F:$F,"")</f>
        <v>11320</v>
      </c>
      <c r="I224" s="44">
        <f t="shared" si="46"/>
        <v>3.5954063604240284E-2</v>
      </c>
      <c r="J224" s="43">
        <f t="shared" si="47"/>
        <v>0</v>
      </c>
      <c r="K224" s="44" cm="1">
        <f t="array" ref="K224">IF(D224="Gadget",_xlfn.IFS(I224&gt;=0.2,0.5,I224&gt;=0.1,0.35,I224&gt;=0.05,0.2,TRUE,0),IF(D224="Grenade",_xlfn.IFS(I224&gt;=0.2,1,I224&gt;=0.1,0.7,I224&gt;=0.05,0.4,TRUE,0),0))</f>
        <v>0</v>
      </c>
      <c r="L224" s="57">
        <f t="shared" si="52"/>
        <v>0</v>
      </c>
    </row>
    <row r="225" spans="1:12" x14ac:dyDescent="0.25">
      <c r="A225" s="42" t="str" cm="1">
        <f t="array" ref="A225">IFERROR(INDEX(_xlfn._xlws.FILTER(Class_Players!A:A,Class_Players!B:B="Engineer"),QUOTIENT(ROW()-ROW($A$2),12)+1),"")</f>
        <v>Ricardo Milos</v>
      </c>
      <c r="B225" s="42" t="str">
        <f>_xlfn.XLOOKUP(A225,Class_Players!$A:$A,Class_Players!$B:$B,"")</f>
        <v>Engineer</v>
      </c>
      <c r="C225" s="42" t="str" cm="1">
        <f t="array" ref="C225">INDEX(Lookups!$B$2:$B$13,MOD(ROW()-ROW($B$2),ROWS(Lookups!$B$2:$B$13))+1)</f>
        <v>PTKM-1R (Acoustic Sensor AV Mine)</v>
      </c>
      <c r="D225" s="38" t="str">
        <f>_xlfn.XLOOKUP(C225,Analysis_Gadgets!$C:$C,Analysis_Gadgets!$B:$B)</f>
        <v>Gadget</v>
      </c>
      <c r="E225" s="43">
        <v>213</v>
      </c>
      <c r="F225" s="43">
        <f>_xlfn.XLOOKUP(A225,Class_Players!A:A,Class_Players!G:G)</f>
        <v>213</v>
      </c>
      <c r="G225" s="43">
        <f t="shared" si="45"/>
        <v>1</v>
      </c>
      <c r="H225" s="43">
        <f>_xlfn.XLOOKUP(A225,Class_Players!$A:$A,Class_Players!$F:$F,"")</f>
        <v>11320</v>
      </c>
      <c r="I225" s="44">
        <f t="shared" si="46"/>
        <v>1.881625441696113E-2</v>
      </c>
      <c r="J225" s="43">
        <f t="shared" si="47"/>
        <v>0</v>
      </c>
      <c r="K225" s="44" cm="1">
        <f t="array" ref="K225">IF(D225="Gadget",_xlfn.IFS(I225&gt;=0.2,0.5,I225&gt;=0.1,0.35,I225&gt;=0.05,0.2,TRUE,0),IF(D225="Grenade",_xlfn.IFS(I225&gt;=0.2,1,I225&gt;=0.1,0.7,I225&gt;=0.05,0.4,TRUE,0),0))</f>
        <v>0</v>
      </c>
      <c r="L225" s="57">
        <f t="shared" si="52"/>
        <v>0</v>
      </c>
    </row>
    <row r="226" spans="1:12" x14ac:dyDescent="0.25">
      <c r="A226" s="42" t="str" cm="1">
        <f t="array" ref="A226">IFERROR(INDEX(_xlfn._xlws.FILTER(Class_Players!A:A,Class_Players!B:B="Engineer"),QUOTIENT(ROW()-ROW($A$2),12)+1),"")</f>
        <v>Ricardo Milos</v>
      </c>
      <c r="B226" s="42" t="str">
        <f>_xlfn.XLOOKUP(A226,Class_Players!$A:$A,Class_Players!$B:$B,"")</f>
        <v>Engineer</v>
      </c>
      <c r="C226" s="42" t="str" cm="1">
        <f t="array" ref="C226">INDEX(Lookups!$B$2:$B$13,MOD(ROW()-ROW($B$2),ROWS(Lookups!$B$2:$B$13))+1)</f>
        <v>EOD Bot</v>
      </c>
      <c r="D226" s="38" t="str">
        <f>_xlfn.XLOOKUP(C226,Analysis_Gadgets!$C:$C,Analysis_Gadgets!$B:$B)</f>
        <v>Gadget</v>
      </c>
      <c r="E226" s="43">
        <v>0</v>
      </c>
      <c r="F226" s="43">
        <f>_xlfn.XLOOKUP(A226,Class_Players!A:A,Class_Players!G:G)</f>
        <v>213</v>
      </c>
      <c r="G226" s="43">
        <f t="shared" si="45"/>
        <v>0</v>
      </c>
      <c r="H226" s="43">
        <f>_xlfn.XLOOKUP(A226,Class_Players!$A:$A,Class_Players!$F:$F,"")</f>
        <v>11320</v>
      </c>
      <c r="I226" s="44">
        <f t="shared" si="46"/>
        <v>0</v>
      </c>
      <c r="J226" s="43">
        <f t="shared" si="47"/>
        <v>0</v>
      </c>
      <c r="K226" s="44" cm="1">
        <f t="array" ref="K226">IF(D226="Gadget",_xlfn.IFS(I226&gt;=0.2,0.5,I226&gt;=0.1,0.35,I226&gt;=0.05,0.2,TRUE,0),IF(D226="Grenade",_xlfn.IFS(I226&gt;=0.2,1,I226&gt;=0.1,0.7,I226&gt;=0.05,0.4,TRUE,0),0))</f>
        <v>0</v>
      </c>
      <c r="L226" s="57">
        <f t="shared" si="52"/>
        <v>0</v>
      </c>
    </row>
    <row r="227" spans="1:12" x14ac:dyDescent="0.25">
      <c r="A227" s="42" t="str" cm="1">
        <f t="array" ref="A227">IFERROR(INDEX(_xlfn._xlws.FILTER(Class_Players!A:A,Class_Players!B:B="Engineer"),QUOTIENT(ROW()-ROW($A$2),12)+1),"")</f>
        <v>Ricardo Milos</v>
      </c>
      <c r="B227" s="42" t="str">
        <f>_xlfn.XLOOKUP(A227,Class_Players!$A:$A,Class_Players!$B:$B,"")</f>
        <v>Engineer</v>
      </c>
      <c r="C227" s="42" t="str" cm="1">
        <f t="array" ref="C227">INDEX(Lookups!$B$2:$B$13,MOD(ROW()-ROW($B$2),ROWS(Lookups!$B$2:$B$13))+1)</f>
        <v>M4A1 SLAM (Tripwire Sensor AV Mine)</v>
      </c>
      <c r="D227" s="38" t="str">
        <f>_xlfn.XLOOKUP(C227,Analysis_Gadgets!$C:$C,Analysis_Gadgets!$B:$B)</f>
        <v>Gadget</v>
      </c>
      <c r="E227" s="43">
        <v>10</v>
      </c>
      <c r="F227" s="43">
        <f>_xlfn.XLOOKUP(A227,Class_Players!A:A,Class_Players!G:G)</f>
        <v>213</v>
      </c>
      <c r="G227" s="43">
        <f t="shared" si="45"/>
        <v>4.6948356807511735E-2</v>
      </c>
      <c r="H227" s="43">
        <f>_xlfn.XLOOKUP(A227,Class_Players!$A:$A,Class_Players!$F:$F,"")</f>
        <v>11320</v>
      </c>
      <c r="I227" s="44">
        <f t="shared" si="46"/>
        <v>8.8339222614840988E-4</v>
      </c>
      <c r="J227" s="43">
        <f t="shared" si="47"/>
        <v>0</v>
      </c>
      <c r="K227" s="44" cm="1">
        <f t="array" ref="K227">IF(D227="Gadget",_xlfn.IFS(I227&gt;=0.2,0.5,I227&gt;=0.1,0.35,I227&gt;=0.05,0.2,TRUE,0),IF(D227="Grenade",_xlfn.IFS(I227&gt;=0.2,1,I227&gt;=0.1,0.7,I227&gt;=0.05,0.4,TRUE,0),0))</f>
        <v>0</v>
      </c>
      <c r="L227" s="57">
        <f t="shared" si="52"/>
        <v>0</v>
      </c>
    </row>
    <row r="228" spans="1:12" x14ac:dyDescent="0.25">
      <c r="A228" s="42" t="str" cm="1">
        <f t="array" ref="A228">IFERROR(INDEX(_xlfn._xlws.FILTER(Class_Players!A:A,Class_Players!B:B="Engineer"),QUOTIENT(ROW()-ROW($A$2),12)+1),"")</f>
        <v>Ricardo Milos</v>
      </c>
      <c r="B228" s="42" t="str">
        <f>_xlfn.XLOOKUP(A228,Class_Players!$A:$A,Class_Players!$B:$B,"")</f>
        <v>Engineer</v>
      </c>
      <c r="C228" s="42" t="str" cm="1">
        <f t="array" ref="C228">INDEX(Lookups!$B$2:$B$13,MOD(ROW()-ROW($B$2),ROWS(Lookups!$B$2:$B$13))+1)</f>
        <v>Mini Frag Grenade</v>
      </c>
      <c r="D228" s="38" t="str">
        <f>_xlfn.XLOOKUP(C228,Analysis_Gadgets!$C:$C,Analysis_Gadgets!$B:$B)</f>
        <v>Grenade</v>
      </c>
      <c r="E228" s="43">
        <v>0</v>
      </c>
      <c r="F228" s="43">
        <f>_xlfn.XLOOKUP(A228,Class_Players!A:A,Class_Players!G:G)</f>
        <v>213</v>
      </c>
      <c r="G228" s="43">
        <f t="shared" si="45"/>
        <v>0</v>
      </c>
      <c r="H228" s="43">
        <f>_xlfn.XLOOKUP(A228,Class_Players!$A:$A,Class_Players!$F:$F,"")</f>
        <v>11320</v>
      </c>
      <c r="I228" s="44">
        <f t="shared" si="46"/>
        <v>0</v>
      </c>
      <c r="J228" s="43">
        <f t="shared" si="47"/>
        <v>0</v>
      </c>
      <c r="K228" s="44" cm="1">
        <f t="array" ref="K228">IF(D228="Gadget",_xlfn.IFS(I228&gt;=0.2,0.5,I228&gt;=0.1,0.35,I228&gt;=0.05,0.2,TRUE,0),IF(D228="Grenade",_xlfn.IFS(I228&gt;=0.2,1,I228&gt;=0.1,0.7,I228&gt;=0.05,0.4,TRUE,0),0))</f>
        <v>0</v>
      </c>
      <c r="L228" s="57">
        <f t="shared" ref="L228:L229" si="53">IF($K228=0,0,$K228 / SUMIFS($K:$K,$A:$A,$A228,$D:$D,"Grenade"))</f>
        <v>0</v>
      </c>
    </row>
    <row r="229" spans="1:12" x14ac:dyDescent="0.25">
      <c r="A229" s="42" t="str" cm="1">
        <f t="array" ref="A229">IFERROR(INDEX(_xlfn._xlws.FILTER(Class_Players!A:A,Class_Players!B:B="Engineer"),QUOTIENT(ROW()-ROW($A$2),12)+1),"")</f>
        <v>Ricardo Milos</v>
      </c>
      <c r="B229" s="42" t="str">
        <f>_xlfn.XLOOKUP(A229,Class_Players!$A:$A,Class_Players!$B:$B,"")</f>
        <v>Engineer</v>
      </c>
      <c r="C229" s="42" t="str" cm="1">
        <f t="array" ref="C229">INDEX(Lookups!$B$2:$B$13,MOD(ROW()-ROW($B$2),ROWS(Lookups!$B$2:$B$13))+1)</f>
        <v>Anti-Vehicle Grenade</v>
      </c>
      <c r="D229" s="38" t="str">
        <f>_xlfn.XLOOKUP(C229,Analysis_Gadgets!$C:$C,Analysis_Gadgets!$B:$B)</f>
        <v>Grenade</v>
      </c>
      <c r="E229" s="43">
        <v>0</v>
      </c>
      <c r="F229" s="43">
        <f>_xlfn.XLOOKUP(A229,Class_Players!A:A,Class_Players!G:G)</f>
        <v>213</v>
      </c>
      <c r="G229" s="43">
        <f t="shared" si="45"/>
        <v>0</v>
      </c>
      <c r="H229" s="43">
        <f>_xlfn.XLOOKUP(A229,Class_Players!$A:$A,Class_Players!$F:$F,"")</f>
        <v>11320</v>
      </c>
      <c r="I229" s="44">
        <f t="shared" si="46"/>
        <v>0</v>
      </c>
      <c r="J229" s="43">
        <f t="shared" si="47"/>
        <v>0</v>
      </c>
      <c r="K229" s="44" cm="1">
        <f t="array" ref="K229">IF(D229="Gadget",_xlfn.IFS(I229&gt;=0.2,0.5,I229&gt;=0.1,0.35,I229&gt;=0.05,0.2,TRUE,0),IF(D229="Grenade",_xlfn.IFS(I229&gt;=0.2,1,I229&gt;=0.1,0.7,I229&gt;=0.05,0.4,TRUE,0),0))</f>
        <v>0</v>
      </c>
      <c r="L229" s="57">
        <f t="shared" si="53"/>
        <v>0</v>
      </c>
    </row>
    <row r="230" spans="1:12" x14ac:dyDescent="0.25">
      <c r="A230" s="42" t="str" cm="1">
        <f t="array" ref="A230">IFERROR(INDEX(_xlfn._xlws.FILTER(Class_Players!A:A,Class_Players!B:B="Engineer"),QUOTIENT(ROW()-ROW($A$2),12)+1),"")</f>
        <v>Sphinx</v>
      </c>
      <c r="B230" s="42" t="str">
        <f>_xlfn.XLOOKUP(A230,Class_Players!$A:$A,Class_Players!$B:$B,"")</f>
        <v>Engineer</v>
      </c>
      <c r="C230" s="42" t="str" cm="1">
        <f t="array" ref="C230">INDEX(Lookups!$B$2:$B$13,MOD(ROW()-ROW($B$2),ROWS(Lookups!$B$2:$B$13))+1)</f>
        <v>MBT-LAW (Auto-Guided Launcher)</v>
      </c>
      <c r="D230" s="38" t="str">
        <f>_xlfn.XLOOKUP(C230,Analysis_Gadgets!$C:$C,Analysis_Gadgets!$B:$B)</f>
        <v>Gadget</v>
      </c>
      <c r="E230" s="43">
        <v>0</v>
      </c>
      <c r="F230" s="43">
        <f>_xlfn.XLOOKUP(A230,Class_Players!A:A,Class_Players!G:G)</f>
        <v>304</v>
      </c>
      <c r="G230" s="43">
        <f t="shared" ref="G230:G289" si="54">IF(F230=0,"",E230/(F230))</f>
        <v>0</v>
      </c>
      <c r="H230" s="43">
        <f>_xlfn.XLOOKUP(A230,Class_Players!$A:$A,Class_Players!$F:$F,"")</f>
        <v>11677</v>
      </c>
      <c r="I230" s="44">
        <f t="shared" ref="I230:I289" si="55">IF(H230=0,"",E230/H230)</f>
        <v>0</v>
      </c>
      <c r="J230" s="43">
        <f t="shared" ref="J230:J289" si="56">IF(I230&gt;=0.1,1,0)</f>
        <v>0</v>
      </c>
      <c r="K230" s="44" cm="1">
        <f t="array" ref="K230">IF(D230="Gadget",_xlfn.IFS(I230&gt;=0.2,0.5,I230&gt;=0.1,0.35,I230&gt;=0.05,0.2,TRUE,0),IF(D230="Grenade",_xlfn.IFS(I230&gt;=0.2,1,I230&gt;=0.1,0.7,I230&gt;=0.05,0.4,TRUE,0),0))</f>
        <v>0</v>
      </c>
      <c r="L230" s="57">
        <f t="shared" ref="L230:L239" si="57">IF($K230=0,0,$K230 / SUMIFS($K:$K,$A:$A,$A230,$D:$D,"Gadget"))</f>
        <v>0</v>
      </c>
    </row>
    <row r="231" spans="1:12" x14ac:dyDescent="0.25">
      <c r="A231" s="42" t="str" cm="1">
        <f t="array" ref="A231">IFERROR(INDEX(_xlfn._xlws.FILTER(Class_Players!A:A,Class_Players!B:B="Engineer"),QUOTIENT(ROW()-ROW($A$2),12)+1),"")</f>
        <v>Sphinx</v>
      </c>
      <c r="B231" s="42" t="str">
        <f>_xlfn.XLOOKUP(A231,Class_Players!$A:$A,Class_Players!$B:$B,"")</f>
        <v>Engineer</v>
      </c>
      <c r="C231" s="42" t="str" cm="1">
        <f t="array" ref="C231">INDEX(Lookups!$B$2:$B$13,MOD(ROW()-ROW($B$2),ROWS(Lookups!$B$2:$B$13))+1)</f>
        <v>SLM-93A (Air-Defense Launcher)</v>
      </c>
      <c r="D231" s="38" t="str">
        <f>_xlfn.XLOOKUP(C231,Analysis_Gadgets!$C:$C,Analysis_Gadgets!$B:$B)</f>
        <v>Gadget</v>
      </c>
      <c r="E231" s="43">
        <v>175</v>
      </c>
      <c r="F231" s="43">
        <f>_xlfn.XLOOKUP(A231,Class_Players!A:A,Class_Players!G:G)</f>
        <v>304</v>
      </c>
      <c r="G231" s="43">
        <f t="shared" si="54"/>
        <v>0.57565789473684215</v>
      </c>
      <c r="H231" s="43">
        <f>_xlfn.XLOOKUP(A231,Class_Players!$A:$A,Class_Players!$F:$F,"")</f>
        <v>11677</v>
      </c>
      <c r="I231" s="44">
        <f t="shared" si="55"/>
        <v>1.498672604264794E-2</v>
      </c>
      <c r="J231" s="43">
        <f t="shared" si="56"/>
        <v>0</v>
      </c>
      <c r="K231" s="44" cm="1">
        <f t="array" ref="K231">IF(D231="Gadget",_xlfn.IFS(I231&gt;=0.2,0.5,I231&gt;=0.1,0.35,I231&gt;=0.05,0.2,TRUE,0),IF(D231="Grenade",_xlfn.IFS(I231&gt;=0.2,1,I231&gt;=0.1,0.7,I231&gt;=0.05,0.4,TRUE,0),0))</f>
        <v>0</v>
      </c>
      <c r="L231" s="57">
        <f t="shared" si="57"/>
        <v>0</v>
      </c>
    </row>
    <row r="232" spans="1:12" x14ac:dyDescent="0.25">
      <c r="A232" s="42" t="str" cm="1">
        <f t="array" ref="A232">IFERROR(INDEX(_xlfn._xlws.FILTER(Class_Players!A:A,Class_Players!B:B="Engineer"),QUOTIENT(ROW()-ROW($A$2),12)+1),"")</f>
        <v>Sphinx</v>
      </c>
      <c r="B232" s="42" t="str">
        <f>_xlfn.XLOOKUP(A232,Class_Players!$A:$A,Class_Players!$B:$B,"")</f>
        <v>Engineer</v>
      </c>
      <c r="C232" s="42" t="str" cm="1">
        <f t="array" ref="C232">INDEX(Lookups!$B$2:$B$13,MOD(ROW()-ROW($B$2),ROWS(Lookups!$B$2:$B$13))+1)</f>
        <v>RPG-7V2 (Unguided Rocket Launcher)</v>
      </c>
      <c r="D232" s="38" t="str">
        <f>_xlfn.XLOOKUP(C232,Analysis_Gadgets!$C:$C,Analysis_Gadgets!$B:$B)</f>
        <v>Gadget</v>
      </c>
      <c r="E232" s="43">
        <v>5053</v>
      </c>
      <c r="F232" s="43">
        <f>_xlfn.XLOOKUP(A232,Class_Players!A:A,Class_Players!G:G)</f>
        <v>304</v>
      </c>
      <c r="G232" s="43">
        <f t="shared" si="54"/>
        <v>16.621710526315791</v>
      </c>
      <c r="H232" s="43">
        <f>_xlfn.XLOOKUP(A232,Class_Players!$A:$A,Class_Players!$F:$F,"")</f>
        <v>11677</v>
      </c>
      <c r="I232" s="44">
        <f t="shared" si="55"/>
        <v>0.43273100967714312</v>
      </c>
      <c r="J232" s="43">
        <f t="shared" si="56"/>
        <v>1</v>
      </c>
      <c r="K232" s="44" cm="1">
        <f t="array" ref="K232">IF(D232="Gadget",_xlfn.IFS(I232&gt;=0.2,0.5,I232&gt;=0.1,0.35,I232&gt;=0.05,0.2,TRUE,0),IF(D232="Grenade",_xlfn.IFS(I232&gt;=0.2,1,I232&gt;=0.1,0.7,I232&gt;=0.05,0.4,TRUE,0),0))</f>
        <v>0.5</v>
      </c>
      <c r="L232" s="57">
        <f t="shared" si="57"/>
        <v>0.41666666666666669</v>
      </c>
    </row>
    <row r="233" spans="1:12" x14ac:dyDescent="0.25">
      <c r="A233" s="42" t="str" cm="1">
        <f t="array" ref="A233">IFERROR(INDEX(_xlfn._xlws.FILTER(Class_Players!A:A,Class_Players!B:B="Engineer"),QUOTIENT(ROW()-ROW($A$2),12)+1),"")</f>
        <v>Sphinx</v>
      </c>
      <c r="B233" s="42" t="str">
        <f>_xlfn.XLOOKUP(A233,Class_Players!$A:$A,Class_Players!$B:$B,"")</f>
        <v>Engineer</v>
      </c>
      <c r="C233" s="42" t="str" cm="1">
        <f t="array" ref="C233">INDEX(Lookups!$B$2:$B$13,MOD(ROW()-ROW($B$2),ROWS(Lookups!$B$2:$B$13))+1)</f>
        <v>MAS 148 (Long-Range Launcher)</v>
      </c>
      <c r="D233" s="38" t="str">
        <f>_xlfn.XLOOKUP(C233,Analysis_Gadgets!$C:$C,Analysis_Gadgets!$B:$B)</f>
        <v>Gadget</v>
      </c>
      <c r="E233" s="43">
        <v>15</v>
      </c>
      <c r="F233" s="43">
        <f>_xlfn.XLOOKUP(A233,Class_Players!A:A,Class_Players!G:G)</f>
        <v>304</v>
      </c>
      <c r="G233" s="43">
        <f t="shared" si="54"/>
        <v>4.9342105263157895E-2</v>
      </c>
      <c r="H233" s="43">
        <f>_xlfn.XLOOKUP(A233,Class_Players!$A:$A,Class_Players!$F:$F,"")</f>
        <v>11677</v>
      </c>
      <c r="I233" s="44">
        <f t="shared" si="55"/>
        <v>1.2845765179412521E-3</v>
      </c>
      <c r="J233" s="43">
        <f t="shared" si="56"/>
        <v>0</v>
      </c>
      <c r="K233" s="44" cm="1">
        <f t="array" ref="K233">IF(D233="Gadget",_xlfn.IFS(I233&gt;=0.2,0.5,I233&gt;=0.1,0.35,I233&gt;=0.05,0.2,TRUE,0),IF(D233="Grenade",_xlfn.IFS(I233&gt;=0.2,1,I233&gt;=0.1,0.7,I233&gt;=0.05,0.4,TRUE,0),0))</f>
        <v>0</v>
      </c>
      <c r="L233" s="57">
        <f t="shared" si="57"/>
        <v>0</v>
      </c>
    </row>
    <row r="234" spans="1:12" x14ac:dyDescent="0.25">
      <c r="A234" s="42" t="str" cm="1">
        <f t="array" ref="A234">IFERROR(INDEX(_xlfn._xlws.FILTER(Class_Players!A:A,Class_Players!B:B="Engineer"),QUOTIENT(ROW()-ROW($A$2),12)+1),"")</f>
        <v>Sphinx</v>
      </c>
      <c r="B234" s="42" t="str">
        <f>_xlfn.XLOOKUP(A234,Class_Players!$A:$A,Class_Players!$B:$B,"")</f>
        <v>Engineer</v>
      </c>
      <c r="C234" s="42" t="str" cm="1">
        <f t="array" ref="C234">INDEX(Lookups!$B$2:$B$13,MOD(ROW()-ROW($B$2),ROWS(Lookups!$B$2:$B$13))+1)</f>
        <v>M136 AT (Aim-Guided Launcher)</v>
      </c>
      <c r="D234" s="38" t="str">
        <f>_xlfn.XLOOKUP(C234,Analysis_Gadgets!$C:$C,Analysis_Gadgets!$B:$B)</f>
        <v>Gadget</v>
      </c>
      <c r="E234" s="43">
        <v>173</v>
      </c>
      <c r="F234" s="43">
        <f>_xlfn.XLOOKUP(A234,Class_Players!A:A,Class_Players!G:G)</f>
        <v>304</v>
      </c>
      <c r="G234" s="43">
        <f t="shared" si="54"/>
        <v>0.56907894736842102</v>
      </c>
      <c r="H234" s="43">
        <f>_xlfn.XLOOKUP(A234,Class_Players!$A:$A,Class_Players!$F:$F,"")</f>
        <v>11677</v>
      </c>
      <c r="I234" s="44">
        <f t="shared" si="55"/>
        <v>1.4815449173589106E-2</v>
      </c>
      <c r="J234" s="43">
        <f t="shared" si="56"/>
        <v>0</v>
      </c>
      <c r="K234" s="44" cm="1">
        <f t="array" ref="K234">IF(D234="Gadget",_xlfn.IFS(I234&gt;=0.2,0.5,I234&gt;=0.1,0.35,I234&gt;=0.05,0.2,TRUE,0),IF(D234="Grenade",_xlfn.IFS(I234&gt;=0.2,1,I234&gt;=0.1,0.7,I234&gt;=0.05,0.4,TRUE,0),0))</f>
        <v>0</v>
      </c>
      <c r="L234" s="57">
        <f t="shared" si="57"/>
        <v>0</v>
      </c>
    </row>
    <row r="235" spans="1:12" x14ac:dyDescent="0.25">
      <c r="A235" s="42" t="str" cm="1">
        <f t="array" ref="A235">IFERROR(INDEX(_xlfn._xlws.FILTER(Class_Players!A:A,Class_Players!B:B="Engineer"),QUOTIENT(ROW()-ROW($A$2),12)+1),"")</f>
        <v>Sphinx</v>
      </c>
      <c r="B235" s="42" t="str">
        <f>_xlfn.XLOOKUP(A235,Class_Players!$A:$A,Class_Players!$B:$B,"")</f>
        <v>Engineer</v>
      </c>
      <c r="C235" s="42" t="str" cm="1">
        <f t="array" ref="C235">INDEX(Lookups!$B$2:$B$13,MOD(ROW()-ROW($B$2),ROWS(Lookups!$B$2:$B$13))+1)</f>
        <v>Supply Crate</v>
      </c>
      <c r="D235" s="38" t="str">
        <f>_xlfn.XLOOKUP(C235,Analysis_Gadgets!$C:$C,Analysis_Gadgets!$B:$B)</f>
        <v>Gadget</v>
      </c>
      <c r="E235" s="43">
        <v>12</v>
      </c>
      <c r="F235" s="43">
        <f>_xlfn.XLOOKUP(A235,Class_Players!A:A,Class_Players!G:G)</f>
        <v>304</v>
      </c>
      <c r="G235" s="43">
        <f t="shared" si="54"/>
        <v>3.9473684210526314E-2</v>
      </c>
      <c r="H235" s="43">
        <f>_xlfn.XLOOKUP(A235,Class_Players!$A:$A,Class_Players!$F:$F,"")</f>
        <v>11677</v>
      </c>
      <c r="I235" s="44">
        <f t="shared" si="55"/>
        <v>1.0276612143530015E-3</v>
      </c>
      <c r="J235" s="43">
        <f t="shared" si="56"/>
        <v>0</v>
      </c>
      <c r="K235" s="44" cm="1">
        <f t="array" ref="K235">IF(D235="Gadget",_xlfn.IFS(I235&gt;=0.2,0.5,I235&gt;=0.1,0.35,I235&gt;=0.05,0.2,TRUE,0),IF(D235="Grenade",_xlfn.IFS(I235&gt;=0.2,1,I235&gt;=0.1,0.7,I235&gt;=0.05,0.4,TRUE,0),0))</f>
        <v>0</v>
      </c>
      <c r="L235" s="57">
        <f t="shared" si="57"/>
        <v>0</v>
      </c>
    </row>
    <row r="236" spans="1:12" x14ac:dyDescent="0.25">
      <c r="A236" s="42" t="str" cm="1">
        <f t="array" ref="A236">IFERROR(INDEX(_xlfn._xlws.FILTER(Class_Players!A:A,Class_Players!B:B="Engineer"),QUOTIENT(ROW()-ROW($A$2),12)+1),"")</f>
        <v>Sphinx</v>
      </c>
      <c r="B236" s="42" t="str">
        <f>_xlfn.XLOOKUP(A236,Class_Players!$A:$A,Class_Players!$B:$B,"")</f>
        <v>Engineer</v>
      </c>
      <c r="C236" s="42" t="str" cm="1">
        <f t="array" ref="C236">INDEX(Lookups!$B$2:$B$13,MOD(ROW()-ROW($B$2),ROWS(Lookups!$B$2:$B$13))+1)</f>
        <v>M15 (Anti-Vehicle Mine)</v>
      </c>
      <c r="D236" s="38" t="str">
        <f>_xlfn.XLOOKUP(C236,Analysis_Gadgets!$C:$C,Analysis_Gadgets!$B:$B)</f>
        <v>Gadget</v>
      </c>
      <c r="E236" s="43">
        <v>2400</v>
      </c>
      <c r="F236" s="43">
        <f>_xlfn.XLOOKUP(A236,Class_Players!A:A,Class_Players!G:G)</f>
        <v>304</v>
      </c>
      <c r="G236" s="43">
        <f t="shared" si="54"/>
        <v>7.8947368421052628</v>
      </c>
      <c r="H236" s="43">
        <f>_xlfn.XLOOKUP(A236,Class_Players!$A:$A,Class_Players!$F:$F,"")</f>
        <v>11677</v>
      </c>
      <c r="I236" s="44">
        <f t="shared" si="55"/>
        <v>0.20553224287060032</v>
      </c>
      <c r="J236" s="43">
        <f t="shared" si="56"/>
        <v>1</v>
      </c>
      <c r="K236" s="44" cm="1">
        <f t="array" ref="K236">IF(D236="Gadget",_xlfn.IFS(I236&gt;=0.2,0.5,I236&gt;=0.1,0.35,I236&gt;=0.05,0.2,TRUE,0),IF(D236="Grenade",_xlfn.IFS(I236&gt;=0.2,1,I236&gt;=0.1,0.7,I236&gt;=0.05,0.4,TRUE,0),0))</f>
        <v>0.5</v>
      </c>
      <c r="L236" s="57">
        <f t="shared" si="57"/>
        <v>0.41666666666666669</v>
      </c>
    </row>
    <row r="237" spans="1:12" x14ac:dyDescent="0.25">
      <c r="A237" s="42" t="str" cm="1">
        <f t="array" ref="A237">IFERROR(INDEX(_xlfn._xlws.FILTER(Class_Players!A:A,Class_Players!B:B="Engineer"),QUOTIENT(ROW()-ROW($A$2),12)+1),"")</f>
        <v>Sphinx</v>
      </c>
      <c r="B237" s="42" t="str">
        <f>_xlfn.XLOOKUP(A237,Class_Players!$A:$A,Class_Players!$B:$B,"")</f>
        <v>Engineer</v>
      </c>
      <c r="C237" s="42" t="str" cm="1">
        <f t="array" ref="C237">INDEX(Lookups!$B$2:$B$13,MOD(ROW()-ROW($B$2),ROWS(Lookups!$B$2:$B$13))+1)</f>
        <v>PTKM-1R (Acoustic Sensor AV Mine)</v>
      </c>
      <c r="D237" s="38" t="str">
        <f>_xlfn.XLOOKUP(C237,Analysis_Gadgets!$C:$C,Analysis_Gadgets!$B:$B)</f>
        <v>Gadget</v>
      </c>
      <c r="E237" s="43">
        <v>288</v>
      </c>
      <c r="F237" s="43">
        <f>_xlfn.XLOOKUP(A237,Class_Players!A:A,Class_Players!G:G)</f>
        <v>304</v>
      </c>
      <c r="G237" s="43">
        <f t="shared" si="54"/>
        <v>0.94736842105263153</v>
      </c>
      <c r="H237" s="43">
        <f>_xlfn.XLOOKUP(A237,Class_Players!$A:$A,Class_Players!$F:$F,"")</f>
        <v>11677</v>
      </c>
      <c r="I237" s="44">
        <f t="shared" si="55"/>
        <v>2.466386914447204E-2</v>
      </c>
      <c r="J237" s="43">
        <f t="shared" si="56"/>
        <v>0</v>
      </c>
      <c r="K237" s="44" cm="1">
        <f t="array" ref="K237">IF(D237="Gadget",_xlfn.IFS(I237&gt;=0.2,0.5,I237&gt;=0.1,0.35,I237&gt;=0.05,0.2,TRUE,0),IF(D237="Grenade",_xlfn.IFS(I237&gt;=0.2,1,I237&gt;=0.1,0.7,I237&gt;=0.05,0.4,TRUE,0),0))</f>
        <v>0</v>
      </c>
      <c r="L237" s="57">
        <f t="shared" si="57"/>
        <v>0</v>
      </c>
    </row>
    <row r="238" spans="1:12" x14ac:dyDescent="0.25">
      <c r="A238" s="42" t="str" cm="1">
        <f t="array" ref="A238">IFERROR(INDEX(_xlfn._xlws.FILTER(Class_Players!A:A,Class_Players!B:B="Engineer"),QUOTIENT(ROW()-ROW($A$2),12)+1),"")</f>
        <v>Sphinx</v>
      </c>
      <c r="B238" s="42" t="str">
        <f>_xlfn.XLOOKUP(A238,Class_Players!$A:$A,Class_Players!$B:$B,"")</f>
        <v>Engineer</v>
      </c>
      <c r="C238" s="42" t="str" cm="1">
        <f t="array" ref="C238">INDEX(Lookups!$B$2:$B$13,MOD(ROW()-ROW($B$2),ROWS(Lookups!$B$2:$B$13))+1)</f>
        <v>EOD Bot</v>
      </c>
      <c r="D238" s="38" t="str">
        <f>_xlfn.XLOOKUP(C238,Analysis_Gadgets!$C:$C,Analysis_Gadgets!$B:$B)</f>
        <v>Gadget</v>
      </c>
      <c r="E238" s="43">
        <v>2</v>
      </c>
      <c r="F238" s="43">
        <f>_xlfn.XLOOKUP(A238,Class_Players!A:A,Class_Players!G:G)</f>
        <v>304</v>
      </c>
      <c r="G238" s="43">
        <f t="shared" si="54"/>
        <v>6.5789473684210523E-3</v>
      </c>
      <c r="H238" s="43">
        <f>_xlfn.XLOOKUP(A238,Class_Players!$A:$A,Class_Players!$F:$F,"")</f>
        <v>11677</v>
      </c>
      <c r="I238" s="44">
        <f t="shared" si="55"/>
        <v>1.712768690588336E-4</v>
      </c>
      <c r="J238" s="43">
        <f t="shared" si="56"/>
        <v>0</v>
      </c>
      <c r="K238" s="44" cm="1">
        <f t="array" ref="K238">IF(D238="Gadget",_xlfn.IFS(I238&gt;=0.2,0.5,I238&gt;=0.1,0.35,I238&gt;=0.05,0.2,TRUE,0),IF(D238="Grenade",_xlfn.IFS(I238&gt;=0.2,1,I238&gt;=0.1,0.7,I238&gt;=0.05,0.4,TRUE,0),0))</f>
        <v>0</v>
      </c>
      <c r="L238" s="57">
        <f t="shared" si="57"/>
        <v>0</v>
      </c>
    </row>
    <row r="239" spans="1:12" x14ac:dyDescent="0.25">
      <c r="A239" s="42" t="str" cm="1">
        <f t="array" ref="A239">IFERROR(INDEX(_xlfn._xlws.FILTER(Class_Players!A:A,Class_Players!B:B="Engineer"),QUOTIENT(ROW()-ROW($A$2),12)+1),"")</f>
        <v>Sphinx</v>
      </c>
      <c r="B239" s="42" t="str">
        <f>_xlfn.XLOOKUP(A239,Class_Players!$A:$A,Class_Players!$B:$B,"")</f>
        <v>Engineer</v>
      </c>
      <c r="C239" s="42" t="str" cm="1">
        <f t="array" ref="C239">INDEX(Lookups!$B$2:$B$13,MOD(ROW()-ROW($B$2),ROWS(Lookups!$B$2:$B$13))+1)</f>
        <v>M4A1 SLAM (Tripwire Sensor AV Mine)</v>
      </c>
      <c r="D239" s="38" t="str">
        <f>_xlfn.XLOOKUP(C239,Analysis_Gadgets!$C:$C,Analysis_Gadgets!$B:$B)</f>
        <v>Gadget</v>
      </c>
      <c r="E239" s="43">
        <v>1123</v>
      </c>
      <c r="F239" s="43">
        <f>_xlfn.XLOOKUP(A239,Class_Players!A:A,Class_Players!G:G)</f>
        <v>304</v>
      </c>
      <c r="G239" s="43">
        <f t="shared" si="54"/>
        <v>3.6940789473684212</v>
      </c>
      <c r="H239" s="43">
        <f>_xlfn.XLOOKUP(A239,Class_Players!$A:$A,Class_Players!$F:$F,"")</f>
        <v>11677</v>
      </c>
      <c r="I239" s="44">
        <f t="shared" si="55"/>
        <v>9.6171961976535075E-2</v>
      </c>
      <c r="J239" s="43">
        <f t="shared" si="56"/>
        <v>0</v>
      </c>
      <c r="K239" s="44" cm="1">
        <f t="array" ref="K239">IF(D239="Gadget",_xlfn.IFS(I239&gt;=0.2,0.5,I239&gt;=0.1,0.35,I239&gt;=0.05,0.2,TRUE,0),IF(D239="Grenade",_xlfn.IFS(I239&gt;=0.2,1,I239&gt;=0.1,0.7,I239&gt;=0.05,0.4,TRUE,0),0))</f>
        <v>0.2</v>
      </c>
      <c r="L239" s="57">
        <f t="shared" si="57"/>
        <v>0.16666666666666669</v>
      </c>
    </row>
    <row r="240" spans="1:12" x14ac:dyDescent="0.25">
      <c r="A240" s="42" t="str" cm="1">
        <f t="array" ref="A240">IFERROR(INDEX(_xlfn._xlws.FILTER(Class_Players!A:A,Class_Players!B:B="Engineer"),QUOTIENT(ROW()-ROW($A$2),12)+1),"")</f>
        <v>Sphinx</v>
      </c>
      <c r="B240" s="42" t="str">
        <f>_xlfn.XLOOKUP(A240,Class_Players!$A:$A,Class_Players!$B:$B,"")</f>
        <v>Engineer</v>
      </c>
      <c r="C240" s="42" t="str" cm="1">
        <f t="array" ref="C240">INDEX(Lookups!$B$2:$B$13,MOD(ROW()-ROW($B$2),ROWS(Lookups!$B$2:$B$13))+1)</f>
        <v>Mini Frag Grenade</v>
      </c>
      <c r="D240" s="38" t="str">
        <f>_xlfn.XLOOKUP(C240,Analysis_Gadgets!$C:$C,Analysis_Gadgets!$B:$B)</f>
        <v>Grenade</v>
      </c>
      <c r="E240" s="43">
        <v>43</v>
      </c>
      <c r="F240" s="43">
        <f>_xlfn.XLOOKUP(A240,Class_Players!A:A,Class_Players!G:G)</f>
        <v>304</v>
      </c>
      <c r="G240" s="43">
        <f t="shared" si="54"/>
        <v>0.14144736842105263</v>
      </c>
      <c r="H240" s="43">
        <f>_xlfn.XLOOKUP(A240,Class_Players!$A:$A,Class_Players!$F:$F,"")</f>
        <v>11677</v>
      </c>
      <c r="I240" s="44">
        <f t="shared" si="55"/>
        <v>3.6824526847649224E-3</v>
      </c>
      <c r="J240" s="43">
        <f t="shared" si="56"/>
        <v>0</v>
      </c>
      <c r="K240" s="44" cm="1">
        <f t="array" ref="K240">IF(D240="Gadget",_xlfn.IFS(I240&gt;=0.2,0.5,I240&gt;=0.1,0.35,I240&gt;=0.05,0.2,TRUE,0),IF(D240="Grenade",_xlfn.IFS(I240&gt;=0.2,1,I240&gt;=0.1,0.7,I240&gt;=0.05,0.4,TRUE,0),0))</f>
        <v>0</v>
      </c>
      <c r="L240" s="57">
        <f t="shared" ref="L240:L241" si="58">IF($K240=0,0,$K240 / SUMIFS($K:$K,$A:$A,$A240,$D:$D,"Grenade"))</f>
        <v>0</v>
      </c>
    </row>
    <row r="241" spans="1:12" x14ac:dyDescent="0.25">
      <c r="A241" s="42" t="str" cm="1">
        <f t="array" ref="A241">IFERROR(INDEX(_xlfn._xlws.FILTER(Class_Players!A:A,Class_Players!B:B="Engineer"),QUOTIENT(ROW()-ROW($A$2),12)+1),"")</f>
        <v>Sphinx</v>
      </c>
      <c r="B241" s="42" t="str">
        <f>_xlfn.XLOOKUP(A241,Class_Players!$A:$A,Class_Players!$B:$B,"")</f>
        <v>Engineer</v>
      </c>
      <c r="C241" s="42" t="str" cm="1">
        <f t="array" ref="C241">INDEX(Lookups!$B$2:$B$13,MOD(ROW()-ROW($B$2),ROWS(Lookups!$B$2:$B$13))+1)</f>
        <v>Anti-Vehicle Grenade</v>
      </c>
      <c r="D241" s="38" t="str">
        <f>_xlfn.XLOOKUP(C241,Analysis_Gadgets!$C:$C,Analysis_Gadgets!$B:$B)</f>
        <v>Grenade</v>
      </c>
      <c r="E241" s="43">
        <v>0</v>
      </c>
      <c r="F241" s="43">
        <f>_xlfn.XLOOKUP(A241,Class_Players!A:A,Class_Players!G:G)</f>
        <v>304</v>
      </c>
      <c r="G241" s="43">
        <f t="shared" si="54"/>
        <v>0</v>
      </c>
      <c r="H241" s="43">
        <f>_xlfn.XLOOKUP(A241,Class_Players!$A:$A,Class_Players!$F:$F,"")</f>
        <v>11677</v>
      </c>
      <c r="I241" s="44">
        <f t="shared" si="55"/>
        <v>0</v>
      </c>
      <c r="J241" s="43">
        <f t="shared" si="56"/>
        <v>0</v>
      </c>
      <c r="K241" s="44" cm="1">
        <f t="array" ref="K241">IF(D241="Gadget",_xlfn.IFS(I241&gt;=0.2,0.5,I241&gt;=0.1,0.35,I241&gt;=0.05,0.2,TRUE,0),IF(D241="Grenade",_xlfn.IFS(I241&gt;=0.2,1,I241&gt;=0.1,0.7,I241&gt;=0.05,0.4,TRUE,0),0))</f>
        <v>0</v>
      </c>
      <c r="L241" s="57">
        <f t="shared" si="58"/>
        <v>0</v>
      </c>
    </row>
    <row r="242" spans="1:12" x14ac:dyDescent="0.25">
      <c r="A242" s="42" t="str" cm="1">
        <f t="array" ref="A242">IFERROR(INDEX(_xlfn._xlws.FILTER(Class_Players!A:A,Class_Players!B:B="Engineer"),QUOTIENT(ROW()-ROW($A$2),12)+1),"")</f>
        <v>xCOMK-E-Streetx</v>
      </c>
      <c r="B242" s="42" t="str">
        <f>_xlfn.XLOOKUP(A242,Class_Players!$A:$A,Class_Players!$B:$B,"")</f>
        <v>Engineer</v>
      </c>
      <c r="C242" s="42" t="str" cm="1">
        <f t="array" ref="C242">INDEX(Lookups!$B$2:$B$13,MOD(ROW()-ROW($B$2),ROWS(Lookups!$B$2:$B$13))+1)</f>
        <v>MBT-LAW (Auto-Guided Launcher)</v>
      </c>
      <c r="D242" s="38" t="str">
        <f>_xlfn.XLOOKUP(C242,Analysis_Gadgets!$C:$C,Analysis_Gadgets!$B:$B)</f>
        <v>Gadget</v>
      </c>
      <c r="E242" s="43">
        <v>0</v>
      </c>
      <c r="F242" s="43">
        <f>_xlfn.XLOOKUP(A242,Class_Players!A:A,Class_Players!G:G)</f>
        <v>401</v>
      </c>
      <c r="G242" s="43">
        <f t="shared" si="54"/>
        <v>0</v>
      </c>
      <c r="H242" s="43">
        <f>_xlfn.XLOOKUP(A242,Class_Players!$A:$A,Class_Players!$F:$F,"")</f>
        <v>11027</v>
      </c>
      <c r="I242" s="44">
        <f t="shared" si="55"/>
        <v>0</v>
      </c>
      <c r="J242" s="43">
        <f t="shared" si="56"/>
        <v>0</v>
      </c>
      <c r="K242" s="44" cm="1">
        <f t="array" ref="K242">IF(D242="Gadget",_xlfn.IFS(I242&gt;=0.2,0.5,I242&gt;=0.1,0.35,I242&gt;=0.05,0.2,TRUE,0),IF(D242="Grenade",_xlfn.IFS(I242&gt;=0.2,1,I242&gt;=0.1,0.7,I242&gt;=0.05,0.4,TRUE,0),0))</f>
        <v>0</v>
      </c>
      <c r="L242" s="57">
        <f t="shared" ref="L242:L251" si="59">IF($K242=0,0,$K242 / SUMIFS($K:$K,$A:$A,$A242,$D:$D,"Gadget"))</f>
        <v>0</v>
      </c>
    </row>
    <row r="243" spans="1:12" x14ac:dyDescent="0.25">
      <c r="A243" s="42" t="str" cm="1">
        <f t="array" ref="A243">IFERROR(INDEX(_xlfn._xlws.FILTER(Class_Players!A:A,Class_Players!B:B="Engineer"),QUOTIENT(ROW()-ROW($A$2),12)+1),"")</f>
        <v>xCOMK-E-Streetx</v>
      </c>
      <c r="B243" s="42" t="str">
        <f>_xlfn.XLOOKUP(A243,Class_Players!$A:$A,Class_Players!$B:$B,"")</f>
        <v>Engineer</v>
      </c>
      <c r="C243" s="42" t="str" cm="1">
        <f t="array" ref="C243">INDEX(Lookups!$B$2:$B$13,MOD(ROW()-ROW($B$2),ROWS(Lookups!$B$2:$B$13))+1)</f>
        <v>SLM-93A (Air-Defense Launcher)</v>
      </c>
      <c r="D243" s="38" t="str">
        <f>_xlfn.XLOOKUP(C243,Analysis_Gadgets!$C:$C,Analysis_Gadgets!$B:$B)</f>
        <v>Gadget</v>
      </c>
      <c r="E243" s="43">
        <v>206</v>
      </c>
      <c r="F243" s="43">
        <f>_xlfn.XLOOKUP(A243,Class_Players!A:A,Class_Players!G:G)</f>
        <v>401</v>
      </c>
      <c r="G243" s="43">
        <f t="shared" si="54"/>
        <v>0.513715710723192</v>
      </c>
      <c r="H243" s="43">
        <f>_xlfn.XLOOKUP(A243,Class_Players!$A:$A,Class_Players!$F:$F,"")</f>
        <v>11027</v>
      </c>
      <c r="I243" s="44">
        <f t="shared" si="55"/>
        <v>1.8681418336809648E-2</v>
      </c>
      <c r="J243" s="43">
        <f t="shared" si="56"/>
        <v>0</v>
      </c>
      <c r="K243" s="44" cm="1">
        <f t="array" ref="K243">IF(D243="Gadget",_xlfn.IFS(I243&gt;=0.2,0.5,I243&gt;=0.1,0.35,I243&gt;=0.05,0.2,TRUE,0),IF(D243="Grenade",_xlfn.IFS(I243&gt;=0.2,1,I243&gt;=0.1,0.7,I243&gt;=0.05,0.4,TRUE,0),0))</f>
        <v>0</v>
      </c>
      <c r="L243" s="57">
        <f t="shared" si="59"/>
        <v>0</v>
      </c>
    </row>
    <row r="244" spans="1:12" x14ac:dyDescent="0.25">
      <c r="A244" s="42" t="str" cm="1">
        <f t="array" ref="A244">IFERROR(INDEX(_xlfn._xlws.FILTER(Class_Players!A:A,Class_Players!B:B="Engineer"),QUOTIENT(ROW()-ROW($A$2),12)+1),"")</f>
        <v>xCOMK-E-Streetx</v>
      </c>
      <c r="B244" s="42" t="str">
        <f>_xlfn.XLOOKUP(A244,Class_Players!$A:$A,Class_Players!$B:$B,"")</f>
        <v>Engineer</v>
      </c>
      <c r="C244" s="42" t="str" cm="1">
        <f t="array" ref="C244">INDEX(Lookups!$B$2:$B$13,MOD(ROW()-ROW($B$2),ROWS(Lookups!$B$2:$B$13))+1)</f>
        <v>RPG-7V2 (Unguided Rocket Launcher)</v>
      </c>
      <c r="D244" s="38" t="str">
        <f>_xlfn.XLOOKUP(C244,Analysis_Gadgets!$C:$C,Analysis_Gadgets!$B:$B)</f>
        <v>Gadget</v>
      </c>
      <c r="E244" s="43">
        <v>3242</v>
      </c>
      <c r="F244" s="43">
        <f>_xlfn.XLOOKUP(A244,Class_Players!A:A,Class_Players!G:G)</f>
        <v>401</v>
      </c>
      <c r="G244" s="43">
        <f t="shared" si="54"/>
        <v>8.0847880299251873</v>
      </c>
      <c r="H244" s="43">
        <f>_xlfn.XLOOKUP(A244,Class_Players!$A:$A,Class_Players!$F:$F,"")</f>
        <v>11027</v>
      </c>
      <c r="I244" s="44">
        <f t="shared" si="55"/>
        <v>0.29400562256280038</v>
      </c>
      <c r="J244" s="43">
        <f t="shared" si="56"/>
        <v>1</v>
      </c>
      <c r="K244" s="44" cm="1">
        <f t="array" ref="K244">IF(D244="Gadget",_xlfn.IFS(I244&gt;=0.2,0.5,I244&gt;=0.1,0.35,I244&gt;=0.05,0.2,TRUE,0),IF(D244="Grenade",_xlfn.IFS(I244&gt;=0.2,1,I244&gt;=0.1,0.7,I244&gt;=0.05,0.4,TRUE,0),0))</f>
        <v>0.5</v>
      </c>
      <c r="L244" s="57">
        <f t="shared" si="59"/>
        <v>0.5</v>
      </c>
    </row>
    <row r="245" spans="1:12" x14ac:dyDescent="0.25">
      <c r="A245" s="42" t="str" cm="1">
        <f t="array" ref="A245">IFERROR(INDEX(_xlfn._xlws.FILTER(Class_Players!A:A,Class_Players!B:B="Engineer"),QUOTIENT(ROW()-ROW($A$2),12)+1),"")</f>
        <v>xCOMK-E-Streetx</v>
      </c>
      <c r="B245" s="42" t="str">
        <f>_xlfn.XLOOKUP(A245,Class_Players!$A:$A,Class_Players!$B:$B,"")</f>
        <v>Engineer</v>
      </c>
      <c r="C245" s="42" t="str" cm="1">
        <f t="array" ref="C245">INDEX(Lookups!$B$2:$B$13,MOD(ROW()-ROW($B$2),ROWS(Lookups!$B$2:$B$13))+1)</f>
        <v>MAS 148 (Long-Range Launcher)</v>
      </c>
      <c r="D245" s="38" t="str">
        <f>_xlfn.XLOOKUP(C245,Analysis_Gadgets!$C:$C,Analysis_Gadgets!$B:$B)</f>
        <v>Gadget</v>
      </c>
      <c r="E245" s="43">
        <v>0</v>
      </c>
      <c r="F245" s="43">
        <f>_xlfn.XLOOKUP(A245,Class_Players!A:A,Class_Players!G:G)</f>
        <v>401</v>
      </c>
      <c r="G245" s="43">
        <f t="shared" si="54"/>
        <v>0</v>
      </c>
      <c r="H245" s="43">
        <f>_xlfn.XLOOKUP(A245,Class_Players!$A:$A,Class_Players!$F:$F,"")</f>
        <v>11027</v>
      </c>
      <c r="I245" s="44">
        <f t="shared" si="55"/>
        <v>0</v>
      </c>
      <c r="J245" s="43">
        <f t="shared" si="56"/>
        <v>0</v>
      </c>
      <c r="K245" s="44" cm="1">
        <f t="array" ref="K245">IF(D245="Gadget",_xlfn.IFS(I245&gt;=0.2,0.5,I245&gt;=0.1,0.35,I245&gt;=0.05,0.2,TRUE,0),IF(D245="Grenade",_xlfn.IFS(I245&gt;=0.2,1,I245&gt;=0.1,0.7,I245&gt;=0.05,0.4,TRUE,0),0))</f>
        <v>0</v>
      </c>
      <c r="L245" s="57">
        <f t="shared" si="59"/>
        <v>0</v>
      </c>
    </row>
    <row r="246" spans="1:12" x14ac:dyDescent="0.25">
      <c r="A246" s="42" t="str" cm="1">
        <f t="array" ref="A246">IFERROR(INDEX(_xlfn._xlws.FILTER(Class_Players!A:A,Class_Players!B:B="Engineer"),QUOTIENT(ROW()-ROW($A$2),12)+1),"")</f>
        <v>xCOMK-E-Streetx</v>
      </c>
      <c r="B246" s="42" t="str">
        <f>_xlfn.XLOOKUP(A246,Class_Players!$A:$A,Class_Players!$B:$B,"")</f>
        <v>Engineer</v>
      </c>
      <c r="C246" s="42" t="str" cm="1">
        <f t="array" ref="C246">INDEX(Lookups!$B$2:$B$13,MOD(ROW()-ROW($B$2),ROWS(Lookups!$B$2:$B$13))+1)</f>
        <v>M136 AT (Aim-Guided Launcher)</v>
      </c>
      <c r="D246" s="38" t="str">
        <f>_xlfn.XLOOKUP(C246,Analysis_Gadgets!$C:$C,Analysis_Gadgets!$B:$B)</f>
        <v>Gadget</v>
      </c>
      <c r="E246" s="43">
        <v>0</v>
      </c>
      <c r="F246" s="43">
        <f>_xlfn.XLOOKUP(A246,Class_Players!A:A,Class_Players!G:G)</f>
        <v>401</v>
      </c>
      <c r="G246" s="43">
        <f t="shared" si="54"/>
        <v>0</v>
      </c>
      <c r="H246" s="43">
        <f>_xlfn.XLOOKUP(A246,Class_Players!$A:$A,Class_Players!$F:$F,"")</f>
        <v>11027</v>
      </c>
      <c r="I246" s="44">
        <f t="shared" si="55"/>
        <v>0</v>
      </c>
      <c r="J246" s="43">
        <f t="shared" si="56"/>
        <v>0</v>
      </c>
      <c r="K246" s="44" cm="1">
        <f t="array" ref="K246">IF(D246="Gadget",_xlfn.IFS(I246&gt;=0.2,0.5,I246&gt;=0.1,0.35,I246&gt;=0.05,0.2,TRUE,0),IF(D246="Grenade",_xlfn.IFS(I246&gt;=0.2,1,I246&gt;=0.1,0.7,I246&gt;=0.05,0.4,TRUE,0),0))</f>
        <v>0</v>
      </c>
      <c r="L246" s="57">
        <f t="shared" si="59"/>
        <v>0</v>
      </c>
    </row>
    <row r="247" spans="1:12" x14ac:dyDescent="0.25">
      <c r="A247" s="42" t="str" cm="1">
        <f t="array" ref="A247">IFERROR(INDEX(_xlfn._xlws.FILTER(Class_Players!A:A,Class_Players!B:B="Engineer"),QUOTIENT(ROW()-ROW($A$2),12)+1),"")</f>
        <v>xCOMK-E-Streetx</v>
      </c>
      <c r="B247" s="42" t="str">
        <f>_xlfn.XLOOKUP(A247,Class_Players!$A:$A,Class_Players!$B:$B,"")</f>
        <v>Engineer</v>
      </c>
      <c r="C247" s="42" t="str" cm="1">
        <f t="array" ref="C247">INDEX(Lookups!$B$2:$B$13,MOD(ROW()-ROW($B$2),ROWS(Lookups!$B$2:$B$13))+1)</f>
        <v>Supply Crate</v>
      </c>
      <c r="D247" s="38" t="str">
        <f>_xlfn.XLOOKUP(C247,Analysis_Gadgets!$C:$C,Analysis_Gadgets!$B:$B)</f>
        <v>Gadget</v>
      </c>
      <c r="E247" s="43">
        <v>20</v>
      </c>
      <c r="F247" s="43">
        <f>_xlfn.XLOOKUP(A247,Class_Players!A:A,Class_Players!G:G)</f>
        <v>401</v>
      </c>
      <c r="G247" s="43">
        <f t="shared" si="54"/>
        <v>4.9875311720698257E-2</v>
      </c>
      <c r="H247" s="43">
        <f>_xlfn.XLOOKUP(A247,Class_Players!$A:$A,Class_Players!$F:$F,"")</f>
        <v>11027</v>
      </c>
      <c r="I247" s="44">
        <f t="shared" si="55"/>
        <v>1.8137299356125872E-3</v>
      </c>
      <c r="J247" s="43">
        <f t="shared" si="56"/>
        <v>0</v>
      </c>
      <c r="K247" s="44" cm="1">
        <f t="array" ref="K247">IF(D247="Gadget",_xlfn.IFS(I247&gt;=0.2,0.5,I247&gt;=0.1,0.35,I247&gt;=0.05,0.2,TRUE,0),IF(D247="Grenade",_xlfn.IFS(I247&gt;=0.2,1,I247&gt;=0.1,0.7,I247&gt;=0.05,0.4,TRUE,0),0))</f>
        <v>0</v>
      </c>
      <c r="L247" s="57">
        <f t="shared" si="59"/>
        <v>0</v>
      </c>
    </row>
    <row r="248" spans="1:12" x14ac:dyDescent="0.25">
      <c r="A248" s="42" t="str" cm="1">
        <f t="array" ref="A248">IFERROR(INDEX(_xlfn._xlws.FILTER(Class_Players!A:A,Class_Players!B:B="Engineer"),QUOTIENT(ROW()-ROW($A$2),12)+1),"")</f>
        <v>xCOMK-E-Streetx</v>
      </c>
      <c r="B248" s="42" t="str">
        <f>_xlfn.XLOOKUP(A248,Class_Players!$A:$A,Class_Players!$B:$B,"")</f>
        <v>Engineer</v>
      </c>
      <c r="C248" s="42" t="str" cm="1">
        <f t="array" ref="C248">INDEX(Lookups!$B$2:$B$13,MOD(ROW()-ROW($B$2),ROWS(Lookups!$B$2:$B$13))+1)</f>
        <v>M15 (Anti-Vehicle Mine)</v>
      </c>
      <c r="D248" s="38" t="str">
        <f>_xlfn.XLOOKUP(C248,Analysis_Gadgets!$C:$C,Analysis_Gadgets!$B:$B)</f>
        <v>Gadget</v>
      </c>
      <c r="E248" s="43">
        <v>3497</v>
      </c>
      <c r="F248" s="43">
        <f>_xlfn.XLOOKUP(A248,Class_Players!A:A,Class_Players!G:G)</f>
        <v>401</v>
      </c>
      <c r="G248" s="43">
        <f t="shared" si="54"/>
        <v>8.7206982543640894</v>
      </c>
      <c r="H248" s="43">
        <f>_xlfn.XLOOKUP(A248,Class_Players!$A:$A,Class_Players!$F:$F,"")</f>
        <v>11027</v>
      </c>
      <c r="I248" s="44">
        <f t="shared" si="55"/>
        <v>0.31713067924186089</v>
      </c>
      <c r="J248" s="43">
        <f t="shared" si="56"/>
        <v>1</v>
      </c>
      <c r="K248" s="44" cm="1">
        <f t="array" ref="K248">IF(D248="Gadget",_xlfn.IFS(I248&gt;=0.2,0.5,I248&gt;=0.1,0.35,I248&gt;=0.05,0.2,TRUE,0),IF(D248="Grenade",_xlfn.IFS(I248&gt;=0.2,1,I248&gt;=0.1,0.7,I248&gt;=0.05,0.4,TRUE,0),0))</f>
        <v>0.5</v>
      </c>
      <c r="L248" s="57">
        <f t="shared" si="59"/>
        <v>0.5</v>
      </c>
    </row>
    <row r="249" spans="1:12" x14ac:dyDescent="0.25">
      <c r="A249" s="42" t="str" cm="1">
        <f t="array" ref="A249">IFERROR(INDEX(_xlfn._xlws.FILTER(Class_Players!A:A,Class_Players!B:B="Engineer"),QUOTIENT(ROW()-ROW($A$2),12)+1),"")</f>
        <v>xCOMK-E-Streetx</v>
      </c>
      <c r="B249" s="42" t="str">
        <f>_xlfn.XLOOKUP(A249,Class_Players!$A:$A,Class_Players!$B:$B,"")</f>
        <v>Engineer</v>
      </c>
      <c r="C249" s="42" t="str" cm="1">
        <f t="array" ref="C249">INDEX(Lookups!$B$2:$B$13,MOD(ROW()-ROW($B$2),ROWS(Lookups!$B$2:$B$13))+1)</f>
        <v>PTKM-1R (Acoustic Sensor AV Mine)</v>
      </c>
      <c r="D249" s="38" t="str">
        <f>_xlfn.XLOOKUP(C249,Analysis_Gadgets!$C:$C,Analysis_Gadgets!$B:$B)</f>
        <v>Gadget</v>
      </c>
      <c r="E249" s="43">
        <v>88</v>
      </c>
      <c r="F249" s="43">
        <f>_xlfn.XLOOKUP(A249,Class_Players!A:A,Class_Players!G:G)</f>
        <v>401</v>
      </c>
      <c r="G249" s="43">
        <f t="shared" si="54"/>
        <v>0.21945137157107231</v>
      </c>
      <c r="H249" s="43">
        <f>_xlfn.XLOOKUP(A249,Class_Players!$A:$A,Class_Players!$F:$F,"")</f>
        <v>11027</v>
      </c>
      <c r="I249" s="44">
        <f t="shared" si="55"/>
        <v>7.9804117166953834E-3</v>
      </c>
      <c r="J249" s="43">
        <f t="shared" si="56"/>
        <v>0</v>
      </c>
      <c r="K249" s="44" cm="1">
        <f t="array" ref="K249">IF(D249="Gadget",_xlfn.IFS(I249&gt;=0.2,0.5,I249&gt;=0.1,0.35,I249&gt;=0.05,0.2,TRUE,0),IF(D249="Grenade",_xlfn.IFS(I249&gt;=0.2,1,I249&gt;=0.1,0.7,I249&gt;=0.05,0.4,TRUE,0),0))</f>
        <v>0</v>
      </c>
      <c r="L249" s="57">
        <f t="shared" si="59"/>
        <v>0</v>
      </c>
    </row>
    <row r="250" spans="1:12" x14ac:dyDescent="0.25">
      <c r="A250" s="42" t="str" cm="1">
        <f t="array" ref="A250">IFERROR(INDEX(_xlfn._xlws.FILTER(Class_Players!A:A,Class_Players!B:B="Engineer"),QUOTIENT(ROW()-ROW($A$2),12)+1),"")</f>
        <v>xCOMK-E-Streetx</v>
      </c>
      <c r="B250" s="42" t="str">
        <f>_xlfn.XLOOKUP(A250,Class_Players!$A:$A,Class_Players!$B:$B,"")</f>
        <v>Engineer</v>
      </c>
      <c r="C250" s="42" t="str" cm="1">
        <f t="array" ref="C250">INDEX(Lookups!$B$2:$B$13,MOD(ROW()-ROW($B$2),ROWS(Lookups!$B$2:$B$13))+1)</f>
        <v>EOD Bot</v>
      </c>
      <c r="D250" s="38" t="str">
        <f>_xlfn.XLOOKUP(C250,Analysis_Gadgets!$C:$C,Analysis_Gadgets!$B:$B)</f>
        <v>Gadget</v>
      </c>
      <c r="E250" s="43">
        <v>0</v>
      </c>
      <c r="F250" s="43">
        <f>_xlfn.XLOOKUP(A250,Class_Players!A:A,Class_Players!G:G)</f>
        <v>401</v>
      </c>
      <c r="G250" s="43">
        <f t="shared" si="54"/>
        <v>0</v>
      </c>
      <c r="H250" s="43">
        <f>_xlfn.XLOOKUP(A250,Class_Players!$A:$A,Class_Players!$F:$F,"")</f>
        <v>11027</v>
      </c>
      <c r="I250" s="44">
        <f t="shared" si="55"/>
        <v>0</v>
      </c>
      <c r="J250" s="43">
        <f t="shared" si="56"/>
        <v>0</v>
      </c>
      <c r="K250" s="44" cm="1">
        <f t="array" ref="K250">IF(D250="Gadget",_xlfn.IFS(I250&gt;=0.2,0.5,I250&gt;=0.1,0.35,I250&gt;=0.05,0.2,TRUE,0),IF(D250="Grenade",_xlfn.IFS(I250&gt;=0.2,1,I250&gt;=0.1,0.7,I250&gt;=0.05,0.4,TRUE,0),0))</f>
        <v>0</v>
      </c>
      <c r="L250" s="57">
        <f t="shared" si="59"/>
        <v>0</v>
      </c>
    </row>
    <row r="251" spans="1:12" x14ac:dyDescent="0.25">
      <c r="A251" s="42" t="str" cm="1">
        <f t="array" ref="A251">IFERROR(INDEX(_xlfn._xlws.FILTER(Class_Players!A:A,Class_Players!B:B="Engineer"),QUOTIENT(ROW()-ROW($A$2),12)+1),"")</f>
        <v>xCOMK-E-Streetx</v>
      </c>
      <c r="B251" s="42" t="str">
        <f>_xlfn.XLOOKUP(A251,Class_Players!$A:$A,Class_Players!$B:$B,"")</f>
        <v>Engineer</v>
      </c>
      <c r="C251" s="42" t="str" cm="1">
        <f t="array" ref="C251">INDEX(Lookups!$B$2:$B$13,MOD(ROW()-ROW($B$2),ROWS(Lookups!$B$2:$B$13))+1)</f>
        <v>M4A1 SLAM (Tripwire Sensor AV Mine)</v>
      </c>
      <c r="D251" s="38" t="str">
        <f>_xlfn.XLOOKUP(C251,Analysis_Gadgets!$C:$C,Analysis_Gadgets!$B:$B)</f>
        <v>Gadget</v>
      </c>
      <c r="E251" s="43">
        <v>0</v>
      </c>
      <c r="F251" s="43">
        <f>_xlfn.XLOOKUP(A251,Class_Players!A:A,Class_Players!G:G)</f>
        <v>401</v>
      </c>
      <c r="G251" s="43">
        <f t="shared" si="54"/>
        <v>0</v>
      </c>
      <c r="H251" s="43">
        <f>_xlfn.XLOOKUP(A251,Class_Players!$A:$A,Class_Players!$F:$F,"")</f>
        <v>11027</v>
      </c>
      <c r="I251" s="44">
        <f t="shared" si="55"/>
        <v>0</v>
      </c>
      <c r="J251" s="43">
        <f t="shared" si="56"/>
        <v>0</v>
      </c>
      <c r="K251" s="44" cm="1">
        <f t="array" ref="K251">IF(D251="Gadget",_xlfn.IFS(I251&gt;=0.2,0.5,I251&gt;=0.1,0.35,I251&gt;=0.05,0.2,TRUE,0),IF(D251="Grenade",_xlfn.IFS(I251&gt;=0.2,1,I251&gt;=0.1,0.7,I251&gt;=0.05,0.4,TRUE,0),0))</f>
        <v>0</v>
      </c>
      <c r="L251" s="57">
        <f t="shared" si="59"/>
        <v>0</v>
      </c>
    </row>
    <row r="252" spans="1:12" x14ac:dyDescent="0.25">
      <c r="A252" s="42" t="str" cm="1">
        <f t="array" ref="A252">IFERROR(INDEX(_xlfn._xlws.FILTER(Class_Players!A:A,Class_Players!B:B="Engineer"),QUOTIENT(ROW()-ROW($A$2),12)+1),"")</f>
        <v>xCOMK-E-Streetx</v>
      </c>
      <c r="B252" s="42" t="str">
        <f>_xlfn.XLOOKUP(A252,Class_Players!$A:$A,Class_Players!$B:$B,"")</f>
        <v>Engineer</v>
      </c>
      <c r="C252" s="42" t="str" cm="1">
        <f t="array" ref="C252">INDEX(Lookups!$B$2:$B$13,MOD(ROW()-ROW($B$2),ROWS(Lookups!$B$2:$B$13))+1)</f>
        <v>Mini Frag Grenade</v>
      </c>
      <c r="D252" s="38" t="str">
        <f>_xlfn.XLOOKUP(C252,Analysis_Gadgets!$C:$C,Analysis_Gadgets!$B:$B)</f>
        <v>Grenade</v>
      </c>
      <c r="E252" s="43">
        <v>0</v>
      </c>
      <c r="F252" s="43">
        <f>_xlfn.XLOOKUP(A252,Class_Players!A:A,Class_Players!G:G)</f>
        <v>401</v>
      </c>
      <c r="G252" s="43">
        <f t="shared" si="54"/>
        <v>0</v>
      </c>
      <c r="H252" s="43">
        <f>_xlfn.XLOOKUP(A252,Class_Players!$A:$A,Class_Players!$F:$F,"")</f>
        <v>11027</v>
      </c>
      <c r="I252" s="44">
        <f t="shared" si="55"/>
        <v>0</v>
      </c>
      <c r="J252" s="43">
        <f t="shared" si="56"/>
        <v>0</v>
      </c>
      <c r="K252" s="44" cm="1">
        <f t="array" ref="K252">IF(D252="Gadget",_xlfn.IFS(I252&gt;=0.2,0.5,I252&gt;=0.1,0.35,I252&gt;=0.05,0.2,TRUE,0),IF(D252="Grenade",_xlfn.IFS(I252&gt;=0.2,1,I252&gt;=0.1,0.7,I252&gt;=0.05,0.4,TRUE,0),0))</f>
        <v>0</v>
      </c>
      <c r="L252" s="57">
        <f t="shared" ref="L252:L253" si="60">IF($K252=0,0,$K252 / SUMIFS($K:$K,$A:$A,$A252,$D:$D,"Grenade"))</f>
        <v>0</v>
      </c>
    </row>
    <row r="253" spans="1:12" x14ac:dyDescent="0.25">
      <c r="A253" s="42" t="str" cm="1">
        <f t="array" ref="A253">IFERROR(INDEX(_xlfn._xlws.FILTER(Class_Players!A:A,Class_Players!B:B="Engineer"),QUOTIENT(ROW()-ROW($A$2),12)+1),"")</f>
        <v>xCOMK-E-Streetx</v>
      </c>
      <c r="B253" s="42" t="str">
        <f>_xlfn.XLOOKUP(A253,Class_Players!$A:$A,Class_Players!$B:$B,"")</f>
        <v>Engineer</v>
      </c>
      <c r="C253" s="42" t="str" cm="1">
        <f t="array" ref="C253">INDEX(Lookups!$B$2:$B$13,MOD(ROW()-ROW($B$2),ROWS(Lookups!$B$2:$B$13))+1)</f>
        <v>Anti-Vehicle Grenade</v>
      </c>
      <c r="D253" s="38" t="str">
        <f>_xlfn.XLOOKUP(C253,Analysis_Gadgets!$C:$C,Analysis_Gadgets!$B:$B)</f>
        <v>Grenade</v>
      </c>
      <c r="E253" s="43">
        <v>0</v>
      </c>
      <c r="F253" s="43">
        <f>_xlfn.XLOOKUP(A253,Class_Players!A:A,Class_Players!G:G)</f>
        <v>401</v>
      </c>
      <c r="G253" s="43">
        <f t="shared" si="54"/>
        <v>0</v>
      </c>
      <c r="H253" s="43">
        <f>_xlfn.XLOOKUP(A253,Class_Players!$A:$A,Class_Players!$F:$F,"")</f>
        <v>11027</v>
      </c>
      <c r="I253" s="44">
        <f t="shared" si="55"/>
        <v>0</v>
      </c>
      <c r="J253" s="43">
        <f t="shared" si="56"/>
        <v>0</v>
      </c>
      <c r="K253" s="44" cm="1">
        <f t="array" ref="K253">IF(D253="Gadget",_xlfn.IFS(I253&gt;=0.2,0.5,I253&gt;=0.1,0.35,I253&gt;=0.05,0.2,TRUE,0),IF(D253="Grenade",_xlfn.IFS(I253&gt;=0.2,1,I253&gt;=0.1,0.7,I253&gt;=0.05,0.4,TRUE,0),0))</f>
        <v>0</v>
      </c>
      <c r="L253" s="57">
        <f t="shared" si="60"/>
        <v>0</v>
      </c>
    </row>
    <row r="254" spans="1:12" x14ac:dyDescent="0.25">
      <c r="A254" s="42" t="str" cm="1">
        <f t="array" ref="A254">IFERROR(INDEX(_xlfn._xlws.FILTER(Class_Players!A:A,Class_Players!B:B="Engineer"),QUOTIENT(ROW()-ROW($A$2),12)+1),"")</f>
        <v>L_uka</v>
      </c>
      <c r="B254" s="42" t="str">
        <f>_xlfn.XLOOKUP(A254,Class_Players!$A:$A,Class_Players!$B:$B,"")</f>
        <v>Engineer</v>
      </c>
      <c r="C254" s="42" t="str" cm="1">
        <f t="array" ref="C254">INDEX(Lookups!$B$2:$B$13,MOD(ROW()-ROW($B$2),ROWS(Lookups!$B$2:$B$13))+1)</f>
        <v>MBT-LAW (Auto-Guided Launcher)</v>
      </c>
      <c r="D254" s="38" t="str">
        <f>_xlfn.XLOOKUP(C254,Analysis_Gadgets!$C:$C,Analysis_Gadgets!$B:$B)</f>
        <v>Gadget</v>
      </c>
      <c r="E254" s="43">
        <v>0</v>
      </c>
      <c r="F254" s="43">
        <f>_xlfn.XLOOKUP(A254,Class_Players!A:A,Class_Players!G:G)</f>
        <v>283</v>
      </c>
      <c r="G254" s="43">
        <f t="shared" si="54"/>
        <v>0</v>
      </c>
      <c r="H254" s="43">
        <f>_xlfn.XLOOKUP(A254,Class_Players!$A:$A,Class_Players!$F:$F,"")</f>
        <v>12053</v>
      </c>
      <c r="I254" s="44">
        <f t="shared" si="55"/>
        <v>0</v>
      </c>
      <c r="J254" s="43">
        <f t="shared" si="56"/>
        <v>0</v>
      </c>
      <c r="K254" s="44" cm="1">
        <f t="array" ref="K254">IF(D254="Gadget",_xlfn.IFS(I254&gt;=0.2,0.5,I254&gt;=0.1,0.35,I254&gt;=0.05,0.2,TRUE,0),IF(D254="Grenade",_xlfn.IFS(I254&gt;=0.2,1,I254&gt;=0.1,0.7,I254&gt;=0.05,0.4,TRUE,0),0))</f>
        <v>0</v>
      </c>
      <c r="L254" s="57">
        <f t="shared" ref="L254:L263" si="61">IF($K254=0,0,$K254 / SUMIFS($K:$K,$A:$A,$A254,$D:$D,"Gadget"))</f>
        <v>0</v>
      </c>
    </row>
    <row r="255" spans="1:12" x14ac:dyDescent="0.25">
      <c r="A255" s="42" t="str" cm="1">
        <f t="array" ref="A255">IFERROR(INDEX(_xlfn._xlws.FILTER(Class_Players!A:A,Class_Players!B:B="Engineer"),QUOTIENT(ROW()-ROW($A$2),12)+1),"")</f>
        <v>L_uka</v>
      </c>
      <c r="B255" s="42" t="str">
        <f>_xlfn.XLOOKUP(A255,Class_Players!$A:$A,Class_Players!$B:$B,"")</f>
        <v>Engineer</v>
      </c>
      <c r="C255" s="42" t="str" cm="1">
        <f t="array" ref="C255">INDEX(Lookups!$B$2:$B$13,MOD(ROW()-ROW($B$2),ROWS(Lookups!$B$2:$B$13))+1)</f>
        <v>SLM-93A (Air-Defense Launcher)</v>
      </c>
      <c r="D255" s="38" t="str">
        <f>_xlfn.XLOOKUP(C255,Analysis_Gadgets!$C:$C,Analysis_Gadgets!$B:$B)</f>
        <v>Gadget</v>
      </c>
      <c r="E255" s="43">
        <v>96</v>
      </c>
      <c r="F255" s="43">
        <f>_xlfn.XLOOKUP(A255,Class_Players!A:A,Class_Players!G:G)</f>
        <v>283</v>
      </c>
      <c r="G255" s="43">
        <f t="shared" si="54"/>
        <v>0.33922261484098942</v>
      </c>
      <c r="H255" s="43">
        <f>_xlfn.XLOOKUP(A255,Class_Players!$A:$A,Class_Players!$F:$F,"")</f>
        <v>12053</v>
      </c>
      <c r="I255" s="44">
        <f t="shared" si="55"/>
        <v>7.9648220360076325E-3</v>
      </c>
      <c r="J255" s="43">
        <f t="shared" si="56"/>
        <v>0</v>
      </c>
      <c r="K255" s="44" cm="1">
        <f t="array" ref="K255">IF(D255="Gadget",_xlfn.IFS(I255&gt;=0.2,0.5,I255&gt;=0.1,0.35,I255&gt;=0.05,0.2,TRUE,0),IF(D255="Grenade",_xlfn.IFS(I255&gt;=0.2,1,I255&gt;=0.1,0.7,I255&gt;=0.05,0.4,TRUE,0),0))</f>
        <v>0</v>
      </c>
      <c r="L255" s="57">
        <f t="shared" si="61"/>
        <v>0</v>
      </c>
    </row>
    <row r="256" spans="1:12" x14ac:dyDescent="0.25">
      <c r="A256" s="42" t="str" cm="1">
        <f t="array" ref="A256">IFERROR(INDEX(_xlfn._xlws.FILTER(Class_Players!A:A,Class_Players!B:B="Engineer"),QUOTIENT(ROW()-ROW($A$2),12)+1),"")</f>
        <v>L_uka</v>
      </c>
      <c r="B256" s="42" t="str">
        <f>_xlfn.XLOOKUP(A256,Class_Players!$A:$A,Class_Players!$B:$B,"")</f>
        <v>Engineer</v>
      </c>
      <c r="C256" s="42" t="str" cm="1">
        <f t="array" ref="C256">INDEX(Lookups!$B$2:$B$13,MOD(ROW()-ROW($B$2),ROWS(Lookups!$B$2:$B$13))+1)</f>
        <v>RPG-7V2 (Unguided Rocket Launcher)</v>
      </c>
      <c r="D256" s="38" t="str">
        <f>_xlfn.XLOOKUP(C256,Analysis_Gadgets!$C:$C,Analysis_Gadgets!$B:$B)</f>
        <v>Gadget</v>
      </c>
      <c r="E256" s="43">
        <v>9761</v>
      </c>
      <c r="F256" s="43">
        <f>_xlfn.XLOOKUP(A256,Class_Players!A:A,Class_Players!G:G)</f>
        <v>283</v>
      </c>
      <c r="G256" s="43">
        <f t="shared" si="54"/>
        <v>34.491166077738519</v>
      </c>
      <c r="H256" s="43">
        <f>_xlfn.XLOOKUP(A256,Class_Players!$A:$A,Class_Players!$F:$F,"")</f>
        <v>12053</v>
      </c>
      <c r="I256" s="44">
        <f t="shared" si="55"/>
        <v>0.80983987389031775</v>
      </c>
      <c r="J256" s="43">
        <f t="shared" si="56"/>
        <v>1</v>
      </c>
      <c r="K256" s="44" cm="1">
        <f t="array" ref="K256">IF(D256="Gadget",_xlfn.IFS(I256&gt;=0.2,0.5,I256&gt;=0.1,0.35,I256&gt;=0.05,0.2,TRUE,0),IF(D256="Grenade",_xlfn.IFS(I256&gt;=0.2,1,I256&gt;=0.1,0.7,I256&gt;=0.05,0.4,TRUE,0),0))</f>
        <v>0.5</v>
      </c>
      <c r="L256" s="57">
        <f t="shared" si="61"/>
        <v>0.41666666666666669</v>
      </c>
    </row>
    <row r="257" spans="1:12" x14ac:dyDescent="0.25">
      <c r="A257" s="42" t="str" cm="1">
        <f t="array" ref="A257">IFERROR(INDEX(_xlfn._xlws.FILTER(Class_Players!A:A,Class_Players!B:B="Engineer"),QUOTIENT(ROW()-ROW($A$2),12)+1),"")</f>
        <v>L_uka</v>
      </c>
      <c r="B257" s="42" t="str">
        <f>_xlfn.XLOOKUP(A257,Class_Players!$A:$A,Class_Players!$B:$B,"")</f>
        <v>Engineer</v>
      </c>
      <c r="C257" s="42" t="str" cm="1">
        <f t="array" ref="C257">INDEX(Lookups!$B$2:$B$13,MOD(ROW()-ROW($B$2),ROWS(Lookups!$B$2:$B$13))+1)</f>
        <v>MAS 148 (Long-Range Launcher)</v>
      </c>
      <c r="D257" s="38" t="str">
        <f>_xlfn.XLOOKUP(C257,Analysis_Gadgets!$C:$C,Analysis_Gadgets!$B:$B)</f>
        <v>Gadget</v>
      </c>
      <c r="E257" s="43">
        <v>76</v>
      </c>
      <c r="F257" s="43">
        <f>_xlfn.XLOOKUP(A257,Class_Players!A:A,Class_Players!G:G)</f>
        <v>283</v>
      </c>
      <c r="G257" s="43">
        <f t="shared" si="54"/>
        <v>0.26855123674911663</v>
      </c>
      <c r="H257" s="43">
        <f>_xlfn.XLOOKUP(A257,Class_Players!$A:$A,Class_Players!$F:$F,"")</f>
        <v>12053</v>
      </c>
      <c r="I257" s="44">
        <f t="shared" si="55"/>
        <v>6.3054841118393764E-3</v>
      </c>
      <c r="J257" s="43">
        <f t="shared" si="56"/>
        <v>0</v>
      </c>
      <c r="K257" s="44" cm="1">
        <f t="array" ref="K257">IF(D257="Gadget",_xlfn.IFS(I257&gt;=0.2,0.5,I257&gt;=0.1,0.35,I257&gt;=0.05,0.2,TRUE,0),IF(D257="Grenade",_xlfn.IFS(I257&gt;=0.2,1,I257&gt;=0.1,0.7,I257&gt;=0.05,0.4,TRUE,0),0))</f>
        <v>0</v>
      </c>
      <c r="L257" s="57">
        <f t="shared" si="61"/>
        <v>0</v>
      </c>
    </row>
    <row r="258" spans="1:12" x14ac:dyDescent="0.25">
      <c r="A258" s="42" t="str" cm="1">
        <f t="array" ref="A258">IFERROR(INDEX(_xlfn._xlws.FILTER(Class_Players!A:A,Class_Players!B:B="Engineer"),QUOTIENT(ROW()-ROW($A$2),12)+1),"")</f>
        <v>L_uka</v>
      </c>
      <c r="B258" s="42" t="str">
        <f>_xlfn.XLOOKUP(A258,Class_Players!$A:$A,Class_Players!$B:$B,"")</f>
        <v>Engineer</v>
      </c>
      <c r="C258" s="42" t="str" cm="1">
        <f t="array" ref="C258">INDEX(Lookups!$B$2:$B$13,MOD(ROW()-ROW($B$2),ROWS(Lookups!$B$2:$B$13))+1)</f>
        <v>M136 AT (Aim-Guided Launcher)</v>
      </c>
      <c r="D258" s="38" t="str">
        <f>_xlfn.XLOOKUP(C258,Analysis_Gadgets!$C:$C,Analysis_Gadgets!$B:$B)</f>
        <v>Gadget</v>
      </c>
      <c r="E258" s="43">
        <v>3</v>
      </c>
      <c r="F258" s="43">
        <f>_xlfn.XLOOKUP(A258,Class_Players!A:A,Class_Players!G:G)</f>
        <v>283</v>
      </c>
      <c r="G258" s="43">
        <f t="shared" si="54"/>
        <v>1.0600706713780919E-2</v>
      </c>
      <c r="H258" s="43">
        <f>_xlfn.XLOOKUP(A258,Class_Players!$A:$A,Class_Players!$F:$F,"")</f>
        <v>12053</v>
      </c>
      <c r="I258" s="44">
        <f t="shared" si="55"/>
        <v>2.4890068862523852E-4</v>
      </c>
      <c r="J258" s="43">
        <f t="shared" si="56"/>
        <v>0</v>
      </c>
      <c r="K258" s="44" cm="1">
        <f t="array" ref="K258">IF(D258="Gadget",_xlfn.IFS(I258&gt;=0.2,0.5,I258&gt;=0.1,0.35,I258&gt;=0.05,0.2,TRUE,0),IF(D258="Grenade",_xlfn.IFS(I258&gt;=0.2,1,I258&gt;=0.1,0.7,I258&gt;=0.05,0.4,TRUE,0),0))</f>
        <v>0</v>
      </c>
      <c r="L258" s="57">
        <f t="shared" si="61"/>
        <v>0</v>
      </c>
    </row>
    <row r="259" spans="1:12" x14ac:dyDescent="0.25">
      <c r="A259" s="42" t="str" cm="1">
        <f t="array" ref="A259">IFERROR(INDEX(_xlfn._xlws.FILTER(Class_Players!A:A,Class_Players!B:B="Engineer"),QUOTIENT(ROW()-ROW($A$2),12)+1),"")</f>
        <v>L_uka</v>
      </c>
      <c r="B259" s="42" t="str">
        <f>_xlfn.XLOOKUP(A259,Class_Players!$A:$A,Class_Players!$B:$B,"")</f>
        <v>Engineer</v>
      </c>
      <c r="C259" s="42" t="str" cm="1">
        <f t="array" ref="C259">INDEX(Lookups!$B$2:$B$13,MOD(ROW()-ROW($B$2),ROWS(Lookups!$B$2:$B$13))+1)</f>
        <v>Supply Crate</v>
      </c>
      <c r="D259" s="38" t="str">
        <f>_xlfn.XLOOKUP(C259,Analysis_Gadgets!$C:$C,Analysis_Gadgets!$B:$B)</f>
        <v>Gadget</v>
      </c>
      <c r="E259" s="43">
        <v>10</v>
      </c>
      <c r="F259" s="43">
        <f>_xlfn.XLOOKUP(A259,Class_Players!A:A,Class_Players!G:G)</f>
        <v>283</v>
      </c>
      <c r="G259" s="43">
        <f t="shared" si="54"/>
        <v>3.5335689045936397E-2</v>
      </c>
      <c r="H259" s="43">
        <f>_xlfn.XLOOKUP(A259,Class_Players!$A:$A,Class_Players!$F:$F,"")</f>
        <v>12053</v>
      </c>
      <c r="I259" s="44">
        <f t="shared" si="55"/>
        <v>8.2966896208412839E-4</v>
      </c>
      <c r="J259" s="43">
        <f t="shared" si="56"/>
        <v>0</v>
      </c>
      <c r="K259" s="44" cm="1">
        <f t="array" ref="K259">IF(D259="Gadget",_xlfn.IFS(I259&gt;=0.2,0.5,I259&gt;=0.1,0.35,I259&gt;=0.05,0.2,TRUE,0),IF(D259="Grenade",_xlfn.IFS(I259&gt;=0.2,1,I259&gt;=0.1,0.7,I259&gt;=0.05,0.4,TRUE,0),0))</f>
        <v>0</v>
      </c>
      <c r="L259" s="57">
        <f t="shared" si="61"/>
        <v>0</v>
      </c>
    </row>
    <row r="260" spans="1:12" x14ac:dyDescent="0.25">
      <c r="A260" s="42" t="str" cm="1">
        <f t="array" ref="A260">IFERROR(INDEX(_xlfn._xlws.FILTER(Class_Players!A:A,Class_Players!B:B="Engineer"),QUOTIENT(ROW()-ROW($A$2),12)+1),"")</f>
        <v>L_uka</v>
      </c>
      <c r="B260" s="42" t="str">
        <f>_xlfn.XLOOKUP(A260,Class_Players!$A:$A,Class_Players!$B:$B,"")</f>
        <v>Engineer</v>
      </c>
      <c r="C260" s="42" t="str" cm="1">
        <f t="array" ref="C260">INDEX(Lookups!$B$2:$B$13,MOD(ROW()-ROW($B$2),ROWS(Lookups!$B$2:$B$13))+1)</f>
        <v>M15 (Anti-Vehicle Mine)</v>
      </c>
      <c r="D260" s="38" t="str">
        <f>_xlfn.XLOOKUP(C260,Analysis_Gadgets!$C:$C,Analysis_Gadgets!$B:$B)</f>
        <v>Gadget</v>
      </c>
      <c r="E260" s="43">
        <v>3964</v>
      </c>
      <c r="F260" s="43">
        <f>_xlfn.XLOOKUP(A260,Class_Players!A:A,Class_Players!G:G)</f>
        <v>283</v>
      </c>
      <c r="G260" s="43">
        <f t="shared" si="54"/>
        <v>14.007067137809187</v>
      </c>
      <c r="H260" s="43">
        <f>_xlfn.XLOOKUP(A260,Class_Players!$A:$A,Class_Players!$F:$F,"")</f>
        <v>12053</v>
      </c>
      <c r="I260" s="44">
        <f t="shared" si="55"/>
        <v>0.32888077657014853</v>
      </c>
      <c r="J260" s="43">
        <f t="shared" si="56"/>
        <v>1</v>
      </c>
      <c r="K260" s="44" cm="1">
        <f t="array" ref="K260">IF(D260="Gadget",_xlfn.IFS(I260&gt;=0.2,0.5,I260&gt;=0.1,0.35,I260&gt;=0.05,0.2,TRUE,0),IF(D260="Grenade",_xlfn.IFS(I260&gt;=0.2,1,I260&gt;=0.1,0.7,I260&gt;=0.05,0.4,TRUE,0),0))</f>
        <v>0.5</v>
      </c>
      <c r="L260" s="57">
        <f t="shared" si="61"/>
        <v>0.41666666666666669</v>
      </c>
    </row>
    <row r="261" spans="1:12" x14ac:dyDescent="0.25">
      <c r="A261" s="42" t="str" cm="1">
        <f t="array" ref="A261">IFERROR(INDEX(_xlfn._xlws.FILTER(Class_Players!A:A,Class_Players!B:B="Engineer"),QUOTIENT(ROW()-ROW($A$2),12)+1),"")</f>
        <v>L_uka</v>
      </c>
      <c r="B261" s="42" t="str">
        <f>_xlfn.XLOOKUP(A261,Class_Players!$A:$A,Class_Players!$B:$B,"")</f>
        <v>Engineer</v>
      </c>
      <c r="C261" s="42" t="str" cm="1">
        <f t="array" ref="C261">INDEX(Lookups!$B$2:$B$13,MOD(ROW()-ROW($B$2),ROWS(Lookups!$B$2:$B$13))+1)</f>
        <v>PTKM-1R (Acoustic Sensor AV Mine)</v>
      </c>
      <c r="D261" s="38" t="str">
        <f>_xlfn.XLOOKUP(C261,Analysis_Gadgets!$C:$C,Analysis_Gadgets!$B:$B)</f>
        <v>Gadget</v>
      </c>
      <c r="E261" s="43">
        <v>979</v>
      </c>
      <c r="F261" s="43">
        <f>_xlfn.XLOOKUP(A261,Class_Players!A:A,Class_Players!G:G)</f>
        <v>283</v>
      </c>
      <c r="G261" s="43">
        <f t="shared" si="54"/>
        <v>3.4593639575971733</v>
      </c>
      <c r="H261" s="43">
        <f>_xlfn.XLOOKUP(A261,Class_Players!$A:$A,Class_Players!$F:$F,"")</f>
        <v>12053</v>
      </c>
      <c r="I261" s="44">
        <f t="shared" si="55"/>
        <v>8.1224591388036171E-2</v>
      </c>
      <c r="J261" s="43">
        <f t="shared" si="56"/>
        <v>0</v>
      </c>
      <c r="K261" s="44" cm="1">
        <f t="array" ref="K261">IF(D261="Gadget",_xlfn.IFS(I261&gt;=0.2,0.5,I261&gt;=0.1,0.35,I261&gt;=0.05,0.2,TRUE,0),IF(D261="Grenade",_xlfn.IFS(I261&gt;=0.2,1,I261&gt;=0.1,0.7,I261&gt;=0.05,0.4,TRUE,0),0))</f>
        <v>0.2</v>
      </c>
      <c r="L261" s="57">
        <f t="shared" si="61"/>
        <v>0.16666666666666669</v>
      </c>
    </row>
    <row r="262" spans="1:12" x14ac:dyDescent="0.25">
      <c r="A262" s="42" t="str" cm="1">
        <f t="array" ref="A262">IFERROR(INDEX(_xlfn._xlws.FILTER(Class_Players!A:A,Class_Players!B:B="Engineer"),QUOTIENT(ROW()-ROW($A$2),12)+1),"")</f>
        <v>L_uka</v>
      </c>
      <c r="B262" s="42" t="str">
        <f>_xlfn.XLOOKUP(A262,Class_Players!$A:$A,Class_Players!$B:$B,"")</f>
        <v>Engineer</v>
      </c>
      <c r="C262" s="42" t="str" cm="1">
        <f t="array" ref="C262">INDEX(Lookups!$B$2:$B$13,MOD(ROW()-ROW($B$2),ROWS(Lookups!$B$2:$B$13))+1)</f>
        <v>EOD Bot</v>
      </c>
      <c r="D262" s="38" t="str">
        <f>_xlfn.XLOOKUP(C262,Analysis_Gadgets!$C:$C,Analysis_Gadgets!$B:$B)</f>
        <v>Gadget</v>
      </c>
      <c r="E262" s="43">
        <v>2</v>
      </c>
      <c r="F262" s="43">
        <f>_xlfn.XLOOKUP(A262,Class_Players!A:A,Class_Players!G:G)</f>
        <v>283</v>
      </c>
      <c r="G262" s="43">
        <f t="shared" si="54"/>
        <v>7.0671378091872791E-3</v>
      </c>
      <c r="H262" s="43">
        <f>_xlfn.XLOOKUP(A262,Class_Players!$A:$A,Class_Players!$F:$F,"")</f>
        <v>12053</v>
      </c>
      <c r="I262" s="44">
        <f t="shared" si="55"/>
        <v>1.6593379241682568E-4</v>
      </c>
      <c r="J262" s="43">
        <f t="shared" si="56"/>
        <v>0</v>
      </c>
      <c r="K262" s="44" cm="1">
        <f t="array" ref="K262">IF(D262="Gadget",_xlfn.IFS(I262&gt;=0.2,0.5,I262&gt;=0.1,0.35,I262&gt;=0.05,0.2,TRUE,0),IF(D262="Grenade",_xlfn.IFS(I262&gt;=0.2,1,I262&gt;=0.1,0.7,I262&gt;=0.05,0.4,TRUE,0),0))</f>
        <v>0</v>
      </c>
      <c r="L262" s="57">
        <f t="shared" si="61"/>
        <v>0</v>
      </c>
    </row>
    <row r="263" spans="1:12" x14ac:dyDescent="0.25">
      <c r="A263" s="42" t="str" cm="1">
        <f t="array" ref="A263">IFERROR(INDEX(_xlfn._xlws.FILTER(Class_Players!A:A,Class_Players!B:B="Engineer"),QUOTIENT(ROW()-ROW($A$2),12)+1),"")</f>
        <v>L_uka</v>
      </c>
      <c r="B263" s="42" t="str">
        <f>_xlfn.XLOOKUP(A263,Class_Players!$A:$A,Class_Players!$B:$B,"")</f>
        <v>Engineer</v>
      </c>
      <c r="C263" s="42" t="str" cm="1">
        <f t="array" ref="C263">INDEX(Lookups!$B$2:$B$13,MOD(ROW()-ROW($B$2),ROWS(Lookups!$B$2:$B$13))+1)</f>
        <v>M4A1 SLAM (Tripwire Sensor AV Mine)</v>
      </c>
      <c r="D263" s="38" t="str">
        <f>_xlfn.XLOOKUP(C263,Analysis_Gadgets!$C:$C,Analysis_Gadgets!$B:$B)</f>
        <v>Gadget</v>
      </c>
      <c r="E263" s="43">
        <v>58</v>
      </c>
      <c r="F263" s="43">
        <f>_xlfn.XLOOKUP(A263,Class_Players!A:A,Class_Players!G:G)</f>
        <v>283</v>
      </c>
      <c r="G263" s="43">
        <f t="shared" si="54"/>
        <v>0.20494699646643111</v>
      </c>
      <c r="H263" s="43">
        <f>_xlfn.XLOOKUP(A263,Class_Players!$A:$A,Class_Players!$F:$F,"")</f>
        <v>12053</v>
      </c>
      <c r="I263" s="44">
        <f t="shared" si="55"/>
        <v>4.8120799800879452E-3</v>
      </c>
      <c r="J263" s="43">
        <f t="shared" si="56"/>
        <v>0</v>
      </c>
      <c r="K263" s="44" cm="1">
        <f t="array" ref="K263">IF(D263="Gadget",_xlfn.IFS(I263&gt;=0.2,0.5,I263&gt;=0.1,0.35,I263&gt;=0.05,0.2,TRUE,0),IF(D263="Grenade",_xlfn.IFS(I263&gt;=0.2,1,I263&gt;=0.1,0.7,I263&gt;=0.05,0.4,TRUE,0),0))</f>
        <v>0</v>
      </c>
      <c r="L263" s="57">
        <f t="shared" si="61"/>
        <v>0</v>
      </c>
    </row>
    <row r="264" spans="1:12" x14ac:dyDescent="0.25">
      <c r="A264" s="42" t="str" cm="1">
        <f t="array" ref="A264">IFERROR(INDEX(_xlfn._xlws.FILTER(Class_Players!A:A,Class_Players!B:B="Engineer"),QUOTIENT(ROW()-ROW($A$2),12)+1),"")</f>
        <v>L_uka</v>
      </c>
      <c r="B264" s="42" t="str">
        <f>_xlfn.XLOOKUP(A264,Class_Players!$A:$A,Class_Players!$B:$B,"")</f>
        <v>Engineer</v>
      </c>
      <c r="C264" s="42" t="str" cm="1">
        <f t="array" ref="C264">INDEX(Lookups!$B$2:$B$13,MOD(ROW()-ROW($B$2),ROWS(Lookups!$B$2:$B$13))+1)</f>
        <v>Mini Frag Grenade</v>
      </c>
      <c r="D264" s="38" t="str">
        <f>_xlfn.XLOOKUP(C264,Analysis_Gadgets!$C:$C,Analysis_Gadgets!$B:$B)</f>
        <v>Grenade</v>
      </c>
      <c r="E264" s="43">
        <v>2</v>
      </c>
      <c r="F264" s="43">
        <f>_xlfn.XLOOKUP(A264,Class_Players!A:A,Class_Players!G:G)</f>
        <v>283</v>
      </c>
      <c r="G264" s="43">
        <f t="shared" si="54"/>
        <v>7.0671378091872791E-3</v>
      </c>
      <c r="H264" s="43">
        <f>_xlfn.XLOOKUP(A264,Class_Players!$A:$A,Class_Players!$F:$F,"")</f>
        <v>12053</v>
      </c>
      <c r="I264" s="44">
        <f t="shared" si="55"/>
        <v>1.6593379241682568E-4</v>
      </c>
      <c r="J264" s="43">
        <f t="shared" si="56"/>
        <v>0</v>
      </c>
      <c r="K264" s="44" cm="1">
        <f t="array" ref="K264">IF(D264="Gadget",_xlfn.IFS(I264&gt;=0.2,0.5,I264&gt;=0.1,0.35,I264&gt;=0.05,0.2,TRUE,0),IF(D264="Grenade",_xlfn.IFS(I264&gt;=0.2,1,I264&gt;=0.1,0.7,I264&gt;=0.05,0.4,TRUE,0),0))</f>
        <v>0</v>
      </c>
      <c r="L264" s="57">
        <f t="shared" ref="L264:L265" si="62">IF($K264=0,0,$K264 / SUMIFS($K:$K,$A:$A,$A264,$D:$D,"Grenade"))</f>
        <v>0</v>
      </c>
    </row>
    <row r="265" spans="1:12" x14ac:dyDescent="0.25">
      <c r="A265" s="42" t="str" cm="1">
        <f t="array" ref="A265">IFERROR(INDEX(_xlfn._xlws.FILTER(Class_Players!A:A,Class_Players!B:B="Engineer"),QUOTIENT(ROW()-ROW($A$2),12)+1),"")</f>
        <v>L_uka</v>
      </c>
      <c r="B265" s="42" t="str">
        <f>_xlfn.XLOOKUP(A265,Class_Players!$A:$A,Class_Players!$B:$B,"")</f>
        <v>Engineer</v>
      </c>
      <c r="C265" s="42" t="str" cm="1">
        <f t="array" ref="C265">INDEX(Lookups!$B$2:$B$13,MOD(ROW()-ROW($B$2),ROWS(Lookups!$B$2:$B$13))+1)</f>
        <v>Anti-Vehicle Grenade</v>
      </c>
      <c r="D265" s="38" t="str">
        <f>_xlfn.XLOOKUP(C265,Analysis_Gadgets!$C:$C,Analysis_Gadgets!$B:$B)</f>
        <v>Grenade</v>
      </c>
      <c r="E265" s="43">
        <v>0</v>
      </c>
      <c r="F265" s="43">
        <f>_xlfn.XLOOKUP(A265,Class_Players!A:A,Class_Players!G:G)</f>
        <v>283</v>
      </c>
      <c r="G265" s="43">
        <f t="shared" si="54"/>
        <v>0</v>
      </c>
      <c r="H265" s="43">
        <f>_xlfn.XLOOKUP(A265,Class_Players!$A:$A,Class_Players!$F:$F,"")</f>
        <v>12053</v>
      </c>
      <c r="I265" s="44">
        <f t="shared" si="55"/>
        <v>0</v>
      </c>
      <c r="J265" s="43">
        <f t="shared" si="56"/>
        <v>0</v>
      </c>
      <c r="K265" s="44" cm="1">
        <f t="array" ref="K265">IF(D265="Gadget",_xlfn.IFS(I265&gt;=0.2,0.5,I265&gt;=0.1,0.35,I265&gt;=0.05,0.2,TRUE,0),IF(D265="Grenade",_xlfn.IFS(I265&gt;=0.2,1,I265&gt;=0.1,0.7,I265&gt;=0.05,0.4,TRUE,0),0))</f>
        <v>0</v>
      </c>
      <c r="L265" s="57">
        <f t="shared" si="62"/>
        <v>0</v>
      </c>
    </row>
    <row r="266" spans="1:12" x14ac:dyDescent="0.25">
      <c r="A266" s="42" t="str" cm="1">
        <f t="array" ref="A266">IFERROR(INDEX(_xlfn._xlws.FILTER(Class_Players!A:A,Class_Players!B:B="Engineer"),QUOTIENT(ROW()-ROW($A$2),12)+1),"")</f>
        <v>Korben__Dallas1</v>
      </c>
      <c r="B266" s="42" t="str">
        <f>_xlfn.XLOOKUP(A266,Class_Players!$A:$A,Class_Players!$B:$B,"")</f>
        <v>Engineer</v>
      </c>
      <c r="C266" s="42" t="str" cm="1">
        <f t="array" ref="C266">INDEX(Lookups!$B$2:$B$13,MOD(ROW()-ROW($B$2),ROWS(Lookups!$B$2:$B$13))+1)</f>
        <v>MBT-LAW (Auto-Guided Launcher)</v>
      </c>
      <c r="D266" s="38" t="str">
        <f>_xlfn.XLOOKUP(C266,Analysis_Gadgets!$C:$C,Analysis_Gadgets!$B:$B)</f>
        <v>Gadget</v>
      </c>
      <c r="E266" s="43">
        <v>0</v>
      </c>
      <c r="F266" s="43">
        <f>_xlfn.XLOOKUP(A266,Class_Players!A:A,Class_Players!G:G)</f>
        <v>551</v>
      </c>
      <c r="G266" s="43">
        <f t="shared" si="54"/>
        <v>0</v>
      </c>
      <c r="H266" s="43">
        <f>_xlfn.XLOOKUP(A266,Class_Players!$A:$A,Class_Players!$F:$F,"")</f>
        <v>10797</v>
      </c>
      <c r="I266" s="44">
        <f t="shared" si="55"/>
        <v>0</v>
      </c>
      <c r="J266" s="43">
        <f t="shared" si="56"/>
        <v>0</v>
      </c>
      <c r="K266" s="44" cm="1">
        <f t="array" ref="K266">IF(D266="Gadget",_xlfn.IFS(I266&gt;=0.2,0.5,I266&gt;=0.1,0.35,I266&gt;=0.05,0.2,TRUE,0),IF(D266="Grenade",_xlfn.IFS(I266&gt;=0.2,1,I266&gt;=0.1,0.7,I266&gt;=0.05,0.4,TRUE,0),0))</f>
        <v>0</v>
      </c>
      <c r="L266" s="57">
        <f t="shared" ref="L266:L275" si="63">IF($K266=0,0,$K266 / SUMIFS($K:$K,$A:$A,$A266,$D:$D,"Gadget"))</f>
        <v>0</v>
      </c>
    </row>
    <row r="267" spans="1:12" x14ac:dyDescent="0.25">
      <c r="A267" s="42" t="str" cm="1">
        <f t="array" ref="A267">IFERROR(INDEX(_xlfn._xlws.FILTER(Class_Players!A:A,Class_Players!B:B="Engineer"),QUOTIENT(ROW()-ROW($A$2),12)+1),"")</f>
        <v>Korben__Dallas1</v>
      </c>
      <c r="B267" s="42" t="str">
        <f>_xlfn.XLOOKUP(A267,Class_Players!$A:$A,Class_Players!$B:$B,"")</f>
        <v>Engineer</v>
      </c>
      <c r="C267" s="42" t="str" cm="1">
        <f t="array" ref="C267">INDEX(Lookups!$B$2:$B$13,MOD(ROW()-ROW($B$2),ROWS(Lookups!$B$2:$B$13))+1)</f>
        <v>SLM-93A (Air-Defense Launcher)</v>
      </c>
      <c r="D267" s="38" t="str">
        <f>_xlfn.XLOOKUP(C267,Analysis_Gadgets!$C:$C,Analysis_Gadgets!$B:$B)</f>
        <v>Gadget</v>
      </c>
      <c r="E267" s="43">
        <v>426</v>
      </c>
      <c r="F267" s="43">
        <f>_xlfn.XLOOKUP(A267,Class_Players!A:A,Class_Players!G:G)</f>
        <v>551</v>
      </c>
      <c r="G267" s="43">
        <f t="shared" si="54"/>
        <v>0.77313974591651546</v>
      </c>
      <c r="H267" s="43">
        <f>_xlfn.XLOOKUP(A267,Class_Players!$A:$A,Class_Players!$F:$F,"")</f>
        <v>10797</v>
      </c>
      <c r="I267" s="44">
        <f t="shared" si="55"/>
        <v>3.9455404278966377E-2</v>
      </c>
      <c r="J267" s="43">
        <f t="shared" si="56"/>
        <v>0</v>
      </c>
      <c r="K267" s="44" cm="1">
        <f t="array" ref="K267">IF(D267="Gadget",_xlfn.IFS(I267&gt;=0.2,0.5,I267&gt;=0.1,0.35,I267&gt;=0.05,0.2,TRUE,0),IF(D267="Grenade",_xlfn.IFS(I267&gt;=0.2,1,I267&gt;=0.1,0.7,I267&gt;=0.05,0.4,TRUE,0),0))</f>
        <v>0</v>
      </c>
      <c r="L267" s="57">
        <f t="shared" si="63"/>
        <v>0</v>
      </c>
    </row>
    <row r="268" spans="1:12" x14ac:dyDescent="0.25">
      <c r="A268" s="42" t="str" cm="1">
        <f t="array" ref="A268">IFERROR(INDEX(_xlfn._xlws.FILTER(Class_Players!A:A,Class_Players!B:B="Engineer"),QUOTIENT(ROW()-ROW($A$2),12)+1),"")</f>
        <v>Korben__Dallas1</v>
      </c>
      <c r="B268" s="42" t="str">
        <f>_xlfn.XLOOKUP(A268,Class_Players!$A:$A,Class_Players!$B:$B,"")</f>
        <v>Engineer</v>
      </c>
      <c r="C268" s="42" t="str" cm="1">
        <f t="array" ref="C268">INDEX(Lookups!$B$2:$B$13,MOD(ROW()-ROW($B$2),ROWS(Lookups!$B$2:$B$13))+1)</f>
        <v>RPG-7V2 (Unguided Rocket Launcher)</v>
      </c>
      <c r="D268" s="38" t="str">
        <f>_xlfn.XLOOKUP(C268,Analysis_Gadgets!$C:$C,Analysis_Gadgets!$B:$B)</f>
        <v>Gadget</v>
      </c>
      <c r="E268" s="43">
        <v>4448</v>
      </c>
      <c r="F268" s="43">
        <f>_xlfn.XLOOKUP(A268,Class_Players!A:A,Class_Players!G:G)</f>
        <v>551</v>
      </c>
      <c r="G268" s="43">
        <f t="shared" si="54"/>
        <v>8.0725952813067146</v>
      </c>
      <c r="H268" s="43">
        <f>_xlfn.XLOOKUP(A268,Class_Players!$A:$A,Class_Players!$F:$F,"")</f>
        <v>10797</v>
      </c>
      <c r="I268" s="44">
        <f t="shared" si="55"/>
        <v>0.41196628693155507</v>
      </c>
      <c r="J268" s="43">
        <f t="shared" si="56"/>
        <v>1</v>
      </c>
      <c r="K268" s="44" cm="1">
        <f t="array" ref="K268">IF(D268="Gadget",_xlfn.IFS(I268&gt;=0.2,0.5,I268&gt;=0.1,0.35,I268&gt;=0.05,0.2,TRUE,0),IF(D268="Grenade",_xlfn.IFS(I268&gt;=0.2,1,I268&gt;=0.1,0.7,I268&gt;=0.05,0.4,TRUE,0),0))</f>
        <v>0.5</v>
      </c>
      <c r="L268" s="57">
        <f t="shared" si="63"/>
        <v>0.41666666666666669</v>
      </c>
    </row>
    <row r="269" spans="1:12" x14ac:dyDescent="0.25">
      <c r="A269" s="42" t="str" cm="1">
        <f t="array" ref="A269">IFERROR(INDEX(_xlfn._xlws.FILTER(Class_Players!A:A,Class_Players!B:B="Engineer"),QUOTIENT(ROW()-ROW($A$2),12)+1),"")</f>
        <v>Korben__Dallas1</v>
      </c>
      <c r="B269" s="42" t="str">
        <f>_xlfn.XLOOKUP(A269,Class_Players!$A:$A,Class_Players!$B:$B,"")</f>
        <v>Engineer</v>
      </c>
      <c r="C269" s="42" t="str" cm="1">
        <f t="array" ref="C269">INDEX(Lookups!$B$2:$B$13,MOD(ROW()-ROW($B$2),ROWS(Lookups!$B$2:$B$13))+1)</f>
        <v>MAS 148 (Long-Range Launcher)</v>
      </c>
      <c r="D269" s="38" t="str">
        <f>_xlfn.XLOOKUP(C269,Analysis_Gadgets!$C:$C,Analysis_Gadgets!$B:$B)</f>
        <v>Gadget</v>
      </c>
      <c r="E269" s="43">
        <v>55</v>
      </c>
      <c r="F269" s="43">
        <f>_xlfn.XLOOKUP(A269,Class_Players!A:A,Class_Players!G:G)</f>
        <v>551</v>
      </c>
      <c r="G269" s="43">
        <f t="shared" si="54"/>
        <v>9.9818511796733206E-2</v>
      </c>
      <c r="H269" s="43">
        <f>_xlfn.XLOOKUP(A269,Class_Players!$A:$A,Class_Players!$F:$F,"")</f>
        <v>10797</v>
      </c>
      <c r="I269" s="44">
        <f t="shared" si="55"/>
        <v>5.0940075947022321E-3</v>
      </c>
      <c r="J269" s="43">
        <f t="shared" si="56"/>
        <v>0</v>
      </c>
      <c r="K269" s="44" cm="1">
        <f t="array" ref="K269">IF(D269="Gadget",_xlfn.IFS(I269&gt;=0.2,0.5,I269&gt;=0.1,0.35,I269&gt;=0.05,0.2,TRUE,0),IF(D269="Grenade",_xlfn.IFS(I269&gt;=0.2,1,I269&gt;=0.1,0.7,I269&gt;=0.05,0.4,TRUE,0),0))</f>
        <v>0</v>
      </c>
      <c r="L269" s="57">
        <f t="shared" si="63"/>
        <v>0</v>
      </c>
    </row>
    <row r="270" spans="1:12" x14ac:dyDescent="0.25">
      <c r="A270" s="42" t="str" cm="1">
        <f t="array" ref="A270">IFERROR(INDEX(_xlfn._xlws.FILTER(Class_Players!A:A,Class_Players!B:B="Engineer"),QUOTIENT(ROW()-ROW($A$2),12)+1),"")</f>
        <v>Korben__Dallas1</v>
      </c>
      <c r="B270" s="42" t="str">
        <f>_xlfn.XLOOKUP(A270,Class_Players!$A:$A,Class_Players!$B:$B,"")</f>
        <v>Engineer</v>
      </c>
      <c r="C270" s="42" t="str" cm="1">
        <f t="array" ref="C270">INDEX(Lookups!$B$2:$B$13,MOD(ROW()-ROW($B$2),ROWS(Lookups!$B$2:$B$13))+1)</f>
        <v>M136 AT (Aim-Guided Launcher)</v>
      </c>
      <c r="D270" s="38" t="str">
        <f>_xlfn.XLOOKUP(C270,Analysis_Gadgets!$C:$C,Analysis_Gadgets!$B:$B)</f>
        <v>Gadget</v>
      </c>
      <c r="E270" s="43">
        <v>1379</v>
      </c>
      <c r="F270" s="43">
        <f>_xlfn.XLOOKUP(A270,Class_Players!A:A,Class_Players!G:G)</f>
        <v>551</v>
      </c>
      <c r="G270" s="43">
        <f t="shared" si="54"/>
        <v>2.5027223230490017</v>
      </c>
      <c r="H270" s="43">
        <f>_xlfn.XLOOKUP(A270,Class_Players!$A:$A,Class_Players!$F:$F,"")</f>
        <v>10797</v>
      </c>
      <c r="I270" s="44">
        <f t="shared" si="55"/>
        <v>0.12772066314717051</v>
      </c>
      <c r="J270" s="43">
        <f t="shared" si="56"/>
        <v>1</v>
      </c>
      <c r="K270" s="44" cm="1">
        <f t="array" ref="K270">IF(D270="Gadget",_xlfn.IFS(I270&gt;=0.2,0.5,I270&gt;=0.1,0.35,I270&gt;=0.05,0.2,TRUE,0),IF(D270="Grenade",_xlfn.IFS(I270&gt;=0.2,1,I270&gt;=0.1,0.7,I270&gt;=0.05,0.4,TRUE,0),0))</f>
        <v>0.35</v>
      </c>
      <c r="L270" s="57">
        <f t="shared" si="63"/>
        <v>0.29166666666666669</v>
      </c>
    </row>
    <row r="271" spans="1:12" x14ac:dyDescent="0.25">
      <c r="A271" s="42" t="str" cm="1">
        <f t="array" ref="A271">IFERROR(INDEX(_xlfn._xlws.FILTER(Class_Players!A:A,Class_Players!B:B="Engineer"),QUOTIENT(ROW()-ROW($A$2),12)+1),"")</f>
        <v>Korben__Dallas1</v>
      </c>
      <c r="B271" s="42" t="str">
        <f>_xlfn.XLOOKUP(A271,Class_Players!$A:$A,Class_Players!$B:$B,"")</f>
        <v>Engineer</v>
      </c>
      <c r="C271" s="42" t="str" cm="1">
        <f t="array" ref="C271">INDEX(Lookups!$B$2:$B$13,MOD(ROW()-ROW($B$2),ROWS(Lookups!$B$2:$B$13))+1)</f>
        <v>Supply Crate</v>
      </c>
      <c r="D271" s="38" t="str">
        <f>_xlfn.XLOOKUP(C271,Analysis_Gadgets!$C:$C,Analysis_Gadgets!$B:$B)</f>
        <v>Gadget</v>
      </c>
      <c r="E271" s="43">
        <v>6</v>
      </c>
      <c r="F271" s="43">
        <f>_xlfn.XLOOKUP(A271,Class_Players!A:A,Class_Players!G:G)</f>
        <v>551</v>
      </c>
      <c r="G271" s="43">
        <f t="shared" si="54"/>
        <v>1.0889292196007259E-2</v>
      </c>
      <c r="H271" s="43">
        <f>_xlfn.XLOOKUP(A271,Class_Players!$A:$A,Class_Players!$F:$F,"")</f>
        <v>10797</v>
      </c>
      <c r="I271" s="44">
        <f t="shared" si="55"/>
        <v>5.5570991942206164E-4</v>
      </c>
      <c r="J271" s="43">
        <f t="shared" si="56"/>
        <v>0</v>
      </c>
      <c r="K271" s="44" cm="1">
        <f t="array" ref="K271">IF(D271="Gadget",_xlfn.IFS(I271&gt;=0.2,0.5,I271&gt;=0.1,0.35,I271&gt;=0.05,0.2,TRUE,0),IF(D271="Grenade",_xlfn.IFS(I271&gt;=0.2,1,I271&gt;=0.1,0.7,I271&gt;=0.05,0.4,TRUE,0),0))</f>
        <v>0</v>
      </c>
      <c r="L271" s="57">
        <f t="shared" si="63"/>
        <v>0</v>
      </c>
    </row>
    <row r="272" spans="1:12" x14ac:dyDescent="0.25">
      <c r="A272" s="42" t="str" cm="1">
        <f t="array" ref="A272">IFERROR(INDEX(_xlfn._xlws.FILTER(Class_Players!A:A,Class_Players!B:B="Engineer"),QUOTIENT(ROW()-ROW($A$2),12)+1),"")</f>
        <v>Korben__Dallas1</v>
      </c>
      <c r="B272" s="42" t="str">
        <f>_xlfn.XLOOKUP(A272,Class_Players!$A:$A,Class_Players!$B:$B,"")</f>
        <v>Engineer</v>
      </c>
      <c r="C272" s="42" t="str" cm="1">
        <f t="array" ref="C272">INDEX(Lookups!$B$2:$B$13,MOD(ROW()-ROW($B$2),ROWS(Lookups!$B$2:$B$13))+1)</f>
        <v>M15 (Anti-Vehicle Mine)</v>
      </c>
      <c r="D272" s="38" t="str">
        <f>_xlfn.XLOOKUP(C272,Analysis_Gadgets!$C:$C,Analysis_Gadgets!$B:$B)</f>
        <v>Gadget</v>
      </c>
      <c r="E272" s="43">
        <v>1570</v>
      </c>
      <c r="F272" s="43">
        <f>_xlfn.XLOOKUP(A272,Class_Players!A:A,Class_Players!G:G)</f>
        <v>551</v>
      </c>
      <c r="G272" s="43">
        <f t="shared" si="54"/>
        <v>2.8493647912885662</v>
      </c>
      <c r="H272" s="43">
        <f>_xlfn.XLOOKUP(A272,Class_Players!$A:$A,Class_Players!$F:$F,"")</f>
        <v>10797</v>
      </c>
      <c r="I272" s="44">
        <f t="shared" si="55"/>
        <v>0.14541076224877281</v>
      </c>
      <c r="J272" s="43">
        <f t="shared" si="56"/>
        <v>1</v>
      </c>
      <c r="K272" s="44" cm="1">
        <f t="array" ref="K272">IF(D272="Gadget",_xlfn.IFS(I272&gt;=0.2,0.5,I272&gt;=0.1,0.35,I272&gt;=0.05,0.2,TRUE,0),IF(D272="Grenade",_xlfn.IFS(I272&gt;=0.2,1,I272&gt;=0.1,0.7,I272&gt;=0.05,0.4,TRUE,0),0))</f>
        <v>0.35</v>
      </c>
      <c r="L272" s="57">
        <f t="shared" si="63"/>
        <v>0.29166666666666669</v>
      </c>
    </row>
    <row r="273" spans="1:12" x14ac:dyDescent="0.25">
      <c r="A273" s="42" t="str" cm="1">
        <f t="array" ref="A273">IFERROR(INDEX(_xlfn._xlws.FILTER(Class_Players!A:A,Class_Players!B:B="Engineer"),QUOTIENT(ROW()-ROW($A$2),12)+1),"")</f>
        <v>Korben__Dallas1</v>
      </c>
      <c r="B273" s="42" t="str">
        <f>_xlfn.XLOOKUP(A273,Class_Players!$A:$A,Class_Players!$B:$B,"")</f>
        <v>Engineer</v>
      </c>
      <c r="C273" s="42" t="str" cm="1">
        <f t="array" ref="C273">INDEX(Lookups!$B$2:$B$13,MOD(ROW()-ROW($B$2),ROWS(Lookups!$B$2:$B$13))+1)</f>
        <v>PTKM-1R (Acoustic Sensor AV Mine)</v>
      </c>
      <c r="D273" s="38" t="str">
        <f>_xlfn.XLOOKUP(C273,Analysis_Gadgets!$C:$C,Analysis_Gadgets!$B:$B)</f>
        <v>Gadget</v>
      </c>
      <c r="E273" s="43">
        <v>114</v>
      </c>
      <c r="F273" s="43">
        <f>_xlfn.XLOOKUP(A273,Class_Players!A:A,Class_Players!G:G)</f>
        <v>551</v>
      </c>
      <c r="G273" s="43">
        <f t="shared" si="54"/>
        <v>0.20689655172413793</v>
      </c>
      <c r="H273" s="43">
        <f>_xlfn.XLOOKUP(A273,Class_Players!$A:$A,Class_Players!$F:$F,"")</f>
        <v>10797</v>
      </c>
      <c r="I273" s="44">
        <f t="shared" si="55"/>
        <v>1.0558488469019172E-2</v>
      </c>
      <c r="J273" s="43">
        <f t="shared" si="56"/>
        <v>0</v>
      </c>
      <c r="K273" s="44" cm="1">
        <f t="array" ref="K273">IF(D273="Gadget",_xlfn.IFS(I273&gt;=0.2,0.5,I273&gt;=0.1,0.35,I273&gt;=0.05,0.2,TRUE,0),IF(D273="Grenade",_xlfn.IFS(I273&gt;=0.2,1,I273&gt;=0.1,0.7,I273&gt;=0.05,0.4,TRUE,0),0))</f>
        <v>0</v>
      </c>
      <c r="L273" s="57">
        <f t="shared" si="63"/>
        <v>0</v>
      </c>
    </row>
    <row r="274" spans="1:12" x14ac:dyDescent="0.25">
      <c r="A274" s="42" t="str" cm="1">
        <f t="array" ref="A274">IFERROR(INDEX(_xlfn._xlws.FILTER(Class_Players!A:A,Class_Players!B:B="Engineer"),QUOTIENT(ROW()-ROW($A$2),12)+1),"")</f>
        <v>Korben__Dallas1</v>
      </c>
      <c r="B274" s="42" t="str">
        <f>_xlfn.XLOOKUP(A274,Class_Players!$A:$A,Class_Players!$B:$B,"")</f>
        <v>Engineer</v>
      </c>
      <c r="C274" s="42" t="str" cm="1">
        <f t="array" ref="C274">INDEX(Lookups!$B$2:$B$13,MOD(ROW()-ROW($B$2),ROWS(Lookups!$B$2:$B$13))+1)</f>
        <v>EOD Bot</v>
      </c>
      <c r="D274" s="38" t="str">
        <f>_xlfn.XLOOKUP(C274,Analysis_Gadgets!$C:$C,Analysis_Gadgets!$B:$B)</f>
        <v>Gadget</v>
      </c>
      <c r="E274" s="43">
        <v>0</v>
      </c>
      <c r="F274" s="43">
        <f>_xlfn.XLOOKUP(A274,Class_Players!A:A,Class_Players!G:G)</f>
        <v>551</v>
      </c>
      <c r="G274" s="43">
        <f t="shared" si="54"/>
        <v>0</v>
      </c>
      <c r="H274" s="43">
        <f>_xlfn.XLOOKUP(A274,Class_Players!$A:$A,Class_Players!$F:$F,"")</f>
        <v>10797</v>
      </c>
      <c r="I274" s="44">
        <f t="shared" si="55"/>
        <v>0</v>
      </c>
      <c r="J274" s="43">
        <f t="shared" si="56"/>
        <v>0</v>
      </c>
      <c r="K274" s="44" cm="1">
        <f t="array" ref="K274">IF(D274="Gadget",_xlfn.IFS(I274&gt;=0.2,0.5,I274&gt;=0.1,0.35,I274&gt;=0.05,0.2,TRUE,0),IF(D274="Grenade",_xlfn.IFS(I274&gt;=0.2,1,I274&gt;=0.1,0.7,I274&gt;=0.05,0.4,TRUE,0),0))</f>
        <v>0</v>
      </c>
      <c r="L274" s="57">
        <f t="shared" si="63"/>
        <v>0</v>
      </c>
    </row>
    <row r="275" spans="1:12" x14ac:dyDescent="0.25">
      <c r="A275" s="42" t="str" cm="1">
        <f t="array" ref="A275">IFERROR(INDEX(_xlfn._xlws.FILTER(Class_Players!A:A,Class_Players!B:B="Engineer"),QUOTIENT(ROW()-ROW($A$2),12)+1),"")</f>
        <v>Korben__Dallas1</v>
      </c>
      <c r="B275" s="42" t="str">
        <f>_xlfn.XLOOKUP(A275,Class_Players!$A:$A,Class_Players!$B:$B,"")</f>
        <v>Engineer</v>
      </c>
      <c r="C275" s="42" t="str" cm="1">
        <f t="array" ref="C275">INDEX(Lookups!$B$2:$B$13,MOD(ROW()-ROW($B$2),ROWS(Lookups!$B$2:$B$13))+1)</f>
        <v>M4A1 SLAM (Tripwire Sensor AV Mine)</v>
      </c>
      <c r="D275" s="38" t="str">
        <f>_xlfn.XLOOKUP(C275,Analysis_Gadgets!$C:$C,Analysis_Gadgets!$B:$B)</f>
        <v>Gadget</v>
      </c>
      <c r="E275" s="43">
        <v>7</v>
      </c>
      <c r="F275" s="43">
        <f>_xlfn.XLOOKUP(A275,Class_Players!A:A,Class_Players!G:G)</f>
        <v>551</v>
      </c>
      <c r="G275" s="43">
        <f t="shared" si="54"/>
        <v>1.2704174228675136E-2</v>
      </c>
      <c r="H275" s="43">
        <f>_xlfn.XLOOKUP(A275,Class_Players!$A:$A,Class_Players!$F:$F,"")</f>
        <v>10797</v>
      </c>
      <c r="I275" s="44">
        <f t="shared" si="55"/>
        <v>6.4832823932573858E-4</v>
      </c>
      <c r="J275" s="43">
        <f t="shared" si="56"/>
        <v>0</v>
      </c>
      <c r="K275" s="44" cm="1">
        <f t="array" ref="K275">IF(D275="Gadget",_xlfn.IFS(I275&gt;=0.2,0.5,I275&gt;=0.1,0.35,I275&gt;=0.05,0.2,TRUE,0),IF(D275="Grenade",_xlfn.IFS(I275&gt;=0.2,1,I275&gt;=0.1,0.7,I275&gt;=0.05,0.4,TRUE,0),0))</f>
        <v>0</v>
      </c>
      <c r="L275" s="57">
        <f t="shared" si="63"/>
        <v>0</v>
      </c>
    </row>
    <row r="276" spans="1:12" x14ac:dyDescent="0.25">
      <c r="A276" s="42" t="str" cm="1">
        <f t="array" ref="A276">IFERROR(INDEX(_xlfn._xlws.FILTER(Class_Players!A:A,Class_Players!B:B="Engineer"),QUOTIENT(ROW()-ROW($A$2),12)+1),"")</f>
        <v>Korben__Dallas1</v>
      </c>
      <c r="B276" s="42" t="str">
        <f>_xlfn.XLOOKUP(A276,Class_Players!$A:$A,Class_Players!$B:$B,"")</f>
        <v>Engineer</v>
      </c>
      <c r="C276" s="42" t="str" cm="1">
        <f t="array" ref="C276">INDEX(Lookups!$B$2:$B$13,MOD(ROW()-ROW($B$2),ROWS(Lookups!$B$2:$B$13))+1)</f>
        <v>Mini Frag Grenade</v>
      </c>
      <c r="D276" s="38" t="str">
        <f>_xlfn.XLOOKUP(C276,Analysis_Gadgets!$C:$C,Analysis_Gadgets!$B:$B)</f>
        <v>Grenade</v>
      </c>
      <c r="E276" s="43">
        <v>616</v>
      </c>
      <c r="F276" s="43">
        <f>_xlfn.XLOOKUP(A276,Class_Players!A:A,Class_Players!G:G)</f>
        <v>551</v>
      </c>
      <c r="G276" s="43">
        <f t="shared" si="54"/>
        <v>1.117967332123412</v>
      </c>
      <c r="H276" s="43">
        <f>_xlfn.XLOOKUP(A276,Class_Players!$A:$A,Class_Players!$F:$F,"")</f>
        <v>10797</v>
      </c>
      <c r="I276" s="44">
        <f t="shared" si="55"/>
        <v>5.7052885060664998E-2</v>
      </c>
      <c r="J276" s="43">
        <f t="shared" si="56"/>
        <v>0</v>
      </c>
      <c r="K276" s="44" cm="1">
        <f t="array" ref="K276">IF(D276="Gadget",_xlfn.IFS(I276&gt;=0.2,0.5,I276&gt;=0.1,0.35,I276&gt;=0.05,0.2,TRUE,0),IF(D276="Grenade",_xlfn.IFS(I276&gt;=0.2,1,I276&gt;=0.1,0.7,I276&gt;=0.05,0.4,TRUE,0),0))</f>
        <v>0.4</v>
      </c>
      <c r="L276" s="57">
        <f t="shared" ref="L276:L277" si="64">IF($K276=0,0,$K276 / SUMIFS($K:$K,$A:$A,$A276,$D:$D,"Grenade"))</f>
        <v>1</v>
      </c>
    </row>
    <row r="277" spans="1:12" x14ac:dyDescent="0.25">
      <c r="A277" s="42" t="str" cm="1">
        <f t="array" ref="A277">IFERROR(INDEX(_xlfn._xlws.FILTER(Class_Players!A:A,Class_Players!B:B="Engineer"),QUOTIENT(ROW()-ROW($A$2),12)+1),"")</f>
        <v>Korben__Dallas1</v>
      </c>
      <c r="B277" s="42" t="str">
        <f>_xlfn.XLOOKUP(A277,Class_Players!$A:$A,Class_Players!$B:$B,"")</f>
        <v>Engineer</v>
      </c>
      <c r="C277" s="42" t="str" cm="1">
        <f t="array" ref="C277">INDEX(Lookups!$B$2:$B$13,MOD(ROW()-ROW($B$2),ROWS(Lookups!$B$2:$B$13))+1)</f>
        <v>Anti-Vehicle Grenade</v>
      </c>
      <c r="D277" s="38" t="str">
        <f>_xlfn.XLOOKUP(C277,Analysis_Gadgets!$C:$C,Analysis_Gadgets!$B:$B)</f>
        <v>Grenade</v>
      </c>
      <c r="E277" s="43">
        <v>0</v>
      </c>
      <c r="F277" s="43">
        <f>_xlfn.XLOOKUP(A277,Class_Players!A:A,Class_Players!G:G)</f>
        <v>551</v>
      </c>
      <c r="G277" s="43">
        <f t="shared" si="54"/>
        <v>0</v>
      </c>
      <c r="H277" s="43">
        <f>_xlfn.XLOOKUP(A277,Class_Players!$A:$A,Class_Players!$F:$F,"")</f>
        <v>10797</v>
      </c>
      <c r="I277" s="44">
        <f t="shared" si="55"/>
        <v>0</v>
      </c>
      <c r="J277" s="43">
        <f t="shared" si="56"/>
        <v>0</v>
      </c>
      <c r="K277" s="44" cm="1">
        <f t="array" ref="K277">IF(D277="Gadget",_xlfn.IFS(I277&gt;=0.2,0.5,I277&gt;=0.1,0.35,I277&gt;=0.05,0.2,TRUE,0),IF(D277="Grenade",_xlfn.IFS(I277&gt;=0.2,1,I277&gt;=0.1,0.7,I277&gt;=0.05,0.4,TRUE,0),0))</f>
        <v>0</v>
      </c>
      <c r="L277" s="57">
        <f t="shared" si="64"/>
        <v>0</v>
      </c>
    </row>
    <row r="278" spans="1:12" x14ac:dyDescent="0.25">
      <c r="A278" s="42" t="str" cm="1">
        <f t="array" ref="A278">IFERROR(INDEX(_xlfn._xlws.FILTER(Class_Players!A:A,Class_Players!B:B="Engineer"),QUOTIENT(ROW()-ROW($A$2),12)+1),"")</f>
        <v>FartOnCopz</v>
      </c>
      <c r="B278" s="42" t="str">
        <f>_xlfn.XLOOKUP(A278,Class_Players!$A:$A,Class_Players!$B:$B,"")</f>
        <v>Engineer</v>
      </c>
      <c r="C278" s="42" t="str" cm="1">
        <f t="array" ref="C278">INDEX(Lookups!$B$2:$B$13,MOD(ROW()-ROW($B$2),ROWS(Lookups!$B$2:$B$13))+1)</f>
        <v>MBT-LAW (Auto-Guided Launcher)</v>
      </c>
      <c r="D278" s="38" t="str">
        <f>_xlfn.XLOOKUP(C278,Analysis_Gadgets!$C:$C,Analysis_Gadgets!$B:$B)</f>
        <v>Gadget</v>
      </c>
      <c r="E278" s="43">
        <v>0</v>
      </c>
      <c r="F278" s="43">
        <f>_xlfn.XLOOKUP(A278,Class_Players!A:A,Class_Players!G:G)</f>
        <v>303</v>
      </c>
      <c r="G278" s="43">
        <f t="shared" si="54"/>
        <v>0</v>
      </c>
      <c r="H278" s="43">
        <f>_xlfn.XLOOKUP(A278,Class_Players!$A:$A,Class_Players!$F:$F,"")</f>
        <v>10718</v>
      </c>
      <c r="I278" s="44">
        <f t="shared" si="55"/>
        <v>0</v>
      </c>
      <c r="J278" s="43">
        <f t="shared" si="56"/>
        <v>0</v>
      </c>
      <c r="K278" s="44" cm="1">
        <f t="array" ref="K278">IF(D278="Gadget",_xlfn.IFS(I278&gt;=0.2,0.5,I278&gt;=0.1,0.35,I278&gt;=0.05,0.2,TRUE,0),IF(D278="Grenade",_xlfn.IFS(I278&gt;=0.2,1,I278&gt;=0.1,0.7,I278&gt;=0.05,0.4,TRUE,0),0))</f>
        <v>0</v>
      </c>
      <c r="L278" s="57">
        <f t="shared" ref="L278:L287" si="65">IF($K278=0,0,$K278 / SUMIFS($K:$K,$A:$A,$A278,$D:$D,"Gadget"))</f>
        <v>0</v>
      </c>
    </row>
    <row r="279" spans="1:12" x14ac:dyDescent="0.25">
      <c r="A279" s="42" t="str" cm="1">
        <f t="array" ref="A279">IFERROR(INDEX(_xlfn._xlws.FILTER(Class_Players!A:A,Class_Players!B:B="Engineer"),QUOTIENT(ROW()-ROW($A$2),12)+1),"")</f>
        <v>FartOnCopz</v>
      </c>
      <c r="B279" s="42" t="str">
        <f>_xlfn.XLOOKUP(A279,Class_Players!$A:$A,Class_Players!$B:$B,"")</f>
        <v>Engineer</v>
      </c>
      <c r="C279" s="42" t="str" cm="1">
        <f t="array" ref="C279">INDEX(Lookups!$B$2:$B$13,MOD(ROW()-ROW($B$2),ROWS(Lookups!$B$2:$B$13))+1)</f>
        <v>SLM-93A (Air-Defense Launcher)</v>
      </c>
      <c r="D279" s="38" t="str">
        <f>_xlfn.XLOOKUP(C279,Analysis_Gadgets!$C:$C,Analysis_Gadgets!$B:$B)</f>
        <v>Gadget</v>
      </c>
      <c r="E279" s="43">
        <v>2</v>
      </c>
      <c r="F279" s="43">
        <f>_xlfn.XLOOKUP(A279,Class_Players!A:A,Class_Players!G:G)</f>
        <v>303</v>
      </c>
      <c r="G279" s="43">
        <f t="shared" si="54"/>
        <v>6.6006600660066007E-3</v>
      </c>
      <c r="H279" s="43">
        <f>_xlfn.XLOOKUP(A279,Class_Players!$A:$A,Class_Players!$F:$F,"")</f>
        <v>10718</v>
      </c>
      <c r="I279" s="44">
        <f t="shared" si="55"/>
        <v>1.8660197798096661E-4</v>
      </c>
      <c r="J279" s="43">
        <f t="shared" si="56"/>
        <v>0</v>
      </c>
      <c r="K279" s="44" cm="1">
        <f t="array" ref="K279">IF(D279="Gadget",_xlfn.IFS(I279&gt;=0.2,0.5,I279&gt;=0.1,0.35,I279&gt;=0.05,0.2,TRUE,0),IF(D279="Grenade",_xlfn.IFS(I279&gt;=0.2,1,I279&gt;=0.1,0.7,I279&gt;=0.05,0.4,TRUE,0),0))</f>
        <v>0</v>
      </c>
      <c r="L279" s="57">
        <f t="shared" si="65"/>
        <v>0</v>
      </c>
    </row>
    <row r="280" spans="1:12" x14ac:dyDescent="0.25">
      <c r="A280" s="42" t="str" cm="1">
        <f t="array" ref="A280">IFERROR(INDEX(_xlfn._xlws.FILTER(Class_Players!A:A,Class_Players!B:B="Engineer"),QUOTIENT(ROW()-ROW($A$2),12)+1),"")</f>
        <v>FartOnCopz</v>
      </c>
      <c r="B280" s="42" t="str">
        <f>_xlfn.XLOOKUP(A280,Class_Players!$A:$A,Class_Players!$B:$B,"")</f>
        <v>Engineer</v>
      </c>
      <c r="C280" s="42" t="str" cm="1">
        <f t="array" ref="C280">INDEX(Lookups!$B$2:$B$13,MOD(ROW()-ROW($B$2),ROWS(Lookups!$B$2:$B$13))+1)</f>
        <v>RPG-7V2 (Unguided Rocket Launcher)</v>
      </c>
      <c r="D280" s="38" t="str">
        <f>_xlfn.XLOOKUP(C280,Analysis_Gadgets!$C:$C,Analysis_Gadgets!$B:$B)</f>
        <v>Gadget</v>
      </c>
      <c r="E280" s="43">
        <v>7956</v>
      </c>
      <c r="F280" s="43">
        <f>_xlfn.XLOOKUP(A280,Class_Players!A:A,Class_Players!G:G)</f>
        <v>303</v>
      </c>
      <c r="G280" s="43">
        <f t="shared" si="54"/>
        <v>26.257425742574256</v>
      </c>
      <c r="H280" s="43">
        <f>_xlfn.XLOOKUP(A280,Class_Players!$A:$A,Class_Players!$F:$F,"")</f>
        <v>10718</v>
      </c>
      <c r="I280" s="44">
        <f t="shared" si="55"/>
        <v>0.74230266840828518</v>
      </c>
      <c r="J280" s="43">
        <f t="shared" si="56"/>
        <v>1</v>
      </c>
      <c r="K280" s="44" cm="1">
        <f t="array" ref="K280">IF(D280="Gadget",_xlfn.IFS(I280&gt;=0.2,0.5,I280&gt;=0.1,0.35,I280&gt;=0.05,0.2,TRUE,0),IF(D280="Grenade",_xlfn.IFS(I280&gt;=0.2,1,I280&gt;=0.1,0.7,I280&gt;=0.05,0.4,TRUE,0),0))</f>
        <v>0.5</v>
      </c>
      <c r="L280" s="57">
        <f t="shared" si="65"/>
        <v>0.7142857142857143</v>
      </c>
    </row>
    <row r="281" spans="1:12" x14ac:dyDescent="0.25">
      <c r="A281" s="42" t="str" cm="1">
        <f t="array" ref="A281">IFERROR(INDEX(_xlfn._xlws.FILTER(Class_Players!A:A,Class_Players!B:B="Engineer"),QUOTIENT(ROW()-ROW($A$2),12)+1),"")</f>
        <v>FartOnCopz</v>
      </c>
      <c r="B281" s="42" t="str">
        <f>_xlfn.XLOOKUP(A281,Class_Players!$A:$A,Class_Players!$B:$B,"")</f>
        <v>Engineer</v>
      </c>
      <c r="C281" s="42" t="str" cm="1">
        <f t="array" ref="C281">INDEX(Lookups!$B$2:$B$13,MOD(ROW()-ROW($B$2),ROWS(Lookups!$B$2:$B$13))+1)</f>
        <v>MAS 148 (Long-Range Launcher)</v>
      </c>
      <c r="D281" s="38" t="str">
        <f>_xlfn.XLOOKUP(C281,Analysis_Gadgets!$C:$C,Analysis_Gadgets!$B:$B)</f>
        <v>Gadget</v>
      </c>
      <c r="E281" s="43">
        <v>0</v>
      </c>
      <c r="F281" s="43">
        <f>_xlfn.XLOOKUP(A281,Class_Players!A:A,Class_Players!G:G)</f>
        <v>303</v>
      </c>
      <c r="G281" s="43">
        <f t="shared" si="54"/>
        <v>0</v>
      </c>
      <c r="H281" s="43">
        <f>_xlfn.XLOOKUP(A281,Class_Players!$A:$A,Class_Players!$F:$F,"")</f>
        <v>10718</v>
      </c>
      <c r="I281" s="44">
        <f t="shared" si="55"/>
        <v>0</v>
      </c>
      <c r="J281" s="43">
        <f t="shared" si="56"/>
        <v>0</v>
      </c>
      <c r="K281" s="44" cm="1">
        <f t="array" ref="K281">IF(D281="Gadget",_xlfn.IFS(I281&gt;=0.2,0.5,I281&gt;=0.1,0.35,I281&gt;=0.05,0.2,TRUE,0),IF(D281="Grenade",_xlfn.IFS(I281&gt;=0.2,1,I281&gt;=0.1,0.7,I281&gt;=0.05,0.4,TRUE,0),0))</f>
        <v>0</v>
      </c>
      <c r="L281" s="57">
        <f t="shared" si="65"/>
        <v>0</v>
      </c>
    </row>
    <row r="282" spans="1:12" x14ac:dyDescent="0.25">
      <c r="A282" s="42" t="str" cm="1">
        <f t="array" ref="A282">IFERROR(INDEX(_xlfn._xlws.FILTER(Class_Players!A:A,Class_Players!B:B="Engineer"),QUOTIENT(ROW()-ROW($A$2),12)+1),"")</f>
        <v>FartOnCopz</v>
      </c>
      <c r="B282" s="42" t="str">
        <f>_xlfn.XLOOKUP(A282,Class_Players!$A:$A,Class_Players!$B:$B,"")</f>
        <v>Engineer</v>
      </c>
      <c r="C282" s="42" t="str" cm="1">
        <f t="array" ref="C282">INDEX(Lookups!$B$2:$B$13,MOD(ROW()-ROW($B$2),ROWS(Lookups!$B$2:$B$13))+1)</f>
        <v>M136 AT (Aim-Guided Launcher)</v>
      </c>
      <c r="D282" s="38" t="str">
        <f>_xlfn.XLOOKUP(C282,Analysis_Gadgets!$C:$C,Analysis_Gadgets!$B:$B)</f>
        <v>Gadget</v>
      </c>
      <c r="E282" s="43">
        <v>53</v>
      </c>
      <c r="F282" s="43">
        <f>_xlfn.XLOOKUP(A282,Class_Players!A:A,Class_Players!G:G)</f>
        <v>303</v>
      </c>
      <c r="G282" s="43">
        <f t="shared" si="54"/>
        <v>0.17491749174917492</v>
      </c>
      <c r="H282" s="43">
        <f>_xlfn.XLOOKUP(A282,Class_Players!$A:$A,Class_Players!$F:$F,"")</f>
        <v>10718</v>
      </c>
      <c r="I282" s="44">
        <f t="shared" si="55"/>
        <v>4.9449524164956148E-3</v>
      </c>
      <c r="J282" s="43">
        <f t="shared" si="56"/>
        <v>0</v>
      </c>
      <c r="K282" s="44" cm="1">
        <f t="array" ref="K282">IF(D282="Gadget",_xlfn.IFS(I282&gt;=0.2,0.5,I282&gt;=0.1,0.35,I282&gt;=0.05,0.2,TRUE,0),IF(D282="Grenade",_xlfn.IFS(I282&gt;=0.2,1,I282&gt;=0.1,0.7,I282&gt;=0.05,0.4,TRUE,0),0))</f>
        <v>0</v>
      </c>
      <c r="L282" s="57">
        <f t="shared" si="65"/>
        <v>0</v>
      </c>
    </row>
    <row r="283" spans="1:12" x14ac:dyDescent="0.25">
      <c r="A283" s="42" t="str" cm="1">
        <f t="array" ref="A283">IFERROR(INDEX(_xlfn._xlws.FILTER(Class_Players!A:A,Class_Players!B:B="Engineer"),QUOTIENT(ROW()-ROW($A$2),12)+1),"")</f>
        <v>FartOnCopz</v>
      </c>
      <c r="B283" s="42" t="str">
        <f>_xlfn.XLOOKUP(A283,Class_Players!$A:$A,Class_Players!$B:$B,"")</f>
        <v>Engineer</v>
      </c>
      <c r="C283" s="42" t="str" cm="1">
        <f t="array" ref="C283">INDEX(Lookups!$B$2:$B$13,MOD(ROW()-ROW($B$2),ROWS(Lookups!$B$2:$B$13))+1)</f>
        <v>Supply Crate</v>
      </c>
      <c r="D283" s="38" t="str">
        <f>_xlfn.XLOOKUP(C283,Analysis_Gadgets!$C:$C,Analysis_Gadgets!$B:$B)</f>
        <v>Gadget</v>
      </c>
      <c r="E283" s="43">
        <v>773</v>
      </c>
      <c r="F283" s="43">
        <f>_xlfn.XLOOKUP(A283,Class_Players!A:A,Class_Players!G:G)</f>
        <v>303</v>
      </c>
      <c r="G283" s="43">
        <f t="shared" si="54"/>
        <v>2.5511551155115511</v>
      </c>
      <c r="H283" s="43">
        <f>_xlfn.XLOOKUP(A283,Class_Players!$A:$A,Class_Players!$F:$F,"")</f>
        <v>10718</v>
      </c>
      <c r="I283" s="44">
        <f t="shared" si="55"/>
        <v>7.2121664489643592E-2</v>
      </c>
      <c r="J283" s="43">
        <f t="shared" si="56"/>
        <v>0</v>
      </c>
      <c r="K283" s="44" cm="1">
        <f t="array" ref="K283">IF(D283="Gadget",_xlfn.IFS(I283&gt;=0.2,0.5,I283&gt;=0.1,0.35,I283&gt;=0.05,0.2,TRUE,0),IF(D283="Grenade",_xlfn.IFS(I283&gt;=0.2,1,I283&gt;=0.1,0.7,I283&gt;=0.05,0.4,TRUE,0),0))</f>
        <v>0.2</v>
      </c>
      <c r="L283" s="57">
        <f t="shared" si="65"/>
        <v>0.28571428571428575</v>
      </c>
    </row>
    <row r="284" spans="1:12" x14ac:dyDescent="0.25">
      <c r="A284" s="42" t="str" cm="1">
        <f t="array" ref="A284">IFERROR(INDEX(_xlfn._xlws.FILTER(Class_Players!A:A,Class_Players!B:B="Engineer"),QUOTIENT(ROW()-ROW($A$2),12)+1),"")</f>
        <v>FartOnCopz</v>
      </c>
      <c r="B284" s="42" t="str">
        <f>_xlfn.XLOOKUP(A284,Class_Players!$A:$A,Class_Players!$B:$B,"")</f>
        <v>Engineer</v>
      </c>
      <c r="C284" s="42" t="str" cm="1">
        <f t="array" ref="C284">INDEX(Lookups!$B$2:$B$13,MOD(ROW()-ROW($B$2),ROWS(Lookups!$B$2:$B$13))+1)</f>
        <v>M15 (Anti-Vehicle Mine)</v>
      </c>
      <c r="D284" s="38" t="str">
        <f>_xlfn.XLOOKUP(C284,Analysis_Gadgets!$C:$C,Analysis_Gadgets!$B:$B)</f>
        <v>Gadget</v>
      </c>
      <c r="E284" s="43">
        <v>203</v>
      </c>
      <c r="F284" s="43">
        <f>_xlfn.XLOOKUP(A284,Class_Players!A:A,Class_Players!G:G)</f>
        <v>303</v>
      </c>
      <c r="G284" s="43">
        <f t="shared" si="54"/>
        <v>0.66996699669966997</v>
      </c>
      <c r="H284" s="43">
        <f>_xlfn.XLOOKUP(A284,Class_Players!$A:$A,Class_Players!$F:$F,"")</f>
        <v>10718</v>
      </c>
      <c r="I284" s="44">
        <f t="shared" si="55"/>
        <v>1.8940100765068111E-2</v>
      </c>
      <c r="J284" s="43">
        <f t="shared" si="56"/>
        <v>0</v>
      </c>
      <c r="K284" s="44" cm="1">
        <f t="array" ref="K284">IF(D284="Gadget",_xlfn.IFS(I284&gt;=0.2,0.5,I284&gt;=0.1,0.35,I284&gt;=0.05,0.2,TRUE,0),IF(D284="Grenade",_xlfn.IFS(I284&gt;=0.2,1,I284&gt;=0.1,0.7,I284&gt;=0.05,0.4,TRUE,0),0))</f>
        <v>0</v>
      </c>
      <c r="L284" s="57">
        <f t="shared" si="65"/>
        <v>0</v>
      </c>
    </row>
    <row r="285" spans="1:12" x14ac:dyDescent="0.25">
      <c r="A285" s="42" t="str" cm="1">
        <f t="array" ref="A285">IFERROR(INDEX(_xlfn._xlws.FILTER(Class_Players!A:A,Class_Players!B:B="Engineer"),QUOTIENT(ROW()-ROW($A$2),12)+1),"")</f>
        <v>FartOnCopz</v>
      </c>
      <c r="B285" s="42" t="str">
        <f>_xlfn.XLOOKUP(A285,Class_Players!$A:$A,Class_Players!$B:$B,"")</f>
        <v>Engineer</v>
      </c>
      <c r="C285" s="42" t="str" cm="1">
        <f t="array" ref="C285">INDEX(Lookups!$B$2:$B$13,MOD(ROW()-ROW($B$2),ROWS(Lookups!$B$2:$B$13))+1)</f>
        <v>PTKM-1R (Acoustic Sensor AV Mine)</v>
      </c>
      <c r="D285" s="38" t="str">
        <f>_xlfn.XLOOKUP(C285,Analysis_Gadgets!$C:$C,Analysis_Gadgets!$B:$B)</f>
        <v>Gadget</v>
      </c>
      <c r="E285" s="43">
        <v>28</v>
      </c>
      <c r="F285" s="43">
        <f>_xlfn.XLOOKUP(A285,Class_Players!A:A,Class_Players!G:G)</f>
        <v>303</v>
      </c>
      <c r="G285" s="43">
        <f t="shared" si="54"/>
        <v>9.2409240924092403E-2</v>
      </c>
      <c r="H285" s="43">
        <f>_xlfn.XLOOKUP(A285,Class_Players!$A:$A,Class_Players!$F:$F,"")</f>
        <v>10718</v>
      </c>
      <c r="I285" s="44">
        <f t="shared" si="55"/>
        <v>2.6124276917335325E-3</v>
      </c>
      <c r="J285" s="43">
        <f t="shared" si="56"/>
        <v>0</v>
      </c>
      <c r="K285" s="44" cm="1">
        <f t="array" ref="K285">IF(D285="Gadget",_xlfn.IFS(I285&gt;=0.2,0.5,I285&gt;=0.1,0.35,I285&gt;=0.05,0.2,TRUE,0),IF(D285="Grenade",_xlfn.IFS(I285&gt;=0.2,1,I285&gt;=0.1,0.7,I285&gt;=0.05,0.4,TRUE,0),0))</f>
        <v>0</v>
      </c>
      <c r="L285" s="57">
        <f t="shared" si="65"/>
        <v>0</v>
      </c>
    </row>
    <row r="286" spans="1:12" x14ac:dyDescent="0.25">
      <c r="A286" s="42" t="str" cm="1">
        <f t="array" ref="A286">IFERROR(INDEX(_xlfn._xlws.FILTER(Class_Players!A:A,Class_Players!B:B="Engineer"),QUOTIENT(ROW()-ROW($A$2),12)+1),"")</f>
        <v>FartOnCopz</v>
      </c>
      <c r="B286" s="42" t="str">
        <f>_xlfn.XLOOKUP(A286,Class_Players!$A:$A,Class_Players!$B:$B,"")</f>
        <v>Engineer</v>
      </c>
      <c r="C286" s="42" t="str" cm="1">
        <f t="array" ref="C286">INDEX(Lookups!$B$2:$B$13,MOD(ROW()-ROW($B$2),ROWS(Lookups!$B$2:$B$13))+1)</f>
        <v>EOD Bot</v>
      </c>
      <c r="D286" s="38" t="str">
        <f>_xlfn.XLOOKUP(C286,Analysis_Gadgets!$C:$C,Analysis_Gadgets!$B:$B)</f>
        <v>Gadget</v>
      </c>
      <c r="E286" s="43">
        <v>5</v>
      </c>
      <c r="F286" s="43">
        <f>_xlfn.XLOOKUP(A286,Class_Players!A:A,Class_Players!G:G)</f>
        <v>303</v>
      </c>
      <c r="G286" s="43">
        <f t="shared" si="54"/>
        <v>1.65016501650165E-2</v>
      </c>
      <c r="H286" s="43">
        <f>_xlfn.XLOOKUP(A286,Class_Players!$A:$A,Class_Players!$F:$F,"")</f>
        <v>10718</v>
      </c>
      <c r="I286" s="44">
        <f t="shared" si="55"/>
        <v>4.6650494495241652E-4</v>
      </c>
      <c r="J286" s="43">
        <f t="shared" si="56"/>
        <v>0</v>
      </c>
      <c r="K286" s="44" cm="1">
        <f t="array" ref="K286">IF(D286="Gadget",_xlfn.IFS(I286&gt;=0.2,0.5,I286&gt;=0.1,0.35,I286&gt;=0.05,0.2,TRUE,0),IF(D286="Grenade",_xlfn.IFS(I286&gt;=0.2,1,I286&gt;=0.1,0.7,I286&gt;=0.05,0.4,TRUE,0),0))</f>
        <v>0</v>
      </c>
      <c r="L286" s="57">
        <f t="shared" si="65"/>
        <v>0</v>
      </c>
    </row>
    <row r="287" spans="1:12" x14ac:dyDescent="0.25">
      <c r="A287" s="42" t="str" cm="1">
        <f t="array" ref="A287">IFERROR(INDEX(_xlfn._xlws.FILTER(Class_Players!A:A,Class_Players!B:B="Engineer"),QUOTIENT(ROW()-ROW($A$2),12)+1),"")</f>
        <v>FartOnCopz</v>
      </c>
      <c r="B287" s="42" t="str">
        <f>_xlfn.XLOOKUP(A287,Class_Players!$A:$A,Class_Players!$B:$B,"")</f>
        <v>Engineer</v>
      </c>
      <c r="C287" s="42" t="str" cm="1">
        <f t="array" ref="C287">INDEX(Lookups!$B$2:$B$13,MOD(ROW()-ROW($B$2),ROWS(Lookups!$B$2:$B$13))+1)</f>
        <v>M4A1 SLAM (Tripwire Sensor AV Mine)</v>
      </c>
      <c r="D287" s="38" t="str">
        <f>_xlfn.XLOOKUP(C287,Analysis_Gadgets!$C:$C,Analysis_Gadgets!$B:$B)</f>
        <v>Gadget</v>
      </c>
      <c r="E287" s="43">
        <v>26</v>
      </c>
      <c r="F287" s="43">
        <f>_xlfn.XLOOKUP(A287,Class_Players!A:A,Class_Players!G:G)</f>
        <v>303</v>
      </c>
      <c r="G287" s="43">
        <f t="shared" si="54"/>
        <v>8.5808580858085806E-2</v>
      </c>
      <c r="H287" s="43">
        <f>_xlfn.XLOOKUP(A287,Class_Players!$A:$A,Class_Players!$F:$F,"")</f>
        <v>10718</v>
      </c>
      <c r="I287" s="44">
        <f t="shared" si="55"/>
        <v>2.4258257137525657E-3</v>
      </c>
      <c r="J287" s="43">
        <f t="shared" si="56"/>
        <v>0</v>
      </c>
      <c r="K287" s="44" cm="1">
        <f t="array" ref="K287">IF(D287="Gadget",_xlfn.IFS(I287&gt;=0.2,0.5,I287&gt;=0.1,0.35,I287&gt;=0.05,0.2,TRUE,0),IF(D287="Grenade",_xlfn.IFS(I287&gt;=0.2,1,I287&gt;=0.1,0.7,I287&gt;=0.05,0.4,TRUE,0),0))</f>
        <v>0</v>
      </c>
      <c r="L287" s="57">
        <f t="shared" si="65"/>
        <v>0</v>
      </c>
    </row>
    <row r="288" spans="1:12" x14ac:dyDescent="0.25">
      <c r="A288" s="42" t="str" cm="1">
        <f t="array" ref="A288">IFERROR(INDEX(_xlfn._xlws.FILTER(Class_Players!A:A,Class_Players!B:B="Engineer"),QUOTIENT(ROW()-ROW($A$2),12)+1),"")</f>
        <v>FartOnCopz</v>
      </c>
      <c r="B288" s="42" t="str">
        <f>_xlfn.XLOOKUP(A288,Class_Players!$A:$A,Class_Players!$B:$B,"")</f>
        <v>Engineer</v>
      </c>
      <c r="C288" s="42" t="str" cm="1">
        <f t="array" ref="C288">INDEX(Lookups!$B$2:$B$13,MOD(ROW()-ROW($B$2),ROWS(Lookups!$B$2:$B$13))+1)</f>
        <v>Mini Frag Grenade</v>
      </c>
      <c r="D288" s="38" t="str">
        <f>_xlfn.XLOOKUP(C288,Analysis_Gadgets!$C:$C,Analysis_Gadgets!$B:$B)</f>
        <v>Grenade</v>
      </c>
      <c r="E288" s="43">
        <v>47</v>
      </c>
      <c r="F288" s="43">
        <f>_xlfn.XLOOKUP(A288,Class_Players!A:A,Class_Players!G:G)</f>
        <v>303</v>
      </c>
      <c r="G288" s="43">
        <f t="shared" si="54"/>
        <v>0.15511551155115511</v>
      </c>
      <c r="H288" s="43">
        <f>_xlfn.XLOOKUP(A288,Class_Players!$A:$A,Class_Players!$F:$F,"")</f>
        <v>10718</v>
      </c>
      <c r="I288" s="44">
        <f t="shared" si="55"/>
        <v>4.3851464825527152E-3</v>
      </c>
      <c r="J288" s="43">
        <f t="shared" si="56"/>
        <v>0</v>
      </c>
      <c r="K288" s="44" cm="1">
        <f t="array" ref="K288">IF(D288="Gadget",_xlfn.IFS(I288&gt;=0.2,0.5,I288&gt;=0.1,0.35,I288&gt;=0.05,0.2,TRUE,0),IF(D288="Grenade",_xlfn.IFS(I288&gt;=0.2,1,I288&gt;=0.1,0.7,I288&gt;=0.05,0.4,TRUE,0),0))</f>
        <v>0</v>
      </c>
      <c r="L288" s="57">
        <f t="shared" ref="L288:L289" si="66">IF($K288=0,0,$K288 / SUMIFS($K:$K,$A:$A,$A288,$D:$D,"Grenade"))</f>
        <v>0</v>
      </c>
    </row>
    <row r="289" spans="1:12" x14ac:dyDescent="0.25">
      <c r="A289" s="42" t="str" cm="1">
        <f t="array" ref="A289">IFERROR(INDEX(_xlfn._xlws.FILTER(Class_Players!A:A,Class_Players!B:B="Engineer"),QUOTIENT(ROW()-ROW($A$2),12)+1),"")</f>
        <v>FartOnCopz</v>
      </c>
      <c r="B289" s="42" t="str">
        <f>_xlfn.XLOOKUP(A289,Class_Players!$A:$A,Class_Players!$B:$B,"")</f>
        <v>Engineer</v>
      </c>
      <c r="C289" s="42" t="str" cm="1">
        <f t="array" ref="C289">INDEX(Lookups!$B$2:$B$13,MOD(ROW()-ROW($B$2),ROWS(Lookups!$B$2:$B$13))+1)</f>
        <v>Anti-Vehicle Grenade</v>
      </c>
      <c r="D289" s="38" t="str">
        <f>_xlfn.XLOOKUP(C289,Analysis_Gadgets!$C:$C,Analysis_Gadgets!$B:$B)</f>
        <v>Grenade</v>
      </c>
      <c r="E289" s="43">
        <v>0</v>
      </c>
      <c r="F289" s="43">
        <f>_xlfn.XLOOKUP(A289,Class_Players!A:A,Class_Players!G:G)</f>
        <v>303</v>
      </c>
      <c r="G289" s="43">
        <f t="shared" si="54"/>
        <v>0</v>
      </c>
      <c r="H289" s="43">
        <f>_xlfn.XLOOKUP(A289,Class_Players!$A:$A,Class_Players!$F:$F,"")</f>
        <v>10718</v>
      </c>
      <c r="I289" s="44">
        <f t="shared" si="55"/>
        <v>0</v>
      </c>
      <c r="J289" s="43">
        <f t="shared" si="56"/>
        <v>0</v>
      </c>
      <c r="K289" s="44" cm="1">
        <f t="array" ref="K289">IF(D289="Gadget",_xlfn.IFS(I289&gt;=0.2,0.5,I289&gt;=0.1,0.35,I289&gt;=0.05,0.2,TRUE,0),IF(D289="Grenade",_xlfn.IFS(I289&gt;=0.2,1,I289&gt;=0.1,0.7,I289&gt;=0.05,0.4,TRUE,0),0))</f>
        <v>0</v>
      </c>
      <c r="L289" s="57">
        <f t="shared" si="66"/>
        <v>0</v>
      </c>
    </row>
    <row r="290" spans="1:12" x14ac:dyDescent="0.25">
      <c r="A290" s="42" t="str" cm="1">
        <f t="array" ref="A290">IFERROR(INDEX(_xlfn._xlws.FILTER(Class_Players!A:A,Class_Players!B:B="Engineer"),QUOTIENT(ROW()-ROW($A$2),12)+1),"")</f>
        <v>shabiru</v>
      </c>
      <c r="B290" s="42" t="str">
        <f>_xlfn.XLOOKUP(A290,Class_Players!$A:$A,Class_Players!$B:$B,"")</f>
        <v>Engineer</v>
      </c>
      <c r="C290" s="42" t="str" cm="1">
        <f t="array" ref="C290">INDEX(Lookups!$B$2:$B$13,MOD(ROW()-ROW($B$2),ROWS(Lookups!$B$2:$B$13))+1)</f>
        <v>MBT-LAW (Auto-Guided Launcher)</v>
      </c>
      <c r="D290" s="38" t="str">
        <f>_xlfn.XLOOKUP(C290,Analysis_Gadgets!$C:$C,Analysis_Gadgets!$B:$B)</f>
        <v>Gadget</v>
      </c>
      <c r="F290" s="43">
        <f>_xlfn.XLOOKUP(A290,Class_Players!A:A,Class_Players!G:G)</f>
        <v>263</v>
      </c>
      <c r="G290" s="43">
        <f t="shared" ref="G290:G353" si="67">IF(F290=0,"",E290/(F290))</f>
        <v>0</v>
      </c>
      <c r="H290" s="43">
        <f>_xlfn.XLOOKUP(A290,Class_Players!$A:$A,Class_Players!$F:$F,"")</f>
        <v>10922</v>
      </c>
      <c r="I290" s="44">
        <f t="shared" ref="I290:I353" si="68">IF(H290=0,"",E290/H290)</f>
        <v>0</v>
      </c>
      <c r="J290" s="43">
        <f t="shared" ref="J290:J353" si="69">IF(I290&gt;=0.1,1,0)</f>
        <v>0</v>
      </c>
      <c r="K290" s="44" cm="1">
        <f t="array" ref="K290">IF(D290="Gadget",_xlfn.IFS(I290&gt;=0.2,0.5,I290&gt;=0.1,0.35,I290&gt;=0.05,0.2,TRUE,0),IF(D290="Grenade",_xlfn.IFS(I290&gt;=0.2,1,I290&gt;=0.1,0.7,I290&gt;=0.05,0.4,TRUE,0),0))</f>
        <v>0</v>
      </c>
      <c r="L290" s="57">
        <f t="shared" ref="L290:L299" si="70">IF($K290=0,0,$K290 / SUMIFS($K:$K,$A:$A,$A290,$D:$D,"Gadget"))</f>
        <v>0</v>
      </c>
    </row>
    <row r="291" spans="1:12" x14ac:dyDescent="0.25">
      <c r="A291" s="42" t="str" cm="1">
        <f t="array" ref="A291">IFERROR(INDEX(_xlfn._xlws.FILTER(Class_Players!A:A,Class_Players!B:B="Engineer"),QUOTIENT(ROW()-ROW($A$2),12)+1),"")</f>
        <v>shabiru</v>
      </c>
      <c r="B291" s="42" t="str">
        <f>_xlfn.XLOOKUP(A291,Class_Players!$A:$A,Class_Players!$B:$B,"")</f>
        <v>Engineer</v>
      </c>
      <c r="C291" s="42" t="str" cm="1">
        <f t="array" ref="C291">INDEX(Lookups!$B$2:$B$13,MOD(ROW()-ROW($B$2),ROWS(Lookups!$B$2:$B$13))+1)</f>
        <v>SLM-93A (Air-Defense Launcher)</v>
      </c>
      <c r="D291" s="38" t="str">
        <f>_xlfn.XLOOKUP(C291,Analysis_Gadgets!$C:$C,Analysis_Gadgets!$B:$B)</f>
        <v>Gadget</v>
      </c>
      <c r="E291" s="43">
        <v>6</v>
      </c>
      <c r="F291" s="43">
        <f>_xlfn.XLOOKUP(A291,Class_Players!A:A,Class_Players!G:G)</f>
        <v>263</v>
      </c>
      <c r="G291" s="43">
        <f t="shared" si="67"/>
        <v>2.2813688212927757E-2</v>
      </c>
      <c r="H291" s="43">
        <f>_xlfn.XLOOKUP(A291,Class_Players!$A:$A,Class_Players!$F:$F,"")</f>
        <v>10922</v>
      </c>
      <c r="I291" s="44">
        <f t="shared" si="68"/>
        <v>5.4934993590917414E-4</v>
      </c>
      <c r="J291" s="43">
        <f t="shared" si="69"/>
        <v>0</v>
      </c>
      <c r="K291" s="44" cm="1">
        <f t="array" ref="K291">IF(D291="Gadget",_xlfn.IFS(I291&gt;=0.2,0.5,I291&gt;=0.1,0.35,I291&gt;=0.05,0.2,TRUE,0),IF(D291="Grenade",_xlfn.IFS(I291&gt;=0.2,1,I291&gt;=0.1,0.7,I291&gt;=0.05,0.4,TRUE,0),0))</f>
        <v>0</v>
      </c>
      <c r="L291" s="57">
        <f t="shared" si="70"/>
        <v>0</v>
      </c>
    </row>
    <row r="292" spans="1:12" x14ac:dyDescent="0.25">
      <c r="A292" s="42" t="str" cm="1">
        <f t="array" ref="A292">IFERROR(INDEX(_xlfn._xlws.FILTER(Class_Players!A:A,Class_Players!B:B="Engineer"),QUOTIENT(ROW()-ROW($A$2),12)+1),"")</f>
        <v>shabiru</v>
      </c>
      <c r="B292" s="42" t="str">
        <f>_xlfn.XLOOKUP(A292,Class_Players!$A:$A,Class_Players!$B:$B,"")</f>
        <v>Engineer</v>
      </c>
      <c r="C292" s="42" t="str" cm="1">
        <f t="array" ref="C292">INDEX(Lookups!$B$2:$B$13,MOD(ROW()-ROW($B$2),ROWS(Lookups!$B$2:$B$13))+1)</f>
        <v>RPG-7V2 (Unguided Rocket Launcher)</v>
      </c>
      <c r="D292" s="38" t="str">
        <f>_xlfn.XLOOKUP(C292,Analysis_Gadgets!$C:$C,Analysis_Gadgets!$B:$B)</f>
        <v>Gadget</v>
      </c>
      <c r="E292" s="43">
        <v>6230</v>
      </c>
      <c r="F292" s="43">
        <f>_xlfn.XLOOKUP(A292,Class_Players!A:A,Class_Players!G:G)</f>
        <v>263</v>
      </c>
      <c r="G292" s="43">
        <f t="shared" si="67"/>
        <v>23.688212927756656</v>
      </c>
      <c r="H292" s="43">
        <f>_xlfn.XLOOKUP(A292,Class_Players!$A:$A,Class_Players!$F:$F,"")</f>
        <v>10922</v>
      </c>
      <c r="I292" s="44">
        <f t="shared" si="68"/>
        <v>0.5704083501190258</v>
      </c>
      <c r="J292" s="43">
        <f t="shared" si="69"/>
        <v>1</v>
      </c>
      <c r="K292" s="44" cm="1">
        <f t="array" ref="K292">IF(D292="Gadget",_xlfn.IFS(I292&gt;=0.2,0.5,I292&gt;=0.1,0.35,I292&gt;=0.05,0.2,TRUE,0),IF(D292="Grenade",_xlfn.IFS(I292&gt;=0.2,1,I292&gt;=0.1,0.7,I292&gt;=0.05,0.4,TRUE,0),0))</f>
        <v>0.5</v>
      </c>
      <c r="L292" s="57">
        <f t="shared" si="70"/>
        <v>0.5</v>
      </c>
    </row>
    <row r="293" spans="1:12" x14ac:dyDescent="0.25">
      <c r="A293" s="42" t="str" cm="1">
        <f t="array" ref="A293">IFERROR(INDEX(_xlfn._xlws.FILTER(Class_Players!A:A,Class_Players!B:B="Engineer"),QUOTIENT(ROW()-ROW($A$2),12)+1),"")</f>
        <v>shabiru</v>
      </c>
      <c r="B293" s="42" t="str">
        <f>_xlfn.XLOOKUP(A293,Class_Players!$A:$A,Class_Players!$B:$B,"")</f>
        <v>Engineer</v>
      </c>
      <c r="C293" s="42" t="str" cm="1">
        <f t="array" ref="C293">INDEX(Lookups!$B$2:$B$13,MOD(ROW()-ROW($B$2),ROWS(Lookups!$B$2:$B$13))+1)</f>
        <v>MAS 148 (Long-Range Launcher)</v>
      </c>
      <c r="D293" s="38" t="str">
        <f>_xlfn.XLOOKUP(C293,Analysis_Gadgets!$C:$C,Analysis_Gadgets!$B:$B)</f>
        <v>Gadget</v>
      </c>
      <c r="E293" s="43">
        <v>27</v>
      </c>
      <c r="F293" s="43">
        <f>_xlfn.XLOOKUP(A293,Class_Players!A:A,Class_Players!G:G)</f>
        <v>263</v>
      </c>
      <c r="G293" s="43">
        <f t="shared" si="67"/>
        <v>0.10266159695817491</v>
      </c>
      <c r="H293" s="43">
        <f>_xlfn.XLOOKUP(A293,Class_Players!$A:$A,Class_Players!$F:$F,"")</f>
        <v>10922</v>
      </c>
      <c r="I293" s="44">
        <f t="shared" si="68"/>
        <v>2.4720747115912836E-3</v>
      </c>
      <c r="J293" s="43">
        <f t="shared" si="69"/>
        <v>0</v>
      </c>
      <c r="K293" s="44" cm="1">
        <f t="array" ref="K293">IF(D293="Gadget",_xlfn.IFS(I293&gt;=0.2,0.5,I293&gt;=0.1,0.35,I293&gt;=0.05,0.2,TRUE,0),IF(D293="Grenade",_xlfn.IFS(I293&gt;=0.2,1,I293&gt;=0.1,0.7,I293&gt;=0.05,0.4,TRUE,0),0))</f>
        <v>0</v>
      </c>
      <c r="L293" s="57">
        <f t="shared" si="70"/>
        <v>0</v>
      </c>
    </row>
    <row r="294" spans="1:12" x14ac:dyDescent="0.25">
      <c r="A294" s="42" t="str" cm="1">
        <f t="array" ref="A294">IFERROR(INDEX(_xlfn._xlws.FILTER(Class_Players!A:A,Class_Players!B:B="Engineer"),QUOTIENT(ROW()-ROW($A$2),12)+1),"")</f>
        <v>shabiru</v>
      </c>
      <c r="B294" s="42" t="str">
        <f>_xlfn.XLOOKUP(A294,Class_Players!$A:$A,Class_Players!$B:$B,"")</f>
        <v>Engineer</v>
      </c>
      <c r="C294" s="42" t="str" cm="1">
        <f t="array" ref="C294">INDEX(Lookups!$B$2:$B$13,MOD(ROW()-ROW($B$2),ROWS(Lookups!$B$2:$B$13))+1)</f>
        <v>M136 AT (Aim-Guided Launcher)</v>
      </c>
      <c r="D294" s="38" t="str">
        <f>_xlfn.XLOOKUP(C294,Analysis_Gadgets!$C:$C,Analysis_Gadgets!$B:$B)</f>
        <v>Gadget</v>
      </c>
      <c r="E294" s="43">
        <v>37</v>
      </c>
      <c r="F294" s="43">
        <f>_xlfn.XLOOKUP(A294,Class_Players!A:A,Class_Players!G:G)</f>
        <v>263</v>
      </c>
      <c r="G294" s="43">
        <f t="shared" si="67"/>
        <v>0.14068441064638784</v>
      </c>
      <c r="H294" s="43">
        <f>_xlfn.XLOOKUP(A294,Class_Players!$A:$A,Class_Players!$F:$F,"")</f>
        <v>10922</v>
      </c>
      <c r="I294" s="44">
        <f t="shared" si="68"/>
        <v>3.3876579381065738E-3</v>
      </c>
      <c r="J294" s="43">
        <f t="shared" si="69"/>
        <v>0</v>
      </c>
      <c r="K294" s="44" cm="1">
        <f t="array" ref="K294">IF(D294="Gadget",_xlfn.IFS(I294&gt;=0.2,0.5,I294&gt;=0.1,0.35,I294&gt;=0.05,0.2,TRUE,0),IF(D294="Grenade",_xlfn.IFS(I294&gt;=0.2,1,I294&gt;=0.1,0.7,I294&gt;=0.05,0.4,TRUE,0),0))</f>
        <v>0</v>
      </c>
      <c r="L294" s="57">
        <f t="shared" si="70"/>
        <v>0</v>
      </c>
    </row>
    <row r="295" spans="1:12" x14ac:dyDescent="0.25">
      <c r="A295" s="42" t="str" cm="1">
        <f t="array" ref="A295">IFERROR(INDEX(_xlfn._xlws.FILTER(Class_Players!A:A,Class_Players!B:B="Engineer"),QUOTIENT(ROW()-ROW($A$2),12)+1),"")</f>
        <v>shabiru</v>
      </c>
      <c r="B295" s="42" t="str">
        <f>_xlfn.XLOOKUP(A295,Class_Players!$A:$A,Class_Players!$B:$B,"")</f>
        <v>Engineer</v>
      </c>
      <c r="C295" s="42" t="str" cm="1">
        <f t="array" ref="C295">INDEX(Lookups!$B$2:$B$13,MOD(ROW()-ROW($B$2),ROWS(Lookups!$B$2:$B$13))+1)</f>
        <v>Supply Crate</v>
      </c>
      <c r="D295" s="38" t="str">
        <f>_xlfn.XLOOKUP(C295,Analysis_Gadgets!$C:$C,Analysis_Gadgets!$B:$B)</f>
        <v>Gadget</v>
      </c>
      <c r="E295" s="43">
        <v>5</v>
      </c>
      <c r="F295" s="43">
        <f>_xlfn.XLOOKUP(A295,Class_Players!A:A,Class_Players!G:G)</f>
        <v>263</v>
      </c>
      <c r="G295" s="43">
        <f t="shared" si="67"/>
        <v>1.9011406844106463E-2</v>
      </c>
      <c r="H295" s="43">
        <f>_xlfn.XLOOKUP(A295,Class_Players!$A:$A,Class_Players!$F:$F,"")</f>
        <v>10922</v>
      </c>
      <c r="I295" s="44">
        <f t="shared" si="68"/>
        <v>4.5779161325764511E-4</v>
      </c>
      <c r="J295" s="43">
        <f t="shared" si="69"/>
        <v>0</v>
      </c>
      <c r="K295" s="44" cm="1">
        <f t="array" ref="K295">IF(D295="Gadget",_xlfn.IFS(I295&gt;=0.2,0.5,I295&gt;=0.1,0.35,I295&gt;=0.05,0.2,TRUE,0),IF(D295="Grenade",_xlfn.IFS(I295&gt;=0.2,1,I295&gt;=0.1,0.7,I295&gt;=0.05,0.4,TRUE,0),0))</f>
        <v>0</v>
      </c>
      <c r="L295" s="57">
        <f t="shared" si="70"/>
        <v>0</v>
      </c>
    </row>
    <row r="296" spans="1:12" x14ac:dyDescent="0.25">
      <c r="A296" s="42" t="str" cm="1">
        <f t="array" ref="A296">IFERROR(INDEX(_xlfn._xlws.FILTER(Class_Players!A:A,Class_Players!B:B="Engineer"),QUOTIENT(ROW()-ROW($A$2),12)+1),"")</f>
        <v>shabiru</v>
      </c>
      <c r="B296" s="42" t="str">
        <f>_xlfn.XLOOKUP(A296,Class_Players!$A:$A,Class_Players!$B:$B,"")</f>
        <v>Engineer</v>
      </c>
      <c r="C296" s="42" t="str" cm="1">
        <f t="array" ref="C296">INDEX(Lookups!$B$2:$B$13,MOD(ROW()-ROW($B$2),ROWS(Lookups!$B$2:$B$13))+1)</f>
        <v>M15 (Anti-Vehicle Mine)</v>
      </c>
      <c r="D296" s="38" t="str">
        <f>_xlfn.XLOOKUP(C296,Analysis_Gadgets!$C:$C,Analysis_Gadgets!$B:$B)</f>
        <v>Gadget</v>
      </c>
      <c r="E296" s="43">
        <v>8367</v>
      </c>
      <c r="F296" s="43">
        <f>_xlfn.XLOOKUP(A296,Class_Players!A:A,Class_Players!G:G)</f>
        <v>263</v>
      </c>
      <c r="G296" s="43">
        <f t="shared" si="67"/>
        <v>31.813688212927758</v>
      </c>
      <c r="H296" s="43">
        <f>_xlfn.XLOOKUP(A296,Class_Players!$A:$A,Class_Players!$F:$F,"")</f>
        <v>10922</v>
      </c>
      <c r="I296" s="44">
        <f t="shared" si="68"/>
        <v>0.76606848562534335</v>
      </c>
      <c r="J296" s="43">
        <f t="shared" si="69"/>
        <v>1</v>
      </c>
      <c r="K296" s="44" cm="1">
        <f t="array" ref="K296">IF(D296="Gadget",_xlfn.IFS(I296&gt;=0.2,0.5,I296&gt;=0.1,0.35,I296&gt;=0.05,0.2,TRUE,0),IF(D296="Grenade",_xlfn.IFS(I296&gt;=0.2,1,I296&gt;=0.1,0.7,I296&gt;=0.05,0.4,TRUE,0),0))</f>
        <v>0.5</v>
      </c>
      <c r="L296" s="57">
        <f t="shared" si="70"/>
        <v>0.5</v>
      </c>
    </row>
    <row r="297" spans="1:12" x14ac:dyDescent="0.25">
      <c r="A297" s="42" t="str" cm="1">
        <f t="array" ref="A297">IFERROR(INDEX(_xlfn._xlws.FILTER(Class_Players!A:A,Class_Players!B:B="Engineer"),QUOTIENT(ROW()-ROW($A$2),12)+1),"")</f>
        <v>shabiru</v>
      </c>
      <c r="B297" s="42" t="str">
        <f>_xlfn.XLOOKUP(A297,Class_Players!$A:$A,Class_Players!$B:$B,"")</f>
        <v>Engineer</v>
      </c>
      <c r="C297" s="42" t="str" cm="1">
        <f t="array" ref="C297">INDEX(Lookups!$B$2:$B$13,MOD(ROW()-ROW($B$2),ROWS(Lookups!$B$2:$B$13))+1)</f>
        <v>PTKM-1R (Acoustic Sensor AV Mine)</v>
      </c>
      <c r="D297" s="38" t="str">
        <f>_xlfn.XLOOKUP(C297,Analysis_Gadgets!$C:$C,Analysis_Gadgets!$B:$B)</f>
        <v>Gadget</v>
      </c>
      <c r="E297" s="43">
        <v>16</v>
      </c>
      <c r="F297" s="43">
        <f>_xlfn.XLOOKUP(A297,Class_Players!A:A,Class_Players!G:G)</f>
        <v>263</v>
      </c>
      <c r="G297" s="43">
        <f t="shared" si="67"/>
        <v>6.0836501901140684E-2</v>
      </c>
      <c r="H297" s="43">
        <f>_xlfn.XLOOKUP(A297,Class_Players!$A:$A,Class_Players!$F:$F,"")</f>
        <v>10922</v>
      </c>
      <c r="I297" s="44">
        <f t="shared" si="68"/>
        <v>1.4649331624244644E-3</v>
      </c>
      <c r="J297" s="43">
        <f t="shared" si="69"/>
        <v>0</v>
      </c>
      <c r="K297" s="44" cm="1">
        <f t="array" ref="K297">IF(D297="Gadget",_xlfn.IFS(I297&gt;=0.2,0.5,I297&gt;=0.1,0.35,I297&gt;=0.05,0.2,TRUE,0),IF(D297="Grenade",_xlfn.IFS(I297&gt;=0.2,1,I297&gt;=0.1,0.7,I297&gt;=0.05,0.4,TRUE,0),0))</f>
        <v>0</v>
      </c>
      <c r="L297" s="57">
        <f t="shared" si="70"/>
        <v>0</v>
      </c>
    </row>
    <row r="298" spans="1:12" x14ac:dyDescent="0.25">
      <c r="A298" s="42" t="str" cm="1">
        <f t="array" ref="A298">IFERROR(INDEX(_xlfn._xlws.FILTER(Class_Players!A:A,Class_Players!B:B="Engineer"),QUOTIENT(ROW()-ROW($A$2),12)+1),"")</f>
        <v>shabiru</v>
      </c>
      <c r="B298" s="42" t="str">
        <f>_xlfn.XLOOKUP(A298,Class_Players!$A:$A,Class_Players!$B:$B,"")</f>
        <v>Engineer</v>
      </c>
      <c r="C298" s="42" t="str" cm="1">
        <f t="array" ref="C298">INDEX(Lookups!$B$2:$B$13,MOD(ROW()-ROW($B$2),ROWS(Lookups!$B$2:$B$13))+1)</f>
        <v>EOD Bot</v>
      </c>
      <c r="D298" s="38" t="str">
        <f>_xlfn.XLOOKUP(C298,Analysis_Gadgets!$C:$C,Analysis_Gadgets!$B:$B)</f>
        <v>Gadget</v>
      </c>
      <c r="E298" s="43">
        <v>0</v>
      </c>
      <c r="F298" s="43">
        <f>_xlfn.XLOOKUP(A298,Class_Players!A:A,Class_Players!G:G)</f>
        <v>263</v>
      </c>
      <c r="G298" s="43">
        <f t="shared" si="67"/>
        <v>0</v>
      </c>
      <c r="H298" s="43">
        <f>_xlfn.XLOOKUP(A298,Class_Players!$A:$A,Class_Players!$F:$F,"")</f>
        <v>10922</v>
      </c>
      <c r="I298" s="44">
        <f t="shared" si="68"/>
        <v>0</v>
      </c>
      <c r="J298" s="43">
        <f t="shared" si="69"/>
        <v>0</v>
      </c>
      <c r="K298" s="44" cm="1">
        <f t="array" ref="K298">IF(D298="Gadget",_xlfn.IFS(I298&gt;=0.2,0.5,I298&gt;=0.1,0.35,I298&gt;=0.05,0.2,TRUE,0),IF(D298="Grenade",_xlfn.IFS(I298&gt;=0.2,1,I298&gt;=0.1,0.7,I298&gt;=0.05,0.4,TRUE,0),0))</f>
        <v>0</v>
      </c>
      <c r="L298" s="57">
        <f t="shared" si="70"/>
        <v>0</v>
      </c>
    </row>
    <row r="299" spans="1:12" x14ac:dyDescent="0.25">
      <c r="A299" s="42" t="str" cm="1">
        <f t="array" ref="A299">IFERROR(INDEX(_xlfn._xlws.FILTER(Class_Players!A:A,Class_Players!B:B="Engineer"),QUOTIENT(ROW()-ROW($A$2),12)+1),"")</f>
        <v>shabiru</v>
      </c>
      <c r="B299" s="42" t="str">
        <f>_xlfn.XLOOKUP(A299,Class_Players!$A:$A,Class_Players!$B:$B,"")</f>
        <v>Engineer</v>
      </c>
      <c r="C299" s="42" t="str" cm="1">
        <f t="array" ref="C299">INDEX(Lookups!$B$2:$B$13,MOD(ROW()-ROW($B$2),ROWS(Lookups!$B$2:$B$13))+1)</f>
        <v>M4A1 SLAM (Tripwire Sensor AV Mine)</v>
      </c>
      <c r="D299" s="38" t="str">
        <f>_xlfn.XLOOKUP(C299,Analysis_Gadgets!$C:$C,Analysis_Gadgets!$B:$B)</f>
        <v>Gadget</v>
      </c>
      <c r="E299" s="43">
        <v>13</v>
      </c>
      <c r="F299" s="43">
        <f>_xlfn.XLOOKUP(A299,Class_Players!A:A,Class_Players!G:G)</f>
        <v>263</v>
      </c>
      <c r="G299" s="43">
        <f t="shared" si="67"/>
        <v>4.9429657794676805E-2</v>
      </c>
      <c r="H299" s="43">
        <f>_xlfn.XLOOKUP(A299,Class_Players!$A:$A,Class_Players!$F:$F,"")</f>
        <v>10922</v>
      </c>
      <c r="I299" s="44">
        <f t="shared" si="68"/>
        <v>1.1902581944698773E-3</v>
      </c>
      <c r="J299" s="43">
        <f t="shared" si="69"/>
        <v>0</v>
      </c>
      <c r="K299" s="44" cm="1">
        <f t="array" ref="K299">IF(D299="Gadget",_xlfn.IFS(I299&gt;=0.2,0.5,I299&gt;=0.1,0.35,I299&gt;=0.05,0.2,TRUE,0),IF(D299="Grenade",_xlfn.IFS(I299&gt;=0.2,1,I299&gt;=0.1,0.7,I299&gt;=0.05,0.4,TRUE,0),0))</f>
        <v>0</v>
      </c>
      <c r="L299" s="57">
        <f t="shared" si="70"/>
        <v>0</v>
      </c>
    </row>
    <row r="300" spans="1:12" x14ac:dyDescent="0.25">
      <c r="A300" s="42" t="str" cm="1">
        <f t="array" ref="A300">IFERROR(INDEX(_xlfn._xlws.FILTER(Class_Players!A:A,Class_Players!B:B="Engineer"),QUOTIENT(ROW()-ROW($A$2),12)+1),"")</f>
        <v>shabiru</v>
      </c>
      <c r="B300" s="42" t="str">
        <f>_xlfn.XLOOKUP(A300,Class_Players!$A:$A,Class_Players!$B:$B,"")</f>
        <v>Engineer</v>
      </c>
      <c r="C300" s="42" t="str" cm="1">
        <f t="array" ref="C300">INDEX(Lookups!$B$2:$B$13,MOD(ROW()-ROW($B$2),ROWS(Lookups!$B$2:$B$13))+1)</f>
        <v>Mini Frag Grenade</v>
      </c>
      <c r="D300" s="38" t="str">
        <f>_xlfn.XLOOKUP(C300,Analysis_Gadgets!$C:$C,Analysis_Gadgets!$B:$B)</f>
        <v>Grenade</v>
      </c>
      <c r="E300" s="43">
        <v>57</v>
      </c>
      <c r="F300" s="43">
        <f>_xlfn.XLOOKUP(A300,Class_Players!A:A,Class_Players!G:G)</f>
        <v>263</v>
      </c>
      <c r="G300" s="43">
        <f t="shared" si="67"/>
        <v>0.21673003802281368</v>
      </c>
      <c r="H300" s="43">
        <f>_xlfn.XLOOKUP(A300,Class_Players!$A:$A,Class_Players!$F:$F,"")</f>
        <v>10922</v>
      </c>
      <c r="I300" s="44">
        <f t="shared" si="68"/>
        <v>5.2188243911371543E-3</v>
      </c>
      <c r="J300" s="43">
        <f t="shared" si="69"/>
        <v>0</v>
      </c>
      <c r="K300" s="44" cm="1">
        <f t="array" ref="K300">IF(D300="Gadget",_xlfn.IFS(I300&gt;=0.2,0.5,I300&gt;=0.1,0.35,I300&gt;=0.05,0.2,TRUE,0),IF(D300="Grenade",_xlfn.IFS(I300&gt;=0.2,1,I300&gt;=0.1,0.7,I300&gt;=0.05,0.4,TRUE,0),0))</f>
        <v>0</v>
      </c>
      <c r="L300" s="57">
        <f t="shared" ref="L300:L301" si="71">IF($K300=0,0,$K300 / SUMIFS($K:$K,$A:$A,$A300,$D:$D,"Grenade"))</f>
        <v>0</v>
      </c>
    </row>
    <row r="301" spans="1:12" x14ac:dyDescent="0.25">
      <c r="A301" s="42" t="str" cm="1">
        <f t="array" ref="A301">IFERROR(INDEX(_xlfn._xlws.FILTER(Class_Players!A:A,Class_Players!B:B="Engineer"),QUOTIENT(ROW()-ROW($A$2),12)+1),"")</f>
        <v>shabiru</v>
      </c>
      <c r="B301" s="42" t="str">
        <f>_xlfn.XLOOKUP(A301,Class_Players!$A:$A,Class_Players!$B:$B,"")</f>
        <v>Engineer</v>
      </c>
      <c r="C301" s="42" t="str" cm="1">
        <f t="array" ref="C301">INDEX(Lookups!$B$2:$B$13,MOD(ROW()-ROW($B$2),ROWS(Lookups!$B$2:$B$13))+1)</f>
        <v>Anti-Vehicle Grenade</v>
      </c>
      <c r="D301" s="38" t="str">
        <f>_xlfn.XLOOKUP(C301,Analysis_Gadgets!$C:$C,Analysis_Gadgets!$B:$B)</f>
        <v>Grenade</v>
      </c>
      <c r="E301" s="43">
        <v>0</v>
      </c>
      <c r="F301" s="43">
        <f>_xlfn.XLOOKUP(A301,Class_Players!A:A,Class_Players!G:G)</f>
        <v>263</v>
      </c>
      <c r="G301" s="43">
        <f t="shared" si="67"/>
        <v>0</v>
      </c>
      <c r="H301" s="43">
        <f>_xlfn.XLOOKUP(A301,Class_Players!$A:$A,Class_Players!$F:$F,"")</f>
        <v>10922</v>
      </c>
      <c r="I301" s="44">
        <f t="shared" si="68"/>
        <v>0</v>
      </c>
      <c r="J301" s="43">
        <f t="shared" si="69"/>
        <v>0</v>
      </c>
      <c r="K301" s="44" cm="1">
        <f t="array" ref="K301">IF(D301="Gadget",_xlfn.IFS(I301&gt;=0.2,0.5,I301&gt;=0.1,0.35,I301&gt;=0.05,0.2,TRUE,0),IF(D301="Grenade",_xlfn.IFS(I301&gt;=0.2,1,I301&gt;=0.1,0.7,I301&gt;=0.05,0.4,TRUE,0),0))</f>
        <v>0</v>
      </c>
      <c r="L301" s="57">
        <f t="shared" si="71"/>
        <v>0</v>
      </c>
    </row>
    <row r="302" spans="1:12" x14ac:dyDescent="0.25">
      <c r="A302" s="42" t="str" cm="1">
        <f t="array" ref="A302">IFERROR(INDEX(_xlfn._xlws.FILTER(Class_Players!A:A,Class_Players!B:B="Engineer"),QUOTIENT(ROW()-ROW($A$2),12)+1),"")</f>
        <v>drchacal78</v>
      </c>
      <c r="B302" s="42" t="str">
        <f>_xlfn.XLOOKUP(A302,Class_Players!$A:$A,Class_Players!$B:$B,"")</f>
        <v>Engineer</v>
      </c>
      <c r="C302" s="42" t="str" cm="1">
        <f t="array" ref="C302">INDEX(Lookups!$B$2:$B$13,MOD(ROW()-ROW($B$2),ROWS(Lookups!$B$2:$B$13))+1)</f>
        <v>MBT-LAW (Auto-Guided Launcher)</v>
      </c>
      <c r="D302" s="38" t="str">
        <f>_xlfn.XLOOKUP(C302,Analysis_Gadgets!$C:$C,Analysis_Gadgets!$B:$B)</f>
        <v>Gadget</v>
      </c>
      <c r="E302" s="43">
        <v>0</v>
      </c>
      <c r="F302" s="43">
        <f>_xlfn.XLOOKUP(A302,Class_Players!A:A,Class_Players!G:G)</f>
        <v>181</v>
      </c>
      <c r="G302" s="43">
        <f t="shared" si="67"/>
        <v>0</v>
      </c>
      <c r="H302" s="43">
        <f>_xlfn.XLOOKUP(A302,Class_Players!$A:$A,Class_Players!$F:$F,"")</f>
        <v>11466</v>
      </c>
      <c r="I302" s="44">
        <f t="shared" si="68"/>
        <v>0</v>
      </c>
      <c r="J302" s="43">
        <f t="shared" si="69"/>
        <v>0</v>
      </c>
      <c r="K302" s="44" cm="1">
        <f t="array" ref="K302">IF(D302="Gadget",_xlfn.IFS(I302&gt;=0.2,0.5,I302&gt;=0.1,0.35,I302&gt;=0.05,0.2,TRUE,0),IF(D302="Grenade",_xlfn.IFS(I302&gt;=0.2,1,I302&gt;=0.1,0.7,I302&gt;=0.05,0.4,TRUE,0),0))</f>
        <v>0</v>
      </c>
      <c r="L302" s="57">
        <f t="shared" ref="L302:L311" si="72">IF($K302=0,0,$K302 / SUMIFS($K:$K,$A:$A,$A302,$D:$D,"Gadget"))</f>
        <v>0</v>
      </c>
    </row>
    <row r="303" spans="1:12" x14ac:dyDescent="0.25">
      <c r="A303" s="42" t="str" cm="1">
        <f t="array" ref="A303">IFERROR(INDEX(_xlfn._xlws.FILTER(Class_Players!A:A,Class_Players!B:B="Engineer"),QUOTIENT(ROW()-ROW($A$2),12)+1),"")</f>
        <v>drchacal78</v>
      </c>
      <c r="B303" s="42" t="str">
        <f>_xlfn.XLOOKUP(A303,Class_Players!$A:$A,Class_Players!$B:$B,"")</f>
        <v>Engineer</v>
      </c>
      <c r="C303" s="42" t="str" cm="1">
        <f t="array" ref="C303">INDEX(Lookups!$B$2:$B$13,MOD(ROW()-ROW($B$2),ROWS(Lookups!$B$2:$B$13))+1)</f>
        <v>SLM-93A (Air-Defense Launcher)</v>
      </c>
      <c r="D303" s="38" t="str">
        <f>_xlfn.XLOOKUP(C303,Analysis_Gadgets!$C:$C,Analysis_Gadgets!$B:$B)</f>
        <v>Gadget</v>
      </c>
      <c r="E303" s="43">
        <v>17</v>
      </c>
      <c r="F303" s="43">
        <f>_xlfn.XLOOKUP(A303,Class_Players!A:A,Class_Players!G:G)</f>
        <v>181</v>
      </c>
      <c r="G303" s="43">
        <f t="shared" si="67"/>
        <v>9.3922651933701654E-2</v>
      </c>
      <c r="H303" s="43">
        <f>_xlfn.XLOOKUP(A303,Class_Players!$A:$A,Class_Players!$F:$F,"")</f>
        <v>11466</v>
      </c>
      <c r="I303" s="44">
        <f t="shared" si="68"/>
        <v>1.4826443397871968E-3</v>
      </c>
      <c r="J303" s="43">
        <f t="shared" si="69"/>
        <v>0</v>
      </c>
      <c r="K303" s="44" cm="1">
        <f t="array" ref="K303">IF(D303="Gadget",_xlfn.IFS(I303&gt;=0.2,0.5,I303&gt;=0.1,0.35,I303&gt;=0.05,0.2,TRUE,0),IF(D303="Grenade",_xlfn.IFS(I303&gt;=0.2,1,I303&gt;=0.1,0.7,I303&gt;=0.05,0.4,TRUE,0),0))</f>
        <v>0</v>
      </c>
      <c r="L303" s="57">
        <f t="shared" si="72"/>
        <v>0</v>
      </c>
    </row>
    <row r="304" spans="1:12" x14ac:dyDescent="0.25">
      <c r="A304" s="42" t="str" cm="1">
        <f t="array" ref="A304">IFERROR(INDEX(_xlfn._xlws.FILTER(Class_Players!A:A,Class_Players!B:B="Engineer"),QUOTIENT(ROW()-ROW($A$2),12)+1),"")</f>
        <v>drchacal78</v>
      </c>
      <c r="B304" s="42" t="str">
        <f>_xlfn.XLOOKUP(A304,Class_Players!$A:$A,Class_Players!$B:$B,"")</f>
        <v>Engineer</v>
      </c>
      <c r="C304" s="42" t="str" cm="1">
        <f t="array" ref="C304">INDEX(Lookups!$B$2:$B$13,MOD(ROW()-ROW($B$2),ROWS(Lookups!$B$2:$B$13))+1)</f>
        <v>RPG-7V2 (Unguided Rocket Launcher)</v>
      </c>
      <c r="D304" s="38" t="str">
        <f>_xlfn.XLOOKUP(C304,Analysis_Gadgets!$C:$C,Analysis_Gadgets!$B:$B)</f>
        <v>Gadget</v>
      </c>
      <c r="E304" s="43">
        <v>3297</v>
      </c>
      <c r="F304" s="43">
        <f>_xlfn.XLOOKUP(A304,Class_Players!A:A,Class_Players!G:G)</f>
        <v>181</v>
      </c>
      <c r="G304" s="43">
        <f t="shared" si="67"/>
        <v>18.215469613259668</v>
      </c>
      <c r="H304" s="43">
        <f>_xlfn.XLOOKUP(A304,Class_Players!$A:$A,Class_Players!$F:$F,"")</f>
        <v>11466</v>
      </c>
      <c r="I304" s="44">
        <f t="shared" si="68"/>
        <v>0.28754578754578752</v>
      </c>
      <c r="J304" s="43">
        <f t="shared" si="69"/>
        <v>1</v>
      </c>
      <c r="K304" s="44" cm="1">
        <f t="array" ref="K304">IF(D304="Gadget",_xlfn.IFS(I304&gt;=0.2,0.5,I304&gt;=0.1,0.35,I304&gt;=0.05,0.2,TRUE,0),IF(D304="Grenade",_xlfn.IFS(I304&gt;=0.2,1,I304&gt;=0.1,0.7,I304&gt;=0.05,0.4,TRUE,0),0))</f>
        <v>0.5</v>
      </c>
      <c r="L304" s="57">
        <f t="shared" si="72"/>
        <v>0.58823529411764708</v>
      </c>
    </row>
    <row r="305" spans="1:12" x14ac:dyDescent="0.25">
      <c r="A305" s="42" t="str" cm="1">
        <f t="array" ref="A305">IFERROR(INDEX(_xlfn._xlws.FILTER(Class_Players!A:A,Class_Players!B:B="Engineer"),QUOTIENT(ROW()-ROW($A$2),12)+1),"")</f>
        <v>drchacal78</v>
      </c>
      <c r="B305" s="42" t="str">
        <f>_xlfn.XLOOKUP(A305,Class_Players!$A:$A,Class_Players!$B:$B,"")</f>
        <v>Engineer</v>
      </c>
      <c r="C305" s="42" t="str" cm="1">
        <f t="array" ref="C305">INDEX(Lookups!$B$2:$B$13,MOD(ROW()-ROW($B$2),ROWS(Lookups!$B$2:$B$13))+1)</f>
        <v>MAS 148 (Long-Range Launcher)</v>
      </c>
      <c r="D305" s="38" t="str">
        <f>_xlfn.XLOOKUP(C305,Analysis_Gadgets!$C:$C,Analysis_Gadgets!$B:$B)</f>
        <v>Gadget</v>
      </c>
      <c r="E305" s="43">
        <v>1</v>
      </c>
      <c r="F305" s="43">
        <f>_xlfn.XLOOKUP(A305,Class_Players!A:A,Class_Players!G:G)</f>
        <v>181</v>
      </c>
      <c r="G305" s="43">
        <f t="shared" si="67"/>
        <v>5.5248618784530384E-3</v>
      </c>
      <c r="H305" s="43">
        <f>_xlfn.XLOOKUP(A305,Class_Players!$A:$A,Class_Players!$F:$F,"")</f>
        <v>11466</v>
      </c>
      <c r="I305" s="44">
        <f t="shared" si="68"/>
        <v>8.7214372928658639E-5</v>
      </c>
      <c r="J305" s="43">
        <f t="shared" si="69"/>
        <v>0</v>
      </c>
      <c r="K305" s="44" cm="1">
        <f t="array" ref="K305">IF(D305="Gadget",_xlfn.IFS(I305&gt;=0.2,0.5,I305&gt;=0.1,0.35,I305&gt;=0.05,0.2,TRUE,0),IF(D305="Grenade",_xlfn.IFS(I305&gt;=0.2,1,I305&gt;=0.1,0.7,I305&gt;=0.05,0.4,TRUE,0),0))</f>
        <v>0</v>
      </c>
      <c r="L305" s="57">
        <f t="shared" si="72"/>
        <v>0</v>
      </c>
    </row>
    <row r="306" spans="1:12" x14ac:dyDescent="0.25">
      <c r="A306" s="42" t="str" cm="1">
        <f t="array" ref="A306">IFERROR(INDEX(_xlfn._xlws.FILTER(Class_Players!A:A,Class_Players!B:B="Engineer"),QUOTIENT(ROW()-ROW($A$2),12)+1),"")</f>
        <v>drchacal78</v>
      </c>
      <c r="B306" s="42" t="str">
        <f>_xlfn.XLOOKUP(A306,Class_Players!$A:$A,Class_Players!$B:$B,"")</f>
        <v>Engineer</v>
      </c>
      <c r="C306" s="42" t="str" cm="1">
        <f t="array" ref="C306">INDEX(Lookups!$B$2:$B$13,MOD(ROW()-ROW($B$2),ROWS(Lookups!$B$2:$B$13))+1)</f>
        <v>M136 AT (Aim-Guided Launcher)</v>
      </c>
      <c r="D306" s="38" t="str">
        <f>_xlfn.XLOOKUP(C306,Analysis_Gadgets!$C:$C,Analysis_Gadgets!$B:$B)</f>
        <v>Gadget</v>
      </c>
      <c r="E306" s="43">
        <v>2</v>
      </c>
      <c r="F306" s="43">
        <f>_xlfn.XLOOKUP(A306,Class_Players!A:A,Class_Players!G:G)</f>
        <v>181</v>
      </c>
      <c r="G306" s="43">
        <f t="shared" si="67"/>
        <v>1.1049723756906077E-2</v>
      </c>
      <c r="H306" s="43">
        <f>_xlfn.XLOOKUP(A306,Class_Players!$A:$A,Class_Players!$F:$F,"")</f>
        <v>11466</v>
      </c>
      <c r="I306" s="44">
        <f t="shared" si="68"/>
        <v>1.7442874585731728E-4</v>
      </c>
      <c r="J306" s="43">
        <f t="shared" si="69"/>
        <v>0</v>
      </c>
      <c r="K306" s="44" cm="1">
        <f t="array" ref="K306">IF(D306="Gadget",_xlfn.IFS(I306&gt;=0.2,0.5,I306&gt;=0.1,0.35,I306&gt;=0.05,0.2,TRUE,0),IF(D306="Grenade",_xlfn.IFS(I306&gt;=0.2,1,I306&gt;=0.1,0.7,I306&gt;=0.05,0.4,TRUE,0),0))</f>
        <v>0</v>
      </c>
      <c r="L306" s="57">
        <f t="shared" si="72"/>
        <v>0</v>
      </c>
    </row>
    <row r="307" spans="1:12" x14ac:dyDescent="0.25">
      <c r="A307" s="42" t="str" cm="1">
        <f t="array" ref="A307">IFERROR(INDEX(_xlfn._xlws.FILTER(Class_Players!A:A,Class_Players!B:B="Engineer"),QUOTIENT(ROW()-ROW($A$2),12)+1),"")</f>
        <v>drchacal78</v>
      </c>
      <c r="B307" s="42" t="str">
        <f>_xlfn.XLOOKUP(A307,Class_Players!$A:$A,Class_Players!$B:$B,"")</f>
        <v>Engineer</v>
      </c>
      <c r="C307" s="42" t="str" cm="1">
        <f t="array" ref="C307">INDEX(Lookups!$B$2:$B$13,MOD(ROW()-ROW($B$2),ROWS(Lookups!$B$2:$B$13))+1)</f>
        <v>Supply Crate</v>
      </c>
      <c r="D307" s="38" t="str">
        <f>_xlfn.XLOOKUP(C307,Analysis_Gadgets!$C:$C,Analysis_Gadgets!$B:$B)</f>
        <v>Gadget</v>
      </c>
      <c r="E307" s="43">
        <v>1</v>
      </c>
      <c r="F307" s="43">
        <f>_xlfn.XLOOKUP(A307,Class_Players!A:A,Class_Players!G:G)</f>
        <v>181</v>
      </c>
      <c r="G307" s="43">
        <f t="shared" si="67"/>
        <v>5.5248618784530384E-3</v>
      </c>
      <c r="H307" s="43">
        <f>_xlfn.XLOOKUP(A307,Class_Players!$A:$A,Class_Players!$F:$F,"")</f>
        <v>11466</v>
      </c>
      <c r="I307" s="44">
        <f t="shared" si="68"/>
        <v>8.7214372928658639E-5</v>
      </c>
      <c r="J307" s="43">
        <f t="shared" si="69"/>
        <v>0</v>
      </c>
      <c r="K307" s="44" cm="1">
        <f t="array" ref="K307">IF(D307="Gadget",_xlfn.IFS(I307&gt;=0.2,0.5,I307&gt;=0.1,0.35,I307&gt;=0.05,0.2,TRUE,0),IF(D307="Grenade",_xlfn.IFS(I307&gt;=0.2,1,I307&gt;=0.1,0.7,I307&gt;=0.05,0.4,TRUE,0),0))</f>
        <v>0</v>
      </c>
      <c r="L307" s="57">
        <f t="shared" si="72"/>
        <v>0</v>
      </c>
    </row>
    <row r="308" spans="1:12" x14ac:dyDescent="0.25">
      <c r="A308" s="42" t="str" cm="1">
        <f t="array" ref="A308">IFERROR(INDEX(_xlfn._xlws.FILTER(Class_Players!A:A,Class_Players!B:B="Engineer"),QUOTIENT(ROW()-ROW($A$2),12)+1),"")</f>
        <v>drchacal78</v>
      </c>
      <c r="B308" s="42" t="str">
        <f>_xlfn.XLOOKUP(A308,Class_Players!$A:$A,Class_Players!$B:$B,"")</f>
        <v>Engineer</v>
      </c>
      <c r="C308" s="42" t="str" cm="1">
        <f t="array" ref="C308">INDEX(Lookups!$B$2:$B$13,MOD(ROW()-ROW($B$2),ROWS(Lookups!$B$2:$B$13))+1)</f>
        <v>M15 (Anti-Vehicle Mine)</v>
      </c>
      <c r="D308" s="38" t="str">
        <f>_xlfn.XLOOKUP(C308,Analysis_Gadgets!$C:$C,Analysis_Gadgets!$B:$B)</f>
        <v>Gadget</v>
      </c>
      <c r="E308" s="43">
        <v>1362</v>
      </c>
      <c r="F308" s="43">
        <f>_xlfn.XLOOKUP(A308,Class_Players!A:A,Class_Players!G:G)</f>
        <v>181</v>
      </c>
      <c r="G308" s="43">
        <f t="shared" si="67"/>
        <v>7.5248618784530388</v>
      </c>
      <c r="H308" s="43">
        <f>_xlfn.XLOOKUP(A308,Class_Players!$A:$A,Class_Players!$F:$F,"")</f>
        <v>11466</v>
      </c>
      <c r="I308" s="44">
        <f t="shared" si="68"/>
        <v>0.11878597592883307</v>
      </c>
      <c r="J308" s="43">
        <f t="shared" si="69"/>
        <v>1</v>
      </c>
      <c r="K308" s="44" cm="1">
        <f t="array" ref="K308">IF(D308="Gadget",_xlfn.IFS(I308&gt;=0.2,0.5,I308&gt;=0.1,0.35,I308&gt;=0.05,0.2,TRUE,0),IF(D308="Grenade",_xlfn.IFS(I308&gt;=0.2,1,I308&gt;=0.1,0.7,I308&gt;=0.05,0.4,TRUE,0),0))</f>
        <v>0.35</v>
      </c>
      <c r="L308" s="57">
        <f t="shared" si="72"/>
        <v>0.41176470588235292</v>
      </c>
    </row>
    <row r="309" spans="1:12" x14ac:dyDescent="0.25">
      <c r="A309" s="42" t="str" cm="1">
        <f t="array" ref="A309">IFERROR(INDEX(_xlfn._xlws.FILTER(Class_Players!A:A,Class_Players!B:B="Engineer"),QUOTIENT(ROW()-ROW($A$2),12)+1),"")</f>
        <v>drchacal78</v>
      </c>
      <c r="B309" s="42" t="str">
        <f>_xlfn.XLOOKUP(A309,Class_Players!$A:$A,Class_Players!$B:$B,"")</f>
        <v>Engineer</v>
      </c>
      <c r="C309" s="42" t="str" cm="1">
        <f t="array" ref="C309">INDEX(Lookups!$B$2:$B$13,MOD(ROW()-ROW($B$2),ROWS(Lookups!$B$2:$B$13))+1)</f>
        <v>PTKM-1R (Acoustic Sensor AV Mine)</v>
      </c>
      <c r="D309" s="38" t="str">
        <f>_xlfn.XLOOKUP(C309,Analysis_Gadgets!$C:$C,Analysis_Gadgets!$B:$B)</f>
        <v>Gadget</v>
      </c>
      <c r="E309" s="43">
        <v>38</v>
      </c>
      <c r="F309" s="43">
        <f>_xlfn.XLOOKUP(A309,Class_Players!A:A,Class_Players!G:G)</f>
        <v>181</v>
      </c>
      <c r="G309" s="43">
        <f t="shared" si="67"/>
        <v>0.20994475138121546</v>
      </c>
      <c r="H309" s="43">
        <f>_xlfn.XLOOKUP(A309,Class_Players!$A:$A,Class_Players!$F:$F,"")</f>
        <v>11466</v>
      </c>
      <c r="I309" s="44">
        <f t="shared" si="68"/>
        <v>3.3141461712890286E-3</v>
      </c>
      <c r="J309" s="43">
        <f t="shared" si="69"/>
        <v>0</v>
      </c>
      <c r="K309" s="44" cm="1">
        <f t="array" ref="K309">IF(D309="Gadget",_xlfn.IFS(I309&gt;=0.2,0.5,I309&gt;=0.1,0.35,I309&gt;=0.05,0.2,TRUE,0),IF(D309="Grenade",_xlfn.IFS(I309&gt;=0.2,1,I309&gt;=0.1,0.7,I309&gt;=0.05,0.4,TRUE,0),0))</f>
        <v>0</v>
      </c>
      <c r="L309" s="57">
        <f t="shared" si="72"/>
        <v>0</v>
      </c>
    </row>
    <row r="310" spans="1:12" x14ac:dyDescent="0.25">
      <c r="A310" s="42" t="str" cm="1">
        <f t="array" ref="A310">IFERROR(INDEX(_xlfn._xlws.FILTER(Class_Players!A:A,Class_Players!B:B="Engineer"),QUOTIENT(ROW()-ROW($A$2),12)+1),"")</f>
        <v>drchacal78</v>
      </c>
      <c r="B310" s="42" t="str">
        <f>_xlfn.XLOOKUP(A310,Class_Players!$A:$A,Class_Players!$B:$B,"")</f>
        <v>Engineer</v>
      </c>
      <c r="C310" s="42" t="str" cm="1">
        <f t="array" ref="C310">INDEX(Lookups!$B$2:$B$13,MOD(ROW()-ROW($B$2),ROWS(Lookups!$B$2:$B$13))+1)</f>
        <v>EOD Bot</v>
      </c>
      <c r="D310" s="38" t="str">
        <f>_xlfn.XLOOKUP(C310,Analysis_Gadgets!$C:$C,Analysis_Gadgets!$B:$B)</f>
        <v>Gadget</v>
      </c>
      <c r="E310" s="43">
        <v>6</v>
      </c>
      <c r="F310" s="43">
        <f>_xlfn.XLOOKUP(A310,Class_Players!A:A,Class_Players!G:G)</f>
        <v>181</v>
      </c>
      <c r="G310" s="43">
        <f t="shared" si="67"/>
        <v>3.3149171270718231E-2</v>
      </c>
      <c r="H310" s="43">
        <f>_xlfn.XLOOKUP(A310,Class_Players!$A:$A,Class_Players!$F:$F,"")</f>
        <v>11466</v>
      </c>
      <c r="I310" s="44">
        <f t="shared" si="68"/>
        <v>5.2328623757195189E-4</v>
      </c>
      <c r="J310" s="43">
        <f t="shared" si="69"/>
        <v>0</v>
      </c>
      <c r="K310" s="44" cm="1">
        <f t="array" ref="K310">IF(D310="Gadget",_xlfn.IFS(I310&gt;=0.2,0.5,I310&gt;=0.1,0.35,I310&gt;=0.05,0.2,TRUE,0),IF(D310="Grenade",_xlfn.IFS(I310&gt;=0.2,1,I310&gt;=0.1,0.7,I310&gt;=0.05,0.4,TRUE,0),0))</f>
        <v>0</v>
      </c>
      <c r="L310" s="57">
        <f t="shared" si="72"/>
        <v>0</v>
      </c>
    </row>
    <row r="311" spans="1:12" x14ac:dyDescent="0.25">
      <c r="A311" s="42" t="str" cm="1">
        <f t="array" ref="A311">IFERROR(INDEX(_xlfn._xlws.FILTER(Class_Players!A:A,Class_Players!B:B="Engineer"),QUOTIENT(ROW()-ROW($A$2),12)+1),"")</f>
        <v>drchacal78</v>
      </c>
      <c r="B311" s="42" t="str">
        <f>_xlfn.XLOOKUP(A311,Class_Players!$A:$A,Class_Players!$B:$B,"")</f>
        <v>Engineer</v>
      </c>
      <c r="C311" s="42" t="str" cm="1">
        <f t="array" ref="C311">INDEX(Lookups!$B$2:$B$13,MOD(ROW()-ROW($B$2),ROWS(Lookups!$B$2:$B$13))+1)</f>
        <v>M4A1 SLAM (Tripwire Sensor AV Mine)</v>
      </c>
      <c r="D311" s="38" t="str">
        <f>_xlfn.XLOOKUP(C311,Analysis_Gadgets!$C:$C,Analysis_Gadgets!$B:$B)</f>
        <v>Gadget</v>
      </c>
      <c r="E311" s="43">
        <v>127</v>
      </c>
      <c r="F311" s="43">
        <f>_xlfn.XLOOKUP(A311,Class_Players!A:A,Class_Players!G:G)</f>
        <v>181</v>
      </c>
      <c r="G311" s="43">
        <f t="shared" si="67"/>
        <v>0.7016574585635359</v>
      </c>
      <c r="H311" s="43">
        <f>_xlfn.XLOOKUP(A311,Class_Players!$A:$A,Class_Players!$F:$F,"")</f>
        <v>11466</v>
      </c>
      <c r="I311" s="44">
        <f t="shared" si="68"/>
        <v>1.1076225361939647E-2</v>
      </c>
      <c r="J311" s="43">
        <f t="shared" si="69"/>
        <v>0</v>
      </c>
      <c r="K311" s="44" cm="1">
        <f t="array" ref="K311">IF(D311="Gadget",_xlfn.IFS(I311&gt;=0.2,0.5,I311&gt;=0.1,0.35,I311&gt;=0.05,0.2,TRUE,0),IF(D311="Grenade",_xlfn.IFS(I311&gt;=0.2,1,I311&gt;=0.1,0.7,I311&gt;=0.05,0.4,TRUE,0),0))</f>
        <v>0</v>
      </c>
      <c r="L311" s="57">
        <f t="shared" si="72"/>
        <v>0</v>
      </c>
    </row>
    <row r="312" spans="1:12" x14ac:dyDescent="0.25">
      <c r="A312" s="42" t="str" cm="1">
        <f t="array" ref="A312">IFERROR(INDEX(_xlfn._xlws.FILTER(Class_Players!A:A,Class_Players!B:B="Engineer"),QUOTIENT(ROW()-ROW($A$2),12)+1),"")</f>
        <v>drchacal78</v>
      </c>
      <c r="B312" s="42" t="str">
        <f>_xlfn.XLOOKUP(A312,Class_Players!$A:$A,Class_Players!$B:$B,"")</f>
        <v>Engineer</v>
      </c>
      <c r="C312" s="42" t="str" cm="1">
        <f t="array" ref="C312">INDEX(Lookups!$B$2:$B$13,MOD(ROW()-ROW($B$2),ROWS(Lookups!$B$2:$B$13))+1)</f>
        <v>Mini Frag Grenade</v>
      </c>
      <c r="D312" s="38" t="str">
        <f>_xlfn.XLOOKUP(C312,Analysis_Gadgets!$C:$C,Analysis_Gadgets!$B:$B)</f>
        <v>Grenade</v>
      </c>
      <c r="E312" s="43">
        <v>2</v>
      </c>
      <c r="F312" s="43">
        <f>_xlfn.XLOOKUP(A312,Class_Players!A:A,Class_Players!G:G)</f>
        <v>181</v>
      </c>
      <c r="G312" s="43">
        <f t="shared" si="67"/>
        <v>1.1049723756906077E-2</v>
      </c>
      <c r="H312" s="43">
        <f>_xlfn.XLOOKUP(A312,Class_Players!$A:$A,Class_Players!$F:$F,"")</f>
        <v>11466</v>
      </c>
      <c r="I312" s="44">
        <f t="shared" si="68"/>
        <v>1.7442874585731728E-4</v>
      </c>
      <c r="J312" s="43">
        <f t="shared" si="69"/>
        <v>0</v>
      </c>
      <c r="K312" s="44" cm="1">
        <f t="array" ref="K312">IF(D312="Gadget",_xlfn.IFS(I312&gt;=0.2,0.5,I312&gt;=0.1,0.35,I312&gt;=0.05,0.2,TRUE,0),IF(D312="Grenade",_xlfn.IFS(I312&gt;=0.2,1,I312&gt;=0.1,0.7,I312&gt;=0.05,0.4,TRUE,0),0))</f>
        <v>0</v>
      </c>
      <c r="L312" s="57">
        <f t="shared" ref="L312:L313" si="73">IF($K312=0,0,$K312 / SUMIFS($K:$K,$A:$A,$A312,$D:$D,"Grenade"))</f>
        <v>0</v>
      </c>
    </row>
    <row r="313" spans="1:12" x14ac:dyDescent="0.25">
      <c r="A313" s="42" t="str" cm="1">
        <f t="array" ref="A313">IFERROR(INDEX(_xlfn._xlws.FILTER(Class_Players!A:A,Class_Players!B:B="Engineer"),QUOTIENT(ROW()-ROW($A$2),12)+1),"")</f>
        <v>drchacal78</v>
      </c>
      <c r="B313" s="42" t="str">
        <f>_xlfn.XLOOKUP(A313,Class_Players!$A:$A,Class_Players!$B:$B,"")</f>
        <v>Engineer</v>
      </c>
      <c r="C313" s="42" t="str" cm="1">
        <f t="array" ref="C313">INDEX(Lookups!$B$2:$B$13,MOD(ROW()-ROW($B$2),ROWS(Lookups!$B$2:$B$13))+1)</f>
        <v>Anti-Vehicle Grenade</v>
      </c>
      <c r="D313" s="38" t="str">
        <f>_xlfn.XLOOKUP(C313,Analysis_Gadgets!$C:$C,Analysis_Gadgets!$B:$B)</f>
        <v>Grenade</v>
      </c>
      <c r="E313" s="43">
        <v>0</v>
      </c>
      <c r="F313" s="43">
        <f>_xlfn.XLOOKUP(A313,Class_Players!A:A,Class_Players!G:G)</f>
        <v>181</v>
      </c>
      <c r="G313" s="43">
        <f t="shared" si="67"/>
        <v>0</v>
      </c>
      <c r="H313" s="43">
        <f>_xlfn.XLOOKUP(A313,Class_Players!$A:$A,Class_Players!$F:$F,"")</f>
        <v>11466</v>
      </c>
      <c r="I313" s="44">
        <f t="shared" si="68"/>
        <v>0</v>
      </c>
      <c r="J313" s="43">
        <f t="shared" si="69"/>
        <v>0</v>
      </c>
      <c r="K313" s="44" cm="1">
        <f t="array" ref="K313">IF(D313="Gadget",_xlfn.IFS(I313&gt;=0.2,0.5,I313&gt;=0.1,0.35,I313&gt;=0.05,0.2,TRUE,0),IF(D313="Grenade",_xlfn.IFS(I313&gt;=0.2,1,I313&gt;=0.1,0.7,I313&gt;=0.05,0.4,TRUE,0),0))</f>
        <v>0</v>
      </c>
      <c r="L313" s="57">
        <f t="shared" si="73"/>
        <v>0</v>
      </c>
    </row>
    <row r="314" spans="1:12" x14ac:dyDescent="0.25">
      <c r="A314" s="42" t="str" cm="1">
        <f t="array" ref="A314">IFERROR(INDEX(_xlfn._xlws.FILTER(Class_Players!A:A,Class_Players!B:B="Engineer"),QUOTIENT(ROW()-ROW($A$2),12)+1),"")</f>
        <v>RTuesdays-YT</v>
      </c>
      <c r="B314" s="42" t="str">
        <f>_xlfn.XLOOKUP(A314,Class_Players!$A:$A,Class_Players!$B:$B,"")</f>
        <v>Engineer</v>
      </c>
      <c r="C314" s="42" t="str" cm="1">
        <f t="array" ref="C314">INDEX(Lookups!$B$2:$B$13,MOD(ROW()-ROW($B$2),ROWS(Lookups!$B$2:$B$13))+1)</f>
        <v>MBT-LAW (Auto-Guided Launcher)</v>
      </c>
      <c r="D314" s="38" t="str">
        <f>_xlfn.XLOOKUP(C314,Analysis_Gadgets!$C:$C,Analysis_Gadgets!$B:$B)</f>
        <v>Gadget</v>
      </c>
      <c r="E314" s="43">
        <v>0</v>
      </c>
      <c r="F314" s="43">
        <f>_xlfn.XLOOKUP(A314,Class_Players!A:A,Class_Players!G:G)</f>
        <v>277</v>
      </c>
      <c r="G314" s="43">
        <f t="shared" si="67"/>
        <v>0</v>
      </c>
      <c r="H314" s="43">
        <f>_xlfn.XLOOKUP(A314,Class_Players!$A:$A,Class_Players!$F:$F,"")</f>
        <v>10820</v>
      </c>
      <c r="I314" s="44">
        <f t="shared" si="68"/>
        <v>0</v>
      </c>
      <c r="J314" s="43">
        <f t="shared" si="69"/>
        <v>0</v>
      </c>
      <c r="K314" s="44" cm="1">
        <f t="array" ref="K314">IF(D314="Gadget",_xlfn.IFS(I314&gt;=0.2,0.5,I314&gt;=0.1,0.35,I314&gt;=0.05,0.2,TRUE,0),IF(D314="Grenade",_xlfn.IFS(I314&gt;=0.2,1,I314&gt;=0.1,0.7,I314&gt;=0.05,0.4,TRUE,0),0))</f>
        <v>0</v>
      </c>
      <c r="L314" s="57">
        <f t="shared" ref="L314:L323" si="74">IF($K314=0,0,$K314 / SUMIFS($K:$K,$A:$A,$A314,$D:$D,"Gadget"))</f>
        <v>0</v>
      </c>
    </row>
    <row r="315" spans="1:12" x14ac:dyDescent="0.25">
      <c r="A315" s="42" t="str" cm="1">
        <f t="array" ref="A315">IFERROR(INDEX(_xlfn._xlws.FILTER(Class_Players!A:A,Class_Players!B:B="Engineer"),QUOTIENT(ROW()-ROW($A$2),12)+1),"")</f>
        <v>RTuesdays-YT</v>
      </c>
      <c r="B315" s="42" t="str">
        <f>_xlfn.XLOOKUP(A315,Class_Players!$A:$A,Class_Players!$B:$B,"")</f>
        <v>Engineer</v>
      </c>
      <c r="C315" s="42" t="str" cm="1">
        <f t="array" ref="C315">INDEX(Lookups!$B$2:$B$13,MOD(ROW()-ROW($B$2),ROWS(Lookups!$B$2:$B$13))+1)</f>
        <v>SLM-93A (Air-Defense Launcher)</v>
      </c>
      <c r="D315" s="38" t="str">
        <f>_xlfn.XLOOKUP(C315,Analysis_Gadgets!$C:$C,Analysis_Gadgets!$B:$B)</f>
        <v>Gadget</v>
      </c>
      <c r="E315" s="43">
        <v>132</v>
      </c>
      <c r="F315" s="43">
        <f>_xlfn.XLOOKUP(A315,Class_Players!A:A,Class_Players!G:G)</f>
        <v>277</v>
      </c>
      <c r="G315" s="43">
        <f t="shared" si="67"/>
        <v>0.47653429602888087</v>
      </c>
      <c r="H315" s="43">
        <f>_xlfn.XLOOKUP(A315,Class_Players!$A:$A,Class_Players!$F:$F,"")</f>
        <v>10820</v>
      </c>
      <c r="I315" s="44">
        <f t="shared" si="68"/>
        <v>1.2199630314232901E-2</v>
      </c>
      <c r="J315" s="43">
        <f t="shared" si="69"/>
        <v>0</v>
      </c>
      <c r="K315" s="44" cm="1">
        <f t="array" ref="K315">IF(D315="Gadget",_xlfn.IFS(I315&gt;=0.2,0.5,I315&gt;=0.1,0.35,I315&gt;=0.05,0.2,TRUE,0),IF(D315="Grenade",_xlfn.IFS(I315&gt;=0.2,1,I315&gt;=0.1,0.7,I315&gt;=0.05,0.4,TRUE,0),0))</f>
        <v>0</v>
      </c>
      <c r="L315" s="57">
        <f t="shared" si="74"/>
        <v>0</v>
      </c>
    </row>
    <row r="316" spans="1:12" x14ac:dyDescent="0.25">
      <c r="A316" s="42" t="str" cm="1">
        <f t="array" ref="A316">IFERROR(INDEX(_xlfn._xlws.FILTER(Class_Players!A:A,Class_Players!B:B="Engineer"),QUOTIENT(ROW()-ROW($A$2),12)+1),"")</f>
        <v>RTuesdays-YT</v>
      </c>
      <c r="B316" s="42" t="str">
        <f>_xlfn.XLOOKUP(A316,Class_Players!$A:$A,Class_Players!$B:$B,"")</f>
        <v>Engineer</v>
      </c>
      <c r="C316" s="42" t="str" cm="1">
        <f t="array" ref="C316">INDEX(Lookups!$B$2:$B$13,MOD(ROW()-ROW($B$2),ROWS(Lookups!$B$2:$B$13))+1)</f>
        <v>RPG-7V2 (Unguided Rocket Launcher)</v>
      </c>
      <c r="D316" s="38" t="str">
        <f>_xlfn.XLOOKUP(C316,Analysis_Gadgets!$C:$C,Analysis_Gadgets!$B:$B)</f>
        <v>Gadget</v>
      </c>
      <c r="E316" s="43">
        <v>3764</v>
      </c>
      <c r="F316" s="43">
        <f>_xlfn.XLOOKUP(A316,Class_Players!A:A,Class_Players!G:G)</f>
        <v>277</v>
      </c>
      <c r="G316" s="43">
        <f t="shared" si="67"/>
        <v>13.588447653429602</v>
      </c>
      <c r="H316" s="43">
        <f>_xlfn.XLOOKUP(A316,Class_Players!$A:$A,Class_Players!$F:$F,"")</f>
        <v>10820</v>
      </c>
      <c r="I316" s="44">
        <f t="shared" si="68"/>
        <v>0.34787430683918669</v>
      </c>
      <c r="J316" s="43">
        <f t="shared" si="69"/>
        <v>1</v>
      </c>
      <c r="K316" s="44" cm="1">
        <f t="array" ref="K316">IF(D316="Gadget",_xlfn.IFS(I316&gt;=0.2,0.5,I316&gt;=0.1,0.35,I316&gt;=0.05,0.2,TRUE,0),IF(D316="Grenade",_xlfn.IFS(I316&gt;=0.2,1,I316&gt;=0.1,0.7,I316&gt;=0.05,0.4,TRUE,0),0))</f>
        <v>0.5</v>
      </c>
      <c r="L316" s="57">
        <f t="shared" si="74"/>
        <v>0.37037037037037035</v>
      </c>
    </row>
    <row r="317" spans="1:12" x14ac:dyDescent="0.25">
      <c r="A317" s="42" t="str" cm="1">
        <f t="array" ref="A317">IFERROR(INDEX(_xlfn._xlws.FILTER(Class_Players!A:A,Class_Players!B:B="Engineer"),QUOTIENT(ROW()-ROW($A$2),12)+1),"")</f>
        <v>RTuesdays-YT</v>
      </c>
      <c r="B317" s="42" t="str">
        <f>_xlfn.XLOOKUP(A317,Class_Players!$A:$A,Class_Players!$B:$B,"")</f>
        <v>Engineer</v>
      </c>
      <c r="C317" s="42" t="str" cm="1">
        <f t="array" ref="C317">INDEX(Lookups!$B$2:$B$13,MOD(ROW()-ROW($B$2),ROWS(Lookups!$B$2:$B$13))+1)</f>
        <v>MAS 148 (Long-Range Launcher)</v>
      </c>
      <c r="D317" s="38" t="str">
        <f>_xlfn.XLOOKUP(C317,Analysis_Gadgets!$C:$C,Analysis_Gadgets!$B:$B)</f>
        <v>Gadget</v>
      </c>
      <c r="E317" s="43">
        <v>108</v>
      </c>
      <c r="F317" s="43">
        <f>_xlfn.XLOOKUP(A317,Class_Players!A:A,Class_Players!G:G)</f>
        <v>277</v>
      </c>
      <c r="G317" s="43">
        <f t="shared" si="67"/>
        <v>0.38989169675090252</v>
      </c>
      <c r="H317" s="43">
        <f>_xlfn.XLOOKUP(A317,Class_Players!$A:$A,Class_Players!$F:$F,"")</f>
        <v>10820</v>
      </c>
      <c r="I317" s="44">
        <f t="shared" si="68"/>
        <v>9.9815157116451021E-3</v>
      </c>
      <c r="J317" s="43">
        <f t="shared" si="69"/>
        <v>0</v>
      </c>
      <c r="K317" s="44" cm="1">
        <f t="array" ref="K317">IF(D317="Gadget",_xlfn.IFS(I317&gt;=0.2,0.5,I317&gt;=0.1,0.35,I317&gt;=0.05,0.2,TRUE,0),IF(D317="Grenade",_xlfn.IFS(I317&gt;=0.2,1,I317&gt;=0.1,0.7,I317&gt;=0.05,0.4,TRUE,0),0))</f>
        <v>0</v>
      </c>
      <c r="L317" s="57">
        <f t="shared" si="74"/>
        <v>0</v>
      </c>
    </row>
    <row r="318" spans="1:12" x14ac:dyDescent="0.25">
      <c r="A318" s="42" t="str" cm="1">
        <f t="array" ref="A318">IFERROR(INDEX(_xlfn._xlws.FILTER(Class_Players!A:A,Class_Players!B:B="Engineer"),QUOTIENT(ROW()-ROW($A$2),12)+1),"")</f>
        <v>RTuesdays-YT</v>
      </c>
      <c r="B318" s="42" t="str">
        <f>_xlfn.XLOOKUP(A318,Class_Players!$A:$A,Class_Players!$B:$B,"")</f>
        <v>Engineer</v>
      </c>
      <c r="C318" s="42" t="str" cm="1">
        <f t="array" ref="C318">INDEX(Lookups!$B$2:$B$13,MOD(ROW()-ROW($B$2),ROWS(Lookups!$B$2:$B$13))+1)</f>
        <v>M136 AT (Aim-Guided Launcher)</v>
      </c>
      <c r="D318" s="38" t="str">
        <f>_xlfn.XLOOKUP(C318,Analysis_Gadgets!$C:$C,Analysis_Gadgets!$B:$B)</f>
        <v>Gadget</v>
      </c>
      <c r="E318" s="43">
        <v>286</v>
      </c>
      <c r="F318" s="43">
        <f>_xlfn.XLOOKUP(A318,Class_Players!A:A,Class_Players!G:G)</f>
        <v>277</v>
      </c>
      <c r="G318" s="43">
        <f t="shared" si="67"/>
        <v>1.0324909747292419</v>
      </c>
      <c r="H318" s="43">
        <f>_xlfn.XLOOKUP(A318,Class_Players!$A:$A,Class_Players!$F:$F,"")</f>
        <v>10820</v>
      </c>
      <c r="I318" s="44">
        <f t="shared" si="68"/>
        <v>2.643253234750462E-2</v>
      </c>
      <c r="J318" s="43">
        <f t="shared" si="69"/>
        <v>0</v>
      </c>
      <c r="K318" s="44" cm="1">
        <f t="array" ref="K318">IF(D318="Gadget",_xlfn.IFS(I318&gt;=0.2,0.5,I318&gt;=0.1,0.35,I318&gt;=0.05,0.2,TRUE,0),IF(D318="Grenade",_xlfn.IFS(I318&gt;=0.2,1,I318&gt;=0.1,0.7,I318&gt;=0.05,0.4,TRUE,0),0))</f>
        <v>0</v>
      </c>
      <c r="L318" s="57">
        <f t="shared" si="74"/>
        <v>0</v>
      </c>
    </row>
    <row r="319" spans="1:12" x14ac:dyDescent="0.25">
      <c r="A319" s="42" t="str" cm="1">
        <f t="array" ref="A319">IFERROR(INDEX(_xlfn._xlws.FILTER(Class_Players!A:A,Class_Players!B:B="Engineer"),QUOTIENT(ROW()-ROW($A$2),12)+1),"")</f>
        <v>RTuesdays-YT</v>
      </c>
      <c r="B319" s="42" t="str">
        <f>_xlfn.XLOOKUP(A319,Class_Players!$A:$A,Class_Players!$B:$B,"")</f>
        <v>Engineer</v>
      </c>
      <c r="C319" s="42" t="str" cm="1">
        <f t="array" ref="C319">INDEX(Lookups!$B$2:$B$13,MOD(ROW()-ROW($B$2),ROWS(Lookups!$B$2:$B$13))+1)</f>
        <v>Supply Crate</v>
      </c>
      <c r="D319" s="38" t="str">
        <f>_xlfn.XLOOKUP(C319,Analysis_Gadgets!$C:$C,Analysis_Gadgets!$B:$B)</f>
        <v>Gadget</v>
      </c>
      <c r="E319" s="43">
        <v>96</v>
      </c>
      <c r="F319" s="43">
        <f>_xlfn.XLOOKUP(A319,Class_Players!A:A,Class_Players!G:G)</f>
        <v>277</v>
      </c>
      <c r="G319" s="43">
        <f t="shared" si="67"/>
        <v>0.34657039711191334</v>
      </c>
      <c r="H319" s="43">
        <f>_xlfn.XLOOKUP(A319,Class_Players!$A:$A,Class_Players!$F:$F,"")</f>
        <v>10820</v>
      </c>
      <c r="I319" s="44">
        <f t="shared" si="68"/>
        <v>8.8724584103512007E-3</v>
      </c>
      <c r="J319" s="43">
        <f t="shared" si="69"/>
        <v>0</v>
      </c>
      <c r="K319" s="44" cm="1">
        <f t="array" ref="K319">IF(D319="Gadget",_xlfn.IFS(I319&gt;=0.2,0.5,I319&gt;=0.1,0.35,I319&gt;=0.05,0.2,TRUE,0),IF(D319="Grenade",_xlfn.IFS(I319&gt;=0.2,1,I319&gt;=0.1,0.7,I319&gt;=0.05,0.4,TRUE,0),0))</f>
        <v>0</v>
      </c>
      <c r="L319" s="57">
        <f t="shared" si="74"/>
        <v>0</v>
      </c>
    </row>
    <row r="320" spans="1:12" x14ac:dyDescent="0.25">
      <c r="A320" s="42" t="str" cm="1">
        <f t="array" ref="A320">IFERROR(INDEX(_xlfn._xlws.FILTER(Class_Players!A:A,Class_Players!B:B="Engineer"),QUOTIENT(ROW()-ROW($A$2),12)+1),"")</f>
        <v>RTuesdays-YT</v>
      </c>
      <c r="B320" s="42" t="str">
        <f>_xlfn.XLOOKUP(A320,Class_Players!$A:$A,Class_Players!$B:$B,"")</f>
        <v>Engineer</v>
      </c>
      <c r="C320" s="42" t="str" cm="1">
        <f t="array" ref="C320">INDEX(Lookups!$B$2:$B$13,MOD(ROW()-ROW($B$2),ROWS(Lookups!$B$2:$B$13))+1)</f>
        <v>M15 (Anti-Vehicle Mine)</v>
      </c>
      <c r="D320" s="38" t="str">
        <f>_xlfn.XLOOKUP(C320,Analysis_Gadgets!$C:$C,Analysis_Gadgets!$B:$B)</f>
        <v>Gadget</v>
      </c>
      <c r="E320" s="43">
        <v>3020</v>
      </c>
      <c r="F320" s="43">
        <f>_xlfn.XLOOKUP(A320,Class_Players!A:A,Class_Players!G:G)</f>
        <v>277</v>
      </c>
      <c r="G320" s="43">
        <f t="shared" si="67"/>
        <v>10.902527075812275</v>
      </c>
      <c r="H320" s="43">
        <f>_xlfn.XLOOKUP(A320,Class_Players!$A:$A,Class_Players!$F:$F,"")</f>
        <v>10820</v>
      </c>
      <c r="I320" s="44">
        <f t="shared" si="68"/>
        <v>0.27911275415896486</v>
      </c>
      <c r="J320" s="43">
        <f t="shared" si="69"/>
        <v>1</v>
      </c>
      <c r="K320" s="44" cm="1">
        <f t="array" ref="K320">IF(D320="Gadget",_xlfn.IFS(I320&gt;=0.2,0.5,I320&gt;=0.1,0.35,I320&gt;=0.05,0.2,TRUE,0),IF(D320="Grenade",_xlfn.IFS(I320&gt;=0.2,1,I320&gt;=0.1,0.7,I320&gt;=0.05,0.4,TRUE,0),0))</f>
        <v>0.5</v>
      </c>
      <c r="L320" s="57">
        <f t="shared" si="74"/>
        <v>0.37037037037037035</v>
      </c>
    </row>
    <row r="321" spans="1:12" x14ac:dyDescent="0.25">
      <c r="A321" s="42" t="str" cm="1">
        <f t="array" ref="A321">IFERROR(INDEX(_xlfn._xlws.FILTER(Class_Players!A:A,Class_Players!B:B="Engineer"),QUOTIENT(ROW()-ROW($A$2),12)+1),"")</f>
        <v>RTuesdays-YT</v>
      </c>
      <c r="B321" s="42" t="str">
        <f>_xlfn.XLOOKUP(A321,Class_Players!$A:$A,Class_Players!$B:$B,"")</f>
        <v>Engineer</v>
      </c>
      <c r="C321" s="42" t="str" cm="1">
        <f t="array" ref="C321">INDEX(Lookups!$B$2:$B$13,MOD(ROW()-ROW($B$2),ROWS(Lookups!$B$2:$B$13))+1)</f>
        <v>PTKM-1R (Acoustic Sensor AV Mine)</v>
      </c>
      <c r="D321" s="38" t="str">
        <f>_xlfn.XLOOKUP(C321,Analysis_Gadgets!$C:$C,Analysis_Gadgets!$B:$B)</f>
        <v>Gadget</v>
      </c>
      <c r="E321" s="43">
        <v>153</v>
      </c>
      <c r="F321" s="43">
        <f>_xlfn.XLOOKUP(A321,Class_Players!A:A,Class_Players!G:G)</f>
        <v>277</v>
      </c>
      <c r="G321" s="43">
        <f t="shared" si="67"/>
        <v>0.55234657039711188</v>
      </c>
      <c r="H321" s="43">
        <f>_xlfn.XLOOKUP(A321,Class_Players!$A:$A,Class_Players!$F:$F,"")</f>
        <v>10820</v>
      </c>
      <c r="I321" s="44">
        <f t="shared" si="68"/>
        <v>1.4140480591497227E-2</v>
      </c>
      <c r="J321" s="43">
        <f t="shared" si="69"/>
        <v>0</v>
      </c>
      <c r="K321" s="44" cm="1">
        <f t="array" ref="K321">IF(D321="Gadget",_xlfn.IFS(I321&gt;=0.2,0.5,I321&gt;=0.1,0.35,I321&gt;=0.05,0.2,TRUE,0),IF(D321="Grenade",_xlfn.IFS(I321&gt;=0.2,1,I321&gt;=0.1,0.7,I321&gt;=0.05,0.4,TRUE,0),0))</f>
        <v>0</v>
      </c>
      <c r="L321" s="57">
        <f t="shared" si="74"/>
        <v>0</v>
      </c>
    </row>
    <row r="322" spans="1:12" x14ac:dyDescent="0.25">
      <c r="A322" s="42" t="str" cm="1">
        <f t="array" ref="A322">IFERROR(INDEX(_xlfn._xlws.FILTER(Class_Players!A:A,Class_Players!B:B="Engineer"),QUOTIENT(ROW()-ROW($A$2),12)+1),"")</f>
        <v>RTuesdays-YT</v>
      </c>
      <c r="B322" s="42" t="str">
        <f>_xlfn.XLOOKUP(A322,Class_Players!$A:$A,Class_Players!$B:$B,"")</f>
        <v>Engineer</v>
      </c>
      <c r="C322" s="42" t="str" cm="1">
        <f t="array" ref="C322">INDEX(Lookups!$B$2:$B$13,MOD(ROW()-ROW($B$2),ROWS(Lookups!$B$2:$B$13))+1)</f>
        <v>EOD Bot</v>
      </c>
      <c r="D322" s="38" t="str">
        <f>_xlfn.XLOOKUP(C322,Analysis_Gadgets!$C:$C,Analysis_Gadgets!$B:$B)</f>
        <v>Gadget</v>
      </c>
      <c r="E322" s="43">
        <v>231</v>
      </c>
      <c r="F322" s="43">
        <f>_xlfn.XLOOKUP(A322,Class_Players!A:A,Class_Players!G:G)</f>
        <v>277</v>
      </c>
      <c r="G322" s="43">
        <f t="shared" si="67"/>
        <v>0.83393501805054149</v>
      </c>
      <c r="H322" s="43">
        <f>_xlfn.XLOOKUP(A322,Class_Players!$A:$A,Class_Players!$F:$F,"")</f>
        <v>10820</v>
      </c>
      <c r="I322" s="44">
        <f t="shared" si="68"/>
        <v>2.134935304990758E-2</v>
      </c>
      <c r="J322" s="43">
        <f t="shared" si="69"/>
        <v>0</v>
      </c>
      <c r="K322" s="44" cm="1">
        <f t="array" ref="K322">IF(D322="Gadget",_xlfn.IFS(I322&gt;=0.2,0.5,I322&gt;=0.1,0.35,I322&gt;=0.05,0.2,TRUE,0),IF(D322="Grenade",_xlfn.IFS(I322&gt;=0.2,1,I322&gt;=0.1,0.7,I322&gt;=0.05,0.4,TRUE,0),0))</f>
        <v>0</v>
      </c>
      <c r="L322" s="57">
        <f t="shared" si="74"/>
        <v>0</v>
      </c>
    </row>
    <row r="323" spans="1:12" x14ac:dyDescent="0.25">
      <c r="A323" s="42" t="str" cm="1">
        <f t="array" ref="A323">IFERROR(INDEX(_xlfn._xlws.FILTER(Class_Players!A:A,Class_Players!B:B="Engineer"),QUOTIENT(ROW()-ROW($A$2),12)+1),"")</f>
        <v>RTuesdays-YT</v>
      </c>
      <c r="B323" s="42" t="str">
        <f>_xlfn.XLOOKUP(A323,Class_Players!$A:$A,Class_Players!$B:$B,"")</f>
        <v>Engineer</v>
      </c>
      <c r="C323" s="42" t="str" cm="1">
        <f t="array" ref="C323">INDEX(Lookups!$B$2:$B$13,MOD(ROW()-ROW($B$2),ROWS(Lookups!$B$2:$B$13))+1)</f>
        <v>M4A1 SLAM (Tripwire Sensor AV Mine)</v>
      </c>
      <c r="D323" s="38" t="str">
        <f>_xlfn.XLOOKUP(C323,Analysis_Gadgets!$C:$C,Analysis_Gadgets!$B:$B)</f>
        <v>Gadget</v>
      </c>
      <c r="E323" s="43">
        <v>1088</v>
      </c>
      <c r="F323" s="43">
        <f>_xlfn.XLOOKUP(A323,Class_Players!A:A,Class_Players!G:G)</f>
        <v>277</v>
      </c>
      <c r="G323" s="43">
        <f t="shared" si="67"/>
        <v>3.9277978339350179</v>
      </c>
      <c r="H323" s="43">
        <f>_xlfn.XLOOKUP(A323,Class_Players!$A:$A,Class_Players!$F:$F,"")</f>
        <v>10820</v>
      </c>
      <c r="I323" s="44">
        <f t="shared" si="68"/>
        <v>0.10055452865064694</v>
      </c>
      <c r="J323" s="43">
        <f t="shared" si="69"/>
        <v>1</v>
      </c>
      <c r="K323" s="44" cm="1">
        <f t="array" ref="K323">IF(D323="Gadget",_xlfn.IFS(I323&gt;=0.2,0.5,I323&gt;=0.1,0.35,I323&gt;=0.05,0.2,TRUE,0),IF(D323="Grenade",_xlfn.IFS(I323&gt;=0.2,1,I323&gt;=0.1,0.7,I323&gt;=0.05,0.4,TRUE,0),0))</f>
        <v>0.35</v>
      </c>
      <c r="L323" s="57">
        <f t="shared" si="74"/>
        <v>0.25925925925925924</v>
      </c>
    </row>
    <row r="324" spans="1:12" x14ac:dyDescent="0.25">
      <c r="A324" s="42" t="str" cm="1">
        <f t="array" ref="A324">IFERROR(INDEX(_xlfn._xlws.FILTER(Class_Players!A:A,Class_Players!B:B="Engineer"),QUOTIENT(ROW()-ROW($A$2),12)+1),"")</f>
        <v>RTuesdays-YT</v>
      </c>
      <c r="B324" s="42" t="str">
        <f>_xlfn.XLOOKUP(A324,Class_Players!$A:$A,Class_Players!$B:$B,"")</f>
        <v>Engineer</v>
      </c>
      <c r="C324" s="42" t="str" cm="1">
        <f t="array" ref="C324">INDEX(Lookups!$B$2:$B$13,MOD(ROW()-ROW($B$2),ROWS(Lookups!$B$2:$B$13))+1)</f>
        <v>Mini Frag Grenade</v>
      </c>
      <c r="D324" s="38" t="str">
        <f>_xlfn.XLOOKUP(C324,Analysis_Gadgets!$C:$C,Analysis_Gadgets!$B:$B)</f>
        <v>Grenade</v>
      </c>
      <c r="E324" s="43">
        <v>52</v>
      </c>
      <c r="F324" s="43">
        <f>_xlfn.XLOOKUP(A324,Class_Players!A:A,Class_Players!G:G)</f>
        <v>277</v>
      </c>
      <c r="G324" s="43">
        <f t="shared" si="67"/>
        <v>0.18772563176895307</v>
      </c>
      <c r="H324" s="43">
        <f>_xlfn.XLOOKUP(A324,Class_Players!$A:$A,Class_Players!$F:$F,"")</f>
        <v>10820</v>
      </c>
      <c r="I324" s="44">
        <f t="shared" si="68"/>
        <v>4.8059149722735678E-3</v>
      </c>
      <c r="J324" s="43">
        <f t="shared" si="69"/>
        <v>0</v>
      </c>
      <c r="K324" s="44" cm="1">
        <f t="array" ref="K324">IF(D324="Gadget",_xlfn.IFS(I324&gt;=0.2,0.5,I324&gt;=0.1,0.35,I324&gt;=0.05,0.2,TRUE,0),IF(D324="Grenade",_xlfn.IFS(I324&gt;=0.2,1,I324&gt;=0.1,0.7,I324&gt;=0.05,0.4,TRUE,0),0))</f>
        <v>0</v>
      </c>
      <c r="L324" s="57">
        <f t="shared" ref="L324:L325" si="75">IF($K324=0,0,$K324 / SUMIFS($K:$K,$A:$A,$A324,$D:$D,"Grenade"))</f>
        <v>0</v>
      </c>
    </row>
    <row r="325" spans="1:12" x14ac:dyDescent="0.25">
      <c r="A325" s="42" t="str" cm="1">
        <f t="array" ref="A325">IFERROR(INDEX(_xlfn._xlws.FILTER(Class_Players!A:A,Class_Players!B:B="Engineer"),QUOTIENT(ROW()-ROW($A$2),12)+1),"")</f>
        <v>RTuesdays-YT</v>
      </c>
      <c r="B325" s="42" t="str">
        <f>_xlfn.XLOOKUP(A325,Class_Players!$A:$A,Class_Players!$B:$B,"")</f>
        <v>Engineer</v>
      </c>
      <c r="C325" s="42" t="str" cm="1">
        <f t="array" ref="C325">INDEX(Lookups!$B$2:$B$13,MOD(ROW()-ROW($B$2),ROWS(Lookups!$B$2:$B$13))+1)</f>
        <v>Anti-Vehicle Grenade</v>
      </c>
      <c r="D325" s="38" t="str">
        <f>_xlfn.XLOOKUP(C325,Analysis_Gadgets!$C:$C,Analysis_Gadgets!$B:$B)</f>
        <v>Grenade</v>
      </c>
      <c r="E325" s="43">
        <v>0</v>
      </c>
      <c r="F325" s="43">
        <f>_xlfn.XLOOKUP(A325,Class_Players!A:A,Class_Players!G:G)</f>
        <v>277</v>
      </c>
      <c r="G325" s="43">
        <f t="shared" si="67"/>
        <v>0</v>
      </c>
      <c r="H325" s="43">
        <f>_xlfn.XLOOKUP(A325,Class_Players!$A:$A,Class_Players!$F:$F,"")</f>
        <v>10820</v>
      </c>
      <c r="I325" s="44">
        <f t="shared" si="68"/>
        <v>0</v>
      </c>
      <c r="J325" s="43">
        <f t="shared" si="69"/>
        <v>0</v>
      </c>
      <c r="K325" s="44" cm="1">
        <f t="array" ref="K325">IF(D325="Gadget",_xlfn.IFS(I325&gt;=0.2,0.5,I325&gt;=0.1,0.35,I325&gt;=0.05,0.2,TRUE,0),IF(D325="Grenade",_xlfn.IFS(I325&gt;=0.2,1,I325&gt;=0.1,0.7,I325&gt;=0.05,0.4,TRUE,0),0))</f>
        <v>0</v>
      </c>
      <c r="L325" s="57">
        <f t="shared" si="75"/>
        <v>0</v>
      </c>
    </row>
    <row r="326" spans="1:12" x14ac:dyDescent="0.25">
      <c r="A326" s="42" t="str" cm="1">
        <f t="array" ref="A326">IFERROR(INDEX(_xlfn._xlws.FILTER(Class_Players!A:A,Class_Players!B:B="Engineer"),QUOTIENT(ROW()-ROW($A$2),12)+1),"")</f>
        <v>OndrejPCR</v>
      </c>
      <c r="B326" s="42" t="str">
        <f>_xlfn.XLOOKUP(A326,Class_Players!$A:$A,Class_Players!$B:$B,"")</f>
        <v>Engineer</v>
      </c>
      <c r="C326" s="42" t="str" cm="1">
        <f t="array" ref="C326">INDEX(Lookups!$B$2:$B$13,MOD(ROW()-ROW($B$2),ROWS(Lookups!$B$2:$B$13))+1)</f>
        <v>MBT-LAW (Auto-Guided Launcher)</v>
      </c>
      <c r="D326" s="38" t="str">
        <f>_xlfn.XLOOKUP(C326,Analysis_Gadgets!$C:$C,Analysis_Gadgets!$B:$B)</f>
        <v>Gadget</v>
      </c>
      <c r="E326" s="43">
        <v>0</v>
      </c>
      <c r="F326" s="43">
        <f>_xlfn.XLOOKUP(A326,Class_Players!A:A,Class_Players!G:G)</f>
        <v>251</v>
      </c>
      <c r="G326" s="43">
        <f t="shared" si="67"/>
        <v>0</v>
      </c>
      <c r="H326" s="43">
        <f>_xlfn.XLOOKUP(A326,Class_Players!$A:$A,Class_Players!$F:$F,"")</f>
        <v>10638</v>
      </c>
      <c r="I326" s="44">
        <f t="shared" si="68"/>
        <v>0</v>
      </c>
      <c r="J326" s="43">
        <f t="shared" si="69"/>
        <v>0</v>
      </c>
      <c r="K326" s="44" cm="1">
        <f t="array" ref="K326">IF(D326="Gadget",_xlfn.IFS(I326&gt;=0.2,0.5,I326&gt;=0.1,0.35,I326&gt;=0.05,0.2,TRUE,0),IF(D326="Grenade",_xlfn.IFS(I326&gt;=0.2,1,I326&gt;=0.1,0.7,I326&gt;=0.05,0.4,TRUE,0),0))</f>
        <v>0</v>
      </c>
      <c r="L326" s="57">
        <f t="shared" ref="L326:L335" si="76">IF($K326=0,0,$K326 / SUMIFS($K:$K,$A:$A,$A326,$D:$D,"Gadget"))</f>
        <v>0</v>
      </c>
    </row>
    <row r="327" spans="1:12" x14ac:dyDescent="0.25">
      <c r="A327" s="42" t="str" cm="1">
        <f t="array" ref="A327">IFERROR(INDEX(_xlfn._xlws.FILTER(Class_Players!A:A,Class_Players!B:B="Engineer"),QUOTIENT(ROW()-ROW($A$2),12)+1),"")</f>
        <v>OndrejPCR</v>
      </c>
      <c r="B327" s="42" t="str">
        <f>_xlfn.XLOOKUP(A327,Class_Players!$A:$A,Class_Players!$B:$B,"")</f>
        <v>Engineer</v>
      </c>
      <c r="C327" s="42" t="str" cm="1">
        <f t="array" ref="C327">INDEX(Lookups!$B$2:$B$13,MOD(ROW()-ROW($B$2),ROWS(Lookups!$B$2:$B$13))+1)</f>
        <v>SLM-93A (Air-Defense Launcher)</v>
      </c>
      <c r="D327" s="38" t="str">
        <f>_xlfn.XLOOKUP(C327,Analysis_Gadgets!$C:$C,Analysis_Gadgets!$B:$B)</f>
        <v>Gadget</v>
      </c>
      <c r="E327" s="43">
        <v>66</v>
      </c>
      <c r="F327" s="43">
        <f>_xlfn.XLOOKUP(A327,Class_Players!A:A,Class_Players!G:G)</f>
        <v>251</v>
      </c>
      <c r="G327" s="43">
        <f t="shared" si="67"/>
        <v>0.26294820717131473</v>
      </c>
      <c r="H327" s="43">
        <f>_xlfn.XLOOKUP(A327,Class_Players!$A:$A,Class_Players!$F:$F,"")</f>
        <v>10638</v>
      </c>
      <c r="I327" s="44">
        <f t="shared" si="68"/>
        <v>6.2041737168640719E-3</v>
      </c>
      <c r="J327" s="43">
        <f t="shared" si="69"/>
        <v>0</v>
      </c>
      <c r="K327" s="44" cm="1">
        <f t="array" ref="K327">IF(D327="Gadget",_xlfn.IFS(I327&gt;=0.2,0.5,I327&gt;=0.1,0.35,I327&gt;=0.05,0.2,TRUE,0),IF(D327="Grenade",_xlfn.IFS(I327&gt;=0.2,1,I327&gt;=0.1,0.7,I327&gt;=0.05,0.4,TRUE,0),0))</f>
        <v>0</v>
      </c>
      <c r="L327" s="57">
        <f t="shared" si="76"/>
        <v>0</v>
      </c>
    </row>
    <row r="328" spans="1:12" x14ac:dyDescent="0.25">
      <c r="A328" s="42" t="str" cm="1">
        <f t="array" ref="A328">IFERROR(INDEX(_xlfn._xlws.FILTER(Class_Players!A:A,Class_Players!B:B="Engineer"),QUOTIENT(ROW()-ROW($A$2),12)+1),"")</f>
        <v>OndrejPCR</v>
      </c>
      <c r="B328" s="42" t="str">
        <f>_xlfn.XLOOKUP(A328,Class_Players!$A:$A,Class_Players!$B:$B,"")</f>
        <v>Engineer</v>
      </c>
      <c r="C328" s="42" t="str" cm="1">
        <f t="array" ref="C328">INDEX(Lookups!$B$2:$B$13,MOD(ROW()-ROW($B$2),ROWS(Lookups!$B$2:$B$13))+1)</f>
        <v>RPG-7V2 (Unguided Rocket Launcher)</v>
      </c>
      <c r="D328" s="38" t="str">
        <f>_xlfn.XLOOKUP(C328,Analysis_Gadgets!$C:$C,Analysis_Gadgets!$B:$B)</f>
        <v>Gadget</v>
      </c>
      <c r="E328" s="43">
        <v>5831</v>
      </c>
      <c r="F328" s="43">
        <f>_xlfn.XLOOKUP(A328,Class_Players!A:A,Class_Players!G:G)</f>
        <v>251</v>
      </c>
      <c r="G328" s="43">
        <f t="shared" si="67"/>
        <v>23.231075697211157</v>
      </c>
      <c r="H328" s="43">
        <f>_xlfn.XLOOKUP(A328,Class_Players!$A:$A,Class_Players!$F:$F,"")</f>
        <v>10638</v>
      </c>
      <c r="I328" s="44">
        <f t="shared" si="68"/>
        <v>0.54812934762173338</v>
      </c>
      <c r="J328" s="43">
        <f t="shared" si="69"/>
        <v>1</v>
      </c>
      <c r="K328" s="44" cm="1">
        <f t="array" ref="K328">IF(D328="Gadget",_xlfn.IFS(I328&gt;=0.2,0.5,I328&gt;=0.1,0.35,I328&gt;=0.05,0.2,TRUE,0),IF(D328="Grenade",_xlfn.IFS(I328&gt;=0.2,1,I328&gt;=0.1,0.7,I328&gt;=0.05,0.4,TRUE,0),0))</f>
        <v>0.5</v>
      </c>
      <c r="L328" s="57">
        <f t="shared" si="76"/>
        <v>0.7142857142857143</v>
      </c>
    </row>
    <row r="329" spans="1:12" x14ac:dyDescent="0.25">
      <c r="A329" s="42" t="str" cm="1">
        <f t="array" ref="A329">IFERROR(INDEX(_xlfn._xlws.FILTER(Class_Players!A:A,Class_Players!B:B="Engineer"),QUOTIENT(ROW()-ROW($A$2),12)+1),"")</f>
        <v>OndrejPCR</v>
      </c>
      <c r="B329" s="42" t="str">
        <f>_xlfn.XLOOKUP(A329,Class_Players!$A:$A,Class_Players!$B:$B,"")</f>
        <v>Engineer</v>
      </c>
      <c r="C329" s="42" t="str" cm="1">
        <f t="array" ref="C329">INDEX(Lookups!$B$2:$B$13,MOD(ROW()-ROW($B$2),ROWS(Lookups!$B$2:$B$13))+1)</f>
        <v>MAS 148 (Long-Range Launcher)</v>
      </c>
      <c r="D329" s="38" t="str">
        <f>_xlfn.XLOOKUP(C329,Analysis_Gadgets!$C:$C,Analysis_Gadgets!$B:$B)</f>
        <v>Gadget</v>
      </c>
      <c r="E329" s="43">
        <v>13</v>
      </c>
      <c r="F329" s="43">
        <f>_xlfn.XLOOKUP(A329,Class_Players!A:A,Class_Players!G:G)</f>
        <v>251</v>
      </c>
      <c r="G329" s="43">
        <f t="shared" si="67"/>
        <v>5.1792828685258967E-2</v>
      </c>
      <c r="H329" s="43">
        <f>_xlfn.XLOOKUP(A329,Class_Players!$A:$A,Class_Players!$F:$F,"")</f>
        <v>10638</v>
      </c>
      <c r="I329" s="44">
        <f t="shared" si="68"/>
        <v>1.2220342169580749E-3</v>
      </c>
      <c r="J329" s="43">
        <f t="shared" si="69"/>
        <v>0</v>
      </c>
      <c r="K329" s="44" cm="1">
        <f t="array" ref="K329">IF(D329="Gadget",_xlfn.IFS(I329&gt;=0.2,0.5,I329&gt;=0.1,0.35,I329&gt;=0.05,0.2,TRUE,0),IF(D329="Grenade",_xlfn.IFS(I329&gt;=0.2,1,I329&gt;=0.1,0.7,I329&gt;=0.05,0.4,TRUE,0),0))</f>
        <v>0</v>
      </c>
      <c r="L329" s="57">
        <f t="shared" si="76"/>
        <v>0</v>
      </c>
    </row>
    <row r="330" spans="1:12" x14ac:dyDescent="0.25">
      <c r="A330" s="42" t="str" cm="1">
        <f t="array" ref="A330">IFERROR(INDEX(_xlfn._xlws.FILTER(Class_Players!A:A,Class_Players!B:B="Engineer"),QUOTIENT(ROW()-ROW($A$2),12)+1),"")</f>
        <v>OndrejPCR</v>
      </c>
      <c r="B330" s="42" t="str">
        <f>_xlfn.XLOOKUP(A330,Class_Players!$A:$A,Class_Players!$B:$B,"")</f>
        <v>Engineer</v>
      </c>
      <c r="C330" s="42" t="str" cm="1">
        <f t="array" ref="C330">INDEX(Lookups!$B$2:$B$13,MOD(ROW()-ROW($B$2),ROWS(Lookups!$B$2:$B$13))+1)</f>
        <v>M136 AT (Aim-Guided Launcher)</v>
      </c>
      <c r="D330" s="38" t="str">
        <f>_xlfn.XLOOKUP(C330,Analysis_Gadgets!$C:$C,Analysis_Gadgets!$B:$B)</f>
        <v>Gadget</v>
      </c>
      <c r="E330" s="43">
        <v>5</v>
      </c>
      <c r="F330" s="43">
        <f>_xlfn.XLOOKUP(A330,Class_Players!A:A,Class_Players!G:G)</f>
        <v>251</v>
      </c>
      <c r="G330" s="43">
        <f t="shared" si="67"/>
        <v>1.9920318725099601E-2</v>
      </c>
      <c r="H330" s="43">
        <f>_xlfn.XLOOKUP(A330,Class_Players!$A:$A,Class_Players!$F:$F,"")</f>
        <v>10638</v>
      </c>
      <c r="I330" s="44">
        <f t="shared" si="68"/>
        <v>4.7001316036849033E-4</v>
      </c>
      <c r="J330" s="43">
        <f t="shared" si="69"/>
        <v>0</v>
      </c>
      <c r="K330" s="44" cm="1">
        <f t="array" ref="K330">IF(D330="Gadget",_xlfn.IFS(I330&gt;=0.2,0.5,I330&gt;=0.1,0.35,I330&gt;=0.05,0.2,TRUE,0),IF(D330="Grenade",_xlfn.IFS(I330&gt;=0.2,1,I330&gt;=0.1,0.7,I330&gt;=0.05,0.4,TRUE,0),0))</f>
        <v>0</v>
      </c>
      <c r="L330" s="57">
        <f t="shared" si="76"/>
        <v>0</v>
      </c>
    </row>
    <row r="331" spans="1:12" x14ac:dyDescent="0.25">
      <c r="A331" s="42" t="str" cm="1">
        <f t="array" ref="A331">IFERROR(INDEX(_xlfn._xlws.FILTER(Class_Players!A:A,Class_Players!B:B="Engineer"),QUOTIENT(ROW()-ROW($A$2),12)+1),"")</f>
        <v>OndrejPCR</v>
      </c>
      <c r="B331" s="42" t="str">
        <f>_xlfn.XLOOKUP(A331,Class_Players!$A:$A,Class_Players!$B:$B,"")</f>
        <v>Engineer</v>
      </c>
      <c r="C331" s="42" t="str" cm="1">
        <f t="array" ref="C331">INDEX(Lookups!$B$2:$B$13,MOD(ROW()-ROW($B$2),ROWS(Lookups!$B$2:$B$13))+1)</f>
        <v>Supply Crate</v>
      </c>
      <c r="D331" s="38" t="str">
        <f>_xlfn.XLOOKUP(C331,Analysis_Gadgets!$C:$C,Analysis_Gadgets!$B:$B)</f>
        <v>Gadget</v>
      </c>
      <c r="E331" s="43">
        <v>5</v>
      </c>
      <c r="F331" s="43">
        <f>_xlfn.XLOOKUP(A331,Class_Players!A:A,Class_Players!G:G)</f>
        <v>251</v>
      </c>
      <c r="G331" s="43">
        <f t="shared" si="67"/>
        <v>1.9920318725099601E-2</v>
      </c>
      <c r="H331" s="43">
        <f>_xlfn.XLOOKUP(A331,Class_Players!$A:$A,Class_Players!$F:$F,"")</f>
        <v>10638</v>
      </c>
      <c r="I331" s="44">
        <f t="shared" si="68"/>
        <v>4.7001316036849033E-4</v>
      </c>
      <c r="J331" s="43">
        <f t="shared" si="69"/>
        <v>0</v>
      </c>
      <c r="K331" s="44" cm="1">
        <f t="array" ref="K331">IF(D331="Gadget",_xlfn.IFS(I331&gt;=0.2,0.5,I331&gt;=0.1,0.35,I331&gt;=0.05,0.2,TRUE,0),IF(D331="Grenade",_xlfn.IFS(I331&gt;=0.2,1,I331&gt;=0.1,0.7,I331&gt;=0.05,0.4,TRUE,0),0))</f>
        <v>0</v>
      </c>
      <c r="L331" s="57">
        <f t="shared" si="76"/>
        <v>0</v>
      </c>
    </row>
    <row r="332" spans="1:12" x14ac:dyDescent="0.25">
      <c r="A332" s="42" t="str" cm="1">
        <f t="array" ref="A332">IFERROR(INDEX(_xlfn._xlws.FILTER(Class_Players!A:A,Class_Players!B:B="Engineer"),QUOTIENT(ROW()-ROW($A$2),12)+1),"")</f>
        <v>OndrejPCR</v>
      </c>
      <c r="B332" s="42" t="str">
        <f>_xlfn.XLOOKUP(A332,Class_Players!$A:$A,Class_Players!$B:$B,"")</f>
        <v>Engineer</v>
      </c>
      <c r="C332" s="42" t="str" cm="1">
        <f t="array" ref="C332">INDEX(Lookups!$B$2:$B$13,MOD(ROW()-ROW($B$2),ROWS(Lookups!$B$2:$B$13))+1)</f>
        <v>M15 (Anti-Vehicle Mine)</v>
      </c>
      <c r="D332" s="38" t="str">
        <f>_xlfn.XLOOKUP(C332,Analysis_Gadgets!$C:$C,Analysis_Gadgets!$B:$B)</f>
        <v>Gadget</v>
      </c>
      <c r="E332" s="43">
        <v>905</v>
      </c>
      <c r="F332" s="43">
        <f>_xlfn.XLOOKUP(A332,Class_Players!A:A,Class_Players!G:G)</f>
        <v>251</v>
      </c>
      <c r="G332" s="43">
        <f t="shared" si="67"/>
        <v>3.6055776892430278</v>
      </c>
      <c r="H332" s="43">
        <f>_xlfn.XLOOKUP(A332,Class_Players!$A:$A,Class_Players!$F:$F,"")</f>
        <v>10638</v>
      </c>
      <c r="I332" s="44">
        <f t="shared" si="68"/>
        <v>8.5072382026696744E-2</v>
      </c>
      <c r="J332" s="43">
        <f t="shared" si="69"/>
        <v>0</v>
      </c>
      <c r="K332" s="44" cm="1">
        <f t="array" ref="K332">IF(D332="Gadget",_xlfn.IFS(I332&gt;=0.2,0.5,I332&gt;=0.1,0.35,I332&gt;=0.05,0.2,TRUE,0),IF(D332="Grenade",_xlfn.IFS(I332&gt;=0.2,1,I332&gt;=0.1,0.7,I332&gt;=0.05,0.4,TRUE,0),0))</f>
        <v>0.2</v>
      </c>
      <c r="L332" s="57">
        <f t="shared" si="76"/>
        <v>0.28571428571428575</v>
      </c>
    </row>
    <row r="333" spans="1:12" x14ac:dyDescent="0.25">
      <c r="A333" s="42" t="str" cm="1">
        <f t="array" ref="A333">IFERROR(INDEX(_xlfn._xlws.FILTER(Class_Players!A:A,Class_Players!B:B="Engineer"),QUOTIENT(ROW()-ROW($A$2),12)+1),"")</f>
        <v>OndrejPCR</v>
      </c>
      <c r="B333" s="42" t="str">
        <f>_xlfn.XLOOKUP(A333,Class_Players!$A:$A,Class_Players!$B:$B,"")</f>
        <v>Engineer</v>
      </c>
      <c r="C333" s="42" t="str" cm="1">
        <f t="array" ref="C333">INDEX(Lookups!$B$2:$B$13,MOD(ROW()-ROW($B$2),ROWS(Lookups!$B$2:$B$13))+1)</f>
        <v>PTKM-1R (Acoustic Sensor AV Mine)</v>
      </c>
      <c r="D333" s="38" t="str">
        <f>_xlfn.XLOOKUP(C333,Analysis_Gadgets!$C:$C,Analysis_Gadgets!$B:$B)</f>
        <v>Gadget</v>
      </c>
      <c r="E333" s="43">
        <v>51</v>
      </c>
      <c r="F333" s="43">
        <f>_xlfn.XLOOKUP(A333,Class_Players!A:A,Class_Players!G:G)</f>
        <v>251</v>
      </c>
      <c r="G333" s="43">
        <f t="shared" si="67"/>
        <v>0.20318725099601595</v>
      </c>
      <c r="H333" s="43">
        <f>_xlfn.XLOOKUP(A333,Class_Players!$A:$A,Class_Players!$F:$F,"")</f>
        <v>10638</v>
      </c>
      <c r="I333" s="44">
        <f t="shared" si="68"/>
        <v>4.7941342357586013E-3</v>
      </c>
      <c r="J333" s="43">
        <f t="shared" si="69"/>
        <v>0</v>
      </c>
      <c r="K333" s="44" cm="1">
        <f t="array" ref="K333">IF(D333="Gadget",_xlfn.IFS(I333&gt;=0.2,0.5,I333&gt;=0.1,0.35,I333&gt;=0.05,0.2,TRUE,0),IF(D333="Grenade",_xlfn.IFS(I333&gt;=0.2,1,I333&gt;=0.1,0.7,I333&gt;=0.05,0.4,TRUE,0),0))</f>
        <v>0</v>
      </c>
      <c r="L333" s="57">
        <f t="shared" si="76"/>
        <v>0</v>
      </c>
    </row>
    <row r="334" spans="1:12" x14ac:dyDescent="0.25">
      <c r="A334" s="42" t="str" cm="1">
        <f t="array" ref="A334">IFERROR(INDEX(_xlfn._xlws.FILTER(Class_Players!A:A,Class_Players!B:B="Engineer"),QUOTIENT(ROW()-ROW($A$2),12)+1),"")</f>
        <v>OndrejPCR</v>
      </c>
      <c r="B334" s="42" t="str">
        <f>_xlfn.XLOOKUP(A334,Class_Players!$A:$A,Class_Players!$B:$B,"")</f>
        <v>Engineer</v>
      </c>
      <c r="C334" s="42" t="str" cm="1">
        <f t="array" ref="C334">INDEX(Lookups!$B$2:$B$13,MOD(ROW()-ROW($B$2),ROWS(Lookups!$B$2:$B$13))+1)</f>
        <v>EOD Bot</v>
      </c>
      <c r="D334" s="38" t="str">
        <f>_xlfn.XLOOKUP(C334,Analysis_Gadgets!$C:$C,Analysis_Gadgets!$B:$B)</f>
        <v>Gadget</v>
      </c>
      <c r="E334" s="43">
        <v>2</v>
      </c>
      <c r="F334" s="43">
        <f>_xlfn.XLOOKUP(A334,Class_Players!A:A,Class_Players!G:G)</f>
        <v>251</v>
      </c>
      <c r="G334" s="43">
        <f t="shared" si="67"/>
        <v>7.9681274900398405E-3</v>
      </c>
      <c r="H334" s="43">
        <f>_xlfn.XLOOKUP(A334,Class_Players!$A:$A,Class_Players!$F:$F,"")</f>
        <v>10638</v>
      </c>
      <c r="I334" s="44">
        <f t="shared" si="68"/>
        <v>1.8800526414739614E-4</v>
      </c>
      <c r="J334" s="43">
        <f t="shared" si="69"/>
        <v>0</v>
      </c>
      <c r="K334" s="44" cm="1">
        <f t="array" ref="K334">IF(D334="Gadget",_xlfn.IFS(I334&gt;=0.2,0.5,I334&gt;=0.1,0.35,I334&gt;=0.05,0.2,TRUE,0),IF(D334="Grenade",_xlfn.IFS(I334&gt;=0.2,1,I334&gt;=0.1,0.7,I334&gt;=0.05,0.4,TRUE,0),0))</f>
        <v>0</v>
      </c>
      <c r="L334" s="57">
        <f t="shared" si="76"/>
        <v>0</v>
      </c>
    </row>
    <row r="335" spans="1:12" x14ac:dyDescent="0.25">
      <c r="A335" s="42" t="str" cm="1">
        <f t="array" ref="A335">IFERROR(INDEX(_xlfn._xlws.FILTER(Class_Players!A:A,Class_Players!B:B="Engineer"),QUOTIENT(ROW()-ROW($A$2),12)+1),"")</f>
        <v>OndrejPCR</v>
      </c>
      <c r="B335" s="42" t="str">
        <f>_xlfn.XLOOKUP(A335,Class_Players!$A:$A,Class_Players!$B:$B,"")</f>
        <v>Engineer</v>
      </c>
      <c r="C335" s="42" t="str" cm="1">
        <f t="array" ref="C335">INDEX(Lookups!$B$2:$B$13,MOD(ROW()-ROW($B$2),ROWS(Lookups!$B$2:$B$13))+1)</f>
        <v>M4A1 SLAM (Tripwire Sensor AV Mine)</v>
      </c>
      <c r="D335" s="38" t="str">
        <f>_xlfn.XLOOKUP(C335,Analysis_Gadgets!$C:$C,Analysis_Gadgets!$B:$B)</f>
        <v>Gadget</v>
      </c>
      <c r="E335" s="43">
        <v>105</v>
      </c>
      <c r="F335" s="43">
        <f>_xlfn.XLOOKUP(A335,Class_Players!A:A,Class_Players!G:G)</f>
        <v>251</v>
      </c>
      <c r="G335" s="43">
        <f t="shared" si="67"/>
        <v>0.41832669322709165</v>
      </c>
      <c r="H335" s="43">
        <f>_xlfn.XLOOKUP(A335,Class_Players!$A:$A,Class_Players!$F:$F,"")</f>
        <v>10638</v>
      </c>
      <c r="I335" s="44">
        <f t="shared" si="68"/>
        <v>9.8702763677382972E-3</v>
      </c>
      <c r="J335" s="43">
        <f t="shared" si="69"/>
        <v>0</v>
      </c>
      <c r="K335" s="44" cm="1">
        <f t="array" ref="K335">IF(D335="Gadget",_xlfn.IFS(I335&gt;=0.2,0.5,I335&gt;=0.1,0.35,I335&gt;=0.05,0.2,TRUE,0),IF(D335="Grenade",_xlfn.IFS(I335&gt;=0.2,1,I335&gt;=0.1,0.7,I335&gt;=0.05,0.4,TRUE,0),0))</f>
        <v>0</v>
      </c>
      <c r="L335" s="57">
        <f t="shared" si="76"/>
        <v>0</v>
      </c>
    </row>
    <row r="336" spans="1:12" x14ac:dyDescent="0.25">
      <c r="A336" s="42" t="str" cm="1">
        <f t="array" ref="A336">IFERROR(INDEX(_xlfn._xlws.FILTER(Class_Players!A:A,Class_Players!B:B="Engineer"),QUOTIENT(ROW()-ROW($A$2),12)+1),"")</f>
        <v>OndrejPCR</v>
      </c>
      <c r="B336" s="42" t="str">
        <f>_xlfn.XLOOKUP(A336,Class_Players!$A:$A,Class_Players!$B:$B,"")</f>
        <v>Engineer</v>
      </c>
      <c r="C336" s="42" t="str" cm="1">
        <f t="array" ref="C336">INDEX(Lookups!$B$2:$B$13,MOD(ROW()-ROW($B$2),ROWS(Lookups!$B$2:$B$13))+1)</f>
        <v>Mini Frag Grenade</v>
      </c>
      <c r="D336" s="38" t="str">
        <f>_xlfn.XLOOKUP(C336,Analysis_Gadgets!$C:$C,Analysis_Gadgets!$B:$B)</f>
        <v>Grenade</v>
      </c>
      <c r="E336" s="43">
        <v>8962</v>
      </c>
      <c r="F336" s="43">
        <f>_xlfn.XLOOKUP(A336,Class_Players!A:A,Class_Players!G:G)</f>
        <v>251</v>
      </c>
      <c r="G336" s="43">
        <f t="shared" si="67"/>
        <v>35.705179282868528</v>
      </c>
      <c r="H336" s="43">
        <f>_xlfn.XLOOKUP(A336,Class_Players!$A:$A,Class_Players!$F:$F,"")</f>
        <v>10638</v>
      </c>
      <c r="I336" s="44">
        <f t="shared" si="68"/>
        <v>0.842451588644482</v>
      </c>
      <c r="J336" s="43">
        <f t="shared" si="69"/>
        <v>1</v>
      </c>
      <c r="K336" s="44" cm="1">
        <f t="array" ref="K336">IF(D336="Gadget",_xlfn.IFS(I336&gt;=0.2,0.5,I336&gt;=0.1,0.35,I336&gt;=0.05,0.2,TRUE,0),IF(D336="Grenade",_xlfn.IFS(I336&gt;=0.2,1,I336&gt;=0.1,0.7,I336&gt;=0.05,0.4,TRUE,0),0))</f>
        <v>1</v>
      </c>
      <c r="L336" s="57">
        <f t="shared" ref="L336:L337" si="77">IF($K336=0,0,$K336 / SUMIFS($K:$K,$A:$A,$A336,$D:$D,"Grenade"))</f>
        <v>1</v>
      </c>
    </row>
    <row r="337" spans="1:12" x14ac:dyDescent="0.25">
      <c r="A337" s="42" t="str" cm="1">
        <f t="array" ref="A337">IFERROR(INDEX(_xlfn._xlws.FILTER(Class_Players!A:A,Class_Players!B:B="Engineer"),QUOTIENT(ROW()-ROW($A$2),12)+1),"")</f>
        <v>OndrejPCR</v>
      </c>
      <c r="B337" s="42" t="str">
        <f>_xlfn.XLOOKUP(A337,Class_Players!$A:$A,Class_Players!$B:$B,"")</f>
        <v>Engineer</v>
      </c>
      <c r="C337" s="42" t="str" cm="1">
        <f t="array" ref="C337">INDEX(Lookups!$B$2:$B$13,MOD(ROW()-ROW($B$2),ROWS(Lookups!$B$2:$B$13))+1)</f>
        <v>Anti-Vehicle Grenade</v>
      </c>
      <c r="D337" s="38" t="str">
        <f>_xlfn.XLOOKUP(C337,Analysis_Gadgets!$C:$C,Analysis_Gadgets!$B:$B)</f>
        <v>Grenade</v>
      </c>
      <c r="E337" s="43">
        <v>0</v>
      </c>
      <c r="F337" s="43">
        <f>_xlfn.XLOOKUP(A337,Class_Players!A:A,Class_Players!G:G)</f>
        <v>251</v>
      </c>
      <c r="G337" s="43">
        <f t="shared" si="67"/>
        <v>0</v>
      </c>
      <c r="H337" s="43">
        <f>_xlfn.XLOOKUP(A337,Class_Players!$A:$A,Class_Players!$F:$F,"")</f>
        <v>10638</v>
      </c>
      <c r="I337" s="44">
        <f t="shared" si="68"/>
        <v>0</v>
      </c>
      <c r="J337" s="43">
        <f t="shared" si="69"/>
        <v>0</v>
      </c>
      <c r="K337" s="44" cm="1">
        <f t="array" ref="K337">IF(D337="Gadget",_xlfn.IFS(I337&gt;=0.2,0.5,I337&gt;=0.1,0.35,I337&gt;=0.05,0.2,TRUE,0),IF(D337="Grenade",_xlfn.IFS(I337&gt;=0.2,1,I337&gt;=0.1,0.7,I337&gt;=0.05,0.4,TRUE,0),0))</f>
        <v>0</v>
      </c>
      <c r="L337" s="57">
        <f t="shared" si="77"/>
        <v>0</v>
      </c>
    </row>
    <row r="338" spans="1:12" x14ac:dyDescent="0.25">
      <c r="A338" s="42" t="str" cm="1">
        <f t="array" ref="A338">IFERROR(INDEX(_xlfn._xlws.FILTER(Class_Players!A:A,Class_Players!B:B="Engineer"),QUOTIENT(ROW()-ROW($A$2),12)+1),"")</f>
        <v>giorgi92</v>
      </c>
      <c r="B338" s="42" t="str">
        <f>_xlfn.XLOOKUP(A338,Class_Players!$A:$A,Class_Players!$B:$B,"")</f>
        <v>Engineer</v>
      </c>
      <c r="C338" s="42" t="str" cm="1">
        <f t="array" ref="C338">INDEX(Lookups!$B$2:$B$13,MOD(ROW()-ROW($B$2),ROWS(Lookups!$B$2:$B$13))+1)</f>
        <v>MBT-LAW (Auto-Guided Launcher)</v>
      </c>
      <c r="D338" s="38" t="str">
        <f>_xlfn.XLOOKUP(C338,Analysis_Gadgets!$C:$C,Analysis_Gadgets!$B:$B)</f>
        <v>Gadget</v>
      </c>
      <c r="E338" s="43">
        <v>0</v>
      </c>
      <c r="F338" s="43">
        <f>_xlfn.XLOOKUP(A338,Class_Players!A:A,Class_Players!G:G)</f>
        <v>154</v>
      </c>
      <c r="G338" s="43">
        <f t="shared" si="67"/>
        <v>0</v>
      </c>
      <c r="H338" s="43">
        <f>_xlfn.XLOOKUP(A338,Class_Players!$A:$A,Class_Players!$F:$F,"")</f>
        <v>10913</v>
      </c>
      <c r="I338" s="44">
        <f t="shared" si="68"/>
        <v>0</v>
      </c>
      <c r="J338" s="43">
        <f t="shared" si="69"/>
        <v>0</v>
      </c>
      <c r="K338" s="44" cm="1">
        <f t="array" ref="K338">IF(D338="Gadget",_xlfn.IFS(I338&gt;=0.2,0.5,I338&gt;=0.1,0.35,I338&gt;=0.05,0.2,TRUE,0),IF(D338="Grenade",_xlfn.IFS(I338&gt;=0.2,1,I338&gt;=0.1,0.7,I338&gt;=0.05,0.4,TRUE,0),0))</f>
        <v>0</v>
      </c>
      <c r="L338" s="57">
        <f t="shared" ref="L338:L347" si="78">IF($K338=0,0,$K338 / SUMIFS($K:$K,$A:$A,$A338,$D:$D,"Gadget"))</f>
        <v>0</v>
      </c>
    </row>
    <row r="339" spans="1:12" x14ac:dyDescent="0.25">
      <c r="A339" s="42" t="str" cm="1">
        <f t="array" ref="A339">IFERROR(INDEX(_xlfn._xlws.FILTER(Class_Players!A:A,Class_Players!B:B="Engineer"),QUOTIENT(ROW()-ROW($A$2),12)+1),"")</f>
        <v>giorgi92</v>
      </c>
      <c r="B339" s="42" t="str">
        <f>_xlfn.XLOOKUP(A339,Class_Players!$A:$A,Class_Players!$B:$B,"")</f>
        <v>Engineer</v>
      </c>
      <c r="C339" s="42" t="str" cm="1">
        <f t="array" ref="C339">INDEX(Lookups!$B$2:$B$13,MOD(ROW()-ROW($B$2),ROWS(Lookups!$B$2:$B$13))+1)</f>
        <v>SLM-93A (Air-Defense Launcher)</v>
      </c>
      <c r="D339" s="38" t="str">
        <f>_xlfn.XLOOKUP(C339,Analysis_Gadgets!$C:$C,Analysis_Gadgets!$B:$B)</f>
        <v>Gadget</v>
      </c>
      <c r="E339" s="43">
        <v>17</v>
      </c>
      <c r="F339" s="43">
        <f>_xlfn.XLOOKUP(A339,Class_Players!A:A,Class_Players!G:G)</f>
        <v>154</v>
      </c>
      <c r="G339" s="43">
        <f t="shared" si="67"/>
        <v>0.11038961038961038</v>
      </c>
      <c r="H339" s="43">
        <f>_xlfn.XLOOKUP(A339,Class_Players!$A:$A,Class_Players!$F:$F,"")</f>
        <v>10913</v>
      </c>
      <c r="I339" s="44">
        <f t="shared" si="68"/>
        <v>1.5577751305782094E-3</v>
      </c>
      <c r="J339" s="43">
        <f t="shared" si="69"/>
        <v>0</v>
      </c>
      <c r="K339" s="44" cm="1">
        <f t="array" ref="K339">IF(D339="Gadget",_xlfn.IFS(I339&gt;=0.2,0.5,I339&gt;=0.1,0.35,I339&gt;=0.05,0.2,TRUE,0),IF(D339="Grenade",_xlfn.IFS(I339&gt;=0.2,1,I339&gt;=0.1,0.7,I339&gt;=0.05,0.4,TRUE,0),0))</f>
        <v>0</v>
      </c>
      <c r="L339" s="57">
        <f t="shared" si="78"/>
        <v>0</v>
      </c>
    </row>
    <row r="340" spans="1:12" x14ac:dyDescent="0.25">
      <c r="A340" s="42" t="str" cm="1">
        <f t="array" ref="A340">IFERROR(INDEX(_xlfn._xlws.FILTER(Class_Players!A:A,Class_Players!B:B="Engineer"),QUOTIENT(ROW()-ROW($A$2),12)+1),"")</f>
        <v>giorgi92</v>
      </c>
      <c r="B340" s="42" t="str">
        <f>_xlfn.XLOOKUP(A340,Class_Players!$A:$A,Class_Players!$B:$B,"")</f>
        <v>Engineer</v>
      </c>
      <c r="C340" s="42" t="str" cm="1">
        <f t="array" ref="C340">INDEX(Lookups!$B$2:$B$13,MOD(ROW()-ROW($B$2),ROWS(Lookups!$B$2:$B$13))+1)</f>
        <v>RPG-7V2 (Unguided Rocket Launcher)</v>
      </c>
      <c r="D340" s="38" t="str">
        <f>_xlfn.XLOOKUP(C340,Analysis_Gadgets!$C:$C,Analysis_Gadgets!$B:$B)</f>
        <v>Gadget</v>
      </c>
      <c r="E340" s="43">
        <v>5703</v>
      </c>
      <c r="F340" s="43">
        <f>_xlfn.XLOOKUP(A340,Class_Players!A:A,Class_Players!G:G)</f>
        <v>154</v>
      </c>
      <c r="G340" s="43">
        <f t="shared" si="67"/>
        <v>37.032467532467535</v>
      </c>
      <c r="H340" s="43">
        <f>_xlfn.XLOOKUP(A340,Class_Players!$A:$A,Class_Players!$F:$F,"")</f>
        <v>10913</v>
      </c>
      <c r="I340" s="44">
        <f t="shared" si="68"/>
        <v>0.52258773939338399</v>
      </c>
      <c r="J340" s="43">
        <f t="shared" si="69"/>
        <v>1</v>
      </c>
      <c r="K340" s="44" cm="1">
        <f t="array" ref="K340">IF(D340="Gadget",_xlfn.IFS(I340&gt;=0.2,0.5,I340&gt;=0.1,0.35,I340&gt;=0.05,0.2,TRUE,0),IF(D340="Grenade",_xlfn.IFS(I340&gt;=0.2,1,I340&gt;=0.1,0.7,I340&gt;=0.05,0.4,TRUE,0),0))</f>
        <v>0.5</v>
      </c>
      <c r="L340" s="57">
        <f t="shared" si="78"/>
        <v>0.5</v>
      </c>
    </row>
    <row r="341" spans="1:12" x14ac:dyDescent="0.25">
      <c r="A341" s="42" t="str" cm="1">
        <f t="array" ref="A341">IFERROR(INDEX(_xlfn._xlws.FILTER(Class_Players!A:A,Class_Players!B:B="Engineer"),QUOTIENT(ROW()-ROW($A$2),12)+1),"")</f>
        <v>giorgi92</v>
      </c>
      <c r="B341" s="42" t="str">
        <f>_xlfn.XLOOKUP(A341,Class_Players!$A:$A,Class_Players!$B:$B,"")</f>
        <v>Engineer</v>
      </c>
      <c r="C341" s="42" t="str" cm="1">
        <f t="array" ref="C341">INDEX(Lookups!$B$2:$B$13,MOD(ROW()-ROW($B$2),ROWS(Lookups!$B$2:$B$13))+1)</f>
        <v>MAS 148 (Long-Range Launcher)</v>
      </c>
      <c r="D341" s="38" t="str">
        <f>_xlfn.XLOOKUP(C341,Analysis_Gadgets!$C:$C,Analysis_Gadgets!$B:$B)</f>
        <v>Gadget</v>
      </c>
      <c r="E341" s="43">
        <v>14</v>
      </c>
      <c r="F341" s="43">
        <f>_xlfn.XLOOKUP(A341,Class_Players!A:A,Class_Players!G:G)</f>
        <v>154</v>
      </c>
      <c r="G341" s="43">
        <f t="shared" si="67"/>
        <v>9.0909090909090912E-2</v>
      </c>
      <c r="H341" s="43">
        <f>_xlfn.XLOOKUP(A341,Class_Players!$A:$A,Class_Players!$F:$F,"")</f>
        <v>10913</v>
      </c>
      <c r="I341" s="44">
        <f t="shared" si="68"/>
        <v>1.2828736369467607E-3</v>
      </c>
      <c r="J341" s="43">
        <f t="shared" si="69"/>
        <v>0</v>
      </c>
      <c r="K341" s="44" cm="1">
        <f t="array" ref="K341">IF(D341="Gadget",_xlfn.IFS(I341&gt;=0.2,0.5,I341&gt;=0.1,0.35,I341&gt;=0.05,0.2,TRUE,0),IF(D341="Grenade",_xlfn.IFS(I341&gt;=0.2,1,I341&gt;=0.1,0.7,I341&gt;=0.05,0.4,TRUE,0),0))</f>
        <v>0</v>
      </c>
      <c r="L341" s="57">
        <f t="shared" si="78"/>
        <v>0</v>
      </c>
    </row>
    <row r="342" spans="1:12" x14ac:dyDescent="0.25">
      <c r="A342" s="42" t="str" cm="1">
        <f t="array" ref="A342">IFERROR(INDEX(_xlfn._xlws.FILTER(Class_Players!A:A,Class_Players!B:B="Engineer"),QUOTIENT(ROW()-ROW($A$2),12)+1),"")</f>
        <v>giorgi92</v>
      </c>
      <c r="B342" s="42" t="str">
        <f>_xlfn.XLOOKUP(A342,Class_Players!$A:$A,Class_Players!$B:$B,"")</f>
        <v>Engineer</v>
      </c>
      <c r="C342" s="42" t="str" cm="1">
        <f t="array" ref="C342">INDEX(Lookups!$B$2:$B$13,MOD(ROW()-ROW($B$2),ROWS(Lookups!$B$2:$B$13))+1)</f>
        <v>M136 AT (Aim-Guided Launcher)</v>
      </c>
      <c r="D342" s="38" t="str">
        <f>_xlfn.XLOOKUP(C342,Analysis_Gadgets!$C:$C,Analysis_Gadgets!$B:$B)</f>
        <v>Gadget</v>
      </c>
      <c r="E342" s="43">
        <v>0</v>
      </c>
      <c r="F342" s="43">
        <f>_xlfn.XLOOKUP(A342,Class_Players!A:A,Class_Players!G:G)</f>
        <v>154</v>
      </c>
      <c r="G342" s="43">
        <f t="shared" si="67"/>
        <v>0</v>
      </c>
      <c r="H342" s="43">
        <f>_xlfn.XLOOKUP(A342,Class_Players!$A:$A,Class_Players!$F:$F,"")</f>
        <v>10913</v>
      </c>
      <c r="I342" s="44">
        <f t="shared" si="68"/>
        <v>0</v>
      </c>
      <c r="J342" s="43">
        <f t="shared" si="69"/>
        <v>0</v>
      </c>
      <c r="K342" s="44" cm="1">
        <f t="array" ref="K342">IF(D342="Gadget",_xlfn.IFS(I342&gt;=0.2,0.5,I342&gt;=0.1,0.35,I342&gt;=0.05,0.2,TRUE,0),IF(D342="Grenade",_xlfn.IFS(I342&gt;=0.2,1,I342&gt;=0.1,0.7,I342&gt;=0.05,0.4,TRUE,0),0))</f>
        <v>0</v>
      </c>
      <c r="L342" s="57">
        <f t="shared" si="78"/>
        <v>0</v>
      </c>
    </row>
    <row r="343" spans="1:12" x14ac:dyDescent="0.25">
      <c r="A343" s="42" t="str" cm="1">
        <f t="array" ref="A343">IFERROR(INDEX(_xlfn._xlws.FILTER(Class_Players!A:A,Class_Players!B:B="Engineer"),QUOTIENT(ROW()-ROW($A$2),12)+1),"")</f>
        <v>giorgi92</v>
      </c>
      <c r="B343" s="42" t="str">
        <f>_xlfn.XLOOKUP(A343,Class_Players!$A:$A,Class_Players!$B:$B,"")</f>
        <v>Engineer</v>
      </c>
      <c r="C343" s="42" t="str" cm="1">
        <f t="array" ref="C343">INDEX(Lookups!$B$2:$B$13,MOD(ROW()-ROW($B$2),ROWS(Lookups!$B$2:$B$13))+1)</f>
        <v>Supply Crate</v>
      </c>
      <c r="D343" s="38" t="str">
        <f>_xlfn.XLOOKUP(C343,Analysis_Gadgets!$C:$C,Analysis_Gadgets!$B:$B)</f>
        <v>Gadget</v>
      </c>
      <c r="E343" s="43">
        <v>8</v>
      </c>
      <c r="F343" s="43">
        <f>_xlfn.XLOOKUP(A343,Class_Players!A:A,Class_Players!G:G)</f>
        <v>154</v>
      </c>
      <c r="G343" s="43">
        <f t="shared" si="67"/>
        <v>5.1948051948051951E-2</v>
      </c>
      <c r="H343" s="43">
        <f>_xlfn.XLOOKUP(A343,Class_Players!$A:$A,Class_Players!$F:$F,"")</f>
        <v>10913</v>
      </c>
      <c r="I343" s="44">
        <f t="shared" si="68"/>
        <v>7.3307064968386329E-4</v>
      </c>
      <c r="J343" s="43">
        <f t="shared" si="69"/>
        <v>0</v>
      </c>
      <c r="K343" s="44" cm="1">
        <f t="array" ref="K343">IF(D343="Gadget",_xlfn.IFS(I343&gt;=0.2,0.5,I343&gt;=0.1,0.35,I343&gt;=0.05,0.2,TRUE,0),IF(D343="Grenade",_xlfn.IFS(I343&gt;=0.2,1,I343&gt;=0.1,0.7,I343&gt;=0.05,0.4,TRUE,0),0))</f>
        <v>0</v>
      </c>
      <c r="L343" s="57">
        <f t="shared" si="78"/>
        <v>0</v>
      </c>
    </row>
    <row r="344" spans="1:12" x14ac:dyDescent="0.25">
      <c r="A344" s="42" t="str" cm="1">
        <f t="array" ref="A344">IFERROR(INDEX(_xlfn._xlws.FILTER(Class_Players!A:A,Class_Players!B:B="Engineer"),QUOTIENT(ROW()-ROW($A$2),12)+1),"")</f>
        <v>giorgi92</v>
      </c>
      <c r="B344" s="42" t="str">
        <f>_xlfn.XLOOKUP(A344,Class_Players!$A:$A,Class_Players!$B:$B,"")</f>
        <v>Engineer</v>
      </c>
      <c r="C344" s="42" t="str" cm="1">
        <f t="array" ref="C344">INDEX(Lookups!$B$2:$B$13,MOD(ROW()-ROW($B$2),ROWS(Lookups!$B$2:$B$13))+1)</f>
        <v>M15 (Anti-Vehicle Mine)</v>
      </c>
      <c r="D344" s="38" t="str">
        <f>_xlfn.XLOOKUP(C344,Analysis_Gadgets!$C:$C,Analysis_Gadgets!$B:$B)</f>
        <v>Gadget</v>
      </c>
      <c r="E344" s="43">
        <v>3387</v>
      </c>
      <c r="F344" s="43">
        <f>_xlfn.XLOOKUP(A344,Class_Players!A:A,Class_Players!G:G)</f>
        <v>154</v>
      </c>
      <c r="G344" s="43">
        <f t="shared" si="67"/>
        <v>21.993506493506494</v>
      </c>
      <c r="H344" s="43">
        <f>_xlfn.XLOOKUP(A344,Class_Players!$A:$A,Class_Players!$F:$F,"")</f>
        <v>10913</v>
      </c>
      <c r="I344" s="44">
        <f t="shared" si="68"/>
        <v>0.31036378630990563</v>
      </c>
      <c r="J344" s="43">
        <f t="shared" si="69"/>
        <v>1</v>
      </c>
      <c r="K344" s="44" cm="1">
        <f t="array" ref="K344">IF(D344="Gadget",_xlfn.IFS(I344&gt;=0.2,0.5,I344&gt;=0.1,0.35,I344&gt;=0.05,0.2,TRUE,0),IF(D344="Grenade",_xlfn.IFS(I344&gt;=0.2,1,I344&gt;=0.1,0.7,I344&gt;=0.05,0.4,TRUE,0),0))</f>
        <v>0.5</v>
      </c>
      <c r="L344" s="57">
        <f t="shared" si="78"/>
        <v>0.5</v>
      </c>
    </row>
    <row r="345" spans="1:12" x14ac:dyDescent="0.25">
      <c r="A345" s="42" t="str" cm="1">
        <f t="array" ref="A345">IFERROR(INDEX(_xlfn._xlws.FILTER(Class_Players!A:A,Class_Players!B:B="Engineer"),QUOTIENT(ROW()-ROW($A$2),12)+1),"")</f>
        <v>giorgi92</v>
      </c>
      <c r="B345" s="42" t="str">
        <f>_xlfn.XLOOKUP(A345,Class_Players!$A:$A,Class_Players!$B:$B,"")</f>
        <v>Engineer</v>
      </c>
      <c r="C345" s="42" t="str" cm="1">
        <f t="array" ref="C345">INDEX(Lookups!$B$2:$B$13,MOD(ROW()-ROW($B$2),ROWS(Lookups!$B$2:$B$13))+1)</f>
        <v>PTKM-1R (Acoustic Sensor AV Mine)</v>
      </c>
      <c r="D345" s="38" t="str">
        <f>_xlfn.XLOOKUP(C345,Analysis_Gadgets!$C:$C,Analysis_Gadgets!$B:$B)</f>
        <v>Gadget</v>
      </c>
      <c r="E345" s="43">
        <v>0</v>
      </c>
      <c r="F345" s="43">
        <f>_xlfn.XLOOKUP(A345,Class_Players!A:A,Class_Players!G:G)</f>
        <v>154</v>
      </c>
      <c r="G345" s="43">
        <f t="shared" si="67"/>
        <v>0</v>
      </c>
      <c r="H345" s="43">
        <f>_xlfn.XLOOKUP(A345,Class_Players!$A:$A,Class_Players!$F:$F,"")</f>
        <v>10913</v>
      </c>
      <c r="I345" s="44">
        <f t="shared" si="68"/>
        <v>0</v>
      </c>
      <c r="J345" s="43">
        <f t="shared" si="69"/>
        <v>0</v>
      </c>
      <c r="K345" s="44" cm="1">
        <f t="array" ref="K345">IF(D345="Gadget",_xlfn.IFS(I345&gt;=0.2,0.5,I345&gt;=0.1,0.35,I345&gt;=0.05,0.2,TRUE,0),IF(D345="Grenade",_xlfn.IFS(I345&gt;=0.2,1,I345&gt;=0.1,0.7,I345&gt;=0.05,0.4,TRUE,0),0))</f>
        <v>0</v>
      </c>
      <c r="L345" s="57">
        <f t="shared" si="78"/>
        <v>0</v>
      </c>
    </row>
    <row r="346" spans="1:12" x14ac:dyDescent="0.25">
      <c r="A346" s="42" t="str" cm="1">
        <f t="array" ref="A346">IFERROR(INDEX(_xlfn._xlws.FILTER(Class_Players!A:A,Class_Players!B:B="Engineer"),QUOTIENT(ROW()-ROW($A$2),12)+1),"")</f>
        <v>giorgi92</v>
      </c>
      <c r="B346" s="42" t="str">
        <f>_xlfn.XLOOKUP(A346,Class_Players!$A:$A,Class_Players!$B:$B,"")</f>
        <v>Engineer</v>
      </c>
      <c r="C346" s="42" t="str" cm="1">
        <f t="array" ref="C346">INDEX(Lookups!$B$2:$B$13,MOD(ROW()-ROW($B$2),ROWS(Lookups!$B$2:$B$13))+1)</f>
        <v>EOD Bot</v>
      </c>
      <c r="D346" s="38" t="str">
        <f>_xlfn.XLOOKUP(C346,Analysis_Gadgets!$C:$C,Analysis_Gadgets!$B:$B)</f>
        <v>Gadget</v>
      </c>
      <c r="E346" s="43">
        <v>0</v>
      </c>
      <c r="F346" s="43">
        <f>_xlfn.XLOOKUP(A346,Class_Players!A:A,Class_Players!G:G)</f>
        <v>154</v>
      </c>
      <c r="G346" s="43">
        <f t="shared" si="67"/>
        <v>0</v>
      </c>
      <c r="H346" s="43">
        <f>_xlfn.XLOOKUP(A346,Class_Players!$A:$A,Class_Players!$F:$F,"")</f>
        <v>10913</v>
      </c>
      <c r="I346" s="44">
        <f t="shared" si="68"/>
        <v>0</v>
      </c>
      <c r="J346" s="43">
        <f t="shared" si="69"/>
        <v>0</v>
      </c>
      <c r="K346" s="44" cm="1">
        <f t="array" ref="K346">IF(D346="Gadget",_xlfn.IFS(I346&gt;=0.2,0.5,I346&gt;=0.1,0.35,I346&gt;=0.05,0.2,TRUE,0),IF(D346="Grenade",_xlfn.IFS(I346&gt;=0.2,1,I346&gt;=0.1,0.7,I346&gt;=0.05,0.4,TRUE,0),0))</f>
        <v>0</v>
      </c>
      <c r="L346" s="57">
        <f t="shared" si="78"/>
        <v>0</v>
      </c>
    </row>
    <row r="347" spans="1:12" x14ac:dyDescent="0.25">
      <c r="A347" s="42" t="str" cm="1">
        <f t="array" ref="A347">IFERROR(INDEX(_xlfn._xlws.FILTER(Class_Players!A:A,Class_Players!B:B="Engineer"),QUOTIENT(ROW()-ROW($A$2),12)+1),"")</f>
        <v>giorgi92</v>
      </c>
      <c r="B347" s="42" t="str">
        <f>_xlfn.XLOOKUP(A347,Class_Players!$A:$A,Class_Players!$B:$B,"")</f>
        <v>Engineer</v>
      </c>
      <c r="C347" s="42" t="str" cm="1">
        <f t="array" ref="C347">INDEX(Lookups!$B$2:$B$13,MOD(ROW()-ROW($B$2),ROWS(Lookups!$B$2:$B$13))+1)</f>
        <v>M4A1 SLAM (Tripwire Sensor AV Mine)</v>
      </c>
      <c r="D347" s="38" t="str">
        <f>_xlfn.XLOOKUP(C347,Analysis_Gadgets!$C:$C,Analysis_Gadgets!$B:$B)</f>
        <v>Gadget</v>
      </c>
      <c r="E347" s="43">
        <v>35</v>
      </c>
      <c r="F347" s="43">
        <f>_xlfn.XLOOKUP(A347,Class_Players!A:A,Class_Players!G:G)</f>
        <v>154</v>
      </c>
      <c r="G347" s="43">
        <f t="shared" si="67"/>
        <v>0.22727272727272727</v>
      </c>
      <c r="H347" s="43">
        <f>_xlfn.XLOOKUP(A347,Class_Players!$A:$A,Class_Players!$F:$F,"")</f>
        <v>10913</v>
      </c>
      <c r="I347" s="44">
        <f t="shared" si="68"/>
        <v>3.207184092366902E-3</v>
      </c>
      <c r="J347" s="43">
        <f t="shared" si="69"/>
        <v>0</v>
      </c>
      <c r="K347" s="44" cm="1">
        <f t="array" ref="K347">IF(D347="Gadget",_xlfn.IFS(I347&gt;=0.2,0.5,I347&gt;=0.1,0.35,I347&gt;=0.05,0.2,TRUE,0),IF(D347="Grenade",_xlfn.IFS(I347&gt;=0.2,1,I347&gt;=0.1,0.7,I347&gt;=0.05,0.4,TRUE,0),0))</f>
        <v>0</v>
      </c>
      <c r="L347" s="57">
        <f t="shared" si="78"/>
        <v>0</v>
      </c>
    </row>
    <row r="348" spans="1:12" x14ac:dyDescent="0.25">
      <c r="A348" s="42" t="str" cm="1">
        <f t="array" ref="A348">IFERROR(INDEX(_xlfn._xlws.FILTER(Class_Players!A:A,Class_Players!B:B="Engineer"),QUOTIENT(ROW()-ROW($A$2),12)+1),"")</f>
        <v>giorgi92</v>
      </c>
      <c r="B348" s="42" t="str">
        <f>_xlfn.XLOOKUP(A348,Class_Players!$A:$A,Class_Players!$B:$B,"")</f>
        <v>Engineer</v>
      </c>
      <c r="C348" s="42" t="str" cm="1">
        <f t="array" ref="C348">INDEX(Lookups!$B$2:$B$13,MOD(ROW()-ROW($B$2),ROWS(Lookups!$B$2:$B$13))+1)</f>
        <v>Mini Frag Grenade</v>
      </c>
      <c r="D348" s="38" t="str">
        <f>_xlfn.XLOOKUP(C348,Analysis_Gadgets!$C:$C,Analysis_Gadgets!$B:$B)</f>
        <v>Grenade</v>
      </c>
      <c r="E348" s="43">
        <v>6</v>
      </c>
      <c r="F348" s="43">
        <f>_xlfn.XLOOKUP(A348,Class_Players!A:A,Class_Players!G:G)</f>
        <v>154</v>
      </c>
      <c r="G348" s="43">
        <f t="shared" si="67"/>
        <v>3.896103896103896E-2</v>
      </c>
      <c r="H348" s="43">
        <f>_xlfn.XLOOKUP(A348,Class_Players!$A:$A,Class_Players!$F:$F,"")</f>
        <v>10913</v>
      </c>
      <c r="I348" s="44">
        <f t="shared" si="68"/>
        <v>5.4980298726289747E-4</v>
      </c>
      <c r="J348" s="43">
        <f t="shared" si="69"/>
        <v>0</v>
      </c>
      <c r="K348" s="44" cm="1">
        <f t="array" ref="K348">IF(D348="Gadget",_xlfn.IFS(I348&gt;=0.2,0.5,I348&gt;=0.1,0.35,I348&gt;=0.05,0.2,TRUE,0),IF(D348="Grenade",_xlfn.IFS(I348&gt;=0.2,1,I348&gt;=0.1,0.7,I348&gt;=0.05,0.4,TRUE,0),0))</f>
        <v>0</v>
      </c>
      <c r="L348" s="57">
        <f t="shared" ref="L348:L349" si="79">IF($K348=0,0,$K348 / SUMIFS($K:$K,$A:$A,$A348,$D:$D,"Grenade"))</f>
        <v>0</v>
      </c>
    </row>
    <row r="349" spans="1:12" x14ac:dyDescent="0.25">
      <c r="A349" s="42" t="str" cm="1">
        <f t="array" ref="A349">IFERROR(INDEX(_xlfn._xlws.FILTER(Class_Players!A:A,Class_Players!B:B="Engineer"),QUOTIENT(ROW()-ROW($A$2),12)+1),"")</f>
        <v>giorgi92</v>
      </c>
      <c r="B349" s="42" t="str">
        <f>_xlfn.XLOOKUP(A349,Class_Players!$A:$A,Class_Players!$B:$B,"")</f>
        <v>Engineer</v>
      </c>
      <c r="C349" s="42" t="str" cm="1">
        <f t="array" ref="C349">INDEX(Lookups!$B$2:$B$13,MOD(ROW()-ROW($B$2),ROWS(Lookups!$B$2:$B$13))+1)</f>
        <v>Anti-Vehicle Grenade</v>
      </c>
      <c r="D349" s="38" t="str">
        <f>_xlfn.XLOOKUP(C349,Analysis_Gadgets!$C:$C,Analysis_Gadgets!$B:$B)</f>
        <v>Grenade</v>
      </c>
      <c r="E349" s="43">
        <v>0</v>
      </c>
      <c r="F349" s="43">
        <f>_xlfn.XLOOKUP(A349,Class_Players!A:A,Class_Players!G:G)</f>
        <v>154</v>
      </c>
      <c r="G349" s="43">
        <f t="shared" si="67"/>
        <v>0</v>
      </c>
      <c r="H349" s="43">
        <f>_xlfn.XLOOKUP(A349,Class_Players!$A:$A,Class_Players!$F:$F,"")</f>
        <v>10913</v>
      </c>
      <c r="I349" s="44">
        <f t="shared" si="68"/>
        <v>0</v>
      </c>
      <c r="J349" s="43">
        <f t="shared" si="69"/>
        <v>0</v>
      </c>
      <c r="K349" s="44" cm="1">
        <f t="array" ref="K349">IF(D349="Gadget",_xlfn.IFS(I349&gt;=0.2,0.5,I349&gt;=0.1,0.35,I349&gt;=0.05,0.2,TRUE,0),IF(D349="Grenade",_xlfn.IFS(I349&gt;=0.2,1,I349&gt;=0.1,0.7,I349&gt;=0.05,0.4,TRUE,0),0))</f>
        <v>0</v>
      </c>
      <c r="L349" s="57">
        <f t="shared" si="79"/>
        <v>0</v>
      </c>
    </row>
    <row r="350" spans="1:12" x14ac:dyDescent="0.25">
      <c r="A350" s="42" t="str" cm="1">
        <f t="array" ref="A350">IFERROR(INDEX(_xlfn._xlws.FILTER(Class_Players!A:A,Class_Players!B:B="Engineer"),QUOTIENT(ROW()-ROW($A$2),12)+1),"")</f>
        <v>bbisTyLeZ</v>
      </c>
      <c r="B350" s="42" t="str">
        <f>_xlfn.XLOOKUP(A350,Class_Players!$A:$A,Class_Players!$B:$B,"")</f>
        <v>Engineer</v>
      </c>
      <c r="C350" s="42" t="str" cm="1">
        <f t="array" ref="C350">INDEX(Lookups!$B$2:$B$13,MOD(ROW()-ROW($B$2),ROWS(Lookups!$B$2:$B$13))+1)</f>
        <v>MBT-LAW (Auto-Guided Launcher)</v>
      </c>
      <c r="D350" s="38" t="str">
        <f>_xlfn.XLOOKUP(C350,Analysis_Gadgets!$C:$C,Analysis_Gadgets!$B:$B)</f>
        <v>Gadget</v>
      </c>
      <c r="E350" s="43">
        <v>0</v>
      </c>
      <c r="F350" s="43">
        <f>_xlfn.XLOOKUP(A350,Class_Players!A:A,Class_Players!G:G)</f>
        <v>229</v>
      </c>
      <c r="G350" s="43">
        <f t="shared" si="67"/>
        <v>0</v>
      </c>
      <c r="H350" s="43">
        <f>_xlfn.XLOOKUP(A350,Class_Players!$A:$A,Class_Players!$F:$F,"")</f>
        <v>10249</v>
      </c>
      <c r="I350" s="44">
        <f t="shared" si="68"/>
        <v>0</v>
      </c>
      <c r="J350" s="43">
        <f t="shared" si="69"/>
        <v>0</v>
      </c>
      <c r="K350" s="44" cm="1">
        <f t="array" ref="K350">IF(D350="Gadget",_xlfn.IFS(I350&gt;=0.2,0.5,I350&gt;=0.1,0.35,I350&gt;=0.05,0.2,TRUE,0),IF(D350="Grenade",_xlfn.IFS(I350&gt;=0.2,1,I350&gt;=0.1,0.7,I350&gt;=0.05,0.4,TRUE,0),0))</f>
        <v>0</v>
      </c>
      <c r="L350" s="57">
        <f t="shared" ref="L350:L359" si="80">IF($K350=0,0,$K350 / SUMIFS($K:$K,$A:$A,$A350,$D:$D,"Gadget"))</f>
        <v>0</v>
      </c>
    </row>
    <row r="351" spans="1:12" x14ac:dyDescent="0.25">
      <c r="A351" s="42" t="str" cm="1">
        <f t="array" ref="A351">IFERROR(INDEX(_xlfn._xlws.FILTER(Class_Players!A:A,Class_Players!B:B="Engineer"),QUOTIENT(ROW()-ROW($A$2),12)+1),"")</f>
        <v>bbisTyLeZ</v>
      </c>
      <c r="B351" s="42" t="str">
        <f>_xlfn.XLOOKUP(A351,Class_Players!$A:$A,Class_Players!$B:$B,"")</f>
        <v>Engineer</v>
      </c>
      <c r="C351" s="42" t="str" cm="1">
        <f t="array" ref="C351">INDEX(Lookups!$B$2:$B$13,MOD(ROW()-ROW($B$2),ROWS(Lookups!$B$2:$B$13))+1)</f>
        <v>SLM-93A (Air-Defense Launcher)</v>
      </c>
      <c r="D351" s="38" t="str">
        <f>_xlfn.XLOOKUP(C351,Analysis_Gadgets!$C:$C,Analysis_Gadgets!$B:$B)</f>
        <v>Gadget</v>
      </c>
      <c r="E351" s="43">
        <v>2</v>
      </c>
      <c r="F351" s="43">
        <f>_xlfn.XLOOKUP(A351,Class_Players!A:A,Class_Players!G:G)</f>
        <v>229</v>
      </c>
      <c r="G351" s="43">
        <f t="shared" si="67"/>
        <v>8.7336244541484712E-3</v>
      </c>
      <c r="H351" s="43">
        <f>_xlfn.XLOOKUP(A351,Class_Players!$A:$A,Class_Players!$F:$F,"")</f>
        <v>10249</v>
      </c>
      <c r="I351" s="44">
        <f t="shared" si="68"/>
        <v>1.9514098936481607E-4</v>
      </c>
      <c r="J351" s="43">
        <f t="shared" si="69"/>
        <v>0</v>
      </c>
      <c r="K351" s="44" cm="1">
        <f t="array" ref="K351">IF(D351="Gadget",_xlfn.IFS(I351&gt;=0.2,0.5,I351&gt;=0.1,0.35,I351&gt;=0.05,0.2,TRUE,0),IF(D351="Grenade",_xlfn.IFS(I351&gt;=0.2,1,I351&gt;=0.1,0.7,I351&gt;=0.05,0.4,TRUE,0),0))</f>
        <v>0</v>
      </c>
      <c r="L351" s="57">
        <f t="shared" si="80"/>
        <v>0</v>
      </c>
    </row>
    <row r="352" spans="1:12" x14ac:dyDescent="0.25">
      <c r="A352" s="42" t="str" cm="1">
        <f t="array" ref="A352">IFERROR(INDEX(_xlfn._xlws.FILTER(Class_Players!A:A,Class_Players!B:B="Engineer"),QUOTIENT(ROW()-ROW($A$2),12)+1),"")</f>
        <v>bbisTyLeZ</v>
      </c>
      <c r="B352" s="42" t="str">
        <f>_xlfn.XLOOKUP(A352,Class_Players!$A:$A,Class_Players!$B:$B,"")</f>
        <v>Engineer</v>
      </c>
      <c r="C352" s="42" t="str" cm="1">
        <f t="array" ref="C352">INDEX(Lookups!$B$2:$B$13,MOD(ROW()-ROW($B$2),ROWS(Lookups!$B$2:$B$13))+1)</f>
        <v>RPG-7V2 (Unguided Rocket Launcher)</v>
      </c>
      <c r="D352" s="38" t="str">
        <f>_xlfn.XLOOKUP(C352,Analysis_Gadgets!$C:$C,Analysis_Gadgets!$B:$B)</f>
        <v>Gadget</v>
      </c>
      <c r="E352" s="43">
        <v>6242</v>
      </c>
      <c r="F352" s="43">
        <f>_xlfn.XLOOKUP(A352,Class_Players!A:A,Class_Players!G:G)</f>
        <v>229</v>
      </c>
      <c r="G352" s="43">
        <f t="shared" si="67"/>
        <v>27.257641921397379</v>
      </c>
      <c r="H352" s="43">
        <f>_xlfn.XLOOKUP(A352,Class_Players!$A:$A,Class_Players!$F:$F,"")</f>
        <v>10249</v>
      </c>
      <c r="I352" s="44">
        <f t="shared" si="68"/>
        <v>0.609035027807591</v>
      </c>
      <c r="J352" s="43">
        <f t="shared" si="69"/>
        <v>1</v>
      </c>
      <c r="K352" s="44" cm="1">
        <f t="array" ref="K352">IF(D352="Gadget",_xlfn.IFS(I352&gt;=0.2,0.5,I352&gt;=0.1,0.35,I352&gt;=0.05,0.2,TRUE,0),IF(D352="Grenade",_xlfn.IFS(I352&gt;=0.2,1,I352&gt;=0.1,0.7,I352&gt;=0.05,0.4,TRUE,0),0))</f>
        <v>0.5</v>
      </c>
      <c r="L352" s="57">
        <f t="shared" si="80"/>
        <v>0.7142857142857143</v>
      </c>
    </row>
    <row r="353" spans="1:12" x14ac:dyDescent="0.25">
      <c r="A353" s="42" t="str" cm="1">
        <f t="array" ref="A353">IFERROR(INDEX(_xlfn._xlws.FILTER(Class_Players!A:A,Class_Players!B:B="Engineer"),QUOTIENT(ROW()-ROW($A$2),12)+1),"")</f>
        <v>bbisTyLeZ</v>
      </c>
      <c r="B353" s="42" t="str">
        <f>_xlfn.XLOOKUP(A353,Class_Players!$A:$A,Class_Players!$B:$B,"")</f>
        <v>Engineer</v>
      </c>
      <c r="C353" s="42" t="str" cm="1">
        <f t="array" ref="C353">INDEX(Lookups!$B$2:$B$13,MOD(ROW()-ROW($B$2),ROWS(Lookups!$B$2:$B$13))+1)</f>
        <v>MAS 148 (Long-Range Launcher)</v>
      </c>
      <c r="D353" s="38" t="str">
        <f>_xlfn.XLOOKUP(C353,Analysis_Gadgets!$C:$C,Analysis_Gadgets!$B:$B)</f>
        <v>Gadget</v>
      </c>
      <c r="E353" s="43">
        <v>0</v>
      </c>
      <c r="F353" s="43">
        <f>_xlfn.XLOOKUP(A353,Class_Players!A:A,Class_Players!G:G)</f>
        <v>229</v>
      </c>
      <c r="G353" s="43">
        <f t="shared" si="67"/>
        <v>0</v>
      </c>
      <c r="H353" s="43">
        <f>_xlfn.XLOOKUP(A353,Class_Players!$A:$A,Class_Players!$F:$F,"")</f>
        <v>10249</v>
      </c>
      <c r="I353" s="44">
        <f t="shared" si="68"/>
        <v>0</v>
      </c>
      <c r="J353" s="43">
        <f t="shared" si="69"/>
        <v>0</v>
      </c>
      <c r="K353" s="44" cm="1">
        <f t="array" ref="K353">IF(D353="Gadget",_xlfn.IFS(I353&gt;=0.2,0.5,I353&gt;=0.1,0.35,I353&gt;=0.05,0.2,TRUE,0),IF(D353="Grenade",_xlfn.IFS(I353&gt;=0.2,1,I353&gt;=0.1,0.7,I353&gt;=0.05,0.4,TRUE,0),0))</f>
        <v>0</v>
      </c>
      <c r="L353" s="57">
        <f t="shared" si="80"/>
        <v>0</v>
      </c>
    </row>
    <row r="354" spans="1:12" x14ac:dyDescent="0.25">
      <c r="A354" s="42" t="str" cm="1">
        <f t="array" ref="A354">IFERROR(INDEX(_xlfn._xlws.FILTER(Class_Players!A:A,Class_Players!B:B="Engineer"),QUOTIENT(ROW()-ROW($A$2),12)+1),"")</f>
        <v>bbisTyLeZ</v>
      </c>
      <c r="B354" s="42" t="str">
        <f>_xlfn.XLOOKUP(A354,Class_Players!$A:$A,Class_Players!$B:$B,"")</f>
        <v>Engineer</v>
      </c>
      <c r="C354" s="42" t="str" cm="1">
        <f t="array" ref="C354">INDEX(Lookups!$B$2:$B$13,MOD(ROW()-ROW($B$2),ROWS(Lookups!$B$2:$B$13))+1)</f>
        <v>M136 AT (Aim-Guided Launcher)</v>
      </c>
      <c r="D354" s="38" t="str">
        <f>_xlfn.XLOOKUP(C354,Analysis_Gadgets!$C:$C,Analysis_Gadgets!$B:$B)</f>
        <v>Gadget</v>
      </c>
      <c r="E354" s="43">
        <v>31</v>
      </c>
      <c r="F354" s="43">
        <f>_xlfn.XLOOKUP(A354,Class_Players!A:A,Class_Players!G:G)</f>
        <v>229</v>
      </c>
      <c r="G354" s="43">
        <f t="shared" ref="G354:G365" si="81">IF(F354=0,"",E354/(F354))</f>
        <v>0.13537117903930132</v>
      </c>
      <c r="H354" s="43">
        <f>_xlfn.XLOOKUP(A354,Class_Players!$A:$A,Class_Players!$F:$F,"")</f>
        <v>10249</v>
      </c>
      <c r="I354" s="44">
        <f t="shared" ref="I354:I365" si="82">IF(H354=0,"",E354/H354)</f>
        <v>3.0246853351546493E-3</v>
      </c>
      <c r="J354" s="43">
        <f t="shared" ref="J354:J365" si="83">IF(I354&gt;=0.1,1,0)</f>
        <v>0</v>
      </c>
      <c r="K354" s="44" cm="1">
        <f t="array" ref="K354">IF(D354="Gadget",_xlfn.IFS(I354&gt;=0.2,0.5,I354&gt;=0.1,0.35,I354&gt;=0.05,0.2,TRUE,0),IF(D354="Grenade",_xlfn.IFS(I354&gt;=0.2,1,I354&gt;=0.1,0.7,I354&gt;=0.05,0.4,TRUE,0),0))</f>
        <v>0</v>
      </c>
      <c r="L354" s="57">
        <f t="shared" si="80"/>
        <v>0</v>
      </c>
    </row>
    <row r="355" spans="1:12" x14ac:dyDescent="0.25">
      <c r="A355" s="42" t="str" cm="1">
        <f t="array" ref="A355">IFERROR(INDEX(_xlfn._xlws.FILTER(Class_Players!A:A,Class_Players!B:B="Engineer"),QUOTIENT(ROW()-ROW($A$2),12)+1),"")</f>
        <v>bbisTyLeZ</v>
      </c>
      <c r="B355" s="42" t="str">
        <f>_xlfn.XLOOKUP(A355,Class_Players!$A:$A,Class_Players!$B:$B,"")</f>
        <v>Engineer</v>
      </c>
      <c r="C355" s="42" t="str" cm="1">
        <f t="array" ref="C355">INDEX(Lookups!$B$2:$B$13,MOD(ROW()-ROW($B$2),ROWS(Lookups!$B$2:$B$13))+1)</f>
        <v>Supply Crate</v>
      </c>
      <c r="D355" s="38" t="str">
        <f>_xlfn.XLOOKUP(C355,Analysis_Gadgets!$C:$C,Analysis_Gadgets!$B:$B)</f>
        <v>Gadget</v>
      </c>
      <c r="E355" s="43">
        <v>0</v>
      </c>
      <c r="F355" s="43">
        <f>_xlfn.XLOOKUP(A355,Class_Players!A:A,Class_Players!G:G)</f>
        <v>229</v>
      </c>
      <c r="G355" s="43">
        <f t="shared" si="81"/>
        <v>0</v>
      </c>
      <c r="H355" s="43">
        <f>_xlfn.XLOOKUP(A355,Class_Players!$A:$A,Class_Players!$F:$F,"")</f>
        <v>10249</v>
      </c>
      <c r="I355" s="44">
        <f t="shared" si="82"/>
        <v>0</v>
      </c>
      <c r="J355" s="43">
        <f t="shared" si="83"/>
        <v>0</v>
      </c>
      <c r="K355" s="44" cm="1">
        <f t="array" ref="K355">IF(D355="Gadget",_xlfn.IFS(I355&gt;=0.2,0.5,I355&gt;=0.1,0.35,I355&gt;=0.05,0.2,TRUE,0),IF(D355="Grenade",_xlfn.IFS(I355&gt;=0.2,1,I355&gt;=0.1,0.7,I355&gt;=0.05,0.4,TRUE,0),0))</f>
        <v>0</v>
      </c>
      <c r="L355" s="57">
        <f t="shared" si="80"/>
        <v>0</v>
      </c>
    </row>
    <row r="356" spans="1:12" x14ac:dyDescent="0.25">
      <c r="A356" s="42" t="str" cm="1">
        <f t="array" ref="A356">IFERROR(INDEX(_xlfn._xlws.FILTER(Class_Players!A:A,Class_Players!B:B="Engineer"),QUOTIENT(ROW()-ROW($A$2),12)+1),"")</f>
        <v>bbisTyLeZ</v>
      </c>
      <c r="B356" s="42" t="str">
        <f>_xlfn.XLOOKUP(A356,Class_Players!$A:$A,Class_Players!$B:$B,"")</f>
        <v>Engineer</v>
      </c>
      <c r="C356" s="42" t="str" cm="1">
        <f t="array" ref="C356">INDEX(Lookups!$B$2:$B$13,MOD(ROW()-ROW($B$2),ROWS(Lookups!$B$2:$B$13))+1)</f>
        <v>M15 (Anti-Vehicle Mine)</v>
      </c>
      <c r="D356" s="38" t="str">
        <f>_xlfn.XLOOKUP(C356,Analysis_Gadgets!$C:$C,Analysis_Gadgets!$B:$B)</f>
        <v>Gadget</v>
      </c>
      <c r="E356" s="43">
        <v>642</v>
      </c>
      <c r="F356" s="43">
        <f>_xlfn.XLOOKUP(A356,Class_Players!A:A,Class_Players!G:G)</f>
        <v>229</v>
      </c>
      <c r="G356" s="43">
        <f t="shared" si="81"/>
        <v>2.8034934497816595</v>
      </c>
      <c r="H356" s="43">
        <f>_xlfn.XLOOKUP(A356,Class_Players!$A:$A,Class_Players!$F:$F,"")</f>
        <v>10249</v>
      </c>
      <c r="I356" s="44">
        <f t="shared" si="82"/>
        <v>6.264025758610596E-2</v>
      </c>
      <c r="J356" s="43">
        <f t="shared" si="83"/>
        <v>0</v>
      </c>
      <c r="K356" s="44" cm="1">
        <f t="array" ref="K356">IF(D356="Gadget",_xlfn.IFS(I356&gt;=0.2,0.5,I356&gt;=0.1,0.35,I356&gt;=0.05,0.2,TRUE,0),IF(D356="Grenade",_xlfn.IFS(I356&gt;=0.2,1,I356&gt;=0.1,0.7,I356&gt;=0.05,0.4,TRUE,0),0))</f>
        <v>0.2</v>
      </c>
      <c r="L356" s="57">
        <f t="shared" si="80"/>
        <v>0.28571428571428575</v>
      </c>
    </row>
    <row r="357" spans="1:12" x14ac:dyDescent="0.25">
      <c r="A357" s="42" t="str" cm="1">
        <f t="array" ref="A357">IFERROR(INDEX(_xlfn._xlws.FILTER(Class_Players!A:A,Class_Players!B:B="Engineer"),QUOTIENT(ROW()-ROW($A$2),12)+1),"")</f>
        <v>bbisTyLeZ</v>
      </c>
      <c r="B357" s="42" t="str">
        <f>_xlfn.XLOOKUP(A357,Class_Players!$A:$A,Class_Players!$B:$B,"")</f>
        <v>Engineer</v>
      </c>
      <c r="C357" s="42" t="str" cm="1">
        <f t="array" ref="C357">INDEX(Lookups!$B$2:$B$13,MOD(ROW()-ROW($B$2),ROWS(Lookups!$B$2:$B$13))+1)</f>
        <v>PTKM-1R (Acoustic Sensor AV Mine)</v>
      </c>
      <c r="D357" s="38" t="str">
        <f>_xlfn.XLOOKUP(C357,Analysis_Gadgets!$C:$C,Analysis_Gadgets!$B:$B)</f>
        <v>Gadget</v>
      </c>
      <c r="E357" s="43">
        <v>2</v>
      </c>
      <c r="F357" s="43">
        <f>_xlfn.XLOOKUP(A357,Class_Players!A:A,Class_Players!G:G)</f>
        <v>229</v>
      </c>
      <c r="G357" s="43">
        <f t="shared" si="81"/>
        <v>8.7336244541484712E-3</v>
      </c>
      <c r="H357" s="43">
        <f>_xlfn.XLOOKUP(A357,Class_Players!$A:$A,Class_Players!$F:$F,"")</f>
        <v>10249</v>
      </c>
      <c r="I357" s="44">
        <f t="shared" si="82"/>
        <v>1.9514098936481607E-4</v>
      </c>
      <c r="J357" s="43">
        <f t="shared" si="83"/>
        <v>0</v>
      </c>
      <c r="K357" s="44" cm="1">
        <f t="array" ref="K357">IF(D357="Gadget",_xlfn.IFS(I357&gt;=0.2,0.5,I357&gt;=0.1,0.35,I357&gt;=0.05,0.2,TRUE,0),IF(D357="Grenade",_xlfn.IFS(I357&gt;=0.2,1,I357&gt;=0.1,0.7,I357&gt;=0.05,0.4,TRUE,0),0))</f>
        <v>0</v>
      </c>
      <c r="L357" s="57">
        <f t="shared" si="80"/>
        <v>0</v>
      </c>
    </row>
    <row r="358" spans="1:12" x14ac:dyDescent="0.25">
      <c r="A358" s="42" t="str" cm="1">
        <f t="array" ref="A358">IFERROR(INDEX(_xlfn._xlws.FILTER(Class_Players!A:A,Class_Players!B:B="Engineer"),QUOTIENT(ROW()-ROW($A$2),12)+1),"")</f>
        <v>bbisTyLeZ</v>
      </c>
      <c r="B358" s="42" t="str">
        <f>_xlfn.XLOOKUP(A358,Class_Players!$A:$A,Class_Players!$B:$B,"")</f>
        <v>Engineer</v>
      </c>
      <c r="C358" s="42" t="str" cm="1">
        <f t="array" ref="C358">INDEX(Lookups!$B$2:$B$13,MOD(ROW()-ROW($B$2),ROWS(Lookups!$B$2:$B$13))+1)</f>
        <v>EOD Bot</v>
      </c>
      <c r="D358" s="38" t="str">
        <f>_xlfn.XLOOKUP(C358,Analysis_Gadgets!$C:$C,Analysis_Gadgets!$B:$B)</f>
        <v>Gadget</v>
      </c>
      <c r="E358" s="43">
        <v>1</v>
      </c>
      <c r="F358" s="43">
        <f>_xlfn.XLOOKUP(A358,Class_Players!A:A,Class_Players!G:G)</f>
        <v>229</v>
      </c>
      <c r="G358" s="43">
        <f t="shared" si="81"/>
        <v>4.3668122270742356E-3</v>
      </c>
      <c r="H358" s="43">
        <f>_xlfn.XLOOKUP(A358,Class_Players!$A:$A,Class_Players!$F:$F,"")</f>
        <v>10249</v>
      </c>
      <c r="I358" s="44">
        <f t="shared" si="82"/>
        <v>9.7570494682408036E-5</v>
      </c>
      <c r="J358" s="43">
        <f t="shared" si="83"/>
        <v>0</v>
      </c>
      <c r="K358" s="44" cm="1">
        <f t="array" ref="K358">IF(D358="Gadget",_xlfn.IFS(I358&gt;=0.2,0.5,I358&gt;=0.1,0.35,I358&gt;=0.05,0.2,TRUE,0),IF(D358="Grenade",_xlfn.IFS(I358&gt;=0.2,1,I358&gt;=0.1,0.7,I358&gt;=0.05,0.4,TRUE,0),0))</f>
        <v>0</v>
      </c>
      <c r="L358" s="57">
        <f t="shared" si="80"/>
        <v>0</v>
      </c>
    </row>
    <row r="359" spans="1:12" x14ac:dyDescent="0.25">
      <c r="A359" s="42" t="str" cm="1">
        <f t="array" ref="A359">IFERROR(INDEX(_xlfn._xlws.FILTER(Class_Players!A:A,Class_Players!B:B="Engineer"),QUOTIENT(ROW()-ROW($A$2),12)+1),"")</f>
        <v>bbisTyLeZ</v>
      </c>
      <c r="B359" s="42" t="str">
        <f>_xlfn.XLOOKUP(A359,Class_Players!$A:$A,Class_Players!$B:$B,"")</f>
        <v>Engineer</v>
      </c>
      <c r="C359" s="42" t="str" cm="1">
        <f t="array" ref="C359">INDEX(Lookups!$B$2:$B$13,MOD(ROW()-ROW($B$2),ROWS(Lookups!$B$2:$B$13))+1)</f>
        <v>M4A1 SLAM (Tripwire Sensor AV Mine)</v>
      </c>
      <c r="D359" s="38" t="str">
        <f>_xlfn.XLOOKUP(C359,Analysis_Gadgets!$C:$C,Analysis_Gadgets!$B:$B)</f>
        <v>Gadget</v>
      </c>
      <c r="E359" s="43">
        <v>0</v>
      </c>
      <c r="F359" s="43">
        <f>_xlfn.XLOOKUP(A359,Class_Players!A:A,Class_Players!G:G)</f>
        <v>229</v>
      </c>
      <c r="G359" s="43">
        <f t="shared" si="81"/>
        <v>0</v>
      </c>
      <c r="H359" s="43">
        <f>_xlfn.XLOOKUP(A359,Class_Players!$A:$A,Class_Players!$F:$F,"")</f>
        <v>10249</v>
      </c>
      <c r="I359" s="44">
        <f t="shared" si="82"/>
        <v>0</v>
      </c>
      <c r="J359" s="43">
        <f t="shared" si="83"/>
        <v>0</v>
      </c>
      <c r="K359" s="44" cm="1">
        <f t="array" ref="K359">IF(D359="Gadget",_xlfn.IFS(I359&gt;=0.2,0.5,I359&gt;=0.1,0.35,I359&gt;=0.05,0.2,TRUE,0),IF(D359="Grenade",_xlfn.IFS(I359&gt;=0.2,1,I359&gt;=0.1,0.7,I359&gt;=0.05,0.4,TRUE,0),0))</f>
        <v>0</v>
      </c>
      <c r="L359" s="57">
        <f t="shared" si="80"/>
        <v>0</v>
      </c>
    </row>
    <row r="360" spans="1:12" x14ac:dyDescent="0.25">
      <c r="A360" s="42" t="str" cm="1">
        <f t="array" ref="A360">IFERROR(INDEX(_xlfn._xlws.FILTER(Class_Players!A:A,Class_Players!B:B="Engineer"),QUOTIENT(ROW()-ROW($A$2),12)+1),"")</f>
        <v>bbisTyLeZ</v>
      </c>
      <c r="B360" s="42" t="str">
        <f>_xlfn.XLOOKUP(A360,Class_Players!$A:$A,Class_Players!$B:$B,"")</f>
        <v>Engineer</v>
      </c>
      <c r="C360" s="42" t="str" cm="1">
        <f t="array" ref="C360">INDEX(Lookups!$B$2:$B$13,MOD(ROW()-ROW($B$2),ROWS(Lookups!$B$2:$B$13))+1)</f>
        <v>Mini Frag Grenade</v>
      </c>
      <c r="D360" s="38" t="str">
        <f>_xlfn.XLOOKUP(C360,Analysis_Gadgets!$C:$C,Analysis_Gadgets!$B:$B)</f>
        <v>Grenade</v>
      </c>
      <c r="E360" s="43">
        <v>230</v>
      </c>
      <c r="F360" s="43">
        <f>_xlfn.XLOOKUP(A360,Class_Players!A:A,Class_Players!G:G)</f>
        <v>229</v>
      </c>
      <c r="G360" s="43">
        <f t="shared" si="81"/>
        <v>1.0043668122270741</v>
      </c>
      <c r="H360" s="43">
        <f>_xlfn.XLOOKUP(A360,Class_Players!$A:$A,Class_Players!$F:$F,"")</f>
        <v>10249</v>
      </c>
      <c r="I360" s="44">
        <f t="shared" si="82"/>
        <v>2.244121377695385E-2</v>
      </c>
      <c r="J360" s="43">
        <f t="shared" si="83"/>
        <v>0</v>
      </c>
      <c r="K360" s="44" cm="1">
        <f t="array" ref="K360">IF(D360="Gadget",_xlfn.IFS(I360&gt;=0.2,0.5,I360&gt;=0.1,0.35,I360&gt;=0.05,0.2,TRUE,0),IF(D360="Grenade",_xlfn.IFS(I360&gt;=0.2,1,I360&gt;=0.1,0.7,I360&gt;=0.05,0.4,TRUE,0),0))</f>
        <v>0</v>
      </c>
      <c r="L360" s="57">
        <f t="shared" ref="L360:L361" si="84">IF($K360=0,0,$K360 / SUMIFS($K:$K,$A:$A,$A360,$D:$D,"Grenade"))</f>
        <v>0</v>
      </c>
    </row>
    <row r="361" spans="1:12" x14ac:dyDescent="0.25">
      <c r="A361" s="42" t="str" cm="1">
        <f t="array" ref="A361">IFERROR(INDEX(_xlfn._xlws.FILTER(Class_Players!A:A,Class_Players!B:B="Engineer"),QUOTIENT(ROW()-ROW($A$2),12)+1),"")</f>
        <v>bbisTyLeZ</v>
      </c>
      <c r="B361" s="42" t="str">
        <f>_xlfn.XLOOKUP(A361,Class_Players!$A:$A,Class_Players!$B:$B,"")</f>
        <v>Engineer</v>
      </c>
      <c r="C361" s="42" t="str" cm="1">
        <f t="array" ref="C361">INDEX(Lookups!$B$2:$B$13,MOD(ROW()-ROW($B$2),ROWS(Lookups!$B$2:$B$13))+1)</f>
        <v>Anti-Vehicle Grenade</v>
      </c>
      <c r="D361" s="38" t="str">
        <f>_xlfn.XLOOKUP(C361,Analysis_Gadgets!$C:$C,Analysis_Gadgets!$B:$B)</f>
        <v>Grenade</v>
      </c>
      <c r="E361" s="43">
        <v>0</v>
      </c>
      <c r="F361" s="43">
        <f>_xlfn.XLOOKUP(A361,Class_Players!A:A,Class_Players!G:G)</f>
        <v>229</v>
      </c>
      <c r="G361" s="43">
        <f t="shared" si="81"/>
        <v>0</v>
      </c>
      <c r="H361" s="43">
        <f>_xlfn.XLOOKUP(A361,Class_Players!$A:$A,Class_Players!$F:$F,"")</f>
        <v>10249</v>
      </c>
      <c r="I361" s="44">
        <f t="shared" si="82"/>
        <v>0</v>
      </c>
      <c r="J361" s="43">
        <f t="shared" si="83"/>
        <v>0</v>
      </c>
      <c r="K361" s="44" cm="1">
        <f t="array" ref="K361">IF(D361="Gadget",_xlfn.IFS(I361&gt;=0.2,0.5,I361&gt;=0.1,0.35,I361&gt;=0.05,0.2,TRUE,0),IF(D361="Grenade",_xlfn.IFS(I361&gt;=0.2,1,I361&gt;=0.1,0.7,I361&gt;=0.05,0.4,TRUE,0),0))</f>
        <v>0</v>
      </c>
      <c r="L361" s="57">
        <f t="shared" si="84"/>
        <v>0</v>
      </c>
    </row>
    <row r="362" spans="1:12" x14ac:dyDescent="0.25">
      <c r="A362" s="42" t="str" cm="1">
        <f t="array" ref="A362">IFERROR(INDEX(_xlfn._xlws.FILTER(Class_Players!A:A,Class_Players!B:B="Engineer"),QUOTIENT(ROW()-ROW($A$2),12)+1),"")</f>
        <v>csyphi</v>
      </c>
      <c r="B362" s="42" t="str">
        <f>_xlfn.XLOOKUP(A362,Class_Players!$A:$A,Class_Players!$B:$B,"")</f>
        <v>Engineer</v>
      </c>
      <c r="C362" s="42" t="str" cm="1">
        <f t="array" ref="C362">INDEX(Lookups!$B$2:$B$13,MOD(ROW()-ROW($B$2),ROWS(Lookups!$B$2:$B$13))+1)</f>
        <v>MBT-LAW (Auto-Guided Launcher)</v>
      </c>
      <c r="D362" s="38" t="str">
        <f>_xlfn.XLOOKUP(C362,Analysis_Gadgets!$C:$C,Analysis_Gadgets!$B:$B)</f>
        <v>Gadget</v>
      </c>
      <c r="E362" s="43">
        <v>0</v>
      </c>
      <c r="F362" s="43">
        <f>_xlfn.XLOOKUP(A362,Class_Players!A:A,Class_Players!G:G)</f>
        <v>223</v>
      </c>
      <c r="G362" s="43">
        <f t="shared" si="81"/>
        <v>0</v>
      </c>
      <c r="H362" s="43">
        <f>_xlfn.XLOOKUP(A362,Class_Players!$A:$A,Class_Players!$F:$F,"")</f>
        <v>10142</v>
      </c>
      <c r="I362" s="44">
        <f t="shared" si="82"/>
        <v>0</v>
      </c>
      <c r="J362" s="43">
        <f t="shared" si="83"/>
        <v>0</v>
      </c>
      <c r="K362" s="44" cm="1">
        <f t="array" ref="K362">IF(D362="Gadget",_xlfn.IFS(I362&gt;=0.2,0.5,I362&gt;=0.1,0.35,I362&gt;=0.05,0.2,TRUE,0),IF(D362="Grenade",_xlfn.IFS(I362&gt;=0.2,1,I362&gt;=0.1,0.7,I362&gt;=0.05,0.4,TRUE,0),0))</f>
        <v>0</v>
      </c>
      <c r="L362" s="57">
        <f t="shared" ref="L362:L371" si="85">IF($K362=0,0,$K362 / SUMIFS($K:$K,$A:$A,$A362,$D:$D,"Gadget"))</f>
        <v>0</v>
      </c>
    </row>
    <row r="363" spans="1:12" x14ac:dyDescent="0.25">
      <c r="A363" s="42" t="str" cm="1">
        <f t="array" ref="A363">IFERROR(INDEX(_xlfn._xlws.FILTER(Class_Players!A:A,Class_Players!B:B="Engineer"),QUOTIENT(ROW()-ROW($A$2),12)+1),"")</f>
        <v>csyphi</v>
      </c>
      <c r="B363" s="42" t="str">
        <f>_xlfn.XLOOKUP(A363,Class_Players!$A:$A,Class_Players!$B:$B,"")</f>
        <v>Engineer</v>
      </c>
      <c r="C363" s="42" t="str" cm="1">
        <f t="array" ref="C363">INDEX(Lookups!$B$2:$B$13,MOD(ROW()-ROW($B$2),ROWS(Lookups!$B$2:$B$13))+1)</f>
        <v>SLM-93A (Air-Defense Launcher)</v>
      </c>
      <c r="D363" s="38" t="str">
        <f>_xlfn.XLOOKUP(C363,Analysis_Gadgets!$C:$C,Analysis_Gadgets!$B:$B)</f>
        <v>Gadget</v>
      </c>
      <c r="E363" s="43">
        <v>0</v>
      </c>
      <c r="F363" s="43">
        <f>_xlfn.XLOOKUP(A363,Class_Players!A:A,Class_Players!G:G)</f>
        <v>223</v>
      </c>
      <c r="G363" s="43">
        <f t="shared" si="81"/>
        <v>0</v>
      </c>
      <c r="H363" s="43">
        <f>_xlfn.XLOOKUP(A363,Class_Players!$A:$A,Class_Players!$F:$F,"")</f>
        <v>10142</v>
      </c>
      <c r="I363" s="44">
        <f t="shared" si="82"/>
        <v>0</v>
      </c>
      <c r="J363" s="43">
        <f t="shared" si="83"/>
        <v>0</v>
      </c>
      <c r="K363" s="44" cm="1">
        <f t="array" ref="K363">IF(D363="Gadget",_xlfn.IFS(I363&gt;=0.2,0.5,I363&gt;=0.1,0.35,I363&gt;=0.05,0.2,TRUE,0),IF(D363="Grenade",_xlfn.IFS(I363&gt;=0.2,1,I363&gt;=0.1,0.7,I363&gt;=0.05,0.4,TRUE,0),0))</f>
        <v>0</v>
      </c>
      <c r="L363" s="57">
        <f t="shared" si="85"/>
        <v>0</v>
      </c>
    </row>
    <row r="364" spans="1:12" x14ac:dyDescent="0.25">
      <c r="A364" s="42" t="str" cm="1">
        <f t="array" ref="A364">IFERROR(INDEX(_xlfn._xlws.FILTER(Class_Players!A:A,Class_Players!B:B="Engineer"),QUOTIENT(ROW()-ROW($A$2),12)+1),"")</f>
        <v>csyphi</v>
      </c>
      <c r="B364" s="42" t="str">
        <f>_xlfn.XLOOKUP(A364,Class_Players!$A:$A,Class_Players!$B:$B,"")</f>
        <v>Engineer</v>
      </c>
      <c r="C364" s="42" t="str" cm="1">
        <f t="array" ref="C364">INDEX(Lookups!$B$2:$B$13,MOD(ROW()-ROW($B$2),ROWS(Lookups!$B$2:$B$13))+1)</f>
        <v>RPG-7V2 (Unguided Rocket Launcher)</v>
      </c>
      <c r="D364" s="38" t="str">
        <f>_xlfn.XLOOKUP(C364,Analysis_Gadgets!$C:$C,Analysis_Gadgets!$B:$B)</f>
        <v>Gadget</v>
      </c>
      <c r="E364" s="43">
        <v>7407</v>
      </c>
      <c r="F364" s="43">
        <f>_xlfn.XLOOKUP(A364,Class_Players!A:A,Class_Players!G:G)</f>
        <v>223</v>
      </c>
      <c r="G364" s="43">
        <f t="shared" si="81"/>
        <v>33.215246636771298</v>
      </c>
      <c r="H364" s="43">
        <f>_xlfn.XLOOKUP(A364,Class_Players!$A:$A,Class_Players!$F:$F,"")</f>
        <v>10142</v>
      </c>
      <c r="I364" s="44">
        <f t="shared" si="82"/>
        <v>0.73032932360481162</v>
      </c>
      <c r="J364" s="43">
        <f t="shared" si="83"/>
        <v>1</v>
      </c>
      <c r="K364" s="44" cm="1">
        <f t="array" ref="K364">IF(D364="Gadget",_xlfn.IFS(I364&gt;=0.2,0.5,I364&gt;=0.1,0.35,I364&gt;=0.05,0.2,TRUE,0),IF(D364="Grenade",_xlfn.IFS(I364&gt;=0.2,1,I364&gt;=0.1,0.7,I364&gt;=0.05,0.4,TRUE,0),0))</f>
        <v>0.5</v>
      </c>
      <c r="L364" s="57">
        <f t="shared" si="85"/>
        <v>1</v>
      </c>
    </row>
    <row r="365" spans="1:12" x14ac:dyDescent="0.25">
      <c r="A365" s="42" t="str" cm="1">
        <f t="array" ref="A365">IFERROR(INDEX(_xlfn._xlws.FILTER(Class_Players!A:A,Class_Players!B:B="Engineer"),QUOTIENT(ROW()-ROW($A$2),12)+1),"")</f>
        <v>csyphi</v>
      </c>
      <c r="B365" s="42" t="str">
        <f>_xlfn.XLOOKUP(A365,Class_Players!$A:$A,Class_Players!$B:$B,"")</f>
        <v>Engineer</v>
      </c>
      <c r="C365" s="42" t="str" cm="1">
        <f t="array" ref="C365">INDEX(Lookups!$B$2:$B$13,MOD(ROW()-ROW($B$2),ROWS(Lookups!$B$2:$B$13))+1)</f>
        <v>MAS 148 (Long-Range Launcher)</v>
      </c>
      <c r="D365" s="38" t="str">
        <f>_xlfn.XLOOKUP(C365,Analysis_Gadgets!$C:$C,Analysis_Gadgets!$B:$B)</f>
        <v>Gadget</v>
      </c>
      <c r="E365" s="43">
        <v>0</v>
      </c>
      <c r="F365" s="43">
        <f>_xlfn.XLOOKUP(A365,Class_Players!A:A,Class_Players!G:G)</f>
        <v>223</v>
      </c>
      <c r="G365" s="43">
        <f t="shared" si="81"/>
        <v>0</v>
      </c>
      <c r="H365" s="43">
        <f>_xlfn.XLOOKUP(A365,Class_Players!$A:$A,Class_Players!$F:$F,"")</f>
        <v>10142</v>
      </c>
      <c r="I365" s="44">
        <f t="shared" si="82"/>
        <v>0</v>
      </c>
      <c r="J365" s="43">
        <f t="shared" si="83"/>
        <v>0</v>
      </c>
      <c r="K365" s="44" cm="1">
        <f t="array" ref="K365">IF(D365="Gadget",_xlfn.IFS(I365&gt;=0.2,0.5,I365&gt;=0.1,0.35,I365&gt;=0.05,0.2,TRUE,0),IF(D365="Grenade",_xlfn.IFS(I365&gt;=0.2,1,I365&gt;=0.1,0.7,I365&gt;=0.05,0.4,TRUE,0),0))</f>
        <v>0</v>
      </c>
      <c r="L365" s="57">
        <f t="shared" si="85"/>
        <v>0</v>
      </c>
    </row>
    <row r="366" spans="1:12" x14ac:dyDescent="0.25">
      <c r="A366" s="42" t="str" cm="1">
        <f t="array" ref="A366">IFERROR(INDEX(_xlfn._xlws.FILTER(Class_Players!A:A,Class_Players!B:B="Engineer"),QUOTIENT(ROW()-ROW($A$2),12)+1),"")</f>
        <v>csyphi</v>
      </c>
      <c r="B366" s="42" t="str">
        <f>_xlfn.XLOOKUP(A366,Class_Players!$A:$A,Class_Players!$B:$B,"")</f>
        <v>Engineer</v>
      </c>
      <c r="C366" s="42" t="str" cm="1">
        <f t="array" ref="C366">INDEX(Lookups!$B$2:$B$13,MOD(ROW()-ROW($B$2),ROWS(Lookups!$B$2:$B$13))+1)</f>
        <v>M136 AT (Aim-Guided Launcher)</v>
      </c>
      <c r="D366" s="38" t="str">
        <f>_xlfn.XLOOKUP(C366,Analysis_Gadgets!$C:$C,Analysis_Gadgets!$B:$B)</f>
        <v>Gadget</v>
      </c>
      <c r="E366" s="43">
        <v>7</v>
      </c>
      <c r="F366" s="43">
        <f>_xlfn.XLOOKUP(A366,Class_Players!A:A,Class_Players!G:G)</f>
        <v>223</v>
      </c>
      <c r="G366" s="43">
        <f t="shared" ref="G366:G389" si="86">IF(F366=0,"",E366/(F366))</f>
        <v>3.1390134529147982E-2</v>
      </c>
      <c r="H366" s="43">
        <f>_xlfn.XLOOKUP(A366,Class_Players!$A:$A,Class_Players!$F:$F,"")</f>
        <v>10142</v>
      </c>
      <c r="I366" s="44">
        <f t="shared" ref="I366:I389" si="87">IF(H366=0,"",E366/H366)</f>
        <v>6.9019917176099384E-4</v>
      </c>
      <c r="J366" s="43">
        <f t="shared" ref="J366:J389" si="88">IF(I366&gt;=0.1,1,0)</f>
        <v>0</v>
      </c>
      <c r="K366" s="44" cm="1">
        <f t="array" ref="K366">IF(D366="Gadget",_xlfn.IFS(I366&gt;=0.2,0.5,I366&gt;=0.1,0.35,I366&gt;=0.05,0.2,TRUE,0),IF(D366="Grenade",_xlfn.IFS(I366&gt;=0.2,1,I366&gt;=0.1,0.7,I366&gt;=0.05,0.4,TRUE,0),0))</f>
        <v>0</v>
      </c>
      <c r="L366" s="57">
        <f t="shared" si="85"/>
        <v>0</v>
      </c>
    </row>
    <row r="367" spans="1:12" x14ac:dyDescent="0.25">
      <c r="A367" s="42" t="str" cm="1">
        <f t="array" ref="A367">IFERROR(INDEX(_xlfn._xlws.FILTER(Class_Players!A:A,Class_Players!B:B="Engineer"),QUOTIENT(ROW()-ROW($A$2),12)+1),"")</f>
        <v>csyphi</v>
      </c>
      <c r="B367" s="42" t="str">
        <f>_xlfn.XLOOKUP(A367,Class_Players!$A:$A,Class_Players!$B:$B,"")</f>
        <v>Engineer</v>
      </c>
      <c r="C367" s="42" t="str" cm="1">
        <f t="array" ref="C367">INDEX(Lookups!$B$2:$B$13,MOD(ROW()-ROW($B$2),ROWS(Lookups!$B$2:$B$13))+1)</f>
        <v>Supply Crate</v>
      </c>
      <c r="D367" s="38" t="str">
        <f>_xlfn.XLOOKUP(C367,Analysis_Gadgets!$C:$C,Analysis_Gadgets!$B:$B)</f>
        <v>Gadget</v>
      </c>
      <c r="E367" s="43">
        <v>10</v>
      </c>
      <c r="F367" s="43">
        <f>_xlfn.XLOOKUP(A367,Class_Players!A:A,Class_Players!G:G)</f>
        <v>223</v>
      </c>
      <c r="G367" s="43">
        <f t="shared" si="86"/>
        <v>4.4843049327354258E-2</v>
      </c>
      <c r="H367" s="43">
        <f>_xlfn.XLOOKUP(A367,Class_Players!$A:$A,Class_Players!$F:$F,"")</f>
        <v>10142</v>
      </c>
      <c r="I367" s="44">
        <f t="shared" si="87"/>
        <v>9.8599881680141977E-4</v>
      </c>
      <c r="J367" s="43">
        <f t="shared" si="88"/>
        <v>0</v>
      </c>
      <c r="K367" s="44" cm="1">
        <f t="array" ref="K367">IF(D367="Gadget",_xlfn.IFS(I367&gt;=0.2,0.5,I367&gt;=0.1,0.35,I367&gt;=0.05,0.2,TRUE,0),IF(D367="Grenade",_xlfn.IFS(I367&gt;=0.2,1,I367&gt;=0.1,0.7,I367&gt;=0.05,0.4,TRUE,0),0))</f>
        <v>0</v>
      </c>
      <c r="L367" s="57">
        <f t="shared" si="85"/>
        <v>0</v>
      </c>
    </row>
    <row r="368" spans="1:12" x14ac:dyDescent="0.25">
      <c r="A368" s="42" t="str" cm="1">
        <f t="array" ref="A368">IFERROR(INDEX(_xlfn._xlws.FILTER(Class_Players!A:A,Class_Players!B:B="Engineer"),QUOTIENT(ROW()-ROW($A$2),12)+1),"")</f>
        <v>csyphi</v>
      </c>
      <c r="B368" s="42" t="str">
        <f>_xlfn.XLOOKUP(A368,Class_Players!$A:$A,Class_Players!$B:$B,"")</f>
        <v>Engineer</v>
      </c>
      <c r="C368" s="42" t="str" cm="1">
        <f t="array" ref="C368">INDEX(Lookups!$B$2:$B$13,MOD(ROW()-ROW($B$2),ROWS(Lookups!$B$2:$B$13))+1)</f>
        <v>M15 (Anti-Vehicle Mine)</v>
      </c>
      <c r="D368" s="38" t="str">
        <f>_xlfn.XLOOKUP(C368,Analysis_Gadgets!$C:$C,Analysis_Gadgets!$B:$B)</f>
        <v>Gadget</v>
      </c>
      <c r="E368" s="43">
        <v>319</v>
      </c>
      <c r="F368" s="43">
        <f>_xlfn.XLOOKUP(A368,Class_Players!A:A,Class_Players!G:G)</f>
        <v>223</v>
      </c>
      <c r="G368" s="43">
        <f t="shared" si="86"/>
        <v>1.4304932735426008</v>
      </c>
      <c r="H368" s="43">
        <f>_xlfn.XLOOKUP(A368,Class_Players!$A:$A,Class_Players!$F:$F,"")</f>
        <v>10142</v>
      </c>
      <c r="I368" s="44">
        <f t="shared" si="87"/>
        <v>3.1453362255965296E-2</v>
      </c>
      <c r="J368" s="43">
        <f t="shared" si="88"/>
        <v>0</v>
      </c>
      <c r="K368" s="44" cm="1">
        <f t="array" ref="K368">IF(D368="Gadget",_xlfn.IFS(I368&gt;=0.2,0.5,I368&gt;=0.1,0.35,I368&gt;=0.05,0.2,TRUE,0),IF(D368="Grenade",_xlfn.IFS(I368&gt;=0.2,1,I368&gt;=0.1,0.7,I368&gt;=0.05,0.4,TRUE,0),0))</f>
        <v>0</v>
      </c>
      <c r="L368" s="57">
        <f t="shared" si="85"/>
        <v>0</v>
      </c>
    </row>
    <row r="369" spans="1:12" x14ac:dyDescent="0.25">
      <c r="A369" s="42" t="str" cm="1">
        <f t="array" ref="A369">IFERROR(INDEX(_xlfn._xlws.FILTER(Class_Players!A:A,Class_Players!B:B="Engineer"),QUOTIENT(ROW()-ROW($A$2),12)+1),"")</f>
        <v>csyphi</v>
      </c>
      <c r="B369" s="42" t="str">
        <f>_xlfn.XLOOKUP(A369,Class_Players!$A:$A,Class_Players!$B:$B,"")</f>
        <v>Engineer</v>
      </c>
      <c r="C369" s="42" t="str" cm="1">
        <f t="array" ref="C369">INDEX(Lookups!$B$2:$B$13,MOD(ROW()-ROW($B$2),ROWS(Lookups!$B$2:$B$13))+1)</f>
        <v>PTKM-1R (Acoustic Sensor AV Mine)</v>
      </c>
      <c r="D369" s="38" t="str">
        <f>_xlfn.XLOOKUP(C369,Analysis_Gadgets!$C:$C,Analysis_Gadgets!$B:$B)</f>
        <v>Gadget</v>
      </c>
      <c r="E369" s="43">
        <v>0</v>
      </c>
      <c r="F369" s="43">
        <f>_xlfn.XLOOKUP(A369,Class_Players!A:A,Class_Players!G:G)</f>
        <v>223</v>
      </c>
      <c r="G369" s="43">
        <f t="shared" si="86"/>
        <v>0</v>
      </c>
      <c r="H369" s="43">
        <f>_xlfn.XLOOKUP(A369,Class_Players!$A:$A,Class_Players!$F:$F,"")</f>
        <v>10142</v>
      </c>
      <c r="I369" s="44">
        <f t="shared" si="87"/>
        <v>0</v>
      </c>
      <c r="J369" s="43">
        <f t="shared" si="88"/>
        <v>0</v>
      </c>
      <c r="K369" s="44" cm="1">
        <f t="array" ref="K369">IF(D369="Gadget",_xlfn.IFS(I369&gt;=0.2,0.5,I369&gt;=0.1,0.35,I369&gt;=0.05,0.2,TRUE,0),IF(D369="Grenade",_xlfn.IFS(I369&gt;=0.2,1,I369&gt;=0.1,0.7,I369&gt;=0.05,0.4,TRUE,0),0))</f>
        <v>0</v>
      </c>
      <c r="L369" s="57">
        <f t="shared" si="85"/>
        <v>0</v>
      </c>
    </row>
    <row r="370" spans="1:12" x14ac:dyDescent="0.25">
      <c r="A370" s="42" t="str" cm="1">
        <f t="array" ref="A370">IFERROR(INDEX(_xlfn._xlws.FILTER(Class_Players!A:A,Class_Players!B:B="Engineer"),QUOTIENT(ROW()-ROW($A$2),12)+1),"")</f>
        <v>csyphi</v>
      </c>
      <c r="B370" s="42" t="str">
        <f>_xlfn.XLOOKUP(A370,Class_Players!$A:$A,Class_Players!$B:$B,"")</f>
        <v>Engineer</v>
      </c>
      <c r="C370" s="42" t="str" cm="1">
        <f t="array" ref="C370">INDEX(Lookups!$B$2:$B$13,MOD(ROW()-ROW($B$2),ROWS(Lookups!$B$2:$B$13))+1)</f>
        <v>EOD Bot</v>
      </c>
      <c r="D370" s="38" t="str">
        <f>_xlfn.XLOOKUP(C370,Analysis_Gadgets!$C:$C,Analysis_Gadgets!$B:$B)</f>
        <v>Gadget</v>
      </c>
      <c r="E370" s="43">
        <v>0</v>
      </c>
      <c r="F370" s="43">
        <f>_xlfn.XLOOKUP(A370,Class_Players!A:A,Class_Players!G:G)</f>
        <v>223</v>
      </c>
      <c r="G370" s="43">
        <f t="shared" si="86"/>
        <v>0</v>
      </c>
      <c r="H370" s="43">
        <f>_xlfn.XLOOKUP(A370,Class_Players!$A:$A,Class_Players!$F:$F,"")</f>
        <v>10142</v>
      </c>
      <c r="I370" s="44">
        <f t="shared" si="87"/>
        <v>0</v>
      </c>
      <c r="J370" s="43">
        <f t="shared" si="88"/>
        <v>0</v>
      </c>
      <c r="K370" s="44" cm="1">
        <f t="array" ref="K370">IF(D370="Gadget",_xlfn.IFS(I370&gt;=0.2,0.5,I370&gt;=0.1,0.35,I370&gt;=0.05,0.2,TRUE,0),IF(D370="Grenade",_xlfn.IFS(I370&gt;=0.2,1,I370&gt;=0.1,0.7,I370&gt;=0.05,0.4,TRUE,0),0))</f>
        <v>0</v>
      </c>
      <c r="L370" s="57">
        <f t="shared" si="85"/>
        <v>0</v>
      </c>
    </row>
    <row r="371" spans="1:12" x14ac:dyDescent="0.25">
      <c r="A371" s="42" t="str" cm="1">
        <f t="array" ref="A371">IFERROR(INDEX(_xlfn._xlws.FILTER(Class_Players!A:A,Class_Players!B:B="Engineer"),QUOTIENT(ROW()-ROW($A$2),12)+1),"")</f>
        <v>csyphi</v>
      </c>
      <c r="B371" s="42" t="str">
        <f>_xlfn.XLOOKUP(A371,Class_Players!$A:$A,Class_Players!$B:$B,"")</f>
        <v>Engineer</v>
      </c>
      <c r="C371" s="42" t="str" cm="1">
        <f t="array" ref="C371">INDEX(Lookups!$B$2:$B$13,MOD(ROW()-ROW($B$2),ROWS(Lookups!$B$2:$B$13))+1)</f>
        <v>M4A1 SLAM (Tripwire Sensor AV Mine)</v>
      </c>
      <c r="D371" s="38" t="str">
        <f>_xlfn.XLOOKUP(C371,Analysis_Gadgets!$C:$C,Analysis_Gadgets!$B:$B)</f>
        <v>Gadget</v>
      </c>
      <c r="E371" s="43">
        <v>0</v>
      </c>
      <c r="F371" s="43">
        <f>_xlfn.XLOOKUP(A371,Class_Players!A:A,Class_Players!G:G)</f>
        <v>223</v>
      </c>
      <c r="G371" s="43">
        <f t="shared" si="86"/>
        <v>0</v>
      </c>
      <c r="H371" s="43">
        <f>_xlfn.XLOOKUP(A371,Class_Players!$A:$A,Class_Players!$F:$F,"")</f>
        <v>10142</v>
      </c>
      <c r="I371" s="44">
        <f t="shared" si="87"/>
        <v>0</v>
      </c>
      <c r="J371" s="43">
        <f t="shared" si="88"/>
        <v>0</v>
      </c>
      <c r="K371" s="44" cm="1">
        <f t="array" ref="K371">IF(D371="Gadget",_xlfn.IFS(I371&gt;=0.2,0.5,I371&gt;=0.1,0.35,I371&gt;=0.05,0.2,TRUE,0),IF(D371="Grenade",_xlfn.IFS(I371&gt;=0.2,1,I371&gt;=0.1,0.7,I371&gt;=0.05,0.4,TRUE,0),0))</f>
        <v>0</v>
      </c>
      <c r="L371" s="57">
        <f t="shared" si="85"/>
        <v>0</v>
      </c>
    </row>
    <row r="372" spans="1:12" x14ac:dyDescent="0.25">
      <c r="A372" s="42" t="str" cm="1">
        <f t="array" ref="A372">IFERROR(INDEX(_xlfn._xlws.FILTER(Class_Players!A:A,Class_Players!B:B="Engineer"),QUOTIENT(ROW()-ROW($A$2),12)+1),"")</f>
        <v>csyphi</v>
      </c>
      <c r="B372" s="42" t="str">
        <f>_xlfn.XLOOKUP(A372,Class_Players!$A:$A,Class_Players!$B:$B,"")</f>
        <v>Engineer</v>
      </c>
      <c r="C372" s="42" t="str" cm="1">
        <f t="array" ref="C372">INDEX(Lookups!$B$2:$B$13,MOD(ROW()-ROW($B$2),ROWS(Lookups!$B$2:$B$13))+1)</f>
        <v>Mini Frag Grenade</v>
      </c>
      <c r="D372" s="38" t="str">
        <f>_xlfn.XLOOKUP(C372,Analysis_Gadgets!$C:$C,Analysis_Gadgets!$B:$B)</f>
        <v>Grenade</v>
      </c>
      <c r="E372" s="43">
        <v>0</v>
      </c>
      <c r="F372" s="43">
        <f>_xlfn.XLOOKUP(A372,Class_Players!A:A,Class_Players!G:G)</f>
        <v>223</v>
      </c>
      <c r="G372" s="43">
        <f t="shared" si="86"/>
        <v>0</v>
      </c>
      <c r="H372" s="43">
        <f>_xlfn.XLOOKUP(A372,Class_Players!$A:$A,Class_Players!$F:$F,"")</f>
        <v>10142</v>
      </c>
      <c r="I372" s="44">
        <f t="shared" si="87"/>
        <v>0</v>
      </c>
      <c r="J372" s="43">
        <f t="shared" si="88"/>
        <v>0</v>
      </c>
      <c r="K372" s="44" cm="1">
        <f t="array" ref="K372">IF(D372="Gadget",_xlfn.IFS(I372&gt;=0.2,0.5,I372&gt;=0.1,0.35,I372&gt;=0.05,0.2,TRUE,0),IF(D372="Grenade",_xlfn.IFS(I372&gt;=0.2,1,I372&gt;=0.1,0.7,I372&gt;=0.05,0.4,TRUE,0),0))</f>
        <v>0</v>
      </c>
      <c r="L372" s="57">
        <f t="shared" ref="L372:L373" si="89">IF($K372=0,0,$K372 / SUMIFS($K:$K,$A:$A,$A372,$D:$D,"Grenade"))</f>
        <v>0</v>
      </c>
    </row>
    <row r="373" spans="1:12" x14ac:dyDescent="0.25">
      <c r="A373" s="42" t="str" cm="1">
        <f t="array" ref="A373">IFERROR(INDEX(_xlfn._xlws.FILTER(Class_Players!A:A,Class_Players!B:B="Engineer"),QUOTIENT(ROW()-ROW($A$2),12)+1),"")</f>
        <v>csyphi</v>
      </c>
      <c r="B373" s="42" t="str">
        <f>_xlfn.XLOOKUP(A373,Class_Players!$A:$A,Class_Players!$B:$B,"")</f>
        <v>Engineer</v>
      </c>
      <c r="C373" s="42" t="str" cm="1">
        <f t="array" ref="C373">INDEX(Lookups!$B$2:$B$13,MOD(ROW()-ROW($B$2),ROWS(Lookups!$B$2:$B$13))+1)</f>
        <v>Anti-Vehicle Grenade</v>
      </c>
      <c r="D373" s="38" t="str">
        <f>_xlfn.XLOOKUP(C373,Analysis_Gadgets!$C:$C,Analysis_Gadgets!$B:$B)</f>
        <v>Grenade</v>
      </c>
      <c r="E373" s="43">
        <v>0</v>
      </c>
      <c r="F373" s="43">
        <f>_xlfn.XLOOKUP(A373,Class_Players!A:A,Class_Players!G:G)</f>
        <v>223</v>
      </c>
      <c r="G373" s="43">
        <f t="shared" si="86"/>
        <v>0</v>
      </c>
      <c r="H373" s="43">
        <f>_xlfn.XLOOKUP(A373,Class_Players!$A:$A,Class_Players!$F:$F,"")</f>
        <v>10142</v>
      </c>
      <c r="I373" s="44">
        <f t="shared" si="87"/>
        <v>0</v>
      </c>
      <c r="J373" s="43">
        <f t="shared" si="88"/>
        <v>0</v>
      </c>
      <c r="K373" s="44" cm="1">
        <f t="array" ref="K373">IF(D373="Gadget",_xlfn.IFS(I373&gt;=0.2,0.5,I373&gt;=0.1,0.35,I373&gt;=0.05,0.2,TRUE,0),IF(D373="Grenade",_xlfn.IFS(I373&gt;=0.2,1,I373&gt;=0.1,0.7,I373&gt;=0.05,0.4,TRUE,0),0))</f>
        <v>0</v>
      </c>
      <c r="L373" s="57">
        <f t="shared" si="89"/>
        <v>0</v>
      </c>
    </row>
    <row r="374" spans="1:12" x14ac:dyDescent="0.25">
      <c r="A374" s="42" t="str" cm="1">
        <f t="array" ref="A374">IFERROR(INDEX(_xlfn._xlws.FILTER(Class_Players!A:A,Class_Players!B:B="Engineer"),QUOTIENT(ROW()-ROW($A$2),12)+1),"")</f>
        <v>Rakit</v>
      </c>
      <c r="B374" s="42" t="str">
        <f>_xlfn.XLOOKUP(A374,Class_Players!$A:$A,Class_Players!$B:$B,"")</f>
        <v>Engineer</v>
      </c>
      <c r="C374" s="42" t="str" cm="1">
        <f t="array" ref="C374">INDEX(Lookups!$B$2:$B$13,MOD(ROW()-ROW($B$2),ROWS(Lookups!$B$2:$B$13))+1)</f>
        <v>MBT-LAW (Auto-Guided Launcher)</v>
      </c>
      <c r="D374" s="38" t="str">
        <f>_xlfn.XLOOKUP(C374,Analysis_Gadgets!$C:$C,Analysis_Gadgets!$B:$B)</f>
        <v>Gadget</v>
      </c>
      <c r="E374" s="43">
        <v>0</v>
      </c>
      <c r="F374" s="43">
        <f>_xlfn.XLOOKUP(A374,Class_Players!A:A,Class_Players!G:G)</f>
        <v>237</v>
      </c>
      <c r="G374" s="43">
        <f t="shared" si="86"/>
        <v>0</v>
      </c>
      <c r="H374" s="43">
        <f>_xlfn.XLOOKUP(A374,Class_Players!$A:$A,Class_Players!$F:$F,"")</f>
        <v>10084</v>
      </c>
      <c r="I374" s="44">
        <f t="shared" si="87"/>
        <v>0</v>
      </c>
      <c r="J374" s="43">
        <f t="shared" si="88"/>
        <v>0</v>
      </c>
      <c r="K374" s="44" cm="1">
        <f t="array" ref="K374">IF(D374="Gadget",_xlfn.IFS(I374&gt;=0.2,0.5,I374&gt;=0.1,0.35,I374&gt;=0.05,0.2,TRUE,0),IF(D374="Grenade",_xlfn.IFS(I374&gt;=0.2,1,I374&gt;=0.1,0.7,I374&gt;=0.05,0.4,TRUE,0),0))</f>
        <v>0</v>
      </c>
      <c r="L374" s="57">
        <f t="shared" ref="L374:L383" si="90">IF($K374=0,0,$K374 / SUMIFS($K:$K,$A:$A,$A374,$D:$D,"Gadget"))</f>
        <v>0</v>
      </c>
    </row>
    <row r="375" spans="1:12" x14ac:dyDescent="0.25">
      <c r="A375" s="42" t="str" cm="1">
        <f t="array" ref="A375">IFERROR(INDEX(_xlfn._xlws.FILTER(Class_Players!A:A,Class_Players!B:B="Engineer"),QUOTIENT(ROW()-ROW($A$2),12)+1),"")</f>
        <v>Rakit</v>
      </c>
      <c r="B375" s="42" t="str">
        <f>_xlfn.XLOOKUP(A375,Class_Players!$A:$A,Class_Players!$B:$B,"")</f>
        <v>Engineer</v>
      </c>
      <c r="C375" s="42" t="str" cm="1">
        <f t="array" ref="C375">INDEX(Lookups!$B$2:$B$13,MOD(ROW()-ROW($B$2),ROWS(Lookups!$B$2:$B$13))+1)</f>
        <v>SLM-93A (Air-Defense Launcher)</v>
      </c>
      <c r="D375" s="38" t="str">
        <f>_xlfn.XLOOKUP(C375,Analysis_Gadgets!$C:$C,Analysis_Gadgets!$B:$B)</f>
        <v>Gadget</v>
      </c>
      <c r="E375" s="43">
        <v>573</v>
      </c>
      <c r="F375" s="43">
        <f>_xlfn.XLOOKUP(A375,Class_Players!A:A,Class_Players!G:G)</f>
        <v>237</v>
      </c>
      <c r="G375" s="43">
        <f t="shared" si="86"/>
        <v>2.4177215189873418</v>
      </c>
      <c r="H375" s="43">
        <f>_xlfn.XLOOKUP(A375,Class_Players!$A:$A,Class_Players!$F:$F,"")</f>
        <v>10084</v>
      </c>
      <c r="I375" s="44">
        <f t="shared" si="87"/>
        <v>5.6822689408964698E-2</v>
      </c>
      <c r="J375" s="43">
        <f t="shared" si="88"/>
        <v>0</v>
      </c>
      <c r="K375" s="44" cm="1">
        <f t="array" ref="K375">IF(D375="Gadget",_xlfn.IFS(I375&gt;=0.2,0.5,I375&gt;=0.1,0.35,I375&gt;=0.05,0.2,TRUE,0),IF(D375="Grenade",_xlfn.IFS(I375&gt;=0.2,1,I375&gt;=0.1,0.7,I375&gt;=0.05,0.4,TRUE,0),0))</f>
        <v>0.2</v>
      </c>
      <c r="L375" s="57">
        <f t="shared" si="90"/>
        <v>0.19047619047619052</v>
      </c>
    </row>
    <row r="376" spans="1:12" x14ac:dyDescent="0.25">
      <c r="A376" s="42" t="str" cm="1">
        <f t="array" ref="A376">IFERROR(INDEX(_xlfn._xlws.FILTER(Class_Players!A:A,Class_Players!B:B="Engineer"),QUOTIENT(ROW()-ROW($A$2),12)+1),"")</f>
        <v>Rakit</v>
      </c>
      <c r="B376" s="42" t="str">
        <f>_xlfn.XLOOKUP(A376,Class_Players!$A:$A,Class_Players!$B:$B,"")</f>
        <v>Engineer</v>
      </c>
      <c r="C376" s="42" t="str" cm="1">
        <f t="array" ref="C376">INDEX(Lookups!$B$2:$B$13,MOD(ROW()-ROW($B$2),ROWS(Lookups!$B$2:$B$13))+1)</f>
        <v>RPG-7V2 (Unguided Rocket Launcher)</v>
      </c>
      <c r="D376" s="38" t="str">
        <f>_xlfn.XLOOKUP(C376,Analysis_Gadgets!$C:$C,Analysis_Gadgets!$B:$B)</f>
        <v>Gadget</v>
      </c>
      <c r="E376" s="43">
        <v>6112</v>
      </c>
      <c r="F376" s="43">
        <f>_xlfn.XLOOKUP(A376,Class_Players!A:A,Class_Players!G:G)</f>
        <v>237</v>
      </c>
      <c r="G376" s="43">
        <f t="shared" si="86"/>
        <v>25.78902953586498</v>
      </c>
      <c r="H376" s="43">
        <f>_xlfn.XLOOKUP(A376,Class_Players!$A:$A,Class_Players!$F:$F,"")</f>
        <v>10084</v>
      </c>
      <c r="I376" s="44">
        <f t="shared" si="87"/>
        <v>0.60610868702895682</v>
      </c>
      <c r="J376" s="43">
        <f t="shared" si="88"/>
        <v>1</v>
      </c>
      <c r="K376" s="44" cm="1">
        <f t="array" ref="K376">IF(D376="Gadget",_xlfn.IFS(I376&gt;=0.2,0.5,I376&gt;=0.1,0.35,I376&gt;=0.05,0.2,TRUE,0),IF(D376="Grenade",_xlfn.IFS(I376&gt;=0.2,1,I376&gt;=0.1,0.7,I376&gt;=0.05,0.4,TRUE,0),0))</f>
        <v>0.5</v>
      </c>
      <c r="L376" s="57">
        <f t="shared" si="90"/>
        <v>0.47619047619047628</v>
      </c>
    </row>
    <row r="377" spans="1:12" x14ac:dyDescent="0.25">
      <c r="A377" s="42" t="str" cm="1">
        <f t="array" ref="A377">IFERROR(INDEX(_xlfn._xlws.FILTER(Class_Players!A:A,Class_Players!B:B="Engineer"),QUOTIENT(ROW()-ROW($A$2),12)+1),"")</f>
        <v>Rakit</v>
      </c>
      <c r="B377" s="42" t="str">
        <f>_xlfn.XLOOKUP(A377,Class_Players!$A:$A,Class_Players!$B:$B,"")</f>
        <v>Engineer</v>
      </c>
      <c r="C377" s="42" t="str" cm="1">
        <f t="array" ref="C377">INDEX(Lookups!$B$2:$B$13,MOD(ROW()-ROW($B$2),ROWS(Lookups!$B$2:$B$13))+1)</f>
        <v>MAS 148 (Long-Range Launcher)</v>
      </c>
      <c r="D377" s="38" t="str">
        <f>_xlfn.XLOOKUP(C377,Analysis_Gadgets!$C:$C,Analysis_Gadgets!$B:$B)</f>
        <v>Gadget</v>
      </c>
      <c r="E377" s="43">
        <v>99</v>
      </c>
      <c r="F377" s="43">
        <f>_xlfn.XLOOKUP(A377,Class_Players!A:A,Class_Players!G:G)</f>
        <v>237</v>
      </c>
      <c r="G377" s="43">
        <f t="shared" si="86"/>
        <v>0.41772151898734178</v>
      </c>
      <c r="H377" s="43">
        <f>_xlfn.XLOOKUP(A377,Class_Players!$A:$A,Class_Players!$F:$F,"")</f>
        <v>10084</v>
      </c>
      <c r="I377" s="44">
        <f t="shared" si="87"/>
        <v>9.8175327251090842E-3</v>
      </c>
      <c r="J377" s="43">
        <f t="shared" si="88"/>
        <v>0</v>
      </c>
      <c r="K377" s="44" cm="1">
        <f t="array" ref="K377">IF(D377="Gadget",_xlfn.IFS(I377&gt;=0.2,0.5,I377&gt;=0.1,0.35,I377&gt;=0.05,0.2,TRUE,0),IF(D377="Grenade",_xlfn.IFS(I377&gt;=0.2,1,I377&gt;=0.1,0.7,I377&gt;=0.05,0.4,TRUE,0),0))</f>
        <v>0</v>
      </c>
      <c r="L377" s="57">
        <f t="shared" si="90"/>
        <v>0</v>
      </c>
    </row>
    <row r="378" spans="1:12" x14ac:dyDescent="0.25">
      <c r="A378" s="42" t="str" cm="1">
        <f t="array" ref="A378">IFERROR(INDEX(_xlfn._xlws.FILTER(Class_Players!A:A,Class_Players!B:B="Engineer"),QUOTIENT(ROW()-ROW($A$2),12)+1),"")</f>
        <v>Rakit</v>
      </c>
      <c r="B378" s="42" t="str">
        <f>_xlfn.XLOOKUP(A378,Class_Players!$A:$A,Class_Players!$B:$B,"")</f>
        <v>Engineer</v>
      </c>
      <c r="C378" s="42" t="str" cm="1">
        <f t="array" ref="C378">INDEX(Lookups!$B$2:$B$13,MOD(ROW()-ROW($B$2),ROWS(Lookups!$B$2:$B$13))+1)</f>
        <v>M136 AT (Aim-Guided Launcher)</v>
      </c>
      <c r="D378" s="38" t="str">
        <f>_xlfn.XLOOKUP(C378,Analysis_Gadgets!$C:$C,Analysis_Gadgets!$B:$B)</f>
        <v>Gadget</v>
      </c>
      <c r="E378" s="43">
        <v>4</v>
      </c>
      <c r="F378" s="43">
        <f>_xlfn.XLOOKUP(A378,Class_Players!A:A,Class_Players!G:G)</f>
        <v>237</v>
      </c>
      <c r="G378" s="43">
        <f t="shared" si="86"/>
        <v>1.6877637130801686E-2</v>
      </c>
      <c r="H378" s="43">
        <f>_xlfn.XLOOKUP(A378,Class_Players!$A:$A,Class_Players!$F:$F,"")</f>
        <v>10084</v>
      </c>
      <c r="I378" s="44">
        <f t="shared" si="87"/>
        <v>3.9666798889329631E-4</v>
      </c>
      <c r="J378" s="43">
        <f t="shared" si="88"/>
        <v>0</v>
      </c>
      <c r="K378" s="44" cm="1">
        <f t="array" ref="K378">IF(D378="Gadget",_xlfn.IFS(I378&gt;=0.2,0.5,I378&gt;=0.1,0.35,I378&gt;=0.05,0.2,TRUE,0),IF(D378="Grenade",_xlfn.IFS(I378&gt;=0.2,1,I378&gt;=0.1,0.7,I378&gt;=0.05,0.4,TRUE,0),0))</f>
        <v>0</v>
      </c>
      <c r="L378" s="57">
        <f t="shared" si="90"/>
        <v>0</v>
      </c>
    </row>
    <row r="379" spans="1:12" x14ac:dyDescent="0.25">
      <c r="A379" s="42" t="str" cm="1">
        <f t="array" ref="A379">IFERROR(INDEX(_xlfn._xlws.FILTER(Class_Players!A:A,Class_Players!B:B="Engineer"),QUOTIENT(ROW()-ROW($A$2),12)+1),"")</f>
        <v>Rakit</v>
      </c>
      <c r="B379" s="42" t="str">
        <f>_xlfn.XLOOKUP(A379,Class_Players!$A:$A,Class_Players!$B:$B,"")</f>
        <v>Engineer</v>
      </c>
      <c r="C379" s="42" t="str" cm="1">
        <f t="array" ref="C379">INDEX(Lookups!$B$2:$B$13,MOD(ROW()-ROW($B$2),ROWS(Lookups!$B$2:$B$13))+1)</f>
        <v>Supply Crate</v>
      </c>
      <c r="D379" s="38" t="str">
        <f>_xlfn.XLOOKUP(C379,Analysis_Gadgets!$C:$C,Analysis_Gadgets!$B:$B)</f>
        <v>Gadget</v>
      </c>
      <c r="E379" s="43">
        <v>30</v>
      </c>
      <c r="F379" s="43">
        <f>_xlfn.XLOOKUP(A379,Class_Players!A:A,Class_Players!G:G)</f>
        <v>237</v>
      </c>
      <c r="G379" s="43">
        <f t="shared" si="86"/>
        <v>0.12658227848101267</v>
      </c>
      <c r="H379" s="43">
        <f>_xlfn.XLOOKUP(A379,Class_Players!$A:$A,Class_Players!$F:$F,"")</f>
        <v>10084</v>
      </c>
      <c r="I379" s="44">
        <f t="shared" si="87"/>
        <v>2.9750099166997225E-3</v>
      </c>
      <c r="J379" s="43">
        <f t="shared" si="88"/>
        <v>0</v>
      </c>
      <c r="K379" s="44" cm="1">
        <f t="array" ref="K379">IF(D379="Gadget",_xlfn.IFS(I379&gt;=0.2,0.5,I379&gt;=0.1,0.35,I379&gt;=0.05,0.2,TRUE,0),IF(D379="Grenade",_xlfn.IFS(I379&gt;=0.2,1,I379&gt;=0.1,0.7,I379&gt;=0.05,0.4,TRUE,0),0))</f>
        <v>0</v>
      </c>
      <c r="L379" s="57">
        <f t="shared" si="90"/>
        <v>0</v>
      </c>
    </row>
    <row r="380" spans="1:12" x14ac:dyDescent="0.25">
      <c r="A380" s="42" t="str" cm="1">
        <f t="array" ref="A380">IFERROR(INDEX(_xlfn._xlws.FILTER(Class_Players!A:A,Class_Players!B:B="Engineer"),QUOTIENT(ROW()-ROW($A$2),12)+1),"")</f>
        <v>Rakit</v>
      </c>
      <c r="B380" s="42" t="str">
        <f>_xlfn.XLOOKUP(A380,Class_Players!$A:$A,Class_Players!$B:$B,"")</f>
        <v>Engineer</v>
      </c>
      <c r="C380" s="42" t="str" cm="1">
        <f t="array" ref="C380">INDEX(Lookups!$B$2:$B$13,MOD(ROW()-ROW($B$2),ROWS(Lookups!$B$2:$B$13))+1)</f>
        <v>M15 (Anti-Vehicle Mine)</v>
      </c>
      <c r="D380" s="38" t="str">
        <f>_xlfn.XLOOKUP(C380,Analysis_Gadgets!$C:$C,Analysis_Gadgets!$B:$B)</f>
        <v>Gadget</v>
      </c>
      <c r="E380" s="43">
        <v>2016</v>
      </c>
      <c r="F380" s="43">
        <f>_xlfn.XLOOKUP(A380,Class_Players!A:A,Class_Players!G:G)</f>
        <v>237</v>
      </c>
      <c r="G380" s="43">
        <f t="shared" si="86"/>
        <v>8.5063291139240498</v>
      </c>
      <c r="H380" s="43">
        <f>_xlfn.XLOOKUP(A380,Class_Players!$A:$A,Class_Players!$F:$F,"")</f>
        <v>10084</v>
      </c>
      <c r="I380" s="44">
        <f t="shared" si="87"/>
        <v>0.19992066640222134</v>
      </c>
      <c r="J380" s="43">
        <f t="shared" si="88"/>
        <v>1</v>
      </c>
      <c r="K380" s="44" cm="1">
        <f t="array" ref="K380">IF(D380="Gadget",_xlfn.IFS(I380&gt;=0.2,0.5,I380&gt;=0.1,0.35,I380&gt;=0.05,0.2,TRUE,0),IF(D380="Grenade",_xlfn.IFS(I380&gt;=0.2,1,I380&gt;=0.1,0.7,I380&gt;=0.05,0.4,TRUE,0),0))</f>
        <v>0.35</v>
      </c>
      <c r="L380" s="57">
        <f t="shared" si="90"/>
        <v>0.33333333333333337</v>
      </c>
    </row>
    <row r="381" spans="1:12" x14ac:dyDescent="0.25">
      <c r="A381" s="42" t="str" cm="1">
        <f t="array" ref="A381">IFERROR(INDEX(_xlfn._xlws.FILTER(Class_Players!A:A,Class_Players!B:B="Engineer"),QUOTIENT(ROW()-ROW($A$2),12)+1),"")</f>
        <v>Rakit</v>
      </c>
      <c r="B381" s="42" t="str">
        <f>_xlfn.XLOOKUP(A381,Class_Players!$A:$A,Class_Players!$B:$B,"")</f>
        <v>Engineer</v>
      </c>
      <c r="C381" s="42" t="str" cm="1">
        <f t="array" ref="C381">INDEX(Lookups!$B$2:$B$13,MOD(ROW()-ROW($B$2),ROWS(Lookups!$B$2:$B$13))+1)</f>
        <v>PTKM-1R (Acoustic Sensor AV Mine)</v>
      </c>
      <c r="D381" s="38" t="str">
        <f>_xlfn.XLOOKUP(C381,Analysis_Gadgets!$C:$C,Analysis_Gadgets!$B:$B)</f>
        <v>Gadget</v>
      </c>
      <c r="E381" s="43">
        <v>58</v>
      </c>
      <c r="F381" s="43">
        <f>_xlfn.XLOOKUP(A381,Class_Players!A:A,Class_Players!G:G)</f>
        <v>237</v>
      </c>
      <c r="G381" s="43">
        <f t="shared" si="86"/>
        <v>0.24472573839662448</v>
      </c>
      <c r="H381" s="43">
        <f>_xlfn.XLOOKUP(A381,Class_Players!$A:$A,Class_Players!$F:$F,"")</f>
        <v>10084</v>
      </c>
      <c r="I381" s="44">
        <f t="shared" si="87"/>
        <v>5.7516858389527964E-3</v>
      </c>
      <c r="J381" s="43">
        <f t="shared" si="88"/>
        <v>0</v>
      </c>
      <c r="K381" s="44" cm="1">
        <f t="array" ref="K381">IF(D381="Gadget",_xlfn.IFS(I381&gt;=0.2,0.5,I381&gt;=0.1,0.35,I381&gt;=0.05,0.2,TRUE,0),IF(D381="Grenade",_xlfn.IFS(I381&gt;=0.2,1,I381&gt;=0.1,0.7,I381&gt;=0.05,0.4,TRUE,0),0))</f>
        <v>0</v>
      </c>
      <c r="L381" s="57">
        <f t="shared" si="90"/>
        <v>0</v>
      </c>
    </row>
    <row r="382" spans="1:12" x14ac:dyDescent="0.25">
      <c r="A382" s="42" t="str" cm="1">
        <f t="array" ref="A382">IFERROR(INDEX(_xlfn._xlws.FILTER(Class_Players!A:A,Class_Players!B:B="Engineer"),QUOTIENT(ROW()-ROW($A$2),12)+1),"")</f>
        <v>Rakit</v>
      </c>
      <c r="B382" s="42" t="str">
        <f>_xlfn.XLOOKUP(A382,Class_Players!$A:$A,Class_Players!$B:$B,"")</f>
        <v>Engineer</v>
      </c>
      <c r="C382" s="42" t="str" cm="1">
        <f t="array" ref="C382">INDEX(Lookups!$B$2:$B$13,MOD(ROW()-ROW($B$2),ROWS(Lookups!$B$2:$B$13))+1)</f>
        <v>EOD Bot</v>
      </c>
      <c r="D382" s="38" t="str">
        <f>_xlfn.XLOOKUP(C382,Analysis_Gadgets!$C:$C,Analysis_Gadgets!$B:$B)</f>
        <v>Gadget</v>
      </c>
      <c r="E382" s="43">
        <v>10</v>
      </c>
      <c r="F382" s="43">
        <f>_xlfn.XLOOKUP(A382,Class_Players!A:A,Class_Players!G:G)</f>
        <v>237</v>
      </c>
      <c r="G382" s="43">
        <f t="shared" si="86"/>
        <v>4.2194092827004218E-2</v>
      </c>
      <c r="H382" s="43">
        <f>_xlfn.XLOOKUP(A382,Class_Players!$A:$A,Class_Players!$F:$F,"")</f>
        <v>10084</v>
      </c>
      <c r="I382" s="44">
        <f t="shared" si="87"/>
        <v>9.9166997223324067E-4</v>
      </c>
      <c r="J382" s="43">
        <f t="shared" si="88"/>
        <v>0</v>
      </c>
      <c r="K382" s="44" cm="1">
        <f t="array" ref="K382">IF(D382="Gadget",_xlfn.IFS(I382&gt;=0.2,0.5,I382&gt;=0.1,0.35,I382&gt;=0.05,0.2,TRUE,0),IF(D382="Grenade",_xlfn.IFS(I382&gt;=0.2,1,I382&gt;=0.1,0.7,I382&gt;=0.05,0.4,TRUE,0),0))</f>
        <v>0</v>
      </c>
      <c r="L382" s="57">
        <f t="shared" si="90"/>
        <v>0</v>
      </c>
    </row>
    <row r="383" spans="1:12" x14ac:dyDescent="0.25">
      <c r="A383" s="42" t="str" cm="1">
        <f t="array" ref="A383">IFERROR(INDEX(_xlfn._xlws.FILTER(Class_Players!A:A,Class_Players!B:B="Engineer"),QUOTIENT(ROW()-ROW($A$2),12)+1),"")</f>
        <v>Rakit</v>
      </c>
      <c r="B383" s="42" t="str">
        <f>_xlfn.XLOOKUP(A383,Class_Players!$A:$A,Class_Players!$B:$B,"")</f>
        <v>Engineer</v>
      </c>
      <c r="C383" s="42" t="str" cm="1">
        <f t="array" ref="C383">INDEX(Lookups!$B$2:$B$13,MOD(ROW()-ROW($B$2),ROWS(Lookups!$B$2:$B$13))+1)</f>
        <v>M4A1 SLAM (Tripwire Sensor AV Mine)</v>
      </c>
      <c r="D383" s="38" t="str">
        <f>_xlfn.XLOOKUP(C383,Analysis_Gadgets!$C:$C,Analysis_Gadgets!$B:$B)</f>
        <v>Gadget</v>
      </c>
      <c r="E383" s="43">
        <v>10</v>
      </c>
      <c r="F383" s="43">
        <f>_xlfn.XLOOKUP(A383,Class_Players!A:A,Class_Players!G:G)</f>
        <v>237</v>
      </c>
      <c r="G383" s="43">
        <f t="shared" si="86"/>
        <v>4.2194092827004218E-2</v>
      </c>
      <c r="H383" s="43">
        <f>_xlfn.XLOOKUP(A383,Class_Players!$A:$A,Class_Players!$F:$F,"")</f>
        <v>10084</v>
      </c>
      <c r="I383" s="44">
        <f t="shared" si="87"/>
        <v>9.9166997223324067E-4</v>
      </c>
      <c r="J383" s="43">
        <f t="shared" si="88"/>
        <v>0</v>
      </c>
      <c r="K383" s="44" cm="1">
        <f t="array" ref="K383">IF(D383="Gadget",_xlfn.IFS(I383&gt;=0.2,0.5,I383&gt;=0.1,0.35,I383&gt;=0.05,0.2,TRUE,0),IF(D383="Grenade",_xlfn.IFS(I383&gt;=0.2,1,I383&gt;=0.1,0.7,I383&gt;=0.05,0.4,TRUE,0),0))</f>
        <v>0</v>
      </c>
      <c r="L383" s="57">
        <f t="shared" si="90"/>
        <v>0</v>
      </c>
    </row>
    <row r="384" spans="1:12" x14ac:dyDescent="0.25">
      <c r="A384" s="42" t="str" cm="1">
        <f t="array" ref="A384">IFERROR(INDEX(_xlfn._xlws.FILTER(Class_Players!A:A,Class_Players!B:B="Engineer"),QUOTIENT(ROW()-ROW($A$2),12)+1),"")</f>
        <v>Rakit</v>
      </c>
      <c r="B384" s="42" t="str">
        <f>_xlfn.XLOOKUP(A384,Class_Players!$A:$A,Class_Players!$B:$B,"")</f>
        <v>Engineer</v>
      </c>
      <c r="C384" s="42" t="str" cm="1">
        <f t="array" ref="C384">INDEX(Lookups!$B$2:$B$13,MOD(ROW()-ROW($B$2),ROWS(Lookups!$B$2:$B$13))+1)</f>
        <v>Mini Frag Grenade</v>
      </c>
      <c r="D384" s="38" t="str">
        <f>_xlfn.XLOOKUP(C384,Analysis_Gadgets!$C:$C,Analysis_Gadgets!$B:$B)</f>
        <v>Grenade</v>
      </c>
      <c r="E384" s="43">
        <v>34</v>
      </c>
      <c r="F384" s="43">
        <f>_xlfn.XLOOKUP(A384,Class_Players!A:A,Class_Players!G:G)</f>
        <v>237</v>
      </c>
      <c r="G384" s="43">
        <f t="shared" si="86"/>
        <v>0.14345991561181434</v>
      </c>
      <c r="H384" s="43">
        <f>_xlfn.XLOOKUP(A384,Class_Players!$A:$A,Class_Players!$F:$F,"")</f>
        <v>10084</v>
      </c>
      <c r="I384" s="44">
        <f t="shared" si="87"/>
        <v>3.3716779055930186E-3</v>
      </c>
      <c r="J384" s="43">
        <f t="shared" si="88"/>
        <v>0</v>
      </c>
      <c r="K384" s="44" cm="1">
        <f t="array" ref="K384">IF(D384="Gadget",_xlfn.IFS(I384&gt;=0.2,0.5,I384&gt;=0.1,0.35,I384&gt;=0.05,0.2,TRUE,0),IF(D384="Grenade",_xlfn.IFS(I384&gt;=0.2,1,I384&gt;=0.1,0.7,I384&gt;=0.05,0.4,TRUE,0),0))</f>
        <v>0</v>
      </c>
      <c r="L384" s="57">
        <f t="shared" ref="L384:L385" si="91">IF($K384=0,0,$K384 / SUMIFS($K:$K,$A:$A,$A384,$D:$D,"Grenade"))</f>
        <v>0</v>
      </c>
    </row>
    <row r="385" spans="1:12" x14ac:dyDescent="0.25">
      <c r="A385" s="42" t="str" cm="1">
        <f t="array" ref="A385">IFERROR(INDEX(_xlfn._xlws.FILTER(Class_Players!A:A,Class_Players!B:B="Engineer"),QUOTIENT(ROW()-ROW($A$2),12)+1),"")</f>
        <v>Rakit</v>
      </c>
      <c r="B385" s="42" t="str">
        <f>_xlfn.XLOOKUP(A385,Class_Players!$A:$A,Class_Players!$B:$B,"")</f>
        <v>Engineer</v>
      </c>
      <c r="C385" s="42" t="str" cm="1">
        <f t="array" ref="C385">INDEX(Lookups!$B$2:$B$13,MOD(ROW()-ROW($B$2),ROWS(Lookups!$B$2:$B$13))+1)</f>
        <v>Anti-Vehicle Grenade</v>
      </c>
      <c r="D385" s="38" t="str">
        <f>_xlfn.XLOOKUP(C385,Analysis_Gadgets!$C:$C,Analysis_Gadgets!$B:$B)</f>
        <v>Grenade</v>
      </c>
      <c r="E385" s="43">
        <v>0</v>
      </c>
      <c r="F385" s="43">
        <f>_xlfn.XLOOKUP(A385,Class_Players!A:A,Class_Players!G:G)</f>
        <v>237</v>
      </c>
      <c r="G385" s="43">
        <f t="shared" si="86"/>
        <v>0</v>
      </c>
      <c r="H385" s="43">
        <f>_xlfn.XLOOKUP(A385,Class_Players!$A:$A,Class_Players!$F:$F,"")</f>
        <v>10084</v>
      </c>
      <c r="I385" s="44">
        <f t="shared" si="87"/>
        <v>0</v>
      </c>
      <c r="J385" s="43">
        <f t="shared" si="88"/>
        <v>0</v>
      </c>
      <c r="K385" s="44" cm="1">
        <f t="array" ref="K385">IF(D385="Gadget",_xlfn.IFS(I385&gt;=0.2,0.5,I385&gt;=0.1,0.35,I385&gt;=0.05,0.2,TRUE,0),IF(D385="Grenade",_xlfn.IFS(I385&gt;=0.2,1,I385&gt;=0.1,0.7,I385&gt;=0.05,0.4,TRUE,0),0))</f>
        <v>0</v>
      </c>
      <c r="L385" s="57">
        <f t="shared" si="91"/>
        <v>0</v>
      </c>
    </row>
    <row r="386" spans="1:12" x14ac:dyDescent="0.25">
      <c r="A386" s="42" t="str" cm="1">
        <f t="array" ref="A386">IFERROR(INDEX(_xlfn._xlws.FILTER(Class_Players!A:A,Class_Players!B:B="Engineer"),QUOTIENT(ROW()-ROW($A$2),12)+1),"")</f>
        <v>53Zents</v>
      </c>
      <c r="B386" s="42" t="str">
        <f>_xlfn.XLOOKUP(A386,Class_Players!$A:$A,Class_Players!$B:$B,"")</f>
        <v>Engineer</v>
      </c>
      <c r="C386" s="42" t="str" cm="1">
        <f t="array" ref="C386">INDEX(Lookups!$B$2:$B$13,MOD(ROW()-ROW($B$2),ROWS(Lookups!$B$2:$B$13))+1)</f>
        <v>MBT-LAW (Auto-Guided Launcher)</v>
      </c>
      <c r="D386" s="38" t="str">
        <f>_xlfn.XLOOKUP(C386,Analysis_Gadgets!$C:$C,Analysis_Gadgets!$B:$B)</f>
        <v>Gadget</v>
      </c>
      <c r="E386" s="43">
        <v>0</v>
      </c>
      <c r="F386" s="43">
        <f>_xlfn.XLOOKUP(A386,Class_Players!A:A,Class_Players!G:G)</f>
        <v>177</v>
      </c>
      <c r="G386" s="43">
        <f t="shared" si="86"/>
        <v>0</v>
      </c>
      <c r="H386" s="43">
        <f>_xlfn.XLOOKUP(A386,Class_Players!$A:$A,Class_Players!$F:$F,"")</f>
        <v>11238</v>
      </c>
      <c r="I386" s="44">
        <f t="shared" si="87"/>
        <v>0</v>
      </c>
      <c r="J386" s="43">
        <f t="shared" si="88"/>
        <v>0</v>
      </c>
      <c r="K386" s="44" cm="1">
        <f t="array" ref="K386">IF(D386="Gadget",_xlfn.IFS(I386&gt;=0.2,0.5,I386&gt;=0.1,0.35,I386&gt;=0.05,0.2,TRUE,0),IF(D386="Grenade",_xlfn.IFS(I386&gt;=0.2,1,I386&gt;=0.1,0.7,I386&gt;=0.05,0.4,TRUE,0),0))</f>
        <v>0</v>
      </c>
      <c r="L386" s="57">
        <f t="shared" ref="L386:L395" si="92">IF($K386=0,0,$K386 / SUMIFS($K:$K,$A:$A,$A386,$D:$D,"Gadget"))</f>
        <v>0</v>
      </c>
    </row>
    <row r="387" spans="1:12" x14ac:dyDescent="0.25">
      <c r="A387" s="42" t="str" cm="1">
        <f t="array" ref="A387">IFERROR(INDEX(_xlfn._xlws.FILTER(Class_Players!A:A,Class_Players!B:B="Engineer"),QUOTIENT(ROW()-ROW($A$2),12)+1),"")</f>
        <v>53Zents</v>
      </c>
      <c r="B387" s="42" t="str">
        <f>_xlfn.XLOOKUP(A387,Class_Players!$A:$A,Class_Players!$B:$B,"")</f>
        <v>Engineer</v>
      </c>
      <c r="C387" s="42" t="str" cm="1">
        <f t="array" ref="C387">INDEX(Lookups!$B$2:$B$13,MOD(ROW()-ROW($B$2),ROWS(Lookups!$B$2:$B$13))+1)</f>
        <v>SLM-93A (Air-Defense Launcher)</v>
      </c>
      <c r="D387" s="38" t="str">
        <f>_xlfn.XLOOKUP(C387,Analysis_Gadgets!$C:$C,Analysis_Gadgets!$B:$B)</f>
        <v>Gadget</v>
      </c>
      <c r="E387" s="43">
        <v>94</v>
      </c>
      <c r="F387" s="43">
        <f>_xlfn.XLOOKUP(A387,Class_Players!A:A,Class_Players!G:G)</f>
        <v>177</v>
      </c>
      <c r="G387" s="43">
        <f t="shared" si="86"/>
        <v>0.53107344632768361</v>
      </c>
      <c r="H387" s="43">
        <f>_xlfn.XLOOKUP(A387,Class_Players!$A:$A,Class_Players!$F:$F,"")</f>
        <v>11238</v>
      </c>
      <c r="I387" s="44">
        <f t="shared" si="87"/>
        <v>8.3644776650649583E-3</v>
      </c>
      <c r="J387" s="43">
        <f t="shared" si="88"/>
        <v>0</v>
      </c>
      <c r="K387" s="44" cm="1">
        <f t="array" ref="K387">IF(D387="Gadget",_xlfn.IFS(I387&gt;=0.2,0.5,I387&gt;=0.1,0.35,I387&gt;=0.05,0.2,TRUE,0),IF(D387="Grenade",_xlfn.IFS(I387&gt;=0.2,1,I387&gt;=0.1,0.7,I387&gt;=0.05,0.4,TRUE,0),0))</f>
        <v>0</v>
      </c>
      <c r="L387" s="57">
        <f t="shared" si="92"/>
        <v>0</v>
      </c>
    </row>
    <row r="388" spans="1:12" x14ac:dyDescent="0.25">
      <c r="A388" s="42" t="str" cm="1">
        <f t="array" ref="A388">IFERROR(INDEX(_xlfn._xlws.FILTER(Class_Players!A:A,Class_Players!B:B="Engineer"),QUOTIENT(ROW()-ROW($A$2),12)+1),"")</f>
        <v>53Zents</v>
      </c>
      <c r="B388" s="42" t="str">
        <f>_xlfn.XLOOKUP(A388,Class_Players!$A:$A,Class_Players!$B:$B,"")</f>
        <v>Engineer</v>
      </c>
      <c r="C388" s="42" t="str" cm="1">
        <f t="array" ref="C388">INDEX(Lookups!$B$2:$B$13,MOD(ROW()-ROW($B$2),ROWS(Lookups!$B$2:$B$13))+1)</f>
        <v>RPG-7V2 (Unguided Rocket Launcher)</v>
      </c>
      <c r="D388" s="38" t="str">
        <f>_xlfn.XLOOKUP(C388,Analysis_Gadgets!$C:$C,Analysis_Gadgets!$B:$B)</f>
        <v>Gadget</v>
      </c>
      <c r="E388" s="43">
        <v>6057</v>
      </c>
      <c r="F388" s="43">
        <f>_xlfn.XLOOKUP(A388,Class_Players!A:A,Class_Players!G:G)</f>
        <v>177</v>
      </c>
      <c r="G388" s="43">
        <f t="shared" si="86"/>
        <v>34.220338983050844</v>
      </c>
      <c r="H388" s="43">
        <f>_xlfn.XLOOKUP(A388,Class_Players!$A:$A,Class_Players!$F:$F,"")</f>
        <v>11238</v>
      </c>
      <c r="I388" s="44">
        <f t="shared" si="87"/>
        <v>0.53897490656700475</v>
      </c>
      <c r="J388" s="43">
        <f t="shared" si="88"/>
        <v>1</v>
      </c>
      <c r="K388" s="44" cm="1">
        <f t="array" ref="K388">IF(D388="Gadget",_xlfn.IFS(I388&gt;=0.2,0.5,I388&gt;=0.1,0.35,I388&gt;=0.05,0.2,TRUE,0),IF(D388="Grenade",_xlfn.IFS(I388&gt;=0.2,1,I388&gt;=0.1,0.7,I388&gt;=0.05,0.4,TRUE,0),0))</f>
        <v>0.5</v>
      </c>
      <c r="L388" s="57">
        <f t="shared" si="92"/>
        <v>0.47619047619047628</v>
      </c>
    </row>
    <row r="389" spans="1:12" x14ac:dyDescent="0.25">
      <c r="A389" s="42" t="str" cm="1">
        <f t="array" ref="A389">IFERROR(INDEX(_xlfn._xlws.FILTER(Class_Players!A:A,Class_Players!B:B="Engineer"),QUOTIENT(ROW()-ROW($A$2),12)+1),"")</f>
        <v>53Zents</v>
      </c>
      <c r="B389" s="42" t="str">
        <f>_xlfn.XLOOKUP(A389,Class_Players!$A:$A,Class_Players!$B:$B,"")</f>
        <v>Engineer</v>
      </c>
      <c r="C389" s="42" t="str" cm="1">
        <f t="array" ref="C389">INDEX(Lookups!$B$2:$B$13,MOD(ROW()-ROW($B$2),ROWS(Lookups!$B$2:$B$13))+1)</f>
        <v>MAS 148 (Long-Range Launcher)</v>
      </c>
      <c r="D389" s="38" t="str">
        <f>_xlfn.XLOOKUP(C389,Analysis_Gadgets!$C:$C,Analysis_Gadgets!$B:$B)</f>
        <v>Gadget</v>
      </c>
      <c r="E389" s="43">
        <v>18</v>
      </c>
      <c r="F389" s="43">
        <f>_xlfn.XLOOKUP(A389,Class_Players!A:A,Class_Players!G:G)</f>
        <v>177</v>
      </c>
      <c r="G389" s="43">
        <f t="shared" si="86"/>
        <v>0.10169491525423729</v>
      </c>
      <c r="H389" s="43">
        <f>_xlfn.XLOOKUP(A389,Class_Players!$A:$A,Class_Players!$F:$F,"")</f>
        <v>11238</v>
      </c>
      <c r="I389" s="44">
        <f t="shared" si="87"/>
        <v>1.6017084890549919E-3</v>
      </c>
      <c r="J389" s="43">
        <f t="shared" si="88"/>
        <v>0</v>
      </c>
      <c r="K389" s="44" cm="1">
        <f t="array" ref="K389">IF(D389="Gadget",_xlfn.IFS(I389&gt;=0.2,0.5,I389&gt;=0.1,0.35,I389&gt;=0.05,0.2,TRUE,0),IF(D389="Grenade",_xlfn.IFS(I389&gt;=0.2,1,I389&gt;=0.1,0.7,I389&gt;=0.05,0.4,TRUE,0),0))</f>
        <v>0</v>
      </c>
      <c r="L389" s="57">
        <f t="shared" si="92"/>
        <v>0</v>
      </c>
    </row>
    <row r="390" spans="1:12" x14ac:dyDescent="0.25">
      <c r="A390" s="42" t="str" cm="1">
        <f t="array" ref="A390">IFERROR(INDEX(_xlfn._xlws.FILTER(Class_Players!A:A,Class_Players!B:B="Engineer"),QUOTIENT(ROW()-ROW($A$2),12)+1),"")</f>
        <v>53Zents</v>
      </c>
      <c r="B390" s="42" t="str">
        <f>_xlfn.XLOOKUP(A390,Class_Players!$A:$A,Class_Players!$B:$B,"")</f>
        <v>Engineer</v>
      </c>
      <c r="C390" s="42" t="str" cm="1">
        <f t="array" ref="C390">INDEX(Lookups!$B$2:$B$13,MOD(ROW()-ROW($B$2),ROWS(Lookups!$B$2:$B$13))+1)</f>
        <v>M136 AT (Aim-Guided Launcher)</v>
      </c>
      <c r="D390" s="38" t="str">
        <f>_xlfn.XLOOKUP(C390,Analysis_Gadgets!$C:$C,Analysis_Gadgets!$B:$B)</f>
        <v>Gadget</v>
      </c>
      <c r="E390" s="43">
        <v>0</v>
      </c>
      <c r="F390" s="43">
        <f>_xlfn.XLOOKUP(A390,Class_Players!A:A,Class_Players!G:G)</f>
        <v>177</v>
      </c>
      <c r="G390" s="43">
        <f t="shared" ref="G390:G453" si="93">IF(F390=0,"",E390/(F390))</f>
        <v>0</v>
      </c>
      <c r="H390" s="43">
        <f>_xlfn.XLOOKUP(A390,Class_Players!$A:$A,Class_Players!$F:$F,"")</f>
        <v>11238</v>
      </c>
      <c r="I390" s="44">
        <f t="shared" ref="I390:I453" si="94">IF(H390=0,"",E390/H390)</f>
        <v>0</v>
      </c>
      <c r="J390" s="43">
        <f t="shared" ref="J390:J453" si="95">IF(I390&gt;=0.1,1,0)</f>
        <v>0</v>
      </c>
      <c r="K390" s="44" cm="1">
        <f t="array" ref="K390">IF(D390="Gadget",_xlfn.IFS(I390&gt;=0.2,0.5,I390&gt;=0.1,0.35,I390&gt;=0.05,0.2,TRUE,0),IF(D390="Grenade",_xlfn.IFS(I390&gt;=0.2,1,I390&gt;=0.1,0.7,I390&gt;=0.05,0.4,TRUE,0),0))</f>
        <v>0</v>
      </c>
      <c r="L390" s="57">
        <f t="shared" si="92"/>
        <v>0</v>
      </c>
    </row>
    <row r="391" spans="1:12" x14ac:dyDescent="0.25">
      <c r="A391" s="42" t="str" cm="1">
        <f t="array" ref="A391">IFERROR(INDEX(_xlfn._xlws.FILTER(Class_Players!A:A,Class_Players!B:B="Engineer"),QUOTIENT(ROW()-ROW($A$2),12)+1),"")</f>
        <v>53Zents</v>
      </c>
      <c r="B391" s="42" t="str">
        <f>_xlfn.XLOOKUP(A391,Class_Players!$A:$A,Class_Players!$B:$B,"")</f>
        <v>Engineer</v>
      </c>
      <c r="C391" s="42" t="str" cm="1">
        <f t="array" ref="C391">INDEX(Lookups!$B$2:$B$13,MOD(ROW()-ROW($B$2),ROWS(Lookups!$B$2:$B$13))+1)</f>
        <v>Supply Crate</v>
      </c>
      <c r="D391" s="38" t="str">
        <f>_xlfn.XLOOKUP(C391,Analysis_Gadgets!$C:$C,Analysis_Gadgets!$B:$B)</f>
        <v>Gadget</v>
      </c>
      <c r="E391" s="43">
        <v>7</v>
      </c>
      <c r="F391" s="43">
        <f>_xlfn.XLOOKUP(A391,Class_Players!A:A,Class_Players!G:G)</f>
        <v>177</v>
      </c>
      <c r="G391" s="43">
        <f t="shared" si="93"/>
        <v>3.954802259887006E-2</v>
      </c>
      <c r="H391" s="43">
        <f>_xlfn.XLOOKUP(A391,Class_Players!$A:$A,Class_Players!$F:$F,"")</f>
        <v>11238</v>
      </c>
      <c r="I391" s="44">
        <f t="shared" si="94"/>
        <v>6.2288663463249685E-4</v>
      </c>
      <c r="J391" s="43">
        <f t="shared" si="95"/>
        <v>0</v>
      </c>
      <c r="K391" s="44" cm="1">
        <f t="array" ref="K391">IF(D391="Gadget",_xlfn.IFS(I391&gt;=0.2,0.5,I391&gt;=0.1,0.35,I391&gt;=0.05,0.2,TRUE,0),IF(D391="Grenade",_xlfn.IFS(I391&gt;=0.2,1,I391&gt;=0.1,0.7,I391&gt;=0.05,0.4,TRUE,0),0))</f>
        <v>0</v>
      </c>
      <c r="L391" s="57">
        <f t="shared" si="92"/>
        <v>0</v>
      </c>
    </row>
    <row r="392" spans="1:12" x14ac:dyDescent="0.25">
      <c r="A392" s="42" t="str" cm="1">
        <f t="array" ref="A392">IFERROR(INDEX(_xlfn._xlws.FILTER(Class_Players!A:A,Class_Players!B:B="Engineer"),QUOTIENT(ROW()-ROW($A$2),12)+1),"")</f>
        <v>53Zents</v>
      </c>
      <c r="B392" s="42" t="str">
        <f>_xlfn.XLOOKUP(A392,Class_Players!$A:$A,Class_Players!$B:$B,"")</f>
        <v>Engineer</v>
      </c>
      <c r="C392" s="42" t="str" cm="1">
        <f t="array" ref="C392">INDEX(Lookups!$B$2:$B$13,MOD(ROW()-ROW($B$2),ROWS(Lookups!$B$2:$B$13))+1)</f>
        <v>M15 (Anti-Vehicle Mine)</v>
      </c>
      <c r="D392" s="38" t="str">
        <f>_xlfn.XLOOKUP(C392,Analysis_Gadgets!$C:$C,Analysis_Gadgets!$B:$B)</f>
        <v>Gadget</v>
      </c>
      <c r="E392" s="43">
        <v>607</v>
      </c>
      <c r="F392" s="43">
        <f>_xlfn.XLOOKUP(A392,Class_Players!A:A,Class_Players!G:G)</f>
        <v>177</v>
      </c>
      <c r="G392" s="43">
        <f t="shared" si="93"/>
        <v>3.4293785310734464</v>
      </c>
      <c r="H392" s="43">
        <f>_xlfn.XLOOKUP(A392,Class_Players!$A:$A,Class_Players!$F:$F,"")</f>
        <v>11238</v>
      </c>
      <c r="I392" s="44">
        <f t="shared" si="94"/>
        <v>5.4013169603132231E-2</v>
      </c>
      <c r="J392" s="43">
        <f t="shared" si="95"/>
        <v>0</v>
      </c>
      <c r="K392" s="44" cm="1">
        <f t="array" ref="K392">IF(D392="Gadget",_xlfn.IFS(I392&gt;=0.2,0.5,I392&gt;=0.1,0.35,I392&gt;=0.05,0.2,TRUE,0),IF(D392="Grenade",_xlfn.IFS(I392&gt;=0.2,1,I392&gt;=0.1,0.7,I392&gt;=0.05,0.4,TRUE,0),0))</f>
        <v>0.2</v>
      </c>
      <c r="L392" s="57">
        <f t="shared" si="92"/>
        <v>0.19047619047619052</v>
      </c>
    </row>
    <row r="393" spans="1:12" x14ac:dyDescent="0.25">
      <c r="A393" s="42" t="str" cm="1">
        <f t="array" ref="A393">IFERROR(INDEX(_xlfn._xlws.FILTER(Class_Players!A:A,Class_Players!B:B="Engineer"),QUOTIENT(ROW()-ROW($A$2),12)+1),"")</f>
        <v>53Zents</v>
      </c>
      <c r="B393" s="42" t="str">
        <f>_xlfn.XLOOKUP(A393,Class_Players!$A:$A,Class_Players!$B:$B,"")</f>
        <v>Engineer</v>
      </c>
      <c r="C393" s="42" t="str" cm="1">
        <f t="array" ref="C393">INDEX(Lookups!$B$2:$B$13,MOD(ROW()-ROW($B$2),ROWS(Lookups!$B$2:$B$13))+1)</f>
        <v>PTKM-1R (Acoustic Sensor AV Mine)</v>
      </c>
      <c r="D393" s="38" t="str">
        <f>_xlfn.XLOOKUP(C393,Analysis_Gadgets!$C:$C,Analysis_Gadgets!$B:$B)</f>
        <v>Gadget</v>
      </c>
      <c r="E393" s="43">
        <v>2128</v>
      </c>
      <c r="F393" s="43">
        <f>_xlfn.XLOOKUP(A393,Class_Players!A:A,Class_Players!G:G)</f>
        <v>177</v>
      </c>
      <c r="G393" s="43">
        <f t="shared" si="93"/>
        <v>12.022598870056497</v>
      </c>
      <c r="H393" s="43">
        <f>_xlfn.XLOOKUP(A393,Class_Players!$A:$A,Class_Players!$F:$F,"")</f>
        <v>11238</v>
      </c>
      <c r="I393" s="44">
        <f t="shared" si="94"/>
        <v>0.18935753692827906</v>
      </c>
      <c r="J393" s="43">
        <f t="shared" si="95"/>
        <v>1</v>
      </c>
      <c r="K393" s="44" cm="1">
        <f t="array" ref="K393">IF(D393="Gadget",_xlfn.IFS(I393&gt;=0.2,0.5,I393&gt;=0.1,0.35,I393&gt;=0.05,0.2,TRUE,0),IF(D393="Grenade",_xlfn.IFS(I393&gt;=0.2,1,I393&gt;=0.1,0.7,I393&gt;=0.05,0.4,TRUE,0),0))</f>
        <v>0.35</v>
      </c>
      <c r="L393" s="57">
        <f t="shared" si="92"/>
        <v>0.33333333333333337</v>
      </c>
    </row>
    <row r="394" spans="1:12" x14ac:dyDescent="0.25">
      <c r="A394" s="42" t="str" cm="1">
        <f t="array" ref="A394">IFERROR(INDEX(_xlfn._xlws.FILTER(Class_Players!A:A,Class_Players!B:B="Engineer"),QUOTIENT(ROW()-ROW($A$2),12)+1),"")</f>
        <v>53Zents</v>
      </c>
      <c r="B394" s="42" t="str">
        <f>_xlfn.XLOOKUP(A394,Class_Players!$A:$A,Class_Players!$B:$B,"")</f>
        <v>Engineer</v>
      </c>
      <c r="C394" s="42" t="str" cm="1">
        <f t="array" ref="C394">INDEX(Lookups!$B$2:$B$13,MOD(ROW()-ROW($B$2),ROWS(Lookups!$B$2:$B$13))+1)</f>
        <v>EOD Bot</v>
      </c>
      <c r="D394" s="38" t="str">
        <f>_xlfn.XLOOKUP(C394,Analysis_Gadgets!$C:$C,Analysis_Gadgets!$B:$B)</f>
        <v>Gadget</v>
      </c>
      <c r="E394" s="43">
        <v>0</v>
      </c>
      <c r="F394" s="43">
        <f>_xlfn.XLOOKUP(A394,Class_Players!A:A,Class_Players!G:G)</f>
        <v>177</v>
      </c>
      <c r="G394" s="43">
        <f t="shared" si="93"/>
        <v>0</v>
      </c>
      <c r="H394" s="43">
        <f>_xlfn.XLOOKUP(A394,Class_Players!$A:$A,Class_Players!$F:$F,"")</f>
        <v>11238</v>
      </c>
      <c r="I394" s="44">
        <f t="shared" si="94"/>
        <v>0</v>
      </c>
      <c r="J394" s="43">
        <f t="shared" si="95"/>
        <v>0</v>
      </c>
      <c r="K394" s="44" cm="1">
        <f t="array" ref="K394">IF(D394="Gadget",_xlfn.IFS(I394&gt;=0.2,0.5,I394&gt;=0.1,0.35,I394&gt;=0.05,0.2,TRUE,0),IF(D394="Grenade",_xlfn.IFS(I394&gt;=0.2,1,I394&gt;=0.1,0.7,I394&gt;=0.05,0.4,TRUE,0),0))</f>
        <v>0</v>
      </c>
      <c r="L394" s="57">
        <f t="shared" si="92"/>
        <v>0</v>
      </c>
    </row>
    <row r="395" spans="1:12" x14ac:dyDescent="0.25">
      <c r="A395" s="42" t="str" cm="1">
        <f t="array" ref="A395">IFERROR(INDEX(_xlfn._xlws.FILTER(Class_Players!A:A,Class_Players!B:B="Engineer"),QUOTIENT(ROW()-ROW($A$2),12)+1),"")</f>
        <v>53Zents</v>
      </c>
      <c r="B395" s="42" t="str">
        <f>_xlfn.XLOOKUP(A395,Class_Players!$A:$A,Class_Players!$B:$B,"")</f>
        <v>Engineer</v>
      </c>
      <c r="C395" s="42" t="str" cm="1">
        <f t="array" ref="C395">INDEX(Lookups!$B$2:$B$13,MOD(ROW()-ROW($B$2),ROWS(Lookups!$B$2:$B$13))+1)</f>
        <v>M4A1 SLAM (Tripwire Sensor AV Mine)</v>
      </c>
      <c r="D395" s="38" t="str">
        <f>_xlfn.XLOOKUP(C395,Analysis_Gadgets!$C:$C,Analysis_Gadgets!$B:$B)</f>
        <v>Gadget</v>
      </c>
      <c r="E395" s="43">
        <v>57</v>
      </c>
      <c r="F395" s="43">
        <f>_xlfn.XLOOKUP(A395,Class_Players!A:A,Class_Players!G:G)</f>
        <v>177</v>
      </c>
      <c r="G395" s="43">
        <f t="shared" si="93"/>
        <v>0.32203389830508472</v>
      </c>
      <c r="H395" s="43">
        <f>_xlfn.XLOOKUP(A395,Class_Players!$A:$A,Class_Players!$F:$F,"")</f>
        <v>11238</v>
      </c>
      <c r="I395" s="44">
        <f t="shared" si="94"/>
        <v>5.0720768820074749E-3</v>
      </c>
      <c r="J395" s="43">
        <f t="shared" si="95"/>
        <v>0</v>
      </c>
      <c r="K395" s="44" cm="1">
        <f t="array" ref="K395">IF(D395="Gadget",_xlfn.IFS(I395&gt;=0.2,0.5,I395&gt;=0.1,0.35,I395&gt;=0.05,0.2,TRUE,0),IF(D395="Grenade",_xlfn.IFS(I395&gt;=0.2,1,I395&gt;=0.1,0.7,I395&gt;=0.05,0.4,TRUE,0),0))</f>
        <v>0</v>
      </c>
      <c r="L395" s="57">
        <f t="shared" si="92"/>
        <v>0</v>
      </c>
    </row>
    <row r="396" spans="1:12" x14ac:dyDescent="0.25">
      <c r="A396" s="42" t="str" cm="1">
        <f t="array" ref="A396">IFERROR(INDEX(_xlfn._xlws.FILTER(Class_Players!A:A,Class_Players!B:B="Engineer"),QUOTIENT(ROW()-ROW($A$2),12)+1),"")</f>
        <v>53Zents</v>
      </c>
      <c r="B396" s="42" t="str">
        <f>_xlfn.XLOOKUP(A396,Class_Players!$A:$A,Class_Players!$B:$B,"")</f>
        <v>Engineer</v>
      </c>
      <c r="C396" s="42" t="str" cm="1">
        <f t="array" ref="C396">INDEX(Lookups!$B$2:$B$13,MOD(ROW()-ROW($B$2),ROWS(Lookups!$B$2:$B$13))+1)</f>
        <v>Mini Frag Grenade</v>
      </c>
      <c r="D396" s="38" t="str">
        <f>_xlfn.XLOOKUP(C396,Analysis_Gadgets!$C:$C,Analysis_Gadgets!$B:$B)</f>
        <v>Grenade</v>
      </c>
      <c r="E396" s="43">
        <v>170</v>
      </c>
      <c r="F396" s="43">
        <f>_xlfn.XLOOKUP(A396,Class_Players!A:A,Class_Players!G:G)</f>
        <v>177</v>
      </c>
      <c r="G396" s="43">
        <f t="shared" si="93"/>
        <v>0.96045197740112997</v>
      </c>
      <c r="H396" s="43">
        <f>_xlfn.XLOOKUP(A396,Class_Players!$A:$A,Class_Players!$F:$F,"")</f>
        <v>11238</v>
      </c>
      <c r="I396" s="44">
        <f t="shared" si="94"/>
        <v>1.5127246841074924E-2</v>
      </c>
      <c r="J396" s="43">
        <f t="shared" si="95"/>
        <v>0</v>
      </c>
      <c r="K396" s="44" cm="1">
        <f t="array" ref="K396">IF(D396="Gadget",_xlfn.IFS(I396&gt;=0.2,0.5,I396&gt;=0.1,0.35,I396&gt;=0.05,0.2,TRUE,0),IF(D396="Grenade",_xlfn.IFS(I396&gt;=0.2,1,I396&gt;=0.1,0.7,I396&gt;=0.05,0.4,TRUE,0),0))</f>
        <v>0</v>
      </c>
      <c r="L396" s="57">
        <f t="shared" ref="L396:L397" si="96">IF($K396=0,0,$K396 / SUMIFS($K:$K,$A:$A,$A396,$D:$D,"Grenade"))</f>
        <v>0</v>
      </c>
    </row>
    <row r="397" spans="1:12" x14ac:dyDescent="0.25">
      <c r="A397" s="42" t="str" cm="1">
        <f t="array" ref="A397">IFERROR(INDEX(_xlfn._xlws.FILTER(Class_Players!A:A,Class_Players!B:B="Engineer"),QUOTIENT(ROW()-ROW($A$2),12)+1),"")</f>
        <v>53Zents</v>
      </c>
      <c r="B397" s="42" t="str">
        <f>_xlfn.XLOOKUP(A397,Class_Players!$A:$A,Class_Players!$B:$B,"")</f>
        <v>Engineer</v>
      </c>
      <c r="C397" s="42" t="str" cm="1">
        <f t="array" ref="C397">INDEX(Lookups!$B$2:$B$13,MOD(ROW()-ROW($B$2),ROWS(Lookups!$B$2:$B$13))+1)</f>
        <v>Anti-Vehicle Grenade</v>
      </c>
      <c r="D397" s="38" t="str">
        <f>_xlfn.XLOOKUP(C397,Analysis_Gadgets!$C:$C,Analysis_Gadgets!$B:$B)</f>
        <v>Grenade</v>
      </c>
      <c r="E397" s="43">
        <v>0</v>
      </c>
      <c r="F397" s="43">
        <f>_xlfn.XLOOKUP(A397,Class_Players!A:A,Class_Players!G:G)</f>
        <v>177</v>
      </c>
      <c r="G397" s="43">
        <f t="shared" si="93"/>
        <v>0</v>
      </c>
      <c r="H397" s="43">
        <f>_xlfn.XLOOKUP(A397,Class_Players!$A:$A,Class_Players!$F:$F,"")</f>
        <v>11238</v>
      </c>
      <c r="I397" s="44">
        <f t="shared" si="94"/>
        <v>0</v>
      </c>
      <c r="J397" s="43">
        <f t="shared" si="95"/>
        <v>0</v>
      </c>
      <c r="K397" s="44" cm="1">
        <f t="array" ref="K397">IF(D397="Gadget",_xlfn.IFS(I397&gt;=0.2,0.5,I397&gt;=0.1,0.35,I397&gt;=0.05,0.2,TRUE,0),IF(D397="Grenade",_xlfn.IFS(I397&gt;=0.2,1,I397&gt;=0.1,0.7,I397&gt;=0.05,0.4,TRUE,0),0))</f>
        <v>0</v>
      </c>
      <c r="L397" s="57">
        <f t="shared" si="96"/>
        <v>0</v>
      </c>
    </row>
    <row r="398" spans="1:12" x14ac:dyDescent="0.25">
      <c r="A398" s="42" t="str" cm="1">
        <f t="array" ref="A398">IFERROR(INDEX(_xlfn._xlws.FILTER(Class_Players!A:A,Class_Players!B:B="Engineer"),QUOTIENT(ROW()-ROW($A$2),12)+1),"")</f>
        <v>Jah-Munkey</v>
      </c>
      <c r="B398" s="42" t="str">
        <f>_xlfn.XLOOKUP(A398,Class_Players!$A:$A,Class_Players!$B:$B,"")</f>
        <v>Engineer</v>
      </c>
      <c r="C398" s="42" t="str" cm="1">
        <f t="array" ref="C398">INDEX(Lookups!$B$2:$B$13,MOD(ROW()-ROW($B$2),ROWS(Lookups!$B$2:$B$13))+1)</f>
        <v>MBT-LAW (Auto-Guided Launcher)</v>
      </c>
      <c r="D398" s="38" t="str">
        <f>_xlfn.XLOOKUP(C398,Analysis_Gadgets!$C:$C,Analysis_Gadgets!$B:$B)</f>
        <v>Gadget</v>
      </c>
      <c r="E398" s="43">
        <v>0</v>
      </c>
      <c r="F398" s="43">
        <f>_xlfn.XLOOKUP(A398,Class_Players!A:A,Class_Players!G:G)</f>
        <v>381</v>
      </c>
      <c r="G398" s="43">
        <f t="shared" si="93"/>
        <v>0</v>
      </c>
      <c r="H398" s="43">
        <f>_xlfn.XLOOKUP(A398,Class_Players!$A:$A,Class_Players!$F:$F,"")</f>
        <v>10057</v>
      </c>
      <c r="I398" s="44">
        <f t="shared" si="94"/>
        <v>0</v>
      </c>
      <c r="J398" s="43">
        <f t="shared" si="95"/>
        <v>0</v>
      </c>
      <c r="K398" s="44" cm="1">
        <f t="array" ref="K398">IF(D398="Gadget",_xlfn.IFS(I398&gt;=0.2,0.5,I398&gt;=0.1,0.35,I398&gt;=0.05,0.2,TRUE,0),IF(D398="Grenade",_xlfn.IFS(I398&gt;=0.2,1,I398&gt;=0.1,0.7,I398&gt;=0.05,0.4,TRUE,0),0))</f>
        <v>0</v>
      </c>
      <c r="L398" s="57">
        <f t="shared" ref="L398:L407" si="97">IF($K398=0,0,$K398 / SUMIFS($K:$K,$A:$A,$A398,$D:$D,"Gadget"))</f>
        <v>0</v>
      </c>
    </row>
    <row r="399" spans="1:12" x14ac:dyDescent="0.25">
      <c r="A399" s="42" t="str" cm="1">
        <f t="array" ref="A399">IFERROR(INDEX(_xlfn._xlws.FILTER(Class_Players!A:A,Class_Players!B:B="Engineer"),QUOTIENT(ROW()-ROW($A$2),12)+1),"")</f>
        <v>Jah-Munkey</v>
      </c>
      <c r="B399" s="42" t="str">
        <f>_xlfn.XLOOKUP(A399,Class_Players!$A:$A,Class_Players!$B:$B,"")</f>
        <v>Engineer</v>
      </c>
      <c r="C399" s="42" t="str" cm="1">
        <f t="array" ref="C399">INDEX(Lookups!$B$2:$B$13,MOD(ROW()-ROW($B$2),ROWS(Lookups!$B$2:$B$13))+1)</f>
        <v>SLM-93A (Air-Defense Launcher)</v>
      </c>
      <c r="D399" s="38" t="str">
        <f>_xlfn.XLOOKUP(C399,Analysis_Gadgets!$C:$C,Analysis_Gadgets!$B:$B)</f>
        <v>Gadget</v>
      </c>
      <c r="E399" s="43">
        <v>513</v>
      </c>
      <c r="F399" s="43">
        <f>_xlfn.XLOOKUP(A399,Class_Players!A:A,Class_Players!G:G)</f>
        <v>381</v>
      </c>
      <c r="G399" s="43">
        <f t="shared" si="93"/>
        <v>1.3464566929133859</v>
      </c>
      <c r="H399" s="43">
        <f>_xlfn.XLOOKUP(A399,Class_Players!$A:$A,Class_Players!$F:$F,"")</f>
        <v>10057</v>
      </c>
      <c r="I399" s="44">
        <f t="shared" si="94"/>
        <v>5.1009247290444468E-2</v>
      </c>
      <c r="J399" s="43">
        <f t="shared" si="95"/>
        <v>0</v>
      </c>
      <c r="K399" s="44" cm="1">
        <f t="array" ref="K399">IF(D399="Gadget",_xlfn.IFS(I399&gt;=0.2,0.5,I399&gt;=0.1,0.35,I399&gt;=0.05,0.2,TRUE,0),IF(D399="Grenade",_xlfn.IFS(I399&gt;=0.2,1,I399&gt;=0.1,0.7,I399&gt;=0.05,0.4,TRUE,0),0))</f>
        <v>0.2</v>
      </c>
      <c r="L399" s="57">
        <f t="shared" si="97"/>
        <v>0.11111111111111115</v>
      </c>
    </row>
    <row r="400" spans="1:12" x14ac:dyDescent="0.25">
      <c r="A400" s="42" t="str" cm="1">
        <f t="array" ref="A400">IFERROR(INDEX(_xlfn._xlws.FILTER(Class_Players!A:A,Class_Players!B:B="Engineer"),QUOTIENT(ROW()-ROW($A$2),12)+1),"")</f>
        <v>Jah-Munkey</v>
      </c>
      <c r="B400" s="42" t="str">
        <f>_xlfn.XLOOKUP(A400,Class_Players!$A:$A,Class_Players!$B:$B,"")</f>
        <v>Engineer</v>
      </c>
      <c r="C400" s="42" t="str" cm="1">
        <f t="array" ref="C400">INDEX(Lookups!$B$2:$B$13,MOD(ROW()-ROW($B$2),ROWS(Lookups!$B$2:$B$13))+1)</f>
        <v>RPG-7V2 (Unguided Rocket Launcher)</v>
      </c>
      <c r="D400" s="38" t="str">
        <f>_xlfn.XLOOKUP(C400,Analysis_Gadgets!$C:$C,Analysis_Gadgets!$B:$B)</f>
        <v>Gadget</v>
      </c>
      <c r="E400" s="43">
        <v>4207</v>
      </c>
      <c r="F400" s="43">
        <f>_xlfn.XLOOKUP(A400,Class_Players!A:A,Class_Players!G:G)</f>
        <v>381</v>
      </c>
      <c r="G400" s="43">
        <f t="shared" si="93"/>
        <v>11.041994750656167</v>
      </c>
      <c r="H400" s="43">
        <f>_xlfn.XLOOKUP(A400,Class_Players!$A:$A,Class_Players!$F:$F,"")</f>
        <v>10057</v>
      </c>
      <c r="I400" s="44">
        <f t="shared" si="94"/>
        <v>0.41831560107387888</v>
      </c>
      <c r="J400" s="43">
        <f t="shared" si="95"/>
        <v>1</v>
      </c>
      <c r="K400" s="44" cm="1">
        <f t="array" ref="K400">IF(D400="Gadget",_xlfn.IFS(I400&gt;=0.2,0.5,I400&gt;=0.1,0.35,I400&gt;=0.05,0.2,TRUE,0),IF(D400="Grenade",_xlfn.IFS(I400&gt;=0.2,1,I400&gt;=0.1,0.7,I400&gt;=0.05,0.4,TRUE,0),0))</f>
        <v>0.5</v>
      </c>
      <c r="L400" s="57">
        <f t="shared" si="97"/>
        <v>0.27777777777777785</v>
      </c>
    </row>
    <row r="401" spans="1:12" x14ac:dyDescent="0.25">
      <c r="A401" s="42" t="str" cm="1">
        <f t="array" ref="A401">IFERROR(INDEX(_xlfn._xlws.FILTER(Class_Players!A:A,Class_Players!B:B="Engineer"),QUOTIENT(ROW()-ROW($A$2),12)+1),"")</f>
        <v>Jah-Munkey</v>
      </c>
      <c r="B401" s="42" t="str">
        <f>_xlfn.XLOOKUP(A401,Class_Players!$A:$A,Class_Players!$B:$B,"")</f>
        <v>Engineer</v>
      </c>
      <c r="C401" s="42" t="str" cm="1">
        <f t="array" ref="C401">INDEX(Lookups!$B$2:$B$13,MOD(ROW()-ROW($B$2),ROWS(Lookups!$B$2:$B$13))+1)</f>
        <v>MAS 148 (Long-Range Launcher)</v>
      </c>
      <c r="D401" s="38" t="str">
        <f>_xlfn.XLOOKUP(C401,Analysis_Gadgets!$C:$C,Analysis_Gadgets!$B:$B)</f>
        <v>Gadget</v>
      </c>
      <c r="E401" s="43">
        <v>90</v>
      </c>
      <c r="F401" s="43">
        <f>_xlfn.XLOOKUP(A401,Class_Players!A:A,Class_Players!G:G)</f>
        <v>381</v>
      </c>
      <c r="G401" s="43">
        <f t="shared" si="93"/>
        <v>0.23622047244094488</v>
      </c>
      <c r="H401" s="43">
        <f>_xlfn.XLOOKUP(A401,Class_Players!$A:$A,Class_Players!$F:$F,"")</f>
        <v>10057</v>
      </c>
      <c r="I401" s="44">
        <f t="shared" si="94"/>
        <v>8.9489907527095548E-3</v>
      </c>
      <c r="J401" s="43">
        <f t="shared" si="95"/>
        <v>0</v>
      </c>
      <c r="K401" s="44" cm="1">
        <f t="array" ref="K401">IF(D401="Gadget",_xlfn.IFS(I401&gt;=0.2,0.5,I401&gt;=0.1,0.35,I401&gt;=0.05,0.2,TRUE,0),IF(D401="Grenade",_xlfn.IFS(I401&gt;=0.2,1,I401&gt;=0.1,0.7,I401&gt;=0.05,0.4,TRUE,0),0))</f>
        <v>0</v>
      </c>
      <c r="L401" s="57">
        <f t="shared" si="97"/>
        <v>0</v>
      </c>
    </row>
    <row r="402" spans="1:12" x14ac:dyDescent="0.25">
      <c r="A402" s="42" t="str" cm="1">
        <f t="array" ref="A402">IFERROR(INDEX(_xlfn._xlws.FILTER(Class_Players!A:A,Class_Players!B:B="Engineer"),QUOTIENT(ROW()-ROW($A$2),12)+1),"")</f>
        <v>Jah-Munkey</v>
      </c>
      <c r="B402" s="42" t="str">
        <f>_xlfn.XLOOKUP(A402,Class_Players!$A:$A,Class_Players!$B:$B,"")</f>
        <v>Engineer</v>
      </c>
      <c r="C402" s="42" t="str" cm="1">
        <f t="array" ref="C402">INDEX(Lookups!$B$2:$B$13,MOD(ROW()-ROW($B$2),ROWS(Lookups!$B$2:$B$13))+1)</f>
        <v>M136 AT (Aim-Guided Launcher)</v>
      </c>
      <c r="D402" s="38" t="str">
        <f>_xlfn.XLOOKUP(C402,Analysis_Gadgets!$C:$C,Analysis_Gadgets!$B:$B)</f>
        <v>Gadget</v>
      </c>
      <c r="E402" s="43">
        <v>1786</v>
      </c>
      <c r="F402" s="43">
        <f>_xlfn.XLOOKUP(A402,Class_Players!A:A,Class_Players!G:G)</f>
        <v>381</v>
      </c>
      <c r="G402" s="43">
        <f t="shared" si="93"/>
        <v>4.6876640419947506</v>
      </c>
      <c r="H402" s="43">
        <f>_xlfn.XLOOKUP(A402,Class_Players!$A:$A,Class_Players!$F:$F,"")</f>
        <v>10057</v>
      </c>
      <c r="I402" s="44">
        <f t="shared" si="94"/>
        <v>0.17758774982599185</v>
      </c>
      <c r="J402" s="43">
        <f t="shared" si="95"/>
        <v>1</v>
      </c>
      <c r="K402" s="44" cm="1">
        <f t="array" ref="K402">IF(D402="Gadget",_xlfn.IFS(I402&gt;=0.2,0.5,I402&gt;=0.1,0.35,I402&gt;=0.05,0.2,TRUE,0),IF(D402="Grenade",_xlfn.IFS(I402&gt;=0.2,1,I402&gt;=0.1,0.7,I402&gt;=0.05,0.4,TRUE,0),0))</f>
        <v>0.35</v>
      </c>
      <c r="L402" s="57">
        <f t="shared" si="97"/>
        <v>0.19444444444444448</v>
      </c>
    </row>
    <row r="403" spans="1:12" x14ac:dyDescent="0.25">
      <c r="A403" s="42" t="str" cm="1">
        <f t="array" ref="A403">IFERROR(INDEX(_xlfn._xlws.FILTER(Class_Players!A:A,Class_Players!B:B="Engineer"),QUOTIENT(ROW()-ROW($A$2),12)+1),"")</f>
        <v>Jah-Munkey</v>
      </c>
      <c r="B403" s="42" t="str">
        <f>_xlfn.XLOOKUP(A403,Class_Players!$A:$A,Class_Players!$B:$B,"")</f>
        <v>Engineer</v>
      </c>
      <c r="C403" s="42" t="str" cm="1">
        <f t="array" ref="C403">INDEX(Lookups!$B$2:$B$13,MOD(ROW()-ROW($B$2),ROWS(Lookups!$B$2:$B$13))+1)</f>
        <v>Supply Crate</v>
      </c>
      <c r="D403" s="38" t="str">
        <f>_xlfn.XLOOKUP(C403,Analysis_Gadgets!$C:$C,Analysis_Gadgets!$B:$B)</f>
        <v>Gadget</v>
      </c>
      <c r="E403" s="43">
        <v>591</v>
      </c>
      <c r="F403" s="43">
        <f>_xlfn.XLOOKUP(A403,Class_Players!A:A,Class_Players!G:G)</f>
        <v>381</v>
      </c>
      <c r="G403" s="43">
        <f t="shared" si="93"/>
        <v>1.5511811023622046</v>
      </c>
      <c r="H403" s="43">
        <f>_xlfn.XLOOKUP(A403,Class_Players!$A:$A,Class_Players!$F:$F,"")</f>
        <v>10057</v>
      </c>
      <c r="I403" s="44">
        <f t="shared" si="94"/>
        <v>5.8765039276126078E-2</v>
      </c>
      <c r="J403" s="43">
        <f t="shared" si="95"/>
        <v>0</v>
      </c>
      <c r="K403" s="44" cm="1">
        <f t="array" ref="K403">IF(D403="Gadget",_xlfn.IFS(I403&gt;=0.2,0.5,I403&gt;=0.1,0.35,I403&gt;=0.05,0.2,TRUE,0),IF(D403="Grenade",_xlfn.IFS(I403&gt;=0.2,1,I403&gt;=0.1,0.7,I403&gt;=0.05,0.4,TRUE,0),0))</f>
        <v>0.2</v>
      </c>
      <c r="L403" s="57">
        <f t="shared" si="97"/>
        <v>0.11111111111111115</v>
      </c>
    </row>
    <row r="404" spans="1:12" x14ac:dyDescent="0.25">
      <c r="A404" s="42" t="str" cm="1">
        <f t="array" ref="A404">IFERROR(INDEX(_xlfn._xlws.FILTER(Class_Players!A:A,Class_Players!B:B="Engineer"),QUOTIENT(ROW()-ROW($A$2),12)+1),"")</f>
        <v>Jah-Munkey</v>
      </c>
      <c r="B404" s="42" t="str">
        <f>_xlfn.XLOOKUP(A404,Class_Players!$A:$A,Class_Players!$B:$B,"")</f>
        <v>Engineer</v>
      </c>
      <c r="C404" s="42" t="str" cm="1">
        <f t="array" ref="C404">INDEX(Lookups!$B$2:$B$13,MOD(ROW()-ROW($B$2),ROWS(Lookups!$B$2:$B$13))+1)</f>
        <v>M15 (Anti-Vehicle Mine)</v>
      </c>
      <c r="D404" s="38" t="str">
        <f>_xlfn.XLOOKUP(C404,Analysis_Gadgets!$C:$C,Analysis_Gadgets!$B:$B)</f>
        <v>Gadget</v>
      </c>
      <c r="E404" s="43">
        <v>1029</v>
      </c>
      <c r="F404" s="43">
        <f>_xlfn.XLOOKUP(A404,Class_Players!A:A,Class_Players!G:G)</f>
        <v>381</v>
      </c>
      <c r="G404" s="43">
        <f t="shared" si="93"/>
        <v>2.7007874015748032</v>
      </c>
      <c r="H404" s="43">
        <f>_xlfn.XLOOKUP(A404,Class_Players!$A:$A,Class_Players!$F:$F,"")</f>
        <v>10057</v>
      </c>
      <c r="I404" s="44">
        <f t="shared" si="94"/>
        <v>0.10231679427264592</v>
      </c>
      <c r="J404" s="43">
        <f t="shared" si="95"/>
        <v>1</v>
      </c>
      <c r="K404" s="44" cm="1">
        <f t="array" ref="K404">IF(D404="Gadget",_xlfn.IFS(I404&gt;=0.2,0.5,I404&gt;=0.1,0.35,I404&gt;=0.05,0.2,TRUE,0),IF(D404="Grenade",_xlfn.IFS(I404&gt;=0.2,1,I404&gt;=0.1,0.7,I404&gt;=0.05,0.4,TRUE,0),0))</f>
        <v>0.35</v>
      </c>
      <c r="L404" s="57">
        <f t="shared" si="97"/>
        <v>0.19444444444444448</v>
      </c>
    </row>
    <row r="405" spans="1:12" x14ac:dyDescent="0.25">
      <c r="A405" s="42" t="str" cm="1">
        <f t="array" ref="A405">IFERROR(INDEX(_xlfn._xlws.FILTER(Class_Players!A:A,Class_Players!B:B="Engineer"),QUOTIENT(ROW()-ROW($A$2),12)+1),"")</f>
        <v>Jah-Munkey</v>
      </c>
      <c r="B405" s="42" t="str">
        <f>_xlfn.XLOOKUP(A405,Class_Players!$A:$A,Class_Players!$B:$B,"")</f>
        <v>Engineer</v>
      </c>
      <c r="C405" s="42" t="str" cm="1">
        <f t="array" ref="C405">INDEX(Lookups!$B$2:$B$13,MOD(ROW()-ROW($B$2),ROWS(Lookups!$B$2:$B$13))+1)</f>
        <v>PTKM-1R (Acoustic Sensor AV Mine)</v>
      </c>
      <c r="D405" s="38" t="str">
        <f>_xlfn.XLOOKUP(C405,Analysis_Gadgets!$C:$C,Analysis_Gadgets!$B:$B)</f>
        <v>Gadget</v>
      </c>
      <c r="E405" s="43">
        <v>722</v>
      </c>
      <c r="F405" s="43">
        <f>_xlfn.XLOOKUP(A405,Class_Players!A:A,Class_Players!G:G)</f>
        <v>381</v>
      </c>
      <c r="G405" s="43">
        <f t="shared" si="93"/>
        <v>1.8950131233595799</v>
      </c>
      <c r="H405" s="43">
        <f>_xlfn.XLOOKUP(A405,Class_Players!$A:$A,Class_Players!$F:$F,"")</f>
        <v>10057</v>
      </c>
      <c r="I405" s="44">
        <f t="shared" si="94"/>
        <v>7.1790792482847768E-2</v>
      </c>
      <c r="J405" s="43">
        <f t="shared" si="95"/>
        <v>0</v>
      </c>
      <c r="K405" s="44" cm="1">
        <f t="array" ref="K405">IF(D405="Gadget",_xlfn.IFS(I405&gt;=0.2,0.5,I405&gt;=0.1,0.35,I405&gt;=0.05,0.2,TRUE,0),IF(D405="Grenade",_xlfn.IFS(I405&gt;=0.2,1,I405&gt;=0.1,0.7,I405&gt;=0.05,0.4,TRUE,0),0))</f>
        <v>0.2</v>
      </c>
      <c r="L405" s="57">
        <f t="shared" si="97"/>
        <v>0.11111111111111115</v>
      </c>
    </row>
    <row r="406" spans="1:12" x14ac:dyDescent="0.25">
      <c r="A406" s="42" t="str" cm="1">
        <f t="array" ref="A406">IFERROR(INDEX(_xlfn._xlws.FILTER(Class_Players!A:A,Class_Players!B:B="Engineer"),QUOTIENT(ROW()-ROW($A$2),12)+1),"")</f>
        <v>Jah-Munkey</v>
      </c>
      <c r="B406" s="42" t="str">
        <f>_xlfn.XLOOKUP(A406,Class_Players!$A:$A,Class_Players!$B:$B,"")</f>
        <v>Engineer</v>
      </c>
      <c r="C406" s="42" t="str" cm="1">
        <f t="array" ref="C406">INDEX(Lookups!$B$2:$B$13,MOD(ROW()-ROW($B$2),ROWS(Lookups!$B$2:$B$13))+1)</f>
        <v>EOD Bot</v>
      </c>
      <c r="D406" s="38" t="str">
        <f>_xlfn.XLOOKUP(C406,Analysis_Gadgets!$C:$C,Analysis_Gadgets!$B:$B)</f>
        <v>Gadget</v>
      </c>
      <c r="E406" s="43">
        <v>456</v>
      </c>
      <c r="F406" s="43">
        <f>_xlfn.XLOOKUP(A406,Class_Players!A:A,Class_Players!G:G)</f>
        <v>381</v>
      </c>
      <c r="G406" s="43">
        <f t="shared" si="93"/>
        <v>1.1968503937007875</v>
      </c>
      <c r="H406" s="43">
        <f>_xlfn.XLOOKUP(A406,Class_Players!$A:$A,Class_Players!$F:$F,"")</f>
        <v>10057</v>
      </c>
      <c r="I406" s="44">
        <f t="shared" si="94"/>
        <v>4.5341553147061751E-2</v>
      </c>
      <c r="J406" s="43">
        <f t="shared" si="95"/>
        <v>0</v>
      </c>
      <c r="K406" s="44" cm="1">
        <f t="array" ref="K406">IF(D406="Gadget",_xlfn.IFS(I406&gt;=0.2,0.5,I406&gt;=0.1,0.35,I406&gt;=0.05,0.2,TRUE,0),IF(D406="Grenade",_xlfn.IFS(I406&gt;=0.2,1,I406&gt;=0.1,0.7,I406&gt;=0.05,0.4,TRUE,0),0))</f>
        <v>0</v>
      </c>
      <c r="L406" s="57">
        <f t="shared" si="97"/>
        <v>0</v>
      </c>
    </row>
    <row r="407" spans="1:12" x14ac:dyDescent="0.25">
      <c r="A407" s="42" t="str" cm="1">
        <f t="array" ref="A407">IFERROR(INDEX(_xlfn._xlws.FILTER(Class_Players!A:A,Class_Players!B:B="Engineer"),QUOTIENT(ROW()-ROW($A$2),12)+1),"")</f>
        <v>Jah-Munkey</v>
      </c>
      <c r="B407" s="42" t="str">
        <f>_xlfn.XLOOKUP(A407,Class_Players!$A:$A,Class_Players!$B:$B,"")</f>
        <v>Engineer</v>
      </c>
      <c r="C407" s="42" t="str" cm="1">
        <f t="array" ref="C407">INDEX(Lookups!$B$2:$B$13,MOD(ROW()-ROW($B$2),ROWS(Lookups!$B$2:$B$13))+1)</f>
        <v>M4A1 SLAM (Tripwire Sensor AV Mine)</v>
      </c>
      <c r="D407" s="38" t="str">
        <f>_xlfn.XLOOKUP(C407,Analysis_Gadgets!$C:$C,Analysis_Gadgets!$B:$B)</f>
        <v>Gadget</v>
      </c>
      <c r="E407" s="43">
        <v>276</v>
      </c>
      <c r="F407" s="43">
        <f>_xlfn.XLOOKUP(A407,Class_Players!A:A,Class_Players!G:G)</f>
        <v>381</v>
      </c>
      <c r="G407" s="43">
        <f t="shared" si="93"/>
        <v>0.72440944881889768</v>
      </c>
      <c r="H407" s="43">
        <f>_xlfn.XLOOKUP(A407,Class_Players!$A:$A,Class_Players!$F:$F,"")</f>
        <v>10057</v>
      </c>
      <c r="I407" s="44">
        <f t="shared" si="94"/>
        <v>2.7443571641642638E-2</v>
      </c>
      <c r="J407" s="43">
        <f t="shared" si="95"/>
        <v>0</v>
      </c>
      <c r="K407" s="44" cm="1">
        <f t="array" ref="K407">IF(D407="Gadget",_xlfn.IFS(I407&gt;=0.2,0.5,I407&gt;=0.1,0.35,I407&gt;=0.05,0.2,TRUE,0),IF(D407="Grenade",_xlfn.IFS(I407&gt;=0.2,1,I407&gt;=0.1,0.7,I407&gt;=0.05,0.4,TRUE,0),0))</f>
        <v>0</v>
      </c>
      <c r="L407" s="57">
        <f t="shared" si="97"/>
        <v>0</v>
      </c>
    </row>
    <row r="408" spans="1:12" x14ac:dyDescent="0.25">
      <c r="A408" s="42" t="str" cm="1">
        <f t="array" ref="A408">IFERROR(INDEX(_xlfn._xlws.FILTER(Class_Players!A:A,Class_Players!B:B="Engineer"),QUOTIENT(ROW()-ROW($A$2),12)+1),"")</f>
        <v>Jah-Munkey</v>
      </c>
      <c r="B408" s="42" t="str">
        <f>_xlfn.XLOOKUP(A408,Class_Players!$A:$A,Class_Players!$B:$B,"")</f>
        <v>Engineer</v>
      </c>
      <c r="C408" s="42" t="str" cm="1">
        <f t="array" ref="C408">INDEX(Lookups!$B$2:$B$13,MOD(ROW()-ROW($B$2),ROWS(Lookups!$B$2:$B$13))+1)</f>
        <v>Mini Frag Grenade</v>
      </c>
      <c r="D408" s="38" t="str">
        <f>_xlfn.XLOOKUP(C408,Analysis_Gadgets!$C:$C,Analysis_Gadgets!$B:$B)</f>
        <v>Grenade</v>
      </c>
      <c r="E408" s="43">
        <v>944</v>
      </c>
      <c r="F408" s="43">
        <f>_xlfn.XLOOKUP(A408,Class_Players!A:A,Class_Players!G:G)</f>
        <v>381</v>
      </c>
      <c r="G408" s="43">
        <f t="shared" si="93"/>
        <v>2.4776902887139109</v>
      </c>
      <c r="H408" s="43">
        <f>_xlfn.XLOOKUP(A408,Class_Players!$A:$A,Class_Players!$F:$F,"")</f>
        <v>10057</v>
      </c>
      <c r="I408" s="44">
        <f t="shared" si="94"/>
        <v>9.3864969672864673E-2</v>
      </c>
      <c r="J408" s="43">
        <f t="shared" si="95"/>
        <v>0</v>
      </c>
      <c r="K408" s="44" cm="1">
        <f t="array" ref="K408">IF(D408="Gadget",_xlfn.IFS(I408&gt;=0.2,0.5,I408&gt;=0.1,0.35,I408&gt;=0.05,0.2,TRUE,0),IF(D408="Grenade",_xlfn.IFS(I408&gt;=0.2,1,I408&gt;=0.1,0.7,I408&gt;=0.05,0.4,TRUE,0),0))</f>
        <v>0.4</v>
      </c>
      <c r="L408" s="57">
        <f t="shared" ref="L408:L409" si="98">IF($K408=0,0,$K408 / SUMIFS($K:$K,$A:$A,$A408,$D:$D,"Grenade"))</f>
        <v>1</v>
      </c>
    </row>
    <row r="409" spans="1:12" x14ac:dyDescent="0.25">
      <c r="A409" s="42" t="str" cm="1">
        <f t="array" ref="A409">IFERROR(INDEX(_xlfn._xlws.FILTER(Class_Players!A:A,Class_Players!B:B="Engineer"),QUOTIENT(ROW()-ROW($A$2),12)+1),"")</f>
        <v>Jah-Munkey</v>
      </c>
      <c r="B409" s="42" t="str">
        <f>_xlfn.XLOOKUP(A409,Class_Players!$A:$A,Class_Players!$B:$B,"")</f>
        <v>Engineer</v>
      </c>
      <c r="C409" s="42" t="str" cm="1">
        <f t="array" ref="C409">INDEX(Lookups!$B$2:$B$13,MOD(ROW()-ROW($B$2),ROWS(Lookups!$B$2:$B$13))+1)</f>
        <v>Anti-Vehicle Grenade</v>
      </c>
      <c r="D409" s="38" t="str">
        <f>_xlfn.XLOOKUP(C409,Analysis_Gadgets!$C:$C,Analysis_Gadgets!$B:$B)</f>
        <v>Grenade</v>
      </c>
      <c r="E409" s="43">
        <v>0</v>
      </c>
      <c r="F409" s="43">
        <f>_xlfn.XLOOKUP(A409,Class_Players!A:A,Class_Players!G:G)</f>
        <v>381</v>
      </c>
      <c r="G409" s="43">
        <f t="shared" si="93"/>
        <v>0</v>
      </c>
      <c r="H409" s="43">
        <f>_xlfn.XLOOKUP(A409,Class_Players!$A:$A,Class_Players!$F:$F,"")</f>
        <v>10057</v>
      </c>
      <c r="I409" s="44">
        <f t="shared" si="94"/>
        <v>0</v>
      </c>
      <c r="J409" s="43">
        <f t="shared" si="95"/>
        <v>0</v>
      </c>
      <c r="K409" s="44" cm="1">
        <f t="array" ref="K409">IF(D409="Gadget",_xlfn.IFS(I409&gt;=0.2,0.5,I409&gt;=0.1,0.35,I409&gt;=0.05,0.2,TRUE,0),IF(D409="Grenade",_xlfn.IFS(I409&gt;=0.2,1,I409&gt;=0.1,0.7,I409&gt;=0.05,0.4,TRUE,0),0))</f>
        <v>0</v>
      </c>
      <c r="L409" s="57">
        <f t="shared" si="98"/>
        <v>0</v>
      </c>
    </row>
    <row r="410" spans="1:12" x14ac:dyDescent="0.25">
      <c r="A410" s="42" t="str" cm="1">
        <f t="array" ref="A410">IFERROR(INDEX(_xlfn._xlws.FILTER(Class_Players!A:A,Class_Players!B:B="Engineer"),QUOTIENT(ROW()-ROW($A$2),12)+1),"")</f>
        <v>SuBj3cT [Bot]</v>
      </c>
      <c r="B410" s="42" t="str">
        <f>_xlfn.XLOOKUP(A410,Class_Players!$A:$A,Class_Players!$B:$B,"")</f>
        <v>Engineer</v>
      </c>
      <c r="C410" s="42" t="str" cm="1">
        <f t="array" ref="C410">INDEX(Lookups!$B$2:$B$13,MOD(ROW()-ROW($B$2),ROWS(Lookups!$B$2:$B$13))+1)</f>
        <v>MBT-LAW (Auto-Guided Launcher)</v>
      </c>
      <c r="D410" s="38" t="str">
        <f>_xlfn.XLOOKUP(C410,Analysis_Gadgets!$C:$C,Analysis_Gadgets!$B:$B)</f>
        <v>Gadget</v>
      </c>
      <c r="E410" s="43">
        <v>0</v>
      </c>
      <c r="F410" s="43">
        <f>_xlfn.XLOOKUP(A410,Class_Players!A:A,Class_Players!G:G)</f>
        <v>450</v>
      </c>
      <c r="G410" s="43">
        <f t="shared" si="93"/>
        <v>0</v>
      </c>
      <c r="H410" s="43">
        <f>_xlfn.XLOOKUP(A410,Class_Players!$A:$A,Class_Players!$F:$F,"")</f>
        <v>9743</v>
      </c>
      <c r="I410" s="44">
        <f t="shared" si="94"/>
        <v>0</v>
      </c>
      <c r="J410" s="43">
        <f t="shared" si="95"/>
        <v>0</v>
      </c>
      <c r="K410" s="44" cm="1">
        <f t="array" ref="K410">IF(D410="Gadget",_xlfn.IFS(I410&gt;=0.2,0.5,I410&gt;=0.1,0.35,I410&gt;=0.05,0.2,TRUE,0),IF(D410="Grenade",_xlfn.IFS(I410&gt;=0.2,1,I410&gt;=0.1,0.7,I410&gt;=0.05,0.4,TRUE,0),0))</f>
        <v>0</v>
      </c>
      <c r="L410" s="57">
        <f t="shared" ref="L410:L419" si="99">IF($K410=0,0,$K410 / SUMIFS($K:$K,$A:$A,$A410,$D:$D,"Gadget"))</f>
        <v>0</v>
      </c>
    </row>
    <row r="411" spans="1:12" x14ac:dyDescent="0.25">
      <c r="A411" s="42" t="str" cm="1">
        <f t="array" ref="A411">IFERROR(INDEX(_xlfn._xlws.FILTER(Class_Players!A:A,Class_Players!B:B="Engineer"),QUOTIENT(ROW()-ROW($A$2),12)+1),"")</f>
        <v>SuBj3cT [Bot]</v>
      </c>
      <c r="B411" s="42" t="str">
        <f>_xlfn.XLOOKUP(A411,Class_Players!$A:$A,Class_Players!$B:$B,"")</f>
        <v>Engineer</v>
      </c>
      <c r="C411" s="42" t="str" cm="1">
        <f t="array" ref="C411">INDEX(Lookups!$B$2:$B$13,MOD(ROW()-ROW($B$2),ROWS(Lookups!$B$2:$B$13))+1)</f>
        <v>SLM-93A (Air-Defense Launcher)</v>
      </c>
      <c r="D411" s="38" t="str">
        <f>_xlfn.XLOOKUP(C411,Analysis_Gadgets!$C:$C,Analysis_Gadgets!$B:$B)</f>
        <v>Gadget</v>
      </c>
      <c r="E411" s="43">
        <v>76</v>
      </c>
      <c r="F411" s="43">
        <f>_xlfn.XLOOKUP(A411,Class_Players!A:A,Class_Players!G:G)</f>
        <v>450</v>
      </c>
      <c r="G411" s="43">
        <f t="shared" si="93"/>
        <v>0.16888888888888889</v>
      </c>
      <c r="H411" s="43">
        <f>_xlfn.XLOOKUP(A411,Class_Players!$A:$A,Class_Players!$F:$F,"")</f>
        <v>9743</v>
      </c>
      <c r="I411" s="44">
        <f t="shared" si="94"/>
        <v>7.8004721338396799E-3</v>
      </c>
      <c r="J411" s="43">
        <f t="shared" si="95"/>
        <v>0</v>
      </c>
      <c r="K411" s="44" cm="1">
        <f t="array" ref="K411">IF(D411="Gadget",_xlfn.IFS(I411&gt;=0.2,0.5,I411&gt;=0.1,0.35,I411&gt;=0.05,0.2,TRUE,0),IF(D411="Grenade",_xlfn.IFS(I411&gt;=0.2,1,I411&gt;=0.1,0.7,I411&gt;=0.05,0.4,TRUE,0),0))</f>
        <v>0</v>
      </c>
      <c r="L411" s="57">
        <f t="shared" si="99"/>
        <v>0</v>
      </c>
    </row>
    <row r="412" spans="1:12" x14ac:dyDescent="0.25">
      <c r="A412" s="42" t="str" cm="1">
        <f t="array" ref="A412">IFERROR(INDEX(_xlfn._xlws.FILTER(Class_Players!A:A,Class_Players!B:B="Engineer"),QUOTIENT(ROW()-ROW($A$2),12)+1),"")</f>
        <v>SuBj3cT [Bot]</v>
      </c>
      <c r="B412" s="42" t="str">
        <f>_xlfn.XLOOKUP(A412,Class_Players!$A:$A,Class_Players!$B:$B,"")</f>
        <v>Engineer</v>
      </c>
      <c r="C412" s="42" t="str" cm="1">
        <f t="array" ref="C412">INDEX(Lookups!$B$2:$B$13,MOD(ROW()-ROW($B$2),ROWS(Lookups!$B$2:$B$13))+1)</f>
        <v>RPG-7V2 (Unguided Rocket Launcher)</v>
      </c>
      <c r="D412" s="38" t="str">
        <f>_xlfn.XLOOKUP(C412,Analysis_Gadgets!$C:$C,Analysis_Gadgets!$B:$B)</f>
        <v>Gadget</v>
      </c>
      <c r="E412" s="43">
        <v>8751</v>
      </c>
      <c r="F412" s="43">
        <f>_xlfn.XLOOKUP(A412,Class_Players!A:A,Class_Players!G:G)</f>
        <v>450</v>
      </c>
      <c r="G412" s="43">
        <f t="shared" si="93"/>
        <v>19.446666666666665</v>
      </c>
      <c r="H412" s="43">
        <f>_xlfn.XLOOKUP(A412,Class_Players!$A:$A,Class_Players!$F:$F,"")</f>
        <v>9743</v>
      </c>
      <c r="I412" s="44">
        <f t="shared" si="94"/>
        <v>0.89818331109514526</v>
      </c>
      <c r="J412" s="43">
        <f t="shared" si="95"/>
        <v>1</v>
      </c>
      <c r="K412" s="44" cm="1">
        <f t="array" ref="K412">IF(D412="Gadget",_xlfn.IFS(I412&gt;=0.2,0.5,I412&gt;=0.1,0.35,I412&gt;=0.05,0.2,TRUE,0),IF(D412="Grenade",_xlfn.IFS(I412&gt;=0.2,1,I412&gt;=0.1,0.7,I412&gt;=0.05,0.4,TRUE,0),0))</f>
        <v>0.5</v>
      </c>
      <c r="L412" s="57">
        <f t="shared" si="99"/>
        <v>0.5</v>
      </c>
    </row>
    <row r="413" spans="1:12" x14ac:dyDescent="0.25">
      <c r="A413" s="42" t="str" cm="1">
        <f t="array" ref="A413">IFERROR(INDEX(_xlfn._xlws.FILTER(Class_Players!A:A,Class_Players!B:B="Engineer"),QUOTIENT(ROW()-ROW($A$2),12)+1),"")</f>
        <v>SuBj3cT [Bot]</v>
      </c>
      <c r="B413" s="42" t="str">
        <f>_xlfn.XLOOKUP(A413,Class_Players!$A:$A,Class_Players!$B:$B,"")</f>
        <v>Engineer</v>
      </c>
      <c r="C413" s="42" t="str" cm="1">
        <f t="array" ref="C413">INDEX(Lookups!$B$2:$B$13,MOD(ROW()-ROW($B$2),ROWS(Lookups!$B$2:$B$13))+1)</f>
        <v>MAS 148 (Long-Range Launcher)</v>
      </c>
      <c r="D413" s="38" t="str">
        <f>_xlfn.XLOOKUP(C413,Analysis_Gadgets!$C:$C,Analysis_Gadgets!$B:$B)</f>
        <v>Gadget</v>
      </c>
      <c r="E413" s="43">
        <v>2</v>
      </c>
      <c r="F413" s="43">
        <f>_xlfn.XLOOKUP(A413,Class_Players!A:A,Class_Players!G:G)</f>
        <v>450</v>
      </c>
      <c r="G413" s="43">
        <f t="shared" si="93"/>
        <v>4.4444444444444444E-3</v>
      </c>
      <c r="H413" s="43">
        <f>_xlfn.XLOOKUP(A413,Class_Players!$A:$A,Class_Players!$F:$F,"")</f>
        <v>9743</v>
      </c>
      <c r="I413" s="44">
        <f t="shared" si="94"/>
        <v>2.0527558246946525E-4</v>
      </c>
      <c r="J413" s="43">
        <f t="shared" si="95"/>
        <v>0</v>
      </c>
      <c r="K413" s="44" cm="1">
        <f t="array" ref="K413">IF(D413="Gadget",_xlfn.IFS(I413&gt;=0.2,0.5,I413&gt;=0.1,0.35,I413&gt;=0.05,0.2,TRUE,0),IF(D413="Grenade",_xlfn.IFS(I413&gt;=0.2,1,I413&gt;=0.1,0.7,I413&gt;=0.05,0.4,TRUE,0),0))</f>
        <v>0</v>
      </c>
      <c r="L413" s="57">
        <f t="shared" si="99"/>
        <v>0</v>
      </c>
    </row>
    <row r="414" spans="1:12" x14ac:dyDescent="0.25">
      <c r="A414" s="42" t="str" cm="1">
        <f t="array" ref="A414">IFERROR(INDEX(_xlfn._xlws.FILTER(Class_Players!A:A,Class_Players!B:B="Engineer"),QUOTIENT(ROW()-ROW($A$2),12)+1),"")</f>
        <v>SuBj3cT [Bot]</v>
      </c>
      <c r="B414" s="42" t="str">
        <f>_xlfn.XLOOKUP(A414,Class_Players!$A:$A,Class_Players!$B:$B,"")</f>
        <v>Engineer</v>
      </c>
      <c r="C414" s="42" t="str" cm="1">
        <f t="array" ref="C414">INDEX(Lookups!$B$2:$B$13,MOD(ROW()-ROW($B$2),ROWS(Lookups!$B$2:$B$13))+1)</f>
        <v>M136 AT (Aim-Guided Launcher)</v>
      </c>
      <c r="D414" s="38" t="str">
        <f>_xlfn.XLOOKUP(C414,Analysis_Gadgets!$C:$C,Analysis_Gadgets!$B:$B)</f>
        <v>Gadget</v>
      </c>
      <c r="E414" s="43">
        <v>8</v>
      </c>
      <c r="F414" s="43">
        <f>_xlfn.XLOOKUP(A414,Class_Players!A:A,Class_Players!G:G)</f>
        <v>450</v>
      </c>
      <c r="G414" s="43">
        <f t="shared" si="93"/>
        <v>1.7777777777777778E-2</v>
      </c>
      <c r="H414" s="43">
        <f>_xlfn.XLOOKUP(A414,Class_Players!$A:$A,Class_Players!$F:$F,"")</f>
        <v>9743</v>
      </c>
      <c r="I414" s="44">
        <f t="shared" si="94"/>
        <v>8.2110232987786102E-4</v>
      </c>
      <c r="J414" s="43">
        <f t="shared" si="95"/>
        <v>0</v>
      </c>
      <c r="K414" s="44" cm="1">
        <f t="array" ref="K414">IF(D414="Gadget",_xlfn.IFS(I414&gt;=0.2,0.5,I414&gt;=0.1,0.35,I414&gt;=0.05,0.2,TRUE,0),IF(D414="Grenade",_xlfn.IFS(I414&gt;=0.2,1,I414&gt;=0.1,0.7,I414&gt;=0.05,0.4,TRUE,0),0))</f>
        <v>0</v>
      </c>
      <c r="L414" s="57">
        <f t="shared" si="99"/>
        <v>0</v>
      </c>
    </row>
    <row r="415" spans="1:12" x14ac:dyDescent="0.25">
      <c r="A415" s="42" t="str" cm="1">
        <f t="array" ref="A415">IFERROR(INDEX(_xlfn._xlws.FILTER(Class_Players!A:A,Class_Players!B:B="Engineer"),QUOTIENT(ROW()-ROW($A$2),12)+1),"")</f>
        <v>SuBj3cT [Bot]</v>
      </c>
      <c r="B415" s="42" t="str">
        <f>_xlfn.XLOOKUP(A415,Class_Players!$A:$A,Class_Players!$B:$B,"")</f>
        <v>Engineer</v>
      </c>
      <c r="C415" s="42" t="str" cm="1">
        <f t="array" ref="C415">INDEX(Lookups!$B$2:$B$13,MOD(ROW()-ROW($B$2),ROWS(Lookups!$B$2:$B$13))+1)</f>
        <v>Supply Crate</v>
      </c>
      <c r="D415" s="38" t="str">
        <f>_xlfn.XLOOKUP(C415,Analysis_Gadgets!$C:$C,Analysis_Gadgets!$B:$B)</f>
        <v>Gadget</v>
      </c>
      <c r="E415" s="43">
        <v>148</v>
      </c>
      <c r="F415" s="43">
        <f>_xlfn.XLOOKUP(A415,Class_Players!A:A,Class_Players!G:G)</f>
        <v>450</v>
      </c>
      <c r="G415" s="43">
        <f t="shared" si="93"/>
        <v>0.3288888888888889</v>
      </c>
      <c r="H415" s="43">
        <f>_xlfn.XLOOKUP(A415,Class_Players!$A:$A,Class_Players!$F:$F,"")</f>
        <v>9743</v>
      </c>
      <c r="I415" s="44">
        <f t="shared" si="94"/>
        <v>1.5190393102740429E-2</v>
      </c>
      <c r="J415" s="43">
        <f t="shared" si="95"/>
        <v>0</v>
      </c>
      <c r="K415" s="44" cm="1">
        <f t="array" ref="K415">IF(D415="Gadget",_xlfn.IFS(I415&gt;=0.2,0.5,I415&gt;=0.1,0.35,I415&gt;=0.05,0.2,TRUE,0),IF(D415="Grenade",_xlfn.IFS(I415&gt;=0.2,1,I415&gt;=0.1,0.7,I415&gt;=0.05,0.4,TRUE,0),0))</f>
        <v>0</v>
      </c>
      <c r="L415" s="57">
        <f t="shared" si="99"/>
        <v>0</v>
      </c>
    </row>
    <row r="416" spans="1:12" x14ac:dyDescent="0.25">
      <c r="A416" s="42" t="str" cm="1">
        <f t="array" ref="A416">IFERROR(INDEX(_xlfn._xlws.FILTER(Class_Players!A:A,Class_Players!B:B="Engineer"),QUOTIENT(ROW()-ROW($A$2),12)+1),"")</f>
        <v>SuBj3cT [Bot]</v>
      </c>
      <c r="B416" s="42" t="str">
        <f>_xlfn.XLOOKUP(A416,Class_Players!$A:$A,Class_Players!$B:$B,"")</f>
        <v>Engineer</v>
      </c>
      <c r="C416" s="42" t="str" cm="1">
        <f t="array" ref="C416">INDEX(Lookups!$B$2:$B$13,MOD(ROW()-ROW($B$2),ROWS(Lookups!$B$2:$B$13))+1)</f>
        <v>M15 (Anti-Vehicle Mine)</v>
      </c>
      <c r="D416" s="38" t="str">
        <f>_xlfn.XLOOKUP(C416,Analysis_Gadgets!$C:$C,Analysis_Gadgets!$B:$B)</f>
        <v>Gadget</v>
      </c>
      <c r="E416" s="43">
        <v>7295</v>
      </c>
      <c r="F416" s="43">
        <f>_xlfn.XLOOKUP(A416,Class_Players!A:A,Class_Players!G:G)</f>
        <v>450</v>
      </c>
      <c r="G416" s="43">
        <f t="shared" si="93"/>
        <v>16.211111111111112</v>
      </c>
      <c r="H416" s="43">
        <f>_xlfn.XLOOKUP(A416,Class_Players!$A:$A,Class_Players!$F:$F,"")</f>
        <v>9743</v>
      </c>
      <c r="I416" s="44">
        <f t="shared" si="94"/>
        <v>0.74874268705737457</v>
      </c>
      <c r="J416" s="43">
        <f t="shared" si="95"/>
        <v>1</v>
      </c>
      <c r="K416" s="44" cm="1">
        <f t="array" ref="K416">IF(D416="Gadget",_xlfn.IFS(I416&gt;=0.2,0.5,I416&gt;=0.1,0.35,I416&gt;=0.05,0.2,TRUE,0),IF(D416="Grenade",_xlfn.IFS(I416&gt;=0.2,1,I416&gt;=0.1,0.7,I416&gt;=0.05,0.4,TRUE,0),0))</f>
        <v>0.5</v>
      </c>
      <c r="L416" s="57">
        <f t="shared" si="99"/>
        <v>0.5</v>
      </c>
    </row>
    <row r="417" spans="1:12" x14ac:dyDescent="0.25">
      <c r="A417" s="42" t="str" cm="1">
        <f t="array" ref="A417">IFERROR(INDEX(_xlfn._xlws.FILTER(Class_Players!A:A,Class_Players!B:B="Engineer"),QUOTIENT(ROW()-ROW($A$2),12)+1),"")</f>
        <v>SuBj3cT [Bot]</v>
      </c>
      <c r="B417" s="42" t="str">
        <f>_xlfn.XLOOKUP(A417,Class_Players!$A:$A,Class_Players!$B:$B,"")</f>
        <v>Engineer</v>
      </c>
      <c r="C417" s="42" t="str" cm="1">
        <f t="array" ref="C417">INDEX(Lookups!$B$2:$B$13,MOD(ROW()-ROW($B$2),ROWS(Lookups!$B$2:$B$13))+1)</f>
        <v>PTKM-1R (Acoustic Sensor AV Mine)</v>
      </c>
      <c r="D417" s="38" t="str">
        <f>_xlfn.XLOOKUP(C417,Analysis_Gadgets!$C:$C,Analysis_Gadgets!$B:$B)</f>
        <v>Gadget</v>
      </c>
      <c r="E417" s="43">
        <v>30</v>
      </c>
      <c r="F417" s="43">
        <f>_xlfn.XLOOKUP(A417,Class_Players!A:A,Class_Players!G:G)</f>
        <v>450</v>
      </c>
      <c r="G417" s="43">
        <f t="shared" si="93"/>
        <v>6.6666666666666666E-2</v>
      </c>
      <c r="H417" s="43">
        <f>_xlfn.XLOOKUP(A417,Class_Players!$A:$A,Class_Players!$F:$F,"")</f>
        <v>9743</v>
      </c>
      <c r="I417" s="44">
        <f t="shared" si="94"/>
        <v>3.0791337370419791E-3</v>
      </c>
      <c r="J417" s="43">
        <f t="shared" si="95"/>
        <v>0</v>
      </c>
      <c r="K417" s="44" cm="1">
        <f t="array" ref="K417">IF(D417="Gadget",_xlfn.IFS(I417&gt;=0.2,0.5,I417&gt;=0.1,0.35,I417&gt;=0.05,0.2,TRUE,0),IF(D417="Grenade",_xlfn.IFS(I417&gt;=0.2,1,I417&gt;=0.1,0.7,I417&gt;=0.05,0.4,TRUE,0),0))</f>
        <v>0</v>
      </c>
      <c r="L417" s="57">
        <f t="shared" si="99"/>
        <v>0</v>
      </c>
    </row>
    <row r="418" spans="1:12" x14ac:dyDescent="0.25">
      <c r="A418" s="42" t="str" cm="1">
        <f t="array" ref="A418">IFERROR(INDEX(_xlfn._xlws.FILTER(Class_Players!A:A,Class_Players!B:B="Engineer"),QUOTIENT(ROW()-ROW($A$2),12)+1),"")</f>
        <v>SuBj3cT [Bot]</v>
      </c>
      <c r="B418" s="42" t="str">
        <f>_xlfn.XLOOKUP(A418,Class_Players!$A:$A,Class_Players!$B:$B,"")</f>
        <v>Engineer</v>
      </c>
      <c r="C418" s="42" t="str" cm="1">
        <f t="array" ref="C418">INDEX(Lookups!$B$2:$B$13,MOD(ROW()-ROW($B$2),ROWS(Lookups!$B$2:$B$13))+1)</f>
        <v>EOD Bot</v>
      </c>
      <c r="D418" s="38" t="str">
        <f>_xlfn.XLOOKUP(C418,Analysis_Gadgets!$C:$C,Analysis_Gadgets!$B:$B)</f>
        <v>Gadget</v>
      </c>
      <c r="E418" s="43">
        <v>101</v>
      </c>
      <c r="F418" s="43">
        <f>_xlfn.XLOOKUP(A418,Class_Players!A:A,Class_Players!G:G)</f>
        <v>450</v>
      </c>
      <c r="G418" s="43">
        <f t="shared" si="93"/>
        <v>0.22444444444444445</v>
      </c>
      <c r="H418" s="43">
        <f>_xlfn.XLOOKUP(A418,Class_Players!$A:$A,Class_Players!$F:$F,"")</f>
        <v>9743</v>
      </c>
      <c r="I418" s="44">
        <f t="shared" si="94"/>
        <v>1.0366416914707995E-2</v>
      </c>
      <c r="J418" s="43">
        <f t="shared" si="95"/>
        <v>0</v>
      </c>
      <c r="K418" s="44" cm="1">
        <f t="array" ref="K418">IF(D418="Gadget",_xlfn.IFS(I418&gt;=0.2,0.5,I418&gt;=0.1,0.35,I418&gt;=0.05,0.2,TRUE,0),IF(D418="Grenade",_xlfn.IFS(I418&gt;=0.2,1,I418&gt;=0.1,0.7,I418&gt;=0.05,0.4,TRUE,0),0))</f>
        <v>0</v>
      </c>
      <c r="L418" s="57">
        <f t="shared" si="99"/>
        <v>0</v>
      </c>
    </row>
    <row r="419" spans="1:12" x14ac:dyDescent="0.25">
      <c r="A419" s="42" t="str" cm="1">
        <f t="array" ref="A419">IFERROR(INDEX(_xlfn._xlws.FILTER(Class_Players!A:A,Class_Players!B:B="Engineer"),QUOTIENT(ROW()-ROW($A$2),12)+1),"")</f>
        <v>SuBj3cT [Bot]</v>
      </c>
      <c r="B419" s="42" t="str">
        <f>_xlfn.XLOOKUP(A419,Class_Players!$A:$A,Class_Players!$B:$B,"")</f>
        <v>Engineer</v>
      </c>
      <c r="C419" s="42" t="str" cm="1">
        <f t="array" ref="C419">INDEX(Lookups!$B$2:$B$13,MOD(ROW()-ROW($B$2),ROWS(Lookups!$B$2:$B$13))+1)</f>
        <v>M4A1 SLAM (Tripwire Sensor AV Mine)</v>
      </c>
      <c r="D419" s="38" t="str">
        <f>_xlfn.XLOOKUP(C419,Analysis_Gadgets!$C:$C,Analysis_Gadgets!$B:$B)</f>
        <v>Gadget</v>
      </c>
      <c r="E419" s="43">
        <v>52</v>
      </c>
      <c r="F419" s="43">
        <f>_xlfn.XLOOKUP(A419,Class_Players!A:A,Class_Players!G:G)</f>
        <v>450</v>
      </c>
      <c r="G419" s="43">
        <f t="shared" si="93"/>
        <v>0.11555555555555555</v>
      </c>
      <c r="H419" s="43">
        <f>_xlfn.XLOOKUP(A419,Class_Players!$A:$A,Class_Players!$F:$F,"")</f>
        <v>9743</v>
      </c>
      <c r="I419" s="44">
        <f t="shared" si="94"/>
        <v>5.3371651442060963E-3</v>
      </c>
      <c r="J419" s="43">
        <f t="shared" si="95"/>
        <v>0</v>
      </c>
      <c r="K419" s="44" cm="1">
        <f t="array" ref="K419">IF(D419="Gadget",_xlfn.IFS(I419&gt;=0.2,0.5,I419&gt;=0.1,0.35,I419&gt;=0.05,0.2,TRUE,0),IF(D419="Grenade",_xlfn.IFS(I419&gt;=0.2,1,I419&gt;=0.1,0.7,I419&gt;=0.05,0.4,TRUE,0),0))</f>
        <v>0</v>
      </c>
      <c r="L419" s="57">
        <f t="shared" si="99"/>
        <v>0</v>
      </c>
    </row>
    <row r="420" spans="1:12" x14ac:dyDescent="0.25">
      <c r="A420" s="42" t="str" cm="1">
        <f t="array" ref="A420">IFERROR(INDEX(_xlfn._xlws.FILTER(Class_Players!A:A,Class_Players!B:B="Engineer"),QUOTIENT(ROW()-ROW($A$2),12)+1),"")</f>
        <v>SuBj3cT [Bot]</v>
      </c>
      <c r="B420" s="42" t="str">
        <f>_xlfn.XLOOKUP(A420,Class_Players!$A:$A,Class_Players!$B:$B,"")</f>
        <v>Engineer</v>
      </c>
      <c r="C420" s="42" t="str" cm="1">
        <f t="array" ref="C420">INDEX(Lookups!$B$2:$B$13,MOD(ROW()-ROW($B$2),ROWS(Lookups!$B$2:$B$13))+1)</f>
        <v>Mini Frag Grenade</v>
      </c>
      <c r="D420" s="38" t="str">
        <f>_xlfn.XLOOKUP(C420,Analysis_Gadgets!$C:$C,Analysis_Gadgets!$B:$B)</f>
        <v>Grenade</v>
      </c>
      <c r="E420" s="43">
        <v>11</v>
      </c>
      <c r="F420" s="43">
        <f>_xlfn.XLOOKUP(A420,Class_Players!A:A,Class_Players!G:G)</f>
        <v>450</v>
      </c>
      <c r="G420" s="43">
        <f t="shared" si="93"/>
        <v>2.4444444444444446E-2</v>
      </c>
      <c r="H420" s="43">
        <f>_xlfn.XLOOKUP(A420,Class_Players!$A:$A,Class_Players!$F:$F,"")</f>
        <v>9743</v>
      </c>
      <c r="I420" s="44">
        <f t="shared" si="94"/>
        <v>1.1290157035820589E-3</v>
      </c>
      <c r="J420" s="43">
        <f t="shared" si="95"/>
        <v>0</v>
      </c>
      <c r="K420" s="44" cm="1">
        <f t="array" ref="K420">IF(D420="Gadget",_xlfn.IFS(I420&gt;=0.2,0.5,I420&gt;=0.1,0.35,I420&gt;=0.05,0.2,TRUE,0),IF(D420="Grenade",_xlfn.IFS(I420&gt;=0.2,1,I420&gt;=0.1,0.7,I420&gt;=0.05,0.4,TRUE,0),0))</f>
        <v>0</v>
      </c>
      <c r="L420" s="57">
        <f t="shared" ref="L420:L421" si="100">IF($K420=0,0,$K420 / SUMIFS($K:$K,$A:$A,$A420,$D:$D,"Grenade"))</f>
        <v>0</v>
      </c>
    </row>
    <row r="421" spans="1:12" x14ac:dyDescent="0.25">
      <c r="A421" s="42" t="str" cm="1">
        <f t="array" ref="A421">IFERROR(INDEX(_xlfn._xlws.FILTER(Class_Players!A:A,Class_Players!B:B="Engineer"),QUOTIENT(ROW()-ROW($A$2),12)+1),"")</f>
        <v>SuBj3cT [Bot]</v>
      </c>
      <c r="B421" s="42" t="str">
        <f>_xlfn.XLOOKUP(A421,Class_Players!$A:$A,Class_Players!$B:$B,"")</f>
        <v>Engineer</v>
      </c>
      <c r="C421" s="42" t="str" cm="1">
        <f t="array" ref="C421">INDEX(Lookups!$B$2:$B$13,MOD(ROW()-ROW($B$2),ROWS(Lookups!$B$2:$B$13))+1)</f>
        <v>Anti-Vehicle Grenade</v>
      </c>
      <c r="D421" s="38" t="str">
        <f>_xlfn.XLOOKUP(C421,Analysis_Gadgets!$C:$C,Analysis_Gadgets!$B:$B)</f>
        <v>Grenade</v>
      </c>
      <c r="E421" s="43">
        <v>0</v>
      </c>
      <c r="F421" s="43">
        <f>_xlfn.XLOOKUP(A421,Class_Players!A:A,Class_Players!G:G)</f>
        <v>450</v>
      </c>
      <c r="G421" s="43">
        <f t="shared" si="93"/>
        <v>0</v>
      </c>
      <c r="H421" s="43">
        <f>_xlfn.XLOOKUP(A421,Class_Players!$A:$A,Class_Players!$F:$F,"")</f>
        <v>9743</v>
      </c>
      <c r="I421" s="44">
        <f t="shared" si="94"/>
        <v>0</v>
      </c>
      <c r="J421" s="43">
        <f t="shared" si="95"/>
        <v>0</v>
      </c>
      <c r="K421" s="44" cm="1">
        <f t="array" ref="K421">IF(D421="Gadget",_xlfn.IFS(I421&gt;=0.2,0.5,I421&gt;=0.1,0.35,I421&gt;=0.05,0.2,TRUE,0),IF(D421="Grenade",_xlfn.IFS(I421&gt;=0.2,1,I421&gt;=0.1,0.7,I421&gt;=0.05,0.4,TRUE,0),0))</f>
        <v>0</v>
      </c>
      <c r="L421" s="57">
        <f t="shared" si="100"/>
        <v>0</v>
      </c>
    </row>
    <row r="422" spans="1:12" x14ac:dyDescent="0.25">
      <c r="A422" s="42" t="str" cm="1">
        <f t="array" ref="A422">IFERROR(INDEX(_xlfn._xlws.FILTER(Class_Players!A:A,Class_Players!B:B="Engineer"),QUOTIENT(ROW()-ROW($A$2),12)+1),"")</f>
        <v>CammedSS2015</v>
      </c>
      <c r="B422" s="42" t="str">
        <f>_xlfn.XLOOKUP(A422,Class_Players!$A:$A,Class_Players!$B:$B,"")</f>
        <v>Engineer</v>
      </c>
      <c r="C422" s="42" t="str" cm="1">
        <f t="array" ref="C422">INDEX(Lookups!$B$2:$B$13,MOD(ROW()-ROW($B$2),ROWS(Lookups!$B$2:$B$13))+1)</f>
        <v>MBT-LAW (Auto-Guided Launcher)</v>
      </c>
      <c r="D422" s="38" t="str">
        <f>_xlfn.XLOOKUP(C422,Analysis_Gadgets!$C:$C,Analysis_Gadgets!$B:$B)</f>
        <v>Gadget</v>
      </c>
      <c r="E422" s="43">
        <v>0</v>
      </c>
      <c r="F422" s="43">
        <f>_xlfn.XLOOKUP(A422,Class_Players!A:A,Class_Players!G:G)</f>
        <v>174</v>
      </c>
      <c r="G422" s="43">
        <f t="shared" si="93"/>
        <v>0</v>
      </c>
      <c r="H422" s="43">
        <f>_xlfn.XLOOKUP(A422,Class_Players!$A:$A,Class_Players!$F:$F,"")</f>
        <v>11086</v>
      </c>
      <c r="I422" s="44">
        <f t="shared" si="94"/>
        <v>0</v>
      </c>
      <c r="J422" s="43">
        <f t="shared" si="95"/>
        <v>0</v>
      </c>
      <c r="K422" s="44" cm="1">
        <f t="array" ref="K422">IF(D422="Gadget",_xlfn.IFS(I422&gt;=0.2,0.5,I422&gt;=0.1,0.35,I422&gt;=0.05,0.2,TRUE,0),IF(D422="Grenade",_xlfn.IFS(I422&gt;=0.2,1,I422&gt;=0.1,0.7,I422&gt;=0.05,0.4,TRUE,0),0))</f>
        <v>0</v>
      </c>
      <c r="L422" s="57">
        <f t="shared" ref="L422:L431" si="101">IF($K422=0,0,$K422 / SUMIFS($K:$K,$A:$A,$A422,$D:$D,"Gadget"))</f>
        <v>0</v>
      </c>
    </row>
    <row r="423" spans="1:12" x14ac:dyDescent="0.25">
      <c r="A423" s="42" t="str" cm="1">
        <f t="array" ref="A423">IFERROR(INDEX(_xlfn._xlws.FILTER(Class_Players!A:A,Class_Players!B:B="Engineer"),QUOTIENT(ROW()-ROW($A$2),12)+1),"")</f>
        <v>CammedSS2015</v>
      </c>
      <c r="B423" s="42" t="str">
        <f>_xlfn.XLOOKUP(A423,Class_Players!$A:$A,Class_Players!$B:$B,"")</f>
        <v>Engineer</v>
      </c>
      <c r="C423" s="42" t="str" cm="1">
        <f t="array" ref="C423">INDEX(Lookups!$B$2:$B$13,MOD(ROW()-ROW($B$2),ROWS(Lookups!$B$2:$B$13))+1)</f>
        <v>SLM-93A (Air-Defense Launcher)</v>
      </c>
      <c r="D423" s="38" t="str">
        <f>_xlfn.XLOOKUP(C423,Analysis_Gadgets!$C:$C,Analysis_Gadgets!$B:$B)</f>
        <v>Gadget</v>
      </c>
      <c r="E423" s="43">
        <v>0</v>
      </c>
      <c r="F423" s="43">
        <f>_xlfn.XLOOKUP(A423,Class_Players!A:A,Class_Players!G:G)</f>
        <v>174</v>
      </c>
      <c r="G423" s="43">
        <f t="shared" si="93"/>
        <v>0</v>
      </c>
      <c r="H423" s="43">
        <f>_xlfn.XLOOKUP(A423,Class_Players!$A:$A,Class_Players!$F:$F,"")</f>
        <v>11086</v>
      </c>
      <c r="I423" s="44">
        <f t="shared" si="94"/>
        <v>0</v>
      </c>
      <c r="J423" s="43">
        <f t="shared" si="95"/>
        <v>0</v>
      </c>
      <c r="K423" s="44" cm="1">
        <f t="array" ref="K423">IF(D423="Gadget",_xlfn.IFS(I423&gt;=0.2,0.5,I423&gt;=0.1,0.35,I423&gt;=0.05,0.2,TRUE,0),IF(D423="Grenade",_xlfn.IFS(I423&gt;=0.2,1,I423&gt;=0.1,0.7,I423&gt;=0.05,0.4,TRUE,0),0))</f>
        <v>0</v>
      </c>
      <c r="L423" s="57">
        <f t="shared" si="101"/>
        <v>0</v>
      </c>
    </row>
    <row r="424" spans="1:12" x14ac:dyDescent="0.25">
      <c r="A424" s="42" t="str" cm="1">
        <f t="array" ref="A424">IFERROR(INDEX(_xlfn._xlws.FILTER(Class_Players!A:A,Class_Players!B:B="Engineer"),QUOTIENT(ROW()-ROW($A$2),12)+1),"")</f>
        <v>CammedSS2015</v>
      </c>
      <c r="B424" s="42" t="str">
        <f>_xlfn.XLOOKUP(A424,Class_Players!$A:$A,Class_Players!$B:$B,"")</f>
        <v>Engineer</v>
      </c>
      <c r="C424" s="42" t="str" cm="1">
        <f t="array" ref="C424">INDEX(Lookups!$B$2:$B$13,MOD(ROW()-ROW($B$2),ROWS(Lookups!$B$2:$B$13))+1)</f>
        <v>RPG-7V2 (Unguided Rocket Launcher)</v>
      </c>
      <c r="D424" s="38" t="str">
        <f>_xlfn.XLOOKUP(C424,Analysis_Gadgets!$C:$C,Analysis_Gadgets!$B:$B)</f>
        <v>Gadget</v>
      </c>
      <c r="E424" s="43">
        <v>6008</v>
      </c>
      <c r="F424" s="43">
        <f>_xlfn.XLOOKUP(A424,Class_Players!A:A,Class_Players!G:G)</f>
        <v>174</v>
      </c>
      <c r="G424" s="43">
        <f t="shared" si="93"/>
        <v>34.52873563218391</v>
      </c>
      <c r="H424" s="43">
        <f>_xlfn.XLOOKUP(A424,Class_Players!$A:$A,Class_Players!$F:$F,"")</f>
        <v>11086</v>
      </c>
      <c r="I424" s="44">
        <f t="shared" si="94"/>
        <v>0.54194479523723615</v>
      </c>
      <c r="J424" s="43">
        <f t="shared" si="95"/>
        <v>1</v>
      </c>
      <c r="K424" s="44" cm="1">
        <f t="array" ref="K424">IF(D424="Gadget",_xlfn.IFS(I424&gt;=0.2,0.5,I424&gt;=0.1,0.35,I424&gt;=0.05,0.2,TRUE,0),IF(D424="Grenade",_xlfn.IFS(I424&gt;=0.2,1,I424&gt;=0.1,0.7,I424&gt;=0.05,0.4,TRUE,0),0))</f>
        <v>0.5</v>
      </c>
      <c r="L424" s="57">
        <f t="shared" si="101"/>
        <v>0.58823529411764708</v>
      </c>
    </row>
    <row r="425" spans="1:12" x14ac:dyDescent="0.25">
      <c r="A425" s="42" t="str" cm="1">
        <f t="array" ref="A425">IFERROR(INDEX(_xlfn._xlws.FILTER(Class_Players!A:A,Class_Players!B:B="Engineer"),QUOTIENT(ROW()-ROW($A$2),12)+1),"")</f>
        <v>CammedSS2015</v>
      </c>
      <c r="B425" s="42" t="str">
        <f>_xlfn.XLOOKUP(A425,Class_Players!$A:$A,Class_Players!$B:$B,"")</f>
        <v>Engineer</v>
      </c>
      <c r="C425" s="42" t="str" cm="1">
        <f t="array" ref="C425">INDEX(Lookups!$B$2:$B$13,MOD(ROW()-ROW($B$2),ROWS(Lookups!$B$2:$B$13))+1)</f>
        <v>MAS 148 (Long-Range Launcher)</v>
      </c>
      <c r="D425" s="38" t="str">
        <f>_xlfn.XLOOKUP(C425,Analysis_Gadgets!$C:$C,Analysis_Gadgets!$B:$B)</f>
        <v>Gadget</v>
      </c>
      <c r="E425" s="43">
        <v>0</v>
      </c>
      <c r="F425" s="43">
        <f>_xlfn.XLOOKUP(A425,Class_Players!A:A,Class_Players!G:G)</f>
        <v>174</v>
      </c>
      <c r="G425" s="43">
        <f t="shared" si="93"/>
        <v>0</v>
      </c>
      <c r="H425" s="43">
        <f>_xlfn.XLOOKUP(A425,Class_Players!$A:$A,Class_Players!$F:$F,"")</f>
        <v>11086</v>
      </c>
      <c r="I425" s="44">
        <f t="shared" si="94"/>
        <v>0</v>
      </c>
      <c r="J425" s="43">
        <f t="shared" si="95"/>
        <v>0</v>
      </c>
      <c r="K425" s="44" cm="1">
        <f t="array" ref="K425">IF(D425="Gadget",_xlfn.IFS(I425&gt;=0.2,0.5,I425&gt;=0.1,0.35,I425&gt;=0.05,0.2,TRUE,0),IF(D425="Grenade",_xlfn.IFS(I425&gt;=0.2,1,I425&gt;=0.1,0.7,I425&gt;=0.05,0.4,TRUE,0),0))</f>
        <v>0</v>
      </c>
      <c r="L425" s="57">
        <f t="shared" si="101"/>
        <v>0</v>
      </c>
    </row>
    <row r="426" spans="1:12" x14ac:dyDescent="0.25">
      <c r="A426" s="42" t="str" cm="1">
        <f t="array" ref="A426">IFERROR(INDEX(_xlfn._xlws.FILTER(Class_Players!A:A,Class_Players!B:B="Engineer"),QUOTIENT(ROW()-ROW($A$2),12)+1),"")</f>
        <v>CammedSS2015</v>
      </c>
      <c r="B426" s="42" t="str">
        <f>_xlfn.XLOOKUP(A426,Class_Players!$A:$A,Class_Players!$B:$B,"")</f>
        <v>Engineer</v>
      </c>
      <c r="C426" s="42" t="str" cm="1">
        <f t="array" ref="C426">INDEX(Lookups!$B$2:$B$13,MOD(ROW()-ROW($B$2),ROWS(Lookups!$B$2:$B$13))+1)</f>
        <v>M136 AT (Aim-Guided Launcher)</v>
      </c>
      <c r="D426" s="38" t="str">
        <f>_xlfn.XLOOKUP(C426,Analysis_Gadgets!$C:$C,Analysis_Gadgets!$B:$B)</f>
        <v>Gadget</v>
      </c>
      <c r="E426" s="43">
        <v>3</v>
      </c>
      <c r="F426" s="43">
        <f>_xlfn.XLOOKUP(A426,Class_Players!A:A,Class_Players!G:G)</f>
        <v>174</v>
      </c>
      <c r="G426" s="43">
        <f t="shared" si="93"/>
        <v>1.7241379310344827E-2</v>
      </c>
      <c r="H426" s="43">
        <f>_xlfn.XLOOKUP(A426,Class_Players!$A:$A,Class_Players!$F:$F,"")</f>
        <v>11086</v>
      </c>
      <c r="I426" s="44">
        <f t="shared" si="94"/>
        <v>2.7061158217571711E-4</v>
      </c>
      <c r="J426" s="43">
        <f t="shared" si="95"/>
        <v>0</v>
      </c>
      <c r="K426" s="44" cm="1">
        <f t="array" ref="K426">IF(D426="Gadget",_xlfn.IFS(I426&gt;=0.2,0.5,I426&gt;=0.1,0.35,I426&gt;=0.05,0.2,TRUE,0),IF(D426="Grenade",_xlfn.IFS(I426&gt;=0.2,1,I426&gt;=0.1,0.7,I426&gt;=0.05,0.4,TRUE,0),0))</f>
        <v>0</v>
      </c>
      <c r="L426" s="57">
        <f t="shared" si="101"/>
        <v>0</v>
      </c>
    </row>
    <row r="427" spans="1:12" x14ac:dyDescent="0.25">
      <c r="A427" s="42" t="str" cm="1">
        <f t="array" ref="A427">IFERROR(INDEX(_xlfn._xlws.FILTER(Class_Players!A:A,Class_Players!B:B="Engineer"),QUOTIENT(ROW()-ROW($A$2),12)+1),"")</f>
        <v>CammedSS2015</v>
      </c>
      <c r="B427" s="42" t="str">
        <f>_xlfn.XLOOKUP(A427,Class_Players!$A:$A,Class_Players!$B:$B,"")</f>
        <v>Engineer</v>
      </c>
      <c r="C427" s="42" t="str" cm="1">
        <f t="array" ref="C427">INDEX(Lookups!$B$2:$B$13,MOD(ROW()-ROW($B$2),ROWS(Lookups!$B$2:$B$13))+1)</f>
        <v>Supply Crate</v>
      </c>
      <c r="D427" s="38" t="str">
        <f>_xlfn.XLOOKUP(C427,Analysis_Gadgets!$C:$C,Analysis_Gadgets!$B:$B)</f>
        <v>Gadget</v>
      </c>
      <c r="E427" s="43">
        <v>16</v>
      </c>
      <c r="F427" s="43">
        <f>_xlfn.XLOOKUP(A427,Class_Players!A:A,Class_Players!G:G)</f>
        <v>174</v>
      </c>
      <c r="G427" s="43">
        <f t="shared" si="93"/>
        <v>9.1954022988505746E-2</v>
      </c>
      <c r="H427" s="43">
        <f>_xlfn.XLOOKUP(A427,Class_Players!$A:$A,Class_Players!$F:$F,"")</f>
        <v>11086</v>
      </c>
      <c r="I427" s="44">
        <f t="shared" si="94"/>
        <v>1.4432617716038246E-3</v>
      </c>
      <c r="J427" s="43">
        <f t="shared" si="95"/>
        <v>0</v>
      </c>
      <c r="K427" s="44" cm="1">
        <f t="array" ref="K427">IF(D427="Gadget",_xlfn.IFS(I427&gt;=0.2,0.5,I427&gt;=0.1,0.35,I427&gt;=0.05,0.2,TRUE,0),IF(D427="Grenade",_xlfn.IFS(I427&gt;=0.2,1,I427&gt;=0.1,0.7,I427&gt;=0.05,0.4,TRUE,0),0))</f>
        <v>0</v>
      </c>
      <c r="L427" s="57">
        <f t="shared" si="101"/>
        <v>0</v>
      </c>
    </row>
    <row r="428" spans="1:12" x14ac:dyDescent="0.25">
      <c r="A428" s="42" t="str" cm="1">
        <f t="array" ref="A428">IFERROR(INDEX(_xlfn._xlws.FILTER(Class_Players!A:A,Class_Players!B:B="Engineer"),QUOTIENT(ROW()-ROW($A$2),12)+1),"")</f>
        <v>CammedSS2015</v>
      </c>
      <c r="B428" s="42" t="str">
        <f>_xlfn.XLOOKUP(A428,Class_Players!$A:$A,Class_Players!$B:$B,"")</f>
        <v>Engineer</v>
      </c>
      <c r="C428" s="42" t="str" cm="1">
        <f t="array" ref="C428">INDEX(Lookups!$B$2:$B$13,MOD(ROW()-ROW($B$2),ROWS(Lookups!$B$2:$B$13))+1)</f>
        <v>M15 (Anti-Vehicle Mine)</v>
      </c>
      <c r="D428" s="38" t="str">
        <f>_xlfn.XLOOKUP(C428,Analysis_Gadgets!$C:$C,Analysis_Gadgets!$B:$B)</f>
        <v>Gadget</v>
      </c>
      <c r="E428" s="43">
        <v>1339</v>
      </c>
      <c r="F428" s="43">
        <f>_xlfn.XLOOKUP(A428,Class_Players!A:A,Class_Players!G:G)</f>
        <v>174</v>
      </c>
      <c r="G428" s="43">
        <f t="shared" si="93"/>
        <v>7.695402298850575</v>
      </c>
      <c r="H428" s="43">
        <f>_xlfn.XLOOKUP(A428,Class_Players!$A:$A,Class_Players!$F:$F,"")</f>
        <v>11086</v>
      </c>
      <c r="I428" s="44">
        <f t="shared" si="94"/>
        <v>0.12078296951109507</v>
      </c>
      <c r="J428" s="43">
        <f t="shared" si="95"/>
        <v>1</v>
      </c>
      <c r="K428" s="44" cm="1">
        <f t="array" ref="K428">IF(D428="Gadget",_xlfn.IFS(I428&gt;=0.2,0.5,I428&gt;=0.1,0.35,I428&gt;=0.05,0.2,TRUE,0),IF(D428="Grenade",_xlfn.IFS(I428&gt;=0.2,1,I428&gt;=0.1,0.7,I428&gt;=0.05,0.4,TRUE,0),0))</f>
        <v>0.35</v>
      </c>
      <c r="L428" s="57">
        <f t="shared" si="101"/>
        <v>0.41176470588235292</v>
      </c>
    </row>
    <row r="429" spans="1:12" x14ac:dyDescent="0.25">
      <c r="A429" s="42" t="str" cm="1">
        <f t="array" ref="A429">IFERROR(INDEX(_xlfn._xlws.FILTER(Class_Players!A:A,Class_Players!B:B="Engineer"),QUOTIENT(ROW()-ROW($A$2),12)+1),"")</f>
        <v>CammedSS2015</v>
      </c>
      <c r="B429" s="42" t="str">
        <f>_xlfn.XLOOKUP(A429,Class_Players!$A:$A,Class_Players!$B:$B,"")</f>
        <v>Engineer</v>
      </c>
      <c r="C429" s="42" t="str" cm="1">
        <f t="array" ref="C429">INDEX(Lookups!$B$2:$B$13,MOD(ROW()-ROW($B$2),ROWS(Lookups!$B$2:$B$13))+1)</f>
        <v>PTKM-1R (Acoustic Sensor AV Mine)</v>
      </c>
      <c r="D429" s="38" t="str">
        <f>_xlfn.XLOOKUP(C429,Analysis_Gadgets!$C:$C,Analysis_Gadgets!$B:$B)</f>
        <v>Gadget</v>
      </c>
      <c r="E429" s="43">
        <v>0</v>
      </c>
      <c r="F429" s="43">
        <f>_xlfn.XLOOKUP(A429,Class_Players!A:A,Class_Players!G:G)</f>
        <v>174</v>
      </c>
      <c r="G429" s="43">
        <f t="shared" si="93"/>
        <v>0</v>
      </c>
      <c r="H429" s="43">
        <f>_xlfn.XLOOKUP(A429,Class_Players!$A:$A,Class_Players!$F:$F,"")</f>
        <v>11086</v>
      </c>
      <c r="I429" s="44">
        <f t="shared" si="94"/>
        <v>0</v>
      </c>
      <c r="J429" s="43">
        <f t="shared" si="95"/>
        <v>0</v>
      </c>
      <c r="K429" s="44" cm="1">
        <f t="array" ref="K429">IF(D429="Gadget",_xlfn.IFS(I429&gt;=0.2,0.5,I429&gt;=0.1,0.35,I429&gt;=0.05,0.2,TRUE,0),IF(D429="Grenade",_xlfn.IFS(I429&gt;=0.2,1,I429&gt;=0.1,0.7,I429&gt;=0.05,0.4,TRUE,0),0))</f>
        <v>0</v>
      </c>
      <c r="L429" s="57">
        <f t="shared" si="101"/>
        <v>0</v>
      </c>
    </row>
    <row r="430" spans="1:12" x14ac:dyDescent="0.25">
      <c r="A430" s="42" t="str" cm="1">
        <f t="array" ref="A430">IFERROR(INDEX(_xlfn._xlws.FILTER(Class_Players!A:A,Class_Players!B:B="Engineer"),QUOTIENT(ROW()-ROW($A$2),12)+1),"")</f>
        <v>CammedSS2015</v>
      </c>
      <c r="B430" s="42" t="str">
        <f>_xlfn.XLOOKUP(A430,Class_Players!$A:$A,Class_Players!$B:$B,"")</f>
        <v>Engineer</v>
      </c>
      <c r="C430" s="42" t="str" cm="1">
        <f t="array" ref="C430">INDEX(Lookups!$B$2:$B$13,MOD(ROW()-ROW($B$2),ROWS(Lookups!$B$2:$B$13))+1)</f>
        <v>EOD Bot</v>
      </c>
      <c r="D430" s="38" t="str">
        <f>_xlfn.XLOOKUP(C430,Analysis_Gadgets!$C:$C,Analysis_Gadgets!$B:$B)</f>
        <v>Gadget</v>
      </c>
      <c r="E430" s="43">
        <v>0</v>
      </c>
      <c r="F430" s="43">
        <f>_xlfn.XLOOKUP(A430,Class_Players!A:A,Class_Players!G:G)</f>
        <v>174</v>
      </c>
      <c r="G430" s="43">
        <f t="shared" si="93"/>
        <v>0</v>
      </c>
      <c r="H430" s="43">
        <f>_xlfn.XLOOKUP(A430,Class_Players!$A:$A,Class_Players!$F:$F,"")</f>
        <v>11086</v>
      </c>
      <c r="I430" s="44">
        <f t="shared" si="94"/>
        <v>0</v>
      </c>
      <c r="J430" s="43">
        <f t="shared" si="95"/>
        <v>0</v>
      </c>
      <c r="K430" s="44" cm="1">
        <f t="array" ref="K430">IF(D430="Gadget",_xlfn.IFS(I430&gt;=0.2,0.5,I430&gt;=0.1,0.35,I430&gt;=0.05,0.2,TRUE,0),IF(D430="Grenade",_xlfn.IFS(I430&gt;=0.2,1,I430&gt;=0.1,0.7,I430&gt;=0.05,0.4,TRUE,0),0))</f>
        <v>0</v>
      </c>
      <c r="L430" s="57">
        <f t="shared" si="101"/>
        <v>0</v>
      </c>
    </row>
    <row r="431" spans="1:12" x14ac:dyDescent="0.25">
      <c r="A431" s="42" t="str" cm="1">
        <f t="array" ref="A431">IFERROR(INDEX(_xlfn._xlws.FILTER(Class_Players!A:A,Class_Players!B:B="Engineer"),QUOTIENT(ROW()-ROW($A$2),12)+1),"")</f>
        <v>CammedSS2015</v>
      </c>
      <c r="B431" s="42" t="str">
        <f>_xlfn.XLOOKUP(A431,Class_Players!$A:$A,Class_Players!$B:$B,"")</f>
        <v>Engineer</v>
      </c>
      <c r="C431" s="42" t="str" cm="1">
        <f t="array" ref="C431">INDEX(Lookups!$B$2:$B$13,MOD(ROW()-ROW($B$2),ROWS(Lookups!$B$2:$B$13))+1)</f>
        <v>M4A1 SLAM (Tripwire Sensor AV Mine)</v>
      </c>
      <c r="D431" s="38" t="str">
        <f>_xlfn.XLOOKUP(C431,Analysis_Gadgets!$C:$C,Analysis_Gadgets!$B:$B)</f>
        <v>Gadget</v>
      </c>
      <c r="E431" s="43">
        <v>0</v>
      </c>
      <c r="F431" s="43">
        <f>_xlfn.XLOOKUP(A431,Class_Players!A:A,Class_Players!G:G)</f>
        <v>174</v>
      </c>
      <c r="G431" s="43">
        <f t="shared" si="93"/>
        <v>0</v>
      </c>
      <c r="H431" s="43">
        <f>_xlfn.XLOOKUP(A431,Class_Players!$A:$A,Class_Players!$F:$F,"")</f>
        <v>11086</v>
      </c>
      <c r="I431" s="44">
        <f t="shared" si="94"/>
        <v>0</v>
      </c>
      <c r="J431" s="43">
        <f t="shared" si="95"/>
        <v>0</v>
      </c>
      <c r="K431" s="44" cm="1">
        <f t="array" ref="K431">IF(D431="Gadget",_xlfn.IFS(I431&gt;=0.2,0.5,I431&gt;=0.1,0.35,I431&gt;=0.05,0.2,TRUE,0),IF(D431="Grenade",_xlfn.IFS(I431&gt;=0.2,1,I431&gt;=0.1,0.7,I431&gt;=0.05,0.4,TRUE,0),0))</f>
        <v>0</v>
      </c>
      <c r="L431" s="57">
        <f t="shared" si="101"/>
        <v>0</v>
      </c>
    </row>
    <row r="432" spans="1:12" x14ac:dyDescent="0.25">
      <c r="A432" s="42" t="str" cm="1">
        <f t="array" ref="A432">IFERROR(INDEX(_xlfn._xlws.FILTER(Class_Players!A:A,Class_Players!B:B="Engineer"),QUOTIENT(ROW()-ROW($A$2),12)+1),"")</f>
        <v>CammedSS2015</v>
      </c>
      <c r="B432" s="42" t="str">
        <f>_xlfn.XLOOKUP(A432,Class_Players!$A:$A,Class_Players!$B:$B,"")</f>
        <v>Engineer</v>
      </c>
      <c r="C432" s="42" t="str" cm="1">
        <f t="array" ref="C432">INDEX(Lookups!$B$2:$B$13,MOD(ROW()-ROW($B$2),ROWS(Lookups!$B$2:$B$13))+1)</f>
        <v>Mini Frag Grenade</v>
      </c>
      <c r="D432" s="38" t="str">
        <f>_xlfn.XLOOKUP(C432,Analysis_Gadgets!$C:$C,Analysis_Gadgets!$B:$B)</f>
        <v>Grenade</v>
      </c>
      <c r="E432" s="43">
        <v>0</v>
      </c>
      <c r="F432" s="43">
        <f>_xlfn.XLOOKUP(A432,Class_Players!A:A,Class_Players!G:G)</f>
        <v>174</v>
      </c>
      <c r="G432" s="43">
        <f t="shared" si="93"/>
        <v>0</v>
      </c>
      <c r="H432" s="43">
        <f>_xlfn.XLOOKUP(A432,Class_Players!$A:$A,Class_Players!$F:$F,"")</f>
        <v>11086</v>
      </c>
      <c r="I432" s="44">
        <f t="shared" si="94"/>
        <v>0</v>
      </c>
      <c r="J432" s="43">
        <f t="shared" si="95"/>
        <v>0</v>
      </c>
      <c r="K432" s="44" cm="1">
        <f t="array" ref="K432">IF(D432="Gadget",_xlfn.IFS(I432&gt;=0.2,0.5,I432&gt;=0.1,0.35,I432&gt;=0.05,0.2,TRUE,0),IF(D432="Grenade",_xlfn.IFS(I432&gt;=0.2,1,I432&gt;=0.1,0.7,I432&gt;=0.05,0.4,TRUE,0),0))</f>
        <v>0</v>
      </c>
      <c r="L432" s="57">
        <f t="shared" ref="L432:L433" si="102">IF($K432=0,0,$K432 / SUMIFS($K:$K,$A:$A,$A432,$D:$D,"Grenade"))</f>
        <v>0</v>
      </c>
    </row>
    <row r="433" spans="1:12" x14ac:dyDescent="0.25">
      <c r="A433" s="42" t="str" cm="1">
        <f t="array" ref="A433">IFERROR(INDEX(_xlfn._xlws.FILTER(Class_Players!A:A,Class_Players!B:B="Engineer"),QUOTIENT(ROW()-ROW($A$2),12)+1),"")</f>
        <v>CammedSS2015</v>
      </c>
      <c r="B433" s="42" t="str">
        <f>_xlfn.XLOOKUP(A433,Class_Players!$A:$A,Class_Players!$B:$B,"")</f>
        <v>Engineer</v>
      </c>
      <c r="C433" s="42" t="str" cm="1">
        <f t="array" ref="C433">INDEX(Lookups!$B$2:$B$13,MOD(ROW()-ROW($B$2),ROWS(Lookups!$B$2:$B$13))+1)</f>
        <v>Anti-Vehicle Grenade</v>
      </c>
      <c r="D433" s="38" t="str">
        <f>_xlfn.XLOOKUP(C433,Analysis_Gadgets!$C:$C,Analysis_Gadgets!$B:$B)</f>
        <v>Grenade</v>
      </c>
      <c r="E433" s="43">
        <v>0</v>
      </c>
      <c r="F433" s="43">
        <f>_xlfn.XLOOKUP(A433,Class_Players!A:A,Class_Players!G:G)</f>
        <v>174</v>
      </c>
      <c r="G433" s="43">
        <f t="shared" si="93"/>
        <v>0</v>
      </c>
      <c r="H433" s="43">
        <f>_xlfn.XLOOKUP(A433,Class_Players!$A:$A,Class_Players!$F:$F,"")</f>
        <v>11086</v>
      </c>
      <c r="I433" s="44">
        <f t="shared" si="94"/>
        <v>0</v>
      </c>
      <c r="J433" s="43">
        <f t="shared" si="95"/>
        <v>0</v>
      </c>
      <c r="K433" s="44" cm="1">
        <f t="array" ref="K433">IF(D433="Gadget",_xlfn.IFS(I433&gt;=0.2,0.5,I433&gt;=0.1,0.35,I433&gt;=0.05,0.2,TRUE,0),IF(D433="Grenade",_xlfn.IFS(I433&gt;=0.2,1,I433&gt;=0.1,0.7,I433&gt;=0.05,0.4,TRUE,0),0))</f>
        <v>0</v>
      </c>
      <c r="L433" s="57">
        <f t="shared" si="102"/>
        <v>0</v>
      </c>
    </row>
    <row r="434" spans="1:12" x14ac:dyDescent="0.25">
      <c r="A434" s="42" t="str" cm="1">
        <f t="array" ref="A434">IFERROR(INDEX(_xlfn._xlws.FILTER(Class_Players!A:A,Class_Players!B:B="Engineer"),QUOTIENT(ROW()-ROW($A$2),12)+1),"")</f>
        <v>CtrlAltMatt</v>
      </c>
      <c r="B434" s="42" t="str">
        <f>_xlfn.XLOOKUP(A434,Class_Players!$A:$A,Class_Players!$B:$B,"")</f>
        <v>Engineer</v>
      </c>
      <c r="C434" s="42" t="str" cm="1">
        <f t="array" ref="C434">INDEX(Lookups!$B$2:$B$13,MOD(ROW()-ROW($B$2),ROWS(Lookups!$B$2:$B$13))+1)</f>
        <v>MBT-LAW (Auto-Guided Launcher)</v>
      </c>
      <c r="D434" s="38" t="str">
        <f>_xlfn.XLOOKUP(C434,Analysis_Gadgets!$C:$C,Analysis_Gadgets!$B:$B)</f>
        <v>Gadget</v>
      </c>
      <c r="E434" s="43">
        <v>0</v>
      </c>
      <c r="F434" s="43">
        <f>_xlfn.XLOOKUP(A434,Class_Players!A:A,Class_Players!G:G)</f>
        <v>165</v>
      </c>
      <c r="G434" s="43">
        <f t="shared" si="93"/>
        <v>0</v>
      </c>
      <c r="H434" s="43">
        <f>_xlfn.XLOOKUP(A434,Class_Players!$A:$A,Class_Players!$F:$F,"")</f>
        <v>9576</v>
      </c>
      <c r="I434" s="44">
        <f t="shared" si="94"/>
        <v>0</v>
      </c>
      <c r="J434" s="43">
        <f t="shared" si="95"/>
        <v>0</v>
      </c>
      <c r="K434" s="44" cm="1">
        <f t="array" ref="K434">IF(D434="Gadget",_xlfn.IFS(I434&gt;=0.2,0.5,I434&gt;=0.1,0.35,I434&gt;=0.05,0.2,TRUE,0),IF(D434="Grenade",_xlfn.IFS(I434&gt;=0.2,1,I434&gt;=0.1,0.7,I434&gt;=0.05,0.4,TRUE,0),0))</f>
        <v>0</v>
      </c>
      <c r="L434" s="57">
        <f t="shared" ref="L434:L443" si="103">IF($K434=0,0,$K434 / SUMIFS($K:$K,$A:$A,$A434,$D:$D,"Gadget"))</f>
        <v>0</v>
      </c>
    </row>
    <row r="435" spans="1:12" x14ac:dyDescent="0.25">
      <c r="A435" s="42" t="str" cm="1">
        <f t="array" ref="A435">IFERROR(INDEX(_xlfn._xlws.FILTER(Class_Players!A:A,Class_Players!B:B="Engineer"),QUOTIENT(ROW()-ROW($A$2),12)+1),"")</f>
        <v>CtrlAltMatt</v>
      </c>
      <c r="B435" s="42" t="str">
        <f>_xlfn.XLOOKUP(A435,Class_Players!$A:$A,Class_Players!$B:$B,"")</f>
        <v>Engineer</v>
      </c>
      <c r="C435" s="42" t="str" cm="1">
        <f t="array" ref="C435">INDEX(Lookups!$B$2:$B$13,MOD(ROW()-ROW($B$2),ROWS(Lookups!$B$2:$B$13))+1)</f>
        <v>SLM-93A (Air-Defense Launcher)</v>
      </c>
      <c r="D435" s="38" t="str">
        <f>_xlfn.XLOOKUP(C435,Analysis_Gadgets!$C:$C,Analysis_Gadgets!$B:$B)</f>
        <v>Gadget</v>
      </c>
      <c r="E435" s="43">
        <v>103</v>
      </c>
      <c r="F435" s="43">
        <f>_xlfn.XLOOKUP(A435,Class_Players!A:A,Class_Players!G:G)</f>
        <v>165</v>
      </c>
      <c r="G435" s="43">
        <f t="shared" si="93"/>
        <v>0.62424242424242427</v>
      </c>
      <c r="H435" s="43">
        <f>_xlfn.XLOOKUP(A435,Class_Players!$A:$A,Class_Players!$F:$F,"")</f>
        <v>9576</v>
      </c>
      <c r="I435" s="44">
        <f t="shared" si="94"/>
        <v>1.0756056808688387E-2</v>
      </c>
      <c r="J435" s="43">
        <f t="shared" si="95"/>
        <v>0</v>
      </c>
      <c r="K435" s="44" cm="1">
        <f t="array" ref="K435">IF(D435="Gadget",_xlfn.IFS(I435&gt;=0.2,0.5,I435&gt;=0.1,0.35,I435&gt;=0.05,0.2,TRUE,0),IF(D435="Grenade",_xlfn.IFS(I435&gt;=0.2,1,I435&gt;=0.1,0.7,I435&gt;=0.05,0.4,TRUE,0),0))</f>
        <v>0</v>
      </c>
      <c r="L435" s="57">
        <f t="shared" si="103"/>
        <v>0</v>
      </c>
    </row>
    <row r="436" spans="1:12" x14ac:dyDescent="0.25">
      <c r="A436" s="42" t="str" cm="1">
        <f t="array" ref="A436">IFERROR(INDEX(_xlfn._xlws.FILTER(Class_Players!A:A,Class_Players!B:B="Engineer"),QUOTIENT(ROW()-ROW($A$2),12)+1),"")</f>
        <v>CtrlAltMatt</v>
      </c>
      <c r="B436" s="42" t="str">
        <f>_xlfn.XLOOKUP(A436,Class_Players!$A:$A,Class_Players!$B:$B,"")</f>
        <v>Engineer</v>
      </c>
      <c r="C436" s="42" t="str" cm="1">
        <f t="array" ref="C436">INDEX(Lookups!$B$2:$B$13,MOD(ROW()-ROW($B$2),ROWS(Lookups!$B$2:$B$13))+1)</f>
        <v>RPG-7V2 (Unguided Rocket Launcher)</v>
      </c>
      <c r="D436" s="38" t="str">
        <f>_xlfn.XLOOKUP(C436,Analysis_Gadgets!$C:$C,Analysis_Gadgets!$B:$B)</f>
        <v>Gadget</v>
      </c>
      <c r="E436" s="43">
        <v>5773</v>
      </c>
      <c r="F436" s="43">
        <f>_xlfn.XLOOKUP(A436,Class_Players!A:A,Class_Players!G:G)</f>
        <v>165</v>
      </c>
      <c r="G436" s="43">
        <f t="shared" si="93"/>
        <v>34.987878787878785</v>
      </c>
      <c r="H436" s="43">
        <f>_xlfn.XLOOKUP(A436,Class_Players!$A:$A,Class_Players!$F:$F,"")</f>
        <v>9576</v>
      </c>
      <c r="I436" s="44">
        <f t="shared" si="94"/>
        <v>0.6028613199665831</v>
      </c>
      <c r="J436" s="43">
        <f t="shared" si="95"/>
        <v>1</v>
      </c>
      <c r="K436" s="44" cm="1">
        <f t="array" ref="K436">IF(D436="Gadget",_xlfn.IFS(I436&gt;=0.2,0.5,I436&gt;=0.1,0.35,I436&gt;=0.05,0.2,TRUE,0),IF(D436="Grenade",_xlfn.IFS(I436&gt;=0.2,1,I436&gt;=0.1,0.7,I436&gt;=0.05,0.4,TRUE,0),0))</f>
        <v>0.5</v>
      </c>
      <c r="L436" s="57">
        <f t="shared" si="103"/>
        <v>0.5</v>
      </c>
    </row>
    <row r="437" spans="1:12" x14ac:dyDescent="0.25">
      <c r="A437" s="42" t="str" cm="1">
        <f t="array" ref="A437">IFERROR(INDEX(_xlfn._xlws.FILTER(Class_Players!A:A,Class_Players!B:B="Engineer"),QUOTIENT(ROW()-ROW($A$2),12)+1),"")</f>
        <v>CtrlAltMatt</v>
      </c>
      <c r="B437" s="42" t="str">
        <f>_xlfn.XLOOKUP(A437,Class_Players!$A:$A,Class_Players!$B:$B,"")</f>
        <v>Engineer</v>
      </c>
      <c r="C437" s="42" t="str" cm="1">
        <f t="array" ref="C437">INDEX(Lookups!$B$2:$B$13,MOD(ROW()-ROW($B$2),ROWS(Lookups!$B$2:$B$13))+1)</f>
        <v>MAS 148 (Long-Range Launcher)</v>
      </c>
      <c r="D437" s="38" t="str">
        <f>_xlfn.XLOOKUP(C437,Analysis_Gadgets!$C:$C,Analysis_Gadgets!$B:$B)</f>
        <v>Gadget</v>
      </c>
      <c r="E437" s="43">
        <v>0</v>
      </c>
      <c r="F437" s="43">
        <f>_xlfn.XLOOKUP(A437,Class_Players!A:A,Class_Players!G:G)</f>
        <v>165</v>
      </c>
      <c r="G437" s="43">
        <f t="shared" si="93"/>
        <v>0</v>
      </c>
      <c r="H437" s="43">
        <f>_xlfn.XLOOKUP(A437,Class_Players!$A:$A,Class_Players!$F:$F,"")</f>
        <v>9576</v>
      </c>
      <c r="I437" s="44">
        <f t="shared" si="94"/>
        <v>0</v>
      </c>
      <c r="J437" s="43">
        <f t="shared" si="95"/>
        <v>0</v>
      </c>
      <c r="K437" s="44" cm="1">
        <f t="array" ref="K437">IF(D437="Gadget",_xlfn.IFS(I437&gt;=0.2,0.5,I437&gt;=0.1,0.35,I437&gt;=0.05,0.2,TRUE,0),IF(D437="Grenade",_xlfn.IFS(I437&gt;=0.2,1,I437&gt;=0.1,0.7,I437&gt;=0.05,0.4,TRUE,0),0))</f>
        <v>0</v>
      </c>
      <c r="L437" s="57">
        <f t="shared" si="103"/>
        <v>0</v>
      </c>
    </row>
    <row r="438" spans="1:12" x14ac:dyDescent="0.25">
      <c r="A438" s="42" t="str" cm="1">
        <f t="array" ref="A438">IFERROR(INDEX(_xlfn._xlws.FILTER(Class_Players!A:A,Class_Players!B:B="Engineer"),QUOTIENT(ROW()-ROW($A$2),12)+1),"")</f>
        <v>CtrlAltMatt</v>
      </c>
      <c r="B438" s="42" t="str">
        <f>_xlfn.XLOOKUP(A438,Class_Players!$A:$A,Class_Players!$B:$B,"")</f>
        <v>Engineer</v>
      </c>
      <c r="C438" s="42" t="str" cm="1">
        <f t="array" ref="C438">INDEX(Lookups!$B$2:$B$13,MOD(ROW()-ROW($B$2),ROWS(Lookups!$B$2:$B$13))+1)</f>
        <v>M136 AT (Aim-Guided Launcher)</v>
      </c>
      <c r="D438" s="38" t="str">
        <f>_xlfn.XLOOKUP(C438,Analysis_Gadgets!$C:$C,Analysis_Gadgets!$B:$B)</f>
        <v>Gadget</v>
      </c>
      <c r="E438" s="43">
        <v>10</v>
      </c>
      <c r="F438" s="43">
        <f>_xlfn.XLOOKUP(A438,Class_Players!A:A,Class_Players!G:G)</f>
        <v>165</v>
      </c>
      <c r="G438" s="43">
        <f t="shared" si="93"/>
        <v>6.0606060606060608E-2</v>
      </c>
      <c r="H438" s="43">
        <f>_xlfn.XLOOKUP(A438,Class_Players!$A:$A,Class_Players!$F:$F,"")</f>
        <v>9576</v>
      </c>
      <c r="I438" s="44">
        <f t="shared" si="94"/>
        <v>1.0442773600668337E-3</v>
      </c>
      <c r="J438" s="43">
        <f t="shared" si="95"/>
        <v>0</v>
      </c>
      <c r="K438" s="44" cm="1">
        <f t="array" ref="K438">IF(D438="Gadget",_xlfn.IFS(I438&gt;=0.2,0.5,I438&gt;=0.1,0.35,I438&gt;=0.05,0.2,TRUE,0),IF(D438="Grenade",_xlfn.IFS(I438&gt;=0.2,1,I438&gt;=0.1,0.7,I438&gt;=0.05,0.4,TRUE,0),0))</f>
        <v>0</v>
      </c>
      <c r="L438" s="57">
        <f t="shared" si="103"/>
        <v>0</v>
      </c>
    </row>
    <row r="439" spans="1:12" x14ac:dyDescent="0.25">
      <c r="A439" s="42" t="str" cm="1">
        <f t="array" ref="A439">IFERROR(INDEX(_xlfn._xlws.FILTER(Class_Players!A:A,Class_Players!B:B="Engineer"),QUOTIENT(ROW()-ROW($A$2),12)+1),"")</f>
        <v>CtrlAltMatt</v>
      </c>
      <c r="B439" s="42" t="str">
        <f>_xlfn.XLOOKUP(A439,Class_Players!$A:$A,Class_Players!$B:$B,"")</f>
        <v>Engineer</v>
      </c>
      <c r="C439" s="42" t="str" cm="1">
        <f t="array" ref="C439">INDEX(Lookups!$B$2:$B$13,MOD(ROW()-ROW($B$2),ROWS(Lookups!$B$2:$B$13))+1)</f>
        <v>Supply Crate</v>
      </c>
      <c r="D439" s="38" t="str">
        <f>_xlfn.XLOOKUP(C439,Analysis_Gadgets!$C:$C,Analysis_Gadgets!$B:$B)</f>
        <v>Gadget</v>
      </c>
      <c r="E439" s="43">
        <v>9</v>
      </c>
      <c r="F439" s="43">
        <f>_xlfn.XLOOKUP(A439,Class_Players!A:A,Class_Players!G:G)</f>
        <v>165</v>
      </c>
      <c r="G439" s="43">
        <f t="shared" si="93"/>
        <v>5.4545454545454543E-2</v>
      </c>
      <c r="H439" s="43">
        <f>_xlfn.XLOOKUP(A439,Class_Players!$A:$A,Class_Players!$F:$F,"")</f>
        <v>9576</v>
      </c>
      <c r="I439" s="44">
        <f t="shared" si="94"/>
        <v>9.3984962406015032E-4</v>
      </c>
      <c r="J439" s="43">
        <f t="shared" si="95"/>
        <v>0</v>
      </c>
      <c r="K439" s="44" cm="1">
        <f t="array" ref="K439">IF(D439="Gadget",_xlfn.IFS(I439&gt;=0.2,0.5,I439&gt;=0.1,0.35,I439&gt;=0.05,0.2,TRUE,0),IF(D439="Grenade",_xlfn.IFS(I439&gt;=0.2,1,I439&gt;=0.1,0.7,I439&gt;=0.05,0.4,TRUE,0),0))</f>
        <v>0</v>
      </c>
      <c r="L439" s="57">
        <f t="shared" si="103"/>
        <v>0</v>
      </c>
    </row>
    <row r="440" spans="1:12" x14ac:dyDescent="0.25">
      <c r="A440" s="42" t="str" cm="1">
        <f t="array" ref="A440">IFERROR(INDEX(_xlfn._xlws.FILTER(Class_Players!A:A,Class_Players!B:B="Engineer"),QUOTIENT(ROW()-ROW($A$2),12)+1),"")</f>
        <v>CtrlAltMatt</v>
      </c>
      <c r="B440" s="42" t="str">
        <f>_xlfn.XLOOKUP(A440,Class_Players!$A:$A,Class_Players!$B:$B,"")</f>
        <v>Engineer</v>
      </c>
      <c r="C440" s="42" t="str" cm="1">
        <f t="array" ref="C440">INDEX(Lookups!$B$2:$B$13,MOD(ROW()-ROW($B$2),ROWS(Lookups!$B$2:$B$13))+1)</f>
        <v>M15 (Anti-Vehicle Mine)</v>
      </c>
      <c r="D440" s="38" t="str">
        <f>_xlfn.XLOOKUP(C440,Analysis_Gadgets!$C:$C,Analysis_Gadgets!$B:$B)</f>
        <v>Gadget</v>
      </c>
      <c r="E440" s="43">
        <v>2054</v>
      </c>
      <c r="F440" s="43">
        <f>_xlfn.XLOOKUP(A440,Class_Players!A:A,Class_Players!G:G)</f>
        <v>165</v>
      </c>
      <c r="G440" s="43">
        <f t="shared" si="93"/>
        <v>12.448484848484849</v>
      </c>
      <c r="H440" s="43">
        <f>_xlfn.XLOOKUP(A440,Class_Players!$A:$A,Class_Players!$F:$F,"")</f>
        <v>9576</v>
      </c>
      <c r="I440" s="44">
        <f t="shared" si="94"/>
        <v>0.21449456975772765</v>
      </c>
      <c r="J440" s="43">
        <f t="shared" si="95"/>
        <v>1</v>
      </c>
      <c r="K440" s="44" cm="1">
        <f t="array" ref="K440">IF(D440="Gadget",_xlfn.IFS(I440&gt;=0.2,0.5,I440&gt;=0.1,0.35,I440&gt;=0.05,0.2,TRUE,0),IF(D440="Grenade",_xlfn.IFS(I440&gt;=0.2,1,I440&gt;=0.1,0.7,I440&gt;=0.05,0.4,TRUE,0),0))</f>
        <v>0.5</v>
      </c>
      <c r="L440" s="57">
        <f t="shared" si="103"/>
        <v>0.5</v>
      </c>
    </row>
    <row r="441" spans="1:12" x14ac:dyDescent="0.25">
      <c r="A441" s="42" t="str" cm="1">
        <f t="array" ref="A441">IFERROR(INDEX(_xlfn._xlws.FILTER(Class_Players!A:A,Class_Players!B:B="Engineer"),QUOTIENT(ROW()-ROW($A$2),12)+1),"")</f>
        <v>CtrlAltMatt</v>
      </c>
      <c r="B441" s="42" t="str">
        <f>_xlfn.XLOOKUP(A441,Class_Players!$A:$A,Class_Players!$B:$B,"")</f>
        <v>Engineer</v>
      </c>
      <c r="C441" s="42" t="str" cm="1">
        <f t="array" ref="C441">INDEX(Lookups!$B$2:$B$13,MOD(ROW()-ROW($B$2),ROWS(Lookups!$B$2:$B$13))+1)</f>
        <v>PTKM-1R (Acoustic Sensor AV Mine)</v>
      </c>
      <c r="D441" s="38" t="str">
        <f>_xlfn.XLOOKUP(C441,Analysis_Gadgets!$C:$C,Analysis_Gadgets!$B:$B)</f>
        <v>Gadget</v>
      </c>
      <c r="E441" s="43">
        <v>1</v>
      </c>
      <c r="F441" s="43">
        <f>_xlfn.XLOOKUP(A441,Class_Players!A:A,Class_Players!G:G)</f>
        <v>165</v>
      </c>
      <c r="G441" s="43">
        <f t="shared" si="93"/>
        <v>6.0606060606060606E-3</v>
      </c>
      <c r="H441" s="43">
        <f>_xlfn.XLOOKUP(A441,Class_Players!$A:$A,Class_Players!$F:$F,"")</f>
        <v>9576</v>
      </c>
      <c r="I441" s="44">
        <f t="shared" si="94"/>
        <v>1.0442773600668337E-4</v>
      </c>
      <c r="J441" s="43">
        <f t="shared" si="95"/>
        <v>0</v>
      </c>
      <c r="K441" s="44" cm="1">
        <f t="array" ref="K441">IF(D441="Gadget",_xlfn.IFS(I441&gt;=0.2,0.5,I441&gt;=0.1,0.35,I441&gt;=0.05,0.2,TRUE,0),IF(D441="Grenade",_xlfn.IFS(I441&gt;=0.2,1,I441&gt;=0.1,0.7,I441&gt;=0.05,0.4,TRUE,0),0))</f>
        <v>0</v>
      </c>
      <c r="L441" s="57">
        <f t="shared" si="103"/>
        <v>0</v>
      </c>
    </row>
    <row r="442" spans="1:12" x14ac:dyDescent="0.25">
      <c r="A442" s="42" t="str" cm="1">
        <f t="array" ref="A442">IFERROR(INDEX(_xlfn._xlws.FILTER(Class_Players!A:A,Class_Players!B:B="Engineer"),QUOTIENT(ROW()-ROW($A$2),12)+1),"")</f>
        <v>CtrlAltMatt</v>
      </c>
      <c r="B442" s="42" t="str">
        <f>_xlfn.XLOOKUP(A442,Class_Players!$A:$A,Class_Players!$B:$B,"")</f>
        <v>Engineer</v>
      </c>
      <c r="C442" s="42" t="str" cm="1">
        <f t="array" ref="C442">INDEX(Lookups!$B$2:$B$13,MOD(ROW()-ROW($B$2),ROWS(Lookups!$B$2:$B$13))+1)</f>
        <v>EOD Bot</v>
      </c>
      <c r="D442" s="38" t="str">
        <f>_xlfn.XLOOKUP(C442,Analysis_Gadgets!$C:$C,Analysis_Gadgets!$B:$B)</f>
        <v>Gadget</v>
      </c>
      <c r="E442" s="43">
        <v>0</v>
      </c>
      <c r="F442" s="43">
        <f>_xlfn.XLOOKUP(A442,Class_Players!A:A,Class_Players!G:G)</f>
        <v>165</v>
      </c>
      <c r="G442" s="43">
        <f t="shared" si="93"/>
        <v>0</v>
      </c>
      <c r="H442" s="43">
        <f>_xlfn.XLOOKUP(A442,Class_Players!$A:$A,Class_Players!$F:$F,"")</f>
        <v>9576</v>
      </c>
      <c r="I442" s="44">
        <f t="shared" si="94"/>
        <v>0</v>
      </c>
      <c r="J442" s="43">
        <f t="shared" si="95"/>
        <v>0</v>
      </c>
      <c r="K442" s="44" cm="1">
        <f t="array" ref="K442">IF(D442="Gadget",_xlfn.IFS(I442&gt;=0.2,0.5,I442&gt;=0.1,0.35,I442&gt;=0.05,0.2,TRUE,0),IF(D442="Grenade",_xlfn.IFS(I442&gt;=0.2,1,I442&gt;=0.1,0.7,I442&gt;=0.05,0.4,TRUE,0),0))</f>
        <v>0</v>
      </c>
      <c r="L442" s="57">
        <f t="shared" si="103"/>
        <v>0</v>
      </c>
    </row>
    <row r="443" spans="1:12" x14ac:dyDescent="0.25">
      <c r="A443" s="42" t="str" cm="1">
        <f t="array" ref="A443">IFERROR(INDEX(_xlfn._xlws.FILTER(Class_Players!A:A,Class_Players!B:B="Engineer"),QUOTIENT(ROW()-ROW($A$2),12)+1),"")</f>
        <v>CtrlAltMatt</v>
      </c>
      <c r="B443" s="42" t="str">
        <f>_xlfn.XLOOKUP(A443,Class_Players!$A:$A,Class_Players!$B:$B,"")</f>
        <v>Engineer</v>
      </c>
      <c r="C443" s="42" t="str" cm="1">
        <f t="array" ref="C443">INDEX(Lookups!$B$2:$B$13,MOD(ROW()-ROW($B$2),ROWS(Lookups!$B$2:$B$13))+1)</f>
        <v>M4A1 SLAM (Tripwire Sensor AV Mine)</v>
      </c>
      <c r="D443" s="38" t="str">
        <f>_xlfn.XLOOKUP(C443,Analysis_Gadgets!$C:$C,Analysis_Gadgets!$B:$B)</f>
        <v>Gadget</v>
      </c>
      <c r="E443" s="43">
        <v>56</v>
      </c>
      <c r="F443" s="43">
        <f>_xlfn.XLOOKUP(A443,Class_Players!A:A,Class_Players!G:G)</f>
        <v>165</v>
      </c>
      <c r="G443" s="43">
        <f t="shared" si="93"/>
        <v>0.33939393939393941</v>
      </c>
      <c r="H443" s="43">
        <f>_xlfn.XLOOKUP(A443,Class_Players!$A:$A,Class_Players!$F:$F,"")</f>
        <v>9576</v>
      </c>
      <c r="I443" s="44">
        <f t="shared" si="94"/>
        <v>5.8479532163742687E-3</v>
      </c>
      <c r="J443" s="43">
        <f t="shared" si="95"/>
        <v>0</v>
      </c>
      <c r="K443" s="44" cm="1">
        <f t="array" ref="K443">IF(D443="Gadget",_xlfn.IFS(I443&gt;=0.2,0.5,I443&gt;=0.1,0.35,I443&gt;=0.05,0.2,TRUE,0),IF(D443="Grenade",_xlfn.IFS(I443&gt;=0.2,1,I443&gt;=0.1,0.7,I443&gt;=0.05,0.4,TRUE,0),0))</f>
        <v>0</v>
      </c>
      <c r="L443" s="57">
        <f t="shared" si="103"/>
        <v>0</v>
      </c>
    </row>
    <row r="444" spans="1:12" x14ac:dyDescent="0.25">
      <c r="A444" s="42" t="str" cm="1">
        <f t="array" ref="A444">IFERROR(INDEX(_xlfn._xlws.FILTER(Class_Players!A:A,Class_Players!B:B="Engineer"),QUOTIENT(ROW()-ROW($A$2),12)+1),"")</f>
        <v>CtrlAltMatt</v>
      </c>
      <c r="B444" s="42" t="str">
        <f>_xlfn.XLOOKUP(A444,Class_Players!$A:$A,Class_Players!$B:$B,"")</f>
        <v>Engineer</v>
      </c>
      <c r="C444" s="42" t="str" cm="1">
        <f t="array" ref="C444">INDEX(Lookups!$B$2:$B$13,MOD(ROW()-ROW($B$2),ROWS(Lookups!$B$2:$B$13))+1)</f>
        <v>Mini Frag Grenade</v>
      </c>
      <c r="D444" s="38" t="str">
        <f>_xlfn.XLOOKUP(C444,Analysis_Gadgets!$C:$C,Analysis_Gadgets!$B:$B)</f>
        <v>Grenade</v>
      </c>
      <c r="E444" s="43">
        <v>44</v>
      </c>
      <c r="F444" s="43">
        <f>_xlfn.XLOOKUP(A444,Class_Players!A:A,Class_Players!G:G)</f>
        <v>165</v>
      </c>
      <c r="G444" s="43">
        <f t="shared" si="93"/>
        <v>0.26666666666666666</v>
      </c>
      <c r="H444" s="43">
        <f>_xlfn.XLOOKUP(A444,Class_Players!$A:$A,Class_Players!$F:$F,"")</f>
        <v>9576</v>
      </c>
      <c r="I444" s="44">
        <f t="shared" si="94"/>
        <v>4.5948203842940682E-3</v>
      </c>
      <c r="J444" s="43">
        <f t="shared" si="95"/>
        <v>0</v>
      </c>
      <c r="K444" s="44" cm="1">
        <f t="array" ref="K444">IF(D444="Gadget",_xlfn.IFS(I444&gt;=0.2,0.5,I444&gt;=0.1,0.35,I444&gt;=0.05,0.2,TRUE,0),IF(D444="Grenade",_xlfn.IFS(I444&gt;=0.2,1,I444&gt;=0.1,0.7,I444&gt;=0.05,0.4,TRUE,0),0))</f>
        <v>0</v>
      </c>
      <c r="L444" s="57">
        <f t="shared" ref="L444:L445" si="104">IF($K444=0,0,$K444 / SUMIFS($K:$K,$A:$A,$A444,$D:$D,"Grenade"))</f>
        <v>0</v>
      </c>
    </row>
    <row r="445" spans="1:12" x14ac:dyDescent="0.25">
      <c r="A445" s="42" t="str" cm="1">
        <f t="array" ref="A445">IFERROR(INDEX(_xlfn._xlws.FILTER(Class_Players!A:A,Class_Players!B:B="Engineer"),QUOTIENT(ROW()-ROW($A$2),12)+1),"")</f>
        <v>CtrlAltMatt</v>
      </c>
      <c r="B445" s="42" t="str">
        <f>_xlfn.XLOOKUP(A445,Class_Players!$A:$A,Class_Players!$B:$B,"")</f>
        <v>Engineer</v>
      </c>
      <c r="C445" s="42" t="str" cm="1">
        <f t="array" ref="C445">INDEX(Lookups!$B$2:$B$13,MOD(ROW()-ROW($B$2),ROWS(Lookups!$B$2:$B$13))+1)</f>
        <v>Anti-Vehicle Grenade</v>
      </c>
      <c r="D445" s="38" t="str">
        <f>_xlfn.XLOOKUP(C445,Analysis_Gadgets!$C:$C,Analysis_Gadgets!$B:$B)</f>
        <v>Grenade</v>
      </c>
      <c r="E445" s="43">
        <v>0</v>
      </c>
      <c r="F445" s="43">
        <f>_xlfn.XLOOKUP(A445,Class_Players!A:A,Class_Players!G:G)</f>
        <v>165</v>
      </c>
      <c r="G445" s="43">
        <f t="shared" si="93"/>
        <v>0</v>
      </c>
      <c r="H445" s="43">
        <f>_xlfn.XLOOKUP(A445,Class_Players!$A:$A,Class_Players!$F:$F,"")</f>
        <v>9576</v>
      </c>
      <c r="I445" s="44">
        <f t="shared" si="94"/>
        <v>0</v>
      </c>
      <c r="J445" s="43">
        <f t="shared" si="95"/>
        <v>0</v>
      </c>
      <c r="K445" s="44" cm="1">
        <f t="array" ref="K445">IF(D445="Gadget",_xlfn.IFS(I445&gt;=0.2,0.5,I445&gt;=0.1,0.35,I445&gt;=0.05,0.2,TRUE,0),IF(D445="Grenade",_xlfn.IFS(I445&gt;=0.2,1,I445&gt;=0.1,0.7,I445&gt;=0.05,0.4,TRUE,0),0))</f>
        <v>0</v>
      </c>
      <c r="L445" s="57">
        <f t="shared" si="104"/>
        <v>0</v>
      </c>
    </row>
    <row r="446" spans="1:12" x14ac:dyDescent="0.25">
      <c r="A446" s="42" t="str" cm="1">
        <f t="array" ref="A446">IFERROR(INDEX(_xlfn._xlws.FILTER(Class_Players!A:A,Class_Players!B:B="Engineer"),QUOTIENT(ROW()-ROW($A$2),12)+1),"")</f>
        <v>Sledgehammer enjoyer</v>
      </c>
      <c r="B446" s="42" t="str">
        <f>_xlfn.XLOOKUP(A446,Class_Players!$A:$A,Class_Players!$B:$B,"")</f>
        <v>Engineer</v>
      </c>
      <c r="C446" s="42" t="str" cm="1">
        <f t="array" ref="C446">INDEX(Lookups!$B$2:$B$13,MOD(ROW()-ROW($B$2),ROWS(Lookups!$B$2:$B$13))+1)</f>
        <v>MBT-LAW (Auto-Guided Launcher)</v>
      </c>
      <c r="D446" s="38" t="str">
        <f>_xlfn.XLOOKUP(C446,Analysis_Gadgets!$C:$C,Analysis_Gadgets!$B:$B)</f>
        <v>Gadget</v>
      </c>
      <c r="E446" s="43">
        <v>0</v>
      </c>
      <c r="F446" s="43">
        <f>_xlfn.XLOOKUP(A446,Class_Players!A:A,Class_Players!G:G)</f>
        <v>153</v>
      </c>
      <c r="G446" s="43">
        <f t="shared" si="93"/>
        <v>0</v>
      </c>
      <c r="H446" s="43">
        <f>_xlfn.XLOOKUP(A446,Class_Players!$A:$A,Class_Players!$F:$F,"")</f>
        <v>9526</v>
      </c>
      <c r="I446" s="44">
        <f t="shared" si="94"/>
        <v>0</v>
      </c>
      <c r="J446" s="43">
        <f t="shared" si="95"/>
        <v>0</v>
      </c>
      <c r="K446" s="44" cm="1">
        <f t="array" ref="K446">IF(D446="Gadget",_xlfn.IFS(I446&gt;=0.2,0.5,I446&gt;=0.1,0.35,I446&gt;=0.05,0.2,TRUE,0),IF(D446="Grenade",_xlfn.IFS(I446&gt;=0.2,1,I446&gt;=0.1,0.7,I446&gt;=0.05,0.4,TRUE,0),0))</f>
        <v>0</v>
      </c>
      <c r="L446" s="57">
        <f t="shared" ref="L446:L455" si="105">IF($K446=0,0,$K446 / SUMIFS($K:$K,$A:$A,$A446,$D:$D,"Gadget"))</f>
        <v>0</v>
      </c>
    </row>
    <row r="447" spans="1:12" x14ac:dyDescent="0.25">
      <c r="A447" s="42" t="str" cm="1">
        <f t="array" ref="A447">IFERROR(INDEX(_xlfn._xlws.FILTER(Class_Players!A:A,Class_Players!B:B="Engineer"),QUOTIENT(ROW()-ROW($A$2),12)+1),"")</f>
        <v>Sledgehammer enjoyer</v>
      </c>
      <c r="B447" s="42" t="str">
        <f>_xlfn.XLOOKUP(A447,Class_Players!$A:$A,Class_Players!$B:$B,"")</f>
        <v>Engineer</v>
      </c>
      <c r="C447" s="42" t="str" cm="1">
        <f t="array" ref="C447">INDEX(Lookups!$B$2:$B$13,MOD(ROW()-ROW($B$2),ROWS(Lookups!$B$2:$B$13))+1)</f>
        <v>SLM-93A (Air-Defense Launcher)</v>
      </c>
      <c r="D447" s="38" t="str">
        <f>_xlfn.XLOOKUP(C447,Analysis_Gadgets!$C:$C,Analysis_Gadgets!$B:$B)</f>
        <v>Gadget</v>
      </c>
      <c r="E447" s="43">
        <v>344</v>
      </c>
      <c r="F447" s="43">
        <f>_xlfn.XLOOKUP(A447,Class_Players!A:A,Class_Players!G:G)</f>
        <v>153</v>
      </c>
      <c r="G447" s="43">
        <f t="shared" si="93"/>
        <v>2.2483660130718954</v>
      </c>
      <c r="H447" s="43">
        <f>_xlfn.XLOOKUP(A447,Class_Players!$A:$A,Class_Players!$F:$F,"")</f>
        <v>9526</v>
      </c>
      <c r="I447" s="44">
        <f t="shared" si="94"/>
        <v>3.6111694310308626E-2</v>
      </c>
      <c r="J447" s="43">
        <f t="shared" si="95"/>
        <v>0</v>
      </c>
      <c r="K447" s="44" cm="1">
        <f t="array" ref="K447">IF(D447="Gadget",_xlfn.IFS(I447&gt;=0.2,0.5,I447&gt;=0.1,0.35,I447&gt;=0.05,0.2,TRUE,0),IF(D447="Grenade",_xlfn.IFS(I447&gt;=0.2,1,I447&gt;=0.1,0.7,I447&gt;=0.05,0.4,TRUE,0),0))</f>
        <v>0</v>
      </c>
      <c r="L447" s="57">
        <f t="shared" si="105"/>
        <v>0</v>
      </c>
    </row>
    <row r="448" spans="1:12" x14ac:dyDescent="0.25">
      <c r="A448" s="42" t="str" cm="1">
        <f t="array" ref="A448">IFERROR(INDEX(_xlfn._xlws.FILTER(Class_Players!A:A,Class_Players!B:B="Engineer"),QUOTIENT(ROW()-ROW($A$2),12)+1),"")</f>
        <v>Sledgehammer enjoyer</v>
      </c>
      <c r="B448" s="42" t="str">
        <f>_xlfn.XLOOKUP(A448,Class_Players!$A:$A,Class_Players!$B:$B,"")</f>
        <v>Engineer</v>
      </c>
      <c r="C448" s="42" t="str" cm="1">
        <f t="array" ref="C448">INDEX(Lookups!$B$2:$B$13,MOD(ROW()-ROW($B$2),ROWS(Lookups!$B$2:$B$13))+1)</f>
        <v>RPG-7V2 (Unguided Rocket Launcher)</v>
      </c>
      <c r="D448" s="38" t="str">
        <f>_xlfn.XLOOKUP(C448,Analysis_Gadgets!$C:$C,Analysis_Gadgets!$B:$B)</f>
        <v>Gadget</v>
      </c>
      <c r="E448" s="43">
        <v>7979</v>
      </c>
      <c r="F448" s="43">
        <f>_xlfn.XLOOKUP(A448,Class_Players!A:A,Class_Players!G:G)</f>
        <v>153</v>
      </c>
      <c r="G448" s="43">
        <f t="shared" si="93"/>
        <v>52.150326797385624</v>
      </c>
      <c r="H448" s="43">
        <f>_xlfn.XLOOKUP(A448,Class_Players!$A:$A,Class_Players!$F:$F,"")</f>
        <v>9526</v>
      </c>
      <c r="I448" s="44">
        <f t="shared" si="94"/>
        <v>0.8376023514591644</v>
      </c>
      <c r="J448" s="43">
        <f t="shared" si="95"/>
        <v>1</v>
      </c>
      <c r="K448" s="44" cm="1">
        <f t="array" ref="K448">IF(D448="Gadget",_xlfn.IFS(I448&gt;=0.2,0.5,I448&gt;=0.1,0.35,I448&gt;=0.05,0.2,TRUE,0),IF(D448="Grenade",_xlfn.IFS(I448&gt;=0.2,1,I448&gt;=0.1,0.7,I448&gt;=0.05,0.4,TRUE,0),0))</f>
        <v>0.5</v>
      </c>
      <c r="L448" s="57">
        <f t="shared" si="105"/>
        <v>0.37037037037037035</v>
      </c>
    </row>
    <row r="449" spans="1:12" x14ac:dyDescent="0.25">
      <c r="A449" s="42" t="str" cm="1">
        <f t="array" ref="A449">IFERROR(INDEX(_xlfn._xlws.FILTER(Class_Players!A:A,Class_Players!B:B="Engineer"),QUOTIENT(ROW()-ROW($A$2),12)+1),"")</f>
        <v>Sledgehammer enjoyer</v>
      </c>
      <c r="B449" s="42" t="str">
        <f>_xlfn.XLOOKUP(A449,Class_Players!$A:$A,Class_Players!$B:$B,"")</f>
        <v>Engineer</v>
      </c>
      <c r="C449" s="42" t="str" cm="1">
        <f t="array" ref="C449">INDEX(Lookups!$B$2:$B$13,MOD(ROW()-ROW($B$2),ROWS(Lookups!$B$2:$B$13))+1)</f>
        <v>MAS 148 (Long-Range Launcher)</v>
      </c>
      <c r="D449" s="38" t="str">
        <f>_xlfn.XLOOKUP(C449,Analysis_Gadgets!$C:$C,Analysis_Gadgets!$B:$B)</f>
        <v>Gadget</v>
      </c>
      <c r="E449" s="43">
        <v>25</v>
      </c>
      <c r="F449" s="43">
        <f>_xlfn.XLOOKUP(A449,Class_Players!A:A,Class_Players!G:G)</f>
        <v>153</v>
      </c>
      <c r="G449" s="43">
        <f t="shared" si="93"/>
        <v>0.16339869281045752</v>
      </c>
      <c r="H449" s="43">
        <f>_xlfn.XLOOKUP(A449,Class_Players!$A:$A,Class_Players!$F:$F,"")</f>
        <v>9526</v>
      </c>
      <c r="I449" s="44">
        <f t="shared" si="94"/>
        <v>2.6243963888305691E-3</v>
      </c>
      <c r="J449" s="43">
        <f t="shared" si="95"/>
        <v>0</v>
      </c>
      <c r="K449" s="44" cm="1">
        <f t="array" ref="K449">IF(D449="Gadget",_xlfn.IFS(I449&gt;=0.2,0.5,I449&gt;=0.1,0.35,I449&gt;=0.05,0.2,TRUE,0),IF(D449="Grenade",_xlfn.IFS(I449&gt;=0.2,1,I449&gt;=0.1,0.7,I449&gt;=0.05,0.4,TRUE,0),0))</f>
        <v>0</v>
      </c>
      <c r="L449" s="57">
        <f t="shared" si="105"/>
        <v>0</v>
      </c>
    </row>
    <row r="450" spans="1:12" x14ac:dyDescent="0.25">
      <c r="A450" s="42" t="str" cm="1">
        <f t="array" ref="A450">IFERROR(INDEX(_xlfn._xlws.FILTER(Class_Players!A:A,Class_Players!B:B="Engineer"),QUOTIENT(ROW()-ROW($A$2),12)+1),"")</f>
        <v>Sledgehammer enjoyer</v>
      </c>
      <c r="B450" s="42" t="str">
        <f>_xlfn.XLOOKUP(A450,Class_Players!$A:$A,Class_Players!$B:$B,"")</f>
        <v>Engineer</v>
      </c>
      <c r="C450" s="42" t="str" cm="1">
        <f t="array" ref="C450">INDEX(Lookups!$B$2:$B$13,MOD(ROW()-ROW($B$2),ROWS(Lookups!$B$2:$B$13))+1)</f>
        <v>M136 AT (Aim-Guided Launcher)</v>
      </c>
      <c r="D450" s="38" t="str">
        <f>_xlfn.XLOOKUP(C450,Analysis_Gadgets!$C:$C,Analysis_Gadgets!$B:$B)</f>
        <v>Gadget</v>
      </c>
      <c r="E450" s="43">
        <v>54</v>
      </c>
      <c r="F450" s="43">
        <f>_xlfn.XLOOKUP(A450,Class_Players!A:A,Class_Players!G:G)</f>
        <v>153</v>
      </c>
      <c r="G450" s="43">
        <f t="shared" si="93"/>
        <v>0.35294117647058826</v>
      </c>
      <c r="H450" s="43">
        <f>_xlfn.XLOOKUP(A450,Class_Players!$A:$A,Class_Players!$F:$F,"")</f>
        <v>9526</v>
      </c>
      <c r="I450" s="44">
        <f t="shared" si="94"/>
        <v>5.6686961998740288E-3</v>
      </c>
      <c r="J450" s="43">
        <f t="shared" si="95"/>
        <v>0</v>
      </c>
      <c r="K450" s="44" cm="1">
        <f t="array" ref="K450">IF(D450="Gadget",_xlfn.IFS(I450&gt;=0.2,0.5,I450&gt;=0.1,0.35,I450&gt;=0.05,0.2,TRUE,0),IF(D450="Grenade",_xlfn.IFS(I450&gt;=0.2,1,I450&gt;=0.1,0.7,I450&gt;=0.05,0.4,TRUE,0),0))</f>
        <v>0</v>
      </c>
      <c r="L450" s="57">
        <f t="shared" si="105"/>
        <v>0</v>
      </c>
    </row>
    <row r="451" spans="1:12" x14ac:dyDescent="0.25">
      <c r="A451" s="42" t="str" cm="1">
        <f t="array" ref="A451">IFERROR(INDEX(_xlfn._xlws.FILTER(Class_Players!A:A,Class_Players!B:B="Engineer"),QUOTIENT(ROW()-ROW($A$2),12)+1),"")</f>
        <v>Sledgehammer enjoyer</v>
      </c>
      <c r="B451" s="42" t="str">
        <f>_xlfn.XLOOKUP(A451,Class_Players!$A:$A,Class_Players!$B:$B,"")</f>
        <v>Engineer</v>
      </c>
      <c r="C451" s="42" t="str" cm="1">
        <f t="array" ref="C451">INDEX(Lookups!$B$2:$B$13,MOD(ROW()-ROW($B$2),ROWS(Lookups!$B$2:$B$13))+1)</f>
        <v>Supply Crate</v>
      </c>
      <c r="D451" s="38" t="str">
        <f>_xlfn.XLOOKUP(C451,Analysis_Gadgets!$C:$C,Analysis_Gadgets!$B:$B)</f>
        <v>Gadget</v>
      </c>
      <c r="E451" s="43">
        <v>22</v>
      </c>
      <c r="F451" s="43">
        <f>_xlfn.XLOOKUP(A451,Class_Players!A:A,Class_Players!G:G)</f>
        <v>153</v>
      </c>
      <c r="G451" s="43">
        <f t="shared" si="93"/>
        <v>0.1437908496732026</v>
      </c>
      <c r="H451" s="43">
        <f>_xlfn.XLOOKUP(A451,Class_Players!$A:$A,Class_Players!$F:$F,"")</f>
        <v>9526</v>
      </c>
      <c r="I451" s="44">
        <f t="shared" si="94"/>
        <v>2.3094688221709007E-3</v>
      </c>
      <c r="J451" s="43">
        <f t="shared" si="95"/>
        <v>0</v>
      </c>
      <c r="K451" s="44" cm="1">
        <f t="array" ref="K451">IF(D451="Gadget",_xlfn.IFS(I451&gt;=0.2,0.5,I451&gt;=0.1,0.35,I451&gt;=0.05,0.2,TRUE,0),IF(D451="Grenade",_xlfn.IFS(I451&gt;=0.2,1,I451&gt;=0.1,0.7,I451&gt;=0.05,0.4,TRUE,0),0))</f>
        <v>0</v>
      </c>
      <c r="L451" s="57">
        <f t="shared" si="105"/>
        <v>0</v>
      </c>
    </row>
    <row r="452" spans="1:12" x14ac:dyDescent="0.25">
      <c r="A452" s="42" t="str" cm="1">
        <f t="array" ref="A452">IFERROR(INDEX(_xlfn._xlws.FILTER(Class_Players!A:A,Class_Players!B:B="Engineer"),QUOTIENT(ROW()-ROW($A$2),12)+1),"")</f>
        <v>Sledgehammer enjoyer</v>
      </c>
      <c r="B452" s="42" t="str">
        <f>_xlfn.XLOOKUP(A452,Class_Players!$A:$A,Class_Players!$B:$B,"")</f>
        <v>Engineer</v>
      </c>
      <c r="C452" s="42" t="str" cm="1">
        <f t="array" ref="C452">INDEX(Lookups!$B$2:$B$13,MOD(ROW()-ROW($B$2),ROWS(Lookups!$B$2:$B$13))+1)</f>
        <v>M15 (Anti-Vehicle Mine)</v>
      </c>
      <c r="D452" s="38" t="str">
        <f>_xlfn.XLOOKUP(C452,Analysis_Gadgets!$C:$C,Analysis_Gadgets!$B:$B)</f>
        <v>Gadget</v>
      </c>
      <c r="E452" s="43">
        <v>1500</v>
      </c>
      <c r="F452" s="43">
        <f>_xlfn.XLOOKUP(A452,Class_Players!A:A,Class_Players!G:G)</f>
        <v>153</v>
      </c>
      <c r="G452" s="43">
        <f t="shared" si="93"/>
        <v>9.8039215686274517</v>
      </c>
      <c r="H452" s="43">
        <f>_xlfn.XLOOKUP(A452,Class_Players!$A:$A,Class_Players!$F:$F,"")</f>
        <v>9526</v>
      </c>
      <c r="I452" s="44">
        <f t="shared" si="94"/>
        <v>0.15746378332983413</v>
      </c>
      <c r="J452" s="43">
        <f t="shared" si="95"/>
        <v>1</v>
      </c>
      <c r="K452" s="44" cm="1">
        <f t="array" ref="K452">IF(D452="Gadget",_xlfn.IFS(I452&gt;=0.2,0.5,I452&gt;=0.1,0.35,I452&gt;=0.05,0.2,TRUE,0),IF(D452="Grenade",_xlfn.IFS(I452&gt;=0.2,1,I452&gt;=0.1,0.7,I452&gt;=0.05,0.4,TRUE,0),0))</f>
        <v>0.35</v>
      </c>
      <c r="L452" s="57">
        <f t="shared" si="105"/>
        <v>0.25925925925925924</v>
      </c>
    </row>
    <row r="453" spans="1:12" x14ac:dyDescent="0.25">
      <c r="A453" s="42" t="str" cm="1">
        <f t="array" ref="A453">IFERROR(INDEX(_xlfn._xlws.FILTER(Class_Players!A:A,Class_Players!B:B="Engineer"),QUOTIENT(ROW()-ROW($A$2),12)+1),"")</f>
        <v>Sledgehammer enjoyer</v>
      </c>
      <c r="B453" s="42" t="str">
        <f>_xlfn.XLOOKUP(A453,Class_Players!$A:$A,Class_Players!$B:$B,"")</f>
        <v>Engineer</v>
      </c>
      <c r="C453" s="42" t="str" cm="1">
        <f t="array" ref="C453">INDEX(Lookups!$B$2:$B$13,MOD(ROW()-ROW($B$2),ROWS(Lookups!$B$2:$B$13))+1)</f>
        <v>PTKM-1R (Acoustic Sensor AV Mine)</v>
      </c>
      <c r="D453" s="38" t="str">
        <f>_xlfn.XLOOKUP(C453,Analysis_Gadgets!$C:$C,Analysis_Gadgets!$B:$B)</f>
        <v>Gadget</v>
      </c>
      <c r="E453" s="43">
        <v>2033</v>
      </c>
      <c r="F453" s="43">
        <f>_xlfn.XLOOKUP(A453,Class_Players!A:A,Class_Players!G:G)</f>
        <v>153</v>
      </c>
      <c r="G453" s="43">
        <f t="shared" si="93"/>
        <v>13.287581699346406</v>
      </c>
      <c r="H453" s="43">
        <f>_xlfn.XLOOKUP(A453,Class_Players!$A:$A,Class_Players!$F:$F,"")</f>
        <v>9526</v>
      </c>
      <c r="I453" s="44">
        <f t="shared" si="94"/>
        <v>0.21341591433970186</v>
      </c>
      <c r="J453" s="43">
        <f t="shared" si="95"/>
        <v>1</v>
      </c>
      <c r="K453" s="44" cm="1">
        <f t="array" ref="K453">IF(D453="Gadget",_xlfn.IFS(I453&gt;=0.2,0.5,I453&gt;=0.1,0.35,I453&gt;=0.05,0.2,TRUE,0),IF(D453="Grenade",_xlfn.IFS(I453&gt;=0.2,1,I453&gt;=0.1,0.7,I453&gt;=0.05,0.4,TRUE,0),0))</f>
        <v>0.5</v>
      </c>
      <c r="L453" s="57">
        <f t="shared" si="105"/>
        <v>0.37037037037037035</v>
      </c>
    </row>
    <row r="454" spans="1:12" x14ac:dyDescent="0.25">
      <c r="A454" s="42" t="str" cm="1">
        <f t="array" ref="A454">IFERROR(INDEX(_xlfn._xlws.FILTER(Class_Players!A:A,Class_Players!B:B="Engineer"),QUOTIENT(ROW()-ROW($A$2),12)+1),"")</f>
        <v>Sledgehammer enjoyer</v>
      </c>
      <c r="B454" s="42" t="str">
        <f>_xlfn.XLOOKUP(A454,Class_Players!$A:$A,Class_Players!$B:$B,"")</f>
        <v>Engineer</v>
      </c>
      <c r="C454" s="42" t="str" cm="1">
        <f t="array" ref="C454">INDEX(Lookups!$B$2:$B$13,MOD(ROW()-ROW($B$2),ROWS(Lookups!$B$2:$B$13))+1)</f>
        <v>EOD Bot</v>
      </c>
      <c r="D454" s="38" t="str">
        <f>_xlfn.XLOOKUP(C454,Analysis_Gadgets!$C:$C,Analysis_Gadgets!$B:$B)</f>
        <v>Gadget</v>
      </c>
      <c r="E454" s="43">
        <v>5</v>
      </c>
      <c r="F454" s="43">
        <f>_xlfn.XLOOKUP(A454,Class_Players!A:A,Class_Players!G:G)</f>
        <v>153</v>
      </c>
      <c r="G454" s="43">
        <f t="shared" ref="G454:G517" si="106">IF(F454=0,"",E454/(F454))</f>
        <v>3.2679738562091505E-2</v>
      </c>
      <c r="H454" s="43">
        <f>_xlfn.XLOOKUP(A454,Class_Players!$A:$A,Class_Players!$F:$F,"")</f>
        <v>9526</v>
      </c>
      <c r="I454" s="44">
        <f t="shared" ref="I454:I517" si="107">IF(H454=0,"",E454/H454)</f>
        <v>5.2487927776611383E-4</v>
      </c>
      <c r="J454" s="43">
        <f t="shared" ref="J454:J517" si="108">IF(I454&gt;=0.1,1,0)</f>
        <v>0</v>
      </c>
      <c r="K454" s="44" cm="1">
        <f t="array" ref="K454">IF(D454="Gadget",_xlfn.IFS(I454&gt;=0.2,0.5,I454&gt;=0.1,0.35,I454&gt;=0.05,0.2,TRUE,0),IF(D454="Grenade",_xlfn.IFS(I454&gt;=0.2,1,I454&gt;=0.1,0.7,I454&gt;=0.05,0.4,TRUE,0),0))</f>
        <v>0</v>
      </c>
      <c r="L454" s="57">
        <f t="shared" si="105"/>
        <v>0</v>
      </c>
    </row>
    <row r="455" spans="1:12" x14ac:dyDescent="0.25">
      <c r="A455" s="42" t="str" cm="1">
        <f t="array" ref="A455">IFERROR(INDEX(_xlfn._xlws.FILTER(Class_Players!A:A,Class_Players!B:B="Engineer"),QUOTIENT(ROW()-ROW($A$2),12)+1),"")</f>
        <v>Sledgehammer enjoyer</v>
      </c>
      <c r="B455" s="42" t="str">
        <f>_xlfn.XLOOKUP(A455,Class_Players!$A:$A,Class_Players!$B:$B,"")</f>
        <v>Engineer</v>
      </c>
      <c r="C455" s="42" t="str" cm="1">
        <f t="array" ref="C455">INDEX(Lookups!$B$2:$B$13,MOD(ROW()-ROW($B$2),ROWS(Lookups!$B$2:$B$13))+1)</f>
        <v>M4A1 SLAM (Tripwire Sensor AV Mine)</v>
      </c>
      <c r="D455" s="38" t="str">
        <f>_xlfn.XLOOKUP(C455,Analysis_Gadgets!$C:$C,Analysis_Gadgets!$B:$B)</f>
        <v>Gadget</v>
      </c>
      <c r="E455" s="43">
        <v>0</v>
      </c>
      <c r="F455" s="43">
        <f>_xlfn.XLOOKUP(A455,Class_Players!A:A,Class_Players!G:G)</f>
        <v>153</v>
      </c>
      <c r="G455" s="43">
        <f t="shared" si="106"/>
        <v>0</v>
      </c>
      <c r="H455" s="43">
        <f>_xlfn.XLOOKUP(A455,Class_Players!$A:$A,Class_Players!$F:$F,"")</f>
        <v>9526</v>
      </c>
      <c r="I455" s="44">
        <f t="shared" si="107"/>
        <v>0</v>
      </c>
      <c r="J455" s="43">
        <f t="shared" si="108"/>
        <v>0</v>
      </c>
      <c r="K455" s="44" cm="1">
        <f t="array" ref="K455">IF(D455="Gadget",_xlfn.IFS(I455&gt;=0.2,0.5,I455&gt;=0.1,0.35,I455&gt;=0.05,0.2,TRUE,0),IF(D455="Grenade",_xlfn.IFS(I455&gt;=0.2,1,I455&gt;=0.1,0.7,I455&gt;=0.05,0.4,TRUE,0),0))</f>
        <v>0</v>
      </c>
      <c r="L455" s="57">
        <f t="shared" si="105"/>
        <v>0</v>
      </c>
    </row>
    <row r="456" spans="1:12" x14ac:dyDescent="0.25">
      <c r="A456" s="42" t="str" cm="1">
        <f t="array" ref="A456">IFERROR(INDEX(_xlfn._xlws.FILTER(Class_Players!A:A,Class_Players!B:B="Engineer"),QUOTIENT(ROW()-ROW($A$2),12)+1),"")</f>
        <v>Sledgehammer enjoyer</v>
      </c>
      <c r="B456" s="42" t="str">
        <f>_xlfn.XLOOKUP(A456,Class_Players!$A:$A,Class_Players!$B:$B,"")</f>
        <v>Engineer</v>
      </c>
      <c r="C456" s="42" t="str" cm="1">
        <f t="array" ref="C456">INDEX(Lookups!$B$2:$B$13,MOD(ROW()-ROW($B$2),ROWS(Lookups!$B$2:$B$13))+1)</f>
        <v>Mini Frag Grenade</v>
      </c>
      <c r="D456" s="38" t="str">
        <f>_xlfn.XLOOKUP(C456,Analysis_Gadgets!$C:$C,Analysis_Gadgets!$B:$B)</f>
        <v>Grenade</v>
      </c>
      <c r="E456" s="43">
        <v>12</v>
      </c>
      <c r="F456" s="43">
        <f>_xlfn.XLOOKUP(A456,Class_Players!A:A,Class_Players!G:G)</f>
        <v>153</v>
      </c>
      <c r="G456" s="43">
        <f t="shared" si="106"/>
        <v>7.8431372549019607E-2</v>
      </c>
      <c r="H456" s="43">
        <f>_xlfn.XLOOKUP(A456,Class_Players!$A:$A,Class_Players!$F:$F,"")</f>
        <v>9526</v>
      </c>
      <c r="I456" s="44">
        <f t="shared" si="107"/>
        <v>1.2597102666386732E-3</v>
      </c>
      <c r="J456" s="43">
        <f t="shared" si="108"/>
        <v>0</v>
      </c>
      <c r="K456" s="44" cm="1">
        <f t="array" ref="K456">IF(D456="Gadget",_xlfn.IFS(I456&gt;=0.2,0.5,I456&gt;=0.1,0.35,I456&gt;=0.05,0.2,TRUE,0),IF(D456="Grenade",_xlfn.IFS(I456&gt;=0.2,1,I456&gt;=0.1,0.7,I456&gt;=0.05,0.4,TRUE,0),0))</f>
        <v>0</v>
      </c>
      <c r="L456" s="57">
        <f t="shared" ref="L456:L457" si="109">IF($K456=0,0,$K456 / SUMIFS($K:$K,$A:$A,$A456,$D:$D,"Grenade"))</f>
        <v>0</v>
      </c>
    </row>
    <row r="457" spans="1:12" x14ac:dyDescent="0.25">
      <c r="A457" s="42" t="str" cm="1">
        <f t="array" ref="A457">IFERROR(INDEX(_xlfn._xlws.FILTER(Class_Players!A:A,Class_Players!B:B="Engineer"),QUOTIENT(ROW()-ROW($A$2),12)+1),"")</f>
        <v>Sledgehammer enjoyer</v>
      </c>
      <c r="B457" s="42" t="str">
        <f>_xlfn.XLOOKUP(A457,Class_Players!$A:$A,Class_Players!$B:$B,"")</f>
        <v>Engineer</v>
      </c>
      <c r="C457" s="42" t="str" cm="1">
        <f t="array" ref="C457">INDEX(Lookups!$B$2:$B$13,MOD(ROW()-ROW($B$2),ROWS(Lookups!$B$2:$B$13))+1)</f>
        <v>Anti-Vehicle Grenade</v>
      </c>
      <c r="D457" s="38" t="str">
        <f>_xlfn.XLOOKUP(C457,Analysis_Gadgets!$C:$C,Analysis_Gadgets!$B:$B)</f>
        <v>Grenade</v>
      </c>
      <c r="E457" s="43">
        <v>0</v>
      </c>
      <c r="F457" s="43">
        <f>_xlfn.XLOOKUP(A457,Class_Players!A:A,Class_Players!G:G)</f>
        <v>153</v>
      </c>
      <c r="G457" s="43">
        <f t="shared" si="106"/>
        <v>0</v>
      </c>
      <c r="H457" s="43">
        <f>_xlfn.XLOOKUP(A457,Class_Players!$A:$A,Class_Players!$F:$F,"")</f>
        <v>9526</v>
      </c>
      <c r="I457" s="44">
        <f t="shared" si="107"/>
        <v>0</v>
      </c>
      <c r="J457" s="43">
        <f t="shared" si="108"/>
        <v>0</v>
      </c>
      <c r="K457" s="44" cm="1">
        <f t="array" ref="K457">IF(D457="Gadget",_xlfn.IFS(I457&gt;=0.2,0.5,I457&gt;=0.1,0.35,I457&gt;=0.05,0.2,TRUE,0),IF(D457="Grenade",_xlfn.IFS(I457&gt;=0.2,1,I457&gt;=0.1,0.7,I457&gt;=0.05,0.4,TRUE,0),0))</f>
        <v>0</v>
      </c>
      <c r="L457" s="57">
        <f t="shared" si="109"/>
        <v>0</v>
      </c>
    </row>
    <row r="458" spans="1:12" x14ac:dyDescent="0.25">
      <c r="A458" s="42" t="str" cm="1">
        <f t="array" ref="A458">IFERROR(INDEX(_xlfn._xlws.FILTER(Class_Players!A:A,Class_Players!B:B="Engineer"),QUOTIENT(ROW()-ROW($A$2),12)+1),"")</f>
        <v>ThicccjMartian</v>
      </c>
      <c r="B458" s="42" t="str">
        <f>_xlfn.XLOOKUP(A458,Class_Players!$A:$A,Class_Players!$B:$B,"")</f>
        <v>Engineer</v>
      </c>
      <c r="C458" s="42" t="str" cm="1">
        <f t="array" ref="C458">INDEX(Lookups!$B$2:$B$13,MOD(ROW()-ROW($B$2),ROWS(Lookups!$B$2:$B$13))+1)</f>
        <v>MBT-LAW (Auto-Guided Launcher)</v>
      </c>
      <c r="D458" s="38" t="str">
        <f>_xlfn.XLOOKUP(C458,Analysis_Gadgets!$C:$C,Analysis_Gadgets!$B:$B)</f>
        <v>Gadget</v>
      </c>
      <c r="E458" s="43">
        <v>0</v>
      </c>
      <c r="F458" s="43">
        <f>_xlfn.XLOOKUP(A458,Class_Players!A:A,Class_Players!G:G)</f>
        <v>107</v>
      </c>
      <c r="G458" s="43">
        <f t="shared" si="106"/>
        <v>0</v>
      </c>
      <c r="H458" s="43">
        <f>_xlfn.XLOOKUP(A458,Class_Players!$A:$A,Class_Players!$F:$F,"")</f>
        <v>9497</v>
      </c>
      <c r="I458" s="44">
        <f t="shared" si="107"/>
        <v>0</v>
      </c>
      <c r="J458" s="43">
        <f t="shared" si="108"/>
        <v>0</v>
      </c>
      <c r="K458" s="44" cm="1">
        <f t="array" ref="K458">IF(D458="Gadget",_xlfn.IFS(I458&gt;=0.2,0.5,I458&gt;=0.1,0.35,I458&gt;=0.05,0.2,TRUE,0),IF(D458="Grenade",_xlfn.IFS(I458&gt;=0.2,1,I458&gt;=0.1,0.7,I458&gt;=0.05,0.4,TRUE,0),0))</f>
        <v>0</v>
      </c>
      <c r="L458" s="57">
        <f t="shared" ref="L458:L467" si="110">IF($K458=0,0,$K458 / SUMIFS($K:$K,$A:$A,$A458,$D:$D,"Gadget"))</f>
        <v>0</v>
      </c>
    </row>
    <row r="459" spans="1:12" x14ac:dyDescent="0.25">
      <c r="A459" s="42" t="str" cm="1">
        <f t="array" ref="A459">IFERROR(INDEX(_xlfn._xlws.FILTER(Class_Players!A:A,Class_Players!B:B="Engineer"),QUOTIENT(ROW()-ROW($A$2),12)+1),"")</f>
        <v>ThicccjMartian</v>
      </c>
      <c r="B459" s="42" t="str">
        <f>_xlfn.XLOOKUP(A459,Class_Players!$A:$A,Class_Players!$B:$B,"")</f>
        <v>Engineer</v>
      </c>
      <c r="C459" s="42" t="str" cm="1">
        <f t="array" ref="C459">INDEX(Lookups!$B$2:$B$13,MOD(ROW()-ROW($B$2),ROWS(Lookups!$B$2:$B$13))+1)</f>
        <v>SLM-93A (Air-Defense Launcher)</v>
      </c>
      <c r="D459" s="38" t="str">
        <f>_xlfn.XLOOKUP(C459,Analysis_Gadgets!$C:$C,Analysis_Gadgets!$B:$B)</f>
        <v>Gadget</v>
      </c>
      <c r="E459" s="43">
        <v>4</v>
      </c>
      <c r="F459" s="43">
        <f>_xlfn.XLOOKUP(A459,Class_Players!A:A,Class_Players!G:G)</f>
        <v>107</v>
      </c>
      <c r="G459" s="43">
        <f t="shared" si="106"/>
        <v>3.7383177570093455E-2</v>
      </c>
      <c r="H459" s="43">
        <f>_xlfn.XLOOKUP(A459,Class_Players!$A:$A,Class_Players!$F:$F,"")</f>
        <v>9497</v>
      </c>
      <c r="I459" s="44">
        <f t="shared" si="107"/>
        <v>4.211856375697589E-4</v>
      </c>
      <c r="J459" s="43">
        <f t="shared" si="108"/>
        <v>0</v>
      </c>
      <c r="K459" s="44" cm="1">
        <f t="array" ref="K459">IF(D459="Gadget",_xlfn.IFS(I459&gt;=0.2,0.5,I459&gt;=0.1,0.35,I459&gt;=0.05,0.2,TRUE,0),IF(D459="Grenade",_xlfn.IFS(I459&gt;=0.2,1,I459&gt;=0.1,0.7,I459&gt;=0.05,0.4,TRUE,0),0))</f>
        <v>0</v>
      </c>
      <c r="L459" s="57">
        <f t="shared" si="110"/>
        <v>0</v>
      </c>
    </row>
    <row r="460" spans="1:12" x14ac:dyDescent="0.25">
      <c r="A460" s="42" t="str" cm="1">
        <f t="array" ref="A460">IFERROR(INDEX(_xlfn._xlws.FILTER(Class_Players!A:A,Class_Players!B:B="Engineer"),QUOTIENT(ROW()-ROW($A$2),12)+1),"")</f>
        <v>ThicccjMartian</v>
      </c>
      <c r="B460" s="42" t="str">
        <f>_xlfn.XLOOKUP(A460,Class_Players!$A:$A,Class_Players!$B:$B,"")</f>
        <v>Engineer</v>
      </c>
      <c r="C460" s="42" t="str" cm="1">
        <f t="array" ref="C460">INDEX(Lookups!$B$2:$B$13,MOD(ROW()-ROW($B$2),ROWS(Lookups!$B$2:$B$13))+1)</f>
        <v>RPG-7V2 (Unguided Rocket Launcher)</v>
      </c>
      <c r="D460" s="38" t="str">
        <f>_xlfn.XLOOKUP(C460,Analysis_Gadgets!$C:$C,Analysis_Gadgets!$B:$B)</f>
        <v>Gadget</v>
      </c>
      <c r="E460" s="43">
        <v>3720</v>
      </c>
      <c r="F460" s="43">
        <f>_xlfn.XLOOKUP(A460,Class_Players!A:A,Class_Players!G:G)</f>
        <v>107</v>
      </c>
      <c r="G460" s="43">
        <f t="shared" si="106"/>
        <v>34.766355140186917</v>
      </c>
      <c r="H460" s="43">
        <f>_xlfn.XLOOKUP(A460,Class_Players!$A:$A,Class_Players!$F:$F,"")</f>
        <v>9497</v>
      </c>
      <c r="I460" s="44">
        <f t="shared" si="107"/>
        <v>0.39170264293987572</v>
      </c>
      <c r="J460" s="43">
        <f t="shared" si="108"/>
        <v>1</v>
      </c>
      <c r="K460" s="44" cm="1">
        <f t="array" ref="K460">IF(D460="Gadget",_xlfn.IFS(I460&gt;=0.2,0.5,I460&gt;=0.1,0.35,I460&gt;=0.05,0.2,TRUE,0),IF(D460="Grenade",_xlfn.IFS(I460&gt;=0.2,1,I460&gt;=0.1,0.7,I460&gt;=0.05,0.4,TRUE,0),0))</f>
        <v>0.5</v>
      </c>
      <c r="L460" s="57">
        <f t="shared" si="110"/>
        <v>1</v>
      </c>
    </row>
    <row r="461" spans="1:12" x14ac:dyDescent="0.25">
      <c r="A461" s="42" t="str" cm="1">
        <f t="array" ref="A461">IFERROR(INDEX(_xlfn._xlws.FILTER(Class_Players!A:A,Class_Players!B:B="Engineer"),QUOTIENT(ROW()-ROW($A$2),12)+1),"")</f>
        <v>ThicccjMartian</v>
      </c>
      <c r="B461" s="42" t="str">
        <f>_xlfn.XLOOKUP(A461,Class_Players!$A:$A,Class_Players!$B:$B,"")</f>
        <v>Engineer</v>
      </c>
      <c r="C461" s="42" t="str" cm="1">
        <f t="array" ref="C461">INDEX(Lookups!$B$2:$B$13,MOD(ROW()-ROW($B$2),ROWS(Lookups!$B$2:$B$13))+1)</f>
        <v>MAS 148 (Long-Range Launcher)</v>
      </c>
      <c r="D461" s="38" t="str">
        <f>_xlfn.XLOOKUP(C461,Analysis_Gadgets!$C:$C,Analysis_Gadgets!$B:$B)</f>
        <v>Gadget</v>
      </c>
      <c r="E461" s="43">
        <v>0</v>
      </c>
      <c r="F461" s="43">
        <f>_xlfn.XLOOKUP(A461,Class_Players!A:A,Class_Players!G:G)</f>
        <v>107</v>
      </c>
      <c r="G461" s="43">
        <f t="shared" si="106"/>
        <v>0</v>
      </c>
      <c r="H461" s="43">
        <f>_xlfn.XLOOKUP(A461,Class_Players!$A:$A,Class_Players!$F:$F,"")</f>
        <v>9497</v>
      </c>
      <c r="I461" s="44">
        <f t="shared" si="107"/>
        <v>0</v>
      </c>
      <c r="J461" s="43">
        <f t="shared" si="108"/>
        <v>0</v>
      </c>
      <c r="K461" s="44" cm="1">
        <f t="array" ref="K461">IF(D461="Gadget",_xlfn.IFS(I461&gt;=0.2,0.5,I461&gt;=0.1,0.35,I461&gt;=0.05,0.2,TRUE,0),IF(D461="Grenade",_xlfn.IFS(I461&gt;=0.2,1,I461&gt;=0.1,0.7,I461&gt;=0.05,0.4,TRUE,0),0))</f>
        <v>0</v>
      </c>
      <c r="L461" s="57">
        <f t="shared" si="110"/>
        <v>0</v>
      </c>
    </row>
    <row r="462" spans="1:12" x14ac:dyDescent="0.25">
      <c r="A462" s="42" t="str" cm="1">
        <f t="array" ref="A462">IFERROR(INDEX(_xlfn._xlws.FILTER(Class_Players!A:A,Class_Players!B:B="Engineer"),QUOTIENT(ROW()-ROW($A$2),12)+1),"")</f>
        <v>ThicccjMartian</v>
      </c>
      <c r="B462" s="42" t="str">
        <f>_xlfn.XLOOKUP(A462,Class_Players!$A:$A,Class_Players!$B:$B,"")</f>
        <v>Engineer</v>
      </c>
      <c r="C462" s="42" t="str" cm="1">
        <f t="array" ref="C462">INDEX(Lookups!$B$2:$B$13,MOD(ROW()-ROW($B$2),ROWS(Lookups!$B$2:$B$13))+1)</f>
        <v>M136 AT (Aim-Guided Launcher)</v>
      </c>
      <c r="D462" s="38" t="str">
        <f>_xlfn.XLOOKUP(C462,Analysis_Gadgets!$C:$C,Analysis_Gadgets!$B:$B)</f>
        <v>Gadget</v>
      </c>
      <c r="E462" s="43">
        <v>0</v>
      </c>
      <c r="F462" s="43">
        <f>_xlfn.XLOOKUP(A462,Class_Players!A:A,Class_Players!G:G)</f>
        <v>107</v>
      </c>
      <c r="G462" s="43">
        <f t="shared" si="106"/>
        <v>0</v>
      </c>
      <c r="H462" s="43">
        <f>_xlfn.XLOOKUP(A462,Class_Players!$A:$A,Class_Players!$F:$F,"")</f>
        <v>9497</v>
      </c>
      <c r="I462" s="44">
        <f t="shared" si="107"/>
        <v>0</v>
      </c>
      <c r="J462" s="43">
        <f t="shared" si="108"/>
        <v>0</v>
      </c>
      <c r="K462" s="44" cm="1">
        <f t="array" ref="K462">IF(D462="Gadget",_xlfn.IFS(I462&gt;=0.2,0.5,I462&gt;=0.1,0.35,I462&gt;=0.05,0.2,TRUE,0),IF(D462="Grenade",_xlfn.IFS(I462&gt;=0.2,1,I462&gt;=0.1,0.7,I462&gt;=0.05,0.4,TRUE,0),0))</f>
        <v>0</v>
      </c>
      <c r="L462" s="57">
        <f t="shared" si="110"/>
        <v>0</v>
      </c>
    </row>
    <row r="463" spans="1:12" x14ac:dyDescent="0.25">
      <c r="A463" s="42" t="str" cm="1">
        <f t="array" ref="A463">IFERROR(INDEX(_xlfn._xlws.FILTER(Class_Players!A:A,Class_Players!B:B="Engineer"),QUOTIENT(ROW()-ROW($A$2),12)+1),"")</f>
        <v>ThicccjMartian</v>
      </c>
      <c r="B463" s="42" t="str">
        <f>_xlfn.XLOOKUP(A463,Class_Players!$A:$A,Class_Players!$B:$B,"")</f>
        <v>Engineer</v>
      </c>
      <c r="C463" s="42" t="str" cm="1">
        <f t="array" ref="C463">INDEX(Lookups!$B$2:$B$13,MOD(ROW()-ROW($B$2),ROWS(Lookups!$B$2:$B$13))+1)</f>
        <v>Supply Crate</v>
      </c>
      <c r="D463" s="38" t="str">
        <f>_xlfn.XLOOKUP(C463,Analysis_Gadgets!$C:$C,Analysis_Gadgets!$B:$B)</f>
        <v>Gadget</v>
      </c>
      <c r="E463" s="43">
        <v>0</v>
      </c>
      <c r="F463" s="43">
        <f>_xlfn.XLOOKUP(A463,Class_Players!A:A,Class_Players!G:G)</f>
        <v>107</v>
      </c>
      <c r="G463" s="43">
        <f t="shared" si="106"/>
        <v>0</v>
      </c>
      <c r="H463" s="43">
        <f>_xlfn.XLOOKUP(A463,Class_Players!$A:$A,Class_Players!$F:$F,"")</f>
        <v>9497</v>
      </c>
      <c r="I463" s="44">
        <f t="shared" si="107"/>
        <v>0</v>
      </c>
      <c r="J463" s="43">
        <f t="shared" si="108"/>
        <v>0</v>
      </c>
      <c r="K463" s="44" cm="1">
        <f t="array" ref="K463">IF(D463="Gadget",_xlfn.IFS(I463&gt;=0.2,0.5,I463&gt;=0.1,0.35,I463&gt;=0.05,0.2,TRUE,0),IF(D463="Grenade",_xlfn.IFS(I463&gt;=0.2,1,I463&gt;=0.1,0.7,I463&gt;=0.05,0.4,TRUE,0),0))</f>
        <v>0</v>
      </c>
      <c r="L463" s="57">
        <f t="shared" si="110"/>
        <v>0</v>
      </c>
    </row>
    <row r="464" spans="1:12" x14ac:dyDescent="0.25">
      <c r="A464" s="42" t="str" cm="1">
        <f t="array" ref="A464">IFERROR(INDEX(_xlfn._xlws.FILTER(Class_Players!A:A,Class_Players!B:B="Engineer"),QUOTIENT(ROW()-ROW($A$2),12)+1),"")</f>
        <v>ThicccjMartian</v>
      </c>
      <c r="B464" s="42" t="str">
        <f>_xlfn.XLOOKUP(A464,Class_Players!$A:$A,Class_Players!$B:$B,"")</f>
        <v>Engineer</v>
      </c>
      <c r="C464" s="42" t="str" cm="1">
        <f t="array" ref="C464">INDEX(Lookups!$B$2:$B$13,MOD(ROW()-ROW($B$2),ROWS(Lookups!$B$2:$B$13))+1)</f>
        <v>M15 (Anti-Vehicle Mine)</v>
      </c>
      <c r="D464" s="38" t="str">
        <f>_xlfn.XLOOKUP(C464,Analysis_Gadgets!$C:$C,Analysis_Gadgets!$B:$B)</f>
        <v>Gadget</v>
      </c>
      <c r="E464" s="43">
        <v>304</v>
      </c>
      <c r="F464" s="43">
        <f>_xlfn.XLOOKUP(A464,Class_Players!A:A,Class_Players!G:G)</f>
        <v>107</v>
      </c>
      <c r="G464" s="43">
        <f t="shared" si="106"/>
        <v>2.8411214953271027</v>
      </c>
      <c r="H464" s="43">
        <f>_xlfn.XLOOKUP(A464,Class_Players!$A:$A,Class_Players!$F:$F,"")</f>
        <v>9497</v>
      </c>
      <c r="I464" s="44">
        <f t="shared" si="107"/>
        <v>3.2010108455301674E-2</v>
      </c>
      <c r="J464" s="43">
        <f t="shared" si="108"/>
        <v>0</v>
      </c>
      <c r="K464" s="44" cm="1">
        <f t="array" ref="K464">IF(D464="Gadget",_xlfn.IFS(I464&gt;=0.2,0.5,I464&gt;=0.1,0.35,I464&gt;=0.05,0.2,TRUE,0),IF(D464="Grenade",_xlfn.IFS(I464&gt;=0.2,1,I464&gt;=0.1,0.7,I464&gt;=0.05,0.4,TRUE,0),0))</f>
        <v>0</v>
      </c>
      <c r="L464" s="57">
        <f t="shared" si="110"/>
        <v>0</v>
      </c>
    </row>
    <row r="465" spans="1:12" x14ac:dyDescent="0.25">
      <c r="A465" s="42" t="str" cm="1">
        <f t="array" ref="A465">IFERROR(INDEX(_xlfn._xlws.FILTER(Class_Players!A:A,Class_Players!B:B="Engineer"),QUOTIENT(ROW()-ROW($A$2),12)+1),"")</f>
        <v>ThicccjMartian</v>
      </c>
      <c r="B465" s="42" t="str">
        <f>_xlfn.XLOOKUP(A465,Class_Players!$A:$A,Class_Players!$B:$B,"")</f>
        <v>Engineer</v>
      </c>
      <c r="C465" s="42" t="str" cm="1">
        <f t="array" ref="C465">INDEX(Lookups!$B$2:$B$13,MOD(ROW()-ROW($B$2),ROWS(Lookups!$B$2:$B$13))+1)</f>
        <v>PTKM-1R (Acoustic Sensor AV Mine)</v>
      </c>
      <c r="D465" s="38" t="str">
        <f>_xlfn.XLOOKUP(C465,Analysis_Gadgets!$C:$C,Analysis_Gadgets!$B:$B)</f>
        <v>Gadget</v>
      </c>
      <c r="E465" s="43">
        <v>5</v>
      </c>
      <c r="F465" s="43">
        <f>_xlfn.XLOOKUP(A465,Class_Players!A:A,Class_Players!G:G)</f>
        <v>107</v>
      </c>
      <c r="G465" s="43">
        <f t="shared" si="106"/>
        <v>4.6728971962616821E-2</v>
      </c>
      <c r="H465" s="43">
        <f>_xlfn.XLOOKUP(A465,Class_Players!$A:$A,Class_Players!$F:$F,"")</f>
        <v>9497</v>
      </c>
      <c r="I465" s="44">
        <f t="shared" si="107"/>
        <v>5.2648204696219855E-4</v>
      </c>
      <c r="J465" s="43">
        <f t="shared" si="108"/>
        <v>0</v>
      </c>
      <c r="K465" s="44" cm="1">
        <f t="array" ref="K465">IF(D465="Gadget",_xlfn.IFS(I465&gt;=0.2,0.5,I465&gt;=0.1,0.35,I465&gt;=0.05,0.2,TRUE,0),IF(D465="Grenade",_xlfn.IFS(I465&gt;=0.2,1,I465&gt;=0.1,0.7,I465&gt;=0.05,0.4,TRUE,0),0))</f>
        <v>0</v>
      </c>
      <c r="L465" s="57">
        <f t="shared" si="110"/>
        <v>0</v>
      </c>
    </row>
    <row r="466" spans="1:12" x14ac:dyDescent="0.25">
      <c r="A466" s="42" t="str" cm="1">
        <f t="array" ref="A466">IFERROR(INDEX(_xlfn._xlws.FILTER(Class_Players!A:A,Class_Players!B:B="Engineer"),QUOTIENT(ROW()-ROW($A$2),12)+1),"")</f>
        <v>ThicccjMartian</v>
      </c>
      <c r="B466" s="42" t="str">
        <f>_xlfn.XLOOKUP(A466,Class_Players!$A:$A,Class_Players!$B:$B,"")</f>
        <v>Engineer</v>
      </c>
      <c r="C466" s="42" t="str" cm="1">
        <f t="array" ref="C466">INDEX(Lookups!$B$2:$B$13,MOD(ROW()-ROW($B$2),ROWS(Lookups!$B$2:$B$13))+1)</f>
        <v>EOD Bot</v>
      </c>
      <c r="D466" s="38" t="str">
        <f>_xlfn.XLOOKUP(C466,Analysis_Gadgets!$C:$C,Analysis_Gadgets!$B:$B)</f>
        <v>Gadget</v>
      </c>
      <c r="E466" s="43">
        <v>0</v>
      </c>
      <c r="F466" s="43">
        <f>_xlfn.XLOOKUP(A466,Class_Players!A:A,Class_Players!G:G)</f>
        <v>107</v>
      </c>
      <c r="G466" s="43">
        <f t="shared" si="106"/>
        <v>0</v>
      </c>
      <c r="H466" s="43">
        <f>_xlfn.XLOOKUP(A466,Class_Players!$A:$A,Class_Players!$F:$F,"")</f>
        <v>9497</v>
      </c>
      <c r="I466" s="44">
        <f t="shared" si="107"/>
        <v>0</v>
      </c>
      <c r="J466" s="43">
        <f t="shared" si="108"/>
        <v>0</v>
      </c>
      <c r="K466" s="44" cm="1">
        <f t="array" ref="K466">IF(D466="Gadget",_xlfn.IFS(I466&gt;=0.2,0.5,I466&gt;=0.1,0.35,I466&gt;=0.05,0.2,TRUE,0),IF(D466="Grenade",_xlfn.IFS(I466&gt;=0.2,1,I466&gt;=0.1,0.7,I466&gt;=0.05,0.4,TRUE,0),0))</f>
        <v>0</v>
      </c>
      <c r="L466" s="57">
        <f t="shared" si="110"/>
        <v>0</v>
      </c>
    </row>
    <row r="467" spans="1:12" x14ac:dyDescent="0.25">
      <c r="A467" s="42" t="str" cm="1">
        <f t="array" ref="A467">IFERROR(INDEX(_xlfn._xlws.FILTER(Class_Players!A:A,Class_Players!B:B="Engineer"),QUOTIENT(ROW()-ROW($A$2),12)+1),"")</f>
        <v>ThicccjMartian</v>
      </c>
      <c r="B467" s="42" t="str">
        <f>_xlfn.XLOOKUP(A467,Class_Players!$A:$A,Class_Players!$B:$B,"")</f>
        <v>Engineer</v>
      </c>
      <c r="C467" s="42" t="str" cm="1">
        <f t="array" ref="C467">INDEX(Lookups!$B$2:$B$13,MOD(ROW()-ROW($B$2),ROWS(Lookups!$B$2:$B$13))+1)</f>
        <v>M4A1 SLAM (Tripwire Sensor AV Mine)</v>
      </c>
      <c r="D467" s="38" t="str">
        <f>_xlfn.XLOOKUP(C467,Analysis_Gadgets!$C:$C,Analysis_Gadgets!$B:$B)</f>
        <v>Gadget</v>
      </c>
      <c r="E467" s="43">
        <v>0</v>
      </c>
      <c r="F467" s="43">
        <f>_xlfn.XLOOKUP(A467,Class_Players!A:A,Class_Players!G:G)</f>
        <v>107</v>
      </c>
      <c r="G467" s="43">
        <f t="shared" si="106"/>
        <v>0</v>
      </c>
      <c r="H467" s="43">
        <f>_xlfn.XLOOKUP(A467,Class_Players!$A:$A,Class_Players!$F:$F,"")</f>
        <v>9497</v>
      </c>
      <c r="I467" s="44">
        <f t="shared" si="107"/>
        <v>0</v>
      </c>
      <c r="J467" s="43">
        <f t="shared" si="108"/>
        <v>0</v>
      </c>
      <c r="K467" s="44" cm="1">
        <f t="array" ref="K467">IF(D467="Gadget",_xlfn.IFS(I467&gt;=0.2,0.5,I467&gt;=0.1,0.35,I467&gt;=0.05,0.2,TRUE,0),IF(D467="Grenade",_xlfn.IFS(I467&gt;=0.2,1,I467&gt;=0.1,0.7,I467&gt;=0.05,0.4,TRUE,0),0))</f>
        <v>0</v>
      </c>
      <c r="L467" s="57">
        <f t="shared" si="110"/>
        <v>0</v>
      </c>
    </row>
    <row r="468" spans="1:12" x14ac:dyDescent="0.25">
      <c r="A468" s="42" t="str" cm="1">
        <f t="array" ref="A468">IFERROR(INDEX(_xlfn._xlws.FILTER(Class_Players!A:A,Class_Players!B:B="Engineer"),QUOTIENT(ROW()-ROW($A$2),12)+1),"")</f>
        <v>ThicccjMartian</v>
      </c>
      <c r="B468" s="42" t="str">
        <f>_xlfn.XLOOKUP(A468,Class_Players!$A:$A,Class_Players!$B:$B,"")</f>
        <v>Engineer</v>
      </c>
      <c r="C468" s="42" t="str" cm="1">
        <f t="array" ref="C468">INDEX(Lookups!$B$2:$B$13,MOD(ROW()-ROW($B$2),ROWS(Lookups!$B$2:$B$13))+1)</f>
        <v>Mini Frag Grenade</v>
      </c>
      <c r="D468" s="38" t="str">
        <f>_xlfn.XLOOKUP(C468,Analysis_Gadgets!$C:$C,Analysis_Gadgets!$B:$B)</f>
        <v>Grenade</v>
      </c>
      <c r="E468" s="43">
        <v>0</v>
      </c>
      <c r="F468" s="43">
        <f>_xlfn.XLOOKUP(A468,Class_Players!A:A,Class_Players!G:G)</f>
        <v>107</v>
      </c>
      <c r="G468" s="43">
        <f t="shared" si="106"/>
        <v>0</v>
      </c>
      <c r="H468" s="43">
        <f>_xlfn.XLOOKUP(A468,Class_Players!$A:$A,Class_Players!$F:$F,"")</f>
        <v>9497</v>
      </c>
      <c r="I468" s="44">
        <f t="shared" si="107"/>
        <v>0</v>
      </c>
      <c r="J468" s="43">
        <f t="shared" si="108"/>
        <v>0</v>
      </c>
      <c r="K468" s="44" cm="1">
        <f t="array" ref="K468">IF(D468="Gadget",_xlfn.IFS(I468&gt;=0.2,0.5,I468&gt;=0.1,0.35,I468&gt;=0.05,0.2,TRUE,0),IF(D468="Grenade",_xlfn.IFS(I468&gt;=0.2,1,I468&gt;=0.1,0.7,I468&gt;=0.05,0.4,TRUE,0),0))</f>
        <v>0</v>
      </c>
      <c r="L468" s="57">
        <f t="shared" ref="L468:L469" si="111">IF($K468=0,0,$K468 / SUMIFS($K:$K,$A:$A,$A468,$D:$D,"Grenade"))</f>
        <v>0</v>
      </c>
    </row>
    <row r="469" spans="1:12" x14ac:dyDescent="0.25">
      <c r="A469" s="42" t="str" cm="1">
        <f t="array" ref="A469">IFERROR(INDEX(_xlfn._xlws.FILTER(Class_Players!A:A,Class_Players!B:B="Engineer"),QUOTIENT(ROW()-ROW($A$2),12)+1),"")</f>
        <v>ThicccjMartian</v>
      </c>
      <c r="B469" s="42" t="str">
        <f>_xlfn.XLOOKUP(A469,Class_Players!$A:$A,Class_Players!$B:$B,"")</f>
        <v>Engineer</v>
      </c>
      <c r="C469" s="42" t="str" cm="1">
        <f t="array" ref="C469">INDEX(Lookups!$B$2:$B$13,MOD(ROW()-ROW($B$2),ROWS(Lookups!$B$2:$B$13))+1)</f>
        <v>Anti-Vehicle Grenade</v>
      </c>
      <c r="D469" s="38" t="str">
        <f>_xlfn.XLOOKUP(C469,Analysis_Gadgets!$C:$C,Analysis_Gadgets!$B:$B)</f>
        <v>Grenade</v>
      </c>
      <c r="E469" s="43">
        <v>0</v>
      </c>
      <c r="F469" s="43">
        <f>_xlfn.XLOOKUP(A469,Class_Players!A:A,Class_Players!G:G)</f>
        <v>107</v>
      </c>
      <c r="G469" s="43">
        <f t="shared" si="106"/>
        <v>0</v>
      </c>
      <c r="H469" s="43">
        <f>_xlfn.XLOOKUP(A469,Class_Players!$A:$A,Class_Players!$F:$F,"")</f>
        <v>9497</v>
      </c>
      <c r="I469" s="44">
        <f t="shared" si="107"/>
        <v>0</v>
      </c>
      <c r="J469" s="43">
        <f t="shared" si="108"/>
        <v>0</v>
      </c>
      <c r="K469" s="44" cm="1">
        <f t="array" ref="K469">IF(D469="Gadget",_xlfn.IFS(I469&gt;=0.2,0.5,I469&gt;=0.1,0.35,I469&gt;=0.05,0.2,TRUE,0),IF(D469="Grenade",_xlfn.IFS(I469&gt;=0.2,1,I469&gt;=0.1,0.7,I469&gt;=0.05,0.4,TRUE,0),0))</f>
        <v>0</v>
      </c>
      <c r="L469" s="57">
        <f t="shared" si="111"/>
        <v>0</v>
      </c>
    </row>
    <row r="470" spans="1:12" x14ac:dyDescent="0.25">
      <c r="A470" s="42" t="str" cm="1">
        <f t="array" ref="A470">IFERROR(INDEX(_xlfn._xlws.FILTER(Class_Players!A:A,Class_Players!B:B="Engineer"),QUOTIENT(ROW()-ROW($A$2),12)+1),"")</f>
        <v>psdarazum</v>
      </c>
      <c r="B470" s="42" t="str">
        <f>_xlfn.XLOOKUP(A470,Class_Players!$A:$A,Class_Players!$B:$B,"")</f>
        <v>Engineer</v>
      </c>
      <c r="C470" s="42" t="str" cm="1">
        <f t="array" ref="C470">INDEX(Lookups!$B$2:$B$13,MOD(ROW()-ROW($B$2),ROWS(Lookups!$B$2:$B$13))+1)</f>
        <v>MBT-LAW (Auto-Guided Launcher)</v>
      </c>
      <c r="D470" s="38" t="str">
        <f>_xlfn.XLOOKUP(C470,Analysis_Gadgets!$C:$C,Analysis_Gadgets!$B:$B)</f>
        <v>Gadget</v>
      </c>
      <c r="E470" s="43">
        <v>0</v>
      </c>
      <c r="F470" s="43">
        <f>_xlfn.XLOOKUP(A470,Class_Players!A:A,Class_Players!G:G)</f>
        <v>118</v>
      </c>
      <c r="G470" s="43">
        <f t="shared" si="106"/>
        <v>0</v>
      </c>
      <c r="H470" s="43">
        <f>_xlfn.XLOOKUP(A470,Class_Players!$A:$A,Class_Players!$F:$F,"")</f>
        <v>9351</v>
      </c>
      <c r="I470" s="44">
        <f t="shared" si="107"/>
        <v>0</v>
      </c>
      <c r="J470" s="43">
        <f t="shared" si="108"/>
        <v>0</v>
      </c>
      <c r="K470" s="44" cm="1">
        <f t="array" ref="K470">IF(D470="Gadget",_xlfn.IFS(I470&gt;=0.2,0.5,I470&gt;=0.1,0.35,I470&gt;=0.05,0.2,TRUE,0),IF(D470="Grenade",_xlfn.IFS(I470&gt;=0.2,1,I470&gt;=0.1,0.7,I470&gt;=0.05,0.4,TRUE,0),0))</f>
        <v>0</v>
      </c>
      <c r="L470" s="57">
        <f t="shared" ref="L470:L479" si="112">IF($K470=0,0,$K470 / SUMIFS($K:$K,$A:$A,$A470,$D:$D,"Gadget"))</f>
        <v>0</v>
      </c>
    </row>
    <row r="471" spans="1:12" x14ac:dyDescent="0.25">
      <c r="A471" s="42" t="str" cm="1">
        <f t="array" ref="A471">IFERROR(INDEX(_xlfn._xlws.FILTER(Class_Players!A:A,Class_Players!B:B="Engineer"),QUOTIENT(ROW()-ROW($A$2),12)+1),"")</f>
        <v>psdarazum</v>
      </c>
      <c r="B471" s="42" t="str">
        <f>_xlfn.XLOOKUP(A471,Class_Players!$A:$A,Class_Players!$B:$B,"")</f>
        <v>Engineer</v>
      </c>
      <c r="C471" s="42" t="str" cm="1">
        <f t="array" ref="C471">INDEX(Lookups!$B$2:$B$13,MOD(ROW()-ROW($B$2),ROWS(Lookups!$B$2:$B$13))+1)</f>
        <v>SLM-93A (Air-Defense Launcher)</v>
      </c>
      <c r="D471" s="38" t="str">
        <f>_xlfn.XLOOKUP(C471,Analysis_Gadgets!$C:$C,Analysis_Gadgets!$B:$B)</f>
        <v>Gadget</v>
      </c>
      <c r="E471" s="43">
        <v>261</v>
      </c>
      <c r="F471" s="43">
        <f>_xlfn.XLOOKUP(A471,Class_Players!A:A,Class_Players!G:G)</f>
        <v>118</v>
      </c>
      <c r="G471" s="43">
        <f t="shared" si="106"/>
        <v>2.2118644067796609</v>
      </c>
      <c r="H471" s="43">
        <f>_xlfn.XLOOKUP(A471,Class_Players!$A:$A,Class_Players!$F:$F,"")</f>
        <v>9351</v>
      </c>
      <c r="I471" s="44">
        <f t="shared" si="107"/>
        <v>2.791145332050048E-2</v>
      </c>
      <c r="J471" s="43">
        <f t="shared" si="108"/>
        <v>0</v>
      </c>
      <c r="K471" s="44" cm="1">
        <f t="array" ref="K471">IF(D471="Gadget",_xlfn.IFS(I471&gt;=0.2,0.5,I471&gt;=0.1,0.35,I471&gt;=0.05,0.2,TRUE,0),IF(D471="Grenade",_xlfn.IFS(I471&gt;=0.2,1,I471&gt;=0.1,0.7,I471&gt;=0.05,0.4,TRUE,0),0))</f>
        <v>0</v>
      </c>
      <c r="L471" s="57">
        <f t="shared" si="112"/>
        <v>0</v>
      </c>
    </row>
    <row r="472" spans="1:12" x14ac:dyDescent="0.25">
      <c r="A472" s="42" t="str" cm="1">
        <f t="array" ref="A472">IFERROR(INDEX(_xlfn._xlws.FILTER(Class_Players!A:A,Class_Players!B:B="Engineer"),QUOTIENT(ROW()-ROW($A$2),12)+1),"")</f>
        <v>psdarazum</v>
      </c>
      <c r="B472" s="42" t="str">
        <f>_xlfn.XLOOKUP(A472,Class_Players!$A:$A,Class_Players!$B:$B,"")</f>
        <v>Engineer</v>
      </c>
      <c r="C472" s="42" t="str" cm="1">
        <f t="array" ref="C472">INDEX(Lookups!$B$2:$B$13,MOD(ROW()-ROW($B$2),ROWS(Lookups!$B$2:$B$13))+1)</f>
        <v>RPG-7V2 (Unguided Rocket Launcher)</v>
      </c>
      <c r="D472" s="38" t="str">
        <f>_xlfn.XLOOKUP(C472,Analysis_Gadgets!$C:$C,Analysis_Gadgets!$B:$B)</f>
        <v>Gadget</v>
      </c>
      <c r="E472" s="43">
        <v>5351</v>
      </c>
      <c r="F472" s="43">
        <f>_xlfn.XLOOKUP(A472,Class_Players!A:A,Class_Players!G:G)</f>
        <v>118</v>
      </c>
      <c r="G472" s="43">
        <f t="shared" si="106"/>
        <v>45.347457627118644</v>
      </c>
      <c r="H472" s="43">
        <f>_xlfn.XLOOKUP(A472,Class_Players!$A:$A,Class_Players!$F:$F,"")</f>
        <v>9351</v>
      </c>
      <c r="I472" s="44">
        <f t="shared" si="107"/>
        <v>0.57223826328734895</v>
      </c>
      <c r="J472" s="43">
        <f t="shared" si="108"/>
        <v>1</v>
      </c>
      <c r="K472" s="44" cm="1">
        <f t="array" ref="K472">IF(D472="Gadget",_xlfn.IFS(I472&gt;=0.2,0.5,I472&gt;=0.1,0.35,I472&gt;=0.05,0.2,TRUE,0),IF(D472="Grenade",_xlfn.IFS(I472&gt;=0.2,1,I472&gt;=0.1,0.7,I472&gt;=0.05,0.4,TRUE,0),0))</f>
        <v>0.5</v>
      </c>
      <c r="L472" s="57">
        <f t="shared" si="112"/>
        <v>0.5</v>
      </c>
    </row>
    <row r="473" spans="1:12" x14ac:dyDescent="0.25">
      <c r="A473" s="42" t="str" cm="1">
        <f t="array" ref="A473">IFERROR(INDEX(_xlfn._xlws.FILTER(Class_Players!A:A,Class_Players!B:B="Engineer"),QUOTIENT(ROW()-ROW($A$2),12)+1),"")</f>
        <v>psdarazum</v>
      </c>
      <c r="B473" s="42" t="str">
        <f>_xlfn.XLOOKUP(A473,Class_Players!$A:$A,Class_Players!$B:$B,"")</f>
        <v>Engineer</v>
      </c>
      <c r="C473" s="42" t="str" cm="1">
        <f t="array" ref="C473">INDEX(Lookups!$B$2:$B$13,MOD(ROW()-ROW($B$2),ROWS(Lookups!$B$2:$B$13))+1)</f>
        <v>MAS 148 (Long-Range Launcher)</v>
      </c>
      <c r="D473" s="38" t="str">
        <f>_xlfn.XLOOKUP(C473,Analysis_Gadgets!$C:$C,Analysis_Gadgets!$B:$B)</f>
        <v>Gadget</v>
      </c>
      <c r="E473" s="43">
        <v>91</v>
      </c>
      <c r="F473" s="43">
        <f>_xlfn.XLOOKUP(A473,Class_Players!A:A,Class_Players!G:G)</f>
        <v>118</v>
      </c>
      <c r="G473" s="43">
        <f t="shared" si="106"/>
        <v>0.77118644067796616</v>
      </c>
      <c r="H473" s="43">
        <f>_xlfn.XLOOKUP(A473,Class_Players!$A:$A,Class_Players!$F:$F,"")</f>
        <v>9351</v>
      </c>
      <c r="I473" s="44">
        <f t="shared" si="107"/>
        <v>9.7315795102128119E-3</v>
      </c>
      <c r="J473" s="43">
        <f t="shared" si="108"/>
        <v>0</v>
      </c>
      <c r="K473" s="44" cm="1">
        <f t="array" ref="K473">IF(D473="Gadget",_xlfn.IFS(I473&gt;=0.2,0.5,I473&gt;=0.1,0.35,I473&gt;=0.05,0.2,TRUE,0),IF(D473="Grenade",_xlfn.IFS(I473&gt;=0.2,1,I473&gt;=0.1,0.7,I473&gt;=0.05,0.4,TRUE,0),0))</f>
        <v>0</v>
      </c>
      <c r="L473" s="57">
        <f t="shared" si="112"/>
        <v>0</v>
      </c>
    </row>
    <row r="474" spans="1:12" x14ac:dyDescent="0.25">
      <c r="A474" s="42" t="str" cm="1">
        <f t="array" ref="A474">IFERROR(INDEX(_xlfn._xlws.FILTER(Class_Players!A:A,Class_Players!B:B="Engineer"),QUOTIENT(ROW()-ROW($A$2),12)+1),"")</f>
        <v>psdarazum</v>
      </c>
      <c r="B474" s="42" t="str">
        <f>_xlfn.XLOOKUP(A474,Class_Players!$A:$A,Class_Players!$B:$B,"")</f>
        <v>Engineer</v>
      </c>
      <c r="C474" s="42" t="str" cm="1">
        <f t="array" ref="C474">INDEX(Lookups!$B$2:$B$13,MOD(ROW()-ROW($B$2),ROWS(Lookups!$B$2:$B$13))+1)</f>
        <v>M136 AT (Aim-Guided Launcher)</v>
      </c>
      <c r="D474" s="38" t="str">
        <f>_xlfn.XLOOKUP(C474,Analysis_Gadgets!$C:$C,Analysis_Gadgets!$B:$B)</f>
        <v>Gadget</v>
      </c>
      <c r="E474" s="43">
        <v>13</v>
      </c>
      <c r="F474" s="43">
        <f>_xlfn.XLOOKUP(A474,Class_Players!A:A,Class_Players!G:G)</f>
        <v>118</v>
      </c>
      <c r="G474" s="43">
        <f t="shared" si="106"/>
        <v>0.11016949152542373</v>
      </c>
      <c r="H474" s="43">
        <f>_xlfn.XLOOKUP(A474,Class_Players!$A:$A,Class_Players!$F:$F,"")</f>
        <v>9351</v>
      </c>
      <c r="I474" s="44">
        <f t="shared" si="107"/>
        <v>1.390225644316116E-3</v>
      </c>
      <c r="J474" s="43">
        <f t="shared" si="108"/>
        <v>0</v>
      </c>
      <c r="K474" s="44" cm="1">
        <f t="array" ref="K474">IF(D474="Gadget",_xlfn.IFS(I474&gt;=0.2,0.5,I474&gt;=0.1,0.35,I474&gt;=0.05,0.2,TRUE,0),IF(D474="Grenade",_xlfn.IFS(I474&gt;=0.2,1,I474&gt;=0.1,0.7,I474&gt;=0.05,0.4,TRUE,0),0))</f>
        <v>0</v>
      </c>
      <c r="L474" s="57">
        <f t="shared" si="112"/>
        <v>0</v>
      </c>
    </row>
    <row r="475" spans="1:12" x14ac:dyDescent="0.25">
      <c r="A475" s="42" t="str" cm="1">
        <f t="array" ref="A475">IFERROR(INDEX(_xlfn._xlws.FILTER(Class_Players!A:A,Class_Players!B:B="Engineer"),QUOTIENT(ROW()-ROW($A$2),12)+1),"")</f>
        <v>psdarazum</v>
      </c>
      <c r="B475" s="42" t="str">
        <f>_xlfn.XLOOKUP(A475,Class_Players!$A:$A,Class_Players!$B:$B,"")</f>
        <v>Engineer</v>
      </c>
      <c r="C475" s="42" t="str" cm="1">
        <f t="array" ref="C475">INDEX(Lookups!$B$2:$B$13,MOD(ROW()-ROW($B$2),ROWS(Lookups!$B$2:$B$13))+1)</f>
        <v>Supply Crate</v>
      </c>
      <c r="D475" s="38" t="str">
        <f>_xlfn.XLOOKUP(C475,Analysis_Gadgets!$C:$C,Analysis_Gadgets!$B:$B)</f>
        <v>Gadget</v>
      </c>
      <c r="E475" s="43">
        <v>82</v>
      </c>
      <c r="F475" s="43">
        <f>_xlfn.XLOOKUP(A475,Class_Players!A:A,Class_Players!G:G)</f>
        <v>118</v>
      </c>
      <c r="G475" s="43">
        <f t="shared" si="106"/>
        <v>0.69491525423728817</v>
      </c>
      <c r="H475" s="43">
        <f>_xlfn.XLOOKUP(A475,Class_Players!$A:$A,Class_Players!$F:$F,"")</f>
        <v>9351</v>
      </c>
      <c r="I475" s="44">
        <f t="shared" si="107"/>
        <v>8.769115602609347E-3</v>
      </c>
      <c r="J475" s="43">
        <f t="shared" si="108"/>
        <v>0</v>
      </c>
      <c r="K475" s="44" cm="1">
        <f t="array" ref="K475">IF(D475="Gadget",_xlfn.IFS(I475&gt;=0.2,0.5,I475&gt;=0.1,0.35,I475&gt;=0.05,0.2,TRUE,0),IF(D475="Grenade",_xlfn.IFS(I475&gt;=0.2,1,I475&gt;=0.1,0.7,I475&gt;=0.05,0.4,TRUE,0),0))</f>
        <v>0</v>
      </c>
      <c r="L475" s="57">
        <f t="shared" si="112"/>
        <v>0</v>
      </c>
    </row>
    <row r="476" spans="1:12" x14ac:dyDescent="0.25">
      <c r="A476" s="42" t="str" cm="1">
        <f t="array" ref="A476">IFERROR(INDEX(_xlfn._xlws.FILTER(Class_Players!A:A,Class_Players!B:B="Engineer"),QUOTIENT(ROW()-ROW($A$2),12)+1),"")</f>
        <v>psdarazum</v>
      </c>
      <c r="B476" s="42" t="str">
        <f>_xlfn.XLOOKUP(A476,Class_Players!$A:$A,Class_Players!$B:$B,"")</f>
        <v>Engineer</v>
      </c>
      <c r="C476" s="42" t="str" cm="1">
        <f t="array" ref="C476">INDEX(Lookups!$B$2:$B$13,MOD(ROW()-ROW($B$2),ROWS(Lookups!$B$2:$B$13))+1)</f>
        <v>M15 (Anti-Vehicle Mine)</v>
      </c>
      <c r="D476" s="38" t="str">
        <f>_xlfn.XLOOKUP(C476,Analysis_Gadgets!$C:$C,Analysis_Gadgets!$B:$B)</f>
        <v>Gadget</v>
      </c>
      <c r="E476" s="43">
        <v>2080</v>
      </c>
      <c r="F476" s="43">
        <f>_xlfn.XLOOKUP(A476,Class_Players!A:A,Class_Players!G:G)</f>
        <v>118</v>
      </c>
      <c r="G476" s="43">
        <f t="shared" si="106"/>
        <v>17.627118644067796</v>
      </c>
      <c r="H476" s="43">
        <f>_xlfn.XLOOKUP(A476,Class_Players!$A:$A,Class_Players!$F:$F,"")</f>
        <v>9351</v>
      </c>
      <c r="I476" s="44">
        <f t="shared" si="107"/>
        <v>0.22243610309057854</v>
      </c>
      <c r="J476" s="43">
        <f t="shared" si="108"/>
        <v>1</v>
      </c>
      <c r="K476" s="44" cm="1">
        <f t="array" ref="K476">IF(D476="Gadget",_xlfn.IFS(I476&gt;=0.2,0.5,I476&gt;=0.1,0.35,I476&gt;=0.05,0.2,TRUE,0),IF(D476="Grenade",_xlfn.IFS(I476&gt;=0.2,1,I476&gt;=0.1,0.7,I476&gt;=0.05,0.4,TRUE,0),0))</f>
        <v>0.5</v>
      </c>
      <c r="L476" s="57">
        <f t="shared" si="112"/>
        <v>0.5</v>
      </c>
    </row>
    <row r="477" spans="1:12" x14ac:dyDescent="0.25">
      <c r="A477" s="42" t="str" cm="1">
        <f t="array" ref="A477">IFERROR(INDEX(_xlfn._xlws.FILTER(Class_Players!A:A,Class_Players!B:B="Engineer"),QUOTIENT(ROW()-ROW($A$2),12)+1),"")</f>
        <v>psdarazum</v>
      </c>
      <c r="B477" s="42" t="str">
        <f>_xlfn.XLOOKUP(A477,Class_Players!$A:$A,Class_Players!$B:$B,"")</f>
        <v>Engineer</v>
      </c>
      <c r="C477" s="42" t="str" cm="1">
        <f t="array" ref="C477">INDEX(Lookups!$B$2:$B$13,MOD(ROW()-ROW($B$2),ROWS(Lookups!$B$2:$B$13))+1)</f>
        <v>PTKM-1R (Acoustic Sensor AV Mine)</v>
      </c>
      <c r="D477" s="38" t="str">
        <f>_xlfn.XLOOKUP(C477,Analysis_Gadgets!$C:$C,Analysis_Gadgets!$B:$B)</f>
        <v>Gadget</v>
      </c>
      <c r="E477" s="43">
        <v>8</v>
      </c>
      <c r="F477" s="43">
        <f>_xlfn.XLOOKUP(A477,Class_Players!A:A,Class_Players!G:G)</f>
        <v>118</v>
      </c>
      <c r="G477" s="43">
        <f t="shared" si="106"/>
        <v>6.7796610169491525E-2</v>
      </c>
      <c r="H477" s="43">
        <f>_xlfn.XLOOKUP(A477,Class_Players!$A:$A,Class_Players!$F:$F,"")</f>
        <v>9351</v>
      </c>
      <c r="I477" s="44">
        <f t="shared" si="107"/>
        <v>8.5552347342530207E-4</v>
      </c>
      <c r="J477" s="43">
        <f t="shared" si="108"/>
        <v>0</v>
      </c>
      <c r="K477" s="44" cm="1">
        <f t="array" ref="K477">IF(D477="Gadget",_xlfn.IFS(I477&gt;=0.2,0.5,I477&gt;=0.1,0.35,I477&gt;=0.05,0.2,TRUE,0),IF(D477="Grenade",_xlfn.IFS(I477&gt;=0.2,1,I477&gt;=0.1,0.7,I477&gt;=0.05,0.4,TRUE,0),0))</f>
        <v>0</v>
      </c>
      <c r="L477" s="57">
        <f t="shared" si="112"/>
        <v>0</v>
      </c>
    </row>
    <row r="478" spans="1:12" x14ac:dyDescent="0.25">
      <c r="A478" s="42" t="str" cm="1">
        <f t="array" ref="A478">IFERROR(INDEX(_xlfn._xlws.FILTER(Class_Players!A:A,Class_Players!B:B="Engineer"),QUOTIENT(ROW()-ROW($A$2),12)+1),"")</f>
        <v>psdarazum</v>
      </c>
      <c r="B478" s="42" t="str">
        <f>_xlfn.XLOOKUP(A478,Class_Players!$A:$A,Class_Players!$B:$B,"")</f>
        <v>Engineer</v>
      </c>
      <c r="C478" s="42" t="str" cm="1">
        <f t="array" ref="C478">INDEX(Lookups!$B$2:$B$13,MOD(ROW()-ROW($B$2),ROWS(Lookups!$B$2:$B$13))+1)</f>
        <v>EOD Bot</v>
      </c>
      <c r="D478" s="38" t="str">
        <f>_xlfn.XLOOKUP(C478,Analysis_Gadgets!$C:$C,Analysis_Gadgets!$B:$B)</f>
        <v>Gadget</v>
      </c>
      <c r="E478" s="43">
        <v>346</v>
      </c>
      <c r="F478" s="43">
        <f>_xlfn.XLOOKUP(A478,Class_Players!A:A,Class_Players!G:G)</f>
        <v>118</v>
      </c>
      <c r="G478" s="43">
        <f t="shared" si="106"/>
        <v>2.9322033898305087</v>
      </c>
      <c r="H478" s="43">
        <f>_xlfn.XLOOKUP(A478,Class_Players!$A:$A,Class_Players!$F:$F,"")</f>
        <v>9351</v>
      </c>
      <c r="I478" s="44">
        <f t="shared" si="107"/>
        <v>3.7001390225644318E-2</v>
      </c>
      <c r="J478" s="43">
        <f t="shared" si="108"/>
        <v>0</v>
      </c>
      <c r="K478" s="44" cm="1">
        <f t="array" ref="K478">IF(D478="Gadget",_xlfn.IFS(I478&gt;=0.2,0.5,I478&gt;=0.1,0.35,I478&gt;=0.05,0.2,TRUE,0),IF(D478="Grenade",_xlfn.IFS(I478&gt;=0.2,1,I478&gt;=0.1,0.7,I478&gt;=0.05,0.4,TRUE,0),0))</f>
        <v>0</v>
      </c>
      <c r="L478" s="57">
        <f t="shared" si="112"/>
        <v>0</v>
      </c>
    </row>
    <row r="479" spans="1:12" x14ac:dyDescent="0.25">
      <c r="A479" s="42" t="str" cm="1">
        <f t="array" ref="A479">IFERROR(INDEX(_xlfn._xlws.FILTER(Class_Players!A:A,Class_Players!B:B="Engineer"),QUOTIENT(ROW()-ROW($A$2),12)+1),"")</f>
        <v>psdarazum</v>
      </c>
      <c r="B479" s="42" t="str">
        <f>_xlfn.XLOOKUP(A479,Class_Players!$A:$A,Class_Players!$B:$B,"")</f>
        <v>Engineer</v>
      </c>
      <c r="C479" s="42" t="str" cm="1">
        <f t="array" ref="C479">INDEX(Lookups!$B$2:$B$13,MOD(ROW()-ROW($B$2),ROWS(Lookups!$B$2:$B$13))+1)</f>
        <v>M4A1 SLAM (Tripwire Sensor AV Mine)</v>
      </c>
      <c r="D479" s="38" t="str">
        <f>_xlfn.XLOOKUP(C479,Analysis_Gadgets!$C:$C,Analysis_Gadgets!$B:$B)</f>
        <v>Gadget</v>
      </c>
      <c r="E479" s="43">
        <v>0</v>
      </c>
      <c r="F479" s="43">
        <f>_xlfn.XLOOKUP(A479,Class_Players!A:A,Class_Players!G:G)</f>
        <v>118</v>
      </c>
      <c r="G479" s="43">
        <f t="shared" si="106"/>
        <v>0</v>
      </c>
      <c r="H479" s="43">
        <f>_xlfn.XLOOKUP(A479,Class_Players!$A:$A,Class_Players!$F:$F,"")</f>
        <v>9351</v>
      </c>
      <c r="I479" s="44">
        <f t="shared" si="107"/>
        <v>0</v>
      </c>
      <c r="J479" s="43">
        <f t="shared" si="108"/>
        <v>0</v>
      </c>
      <c r="K479" s="44" cm="1">
        <f t="array" ref="K479">IF(D479="Gadget",_xlfn.IFS(I479&gt;=0.2,0.5,I479&gt;=0.1,0.35,I479&gt;=0.05,0.2,TRUE,0),IF(D479="Grenade",_xlfn.IFS(I479&gt;=0.2,1,I479&gt;=0.1,0.7,I479&gt;=0.05,0.4,TRUE,0),0))</f>
        <v>0</v>
      </c>
      <c r="L479" s="57">
        <f t="shared" si="112"/>
        <v>0</v>
      </c>
    </row>
    <row r="480" spans="1:12" x14ac:dyDescent="0.25">
      <c r="A480" s="42" t="str" cm="1">
        <f t="array" ref="A480">IFERROR(INDEX(_xlfn._xlws.FILTER(Class_Players!A:A,Class_Players!B:B="Engineer"),QUOTIENT(ROW()-ROW($A$2),12)+1),"")</f>
        <v>psdarazum</v>
      </c>
      <c r="B480" s="42" t="str">
        <f>_xlfn.XLOOKUP(A480,Class_Players!$A:$A,Class_Players!$B:$B,"")</f>
        <v>Engineer</v>
      </c>
      <c r="C480" s="42" t="str" cm="1">
        <f t="array" ref="C480">INDEX(Lookups!$B$2:$B$13,MOD(ROW()-ROW($B$2),ROWS(Lookups!$B$2:$B$13))+1)</f>
        <v>Mini Frag Grenade</v>
      </c>
      <c r="D480" s="38" t="str">
        <f>_xlfn.XLOOKUP(C480,Analysis_Gadgets!$C:$C,Analysis_Gadgets!$B:$B)</f>
        <v>Grenade</v>
      </c>
      <c r="E480" s="43">
        <v>2</v>
      </c>
      <c r="F480" s="43">
        <f>_xlfn.XLOOKUP(A480,Class_Players!A:A,Class_Players!G:G)</f>
        <v>118</v>
      </c>
      <c r="G480" s="43">
        <f t="shared" si="106"/>
        <v>1.6949152542372881E-2</v>
      </c>
      <c r="H480" s="43">
        <f>_xlfn.XLOOKUP(A480,Class_Players!$A:$A,Class_Players!$F:$F,"")</f>
        <v>9351</v>
      </c>
      <c r="I480" s="44">
        <f t="shared" si="107"/>
        <v>2.1388086835632552E-4</v>
      </c>
      <c r="J480" s="43">
        <f t="shared" si="108"/>
        <v>0</v>
      </c>
      <c r="K480" s="44" cm="1">
        <f t="array" ref="K480">IF(D480="Gadget",_xlfn.IFS(I480&gt;=0.2,0.5,I480&gt;=0.1,0.35,I480&gt;=0.05,0.2,TRUE,0),IF(D480="Grenade",_xlfn.IFS(I480&gt;=0.2,1,I480&gt;=0.1,0.7,I480&gt;=0.05,0.4,TRUE,0),0))</f>
        <v>0</v>
      </c>
      <c r="L480" s="57">
        <f t="shared" ref="L480:L481" si="113">IF($K480=0,0,$K480 / SUMIFS($K:$K,$A:$A,$A480,$D:$D,"Grenade"))</f>
        <v>0</v>
      </c>
    </row>
    <row r="481" spans="1:12" x14ac:dyDescent="0.25">
      <c r="A481" s="42" t="str" cm="1">
        <f t="array" ref="A481">IFERROR(INDEX(_xlfn._xlws.FILTER(Class_Players!A:A,Class_Players!B:B="Engineer"),QUOTIENT(ROW()-ROW($A$2),12)+1),"")</f>
        <v>psdarazum</v>
      </c>
      <c r="B481" s="42" t="str">
        <f>_xlfn.XLOOKUP(A481,Class_Players!$A:$A,Class_Players!$B:$B,"")</f>
        <v>Engineer</v>
      </c>
      <c r="C481" s="42" t="str" cm="1">
        <f t="array" ref="C481">INDEX(Lookups!$B$2:$B$13,MOD(ROW()-ROW($B$2),ROWS(Lookups!$B$2:$B$13))+1)</f>
        <v>Anti-Vehicle Grenade</v>
      </c>
      <c r="D481" s="38" t="str">
        <f>_xlfn.XLOOKUP(C481,Analysis_Gadgets!$C:$C,Analysis_Gadgets!$B:$B)</f>
        <v>Grenade</v>
      </c>
      <c r="E481" s="43">
        <v>0</v>
      </c>
      <c r="F481" s="43">
        <f>_xlfn.XLOOKUP(A481,Class_Players!A:A,Class_Players!G:G)</f>
        <v>118</v>
      </c>
      <c r="G481" s="43">
        <f t="shared" si="106"/>
        <v>0</v>
      </c>
      <c r="H481" s="43">
        <f>_xlfn.XLOOKUP(A481,Class_Players!$A:$A,Class_Players!$F:$F,"")</f>
        <v>9351</v>
      </c>
      <c r="I481" s="44">
        <f t="shared" si="107"/>
        <v>0</v>
      </c>
      <c r="J481" s="43">
        <f t="shared" si="108"/>
        <v>0</v>
      </c>
      <c r="K481" s="44" cm="1">
        <f t="array" ref="K481">IF(D481="Gadget",_xlfn.IFS(I481&gt;=0.2,0.5,I481&gt;=0.1,0.35,I481&gt;=0.05,0.2,TRUE,0),IF(D481="Grenade",_xlfn.IFS(I481&gt;=0.2,1,I481&gt;=0.1,0.7,I481&gt;=0.05,0.4,TRUE,0),0))</f>
        <v>0</v>
      </c>
      <c r="L481" s="57">
        <f t="shared" si="113"/>
        <v>0</v>
      </c>
    </row>
    <row r="482" spans="1:12" x14ac:dyDescent="0.25">
      <c r="A482" s="42" t="str" cm="1">
        <f t="array" ref="A482">IFERROR(INDEX(_xlfn._xlws.FILTER(Class_Players!A:A,Class_Players!B:B="Engineer"),QUOTIENT(ROW()-ROW($A$2),12)+1),"")</f>
        <v>mzklopyu</v>
      </c>
      <c r="B482" s="42" t="str">
        <f>_xlfn.XLOOKUP(A482,Class_Players!$A:$A,Class_Players!$B:$B,"")</f>
        <v>Engineer</v>
      </c>
      <c r="C482" s="42" t="str" cm="1">
        <f t="array" ref="C482">INDEX(Lookups!$B$2:$B$13,MOD(ROW()-ROW($B$2),ROWS(Lookups!$B$2:$B$13))+1)</f>
        <v>MBT-LAW (Auto-Guided Launcher)</v>
      </c>
      <c r="D482" s="38" t="str">
        <f>_xlfn.XLOOKUP(C482,Analysis_Gadgets!$C:$C,Analysis_Gadgets!$B:$B)</f>
        <v>Gadget</v>
      </c>
      <c r="E482" s="43">
        <v>0</v>
      </c>
      <c r="F482" s="43">
        <f>_xlfn.XLOOKUP(A482,Class_Players!A:A,Class_Players!G:G)</f>
        <v>244</v>
      </c>
      <c r="G482" s="43">
        <f t="shared" si="106"/>
        <v>0</v>
      </c>
      <c r="H482" s="43">
        <f>_xlfn.XLOOKUP(A482,Class_Players!$A:$A,Class_Players!$F:$F,"")</f>
        <v>14159</v>
      </c>
      <c r="I482" s="44">
        <f t="shared" si="107"/>
        <v>0</v>
      </c>
      <c r="J482" s="43">
        <f t="shared" si="108"/>
        <v>0</v>
      </c>
      <c r="K482" s="44" cm="1">
        <f t="array" ref="K482">IF(D482="Gadget",_xlfn.IFS(I482&gt;=0.2,0.5,I482&gt;=0.1,0.35,I482&gt;=0.05,0.2,TRUE,0),IF(D482="Grenade",_xlfn.IFS(I482&gt;=0.2,1,I482&gt;=0.1,0.7,I482&gt;=0.05,0.4,TRUE,0),0))</f>
        <v>0</v>
      </c>
      <c r="L482" s="57">
        <f t="shared" ref="L482:L491" si="114">IF($K482=0,0,$K482 / SUMIFS($K:$K,$A:$A,$A482,$D:$D,"Gadget"))</f>
        <v>0</v>
      </c>
    </row>
    <row r="483" spans="1:12" x14ac:dyDescent="0.25">
      <c r="A483" s="42" t="str" cm="1">
        <f t="array" ref="A483">IFERROR(INDEX(_xlfn._xlws.FILTER(Class_Players!A:A,Class_Players!B:B="Engineer"),QUOTIENT(ROW()-ROW($A$2),12)+1),"")</f>
        <v>mzklopyu</v>
      </c>
      <c r="B483" s="42" t="str">
        <f>_xlfn.XLOOKUP(A483,Class_Players!$A:$A,Class_Players!$B:$B,"")</f>
        <v>Engineer</v>
      </c>
      <c r="C483" s="42" t="str" cm="1">
        <f t="array" ref="C483">INDEX(Lookups!$B$2:$B$13,MOD(ROW()-ROW($B$2),ROWS(Lookups!$B$2:$B$13))+1)</f>
        <v>SLM-93A (Air-Defense Launcher)</v>
      </c>
      <c r="D483" s="38" t="str">
        <f>_xlfn.XLOOKUP(C483,Analysis_Gadgets!$C:$C,Analysis_Gadgets!$B:$B)</f>
        <v>Gadget</v>
      </c>
      <c r="E483" s="43">
        <v>186</v>
      </c>
      <c r="F483" s="43">
        <f>_xlfn.XLOOKUP(A483,Class_Players!A:A,Class_Players!G:G)</f>
        <v>244</v>
      </c>
      <c r="G483" s="43">
        <f t="shared" si="106"/>
        <v>0.76229508196721307</v>
      </c>
      <c r="H483" s="43">
        <f>_xlfn.XLOOKUP(A483,Class_Players!$A:$A,Class_Players!$F:$F,"")</f>
        <v>14159</v>
      </c>
      <c r="I483" s="44">
        <f t="shared" si="107"/>
        <v>1.3136520940744403E-2</v>
      </c>
      <c r="J483" s="43">
        <f t="shared" si="108"/>
        <v>0</v>
      </c>
      <c r="K483" s="44" cm="1">
        <f t="array" ref="K483">IF(D483="Gadget",_xlfn.IFS(I483&gt;=0.2,0.5,I483&gt;=0.1,0.35,I483&gt;=0.05,0.2,TRUE,0),IF(D483="Grenade",_xlfn.IFS(I483&gt;=0.2,1,I483&gt;=0.1,0.7,I483&gt;=0.05,0.4,TRUE,0),0))</f>
        <v>0</v>
      </c>
      <c r="L483" s="57">
        <f t="shared" si="114"/>
        <v>0</v>
      </c>
    </row>
    <row r="484" spans="1:12" x14ac:dyDescent="0.25">
      <c r="A484" s="42" t="str" cm="1">
        <f t="array" ref="A484">IFERROR(INDEX(_xlfn._xlws.FILTER(Class_Players!A:A,Class_Players!B:B="Engineer"),QUOTIENT(ROW()-ROW($A$2),12)+1),"")</f>
        <v>mzklopyu</v>
      </c>
      <c r="B484" s="42" t="str">
        <f>_xlfn.XLOOKUP(A484,Class_Players!$A:$A,Class_Players!$B:$B,"")</f>
        <v>Engineer</v>
      </c>
      <c r="C484" s="42" t="str" cm="1">
        <f t="array" ref="C484">INDEX(Lookups!$B$2:$B$13,MOD(ROW()-ROW($B$2),ROWS(Lookups!$B$2:$B$13))+1)</f>
        <v>RPG-7V2 (Unguided Rocket Launcher)</v>
      </c>
      <c r="D484" s="38" t="str">
        <f>_xlfn.XLOOKUP(C484,Analysis_Gadgets!$C:$C,Analysis_Gadgets!$B:$B)</f>
        <v>Gadget</v>
      </c>
      <c r="E484" s="43">
        <v>3826</v>
      </c>
      <c r="F484" s="43">
        <f>_xlfn.XLOOKUP(A484,Class_Players!A:A,Class_Players!G:G)</f>
        <v>244</v>
      </c>
      <c r="G484" s="43">
        <f t="shared" si="106"/>
        <v>15.680327868852459</v>
      </c>
      <c r="H484" s="43">
        <f>_xlfn.XLOOKUP(A484,Class_Players!$A:$A,Class_Players!$F:$F,"")</f>
        <v>14159</v>
      </c>
      <c r="I484" s="44">
        <f t="shared" si="107"/>
        <v>0.27021682322197893</v>
      </c>
      <c r="J484" s="43">
        <f t="shared" si="108"/>
        <v>1</v>
      </c>
      <c r="K484" s="44" cm="1">
        <f t="array" ref="K484">IF(D484="Gadget",_xlfn.IFS(I484&gt;=0.2,0.5,I484&gt;=0.1,0.35,I484&gt;=0.05,0.2,TRUE,0),IF(D484="Grenade",_xlfn.IFS(I484&gt;=0.2,1,I484&gt;=0.1,0.7,I484&gt;=0.05,0.4,TRUE,0),0))</f>
        <v>0.5</v>
      </c>
      <c r="L484" s="57">
        <f t="shared" si="114"/>
        <v>0.58823529411764708</v>
      </c>
    </row>
    <row r="485" spans="1:12" x14ac:dyDescent="0.25">
      <c r="A485" s="42" t="str" cm="1">
        <f t="array" ref="A485">IFERROR(INDEX(_xlfn._xlws.FILTER(Class_Players!A:A,Class_Players!B:B="Engineer"),QUOTIENT(ROW()-ROW($A$2),12)+1),"")</f>
        <v>mzklopyu</v>
      </c>
      <c r="B485" s="42" t="str">
        <f>_xlfn.XLOOKUP(A485,Class_Players!$A:$A,Class_Players!$B:$B,"")</f>
        <v>Engineer</v>
      </c>
      <c r="C485" s="42" t="str" cm="1">
        <f t="array" ref="C485">INDEX(Lookups!$B$2:$B$13,MOD(ROW()-ROW($B$2),ROWS(Lookups!$B$2:$B$13))+1)</f>
        <v>MAS 148 (Long-Range Launcher)</v>
      </c>
      <c r="D485" s="38" t="str">
        <f>_xlfn.XLOOKUP(C485,Analysis_Gadgets!$C:$C,Analysis_Gadgets!$B:$B)</f>
        <v>Gadget</v>
      </c>
      <c r="E485" s="43">
        <v>225</v>
      </c>
      <c r="F485" s="43">
        <f>_xlfn.XLOOKUP(A485,Class_Players!A:A,Class_Players!G:G)</f>
        <v>244</v>
      </c>
      <c r="G485" s="43">
        <f t="shared" si="106"/>
        <v>0.92213114754098358</v>
      </c>
      <c r="H485" s="43">
        <f>_xlfn.XLOOKUP(A485,Class_Players!$A:$A,Class_Players!$F:$F,"")</f>
        <v>14159</v>
      </c>
      <c r="I485" s="44">
        <f t="shared" si="107"/>
        <v>1.5890952750900487E-2</v>
      </c>
      <c r="J485" s="43">
        <f t="shared" si="108"/>
        <v>0</v>
      </c>
      <c r="K485" s="44" cm="1">
        <f t="array" ref="K485">IF(D485="Gadget",_xlfn.IFS(I485&gt;=0.2,0.5,I485&gt;=0.1,0.35,I485&gt;=0.05,0.2,TRUE,0),IF(D485="Grenade",_xlfn.IFS(I485&gt;=0.2,1,I485&gt;=0.1,0.7,I485&gt;=0.05,0.4,TRUE,0),0))</f>
        <v>0</v>
      </c>
      <c r="L485" s="57">
        <f t="shared" si="114"/>
        <v>0</v>
      </c>
    </row>
    <row r="486" spans="1:12" x14ac:dyDescent="0.25">
      <c r="A486" s="42" t="str" cm="1">
        <f t="array" ref="A486">IFERROR(INDEX(_xlfn._xlws.FILTER(Class_Players!A:A,Class_Players!B:B="Engineer"),QUOTIENT(ROW()-ROW($A$2),12)+1),"")</f>
        <v>mzklopyu</v>
      </c>
      <c r="B486" s="42" t="str">
        <f>_xlfn.XLOOKUP(A486,Class_Players!$A:$A,Class_Players!$B:$B,"")</f>
        <v>Engineer</v>
      </c>
      <c r="C486" s="42" t="str" cm="1">
        <f t="array" ref="C486">INDEX(Lookups!$B$2:$B$13,MOD(ROW()-ROW($B$2),ROWS(Lookups!$B$2:$B$13))+1)</f>
        <v>M136 AT (Aim-Guided Launcher)</v>
      </c>
      <c r="D486" s="38" t="str">
        <f>_xlfn.XLOOKUP(C486,Analysis_Gadgets!$C:$C,Analysis_Gadgets!$B:$B)</f>
        <v>Gadget</v>
      </c>
      <c r="E486" s="43">
        <v>482</v>
      </c>
      <c r="F486" s="43">
        <f>_xlfn.XLOOKUP(A486,Class_Players!A:A,Class_Players!G:G)</f>
        <v>244</v>
      </c>
      <c r="G486" s="43">
        <f t="shared" si="106"/>
        <v>1.9754098360655739</v>
      </c>
      <c r="H486" s="43">
        <f>_xlfn.XLOOKUP(A486,Class_Players!$A:$A,Class_Players!$F:$F,"")</f>
        <v>14159</v>
      </c>
      <c r="I486" s="44">
        <f t="shared" si="107"/>
        <v>3.4041952115262376E-2</v>
      </c>
      <c r="J486" s="43">
        <f t="shared" si="108"/>
        <v>0</v>
      </c>
      <c r="K486" s="44" cm="1">
        <f t="array" ref="K486">IF(D486="Gadget",_xlfn.IFS(I486&gt;=0.2,0.5,I486&gt;=0.1,0.35,I486&gt;=0.05,0.2,TRUE,0),IF(D486="Grenade",_xlfn.IFS(I486&gt;=0.2,1,I486&gt;=0.1,0.7,I486&gt;=0.05,0.4,TRUE,0),0))</f>
        <v>0</v>
      </c>
      <c r="L486" s="57">
        <f t="shared" si="114"/>
        <v>0</v>
      </c>
    </row>
    <row r="487" spans="1:12" x14ac:dyDescent="0.25">
      <c r="A487" s="42" t="str" cm="1">
        <f t="array" ref="A487">IFERROR(INDEX(_xlfn._xlws.FILTER(Class_Players!A:A,Class_Players!B:B="Engineer"),QUOTIENT(ROW()-ROW($A$2),12)+1),"")</f>
        <v>mzklopyu</v>
      </c>
      <c r="B487" s="42" t="str">
        <f>_xlfn.XLOOKUP(A487,Class_Players!$A:$A,Class_Players!$B:$B,"")</f>
        <v>Engineer</v>
      </c>
      <c r="C487" s="42" t="str" cm="1">
        <f t="array" ref="C487">INDEX(Lookups!$B$2:$B$13,MOD(ROW()-ROW($B$2),ROWS(Lookups!$B$2:$B$13))+1)</f>
        <v>Supply Crate</v>
      </c>
      <c r="D487" s="38" t="str">
        <f>_xlfn.XLOOKUP(C487,Analysis_Gadgets!$C:$C,Analysis_Gadgets!$B:$B)</f>
        <v>Gadget</v>
      </c>
      <c r="E487" s="43">
        <v>130</v>
      </c>
      <c r="F487" s="43">
        <f>_xlfn.XLOOKUP(A487,Class_Players!A:A,Class_Players!G:G)</f>
        <v>244</v>
      </c>
      <c r="G487" s="43">
        <f t="shared" si="106"/>
        <v>0.53278688524590168</v>
      </c>
      <c r="H487" s="43">
        <f>_xlfn.XLOOKUP(A487,Class_Players!$A:$A,Class_Players!$F:$F,"")</f>
        <v>14159</v>
      </c>
      <c r="I487" s="44">
        <f t="shared" si="107"/>
        <v>9.1814393671869488E-3</v>
      </c>
      <c r="J487" s="43">
        <f t="shared" si="108"/>
        <v>0</v>
      </c>
      <c r="K487" s="44" cm="1">
        <f t="array" ref="K487">IF(D487="Gadget",_xlfn.IFS(I487&gt;=0.2,0.5,I487&gt;=0.1,0.35,I487&gt;=0.05,0.2,TRUE,0),IF(D487="Grenade",_xlfn.IFS(I487&gt;=0.2,1,I487&gt;=0.1,0.7,I487&gt;=0.05,0.4,TRUE,0),0))</f>
        <v>0</v>
      </c>
      <c r="L487" s="57">
        <f t="shared" si="114"/>
        <v>0</v>
      </c>
    </row>
    <row r="488" spans="1:12" x14ac:dyDescent="0.25">
      <c r="A488" s="42" t="str" cm="1">
        <f t="array" ref="A488">IFERROR(INDEX(_xlfn._xlws.FILTER(Class_Players!A:A,Class_Players!B:B="Engineer"),QUOTIENT(ROW()-ROW($A$2),12)+1),"")</f>
        <v>mzklopyu</v>
      </c>
      <c r="B488" s="42" t="str">
        <f>_xlfn.XLOOKUP(A488,Class_Players!$A:$A,Class_Players!$B:$B,"")</f>
        <v>Engineer</v>
      </c>
      <c r="C488" s="42" t="str" cm="1">
        <f t="array" ref="C488">INDEX(Lookups!$B$2:$B$13,MOD(ROW()-ROW($B$2),ROWS(Lookups!$B$2:$B$13))+1)</f>
        <v>M15 (Anti-Vehicle Mine)</v>
      </c>
      <c r="D488" s="38" t="str">
        <f>_xlfn.XLOOKUP(C488,Analysis_Gadgets!$C:$C,Analysis_Gadgets!$B:$B)</f>
        <v>Gadget</v>
      </c>
      <c r="E488" s="43">
        <v>195</v>
      </c>
      <c r="F488" s="43">
        <f>_xlfn.XLOOKUP(A488,Class_Players!A:A,Class_Players!G:G)</f>
        <v>244</v>
      </c>
      <c r="G488" s="43">
        <f t="shared" si="106"/>
        <v>0.79918032786885251</v>
      </c>
      <c r="H488" s="43">
        <f>_xlfn.XLOOKUP(A488,Class_Players!$A:$A,Class_Players!$F:$F,"")</f>
        <v>14159</v>
      </c>
      <c r="I488" s="44">
        <f t="shared" si="107"/>
        <v>1.3772159050780422E-2</v>
      </c>
      <c r="J488" s="43">
        <f t="shared" si="108"/>
        <v>0</v>
      </c>
      <c r="K488" s="44" cm="1">
        <f t="array" ref="K488">IF(D488="Gadget",_xlfn.IFS(I488&gt;=0.2,0.5,I488&gt;=0.1,0.35,I488&gt;=0.05,0.2,TRUE,0),IF(D488="Grenade",_xlfn.IFS(I488&gt;=0.2,1,I488&gt;=0.1,0.7,I488&gt;=0.05,0.4,TRUE,0),0))</f>
        <v>0</v>
      </c>
      <c r="L488" s="57">
        <f t="shared" si="114"/>
        <v>0</v>
      </c>
    </row>
    <row r="489" spans="1:12" x14ac:dyDescent="0.25">
      <c r="A489" s="42" t="str" cm="1">
        <f t="array" ref="A489">IFERROR(INDEX(_xlfn._xlws.FILTER(Class_Players!A:A,Class_Players!B:B="Engineer"),QUOTIENT(ROW()-ROW($A$2),12)+1),"")</f>
        <v>mzklopyu</v>
      </c>
      <c r="B489" s="42" t="str">
        <f>_xlfn.XLOOKUP(A489,Class_Players!$A:$A,Class_Players!$B:$B,"")</f>
        <v>Engineer</v>
      </c>
      <c r="C489" s="42" t="str" cm="1">
        <f t="array" ref="C489">INDEX(Lookups!$B$2:$B$13,MOD(ROW()-ROW($B$2),ROWS(Lookups!$B$2:$B$13))+1)</f>
        <v>PTKM-1R (Acoustic Sensor AV Mine)</v>
      </c>
      <c r="D489" s="38" t="str">
        <f>_xlfn.XLOOKUP(C489,Analysis_Gadgets!$C:$C,Analysis_Gadgets!$B:$B)</f>
        <v>Gadget</v>
      </c>
      <c r="E489" s="43">
        <v>47</v>
      </c>
      <c r="F489" s="43">
        <f>_xlfn.XLOOKUP(A489,Class_Players!A:A,Class_Players!G:G)</f>
        <v>244</v>
      </c>
      <c r="G489" s="43">
        <f t="shared" si="106"/>
        <v>0.19262295081967212</v>
      </c>
      <c r="H489" s="43">
        <f>_xlfn.XLOOKUP(A489,Class_Players!$A:$A,Class_Players!$F:$F,"")</f>
        <v>14159</v>
      </c>
      <c r="I489" s="44">
        <f t="shared" si="107"/>
        <v>3.3194434635214353E-3</v>
      </c>
      <c r="J489" s="43">
        <f t="shared" si="108"/>
        <v>0</v>
      </c>
      <c r="K489" s="44" cm="1">
        <f t="array" ref="K489">IF(D489="Gadget",_xlfn.IFS(I489&gt;=0.2,0.5,I489&gt;=0.1,0.35,I489&gt;=0.05,0.2,TRUE,0),IF(D489="Grenade",_xlfn.IFS(I489&gt;=0.2,1,I489&gt;=0.1,0.7,I489&gt;=0.05,0.4,TRUE,0),0))</f>
        <v>0</v>
      </c>
      <c r="L489" s="57">
        <f t="shared" si="114"/>
        <v>0</v>
      </c>
    </row>
    <row r="490" spans="1:12" x14ac:dyDescent="0.25">
      <c r="A490" s="42" t="str" cm="1">
        <f t="array" ref="A490">IFERROR(INDEX(_xlfn._xlws.FILTER(Class_Players!A:A,Class_Players!B:B="Engineer"),QUOTIENT(ROW()-ROW($A$2),12)+1),"")</f>
        <v>mzklopyu</v>
      </c>
      <c r="B490" s="42" t="str">
        <f>_xlfn.XLOOKUP(A490,Class_Players!$A:$A,Class_Players!$B:$B,"")</f>
        <v>Engineer</v>
      </c>
      <c r="C490" s="42" t="str" cm="1">
        <f t="array" ref="C490">INDEX(Lookups!$B$2:$B$13,MOD(ROW()-ROW($B$2),ROWS(Lookups!$B$2:$B$13))+1)</f>
        <v>EOD Bot</v>
      </c>
      <c r="D490" s="38" t="str">
        <f>_xlfn.XLOOKUP(C490,Analysis_Gadgets!$C:$C,Analysis_Gadgets!$B:$B)</f>
        <v>Gadget</v>
      </c>
      <c r="E490" s="43">
        <v>129</v>
      </c>
      <c r="F490" s="43">
        <f>_xlfn.XLOOKUP(A490,Class_Players!A:A,Class_Players!G:G)</f>
        <v>244</v>
      </c>
      <c r="G490" s="43">
        <f t="shared" si="106"/>
        <v>0.52868852459016391</v>
      </c>
      <c r="H490" s="43">
        <f>_xlfn.XLOOKUP(A490,Class_Players!$A:$A,Class_Players!$F:$F,"")</f>
        <v>14159</v>
      </c>
      <c r="I490" s="44">
        <f t="shared" si="107"/>
        <v>9.1108129105162798E-3</v>
      </c>
      <c r="J490" s="43">
        <f t="shared" si="108"/>
        <v>0</v>
      </c>
      <c r="K490" s="44" cm="1">
        <f t="array" ref="K490">IF(D490="Gadget",_xlfn.IFS(I490&gt;=0.2,0.5,I490&gt;=0.1,0.35,I490&gt;=0.05,0.2,TRUE,0),IF(D490="Grenade",_xlfn.IFS(I490&gt;=0.2,1,I490&gt;=0.1,0.7,I490&gt;=0.05,0.4,TRUE,0),0))</f>
        <v>0</v>
      </c>
      <c r="L490" s="57">
        <f t="shared" si="114"/>
        <v>0</v>
      </c>
    </row>
    <row r="491" spans="1:12" x14ac:dyDescent="0.25">
      <c r="A491" s="42" t="str" cm="1">
        <f t="array" ref="A491">IFERROR(INDEX(_xlfn._xlws.FILTER(Class_Players!A:A,Class_Players!B:B="Engineer"),QUOTIENT(ROW()-ROW($A$2),12)+1),"")</f>
        <v>mzklopyu</v>
      </c>
      <c r="B491" s="42" t="str">
        <f>_xlfn.XLOOKUP(A491,Class_Players!$A:$A,Class_Players!$B:$B,"")</f>
        <v>Engineer</v>
      </c>
      <c r="C491" s="42" t="str" cm="1">
        <f t="array" ref="C491">INDEX(Lookups!$B$2:$B$13,MOD(ROW()-ROW($B$2),ROWS(Lookups!$B$2:$B$13))+1)</f>
        <v>M4A1 SLAM (Tripwire Sensor AV Mine)</v>
      </c>
      <c r="D491" s="38" t="str">
        <f>_xlfn.XLOOKUP(C491,Analysis_Gadgets!$C:$C,Analysis_Gadgets!$B:$B)</f>
        <v>Gadget</v>
      </c>
      <c r="E491" s="43">
        <v>1542</v>
      </c>
      <c r="F491" s="43">
        <f>_xlfn.XLOOKUP(A491,Class_Players!A:A,Class_Players!G:G)</f>
        <v>244</v>
      </c>
      <c r="G491" s="43">
        <f t="shared" si="106"/>
        <v>6.3196721311475406</v>
      </c>
      <c r="H491" s="43">
        <f>_xlfn.XLOOKUP(A491,Class_Players!$A:$A,Class_Players!$F:$F,"")</f>
        <v>14159</v>
      </c>
      <c r="I491" s="44">
        <f t="shared" si="107"/>
        <v>0.10890599618617133</v>
      </c>
      <c r="J491" s="43">
        <f t="shared" si="108"/>
        <v>1</v>
      </c>
      <c r="K491" s="44" cm="1">
        <f t="array" ref="K491">IF(D491="Gadget",_xlfn.IFS(I491&gt;=0.2,0.5,I491&gt;=0.1,0.35,I491&gt;=0.05,0.2,TRUE,0),IF(D491="Grenade",_xlfn.IFS(I491&gt;=0.2,1,I491&gt;=0.1,0.7,I491&gt;=0.05,0.4,TRUE,0),0))</f>
        <v>0.35</v>
      </c>
      <c r="L491" s="57">
        <f t="shared" si="114"/>
        <v>0.41176470588235292</v>
      </c>
    </row>
    <row r="492" spans="1:12" x14ac:dyDescent="0.25">
      <c r="A492" s="42" t="str" cm="1">
        <f t="array" ref="A492">IFERROR(INDEX(_xlfn._xlws.FILTER(Class_Players!A:A,Class_Players!B:B="Engineer"),QUOTIENT(ROW()-ROW($A$2),12)+1),"")</f>
        <v>mzklopyu</v>
      </c>
      <c r="B492" s="42" t="str">
        <f>_xlfn.XLOOKUP(A492,Class_Players!$A:$A,Class_Players!$B:$B,"")</f>
        <v>Engineer</v>
      </c>
      <c r="C492" s="42" t="str" cm="1">
        <f t="array" ref="C492">INDEX(Lookups!$B$2:$B$13,MOD(ROW()-ROW($B$2),ROWS(Lookups!$B$2:$B$13))+1)</f>
        <v>Mini Frag Grenade</v>
      </c>
      <c r="D492" s="38" t="str">
        <f>_xlfn.XLOOKUP(C492,Analysis_Gadgets!$C:$C,Analysis_Gadgets!$B:$B)</f>
        <v>Grenade</v>
      </c>
      <c r="E492" s="43">
        <v>188</v>
      </c>
      <c r="F492" s="43">
        <f>_xlfn.XLOOKUP(A492,Class_Players!A:A,Class_Players!G:G)</f>
        <v>244</v>
      </c>
      <c r="G492" s="43">
        <f t="shared" si="106"/>
        <v>0.77049180327868849</v>
      </c>
      <c r="H492" s="43">
        <f>_xlfn.XLOOKUP(A492,Class_Players!$A:$A,Class_Players!$F:$F,"")</f>
        <v>14159</v>
      </c>
      <c r="I492" s="44">
        <f t="shared" si="107"/>
        <v>1.3277773854085741E-2</v>
      </c>
      <c r="J492" s="43">
        <f t="shared" si="108"/>
        <v>0</v>
      </c>
      <c r="K492" s="44" cm="1">
        <f t="array" ref="K492">IF(D492="Gadget",_xlfn.IFS(I492&gt;=0.2,0.5,I492&gt;=0.1,0.35,I492&gt;=0.05,0.2,TRUE,0),IF(D492="Grenade",_xlfn.IFS(I492&gt;=0.2,1,I492&gt;=0.1,0.7,I492&gt;=0.05,0.4,TRUE,0),0))</f>
        <v>0</v>
      </c>
      <c r="L492" s="57">
        <f t="shared" ref="L492:L493" si="115">IF($K492=0,0,$K492 / SUMIFS($K:$K,$A:$A,$A492,$D:$D,"Grenade"))</f>
        <v>0</v>
      </c>
    </row>
    <row r="493" spans="1:12" x14ac:dyDescent="0.25">
      <c r="A493" s="42" t="str" cm="1">
        <f t="array" ref="A493">IFERROR(INDEX(_xlfn._xlws.FILTER(Class_Players!A:A,Class_Players!B:B="Engineer"),QUOTIENT(ROW()-ROW($A$2),12)+1),"")</f>
        <v>mzklopyu</v>
      </c>
      <c r="B493" s="42" t="str">
        <f>_xlfn.XLOOKUP(A493,Class_Players!$A:$A,Class_Players!$B:$B,"")</f>
        <v>Engineer</v>
      </c>
      <c r="C493" s="42" t="str" cm="1">
        <f t="array" ref="C493">INDEX(Lookups!$B$2:$B$13,MOD(ROW()-ROW($B$2),ROWS(Lookups!$B$2:$B$13))+1)</f>
        <v>Anti-Vehicle Grenade</v>
      </c>
      <c r="D493" s="38" t="str">
        <f>_xlfn.XLOOKUP(C493,Analysis_Gadgets!$C:$C,Analysis_Gadgets!$B:$B)</f>
        <v>Grenade</v>
      </c>
      <c r="E493" s="43">
        <v>0</v>
      </c>
      <c r="F493" s="43">
        <f>_xlfn.XLOOKUP(A493,Class_Players!A:A,Class_Players!G:G)</f>
        <v>244</v>
      </c>
      <c r="G493" s="43">
        <f t="shared" si="106"/>
        <v>0</v>
      </c>
      <c r="H493" s="43">
        <f>_xlfn.XLOOKUP(A493,Class_Players!$A:$A,Class_Players!$F:$F,"")</f>
        <v>14159</v>
      </c>
      <c r="I493" s="44">
        <f t="shared" si="107"/>
        <v>0</v>
      </c>
      <c r="J493" s="43">
        <f t="shared" si="108"/>
        <v>0</v>
      </c>
      <c r="K493" s="44" cm="1">
        <f t="array" ref="K493">IF(D493="Gadget",_xlfn.IFS(I493&gt;=0.2,0.5,I493&gt;=0.1,0.35,I493&gt;=0.05,0.2,TRUE,0),IF(D493="Grenade",_xlfn.IFS(I493&gt;=0.2,1,I493&gt;=0.1,0.7,I493&gt;=0.05,0.4,TRUE,0),0))</f>
        <v>0</v>
      </c>
      <c r="L493" s="57">
        <f t="shared" si="115"/>
        <v>0</v>
      </c>
    </row>
    <row r="494" spans="1:12" x14ac:dyDescent="0.25">
      <c r="A494" s="42" t="str" cm="1">
        <f t="array" ref="A494">IFERROR(INDEX(_xlfn._xlws.FILTER(Class_Players!A:A,Class_Players!B:B="Engineer"),QUOTIENT(ROW()-ROW($A$2),12)+1),"")</f>
        <v>Ali-Productionz</v>
      </c>
      <c r="B494" s="42" t="str">
        <f>_xlfn.XLOOKUP(A494,Class_Players!$A:$A,Class_Players!$B:$B,"")</f>
        <v>Engineer</v>
      </c>
      <c r="C494" s="42" t="str" cm="1">
        <f t="array" ref="C494">INDEX(Lookups!$B$2:$B$13,MOD(ROW()-ROW($B$2),ROWS(Lookups!$B$2:$B$13))+1)</f>
        <v>MBT-LAW (Auto-Guided Launcher)</v>
      </c>
      <c r="D494" s="38" t="str">
        <f>_xlfn.XLOOKUP(C494,Analysis_Gadgets!$C:$C,Analysis_Gadgets!$B:$B)</f>
        <v>Gadget</v>
      </c>
      <c r="E494" s="43">
        <v>0</v>
      </c>
      <c r="F494" s="43">
        <f>_xlfn.XLOOKUP(A494,Class_Players!A:A,Class_Players!G:G)</f>
        <v>200</v>
      </c>
      <c r="G494" s="43">
        <f t="shared" si="106"/>
        <v>0</v>
      </c>
      <c r="H494" s="43">
        <f>_xlfn.XLOOKUP(A494,Class_Players!$A:$A,Class_Players!$F:$F,"")</f>
        <v>9312</v>
      </c>
      <c r="I494" s="44">
        <f t="shared" si="107"/>
        <v>0</v>
      </c>
      <c r="J494" s="43">
        <f t="shared" si="108"/>
        <v>0</v>
      </c>
      <c r="K494" s="44" cm="1">
        <f t="array" ref="K494">IF(D494="Gadget",_xlfn.IFS(I494&gt;=0.2,0.5,I494&gt;=0.1,0.35,I494&gt;=0.05,0.2,TRUE,0),IF(D494="Grenade",_xlfn.IFS(I494&gt;=0.2,1,I494&gt;=0.1,0.7,I494&gt;=0.05,0.4,TRUE,0),0))</f>
        <v>0</v>
      </c>
      <c r="L494" s="57">
        <f t="shared" ref="L494:L503" si="116">IF($K494=0,0,$K494 / SUMIFS($K:$K,$A:$A,$A494,$D:$D,"Gadget"))</f>
        <v>0</v>
      </c>
    </row>
    <row r="495" spans="1:12" x14ac:dyDescent="0.25">
      <c r="A495" s="42" t="str" cm="1">
        <f t="array" ref="A495">IFERROR(INDEX(_xlfn._xlws.FILTER(Class_Players!A:A,Class_Players!B:B="Engineer"),QUOTIENT(ROW()-ROW($A$2),12)+1),"")</f>
        <v>Ali-Productionz</v>
      </c>
      <c r="B495" s="42" t="str">
        <f>_xlfn.XLOOKUP(A495,Class_Players!$A:$A,Class_Players!$B:$B,"")</f>
        <v>Engineer</v>
      </c>
      <c r="C495" s="42" t="str" cm="1">
        <f t="array" ref="C495">INDEX(Lookups!$B$2:$B$13,MOD(ROW()-ROW($B$2),ROWS(Lookups!$B$2:$B$13))+1)</f>
        <v>SLM-93A (Air-Defense Launcher)</v>
      </c>
      <c r="D495" s="38" t="str">
        <f>_xlfn.XLOOKUP(C495,Analysis_Gadgets!$C:$C,Analysis_Gadgets!$B:$B)</f>
        <v>Gadget</v>
      </c>
      <c r="E495" s="43">
        <v>293</v>
      </c>
      <c r="F495" s="43">
        <f>_xlfn.XLOOKUP(A495,Class_Players!A:A,Class_Players!G:G)</f>
        <v>200</v>
      </c>
      <c r="G495" s="43">
        <f t="shared" si="106"/>
        <v>1.4650000000000001</v>
      </c>
      <c r="H495" s="43">
        <f>_xlfn.XLOOKUP(A495,Class_Players!$A:$A,Class_Players!$F:$F,"")</f>
        <v>9312</v>
      </c>
      <c r="I495" s="44">
        <f t="shared" si="107"/>
        <v>3.1464776632302405E-2</v>
      </c>
      <c r="J495" s="43">
        <f t="shared" si="108"/>
        <v>0</v>
      </c>
      <c r="K495" s="44" cm="1">
        <f t="array" ref="K495">IF(D495="Gadget",_xlfn.IFS(I495&gt;=0.2,0.5,I495&gt;=0.1,0.35,I495&gt;=0.05,0.2,TRUE,0),IF(D495="Grenade",_xlfn.IFS(I495&gt;=0.2,1,I495&gt;=0.1,0.7,I495&gt;=0.05,0.4,TRUE,0),0))</f>
        <v>0</v>
      </c>
      <c r="L495" s="57">
        <f t="shared" si="116"/>
        <v>0</v>
      </c>
    </row>
    <row r="496" spans="1:12" x14ac:dyDescent="0.25">
      <c r="A496" s="42" t="str" cm="1">
        <f t="array" ref="A496">IFERROR(INDEX(_xlfn._xlws.FILTER(Class_Players!A:A,Class_Players!B:B="Engineer"),QUOTIENT(ROW()-ROW($A$2),12)+1),"")</f>
        <v>Ali-Productionz</v>
      </c>
      <c r="B496" s="42" t="str">
        <f>_xlfn.XLOOKUP(A496,Class_Players!$A:$A,Class_Players!$B:$B,"")</f>
        <v>Engineer</v>
      </c>
      <c r="C496" s="42" t="str" cm="1">
        <f t="array" ref="C496">INDEX(Lookups!$B$2:$B$13,MOD(ROW()-ROW($B$2),ROWS(Lookups!$B$2:$B$13))+1)</f>
        <v>RPG-7V2 (Unguided Rocket Launcher)</v>
      </c>
      <c r="D496" s="38" t="str">
        <f>_xlfn.XLOOKUP(C496,Analysis_Gadgets!$C:$C,Analysis_Gadgets!$B:$B)</f>
        <v>Gadget</v>
      </c>
      <c r="E496" s="43">
        <v>3048</v>
      </c>
      <c r="F496" s="43">
        <f>_xlfn.XLOOKUP(A496,Class_Players!A:A,Class_Players!G:G)</f>
        <v>200</v>
      </c>
      <c r="G496" s="43">
        <f t="shared" si="106"/>
        <v>15.24</v>
      </c>
      <c r="H496" s="43">
        <f>_xlfn.XLOOKUP(A496,Class_Players!$A:$A,Class_Players!$F:$F,"")</f>
        <v>9312</v>
      </c>
      <c r="I496" s="44">
        <f t="shared" si="107"/>
        <v>0.32731958762886598</v>
      </c>
      <c r="J496" s="43">
        <f t="shared" si="108"/>
        <v>1</v>
      </c>
      <c r="K496" s="44" cm="1">
        <f t="array" ref="K496">IF(D496="Gadget",_xlfn.IFS(I496&gt;=0.2,0.5,I496&gt;=0.1,0.35,I496&gt;=0.05,0.2,TRUE,0),IF(D496="Grenade",_xlfn.IFS(I496&gt;=0.2,1,I496&gt;=0.1,0.7,I496&gt;=0.05,0.4,TRUE,0),0))</f>
        <v>0.5</v>
      </c>
      <c r="L496" s="57">
        <f t="shared" si="116"/>
        <v>0.5</v>
      </c>
    </row>
    <row r="497" spans="1:12" x14ac:dyDescent="0.25">
      <c r="A497" s="42" t="str" cm="1">
        <f t="array" ref="A497">IFERROR(INDEX(_xlfn._xlws.FILTER(Class_Players!A:A,Class_Players!B:B="Engineer"),QUOTIENT(ROW()-ROW($A$2),12)+1),"")</f>
        <v>Ali-Productionz</v>
      </c>
      <c r="B497" s="42" t="str">
        <f>_xlfn.XLOOKUP(A497,Class_Players!$A:$A,Class_Players!$B:$B,"")</f>
        <v>Engineer</v>
      </c>
      <c r="C497" s="42" t="str" cm="1">
        <f t="array" ref="C497">INDEX(Lookups!$B$2:$B$13,MOD(ROW()-ROW($B$2),ROWS(Lookups!$B$2:$B$13))+1)</f>
        <v>MAS 148 (Long-Range Launcher)</v>
      </c>
      <c r="D497" s="38" t="str">
        <f>_xlfn.XLOOKUP(C497,Analysis_Gadgets!$C:$C,Analysis_Gadgets!$B:$B)</f>
        <v>Gadget</v>
      </c>
      <c r="E497" s="43">
        <v>0</v>
      </c>
      <c r="F497" s="43">
        <f>_xlfn.XLOOKUP(A497,Class_Players!A:A,Class_Players!G:G)</f>
        <v>200</v>
      </c>
      <c r="G497" s="43">
        <f t="shared" si="106"/>
        <v>0</v>
      </c>
      <c r="H497" s="43">
        <f>_xlfn.XLOOKUP(A497,Class_Players!$A:$A,Class_Players!$F:$F,"")</f>
        <v>9312</v>
      </c>
      <c r="I497" s="44">
        <f t="shared" si="107"/>
        <v>0</v>
      </c>
      <c r="J497" s="43">
        <f t="shared" si="108"/>
        <v>0</v>
      </c>
      <c r="K497" s="44" cm="1">
        <f t="array" ref="K497">IF(D497="Gadget",_xlfn.IFS(I497&gt;=0.2,0.5,I497&gt;=0.1,0.35,I497&gt;=0.05,0.2,TRUE,0),IF(D497="Grenade",_xlfn.IFS(I497&gt;=0.2,1,I497&gt;=0.1,0.7,I497&gt;=0.05,0.4,TRUE,0),0))</f>
        <v>0</v>
      </c>
      <c r="L497" s="57">
        <f t="shared" si="116"/>
        <v>0</v>
      </c>
    </row>
    <row r="498" spans="1:12" x14ac:dyDescent="0.25">
      <c r="A498" s="42" t="str" cm="1">
        <f t="array" ref="A498">IFERROR(INDEX(_xlfn._xlws.FILTER(Class_Players!A:A,Class_Players!B:B="Engineer"),QUOTIENT(ROW()-ROW($A$2),12)+1),"")</f>
        <v>Ali-Productionz</v>
      </c>
      <c r="B498" s="42" t="str">
        <f>_xlfn.XLOOKUP(A498,Class_Players!$A:$A,Class_Players!$B:$B,"")</f>
        <v>Engineer</v>
      </c>
      <c r="C498" s="42" t="str" cm="1">
        <f t="array" ref="C498">INDEX(Lookups!$B$2:$B$13,MOD(ROW()-ROW($B$2),ROWS(Lookups!$B$2:$B$13))+1)</f>
        <v>M136 AT (Aim-Guided Launcher)</v>
      </c>
      <c r="D498" s="38" t="str">
        <f>_xlfn.XLOOKUP(C498,Analysis_Gadgets!$C:$C,Analysis_Gadgets!$B:$B)</f>
        <v>Gadget</v>
      </c>
      <c r="E498" s="43">
        <v>5</v>
      </c>
      <c r="F498" s="43">
        <f>_xlfn.XLOOKUP(A498,Class_Players!A:A,Class_Players!G:G)</f>
        <v>200</v>
      </c>
      <c r="G498" s="43">
        <f t="shared" si="106"/>
        <v>2.5000000000000001E-2</v>
      </c>
      <c r="H498" s="43">
        <f>_xlfn.XLOOKUP(A498,Class_Players!$A:$A,Class_Players!$F:$F,"")</f>
        <v>9312</v>
      </c>
      <c r="I498" s="44">
        <f t="shared" si="107"/>
        <v>5.3694158075601379E-4</v>
      </c>
      <c r="J498" s="43">
        <f t="shared" si="108"/>
        <v>0</v>
      </c>
      <c r="K498" s="44" cm="1">
        <f t="array" ref="K498">IF(D498="Gadget",_xlfn.IFS(I498&gt;=0.2,0.5,I498&gt;=0.1,0.35,I498&gt;=0.05,0.2,TRUE,0),IF(D498="Grenade",_xlfn.IFS(I498&gt;=0.2,1,I498&gt;=0.1,0.7,I498&gt;=0.05,0.4,TRUE,0),0))</f>
        <v>0</v>
      </c>
      <c r="L498" s="57">
        <f t="shared" si="116"/>
        <v>0</v>
      </c>
    </row>
    <row r="499" spans="1:12" x14ac:dyDescent="0.25">
      <c r="A499" s="42" t="str" cm="1">
        <f t="array" ref="A499">IFERROR(INDEX(_xlfn._xlws.FILTER(Class_Players!A:A,Class_Players!B:B="Engineer"),QUOTIENT(ROW()-ROW($A$2),12)+1),"")</f>
        <v>Ali-Productionz</v>
      </c>
      <c r="B499" s="42" t="str">
        <f>_xlfn.XLOOKUP(A499,Class_Players!$A:$A,Class_Players!$B:$B,"")</f>
        <v>Engineer</v>
      </c>
      <c r="C499" s="42" t="str" cm="1">
        <f t="array" ref="C499">INDEX(Lookups!$B$2:$B$13,MOD(ROW()-ROW($B$2),ROWS(Lookups!$B$2:$B$13))+1)</f>
        <v>Supply Crate</v>
      </c>
      <c r="D499" s="38" t="str">
        <f>_xlfn.XLOOKUP(C499,Analysis_Gadgets!$C:$C,Analysis_Gadgets!$B:$B)</f>
        <v>Gadget</v>
      </c>
      <c r="E499" s="43">
        <v>4</v>
      </c>
      <c r="F499" s="43">
        <f>_xlfn.XLOOKUP(A499,Class_Players!A:A,Class_Players!G:G)</f>
        <v>200</v>
      </c>
      <c r="G499" s="43">
        <f t="shared" si="106"/>
        <v>0.02</v>
      </c>
      <c r="H499" s="43">
        <f>_xlfn.XLOOKUP(A499,Class_Players!$A:$A,Class_Players!$F:$F,"")</f>
        <v>9312</v>
      </c>
      <c r="I499" s="44">
        <f t="shared" si="107"/>
        <v>4.2955326460481099E-4</v>
      </c>
      <c r="J499" s="43">
        <f t="shared" si="108"/>
        <v>0</v>
      </c>
      <c r="K499" s="44" cm="1">
        <f t="array" ref="K499">IF(D499="Gadget",_xlfn.IFS(I499&gt;=0.2,0.5,I499&gt;=0.1,0.35,I499&gt;=0.05,0.2,TRUE,0),IF(D499="Grenade",_xlfn.IFS(I499&gt;=0.2,1,I499&gt;=0.1,0.7,I499&gt;=0.05,0.4,TRUE,0),0))</f>
        <v>0</v>
      </c>
      <c r="L499" s="57">
        <f t="shared" si="116"/>
        <v>0</v>
      </c>
    </row>
    <row r="500" spans="1:12" x14ac:dyDescent="0.25">
      <c r="A500" s="42" t="str" cm="1">
        <f t="array" ref="A500">IFERROR(INDEX(_xlfn._xlws.FILTER(Class_Players!A:A,Class_Players!B:B="Engineer"),QUOTIENT(ROW()-ROW($A$2),12)+1),"")</f>
        <v>Ali-Productionz</v>
      </c>
      <c r="B500" s="42" t="str">
        <f>_xlfn.XLOOKUP(A500,Class_Players!$A:$A,Class_Players!$B:$B,"")</f>
        <v>Engineer</v>
      </c>
      <c r="C500" s="42" t="str" cm="1">
        <f t="array" ref="C500">INDEX(Lookups!$B$2:$B$13,MOD(ROW()-ROW($B$2),ROWS(Lookups!$B$2:$B$13))+1)</f>
        <v>M15 (Anti-Vehicle Mine)</v>
      </c>
      <c r="D500" s="38" t="str">
        <f>_xlfn.XLOOKUP(C500,Analysis_Gadgets!$C:$C,Analysis_Gadgets!$B:$B)</f>
        <v>Gadget</v>
      </c>
      <c r="E500" s="43">
        <v>5367</v>
      </c>
      <c r="F500" s="43">
        <f>_xlfn.XLOOKUP(A500,Class_Players!A:A,Class_Players!G:G)</f>
        <v>200</v>
      </c>
      <c r="G500" s="43">
        <f t="shared" si="106"/>
        <v>26.835000000000001</v>
      </c>
      <c r="H500" s="43">
        <f>_xlfn.XLOOKUP(A500,Class_Players!$A:$A,Class_Players!$F:$F,"")</f>
        <v>9312</v>
      </c>
      <c r="I500" s="44">
        <f t="shared" si="107"/>
        <v>0.57635309278350511</v>
      </c>
      <c r="J500" s="43">
        <f t="shared" si="108"/>
        <v>1</v>
      </c>
      <c r="K500" s="44" cm="1">
        <f t="array" ref="K500">IF(D500="Gadget",_xlfn.IFS(I500&gt;=0.2,0.5,I500&gt;=0.1,0.35,I500&gt;=0.05,0.2,TRUE,0),IF(D500="Grenade",_xlfn.IFS(I500&gt;=0.2,1,I500&gt;=0.1,0.7,I500&gt;=0.05,0.4,TRUE,0),0))</f>
        <v>0.5</v>
      </c>
      <c r="L500" s="57">
        <f t="shared" si="116"/>
        <v>0.5</v>
      </c>
    </row>
    <row r="501" spans="1:12" x14ac:dyDescent="0.25">
      <c r="A501" s="42" t="str" cm="1">
        <f t="array" ref="A501">IFERROR(INDEX(_xlfn._xlws.FILTER(Class_Players!A:A,Class_Players!B:B="Engineer"),QUOTIENT(ROW()-ROW($A$2),12)+1),"")</f>
        <v>Ali-Productionz</v>
      </c>
      <c r="B501" s="42" t="str">
        <f>_xlfn.XLOOKUP(A501,Class_Players!$A:$A,Class_Players!$B:$B,"")</f>
        <v>Engineer</v>
      </c>
      <c r="C501" s="42" t="str" cm="1">
        <f t="array" ref="C501">INDEX(Lookups!$B$2:$B$13,MOD(ROW()-ROW($B$2),ROWS(Lookups!$B$2:$B$13))+1)</f>
        <v>PTKM-1R (Acoustic Sensor AV Mine)</v>
      </c>
      <c r="D501" s="38" t="str">
        <f>_xlfn.XLOOKUP(C501,Analysis_Gadgets!$C:$C,Analysis_Gadgets!$B:$B)</f>
        <v>Gadget</v>
      </c>
      <c r="E501" s="43">
        <v>176</v>
      </c>
      <c r="F501" s="43">
        <f>_xlfn.XLOOKUP(A501,Class_Players!A:A,Class_Players!G:G)</f>
        <v>200</v>
      </c>
      <c r="G501" s="43">
        <f t="shared" si="106"/>
        <v>0.88</v>
      </c>
      <c r="H501" s="43">
        <f>_xlfn.XLOOKUP(A501,Class_Players!$A:$A,Class_Players!$F:$F,"")</f>
        <v>9312</v>
      </c>
      <c r="I501" s="44">
        <f t="shared" si="107"/>
        <v>1.8900343642611683E-2</v>
      </c>
      <c r="J501" s="43">
        <f t="shared" si="108"/>
        <v>0</v>
      </c>
      <c r="K501" s="44" cm="1">
        <f t="array" ref="K501">IF(D501="Gadget",_xlfn.IFS(I501&gt;=0.2,0.5,I501&gt;=0.1,0.35,I501&gt;=0.05,0.2,TRUE,0),IF(D501="Grenade",_xlfn.IFS(I501&gt;=0.2,1,I501&gt;=0.1,0.7,I501&gt;=0.05,0.4,TRUE,0),0))</f>
        <v>0</v>
      </c>
      <c r="L501" s="57">
        <f t="shared" si="116"/>
        <v>0</v>
      </c>
    </row>
    <row r="502" spans="1:12" x14ac:dyDescent="0.25">
      <c r="A502" s="42" t="str" cm="1">
        <f t="array" ref="A502">IFERROR(INDEX(_xlfn._xlws.FILTER(Class_Players!A:A,Class_Players!B:B="Engineer"),QUOTIENT(ROW()-ROW($A$2),12)+1),"")</f>
        <v>Ali-Productionz</v>
      </c>
      <c r="B502" s="42" t="str">
        <f>_xlfn.XLOOKUP(A502,Class_Players!$A:$A,Class_Players!$B:$B,"")</f>
        <v>Engineer</v>
      </c>
      <c r="C502" s="42" t="str" cm="1">
        <f t="array" ref="C502">INDEX(Lookups!$B$2:$B$13,MOD(ROW()-ROW($B$2),ROWS(Lookups!$B$2:$B$13))+1)</f>
        <v>EOD Bot</v>
      </c>
      <c r="D502" s="38" t="str">
        <f>_xlfn.XLOOKUP(C502,Analysis_Gadgets!$C:$C,Analysis_Gadgets!$B:$B)</f>
        <v>Gadget</v>
      </c>
      <c r="E502" s="43">
        <v>0</v>
      </c>
      <c r="F502" s="43">
        <f>_xlfn.XLOOKUP(A502,Class_Players!A:A,Class_Players!G:G)</f>
        <v>200</v>
      </c>
      <c r="G502" s="43">
        <f t="shared" si="106"/>
        <v>0</v>
      </c>
      <c r="H502" s="43">
        <f>_xlfn.XLOOKUP(A502,Class_Players!$A:$A,Class_Players!$F:$F,"")</f>
        <v>9312</v>
      </c>
      <c r="I502" s="44">
        <f t="shared" si="107"/>
        <v>0</v>
      </c>
      <c r="J502" s="43">
        <f t="shared" si="108"/>
        <v>0</v>
      </c>
      <c r="K502" s="44" cm="1">
        <f t="array" ref="K502">IF(D502="Gadget",_xlfn.IFS(I502&gt;=0.2,0.5,I502&gt;=0.1,0.35,I502&gt;=0.05,0.2,TRUE,0),IF(D502="Grenade",_xlfn.IFS(I502&gt;=0.2,1,I502&gt;=0.1,0.7,I502&gt;=0.05,0.4,TRUE,0),0))</f>
        <v>0</v>
      </c>
      <c r="L502" s="57">
        <f t="shared" si="116"/>
        <v>0</v>
      </c>
    </row>
    <row r="503" spans="1:12" x14ac:dyDescent="0.25">
      <c r="A503" s="42" t="str" cm="1">
        <f t="array" ref="A503">IFERROR(INDEX(_xlfn._xlws.FILTER(Class_Players!A:A,Class_Players!B:B="Engineer"),QUOTIENT(ROW()-ROW($A$2),12)+1),"")</f>
        <v>Ali-Productionz</v>
      </c>
      <c r="B503" s="42" t="str">
        <f>_xlfn.XLOOKUP(A503,Class_Players!$A:$A,Class_Players!$B:$B,"")</f>
        <v>Engineer</v>
      </c>
      <c r="C503" s="42" t="str" cm="1">
        <f t="array" ref="C503">INDEX(Lookups!$B$2:$B$13,MOD(ROW()-ROW($B$2),ROWS(Lookups!$B$2:$B$13))+1)</f>
        <v>M4A1 SLAM (Tripwire Sensor AV Mine)</v>
      </c>
      <c r="D503" s="38" t="str">
        <f>_xlfn.XLOOKUP(C503,Analysis_Gadgets!$C:$C,Analysis_Gadgets!$B:$B)</f>
        <v>Gadget</v>
      </c>
      <c r="E503" s="43">
        <v>0</v>
      </c>
      <c r="F503" s="43">
        <f>_xlfn.XLOOKUP(A503,Class_Players!A:A,Class_Players!G:G)</f>
        <v>200</v>
      </c>
      <c r="G503" s="43">
        <f t="shared" si="106"/>
        <v>0</v>
      </c>
      <c r="H503" s="43">
        <f>_xlfn.XLOOKUP(A503,Class_Players!$A:$A,Class_Players!$F:$F,"")</f>
        <v>9312</v>
      </c>
      <c r="I503" s="44">
        <f t="shared" si="107"/>
        <v>0</v>
      </c>
      <c r="J503" s="43">
        <f t="shared" si="108"/>
        <v>0</v>
      </c>
      <c r="K503" s="44" cm="1">
        <f t="array" ref="K503">IF(D503="Gadget",_xlfn.IFS(I503&gt;=0.2,0.5,I503&gt;=0.1,0.35,I503&gt;=0.05,0.2,TRUE,0),IF(D503="Grenade",_xlfn.IFS(I503&gt;=0.2,1,I503&gt;=0.1,0.7,I503&gt;=0.05,0.4,TRUE,0),0))</f>
        <v>0</v>
      </c>
      <c r="L503" s="57">
        <f t="shared" si="116"/>
        <v>0</v>
      </c>
    </row>
    <row r="504" spans="1:12" x14ac:dyDescent="0.25">
      <c r="A504" s="42" t="str" cm="1">
        <f t="array" ref="A504">IFERROR(INDEX(_xlfn._xlws.FILTER(Class_Players!A:A,Class_Players!B:B="Engineer"),QUOTIENT(ROW()-ROW($A$2),12)+1),"")</f>
        <v>Ali-Productionz</v>
      </c>
      <c r="B504" s="42" t="str">
        <f>_xlfn.XLOOKUP(A504,Class_Players!$A:$A,Class_Players!$B:$B,"")</f>
        <v>Engineer</v>
      </c>
      <c r="C504" s="42" t="str" cm="1">
        <f t="array" ref="C504">INDEX(Lookups!$B$2:$B$13,MOD(ROW()-ROW($B$2),ROWS(Lookups!$B$2:$B$13))+1)</f>
        <v>Mini Frag Grenade</v>
      </c>
      <c r="D504" s="38" t="str">
        <f>_xlfn.XLOOKUP(C504,Analysis_Gadgets!$C:$C,Analysis_Gadgets!$B:$B)</f>
        <v>Grenade</v>
      </c>
      <c r="E504" s="43">
        <v>4</v>
      </c>
      <c r="F504" s="43">
        <f>_xlfn.XLOOKUP(A504,Class_Players!A:A,Class_Players!G:G)</f>
        <v>200</v>
      </c>
      <c r="G504" s="43">
        <f t="shared" si="106"/>
        <v>0.02</v>
      </c>
      <c r="H504" s="43">
        <f>_xlfn.XLOOKUP(A504,Class_Players!$A:$A,Class_Players!$F:$F,"")</f>
        <v>9312</v>
      </c>
      <c r="I504" s="44">
        <f t="shared" si="107"/>
        <v>4.2955326460481099E-4</v>
      </c>
      <c r="J504" s="43">
        <f t="shared" si="108"/>
        <v>0</v>
      </c>
      <c r="K504" s="44" cm="1">
        <f t="array" ref="K504">IF(D504="Gadget",_xlfn.IFS(I504&gt;=0.2,0.5,I504&gt;=0.1,0.35,I504&gt;=0.05,0.2,TRUE,0),IF(D504="Grenade",_xlfn.IFS(I504&gt;=0.2,1,I504&gt;=0.1,0.7,I504&gt;=0.05,0.4,TRUE,0),0))</f>
        <v>0</v>
      </c>
      <c r="L504" s="57">
        <f t="shared" ref="L504:L505" si="117">IF($K504=0,0,$K504 / SUMIFS($K:$K,$A:$A,$A504,$D:$D,"Grenade"))</f>
        <v>0</v>
      </c>
    </row>
    <row r="505" spans="1:12" x14ac:dyDescent="0.25">
      <c r="A505" s="42" t="str" cm="1">
        <f t="array" ref="A505">IFERROR(INDEX(_xlfn._xlws.FILTER(Class_Players!A:A,Class_Players!B:B="Engineer"),QUOTIENT(ROW()-ROW($A$2),12)+1),"")</f>
        <v>Ali-Productionz</v>
      </c>
      <c r="B505" s="42" t="str">
        <f>_xlfn.XLOOKUP(A505,Class_Players!$A:$A,Class_Players!$B:$B,"")</f>
        <v>Engineer</v>
      </c>
      <c r="C505" s="42" t="str" cm="1">
        <f t="array" ref="C505">INDEX(Lookups!$B$2:$B$13,MOD(ROW()-ROW($B$2),ROWS(Lookups!$B$2:$B$13))+1)</f>
        <v>Anti-Vehicle Grenade</v>
      </c>
      <c r="D505" s="38" t="str">
        <f>_xlfn.XLOOKUP(C505,Analysis_Gadgets!$C:$C,Analysis_Gadgets!$B:$B)</f>
        <v>Grenade</v>
      </c>
      <c r="E505" s="43">
        <v>0</v>
      </c>
      <c r="F505" s="43">
        <f>_xlfn.XLOOKUP(A505,Class_Players!A:A,Class_Players!G:G)</f>
        <v>200</v>
      </c>
      <c r="G505" s="43">
        <f t="shared" si="106"/>
        <v>0</v>
      </c>
      <c r="H505" s="43">
        <f>_xlfn.XLOOKUP(A505,Class_Players!$A:$A,Class_Players!$F:$F,"")</f>
        <v>9312</v>
      </c>
      <c r="I505" s="44">
        <f t="shared" si="107"/>
        <v>0</v>
      </c>
      <c r="J505" s="43">
        <f t="shared" si="108"/>
        <v>0</v>
      </c>
      <c r="K505" s="44" cm="1">
        <f t="array" ref="K505">IF(D505="Gadget",_xlfn.IFS(I505&gt;=0.2,0.5,I505&gt;=0.1,0.35,I505&gt;=0.05,0.2,TRUE,0),IF(D505="Grenade",_xlfn.IFS(I505&gt;=0.2,1,I505&gt;=0.1,0.7,I505&gt;=0.05,0.4,TRUE,0),0))</f>
        <v>0</v>
      </c>
      <c r="L505" s="57">
        <f t="shared" si="117"/>
        <v>0</v>
      </c>
    </row>
    <row r="506" spans="1:12" x14ac:dyDescent="0.25">
      <c r="A506" s="42" t="str" cm="1">
        <f t="array" ref="A506">IFERROR(INDEX(_xlfn._xlws.FILTER(Class_Players!A:A,Class_Players!B:B="Engineer"),QUOTIENT(ROW()-ROW($A$2),12)+1),"")</f>
        <v>Remesso</v>
      </c>
      <c r="B506" s="42" t="str">
        <f>_xlfn.XLOOKUP(A506,Class_Players!$A:$A,Class_Players!$B:$B,"")</f>
        <v>Engineer</v>
      </c>
      <c r="C506" s="42" t="str" cm="1">
        <f t="array" ref="C506">INDEX(Lookups!$B$2:$B$13,MOD(ROW()-ROW($B$2),ROWS(Lookups!$B$2:$B$13))+1)</f>
        <v>MBT-LAW (Auto-Guided Launcher)</v>
      </c>
      <c r="D506" s="38" t="str">
        <f>_xlfn.XLOOKUP(C506,Analysis_Gadgets!$C:$C,Analysis_Gadgets!$B:$B)</f>
        <v>Gadget</v>
      </c>
      <c r="E506" s="43">
        <v>0</v>
      </c>
      <c r="F506" s="43">
        <f>_xlfn.XLOOKUP(A506,Class_Players!A:A,Class_Players!G:G)</f>
        <v>156</v>
      </c>
      <c r="G506" s="43">
        <f t="shared" si="106"/>
        <v>0</v>
      </c>
      <c r="H506" s="43">
        <f>_xlfn.XLOOKUP(A506,Class_Players!$A:$A,Class_Players!$F:$F,"")</f>
        <v>9465</v>
      </c>
      <c r="I506" s="44">
        <f t="shared" si="107"/>
        <v>0</v>
      </c>
      <c r="J506" s="43">
        <f t="shared" si="108"/>
        <v>0</v>
      </c>
      <c r="K506" s="44" cm="1">
        <f t="array" ref="K506">IF(D506="Gadget",_xlfn.IFS(I506&gt;=0.2,0.5,I506&gt;=0.1,0.35,I506&gt;=0.05,0.2,TRUE,0),IF(D506="Grenade",_xlfn.IFS(I506&gt;=0.2,1,I506&gt;=0.1,0.7,I506&gt;=0.05,0.4,TRUE,0),0))</f>
        <v>0</v>
      </c>
      <c r="L506" s="57">
        <f t="shared" ref="L506:L515" si="118">IF($K506=0,0,$K506 / SUMIFS($K:$K,$A:$A,$A506,$D:$D,"Gadget"))</f>
        <v>0</v>
      </c>
    </row>
    <row r="507" spans="1:12" x14ac:dyDescent="0.25">
      <c r="A507" s="42" t="str" cm="1">
        <f t="array" ref="A507">IFERROR(INDEX(_xlfn._xlws.FILTER(Class_Players!A:A,Class_Players!B:B="Engineer"),QUOTIENT(ROW()-ROW($A$2),12)+1),"")</f>
        <v>Remesso</v>
      </c>
      <c r="B507" s="42" t="str">
        <f>_xlfn.XLOOKUP(A507,Class_Players!$A:$A,Class_Players!$B:$B,"")</f>
        <v>Engineer</v>
      </c>
      <c r="C507" s="42" t="str" cm="1">
        <f t="array" ref="C507">INDEX(Lookups!$B$2:$B$13,MOD(ROW()-ROW($B$2),ROWS(Lookups!$B$2:$B$13))+1)</f>
        <v>SLM-93A (Air-Defense Launcher)</v>
      </c>
      <c r="D507" s="38" t="str">
        <f>_xlfn.XLOOKUP(C507,Analysis_Gadgets!$C:$C,Analysis_Gadgets!$B:$B)</f>
        <v>Gadget</v>
      </c>
      <c r="E507" s="43">
        <v>129</v>
      </c>
      <c r="F507" s="43">
        <f>_xlfn.XLOOKUP(A507,Class_Players!A:A,Class_Players!G:G)</f>
        <v>156</v>
      </c>
      <c r="G507" s="43">
        <f t="shared" si="106"/>
        <v>0.82692307692307687</v>
      </c>
      <c r="H507" s="43">
        <f>_xlfn.XLOOKUP(A507,Class_Players!$A:$A,Class_Players!$F:$F,"")</f>
        <v>9465</v>
      </c>
      <c r="I507" s="44">
        <f t="shared" si="107"/>
        <v>1.3629160063391443E-2</v>
      </c>
      <c r="J507" s="43">
        <f t="shared" si="108"/>
        <v>0</v>
      </c>
      <c r="K507" s="44" cm="1">
        <f t="array" ref="K507">IF(D507="Gadget",_xlfn.IFS(I507&gt;=0.2,0.5,I507&gt;=0.1,0.35,I507&gt;=0.05,0.2,TRUE,0),IF(D507="Grenade",_xlfn.IFS(I507&gt;=0.2,1,I507&gt;=0.1,0.7,I507&gt;=0.05,0.4,TRUE,0),0))</f>
        <v>0</v>
      </c>
      <c r="L507" s="57">
        <f t="shared" si="118"/>
        <v>0</v>
      </c>
    </row>
    <row r="508" spans="1:12" x14ac:dyDescent="0.25">
      <c r="A508" s="42" t="str" cm="1">
        <f t="array" ref="A508">IFERROR(INDEX(_xlfn._xlws.FILTER(Class_Players!A:A,Class_Players!B:B="Engineer"),QUOTIENT(ROW()-ROW($A$2),12)+1),"")</f>
        <v>Remesso</v>
      </c>
      <c r="B508" s="42" t="str">
        <f>_xlfn.XLOOKUP(A508,Class_Players!$A:$A,Class_Players!$B:$B,"")</f>
        <v>Engineer</v>
      </c>
      <c r="C508" s="42" t="str" cm="1">
        <f t="array" ref="C508">INDEX(Lookups!$B$2:$B$13,MOD(ROW()-ROW($B$2),ROWS(Lookups!$B$2:$B$13))+1)</f>
        <v>RPG-7V2 (Unguided Rocket Launcher)</v>
      </c>
      <c r="D508" s="38" t="str">
        <f>_xlfn.XLOOKUP(C508,Analysis_Gadgets!$C:$C,Analysis_Gadgets!$B:$B)</f>
        <v>Gadget</v>
      </c>
      <c r="E508" s="43">
        <v>2947</v>
      </c>
      <c r="F508" s="43">
        <f>_xlfn.XLOOKUP(A508,Class_Players!A:A,Class_Players!G:G)</f>
        <v>156</v>
      </c>
      <c r="G508" s="43">
        <f t="shared" si="106"/>
        <v>18.891025641025642</v>
      </c>
      <c r="H508" s="43">
        <f>_xlfn.XLOOKUP(A508,Class_Players!$A:$A,Class_Players!$F:$F,"")</f>
        <v>9465</v>
      </c>
      <c r="I508" s="44">
        <f t="shared" si="107"/>
        <v>0.31135763338615952</v>
      </c>
      <c r="J508" s="43">
        <f t="shared" si="108"/>
        <v>1</v>
      </c>
      <c r="K508" s="44" cm="1">
        <f t="array" ref="K508">IF(D508="Gadget",_xlfn.IFS(I508&gt;=0.2,0.5,I508&gt;=0.1,0.35,I508&gt;=0.05,0.2,TRUE,0),IF(D508="Grenade",_xlfn.IFS(I508&gt;=0.2,1,I508&gt;=0.1,0.7,I508&gt;=0.05,0.4,TRUE,0),0))</f>
        <v>0.5</v>
      </c>
      <c r="L508" s="57">
        <f t="shared" si="118"/>
        <v>1</v>
      </c>
    </row>
    <row r="509" spans="1:12" x14ac:dyDescent="0.25">
      <c r="A509" s="42" t="str" cm="1">
        <f t="array" ref="A509">IFERROR(INDEX(_xlfn._xlws.FILTER(Class_Players!A:A,Class_Players!B:B="Engineer"),QUOTIENT(ROW()-ROW($A$2),12)+1),"")</f>
        <v>Remesso</v>
      </c>
      <c r="B509" s="42" t="str">
        <f>_xlfn.XLOOKUP(A509,Class_Players!$A:$A,Class_Players!$B:$B,"")</f>
        <v>Engineer</v>
      </c>
      <c r="C509" s="42" t="str" cm="1">
        <f t="array" ref="C509">INDEX(Lookups!$B$2:$B$13,MOD(ROW()-ROW($B$2),ROWS(Lookups!$B$2:$B$13))+1)</f>
        <v>MAS 148 (Long-Range Launcher)</v>
      </c>
      <c r="D509" s="38" t="str">
        <f>_xlfn.XLOOKUP(C509,Analysis_Gadgets!$C:$C,Analysis_Gadgets!$B:$B)</f>
        <v>Gadget</v>
      </c>
      <c r="E509" s="43">
        <v>0</v>
      </c>
      <c r="F509" s="43">
        <f>_xlfn.XLOOKUP(A509,Class_Players!A:A,Class_Players!G:G)</f>
        <v>156</v>
      </c>
      <c r="G509" s="43">
        <f t="shared" si="106"/>
        <v>0</v>
      </c>
      <c r="H509" s="43">
        <f>_xlfn.XLOOKUP(A509,Class_Players!$A:$A,Class_Players!$F:$F,"")</f>
        <v>9465</v>
      </c>
      <c r="I509" s="44">
        <f t="shared" si="107"/>
        <v>0</v>
      </c>
      <c r="J509" s="43">
        <f t="shared" si="108"/>
        <v>0</v>
      </c>
      <c r="K509" s="44" cm="1">
        <f t="array" ref="K509">IF(D509="Gadget",_xlfn.IFS(I509&gt;=0.2,0.5,I509&gt;=0.1,0.35,I509&gt;=0.05,0.2,TRUE,0),IF(D509="Grenade",_xlfn.IFS(I509&gt;=0.2,1,I509&gt;=0.1,0.7,I509&gt;=0.05,0.4,TRUE,0),0))</f>
        <v>0</v>
      </c>
      <c r="L509" s="57">
        <f t="shared" si="118"/>
        <v>0</v>
      </c>
    </row>
    <row r="510" spans="1:12" x14ac:dyDescent="0.25">
      <c r="A510" s="42" t="str" cm="1">
        <f t="array" ref="A510">IFERROR(INDEX(_xlfn._xlws.FILTER(Class_Players!A:A,Class_Players!B:B="Engineer"),QUOTIENT(ROW()-ROW($A$2),12)+1),"")</f>
        <v>Remesso</v>
      </c>
      <c r="B510" s="42" t="str">
        <f>_xlfn.XLOOKUP(A510,Class_Players!$A:$A,Class_Players!$B:$B,"")</f>
        <v>Engineer</v>
      </c>
      <c r="C510" s="42" t="str" cm="1">
        <f t="array" ref="C510">INDEX(Lookups!$B$2:$B$13,MOD(ROW()-ROW($B$2),ROWS(Lookups!$B$2:$B$13))+1)</f>
        <v>M136 AT (Aim-Guided Launcher)</v>
      </c>
      <c r="D510" s="38" t="str">
        <f>_xlfn.XLOOKUP(C510,Analysis_Gadgets!$C:$C,Analysis_Gadgets!$B:$B)</f>
        <v>Gadget</v>
      </c>
      <c r="E510" s="43">
        <v>0</v>
      </c>
      <c r="F510" s="43">
        <f>_xlfn.XLOOKUP(A510,Class_Players!A:A,Class_Players!G:G)</f>
        <v>156</v>
      </c>
      <c r="G510" s="43">
        <f t="shared" si="106"/>
        <v>0</v>
      </c>
      <c r="H510" s="43">
        <f>_xlfn.XLOOKUP(A510,Class_Players!$A:$A,Class_Players!$F:$F,"")</f>
        <v>9465</v>
      </c>
      <c r="I510" s="44">
        <f t="shared" si="107"/>
        <v>0</v>
      </c>
      <c r="J510" s="43">
        <f t="shared" si="108"/>
        <v>0</v>
      </c>
      <c r="K510" s="44" cm="1">
        <f t="array" ref="K510">IF(D510="Gadget",_xlfn.IFS(I510&gt;=0.2,0.5,I510&gt;=0.1,0.35,I510&gt;=0.05,0.2,TRUE,0),IF(D510="Grenade",_xlfn.IFS(I510&gt;=0.2,1,I510&gt;=0.1,0.7,I510&gt;=0.05,0.4,TRUE,0),0))</f>
        <v>0</v>
      </c>
      <c r="L510" s="57">
        <f t="shared" si="118"/>
        <v>0</v>
      </c>
    </row>
    <row r="511" spans="1:12" x14ac:dyDescent="0.25">
      <c r="A511" s="42" t="str" cm="1">
        <f t="array" ref="A511">IFERROR(INDEX(_xlfn._xlws.FILTER(Class_Players!A:A,Class_Players!B:B="Engineer"),QUOTIENT(ROW()-ROW($A$2),12)+1),"")</f>
        <v>Remesso</v>
      </c>
      <c r="B511" s="42" t="str">
        <f>_xlfn.XLOOKUP(A511,Class_Players!$A:$A,Class_Players!$B:$B,"")</f>
        <v>Engineer</v>
      </c>
      <c r="C511" s="42" t="str" cm="1">
        <f t="array" ref="C511">INDEX(Lookups!$B$2:$B$13,MOD(ROW()-ROW($B$2),ROWS(Lookups!$B$2:$B$13))+1)</f>
        <v>Supply Crate</v>
      </c>
      <c r="D511" s="38" t="str">
        <f>_xlfn.XLOOKUP(C511,Analysis_Gadgets!$C:$C,Analysis_Gadgets!$B:$B)</f>
        <v>Gadget</v>
      </c>
      <c r="E511" s="43">
        <v>13</v>
      </c>
      <c r="F511" s="43">
        <f>_xlfn.XLOOKUP(A511,Class_Players!A:A,Class_Players!G:G)</f>
        <v>156</v>
      </c>
      <c r="G511" s="43">
        <f t="shared" si="106"/>
        <v>8.3333333333333329E-2</v>
      </c>
      <c r="H511" s="43">
        <f>_xlfn.XLOOKUP(A511,Class_Players!$A:$A,Class_Players!$F:$F,"")</f>
        <v>9465</v>
      </c>
      <c r="I511" s="44">
        <f t="shared" si="107"/>
        <v>1.3734812466983624E-3</v>
      </c>
      <c r="J511" s="43">
        <f t="shared" si="108"/>
        <v>0</v>
      </c>
      <c r="K511" s="44" cm="1">
        <f t="array" ref="K511">IF(D511="Gadget",_xlfn.IFS(I511&gt;=0.2,0.5,I511&gt;=0.1,0.35,I511&gt;=0.05,0.2,TRUE,0),IF(D511="Grenade",_xlfn.IFS(I511&gt;=0.2,1,I511&gt;=0.1,0.7,I511&gt;=0.05,0.4,TRUE,0),0))</f>
        <v>0</v>
      </c>
      <c r="L511" s="57">
        <f t="shared" si="118"/>
        <v>0</v>
      </c>
    </row>
    <row r="512" spans="1:12" x14ac:dyDescent="0.25">
      <c r="A512" s="42" t="str" cm="1">
        <f t="array" ref="A512">IFERROR(INDEX(_xlfn._xlws.FILTER(Class_Players!A:A,Class_Players!B:B="Engineer"),QUOTIENT(ROW()-ROW($A$2),12)+1),"")</f>
        <v>Remesso</v>
      </c>
      <c r="B512" s="42" t="str">
        <f>_xlfn.XLOOKUP(A512,Class_Players!$A:$A,Class_Players!$B:$B,"")</f>
        <v>Engineer</v>
      </c>
      <c r="C512" s="42" t="str" cm="1">
        <f t="array" ref="C512">INDEX(Lookups!$B$2:$B$13,MOD(ROW()-ROW($B$2),ROWS(Lookups!$B$2:$B$13))+1)</f>
        <v>M15 (Anti-Vehicle Mine)</v>
      </c>
      <c r="D512" s="38" t="str">
        <f>_xlfn.XLOOKUP(C512,Analysis_Gadgets!$C:$C,Analysis_Gadgets!$B:$B)</f>
        <v>Gadget</v>
      </c>
      <c r="E512" s="43">
        <v>60</v>
      </c>
      <c r="F512" s="43">
        <f>_xlfn.XLOOKUP(A512,Class_Players!A:A,Class_Players!G:G)</f>
        <v>156</v>
      </c>
      <c r="G512" s="43">
        <f t="shared" si="106"/>
        <v>0.38461538461538464</v>
      </c>
      <c r="H512" s="43">
        <f>_xlfn.XLOOKUP(A512,Class_Players!$A:$A,Class_Players!$F:$F,"")</f>
        <v>9465</v>
      </c>
      <c r="I512" s="44">
        <f t="shared" si="107"/>
        <v>6.3391442155309036E-3</v>
      </c>
      <c r="J512" s="43">
        <f t="shared" si="108"/>
        <v>0</v>
      </c>
      <c r="K512" s="44" cm="1">
        <f t="array" ref="K512">IF(D512="Gadget",_xlfn.IFS(I512&gt;=0.2,0.5,I512&gt;=0.1,0.35,I512&gt;=0.05,0.2,TRUE,0),IF(D512="Grenade",_xlfn.IFS(I512&gt;=0.2,1,I512&gt;=0.1,0.7,I512&gt;=0.05,0.4,TRUE,0),0))</f>
        <v>0</v>
      </c>
      <c r="L512" s="57">
        <f t="shared" si="118"/>
        <v>0</v>
      </c>
    </row>
    <row r="513" spans="1:12" x14ac:dyDescent="0.25">
      <c r="A513" s="42" t="str" cm="1">
        <f t="array" ref="A513">IFERROR(INDEX(_xlfn._xlws.FILTER(Class_Players!A:A,Class_Players!B:B="Engineer"),QUOTIENT(ROW()-ROW($A$2),12)+1),"")</f>
        <v>Remesso</v>
      </c>
      <c r="B513" s="42" t="str">
        <f>_xlfn.XLOOKUP(A513,Class_Players!$A:$A,Class_Players!$B:$B,"")</f>
        <v>Engineer</v>
      </c>
      <c r="C513" s="42" t="str" cm="1">
        <f t="array" ref="C513">INDEX(Lookups!$B$2:$B$13,MOD(ROW()-ROW($B$2),ROWS(Lookups!$B$2:$B$13))+1)</f>
        <v>PTKM-1R (Acoustic Sensor AV Mine)</v>
      </c>
      <c r="D513" s="38" t="str">
        <f>_xlfn.XLOOKUP(C513,Analysis_Gadgets!$C:$C,Analysis_Gadgets!$B:$B)</f>
        <v>Gadget</v>
      </c>
      <c r="E513" s="43">
        <v>3</v>
      </c>
      <c r="F513" s="43">
        <f>_xlfn.XLOOKUP(A513,Class_Players!A:A,Class_Players!G:G)</f>
        <v>156</v>
      </c>
      <c r="G513" s="43">
        <f t="shared" si="106"/>
        <v>1.9230769230769232E-2</v>
      </c>
      <c r="H513" s="43">
        <f>_xlfn.XLOOKUP(A513,Class_Players!$A:$A,Class_Players!$F:$F,"")</f>
        <v>9465</v>
      </c>
      <c r="I513" s="44">
        <f t="shared" si="107"/>
        <v>3.1695721077654518E-4</v>
      </c>
      <c r="J513" s="43">
        <f t="shared" si="108"/>
        <v>0</v>
      </c>
      <c r="K513" s="44" cm="1">
        <f t="array" ref="K513">IF(D513="Gadget",_xlfn.IFS(I513&gt;=0.2,0.5,I513&gt;=0.1,0.35,I513&gt;=0.05,0.2,TRUE,0),IF(D513="Grenade",_xlfn.IFS(I513&gt;=0.2,1,I513&gt;=0.1,0.7,I513&gt;=0.05,0.4,TRUE,0),0))</f>
        <v>0</v>
      </c>
      <c r="L513" s="57">
        <f t="shared" si="118"/>
        <v>0</v>
      </c>
    </row>
    <row r="514" spans="1:12" x14ac:dyDescent="0.25">
      <c r="A514" s="42" t="str" cm="1">
        <f t="array" ref="A514">IFERROR(INDEX(_xlfn._xlws.FILTER(Class_Players!A:A,Class_Players!B:B="Engineer"),QUOTIENT(ROW()-ROW($A$2),12)+1),"")</f>
        <v>Remesso</v>
      </c>
      <c r="B514" s="42" t="str">
        <f>_xlfn.XLOOKUP(A514,Class_Players!$A:$A,Class_Players!$B:$B,"")</f>
        <v>Engineer</v>
      </c>
      <c r="C514" s="42" t="str" cm="1">
        <f t="array" ref="C514">INDEX(Lookups!$B$2:$B$13,MOD(ROW()-ROW($B$2),ROWS(Lookups!$B$2:$B$13))+1)</f>
        <v>EOD Bot</v>
      </c>
      <c r="D514" s="38" t="str">
        <f>_xlfn.XLOOKUP(C514,Analysis_Gadgets!$C:$C,Analysis_Gadgets!$B:$B)</f>
        <v>Gadget</v>
      </c>
      <c r="E514" s="43">
        <v>0</v>
      </c>
      <c r="F514" s="43">
        <f>_xlfn.XLOOKUP(A514,Class_Players!A:A,Class_Players!G:G)</f>
        <v>156</v>
      </c>
      <c r="G514" s="43">
        <f t="shared" si="106"/>
        <v>0</v>
      </c>
      <c r="H514" s="43">
        <f>_xlfn.XLOOKUP(A514,Class_Players!$A:$A,Class_Players!$F:$F,"")</f>
        <v>9465</v>
      </c>
      <c r="I514" s="44">
        <f t="shared" si="107"/>
        <v>0</v>
      </c>
      <c r="J514" s="43">
        <f t="shared" si="108"/>
        <v>0</v>
      </c>
      <c r="K514" s="44" cm="1">
        <f t="array" ref="K514">IF(D514="Gadget",_xlfn.IFS(I514&gt;=0.2,0.5,I514&gt;=0.1,0.35,I514&gt;=0.05,0.2,TRUE,0),IF(D514="Grenade",_xlfn.IFS(I514&gt;=0.2,1,I514&gt;=0.1,0.7,I514&gt;=0.05,0.4,TRUE,0),0))</f>
        <v>0</v>
      </c>
      <c r="L514" s="57">
        <f t="shared" si="118"/>
        <v>0</v>
      </c>
    </row>
    <row r="515" spans="1:12" x14ac:dyDescent="0.25">
      <c r="A515" s="42" t="str" cm="1">
        <f t="array" ref="A515">IFERROR(INDEX(_xlfn._xlws.FILTER(Class_Players!A:A,Class_Players!B:B="Engineer"),QUOTIENT(ROW()-ROW($A$2),12)+1),"")</f>
        <v>Remesso</v>
      </c>
      <c r="B515" s="42" t="str">
        <f>_xlfn.XLOOKUP(A515,Class_Players!$A:$A,Class_Players!$B:$B,"")</f>
        <v>Engineer</v>
      </c>
      <c r="C515" s="42" t="str" cm="1">
        <f t="array" ref="C515">INDEX(Lookups!$B$2:$B$13,MOD(ROW()-ROW($B$2),ROWS(Lookups!$B$2:$B$13))+1)</f>
        <v>M4A1 SLAM (Tripwire Sensor AV Mine)</v>
      </c>
      <c r="D515" s="38" t="str">
        <f>_xlfn.XLOOKUP(C515,Analysis_Gadgets!$C:$C,Analysis_Gadgets!$B:$B)</f>
        <v>Gadget</v>
      </c>
      <c r="E515" s="43">
        <v>2</v>
      </c>
      <c r="F515" s="43">
        <f>_xlfn.XLOOKUP(A515,Class_Players!A:A,Class_Players!G:G)</f>
        <v>156</v>
      </c>
      <c r="G515" s="43">
        <f t="shared" si="106"/>
        <v>1.282051282051282E-2</v>
      </c>
      <c r="H515" s="43">
        <f>_xlfn.XLOOKUP(A515,Class_Players!$A:$A,Class_Players!$F:$F,"")</f>
        <v>9465</v>
      </c>
      <c r="I515" s="44">
        <f t="shared" si="107"/>
        <v>2.1130480718436345E-4</v>
      </c>
      <c r="J515" s="43">
        <f t="shared" si="108"/>
        <v>0</v>
      </c>
      <c r="K515" s="44" cm="1">
        <f t="array" ref="K515">IF(D515="Gadget",_xlfn.IFS(I515&gt;=0.2,0.5,I515&gt;=0.1,0.35,I515&gt;=0.05,0.2,TRUE,0),IF(D515="Grenade",_xlfn.IFS(I515&gt;=0.2,1,I515&gt;=0.1,0.7,I515&gt;=0.05,0.4,TRUE,0),0))</f>
        <v>0</v>
      </c>
      <c r="L515" s="57">
        <f t="shared" si="118"/>
        <v>0</v>
      </c>
    </row>
    <row r="516" spans="1:12" x14ac:dyDescent="0.25">
      <c r="A516" s="42" t="str" cm="1">
        <f t="array" ref="A516">IFERROR(INDEX(_xlfn._xlws.FILTER(Class_Players!A:A,Class_Players!B:B="Engineer"),QUOTIENT(ROW()-ROW($A$2),12)+1),"")</f>
        <v>Remesso</v>
      </c>
      <c r="B516" s="42" t="str">
        <f>_xlfn.XLOOKUP(A516,Class_Players!$A:$A,Class_Players!$B:$B,"")</f>
        <v>Engineer</v>
      </c>
      <c r="C516" s="42" t="str" cm="1">
        <f t="array" ref="C516">INDEX(Lookups!$B$2:$B$13,MOD(ROW()-ROW($B$2),ROWS(Lookups!$B$2:$B$13))+1)</f>
        <v>Mini Frag Grenade</v>
      </c>
      <c r="D516" s="38" t="str">
        <f>_xlfn.XLOOKUP(C516,Analysis_Gadgets!$C:$C,Analysis_Gadgets!$B:$B)</f>
        <v>Grenade</v>
      </c>
      <c r="E516" s="43">
        <v>0</v>
      </c>
      <c r="F516" s="43">
        <f>_xlfn.XLOOKUP(A516,Class_Players!A:A,Class_Players!G:G)</f>
        <v>156</v>
      </c>
      <c r="G516" s="43">
        <f t="shared" si="106"/>
        <v>0</v>
      </c>
      <c r="H516" s="43">
        <f>_xlfn.XLOOKUP(A516,Class_Players!$A:$A,Class_Players!$F:$F,"")</f>
        <v>9465</v>
      </c>
      <c r="I516" s="44">
        <f t="shared" si="107"/>
        <v>0</v>
      </c>
      <c r="J516" s="43">
        <f t="shared" si="108"/>
        <v>0</v>
      </c>
      <c r="K516" s="44" cm="1">
        <f t="array" ref="K516">IF(D516="Gadget",_xlfn.IFS(I516&gt;=0.2,0.5,I516&gt;=0.1,0.35,I516&gt;=0.05,0.2,TRUE,0),IF(D516="Grenade",_xlfn.IFS(I516&gt;=0.2,1,I516&gt;=0.1,0.7,I516&gt;=0.05,0.4,TRUE,0),0))</f>
        <v>0</v>
      </c>
      <c r="L516" s="57">
        <f t="shared" ref="L516:L517" si="119">IF($K516=0,0,$K516 / SUMIFS($K:$K,$A:$A,$A516,$D:$D,"Grenade"))</f>
        <v>0</v>
      </c>
    </row>
    <row r="517" spans="1:12" x14ac:dyDescent="0.25">
      <c r="A517" s="42" t="str" cm="1">
        <f t="array" ref="A517">IFERROR(INDEX(_xlfn._xlws.FILTER(Class_Players!A:A,Class_Players!B:B="Engineer"),QUOTIENT(ROW()-ROW($A$2),12)+1),"")</f>
        <v>Remesso</v>
      </c>
      <c r="B517" s="42" t="str">
        <f>_xlfn.XLOOKUP(A517,Class_Players!$A:$A,Class_Players!$B:$B,"")</f>
        <v>Engineer</v>
      </c>
      <c r="C517" s="42" t="str" cm="1">
        <f t="array" ref="C517">INDEX(Lookups!$B$2:$B$13,MOD(ROW()-ROW($B$2),ROWS(Lookups!$B$2:$B$13))+1)</f>
        <v>Anti-Vehicle Grenade</v>
      </c>
      <c r="D517" s="38" t="str">
        <f>_xlfn.XLOOKUP(C517,Analysis_Gadgets!$C:$C,Analysis_Gadgets!$B:$B)</f>
        <v>Grenade</v>
      </c>
      <c r="E517" s="43">
        <v>0</v>
      </c>
      <c r="F517" s="43">
        <f>_xlfn.XLOOKUP(A517,Class_Players!A:A,Class_Players!G:G)</f>
        <v>156</v>
      </c>
      <c r="G517" s="43">
        <f t="shared" si="106"/>
        <v>0</v>
      </c>
      <c r="H517" s="43">
        <f>_xlfn.XLOOKUP(A517,Class_Players!$A:$A,Class_Players!$F:$F,"")</f>
        <v>9465</v>
      </c>
      <c r="I517" s="44">
        <f t="shared" si="107"/>
        <v>0</v>
      </c>
      <c r="J517" s="43">
        <f t="shared" si="108"/>
        <v>0</v>
      </c>
      <c r="K517" s="44" cm="1">
        <f t="array" ref="K517">IF(D517="Gadget",_xlfn.IFS(I517&gt;=0.2,0.5,I517&gt;=0.1,0.35,I517&gt;=0.05,0.2,TRUE,0),IF(D517="Grenade",_xlfn.IFS(I517&gt;=0.2,1,I517&gt;=0.1,0.7,I517&gt;=0.05,0.4,TRUE,0),0))</f>
        <v>0</v>
      </c>
      <c r="L517" s="57">
        <f t="shared" si="119"/>
        <v>0</v>
      </c>
    </row>
    <row r="518" spans="1:12" x14ac:dyDescent="0.25">
      <c r="A518" s="42" t="str" cm="1">
        <f t="array" ref="A518">IFERROR(INDEX(_xlfn._xlws.FILTER(Class_Players!A:A,Class_Players!B:B="Engineer"),QUOTIENT(ROW()-ROW($A$2),12)+1),"")</f>
        <v>Reglope</v>
      </c>
      <c r="B518" s="42" t="str">
        <f>_xlfn.XLOOKUP(A518,Class_Players!$A:$A,Class_Players!$B:$B,"")</f>
        <v>Engineer</v>
      </c>
      <c r="C518" s="42" t="str" cm="1">
        <f t="array" ref="C518">INDEX(Lookups!$B$2:$B$13,MOD(ROW()-ROW($B$2),ROWS(Lookups!$B$2:$B$13))+1)</f>
        <v>MBT-LAW (Auto-Guided Launcher)</v>
      </c>
      <c r="D518" s="38" t="str">
        <f>_xlfn.XLOOKUP(C518,Analysis_Gadgets!$C:$C,Analysis_Gadgets!$B:$B)</f>
        <v>Gadget</v>
      </c>
      <c r="F518" s="43">
        <f>_xlfn.XLOOKUP(A518,Class_Players!A:A,Class_Players!G:G)</f>
        <v>204</v>
      </c>
      <c r="G518" s="43">
        <f t="shared" ref="G518:G581" si="120">IF(F518=0,"",E518/(F518))</f>
        <v>0</v>
      </c>
      <c r="H518" s="43">
        <f>_xlfn.XLOOKUP(A518,Class_Players!$A:$A,Class_Players!$F:$F,"")</f>
        <v>9947</v>
      </c>
      <c r="I518" s="44">
        <f t="shared" ref="I518:I581" si="121">IF(H518=0,"",E518/H518)</f>
        <v>0</v>
      </c>
      <c r="J518" s="43">
        <f t="shared" ref="J518:J581" si="122">IF(I518&gt;=0.1,1,0)</f>
        <v>0</v>
      </c>
      <c r="K518" s="44" cm="1">
        <f t="array" ref="K518">IF(D518="Gadget",_xlfn.IFS(I518&gt;=0.2,0.5,I518&gt;=0.1,0.35,I518&gt;=0.05,0.2,TRUE,0),IF(D518="Grenade",_xlfn.IFS(I518&gt;=0.2,1,I518&gt;=0.1,0.7,I518&gt;=0.05,0.4,TRUE,0),0))</f>
        <v>0</v>
      </c>
      <c r="L518" s="57">
        <f t="shared" ref="L518:L527" si="123">IF($K518=0,0,$K518 / SUMIFS($K:$K,$A:$A,$A518,$D:$D,"Gadget"))</f>
        <v>0</v>
      </c>
    </row>
    <row r="519" spans="1:12" x14ac:dyDescent="0.25">
      <c r="A519" s="42" t="str" cm="1">
        <f t="array" ref="A519">IFERROR(INDEX(_xlfn._xlws.FILTER(Class_Players!A:A,Class_Players!B:B="Engineer"),QUOTIENT(ROW()-ROW($A$2),12)+1),"")</f>
        <v>Reglope</v>
      </c>
      <c r="B519" s="42" t="str">
        <f>_xlfn.XLOOKUP(A519,Class_Players!$A:$A,Class_Players!$B:$B,"")</f>
        <v>Engineer</v>
      </c>
      <c r="C519" s="42" t="str" cm="1">
        <f t="array" ref="C519">INDEX(Lookups!$B$2:$B$13,MOD(ROW()-ROW($B$2),ROWS(Lookups!$B$2:$B$13))+1)</f>
        <v>SLM-93A (Air-Defense Launcher)</v>
      </c>
      <c r="D519" s="38" t="str">
        <f>_xlfn.XLOOKUP(C519,Analysis_Gadgets!$C:$C,Analysis_Gadgets!$B:$B)</f>
        <v>Gadget</v>
      </c>
      <c r="E519" s="43">
        <v>68</v>
      </c>
      <c r="F519" s="43">
        <f>_xlfn.XLOOKUP(A519,Class_Players!A:A,Class_Players!G:G)</f>
        <v>204</v>
      </c>
      <c r="G519" s="43">
        <f t="shared" si="120"/>
        <v>0.33333333333333331</v>
      </c>
      <c r="H519" s="43">
        <f>_xlfn.XLOOKUP(A519,Class_Players!$A:$A,Class_Players!$F:$F,"")</f>
        <v>9947</v>
      </c>
      <c r="I519" s="44">
        <f t="shared" si="121"/>
        <v>6.8362320297577156E-3</v>
      </c>
      <c r="J519" s="43">
        <f t="shared" si="122"/>
        <v>0</v>
      </c>
      <c r="K519" s="44" cm="1">
        <f t="array" ref="K519">IF(D519="Gadget",_xlfn.IFS(I519&gt;=0.2,0.5,I519&gt;=0.1,0.35,I519&gt;=0.05,0.2,TRUE,0),IF(D519="Grenade",_xlfn.IFS(I519&gt;=0.2,1,I519&gt;=0.1,0.7,I519&gt;=0.05,0.4,TRUE,0),0))</f>
        <v>0</v>
      </c>
      <c r="L519" s="57">
        <f t="shared" si="123"/>
        <v>0</v>
      </c>
    </row>
    <row r="520" spans="1:12" x14ac:dyDescent="0.25">
      <c r="A520" s="42" t="str" cm="1">
        <f t="array" ref="A520">IFERROR(INDEX(_xlfn._xlws.FILTER(Class_Players!A:A,Class_Players!B:B="Engineer"),QUOTIENT(ROW()-ROW($A$2),12)+1),"")</f>
        <v>Reglope</v>
      </c>
      <c r="B520" s="42" t="str">
        <f>_xlfn.XLOOKUP(A520,Class_Players!$A:$A,Class_Players!$B:$B,"")</f>
        <v>Engineer</v>
      </c>
      <c r="C520" s="42" t="str" cm="1">
        <f t="array" ref="C520">INDEX(Lookups!$B$2:$B$13,MOD(ROW()-ROW($B$2),ROWS(Lookups!$B$2:$B$13))+1)</f>
        <v>RPG-7V2 (Unguided Rocket Launcher)</v>
      </c>
      <c r="D520" s="38" t="str">
        <f>_xlfn.XLOOKUP(C520,Analysis_Gadgets!$C:$C,Analysis_Gadgets!$B:$B)</f>
        <v>Gadget</v>
      </c>
      <c r="E520" s="43">
        <v>7719</v>
      </c>
      <c r="F520" s="43">
        <f>_xlfn.XLOOKUP(A520,Class_Players!A:A,Class_Players!G:G)</f>
        <v>204</v>
      </c>
      <c r="G520" s="43">
        <f t="shared" si="120"/>
        <v>37.838235294117645</v>
      </c>
      <c r="H520" s="43">
        <f>_xlfn.XLOOKUP(A520,Class_Players!$A:$A,Class_Players!$F:$F,"")</f>
        <v>9947</v>
      </c>
      <c r="I520" s="44">
        <f t="shared" si="121"/>
        <v>0.77601286820146775</v>
      </c>
      <c r="J520" s="43">
        <f t="shared" si="122"/>
        <v>1</v>
      </c>
      <c r="K520" s="44" cm="1">
        <f t="array" ref="K520">IF(D520="Gadget",_xlfn.IFS(I520&gt;=0.2,0.5,I520&gt;=0.1,0.35,I520&gt;=0.05,0.2,TRUE,0),IF(D520="Grenade",_xlfn.IFS(I520&gt;=0.2,1,I520&gt;=0.1,0.7,I520&gt;=0.05,0.4,TRUE,0),0))</f>
        <v>0.5</v>
      </c>
      <c r="L520" s="57">
        <f t="shared" si="123"/>
        <v>0.29411764705882354</v>
      </c>
    </row>
    <row r="521" spans="1:12" x14ac:dyDescent="0.25">
      <c r="A521" s="42" t="str" cm="1">
        <f t="array" ref="A521">IFERROR(INDEX(_xlfn._xlws.FILTER(Class_Players!A:A,Class_Players!B:B="Engineer"),QUOTIENT(ROW()-ROW($A$2),12)+1),"")</f>
        <v>Reglope</v>
      </c>
      <c r="B521" s="42" t="str">
        <f>_xlfn.XLOOKUP(A521,Class_Players!$A:$A,Class_Players!$B:$B,"")</f>
        <v>Engineer</v>
      </c>
      <c r="C521" s="42" t="str" cm="1">
        <f t="array" ref="C521">INDEX(Lookups!$B$2:$B$13,MOD(ROW()-ROW($B$2),ROWS(Lookups!$B$2:$B$13))+1)</f>
        <v>MAS 148 (Long-Range Launcher)</v>
      </c>
      <c r="D521" s="38" t="str">
        <f>_xlfn.XLOOKUP(C521,Analysis_Gadgets!$C:$C,Analysis_Gadgets!$B:$B)</f>
        <v>Gadget</v>
      </c>
      <c r="E521" s="43">
        <v>2</v>
      </c>
      <c r="F521" s="43">
        <f>_xlfn.XLOOKUP(A521,Class_Players!A:A,Class_Players!G:G)</f>
        <v>204</v>
      </c>
      <c r="G521" s="43">
        <f t="shared" si="120"/>
        <v>9.8039215686274508E-3</v>
      </c>
      <c r="H521" s="43">
        <f>_xlfn.XLOOKUP(A521,Class_Players!$A:$A,Class_Players!$F:$F,"")</f>
        <v>9947</v>
      </c>
      <c r="I521" s="44">
        <f t="shared" si="121"/>
        <v>2.0106564793405046E-4</v>
      </c>
      <c r="J521" s="43">
        <f t="shared" si="122"/>
        <v>0</v>
      </c>
      <c r="K521" s="44" cm="1">
        <f t="array" ref="K521">IF(D521="Gadget",_xlfn.IFS(I521&gt;=0.2,0.5,I521&gt;=0.1,0.35,I521&gt;=0.05,0.2,TRUE,0),IF(D521="Grenade",_xlfn.IFS(I521&gt;=0.2,1,I521&gt;=0.1,0.7,I521&gt;=0.05,0.4,TRUE,0),0))</f>
        <v>0</v>
      </c>
      <c r="L521" s="57">
        <f t="shared" si="123"/>
        <v>0</v>
      </c>
    </row>
    <row r="522" spans="1:12" x14ac:dyDescent="0.25">
      <c r="A522" s="42" t="str" cm="1">
        <f t="array" ref="A522">IFERROR(INDEX(_xlfn._xlws.FILTER(Class_Players!A:A,Class_Players!B:B="Engineer"),QUOTIENT(ROW()-ROW($A$2),12)+1),"")</f>
        <v>Reglope</v>
      </c>
      <c r="B522" s="42" t="str">
        <f>_xlfn.XLOOKUP(A522,Class_Players!$A:$A,Class_Players!$B:$B,"")</f>
        <v>Engineer</v>
      </c>
      <c r="C522" s="42" t="str" cm="1">
        <f t="array" ref="C522">INDEX(Lookups!$B$2:$B$13,MOD(ROW()-ROW($B$2),ROWS(Lookups!$B$2:$B$13))+1)</f>
        <v>M136 AT (Aim-Guided Launcher)</v>
      </c>
      <c r="D522" s="38" t="str">
        <f>_xlfn.XLOOKUP(C522,Analysis_Gadgets!$C:$C,Analysis_Gadgets!$B:$B)</f>
        <v>Gadget</v>
      </c>
      <c r="E522" s="43">
        <v>13</v>
      </c>
      <c r="F522" s="43">
        <f>_xlfn.XLOOKUP(A522,Class_Players!A:A,Class_Players!G:G)</f>
        <v>204</v>
      </c>
      <c r="G522" s="43">
        <f t="shared" si="120"/>
        <v>6.3725490196078427E-2</v>
      </c>
      <c r="H522" s="43">
        <f>_xlfn.XLOOKUP(A522,Class_Players!$A:$A,Class_Players!$F:$F,"")</f>
        <v>9947</v>
      </c>
      <c r="I522" s="44">
        <f t="shared" si="121"/>
        <v>1.306926711571328E-3</v>
      </c>
      <c r="J522" s="43">
        <f t="shared" si="122"/>
        <v>0</v>
      </c>
      <c r="K522" s="44" cm="1">
        <f t="array" ref="K522">IF(D522="Gadget",_xlfn.IFS(I522&gt;=0.2,0.5,I522&gt;=0.1,0.35,I522&gt;=0.05,0.2,TRUE,0),IF(D522="Grenade",_xlfn.IFS(I522&gt;=0.2,1,I522&gt;=0.1,0.7,I522&gt;=0.05,0.4,TRUE,0),0))</f>
        <v>0</v>
      </c>
      <c r="L522" s="57">
        <f t="shared" si="123"/>
        <v>0</v>
      </c>
    </row>
    <row r="523" spans="1:12" x14ac:dyDescent="0.25">
      <c r="A523" s="42" t="str" cm="1">
        <f t="array" ref="A523">IFERROR(INDEX(_xlfn._xlws.FILTER(Class_Players!A:A,Class_Players!B:B="Engineer"),QUOTIENT(ROW()-ROW($A$2),12)+1),"")</f>
        <v>Reglope</v>
      </c>
      <c r="B523" s="42" t="str">
        <f>_xlfn.XLOOKUP(A523,Class_Players!$A:$A,Class_Players!$B:$B,"")</f>
        <v>Engineer</v>
      </c>
      <c r="C523" s="42" t="str" cm="1">
        <f t="array" ref="C523">INDEX(Lookups!$B$2:$B$13,MOD(ROW()-ROW($B$2),ROWS(Lookups!$B$2:$B$13))+1)</f>
        <v>Supply Crate</v>
      </c>
      <c r="D523" s="38" t="str">
        <f>_xlfn.XLOOKUP(C523,Analysis_Gadgets!$C:$C,Analysis_Gadgets!$B:$B)</f>
        <v>Gadget</v>
      </c>
      <c r="E523" s="43">
        <v>11</v>
      </c>
      <c r="F523" s="43">
        <f>_xlfn.XLOOKUP(A523,Class_Players!A:A,Class_Players!G:G)</f>
        <v>204</v>
      </c>
      <c r="G523" s="43">
        <f t="shared" si="120"/>
        <v>5.3921568627450983E-2</v>
      </c>
      <c r="H523" s="43">
        <f>_xlfn.XLOOKUP(A523,Class_Players!$A:$A,Class_Players!$F:$F,"")</f>
        <v>9947</v>
      </c>
      <c r="I523" s="44">
        <f t="shared" si="121"/>
        <v>1.1058610636372776E-3</v>
      </c>
      <c r="J523" s="43">
        <f t="shared" si="122"/>
        <v>0</v>
      </c>
      <c r="K523" s="44" cm="1">
        <f t="array" ref="K523">IF(D523="Gadget",_xlfn.IFS(I523&gt;=0.2,0.5,I523&gt;=0.1,0.35,I523&gt;=0.05,0.2,TRUE,0),IF(D523="Grenade",_xlfn.IFS(I523&gt;=0.2,1,I523&gt;=0.1,0.7,I523&gt;=0.05,0.4,TRUE,0),0))</f>
        <v>0</v>
      </c>
      <c r="L523" s="57">
        <f t="shared" si="123"/>
        <v>0</v>
      </c>
    </row>
    <row r="524" spans="1:12" x14ac:dyDescent="0.25">
      <c r="A524" s="42" t="str" cm="1">
        <f t="array" ref="A524">IFERROR(INDEX(_xlfn._xlws.FILTER(Class_Players!A:A,Class_Players!B:B="Engineer"),QUOTIENT(ROW()-ROW($A$2),12)+1),"")</f>
        <v>Reglope</v>
      </c>
      <c r="B524" s="42" t="str">
        <f>_xlfn.XLOOKUP(A524,Class_Players!$A:$A,Class_Players!$B:$B,"")</f>
        <v>Engineer</v>
      </c>
      <c r="C524" s="42" t="str" cm="1">
        <f t="array" ref="C524">INDEX(Lookups!$B$2:$B$13,MOD(ROW()-ROW($B$2),ROWS(Lookups!$B$2:$B$13))+1)</f>
        <v>M15 (Anti-Vehicle Mine)</v>
      </c>
      <c r="D524" s="38" t="str">
        <f>_xlfn.XLOOKUP(C524,Analysis_Gadgets!$C:$C,Analysis_Gadgets!$B:$B)</f>
        <v>Gadget</v>
      </c>
      <c r="E524" s="43">
        <v>9573</v>
      </c>
      <c r="F524" s="43">
        <f>_xlfn.XLOOKUP(A524,Class_Players!A:A,Class_Players!G:G)</f>
        <v>204</v>
      </c>
      <c r="G524" s="43">
        <f t="shared" si="120"/>
        <v>46.926470588235297</v>
      </c>
      <c r="H524" s="43">
        <f>_xlfn.XLOOKUP(A524,Class_Players!$A:$A,Class_Players!$F:$F,"")</f>
        <v>9947</v>
      </c>
      <c r="I524" s="44">
        <f t="shared" si="121"/>
        <v>0.96240072383633257</v>
      </c>
      <c r="J524" s="43">
        <f t="shared" si="122"/>
        <v>1</v>
      </c>
      <c r="K524" s="44" cm="1">
        <f t="array" ref="K524">IF(D524="Gadget",_xlfn.IFS(I524&gt;=0.2,0.5,I524&gt;=0.1,0.35,I524&gt;=0.05,0.2,TRUE,0),IF(D524="Grenade",_xlfn.IFS(I524&gt;=0.2,1,I524&gt;=0.1,0.7,I524&gt;=0.05,0.4,TRUE,0),0))</f>
        <v>0.5</v>
      </c>
      <c r="L524" s="57">
        <f t="shared" si="123"/>
        <v>0.29411764705882354</v>
      </c>
    </row>
    <row r="525" spans="1:12" x14ac:dyDescent="0.25">
      <c r="A525" s="42" t="str" cm="1">
        <f t="array" ref="A525">IFERROR(INDEX(_xlfn._xlws.FILTER(Class_Players!A:A,Class_Players!B:B="Engineer"),QUOTIENT(ROW()-ROW($A$2),12)+1),"")</f>
        <v>Reglope</v>
      </c>
      <c r="B525" s="42" t="str">
        <f>_xlfn.XLOOKUP(A525,Class_Players!$A:$A,Class_Players!$B:$B,"")</f>
        <v>Engineer</v>
      </c>
      <c r="C525" s="42" t="str" cm="1">
        <f t="array" ref="C525">INDEX(Lookups!$B$2:$B$13,MOD(ROW()-ROW($B$2),ROWS(Lookups!$B$2:$B$13))+1)</f>
        <v>PTKM-1R (Acoustic Sensor AV Mine)</v>
      </c>
      <c r="D525" s="38" t="str">
        <f>_xlfn.XLOOKUP(C525,Analysis_Gadgets!$C:$C,Analysis_Gadgets!$B:$B)</f>
        <v>Gadget</v>
      </c>
      <c r="E525" s="43">
        <v>677</v>
      </c>
      <c r="F525" s="43">
        <f>_xlfn.XLOOKUP(A525,Class_Players!A:A,Class_Players!G:G)</f>
        <v>204</v>
      </c>
      <c r="G525" s="43">
        <f t="shared" si="120"/>
        <v>3.3186274509803924</v>
      </c>
      <c r="H525" s="43">
        <f>_xlfn.XLOOKUP(A525,Class_Players!$A:$A,Class_Players!$F:$F,"")</f>
        <v>9947</v>
      </c>
      <c r="I525" s="44">
        <f t="shared" si="121"/>
        <v>6.8060721825676088E-2</v>
      </c>
      <c r="J525" s="43">
        <f t="shared" si="122"/>
        <v>0</v>
      </c>
      <c r="K525" s="44" cm="1">
        <f t="array" ref="K525">IF(D525="Gadget",_xlfn.IFS(I525&gt;=0.2,0.5,I525&gt;=0.1,0.35,I525&gt;=0.05,0.2,TRUE,0),IF(D525="Grenade",_xlfn.IFS(I525&gt;=0.2,1,I525&gt;=0.1,0.7,I525&gt;=0.05,0.4,TRUE,0),0))</f>
        <v>0.2</v>
      </c>
      <c r="L525" s="57">
        <f t="shared" si="123"/>
        <v>0.11764705882352942</v>
      </c>
    </row>
    <row r="526" spans="1:12" x14ac:dyDescent="0.25">
      <c r="A526" s="42" t="str" cm="1">
        <f t="array" ref="A526">IFERROR(INDEX(_xlfn._xlws.FILTER(Class_Players!A:A,Class_Players!B:B="Engineer"),QUOTIENT(ROW()-ROW($A$2),12)+1),"")</f>
        <v>Reglope</v>
      </c>
      <c r="B526" s="42" t="str">
        <f>_xlfn.XLOOKUP(A526,Class_Players!$A:$A,Class_Players!$B:$B,"")</f>
        <v>Engineer</v>
      </c>
      <c r="C526" s="42" t="str" cm="1">
        <f t="array" ref="C526">INDEX(Lookups!$B$2:$B$13,MOD(ROW()-ROW($B$2),ROWS(Lookups!$B$2:$B$13))+1)</f>
        <v>EOD Bot</v>
      </c>
      <c r="D526" s="38" t="str">
        <f>_xlfn.XLOOKUP(C526,Analysis_Gadgets!$C:$C,Analysis_Gadgets!$B:$B)</f>
        <v>Gadget</v>
      </c>
      <c r="E526" s="43">
        <v>31</v>
      </c>
      <c r="F526" s="43">
        <f>_xlfn.XLOOKUP(A526,Class_Players!A:A,Class_Players!G:G)</f>
        <v>204</v>
      </c>
      <c r="G526" s="43">
        <f t="shared" si="120"/>
        <v>0.15196078431372548</v>
      </c>
      <c r="H526" s="43">
        <f>_xlfn.XLOOKUP(A526,Class_Players!$A:$A,Class_Players!$F:$F,"")</f>
        <v>9947</v>
      </c>
      <c r="I526" s="44">
        <f t="shared" si="121"/>
        <v>3.1165175429777822E-3</v>
      </c>
      <c r="J526" s="43">
        <f t="shared" si="122"/>
        <v>0</v>
      </c>
      <c r="K526" s="44" cm="1">
        <f t="array" ref="K526">IF(D526="Gadget",_xlfn.IFS(I526&gt;=0.2,0.5,I526&gt;=0.1,0.35,I526&gt;=0.05,0.2,TRUE,0),IF(D526="Grenade",_xlfn.IFS(I526&gt;=0.2,1,I526&gt;=0.1,0.7,I526&gt;=0.05,0.4,TRUE,0),0))</f>
        <v>0</v>
      </c>
      <c r="L526" s="57">
        <f t="shared" si="123"/>
        <v>0</v>
      </c>
    </row>
    <row r="527" spans="1:12" x14ac:dyDescent="0.25">
      <c r="A527" s="42" t="str" cm="1">
        <f t="array" ref="A527">IFERROR(INDEX(_xlfn._xlws.FILTER(Class_Players!A:A,Class_Players!B:B="Engineer"),QUOTIENT(ROW()-ROW($A$2),12)+1),"")</f>
        <v>Reglope</v>
      </c>
      <c r="B527" s="42" t="str">
        <f>_xlfn.XLOOKUP(A527,Class_Players!$A:$A,Class_Players!$B:$B,"")</f>
        <v>Engineer</v>
      </c>
      <c r="C527" s="42" t="str" cm="1">
        <f t="array" ref="C527">INDEX(Lookups!$B$2:$B$13,MOD(ROW()-ROW($B$2),ROWS(Lookups!$B$2:$B$13))+1)</f>
        <v>M4A1 SLAM (Tripwire Sensor AV Mine)</v>
      </c>
      <c r="D527" s="38" t="str">
        <f>_xlfn.XLOOKUP(C527,Analysis_Gadgets!$C:$C,Analysis_Gadgets!$B:$B)</f>
        <v>Gadget</v>
      </c>
      <c r="E527" s="43">
        <v>2134</v>
      </c>
      <c r="F527" s="43">
        <f>_xlfn.XLOOKUP(A527,Class_Players!A:A,Class_Players!G:G)</f>
        <v>204</v>
      </c>
      <c r="G527" s="43">
        <f t="shared" si="120"/>
        <v>10.46078431372549</v>
      </c>
      <c r="H527" s="43">
        <f>_xlfn.XLOOKUP(A527,Class_Players!$A:$A,Class_Players!$F:$F,"")</f>
        <v>9947</v>
      </c>
      <c r="I527" s="44">
        <f t="shared" si="121"/>
        <v>0.21453704634563184</v>
      </c>
      <c r="J527" s="43">
        <f t="shared" si="122"/>
        <v>1</v>
      </c>
      <c r="K527" s="44" cm="1">
        <f t="array" ref="K527">IF(D527="Gadget",_xlfn.IFS(I527&gt;=0.2,0.5,I527&gt;=0.1,0.35,I527&gt;=0.05,0.2,TRUE,0),IF(D527="Grenade",_xlfn.IFS(I527&gt;=0.2,1,I527&gt;=0.1,0.7,I527&gt;=0.05,0.4,TRUE,0),0))</f>
        <v>0.5</v>
      </c>
      <c r="L527" s="57">
        <f t="shared" si="123"/>
        <v>0.29411764705882354</v>
      </c>
    </row>
    <row r="528" spans="1:12" x14ac:dyDescent="0.25">
      <c r="A528" s="42" t="str" cm="1">
        <f t="array" ref="A528">IFERROR(INDEX(_xlfn._xlws.FILTER(Class_Players!A:A,Class_Players!B:B="Engineer"),QUOTIENT(ROW()-ROW($A$2),12)+1),"")</f>
        <v>Reglope</v>
      </c>
      <c r="B528" s="42" t="str">
        <f>_xlfn.XLOOKUP(A528,Class_Players!$A:$A,Class_Players!$B:$B,"")</f>
        <v>Engineer</v>
      </c>
      <c r="C528" s="42" t="str" cm="1">
        <f t="array" ref="C528">INDEX(Lookups!$B$2:$B$13,MOD(ROW()-ROW($B$2),ROWS(Lookups!$B$2:$B$13))+1)</f>
        <v>Mini Frag Grenade</v>
      </c>
      <c r="D528" s="38" t="str">
        <f>_xlfn.XLOOKUP(C528,Analysis_Gadgets!$C:$C,Analysis_Gadgets!$B:$B)</f>
        <v>Grenade</v>
      </c>
      <c r="E528" s="43">
        <v>345</v>
      </c>
      <c r="F528" s="43">
        <f>_xlfn.XLOOKUP(A528,Class_Players!A:A,Class_Players!G:G)</f>
        <v>204</v>
      </c>
      <c r="G528" s="43">
        <f t="shared" si="120"/>
        <v>1.6911764705882353</v>
      </c>
      <c r="H528" s="43">
        <f>_xlfn.XLOOKUP(A528,Class_Players!$A:$A,Class_Players!$F:$F,"")</f>
        <v>9947</v>
      </c>
      <c r="I528" s="44">
        <f t="shared" si="121"/>
        <v>3.4683824268623709E-2</v>
      </c>
      <c r="J528" s="43">
        <f t="shared" si="122"/>
        <v>0</v>
      </c>
      <c r="K528" s="44" cm="1">
        <f t="array" ref="K528">IF(D528="Gadget",_xlfn.IFS(I528&gt;=0.2,0.5,I528&gt;=0.1,0.35,I528&gt;=0.05,0.2,TRUE,0),IF(D528="Grenade",_xlfn.IFS(I528&gt;=0.2,1,I528&gt;=0.1,0.7,I528&gt;=0.05,0.4,TRUE,0),0))</f>
        <v>0</v>
      </c>
      <c r="L528" s="57">
        <f t="shared" ref="L528:L529" si="124">IF($K528=0,0,$K528 / SUMIFS($K:$K,$A:$A,$A528,$D:$D,"Grenade"))</f>
        <v>0</v>
      </c>
    </row>
    <row r="529" spans="1:12" x14ac:dyDescent="0.25">
      <c r="A529" s="42" t="str" cm="1">
        <f t="array" ref="A529">IFERROR(INDEX(_xlfn._xlws.FILTER(Class_Players!A:A,Class_Players!B:B="Engineer"),QUOTIENT(ROW()-ROW($A$2),12)+1),"")</f>
        <v>Reglope</v>
      </c>
      <c r="B529" s="42" t="str">
        <f>_xlfn.XLOOKUP(A529,Class_Players!$A:$A,Class_Players!$B:$B,"")</f>
        <v>Engineer</v>
      </c>
      <c r="C529" s="42" t="str" cm="1">
        <f t="array" ref="C529">INDEX(Lookups!$B$2:$B$13,MOD(ROW()-ROW($B$2),ROWS(Lookups!$B$2:$B$13))+1)</f>
        <v>Anti-Vehicle Grenade</v>
      </c>
      <c r="D529" s="38" t="str">
        <f>_xlfn.XLOOKUP(C529,Analysis_Gadgets!$C:$C,Analysis_Gadgets!$B:$B)</f>
        <v>Grenade</v>
      </c>
      <c r="E529" s="43">
        <v>0</v>
      </c>
      <c r="F529" s="43">
        <f>_xlfn.XLOOKUP(A529,Class_Players!A:A,Class_Players!G:G)</f>
        <v>204</v>
      </c>
      <c r="G529" s="43">
        <f t="shared" si="120"/>
        <v>0</v>
      </c>
      <c r="H529" s="43">
        <f>_xlfn.XLOOKUP(A529,Class_Players!$A:$A,Class_Players!$F:$F,"")</f>
        <v>9947</v>
      </c>
      <c r="I529" s="44">
        <f t="shared" si="121"/>
        <v>0</v>
      </c>
      <c r="J529" s="43">
        <f t="shared" si="122"/>
        <v>0</v>
      </c>
      <c r="K529" s="44" cm="1">
        <f t="array" ref="K529">IF(D529="Gadget",_xlfn.IFS(I529&gt;=0.2,0.5,I529&gt;=0.1,0.35,I529&gt;=0.05,0.2,TRUE,0),IF(D529="Grenade",_xlfn.IFS(I529&gt;=0.2,1,I529&gt;=0.1,0.7,I529&gt;=0.05,0.4,TRUE,0),0))</f>
        <v>0</v>
      </c>
      <c r="L529" s="57">
        <f t="shared" si="124"/>
        <v>0</v>
      </c>
    </row>
    <row r="530" spans="1:12" x14ac:dyDescent="0.25">
      <c r="A530" s="42" t="str" cm="1">
        <f t="array" ref="A530">IFERROR(INDEX(_xlfn._xlws.FILTER(Class_Players!A:A,Class_Players!B:B="Engineer"),QUOTIENT(ROW()-ROW($A$2),12)+1),"")</f>
        <v>jerjorey</v>
      </c>
      <c r="B530" s="42" t="str">
        <f>_xlfn.XLOOKUP(A530,Class_Players!$A:$A,Class_Players!$B:$B,"")</f>
        <v>Engineer</v>
      </c>
      <c r="C530" s="42" t="str" cm="1">
        <f t="array" ref="C530">INDEX(Lookups!$B$2:$B$13,MOD(ROW()-ROW($B$2),ROWS(Lookups!$B$2:$B$13))+1)</f>
        <v>MBT-LAW (Auto-Guided Launcher)</v>
      </c>
      <c r="D530" s="38" t="str">
        <f>_xlfn.XLOOKUP(C530,Analysis_Gadgets!$C:$C,Analysis_Gadgets!$B:$B)</f>
        <v>Gadget</v>
      </c>
      <c r="E530" s="43">
        <v>0</v>
      </c>
      <c r="F530" s="43">
        <f>_xlfn.XLOOKUP(A530,Class_Players!A:A,Class_Players!G:G)</f>
        <v>188</v>
      </c>
      <c r="G530" s="43">
        <f t="shared" si="120"/>
        <v>0</v>
      </c>
      <c r="H530" s="43">
        <f>_xlfn.XLOOKUP(A530,Class_Players!$A:$A,Class_Players!$F:$F,"")</f>
        <v>9182</v>
      </c>
      <c r="I530" s="44">
        <f t="shared" si="121"/>
        <v>0</v>
      </c>
      <c r="J530" s="43">
        <f t="shared" si="122"/>
        <v>0</v>
      </c>
      <c r="K530" s="44" cm="1">
        <f t="array" ref="K530">IF(D530="Gadget",_xlfn.IFS(I530&gt;=0.2,0.5,I530&gt;=0.1,0.35,I530&gt;=0.05,0.2,TRUE,0),IF(D530="Grenade",_xlfn.IFS(I530&gt;=0.2,1,I530&gt;=0.1,0.7,I530&gt;=0.05,0.4,TRUE,0),0))</f>
        <v>0</v>
      </c>
      <c r="L530" s="57">
        <f t="shared" ref="L530:L539" si="125">IF($K530=0,0,$K530 / SUMIFS($K:$K,$A:$A,$A530,$D:$D,"Gadget"))</f>
        <v>0</v>
      </c>
    </row>
    <row r="531" spans="1:12" x14ac:dyDescent="0.25">
      <c r="A531" s="42" t="str" cm="1">
        <f t="array" ref="A531">IFERROR(INDEX(_xlfn._xlws.FILTER(Class_Players!A:A,Class_Players!B:B="Engineer"),QUOTIENT(ROW()-ROW($A$2),12)+1),"")</f>
        <v>jerjorey</v>
      </c>
      <c r="B531" s="42" t="str">
        <f>_xlfn.XLOOKUP(A531,Class_Players!$A:$A,Class_Players!$B:$B,"")</f>
        <v>Engineer</v>
      </c>
      <c r="C531" s="42" t="str" cm="1">
        <f t="array" ref="C531">INDEX(Lookups!$B$2:$B$13,MOD(ROW()-ROW($B$2),ROWS(Lookups!$B$2:$B$13))+1)</f>
        <v>SLM-93A (Air-Defense Launcher)</v>
      </c>
      <c r="D531" s="38" t="str">
        <f>_xlfn.XLOOKUP(C531,Analysis_Gadgets!$C:$C,Analysis_Gadgets!$B:$B)</f>
        <v>Gadget</v>
      </c>
      <c r="E531" s="43">
        <v>0</v>
      </c>
      <c r="F531" s="43">
        <f>_xlfn.XLOOKUP(A531,Class_Players!A:A,Class_Players!G:G)</f>
        <v>188</v>
      </c>
      <c r="G531" s="43">
        <f t="shared" si="120"/>
        <v>0</v>
      </c>
      <c r="H531" s="43">
        <f>_xlfn.XLOOKUP(A531,Class_Players!$A:$A,Class_Players!$F:$F,"")</f>
        <v>9182</v>
      </c>
      <c r="I531" s="44">
        <f t="shared" si="121"/>
        <v>0</v>
      </c>
      <c r="J531" s="43">
        <f t="shared" si="122"/>
        <v>0</v>
      </c>
      <c r="K531" s="44" cm="1">
        <f t="array" ref="K531">IF(D531="Gadget",_xlfn.IFS(I531&gt;=0.2,0.5,I531&gt;=0.1,0.35,I531&gt;=0.05,0.2,TRUE,0),IF(D531="Grenade",_xlfn.IFS(I531&gt;=0.2,1,I531&gt;=0.1,0.7,I531&gt;=0.05,0.4,TRUE,0),0))</f>
        <v>0</v>
      </c>
      <c r="L531" s="57">
        <f t="shared" si="125"/>
        <v>0</v>
      </c>
    </row>
    <row r="532" spans="1:12" x14ac:dyDescent="0.25">
      <c r="A532" s="42" t="str" cm="1">
        <f t="array" ref="A532">IFERROR(INDEX(_xlfn._xlws.FILTER(Class_Players!A:A,Class_Players!B:B="Engineer"),QUOTIENT(ROW()-ROW($A$2),12)+1),"")</f>
        <v>jerjorey</v>
      </c>
      <c r="B532" s="42" t="str">
        <f>_xlfn.XLOOKUP(A532,Class_Players!$A:$A,Class_Players!$B:$B,"")</f>
        <v>Engineer</v>
      </c>
      <c r="C532" s="42" t="str" cm="1">
        <f t="array" ref="C532">INDEX(Lookups!$B$2:$B$13,MOD(ROW()-ROW($B$2),ROWS(Lookups!$B$2:$B$13))+1)</f>
        <v>RPG-7V2 (Unguided Rocket Launcher)</v>
      </c>
      <c r="D532" s="38" t="str">
        <f>_xlfn.XLOOKUP(C532,Analysis_Gadgets!$C:$C,Analysis_Gadgets!$B:$B)</f>
        <v>Gadget</v>
      </c>
      <c r="E532" s="43">
        <v>107</v>
      </c>
      <c r="F532" s="43">
        <f>_xlfn.XLOOKUP(A532,Class_Players!A:A,Class_Players!G:G)</f>
        <v>188</v>
      </c>
      <c r="G532" s="43">
        <f t="shared" si="120"/>
        <v>0.56914893617021278</v>
      </c>
      <c r="H532" s="43">
        <f>_xlfn.XLOOKUP(A532,Class_Players!$A:$A,Class_Players!$F:$F,"")</f>
        <v>9182</v>
      </c>
      <c r="I532" s="44">
        <f t="shared" si="121"/>
        <v>1.1653234589414072E-2</v>
      </c>
      <c r="J532" s="43">
        <f t="shared" si="122"/>
        <v>0</v>
      </c>
      <c r="K532" s="44" cm="1">
        <f t="array" ref="K532">IF(D532="Gadget",_xlfn.IFS(I532&gt;=0.2,0.5,I532&gt;=0.1,0.35,I532&gt;=0.05,0.2,TRUE,0),IF(D532="Grenade",_xlfn.IFS(I532&gt;=0.2,1,I532&gt;=0.1,0.7,I532&gt;=0.05,0.4,TRUE,0),0))</f>
        <v>0</v>
      </c>
      <c r="L532" s="57">
        <f t="shared" si="125"/>
        <v>0</v>
      </c>
    </row>
    <row r="533" spans="1:12" x14ac:dyDescent="0.25">
      <c r="A533" s="42" t="str" cm="1">
        <f t="array" ref="A533">IFERROR(INDEX(_xlfn._xlws.FILTER(Class_Players!A:A,Class_Players!B:B="Engineer"),QUOTIENT(ROW()-ROW($A$2),12)+1),"")</f>
        <v>jerjorey</v>
      </c>
      <c r="B533" s="42" t="str">
        <f>_xlfn.XLOOKUP(A533,Class_Players!$A:$A,Class_Players!$B:$B,"")</f>
        <v>Engineer</v>
      </c>
      <c r="C533" s="42" t="str" cm="1">
        <f t="array" ref="C533">INDEX(Lookups!$B$2:$B$13,MOD(ROW()-ROW($B$2),ROWS(Lookups!$B$2:$B$13))+1)</f>
        <v>MAS 148 (Long-Range Launcher)</v>
      </c>
      <c r="D533" s="38" t="str">
        <f>_xlfn.XLOOKUP(C533,Analysis_Gadgets!$C:$C,Analysis_Gadgets!$B:$B)</f>
        <v>Gadget</v>
      </c>
      <c r="E533" s="43">
        <v>71</v>
      </c>
      <c r="F533" s="43">
        <f>_xlfn.XLOOKUP(A533,Class_Players!A:A,Class_Players!G:G)</f>
        <v>188</v>
      </c>
      <c r="G533" s="43">
        <f t="shared" si="120"/>
        <v>0.37765957446808512</v>
      </c>
      <c r="H533" s="43">
        <f>_xlfn.XLOOKUP(A533,Class_Players!$A:$A,Class_Players!$F:$F,"")</f>
        <v>9182</v>
      </c>
      <c r="I533" s="44">
        <f t="shared" si="121"/>
        <v>7.7325201481158786E-3</v>
      </c>
      <c r="J533" s="43">
        <f t="shared" si="122"/>
        <v>0</v>
      </c>
      <c r="K533" s="44" cm="1">
        <f t="array" ref="K533">IF(D533="Gadget",_xlfn.IFS(I533&gt;=0.2,0.5,I533&gt;=0.1,0.35,I533&gt;=0.05,0.2,TRUE,0),IF(D533="Grenade",_xlfn.IFS(I533&gt;=0.2,1,I533&gt;=0.1,0.7,I533&gt;=0.05,0.4,TRUE,0),0))</f>
        <v>0</v>
      </c>
      <c r="L533" s="57">
        <f t="shared" si="125"/>
        <v>0</v>
      </c>
    </row>
    <row r="534" spans="1:12" x14ac:dyDescent="0.25">
      <c r="A534" s="42" t="str" cm="1">
        <f t="array" ref="A534">IFERROR(INDEX(_xlfn._xlws.FILTER(Class_Players!A:A,Class_Players!B:B="Engineer"),QUOTIENT(ROW()-ROW($A$2),12)+1),"")</f>
        <v>jerjorey</v>
      </c>
      <c r="B534" s="42" t="str">
        <f>_xlfn.XLOOKUP(A534,Class_Players!$A:$A,Class_Players!$B:$B,"")</f>
        <v>Engineer</v>
      </c>
      <c r="C534" s="42" t="str" cm="1">
        <f t="array" ref="C534">INDEX(Lookups!$B$2:$B$13,MOD(ROW()-ROW($B$2),ROWS(Lookups!$B$2:$B$13))+1)</f>
        <v>M136 AT (Aim-Guided Launcher)</v>
      </c>
      <c r="D534" s="38" t="str">
        <f>_xlfn.XLOOKUP(C534,Analysis_Gadgets!$C:$C,Analysis_Gadgets!$B:$B)</f>
        <v>Gadget</v>
      </c>
      <c r="E534" s="43">
        <v>0</v>
      </c>
      <c r="F534" s="43">
        <f>_xlfn.XLOOKUP(A534,Class_Players!A:A,Class_Players!G:G)</f>
        <v>188</v>
      </c>
      <c r="G534" s="43">
        <f t="shared" si="120"/>
        <v>0</v>
      </c>
      <c r="H534" s="43">
        <f>_xlfn.XLOOKUP(A534,Class_Players!$A:$A,Class_Players!$F:$F,"")</f>
        <v>9182</v>
      </c>
      <c r="I534" s="44">
        <f t="shared" si="121"/>
        <v>0</v>
      </c>
      <c r="J534" s="43">
        <f t="shared" si="122"/>
        <v>0</v>
      </c>
      <c r="K534" s="44" cm="1">
        <f t="array" ref="K534">IF(D534="Gadget",_xlfn.IFS(I534&gt;=0.2,0.5,I534&gt;=0.1,0.35,I534&gt;=0.05,0.2,TRUE,0),IF(D534="Grenade",_xlfn.IFS(I534&gt;=0.2,1,I534&gt;=0.1,0.7,I534&gt;=0.05,0.4,TRUE,0),0))</f>
        <v>0</v>
      </c>
      <c r="L534" s="57">
        <f t="shared" si="125"/>
        <v>0</v>
      </c>
    </row>
    <row r="535" spans="1:12" x14ac:dyDescent="0.25">
      <c r="A535" s="42" t="str" cm="1">
        <f t="array" ref="A535">IFERROR(INDEX(_xlfn._xlws.FILTER(Class_Players!A:A,Class_Players!B:B="Engineer"),QUOTIENT(ROW()-ROW($A$2),12)+1),"")</f>
        <v>jerjorey</v>
      </c>
      <c r="B535" s="42" t="str">
        <f>_xlfn.XLOOKUP(A535,Class_Players!$A:$A,Class_Players!$B:$B,"")</f>
        <v>Engineer</v>
      </c>
      <c r="C535" s="42" t="str" cm="1">
        <f t="array" ref="C535">INDEX(Lookups!$B$2:$B$13,MOD(ROW()-ROW($B$2),ROWS(Lookups!$B$2:$B$13))+1)</f>
        <v>Supply Crate</v>
      </c>
      <c r="D535" s="38" t="str">
        <f>_xlfn.XLOOKUP(C535,Analysis_Gadgets!$C:$C,Analysis_Gadgets!$B:$B)</f>
        <v>Gadget</v>
      </c>
      <c r="E535" s="43">
        <v>8</v>
      </c>
      <c r="F535" s="43">
        <f>_xlfn.XLOOKUP(A535,Class_Players!A:A,Class_Players!G:G)</f>
        <v>188</v>
      </c>
      <c r="G535" s="43">
        <f t="shared" si="120"/>
        <v>4.2553191489361701E-2</v>
      </c>
      <c r="H535" s="43">
        <f>_xlfn.XLOOKUP(A535,Class_Players!$A:$A,Class_Players!$F:$F,"")</f>
        <v>9182</v>
      </c>
      <c r="I535" s="44">
        <f t="shared" si="121"/>
        <v>8.7126987584404273E-4</v>
      </c>
      <c r="J535" s="43">
        <f t="shared" si="122"/>
        <v>0</v>
      </c>
      <c r="K535" s="44" cm="1">
        <f t="array" ref="K535">IF(D535="Gadget",_xlfn.IFS(I535&gt;=0.2,0.5,I535&gt;=0.1,0.35,I535&gt;=0.05,0.2,TRUE,0),IF(D535="Grenade",_xlfn.IFS(I535&gt;=0.2,1,I535&gt;=0.1,0.7,I535&gt;=0.05,0.4,TRUE,0),0))</f>
        <v>0</v>
      </c>
      <c r="L535" s="57">
        <f t="shared" si="125"/>
        <v>0</v>
      </c>
    </row>
    <row r="536" spans="1:12" x14ac:dyDescent="0.25">
      <c r="A536" s="42" t="str" cm="1">
        <f t="array" ref="A536">IFERROR(INDEX(_xlfn._xlws.FILTER(Class_Players!A:A,Class_Players!B:B="Engineer"),QUOTIENT(ROW()-ROW($A$2),12)+1),"")</f>
        <v>jerjorey</v>
      </c>
      <c r="B536" s="42" t="str">
        <f>_xlfn.XLOOKUP(A536,Class_Players!$A:$A,Class_Players!$B:$B,"")</f>
        <v>Engineer</v>
      </c>
      <c r="C536" s="42" t="str" cm="1">
        <f t="array" ref="C536">INDEX(Lookups!$B$2:$B$13,MOD(ROW()-ROW($B$2),ROWS(Lookups!$B$2:$B$13))+1)</f>
        <v>M15 (Anti-Vehicle Mine)</v>
      </c>
      <c r="D536" s="38" t="str">
        <f>_xlfn.XLOOKUP(C536,Analysis_Gadgets!$C:$C,Analysis_Gadgets!$B:$B)</f>
        <v>Gadget</v>
      </c>
      <c r="E536" s="43">
        <v>4859</v>
      </c>
      <c r="F536" s="43">
        <f>_xlfn.XLOOKUP(A536,Class_Players!A:A,Class_Players!G:G)</f>
        <v>188</v>
      </c>
      <c r="G536" s="43">
        <f t="shared" si="120"/>
        <v>25.845744680851062</v>
      </c>
      <c r="H536" s="43">
        <f>_xlfn.XLOOKUP(A536,Class_Players!$A:$A,Class_Players!$F:$F,"")</f>
        <v>9182</v>
      </c>
      <c r="I536" s="44">
        <f t="shared" si="121"/>
        <v>0.52918754084077546</v>
      </c>
      <c r="J536" s="43">
        <f t="shared" si="122"/>
        <v>1</v>
      </c>
      <c r="K536" s="44" cm="1">
        <f t="array" ref="K536">IF(D536="Gadget",_xlfn.IFS(I536&gt;=0.2,0.5,I536&gt;=0.1,0.35,I536&gt;=0.05,0.2,TRUE,0),IF(D536="Grenade",_xlfn.IFS(I536&gt;=0.2,1,I536&gt;=0.1,0.7,I536&gt;=0.05,0.4,TRUE,0),0))</f>
        <v>0.5</v>
      </c>
      <c r="L536" s="57">
        <f t="shared" si="125"/>
        <v>1</v>
      </c>
    </row>
    <row r="537" spans="1:12" x14ac:dyDescent="0.25">
      <c r="A537" s="42" t="str" cm="1">
        <f t="array" ref="A537">IFERROR(INDEX(_xlfn._xlws.FILTER(Class_Players!A:A,Class_Players!B:B="Engineer"),QUOTIENT(ROW()-ROW($A$2),12)+1),"")</f>
        <v>jerjorey</v>
      </c>
      <c r="B537" s="42" t="str">
        <f>_xlfn.XLOOKUP(A537,Class_Players!$A:$A,Class_Players!$B:$B,"")</f>
        <v>Engineer</v>
      </c>
      <c r="C537" s="42" t="str" cm="1">
        <f t="array" ref="C537">INDEX(Lookups!$B$2:$B$13,MOD(ROW()-ROW($B$2),ROWS(Lookups!$B$2:$B$13))+1)</f>
        <v>PTKM-1R (Acoustic Sensor AV Mine)</v>
      </c>
      <c r="D537" s="38" t="str">
        <f>_xlfn.XLOOKUP(C537,Analysis_Gadgets!$C:$C,Analysis_Gadgets!$B:$B)</f>
        <v>Gadget</v>
      </c>
      <c r="E537" s="43">
        <v>30</v>
      </c>
      <c r="F537" s="43">
        <f>_xlfn.XLOOKUP(A537,Class_Players!A:A,Class_Players!G:G)</f>
        <v>188</v>
      </c>
      <c r="G537" s="43">
        <f t="shared" si="120"/>
        <v>0.15957446808510639</v>
      </c>
      <c r="H537" s="43">
        <f>_xlfn.XLOOKUP(A537,Class_Players!$A:$A,Class_Players!$F:$F,"")</f>
        <v>9182</v>
      </c>
      <c r="I537" s="44">
        <f t="shared" si="121"/>
        <v>3.2672620344151599E-3</v>
      </c>
      <c r="J537" s="43">
        <f t="shared" si="122"/>
        <v>0</v>
      </c>
      <c r="K537" s="44" cm="1">
        <f t="array" ref="K537">IF(D537="Gadget",_xlfn.IFS(I537&gt;=0.2,0.5,I537&gt;=0.1,0.35,I537&gt;=0.05,0.2,TRUE,0),IF(D537="Grenade",_xlfn.IFS(I537&gt;=0.2,1,I537&gt;=0.1,0.7,I537&gt;=0.05,0.4,TRUE,0),0))</f>
        <v>0</v>
      </c>
      <c r="L537" s="57">
        <f t="shared" si="125"/>
        <v>0</v>
      </c>
    </row>
    <row r="538" spans="1:12" x14ac:dyDescent="0.25">
      <c r="A538" s="42" t="str" cm="1">
        <f t="array" ref="A538">IFERROR(INDEX(_xlfn._xlws.FILTER(Class_Players!A:A,Class_Players!B:B="Engineer"),QUOTIENT(ROW()-ROW($A$2),12)+1),"")</f>
        <v>jerjorey</v>
      </c>
      <c r="B538" s="42" t="str">
        <f>_xlfn.XLOOKUP(A538,Class_Players!$A:$A,Class_Players!$B:$B,"")</f>
        <v>Engineer</v>
      </c>
      <c r="C538" s="42" t="str" cm="1">
        <f t="array" ref="C538">INDEX(Lookups!$B$2:$B$13,MOD(ROW()-ROW($B$2),ROWS(Lookups!$B$2:$B$13))+1)</f>
        <v>EOD Bot</v>
      </c>
      <c r="D538" s="38" t="str">
        <f>_xlfn.XLOOKUP(C538,Analysis_Gadgets!$C:$C,Analysis_Gadgets!$B:$B)</f>
        <v>Gadget</v>
      </c>
      <c r="E538" s="43">
        <v>0</v>
      </c>
      <c r="F538" s="43">
        <f>_xlfn.XLOOKUP(A538,Class_Players!A:A,Class_Players!G:G)</f>
        <v>188</v>
      </c>
      <c r="G538" s="43">
        <f t="shared" si="120"/>
        <v>0</v>
      </c>
      <c r="H538" s="43">
        <f>_xlfn.XLOOKUP(A538,Class_Players!$A:$A,Class_Players!$F:$F,"")</f>
        <v>9182</v>
      </c>
      <c r="I538" s="44">
        <f t="shared" si="121"/>
        <v>0</v>
      </c>
      <c r="J538" s="43">
        <f t="shared" si="122"/>
        <v>0</v>
      </c>
      <c r="K538" s="44" cm="1">
        <f t="array" ref="K538">IF(D538="Gadget",_xlfn.IFS(I538&gt;=0.2,0.5,I538&gt;=0.1,0.35,I538&gt;=0.05,0.2,TRUE,0),IF(D538="Grenade",_xlfn.IFS(I538&gt;=0.2,1,I538&gt;=0.1,0.7,I538&gt;=0.05,0.4,TRUE,0),0))</f>
        <v>0</v>
      </c>
      <c r="L538" s="57">
        <f t="shared" si="125"/>
        <v>0</v>
      </c>
    </row>
    <row r="539" spans="1:12" x14ac:dyDescent="0.25">
      <c r="A539" s="42" t="str" cm="1">
        <f t="array" ref="A539">IFERROR(INDEX(_xlfn._xlws.FILTER(Class_Players!A:A,Class_Players!B:B="Engineer"),QUOTIENT(ROW()-ROW($A$2),12)+1),"")</f>
        <v>jerjorey</v>
      </c>
      <c r="B539" s="42" t="str">
        <f>_xlfn.XLOOKUP(A539,Class_Players!$A:$A,Class_Players!$B:$B,"")</f>
        <v>Engineer</v>
      </c>
      <c r="C539" s="42" t="str" cm="1">
        <f t="array" ref="C539">INDEX(Lookups!$B$2:$B$13,MOD(ROW()-ROW($B$2),ROWS(Lookups!$B$2:$B$13))+1)</f>
        <v>M4A1 SLAM (Tripwire Sensor AV Mine)</v>
      </c>
      <c r="D539" s="38" t="str">
        <f>_xlfn.XLOOKUP(C539,Analysis_Gadgets!$C:$C,Analysis_Gadgets!$B:$B)</f>
        <v>Gadget</v>
      </c>
      <c r="E539" s="43">
        <v>3</v>
      </c>
      <c r="F539" s="43">
        <f>_xlfn.XLOOKUP(A539,Class_Players!A:A,Class_Players!G:G)</f>
        <v>188</v>
      </c>
      <c r="G539" s="43">
        <f t="shared" si="120"/>
        <v>1.5957446808510637E-2</v>
      </c>
      <c r="H539" s="43">
        <f>_xlfn.XLOOKUP(A539,Class_Players!$A:$A,Class_Players!$F:$F,"")</f>
        <v>9182</v>
      </c>
      <c r="I539" s="44">
        <f t="shared" si="121"/>
        <v>3.2672620344151602E-4</v>
      </c>
      <c r="J539" s="43">
        <f t="shared" si="122"/>
        <v>0</v>
      </c>
      <c r="K539" s="44" cm="1">
        <f t="array" ref="K539">IF(D539="Gadget",_xlfn.IFS(I539&gt;=0.2,0.5,I539&gt;=0.1,0.35,I539&gt;=0.05,0.2,TRUE,0),IF(D539="Grenade",_xlfn.IFS(I539&gt;=0.2,1,I539&gt;=0.1,0.7,I539&gt;=0.05,0.4,TRUE,0),0))</f>
        <v>0</v>
      </c>
      <c r="L539" s="57">
        <f t="shared" si="125"/>
        <v>0</v>
      </c>
    </row>
    <row r="540" spans="1:12" x14ac:dyDescent="0.25">
      <c r="A540" s="42" t="str" cm="1">
        <f t="array" ref="A540">IFERROR(INDEX(_xlfn._xlws.FILTER(Class_Players!A:A,Class_Players!B:B="Engineer"),QUOTIENT(ROW()-ROW($A$2),12)+1),"")</f>
        <v>jerjorey</v>
      </c>
      <c r="B540" s="42" t="str">
        <f>_xlfn.XLOOKUP(A540,Class_Players!$A:$A,Class_Players!$B:$B,"")</f>
        <v>Engineer</v>
      </c>
      <c r="C540" s="42" t="str" cm="1">
        <f t="array" ref="C540">INDEX(Lookups!$B$2:$B$13,MOD(ROW()-ROW($B$2),ROWS(Lookups!$B$2:$B$13))+1)</f>
        <v>Mini Frag Grenade</v>
      </c>
      <c r="D540" s="38" t="str">
        <f>_xlfn.XLOOKUP(C540,Analysis_Gadgets!$C:$C,Analysis_Gadgets!$B:$B)</f>
        <v>Grenade</v>
      </c>
      <c r="E540" s="43">
        <v>311</v>
      </c>
      <c r="F540" s="43">
        <f>_xlfn.XLOOKUP(A540,Class_Players!A:A,Class_Players!G:G)</f>
        <v>188</v>
      </c>
      <c r="G540" s="43">
        <f t="shared" si="120"/>
        <v>1.6542553191489362</v>
      </c>
      <c r="H540" s="43">
        <f>_xlfn.XLOOKUP(A540,Class_Players!$A:$A,Class_Players!$F:$F,"")</f>
        <v>9182</v>
      </c>
      <c r="I540" s="44">
        <f t="shared" si="121"/>
        <v>3.387061642343716E-2</v>
      </c>
      <c r="J540" s="43">
        <f t="shared" si="122"/>
        <v>0</v>
      </c>
      <c r="K540" s="44" cm="1">
        <f t="array" ref="K540">IF(D540="Gadget",_xlfn.IFS(I540&gt;=0.2,0.5,I540&gt;=0.1,0.35,I540&gt;=0.05,0.2,TRUE,0),IF(D540="Grenade",_xlfn.IFS(I540&gt;=0.2,1,I540&gt;=0.1,0.7,I540&gt;=0.05,0.4,TRUE,0),0))</f>
        <v>0</v>
      </c>
      <c r="L540" s="57">
        <f t="shared" ref="L540:L541" si="126">IF($K540=0,0,$K540 / SUMIFS($K:$K,$A:$A,$A540,$D:$D,"Grenade"))</f>
        <v>0</v>
      </c>
    </row>
    <row r="541" spans="1:12" x14ac:dyDescent="0.25">
      <c r="A541" s="42" t="str" cm="1">
        <f t="array" ref="A541">IFERROR(INDEX(_xlfn._xlws.FILTER(Class_Players!A:A,Class_Players!B:B="Engineer"),QUOTIENT(ROW()-ROW($A$2),12)+1),"")</f>
        <v>jerjorey</v>
      </c>
      <c r="B541" s="42" t="str">
        <f>_xlfn.XLOOKUP(A541,Class_Players!$A:$A,Class_Players!$B:$B,"")</f>
        <v>Engineer</v>
      </c>
      <c r="C541" s="42" t="str" cm="1">
        <f t="array" ref="C541">INDEX(Lookups!$B$2:$B$13,MOD(ROW()-ROW($B$2),ROWS(Lookups!$B$2:$B$13))+1)</f>
        <v>Anti-Vehicle Grenade</v>
      </c>
      <c r="D541" s="38" t="str">
        <f>_xlfn.XLOOKUP(C541,Analysis_Gadgets!$C:$C,Analysis_Gadgets!$B:$B)</f>
        <v>Grenade</v>
      </c>
      <c r="E541" s="43">
        <v>0</v>
      </c>
      <c r="F541" s="43">
        <f>_xlfn.XLOOKUP(A541,Class_Players!A:A,Class_Players!G:G)</f>
        <v>188</v>
      </c>
      <c r="G541" s="43">
        <f t="shared" si="120"/>
        <v>0</v>
      </c>
      <c r="H541" s="43">
        <f>_xlfn.XLOOKUP(A541,Class_Players!$A:$A,Class_Players!$F:$F,"")</f>
        <v>9182</v>
      </c>
      <c r="I541" s="44">
        <f t="shared" si="121"/>
        <v>0</v>
      </c>
      <c r="J541" s="43">
        <f t="shared" si="122"/>
        <v>0</v>
      </c>
      <c r="K541" s="44" cm="1">
        <f t="array" ref="K541">IF(D541="Gadget",_xlfn.IFS(I541&gt;=0.2,0.5,I541&gt;=0.1,0.35,I541&gt;=0.05,0.2,TRUE,0),IF(D541="Grenade",_xlfn.IFS(I541&gt;=0.2,1,I541&gt;=0.1,0.7,I541&gt;=0.05,0.4,TRUE,0),0))</f>
        <v>0</v>
      </c>
      <c r="L541" s="57">
        <f t="shared" si="126"/>
        <v>0</v>
      </c>
    </row>
    <row r="542" spans="1:12" x14ac:dyDescent="0.25">
      <c r="A542" s="42" t="str" cm="1">
        <f t="array" ref="A542">IFERROR(INDEX(_xlfn._xlws.FILTER(Class_Players!A:A,Class_Players!B:B="Engineer"),QUOTIENT(ROW()-ROW($A$2),12)+1),"")</f>
        <v>Пирожок</v>
      </c>
      <c r="B542" s="42" t="str">
        <f>_xlfn.XLOOKUP(A542,Class_Players!$A:$A,Class_Players!$B:$B,"")</f>
        <v>Engineer</v>
      </c>
      <c r="C542" s="42" t="str" cm="1">
        <f t="array" ref="C542">INDEX(Lookups!$B$2:$B$13,MOD(ROW()-ROW($B$2),ROWS(Lookups!$B$2:$B$13))+1)</f>
        <v>MBT-LAW (Auto-Guided Launcher)</v>
      </c>
      <c r="D542" s="38" t="str">
        <f>_xlfn.XLOOKUP(C542,Analysis_Gadgets!$C:$C,Analysis_Gadgets!$B:$B)</f>
        <v>Gadget</v>
      </c>
      <c r="E542" s="43">
        <v>0</v>
      </c>
      <c r="F542" s="43">
        <f>_xlfn.XLOOKUP(A542,Class_Players!A:A,Class_Players!G:G)</f>
        <v>226</v>
      </c>
      <c r="G542" s="43">
        <f t="shared" si="120"/>
        <v>0</v>
      </c>
      <c r="H542" s="43">
        <f>_xlfn.XLOOKUP(A542,Class_Players!$A:$A,Class_Players!$F:$F,"")</f>
        <v>9714</v>
      </c>
      <c r="I542" s="44">
        <f t="shared" si="121"/>
        <v>0</v>
      </c>
      <c r="J542" s="43">
        <f t="shared" si="122"/>
        <v>0</v>
      </c>
      <c r="K542" s="44" cm="1">
        <f t="array" ref="K542">IF(D542="Gadget",_xlfn.IFS(I542&gt;=0.2,0.5,I542&gt;=0.1,0.35,I542&gt;=0.05,0.2,TRUE,0),IF(D542="Grenade",_xlfn.IFS(I542&gt;=0.2,1,I542&gt;=0.1,0.7,I542&gt;=0.05,0.4,TRUE,0),0))</f>
        <v>0</v>
      </c>
      <c r="L542" s="57">
        <f t="shared" ref="L542:L551" si="127">IF($K542=0,0,$K542 / SUMIFS($K:$K,$A:$A,$A542,$D:$D,"Gadget"))</f>
        <v>0</v>
      </c>
    </row>
    <row r="543" spans="1:12" x14ac:dyDescent="0.25">
      <c r="A543" s="42" t="str" cm="1">
        <f t="array" ref="A543">IFERROR(INDEX(_xlfn._xlws.FILTER(Class_Players!A:A,Class_Players!B:B="Engineer"),QUOTIENT(ROW()-ROW($A$2),12)+1),"")</f>
        <v>Пирожок</v>
      </c>
      <c r="B543" s="42" t="str">
        <f>_xlfn.XLOOKUP(A543,Class_Players!$A:$A,Class_Players!$B:$B,"")</f>
        <v>Engineer</v>
      </c>
      <c r="C543" s="42" t="str" cm="1">
        <f t="array" ref="C543">INDEX(Lookups!$B$2:$B$13,MOD(ROW()-ROW($B$2),ROWS(Lookups!$B$2:$B$13))+1)</f>
        <v>SLM-93A (Air-Defense Launcher)</v>
      </c>
      <c r="D543" s="38" t="str">
        <f>_xlfn.XLOOKUP(C543,Analysis_Gadgets!$C:$C,Analysis_Gadgets!$B:$B)</f>
        <v>Gadget</v>
      </c>
      <c r="E543" s="43">
        <v>212</v>
      </c>
      <c r="F543" s="43">
        <f>_xlfn.XLOOKUP(A543,Class_Players!A:A,Class_Players!G:G)</f>
        <v>226</v>
      </c>
      <c r="G543" s="43">
        <f t="shared" si="120"/>
        <v>0.93805309734513276</v>
      </c>
      <c r="H543" s="43">
        <f>_xlfn.XLOOKUP(A543,Class_Players!$A:$A,Class_Players!$F:$F,"")</f>
        <v>9714</v>
      </c>
      <c r="I543" s="44">
        <f t="shared" si="121"/>
        <v>2.1824171299155856E-2</v>
      </c>
      <c r="J543" s="43">
        <f t="shared" si="122"/>
        <v>0</v>
      </c>
      <c r="K543" s="44" cm="1">
        <f t="array" ref="K543">IF(D543="Gadget",_xlfn.IFS(I543&gt;=0.2,0.5,I543&gt;=0.1,0.35,I543&gt;=0.05,0.2,TRUE,0),IF(D543="Grenade",_xlfn.IFS(I543&gt;=0.2,1,I543&gt;=0.1,0.7,I543&gt;=0.05,0.4,TRUE,0),0))</f>
        <v>0</v>
      </c>
      <c r="L543" s="57">
        <f t="shared" si="127"/>
        <v>0</v>
      </c>
    </row>
    <row r="544" spans="1:12" x14ac:dyDescent="0.25">
      <c r="A544" s="42" t="str" cm="1">
        <f t="array" ref="A544">IFERROR(INDEX(_xlfn._xlws.FILTER(Class_Players!A:A,Class_Players!B:B="Engineer"),QUOTIENT(ROW()-ROW($A$2),12)+1),"")</f>
        <v>Пирожок</v>
      </c>
      <c r="B544" s="42" t="str">
        <f>_xlfn.XLOOKUP(A544,Class_Players!$A:$A,Class_Players!$B:$B,"")</f>
        <v>Engineer</v>
      </c>
      <c r="C544" s="42" t="str" cm="1">
        <f t="array" ref="C544">INDEX(Lookups!$B$2:$B$13,MOD(ROW()-ROW($B$2),ROWS(Lookups!$B$2:$B$13))+1)</f>
        <v>RPG-7V2 (Unguided Rocket Launcher)</v>
      </c>
      <c r="D544" s="38" t="str">
        <f>_xlfn.XLOOKUP(C544,Analysis_Gadgets!$C:$C,Analysis_Gadgets!$B:$B)</f>
        <v>Gadget</v>
      </c>
      <c r="E544" s="43">
        <v>4558</v>
      </c>
      <c r="F544" s="43">
        <f>_xlfn.XLOOKUP(A544,Class_Players!A:A,Class_Players!G:G)</f>
        <v>226</v>
      </c>
      <c r="G544" s="43">
        <f t="shared" si="120"/>
        <v>20.168141592920353</v>
      </c>
      <c r="H544" s="43">
        <f>_xlfn.XLOOKUP(A544,Class_Players!$A:$A,Class_Players!$F:$F,"")</f>
        <v>9714</v>
      </c>
      <c r="I544" s="44">
        <f t="shared" si="121"/>
        <v>0.46921968293185096</v>
      </c>
      <c r="J544" s="43">
        <f t="shared" si="122"/>
        <v>1</v>
      </c>
      <c r="K544" s="44" cm="1">
        <f t="array" ref="K544">IF(D544="Gadget",_xlfn.IFS(I544&gt;=0.2,0.5,I544&gt;=0.1,0.35,I544&gt;=0.05,0.2,TRUE,0),IF(D544="Grenade",_xlfn.IFS(I544&gt;=0.2,1,I544&gt;=0.1,0.7,I544&gt;=0.05,0.4,TRUE,0),0))</f>
        <v>0.5</v>
      </c>
      <c r="L544" s="57">
        <f t="shared" si="127"/>
        <v>0.5</v>
      </c>
    </row>
    <row r="545" spans="1:12" x14ac:dyDescent="0.25">
      <c r="A545" s="42" t="str" cm="1">
        <f t="array" ref="A545">IFERROR(INDEX(_xlfn._xlws.FILTER(Class_Players!A:A,Class_Players!B:B="Engineer"),QUOTIENT(ROW()-ROW($A$2),12)+1),"")</f>
        <v>Пирожок</v>
      </c>
      <c r="B545" s="42" t="str">
        <f>_xlfn.XLOOKUP(A545,Class_Players!$A:$A,Class_Players!$B:$B,"")</f>
        <v>Engineer</v>
      </c>
      <c r="C545" s="42" t="str" cm="1">
        <f t="array" ref="C545">INDEX(Lookups!$B$2:$B$13,MOD(ROW()-ROW($B$2),ROWS(Lookups!$B$2:$B$13))+1)</f>
        <v>MAS 148 (Long-Range Launcher)</v>
      </c>
      <c r="D545" s="38" t="str">
        <f>_xlfn.XLOOKUP(C545,Analysis_Gadgets!$C:$C,Analysis_Gadgets!$B:$B)</f>
        <v>Gadget</v>
      </c>
      <c r="E545" s="43">
        <v>8</v>
      </c>
      <c r="F545" s="43">
        <f>_xlfn.XLOOKUP(A545,Class_Players!A:A,Class_Players!G:G)</f>
        <v>226</v>
      </c>
      <c r="G545" s="43">
        <f t="shared" si="120"/>
        <v>3.5398230088495575E-2</v>
      </c>
      <c r="H545" s="43">
        <f>_xlfn.XLOOKUP(A545,Class_Players!$A:$A,Class_Players!$F:$F,"")</f>
        <v>9714</v>
      </c>
      <c r="I545" s="44">
        <f t="shared" si="121"/>
        <v>8.2355363393040967E-4</v>
      </c>
      <c r="J545" s="43">
        <f t="shared" si="122"/>
        <v>0</v>
      </c>
      <c r="K545" s="44" cm="1">
        <f t="array" ref="K545">IF(D545="Gadget",_xlfn.IFS(I545&gt;=0.2,0.5,I545&gt;=0.1,0.35,I545&gt;=0.05,0.2,TRUE,0),IF(D545="Grenade",_xlfn.IFS(I545&gt;=0.2,1,I545&gt;=0.1,0.7,I545&gt;=0.05,0.4,TRUE,0),0))</f>
        <v>0</v>
      </c>
      <c r="L545" s="57">
        <f t="shared" si="127"/>
        <v>0</v>
      </c>
    </row>
    <row r="546" spans="1:12" x14ac:dyDescent="0.25">
      <c r="A546" s="42" t="str" cm="1">
        <f t="array" ref="A546">IFERROR(INDEX(_xlfn._xlws.FILTER(Class_Players!A:A,Class_Players!B:B="Engineer"),QUOTIENT(ROW()-ROW($A$2),12)+1),"")</f>
        <v>Пирожок</v>
      </c>
      <c r="B546" s="42" t="str">
        <f>_xlfn.XLOOKUP(A546,Class_Players!$A:$A,Class_Players!$B:$B,"")</f>
        <v>Engineer</v>
      </c>
      <c r="C546" s="42" t="str" cm="1">
        <f t="array" ref="C546">INDEX(Lookups!$B$2:$B$13,MOD(ROW()-ROW($B$2),ROWS(Lookups!$B$2:$B$13))+1)</f>
        <v>M136 AT (Aim-Guided Launcher)</v>
      </c>
      <c r="D546" s="38" t="str">
        <f>_xlfn.XLOOKUP(C546,Analysis_Gadgets!$C:$C,Analysis_Gadgets!$B:$B)</f>
        <v>Gadget</v>
      </c>
      <c r="E546" s="43">
        <v>10</v>
      </c>
      <c r="F546" s="43">
        <f>_xlfn.XLOOKUP(A546,Class_Players!A:A,Class_Players!G:G)</f>
        <v>226</v>
      </c>
      <c r="G546" s="43">
        <f t="shared" si="120"/>
        <v>4.4247787610619468E-2</v>
      </c>
      <c r="H546" s="43">
        <f>_xlfn.XLOOKUP(A546,Class_Players!$A:$A,Class_Players!$F:$F,"")</f>
        <v>9714</v>
      </c>
      <c r="I546" s="44">
        <f t="shared" si="121"/>
        <v>1.0294420424130121E-3</v>
      </c>
      <c r="J546" s="43">
        <f t="shared" si="122"/>
        <v>0</v>
      </c>
      <c r="K546" s="44" cm="1">
        <f t="array" ref="K546">IF(D546="Gadget",_xlfn.IFS(I546&gt;=0.2,0.5,I546&gt;=0.1,0.35,I546&gt;=0.05,0.2,TRUE,0),IF(D546="Grenade",_xlfn.IFS(I546&gt;=0.2,1,I546&gt;=0.1,0.7,I546&gt;=0.05,0.4,TRUE,0),0))</f>
        <v>0</v>
      </c>
      <c r="L546" s="57">
        <f t="shared" si="127"/>
        <v>0</v>
      </c>
    </row>
    <row r="547" spans="1:12" x14ac:dyDescent="0.25">
      <c r="A547" s="42" t="str" cm="1">
        <f t="array" ref="A547">IFERROR(INDEX(_xlfn._xlws.FILTER(Class_Players!A:A,Class_Players!B:B="Engineer"),QUOTIENT(ROW()-ROW($A$2),12)+1),"")</f>
        <v>Пирожок</v>
      </c>
      <c r="B547" s="42" t="str">
        <f>_xlfn.XLOOKUP(A547,Class_Players!$A:$A,Class_Players!$B:$B,"")</f>
        <v>Engineer</v>
      </c>
      <c r="C547" s="42" t="str" cm="1">
        <f t="array" ref="C547">INDEX(Lookups!$B$2:$B$13,MOD(ROW()-ROW($B$2),ROWS(Lookups!$B$2:$B$13))+1)</f>
        <v>Supply Crate</v>
      </c>
      <c r="D547" s="38" t="str">
        <f>_xlfn.XLOOKUP(C547,Analysis_Gadgets!$C:$C,Analysis_Gadgets!$B:$B)</f>
        <v>Gadget</v>
      </c>
      <c r="E547" s="43">
        <v>7</v>
      </c>
      <c r="F547" s="43">
        <f>_xlfn.XLOOKUP(A547,Class_Players!A:A,Class_Players!G:G)</f>
        <v>226</v>
      </c>
      <c r="G547" s="43">
        <f t="shared" si="120"/>
        <v>3.0973451327433628E-2</v>
      </c>
      <c r="H547" s="43">
        <f>_xlfn.XLOOKUP(A547,Class_Players!$A:$A,Class_Players!$F:$F,"")</f>
        <v>9714</v>
      </c>
      <c r="I547" s="44">
        <f t="shared" si="121"/>
        <v>7.206094296891085E-4</v>
      </c>
      <c r="J547" s="43">
        <f t="shared" si="122"/>
        <v>0</v>
      </c>
      <c r="K547" s="44" cm="1">
        <f t="array" ref="K547">IF(D547="Gadget",_xlfn.IFS(I547&gt;=0.2,0.5,I547&gt;=0.1,0.35,I547&gt;=0.05,0.2,TRUE,0),IF(D547="Grenade",_xlfn.IFS(I547&gt;=0.2,1,I547&gt;=0.1,0.7,I547&gt;=0.05,0.4,TRUE,0),0))</f>
        <v>0</v>
      </c>
      <c r="L547" s="57">
        <f t="shared" si="127"/>
        <v>0</v>
      </c>
    </row>
    <row r="548" spans="1:12" x14ac:dyDescent="0.25">
      <c r="A548" s="42" t="str" cm="1">
        <f t="array" ref="A548">IFERROR(INDEX(_xlfn._xlws.FILTER(Class_Players!A:A,Class_Players!B:B="Engineer"),QUOTIENT(ROW()-ROW($A$2),12)+1),"")</f>
        <v>Пирожок</v>
      </c>
      <c r="B548" s="42" t="str">
        <f>_xlfn.XLOOKUP(A548,Class_Players!$A:$A,Class_Players!$B:$B,"")</f>
        <v>Engineer</v>
      </c>
      <c r="C548" s="42" t="str" cm="1">
        <f t="array" ref="C548">INDEX(Lookups!$B$2:$B$13,MOD(ROW()-ROW($B$2),ROWS(Lookups!$B$2:$B$13))+1)</f>
        <v>M15 (Anti-Vehicle Mine)</v>
      </c>
      <c r="D548" s="38" t="str">
        <f>_xlfn.XLOOKUP(C548,Analysis_Gadgets!$C:$C,Analysis_Gadgets!$B:$B)</f>
        <v>Gadget</v>
      </c>
      <c r="E548" s="43">
        <v>2010</v>
      </c>
      <c r="F548" s="43">
        <f>_xlfn.XLOOKUP(A548,Class_Players!A:A,Class_Players!G:G)</f>
        <v>226</v>
      </c>
      <c r="G548" s="43">
        <f t="shared" si="120"/>
        <v>8.893805309734514</v>
      </c>
      <c r="H548" s="43">
        <f>_xlfn.XLOOKUP(A548,Class_Players!$A:$A,Class_Players!$F:$F,"")</f>
        <v>9714</v>
      </c>
      <c r="I548" s="44">
        <f t="shared" si="121"/>
        <v>0.20691785052501543</v>
      </c>
      <c r="J548" s="43">
        <f t="shared" si="122"/>
        <v>1</v>
      </c>
      <c r="K548" s="44" cm="1">
        <f t="array" ref="K548">IF(D548="Gadget",_xlfn.IFS(I548&gt;=0.2,0.5,I548&gt;=0.1,0.35,I548&gt;=0.05,0.2,TRUE,0),IF(D548="Grenade",_xlfn.IFS(I548&gt;=0.2,1,I548&gt;=0.1,0.7,I548&gt;=0.05,0.4,TRUE,0),0))</f>
        <v>0.5</v>
      </c>
      <c r="L548" s="57">
        <f t="shared" si="127"/>
        <v>0.5</v>
      </c>
    </row>
    <row r="549" spans="1:12" x14ac:dyDescent="0.25">
      <c r="A549" s="42" t="str" cm="1">
        <f t="array" ref="A549">IFERROR(INDEX(_xlfn._xlws.FILTER(Class_Players!A:A,Class_Players!B:B="Engineer"),QUOTIENT(ROW()-ROW($A$2),12)+1),"")</f>
        <v>Пирожок</v>
      </c>
      <c r="B549" s="42" t="str">
        <f>_xlfn.XLOOKUP(A549,Class_Players!$A:$A,Class_Players!$B:$B,"")</f>
        <v>Engineer</v>
      </c>
      <c r="C549" s="42" t="str" cm="1">
        <f t="array" ref="C549">INDEX(Lookups!$B$2:$B$13,MOD(ROW()-ROW($B$2),ROWS(Lookups!$B$2:$B$13))+1)</f>
        <v>PTKM-1R (Acoustic Sensor AV Mine)</v>
      </c>
      <c r="D549" s="38" t="str">
        <f>_xlfn.XLOOKUP(C549,Analysis_Gadgets!$C:$C,Analysis_Gadgets!$B:$B)</f>
        <v>Gadget</v>
      </c>
      <c r="E549" s="43">
        <v>242</v>
      </c>
      <c r="F549" s="43">
        <f>_xlfn.XLOOKUP(A549,Class_Players!A:A,Class_Players!G:G)</f>
        <v>226</v>
      </c>
      <c r="G549" s="43">
        <f t="shared" si="120"/>
        <v>1.0707964601769913</v>
      </c>
      <c r="H549" s="43">
        <f>_xlfn.XLOOKUP(A549,Class_Players!$A:$A,Class_Players!$F:$F,"")</f>
        <v>9714</v>
      </c>
      <c r="I549" s="44">
        <f t="shared" si="121"/>
        <v>2.4912497426394894E-2</v>
      </c>
      <c r="J549" s="43">
        <f t="shared" si="122"/>
        <v>0</v>
      </c>
      <c r="K549" s="44" cm="1">
        <f t="array" ref="K549">IF(D549="Gadget",_xlfn.IFS(I549&gt;=0.2,0.5,I549&gt;=0.1,0.35,I549&gt;=0.05,0.2,TRUE,0),IF(D549="Grenade",_xlfn.IFS(I549&gt;=0.2,1,I549&gt;=0.1,0.7,I549&gt;=0.05,0.4,TRUE,0),0))</f>
        <v>0</v>
      </c>
      <c r="L549" s="57">
        <f t="shared" si="127"/>
        <v>0</v>
      </c>
    </row>
    <row r="550" spans="1:12" x14ac:dyDescent="0.25">
      <c r="A550" s="42" t="str" cm="1">
        <f t="array" ref="A550">IFERROR(INDEX(_xlfn._xlws.FILTER(Class_Players!A:A,Class_Players!B:B="Engineer"),QUOTIENT(ROW()-ROW($A$2),12)+1),"")</f>
        <v>Пирожок</v>
      </c>
      <c r="B550" s="42" t="str">
        <f>_xlfn.XLOOKUP(A550,Class_Players!$A:$A,Class_Players!$B:$B,"")</f>
        <v>Engineer</v>
      </c>
      <c r="C550" s="42" t="str" cm="1">
        <f t="array" ref="C550">INDEX(Lookups!$B$2:$B$13,MOD(ROW()-ROW($B$2),ROWS(Lookups!$B$2:$B$13))+1)</f>
        <v>EOD Bot</v>
      </c>
      <c r="D550" s="38" t="str">
        <f>_xlfn.XLOOKUP(C550,Analysis_Gadgets!$C:$C,Analysis_Gadgets!$B:$B)</f>
        <v>Gadget</v>
      </c>
      <c r="E550" s="43">
        <v>0</v>
      </c>
      <c r="F550" s="43">
        <f>_xlfn.XLOOKUP(A550,Class_Players!A:A,Class_Players!G:G)</f>
        <v>226</v>
      </c>
      <c r="G550" s="43">
        <f t="shared" si="120"/>
        <v>0</v>
      </c>
      <c r="H550" s="43">
        <f>_xlfn.XLOOKUP(A550,Class_Players!$A:$A,Class_Players!$F:$F,"")</f>
        <v>9714</v>
      </c>
      <c r="I550" s="44">
        <f t="shared" si="121"/>
        <v>0</v>
      </c>
      <c r="J550" s="43">
        <f t="shared" si="122"/>
        <v>0</v>
      </c>
      <c r="K550" s="44" cm="1">
        <f t="array" ref="K550">IF(D550="Gadget",_xlfn.IFS(I550&gt;=0.2,0.5,I550&gt;=0.1,0.35,I550&gt;=0.05,0.2,TRUE,0),IF(D550="Grenade",_xlfn.IFS(I550&gt;=0.2,1,I550&gt;=0.1,0.7,I550&gt;=0.05,0.4,TRUE,0),0))</f>
        <v>0</v>
      </c>
      <c r="L550" s="57">
        <f t="shared" si="127"/>
        <v>0</v>
      </c>
    </row>
    <row r="551" spans="1:12" x14ac:dyDescent="0.25">
      <c r="A551" s="42" t="str" cm="1">
        <f t="array" ref="A551">IFERROR(INDEX(_xlfn._xlws.FILTER(Class_Players!A:A,Class_Players!B:B="Engineer"),QUOTIENT(ROW()-ROW($A$2),12)+1),"")</f>
        <v>Пирожок</v>
      </c>
      <c r="B551" s="42" t="str">
        <f>_xlfn.XLOOKUP(A551,Class_Players!$A:$A,Class_Players!$B:$B,"")</f>
        <v>Engineer</v>
      </c>
      <c r="C551" s="42" t="str" cm="1">
        <f t="array" ref="C551">INDEX(Lookups!$B$2:$B$13,MOD(ROW()-ROW($B$2),ROWS(Lookups!$B$2:$B$13))+1)</f>
        <v>M4A1 SLAM (Tripwire Sensor AV Mine)</v>
      </c>
      <c r="D551" s="38" t="str">
        <f>_xlfn.XLOOKUP(C551,Analysis_Gadgets!$C:$C,Analysis_Gadgets!$B:$B)</f>
        <v>Gadget</v>
      </c>
      <c r="E551" s="43">
        <v>0</v>
      </c>
      <c r="F551" s="43">
        <f>_xlfn.XLOOKUP(A551,Class_Players!A:A,Class_Players!G:G)</f>
        <v>226</v>
      </c>
      <c r="G551" s="43">
        <f t="shared" si="120"/>
        <v>0</v>
      </c>
      <c r="H551" s="43">
        <f>_xlfn.XLOOKUP(A551,Class_Players!$A:$A,Class_Players!$F:$F,"")</f>
        <v>9714</v>
      </c>
      <c r="I551" s="44">
        <f t="shared" si="121"/>
        <v>0</v>
      </c>
      <c r="J551" s="43">
        <f t="shared" si="122"/>
        <v>0</v>
      </c>
      <c r="K551" s="44" cm="1">
        <f t="array" ref="K551">IF(D551="Gadget",_xlfn.IFS(I551&gt;=0.2,0.5,I551&gt;=0.1,0.35,I551&gt;=0.05,0.2,TRUE,0),IF(D551="Grenade",_xlfn.IFS(I551&gt;=0.2,1,I551&gt;=0.1,0.7,I551&gt;=0.05,0.4,TRUE,0),0))</f>
        <v>0</v>
      </c>
      <c r="L551" s="57">
        <f t="shared" si="127"/>
        <v>0</v>
      </c>
    </row>
    <row r="552" spans="1:12" x14ac:dyDescent="0.25">
      <c r="A552" s="42" t="str" cm="1">
        <f t="array" ref="A552">IFERROR(INDEX(_xlfn._xlws.FILTER(Class_Players!A:A,Class_Players!B:B="Engineer"),QUOTIENT(ROW()-ROW($A$2),12)+1),"")</f>
        <v>Пирожок</v>
      </c>
      <c r="B552" s="42" t="str">
        <f>_xlfn.XLOOKUP(A552,Class_Players!$A:$A,Class_Players!$B:$B,"")</f>
        <v>Engineer</v>
      </c>
      <c r="C552" s="42" t="str" cm="1">
        <f t="array" ref="C552">INDEX(Lookups!$B$2:$B$13,MOD(ROW()-ROW($B$2),ROWS(Lookups!$B$2:$B$13))+1)</f>
        <v>Mini Frag Grenade</v>
      </c>
      <c r="D552" s="38" t="str">
        <f>_xlfn.XLOOKUP(C552,Analysis_Gadgets!$C:$C,Analysis_Gadgets!$B:$B)</f>
        <v>Grenade</v>
      </c>
      <c r="E552" s="43">
        <v>3731</v>
      </c>
      <c r="F552" s="43">
        <f>_xlfn.XLOOKUP(A552,Class_Players!A:A,Class_Players!G:G)</f>
        <v>226</v>
      </c>
      <c r="G552" s="43">
        <f t="shared" si="120"/>
        <v>16.508849557522122</v>
      </c>
      <c r="H552" s="43">
        <f>_xlfn.XLOOKUP(A552,Class_Players!$A:$A,Class_Players!$F:$F,"")</f>
        <v>9714</v>
      </c>
      <c r="I552" s="44">
        <f t="shared" si="121"/>
        <v>0.38408482602429483</v>
      </c>
      <c r="J552" s="43">
        <f t="shared" si="122"/>
        <v>1</v>
      </c>
      <c r="K552" s="44" cm="1">
        <f t="array" ref="K552">IF(D552="Gadget",_xlfn.IFS(I552&gt;=0.2,0.5,I552&gt;=0.1,0.35,I552&gt;=0.05,0.2,TRUE,0),IF(D552="Grenade",_xlfn.IFS(I552&gt;=0.2,1,I552&gt;=0.1,0.7,I552&gt;=0.05,0.4,TRUE,0),0))</f>
        <v>1</v>
      </c>
      <c r="L552" s="57">
        <f t="shared" ref="L552:L553" si="128">IF($K552=0,0,$K552 / SUMIFS($K:$K,$A:$A,$A552,$D:$D,"Grenade"))</f>
        <v>1</v>
      </c>
    </row>
    <row r="553" spans="1:12" x14ac:dyDescent="0.25">
      <c r="A553" s="42" t="str" cm="1">
        <f t="array" ref="A553">IFERROR(INDEX(_xlfn._xlws.FILTER(Class_Players!A:A,Class_Players!B:B="Engineer"),QUOTIENT(ROW()-ROW($A$2),12)+1),"")</f>
        <v>Пирожок</v>
      </c>
      <c r="B553" s="42" t="str">
        <f>_xlfn.XLOOKUP(A553,Class_Players!$A:$A,Class_Players!$B:$B,"")</f>
        <v>Engineer</v>
      </c>
      <c r="C553" s="42" t="str" cm="1">
        <f t="array" ref="C553">INDEX(Lookups!$B$2:$B$13,MOD(ROW()-ROW($B$2),ROWS(Lookups!$B$2:$B$13))+1)</f>
        <v>Anti-Vehicle Grenade</v>
      </c>
      <c r="D553" s="38" t="str">
        <f>_xlfn.XLOOKUP(C553,Analysis_Gadgets!$C:$C,Analysis_Gadgets!$B:$B)</f>
        <v>Grenade</v>
      </c>
      <c r="E553" s="43">
        <v>0</v>
      </c>
      <c r="F553" s="43">
        <f>_xlfn.XLOOKUP(A553,Class_Players!A:A,Class_Players!G:G)</f>
        <v>226</v>
      </c>
      <c r="G553" s="43">
        <f t="shared" si="120"/>
        <v>0</v>
      </c>
      <c r="H553" s="43">
        <f>_xlfn.XLOOKUP(A553,Class_Players!$A:$A,Class_Players!$F:$F,"")</f>
        <v>9714</v>
      </c>
      <c r="I553" s="44">
        <f t="shared" si="121"/>
        <v>0</v>
      </c>
      <c r="J553" s="43">
        <f t="shared" si="122"/>
        <v>0</v>
      </c>
      <c r="K553" s="44" cm="1">
        <f t="array" ref="K553">IF(D553="Gadget",_xlfn.IFS(I553&gt;=0.2,0.5,I553&gt;=0.1,0.35,I553&gt;=0.05,0.2,TRUE,0),IF(D553="Grenade",_xlfn.IFS(I553&gt;=0.2,1,I553&gt;=0.1,0.7,I553&gt;=0.05,0.4,TRUE,0),0))</f>
        <v>0</v>
      </c>
      <c r="L553" s="57">
        <f t="shared" si="128"/>
        <v>0</v>
      </c>
    </row>
    <row r="554" spans="1:12" x14ac:dyDescent="0.25">
      <c r="A554" s="42" t="str" cm="1">
        <f t="array" ref="A554">IFERROR(INDEX(_xlfn._xlws.FILTER(Class_Players!A:A,Class_Players!B:B="Engineer"),QUOTIENT(ROW()-ROW($A$2),12)+1),"")</f>
        <v>Ta.Toki</v>
      </c>
      <c r="B554" s="42" t="str">
        <f>_xlfn.XLOOKUP(A554,Class_Players!$A:$A,Class_Players!$B:$B,"")</f>
        <v>Engineer</v>
      </c>
      <c r="C554" s="42" t="str" cm="1">
        <f t="array" ref="C554">INDEX(Lookups!$B$2:$B$13,MOD(ROW()-ROW($B$2),ROWS(Lookups!$B$2:$B$13))+1)</f>
        <v>MBT-LAW (Auto-Guided Launcher)</v>
      </c>
      <c r="D554" s="38" t="str">
        <f>_xlfn.XLOOKUP(C554,Analysis_Gadgets!$C:$C,Analysis_Gadgets!$B:$B)</f>
        <v>Gadget</v>
      </c>
      <c r="E554" s="43">
        <v>0</v>
      </c>
      <c r="F554" s="43">
        <f>_xlfn.XLOOKUP(A554,Class_Players!A:A,Class_Players!G:G)</f>
        <v>282</v>
      </c>
      <c r="G554" s="43">
        <f t="shared" si="120"/>
        <v>0</v>
      </c>
      <c r="H554" s="43">
        <f>_xlfn.XLOOKUP(A554,Class_Players!$A:$A,Class_Players!$F:$F,"")</f>
        <v>10987</v>
      </c>
      <c r="I554" s="44">
        <f t="shared" si="121"/>
        <v>0</v>
      </c>
      <c r="J554" s="43">
        <f t="shared" si="122"/>
        <v>0</v>
      </c>
      <c r="K554" s="44" cm="1">
        <f t="array" ref="K554">IF(D554="Gadget",_xlfn.IFS(I554&gt;=0.2,0.5,I554&gt;=0.1,0.35,I554&gt;=0.05,0.2,TRUE,0),IF(D554="Grenade",_xlfn.IFS(I554&gt;=0.2,1,I554&gt;=0.1,0.7,I554&gt;=0.05,0.4,TRUE,0),0))</f>
        <v>0</v>
      </c>
      <c r="L554" s="57">
        <f t="shared" ref="L554:L563" si="129">IF($K554=0,0,$K554 / SUMIFS($K:$K,$A:$A,$A554,$D:$D,"Gadget"))</f>
        <v>0</v>
      </c>
    </row>
    <row r="555" spans="1:12" x14ac:dyDescent="0.25">
      <c r="A555" s="42" t="str" cm="1">
        <f t="array" ref="A555">IFERROR(INDEX(_xlfn._xlws.FILTER(Class_Players!A:A,Class_Players!B:B="Engineer"),QUOTIENT(ROW()-ROW($A$2),12)+1),"")</f>
        <v>Ta.Toki</v>
      </c>
      <c r="B555" s="42" t="str">
        <f>_xlfn.XLOOKUP(A555,Class_Players!$A:$A,Class_Players!$B:$B,"")</f>
        <v>Engineer</v>
      </c>
      <c r="C555" s="42" t="str" cm="1">
        <f t="array" ref="C555">INDEX(Lookups!$B$2:$B$13,MOD(ROW()-ROW($B$2),ROWS(Lookups!$B$2:$B$13))+1)</f>
        <v>SLM-93A (Air-Defense Launcher)</v>
      </c>
      <c r="D555" s="38" t="str">
        <f>_xlfn.XLOOKUP(C555,Analysis_Gadgets!$C:$C,Analysis_Gadgets!$B:$B)</f>
        <v>Gadget</v>
      </c>
      <c r="E555" s="43">
        <v>752</v>
      </c>
      <c r="F555" s="43">
        <f>_xlfn.XLOOKUP(A555,Class_Players!A:A,Class_Players!G:G)</f>
        <v>282</v>
      </c>
      <c r="G555" s="43">
        <f t="shared" si="120"/>
        <v>2.6666666666666665</v>
      </c>
      <c r="H555" s="43">
        <f>_xlfn.XLOOKUP(A555,Class_Players!$A:$A,Class_Players!$F:$F,"")</f>
        <v>10987</v>
      </c>
      <c r="I555" s="44">
        <f t="shared" si="121"/>
        <v>6.8444525348138704E-2</v>
      </c>
      <c r="J555" s="43">
        <f t="shared" si="122"/>
        <v>0</v>
      </c>
      <c r="K555" s="44" cm="1">
        <f t="array" ref="K555">IF(D555="Gadget",_xlfn.IFS(I555&gt;=0.2,0.5,I555&gt;=0.1,0.35,I555&gt;=0.05,0.2,TRUE,0),IF(D555="Grenade",_xlfn.IFS(I555&gt;=0.2,1,I555&gt;=0.1,0.7,I555&gt;=0.05,0.4,TRUE,0),0))</f>
        <v>0.2</v>
      </c>
      <c r="L555" s="57">
        <f t="shared" si="129"/>
        <v>0.22222222222222227</v>
      </c>
    </row>
    <row r="556" spans="1:12" x14ac:dyDescent="0.25">
      <c r="A556" s="42" t="str" cm="1">
        <f t="array" ref="A556">IFERROR(INDEX(_xlfn._xlws.FILTER(Class_Players!A:A,Class_Players!B:B="Engineer"),QUOTIENT(ROW()-ROW($A$2),12)+1),"")</f>
        <v>Ta.Toki</v>
      </c>
      <c r="B556" s="42" t="str">
        <f>_xlfn.XLOOKUP(A556,Class_Players!$A:$A,Class_Players!$B:$B,"")</f>
        <v>Engineer</v>
      </c>
      <c r="C556" s="42" t="str" cm="1">
        <f t="array" ref="C556">INDEX(Lookups!$B$2:$B$13,MOD(ROW()-ROW($B$2),ROWS(Lookups!$B$2:$B$13))+1)</f>
        <v>RPG-7V2 (Unguided Rocket Launcher)</v>
      </c>
      <c r="D556" s="38" t="str">
        <f>_xlfn.XLOOKUP(C556,Analysis_Gadgets!$C:$C,Analysis_Gadgets!$B:$B)</f>
        <v>Gadget</v>
      </c>
      <c r="E556" s="43">
        <v>7891</v>
      </c>
      <c r="F556" s="43">
        <f>_xlfn.XLOOKUP(A556,Class_Players!A:A,Class_Players!G:G)</f>
        <v>282</v>
      </c>
      <c r="G556" s="43">
        <f t="shared" si="120"/>
        <v>27.9822695035461</v>
      </c>
      <c r="H556" s="43">
        <f>_xlfn.XLOOKUP(A556,Class_Players!$A:$A,Class_Players!$F:$F,"")</f>
        <v>10987</v>
      </c>
      <c r="I556" s="44">
        <f t="shared" si="121"/>
        <v>0.71821243287521619</v>
      </c>
      <c r="J556" s="43">
        <f t="shared" si="122"/>
        <v>1</v>
      </c>
      <c r="K556" s="44" cm="1">
        <f t="array" ref="K556">IF(D556="Gadget",_xlfn.IFS(I556&gt;=0.2,0.5,I556&gt;=0.1,0.35,I556&gt;=0.05,0.2,TRUE,0),IF(D556="Grenade",_xlfn.IFS(I556&gt;=0.2,1,I556&gt;=0.1,0.7,I556&gt;=0.05,0.4,TRUE,0),0))</f>
        <v>0.5</v>
      </c>
      <c r="L556" s="57">
        <f t="shared" si="129"/>
        <v>0.55555555555555558</v>
      </c>
    </row>
    <row r="557" spans="1:12" x14ac:dyDescent="0.25">
      <c r="A557" s="42" t="str" cm="1">
        <f t="array" ref="A557">IFERROR(INDEX(_xlfn._xlws.FILTER(Class_Players!A:A,Class_Players!B:B="Engineer"),QUOTIENT(ROW()-ROW($A$2),12)+1),"")</f>
        <v>Ta.Toki</v>
      </c>
      <c r="B557" s="42" t="str">
        <f>_xlfn.XLOOKUP(A557,Class_Players!$A:$A,Class_Players!$B:$B,"")</f>
        <v>Engineer</v>
      </c>
      <c r="C557" s="42" t="str" cm="1">
        <f t="array" ref="C557">INDEX(Lookups!$B$2:$B$13,MOD(ROW()-ROW($B$2),ROWS(Lookups!$B$2:$B$13))+1)</f>
        <v>MAS 148 (Long-Range Launcher)</v>
      </c>
      <c r="D557" s="38" t="str">
        <f>_xlfn.XLOOKUP(C557,Analysis_Gadgets!$C:$C,Analysis_Gadgets!$B:$B)</f>
        <v>Gadget</v>
      </c>
      <c r="E557" s="43">
        <v>2</v>
      </c>
      <c r="F557" s="43">
        <f>_xlfn.XLOOKUP(A557,Class_Players!A:A,Class_Players!G:G)</f>
        <v>282</v>
      </c>
      <c r="G557" s="43">
        <f t="shared" si="120"/>
        <v>7.0921985815602835E-3</v>
      </c>
      <c r="H557" s="43">
        <f>_xlfn.XLOOKUP(A557,Class_Players!$A:$A,Class_Players!$F:$F,"")</f>
        <v>10987</v>
      </c>
      <c r="I557" s="44">
        <f t="shared" si="121"/>
        <v>1.8203331209611358E-4</v>
      </c>
      <c r="J557" s="43">
        <f t="shared" si="122"/>
        <v>0</v>
      </c>
      <c r="K557" s="44" cm="1">
        <f t="array" ref="K557">IF(D557="Gadget",_xlfn.IFS(I557&gt;=0.2,0.5,I557&gt;=0.1,0.35,I557&gt;=0.05,0.2,TRUE,0),IF(D557="Grenade",_xlfn.IFS(I557&gt;=0.2,1,I557&gt;=0.1,0.7,I557&gt;=0.05,0.4,TRUE,0),0))</f>
        <v>0</v>
      </c>
      <c r="L557" s="57">
        <f t="shared" si="129"/>
        <v>0</v>
      </c>
    </row>
    <row r="558" spans="1:12" x14ac:dyDescent="0.25">
      <c r="A558" s="42" t="str" cm="1">
        <f t="array" ref="A558">IFERROR(INDEX(_xlfn._xlws.FILTER(Class_Players!A:A,Class_Players!B:B="Engineer"),QUOTIENT(ROW()-ROW($A$2),12)+1),"")</f>
        <v>Ta.Toki</v>
      </c>
      <c r="B558" s="42" t="str">
        <f>_xlfn.XLOOKUP(A558,Class_Players!$A:$A,Class_Players!$B:$B,"")</f>
        <v>Engineer</v>
      </c>
      <c r="C558" s="42" t="str" cm="1">
        <f t="array" ref="C558">INDEX(Lookups!$B$2:$B$13,MOD(ROW()-ROW($B$2),ROWS(Lookups!$B$2:$B$13))+1)</f>
        <v>M136 AT (Aim-Guided Launcher)</v>
      </c>
      <c r="D558" s="38" t="str">
        <f>_xlfn.XLOOKUP(C558,Analysis_Gadgets!$C:$C,Analysis_Gadgets!$B:$B)</f>
        <v>Gadget</v>
      </c>
      <c r="E558" s="43">
        <v>38</v>
      </c>
      <c r="F558" s="43">
        <f>_xlfn.XLOOKUP(A558,Class_Players!A:A,Class_Players!G:G)</f>
        <v>282</v>
      </c>
      <c r="G558" s="43">
        <f t="shared" si="120"/>
        <v>0.13475177304964539</v>
      </c>
      <c r="H558" s="43">
        <f>_xlfn.XLOOKUP(A558,Class_Players!$A:$A,Class_Players!$F:$F,"")</f>
        <v>10987</v>
      </c>
      <c r="I558" s="44">
        <f t="shared" si="121"/>
        <v>3.458632929826158E-3</v>
      </c>
      <c r="J558" s="43">
        <f t="shared" si="122"/>
        <v>0</v>
      </c>
      <c r="K558" s="44" cm="1">
        <f t="array" ref="K558">IF(D558="Gadget",_xlfn.IFS(I558&gt;=0.2,0.5,I558&gt;=0.1,0.35,I558&gt;=0.05,0.2,TRUE,0),IF(D558="Grenade",_xlfn.IFS(I558&gt;=0.2,1,I558&gt;=0.1,0.7,I558&gt;=0.05,0.4,TRUE,0),0))</f>
        <v>0</v>
      </c>
      <c r="L558" s="57">
        <f t="shared" si="129"/>
        <v>0</v>
      </c>
    </row>
    <row r="559" spans="1:12" x14ac:dyDescent="0.25">
      <c r="A559" s="42" t="str" cm="1">
        <f t="array" ref="A559">IFERROR(INDEX(_xlfn._xlws.FILTER(Class_Players!A:A,Class_Players!B:B="Engineer"),QUOTIENT(ROW()-ROW($A$2),12)+1),"")</f>
        <v>Ta.Toki</v>
      </c>
      <c r="B559" s="42" t="str">
        <f>_xlfn.XLOOKUP(A559,Class_Players!$A:$A,Class_Players!$B:$B,"")</f>
        <v>Engineer</v>
      </c>
      <c r="C559" s="42" t="str" cm="1">
        <f t="array" ref="C559">INDEX(Lookups!$B$2:$B$13,MOD(ROW()-ROW($B$2),ROWS(Lookups!$B$2:$B$13))+1)</f>
        <v>Supply Crate</v>
      </c>
      <c r="D559" s="38" t="str">
        <f>_xlfn.XLOOKUP(C559,Analysis_Gadgets!$C:$C,Analysis_Gadgets!$B:$B)</f>
        <v>Gadget</v>
      </c>
      <c r="E559" s="43">
        <v>61</v>
      </c>
      <c r="F559" s="43">
        <f>_xlfn.XLOOKUP(A559,Class_Players!A:A,Class_Players!G:G)</f>
        <v>282</v>
      </c>
      <c r="G559" s="43">
        <f t="shared" si="120"/>
        <v>0.21631205673758866</v>
      </c>
      <c r="H559" s="43">
        <f>_xlfn.XLOOKUP(A559,Class_Players!$A:$A,Class_Players!$F:$F,"")</f>
        <v>10987</v>
      </c>
      <c r="I559" s="44">
        <f t="shared" si="121"/>
        <v>5.5520160189314648E-3</v>
      </c>
      <c r="J559" s="43">
        <f t="shared" si="122"/>
        <v>0</v>
      </c>
      <c r="K559" s="44" cm="1">
        <f t="array" ref="K559">IF(D559="Gadget",_xlfn.IFS(I559&gt;=0.2,0.5,I559&gt;=0.1,0.35,I559&gt;=0.05,0.2,TRUE,0),IF(D559="Grenade",_xlfn.IFS(I559&gt;=0.2,1,I559&gt;=0.1,0.7,I559&gt;=0.05,0.4,TRUE,0),0))</f>
        <v>0</v>
      </c>
      <c r="L559" s="57">
        <f t="shared" si="129"/>
        <v>0</v>
      </c>
    </row>
    <row r="560" spans="1:12" x14ac:dyDescent="0.25">
      <c r="A560" s="42" t="str" cm="1">
        <f t="array" ref="A560">IFERROR(INDEX(_xlfn._xlws.FILTER(Class_Players!A:A,Class_Players!B:B="Engineer"),QUOTIENT(ROW()-ROW($A$2),12)+1),"")</f>
        <v>Ta.Toki</v>
      </c>
      <c r="B560" s="42" t="str">
        <f>_xlfn.XLOOKUP(A560,Class_Players!$A:$A,Class_Players!$B:$B,"")</f>
        <v>Engineer</v>
      </c>
      <c r="C560" s="42" t="str" cm="1">
        <f t="array" ref="C560">INDEX(Lookups!$B$2:$B$13,MOD(ROW()-ROW($B$2),ROWS(Lookups!$B$2:$B$13))+1)</f>
        <v>M15 (Anti-Vehicle Mine)</v>
      </c>
      <c r="D560" s="38" t="str">
        <f>_xlfn.XLOOKUP(C560,Analysis_Gadgets!$C:$C,Analysis_Gadgets!$B:$B)</f>
        <v>Gadget</v>
      </c>
      <c r="E560" s="43">
        <v>887</v>
      </c>
      <c r="F560" s="43">
        <f>_xlfn.XLOOKUP(A560,Class_Players!A:A,Class_Players!G:G)</f>
        <v>282</v>
      </c>
      <c r="G560" s="43">
        <f t="shared" si="120"/>
        <v>3.145390070921986</v>
      </c>
      <c r="H560" s="43">
        <f>_xlfn.XLOOKUP(A560,Class_Players!$A:$A,Class_Players!$F:$F,"")</f>
        <v>10987</v>
      </c>
      <c r="I560" s="44">
        <f t="shared" si="121"/>
        <v>8.0731773914626381E-2</v>
      </c>
      <c r="J560" s="43">
        <f t="shared" si="122"/>
        <v>0</v>
      </c>
      <c r="K560" s="44" cm="1">
        <f t="array" ref="K560">IF(D560="Gadget",_xlfn.IFS(I560&gt;=0.2,0.5,I560&gt;=0.1,0.35,I560&gt;=0.05,0.2,TRUE,0),IF(D560="Grenade",_xlfn.IFS(I560&gt;=0.2,1,I560&gt;=0.1,0.7,I560&gt;=0.05,0.4,TRUE,0),0))</f>
        <v>0.2</v>
      </c>
      <c r="L560" s="57">
        <f t="shared" si="129"/>
        <v>0.22222222222222227</v>
      </c>
    </row>
    <row r="561" spans="1:12" x14ac:dyDescent="0.25">
      <c r="A561" s="42" t="str" cm="1">
        <f t="array" ref="A561">IFERROR(INDEX(_xlfn._xlws.FILTER(Class_Players!A:A,Class_Players!B:B="Engineer"),QUOTIENT(ROW()-ROW($A$2),12)+1),"")</f>
        <v>Ta.Toki</v>
      </c>
      <c r="B561" s="42" t="str">
        <f>_xlfn.XLOOKUP(A561,Class_Players!$A:$A,Class_Players!$B:$B,"")</f>
        <v>Engineer</v>
      </c>
      <c r="C561" s="42" t="str" cm="1">
        <f t="array" ref="C561">INDEX(Lookups!$B$2:$B$13,MOD(ROW()-ROW($B$2),ROWS(Lookups!$B$2:$B$13))+1)</f>
        <v>PTKM-1R (Acoustic Sensor AV Mine)</v>
      </c>
      <c r="D561" s="38" t="str">
        <f>_xlfn.XLOOKUP(C561,Analysis_Gadgets!$C:$C,Analysis_Gadgets!$B:$B)</f>
        <v>Gadget</v>
      </c>
      <c r="E561" s="43">
        <v>16</v>
      </c>
      <c r="F561" s="43">
        <f>_xlfn.XLOOKUP(A561,Class_Players!A:A,Class_Players!G:G)</f>
        <v>282</v>
      </c>
      <c r="G561" s="43">
        <f t="shared" si="120"/>
        <v>5.6737588652482268E-2</v>
      </c>
      <c r="H561" s="43">
        <f>_xlfn.XLOOKUP(A561,Class_Players!$A:$A,Class_Players!$F:$F,"")</f>
        <v>10987</v>
      </c>
      <c r="I561" s="44">
        <f t="shared" si="121"/>
        <v>1.4562664967689087E-3</v>
      </c>
      <c r="J561" s="43">
        <f t="shared" si="122"/>
        <v>0</v>
      </c>
      <c r="K561" s="44" cm="1">
        <f t="array" ref="K561">IF(D561="Gadget",_xlfn.IFS(I561&gt;=0.2,0.5,I561&gt;=0.1,0.35,I561&gt;=0.05,0.2,TRUE,0),IF(D561="Grenade",_xlfn.IFS(I561&gt;=0.2,1,I561&gt;=0.1,0.7,I561&gt;=0.05,0.4,TRUE,0),0))</f>
        <v>0</v>
      </c>
      <c r="L561" s="57">
        <f t="shared" si="129"/>
        <v>0</v>
      </c>
    </row>
    <row r="562" spans="1:12" x14ac:dyDescent="0.25">
      <c r="A562" s="42" t="str" cm="1">
        <f t="array" ref="A562">IFERROR(INDEX(_xlfn._xlws.FILTER(Class_Players!A:A,Class_Players!B:B="Engineer"),QUOTIENT(ROW()-ROW($A$2),12)+1),"")</f>
        <v>Ta.Toki</v>
      </c>
      <c r="B562" s="42" t="str">
        <f>_xlfn.XLOOKUP(A562,Class_Players!$A:$A,Class_Players!$B:$B,"")</f>
        <v>Engineer</v>
      </c>
      <c r="C562" s="42" t="str" cm="1">
        <f t="array" ref="C562">INDEX(Lookups!$B$2:$B$13,MOD(ROW()-ROW($B$2),ROWS(Lookups!$B$2:$B$13))+1)</f>
        <v>EOD Bot</v>
      </c>
      <c r="D562" s="38" t="str">
        <f>_xlfn.XLOOKUP(C562,Analysis_Gadgets!$C:$C,Analysis_Gadgets!$B:$B)</f>
        <v>Gadget</v>
      </c>
      <c r="E562" s="43">
        <v>0</v>
      </c>
      <c r="F562" s="43">
        <f>_xlfn.XLOOKUP(A562,Class_Players!A:A,Class_Players!G:G)</f>
        <v>282</v>
      </c>
      <c r="G562" s="43">
        <f t="shared" si="120"/>
        <v>0</v>
      </c>
      <c r="H562" s="43">
        <f>_xlfn.XLOOKUP(A562,Class_Players!$A:$A,Class_Players!$F:$F,"")</f>
        <v>10987</v>
      </c>
      <c r="I562" s="44">
        <f t="shared" si="121"/>
        <v>0</v>
      </c>
      <c r="J562" s="43">
        <f t="shared" si="122"/>
        <v>0</v>
      </c>
      <c r="K562" s="44" cm="1">
        <f t="array" ref="K562">IF(D562="Gadget",_xlfn.IFS(I562&gt;=0.2,0.5,I562&gt;=0.1,0.35,I562&gt;=0.05,0.2,TRUE,0),IF(D562="Grenade",_xlfn.IFS(I562&gt;=0.2,1,I562&gt;=0.1,0.7,I562&gt;=0.05,0.4,TRUE,0),0))</f>
        <v>0</v>
      </c>
      <c r="L562" s="57">
        <f t="shared" si="129"/>
        <v>0</v>
      </c>
    </row>
    <row r="563" spans="1:12" x14ac:dyDescent="0.25">
      <c r="A563" s="42" t="str" cm="1">
        <f t="array" ref="A563">IFERROR(INDEX(_xlfn._xlws.FILTER(Class_Players!A:A,Class_Players!B:B="Engineer"),QUOTIENT(ROW()-ROW($A$2),12)+1),"")</f>
        <v>Ta.Toki</v>
      </c>
      <c r="B563" s="42" t="str">
        <f>_xlfn.XLOOKUP(A563,Class_Players!$A:$A,Class_Players!$B:$B,"")</f>
        <v>Engineer</v>
      </c>
      <c r="C563" s="42" t="str" cm="1">
        <f t="array" ref="C563">INDEX(Lookups!$B$2:$B$13,MOD(ROW()-ROW($B$2),ROWS(Lookups!$B$2:$B$13))+1)</f>
        <v>M4A1 SLAM (Tripwire Sensor AV Mine)</v>
      </c>
      <c r="D563" s="38" t="str">
        <f>_xlfn.XLOOKUP(C563,Analysis_Gadgets!$C:$C,Analysis_Gadgets!$B:$B)</f>
        <v>Gadget</v>
      </c>
      <c r="E563" s="43">
        <v>0</v>
      </c>
      <c r="F563" s="43">
        <f>_xlfn.XLOOKUP(A563,Class_Players!A:A,Class_Players!G:G)</f>
        <v>282</v>
      </c>
      <c r="G563" s="43">
        <f t="shared" si="120"/>
        <v>0</v>
      </c>
      <c r="H563" s="43">
        <f>_xlfn.XLOOKUP(A563,Class_Players!$A:$A,Class_Players!$F:$F,"")</f>
        <v>10987</v>
      </c>
      <c r="I563" s="44">
        <f t="shared" si="121"/>
        <v>0</v>
      </c>
      <c r="J563" s="43">
        <f t="shared" si="122"/>
        <v>0</v>
      </c>
      <c r="K563" s="44" cm="1">
        <f t="array" ref="K563">IF(D563="Gadget",_xlfn.IFS(I563&gt;=0.2,0.5,I563&gt;=0.1,0.35,I563&gt;=0.05,0.2,TRUE,0),IF(D563="Grenade",_xlfn.IFS(I563&gt;=0.2,1,I563&gt;=0.1,0.7,I563&gt;=0.05,0.4,TRUE,0),0))</f>
        <v>0</v>
      </c>
      <c r="L563" s="57">
        <f t="shared" si="129"/>
        <v>0</v>
      </c>
    </row>
    <row r="564" spans="1:12" x14ac:dyDescent="0.25">
      <c r="A564" s="42" t="str" cm="1">
        <f t="array" ref="A564">IFERROR(INDEX(_xlfn._xlws.FILTER(Class_Players!A:A,Class_Players!B:B="Engineer"),QUOTIENT(ROW()-ROW($A$2),12)+1),"")</f>
        <v>Ta.Toki</v>
      </c>
      <c r="B564" s="42" t="str">
        <f>_xlfn.XLOOKUP(A564,Class_Players!$A:$A,Class_Players!$B:$B,"")</f>
        <v>Engineer</v>
      </c>
      <c r="C564" s="42" t="str" cm="1">
        <f t="array" ref="C564">INDEX(Lookups!$B$2:$B$13,MOD(ROW()-ROW($B$2),ROWS(Lookups!$B$2:$B$13))+1)</f>
        <v>Mini Frag Grenade</v>
      </c>
      <c r="D564" s="38" t="str">
        <f>_xlfn.XLOOKUP(C564,Analysis_Gadgets!$C:$C,Analysis_Gadgets!$B:$B)</f>
        <v>Grenade</v>
      </c>
      <c r="E564" s="43">
        <v>397</v>
      </c>
      <c r="F564" s="43">
        <f>_xlfn.XLOOKUP(A564,Class_Players!A:A,Class_Players!G:G)</f>
        <v>282</v>
      </c>
      <c r="G564" s="43">
        <f t="shared" si="120"/>
        <v>1.4078014184397163</v>
      </c>
      <c r="H564" s="43">
        <f>_xlfn.XLOOKUP(A564,Class_Players!$A:$A,Class_Players!$F:$F,"")</f>
        <v>10987</v>
      </c>
      <c r="I564" s="44">
        <f t="shared" si="121"/>
        <v>3.6133612451078545E-2</v>
      </c>
      <c r="J564" s="43">
        <f t="shared" si="122"/>
        <v>0</v>
      </c>
      <c r="K564" s="44" cm="1">
        <f t="array" ref="K564">IF(D564="Gadget",_xlfn.IFS(I564&gt;=0.2,0.5,I564&gt;=0.1,0.35,I564&gt;=0.05,0.2,TRUE,0),IF(D564="Grenade",_xlfn.IFS(I564&gt;=0.2,1,I564&gt;=0.1,0.7,I564&gt;=0.05,0.4,TRUE,0),0))</f>
        <v>0</v>
      </c>
      <c r="L564" s="57">
        <f t="shared" ref="L564:L565" si="130">IF($K564=0,0,$K564 / SUMIFS($K:$K,$A:$A,$A564,$D:$D,"Grenade"))</f>
        <v>0</v>
      </c>
    </row>
    <row r="565" spans="1:12" x14ac:dyDescent="0.25">
      <c r="A565" s="42" t="str" cm="1">
        <f t="array" ref="A565">IFERROR(INDEX(_xlfn._xlws.FILTER(Class_Players!A:A,Class_Players!B:B="Engineer"),QUOTIENT(ROW()-ROW($A$2),12)+1),"")</f>
        <v>Ta.Toki</v>
      </c>
      <c r="B565" s="42" t="str">
        <f>_xlfn.XLOOKUP(A565,Class_Players!$A:$A,Class_Players!$B:$B,"")</f>
        <v>Engineer</v>
      </c>
      <c r="C565" s="42" t="str" cm="1">
        <f t="array" ref="C565">INDEX(Lookups!$B$2:$B$13,MOD(ROW()-ROW($B$2),ROWS(Lookups!$B$2:$B$13))+1)</f>
        <v>Anti-Vehicle Grenade</v>
      </c>
      <c r="D565" s="38" t="str">
        <f>_xlfn.XLOOKUP(C565,Analysis_Gadgets!$C:$C,Analysis_Gadgets!$B:$B)</f>
        <v>Grenade</v>
      </c>
      <c r="E565" s="43">
        <v>0</v>
      </c>
      <c r="F565" s="43">
        <f>_xlfn.XLOOKUP(A565,Class_Players!A:A,Class_Players!G:G)</f>
        <v>282</v>
      </c>
      <c r="G565" s="43">
        <f t="shared" si="120"/>
        <v>0</v>
      </c>
      <c r="H565" s="43">
        <f>_xlfn.XLOOKUP(A565,Class_Players!$A:$A,Class_Players!$F:$F,"")</f>
        <v>10987</v>
      </c>
      <c r="I565" s="44">
        <f t="shared" si="121"/>
        <v>0</v>
      </c>
      <c r="J565" s="43">
        <f t="shared" si="122"/>
        <v>0</v>
      </c>
      <c r="K565" s="44" cm="1">
        <f t="array" ref="K565">IF(D565="Gadget",_xlfn.IFS(I565&gt;=0.2,0.5,I565&gt;=0.1,0.35,I565&gt;=0.05,0.2,TRUE,0),IF(D565="Grenade",_xlfn.IFS(I565&gt;=0.2,1,I565&gt;=0.1,0.7,I565&gt;=0.05,0.4,TRUE,0),0))</f>
        <v>0</v>
      </c>
      <c r="L565" s="57">
        <f t="shared" si="130"/>
        <v>0</v>
      </c>
    </row>
    <row r="566" spans="1:12" x14ac:dyDescent="0.25">
      <c r="A566" s="42" t="str" cm="1">
        <f t="array" ref="A566">IFERROR(INDEX(_xlfn._xlws.FILTER(Class_Players!A:A,Class_Players!B:B="Engineer"),QUOTIENT(ROW()-ROW($A$2),12)+1),"")</f>
        <v>Unreal413</v>
      </c>
      <c r="B566" s="42" t="str">
        <f>_xlfn.XLOOKUP(A566,Class_Players!$A:$A,Class_Players!$B:$B,"")</f>
        <v>Engineer</v>
      </c>
      <c r="C566" s="42" t="str" cm="1">
        <f t="array" ref="C566">INDEX(Lookups!$B$2:$B$13,MOD(ROW()-ROW($B$2),ROWS(Lookups!$B$2:$B$13))+1)</f>
        <v>MBT-LAW (Auto-Guided Launcher)</v>
      </c>
      <c r="D566" s="38" t="str">
        <f>_xlfn.XLOOKUP(C566,Analysis_Gadgets!$C:$C,Analysis_Gadgets!$B:$B)</f>
        <v>Gadget</v>
      </c>
      <c r="E566" s="43">
        <v>0</v>
      </c>
      <c r="F566" s="43">
        <f>_xlfn.XLOOKUP(A566,Class_Players!A:A,Class_Players!G:G)</f>
        <v>234</v>
      </c>
      <c r="G566" s="43">
        <f t="shared" si="120"/>
        <v>0</v>
      </c>
      <c r="H566" s="43">
        <f>_xlfn.XLOOKUP(A566,Class_Players!$A:$A,Class_Players!$F:$F,"")</f>
        <v>9693</v>
      </c>
      <c r="I566" s="44">
        <f t="shared" si="121"/>
        <v>0</v>
      </c>
      <c r="J566" s="43">
        <f t="shared" si="122"/>
        <v>0</v>
      </c>
      <c r="K566" s="44" cm="1">
        <f t="array" ref="K566">IF(D566="Gadget",_xlfn.IFS(I566&gt;=0.2,0.5,I566&gt;=0.1,0.35,I566&gt;=0.05,0.2,TRUE,0),IF(D566="Grenade",_xlfn.IFS(I566&gt;=0.2,1,I566&gt;=0.1,0.7,I566&gt;=0.05,0.4,TRUE,0),0))</f>
        <v>0</v>
      </c>
      <c r="L566" s="57">
        <f t="shared" ref="L566:L575" si="131">IF($K566=0,0,$K566 / SUMIFS($K:$K,$A:$A,$A566,$D:$D,"Gadget"))</f>
        <v>0</v>
      </c>
    </row>
    <row r="567" spans="1:12" x14ac:dyDescent="0.25">
      <c r="A567" s="42" t="str" cm="1">
        <f t="array" ref="A567">IFERROR(INDEX(_xlfn._xlws.FILTER(Class_Players!A:A,Class_Players!B:B="Engineer"),QUOTIENT(ROW()-ROW($A$2),12)+1),"")</f>
        <v>Unreal413</v>
      </c>
      <c r="B567" s="42" t="str">
        <f>_xlfn.XLOOKUP(A567,Class_Players!$A:$A,Class_Players!$B:$B,"")</f>
        <v>Engineer</v>
      </c>
      <c r="C567" s="42" t="str" cm="1">
        <f t="array" ref="C567">INDEX(Lookups!$B$2:$B$13,MOD(ROW()-ROW($B$2),ROWS(Lookups!$B$2:$B$13))+1)</f>
        <v>SLM-93A (Air-Defense Launcher)</v>
      </c>
      <c r="D567" s="38" t="str">
        <f>_xlfn.XLOOKUP(C567,Analysis_Gadgets!$C:$C,Analysis_Gadgets!$B:$B)</f>
        <v>Gadget</v>
      </c>
      <c r="E567" s="43">
        <v>65</v>
      </c>
      <c r="F567" s="43">
        <f>_xlfn.XLOOKUP(A567,Class_Players!A:A,Class_Players!G:G)</f>
        <v>234</v>
      </c>
      <c r="G567" s="43">
        <f t="shared" si="120"/>
        <v>0.27777777777777779</v>
      </c>
      <c r="H567" s="43">
        <f>_xlfn.XLOOKUP(A567,Class_Players!$A:$A,Class_Players!$F:$F,"")</f>
        <v>9693</v>
      </c>
      <c r="I567" s="44">
        <f t="shared" si="121"/>
        <v>6.7058702156195188E-3</v>
      </c>
      <c r="J567" s="43">
        <f t="shared" si="122"/>
        <v>0</v>
      </c>
      <c r="K567" s="44" cm="1">
        <f t="array" ref="K567">IF(D567="Gadget",_xlfn.IFS(I567&gt;=0.2,0.5,I567&gt;=0.1,0.35,I567&gt;=0.05,0.2,TRUE,0),IF(D567="Grenade",_xlfn.IFS(I567&gt;=0.2,1,I567&gt;=0.1,0.7,I567&gt;=0.05,0.4,TRUE,0),0))</f>
        <v>0</v>
      </c>
      <c r="L567" s="57">
        <f t="shared" si="131"/>
        <v>0</v>
      </c>
    </row>
    <row r="568" spans="1:12" x14ac:dyDescent="0.25">
      <c r="A568" s="42" t="str" cm="1">
        <f t="array" ref="A568">IFERROR(INDEX(_xlfn._xlws.FILTER(Class_Players!A:A,Class_Players!B:B="Engineer"),QUOTIENT(ROW()-ROW($A$2),12)+1),"")</f>
        <v>Unreal413</v>
      </c>
      <c r="B568" s="42" t="str">
        <f>_xlfn.XLOOKUP(A568,Class_Players!$A:$A,Class_Players!$B:$B,"")</f>
        <v>Engineer</v>
      </c>
      <c r="C568" s="42" t="str" cm="1">
        <f t="array" ref="C568">INDEX(Lookups!$B$2:$B$13,MOD(ROW()-ROW($B$2),ROWS(Lookups!$B$2:$B$13))+1)</f>
        <v>RPG-7V2 (Unguided Rocket Launcher)</v>
      </c>
      <c r="D568" s="38" t="str">
        <f>_xlfn.XLOOKUP(C568,Analysis_Gadgets!$C:$C,Analysis_Gadgets!$B:$B)</f>
        <v>Gadget</v>
      </c>
      <c r="E568" s="43">
        <v>7269</v>
      </c>
      <c r="F568" s="43">
        <f>_xlfn.XLOOKUP(A568,Class_Players!A:A,Class_Players!G:G)</f>
        <v>234</v>
      </c>
      <c r="G568" s="43">
        <f t="shared" si="120"/>
        <v>31.064102564102566</v>
      </c>
      <c r="H568" s="43">
        <f>_xlfn.XLOOKUP(A568,Class_Players!$A:$A,Class_Players!$F:$F,"")</f>
        <v>9693</v>
      </c>
      <c r="I568" s="44">
        <f t="shared" si="121"/>
        <v>0.74992262457443515</v>
      </c>
      <c r="J568" s="43">
        <f t="shared" si="122"/>
        <v>1</v>
      </c>
      <c r="K568" s="44" cm="1">
        <f t="array" ref="K568">IF(D568="Gadget",_xlfn.IFS(I568&gt;=0.2,0.5,I568&gt;=0.1,0.35,I568&gt;=0.05,0.2,TRUE,0),IF(D568="Grenade",_xlfn.IFS(I568&gt;=0.2,1,I568&gt;=0.1,0.7,I568&gt;=0.05,0.4,TRUE,0),0))</f>
        <v>0.5</v>
      </c>
      <c r="L568" s="57">
        <f t="shared" si="131"/>
        <v>0.5</v>
      </c>
    </row>
    <row r="569" spans="1:12" x14ac:dyDescent="0.25">
      <c r="A569" s="42" t="str" cm="1">
        <f t="array" ref="A569">IFERROR(INDEX(_xlfn._xlws.FILTER(Class_Players!A:A,Class_Players!B:B="Engineer"),QUOTIENT(ROW()-ROW($A$2),12)+1),"")</f>
        <v>Unreal413</v>
      </c>
      <c r="B569" s="42" t="str">
        <f>_xlfn.XLOOKUP(A569,Class_Players!$A:$A,Class_Players!$B:$B,"")</f>
        <v>Engineer</v>
      </c>
      <c r="C569" s="42" t="str" cm="1">
        <f t="array" ref="C569">INDEX(Lookups!$B$2:$B$13,MOD(ROW()-ROW($B$2),ROWS(Lookups!$B$2:$B$13))+1)</f>
        <v>MAS 148 (Long-Range Launcher)</v>
      </c>
      <c r="D569" s="38" t="str">
        <f>_xlfn.XLOOKUP(C569,Analysis_Gadgets!$C:$C,Analysis_Gadgets!$B:$B)</f>
        <v>Gadget</v>
      </c>
      <c r="E569" s="43">
        <v>29</v>
      </c>
      <c r="F569" s="43">
        <f>_xlfn.XLOOKUP(A569,Class_Players!A:A,Class_Players!G:G)</f>
        <v>234</v>
      </c>
      <c r="G569" s="43">
        <f t="shared" si="120"/>
        <v>0.12393162393162394</v>
      </c>
      <c r="H569" s="43">
        <f>_xlfn.XLOOKUP(A569,Class_Players!$A:$A,Class_Players!$F:$F,"")</f>
        <v>9693</v>
      </c>
      <c r="I569" s="44">
        <f t="shared" si="121"/>
        <v>2.9918497885071701E-3</v>
      </c>
      <c r="J569" s="43">
        <f t="shared" si="122"/>
        <v>0</v>
      </c>
      <c r="K569" s="44" cm="1">
        <f t="array" ref="K569">IF(D569="Gadget",_xlfn.IFS(I569&gt;=0.2,0.5,I569&gt;=0.1,0.35,I569&gt;=0.05,0.2,TRUE,0),IF(D569="Grenade",_xlfn.IFS(I569&gt;=0.2,1,I569&gt;=0.1,0.7,I569&gt;=0.05,0.4,TRUE,0),0))</f>
        <v>0</v>
      </c>
      <c r="L569" s="57">
        <f t="shared" si="131"/>
        <v>0</v>
      </c>
    </row>
    <row r="570" spans="1:12" x14ac:dyDescent="0.25">
      <c r="A570" s="42" t="str" cm="1">
        <f t="array" ref="A570">IFERROR(INDEX(_xlfn._xlws.FILTER(Class_Players!A:A,Class_Players!B:B="Engineer"),QUOTIENT(ROW()-ROW($A$2),12)+1),"")</f>
        <v>Unreal413</v>
      </c>
      <c r="B570" s="42" t="str">
        <f>_xlfn.XLOOKUP(A570,Class_Players!$A:$A,Class_Players!$B:$B,"")</f>
        <v>Engineer</v>
      </c>
      <c r="C570" s="42" t="str" cm="1">
        <f t="array" ref="C570">INDEX(Lookups!$B$2:$B$13,MOD(ROW()-ROW($B$2),ROWS(Lookups!$B$2:$B$13))+1)</f>
        <v>M136 AT (Aim-Guided Launcher)</v>
      </c>
      <c r="D570" s="38" t="str">
        <f>_xlfn.XLOOKUP(C570,Analysis_Gadgets!$C:$C,Analysis_Gadgets!$B:$B)</f>
        <v>Gadget</v>
      </c>
      <c r="E570" s="43">
        <v>6</v>
      </c>
      <c r="F570" s="43">
        <f>_xlfn.XLOOKUP(A570,Class_Players!A:A,Class_Players!G:G)</f>
        <v>234</v>
      </c>
      <c r="G570" s="43">
        <f t="shared" si="120"/>
        <v>2.564102564102564E-2</v>
      </c>
      <c r="H570" s="43">
        <f>_xlfn.XLOOKUP(A570,Class_Players!$A:$A,Class_Players!$F:$F,"")</f>
        <v>9693</v>
      </c>
      <c r="I570" s="44">
        <f t="shared" si="121"/>
        <v>6.1900340451872485E-4</v>
      </c>
      <c r="J570" s="43">
        <f t="shared" si="122"/>
        <v>0</v>
      </c>
      <c r="K570" s="44" cm="1">
        <f t="array" ref="K570">IF(D570="Gadget",_xlfn.IFS(I570&gt;=0.2,0.5,I570&gt;=0.1,0.35,I570&gt;=0.05,0.2,TRUE,0),IF(D570="Grenade",_xlfn.IFS(I570&gt;=0.2,1,I570&gt;=0.1,0.7,I570&gt;=0.05,0.4,TRUE,0),0))</f>
        <v>0</v>
      </c>
      <c r="L570" s="57">
        <f t="shared" si="131"/>
        <v>0</v>
      </c>
    </row>
    <row r="571" spans="1:12" x14ac:dyDescent="0.25">
      <c r="A571" s="42" t="str" cm="1">
        <f t="array" ref="A571">IFERROR(INDEX(_xlfn._xlws.FILTER(Class_Players!A:A,Class_Players!B:B="Engineer"),QUOTIENT(ROW()-ROW($A$2),12)+1),"")</f>
        <v>Unreal413</v>
      </c>
      <c r="B571" s="42" t="str">
        <f>_xlfn.XLOOKUP(A571,Class_Players!$A:$A,Class_Players!$B:$B,"")</f>
        <v>Engineer</v>
      </c>
      <c r="C571" s="42" t="str" cm="1">
        <f t="array" ref="C571">INDEX(Lookups!$B$2:$B$13,MOD(ROW()-ROW($B$2),ROWS(Lookups!$B$2:$B$13))+1)</f>
        <v>Supply Crate</v>
      </c>
      <c r="D571" s="38" t="str">
        <f>_xlfn.XLOOKUP(C571,Analysis_Gadgets!$C:$C,Analysis_Gadgets!$B:$B)</f>
        <v>Gadget</v>
      </c>
      <c r="E571" s="43">
        <v>17</v>
      </c>
      <c r="F571" s="43">
        <f>_xlfn.XLOOKUP(A571,Class_Players!A:A,Class_Players!G:G)</f>
        <v>234</v>
      </c>
      <c r="G571" s="43">
        <f t="shared" si="120"/>
        <v>7.2649572649572655E-2</v>
      </c>
      <c r="H571" s="43">
        <f>_xlfn.XLOOKUP(A571,Class_Players!$A:$A,Class_Players!$F:$F,"")</f>
        <v>9693</v>
      </c>
      <c r="I571" s="44">
        <f t="shared" si="121"/>
        <v>1.7538429794697204E-3</v>
      </c>
      <c r="J571" s="43">
        <f t="shared" si="122"/>
        <v>0</v>
      </c>
      <c r="K571" s="44" cm="1">
        <f t="array" ref="K571">IF(D571="Gadget",_xlfn.IFS(I571&gt;=0.2,0.5,I571&gt;=0.1,0.35,I571&gt;=0.05,0.2,TRUE,0),IF(D571="Grenade",_xlfn.IFS(I571&gt;=0.2,1,I571&gt;=0.1,0.7,I571&gt;=0.05,0.4,TRUE,0),0))</f>
        <v>0</v>
      </c>
      <c r="L571" s="57">
        <f t="shared" si="131"/>
        <v>0</v>
      </c>
    </row>
    <row r="572" spans="1:12" x14ac:dyDescent="0.25">
      <c r="A572" s="42" t="str" cm="1">
        <f t="array" ref="A572">IFERROR(INDEX(_xlfn._xlws.FILTER(Class_Players!A:A,Class_Players!B:B="Engineer"),QUOTIENT(ROW()-ROW($A$2),12)+1),"")</f>
        <v>Unreal413</v>
      </c>
      <c r="B572" s="42" t="str">
        <f>_xlfn.XLOOKUP(A572,Class_Players!$A:$A,Class_Players!$B:$B,"")</f>
        <v>Engineer</v>
      </c>
      <c r="C572" s="42" t="str" cm="1">
        <f t="array" ref="C572">INDEX(Lookups!$B$2:$B$13,MOD(ROW()-ROW($B$2),ROWS(Lookups!$B$2:$B$13))+1)</f>
        <v>M15 (Anti-Vehicle Mine)</v>
      </c>
      <c r="D572" s="38" t="str">
        <f>_xlfn.XLOOKUP(C572,Analysis_Gadgets!$C:$C,Analysis_Gadgets!$B:$B)</f>
        <v>Gadget</v>
      </c>
      <c r="E572" s="43">
        <v>3152</v>
      </c>
      <c r="F572" s="43">
        <f>_xlfn.XLOOKUP(A572,Class_Players!A:A,Class_Players!G:G)</f>
        <v>234</v>
      </c>
      <c r="G572" s="43">
        <f t="shared" si="120"/>
        <v>13.47008547008547</v>
      </c>
      <c r="H572" s="43">
        <f>_xlfn.XLOOKUP(A572,Class_Players!$A:$A,Class_Players!$F:$F,"")</f>
        <v>9693</v>
      </c>
      <c r="I572" s="44">
        <f t="shared" si="121"/>
        <v>0.32518312184050346</v>
      </c>
      <c r="J572" s="43">
        <f t="shared" si="122"/>
        <v>1</v>
      </c>
      <c r="K572" s="44" cm="1">
        <f t="array" ref="K572">IF(D572="Gadget",_xlfn.IFS(I572&gt;=0.2,0.5,I572&gt;=0.1,0.35,I572&gt;=0.05,0.2,TRUE,0),IF(D572="Grenade",_xlfn.IFS(I572&gt;=0.2,1,I572&gt;=0.1,0.7,I572&gt;=0.05,0.4,TRUE,0),0))</f>
        <v>0.5</v>
      </c>
      <c r="L572" s="57">
        <f t="shared" si="131"/>
        <v>0.5</v>
      </c>
    </row>
    <row r="573" spans="1:12" x14ac:dyDescent="0.25">
      <c r="A573" s="42" t="str" cm="1">
        <f t="array" ref="A573">IFERROR(INDEX(_xlfn._xlws.FILTER(Class_Players!A:A,Class_Players!B:B="Engineer"),QUOTIENT(ROW()-ROW($A$2),12)+1),"")</f>
        <v>Unreal413</v>
      </c>
      <c r="B573" s="42" t="str">
        <f>_xlfn.XLOOKUP(A573,Class_Players!$A:$A,Class_Players!$B:$B,"")</f>
        <v>Engineer</v>
      </c>
      <c r="C573" s="42" t="str" cm="1">
        <f t="array" ref="C573">INDEX(Lookups!$B$2:$B$13,MOD(ROW()-ROW($B$2),ROWS(Lookups!$B$2:$B$13))+1)</f>
        <v>PTKM-1R (Acoustic Sensor AV Mine)</v>
      </c>
      <c r="D573" s="38" t="str">
        <f>_xlfn.XLOOKUP(C573,Analysis_Gadgets!$C:$C,Analysis_Gadgets!$B:$B)</f>
        <v>Gadget</v>
      </c>
      <c r="E573" s="43">
        <v>3</v>
      </c>
      <c r="F573" s="43">
        <f>_xlfn.XLOOKUP(A573,Class_Players!A:A,Class_Players!G:G)</f>
        <v>234</v>
      </c>
      <c r="G573" s="43">
        <f t="shared" si="120"/>
        <v>1.282051282051282E-2</v>
      </c>
      <c r="H573" s="43">
        <f>_xlfn.XLOOKUP(A573,Class_Players!$A:$A,Class_Players!$F:$F,"")</f>
        <v>9693</v>
      </c>
      <c r="I573" s="44">
        <f t="shared" si="121"/>
        <v>3.0950170225936243E-4</v>
      </c>
      <c r="J573" s="43">
        <f t="shared" si="122"/>
        <v>0</v>
      </c>
      <c r="K573" s="44" cm="1">
        <f t="array" ref="K573">IF(D573="Gadget",_xlfn.IFS(I573&gt;=0.2,0.5,I573&gt;=0.1,0.35,I573&gt;=0.05,0.2,TRUE,0),IF(D573="Grenade",_xlfn.IFS(I573&gt;=0.2,1,I573&gt;=0.1,0.7,I573&gt;=0.05,0.4,TRUE,0),0))</f>
        <v>0</v>
      </c>
      <c r="L573" s="57">
        <f t="shared" si="131"/>
        <v>0</v>
      </c>
    </row>
    <row r="574" spans="1:12" x14ac:dyDescent="0.25">
      <c r="A574" s="42" t="str" cm="1">
        <f t="array" ref="A574">IFERROR(INDEX(_xlfn._xlws.FILTER(Class_Players!A:A,Class_Players!B:B="Engineer"),QUOTIENT(ROW()-ROW($A$2),12)+1),"")</f>
        <v>Unreal413</v>
      </c>
      <c r="B574" s="42" t="str">
        <f>_xlfn.XLOOKUP(A574,Class_Players!$A:$A,Class_Players!$B:$B,"")</f>
        <v>Engineer</v>
      </c>
      <c r="C574" s="42" t="str" cm="1">
        <f t="array" ref="C574">INDEX(Lookups!$B$2:$B$13,MOD(ROW()-ROW($B$2),ROWS(Lookups!$B$2:$B$13))+1)</f>
        <v>EOD Bot</v>
      </c>
      <c r="D574" s="38" t="str">
        <f>_xlfn.XLOOKUP(C574,Analysis_Gadgets!$C:$C,Analysis_Gadgets!$B:$B)</f>
        <v>Gadget</v>
      </c>
      <c r="E574" s="43">
        <v>1</v>
      </c>
      <c r="F574" s="43">
        <f>_xlfn.XLOOKUP(A574,Class_Players!A:A,Class_Players!G:G)</f>
        <v>234</v>
      </c>
      <c r="G574" s="43">
        <f t="shared" si="120"/>
        <v>4.2735042735042739E-3</v>
      </c>
      <c r="H574" s="43">
        <f>_xlfn.XLOOKUP(A574,Class_Players!$A:$A,Class_Players!$F:$F,"")</f>
        <v>9693</v>
      </c>
      <c r="I574" s="44">
        <f t="shared" si="121"/>
        <v>1.0316723408645414E-4</v>
      </c>
      <c r="J574" s="43">
        <f t="shared" si="122"/>
        <v>0</v>
      </c>
      <c r="K574" s="44" cm="1">
        <f t="array" ref="K574">IF(D574="Gadget",_xlfn.IFS(I574&gt;=0.2,0.5,I574&gt;=0.1,0.35,I574&gt;=0.05,0.2,TRUE,0),IF(D574="Grenade",_xlfn.IFS(I574&gt;=0.2,1,I574&gt;=0.1,0.7,I574&gt;=0.05,0.4,TRUE,0),0))</f>
        <v>0</v>
      </c>
      <c r="L574" s="57">
        <f t="shared" si="131"/>
        <v>0</v>
      </c>
    </row>
    <row r="575" spans="1:12" x14ac:dyDescent="0.25">
      <c r="A575" s="42" t="str" cm="1">
        <f t="array" ref="A575">IFERROR(INDEX(_xlfn._xlws.FILTER(Class_Players!A:A,Class_Players!B:B="Engineer"),QUOTIENT(ROW()-ROW($A$2),12)+1),"")</f>
        <v>Unreal413</v>
      </c>
      <c r="B575" s="42" t="str">
        <f>_xlfn.XLOOKUP(A575,Class_Players!$A:$A,Class_Players!$B:$B,"")</f>
        <v>Engineer</v>
      </c>
      <c r="C575" s="42" t="str" cm="1">
        <f t="array" ref="C575">INDEX(Lookups!$B$2:$B$13,MOD(ROW()-ROW($B$2),ROWS(Lookups!$B$2:$B$13))+1)</f>
        <v>M4A1 SLAM (Tripwire Sensor AV Mine)</v>
      </c>
      <c r="D575" s="38" t="str">
        <f>_xlfn.XLOOKUP(C575,Analysis_Gadgets!$C:$C,Analysis_Gadgets!$B:$B)</f>
        <v>Gadget</v>
      </c>
      <c r="E575" s="43">
        <v>0</v>
      </c>
      <c r="F575" s="43">
        <f>_xlfn.XLOOKUP(A575,Class_Players!A:A,Class_Players!G:G)</f>
        <v>234</v>
      </c>
      <c r="G575" s="43">
        <f t="shared" si="120"/>
        <v>0</v>
      </c>
      <c r="H575" s="43">
        <f>_xlfn.XLOOKUP(A575,Class_Players!$A:$A,Class_Players!$F:$F,"")</f>
        <v>9693</v>
      </c>
      <c r="I575" s="44">
        <f t="shared" si="121"/>
        <v>0</v>
      </c>
      <c r="J575" s="43">
        <f t="shared" si="122"/>
        <v>0</v>
      </c>
      <c r="K575" s="44" cm="1">
        <f t="array" ref="K575">IF(D575="Gadget",_xlfn.IFS(I575&gt;=0.2,0.5,I575&gt;=0.1,0.35,I575&gt;=0.05,0.2,TRUE,0),IF(D575="Grenade",_xlfn.IFS(I575&gt;=0.2,1,I575&gt;=0.1,0.7,I575&gt;=0.05,0.4,TRUE,0),0))</f>
        <v>0</v>
      </c>
      <c r="L575" s="57">
        <f t="shared" si="131"/>
        <v>0</v>
      </c>
    </row>
    <row r="576" spans="1:12" x14ac:dyDescent="0.25">
      <c r="A576" s="42" t="str" cm="1">
        <f t="array" ref="A576">IFERROR(INDEX(_xlfn._xlws.FILTER(Class_Players!A:A,Class_Players!B:B="Engineer"),QUOTIENT(ROW()-ROW($A$2),12)+1),"")</f>
        <v>Unreal413</v>
      </c>
      <c r="B576" s="42" t="str">
        <f>_xlfn.XLOOKUP(A576,Class_Players!$A:$A,Class_Players!$B:$B,"")</f>
        <v>Engineer</v>
      </c>
      <c r="C576" s="42" t="str" cm="1">
        <f t="array" ref="C576">INDEX(Lookups!$B$2:$B$13,MOD(ROW()-ROW($B$2),ROWS(Lookups!$B$2:$B$13))+1)</f>
        <v>Mini Frag Grenade</v>
      </c>
      <c r="D576" s="38" t="str">
        <f>_xlfn.XLOOKUP(C576,Analysis_Gadgets!$C:$C,Analysis_Gadgets!$B:$B)</f>
        <v>Grenade</v>
      </c>
      <c r="E576" s="43">
        <v>0</v>
      </c>
      <c r="F576" s="43">
        <f>_xlfn.XLOOKUP(A576,Class_Players!A:A,Class_Players!G:G)</f>
        <v>234</v>
      </c>
      <c r="G576" s="43">
        <f t="shared" si="120"/>
        <v>0</v>
      </c>
      <c r="H576" s="43">
        <f>_xlfn.XLOOKUP(A576,Class_Players!$A:$A,Class_Players!$F:$F,"")</f>
        <v>9693</v>
      </c>
      <c r="I576" s="44">
        <f t="shared" si="121"/>
        <v>0</v>
      </c>
      <c r="J576" s="43">
        <f t="shared" si="122"/>
        <v>0</v>
      </c>
      <c r="K576" s="44" cm="1">
        <f t="array" ref="K576">IF(D576="Gadget",_xlfn.IFS(I576&gt;=0.2,0.5,I576&gt;=0.1,0.35,I576&gt;=0.05,0.2,TRUE,0),IF(D576="Grenade",_xlfn.IFS(I576&gt;=0.2,1,I576&gt;=0.1,0.7,I576&gt;=0.05,0.4,TRUE,0),0))</f>
        <v>0</v>
      </c>
      <c r="L576" s="57">
        <f t="shared" ref="L576:L577" si="132">IF($K576=0,0,$K576 / SUMIFS($K:$K,$A:$A,$A576,$D:$D,"Grenade"))</f>
        <v>0</v>
      </c>
    </row>
    <row r="577" spans="1:12" x14ac:dyDescent="0.25">
      <c r="A577" s="42" t="str" cm="1">
        <f t="array" ref="A577">IFERROR(INDEX(_xlfn._xlws.FILTER(Class_Players!A:A,Class_Players!B:B="Engineer"),QUOTIENT(ROW()-ROW($A$2),12)+1),"")</f>
        <v>Unreal413</v>
      </c>
      <c r="B577" s="42" t="str">
        <f>_xlfn.XLOOKUP(A577,Class_Players!$A:$A,Class_Players!$B:$B,"")</f>
        <v>Engineer</v>
      </c>
      <c r="C577" s="42" t="str" cm="1">
        <f t="array" ref="C577">INDEX(Lookups!$B$2:$B$13,MOD(ROW()-ROW($B$2),ROWS(Lookups!$B$2:$B$13))+1)</f>
        <v>Anti-Vehicle Grenade</v>
      </c>
      <c r="D577" s="38" t="str">
        <f>_xlfn.XLOOKUP(C577,Analysis_Gadgets!$C:$C,Analysis_Gadgets!$B:$B)</f>
        <v>Grenade</v>
      </c>
      <c r="E577" s="43">
        <v>0</v>
      </c>
      <c r="F577" s="43">
        <f>_xlfn.XLOOKUP(A577,Class_Players!A:A,Class_Players!G:G)</f>
        <v>234</v>
      </c>
      <c r="G577" s="43">
        <f t="shared" si="120"/>
        <v>0</v>
      </c>
      <c r="H577" s="43">
        <f>_xlfn.XLOOKUP(A577,Class_Players!$A:$A,Class_Players!$F:$F,"")</f>
        <v>9693</v>
      </c>
      <c r="I577" s="44">
        <f t="shared" si="121"/>
        <v>0</v>
      </c>
      <c r="J577" s="43">
        <f t="shared" si="122"/>
        <v>0</v>
      </c>
      <c r="K577" s="44" cm="1">
        <f t="array" ref="K577">IF(D577="Gadget",_xlfn.IFS(I577&gt;=0.2,0.5,I577&gt;=0.1,0.35,I577&gt;=0.05,0.2,TRUE,0),IF(D577="Grenade",_xlfn.IFS(I577&gt;=0.2,1,I577&gt;=0.1,0.7,I577&gt;=0.05,0.4,TRUE,0),0))</f>
        <v>0</v>
      </c>
      <c r="L577" s="57">
        <f t="shared" si="132"/>
        <v>0</v>
      </c>
    </row>
    <row r="578" spans="1:12" x14ac:dyDescent="0.25">
      <c r="A578" s="42" t="str" cm="1">
        <f t="array" ref="A578">IFERROR(INDEX(_xlfn._xlws.FILTER(Class_Players!A:A,Class_Players!B:B="Engineer"),QUOTIENT(ROW()-ROW($A$2),12)+1),"")</f>
        <v>Klerm</v>
      </c>
      <c r="B578" s="42" t="str">
        <f>_xlfn.XLOOKUP(A578,Class_Players!$A:$A,Class_Players!$B:$B,"")</f>
        <v>Engineer</v>
      </c>
      <c r="C578" s="42" t="str" cm="1">
        <f t="array" ref="C578">INDEX(Lookups!$B$2:$B$13,MOD(ROW()-ROW($B$2),ROWS(Lookups!$B$2:$B$13))+1)</f>
        <v>MBT-LAW (Auto-Guided Launcher)</v>
      </c>
      <c r="D578" s="38" t="str">
        <f>_xlfn.XLOOKUP(C578,Analysis_Gadgets!$C:$C,Analysis_Gadgets!$B:$B)</f>
        <v>Gadget</v>
      </c>
      <c r="E578" s="43">
        <v>0</v>
      </c>
      <c r="F578" s="43">
        <f>_xlfn.XLOOKUP(A578,Class_Players!A:A,Class_Players!G:G)</f>
        <v>210</v>
      </c>
      <c r="G578" s="43">
        <f t="shared" si="120"/>
        <v>0</v>
      </c>
      <c r="H578" s="43">
        <f>_xlfn.XLOOKUP(A578,Class_Players!$A:$A,Class_Players!$F:$F,"")</f>
        <v>9025</v>
      </c>
      <c r="I578" s="44">
        <f t="shared" si="121"/>
        <v>0</v>
      </c>
      <c r="J578" s="43">
        <f t="shared" si="122"/>
        <v>0</v>
      </c>
      <c r="K578" s="44" cm="1">
        <f t="array" ref="K578">IF(D578="Gadget",_xlfn.IFS(I578&gt;=0.2,0.5,I578&gt;=0.1,0.35,I578&gt;=0.05,0.2,TRUE,0),IF(D578="Grenade",_xlfn.IFS(I578&gt;=0.2,1,I578&gt;=0.1,0.7,I578&gt;=0.05,0.4,TRUE,0),0))</f>
        <v>0</v>
      </c>
      <c r="L578" s="57">
        <f t="shared" ref="L578:L587" si="133">IF($K578=0,0,$K578 / SUMIFS($K:$K,$A:$A,$A578,$D:$D,"Gadget"))</f>
        <v>0</v>
      </c>
    </row>
    <row r="579" spans="1:12" x14ac:dyDescent="0.25">
      <c r="A579" s="42" t="str" cm="1">
        <f t="array" ref="A579">IFERROR(INDEX(_xlfn._xlws.FILTER(Class_Players!A:A,Class_Players!B:B="Engineer"),QUOTIENT(ROW()-ROW($A$2),12)+1),"")</f>
        <v>Klerm</v>
      </c>
      <c r="B579" s="42" t="str">
        <f>_xlfn.XLOOKUP(A579,Class_Players!$A:$A,Class_Players!$B:$B,"")</f>
        <v>Engineer</v>
      </c>
      <c r="C579" s="42" t="str" cm="1">
        <f t="array" ref="C579">INDEX(Lookups!$B$2:$B$13,MOD(ROW()-ROW($B$2),ROWS(Lookups!$B$2:$B$13))+1)</f>
        <v>SLM-93A (Air-Defense Launcher)</v>
      </c>
      <c r="D579" s="38" t="str">
        <f>_xlfn.XLOOKUP(C579,Analysis_Gadgets!$C:$C,Analysis_Gadgets!$B:$B)</f>
        <v>Gadget</v>
      </c>
      <c r="E579" s="43">
        <v>65</v>
      </c>
      <c r="F579" s="43">
        <f>_xlfn.XLOOKUP(A579,Class_Players!A:A,Class_Players!G:G)</f>
        <v>210</v>
      </c>
      <c r="G579" s="43">
        <f t="shared" si="120"/>
        <v>0.30952380952380953</v>
      </c>
      <c r="H579" s="43">
        <f>_xlfn.XLOOKUP(A579,Class_Players!$A:$A,Class_Players!$F:$F,"")</f>
        <v>9025</v>
      </c>
      <c r="I579" s="44">
        <f t="shared" si="121"/>
        <v>7.2022160664819944E-3</v>
      </c>
      <c r="J579" s="43">
        <f t="shared" si="122"/>
        <v>0</v>
      </c>
      <c r="K579" s="44" cm="1">
        <f t="array" ref="K579">IF(D579="Gadget",_xlfn.IFS(I579&gt;=0.2,0.5,I579&gt;=0.1,0.35,I579&gt;=0.05,0.2,TRUE,0),IF(D579="Grenade",_xlfn.IFS(I579&gt;=0.2,1,I579&gt;=0.1,0.7,I579&gt;=0.05,0.4,TRUE,0),0))</f>
        <v>0</v>
      </c>
      <c r="L579" s="57">
        <f t="shared" si="133"/>
        <v>0</v>
      </c>
    </row>
    <row r="580" spans="1:12" x14ac:dyDescent="0.25">
      <c r="A580" s="42" t="str" cm="1">
        <f t="array" ref="A580">IFERROR(INDEX(_xlfn._xlws.FILTER(Class_Players!A:A,Class_Players!B:B="Engineer"),QUOTIENT(ROW()-ROW($A$2),12)+1),"")</f>
        <v>Klerm</v>
      </c>
      <c r="B580" s="42" t="str">
        <f>_xlfn.XLOOKUP(A580,Class_Players!$A:$A,Class_Players!$B:$B,"")</f>
        <v>Engineer</v>
      </c>
      <c r="C580" s="42" t="str" cm="1">
        <f t="array" ref="C580">INDEX(Lookups!$B$2:$B$13,MOD(ROW()-ROW($B$2),ROWS(Lookups!$B$2:$B$13))+1)</f>
        <v>RPG-7V2 (Unguided Rocket Launcher)</v>
      </c>
      <c r="D580" s="38" t="str">
        <f>_xlfn.XLOOKUP(C580,Analysis_Gadgets!$C:$C,Analysis_Gadgets!$B:$B)</f>
        <v>Gadget</v>
      </c>
      <c r="E580" s="43">
        <v>77269</v>
      </c>
      <c r="F580" s="43">
        <f>_xlfn.XLOOKUP(A580,Class_Players!A:A,Class_Players!G:G)</f>
        <v>210</v>
      </c>
      <c r="G580" s="43">
        <f t="shared" si="120"/>
        <v>367.94761904761907</v>
      </c>
      <c r="H580" s="43">
        <f>_xlfn.XLOOKUP(A580,Class_Players!$A:$A,Class_Players!$F:$F,"")</f>
        <v>9025</v>
      </c>
      <c r="I580" s="44">
        <f t="shared" si="121"/>
        <v>8.5616620498614964</v>
      </c>
      <c r="J580" s="43">
        <f t="shared" si="122"/>
        <v>1</v>
      </c>
      <c r="K580" s="44" cm="1">
        <f t="array" ref="K580">IF(D580="Gadget",_xlfn.IFS(I580&gt;=0.2,0.5,I580&gt;=0.1,0.35,I580&gt;=0.05,0.2,TRUE,0),IF(D580="Grenade",_xlfn.IFS(I580&gt;=0.2,1,I580&gt;=0.1,0.7,I580&gt;=0.05,0.4,TRUE,0),0))</f>
        <v>0.5</v>
      </c>
      <c r="L580" s="57">
        <f t="shared" si="133"/>
        <v>0.5</v>
      </c>
    </row>
    <row r="581" spans="1:12" x14ac:dyDescent="0.25">
      <c r="A581" s="42" t="str" cm="1">
        <f t="array" ref="A581">IFERROR(INDEX(_xlfn._xlws.FILTER(Class_Players!A:A,Class_Players!B:B="Engineer"),QUOTIENT(ROW()-ROW($A$2),12)+1),"")</f>
        <v>Klerm</v>
      </c>
      <c r="B581" s="42" t="str">
        <f>_xlfn.XLOOKUP(A581,Class_Players!$A:$A,Class_Players!$B:$B,"")</f>
        <v>Engineer</v>
      </c>
      <c r="C581" s="42" t="str" cm="1">
        <f t="array" ref="C581">INDEX(Lookups!$B$2:$B$13,MOD(ROW()-ROW($B$2),ROWS(Lookups!$B$2:$B$13))+1)</f>
        <v>MAS 148 (Long-Range Launcher)</v>
      </c>
      <c r="D581" s="38" t="str">
        <f>_xlfn.XLOOKUP(C581,Analysis_Gadgets!$C:$C,Analysis_Gadgets!$B:$B)</f>
        <v>Gadget</v>
      </c>
      <c r="E581" s="43">
        <v>0</v>
      </c>
      <c r="F581" s="43">
        <f>_xlfn.XLOOKUP(A581,Class_Players!A:A,Class_Players!G:G)</f>
        <v>210</v>
      </c>
      <c r="G581" s="43">
        <f t="shared" si="120"/>
        <v>0</v>
      </c>
      <c r="H581" s="43">
        <f>_xlfn.XLOOKUP(A581,Class_Players!$A:$A,Class_Players!$F:$F,"")</f>
        <v>9025</v>
      </c>
      <c r="I581" s="44">
        <f t="shared" si="121"/>
        <v>0</v>
      </c>
      <c r="J581" s="43">
        <f t="shared" si="122"/>
        <v>0</v>
      </c>
      <c r="K581" s="44" cm="1">
        <f t="array" ref="K581">IF(D581="Gadget",_xlfn.IFS(I581&gt;=0.2,0.5,I581&gt;=0.1,0.35,I581&gt;=0.05,0.2,TRUE,0),IF(D581="Grenade",_xlfn.IFS(I581&gt;=0.2,1,I581&gt;=0.1,0.7,I581&gt;=0.05,0.4,TRUE,0),0))</f>
        <v>0</v>
      </c>
      <c r="L581" s="57">
        <f t="shared" si="133"/>
        <v>0</v>
      </c>
    </row>
    <row r="582" spans="1:12" x14ac:dyDescent="0.25">
      <c r="A582" s="42" t="str" cm="1">
        <f t="array" ref="A582">IFERROR(INDEX(_xlfn._xlws.FILTER(Class_Players!A:A,Class_Players!B:B="Engineer"),QUOTIENT(ROW()-ROW($A$2),12)+1),"")</f>
        <v>Klerm</v>
      </c>
      <c r="B582" s="42" t="str">
        <f>_xlfn.XLOOKUP(A582,Class_Players!$A:$A,Class_Players!$B:$B,"")</f>
        <v>Engineer</v>
      </c>
      <c r="C582" s="42" t="str" cm="1">
        <f t="array" ref="C582">INDEX(Lookups!$B$2:$B$13,MOD(ROW()-ROW($B$2),ROWS(Lookups!$B$2:$B$13))+1)</f>
        <v>M136 AT (Aim-Guided Launcher)</v>
      </c>
      <c r="D582" s="38" t="str">
        <f>_xlfn.XLOOKUP(C582,Analysis_Gadgets!$C:$C,Analysis_Gadgets!$B:$B)</f>
        <v>Gadget</v>
      </c>
      <c r="E582" s="43">
        <v>6</v>
      </c>
      <c r="F582" s="43">
        <f>_xlfn.XLOOKUP(A582,Class_Players!A:A,Class_Players!G:G)</f>
        <v>210</v>
      </c>
      <c r="G582" s="43">
        <f t="shared" ref="G582:G601" si="134">IF(F582=0,"",E582/(F582))</f>
        <v>2.8571428571428571E-2</v>
      </c>
      <c r="H582" s="43">
        <f>_xlfn.XLOOKUP(A582,Class_Players!$A:$A,Class_Players!$F:$F,"")</f>
        <v>9025</v>
      </c>
      <c r="I582" s="44">
        <f t="shared" ref="I582:I601" si="135">IF(H582=0,"",E582/H582)</f>
        <v>6.64819944598338E-4</v>
      </c>
      <c r="J582" s="43">
        <f t="shared" ref="J582:J601" si="136">IF(I582&gt;=0.1,1,0)</f>
        <v>0</v>
      </c>
      <c r="K582" s="44" cm="1">
        <f t="array" ref="K582">IF(D582="Gadget",_xlfn.IFS(I582&gt;=0.2,0.5,I582&gt;=0.1,0.35,I582&gt;=0.05,0.2,TRUE,0),IF(D582="Grenade",_xlfn.IFS(I582&gt;=0.2,1,I582&gt;=0.1,0.7,I582&gt;=0.05,0.4,TRUE,0),0))</f>
        <v>0</v>
      </c>
      <c r="L582" s="57">
        <f t="shared" si="133"/>
        <v>0</v>
      </c>
    </row>
    <row r="583" spans="1:12" x14ac:dyDescent="0.25">
      <c r="A583" s="42" t="str" cm="1">
        <f t="array" ref="A583">IFERROR(INDEX(_xlfn._xlws.FILTER(Class_Players!A:A,Class_Players!B:B="Engineer"),QUOTIENT(ROW()-ROW($A$2),12)+1),"")</f>
        <v>Klerm</v>
      </c>
      <c r="B583" s="42" t="str">
        <f>_xlfn.XLOOKUP(A583,Class_Players!$A:$A,Class_Players!$B:$B,"")</f>
        <v>Engineer</v>
      </c>
      <c r="C583" s="42" t="str" cm="1">
        <f t="array" ref="C583">INDEX(Lookups!$B$2:$B$13,MOD(ROW()-ROW($B$2),ROWS(Lookups!$B$2:$B$13))+1)</f>
        <v>Supply Crate</v>
      </c>
      <c r="D583" s="38" t="str">
        <f>_xlfn.XLOOKUP(C583,Analysis_Gadgets!$C:$C,Analysis_Gadgets!$B:$B)</f>
        <v>Gadget</v>
      </c>
      <c r="E583" s="43">
        <v>17</v>
      </c>
      <c r="F583" s="43">
        <f>_xlfn.XLOOKUP(A583,Class_Players!A:A,Class_Players!G:G)</f>
        <v>210</v>
      </c>
      <c r="G583" s="43">
        <f t="shared" si="134"/>
        <v>8.0952380952380956E-2</v>
      </c>
      <c r="H583" s="43">
        <f>_xlfn.XLOOKUP(A583,Class_Players!$A:$A,Class_Players!$F:$F,"")</f>
        <v>9025</v>
      </c>
      <c r="I583" s="44">
        <f t="shared" si="135"/>
        <v>1.8836565096952908E-3</v>
      </c>
      <c r="J583" s="43">
        <f t="shared" si="136"/>
        <v>0</v>
      </c>
      <c r="K583" s="44" cm="1">
        <f t="array" ref="K583">IF(D583="Gadget",_xlfn.IFS(I583&gt;=0.2,0.5,I583&gt;=0.1,0.35,I583&gt;=0.05,0.2,TRUE,0),IF(D583="Grenade",_xlfn.IFS(I583&gt;=0.2,1,I583&gt;=0.1,0.7,I583&gt;=0.05,0.4,TRUE,0),0))</f>
        <v>0</v>
      </c>
      <c r="L583" s="57">
        <f t="shared" si="133"/>
        <v>0</v>
      </c>
    </row>
    <row r="584" spans="1:12" x14ac:dyDescent="0.25">
      <c r="A584" s="42" t="str" cm="1">
        <f t="array" ref="A584">IFERROR(INDEX(_xlfn._xlws.FILTER(Class_Players!A:A,Class_Players!B:B="Engineer"),QUOTIENT(ROW()-ROW($A$2),12)+1),"")</f>
        <v>Klerm</v>
      </c>
      <c r="B584" s="42" t="str">
        <f>_xlfn.XLOOKUP(A584,Class_Players!$A:$A,Class_Players!$B:$B,"")</f>
        <v>Engineer</v>
      </c>
      <c r="C584" s="42" t="str" cm="1">
        <f t="array" ref="C584">INDEX(Lookups!$B$2:$B$13,MOD(ROW()-ROW($B$2),ROWS(Lookups!$B$2:$B$13))+1)</f>
        <v>M15 (Anti-Vehicle Mine)</v>
      </c>
      <c r="D584" s="38" t="str">
        <f>_xlfn.XLOOKUP(C584,Analysis_Gadgets!$C:$C,Analysis_Gadgets!$B:$B)</f>
        <v>Gadget</v>
      </c>
      <c r="E584" s="43">
        <v>3152</v>
      </c>
      <c r="F584" s="43">
        <f>_xlfn.XLOOKUP(A584,Class_Players!A:A,Class_Players!G:G)</f>
        <v>210</v>
      </c>
      <c r="G584" s="43">
        <f t="shared" si="134"/>
        <v>15.009523809523809</v>
      </c>
      <c r="H584" s="43">
        <f>_xlfn.XLOOKUP(A584,Class_Players!$A:$A,Class_Players!$F:$F,"")</f>
        <v>9025</v>
      </c>
      <c r="I584" s="44">
        <f t="shared" si="135"/>
        <v>0.34925207756232685</v>
      </c>
      <c r="J584" s="43">
        <f t="shared" si="136"/>
        <v>1</v>
      </c>
      <c r="K584" s="44" cm="1">
        <f t="array" ref="K584">IF(D584="Gadget",_xlfn.IFS(I584&gt;=0.2,0.5,I584&gt;=0.1,0.35,I584&gt;=0.05,0.2,TRUE,0),IF(D584="Grenade",_xlfn.IFS(I584&gt;=0.2,1,I584&gt;=0.1,0.7,I584&gt;=0.05,0.4,TRUE,0),0))</f>
        <v>0.5</v>
      </c>
      <c r="L584" s="57">
        <f t="shared" si="133"/>
        <v>0.5</v>
      </c>
    </row>
    <row r="585" spans="1:12" x14ac:dyDescent="0.25">
      <c r="A585" s="42" t="str" cm="1">
        <f t="array" ref="A585">IFERROR(INDEX(_xlfn._xlws.FILTER(Class_Players!A:A,Class_Players!B:B="Engineer"),QUOTIENT(ROW()-ROW($A$2),12)+1),"")</f>
        <v>Klerm</v>
      </c>
      <c r="B585" s="42" t="str">
        <f>_xlfn.XLOOKUP(A585,Class_Players!$A:$A,Class_Players!$B:$B,"")</f>
        <v>Engineer</v>
      </c>
      <c r="C585" s="42" t="str" cm="1">
        <f t="array" ref="C585">INDEX(Lookups!$B$2:$B$13,MOD(ROW()-ROW($B$2),ROWS(Lookups!$B$2:$B$13))+1)</f>
        <v>PTKM-1R (Acoustic Sensor AV Mine)</v>
      </c>
      <c r="D585" s="38" t="str">
        <f>_xlfn.XLOOKUP(C585,Analysis_Gadgets!$C:$C,Analysis_Gadgets!$B:$B)</f>
        <v>Gadget</v>
      </c>
      <c r="E585" s="43">
        <v>3</v>
      </c>
      <c r="F585" s="43">
        <f>_xlfn.XLOOKUP(A585,Class_Players!A:A,Class_Players!G:G)</f>
        <v>210</v>
      </c>
      <c r="G585" s="43">
        <f t="shared" si="134"/>
        <v>1.4285714285714285E-2</v>
      </c>
      <c r="H585" s="43">
        <f>_xlfn.XLOOKUP(A585,Class_Players!$A:$A,Class_Players!$F:$F,"")</f>
        <v>9025</v>
      </c>
      <c r="I585" s="44">
        <f t="shared" si="135"/>
        <v>3.32409972299169E-4</v>
      </c>
      <c r="J585" s="43">
        <f t="shared" si="136"/>
        <v>0</v>
      </c>
      <c r="K585" s="44" cm="1">
        <f t="array" ref="K585">IF(D585="Gadget",_xlfn.IFS(I585&gt;=0.2,0.5,I585&gt;=0.1,0.35,I585&gt;=0.05,0.2,TRUE,0),IF(D585="Grenade",_xlfn.IFS(I585&gt;=0.2,1,I585&gt;=0.1,0.7,I585&gt;=0.05,0.4,TRUE,0),0))</f>
        <v>0</v>
      </c>
      <c r="L585" s="57">
        <f t="shared" si="133"/>
        <v>0</v>
      </c>
    </row>
    <row r="586" spans="1:12" x14ac:dyDescent="0.25">
      <c r="A586" s="42" t="str" cm="1">
        <f t="array" ref="A586">IFERROR(INDEX(_xlfn._xlws.FILTER(Class_Players!A:A,Class_Players!B:B="Engineer"),QUOTIENT(ROW()-ROW($A$2),12)+1),"")</f>
        <v>Klerm</v>
      </c>
      <c r="B586" s="42" t="str">
        <f>_xlfn.XLOOKUP(A586,Class_Players!$A:$A,Class_Players!$B:$B,"")</f>
        <v>Engineer</v>
      </c>
      <c r="C586" s="42" t="str" cm="1">
        <f t="array" ref="C586">INDEX(Lookups!$B$2:$B$13,MOD(ROW()-ROW($B$2),ROWS(Lookups!$B$2:$B$13))+1)</f>
        <v>EOD Bot</v>
      </c>
      <c r="D586" s="38" t="str">
        <f>_xlfn.XLOOKUP(C586,Analysis_Gadgets!$C:$C,Analysis_Gadgets!$B:$B)</f>
        <v>Gadget</v>
      </c>
      <c r="E586" s="43">
        <v>1</v>
      </c>
      <c r="F586" s="43">
        <f>_xlfn.XLOOKUP(A586,Class_Players!A:A,Class_Players!G:G)</f>
        <v>210</v>
      </c>
      <c r="G586" s="43">
        <f t="shared" si="134"/>
        <v>4.7619047619047623E-3</v>
      </c>
      <c r="H586" s="43">
        <f>_xlfn.XLOOKUP(A586,Class_Players!$A:$A,Class_Players!$F:$F,"")</f>
        <v>9025</v>
      </c>
      <c r="I586" s="44">
        <f t="shared" si="135"/>
        <v>1.1080332409972299E-4</v>
      </c>
      <c r="J586" s="43">
        <f t="shared" si="136"/>
        <v>0</v>
      </c>
      <c r="K586" s="44" cm="1">
        <f t="array" ref="K586">IF(D586="Gadget",_xlfn.IFS(I586&gt;=0.2,0.5,I586&gt;=0.1,0.35,I586&gt;=0.05,0.2,TRUE,0),IF(D586="Grenade",_xlfn.IFS(I586&gt;=0.2,1,I586&gt;=0.1,0.7,I586&gt;=0.05,0.4,TRUE,0),0))</f>
        <v>0</v>
      </c>
      <c r="L586" s="57">
        <f t="shared" si="133"/>
        <v>0</v>
      </c>
    </row>
    <row r="587" spans="1:12" x14ac:dyDescent="0.25">
      <c r="A587" s="42" t="str" cm="1">
        <f t="array" ref="A587">IFERROR(INDEX(_xlfn._xlws.FILTER(Class_Players!A:A,Class_Players!B:B="Engineer"),QUOTIENT(ROW()-ROW($A$2),12)+1),"")</f>
        <v>Klerm</v>
      </c>
      <c r="B587" s="42" t="str">
        <f>_xlfn.XLOOKUP(A587,Class_Players!$A:$A,Class_Players!$B:$B,"")</f>
        <v>Engineer</v>
      </c>
      <c r="C587" s="42" t="str" cm="1">
        <f t="array" ref="C587">INDEX(Lookups!$B$2:$B$13,MOD(ROW()-ROW($B$2),ROWS(Lookups!$B$2:$B$13))+1)</f>
        <v>M4A1 SLAM (Tripwire Sensor AV Mine)</v>
      </c>
      <c r="D587" s="38" t="str">
        <f>_xlfn.XLOOKUP(C587,Analysis_Gadgets!$C:$C,Analysis_Gadgets!$B:$B)</f>
        <v>Gadget</v>
      </c>
      <c r="E587" s="43">
        <v>141</v>
      </c>
      <c r="F587" s="43">
        <f>_xlfn.XLOOKUP(A587,Class_Players!A:A,Class_Players!G:G)</f>
        <v>210</v>
      </c>
      <c r="G587" s="43">
        <f t="shared" si="134"/>
        <v>0.67142857142857137</v>
      </c>
      <c r="H587" s="43">
        <f>_xlfn.XLOOKUP(A587,Class_Players!$A:$A,Class_Players!$F:$F,"")</f>
        <v>9025</v>
      </c>
      <c r="I587" s="44">
        <f t="shared" si="135"/>
        <v>1.5623268698060942E-2</v>
      </c>
      <c r="J587" s="43">
        <f t="shared" si="136"/>
        <v>0</v>
      </c>
      <c r="K587" s="44" cm="1">
        <f t="array" ref="K587">IF(D587="Gadget",_xlfn.IFS(I587&gt;=0.2,0.5,I587&gt;=0.1,0.35,I587&gt;=0.05,0.2,TRUE,0),IF(D587="Grenade",_xlfn.IFS(I587&gt;=0.2,1,I587&gt;=0.1,0.7,I587&gt;=0.05,0.4,TRUE,0),0))</f>
        <v>0</v>
      </c>
      <c r="L587" s="57">
        <f t="shared" si="133"/>
        <v>0</v>
      </c>
    </row>
    <row r="588" spans="1:12" x14ac:dyDescent="0.25">
      <c r="A588" s="42" t="str" cm="1">
        <f t="array" ref="A588">IFERROR(INDEX(_xlfn._xlws.FILTER(Class_Players!A:A,Class_Players!B:B="Engineer"),QUOTIENT(ROW()-ROW($A$2),12)+1),"")</f>
        <v>Klerm</v>
      </c>
      <c r="B588" s="42" t="str">
        <f>_xlfn.XLOOKUP(A588,Class_Players!$A:$A,Class_Players!$B:$B,"")</f>
        <v>Engineer</v>
      </c>
      <c r="C588" s="42" t="str" cm="1">
        <f t="array" ref="C588">INDEX(Lookups!$B$2:$B$13,MOD(ROW()-ROW($B$2),ROWS(Lookups!$B$2:$B$13))+1)</f>
        <v>Mini Frag Grenade</v>
      </c>
      <c r="D588" s="38" t="str">
        <f>_xlfn.XLOOKUP(C588,Analysis_Gadgets!$C:$C,Analysis_Gadgets!$B:$B)</f>
        <v>Grenade</v>
      </c>
      <c r="E588" s="43">
        <v>152</v>
      </c>
      <c r="F588" s="43">
        <f>_xlfn.XLOOKUP(A588,Class_Players!A:A,Class_Players!G:G)</f>
        <v>210</v>
      </c>
      <c r="G588" s="43">
        <f t="shared" si="134"/>
        <v>0.72380952380952379</v>
      </c>
      <c r="H588" s="43">
        <f>_xlfn.XLOOKUP(A588,Class_Players!$A:$A,Class_Players!$F:$F,"")</f>
        <v>9025</v>
      </c>
      <c r="I588" s="44">
        <f t="shared" si="135"/>
        <v>1.6842105263157894E-2</v>
      </c>
      <c r="J588" s="43">
        <f t="shared" si="136"/>
        <v>0</v>
      </c>
      <c r="K588" s="44" cm="1">
        <f t="array" ref="K588">IF(D588="Gadget",_xlfn.IFS(I588&gt;=0.2,0.5,I588&gt;=0.1,0.35,I588&gt;=0.05,0.2,TRUE,0),IF(D588="Grenade",_xlfn.IFS(I588&gt;=0.2,1,I588&gt;=0.1,0.7,I588&gt;=0.05,0.4,TRUE,0),0))</f>
        <v>0</v>
      </c>
      <c r="L588" s="57">
        <f t="shared" ref="L588:L589" si="137">IF($K588=0,0,$K588 / SUMIFS($K:$K,$A:$A,$A588,$D:$D,"Grenade"))</f>
        <v>0</v>
      </c>
    </row>
    <row r="589" spans="1:12" x14ac:dyDescent="0.25">
      <c r="A589" s="42" t="str" cm="1">
        <f t="array" ref="A589">IFERROR(INDEX(_xlfn._xlws.FILTER(Class_Players!A:A,Class_Players!B:B="Engineer"),QUOTIENT(ROW()-ROW($A$2),12)+1),"")</f>
        <v>Klerm</v>
      </c>
      <c r="B589" s="42" t="str">
        <f>_xlfn.XLOOKUP(A589,Class_Players!$A:$A,Class_Players!$B:$B,"")</f>
        <v>Engineer</v>
      </c>
      <c r="C589" s="42" t="str" cm="1">
        <f t="array" ref="C589">INDEX(Lookups!$B$2:$B$13,MOD(ROW()-ROW($B$2),ROWS(Lookups!$B$2:$B$13))+1)</f>
        <v>Anti-Vehicle Grenade</v>
      </c>
      <c r="D589" s="38" t="str">
        <f>_xlfn.XLOOKUP(C589,Analysis_Gadgets!$C:$C,Analysis_Gadgets!$B:$B)</f>
        <v>Grenade</v>
      </c>
      <c r="E589" s="43">
        <v>0</v>
      </c>
      <c r="F589" s="43">
        <f>_xlfn.XLOOKUP(A589,Class_Players!A:A,Class_Players!G:G)</f>
        <v>210</v>
      </c>
      <c r="G589" s="43">
        <f t="shared" si="134"/>
        <v>0</v>
      </c>
      <c r="H589" s="43">
        <f>_xlfn.XLOOKUP(A589,Class_Players!$A:$A,Class_Players!$F:$F,"")</f>
        <v>9025</v>
      </c>
      <c r="I589" s="44">
        <f t="shared" si="135"/>
        <v>0</v>
      </c>
      <c r="J589" s="43">
        <f t="shared" si="136"/>
        <v>0</v>
      </c>
      <c r="K589" s="44" cm="1">
        <f t="array" ref="K589">IF(D589="Gadget",_xlfn.IFS(I589&gt;=0.2,0.5,I589&gt;=0.1,0.35,I589&gt;=0.05,0.2,TRUE,0),IF(D589="Grenade",_xlfn.IFS(I589&gt;=0.2,1,I589&gt;=0.1,0.7,I589&gt;=0.05,0.4,TRUE,0),0))</f>
        <v>0</v>
      </c>
      <c r="L589" s="57">
        <f t="shared" si="137"/>
        <v>0</v>
      </c>
    </row>
    <row r="590" spans="1:12" x14ac:dyDescent="0.25">
      <c r="A590" s="42" t="str" cm="1">
        <f t="array" ref="A590">IFERROR(INDEX(_xlfn._xlws.FILTER(Class_Players!A:A,Class_Players!B:B="Engineer"),QUOTIENT(ROW()-ROW($A$2),12)+1),"")</f>
        <v>HastyTh3 END</v>
      </c>
      <c r="B590" s="42" t="str">
        <f>_xlfn.XLOOKUP(A590,Class_Players!$A:$A,Class_Players!$B:$B,"")</f>
        <v>Engineer</v>
      </c>
      <c r="C590" s="42" t="str" cm="1">
        <f t="array" ref="C590">INDEX(Lookups!$B$2:$B$13,MOD(ROW()-ROW($B$2),ROWS(Lookups!$B$2:$B$13))+1)</f>
        <v>MBT-LAW (Auto-Guided Launcher)</v>
      </c>
      <c r="D590" s="38" t="str">
        <f>_xlfn.XLOOKUP(C590,Analysis_Gadgets!$C:$C,Analysis_Gadgets!$B:$B)</f>
        <v>Gadget</v>
      </c>
      <c r="E590" s="43">
        <v>0</v>
      </c>
      <c r="F590" s="43">
        <f>_xlfn.XLOOKUP(A590,Class_Players!A:A,Class_Players!G:G)</f>
        <v>197</v>
      </c>
      <c r="G590" s="43">
        <f t="shared" si="134"/>
        <v>0</v>
      </c>
      <c r="H590" s="43">
        <f>_xlfn.XLOOKUP(A590,Class_Players!$A:$A,Class_Players!$F:$F,"")</f>
        <v>9157</v>
      </c>
      <c r="I590" s="44">
        <f t="shared" si="135"/>
        <v>0</v>
      </c>
      <c r="J590" s="43">
        <f t="shared" si="136"/>
        <v>0</v>
      </c>
      <c r="K590" s="44" cm="1">
        <f t="array" ref="K590">IF(D590="Gadget",_xlfn.IFS(I590&gt;=0.2,0.5,I590&gt;=0.1,0.35,I590&gt;=0.05,0.2,TRUE,0),IF(D590="Grenade",_xlfn.IFS(I590&gt;=0.2,1,I590&gt;=0.1,0.7,I590&gt;=0.05,0.4,TRUE,0),0))</f>
        <v>0</v>
      </c>
      <c r="L590" s="57">
        <f t="shared" ref="L590:L611" si="138">IF($K590=0,0,$K590 / SUMIFS($K:$K,$A:$A,$A590,$D:$D,"Gadget"))</f>
        <v>0</v>
      </c>
    </row>
    <row r="591" spans="1:12" x14ac:dyDescent="0.25">
      <c r="A591" s="42" t="str" cm="1">
        <f t="array" ref="A591">IFERROR(INDEX(_xlfn._xlws.FILTER(Class_Players!A:A,Class_Players!B:B="Engineer"),QUOTIENT(ROW()-ROW($A$2),12)+1),"")</f>
        <v>HastyTh3 END</v>
      </c>
      <c r="B591" s="42" t="str">
        <f>_xlfn.XLOOKUP(A591,Class_Players!$A:$A,Class_Players!$B:$B,"")</f>
        <v>Engineer</v>
      </c>
      <c r="C591" s="42" t="str" cm="1">
        <f t="array" ref="C591">INDEX(Lookups!$B$2:$B$13,MOD(ROW()-ROW($B$2),ROWS(Lookups!$B$2:$B$13))+1)</f>
        <v>SLM-93A (Air-Defense Launcher)</v>
      </c>
      <c r="D591" s="38" t="str">
        <f>_xlfn.XLOOKUP(C591,Analysis_Gadgets!$C:$C,Analysis_Gadgets!$B:$B)</f>
        <v>Gadget</v>
      </c>
      <c r="E591" s="43">
        <v>672</v>
      </c>
      <c r="F591" s="43">
        <f>_xlfn.XLOOKUP(A591,Class_Players!A:A,Class_Players!G:G)</f>
        <v>197</v>
      </c>
      <c r="G591" s="43">
        <f t="shared" si="134"/>
        <v>3.4111675126903553</v>
      </c>
      <c r="H591" s="43">
        <f>_xlfn.XLOOKUP(A591,Class_Players!$A:$A,Class_Players!$F:$F,"")</f>
        <v>9157</v>
      </c>
      <c r="I591" s="44">
        <f t="shared" si="135"/>
        <v>7.3386480288304023E-2</v>
      </c>
      <c r="J591" s="43">
        <f t="shared" si="136"/>
        <v>0</v>
      </c>
      <c r="K591" s="44" cm="1">
        <f t="array" ref="K591">IF(D591="Gadget",_xlfn.IFS(I591&gt;=0.2,0.5,I591&gt;=0.1,0.35,I591&gt;=0.05,0.2,TRUE,0),IF(D591="Grenade",_xlfn.IFS(I591&gt;=0.2,1,I591&gt;=0.1,0.7,I591&gt;=0.05,0.4,TRUE,0),0))</f>
        <v>0.2</v>
      </c>
      <c r="L591" s="57">
        <f t="shared" si="138"/>
        <v>0.22222222222222227</v>
      </c>
    </row>
    <row r="592" spans="1:12" x14ac:dyDescent="0.25">
      <c r="A592" s="42" t="str" cm="1">
        <f t="array" ref="A592">IFERROR(INDEX(_xlfn._xlws.FILTER(Class_Players!A:A,Class_Players!B:B="Engineer"),QUOTIENT(ROW()-ROW($A$2),12)+1),"")</f>
        <v>HastyTh3 END</v>
      </c>
      <c r="B592" s="42" t="str">
        <f>_xlfn.XLOOKUP(A592,Class_Players!$A:$A,Class_Players!$B:$B,"")</f>
        <v>Engineer</v>
      </c>
      <c r="C592" s="42" t="str" cm="1">
        <f t="array" ref="C592">INDEX(Lookups!$B$2:$B$13,MOD(ROW()-ROW($B$2),ROWS(Lookups!$B$2:$B$13))+1)</f>
        <v>RPG-7V2 (Unguided Rocket Launcher)</v>
      </c>
      <c r="D592" s="38" t="str">
        <f>_xlfn.XLOOKUP(C592,Analysis_Gadgets!$C:$C,Analysis_Gadgets!$B:$B)</f>
        <v>Gadget</v>
      </c>
      <c r="E592" s="43">
        <v>2734</v>
      </c>
      <c r="F592" s="43">
        <f>_xlfn.XLOOKUP(A592,Class_Players!A:A,Class_Players!G:G)</f>
        <v>197</v>
      </c>
      <c r="G592" s="43">
        <f t="shared" si="134"/>
        <v>13.878172588832488</v>
      </c>
      <c r="H592" s="43">
        <f>_xlfn.XLOOKUP(A592,Class_Players!$A:$A,Class_Players!$F:$F,"")</f>
        <v>9157</v>
      </c>
      <c r="I592" s="44">
        <f t="shared" si="135"/>
        <v>0.29856940045866548</v>
      </c>
      <c r="J592" s="43">
        <f t="shared" si="136"/>
        <v>1</v>
      </c>
      <c r="K592" s="44" cm="1">
        <f t="array" ref="K592">IF(D592="Gadget",_xlfn.IFS(I592&gt;=0.2,0.5,I592&gt;=0.1,0.35,I592&gt;=0.05,0.2,TRUE,0),IF(D592="Grenade",_xlfn.IFS(I592&gt;=0.2,1,I592&gt;=0.1,0.7,I592&gt;=0.05,0.4,TRUE,0),0))</f>
        <v>0.5</v>
      </c>
      <c r="L592" s="57">
        <f t="shared" si="138"/>
        <v>0.55555555555555558</v>
      </c>
    </row>
    <row r="593" spans="1:12" x14ac:dyDescent="0.25">
      <c r="A593" s="42" t="str" cm="1">
        <f t="array" ref="A593">IFERROR(INDEX(_xlfn._xlws.FILTER(Class_Players!A:A,Class_Players!B:B="Engineer"),QUOTIENT(ROW()-ROW($A$2),12)+1),"")</f>
        <v>HastyTh3 END</v>
      </c>
      <c r="B593" s="42" t="str">
        <f>_xlfn.XLOOKUP(A593,Class_Players!$A:$A,Class_Players!$B:$B,"")</f>
        <v>Engineer</v>
      </c>
      <c r="C593" s="42" t="str" cm="1">
        <f t="array" ref="C593">INDEX(Lookups!$B$2:$B$13,MOD(ROW()-ROW($B$2),ROWS(Lookups!$B$2:$B$13))+1)</f>
        <v>MAS 148 (Long-Range Launcher)</v>
      </c>
      <c r="D593" s="38" t="str">
        <f>_xlfn.XLOOKUP(C593,Analysis_Gadgets!$C:$C,Analysis_Gadgets!$B:$B)</f>
        <v>Gadget</v>
      </c>
      <c r="E593" s="43">
        <v>27</v>
      </c>
      <c r="F593" s="43">
        <f>_xlfn.XLOOKUP(A593,Class_Players!A:A,Class_Players!G:G)</f>
        <v>197</v>
      </c>
      <c r="G593" s="43">
        <f t="shared" si="134"/>
        <v>0.13705583756345177</v>
      </c>
      <c r="H593" s="43">
        <f>_xlfn.XLOOKUP(A593,Class_Players!$A:$A,Class_Players!$F:$F,"")</f>
        <v>9157</v>
      </c>
      <c r="I593" s="44">
        <f t="shared" si="135"/>
        <v>2.9485639401550727E-3</v>
      </c>
      <c r="J593" s="43">
        <f t="shared" si="136"/>
        <v>0</v>
      </c>
      <c r="K593" s="44" cm="1">
        <f t="array" ref="K593">IF(D593="Gadget",_xlfn.IFS(I593&gt;=0.2,0.5,I593&gt;=0.1,0.35,I593&gt;=0.05,0.2,TRUE,0),IF(D593="Grenade",_xlfn.IFS(I593&gt;=0.2,1,I593&gt;=0.1,0.7,I593&gt;=0.05,0.4,TRUE,0),0))</f>
        <v>0</v>
      </c>
      <c r="L593" s="57">
        <f t="shared" si="138"/>
        <v>0</v>
      </c>
    </row>
    <row r="594" spans="1:12" x14ac:dyDescent="0.25">
      <c r="A594" s="42" t="str" cm="1">
        <f t="array" ref="A594">IFERROR(INDEX(_xlfn._xlws.FILTER(Class_Players!A:A,Class_Players!B:B="Engineer"),QUOTIENT(ROW()-ROW($A$2),12)+1),"")</f>
        <v>HastyTh3 END</v>
      </c>
      <c r="B594" s="42" t="str">
        <f>_xlfn.XLOOKUP(A594,Class_Players!$A:$A,Class_Players!$B:$B,"")</f>
        <v>Engineer</v>
      </c>
      <c r="C594" s="42" t="str" cm="1">
        <f t="array" ref="C594">INDEX(Lookups!$B$2:$B$13,MOD(ROW()-ROW($B$2),ROWS(Lookups!$B$2:$B$13))+1)</f>
        <v>M136 AT (Aim-Guided Launcher)</v>
      </c>
      <c r="D594" s="38" t="str">
        <f>_xlfn.XLOOKUP(C594,Analysis_Gadgets!$C:$C,Analysis_Gadgets!$B:$B)</f>
        <v>Gadget</v>
      </c>
      <c r="E594" s="43">
        <v>81</v>
      </c>
      <c r="F594" s="43">
        <f>_xlfn.XLOOKUP(A594,Class_Players!A:A,Class_Players!G:G)</f>
        <v>197</v>
      </c>
      <c r="G594" s="43">
        <f t="shared" si="134"/>
        <v>0.41116751269035534</v>
      </c>
      <c r="H594" s="43">
        <f>_xlfn.XLOOKUP(A594,Class_Players!$A:$A,Class_Players!$F:$F,"")</f>
        <v>9157</v>
      </c>
      <c r="I594" s="44">
        <f t="shared" si="135"/>
        <v>8.8456918204652176E-3</v>
      </c>
      <c r="J594" s="43">
        <f t="shared" si="136"/>
        <v>0</v>
      </c>
      <c r="K594" s="44" cm="1">
        <f t="array" ref="K594">IF(D594="Gadget",_xlfn.IFS(I594&gt;=0.2,0.5,I594&gt;=0.1,0.35,I594&gt;=0.05,0.2,TRUE,0),IF(D594="Grenade",_xlfn.IFS(I594&gt;=0.2,1,I594&gt;=0.1,0.7,I594&gt;=0.05,0.4,TRUE,0),0))</f>
        <v>0</v>
      </c>
      <c r="L594" s="57">
        <f t="shared" si="138"/>
        <v>0</v>
      </c>
    </row>
    <row r="595" spans="1:12" x14ac:dyDescent="0.25">
      <c r="A595" s="42" t="str" cm="1">
        <f t="array" ref="A595">IFERROR(INDEX(_xlfn._xlws.FILTER(Class_Players!A:A,Class_Players!B:B="Engineer"),QUOTIENT(ROW()-ROW($A$2),12)+1),"")</f>
        <v>HastyTh3 END</v>
      </c>
      <c r="B595" s="42" t="str">
        <f>_xlfn.XLOOKUP(A595,Class_Players!$A:$A,Class_Players!$B:$B,"")</f>
        <v>Engineer</v>
      </c>
      <c r="C595" s="42" t="str" cm="1">
        <f t="array" ref="C595">INDEX(Lookups!$B$2:$B$13,MOD(ROW()-ROW($B$2),ROWS(Lookups!$B$2:$B$13))+1)</f>
        <v>Supply Crate</v>
      </c>
      <c r="D595" s="38" t="str">
        <f>_xlfn.XLOOKUP(C595,Analysis_Gadgets!$C:$C,Analysis_Gadgets!$B:$B)</f>
        <v>Gadget</v>
      </c>
      <c r="E595" s="43">
        <v>10</v>
      </c>
      <c r="F595" s="43">
        <f>_xlfn.XLOOKUP(A595,Class_Players!A:A,Class_Players!G:G)</f>
        <v>197</v>
      </c>
      <c r="G595" s="43">
        <f t="shared" si="134"/>
        <v>5.0761421319796954E-2</v>
      </c>
      <c r="H595" s="43">
        <f>_xlfn.XLOOKUP(A595,Class_Players!$A:$A,Class_Players!$F:$F,"")</f>
        <v>9157</v>
      </c>
      <c r="I595" s="44">
        <f t="shared" si="135"/>
        <v>1.0920607185759528E-3</v>
      </c>
      <c r="J595" s="43">
        <f t="shared" si="136"/>
        <v>0</v>
      </c>
      <c r="K595" s="44" cm="1">
        <f t="array" ref="K595">IF(D595="Gadget",_xlfn.IFS(I595&gt;=0.2,0.5,I595&gt;=0.1,0.35,I595&gt;=0.05,0.2,TRUE,0),IF(D595="Grenade",_xlfn.IFS(I595&gt;=0.2,1,I595&gt;=0.1,0.7,I595&gt;=0.05,0.4,TRUE,0),0))</f>
        <v>0</v>
      </c>
      <c r="L595" s="57">
        <f t="shared" si="138"/>
        <v>0</v>
      </c>
    </row>
    <row r="596" spans="1:12" x14ac:dyDescent="0.25">
      <c r="A596" s="42" t="str" cm="1">
        <f t="array" ref="A596">IFERROR(INDEX(_xlfn._xlws.FILTER(Class_Players!A:A,Class_Players!B:B="Engineer"),QUOTIENT(ROW()-ROW($A$2),12)+1),"")</f>
        <v>HastyTh3 END</v>
      </c>
      <c r="B596" s="42" t="str">
        <f>_xlfn.XLOOKUP(A596,Class_Players!$A:$A,Class_Players!$B:$B,"")</f>
        <v>Engineer</v>
      </c>
      <c r="C596" s="42" t="str" cm="1">
        <f t="array" ref="C596">INDEX(Lookups!$B$2:$B$13,MOD(ROW()-ROW($B$2),ROWS(Lookups!$B$2:$B$13))+1)</f>
        <v>M15 (Anti-Vehicle Mine)</v>
      </c>
      <c r="D596" s="38" t="str">
        <f>_xlfn.XLOOKUP(C596,Analysis_Gadgets!$C:$C,Analysis_Gadgets!$B:$B)</f>
        <v>Gadget</v>
      </c>
      <c r="E596" s="43">
        <v>604</v>
      </c>
      <c r="F596" s="43">
        <f>_xlfn.XLOOKUP(A596,Class_Players!A:A,Class_Players!G:G)</f>
        <v>197</v>
      </c>
      <c r="G596" s="43">
        <f t="shared" si="134"/>
        <v>3.0659898477157359</v>
      </c>
      <c r="H596" s="43">
        <f>_xlfn.XLOOKUP(A596,Class_Players!$A:$A,Class_Players!$F:$F,"")</f>
        <v>9157</v>
      </c>
      <c r="I596" s="44">
        <f t="shared" si="135"/>
        <v>6.5960467401987549E-2</v>
      </c>
      <c r="J596" s="43">
        <f t="shared" si="136"/>
        <v>0</v>
      </c>
      <c r="K596" s="44" cm="1">
        <f t="array" ref="K596">IF(D596="Gadget",_xlfn.IFS(I596&gt;=0.2,0.5,I596&gt;=0.1,0.35,I596&gt;=0.05,0.2,TRUE,0),IF(D596="Grenade",_xlfn.IFS(I596&gt;=0.2,1,I596&gt;=0.1,0.7,I596&gt;=0.05,0.4,TRUE,0),0))</f>
        <v>0.2</v>
      </c>
      <c r="L596" s="57">
        <f t="shared" si="138"/>
        <v>0.22222222222222227</v>
      </c>
    </row>
    <row r="597" spans="1:12" x14ac:dyDescent="0.25">
      <c r="A597" s="42" t="str" cm="1">
        <f t="array" ref="A597">IFERROR(INDEX(_xlfn._xlws.FILTER(Class_Players!A:A,Class_Players!B:B="Engineer"),QUOTIENT(ROW()-ROW($A$2),12)+1),"")</f>
        <v>HastyTh3 END</v>
      </c>
      <c r="B597" s="42" t="str">
        <f>_xlfn.XLOOKUP(A597,Class_Players!$A:$A,Class_Players!$B:$B,"")</f>
        <v>Engineer</v>
      </c>
      <c r="C597" s="42" t="str" cm="1">
        <f t="array" ref="C597">INDEX(Lookups!$B$2:$B$13,MOD(ROW()-ROW($B$2),ROWS(Lookups!$B$2:$B$13))+1)</f>
        <v>PTKM-1R (Acoustic Sensor AV Mine)</v>
      </c>
      <c r="D597" s="38" t="str">
        <f>_xlfn.XLOOKUP(C597,Analysis_Gadgets!$C:$C,Analysis_Gadgets!$B:$B)</f>
        <v>Gadget</v>
      </c>
      <c r="E597" s="43">
        <v>1</v>
      </c>
      <c r="F597" s="43">
        <f>_xlfn.XLOOKUP(A597,Class_Players!A:A,Class_Players!G:G)</f>
        <v>197</v>
      </c>
      <c r="G597" s="43">
        <f t="shared" si="134"/>
        <v>5.076142131979695E-3</v>
      </c>
      <c r="H597" s="43">
        <f>_xlfn.XLOOKUP(A597,Class_Players!$A:$A,Class_Players!$F:$F,"")</f>
        <v>9157</v>
      </c>
      <c r="I597" s="44">
        <f t="shared" si="135"/>
        <v>1.0920607185759528E-4</v>
      </c>
      <c r="J597" s="43">
        <f t="shared" si="136"/>
        <v>0</v>
      </c>
      <c r="K597" s="44" cm="1">
        <f t="array" ref="K597">IF(D597="Gadget",_xlfn.IFS(I597&gt;=0.2,0.5,I597&gt;=0.1,0.35,I597&gt;=0.05,0.2,TRUE,0),IF(D597="Grenade",_xlfn.IFS(I597&gt;=0.2,1,I597&gt;=0.1,0.7,I597&gt;=0.05,0.4,TRUE,0),0))</f>
        <v>0</v>
      </c>
      <c r="L597" s="57">
        <f t="shared" si="138"/>
        <v>0</v>
      </c>
    </row>
    <row r="598" spans="1:12" x14ac:dyDescent="0.25">
      <c r="A598" s="42" t="str" cm="1">
        <f t="array" ref="A598">IFERROR(INDEX(_xlfn._xlws.FILTER(Class_Players!A:A,Class_Players!B:B="Engineer"),QUOTIENT(ROW()-ROW($A$2),12)+1),"")</f>
        <v>HastyTh3 END</v>
      </c>
      <c r="B598" s="42" t="str">
        <f>_xlfn.XLOOKUP(A598,Class_Players!$A:$A,Class_Players!$B:$B,"")</f>
        <v>Engineer</v>
      </c>
      <c r="C598" s="42" t="str" cm="1">
        <f t="array" ref="C598">INDEX(Lookups!$B$2:$B$13,MOD(ROW()-ROW($B$2),ROWS(Lookups!$B$2:$B$13))+1)</f>
        <v>EOD Bot</v>
      </c>
      <c r="D598" s="38" t="str">
        <f>_xlfn.XLOOKUP(C598,Analysis_Gadgets!$C:$C,Analysis_Gadgets!$B:$B)</f>
        <v>Gadget</v>
      </c>
      <c r="E598" s="43">
        <v>229</v>
      </c>
      <c r="F598" s="43">
        <f>_xlfn.XLOOKUP(A598,Class_Players!A:A,Class_Players!G:G)</f>
        <v>197</v>
      </c>
      <c r="G598" s="43">
        <f t="shared" si="134"/>
        <v>1.1624365482233503</v>
      </c>
      <c r="H598" s="43">
        <f>_xlfn.XLOOKUP(A598,Class_Players!$A:$A,Class_Players!$F:$F,"")</f>
        <v>9157</v>
      </c>
      <c r="I598" s="44">
        <f t="shared" si="135"/>
        <v>2.500819045538932E-2</v>
      </c>
      <c r="J598" s="43">
        <f t="shared" si="136"/>
        <v>0</v>
      </c>
      <c r="K598" s="44" cm="1">
        <f t="array" ref="K598">IF(D598="Gadget",_xlfn.IFS(I598&gt;=0.2,0.5,I598&gt;=0.1,0.35,I598&gt;=0.05,0.2,TRUE,0),IF(D598="Grenade",_xlfn.IFS(I598&gt;=0.2,1,I598&gt;=0.1,0.7,I598&gt;=0.05,0.4,TRUE,0),0))</f>
        <v>0</v>
      </c>
      <c r="L598" s="57">
        <f t="shared" si="138"/>
        <v>0</v>
      </c>
    </row>
    <row r="599" spans="1:12" x14ac:dyDescent="0.25">
      <c r="A599" s="42" t="str" cm="1">
        <f t="array" ref="A599">IFERROR(INDEX(_xlfn._xlws.FILTER(Class_Players!A:A,Class_Players!B:B="Engineer"),QUOTIENT(ROW()-ROW($A$2),12)+1),"")</f>
        <v>HastyTh3 END</v>
      </c>
      <c r="B599" s="42" t="str">
        <f>_xlfn.XLOOKUP(A599,Class_Players!$A:$A,Class_Players!$B:$B,"")</f>
        <v>Engineer</v>
      </c>
      <c r="C599" s="42" t="str" cm="1">
        <f t="array" ref="C599">INDEX(Lookups!$B$2:$B$13,MOD(ROW()-ROW($B$2),ROWS(Lookups!$B$2:$B$13))+1)</f>
        <v>M4A1 SLAM (Tripwire Sensor AV Mine)</v>
      </c>
      <c r="D599" s="38" t="str">
        <f>_xlfn.XLOOKUP(C599,Analysis_Gadgets!$C:$C,Analysis_Gadgets!$B:$B)</f>
        <v>Gadget</v>
      </c>
      <c r="E599" s="43">
        <v>0</v>
      </c>
      <c r="F599" s="43">
        <f>_xlfn.XLOOKUP(A599,Class_Players!A:A,Class_Players!G:G)</f>
        <v>197</v>
      </c>
      <c r="G599" s="43">
        <f t="shared" si="134"/>
        <v>0</v>
      </c>
      <c r="H599" s="43">
        <f>_xlfn.XLOOKUP(A599,Class_Players!$A:$A,Class_Players!$F:$F,"")</f>
        <v>9157</v>
      </c>
      <c r="I599" s="44">
        <f t="shared" si="135"/>
        <v>0</v>
      </c>
      <c r="J599" s="43">
        <f t="shared" si="136"/>
        <v>0</v>
      </c>
      <c r="K599" s="44" cm="1">
        <f t="array" ref="K599">IF(D599="Gadget",_xlfn.IFS(I599&gt;=0.2,0.5,I599&gt;=0.1,0.35,I599&gt;=0.05,0.2,TRUE,0),IF(D599="Grenade",_xlfn.IFS(I599&gt;=0.2,1,I599&gt;=0.1,0.7,I599&gt;=0.05,0.4,TRUE,0),0))</f>
        <v>0</v>
      </c>
      <c r="L599" s="57">
        <f t="shared" si="138"/>
        <v>0</v>
      </c>
    </row>
    <row r="600" spans="1:12" x14ac:dyDescent="0.25">
      <c r="A600" s="42" t="str" cm="1">
        <f t="array" ref="A600">IFERROR(INDEX(_xlfn._xlws.FILTER(Class_Players!A:A,Class_Players!B:B="Engineer"),QUOTIENT(ROW()-ROW($A$2),12)+1),"")</f>
        <v>HastyTh3 END</v>
      </c>
      <c r="B600" s="42" t="str">
        <f>_xlfn.XLOOKUP(A600,Class_Players!$A:$A,Class_Players!$B:$B,"")</f>
        <v>Engineer</v>
      </c>
      <c r="C600" s="42" t="str" cm="1">
        <f t="array" ref="C600">INDEX(Lookups!$B$2:$B$13,MOD(ROW()-ROW($B$2),ROWS(Lookups!$B$2:$B$13))+1)</f>
        <v>Mini Frag Grenade</v>
      </c>
      <c r="D600" s="38" t="str">
        <f>_xlfn.XLOOKUP(C600,Analysis_Gadgets!$C:$C,Analysis_Gadgets!$B:$B)</f>
        <v>Grenade</v>
      </c>
      <c r="E600" s="43">
        <v>308</v>
      </c>
      <c r="F600" s="43">
        <f>_xlfn.XLOOKUP(A600,Class_Players!A:A,Class_Players!G:G)</f>
        <v>197</v>
      </c>
      <c r="G600" s="43">
        <f t="shared" si="134"/>
        <v>1.5634517766497462</v>
      </c>
      <c r="H600" s="43">
        <f>_xlfn.XLOOKUP(A600,Class_Players!$A:$A,Class_Players!$F:$F,"")</f>
        <v>9157</v>
      </c>
      <c r="I600" s="44">
        <f t="shared" si="135"/>
        <v>3.3635470132139349E-2</v>
      </c>
      <c r="J600" s="43">
        <f t="shared" si="136"/>
        <v>0</v>
      </c>
      <c r="K600" s="44" cm="1">
        <f t="array" ref="K600">IF(D600="Gadget",_xlfn.IFS(I600&gt;=0.2,0.5,I600&gt;=0.1,0.35,I600&gt;=0.05,0.2,TRUE,0),IF(D600="Grenade",_xlfn.IFS(I600&gt;=0.2,1,I600&gt;=0.1,0.7,I600&gt;=0.05,0.4,TRUE,0),0))</f>
        <v>0</v>
      </c>
      <c r="L600" s="57">
        <f t="shared" ref="L600:L601" si="139">IF($K600=0,0,$K600 / SUMIFS($K:$K,$A:$A,$A600,$D:$D,"Grenade"))</f>
        <v>0</v>
      </c>
    </row>
    <row r="601" spans="1:12" x14ac:dyDescent="0.25">
      <c r="A601" s="42" t="str" cm="1">
        <f t="array" ref="A601">IFERROR(INDEX(_xlfn._xlws.FILTER(Class_Players!A:A,Class_Players!B:B="Engineer"),QUOTIENT(ROW()-ROW($A$2),12)+1),"")</f>
        <v>HastyTh3 END</v>
      </c>
      <c r="B601" s="42" t="str">
        <f>_xlfn.XLOOKUP(A601,Class_Players!$A:$A,Class_Players!$B:$B,"")</f>
        <v>Engineer</v>
      </c>
      <c r="C601" s="42" t="str" cm="1">
        <f t="array" ref="C601">INDEX(Lookups!$B$2:$B$13,MOD(ROW()-ROW($B$2),ROWS(Lookups!$B$2:$B$13))+1)</f>
        <v>Anti-Vehicle Grenade</v>
      </c>
      <c r="D601" s="38" t="str">
        <f>_xlfn.XLOOKUP(C601,Analysis_Gadgets!$C:$C,Analysis_Gadgets!$B:$B)</f>
        <v>Grenade</v>
      </c>
      <c r="E601" s="43">
        <v>0</v>
      </c>
      <c r="F601" s="43">
        <f>_xlfn.XLOOKUP(A601,Class_Players!A:A,Class_Players!G:G)</f>
        <v>197</v>
      </c>
      <c r="G601" s="43">
        <f t="shared" si="134"/>
        <v>0</v>
      </c>
      <c r="H601" s="43">
        <f>_xlfn.XLOOKUP(A601,Class_Players!$A:$A,Class_Players!$F:$F,"")</f>
        <v>9157</v>
      </c>
      <c r="I601" s="44">
        <f t="shared" si="135"/>
        <v>0</v>
      </c>
      <c r="J601" s="43">
        <f t="shared" si="136"/>
        <v>0</v>
      </c>
      <c r="K601" s="44" cm="1">
        <f t="array" ref="K601">IF(D601="Gadget",_xlfn.IFS(I601&gt;=0.2,0.5,I601&gt;=0.1,0.35,I601&gt;=0.05,0.2,TRUE,0),IF(D601="Grenade",_xlfn.IFS(I601&gt;=0.2,1,I601&gt;=0.1,0.7,I601&gt;=0.05,0.4,TRUE,0),0))</f>
        <v>0</v>
      </c>
      <c r="L601" s="57">
        <f t="shared" si="139"/>
        <v>0</v>
      </c>
    </row>
    <row r="602" spans="1:12" x14ac:dyDescent="0.25">
      <c r="A602" s="42" t="str" cm="1">
        <f t="array" ref="A602">IFERROR(INDEX(_xlfn._xlws.FILTER(Class_Players!A:A,Class_Players!B:B="Engineer"),QUOTIENT(ROW()-ROW($A$2),12)+1),"")</f>
        <v>Sir_Spongey_</v>
      </c>
      <c r="B602" s="42" t="str">
        <f>_xlfn.XLOOKUP(A602,Class_Players!$A:$A,Class_Players!$B:$B,"")</f>
        <v>Engineer</v>
      </c>
      <c r="C602" s="42" t="str" cm="1">
        <f t="array" ref="C602">INDEX(Lookups!$B$2:$B$13,MOD(ROW()-ROW($B$2),ROWS(Lookups!$B$2:$B$13))+1)</f>
        <v>MBT-LAW (Auto-Guided Launcher)</v>
      </c>
      <c r="D602" s="38" t="str">
        <f>_xlfn.XLOOKUP(C602,Analysis_Gadgets!$C:$C,Analysis_Gadgets!$B:$B)</f>
        <v>Gadget</v>
      </c>
      <c r="E602" s="43">
        <v>0</v>
      </c>
      <c r="F602" s="43">
        <f>_xlfn.XLOOKUP(A602,Class_Players!A:A,Class_Players!G:G)</f>
        <v>224</v>
      </c>
      <c r="G602" s="43">
        <f t="shared" ref="G602:G625" si="140">IF(F602=0,"",E602/(F602))</f>
        <v>0</v>
      </c>
      <c r="H602" s="43">
        <f>_xlfn.XLOOKUP(A602,Class_Players!$A:$A,Class_Players!$F:$F,"")</f>
        <v>9074</v>
      </c>
      <c r="I602" s="44">
        <f t="shared" ref="I602:I625" si="141">IF(H602=0,"",E602/H602)</f>
        <v>0</v>
      </c>
      <c r="J602" s="43">
        <f t="shared" ref="J602:J625" si="142">IF(I602&gt;=0.1,1,0)</f>
        <v>0</v>
      </c>
      <c r="K602" s="44" cm="1">
        <f t="array" ref="K602">IF(D602="Gadget",_xlfn.IFS(I602&gt;=0.2,0.5,I602&gt;=0.1,0.35,I602&gt;=0.05,0.2,TRUE,0),IF(D602="Grenade",_xlfn.IFS(I602&gt;=0.2,1,I602&gt;=0.1,0.7,I602&gt;=0.05,0.4,TRUE,0),0))</f>
        <v>0</v>
      </c>
      <c r="L602" s="57">
        <f t="shared" si="138"/>
        <v>0</v>
      </c>
    </row>
    <row r="603" spans="1:12" x14ac:dyDescent="0.25">
      <c r="A603" s="42" t="str" cm="1">
        <f t="array" ref="A603">IFERROR(INDEX(_xlfn._xlws.FILTER(Class_Players!A:A,Class_Players!B:B="Engineer"),QUOTIENT(ROW()-ROW($A$2),12)+1),"")</f>
        <v>Sir_Spongey_</v>
      </c>
      <c r="B603" s="42" t="str">
        <f>_xlfn.XLOOKUP(A603,Class_Players!$A:$A,Class_Players!$B:$B,"")</f>
        <v>Engineer</v>
      </c>
      <c r="C603" s="42" t="str" cm="1">
        <f t="array" ref="C603">INDEX(Lookups!$B$2:$B$13,MOD(ROW()-ROW($B$2),ROWS(Lookups!$B$2:$B$13))+1)</f>
        <v>SLM-93A (Air-Defense Launcher)</v>
      </c>
      <c r="D603" s="38" t="str">
        <f>_xlfn.XLOOKUP(C603,Analysis_Gadgets!$C:$C,Analysis_Gadgets!$B:$B)</f>
        <v>Gadget</v>
      </c>
      <c r="E603" s="43">
        <v>75</v>
      </c>
      <c r="F603" s="43">
        <f>_xlfn.XLOOKUP(A603,Class_Players!A:A,Class_Players!G:G)</f>
        <v>224</v>
      </c>
      <c r="G603" s="43">
        <f t="shared" si="140"/>
        <v>0.33482142857142855</v>
      </c>
      <c r="H603" s="43">
        <f>_xlfn.XLOOKUP(A603,Class_Players!$A:$A,Class_Players!$F:$F,"")</f>
        <v>9074</v>
      </c>
      <c r="I603" s="44">
        <f t="shared" si="141"/>
        <v>8.2653735948864885E-3</v>
      </c>
      <c r="J603" s="43">
        <f t="shared" si="142"/>
        <v>0</v>
      </c>
      <c r="K603" s="44" cm="1">
        <f t="array" ref="K603">IF(D603="Gadget",_xlfn.IFS(I603&gt;=0.2,0.5,I603&gt;=0.1,0.35,I603&gt;=0.05,0.2,TRUE,0),IF(D603="Grenade",_xlfn.IFS(I603&gt;=0.2,1,I603&gt;=0.1,0.7,I603&gt;=0.05,0.4,TRUE,0),0))</f>
        <v>0</v>
      </c>
      <c r="L603" s="57">
        <f t="shared" si="138"/>
        <v>0</v>
      </c>
    </row>
    <row r="604" spans="1:12" x14ac:dyDescent="0.25">
      <c r="A604" s="42" t="str" cm="1">
        <f t="array" ref="A604">IFERROR(INDEX(_xlfn._xlws.FILTER(Class_Players!A:A,Class_Players!B:B="Engineer"),QUOTIENT(ROW()-ROW($A$2),12)+1),"")</f>
        <v>Sir_Spongey_</v>
      </c>
      <c r="B604" s="42" t="str">
        <f>_xlfn.XLOOKUP(A604,Class_Players!$A:$A,Class_Players!$B:$B,"")</f>
        <v>Engineer</v>
      </c>
      <c r="C604" s="42" t="str" cm="1">
        <f t="array" ref="C604">INDEX(Lookups!$B$2:$B$13,MOD(ROW()-ROW($B$2),ROWS(Lookups!$B$2:$B$13))+1)</f>
        <v>RPG-7V2 (Unguided Rocket Launcher)</v>
      </c>
      <c r="D604" s="38" t="str">
        <f>_xlfn.XLOOKUP(C604,Analysis_Gadgets!$C:$C,Analysis_Gadgets!$B:$B)</f>
        <v>Gadget</v>
      </c>
      <c r="E604" s="43">
        <v>7225</v>
      </c>
      <c r="F604" s="43">
        <f>_xlfn.XLOOKUP(A604,Class_Players!A:A,Class_Players!G:G)</f>
        <v>224</v>
      </c>
      <c r="G604" s="43">
        <f t="shared" si="140"/>
        <v>32.254464285714285</v>
      </c>
      <c r="H604" s="43">
        <f>_xlfn.XLOOKUP(A604,Class_Players!$A:$A,Class_Players!$F:$F,"")</f>
        <v>9074</v>
      </c>
      <c r="I604" s="44">
        <f t="shared" si="141"/>
        <v>0.7962309896407318</v>
      </c>
      <c r="J604" s="43">
        <f t="shared" si="142"/>
        <v>1</v>
      </c>
      <c r="K604" s="44" cm="1">
        <f t="array" ref="K604">IF(D604="Gadget",_xlfn.IFS(I604&gt;=0.2,0.5,I604&gt;=0.1,0.35,I604&gt;=0.05,0.2,TRUE,0),IF(D604="Grenade",_xlfn.IFS(I604&gt;=0.2,1,I604&gt;=0.1,0.7,I604&gt;=0.05,0.4,TRUE,0),0))</f>
        <v>0.5</v>
      </c>
      <c r="L604" s="57">
        <f t="shared" si="138"/>
        <v>0.58823529411764708</v>
      </c>
    </row>
    <row r="605" spans="1:12" x14ac:dyDescent="0.25">
      <c r="A605" s="42" t="str" cm="1">
        <f t="array" ref="A605">IFERROR(INDEX(_xlfn._xlws.FILTER(Class_Players!A:A,Class_Players!B:B="Engineer"),QUOTIENT(ROW()-ROW($A$2),12)+1),"")</f>
        <v>Sir_Spongey_</v>
      </c>
      <c r="B605" s="42" t="str">
        <f>_xlfn.XLOOKUP(A605,Class_Players!$A:$A,Class_Players!$B:$B,"")</f>
        <v>Engineer</v>
      </c>
      <c r="C605" s="42" t="str" cm="1">
        <f t="array" ref="C605">INDEX(Lookups!$B$2:$B$13,MOD(ROW()-ROW($B$2),ROWS(Lookups!$B$2:$B$13))+1)</f>
        <v>MAS 148 (Long-Range Launcher)</v>
      </c>
      <c r="D605" s="38" t="str">
        <f>_xlfn.XLOOKUP(C605,Analysis_Gadgets!$C:$C,Analysis_Gadgets!$B:$B)</f>
        <v>Gadget</v>
      </c>
      <c r="E605" s="43">
        <v>5</v>
      </c>
      <c r="F605" s="43">
        <f>_xlfn.XLOOKUP(A605,Class_Players!A:A,Class_Players!G:G)</f>
        <v>224</v>
      </c>
      <c r="G605" s="43">
        <f t="shared" si="140"/>
        <v>2.2321428571428572E-2</v>
      </c>
      <c r="H605" s="43">
        <f>_xlfn.XLOOKUP(A605,Class_Players!$A:$A,Class_Players!$F:$F,"")</f>
        <v>9074</v>
      </c>
      <c r="I605" s="44">
        <f t="shared" si="141"/>
        <v>5.5102490632576596E-4</v>
      </c>
      <c r="J605" s="43">
        <f t="shared" si="142"/>
        <v>0</v>
      </c>
      <c r="K605" s="44" cm="1">
        <f t="array" ref="K605">IF(D605="Gadget",_xlfn.IFS(I605&gt;=0.2,0.5,I605&gt;=0.1,0.35,I605&gt;=0.05,0.2,TRUE,0),IF(D605="Grenade",_xlfn.IFS(I605&gt;=0.2,1,I605&gt;=0.1,0.7,I605&gt;=0.05,0.4,TRUE,0),0))</f>
        <v>0</v>
      </c>
      <c r="L605" s="57">
        <f t="shared" si="138"/>
        <v>0</v>
      </c>
    </row>
    <row r="606" spans="1:12" x14ac:dyDescent="0.25">
      <c r="A606" s="42" t="str" cm="1">
        <f t="array" ref="A606">IFERROR(INDEX(_xlfn._xlws.FILTER(Class_Players!A:A,Class_Players!B:B="Engineer"),QUOTIENT(ROW()-ROW($A$2),12)+1),"")</f>
        <v>Sir_Spongey_</v>
      </c>
      <c r="B606" s="42" t="str">
        <f>_xlfn.XLOOKUP(A606,Class_Players!$A:$A,Class_Players!$B:$B,"")</f>
        <v>Engineer</v>
      </c>
      <c r="C606" s="42" t="str" cm="1">
        <f t="array" ref="C606">INDEX(Lookups!$B$2:$B$13,MOD(ROW()-ROW($B$2),ROWS(Lookups!$B$2:$B$13))+1)</f>
        <v>M136 AT (Aim-Guided Launcher)</v>
      </c>
      <c r="D606" s="38" t="str">
        <f>_xlfn.XLOOKUP(C606,Analysis_Gadgets!$C:$C,Analysis_Gadgets!$B:$B)</f>
        <v>Gadget</v>
      </c>
      <c r="E606" s="43">
        <v>14</v>
      </c>
      <c r="F606" s="43">
        <f>_xlfn.XLOOKUP(A606,Class_Players!A:A,Class_Players!G:G)</f>
        <v>224</v>
      </c>
      <c r="G606" s="43">
        <f t="shared" si="140"/>
        <v>6.25E-2</v>
      </c>
      <c r="H606" s="43">
        <f>_xlfn.XLOOKUP(A606,Class_Players!$A:$A,Class_Players!$F:$F,"")</f>
        <v>9074</v>
      </c>
      <c r="I606" s="44">
        <f t="shared" si="141"/>
        <v>1.5428697377121445E-3</v>
      </c>
      <c r="J606" s="43">
        <f t="shared" si="142"/>
        <v>0</v>
      </c>
      <c r="K606" s="44" cm="1">
        <f t="array" ref="K606">IF(D606="Gadget",_xlfn.IFS(I606&gt;=0.2,0.5,I606&gt;=0.1,0.35,I606&gt;=0.05,0.2,TRUE,0),IF(D606="Grenade",_xlfn.IFS(I606&gt;=0.2,1,I606&gt;=0.1,0.7,I606&gt;=0.05,0.4,TRUE,0),0))</f>
        <v>0</v>
      </c>
      <c r="L606" s="57">
        <f t="shared" si="138"/>
        <v>0</v>
      </c>
    </row>
    <row r="607" spans="1:12" x14ac:dyDescent="0.25">
      <c r="A607" s="42" t="str" cm="1">
        <f t="array" ref="A607">IFERROR(INDEX(_xlfn._xlws.FILTER(Class_Players!A:A,Class_Players!B:B="Engineer"),QUOTIENT(ROW()-ROW($A$2),12)+1),"")</f>
        <v>Sir_Spongey_</v>
      </c>
      <c r="B607" s="42" t="str">
        <f>_xlfn.XLOOKUP(A607,Class_Players!$A:$A,Class_Players!$B:$B,"")</f>
        <v>Engineer</v>
      </c>
      <c r="C607" s="42" t="str" cm="1">
        <f t="array" ref="C607">INDEX(Lookups!$B$2:$B$13,MOD(ROW()-ROW($B$2),ROWS(Lookups!$B$2:$B$13))+1)</f>
        <v>Supply Crate</v>
      </c>
      <c r="D607" s="38" t="str">
        <f>_xlfn.XLOOKUP(C607,Analysis_Gadgets!$C:$C,Analysis_Gadgets!$B:$B)</f>
        <v>Gadget</v>
      </c>
      <c r="E607" s="43">
        <v>6</v>
      </c>
      <c r="F607" s="43">
        <f>_xlfn.XLOOKUP(A607,Class_Players!A:A,Class_Players!G:G)</f>
        <v>224</v>
      </c>
      <c r="G607" s="43">
        <f t="shared" si="140"/>
        <v>2.6785714285714284E-2</v>
      </c>
      <c r="H607" s="43">
        <f>_xlfn.XLOOKUP(A607,Class_Players!$A:$A,Class_Players!$F:$F,"")</f>
        <v>9074</v>
      </c>
      <c r="I607" s="44">
        <f t="shared" si="141"/>
        <v>6.6122988759091911E-4</v>
      </c>
      <c r="J607" s="43">
        <f t="shared" si="142"/>
        <v>0</v>
      </c>
      <c r="K607" s="44" cm="1">
        <f t="array" ref="K607">IF(D607="Gadget",_xlfn.IFS(I607&gt;=0.2,0.5,I607&gt;=0.1,0.35,I607&gt;=0.05,0.2,TRUE,0),IF(D607="Grenade",_xlfn.IFS(I607&gt;=0.2,1,I607&gt;=0.1,0.7,I607&gt;=0.05,0.4,TRUE,0),0))</f>
        <v>0</v>
      </c>
      <c r="L607" s="57">
        <f t="shared" si="138"/>
        <v>0</v>
      </c>
    </row>
    <row r="608" spans="1:12" x14ac:dyDescent="0.25">
      <c r="A608" s="42" t="str" cm="1">
        <f t="array" ref="A608">IFERROR(INDEX(_xlfn._xlws.FILTER(Class_Players!A:A,Class_Players!B:B="Engineer"),QUOTIENT(ROW()-ROW($A$2),12)+1),"")</f>
        <v>Sir_Spongey_</v>
      </c>
      <c r="B608" s="42" t="str">
        <f>_xlfn.XLOOKUP(A608,Class_Players!$A:$A,Class_Players!$B:$B,"")</f>
        <v>Engineer</v>
      </c>
      <c r="C608" s="42" t="str" cm="1">
        <f t="array" ref="C608">INDEX(Lookups!$B$2:$B$13,MOD(ROW()-ROW($B$2),ROWS(Lookups!$B$2:$B$13))+1)</f>
        <v>M15 (Anti-Vehicle Mine)</v>
      </c>
      <c r="D608" s="38" t="str">
        <f>_xlfn.XLOOKUP(C608,Analysis_Gadgets!$C:$C,Analysis_Gadgets!$B:$B)</f>
        <v>Gadget</v>
      </c>
      <c r="E608" s="43">
        <v>1757</v>
      </c>
      <c r="F608" s="43">
        <f>_xlfn.XLOOKUP(A608,Class_Players!A:A,Class_Players!G:G)</f>
        <v>224</v>
      </c>
      <c r="G608" s="43">
        <f t="shared" si="140"/>
        <v>7.84375</v>
      </c>
      <c r="H608" s="43">
        <f>_xlfn.XLOOKUP(A608,Class_Players!$A:$A,Class_Players!$F:$F,"")</f>
        <v>9074</v>
      </c>
      <c r="I608" s="44">
        <f t="shared" si="141"/>
        <v>0.19363015208287415</v>
      </c>
      <c r="J608" s="43">
        <f t="shared" si="142"/>
        <v>1</v>
      </c>
      <c r="K608" s="44" cm="1">
        <f t="array" ref="K608">IF(D608="Gadget",_xlfn.IFS(I608&gt;=0.2,0.5,I608&gt;=0.1,0.35,I608&gt;=0.05,0.2,TRUE,0),IF(D608="Grenade",_xlfn.IFS(I608&gt;=0.2,1,I608&gt;=0.1,0.7,I608&gt;=0.05,0.4,TRUE,0),0))</f>
        <v>0.35</v>
      </c>
      <c r="L608" s="57">
        <f t="shared" si="138"/>
        <v>0.41176470588235292</v>
      </c>
    </row>
    <row r="609" spans="1:12" x14ac:dyDescent="0.25">
      <c r="A609" s="42" t="str" cm="1">
        <f t="array" ref="A609">IFERROR(INDEX(_xlfn._xlws.FILTER(Class_Players!A:A,Class_Players!B:B="Engineer"),QUOTIENT(ROW()-ROW($A$2),12)+1),"")</f>
        <v>Sir_Spongey_</v>
      </c>
      <c r="B609" s="42" t="str">
        <f>_xlfn.XLOOKUP(A609,Class_Players!$A:$A,Class_Players!$B:$B,"")</f>
        <v>Engineer</v>
      </c>
      <c r="C609" s="42" t="str" cm="1">
        <f t="array" ref="C609">INDEX(Lookups!$B$2:$B$13,MOD(ROW()-ROW($B$2),ROWS(Lookups!$B$2:$B$13))+1)</f>
        <v>PTKM-1R (Acoustic Sensor AV Mine)</v>
      </c>
      <c r="D609" s="38" t="str">
        <f>_xlfn.XLOOKUP(C609,Analysis_Gadgets!$C:$C,Analysis_Gadgets!$B:$B)</f>
        <v>Gadget</v>
      </c>
      <c r="E609" s="43">
        <v>53</v>
      </c>
      <c r="F609" s="43">
        <f>_xlfn.XLOOKUP(A609,Class_Players!A:A,Class_Players!G:G)</f>
        <v>224</v>
      </c>
      <c r="G609" s="43">
        <f t="shared" si="140"/>
        <v>0.23660714285714285</v>
      </c>
      <c r="H609" s="43">
        <f>_xlfn.XLOOKUP(A609,Class_Players!$A:$A,Class_Players!$F:$F,"")</f>
        <v>9074</v>
      </c>
      <c r="I609" s="44">
        <f t="shared" si="141"/>
        <v>5.8408640070531188E-3</v>
      </c>
      <c r="J609" s="43">
        <f t="shared" si="142"/>
        <v>0</v>
      </c>
      <c r="K609" s="44" cm="1">
        <f t="array" ref="K609">IF(D609="Gadget",_xlfn.IFS(I609&gt;=0.2,0.5,I609&gt;=0.1,0.35,I609&gt;=0.05,0.2,TRUE,0),IF(D609="Grenade",_xlfn.IFS(I609&gt;=0.2,1,I609&gt;=0.1,0.7,I609&gt;=0.05,0.4,TRUE,0),0))</f>
        <v>0</v>
      </c>
      <c r="L609" s="57">
        <f t="shared" si="138"/>
        <v>0</v>
      </c>
    </row>
    <row r="610" spans="1:12" x14ac:dyDescent="0.25">
      <c r="A610" s="42" t="str" cm="1">
        <f t="array" ref="A610">IFERROR(INDEX(_xlfn._xlws.FILTER(Class_Players!A:A,Class_Players!B:B="Engineer"),QUOTIENT(ROW()-ROW($A$2),12)+1),"")</f>
        <v>Sir_Spongey_</v>
      </c>
      <c r="B610" s="42" t="str">
        <f>_xlfn.XLOOKUP(A610,Class_Players!$A:$A,Class_Players!$B:$B,"")</f>
        <v>Engineer</v>
      </c>
      <c r="C610" s="42" t="str" cm="1">
        <f t="array" ref="C610">INDEX(Lookups!$B$2:$B$13,MOD(ROW()-ROW($B$2),ROWS(Lookups!$B$2:$B$13))+1)</f>
        <v>EOD Bot</v>
      </c>
      <c r="D610" s="38" t="str">
        <f>_xlfn.XLOOKUP(C610,Analysis_Gadgets!$C:$C,Analysis_Gadgets!$B:$B)</f>
        <v>Gadget</v>
      </c>
      <c r="E610" s="43">
        <v>0</v>
      </c>
      <c r="F610" s="43">
        <f>_xlfn.XLOOKUP(A610,Class_Players!A:A,Class_Players!G:G)</f>
        <v>224</v>
      </c>
      <c r="G610" s="43">
        <f t="shared" si="140"/>
        <v>0</v>
      </c>
      <c r="H610" s="43">
        <f>_xlfn.XLOOKUP(A610,Class_Players!$A:$A,Class_Players!$F:$F,"")</f>
        <v>9074</v>
      </c>
      <c r="I610" s="44">
        <f t="shared" si="141"/>
        <v>0</v>
      </c>
      <c r="J610" s="43">
        <f t="shared" si="142"/>
        <v>0</v>
      </c>
      <c r="K610" s="44" cm="1">
        <f t="array" ref="K610">IF(D610="Gadget",_xlfn.IFS(I610&gt;=0.2,0.5,I610&gt;=0.1,0.35,I610&gt;=0.05,0.2,TRUE,0),IF(D610="Grenade",_xlfn.IFS(I610&gt;=0.2,1,I610&gt;=0.1,0.7,I610&gt;=0.05,0.4,TRUE,0),0))</f>
        <v>0</v>
      </c>
      <c r="L610" s="57">
        <f t="shared" si="138"/>
        <v>0</v>
      </c>
    </row>
    <row r="611" spans="1:12" x14ac:dyDescent="0.25">
      <c r="A611" s="42" t="str" cm="1">
        <f t="array" ref="A611">IFERROR(INDEX(_xlfn._xlws.FILTER(Class_Players!A:A,Class_Players!B:B="Engineer"),QUOTIENT(ROW()-ROW($A$2),12)+1),"")</f>
        <v>Sir_Spongey_</v>
      </c>
      <c r="B611" s="42" t="str">
        <f>_xlfn.XLOOKUP(A611,Class_Players!$A:$A,Class_Players!$B:$B,"")</f>
        <v>Engineer</v>
      </c>
      <c r="C611" s="42" t="str" cm="1">
        <f t="array" ref="C611">INDEX(Lookups!$B$2:$B$13,MOD(ROW()-ROW($B$2),ROWS(Lookups!$B$2:$B$13))+1)</f>
        <v>M4A1 SLAM (Tripwire Sensor AV Mine)</v>
      </c>
      <c r="D611" s="38" t="str">
        <f>_xlfn.XLOOKUP(C611,Analysis_Gadgets!$C:$C,Analysis_Gadgets!$B:$B)</f>
        <v>Gadget</v>
      </c>
      <c r="E611" s="43">
        <v>24</v>
      </c>
      <c r="F611" s="43">
        <f>_xlfn.XLOOKUP(A611,Class_Players!A:A,Class_Players!G:G)</f>
        <v>224</v>
      </c>
      <c r="G611" s="43">
        <f t="shared" si="140"/>
        <v>0.10714285714285714</v>
      </c>
      <c r="H611" s="43">
        <f>_xlfn.XLOOKUP(A611,Class_Players!$A:$A,Class_Players!$F:$F,"")</f>
        <v>9074</v>
      </c>
      <c r="I611" s="44">
        <f t="shared" si="141"/>
        <v>2.6449195503636764E-3</v>
      </c>
      <c r="J611" s="43">
        <f t="shared" si="142"/>
        <v>0</v>
      </c>
      <c r="K611" s="44" cm="1">
        <f t="array" ref="K611">IF(D611="Gadget",_xlfn.IFS(I611&gt;=0.2,0.5,I611&gt;=0.1,0.35,I611&gt;=0.05,0.2,TRUE,0),IF(D611="Grenade",_xlfn.IFS(I611&gt;=0.2,1,I611&gt;=0.1,0.7,I611&gt;=0.05,0.4,TRUE,0),0))</f>
        <v>0</v>
      </c>
      <c r="L611" s="57">
        <f t="shared" si="138"/>
        <v>0</v>
      </c>
    </row>
    <row r="612" spans="1:12" x14ac:dyDescent="0.25">
      <c r="A612" s="42" t="str" cm="1">
        <f t="array" ref="A612">IFERROR(INDEX(_xlfn._xlws.FILTER(Class_Players!A:A,Class_Players!B:B="Engineer"),QUOTIENT(ROW()-ROW($A$2),12)+1),"")</f>
        <v>Sir_Spongey_</v>
      </c>
      <c r="B612" s="42" t="str">
        <f>_xlfn.XLOOKUP(A612,Class_Players!$A:$A,Class_Players!$B:$B,"")</f>
        <v>Engineer</v>
      </c>
      <c r="C612" s="42" t="str" cm="1">
        <f t="array" ref="C612">INDEX(Lookups!$B$2:$B$13,MOD(ROW()-ROW($B$2),ROWS(Lookups!$B$2:$B$13))+1)</f>
        <v>Mini Frag Grenade</v>
      </c>
      <c r="D612" s="38" t="str">
        <f>_xlfn.XLOOKUP(C612,Analysis_Gadgets!$C:$C,Analysis_Gadgets!$B:$B)</f>
        <v>Grenade</v>
      </c>
      <c r="E612" s="43">
        <v>80</v>
      </c>
      <c r="F612" s="43">
        <f>_xlfn.XLOOKUP(A612,Class_Players!A:A,Class_Players!G:G)</f>
        <v>224</v>
      </c>
      <c r="G612" s="43">
        <f t="shared" si="140"/>
        <v>0.35714285714285715</v>
      </c>
      <c r="H612" s="43">
        <f>_xlfn.XLOOKUP(A612,Class_Players!$A:$A,Class_Players!$F:$F,"")</f>
        <v>9074</v>
      </c>
      <c r="I612" s="44">
        <f t="shared" si="141"/>
        <v>8.8163985012122553E-3</v>
      </c>
      <c r="J612" s="43">
        <f t="shared" si="142"/>
        <v>0</v>
      </c>
      <c r="K612" s="44" cm="1">
        <f t="array" ref="K612">IF(D612="Gadget",_xlfn.IFS(I612&gt;=0.2,0.5,I612&gt;=0.1,0.35,I612&gt;=0.05,0.2,TRUE,0),IF(D612="Grenade",_xlfn.IFS(I612&gt;=0.2,1,I612&gt;=0.1,0.7,I612&gt;=0.05,0.4,TRUE,0),0))</f>
        <v>0</v>
      </c>
      <c r="L612" s="57">
        <f t="shared" ref="L612:L613" si="143">IF($K612=0,0,$K612 / SUMIFS($K:$K,$A:$A,$A612,$D:$D,"Grenade"))</f>
        <v>0</v>
      </c>
    </row>
    <row r="613" spans="1:12" x14ac:dyDescent="0.25">
      <c r="A613" s="42" t="str" cm="1">
        <f t="array" ref="A613">IFERROR(INDEX(_xlfn._xlws.FILTER(Class_Players!A:A,Class_Players!B:B="Engineer"),QUOTIENT(ROW()-ROW($A$2),12)+1),"")</f>
        <v>Sir_Spongey_</v>
      </c>
      <c r="B613" s="42" t="str">
        <f>_xlfn.XLOOKUP(A613,Class_Players!$A:$A,Class_Players!$B:$B,"")</f>
        <v>Engineer</v>
      </c>
      <c r="C613" s="42" t="str" cm="1">
        <f t="array" ref="C613">INDEX(Lookups!$B$2:$B$13,MOD(ROW()-ROW($B$2),ROWS(Lookups!$B$2:$B$13))+1)</f>
        <v>Anti-Vehicle Grenade</v>
      </c>
      <c r="D613" s="38" t="str">
        <f>_xlfn.XLOOKUP(C613,Analysis_Gadgets!$C:$C,Analysis_Gadgets!$B:$B)</f>
        <v>Grenade</v>
      </c>
      <c r="E613" s="43">
        <v>0</v>
      </c>
      <c r="F613" s="43">
        <f>_xlfn.XLOOKUP(A613,Class_Players!A:A,Class_Players!G:G)</f>
        <v>224</v>
      </c>
      <c r="G613" s="43">
        <f t="shared" si="140"/>
        <v>0</v>
      </c>
      <c r="H613" s="43">
        <f>_xlfn.XLOOKUP(A613,Class_Players!$A:$A,Class_Players!$F:$F,"")</f>
        <v>9074</v>
      </c>
      <c r="I613" s="44">
        <f t="shared" si="141"/>
        <v>0</v>
      </c>
      <c r="J613" s="43">
        <f t="shared" si="142"/>
        <v>0</v>
      </c>
      <c r="K613" s="44" cm="1">
        <f t="array" ref="K613">IF(D613="Gadget",_xlfn.IFS(I613&gt;=0.2,0.5,I613&gt;=0.1,0.35,I613&gt;=0.05,0.2,TRUE,0),IF(D613="Grenade",_xlfn.IFS(I613&gt;=0.2,1,I613&gt;=0.1,0.7,I613&gt;=0.05,0.4,TRUE,0),0))</f>
        <v>0</v>
      </c>
      <c r="L613" s="57">
        <f t="shared" si="143"/>
        <v>0</v>
      </c>
    </row>
    <row r="614" spans="1:12" x14ac:dyDescent="0.25">
      <c r="A614" s="42" t="str" cm="1">
        <f t="array" ref="A614">IFERROR(INDEX(_xlfn._xlws.FILTER(Class_Players!A:A,Class_Players!B:B="Engineer"),QUOTIENT(ROW()-ROW($A$2),12)+1),"")</f>
        <v>Darth_Cloud</v>
      </c>
      <c r="B614" s="42" t="str">
        <f>_xlfn.XLOOKUP(A614,Class_Players!$A:$A,Class_Players!$B:$B,"")</f>
        <v>Engineer</v>
      </c>
      <c r="C614" s="42" t="str" cm="1">
        <f t="array" ref="C614">INDEX(Lookups!$B$2:$B$13,MOD(ROW()-ROW($B$2),ROWS(Lookups!$B$2:$B$13))+1)</f>
        <v>MBT-LAW (Auto-Guided Launcher)</v>
      </c>
      <c r="D614" s="38" t="str">
        <f>_xlfn.XLOOKUP(C614,Analysis_Gadgets!$C:$C,Analysis_Gadgets!$B:$B)</f>
        <v>Gadget</v>
      </c>
      <c r="E614" s="43">
        <v>0</v>
      </c>
      <c r="F614" s="43">
        <f>_xlfn.XLOOKUP(A614,Class_Players!A:A,Class_Players!G:G)</f>
        <v>229</v>
      </c>
      <c r="G614" s="43">
        <f t="shared" si="140"/>
        <v>0</v>
      </c>
      <c r="H614" s="43">
        <f>_xlfn.XLOOKUP(A614,Class_Players!$A:$A,Class_Players!$F:$F,"")</f>
        <v>8887</v>
      </c>
      <c r="I614" s="44">
        <f t="shared" si="141"/>
        <v>0</v>
      </c>
      <c r="J614" s="43">
        <f t="shared" si="142"/>
        <v>0</v>
      </c>
      <c r="K614" s="44" cm="1">
        <f t="array" ref="K614">IF(D614="Gadget",_xlfn.IFS(I614&gt;=0.2,0.5,I614&gt;=0.1,0.35,I614&gt;=0.05,0.2,TRUE,0),IF(D614="Grenade",_xlfn.IFS(I614&gt;=0.2,1,I614&gt;=0.1,0.7,I614&gt;=0.05,0.4,TRUE,0),0))</f>
        <v>0</v>
      </c>
      <c r="L614" s="57">
        <f t="shared" ref="L614:L623" si="144">IF($K614=0,0,$K614 / SUMIFS($K:$K,$A:$A,$A614,$D:$D,"Gadget"))</f>
        <v>0</v>
      </c>
    </row>
    <row r="615" spans="1:12" x14ac:dyDescent="0.25">
      <c r="A615" s="42" t="str" cm="1">
        <f t="array" ref="A615">IFERROR(INDEX(_xlfn._xlws.FILTER(Class_Players!A:A,Class_Players!B:B="Engineer"),QUOTIENT(ROW()-ROW($A$2),12)+1),"")</f>
        <v>Darth_Cloud</v>
      </c>
      <c r="B615" s="42" t="str">
        <f>_xlfn.XLOOKUP(A615,Class_Players!$A:$A,Class_Players!$B:$B,"")</f>
        <v>Engineer</v>
      </c>
      <c r="C615" s="42" t="str" cm="1">
        <f t="array" ref="C615">INDEX(Lookups!$B$2:$B$13,MOD(ROW()-ROW($B$2),ROWS(Lookups!$B$2:$B$13))+1)</f>
        <v>SLM-93A (Air-Defense Launcher)</v>
      </c>
      <c r="D615" s="38" t="str">
        <f>_xlfn.XLOOKUP(C615,Analysis_Gadgets!$C:$C,Analysis_Gadgets!$B:$B)</f>
        <v>Gadget</v>
      </c>
      <c r="E615" s="43">
        <v>21</v>
      </c>
      <c r="F615" s="43">
        <f>_xlfn.XLOOKUP(A615,Class_Players!A:A,Class_Players!G:G)</f>
        <v>229</v>
      </c>
      <c r="G615" s="43">
        <f t="shared" si="140"/>
        <v>9.1703056768558958E-2</v>
      </c>
      <c r="H615" s="43">
        <f>_xlfn.XLOOKUP(A615,Class_Players!$A:$A,Class_Players!$F:$F,"")</f>
        <v>8887</v>
      </c>
      <c r="I615" s="44">
        <f t="shared" si="141"/>
        <v>2.3630021379543154E-3</v>
      </c>
      <c r="J615" s="43">
        <f t="shared" si="142"/>
        <v>0</v>
      </c>
      <c r="K615" s="44" cm="1">
        <f t="array" ref="K615">IF(D615="Gadget",_xlfn.IFS(I615&gt;=0.2,0.5,I615&gt;=0.1,0.35,I615&gt;=0.05,0.2,TRUE,0),IF(D615="Grenade",_xlfn.IFS(I615&gt;=0.2,1,I615&gt;=0.1,0.7,I615&gt;=0.05,0.4,TRUE,0),0))</f>
        <v>0</v>
      </c>
      <c r="L615" s="57">
        <f t="shared" si="144"/>
        <v>0</v>
      </c>
    </row>
    <row r="616" spans="1:12" x14ac:dyDescent="0.25">
      <c r="A616" s="42" t="str" cm="1">
        <f t="array" ref="A616">IFERROR(INDEX(_xlfn._xlws.FILTER(Class_Players!A:A,Class_Players!B:B="Engineer"),QUOTIENT(ROW()-ROW($A$2),12)+1),"")</f>
        <v>Darth_Cloud</v>
      </c>
      <c r="B616" s="42" t="str">
        <f>_xlfn.XLOOKUP(A616,Class_Players!$A:$A,Class_Players!$B:$B,"")</f>
        <v>Engineer</v>
      </c>
      <c r="C616" s="42" t="str" cm="1">
        <f t="array" ref="C616">INDEX(Lookups!$B$2:$B$13,MOD(ROW()-ROW($B$2),ROWS(Lookups!$B$2:$B$13))+1)</f>
        <v>RPG-7V2 (Unguided Rocket Launcher)</v>
      </c>
      <c r="D616" s="38" t="str">
        <f>_xlfn.XLOOKUP(C616,Analysis_Gadgets!$C:$C,Analysis_Gadgets!$B:$B)</f>
        <v>Gadget</v>
      </c>
      <c r="E616" s="43">
        <v>5187</v>
      </c>
      <c r="F616" s="43">
        <f>_xlfn.XLOOKUP(A616,Class_Players!A:A,Class_Players!G:G)</f>
        <v>229</v>
      </c>
      <c r="G616" s="43">
        <f t="shared" si="140"/>
        <v>22.650655021834062</v>
      </c>
      <c r="H616" s="43">
        <f>_xlfn.XLOOKUP(A616,Class_Players!$A:$A,Class_Players!$F:$F,"")</f>
        <v>8887</v>
      </c>
      <c r="I616" s="44">
        <f t="shared" si="141"/>
        <v>0.58366152807471583</v>
      </c>
      <c r="J616" s="43">
        <f t="shared" si="142"/>
        <v>1</v>
      </c>
      <c r="K616" s="44" cm="1">
        <f t="array" ref="K616">IF(D616="Gadget",_xlfn.IFS(I616&gt;=0.2,0.5,I616&gt;=0.1,0.35,I616&gt;=0.05,0.2,TRUE,0),IF(D616="Grenade",_xlfn.IFS(I616&gt;=0.2,1,I616&gt;=0.1,0.7,I616&gt;=0.05,0.4,TRUE,0),0))</f>
        <v>0.5</v>
      </c>
      <c r="L616" s="57">
        <f t="shared" si="144"/>
        <v>0.58823529411764708</v>
      </c>
    </row>
    <row r="617" spans="1:12" x14ac:dyDescent="0.25">
      <c r="A617" s="42" t="str" cm="1">
        <f t="array" ref="A617">IFERROR(INDEX(_xlfn._xlws.FILTER(Class_Players!A:A,Class_Players!B:B="Engineer"),QUOTIENT(ROW()-ROW($A$2),12)+1),"")</f>
        <v>Darth_Cloud</v>
      </c>
      <c r="B617" s="42" t="str">
        <f>_xlfn.XLOOKUP(A617,Class_Players!$A:$A,Class_Players!$B:$B,"")</f>
        <v>Engineer</v>
      </c>
      <c r="C617" s="42" t="str" cm="1">
        <f t="array" ref="C617">INDEX(Lookups!$B$2:$B$13,MOD(ROW()-ROW($B$2),ROWS(Lookups!$B$2:$B$13))+1)</f>
        <v>MAS 148 (Long-Range Launcher)</v>
      </c>
      <c r="D617" s="38" t="str">
        <f>_xlfn.XLOOKUP(C617,Analysis_Gadgets!$C:$C,Analysis_Gadgets!$B:$B)</f>
        <v>Gadget</v>
      </c>
      <c r="E617" s="43">
        <v>90</v>
      </c>
      <c r="F617" s="43">
        <f>_xlfn.XLOOKUP(A617,Class_Players!A:A,Class_Players!G:G)</f>
        <v>229</v>
      </c>
      <c r="G617" s="43">
        <f t="shared" si="140"/>
        <v>0.3930131004366812</v>
      </c>
      <c r="H617" s="43">
        <f>_xlfn.XLOOKUP(A617,Class_Players!$A:$A,Class_Players!$F:$F,"")</f>
        <v>8887</v>
      </c>
      <c r="I617" s="44">
        <f t="shared" si="141"/>
        <v>1.0127152019804209E-2</v>
      </c>
      <c r="J617" s="43">
        <f t="shared" si="142"/>
        <v>0</v>
      </c>
      <c r="K617" s="44" cm="1">
        <f t="array" ref="K617">IF(D617="Gadget",_xlfn.IFS(I617&gt;=0.2,0.5,I617&gt;=0.1,0.35,I617&gt;=0.05,0.2,TRUE,0),IF(D617="Grenade",_xlfn.IFS(I617&gt;=0.2,1,I617&gt;=0.1,0.7,I617&gt;=0.05,0.4,TRUE,0),0))</f>
        <v>0</v>
      </c>
      <c r="L617" s="57">
        <f t="shared" si="144"/>
        <v>0</v>
      </c>
    </row>
    <row r="618" spans="1:12" x14ac:dyDescent="0.25">
      <c r="A618" s="42" t="str" cm="1">
        <f t="array" ref="A618">IFERROR(INDEX(_xlfn._xlws.FILTER(Class_Players!A:A,Class_Players!B:B="Engineer"),QUOTIENT(ROW()-ROW($A$2),12)+1),"")</f>
        <v>Darth_Cloud</v>
      </c>
      <c r="B618" s="42" t="str">
        <f>_xlfn.XLOOKUP(A618,Class_Players!$A:$A,Class_Players!$B:$B,"")</f>
        <v>Engineer</v>
      </c>
      <c r="C618" s="42" t="str" cm="1">
        <f t="array" ref="C618">INDEX(Lookups!$B$2:$B$13,MOD(ROW()-ROW($B$2),ROWS(Lookups!$B$2:$B$13))+1)</f>
        <v>M136 AT (Aim-Guided Launcher)</v>
      </c>
      <c r="D618" s="38" t="str">
        <f>_xlfn.XLOOKUP(C618,Analysis_Gadgets!$C:$C,Analysis_Gadgets!$B:$B)</f>
        <v>Gadget</v>
      </c>
      <c r="E618" s="43">
        <v>0</v>
      </c>
      <c r="F618" s="43">
        <f>_xlfn.XLOOKUP(A618,Class_Players!A:A,Class_Players!G:G)</f>
        <v>229</v>
      </c>
      <c r="G618" s="43">
        <f t="shared" si="140"/>
        <v>0</v>
      </c>
      <c r="H618" s="43">
        <f>_xlfn.XLOOKUP(A618,Class_Players!$A:$A,Class_Players!$F:$F,"")</f>
        <v>8887</v>
      </c>
      <c r="I618" s="44">
        <f t="shared" si="141"/>
        <v>0</v>
      </c>
      <c r="J618" s="43">
        <f t="shared" si="142"/>
        <v>0</v>
      </c>
      <c r="K618" s="44" cm="1">
        <f t="array" ref="K618">IF(D618="Gadget",_xlfn.IFS(I618&gt;=0.2,0.5,I618&gt;=0.1,0.35,I618&gt;=0.05,0.2,TRUE,0),IF(D618="Grenade",_xlfn.IFS(I618&gt;=0.2,1,I618&gt;=0.1,0.7,I618&gt;=0.05,0.4,TRUE,0),0))</f>
        <v>0</v>
      </c>
      <c r="L618" s="57">
        <f t="shared" si="144"/>
        <v>0</v>
      </c>
    </row>
    <row r="619" spans="1:12" x14ac:dyDescent="0.25">
      <c r="A619" s="42" t="str" cm="1">
        <f t="array" ref="A619">IFERROR(INDEX(_xlfn._xlws.FILTER(Class_Players!A:A,Class_Players!B:B="Engineer"),QUOTIENT(ROW()-ROW($A$2),12)+1),"")</f>
        <v>Darth_Cloud</v>
      </c>
      <c r="B619" s="42" t="str">
        <f>_xlfn.XLOOKUP(A619,Class_Players!$A:$A,Class_Players!$B:$B,"")</f>
        <v>Engineer</v>
      </c>
      <c r="C619" s="42" t="str" cm="1">
        <f t="array" ref="C619">INDEX(Lookups!$B$2:$B$13,MOD(ROW()-ROW($B$2),ROWS(Lookups!$B$2:$B$13))+1)</f>
        <v>Supply Crate</v>
      </c>
      <c r="D619" s="38" t="str">
        <f>_xlfn.XLOOKUP(C619,Analysis_Gadgets!$C:$C,Analysis_Gadgets!$B:$B)</f>
        <v>Gadget</v>
      </c>
      <c r="E619" s="43">
        <v>104</v>
      </c>
      <c r="F619" s="43">
        <f>_xlfn.XLOOKUP(A619,Class_Players!A:A,Class_Players!G:G)</f>
        <v>229</v>
      </c>
      <c r="G619" s="43">
        <f t="shared" si="140"/>
        <v>0.45414847161572053</v>
      </c>
      <c r="H619" s="43">
        <f>_xlfn.XLOOKUP(A619,Class_Players!$A:$A,Class_Players!$F:$F,"")</f>
        <v>8887</v>
      </c>
      <c r="I619" s="44">
        <f t="shared" si="141"/>
        <v>1.1702486778440418E-2</v>
      </c>
      <c r="J619" s="43">
        <f t="shared" si="142"/>
        <v>0</v>
      </c>
      <c r="K619" s="44" cm="1">
        <f t="array" ref="K619">IF(D619="Gadget",_xlfn.IFS(I619&gt;=0.2,0.5,I619&gt;=0.1,0.35,I619&gt;=0.05,0.2,TRUE,0),IF(D619="Grenade",_xlfn.IFS(I619&gt;=0.2,1,I619&gt;=0.1,0.7,I619&gt;=0.05,0.4,TRUE,0),0))</f>
        <v>0</v>
      </c>
      <c r="L619" s="57">
        <f t="shared" si="144"/>
        <v>0</v>
      </c>
    </row>
    <row r="620" spans="1:12" x14ac:dyDescent="0.25">
      <c r="A620" s="42" t="str" cm="1">
        <f t="array" ref="A620">IFERROR(INDEX(_xlfn._xlws.FILTER(Class_Players!A:A,Class_Players!B:B="Engineer"),QUOTIENT(ROW()-ROW($A$2),12)+1),"")</f>
        <v>Darth_Cloud</v>
      </c>
      <c r="B620" s="42" t="str">
        <f>_xlfn.XLOOKUP(A620,Class_Players!$A:$A,Class_Players!$B:$B,"")</f>
        <v>Engineer</v>
      </c>
      <c r="C620" s="42" t="str" cm="1">
        <f t="array" ref="C620">INDEX(Lookups!$B$2:$B$13,MOD(ROW()-ROW($B$2),ROWS(Lookups!$B$2:$B$13))+1)</f>
        <v>M15 (Anti-Vehicle Mine)</v>
      </c>
      <c r="D620" s="38" t="str">
        <f>_xlfn.XLOOKUP(C620,Analysis_Gadgets!$C:$C,Analysis_Gadgets!$B:$B)</f>
        <v>Gadget</v>
      </c>
      <c r="E620" s="43">
        <v>1399</v>
      </c>
      <c r="F620" s="43">
        <f>_xlfn.XLOOKUP(A620,Class_Players!A:A,Class_Players!G:G)</f>
        <v>229</v>
      </c>
      <c r="G620" s="43">
        <f t="shared" si="140"/>
        <v>6.109170305676856</v>
      </c>
      <c r="H620" s="43">
        <f>_xlfn.XLOOKUP(A620,Class_Players!$A:$A,Class_Players!$F:$F,"")</f>
        <v>8887</v>
      </c>
      <c r="I620" s="44">
        <f t="shared" si="141"/>
        <v>0.15742095195228986</v>
      </c>
      <c r="J620" s="43">
        <f t="shared" si="142"/>
        <v>1</v>
      </c>
      <c r="K620" s="44" cm="1">
        <f t="array" ref="K620">IF(D620="Gadget",_xlfn.IFS(I620&gt;=0.2,0.5,I620&gt;=0.1,0.35,I620&gt;=0.05,0.2,TRUE,0),IF(D620="Grenade",_xlfn.IFS(I620&gt;=0.2,1,I620&gt;=0.1,0.7,I620&gt;=0.05,0.4,TRUE,0),0))</f>
        <v>0.35</v>
      </c>
      <c r="L620" s="57">
        <f t="shared" si="144"/>
        <v>0.41176470588235292</v>
      </c>
    </row>
    <row r="621" spans="1:12" x14ac:dyDescent="0.25">
      <c r="A621" s="42" t="str" cm="1">
        <f t="array" ref="A621">IFERROR(INDEX(_xlfn._xlws.FILTER(Class_Players!A:A,Class_Players!B:B="Engineer"),QUOTIENT(ROW()-ROW($A$2),12)+1),"")</f>
        <v>Darth_Cloud</v>
      </c>
      <c r="B621" s="42" t="str">
        <f>_xlfn.XLOOKUP(A621,Class_Players!$A:$A,Class_Players!$B:$B,"")</f>
        <v>Engineer</v>
      </c>
      <c r="C621" s="42" t="str" cm="1">
        <f t="array" ref="C621">INDEX(Lookups!$B$2:$B$13,MOD(ROW()-ROW($B$2),ROWS(Lookups!$B$2:$B$13))+1)</f>
        <v>PTKM-1R (Acoustic Sensor AV Mine)</v>
      </c>
      <c r="D621" s="38" t="str">
        <f>_xlfn.XLOOKUP(C621,Analysis_Gadgets!$C:$C,Analysis_Gadgets!$B:$B)</f>
        <v>Gadget</v>
      </c>
      <c r="E621" s="43">
        <v>10</v>
      </c>
      <c r="F621" s="43">
        <f>_xlfn.XLOOKUP(A621,Class_Players!A:A,Class_Players!G:G)</f>
        <v>229</v>
      </c>
      <c r="G621" s="43">
        <f t="shared" si="140"/>
        <v>4.3668122270742356E-2</v>
      </c>
      <c r="H621" s="43">
        <f>_xlfn.XLOOKUP(A621,Class_Players!$A:$A,Class_Players!$F:$F,"")</f>
        <v>8887</v>
      </c>
      <c r="I621" s="44">
        <f t="shared" si="141"/>
        <v>1.1252391133115788E-3</v>
      </c>
      <c r="J621" s="43">
        <f t="shared" si="142"/>
        <v>0</v>
      </c>
      <c r="K621" s="44" cm="1">
        <f t="array" ref="K621">IF(D621="Gadget",_xlfn.IFS(I621&gt;=0.2,0.5,I621&gt;=0.1,0.35,I621&gt;=0.05,0.2,TRUE,0),IF(D621="Grenade",_xlfn.IFS(I621&gt;=0.2,1,I621&gt;=0.1,0.7,I621&gt;=0.05,0.4,TRUE,0),0))</f>
        <v>0</v>
      </c>
      <c r="L621" s="57">
        <f t="shared" si="144"/>
        <v>0</v>
      </c>
    </row>
    <row r="622" spans="1:12" x14ac:dyDescent="0.25">
      <c r="A622" s="42" t="str" cm="1">
        <f t="array" ref="A622">IFERROR(INDEX(_xlfn._xlws.FILTER(Class_Players!A:A,Class_Players!B:B="Engineer"),QUOTIENT(ROW()-ROW($A$2),12)+1),"")</f>
        <v>Darth_Cloud</v>
      </c>
      <c r="B622" s="42" t="str">
        <f>_xlfn.XLOOKUP(A622,Class_Players!$A:$A,Class_Players!$B:$B,"")</f>
        <v>Engineer</v>
      </c>
      <c r="C622" s="42" t="str" cm="1">
        <f t="array" ref="C622">INDEX(Lookups!$B$2:$B$13,MOD(ROW()-ROW($B$2),ROWS(Lookups!$B$2:$B$13))+1)</f>
        <v>EOD Bot</v>
      </c>
      <c r="D622" s="38" t="str">
        <f>_xlfn.XLOOKUP(C622,Analysis_Gadgets!$C:$C,Analysis_Gadgets!$B:$B)</f>
        <v>Gadget</v>
      </c>
      <c r="E622" s="43">
        <v>3</v>
      </c>
      <c r="F622" s="43">
        <f>_xlfn.XLOOKUP(A622,Class_Players!A:A,Class_Players!G:G)</f>
        <v>229</v>
      </c>
      <c r="G622" s="43">
        <f t="shared" si="140"/>
        <v>1.3100436681222707E-2</v>
      </c>
      <c r="H622" s="43">
        <f>_xlfn.XLOOKUP(A622,Class_Players!$A:$A,Class_Players!$F:$F,"")</f>
        <v>8887</v>
      </c>
      <c r="I622" s="44">
        <f t="shared" si="141"/>
        <v>3.3757173399347364E-4</v>
      </c>
      <c r="J622" s="43">
        <f t="shared" si="142"/>
        <v>0</v>
      </c>
      <c r="K622" s="44" cm="1">
        <f t="array" ref="K622">IF(D622="Gadget",_xlfn.IFS(I622&gt;=0.2,0.5,I622&gt;=0.1,0.35,I622&gt;=0.05,0.2,TRUE,0),IF(D622="Grenade",_xlfn.IFS(I622&gt;=0.2,1,I622&gt;=0.1,0.7,I622&gt;=0.05,0.4,TRUE,0),0))</f>
        <v>0</v>
      </c>
      <c r="L622" s="57">
        <f t="shared" si="144"/>
        <v>0</v>
      </c>
    </row>
    <row r="623" spans="1:12" x14ac:dyDescent="0.25">
      <c r="A623" s="42" t="str" cm="1">
        <f t="array" ref="A623">IFERROR(INDEX(_xlfn._xlws.FILTER(Class_Players!A:A,Class_Players!B:B="Engineer"),QUOTIENT(ROW()-ROW($A$2),12)+1),"")</f>
        <v>Darth_Cloud</v>
      </c>
      <c r="B623" s="42" t="str">
        <f>_xlfn.XLOOKUP(A623,Class_Players!$A:$A,Class_Players!$B:$B,"")</f>
        <v>Engineer</v>
      </c>
      <c r="C623" s="42" t="str" cm="1">
        <f t="array" ref="C623">INDEX(Lookups!$B$2:$B$13,MOD(ROW()-ROW($B$2),ROWS(Lookups!$B$2:$B$13))+1)</f>
        <v>M4A1 SLAM (Tripwire Sensor AV Mine)</v>
      </c>
      <c r="D623" s="38" t="str">
        <f>_xlfn.XLOOKUP(C623,Analysis_Gadgets!$C:$C,Analysis_Gadgets!$B:$B)</f>
        <v>Gadget</v>
      </c>
      <c r="E623" s="43">
        <v>0</v>
      </c>
      <c r="F623" s="43">
        <f>_xlfn.XLOOKUP(A623,Class_Players!A:A,Class_Players!G:G)</f>
        <v>229</v>
      </c>
      <c r="G623" s="43">
        <f t="shared" si="140"/>
        <v>0</v>
      </c>
      <c r="H623" s="43">
        <f>_xlfn.XLOOKUP(A623,Class_Players!$A:$A,Class_Players!$F:$F,"")</f>
        <v>8887</v>
      </c>
      <c r="I623" s="44">
        <f t="shared" si="141"/>
        <v>0</v>
      </c>
      <c r="J623" s="43">
        <f t="shared" si="142"/>
        <v>0</v>
      </c>
      <c r="K623" s="44" cm="1">
        <f t="array" ref="K623">IF(D623="Gadget",_xlfn.IFS(I623&gt;=0.2,0.5,I623&gt;=0.1,0.35,I623&gt;=0.05,0.2,TRUE,0),IF(D623="Grenade",_xlfn.IFS(I623&gt;=0.2,1,I623&gt;=0.1,0.7,I623&gt;=0.05,0.4,TRUE,0),0))</f>
        <v>0</v>
      </c>
      <c r="L623" s="57">
        <f t="shared" si="144"/>
        <v>0</v>
      </c>
    </row>
    <row r="624" spans="1:12" x14ac:dyDescent="0.25">
      <c r="A624" s="42" t="str" cm="1">
        <f t="array" ref="A624">IFERROR(INDEX(_xlfn._xlws.FILTER(Class_Players!A:A,Class_Players!B:B="Engineer"),QUOTIENT(ROW()-ROW($A$2),12)+1),"")</f>
        <v>Darth_Cloud</v>
      </c>
      <c r="B624" s="42" t="str">
        <f>_xlfn.XLOOKUP(A624,Class_Players!$A:$A,Class_Players!$B:$B,"")</f>
        <v>Engineer</v>
      </c>
      <c r="C624" s="42" t="str" cm="1">
        <f t="array" ref="C624">INDEX(Lookups!$B$2:$B$13,MOD(ROW()-ROW($B$2),ROWS(Lookups!$B$2:$B$13))+1)</f>
        <v>Mini Frag Grenade</v>
      </c>
      <c r="D624" s="38" t="str">
        <f>_xlfn.XLOOKUP(C624,Analysis_Gadgets!$C:$C,Analysis_Gadgets!$B:$B)</f>
        <v>Grenade</v>
      </c>
      <c r="E624" s="43">
        <v>0</v>
      </c>
      <c r="F624" s="43">
        <f>_xlfn.XLOOKUP(A624,Class_Players!A:A,Class_Players!G:G)</f>
        <v>229</v>
      </c>
      <c r="G624" s="43">
        <f t="shared" si="140"/>
        <v>0</v>
      </c>
      <c r="H624" s="43">
        <f>_xlfn.XLOOKUP(A624,Class_Players!$A:$A,Class_Players!$F:$F,"")</f>
        <v>8887</v>
      </c>
      <c r="I624" s="44">
        <f t="shared" si="141"/>
        <v>0</v>
      </c>
      <c r="J624" s="43">
        <f t="shared" si="142"/>
        <v>0</v>
      </c>
      <c r="K624" s="44" cm="1">
        <f t="array" ref="K624">IF(D624="Gadget",_xlfn.IFS(I624&gt;=0.2,0.5,I624&gt;=0.1,0.35,I624&gt;=0.05,0.2,TRUE,0),IF(D624="Grenade",_xlfn.IFS(I624&gt;=0.2,1,I624&gt;=0.1,0.7,I624&gt;=0.05,0.4,TRUE,0),0))</f>
        <v>0</v>
      </c>
      <c r="L624" s="57">
        <f t="shared" ref="L624:L625" si="145">IF($K624=0,0,$K624 / SUMIFS($K:$K,$A:$A,$A624,$D:$D,"Grenade"))</f>
        <v>0</v>
      </c>
    </row>
    <row r="625" spans="1:12" x14ac:dyDescent="0.25">
      <c r="A625" s="42" t="str" cm="1">
        <f t="array" ref="A625">IFERROR(INDEX(_xlfn._xlws.FILTER(Class_Players!A:A,Class_Players!B:B="Engineer"),QUOTIENT(ROW()-ROW($A$2),12)+1),"")</f>
        <v>Darth_Cloud</v>
      </c>
      <c r="B625" s="42" t="str">
        <f>_xlfn.XLOOKUP(A625,Class_Players!$A:$A,Class_Players!$B:$B,"")</f>
        <v>Engineer</v>
      </c>
      <c r="C625" s="42" t="str" cm="1">
        <f t="array" ref="C625">INDEX(Lookups!$B$2:$B$13,MOD(ROW()-ROW($B$2),ROWS(Lookups!$B$2:$B$13))+1)</f>
        <v>Anti-Vehicle Grenade</v>
      </c>
      <c r="D625" s="38" t="str">
        <f>_xlfn.XLOOKUP(C625,Analysis_Gadgets!$C:$C,Analysis_Gadgets!$B:$B)</f>
        <v>Grenade</v>
      </c>
      <c r="E625" s="43">
        <v>0</v>
      </c>
      <c r="F625" s="43">
        <f>_xlfn.XLOOKUP(A625,Class_Players!A:A,Class_Players!G:G)</f>
        <v>229</v>
      </c>
      <c r="G625" s="43">
        <f t="shared" si="140"/>
        <v>0</v>
      </c>
      <c r="H625" s="43">
        <f>_xlfn.XLOOKUP(A625,Class_Players!$A:$A,Class_Players!$F:$F,"")</f>
        <v>8887</v>
      </c>
      <c r="I625" s="44">
        <f t="shared" si="141"/>
        <v>0</v>
      </c>
      <c r="J625" s="43">
        <f t="shared" si="142"/>
        <v>0</v>
      </c>
      <c r="K625" s="44" cm="1">
        <f t="array" ref="K625">IF(D625="Gadget",_xlfn.IFS(I625&gt;=0.2,0.5,I625&gt;=0.1,0.35,I625&gt;=0.05,0.2,TRUE,0),IF(D625="Grenade",_xlfn.IFS(I625&gt;=0.2,1,I625&gt;=0.1,0.7,I625&gt;=0.05,0.4,TRUE,0),0))</f>
        <v>0</v>
      </c>
      <c r="L625" s="57">
        <f t="shared" si="145"/>
        <v>0</v>
      </c>
    </row>
    <row r="626" spans="1:12" x14ac:dyDescent="0.25">
      <c r="A626" s="42" t="str" cm="1">
        <f t="array" ref="A626">IFERROR(INDEX(_xlfn._xlws.FILTER(Class_Players!A:A,Class_Players!B:B="Engineer"),QUOTIENT(ROW()-ROW($A$2),12)+1),"")</f>
        <v>Tx_Lightning</v>
      </c>
      <c r="B626" s="42" t="str">
        <f>_xlfn.XLOOKUP(A626,Class_Players!$A:$A,Class_Players!$B:$B,"")</f>
        <v>Engineer</v>
      </c>
      <c r="C626" s="42" t="str" cm="1">
        <f t="array" ref="C626">INDEX(Lookups!$B$2:$B$13,MOD(ROW()-ROW($B$2),ROWS(Lookups!$B$2:$B$13))+1)</f>
        <v>MBT-LAW (Auto-Guided Launcher)</v>
      </c>
      <c r="D626" s="38" t="str">
        <f>_xlfn.XLOOKUP(C626,Analysis_Gadgets!$C:$C,Analysis_Gadgets!$B:$B)</f>
        <v>Gadget</v>
      </c>
      <c r="E626" s="43">
        <v>0</v>
      </c>
      <c r="F626" s="43">
        <f>_xlfn.XLOOKUP(A626,Class_Players!A:A,Class_Players!G:G)</f>
        <v>251</v>
      </c>
      <c r="G626" s="43">
        <f t="shared" ref="G626:G689" si="146">IF(F626=0,"",E626/(F626))</f>
        <v>0</v>
      </c>
      <c r="H626" s="43">
        <f>_xlfn.XLOOKUP(A626,Class_Players!$A:$A,Class_Players!$F:$F,"")</f>
        <v>8784</v>
      </c>
      <c r="I626" s="44">
        <f t="shared" ref="I626:I689" si="147">IF(H626=0,"",E626/H626)</f>
        <v>0</v>
      </c>
      <c r="J626" s="43">
        <f t="shared" ref="J626:J689" si="148">IF(I626&gt;=0.1,1,0)</f>
        <v>0</v>
      </c>
      <c r="K626" s="44" cm="1">
        <f t="array" ref="K626">IF(D626="Gadget",_xlfn.IFS(I626&gt;=0.2,0.5,I626&gt;=0.1,0.35,I626&gt;=0.05,0.2,TRUE,0),IF(D626="Grenade",_xlfn.IFS(I626&gt;=0.2,1,I626&gt;=0.1,0.7,I626&gt;=0.05,0.4,TRUE,0),0))</f>
        <v>0</v>
      </c>
      <c r="L626" s="57">
        <f t="shared" ref="L626:L635" si="149">IF($K626=0,0,$K626 / SUMIFS($K:$K,$A:$A,$A626,$D:$D,"Gadget"))</f>
        <v>0</v>
      </c>
    </row>
    <row r="627" spans="1:12" x14ac:dyDescent="0.25">
      <c r="A627" s="42" t="str" cm="1">
        <f t="array" ref="A627">IFERROR(INDEX(_xlfn._xlws.FILTER(Class_Players!A:A,Class_Players!B:B="Engineer"),QUOTIENT(ROW()-ROW($A$2),12)+1),"")</f>
        <v>Tx_Lightning</v>
      </c>
      <c r="B627" s="42" t="str">
        <f>_xlfn.XLOOKUP(A627,Class_Players!$A:$A,Class_Players!$B:$B,"")</f>
        <v>Engineer</v>
      </c>
      <c r="C627" s="42" t="str" cm="1">
        <f t="array" ref="C627">INDEX(Lookups!$B$2:$B$13,MOD(ROW()-ROW($B$2),ROWS(Lookups!$B$2:$B$13))+1)</f>
        <v>SLM-93A (Air-Defense Launcher)</v>
      </c>
      <c r="D627" s="38" t="str">
        <f>_xlfn.XLOOKUP(C627,Analysis_Gadgets!$C:$C,Analysis_Gadgets!$B:$B)</f>
        <v>Gadget</v>
      </c>
      <c r="E627" s="43">
        <v>22</v>
      </c>
      <c r="F627" s="43">
        <f>_xlfn.XLOOKUP(A627,Class_Players!A:A,Class_Players!G:G)</f>
        <v>251</v>
      </c>
      <c r="G627" s="43">
        <f t="shared" si="146"/>
        <v>8.7649402390438252E-2</v>
      </c>
      <c r="H627" s="43">
        <f>_xlfn.XLOOKUP(A627,Class_Players!$A:$A,Class_Players!$F:$F,"")</f>
        <v>8784</v>
      </c>
      <c r="I627" s="44">
        <f t="shared" si="147"/>
        <v>2.5045537340619307E-3</v>
      </c>
      <c r="J627" s="43">
        <f t="shared" si="148"/>
        <v>0</v>
      </c>
      <c r="K627" s="44" cm="1">
        <f t="array" ref="K627">IF(D627="Gadget",_xlfn.IFS(I627&gt;=0.2,0.5,I627&gt;=0.1,0.35,I627&gt;=0.05,0.2,TRUE,0),IF(D627="Grenade",_xlfn.IFS(I627&gt;=0.2,1,I627&gt;=0.1,0.7,I627&gt;=0.05,0.4,TRUE,0),0))</f>
        <v>0</v>
      </c>
      <c r="L627" s="57">
        <f t="shared" si="149"/>
        <v>0</v>
      </c>
    </row>
    <row r="628" spans="1:12" x14ac:dyDescent="0.25">
      <c r="A628" s="42" t="str" cm="1">
        <f t="array" ref="A628">IFERROR(INDEX(_xlfn._xlws.FILTER(Class_Players!A:A,Class_Players!B:B="Engineer"),QUOTIENT(ROW()-ROW($A$2),12)+1),"")</f>
        <v>Tx_Lightning</v>
      </c>
      <c r="B628" s="42" t="str">
        <f>_xlfn.XLOOKUP(A628,Class_Players!$A:$A,Class_Players!$B:$B,"")</f>
        <v>Engineer</v>
      </c>
      <c r="C628" s="42" t="str" cm="1">
        <f t="array" ref="C628">INDEX(Lookups!$B$2:$B$13,MOD(ROW()-ROW($B$2),ROWS(Lookups!$B$2:$B$13))+1)</f>
        <v>RPG-7V2 (Unguided Rocket Launcher)</v>
      </c>
      <c r="D628" s="38" t="str">
        <f>_xlfn.XLOOKUP(C628,Analysis_Gadgets!$C:$C,Analysis_Gadgets!$B:$B)</f>
        <v>Gadget</v>
      </c>
      <c r="E628" s="43">
        <v>6093</v>
      </c>
      <c r="F628" s="43">
        <f>_xlfn.XLOOKUP(A628,Class_Players!A:A,Class_Players!G:G)</f>
        <v>251</v>
      </c>
      <c r="G628" s="43">
        <f t="shared" si="146"/>
        <v>24.274900398406373</v>
      </c>
      <c r="H628" s="43">
        <f>_xlfn.XLOOKUP(A628,Class_Players!$A:$A,Class_Players!$F:$F,"")</f>
        <v>8784</v>
      </c>
      <c r="I628" s="44">
        <f t="shared" si="147"/>
        <v>0.69364754098360659</v>
      </c>
      <c r="J628" s="43">
        <f t="shared" si="148"/>
        <v>1</v>
      </c>
      <c r="K628" s="44" cm="1">
        <f t="array" ref="K628">IF(D628="Gadget",_xlfn.IFS(I628&gt;=0.2,0.5,I628&gt;=0.1,0.35,I628&gt;=0.05,0.2,TRUE,0),IF(D628="Grenade",_xlfn.IFS(I628&gt;=0.2,1,I628&gt;=0.1,0.7,I628&gt;=0.05,0.4,TRUE,0),0))</f>
        <v>0.5</v>
      </c>
      <c r="L628" s="57">
        <f t="shared" si="149"/>
        <v>0.5</v>
      </c>
    </row>
    <row r="629" spans="1:12" x14ac:dyDescent="0.25">
      <c r="A629" s="42" t="str" cm="1">
        <f t="array" ref="A629">IFERROR(INDEX(_xlfn._xlws.FILTER(Class_Players!A:A,Class_Players!B:B="Engineer"),QUOTIENT(ROW()-ROW($A$2),12)+1),"")</f>
        <v>Tx_Lightning</v>
      </c>
      <c r="B629" s="42" t="str">
        <f>_xlfn.XLOOKUP(A629,Class_Players!$A:$A,Class_Players!$B:$B,"")</f>
        <v>Engineer</v>
      </c>
      <c r="C629" s="42" t="str" cm="1">
        <f t="array" ref="C629">INDEX(Lookups!$B$2:$B$13,MOD(ROW()-ROW($B$2),ROWS(Lookups!$B$2:$B$13))+1)</f>
        <v>MAS 148 (Long-Range Launcher)</v>
      </c>
      <c r="D629" s="38" t="str">
        <f>_xlfn.XLOOKUP(C629,Analysis_Gadgets!$C:$C,Analysis_Gadgets!$B:$B)</f>
        <v>Gadget</v>
      </c>
      <c r="E629" s="43">
        <v>0</v>
      </c>
      <c r="F629" s="43">
        <f>_xlfn.XLOOKUP(A629,Class_Players!A:A,Class_Players!G:G)</f>
        <v>251</v>
      </c>
      <c r="G629" s="43">
        <f t="shared" si="146"/>
        <v>0</v>
      </c>
      <c r="H629" s="43">
        <f>_xlfn.XLOOKUP(A629,Class_Players!$A:$A,Class_Players!$F:$F,"")</f>
        <v>8784</v>
      </c>
      <c r="I629" s="44">
        <f t="shared" si="147"/>
        <v>0</v>
      </c>
      <c r="J629" s="43">
        <f t="shared" si="148"/>
        <v>0</v>
      </c>
      <c r="K629" s="44" cm="1">
        <f t="array" ref="K629">IF(D629="Gadget",_xlfn.IFS(I629&gt;=0.2,0.5,I629&gt;=0.1,0.35,I629&gt;=0.05,0.2,TRUE,0),IF(D629="Grenade",_xlfn.IFS(I629&gt;=0.2,1,I629&gt;=0.1,0.7,I629&gt;=0.05,0.4,TRUE,0),0))</f>
        <v>0</v>
      </c>
      <c r="L629" s="57">
        <f t="shared" si="149"/>
        <v>0</v>
      </c>
    </row>
    <row r="630" spans="1:12" x14ac:dyDescent="0.25">
      <c r="A630" s="42" t="str" cm="1">
        <f t="array" ref="A630">IFERROR(INDEX(_xlfn._xlws.FILTER(Class_Players!A:A,Class_Players!B:B="Engineer"),QUOTIENT(ROW()-ROW($A$2),12)+1),"")</f>
        <v>Tx_Lightning</v>
      </c>
      <c r="B630" s="42" t="str">
        <f>_xlfn.XLOOKUP(A630,Class_Players!$A:$A,Class_Players!$B:$B,"")</f>
        <v>Engineer</v>
      </c>
      <c r="C630" s="42" t="str" cm="1">
        <f t="array" ref="C630">INDEX(Lookups!$B$2:$B$13,MOD(ROW()-ROW($B$2),ROWS(Lookups!$B$2:$B$13))+1)</f>
        <v>M136 AT (Aim-Guided Launcher)</v>
      </c>
      <c r="D630" s="38" t="str">
        <f>_xlfn.XLOOKUP(C630,Analysis_Gadgets!$C:$C,Analysis_Gadgets!$B:$B)</f>
        <v>Gadget</v>
      </c>
      <c r="E630" s="43">
        <v>0</v>
      </c>
      <c r="F630" s="43">
        <f>_xlfn.XLOOKUP(A630,Class_Players!A:A,Class_Players!G:G)</f>
        <v>251</v>
      </c>
      <c r="G630" s="43">
        <f t="shared" si="146"/>
        <v>0</v>
      </c>
      <c r="H630" s="43">
        <f>_xlfn.XLOOKUP(A630,Class_Players!$A:$A,Class_Players!$F:$F,"")</f>
        <v>8784</v>
      </c>
      <c r="I630" s="44">
        <f t="shared" si="147"/>
        <v>0</v>
      </c>
      <c r="J630" s="43">
        <f t="shared" si="148"/>
        <v>0</v>
      </c>
      <c r="K630" s="44" cm="1">
        <f t="array" ref="K630">IF(D630="Gadget",_xlfn.IFS(I630&gt;=0.2,0.5,I630&gt;=0.1,0.35,I630&gt;=0.05,0.2,TRUE,0),IF(D630="Grenade",_xlfn.IFS(I630&gt;=0.2,1,I630&gt;=0.1,0.7,I630&gt;=0.05,0.4,TRUE,0),0))</f>
        <v>0</v>
      </c>
      <c r="L630" s="57">
        <f t="shared" si="149"/>
        <v>0</v>
      </c>
    </row>
    <row r="631" spans="1:12" x14ac:dyDescent="0.25">
      <c r="A631" s="42" t="str" cm="1">
        <f t="array" ref="A631">IFERROR(INDEX(_xlfn._xlws.FILTER(Class_Players!A:A,Class_Players!B:B="Engineer"),QUOTIENT(ROW()-ROW($A$2),12)+1),"")</f>
        <v>Tx_Lightning</v>
      </c>
      <c r="B631" s="42" t="str">
        <f>_xlfn.XLOOKUP(A631,Class_Players!$A:$A,Class_Players!$B:$B,"")</f>
        <v>Engineer</v>
      </c>
      <c r="C631" s="42" t="str" cm="1">
        <f t="array" ref="C631">INDEX(Lookups!$B$2:$B$13,MOD(ROW()-ROW($B$2),ROWS(Lookups!$B$2:$B$13))+1)</f>
        <v>Supply Crate</v>
      </c>
      <c r="D631" s="38" t="str">
        <f>_xlfn.XLOOKUP(C631,Analysis_Gadgets!$C:$C,Analysis_Gadgets!$B:$B)</f>
        <v>Gadget</v>
      </c>
      <c r="E631" s="43">
        <v>6</v>
      </c>
      <c r="F631" s="43">
        <f>_xlfn.XLOOKUP(A631,Class_Players!A:A,Class_Players!G:G)</f>
        <v>251</v>
      </c>
      <c r="G631" s="43">
        <f t="shared" si="146"/>
        <v>2.3904382470119521E-2</v>
      </c>
      <c r="H631" s="43">
        <f>_xlfn.XLOOKUP(A631,Class_Players!$A:$A,Class_Players!$F:$F,"")</f>
        <v>8784</v>
      </c>
      <c r="I631" s="44">
        <f t="shared" si="147"/>
        <v>6.8306010928961749E-4</v>
      </c>
      <c r="J631" s="43">
        <f t="shared" si="148"/>
        <v>0</v>
      </c>
      <c r="K631" s="44" cm="1">
        <f t="array" ref="K631">IF(D631="Gadget",_xlfn.IFS(I631&gt;=0.2,0.5,I631&gt;=0.1,0.35,I631&gt;=0.05,0.2,TRUE,0),IF(D631="Grenade",_xlfn.IFS(I631&gt;=0.2,1,I631&gt;=0.1,0.7,I631&gt;=0.05,0.4,TRUE,0),0))</f>
        <v>0</v>
      </c>
      <c r="L631" s="57">
        <f t="shared" si="149"/>
        <v>0</v>
      </c>
    </row>
    <row r="632" spans="1:12" x14ac:dyDescent="0.25">
      <c r="A632" s="42" t="str" cm="1">
        <f t="array" ref="A632">IFERROR(INDEX(_xlfn._xlws.FILTER(Class_Players!A:A,Class_Players!B:B="Engineer"),QUOTIENT(ROW()-ROW($A$2),12)+1),"")</f>
        <v>Tx_Lightning</v>
      </c>
      <c r="B632" s="42" t="str">
        <f>_xlfn.XLOOKUP(A632,Class_Players!$A:$A,Class_Players!$B:$B,"")</f>
        <v>Engineer</v>
      </c>
      <c r="C632" s="42" t="str" cm="1">
        <f t="array" ref="C632">INDEX(Lookups!$B$2:$B$13,MOD(ROW()-ROW($B$2),ROWS(Lookups!$B$2:$B$13))+1)</f>
        <v>M15 (Anti-Vehicle Mine)</v>
      </c>
      <c r="D632" s="38" t="str">
        <f>_xlfn.XLOOKUP(C632,Analysis_Gadgets!$C:$C,Analysis_Gadgets!$B:$B)</f>
        <v>Gadget</v>
      </c>
      <c r="E632" s="43">
        <v>8891</v>
      </c>
      <c r="F632" s="43">
        <f>_xlfn.XLOOKUP(A632,Class_Players!A:A,Class_Players!G:G)</f>
        <v>251</v>
      </c>
      <c r="G632" s="43">
        <f t="shared" si="146"/>
        <v>35.422310756972109</v>
      </c>
      <c r="H632" s="43">
        <f>_xlfn.XLOOKUP(A632,Class_Players!$A:$A,Class_Players!$F:$F,"")</f>
        <v>8784</v>
      </c>
      <c r="I632" s="44">
        <f t="shared" si="147"/>
        <v>1.0121812386156648</v>
      </c>
      <c r="J632" s="43">
        <f t="shared" si="148"/>
        <v>1</v>
      </c>
      <c r="K632" s="44" cm="1">
        <f t="array" ref="K632">IF(D632="Gadget",_xlfn.IFS(I632&gt;=0.2,0.5,I632&gt;=0.1,0.35,I632&gt;=0.05,0.2,TRUE,0),IF(D632="Grenade",_xlfn.IFS(I632&gt;=0.2,1,I632&gt;=0.1,0.7,I632&gt;=0.05,0.4,TRUE,0),0))</f>
        <v>0.5</v>
      </c>
      <c r="L632" s="57">
        <f t="shared" si="149"/>
        <v>0.5</v>
      </c>
    </row>
    <row r="633" spans="1:12" x14ac:dyDescent="0.25">
      <c r="A633" s="42" t="str" cm="1">
        <f t="array" ref="A633">IFERROR(INDEX(_xlfn._xlws.FILTER(Class_Players!A:A,Class_Players!B:B="Engineer"),QUOTIENT(ROW()-ROW($A$2),12)+1),"")</f>
        <v>Tx_Lightning</v>
      </c>
      <c r="B633" s="42" t="str">
        <f>_xlfn.XLOOKUP(A633,Class_Players!$A:$A,Class_Players!$B:$B,"")</f>
        <v>Engineer</v>
      </c>
      <c r="C633" s="42" t="str" cm="1">
        <f t="array" ref="C633">INDEX(Lookups!$B$2:$B$13,MOD(ROW()-ROW($B$2),ROWS(Lookups!$B$2:$B$13))+1)</f>
        <v>PTKM-1R (Acoustic Sensor AV Mine)</v>
      </c>
      <c r="D633" s="38" t="str">
        <f>_xlfn.XLOOKUP(C633,Analysis_Gadgets!$C:$C,Analysis_Gadgets!$B:$B)</f>
        <v>Gadget</v>
      </c>
      <c r="E633" s="43">
        <v>2</v>
      </c>
      <c r="F633" s="43">
        <f>_xlfn.XLOOKUP(A633,Class_Players!A:A,Class_Players!G:G)</f>
        <v>251</v>
      </c>
      <c r="G633" s="43">
        <f t="shared" si="146"/>
        <v>7.9681274900398405E-3</v>
      </c>
      <c r="H633" s="43">
        <f>_xlfn.XLOOKUP(A633,Class_Players!$A:$A,Class_Players!$F:$F,"")</f>
        <v>8784</v>
      </c>
      <c r="I633" s="44">
        <f t="shared" si="147"/>
        <v>2.2768670309653916E-4</v>
      </c>
      <c r="J633" s="43">
        <f t="shared" si="148"/>
        <v>0</v>
      </c>
      <c r="K633" s="44" cm="1">
        <f t="array" ref="K633">IF(D633="Gadget",_xlfn.IFS(I633&gt;=0.2,0.5,I633&gt;=0.1,0.35,I633&gt;=0.05,0.2,TRUE,0),IF(D633="Grenade",_xlfn.IFS(I633&gt;=0.2,1,I633&gt;=0.1,0.7,I633&gt;=0.05,0.4,TRUE,0),0))</f>
        <v>0</v>
      </c>
      <c r="L633" s="57">
        <f t="shared" si="149"/>
        <v>0</v>
      </c>
    </row>
    <row r="634" spans="1:12" x14ac:dyDescent="0.25">
      <c r="A634" s="42" t="str" cm="1">
        <f t="array" ref="A634">IFERROR(INDEX(_xlfn._xlws.FILTER(Class_Players!A:A,Class_Players!B:B="Engineer"),QUOTIENT(ROW()-ROW($A$2),12)+1),"")</f>
        <v>Tx_Lightning</v>
      </c>
      <c r="B634" s="42" t="str">
        <f>_xlfn.XLOOKUP(A634,Class_Players!$A:$A,Class_Players!$B:$B,"")</f>
        <v>Engineer</v>
      </c>
      <c r="C634" s="42" t="str" cm="1">
        <f t="array" ref="C634">INDEX(Lookups!$B$2:$B$13,MOD(ROW()-ROW($B$2),ROWS(Lookups!$B$2:$B$13))+1)</f>
        <v>EOD Bot</v>
      </c>
      <c r="D634" s="38" t="str">
        <f>_xlfn.XLOOKUP(C634,Analysis_Gadgets!$C:$C,Analysis_Gadgets!$B:$B)</f>
        <v>Gadget</v>
      </c>
      <c r="E634" s="43">
        <v>0</v>
      </c>
      <c r="F634" s="43">
        <f>_xlfn.XLOOKUP(A634,Class_Players!A:A,Class_Players!G:G)</f>
        <v>251</v>
      </c>
      <c r="G634" s="43">
        <f t="shared" si="146"/>
        <v>0</v>
      </c>
      <c r="H634" s="43">
        <f>_xlfn.XLOOKUP(A634,Class_Players!$A:$A,Class_Players!$F:$F,"")</f>
        <v>8784</v>
      </c>
      <c r="I634" s="44">
        <f t="shared" si="147"/>
        <v>0</v>
      </c>
      <c r="J634" s="43">
        <f t="shared" si="148"/>
        <v>0</v>
      </c>
      <c r="K634" s="44" cm="1">
        <f t="array" ref="K634">IF(D634="Gadget",_xlfn.IFS(I634&gt;=0.2,0.5,I634&gt;=0.1,0.35,I634&gt;=0.05,0.2,TRUE,0),IF(D634="Grenade",_xlfn.IFS(I634&gt;=0.2,1,I634&gt;=0.1,0.7,I634&gt;=0.05,0.4,TRUE,0),0))</f>
        <v>0</v>
      </c>
      <c r="L634" s="57">
        <f t="shared" si="149"/>
        <v>0</v>
      </c>
    </row>
    <row r="635" spans="1:12" x14ac:dyDescent="0.25">
      <c r="A635" s="42" t="str" cm="1">
        <f t="array" ref="A635">IFERROR(INDEX(_xlfn._xlws.FILTER(Class_Players!A:A,Class_Players!B:B="Engineer"),QUOTIENT(ROW()-ROW($A$2),12)+1),"")</f>
        <v>Tx_Lightning</v>
      </c>
      <c r="B635" s="42" t="str">
        <f>_xlfn.XLOOKUP(A635,Class_Players!$A:$A,Class_Players!$B:$B,"")</f>
        <v>Engineer</v>
      </c>
      <c r="C635" s="42" t="str" cm="1">
        <f t="array" ref="C635">INDEX(Lookups!$B$2:$B$13,MOD(ROW()-ROW($B$2),ROWS(Lookups!$B$2:$B$13))+1)</f>
        <v>M4A1 SLAM (Tripwire Sensor AV Mine)</v>
      </c>
      <c r="D635" s="38" t="str">
        <f>_xlfn.XLOOKUP(C635,Analysis_Gadgets!$C:$C,Analysis_Gadgets!$B:$B)</f>
        <v>Gadget</v>
      </c>
      <c r="E635" s="43">
        <v>9</v>
      </c>
      <c r="F635" s="43">
        <f>_xlfn.XLOOKUP(A635,Class_Players!A:A,Class_Players!G:G)</f>
        <v>251</v>
      </c>
      <c r="G635" s="43">
        <f t="shared" si="146"/>
        <v>3.5856573705179286E-2</v>
      </c>
      <c r="H635" s="43">
        <f>_xlfn.XLOOKUP(A635,Class_Players!$A:$A,Class_Players!$F:$F,"")</f>
        <v>8784</v>
      </c>
      <c r="I635" s="44">
        <f t="shared" si="147"/>
        <v>1.0245901639344263E-3</v>
      </c>
      <c r="J635" s="43">
        <f t="shared" si="148"/>
        <v>0</v>
      </c>
      <c r="K635" s="44" cm="1">
        <f t="array" ref="K635">IF(D635="Gadget",_xlfn.IFS(I635&gt;=0.2,0.5,I635&gt;=0.1,0.35,I635&gt;=0.05,0.2,TRUE,0),IF(D635="Grenade",_xlfn.IFS(I635&gt;=0.2,1,I635&gt;=0.1,0.7,I635&gt;=0.05,0.4,TRUE,0),0))</f>
        <v>0</v>
      </c>
      <c r="L635" s="57">
        <f t="shared" si="149"/>
        <v>0</v>
      </c>
    </row>
    <row r="636" spans="1:12" x14ac:dyDescent="0.25">
      <c r="A636" s="42" t="str" cm="1">
        <f t="array" ref="A636">IFERROR(INDEX(_xlfn._xlws.FILTER(Class_Players!A:A,Class_Players!B:B="Engineer"),QUOTIENT(ROW()-ROW($A$2),12)+1),"")</f>
        <v>Tx_Lightning</v>
      </c>
      <c r="B636" s="42" t="str">
        <f>_xlfn.XLOOKUP(A636,Class_Players!$A:$A,Class_Players!$B:$B,"")</f>
        <v>Engineer</v>
      </c>
      <c r="C636" s="42" t="str" cm="1">
        <f t="array" ref="C636">INDEX(Lookups!$B$2:$B$13,MOD(ROW()-ROW($B$2),ROWS(Lookups!$B$2:$B$13))+1)</f>
        <v>Mini Frag Grenade</v>
      </c>
      <c r="D636" s="38" t="str">
        <f>_xlfn.XLOOKUP(C636,Analysis_Gadgets!$C:$C,Analysis_Gadgets!$B:$B)</f>
        <v>Grenade</v>
      </c>
      <c r="E636" s="43">
        <v>0</v>
      </c>
      <c r="F636" s="43">
        <f>_xlfn.XLOOKUP(A636,Class_Players!A:A,Class_Players!G:G)</f>
        <v>251</v>
      </c>
      <c r="G636" s="43">
        <f t="shared" si="146"/>
        <v>0</v>
      </c>
      <c r="H636" s="43">
        <f>_xlfn.XLOOKUP(A636,Class_Players!$A:$A,Class_Players!$F:$F,"")</f>
        <v>8784</v>
      </c>
      <c r="I636" s="44">
        <f t="shared" si="147"/>
        <v>0</v>
      </c>
      <c r="J636" s="43">
        <f t="shared" si="148"/>
        <v>0</v>
      </c>
      <c r="K636" s="44" cm="1">
        <f t="array" ref="K636">IF(D636="Gadget",_xlfn.IFS(I636&gt;=0.2,0.5,I636&gt;=0.1,0.35,I636&gt;=0.05,0.2,TRUE,0),IF(D636="Grenade",_xlfn.IFS(I636&gt;=0.2,1,I636&gt;=0.1,0.7,I636&gt;=0.05,0.4,TRUE,0),0))</f>
        <v>0</v>
      </c>
      <c r="L636" s="57">
        <f t="shared" ref="L636:L637" si="150">IF($K636=0,0,$K636 / SUMIFS($K:$K,$A:$A,$A636,$D:$D,"Grenade"))</f>
        <v>0</v>
      </c>
    </row>
    <row r="637" spans="1:12" x14ac:dyDescent="0.25">
      <c r="A637" s="42" t="str" cm="1">
        <f t="array" ref="A637">IFERROR(INDEX(_xlfn._xlws.FILTER(Class_Players!A:A,Class_Players!B:B="Engineer"),QUOTIENT(ROW()-ROW($A$2),12)+1),"")</f>
        <v>Tx_Lightning</v>
      </c>
      <c r="B637" s="42" t="str">
        <f>_xlfn.XLOOKUP(A637,Class_Players!$A:$A,Class_Players!$B:$B,"")</f>
        <v>Engineer</v>
      </c>
      <c r="C637" s="42" t="str" cm="1">
        <f t="array" ref="C637">INDEX(Lookups!$B$2:$B$13,MOD(ROW()-ROW($B$2),ROWS(Lookups!$B$2:$B$13))+1)</f>
        <v>Anti-Vehicle Grenade</v>
      </c>
      <c r="D637" s="38" t="str">
        <f>_xlfn.XLOOKUP(C637,Analysis_Gadgets!$C:$C,Analysis_Gadgets!$B:$B)</f>
        <v>Grenade</v>
      </c>
      <c r="E637" s="43">
        <v>0</v>
      </c>
      <c r="F637" s="43">
        <f>_xlfn.XLOOKUP(A637,Class_Players!A:A,Class_Players!G:G)</f>
        <v>251</v>
      </c>
      <c r="G637" s="43">
        <f t="shared" si="146"/>
        <v>0</v>
      </c>
      <c r="H637" s="43">
        <f>_xlfn.XLOOKUP(A637,Class_Players!$A:$A,Class_Players!$F:$F,"")</f>
        <v>8784</v>
      </c>
      <c r="I637" s="44">
        <f t="shared" si="147"/>
        <v>0</v>
      </c>
      <c r="J637" s="43">
        <f t="shared" si="148"/>
        <v>0</v>
      </c>
      <c r="K637" s="44" cm="1">
        <f t="array" ref="K637">IF(D637="Gadget",_xlfn.IFS(I637&gt;=0.2,0.5,I637&gt;=0.1,0.35,I637&gt;=0.05,0.2,TRUE,0),IF(D637="Grenade",_xlfn.IFS(I637&gt;=0.2,1,I637&gt;=0.1,0.7,I637&gt;=0.05,0.4,TRUE,0),0))</f>
        <v>0</v>
      </c>
      <c r="L637" s="57">
        <f t="shared" si="150"/>
        <v>0</v>
      </c>
    </row>
    <row r="638" spans="1:12" x14ac:dyDescent="0.25">
      <c r="A638" s="42" t="str" cm="1">
        <f t="array" ref="A638">IFERROR(INDEX(_xlfn._xlws.FILTER(Class_Players!A:A,Class_Players!B:B="Engineer"),QUOTIENT(ROW()-ROW($A$2),12)+1),"")</f>
        <v>-BC-pawel23nammu</v>
      </c>
      <c r="B638" s="42" t="str">
        <f>_xlfn.XLOOKUP(A638,Class_Players!$A:$A,Class_Players!$B:$B,"")</f>
        <v>Engineer</v>
      </c>
      <c r="C638" s="42" t="str" cm="1">
        <f t="array" ref="C638">INDEX(Lookups!$B$2:$B$13,MOD(ROW()-ROW($B$2),ROWS(Lookups!$B$2:$B$13))+1)</f>
        <v>MBT-LAW (Auto-Guided Launcher)</v>
      </c>
      <c r="D638" s="38" t="str">
        <f>_xlfn.XLOOKUP(C638,Analysis_Gadgets!$C:$C,Analysis_Gadgets!$B:$B)</f>
        <v>Gadget</v>
      </c>
      <c r="E638" s="43">
        <v>0</v>
      </c>
      <c r="F638" s="43">
        <f>_xlfn.XLOOKUP(A638,Class_Players!A:A,Class_Players!G:G)</f>
        <v>150</v>
      </c>
      <c r="G638" s="43">
        <f t="shared" si="146"/>
        <v>0</v>
      </c>
      <c r="H638" s="43">
        <f>_xlfn.XLOOKUP(A638,Class_Players!$A:$A,Class_Players!$F:$F,"")</f>
        <v>8850</v>
      </c>
      <c r="I638" s="44">
        <f t="shared" si="147"/>
        <v>0</v>
      </c>
      <c r="J638" s="43">
        <f t="shared" si="148"/>
        <v>0</v>
      </c>
      <c r="K638" s="44" cm="1">
        <f t="array" ref="K638">IF(D638="Gadget",_xlfn.IFS(I638&gt;=0.2,0.5,I638&gt;=0.1,0.35,I638&gt;=0.05,0.2,TRUE,0),IF(D638="Grenade",_xlfn.IFS(I638&gt;=0.2,1,I638&gt;=0.1,0.7,I638&gt;=0.05,0.4,TRUE,0),0))</f>
        <v>0</v>
      </c>
      <c r="L638" s="57">
        <f t="shared" ref="L638:L647" si="151">IF($K638=0,0,$K638 / SUMIFS($K:$K,$A:$A,$A638,$D:$D,"Gadget"))</f>
        <v>0</v>
      </c>
    </row>
    <row r="639" spans="1:12" x14ac:dyDescent="0.25">
      <c r="A639" s="42" t="str" cm="1">
        <f t="array" ref="A639">IFERROR(INDEX(_xlfn._xlws.FILTER(Class_Players!A:A,Class_Players!B:B="Engineer"),QUOTIENT(ROW()-ROW($A$2),12)+1),"")</f>
        <v>-BC-pawel23nammu</v>
      </c>
      <c r="B639" s="42" t="str">
        <f>_xlfn.XLOOKUP(A639,Class_Players!$A:$A,Class_Players!$B:$B,"")</f>
        <v>Engineer</v>
      </c>
      <c r="C639" s="42" t="str" cm="1">
        <f t="array" ref="C639">INDEX(Lookups!$B$2:$B$13,MOD(ROW()-ROW($B$2),ROWS(Lookups!$B$2:$B$13))+1)</f>
        <v>SLM-93A (Air-Defense Launcher)</v>
      </c>
      <c r="D639" s="38" t="str">
        <f>_xlfn.XLOOKUP(C639,Analysis_Gadgets!$C:$C,Analysis_Gadgets!$B:$B)</f>
        <v>Gadget</v>
      </c>
      <c r="E639" s="43">
        <v>11</v>
      </c>
      <c r="F639" s="43">
        <f>_xlfn.XLOOKUP(A639,Class_Players!A:A,Class_Players!G:G)</f>
        <v>150</v>
      </c>
      <c r="G639" s="43">
        <f t="shared" si="146"/>
        <v>7.3333333333333334E-2</v>
      </c>
      <c r="H639" s="43">
        <f>_xlfn.XLOOKUP(A639,Class_Players!$A:$A,Class_Players!$F:$F,"")</f>
        <v>8850</v>
      </c>
      <c r="I639" s="44">
        <f t="shared" si="147"/>
        <v>1.2429378531073447E-3</v>
      </c>
      <c r="J639" s="43">
        <f t="shared" si="148"/>
        <v>0</v>
      </c>
      <c r="K639" s="44" cm="1">
        <f t="array" ref="K639">IF(D639="Gadget",_xlfn.IFS(I639&gt;=0.2,0.5,I639&gt;=0.1,0.35,I639&gt;=0.05,0.2,TRUE,0),IF(D639="Grenade",_xlfn.IFS(I639&gt;=0.2,1,I639&gt;=0.1,0.7,I639&gt;=0.05,0.4,TRUE,0),0))</f>
        <v>0</v>
      </c>
      <c r="L639" s="57">
        <f t="shared" si="151"/>
        <v>0</v>
      </c>
    </row>
    <row r="640" spans="1:12" x14ac:dyDescent="0.25">
      <c r="A640" s="42" t="str" cm="1">
        <f t="array" ref="A640">IFERROR(INDEX(_xlfn._xlws.FILTER(Class_Players!A:A,Class_Players!B:B="Engineer"),QUOTIENT(ROW()-ROW($A$2),12)+1),"")</f>
        <v>-BC-pawel23nammu</v>
      </c>
      <c r="B640" s="42" t="str">
        <f>_xlfn.XLOOKUP(A640,Class_Players!$A:$A,Class_Players!$B:$B,"")</f>
        <v>Engineer</v>
      </c>
      <c r="C640" s="42" t="str" cm="1">
        <f t="array" ref="C640">INDEX(Lookups!$B$2:$B$13,MOD(ROW()-ROW($B$2),ROWS(Lookups!$B$2:$B$13))+1)</f>
        <v>RPG-7V2 (Unguided Rocket Launcher)</v>
      </c>
      <c r="D640" s="38" t="str">
        <f>_xlfn.XLOOKUP(C640,Analysis_Gadgets!$C:$C,Analysis_Gadgets!$B:$B)</f>
        <v>Gadget</v>
      </c>
      <c r="E640" s="43">
        <v>3708</v>
      </c>
      <c r="F640" s="43">
        <f>_xlfn.XLOOKUP(A640,Class_Players!A:A,Class_Players!G:G)</f>
        <v>150</v>
      </c>
      <c r="G640" s="43">
        <f t="shared" si="146"/>
        <v>24.72</v>
      </c>
      <c r="H640" s="43">
        <f>_xlfn.XLOOKUP(A640,Class_Players!$A:$A,Class_Players!$F:$F,"")</f>
        <v>8850</v>
      </c>
      <c r="I640" s="44">
        <f t="shared" si="147"/>
        <v>0.41898305084745763</v>
      </c>
      <c r="J640" s="43">
        <f t="shared" si="148"/>
        <v>1</v>
      </c>
      <c r="K640" s="44" cm="1">
        <f t="array" ref="K640">IF(D640="Gadget",_xlfn.IFS(I640&gt;=0.2,0.5,I640&gt;=0.1,0.35,I640&gt;=0.05,0.2,TRUE,0),IF(D640="Grenade",_xlfn.IFS(I640&gt;=0.2,1,I640&gt;=0.1,0.7,I640&gt;=0.05,0.4,TRUE,0),0))</f>
        <v>0.5</v>
      </c>
      <c r="L640" s="57">
        <f t="shared" si="151"/>
        <v>0.5</v>
      </c>
    </row>
    <row r="641" spans="1:12" x14ac:dyDescent="0.25">
      <c r="A641" s="42" t="str" cm="1">
        <f t="array" ref="A641">IFERROR(INDEX(_xlfn._xlws.FILTER(Class_Players!A:A,Class_Players!B:B="Engineer"),QUOTIENT(ROW()-ROW($A$2),12)+1),"")</f>
        <v>-BC-pawel23nammu</v>
      </c>
      <c r="B641" s="42" t="str">
        <f>_xlfn.XLOOKUP(A641,Class_Players!$A:$A,Class_Players!$B:$B,"")</f>
        <v>Engineer</v>
      </c>
      <c r="C641" s="42" t="str" cm="1">
        <f t="array" ref="C641">INDEX(Lookups!$B$2:$B$13,MOD(ROW()-ROW($B$2),ROWS(Lookups!$B$2:$B$13))+1)</f>
        <v>MAS 148 (Long-Range Launcher)</v>
      </c>
      <c r="D641" s="38" t="str">
        <f>_xlfn.XLOOKUP(C641,Analysis_Gadgets!$C:$C,Analysis_Gadgets!$B:$B)</f>
        <v>Gadget</v>
      </c>
      <c r="E641" s="43">
        <v>0</v>
      </c>
      <c r="F641" s="43">
        <f>_xlfn.XLOOKUP(A641,Class_Players!A:A,Class_Players!G:G)</f>
        <v>150</v>
      </c>
      <c r="G641" s="43">
        <f t="shared" si="146"/>
        <v>0</v>
      </c>
      <c r="H641" s="43">
        <f>_xlfn.XLOOKUP(A641,Class_Players!$A:$A,Class_Players!$F:$F,"")</f>
        <v>8850</v>
      </c>
      <c r="I641" s="44">
        <f t="shared" si="147"/>
        <v>0</v>
      </c>
      <c r="J641" s="43">
        <f t="shared" si="148"/>
        <v>0</v>
      </c>
      <c r="K641" s="44" cm="1">
        <f t="array" ref="K641">IF(D641="Gadget",_xlfn.IFS(I641&gt;=0.2,0.5,I641&gt;=0.1,0.35,I641&gt;=0.05,0.2,TRUE,0),IF(D641="Grenade",_xlfn.IFS(I641&gt;=0.2,1,I641&gt;=0.1,0.7,I641&gt;=0.05,0.4,TRUE,0),0))</f>
        <v>0</v>
      </c>
      <c r="L641" s="57">
        <f t="shared" si="151"/>
        <v>0</v>
      </c>
    </row>
    <row r="642" spans="1:12" x14ac:dyDescent="0.25">
      <c r="A642" s="42" t="str" cm="1">
        <f t="array" ref="A642">IFERROR(INDEX(_xlfn._xlws.FILTER(Class_Players!A:A,Class_Players!B:B="Engineer"),QUOTIENT(ROW()-ROW($A$2),12)+1),"")</f>
        <v>-BC-pawel23nammu</v>
      </c>
      <c r="B642" s="42" t="str">
        <f>_xlfn.XLOOKUP(A642,Class_Players!$A:$A,Class_Players!$B:$B,"")</f>
        <v>Engineer</v>
      </c>
      <c r="C642" s="42" t="str" cm="1">
        <f t="array" ref="C642">INDEX(Lookups!$B$2:$B$13,MOD(ROW()-ROW($B$2),ROWS(Lookups!$B$2:$B$13))+1)</f>
        <v>M136 AT (Aim-Guided Launcher)</v>
      </c>
      <c r="D642" s="38" t="str">
        <f>_xlfn.XLOOKUP(C642,Analysis_Gadgets!$C:$C,Analysis_Gadgets!$B:$B)</f>
        <v>Gadget</v>
      </c>
      <c r="E642" s="43">
        <v>1</v>
      </c>
      <c r="F642" s="43">
        <f>_xlfn.XLOOKUP(A642,Class_Players!A:A,Class_Players!G:G)</f>
        <v>150</v>
      </c>
      <c r="G642" s="43">
        <f t="shared" si="146"/>
        <v>6.6666666666666671E-3</v>
      </c>
      <c r="H642" s="43">
        <f>_xlfn.XLOOKUP(A642,Class_Players!$A:$A,Class_Players!$F:$F,"")</f>
        <v>8850</v>
      </c>
      <c r="I642" s="44">
        <f t="shared" si="147"/>
        <v>1.1299435028248587E-4</v>
      </c>
      <c r="J642" s="43">
        <f t="shared" si="148"/>
        <v>0</v>
      </c>
      <c r="K642" s="44" cm="1">
        <f t="array" ref="K642">IF(D642="Gadget",_xlfn.IFS(I642&gt;=0.2,0.5,I642&gt;=0.1,0.35,I642&gt;=0.05,0.2,TRUE,0),IF(D642="Grenade",_xlfn.IFS(I642&gt;=0.2,1,I642&gt;=0.1,0.7,I642&gt;=0.05,0.4,TRUE,0),0))</f>
        <v>0</v>
      </c>
      <c r="L642" s="57">
        <f t="shared" si="151"/>
        <v>0</v>
      </c>
    </row>
    <row r="643" spans="1:12" x14ac:dyDescent="0.25">
      <c r="A643" s="42" t="str" cm="1">
        <f t="array" ref="A643">IFERROR(INDEX(_xlfn._xlws.FILTER(Class_Players!A:A,Class_Players!B:B="Engineer"),QUOTIENT(ROW()-ROW($A$2),12)+1),"")</f>
        <v>-BC-pawel23nammu</v>
      </c>
      <c r="B643" s="42" t="str">
        <f>_xlfn.XLOOKUP(A643,Class_Players!$A:$A,Class_Players!$B:$B,"")</f>
        <v>Engineer</v>
      </c>
      <c r="C643" s="42" t="str" cm="1">
        <f t="array" ref="C643">INDEX(Lookups!$B$2:$B$13,MOD(ROW()-ROW($B$2),ROWS(Lookups!$B$2:$B$13))+1)</f>
        <v>Supply Crate</v>
      </c>
      <c r="D643" s="38" t="str">
        <f>_xlfn.XLOOKUP(C643,Analysis_Gadgets!$C:$C,Analysis_Gadgets!$B:$B)</f>
        <v>Gadget</v>
      </c>
      <c r="E643" s="43">
        <v>7</v>
      </c>
      <c r="F643" s="43">
        <f>_xlfn.XLOOKUP(A643,Class_Players!A:A,Class_Players!G:G)</f>
        <v>150</v>
      </c>
      <c r="G643" s="43">
        <f t="shared" si="146"/>
        <v>4.6666666666666669E-2</v>
      </c>
      <c r="H643" s="43">
        <f>_xlfn.XLOOKUP(A643,Class_Players!$A:$A,Class_Players!$F:$F,"")</f>
        <v>8850</v>
      </c>
      <c r="I643" s="44">
        <f t="shared" si="147"/>
        <v>7.9096045197740109E-4</v>
      </c>
      <c r="J643" s="43">
        <f t="shared" si="148"/>
        <v>0</v>
      </c>
      <c r="K643" s="44" cm="1">
        <f t="array" ref="K643">IF(D643="Gadget",_xlfn.IFS(I643&gt;=0.2,0.5,I643&gt;=0.1,0.35,I643&gt;=0.05,0.2,TRUE,0),IF(D643="Grenade",_xlfn.IFS(I643&gt;=0.2,1,I643&gt;=0.1,0.7,I643&gt;=0.05,0.4,TRUE,0),0))</f>
        <v>0</v>
      </c>
      <c r="L643" s="57">
        <f t="shared" si="151"/>
        <v>0</v>
      </c>
    </row>
    <row r="644" spans="1:12" x14ac:dyDescent="0.25">
      <c r="A644" s="42" t="str" cm="1">
        <f t="array" ref="A644">IFERROR(INDEX(_xlfn._xlws.FILTER(Class_Players!A:A,Class_Players!B:B="Engineer"),QUOTIENT(ROW()-ROW($A$2),12)+1),"")</f>
        <v>-BC-pawel23nammu</v>
      </c>
      <c r="B644" s="42" t="str">
        <f>_xlfn.XLOOKUP(A644,Class_Players!$A:$A,Class_Players!$B:$B,"")</f>
        <v>Engineer</v>
      </c>
      <c r="C644" s="42" t="str" cm="1">
        <f t="array" ref="C644">INDEX(Lookups!$B$2:$B$13,MOD(ROW()-ROW($B$2),ROWS(Lookups!$B$2:$B$13))+1)</f>
        <v>M15 (Anti-Vehicle Mine)</v>
      </c>
      <c r="D644" s="38" t="str">
        <f>_xlfn.XLOOKUP(C644,Analysis_Gadgets!$C:$C,Analysis_Gadgets!$B:$B)</f>
        <v>Gadget</v>
      </c>
      <c r="E644" s="43">
        <v>6652</v>
      </c>
      <c r="F644" s="43">
        <f>_xlfn.XLOOKUP(A644,Class_Players!A:A,Class_Players!G:G)</f>
        <v>150</v>
      </c>
      <c r="G644" s="43">
        <f t="shared" si="146"/>
        <v>44.346666666666664</v>
      </c>
      <c r="H644" s="43">
        <f>_xlfn.XLOOKUP(A644,Class_Players!$A:$A,Class_Players!$F:$F,"")</f>
        <v>8850</v>
      </c>
      <c r="I644" s="44">
        <f t="shared" si="147"/>
        <v>0.75163841807909604</v>
      </c>
      <c r="J644" s="43">
        <f t="shared" si="148"/>
        <v>1</v>
      </c>
      <c r="K644" s="44" cm="1">
        <f t="array" ref="K644">IF(D644="Gadget",_xlfn.IFS(I644&gt;=0.2,0.5,I644&gt;=0.1,0.35,I644&gt;=0.05,0.2,TRUE,0),IF(D644="Grenade",_xlfn.IFS(I644&gt;=0.2,1,I644&gt;=0.1,0.7,I644&gt;=0.05,0.4,TRUE,0),0))</f>
        <v>0.5</v>
      </c>
      <c r="L644" s="57">
        <f t="shared" si="151"/>
        <v>0.5</v>
      </c>
    </row>
    <row r="645" spans="1:12" x14ac:dyDescent="0.25">
      <c r="A645" s="42" t="str" cm="1">
        <f t="array" ref="A645">IFERROR(INDEX(_xlfn._xlws.FILTER(Class_Players!A:A,Class_Players!B:B="Engineer"),QUOTIENT(ROW()-ROW($A$2),12)+1),"")</f>
        <v>-BC-pawel23nammu</v>
      </c>
      <c r="B645" s="42" t="str">
        <f>_xlfn.XLOOKUP(A645,Class_Players!$A:$A,Class_Players!$B:$B,"")</f>
        <v>Engineer</v>
      </c>
      <c r="C645" s="42" t="str" cm="1">
        <f t="array" ref="C645">INDEX(Lookups!$B$2:$B$13,MOD(ROW()-ROW($B$2),ROWS(Lookups!$B$2:$B$13))+1)</f>
        <v>PTKM-1R (Acoustic Sensor AV Mine)</v>
      </c>
      <c r="D645" s="38" t="str">
        <f>_xlfn.XLOOKUP(C645,Analysis_Gadgets!$C:$C,Analysis_Gadgets!$B:$B)</f>
        <v>Gadget</v>
      </c>
      <c r="E645" s="43">
        <v>16</v>
      </c>
      <c r="F645" s="43">
        <f>_xlfn.XLOOKUP(A645,Class_Players!A:A,Class_Players!G:G)</f>
        <v>150</v>
      </c>
      <c r="G645" s="43">
        <f t="shared" si="146"/>
        <v>0.10666666666666667</v>
      </c>
      <c r="H645" s="43">
        <f>_xlfn.XLOOKUP(A645,Class_Players!$A:$A,Class_Players!$F:$F,"")</f>
        <v>8850</v>
      </c>
      <c r="I645" s="44">
        <f t="shared" si="147"/>
        <v>1.807909604519774E-3</v>
      </c>
      <c r="J645" s="43">
        <f t="shared" si="148"/>
        <v>0</v>
      </c>
      <c r="K645" s="44" cm="1">
        <f t="array" ref="K645">IF(D645="Gadget",_xlfn.IFS(I645&gt;=0.2,0.5,I645&gt;=0.1,0.35,I645&gt;=0.05,0.2,TRUE,0),IF(D645="Grenade",_xlfn.IFS(I645&gt;=0.2,1,I645&gt;=0.1,0.7,I645&gt;=0.05,0.4,TRUE,0),0))</f>
        <v>0</v>
      </c>
      <c r="L645" s="57">
        <f t="shared" si="151"/>
        <v>0</v>
      </c>
    </row>
    <row r="646" spans="1:12" x14ac:dyDescent="0.25">
      <c r="A646" s="42" t="str" cm="1">
        <f t="array" ref="A646">IFERROR(INDEX(_xlfn._xlws.FILTER(Class_Players!A:A,Class_Players!B:B="Engineer"),QUOTIENT(ROW()-ROW($A$2),12)+1),"")</f>
        <v>-BC-pawel23nammu</v>
      </c>
      <c r="B646" s="42" t="str">
        <f>_xlfn.XLOOKUP(A646,Class_Players!$A:$A,Class_Players!$B:$B,"")</f>
        <v>Engineer</v>
      </c>
      <c r="C646" s="42" t="str" cm="1">
        <f t="array" ref="C646">INDEX(Lookups!$B$2:$B$13,MOD(ROW()-ROW($B$2),ROWS(Lookups!$B$2:$B$13))+1)</f>
        <v>EOD Bot</v>
      </c>
      <c r="D646" s="38" t="str">
        <f>_xlfn.XLOOKUP(C646,Analysis_Gadgets!$C:$C,Analysis_Gadgets!$B:$B)</f>
        <v>Gadget</v>
      </c>
      <c r="E646" s="43">
        <v>0</v>
      </c>
      <c r="F646" s="43">
        <f>_xlfn.XLOOKUP(A646,Class_Players!A:A,Class_Players!G:G)</f>
        <v>150</v>
      </c>
      <c r="G646" s="43">
        <f t="shared" si="146"/>
        <v>0</v>
      </c>
      <c r="H646" s="43">
        <f>_xlfn.XLOOKUP(A646,Class_Players!$A:$A,Class_Players!$F:$F,"")</f>
        <v>8850</v>
      </c>
      <c r="I646" s="44">
        <f t="shared" si="147"/>
        <v>0</v>
      </c>
      <c r="J646" s="43">
        <f t="shared" si="148"/>
        <v>0</v>
      </c>
      <c r="K646" s="44" cm="1">
        <f t="array" ref="K646">IF(D646="Gadget",_xlfn.IFS(I646&gt;=0.2,0.5,I646&gt;=0.1,0.35,I646&gt;=0.05,0.2,TRUE,0),IF(D646="Grenade",_xlfn.IFS(I646&gt;=0.2,1,I646&gt;=0.1,0.7,I646&gt;=0.05,0.4,TRUE,0),0))</f>
        <v>0</v>
      </c>
      <c r="L646" s="57">
        <f t="shared" si="151"/>
        <v>0</v>
      </c>
    </row>
    <row r="647" spans="1:12" x14ac:dyDescent="0.25">
      <c r="A647" s="42" t="str" cm="1">
        <f t="array" ref="A647">IFERROR(INDEX(_xlfn._xlws.FILTER(Class_Players!A:A,Class_Players!B:B="Engineer"),QUOTIENT(ROW()-ROW($A$2),12)+1),"")</f>
        <v>-BC-pawel23nammu</v>
      </c>
      <c r="B647" s="42" t="str">
        <f>_xlfn.XLOOKUP(A647,Class_Players!$A:$A,Class_Players!$B:$B,"")</f>
        <v>Engineer</v>
      </c>
      <c r="C647" s="42" t="str" cm="1">
        <f t="array" ref="C647">INDEX(Lookups!$B$2:$B$13,MOD(ROW()-ROW($B$2),ROWS(Lookups!$B$2:$B$13))+1)</f>
        <v>M4A1 SLAM (Tripwire Sensor AV Mine)</v>
      </c>
      <c r="D647" s="38" t="str">
        <f>_xlfn.XLOOKUP(C647,Analysis_Gadgets!$C:$C,Analysis_Gadgets!$B:$B)</f>
        <v>Gadget</v>
      </c>
      <c r="E647" s="43">
        <v>0</v>
      </c>
      <c r="F647" s="43">
        <f>_xlfn.XLOOKUP(A647,Class_Players!A:A,Class_Players!G:G)</f>
        <v>150</v>
      </c>
      <c r="G647" s="43">
        <f t="shared" si="146"/>
        <v>0</v>
      </c>
      <c r="H647" s="43">
        <f>_xlfn.XLOOKUP(A647,Class_Players!$A:$A,Class_Players!$F:$F,"")</f>
        <v>8850</v>
      </c>
      <c r="I647" s="44">
        <f t="shared" si="147"/>
        <v>0</v>
      </c>
      <c r="J647" s="43">
        <f t="shared" si="148"/>
        <v>0</v>
      </c>
      <c r="K647" s="44" cm="1">
        <f t="array" ref="K647">IF(D647="Gadget",_xlfn.IFS(I647&gt;=0.2,0.5,I647&gt;=0.1,0.35,I647&gt;=0.05,0.2,TRUE,0),IF(D647="Grenade",_xlfn.IFS(I647&gt;=0.2,1,I647&gt;=0.1,0.7,I647&gt;=0.05,0.4,TRUE,0),0))</f>
        <v>0</v>
      </c>
      <c r="L647" s="57">
        <f t="shared" si="151"/>
        <v>0</v>
      </c>
    </row>
    <row r="648" spans="1:12" x14ac:dyDescent="0.25">
      <c r="A648" s="42" t="str" cm="1">
        <f t="array" ref="A648">IFERROR(INDEX(_xlfn._xlws.FILTER(Class_Players!A:A,Class_Players!B:B="Engineer"),QUOTIENT(ROW()-ROW($A$2),12)+1),"")</f>
        <v>-BC-pawel23nammu</v>
      </c>
      <c r="B648" s="42" t="str">
        <f>_xlfn.XLOOKUP(A648,Class_Players!$A:$A,Class_Players!$B:$B,"")</f>
        <v>Engineer</v>
      </c>
      <c r="C648" s="42" t="str" cm="1">
        <f t="array" ref="C648">INDEX(Lookups!$B$2:$B$13,MOD(ROW()-ROW($B$2),ROWS(Lookups!$B$2:$B$13))+1)</f>
        <v>Mini Frag Grenade</v>
      </c>
      <c r="D648" s="38" t="str">
        <f>_xlfn.XLOOKUP(C648,Analysis_Gadgets!$C:$C,Analysis_Gadgets!$B:$B)</f>
        <v>Grenade</v>
      </c>
      <c r="E648" s="43">
        <v>3</v>
      </c>
      <c r="F648" s="43">
        <f>_xlfn.XLOOKUP(A648,Class_Players!A:A,Class_Players!G:G)</f>
        <v>150</v>
      </c>
      <c r="G648" s="43">
        <f t="shared" si="146"/>
        <v>0.02</v>
      </c>
      <c r="H648" s="43">
        <f>_xlfn.XLOOKUP(A648,Class_Players!$A:$A,Class_Players!$F:$F,"")</f>
        <v>8850</v>
      </c>
      <c r="I648" s="44">
        <f t="shared" si="147"/>
        <v>3.3898305084745765E-4</v>
      </c>
      <c r="J648" s="43">
        <f t="shared" si="148"/>
        <v>0</v>
      </c>
      <c r="K648" s="44" cm="1">
        <f t="array" ref="K648">IF(D648="Gadget",_xlfn.IFS(I648&gt;=0.2,0.5,I648&gt;=0.1,0.35,I648&gt;=0.05,0.2,TRUE,0),IF(D648="Grenade",_xlfn.IFS(I648&gt;=0.2,1,I648&gt;=0.1,0.7,I648&gt;=0.05,0.4,TRUE,0),0))</f>
        <v>0</v>
      </c>
      <c r="L648" s="57">
        <f t="shared" ref="L648:L649" si="152">IF($K648=0,0,$K648 / SUMIFS($K:$K,$A:$A,$A648,$D:$D,"Grenade"))</f>
        <v>0</v>
      </c>
    </row>
    <row r="649" spans="1:12" x14ac:dyDescent="0.25">
      <c r="A649" s="42" t="str" cm="1">
        <f t="array" ref="A649">IFERROR(INDEX(_xlfn._xlws.FILTER(Class_Players!A:A,Class_Players!B:B="Engineer"),QUOTIENT(ROW()-ROW($A$2),12)+1),"")</f>
        <v>-BC-pawel23nammu</v>
      </c>
      <c r="B649" s="42" t="str">
        <f>_xlfn.XLOOKUP(A649,Class_Players!$A:$A,Class_Players!$B:$B,"")</f>
        <v>Engineer</v>
      </c>
      <c r="C649" s="42" t="str" cm="1">
        <f t="array" ref="C649">INDEX(Lookups!$B$2:$B$13,MOD(ROW()-ROW($B$2),ROWS(Lookups!$B$2:$B$13))+1)</f>
        <v>Anti-Vehicle Grenade</v>
      </c>
      <c r="D649" s="38" t="str">
        <f>_xlfn.XLOOKUP(C649,Analysis_Gadgets!$C:$C,Analysis_Gadgets!$B:$B)</f>
        <v>Grenade</v>
      </c>
      <c r="E649" s="43">
        <v>0</v>
      </c>
      <c r="F649" s="43">
        <f>_xlfn.XLOOKUP(A649,Class_Players!A:A,Class_Players!G:G)</f>
        <v>150</v>
      </c>
      <c r="G649" s="43">
        <f t="shared" si="146"/>
        <v>0</v>
      </c>
      <c r="H649" s="43">
        <f>_xlfn.XLOOKUP(A649,Class_Players!$A:$A,Class_Players!$F:$F,"")</f>
        <v>8850</v>
      </c>
      <c r="I649" s="44">
        <f t="shared" si="147"/>
        <v>0</v>
      </c>
      <c r="J649" s="43">
        <f t="shared" si="148"/>
        <v>0</v>
      </c>
      <c r="K649" s="44" cm="1">
        <f t="array" ref="K649">IF(D649="Gadget",_xlfn.IFS(I649&gt;=0.2,0.5,I649&gt;=0.1,0.35,I649&gt;=0.05,0.2,TRUE,0),IF(D649="Grenade",_xlfn.IFS(I649&gt;=0.2,1,I649&gt;=0.1,0.7,I649&gt;=0.05,0.4,TRUE,0),0))</f>
        <v>0</v>
      </c>
      <c r="L649" s="57">
        <f t="shared" si="152"/>
        <v>0</v>
      </c>
    </row>
    <row r="650" spans="1:12" x14ac:dyDescent="0.25">
      <c r="A650" s="42" t="str" cm="1">
        <f t="array" ref="A650">IFERROR(INDEX(_xlfn._xlws.FILTER(Class_Players!A:A,Class_Players!B:B="Engineer"),QUOTIENT(ROW()-ROW($A$2),12)+1),"")</f>
        <v>TexasAce</v>
      </c>
      <c r="B650" s="42" t="str">
        <f>_xlfn.XLOOKUP(A650,Class_Players!$A:$A,Class_Players!$B:$B,"")</f>
        <v>Engineer</v>
      </c>
      <c r="C650" s="42" t="str" cm="1">
        <f t="array" ref="C650">INDEX(Lookups!$B$2:$B$13,MOD(ROW()-ROW($B$2),ROWS(Lookups!$B$2:$B$13))+1)</f>
        <v>MBT-LAW (Auto-Guided Launcher)</v>
      </c>
      <c r="D650" s="38" t="str">
        <f>_xlfn.XLOOKUP(C650,Analysis_Gadgets!$C:$C,Analysis_Gadgets!$B:$B)</f>
        <v>Gadget</v>
      </c>
      <c r="E650" s="43">
        <v>0</v>
      </c>
      <c r="F650" s="43">
        <f>_xlfn.XLOOKUP(A650,Class_Players!A:A,Class_Players!G:G)</f>
        <v>266</v>
      </c>
      <c r="G650" s="43">
        <f t="shared" si="146"/>
        <v>0</v>
      </c>
      <c r="H650" s="43">
        <f>_xlfn.XLOOKUP(A650,Class_Players!$A:$A,Class_Players!$F:$F,"")</f>
        <v>8567</v>
      </c>
      <c r="I650" s="44">
        <f t="shared" si="147"/>
        <v>0</v>
      </c>
      <c r="J650" s="43">
        <f t="shared" si="148"/>
        <v>0</v>
      </c>
      <c r="K650" s="44" cm="1">
        <f t="array" ref="K650">IF(D650="Gadget",_xlfn.IFS(I650&gt;=0.2,0.5,I650&gt;=0.1,0.35,I650&gt;=0.05,0.2,TRUE,0),IF(D650="Grenade",_xlfn.IFS(I650&gt;=0.2,1,I650&gt;=0.1,0.7,I650&gt;=0.05,0.4,TRUE,0),0))</f>
        <v>0</v>
      </c>
      <c r="L650" s="57">
        <f t="shared" ref="L650:L659" si="153">IF($K650=0,0,$K650 / SUMIFS($K:$K,$A:$A,$A650,$D:$D,"Gadget"))</f>
        <v>0</v>
      </c>
    </row>
    <row r="651" spans="1:12" x14ac:dyDescent="0.25">
      <c r="A651" s="42" t="str" cm="1">
        <f t="array" ref="A651">IFERROR(INDEX(_xlfn._xlws.FILTER(Class_Players!A:A,Class_Players!B:B="Engineer"),QUOTIENT(ROW()-ROW($A$2),12)+1),"")</f>
        <v>TexasAce</v>
      </c>
      <c r="B651" s="42" t="str">
        <f>_xlfn.XLOOKUP(A651,Class_Players!$A:$A,Class_Players!$B:$B,"")</f>
        <v>Engineer</v>
      </c>
      <c r="C651" s="42" t="str" cm="1">
        <f t="array" ref="C651">INDEX(Lookups!$B$2:$B$13,MOD(ROW()-ROW($B$2),ROWS(Lookups!$B$2:$B$13))+1)</f>
        <v>SLM-93A (Air-Defense Launcher)</v>
      </c>
      <c r="D651" s="38" t="str">
        <f>_xlfn.XLOOKUP(C651,Analysis_Gadgets!$C:$C,Analysis_Gadgets!$B:$B)</f>
        <v>Gadget</v>
      </c>
      <c r="E651" s="43">
        <v>2</v>
      </c>
      <c r="F651" s="43">
        <f>_xlfn.XLOOKUP(A651,Class_Players!A:A,Class_Players!G:G)</f>
        <v>266</v>
      </c>
      <c r="G651" s="43">
        <f t="shared" si="146"/>
        <v>7.5187969924812026E-3</v>
      </c>
      <c r="H651" s="43">
        <f>_xlfn.XLOOKUP(A651,Class_Players!$A:$A,Class_Players!$F:$F,"")</f>
        <v>8567</v>
      </c>
      <c r="I651" s="44">
        <f t="shared" si="147"/>
        <v>2.3345395120812421E-4</v>
      </c>
      <c r="J651" s="43">
        <f t="shared" si="148"/>
        <v>0</v>
      </c>
      <c r="K651" s="44" cm="1">
        <f t="array" ref="K651">IF(D651="Gadget",_xlfn.IFS(I651&gt;=0.2,0.5,I651&gt;=0.1,0.35,I651&gt;=0.05,0.2,TRUE,0),IF(D651="Grenade",_xlfn.IFS(I651&gt;=0.2,1,I651&gt;=0.1,0.7,I651&gt;=0.05,0.4,TRUE,0),0))</f>
        <v>0</v>
      </c>
      <c r="L651" s="57">
        <f t="shared" si="153"/>
        <v>0</v>
      </c>
    </row>
    <row r="652" spans="1:12" x14ac:dyDescent="0.25">
      <c r="A652" s="42" t="str" cm="1">
        <f t="array" ref="A652">IFERROR(INDEX(_xlfn._xlws.FILTER(Class_Players!A:A,Class_Players!B:B="Engineer"),QUOTIENT(ROW()-ROW($A$2),12)+1),"")</f>
        <v>TexasAce</v>
      </c>
      <c r="B652" s="42" t="str">
        <f>_xlfn.XLOOKUP(A652,Class_Players!$A:$A,Class_Players!$B:$B,"")</f>
        <v>Engineer</v>
      </c>
      <c r="C652" s="42" t="str" cm="1">
        <f t="array" ref="C652">INDEX(Lookups!$B$2:$B$13,MOD(ROW()-ROW($B$2),ROWS(Lookups!$B$2:$B$13))+1)</f>
        <v>RPG-7V2 (Unguided Rocket Launcher)</v>
      </c>
      <c r="D652" s="38" t="str">
        <f>_xlfn.XLOOKUP(C652,Analysis_Gadgets!$C:$C,Analysis_Gadgets!$B:$B)</f>
        <v>Gadget</v>
      </c>
      <c r="E652" s="43">
        <v>5703</v>
      </c>
      <c r="F652" s="43">
        <f>_xlfn.XLOOKUP(A652,Class_Players!A:A,Class_Players!G:G)</f>
        <v>266</v>
      </c>
      <c r="G652" s="43">
        <f t="shared" si="146"/>
        <v>21.439849624060152</v>
      </c>
      <c r="H652" s="43">
        <f>_xlfn.XLOOKUP(A652,Class_Players!$A:$A,Class_Players!$F:$F,"")</f>
        <v>8567</v>
      </c>
      <c r="I652" s="44">
        <f t="shared" si="147"/>
        <v>0.66569394186996611</v>
      </c>
      <c r="J652" s="43">
        <f t="shared" si="148"/>
        <v>1</v>
      </c>
      <c r="K652" s="44" cm="1">
        <f t="array" ref="K652">IF(D652="Gadget",_xlfn.IFS(I652&gt;=0.2,0.5,I652&gt;=0.1,0.35,I652&gt;=0.05,0.2,TRUE,0),IF(D652="Grenade",_xlfn.IFS(I652&gt;=0.2,1,I652&gt;=0.1,0.7,I652&gt;=0.05,0.4,TRUE,0),0))</f>
        <v>0.5</v>
      </c>
      <c r="L652" s="57">
        <f t="shared" si="153"/>
        <v>0.5</v>
      </c>
    </row>
    <row r="653" spans="1:12" x14ac:dyDescent="0.25">
      <c r="A653" s="42" t="str" cm="1">
        <f t="array" ref="A653">IFERROR(INDEX(_xlfn._xlws.FILTER(Class_Players!A:A,Class_Players!B:B="Engineer"),QUOTIENT(ROW()-ROW($A$2),12)+1),"")</f>
        <v>TexasAce</v>
      </c>
      <c r="B653" s="42" t="str">
        <f>_xlfn.XLOOKUP(A653,Class_Players!$A:$A,Class_Players!$B:$B,"")</f>
        <v>Engineer</v>
      </c>
      <c r="C653" s="42" t="str" cm="1">
        <f t="array" ref="C653">INDEX(Lookups!$B$2:$B$13,MOD(ROW()-ROW($B$2),ROWS(Lookups!$B$2:$B$13))+1)</f>
        <v>MAS 148 (Long-Range Launcher)</v>
      </c>
      <c r="D653" s="38" t="str">
        <f>_xlfn.XLOOKUP(C653,Analysis_Gadgets!$C:$C,Analysis_Gadgets!$B:$B)</f>
        <v>Gadget</v>
      </c>
      <c r="E653" s="43">
        <v>0</v>
      </c>
      <c r="F653" s="43">
        <f>_xlfn.XLOOKUP(A653,Class_Players!A:A,Class_Players!G:G)</f>
        <v>266</v>
      </c>
      <c r="G653" s="43">
        <f t="shared" si="146"/>
        <v>0</v>
      </c>
      <c r="H653" s="43">
        <f>_xlfn.XLOOKUP(A653,Class_Players!$A:$A,Class_Players!$F:$F,"")</f>
        <v>8567</v>
      </c>
      <c r="I653" s="44">
        <f t="shared" si="147"/>
        <v>0</v>
      </c>
      <c r="J653" s="43">
        <f t="shared" si="148"/>
        <v>0</v>
      </c>
      <c r="K653" s="44" cm="1">
        <f t="array" ref="K653">IF(D653="Gadget",_xlfn.IFS(I653&gt;=0.2,0.5,I653&gt;=0.1,0.35,I653&gt;=0.05,0.2,TRUE,0),IF(D653="Grenade",_xlfn.IFS(I653&gt;=0.2,1,I653&gt;=0.1,0.7,I653&gt;=0.05,0.4,TRUE,0),0))</f>
        <v>0</v>
      </c>
      <c r="L653" s="57">
        <f t="shared" si="153"/>
        <v>0</v>
      </c>
    </row>
    <row r="654" spans="1:12" x14ac:dyDescent="0.25">
      <c r="A654" s="42" t="str" cm="1">
        <f t="array" ref="A654">IFERROR(INDEX(_xlfn._xlws.FILTER(Class_Players!A:A,Class_Players!B:B="Engineer"),QUOTIENT(ROW()-ROW($A$2),12)+1),"")</f>
        <v>TexasAce</v>
      </c>
      <c r="B654" s="42" t="str">
        <f>_xlfn.XLOOKUP(A654,Class_Players!$A:$A,Class_Players!$B:$B,"")</f>
        <v>Engineer</v>
      </c>
      <c r="C654" s="42" t="str" cm="1">
        <f t="array" ref="C654">INDEX(Lookups!$B$2:$B$13,MOD(ROW()-ROW($B$2),ROWS(Lookups!$B$2:$B$13))+1)</f>
        <v>M136 AT (Aim-Guided Launcher)</v>
      </c>
      <c r="D654" s="38" t="str">
        <f>_xlfn.XLOOKUP(C654,Analysis_Gadgets!$C:$C,Analysis_Gadgets!$B:$B)</f>
        <v>Gadget</v>
      </c>
      <c r="E654" s="43">
        <v>0</v>
      </c>
      <c r="F654" s="43">
        <f>_xlfn.XLOOKUP(A654,Class_Players!A:A,Class_Players!G:G)</f>
        <v>266</v>
      </c>
      <c r="G654" s="43">
        <f t="shared" si="146"/>
        <v>0</v>
      </c>
      <c r="H654" s="43">
        <f>_xlfn.XLOOKUP(A654,Class_Players!$A:$A,Class_Players!$F:$F,"")</f>
        <v>8567</v>
      </c>
      <c r="I654" s="44">
        <f t="shared" si="147"/>
        <v>0</v>
      </c>
      <c r="J654" s="43">
        <f t="shared" si="148"/>
        <v>0</v>
      </c>
      <c r="K654" s="44" cm="1">
        <f t="array" ref="K654">IF(D654="Gadget",_xlfn.IFS(I654&gt;=0.2,0.5,I654&gt;=0.1,0.35,I654&gt;=0.05,0.2,TRUE,0),IF(D654="Grenade",_xlfn.IFS(I654&gt;=0.2,1,I654&gt;=0.1,0.7,I654&gt;=0.05,0.4,TRUE,0),0))</f>
        <v>0</v>
      </c>
      <c r="L654" s="57">
        <f t="shared" si="153"/>
        <v>0</v>
      </c>
    </row>
    <row r="655" spans="1:12" x14ac:dyDescent="0.25">
      <c r="A655" s="42" t="str" cm="1">
        <f t="array" ref="A655">IFERROR(INDEX(_xlfn._xlws.FILTER(Class_Players!A:A,Class_Players!B:B="Engineer"),QUOTIENT(ROW()-ROW($A$2),12)+1),"")</f>
        <v>TexasAce</v>
      </c>
      <c r="B655" s="42" t="str">
        <f>_xlfn.XLOOKUP(A655,Class_Players!$A:$A,Class_Players!$B:$B,"")</f>
        <v>Engineer</v>
      </c>
      <c r="C655" s="42" t="str" cm="1">
        <f t="array" ref="C655">INDEX(Lookups!$B$2:$B$13,MOD(ROW()-ROW($B$2),ROWS(Lookups!$B$2:$B$13))+1)</f>
        <v>Supply Crate</v>
      </c>
      <c r="D655" s="38" t="str">
        <f>_xlfn.XLOOKUP(C655,Analysis_Gadgets!$C:$C,Analysis_Gadgets!$B:$B)</f>
        <v>Gadget</v>
      </c>
      <c r="E655" s="43">
        <v>3</v>
      </c>
      <c r="F655" s="43">
        <f>_xlfn.XLOOKUP(A655,Class_Players!A:A,Class_Players!G:G)</f>
        <v>266</v>
      </c>
      <c r="G655" s="43">
        <f>IF(F655=0,"",E655/(F655))</f>
        <v>1.1278195488721804E-2</v>
      </c>
      <c r="H655" s="43">
        <f>_xlfn.XLOOKUP(A655,Class_Players!$A:$A,Class_Players!$F:$F,"")</f>
        <v>8567</v>
      </c>
      <c r="I655" s="44">
        <f>IF(H655=0,"",E655/H655)</f>
        <v>3.5018092681218631E-4</v>
      </c>
      <c r="J655" s="43">
        <f t="shared" si="148"/>
        <v>0</v>
      </c>
      <c r="K655" s="44" cm="1">
        <f t="array" ref="K655">IF(D655="Gadget",_xlfn.IFS(I655&gt;=0.2,0.5,I655&gt;=0.1,0.35,I655&gt;=0.05,0.2,TRUE,0),IF(D655="Grenade",_xlfn.IFS(I655&gt;=0.2,1,I655&gt;=0.1,0.7,I655&gt;=0.05,0.4,TRUE,0),0))</f>
        <v>0</v>
      </c>
      <c r="L655" s="57">
        <f t="shared" si="153"/>
        <v>0</v>
      </c>
    </row>
    <row r="656" spans="1:12" x14ac:dyDescent="0.25">
      <c r="A656" s="42" t="str" cm="1">
        <f t="array" ref="A656">IFERROR(INDEX(_xlfn._xlws.FILTER(Class_Players!A:A,Class_Players!B:B="Engineer"),QUOTIENT(ROW()-ROW($A$2),12)+1),"")</f>
        <v>TexasAce</v>
      </c>
      <c r="B656" s="42" t="str">
        <f>_xlfn.XLOOKUP(A656,Class_Players!$A:$A,Class_Players!$B:$B,"")</f>
        <v>Engineer</v>
      </c>
      <c r="C656" s="42" t="str" cm="1">
        <f t="array" ref="C656">INDEX(Lookups!$B$2:$B$13,MOD(ROW()-ROW($B$2),ROWS(Lookups!$B$2:$B$13))+1)</f>
        <v>M15 (Anti-Vehicle Mine)</v>
      </c>
      <c r="D656" s="38" t="str">
        <f>_xlfn.XLOOKUP(C656,Analysis_Gadgets!$C:$C,Analysis_Gadgets!$B:$B)</f>
        <v>Gadget</v>
      </c>
      <c r="E656" s="43">
        <v>5694</v>
      </c>
      <c r="F656" s="43">
        <f>_xlfn.XLOOKUP(A656,Class_Players!A:A,Class_Players!G:G)</f>
        <v>266</v>
      </c>
      <c r="G656" s="43">
        <f>IF(F656=0,"",E656/(F656))</f>
        <v>21.406015037593985</v>
      </c>
      <c r="H656" s="43">
        <f>_xlfn.XLOOKUP(A656,Class_Players!$A:$A,Class_Players!$F:$F,"")</f>
        <v>8567</v>
      </c>
      <c r="I656" s="44">
        <f>IF(H656=0,"",E656/H656)</f>
        <v>0.66464339908952963</v>
      </c>
      <c r="J656" s="43">
        <f t="shared" si="148"/>
        <v>1</v>
      </c>
      <c r="K656" s="44" cm="1">
        <f t="array" ref="K656">IF(D656="Gadget",_xlfn.IFS(I656&gt;=0.2,0.5,I656&gt;=0.1,0.35,I656&gt;=0.05,0.2,TRUE,0),IF(D656="Grenade",_xlfn.IFS(I656&gt;=0.2,1,I656&gt;=0.1,0.7,I656&gt;=0.05,0.4,TRUE,0),0))</f>
        <v>0.5</v>
      </c>
      <c r="L656" s="57">
        <f t="shared" si="153"/>
        <v>0.5</v>
      </c>
    </row>
    <row r="657" spans="1:12" x14ac:dyDescent="0.25">
      <c r="A657" s="42" t="str" cm="1">
        <f t="array" ref="A657">IFERROR(INDEX(_xlfn._xlws.FILTER(Class_Players!A:A,Class_Players!B:B="Engineer"),QUOTIENT(ROW()-ROW($A$2),12)+1),"")</f>
        <v>TexasAce</v>
      </c>
      <c r="B657" s="42" t="str">
        <f>_xlfn.XLOOKUP(A657,Class_Players!$A:$A,Class_Players!$B:$B,"")</f>
        <v>Engineer</v>
      </c>
      <c r="C657" s="42" t="str" cm="1">
        <f t="array" ref="C657">INDEX(Lookups!$B$2:$B$13,MOD(ROW()-ROW($B$2),ROWS(Lookups!$B$2:$B$13))+1)</f>
        <v>PTKM-1R (Acoustic Sensor AV Mine)</v>
      </c>
      <c r="D657" s="38" t="str">
        <f>_xlfn.XLOOKUP(C657,Analysis_Gadgets!$C:$C,Analysis_Gadgets!$B:$B)</f>
        <v>Gadget</v>
      </c>
      <c r="E657" s="43">
        <v>38</v>
      </c>
      <c r="F657" s="43">
        <f>_xlfn.XLOOKUP(A657,Class_Players!A:A,Class_Players!G:G)</f>
        <v>266</v>
      </c>
      <c r="G657" s="43">
        <f t="shared" si="146"/>
        <v>0.14285714285714285</v>
      </c>
      <c r="H657" s="43">
        <f>_xlfn.XLOOKUP(A657,Class_Players!$A:$A,Class_Players!$F:$F,"")</f>
        <v>8567</v>
      </c>
      <c r="I657" s="44">
        <f t="shared" si="147"/>
        <v>4.4356250729543599E-3</v>
      </c>
      <c r="J657" s="43">
        <f t="shared" si="148"/>
        <v>0</v>
      </c>
      <c r="K657" s="44" cm="1">
        <f t="array" ref="K657">IF(D657="Gadget",_xlfn.IFS(I657&gt;=0.2,0.5,I657&gt;=0.1,0.35,I657&gt;=0.05,0.2,TRUE,0),IF(D657="Grenade",_xlfn.IFS(I657&gt;=0.2,1,I657&gt;=0.1,0.7,I657&gt;=0.05,0.4,TRUE,0),0))</f>
        <v>0</v>
      </c>
      <c r="L657" s="57">
        <f t="shared" si="153"/>
        <v>0</v>
      </c>
    </row>
    <row r="658" spans="1:12" x14ac:dyDescent="0.25">
      <c r="A658" s="42" t="str" cm="1">
        <f t="array" ref="A658">IFERROR(INDEX(_xlfn._xlws.FILTER(Class_Players!A:A,Class_Players!B:B="Engineer"),QUOTIENT(ROW()-ROW($A$2),12)+1),"")</f>
        <v>TexasAce</v>
      </c>
      <c r="B658" s="42" t="str">
        <f>_xlfn.XLOOKUP(A658,Class_Players!$A:$A,Class_Players!$B:$B,"")</f>
        <v>Engineer</v>
      </c>
      <c r="C658" s="42" t="str" cm="1">
        <f t="array" ref="C658">INDEX(Lookups!$B$2:$B$13,MOD(ROW()-ROW($B$2),ROWS(Lookups!$B$2:$B$13))+1)</f>
        <v>EOD Bot</v>
      </c>
      <c r="D658" s="38" t="str">
        <f>_xlfn.XLOOKUP(C658,Analysis_Gadgets!$C:$C,Analysis_Gadgets!$B:$B)</f>
        <v>Gadget</v>
      </c>
      <c r="E658" s="43">
        <v>0</v>
      </c>
      <c r="F658" s="43">
        <f>_xlfn.XLOOKUP(A658,Class_Players!A:A,Class_Players!G:G)</f>
        <v>266</v>
      </c>
      <c r="G658" s="43">
        <f t="shared" si="146"/>
        <v>0</v>
      </c>
      <c r="H658" s="43">
        <f>_xlfn.XLOOKUP(A658,Class_Players!$A:$A,Class_Players!$F:$F,"")</f>
        <v>8567</v>
      </c>
      <c r="I658" s="44">
        <f t="shared" si="147"/>
        <v>0</v>
      </c>
      <c r="J658" s="43">
        <f t="shared" si="148"/>
        <v>0</v>
      </c>
      <c r="K658" s="44" cm="1">
        <f t="array" ref="K658">IF(D658="Gadget",_xlfn.IFS(I658&gt;=0.2,0.5,I658&gt;=0.1,0.35,I658&gt;=0.05,0.2,TRUE,0),IF(D658="Grenade",_xlfn.IFS(I658&gt;=0.2,1,I658&gt;=0.1,0.7,I658&gt;=0.05,0.4,TRUE,0),0))</f>
        <v>0</v>
      </c>
      <c r="L658" s="57">
        <f t="shared" si="153"/>
        <v>0</v>
      </c>
    </row>
    <row r="659" spans="1:12" x14ac:dyDescent="0.25">
      <c r="A659" s="42" t="str" cm="1">
        <f t="array" ref="A659">IFERROR(INDEX(_xlfn._xlws.FILTER(Class_Players!A:A,Class_Players!B:B="Engineer"),QUOTIENT(ROW()-ROW($A$2),12)+1),"")</f>
        <v>TexasAce</v>
      </c>
      <c r="B659" s="42" t="str">
        <f>_xlfn.XLOOKUP(A659,Class_Players!$A:$A,Class_Players!$B:$B,"")</f>
        <v>Engineer</v>
      </c>
      <c r="C659" s="42" t="str" cm="1">
        <f t="array" ref="C659">INDEX(Lookups!$B$2:$B$13,MOD(ROW()-ROW($B$2),ROWS(Lookups!$B$2:$B$13))+1)</f>
        <v>M4A1 SLAM (Tripwire Sensor AV Mine)</v>
      </c>
      <c r="D659" s="38" t="str">
        <f>_xlfn.XLOOKUP(C659,Analysis_Gadgets!$C:$C,Analysis_Gadgets!$B:$B)</f>
        <v>Gadget</v>
      </c>
      <c r="E659" s="43">
        <v>37</v>
      </c>
      <c r="F659" s="43">
        <f>_xlfn.XLOOKUP(A659,Class_Players!A:A,Class_Players!G:G)</f>
        <v>266</v>
      </c>
      <c r="G659" s="43">
        <f t="shared" si="146"/>
        <v>0.13909774436090225</v>
      </c>
      <c r="H659" s="43">
        <f>_xlfn.XLOOKUP(A659,Class_Players!$A:$A,Class_Players!$F:$F,"")</f>
        <v>8567</v>
      </c>
      <c r="I659" s="44">
        <f t="shared" si="147"/>
        <v>4.3188980973502978E-3</v>
      </c>
      <c r="J659" s="43">
        <f t="shared" si="148"/>
        <v>0</v>
      </c>
      <c r="K659" s="44" cm="1">
        <f t="array" ref="K659">IF(D659="Gadget",_xlfn.IFS(I659&gt;=0.2,0.5,I659&gt;=0.1,0.35,I659&gt;=0.05,0.2,TRUE,0),IF(D659="Grenade",_xlfn.IFS(I659&gt;=0.2,1,I659&gt;=0.1,0.7,I659&gt;=0.05,0.4,TRUE,0),0))</f>
        <v>0</v>
      </c>
      <c r="L659" s="57">
        <f t="shared" si="153"/>
        <v>0</v>
      </c>
    </row>
    <row r="660" spans="1:12" x14ac:dyDescent="0.25">
      <c r="A660" s="42" t="str" cm="1">
        <f t="array" ref="A660">IFERROR(INDEX(_xlfn._xlws.FILTER(Class_Players!A:A,Class_Players!B:B="Engineer"),QUOTIENT(ROW()-ROW($A$2),12)+1),"")</f>
        <v>TexasAce</v>
      </c>
      <c r="B660" s="42" t="str">
        <f>_xlfn.XLOOKUP(A660,Class_Players!$A:$A,Class_Players!$B:$B,"")</f>
        <v>Engineer</v>
      </c>
      <c r="C660" s="42" t="str" cm="1">
        <f t="array" ref="C660">INDEX(Lookups!$B$2:$B$13,MOD(ROW()-ROW($B$2),ROWS(Lookups!$B$2:$B$13))+1)</f>
        <v>Mini Frag Grenade</v>
      </c>
      <c r="D660" s="38" t="str">
        <f>_xlfn.XLOOKUP(C660,Analysis_Gadgets!$C:$C,Analysis_Gadgets!$B:$B)</f>
        <v>Grenade</v>
      </c>
      <c r="E660" s="43">
        <v>24</v>
      </c>
      <c r="F660" s="43">
        <f>_xlfn.XLOOKUP(A660,Class_Players!A:A,Class_Players!G:G)</f>
        <v>266</v>
      </c>
      <c r="G660" s="43">
        <f t="shared" si="146"/>
        <v>9.0225563909774431E-2</v>
      </c>
      <c r="H660" s="43">
        <f>_xlfn.XLOOKUP(A660,Class_Players!$A:$A,Class_Players!$F:$F,"")</f>
        <v>8567</v>
      </c>
      <c r="I660" s="44">
        <f t="shared" si="147"/>
        <v>2.8014474144974905E-3</v>
      </c>
      <c r="J660" s="43">
        <f t="shared" si="148"/>
        <v>0</v>
      </c>
      <c r="K660" s="44" cm="1">
        <f t="array" ref="K660">IF(D660="Gadget",_xlfn.IFS(I660&gt;=0.2,0.5,I660&gt;=0.1,0.35,I660&gt;=0.05,0.2,TRUE,0),IF(D660="Grenade",_xlfn.IFS(I660&gt;=0.2,1,I660&gt;=0.1,0.7,I660&gt;=0.05,0.4,TRUE,0),0))</f>
        <v>0</v>
      </c>
      <c r="L660" s="57">
        <f t="shared" ref="L660:L661" si="154">IF($K660=0,0,$K660 / SUMIFS($K:$K,$A:$A,$A660,$D:$D,"Grenade"))</f>
        <v>0</v>
      </c>
    </row>
    <row r="661" spans="1:12" x14ac:dyDescent="0.25">
      <c r="A661" s="42" t="str" cm="1">
        <f t="array" ref="A661">IFERROR(INDEX(_xlfn._xlws.FILTER(Class_Players!A:A,Class_Players!B:B="Engineer"),QUOTIENT(ROW()-ROW($A$2),12)+1),"")</f>
        <v>TexasAce</v>
      </c>
      <c r="B661" s="42" t="str">
        <f>_xlfn.XLOOKUP(A661,Class_Players!$A:$A,Class_Players!$B:$B,"")</f>
        <v>Engineer</v>
      </c>
      <c r="C661" s="42" t="str" cm="1">
        <f t="array" ref="C661">INDEX(Lookups!$B$2:$B$13,MOD(ROW()-ROW($B$2),ROWS(Lookups!$B$2:$B$13))+1)</f>
        <v>Anti-Vehicle Grenade</v>
      </c>
      <c r="D661" s="38" t="str">
        <f>_xlfn.XLOOKUP(C661,Analysis_Gadgets!$C:$C,Analysis_Gadgets!$B:$B)</f>
        <v>Grenade</v>
      </c>
      <c r="E661" s="43">
        <v>0</v>
      </c>
      <c r="F661" s="43">
        <f>_xlfn.XLOOKUP(A661,Class_Players!A:A,Class_Players!G:G)</f>
        <v>266</v>
      </c>
      <c r="G661" s="43">
        <f t="shared" si="146"/>
        <v>0</v>
      </c>
      <c r="H661" s="43">
        <f>_xlfn.XLOOKUP(A661,Class_Players!$A:$A,Class_Players!$F:$F,"")</f>
        <v>8567</v>
      </c>
      <c r="I661" s="44">
        <f t="shared" si="147"/>
        <v>0</v>
      </c>
      <c r="J661" s="43">
        <f t="shared" si="148"/>
        <v>0</v>
      </c>
      <c r="K661" s="44" cm="1">
        <f t="array" ref="K661">IF(D661="Gadget",_xlfn.IFS(I661&gt;=0.2,0.5,I661&gt;=0.1,0.35,I661&gt;=0.05,0.2,TRUE,0),IF(D661="Grenade",_xlfn.IFS(I661&gt;=0.2,1,I661&gt;=0.1,0.7,I661&gt;=0.05,0.4,TRUE,0),0))</f>
        <v>0</v>
      </c>
      <c r="L661" s="57">
        <f t="shared" si="154"/>
        <v>0</v>
      </c>
    </row>
    <row r="662" spans="1:12" x14ac:dyDescent="0.25">
      <c r="A662" s="42" t="str" cm="1">
        <f t="array" ref="A662">IFERROR(INDEX(_xlfn._xlws.FILTER(Class_Players!A:A,Class_Players!B:B="Engineer"),QUOTIENT(ROW()-ROW($A$2),12)+1),"")</f>
        <v>Casios</v>
      </c>
      <c r="B662" s="42" t="str">
        <f>_xlfn.XLOOKUP(A662,Class_Players!$A:$A,Class_Players!$B:$B,"")</f>
        <v>Engineer</v>
      </c>
      <c r="C662" s="42" t="str" cm="1">
        <f t="array" ref="C662">INDEX(Lookups!$B$2:$B$13,MOD(ROW()-ROW($B$2),ROWS(Lookups!$B$2:$B$13))+1)</f>
        <v>MBT-LAW (Auto-Guided Launcher)</v>
      </c>
      <c r="D662" s="38" t="str">
        <f>_xlfn.XLOOKUP(C662,Analysis_Gadgets!$C:$C,Analysis_Gadgets!$B:$B)</f>
        <v>Gadget</v>
      </c>
      <c r="E662" s="43">
        <v>0</v>
      </c>
      <c r="F662" s="43">
        <f>_xlfn.XLOOKUP(A662,Class_Players!A:A,Class_Players!G:G)</f>
        <v>174</v>
      </c>
      <c r="G662" s="43">
        <f t="shared" si="146"/>
        <v>0</v>
      </c>
      <c r="H662" s="43">
        <f>_xlfn.XLOOKUP(A662,Class_Players!$A:$A,Class_Players!$F:$F,"")</f>
        <v>8679</v>
      </c>
      <c r="I662" s="44">
        <f t="shared" si="147"/>
        <v>0</v>
      </c>
      <c r="J662" s="43">
        <f t="shared" si="148"/>
        <v>0</v>
      </c>
      <c r="K662" s="44" cm="1">
        <f t="array" ref="K662">IF(D662="Gadget",_xlfn.IFS(I662&gt;=0.2,0.5,I662&gt;=0.1,0.35,I662&gt;=0.05,0.2,TRUE,0),IF(D662="Grenade",_xlfn.IFS(I662&gt;=0.2,1,I662&gt;=0.1,0.7,I662&gt;=0.05,0.4,TRUE,0),0))</f>
        <v>0</v>
      </c>
      <c r="L662" s="57">
        <f t="shared" ref="L662:L671" si="155">IF($K662=0,0,$K662 / SUMIFS($K:$K,$A:$A,$A662,$D:$D,"Gadget"))</f>
        <v>0</v>
      </c>
    </row>
    <row r="663" spans="1:12" x14ac:dyDescent="0.25">
      <c r="A663" s="42" t="str" cm="1">
        <f t="array" ref="A663">IFERROR(INDEX(_xlfn._xlws.FILTER(Class_Players!A:A,Class_Players!B:B="Engineer"),QUOTIENT(ROW()-ROW($A$2),12)+1),"")</f>
        <v>Casios</v>
      </c>
      <c r="B663" s="42" t="str">
        <f>_xlfn.XLOOKUP(A663,Class_Players!$A:$A,Class_Players!$B:$B,"")</f>
        <v>Engineer</v>
      </c>
      <c r="C663" s="42" t="str" cm="1">
        <f t="array" ref="C663">INDEX(Lookups!$B$2:$B$13,MOD(ROW()-ROW($B$2),ROWS(Lookups!$B$2:$B$13))+1)</f>
        <v>SLM-93A (Air-Defense Launcher)</v>
      </c>
      <c r="D663" s="38" t="str">
        <f>_xlfn.XLOOKUP(C663,Analysis_Gadgets!$C:$C,Analysis_Gadgets!$B:$B)</f>
        <v>Gadget</v>
      </c>
      <c r="E663" s="43">
        <v>151</v>
      </c>
      <c r="F663" s="43">
        <f>_xlfn.XLOOKUP(A663,Class_Players!A:A,Class_Players!G:G)</f>
        <v>174</v>
      </c>
      <c r="G663" s="43">
        <f t="shared" si="146"/>
        <v>0.86781609195402298</v>
      </c>
      <c r="H663" s="43">
        <f>_xlfn.XLOOKUP(A663,Class_Players!$A:$A,Class_Players!$F:$F,"")</f>
        <v>8679</v>
      </c>
      <c r="I663" s="44">
        <f t="shared" si="147"/>
        <v>1.7398317778545915E-2</v>
      </c>
      <c r="J663" s="43">
        <f t="shared" si="148"/>
        <v>0</v>
      </c>
      <c r="K663" s="44" cm="1">
        <f t="array" ref="K663">IF(D663="Gadget",_xlfn.IFS(I663&gt;=0.2,0.5,I663&gt;=0.1,0.35,I663&gt;=0.05,0.2,TRUE,0),IF(D663="Grenade",_xlfn.IFS(I663&gt;=0.2,1,I663&gt;=0.1,0.7,I663&gt;=0.05,0.4,TRUE,0),0))</f>
        <v>0</v>
      </c>
      <c r="L663" s="57">
        <f t="shared" si="155"/>
        <v>0</v>
      </c>
    </row>
    <row r="664" spans="1:12" x14ac:dyDescent="0.25">
      <c r="A664" s="42" t="str" cm="1">
        <f t="array" ref="A664">IFERROR(INDEX(_xlfn._xlws.FILTER(Class_Players!A:A,Class_Players!B:B="Engineer"),QUOTIENT(ROW()-ROW($A$2),12)+1),"")</f>
        <v>Casios</v>
      </c>
      <c r="B664" s="42" t="str">
        <f>_xlfn.XLOOKUP(A664,Class_Players!$A:$A,Class_Players!$B:$B,"")</f>
        <v>Engineer</v>
      </c>
      <c r="C664" s="42" t="str" cm="1">
        <f t="array" ref="C664">INDEX(Lookups!$B$2:$B$13,MOD(ROW()-ROW($B$2),ROWS(Lookups!$B$2:$B$13))+1)</f>
        <v>RPG-7V2 (Unguided Rocket Launcher)</v>
      </c>
      <c r="D664" s="38" t="str">
        <f>_xlfn.XLOOKUP(C664,Analysis_Gadgets!$C:$C,Analysis_Gadgets!$B:$B)</f>
        <v>Gadget</v>
      </c>
      <c r="E664" s="43">
        <v>2587</v>
      </c>
      <c r="F664" s="43">
        <f>_xlfn.XLOOKUP(A664,Class_Players!A:A,Class_Players!G:G)</f>
        <v>174</v>
      </c>
      <c r="G664" s="43">
        <f t="shared" si="146"/>
        <v>14.867816091954023</v>
      </c>
      <c r="H664" s="43">
        <f>_xlfn.XLOOKUP(A664,Class_Players!$A:$A,Class_Players!$F:$F,"")</f>
        <v>8679</v>
      </c>
      <c r="I664" s="44">
        <f t="shared" si="147"/>
        <v>0.29807581518608134</v>
      </c>
      <c r="J664" s="43">
        <f t="shared" si="148"/>
        <v>1</v>
      </c>
      <c r="K664" s="44" cm="1">
        <f t="array" ref="K664">IF(D664="Gadget",_xlfn.IFS(I664&gt;=0.2,0.5,I664&gt;=0.1,0.35,I664&gt;=0.05,0.2,TRUE,0),IF(D664="Grenade",_xlfn.IFS(I664&gt;=0.2,1,I664&gt;=0.1,0.7,I664&gt;=0.05,0.4,TRUE,0),0))</f>
        <v>0.5</v>
      </c>
      <c r="L664" s="57">
        <f t="shared" si="155"/>
        <v>0.47619047619047616</v>
      </c>
    </row>
    <row r="665" spans="1:12" x14ac:dyDescent="0.25">
      <c r="A665" s="42" t="str" cm="1">
        <f t="array" ref="A665">IFERROR(INDEX(_xlfn._xlws.FILTER(Class_Players!A:A,Class_Players!B:B="Engineer"),QUOTIENT(ROW()-ROW($A$2),12)+1),"")</f>
        <v>Casios</v>
      </c>
      <c r="B665" s="42" t="str">
        <f>_xlfn.XLOOKUP(A665,Class_Players!$A:$A,Class_Players!$B:$B,"")</f>
        <v>Engineer</v>
      </c>
      <c r="C665" s="42" t="str" cm="1">
        <f t="array" ref="C665">INDEX(Lookups!$B$2:$B$13,MOD(ROW()-ROW($B$2),ROWS(Lookups!$B$2:$B$13))+1)</f>
        <v>MAS 148 (Long-Range Launcher)</v>
      </c>
      <c r="D665" s="38" t="str">
        <f>_xlfn.XLOOKUP(C665,Analysis_Gadgets!$C:$C,Analysis_Gadgets!$B:$B)</f>
        <v>Gadget</v>
      </c>
      <c r="E665" s="43">
        <v>101</v>
      </c>
      <c r="F665" s="43">
        <f>_xlfn.XLOOKUP(A665,Class_Players!A:A,Class_Players!G:G)</f>
        <v>174</v>
      </c>
      <c r="G665" s="43">
        <f t="shared" si="146"/>
        <v>0.58045977011494254</v>
      </c>
      <c r="H665" s="43">
        <f>_xlfn.XLOOKUP(A665,Class_Players!$A:$A,Class_Players!$F:$F,"")</f>
        <v>8679</v>
      </c>
      <c r="I665" s="44">
        <f t="shared" si="147"/>
        <v>1.1637285401543957E-2</v>
      </c>
      <c r="J665" s="43">
        <f t="shared" si="148"/>
        <v>0</v>
      </c>
      <c r="K665" s="44" cm="1">
        <f t="array" ref="K665">IF(D665="Gadget",_xlfn.IFS(I665&gt;=0.2,0.5,I665&gt;=0.1,0.35,I665&gt;=0.05,0.2,TRUE,0),IF(D665="Grenade",_xlfn.IFS(I665&gt;=0.2,1,I665&gt;=0.1,0.7,I665&gt;=0.05,0.4,TRUE,0),0))</f>
        <v>0</v>
      </c>
      <c r="L665" s="57">
        <f t="shared" si="155"/>
        <v>0</v>
      </c>
    </row>
    <row r="666" spans="1:12" x14ac:dyDescent="0.25">
      <c r="A666" s="42" t="str" cm="1">
        <f t="array" ref="A666">IFERROR(INDEX(_xlfn._xlws.FILTER(Class_Players!A:A,Class_Players!B:B="Engineer"),QUOTIENT(ROW()-ROW($A$2),12)+1),"")</f>
        <v>Casios</v>
      </c>
      <c r="B666" s="42" t="str">
        <f>_xlfn.XLOOKUP(A666,Class_Players!$A:$A,Class_Players!$B:$B,"")</f>
        <v>Engineer</v>
      </c>
      <c r="C666" s="42" t="str" cm="1">
        <f t="array" ref="C666">INDEX(Lookups!$B$2:$B$13,MOD(ROW()-ROW($B$2),ROWS(Lookups!$B$2:$B$13))+1)</f>
        <v>M136 AT (Aim-Guided Launcher)</v>
      </c>
      <c r="D666" s="38" t="str">
        <f>_xlfn.XLOOKUP(C666,Analysis_Gadgets!$C:$C,Analysis_Gadgets!$B:$B)</f>
        <v>Gadget</v>
      </c>
      <c r="E666" s="43">
        <v>292</v>
      </c>
      <c r="F666" s="43">
        <f>_xlfn.XLOOKUP(A666,Class_Players!A:A,Class_Players!G:G)</f>
        <v>174</v>
      </c>
      <c r="G666" s="43">
        <f t="shared" si="146"/>
        <v>1.6781609195402298</v>
      </c>
      <c r="H666" s="43">
        <f>_xlfn.XLOOKUP(A666,Class_Players!$A:$A,Class_Players!$F:$F,"")</f>
        <v>8679</v>
      </c>
      <c r="I666" s="44">
        <f t="shared" si="147"/>
        <v>3.3644429081691442E-2</v>
      </c>
      <c r="J666" s="43">
        <f t="shared" si="148"/>
        <v>0</v>
      </c>
      <c r="K666" s="44" cm="1">
        <f t="array" ref="K666">IF(D666="Gadget",_xlfn.IFS(I666&gt;=0.2,0.5,I666&gt;=0.1,0.35,I666&gt;=0.05,0.2,TRUE,0),IF(D666="Grenade",_xlfn.IFS(I666&gt;=0.2,1,I666&gt;=0.1,0.7,I666&gt;=0.05,0.4,TRUE,0),0))</f>
        <v>0</v>
      </c>
      <c r="L666" s="57">
        <f t="shared" si="155"/>
        <v>0</v>
      </c>
    </row>
    <row r="667" spans="1:12" x14ac:dyDescent="0.25">
      <c r="A667" s="42" t="str" cm="1">
        <f t="array" ref="A667">IFERROR(INDEX(_xlfn._xlws.FILTER(Class_Players!A:A,Class_Players!B:B="Engineer"),QUOTIENT(ROW()-ROW($A$2),12)+1),"")</f>
        <v>Casios</v>
      </c>
      <c r="B667" s="42" t="str">
        <f>_xlfn.XLOOKUP(A667,Class_Players!$A:$A,Class_Players!$B:$B,"")</f>
        <v>Engineer</v>
      </c>
      <c r="C667" s="42" t="str" cm="1">
        <f t="array" ref="C667">INDEX(Lookups!$B$2:$B$13,MOD(ROW()-ROW($B$2),ROWS(Lookups!$B$2:$B$13))+1)</f>
        <v>Supply Crate</v>
      </c>
      <c r="D667" s="38" t="str">
        <f>_xlfn.XLOOKUP(C667,Analysis_Gadgets!$C:$C,Analysis_Gadgets!$B:$B)</f>
        <v>Gadget</v>
      </c>
      <c r="E667" s="43">
        <v>26</v>
      </c>
      <c r="F667" s="43">
        <f>_xlfn.XLOOKUP(A667,Class_Players!A:A,Class_Players!G:G)</f>
        <v>174</v>
      </c>
      <c r="G667" s="43">
        <f t="shared" si="146"/>
        <v>0.14942528735632185</v>
      </c>
      <c r="H667" s="43">
        <f>_xlfn.XLOOKUP(A667,Class_Players!$A:$A,Class_Players!$F:$F,"")</f>
        <v>8679</v>
      </c>
      <c r="I667" s="44">
        <f t="shared" si="147"/>
        <v>2.9957368360410187E-3</v>
      </c>
      <c r="J667" s="43">
        <f t="shared" si="148"/>
        <v>0</v>
      </c>
      <c r="K667" s="44" cm="1">
        <f t="array" ref="K667">IF(D667="Gadget",_xlfn.IFS(I667&gt;=0.2,0.5,I667&gt;=0.1,0.35,I667&gt;=0.05,0.2,TRUE,0),IF(D667="Grenade",_xlfn.IFS(I667&gt;=0.2,1,I667&gt;=0.1,0.7,I667&gt;=0.05,0.4,TRUE,0),0))</f>
        <v>0</v>
      </c>
      <c r="L667" s="57">
        <f t="shared" si="155"/>
        <v>0</v>
      </c>
    </row>
    <row r="668" spans="1:12" x14ac:dyDescent="0.25">
      <c r="A668" s="42" t="str" cm="1">
        <f t="array" ref="A668">IFERROR(INDEX(_xlfn._xlws.FILTER(Class_Players!A:A,Class_Players!B:B="Engineer"),QUOTIENT(ROW()-ROW($A$2),12)+1),"")</f>
        <v>Casios</v>
      </c>
      <c r="B668" s="42" t="str">
        <f>_xlfn.XLOOKUP(A668,Class_Players!$A:$A,Class_Players!$B:$B,"")</f>
        <v>Engineer</v>
      </c>
      <c r="C668" s="42" t="str" cm="1">
        <f t="array" ref="C668">INDEX(Lookups!$B$2:$B$13,MOD(ROW()-ROW($B$2),ROWS(Lookups!$B$2:$B$13))+1)</f>
        <v>M15 (Anti-Vehicle Mine)</v>
      </c>
      <c r="D668" s="38" t="str">
        <f>_xlfn.XLOOKUP(C668,Analysis_Gadgets!$C:$C,Analysis_Gadgets!$B:$B)</f>
        <v>Gadget</v>
      </c>
      <c r="E668" s="43">
        <v>1035</v>
      </c>
      <c r="F668" s="43">
        <f>_xlfn.XLOOKUP(A668,Class_Players!A:A,Class_Players!G:G)</f>
        <v>174</v>
      </c>
      <c r="G668" s="43">
        <f t="shared" si="146"/>
        <v>5.9482758620689653</v>
      </c>
      <c r="H668" s="43">
        <f>_xlfn.XLOOKUP(A668,Class_Players!$A:$A,Class_Players!$F:$F,"")</f>
        <v>8679</v>
      </c>
      <c r="I668" s="44">
        <f t="shared" si="147"/>
        <v>0.11925337020394054</v>
      </c>
      <c r="J668" s="43">
        <f t="shared" si="148"/>
        <v>1</v>
      </c>
      <c r="K668" s="44" cm="1">
        <f t="array" ref="K668">IF(D668="Gadget",_xlfn.IFS(I668&gt;=0.2,0.5,I668&gt;=0.1,0.35,I668&gt;=0.05,0.2,TRUE,0),IF(D668="Grenade",_xlfn.IFS(I668&gt;=0.2,1,I668&gt;=0.1,0.7,I668&gt;=0.05,0.4,TRUE,0),0))</f>
        <v>0.35</v>
      </c>
      <c r="L668" s="57">
        <f t="shared" si="155"/>
        <v>0.33333333333333331</v>
      </c>
    </row>
    <row r="669" spans="1:12" x14ac:dyDescent="0.25">
      <c r="A669" s="42" t="str" cm="1">
        <f t="array" ref="A669">IFERROR(INDEX(_xlfn._xlws.FILTER(Class_Players!A:A,Class_Players!B:B="Engineer"),QUOTIENT(ROW()-ROW($A$2),12)+1),"")</f>
        <v>Casios</v>
      </c>
      <c r="B669" s="42" t="str">
        <f>_xlfn.XLOOKUP(A669,Class_Players!$A:$A,Class_Players!$B:$B,"")</f>
        <v>Engineer</v>
      </c>
      <c r="C669" s="42" t="str" cm="1">
        <f t="array" ref="C669">INDEX(Lookups!$B$2:$B$13,MOD(ROW()-ROW($B$2),ROWS(Lookups!$B$2:$B$13))+1)</f>
        <v>PTKM-1R (Acoustic Sensor AV Mine)</v>
      </c>
      <c r="D669" s="38" t="str">
        <f>_xlfn.XLOOKUP(C669,Analysis_Gadgets!$C:$C,Analysis_Gadgets!$B:$B)</f>
        <v>Gadget</v>
      </c>
      <c r="E669" s="43">
        <v>859</v>
      </c>
      <c r="F669" s="43">
        <f>_xlfn.XLOOKUP(A669,Class_Players!A:A,Class_Players!G:G)</f>
        <v>174</v>
      </c>
      <c r="G669" s="43">
        <f t="shared" si="146"/>
        <v>4.9367816091954024</v>
      </c>
      <c r="H669" s="43">
        <f>_xlfn.XLOOKUP(A669,Class_Players!$A:$A,Class_Players!$F:$F,"")</f>
        <v>8679</v>
      </c>
      <c r="I669" s="44">
        <f t="shared" si="147"/>
        <v>9.8974536236893645E-2</v>
      </c>
      <c r="J669" s="43">
        <f t="shared" si="148"/>
        <v>0</v>
      </c>
      <c r="K669" s="44" cm="1">
        <f t="array" ref="K669">IF(D669="Gadget",_xlfn.IFS(I669&gt;=0.2,0.5,I669&gt;=0.1,0.35,I669&gt;=0.05,0.2,TRUE,0),IF(D669="Grenade",_xlfn.IFS(I669&gt;=0.2,1,I669&gt;=0.1,0.7,I669&gt;=0.05,0.4,TRUE,0),0))</f>
        <v>0.2</v>
      </c>
      <c r="L669" s="57">
        <f t="shared" si="155"/>
        <v>0.19047619047619047</v>
      </c>
    </row>
    <row r="670" spans="1:12" x14ac:dyDescent="0.25">
      <c r="A670" s="42" t="str" cm="1">
        <f t="array" ref="A670">IFERROR(INDEX(_xlfn._xlws.FILTER(Class_Players!A:A,Class_Players!B:B="Engineer"),QUOTIENT(ROW()-ROW($A$2),12)+1),"")</f>
        <v>Casios</v>
      </c>
      <c r="B670" s="42" t="str">
        <f>_xlfn.XLOOKUP(A670,Class_Players!$A:$A,Class_Players!$B:$B,"")</f>
        <v>Engineer</v>
      </c>
      <c r="C670" s="42" t="str" cm="1">
        <f t="array" ref="C670">INDEX(Lookups!$B$2:$B$13,MOD(ROW()-ROW($B$2),ROWS(Lookups!$B$2:$B$13))+1)</f>
        <v>EOD Bot</v>
      </c>
      <c r="D670" s="38" t="str">
        <f>_xlfn.XLOOKUP(C670,Analysis_Gadgets!$C:$C,Analysis_Gadgets!$B:$B)</f>
        <v>Gadget</v>
      </c>
      <c r="E670" s="43">
        <v>307</v>
      </c>
      <c r="F670" s="43">
        <f>_xlfn.XLOOKUP(A670,Class_Players!A:A,Class_Players!G:G)</f>
        <v>174</v>
      </c>
      <c r="G670" s="43">
        <f t="shared" si="146"/>
        <v>1.764367816091954</v>
      </c>
      <c r="H670" s="43">
        <f>_xlfn.XLOOKUP(A670,Class_Players!$A:$A,Class_Players!$F:$F,"")</f>
        <v>8679</v>
      </c>
      <c r="I670" s="44">
        <f t="shared" si="147"/>
        <v>3.5372738794792025E-2</v>
      </c>
      <c r="J670" s="43">
        <f t="shared" si="148"/>
        <v>0</v>
      </c>
      <c r="K670" s="44" cm="1">
        <f t="array" ref="K670">IF(D670="Gadget",_xlfn.IFS(I670&gt;=0.2,0.5,I670&gt;=0.1,0.35,I670&gt;=0.05,0.2,TRUE,0),IF(D670="Grenade",_xlfn.IFS(I670&gt;=0.2,1,I670&gt;=0.1,0.7,I670&gt;=0.05,0.4,TRUE,0),0))</f>
        <v>0</v>
      </c>
      <c r="L670" s="57">
        <f t="shared" si="155"/>
        <v>0</v>
      </c>
    </row>
    <row r="671" spans="1:12" x14ac:dyDescent="0.25">
      <c r="A671" s="42" t="str" cm="1">
        <f t="array" ref="A671">IFERROR(INDEX(_xlfn._xlws.FILTER(Class_Players!A:A,Class_Players!B:B="Engineer"),QUOTIENT(ROW()-ROW($A$2),12)+1),"")</f>
        <v>Casios</v>
      </c>
      <c r="B671" s="42" t="str">
        <f>_xlfn.XLOOKUP(A671,Class_Players!$A:$A,Class_Players!$B:$B,"")</f>
        <v>Engineer</v>
      </c>
      <c r="C671" s="42" t="str" cm="1">
        <f t="array" ref="C671">INDEX(Lookups!$B$2:$B$13,MOD(ROW()-ROW($B$2),ROWS(Lookups!$B$2:$B$13))+1)</f>
        <v>M4A1 SLAM (Tripwire Sensor AV Mine)</v>
      </c>
      <c r="D671" s="38" t="str">
        <f>_xlfn.XLOOKUP(C671,Analysis_Gadgets!$C:$C,Analysis_Gadgets!$B:$B)</f>
        <v>Gadget</v>
      </c>
      <c r="E671" s="43">
        <v>312</v>
      </c>
      <c r="F671" s="43">
        <f>_xlfn.XLOOKUP(A671,Class_Players!A:A,Class_Players!G:G)</f>
        <v>174</v>
      </c>
      <c r="G671" s="43">
        <f t="shared" si="146"/>
        <v>1.7931034482758621</v>
      </c>
      <c r="H671" s="43">
        <f>_xlfn.XLOOKUP(A671,Class_Players!$A:$A,Class_Players!$F:$F,"")</f>
        <v>8679</v>
      </c>
      <c r="I671" s="44">
        <f t="shared" si="147"/>
        <v>3.5948842032492226E-2</v>
      </c>
      <c r="J671" s="43">
        <f t="shared" si="148"/>
        <v>0</v>
      </c>
      <c r="K671" s="44" cm="1">
        <f t="array" ref="K671">IF(D671="Gadget",_xlfn.IFS(I671&gt;=0.2,0.5,I671&gt;=0.1,0.35,I671&gt;=0.05,0.2,TRUE,0),IF(D671="Grenade",_xlfn.IFS(I671&gt;=0.2,1,I671&gt;=0.1,0.7,I671&gt;=0.05,0.4,TRUE,0),0))</f>
        <v>0</v>
      </c>
      <c r="L671" s="57">
        <f t="shared" si="155"/>
        <v>0</v>
      </c>
    </row>
    <row r="672" spans="1:12" x14ac:dyDescent="0.25">
      <c r="A672" s="42" t="str" cm="1">
        <f t="array" ref="A672">IFERROR(INDEX(_xlfn._xlws.FILTER(Class_Players!A:A,Class_Players!B:B="Engineer"),QUOTIENT(ROW()-ROW($A$2),12)+1),"")</f>
        <v>Casios</v>
      </c>
      <c r="B672" s="42" t="str">
        <f>_xlfn.XLOOKUP(A672,Class_Players!$A:$A,Class_Players!$B:$B,"")</f>
        <v>Engineer</v>
      </c>
      <c r="C672" s="42" t="str" cm="1">
        <f t="array" ref="C672">INDEX(Lookups!$B$2:$B$13,MOD(ROW()-ROW($B$2),ROWS(Lookups!$B$2:$B$13))+1)</f>
        <v>Mini Frag Grenade</v>
      </c>
      <c r="D672" s="38" t="str">
        <f>_xlfn.XLOOKUP(C672,Analysis_Gadgets!$C:$C,Analysis_Gadgets!$B:$B)</f>
        <v>Grenade</v>
      </c>
      <c r="E672" s="43">
        <v>119</v>
      </c>
      <c r="F672" s="43">
        <f>_xlfn.XLOOKUP(A672,Class_Players!A:A,Class_Players!G:G)</f>
        <v>174</v>
      </c>
      <c r="G672" s="43">
        <f t="shared" si="146"/>
        <v>0.68390804597701149</v>
      </c>
      <c r="H672" s="43">
        <f>_xlfn.XLOOKUP(A672,Class_Players!$A:$A,Class_Players!$F:$F,"")</f>
        <v>8679</v>
      </c>
      <c r="I672" s="44">
        <f t="shared" si="147"/>
        <v>1.3711257057264661E-2</v>
      </c>
      <c r="J672" s="43">
        <f t="shared" si="148"/>
        <v>0</v>
      </c>
      <c r="K672" s="44" cm="1">
        <f t="array" ref="K672">IF(D672="Gadget",_xlfn.IFS(I672&gt;=0.2,0.5,I672&gt;=0.1,0.35,I672&gt;=0.05,0.2,TRUE,0),IF(D672="Grenade",_xlfn.IFS(I672&gt;=0.2,1,I672&gt;=0.1,0.7,I672&gt;=0.05,0.4,TRUE,0),0))</f>
        <v>0</v>
      </c>
      <c r="L672" s="57">
        <f t="shared" ref="L672:L673" si="156">IF($K672=0,0,$K672 / SUMIFS($K:$K,$A:$A,$A672,$D:$D,"Grenade"))</f>
        <v>0</v>
      </c>
    </row>
    <row r="673" spans="1:12" x14ac:dyDescent="0.25">
      <c r="A673" s="42" t="str" cm="1">
        <f t="array" ref="A673">IFERROR(INDEX(_xlfn._xlws.FILTER(Class_Players!A:A,Class_Players!B:B="Engineer"),QUOTIENT(ROW()-ROW($A$2),12)+1),"")</f>
        <v>Casios</v>
      </c>
      <c r="B673" s="42" t="str">
        <f>_xlfn.XLOOKUP(A673,Class_Players!$A:$A,Class_Players!$B:$B,"")</f>
        <v>Engineer</v>
      </c>
      <c r="C673" s="42" t="str" cm="1">
        <f t="array" ref="C673">INDEX(Lookups!$B$2:$B$13,MOD(ROW()-ROW($B$2),ROWS(Lookups!$B$2:$B$13))+1)</f>
        <v>Anti-Vehicle Grenade</v>
      </c>
      <c r="D673" s="38" t="str">
        <f>_xlfn.XLOOKUP(C673,Analysis_Gadgets!$C:$C,Analysis_Gadgets!$B:$B)</f>
        <v>Grenade</v>
      </c>
      <c r="E673" s="43">
        <v>0</v>
      </c>
      <c r="F673" s="43">
        <f>_xlfn.XLOOKUP(A673,Class_Players!A:A,Class_Players!G:G)</f>
        <v>174</v>
      </c>
      <c r="G673" s="43">
        <f t="shared" si="146"/>
        <v>0</v>
      </c>
      <c r="H673" s="43">
        <f>_xlfn.XLOOKUP(A673,Class_Players!$A:$A,Class_Players!$F:$F,"")</f>
        <v>8679</v>
      </c>
      <c r="I673" s="44">
        <f t="shared" si="147"/>
        <v>0</v>
      </c>
      <c r="J673" s="43">
        <f t="shared" si="148"/>
        <v>0</v>
      </c>
      <c r="K673" s="44" cm="1">
        <f t="array" ref="K673">IF(D673="Gadget",_xlfn.IFS(I673&gt;=0.2,0.5,I673&gt;=0.1,0.35,I673&gt;=0.05,0.2,TRUE,0),IF(D673="Grenade",_xlfn.IFS(I673&gt;=0.2,1,I673&gt;=0.1,0.7,I673&gt;=0.05,0.4,TRUE,0),0))</f>
        <v>0</v>
      </c>
      <c r="L673" s="57">
        <f t="shared" si="156"/>
        <v>0</v>
      </c>
    </row>
    <row r="674" spans="1:12" x14ac:dyDescent="0.25">
      <c r="A674" s="42" t="str" cm="1">
        <f t="array" ref="A674">IFERROR(INDEX(_xlfn._xlws.FILTER(Class_Players!A:A,Class_Players!B:B="Engineer"),QUOTIENT(ROW()-ROW($A$2),12)+1),"")</f>
        <v>TICSoL9mm</v>
      </c>
      <c r="B674" s="42" t="str">
        <f>_xlfn.XLOOKUP(A674,Class_Players!$A:$A,Class_Players!$B:$B,"")</f>
        <v>Engineer</v>
      </c>
      <c r="C674" s="42" t="str" cm="1">
        <f t="array" ref="C674">INDEX(Lookups!$B$2:$B$13,MOD(ROW()-ROW($B$2),ROWS(Lookups!$B$2:$B$13))+1)</f>
        <v>MBT-LAW (Auto-Guided Launcher)</v>
      </c>
      <c r="D674" s="38" t="str">
        <f>_xlfn.XLOOKUP(C674,Analysis_Gadgets!$C:$C,Analysis_Gadgets!$B:$B)</f>
        <v>Gadget</v>
      </c>
      <c r="E674" s="43">
        <v>0</v>
      </c>
      <c r="F674" s="43">
        <f>_xlfn.XLOOKUP(A674,Class_Players!A:A,Class_Players!G:G)</f>
        <v>233</v>
      </c>
      <c r="G674" s="43">
        <f t="shared" si="146"/>
        <v>0</v>
      </c>
      <c r="H674" s="43">
        <f>_xlfn.XLOOKUP(A674,Class_Players!$A:$A,Class_Players!$F:$F,"")</f>
        <v>8396</v>
      </c>
      <c r="I674" s="44">
        <f t="shared" si="147"/>
        <v>0</v>
      </c>
      <c r="J674" s="43">
        <f t="shared" si="148"/>
        <v>0</v>
      </c>
      <c r="K674" s="44" cm="1">
        <f t="array" ref="K674">IF(D674="Gadget",_xlfn.IFS(I674&gt;=0.2,0.5,I674&gt;=0.1,0.35,I674&gt;=0.05,0.2,TRUE,0),IF(D674="Grenade",_xlfn.IFS(I674&gt;=0.2,1,I674&gt;=0.1,0.7,I674&gt;=0.05,0.4,TRUE,0),0))</f>
        <v>0</v>
      </c>
      <c r="L674" s="57">
        <f t="shared" ref="L674:L683" si="157">IF($K674=0,0,$K674 / SUMIFS($K:$K,$A:$A,$A674,$D:$D,"Gadget"))</f>
        <v>0</v>
      </c>
    </row>
    <row r="675" spans="1:12" x14ac:dyDescent="0.25">
      <c r="A675" s="42" t="str" cm="1">
        <f t="array" ref="A675">IFERROR(INDEX(_xlfn._xlws.FILTER(Class_Players!A:A,Class_Players!B:B="Engineer"),QUOTIENT(ROW()-ROW($A$2),12)+1),"")</f>
        <v>TICSoL9mm</v>
      </c>
      <c r="B675" s="42" t="str">
        <f>_xlfn.XLOOKUP(A675,Class_Players!$A:$A,Class_Players!$B:$B,"")</f>
        <v>Engineer</v>
      </c>
      <c r="C675" s="42" t="str" cm="1">
        <f t="array" ref="C675">INDEX(Lookups!$B$2:$B$13,MOD(ROW()-ROW($B$2),ROWS(Lookups!$B$2:$B$13))+1)</f>
        <v>SLM-93A (Air-Defense Launcher)</v>
      </c>
      <c r="D675" s="38" t="str">
        <f>_xlfn.XLOOKUP(C675,Analysis_Gadgets!$C:$C,Analysis_Gadgets!$B:$B)</f>
        <v>Gadget</v>
      </c>
      <c r="E675" s="43">
        <v>99</v>
      </c>
      <c r="F675" s="43">
        <f>_xlfn.XLOOKUP(A675,Class_Players!A:A,Class_Players!G:G)</f>
        <v>233</v>
      </c>
      <c r="G675" s="43">
        <f t="shared" si="146"/>
        <v>0.42489270386266093</v>
      </c>
      <c r="H675" s="43">
        <f>_xlfn.XLOOKUP(A675,Class_Players!$A:$A,Class_Players!$F:$F,"")</f>
        <v>8396</v>
      </c>
      <c r="I675" s="44">
        <f t="shared" si="147"/>
        <v>1.179132920438304E-2</v>
      </c>
      <c r="J675" s="43">
        <f t="shared" si="148"/>
        <v>0</v>
      </c>
      <c r="K675" s="44" cm="1">
        <f t="array" ref="K675">IF(D675="Gadget",_xlfn.IFS(I675&gt;=0.2,0.5,I675&gt;=0.1,0.35,I675&gt;=0.05,0.2,TRUE,0),IF(D675="Grenade",_xlfn.IFS(I675&gt;=0.2,1,I675&gt;=0.1,0.7,I675&gt;=0.05,0.4,TRUE,0),0))</f>
        <v>0</v>
      </c>
      <c r="L675" s="57">
        <f t="shared" si="157"/>
        <v>0</v>
      </c>
    </row>
    <row r="676" spans="1:12" x14ac:dyDescent="0.25">
      <c r="A676" s="42" t="str" cm="1">
        <f t="array" ref="A676">IFERROR(INDEX(_xlfn._xlws.FILTER(Class_Players!A:A,Class_Players!B:B="Engineer"),QUOTIENT(ROW()-ROW($A$2),12)+1),"")</f>
        <v>TICSoL9mm</v>
      </c>
      <c r="B676" s="42" t="str">
        <f>_xlfn.XLOOKUP(A676,Class_Players!$A:$A,Class_Players!$B:$B,"")</f>
        <v>Engineer</v>
      </c>
      <c r="C676" s="42" t="str" cm="1">
        <f t="array" ref="C676">INDEX(Lookups!$B$2:$B$13,MOD(ROW()-ROW($B$2),ROWS(Lookups!$B$2:$B$13))+1)</f>
        <v>RPG-7V2 (Unguided Rocket Launcher)</v>
      </c>
      <c r="D676" s="38" t="str">
        <f>_xlfn.XLOOKUP(C676,Analysis_Gadgets!$C:$C,Analysis_Gadgets!$B:$B)</f>
        <v>Gadget</v>
      </c>
      <c r="E676" s="43">
        <v>3040</v>
      </c>
      <c r="F676" s="43">
        <f>_xlfn.XLOOKUP(A676,Class_Players!A:A,Class_Players!G:G)</f>
        <v>233</v>
      </c>
      <c r="G676" s="43">
        <f t="shared" si="146"/>
        <v>13.047210300429185</v>
      </c>
      <c r="H676" s="43">
        <f>_xlfn.XLOOKUP(A676,Class_Players!$A:$A,Class_Players!$F:$F,"")</f>
        <v>8396</v>
      </c>
      <c r="I676" s="44">
        <f t="shared" si="147"/>
        <v>0.36207717960933777</v>
      </c>
      <c r="J676" s="43">
        <f t="shared" si="148"/>
        <v>1</v>
      </c>
      <c r="K676" s="44" cm="1">
        <f t="array" ref="K676">IF(D676="Gadget",_xlfn.IFS(I676&gt;=0.2,0.5,I676&gt;=0.1,0.35,I676&gt;=0.05,0.2,TRUE,0),IF(D676="Grenade",_xlfn.IFS(I676&gt;=0.2,1,I676&gt;=0.1,0.7,I676&gt;=0.05,0.4,TRUE,0),0))</f>
        <v>0.5</v>
      </c>
      <c r="L676" s="57">
        <f t="shared" si="157"/>
        <v>0.47619047619047616</v>
      </c>
    </row>
    <row r="677" spans="1:12" x14ac:dyDescent="0.25">
      <c r="A677" s="42" t="str" cm="1">
        <f t="array" ref="A677">IFERROR(INDEX(_xlfn._xlws.FILTER(Class_Players!A:A,Class_Players!B:B="Engineer"),QUOTIENT(ROW()-ROW($A$2),12)+1),"")</f>
        <v>TICSoL9mm</v>
      </c>
      <c r="B677" s="42" t="str">
        <f>_xlfn.XLOOKUP(A677,Class_Players!$A:$A,Class_Players!$B:$B,"")</f>
        <v>Engineer</v>
      </c>
      <c r="C677" s="42" t="str" cm="1">
        <f t="array" ref="C677">INDEX(Lookups!$B$2:$B$13,MOD(ROW()-ROW($B$2),ROWS(Lookups!$B$2:$B$13))+1)</f>
        <v>MAS 148 (Long-Range Launcher)</v>
      </c>
      <c r="D677" s="38" t="str">
        <f>_xlfn.XLOOKUP(C677,Analysis_Gadgets!$C:$C,Analysis_Gadgets!$B:$B)</f>
        <v>Gadget</v>
      </c>
      <c r="E677" s="43">
        <v>17</v>
      </c>
      <c r="F677" s="43">
        <f>_xlfn.XLOOKUP(A677,Class_Players!A:A,Class_Players!G:G)</f>
        <v>233</v>
      </c>
      <c r="G677" s="43">
        <f t="shared" si="146"/>
        <v>7.2961373390557943E-2</v>
      </c>
      <c r="H677" s="43">
        <f>_xlfn.XLOOKUP(A677,Class_Players!$A:$A,Class_Players!$F:$F,"")</f>
        <v>8396</v>
      </c>
      <c r="I677" s="44">
        <f t="shared" si="147"/>
        <v>2.0247737017627444E-3</v>
      </c>
      <c r="J677" s="43">
        <f t="shared" si="148"/>
        <v>0</v>
      </c>
      <c r="K677" s="44" cm="1">
        <f t="array" ref="K677">IF(D677="Gadget",_xlfn.IFS(I677&gt;=0.2,0.5,I677&gt;=0.1,0.35,I677&gt;=0.05,0.2,TRUE,0),IF(D677="Grenade",_xlfn.IFS(I677&gt;=0.2,1,I677&gt;=0.1,0.7,I677&gt;=0.05,0.4,TRUE,0),0))</f>
        <v>0</v>
      </c>
      <c r="L677" s="57">
        <f t="shared" si="157"/>
        <v>0</v>
      </c>
    </row>
    <row r="678" spans="1:12" x14ac:dyDescent="0.25">
      <c r="A678" s="42" t="str" cm="1">
        <f t="array" ref="A678">IFERROR(INDEX(_xlfn._xlws.FILTER(Class_Players!A:A,Class_Players!B:B="Engineer"),QUOTIENT(ROW()-ROW($A$2),12)+1),"")</f>
        <v>TICSoL9mm</v>
      </c>
      <c r="B678" s="42" t="str">
        <f>_xlfn.XLOOKUP(A678,Class_Players!$A:$A,Class_Players!$B:$B,"")</f>
        <v>Engineer</v>
      </c>
      <c r="C678" s="42" t="str" cm="1">
        <f t="array" ref="C678">INDEX(Lookups!$B$2:$B$13,MOD(ROW()-ROW($B$2),ROWS(Lookups!$B$2:$B$13))+1)</f>
        <v>M136 AT (Aim-Guided Launcher)</v>
      </c>
      <c r="D678" s="38" t="str">
        <f>_xlfn.XLOOKUP(C678,Analysis_Gadgets!$C:$C,Analysis_Gadgets!$B:$B)</f>
        <v>Gadget</v>
      </c>
      <c r="E678" s="43">
        <v>12</v>
      </c>
      <c r="F678" s="43">
        <f>_xlfn.XLOOKUP(A678,Class_Players!A:A,Class_Players!G:G)</f>
        <v>233</v>
      </c>
      <c r="G678" s="43">
        <f t="shared" si="146"/>
        <v>5.1502145922746781E-2</v>
      </c>
      <c r="H678" s="43">
        <f>_xlfn.XLOOKUP(A678,Class_Players!$A:$A,Class_Players!$F:$F,"")</f>
        <v>8396</v>
      </c>
      <c r="I678" s="44">
        <f t="shared" si="147"/>
        <v>1.4292520247737017E-3</v>
      </c>
      <c r="J678" s="43">
        <f t="shared" si="148"/>
        <v>0</v>
      </c>
      <c r="K678" s="44" cm="1">
        <f t="array" ref="K678">IF(D678="Gadget",_xlfn.IFS(I678&gt;=0.2,0.5,I678&gt;=0.1,0.35,I678&gt;=0.05,0.2,TRUE,0),IF(D678="Grenade",_xlfn.IFS(I678&gt;=0.2,1,I678&gt;=0.1,0.7,I678&gt;=0.05,0.4,TRUE,0),0))</f>
        <v>0</v>
      </c>
      <c r="L678" s="57">
        <f t="shared" si="157"/>
        <v>0</v>
      </c>
    </row>
    <row r="679" spans="1:12" x14ac:dyDescent="0.25">
      <c r="A679" s="42" t="str" cm="1">
        <f t="array" ref="A679">IFERROR(INDEX(_xlfn._xlws.FILTER(Class_Players!A:A,Class_Players!B:B="Engineer"),QUOTIENT(ROW()-ROW($A$2),12)+1),"")</f>
        <v>TICSoL9mm</v>
      </c>
      <c r="B679" s="42" t="str">
        <f>_xlfn.XLOOKUP(A679,Class_Players!$A:$A,Class_Players!$B:$B,"")</f>
        <v>Engineer</v>
      </c>
      <c r="C679" s="42" t="str" cm="1">
        <f t="array" ref="C679">INDEX(Lookups!$B$2:$B$13,MOD(ROW()-ROW($B$2),ROWS(Lookups!$B$2:$B$13))+1)</f>
        <v>Supply Crate</v>
      </c>
      <c r="D679" s="38" t="str">
        <f>_xlfn.XLOOKUP(C679,Analysis_Gadgets!$C:$C,Analysis_Gadgets!$B:$B)</f>
        <v>Gadget</v>
      </c>
      <c r="E679" s="43">
        <v>33</v>
      </c>
      <c r="F679" s="43">
        <f>_xlfn.XLOOKUP(A679,Class_Players!A:A,Class_Players!G:G)</f>
        <v>233</v>
      </c>
      <c r="G679" s="43">
        <f t="shared" si="146"/>
        <v>0.14163090128755365</v>
      </c>
      <c r="H679" s="43">
        <f>_xlfn.XLOOKUP(A679,Class_Players!$A:$A,Class_Players!$F:$F,"")</f>
        <v>8396</v>
      </c>
      <c r="I679" s="44">
        <f t="shared" si="147"/>
        <v>3.9304430681276802E-3</v>
      </c>
      <c r="J679" s="43">
        <f t="shared" si="148"/>
        <v>0</v>
      </c>
      <c r="K679" s="44" cm="1">
        <f t="array" ref="K679">IF(D679="Gadget",_xlfn.IFS(I679&gt;=0.2,0.5,I679&gt;=0.1,0.35,I679&gt;=0.05,0.2,TRUE,0),IF(D679="Grenade",_xlfn.IFS(I679&gt;=0.2,1,I679&gt;=0.1,0.7,I679&gt;=0.05,0.4,TRUE,0),0))</f>
        <v>0</v>
      </c>
      <c r="L679" s="57">
        <f t="shared" si="157"/>
        <v>0</v>
      </c>
    </row>
    <row r="680" spans="1:12" x14ac:dyDescent="0.25">
      <c r="A680" s="42" t="str" cm="1">
        <f t="array" ref="A680">IFERROR(INDEX(_xlfn._xlws.FILTER(Class_Players!A:A,Class_Players!B:B="Engineer"),QUOTIENT(ROW()-ROW($A$2),12)+1),"")</f>
        <v>TICSoL9mm</v>
      </c>
      <c r="B680" s="42" t="str">
        <f>_xlfn.XLOOKUP(A680,Class_Players!$A:$A,Class_Players!$B:$B,"")</f>
        <v>Engineer</v>
      </c>
      <c r="C680" s="42" t="str" cm="1">
        <f t="array" ref="C680">INDEX(Lookups!$B$2:$B$13,MOD(ROW()-ROW($B$2),ROWS(Lookups!$B$2:$B$13))+1)</f>
        <v>M15 (Anti-Vehicle Mine)</v>
      </c>
      <c r="D680" s="38" t="str">
        <f>_xlfn.XLOOKUP(C680,Analysis_Gadgets!$C:$C,Analysis_Gadgets!$B:$B)</f>
        <v>Gadget</v>
      </c>
      <c r="E680" s="43">
        <v>333</v>
      </c>
      <c r="F680" s="43">
        <f>_xlfn.XLOOKUP(A680,Class_Players!A:A,Class_Players!G:G)</f>
        <v>233</v>
      </c>
      <c r="G680" s="43">
        <f t="shared" si="146"/>
        <v>1.4291845493562232</v>
      </c>
      <c r="H680" s="43">
        <f>_xlfn.XLOOKUP(A680,Class_Players!$A:$A,Class_Players!$F:$F,"")</f>
        <v>8396</v>
      </c>
      <c r="I680" s="44">
        <f t="shared" si="147"/>
        <v>3.9661743687470226E-2</v>
      </c>
      <c r="J680" s="43">
        <f t="shared" si="148"/>
        <v>0</v>
      </c>
      <c r="K680" s="44" cm="1">
        <f t="array" ref="K680">IF(D680="Gadget",_xlfn.IFS(I680&gt;=0.2,0.5,I680&gt;=0.1,0.35,I680&gt;=0.05,0.2,TRUE,0),IF(D680="Grenade",_xlfn.IFS(I680&gt;=0.2,1,I680&gt;=0.1,0.7,I680&gt;=0.05,0.4,TRUE,0),0))</f>
        <v>0</v>
      </c>
      <c r="L680" s="57">
        <f t="shared" si="157"/>
        <v>0</v>
      </c>
    </row>
    <row r="681" spans="1:12" x14ac:dyDescent="0.25">
      <c r="A681" s="42" t="str" cm="1">
        <f t="array" ref="A681">IFERROR(INDEX(_xlfn._xlws.FILTER(Class_Players!A:A,Class_Players!B:B="Engineer"),QUOTIENT(ROW()-ROW($A$2),12)+1),"")</f>
        <v>TICSoL9mm</v>
      </c>
      <c r="B681" s="42" t="str">
        <f>_xlfn.XLOOKUP(A681,Class_Players!$A:$A,Class_Players!$B:$B,"")</f>
        <v>Engineer</v>
      </c>
      <c r="C681" s="42" t="str" cm="1">
        <f t="array" ref="C681">INDEX(Lookups!$B$2:$B$13,MOD(ROW()-ROW($B$2),ROWS(Lookups!$B$2:$B$13))+1)</f>
        <v>PTKM-1R (Acoustic Sensor AV Mine)</v>
      </c>
      <c r="D681" s="38" t="str">
        <f>_xlfn.XLOOKUP(C681,Analysis_Gadgets!$C:$C,Analysis_Gadgets!$B:$B)</f>
        <v>Gadget</v>
      </c>
      <c r="E681" s="43">
        <v>1321</v>
      </c>
      <c r="F681" s="43">
        <f>_xlfn.XLOOKUP(A681,Class_Players!A:A,Class_Players!G:G)</f>
        <v>233</v>
      </c>
      <c r="G681" s="43">
        <f t="shared" si="146"/>
        <v>5.6695278969957084</v>
      </c>
      <c r="H681" s="43">
        <f>_xlfn.XLOOKUP(A681,Class_Players!$A:$A,Class_Players!$F:$F,"")</f>
        <v>8396</v>
      </c>
      <c r="I681" s="44">
        <f t="shared" si="147"/>
        <v>0.157336827060505</v>
      </c>
      <c r="J681" s="43">
        <f t="shared" si="148"/>
        <v>1</v>
      </c>
      <c r="K681" s="44" cm="1">
        <f t="array" ref="K681">IF(D681="Gadget",_xlfn.IFS(I681&gt;=0.2,0.5,I681&gt;=0.1,0.35,I681&gt;=0.05,0.2,TRUE,0),IF(D681="Grenade",_xlfn.IFS(I681&gt;=0.2,1,I681&gt;=0.1,0.7,I681&gt;=0.05,0.4,TRUE,0),0))</f>
        <v>0.35</v>
      </c>
      <c r="L681" s="57">
        <f t="shared" si="157"/>
        <v>0.33333333333333331</v>
      </c>
    </row>
    <row r="682" spans="1:12" x14ac:dyDescent="0.25">
      <c r="A682" s="42" t="str" cm="1">
        <f t="array" ref="A682">IFERROR(INDEX(_xlfn._xlws.FILTER(Class_Players!A:A,Class_Players!B:B="Engineer"),QUOTIENT(ROW()-ROW($A$2),12)+1),"")</f>
        <v>TICSoL9mm</v>
      </c>
      <c r="B682" s="42" t="str">
        <f>_xlfn.XLOOKUP(A682,Class_Players!$A:$A,Class_Players!$B:$B,"")</f>
        <v>Engineer</v>
      </c>
      <c r="C682" s="42" t="str" cm="1">
        <f t="array" ref="C682">INDEX(Lookups!$B$2:$B$13,MOD(ROW()-ROW($B$2),ROWS(Lookups!$B$2:$B$13))+1)</f>
        <v>EOD Bot</v>
      </c>
      <c r="D682" s="38" t="str">
        <f>_xlfn.XLOOKUP(C682,Analysis_Gadgets!$C:$C,Analysis_Gadgets!$B:$B)</f>
        <v>Gadget</v>
      </c>
      <c r="E682" s="43">
        <v>580</v>
      </c>
      <c r="F682" s="43">
        <f>_xlfn.XLOOKUP(A682,Class_Players!A:A,Class_Players!G:G)</f>
        <v>233</v>
      </c>
      <c r="G682" s="43">
        <f t="shared" si="146"/>
        <v>2.4892703862660945</v>
      </c>
      <c r="H682" s="43">
        <f>_xlfn.XLOOKUP(A682,Class_Players!$A:$A,Class_Players!$F:$F,"")</f>
        <v>8396</v>
      </c>
      <c r="I682" s="44">
        <f t="shared" si="147"/>
        <v>6.9080514530728915E-2</v>
      </c>
      <c r="J682" s="43">
        <f t="shared" si="148"/>
        <v>0</v>
      </c>
      <c r="K682" s="44" cm="1">
        <f t="array" ref="K682">IF(D682="Gadget",_xlfn.IFS(I682&gt;=0.2,0.5,I682&gt;=0.1,0.35,I682&gt;=0.05,0.2,TRUE,0),IF(D682="Grenade",_xlfn.IFS(I682&gt;=0.2,1,I682&gt;=0.1,0.7,I682&gt;=0.05,0.4,TRUE,0),0))</f>
        <v>0.2</v>
      </c>
      <c r="L682" s="57">
        <f t="shared" si="157"/>
        <v>0.19047619047619047</v>
      </c>
    </row>
    <row r="683" spans="1:12" x14ac:dyDescent="0.25">
      <c r="A683" s="42" t="str" cm="1">
        <f t="array" ref="A683">IFERROR(INDEX(_xlfn._xlws.FILTER(Class_Players!A:A,Class_Players!B:B="Engineer"),QUOTIENT(ROW()-ROW($A$2),12)+1),"")</f>
        <v>TICSoL9mm</v>
      </c>
      <c r="B683" s="42" t="str">
        <f>_xlfn.XLOOKUP(A683,Class_Players!$A:$A,Class_Players!$B:$B,"")</f>
        <v>Engineer</v>
      </c>
      <c r="C683" s="42" t="str" cm="1">
        <f t="array" ref="C683">INDEX(Lookups!$B$2:$B$13,MOD(ROW()-ROW($B$2),ROWS(Lookups!$B$2:$B$13))+1)</f>
        <v>M4A1 SLAM (Tripwire Sensor AV Mine)</v>
      </c>
      <c r="D683" s="38" t="str">
        <f>_xlfn.XLOOKUP(C683,Analysis_Gadgets!$C:$C,Analysis_Gadgets!$B:$B)</f>
        <v>Gadget</v>
      </c>
      <c r="E683" s="43">
        <v>329</v>
      </c>
      <c r="F683" s="43">
        <f>_xlfn.XLOOKUP(A683,Class_Players!A:A,Class_Players!G:G)</f>
        <v>233</v>
      </c>
      <c r="G683" s="43">
        <f t="shared" si="146"/>
        <v>1.4120171673819744</v>
      </c>
      <c r="H683" s="43">
        <f>_xlfn.XLOOKUP(A683,Class_Players!$A:$A,Class_Players!$F:$F,"")</f>
        <v>8396</v>
      </c>
      <c r="I683" s="44">
        <f t="shared" si="147"/>
        <v>3.9185326345878992E-2</v>
      </c>
      <c r="J683" s="43">
        <f t="shared" si="148"/>
        <v>0</v>
      </c>
      <c r="K683" s="44" cm="1">
        <f t="array" ref="K683">IF(D683="Gadget",_xlfn.IFS(I683&gt;=0.2,0.5,I683&gt;=0.1,0.35,I683&gt;=0.05,0.2,TRUE,0),IF(D683="Grenade",_xlfn.IFS(I683&gt;=0.2,1,I683&gt;=0.1,0.7,I683&gt;=0.05,0.4,TRUE,0),0))</f>
        <v>0</v>
      </c>
      <c r="L683" s="57">
        <f t="shared" si="157"/>
        <v>0</v>
      </c>
    </row>
    <row r="684" spans="1:12" x14ac:dyDescent="0.25">
      <c r="A684" s="42" t="str" cm="1">
        <f t="array" ref="A684">IFERROR(INDEX(_xlfn._xlws.FILTER(Class_Players!A:A,Class_Players!B:B="Engineer"),QUOTIENT(ROW()-ROW($A$2),12)+1),"")</f>
        <v>TICSoL9mm</v>
      </c>
      <c r="B684" s="42" t="str">
        <f>_xlfn.XLOOKUP(A684,Class_Players!$A:$A,Class_Players!$B:$B,"")</f>
        <v>Engineer</v>
      </c>
      <c r="C684" s="42" t="str" cm="1">
        <f t="array" ref="C684">INDEX(Lookups!$B$2:$B$13,MOD(ROW()-ROW($B$2),ROWS(Lookups!$B$2:$B$13))+1)</f>
        <v>Mini Frag Grenade</v>
      </c>
      <c r="D684" s="38" t="str">
        <f>_xlfn.XLOOKUP(C684,Analysis_Gadgets!$C:$C,Analysis_Gadgets!$B:$B)</f>
        <v>Grenade</v>
      </c>
      <c r="E684" s="43">
        <v>2</v>
      </c>
      <c r="F684" s="43">
        <f>_xlfn.XLOOKUP(A684,Class_Players!A:A,Class_Players!G:G)</f>
        <v>233</v>
      </c>
      <c r="G684" s="43">
        <f t="shared" si="146"/>
        <v>8.5836909871244635E-3</v>
      </c>
      <c r="H684" s="43">
        <f>_xlfn.XLOOKUP(A684,Class_Players!$A:$A,Class_Players!$F:$F,"")</f>
        <v>8396</v>
      </c>
      <c r="I684" s="44">
        <f t="shared" si="147"/>
        <v>2.3820867079561695E-4</v>
      </c>
      <c r="J684" s="43">
        <f t="shared" si="148"/>
        <v>0</v>
      </c>
      <c r="K684" s="44" cm="1">
        <f t="array" ref="K684">IF(D684="Gadget",_xlfn.IFS(I684&gt;=0.2,0.5,I684&gt;=0.1,0.35,I684&gt;=0.05,0.2,TRUE,0),IF(D684="Grenade",_xlfn.IFS(I684&gt;=0.2,1,I684&gt;=0.1,0.7,I684&gt;=0.05,0.4,TRUE,0),0))</f>
        <v>0</v>
      </c>
      <c r="L684" s="57">
        <f t="shared" ref="L684:L685" si="158">IF($K684=0,0,$K684 / SUMIFS($K:$K,$A:$A,$A684,$D:$D,"Grenade"))</f>
        <v>0</v>
      </c>
    </row>
    <row r="685" spans="1:12" x14ac:dyDescent="0.25">
      <c r="A685" s="42" t="str" cm="1">
        <f t="array" ref="A685">IFERROR(INDEX(_xlfn._xlws.FILTER(Class_Players!A:A,Class_Players!B:B="Engineer"),QUOTIENT(ROW()-ROW($A$2),12)+1),"")</f>
        <v>TICSoL9mm</v>
      </c>
      <c r="B685" s="42" t="str">
        <f>_xlfn.XLOOKUP(A685,Class_Players!$A:$A,Class_Players!$B:$B,"")</f>
        <v>Engineer</v>
      </c>
      <c r="C685" s="42" t="str" cm="1">
        <f t="array" ref="C685">INDEX(Lookups!$B$2:$B$13,MOD(ROW()-ROW($B$2),ROWS(Lookups!$B$2:$B$13))+1)</f>
        <v>Anti-Vehicle Grenade</v>
      </c>
      <c r="D685" s="38" t="str">
        <f>_xlfn.XLOOKUP(C685,Analysis_Gadgets!$C:$C,Analysis_Gadgets!$B:$B)</f>
        <v>Grenade</v>
      </c>
      <c r="E685" s="43">
        <v>0</v>
      </c>
      <c r="F685" s="43">
        <f>_xlfn.XLOOKUP(A685,Class_Players!A:A,Class_Players!G:G)</f>
        <v>233</v>
      </c>
      <c r="G685" s="43">
        <f t="shared" si="146"/>
        <v>0</v>
      </c>
      <c r="H685" s="43">
        <f>_xlfn.XLOOKUP(A685,Class_Players!$A:$A,Class_Players!$F:$F,"")</f>
        <v>8396</v>
      </c>
      <c r="I685" s="44">
        <f t="shared" si="147"/>
        <v>0</v>
      </c>
      <c r="J685" s="43">
        <f t="shared" si="148"/>
        <v>0</v>
      </c>
      <c r="K685" s="44" cm="1">
        <f t="array" ref="K685">IF(D685="Gadget",_xlfn.IFS(I685&gt;=0.2,0.5,I685&gt;=0.1,0.35,I685&gt;=0.05,0.2,TRUE,0),IF(D685="Grenade",_xlfn.IFS(I685&gt;=0.2,1,I685&gt;=0.1,0.7,I685&gt;=0.05,0.4,TRUE,0),0))</f>
        <v>0</v>
      </c>
      <c r="L685" s="57">
        <f t="shared" si="158"/>
        <v>0</v>
      </c>
    </row>
    <row r="686" spans="1:12" x14ac:dyDescent="0.25">
      <c r="A686" s="42" t="str" cm="1">
        <f t="array" ref="A686">IFERROR(INDEX(_xlfn._xlws.FILTER(Class_Players!A:A,Class_Players!B:B="Engineer"),QUOTIENT(ROW()-ROW($A$2),12)+1),"")</f>
        <v>Timone311</v>
      </c>
      <c r="B686" s="42" t="str">
        <f>_xlfn.XLOOKUP(A686,Class_Players!$A:$A,Class_Players!$B:$B,"")</f>
        <v>Engineer</v>
      </c>
      <c r="C686" s="42" t="str" cm="1">
        <f t="array" ref="C686">INDEX(Lookups!$B$2:$B$13,MOD(ROW()-ROW($B$2),ROWS(Lookups!$B$2:$B$13))+1)</f>
        <v>MBT-LAW (Auto-Guided Launcher)</v>
      </c>
      <c r="D686" s="38" t="str">
        <f>_xlfn.XLOOKUP(C686,Analysis_Gadgets!$C:$C,Analysis_Gadgets!$B:$B)</f>
        <v>Gadget</v>
      </c>
      <c r="E686" s="43">
        <v>0</v>
      </c>
      <c r="F686" s="43">
        <f>_xlfn.XLOOKUP(A686,Class_Players!A:A,Class_Players!G:G)</f>
        <v>192</v>
      </c>
      <c r="G686" s="43">
        <f t="shared" si="146"/>
        <v>0</v>
      </c>
      <c r="H686" s="43">
        <f>_xlfn.XLOOKUP(A686,Class_Players!$A:$A,Class_Players!$F:$F,"")</f>
        <v>8659</v>
      </c>
      <c r="I686" s="44">
        <f t="shared" si="147"/>
        <v>0</v>
      </c>
      <c r="J686" s="43">
        <f t="shared" si="148"/>
        <v>0</v>
      </c>
      <c r="K686" s="44" cm="1">
        <f t="array" ref="K686">IF(D686="Gadget",_xlfn.IFS(I686&gt;=0.2,0.5,I686&gt;=0.1,0.35,I686&gt;=0.05,0.2,TRUE,0),IF(D686="Grenade",_xlfn.IFS(I686&gt;=0.2,1,I686&gt;=0.1,0.7,I686&gt;=0.05,0.4,TRUE,0),0))</f>
        <v>0</v>
      </c>
      <c r="L686" s="57">
        <f t="shared" ref="L686:L695" si="159">IF($K686=0,0,$K686 / SUMIFS($K:$K,$A:$A,$A686,$D:$D,"Gadget"))</f>
        <v>0</v>
      </c>
    </row>
    <row r="687" spans="1:12" x14ac:dyDescent="0.25">
      <c r="A687" s="42" t="str" cm="1">
        <f t="array" ref="A687">IFERROR(INDEX(_xlfn._xlws.FILTER(Class_Players!A:A,Class_Players!B:B="Engineer"),QUOTIENT(ROW()-ROW($A$2),12)+1),"")</f>
        <v>Timone311</v>
      </c>
      <c r="B687" s="42" t="str">
        <f>_xlfn.XLOOKUP(A687,Class_Players!$A:$A,Class_Players!$B:$B,"")</f>
        <v>Engineer</v>
      </c>
      <c r="C687" s="42" t="str" cm="1">
        <f t="array" ref="C687">INDEX(Lookups!$B$2:$B$13,MOD(ROW()-ROW($B$2),ROWS(Lookups!$B$2:$B$13))+1)</f>
        <v>SLM-93A (Air-Defense Launcher)</v>
      </c>
      <c r="D687" s="38" t="str">
        <f>_xlfn.XLOOKUP(C687,Analysis_Gadgets!$C:$C,Analysis_Gadgets!$B:$B)</f>
        <v>Gadget</v>
      </c>
      <c r="E687" s="43">
        <v>31</v>
      </c>
      <c r="F687" s="43">
        <f>_xlfn.XLOOKUP(A687,Class_Players!A:A,Class_Players!G:G)</f>
        <v>192</v>
      </c>
      <c r="G687" s="43">
        <f t="shared" si="146"/>
        <v>0.16145833333333334</v>
      </c>
      <c r="H687" s="43">
        <f>_xlfn.XLOOKUP(A687,Class_Players!$A:$A,Class_Players!$F:$F,"")</f>
        <v>8659</v>
      </c>
      <c r="I687" s="44">
        <f t="shared" si="147"/>
        <v>3.5800900796858761E-3</v>
      </c>
      <c r="J687" s="43">
        <f t="shared" si="148"/>
        <v>0</v>
      </c>
      <c r="K687" s="44" cm="1">
        <f t="array" ref="K687">IF(D687="Gadget",_xlfn.IFS(I687&gt;=0.2,0.5,I687&gt;=0.1,0.35,I687&gt;=0.05,0.2,TRUE,0),IF(D687="Grenade",_xlfn.IFS(I687&gt;=0.2,1,I687&gt;=0.1,0.7,I687&gt;=0.05,0.4,TRUE,0),0))</f>
        <v>0</v>
      </c>
      <c r="L687" s="57">
        <f t="shared" si="159"/>
        <v>0</v>
      </c>
    </row>
    <row r="688" spans="1:12" x14ac:dyDescent="0.25">
      <c r="A688" s="42" t="str" cm="1">
        <f t="array" ref="A688">IFERROR(INDEX(_xlfn._xlws.FILTER(Class_Players!A:A,Class_Players!B:B="Engineer"),QUOTIENT(ROW()-ROW($A$2),12)+1),"")</f>
        <v>Timone311</v>
      </c>
      <c r="B688" s="42" t="str">
        <f>_xlfn.XLOOKUP(A688,Class_Players!$A:$A,Class_Players!$B:$B,"")</f>
        <v>Engineer</v>
      </c>
      <c r="C688" s="42" t="str" cm="1">
        <f t="array" ref="C688">INDEX(Lookups!$B$2:$B$13,MOD(ROW()-ROW($B$2),ROWS(Lookups!$B$2:$B$13))+1)</f>
        <v>RPG-7V2 (Unguided Rocket Launcher)</v>
      </c>
      <c r="D688" s="38" t="str">
        <f>_xlfn.XLOOKUP(C688,Analysis_Gadgets!$C:$C,Analysis_Gadgets!$B:$B)</f>
        <v>Gadget</v>
      </c>
      <c r="E688" s="43">
        <v>11832</v>
      </c>
      <c r="F688" s="43">
        <f>_xlfn.XLOOKUP(A688,Class_Players!A:A,Class_Players!G:G)</f>
        <v>192</v>
      </c>
      <c r="G688" s="43">
        <f t="shared" si="146"/>
        <v>61.625</v>
      </c>
      <c r="H688" s="43">
        <f>_xlfn.XLOOKUP(A688,Class_Players!$A:$A,Class_Players!$F:$F,"")</f>
        <v>8659</v>
      </c>
      <c r="I688" s="44">
        <f t="shared" si="147"/>
        <v>1.3664395426723641</v>
      </c>
      <c r="J688" s="43">
        <f t="shared" si="148"/>
        <v>1</v>
      </c>
      <c r="K688" s="44" cm="1">
        <f t="array" ref="K688">IF(D688="Gadget",_xlfn.IFS(I688&gt;=0.2,0.5,I688&gt;=0.1,0.35,I688&gt;=0.05,0.2,TRUE,0),IF(D688="Grenade",_xlfn.IFS(I688&gt;=0.2,1,I688&gt;=0.1,0.7,I688&gt;=0.05,0.4,TRUE,0),0))</f>
        <v>0.5</v>
      </c>
      <c r="L688" s="57">
        <f t="shared" si="159"/>
        <v>0.5</v>
      </c>
    </row>
    <row r="689" spans="1:12" x14ac:dyDescent="0.25">
      <c r="A689" s="42" t="str" cm="1">
        <f t="array" ref="A689">IFERROR(INDEX(_xlfn._xlws.FILTER(Class_Players!A:A,Class_Players!B:B="Engineer"),QUOTIENT(ROW()-ROW($A$2),12)+1),"")</f>
        <v>Timone311</v>
      </c>
      <c r="B689" s="42" t="str">
        <f>_xlfn.XLOOKUP(A689,Class_Players!$A:$A,Class_Players!$B:$B,"")</f>
        <v>Engineer</v>
      </c>
      <c r="C689" s="42" t="str" cm="1">
        <f t="array" ref="C689">INDEX(Lookups!$B$2:$B$13,MOD(ROW()-ROW($B$2),ROWS(Lookups!$B$2:$B$13))+1)</f>
        <v>MAS 148 (Long-Range Launcher)</v>
      </c>
      <c r="D689" s="38" t="str">
        <f>_xlfn.XLOOKUP(C689,Analysis_Gadgets!$C:$C,Analysis_Gadgets!$B:$B)</f>
        <v>Gadget</v>
      </c>
      <c r="E689" s="43">
        <v>28</v>
      </c>
      <c r="F689" s="43">
        <f>_xlfn.XLOOKUP(A689,Class_Players!A:A,Class_Players!G:G)</f>
        <v>192</v>
      </c>
      <c r="G689" s="43">
        <f t="shared" si="146"/>
        <v>0.14583333333333334</v>
      </c>
      <c r="H689" s="43">
        <f>_xlfn.XLOOKUP(A689,Class_Players!$A:$A,Class_Players!$F:$F,"")</f>
        <v>8659</v>
      </c>
      <c r="I689" s="44">
        <f t="shared" si="147"/>
        <v>3.2336297493936943E-3</v>
      </c>
      <c r="J689" s="43">
        <f t="shared" si="148"/>
        <v>0</v>
      </c>
      <c r="K689" s="44" cm="1">
        <f t="array" ref="K689">IF(D689="Gadget",_xlfn.IFS(I689&gt;=0.2,0.5,I689&gt;=0.1,0.35,I689&gt;=0.05,0.2,TRUE,0),IF(D689="Grenade",_xlfn.IFS(I689&gt;=0.2,1,I689&gt;=0.1,0.7,I689&gt;=0.05,0.4,TRUE,0),0))</f>
        <v>0</v>
      </c>
      <c r="L689" s="57">
        <f t="shared" si="159"/>
        <v>0</v>
      </c>
    </row>
    <row r="690" spans="1:12" x14ac:dyDescent="0.25">
      <c r="A690" s="42" t="str" cm="1">
        <f t="array" ref="A690">IFERROR(INDEX(_xlfn._xlws.FILTER(Class_Players!A:A,Class_Players!B:B="Engineer"),QUOTIENT(ROW()-ROW($A$2),12)+1),"")</f>
        <v>Timone311</v>
      </c>
      <c r="B690" s="42" t="str">
        <f>_xlfn.XLOOKUP(A690,Class_Players!$A:$A,Class_Players!$B:$B,"")</f>
        <v>Engineer</v>
      </c>
      <c r="C690" s="42" t="str" cm="1">
        <f t="array" ref="C690">INDEX(Lookups!$B$2:$B$13,MOD(ROW()-ROW($B$2),ROWS(Lookups!$B$2:$B$13))+1)</f>
        <v>M136 AT (Aim-Guided Launcher)</v>
      </c>
      <c r="D690" s="38" t="str">
        <f>_xlfn.XLOOKUP(C690,Analysis_Gadgets!$C:$C,Analysis_Gadgets!$B:$B)</f>
        <v>Gadget</v>
      </c>
      <c r="E690" s="43">
        <v>17</v>
      </c>
      <c r="F690" s="43">
        <f>_xlfn.XLOOKUP(A690,Class_Players!A:A,Class_Players!G:G)</f>
        <v>192</v>
      </c>
      <c r="G690" s="43">
        <f t="shared" ref="G690:G753" si="160">IF(F690=0,"",E690/(F690))</f>
        <v>8.8541666666666671E-2</v>
      </c>
      <c r="H690" s="43">
        <f>_xlfn.XLOOKUP(A690,Class_Players!$A:$A,Class_Players!$F:$F,"")</f>
        <v>8659</v>
      </c>
      <c r="I690" s="44">
        <f t="shared" ref="I690:I753" si="161">IF(H690=0,"",E690/H690)</f>
        <v>1.9632752049890288E-3</v>
      </c>
      <c r="J690" s="43">
        <f t="shared" ref="J690:J753" si="162">IF(I690&gt;=0.1,1,0)</f>
        <v>0</v>
      </c>
      <c r="K690" s="44" cm="1">
        <f t="array" ref="K690">IF(D690="Gadget",_xlfn.IFS(I690&gt;=0.2,0.5,I690&gt;=0.1,0.35,I690&gt;=0.05,0.2,TRUE,0),IF(D690="Grenade",_xlfn.IFS(I690&gt;=0.2,1,I690&gt;=0.1,0.7,I690&gt;=0.05,0.4,TRUE,0),0))</f>
        <v>0</v>
      </c>
      <c r="L690" s="57">
        <f t="shared" si="159"/>
        <v>0</v>
      </c>
    </row>
    <row r="691" spans="1:12" x14ac:dyDescent="0.25">
      <c r="A691" s="42" t="str" cm="1">
        <f t="array" ref="A691">IFERROR(INDEX(_xlfn._xlws.FILTER(Class_Players!A:A,Class_Players!B:B="Engineer"),QUOTIENT(ROW()-ROW($A$2),12)+1),"")</f>
        <v>Timone311</v>
      </c>
      <c r="B691" s="42" t="str">
        <f>_xlfn.XLOOKUP(A691,Class_Players!$A:$A,Class_Players!$B:$B,"")</f>
        <v>Engineer</v>
      </c>
      <c r="C691" s="42" t="str" cm="1">
        <f t="array" ref="C691">INDEX(Lookups!$B$2:$B$13,MOD(ROW()-ROW($B$2),ROWS(Lookups!$B$2:$B$13))+1)</f>
        <v>Supply Crate</v>
      </c>
      <c r="D691" s="38" t="str">
        <f>_xlfn.XLOOKUP(C691,Analysis_Gadgets!$C:$C,Analysis_Gadgets!$B:$B)</f>
        <v>Gadget</v>
      </c>
      <c r="E691" s="43">
        <v>90</v>
      </c>
      <c r="F691" s="43">
        <f>_xlfn.XLOOKUP(A691,Class_Players!A:A,Class_Players!G:G)</f>
        <v>192</v>
      </c>
      <c r="G691" s="43">
        <f t="shared" si="160"/>
        <v>0.46875</v>
      </c>
      <c r="H691" s="43">
        <f>_xlfn.XLOOKUP(A691,Class_Players!$A:$A,Class_Players!$F:$F,"")</f>
        <v>8659</v>
      </c>
      <c r="I691" s="44">
        <f t="shared" si="161"/>
        <v>1.0393809908765447E-2</v>
      </c>
      <c r="J691" s="43">
        <f t="shared" si="162"/>
        <v>0</v>
      </c>
      <c r="K691" s="44" cm="1">
        <f t="array" ref="K691">IF(D691="Gadget",_xlfn.IFS(I691&gt;=0.2,0.5,I691&gt;=0.1,0.35,I691&gt;=0.05,0.2,TRUE,0),IF(D691="Grenade",_xlfn.IFS(I691&gt;=0.2,1,I691&gt;=0.1,0.7,I691&gt;=0.05,0.4,TRUE,0),0))</f>
        <v>0</v>
      </c>
      <c r="L691" s="57">
        <f t="shared" si="159"/>
        <v>0</v>
      </c>
    </row>
    <row r="692" spans="1:12" x14ac:dyDescent="0.25">
      <c r="A692" s="42" t="str" cm="1">
        <f t="array" ref="A692">IFERROR(INDEX(_xlfn._xlws.FILTER(Class_Players!A:A,Class_Players!B:B="Engineer"),QUOTIENT(ROW()-ROW($A$2),12)+1),"")</f>
        <v>Timone311</v>
      </c>
      <c r="B692" s="42" t="str">
        <f>_xlfn.XLOOKUP(A692,Class_Players!$A:$A,Class_Players!$B:$B,"")</f>
        <v>Engineer</v>
      </c>
      <c r="C692" s="42" t="str" cm="1">
        <f t="array" ref="C692">INDEX(Lookups!$B$2:$B$13,MOD(ROW()-ROW($B$2),ROWS(Lookups!$B$2:$B$13))+1)</f>
        <v>M15 (Anti-Vehicle Mine)</v>
      </c>
      <c r="D692" s="38" t="str">
        <f>_xlfn.XLOOKUP(C692,Analysis_Gadgets!$C:$C,Analysis_Gadgets!$B:$B)</f>
        <v>Gadget</v>
      </c>
      <c r="E692" s="43">
        <v>1758</v>
      </c>
      <c r="F692" s="43">
        <f>_xlfn.XLOOKUP(A692,Class_Players!A:A,Class_Players!G:G)</f>
        <v>192</v>
      </c>
      <c r="G692" s="43">
        <f t="shared" si="160"/>
        <v>9.15625</v>
      </c>
      <c r="H692" s="43">
        <f>_xlfn.XLOOKUP(A692,Class_Players!$A:$A,Class_Players!$F:$F,"")</f>
        <v>8659</v>
      </c>
      <c r="I692" s="44">
        <f t="shared" si="161"/>
        <v>0.20302575355121838</v>
      </c>
      <c r="J692" s="43">
        <f t="shared" si="162"/>
        <v>1</v>
      </c>
      <c r="K692" s="44" cm="1">
        <f t="array" ref="K692">IF(D692="Gadget",_xlfn.IFS(I692&gt;=0.2,0.5,I692&gt;=0.1,0.35,I692&gt;=0.05,0.2,TRUE,0),IF(D692="Grenade",_xlfn.IFS(I692&gt;=0.2,1,I692&gt;=0.1,0.7,I692&gt;=0.05,0.4,TRUE,0),0))</f>
        <v>0.5</v>
      </c>
      <c r="L692" s="57">
        <f t="shared" si="159"/>
        <v>0.5</v>
      </c>
    </row>
    <row r="693" spans="1:12" x14ac:dyDescent="0.25">
      <c r="A693" s="42" t="str" cm="1">
        <f t="array" ref="A693">IFERROR(INDEX(_xlfn._xlws.FILTER(Class_Players!A:A,Class_Players!B:B="Engineer"),QUOTIENT(ROW()-ROW($A$2),12)+1),"")</f>
        <v>Timone311</v>
      </c>
      <c r="B693" s="42" t="str">
        <f>_xlfn.XLOOKUP(A693,Class_Players!$A:$A,Class_Players!$B:$B,"")</f>
        <v>Engineer</v>
      </c>
      <c r="C693" s="42" t="str" cm="1">
        <f t="array" ref="C693">INDEX(Lookups!$B$2:$B$13,MOD(ROW()-ROW($B$2),ROWS(Lookups!$B$2:$B$13))+1)</f>
        <v>PTKM-1R (Acoustic Sensor AV Mine)</v>
      </c>
      <c r="D693" s="38" t="str">
        <f>_xlfn.XLOOKUP(C693,Analysis_Gadgets!$C:$C,Analysis_Gadgets!$B:$B)</f>
        <v>Gadget</v>
      </c>
      <c r="E693" s="43">
        <v>42</v>
      </c>
      <c r="F693" s="43">
        <f>_xlfn.XLOOKUP(A693,Class_Players!A:A,Class_Players!G:G)</f>
        <v>192</v>
      </c>
      <c r="G693" s="43">
        <f t="shared" si="160"/>
        <v>0.21875</v>
      </c>
      <c r="H693" s="43">
        <f>_xlfn.XLOOKUP(A693,Class_Players!$A:$A,Class_Players!$F:$F,"")</f>
        <v>8659</v>
      </c>
      <c r="I693" s="44">
        <f t="shared" si="161"/>
        <v>4.850444624090542E-3</v>
      </c>
      <c r="J693" s="43">
        <f t="shared" si="162"/>
        <v>0</v>
      </c>
      <c r="K693" s="44" cm="1">
        <f t="array" ref="K693">IF(D693="Gadget",_xlfn.IFS(I693&gt;=0.2,0.5,I693&gt;=0.1,0.35,I693&gt;=0.05,0.2,TRUE,0),IF(D693="Grenade",_xlfn.IFS(I693&gt;=0.2,1,I693&gt;=0.1,0.7,I693&gt;=0.05,0.4,TRUE,0),0))</f>
        <v>0</v>
      </c>
      <c r="L693" s="57">
        <f t="shared" si="159"/>
        <v>0</v>
      </c>
    </row>
    <row r="694" spans="1:12" x14ac:dyDescent="0.25">
      <c r="A694" s="42" t="str" cm="1">
        <f t="array" ref="A694">IFERROR(INDEX(_xlfn._xlws.FILTER(Class_Players!A:A,Class_Players!B:B="Engineer"),QUOTIENT(ROW()-ROW($A$2),12)+1),"")</f>
        <v>Timone311</v>
      </c>
      <c r="B694" s="42" t="str">
        <f>_xlfn.XLOOKUP(A694,Class_Players!$A:$A,Class_Players!$B:$B,"")</f>
        <v>Engineer</v>
      </c>
      <c r="C694" s="42" t="str" cm="1">
        <f t="array" ref="C694">INDEX(Lookups!$B$2:$B$13,MOD(ROW()-ROW($B$2),ROWS(Lookups!$B$2:$B$13))+1)</f>
        <v>EOD Bot</v>
      </c>
      <c r="D694" s="38" t="str">
        <f>_xlfn.XLOOKUP(C694,Analysis_Gadgets!$C:$C,Analysis_Gadgets!$B:$B)</f>
        <v>Gadget</v>
      </c>
      <c r="E694" s="43">
        <v>29</v>
      </c>
      <c r="F694" s="43">
        <f>_xlfn.XLOOKUP(A694,Class_Players!A:A,Class_Players!G:G)</f>
        <v>192</v>
      </c>
      <c r="G694" s="43">
        <f t="shared" si="160"/>
        <v>0.15104166666666666</v>
      </c>
      <c r="H694" s="43">
        <f>_xlfn.XLOOKUP(A694,Class_Players!$A:$A,Class_Players!$F:$F,"")</f>
        <v>8659</v>
      </c>
      <c r="I694" s="44">
        <f t="shared" si="161"/>
        <v>3.349116526157755E-3</v>
      </c>
      <c r="J694" s="43">
        <f t="shared" si="162"/>
        <v>0</v>
      </c>
      <c r="K694" s="44" cm="1">
        <f t="array" ref="K694">IF(D694="Gadget",_xlfn.IFS(I694&gt;=0.2,0.5,I694&gt;=0.1,0.35,I694&gt;=0.05,0.2,TRUE,0),IF(D694="Grenade",_xlfn.IFS(I694&gt;=0.2,1,I694&gt;=0.1,0.7,I694&gt;=0.05,0.4,TRUE,0),0))</f>
        <v>0</v>
      </c>
      <c r="L694" s="57">
        <f t="shared" si="159"/>
        <v>0</v>
      </c>
    </row>
    <row r="695" spans="1:12" x14ac:dyDescent="0.25">
      <c r="A695" s="42" t="str" cm="1">
        <f t="array" ref="A695">IFERROR(INDEX(_xlfn._xlws.FILTER(Class_Players!A:A,Class_Players!B:B="Engineer"),QUOTIENT(ROW()-ROW($A$2),12)+1),"")</f>
        <v>Timone311</v>
      </c>
      <c r="B695" s="42" t="str">
        <f>_xlfn.XLOOKUP(A695,Class_Players!$A:$A,Class_Players!$B:$B,"")</f>
        <v>Engineer</v>
      </c>
      <c r="C695" s="42" t="str" cm="1">
        <f t="array" ref="C695">INDEX(Lookups!$B$2:$B$13,MOD(ROW()-ROW($B$2),ROWS(Lookups!$B$2:$B$13))+1)</f>
        <v>M4A1 SLAM (Tripwire Sensor AV Mine)</v>
      </c>
      <c r="D695" s="38" t="str">
        <f>_xlfn.XLOOKUP(C695,Analysis_Gadgets!$C:$C,Analysis_Gadgets!$B:$B)</f>
        <v>Gadget</v>
      </c>
      <c r="E695" s="43">
        <v>0</v>
      </c>
      <c r="F695" s="43">
        <f>_xlfn.XLOOKUP(A695,Class_Players!A:A,Class_Players!G:G)</f>
        <v>192</v>
      </c>
      <c r="G695" s="43">
        <f t="shared" si="160"/>
        <v>0</v>
      </c>
      <c r="H695" s="43">
        <f>_xlfn.XLOOKUP(A695,Class_Players!$A:$A,Class_Players!$F:$F,"")</f>
        <v>8659</v>
      </c>
      <c r="I695" s="44">
        <f t="shared" si="161"/>
        <v>0</v>
      </c>
      <c r="J695" s="43">
        <f t="shared" si="162"/>
        <v>0</v>
      </c>
      <c r="K695" s="44" cm="1">
        <f t="array" ref="K695">IF(D695="Gadget",_xlfn.IFS(I695&gt;=0.2,0.5,I695&gt;=0.1,0.35,I695&gt;=0.05,0.2,TRUE,0),IF(D695="Grenade",_xlfn.IFS(I695&gt;=0.2,1,I695&gt;=0.1,0.7,I695&gt;=0.05,0.4,TRUE,0),0))</f>
        <v>0</v>
      </c>
      <c r="L695" s="57">
        <f t="shared" si="159"/>
        <v>0</v>
      </c>
    </row>
    <row r="696" spans="1:12" x14ac:dyDescent="0.25">
      <c r="A696" s="42" t="str" cm="1">
        <f t="array" ref="A696">IFERROR(INDEX(_xlfn._xlws.FILTER(Class_Players!A:A,Class_Players!B:B="Engineer"),QUOTIENT(ROW()-ROW($A$2),12)+1),"")</f>
        <v>Timone311</v>
      </c>
      <c r="B696" s="42" t="str">
        <f>_xlfn.XLOOKUP(A696,Class_Players!$A:$A,Class_Players!$B:$B,"")</f>
        <v>Engineer</v>
      </c>
      <c r="C696" s="42" t="str" cm="1">
        <f t="array" ref="C696">INDEX(Lookups!$B$2:$B$13,MOD(ROW()-ROW($B$2),ROWS(Lookups!$B$2:$B$13))+1)</f>
        <v>Mini Frag Grenade</v>
      </c>
      <c r="D696" s="38" t="str">
        <f>_xlfn.XLOOKUP(C696,Analysis_Gadgets!$C:$C,Analysis_Gadgets!$B:$B)</f>
        <v>Grenade</v>
      </c>
      <c r="E696" s="43">
        <v>0</v>
      </c>
      <c r="F696" s="43">
        <f>_xlfn.XLOOKUP(A696,Class_Players!A:A,Class_Players!G:G)</f>
        <v>192</v>
      </c>
      <c r="G696" s="43">
        <f t="shared" si="160"/>
        <v>0</v>
      </c>
      <c r="H696" s="43">
        <f>_xlfn.XLOOKUP(A696,Class_Players!$A:$A,Class_Players!$F:$F,"")</f>
        <v>8659</v>
      </c>
      <c r="I696" s="44">
        <f t="shared" si="161"/>
        <v>0</v>
      </c>
      <c r="J696" s="43">
        <f t="shared" si="162"/>
        <v>0</v>
      </c>
      <c r="K696" s="44" cm="1">
        <f t="array" ref="K696">IF(D696="Gadget",_xlfn.IFS(I696&gt;=0.2,0.5,I696&gt;=0.1,0.35,I696&gt;=0.05,0.2,TRUE,0),IF(D696="Grenade",_xlfn.IFS(I696&gt;=0.2,1,I696&gt;=0.1,0.7,I696&gt;=0.05,0.4,TRUE,0),0))</f>
        <v>0</v>
      </c>
      <c r="L696" s="57">
        <f t="shared" ref="L696:L697" si="163">IF($K696=0,0,$K696 / SUMIFS($K:$K,$A:$A,$A696,$D:$D,"Grenade"))</f>
        <v>0</v>
      </c>
    </row>
    <row r="697" spans="1:12" x14ac:dyDescent="0.25">
      <c r="A697" s="42" t="str" cm="1">
        <f t="array" ref="A697">IFERROR(INDEX(_xlfn._xlws.FILTER(Class_Players!A:A,Class_Players!B:B="Engineer"),QUOTIENT(ROW()-ROW($A$2),12)+1),"")</f>
        <v>Timone311</v>
      </c>
      <c r="B697" s="42" t="str">
        <f>_xlfn.XLOOKUP(A697,Class_Players!$A:$A,Class_Players!$B:$B,"")</f>
        <v>Engineer</v>
      </c>
      <c r="C697" s="42" t="str" cm="1">
        <f t="array" ref="C697">INDEX(Lookups!$B$2:$B$13,MOD(ROW()-ROW($B$2),ROWS(Lookups!$B$2:$B$13))+1)</f>
        <v>Anti-Vehicle Grenade</v>
      </c>
      <c r="D697" s="38" t="str">
        <f>_xlfn.XLOOKUP(C697,Analysis_Gadgets!$C:$C,Analysis_Gadgets!$B:$B)</f>
        <v>Grenade</v>
      </c>
      <c r="E697" s="43">
        <v>0</v>
      </c>
      <c r="F697" s="43">
        <f>_xlfn.XLOOKUP(A697,Class_Players!A:A,Class_Players!G:G)</f>
        <v>192</v>
      </c>
      <c r="G697" s="43">
        <f t="shared" si="160"/>
        <v>0</v>
      </c>
      <c r="H697" s="43">
        <f>_xlfn.XLOOKUP(A697,Class_Players!$A:$A,Class_Players!$F:$F,"")</f>
        <v>8659</v>
      </c>
      <c r="I697" s="44">
        <f t="shared" si="161"/>
        <v>0</v>
      </c>
      <c r="J697" s="43">
        <f t="shared" si="162"/>
        <v>0</v>
      </c>
      <c r="K697" s="44" cm="1">
        <f t="array" ref="K697">IF(D697="Gadget",_xlfn.IFS(I697&gt;=0.2,0.5,I697&gt;=0.1,0.35,I697&gt;=0.05,0.2,TRUE,0),IF(D697="Grenade",_xlfn.IFS(I697&gt;=0.2,1,I697&gt;=0.1,0.7,I697&gt;=0.05,0.4,TRUE,0),0))</f>
        <v>0</v>
      </c>
      <c r="L697" s="57">
        <f t="shared" si="163"/>
        <v>0</v>
      </c>
    </row>
    <row r="698" spans="1:12" x14ac:dyDescent="0.25">
      <c r="A698" s="42" t="str" cm="1">
        <f t="array" ref="A698">IFERROR(INDEX(_xlfn._xlws.FILTER(Class_Players!A:A,Class_Players!B:B="Engineer"),QUOTIENT(ROW()-ROW($A$2),12)+1),"")</f>
        <v>z_leo9</v>
      </c>
      <c r="B698" s="42" t="str">
        <f>_xlfn.XLOOKUP(A698,Class_Players!$A:$A,Class_Players!$B:$B,"")</f>
        <v>Engineer</v>
      </c>
      <c r="C698" s="42" t="str" cm="1">
        <f t="array" ref="C698">INDEX(Lookups!$B$2:$B$13,MOD(ROW()-ROW($B$2),ROWS(Lookups!$B$2:$B$13))+1)</f>
        <v>MBT-LAW (Auto-Guided Launcher)</v>
      </c>
      <c r="D698" s="38" t="str">
        <f>_xlfn.XLOOKUP(C698,Analysis_Gadgets!$C:$C,Analysis_Gadgets!$B:$B)</f>
        <v>Gadget</v>
      </c>
      <c r="E698" s="43">
        <v>0</v>
      </c>
      <c r="F698" s="43">
        <f>_xlfn.XLOOKUP(A698,Class_Players!A:A,Class_Players!G:G)</f>
        <v>175</v>
      </c>
      <c r="G698" s="43">
        <f t="shared" si="160"/>
        <v>0</v>
      </c>
      <c r="H698" s="43">
        <f>_xlfn.XLOOKUP(A698,Class_Players!$A:$A,Class_Players!$F:$F,"")</f>
        <v>8562</v>
      </c>
      <c r="I698" s="44">
        <f t="shared" si="161"/>
        <v>0</v>
      </c>
      <c r="J698" s="43">
        <f t="shared" si="162"/>
        <v>0</v>
      </c>
      <c r="K698" s="44" cm="1">
        <f t="array" ref="K698">IF(D698="Gadget",_xlfn.IFS(I698&gt;=0.2,0.5,I698&gt;=0.1,0.35,I698&gt;=0.05,0.2,TRUE,0),IF(D698="Grenade",_xlfn.IFS(I698&gt;=0.2,1,I698&gt;=0.1,0.7,I698&gt;=0.05,0.4,TRUE,0),0))</f>
        <v>0</v>
      </c>
      <c r="L698" s="57">
        <f t="shared" ref="L698:L707" si="164">IF($K698=0,0,$K698 / SUMIFS($K:$K,$A:$A,$A698,$D:$D,"Gadget"))</f>
        <v>0</v>
      </c>
    </row>
    <row r="699" spans="1:12" x14ac:dyDescent="0.25">
      <c r="A699" s="42" t="str" cm="1">
        <f t="array" ref="A699">IFERROR(INDEX(_xlfn._xlws.FILTER(Class_Players!A:A,Class_Players!B:B="Engineer"),QUOTIENT(ROW()-ROW($A$2),12)+1),"")</f>
        <v>z_leo9</v>
      </c>
      <c r="B699" s="42" t="str">
        <f>_xlfn.XLOOKUP(A699,Class_Players!$A:$A,Class_Players!$B:$B,"")</f>
        <v>Engineer</v>
      </c>
      <c r="C699" s="42" t="str" cm="1">
        <f t="array" ref="C699">INDEX(Lookups!$B$2:$B$13,MOD(ROW()-ROW($B$2),ROWS(Lookups!$B$2:$B$13))+1)</f>
        <v>SLM-93A (Air-Defense Launcher)</v>
      </c>
      <c r="D699" s="38" t="str">
        <f>_xlfn.XLOOKUP(C699,Analysis_Gadgets!$C:$C,Analysis_Gadgets!$B:$B)</f>
        <v>Gadget</v>
      </c>
      <c r="E699" s="43">
        <v>52</v>
      </c>
      <c r="F699" s="43">
        <f>_xlfn.XLOOKUP(A699,Class_Players!A:A,Class_Players!G:G)</f>
        <v>175</v>
      </c>
      <c r="G699" s="43">
        <f t="shared" si="160"/>
        <v>0.29714285714285715</v>
      </c>
      <c r="H699" s="43">
        <f>_xlfn.XLOOKUP(A699,Class_Players!$A:$A,Class_Players!$F:$F,"")</f>
        <v>8562</v>
      </c>
      <c r="I699" s="44">
        <f t="shared" si="161"/>
        <v>6.0733473487502923E-3</v>
      </c>
      <c r="J699" s="43">
        <f t="shared" si="162"/>
        <v>0</v>
      </c>
      <c r="K699" s="44" cm="1">
        <f t="array" ref="K699">IF(D699="Gadget",_xlfn.IFS(I699&gt;=0.2,0.5,I699&gt;=0.1,0.35,I699&gt;=0.05,0.2,TRUE,0),IF(D699="Grenade",_xlfn.IFS(I699&gt;=0.2,1,I699&gt;=0.1,0.7,I699&gt;=0.05,0.4,TRUE,0),0))</f>
        <v>0</v>
      </c>
      <c r="L699" s="57">
        <f t="shared" si="164"/>
        <v>0</v>
      </c>
    </row>
    <row r="700" spans="1:12" x14ac:dyDescent="0.25">
      <c r="A700" s="42" t="str" cm="1">
        <f t="array" ref="A700">IFERROR(INDEX(_xlfn._xlws.FILTER(Class_Players!A:A,Class_Players!B:B="Engineer"),QUOTIENT(ROW()-ROW($A$2),12)+1),"")</f>
        <v>z_leo9</v>
      </c>
      <c r="B700" s="42" t="str">
        <f>_xlfn.XLOOKUP(A700,Class_Players!$A:$A,Class_Players!$B:$B,"")</f>
        <v>Engineer</v>
      </c>
      <c r="C700" s="42" t="str" cm="1">
        <f t="array" ref="C700">INDEX(Lookups!$B$2:$B$13,MOD(ROW()-ROW($B$2),ROWS(Lookups!$B$2:$B$13))+1)</f>
        <v>RPG-7V2 (Unguided Rocket Launcher)</v>
      </c>
      <c r="D700" s="38" t="str">
        <f>_xlfn.XLOOKUP(C700,Analysis_Gadgets!$C:$C,Analysis_Gadgets!$B:$B)</f>
        <v>Gadget</v>
      </c>
      <c r="E700" s="43">
        <v>5360</v>
      </c>
      <c r="F700" s="43">
        <f>_xlfn.XLOOKUP(A700,Class_Players!A:A,Class_Players!G:G)</f>
        <v>175</v>
      </c>
      <c r="G700" s="43">
        <f t="shared" si="160"/>
        <v>30.62857142857143</v>
      </c>
      <c r="H700" s="43">
        <f>_xlfn.XLOOKUP(A700,Class_Players!$A:$A,Class_Players!$F:$F,"")</f>
        <v>8562</v>
      </c>
      <c r="I700" s="44">
        <f t="shared" si="161"/>
        <v>0.62602195748656853</v>
      </c>
      <c r="J700" s="43">
        <f t="shared" si="162"/>
        <v>1</v>
      </c>
      <c r="K700" s="44" cm="1">
        <f t="array" ref="K700">IF(D700="Gadget",_xlfn.IFS(I700&gt;=0.2,0.5,I700&gt;=0.1,0.35,I700&gt;=0.05,0.2,TRUE,0),IF(D700="Grenade",_xlfn.IFS(I700&gt;=0.2,1,I700&gt;=0.1,0.7,I700&gt;=0.05,0.4,TRUE,0),0))</f>
        <v>0.5</v>
      </c>
      <c r="L700" s="57">
        <f t="shared" si="164"/>
        <v>0.5</v>
      </c>
    </row>
    <row r="701" spans="1:12" x14ac:dyDescent="0.25">
      <c r="A701" s="42" t="str" cm="1">
        <f t="array" ref="A701">IFERROR(INDEX(_xlfn._xlws.FILTER(Class_Players!A:A,Class_Players!B:B="Engineer"),QUOTIENT(ROW()-ROW($A$2),12)+1),"")</f>
        <v>z_leo9</v>
      </c>
      <c r="B701" s="42" t="str">
        <f>_xlfn.XLOOKUP(A701,Class_Players!$A:$A,Class_Players!$B:$B,"")</f>
        <v>Engineer</v>
      </c>
      <c r="C701" s="42" t="str" cm="1">
        <f t="array" ref="C701">INDEX(Lookups!$B$2:$B$13,MOD(ROW()-ROW($B$2),ROWS(Lookups!$B$2:$B$13))+1)</f>
        <v>MAS 148 (Long-Range Launcher)</v>
      </c>
      <c r="D701" s="38" t="str">
        <f>_xlfn.XLOOKUP(C701,Analysis_Gadgets!$C:$C,Analysis_Gadgets!$B:$B)</f>
        <v>Gadget</v>
      </c>
      <c r="E701" s="43">
        <v>4</v>
      </c>
      <c r="F701" s="43">
        <f>_xlfn.XLOOKUP(A701,Class_Players!A:A,Class_Players!G:G)</f>
        <v>175</v>
      </c>
      <c r="G701" s="43">
        <f t="shared" si="160"/>
        <v>2.2857142857142857E-2</v>
      </c>
      <c r="H701" s="43">
        <f>_xlfn.XLOOKUP(A701,Class_Players!$A:$A,Class_Players!$F:$F,"")</f>
        <v>8562</v>
      </c>
      <c r="I701" s="44">
        <f t="shared" si="161"/>
        <v>4.6718056528848397E-4</v>
      </c>
      <c r="J701" s="43">
        <f t="shared" si="162"/>
        <v>0</v>
      </c>
      <c r="K701" s="44" cm="1">
        <f t="array" ref="K701">IF(D701="Gadget",_xlfn.IFS(I701&gt;=0.2,0.5,I701&gt;=0.1,0.35,I701&gt;=0.05,0.2,TRUE,0),IF(D701="Grenade",_xlfn.IFS(I701&gt;=0.2,1,I701&gt;=0.1,0.7,I701&gt;=0.05,0.4,TRUE,0),0))</f>
        <v>0</v>
      </c>
      <c r="L701" s="57">
        <f t="shared" si="164"/>
        <v>0</v>
      </c>
    </row>
    <row r="702" spans="1:12" x14ac:dyDescent="0.25">
      <c r="A702" s="42" t="str" cm="1">
        <f t="array" ref="A702">IFERROR(INDEX(_xlfn._xlws.FILTER(Class_Players!A:A,Class_Players!B:B="Engineer"),QUOTIENT(ROW()-ROW($A$2),12)+1),"")</f>
        <v>z_leo9</v>
      </c>
      <c r="B702" s="42" t="str">
        <f>_xlfn.XLOOKUP(A702,Class_Players!$A:$A,Class_Players!$B:$B,"")</f>
        <v>Engineer</v>
      </c>
      <c r="C702" s="42" t="str" cm="1">
        <f t="array" ref="C702">INDEX(Lookups!$B$2:$B$13,MOD(ROW()-ROW($B$2),ROWS(Lookups!$B$2:$B$13))+1)</f>
        <v>M136 AT (Aim-Guided Launcher)</v>
      </c>
      <c r="D702" s="38" t="str">
        <f>_xlfn.XLOOKUP(C702,Analysis_Gadgets!$C:$C,Analysis_Gadgets!$B:$B)</f>
        <v>Gadget</v>
      </c>
      <c r="E702" s="43">
        <v>58</v>
      </c>
      <c r="F702" s="43">
        <f>_xlfn.XLOOKUP(A702,Class_Players!A:A,Class_Players!G:G)</f>
        <v>175</v>
      </c>
      <c r="G702" s="43">
        <f t="shared" si="160"/>
        <v>0.33142857142857141</v>
      </c>
      <c r="H702" s="43">
        <f>_xlfn.XLOOKUP(A702,Class_Players!$A:$A,Class_Players!$F:$F,"")</f>
        <v>8562</v>
      </c>
      <c r="I702" s="44">
        <f t="shared" si="161"/>
        <v>6.7741181966830179E-3</v>
      </c>
      <c r="J702" s="43">
        <f t="shared" si="162"/>
        <v>0</v>
      </c>
      <c r="K702" s="44" cm="1">
        <f t="array" ref="K702">IF(D702="Gadget",_xlfn.IFS(I702&gt;=0.2,0.5,I702&gt;=0.1,0.35,I702&gt;=0.05,0.2,TRUE,0),IF(D702="Grenade",_xlfn.IFS(I702&gt;=0.2,1,I702&gt;=0.1,0.7,I702&gt;=0.05,0.4,TRUE,0),0))</f>
        <v>0</v>
      </c>
      <c r="L702" s="57">
        <f t="shared" si="164"/>
        <v>0</v>
      </c>
    </row>
    <row r="703" spans="1:12" x14ac:dyDescent="0.25">
      <c r="A703" s="42" t="str" cm="1">
        <f t="array" ref="A703">IFERROR(INDEX(_xlfn._xlws.FILTER(Class_Players!A:A,Class_Players!B:B="Engineer"),QUOTIENT(ROW()-ROW($A$2),12)+1),"")</f>
        <v>z_leo9</v>
      </c>
      <c r="B703" s="42" t="str">
        <f>_xlfn.XLOOKUP(A703,Class_Players!$A:$A,Class_Players!$B:$B,"")</f>
        <v>Engineer</v>
      </c>
      <c r="C703" s="42" t="str" cm="1">
        <f t="array" ref="C703">INDEX(Lookups!$B$2:$B$13,MOD(ROW()-ROW($B$2),ROWS(Lookups!$B$2:$B$13))+1)</f>
        <v>Supply Crate</v>
      </c>
      <c r="D703" s="38" t="str">
        <f>_xlfn.XLOOKUP(C703,Analysis_Gadgets!$C:$C,Analysis_Gadgets!$B:$B)</f>
        <v>Gadget</v>
      </c>
      <c r="E703" s="43">
        <v>9</v>
      </c>
      <c r="F703" s="43">
        <f>_xlfn.XLOOKUP(A703,Class_Players!A:A,Class_Players!G:G)</f>
        <v>175</v>
      </c>
      <c r="G703" s="43">
        <f t="shared" si="160"/>
        <v>5.1428571428571428E-2</v>
      </c>
      <c r="H703" s="43">
        <f>_xlfn.XLOOKUP(A703,Class_Players!$A:$A,Class_Players!$F:$F,"")</f>
        <v>8562</v>
      </c>
      <c r="I703" s="44">
        <f t="shared" si="161"/>
        <v>1.0511562718990891E-3</v>
      </c>
      <c r="J703" s="43">
        <f t="shared" si="162"/>
        <v>0</v>
      </c>
      <c r="K703" s="44" cm="1">
        <f t="array" ref="K703">IF(D703="Gadget",_xlfn.IFS(I703&gt;=0.2,0.5,I703&gt;=0.1,0.35,I703&gt;=0.05,0.2,TRUE,0),IF(D703="Grenade",_xlfn.IFS(I703&gt;=0.2,1,I703&gt;=0.1,0.7,I703&gt;=0.05,0.4,TRUE,0),0))</f>
        <v>0</v>
      </c>
      <c r="L703" s="57">
        <f t="shared" si="164"/>
        <v>0</v>
      </c>
    </row>
    <row r="704" spans="1:12" x14ac:dyDescent="0.25">
      <c r="A704" s="42" t="str" cm="1">
        <f t="array" ref="A704">IFERROR(INDEX(_xlfn._xlws.FILTER(Class_Players!A:A,Class_Players!B:B="Engineer"),QUOTIENT(ROW()-ROW($A$2),12)+1),"")</f>
        <v>z_leo9</v>
      </c>
      <c r="B704" s="42" t="str">
        <f>_xlfn.XLOOKUP(A704,Class_Players!$A:$A,Class_Players!$B:$B,"")</f>
        <v>Engineer</v>
      </c>
      <c r="C704" s="42" t="str" cm="1">
        <f t="array" ref="C704">INDEX(Lookups!$B$2:$B$13,MOD(ROW()-ROW($B$2),ROWS(Lookups!$B$2:$B$13))+1)</f>
        <v>M15 (Anti-Vehicle Mine)</v>
      </c>
      <c r="D704" s="38" t="str">
        <f>_xlfn.XLOOKUP(C704,Analysis_Gadgets!$C:$C,Analysis_Gadgets!$B:$B)</f>
        <v>Gadget</v>
      </c>
      <c r="E704" s="43">
        <v>1764</v>
      </c>
      <c r="F704" s="43">
        <f>_xlfn.XLOOKUP(A704,Class_Players!A:A,Class_Players!G:G)</f>
        <v>175</v>
      </c>
      <c r="G704" s="43">
        <f t="shared" si="160"/>
        <v>10.08</v>
      </c>
      <c r="H704" s="43">
        <f>_xlfn.XLOOKUP(A704,Class_Players!$A:$A,Class_Players!$F:$F,"")</f>
        <v>8562</v>
      </c>
      <c r="I704" s="44">
        <f t="shared" si="161"/>
        <v>0.20602662929222143</v>
      </c>
      <c r="J704" s="43">
        <f t="shared" si="162"/>
        <v>1</v>
      </c>
      <c r="K704" s="44" cm="1">
        <f t="array" ref="K704">IF(D704="Gadget",_xlfn.IFS(I704&gt;=0.2,0.5,I704&gt;=0.1,0.35,I704&gt;=0.05,0.2,TRUE,0),IF(D704="Grenade",_xlfn.IFS(I704&gt;=0.2,1,I704&gt;=0.1,0.7,I704&gt;=0.05,0.4,TRUE,0),0))</f>
        <v>0.5</v>
      </c>
      <c r="L704" s="57">
        <f t="shared" si="164"/>
        <v>0.5</v>
      </c>
    </row>
    <row r="705" spans="1:12" x14ac:dyDescent="0.25">
      <c r="A705" s="42" t="str" cm="1">
        <f t="array" ref="A705">IFERROR(INDEX(_xlfn._xlws.FILTER(Class_Players!A:A,Class_Players!B:B="Engineer"),QUOTIENT(ROW()-ROW($A$2),12)+1),"")</f>
        <v>z_leo9</v>
      </c>
      <c r="B705" s="42" t="str">
        <f>_xlfn.XLOOKUP(A705,Class_Players!$A:$A,Class_Players!$B:$B,"")</f>
        <v>Engineer</v>
      </c>
      <c r="C705" s="42" t="str" cm="1">
        <f t="array" ref="C705">INDEX(Lookups!$B$2:$B$13,MOD(ROW()-ROW($B$2),ROWS(Lookups!$B$2:$B$13))+1)</f>
        <v>PTKM-1R (Acoustic Sensor AV Mine)</v>
      </c>
      <c r="D705" s="38" t="str">
        <f>_xlfn.XLOOKUP(C705,Analysis_Gadgets!$C:$C,Analysis_Gadgets!$B:$B)</f>
        <v>Gadget</v>
      </c>
      <c r="E705" s="43">
        <v>15</v>
      </c>
      <c r="F705" s="43">
        <f>_xlfn.XLOOKUP(A705,Class_Players!A:A,Class_Players!G:G)</f>
        <v>175</v>
      </c>
      <c r="G705" s="43">
        <f t="shared" si="160"/>
        <v>8.5714285714285715E-2</v>
      </c>
      <c r="H705" s="43">
        <f>_xlfn.XLOOKUP(A705,Class_Players!$A:$A,Class_Players!$F:$F,"")</f>
        <v>8562</v>
      </c>
      <c r="I705" s="44">
        <f t="shared" si="161"/>
        <v>1.751927119831815E-3</v>
      </c>
      <c r="J705" s="43">
        <f t="shared" si="162"/>
        <v>0</v>
      </c>
      <c r="K705" s="44" cm="1">
        <f t="array" ref="K705">IF(D705="Gadget",_xlfn.IFS(I705&gt;=0.2,0.5,I705&gt;=0.1,0.35,I705&gt;=0.05,0.2,TRUE,0),IF(D705="Grenade",_xlfn.IFS(I705&gt;=0.2,1,I705&gt;=0.1,0.7,I705&gt;=0.05,0.4,TRUE,0),0))</f>
        <v>0</v>
      </c>
      <c r="L705" s="57">
        <f t="shared" si="164"/>
        <v>0</v>
      </c>
    </row>
    <row r="706" spans="1:12" x14ac:dyDescent="0.25">
      <c r="A706" s="42" t="str" cm="1">
        <f t="array" ref="A706">IFERROR(INDEX(_xlfn._xlws.FILTER(Class_Players!A:A,Class_Players!B:B="Engineer"),QUOTIENT(ROW()-ROW($A$2),12)+1),"")</f>
        <v>z_leo9</v>
      </c>
      <c r="B706" s="42" t="str">
        <f>_xlfn.XLOOKUP(A706,Class_Players!$A:$A,Class_Players!$B:$B,"")</f>
        <v>Engineer</v>
      </c>
      <c r="C706" s="42" t="str" cm="1">
        <f t="array" ref="C706">INDEX(Lookups!$B$2:$B$13,MOD(ROW()-ROW($B$2),ROWS(Lookups!$B$2:$B$13))+1)</f>
        <v>EOD Bot</v>
      </c>
      <c r="D706" s="38" t="str">
        <f>_xlfn.XLOOKUP(C706,Analysis_Gadgets!$C:$C,Analysis_Gadgets!$B:$B)</f>
        <v>Gadget</v>
      </c>
      <c r="E706" s="43">
        <v>30</v>
      </c>
      <c r="F706" s="43">
        <f>_xlfn.XLOOKUP(A706,Class_Players!A:A,Class_Players!G:G)</f>
        <v>175</v>
      </c>
      <c r="G706" s="43">
        <f t="shared" si="160"/>
        <v>0.17142857142857143</v>
      </c>
      <c r="H706" s="43">
        <f>_xlfn.XLOOKUP(A706,Class_Players!$A:$A,Class_Players!$F:$F,"")</f>
        <v>8562</v>
      </c>
      <c r="I706" s="44">
        <f t="shared" si="161"/>
        <v>3.5038542396636299E-3</v>
      </c>
      <c r="J706" s="43">
        <f t="shared" si="162"/>
        <v>0</v>
      </c>
      <c r="K706" s="44" cm="1">
        <f t="array" ref="K706">IF(D706="Gadget",_xlfn.IFS(I706&gt;=0.2,0.5,I706&gt;=0.1,0.35,I706&gt;=0.05,0.2,TRUE,0),IF(D706="Grenade",_xlfn.IFS(I706&gt;=0.2,1,I706&gt;=0.1,0.7,I706&gt;=0.05,0.4,TRUE,0),0))</f>
        <v>0</v>
      </c>
      <c r="L706" s="57">
        <f t="shared" si="164"/>
        <v>0</v>
      </c>
    </row>
    <row r="707" spans="1:12" x14ac:dyDescent="0.25">
      <c r="A707" s="42" t="str" cm="1">
        <f t="array" ref="A707">IFERROR(INDEX(_xlfn._xlws.FILTER(Class_Players!A:A,Class_Players!B:B="Engineer"),QUOTIENT(ROW()-ROW($A$2),12)+1),"")</f>
        <v>z_leo9</v>
      </c>
      <c r="B707" s="42" t="str">
        <f>_xlfn.XLOOKUP(A707,Class_Players!$A:$A,Class_Players!$B:$B,"")</f>
        <v>Engineer</v>
      </c>
      <c r="C707" s="42" t="str" cm="1">
        <f t="array" ref="C707">INDEX(Lookups!$B$2:$B$13,MOD(ROW()-ROW($B$2),ROWS(Lookups!$B$2:$B$13))+1)</f>
        <v>M4A1 SLAM (Tripwire Sensor AV Mine)</v>
      </c>
      <c r="D707" s="38" t="str">
        <f>_xlfn.XLOOKUP(C707,Analysis_Gadgets!$C:$C,Analysis_Gadgets!$B:$B)</f>
        <v>Gadget</v>
      </c>
      <c r="E707" s="43">
        <v>16</v>
      </c>
      <c r="F707" s="43">
        <f>_xlfn.XLOOKUP(A707,Class_Players!A:A,Class_Players!G:G)</f>
        <v>175</v>
      </c>
      <c r="G707" s="43">
        <f t="shared" si="160"/>
        <v>9.1428571428571428E-2</v>
      </c>
      <c r="H707" s="43">
        <f>_xlfn.XLOOKUP(A707,Class_Players!$A:$A,Class_Players!$F:$F,"")</f>
        <v>8562</v>
      </c>
      <c r="I707" s="44">
        <f t="shared" si="161"/>
        <v>1.8687222611539359E-3</v>
      </c>
      <c r="J707" s="43">
        <f t="shared" si="162"/>
        <v>0</v>
      </c>
      <c r="K707" s="44" cm="1">
        <f t="array" ref="K707">IF(D707="Gadget",_xlfn.IFS(I707&gt;=0.2,0.5,I707&gt;=0.1,0.35,I707&gt;=0.05,0.2,TRUE,0),IF(D707="Grenade",_xlfn.IFS(I707&gt;=0.2,1,I707&gt;=0.1,0.7,I707&gt;=0.05,0.4,TRUE,0),0))</f>
        <v>0</v>
      </c>
      <c r="L707" s="57">
        <f t="shared" si="164"/>
        <v>0</v>
      </c>
    </row>
    <row r="708" spans="1:12" x14ac:dyDescent="0.25">
      <c r="A708" s="42" t="str" cm="1">
        <f t="array" ref="A708">IFERROR(INDEX(_xlfn._xlws.FILTER(Class_Players!A:A,Class_Players!B:B="Engineer"),QUOTIENT(ROW()-ROW($A$2),12)+1),"")</f>
        <v>z_leo9</v>
      </c>
      <c r="B708" s="42" t="str">
        <f>_xlfn.XLOOKUP(A708,Class_Players!$A:$A,Class_Players!$B:$B,"")</f>
        <v>Engineer</v>
      </c>
      <c r="C708" s="42" t="str" cm="1">
        <f t="array" ref="C708">INDEX(Lookups!$B$2:$B$13,MOD(ROW()-ROW($B$2),ROWS(Lookups!$B$2:$B$13))+1)</f>
        <v>Mini Frag Grenade</v>
      </c>
      <c r="D708" s="38" t="str">
        <f>_xlfn.XLOOKUP(C708,Analysis_Gadgets!$C:$C,Analysis_Gadgets!$B:$B)</f>
        <v>Grenade</v>
      </c>
      <c r="E708" s="43">
        <v>0</v>
      </c>
      <c r="F708" s="43">
        <f>_xlfn.XLOOKUP(A708,Class_Players!A:A,Class_Players!G:G)</f>
        <v>175</v>
      </c>
      <c r="G708" s="43">
        <f t="shared" si="160"/>
        <v>0</v>
      </c>
      <c r="H708" s="43">
        <f>_xlfn.XLOOKUP(A708,Class_Players!$A:$A,Class_Players!$F:$F,"")</f>
        <v>8562</v>
      </c>
      <c r="I708" s="44">
        <f t="shared" si="161"/>
        <v>0</v>
      </c>
      <c r="J708" s="43">
        <f t="shared" si="162"/>
        <v>0</v>
      </c>
      <c r="K708" s="44" cm="1">
        <f t="array" ref="K708">IF(D708="Gadget",_xlfn.IFS(I708&gt;=0.2,0.5,I708&gt;=0.1,0.35,I708&gt;=0.05,0.2,TRUE,0),IF(D708="Grenade",_xlfn.IFS(I708&gt;=0.2,1,I708&gt;=0.1,0.7,I708&gt;=0.05,0.4,TRUE,0),0))</f>
        <v>0</v>
      </c>
      <c r="L708" s="57">
        <f t="shared" ref="L708:L709" si="165">IF($K708=0,0,$K708 / SUMIFS($K:$K,$A:$A,$A708,$D:$D,"Grenade"))</f>
        <v>0</v>
      </c>
    </row>
    <row r="709" spans="1:12" x14ac:dyDescent="0.25">
      <c r="A709" s="42" t="str" cm="1">
        <f t="array" ref="A709">IFERROR(INDEX(_xlfn._xlws.FILTER(Class_Players!A:A,Class_Players!B:B="Engineer"),QUOTIENT(ROW()-ROW($A$2),12)+1),"")</f>
        <v>z_leo9</v>
      </c>
      <c r="B709" s="42" t="str">
        <f>_xlfn.XLOOKUP(A709,Class_Players!$A:$A,Class_Players!$B:$B,"")</f>
        <v>Engineer</v>
      </c>
      <c r="C709" s="42" t="str" cm="1">
        <f t="array" ref="C709">INDEX(Lookups!$B$2:$B$13,MOD(ROW()-ROW($B$2),ROWS(Lookups!$B$2:$B$13))+1)</f>
        <v>Anti-Vehicle Grenade</v>
      </c>
      <c r="D709" s="38" t="str">
        <f>_xlfn.XLOOKUP(C709,Analysis_Gadgets!$C:$C,Analysis_Gadgets!$B:$B)</f>
        <v>Grenade</v>
      </c>
      <c r="E709" s="43">
        <v>0</v>
      </c>
      <c r="F709" s="43">
        <f>_xlfn.XLOOKUP(A709,Class_Players!A:A,Class_Players!G:G)</f>
        <v>175</v>
      </c>
      <c r="G709" s="43">
        <f t="shared" si="160"/>
        <v>0</v>
      </c>
      <c r="H709" s="43">
        <f>_xlfn.XLOOKUP(A709,Class_Players!$A:$A,Class_Players!$F:$F,"")</f>
        <v>8562</v>
      </c>
      <c r="I709" s="44">
        <f t="shared" si="161"/>
        <v>0</v>
      </c>
      <c r="J709" s="43">
        <f t="shared" si="162"/>
        <v>0</v>
      </c>
      <c r="K709" s="44" cm="1">
        <f t="array" ref="K709">IF(D709="Gadget",_xlfn.IFS(I709&gt;=0.2,0.5,I709&gt;=0.1,0.35,I709&gt;=0.05,0.2,TRUE,0),IF(D709="Grenade",_xlfn.IFS(I709&gt;=0.2,1,I709&gt;=0.1,0.7,I709&gt;=0.05,0.4,TRUE,0),0))</f>
        <v>0</v>
      </c>
      <c r="L709" s="57">
        <f t="shared" si="165"/>
        <v>0</v>
      </c>
    </row>
    <row r="710" spans="1:12" x14ac:dyDescent="0.25">
      <c r="A710" s="42" t="str" cm="1">
        <f t="array" ref="A710">IFERROR(INDEX(_xlfn._xlws.FILTER(Class_Players!A:A,Class_Players!B:B="Engineer"),QUOTIENT(ROW()-ROW($A$2),12)+1),"")</f>
        <v>SatterPL</v>
      </c>
      <c r="B710" s="42" t="str">
        <f>_xlfn.XLOOKUP(A710,Class_Players!$A:$A,Class_Players!$B:$B,"")</f>
        <v>Engineer</v>
      </c>
      <c r="C710" s="42" t="str" cm="1">
        <f t="array" ref="C710">INDEX(Lookups!$B$2:$B$13,MOD(ROW()-ROW($B$2),ROWS(Lookups!$B$2:$B$13))+1)</f>
        <v>MBT-LAW (Auto-Guided Launcher)</v>
      </c>
      <c r="D710" s="38" t="str">
        <f>_xlfn.XLOOKUP(C710,Analysis_Gadgets!$C:$C,Analysis_Gadgets!$B:$B)</f>
        <v>Gadget</v>
      </c>
      <c r="E710" s="43">
        <v>0</v>
      </c>
      <c r="F710" s="43">
        <f>_xlfn.XLOOKUP(A710,Class_Players!A:A,Class_Players!G:G)</f>
        <v>160</v>
      </c>
      <c r="G710" s="43">
        <f t="shared" si="160"/>
        <v>0</v>
      </c>
      <c r="H710" s="43">
        <f>_xlfn.XLOOKUP(A710,Class_Players!$A:$A,Class_Players!$F:$F,"")</f>
        <v>8370</v>
      </c>
      <c r="I710" s="44">
        <f t="shared" si="161"/>
        <v>0</v>
      </c>
      <c r="J710" s="43">
        <f t="shared" si="162"/>
        <v>0</v>
      </c>
      <c r="K710" s="44" cm="1">
        <f t="array" ref="K710">IF(D710="Gadget",_xlfn.IFS(I710&gt;=0.2,0.5,I710&gt;=0.1,0.35,I710&gt;=0.05,0.2,TRUE,0),IF(D710="Grenade",_xlfn.IFS(I710&gt;=0.2,1,I710&gt;=0.1,0.7,I710&gt;=0.05,0.4,TRUE,0),0))</f>
        <v>0</v>
      </c>
      <c r="L710" s="57">
        <f t="shared" ref="L710:L719" si="166">IF($K710=0,0,$K710 / SUMIFS($K:$K,$A:$A,$A710,$D:$D,"Gadget"))</f>
        <v>0</v>
      </c>
    </row>
    <row r="711" spans="1:12" x14ac:dyDescent="0.25">
      <c r="A711" s="42" t="str" cm="1">
        <f t="array" ref="A711">IFERROR(INDEX(_xlfn._xlws.FILTER(Class_Players!A:A,Class_Players!B:B="Engineer"),QUOTIENT(ROW()-ROW($A$2),12)+1),"")</f>
        <v>SatterPL</v>
      </c>
      <c r="B711" s="42" t="str">
        <f>_xlfn.XLOOKUP(A711,Class_Players!$A:$A,Class_Players!$B:$B,"")</f>
        <v>Engineer</v>
      </c>
      <c r="C711" s="42" t="str" cm="1">
        <f t="array" ref="C711">INDEX(Lookups!$B$2:$B$13,MOD(ROW()-ROW($B$2),ROWS(Lookups!$B$2:$B$13))+1)</f>
        <v>SLM-93A (Air-Defense Launcher)</v>
      </c>
      <c r="D711" s="38" t="str">
        <f>_xlfn.XLOOKUP(C711,Analysis_Gadgets!$C:$C,Analysis_Gadgets!$B:$B)</f>
        <v>Gadget</v>
      </c>
      <c r="E711" s="43">
        <v>40</v>
      </c>
      <c r="F711" s="43">
        <f>_xlfn.XLOOKUP(A711,Class_Players!A:A,Class_Players!G:G)</f>
        <v>160</v>
      </c>
      <c r="G711" s="43">
        <f t="shared" si="160"/>
        <v>0.25</v>
      </c>
      <c r="H711" s="43">
        <f>_xlfn.XLOOKUP(A711,Class_Players!$A:$A,Class_Players!$F:$F,"")</f>
        <v>8370</v>
      </c>
      <c r="I711" s="44">
        <f t="shared" si="161"/>
        <v>4.7789725209080045E-3</v>
      </c>
      <c r="J711" s="43">
        <f t="shared" si="162"/>
        <v>0</v>
      </c>
      <c r="K711" s="44" cm="1">
        <f t="array" ref="K711">IF(D711="Gadget",_xlfn.IFS(I711&gt;=0.2,0.5,I711&gt;=0.1,0.35,I711&gt;=0.05,0.2,TRUE,0),IF(D711="Grenade",_xlfn.IFS(I711&gt;=0.2,1,I711&gt;=0.1,0.7,I711&gt;=0.05,0.4,TRUE,0),0))</f>
        <v>0</v>
      </c>
      <c r="L711" s="57">
        <f t="shared" si="166"/>
        <v>0</v>
      </c>
    </row>
    <row r="712" spans="1:12" x14ac:dyDescent="0.25">
      <c r="A712" s="42" t="str" cm="1">
        <f t="array" ref="A712">IFERROR(INDEX(_xlfn._xlws.FILTER(Class_Players!A:A,Class_Players!B:B="Engineer"),QUOTIENT(ROW()-ROW($A$2),12)+1),"")</f>
        <v>SatterPL</v>
      </c>
      <c r="B712" s="42" t="str">
        <f>_xlfn.XLOOKUP(A712,Class_Players!$A:$A,Class_Players!$B:$B,"")</f>
        <v>Engineer</v>
      </c>
      <c r="C712" s="42" t="str" cm="1">
        <f t="array" ref="C712">INDEX(Lookups!$B$2:$B$13,MOD(ROW()-ROW($B$2),ROWS(Lookups!$B$2:$B$13))+1)</f>
        <v>RPG-7V2 (Unguided Rocket Launcher)</v>
      </c>
      <c r="D712" s="38" t="str">
        <f>_xlfn.XLOOKUP(C712,Analysis_Gadgets!$C:$C,Analysis_Gadgets!$B:$B)</f>
        <v>Gadget</v>
      </c>
      <c r="E712" s="43">
        <v>4188</v>
      </c>
      <c r="F712" s="43">
        <f>_xlfn.XLOOKUP(A712,Class_Players!A:A,Class_Players!G:G)</f>
        <v>160</v>
      </c>
      <c r="G712" s="43">
        <f t="shared" si="160"/>
        <v>26.175000000000001</v>
      </c>
      <c r="H712" s="43">
        <f>_xlfn.XLOOKUP(A712,Class_Players!$A:$A,Class_Players!$F:$F,"")</f>
        <v>8370</v>
      </c>
      <c r="I712" s="44">
        <f t="shared" si="161"/>
        <v>0.50035842293906807</v>
      </c>
      <c r="J712" s="43">
        <f t="shared" si="162"/>
        <v>1</v>
      </c>
      <c r="K712" s="44" cm="1">
        <f t="array" ref="K712">IF(D712="Gadget",_xlfn.IFS(I712&gt;=0.2,0.5,I712&gt;=0.1,0.35,I712&gt;=0.05,0.2,TRUE,0),IF(D712="Grenade",_xlfn.IFS(I712&gt;=0.2,1,I712&gt;=0.1,0.7,I712&gt;=0.05,0.4,TRUE,0),0))</f>
        <v>0.5</v>
      </c>
      <c r="L712" s="57">
        <f t="shared" si="166"/>
        <v>0.5</v>
      </c>
    </row>
    <row r="713" spans="1:12" x14ac:dyDescent="0.25">
      <c r="A713" s="42" t="str" cm="1">
        <f t="array" ref="A713">IFERROR(INDEX(_xlfn._xlws.FILTER(Class_Players!A:A,Class_Players!B:B="Engineer"),QUOTIENT(ROW()-ROW($A$2),12)+1),"")</f>
        <v>SatterPL</v>
      </c>
      <c r="B713" s="42" t="str">
        <f>_xlfn.XLOOKUP(A713,Class_Players!$A:$A,Class_Players!$B:$B,"")</f>
        <v>Engineer</v>
      </c>
      <c r="C713" s="42" t="str" cm="1">
        <f t="array" ref="C713">INDEX(Lookups!$B$2:$B$13,MOD(ROW()-ROW($B$2),ROWS(Lookups!$B$2:$B$13))+1)</f>
        <v>MAS 148 (Long-Range Launcher)</v>
      </c>
      <c r="D713" s="38" t="str">
        <f>_xlfn.XLOOKUP(C713,Analysis_Gadgets!$C:$C,Analysis_Gadgets!$B:$B)</f>
        <v>Gadget</v>
      </c>
      <c r="E713" s="43">
        <v>12</v>
      </c>
      <c r="F713" s="43">
        <f>_xlfn.XLOOKUP(A713,Class_Players!A:A,Class_Players!G:G)</f>
        <v>160</v>
      </c>
      <c r="G713" s="43">
        <f t="shared" si="160"/>
        <v>7.4999999999999997E-2</v>
      </c>
      <c r="H713" s="43">
        <f>_xlfn.XLOOKUP(A713,Class_Players!$A:$A,Class_Players!$F:$F,"")</f>
        <v>8370</v>
      </c>
      <c r="I713" s="44">
        <f t="shared" si="161"/>
        <v>1.4336917562724014E-3</v>
      </c>
      <c r="J713" s="43">
        <f t="shared" si="162"/>
        <v>0</v>
      </c>
      <c r="K713" s="44" cm="1">
        <f t="array" ref="K713">IF(D713="Gadget",_xlfn.IFS(I713&gt;=0.2,0.5,I713&gt;=0.1,0.35,I713&gt;=0.05,0.2,TRUE,0),IF(D713="Grenade",_xlfn.IFS(I713&gt;=0.2,1,I713&gt;=0.1,0.7,I713&gt;=0.05,0.4,TRUE,0),0))</f>
        <v>0</v>
      </c>
      <c r="L713" s="57">
        <f t="shared" si="166"/>
        <v>0</v>
      </c>
    </row>
    <row r="714" spans="1:12" x14ac:dyDescent="0.25">
      <c r="A714" s="42" t="str" cm="1">
        <f t="array" ref="A714">IFERROR(INDEX(_xlfn._xlws.FILTER(Class_Players!A:A,Class_Players!B:B="Engineer"),QUOTIENT(ROW()-ROW($A$2),12)+1),"")</f>
        <v>SatterPL</v>
      </c>
      <c r="B714" s="42" t="str">
        <f>_xlfn.XLOOKUP(A714,Class_Players!$A:$A,Class_Players!$B:$B,"")</f>
        <v>Engineer</v>
      </c>
      <c r="C714" s="42" t="str" cm="1">
        <f t="array" ref="C714">INDEX(Lookups!$B$2:$B$13,MOD(ROW()-ROW($B$2),ROWS(Lookups!$B$2:$B$13))+1)</f>
        <v>M136 AT (Aim-Guided Launcher)</v>
      </c>
      <c r="D714" s="38" t="str">
        <f>_xlfn.XLOOKUP(C714,Analysis_Gadgets!$C:$C,Analysis_Gadgets!$B:$B)</f>
        <v>Gadget</v>
      </c>
      <c r="E714" s="43">
        <v>1</v>
      </c>
      <c r="F714" s="43">
        <f>_xlfn.XLOOKUP(A714,Class_Players!A:A,Class_Players!G:G)</f>
        <v>160</v>
      </c>
      <c r="G714" s="43">
        <f t="shared" si="160"/>
        <v>6.2500000000000003E-3</v>
      </c>
      <c r="H714" s="43">
        <f>_xlfn.XLOOKUP(A714,Class_Players!$A:$A,Class_Players!$F:$F,"")</f>
        <v>8370</v>
      </c>
      <c r="I714" s="44">
        <f t="shared" si="161"/>
        <v>1.1947431302270011E-4</v>
      </c>
      <c r="J714" s="43">
        <f t="shared" si="162"/>
        <v>0</v>
      </c>
      <c r="K714" s="44" cm="1">
        <f t="array" ref="K714">IF(D714="Gadget",_xlfn.IFS(I714&gt;=0.2,0.5,I714&gt;=0.1,0.35,I714&gt;=0.05,0.2,TRUE,0),IF(D714="Grenade",_xlfn.IFS(I714&gt;=0.2,1,I714&gt;=0.1,0.7,I714&gt;=0.05,0.4,TRUE,0),0))</f>
        <v>0</v>
      </c>
      <c r="L714" s="57">
        <f t="shared" si="166"/>
        <v>0</v>
      </c>
    </row>
    <row r="715" spans="1:12" x14ac:dyDescent="0.25">
      <c r="A715" s="42" t="str" cm="1">
        <f t="array" ref="A715">IFERROR(INDEX(_xlfn._xlws.FILTER(Class_Players!A:A,Class_Players!B:B="Engineer"),QUOTIENT(ROW()-ROW($A$2),12)+1),"")</f>
        <v>SatterPL</v>
      </c>
      <c r="B715" s="42" t="str">
        <f>_xlfn.XLOOKUP(A715,Class_Players!$A:$A,Class_Players!$B:$B,"")</f>
        <v>Engineer</v>
      </c>
      <c r="C715" s="42" t="str" cm="1">
        <f t="array" ref="C715">INDEX(Lookups!$B$2:$B$13,MOD(ROW()-ROW($B$2),ROWS(Lookups!$B$2:$B$13))+1)</f>
        <v>Supply Crate</v>
      </c>
      <c r="D715" s="38" t="str">
        <f>_xlfn.XLOOKUP(C715,Analysis_Gadgets!$C:$C,Analysis_Gadgets!$B:$B)</f>
        <v>Gadget</v>
      </c>
      <c r="E715" s="43">
        <v>8</v>
      </c>
      <c r="F715" s="43">
        <f>_xlfn.XLOOKUP(A715,Class_Players!A:A,Class_Players!G:G)</f>
        <v>160</v>
      </c>
      <c r="G715" s="43">
        <f t="shared" si="160"/>
        <v>0.05</v>
      </c>
      <c r="H715" s="43">
        <f>_xlfn.XLOOKUP(A715,Class_Players!$A:$A,Class_Players!$F:$F,"")</f>
        <v>8370</v>
      </c>
      <c r="I715" s="44">
        <f t="shared" si="161"/>
        <v>9.5579450418160092E-4</v>
      </c>
      <c r="J715" s="43">
        <f t="shared" si="162"/>
        <v>0</v>
      </c>
      <c r="K715" s="44" cm="1">
        <f t="array" ref="K715">IF(D715="Gadget",_xlfn.IFS(I715&gt;=0.2,0.5,I715&gt;=0.1,0.35,I715&gt;=0.05,0.2,TRUE,0),IF(D715="Grenade",_xlfn.IFS(I715&gt;=0.2,1,I715&gt;=0.1,0.7,I715&gt;=0.05,0.4,TRUE,0),0))</f>
        <v>0</v>
      </c>
      <c r="L715" s="57">
        <f t="shared" si="166"/>
        <v>0</v>
      </c>
    </row>
    <row r="716" spans="1:12" x14ac:dyDescent="0.25">
      <c r="A716" s="42" t="str" cm="1">
        <f t="array" ref="A716">IFERROR(INDEX(_xlfn._xlws.FILTER(Class_Players!A:A,Class_Players!B:B="Engineer"),QUOTIENT(ROW()-ROW($A$2),12)+1),"")</f>
        <v>SatterPL</v>
      </c>
      <c r="B716" s="42" t="str">
        <f>_xlfn.XLOOKUP(A716,Class_Players!$A:$A,Class_Players!$B:$B,"")</f>
        <v>Engineer</v>
      </c>
      <c r="C716" s="42" t="str" cm="1">
        <f t="array" ref="C716">INDEX(Lookups!$B$2:$B$13,MOD(ROW()-ROW($B$2),ROWS(Lookups!$B$2:$B$13))+1)</f>
        <v>M15 (Anti-Vehicle Mine)</v>
      </c>
      <c r="D716" s="38" t="str">
        <f>_xlfn.XLOOKUP(C716,Analysis_Gadgets!$C:$C,Analysis_Gadgets!$B:$B)</f>
        <v>Gadget</v>
      </c>
      <c r="E716" s="43">
        <v>2543</v>
      </c>
      <c r="F716" s="43">
        <f>_xlfn.XLOOKUP(A716,Class_Players!A:A,Class_Players!G:G)</f>
        <v>160</v>
      </c>
      <c r="G716" s="43">
        <f t="shared" si="160"/>
        <v>15.893750000000001</v>
      </c>
      <c r="H716" s="43">
        <f>_xlfn.XLOOKUP(A716,Class_Players!$A:$A,Class_Players!$F:$F,"")</f>
        <v>8370</v>
      </c>
      <c r="I716" s="44">
        <f t="shared" si="161"/>
        <v>0.30382317801672643</v>
      </c>
      <c r="J716" s="43">
        <f t="shared" si="162"/>
        <v>1</v>
      </c>
      <c r="K716" s="44" cm="1">
        <f t="array" ref="K716">IF(D716="Gadget",_xlfn.IFS(I716&gt;=0.2,0.5,I716&gt;=0.1,0.35,I716&gt;=0.05,0.2,TRUE,0),IF(D716="Grenade",_xlfn.IFS(I716&gt;=0.2,1,I716&gt;=0.1,0.7,I716&gt;=0.05,0.4,TRUE,0),0))</f>
        <v>0.5</v>
      </c>
      <c r="L716" s="57">
        <f t="shared" si="166"/>
        <v>0.5</v>
      </c>
    </row>
    <row r="717" spans="1:12" x14ac:dyDescent="0.25">
      <c r="A717" s="42" t="str" cm="1">
        <f t="array" ref="A717">IFERROR(INDEX(_xlfn._xlws.FILTER(Class_Players!A:A,Class_Players!B:B="Engineer"),QUOTIENT(ROW()-ROW($A$2),12)+1),"")</f>
        <v>SatterPL</v>
      </c>
      <c r="B717" s="42" t="str">
        <f>_xlfn.XLOOKUP(A717,Class_Players!$A:$A,Class_Players!$B:$B,"")</f>
        <v>Engineer</v>
      </c>
      <c r="C717" s="42" t="str" cm="1">
        <f t="array" ref="C717">INDEX(Lookups!$B$2:$B$13,MOD(ROW()-ROW($B$2),ROWS(Lookups!$B$2:$B$13))+1)</f>
        <v>PTKM-1R (Acoustic Sensor AV Mine)</v>
      </c>
      <c r="D717" s="38" t="str">
        <f>_xlfn.XLOOKUP(C717,Analysis_Gadgets!$C:$C,Analysis_Gadgets!$B:$B)</f>
        <v>Gadget</v>
      </c>
      <c r="E717" s="43">
        <v>15</v>
      </c>
      <c r="F717" s="43">
        <f>_xlfn.XLOOKUP(A717,Class_Players!A:A,Class_Players!G:G)</f>
        <v>160</v>
      </c>
      <c r="G717" s="43">
        <f t="shared" si="160"/>
        <v>9.375E-2</v>
      </c>
      <c r="H717" s="43">
        <f>_xlfn.XLOOKUP(A717,Class_Players!$A:$A,Class_Players!$F:$F,"")</f>
        <v>8370</v>
      </c>
      <c r="I717" s="44">
        <f t="shared" si="161"/>
        <v>1.7921146953405018E-3</v>
      </c>
      <c r="J717" s="43">
        <f t="shared" si="162"/>
        <v>0</v>
      </c>
      <c r="K717" s="44" cm="1">
        <f t="array" ref="K717">IF(D717="Gadget",_xlfn.IFS(I717&gt;=0.2,0.5,I717&gt;=0.1,0.35,I717&gt;=0.05,0.2,TRUE,0),IF(D717="Grenade",_xlfn.IFS(I717&gt;=0.2,1,I717&gt;=0.1,0.7,I717&gt;=0.05,0.4,TRUE,0),0))</f>
        <v>0</v>
      </c>
      <c r="L717" s="57">
        <f t="shared" si="166"/>
        <v>0</v>
      </c>
    </row>
    <row r="718" spans="1:12" x14ac:dyDescent="0.25">
      <c r="A718" s="42" t="str" cm="1">
        <f t="array" ref="A718">IFERROR(INDEX(_xlfn._xlws.FILTER(Class_Players!A:A,Class_Players!B:B="Engineer"),QUOTIENT(ROW()-ROW($A$2),12)+1),"")</f>
        <v>SatterPL</v>
      </c>
      <c r="B718" s="42" t="str">
        <f>_xlfn.XLOOKUP(A718,Class_Players!$A:$A,Class_Players!$B:$B,"")</f>
        <v>Engineer</v>
      </c>
      <c r="C718" s="42" t="str" cm="1">
        <f t="array" ref="C718">INDEX(Lookups!$B$2:$B$13,MOD(ROW()-ROW($B$2),ROWS(Lookups!$B$2:$B$13))+1)</f>
        <v>EOD Bot</v>
      </c>
      <c r="D718" s="38" t="str">
        <f>_xlfn.XLOOKUP(C718,Analysis_Gadgets!$C:$C,Analysis_Gadgets!$B:$B)</f>
        <v>Gadget</v>
      </c>
      <c r="E718" s="43">
        <v>0</v>
      </c>
      <c r="F718" s="43">
        <f>_xlfn.XLOOKUP(A718,Class_Players!A:A,Class_Players!G:G)</f>
        <v>160</v>
      </c>
      <c r="G718" s="43">
        <f t="shared" si="160"/>
        <v>0</v>
      </c>
      <c r="H718" s="43">
        <f>_xlfn.XLOOKUP(A718,Class_Players!$A:$A,Class_Players!$F:$F,"")</f>
        <v>8370</v>
      </c>
      <c r="I718" s="44">
        <f t="shared" si="161"/>
        <v>0</v>
      </c>
      <c r="J718" s="43">
        <f t="shared" si="162"/>
        <v>0</v>
      </c>
      <c r="K718" s="44" cm="1">
        <f t="array" ref="K718">IF(D718="Gadget",_xlfn.IFS(I718&gt;=0.2,0.5,I718&gt;=0.1,0.35,I718&gt;=0.05,0.2,TRUE,0),IF(D718="Grenade",_xlfn.IFS(I718&gt;=0.2,1,I718&gt;=0.1,0.7,I718&gt;=0.05,0.4,TRUE,0),0))</f>
        <v>0</v>
      </c>
      <c r="L718" s="57">
        <f t="shared" si="166"/>
        <v>0</v>
      </c>
    </row>
    <row r="719" spans="1:12" x14ac:dyDescent="0.25">
      <c r="A719" s="42" t="str" cm="1">
        <f t="array" ref="A719">IFERROR(INDEX(_xlfn._xlws.FILTER(Class_Players!A:A,Class_Players!B:B="Engineer"),QUOTIENT(ROW()-ROW($A$2),12)+1),"")</f>
        <v>SatterPL</v>
      </c>
      <c r="B719" s="42" t="str">
        <f>_xlfn.XLOOKUP(A719,Class_Players!$A:$A,Class_Players!$B:$B,"")</f>
        <v>Engineer</v>
      </c>
      <c r="C719" s="42" t="str" cm="1">
        <f t="array" ref="C719">INDEX(Lookups!$B$2:$B$13,MOD(ROW()-ROW($B$2),ROWS(Lookups!$B$2:$B$13))+1)</f>
        <v>M4A1 SLAM (Tripwire Sensor AV Mine)</v>
      </c>
      <c r="D719" s="38" t="str">
        <f>_xlfn.XLOOKUP(C719,Analysis_Gadgets!$C:$C,Analysis_Gadgets!$B:$B)</f>
        <v>Gadget</v>
      </c>
      <c r="E719" s="43">
        <v>121</v>
      </c>
      <c r="F719" s="43">
        <f>_xlfn.XLOOKUP(A719,Class_Players!A:A,Class_Players!G:G)</f>
        <v>160</v>
      </c>
      <c r="G719" s="43">
        <f t="shared" si="160"/>
        <v>0.75624999999999998</v>
      </c>
      <c r="H719" s="43">
        <f>_xlfn.XLOOKUP(A719,Class_Players!$A:$A,Class_Players!$F:$F,"")</f>
        <v>8370</v>
      </c>
      <c r="I719" s="44">
        <f t="shared" si="161"/>
        <v>1.4456391875746714E-2</v>
      </c>
      <c r="J719" s="43">
        <f t="shared" si="162"/>
        <v>0</v>
      </c>
      <c r="K719" s="44" cm="1">
        <f t="array" ref="K719">IF(D719="Gadget",_xlfn.IFS(I719&gt;=0.2,0.5,I719&gt;=0.1,0.35,I719&gt;=0.05,0.2,TRUE,0),IF(D719="Grenade",_xlfn.IFS(I719&gt;=0.2,1,I719&gt;=0.1,0.7,I719&gt;=0.05,0.4,TRUE,0),0))</f>
        <v>0</v>
      </c>
      <c r="L719" s="57">
        <f t="shared" si="166"/>
        <v>0</v>
      </c>
    </row>
    <row r="720" spans="1:12" x14ac:dyDescent="0.25">
      <c r="A720" s="42" t="str" cm="1">
        <f t="array" ref="A720">IFERROR(INDEX(_xlfn._xlws.FILTER(Class_Players!A:A,Class_Players!B:B="Engineer"),QUOTIENT(ROW()-ROW($A$2),12)+1),"")</f>
        <v>SatterPL</v>
      </c>
      <c r="B720" s="42" t="str">
        <f>_xlfn.XLOOKUP(A720,Class_Players!$A:$A,Class_Players!$B:$B,"")</f>
        <v>Engineer</v>
      </c>
      <c r="C720" s="42" t="str" cm="1">
        <f t="array" ref="C720">INDEX(Lookups!$B$2:$B$13,MOD(ROW()-ROW($B$2),ROWS(Lookups!$B$2:$B$13))+1)</f>
        <v>Mini Frag Grenade</v>
      </c>
      <c r="D720" s="38" t="str">
        <f>_xlfn.XLOOKUP(C720,Analysis_Gadgets!$C:$C,Analysis_Gadgets!$B:$B)</f>
        <v>Grenade</v>
      </c>
      <c r="E720" s="43">
        <v>0</v>
      </c>
      <c r="F720" s="43">
        <f>_xlfn.XLOOKUP(A720,Class_Players!A:A,Class_Players!G:G)</f>
        <v>160</v>
      </c>
      <c r="G720" s="43">
        <f t="shared" si="160"/>
        <v>0</v>
      </c>
      <c r="H720" s="43">
        <f>_xlfn.XLOOKUP(A720,Class_Players!$A:$A,Class_Players!$F:$F,"")</f>
        <v>8370</v>
      </c>
      <c r="I720" s="44">
        <f t="shared" si="161"/>
        <v>0</v>
      </c>
      <c r="J720" s="43">
        <f t="shared" si="162"/>
        <v>0</v>
      </c>
      <c r="K720" s="44" cm="1">
        <f t="array" ref="K720">IF(D720="Gadget",_xlfn.IFS(I720&gt;=0.2,0.5,I720&gt;=0.1,0.35,I720&gt;=0.05,0.2,TRUE,0),IF(D720="Grenade",_xlfn.IFS(I720&gt;=0.2,1,I720&gt;=0.1,0.7,I720&gt;=0.05,0.4,TRUE,0),0))</f>
        <v>0</v>
      </c>
      <c r="L720" s="57">
        <f t="shared" ref="L720:L721" si="167">IF($K720=0,0,$K720 / SUMIFS($K:$K,$A:$A,$A720,$D:$D,"Grenade"))</f>
        <v>0</v>
      </c>
    </row>
    <row r="721" spans="1:12" x14ac:dyDescent="0.25">
      <c r="A721" s="42" t="str" cm="1">
        <f t="array" ref="A721">IFERROR(INDEX(_xlfn._xlws.FILTER(Class_Players!A:A,Class_Players!B:B="Engineer"),QUOTIENT(ROW()-ROW($A$2),12)+1),"")</f>
        <v>SatterPL</v>
      </c>
      <c r="B721" s="42" t="str">
        <f>_xlfn.XLOOKUP(A721,Class_Players!$A:$A,Class_Players!$B:$B,"")</f>
        <v>Engineer</v>
      </c>
      <c r="C721" s="42" t="str" cm="1">
        <f t="array" ref="C721">INDEX(Lookups!$B$2:$B$13,MOD(ROW()-ROW($B$2),ROWS(Lookups!$B$2:$B$13))+1)</f>
        <v>Anti-Vehicle Grenade</v>
      </c>
      <c r="D721" s="38" t="str">
        <f>_xlfn.XLOOKUP(C721,Analysis_Gadgets!$C:$C,Analysis_Gadgets!$B:$B)</f>
        <v>Grenade</v>
      </c>
      <c r="E721" s="43">
        <v>0</v>
      </c>
      <c r="F721" s="43">
        <f>_xlfn.XLOOKUP(A721,Class_Players!A:A,Class_Players!G:G)</f>
        <v>160</v>
      </c>
      <c r="G721" s="43">
        <f t="shared" si="160"/>
        <v>0</v>
      </c>
      <c r="H721" s="43">
        <f>_xlfn.XLOOKUP(A721,Class_Players!$A:$A,Class_Players!$F:$F,"")</f>
        <v>8370</v>
      </c>
      <c r="I721" s="44">
        <f t="shared" si="161"/>
        <v>0</v>
      </c>
      <c r="J721" s="43">
        <f t="shared" si="162"/>
        <v>0</v>
      </c>
      <c r="K721" s="44" cm="1">
        <f t="array" ref="K721">IF(D721="Gadget",_xlfn.IFS(I721&gt;=0.2,0.5,I721&gt;=0.1,0.35,I721&gt;=0.05,0.2,TRUE,0),IF(D721="Grenade",_xlfn.IFS(I721&gt;=0.2,1,I721&gt;=0.1,0.7,I721&gt;=0.05,0.4,TRUE,0),0))</f>
        <v>0</v>
      </c>
      <c r="L721" s="57">
        <f t="shared" si="167"/>
        <v>0</v>
      </c>
    </row>
    <row r="722" spans="1:12" x14ac:dyDescent="0.25">
      <c r="A722" s="42" t="str" cm="1">
        <f t="array" ref="A722">IFERROR(INDEX(_xlfn._xlws.FILTER(Class_Players!A:A,Class_Players!B:B="Engineer"),QUOTIENT(ROW()-ROW($A$2),12)+1),"")</f>
        <v>alexia_00</v>
      </c>
      <c r="B722" s="42" t="str">
        <f>_xlfn.XLOOKUP(A722,Class_Players!$A:$A,Class_Players!$B:$B,"")</f>
        <v>Engineer</v>
      </c>
      <c r="C722" s="42" t="str" cm="1">
        <f t="array" ref="C722">INDEX(Lookups!$B$2:$B$13,MOD(ROW()-ROW($B$2),ROWS(Lookups!$B$2:$B$13))+1)</f>
        <v>MBT-LAW (Auto-Guided Launcher)</v>
      </c>
      <c r="D722" s="38" t="str">
        <f>_xlfn.XLOOKUP(C722,Analysis_Gadgets!$C:$C,Analysis_Gadgets!$B:$B)</f>
        <v>Gadget</v>
      </c>
      <c r="E722" s="43">
        <v>0</v>
      </c>
      <c r="F722" s="43">
        <f>_xlfn.XLOOKUP(A722,Class_Players!A:A,Class_Players!G:G)</f>
        <v>207</v>
      </c>
      <c r="G722" s="43">
        <f t="shared" si="160"/>
        <v>0</v>
      </c>
      <c r="H722" s="43">
        <f>_xlfn.XLOOKUP(A722,Class_Players!$A:$A,Class_Players!$F:$F,"")</f>
        <v>8434</v>
      </c>
      <c r="I722" s="44">
        <f t="shared" si="161"/>
        <v>0</v>
      </c>
      <c r="J722" s="43">
        <f t="shared" si="162"/>
        <v>0</v>
      </c>
      <c r="K722" s="44" cm="1">
        <f t="array" ref="K722">IF(D722="Gadget",_xlfn.IFS(I722&gt;=0.2,0.5,I722&gt;=0.1,0.35,I722&gt;=0.05,0.2,TRUE,0),IF(D722="Grenade",_xlfn.IFS(I722&gt;=0.2,1,I722&gt;=0.1,0.7,I722&gt;=0.05,0.4,TRUE,0),0))</f>
        <v>0</v>
      </c>
      <c r="L722" s="57">
        <f t="shared" ref="L722:L731" si="168">IF($K722=0,0,$K722 / SUMIFS($K:$K,$A:$A,$A722,$D:$D,"Gadget"))</f>
        <v>0</v>
      </c>
    </row>
    <row r="723" spans="1:12" x14ac:dyDescent="0.25">
      <c r="A723" s="42" t="str" cm="1">
        <f t="array" ref="A723">IFERROR(INDEX(_xlfn._xlws.FILTER(Class_Players!A:A,Class_Players!B:B="Engineer"),QUOTIENT(ROW()-ROW($A$2),12)+1),"")</f>
        <v>alexia_00</v>
      </c>
      <c r="B723" s="42" t="str">
        <f>_xlfn.XLOOKUP(A723,Class_Players!$A:$A,Class_Players!$B:$B,"")</f>
        <v>Engineer</v>
      </c>
      <c r="C723" s="42" t="str" cm="1">
        <f t="array" ref="C723">INDEX(Lookups!$B$2:$B$13,MOD(ROW()-ROW($B$2),ROWS(Lookups!$B$2:$B$13))+1)</f>
        <v>SLM-93A (Air-Defense Launcher)</v>
      </c>
      <c r="D723" s="38" t="str">
        <f>_xlfn.XLOOKUP(C723,Analysis_Gadgets!$C:$C,Analysis_Gadgets!$B:$B)</f>
        <v>Gadget</v>
      </c>
      <c r="E723" s="43">
        <v>1051</v>
      </c>
      <c r="F723" s="43">
        <f>_xlfn.XLOOKUP(A723,Class_Players!A:A,Class_Players!G:G)</f>
        <v>207</v>
      </c>
      <c r="G723" s="43">
        <f t="shared" si="160"/>
        <v>5.0772946859903385</v>
      </c>
      <c r="H723" s="43">
        <f>_xlfn.XLOOKUP(A723,Class_Players!$A:$A,Class_Players!$F:$F,"")</f>
        <v>8434</v>
      </c>
      <c r="I723" s="44">
        <f t="shared" si="161"/>
        <v>0.12461465496798672</v>
      </c>
      <c r="J723" s="43">
        <f t="shared" si="162"/>
        <v>1</v>
      </c>
      <c r="K723" s="44" cm="1">
        <f t="array" ref="K723">IF(D723="Gadget",_xlfn.IFS(I723&gt;=0.2,0.5,I723&gt;=0.1,0.35,I723&gt;=0.05,0.2,TRUE,0),IF(D723="Grenade",_xlfn.IFS(I723&gt;=0.2,1,I723&gt;=0.1,0.7,I723&gt;=0.05,0.4,TRUE,0),0))</f>
        <v>0.35</v>
      </c>
      <c r="L723" s="57">
        <f t="shared" si="168"/>
        <v>0.16666666666666666</v>
      </c>
    </row>
    <row r="724" spans="1:12" x14ac:dyDescent="0.25">
      <c r="A724" s="42" t="str" cm="1">
        <f t="array" ref="A724">IFERROR(INDEX(_xlfn._xlws.FILTER(Class_Players!A:A,Class_Players!B:B="Engineer"),QUOTIENT(ROW()-ROW($A$2),12)+1),"")</f>
        <v>alexia_00</v>
      </c>
      <c r="B724" s="42" t="str">
        <f>_xlfn.XLOOKUP(A724,Class_Players!$A:$A,Class_Players!$B:$B,"")</f>
        <v>Engineer</v>
      </c>
      <c r="C724" s="42" t="str" cm="1">
        <f t="array" ref="C724">INDEX(Lookups!$B$2:$B$13,MOD(ROW()-ROW($B$2),ROWS(Lookups!$B$2:$B$13))+1)</f>
        <v>RPG-7V2 (Unguided Rocket Launcher)</v>
      </c>
      <c r="D724" s="38" t="str">
        <f>_xlfn.XLOOKUP(C724,Analysis_Gadgets!$C:$C,Analysis_Gadgets!$B:$B)</f>
        <v>Gadget</v>
      </c>
      <c r="E724" s="43">
        <v>2910</v>
      </c>
      <c r="F724" s="43">
        <f>_xlfn.XLOOKUP(A724,Class_Players!A:A,Class_Players!G:G)</f>
        <v>207</v>
      </c>
      <c r="G724" s="43">
        <f t="shared" si="160"/>
        <v>14.057971014492754</v>
      </c>
      <c r="H724" s="43">
        <f>_xlfn.XLOOKUP(A724,Class_Players!$A:$A,Class_Players!$F:$F,"")</f>
        <v>8434</v>
      </c>
      <c r="I724" s="44">
        <f t="shared" si="161"/>
        <v>0.34503201327958266</v>
      </c>
      <c r="J724" s="43">
        <f t="shared" si="162"/>
        <v>1</v>
      </c>
      <c r="K724" s="44" cm="1">
        <f t="array" ref="K724">IF(D724="Gadget",_xlfn.IFS(I724&gt;=0.2,0.5,I724&gt;=0.1,0.35,I724&gt;=0.05,0.2,TRUE,0),IF(D724="Grenade",_xlfn.IFS(I724&gt;=0.2,1,I724&gt;=0.1,0.7,I724&gt;=0.05,0.4,TRUE,0),0))</f>
        <v>0.5</v>
      </c>
      <c r="L724" s="57">
        <f t="shared" si="168"/>
        <v>0.23809523809523808</v>
      </c>
    </row>
    <row r="725" spans="1:12" x14ac:dyDescent="0.25">
      <c r="A725" s="42" t="str" cm="1">
        <f t="array" ref="A725">IFERROR(INDEX(_xlfn._xlws.FILTER(Class_Players!A:A,Class_Players!B:B="Engineer"),QUOTIENT(ROW()-ROW($A$2),12)+1),"")</f>
        <v>alexia_00</v>
      </c>
      <c r="B725" s="42" t="str">
        <f>_xlfn.XLOOKUP(A725,Class_Players!$A:$A,Class_Players!$B:$B,"")</f>
        <v>Engineer</v>
      </c>
      <c r="C725" s="42" t="str" cm="1">
        <f t="array" ref="C725">INDEX(Lookups!$B$2:$B$13,MOD(ROW()-ROW($B$2),ROWS(Lookups!$B$2:$B$13))+1)</f>
        <v>MAS 148 (Long-Range Launcher)</v>
      </c>
      <c r="D725" s="38" t="str">
        <f>_xlfn.XLOOKUP(C725,Analysis_Gadgets!$C:$C,Analysis_Gadgets!$B:$B)</f>
        <v>Gadget</v>
      </c>
      <c r="E725" s="43">
        <v>1191</v>
      </c>
      <c r="F725" s="43">
        <f>_xlfn.XLOOKUP(A725,Class_Players!A:A,Class_Players!G:G)</f>
        <v>207</v>
      </c>
      <c r="G725" s="43">
        <f t="shared" si="160"/>
        <v>5.7536231884057969</v>
      </c>
      <c r="H725" s="43">
        <f>_xlfn.XLOOKUP(A725,Class_Players!$A:$A,Class_Players!$F:$F,"")</f>
        <v>8434</v>
      </c>
      <c r="I725" s="44">
        <f t="shared" si="161"/>
        <v>0.14121413327009721</v>
      </c>
      <c r="J725" s="43">
        <f t="shared" si="162"/>
        <v>1</v>
      </c>
      <c r="K725" s="44" cm="1">
        <f t="array" ref="K725">IF(D725="Gadget",_xlfn.IFS(I725&gt;=0.2,0.5,I725&gt;=0.1,0.35,I725&gt;=0.05,0.2,TRUE,0),IF(D725="Grenade",_xlfn.IFS(I725&gt;=0.2,1,I725&gt;=0.1,0.7,I725&gt;=0.05,0.4,TRUE,0),0))</f>
        <v>0.35</v>
      </c>
      <c r="L725" s="57">
        <f t="shared" si="168"/>
        <v>0.16666666666666666</v>
      </c>
    </row>
    <row r="726" spans="1:12" x14ac:dyDescent="0.25">
      <c r="A726" s="42" t="str" cm="1">
        <f t="array" ref="A726">IFERROR(INDEX(_xlfn._xlws.FILTER(Class_Players!A:A,Class_Players!B:B="Engineer"),QUOTIENT(ROW()-ROW($A$2),12)+1),"")</f>
        <v>alexia_00</v>
      </c>
      <c r="B726" s="42" t="str">
        <f>_xlfn.XLOOKUP(A726,Class_Players!$A:$A,Class_Players!$B:$B,"")</f>
        <v>Engineer</v>
      </c>
      <c r="C726" s="42" t="str" cm="1">
        <f t="array" ref="C726">INDEX(Lookups!$B$2:$B$13,MOD(ROW()-ROW($B$2),ROWS(Lookups!$B$2:$B$13))+1)</f>
        <v>M136 AT (Aim-Guided Launcher)</v>
      </c>
      <c r="D726" s="38" t="str">
        <f>_xlfn.XLOOKUP(C726,Analysis_Gadgets!$C:$C,Analysis_Gadgets!$B:$B)</f>
        <v>Gadget</v>
      </c>
      <c r="E726" s="43">
        <v>142</v>
      </c>
      <c r="F726" s="43">
        <f>_xlfn.XLOOKUP(A726,Class_Players!A:A,Class_Players!G:G)</f>
        <v>207</v>
      </c>
      <c r="G726" s="43">
        <f t="shared" si="160"/>
        <v>0.68599033816425126</v>
      </c>
      <c r="H726" s="43">
        <f>_xlfn.XLOOKUP(A726,Class_Players!$A:$A,Class_Players!$F:$F,"")</f>
        <v>8434</v>
      </c>
      <c r="I726" s="44">
        <f t="shared" si="161"/>
        <v>1.6836613706426369E-2</v>
      </c>
      <c r="J726" s="43">
        <f t="shared" si="162"/>
        <v>0</v>
      </c>
      <c r="K726" s="44" cm="1">
        <f t="array" ref="K726">IF(D726="Gadget",_xlfn.IFS(I726&gt;=0.2,0.5,I726&gt;=0.1,0.35,I726&gt;=0.05,0.2,TRUE,0),IF(D726="Grenade",_xlfn.IFS(I726&gt;=0.2,1,I726&gt;=0.1,0.7,I726&gt;=0.05,0.4,TRUE,0),0))</f>
        <v>0</v>
      </c>
      <c r="L726" s="57">
        <f t="shared" si="168"/>
        <v>0</v>
      </c>
    </row>
    <row r="727" spans="1:12" x14ac:dyDescent="0.25">
      <c r="A727" s="42" t="str" cm="1">
        <f t="array" ref="A727">IFERROR(INDEX(_xlfn._xlws.FILTER(Class_Players!A:A,Class_Players!B:B="Engineer"),QUOTIENT(ROW()-ROW($A$2),12)+1),"")</f>
        <v>alexia_00</v>
      </c>
      <c r="B727" s="42" t="str">
        <f>_xlfn.XLOOKUP(A727,Class_Players!$A:$A,Class_Players!$B:$B,"")</f>
        <v>Engineer</v>
      </c>
      <c r="C727" s="42" t="str" cm="1">
        <f t="array" ref="C727">INDEX(Lookups!$B$2:$B$13,MOD(ROW()-ROW($B$2),ROWS(Lookups!$B$2:$B$13))+1)</f>
        <v>Supply Crate</v>
      </c>
      <c r="D727" s="38" t="str">
        <f>_xlfn.XLOOKUP(C727,Analysis_Gadgets!$C:$C,Analysis_Gadgets!$B:$B)</f>
        <v>Gadget</v>
      </c>
      <c r="E727" s="43">
        <v>7</v>
      </c>
      <c r="F727" s="43">
        <f>_xlfn.XLOOKUP(A727,Class_Players!A:A,Class_Players!G:G)</f>
        <v>207</v>
      </c>
      <c r="G727" s="43">
        <f t="shared" si="160"/>
        <v>3.3816425120772944E-2</v>
      </c>
      <c r="H727" s="43">
        <f>_xlfn.XLOOKUP(A727,Class_Players!$A:$A,Class_Players!$F:$F,"")</f>
        <v>8434</v>
      </c>
      <c r="I727" s="44">
        <f t="shared" si="161"/>
        <v>8.2997391510552523E-4</v>
      </c>
      <c r="J727" s="43">
        <f t="shared" si="162"/>
        <v>0</v>
      </c>
      <c r="K727" s="44" cm="1">
        <f t="array" ref="K727">IF(D727="Gadget",_xlfn.IFS(I727&gt;=0.2,0.5,I727&gt;=0.1,0.35,I727&gt;=0.05,0.2,TRUE,0),IF(D727="Grenade",_xlfn.IFS(I727&gt;=0.2,1,I727&gt;=0.1,0.7,I727&gt;=0.05,0.4,TRUE,0),0))</f>
        <v>0</v>
      </c>
      <c r="L727" s="57">
        <f t="shared" si="168"/>
        <v>0</v>
      </c>
    </row>
    <row r="728" spans="1:12" x14ac:dyDescent="0.25">
      <c r="A728" s="42" t="str" cm="1">
        <f t="array" ref="A728">IFERROR(INDEX(_xlfn._xlws.FILTER(Class_Players!A:A,Class_Players!B:B="Engineer"),QUOTIENT(ROW()-ROW($A$2),12)+1),"")</f>
        <v>alexia_00</v>
      </c>
      <c r="B728" s="42" t="str">
        <f>_xlfn.XLOOKUP(A728,Class_Players!$A:$A,Class_Players!$B:$B,"")</f>
        <v>Engineer</v>
      </c>
      <c r="C728" s="42" t="str" cm="1">
        <f t="array" ref="C728">INDEX(Lookups!$B$2:$B$13,MOD(ROW()-ROW($B$2),ROWS(Lookups!$B$2:$B$13))+1)</f>
        <v>M15 (Anti-Vehicle Mine)</v>
      </c>
      <c r="D728" s="38" t="str">
        <f>_xlfn.XLOOKUP(C728,Analysis_Gadgets!$C:$C,Analysis_Gadgets!$B:$B)</f>
        <v>Gadget</v>
      </c>
      <c r="E728" s="43">
        <v>975</v>
      </c>
      <c r="F728" s="43">
        <f>_xlfn.XLOOKUP(A728,Class_Players!A:A,Class_Players!G:G)</f>
        <v>207</v>
      </c>
      <c r="G728" s="43">
        <f t="shared" si="160"/>
        <v>4.7101449275362315</v>
      </c>
      <c r="H728" s="43">
        <f>_xlfn.XLOOKUP(A728,Class_Players!$A:$A,Class_Players!$F:$F,"")</f>
        <v>8434</v>
      </c>
      <c r="I728" s="44">
        <f t="shared" si="161"/>
        <v>0.11560350960398387</v>
      </c>
      <c r="J728" s="43">
        <f t="shared" si="162"/>
        <v>1</v>
      </c>
      <c r="K728" s="44" cm="1">
        <f t="array" ref="K728">IF(D728="Gadget",_xlfn.IFS(I728&gt;=0.2,0.5,I728&gt;=0.1,0.35,I728&gt;=0.05,0.2,TRUE,0),IF(D728="Grenade",_xlfn.IFS(I728&gt;=0.2,1,I728&gt;=0.1,0.7,I728&gt;=0.05,0.4,TRUE,0),0))</f>
        <v>0.35</v>
      </c>
      <c r="L728" s="57">
        <f t="shared" si="168"/>
        <v>0.16666666666666666</v>
      </c>
    </row>
    <row r="729" spans="1:12" x14ac:dyDescent="0.25">
      <c r="A729" s="42" t="str" cm="1">
        <f t="array" ref="A729">IFERROR(INDEX(_xlfn._xlws.FILTER(Class_Players!A:A,Class_Players!B:B="Engineer"),QUOTIENT(ROW()-ROW($A$2),12)+1),"")</f>
        <v>alexia_00</v>
      </c>
      <c r="B729" s="42" t="str">
        <f>_xlfn.XLOOKUP(A729,Class_Players!$A:$A,Class_Players!$B:$B,"")</f>
        <v>Engineer</v>
      </c>
      <c r="C729" s="42" t="str" cm="1">
        <f t="array" ref="C729">INDEX(Lookups!$B$2:$B$13,MOD(ROW()-ROW($B$2),ROWS(Lookups!$B$2:$B$13))+1)</f>
        <v>PTKM-1R (Acoustic Sensor AV Mine)</v>
      </c>
      <c r="D729" s="38" t="str">
        <f>_xlfn.XLOOKUP(C729,Analysis_Gadgets!$C:$C,Analysis_Gadgets!$B:$B)</f>
        <v>Gadget</v>
      </c>
      <c r="E729" s="43">
        <v>0</v>
      </c>
      <c r="F729" s="43">
        <f>_xlfn.XLOOKUP(A729,Class_Players!A:A,Class_Players!G:G)</f>
        <v>207</v>
      </c>
      <c r="G729" s="43">
        <f t="shared" si="160"/>
        <v>0</v>
      </c>
      <c r="H729" s="43">
        <f>_xlfn.XLOOKUP(A729,Class_Players!$A:$A,Class_Players!$F:$F,"")</f>
        <v>8434</v>
      </c>
      <c r="I729" s="44">
        <f t="shared" si="161"/>
        <v>0</v>
      </c>
      <c r="J729" s="43">
        <f t="shared" si="162"/>
        <v>0</v>
      </c>
      <c r="K729" s="44" cm="1">
        <f t="array" ref="K729">IF(D729="Gadget",_xlfn.IFS(I729&gt;=0.2,0.5,I729&gt;=0.1,0.35,I729&gt;=0.05,0.2,TRUE,0),IF(D729="Grenade",_xlfn.IFS(I729&gt;=0.2,1,I729&gt;=0.1,0.7,I729&gt;=0.05,0.4,TRUE,0),0))</f>
        <v>0</v>
      </c>
      <c r="L729" s="57">
        <f t="shared" si="168"/>
        <v>0</v>
      </c>
    </row>
    <row r="730" spans="1:12" x14ac:dyDescent="0.25">
      <c r="A730" s="42" t="str" cm="1">
        <f t="array" ref="A730">IFERROR(INDEX(_xlfn._xlws.FILTER(Class_Players!A:A,Class_Players!B:B="Engineer"),QUOTIENT(ROW()-ROW($A$2),12)+1),"")</f>
        <v>alexia_00</v>
      </c>
      <c r="B730" s="42" t="str">
        <f>_xlfn.XLOOKUP(A730,Class_Players!$A:$A,Class_Players!$B:$B,"")</f>
        <v>Engineer</v>
      </c>
      <c r="C730" s="42" t="str" cm="1">
        <f t="array" ref="C730">INDEX(Lookups!$B$2:$B$13,MOD(ROW()-ROW($B$2),ROWS(Lookups!$B$2:$B$13))+1)</f>
        <v>EOD Bot</v>
      </c>
      <c r="D730" s="38" t="str">
        <f>_xlfn.XLOOKUP(C730,Analysis_Gadgets!$C:$C,Analysis_Gadgets!$B:$B)</f>
        <v>Gadget</v>
      </c>
      <c r="E730" s="43">
        <v>1435</v>
      </c>
      <c r="F730" s="43">
        <f>_xlfn.XLOOKUP(A730,Class_Players!A:A,Class_Players!G:G)</f>
        <v>207</v>
      </c>
      <c r="G730" s="43">
        <f t="shared" si="160"/>
        <v>6.9323671497584538</v>
      </c>
      <c r="H730" s="43">
        <f>_xlfn.XLOOKUP(A730,Class_Players!$A:$A,Class_Players!$F:$F,"")</f>
        <v>8434</v>
      </c>
      <c r="I730" s="44">
        <f t="shared" si="161"/>
        <v>0.17014465259663267</v>
      </c>
      <c r="J730" s="43">
        <f t="shared" si="162"/>
        <v>1</v>
      </c>
      <c r="K730" s="44" cm="1">
        <f t="array" ref="K730">IF(D730="Gadget",_xlfn.IFS(I730&gt;=0.2,0.5,I730&gt;=0.1,0.35,I730&gt;=0.05,0.2,TRUE,0),IF(D730="Grenade",_xlfn.IFS(I730&gt;=0.2,1,I730&gt;=0.1,0.7,I730&gt;=0.05,0.4,TRUE,0),0))</f>
        <v>0.35</v>
      </c>
      <c r="L730" s="57">
        <f t="shared" si="168"/>
        <v>0.16666666666666666</v>
      </c>
    </row>
    <row r="731" spans="1:12" x14ac:dyDescent="0.25">
      <c r="A731" s="42" t="str" cm="1">
        <f t="array" ref="A731">IFERROR(INDEX(_xlfn._xlws.FILTER(Class_Players!A:A,Class_Players!B:B="Engineer"),QUOTIENT(ROW()-ROW($A$2),12)+1),"")</f>
        <v>alexia_00</v>
      </c>
      <c r="B731" s="42" t="str">
        <f>_xlfn.XLOOKUP(A731,Class_Players!$A:$A,Class_Players!$B:$B,"")</f>
        <v>Engineer</v>
      </c>
      <c r="C731" s="42" t="str" cm="1">
        <f t="array" ref="C731">INDEX(Lookups!$B$2:$B$13,MOD(ROW()-ROW($B$2),ROWS(Lookups!$B$2:$B$13))+1)</f>
        <v>M4A1 SLAM (Tripwire Sensor AV Mine)</v>
      </c>
      <c r="D731" s="38" t="str">
        <f>_xlfn.XLOOKUP(C731,Analysis_Gadgets!$C:$C,Analysis_Gadgets!$B:$B)</f>
        <v>Gadget</v>
      </c>
      <c r="E731" s="43">
        <v>673</v>
      </c>
      <c r="F731" s="43">
        <f>_xlfn.XLOOKUP(A731,Class_Players!A:A,Class_Players!G:G)</f>
        <v>207</v>
      </c>
      <c r="G731" s="43">
        <f t="shared" si="160"/>
        <v>3.2512077294685988</v>
      </c>
      <c r="H731" s="43">
        <f>_xlfn.XLOOKUP(A731,Class_Players!$A:$A,Class_Players!$F:$F,"")</f>
        <v>8434</v>
      </c>
      <c r="I731" s="44">
        <f t="shared" si="161"/>
        <v>7.9796063552288354E-2</v>
      </c>
      <c r="J731" s="43">
        <f t="shared" si="162"/>
        <v>0</v>
      </c>
      <c r="K731" s="44" cm="1">
        <f t="array" ref="K731">IF(D731="Gadget",_xlfn.IFS(I731&gt;=0.2,0.5,I731&gt;=0.1,0.35,I731&gt;=0.05,0.2,TRUE,0),IF(D731="Grenade",_xlfn.IFS(I731&gt;=0.2,1,I731&gt;=0.1,0.7,I731&gt;=0.05,0.4,TRUE,0),0))</f>
        <v>0.2</v>
      </c>
      <c r="L731" s="57">
        <f t="shared" si="168"/>
        <v>9.5238095238095233E-2</v>
      </c>
    </row>
    <row r="732" spans="1:12" x14ac:dyDescent="0.25">
      <c r="A732" s="42" t="str" cm="1">
        <f t="array" ref="A732">IFERROR(INDEX(_xlfn._xlws.FILTER(Class_Players!A:A,Class_Players!B:B="Engineer"),QUOTIENT(ROW()-ROW($A$2),12)+1),"")</f>
        <v>alexia_00</v>
      </c>
      <c r="B732" s="42" t="str">
        <f>_xlfn.XLOOKUP(A732,Class_Players!$A:$A,Class_Players!$B:$B,"")</f>
        <v>Engineer</v>
      </c>
      <c r="C732" s="42" t="str" cm="1">
        <f t="array" ref="C732">INDEX(Lookups!$B$2:$B$13,MOD(ROW()-ROW($B$2),ROWS(Lookups!$B$2:$B$13))+1)</f>
        <v>Mini Frag Grenade</v>
      </c>
      <c r="D732" s="38" t="str">
        <f>_xlfn.XLOOKUP(C732,Analysis_Gadgets!$C:$C,Analysis_Gadgets!$B:$B)</f>
        <v>Grenade</v>
      </c>
      <c r="E732" s="43">
        <v>0</v>
      </c>
      <c r="F732" s="43">
        <f>_xlfn.XLOOKUP(A732,Class_Players!A:A,Class_Players!G:G)</f>
        <v>207</v>
      </c>
      <c r="G732" s="43">
        <f t="shared" si="160"/>
        <v>0</v>
      </c>
      <c r="H732" s="43">
        <f>_xlfn.XLOOKUP(A732,Class_Players!$A:$A,Class_Players!$F:$F,"")</f>
        <v>8434</v>
      </c>
      <c r="I732" s="44">
        <f t="shared" si="161"/>
        <v>0</v>
      </c>
      <c r="J732" s="43">
        <f t="shared" si="162"/>
        <v>0</v>
      </c>
      <c r="K732" s="44" cm="1">
        <f t="array" ref="K732">IF(D732="Gadget",_xlfn.IFS(I732&gt;=0.2,0.5,I732&gt;=0.1,0.35,I732&gt;=0.05,0.2,TRUE,0),IF(D732="Grenade",_xlfn.IFS(I732&gt;=0.2,1,I732&gt;=0.1,0.7,I732&gt;=0.05,0.4,TRUE,0),0))</f>
        <v>0</v>
      </c>
      <c r="L732" s="57">
        <f t="shared" ref="L732:L733" si="169">IF($K732=0,0,$K732 / SUMIFS($K:$K,$A:$A,$A732,$D:$D,"Grenade"))</f>
        <v>0</v>
      </c>
    </row>
    <row r="733" spans="1:12" x14ac:dyDescent="0.25">
      <c r="A733" s="42" t="str" cm="1">
        <f t="array" ref="A733">IFERROR(INDEX(_xlfn._xlws.FILTER(Class_Players!A:A,Class_Players!B:B="Engineer"),QUOTIENT(ROW()-ROW($A$2),12)+1),"")</f>
        <v>alexia_00</v>
      </c>
      <c r="B733" s="42" t="str">
        <f>_xlfn.XLOOKUP(A733,Class_Players!$A:$A,Class_Players!$B:$B,"")</f>
        <v>Engineer</v>
      </c>
      <c r="C733" s="42" t="str" cm="1">
        <f t="array" ref="C733">INDEX(Lookups!$B$2:$B$13,MOD(ROW()-ROW($B$2),ROWS(Lookups!$B$2:$B$13))+1)</f>
        <v>Anti-Vehicle Grenade</v>
      </c>
      <c r="D733" s="38" t="str">
        <f>_xlfn.XLOOKUP(C733,Analysis_Gadgets!$C:$C,Analysis_Gadgets!$B:$B)</f>
        <v>Grenade</v>
      </c>
      <c r="E733" s="43">
        <v>0</v>
      </c>
      <c r="F733" s="43">
        <f>_xlfn.XLOOKUP(A733,Class_Players!A:A,Class_Players!G:G)</f>
        <v>207</v>
      </c>
      <c r="G733" s="43">
        <f t="shared" si="160"/>
        <v>0</v>
      </c>
      <c r="H733" s="43">
        <f>_xlfn.XLOOKUP(A733,Class_Players!$A:$A,Class_Players!$F:$F,"")</f>
        <v>8434</v>
      </c>
      <c r="I733" s="44">
        <f t="shared" si="161"/>
        <v>0</v>
      </c>
      <c r="J733" s="43">
        <f t="shared" si="162"/>
        <v>0</v>
      </c>
      <c r="K733" s="44" cm="1">
        <f t="array" ref="K733">IF(D733="Gadget",_xlfn.IFS(I733&gt;=0.2,0.5,I733&gt;=0.1,0.35,I733&gt;=0.05,0.2,TRUE,0),IF(D733="Grenade",_xlfn.IFS(I733&gt;=0.2,1,I733&gt;=0.1,0.7,I733&gt;=0.05,0.4,TRUE,0),0))</f>
        <v>0</v>
      </c>
      <c r="L733" s="57">
        <f t="shared" si="169"/>
        <v>0</v>
      </c>
    </row>
    <row r="734" spans="1:12" x14ac:dyDescent="0.25">
      <c r="A734" s="42" t="str" cm="1">
        <f t="array" ref="A734">IFERROR(INDEX(_xlfn._xlws.FILTER(Class_Players!A:A,Class_Players!B:B="Engineer"),QUOTIENT(ROW()-ROW($A$2),12)+1),"")</f>
        <v>Bronator_youtube</v>
      </c>
      <c r="B734" s="42" t="str">
        <f>_xlfn.XLOOKUP(A734,Class_Players!$A:$A,Class_Players!$B:$B,"")</f>
        <v>Engineer</v>
      </c>
      <c r="C734" s="42" t="str" cm="1">
        <f t="array" ref="C734">INDEX(Lookups!$B$2:$B$13,MOD(ROW()-ROW($B$2),ROWS(Lookups!$B$2:$B$13))+1)</f>
        <v>MBT-LAW (Auto-Guided Launcher)</v>
      </c>
      <c r="D734" s="38" t="str">
        <f>_xlfn.XLOOKUP(C734,Analysis_Gadgets!$C:$C,Analysis_Gadgets!$B:$B)</f>
        <v>Gadget</v>
      </c>
      <c r="E734" s="43">
        <v>0</v>
      </c>
      <c r="F734" s="43">
        <f>_xlfn.XLOOKUP(A734,Class_Players!A:A,Class_Players!G:G)</f>
        <v>197</v>
      </c>
      <c r="G734" s="43">
        <f t="shared" si="160"/>
        <v>0</v>
      </c>
      <c r="H734" s="43">
        <f>_xlfn.XLOOKUP(A734,Class_Players!$A:$A,Class_Players!$F:$F,"")</f>
        <v>8164</v>
      </c>
      <c r="I734" s="44">
        <f t="shared" si="161"/>
        <v>0</v>
      </c>
      <c r="J734" s="43">
        <f t="shared" si="162"/>
        <v>0</v>
      </c>
      <c r="K734" s="44" cm="1">
        <f t="array" ref="K734">IF(D734="Gadget",_xlfn.IFS(I734&gt;=0.2,0.5,I734&gt;=0.1,0.35,I734&gt;=0.05,0.2,TRUE,0),IF(D734="Grenade",_xlfn.IFS(I734&gt;=0.2,1,I734&gt;=0.1,0.7,I734&gt;=0.05,0.4,TRUE,0),0))</f>
        <v>0</v>
      </c>
      <c r="L734" s="57">
        <f t="shared" ref="L734:L743" si="170">IF($K734=0,0,$K734 / SUMIFS($K:$K,$A:$A,$A734,$D:$D,"Gadget"))</f>
        <v>0</v>
      </c>
    </row>
    <row r="735" spans="1:12" x14ac:dyDescent="0.25">
      <c r="A735" s="42" t="str" cm="1">
        <f t="array" ref="A735">IFERROR(INDEX(_xlfn._xlws.FILTER(Class_Players!A:A,Class_Players!B:B="Engineer"),QUOTIENT(ROW()-ROW($A$2),12)+1),"")</f>
        <v>Bronator_youtube</v>
      </c>
      <c r="B735" s="42" t="str">
        <f>_xlfn.XLOOKUP(A735,Class_Players!$A:$A,Class_Players!$B:$B,"")</f>
        <v>Engineer</v>
      </c>
      <c r="C735" s="42" t="str" cm="1">
        <f t="array" ref="C735">INDEX(Lookups!$B$2:$B$13,MOD(ROW()-ROW($B$2),ROWS(Lookups!$B$2:$B$13))+1)</f>
        <v>SLM-93A (Air-Defense Launcher)</v>
      </c>
      <c r="D735" s="38" t="str">
        <f>_xlfn.XLOOKUP(C735,Analysis_Gadgets!$C:$C,Analysis_Gadgets!$B:$B)</f>
        <v>Gadget</v>
      </c>
      <c r="E735" s="43">
        <v>19</v>
      </c>
      <c r="F735" s="43">
        <f>_xlfn.XLOOKUP(A735,Class_Players!A:A,Class_Players!G:G)</f>
        <v>197</v>
      </c>
      <c r="G735" s="43">
        <f t="shared" si="160"/>
        <v>9.6446700507614211E-2</v>
      </c>
      <c r="H735" s="43">
        <f>_xlfn.XLOOKUP(A735,Class_Players!$A:$A,Class_Players!$F:$F,"")</f>
        <v>8164</v>
      </c>
      <c r="I735" s="44">
        <f t="shared" si="161"/>
        <v>2.3272905438510533E-3</v>
      </c>
      <c r="J735" s="43">
        <f t="shared" si="162"/>
        <v>0</v>
      </c>
      <c r="K735" s="44" cm="1">
        <f t="array" ref="K735">IF(D735="Gadget",_xlfn.IFS(I735&gt;=0.2,0.5,I735&gt;=0.1,0.35,I735&gt;=0.05,0.2,TRUE,0),IF(D735="Grenade",_xlfn.IFS(I735&gt;=0.2,1,I735&gt;=0.1,0.7,I735&gt;=0.05,0.4,TRUE,0),0))</f>
        <v>0</v>
      </c>
      <c r="L735" s="57">
        <f t="shared" si="170"/>
        <v>0</v>
      </c>
    </row>
    <row r="736" spans="1:12" x14ac:dyDescent="0.25">
      <c r="A736" s="42" t="str" cm="1">
        <f t="array" ref="A736">IFERROR(INDEX(_xlfn._xlws.FILTER(Class_Players!A:A,Class_Players!B:B="Engineer"),QUOTIENT(ROW()-ROW($A$2),12)+1),"")</f>
        <v>Bronator_youtube</v>
      </c>
      <c r="B736" s="42" t="str">
        <f>_xlfn.XLOOKUP(A736,Class_Players!$A:$A,Class_Players!$B:$B,"")</f>
        <v>Engineer</v>
      </c>
      <c r="C736" s="42" t="str" cm="1">
        <f t="array" ref="C736">INDEX(Lookups!$B$2:$B$13,MOD(ROW()-ROW($B$2),ROWS(Lookups!$B$2:$B$13))+1)</f>
        <v>RPG-7V2 (Unguided Rocket Launcher)</v>
      </c>
      <c r="D736" s="38" t="str">
        <f>_xlfn.XLOOKUP(C736,Analysis_Gadgets!$C:$C,Analysis_Gadgets!$B:$B)</f>
        <v>Gadget</v>
      </c>
      <c r="E736" s="43">
        <v>6328</v>
      </c>
      <c r="F736" s="43">
        <f>_xlfn.XLOOKUP(A736,Class_Players!A:A,Class_Players!G:G)</f>
        <v>197</v>
      </c>
      <c r="G736" s="43">
        <f t="shared" si="160"/>
        <v>32.121827411167516</v>
      </c>
      <c r="H736" s="43">
        <f>_xlfn.XLOOKUP(A736,Class_Players!$A:$A,Class_Players!$F:$F,"")</f>
        <v>8164</v>
      </c>
      <c r="I736" s="44">
        <f t="shared" si="161"/>
        <v>0.77511024007839291</v>
      </c>
      <c r="J736" s="43">
        <f t="shared" si="162"/>
        <v>1</v>
      </c>
      <c r="K736" s="44" cm="1">
        <f t="array" ref="K736">IF(D736="Gadget",_xlfn.IFS(I736&gt;=0.2,0.5,I736&gt;=0.1,0.35,I736&gt;=0.05,0.2,TRUE,0),IF(D736="Grenade",_xlfn.IFS(I736&gt;=0.2,1,I736&gt;=0.1,0.7,I736&gt;=0.05,0.4,TRUE,0),0))</f>
        <v>0.5</v>
      </c>
      <c r="L736" s="57">
        <f t="shared" si="170"/>
        <v>0.5</v>
      </c>
    </row>
    <row r="737" spans="1:12" x14ac:dyDescent="0.25">
      <c r="A737" s="42" t="str" cm="1">
        <f t="array" ref="A737">IFERROR(INDEX(_xlfn._xlws.FILTER(Class_Players!A:A,Class_Players!B:B="Engineer"),QUOTIENT(ROW()-ROW($A$2),12)+1),"")</f>
        <v>Bronator_youtube</v>
      </c>
      <c r="B737" s="42" t="str">
        <f>_xlfn.XLOOKUP(A737,Class_Players!$A:$A,Class_Players!$B:$B,"")</f>
        <v>Engineer</v>
      </c>
      <c r="C737" s="42" t="str" cm="1">
        <f t="array" ref="C737">INDEX(Lookups!$B$2:$B$13,MOD(ROW()-ROW($B$2),ROWS(Lookups!$B$2:$B$13))+1)</f>
        <v>MAS 148 (Long-Range Launcher)</v>
      </c>
      <c r="D737" s="38" t="str">
        <f>_xlfn.XLOOKUP(C737,Analysis_Gadgets!$C:$C,Analysis_Gadgets!$B:$B)</f>
        <v>Gadget</v>
      </c>
      <c r="E737" s="43">
        <v>2</v>
      </c>
      <c r="F737" s="43">
        <f>_xlfn.XLOOKUP(A737,Class_Players!A:A,Class_Players!G:G)</f>
        <v>197</v>
      </c>
      <c r="G737" s="43">
        <f t="shared" si="160"/>
        <v>1.015228426395939E-2</v>
      </c>
      <c r="H737" s="43">
        <f>_xlfn.XLOOKUP(A737,Class_Players!$A:$A,Class_Players!$F:$F,"")</f>
        <v>8164</v>
      </c>
      <c r="I737" s="44">
        <f t="shared" si="161"/>
        <v>2.4497795198432141E-4</v>
      </c>
      <c r="J737" s="43">
        <f t="shared" si="162"/>
        <v>0</v>
      </c>
      <c r="K737" s="44" cm="1">
        <f t="array" ref="K737">IF(D737="Gadget",_xlfn.IFS(I737&gt;=0.2,0.5,I737&gt;=0.1,0.35,I737&gt;=0.05,0.2,TRUE,0),IF(D737="Grenade",_xlfn.IFS(I737&gt;=0.2,1,I737&gt;=0.1,0.7,I737&gt;=0.05,0.4,TRUE,0),0))</f>
        <v>0</v>
      </c>
      <c r="L737" s="57">
        <f t="shared" si="170"/>
        <v>0</v>
      </c>
    </row>
    <row r="738" spans="1:12" x14ac:dyDescent="0.25">
      <c r="A738" s="42" t="str" cm="1">
        <f t="array" ref="A738">IFERROR(INDEX(_xlfn._xlws.FILTER(Class_Players!A:A,Class_Players!B:B="Engineer"),QUOTIENT(ROW()-ROW($A$2),12)+1),"")</f>
        <v>Bronator_youtube</v>
      </c>
      <c r="B738" s="42" t="str">
        <f>_xlfn.XLOOKUP(A738,Class_Players!$A:$A,Class_Players!$B:$B,"")</f>
        <v>Engineer</v>
      </c>
      <c r="C738" s="42" t="str" cm="1">
        <f t="array" ref="C738">INDEX(Lookups!$B$2:$B$13,MOD(ROW()-ROW($B$2),ROWS(Lookups!$B$2:$B$13))+1)</f>
        <v>M136 AT (Aim-Guided Launcher)</v>
      </c>
      <c r="D738" s="38" t="str">
        <f>_xlfn.XLOOKUP(C738,Analysis_Gadgets!$C:$C,Analysis_Gadgets!$B:$B)</f>
        <v>Gadget</v>
      </c>
      <c r="E738" s="43">
        <v>24</v>
      </c>
      <c r="F738" s="43">
        <f>_xlfn.XLOOKUP(A738,Class_Players!A:A,Class_Players!G:G)</f>
        <v>197</v>
      </c>
      <c r="G738" s="43">
        <f t="shared" si="160"/>
        <v>0.12182741116751269</v>
      </c>
      <c r="H738" s="43">
        <f>_xlfn.XLOOKUP(A738,Class_Players!$A:$A,Class_Players!$F:$F,"")</f>
        <v>8164</v>
      </c>
      <c r="I738" s="44">
        <f t="shared" si="161"/>
        <v>2.9397354238118569E-3</v>
      </c>
      <c r="J738" s="43">
        <f t="shared" si="162"/>
        <v>0</v>
      </c>
      <c r="K738" s="44" cm="1">
        <f t="array" ref="K738">IF(D738="Gadget",_xlfn.IFS(I738&gt;=0.2,0.5,I738&gt;=0.1,0.35,I738&gt;=0.05,0.2,TRUE,0),IF(D738="Grenade",_xlfn.IFS(I738&gt;=0.2,1,I738&gt;=0.1,0.7,I738&gt;=0.05,0.4,TRUE,0),0))</f>
        <v>0</v>
      </c>
      <c r="L738" s="57">
        <f t="shared" si="170"/>
        <v>0</v>
      </c>
    </row>
    <row r="739" spans="1:12" x14ac:dyDescent="0.25">
      <c r="A739" s="42" t="str" cm="1">
        <f t="array" ref="A739">IFERROR(INDEX(_xlfn._xlws.FILTER(Class_Players!A:A,Class_Players!B:B="Engineer"),QUOTIENT(ROW()-ROW($A$2),12)+1),"")</f>
        <v>Bronator_youtube</v>
      </c>
      <c r="B739" s="42" t="str">
        <f>_xlfn.XLOOKUP(A739,Class_Players!$A:$A,Class_Players!$B:$B,"")</f>
        <v>Engineer</v>
      </c>
      <c r="C739" s="42" t="str" cm="1">
        <f t="array" ref="C739">INDEX(Lookups!$B$2:$B$13,MOD(ROW()-ROW($B$2),ROWS(Lookups!$B$2:$B$13))+1)</f>
        <v>Supply Crate</v>
      </c>
      <c r="D739" s="38" t="str">
        <f>_xlfn.XLOOKUP(C739,Analysis_Gadgets!$C:$C,Analysis_Gadgets!$B:$B)</f>
        <v>Gadget</v>
      </c>
      <c r="E739" s="43">
        <v>7</v>
      </c>
      <c r="F739" s="43">
        <f>_xlfn.XLOOKUP(A739,Class_Players!A:A,Class_Players!G:G)</f>
        <v>197</v>
      </c>
      <c r="G739" s="43">
        <f t="shared" si="160"/>
        <v>3.553299492385787E-2</v>
      </c>
      <c r="H739" s="43">
        <f>_xlfn.XLOOKUP(A739,Class_Players!$A:$A,Class_Players!$F:$F,"")</f>
        <v>8164</v>
      </c>
      <c r="I739" s="44">
        <f t="shared" si="161"/>
        <v>8.5742283194512492E-4</v>
      </c>
      <c r="J739" s="43">
        <f t="shared" si="162"/>
        <v>0</v>
      </c>
      <c r="K739" s="44" cm="1">
        <f t="array" ref="K739">IF(D739="Gadget",_xlfn.IFS(I739&gt;=0.2,0.5,I739&gt;=0.1,0.35,I739&gt;=0.05,0.2,TRUE,0),IF(D739="Grenade",_xlfn.IFS(I739&gt;=0.2,1,I739&gt;=0.1,0.7,I739&gt;=0.05,0.4,TRUE,0),0))</f>
        <v>0</v>
      </c>
      <c r="L739" s="57">
        <f t="shared" si="170"/>
        <v>0</v>
      </c>
    </row>
    <row r="740" spans="1:12" x14ac:dyDescent="0.25">
      <c r="A740" s="42" t="str" cm="1">
        <f t="array" ref="A740">IFERROR(INDEX(_xlfn._xlws.FILTER(Class_Players!A:A,Class_Players!B:B="Engineer"),QUOTIENT(ROW()-ROW($A$2),12)+1),"")</f>
        <v>Bronator_youtube</v>
      </c>
      <c r="B740" s="42" t="str">
        <f>_xlfn.XLOOKUP(A740,Class_Players!$A:$A,Class_Players!$B:$B,"")</f>
        <v>Engineer</v>
      </c>
      <c r="C740" s="42" t="str" cm="1">
        <f t="array" ref="C740">INDEX(Lookups!$B$2:$B$13,MOD(ROW()-ROW($B$2),ROWS(Lookups!$B$2:$B$13))+1)</f>
        <v>M15 (Anti-Vehicle Mine)</v>
      </c>
      <c r="D740" s="38" t="str">
        <f>_xlfn.XLOOKUP(C740,Analysis_Gadgets!$C:$C,Analysis_Gadgets!$B:$B)</f>
        <v>Gadget</v>
      </c>
      <c r="E740" s="43">
        <v>68</v>
      </c>
      <c r="F740" s="43">
        <f>_xlfn.XLOOKUP(A740,Class_Players!A:A,Class_Players!G:G)</f>
        <v>197</v>
      </c>
      <c r="G740" s="43">
        <f t="shared" si="160"/>
        <v>0.34517766497461927</v>
      </c>
      <c r="H740" s="43">
        <f>_xlfn.XLOOKUP(A740,Class_Players!$A:$A,Class_Players!$F:$F,"")</f>
        <v>8164</v>
      </c>
      <c r="I740" s="44">
        <f t="shared" si="161"/>
        <v>8.3292503674669283E-3</v>
      </c>
      <c r="J740" s="43">
        <f t="shared" si="162"/>
        <v>0</v>
      </c>
      <c r="K740" s="44" cm="1">
        <f t="array" ref="K740">IF(D740="Gadget",_xlfn.IFS(I740&gt;=0.2,0.5,I740&gt;=0.1,0.35,I740&gt;=0.05,0.2,TRUE,0),IF(D740="Grenade",_xlfn.IFS(I740&gt;=0.2,1,I740&gt;=0.1,0.7,I740&gt;=0.05,0.4,TRUE,0),0))</f>
        <v>0</v>
      </c>
      <c r="L740" s="57">
        <f t="shared" si="170"/>
        <v>0</v>
      </c>
    </row>
    <row r="741" spans="1:12" x14ac:dyDescent="0.25">
      <c r="A741" s="42" t="str" cm="1">
        <f t="array" ref="A741">IFERROR(INDEX(_xlfn._xlws.FILTER(Class_Players!A:A,Class_Players!B:B="Engineer"),QUOTIENT(ROW()-ROW($A$2),12)+1),"")</f>
        <v>Bronator_youtube</v>
      </c>
      <c r="B741" s="42" t="str">
        <f>_xlfn.XLOOKUP(A741,Class_Players!$A:$A,Class_Players!$B:$B,"")</f>
        <v>Engineer</v>
      </c>
      <c r="C741" s="42" t="str" cm="1">
        <f t="array" ref="C741">INDEX(Lookups!$B$2:$B$13,MOD(ROW()-ROW($B$2),ROWS(Lookups!$B$2:$B$13))+1)</f>
        <v>PTKM-1R (Acoustic Sensor AV Mine)</v>
      </c>
      <c r="D741" s="38" t="str">
        <f>_xlfn.XLOOKUP(C741,Analysis_Gadgets!$C:$C,Analysis_Gadgets!$B:$B)</f>
        <v>Gadget</v>
      </c>
      <c r="E741" s="43">
        <v>2028</v>
      </c>
      <c r="F741" s="43">
        <f>_xlfn.XLOOKUP(A741,Class_Players!A:A,Class_Players!G:G)</f>
        <v>197</v>
      </c>
      <c r="G741" s="43">
        <f t="shared" si="160"/>
        <v>10.294416243654823</v>
      </c>
      <c r="H741" s="43">
        <f>_xlfn.XLOOKUP(A741,Class_Players!$A:$A,Class_Players!$F:$F,"")</f>
        <v>8164</v>
      </c>
      <c r="I741" s="44">
        <f t="shared" si="161"/>
        <v>0.24840764331210191</v>
      </c>
      <c r="J741" s="43">
        <f t="shared" si="162"/>
        <v>1</v>
      </c>
      <c r="K741" s="44" cm="1">
        <f t="array" ref="K741">IF(D741="Gadget",_xlfn.IFS(I741&gt;=0.2,0.5,I741&gt;=0.1,0.35,I741&gt;=0.05,0.2,TRUE,0),IF(D741="Grenade",_xlfn.IFS(I741&gt;=0.2,1,I741&gt;=0.1,0.7,I741&gt;=0.05,0.4,TRUE,0),0))</f>
        <v>0.5</v>
      </c>
      <c r="L741" s="57">
        <f t="shared" si="170"/>
        <v>0.5</v>
      </c>
    </row>
    <row r="742" spans="1:12" x14ac:dyDescent="0.25">
      <c r="A742" s="42" t="str" cm="1">
        <f t="array" ref="A742">IFERROR(INDEX(_xlfn._xlws.FILTER(Class_Players!A:A,Class_Players!B:B="Engineer"),QUOTIENT(ROW()-ROW($A$2),12)+1),"")</f>
        <v>Bronator_youtube</v>
      </c>
      <c r="B742" s="42" t="str">
        <f>_xlfn.XLOOKUP(A742,Class_Players!$A:$A,Class_Players!$B:$B,"")</f>
        <v>Engineer</v>
      </c>
      <c r="C742" s="42" t="str" cm="1">
        <f t="array" ref="C742">INDEX(Lookups!$B$2:$B$13,MOD(ROW()-ROW($B$2),ROWS(Lookups!$B$2:$B$13))+1)</f>
        <v>EOD Bot</v>
      </c>
      <c r="D742" s="38" t="str">
        <f>_xlfn.XLOOKUP(C742,Analysis_Gadgets!$C:$C,Analysis_Gadgets!$B:$B)</f>
        <v>Gadget</v>
      </c>
      <c r="E742" s="43">
        <v>9</v>
      </c>
      <c r="F742" s="43">
        <f>_xlfn.XLOOKUP(A742,Class_Players!A:A,Class_Players!G:G)</f>
        <v>197</v>
      </c>
      <c r="G742" s="43">
        <f t="shared" si="160"/>
        <v>4.5685279187817257E-2</v>
      </c>
      <c r="H742" s="43">
        <f>_xlfn.XLOOKUP(A742,Class_Players!$A:$A,Class_Players!$F:$F,"")</f>
        <v>8164</v>
      </c>
      <c r="I742" s="44">
        <f t="shared" si="161"/>
        <v>1.1024007839294464E-3</v>
      </c>
      <c r="J742" s="43">
        <f t="shared" si="162"/>
        <v>0</v>
      </c>
      <c r="K742" s="44" cm="1">
        <f t="array" ref="K742">IF(D742="Gadget",_xlfn.IFS(I742&gt;=0.2,0.5,I742&gt;=0.1,0.35,I742&gt;=0.05,0.2,TRUE,0),IF(D742="Grenade",_xlfn.IFS(I742&gt;=0.2,1,I742&gt;=0.1,0.7,I742&gt;=0.05,0.4,TRUE,0),0))</f>
        <v>0</v>
      </c>
      <c r="L742" s="57">
        <f t="shared" si="170"/>
        <v>0</v>
      </c>
    </row>
    <row r="743" spans="1:12" x14ac:dyDescent="0.25">
      <c r="A743" s="42" t="str" cm="1">
        <f t="array" ref="A743">IFERROR(INDEX(_xlfn._xlws.FILTER(Class_Players!A:A,Class_Players!B:B="Engineer"),QUOTIENT(ROW()-ROW($A$2),12)+1),"")</f>
        <v>Bronator_youtube</v>
      </c>
      <c r="B743" s="42" t="str">
        <f>_xlfn.XLOOKUP(A743,Class_Players!$A:$A,Class_Players!$B:$B,"")</f>
        <v>Engineer</v>
      </c>
      <c r="C743" s="42" t="str" cm="1">
        <f t="array" ref="C743">INDEX(Lookups!$B$2:$B$13,MOD(ROW()-ROW($B$2),ROWS(Lookups!$B$2:$B$13))+1)</f>
        <v>M4A1 SLAM (Tripwire Sensor AV Mine)</v>
      </c>
      <c r="D743" s="38" t="str">
        <f>_xlfn.XLOOKUP(C743,Analysis_Gadgets!$C:$C,Analysis_Gadgets!$B:$B)</f>
        <v>Gadget</v>
      </c>
      <c r="E743" s="43">
        <v>0</v>
      </c>
      <c r="F743" s="43">
        <f>_xlfn.XLOOKUP(A743,Class_Players!A:A,Class_Players!G:G)</f>
        <v>197</v>
      </c>
      <c r="G743" s="43">
        <f t="shared" si="160"/>
        <v>0</v>
      </c>
      <c r="H743" s="43">
        <f>_xlfn.XLOOKUP(A743,Class_Players!$A:$A,Class_Players!$F:$F,"")</f>
        <v>8164</v>
      </c>
      <c r="I743" s="44">
        <f t="shared" si="161"/>
        <v>0</v>
      </c>
      <c r="J743" s="43">
        <f t="shared" si="162"/>
        <v>0</v>
      </c>
      <c r="K743" s="44" cm="1">
        <f t="array" ref="K743">IF(D743="Gadget",_xlfn.IFS(I743&gt;=0.2,0.5,I743&gt;=0.1,0.35,I743&gt;=0.05,0.2,TRUE,0),IF(D743="Grenade",_xlfn.IFS(I743&gt;=0.2,1,I743&gt;=0.1,0.7,I743&gt;=0.05,0.4,TRUE,0),0))</f>
        <v>0</v>
      </c>
      <c r="L743" s="57">
        <f t="shared" si="170"/>
        <v>0</v>
      </c>
    </row>
    <row r="744" spans="1:12" x14ac:dyDescent="0.25">
      <c r="A744" s="42" t="str" cm="1">
        <f t="array" ref="A744">IFERROR(INDEX(_xlfn._xlws.FILTER(Class_Players!A:A,Class_Players!B:B="Engineer"),QUOTIENT(ROW()-ROW($A$2),12)+1),"")</f>
        <v>Bronator_youtube</v>
      </c>
      <c r="B744" s="42" t="str">
        <f>_xlfn.XLOOKUP(A744,Class_Players!$A:$A,Class_Players!$B:$B,"")</f>
        <v>Engineer</v>
      </c>
      <c r="C744" s="42" t="str" cm="1">
        <f t="array" ref="C744">INDEX(Lookups!$B$2:$B$13,MOD(ROW()-ROW($B$2),ROWS(Lookups!$B$2:$B$13))+1)</f>
        <v>Mini Frag Grenade</v>
      </c>
      <c r="D744" s="38" t="str">
        <f>_xlfn.XLOOKUP(C744,Analysis_Gadgets!$C:$C,Analysis_Gadgets!$B:$B)</f>
        <v>Grenade</v>
      </c>
      <c r="E744" s="43">
        <v>13</v>
      </c>
      <c r="F744" s="43">
        <f>_xlfn.XLOOKUP(A744,Class_Players!A:A,Class_Players!G:G)</f>
        <v>197</v>
      </c>
      <c r="G744" s="43">
        <f t="shared" si="160"/>
        <v>6.5989847715736044E-2</v>
      </c>
      <c r="H744" s="43">
        <f>_xlfn.XLOOKUP(A744,Class_Players!$A:$A,Class_Players!$F:$F,"")</f>
        <v>8164</v>
      </c>
      <c r="I744" s="44">
        <f t="shared" si="161"/>
        <v>1.5923566878980893E-3</v>
      </c>
      <c r="J744" s="43">
        <f t="shared" si="162"/>
        <v>0</v>
      </c>
      <c r="K744" s="44" cm="1">
        <f t="array" ref="K744">IF(D744="Gadget",_xlfn.IFS(I744&gt;=0.2,0.5,I744&gt;=0.1,0.35,I744&gt;=0.05,0.2,TRUE,0),IF(D744="Grenade",_xlfn.IFS(I744&gt;=0.2,1,I744&gt;=0.1,0.7,I744&gt;=0.05,0.4,TRUE,0),0))</f>
        <v>0</v>
      </c>
      <c r="L744" s="57">
        <f t="shared" ref="L744:L745" si="171">IF($K744=0,0,$K744 / SUMIFS($K:$K,$A:$A,$A744,$D:$D,"Grenade"))</f>
        <v>0</v>
      </c>
    </row>
    <row r="745" spans="1:12" x14ac:dyDescent="0.25">
      <c r="A745" s="42" t="str" cm="1">
        <f t="array" ref="A745">IFERROR(INDEX(_xlfn._xlws.FILTER(Class_Players!A:A,Class_Players!B:B="Engineer"),QUOTIENT(ROW()-ROW($A$2),12)+1),"")</f>
        <v>Bronator_youtube</v>
      </c>
      <c r="B745" s="42" t="str">
        <f>_xlfn.XLOOKUP(A745,Class_Players!$A:$A,Class_Players!$B:$B,"")</f>
        <v>Engineer</v>
      </c>
      <c r="C745" s="42" t="str" cm="1">
        <f t="array" ref="C745">INDEX(Lookups!$B$2:$B$13,MOD(ROW()-ROW($B$2),ROWS(Lookups!$B$2:$B$13))+1)</f>
        <v>Anti-Vehicle Grenade</v>
      </c>
      <c r="D745" s="38" t="str">
        <f>_xlfn.XLOOKUP(C745,Analysis_Gadgets!$C:$C,Analysis_Gadgets!$B:$B)</f>
        <v>Grenade</v>
      </c>
      <c r="E745" s="43">
        <v>0</v>
      </c>
      <c r="F745" s="43">
        <f>_xlfn.XLOOKUP(A745,Class_Players!A:A,Class_Players!G:G)</f>
        <v>197</v>
      </c>
      <c r="G745" s="43">
        <f t="shared" si="160"/>
        <v>0</v>
      </c>
      <c r="H745" s="43">
        <f>_xlfn.XLOOKUP(A745,Class_Players!$A:$A,Class_Players!$F:$F,"")</f>
        <v>8164</v>
      </c>
      <c r="I745" s="44">
        <f t="shared" si="161"/>
        <v>0</v>
      </c>
      <c r="J745" s="43">
        <f t="shared" si="162"/>
        <v>0</v>
      </c>
      <c r="K745" s="44" cm="1">
        <f t="array" ref="K745">IF(D745="Gadget",_xlfn.IFS(I745&gt;=0.2,0.5,I745&gt;=0.1,0.35,I745&gt;=0.05,0.2,TRUE,0),IF(D745="Grenade",_xlfn.IFS(I745&gt;=0.2,1,I745&gt;=0.1,0.7,I745&gt;=0.05,0.4,TRUE,0),0))</f>
        <v>0</v>
      </c>
      <c r="L745" s="57">
        <f t="shared" si="171"/>
        <v>0</v>
      </c>
    </row>
    <row r="746" spans="1:12" x14ac:dyDescent="0.25">
      <c r="A746" s="42" t="str" cm="1">
        <f t="array" ref="A746">IFERROR(INDEX(_xlfn._xlws.FILTER(Class_Players!A:A,Class_Players!B:B="Engineer"),QUOTIENT(ROW()-ROW($A$2),12)+1),"")</f>
        <v>JustCallMeCatt</v>
      </c>
      <c r="B746" s="42" t="str">
        <f>_xlfn.XLOOKUP(A746,Class_Players!$A:$A,Class_Players!$B:$B,"")</f>
        <v>Engineer</v>
      </c>
      <c r="C746" s="42" t="str" cm="1">
        <f t="array" ref="C746">INDEX(Lookups!$B$2:$B$13,MOD(ROW()-ROW($B$2),ROWS(Lookups!$B$2:$B$13))+1)</f>
        <v>MBT-LAW (Auto-Guided Launcher)</v>
      </c>
      <c r="D746" s="38" t="str">
        <f>_xlfn.XLOOKUP(C746,Analysis_Gadgets!$C:$C,Analysis_Gadgets!$B:$B)</f>
        <v>Gadget</v>
      </c>
      <c r="E746" s="43">
        <v>0</v>
      </c>
      <c r="F746" s="43">
        <f>_xlfn.XLOOKUP(A746,Class_Players!A:A,Class_Players!G:G)</f>
        <v>202</v>
      </c>
      <c r="G746" s="43">
        <f t="shared" si="160"/>
        <v>0</v>
      </c>
      <c r="H746" s="43">
        <f>_xlfn.XLOOKUP(A746,Class_Players!$A:$A,Class_Players!$F:$F,"")</f>
        <v>8851</v>
      </c>
      <c r="I746" s="44">
        <f t="shared" si="161"/>
        <v>0</v>
      </c>
      <c r="J746" s="43">
        <f t="shared" si="162"/>
        <v>0</v>
      </c>
      <c r="K746" s="44" cm="1">
        <f t="array" ref="K746">IF(D746="Gadget",_xlfn.IFS(I746&gt;=0.2,0.5,I746&gt;=0.1,0.35,I746&gt;=0.05,0.2,TRUE,0),IF(D746="Grenade",_xlfn.IFS(I746&gt;=0.2,1,I746&gt;=0.1,0.7,I746&gt;=0.05,0.4,TRUE,0),0))</f>
        <v>0</v>
      </c>
      <c r="L746" s="57">
        <f t="shared" ref="L746:L755" si="172">IF($K746=0,0,$K746 / SUMIFS($K:$K,$A:$A,$A746,$D:$D,"Gadget"))</f>
        <v>0</v>
      </c>
    </row>
    <row r="747" spans="1:12" x14ac:dyDescent="0.25">
      <c r="A747" s="42" t="str" cm="1">
        <f t="array" ref="A747">IFERROR(INDEX(_xlfn._xlws.FILTER(Class_Players!A:A,Class_Players!B:B="Engineer"),QUOTIENT(ROW()-ROW($A$2),12)+1),"")</f>
        <v>JustCallMeCatt</v>
      </c>
      <c r="B747" s="42" t="str">
        <f>_xlfn.XLOOKUP(A747,Class_Players!$A:$A,Class_Players!$B:$B,"")</f>
        <v>Engineer</v>
      </c>
      <c r="C747" s="42" t="str" cm="1">
        <f t="array" ref="C747">INDEX(Lookups!$B$2:$B$13,MOD(ROW()-ROW($B$2),ROWS(Lookups!$B$2:$B$13))+1)</f>
        <v>SLM-93A (Air-Defense Launcher)</v>
      </c>
      <c r="D747" s="38" t="str">
        <f>_xlfn.XLOOKUP(C747,Analysis_Gadgets!$C:$C,Analysis_Gadgets!$B:$B)</f>
        <v>Gadget</v>
      </c>
      <c r="E747" s="43">
        <v>1</v>
      </c>
      <c r="F747" s="43">
        <f>_xlfn.XLOOKUP(A747,Class_Players!A:A,Class_Players!G:G)</f>
        <v>202</v>
      </c>
      <c r="G747" s="43">
        <f t="shared" si="160"/>
        <v>4.9504950495049506E-3</v>
      </c>
      <c r="H747" s="43">
        <f>_xlfn.XLOOKUP(A747,Class_Players!$A:$A,Class_Players!$F:$F,"")</f>
        <v>8851</v>
      </c>
      <c r="I747" s="44">
        <f t="shared" si="161"/>
        <v>1.1298158400180771E-4</v>
      </c>
      <c r="J747" s="43">
        <f t="shared" si="162"/>
        <v>0</v>
      </c>
      <c r="K747" s="44" cm="1">
        <f t="array" ref="K747">IF(D747="Gadget",_xlfn.IFS(I747&gt;=0.2,0.5,I747&gt;=0.1,0.35,I747&gt;=0.05,0.2,TRUE,0),IF(D747="Grenade",_xlfn.IFS(I747&gt;=0.2,1,I747&gt;=0.1,0.7,I747&gt;=0.05,0.4,TRUE,0),0))</f>
        <v>0</v>
      </c>
      <c r="L747" s="57">
        <f t="shared" si="172"/>
        <v>0</v>
      </c>
    </row>
    <row r="748" spans="1:12" x14ac:dyDescent="0.25">
      <c r="A748" s="42" t="str" cm="1">
        <f t="array" ref="A748">IFERROR(INDEX(_xlfn._xlws.FILTER(Class_Players!A:A,Class_Players!B:B="Engineer"),QUOTIENT(ROW()-ROW($A$2),12)+1),"")</f>
        <v>JustCallMeCatt</v>
      </c>
      <c r="B748" s="42" t="str">
        <f>_xlfn.XLOOKUP(A748,Class_Players!$A:$A,Class_Players!$B:$B,"")</f>
        <v>Engineer</v>
      </c>
      <c r="C748" s="42" t="str" cm="1">
        <f t="array" ref="C748">INDEX(Lookups!$B$2:$B$13,MOD(ROW()-ROW($B$2),ROWS(Lookups!$B$2:$B$13))+1)</f>
        <v>RPG-7V2 (Unguided Rocket Launcher)</v>
      </c>
      <c r="D748" s="38" t="str">
        <f>_xlfn.XLOOKUP(C748,Analysis_Gadgets!$C:$C,Analysis_Gadgets!$B:$B)</f>
        <v>Gadget</v>
      </c>
      <c r="E748" s="43">
        <v>6529</v>
      </c>
      <c r="F748" s="43">
        <f>_xlfn.XLOOKUP(A748,Class_Players!A:A,Class_Players!G:G)</f>
        <v>202</v>
      </c>
      <c r="G748" s="43">
        <f t="shared" si="160"/>
        <v>32.321782178217823</v>
      </c>
      <c r="H748" s="43">
        <f>_xlfn.XLOOKUP(A748,Class_Players!$A:$A,Class_Players!$F:$F,"")</f>
        <v>8851</v>
      </c>
      <c r="I748" s="44">
        <f t="shared" si="161"/>
        <v>0.7376567619478025</v>
      </c>
      <c r="J748" s="43">
        <f t="shared" si="162"/>
        <v>1</v>
      </c>
      <c r="K748" s="44" cm="1">
        <f t="array" ref="K748">IF(D748="Gadget",_xlfn.IFS(I748&gt;=0.2,0.5,I748&gt;=0.1,0.35,I748&gt;=0.05,0.2,TRUE,0),IF(D748="Grenade",_xlfn.IFS(I748&gt;=0.2,1,I748&gt;=0.1,0.7,I748&gt;=0.05,0.4,TRUE,0),0))</f>
        <v>0.5</v>
      </c>
      <c r="L748" s="57">
        <f t="shared" si="172"/>
        <v>0.5</v>
      </c>
    </row>
    <row r="749" spans="1:12" x14ac:dyDescent="0.25">
      <c r="A749" s="42" t="str" cm="1">
        <f t="array" ref="A749">IFERROR(INDEX(_xlfn._xlws.FILTER(Class_Players!A:A,Class_Players!B:B="Engineer"),QUOTIENT(ROW()-ROW($A$2),12)+1),"")</f>
        <v>JustCallMeCatt</v>
      </c>
      <c r="B749" s="42" t="str">
        <f>_xlfn.XLOOKUP(A749,Class_Players!$A:$A,Class_Players!$B:$B,"")</f>
        <v>Engineer</v>
      </c>
      <c r="C749" s="42" t="str" cm="1">
        <f t="array" ref="C749">INDEX(Lookups!$B$2:$B$13,MOD(ROW()-ROW($B$2),ROWS(Lookups!$B$2:$B$13))+1)</f>
        <v>MAS 148 (Long-Range Launcher)</v>
      </c>
      <c r="D749" s="38" t="str">
        <f>_xlfn.XLOOKUP(C749,Analysis_Gadgets!$C:$C,Analysis_Gadgets!$B:$B)</f>
        <v>Gadget</v>
      </c>
      <c r="E749" s="43">
        <v>0</v>
      </c>
      <c r="F749" s="43">
        <f>_xlfn.XLOOKUP(A749,Class_Players!A:A,Class_Players!G:G)</f>
        <v>202</v>
      </c>
      <c r="G749" s="43">
        <f t="shared" si="160"/>
        <v>0</v>
      </c>
      <c r="H749" s="43">
        <f>_xlfn.XLOOKUP(A749,Class_Players!$A:$A,Class_Players!$F:$F,"")</f>
        <v>8851</v>
      </c>
      <c r="I749" s="44">
        <f t="shared" si="161"/>
        <v>0</v>
      </c>
      <c r="J749" s="43">
        <f t="shared" si="162"/>
        <v>0</v>
      </c>
      <c r="K749" s="44" cm="1">
        <f t="array" ref="K749">IF(D749="Gadget",_xlfn.IFS(I749&gt;=0.2,0.5,I749&gt;=0.1,0.35,I749&gt;=0.05,0.2,TRUE,0),IF(D749="Grenade",_xlfn.IFS(I749&gt;=0.2,1,I749&gt;=0.1,0.7,I749&gt;=0.05,0.4,TRUE,0),0))</f>
        <v>0</v>
      </c>
      <c r="L749" s="57">
        <f t="shared" si="172"/>
        <v>0</v>
      </c>
    </row>
    <row r="750" spans="1:12" x14ac:dyDescent="0.25">
      <c r="A750" s="42" t="str" cm="1">
        <f t="array" ref="A750">IFERROR(INDEX(_xlfn._xlws.FILTER(Class_Players!A:A,Class_Players!B:B="Engineer"),QUOTIENT(ROW()-ROW($A$2),12)+1),"")</f>
        <v>JustCallMeCatt</v>
      </c>
      <c r="B750" s="42" t="str">
        <f>_xlfn.XLOOKUP(A750,Class_Players!$A:$A,Class_Players!$B:$B,"")</f>
        <v>Engineer</v>
      </c>
      <c r="C750" s="42" t="str" cm="1">
        <f t="array" ref="C750">INDEX(Lookups!$B$2:$B$13,MOD(ROW()-ROW($B$2),ROWS(Lookups!$B$2:$B$13))+1)</f>
        <v>M136 AT (Aim-Guided Launcher)</v>
      </c>
      <c r="D750" s="38" t="str">
        <f>_xlfn.XLOOKUP(C750,Analysis_Gadgets!$C:$C,Analysis_Gadgets!$B:$B)</f>
        <v>Gadget</v>
      </c>
      <c r="E750" s="43">
        <v>0</v>
      </c>
      <c r="F750" s="43">
        <f>_xlfn.XLOOKUP(A750,Class_Players!A:A,Class_Players!G:G)</f>
        <v>202</v>
      </c>
      <c r="G750" s="43">
        <f t="shared" si="160"/>
        <v>0</v>
      </c>
      <c r="H750" s="43">
        <f>_xlfn.XLOOKUP(A750,Class_Players!$A:$A,Class_Players!$F:$F,"")</f>
        <v>8851</v>
      </c>
      <c r="I750" s="44">
        <f t="shared" si="161"/>
        <v>0</v>
      </c>
      <c r="J750" s="43">
        <f t="shared" si="162"/>
        <v>0</v>
      </c>
      <c r="K750" s="44" cm="1">
        <f t="array" ref="K750">IF(D750="Gadget",_xlfn.IFS(I750&gt;=0.2,0.5,I750&gt;=0.1,0.35,I750&gt;=0.05,0.2,TRUE,0),IF(D750="Grenade",_xlfn.IFS(I750&gt;=0.2,1,I750&gt;=0.1,0.7,I750&gt;=0.05,0.4,TRUE,0),0))</f>
        <v>0</v>
      </c>
      <c r="L750" s="57">
        <f t="shared" si="172"/>
        <v>0</v>
      </c>
    </row>
    <row r="751" spans="1:12" x14ac:dyDescent="0.25">
      <c r="A751" s="42" t="str" cm="1">
        <f t="array" ref="A751">IFERROR(INDEX(_xlfn._xlws.FILTER(Class_Players!A:A,Class_Players!B:B="Engineer"),QUOTIENT(ROW()-ROW($A$2),12)+1),"")</f>
        <v>JustCallMeCatt</v>
      </c>
      <c r="B751" s="42" t="str">
        <f>_xlfn.XLOOKUP(A751,Class_Players!$A:$A,Class_Players!$B:$B,"")</f>
        <v>Engineer</v>
      </c>
      <c r="C751" s="42" t="str" cm="1">
        <f t="array" ref="C751">INDEX(Lookups!$B$2:$B$13,MOD(ROW()-ROW($B$2),ROWS(Lookups!$B$2:$B$13))+1)</f>
        <v>Supply Crate</v>
      </c>
      <c r="D751" s="38" t="str">
        <f>_xlfn.XLOOKUP(C751,Analysis_Gadgets!$C:$C,Analysis_Gadgets!$B:$B)</f>
        <v>Gadget</v>
      </c>
      <c r="E751" s="43">
        <v>0</v>
      </c>
      <c r="F751" s="43">
        <f>_xlfn.XLOOKUP(A751,Class_Players!A:A,Class_Players!G:G)</f>
        <v>202</v>
      </c>
      <c r="G751" s="43">
        <f t="shared" si="160"/>
        <v>0</v>
      </c>
      <c r="H751" s="43">
        <f>_xlfn.XLOOKUP(A751,Class_Players!$A:$A,Class_Players!$F:$F,"")</f>
        <v>8851</v>
      </c>
      <c r="I751" s="44">
        <f t="shared" si="161"/>
        <v>0</v>
      </c>
      <c r="J751" s="43">
        <f t="shared" si="162"/>
        <v>0</v>
      </c>
      <c r="K751" s="44" cm="1">
        <f t="array" ref="K751">IF(D751="Gadget",_xlfn.IFS(I751&gt;=0.2,0.5,I751&gt;=0.1,0.35,I751&gt;=0.05,0.2,TRUE,0),IF(D751="Grenade",_xlfn.IFS(I751&gt;=0.2,1,I751&gt;=0.1,0.7,I751&gt;=0.05,0.4,TRUE,0),0))</f>
        <v>0</v>
      </c>
      <c r="L751" s="57">
        <f t="shared" si="172"/>
        <v>0</v>
      </c>
    </row>
    <row r="752" spans="1:12" x14ac:dyDescent="0.25">
      <c r="A752" s="42" t="str" cm="1">
        <f t="array" ref="A752">IFERROR(INDEX(_xlfn._xlws.FILTER(Class_Players!A:A,Class_Players!B:B="Engineer"),QUOTIENT(ROW()-ROW($A$2),12)+1),"")</f>
        <v>JustCallMeCatt</v>
      </c>
      <c r="B752" s="42" t="str">
        <f>_xlfn.XLOOKUP(A752,Class_Players!$A:$A,Class_Players!$B:$B,"")</f>
        <v>Engineer</v>
      </c>
      <c r="C752" s="42" t="str" cm="1">
        <f t="array" ref="C752">INDEX(Lookups!$B$2:$B$13,MOD(ROW()-ROW($B$2),ROWS(Lookups!$B$2:$B$13))+1)</f>
        <v>M15 (Anti-Vehicle Mine)</v>
      </c>
      <c r="D752" s="38" t="str">
        <f>_xlfn.XLOOKUP(C752,Analysis_Gadgets!$C:$C,Analysis_Gadgets!$B:$B)</f>
        <v>Gadget</v>
      </c>
      <c r="E752" s="43">
        <v>353</v>
      </c>
      <c r="F752" s="43">
        <f>_xlfn.XLOOKUP(A752,Class_Players!A:A,Class_Players!G:G)</f>
        <v>202</v>
      </c>
      <c r="G752" s="43">
        <f t="shared" si="160"/>
        <v>1.7475247524752475</v>
      </c>
      <c r="H752" s="43">
        <f>_xlfn.XLOOKUP(A752,Class_Players!$A:$A,Class_Players!$F:$F,"")</f>
        <v>8851</v>
      </c>
      <c r="I752" s="44">
        <f t="shared" si="161"/>
        <v>3.9882499152638119E-2</v>
      </c>
      <c r="J752" s="43">
        <f t="shared" si="162"/>
        <v>0</v>
      </c>
      <c r="K752" s="44" cm="1">
        <f t="array" ref="K752">IF(D752="Gadget",_xlfn.IFS(I752&gt;=0.2,0.5,I752&gt;=0.1,0.35,I752&gt;=0.05,0.2,TRUE,0),IF(D752="Grenade",_xlfn.IFS(I752&gt;=0.2,1,I752&gt;=0.1,0.7,I752&gt;=0.05,0.4,TRUE,0),0))</f>
        <v>0</v>
      </c>
      <c r="L752" s="57">
        <f t="shared" si="172"/>
        <v>0</v>
      </c>
    </row>
    <row r="753" spans="1:12" x14ac:dyDescent="0.25">
      <c r="A753" s="42" t="str" cm="1">
        <f t="array" ref="A753">IFERROR(INDEX(_xlfn._xlws.FILTER(Class_Players!A:A,Class_Players!B:B="Engineer"),QUOTIENT(ROW()-ROW($A$2),12)+1),"")</f>
        <v>JustCallMeCatt</v>
      </c>
      <c r="B753" s="42" t="str">
        <f>_xlfn.XLOOKUP(A753,Class_Players!$A:$A,Class_Players!$B:$B,"")</f>
        <v>Engineer</v>
      </c>
      <c r="C753" s="42" t="str" cm="1">
        <f t="array" ref="C753">INDEX(Lookups!$B$2:$B$13,MOD(ROW()-ROW($B$2),ROWS(Lookups!$B$2:$B$13))+1)</f>
        <v>PTKM-1R (Acoustic Sensor AV Mine)</v>
      </c>
      <c r="D753" s="38" t="str">
        <f>_xlfn.XLOOKUP(C753,Analysis_Gadgets!$C:$C,Analysis_Gadgets!$B:$B)</f>
        <v>Gadget</v>
      </c>
      <c r="E753" s="43">
        <v>5373</v>
      </c>
      <c r="F753" s="43">
        <f>_xlfn.XLOOKUP(A753,Class_Players!A:A,Class_Players!G:G)</f>
        <v>202</v>
      </c>
      <c r="G753" s="43">
        <f t="shared" si="160"/>
        <v>26.599009900990097</v>
      </c>
      <c r="H753" s="43">
        <f>_xlfn.XLOOKUP(A753,Class_Players!$A:$A,Class_Players!$F:$F,"")</f>
        <v>8851</v>
      </c>
      <c r="I753" s="44">
        <f t="shared" si="161"/>
        <v>0.60705005084171282</v>
      </c>
      <c r="J753" s="43">
        <f t="shared" si="162"/>
        <v>1</v>
      </c>
      <c r="K753" s="44" cm="1">
        <f t="array" ref="K753">IF(D753="Gadget",_xlfn.IFS(I753&gt;=0.2,0.5,I753&gt;=0.1,0.35,I753&gt;=0.05,0.2,TRUE,0),IF(D753="Grenade",_xlfn.IFS(I753&gt;=0.2,1,I753&gt;=0.1,0.7,I753&gt;=0.05,0.4,TRUE,0),0))</f>
        <v>0.5</v>
      </c>
      <c r="L753" s="57">
        <f t="shared" si="172"/>
        <v>0.5</v>
      </c>
    </row>
    <row r="754" spans="1:12" x14ac:dyDescent="0.25">
      <c r="A754" s="42" t="str" cm="1">
        <f t="array" ref="A754">IFERROR(INDEX(_xlfn._xlws.FILTER(Class_Players!A:A,Class_Players!B:B="Engineer"),QUOTIENT(ROW()-ROW($A$2),12)+1),"")</f>
        <v>JustCallMeCatt</v>
      </c>
      <c r="B754" s="42" t="str">
        <f>_xlfn.XLOOKUP(A754,Class_Players!$A:$A,Class_Players!$B:$B,"")</f>
        <v>Engineer</v>
      </c>
      <c r="C754" s="42" t="str" cm="1">
        <f t="array" ref="C754">INDEX(Lookups!$B$2:$B$13,MOD(ROW()-ROW($B$2),ROWS(Lookups!$B$2:$B$13))+1)</f>
        <v>EOD Bot</v>
      </c>
      <c r="D754" s="38" t="str">
        <f>_xlfn.XLOOKUP(C754,Analysis_Gadgets!$C:$C,Analysis_Gadgets!$B:$B)</f>
        <v>Gadget</v>
      </c>
      <c r="E754" s="43">
        <v>0</v>
      </c>
      <c r="F754" s="43">
        <f>_xlfn.XLOOKUP(A754,Class_Players!A:A,Class_Players!G:G)</f>
        <v>202</v>
      </c>
      <c r="G754" s="43">
        <f t="shared" ref="G754:G817" si="173">IF(F754=0,"",E754/(F754))</f>
        <v>0</v>
      </c>
      <c r="H754" s="43">
        <f>_xlfn.XLOOKUP(A754,Class_Players!$A:$A,Class_Players!$F:$F,"")</f>
        <v>8851</v>
      </c>
      <c r="I754" s="44">
        <f t="shared" ref="I754:I817" si="174">IF(H754=0,"",E754/H754)</f>
        <v>0</v>
      </c>
      <c r="J754" s="43">
        <f t="shared" ref="J754:J817" si="175">IF(I754&gt;=0.1,1,0)</f>
        <v>0</v>
      </c>
      <c r="K754" s="44" cm="1">
        <f t="array" ref="K754">IF(D754="Gadget",_xlfn.IFS(I754&gt;=0.2,0.5,I754&gt;=0.1,0.35,I754&gt;=0.05,0.2,TRUE,0),IF(D754="Grenade",_xlfn.IFS(I754&gt;=0.2,1,I754&gt;=0.1,0.7,I754&gt;=0.05,0.4,TRUE,0),0))</f>
        <v>0</v>
      </c>
      <c r="L754" s="57">
        <f t="shared" si="172"/>
        <v>0</v>
      </c>
    </row>
    <row r="755" spans="1:12" x14ac:dyDescent="0.25">
      <c r="A755" s="42" t="str" cm="1">
        <f t="array" ref="A755">IFERROR(INDEX(_xlfn._xlws.FILTER(Class_Players!A:A,Class_Players!B:B="Engineer"),QUOTIENT(ROW()-ROW($A$2),12)+1),"")</f>
        <v>JustCallMeCatt</v>
      </c>
      <c r="B755" s="42" t="str">
        <f>_xlfn.XLOOKUP(A755,Class_Players!$A:$A,Class_Players!$B:$B,"")</f>
        <v>Engineer</v>
      </c>
      <c r="C755" s="42" t="str" cm="1">
        <f t="array" ref="C755">INDEX(Lookups!$B$2:$B$13,MOD(ROW()-ROW($B$2),ROWS(Lookups!$B$2:$B$13))+1)</f>
        <v>M4A1 SLAM (Tripwire Sensor AV Mine)</v>
      </c>
      <c r="D755" s="38" t="str">
        <f>_xlfn.XLOOKUP(C755,Analysis_Gadgets!$C:$C,Analysis_Gadgets!$B:$B)</f>
        <v>Gadget</v>
      </c>
      <c r="E755" s="43">
        <v>0</v>
      </c>
      <c r="F755" s="43">
        <f>_xlfn.XLOOKUP(A755,Class_Players!A:A,Class_Players!G:G)</f>
        <v>202</v>
      </c>
      <c r="G755" s="43">
        <f t="shared" si="173"/>
        <v>0</v>
      </c>
      <c r="H755" s="43">
        <f>_xlfn.XLOOKUP(A755,Class_Players!$A:$A,Class_Players!$F:$F,"")</f>
        <v>8851</v>
      </c>
      <c r="I755" s="44">
        <f t="shared" si="174"/>
        <v>0</v>
      </c>
      <c r="J755" s="43">
        <f t="shared" si="175"/>
        <v>0</v>
      </c>
      <c r="K755" s="44" cm="1">
        <f t="array" ref="K755">IF(D755="Gadget",_xlfn.IFS(I755&gt;=0.2,0.5,I755&gt;=0.1,0.35,I755&gt;=0.05,0.2,TRUE,0),IF(D755="Grenade",_xlfn.IFS(I755&gt;=0.2,1,I755&gt;=0.1,0.7,I755&gt;=0.05,0.4,TRUE,0),0))</f>
        <v>0</v>
      </c>
      <c r="L755" s="57">
        <f t="shared" si="172"/>
        <v>0</v>
      </c>
    </row>
    <row r="756" spans="1:12" x14ac:dyDescent="0.25">
      <c r="A756" s="42" t="str" cm="1">
        <f t="array" ref="A756">IFERROR(INDEX(_xlfn._xlws.FILTER(Class_Players!A:A,Class_Players!B:B="Engineer"),QUOTIENT(ROW()-ROW($A$2),12)+1),"")</f>
        <v>JustCallMeCatt</v>
      </c>
      <c r="B756" s="42" t="str">
        <f>_xlfn.XLOOKUP(A756,Class_Players!$A:$A,Class_Players!$B:$B,"")</f>
        <v>Engineer</v>
      </c>
      <c r="C756" s="42" t="str" cm="1">
        <f t="array" ref="C756">INDEX(Lookups!$B$2:$B$13,MOD(ROW()-ROW($B$2),ROWS(Lookups!$B$2:$B$13))+1)</f>
        <v>Mini Frag Grenade</v>
      </c>
      <c r="D756" s="38" t="str">
        <f>_xlfn.XLOOKUP(C756,Analysis_Gadgets!$C:$C,Analysis_Gadgets!$B:$B)</f>
        <v>Grenade</v>
      </c>
      <c r="E756" s="43">
        <v>1</v>
      </c>
      <c r="F756" s="43">
        <f>_xlfn.XLOOKUP(A756,Class_Players!A:A,Class_Players!G:G)</f>
        <v>202</v>
      </c>
      <c r="G756" s="43">
        <f t="shared" si="173"/>
        <v>4.9504950495049506E-3</v>
      </c>
      <c r="H756" s="43">
        <f>_xlfn.XLOOKUP(A756,Class_Players!$A:$A,Class_Players!$F:$F,"")</f>
        <v>8851</v>
      </c>
      <c r="I756" s="44">
        <f t="shared" si="174"/>
        <v>1.1298158400180771E-4</v>
      </c>
      <c r="J756" s="43">
        <f t="shared" si="175"/>
        <v>0</v>
      </c>
      <c r="K756" s="44" cm="1">
        <f t="array" ref="K756">IF(D756="Gadget",_xlfn.IFS(I756&gt;=0.2,0.5,I756&gt;=0.1,0.35,I756&gt;=0.05,0.2,TRUE,0),IF(D756="Grenade",_xlfn.IFS(I756&gt;=0.2,1,I756&gt;=0.1,0.7,I756&gt;=0.05,0.4,TRUE,0),0))</f>
        <v>0</v>
      </c>
      <c r="L756" s="57">
        <f t="shared" ref="L756:L757" si="176">IF($K756=0,0,$K756 / SUMIFS($K:$K,$A:$A,$A756,$D:$D,"Grenade"))</f>
        <v>0</v>
      </c>
    </row>
    <row r="757" spans="1:12" x14ac:dyDescent="0.25">
      <c r="A757" s="42" t="str" cm="1">
        <f t="array" ref="A757">IFERROR(INDEX(_xlfn._xlws.FILTER(Class_Players!A:A,Class_Players!B:B="Engineer"),QUOTIENT(ROW()-ROW($A$2),12)+1),"")</f>
        <v>JustCallMeCatt</v>
      </c>
      <c r="B757" s="42" t="str">
        <f>_xlfn.XLOOKUP(A757,Class_Players!$A:$A,Class_Players!$B:$B,"")</f>
        <v>Engineer</v>
      </c>
      <c r="C757" s="42" t="str" cm="1">
        <f t="array" ref="C757">INDEX(Lookups!$B$2:$B$13,MOD(ROW()-ROW($B$2),ROWS(Lookups!$B$2:$B$13))+1)</f>
        <v>Anti-Vehicle Grenade</v>
      </c>
      <c r="D757" s="38" t="str">
        <f>_xlfn.XLOOKUP(C757,Analysis_Gadgets!$C:$C,Analysis_Gadgets!$B:$B)</f>
        <v>Grenade</v>
      </c>
      <c r="E757" s="43">
        <v>0</v>
      </c>
      <c r="F757" s="43">
        <f>_xlfn.XLOOKUP(A757,Class_Players!A:A,Class_Players!G:G)</f>
        <v>202</v>
      </c>
      <c r="G757" s="43">
        <f t="shared" si="173"/>
        <v>0</v>
      </c>
      <c r="H757" s="43">
        <f>_xlfn.XLOOKUP(A757,Class_Players!$A:$A,Class_Players!$F:$F,"")</f>
        <v>8851</v>
      </c>
      <c r="I757" s="44">
        <f t="shared" si="174"/>
        <v>0</v>
      </c>
      <c r="J757" s="43">
        <f t="shared" si="175"/>
        <v>0</v>
      </c>
      <c r="K757" s="44" cm="1">
        <f t="array" ref="K757">IF(D757="Gadget",_xlfn.IFS(I757&gt;=0.2,0.5,I757&gt;=0.1,0.35,I757&gt;=0.05,0.2,TRUE,0),IF(D757="Grenade",_xlfn.IFS(I757&gt;=0.2,1,I757&gt;=0.1,0.7,I757&gt;=0.05,0.4,TRUE,0),0))</f>
        <v>0</v>
      </c>
      <c r="L757" s="57">
        <f t="shared" si="176"/>
        <v>0</v>
      </c>
    </row>
    <row r="758" spans="1:12" x14ac:dyDescent="0.25">
      <c r="A758" s="42" t="str" cm="1">
        <f t="array" ref="A758">IFERROR(INDEX(_xlfn._xlws.FILTER(Class_Players!A:A,Class_Players!B:B="Engineer"),QUOTIENT(ROW()-ROW($A$2),12)+1),"")</f>
        <v>Docquafina</v>
      </c>
      <c r="B758" s="42" t="str">
        <f>_xlfn.XLOOKUP(A758,Class_Players!$A:$A,Class_Players!$B:$B,"")</f>
        <v>Engineer</v>
      </c>
      <c r="C758" s="42" t="str" cm="1">
        <f t="array" ref="C758">INDEX(Lookups!$B$2:$B$13,MOD(ROW()-ROW($B$2),ROWS(Lookups!$B$2:$B$13))+1)</f>
        <v>MBT-LAW (Auto-Guided Launcher)</v>
      </c>
      <c r="D758" s="38" t="str">
        <f>_xlfn.XLOOKUP(C758,Analysis_Gadgets!$C:$C,Analysis_Gadgets!$B:$B)</f>
        <v>Gadget</v>
      </c>
      <c r="E758" s="43">
        <v>0</v>
      </c>
      <c r="F758" s="43">
        <f>_xlfn.XLOOKUP(A758,Class_Players!A:A,Class_Players!G:G)</f>
        <v>268</v>
      </c>
      <c r="G758" s="43">
        <f t="shared" si="173"/>
        <v>0</v>
      </c>
      <c r="H758" s="43">
        <f>_xlfn.XLOOKUP(A758,Class_Players!$A:$A,Class_Players!$F:$F,"")</f>
        <v>8516</v>
      </c>
      <c r="I758" s="44">
        <f t="shared" si="174"/>
        <v>0</v>
      </c>
      <c r="J758" s="43">
        <f t="shared" si="175"/>
        <v>0</v>
      </c>
      <c r="K758" s="44" cm="1">
        <f t="array" ref="K758">IF(D758="Gadget",_xlfn.IFS(I758&gt;=0.2,0.5,I758&gt;=0.1,0.35,I758&gt;=0.05,0.2,TRUE,0),IF(D758="Grenade",_xlfn.IFS(I758&gt;=0.2,1,I758&gt;=0.1,0.7,I758&gt;=0.05,0.4,TRUE,0),0))</f>
        <v>0</v>
      </c>
      <c r="L758" s="57">
        <f t="shared" ref="L758:L767" si="177">IF($K758=0,0,$K758 / SUMIFS($K:$K,$A:$A,$A758,$D:$D,"Gadget"))</f>
        <v>0</v>
      </c>
    </row>
    <row r="759" spans="1:12" x14ac:dyDescent="0.25">
      <c r="A759" s="42" t="str" cm="1">
        <f t="array" ref="A759">IFERROR(INDEX(_xlfn._xlws.FILTER(Class_Players!A:A,Class_Players!B:B="Engineer"),QUOTIENT(ROW()-ROW($A$2),12)+1),"")</f>
        <v>Docquafina</v>
      </c>
      <c r="B759" s="42" t="str">
        <f>_xlfn.XLOOKUP(A759,Class_Players!$A:$A,Class_Players!$B:$B,"")</f>
        <v>Engineer</v>
      </c>
      <c r="C759" s="42" t="str" cm="1">
        <f t="array" ref="C759">INDEX(Lookups!$B$2:$B$13,MOD(ROW()-ROW($B$2),ROWS(Lookups!$B$2:$B$13))+1)</f>
        <v>SLM-93A (Air-Defense Launcher)</v>
      </c>
      <c r="D759" s="38" t="str">
        <f>_xlfn.XLOOKUP(C759,Analysis_Gadgets!$C:$C,Analysis_Gadgets!$B:$B)</f>
        <v>Gadget</v>
      </c>
      <c r="E759" s="43">
        <v>180</v>
      </c>
      <c r="F759" s="43">
        <f>_xlfn.XLOOKUP(A759,Class_Players!A:A,Class_Players!G:G)</f>
        <v>268</v>
      </c>
      <c r="G759" s="43">
        <f t="shared" si="173"/>
        <v>0.67164179104477617</v>
      </c>
      <c r="H759" s="43">
        <f>_xlfn.XLOOKUP(A759,Class_Players!$A:$A,Class_Players!$F:$F,"")</f>
        <v>8516</v>
      </c>
      <c r="I759" s="44">
        <f t="shared" si="174"/>
        <v>2.1136683889149837E-2</v>
      </c>
      <c r="J759" s="43">
        <f t="shared" si="175"/>
        <v>0</v>
      </c>
      <c r="K759" s="44" cm="1">
        <f t="array" ref="K759">IF(D759="Gadget",_xlfn.IFS(I759&gt;=0.2,0.5,I759&gt;=0.1,0.35,I759&gt;=0.05,0.2,TRUE,0),IF(D759="Grenade",_xlfn.IFS(I759&gt;=0.2,1,I759&gt;=0.1,0.7,I759&gt;=0.05,0.4,TRUE,0),0))</f>
        <v>0</v>
      </c>
      <c r="L759" s="57">
        <f t="shared" si="177"/>
        <v>0</v>
      </c>
    </row>
    <row r="760" spans="1:12" x14ac:dyDescent="0.25">
      <c r="A760" s="42" t="str" cm="1">
        <f t="array" ref="A760">IFERROR(INDEX(_xlfn._xlws.FILTER(Class_Players!A:A,Class_Players!B:B="Engineer"),QUOTIENT(ROW()-ROW($A$2),12)+1),"")</f>
        <v>Docquafina</v>
      </c>
      <c r="B760" s="42" t="str">
        <f>_xlfn.XLOOKUP(A760,Class_Players!$A:$A,Class_Players!$B:$B,"")</f>
        <v>Engineer</v>
      </c>
      <c r="C760" s="42" t="str" cm="1">
        <f t="array" ref="C760">INDEX(Lookups!$B$2:$B$13,MOD(ROW()-ROW($B$2),ROWS(Lookups!$B$2:$B$13))+1)</f>
        <v>RPG-7V2 (Unguided Rocket Launcher)</v>
      </c>
      <c r="D760" s="38" t="str">
        <f>_xlfn.XLOOKUP(C760,Analysis_Gadgets!$C:$C,Analysis_Gadgets!$B:$B)</f>
        <v>Gadget</v>
      </c>
      <c r="E760" s="43">
        <v>4431</v>
      </c>
      <c r="F760" s="43">
        <f>_xlfn.XLOOKUP(A760,Class_Players!A:A,Class_Players!G:G)</f>
        <v>268</v>
      </c>
      <c r="G760" s="43">
        <f t="shared" si="173"/>
        <v>16.53358208955224</v>
      </c>
      <c r="H760" s="43">
        <f>_xlfn.XLOOKUP(A760,Class_Players!$A:$A,Class_Players!$F:$F,"")</f>
        <v>8516</v>
      </c>
      <c r="I760" s="44">
        <f t="shared" si="174"/>
        <v>0.52031470173790517</v>
      </c>
      <c r="J760" s="43">
        <f t="shared" si="175"/>
        <v>1</v>
      </c>
      <c r="K760" s="44" cm="1">
        <f t="array" ref="K760">IF(D760="Gadget",_xlfn.IFS(I760&gt;=0.2,0.5,I760&gt;=0.1,0.35,I760&gt;=0.05,0.2,TRUE,0),IF(D760="Grenade",_xlfn.IFS(I760&gt;=0.2,1,I760&gt;=0.1,0.7,I760&gt;=0.05,0.4,TRUE,0),0))</f>
        <v>0.5</v>
      </c>
      <c r="L760" s="57">
        <f t="shared" si="177"/>
        <v>0.5</v>
      </c>
    </row>
    <row r="761" spans="1:12" x14ac:dyDescent="0.25">
      <c r="A761" s="42" t="str" cm="1">
        <f t="array" ref="A761">IFERROR(INDEX(_xlfn._xlws.FILTER(Class_Players!A:A,Class_Players!B:B="Engineer"),QUOTIENT(ROW()-ROW($A$2),12)+1),"")</f>
        <v>Docquafina</v>
      </c>
      <c r="B761" s="42" t="str">
        <f>_xlfn.XLOOKUP(A761,Class_Players!$A:$A,Class_Players!$B:$B,"")</f>
        <v>Engineer</v>
      </c>
      <c r="C761" s="42" t="str" cm="1">
        <f t="array" ref="C761">INDEX(Lookups!$B$2:$B$13,MOD(ROW()-ROW($B$2),ROWS(Lookups!$B$2:$B$13))+1)</f>
        <v>MAS 148 (Long-Range Launcher)</v>
      </c>
      <c r="D761" s="38" t="str">
        <f>_xlfn.XLOOKUP(C761,Analysis_Gadgets!$C:$C,Analysis_Gadgets!$B:$B)</f>
        <v>Gadget</v>
      </c>
      <c r="E761" s="43">
        <v>13</v>
      </c>
      <c r="F761" s="43">
        <f>_xlfn.XLOOKUP(A761,Class_Players!A:A,Class_Players!G:G)</f>
        <v>268</v>
      </c>
      <c r="G761" s="43">
        <f t="shared" si="173"/>
        <v>4.8507462686567165E-2</v>
      </c>
      <c r="H761" s="43">
        <f>_xlfn.XLOOKUP(A761,Class_Players!$A:$A,Class_Players!$F:$F,"")</f>
        <v>8516</v>
      </c>
      <c r="I761" s="44">
        <f t="shared" si="174"/>
        <v>1.5265382808830436E-3</v>
      </c>
      <c r="J761" s="43">
        <f t="shared" si="175"/>
        <v>0</v>
      </c>
      <c r="K761" s="44" cm="1">
        <f t="array" ref="K761">IF(D761="Gadget",_xlfn.IFS(I761&gt;=0.2,0.5,I761&gt;=0.1,0.35,I761&gt;=0.05,0.2,TRUE,0),IF(D761="Grenade",_xlfn.IFS(I761&gt;=0.2,1,I761&gt;=0.1,0.7,I761&gt;=0.05,0.4,TRUE,0),0))</f>
        <v>0</v>
      </c>
      <c r="L761" s="57">
        <f t="shared" si="177"/>
        <v>0</v>
      </c>
    </row>
    <row r="762" spans="1:12" x14ac:dyDescent="0.25">
      <c r="A762" s="42" t="str" cm="1">
        <f t="array" ref="A762">IFERROR(INDEX(_xlfn._xlws.FILTER(Class_Players!A:A,Class_Players!B:B="Engineer"),QUOTIENT(ROW()-ROW($A$2),12)+1),"")</f>
        <v>Docquafina</v>
      </c>
      <c r="B762" s="42" t="str">
        <f>_xlfn.XLOOKUP(A762,Class_Players!$A:$A,Class_Players!$B:$B,"")</f>
        <v>Engineer</v>
      </c>
      <c r="C762" s="42" t="str" cm="1">
        <f t="array" ref="C762">INDEX(Lookups!$B$2:$B$13,MOD(ROW()-ROW($B$2),ROWS(Lookups!$B$2:$B$13))+1)</f>
        <v>M136 AT (Aim-Guided Launcher)</v>
      </c>
      <c r="D762" s="38" t="str">
        <f>_xlfn.XLOOKUP(C762,Analysis_Gadgets!$C:$C,Analysis_Gadgets!$B:$B)</f>
        <v>Gadget</v>
      </c>
      <c r="E762" s="43">
        <v>21</v>
      </c>
      <c r="F762" s="43">
        <f>_xlfn.XLOOKUP(A762,Class_Players!A:A,Class_Players!G:G)</f>
        <v>268</v>
      </c>
      <c r="G762" s="43">
        <f t="shared" si="173"/>
        <v>7.8358208955223885E-2</v>
      </c>
      <c r="H762" s="43">
        <f>_xlfn.XLOOKUP(A762,Class_Players!$A:$A,Class_Players!$F:$F,"")</f>
        <v>8516</v>
      </c>
      <c r="I762" s="44">
        <f t="shared" si="174"/>
        <v>2.4659464537341476E-3</v>
      </c>
      <c r="J762" s="43">
        <f t="shared" si="175"/>
        <v>0</v>
      </c>
      <c r="K762" s="44" cm="1">
        <f t="array" ref="K762">IF(D762="Gadget",_xlfn.IFS(I762&gt;=0.2,0.5,I762&gt;=0.1,0.35,I762&gt;=0.05,0.2,TRUE,0),IF(D762="Grenade",_xlfn.IFS(I762&gt;=0.2,1,I762&gt;=0.1,0.7,I762&gt;=0.05,0.4,TRUE,0),0))</f>
        <v>0</v>
      </c>
      <c r="L762" s="57">
        <f t="shared" si="177"/>
        <v>0</v>
      </c>
    </row>
    <row r="763" spans="1:12" x14ac:dyDescent="0.25">
      <c r="A763" s="42" t="str" cm="1">
        <f t="array" ref="A763">IFERROR(INDEX(_xlfn._xlws.FILTER(Class_Players!A:A,Class_Players!B:B="Engineer"),QUOTIENT(ROW()-ROW($A$2),12)+1),"")</f>
        <v>Docquafina</v>
      </c>
      <c r="B763" s="42" t="str">
        <f>_xlfn.XLOOKUP(A763,Class_Players!$A:$A,Class_Players!$B:$B,"")</f>
        <v>Engineer</v>
      </c>
      <c r="C763" s="42" t="str" cm="1">
        <f t="array" ref="C763">INDEX(Lookups!$B$2:$B$13,MOD(ROW()-ROW($B$2),ROWS(Lookups!$B$2:$B$13))+1)</f>
        <v>Supply Crate</v>
      </c>
      <c r="D763" s="38" t="str">
        <f>_xlfn.XLOOKUP(C763,Analysis_Gadgets!$C:$C,Analysis_Gadgets!$B:$B)</f>
        <v>Gadget</v>
      </c>
      <c r="E763" s="43">
        <v>13</v>
      </c>
      <c r="F763" s="43">
        <f>_xlfn.XLOOKUP(A763,Class_Players!A:A,Class_Players!G:G)</f>
        <v>268</v>
      </c>
      <c r="G763" s="43">
        <f t="shared" si="173"/>
        <v>4.8507462686567165E-2</v>
      </c>
      <c r="H763" s="43">
        <f>_xlfn.XLOOKUP(A763,Class_Players!$A:$A,Class_Players!$F:$F,"")</f>
        <v>8516</v>
      </c>
      <c r="I763" s="44">
        <f t="shared" si="174"/>
        <v>1.5265382808830436E-3</v>
      </c>
      <c r="J763" s="43">
        <f t="shared" si="175"/>
        <v>0</v>
      </c>
      <c r="K763" s="44" cm="1">
        <f t="array" ref="K763">IF(D763="Gadget",_xlfn.IFS(I763&gt;=0.2,0.5,I763&gt;=0.1,0.35,I763&gt;=0.05,0.2,TRUE,0),IF(D763="Grenade",_xlfn.IFS(I763&gt;=0.2,1,I763&gt;=0.1,0.7,I763&gt;=0.05,0.4,TRUE,0),0))</f>
        <v>0</v>
      </c>
      <c r="L763" s="57">
        <f t="shared" si="177"/>
        <v>0</v>
      </c>
    </row>
    <row r="764" spans="1:12" x14ac:dyDescent="0.25">
      <c r="A764" s="42" t="str" cm="1">
        <f t="array" ref="A764">IFERROR(INDEX(_xlfn._xlws.FILTER(Class_Players!A:A,Class_Players!B:B="Engineer"),QUOTIENT(ROW()-ROW($A$2),12)+1),"")</f>
        <v>Docquafina</v>
      </c>
      <c r="B764" s="42" t="str">
        <f>_xlfn.XLOOKUP(A764,Class_Players!$A:$A,Class_Players!$B:$B,"")</f>
        <v>Engineer</v>
      </c>
      <c r="C764" s="42" t="str" cm="1">
        <f t="array" ref="C764">INDEX(Lookups!$B$2:$B$13,MOD(ROW()-ROW($B$2),ROWS(Lookups!$B$2:$B$13))+1)</f>
        <v>M15 (Anti-Vehicle Mine)</v>
      </c>
      <c r="D764" s="38" t="str">
        <f>_xlfn.XLOOKUP(C764,Analysis_Gadgets!$C:$C,Analysis_Gadgets!$B:$B)</f>
        <v>Gadget</v>
      </c>
      <c r="E764" s="43">
        <v>2080</v>
      </c>
      <c r="F764" s="43">
        <f>_xlfn.XLOOKUP(A764,Class_Players!A:A,Class_Players!G:G)</f>
        <v>268</v>
      </c>
      <c r="G764" s="43">
        <f t="shared" si="173"/>
        <v>7.7611940298507465</v>
      </c>
      <c r="H764" s="43">
        <f>_xlfn.XLOOKUP(A764,Class_Players!$A:$A,Class_Players!$F:$F,"")</f>
        <v>8516</v>
      </c>
      <c r="I764" s="44">
        <f t="shared" si="174"/>
        <v>0.244246124941287</v>
      </c>
      <c r="J764" s="43">
        <f t="shared" si="175"/>
        <v>1</v>
      </c>
      <c r="K764" s="44" cm="1">
        <f t="array" ref="K764">IF(D764="Gadget",_xlfn.IFS(I764&gt;=0.2,0.5,I764&gt;=0.1,0.35,I764&gt;=0.05,0.2,TRUE,0),IF(D764="Grenade",_xlfn.IFS(I764&gt;=0.2,1,I764&gt;=0.1,0.7,I764&gt;=0.05,0.4,TRUE,0),0))</f>
        <v>0.5</v>
      </c>
      <c r="L764" s="57">
        <f t="shared" si="177"/>
        <v>0.5</v>
      </c>
    </row>
    <row r="765" spans="1:12" x14ac:dyDescent="0.25">
      <c r="A765" s="42" t="str" cm="1">
        <f t="array" ref="A765">IFERROR(INDEX(_xlfn._xlws.FILTER(Class_Players!A:A,Class_Players!B:B="Engineer"),QUOTIENT(ROW()-ROW($A$2),12)+1),"")</f>
        <v>Docquafina</v>
      </c>
      <c r="B765" s="42" t="str">
        <f>_xlfn.XLOOKUP(A765,Class_Players!$A:$A,Class_Players!$B:$B,"")</f>
        <v>Engineer</v>
      </c>
      <c r="C765" s="42" t="str" cm="1">
        <f t="array" ref="C765">INDEX(Lookups!$B$2:$B$13,MOD(ROW()-ROW($B$2),ROWS(Lookups!$B$2:$B$13))+1)</f>
        <v>PTKM-1R (Acoustic Sensor AV Mine)</v>
      </c>
      <c r="D765" s="38" t="str">
        <f>_xlfn.XLOOKUP(C765,Analysis_Gadgets!$C:$C,Analysis_Gadgets!$B:$B)</f>
        <v>Gadget</v>
      </c>
      <c r="E765" s="43">
        <v>2</v>
      </c>
      <c r="F765" s="43">
        <f>_xlfn.XLOOKUP(A765,Class_Players!A:A,Class_Players!G:G)</f>
        <v>268</v>
      </c>
      <c r="G765" s="43">
        <f t="shared" si="173"/>
        <v>7.462686567164179E-3</v>
      </c>
      <c r="H765" s="43">
        <f>_xlfn.XLOOKUP(A765,Class_Players!$A:$A,Class_Players!$F:$F,"")</f>
        <v>8516</v>
      </c>
      <c r="I765" s="44">
        <f t="shared" si="174"/>
        <v>2.3485204321277596E-4</v>
      </c>
      <c r="J765" s="43">
        <f t="shared" si="175"/>
        <v>0</v>
      </c>
      <c r="K765" s="44" cm="1">
        <f t="array" ref="K765">IF(D765="Gadget",_xlfn.IFS(I765&gt;=0.2,0.5,I765&gt;=0.1,0.35,I765&gt;=0.05,0.2,TRUE,0),IF(D765="Grenade",_xlfn.IFS(I765&gt;=0.2,1,I765&gt;=0.1,0.7,I765&gt;=0.05,0.4,TRUE,0),0))</f>
        <v>0</v>
      </c>
      <c r="L765" s="57">
        <f t="shared" si="177"/>
        <v>0</v>
      </c>
    </row>
    <row r="766" spans="1:12" x14ac:dyDescent="0.25">
      <c r="A766" s="42" t="str" cm="1">
        <f t="array" ref="A766">IFERROR(INDEX(_xlfn._xlws.FILTER(Class_Players!A:A,Class_Players!B:B="Engineer"),QUOTIENT(ROW()-ROW($A$2),12)+1),"")</f>
        <v>Docquafina</v>
      </c>
      <c r="B766" s="42" t="str">
        <f>_xlfn.XLOOKUP(A766,Class_Players!$A:$A,Class_Players!$B:$B,"")</f>
        <v>Engineer</v>
      </c>
      <c r="C766" s="42" t="str" cm="1">
        <f t="array" ref="C766">INDEX(Lookups!$B$2:$B$13,MOD(ROW()-ROW($B$2),ROWS(Lookups!$B$2:$B$13))+1)</f>
        <v>EOD Bot</v>
      </c>
      <c r="D766" s="38" t="str">
        <f>_xlfn.XLOOKUP(C766,Analysis_Gadgets!$C:$C,Analysis_Gadgets!$B:$B)</f>
        <v>Gadget</v>
      </c>
      <c r="E766" s="43">
        <v>12</v>
      </c>
      <c r="F766" s="43">
        <f>_xlfn.XLOOKUP(A766,Class_Players!A:A,Class_Players!G:G)</f>
        <v>268</v>
      </c>
      <c r="G766" s="43">
        <f t="shared" si="173"/>
        <v>4.4776119402985072E-2</v>
      </c>
      <c r="H766" s="43">
        <f>_xlfn.XLOOKUP(A766,Class_Players!$A:$A,Class_Players!$F:$F,"")</f>
        <v>8516</v>
      </c>
      <c r="I766" s="44">
        <f t="shared" si="174"/>
        <v>1.4091122592766556E-3</v>
      </c>
      <c r="J766" s="43">
        <f t="shared" si="175"/>
        <v>0</v>
      </c>
      <c r="K766" s="44" cm="1">
        <f t="array" ref="K766">IF(D766="Gadget",_xlfn.IFS(I766&gt;=0.2,0.5,I766&gt;=0.1,0.35,I766&gt;=0.05,0.2,TRUE,0),IF(D766="Grenade",_xlfn.IFS(I766&gt;=0.2,1,I766&gt;=0.1,0.7,I766&gt;=0.05,0.4,TRUE,0),0))</f>
        <v>0</v>
      </c>
      <c r="L766" s="57">
        <f t="shared" si="177"/>
        <v>0</v>
      </c>
    </row>
    <row r="767" spans="1:12" x14ac:dyDescent="0.25">
      <c r="A767" s="42" t="str" cm="1">
        <f t="array" ref="A767">IFERROR(INDEX(_xlfn._xlws.FILTER(Class_Players!A:A,Class_Players!B:B="Engineer"),QUOTIENT(ROW()-ROW($A$2),12)+1),"")</f>
        <v>Docquafina</v>
      </c>
      <c r="B767" s="42" t="str">
        <f>_xlfn.XLOOKUP(A767,Class_Players!$A:$A,Class_Players!$B:$B,"")</f>
        <v>Engineer</v>
      </c>
      <c r="C767" s="42" t="str" cm="1">
        <f t="array" ref="C767">INDEX(Lookups!$B$2:$B$13,MOD(ROW()-ROW($B$2),ROWS(Lookups!$B$2:$B$13))+1)</f>
        <v>M4A1 SLAM (Tripwire Sensor AV Mine)</v>
      </c>
      <c r="D767" s="38" t="str">
        <f>_xlfn.XLOOKUP(C767,Analysis_Gadgets!$C:$C,Analysis_Gadgets!$B:$B)</f>
        <v>Gadget</v>
      </c>
      <c r="E767" s="43">
        <v>223</v>
      </c>
      <c r="F767" s="43">
        <f>_xlfn.XLOOKUP(A767,Class_Players!A:A,Class_Players!G:G)</f>
        <v>268</v>
      </c>
      <c r="G767" s="43">
        <f t="shared" si="173"/>
        <v>0.83208955223880599</v>
      </c>
      <c r="H767" s="43">
        <f>_xlfn.XLOOKUP(A767,Class_Players!$A:$A,Class_Players!$F:$F,"")</f>
        <v>8516</v>
      </c>
      <c r="I767" s="44">
        <f t="shared" si="174"/>
        <v>2.6186002818224519E-2</v>
      </c>
      <c r="J767" s="43">
        <f t="shared" si="175"/>
        <v>0</v>
      </c>
      <c r="K767" s="44" cm="1">
        <f t="array" ref="K767">IF(D767="Gadget",_xlfn.IFS(I767&gt;=0.2,0.5,I767&gt;=0.1,0.35,I767&gt;=0.05,0.2,TRUE,0),IF(D767="Grenade",_xlfn.IFS(I767&gt;=0.2,1,I767&gt;=0.1,0.7,I767&gt;=0.05,0.4,TRUE,0),0))</f>
        <v>0</v>
      </c>
      <c r="L767" s="57">
        <f t="shared" si="177"/>
        <v>0</v>
      </c>
    </row>
    <row r="768" spans="1:12" x14ac:dyDescent="0.25">
      <c r="A768" s="42" t="str" cm="1">
        <f t="array" ref="A768">IFERROR(INDEX(_xlfn._xlws.FILTER(Class_Players!A:A,Class_Players!B:B="Engineer"),QUOTIENT(ROW()-ROW($A$2),12)+1),"")</f>
        <v>Docquafina</v>
      </c>
      <c r="B768" s="42" t="str">
        <f>_xlfn.XLOOKUP(A768,Class_Players!$A:$A,Class_Players!$B:$B,"")</f>
        <v>Engineer</v>
      </c>
      <c r="C768" s="42" t="str" cm="1">
        <f t="array" ref="C768">INDEX(Lookups!$B$2:$B$13,MOD(ROW()-ROW($B$2),ROWS(Lookups!$B$2:$B$13))+1)</f>
        <v>Mini Frag Grenade</v>
      </c>
      <c r="D768" s="38" t="str">
        <f>_xlfn.XLOOKUP(C768,Analysis_Gadgets!$C:$C,Analysis_Gadgets!$B:$B)</f>
        <v>Grenade</v>
      </c>
      <c r="E768" s="43">
        <v>0</v>
      </c>
      <c r="F768" s="43">
        <f>_xlfn.XLOOKUP(A768,Class_Players!A:A,Class_Players!G:G)</f>
        <v>268</v>
      </c>
      <c r="G768" s="43">
        <f t="shared" si="173"/>
        <v>0</v>
      </c>
      <c r="H768" s="43">
        <f>_xlfn.XLOOKUP(A768,Class_Players!$A:$A,Class_Players!$F:$F,"")</f>
        <v>8516</v>
      </c>
      <c r="I768" s="44">
        <f t="shared" si="174"/>
        <v>0</v>
      </c>
      <c r="J768" s="43">
        <f t="shared" si="175"/>
        <v>0</v>
      </c>
      <c r="K768" s="44" cm="1">
        <f t="array" ref="K768">IF(D768="Gadget",_xlfn.IFS(I768&gt;=0.2,0.5,I768&gt;=0.1,0.35,I768&gt;=0.05,0.2,TRUE,0),IF(D768="Grenade",_xlfn.IFS(I768&gt;=0.2,1,I768&gt;=0.1,0.7,I768&gt;=0.05,0.4,TRUE,0),0))</f>
        <v>0</v>
      </c>
      <c r="L768" s="57">
        <f t="shared" ref="L768:L769" si="178">IF($K768=0,0,$K768 / SUMIFS($K:$K,$A:$A,$A768,$D:$D,"Grenade"))</f>
        <v>0</v>
      </c>
    </row>
    <row r="769" spans="1:12" x14ac:dyDescent="0.25">
      <c r="A769" s="42" t="str" cm="1">
        <f t="array" ref="A769">IFERROR(INDEX(_xlfn._xlws.FILTER(Class_Players!A:A,Class_Players!B:B="Engineer"),QUOTIENT(ROW()-ROW($A$2),12)+1),"")</f>
        <v>Docquafina</v>
      </c>
      <c r="B769" s="42" t="str">
        <f>_xlfn.XLOOKUP(A769,Class_Players!$A:$A,Class_Players!$B:$B,"")</f>
        <v>Engineer</v>
      </c>
      <c r="C769" s="42" t="str" cm="1">
        <f t="array" ref="C769">INDEX(Lookups!$B$2:$B$13,MOD(ROW()-ROW($B$2),ROWS(Lookups!$B$2:$B$13))+1)</f>
        <v>Anti-Vehicle Grenade</v>
      </c>
      <c r="D769" s="38" t="str">
        <f>_xlfn.XLOOKUP(C769,Analysis_Gadgets!$C:$C,Analysis_Gadgets!$B:$B)</f>
        <v>Grenade</v>
      </c>
      <c r="E769" s="43">
        <v>0</v>
      </c>
      <c r="F769" s="43">
        <f>_xlfn.XLOOKUP(A769,Class_Players!A:A,Class_Players!G:G)</f>
        <v>268</v>
      </c>
      <c r="G769" s="43">
        <f t="shared" si="173"/>
        <v>0</v>
      </c>
      <c r="H769" s="43">
        <f>_xlfn.XLOOKUP(A769,Class_Players!$A:$A,Class_Players!$F:$F,"")</f>
        <v>8516</v>
      </c>
      <c r="I769" s="44">
        <f t="shared" si="174"/>
        <v>0</v>
      </c>
      <c r="J769" s="43">
        <f t="shared" si="175"/>
        <v>0</v>
      </c>
      <c r="K769" s="44" cm="1">
        <f t="array" ref="K769">IF(D769="Gadget",_xlfn.IFS(I769&gt;=0.2,0.5,I769&gt;=0.1,0.35,I769&gt;=0.05,0.2,TRUE,0),IF(D769="Grenade",_xlfn.IFS(I769&gt;=0.2,1,I769&gt;=0.1,0.7,I769&gt;=0.05,0.4,TRUE,0),0))</f>
        <v>0</v>
      </c>
      <c r="L769" s="57">
        <f t="shared" si="178"/>
        <v>0</v>
      </c>
    </row>
    <row r="770" spans="1:12" x14ac:dyDescent="0.25">
      <c r="A770" s="42" t="str" cm="1">
        <f t="array" ref="A770">IFERROR(INDEX(_xlfn._xlws.FILTER(Class_Players!A:A,Class_Players!B:B="Engineer"),QUOTIENT(ROW()-ROW($A$2),12)+1),"")</f>
        <v>Cyrus Lupus</v>
      </c>
      <c r="B770" s="42" t="str">
        <f>_xlfn.XLOOKUP(A770,Class_Players!$A:$A,Class_Players!$B:$B,"")</f>
        <v>Engineer</v>
      </c>
      <c r="C770" s="42" t="str" cm="1">
        <f t="array" ref="C770">INDEX(Lookups!$B$2:$B$13,MOD(ROW()-ROW($B$2),ROWS(Lookups!$B$2:$B$13))+1)</f>
        <v>MBT-LAW (Auto-Guided Launcher)</v>
      </c>
      <c r="D770" s="38" t="str">
        <f>_xlfn.XLOOKUP(C770,Analysis_Gadgets!$C:$C,Analysis_Gadgets!$B:$B)</f>
        <v>Gadget</v>
      </c>
      <c r="E770" s="43">
        <v>0</v>
      </c>
      <c r="F770" s="43">
        <f>_xlfn.XLOOKUP(A770,Class_Players!A:A,Class_Players!G:G)</f>
        <v>129</v>
      </c>
      <c r="G770" s="43">
        <f t="shared" si="173"/>
        <v>0</v>
      </c>
      <c r="H770" s="43">
        <f>_xlfn.XLOOKUP(A770,Class_Players!$A:$A,Class_Players!$F:$F,"")</f>
        <v>8681</v>
      </c>
      <c r="I770" s="44">
        <f t="shared" si="174"/>
        <v>0</v>
      </c>
      <c r="J770" s="43">
        <f t="shared" si="175"/>
        <v>0</v>
      </c>
      <c r="K770" s="44" cm="1">
        <f t="array" ref="K770">IF(D770="Gadget",_xlfn.IFS(I770&gt;=0.2,0.5,I770&gt;=0.1,0.35,I770&gt;=0.05,0.2,TRUE,0),IF(D770="Grenade",_xlfn.IFS(I770&gt;=0.2,1,I770&gt;=0.1,0.7,I770&gt;=0.05,0.4,TRUE,0),0))</f>
        <v>0</v>
      </c>
      <c r="L770" s="57">
        <f t="shared" ref="L770:L779" si="179">IF($K770=0,0,$K770 / SUMIFS($K:$K,$A:$A,$A770,$D:$D,"Gadget"))</f>
        <v>0</v>
      </c>
    </row>
    <row r="771" spans="1:12" x14ac:dyDescent="0.25">
      <c r="A771" s="42" t="str" cm="1">
        <f t="array" ref="A771">IFERROR(INDEX(_xlfn._xlws.FILTER(Class_Players!A:A,Class_Players!B:B="Engineer"),QUOTIENT(ROW()-ROW($A$2),12)+1),"")</f>
        <v>Cyrus Lupus</v>
      </c>
      <c r="B771" s="42" t="str">
        <f>_xlfn.XLOOKUP(A771,Class_Players!$A:$A,Class_Players!$B:$B,"")</f>
        <v>Engineer</v>
      </c>
      <c r="C771" s="42" t="str" cm="1">
        <f t="array" ref="C771">INDEX(Lookups!$B$2:$B$13,MOD(ROW()-ROW($B$2),ROWS(Lookups!$B$2:$B$13))+1)</f>
        <v>SLM-93A (Air-Defense Launcher)</v>
      </c>
      <c r="D771" s="38" t="str">
        <f>_xlfn.XLOOKUP(C771,Analysis_Gadgets!$C:$C,Analysis_Gadgets!$B:$B)</f>
        <v>Gadget</v>
      </c>
      <c r="E771" s="43">
        <v>0</v>
      </c>
      <c r="F771" s="43">
        <f>_xlfn.XLOOKUP(A771,Class_Players!A:A,Class_Players!G:G)</f>
        <v>129</v>
      </c>
      <c r="G771" s="43">
        <f t="shared" si="173"/>
        <v>0</v>
      </c>
      <c r="H771" s="43">
        <f>_xlfn.XLOOKUP(A771,Class_Players!$A:$A,Class_Players!$F:$F,"")</f>
        <v>8681</v>
      </c>
      <c r="I771" s="44">
        <f t="shared" si="174"/>
        <v>0</v>
      </c>
      <c r="J771" s="43">
        <f t="shared" si="175"/>
        <v>0</v>
      </c>
      <c r="K771" s="44" cm="1">
        <f t="array" ref="K771">IF(D771="Gadget",_xlfn.IFS(I771&gt;=0.2,0.5,I771&gt;=0.1,0.35,I771&gt;=0.05,0.2,TRUE,0),IF(D771="Grenade",_xlfn.IFS(I771&gt;=0.2,1,I771&gt;=0.1,0.7,I771&gt;=0.05,0.4,TRUE,0),0))</f>
        <v>0</v>
      </c>
      <c r="L771" s="57">
        <f t="shared" si="179"/>
        <v>0</v>
      </c>
    </row>
    <row r="772" spans="1:12" x14ac:dyDescent="0.25">
      <c r="A772" s="42" t="str" cm="1">
        <f t="array" ref="A772">IFERROR(INDEX(_xlfn._xlws.FILTER(Class_Players!A:A,Class_Players!B:B="Engineer"),QUOTIENT(ROW()-ROW($A$2),12)+1),"")</f>
        <v>Cyrus Lupus</v>
      </c>
      <c r="B772" s="42" t="str">
        <f>_xlfn.XLOOKUP(A772,Class_Players!$A:$A,Class_Players!$B:$B,"")</f>
        <v>Engineer</v>
      </c>
      <c r="C772" s="42" t="str" cm="1">
        <f t="array" ref="C772">INDEX(Lookups!$B$2:$B$13,MOD(ROW()-ROW($B$2),ROWS(Lookups!$B$2:$B$13))+1)</f>
        <v>RPG-7V2 (Unguided Rocket Launcher)</v>
      </c>
      <c r="D772" s="38" t="str">
        <f>_xlfn.XLOOKUP(C772,Analysis_Gadgets!$C:$C,Analysis_Gadgets!$B:$B)</f>
        <v>Gadget</v>
      </c>
      <c r="E772" s="43">
        <v>573</v>
      </c>
      <c r="F772" s="43">
        <f>_xlfn.XLOOKUP(A772,Class_Players!A:A,Class_Players!G:G)</f>
        <v>129</v>
      </c>
      <c r="G772" s="43">
        <f t="shared" si="173"/>
        <v>4.441860465116279</v>
      </c>
      <c r="H772" s="43">
        <f>_xlfn.XLOOKUP(A772,Class_Players!$A:$A,Class_Players!$F:$F,"")</f>
        <v>8681</v>
      </c>
      <c r="I772" s="44">
        <f t="shared" si="174"/>
        <v>6.6006220481511349E-2</v>
      </c>
      <c r="J772" s="43">
        <f t="shared" si="175"/>
        <v>0</v>
      </c>
      <c r="K772" s="44" cm="1">
        <f t="array" ref="K772">IF(D772="Gadget",_xlfn.IFS(I772&gt;=0.2,0.5,I772&gt;=0.1,0.35,I772&gt;=0.05,0.2,TRUE,0),IF(D772="Grenade",_xlfn.IFS(I772&gt;=0.2,1,I772&gt;=0.1,0.7,I772&gt;=0.05,0.4,TRUE,0),0))</f>
        <v>0.2</v>
      </c>
      <c r="L772" s="57">
        <f t="shared" si="179"/>
        <v>1</v>
      </c>
    </row>
    <row r="773" spans="1:12" x14ac:dyDescent="0.25">
      <c r="A773" s="42" t="str" cm="1">
        <f t="array" ref="A773">IFERROR(INDEX(_xlfn._xlws.FILTER(Class_Players!A:A,Class_Players!B:B="Engineer"),QUOTIENT(ROW()-ROW($A$2),12)+1),"")</f>
        <v>Cyrus Lupus</v>
      </c>
      <c r="B773" s="42" t="str">
        <f>_xlfn.XLOOKUP(A773,Class_Players!$A:$A,Class_Players!$B:$B,"")</f>
        <v>Engineer</v>
      </c>
      <c r="C773" s="42" t="str" cm="1">
        <f t="array" ref="C773">INDEX(Lookups!$B$2:$B$13,MOD(ROW()-ROW($B$2),ROWS(Lookups!$B$2:$B$13))+1)</f>
        <v>MAS 148 (Long-Range Launcher)</v>
      </c>
      <c r="D773" s="38" t="str">
        <f>_xlfn.XLOOKUP(C773,Analysis_Gadgets!$C:$C,Analysis_Gadgets!$B:$B)</f>
        <v>Gadget</v>
      </c>
      <c r="E773" s="43">
        <v>0</v>
      </c>
      <c r="F773" s="43">
        <f>_xlfn.XLOOKUP(A773,Class_Players!A:A,Class_Players!G:G)</f>
        <v>129</v>
      </c>
      <c r="G773" s="43">
        <f t="shared" si="173"/>
        <v>0</v>
      </c>
      <c r="H773" s="43">
        <f>_xlfn.XLOOKUP(A773,Class_Players!$A:$A,Class_Players!$F:$F,"")</f>
        <v>8681</v>
      </c>
      <c r="I773" s="44">
        <f t="shared" si="174"/>
        <v>0</v>
      </c>
      <c r="J773" s="43">
        <f t="shared" si="175"/>
        <v>0</v>
      </c>
      <c r="K773" s="44" cm="1">
        <f t="array" ref="K773">IF(D773="Gadget",_xlfn.IFS(I773&gt;=0.2,0.5,I773&gt;=0.1,0.35,I773&gt;=0.05,0.2,TRUE,0),IF(D773="Grenade",_xlfn.IFS(I773&gt;=0.2,1,I773&gt;=0.1,0.7,I773&gt;=0.05,0.4,TRUE,0),0))</f>
        <v>0</v>
      </c>
      <c r="L773" s="57">
        <f t="shared" si="179"/>
        <v>0</v>
      </c>
    </row>
    <row r="774" spans="1:12" x14ac:dyDescent="0.25">
      <c r="A774" s="42" t="str" cm="1">
        <f t="array" ref="A774">IFERROR(INDEX(_xlfn._xlws.FILTER(Class_Players!A:A,Class_Players!B:B="Engineer"),QUOTIENT(ROW()-ROW($A$2),12)+1),"")</f>
        <v>Cyrus Lupus</v>
      </c>
      <c r="B774" s="42" t="str">
        <f>_xlfn.XLOOKUP(A774,Class_Players!$A:$A,Class_Players!$B:$B,"")</f>
        <v>Engineer</v>
      </c>
      <c r="C774" s="42" t="str" cm="1">
        <f t="array" ref="C774">INDEX(Lookups!$B$2:$B$13,MOD(ROW()-ROW($B$2),ROWS(Lookups!$B$2:$B$13))+1)</f>
        <v>M136 AT (Aim-Guided Launcher)</v>
      </c>
      <c r="D774" s="38" t="str">
        <f>_xlfn.XLOOKUP(C774,Analysis_Gadgets!$C:$C,Analysis_Gadgets!$B:$B)</f>
        <v>Gadget</v>
      </c>
      <c r="E774" s="43">
        <v>0</v>
      </c>
      <c r="F774" s="43">
        <f>_xlfn.XLOOKUP(A774,Class_Players!A:A,Class_Players!G:G)</f>
        <v>129</v>
      </c>
      <c r="G774" s="43">
        <f t="shared" si="173"/>
        <v>0</v>
      </c>
      <c r="H774" s="43">
        <f>_xlfn.XLOOKUP(A774,Class_Players!$A:$A,Class_Players!$F:$F,"")</f>
        <v>8681</v>
      </c>
      <c r="I774" s="44">
        <f t="shared" si="174"/>
        <v>0</v>
      </c>
      <c r="J774" s="43">
        <f t="shared" si="175"/>
        <v>0</v>
      </c>
      <c r="K774" s="44" cm="1">
        <f t="array" ref="K774">IF(D774="Gadget",_xlfn.IFS(I774&gt;=0.2,0.5,I774&gt;=0.1,0.35,I774&gt;=0.05,0.2,TRUE,0),IF(D774="Grenade",_xlfn.IFS(I774&gt;=0.2,1,I774&gt;=0.1,0.7,I774&gt;=0.05,0.4,TRUE,0),0))</f>
        <v>0</v>
      </c>
      <c r="L774" s="57">
        <f t="shared" si="179"/>
        <v>0</v>
      </c>
    </row>
    <row r="775" spans="1:12" x14ac:dyDescent="0.25">
      <c r="A775" s="42" t="str" cm="1">
        <f t="array" ref="A775">IFERROR(INDEX(_xlfn._xlws.FILTER(Class_Players!A:A,Class_Players!B:B="Engineer"),QUOTIENT(ROW()-ROW($A$2),12)+1),"")</f>
        <v>Cyrus Lupus</v>
      </c>
      <c r="B775" s="42" t="str">
        <f>_xlfn.XLOOKUP(A775,Class_Players!$A:$A,Class_Players!$B:$B,"")</f>
        <v>Engineer</v>
      </c>
      <c r="C775" s="42" t="str" cm="1">
        <f t="array" ref="C775">INDEX(Lookups!$B$2:$B$13,MOD(ROW()-ROW($B$2),ROWS(Lookups!$B$2:$B$13))+1)</f>
        <v>Supply Crate</v>
      </c>
      <c r="D775" s="38" t="str">
        <f>_xlfn.XLOOKUP(C775,Analysis_Gadgets!$C:$C,Analysis_Gadgets!$B:$B)</f>
        <v>Gadget</v>
      </c>
      <c r="E775" s="43">
        <v>0</v>
      </c>
      <c r="F775" s="43">
        <f>_xlfn.XLOOKUP(A775,Class_Players!A:A,Class_Players!G:G)</f>
        <v>129</v>
      </c>
      <c r="G775" s="43">
        <f t="shared" si="173"/>
        <v>0</v>
      </c>
      <c r="H775" s="43">
        <f>_xlfn.XLOOKUP(A775,Class_Players!$A:$A,Class_Players!$F:$F,"")</f>
        <v>8681</v>
      </c>
      <c r="I775" s="44">
        <f t="shared" si="174"/>
        <v>0</v>
      </c>
      <c r="J775" s="43">
        <f t="shared" si="175"/>
        <v>0</v>
      </c>
      <c r="K775" s="44" cm="1">
        <f t="array" ref="K775">IF(D775="Gadget",_xlfn.IFS(I775&gt;=0.2,0.5,I775&gt;=0.1,0.35,I775&gt;=0.05,0.2,TRUE,0),IF(D775="Grenade",_xlfn.IFS(I775&gt;=0.2,1,I775&gt;=0.1,0.7,I775&gt;=0.05,0.4,TRUE,0),0))</f>
        <v>0</v>
      </c>
      <c r="L775" s="57">
        <f t="shared" si="179"/>
        <v>0</v>
      </c>
    </row>
    <row r="776" spans="1:12" x14ac:dyDescent="0.25">
      <c r="A776" s="42" t="str" cm="1">
        <f t="array" ref="A776">IFERROR(INDEX(_xlfn._xlws.FILTER(Class_Players!A:A,Class_Players!B:B="Engineer"),QUOTIENT(ROW()-ROW($A$2),12)+1),"")</f>
        <v>Cyrus Lupus</v>
      </c>
      <c r="B776" s="42" t="str">
        <f>_xlfn.XLOOKUP(A776,Class_Players!$A:$A,Class_Players!$B:$B,"")</f>
        <v>Engineer</v>
      </c>
      <c r="C776" s="42" t="str" cm="1">
        <f t="array" ref="C776">INDEX(Lookups!$B$2:$B$13,MOD(ROW()-ROW($B$2),ROWS(Lookups!$B$2:$B$13))+1)</f>
        <v>M15 (Anti-Vehicle Mine)</v>
      </c>
      <c r="D776" s="38" t="str">
        <f>_xlfn.XLOOKUP(C776,Analysis_Gadgets!$C:$C,Analysis_Gadgets!$B:$B)</f>
        <v>Gadget</v>
      </c>
      <c r="E776" s="43">
        <v>9</v>
      </c>
      <c r="F776" s="43">
        <f>_xlfn.XLOOKUP(A776,Class_Players!A:A,Class_Players!G:G)</f>
        <v>129</v>
      </c>
      <c r="G776" s="43">
        <f t="shared" si="173"/>
        <v>6.9767441860465115E-2</v>
      </c>
      <c r="H776" s="43">
        <f>_xlfn.XLOOKUP(A776,Class_Players!$A:$A,Class_Players!$F:$F,"")</f>
        <v>8681</v>
      </c>
      <c r="I776" s="44">
        <f t="shared" si="174"/>
        <v>1.0367469185577698E-3</v>
      </c>
      <c r="J776" s="43">
        <f t="shared" si="175"/>
        <v>0</v>
      </c>
      <c r="K776" s="44" cm="1">
        <f t="array" ref="K776">IF(D776="Gadget",_xlfn.IFS(I776&gt;=0.2,0.5,I776&gt;=0.1,0.35,I776&gt;=0.05,0.2,TRUE,0),IF(D776="Grenade",_xlfn.IFS(I776&gt;=0.2,1,I776&gt;=0.1,0.7,I776&gt;=0.05,0.4,TRUE,0),0))</f>
        <v>0</v>
      </c>
      <c r="L776" s="57">
        <f t="shared" si="179"/>
        <v>0</v>
      </c>
    </row>
    <row r="777" spans="1:12" x14ac:dyDescent="0.25">
      <c r="A777" s="42" t="str" cm="1">
        <f t="array" ref="A777">IFERROR(INDEX(_xlfn._xlws.FILTER(Class_Players!A:A,Class_Players!B:B="Engineer"),QUOTIENT(ROW()-ROW($A$2),12)+1),"")</f>
        <v>Cyrus Lupus</v>
      </c>
      <c r="B777" s="42" t="str">
        <f>_xlfn.XLOOKUP(A777,Class_Players!$A:$A,Class_Players!$B:$B,"")</f>
        <v>Engineer</v>
      </c>
      <c r="C777" s="42" t="str" cm="1">
        <f t="array" ref="C777">INDEX(Lookups!$B$2:$B$13,MOD(ROW()-ROW($B$2),ROWS(Lookups!$B$2:$B$13))+1)</f>
        <v>PTKM-1R (Acoustic Sensor AV Mine)</v>
      </c>
      <c r="D777" s="38" t="str">
        <f>_xlfn.XLOOKUP(C777,Analysis_Gadgets!$C:$C,Analysis_Gadgets!$B:$B)</f>
        <v>Gadget</v>
      </c>
      <c r="E777" s="43">
        <v>0</v>
      </c>
      <c r="F777" s="43">
        <f>_xlfn.XLOOKUP(A777,Class_Players!A:A,Class_Players!G:G)</f>
        <v>129</v>
      </c>
      <c r="G777" s="43">
        <f t="shared" si="173"/>
        <v>0</v>
      </c>
      <c r="H777" s="43">
        <f>_xlfn.XLOOKUP(A777,Class_Players!$A:$A,Class_Players!$F:$F,"")</f>
        <v>8681</v>
      </c>
      <c r="I777" s="44">
        <f t="shared" si="174"/>
        <v>0</v>
      </c>
      <c r="J777" s="43">
        <f t="shared" si="175"/>
        <v>0</v>
      </c>
      <c r="K777" s="44" cm="1">
        <f t="array" ref="K777">IF(D777="Gadget",_xlfn.IFS(I777&gt;=0.2,0.5,I777&gt;=0.1,0.35,I777&gt;=0.05,0.2,TRUE,0),IF(D777="Grenade",_xlfn.IFS(I777&gt;=0.2,1,I777&gt;=0.1,0.7,I777&gt;=0.05,0.4,TRUE,0),0))</f>
        <v>0</v>
      </c>
      <c r="L777" s="57">
        <f t="shared" si="179"/>
        <v>0</v>
      </c>
    </row>
    <row r="778" spans="1:12" x14ac:dyDescent="0.25">
      <c r="A778" s="42" t="str" cm="1">
        <f t="array" ref="A778">IFERROR(INDEX(_xlfn._xlws.FILTER(Class_Players!A:A,Class_Players!B:B="Engineer"),QUOTIENT(ROW()-ROW($A$2),12)+1),"")</f>
        <v>Cyrus Lupus</v>
      </c>
      <c r="B778" s="42" t="str">
        <f>_xlfn.XLOOKUP(A778,Class_Players!$A:$A,Class_Players!$B:$B,"")</f>
        <v>Engineer</v>
      </c>
      <c r="C778" s="42" t="str" cm="1">
        <f t="array" ref="C778">INDEX(Lookups!$B$2:$B$13,MOD(ROW()-ROW($B$2),ROWS(Lookups!$B$2:$B$13))+1)</f>
        <v>EOD Bot</v>
      </c>
      <c r="D778" s="38" t="str">
        <f>_xlfn.XLOOKUP(C778,Analysis_Gadgets!$C:$C,Analysis_Gadgets!$B:$B)</f>
        <v>Gadget</v>
      </c>
      <c r="E778" s="43">
        <v>0</v>
      </c>
      <c r="F778" s="43">
        <f>_xlfn.XLOOKUP(A778,Class_Players!A:A,Class_Players!G:G)</f>
        <v>129</v>
      </c>
      <c r="G778" s="43">
        <f t="shared" si="173"/>
        <v>0</v>
      </c>
      <c r="H778" s="43">
        <f>_xlfn.XLOOKUP(A778,Class_Players!$A:$A,Class_Players!$F:$F,"")</f>
        <v>8681</v>
      </c>
      <c r="I778" s="44">
        <f t="shared" si="174"/>
        <v>0</v>
      </c>
      <c r="J778" s="43">
        <f t="shared" si="175"/>
        <v>0</v>
      </c>
      <c r="K778" s="44" cm="1">
        <f t="array" ref="K778">IF(D778="Gadget",_xlfn.IFS(I778&gt;=0.2,0.5,I778&gt;=0.1,0.35,I778&gt;=0.05,0.2,TRUE,0),IF(D778="Grenade",_xlfn.IFS(I778&gt;=0.2,1,I778&gt;=0.1,0.7,I778&gt;=0.05,0.4,TRUE,0),0))</f>
        <v>0</v>
      </c>
      <c r="L778" s="57">
        <f t="shared" si="179"/>
        <v>0</v>
      </c>
    </row>
    <row r="779" spans="1:12" x14ac:dyDescent="0.25">
      <c r="A779" s="42" t="str" cm="1">
        <f t="array" ref="A779">IFERROR(INDEX(_xlfn._xlws.FILTER(Class_Players!A:A,Class_Players!B:B="Engineer"),QUOTIENT(ROW()-ROW($A$2),12)+1),"")</f>
        <v>Cyrus Lupus</v>
      </c>
      <c r="B779" s="42" t="str">
        <f>_xlfn.XLOOKUP(A779,Class_Players!$A:$A,Class_Players!$B:$B,"")</f>
        <v>Engineer</v>
      </c>
      <c r="C779" s="42" t="str" cm="1">
        <f t="array" ref="C779">INDEX(Lookups!$B$2:$B$13,MOD(ROW()-ROW($B$2),ROWS(Lookups!$B$2:$B$13))+1)</f>
        <v>M4A1 SLAM (Tripwire Sensor AV Mine)</v>
      </c>
      <c r="D779" s="38" t="str">
        <f>_xlfn.XLOOKUP(C779,Analysis_Gadgets!$C:$C,Analysis_Gadgets!$B:$B)</f>
        <v>Gadget</v>
      </c>
      <c r="E779" s="43">
        <v>0</v>
      </c>
      <c r="F779" s="43">
        <f>_xlfn.XLOOKUP(A779,Class_Players!A:A,Class_Players!G:G)</f>
        <v>129</v>
      </c>
      <c r="G779" s="43">
        <f t="shared" si="173"/>
        <v>0</v>
      </c>
      <c r="H779" s="43">
        <f>_xlfn.XLOOKUP(A779,Class_Players!$A:$A,Class_Players!$F:$F,"")</f>
        <v>8681</v>
      </c>
      <c r="I779" s="44">
        <f t="shared" si="174"/>
        <v>0</v>
      </c>
      <c r="J779" s="43">
        <f t="shared" si="175"/>
        <v>0</v>
      </c>
      <c r="K779" s="44" cm="1">
        <f t="array" ref="K779">IF(D779="Gadget",_xlfn.IFS(I779&gt;=0.2,0.5,I779&gt;=0.1,0.35,I779&gt;=0.05,0.2,TRUE,0),IF(D779="Grenade",_xlfn.IFS(I779&gt;=0.2,1,I779&gt;=0.1,0.7,I779&gt;=0.05,0.4,TRUE,0),0))</f>
        <v>0</v>
      </c>
      <c r="L779" s="57">
        <f t="shared" si="179"/>
        <v>0</v>
      </c>
    </row>
    <row r="780" spans="1:12" x14ac:dyDescent="0.25">
      <c r="A780" s="42" t="str" cm="1">
        <f t="array" ref="A780">IFERROR(INDEX(_xlfn._xlws.FILTER(Class_Players!A:A,Class_Players!B:B="Engineer"),QUOTIENT(ROW()-ROW($A$2),12)+1),"")</f>
        <v>Cyrus Lupus</v>
      </c>
      <c r="B780" s="42" t="str">
        <f>_xlfn.XLOOKUP(A780,Class_Players!$A:$A,Class_Players!$B:$B,"")</f>
        <v>Engineer</v>
      </c>
      <c r="C780" s="42" t="str" cm="1">
        <f t="array" ref="C780">INDEX(Lookups!$B$2:$B$13,MOD(ROW()-ROW($B$2),ROWS(Lookups!$B$2:$B$13))+1)</f>
        <v>Mini Frag Grenade</v>
      </c>
      <c r="D780" s="38" t="str">
        <f>_xlfn.XLOOKUP(C780,Analysis_Gadgets!$C:$C,Analysis_Gadgets!$B:$B)</f>
        <v>Grenade</v>
      </c>
      <c r="E780" s="43">
        <v>0</v>
      </c>
      <c r="F780" s="43">
        <f>_xlfn.XLOOKUP(A780,Class_Players!A:A,Class_Players!G:G)</f>
        <v>129</v>
      </c>
      <c r="G780" s="43">
        <f t="shared" si="173"/>
        <v>0</v>
      </c>
      <c r="H780" s="43">
        <f>_xlfn.XLOOKUP(A780,Class_Players!$A:$A,Class_Players!$F:$F,"")</f>
        <v>8681</v>
      </c>
      <c r="I780" s="44">
        <f t="shared" si="174"/>
        <v>0</v>
      </c>
      <c r="J780" s="43">
        <f t="shared" si="175"/>
        <v>0</v>
      </c>
      <c r="K780" s="44" cm="1">
        <f t="array" ref="K780">IF(D780="Gadget",_xlfn.IFS(I780&gt;=0.2,0.5,I780&gt;=0.1,0.35,I780&gt;=0.05,0.2,TRUE,0),IF(D780="Grenade",_xlfn.IFS(I780&gt;=0.2,1,I780&gt;=0.1,0.7,I780&gt;=0.05,0.4,TRUE,0),0))</f>
        <v>0</v>
      </c>
      <c r="L780" s="57">
        <f t="shared" ref="L780:L781" si="180">IF($K780=0,0,$K780 / SUMIFS($K:$K,$A:$A,$A780,$D:$D,"Grenade"))</f>
        <v>0</v>
      </c>
    </row>
    <row r="781" spans="1:12" x14ac:dyDescent="0.25">
      <c r="A781" s="42" t="str" cm="1">
        <f t="array" ref="A781">IFERROR(INDEX(_xlfn._xlws.FILTER(Class_Players!A:A,Class_Players!B:B="Engineer"),QUOTIENT(ROW()-ROW($A$2),12)+1),"")</f>
        <v>Cyrus Lupus</v>
      </c>
      <c r="B781" s="42" t="str">
        <f>_xlfn.XLOOKUP(A781,Class_Players!$A:$A,Class_Players!$B:$B,"")</f>
        <v>Engineer</v>
      </c>
      <c r="C781" s="42" t="str" cm="1">
        <f t="array" ref="C781">INDEX(Lookups!$B$2:$B$13,MOD(ROW()-ROW($B$2),ROWS(Lookups!$B$2:$B$13))+1)</f>
        <v>Anti-Vehicle Grenade</v>
      </c>
      <c r="D781" s="38" t="str">
        <f>_xlfn.XLOOKUP(C781,Analysis_Gadgets!$C:$C,Analysis_Gadgets!$B:$B)</f>
        <v>Grenade</v>
      </c>
      <c r="E781" s="43">
        <v>0</v>
      </c>
      <c r="F781" s="43">
        <f>_xlfn.XLOOKUP(A781,Class_Players!A:A,Class_Players!G:G)</f>
        <v>129</v>
      </c>
      <c r="G781" s="43">
        <f t="shared" si="173"/>
        <v>0</v>
      </c>
      <c r="H781" s="43">
        <f>_xlfn.XLOOKUP(A781,Class_Players!$A:$A,Class_Players!$F:$F,"")</f>
        <v>8681</v>
      </c>
      <c r="I781" s="44">
        <f t="shared" si="174"/>
        <v>0</v>
      </c>
      <c r="J781" s="43">
        <f t="shared" si="175"/>
        <v>0</v>
      </c>
      <c r="K781" s="44" cm="1">
        <f t="array" ref="K781">IF(D781="Gadget",_xlfn.IFS(I781&gt;=0.2,0.5,I781&gt;=0.1,0.35,I781&gt;=0.05,0.2,TRUE,0),IF(D781="Grenade",_xlfn.IFS(I781&gt;=0.2,1,I781&gt;=0.1,0.7,I781&gt;=0.05,0.4,TRUE,0),0))</f>
        <v>0</v>
      </c>
      <c r="L781" s="57">
        <f t="shared" si="180"/>
        <v>0</v>
      </c>
    </row>
    <row r="782" spans="1:12" x14ac:dyDescent="0.25">
      <c r="A782" s="42" t="str" cm="1">
        <f t="array" ref="A782">IFERROR(INDEX(_xlfn._xlws.FILTER(Class_Players!A:A,Class_Players!B:B="Engineer"),QUOTIENT(ROW()-ROW($A$2),12)+1),"")</f>
        <v>BruceWayne001</v>
      </c>
      <c r="B782" s="42" t="str">
        <f>_xlfn.XLOOKUP(A782,Class_Players!$A:$A,Class_Players!$B:$B,"")</f>
        <v>Engineer</v>
      </c>
      <c r="C782" s="42" t="str" cm="1">
        <f t="array" ref="C782">INDEX(Lookups!$B$2:$B$13,MOD(ROW()-ROW($B$2),ROWS(Lookups!$B$2:$B$13))+1)</f>
        <v>MBT-LAW (Auto-Guided Launcher)</v>
      </c>
      <c r="D782" s="38" t="str">
        <f>_xlfn.XLOOKUP(C782,Analysis_Gadgets!$C:$C,Analysis_Gadgets!$B:$B)</f>
        <v>Gadget</v>
      </c>
      <c r="E782" s="43">
        <v>0</v>
      </c>
      <c r="F782" s="43">
        <f>_xlfn.XLOOKUP(A782,Class_Players!A:A,Class_Players!G:G)</f>
        <v>168</v>
      </c>
      <c r="G782" s="43">
        <f t="shared" si="173"/>
        <v>0</v>
      </c>
      <c r="H782" s="43">
        <f>_xlfn.XLOOKUP(A782,Class_Players!$A:$A,Class_Players!$F:$F,"")</f>
        <v>8562</v>
      </c>
      <c r="I782" s="44">
        <f t="shared" si="174"/>
        <v>0</v>
      </c>
      <c r="J782" s="43">
        <f t="shared" si="175"/>
        <v>0</v>
      </c>
      <c r="K782" s="44" cm="1">
        <f t="array" ref="K782">IF(D782="Gadget",_xlfn.IFS(I782&gt;=0.2,0.5,I782&gt;=0.1,0.35,I782&gt;=0.05,0.2,TRUE,0),IF(D782="Grenade",_xlfn.IFS(I782&gt;=0.2,1,I782&gt;=0.1,0.7,I782&gt;=0.05,0.4,TRUE,0),0))</f>
        <v>0</v>
      </c>
      <c r="L782" s="57">
        <f t="shared" ref="L782:L791" si="181">IF($K782=0,0,$K782 / SUMIFS($K:$K,$A:$A,$A782,$D:$D,"Gadget"))</f>
        <v>0</v>
      </c>
    </row>
    <row r="783" spans="1:12" x14ac:dyDescent="0.25">
      <c r="A783" s="42" t="str" cm="1">
        <f t="array" ref="A783">IFERROR(INDEX(_xlfn._xlws.FILTER(Class_Players!A:A,Class_Players!B:B="Engineer"),QUOTIENT(ROW()-ROW($A$2),12)+1),"")</f>
        <v>BruceWayne001</v>
      </c>
      <c r="B783" s="42" t="str">
        <f>_xlfn.XLOOKUP(A783,Class_Players!$A:$A,Class_Players!$B:$B,"")</f>
        <v>Engineer</v>
      </c>
      <c r="C783" s="42" t="str" cm="1">
        <f t="array" ref="C783">INDEX(Lookups!$B$2:$B$13,MOD(ROW()-ROW($B$2),ROWS(Lookups!$B$2:$B$13))+1)</f>
        <v>SLM-93A (Air-Defense Launcher)</v>
      </c>
      <c r="D783" s="38" t="str">
        <f>_xlfn.XLOOKUP(C783,Analysis_Gadgets!$C:$C,Analysis_Gadgets!$B:$B)</f>
        <v>Gadget</v>
      </c>
      <c r="E783" s="43">
        <v>96</v>
      </c>
      <c r="F783" s="43">
        <f>_xlfn.XLOOKUP(A783,Class_Players!A:A,Class_Players!G:G)</f>
        <v>168</v>
      </c>
      <c r="G783" s="43">
        <f t="shared" si="173"/>
        <v>0.5714285714285714</v>
      </c>
      <c r="H783" s="43">
        <f>_xlfn.XLOOKUP(A783,Class_Players!$A:$A,Class_Players!$F:$F,"")</f>
        <v>8562</v>
      </c>
      <c r="I783" s="44">
        <f t="shared" si="174"/>
        <v>1.1212333566923615E-2</v>
      </c>
      <c r="J783" s="43">
        <f t="shared" si="175"/>
        <v>0</v>
      </c>
      <c r="K783" s="44" cm="1">
        <f t="array" ref="K783">IF(D783="Gadget",_xlfn.IFS(I783&gt;=0.2,0.5,I783&gt;=0.1,0.35,I783&gt;=0.05,0.2,TRUE,0),IF(D783="Grenade",_xlfn.IFS(I783&gt;=0.2,1,I783&gt;=0.1,0.7,I783&gt;=0.05,0.4,TRUE,0),0))</f>
        <v>0</v>
      </c>
      <c r="L783" s="57">
        <f t="shared" si="181"/>
        <v>0</v>
      </c>
    </row>
    <row r="784" spans="1:12" x14ac:dyDescent="0.25">
      <c r="A784" s="42" t="str" cm="1">
        <f t="array" ref="A784">IFERROR(INDEX(_xlfn._xlws.FILTER(Class_Players!A:A,Class_Players!B:B="Engineer"),QUOTIENT(ROW()-ROW($A$2),12)+1),"")</f>
        <v>BruceWayne001</v>
      </c>
      <c r="B784" s="42" t="str">
        <f>_xlfn.XLOOKUP(A784,Class_Players!$A:$A,Class_Players!$B:$B,"")</f>
        <v>Engineer</v>
      </c>
      <c r="C784" s="42" t="str" cm="1">
        <f t="array" ref="C784">INDEX(Lookups!$B$2:$B$13,MOD(ROW()-ROW($B$2),ROWS(Lookups!$B$2:$B$13))+1)</f>
        <v>RPG-7V2 (Unguided Rocket Launcher)</v>
      </c>
      <c r="D784" s="38" t="str">
        <f>_xlfn.XLOOKUP(C784,Analysis_Gadgets!$C:$C,Analysis_Gadgets!$B:$B)</f>
        <v>Gadget</v>
      </c>
      <c r="E784" s="43">
        <v>3117</v>
      </c>
      <c r="F784" s="43">
        <f>_xlfn.XLOOKUP(A784,Class_Players!A:A,Class_Players!G:G)</f>
        <v>168</v>
      </c>
      <c r="G784" s="43">
        <f t="shared" si="173"/>
        <v>18.553571428571427</v>
      </c>
      <c r="H784" s="43">
        <f>_xlfn.XLOOKUP(A784,Class_Players!$A:$A,Class_Players!$F:$F,"")</f>
        <v>8562</v>
      </c>
      <c r="I784" s="44">
        <f t="shared" si="174"/>
        <v>0.36405045550105114</v>
      </c>
      <c r="J784" s="43">
        <f t="shared" si="175"/>
        <v>1</v>
      </c>
      <c r="K784" s="44" cm="1">
        <f t="array" ref="K784">IF(D784="Gadget",_xlfn.IFS(I784&gt;=0.2,0.5,I784&gt;=0.1,0.35,I784&gt;=0.05,0.2,TRUE,0),IF(D784="Grenade",_xlfn.IFS(I784&gt;=0.2,1,I784&gt;=0.1,0.7,I784&gt;=0.05,0.4,TRUE,0),0))</f>
        <v>0.5</v>
      </c>
      <c r="L784" s="57">
        <f t="shared" si="181"/>
        <v>1</v>
      </c>
    </row>
    <row r="785" spans="1:12" x14ac:dyDescent="0.25">
      <c r="A785" s="42" t="str" cm="1">
        <f t="array" ref="A785">IFERROR(INDEX(_xlfn._xlws.FILTER(Class_Players!A:A,Class_Players!B:B="Engineer"),QUOTIENT(ROW()-ROW($A$2),12)+1),"")</f>
        <v>BruceWayne001</v>
      </c>
      <c r="B785" s="42" t="str">
        <f>_xlfn.XLOOKUP(A785,Class_Players!$A:$A,Class_Players!$B:$B,"")</f>
        <v>Engineer</v>
      </c>
      <c r="C785" s="42" t="str" cm="1">
        <f t="array" ref="C785">INDEX(Lookups!$B$2:$B$13,MOD(ROW()-ROW($B$2),ROWS(Lookups!$B$2:$B$13))+1)</f>
        <v>MAS 148 (Long-Range Launcher)</v>
      </c>
      <c r="D785" s="38" t="str">
        <f>_xlfn.XLOOKUP(C785,Analysis_Gadgets!$C:$C,Analysis_Gadgets!$B:$B)</f>
        <v>Gadget</v>
      </c>
      <c r="E785" s="43">
        <v>0</v>
      </c>
      <c r="F785" s="43">
        <f>_xlfn.XLOOKUP(A785,Class_Players!A:A,Class_Players!G:G)</f>
        <v>168</v>
      </c>
      <c r="G785" s="43">
        <f t="shared" si="173"/>
        <v>0</v>
      </c>
      <c r="H785" s="43">
        <f>_xlfn.XLOOKUP(A785,Class_Players!$A:$A,Class_Players!$F:$F,"")</f>
        <v>8562</v>
      </c>
      <c r="I785" s="44">
        <f t="shared" si="174"/>
        <v>0</v>
      </c>
      <c r="J785" s="43">
        <f t="shared" si="175"/>
        <v>0</v>
      </c>
      <c r="K785" s="44" cm="1">
        <f t="array" ref="K785">IF(D785="Gadget",_xlfn.IFS(I785&gt;=0.2,0.5,I785&gt;=0.1,0.35,I785&gt;=0.05,0.2,TRUE,0),IF(D785="Grenade",_xlfn.IFS(I785&gt;=0.2,1,I785&gt;=0.1,0.7,I785&gt;=0.05,0.4,TRUE,0),0))</f>
        <v>0</v>
      </c>
      <c r="L785" s="57">
        <f t="shared" si="181"/>
        <v>0</v>
      </c>
    </row>
    <row r="786" spans="1:12" x14ac:dyDescent="0.25">
      <c r="A786" s="42" t="str" cm="1">
        <f t="array" ref="A786">IFERROR(INDEX(_xlfn._xlws.FILTER(Class_Players!A:A,Class_Players!B:B="Engineer"),QUOTIENT(ROW()-ROW($A$2),12)+1),"")</f>
        <v>BruceWayne001</v>
      </c>
      <c r="B786" s="42" t="str">
        <f>_xlfn.XLOOKUP(A786,Class_Players!$A:$A,Class_Players!$B:$B,"")</f>
        <v>Engineer</v>
      </c>
      <c r="C786" s="42" t="str" cm="1">
        <f t="array" ref="C786">INDEX(Lookups!$B$2:$B$13,MOD(ROW()-ROW($B$2),ROWS(Lookups!$B$2:$B$13))+1)</f>
        <v>M136 AT (Aim-Guided Launcher)</v>
      </c>
      <c r="D786" s="38" t="str">
        <f>_xlfn.XLOOKUP(C786,Analysis_Gadgets!$C:$C,Analysis_Gadgets!$B:$B)</f>
        <v>Gadget</v>
      </c>
      <c r="E786" s="43">
        <v>20</v>
      </c>
      <c r="F786" s="43">
        <f>_xlfn.XLOOKUP(A786,Class_Players!A:A,Class_Players!G:G)</f>
        <v>168</v>
      </c>
      <c r="G786" s="43">
        <f t="shared" si="173"/>
        <v>0.11904761904761904</v>
      </c>
      <c r="H786" s="43">
        <f>_xlfn.XLOOKUP(A786,Class_Players!$A:$A,Class_Players!$F:$F,"")</f>
        <v>8562</v>
      </c>
      <c r="I786" s="44">
        <f t="shared" si="174"/>
        <v>2.3359028264424201E-3</v>
      </c>
      <c r="J786" s="43">
        <f t="shared" si="175"/>
        <v>0</v>
      </c>
      <c r="K786" s="44" cm="1">
        <f t="array" ref="K786">IF(D786="Gadget",_xlfn.IFS(I786&gt;=0.2,0.5,I786&gt;=0.1,0.35,I786&gt;=0.05,0.2,TRUE,0),IF(D786="Grenade",_xlfn.IFS(I786&gt;=0.2,1,I786&gt;=0.1,0.7,I786&gt;=0.05,0.4,TRUE,0),0))</f>
        <v>0</v>
      </c>
      <c r="L786" s="57">
        <f t="shared" si="181"/>
        <v>0</v>
      </c>
    </row>
    <row r="787" spans="1:12" x14ac:dyDescent="0.25">
      <c r="A787" s="42" t="str" cm="1">
        <f t="array" ref="A787">IFERROR(INDEX(_xlfn._xlws.FILTER(Class_Players!A:A,Class_Players!B:B="Engineer"),QUOTIENT(ROW()-ROW($A$2),12)+1),"")</f>
        <v>BruceWayne001</v>
      </c>
      <c r="B787" s="42" t="str">
        <f>_xlfn.XLOOKUP(A787,Class_Players!$A:$A,Class_Players!$B:$B,"")</f>
        <v>Engineer</v>
      </c>
      <c r="C787" s="42" t="str" cm="1">
        <f t="array" ref="C787">INDEX(Lookups!$B$2:$B$13,MOD(ROW()-ROW($B$2),ROWS(Lookups!$B$2:$B$13))+1)</f>
        <v>Supply Crate</v>
      </c>
      <c r="D787" s="38" t="str">
        <f>_xlfn.XLOOKUP(C787,Analysis_Gadgets!$C:$C,Analysis_Gadgets!$B:$B)</f>
        <v>Gadget</v>
      </c>
      <c r="E787" s="43">
        <v>11</v>
      </c>
      <c r="F787" s="43">
        <f>_xlfn.XLOOKUP(A787,Class_Players!A:A,Class_Players!G:G)</f>
        <v>168</v>
      </c>
      <c r="G787" s="43">
        <f t="shared" si="173"/>
        <v>6.5476190476190479E-2</v>
      </c>
      <c r="H787" s="43">
        <f>_xlfn.XLOOKUP(A787,Class_Players!$A:$A,Class_Players!$F:$F,"")</f>
        <v>8562</v>
      </c>
      <c r="I787" s="44">
        <f t="shared" si="174"/>
        <v>1.284746554543331E-3</v>
      </c>
      <c r="J787" s="43">
        <f t="shared" si="175"/>
        <v>0</v>
      </c>
      <c r="K787" s="44" cm="1">
        <f t="array" ref="K787">IF(D787="Gadget",_xlfn.IFS(I787&gt;=0.2,0.5,I787&gt;=0.1,0.35,I787&gt;=0.05,0.2,TRUE,0),IF(D787="Grenade",_xlfn.IFS(I787&gt;=0.2,1,I787&gt;=0.1,0.7,I787&gt;=0.05,0.4,TRUE,0),0))</f>
        <v>0</v>
      </c>
      <c r="L787" s="57">
        <f t="shared" si="181"/>
        <v>0</v>
      </c>
    </row>
    <row r="788" spans="1:12" x14ac:dyDescent="0.25">
      <c r="A788" s="42" t="str" cm="1">
        <f t="array" ref="A788">IFERROR(INDEX(_xlfn._xlws.FILTER(Class_Players!A:A,Class_Players!B:B="Engineer"),QUOTIENT(ROW()-ROW($A$2),12)+1),"")</f>
        <v>BruceWayne001</v>
      </c>
      <c r="B788" s="42" t="str">
        <f>_xlfn.XLOOKUP(A788,Class_Players!$A:$A,Class_Players!$B:$B,"")</f>
        <v>Engineer</v>
      </c>
      <c r="C788" s="42" t="str" cm="1">
        <f t="array" ref="C788">INDEX(Lookups!$B$2:$B$13,MOD(ROW()-ROW($B$2),ROWS(Lookups!$B$2:$B$13))+1)</f>
        <v>M15 (Anti-Vehicle Mine)</v>
      </c>
      <c r="D788" s="38" t="str">
        <f>_xlfn.XLOOKUP(C788,Analysis_Gadgets!$C:$C,Analysis_Gadgets!$B:$B)</f>
        <v>Gadget</v>
      </c>
      <c r="E788" s="43">
        <v>235</v>
      </c>
      <c r="F788" s="43">
        <f>_xlfn.XLOOKUP(A788,Class_Players!A:A,Class_Players!G:G)</f>
        <v>168</v>
      </c>
      <c r="G788" s="43">
        <f t="shared" si="173"/>
        <v>1.3988095238095237</v>
      </c>
      <c r="H788" s="43">
        <f>_xlfn.XLOOKUP(A788,Class_Players!$A:$A,Class_Players!$F:$F,"")</f>
        <v>8562</v>
      </c>
      <c r="I788" s="44">
        <f t="shared" si="174"/>
        <v>2.7446858210698435E-2</v>
      </c>
      <c r="J788" s="43">
        <f t="shared" si="175"/>
        <v>0</v>
      </c>
      <c r="K788" s="44" cm="1">
        <f t="array" ref="K788">IF(D788="Gadget",_xlfn.IFS(I788&gt;=0.2,0.5,I788&gt;=0.1,0.35,I788&gt;=0.05,0.2,TRUE,0),IF(D788="Grenade",_xlfn.IFS(I788&gt;=0.2,1,I788&gt;=0.1,0.7,I788&gt;=0.05,0.4,TRUE,0),0))</f>
        <v>0</v>
      </c>
      <c r="L788" s="57">
        <f t="shared" si="181"/>
        <v>0</v>
      </c>
    </row>
    <row r="789" spans="1:12" x14ac:dyDescent="0.25">
      <c r="A789" s="42" t="str" cm="1">
        <f t="array" ref="A789">IFERROR(INDEX(_xlfn._xlws.FILTER(Class_Players!A:A,Class_Players!B:B="Engineer"),QUOTIENT(ROW()-ROW($A$2),12)+1),"")</f>
        <v>BruceWayne001</v>
      </c>
      <c r="B789" s="42" t="str">
        <f>_xlfn.XLOOKUP(A789,Class_Players!$A:$A,Class_Players!$B:$B,"")</f>
        <v>Engineer</v>
      </c>
      <c r="C789" s="42" t="str" cm="1">
        <f t="array" ref="C789">INDEX(Lookups!$B$2:$B$13,MOD(ROW()-ROW($B$2),ROWS(Lookups!$B$2:$B$13))+1)</f>
        <v>PTKM-1R (Acoustic Sensor AV Mine)</v>
      </c>
      <c r="D789" s="38" t="str">
        <f>_xlfn.XLOOKUP(C789,Analysis_Gadgets!$C:$C,Analysis_Gadgets!$B:$B)</f>
        <v>Gadget</v>
      </c>
      <c r="E789" s="43">
        <v>73</v>
      </c>
      <c r="F789" s="43">
        <f>_xlfn.XLOOKUP(A789,Class_Players!A:A,Class_Players!G:G)</f>
        <v>168</v>
      </c>
      <c r="G789" s="43">
        <f t="shared" si="173"/>
        <v>0.43452380952380953</v>
      </c>
      <c r="H789" s="43">
        <f>_xlfn.XLOOKUP(A789,Class_Players!$A:$A,Class_Players!$F:$F,"")</f>
        <v>8562</v>
      </c>
      <c r="I789" s="44">
        <f t="shared" si="174"/>
        <v>8.5260453165148329E-3</v>
      </c>
      <c r="J789" s="43">
        <f t="shared" si="175"/>
        <v>0</v>
      </c>
      <c r="K789" s="44" cm="1">
        <f t="array" ref="K789">IF(D789="Gadget",_xlfn.IFS(I789&gt;=0.2,0.5,I789&gt;=0.1,0.35,I789&gt;=0.05,0.2,TRUE,0),IF(D789="Grenade",_xlfn.IFS(I789&gt;=0.2,1,I789&gt;=0.1,0.7,I789&gt;=0.05,0.4,TRUE,0),0))</f>
        <v>0</v>
      </c>
      <c r="L789" s="57">
        <f t="shared" si="181"/>
        <v>0</v>
      </c>
    </row>
    <row r="790" spans="1:12" x14ac:dyDescent="0.25">
      <c r="A790" s="42" t="str" cm="1">
        <f t="array" ref="A790">IFERROR(INDEX(_xlfn._xlws.FILTER(Class_Players!A:A,Class_Players!B:B="Engineer"),QUOTIENT(ROW()-ROW($A$2),12)+1),"")</f>
        <v>BruceWayne001</v>
      </c>
      <c r="B790" s="42" t="str">
        <f>_xlfn.XLOOKUP(A790,Class_Players!$A:$A,Class_Players!$B:$B,"")</f>
        <v>Engineer</v>
      </c>
      <c r="C790" s="42" t="str" cm="1">
        <f t="array" ref="C790">INDEX(Lookups!$B$2:$B$13,MOD(ROW()-ROW($B$2),ROWS(Lookups!$B$2:$B$13))+1)</f>
        <v>EOD Bot</v>
      </c>
      <c r="D790" s="38" t="str">
        <f>_xlfn.XLOOKUP(C790,Analysis_Gadgets!$C:$C,Analysis_Gadgets!$B:$B)</f>
        <v>Gadget</v>
      </c>
      <c r="E790" s="43">
        <v>0</v>
      </c>
      <c r="F790" s="43">
        <f>_xlfn.XLOOKUP(A790,Class_Players!A:A,Class_Players!G:G)</f>
        <v>168</v>
      </c>
      <c r="G790" s="43">
        <f t="shared" si="173"/>
        <v>0</v>
      </c>
      <c r="H790" s="43">
        <f>_xlfn.XLOOKUP(A790,Class_Players!$A:$A,Class_Players!$F:$F,"")</f>
        <v>8562</v>
      </c>
      <c r="I790" s="44">
        <f t="shared" si="174"/>
        <v>0</v>
      </c>
      <c r="J790" s="43">
        <f t="shared" si="175"/>
        <v>0</v>
      </c>
      <c r="K790" s="44" cm="1">
        <f t="array" ref="K790">IF(D790="Gadget",_xlfn.IFS(I790&gt;=0.2,0.5,I790&gt;=0.1,0.35,I790&gt;=0.05,0.2,TRUE,0),IF(D790="Grenade",_xlfn.IFS(I790&gt;=0.2,1,I790&gt;=0.1,0.7,I790&gt;=0.05,0.4,TRUE,0),0))</f>
        <v>0</v>
      </c>
      <c r="L790" s="57">
        <f t="shared" si="181"/>
        <v>0</v>
      </c>
    </row>
    <row r="791" spans="1:12" x14ac:dyDescent="0.25">
      <c r="A791" s="42" t="str" cm="1">
        <f t="array" ref="A791">IFERROR(INDEX(_xlfn._xlws.FILTER(Class_Players!A:A,Class_Players!B:B="Engineer"),QUOTIENT(ROW()-ROW($A$2),12)+1),"")</f>
        <v>BruceWayne001</v>
      </c>
      <c r="B791" s="42" t="str">
        <f>_xlfn.XLOOKUP(A791,Class_Players!$A:$A,Class_Players!$B:$B,"")</f>
        <v>Engineer</v>
      </c>
      <c r="C791" s="42" t="str" cm="1">
        <f t="array" ref="C791">INDEX(Lookups!$B$2:$B$13,MOD(ROW()-ROW($B$2),ROWS(Lookups!$B$2:$B$13))+1)</f>
        <v>M4A1 SLAM (Tripwire Sensor AV Mine)</v>
      </c>
      <c r="D791" s="38" t="str">
        <f>_xlfn.XLOOKUP(C791,Analysis_Gadgets!$C:$C,Analysis_Gadgets!$B:$B)</f>
        <v>Gadget</v>
      </c>
      <c r="E791" s="43">
        <v>0</v>
      </c>
      <c r="F791" s="43">
        <f>_xlfn.XLOOKUP(A791,Class_Players!A:A,Class_Players!G:G)</f>
        <v>168</v>
      </c>
      <c r="G791" s="43">
        <f t="shared" si="173"/>
        <v>0</v>
      </c>
      <c r="H791" s="43">
        <f>_xlfn.XLOOKUP(A791,Class_Players!$A:$A,Class_Players!$F:$F,"")</f>
        <v>8562</v>
      </c>
      <c r="I791" s="44">
        <f t="shared" si="174"/>
        <v>0</v>
      </c>
      <c r="J791" s="43">
        <f t="shared" si="175"/>
        <v>0</v>
      </c>
      <c r="K791" s="44" cm="1">
        <f t="array" ref="K791">IF(D791="Gadget",_xlfn.IFS(I791&gt;=0.2,0.5,I791&gt;=0.1,0.35,I791&gt;=0.05,0.2,TRUE,0),IF(D791="Grenade",_xlfn.IFS(I791&gt;=0.2,1,I791&gt;=0.1,0.7,I791&gt;=0.05,0.4,TRUE,0),0))</f>
        <v>0</v>
      </c>
      <c r="L791" s="57">
        <f t="shared" si="181"/>
        <v>0</v>
      </c>
    </row>
    <row r="792" spans="1:12" x14ac:dyDescent="0.25">
      <c r="A792" s="42" t="str" cm="1">
        <f t="array" ref="A792">IFERROR(INDEX(_xlfn._xlws.FILTER(Class_Players!A:A,Class_Players!B:B="Engineer"),QUOTIENT(ROW()-ROW($A$2),12)+1),"")</f>
        <v>BruceWayne001</v>
      </c>
      <c r="B792" s="42" t="str">
        <f>_xlfn.XLOOKUP(A792,Class_Players!$A:$A,Class_Players!$B:$B,"")</f>
        <v>Engineer</v>
      </c>
      <c r="C792" s="42" t="str" cm="1">
        <f t="array" ref="C792">INDEX(Lookups!$B$2:$B$13,MOD(ROW()-ROW($B$2),ROWS(Lookups!$B$2:$B$13))+1)</f>
        <v>Mini Frag Grenade</v>
      </c>
      <c r="D792" s="38" t="str">
        <f>_xlfn.XLOOKUP(C792,Analysis_Gadgets!$C:$C,Analysis_Gadgets!$B:$B)</f>
        <v>Grenade</v>
      </c>
      <c r="E792" s="43">
        <v>10</v>
      </c>
      <c r="F792" s="43">
        <f>_xlfn.XLOOKUP(A792,Class_Players!A:A,Class_Players!G:G)</f>
        <v>168</v>
      </c>
      <c r="G792" s="43">
        <f t="shared" si="173"/>
        <v>5.9523809523809521E-2</v>
      </c>
      <c r="H792" s="43">
        <f>_xlfn.XLOOKUP(A792,Class_Players!$A:$A,Class_Players!$F:$F,"")</f>
        <v>8562</v>
      </c>
      <c r="I792" s="44">
        <f t="shared" si="174"/>
        <v>1.16795141322121E-3</v>
      </c>
      <c r="J792" s="43">
        <f t="shared" si="175"/>
        <v>0</v>
      </c>
      <c r="K792" s="44" cm="1">
        <f t="array" ref="K792">IF(D792="Gadget",_xlfn.IFS(I792&gt;=0.2,0.5,I792&gt;=0.1,0.35,I792&gt;=0.05,0.2,TRUE,0),IF(D792="Grenade",_xlfn.IFS(I792&gt;=0.2,1,I792&gt;=0.1,0.7,I792&gt;=0.05,0.4,TRUE,0),0))</f>
        <v>0</v>
      </c>
      <c r="L792" s="57">
        <f t="shared" ref="L792:L793" si="182">IF($K792=0,0,$K792 / SUMIFS($K:$K,$A:$A,$A792,$D:$D,"Grenade"))</f>
        <v>0</v>
      </c>
    </row>
    <row r="793" spans="1:12" x14ac:dyDescent="0.25">
      <c r="A793" s="42" t="str" cm="1">
        <f t="array" ref="A793">IFERROR(INDEX(_xlfn._xlws.FILTER(Class_Players!A:A,Class_Players!B:B="Engineer"),QUOTIENT(ROW()-ROW($A$2),12)+1),"")</f>
        <v>BruceWayne001</v>
      </c>
      <c r="B793" s="42" t="str">
        <f>_xlfn.XLOOKUP(A793,Class_Players!$A:$A,Class_Players!$B:$B,"")</f>
        <v>Engineer</v>
      </c>
      <c r="C793" s="42" t="str" cm="1">
        <f t="array" ref="C793">INDEX(Lookups!$B$2:$B$13,MOD(ROW()-ROW($B$2),ROWS(Lookups!$B$2:$B$13))+1)</f>
        <v>Anti-Vehicle Grenade</v>
      </c>
      <c r="D793" s="38" t="str">
        <f>_xlfn.XLOOKUP(C793,Analysis_Gadgets!$C:$C,Analysis_Gadgets!$B:$B)</f>
        <v>Grenade</v>
      </c>
      <c r="E793" s="43">
        <v>0</v>
      </c>
      <c r="F793" s="43">
        <f>_xlfn.XLOOKUP(A793,Class_Players!A:A,Class_Players!G:G)</f>
        <v>168</v>
      </c>
      <c r="G793" s="43">
        <f t="shared" si="173"/>
        <v>0</v>
      </c>
      <c r="H793" s="43">
        <f>_xlfn.XLOOKUP(A793,Class_Players!$A:$A,Class_Players!$F:$F,"")</f>
        <v>8562</v>
      </c>
      <c r="I793" s="44">
        <f t="shared" si="174"/>
        <v>0</v>
      </c>
      <c r="J793" s="43">
        <f t="shared" si="175"/>
        <v>0</v>
      </c>
      <c r="K793" s="44" cm="1">
        <f t="array" ref="K793">IF(D793="Gadget",_xlfn.IFS(I793&gt;=0.2,0.5,I793&gt;=0.1,0.35,I793&gt;=0.05,0.2,TRUE,0),IF(D793="Grenade",_xlfn.IFS(I793&gt;=0.2,1,I793&gt;=0.1,0.7,I793&gt;=0.05,0.4,TRUE,0),0))</f>
        <v>0</v>
      </c>
      <c r="L793" s="57">
        <f t="shared" si="182"/>
        <v>0</v>
      </c>
    </row>
    <row r="794" spans="1:12" x14ac:dyDescent="0.25">
      <c r="A794" s="42" t="str" cm="1">
        <f t="array" ref="A794">IFERROR(INDEX(_xlfn._xlws.FILTER(Class_Players!A:A,Class_Players!B:B="Engineer"),QUOTIENT(ROW()-ROW($A$2),12)+1),"")</f>
        <v>xBakedKoalax</v>
      </c>
      <c r="B794" s="42" t="str">
        <f>_xlfn.XLOOKUP(A794,Class_Players!$A:$A,Class_Players!$B:$B,"")</f>
        <v>Engineer</v>
      </c>
      <c r="C794" s="42" t="str" cm="1">
        <f t="array" ref="C794">INDEX(Lookups!$B$2:$B$13,MOD(ROW()-ROW($B$2),ROWS(Lookups!$B$2:$B$13))+1)</f>
        <v>MBT-LAW (Auto-Guided Launcher)</v>
      </c>
      <c r="D794" s="38" t="str">
        <f>_xlfn.XLOOKUP(C794,Analysis_Gadgets!$C:$C,Analysis_Gadgets!$B:$B)</f>
        <v>Gadget</v>
      </c>
      <c r="E794" s="43">
        <v>0</v>
      </c>
      <c r="F794" s="43">
        <f>_xlfn.XLOOKUP(A794,Class_Players!A:A,Class_Players!G:G)</f>
        <v>289</v>
      </c>
      <c r="G794" s="43">
        <f t="shared" si="173"/>
        <v>0</v>
      </c>
      <c r="H794" s="43">
        <f>_xlfn.XLOOKUP(A794,Class_Players!$A:$A,Class_Players!$F:$F,"")</f>
        <v>8488</v>
      </c>
      <c r="I794" s="44">
        <f t="shared" si="174"/>
        <v>0</v>
      </c>
      <c r="J794" s="43">
        <f t="shared" si="175"/>
        <v>0</v>
      </c>
      <c r="K794" s="44" cm="1">
        <f t="array" ref="K794">IF(D794="Gadget",_xlfn.IFS(I794&gt;=0.2,0.5,I794&gt;=0.1,0.35,I794&gt;=0.05,0.2,TRUE,0),IF(D794="Grenade",_xlfn.IFS(I794&gt;=0.2,1,I794&gt;=0.1,0.7,I794&gt;=0.05,0.4,TRUE,0),0))</f>
        <v>0</v>
      </c>
      <c r="L794" s="57">
        <f t="shared" ref="L794:L803" si="183">IF($K794=0,0,$K794 / SUMIFS($K:$K,$A:$A,$A794,$D:$D,"Gadget"))</f>
        <v>0</v>
      </c>
    </row>
    <row r="795" spans="1:12" x14ac:dyDescent="0.25">
      <c r="A795" s="42" t="str" cm="1">
        <f t="array" ref="A795">IFERROR(INDEX(_xlfn._xlws.FILTER(Class_Players!A:A,Class_Players!B:B="Engineer"),QUOTIENT(ROW()-ROW($A$2),12)+1),"")</f>
        <v>xBakedKoalax</v>
      </c>
      <c r="B795" s="42" t="str">
        <f>_xlfn.XLOOKUP(A795,Class_Players!$A:$A,Class_Players!$B:$B,"")</f>
        <v>Engineer</v>
      </c>
      <c r="C795" s="42" t="str" cm="1">
        <f t="array" ref="C795">INDEX(Lookups!$B$2:$B$13,MOD(ROW()-ROW($B$2),ROWS(Lookups!$B$2:$B$13))+1)</f>
        <v>SLM-93A (Air-Defense Launcher)</v>
      </c>
      <c r="D795" s="38" t="str">
        <f>_xlfn.XLOOKUP(C795,Analysis_Gadgets!$C:$C,Analysis_Gadgets!$B:$B)</f>
        <v>Gadget</v>
      </c>
      <c r="E795" s="43">
        <v>36</v>
      </c>
      <c r="F795" s="43">
        <f>_xlfn.XLOOKUP(A795,Class_Players!A:A,Class_Players!G:G)</f>
        <v>289</v>
      </c>
      <c r="G795" s="43">
        <f t="shared" si="173"/>
        <v>0.1245674740484429</v>
      </c>
      <c r="H795" s="43">
        <f>_xlfn.XLOOKUP(A795,Class_Players!$A:$A,Class_Players!$F:$F,"")</f>
        <v>8488</v>
      </c>
      <c r="I795" s="44">
        <f t="shared" si="174"/>
        <v>4.2412818096135719E-3</v>
      </c>
      <c r="J795" s="43">
        <f t="shared" si="175"/>
        <v>0</v>
      </c>
      <c r="K795" s="44" cm="1">
        <f t="array" ref="K795">IF(D795="Gadget",_xlfn.IFS(I795&gt;=0.2,0.5,I795&gt;=0.1,0.35,I795&gt;=0.05,0.2,TRUE,0),IF(D795="Grenade",_xlfn.IFS(I795&gt;=0.2,1,I795&gt;=0.1,0.7,I795&gt;=0.05,0.4,TRUE,0),0))</f>
        <v>0</v>
      </c>
      <c r="L795" s="57">
        <f t="shared" si="183"/>
        <v>0</v>
      </c>
    </row>
    <row r="796" spans="1:12" x14ac:dyDescent="0.25">
      <c r="A796" s="42" t="str" cm="1">
        <f t="array" ref="A796">IFERROR(INDEX(_xlfn._xlws.FILTER(Class_Players!A:A,Class_Players!B:B="Engineer"),QUOTIENT(ROW()-ROW($A$2),12)+1),"")</f>
        <v>xBakedKoalax</v>
      </c>
      <c r="B796" s="42" t="str">
        <f>_xlfn.XLOOKUP(A796,Class_Players!$A:$A,Class_Players!$B:$B,"")</f>
        <v>Engineer</v>
      </c>
      <c r="C796" s="42" t="str" cm="1">
        <f t="array" ref="C796">INDEX(Lookups!$B$2:$B$13,MOD(ROW()-ROW($B$2),ROWS(Lookups!$B$2:$B$13))+1)</f>
        <v>RPG-7V2 (Unguided Rocket Launcher)</v>
      </c>
      <c r="D796" s="38" t="str">
        <f>_xlfn.XLOOKUP(C796,Analysis_Gadgets!$C:$C,Analysis_Gadgets!$B:$B)</f>
        <v>Gadget</v>
      </c>
      <c r="E796" s="43">
        <v>6260</v>
      </c>
      <c r="F796" s="43">
        <f>_xlfn.XLOOKUP(A796,Class_Players!A:A,Class_Players!G:G)</f>
        <v>289</v>
      </c>
      <c r="G796" s="43">
        <f t="shared" si="173"/>
        <v>21.660899653979239</v>
      </c>
      <c r="H796" s="43">
        <f>_xlfn.XLOOKUP(A796,Class_Players!$A:$A,Class_Players!$F:$F,"")</f>
        <v>8488</v>
      </c>
      <c r="I796" s="44">
        <f t="shared" si="174"/>
        <v>0.73751178133836004</v>
      </c>
      <c r="J796" s="43">
        <f t="shared" si="175"/>
        <v>1</v>
      </c>
      <c r="K796" s="44" cm="1">
        <f t="array" ref="K796">IF(D796="Gadget",_xlfn.IFS(I796&gt;=0.2,0.5,I796&gt;=0.1,0.35,I796&gt;=0.05,0.2,TRUE,0),IF(D796="Grenade",_xlfn.IFS(I796&gt;=0.2,1,I796&gt;=0.1,0.7,I796&gt;=0.05,0.4,TRUE,0),0))</f>
        <v>0.5</v>
      </c>
      <c r="L796" s="57">
        <f t="shared" si="183"/>
        <v>0.41666666666666669</v>
      </c>
    </row>
    <row r="797" spans="1:12" x14ac:dyDescent="0.25">
      <c r="A797" s="42" t="str" cm="1">
        <f t="array" ref="A797">IFERROR(INDEX(_xlfn._xlws.FILTER(Class_Players!A:A,Class_Players!B:B="Engineer"),QUOTIENT(ROW()-ROW($A$2),12)+1),"")</f>
        <v>xBakedKoalax</v>
      </c>
      <c r="B797" s="42" t="str">
        <f>_xlfn.XLOOKUP(A797,Class_Players!$A:$A,Class_Players!$B:$B,"")</f>
        <v>Engineer</v>
      </c>
      <c r="C797" s="42" t="str" cm="1">
        <f t="array" ref="C797">INDEX(Lookups!$B$2:$B$13,MOD(ROW()-ROW($B$2),ROWS(Lookups!$B$2:$B$13))+1)</f>
        <v>MAS 148 (Long-Range Launcher)</v>
      </c>
      <c r="D797" s="38" t="str">
        <f>_xlfn.XLOOKUP(C797,Analysis_Gadgets!$C:$C,Analysis_Gadgets!$B:$B)</f>
        <v>Gadget</v>
      </c>
      <c r="E797" s="43">
        <v>19</v>
      </c>
      <c r="F797" s="43">
        <f>_xlfn.XLOOKUP(A797,Class_Players!A:A,Class_Players!G:G)</f>
        <v>289</v>
      </c>
      <c r="G797" s="43">
        <f t="shared" si="173"/>
        <v>6.5743944636678195E-2</v>
      </c>
      <c r="H797" s="43">
        <f>_xlfn.XLOOKUP(A797,Class_Players!$A:$A,Class_Players!$F:$F,"")</f>
        <v>8488</v>
      </c>
      <c r="I797" s="44">
        <f t="shared" si="174"/>
        <v>2.2384542884071631E-3</v>
      </c>
      <c r="J797" s="43">
        <f t="shared" si="175"/>
        <v>0</v>
      </c>
      <c r="K797" s="44" cm="1">
        <f t="array" ref="K797">IF(D797="Gadget",_xlfn.IFS(I797&gt;=0.2,0.5,I797&gt;=0.1,0.35,I797&gt;=0.05,0.2,TRUE,0),IF(D797="Grenade",_xlfn.IFS(I797&gt;=0.2,1,I797&gt;=0.1,0.7,I797&gt;=0.05,0.4,TRUE,0),0))</f>
        <v>0</v>
      </c>
      <c r="L797" s="57">
        <f t="shared" si="183"/>
        <v>0</v>
      </c>
    </row>
    <row r="798" spans="1:12" x14ac:dyDescent="0.25">
      <c r="A798" s="42" t="str" cm="1">
        <f t="array" ref="A798">IFERROR(INDEX(_xlfn._xlws.FILTER(Class_Players!A:A,Class_Players!B:B="Engineer"),QUOTIENT(ROW()-ROW($A$2),12)+1),"")</f>
        <v>xBakedKoalax</v>
      </c>
      <c r="B798" s="42" t="str">
        <f>_xlfn.XLOOKUP(A798,Class_Players!$A:$A,Class_Players!$B:$B,"")</f>
        <v>Engineer</v>
      </c>
      <c r="C798" s="42" t="str" cm="1">
        <f t="array" ref="C798">INDEX(Lookups!$B$2:$B$13,MOD(ROW()-ROW($B$2),ROWS(Lookups!$B$2:$B$13))+1)</f>
        <v>M136 AT (Aim-Guided Launcher)</v>
      </c>
      <c r="D798" s="38" t="str">
        <f>_xlfn.XLOOKUP(C798,Analysis_Gadgets!$C:$C,Analysis_Gadgets!$B:$B)</f>
        <v>Gadget</v>
      </c>
      <c r="E798" s="43">
        <v>490</v>
      </c>
      <c r="F798" s="43">
        <f>_xlfn.XLOOKUP(A798,Class_Players!A:A,Class_Players!G:G)</f>
        <v>289</v>
      </c>
      <c r="G798" s="43">
        <f t="shared" si="173"/>
        <v>1.6955017301038062</v>
      </c>
      <c r="H798" s="43">
        <f>_xlfn.XLOOKUP(A798,Class_Players!$A:$A,Class_Players!$F:$F,"")</f>
        <v>8488</v>
      </c>
      <c r="I798" s="44">
        <f t="shared" si="174"/>
        <v>5.7728557964184732E-2</v>
      </c>
      <c r="J798" s="43">
        <f t="shared" si="175"/>
        <v>0</v>
      </c>
      <c r="K798" s="44" cm="1">
        <f t="array" ref="K798">IF(D798="Gadget",_xlfn.IFS(I798&gt;=0.2,0.5,I798&gt;=0.1,0.35,I798&gt;=0.05,0.2,TRUE,0),IF(D798="Grenade",_xlfn.IFS(I798&gt;=0.2,1,I798&gt;=0.1,0.7,I798&gt;=0.05,0.4,TRUE,0),0))</f>
        <v>0.2</v>
      </c>
      <c r="L798" s="57">
        <f t="shared" si="183"/>
        <v>0.16666666666666669</v>
      </c>
    </row>
    <row r="799" spans="1:12" x14ac:dyDescent="0.25">
      <c r="A799" s="42" t="str" cm="1">
        <f t="array" ref="A799">IFERROR(INDEX(_xlfn._xlws.FILTER(Class_Players!A:A,Class_Players!B:B="Engineer"),QUOTIENT(ROW()-ROW($A$2),12)+1),"")</f>
        <v>xBakedKoalax</v>
      </c>
      <c r="B799" s="42" t="str">
        <f>_xlfn.XLOOKUP(A799,Class_Players!$A:$A,Class_Players!$B:$B,"")</f>
        <v>Engineer</v>
      </c>
      <c r="C799" s="42" t="str" cm="1">
        <f t="array" ref="C799">INDEX(Lookups!$B$2:$B$13,MOD(ROW()-ROW($B$2),ROWS(Lookups!$B$2:$B$13))+1)</f>
        <v>Supply Crate</v>
      </c>
      <c r="D799" s="38" t="str">
        <f>_xlfn.XLOOKUP(C799,Analysis_Gadgets!$C:$C,Analysis_Gadgets!$B:$B)</f>
        <v>Gadget</v>
      </c>
      <c r="E799" s="43">
        <v>58</v>
      </c>
      <c r="F799" s="43">
        <f>_xlfn.XLOOKUP(A799,Class_Players!A:A,Class_Players!G:G)</f>
        <v>289</v>
      </c>
      <c r="G799" s="43">
        <f t="shared" si="173"/>
        <v>0.20069204152249134</v>
      </c>
      <c r="H799" s="43">
        <f>_xlfn.XLOOKUP(A799,Class_Players!$A:$A,Class_Players!$F:$F,"")</f>
        <v>8488</v>
      </c>
      <c r="I799" s="44">
        <f t="shared" si="174"/>
        <v>6.8331762488218666E-3</v>
      </c>
      <c r="J799" s="43">
        <f t="shared" si="175"/>
        <v>0</v>
      </c>
      <c r="K799" s="44" cm="1">
        <f t="array" ref="K799">IF(D799="Gadget",_xlfn.IFS(I799&gt;=0.2,0.5,I799&gt;=0.1,0.35,I799&gt;=0.05,0.2,TRUE,0),IF(D799="Grenade",_xlfn.IFS(I799&gt;=0.2,1,I799&gt;=0.1,0.7,I799&gt;=0.05,0.4,TRUE,0),0))</f>
        <v>0</v>
      </c>
      <c r="L799" s="57">
        <f t="shared" si="183"/>
        <v>0</v>
      </c>
    </row>
    <row r="800" spans="1:12" x14ac:dyDescent="0.25">
      <c r="A800" s="42" t="str" cm="1">
        <f t="array" ref="A800">IFERROR(INDEX(_xlfn._xlws.FILTER(Class_Players!A:A,Class_Players!B:B="Engineer"),QUOTIENT(ROW()-ROW($A$2),12)+1),"")</f>
        <v>xBakedKoalax</v>
      </c>
      <c r="B800" s="42" t="str">
        <f>_xlfn.XLOOKUP(A800,Class_Players!$A:$A,Class_Players!$B:$B,"")</f>
        <v>Engineer</v>
      </c>
      <c r="C800" s="42" t="str" cm="1">
        <f t="array" ref="C800">INDEX(Lookups!$B$2:$B$13,MOD(ROW()-ROW($B$2),ROWS(Lookups!$B$2:$B$13))+1)</f>
        <v>M15 (Anti-Vehicle Mine)</v>
      </c>
      <c r="D800" s="38" t="str">
        <f>_xlfn.XLOOKUP(C800,Analysis_Gadgets!$C:$C,Analysis_Gadgets!$B:$B)</f>
        <v>Gadget</v>
      </c>
      <c r="E800" s="43">
        <v>2330</v>
      </c>
      <c r="F800" s="43">
        <f>_xlfn.XLOOKUP(A800,Class_Players!A:A,Class_Players!G:G)</f>
        <v>289</v>
      </c>
      <c r="G800" s="43">
        <f t="shared" si="173"/>
        <v>8.062283737024222</v>
      </c>
      <c r="H800" s="43">
        <f>_xlfn.XLOOKUP(A800,Class_Players!$A:$A,Class_Players!$F:$F,"")</f>
        <v>8488</v>
      </c>
      <c r="I800" s="44">
        <f t="shared" si="174"/>
        <v>0.27450518378887839</v>
      </c>
      <c r="J800" s="43">
        <f t="shared" si="175"/>
        <v>1</v>
      </c>
      <c r="K800" s="44" cm="1">
        <f t="array" ref="K800">IF(D800="Gadget",_xlfn.IFS(I800&gt;=0.2,0.5,I800&gt;=0.1,0.35,I800&gt;=0.05,0.2,TRUE,0),IF(D800="Grenade",_xlfn.IFS(I800&gt;=0.2,1,I800&gt;=0.1,0.7,I800&gt;=0.05,0.4,TRUE,0),0))</f>
        <v>0.5</v>
      </c>
      <c r="L800" s="57">
        <f t="shared" si="183"/>
        <v>0.41666666666666669</v>
      </c>
    </row>
    <row r="801" spans="1:12" x14ac:dyDescent="0.25">
      <c r="A801" s="42" t="str" cm="1">
        <f t="array" ref="A801">IFERROR(INDEX(_xlfn._xlws.FILTER(Class_Players!A:A,Class_Players!B:B="Engineer"),QUOTIENT(ROW()-ROW($A$2),12)+1),"")</f>
        <v>xBakedKoalax</v>
      </c>
      <c r="B801" s="42" t="str">
        <f>_xlfn.XLOOKUP(A801,Class_Players!$A:$A,Class_Players!$B:$B,"")</f>
        <v>Engineer</v>
      </c>
      <c r="C801" s="42" t="str" cm="1">
        <f t="array" ref="C801">INDEX(Lookups!$B$2:$B$13,MOD(ROW()-ROW($B$2),ROWS(Lookups!$B$2:$B$13))+1)</f>
        <v>PTKM-1R (Acoustic Sensor AV Mine)</v>
      </c>
      <c r="D801" s="38" t="str">
        <f>_xlfn.XLOOKUP(C801,Analysis_Gadgets!$C:$C,Analysis_Gadgets!$B:$B)</f>
        <v>Gadget</v>
      </c>
      <c r="E801" s="43">
        <v>14</v>
      </c>
      <c r="F801" s="43">
        <f>_xlfn.XLOOKUP(A801,Class_Players!A:A,Class_Players!G:G)</f>
        <v>289</v>
      </c>
      <c r="G801" s="43">
        <f t="shared" si="173"/>
        <v>4.8442906574394463E-2</v>
      </c>
      <c r="H801" s="43">
        <f>_xlfn.XLOOKUP(A801,Class_Players!$A:$A,Class_Players!$F:$F,"")</f>
        <v>8488</v>
      </c>
      <c r="I801" s="44">
        <f t="shared" si="174"/>
        <v>1.6493873704052781E-3</v>
      </c>
      <c r="J801" s="43">
        <f t="shared" si="175"/>
        <v>0</v>
      </c>
      <c r="K801" s="44" cm="1">
        <f t="array" ref="K801">IF(D801="Gadget",_xlfn.IFS(I801&gt;=0.2,0.5,I801&gt;=0.1,0.35,I801&gt;=0.05,0.2,TRUE,0),IF(D801="Grenade",_xlfn.IFS(I801&gt;=0.2,1,I801&gt;=0.1,0.7,I801&gt;=0.05,0.4,TRUE,0),0))</f>
        <v>0</v>
      </c>
      <c r="L801" s="57">
        <f t="shared" si="183"/>
        <v>0</v>
      </c>
    </row>
    <row r="802" spans="1:12" x14ac:dyDescent="0.25">
      <c r="A802" s="42" t="str" cm="1">
        <f t="array" ref="A802">IFERROR(INDEX(_xlfn._xlws.FILTER(Class_Players!A:A,Class_Players!B:B="Engineer"),QUOTIENT(ROW()-ROW($A$2),12)+1),"")</f>
        <v>xBakedKoalax</v>
      </c>
      <c r="B802" s="42" t="str">
        <f>_xlfn.XLOOKUP(A802,Class_Players!$A:$A,Class_Players!$B:$B,"")</f>
        <v>Engineer</v>
      </c>
      <c r="C802" s="42" t="str" cm="1">
        <f t="array" ref="C802">INDEX(Lookups!$B$2:$B$13,MOD(ROW()-ROW($B$2),ROWS(Lookups!$B$2:$B$13))+1)</f>
        <v>EOD Bot</v>
      </c>
      <c r="D802" s="38" t="str">
        <f>_xlfn.XLOOKUP(C802,Analysis_Gadgets!$C:$C,Analysis_Gadgets!$B:$B)</f>
        <v>Gadget</v>
      </c>
      <c r="E802" s="43">
        <v>26</v>
      </c>
      <c r="F802" s="43">
        <f>_xlfn.XLOOKUP(A802,Class_Players!A:A,Class_Players!G:G)</f>
        <v>289</v>
      </c>
      <c r="G802" s="43">
        <f t="shared" si="173"/>
        <v>8.9965397923875437E-2</v>
      </c>
      <c r="H802" s="43">
        <f>_xlfn.XLOOKUP(A802,Class_Players!$A:$A,Class_Players!$F:$F,"")</f>
        <v>8488</v>
      </c>
      <c r="I802" s="44">
        <f t="shared" si="174"/>
        <v>3.0631479736098022E-3</v>
      </c>
      <c r="J802" s="43">
        <f t="shared" si="175"/>
        <v>0</v>
      </c>
      <c r="K802" s="44" cm="1">
        <f t="array" ref="K802">IF(D802="Gadget",_xlfn.IFS(I802&gt;=0.2,0.5,I802&gt;=0.1,0.35,I802&gt;=0.05,0.2,TRUE,0),IF(D802="Grenade",_xlfn.IFS(I802&gt;=0.2,1,I802&gt;=0.1,0.7,I802&gt;=0.05,0.4,TRUE,0),0))</f>
        <v>0</v>
      </c>
      <c r="L802" s="57">
        <f t="shared" si="183"/>
        <v>0</v>
      </c>
    </row>
    <row r="803" spans="1:12" x14ac:dyDescent="0.25">
      <c r="A803" s="42" t="str" cm="1">
        <f t="array" ref="A803">IFERROR(INDEX(_xlfn._xlws.FILTER(Class_Players!A:A,Class_Players!B:B="Engineer"),QUOTIENT(ROW()-ROW($A$2),12)+1),"")</f>
        <v>xBakedKoalax</v>
      </c>
      <c r="B803" s="42" t="str">
        <f>_xlfn.XLOOKUP(A803,Class_Players!$A:$A,Class_Players!$B:$B,"")</f>
        <v>Engineer</v>
      </c>
      <c r="C803" s="42" t="str" cm="1">
        <f t="array" ref="C803">INDEX(Lookups!$B$2:$B$13,MOD(ROW()-ROW($B$2),ROWS(Lookups!$B$2:$B$13))+1)</f>
        <v>M4A1 SLAM (Tripwire Sensor AV Mine)</v>
      </c>
      <c r="D803" s="38" t="str">
        <f>_xlfn.XLOOKUP(C803,Analysis_Gadgets!$C:$C,Analysis_Gadgets!$B:$B)</f>
        <v>Gadget</v>
      </c>
      <c r="E803" s="43">
        <v>2</v>
      </c>
      <c r="F803" s="43">
        <f>_xlfn.XLOOKUP(A803,Class_Players!A:A,Class_Players!G:G)</f>
        <v>289</v>
      </c>
      <c r="G803" s="43">
        <f t="shared" si="173"/>
        <v>6.920415224913495E-3</v>
      </c>
      <c r="H803" s="43">
        <f>_xlfn.XLOOKUP(A803,Class_Players!$A:$A,Class_Players!$F:$F,"")</f>
        <v>8488</v>
      </c>
      <c r="I803" s="44">
        <f t="shared" si="174"/>
        <v>2.35626767200754E-4</v>
      </c>
      <c r="J803" s="43">
        <f t="shared" si="175"/>
        <v>0</v>
      </c>
      <c r="K803" s="44" cm="1">
        <f t="array" ref="K803">IF(D803="Gadget",_xlfn.IFS(I803&gt;=0.2,0.5,I803&gt;=0.1,0.35,I803&gt;=0.05,0.2,TRUE,0),IF(D803="Grenade",_xlfn.IFS(I803&gt;=0.2,1,I803&gt;=0.1,0.7,I803&gt;=0.05,0.4,TRUE,0),0))</f>
        <v>0</v>
      </c>
      <c r="L803" s="57">
        <f t="shared" si="183"/>
        <v>0</v>
      </c>
    </row>
    <row r="804" spans="1:12" x14ac:dyDescent="0.25">
      <c r="A804" s="42" t="str" cm="1">
        <f t="array" ref="A804">IFERROR(INDEX(_xlfn._xlws.FILTER(Class_Players!A:A,Class_Players!B:B="Engineer"),QUOTIENT(ROW()-ROW($A$2),12)+1),"")</f>
        <v>xBakedKoalax</v>
      </c>
      <c r="B804" s="42" t="str">
        <f>_xlfn.XLOOKUP(A804,Class_Players!$A:$A,Class_Players!$B:$B,"")</f>
        <v>Engineer</v>
      </c>
      <c r="C804" s="42" t="str" cm="1">
        <f t="array" ref="C804">INDEX(Lookups!$B$2:$B$13,MOD(ROW()-ROW($B$2),ROWS(Lookups!$B$2:$B$13))+1)</f>
        <v>Mini Frag Grenade</v>
      </c>
      <c r="D804" s="38" t="str">
        <f>_xlfn.XLOOKUP(C804,Analysis_Gadgets!$C:$C,Analysis_Gadgets!$B:$B)</f>
        <v>Grenade</v>
      </c>
      <c r="E804" s="43">
        <v>3554</v>
      </c>
      <c r="F804" s="43">
        <f>_xlfn.XLOOKUP(A804,Class_Players!A:A,Class_Players!G:G)</f>
        <v>289</v>
      </c>
      <c r="G804" s="43">
        <f t="shared" si="173"/>
        <v>12.29757785467128</v>
      </c>
      <c r="H804" s="43">
        <f>_xlfn.XLOOKUP(A804,Class_Players!$A:$A,Class_Players!$F:$F,"")</f>
        <v>8488</v>
      </c>
      <c r="I804" s="44">
        <f t="shared" si="174"/>
        <v>0.41870876531573986</v>
      </c>
      <c r="J804" s="43">
        <f t="shared" si="175"/>
        <v>1</v>
      </c>
      <c r="K804" s="44" cm="1">
        <f t="array" ref="K804">IF(D804="Gadget",_xlfn.IFS(I804&gt;=0.2,0.5,I804&gt;=0.1,0.35,I804&gt;=0.05,0.2,TRUE,0),IF(D804="Grenade",_xlfn.IFS(I804&gt;=0.2,1,I804&gt;=0.1,0.7,I804&gt;=0.05,0.4,TRUE,0),0))</f>
        <v>1</v>
      </c>
      <c r="L804" s="57">
        <f t="shared" ref="L804:L805" si="184">IF($K804=0,0,$K804 / SUMIFS($K:$K,$A:$A,$A804,$D:$D,"Grenade"))</f>
        <v>1</v>
      </c>
    </row>
    <row r="805" spans="1:12" x14ac:dyDescent="0.25">
      <c r="A805" s="42" t="str" cm="1">
        <f t="array" ref="A805">IFERROR(INDEX(_xlfn._xlws.FILTER(Class_Players!A:A,Class_Players!B:B="Engineer"),QUOTIENT(ROW()-ROW($A$2),12)+1),"")</f>
        <v>xBakedKoalax</v>
      </c>
      <c r="B805" s="42" t="str">
        <f>_xlfn.XLOOKUP(A805,Class_Players!$A:$A,Class_Players!$B:$B,"")</f>
        <v>Engineer</v>
      </c>
      <c r="C805" s="42" t="str" cm="1">
        <f t="array" ref="C805">INDEX(Lookups!$B$2:$B$13,MOD(ROW()-ROW($B$2),ROWS(Lookups!$B$2:$B$13))+1)</f>
        <v>Anti-Vehicle Grenade</v>
      </c>
      <c r="D805" s="38" t="str">
        <f>_xlfn.XLOOKUP(C805,Analysis_Gadgets!$C:$C,Analysis_Gadgets!$B:$B)</f>
        <v>Grenade</v>
      </c>
      <c r="E805" s="43">
        <v>0</v>
      </c>
      <c r="F805" s="43">
        <f>_xlfn.XLOOKUP(A805,Class_Players!A:A,Class_Players!G:G)</f>
        <v>289</v>
      </c>
      <c r="G805" s="43">
        <f t="shared" si="173"/>
        <v>0</v>
      </c>
      <c r="H805" s="43">
        <f>_xlfn.XLOOKUP(A805,Class_Players!$A:$A,Class_Players!$F:$F,"")</f>
        <v>8488</v>
      </c>
      <c r="I805" s="44">
        <f t="shared" si="174"/>
        <v>0</v>
      </c>
      <c r="J805" s="43">
        <f t="shared" si="175"/>
        <v>0</v>
      </c>
      <c r="K805" s="44" cm="1">
        <f t="array" ref="K805">IF(D805="Gadget",_xlfn.IFS(I805&gt;=0.2,0.5,I805&gt;=0.1,0.35,I805&gt;=0.05,0.2,TRUE,0),IF(D805="Grenade",_xlfn.IFS(I805&gt;=0.2,1,I805&gt;=0.1,0.7,I805&gt;=0.05,0.4,TRUE,0),0))</f>
        <v>0</v>
      </c>
      <c r="L805" s="57">
        <f t="shared" si="184"/>
        <v>0</v>
      </c>
    </row>
    <row r="806" spans="1:12" x14ac:dyDescent="0.25">
      <c r="A806" s="42" t="str" cm="1">
        <f t="array" ref="A806">IFERROR(INDEX(_xlfn._xlws.FILTER(Class_Players!A:A,Class_Players!B:B="Engineer"),QUOTIENT(ROW()-ROW($A$2),12)+1),"")</f>
        <v>jacklamatrakk</v>
      </c>
      <c r="B806" s="42" t="str">
        <f>_xlfn.XLOOKUP(A806,Class_Players!$A:$A,Class_Players!$B:$B,"")</f>
        <v>Engineer</v>
      </c>
      <c r="C806" s="42" t="str" cm="1">
        <f t="array" ref="C806">INDEX(Lookups!$B$2:$B$13,MOD(ROW()-ROW($B$2),ROWS(Lookups!$B$2:$B$13))+1)</f>
        <v>MBT-LAW (Auto-Guided Launcher)</v>
      </c>
      <c r="D806" s="38" t="str">
        <f>_xlfn.XLOOKUP(C806,Analysis_Gadgets!$C:$C,Analysis_Gadgets!$B:$B)</f>
        <v>Gadget</v>
      </c>
      <c r="E806" s="43">
        <v>0</v>
      </c>
      <c r="F806" s="43">
        <f>_xlfn.XLOOKUP(A806,Class_Players!A:A,Class_Players!G:G)</f>
        <v>290</v>
      </c>
      <c r="G806" s="43">
        <f t="shared" si="173"/>
        <v>0</v>
      </c>
      <c r="H806" s="43">
        <f>_xlfn.XLOOKUP(A806,Class_Players!$A:$A,Class_Players!$F:$F,"")</f>
        <v>9118</v>
      </c>
      <c r="I806" s="44">
        <f t="shared" si="174"/>
        <v>0</v>
      </c>
      <c r="J806" s="43">
        <f t="shared" si="175"/>
        <v>0</v>
      </c>
      <c r="K806" s="44" cm="1">
        <f t="array" ref="K806">IF(D806="Gadget",_xlfn.IFS(I806&gt;=0.2,0.5,I806&gt;=0.1,0.35,I806&gt;=0.05,0.2,TRUE,0),IF(D806="Grenade",_xlfn.IFS(I806&gt;=0.2,1,I806&gt;=0.1,0.7,I806&gt;=0.05,0.4,TRUE,0),0))</f>
        <v>0</v>
      </c>
      <c r="L806" s="57">
        <f t="shared" ref="L806:L815" si="185">IF($K806=0,0,$K806 / SUMIFS($K:$K,$A:$A,$A806,$D:$D,"Gadget"))</f>
        <v>0</v>
      </c>
    </row>
    <row r="807" spans="1:12" x14ac:dyDescent="0.25">
      <c r="A807" s="42" t="str" cm="1">
        <f t="array" ref="A807">IFERROR(INDEX(_xlfn._xlws.FILTER(Class_Players!A:A,Class_Players!B:B="Engineer"),QUOTIENT(ROW()-ROW($A$2),12)+1),"")</f>
        <v>jacklamatrakk</v>
      </c>
      <c r="B807" s="42" t="str">
        <f>_xlfn.XLOOKUP(A807,Class_Players!$A:$A,Class_Players!$B:$B,"")</f>
        <v>Engineer</v>
      </c>
      <c r="C807" s="42" t="str" cm="1">
        <f t="array" ref="C807">INDEX(Lookups!$B$2:$B$13,MOD(ROW()-ROW($B$2),ROWS(Lookups!$B$2:$B$13))+1)</f>
        <v>SLM-93A (Air-Defense Launcher)</v>
      </c>
      <c r="D807" s="38" t="str">
        <f>_xlfn.XLOOKUP(C807,Analysis_Gadgets!$C:$C,Analysis_Gadgets!$B:$B)</f>
        <v>Gadget</v>
      </c>
      <c r="E807" s="43">
        <v>2533</v>
      </c>
      <c r="F807" s="43">
        <f>_xlfn.XLOOKUP(A807,Class_Players!A:A,Class_Players!G:G)</f>
        <v>290</v>
      </c>
      <c r="G807" s="43">
        <f t="shared" si="173"/>
        <v>8.7344827586206897</v>
      </c>
      <c r="H807" s="43">
        <f>_xlfn.XLOOKUP(A807,Class_Players!$A:$A,Class_Players!$F:$F,"")</f>
        <v>9118</v>
      </c>
      <c r="I807" s="44">
        <f t="shared" si="174"/>
        <v>0.27780214959420924</v>
      </c>
      <c r="J807" s="43">
        <f t="shared" si="175"/>
        <v>1</v>
      </c>
      <c r="K807" s="44" cm="1">
        <f t="array" ref="K807">IF(D807="Gadget",_xlfn.IFS(I807&gt;=0.2,0.5,I807&gt;=0.1,0.35,I807&gt;=0.05,0.2,TRUE,0),IF(D807="Grenade",_xlfn.IFS(I807&gt;=0.2,1,I807&gt;=0.1,0.7,I807&gt;=0.05,0.4,TRUE,0),0))</f>
        <v>0.5</v>
      </c>
      <c r="L807" s="57">
        <f t="shared" si="185"/>
        <v>0.33333333333333331</v>
      </c>
    </row>
    <row r="808" spans="1:12" x14ac:dyDescent="0.25">
      <c r="A808" s="42" t="str" cm="1">
        <f t="array" ref="A808">IFERROR(INDEX(_xlfn._xlws.FILTER(Class_Players!A:A,Class_Players!B:B="Engineer"),QUOTIENT(ROW()-ROW($A$2),12)+1),"")</f>
        <v>jacklamatrakk</v>
      </c>
      <c r="B808" s="42" t="str">
        <f>_xlfn.XLOOKUP(A808,Class_Players!$A:$A,Class_Players!$B:$B,"")</f>
        <v>Engineer</v>
      </c>
      <c r="C808" s="42" t="str" cm="1">
        <f t="array" ref="C808">INDEX(Lookups!$B$2:$B$13,MOD(ROW()-ROW($B$2),ROWS(Lookups!$B$2:$B$13))+1)</f>
        <v>RPG-7V2 (Unguided Rocket Launcher)</v>
      </c>
      <c r="D808" s="38" t="str">
        <f>_xlfn.XLOOKUP(C808,Analysis_Gadgets!$C:$C,Analysis_Gadgets!$B:$B)</f>
        <v>Gadget</v>
      </c>
      <c r="E808" s="43">
        <v>3712</v>
      </c>
      <c r="F808" s="43">
        <f>_xlfn.XLOOKUP(A808,Class_Players!A:A,Class_Players!G:G)</f>
        <v>290</v>
      </c>
      <c r="G808" s="43">
        <f t="shared" si="173"/>
        <v>12.8</v>
      </c>
      <c r="H808" s="43">
        <f>_xlfn.XLOOKUP(A808,Class_Players!$A:$A,Class_Players!$F:$F,"")</f>
        <v>9118</v>
      </c>
      <c r="I808" s="44">
        <f t="shared" si="174"/>
        <v>0.40710682167141915</v>
      </c>
      <c r="J808" s="43">
        <f t="shared" si="175"/>
        <v>1</v>
      </c>
      <c r="K808" s="44" cm="1">
        <f t="array" ref="K808">IF(D808="Gadget",_xlfn.IFS(I808&gt;=0.2,0.5,I808&gt;=0.1,0.35,I808&gt;=0.05,0.2,TRUE,0),IF(D808="Grenade",_xlfn.IFS(I808&gt;=0.2,1,I808&gt;=0.1,0.7,I808&gt;=0.05,0.4,TRUE,0),0))</f>
        <v>0.5</v>
      </c>
      <c r="L808" s="57">
        <f t="shared" si="185"/>
        <v>0.33333333333333331</v>
      </c>
    </row>
    <row r="809" spans="1:12" x14ac:dyDescent="0.25">
      <c r="A809" s="42" t="str" cm="1">
        <f t="array" ref="A809">IFERROR(INDEX(_xlfn._xlws.FILTER(Class_Players!A:A,Class_Players!B:B="Engineer"),QUOTIENT(ROW()-ROW($A$2),12)+1),"")</f>
        <v>jacklamatrakk</v>
      </c>
      <c r="B809" s="42" t="str">
        <f>_xlfn.XLOOKUP(A809,Class_Players!$A:$A,Class_Players!$B:$B,"")</f>
        <v>Engineer</v>
      </c>
      <c r="C809" s="42" t="str" cm="1">
        <f t="array" ref="C809">INDEX(Lookups!$B$2:$B$13,MOD(ROW()-ROW($B$2),ROWS(Lookups!$B$2:$B$13))+1)</f>
        <v>MAS 148 (Long-Range Launcher)</v>
      </c>
      <c r="D809" s="38" t="str">
        <f>_xlfn.XLOOKUP(C809,Analysis_Gadgets!$C:$C,Analysis_Gadgets!$B:$B)</f>
        <v>Gadget</v>
      </c>
      <c r="E809" s="43">
        <v>17</v>
      </c>
      <c r="F809" s="43">
        <f>_xlfn.XLOOKUP(A809,Class_Players!A:A,Class_Players!G:G)</f>
        <v>290</v>
      </c>
      <c r="G809" s="43">
        <f t="shared" si="173"/>
        <v>5.8620689655172413E-2</v>
      </c>
      <c r="H809" s="43">
        <f>_xlfn.XLOOKUP(A809,Class_Players!$A:$A,Class_Players!$F:$F,"")</f>
        <v>9118</v>
      </c>
      <c r="I809" s="44">
        <f t="shared" si="174"/>
        <v>1.8644439570081159E-3</v>
      </c>
      <c r="J809" s="43">
        <f t="shared" si="175"/>
        <v>0</v>
      </c>
      <c r="K809" s="44" cm="1">
        <f t="array" ref="K809">IF(D809="Gadget",_xlfn.IFS(I809&gt;=0.2,0.5,I809&gt;=0.1,0.35,I809&gt;=0.05,0.2,TRUE,0),IF(D809="Grenade",_xlfn.IFS(I809&gt;=0.2,1,I809&gt;=0.1,0.7,I809&gt;=0.05,0.4,TRUE,0),0))</f>
        <v>0</v>
      </c>
      <c r="L809" s="57">
        <f t="shared" si="185"/>
        <v>0</v>
      </c>
    </row>
    <row r="810" spans="1:12" x14ac:dyDescent="0.25">
      <c r="A810" s="42" t="str" cm="1">
        <f t="array" ref="A810">IFERROR(INDEX(_xlfn._xlws.FILTER(Class_Players!A:A,Class_Players!B:B="Engineer"),QUOTIENT(ROW()-ROW($A$2),12)+1),"")</f>
        <v>jacklamatrakk</v>
      </c>
      <c r="B810" s="42" t="str">
        <f>_xlfn.XLOOKUP(A810,Class_Players!$A:$A,Class_Players!$B:$B,"")</f>
        <v>Engineer</v>
      </c>
      <c r="C810" s="42" t="str" cm="1">
        <f t="array" ref="C810">INDEX(Lookups!$B$2:$B$13,MOD(ROW()-ROW($B$2),ROWS(Lookups!$B$2:$B$13))+1)</f>
        <v>M136 AT (Aim-Guided Launcher)</v>
      </c>
      <c r="D810" s="38" t="str">
        <f>_xlfn.XLOOKUP(C810,Analysis_Gadgets!$C:$C,Analysis_Gadgets!$B:$B)</f>
        <v>Gadget</v>
      </c>
      <c r="E810" s="43">
        <v>49</v>
      </c>
      <c r="F810" s="43">
        <f>_xlfn.XLOOKUP(A810,Class_Players!A:A,Class_Players!G:G)</f>
        <v>290</v>
      </c>
      <c r="G810" s="43">
        <f t="shared" si="173"/>
        <v>0.16896551724137931</v>
      </c>
      <c r="H810" s="43">
        <f>_xlfn.XLOOKUP(A810,Class_Players!$A:$A,Class_Players!$F:$F,"")</f>
        <v>9118</v>
      </c>
      <c r="I810" s="44">
        <f t="shared" si="174"/>
        <v>5.3739855231410396E-3</v>
      </c>
      <c r="J810" s="43">
        <f t="shared" si="175"/>
        <v>0</v>
      </c>
      <c r="K810" s="44" cm="1">
        <f t="array" ref="K810">IF(D810="Gadget",_xlfn.IFS(I810&gt;=0.2,0.5,I810&gt;=0.1,0.35,I810&gt;=0.05,0.2,TRUE,0),IF(D810="Grenade",_xlfn.IFS(I810&gt;=0.2,1,I810&gt;=0.1,0.7,I810&gt;=0.05,0.4,TRUE,0),0))</f>
        <v>0</v>
      </c>
      <c r="L810" s="57">
        <f t="shared" si="185"/>
        <v>0</v>
      </c>
    </row>
    <row r="811" spans="1:12" x14ac:dyDescent="0.25">
      <c r="A811" s="42" t="str" cm="1">
        <f t="array" ref="A811">IFERROR(INDEX(_xlfn._xlws.FILTER(Class_Players!A:A,Class_Players!B:B="Engineer"),QUOTIENT(ROW()-ROW($A$2),12)+1),"")</f>
        <v>jacklamatrakk</v>
      </c>
      <c r="B811" s="42" t="str">
        <f>_xlfn.XLOOKUP(A811,Class_Players!$A:$A,Class_Players!$B:$B,"")</f>
        <v>Engineer</v>
      </c>
      <c r="C811" s="42" t="str" cm="1">
        <f t="array" ref="C811">INDEX(Lookups!$B$2:$B$13,MOD(ROW()-ROW($B$2),ROWS(Lookups!$B$2:$B$13))+1)</f>
        <v>Supply Crate</v>
      </c>
      <c r="D811" s="38" t="str">
        <f>_xlfn.XLOOKUP(C811,Analysis_Gadgets!$C:$C,Analysis_Gadgets!$B:$B)</f>
        <v>Gadget</v>
      </c>
      <c r="E811" s="43">
        <v>15</v>
      </c>
      <c r="F811" s="43">
        <f>_xlfn.XLOOKUP(A811,Class_Players!A:A,Class_Players!G:G)</f>
        <v>290</v>
      </c>
      <c r="G811" s="43">
        <f t="shared" si="173"/>
        <v>5.1724137931034482E-2</v>
      </c>
      <c r="H811" s="43">
        <f>_xlfn.XLOOKUP(A811,Class_Players!$A:$A,Class_Players!$F:$F,"")</f>
        <v>9118</v>
      </c>
      <c r="I811" s="44">
        <f t="shared" si="174"/>
        <v>1.645097609124808E-3</v>
      </c>
      <c r="J811" s="43">
        <f t="shared" si="175"/>
        <v>0</v>
      </c>
      <c r="K811" s="44" cm="1">
        <f t="array" ref="K811">IF(D811="Gadget",_xlfn.IFS(I811&gt;=0.2,0.5,I811&gt;=0.1,0.35,I811&gt;=0.05,0.2,TRUE,0),IF(D811="Grenade",_xlfn.IFS(I811&gt;=0.2,1,I811&gt;=0.1,0.7,I811&gt;=0.05,0.4,TRUE,0),0))</f>
        <v>0</v>
      </c>
      <c r="L811" s="57">
        <f t="shared" si="185"/>
        <v>0</v>
      </c>
    </row>
    <row r="812" spans="1:12" x14ac:dyDescent="0.25">
      <c r="A812" s="42" t="str" cm="1">
        <f t="array" ref="A812">IFERROR(INDEX(_xlfn._xlws.FILTER(Class_Players!A:A,Class_Players!B:B="Engineer"),QUOTIENT(ROW()-ROW($A$2),12)+1),"")</f>
        <v>jacklamatrakk</v>
      </c>
      <c r="B812" s="42" t="str">
        <f>_xlfn.XLOOKUP(A812,Class_Players!$A:$A,Class_Players!$B:$B,"")</f>
        <v>Engineer</v>
      </c>
      <c r="C812" s="42" t="str" cm="1">
        <f t="array" ref="C812">INDEX(Lookups!$B$2:$B$13,MOD(ROW()-ROW($B$2),ROWS(Lookups!$B$2:$B$13))+1)</f>
        <v>M15 (Anti-Vehicle Mine)</v>
      </c>
      <c r="D812" s="38" t="str">
        <f>_xlfn.XLOOKUP(C812,Analysis_Gadgets!$C:$C,Analysis_Gadgets!$B:$B)</f>
        <v>Gadget</v>
      </c>
      <c r="E812" s="43">
        <v>9020</v>
      </c>
      <c r="F812" s="43">
        <f>_xlfn.XLOOKUP(A812,Class_Players!A:A,Class_Players!G:G)</f>
        <v>290</v>
      </c>
      <c r="G812" s="43">
        <f t="shared" si="173"/>
        <v>31.103448275862068</v>
      </c>
      <c r="H812" s="43">
        <f>_xlfn.XLOOKUP(A812,Class_Players!$A:$A,Class_Players!$F:$F,"")</f>
        <v>9118</v>
      </c>
      <c r="I812" s="44">
        <f t="shared" si="174"/>
        <v>0.98925202895371789</v>
      </c>
      <c r="J812" s="43">
        <f t="shared" si="175"/>
        <v>1</v>
      </c>
      <c r="K812" s="44" cm="1">
        <f t="array" ref="K812">IF(D812="Gadget",_xlfn.IFS(I812&gt;=0.2,0.5,I812&gt;=0.1,0.35,I812&gt;=0.05,0.2,TRUE,0),IF(D812="Grenade",_xlfn.IFS(I812&gt;=0.2,1,I812&gt;=0.1,0.7,I812&gt;=0.05,0.4,TRUE,0),0))</f>
        <v>0.5</v>
      </c>
      <c r="L812" s="57">
        <f t="shared" si="185"/>
        <v>0.33333333333333331</v>
      </c>
    </row>
    <row r="813" spans="1:12" x14ac:dyDescent="0.25">
      <c r="A813" s="42" t="str" cm="1">
        <f t="array" ref="A813">IFERROR(INDEX(_xlfn._xlws.FILTER(Class_Players!A:A,Class_Players!B:B="Engineer"),QUOTIENT(ROW()-ROW($A$2),12)+1),"")</f>
        <v>jacklamatrakk</v>
      </c>
      <c r="B813" s="42" t="str">
        <f>_xlfn.XLOOKUP(A813,Class_Players!$A:$A,Class_Players!$B:$B,"")</f>
        <v>Engineer</v>
      </c>
      <c r="C813" s="42" t="str" cm="1">
        <f t="array" ref="C813">INDEX(Lookups!$B$2:$B$13,MOD(ROW()-ROW($B$2),ROWS(Lookups!$B$2:$B$13))+1)</f>
        <v>PTKM-1R (Acoustic Sensor AV Mine)</v>
      </c>
      <c r="D813" s="38" t="str">
        <f>_xlfn.XLOOKUP(C813,Analysis_Gadgets!$C:$C,Analysis_Gadgets!$B:$B)</f>
        <v>Gadget</v>
      </c>
      <c r="E813" s="43">
        <v>21</v>
      </c>
      <c r="F813" s="43">
        <f>_xlfn.XLOOKUP(A813,Class_Players!A:A,Class_Players!G:G)</f>
        <v>290</v>
      </c>
      <c r="G813" s="43">
        <f t="shared" si="173"/>
        <v>7.2413793103448282E-2</v>
      </c>
      <c r="H813" s="43">
        <f>_xlfn.XLOOKUP(A813,Class_Players!$A:$A,Class_Players!$F:$F,"")</f>
        <v>9118</v>
      </c>
      <c r="I813" s="44">
        <f t="shared" si="174"/>
        <v>2.3031366527747313E-3</v>
      </c>
      <c r="J813" s="43">
        <f t="shared" si="175"/>
        <v>0</v>
      </c>
      <c r="K813" s="44" cm="1">
        <f t="array" ref="K813">IF(D813="Gadget",_xlfn.IFS(I813&gt;=0.2,0.5,I813&gt;=0.1,0.35,I813&gt;=0.05,0.2,TRUE,0),IF(D813="Grenade",_xlfn.IFS(I813&gt;=0.2,1,I813&gt;=0.1,0.7,I813&gt;=0.05,0.4,TRUE,0),0))</f>
        <v>0</v>
      </c>
      <c r="L813" s="57">
        <f t="shared" si="185"/>
        <v>0</v>
      </c>
    </row>
    <row r="814" spans="1:12" x14ac:dyDescent="0.25">
      <c r="A814" s="42" t="str" cm="1">
        <f t="array" ref="A814">IFERROR(INDEX(_xlfn._xlws.FILTER(Class_Players!A:A,Class_Players!B:B="Engineer"),QUOTIENT(ROW()-ROW($A$2),12)+1),"")</f>
        <v>jacklamatrakk</v>
      </c>
      <c r="B814" s="42" t="str">
        <f>_xlfn.XLOOKUP(A814,Class_Players!$A:$A,Class_Players!$B:$B,"")</f>
        <v>Engineer</v>
      </c>
      <c r="C814" s="42" t="str" cm="1">
        <f t="array" ref="C814">INDEX(Lookups!$B$2:$B$13,MOD(ROW()-ROW($B$2),ROWS(Lookups!$B$2:$B$13))+1)</f>
        <v>EOD Bot</v>
      </c>
      <c r="D814" s="38" t="str">
        <f>_xlfn.XLOOKUP(C814,Analysis_Gadgets!$C:$C,Analysis_Gadgets!$B:$B)</f>
        <v>Gadget</v>
      </c>
      <c r="E814" s="43">
        <v>12</v>
      </c>
      <c r="F814" s="43">
        <f>_xlfn.XLOOKUP(A814,Class_Players!A:A,Class_Players!G:G)</f>
        <v>290</v>
      </c>
      <c r="G814" s="43">
        <f t="shared" si="173"/>
        <v>4.1379310344827586E-2</v>
      </c>
      <c r="H814" s="43">
        <f>_xlfn.XLOOKUP(A814,Class_Players!$A:$A,Class_Players!$F:$F,"")</f>
        <v>9118</v>
      </c>
      <c r="I814" s="44">
        <f t="shared" si="174"/>
        <v>1.3160780872998464E-3</v>
      </c>
      <c r="J814" s="43">
        <f t="shared" si="175"/>
        <v>0</v>
      </c>
      <c r="K814" s="44" cm="1">
        <f t="array" ref="K814">IF(D814="Gadget",_xlfn.IFS(I814&gt;=0.2,0.5,I814&gt;=0.1,0.35,I814&gt;=0.05,0.2,TRUE,0),IF(D814="Grenade",_xlfn.IFS(I814&gt;=0.2,1,I814&gt;=0.1,0.7,I814&gt;=0.05,0.4,TRUE,0),0))</f>
        <v>0</v>
      </c>
      <c r="L814" s="57">
        <f t="shared" si="185"/>
        <v>0</v>
      </c>
    </row>
    <row r="815" spans="1:12" x14ac:dyDescent="0.25">
      <c r="A815" s="42" t="str" cm="1">
        <f t="array" ref="A815">IFERROR(INDEX(_xlfn._xlws.FILTER(Class_Players!A:A,Class_Players!B:B="Engineer"),QUOTIENT(ROW()-ROW($A$2),12)+1),"")</f>
        <v>jacklamatrakk</v>
      </c>
      <c r="B815" s="42" t="str">
        <f>_xlfn.XLOOKUP(A815,Class_Players!$A:$A,Class_Players!$B:$B,"")</f>
        <v>Engineer</v>
      </c>
      <c r="C815" s="42" t="str" cm="1">
        <f t="array" ref="C815">INDEX(Lookups!$B$2:$B$13,MOD(ROW()-ROW($B$2),ROWS(Lookups!$B$2:$B$13))+1)</f>
        <v>M4A1 SLAM (Tripwire Sensor AV Mine)</v>
      </c>
      <c r="D815" s="38" t="str">
        <f>_xlfn.XLOOKUP(C815,Analysis_Gadgets!$C:$C,Analysis_Gadgets!$B:$B)</f>
        <v>Gadget</v>
      </c>
      <c r="E815" s="43">
        <v>145</v>
      </c>
      <c r="F815" s="43">
        <f>_xlfn.XLOOKUP(A815,Class_Players!A:A,Class_Players!G:G)</f>
        <v>290</v>
      </c>
      <c r="G815" s="43">
        <f t="shared" si="173"/>
        <v>0.5</v>
      </c>
      <c r="H815" s="43">
        <f>_xlfn.XLOOKUP(A815,Class_Players!$A:$A,Class_Players!$F:$F,"")</f>
        <v>9118</v>
      </c>
      <c r="I815" s="44">
        <f t="shared" si="174"/>
        <v>1.5902610221539812E-2</v>
      </c>
      <c r="J815" s="43">
        <f t="shared" si="175"/>
        <v>0</v>
      </c>
      <c r="K815" s="44" cm="1">
        <f t="array" ref="K815">IF(D815="Gadget",_xlfn.IFS(I815&gt;=0.2,0.5,I815&gt;=0.1,0.35,I815&gt;=0.05,0.2,TRUE,0),IF(D815="Grenade",_xlfn.IFS(I815&gt;=0.2,1,I815&gt;=0.1,0.7,I815&gt;=0.05,0.4,TRUE,0),0))</f>
        <v>0</v>
      </c>
      <c r="L815" s="57">
        <f t="shared" si="185"/>
        <v>0</v>
      </c>
    </row>
    <row r="816" spans="1:12" x14ac:dyDescent="0.25">
      <c r="A816" s="42" t="str" cm="1">
        <f t="array" ref="A816">IFERROR(INDEX(_xlfn._xlws.FILTER(Class_Players!A:A,Class_Players!B:B="Engineer"),QUOTIENT(ROW()-ROW($A$2),12)+1),"")</f>
        <v>jacklamatrakk</v>
      </c>
      <c r="B816" s="42" t="str">
        <f>_xlfn.XLOOKUP(A816,Class_Players!$A:$A,Class_Players!$B:$B,"")</f>
        <v>Engineer</v>
      </c>
      <c r="C816" s="42" t="str" cm="1">
        <f t="array" ref="C816">INDEX(Lookups!$B$2:$B$13,MOD(ROW()-ROW($B$2),ROWS(Lookups!$B$2:$B$13))+1)</f>
        <v>Mini Frag Grenade</v>
      </c>
      <c r="D816" s="38" t="str">
        <f>_xlfn.XLOOKUP(C816,Analysis_Gadgets!$C:$C,Analysis_Gadgets!$B:$B)</f>
        <v>Grenade</v>
      </c>
      <c r="E816" s="43">
        <v>5</v>
      </c>
      <c r="F816" s="43">
        <f>_xlfn.XLOOKUP(A816,Class_Players!A:A,Class_Players!G:G)</f>
        <v>290</v>
      </c>
      <c r="G816" s="43">
        <f t="shared" si="173"/>
        <v>1.7241379310344827E-2</v>
      </c>
      <c r="H816" s="43">
        <f>_xlfn.XLOOKUP(A816,Class_Players!$A:$A,Class_Players!$F:$F,"")</f>
        <v>9118</v>
      </c>
      <c r="I816" s="44">
        <f t="shared" si="174"/>
        <v>5.4836586970826936E-4</v>
      </c>
      <c r="J816" s="43">
        <f t="shared" si="175"/>
        <v>0</v>
      </c>
      <c r="K816" s="44" cm="1">
        <f t="array" ref="K816">IF(D816="Gadget",_xlfn.IFS(I816&gt;=0.2,0.5,I816&gt;=0.1,0.35,I816&gt;=0.05,0.2,TRUE,0),IF(D816="Grenade",_xlfn.IFS(I816&gt;=0.2,1,I816&gt;=0.1,0.7,I816&gt;=0.05,0.4,TRUE,0),0))</f>
        <v>0</v>
      </c>
      <c r="L816" s="57">
        <f t="shared" ref="L816:L817" si="186">IF($K816=0,0,$K816 / SUMIFS($K:$K,$A:$A,$A816,$D:$D,"Grenade"))</f>
        <v>0</v>
      </c>
    </row>
    <row r="817" spans="1:12" x14ac:dyDescent="0.25">
      <c r="A817" s="42" t="str" cm="1">
        <f t="array" ref="A817">IFERROR(INDEX(_xlfn._xlws.FILTER(Class_Players!A:A,Class_Players!B:B="Engineer"),QUOTIENT(ROW()-ROW($A$2),12)+1),"")</f>
        <v>jacklamatrakk</v>
      </c>
      <c r="B817" s="42" t="str">
        <f>_xlfn.XLOOKUP(A817,Class_Players!$A:$A,Class_Players!$B:$B,"")</f>
        <v>Engineer</v>
      </c>
      <c r="C817" s="42" t="str" cm="1">
        <f t="array" ref="C817">INDEX(Lookups!$B$2:$B$13,MOD(ROW()-ROW($B$2),ROWS(Lookups!$B$2:$B$13))+1)</f>
        <v>Anti-Vehicle Grenade</v>
      </c>
      <c r="D817" s="38" t="str">
        <f>_xlfn.XLOOKUP(C817,Analysis_Gadgets!$C:$C,Analysis_Gadgets!$B:$B)</f>
        <v>Grenade</v>
      </c>
      <c r="E817" s="43">
        <v>0</v>
      </c>
      <c r="F817" s="43">
        <f>_xlfn.XLOOKUP(A817,Class_Players!A:A,Class_Players!G:G)</f>
        <v>290</v>
      </c>
      <c r="G817" s="43">
        <f t="shared" si="173"/>
        <v>0</v>
      </c>
      <c r="H817" s="43">
        <f>_xlfn.XLOOKUP(A817,Class_Players!$A:$A,Class_Players!$F:$F,"")</f>
        <v>9118</v>
      </c>
      <c r="I817" s="44">
        <f t="shared" si="174"/>
        <v>0</v>
      </c>
      <c r="J817" s="43">
        <f t="shared" si="175"/>
        <v>0</v>
      </c>
      <c r="K817" s="44" cm="1">
        <f t="array" ref="K817">IF(D817="Gadget",_xlfn.IFS(I817&gt;=0.2,0.5,I817&gt;=0.1,0.35,I817&gt;=0.05,0.2,TRUE,0),IF(D817="Grenade",_xlfn.IFS(I817&gt;=0.2,1,I817&gt;=0.1,0.7,I817&gt;=0.05,0.4,TRUE,0),0))</f>
        <v>0</v>
      </c>
      <c r="L817" s="57">
        <f t="shared" si="186"/>
        <v>0</v>
      </c>
    </row>
    <row r="818" spans="1:12" x14ac:dyDescent="0.25">
      <c r="A818" s="42" t="str" cm="1">
        <f t="array" ref="A818">IFERROR(INDEX(_xlfn._xlws.FILTER(Class_Players!A:A,Class_Players!B:B="Engineer"),QUOTIENT(ROW()-ROW($A$2),12)+1),"")</f>
        <v>McFlusher</v>
      </c>
      <c r="B818" s="42" t="str">
        <f>_xlfn.XLOOKUP(A818,Class_Players!$A:$A,Class_Players!$B:$B,"")</f>
        <v>Engineer</v>
      </c>
      <c r="C818" s="42" t="str" cm="1">
        <f t="array" ref="C818">INDEX(Lookups!$B$2:$B$13,MOD(ROW()-ROW($B$2),ROWS(Lookups!$B$2:$B$13))+1)</f>
        <v>MBT-LAW (Auto-Guided Launcher)</v>
      </c>
      <c r="D818" s="38" t="str">
        <f>_xlfn.XLOOKUP(C818,Analysis_Gadgets!$C:$C,Analysis_Gadgets!$B:$B)</f>
        <v>Gadget</v>
      </c>
      <c r="E818" s="43">
        <v>0</v>
      </c>
      <c r="F818" s="43">
        <f>_xlfn.XLOOKUP(A818,Class_Players!A:A,Class_Players!G:G)</f>
        <v>180</v>
      </c>
      <c r="G818" s="43">
        <f t="shared" ref="G818:G841" si="187">IF(F818=0,"",E818/(F818))</f>
        <v>0</v>
      </c>
      <c r="H818" s="43">
        <f>_xlfn.XLOOKUP(A818,Class_Players!$A:$A,Class_Players!$F:$F,"")</f>
        <v>7724</v>
      </c>
      <c r="I818" s="44">
        <f t="shared" ref="I818:I841" si="188">IF(H818=0,"",E818/H818)</f>
        <v>0</v>
      </c>
      <c r="J818" s="43">
        <f t="shared" ref="J818:J841" si="189">IF(I818&gt;=0.1,1,0)</f>
        <v>0</v>
      </c>
      <c r="K818" s="44" cm="1">
        <f t="array" ref="K818">IF(D818="Gadget",_xlfn.IFS(I818&gt;=0.2,0.5,I818&gt;=0.1,0.35,I818&gt;=0.05,0.2,TRUE,0),IF(D818="Grenade",_xlfn.IFS(I818&gt;=0.2,1,I818&gt;=0.1,0.7,I818&gt;=0.05,0.4,TRUE,0),0))</f>
        <v>0</v>
      </c>
      <c r="L818" s="57">
        <f t="shared" ref="L818:L827" si="190">IF($K818=0,0,$K818 / SUMIFS($K:$K,$A:$A,$A818,$D:$D,"Gadget"))</f>
        <v>0</v>
      </c>
    </row>
    <row r="819" spans="1:12" x14ac:dyDescent="0.25">
      <c r="A819" s="42" t="str" cm="1">
        <f t="array" ref="A819">IFERROR(INDEX(_xlfn._xlws.FILTER(Class_Players!A:A,Class_Players!B:B="Engineer"),QUOTIENT(ROW()-ROW($A$2),12)+1),"")</f>
        <v>McFlusher</v>
      </c>
      <c r="B819" s="42" t="str">
        <f>_xlfn.XLOOKUP(A819,Class_Players!$A:$A,Class_Players!$B:$B,"")</f>
        <v>Engineer</v>
      </c>
      <c r="C819" s="42" t="str" cm="1">
        <f t="array" ref="C819">INDEX(Lookups!$B$2:$B$13,MOD(ROW()-ROW($B$2),ROWS(Lookups!$B$2:$B$13))+1)</f>
        <v>SLM-93A (Air-Defense Launcher)</v>
      </c>
      <c r="D819" s="38" t="str">
        <f>_xlfn.XLOOKUP(C819,Analysis_Gadgets!$C:$C,Analysis_Gadgets!$B:$B)</f>
        <v>Gadget</v>
      </c>
      <c r="E819" s="43">
        <v>182</v>
      </c>
      <c r="F819" s="43">
        <f>_xlfn.XLOOKUP(A819,Class_Players!A:A,Class_Players!G:G)</f>
        <v>180</v>
      </c>
      <c r="G819" s="43">
        <f t="shared" si="187"/>
        <v>1.0111111111111111</v>
      </c>
      <c r="H819" s="43">
        <f>_xlfn.XLOOKUP(A819,Class_Players!$A:$A,Class_Players!$F:$F,"")</f>
        <v>7724</v>
      </c>
      <c r="I819" s="44">
        <f t="shared" si="188"/>
        <v>2.3562920766442258E-2</v>
      </c>
      <c r="J819" s="43">
        <f t="shared" si="189"/>
        <v>0</v>
      </c>
      <c r="K819" s="44" cm="1">
        <f t="array" ref="K819">IF(D819="Gadget",_xlfn.IFS(I819&gt;=0.2,0.5,I819&gt;=0.1,0.35,I819&gt;=0.05,0.2,TRUE,0),IF(D819="Grenade",_xlfn.IFS(I819&gt;=0.2,1,I819&gt;=0.1,0.7,I819&gt;=0.05,0.4,TRUE,0),0))</f>
        <v>0</v>
      </c>
      <c r="L819" s="57">
        <f t="shared" si="190"/>
        <v>0</v>
      </c>
    </row>
    <row r="820" spans="1:12" x14ac:dyDescent="0.25">
      <c r="A820" s="42" t="str" cm="1">
        <f t="array" ref="A820">IFERROR(INDEX(_xlfn._xlws.FILTER(Class_Players!A:A,Class_Players!B:B="Engineer"),QUOTIENT(ROW()-ROW($A$2),12)+1),"")</f>
        <v>McFlusher</v>
      </c>
      <c r="B820" s="42" t="str">
        <f>_xlfn.XLOOKUP(A820,Class_Players!$A:$A,Class_Players!$B:$B,"")</f>
        <v>Engineer</v>
      </c>
      <c r="C820" s="42" t="str" cm="1">
        <f t="array" ref="C820">INDEX(Lookups!$B$2:$B$13,MOD(ROW()-ROW($B$2),ROWS(Lookups!$B$2:$B$13))+1)</f>
        <v>RPG-7V2 (Unguided Rocket Launcher)</v>
      </c>
      <c r="D820" s="38" t="str">
        <f>_xlfn.XLOOKUP(C820,Analysis_Gadgets!$C:$C,Analysis_Gadgets!$B:$B)</f>
        <v>Gadget</v>
      </c>
      <c r="E820" s="43">
        <v>3385</v>
      </c>
      <c r="F820" s="43">
        <f>_xlfn.XLOOKUP(A820,Class_Players!A:A,Class_Players!G:G)</f>
        <v>180</v>
      </c>
      <c r="G820" s="43">
        <f t="shared" si="187"/>
        <v>18.805555555555557</v>
      </c>
      <c r="H820" s="43">
        <f>_xlfn.XLOOKUP(A820,Class_Players!$A:$A,Class_Players!$F:$F,"")</f>
        <v>7724</v>
      </c>
      <c r="I820" s="44">
        <f t="shared" si="188"/>
        <v>0.43824443293630244</v>
      </c>
      <c r="J820" s="43">
        <f t="shared" si="189"/>
        <v>1</v>
      </c>
      <c r="K820" s="44" cm="1">
        <f t="array" ref="K820">IF(D820="Gadget",_xlfn.IFS(I820&gt;=0.2,0.5,I820&gt;=0.1,0.35,I820&gt;=0.05,0.2,TRUE,0),IF(D820="Grenade",_xlfn.IFS(I820&gt;=0.2,1,I820&gt;=0.1,0.7,I820&gt;=0.05,0.4,TRUE,0),0))</f>
        <v>0.5</v>
      </c>
      <c r="L820" s="57">
        <f t="shared" si="190"/>
        <v>0.5</v>
      </c>
    </row>
    <row r="821" spans="1:12" x14ac:dyDescent="0.25">
      <c r="A821" s="42" t="str" cm="1">
        <f t="array" ref="A821">IFERROR(INDEX(_xlfn._xlws.FILTER(Class_Players!A:A,Class_Players!B:B="Engineer"),QUOTIENT(ROW()-ROW($A$2),12)+1),"")</f>
        <v>McFlusher</v>
      </c>
      <c r="B821" s="42" t="str">
        <f>_xlfn.XLOOKUP(A821,Class_Players!$A:$A,Class_Players!$B:$B,"")</f>
        <v>Engineer</v>
      </c>
      <c r="C821" s="42" t="str" cm="1">
        <f t="array" ref="C821">INDEX(Lookups!$B$2:$B$13,MOD(ROW()-ROW($B$2),ROWS(Lookups!$B$2:$B$13))+1)</f>
        <v>MAS 148 (Long-Range Launcher)</v>
      </c>
      <c r="D821" s="38" t="str">
        <f>_xlfn.XLOOKUP(C821,Analysis_Gadgets!$C:$C,Analysis_Gadgets!$B:$B)</f>
        <v>Gadget</v>
      </c>
      <c r="E821" s="43">
        <v>93</v>
      </c>
      <c r="F821" s="43">
        <f>_xlfn.XLOOKUP(A821,Class_Players!A:A,Class_Players!G:G)</f>
        <v>180</v>
      </c>
      <c r="G821" s="43">
        <f t="shared" si="187"/>
        <v>0.51666666666666672</v>
      </c>
      <c r="H821" s="43">
        <f>_xlfn.XLOOKUP(A821,Class_Players!$A:$A,Class_Players!$F:$F,"")</f>
        <v>7724</v>
      </c>
      <c r="I821" s="44">
        <f t="shared" si="188"/>
        <v>1.2040393578456758E-2</v>
      </c>
      <c r="J821" s="43">
        <f t="shared" si="189"/>
        <v>0</v>
      </c>
      <c r="K821" s="44" cm="1">
        <f t="array" ref="K821">IF(D821="Gadget",_xlfn.IFS(I821&gt;=0.2,0.5,I821&gt;=0.1,0.35,I821&gt;=0.05,0.2,TRUE,0),IF(D821="Grenade",_xlfn.IFS(I821&gt;=0.2,1,I821&gt;=0.1,0.7,I821&gt;=0.05,0.4,TRUE,0),0))</f>
        <v>0</v>
      </c>
      <c r="L821" s="57">
        <f t="shared" si="190"/>
        <v>0</v>
      </c>
    </row>
    <row r="822" spans="1:12" x14ac:dyDescent="0.25">
      <c r="A822" s="42" t="str" cm="1">
        <f t="array" ref="A822">IFERROR(INDEX(_xlfn._xlws.FILTER(Class_Players!A:A,Class_Players!B:B="Engineer"),QUOTIENT(ROW()-ROW($A$2),12)+1),"")</f>
        <v>McFlusher</v>
      </c>
      <c r="B822" s="42" t="str">
        <f>_xlfn.XLOOKUP(A822,Class_Players!$A:$A,Class_Players!$B:$B,"")</f>
        <v>Engineer</v>
      </c>
      <c r="C822" s="42" t="str" cm="1">
        <f t="array" ref="C822">INDEX(Lookups!$B$2:$B$13,MOD(ROW()-ROW($B$2),ROWS(Lookups!$B$2:$B$13))+1)</f>
        <v>M136 AT (Aim-Guided Launcher)</v>
      </c>
      <c r="D822" s="38" t="str">
        <f>_xlfn.XLOOKUP(C822,Analysis_Gadgets!$C:$C,Analysis_Gadgets!$B:$B)</f>
        <v>Gadget</v>
      </c>
      <c r="E822" s="43">
        <v>1</v>
      </c>
      <c r="F822" s="43">
        <f>_xlfn.XLOOKUP(A822,Class_Players!A:A,Class_Players!G:G)</f>
        <v>180</v>
      </c>
      <c r="G822" s="43">
        <f t="shared" si="187"/>
        <v>5.5555555555555558E-3</v>
      </c>
      <c r="H822" s="43">
        <f>_xlfn.XLOOKUP(A822,Class_Players!$A:$A,Class_Players!$F:$F,"")</f>
        <v>7724</v>
      </c>
      <c r="I822" s="44">
        <f t="shared" si="188"/>
        <v>1.2946659761781459E-4</v>
      </c>
      <c r="J822" s="43">
        <f t="shared" si="189"/>
        <v>0</v>
      </c>
      <c r="K822" s="44" cm="1">
        <f t="array" ref="K822">IF(D822="Gadget",_xlfn.IFS(I822&gt;=0.2,0.5,I822&gt;=0.1,0.35,I822&gt;=0.05,0.2,TRUE,0),IF(D822="Grenade",_xlfn.IFS(I822&gt;=0.2,1,I822&gt;=0.1,0.7,I822&gt;=0.05,0.4,TRUE,0),0))</f>
        <v>0</v>
      </c>
      <c r="L822" s="57">
        <f t="shared" si="190"/>
        <v>0</v>
      </c>
    </row>
    <row r="823" spans="1:12" x14ac:dyDescent="0.25">
      <c r="A823" s="42" t="str" cm="1">
        <f t="array" ref="A823">IFERROR(INDEX(_xlfn._xlws.FILTER(Class_Players!A:A,Class_Players!B:B="Engineer"),QUOTIENT(ROW()-ROW($A$2),12)+1),"")</f>
        <v>McFlusher</v>
      </c>
      <c r="B823" s="42" t="str">
        <f>_xlfn.XLOOKUP(A823,Class_Players!$A:$A,Class_Players!$B:$B,"")</f>
        <v>Engineer</v>
      </c>
      <c r="C823" s="42" t="str" cm="1">
        <f t="array" ref="C823">INDEX(Lookups!$B$2:$B$13,MOD(ROW()-ROW($B$2),ROWS(Lookups!$B$2:$B$13))+1)</f>
        <v>Supply Crate</v>
      </c>
      <c r="D823" s="38" t="str">
        <f>_xlfn.XLOOKUP(C823,Analysis_Gadgets!$C:$C,Analysis_Gadgets!$B:$B)</f>
        <v>Gadget</v>
      </c>
      <c r="E823" s="43">
        <v>9</v>
      </c>
      <c r="F823" s="43">
        <f>_xlfn.XLOOKUP(A823,Class_Players!A:A,Class_Players!G:G)</f>
        <v>180</v>
      </c>
      <c r="G823" s="43">
        <f t="shared" si="187"/>
        <v>0.05</v>
      </c>
      <c r="H823" s="43">
        <f>_xlfn.XLOOKUP(A823,Class_Players!$A:$A,Class_Players!$F:$F,"")</f>
        <v>7724</v>
      </c>
      <c r="I823" s="44">
        <f t="shared" si="188"/>
        <v>1.1651993785603315E-3</v>
      </c>
      <c r="J823" s="43">
        <f t="shared" si="189"/>
        <v>0</v>
      </c>
      <c r="K823" s="44" cm="1">
        <f t="array" ref="K823">IF(D823="Gadget",_xlfn.IFS(I823&gt;=0.2,0.5,I823&gt;=0.1,0.35,I823&gt;=0.05,0.2,TRUE,0),IF(D823="Grenade",_xlfn.IFS(I823&gt;=0.2,1,I823&gt;=0.1,0.7,I823&gt;=0.05,0.4,TRUE,0),0))</f>
        <v>0</v>
      </c>
      <c r="L823" s="57">
        <f t="shared" si="190"/>
        <v>0</v>
      </c>
    </row>
    <row r="824" spans="1:12" x14ac:dyDescent="0.25">
      <c r="A824" s="42" t="str" cm="1">
        <f t="array" ref="A824">IFERROR(INDEX(_xlfn._xlws.FILTER(Class_Players!A:A,Class_Players!B:B="Engineer"),QUOTIENT(ROW()-ROW($A$2),12)+1),"")</f>
        <v>McFlusher</v>
      </c>
      <c r="B824" s="42" t="str">
        <f>_xlfn.XLOOKUP(A824,Class_Players!$A:$A,Class_Players!$B:$B,"")</f>
        <v>Engineer</v>
      </c>
      <c r="C824" s="42" t="str" cm="1">
        <f t="array" ref="C824">INDEX(Lookups!$B$2:$B$13,MOD(ROW()-ROW($B$2),ROWS(Lookups!$B$2:$B$13))+1)</f>
        <v>M15 (Anti-Vehicle Mine)</v>
      </c>
      <c r="D824" s="38" t="str">
        <f>_xlfn.XLOOKUP(C824,Analysis_Gadgets!$C:$C,Analysis_Gadgets!$B:$B)</f>
        <v>Gadget</v>
      </c>
      <c r="E824" s="43">
        <v>3454</v>
      </c>
      <c r="F824" s="43">
        <f>_xlfn.XLOOKUP(A824,Class_Players!A:A,Class_Players!G:G)</f>
        <v>180</v>
      </c>
      <c r="G824" s="43">
        <f t="shared" si="187"/>
        <v>19.18888888888889</v>
      </c>
      <c r="H824" s="43">
        <f>_xlfn.XLOOKUP(A824,Class_Players!$A:$A,Class_Players!$F:$F,"")</f>
        <v>7724</v>
      </c>
      <c r="I824" s="44">
        <f t="shared" si="188"/>
        <v>0.44717762817193163</v>
      </c>
      <c r="J824" s="43">
        <f t="shared" si="189"/>
        <v>1</v>
      </c>
      <c r="K824" s="44" cm="1">
        <f t="array" ref="K824">IF(D824="Gadget",_xlfn.IFS(I824&gt;=0.2,0.5,I824&gt;=0.1,0.35,I824&gt;=0.05,0.2,TRUE,0),IF(D824="Grenade",_xlfn.IFS(I824&gt;=0.2,1,I824&gt;=0.1,0.7,I824&gt;=0.05,0.4,TRUE,0),0))</f>
        <v>0.5</v>
      </c>
      <c r="L824" s="57">
        <f t="shared" si="190"/>
        <v>0.5</v>
      </c>
    </row>
    <row r="825" spans="1:12" x14ac:dyDescent="0.25">
      <c r="A825" s="42" t="str" cm="1">
        <f t="array" ref="A825">IFERROR(INDEX(_xlfn._xlws.FILTER(Class_Players!A:A,Class_Players!B:B="Engineer"),QUOTIENT(ROW()-ROW($A$2),12)+1),"")</f>
        <v>McFlusher</v>
      </c>
      <c r="B825" s="42" t="str">
        <f>_xlfn.XLOOKUP(A825,Class_Players!$A:$A,Class_Players!$B:$B,"")</f>
        <v>Engineer</v>
      </c>
      <c r="C825" s="42" t="str" cm="1">
        <f t="array" ref="C825">INDEX(Lookups!$B$2:$B$13,MOD(ROW()-ROW($B$2),ROWS(Lookups!$B$2:$B$13))+1)</f>
        <v>PTKM-1R (Acoustic Sensor AV Mine)</v>
      </c>
      <c r="D825" s="38" t="str">
        <f>_xlfn.XLOOKUP(C825,Analysis_Gadgets!$C:$C,Analysis_Gadgets!$B:$B)</f>
        <v>Gadget</v>
      </c>
      <c r="E825" s="43">
        <v>10</v>
      </c>
      <c r="F825" s="43">
        <f>_xlfn.XLOOKUP(A825,Class_Players!A:A,Class_Players!G:G)</f>
        <v>180</v>
      </c>
      <c r="G825" s="43">
        <f t="shared" si="187"/>
        <v>5.5555555555555552E-2</v>
      </c>
      <c r="H825" s="43">
        <f>_xlfn.XLOOKUP(A825,Class_Players!$A:$A,Class_Players!$F:$F,"")</f>
        <v>7724</v>
      </c>
      <c r="I825" s="44">
        <f t="shared" si="188"/>
        <v>1.2946659761781461E-3</v>
      </c>
      <c r="J825" s="43">
        <f t="shared" si="189"/>
        <v>0</v>
      </c>
      <c r="K825" s="44" cm="1">
        <f t="array" ref="K825">IF(D825="Gadget",_xlfn.IFS(I825&gt;=0.2,0.5,I825&gt;=0.1,0.35,I825&gt;=0.05,0.2,TRUE,0),IF(D825="Grenade",_xlfn.IFS(I825&gt;=0.2,1,I825&gt;=0.1,0.7,I825&gt;=0.05,0.4,TRUE,0),0))</f>
        <v>0</v>
      </c>
      <c r="L825" s="57">
        <f t="shared" si="190"/>
        <v>0</v>
      </c>
    </row>
    <row r="826" spans="1:12" x14ac:dyDescent="0.25">
      <c r="A826" s="42" t="str" cm="1">
        <f t="array" ref="A826">IFERROR(INDEX(_xlfn._xlws.FILTER(Class_Players!A:A,Class_Players!B:B="Engineer"),QUOTIENT(ROW()-ROW($A$2),12)+1),"")</f>
        <v>McFlusher</v>
      </c>
      <c r="B826" s="42" t="str">
        <f>_xlfn.XLOOKUP(A826,Class_Players!$A:$A,Class_Players!$B:$B,"")</f>
        <v>Engineer</v>
      </c>
      <c r="C826" s="42" t="str" cm="1">
        <f t="array" ref="C826">INDEX(Lookups!$B$2:$B$13,MOD(ROW()-ROW($B$2),ROWS(Lookups!$B$2:$B$13))+1)</f>
        <v>EOD Bot</v>
      </c>
      <c r="D826" s="38" t="str">
        <f>_xlfn.XLOOKUP(C826,Analysis_Gadgets!$C:$C,Analysis_Gadgets!$B:$B)</f>
        <v>Gadget</v>
      </c>
      <c r="E826" s="43">
        <v>78</v>
      </c>
      <c r="F826" s="43">
        <f>_xlfn.XLOOKUP(A826,Class_Players!A:A,Class_Players!G:G)</f>
        <v>180</v>
      </c>
      <c r="G826" s="43">
        <f t="shared" si="187"/>
        <v>0.43333333333333335</v>
      </c>
      <c r="H826" s="43">
        <f>_xlfn.XLOOKUP(A826,Class_Players!$A:$A,Class_Players!$F:$F,"")</f>
        <v>7724</v>
      </c>
      <c r="I826" s="44">
        <f t="shared" si="188"/>
        <v>1.009839461418954E-2</v>
      </c>
      <c r="J826" s="43">
        <f t="shared" si="189"/>
        <v>0</v>
      </c>
      <c r="K826" s="44" cm="1">
        <f t="array" ref="K826">IF(D826="Gadget",_xlfn.IFS(I826&gt;=0.2,0.5,I826&gt;=0.1,0.35,I826&gt;=0.05,0.2,TRUE,0),IF(D826="Grenade",_xlfn.IFS(I826&gt;=0.2,1,I826&gt;=0.1,0.7,I826&gt;=0.05,0.4,TRUE,0),0))</f>
        <v>0</v>
      </c>
      <c r="L826" s="57">
        <f t="shared" si="190"/>
        <v>0</v>
      </c>
    </row>
    <row r="827" spans="1:12" x14ac:dyDescent="0.25">
      <c r="A827" s="42" t="str" cm="1">
        <f t="array" ref="A827">IFERROR(INDEX(_xlfn._xlws.FILTER(Class_Players!A:A,Class_Players!B:B="Engineer"),QUOTIENT(ROW()-ROW($A$2),12)+1),"")</f>
        <v>McFlusher</v>
      </c>
      <c r="B827" s="42" t="str">
        <f>_xlfn.XLOOKUP(A827,Class_Players!$A:$A,Class_Players!$B:$B,"")</f>
        <v>Engineer</v>
      </c>
      <c r="C827" s="42" t="str" cm="1">
        <f t="array" ref="C827">INDEX(Lookups!$B$2:$B$13,MOD(ROW()-ROW($B$2),ROWS(Lookups!$B$2:$B$13))+1)</f>
        <v>M4A1 SLAM (Tripwire Sensor AV Mine)</v>
      </c>
      <c r="D827" s="38" t="str">
        <f>_xlfn.XLOOKUP(C827,Analysis_Gadgets!$C:$C,Analysis_Gadgets!$B:$B)</f>
        <v>Gadget</v>
      </c>
      <c r="E827" s="43">
        <v>0</v>
      </c>
      <c r="F827" s="43">
        <f>_xlfn.XLOOKUP(A827,Class_Players!A:A,Class_Players!G:G)</f>
        <v>180</v>
      </c>
      <c r="G827" s="43">
        <f t="shared" si="187"/>
        <v>0</v>
      </c>
      <c r="H827" s="43">
        <f>_xlfn.XLOOKUP(A827,Class_Players!$A:$A,Class_Players!$F:$F,"")</f>
        <v>7724</v>
      </c>
      <c r="I827" s="44">
        <f t="shared" si="188"/>
        <v>0</v>
      </c>
      <c r="J827" s="43">
        <f t="shared" si="189"/>
        <v>0</v>
      </c>
      <c r="K827" s="44" cm="1">
        <f t="array" ref="K827">IF(D827="Gadget",_xlfn.IFS(I827&gt;=0.2,0.5,I827&gt;=0.1,0.35,I827&gt;=0.05,0.2,TRUE,0),IF(D827="Grenade",_xlfn.IFS(I827&gt;=0.2,1,I827&gt;=0.1,0.7,I827&gt;=0.05,0.4,TRUE,0),0))</f>
        <v>0</v>
      </c>
      <c r="L827" s="57">
        <f t="shared" si="190"/>
        <v>0</v>
      </c>
    </row>
    <row r="828" spans="1:12" x14ac:dyDescent="0.25">
      <c r="A828" s="42" t="str" cm="1">
        <f t="array" ref="A828">IFERROR(INDEX(_xlfn._xlws.FILTER(Class_Players!A:A,Class_Players!B:B="Engineer"),QUOTIENT(ROW()-ROW($A$2),12)+1),"")</f>
        <v>McFlusher</v>
      </c>
      <c r="B828" s="42" t="str">
        <f>_xlfn.XLOOKUP(A828,Class_Players!$A:$A,Class_Players!$B:$B,"")</f>
        <v>Engineer</v>
      </c>
      <c r="C828" s="42" t="str" cm="1">
        <f t="array" ref="C828">INDEX(Lookups!$B$2:$B$13,MOD(ROW()-ROW($B$2),ROWS(Lookups!$B$2:$B$13))+1)</f>
        <v>Mini Frag Grenade</v>
      </c>
      <c r="D828" s="38" t="str">
        <f>_xlfn.XLOOKUP(C828,Analysis_Gadgets!$C:$C,Analysis_Gadgets!$B:$B)</f>
        <v>Grenade</v>
      </c>
      <c r="E828" s="43">
        <v>2</v>
      </c>
      <c r="F828" s="43">
        <f>_xlfn.XLOOKUP(A828,Class_Players!A:A,Class_Players!G:G)</f>
        <v>180</v>
      </c>
      <c r="G828" s="43">
        <f t="shared" si="187"/>
        <v>1.1111111111111112E-2</v>
      </c>
      <c r="H828" s="43">
        <f>_xlfn.XLOOKUP(A828,Class_Players!$A:$A,Class_Players!$F:$F,"")</f>
        <v>7724</v>
      </c>
      <c r="I828" s="44">
        <f t="shared" si="188"/>
        <v>2.5893319523562919E-4</v>
      </c>
      <c r="J828" s="43">
        <f t="shared" si="189"/>
        <v>0</v>
      </c>
      <c r="K828" s="44" cm="1">
        <f t="array" ref="K828">IF(D828="Gadget",_xlfn.IFS(I828&gt;=0.2,0.5,I828&gt;=0.1,0.35,I828&gt;=0.05,0.2,TRUE,0),IF(D828="Grenade",_xlfn.IFS(I828&gt;=0.2,1,I828&gt;=0.1,0.7,I828&gt;=0.05,0.4,TRUE,0),0))</f>
        <v>0</v>
      </c>
      <c r="L828" s="57">
        <f t="shared" ref="L828:L829" si="191">IF($K828=0,0,$K828 / SUMIFS($K:$K,$A:$A,$A828,$D:$D,"Grenade"))</f>
        <v>0</v>
      </c>
    </row>
    <row r="829" spans="1:12" x14ac:dyDescent="0.25">
      <c r="A829" s="42" t="str" cm="1">
        <f t="array" ref="A829">IFERROR(INDEX(_xlfn._xlws.FILTER(Class_Players!A:A,Class_Players!B:B="Engineer"),QUOTIENT(ROW()-ROW($A$2),12)+1),"")</f>
        <v>McFlusher</v>
      </c>
      <c r="B829" s="42" t="str">
        <f>_xlfn.XLOOKUP(A829,Class_Players!$A:$A,Class_Players!$B:$B,"")</f>
        <v>Engineer</v>
      </c>
      <c r="C829" s="42" t="str" cm="1">
        <f t="array" ref="C829">INDEX(Lookups!$B$2:$B$13,MOD(ROW()-ROW($B$2),ROWS(Lookups!$B$2:$B$13))+1)</f>
        <v>Anti-Vehicle Grenade</v>
      </c>
      <c r="D829" s="38" t="str">
        <f>_xlfn.XLOOKUP(C829,Analysis_Gadgets!$C:$C,Analysis_Gadgets!$B:$B)</f>
        <v>Grenade</v>
      </c>
      <c r="E829" s="43">
        <v>0</v>
      </c>
      <c r="F829" s="43">
        <f>_xlfn.XLOOKUP(A829,Class_Players!A:A,Class_Players!G:G)</f>
        <v>180</v>
      </c>
      <c r="G829" s="43">
        <f t="shared" si="187"/>
        <v>0</v>
      </c>
      <c r="H829" s="43">
        <f>_xlfn.XLOOKUP(A829,Class_Players!$A:$A,Class_Players!$F:$F,"")</f>
        <v>7724</v>
      </c>
      <c r="I829" s="44">
        <f t="shared" si="188"/>
        <v>0</v>
      </c>
      <c r="J829" s="43">
        <f t="shared" si="189"/>
        <v>0</v>
      </c>
      <c r="K829" s="44" cm="1">
        <f t="array" ref="K829">IF(D829="Gadget",_xlfn.IFS(I829&gt;=0.2,0.5,I829&gt;=0.1,0.35,I829&gt;=0.05,0.2,TRUE,0),IF(D829="Grenade",_xlfn.IFS(I829&gt;=0.2,1,I829&gt;=0.1,0.7,I829&gt;=0.05,0.4,TRUE,0),0))</f>
        <v>0</v>
      </c>
      <c r="L829" s="57">
        <f t="shared" si="191"/>
        <v>0</v>
      </c>
    </row>
    <row r="830" spans="1:12" x14ac:dyDescent="0.25">
      <c r="A830" s="42" t="str" cm="1">
        <f t="array" ref="A830">IFERROR(INDEX(_xlfn._xlws.FILTER(Class_Players!A:A,Class_Players!B:B="Engineer"),QUOTIENT(ROW()-ROW($A$2),12)+1),"")</f>
        <v>spicolli123</v>
      </c>
      <c r="B830" s="42" t="str">
        <f>_xlfn.XLOOKUP(A830,Class_Players!$A:$A,Class_Players!$B:$B,"")</f>
        <v>Engineer</v>
      </c>
      <c r="C830" s="42" t="str" cm="1">
        <f t="array" ref="C830">INDEX(Lookups!$B$2:$B$13,MOD(ROW()-ROW($B$2),ROWS(Lookups!$B$2:$B$13))+1)</f>
        <v>MBT-LAW (Auto-Guided Launcher)</v>
      </c>
      <c r="D830" s="38" t="str">
        <f>_xlfn.XLOOKUP(C830,Analysis_Gadgets!$C:$C,Analysis_Gadgets!$B:$B)</f>
        <v>Gadget</v>
      </c>
      <c r="E830" s="43">
        <v>0</v>
      </c>
      <c r="F830" s="43">
        <f>_xlfn.XLOOKUP(A830,Class_Players!A:A,Class_Players!G:G)</f>
        <v>179</v>
      </c>
      <c r="G830" s="43">
        <f t="shared" si="187"/>
        <v>0</v>
      </c>
      <c r="H830" s="43">
        <f>_xlfn.XLOOKUP(A830,Class_Players!$A:$A,Class_Players!$F:$F,"")</f>
        <v>7705</v>
      </c>
      <c r="I830" s="44">
        <f t="shared" si="188"/>
        <v>0</v>
      </c>
      <c r="J830" s="43">
        <f t="shared" si="189"/>
        <v>0</v>
      </c>
      <c r="K830" s="44" cm="1">
        <f t="array" ref="K830">IF(D830="Gadget",_xlfn.IFS(I830&gt;=0.2,0.5,I830&gt;=0.1,0.35,I830&gt;=0.05,0.2,TRUE,0),IF(D830="Grenade",_xlfn.IFS(I830&gt;=0.2,1,I830&gt;=0.1,0.7,I830&gt;=0.05,0.4,TRUE,0),0))</f>
        <v>0</v>
      </c>
      <c r="L830" s="57">
        <f t="shared" ref="L830:L839" si="192">IF($K830=0,0,$K830 / SUMIFS($K:$K,$A:$A,$A830,$D:$D,"Gadget"))</f>
        <v>0</v>
      </c>
    </row>
    <row r="831" spans="1:12" x14ac:dyDescent="0.25">
      <c r="A831" s="42" t="str" cm="1">
        <f t="array" ref="A831">IFERROR(INDEX(_xlfn._xlws.FILTER(Class_Players!A:A,Class_Players!B:B="Engineer"),QUOTIENT(ROW()-ROW($A$2),12)+1),"")</f>
        <v>spicolli123</v>
      </c>
      <c r="B831" s="42" t="str">
        <f>_xlfn.XLOOKUP(A831,Class_Players!$A:$A,Class_Players!$B:$B,"")</f>
        <v>Engineer</v>
      </c>
      <c r="C831" s="42" t="str" cm="1">
        <f t="array" ref="C831">INDEX(Lookups!$B$2:$B$13,MOD(ROW()-ROW($B$2),ROWS(Lookups!$B$2:$B$13))+1)</f>
        <v>SLM-93A (Air-Defense Launcher)</v>
      </c>
      <c r="D831" s="38" t="str">
        <f>_xlfn.XLOOKUP(C831,Analysis_Gadgets!$C:$C,Analysis_Gadgets!$B:$B)</f>
        <v>Gadget</v>
      </c>
      <c r="E831" s="43">
        <v>0</v>
      </c>
      <c r="F831" s="43">
        <f>_xlfn.XLOOKUP(A831,Class_Players!A:A,Class_Players!G:G)</f>
        <v>179</v>
      </c>
      <c r="G831" s="43">
        <f t="shared" si="187"/>
        <v>0</v>
      </c>
      <c r="H831" s="43">
        <f>_xlfn.XLOOKUP(A831,Class_Players!$A:$A,Class_Players!$F:$F,"")</f>
        <v>7705</v>
      </c>
      <c r="I831" s="44">
        <f t="shared" si="188"/>
        <v>0</v>
      </c>
      <c r="J831" s="43">
        <f t="shared" si="189"/>
        <v>0</v>
      </c>
      <c r="K831" s="44" cm="1">
        <f t="array" ref="K831">IF(D831="Gadget",_xlfn.IFS(I831&gt;=0.2,0.5,I831&gt;=0.1,0.35,I831&gt;=0.05,0.2,TRUE,0),IF(D831="Grenade",_xlfn.IFS(I831&gt;=0.2,1,I831&gt;=0.1,0.7,I831&gt;=0.05,0.4,TRUE,0),0))</f>
        <v>0</v>
      </c>
      <c r="L831" s="57">
        <f t="shared" si="192"/>
        <v>0</v>
      </c>
    </row>
    <row r="832" spans="1:12" x14ac:dyDescent="0.25">
      <c r="A832" s="42" t="str" cm="1">
        <f t="array" ref="A832">IFERROR(INDEX(_xlfn._xlws.FILTER(Class_Players!A:A,Class_Players!B:B="Engineer"),QUOTIENT(ROW()-ROW($A$2),12)+1),"")</f>
        <v>spicolli123</v>
      </c>
      <c r="B832" s="42" t="str">
        <f>_xlfn.XLOOKUP(A832,Class_Players!$A:$A,Class_Players!$B:$B,"")</f>
        <v>Engineer</v>
      </c>
      <c r="C832" s="42" t="str" cm="1">
        <f t="array" ref="C832">INDEX(Lookups!$B$2:$B$13,MOD(ROW()-ROW($B$2),ROWS(Lookups!$B$2:$B$13))+1)</f>
        <v>RPG-7V2 (Unguided Rocket Launcher)</v>
      </c>
      <c r="D832" s="38" t="str">
        <f>_xlfn.XLOOKUP(C832,Analysis_Gadgets!$C:$C,Analysis_Gadgets!$B:$B)</f>
        <v>Gadget</v>
      </c>
      <c r="E832" s="43">
        <v>6715</v>
      </c>
      <c r="F832" s="43">
        <f>_xlfn.XLOOKUP(A832,Class_Players!A:A,Class_Players!G:G)</f>
        <v>179</v>
      </c>
      <c r="G832" s="43">
        <f t="shared" si="187"/>
        <v>37.513966480446925</v>
      </c>
      <c r="H832" s="43">
        <f>_xlfn.XLOOKUP(A832,Class_Players!$A:$A,Class_Players!$F:$F,"")</f>
        <v>7705</v>
      </c>
      <c r="I832" s="44">
        <f t="shared" si="188"/>
        <v>0.87151200519143412</v>
      </c>
      <c r="J832" s="43">
        <f t="shared" si="189"/>
        <v>1</v>
      </c>
      <c r="K832" s="44" cm="1">
        <f t="array" ref="K832">IF(D832="Gadget",_xlfn.IFS(I832&gt;=0.2,0.5,I832&gt;=0.1,0.35,I832&gt;=0.05,0.2,TRUE,0),IF(D832="Grenade",_xlfn.IFS(I832&gt;=0.2,1,I832&gt;=0.1,0.7,I832&gt;=0.05,0.4,TRUE,0),0))</f>
        <v>0.5</v>
      </c>
      <c r="L832" s="57">
        <f t="shared" si="192"/>
        <v>0.7142857142857143</v>
      </c>
    </row>
    <row r="833" spans="1:12" x14ac:dyDescent="0.25">
      <c r="A833" s="42" t="str" cm="1">
        <f t="array" ref="A833">IFERROR(INDEX(_xlfn._xlws.FILTER(Class_Players!A:A,Class_Players!B:B="Engineer"),QUOTIENT(ROW()-ROW($A$2),12)+1),"")</f>
        <v>spicolli123</v>
      </c>
      <c r="B833" s="42" t="str">
        <f>_xlfn.XLOOKUP(A833,Class_Players!$A:$A,Class_Players!$B:$B,"")</f>
        <v>Engineer</v>
      </c>
      <c r="C833" s="42" t="str" cm="1">
        <f t="array" ref="C833">INDEX(Lookups!$B$2:$B$13,MOD(ROW()-ROW($B$2),ROWS(Lookups!$B$2:$B$13))+1)</f>
        <v>MAS 148 (Long-Range Launcher)</v>
      </c>
      <c r="D833" s="38" t="str">
        <f>_xlfn.XLOOKUP(C833,Analysis_Gadgets!$C:$C,Analysis_Gadgets!$B:$B)</f>
        <v>Gadget</v>
      </c>
      <c r="E833" s="43">
        <v>21</v>
      </c>
      <c r="F833" s="43">
        <f>_xlfn.XLOOKUP(A833,Class_Players!A:A,Class_Players!G:G)</f>
        <v>179</v>
      </c>
      <c r="G833" s="43">
        <f t="shared" si="187"/>
        <v>0.11731843575418995</v>
      </c>
      <c r="H833" s="43">
        <f>_xlfn.XLOOKUP(A833,Class_Players!$A:$A,Class_Players!$F:$F,"")</f>
        <v>7705</v>
      </c>
      <c r="I833" s="44">
        <f t="shared" si="188"/>
        <v>2.7255029201817002E-3</v>
      </c>
      <c r="J833" s="43">
        <f t="shared" si="189"/>
        <v>0</v>
      </c>
      <c r="K833" s="44" cm="1">
        <f t="array" ref="K833">IF(D833="Gadget",_xlfn.IFS(I833&gt;=0.2,0.5,I833&gt;=0.1,0.35,I833&gt;=0.05,0.2,TRUE,0),IF(D833="Grenade",_xlfn.IFS(I833&gt;=0.2,1,I833&gt;=0.1,0.7,I833&gt;=0.05,0.4,TRUE,0),0))</f>
        <v>0</v>
      </c>
      <c r="L833" s="57">
        <f t="shared" si="192"/>
        <v>0</v>
      </c>
    </row>
    <row r="834" spans="1:12" x14ac:dyDescent="0.25">
      <c r="A834" s="42" t="str" cm="1">
        <f t="array" ref="A834">IFERROR(INDEX(_xlfn._xlws.FILTER(Class_Players!A:A,Class_Players!B:B="Engineer"),QUOTIENT(ROW()-ROW($A$2),12)+1),"")</f>
        <v>spicolli123</v>
      </c>
      <c r="B834" s="42" t="str">
        <f>_xlfn.XLOOKUP(A834,Class_Players!$A:$A,Class_Players!$B:$B,"")</f>
        <v>Engineer</v>
      </c>
      <c r="C834" s="42" t="str" cm="1">
        <f t="array" ref="C834">INDEX(Lookups!$B$2:$B$13,MOD(ROW()-ROW($B$2),ROWS(Lookups!$B$2:$B$13))+1)</f>
        <v>M136 AT (Aim-Guided Launcher)</v>
      </c>
      <c r="D834" s="38" t="str">
        <f>_xlfn.XLOOKUP(C834,Analysis_Gadgets!$C:$C,Analysis_Gadgets!$B:$B)</f>
        <v>Gadget</v>
      </c>
      <c r="E834" s="43">
        <v>2</v>
      </c>
      <c r="F834" s="43">
        <f>_xlfn.XLOOKUP(A834,Class_Players!A:A,Class_Players!G:G)</f>
        <v>179</v>
      </c>
      <c r="G834" s="43">
        <f t="shared" si="187"/>
        <v>1.11731843575419E-2</v>
      </c>
      <c r="H834" s="43">
        <f>_xlfn.XLOOKUP(A834,Class_Players!$A:$A,Class_Players!$F:$F,"")</f>
        <v>7705</v>
      </c>
      <c r="I834" s="44">
        <f t="shared" si="188"/>
        <v>2.5957170668397143E-4</v>
      </c>
      <c r="J834" s="43">
        <f t="shared" si="189"/>
        <v>0</v>
      </c>
      <c r="K834" s="44" cm="1">
        <f t="array" ref="K834">IF(D834="Gadget",_xlfn.IFS(I834&gt;=0.2,0.5,I834&gt;=0.1,0.35,I834&gt;=0.05,0.2,TRUE,0),IF(D834="Grenade",_xlfn.IFS(I834&gt;=0.2,1,I834&gt;=0.1,0.7,I834&gt;=0.05,0.4,TRUE,0),0))</f>
        <v>0</v>
      </c>
      <c r="L834" s="57">
        <f t="shared" si="192"/>
        <v>0</v>
      </c>
    </row>
    <row r="835" spans="1:12" x14ac:dyDescent="0.25">
      <c r="A835" s="42" t="str" cm="1">
        <f t="array" ref="A835">IFERROR(INDEX(_xlfn._xlws.FILTER(Class_Players!A:A,Class_Players!B:B="Engineer"),QUOTIENT(ROW()-ROW($A$2),12)+1),"")</f>
        <v>spicolli123</v>
      </c>
      <c r="B835" s="42" t="str">
        <f>_xlfn.XLOOKUP(A835,Class_Players!$A:$A,Class_Players!$B:$B,"")</f>
        <v>Engineer</v>
      </c>
      <c r="C835" s="42" t="str" cm="1">
        <f t="array" ref="C835">INDEX(Lookups!$B$2:$B$13,MOD(ROW()-ROW($B$2),ROWS(Lookups!$B$2:$B$13))+1)</f>
        <v>Supply Crate</v>
      </c>
      <c r="D835" s="38" t="str">
        <f>_xlfn.XLOOKUP(C835,Analysis_Gadgets!$C:$C,Analysis_Gadgets!$B:$B)</f>
        <v>Gadget</v>
      </c>
      <c r="E835" s="43">
        <v>5</v>
      </c>
      <c r="F835" s="43">
        <f>_xlfn.XLOOKUP(A835,Class_Players!A:A,Class_Players!G:G)</f>
        <v>179</v>
      </c>
      <c r="G835" s="43">
        <f t="shared" si="187"/>
        <v>2.7932960893854747E-2</v>
      </c>
      <c r="H835" s="43">
        <f>_xlfn.XLOOKUP(A835,Class_Players!$A:$A,Class_Players!$F:$F,"")</f>
        <v>7705</v>
      </c>
      <c r="I835" s="44">
        <f t="shared" si="188"/>
        <v>6.4892926670992858E-4</v>
      </c>
      <c r="J835" s="43">
        <f t="shared" si="189"/>
        <v>0</v>
      </c>
      <c r="K835" s="44" cm="1">
        <f t="array" ref="K835">IF(D835="Gadget",_xlfn.IFS(I835&gt;=0.2,0.5,I835&gt;=0.1,0.35,I835&gt;=0.05,0.2,TRUE,0),IF(D835="Grenade",_xlfn.IFS(I835&gt;=0.2,1,I835&gt;=0.1,0.7,I835&gt;=0.05,0.4,TRUE,0),0))</f>
        <v>0</v>
      </c>
      <c r="L835" s="57">
        <f t="shared" si="192"/>
        <v>0</v>
      </c>
    </row>
    <row r="836" spans="1:12" x14ac:dyDescent="0.25">
      <c r="A836" s="42" t="str" cm="1">
        <f t="array" ref="A836">IFERROR(INDEX(_xlfn._xlws.FILTER(Class_Players!A:A,Class_Players!B:B="Engineer"),QUOTIENT(ROW()-ROW($A$2),12)+1),"")</f>
        <v>spicolli123</v>
      </c>
      <c r="B836" s="42" t="str">
        <f>_xlfn.XLOOKUP(A836,Class_Players!$A:$A,Class_Players!$B:$B,"")</f>
        <v>Engineer</v>
      </c>
      <c r="C836" s="42" t="str" cm="1">
        <f t="array" ref="C836">INDEX(Lookups!$B$2:$B$13,MOD(ROW()-ROW($B$2),ROWS(Lookups!$B$2:$B$13))+1)</f>
        <v>M15 (Anti-Vehicle Mine)</v>
      </c>
      <c r="D836" s="38" t="str">
        <f>_xlfn.XLOOKUP(C836,Analysis_Gadgets!$C:$C,Analysis_Gadgets!$B:$B)</f>
        <v>Gadget</v>
      </c>
      <c r="E836" s="43">
        <v>521</v>
      </c>
      <c r="F836" s="43">
        <f>_xlfn.XLOOKUP(A836,Class_Players!A:A,Class_Players!G:G)</f>
        <v>179</v>
      </c>
      <c r="G836" s="43">
        <f t="shared" si="187"/>
        <v>2.9106145251396649</v>
      </c>
      <c r="H836" s="43">
        <f>_xlfn.XLOOKUP(A836,Class_Players!$A:$A,Class_Players!$F:$F,"")</f>
        <v>7705</v>
      </c>
      <c r="I836" s="44">
        <f t="shared" si="188"/>
        <v>6.7618429591174561E-2</v>
      </c>
      <c r="J836" s="43">
        <f t="shared" si="189"/>
        <v>0</v>
      </c>
      <c r="K836" s="44" cm="1">
        <f t="array" ref="K836">IF(D836="Gadget",_xlfn.IFS(I836&gt;=0.2,0.5,I836&gt;=0.1,0.35,I836&gt;=0.05,0.2,TRUE,0),IF(D836="Grenade",_xlfn.IFS(I836&gt;=0.2,1,I836&gt;=0.1,0.7,I836&gt;=0.05,0.4,TRUE,0),0))</f>
        <v>0.2</v>
      </c>
      <c r="L836" s="57">
        <f t="shared" si="192"/>
        <v>0.28571428571428575</v>
      </c>
    </row>
    <row r="837" spans="1:12" x14ac:dyDescent="0.25">
      <c r="A837" s="42" t="str" cm="1">
        <f t="array" ref="A837">IFERROR(INDEX(_xlfn._xlws.FILTER(Class_Players!A:A,Class_Players!B:B="Engineer"),QUOTIENT(ROW()-ROW($A$2),12)+1),"")</f>
        <v>spicolli123</v>
      </c>
      <c r="B837" s="42" t="str">
        <f>_xlfn.XLOOKUP(A837,Class_Players!$A:$A,Class_Players!$B:$B,"")</f>
        <v>Engineer</v>
      </c>
      <c r="C837" s="42" t="str" cm="1">
        <f t="array" ref="C837">INDEX(Lookups!$B$2:$B$13,MOD(ROW()-ROW($B$2),ROWS(Lookups!$B$2:$B$13))+1)</f>
        <v>PTKM-1R (Acoustic Sensor AV Mine)</v>
      </c>
      <c r="D837" s="38" t="str">
        <f>_xlfn.XLOOKUP(C837,Analysis_Gadgets!$C:$C,Analysis_Gadgets!$B:$B)</f>
        <v>Gadget</v>
      </c>
      <c r="E837" s="43">
        <v>0</v>
      </c>
      <c r="F837" s="43">
        <f>_xlfn.XLOOKUP(A837,Class_Players!A:A,Class_Players!G:G)</f>
        <v>179</v>
      </c>
      <c r="G837" s="43">
        <f t="shared" si="187"/>
        <v>0</v>
      </c>
      <c r="H837" s="43">
        <f>_xlfn.XLOOKUP(A837,Class_Players!$A:$A,Class_Players!$F:$F,"")</f>
        <v>7705</v>
      </c>
      <c r="I837" s="44">
        <f t="shared" si="188"/>
        <v>0</v>
      </c>
      <c r="J837" s="43">
        <f t="shared" si="189"/>
        <v>0</v>
      </c>
      <c r="K837" s="44" cm="1">
        <f t="array" ref="K837">IF(D837="Gadget",_xlfn.IFS(I837&gt;=0.2,0.5,I837&gt;=0.1,0.35,I837&gt;=0.05,0.2,TRUE,0),IF(D837="Grenade",_xlfn.IFS(I837&gt;=0.2,1,I837&gt;=0.1,0.7,I837&gt;=0.05,0.4,TRUE,0),0))</f>
        <v>0</v>
      </c>
      <c r="L837" s="57">
        <f t="shared" si="192"/>
        <v>0</v>
      </c>
    </row>
    <row r="838" spans="1:12" x14ac:dyDescent="0.25">
      <c r="A838" s="42" t="str" cm="1">
        <f t="array" ref="A838">IFERROR(INDEX(_xlfn._xlws.FILTER(Class_Players!A:A,Class_Players!B:B="Engineer"),QUOTIENT(ROW()-ROW($A$2),12)+1),"")</f>
        <v>spicolli123</v>
      </c>
      <c r="B838" s="42" t="str">
        <f>_xlfn.XLOOKUP(A838,Class_Players!$A:$A,Class_Players!$B:$B,"")</f>
        <v>Engineer</v>
      </c>
      <c r="C838" s="42" t="str" cm="1">
        <f t="array" ref="C838">INDEX(Lookups!$B$2:$B$13,MOD(ROW()-ROW($B$2),ROWS(Lookups!$B$2:$B$13))+1)</f>
        <v>EOD Bot</v>
      </c>
      <c r="D838" s="38" t="str">
        <f>_xlfn.XLOOKUP(C838,Analysis_Gadgets!$C:$C,Analysis_Gadgets!$B:$B)</f>
        <v>Gadget</v>
      </c>
      <c r="E838" s="43">
        <v>0</v>
      </c>
      <c r="F838" s="43">
        <f>_xlfn.XLOOKUP(A838,Class_Players!A:A,Class_Players!G:G)</f>
        <v>179</v>
      </c>
      <c r="G838" s="43">
        <f t="shared" si="187"/>
        <v>0</v>
      </c>
      <c r="H838" s="43">
        <f>_xlfn.XLOOKUP(A838,Class_Players!$A:$A,Class_Players!$F:$F,"")</f>
        <v>7705</v>
      </c>
      <c r="I838" s="44">
        <f t="shared" si="188"/>
        <v>0</v>
      </c>
      <c r="J838" s="43">
        <f t="shared" si="189"/>
        <v>0</v>
      </c>
      <c r="K838" s="44" cm="1">
        <f t="array" ref="K838">IF(D838="Gadget",_xlfn.IFS(I838&gt;=0.2,0.5,I838&gt;=0.1,0.35,I838&gt;=0.05,0.2,TRUE,0),IF(D838="Grenade",_xlfn.IFS(I838&gt;=0.2,1,I838&gt;=0.1,0.7,I838&gt;=0.05,0.4,TRUE,0),0))</f>
        <v>0</v>
      </c>
      <c r="L838" s="57">
        <f t="shared" si="192"/>
        <v>0</v>
      </c>
    </row>
    <row r="839" spans="1:12" x14ac:dyDescent="0.25">
      <c r="A839" s="42" t="str" cm="1">
        <f t="array" ref="A839">IFERROR(INDEX(_xlfn._xlws.FILTER(Class_Players!A:A,Class_Players!B:B="Engineer"),QUOTIENT(ROW()-ROW($A$2),12)+1),"")</f>
        <v>spicolli123</v>
      </c>
      <c r="B839" s="42" t="str">
        <f>_xlfn.XLOOKUP(A839,Class_Players!$A:$A,Class_Players!$B:$B,"")</f>
        <v>Engineer</v>
      </c>
      <c r="C839" s="42" t="str" cm="1">
        <f t="array" ref="C839">INDEX(Lookups!$B$2:$B$13,MOD(ROW()-ROW($B$2),ROWS(Lookups!$B$2:$B$13))+1)</f>
        <v>M4A1 SLAM (Tripwire Sensor AV Mine)</v>
      </c>
      <c r="D839" s="38" t="str">
        <f>_xlfn.XLOOKUP(C839,Analysis_Gadgets!$C:$C,Analysis_Gadgets!$B:$B)</f>
        <v>Gadget</v>
      </c>
      <c r="E839" s="43">
        <v>0</v>
      </c>
      <c r="F839" s="43">
        <f>_xlfn.XLOOKUP(A839,Class_Players!A:A,Class_Players!G:G)</f>
        <v>179</v>
      </c>
      <c r="G839" s="43">
        <f t="shared" si="187"/>
        <v>0</v>
      </c>
      <c r="H839" s="43">
        <f>_xlfn.XLOOKUP(A839,Class_Players!$A:$A,Class_Players!$F:$F,"")</f>
        <v>7705</v>
      </c>
      <c r="I839" s="44">
        <f t="shared" si="188"/>
        <v>0</v>
      </c>
      <c r="J839" s="43">
        <f t="shared" si="189"/>
        <v>0</v>
      </c>
      <c r="K839" s="44" cm="1">
        <f t="array" ref="K839">IF(D839="Gadget",_xlfn.IFS(I839&gt;=0.2,0.5,I839&gt;=0.1,0.35,I839&gt;=0.05,0.2,TRUE,0),IF(D839="Grenade",_xlfn.IFS(I839&gt;=0.2,1,I839&gt;=0.1,0.7,I839&gt;=0.05,0.4,TRUE,0),0))</f>
        <v>0</v>
      </c>
      <c r="L839" s="57">
        <f t="shared" si="192"/>
        <v>0</v>
      </c>
    </row>
    <row r="840" spans="1:12" x14ac:dyDescent="0.25">
      <c r="A840" s="42" t="str" cm="1">
        <f t="array" ref="A840">IFERROR(INDEX(_xlfn._xlws.FILTER(Class_Players!A:A,Class_Players!B:B="Engineer"),QUOTIENT(ROW()-ROW($A$2),12)+1),"")</f>
        <v>spicolli123</v>
      </c>
      <c r="B840" s="42" t="str">
        <f>_xlfn.XLOOKUP(A840,Class_Players!$A:$A,Class_Players!$B:$B,"")</f>
        <v>Engineer</v>
      </c>
      <c r="C840" s="42" t="str" cm="1">
        <f t="array" ref="C840">INDEX(Lookups!$B$2:$B$13,MOD(ROW()-ROW($B$2),ROWS(Lookups!$B$2:$B$13))+1)</f>
        <v>Mini Frag Grenade</v>
      </c>
      <c r="D840" s="38" t="str">
        <f>_xlfn.XLOOKUP(C840,Analysis_Gadgets!$C:$C,Analysis_Gadgets!$B:$B)</f>
        <v>Grenade</v>
      </c>
      <c r="E840" s="43">
        <v>0</v>
      </c>
      <c r="F840" s="43">
        <f>_xlfn.XLOOKUP(A840,Class_Players!A:A,Class_Players!G:G)</f>
        <v>179</v>
      </c>
      <c r="G840" s="43">
        <f t="shared" si="187"/>
        <v>0</v>
      </c>
      <c r="H840" s="43">
        <f>_xlfn.XLOOKUP(A840,Class_Players!$A:$A,Class_Players!$F:$F,"")</f>
        <v>7705</v>
      </c>
      <c r="I840" s="44">
        <f t="shared" si="188"/>
        <v>0</v>
      </c>
      <c r="J840" s="43">
        <f t="shared" si="189"/>
        <v>0</v>
      </c>
      <c r="K840" s="44" cm="1">
        <f t="array" ref="K840">IF(D840="Gadget",_xlfn.IFS(I840&gt;=0.2,0.5,I840&gt;=0.1,0.35,I840&gt;=0.05,0.2,TRUE,0),IF(D840="Grenade",_xlfn.IFS(I840&gt;=0.2,1,I840&gt;=0.1,0.7,I840&gt;=0.05,0.4,TRUE,0),0))</f>
        <v>0</v>
      </c>
      <c r="L840" s="57">
        <f t="shared" ref="L840:L841" si="193">IF($K840=0,0,$K840 / SUMIFS($K:$K,$A:$A,$A840,$D:$D,"Grenade"))</f>
        <v>0</v>
      </c>
    </row>
    <row r="841" spans="1:12" x14ac:dyDescent="0.25">
      <c r="A841" s="42" t="str" cm="1">
        <f t="array" ref="A841">IFERROR(INDEX(_xlfn._xlws.FILTER(Class_Players!A:A,Class_Players!B:B="Engineer"),QUOTIENT(ROW()-ROW($A$2),12)+1),"")</f>
        <v>spicolli123</v>
      </c>
      <c r="B841" s="42" t="str">
        <f>_xlfn.XLOOKUP(A841,Class_Players!$A:$A,Class_Players!$B:$B,"")</f>
        <v>Engineer</v>
      </c>
      <c r="C841" s="42" t="str" cm="1">
        <f t="array" ref="C841">INDEX(Lookups!$B$2:$B$13,MOD(ROW()-ROW($B$2),ROWS(Lookups!$B$2:$B$13))+1)</f>
        <v>Anti-Vehicle Grenade</v>
      </c>
      <c r="D841" s="38" t="str">
        <f>_xlfn.XLOOKUP(C841,Analysis_Gadgets!$C:$C,Analysis_Gadgets!$B:$B)</f>
        <v>Grenade</v>
      </c>
      <c r="E841" s="43">
        <v>0</v>
      </c>
      <c r="F841" s="43">
        <f>_xlfn.XLOOKUP(A841,Class_Players!A:A,Class_Players!G:G)</f>
        <v>179</v>
      </c>
      <c r="G841" s="43">
        <f t="shared" si="187"/>
        <v>0</v>
      </c>
      <c r="H841" s="43">
        <f>_xlfn.XLOOKUP(A841,Class_Players!$A:$A,Class_Players!$F:$F,"")</f>
        <v>7705</v>
      </c>
      <c r="I841" s="44">
        <f t="shared" si="188"/>
        <v>0</v>
      </c>
      <c r="J841" s="43">
        <f t="shared" si="189"/>
        <v>0</v>
      </c>
      <c r="K841" s="44" cm="1">
        <f t="array" ref="K841">IF(D841="Gadget",_xlfn.IFS(I841&gt;=0.2,0.5,I841&gt;=0.1,0.35,I841&gt;=0.05,0.2,TRUE,0),IF(D841="Grenade",_xlfn.IFS(I841&gt;=0.2,1,I841&gt;=0.1,0.7,I841&gt;=0.05,0.4,TRUE,0),0))</f>
        <v>0</v>
      </c>
      <c r="L841" s="57">
        <f t="shared" si="193"/>
        <v>0</v>
      </c>
    </row>
    <row r="842" spans="1:12" x14ac:dyDescent="0.25">
      <c r="A842" s="42" t="str" cm="1">
        <f t="array" ref="A842">IFERROR(INDEX(_xlfn._xlws.FILTER(Class_Players!A:A,Class_Players!B:B="Engineer"),QUOTIENT(ROW()-ROW($A$2),12)+1),"")</f>
        <v>NNJAkingbob</v>
      </c>
      <c r="B842" s="42" t="str">
        <f>_xlfn.XLOOKUP(A842,Class_Players!$A:$A,Class_Players!$B:$B,"")</f>
        <v>Engineer</v>
      </c>
      <c r="C842" s="42" t="str" cm="1">
        <f t="array" ref="C842">INDEX(Lookups!$B$2:$B$13,MOD(ROW()-ROW($B$2),ROWS(Lookups!$B$2:$B$13))+1)</f>
        <v>MBT-LAW (Auto-Guided Launcher)</v>
      </c>
      <c r="D842" s="38" t="str">
        <f>_xlfn.XLOOKUP(C842,Analysis_Gadgets!$C:$C,Analysis_Gadgets!$B:$B)</f>
        <v>Gadget</v>
      </c>
      <c r="E842" s="43">
        <v>0</v>
      </c>
      <c r="F842" s="43">
        <f>_xlfn.XLOOKUP(A842,Class_Players!A:A,Class_Players!G:G)</f>
        <v>182</v>
      </c>
      <c r="G842" s="43">
        <f t="shared" ref="G842:G865" si="194">IF(F842=0,"",E842/(F842))</f>
        <v>0</v>
      </c>
      <c r="H842" s="43">
        <f>_xlfn.XLOOKUP(A842,Class_Players!$A:$A,Class_Players!$F:$F,"")</f>
        <v>7615</v>
      </c>
      <c r="I842" s="44">
        <f t="shared" ref="I842:I865" si="195">IF(H842=0,"",E842/H842)</f>
        <v>0</v>
      </c>
      <c r="J842" s="43">
        <f t="shared" ref="J842:J865" si="196">IF(I842&gt;=0.1,1,0)</f>
        <v>0</v>
      </c>
      <c r="K842" s="44" cm="1">
        <f t="array" ref="K842">IF(D842="Gadget",_xlfn.IFS(I842&gt;=0.2,0.5,I842&gt;=0.1,0.35,I842&gt;=0.05,0.2,TRUE,0),IF(D842="Grenade",_xlfn.IFS(I842&gt;=0.2,1,I842&gt;=0.1,0.7,I842&gt;=0.05,0.4,TRUE,0),0))</f>
        <v>0</v>
      </c>
      <c r="L842" s="57">
        <f t="shared" ref="L842:L851" si="197">IF($K842=0,0,$K842 / SUMIFS($K:$K,$A:$A,$A842,$D:$D,"Gadget"))</f>
        <v>0</v>
      </c>
    </row>
    <row r="843" spans="1:12" x14ac:dyDescent="0.25">
      <c r="A843" s="42" t="str" cm="1">
        <f t="array" ref="A843">IFERROR(INDEX(_xlfn._xlws.FILTER(Class_Players!A:A,Class_Players!B:B="Engineer"),QUOTIENT(ROW()-ROW($A$2),12)+1),"")</f>
        <v>NNJAkingbob</v>
      </c>
      <c r="B843" s="42" t="str">
        <f>_xlfn.XLOOKUP(A843,Class_Players!$A:$A,Class_Players!$B:$B,"")</f>
        <v>Engineer</v>
      </c>
      <c r="C843" s="42" t="str" cm="1">
        <f t="array" ref="C843">INDEX(Lookups!$B$2:$B$13,MOD(ROW()-ROW($B$2),ROWS(Lookups!$B$2:$B$13))+1)</f>
        <v>SLM-93A (Air-Defense Launcher)</v>
      </c>
      <c r="D843" s="38" t="str">
        <f>_xlfn.XLOOKUP(C843,Analysis_Gadgets!$C:$C,Analysis_Gadgets!$B:$B)</f>
        <v>Gadget</v>
      </c>
      <c r="E843" s="43">
        <v>361</v>
      </c>
      <c r="F843" s="43">
        <f>_xlfn.XLOOKUP(A843,Class_Players!A:A,Class_Players!G:G)</f>
        <v>182</v>
      </c>
      <c r="G843" s="43">
        <f t="shared" si="194"/>
        <v>1.9835164835164836</v>
      </c>
      <c r="H843" s="43">
        <f>_xlfn.XLOOKUP(A843,Class_Players!$A:$A,Class_Players!$F:$F,"")</f>
        <v>7615</v>
      </c>
      <c r="I843" s="44">
        <f t="shared" si="195"/>
        <v>4.7406434668417596E-2</v>
      </c>
      <c r="J843" s="43">
        <f t="shared" si="196"/>
        <v>0</v>
      </c>
      <c r="K843" s="44" cm="1">
        <f t="array" ref="K843">IF(D843="Gadget",_xlfn.IFS(I843&gt;=0.2,0.5,I843&gt;=0.1,0.35,I843&gt;=0.05,0.2,TRUE,0),IF(D843="Grenade",_xlfn.IFS(I843&gt;=0.2,1,I843&gt;=0.1,0.7,I843&gt;=0.05,0.4,TRUE,0),0))</f>
        <v>0</v>
      </c>
      <c r="L843" s="57">
        <f t="shared" si="197"/>
        <v>0</v>
      </c>
    </row>
    <row r="844" spans="1:12" x14ac:dyDescent="0.25">
      <c r="A844" s="42" t="str" cm="1">
        <f t="array" ref="A844">IFERROR(INDEX(_xlfn._xlws.FILTER(Class_Players!A:A,Class_Players!B:B="Engineer"),QUOTIENT(ROW()-ROW($A$2),12)+1),"")</f>
        <v>NNJAkingbob</v>
      </c>
      <c r="B844" s="42" t="str">
        <f>_xlfn.XLOOKUP(A844,Class_Players!$A:$A,Class_Players!$B:$B,"")</f>
        <v>Engineer</v>
      </c>
      <c r="C844" s="42" t="str" cm="1">
        <f t="array" ref="C844">INDEX(Lookups!$B$2:$B$13,MOD(ROW()-ROW($B$2),ROWS(Lookups!$B$2:$B$13))+1)</f>
        <v>RPG-7V2 (Unguided Rocket Launcher)</v>
      </c>
      <c r="D844" s="38" t="str">
        <f>_xlfn.XLOOKUP(C844,Analysis_Gadgets!$C:$C,Analysis_Gadgets!$B:$B)</f>
        <v>Gadget</v>
      </c>
      <c r="E844" s="43">
        <v>4552</v>
      </c>
      <c r="F844" s="43">
        <f>_xlfn.XLOOKUP(A844,Class_Players!A:A,Class_Players!G:G)</f>
        <v>182</v>
      </c>
      <c r="G844" s="43">
        <f t="shared" si="194"/>
        <v>25.010989010989011</v>
      </c>
      <c r="H844" s="43">
        <f>_xlfn.XLOOKUP(A844,Class_Players!$A:$A,Class_Players!$F:$F,"")</f>
        <v>7615</v>
      </c>
      <c r="I844" s="44">
        <f t="shared" si="195"/>
        <v>0.59776756401838471</v>
      </c>
      <c r="J844" s="43">
        <f t="shared" si="196"/>
        <v>1</v>
      </c>
      <c r="K844" s="44" cm="1">
        <f t="array" ref="K844">IF(D844="Gadget",_xlfn.IFS(I844&gt;=0.2,0.5,I844&gt;=0.1,0.35,I844&gt;=0.05,0.2,TRUE,0),IF(D844="Grenade",_xlfn.IFS(I844&gt;=0.2,1,I844&gt;=0.1,0.7,I844&gt;=0.05,0.4,TRUE,0),0))</f>
        <v>0.5</v>
      </c>
      <c r="L844" s="57">
        <f t="shared" si="197"/>
        <v>0.5</v>
      </c>
    </row>
    <row r="845" spans="1:12" x14ac:dyDescent="0.25">
      <c r="A845" s="42" t="str" cm="1">
        <f t="array" ref="A845">IFERROR(INDEX(_xlfn._xlws.FILTER(Class_Players!A:A,Class_Players!B:B="Engineer"),QUOTIENT(ROW()-ROW($A$2),12)+1),"")</f>
        <v>NNJAkingbob</v>
      </c>
      <c r="B845" s="42" t="str">
        <f>_xlfn.XLOOKUP(A845,Class_Players!$A:$A,Class_Players!$B:$B,"")</f>
        <v>Engineer</v>
      </c>
      <c r="C845" s="42" t="str" cm="1">
        <f t="array" ref="C845">INDEX(Lookups!$B$2:$B$13,MOD(ROW()-ROW($B$2),ROWS(Lookups!$B$2:$B$13))+1)</f>
        <v>MAS 148 (Long-Range Launcher)</v>
      </c>
      <c r="D845" s="38" t="str">
        <f>_xlfn.XLOOKUP(C845,Analysis_Gadgets!$C:$C,Analysis_Gadgets!$B:$B)</f>
        <v>Gadget</v>
      </c>
      <c r="E845" s="43">
        <v>11</v>
      </c>
      <c r="F845" s="43">
        <f>_xlfn.XLOOKUP(A845,Class_Players!A:A,Class_Players!G:G)</f>
        <v>182</v>
      </c>
      <c r="G845" s="43">
        <f t="shared" si="194"/>
        <v>6.043956043956044E-2</v>
      </c>
      <c r="H845" s="43">
        <f>_xlfn.XLOOKUP(A845,Class_Players!$A:$A,Class_Players!$F:$F,"")</f>
        <v>7615</v>
      </c>
      <c r="I845" s="44">
        <f t="shared" si="195"/>
        <v>1.4445173998686802E-3</v>
      </c>
      <c r="J845" s="43">
        <f t="shared" si="196"/>
        <v>0</v>
      </c>
      <c r="K845" s="44" cm="1">
        <f t="array" ref="K845">IF(D845="Gadget",_xlfn.IFS(I845&gt;=0.2,0.5,I845&gt;=0.1,0.35,I845&gt;=0.05,0.2,TRUE,0),IF(D845="Grenade",_xlfn.IFS(I845&gt;=0.2,1,I845&gt;=0.1,0.7,I845&gt;=0.05,0.4,TRUE,0),0))</f>
        <v>0</v>
      </c>
      <c r="L845" s="57">
        <f t="shared" si="197"/>
        <v>0</v>
      </c>
    </row>
    <row r="846" spans="1:12" x14ac:dyDescent="0.25">
      <c r="A846" s="42" t="str" cm="1">
        <f t="array" ref="A846">IFERROR(INDEX(_xlfn._xlws.FILTER(Class_Players!A:A,Class_Players!B:B="Engineer"),QUOTIENT(ROW()-ROW($A$2),12)+1),"")</f>
        <v>NNJAkingbob</v>
      </c>
      <c r="B846" s="42" t="str">
        <f>_xlfn.XLOOKUP(A846,Class_Players!$A:$A,Class_Players!$B:$B,"")</f>
        <v>Engineer</v>
      </c>
      <c r="C846" s="42" t="str" cm="1">
        <f t="array" ref="C846">INDEX(Lookups!$B$2:$B$13,MOD(ROW()-ROW($B$2),ROWS(Lookups!$B$2:$B$13))+1)</f>
        <v>M136 AT (Aim-Guided Launcher)</v>
      </c>
      <c r="D846" s="38" t="str">
        <f>_xlfn.XLOOKUP(C846,Analysis_Gadgets!$C:$C,Analysis_Gadgets!$B:$B)</f>
        <v>Gadget</v>
      </c>
      <c r="E846" s="43">
        <v>6</v>
      </c>
      <c r="F846" s="43">
        <f>_xlfn.XLOOKUP(A846,Class_Players!A:A,Class_Players!G:G)</f>
        <v>182</v>
      </c>
      <c r="G846" s="43">
        <f t="shared" si="194"/>
        <v>3.2967032967032968E-2</v>
      </c>
      <c r="H846" s="43">
        <f>_xlfn.XLOOKUP(A846,Class_Players!$A:$A,Class_Players!$F:$F,"")</f>
        <v>7615</v>
      </c>
      <c r="I846" s="44">
        <f t="shared" si="195"/>
        <v>7.8791858174655281E-4</v>
      </c>
      <c r="J846" s="43">
        <f t="shared" si="196"/>
        <v>0</v>
      </c>
      <c r="K846" s="44" cm="1">
        <f t="array" ref="K846">IF(D846="Gadget",_xlfn.IFS(I846&gt;=0.2,0.5,I846&gt;=0.1,0.35,I846&gt;=0.05,0.2,TRUE,0),IF(D846="Grenade",_xlfn.IFS(I846&gt;=0.2,1,I846&gt;=0.1,0.7,I846&gt;=0.05,0.4,TRUE,0),0))</f>
        <v>0</v>
      </c>
      <c r="L846" s="57">
        <f t="shared" si="197"/>
        <v>0</v>
      </c>
    </row>
    <row r="847" spans="1:12" x14ac:dyDescent="0.25">
      <c r="A847" s="42" t="str" cm="1">
        <f t="array" ref="A847">IFERROR(INDEX(_xlfn._xlws.FILTER(Class_Players!A:A,Class_Players!B:B="Engineer"),QUOTIENT(ROW()-ROW($A$2),12)+1),"")</f>
        <v>NNJAkingbob</v>
      </c>
      <c r="B847" s="42" t="str">
        <f>_xlfn.XLOOKUP(A847,Class_Players!$A:$A,Class_Players!$B:$B,"")</f>
        <v>Engineer</v>
      </c>
      <c r="C847" s="42" t="str" cm="1">
        <f t="array" ref="C847">INDEX(Lookups!$B$2:$B$13,MOD(ROW()-ROW($B$2),ROWS(Lookups!$B$2:$B$13))+1)</f>
        <v>Supply Crate</v>
      </c>
      <c r="D847" s="38" t="str">
        <f>_xlfn.XLOOKUP(C847,Analysis_Gadgets!$C:$C,Analysis_Gadgets!$B:$B)</f>
        <v>Gadget</v>
      </c>
      <c r="E847" s="43">
        <v>7</v>
      </c>
      <c r="F847" s="43">
        <f>_xlfn.XLOOKUP(A847,Class_Players!A:A,Class_Players!G:G)</f>
        <v>182</v>
      </c>
      <c r="G847" s="43">
        <f t="shared" si="194"/>
        <v>3.8461538461538464E-2</v>
      </c>
      <c r="H847" s="43">
        <f>_xlfn.XLOOKUP(A847,Class_Players!$A:$A,Class_Players!$F:$F,"")</f>
        <v>7615</v>
      </c>
      <c r="I847" s="44">
        <f t="shared" si="195"/>
        <v>9.192383453709783E-4</v>
      </c>
      <c r="J847" s="43">
        <f t="shared" si="196"/>
        <v>0</v>
      </c>
      <c r="K847" s="44" cm="1">
        <f t="array" ref="K847">IF(D847="Gadget",_xlfn.IFS(I847&gt;=0.2,0.5,I847&gt;=0.1,0.35,I847&gt;=0.05,0.2,TRUE,0),IF(D847="Grenade",_xlfn.IFS(I847&gt;=0.2,1,I847&gt;=0.1,0.7,I847&gt;=0.05,0.4,TRUE,0),0))</f>
        <v>0</v>
      </c>
      <c r="L847" s="57">
        <f t="shared" si="197"/>
        <v>0</v>
      </c>
    </row>
    <row r="848" spans="1:12" x14ac:dyDescent="0.25">
      <c r="A848" s="42" t="str" cm="1">
        <f t="array" ref="A848">IFERROR(INDEX(_xlfn._xlws.FILTER(Class_Players!A:A,Class_Players!B:B="Engineer"),QUOTIENT(ROW()-ROW($A$2),12)+1),"")</f>
        <v>NNJAkingbob</v>
      </c>
      <c r="B848" s="42" t="str">
        <f>_xlfn.XLOOKUP(A848,Class_Players!$A:$A,Class_Players!$B:$B,"")</f>
        <v>Engineer</v>
      </c>
      <c r="C848" s="42" t="str" cm="1">
        <f t="array" ref="C848">INDEX(Lookups!$B$2:$B$13,MOD(ROW()-ROW($B$2),ROWS(Lookups!$B$2:$B$13))+1)</f>
        <v>M15 (Anti-Vehicle Mine)</v>
      </c>
      <c r="D848" s="38" t="str">
        <f>_xlfn.XLOOKUP(C848,Analysis_Gadgets!$C:$C,Analysis_Gadgets!$B:$B)</f>
        <v>Gadget</v>
      </c>
      <c r="E848" s="43">
        <v>218</v>
      </c>
      <c r="F848" s="43">
        <f>_xlfn.XLOOKUP(A848,Class_Players!A:A,Class_Players!G:G)</f>
        <v>182</v>
      </c>
      <c r="G848" s="43">
        <f t="shared" si="194"/>
        <v>1.1978021978021978</v>
      </c>
      <c r="H848" s="43">
        <f>_xlfn.XLOOKUP(A848,Class_Players!$A:$A,Class_Players!$F:$F,"")</f>
        <v>7615</v>
      </c>
      <c r="I848" s="44">
        <f t="shared" si="195"/>
        <v>2.8627708470124753E-2</v>
      </c>
      <c r="J848" s="43">
        <f t="shared" si="196"/>
        <v>0</v>
      </c>
      <c r="K848" s="44" cm="1">
        <f t="array" ref="K848">IF(D848="Gadget",_xlfn.IFS(I848&gt;=0.2,0.5,I848&gt;=0.1,0.35,I848&gt;=0.05,0.2,TRUE,0),IF(D848="Grenade",_xlfn.IFS(I848&gt;=0.2,1,I848&gt;=0.1,0.7,I848&gt;=0.05,0.4,TRUE,0),0))</f>
        <v>0</v>
      </c>
      <c r="L848" s="57">
        <f t="shared" si="197"/>
        <v>0</v>
      </c>
    </row>
    <row r="849" spans="1:12" x14ac:dyDescent="0.25">
      <c r="A849" s="42" t="str" cm="1">
        <f t="array" ref="A849">IFERROR(INDEX(_xlfn._xlws.FILTER(Class_Players!A:A,Class_Players!B:B="Engineer"),QUOTIENT(ROW()-ROW($A$2),12)+1),"")</f>
        <v>NNJAkingbob</v>
      </c>
      <c r="B849" s="42" t="str">
        <f>_xlfn.XLOOKUP(A849,Class_Players!$A:$A,Class_Players!$B:$B,"")</f>
        <v>Engineer</v>
      </c>
      <c r="C849" s="42" t="str" cm="1">
        <f t="array" ref="C849">INDEX(Lookups!$B$2:$B$13,MOD(ROW()-ROW($B$2),ROWS(Lookups!$B$2:$B$13))+1)</f>
        <v>PTKM-1R (Acoustic Sensor AV Mine)</v>
      </c>
      <c r="D849" s="38" t="str">
        <f>_xlfn.XLOOKUP(C849,Analysis_Gadgets!$C:$C,Analysis_Gadgets!$B:$B)</f>
        <v>Gadget</v>
      </c>
      <c r="E849" s="43">
        <v>4106</v>
      </c>
      <c r="F849" s="43">
        <f>_xlfn.XLOOKUP(A849,Class_Players!A:A,Class_Players!G:G)</f>
        <v>182</v>
      </c>
      <c r="G849" s="43">
        <f t="shared" si="194"/>
        <v>22.560439560439562</v>
      </c>
      <c r="H849" s="43">
        <f>_xlfn.XLOOKUP(A849,Class_Players!$A:$A,Class_Players!$F:$F,"")</f>
        <v>7615</v>
      </c>
      <c r="I849" s="44">
        <f t="shared" si="195"/>
        <v>0.53919894944189095</v>
      </c>
      <c r="J849" s="43">
        <f t="shared" si="196"/>
        <v>1</v>
      </c>
      <c r="K849" s="44" cm="1">
        <f t="array" ref="K849">IF(D849="Gadget",_xlfn.IFS(I849&gt;=0.2,0.5,I849&gt;=0.1,0.35,I849&gt;=0.05,0.2,TRUE,0),IF(D849="Grenade",_xlfn.IFS(I849&gt;=0.2,1,I849&gt;=0.1,0.7,I849&gt;=0.05,0.4,TRUE,0),0))</f>
        <v>0.5</v>
      </c>
      <c r="L849" s="57">
        <f t="shared" si="197"/>
        <v>0.5</v>
      </c>
    </row>
    <row r="850" spans="1:12" x14ac:dyDescent="0.25">
      <c r="A850" s="42" t="str" cm="1">
        <f t="array" ref="A850">IFERROR(INDEX(_xlfn._xlws.FILTER(Class_Players!A:A,Class_Players!B:B="Engineer"),QUOTIENT(ROW()-ROW($A$2),12)+1),"")</f>
        <v>NNJAkingbob</v>
      </c>
      <c r="B850" s="42" t="str">
        <f>_xlfn.XLOOKUP(A850,Class_Players!$A:$A,Class_Players!$B:$B,"")</f>
        <v>Engineer</v>
      </c>
      <c r="C850" s="42" t="str" cm="1">
        <f t="array" ref="C850">INDEX(Lookups!$B$2:$B$13,MOD(ROW()-ROW($B$2),ROWS(Lookups!$B$2:$B$13))+1)</f>
        <v>EOD Bot</v>
      </c>
      <c r="D850" s="38" t="str">
        <f>_xlfn.XLOOKUP(C850,Analysis_Gadgets!$C:$C,Analysis_Gadgets!$B:$B)</f>
        <v>Gadget</v>
      </c>
      <c r="E850" s="43">
        <v>30</v>
      </c>
      <c r="F850" s="43">
        <f>_xlfn.XLOOKUP(A850,Class_Players!A:A,Class_Players!G:G)</f>
        <v>182</v>
      </c>
      <c r="G850" s="43">
        <f t="shared" si="194"/>
        <v>0.16483516483516483</v>
      </c>
      <c r="H850" s="43">
        <f>_xlfn.XLOOKUP(A850,Class_Players!$A:$A,Class_Players!$F:$F,"")</f>
        <v>7615</v>
      </c>
      <c r="I850" s="44">
        <f t="shared" si="195"/>
        <v>3.939592908732764E-3</v>
      </c>
      <c r="J850" s="43">
        <f t="shared" si="196"/>
        <v>0</v>
      </c>
      <c r="K850" s="44" cm="1">
        <f t="array" ref="K850">IF(D850="Gadget",_xlfn.IFS(I850&gt;=0.2,0.5,I850&gt;=0.1,0.35,I850&gt;=0.05,0.2,TRUE,0),IF(D850="Grenade",_xlfn.IFS(I850&gt;=0.2,1,I850&gt;=0.1,0.7,I850&gt;=0.05,0.4,TRUE,0),0))</f>
        <v>0</v>
      </c>
      <c r="L850" s="57">
        <f t="shared" si="197"/>
        <v>0</v>
      </c>
    </row>
    <row r="851" spans="1:12" x14ac:dyDescent="0.25">
      <c r="A851" s="42" t="str" cm="1">
        <f t="array" ref="A851">IFERROR(INDEX(_xlfn._xlws.FILTER(Class_Players!A:A,Class_Players!B:B="Engineer"),QUOTIENT(ROW()-ROW($A$2),12)+1),"")</f>
        <v>NNJAkingbob</v>
      </c>
      <c r="B851" s="42" t="str">
        <f>_xlfn.XLOOKUP(A851,Class_Players!$A:$A,Class_Players!$B:$B,"")</f>
        <v>Engineer</v>
      </c>
      <c r="C851" s="42" t="str" cm="1">
        <f t="array" ref="C851">INDEX(Lookups!$B$2:$B$13,MOD(ROW()-ROW($B$2),ROWS(Lookups!$B$2:$B$13))+1)</f>
        <v>M4A1 SLAM (Tripwire Sensor AV Mine)</v>
      </c>
      <c r="D851" s="38" t="str">
        <f>_xlfn.XLOOKUP(C851,Analysis_Gadgets!$C:$C,Analysis_Gadgets!$B:$B)</f>
        <v>Gadget</v>
      </c>
      <c r="E851" s="43">
        <v>90</v>
      </c>
      <c r="F851" s="43">
        <f>_xlfn.XLOOKUP(A851,Class_Players!A:A,Class_Players!G:G)</f>
        <v>182</v>
      </c>
      <c r="G851" s="43">
        <f t="shared" si="194"/>
        <v>0.49450549450549453</v>
      </c>
      <c r="H851" s="43">
        <f>_xlfn.XLOOKUP(A851,Class_Players!$A:$A,Class_Players!$F:$F,"")</f>
        <v>7615</v>
      </c>
      <c r="I851" s="44">
        <f t="shared" si="195"/>
        <v>1.1818778726198293E-2</v>
      </c>
      <c r="J851" s="43">
        <f t="shared" si="196"/>
        <v>0</v>
      </c>
      <c r="K851" s="44" cm="1">
        <f t="array" ref="K851">IF(D851="Gadget",_xlfn.IFS(I851&gt;=0.2,0.5,I851&gt;=0.1,0.35,I851&gt;=0.05,0.2,TRUE,0),IF(D851="Grenade",_xlfn.IFS(I851&gt;=0.2,1,I851&gt;=0.1,0.7,I851&gt;=0.05,0.4,TRUE,0),0))</f>
        <v>0</v>
      </c>
      <c r="L851" s="57">
        <f t="shared" si="197"/>
        <v>0</v>
      </c>
    </row>
    <row r="852" spans="1:12" x14ac:dyDescent="0.25">
      <c r="A852" s="42" t="str" cm="1">
        <f t="array" ref="A852">IFERROR(INDEX(_xlfn._xlws.FILTER(Class_Players!A:A,Class_Players!B:B="Engineer"),QUOTIENT(ROW()-ROW($A$2),12)+1),"")</f>
        <v>NNJAkingbob</v>
      </c>
      <c r="B852" s="42" t="str">
        <f>_xlfn.XLOOKUP(A852,Class_Players!$A:$A,Class_Players!$B:$B,"")</f>
        <v>Engineer</v>
      </c>
      <c r="C852" s="42" t="str" cm="1">
        <f t="array" ref="C852">INDEX(Lookups!$B$2:$B$13,MOD(ROW()-ROW($B$2),ROWS(Lookups!$B$2:$B$13))+1)</f>
        <v>Mini Frag Grenade</v>
      </c>
      <c r="D852" s="38" t="str">
        <f>_xlfn.XLOOKUP(C852,Analysis_Gadgets!$C:$C,Analysis_Gadgets!$B:$B)</f>
        <v>Grenade</v>
      </c>
      <c r="E852" s="43">
        <v>0</v>
      </c>
      <c r="F852" s="43">
        <f>_xlfn.XLOOKUP(A852,Class_Players!A:A,Class_Players!G:G)</f>
        <v>182</v>
      </c>
      <c r="G852" s="43">
        <f t="shared" si="194"/>
        <v>0</v>
      </c>
      <c r="H852" s="43">
        <f>_xlfn.XLOOKUP(A852,Class_Players!$A:$A,Class_Players!$F:$F,"")</f>
        <v>7615</v>
      </c>
      <c r="I852" s="44">
        <f t="shared" si="195"/>
        <v>0</v>
      </c>
      <c r="J852" s="43">
        <f t="shared" si="196"/>
        <v>0</v>
      </c>
      <c r="K852" s="44" cm="1">
        <f t="array" ref="K852">IF(D852="Gadget",_xlfn.IFS(I852&gt;=0.2,0.5,I852&gt;=0.1,0.35,I852&gt;=0.05,0.2,TRUE,0),IF(D852="Grenade",_xlfn.IFS(I852&gt;=0.2,1,I852&gt;=0.1,0.7,I852&gt;=0.05,0.4,TRUE,0),0))</f>
        <v>0</v>
      </c>
      <c r="L852" s="57">
        <f t="shared" ref="L852:L853" si="198">IF($K852=0,0,$K852 / SUMIFS($K:$K,$A:$A,$A852,$D:$D,"Grenade"))</f>
        <v>0</v>
      </c>
    </row>
    <row r="853" spans="1:12" x14ac:dyDescent="0.25">
      <c r="A853" s="42" t="str" cm="1">
        <f t="array" ref="A853">IFERROR(INDEX(_xlfn._xlws.FILTER(Class_Players!A:A,Class_Players!B:B="Engineer"),QUOTIENT(ROW()-ROW($A$2),12)+1),"")</f>
        <v>NNJAkingbob</v>
      </c>
      <c r="B853" s="42" t="str">
        <f>_xlfn.XLOOKUP(A853,Class_Players!$A:$A,Class_Players!$B:$B,"")</f>
        <v>Engineer</v>
      </c>
      <c r="C853" s="42" t="str" cm="1">
        <f t="array" ref="C853">INDEX(Lookups!$B$2:$B$13,MOD(ROW()-ROW($B$2),ROWS(Lookups!$B$2:$B$13))+1)</f>
        <v>Anti-Vehicle Grenade</v>
      </c>
      <c r="D853" s="38" t="str">
        <f>_xlfn.XLOOKUP(C853,Analysis_Gadgets!$C:$C,Analysis_Gadgets!$B:$B)</f>
        <v>Grenade</v>
      </c>
      <c r="E853" s="43">
        <v>0</v>
      </c>
      <c r="F853" s="43">
        <f>_xlfn.XLOOKUP(A853,Class_Players!A:A,Class_Players!G:G)</f>
        <v>182</v>
      </c>
      <c r="G853" s="43">
        <f t="shared" si="194"/>
        <v>0</v>
      </c>
      <c r="H853" s="43">
        <f>_xlfn.XLOOKUP(A853,Class_Players!$A:$A,Class_Players!$F:$F,"")</f>
        <v>7615</v>
      </c>
      <c r="I853" s="44">
        <f t="shared" si="195"/>
        <v>0</v>
      </c>
      <c r="J853" s="43">
        <f t="shared" si="196"/>
        <v>0</v>
      </c>
      <c r="K853" s="44" cm="1">
        <f t="array" ref="K853">IF(D853="Gadget",_xlfn.IFS(I853&gt;=0.2,0.5,I853&gt;=0.1,0.35,I853&gt;=0.05,0.2,TRUE,0),IF(D853="Grenade",_xlfn.IFS(I853&gt;=0.2,1,I853&gt;=0.1,0.7,I853&gt;=0.05,0.4,TRUE,0),0))</f>
        <v>0</v>
      </c>
      <c r="L853" s="57">
        <f t="shared" si="198"/>
        <v>0</v>
      </c>
    </row>
    <row r="854" spans="1:12" x14ac:dyDescent="0.25">
      <c r="A854" s="42" t="str" cm="1">
        <f t="array" ref="A854">IFERROR(INDEX(_xlfn._xlws.FILTER(Class_Players!A:A,Class_Players!B:B="Engineer"),QUOTIENT(ROW()-ROW($A$2),12)+1),"")</f>
        <v>GuyutesGhost</v>
      </c>
      <c r="B854" s="42" t="str">
        <f>_xlfn.XLOOKUP(A854,Class_Players!$A:$A,Class_Players!$B:$B,"")</f>
        <v>Engineer</v>
      </c>
      <c r="C854" s="42" t="str" cm="1">
        <f t="array" ref="C854">INDEX(Lookups!$B$2:$B$13,MOD(ROW()-ROW($B$2),ROWS(Lookups!$B$2:$B$13))+1)</f>
        <v>MBT-LAW (Auto-Guided Launcher)</v>
      </c>
      <c r="D854" s="38" t="str">
        <f>_xlfn.XLOOKUP(C854,Analysis_Gadgets!$C:$C,Analysis_Gadgets!$B:$B)</f>
        <v>Gadget</v>
      </c>
      <c r="E854" s="43">
        <v>0</v>
      </c>
      <c r="F854" s="43">
        <f>_xlfn.XLOOKUP(A854,Class_Players!A:A,Class_Players!G:G)</f>
        <v>197</v>
      </c>
      <c r="G854" s="43">
        <f t="shared" si="194"/>
        <v>0</v>
      </c>
      <c r="H854" s="43">
        <f>_xlfn.XLOOKUP(A854,Class_Players!$A:$A,Class_Players!$F:$F,"")</f>
        <v>8704</v>
      </c>
      <c r="I854" s="44">
        <f t="shared" si="195"/>
        <v>0</v>
      </c>
      <c r="J854" s="43">
        <f t="shared" si="196"/>
        <v>0</v>
      </c>
      <c r="K854" s="44" cm="1">
        <f t="array" ref="K854">IF(D854="Gadget",_xlfn.IFS(I854&gt;=0.2,0.5,I854&gt;=0.1,0.35,I854&gt;=0.05,0.2,TRUE,0),IF(D854="Grenade",_xlfn.IFS(I854&gt;=0.2,1,I854&gt;=0.1,0.7,I854&gt;=0.05,0.4,TRUE,0),0))</f>
        <v>0</v>
      </c>
      <c r="L854" s="57">
        <f t="shared" ref="L854:L863" si="199">IF($K854=0,0,$K854 / SUMIFS($K:$K,$A:$A,$A854,$D:$D,"Gadget"))</f>
        <v>0</v>
      </c>
    </row>
    <row r="855" spans="1:12" x14ac:dyDescent="0.25">
      <c r="A855" s="42" t="str" cm="1">
        <f t="array" ref="A855">IFERROR(INDEX(_xlfn._xlws.FILTER(Class_Players!A:A,Class_Players!B:B="Engineer"),QUOTIENT(ROW()-ROW($A$2),12)+1),"")</f>
        <v>GuyutesGhost</v>
      </c>
      <c r="B855" s="42" t="str">
        <f>_xlfn.XLOOKUP(A855,Class_Players!$A:$A,Class_Players!$B:$B,"")</f>
        <v>Engineer</v>
      </c>
      <c r="C855" s="42" t="str" cm="1">
        <f t="array" ref="C855">INDEX(Lookups!$B$2:$B$13,MOD(ROW()-ROW($B$2),ROWS(Lookups!$B$2:$B$13))+1)</f>
        <v>SLM-93A (Air-Defense Launcher)</v>
      </c>
      <c r="D855" s="38" t="str">
        <f>_xlfn.XLOOKUP(C855,Analysis_Gadgets!$C:$C,Analysis_Gadgets!$B:$B)</f>
        <v>Gadget</v>
      </c>
      <c r="E855" s="43">
        <v>0</v>
      </c>
      <c r="F855" s="43">
        <f>_xlfn.XLOOKUP(A855,Class_Players!A:A,Class_Players!G:G)</f>
        <v>197</v>
      </c>
      <c r="G855" s="43">
        <f t="shared" si="194"/>
        <v>0</v>
      </c>
      <c r="H855" s="43">
        <f>_xlfn.XLOOKUP(A855,Class_Players!$A:$A,Class_Players!$F:$F,"")</f>
        <v>8704</v>
      </c>
      <c r="I855" s="44">
        <f t="shared" si="195"/>
        <v>0</v>
      </c>
      <c r="J855" s="43">
        <f t="shared" si="196"/>
        <v>0</v>
      </c>
      <c r="K855" s="44" cm="1">
        <f t="array" ref="K855">IF(D855="Gadget",_xlfn.IFS(I855&gt;=0.2,0.5,I855&gt;=0.1,0.35,I855&gt;=0.05,0.2,TRUE,0),IF(D855="Grenade",_xlfn.IFS(I855&gt;=0.2,1,I855&gt;=0.1,0.7,I855&gt;=0.05,0.4,TRUE,0),0))</f>
        <v>0</v>
      </c>
      <c r="L855" s="57">
        <f t="shared" si="199"/>
        <v>0</v>
      </c>
    </row>
    <row r="856" spans="1:12" x14ac:dyDescent="0.25">
      <c r="A856" s="42" t="str" cm="1">
        <f t="array" ref="A856">IFERROR(INDEX(_xlfn._xlws.FILTER(Class_Players!A:A,Class_Players!B:B="Engineer"),QUOTIENT(ROW()-ROW($A$2),12)+1),"")</f>
        <v>GuyutesGhost</v>
      </c>
      <c r="B856" s="42" t="str">
        <f>_xlfn.XLOOKUP(A856,Class_Players!$A:$A,Class_Players!$B:$B,"")</f>
        <v>Engineer</v>
      </c>
      <c r="C856" s="42" t="str" cm="1">
        <f t="array" ref="C856">INDEX(Lookups!$B$2:$B$13,MOD(ROW()-ROW($B$2),ROWS(Lookups!$B$2:$B$13))+1)</f>
        <v>RPG-7V2 (Unguided Rocket Launcher)</v>
      </c>
      <c r="D856" s="38" t="str">
        <f>_xlfn.XLOOKUP(C856,Analysis_Gadgets!$C:$C,Analysis_Gadgets!$B:$B)</f>
        <v>Gadget</v>
      </c>
      <c r="E856" s="43">
        <v>7243</v>
      </c>
      <c r="F856" s="43">
        <f>_xlfn.XLOOKUP(A856,Class_Players!A:A,Class_Players!G:G)</f>
        <v>197</v>
      </c>
      <c r="G856" s="43">
        <f t="shared" si="194"/>
        <v>36.766497461928935</v>
      </c>
      <c r="H856" s="43">
        <f>_xlfn.XLOOKUP(A856,Class_Players!$A:$A,Class_Players!$F:$F,"")</f>
        <v>8704</v>
      </c>
      <c r="I856" s="44">
        <f t="shared" si="195"/>
        <v>0.83214613970588236</v>
      </c>
      <c r="J856" s="43">
        <f t="shared" si="196"/>
        <v>1</v>
      </c>
      <c r="K856" s="44" cm="1">
        <f t="array" ref="K856">IF(D856="Gadget",_xlfn.IFS(I856&gt;=0.2,0.5,I856&gt;=0.1,0.35,I856&gt;=0.05,0.2,TRUE,0),IF(D856="Grenade",_xlfn.IFS(I856&gt;=0.2,1,I856&gt;=0.1,0.7,I856&gt;=0.05,0.4,TRUE,0),0))</f>
        <v>0.5</v>
      </c>
      <c r="L856" s="57">
        <f t="shared" si="199"/>
        <v>1</v>
      </c>
    </row>
    <row r="857" spans="1:12" x14ac:dyDescent="0.25">
      <c r="A857" s="42" t="str" cm="1">
        <f t="array" ref="A857">IFERROR(INDEX(_xlfn._xlws.FILTER(Class_Players!A:A,Class_Players!B:B="Engineer"),QUOTIENT(ROW()-ROW($A$2),12)+1),"")</f>
        <v>GuyutesGhost</v>
      </c>
      <c r="B857" s="42" t="str">
        <f>_xlfn.XLOOKUP(A857,Class_Players!$A:$A,Class_Players!$B:$B,"")</f>
        <v>Engineer</v>
      </c>
      <c r="C857" s="42" t="str" cm="1">
        <f t="array" ref="C857">INDEX(Lookups!$B$2:$B$13,MOD(ROW()-ROW($B$2),ROWS(Lookups!$B$2:$B$13))+1)</f>
        <v>MAS 148 (Long-Range Launcher)</v>
      </c>
      <c r="D857" s="38" t="str">
        <f>_xlfn.XLOOKUP(C857,Analysis_Gadgets!$C:$C,Analysis_Gadgets!$B:$B)</f>
        <v>Gadget</v>
      </c>
      <c r="E857" s="43">
        <v>0</v>
      </c>
      <c r="F857" s="43">
        <f>_xlfn.XLOOKUP(A857,Class_Players!A:A,Class_Players!G:G)</f>
        <v>197</v>
      </c>
      <c r="G857" s="43">
        <f t="shared" si="194"/>
        <v>0</v>
      </c>
      <c r="H857" s="43">
        <f>_xlfn.XLOOKUP(A857,Class_Players!$A:$A,Class_Players!$F:$F,"")</f>
        <v>8704</v>
      </c>
      <c r="I857" s="44">
        <f t="shared" si="195"/>
        <v>0</v>
      </c>
      <c r="J857" s="43">
        <f t="shared" si="196"/>
        <v>0</v>
      </c>
      <c r="K857" s="44" cm="1">
        <f t="array" ref="K857">IF(D857="Gadget",_xlfn.IFS(I857&gt;=0.2,0.5,I857&gt;=0.1,0.35,I857&gt;=0.05,0.2,TRUE,0),IF(D857="Grenade",_xlfn.IFS(I857&gt;=0.2,1,I857&gt;=0.1,0.7,I857&gt;=0.05,0.4,TRUE,0),0))</f>
        <v>0</v>
      </c>
      <c r="L857" s="57">
        <f t="shared" si="199"/>
        <v>0</v>
      </c>
    </row>
    <row r="858" spans="1:12" x14ac:dyDescent="0.25">
      <c r="A858" s="42" t="str" cm="1">
        <f t="array" ref="A858">IFERROR(INDEX(_xlfn._xlws.FILTER(Class_Players!A:A,Class_Players!B:B="Engineer"),QUOTIENT(ROW()-ROW($A$2),12)+1),"")</f>
        <v>GuyutesGhost</v>
      </c>
      <c r="B858" s="42" t="str">
        <f>_xlfn.XLOOKUP(A858,Class_Players!$A:$A,Class_Players!$B:$B,"")</f>
        <v>Engineer</v>
      </c>
      <c r="C858" s="42" t="str" cm="1">
        <f t="array" ref="C858">INDEX(Lookups!$B$2:$B$13,MOD(ROW()-ROW($B$2),ROWS(Lookups!$B$2:$B$13))+1)</f>
        <v>M136 AT (Aim-Guided Launcher)</v>
      </c>
      <c r="D858" s="38" t="str">
        <f>_xlfn.XLOOKUP(C858,Analysis_Gadgets!$C:$C,Analysis_Gadgets!$B:$B)</f>
        <v>Gadget</v>
      </c>
      <c r="E858" s="43">
        <v>0</v>
      </c>
      <c r="F858" s="43">
        <f>_xlfn.XLOOKUP(A858,Class_Players!A:A,Class_Players!G:G)</f>
        <v>197</v>
      </c>
      <c r="G858" s="43">
        <f t="shared" si="194"/>
        <v>0</v>
      </c>
      <c r="H858" s="43">
        <f>_xlfn.XLOOKUP(A858,Class_Players!$A:$A,Class_Players!$F:$F,"")</f>
        <v>8704</v>
      </c>
      <c r="I858" s="44">
        <f t="shared" si="195"/>
        <v>0</v>
      </c>
      <c r="J858" s="43">
        <f t="shared" si="196"/>
        <v>0</v>
      </c>
      <c r="K858" s="44" cm="1">
        <f t="array" ref="K858">IF(D858="Gadget",_xlfn.IFS(I858&gt;=0.2,0.5,I858&gt;=0.1,0.35,I858&gt;=0.05,0.2,TRUE,0),IF(D858="Grenade",_xlfn.IFS(I858&gt;=0.2,1,I858&gt;=0.1,0.7,I858&gt;=0.05,0.4,TRUE,0),0))</f>
        <v>0</v>
      </c>
      <c r="L858" s="57">
        <f t="shared" si="199"/>
        <v>0</v>
      </c>
    </row>
    <row r="859" spans="1:12" x14ac:dyDescent="0.25">
      <c r="A859" s="42" t="str" cm="1">
        <f t="array" ref="A859">IFERROR(INDEX(_xlfn._xlws.FILTER(Class_Players!A:A,Class_Players!B:B="Engineer"),QUOTIENT(ROW()-ROW($A$2),12)+1),"")</f>
        <v>GuyutesGhost</v>
      </c>
      <c r="B859" s="42" t="str">
        <f>_xlfn.XLOOKUP(A859,Class_Players!$A:$A,Class_Players!$B:$B,"")</f>
        <v>Engineer</v>
      </c>
      <c r="C859" s="42" t="str" cm="1">
        <f t="array" ref="C859">INDEX(Lookups!$B$2:$B$13,MOD(ROW()-ROW($B$2),ROWS(Lookups!$B$2:$B$13))+1)</f>
        <v>Supply Crate</v>
      </c>
      <c r="D859" s="38" t="str">
        <f>_xlfn.XLOOKUP(C859,Analysis_Gadgets!$C:$C,Analysis_Gadgets!$B:$B)</f>
        <v>Gadget</v>
      </c>
      <c r="E859" s="43">
        <v>0</v>
      </c>
      <c r="F859" s="43">
        <f>_xlfn.XLOOKUP(A859,Class_Players!A:A,Class_Players!G:G)</f>
        <v>197</v>
      </c>
      <c r="G859" s="43">
        <f t="shared" si="194"/>
        <v>0</v>
      </c>
      <c r="H859" s="43">
        <f>_xlfn.XLOOKUP(A859,Class_Players!$A:$A,Class_Players!$F:$F,"")</f>
        <v>8704</v>
      </c>
      <c r="I859" s="44">
        <f t="shared" si="195"/>
        <v>0</v>
      </c>
      <c r="J859" s="43">
        <f t="shared" si="196"/>
        <v>0</v>
      </c>
      <c r="K859" s="44" cm="1">
        <f t="array" ref="K859">IF(D859="Gadget",_xlfn.IFS(I859&gt;=0.2,0.5,I859&gt;=0.1,0.35,I859&gt;=0.05,0.2,TRUE,0),IF(D859="Grenade",_xlfn.IFS(I859&gt;=0.2,1,I859&gt;=0.1,0.7,I859&gt;=0.05,0.4,TRUE,0),0))</f>
        <v>0</v>
      </c>
      <c r="L859" s="57">
        <f t="shared" si="199"/>
        <v>0</v>
      </c>
    </row>
    <row r="860" spans="1:12" x14ac:dyDescent="0.25">
      <c r="A860" s="42" t="str" cm="1">
        <f t="array" ref="A860">IFERROR(INDEX(_xlfn._xlws.FILTER(Class_Players!A:A,Class_Players!B:B="Engineer"),QUOTIENT(ROW()-ROW($A$2),12)+1),"")</f>
        <v>GuyutesGhost</v>
      </c>
      <c r="B860" s="42" t="str">
        <f>_xlfn.XLOOKUP(A860,Class_Players!$A:$A,Class_Players!$B:$B,"")</f>
        <v>Engineer</v>
      </c>
      <c r="C860" s="42" t="str" cm="1">
        <f t="array" ref="C860">INDEX(Lookups!$B$2:$B$13,MOD(ROW()-ROW($B$2),ROWS(Lookups!$B$2:$B$13))+1)</f>
        <v>M15 (Anti-Vehicle Mine)</v>
      </c>
      <c r="D860" s="38" t="str">
        <f>_xlfn.XLOOKUP(C860,Analysis_Gadgets!$C:$C,Analysis_Gadgets!$B:$B)</f>
        <v>Gadget</v>
      </c>
      <c r="E860" s="43">
        <v>115</v>
      </c>
      <c r="F860" s="43">
        <f>_xlfn.XLOOKUP(A860,Class_Players!A:A,Class_Players!G:G)</f>
        <v>197</v>
      </c>
      <c r="G860" s="43">
        <f t="shared" si="194"/>
        <v>0.58375634517766495</v>
      </c>
      <c r="H860" s="43">
        <f>_xlfn.XLOOKUP(A860,Class_Players!$A:$A,Class_Players!$F:$F,"")</f>
        <v>8704</v>
      </c>
      <c r="I860" s="44">
        <f t="shared" si="195"/>
        <v>1.3212316176470588E-2</v>
      </c>
      <c r="J860" s="43">
        <f t="shared" si="196"/>
        <v>0</v>
      </c>
      <c r="K860" s="44" cm="1">
        <f t="array" ref="K860">IF(D860="Gadget",_xlfn.IFS(I860&gt;=0.2,0.5,I860&gt;=0.1,0.35,I860&gt;=0.05,0.2,TRUE,0),IF(D860="Grenade",_xlfn.IFS(I860&gt;=0.2,1,I860&gt;=0.1,0.7,I860&gt;=0.05,0.4,TRUE,0),0))</f>
        <v>0</v>
      </c>
      <c r="L860" s="57">
        <f t="shared" si="199"/>
        <v>0</v>
      </c>
    </row>
    <row r="861" spans="1:12" x14ac:dyDescent="0.25">
      <c r="A861" s="42" t="str" cm="1">
        <f t="array" ref="A861">IFERROR(INDEX(_xlfn._xlws.FILTER(Class_Players!A:A,Class_Players!B:B="Engineer"),QUOTIENT(ROW()-ROW($A$2),12)+1),"")</f>
        <v>GuyutesGhost</v>
      </c>
      <c r="B861" s="42" t="str">
        <f>_xlfn.XLOOKUP(A861,Class_Players!$A:$A,Class_Players!$B:$B,"")</f>
        <v>Engineer</v>
      </c>
      <c r="C861" s="42" t="str" cm="1">
        <f t="array" ref="C861">INDEX(Lookups!$B$2:$B$13,MOD(ROW()-ROW($B$2),ROWS(Lookups!$B$2:$B$13))+1)</f>
        <v>PTKM-1R (Acoustic Sensor AV Mine)</v>
      </c>
      <c r="D861" s="38" t="str">
        <f>_xlfn.XLOOKUP(C861,Analysis_Gadgets!$C:$C,Analysis_Gadgets!$B:$B)</f>
        <v>Gadget</v>
      </c>
      <c r="E861" s="43">
        <v>0</v>
      </c>
      <c r="F861" s="43">
        <f>_xlfn.XLOOKUP(A861,Class_Players!A:A,Class_Players!G:G)</f>
        <v>197</v>
      </c>
      <c r="G861" s="43">
        <f t="shared" si="194"/>
        <v>0</v>
      </c>
      <c r="H861" s="43">
        <f>_xlfn.XLOOKUP(A861,Class_Players!$A:$A,Class_Players!$F:$F,"")</f>
        <v>8704</v>
      </c>
      <c r="I861" s="44">
        <f t="shared" si="195"/>
        <v>0</v>
      </c>
      <c r="J861" s="43">
        <f t="shared" si="196"/>
        <v>0</v>
      </c>
      <c r="K861" s="44" cm="1">
        <f t="array" ref="K861">IF(D861="Gadget",_xlfn.IFS(I861&gt;=0.2,0.5,I861&gt;=0.1,0.35,I861&gt;=0.05,0.2,TRUE,0),IF(D861="Grenade",_xlfn.IFS(I861&gt;=0.2,1,I861&gt;=0.1,0.7,I861&gt;=0.05,0.4,TRUE,0),0))</f>
        <v>0</v>
      </c>
      <c r="L861" s="57">
        <f t="shared" si="199"/>
        <v>0</v>
      </c>
    </row>
    <row r="862" spans="1:12" x14ac:dyDescent="0.25">
      <c r="A862" s="42" t="str" cm="1">
        <f t="array" ref="A862">IFERROR(INDEX(_xlfn._xlws.FILTER(Class_Players!A:A,Class_Players!B:B="Engineer"),QUOTIENT(ROW()-ROW($A$2),12)+1),"")</f>
        <v>GuyutesGhost</v>
      </c>
      <c r="B862" s="42" t="str">
        <f>_xlfn.XLOOKUP(A862,Class_Players!$A:$A,Class_Players!$B:$B,"")</f>
        <v>Engineer</v>
      </c>
      <c r="C862" s="42" t="str" cm="1">
        <f t="array" ref="C862">INDEX(Lookups!$B$2:$B$13,MOD(ROW()-ROW($B$2),ROWS(Lookups!$B$2:$B$13))+1)</f>
        <v>EOD Bot</v>
      </c>
      <c r="D862" s="38" t="str">
        <f>_xlfn.XLOOKUP(C862,Analysis_Gadgets!$C:$C,Analysis_Gadgets!$B:$B)</f>
        <v>Gadget</v>
      </c>
      <c r="E862" s="43">
        <v>0</v>
      </c>
      <c r="F862" s="43">
        <f>_xlfn.XLOOKUP(A862,Class_Players!A:A,Class_Players!G:G)</f>
        <v>197</v>
      </c>
      <c r="G862" s="43">
        <f t="shared" si="194"/>
        <v>0</v>
      </c>
      <c r="H862" s="43">
        <f>_xlfn.XLOOKUP(A862,Class_Players!$A:$A,Class_Players!$F:$F,"")</f>
        <v>8704</v>
      </c>
      <c r="I862" s="44">
        <f t="shared" si="195"/>
        <v>0</v>
      </c>
      <c r="J862" s="43">
        <f t="shared" si="196"/>
        <v>0</v>
      </c>
      <c r="K862" s="44" cm="1">
        <f t="array" ref="K862">IF(D862="Gadget",_xlfn.IFS(I862&gt;=0.2,0.5,I862&gt;=0.1,0.35,I862&gt;=0.05,0.2,TRUE,0),IF(D862="Grenade",_xlfn.IFS(I862&gt;=0.2,1,I862&gt;=0.1,0.7,I862&gt;=0.05,0.4,TRUE,0),0))</f>
        <v>0</v>
      </c>
      <c r="L862" s="57">
        <f t="shared" si="199"/>
        <v>0</v>
      </c>
    </row>
    <row r="863" spans="1:12" x14ac:dyDescent="0.25">
      <c r="A863" s="42" t="str" cm="1">
        <f t="array" ref="A863">IFERROR(INDEX(_xlfn._xlws.FILTER(Class_Players!A:A,Class_Players!B:B="Engineer"),QUOTIENT(ROW()-ROW($A$2),12)+1),"")</f>
        <v>GuyutesGhost</v>
      </c>
      <c r="B863" s="42" t="str">
        <f>_xlfn.XLOOKUP(A863,Class_Players!$A:$A,Class_Players!$B:$B,"")</f>
        <v>Engineer</v>
      </c>
      <c r="C863" s="42" t="str" cm="1">
        <f t="array" ref="C863">INDEX(Lookups!$B$2:$B$13,MOD(ROW()-ROW($B$2),ROWS(Lookups!$B$2:$B$13))+1)</f>
        <v>M4A1 SLAM (Tripwire Sensor AV Mine)</v>
      </c>
      <c r="D863" s="38" t="str">
        <f>_xlfn.XLOOKUP(C863,Analysis_Gadgets!$C:$C,Analysis_Gadgets!$B:$B)</f>
        <v>Gadget</v>
      </c>
      <c r="E863" s="43">
        <v>0</v>
      </c>
      <c r="F863" s="43">
        <f>_xlfn.XLOOKUP(A863,Class_Players!A:A,Class_Players!G:G)</f>
        <v>197</v>
      </c>
      <c r="G863" s="43">
        <f t="shared" si="194"/>
        <v>0</v>
      </c>
      <c r="H863" s="43">
        <f>_xlfn.XLOOKUP(A863,Class_Players!$A:$A,Class_Players!$F:$F,"")</f>
        <v>8704</v>
      </c>
      <c r="I863" s="44">
        <f t="shared" si="195"/>
        <v>0</v>
      </c>
      <c r="J863" s="43">
        <f t="shared" si="196"/>
        <v>0</v>
      </c>
      <c r="K863" s="44" cm="1">
        <f t="array" ref="K863">IF(D863="Gadget",_xlfn.IFS(I863&gt;=0.2,0.5,I863&gt;=0.1,0.35,I863&gt;=0.05,0.2,TRUE,0),IF(D863="Grenade",_xlfn.IFS(I863&gt;=0.2,1,I863&gt;=0.1,0.7,I863&gt;=0.05,0.4,TRUE,0),0))</f>
        <v>0</v>
      </c>
      <c r="L863" s="57">
        <f t="shared" si="199"/>
        <v>0</v>
      </c>
    </row>
    <row r="864" spans="1:12" x14ac:dyDescent="0.25">
      <c r="A864" s="42" t="str" cm="1">
        <f t="array" ref="A864">IFERROR(INDEX(_xlfn._xlws.FILTER(Class_Players!A:A,Class_Players!B:B="Engineer"),QUOTIENT(ROW()-ROW($A$2),12)+1),"")</f>
        <v>GuyutesGhost</v>
      </c>
      <c r="B864" s="42" t="str">
        <f>_xlfn.XLOOKUP(A864,Class_Players!$A:$A,Class_Players!$B:$B,"")</f>
        <v>Engineer</v>
      </c>
      <c r="C864" s="42" t="str" cm="1">
        <f t="array" ref="C864">INDEX(Lookups!$B$2:$B$13,MOD(ROW()-ROW($B$2),ROWS(Lookups!$B$2:$B$13))+1)</f>
        <v>Mini Frag Grenade</v>
      </c>
      <c r="D864" s="38" t="str">
        <f>_xlfn.XLOOKUP(C864,Analysis_Gadgets!$C:$C,Analysis_Gadgets!$B:$B)</f>
        <v>Grenade</v>
      </c>
      <c r="E864" s="43">
        <v>0</v>
      </c>
      <c r="F864" s="43">
        <f>_xlfn.XLOOKUP(A864,Class_Players!A:A,Class_Players!G:G)</f>
        <v>197</v>
      </c>
      <c r="G864" s="43">
        <f t="shared" si="194"/>
        <v>0</v>
      </c>
      <c r="H864" s="43">
        <f>_xlfn.XLOOKUP(A864,Class_Players!$A:$A,Class_Players!$F:$F,"")</f>
        <v>8704</v>
      </c>
      <c r="I864" s="44">
        <f t="shared" si="195"/>
        <v>0</v>
      </c>
      <c r="J864" s="43">
        <f t="shared" si="196"/>
        <v>0</v>
      </c>
      <c r="K864" s="44" cm="1">
        <f t="array" ref="K864">IF(D864="Gadget",_xlfn.IFS(I864&gt;=0.2,0.5,I864&gt;=0.1,0.35,I864&gt;=0.05,0.2,TRUE,0),IF(D864="Grenade",_xlfn.IFS(I864&gt;=0.2,1,I864&gt;=0.1,0.7,I864&gt;=0.05,0.4,TRUE,0),0))</f>
        <v>0</v>
      </c>
      <c r="L864" s="57">
        <f t="shared" ref="L864:L865" si="200">IF($K864=0,0,$K864 / SUMIFS($K:$K,$A:$A,$A864,$D:$D,"Grenade"))</f>
        <v>0</v>
      </c>
    </row>
    <row r="865" spans="1:12" x14ac:dyDescent="0.25">
      <c r="A865" s="42" t="str" cm="1">
        <f t="array" ref="A865">IFERROR(INDEX(_xlfn._xlws.FILTER(Class_Players!A:A,Class_Players!B:B="Engineer"),QUOTIENT(ROW()-ROW($A$2),12)+1),"")</f>
        <v>GuyutesGhost</v>
      </c>
      <c r="B865" s="42" t="str">
        <f>_xlfn.XLOOKUP(A865,Class_Players!$A:$A,Class_Players!$B:$B,"")</f>
        <v>Engineer</v>
      </c>
      <c r="C865" s="42" t="str" cm="1">
        <f t="array" ref="C865">INDEX(Lookups!$B$2:$B$13,MOD(ROW()-ROW($B$2),ROWS(Lookups!$B$2:$B$13))+1)</f>
        <v>Anti-Vehicle Grenade</v>
      </c>
      <c r="D865" s="38" t="str">
        <f>_xlfn.XLOOKUP(C865,Analysis_Gadgets!$C:$C,Analysis_Gadgets!$B:$B)</f>
        <v>Grenade</v>
      </c>
      <c r="E865" s="43">
        <v>0</v>
      </c>
      <c r="F865" s="43">
        <f>_xlfn.XLOOKUP(A865,Class_Players!A:A,Class_Players!G:G)</f>
        <v>197</v>
      </c>
      <c r="G865" s="43">
        <f t="shared" si="194"/>
        <v>0</v>
      </c>
      <c r="H865" s="43">
        <f>_xlfn.XLOOKUP(A865,Class_Players!$A:$A,Class_Players!$F:$F,"")</f>
        <v>8704</v>
      </c>
      <c r="I865" s="44">
        <f t="shared" si="195"/>
        <v>0</v>
      </c>
      <c r="J865" s="43">
        <f t="shared" si="196"/>
        <v>0</v>
      </c>
      <c r="K865" s="44" cm="1">
        <f t="array" ref="K865">IF(D865="Gadget",_xlfn.IFS(I865&gt;=0.2,0.5,I865&gt;=0.1,0.35,I865&gt;=0.05,0.2,TRUE,0),IF(D865="Grenade",_xlfn.IFS(I865&gt;=0.2,1,I865&gt;=0.1,0.7,I865&gt;=0.05,0.4,TRUE,0),0))</f>
        <v>0</v>
      </c>
      <c r="L865" s="57">
        <f t="shared" si="200"/>
        <v>0</v>
      </c>
    </row>
    <row r="866" spans="1:12" x14ac:dyDescent="0.25">
      <c r="A866" s="42" t="str" cm="1">
        <f t="array" ref="A866">IFERROR(INDEX(_xlfn._xlws.FILTER(Class_Players!A:A,Class_Players!B:B="Engineer"),QUOTIENT(ROW()-ROW($A$2),12)+1),"")</f>
        <v>Xiph1</v>
      </c>
      <c r="B866" s="42" t="str">
        <f>_xlfn.XLOOKUP(A866,Class_Players!$A:$A,Class_Players!$B:$B,"")</f>
        <v>Engineer</v>
      </c>
      <c r="C866" s="42" t="str" cm="1">
        <f t="array" ref="C866">INDEX(Lookups!$B$2:$B$13,MOD(ROW()-ROW($B$2),ROWS(Lookups!$B$2:$B$13))+1)</f>
        <v>MBT-LAW (Auto-Guided Launcher)</v>
      </c>
      <c r="D866" s="38" t="str">
        <f>_xlfn.XLOOKUP(C866,Analysis_Gadgets!$C:$C,Analysis_Gadgets!$B:$B)</f>
        <v>Gadget</v>
      </c>
      <c r="E866" s="43">
        <v>0</v>
      </c>
      <c r="F866" s="43">
        <f>_xlfn.XLOOKUP(A866,Class_Players!A:A,Class_Players!G:G)</f>
        <v>234</v>
      </c>
      <c r="G866" s="43">
        <f t="shared" ref="G866:G929" si="201">IF(F866=0,"",E866/(F866))</f>
        <v>0</v>
      </c>
      <c r="H866" s="43">
        <f>_xlfn.XLOOKUP(A866,Class_Players!$A:$A,Class_Players!$F:$F,"")</f>
        <v>7525</v>
      </c>
      <c r="I866" s="44">
        <f t="shared" ref="I866:I929" si="202">IF(H866=0,"",E866/H866)</f>
        <v>0</v>
      </c>
      <c r="J866" s="43">
        <f t="shared" ref="J866:J929" si="203">IF(I866&gt;=0.1,1,0)</f>
        <v>0</v>
      </c>
      <c r="K866" s="44" cm="1">
        <f t="array" ref="K866">IF(D866="Gadget",_xlfn.IFS(I866&gt;=0.2,0.5,I866&gt;=0.1,0.35,I866&gt;=0.05,0.2,TRUE,0),IF(D866="Grenade",_xlfn.IFS(I866&gt;=0.2,1,I866&gt;=0.1,0.7,I866&gt;=0.05,0.4,TRUE,0),0))</f>
        <v>0</v>
      </c>
      <c r="L866" s="57">
        <f t="shared" ref="L866:L875" si="204">IF($K866=0,0,$K866 / SUMIFS($K:$K,$A:$A,$A866,$D:$D,"Gadget"))</f>
        <v>0</v>
      </c>
    </row>
    <row r="867" spans="1:12" x14ac:dyDescent="0.25">
      <c r="A867" s="42" t="str" cm="1">
        <f t="array" ref="A867">IFERROR(INDEX(_xlfn._xlws.FILTER(Class_Players!A:A,Class_Players!B:B="Engineer"),QUOTIENT(ROW()-ROW($A$2),12)+1),"")</f>
        <v>Xiph1</v>
      </c>
      <c r="B867" s="42" t="str">
        <f>_xlfn.XLOOKUP(A867,Class_Players!$A:$A,Class_Players!$B:$B,"")</f>
        <v>Engineer</v>
      </c>
      <c r="C867" s="42" t="str" cm="1">
        <f t="array" ref="C867">INDEX(Lookups!$B$2:$B$13,MOD(ROW()-ROW($B$2),ROWS(Lookups!$B$2:$B$13))+1)</f>
        <v>SLM-93A (Air-Defense Launcher)</v>
      </c>
      <c r="D867" s="38" t="str">
        <f>_xlfn.XLOOKUP(C867,Analysis_Gadgets!$C:$C,Analysis_Gadgets!$B:$B)</f>
        <v>Gadget</v>
      </c>
      <c r="E867" s="43">
        <v>0</v>
      </c>
      <c r="F867" s="43">
        <f>_xlfn.XLOOKUP(A867,Class_Players!A:A,Class_Players!G:G)</f>
        <v>234</v>
      </c>
      <c r="G867" s="43">
        <f t="shared" si="201"/>
        <v>0</v>
      </c>
      <c r="H867" s="43">
        <f>_xlfn.XLOOKUP(A867,Class_Players!$A:$A,Class_Players!$F:$F,"")</f>
        <v>7525</v>
      </c>
      <c r="I867" s="44">
        <f t="shared" si="202"/>
        <v>0</v>
      </c>
      <c r="J867" s="43">
        <f t="shared" si="203"/>
        <v>0</v>
      </c>
      <c r="K867" s="44" cm="1">
        <f t="array" ref="K867">IF(D867="Gadget",_xlfn.IFS(I867&gt;=0.2,0.5,I867&gt;=0.1,0.35,I867&gt;=0.05,0.2,TRUE,0),IF(D867="Grenade",_xlfn.IFS(I867&gt;=0.2,1,I867&gt;=0.1,0.7,I867&gt;=0.05,0.4,TRUE,0),0))</f>
        <v>0</v>
      </c>
      <c r="L867" s="57">
        <f t="shared" si="204"/>
        <v>0</v>
      </c>
    </row>
    <row r="868" spans="1:12" x14ac:dyDescent="0.25">
      <c r="A868" s="42" t="str" cm="1">
        <f t="array" ref="A868">IFERROR(INDEX(_xlfn._xlws.FILTER(Class_Players!A:A,Class_Players!B:B="Engineer"),QUOTIENT(ROW()-ROW($A$2),12)+1),"")</f>
        <v>Xiph1</v>
      </c>
      <c r="B868" s="42" t="str">
        <f>_xlfn.XLOOKUP(A868,Class_Players!$A:$A,Class_Players!$B:$B,"")</f>
        <v>Engineer</v>
      </c>
      <c r="C868" s="42" t="str" cm="1">
        <f t="array" ref="C868">INDEX(Lookups!$B$2:$B$13,MOD(ROW()-ROW($B$2),ROWS(Lookups!$B$2:$B$13))+1)</f>
        <v>RPG-7V2 (Unguided Rocket Launcher)</v>
      </c>
      <c r="D868" s="38" t="str">
        <f>_xlfn.XLOOKUP(C868,Analysis_Gadgets!$C:$C,Analysis_Gadgets!$B:$B)</f>
        <v>Gadget</v>
      </c>
      <c r="E868" s="43">
        <v>5374</v>
      </c>
      <c r="F868" s="43">
        <f>_xlfn.XLOOKUP(A868,Class_Players!A:A,Class_Players!G:G)</f>
        <v>234</v>
      </c>
      <c r="G868" s="43">
        <f t="shared" si="201"/>
        <v>22.965811965811966</v>
      </c>
      <c r="H868" s="43">
        <f>_xlfn.XLOOKUP(A868,Class_Players!$A:$A,Class_Players!$F:$F,"")</f>
        <v>7525</v>
      </c>
      <c r="I868" s="44">
        <f t="shared" si="202"/>
        <v>0.7141528239202658</v>
      </c>
      <c r="J868" s="43">
        <f t="shared" si="203"/>
        <v>1</v>
      </c>
      <c r="K868" s="44" cm="1">
        <f t="array" ref="K868">IF(D868="Gadget",_xlfn.IFS(I868&gt;=0.2,0.5,I868&gt;=0.1,0.35,I868&gt;=0.05,0.2,TRUE,0),IF(D868="Grenade",_xlfn.IFS(I868&gt;=0.2,1,I868&gt;=0.1,0.7,I868&gt;=0.05,0.4,TRUE,0),0))</f>
        <v>0.5</v>
      </c>
      <c r="L868" s="57">
        <f t="shared" si="204"/>
        <v>0.58823529411764708</v>
      </c>
    </row>
    <row r="869" spans="1:12" x14ac:dyDescent="0.25">
      <c r="A869" s="42" t="str" cm="1">
        <f t="array" ref="A869">IFERROR(INDEX(_xlfn._xlws.FILTER(Class_Players!A:A,Class_Players!B:B="Engineer"),QUOTIENT(ROW()-ROW($A$2),12)+1),"")</f>
        <v>Xiph1</v>
      </c>
      <c r="B869" s="42" t="str">
        <f>_xlfn.XLOOKUP(A869,Class_Players!$A:$A,Class_Players!$B:$B,"")</f>
        <v>Engineer</v>
      </c>
      <c r="C869" s="42" t="str" cm="1">
        <f t="array" ref="C869">INDEX(Lookups!$B$2:$B$13,MOD(ROW()-ROW($B$2),ROWS(Lookups!$B$2:$B$13))+1)</f>
        <v>MAS 148 (Long-Range Launcher)</v>
      </c>
      <c r="D869" s="38" t="str">
        <f>_xlfn.XLOOKUP(C869,Analysis_Gadgets!$C:$C,Analysis_Gadgets!$B:$B)</f>
        <v>Gadget</v>
      </c>
      <c r="E869" s="43">
        <v>1</v>
      </c>
      <c r="F869" s="43">
        <f>_xlfn.XLOOKUP(A869,Class_Players!A:A,Class_Players!G:G)</f>
        <v>234</v>
      </c>
      <c r="G869" s="43">
        <f t="shared" si="201"/>
        <v>4.2735042735042739E-3</v>
      </c>
      <c r="H869" s="43">
        <f>_xlfn.XLOOKUP(A869,Class_Players!$A:$A,Class_Players!$F:$F,"")</f>
        <v>7525</v>
      </c>
      <c r="I869" s="44">
        <f t="shared" si="202"/>
        <v>1.3289036544850499E-4</v>
      </c>
      <c r="J869" s="43">
        <f t="shared" si="203"/>
        <v>0</v>
      </c>
      <c r="K869" s="44" cm="1">
        <f t="array" ref="K869">IF(D869="Gadget",_xlfn.IFS(I869&gt;=0.2,0.5,I869&gt;=0.1,0.35,I869&gt;=0.05,0.2,TRUE,0),IF(D869="Grenade",_xlfn.IFS(I869&gt;=0.2,1,I869&gt;=0.1,0.7,I869&gt;=0.05,0.4,TRUE,0),0))</f>
        <v>0</v>
      </c>
      <c r="L869" s="57">
        <f t="shared" si="204"/>
        <v>0</v>
      </c>
    </row>
    <row r="870" spans="1:12" x14ac:dyDescent="0.25">
      <c r="A870" s="42" t="str" cm="1">
        <f t="array" ref="A870">IFERROR(INDEX(_xlfn._xlws.FILTER(Class_Players!A:A,Class_Players!B:B="Engineer"),QUOTIENT(ROW()-ROW($A$2),12)+1),"")</f>
        <v>Xiph1</v>
      </c>
      <c r="B870" s="42" t="str">
        <f>_xlfn.XLOOKUP(A870,Class_Players!$A:$A,Class_Players!$B:$B,"")</f>
        <v>Engineer</v>
      </c>
      <c r="C870" s="42" t="str" cm="1">
        <f t="array" ref="C870">INDEX(Lookups!$B$2:$B$13,MOD(ROW()-ROW($B$2),ROWS(Lookups!$B$2:$B$13))+1)</f>
        <v>M136 AT (Aim-Guided Launcher)</v>
      </c>
      <c r="D870" s="38" t="str">
        <f>_xlfn.XLOOKUP(C870,Analysis_Gadgets!$C:$C,Analysis_Gadgets!$B:$B)</f>
        <v>Gadget</v>
      </c>
      <c r="E870" s="43">
        <v>1</v>
      </c>
      <c r="F870" s="43">
        <f>_xlfn.XLOOKUP(A870,Class_Players!A:A,Class_Players!G:G)</f>
        <v>234</v>
      </c>
      <c r="G870" s="43">
        <f t="shared" si="201"/>
        <v>4.2735042735042739E-3</v>
      </c>
      <c r="H870" s="43">
        <f>_xlfn.XLOOKUP(A870,Class_Players!$A:$A,Class_Players!$F:$F,"")</f>
        <v>7525</v>
      </c>
      <c r="I870" s="44">
        <f t="shared" si="202"/>
        <v>1.3289036544850499E-4</v>
      </c>
      <c r="J870" s="43">
        <f t="shared" si="203"/>
        <v>0</v>
      </c>
      <c r="K870" s="44" cm="1">
        <f t="array" ref="K870">IF(D870="Gadget",_xlfn.IFS(I870&gt;=0.2,0.5,I870&gt;=0.1,0.35,I870&gt;=0.05,0.2,TRUE,0),IF(D870="Grenade",_xlfn.IFS(I870&gt;=0.2,1,I870&gt;=0.1,0.7,I870&gt;=0.05,0.4,TRUE,0),0))</f>
        <v>0</v>
      </c>
      <c r="L870" s="57">
        <f t="shared" si="204"/>
        <v>0</v>
      </c>
    </row>
    <row r="871" spans="1:12" x14ac:dyDescent="0.25">
      <c r="A871" s="42" t="str" cm="1">
        <f t="array" ref="A871">IFERROR(INDEX(_xlfn._xlws.FILTER(Class_Players!A:A,Class_Players!B:B="Engineer"),QUOTIENT(ROW()-ROW($A$2),12)+1),"")</f>
        <v>Xiph1</v>
      </c>
      <c r="B871" s="42" t="str">
        <f>_xlfn.XLOOKUP(A871,Class_Players!$A:$A,Class_Players!$B:$B,"")</f>
        <v>Engineer</v>
      </c>
      <c r="C871" s="42" t="str" cm="1">
        <f t="array" ref="C871">INDEX(Lookups!$B$2:$B$13,MOD(ROW()-ROW($B$2),ROWS(Lookups!$B$2:$B$13))+1)</f>
        <v>Supply Crate</v>
      </c>
      <c r="D871" s="38" t="str">
        <f>_xlfn.XLOOKUP(C871,Analysis_Gadgets!$C:$C,Analysis_Gadgets!$B:$B)</f>
        <v>Gadget</v>
      </c>
      <c r="E871" s="43">
        <v>9</v>
      </c>
      <c r="F871" s="43">
        <f>_xlfn.XLOOKUP(A871,Class_Players!A:A,Class_Players!G:G)</f>
        <v>234</v>
      </c>
      <c r="G871" s="43">
        <f t="shared" si="201"/>
        <v>3.8461538461538464E-2</v>
      </c>
      <c r="H871" s="43">
        <f>_xlfn.XLOOKUP(A871,Class_Players!$A:$A,Class_Players!$F:$F,"")</f>
        <v>7525</v>
      </c>
      <c r="I871" s="44">
        <f t="shared" si="202"/>
        <v>1.1960132890365448E-3</v>
      </c>
      <c r="J871" s="43">
        <f t="shared" si="203"/>
        <v>0</v>
      </c>
      <c r="K871" s="44" cm="1">
        <f t="array" ref="K871">IF(D871="Gadget",_xlfn.IFS(I871&gt;=0.2,0.5,I871&gt;=0.1,0.35,I871&gt;=0.05,0.2,TRUE,0),IF(D871="Grenade",_xlfn.IFS(I871&gt;=0.2,1,I871&gt;=0.1,0.7,I871&gt;=0.05,0.4,TRUE,0),0))</f>
        <v>0</v>
      </c>
      <c r="L871" s="57">
        <f t="shared" si="204"/>
        <v>0</v>
      </c>
    </row>
    <row r="872" spans="1:12" x14ac:dyDescent="0.25">
      <c r="A872" s="42" t="str" cm="1">
        <f t="array" ref="A872">IFERROR(INDEX(_xlfn._xlws.FILTER(Class_Players!A:A,Class_Players!B:B="Engineer"),QUOTIENT(ROW()-ROW($A$2),12)+1),"")</f>
        <v>Xiph1</v>
      </c>
      <c r="B872" s="42" t="str">
        <f>_xlfn.XLOOKUP(A872,Class_Players!$A:$A,Class_Players!$B:$B,"")</f>
        <v>Engineer</v>
      </c>
      <c r="C872" s="42" t="str" cm="1">
        <f t="array" ref="C872">INDEX(Lookups!$B$2:$B$13,MOD(ROW()-ROW($B$2),ROWS(Lookups!$B$2:$B$13))+1)</f>
        <v>M15 (Anti-Vehicle Mine)</v>
      </c>
      <c r="D872" s="38" t="str">
        <f>_xlfn.XLOOKUP(C872,Analysis_Gadgets!$C:$C,Analysis_Gadgets!$B:$B)</f>
        <v>Gadget</v>
      </c>
      <c r="E872" s="43">
        <v>111</v>
      </c>
      <c r="F872" s="43">
        <f>_xlfn.XLOOKUP(A872,Class_Players!A:A,Class_Players!G:G)</f>
        <v>234</v>
      </c>
      <c r="G872" s="43">
        <f t="shared" si="201"/>
        <v>0.47435897435897434</v>
      </c>
      <c r="H872" s="43">
        <f>_xlfn.XLOOKUP(A872,Class_Players!$A:$A,Class_Players!$F:$F,"")</f>
        <v>7525</v>
      </c>
      <c r="I872" s="44">
        <f t="shared" si="202"/>
        <v>1.4750830564784052E-2</v>
      </c>
      <c r="J872" s="43">
        <f t="shared" si="203"/>
        <v>0</v>
      </c>
      <c r="K872" s="44" cm="1">
        <f t="array" ref="K872">IF(D872="Gadget",_xlfn.IFS(I872&gt;=0.2,0.5,I872&gt;=0.1,0.35,I872&gt;=0.05,0.2,TRUE,0),IF(D872="Grenade",_xlfn.IFS(I872&gt;=0.2,1,I872&gt;=0.1,0.7,I872&gt;=0.05,0.4,TRUE,0),0))</f>
        <v>0</v>
      </c>
      <c r="L872" s="57">
        <f t="shared" si="204"/>
        <v>0</v>
      </c>
    </row>
    <row r="873" spans="1:12" x14ac:dyDescent="0.25">
      <c r="A873" s="42" t="str" cm="1">
        <f t="array" ref="A873">IFERROR(INDEX(_xlfn._xlws.FILTER(Class_Players!A:A,Class_Players!B:B="Engineer"),QUOTIENT(ROW()-ROW($A$2),12)+1),"")</f>
        <v>Xiph1</v>
      </c>
      <c r="B873" s="42" t="str">
        <f>_xlfn.XLOOKUP(A873,Class_Players!$A:$A,Class_Players!$B:$B,"")</f>
        <v>Engineer</v>
      </c>
      <c r="C873" s="42" t="str" cm="1">
        <f t="array" ref="C873">INDEX(Lookups!$B$2:$B$13,MOD(ROW()-ROW($B$2),ROWS(Lookups!$B$2:$B$13))+1)</f>
        <v>PTKM-1R (Acoustic Sensor AV Mine)</v>
      </c>
      <c r="D873" s="38" t="str">
        <f>_xlfn.XLOOKUP(C873,Analysis_Gadgets!$C:$C,Analysis_Gadgets!$B:$B)</f>
        <v>Gadget</v>
      </c>
      <c r="E873" s="43">
        <v>3</v>
      </c>
      <c r="F873" s="43">
        <f>_xlfn.XLOOKUP(A873,Class_Players!A:A,Class_Players!G:G)</f>
        <v>234</v>
      </c>
      <c r="G873" s="43">
        <f t="shared" si="201"/>
        <v>1.282051282051282E-2</v>
      </c>
      <c r="H873" s="43">
        <f>_xlfn.XLOOKUP(A873,Class_Players!$A:$A,Class_Players!$F:$F,"")</f>
        <v>7525</v>
      </c>
      <c r="I873" s="44">
        <f t="shared" si="202"/>
        <v>3.9867109634551497E-4</v>
      </c>
      <c r="J873" s="43">
        <f t="shared" si="203"/>
        <v>0</v>
      </c>
      <c r="K873" s="44" cm="1">
        <f t="array" ref="K873">IF(D873="Gadget",_xlfn.IFS(I873&gt;=0.2,0.5,I873&gt;=0.1,0.35,I873&gt;=0.05,0.2,TRUE,0),IF(D873="Grenade",_xlfn.IFS(I873&gt;=0.2,1,I873&gt;=0.1,0.7,I873&gt;=0.05,0.4,TRUE,0),0))</f>
        <v>0</v>
      </c>
      <c r="L873" s="57">
        <f t="shared" si="204"/>
        <v>0</v>
      </c>
    </row>
    <row r="874" spans="1:12" x14ac:dyDescent="0.25">
      <c r="A874" s="42" t="str" cm="1">
        <f t="array" ref="A874">IFERROR(INDEX(_xlfn._xlws.FILTER(Class_Players!A:A,Class_Players!B:B="Engineer"),QUOTIENT(ROW()-ROW($A$2),12)+1),"")</f>
        <v>Xiph1</v>
      </c>
      <c r="B874" s="42" t="str">
        <f>_xlfn.XLOOKUP(A874,Class_Players!$A:$A,Class_Players!$B:$B,"")</f>
        <v>Engineer</v>
      </c>
      <c r="C874" s="42" t="str" cm="1">
        <f t="array" ref="C874">INDEX(Lookups!$B$2:$B$13,MOD(ROW()-ROW($B$2),ROWS(Lookups!$B$2:$B$13))+1)</f>
        <v>EOD Bot</v>
      </c>
      <c r="D874" s="38" t="str">
        <f>_xlfn.XLOOKUP(C874,Analysis_Gadgets!$C:$C,Analysis_Gadgets!$B:$B)</f>
        <v>Gadget</v>
      </c>
      <c r="E874" s="43">
        <v>1379</v>
      </c>
      <c r="F874" s="43">
        <f>_xlfn.XLOOKUP(A874,Class_Players!A:A,Class_Players!G:G)</f>
        <v>234</v>
      </c>
      <c r="G874" s="43">
        <f t="shared" si="201"/>
        <v>5.8931623931623935</v>
      </c>
      <c r="H874" s="43">
        <f>_xlfn.XLOOKUP(A874,Class_Players!$A:$A,Class_Players!$F:$F,"")</f>
        <v>7525</v>
      </c>
      <c r="I874" s="44">
        <f t="shared" si="202"/>
        <v>0.18325581395348836</v>
      </c>
      <c r="J874" s="43">
        <f t="shared" si="203"/>
        <v>1</v>
      </c>
      <c r="K874" s="44" cm="1">
        <f t="array" ref="K874">IF(D874="Gadget",_xlfn.IFS(I874&gt;=0.2,0.5,I874&gt;=0.1,0.35,I874&gt;=0.05,0.2,TRUE,0),IF(D874="Grenade",_xlfn.IFS(I874&gt;=0.2,1,I874&gt;=0.1,0.7,I874&gt;=0.05,0.4,TRUE,0),0))</f>
        <v>0.35</v>
      </c>
      <c r="L874" s="57">
        <f t="shared" si="204"/>
        <v>0.41176470588235292</v>
      </c>
    </row>
    <row r="875" spans="1:12" x14ac:dyDescent="0.25">
      <c r="A875" s="42" t="str" cm="1">
        <f t="array" ref="A875">IFERROR(INDEX(_xlfn._xlws.FILTER(Class_Players!A:A,Class_Players!B:B="Engineer"),QUOTIENT(ROW()-ROW($A$2),12)+1),"")</f>
        <v>Xiph1</v>
      </c>
      <c r="B875" s="42" t="str">
        <f>_xlfn.XLOOKUP(A875,Class_Players!$A:$A,Class_Players!$B:$B,"")</f>
        <v>Engineer</v>
      </c>
      <c r="C875" s="42" t="str" cm="1">
        <f t="array" ref="C875">INDEX(Lookups!$B$2:$B$13,MOD(ROW()-ROW($B$2),ROWS(Lookups!$B$2:$B$13))+1)</f>
        <v>M4A1 SLAM (Tripwire Sensor AV Mine)</v>
      </c>
      <c r="D875" s="38" t="str">
        <f>_xlfn.XLOOKUP(C875,Analysis_Gadgets!$C:$C,Analysis_Gadgets!$B:$B)</f>
        <v>Gadget</v>
      </c>
      <c r="E875" s="43">
        <v>4</v>
      </c>
      <c r="F875" s="43">
        <f>_xlfn.XLOOKUP(A875,Class_Players!A:A,Class_Players!G:G)</f>
        <v>234</v>
      </c>
      <c r="G875" s="43">
        <f t="shared" si="201"/>
        <v>1.7094017094017096E-2</v>
      </c>
      <c r="H875" s="43">
        <f>_xlfn.XLOOKUP(A875,Class_Players!$A:$A,Class_Players!$F:$F,"")</f>
        <v>7525</v>
      </c>
      <c r="I875" s="44">
        <f t="shared" si="202"/>
        <v>5.3156146179401996E-4</v>
      </c>
      <c r="J875" s="43">
        <f t="shared" si="203"/>
        <v>0</v>
      </c>
      <c r="K875" s="44" cm="1">
        <f t="array" ref="K875">IF(D875="Gadget",_xlfn.IFS(I875&gt;=0.2,0.5,I875&gt;=0.1,0.35,I875&gt;=0.05,0.2,TRUE,0),IF(D875="Grenade",_xlfn.IFS(I875&gt;=0.2,1,I875&gt;=0.1,0.7,I875&gt;=0.05,0.4,TRUE,0),0))</f>
        <v>0</v>
      </c>
      <c r="L875" s="57">
        <f t="shared" si="204"/>
        <v>0</v>
      </c>
    </row>
    <row r="876" spans="1:12" x14ac:dyDescent="0.25">
      <c r="A876" s="42" t="str" cm="1">
        <f t="array" ref="A876">IFERROR(INDEX(_xlfn._xlws.FILTER(Class_Players!A:A,Class_Players!B:B="Engineer"),QUOTIENT(ROW()-ROW($A$2),12)+1),"")</f>
        <v>Xiph1</v>
      </c>
      <c r="B876" s="42" t="str">
        <f>_xlfn.XLOOKUP(A876,Class_Players!$A:$A,Class_Players!$B:$B,"")</f>
        <v>Engineer</v>
      </c>
      <c r="C876" s="42" t="str" cm="1">
        <f t="array" ref="C876">INDEX(Lookups!$B$2:$B$13,MOD(ROW()-ROW($B$2),ROWS(Lookups!$B$2:$B$13))+1)</f>
        <v>Mini Frag Grenade</v>
      </c>
      <c r="D876" s="38" t="str">
        <f>_xlfn.XLOOKUP(C876,Analysis_Gadgets!$C:$C,Analysis_Gadgets!$B:$B)</f>
        <v>Grenade</v>
      </c>
      <c r="E876" s="43">
        <v>4</v>
      </c>
      <c r="F876" s="43">
        <f>_xlfn.XLOOKUP(A876,Class_Players!A:A,Class_Players!G:G)</f>
        <v>234</v>
      </c>
      <c r="G876" s="43">
        <f t="shared" si="201"/>
        <v>1.7094017094017096E-2</v>
      </c>
      <c r="H876" s="43">
        <f>_xlfn.XLOOKUP(A876,Class_Players!$A:$A,Class_Players!$F:$F,"")</f>
        <v>7525</v>
      </c>
      <c r="I876" s="44">
        <f t="shared" si="202"/>
        <v>5.3156146179401996E-4</v>
      </c>
      <c r="J876" s="43">
        <f t="shared" si="203"/>
        <v>0</v>
      </c>
      <c r="K876" s="44" cm="1">
        <f t="array" ref="K876">IF(D876="Gadget",_xlfn.IFS(I876&gt;=0.2,0.5,I876&gt;=0.1,0.35,I876&gt;=0.05,0.2,TRUE,0),IF(D876="Grenade",_xlfn.IFS(I876&gt;=0.2,1,I876&gt;=0.1,0.7,I876&gt;=0.05,0.4,TRUE,0),0))</f>
        <v>0</v>
      </c>
      <c r="L876" s="57">
        <f t="shared" ref="L876:L877" si="205">IF($K876=0,0,$K876 / SUMIFS($K:$K,$A:$A,$A876,$D:$D,"Grenade"))</f>
        <v>0</v>
      </c>
    </row>
    <row r="877" spans="1:12" x14ac:dyDescent="0.25">
      <c r="A877" s="42" t="str" cm="1">
        <f t="array" ref="A877">IFERROR(INDEX(_xlfn._xlws.FILTER(Class_Players!A:A,Class_Players!B:B="Engineer"),QUOTIENT(ROW()-ROW($A$2),12)+1),"")</f>
        <v>Xiph1</v>
      </c>
      <c r="B877" s="42" t="str">
        <f>_xlfn.XLOOKUP(A877,Class_Players!$A:$A,Class_Players!$B:$B,"")</f>
        <v>Engineer</v>
      </c>
      <c r="C877" s="42" t="str" cm="1">
        <f t="array" ref="C877">INDEX(Lookups!$B$2:$B$13,MOD(ROW()-ROW($B$2),ROWS(Lookups!$B$2:$B$13))+1)</f>
        <v>Anti-Vehicle Grenade</v>
      </c>
      <c r="D877" s="38" t="str">
        <f>_xlfn.XLOOKUP(C877,Analysis_Gadgets!$C:$C,Analysis_Gadgets!$B:$B)</f>
        <v>Grenade</v>
      </c>
      <c r="E877" s="43">
        <v>0</v>
      </c>
      <c r="F877" s="43">
        <f>_xlfn.XLOOKUP(A877,Class_Players!A:A,Class_Players!G:G)</f>
        <v>234</v>
      </c>
      <c r="G877" s="43">
        <f t="shared" si="201"/>
        <v>0</v>
      </c>
      <c r="H877" s="43">
        <f>_xlfn.XLOOKUP(A877,Class_Players!$A:$A,Class_Players!$F:$F,"")</f>
        <v>7525</v>
      </c>
      <c r="I877" s="44">
        <f t="shared" si="202"/>
        <v>0</v>
      </c>
      <c r="J877" s="43">
        <f t="shared" si="203"/>
        <v>0</v>
      </c>
      <c r="K877" s="44" cm="1">
        <f t="array" ref="K877">IF(D877="Gadget",_xlfn.IFS(I877&gt;=0.2,0.5,I877&gt;=0.1,0.35,I877&gt;=0.05,0.2,TRUE,0),IF(D877="Grenade",_xlfn.IFS(I877&gt;=0.2,1,I877&gt;=0.1,0.7,I877&gt;=0.05,0.4,TRUE,0),0))</f>
        <v>0</v>
      </c>
      <c r="L877" s="57">
        <f t="shared" si="205"/>
        <v>0</v>
      </c>
    </row>
    <row r="878" spans="1:12" x14ac:dyDescent="0.25">
      <c r="A878" s="42" t="str" cm="1">
        <f t="array" ref="A878">IFERROR(INDEX(_xlfn._xlws.FILTER(Class_Players!A:A,Class_Players!B:B="Engineer"),QUOTIENT(ROW()-ROW($A$2),12)+1),"")</f>
        <v>conway47</v>
      </c>
      <c r="B878" s="42" t="str">
        <f>_xlfn.XLOOKUP(A878,Class_Players!$A:$A,Class_Players!$B:$B,"")</f>
        <v>Engineer</v>
      </c>
      <c r="C878" s="42" t="str" cm="1">
        <f t="array" ref="C878">INDEX(Lookups!$B$2:$B$13,MOD(ROW()-ROW($B$2),ROWS(Lookups!$B$2:$B$13))+1)</f>
        <v>MBT-LAW (Auto-Guided Launcher)</v>
      </c>
      <c r="D878" s="38" t="str">
        <f>_xlfn.XLOOKUP(C878,Analysis_Gadgets!$C:$C,Analysis_Gadgets!$B:$B)</f>
        <v>Gadget</v>
      </c>
      <c r="E878" s="43">
        <v>0</v>
      </c>
      <c r="F878" s="43">
        <f>_xlfn.XLOOKUP(A878,Class_Players!A:A,Class_Players!G:G)</f>
        <v>151</v>
      </c>
      <c r="G878" s="43">
        <f t="shared" si="201"/>
        <v>0</v>
      </c>
      <c r="H878" s="43">
        <f>_xlfn.XLOOKUP(A878,Class_Players!$A:$A,Class_Players!$F:$F,"")</f>
        <v>7801</v>
      </c>
      <c r="I878" s="44">
        <f t="shared" si="202"/>
        <v>0</v>
      </c>
      <c r="J878" s="43">
        <f t="shared" si="203"/>
        <v>0</v>
      </c>
      <c r="K878" s="44" cm="1">
        <f t="array" ref="K878">IF(D878="Gadget",_xlfn.IFS(I878&gt;=0.2,0.5,I878&gt;=0.1,0.35,I878&gt;=0.05,0.2,TRUE,0),IF(D878="Grenade",_xlfn.IFS(I878&gt;=0.2,1,I878&gt;=0.1,0.7,I878&gt;=0.05,0.4,TRUE,0),0))</f>
        <v>0</v>
      </c>
      <c r="L878" s="57">
        <f t="shared" ref="L878:L887" si="206">IF($K878=0,0,$K878 / SUMIFS($K:$K,$A:$A,$A878,$D:$D,"Gadget"))</f>
        <v>0</v>
      </c>
    </row>
    <row r="879" spans="1:12" x14ac:dyDescent="0.25">
      <c r="A879" s="42" t="str" cm="1">
        <f t="array" ref="A879">IFERROR(INDEX(_xlfn._xlws.FILTER(Class_Players!A:A,Class_Players!B:B="Engineer"),QUOTIENT(ROW()-ROW($A$2),12)+1),"")</f>
        <v>conway47</v>
      </c>
      <c r="B879" s="42" t="str">
        <f>_xlfn.XLOOKUP(A879,Class_Players!$A:$A,Class_Players!$B:$B,"")</f>
        <v>Engineer</v>
      </c>
      <c r="C879" s="42" t="str" cm="1">
        <f t="array" ref="C879">INDEX(Lookups!$B$2:$B$13,MOD(ROW()-ROW($B$2),ROWS(Lookups!$B$2:$B$13))+1)</f>
        <v>SLM-93A (Air-Defense Launcher)</v>
      </c>
      <c r="D879" s="38" t="str">
        <f>_xlfn.XLOOKUP(C879,Analysis_Gadgets!$C:$C,Analysis_Gadgets!$B:$B)</f>
        <v>Gadget</v>
      </c>
      <c r="E879" s="43">
        <v>35</v>
      </c>
      <c r="F879" s="43">
        <f>_xlfn.XLOOKUP(A879,Class_Players!A:A,Class_Players!G:G)</f>
        <v>151</v>
      </c>
      <c r="G879" s="43">
        <f t="shared" si="201"/>
        <v>0.23178807947019867</v>
      </c>
      <c r="H879" s="43">
        <f>_xlfn.XLOOKUP(A879,Class_Players!$A:$A,Class_Players!$F:$F,"")</f>
        <v>7801</v>
      </c>
      <c r="I879" s="44">
        <f t="shared" si="202"/>
        <v>4.4866042815023717E-3</v>
      </c>
      <c r="J879" s="43">
        <f t="shared" si="203"/>
        <v>0</v>
      </c>
      <c r="K879" s="44" cm="1">
        <f t="array" ref="K879">IF(D879="Gadget",_xlfn.IFS(I879&gt;=0.2,0.5,I879&gt;=0.1,0.35,I879&gt;=0.05,0.2,TRUE,0),IF(D879="Grenade",_xlfn.IFS(I879&gt;=0.2,1,I879&gt;=0.1,0.7,I879&gt;=0.05,0.4,TRUE,0),0))</f>
        <v>0</v>
      </c>
      <c r="L879" s="57">
        <f t="shared" si="206"/>
        <v>0</v>
      </c>
    </row>
    <row r="880" spans="1:12" x14ac:dyDescent="0.25">
      <c r="A880" s="42" t="str" cm="1">
        <f t="array" ref="A880">IFERROR(INDEX(_xlfn._xlws.FILTER(Class_Players!A:A,Class_Players!B:B="Engineer"),QUOTIENT(ROW()-ROW($A$2),12)+1),"")</f>
        <v>conway47</v>
      </c>
      <c r="B880" s="42" t="str">
        <f>_xlfn.XLOOKUP(A880,Class_Players!$A:$A,Class_Players!$B:$B,"")</f>
        <v>Engineer</v>
      </c>
      <c r="C880" s="42" t="str" cm="1">
        <f t="array" ref="C880">INDEX(Lookups!$B$2:$B$13,MOD(ROW()-ROW($B$2),ROWS(Lookups!$B$2:$B$13))+1)</f>
        <v>RPG-7V2 (Unguided Rocket Launcher)</v>
      </c>
      <c r="D880" s="38" t="str">
        <f>_xlfn.XLOOKUP(C880,Analysis_Gadgets!$C:$C,Analysis_Gadgets!$B:$B)</f>
        <v>Gadget</v>
      </c>
      <c r="E880" s="43">
        <v>4339</v>
      </c>
      <c r="F880" s="43">
        <f>_xlfn.XLOOKUP(A880,Class_Players!A:A,Class_Players!G:G)</f>
        <v>151</v>
      </c>
      <c r="G880" s="43">
        <f t="shared" si="201"/>
        <v>28.735099337748345</v>
      </c>
      <c r="H880" s="43">
        <f>_xlfn.XLOOKUP(A880,Class_Players!$A:$A,Class_Players!$F:$F,"")</f>
        <v>7801</v>
      </c>
      <c r="I880" s="44">
        <f t="shared" si="202"/>
        <v>0.55621074221253686</v>
      </c>
      <c r="J880" s="43">
        <f t="shared" si="203"/>
        <v>1</v>
      </c>
      <c r="K880" s="44" cm="1">
        <f t="array" ref="K880">IF(D880="Gadget",_xlfn.IFS(I880&gt;=0.2,0.5,I880&gt;=0.1,0.35,I880&gt;=0.05,0.2,TRUE,0),IF(D880="Grenade",_xlfn.IFS(I880&gt;=0.2,1,I880&gt;=0.1,0.7,I880&gt;=0.05,0.4,TRUE,0),0))</f>
        <v>0.5</v>
      </c>
      <c r="L880" s="57">
        <f t="shared" si="206"/>
        <v>0.47619047619047628</v>
      </c>
    </row>
    <row r="881" spans="1:12" x14ac:dyDescent="0.25">
      <c r="A881" s="42" t="str" cm="1">
        <f t="array" ref="A881">IFERROR(INDEX(_xlfn._xlws.FILTER(Class_Players!A:A,Class_Players!B:B="Engineer"),QUOTIENT(ROW()-ROW($A$2),12)+1),"")</f>
        <v>conway47</v>
      </c>
      <c r="B881" s="42" t="str">
        <f>_xlfn.XLOOKUP(A881,Class_Players!$A:$A,Class_Players!$B:$B,"")</f>
        <v>Engineer</v>
      </c>
      <c r="C881" s="42" t="str" cm="1">
        <f t="array" ref="C881">INDEX(Lookups!$B$2:$B$13,MOD(ROW()-ROW($B$2),ROWS(Lookups!$B$2:$B$13))+1)</f>
        <v>MAS 148 (Long-Range Launcher)</v>
      </c>
      <c r="D881" s="38" t="str">
        <f>_xlfn.XLOOKUP(C881,Analysis_Gadgets!$C:$C,Analysis_Gadgets!$B:$B)</f>
        <v>Gadget</v>
      </c>
      <c r="E881" s="43">
        <v>26</v>
      </c>
      <c r="F881" s="43">
        <f>_xlfn.XLOOKUP(A881,Class_Players!A:A,Class_Players!G:G)</f>
        <v>151</v>
      </c>
      <c r="G881" s="43">
        <f t="shared" si="201"/>
        <v>0.17218543046357615</v>
      </c>
      <c r="H881" s="43">
        <f>_xlfn.XLOOKUP(A881,Class_Players!$A:$A,Class_Players!$F:$F,"")</f>
        <v>7801</v>
      </c>
      <c r="I881" s="44">
        <f t="shared" si="202"/>
        <v>3.332906037687476E-3</v>
      </c>
      <c r="J881" s="43">
        <f t="shared" si="203"/>
        <v>0</v>
      </c>
      <c r="K881" s="44" cm="1">
        <f t="array" ref="K881">IF(D881="Gadget",_xlfn.IFS(I881&gt;=0.2,0.5,I881&gt;=0.1,0.35,I881&gt;=0.05,0.2,TRUE,0),IF(D881="Grenade",_xlfn.IFS(I881&gt;=0.2,1,I881&gt;=0.1,0.7,I881&gt;=0.05,0.4,TRUE,0),0))</f>
        <v>0</v>
      </c>
      <c r="L881" s="57">
        <f t="shared" si="206"/>
        <v>0</v>
      </c>
    </row>
    <row r="882" spans="1:12" x14ac:dyDescent="0.25">
      <c r="A882" s="42" t="str" cm="1">
        <f t="array" ref="A882">IFERROR(INDEX(_xlfn._xlws.FILTER(Class_Players!A:A,Class_Players!B:B="Engineer"),QUOTIENT(ROW()-ROW($A$2),12)+1),"")</f>
        <v>conway47</v>
      </c>
      <c r="B882" s="42" t="str">
        <f>_xlfn.XLOOKUP(A882,Class_Players!$A:$A,Class_Players!$B:$B,"")</f>
        <v>Engineer</v>
      </c>
      <c r="C882" s="42" t="str" cm="1">
        <f t="array" ref="C882">INDEX(Lookups!$B$2:$B$13,MOD(ROW()-ROW($B$2),ROWS(Lookups!$B$2:$B$13))+1)</f>
        <v>M136 AT (Aim-Guided Launcher)</v>
      </c>
      <c r="D882" s="38" t="str">
        <f>_xlfn.XLOOKUP(C882,Analysis_Gadgets!$C:$C,Analysis_Gadgets!$B:$B)</f>
        <v>Gadget</v>
      </c>
      <c r="E882" s="43">
        <v>178</v>
      </c>
      <c r="F882" s="43">
        <f>_xlfn.XLOOKUP(A882,Class_Players!A:A,Class_Players!G:G)</f>
        <v>151</v>
      </c>
      <c r="G882" s="43">
        <f t="shared" si="201"/>
        <v>1.1788079470198676</v>
      </c>
      <c r="H882" s="43">
        <f>_xlfn.XLOOKUP(A882,Class_Players!$A:$A,Class_Players!$F:$F,"")</f>
        <v>7801</v>
      </c>
      <c r="I882" s="44">
        <f t="shared" si="202"/>
        <v>2.281758748878349E-2</v>
      </c>
      <c r="J882" s="43">
        <f t="shared" si="203"/>
        <v>0</v>
      </c>
      <c r="K882" s="44" cm="1">
        <f t="array" ref="K882">IF(D882="Gadget",_xlfn.IFS(I882&gt;=0.2,0.5,I882&gt;=0.1,0.35,I882&gt;=0.05,0.2,TRUE,0),IF(D882="Grenade",_xlfn.IFS(I882&gt;=0.2,1,I882&gt;=0.1,0.7,I882&gt;=0.05,0.4,TRUE,0),0))</f>
        <v>0</v>
      </c>
      <c r="L882" s="57">
        <f t="shared" si="206"/>
        <v>0</v>
      </c>
    </row>
    <row r="883" spans="1:12" x14ac:dyDescent="0.25">
      <c r="A883" s="42" t="str" cm="1">
        <f t="array" ref="A883">IFERROR(INDEX(_xlfn._xlws.FILTER(Class_Players!A:A,Class_Players!B:B="Engineer"),QUOTIENT(ROW()-ROW($A$2),12)+1),"")</f>
        <v>conway47</v>
      </c>
      <c r="B883" s="42" t="str">
        <f>_xlfn.XLOOKUP(A883,Class_Players!$A:$A,Class_Players!$B:$B,"")</f>
        <v>Engineer</v>
      </c>
      <c r="C883" s="42" t="str" cm="1">
        <f t="array" ref="C883">INDEX(Lookups!$B$2:$B$13,MOD(ROW()-ROW($B$2),ROWS(Lookups!$B$2:$B$13))+1)</f>
        <v>Supply Crate</v>
      </c>
      <c r="D883" s="38" t="str">
        <f>_xlfn.XLOOKUP(C883,Analysis_Gadgets!$C:$C,Analysis_Gadgets!$B:$B)</f>
        <v>Gadget</v>
      </c>
      <c r="E883" s="43">
        <v>34</v>
      </c>
      <c r="F883" s="43">
        <f>_xlfn.XLOOKUP(A883,Class_Players!A:A,Class_Players!G:G)</f>
        <v>151</v>
      </c>
      <c r="G883" s="43">
        <f t="shared" si="201"/>
        <v>0.2251655629139073</v>
      </c>
      <c r="H883" s="43">
        <f>_xlfn.XLOOKUP(A883,Class_Players!$A:$A,Class_Players!$F:$F,"")</f>
        <v>7801</v>
      </c>
      <c r="I883" s="44">
        <f t="shared" si="202"/>
        <v>4.3584155877451607E-3</v>
      </c>
      <c r="J883" s="43">
        <f t="shared" si="203"/>
        <v>0</v>
      </c>
      <c r="K883" s="44" cm="1">
        <f t="array" ref="K883">IF(D883="Gadget",_xlfn.IFS(I883&gt;=0.2,0.5,I883&gt;=0.1,0.35,I883&gt;=0.05,0.2,TRUE,0),IF(D883="Grenade",_xlfn.IFS(I883&gt;=0.2,1,I883&gt;=0.1,0.7,I883&gt;=0.05,0.4,TRUE,0),0))</f>
        <v>0</v>
      </c>
      <c r="L883" s="57">
        <f t="shared" si="206"/>
        <v>0</v>
      </c>
    </row>
    <row r="884" spans="1:12" x14ac:dyDescent="0.25">
      <c r="A884" s="42" t="str" cm="1">
        <f t="array" ref="A884">IFERROR(INDEX(_xlfn._xlws.FILTER(Class_Players!A:A,Class_Players!B:B="Engineer"),QUOTIENT(ROW()-ROW($A$2),12)+1),"")</f>
        <v>conway47</v>
      </c>
      <c r="B884" s="42" t="str">
        <f>_xlfn.XLOOKUP(A884,Class_Players!$A:$A,Class_Players!$B:$B,"")</f>
        <v>Engineer</v>
      </c>
      <c r="C884" s="42" t="str" cm="1">
        <f t="array" ref="C884">INDEX(Lookups!$B$2:$B$13,MOD(ROW()-ROW($B$2),ROWS(Lookups!$B$2:$B$13))+1)</f>
        <v>M15 (Anti-Vehicle Mine)</v>
      </c>
      <c r="D884" s="38" t="str">
        <f>_xlfn.XLOOKUP(C884,Analysis_Gadgets!$C:$C,Analysis_Gadgets!$B:$B)</f>
        <v>Gadget</v>
      </c>
      <c r="E884" s="43">
        <v>433</v>
      </c>
      <c r="F884" s="43">
        <f>_xlfn.XLOOKUP(A884,Class_Players!A:A,Class_Players!G:G)</f>
        <v>151</v>
      </c>
      <c r="G884" s="43">
        <f t="shared" si="201"/>
        <v>2.8675496688741724</v>
      </c>
      <c r="H884" s="43">
        <f>_xlfn.XLOOKUP(A884,Class_Players!$A:$A,Class_Players!$F:$F,"")</f>
        <v>7801</v>
      </c>
      <c r="I884" s="44">
        <f t="shared" si="202"/>
        <v>5.5505704396872198E-2</v>
      </c>
      <c r="J884" s="43">
        <f t="shared" si="203"/>
        <v>0</v>
      </c>
      <c r="K884" s="44" cm="1">
        <f t="array" ref="K884">IF(D884="Gadget",_xlfn.IFS(I884&gt;=0.2,0.5,I884&gt;=0.1,0.35,I884&gt;=0.05,0.2,TRUE,0),IF(D884="Grenade",_xlfn.IFS(I884&gt;=0.2,1,I884&gt;=0.1,0.7,I884&gt;=0.05,0.4,TRUE,0),0))</f>
        <v>0.2</v>
      </c>
      <c r="L884" s="57">
        <f t="shared" si="206"/>
        <v>0.19047619047619052</v>
      </c>
    </row>
    <row r="885" spans="1:12" x14ac:dyDescent="0.25">
      <c r="A885" s="42" t="str" cm="1">
        <f t="array" ref="A885">IFERROR(INDEX(_xlfn._xlws.FILTER(Class_Players!A:A,Class_Players!B:B="Engineer"),QUOTIENT(ROW()-ROW($A$2),12)+1),"")</f>
        <v>conway47</v>
      </c>
      <c r="B885" s="42" t="str">
        <f>_xlfn.XLOOKUP(A885,Class_Players!$A:$A,Class_Players!$B:$B,"")</f>
        <v>Engineer</v>
      </c>
      <c r="C885" s="42" t="str" cm="1">
        <f t="array" ref="C885">INDEX(Lookups!$B$2:$B$13,MOD(ROW()-ROW($B$2),ROWS(Lookups!$B$2:$B$13))+1)</f>
        <v>PTKM-1R (Acoustic Sensor AV Mine)</v>
      </c>
      <c r="D885" s="38" t="str">
        <f>_xlfn.XLOOKUP(C885,Analysis_Gadgets!$C:$C,Analysis_Gadgets!$B:$B)</f>
        <v>Gadget</v>
      </c>
      <c r="E885" s="43">
        <v>891</v>
      </c>
      <c r="F885" s="43">
        <f>_xlfn.XLOOKUP(A885,Class_Players!A:A,Class_Players!G:G)</f>
        <v>151</v>
      </c>
      <c r="G885" s="43">
        <f t="shared" si="201"/>
        <v>5.9006622516556293</v>
      </c>
      <c r="H885" s="43">
        <f>_xlfn.XLOOKUP(A885,Class_Players!$A:$A,Class_Players!$F:$F,"")</f>
        <v>7801</v>
      </c>
      <c r="I885" s="44">
        <f t="shared" si="202"/>
        <v>0.11421612613767465</v>
      </c>
      <c r="J885" s="43">
        <f t="shared" si="203"/>
        <v>1</v>
      </c>
      <c r="K885" s="44" cm="1">
        <f t="array" ref="K885">IF(D885="Gadget",_xlfn.IFS(I885&gt;=0.2,0.5,I885&gt;=0.1,0.35,I885&gt;=0.05,0.2,TRUE,0),IF(D885="Grenade",_xlfn.IFS(I885&gt;=0.2,1,I885&gt;=0.1,0.7,I885&gt;=0.05,0.4,TRUE,0),0))</f>
        <v>0.35</v>
      </c>
      <c r="L885" s="57">
        <f t="shared" si="206"/>
        <v>0.33333333333333337</v>
      </c>
    </row>
    <row r="886" spans="1:12" x14ac:dyDescent="0.25">
      <c r="A886" s="42" t="str" cm="1">
        <f t="array" ref="A886">IFERROR(INDEX(_xlfn._xlws.FILTER(Class_Players!A:A,Class_Players!B:B="Engineer"),QUOTIENT(ROW()-ROW($A$2),12)+1),"")</f>
        <v>conway47</v>
      </c>
      <c r="B886" s="42" t="str">
        <f>_xlfn.XLOOKUP(A886,Class_Players!$A:$A,Class_Players!$B:$B,"")</f>
        <v>Engineer</v>
      </c>
      <c r="C886" s="42" t="str" cm="1">
        <f t="array" ref="C886">INDEX(Lookups!$B$2:$B$13,MOD(ROW()-ROW($B$2),ROWS(Lookups!$B$2:$B$13))+1)</f>
        <v>EOD Bot</v>
      </c>
      <c r="D886" s="38" t="str">
        <f>_xlfn.XLOOKUP(C886,Analysis_Gadgets!$C:$C,Analysis_Gadgets!$B:$B)</f>
        <v>Gadget</v>
      </c>
      <c r="E886" s="43">
        <v>3</v>
      </c>
      <c r="F886" s="43">
        <f>_xlfn.XLOOKUP(A886,Class_Players!A:A,Class_Players!G:G)</f>
        <v>151</v>
      </c>
      <c r="G886" s="43">
        <f t="shared" si="201"/>
        <v>1.9867549668874173E-2</v>
      </c>
      <c r="H886" s="43">
        <f>_xlfn.XLOOKUP(A886,Class_Players!$A:$A,Class_Players!$F:$F,"")</f>
        <v>7801</v>
      </c>
      <c r="I886" s="44">
        <f t="shared" si="202"/>
        <v>3.8456608127163182E-4</v>
      </c>
      <c r="J886" s="43">
        <f t="shared" si="203"/>
        <v>0</v>
      </c>
      <c r="K886" s="44" cm="1">
        <f t="array" ref="K886">IF(D886="Gadget",_xlfn.IFS(I886&gt;=0.2,0.5,I886&gt;=0.1,0.35,I886&gt;=0.05,0.2,TRUE,0),IF(D886="Grenade",_xlfn.IFS(I886&gt;=0.2,1,I886&gt;=0.1,0.7,I886&gt;=0.05,0.4,TRUE,0),0))</f>
        <v>0</v>
      </c>
      <c r="L886" s="57">
        <f t="shared" si="206"/>
        <v>0</v>
      </c>
    </row>
    <row r="887" spans="1:12" x14ac:dyDescent="0.25">
      <c r="A887" s="42" t="str" cm="1">
        <f t="array" ref="A887">IFERROR(INDEX(_xlfn._xlws.FILTER(Class_Players!A:A,Class_Players!B:B="Engineer"),QUOTIENT(ROW()-ROW($A$2),12)+1),"")</f>
        <v>conway47</v>
      </c>
      <c r="B887" s="42" t="str">
        <f>_xlfn.XLOOKUP(A887,Class_Players!$A:$A,Class_Players!$B:$B,"")</f>
        <v>Engineer</v>
      </c>
      <c r="C887" s="42" t="str" cm="1">
        <f t="array" ref="C887">INDEX(Lookups!$B$2:$B$13,MOD(ROW()-ROW($B$2),ROWS(Lookups!$B$2:$B$13))+1)</f>
        <v>M4A1 SLAM (Tripwire Sensor AV Mine)</v>
      </c>
      <c r="D887" s="38" t="str">
        <f>_xlfn.XLOOKUP(C887,Analysis_Gadgets!$C:$C,Analysis_Gadgets!$B:$B)</f>
        <v>Gadget</v>
      </c>
      <c r="E887" s="43">
        <v>77</v>
      </c>
      <c r="F887" s="43">
        <f>_xlfn.XLOOKUP(A887,Class_Players!A:A,Class_Players!G:G)</f>
        <v>151</v>
      </c>
      <c r="G887" s="43">
        <f t="shared" si="201"/>
        <v>0.50993377483443714</v>
      </c>
      <c r="H887" s="43">
        <f>_xlfn.XLOOKUP(A887,Class_Players!$A:$A,Class_Players!$F:$F,"")</f>
        <v>7801</v>
      </c>
      <c r="I887" s="44">
        <f t="shared" si="202"/>
        <v>9.8705294193052167E-3</v>
      </c>
      <c r="J887" s="43">
        <f t="shared" si="203"/>
        <v>0</v>
      </c>
      <c r="K887" s="44" cm="1">
        <f t="array" ref="K887">IF(D887="Gadget",_xlfn.IFS(I887&gt;=0.2,0.5,I887&gt;=0.1,0.35,I887&gt;=0.05,0.2,TRUE,0),IF(D887="Grenade",_xlfn.IFS(I887&gt;=0.2,1,I887&gt;=0.1,0.7,I887&gt;=0.05,0.4,TRUE,0),0))</f>
        <v>0</v>
      </c>
      <c r="L887" s="57">
        <f t="shared" si="206"/>
        <v>0</v>
      </c>
    </row>
    <row r="888" spans="1:12" x14ac:dyDescent="0.25">
      <c r="A888" s="42" t="str" cm="1">
        <f t="array" ref="A888">IFERROR(INDEX(_xlfn._xlws.FILTER(Class_Players!A:A,Class_Players!B:B="Engineer"),QUOTIENT(ROW()-ROW($A$2),12)+1),"")</f>
        <v>conway47</v>
      </c>
      <c r="B888" s="42" t="str">
        <f>_xlfn.XLOOKUP(A888,Class_Players!$A:$A,Class_Players!$B:$B,"")</f>
        <v>Engineer</v>
      </c>
      <c r="C888" s="42" t="str" cm="1">
        <f t="array" ref="C888">INDEX(Lookups!$B$2:$B$13,MOD(ROW()-ROW($B$2),ROWS(Lookups!$B$2:$B$13))+1)</f>
        <v>Mini Frag Grenade</v>
      </c>
      <c r="D888" s="38" t="str">
        <f>_xlfn.XLOOKUP(C888,Analysis_Gadgets!$C:$C,Analysis_Gadgets!$B:$B)</f>
        <v>Grenade</v>
      </c>
      <c r="E888" s="43">
        <v>660</v>
      </c>
      <c r="F888" s="43">
        <f>_xlfn.XLOOKUP(A888,Class_Players!A:A,Class_Players!G:G)</f>
        <v>151</v>
      </c>
      <c r="G888" s="43">
        <f t="shared" si="201"/>
        <v>4.370860927152318</v>
      </c>
      <c r="H888" s="43">
        <f>_xlfn.XLOOKUP(A888,Class_Players!$A:$A,Class_Players!$F:$F,"")</f>
        <v>7801</v>
      </c>
      <c r="I888" s="44">
        <f t="shared" si="202"/>
        <v>8.4604537879759009E-2</v>
      </c>
      <c r="J888" s="43">
        <f t="shared" si="203"/>
        <v>0</v>
      </c>
      <c r="K888" s="44" cm="1">
        <f t="array" ref="K888">IF(D888="Gadget",_xlfn.IFS(I888&gt;=0.2,0.5,I888&gt;=0.1,0.35,I888&gt;=0.05,0.2,TRUE,0),IF(D888="Grenade",_xlfn.IFS(I888&gt;=0.2,1,I888&gt;=0.1,0.7,I888&gt;=0.05,0.4,TRUE,0),0))</f>
        <v>0.4</v>
      </c>
      <c r="L888" s="57">
        <f t="shared" ref="L888:L889" si="207">IF($K888=0,0,$K888 / SUMIFS($K:$K,$A:$A,$A888,$D:$D,"Grenade"))</f>
        <v>1</v>
      </c>
    </row>
    <row r="889" spans="1:12" x14ac:dyDescent="0.25">
      <c r="A889" s="42" t="str" cm="1">
        <f t="array" ref="A889">IFERROR(INDEX(_xlfn._xlws.FILTER(Class_Players!A:A,Class_Players!B:B="Engineer"),QUOTIENT(ROW()-ROW($A$2),12)+1),"")</f>
        <v>conway47</v>
      </c>
      <c r="B889" s="42" t="str">
        <f>_xlfn.XLOOKUP(A889,Class_Players!$A:$A,Class_Players!$B:$B,"")</f>
        <v>Engineer</v>
      </c>
      <c r="C889" s="42" t="str" cm="1">
        <f t="array" ref="C889">INDEX(Lookups!$B$2:$B$13,MOD(ROW()-ROW($B$2),ROWS(Lookups!$B$2:$B$13))+1)</f>
        <v>Anti-Vehicle Grenade</v>
      </c>
      <c r="D889" s="38" t="str">
        <f>_xlfn.XLOOKUP(C889,Analysis_Gadgets!$C:$C,Analysis_Gadgets!$B:$B)</f>
        <v>Grenade</v>
      </c>
      <c r="E889" s="43">
        <v>0</v>
      </c>
      <c r="F889" s="43">
        <f>_xlfn.XLOOKUP(A889,Class_Players!A:A,Class_Players!G:G)</f>
        <v>151</v>
      </c>
      <c r="G889" s="43">
        <f t="shared" si="201"/>
        <v>0</v>
      </c>
      <c r="H889" s="43">
        <f>_xlfn.XLOOKUP(A889,Class_Players!$A:$A,Class_Players!$F:$F,"")</f>
        <v>7801</v>
      </c>
      <c r="I889" s="44">
        <f t="shared" si="202"/>
        <v>0</v>
      </c>
      <c r="J889" s="43">
        <f t="shared" si="203"/>
        <v>0</v>
      </c>
      <c r="K889" s="44" cm="1">
        <f t="array" ref="K889">IF(D889="Gadget",_xlfn.IFS(I889&gt;=0.2,0.5,I889&gt;=0.1,0.35,I889&gt;=0.05,0.2,TRUE,0),IF(D889="Grenade",_xlfn.IFS(I889&gt;=0.2,1,I889&gt;=0.1,0.7,I889&gt;=0.05,0.4,TRUE,0),0))</f>
        <v>0</v>
      </c>
      <c r="L889" s="57">
        <f t="shared" si="207"/>
        <v>0</v>
      </c>
    </row>
    <row r="890" spans="1:12" x14ac:dyDescent="0.25">
      <c r="A890" s="42" t="str" cm="1">
        <f t="array" ref="A890">IFERROR(INDEX(_xlfn._xlws.FILTER(Class_Players!A:A,Class_Players!B:B="Engineer"),QUOTIENT(ROW()-ROW($A$2),12)+1),"")</f>
        <v>Dodge1947</v>
      </c>
      <c r="B890" s="42" t="str">
        <f>_xlfn.XLOOKUP(A890,Class_Players!$A:$A,Class_Players!$B:$B,"")</f>
        <v>Engineer</v>
      </c>
      <c r="C890" s="42" t="str" cm="1">
        <f t="array" ref="C890">INDEX(Lookups!$B$2:$B$13,MOD(ROW()-ROW($B$2),ROWS(Lookups!$B$2:$B$13))+1)</f>
        <v>MBT-LAW (Auto-Guided Launcher)</v>
      </c>
      <c r="D890" s="38" t="str">
        <f>_xlfn.XLOOKUP(C890,Analysis_Gadgets!$C:$C,Analysis_Gadgets!$B:$B)</f>
        <v>Gadget</v>
      </c>
      <c r="E890" s="43">
        <v>0</v>
      </c>
      <c r="F890" s="43">
        <f>_xlfn.XLOOKUP(A890,Class_Players!A:A,Class_Players!G:G)</f>
        <v>196</v>
      </c>
      <c r="G890" s="43">
        <f t="shared" si="201"/>
        <v>0</v>
      </c>
      <c r="H890" s="43">
        <f>_xlfn.XLOOKUP(A890,Class_Players!$A:$A,Class_Players!$F:$F,"")</f>
        <v>8240</v>
      </c>
      <c r="I890" s="44">
        <f t="shared" si="202"/>
        <v>0</v>
      </c>
      <c r="J890" s="43">
        <f t="shared" si="203"/>
        <v>0</v>
      </c>
      <c r="K890" s="44" cm="1">
        <f t="array" ref="K890">IF(D890="Gadget",_xlfn.IFS(I890&gt;=0.2,0.5,I890&gt;=0.1,0.35,I890&gt;=0.05,0.2,TRUE,0),IF(D890="Grenade",_xlfn.IFS(I890&gt;=0.2,1,I890&gt;=0.1,0.7,I890&gt;=0.05,0.4,TRUE,0),0))</f>
        <v>0</v>
      </c>
      <c r="L890" s="57">
        <f t="shared" ref="L890:L899" si="208">IF($K890=0,0,$K890 / SUMIFS($K:$K,$A:$A,$A890,$D:$D,"Gadget"))</f>
        <v>0</v>
      </c>
    </row>
    <row r="891" spans="1:12" x14ac:dyDescent="0.25">
      <c r="A891" s="42" t="str" cm="1">
        <f t="array" ref="A891">IFERROR(INDEX(_xlfn._xlws.FILTER(Class_Players!A:A,Class_Players!B:B="Engineer"),QUOTIENT(ROW()-ROW($A$2),12)+1),"")</f>
        <v>Dodge1947</v>
      </c>
      <c r="B891" s="42" t="str">
        <f>_xlfn.XLOOKUP(A891,Class_Players!$A:$A,Class_Players!$B:$B,"")</f>
        <v>Engineer</v>
      </c>
      <c r="C891" s="42" t="str" cm="1">
        <f t="array" ref="C891">INDEX(Lookups!$B$2:$B$13,MOD(ROW()-ROW($B$2),ROWS(Lookups!$B$2:$B$13))+1)</f>
        <v>SLM-93A (Air-Defense Launcher)</v>
      </c>
      <c r="D891" s="38" t="str">
        <f>_xlfn.XLOOKUP(C891,Analysis_Gadgets!$C:$C,Analysis_Gadgets!$B:$B)</f>
        <v>Gadget</v>
      </c>
      <c r="E891" s="43">
        <v>118</v>
      </c>
      <c r="F891" s="43">
        <f>_xlfn.XLOOKUP(A891,Class_Players!A:A,Class_Players!G:G)</f>
        <v>196</v>
      </c>
      <c r="G891" s="43">
        <f t="shared" si="201"/>
        <v>0.60204081632653061</v>
      </c>
      <c r="H891" s="43">
        <f>_xlfn.XLOOKUP(A891,Class_Players!$A:$A,Class_Players!$F:$F,"")</f>
        <v>8240</v>
      </c>
      <c r="I891" s="44">
        <f t="shared" si="202"/>
        <v>1.4320388349514563E-2</v>
      </c>
      <c r="J891" s="43">
        <f t="shared" si="203"/>
        <v>0</v>
      </c>
      <c r="K891" s="44" cm="1">
        <f t="array" ref="K891">IF(D891="Gadget",_xlfn.IFS(I891&gt;=0.2,0.5,I891&gt;=0.1,0.35,I891&gt;=0.05,0.2,TRUE,0),IF(D891="Grenade",_xlfn.IFS(I891&gt;=0.2,1,I891&gt;=0.1,0.7,I891&gt;=0.05,0.4,TRUE,0),0))</f>
        <v>0</v>
      </c>
      <c r="L891" s="57">
        <f t="shared" si="208"/>
        <v>0</v>
      </c>
    </row>
    <row r="892" spans="1:12" x14ac:dyDescent="0.25">
      <c r="A892" s="42" t="str" cm="1">
        <f t="array" ref="A892">IFERROR(INDEX(_xlfn._xlws.FILTER(Class_Players!A:A,Class_Players!B:B="Engineer"),QUOTIENT(ROW()-ROW($A$2),12)+1),"")</f>
        <v>Dodge1947</v>
      </c>
      <c r="B892" s="42" t="str">
        <f>_xlfn.XLOOKUP(A892,Class_Players!$A:$A,Class_Players!$B:$B,"")</f>
        <v>Engineer</v>
      </c>
      <c r="C892" s="42" t="str" cm="1">
        <f t="array" ref="C892">INDEX(Lookups!$B$2:$B$13,MOD(ROW()-ROW($B$2),ROWS(Lookups!$B$2:$B$13))+1)</f>
        <v>RPG-7V2 (Unguided Rocket Launcher)</v>
      </c>
      <c r="D892" s="38" t="str">
        <f>_xlfn.XLOOKUP(C892,Analysis_Gadgets!$C:$C,Analysis_Gadgets!$B:$B)</f>
        <v>Gadget</v>
      </c>
      <c r="E892" s="43">
        <v>9335</v>
      </c>
      <c r="F892" s="43">
        <f>_xlfn.XLOOKUP(A892,Class_Players!A:A,Class_Players!G:G)</f>
        <v>196</v>
      </c>
      <c r="G892" s="43">
        <f t="shared" si="201"/>
        <v>47.627551020408163</v>
      </c>
      <c r="H892" s="43">
        <f>_xlfn.XLOOKUP(A892,Class_Players!$A:$A,Class_Players!$F:$F,"")</f>
        <v>8240</v>
      </c>
      <c r="I892" s="44">
        <f t="shared" si="202"/>
        <v>1.1328883495145632</v>
      </c>
      <c r="J892" s="43">
        <f t="shared" si="203"/>
        <v>1</v>
      </c>
      <c r="K892" s="44" cm="1">
        <f t="array" ref="K892">IF(D892="Gadget",_xlfn.IFS(I892&gt;=0.2,0.5,I892&gt;=0.1,0.35,I892&gt;=0.05,0.2,TRUE,0),IF(D892="Grenade",_xlfn.IFS(I892&gt;=0.2,1,I892&gt;=0.1,0.7,I892&gt;=0.05,0.4,TRUE,0),0))</f>
        <v>0.5</v>
      </c>
      <c r="L892" s="57">
        <f t="shared" si="208"/>
        <v>0.37037037037037035</v>
      </c>
    </row>
    <row r="893" spans="1:12" x14ac:dyDescent="0.25">
      <c r="A893" s="42" t="str" cm="1">
        <f t="array" ref="A893">IFERROR(INDEX(_xlfn._xlws.FILTER(Class_Players!A:A,Class_Players!B:B="Engineer"),QUOTIENT(ROW()-ROW($A$2),12)+1),"")</f>
        <v>Dodge1947</v>
      </c>
      <c r="B893" s="42" t="str">
        <f>_xlfn.XLOOKUP(A893,Class_Players!$A:$A,Class_Players!$B:$B,"")</f>
        <v>Engineer</v>
      </c>
      <c r="C893" s="42" t="str" cm="1">
        <f t="array" ref="C893">INDEX(Lookups!$B$2:$B$13,MOD(ROW()-ROW($B$2),ROWS(Lookups!$B$2:$B$13))+1)</f>
        <v>MAS 148 (Long-Range Launcher)</v>
      </c>
      <c r="D893" s="38" t="str">
        <f>_xlfn.XLOOKUP(C893,Analysis_Gadgets!$C:$C,Analysis_Gadgets!$B:$B)</f>
        <v>Gadget</v>
      </c>
      <c r="E893" s="43">
        <v>12</v>
      </c>
      <c r="F893" s="43">
        <f>_xlfn.XLOOKUP(A893,Class_Players!A:A,Class_Players!G:G)</f>
        <v>196</v>
      </c>
      <c r="G893" s="43">
        <f t="shared" si="201"/>
        <v>6.1224489795918366E-2</v>
      </c>
      <c r="H893" s="43">
        <f>_xlfn.XLOOKUP(A893,Class_Players!$A:$A,Class_Players!$F:$F,"")</f>
        <v>8240</v>
      </c>
      <c r="I893" s="44">
        <f t="shared" si="202"/>
        <v>1.4563106796116505E-3</v>
      </c>
      <c r="J893" s="43">
        <f t="shared" si="203"/>
        <v>0</v>
      </c>
      <c r="K893" s="44" cm="1">
        <f t="array" ref="K893">IF(D893="Gadget",_xlfn.IFS(I893&gt;=0.2,0.5,I893&gt;=0.1,0.35,I893&gt;=0.05,0.2,TRUE,0),IF(D893="Grenade",_xlfn.IFS(I893&gt;=0.2,1,I893&gt;=0.1,0.7,I893&gt;=0.05,0.4,TRUE,0),0))</f>
        <v>0</v>
      </c>
      <c r="L893" s="57">
        <f t="shared" si="208"/>
        <v>0</v>
      </c>
    </row>
    <row r="894" spans="1:12" x14ac:dyDescent="0.25">
      <c r="A894" s="42" t="str" cm="1">
        <f t="array" ref="A894">IFERROR(INDEX(_xlfn._xlws.FILTER(Class_Players!A:A,Class_Players!B:B="Engineer"),QUOTIENT(ROW()-ROW($A$2),12)+1),"")</f>
        <v>Dodge1947</v>
      </c>
      <c r="B894" s="42" t="str">
        <f>_xlfn.XLOOKUP(A894,Class_Players!$A:$A,Class_Players!$B:$B,"")</f>
        <v>Engineer</v>
      </c>
      <c r="C894" s="42" t="str" cm="1">
        <f t="array" ref="C894">INDEX(Lookups!$B$2:$B$13,MOD(ROW()-ROW($B$2),ROWS(Lookups!$B$2:$B$13))+1)</f>
        <v>M136 AT (Aim-Guided Launcher)</v>
      </c>
      <c r="D894" s="38" t="str">
        <f>_xlfn.XLOOKUP(C894,Analysis_Gadgets!$C:$C,Analysis_Gadgets!$B:$B)</f>
        <v>Gadget</v>
      </c>
      <c r="E894" s="43">
        <v>31</v>
      </c>
      <c r="F894" s="43">
        <f>_xlfn.XLOOKUP(A894,Class_Players!A:A,Class_Players!G:G)</f>
        <v>196</v>
      </c>
      <c r="G894" s="43">
        <f t="shared" si="201"/>
        <v>0.15816326530612246</v>
      </c>
      <c r="H894" s="43">
        <f>_xlfn.XLOOKUP(A894,Class_Players!$A:$A,Class_Players!$F:$F,"")</f>
        <v>8240</v>
      </c>
      <c r="I894" s="44">
        <f t="shared" si="202"/>
        <v>3.7621359223300971E-3</v>
      </c>
      <c r="J894" s="43">
        <f t="shared" si="203"/>
        <v>0</v>
      </c>
      <c r="K894" s="44" cm="1">
        <f t="array" ref="K894">IF(D894="Gadget",_xlfn.IFS(I894&gt;=0.2,0.5,I894&gt;=0.1,0.35,I894&gt;=0.05,0.2,TRUE,0),IF(D894="Grenade",_xlfn.IFS(I894&gt;=0.2,1,I894&gt;=0.1,0.7,I894&gt;=0.05,0.4,TRUE,0),0))</f>
        <v>0</v>
      </c>
      <c r="L894" s="57">
        <f t="shared" si="208"/>
        <v>0</v>
      </c>
    </row>
    <row r="895" spans="1:12" x14ac:dyDescent="0.25">
      <c r="A895" s="42" t="str" cm="1">
        <f t="array" ref="A895">IFERROR(INDEX(_xlfn._xlws.FILTER(Class_Players!A:A,Class_Players!B:B="Engineer"),QUOTIENT(ROW()-ROW($A$2),12)+1),"")</f>
        <v>Dodge1947</v>
      </c>
      <c r="B895" s="42" t="str">
        <f>_xlfn.XLOOKUP(A895,Class_Players!$A:$A,Class_Players!$B:$B,"")</f>
        <v>Engineer</v>
      </c>
      <c r="C895" s="42" t="str" cm="1">
        <f t="array" ref="C895">INDEX(Lookups!$B$2:$B$13,MOD(ROW()-ROW($B$2),ROWS(Lookups!$B$2:$B$13))+1)</f>
        <v>Supply Crate</v>
      </c>
      <c r="D895" s="38" t="str">
        <f>_xlfn.XLOOKUP(C895,Analysis_Gadgets!$C:$C,Analysis_Gadgets!$B:$B)</f>
        <v>Gadget</v>
      </c>
      <c r="E895" s="43">
        <v>5</v>
      </c>
      <c r="F895" s="43">
        <f>_xlfn.XLOOKUP(A895,Class_Players!A:A,Class_Players!G:G)</f>
        <v>196</v>
      </c>
      <c r="G895" s="43">
        <f t="shared" si="201"/>
        <v>2.5510204081632654E-2</v>
      </c>
      <c r="H895" s="43">
        <f>_xlfn.XLOOKUP(A895,Class_Players!$A:$A,Class_Players!$F:$F,"")</f>
        <v>8240</v>
      </c>
      <c r="I895" s="44">
        <f t="shared" si="202"/>
        <v>6.0679611650485432E-4</v>
      </c>
      <c r="J895" s="43">
        <f t="shared" si="203"/>
        <v>0</v>
      </c>
      <c r="K895" s="44" cm="1">
        <f t="array" ref="K895">IF(D895="Gadget",_xlfn.IFS(I895&gt;=0.2,0.5,I895&gt;=0.1,0.35,I895&gt;=0.05,0.2,TRUE,0),IF(D895="Grenade",_xlfn.IFS(I895&gt;=0.2,1,I895&gt;=0.1,0.7,I895&gt;=0.05,0.4,TRUE,0),0))</f>
        <v>0</v>
      </c>
      <c r="L895" s="57">
        <f t="shared" si="208"/>
        <v>0</v>
      </c>
    </row>
    <row r="896" spans="1:12" x14ac:dyDescent="0.25">
      <c r="A896" s="42" t="str" cm="1">
        <f t="array" ref="A896">IFERROR(INDEX(_xlfn._xlws.FILTER(Class_Players!A:A,Class_Players!B:B="Engineer"),QUOTIENT(ROW()-ROW($A$2),12)+1),"")</f>
        <v>Dodge1947</v>
      </c>
      <c r="B896" s="42" t="str">
        <f>_xlfn.XLOOKUP(A896,Class_Players!$A:$A,Class_Players!$B:$B,"")</f>
        <v>Engineer</v>
      </c>
      <c r="C896" s="42" t="str" cm="1">
        <f t="array" ref="C896">INDEX(Lookups!$B$2:$B$13,MOD(ROW()-ROW($B$2),ROWS(Lookups!$B$2:$B$13))+1)</f>
        <v>M15 (Anti-Vehicle Mine)</v>
      </c>
      <c r="D896" s="38" t="str">
        <f>_xlfn.XLOOKUP(C896,Analysis_Gadgets!$C:$C,Analysis_Gadgets!$B:$B)</f>
        <v>Gadget</v>
      </c>
      <c r="E896" s="43">
        <v>918</v>
      </c>
      <c r="F896" s="43">
        <f>_xlfn.XLOOKUP(A896,Class_Players!A:A,Class_Players!G:G)</f>
        <v>196</v>
      </c>
      <c r="G896" s="43">
        <f t="shared" si="201"/>
        <v>4.6836734693877551</v>
      </c>
      <c r="H896" s="43">
        <f>_xlfn.XLOOKUP(A896,Class_Players!$A:$A,Class_Players!$F:$F,"")</f>
        <v>8240</v>
      </c>
      <c r="I896" s="44">
        <f t="shared" si="202"/>
        <v>0.11140776699029126</v>
      </c>
      <c r="J896" s="43">
        <f t="shared" si="203"/>
        <v>1</v>
      </c>
      <c r="K896" s="44" cm="1">
        <f t="array" ref="K896">IF(D896="Gadget",_xlfn.IFS(I896&gt;=0.2,0.5,I896&gt;=0.1,0.35,I896&gt;=0.05,0.2,TRUE,0),IF(D896="Grenade",_xlfn.IFS(I896&gt;=0.2,1,I896&gt;=0.1,0.7,I896&gt;=0.05,0.4,TRUE,0),0))</f>
        <v>0.35</v>
      </c>
      <c r="L896" s="57">
        <f t="shared" si="208"/>
        <v>0.25925925925925924</v>
      </c>
    </row>
    <row r="897" spans="1:12" x14ac:dyDescent="0.25">
      <c r="A897" s="42" t="str" cm="1">
        <f t="array" ref="A897">IFERROR(INDEX(_xlfn._xlws.FILTER(Class_Players!A:A,Class_Players!B:B="Engineer"),QUOTIENT(ROW()-ROW($A$2),12)+1),"")</f>
        <v>Dodge1947</v>
      </c>
      <c r="B897" s="42" t="str">
        <f>_xlfn.XLOOKUP(A897,Class_Players!$A:$A,Class_Players!$B:$B,"")</f>
        <v>Engineer</v>
      </c>
      <c r="C897" s="42" t="str" cm="1">
        <f t="array" ref="C897">INDEX(Lookups!$B$2:$B$13,MOD(ROW()-ROW($B$2),ROWS(Lookups!$B$2:$B$13))+1)</f>
        <v>PTKM-1R (Acoustic Sensor AV Mine)</v>
      </c>
      <c r="D897" s="38" t="str">
        <f>_xlfn.XLOOKUP(C897,Analysis_Gadgets!$C:$C,Analysis_Gadgets!$B:$B)</f>
        <v>Gadget</v>
      </c>
      <c r="E897" s="43">
        <v>2736</v>
      </c>
      <c r="F897" s="43">
        <f>_xlfn.XLOOKUP(A897,Class_Players!A:A,Class_Players!G:G)</f>
        <v>196</v>
      </c>
      <c r="G897" s="43">
        <f t="shared" si="201"/>
        <v>13.959183673469388</v>
      </c>
      <c r="H897" s="43">
        <f>_xlfn.XLOOKUP(A897,Class_Players!$A:$A,Class_Players!$F:$F,"")</f>
        <v>8240</v>
      </c>
      <c r="I897" s="44">
        <f t="shared" si="202"/>
        <v>0.33203883495145631</v>
      </c>
      <c r="J897" s="43">
        <f t="shared" si="203"/>
        <v>1</v>
      </c>
      <c r="K897" s="44" cm="1">
        <f t="array" ref="K897">IF(D897="Gadget",_xlfn.IFS(I897&gt;=0.2,0.5,I897&gt;=0.1,0.35,I897&gt;=0.05,0.2,TRUE,0),IF(D897="Grenade",_xlfn.IFS(I897&gt;=0.2,1,I897&gt;=0.1,0.7,I897&gt;=0.05,0.4,TRUE,0),0))</f>
        <v>0.5</v>
      </c>
      <c r="L897" s="57">
        <f t="shared" si="208"/>
        <v>0.37037037037037035</v>
      </c>
    </row>
    <row r="898" spans="1:12" x14ac:dyDescent="0.25">
      <c r="A898" s="42" t="str" cm="1">
        <f t="array" ref="A898">IFERROR(INDEX(_xlfn._xlws.FILTER(Class_Players!A:A,Class_Players!B:B="Engineer"),QUOTIENT(ROW()-ROW($A$2),12)+1),"")</f>
        <v>Dodge1947</v>
      </c>
      <c r="B898" s="42" t="str">
        <f>_xlfn.XLOOKUP(A898,Class_Players!$A:$A,Class_Players!$B:$B,"")</f>
        <v>Engineer</v>
      </c>
      <c r="C898" s="42" t="str" cm="1">
        <f t="array" ref="C898">INDEX(Lookups!$B$2:$B$13,MOD(ROW()-ROW($B$2),ROWS(Lookups!$B$2:$B$13))+1)</f>
        <v>EOD Bot</v>
      </c>
      <c r="D898" s="38" t="str">
        <f>_xlfn.XLOOKUP(C898,Analysis_Gadgets!$C:$C,Analysis_Gadgets!$B:$B)</f>
        <v>Gadget</v>
      </c>
      <c r="E898" s="43">
        <v>0</v>
      </c>
      <c r="F898" s="43">
        <f>_xlfn.XLOOKUP(A898,Class_Players!A:A,Class_Players!G:G)</f>
        <v>196</v>
      </c>
      <c r="G898" s="43">
        <f t="shared" si="201"/>
        <v>0</v>
      </c>
      <c r="H898" s="43">
        <f>_xlfn.XLOOKUP(A898,Class_Players!$A:$A,Class_Players!$F:$F,"")</f>
        <v>8240</v>
      </c>
      <c r="I898" s="44">
        <f t="shared" si="202"/>
        <v>0</v>
      </c>
      <c r="J898" s="43">
        <f t="shared" si="203"/>
        <v>0</v>
      </c>
      <c r="K898" s="44" cm="1">
        <f t="array" ref="K898">IF(D898="Gadget",_xlfn.IFS(I898&gt;=0.2,0.5,I898&gt;=0.1,0.35,I898&gt;=0.05,0.2,TRUE,0),IF(D898="Grenade",_xlfn.IFS(I898&gt;=0.2,1,I898&gt;=0.1,0.7,I898&gt;=0.05,0.4,TRUE,0),0))</f>
        <v>0</v>
      </c>
      <c r="L898" s="57">
        <f t="shared" si="208"/>
        <v>0</v>
      </c>
    </row>
    <row r="899" spans="1:12" x14ac:dyDescent="0.25">
      <c r="A899" s="42" t="str" cm="1">
        <f t="array" ref="A899">IFERROR(INDEX(_xlfn._xlws.FILTER(Class_Players!A:A,Class_Players!B:B="Engineer"),QUOTIENT(ROW()-ROW($A$2),12)+1),"")</f>
        <v>Dodge1947</v>
      </c>
      <c r="B899" s="42" t="str">
        <f>_xlfn.XLOOKUP(A899,Class_Players!$A:$A,Class_Players!$B:$B,"")</f>
        <v>Engineer</v>
      </c>
      <c r="C899" s="42" t="str" cm="1">
        <f t="array" ref="C899">INDEX(Lookups!$B$2:$B$13,MOD(ROW()-ROW($B$2),ROWS(Lookups!$B$2:$B$13))+1)</f>
        <v>M4A1 SLAM (Tripwire Sensor AV Mine)</v>
      </c>
      <c r="D899" s="38" t="str">
        <f>_xlfn.XLOOKUP(C899,Analysis_Gadgets!$C:$C,Analysis_Gadgets!$B:$B)</f>
        <v>Gadget</v>
      </c>
      <c r="E899" s="43">
        <v>0</v>
      </c>
      <c r="F899" s="43">
        <f>_xlfn.XLOOKUP(A899,Class_Players!A:A,Class_Players!G:G)</f>
        <v>196</v>
      </c>
      <c r="G899" s="43">
        <f t="shared" si="201"/>
        <v>0</v>
      </c>
      <c r="H899" s="43">
        <f>_xlfn.XLOOKUP(A899,Class_Players!$A:$A,Class_Players!$F:$F,"")</f>
        <v>8240</v>
      </c>
      <c r="I899" s="44">
        <f t="shared" si="202"/>
        <v>0</v>
      </c>
      <c r="J899" s="43">
        <f t="shared" si="203"/>
        <v>0</v>
      </c>
      <c r="K899" s="44" cm="1">
        <f t="array" ref="K899">IF(D899="Gadget",_xlfn.IFS(I899&gt;=0.2,0.5,I899&gt;=0.1,0.35,I899&gt;=0.05,0.2,TRUE,0),IF(D899="Grenade",_xlfn.IFS(I899&gt;=0.2,1,I899&gt;=0.1,0.7,I899&gt;=0.05,0.4,TRUE,0),0))</f>
        <v>0</v>
      </c>
      <c r="L899" s="57">
        <f t="shared" si="208"/>
        <v>0</v>
      </c>
    </row>
    <row r="900" spans="1:12" x14ac:dyDescent="0.25">
      <c r="A900" s="42" t="str" cm="1">
        <f t="array" ref="A900">IFERROR(INDEX(_xlfn._xlws.FILTER(Class_Players!A:A,Class_Players!B:B="Engineer"),QUOTIENT(ROW()-ROW($A$2),12)+1),"")</f>
        <v>Dodge1947</v>
      </c>
      <c r="B900" s="42" t="str">
        <f>_xlfn.XLOOKUP(A900,Class_Players!$A:$A,Class_Players!$B:$B,"")</f>
        <v>Engineer</v>
      </c>
      <c r="C900" s="42" t="str" cm="1">
        <f t="array" ref="C900">INDEX(Lookups!$B$2:$B$13,MOD(ROW()-ROW($B$2),ROWS(Lookups!$B$2:$B$13))+1)</f>
        <v>Mini Frag Grenade</v>
      </c>
      <c r="D900" s="38" t="str">
        <f>_xlfn.XLOOKUP(C900,Analysis_Gadgets!$C:$C,Analysis_Gadgets!$B:$B)</f>
        <v>Grenade</v>
      </c>
      <c r="E900" s="43">
        <v>130</v>
      </c>
      <c r="F900" s="43">
        <f>_xlfn.XLOOKUP(A900,Class_Players!A:A,Class_Players!G:G)</f>
        <v>196</v>
      </c>
      <c r="G900" s="43">
        <f t="shared" si="201"/>
        <v>0.66326530612244894</v>
      </c>
      <c r="H900" s="43">
        <f>_xlfn.XLOOKUP(A900,Class_Players!$A:$A,Class_Players!$F:$F,"")</f>
        <v>8240</v>
      </c>
      <c r="I900" s="44">
        <f t="shared" si="202"/>
        <v>1.5776699029126214E-2</v>
      </c>
      <c r="J900" s="43">
        <f t="shared" si="203"/>
        <v>0</v>
      </c>
      <c r="K900" s="44" cm="1">
        <f t="array" ref="K900">IF(D900="Gadget",_xlfn.IFS(I900&gt;=0.2,0.5,I900&gt;=0.1,0.35,I900&gt;=0.05,0.2,TRUE,0),IF(D900="Grenade",_xlfn.IFS(I900&gt;=0.2,1,I900&gt;=0.1,0.7,I900&gt;=0.05,0.4,TRUE,0),0))</f>
        <v>0</v>
      </c>
      <c r="L900" s="57">
        <f t="shared" ref="L900:L901" si="209">IF($K900=0,0,$K900 / SUMIFS($K:$K,$A:$A,$A900,$D:$D,"Grenade"))</f>
        <v>0</v>
      </c>
    </row>
    <row r="901" spans="1:12" x14ac:dyDescent="0.25">
      <c r="A901" s="42" t="str" cm="1">
        <f t="array" ref="A901">IFERROR(INDEX(_xlfn._xlws.FILTER(Class_Players!A:A,Class_Players!B:B="Engineer"),QUOTIENT(ROW()-ROW($A$2),12)+1),"")</f>
        <v>Dodge1947</v>
      </c>
      <c r="B901" s="42" t="str">
        <f>_xlfn.XLOOKUP(A901,Class_Players!$A:$A,Class_Players!$B:$B,"")</f>
        <v>Engineer</v>
      </c>
      <c r="C901" s="42" t="str" cm="1">
        <f t="array" ref="C901">INDEX(Lookups!$B$2:$B$13,MOD(ROW()-ROW($B$2),ROWS(Lookups!$B$2:$B$13))+1)</f>
        <v>Anti-Vehicle Grenade</v>
      </c>
      <c r="D901" s="38" t="str">
        <f>_xlfn.XLOOKUP(C901,Analysis_Gadgets!$C:$C,Analysis_Gadgets!$B:$B)</f>
        <v>Grenade</v>
      </c>
      <c r="E901" s="43">
        <v>0</v>
      </c>
      <c r="F901" s="43">
        <f>_xlfn.XLOOKUP(A901,Class_Players!A:A,Class_Players!G:G)</f>
        <v>196</v>
      </c>
      <c r="G901" s="43">
        <f t="shared" si="201"/>
        <v>0</v>
      </c>
      <c r="H901" s="43">
        <f>_xlfn.XLOOKUP(A901,Class_Players!$A:$A,Class_Players!$F:$F,"")</f>
        <v>8240</v>
      </c>
      <c r="I901" s="44">
        <f t="shared" si="202"/>
        <v>0</v>
      </c>
      <c r="J901" s="43">
        <f t="shared" si="203"/>
        <v>0</v>
      </c>
      <c r="K901" s="44" cm="1">
        <f t="array" ref="K901">IF(D901="Gadget",_xlfn.IFS(I901&gt;=0.2,0.5,I901&gt;=0.1,0.35,I901&gt;=0.05,0.2,TRUE,0),IF(D901="Grenade",_xlfn.IFS(I901&gt;=0.2,1,I901&gt;=0.1,0.7,I901&gt;=0.05,0.4,TRUE,0),0))</f>
        <v>0</v>
      </c>
      <c r="L901" s="57">
        <f t="shared" si="209"/>
        <v>0</v>
      </c>
    </row>
    <row r="902" spans="1:12" x14ac:dyDescent="0.25">
      <c r="A902" s="42" t="str" cm="1">
        <f t="array" ref="A902">IFERROR(INDEX(_xlfn._xlws.FILTER(Class_Players!A:A,Class_Players!B:B="Engineer"),QUOTIENT(ROW()-ROW($A$2),12)+1),"")</f>
        <v>240kmmh</v>
      </c>
      <c r="B902" s="42" t="str">
        <f>_xlfn.XLOOKUP(A902,Class_Players!$A:$A,Class_Players!$B:$B,"")</f>
        <v>Engineer</v>
      </c>
      <c r="C902" s="42" t="str" cm="1">
        <f t="array" ref="C902">INDEX(Lookups!$B$2:$B$13,MOD(ROW()-ROW($B$2),ROWS(Lookups!$B$2:$B$13))+1)</f>
        <v>MBT-LAW (Auto-Guided Launcher)</v>
      </c>
      <c r="D902" s="38" t="str">
        <f>_xlfn.XLOOKUP(C902,Analysis_Gadgets!$C:$C,Analysis_Gadgets!$B:$B)</f>
        <v>Gadget</v>
      </c>
      <c r="E902" s="43">
        <v>0</v>
      </c>
      <c r="F902" s="43">
        <f>_xlfn.XLOOKUP(A902,Class_Players!A:A,Class_Players!G:G)</f>
        <v>132</v>
      </c>
      <c r="G902" s="43">
        <f t="shared" si="201"/>
        <v>0</v>
      </c>
      <c r="H902" s="43">
        <f>_xlfn.XLOOKUP(A902,Class_Players!$A:$A,Class_Players!$F:$F,"")</f>
        <v>7398</v>
      </c>
      <c r="I902" s="44">
        <f t="shared" si="202"/>
        <v>0</v>
      </c>
      <c r="J902" s="43">
        <f t="shared" si="203"/>
        <v>0</v>
      </c>
      <c r="K902" s="44" cm="1">
        <f t="array" ref="K902">IF(D902="Gadget",_xlfn.IFS(I902&gt;=0.2,0.5,I902&gt;=0.1,0.35,I902&gt;=0.05,0.2,TRUE,0),IF(D902="Grenade",_xlfn.IFS(I902&gt;=0.2,1,I902&gt;=0.1,0.7,I902&gt;=0.05,0.4,TRUE,0),0))</f>
        <v>0</v>
      </c>
      <c r="L902" s="57">
        <f t="shared" ref="L902:L911" si="210">IF($K902=0,0,$K902 / SUMIFS($K:$K,$A:$A,$A902,$D:$D,"Gadget"))</f>
        <v>0</v>
      </c>
    </row>
    <row r="903" spans="1:12" x14ac:dyDescent="0.25">
      <c r="A903" s="42" t="str" cm="1">
        <f t="array" ref="A903">IFERROR(INDEX(_xlfn._xlws.FILTER(Class_Players!A:A,Class_Players!B:B="Engineer"),QUOTIENT(ROW()-ROW($A$2),12)+1),"")</f>
        <v>240kmmh</v>
      </c>
      <c r="B903" s="42" t="str">
        <f>_xlfn.XLOOKUP(A903,Class_Players!$A:$A,Class_Players!$B:$B,"")</f>
        <v>Engineer</v>
      </c>
      <c r="C903" s="42" t="str" cm="1">
        <f t="array" ref="C903">INDEX(Lookups!$B$2:$B$13,MOD(ROW()-ROW($B$2),ROWS(Lookups!$B$2:$B$13))+1)</f>
        <v>SLM-93A (Air-Defense Launcher)</v>
      </c>
      <c r="D903" s="38" t="str">
        <f>_xlfn.XLOOKUP(C903,Analysis_Gadgets!$C:$C,Analysis_Gadgets!$B:$B)</f>
        <v>Gadget</v>
      </c>
      <c r="E903" s="43">
        <v>39</v>
      </c>
      <c r="F903" s="43">
        <f>_xlfn.XLOOKUP(A903,Class_Players!A:A,Class_Players!G:G)</f>
        <v>132</v>
      </c>
      <c r="G903" s="43">
        <f t="shared" si="201"/>
        <v>0.29545454545454547</v>
      </c>
      <c r="H903" s="43">
        <f>_xlfn.XLOOKUP(A903,Class_Players!$A:$A,Class_Players!$F:$F,"")</f>
        <v>7398</v>
      </c>
      <c r="I903" s="44">
        <f t="shared" si="202"/>
        <v>5.2716950527169504E-3</v>
      </c>
      <c r="J903" s="43">
        <f t="shared" si="203"/>
        <v>0</v>
      </c>
      <c r="K903" s="44" cm="1">
        <f t="array" ref="K903">IF(D903="Gadget",_xlfn.IFS(I903&gt;=0.2,0.5,I903&gt;=0.1,0.35,I903&gt;=0.05,0.2,TRUE,0),IF(D903="Grenade",_xlfn.IFS(I903&gt;=0.2,1,I903&gt;=0.1,0.7,I903&gt;=0.05,0.4,TRUE,0),0))</f>
        <v>0</v>
      </c>
      <c r="L903" s="57">
        <f t="shared" si="210"/>
        <v>0</v>
      </c>
    </row>
    <row r="904" spans="1:12" x14ac:dyDescent="0.25">
      <c r="A904" s="42" t="str" cm="1">
        <f t="array" ref="A904">IFERROR(INDEX(_xlfn._xlws.FILTER(Class_Players!A:A,Class_Players!B:B="Engineer"),QUOTIENT(ROW()-ROW($A$2),12)+1),"")</f>
        <v>240kmmh</v>
      </c>
      <c r="B904" s="42" t="str">
        <f>_xlfn.XLOOKUP(A904,Class_Players!$A:$A,Class_Players!$B:$B,"")</f>
        <v>Engineer</v>
      </c>
      <c r="C904" s="42" t="str" cm="1">
        <f t="array" ref="C904">INDEX(Lookups!$B$2:$B$13,MOD(ROW()-ROW($B$2),ROWS(Lookups!$B$2:$B$13))+1)</f>
        <v>RPG-7V2 (Unguided Rocket Launcher)</v>
      </c>
      <c r="D904" s="38" t="str">
        <f>_xlfn.XLOOKUP(C904,Analysis_Gadgets!$C:$C,Analysis_Gadgets!$B:$B)</f>
        <v>Gadget</v>
      </c>
      <c r="E904" s="43">
        <v>6580</v>
      </c>
      <c r="F904" s="43">
        <f>_xlfn.XLOOKUP(A904,Class_Players!A:A,Class_Players!G:G)</f>
        <v>132</v>
      </c>
      <c r="G904" s="43">
        <f t="shared" si="201"/>
        <v>49.848484848484851</v>
      </c>
      <c r="H904" s="43">
        <f>_xlfn.XLOOKUP(A904,Class_Players!$A:$A,Class_Players!$F:$F,"")</f>
        <v>7398</v>
      </c>
      <c r="I904" s="44">
        <f t="shared" si="202"/>
        <v>0.88942957556096247</v>
      </c>
      <c r="J904" s="43">
        <f t="shared" si="203"/>
        <v>1</v>
      </c>
      <c r="K904" s="44" cm="1">
        <f t="array" ref="K904">IF(D904="Gadget",_xlfn.IFS(I904&gt;=0.2,0.5,I904&gt;=0.1,0.35,I904&gt;=0.05,0.2,TRUE,0),IF(D904="Grenade",_xlfn.IFS(I904&gt;=0.2,1,I904&gt;=0.1,0.7,I904&gt;=0.05,0.4,TRUE,0),0))</f>
        <v>0.5</v>
      </c>
      <c r="L904" s="57">
        <f t="shared" si="210"/>
        <v>0.5</v>
      </c>
    </row>
    <row r="905" spans="1:12" x14ac:dyDescent="0.25">
      <c r="A905" s="42" t="str" cm="1">
        <f t="array" ref="A905">IFERROR(INDEX(_xlfn._xlws.FILTER(Class_Players!A:A,Class_Players!B:B="Engineer"),QUOTIENT(ROW()-ROW($A$2),12)+1),"")</f>
        <v>240kmmh</v>
      </c>
      <c r="B905" s="42" t="str">
        <f>_xlfn.XLOOKUP(A905,Class_Players!$A:$A,Class_Players!$B:$B,"")</f>
        <v>Engineer</v>
      </c>
      <c r="C905" s="42" t="str" cm="1">
        <f t="array" ref="C905">INDEX(Lookups!$B$2:$B$13,MOD(ROW()-ROW($B$2),ROWS(Lookups!$B$2:$B$13))+1)</f>
        <v>MAS 148 (Long-Range Launcher)</v>
      </c>
      <c r="D905" s="38" t="str">
        <f>_xlfn.XLOOKUP(C905,Analysis_Gadgets!$C:$C,Analysis_Gadgets!$B:$B)</f>
        <v>Gadget</v>
      </c>
      <c r="E905" s="43">
        <v>3</v>
      </c>
      <c r="F905" s="43">
        <f>_xlfn.XLOOKUP(A905,Class_Players!A:A,Class_Players!G:G)</f>
        <v>132</v>
      </c>
      <c r="G905" s="43">
        <f t="shared" si="201"/>
        <v>2.2727272727272728E-2</v>
      </c>
      <c r="H905" s="43">
        <f>_xlfn.XLOOKUP(A905,Class_Players!$A:$A,Class_Players!$F:$F,"")</f>
        <v>7398</v>
      </c>
      <c r="I905" s="44">
        <f t="shared" si="202"/>
        <v>4.0551500405515005E-4</v>
      </c>
      <c r="J905" s="43">
        <f t="shared" si="203"/>
        <v>0</v>
      </c>
      <c r="K905" s="44" cm="1">
        <f t="array" ref="K905">IF(D905="Gadget",_xlfn.IFS(I905&gt;=0.2,0.5,I905&gt;=0.1,0.35,I905&gt;=0.05,0.2,TRUE,0),IF(D905="Grenade",_xlfn.IFS(I905&gt;=0.2,1,I905&gt;=0.1,0.7,I905&gt;=0.05,0.4,TRUE,0),0))</f>
        <v>0</v>
      </c>
      <c r="L905" s="57">
        <f t="shared" si="210"/>
        <v>0</v>
      </c>
    </row>
    <row r="906" spans="1:12" x14ac:dyDescent="0.25">
      <c r="A906" s="42" t="str" cm="1">
        <f t="array" ref="A906">IFERROR(INDEX(_xlfn._xlws.FILTER(Class_Players!A:A,Class_Players!B:B="Engineer"),QUOTIENT(ROW()-ROW($A$2),12)+1),"")</f>
        <v>240kmmh</v>
      </c>
      <c r="B906" s="42" t="str">
        <f>_xlfn.XLOOKUP(A906,Class_Players!$A:$A,Class_Players!$B:$B,"")</f>
        <v>Engineer</v>
      </c>
      <c r="C906" s="42" t="str" cm="1">
        <f t="array" ref="C906">INDEX(Lookups!$B$2:$B$13,MOD(ROW()-ROW($B$2),ROWS(Lookups!$B$2:$B$13))+1)</f>
        <v>M136 AT (Aim-Guided Launcher)</v>
      </c>
      <c r="D906" s="38" t="str">
        <f>_xlfn.XLOOKUP(C906,Analysis_Gadgets!$C:$C,Analysis_Gadgets!$B:$B)</f>
        <v>Gadget</v>
      </c>
      <c r="E906" s="43">
        <v>1</v>
      </c>
      <c r="F906" s="43">
        <f>_xlfn.XLOOKUP(A906,Class_Players!A:A,Class_Players!G:G)</f>
        <v>132</v>
      </c>
      <c r="G906" s="43">
        <f t="shared" si="201"/>
        <v>7.575757575757576E-3</v>
      </c>
      <c r="H906" s="43">
        <f>_xlfn.XLOOKUP(A906,Class_Players!$A:$A,Class_Players!$F:$F,"")</f>
        <v>7398</v>
      </c>
      <c r="I906" s="44">
        <f t="shared" si="202"/>
        <v>1.3517166801838335E-4</v>
      </c>
      <c r="J906" s="43">
        <f t="shared" si="203"/>
        <v>0</v>
      </c>
      <c r="K906" s="44" cm="1">
        <f t="array" ref="K906">IF(D906="Gadget",_xlfn.IFS(I906&gt;=0.2,0.5,I906&gt;=0.1,0.35,I906&gt;=0.05,0.2,TRUE,0),IF(D906="Grenade",_xlfn.IFS(I906&gt;=0.2,1,I906&gt;=0.1,0.7,I906&gt;=0.05,0.4,TRUE,0),0))</f>
        <v>0</v>
      </c>
      <c r="L906" s="57">
        <f t="shared" si="210"/>
        <v>0</v>
      </c>
    </row>
    <row r="907" spans="1:12" x14ac:dyDescent="0.25">
      <c r="A907" s="42" t="str" cm="1">
        <f t="array" ref="A907">IFERROR(INDEX(_xlfn._xlws.FILTER(Class_Players!A:A,Class_Players!B:B="Engineer"),QUOTIENT(ROW()-ROW($A$2),12)+1),"")</f>
        <v>240kmmh</v>
      </c>
      <c r="B907" s="42" t="str">
        <f>_xlfn.XLOOKUP(A907,Class_Players!$A:$A,Class_Players!$B:$B,"")</f>
        <v>Engineer</v>
      </c>
      <c r="C907" s="42" t="str" cm="1">
        <f t="array" ref="C907">INDEX(Lookups!$B$2:$B$13,MOD(ROW()-ROW($B$2),ROWS(Lookups!$B$2:$B$13))+1)</f>
        <v>Supply Crate</v>
      </c>
      <c r="D907" s="38" t="str">
        <f>_xlfn.XLOOKUP(C907,Analysis_Gadgets!$C:$C,Analysis_Gadgets!$B:$B)</f>
        <v>Gadget</v>
      </c>
      <c r="E907" s="43">
        <v>14</v>
      </c>
      <c r="F907" s="43">
        <f>_xlfn.XLOOKUP(A907,Class_Players!A:A,Class_Players!G:G)</f>
        <v>132</v>
      </c>
      <c r="G907" s="43">
        <f t="shared" si="201"/>
        <v>0.10606060606060606</v>
      </c>
      <c r="H907" s="43">
        <f>_xlfn.XLOOKUP(A907,Class_Players!$A:$A,Class_Players!$F:$F,"")</f>
        <v>7398</v>
      </c>
      <c r="I907" s="44">
        <f t="shared" si="202"/>
        <v>1.8924033522573669E-3</v>
      </c>
      <c r="J907" s="43">
        <f t="shared" si="203"/>
        <v>0</v>
      </c>
      <c r="K907" s="44" cm="1">
        <f t="array" ref="K907">IF(D907="Gadget",_xlfn.IFS(I907&gt;=0.2,0.5,I907&gt;=0.1,0.35,I907&gt;=0.05,0.2,TRUE,0),IF(D907="Grenade",_xlfn.IFS(I907&gt;=0.2,1,I907&gt;=0.1,0.7,I907&gt;=0.05,0.4,TRUE,0),0))</f>
        <v>0</v>
      </c>
      <c r="L907" s="57">
        <f t="shared" si="210"/>
        <v>0</v>
      </c>
    </row>
    <row r="908" spans="1:12" x14ac:dyDescent="0.25">
      <c r="A908" s="42" t="str" cm="1">
        <f t="array" ref="A908">IFERROR(INDEX(_xlfn._xlws.FILTER(Class_Players!A:A,Class_Players!B:B="Engineer"),QUOTIENT(ROW()-ROW($A$2),12)+1),"")</f>
        <v>240kmmh</v>
      </c>
      <c r="B908" s="42" t="str">
        <f>_xlfn.XLOOKUP(A908,Class_Players!$A:$A,Class_Players!$B:$B,"")</f>
        <v>Engineer</v>
      </c>
      <c r="C908" s="42" t="str" cm="1">
        <f t="array" ref="C908">INDEX(Lookups!$B$2:$B$13,MOD(ROW()-ROW($B$2),ROWS(Lookups!$B$2:$B$13))+1)</f>
        <v>M15 (Anti-Vehicle Mine)</v>
      </c>
      <c r="D908" s="38" t="str">
        <f>_xlfn.XLOOKUP(C908,Analysis_Gadgets!$C:$C,Analysis_Gadgets!$B:$B)</f>
        <v>Gadget</v>
      </c>
      <c r="E908" s="43">
        <v>115</v>
      </c>
      <c r="F908" s="43">
        <f>_xlfn.XLOOKUP(A908,Class_Players!A:A,Class_Players!G:G)</f>
        <v>132</v>
      </c>
      <c r="G908" s="43">
        <f t="shared" si="201"/>
        <v>0.87121212121212122</v>
      </c>
      <c r="H908" s="43">
        <f>_xlfn.XLOOKUP(A908,Class_Players!$A:$A,Class_Players!$F:$F,"")</f>
        <v>7398</v>
      </c>
      <c r="I908" s="44">
        <f t="shared" si="202"/>
        <v>1.5544741822114084E-2</v>
      </c>
      <c r="J908" s="43">
        <f t="shared" si="203"/>
        <v>0</v>
      </c>
      <c r="K908" s="44" cm="1">
        <f t="array" ref="K908">IF(D908="Gadget",_xlfn.IFS(I908&gt;=0.2,0.5,I908&gt;=0.1,0.35,I908&gt;=0.05,0.2,TRUE,0),IF(D908="Grenade",_xlfn.IFS(I908&gt;=0.2,1,I908&gt;=0.1,0.7,I908&gt;=0.05,0.4,TRUE,0),0))</f>
        <v>0</v>
      </c>
      <c r="L908" s="57">
        <f t="shared" si="210"/>
        <v>0</v>
      </c>
    </row>
    <row r="909" spans="1:12" x14ac:dyDescent="0.25">
      <c r="A909" s="42" t="str" cm="1">
        <f t="array" ref="A909">IFERROR(INDEX(_xlfn._xlws.FILTER(Class_Players!A:A,Class_Players!B:B="Engineer"),QUOTIENT(ROW()-ROW($A$2),12)+1),"")</f>
        <v>240kmmh</v>
      </c>
      <c r="B909" s="42" t="str">
        <f>_xlfn.XLOOKUP(A909,Class_Players!$A:$A,Class_Players!$B:$B,"")</f>
        <v>Engineer</v>
      </c>
      <c r="C909" s="42" t="str" cm="1">
        <f t="array" ref="C909">INDEX(Lookups!$B$2:$B$13,MOD(ROW()-ROW($B$2),ROWS(Lookups!$B$2:$B$13))+1)</f>
        <v>PTKM-1R (Acoustic Sensor AV Mine)</v>
      </c>
      <c r="D909" s="38" t="str">
        <f>_xlfn.XLOOKUP(C909,Analysis_Gadgets!$C:$C,Analysis_Gadgets!$B:$B)</f>
        <v>Gadget</v>
      </c>
      <c r="E909" s="43">
        <v>1865</v>
      </c>
      <c r="F909" s="43">
        <f>_xlfn.XLOOKUP(A909,Class_Players!A:A,Class_Players!G:G)</f>
        <v>132</v>
      </c>
      <c r="G909" s="43">
        <f t="shared" si="201"/>
        <v>14.128787878787879</v>
      </c>
      <c r="H909" s="43">
        <f>_xlfn.XLOOKUP(A909,Class_Players!$A:$A,Class_Players!$F:$F,"")</f>
        <v>7398</v>
      </c>
      <c r="I909" s="44">
        <f t="shared" si="202"/>
        <v>0.25209516085428496</v>
      </c>
      <c r="J909" s="43">
        <f t="shared" si="203"/>
        <v>1</v>
      </c>
      <c r="K909" s="44" cm="1">
        <f t="array" ref="K909">IF(D909="Gadget",_xlfn.IFS(I909&gt;=0.2,0.5,I909&gt;=0.1,0.35,I909&gt;=0.05,0.2,TRUE,0),IF(D909="Grenade",_xlfn.IFS(I909&gt;=0.2,1,I909&gt;=0.1,0.7,I909&gt;=0.05,0.4,TRUE,0),0))</f>
        <v>0.5</v>
      </c>
      <c r="L909" s="57">
        <f t="shared" si="210"/>
        <v>0.5</v>
      </c>
    </row>
    <row r="910" spans="1:12" x14ac:dyDescent="0.25">
      <c r="A910" s="42" t="str" cm="1">
        <f t="array" ref="A910">IFERROR(INDEX(_xlfn._xlws.FILTER(Class_Players!A:A,Class_Players!B:B="Engineer"),QUOTIENT(ROW()-ROW($A$2),12)+1),"")</f>
        <v>240kmmh</v>
      </c>
      <c r="B910" s="42" t="str">
        <f>_xlfn.XLOOKUP(A910,Class_Players!$A:$A,Class_Players!$B:$B,"")</f>
        <v>Engineer</v>
      </c>
      <c r="C910" s="42" t="str" cm="1">
        <f t="array" ref="C910">INDEX(Lookups!$B$2:$B$13,MOD(ROW()-ROW($B$2),ROWS(Lookups!$B$2:$B$13))+1)</f>
        <v>EOD Bot</v>
      </c>
      <c r="D910" s="38" t="str">
        <f>_xlfn.XLOOKUP(C910,Analysis_Gadgets!$C:$C,Analysis_Gadgets!$B:$B)</f>
        <v>Gadget</v>
      </c>
      <c r="E910" s="43">
        <v>0</v>
      </c>
      <c r="F910" s="43">
        <f>_xlfn.XLOOKUP(A910,Class_Players!A:A,Class_Players!G:G)</f>
        <v>132</v>
      </c>
      <c r="G910" s="43">
        <f t="shared" si="201"/>
        <v>0</v>
      </c>
      <c r="H910" s="43">
        <f>_xlfn.XLOOKUP(A910,Class_Players!$A:$A,Class_Players!$F:$F,"")</f>
        <v>7398</v>
      </c>
      <c r="I910" s="44">
        <f t="shared" si="202"/>
        <v>0</v>
      </c>
      <c r="J910" s="43">
        <f t="shared" si="203"/>
        <v>0</v>
      </c>
      <c r="K910" s="44" cm="1">
        <f t="array" ref="K910">IF(D910="Gadget",_xlfn.IFS(I910&gt;=0.2,0.5,I910&gt;=0.1,0.35,I910&gt;=0.05,0.2,TRUE,0),IF(D910="Grenade",_xlfn.IFS(I910&gt;=0.2,1,I910&gt;=0.1,0.7,I910&gt;=0.05,0.4,TRUE,0),0))</f>
        <v>0</v>
      </c>
      <c r="L910" s="57">
        <f t="shared" si="210"/>
        <v>0</v>
      </c>
    </row>
    <row r="911" spans="1:12" x14ac:dyDescent="0.25">
      <c r="A911" s="42" t="str" cm="1">
        <f t="array" ref="A911">IFERROR(INDEX(_xlfn._xlws.FILTER(Class_Players!A:A,Class_Players!B:B="Engineer"),QUOTIENT(ROW()-ROW($A$2),12)+1),"")</f>
        <v>240kmmh</v>
      </c>
      <c r="B911" s="42" t="str">
        <f>_xlfn.XLOOKUP(A911,Class_Players!$A:$A,Class_Players!$B:$B,"")</f>
        <v>Engineer</v>
      </c>
      <c r="C911" s="42" t="str" cm="1">
        <f t="array" ref="C911">INDEX(Lookups!$B$2:$B$13,MOD(ROW()-ROW($B$2),ROWS(Lookups!$B$2:$B$13))+1)</f>
        <v>M4A1 SLAM (Tripwire Sensor AV Mine)</v>
      </c>
      <c r="D911" s="38" t="str">
        <f>_xlfn.XLOOKUP(C911,Analysis_Gadgets!$C:$C,Analysis_Gadgets!$B:$B)</f>
        <v>Gadget</v>
      </c>
      <c r="E911" s="43">
        <v>51</v>
      </c>
      <c r="F911" s="43">
        <f>_xlfn.XLOOKUP(A911,Class_Players!A:A,Class_Players!G:G)</f>
        <v>132</v>
      </c>
      <c r="G911" s="43">
        <f t="shared" si="201"/>
        <v>0.38636363636363635</v>
      </c>
      <c r="H911" s="43">
        <f>_xlfn.XLOOKUP(A911,Class_Players!$A:$A,Class_Players!$F:$F,"")</f>
        <v>7398</v>
      </c>
      <c r="I911" s="44">
        <f t="shared" si="202"/>
        <v>6.8937550689375507E-3</v>
      </c>
      <c r="J911" s="43">
        <f t="shared" si="203"/>
        <v>0</v>
      </c>
      <c r="K911" s="44" cm="1">
        <f t="array" ref="K911">IF(D911="Gadget",_xlfn.IFS(I911&gt;=0.2,0.5,I911&gt;=0.1,0.35,I911&gt;=0.05,0.2,TRUE,0),IF(D911="Grenade",_xlfn.IFS(I911&gt;=0.2,1,I911&gt;=0.1,0.7,I911&gt;=0.05,0.4,TRUE,0),0))</f>
        <v>0</v>
      </c>
      <c r="L911" s="57">
        <f t="shared" si="210"/>
        <v>0</v>
      </c>
    </row>
    <row r="912" spans="1:12" x14ac:dyDescent="0.25">
      <c r="A912" s="42" t="str" cm="1">
        <f t="array" ref="A912">IFERROR(INDEX(_xlfn._xlws.FILTER(Class_Players!A:A,Class_Players!B:B="Engineer"),QUOTIENT(ROW()-ROW($A$2),12)+1),"")</f>
        <v>240kmmh</v>
      </c>
      <c r="B912" s="42" t="str">
        <f>_xlfn.XLOOKUP(A912,Class_Players!$A:$A,Class_Players!$B:$B,"")</f>
        <v>Engineer</v>
      </c>
      <c r="C912" s="42" t="str" cm="1">
        <f t="array" ref="C912">INDEX(Lookups!$B$2:$B$13,MOD(ROW()-ROW($B$2),ROWS(Lookups!$B$2:$B$13))+1)</f>
        <v>Mini Frag Grenade</v>
      </c>
      <c r="D912" s="38" t="str">
        <f>_xlfn.XLOOKUP(C912,Analysis_Gadgets!$C:$C,Analysis_Gadgets!$B:$B)</f>
        <v>Grenade</v>
      </c>
      <c r="E912" s="43">
        <v>85</v>
      </c>
      <c r="F912" s="43">
        <f>_xlfn.XLOOKUP(A912,Class_Players!A:A,Class_Players!G:G)</f>
        <v>132</v>
      </c>
      <c r="G912" s="43">
        <f t="shared" si="201"/>
        <v>0.64393939393939392</v>
      </c>
      <c r="H912" s="43">
        <f>_xlfn.XLOOKUP(A912,Class_Players!$A:$A,Class_Players!$F:$F,"")</f>
        <v>7398</v>
      </c>
      <c r="I912" s="44">
        <f t="shared" si="202"/>
        <v>1.1489591781562584E-2</v>
      </c>
      <c r="J912" s="43">
        <f t="shared" si="203"/>
        <v>0</v>
      </c>
      <c r="K912" s="44" cm="1">
        <f t="array" ref="K912">IF(D912="Gadget",_xlfn.IFS(I912&gt;=0.2,0.5,I912&gt;=0.1,0.35,I912&gt;=0.05,0.2,TRUE,0),IF(D912="Grenade",_xlfn.IFS(I912&gt;=0.2,1,I912&gt;=0.1,0.7,I912&gt;=0.05,0.4,TRUE,0),0))</f>
        <v>0</v>
      </c>
      <c r="L912" s="57">
        <f t="shared" ref="L912:L913" si="211">IF($K912=0,0,$K912 / SUMIFS($K:$K,$A:$A,$A912,$D:$D,"Grenade"))</f>
        <v>0</v>
      </c>
    </row>
    <row r="913" spans="1:12" x14ac:dyDescent="0.25">
      <c r="A913" s="42" t="str" cm="1">
        <f t="array" ref="A913">IFERROR(INDEX(_xlfn._xlws.FILTER(Class_Players!A:A,Class_Players!B:B="Engineer"),QUOTIENT(ROW()-ROW($A$2),12)+1),"")</f>
        <v>240kmmh</v>
      </c>
      <c r="B913" s="42" t="str">
        <f>_xlfn.XLOOKUP(A913,Class_Players!$A:$A,Class_Players!$B:$B,"")</f>
        <v>Engineer</v>
      </c>
      <c r="C913" s="42" t="str" cm="1">
        <f t="array" ref="C913">INDEX(Lookups!$B$2:$B$13,MOD(ROW()-ROW($B$2),ROWS(Lookups!$B$2:$B$13))+1)</f>
        <v>Anti-Vehicle Grenade</v>
      </c>
      <c r="D913" s="38" t="str">
        <f>_xlfn.XLOOKUP(C913,Analysis_Gadgets!$C:$C,Analysis_Gadgets!$B:$B)</f>
        <v>Grenade</v>
      </c>
      <c r="E913" s="43">
        <v>0</v>
      </c>
      <c r="F913" s="43">
        <f>_xlfn.XLOOKUP(A913,Class_Players!A:A,Class_Players!G:G)</f>
        <v>132</v>
      </c>
      <c r="G913" s="43">
        <f t="shared" si="201"/>
        <v>0</v>
      </c>
      <c r="H913" s="43">
        <f>_xlfn.XLOOKUP(A913,Class_Players!$A:$A,Class_Players!$F:$F,"")</f>
        <v>7398</v>
      </c>
      <c r="I913" s="44">
        <f t="shared" si="202"/>
        <v>0</v>
      </c>
      <c r="J913" s="43">
        <f t="shared" si="203"/>
        <v>0</v>
      </c>
      <c r="K913" s="44" cm="1">
        <f t="array" ref="K913">IF(D913="Gadget",_xlfn.IFS(I913&gt;=0.2,0.5,I913&gt;=0.1,0.35,I913&gt;=0.05,0.2,TRUE,0),IF(D913="Grenade",_xlfn.IFS(I913&gt;=0.2,1,I913&gt;=0.1,0.7,I913&gt;=0.05,0.4,TRUE,0),0))</f>
        <v>0</v>
      </c>
      <c r="L913" s="57">
        <f t="shared" si="211"/>
        <v>0</v>
      </c>
    </row>
    <row r="914" spans="1:12" x14ac:dyDescent="0.25">
      <c r="A914" s="42" t="str" cm="1">
        <f t="array" ref="A914">IFERROR(INDEX(_xlfn._xlws.FILTER(Class_Players!A:A,Class_Players!B:B="Engineer"),QUOTIENT(ROW()-ROW($A$2),12)+1),"")</f>
        <v>andy-eon</v>
      </c>
      <c r="B914" s="42" t="str">
        <f>_xlfn.XLOOKUP(A914,Class_Players!$A:$A,Class_Players!$B:$B,"")</f>
        <v>Engineer</v>
      </c>
      <c r="C914" s="42" t="str" cm="1">
        <f t="array" ref="C914">INDEX(Lookups!$B$2:$B$13,MOD(ROW()-ROW($B$2),ROWS(Lookups!$B$2:$B$13))+1)</f>
        <v>MBT-LAW (Auto-Guided Launcher)</v>
      </c>
      <c r="D914" s="38" t="str">
        <f>_xlfn.XLOOKUP(C914,Analysis_Gadgets!$C:$C,Analysis_Gadgets!$B:$B)</f>
        <v>Gadget</v>
      </c>
      <c r="E914" s="43">
        <v>0</v>
      </c>
      <c r="F914" s="43">
        <f>_xlfn.XLOOKUP(A914,Class_Players!A:A,Class_Players!G:G)</f>
        <v>143</v>
      </c>
      <c r="G914" s="43">
        <f t="shared" si="201"/>
        <v>0</v>
      </c>
      <c r="H914" s="43">
        <f>_xlfn.XLOOKUP(A914,Class_Players!$A:$A,Class_Players!$F:$F,"")</f>
        <v>7434</v>
      </c>
      <c r="I914" s="44">
        <f t="shared" si="202"/>
        <v>0</v>
      </c>
      <c r="J914" s="43">
        <f t="shared" si="203"/>
        <v>0</v>
      </c>
      <c r="K914" s="44" cm="1">
        <f t="array" ref="K914">IF(D914="Gadget",_xlfn.IFS(I914&gt;=0.2,0.5,I914&gt;=0.1,0.35,I914&gt;=0.05,0.2,TRUE,0),IF(D914="Grenade",_xlfn.IFS(I914&gt;=0.2,1,I914&gt;=0.1,0.7,I914&gt;=0.05,0.4,TRUE,0),0))</f>
        <v>0</v>
      </c>
      <c r="L914" s="57">
        <f t="shared" ref="L914:L923" si="212">IF($K914=0,0,$K914 / SUMIFS($K:$K,$A:$A,$A914,$D:$D,"Gadget"))</f>
        <v>0</v>
      </c>
    </row>
    <row r="915" spans="1:12" x14ac:dyDescent="0.25">
      <c r="A915" s="42" t="str" cm="1">
        <f t="array" ref="A915">IFERROR(INDEX(_xlfn._xlws.FILTER(Class_Players!A:A,Class_Players!B:B="Engineer"),QUOTIENT(ROW()-ROW($A$2),12)+1),"")</f>
        <v>andy-eon</v>
      </c>
      <c r="B915" s="42" t="str">
        <f>_xlfn.XLOOKUP(A915,Class_Players!$A:$A,Class_Players!$B:$B,"")</f>
        <v>Engineer</v>
      </c>
      <c r="C915" s="42" t="str" cm="1">
        <f t="array" ref="C915">INDEX(Lookups!$B$2:$B$13,MOD(ROW()-ROW($B$2),ROWS(Lookups!$B$2:$B$13))+1)</f>
        <v>SLM-93A (Air-Defense Launcher)</v>
      </c>
      <c r="D915" s="38" t="str">
        <f>_xlfn.XLOOKUP(C915,Analysis_Gadgets!$C:$C,Analysis_Gadgets!$B:$B)</f>
        <v>Gadget</v>
      </c>
      <c r="E915" s="43">
        <v>52</v>
      </c>
      <c r="F915" s="43">
        <f>_xlfn.XLOOKUP(A915,Class_Players!A:A,Class_Players!G:G)</f>
        <v>143</v>
      </c>
      <c r="G915" s="43">
        <f t="shared" si="201"/>
        <v>0.36363636363636365</v>
      </c>
      <c r="H915" s="43">
        <f>_xlfn.XLOOKUP(A915,Class_Players!$A:$A,Class_Players!$F:$F,"")</f>
        <v>7434</v>
      </c>
      <c r="I915" s="44">
        <f t="shared" si="202"/>
        <v>6.9948883508205544E-3</v>
      </c>
      <c r="J915" s="43">
        <f t="shared" si="203"/>
        <v>0</v>
      </c>
      <c r="K915" s="44" cm="1">
        <f t="array" ref="K915">IF(D915="Gadget",_xlfn.IFS(I915&gt;=0.2,0.5,I915&gt;=0.1,0.35,I915&gt;=0.05,0.2,TRUE,0),IF(D915="Grenade",_xlfn.IFS(I915&gt;=0.2,1,I915&gt;=0.1,0.7,I915&gt;=0.05,0.4,TRUE,0),0))</f>
        <v>0</v>
      </c>
      <c r="L915" s="57">
        <f t="shared" si="212"/>
        <v>0</v>
      </c>
    </row>
    <row r="916" spans="1:12" x14ac:dyDescent="0.25">
      <c r="A916" s="42" t="str" cm="1">
        <f t="array" ref="A916">IFERROR(INDEX(_xlfn._xlws.FILTER(Class_Players!A:A,Class_Players!B:B="Engineer"),QUOTIENT(ROW()-ROW($A$2),12)+1),"")</f>
        <v>andy-eon</v>
      </c>
      <c r="B916" s="42" t="str">
        <f>_xlfn.XLOOKUP(A916,Class_Players!$A:$A,Class_Players!$B:$B,"")</f>
        <v>Engineer</v>
      </c>
      <c r="C916" s="42" t="str" cm="1">
        <f t="array" ref="C916">INDEX(Lookups!$B$2:$B$13,MOD(ROW()-ROW($B$2),ROWS(Lookups!$B$2:$B$13))+1)</f>
        <v>RPG-7V2 (Unguided Rocket Launcher)</v>
      </c>
      <c r="D916" s="38" t="str">
        <f>_xlfn.XLOOKUP(C916,Analysis_Gadgets!$C:$C,Analysis_Gadgets!$B:$B)</f>
        <v>Gadget</v>
      </c>
      <c r="E916" s="43">
        <v>4030</v>
      </c>
      <c r="F916" s="43">
        <f>_xlfn.XLOOKUP(A916,Class_Players!A:A,Class_Players!G:G)</f>
        <v>143</v>
      </c>
      <c r="G916" s="43">
        <f t="shared" si="201"/>
        <v>28.181818181818183</v>
      </c>
      <c r="H916" s="43">
        <f>_xlfn.XLOOKUP(A916,Class_Players!$A:$A,Class_Players!$F:$F,"")</f>
        <v>7434</v>
      </c>
      <c r="I916" s="44">
        <f t="shared" si="202"/>
        <v>0.54210384718859295</v>
      </c>
      <c r="J916" s="43">
        <f t="shared" si="203"/>
        <v>1</v>
      </c>
      <c r="K916" s="44" cm="1">
        <f t="array" ref="K916">IF(D916="Gadget",_xlfn.IFS(I916&gt;=0.2,0.5,I916&gt;=0.1,0.35,I916&gt;=0.05,0.2,TRUE,0),IF(D916="Grenade",_xlfn.IFS(I916&gt;=0.2,1,I916&gt;=0.1,0.7,I916&gt;=0.05,0.4,TRUE,0),0))</f>
        <v>0.5</v>
      </c>
      <c r="L916" s="57">
        <f t="shared" si="212"/>
        <v>0.5</v>
      </c>
    </row>
    <row r="917" spans="1:12" x14ac:dyDescent="0.25">
      <c r="A917" s="42" t="str" cm="1">
        <f t="array" ref="A917">IFERROR(INDEX(_xlfn._xlws.FILTER(Class_Players!A:A,Class_Players!B:B="Engineer"),QUOTIENT(ROW()-ROW($A$2),12)+1),"")</f>
        <v>andy-eon</v>
      </c>
      <c r="B917" s="42" t="str">
        <f>_xlfn.XLOOKUP(A917,Class_Players!$A:$A,Class_Players!$B:$B,"")</f>
        <v>Engineer</v>
      </c>
      <c r="C917" s="42" t="str" cm="1">
        <f t="array" ref="C917">INDEX(Lookups!$B$2:$B$13,MOD(ROW()-ROW($B$2),ROWS(Lookups!$B$2:$B$13))+1)</f>
        <v>MAS 148 (Long-Range Launcher)</v>
      </c>
      <c r="D917" s="38" t="str">
        <f>_xlfn.XLOOKUP(C917,Analysis_Gadgets!$C:$C,Analysis_Gadgets!$B:$B)</f>
        <v>Gadget</v>
      </c>
      <c r="E917" s="43">
        <v>16</v>
      </c>
      <c r="F917" s="43">
        <f>_xlfn.XLOOKUP(A917,Class_Players!A:A,Class_Players!G:G)</f>
        <v>143</v>
      </c>
      <c r="G917" s="43">
        <f t="shared" si="201"/>
        <v>0.11188811188811189</v>
      </c>
      <c r="H917" s="43">
        <f>_xlfn.XLOOKUP(A917,Class_Players!$A:$A,Class_Players!$F:$F,"")</f>
        <v>7434</v>
      </c>
      <c r="I917" s="44">
        <f t="shared" si="202"/>
        <v>2.1522733387140166E-3</v>
      </c>
      <c r="J917" s="43">
        <f t="shared" si="203"/>
        <v>0</v>
      </c>
      <c r="K917" s="44" cm="1">
        <f t="array" ref="K917">IF(D917="Gadget",_xlfn.IFS(I917&gt;=0.2,0.5,I917&gt;=0.1,0.35,I917&gt;=0.05,0.2,TRUE,0),IF(D917="Grenade",_xlfn.IFS(I917&gt;=0.2,1,I917&gt;=0.1,0.7,I917&gt;=0.05,0.4,TRUE,0),0))</f>
        <v>0</v>
      </c>
      <c r="L917" s="57">
        <f t="shared" si="212"/>
        <v>0</v>
      </c>
    </row>
    <row r="918" spans="1:12" x14ac:dyDescent="0.25">
      <c r="A918" s="42" t="str" cm="1">
        <f t="array" ref="A918">IFERROR(INDEX(_xlfn._xlws.FILTER(Class_Players!A:A,Class_Players!B:B="Engineer"),QUOTIENT(ROW()-ROW($A$2),12)+1),"")</f>
        <v>andy-eon</v>
      </c>
      <c r="B918" s="42" t="str">
        <f>_xlfn.XLOOKUP(A918,Class_Players!$A:$A,Class_Players!$B:$B,"")</f>
        <v>Engineer</v>
      </c>
      <c r="C918" s="42" t="str" cm="1">
        <f t="array" ref="C918">INDEX(Lookups!$B$2:$B$13,MOD(ROW()-ROW($B$2),ROWS(Lookups!$B$2:$B$13))+1)</f>
        <v>M136 AT (Aim-Guided Launcher)</v>
      </c>
      <c r="D918" s="38" t="str">
        <f>_xlfn.XLOOKUP(C918,Analysis_Gadgets!$C:$C,Analysis_Gadgets!$B:$B)</f>
        <v>Gadget</v>
      </c>
      <c r="E918" s="43">
        <v>15</v>
      </c>
      <c r="F918" s="43">
        <f>_xlfn.XLOOKUP(A918,Class_Players!A:A,Class_Players!G:G)</f>
        <v>143</v>
      </c>
      <c r="G918" s="43">
        <f t="shared" si="201"/>
        <v>0.1048951048951049</v>
      </c>
      <c r="H918" s="43">
        <f>_xlfn.XLOOKUP(A918,Class_Players!$A:$A,Class_Players!$F:$F,"")</f>
        <v>7434</v>
      </c>
      <c r="I918" s="44">
        <f t="shared" si="202"/>
        <v>2.0177562550443904E-3</v>
      </c>
      <c r="J918" s="43">
        <f t="shared" si="203"/>
        <v>0</v>
      </c>
      <c r="K918" s="44" cm="1">
        <f t="array" ref="K918">IF(D918="Gadget",_xlfn.IFS(I918&gt;=0.2,0.5,I918&gt;=0.1,0.35,I918&gt;=0.05,0.2,TRUE,0),IF(D918="Grenade",_xlfn.IFS(I918&gt;=0.2,1,I918&gt;=0.1,0.7,I918&gt;=0.05,0.4,TRUE,0),0))</f>
        <v>0</v>
      </c>
      <c r="L918" s="57">
        <f t="shared" si="212"/>
        <v>0</v>
      </c>
    </row>
    <row r="919" spans="1:12" x14ac:dyDescent="0.25">
      <c r="A919" s="42" t="str" cm="1">
        <f t="array" ref="A919">IFERROR(INDEX(_xlfn._xlws.FILTER(Class_Players!A:A,Class_Players!B:B="Engineer"),QUOTIENT(ROW()-ROW($A$2),12)+1),"")</f>
        <v>andy-eon</v>
      </c>
      <c r="B919" s="42" t="str">
        <f>_xlfn.XLOOKUP(A919,Class_Players!$A:$A,Class_Players!$B:$B,"")</f>
        <v>Engineer</v>
      </c>
      <c r="C919" s="42" t="str" cm="1">
        <f t="array" ref="C919">INDEX(Lookups!$B$2:$B$13,MOD(ROW()-ROW($B$2),ROWS(Lookups!$B$2:$B$13))+1)</f>
        <v>Supply Crate</v>
      </c>
      <c r="D919" s="38" t="str">
        <f>_xlfn.XLOOKUP(C919,Analysis_Gadgets!$C:$C,Analysis_Gadgets!$B:$B)</f>
        <v>Gadget</v>
      </c>
      <c r="E919" s="43">
        <v>9</v>
      </c>
      <c r="F919" s="43">
        <f>_xlfn.XLOOKUP(A919,Class_Players!A:A,Class_Players!G:G)</f>
        <v>143</v>
      </c>
      <c r="G919" s="43">
        <f t="shared" si="201"/>
        <v>6.2937062937062943E-2</v>
      </c>
      <c r="H919" s="43">
        <f>_xlfn.XLOOKUP(A919,Class_Players!$A:$A,Class_Players!$F:$F,"")</f>
        <v>7434</v>
      </c>
      <c r="I919" s="44">
        <f t="shared" si="202"/>
        <v>1.2106537530266344E-3</v>
      </c>
      <c r="J919" s="43">
        <f t="shared" si="203"/>
        <v>0</v>
      </c>
      <c r="K919" s="44" cm="1">
        <f t="array" ref="K919">IF(D919="Gadget",_xlfn.IFS(I919&gt;=0.2,0.5,I919&gt;=0.1,0.35,I919&gt;=0.05,0.2,TRUE,0),IF(D919="Grenade",_xlfn.IFS(I919&gt;=0.2,1,I919&gt;=0.1,0.7,I919&gt;=0.05,0.4,TRUE,0),0))</f>
        <v>0</v>
      </c>
      <c r="L919" s="57">
        <f t="shared" si="212"/>
        <v>0</v>
      </c>
    </row>
    <row r="920" spans="1:12" x14ac:dyDescent="0.25">
      <c r="A920" s="42" t="str" cm="1">
        <f t="array" ref="A920">IFERROR(INDEX(_xlfn._xlws.FILTER(Class_Players!A:A,Class_Players!B:B="Engineer"),QUOTIENT(ROW()-ROW($A$2),12)+1),"")</f>
        <v>andy-eon</v>
      </c>
      <c r="B920" s="42" t="str">
        <f>_xlfn.XLOOKUP(A920,Class_Players!$A:$A,Class_Players!$B:$B,"")</f>
        <v>Engineer</v>
      </c>
      <c r="C920" s="42" t="str" cm="1">
        <f t="array" ref="C920">INDEX(Lookups!$B$2:$B$13,MOD(ROW()-ROW($B$2),ROWS(Lookups!$B$2:$B$13))+1)</f>
        <v>M15 (Anti-Vehicle Mine)</v>
      </c>
      <c r="D920" s="38" t="str">
        <f>_xlfn.XLOOKUP(C920,Analysis_Gadgets!$C:$C,Analysis_Gadgets!$B:$B)</f>
        <v>Gadget</v>
      </c>
      <c r="E920" s="43">
        <v>4095</v>
      </c>
      <c r="F920" s="43">
        <f>_xlfn.XLOOKUP(A920,Class_Players!A:A,Class_Players!G:G)</f>
        <v>143</v>
      </c>
      <c r="G920" s="43">
        <f t="shared" si="201"/>
        <v>28.636363636363637</v>
      </c>
      <c r="H920" s="43">
        <f>_xlfn.XLOOKUP(A920,Class_Players!$A:$A,Class_Players!$F:$F,"")</f>
        <v>7434</v>
      </c>
      <c r="I920" s="44">
        <f t="shared" si="202"/>
        <v>0.55084745762711862</v>
      </c>
      <c r="J920" s="43">
        <f t="shared" si="203"/>
        <v>1</v>
      </c>
      <c r="K920" s="44" cm="1">
        <f t="array" ref="K920">IF(D920="Gadget",_xlfn.IFS(I920&gt;=0.2,0.5,I920&gt;=0.1,0.35,I920&gt;=0.05,0.2,TRUE,0),IF(D920="Grenade",_xlfn.IFS(I920&gt;=0.2,1,I920&gt;=0.1,0.7,I920&gt;=0.05,0.4,TRUE,0),0))</f>
        <v>0.5</v>
      </c>
      <c r="L920" s="57">
        <f t="shared" si="212"/>
        <v>0.5</v>
      </c>
    </row>
    <row r="921" spans="1:12" x14ac:dyDescent="0.25">
      <c r="A921" s="42" t="str" cm="1">
        <f t="array" ref="A921">IFERROR(INDEX(_xlfn._xlws.FILTER(Class_Players!A:A,Class_Players!B:B="Engineer"),QUOTIENT(ROW()-ROW($A$2),12)+1),"")</f>
        <v>andy-eon</v>
      </c>
      <c r="B921" s="42" t="str">
        <f>_xlfn.XLOOKUP(A921,Class_Players!$A:$A,Class_Players!$B:$B,"")</f>
        <v>Engineer</v>
      </c>
      <c r="C921" s="42" t="str" cm="1">
        <f t="array" ref="C921">INDEX(Lookups!$B$2:$B$13,MOD(ROW()-ROW($B$2),ROWS(Lookups!$B$2:$B$13))+1)</f>
        <v>PTKM-1R (Acoustic Sensor AV Mine)</v>
      </c>
      <c r="D921" s="38" t="str">
        <f>_xlfn.XLOOKUP(C921,Analysis_Gadgets!$C:$C,Analysis_Gadgets!$B:$B)</f>
        <v>Gadget</v>
      </c>
      <c r="E921" s="43">
        <v>49</v>
      </c>
      <c r="F921" s="43">
        <f>_xlfn.XLOOKUP(A921,Class_Players!A:A,Class_Players!G:G)</f>
        <v>143</v>
      </c>
      <c r="G921" s="43">
        <f t="shared" si="201"/>
        <v>0.34265734265734266</v>
      </c>
      <c r="H921" s="43">
        <f>_xlfn.XLOOKUP(A921,Class_Players!$A:$A,Class_Players!$F:$F,"")</f>
        <v>7434</v>
      </c>
      <c r="I921" s="44">
        <f t="shared" si="202"/>
        <v>6.5913370998116763E-3</v>
      </c>
      <c r="J921" s="43">
        <f t="shared" si="203"/>
        <v>0</v>
      </c>
      <c r="K921" s="44" cm="1">
        <f t="array" ref="K921">IF(D921="Gadget",_xlfn.IFS(I921&gt;=0.2,0.5,I921&gt;=0.1,0.35,I921&gt;=0.05,0.2,TRUE,0),IF(D921="Grenade",_xlfn.IFS(I921&gt;=0.2,1,I921&gt;=0.1,0.7,I921&gt;=0.05,0.4,TRUE,0),0))</f>
        <v>0</v>
      </c>
      <c r="L921" s="57">
        <f t="shared" si="212"/>
        <v>0</v>
      </c>
    </row>
    <row r="922" spans="1:12" x14ac:dyDescent="0.25">
      <c r="A922" s="42" t="str" cm="1">
        <f t="array" ref="A922">IFERROR(INDEX(_xlfn._xlws.FILTER(Class_Players!A:A,Class_Players!B:B="Engineer"),QUOTIENT(ROW()-ROW($A$2),12)+1),"")</f>
        <v>andy-eon</v>
      </c>
      <c r="B922" s="42" t="str">
        <f>_xlfn.XLOOKUP(A922,Class_Players!$A:$A,Class_Players!$B:$B,"")</f>
        <v>Engineer</v>
      </c>
      <c r="C922" s="42" t="str" cm="1">
        <f t="array" ref="C922">INDEX(Lookups!$B$2:$B$13,MOD(ROW()-ROW($B$2),ROWS(Lookups!$B$2:$B$13))+1)</f>
        <v>EOD Bot</v>
      </c>
      <c r="D922" s="38" t="str">
        <f>_xlfn.XLOOKUP(C922,Analysis_Gadgets!$C:$C,Analysis_Gadgets!$B:$B)</f>
        <v>Gadget</v>
      </c>
      <c r="E922" s="43">
        <v>0</v>
      </c>
      <c r="F922" s="43">
        <f>_xlfn.XLOOKUP(A922,Class_Players!A:A,Class_Players!G:G)</f>
        <v>143</v>
      </c>
      <c r="G922" s="43">
        <f t="shared" si="201"/>
        <v>0</v>
      </c>
      <c r="H922" s="43">
        <f>_xlfn.XLOOKUP(A922,Class_Players!$A:$A,Class_Players!$F:$F,"")</f>
        <v>7434</v>
      </c>
      <c r="I922" s="44">
        <f t="shared" si="202"/>
        <v>0</v>
      </c>
      <c r="J922" s="43">
        <f t="shared" si="203"/>
        <v>0</v>
      </c>
      <c r="K922" s="44" cm="1">
        <f t="array" ref="K922">IF(D922="Gadget",_xlfn.IFS(I922&gt;=0.2,0.5,I922&gt;=0.1,0.35,I922&gt;=0.05,0.2,TRUE,0),IF(D922="Grenade",_xlfn.IFS(I922&gt;=0.2,1,I922&gt;=0.1,0.7,I922&gt;=0.05,0.4,TRUE,0),0))</f>
        <v>0</v>
      </c>
      <c r="L922" s="57">
        <f t="shared" si="212"/>
        <v>0</v>
      </c>
    </row>
    <row r="923" spans="1:12" x14ac:dyDescent="0.25">
      <c r="A923" s="42" t="str" cm="1">
        <f t="array" ref="A923">IFERROR(INDEX(_xlfn._xlws.FILTER(Class_Players!A:A,Class_Players!B:B="Engineer"),QUOTIENT(ROW()-ROW($A$2),12)+1),"")</f>
        <v>andy-eon</v>
      </c>
      <c r="B923" s="42" t="str">
        <f>_xlfn.XLOOKUP(A923,Class_Players!$A:$A,Class_Players!$B:$B,"")</f>
        <v>Engineer</v>
      </c>
      <c r="C923" s="42" t="str" cm="1">
        <f t="array" ref="C923">INDEX(Lookups!$B$2:$B$13,MOD(ROW()-ROW($B$2),ROWS(Lookups!$B$2:$B$13))+1)</f>
        <v>M4A1 SLAM (Tripwire Sensor AV Mine)</v>
      </c>
      <c r="D923" s="38" t="str">
        <f>_xlfn.XLOOKUP(C923,Analysis_Gadgets!$C:$C,Analysis_Gadgets!$B:$B)</f>
        <v>Gadget</v>
      </c>
      <c r="E923" s="43">
        <v>0</v>
      </c>
      <c r="F923" s="43">
        <f>_xlfn.XLOOKUP(A923,Class_Players!A:A,Class_Players!G:G)</f>
        <v>143</v>
      </c>
      <c r="G923" s="43">
        <f t="shared" si="201"/>
        <v>0</v>
      </c>
      <c r="H923" s="43">
        <f>_xlfn.XLOOKUP(A923,Class_Players!$A:$A,Class_Players!$F:$F,"")</f>
        <v>7434</v>
      </c>
      <c r="I923" s="44">
        <f t="shared" si="202"/>
        <v>0</v>
      </c>
      <c r="J923" s="43">
        <f t="shared" si="203"/>
        <v>0</v>
      </c>
      <c r="K923" s="44" cm="1">
        <f t="array" ref="K923">IF(D923="Gadget",_xlfn.IFS(I923&gt;=0.2,0.5,I923&gt;=0.1,0.35,I923&gt;=0.05,0.2,TRUE,0),IF(D923="Grenade",_xlfn.IFS(I923&gt;=0.2,1,I923&gt;=0.1,0.7,I923&gt;=0.05,0.4,TRUE,0),0))</f>
        <v>0</v>
      </c>
      <c r="L923" s="57">
        <f t="shared" si="212"/>
        <v>0</v>
      </c>
    </row>
    <row r="924" spans="1:12" x14ac:dyDescent="0.25">
      <c r="A924" s="42" t="str" cm="1">
        <f t="array" ref="A924">IFERROR(INDEX(_xlfn._xlws.FILTER(Class_Players!A:A,Class_Players!B:B="Engineer"),QUOTIENT(ROW()-ROW($A$2),12)+1),"")</f>
        <v>andy-eon</v>
      </c>
      <c r="B924" s="42" t="str">
        <f>_xlfn.XLOOKUP(A924,Class_Players!$A:$A,Class_Players!$B:$B,"")</f>
        <v>Engineer</v>
      </c>
      <c r="C924" s="42" t="str" cm="1">
        <f t="array" ref="C924">INDEX(Lookups!$B$2:$B$13,MOD(ROW()-ROW($B$2),ROWS(Lookups!$B$2:$B$13))+1)</f>
        <v>Mini Frag Grenade</v>
      </c>
      <c r="D924" s="38" t="str">
        <f>_xlfn.XLOOKUP(C924,Analysis_Gadgets!$C:$C,Analysis_Gadgets!$B:$B)</f>
        <v>Grenade</v>
      </c>
      <c r="E924" s="43">
        <v>0</v>
      </c>
      <c r="F924" s="43">
        <f>_xlfn.XLOOKUP(A924,Class_Players!A:A,Class_Players!G:G)</f>
        <v>143</v>
      </c>
      <c r="G924" s="43">
        <f t="shared" si="201"/>
        <v>0</v>
      </c>
      <c r="H924" s="43">
        <f>_xlfn.XLOOKUP(A924,Class_Players!$A:$A,Class_Players!$F:$F,"")</f>
        <v>7434</v>
      </c>
      <c r="I924" s="44">
        <f t="shared" si="202"/>
        <v>0</v>
      </c>
      <c r="J924" s="43">
        <f t="shared" si="203"/>
        <v>0</v>
      </c>
      <c r="K924" s="44" cm="1">
        <f t="array" ref="K924">IF(D924="Gadget",_xlfn.IFS(I924&gt;=0.2,0.5,I924&gt;=0.1,0.35,I924&gt;=0.05,0.2,TRUE,0),IF(D924="Grenade",_xlfn.IFS(I924&gt;=0.2,1,I924&gt;=0.1,0.7,I924&gt;=0.05,0.4,TRUE,0),0))</f>
        <v>0</v>
      </c>
      <c r="L924" s="57">
        <f t="shared" ref="L924:L925" si="213">IF($K924=0,0,$K924 / SUMIFS($K:$K,$A:$A,$A924,$D:$D,"Grenade"))</f>
        <v>0</v>
      </c>
    </row>
    <row r="925" spans="1:12" x14ac:dyDescent="0.25">
      <c r="A925" s="42" t="str" cm="1">
        <f t="array" ref="A925">IFERROR(INDEX(_xlfn._xlws.FILTER(Class_Players!A:A,Class_Players!B:B="Engineer"),QUOTIENT(ROW()-ROW($A$2),12)+1),"")</f>
        <v>andy-eon</v>
      </c>
      <c r="B925" s="42" t="str">
        <f>_xlfn.XLOOKUP(A925,Class_Players!$A:$A,Class_Players!$B:$B,"")</f>
        <v>Engineer</v>
      </c>
      <c r="C925" s="42" t="str" cm="1">
        <f t="array" ref="C925">INDEX(Lookups!$B$2:$B$13,MOD(ROW()-ROW($B$2),ROWS(Lookups!$B$2:$B$13))+1)</f>
        <v>Anti-Vehicle Grenade</v>
      </c>
      <c r="D925" s="38" t="str">
        <f>_xlfn.XLOOKUP(C925,Analysis_Gadgets!$C:$C,Analysis_Gadgets!$B:$B)</f>
        <v>Grenade</v>
      </c>
      <c r="E925" s="43">
        <v>0</v>
      </c>
      <c r="F925" s="43">
        <f>_xlfn.XLOOKUP(A925,Class_Players!A:A,Class_Players!G:G)</f>
        <v>143</v>
      </c>
      <c r="G925" s="43">
        <f t="shared" si="201"/>
        <v>0</v>
      </c>
      <c r="H925" s="43">
        <f>_xlfn.XLOOKUP(A925,Class_Players!$A:$A,Class_Players!$F:$F,"")</f>
        <v>7434</v>
      </c>
      <c r="I925" s="44">
        <f t="shared" si="202"/>
        <v>0</v>
      </c>
      <c r="J925" s="43">
        <f t="shared" si="203"/>
        <v>0</v>
      </c>
      <c r="K925" s="44" cm="1">
        <f t="array" ref="K925">IF(D925="Gadget",_xlfn.IFS(I925&gt;=0.2,0.5,I925&gt;=0.1,0.35,I925&gt;=0.05,0.2,TRUE,0),IF(D925="Grenade",_xlfn.IFS(I925&gt;=0.2,1,I925&gt;=0.1,0.7,I925&gt;=0.05,0.4,TRUE,0),0))</f>
        <v>0</v>
      </c>
      <c r="L925" s="57">
        <f t="shared" si="213"/>
        <v>0</v>
      </c>
    </row>
    <row r="926" spans="1:12" x14ac:dyDescent="0.25">
      <c r="A926" s="42" t="str" cm="1">
        <f t="array" ref="A926">IFERROR(INDEX(_xlfn._xlws.FILTER(Class_Players!A:A,Class_Players!B:B="Engineer"),QUOTIENT(ROW()-ROW($A$2),12)+1),"")</f>
        <v>M-o-e-r-d-e-r</v>
      </c>
      <c r="B926" s="42" t="str">
        <f>_xlfn.XLOOKUP(A926,Class_Players!$A:$A,Class_Players!$B:$B,"")</f>
        <v>Engineer</v>
      </c>
      <c r="C926" s="42" t="str" cm="1">
        <f t="array" ref="C926">INDEX(Lookups!$B$2:$B$13,MOD(ROW()-ROW($B$2),ROWS(Lookups!$B$2:$B$13))+1)</f>
        <v>MBT-LAW (Auto-Guided Launcher)</v>
      </c>
      <c r="D926" s="38" t="str">
        <f>_xlfn.XLOOKUP(C926,Analysis_Gadgets!$C:$C,Analysis_Gadgets!$B:$B)</f>
        <v>Gadget</v>
      </c>
      <c r="E926" s="43">
        <v>0</v>
      </c>
      <c r="F926" s="43">
        <f>_xlfn.XLOOKUP(A926,Class_Players!A:A,Class_Players!G:G)</f>
        <v>196</v>
      </c>
      <c r="G926" s="43">
        <f t="shared" si="201"/>
        <v>0</v>
      </c>
      <c r="H926" s="43">
        <f>_xlfn.XLOOKUP(A926,Class_Players!$A:$A,Class_Players!$F:$F,"")</f>
        <v>7337</v>
      </c>
      <c r="I926" s="44">
        <f t="shared" si="202"/>
        <v>0</v>
      </c>
      <c r="J926" s="43">
        <f t="shared" si="203"/>
        <v>0</v>
      </c>
      <c r="K926" s="44" cm="1">
        <f t="array" ref="K926">IF(D926="Gadget",_xlfn.IFS(I926&gt;=0.2,0.5,I926&gt;=0.1,0.35,I926&gt;=0.05,0.2,TRUE,0),IF(D926="Grenade",_xlfn.IFS(I926&gt;=0.2,1,I926&gt;=0.1,0.7,I926&gt;=0.05,0.4,TRUE,0),0))</f>
        <v>0</v>
      </c>
      <c r="L926" s="57">
        <f t="shared" ref="L926:L935" si="214">IF($K926=0,0,$K926 / SUMIFS($K:$K,$A:$A,$A926,$D:$D,"Gadget"))</f>
        <v>0</v>
      </c>
    </row>
    <row r="927" spans="1:12" x14ac:dyDescent="0.25">
      <c r="A927" s="42" t="str" cm="1">
        <f t="array" ref="A927">IFERROR(INDEX(_xlfn._xlws.FILTER(Class_Players!A:A,Class_Players!B:B="Engineer"),QUOTIENT(ROW()-ROW($A$2),12)+1),"")</f>
        <v>M-o-e-r-d-e-r</v>
      </c>
      <c r="B927" s="42" t="str">
        <f>_xlfn.XLOOKUP(A927,Class_Players!$A:$A,Class_Players!$B:$B,"")</f>
        <v>Engineer</v>
      </c>
      <c r="C927" s="42" t="str" cm="1">
        <f t="array" ref="C927">INDEX(Lookups!$B$2:$B$13,MOD(ROW()-ROW($B$2),ROWS(Lookups!$B$2:$B$13))+1)</f>
        <v>SLM-93A (Air-Defense Launcher)</v>
      </c>
      <c r="D927" s="38" t="str">
        <f>_xlfn.XLOOKUP(C927,Analysis_Gadgets!$C:$C,Analysis_Gadgets!$B:$B)</f>
        <v>Gadget</v>
      </c>
      <c r="E927" s="43">
        <v>66</v>
      </c>
      <c r="F927" s="43">
        <f>_xlfn.XLOOKUP(A927,Class_Players!A:A,Class_Players!G:G)</f>
        <v>196</v>
      </c>
      <c r="G927" s="43">
        <f t="shared" si="201"/>
        <v>0.33673469387755101</v>
      </c>
      <c r="H927" s="43">
        <f>_xlfn.XLOOKUP(A927,Class_Players!$A:$A,Class_Players!$F:$F,"")</f>
        <v>7337</v>
      </c>
      <c r="I927" s="44">
        <f t="shared" si="202"/>
        <v>8.9955022488755615E-3</v>
      </c>
      <c r="J927" s="43">
        <f t="shared" si="203"/>
        <v>0</v>
      </c>
      <c r="K927" s="44" cm="1">
        <f t="array" ref="K927">IF(D927="Gadget",_xlfn.IFS(I927&gt;=0.2,0.5,I927&gt;=0.1,0.35,I927&gt;=0.05,0.2,TRUE,0),IF(D927="Grenade",_xlfn.IFS(I927&gt;=0.2,1,I927&gt;=0.1,0.7,I927&gt;=0.05,0.4,TRUE,0),0))</f>
        <v>0</v>
      </c>
      <c r="L927" s="57">
        <f t="shared" si="214"/>
        <v>0</v>
      </c>
    </row>
    <row r="928" spans="1:12" x14ac:dyDescent="0.25">
      <c r="A928" s="42" t="str" cm="1">
        <f t="array" ref="A928">IFERROR(INDEX(_xlfn._xlws.FILTER(Class_Players!A:A,Class_Players!B:B="Engineer"),QUOTIENT(ROW()-ROW($A$2),12)+1),"")</f>
        <v>M-o-e-r-d-e-r</v>
      </c>
      <c r="B928" s="42" t="str">
        <f>_xlfn.XLOOKUP(A928,Class_Players!$A:$A,Class_Players!$B:$B,"")</f>
        <v>Engineer</v>
      </c>
      <c r="C928" s="42" t="str" cm="1">
        <f t="array" ref="C928">INDEX(Lookups!$B$2:$B$13,MOD(ROW()-ROW($B$2),ROWS(Lookups!$B$2:$B$13))+1)</f>
        <v>RPG-7V2 (Unguided Rocket Launcher)</v>
      </c>
      <c r="D928" s="38" t="str">
        <f>_xlfn.XLOOKUP(C928,Analysis_Gadgets!$C:$C,Analysis_Gadgets!$B:$B)</f>
        <v>Gadget</v>
      </c>
      <c r="E928" s="43">
        <v>6037</v>
      </c>
      <c r="F928" s="43">
        <f>_xlfn.XLOOKUP(A928,Class_Players!A:A,Class_Players!G:G)</f>
        <v>196</v>
      </c>
      <c r="G928" s="43">
        <f t="shared" si="201"/>
        <v>30.801020408163264</v>
      </c>
      <c r="H928" s="43">
        <f>_xlfn.XLOOKUP(A928,Class_Players!$A:$A,Class_Players!$F:$F,"")</f>
        <v>7337</v>
      </c>
      <c r="I928" s="44">
        <f t="shared" si="202"/>
        <v>0.82281586479487534</v>
      </c>
      <c r="J928" s="43">
        <f t="shared" si="203"/>
        <v>1</v>
      </c>
      <c r="K928" s="44" cm="1">
        <f t="array" ref="K928">IF(D928="Gadget",_xlfn.IFS(I928&gt;=0.2,0.5,I928&gt;=0.1,0.35,I928&gt;=0.05,0.2,TRUE,0),IF(D928="Grenade",_xlfn.IFS(I928&gt;=0.2,1,I928&gt;=0.1,0.7,I928&gt;=0.05,0.4,TRUE,0),0))</f>
        <v>0.5</v>
      </c>
      <c r="L928" s="57">
        <f t="shared" si="214"/>
        <v>0.58823529411764708</v>
      </c>
    </row>
    <row r="929" spans="1:12" x14ac:dyDescent="0.25">
      <c r="A929" s="42" t="str" cm="1">
        <f t="array" ref="A929">IFERROR(INDEX(_xlfn._xlws.FILTER(Class_Players!A:A,Class_Players!B:B="Engineer"),QUOTIENT(ROW()-ROW($A$2),12)+1),"")</f>
        <v>M-o-e-r-d-e-r</v>
      </c>
      <c r="B929" s="42" t="str">
        <f>_xlfn.XLOOKUP(A929,Class_Players!$A:$A,Class_Players!$B:$B,"")</f>
        <v>Engineer</v>
      </c>
      <c r="C929" s="42" t="str" cm="1">
        <f t="array" ref="C929">INDEX(Lookups!$B$2:$B$13,MOD(ROW()-ROW($B$2),ROWS(Lookups!$B$2:$B$13))+1)</f>
        <v>MAS 148 (Long-Range Launcher)</v>
      </c>
      <c r="D929" s="38" t="str">
        <f>_xlfn.XLOOKUP(C929,Analysis_Gadgets!$C:$C,Analysis_Gadgets!$B:$B)</f>
        <v>Gadget</v>
      </c>
      <c r="E929" s="43">
        <v>4</v>
      </c>
      <c r="F929" s="43">
        <f>_xlfn.XLOOKUP(A929,Class_Players!A:A,Class_Players!G:G)</f>
        <v>196</v>
      </c>
      <c r="G929" s="43">
        <f t="shared" si="201"/>
        <v>2.0408163265306121E-2</v>
      </c>
      <c r="H929" s="43">
        <f>_xlfn.XLOOKUP(A929,Class_Players!$A:$A,Class_Players!$F:$F,"")</f>
        <v>7337</v>
      </c>
      <c r="I929" s="44">
        <f t="shared" si="202"/>
        <v>5.4518195447730681E-4</v>
      </c>
      <c r="J929" s="43">
        <f t="shared" si="203"/>
        <v>0</v>
      </c>
      <c r="K929" s="44" cm="1">
        <f t="array" ref="K929">IF(D929="Gadget",_xlfn.IFS(I929&gt;=0.2,0.5,I929&gt;=0.1,0.35,I929&gt;=0.05,0.2,TRUE,0),IF(D929="Grenade",_xlfn.IFS(I929&gt;=0.2,1,I929&gt;=0.1,0.7,I929&gt;=0.05,0.4,TRUE,0),0))</f>
        <v>0</v>
      </c>
      <c r="L929" s="57">
        <f t="shared" si="214"/>
        <v>0</v>
      </c>
    </row>
    <row r="930" spans="1:12" x14ac:dyDescent="0.25">
      <c r="A930" s="42" t="str" cm="1">
        <f t="array" ref="A930">IFERROR(INDEX(_xlfn._xlws.FILTER(Class_Players!A:A,Class_Players!B:B="Engineer"),QUOTIENT(ROW()-ROW($A$2),12)+1),"")</f>
        <v>M-o-e-r-d-e-r</v>
      </c>
      <c r="B930" s="42" t="str">
        <f>_xlfn.XLOOKUP(A930,Class_Players!$A:$A,Class_Players!$B:$B,"")</f>
        <v>Engineer</v>
      </c>
      <c r="C930" s="42" t="str" cm="1">
        <f t="array" ref="C930">INDEX(Lookups!$B$2:$B$13,MOD(ROW()-ROW($B$2),ROWS(Lookups!$B$2:$B$13))+1)</f>
        <v>M136 AT (Aim-Guided Launcher)</v>
      </c>
      <c r="D930" s="38" t="str">
        <f>_xlfn.XLOOKUP(C930,Analysis_Gadgets!$C:$C,Analysis_Gadgets!$B:$B)</f>
        <v>Gadget</v>
      </c>
      <c r="E930" s="43">
        <v>38</v>
      </c>
      <c r="F930" s="43">
        <f>_xlfn.XLOOKUP(A930,Class_Players!A:A,Class_Players!G:G)</f>
        <v>196</v>
      </c>
      <c r="G930" s="43">
        <f t="shared" ref="G930:G993" si="215">IF(F930=0,"",E930/(F930))</f>
        <v>0.19387755102040816</v>
      </c>
      <c r="H930" s="43">
        <f>_xlfn.XLOOKUP(A930,Class_Players!$A:$A,Class_Players!$F:$F,"")</f>
        <v>7337</v>
      </c>
      <c r="I930" s="44">
        <f t="shared" ref="I930:I993" si="216">IF(H930=0,"",E930/H930)</f>
        <v>5.1792285675344146E-3</v>
      </c>
      <c r="J930" s="43">
        <f t="shared" ref="J930:J993" si="217">IF(I930&gt;=0.1,1,0)</f>
        <v>0</v>
      </c>
      <c r="K930" s="44" cm="1">
        <f t="array" ref="K930">IF(D930="Gadget",_xlfn.IFS(I930&gt;=0.2,0.5,I930&gt;=0.1,0.35,I930&gt;=0.05,0.2,TRUE,0),IF(D930="Grenade",_xlfn.IFS(I930&gt;=0.2,1,I930&gt;=0.1,0.7,I930&gt;=0.05,0.4,TRUE,0),0))</f>
        <v>0</v>
      </c>
      <c r="L930" s="57">
        <f t="shared" si="214"/>
        <v>0</v>
      </c>
    </row>
    <row r="931" spans="1:12" x14ac:dyDescent="0.25">
      <c r="A931" s="42" t="str" cm="1">
        <f t="array" ref="A931">IFERROR(INDEX(_xlfn._xlws.FILTER(Class_Players!A:A,Class_Players!B:B="Engineer"),QUOTIENT(ROW()-ROW($A$2),12)+1),"")</f>
        <v>M-o-e-r-d-e-r</v>
      </c>
      <c r="B931" s="42" t="str">
        <f>_xlfn.XLOOKUP(A931,Class_Players!$A:$A,Class_Players!$B:$B,"")</f>
        <v>Engineer</v>
      </c>
      <c r="C931" s="42" t="str" cm="1">
        <f t="array" ref="C931">INDEX(Lookups!$B$2:$B$13,MOD(ROW()-ROW($B$2),ROWS(Lookups!$B$2:$B$13))+1)</f>
        <v>Supply Crate</v>
      </c>
      <c r="D931" s="38" t="str">
        <f>_xlfn.XLOOKUP(C931,Analysis_Gadgets!$C:$C,Analysis_Gadgets!$B:$B)</f>
        <v>Gadget</v>
      </c>
      <c r="E931" s="43">
        <v>9</v>
      </c>
      <c r="F931" s="43">
        <f>_xlfn.XLOOKUP(A931,Class_Players!A:A,Class_Players!G:G)</f>
        <v>196</v>
      </c>
      <c r="G931" s="43">
        <f t="shared" si="215"/>
        <v>4.5918367346938778E-2</v>
      </c>
      <c r="H931" s="43">
        <f>_xlfn.XLOOKUP(A931,Class_Players!$A:$A,Class_Players!$F:$F,"")</f>
        <v>7337</v>
      </c>
      <c r="I931" s="44">
        <f t="shared" si="216"/>
        <v>1.2266593975739403E-3</v>
      </c>
      <c r="J931" s="43">
        <f t="shared" si="217"/>
        <v>0</v>
      </c>
      <c r="K931" s="44" cm="1">
        <f t="array" ref="K931">IF(D931="Gadget",_xlfn.IFS(I931&gt;=0.2,0.5,I931&gt;=0.1,0.35,I931&gt;=0.05,0.2,TRUE,0),IF(D931="Grenade",_xlfn.IFS(I931&gt;=0.2,1,I931&gt;=0.1,0.7,I931&gt;=0.05,0.4,TRUE,0),0))</f>
        <v>0</v>
      </c>
      <c r="L931" s="57">
        <f t="shared" si="214"/>
        <v>0</v>
      </c>
    </row>
    <row r="932" spans="1:12" x14ac:dyDescent="0.25">
      <c r="A932" s="42" t="str" cm="1">
        <f t="array" ref="A932">IFERROR(INDEX(_xlfn._xlws.FILTER(Class_Players!A:A,Class_Players!B:B="Engineer"),QUOTIENT(ROW()-ROW($A$2),12)+1),"")</f>
        <v>M-o-e-r-d-e-r</v>
      </c>
      <c r="B932" s="42" t="str">
        <f>_xlfn.XLOOKUP(A932,Class_Players!$A:$A,Class_Players!$B:$B,"")</f>
        <v>Engineer</v>
      </c>
      <c r="C932" s="42" t="str" cm="1">
        <f t="array" ref="C932">INDEX(Lookups!$B$2:$B$13,MOD(ROW()-ROW($B$2),ROWS(Lookups!$B$2:$B$13))+1)</f>
        <v>M15 (Anti-Vehicle Mine)</v>
      </c>
      <c r="D932" s="38" t="str">
        <f>_xlfn.XLOOKUP(C932,Analysis_Gadgets!$C:$C,Analysis_Gadgets!$B:$B)</f>
        <v>Gadget</v>
      </c>
      <c r="E932" s="43">
        <v>1147</v>
      </c>
      <c r="F932" s="43">
        <f>_xlfn.XLOOKUP(A932,Class_Players!A:A,Class_Players!G:G)</f>
        <v>196</v>
      </c>
      <c r="G932" s="43">
        <f t="shared" si="215"/>
        <v>5.8520408163265305</v>
      </c>
      <c r="H932" s="43">
        <f>_xlfn.XLOOKUP(A932,Class_Players!$A:$A,Class_Players!$F:$F,"")</f>
        <v>7337</v>
      </c>
      <c r="I932" s="44">
        <f t="shared" si="216"/>
        <v>0.15633092544636773</v>
      </c>
      <c r="J932" s="43">
        <f t="shared" si="217"/>
        <v>1</v>
      </c>
      <c r="K932" s="44" cm="1">
        <f t="array" ref="K932">IF(D932="Gadget",_xlfn.IFS(I932&gt;=0.2,0.5,I932&gt;=0.1,0.35,I932&gt;=0.05,0.2,TRUE,0),IF(D932="Grenade",_xlfn.IFS(I932&gt;=0.2,1,I932&gt;=0.1,0.7,I932&gt;=0.05,0.4,TRUE,0),0))</f>
        <v>0.35</v>
      </c>
      <c r="L932" s="57">
        <f t="shared" si="214"/>
        <v>0.41176470588235292</v>
      </c>
    </row>
    <row r="933" spans="1:12" x14ac:dyDescent="0.25">
      <c r="A933" s="42" t="str" cm="1">
        <f t="array" ref="A933">IFERROR(INDEX(_xlfn._xlws.FILTER(Class_Players!A:A,Class_Players!B:B="Engineer"),QUOTIENT(ROW()-ROW($A$2),12)+1),"")</f>
        <v>M-o-e-r-d-e-r</v>
      </c>
      <c r="B933" s="42" t="str">
        <f>_xlfn.XLOOKUP(A933,Class_Players!$A:$A,Class_Players!$B:$B,"")</f>
        <v>Engineer</v>
      </c>
      <c r="C933" s="42" t="str" cm="1">
        <f t="array" ref="C933">INDEX(Lookups!$B$2:$B$13,MOD(ROW()-ROW($B$2),ROWS(Lookups!$B$2:$B$13))+1)</f>
        <v>PTKM-1R (Acoustic Sensor AV Mine)</v>
      </c>
      <c r="D933" s="38" t="str">
        <f>_xlfn.XLOOKUP(C933,Analysis_Gadgets!$C:$C,Analysis_Gadgets!$B:$B)</f>
        <v>Gadget</v>
      </c>
      <c r="E933" s="43">
        <v>10</v>
      </c>
      <c r="F933" s="43">
        <f>_xlfn.XLOOKUP(A933,Class_Players!A:A,Class_Players!G:G)</f>
        <v>196</v>
      </c>
      <c r="G933" s="43">
        <f t="shared" si="215"/>
        <v>5.1020408163265307E-2</v>
      </c>
      <c r="H933" s="43">
        <f>_xlfn.XLOOKUP(A933,Class_Players!$A:$A,Class_Players!$F:$F,"")</f>
        <v>7337</v>
      </c>
      <c r="I933" s="44">
        <f t="shared" si="216"/>
        <v>1.362954886193267E-3</v>
      </c>
      <c r="J933" s="43">
        <f t="shared" si="217"/>
        <v>0</v>
      </c>
      <c r="K933" s="44" cm="1">
        <f t="array" ref="K933">IF(D933="Gadget",_xlfn.IFS(I933&gt;=0.2,0.5,I933&gt;=0.1,0.35,I933&gt;=0.05,0.2,TRUE,0),IF(D933="Grenade",_xlfn.IFS(I933&gt;=0.2,1,I933&gt;=0.1,0.7,I933&gt;=0.05,0.4,TRUE,0),0))</f>
        <v>0</v>
      </c>
      <c r="L933" s="57">
        <f t="shared" si="214"/>
        <v>0</v>
      </c>
    </row>
    <row r="934" spans="1:12" x14ac:dyDescent="0.25">
      <c r="A934" s="42" t="str" cm="1">
        <f t="array" ref="A934">IFERROR(INDEX(_xlfn._xlws.FILTER(Class_Players!A:A,Class_Players!B:B="Engineer"),QUOTIENT(ROW()-ROW($A$2),12)+1),"")</f>
        <v>M-o-e-r-d-e-r</v>
      </c>
      <c r="B934" s="42" t="str">
        <f>_xlfn.XLOOKUP(A934,Class_Players!$A:$A,Class_Players!$B:$B,"")</f>
        <v>Engineer</v>
      </c>
      <c r="C934" s="42" t="str" cm="1">
        <f t="array" ref="C934">INDEX(Lookups!$B$2:$B$13,MOD(ROW()-ROW($B$2),ROWS(Lookups!$B$2:$B$13))+1)</f>
        <v>EOD Bot</v>
      </c>
      <c r="D934" s="38" t="str">
        <f>_xlfn.XLOOKUP(C934,Analysis_Gadgets!$C:$C,Analysis_Gadgets!$B:$B)</f>
        <v>Gadget</v>
      </c>
      <c r="E934" s="43">
        <v>0</v>
      </c>
      <c r="F934" s="43">
        <f>_xlfn.XLOOKUP(A934,Class_Players!A:A,Class_Players!G:G)</f>
        <v>196</v>
      </c>
      <c r="G934" s="43">
        <f t="shared" si="215"/>
        <v>0</v>
      </c>
      <c r="H934" s="43">
        <f>_xlfn.XLOOKUP(A934,Class_Players!$A:$A,Class_Players!$F:$F,"")</f>
        <v>7337</v>
      </c>
      <c r="I934" s="44">
        <f t="shared" si="216"/>
        <v>0</v>
      </c>
      <c r="J934" s="43">
        <f t="shared" si="217"/>
        <v>0</v>
      </c>
      <c r="K934" s="44" cm="1">
        <f t="array" ref="K934">IF(D934="Gadget",_xlfn.IFS(I934&gt;=0.2,0.5,I934&gt;=0.1,0.35,I934&gt;=0.05,0.2,TRUE,0),IF(D934="Grenade",_xlfn.IFS(I934&gt;=0.2,1,I934&gt;=0.1,0.7,I934&gt;=0.05,0.4,TRUE,0),0))</f>
        <v>0</v>
      </c>
      <c r="L934" s="57">
        <f t="shared" si="214"/>
        <v>0</v>
      </c>
    </row>
    <row r="935" spans="1:12" x14ac:dyDescent="0.25">
      <c r="A935" s="42" t="str" cm="1">
        <f t="array" ref="A935">IFERROR(INDEX(_xlfn._xlws.FILTER(Class_Players!A:A,Class_Players!B:B="Engineer"),QUOTIENT(ROW()-ROW($A$2),12)+1),"")</f>
        <v>M-o-e-r-d-e-r</v>
      </c>
      <c r="B935" s="42" t="str">
        <f>_xlfn.XLOOKUP(A935,Class_Players!$A:$A,Class_Players!$B:$B,"")</f>
        <v>Engineer</v>
      </c>
      <c r="C935" s="42" t="str" cm="1">
        <f t="array" ref="C935">INDEX(Lookups!$B$2:$B$13,MOD(ROW()-ROW($B$2),ROWS(Lookups!$B$2:$B$13))+1)</f>
        <v>M4A1 SLAM (Tripwire Sensor AV Mine)</v>
      </c>
      <c r="D935" s="38" t="str">
        <f>_xlfn.XLOOKUP(C935,Analysis_Gadgets!$C:$C,Analysis_Gadgets!$B:$B)</f>
        <v>Gadget</v>
      </c>
      <c r="E935" s="43">
        <v>0</v>
      </c>
      <c r="F935" s="43">
        <f>_xlfn.XLOOKUP(A935,Class_Players!A:A,Class_Players!G:G)</f>
        <v>196</v>
      </c>
      <c r="G935" s="43">
        <f t="shared" si="215"/>
        <v>0</v>
      </c>
      <c r="H935" s="43">
        <f>_xlfn.XLOOKUP(A935,Class_Players!$A:$A,Class_Players!$F:$F,"")</f>
        <v>7337</v>
      </c>
      <c r="I935" s="44">
        <f t="shared" si="216"/>
        <v>0</v>
      </c>
      <c r="J935" s="43">
        <f t="shared" si="217"/>
        <v>0</v>
      </c>
      <c r="K935" s="44" cm="1">
        <f t="array" ref="K935">IF(D935="Gadget",_xlfn.IFS(I935&gt;=0.2,0.5,I935&gt;=0.1,0.35,I935&gt;=0.05,0.2,TRUE,0),IF(D935="Grenade",_xlfn.IFS(I935&gt;=0.2,1,I935&gt;=0.1,0.7,I935&gt;=0.05,0.4,TRUE,0),0))</f>
        <v>0</v>
      </c>
      <c r="L935" s="57">
        <f t="shared" si="214"/>
        <v>0</v>
      </c>
    </row>
    <row r="936" spans="1:12" x14ac:dyDescent="0.25">
      <c r="A936" s="42" t="str" cm="1">
        <f t="array" ref="A936">IFERROR(INDEX(_xlfn._xlws.FILTER(Class_Players!A:A,Class_Players!B:B="Engineer"),QUOTIENT(ROW()-ROW($A$2),12)+1),"")</f>
        <v>M-o-e-r-d-e-r</v>
      </c>
      <c r="B936" s="42" t="str">
        <f>_xlfn.XLOOKUP(A936,Class_Players!$A:$A,Class_Players!$B:$B,"")</f>
        <v>Engineer</v>
      </c>
      <c r="C936" s="42" t="str" cm="1">
        <f t="array" ref="C936">INDEX(Lookups!$B$2:$B$13,MOD(ROW()-ROW($B$2),ROWS(Lookups!$B$2:$B$13))+1)</f>
        <v>Mini Frag Grenade</v>
      </c>
      <c r="D936" s="38" t="str">
        <f>_xlfn.XLOOKUP(C936,Analysis_Gadgets!$C:$C,Analysis_Gadgets!$B:$B)</f>
        <v>Grenade</v>
      </c>
      <c r="E936" s="43">
        <v>13</v>
      </c>
      <c r="F936" s="43">
        <f>_xlfn.XLOOKUP(A936,Class_Players!A:A,Class_Players!G:G)</f>
        <v>196</v>
      </c>
      <c r="G936" s="43">
        <f t="shared" si="215"/>
        <v>6.6326530612244902E-2</v>
      </c>
      <c r="H936" s="43">
        <f>_xlfn.XLOOKUP(A936,Class_Players!$A:$A,Class_Players!$F:$F,"")</f>
        <v>7337</v>
      </c>
      <c r="I936" s="44">
        <f t="shared" si="216"/>
        <v>1.771841352051247E-3</v>
      </c>
      <c r="J936" s="43">
        <f t="shared" si="217"/>
        <v>0</v>
      </c>
      <c r="K936" s="44" cm="1">
        <f t="array" ref="K936">IF(D936="Gadget",_xlfn.IFS(I936&gt;=0.2,0.5,I936&gt;=0.1,0.35,I936&gt;=0.05,0.2,TRUE,0),IF(D936="Grenade",_xlfn.IFS(I936&gt;=0.2,1,I936&gt;=0.1,0.7,I936&gt;=0.05,0.4,TRUE,0),0))</f>
        <v>0</v>
      </c>
      <c r="L936" s="57">
        <f t="shared" ref="L936:L937" si="218">IF($K936=0,0,$K936 / SUMIFS($K:$K,$A:$A,$A936,$D:$D,"Grenade"))</f>
        <v>0</v>
      </c>
    </row>
    <row r="937" spans="1:12" x14ac:dyDescent="0.25">
      <c r="A937" s="42" t="str" cm="1">
        <f t="array" ref="A937">IFERROR(INDEX(_xlfn._xlws.FILTER(Class_Players!A:A,Class_Players!B:B="Engineer"),QUOTIENT(ROW()-ROW($A$2),12)+1),"")</f>
        <v>M-o-e-r-d-e-r</v>
      </c>
      <c r="B937" s="42" t="str">
        <f>_xlfn.XLOOKUP(A937,Class_Players!$A:$A,Class_Players!$B:$B,"")</f>
        <v>Engineer</v>
      </c>
      <c r="C937" s="42" t="str" cm="1">
        <f t="array" ref="C937">INDEX(Lookups!$B$2:$B$13,MOD(ROW()-ROW($B$2),ROWS(Lookups!$B$2:$B$13))+1)</f>
        <v>Anti-Vehicle Grenade</v>
      </c>
      <c r="D937" s="38" t="str">
        <f>_xlfn.XLOOKUP(C937,Analysis_Gadgets!$C:$C,Analysis_Gadgets!$B:$B)</f>
        <v>Grenade</v>
      </c>
      <c r="E937" s="43">
        <v>0</v>
      </c>
      <c r="F937" s="43">
        <f>_xlfn.XLOOKUP(A937,Class_Players!A:A,Class_Players!G:G)</f>
        <v>196</v>
      </c>
      <c r="G937" s="43">
        <f t="shared" si="215"/>
        <v>0</v>
      </c>
      <c r="H937" s="43">
        <f>_xlfn.XLOOKUP(A937,Class_Players!$A:$A,Class_Players!$F:$F,"")</f>
        <v>7337</v>
      </c>
      <c r="I937" s="44">
        <f t="shared" si="216"/>
        <v>0</v>
      </c>
      <c r="J937" s="43">
        <f t="shared" si="217"/>
        <v>0</v>
      </c>
      <c r="K937" s="44" cm="1">
        <f t="array" ref="K937">IF(D937="Gadget",_xlfn.IFS(I937&gt;=0.2,0.5,I937&gt;=0.1,0.35,I937&gt;=0.05,0.2,TRUE,0),IF(D937="Grenade",_xlfn.IFS(I937&gt;=0.2,1,I937&gt;=0.1,0.7,I937&gt;=0.05,0.4,TRUE,0),0))</f>
        <v>0</v>
      </c>
      <c r="L937" s="57">
        <f t="shared" si="218"/>
        <v>0</v>
      </c>
    </row>
    <row r="938" spans="1:12" x14ac:dyDescent="0.25">
      <c r="A938" s="42" t="str" cm="1">
        <f t="array" ref="A938">IFERROR(INDEX(_xlfn._xlws.FILTER(Class_Players!A:A,Class_Players!B:B="Engineer"),QUOTIENT(ROW()-ROW($A$2),12)+1),"")</f>
        <v>vladi6716</v>
      </c>
      <c r="B938" s="42" t="str">
        <f>_xlfn.XLOOKUP(A938,Class_Players!$A:$A,Class_Players!$B:$B,"")</f>
        <v>Engineer</v>
      </c>
      <c r="C938" s="42" t="str" cm="1">
        <f t="array" ref="C938">INDEX(Lookups!$B$2:$B$13,MOD(ROW()-ROW($B$2),ROWS(Lookups!$B$2:$B$13))+1)</f>
        <v>MBT-LAW (Auto-Guided Launcher)</v>
      </c>
      <c r="D938" s="38" t="str">
        <f>_xlfn.XLOOKUP(C938,Analysis_Gadgets!$C:$C,Analysis_Gadgets!$B:$B)</f>
        <v>Gadget</v>
      </c>
      <c r="E938" s="43">
        <v>0</v>
      </c>
      <c r="F938" s="43">
        <f>_xlfn.XLOOKUP(A938,Class_Players!A:A,Class_Players!G:G)</f>
        <v>166</v>
      </c>
      <c r="G938" s="43">
        <f t="shared" si="215"/>
        <v>0</v>
      </c>
      <c r="H938" s="43">
        <f>_xlfn.XLOOKUP(A938,Class_Players!$A:$A,Class_Players!$F:$F,"")</f>
        <v>7402</v>
      </c>
      <c r="I938" s="44">
        <f t="shared" si="216"/>
        <v>0</v>
      </c>
      <c r="J938" s="43">
        <f t="shared" si="217"/>
        <v>0</v>
      </c>
      <c r="K938" s="44" cm="1">
        <f t="array" ref="K938">IF(D938="Gadget",_xlfn.IFS(I938&gt;=0.2,0.5,I938&gt;=0.1,0.35,I938&gt;=0.05,0.2,TRUE,0),IF(D938="Grenade",_xlfn.IFS(I938&gt;=0.2,1,I938&gt;=0.1,0.7,I938&gt;=0.05,0.4,TRUE,0),0))</f>
        <v>0</v>
      </c>
      <c r="L938" s="57">
        <f t="shared" ref="L938:L947" si="219">IF($K938=0,0,$K938 / SUMIFS($K:$K,$A:$A,$A938,$D:$D,"Gadget"))</f>
        <v>0</v>
      </c>
    </row>
    <row r="939" spans="1:12" x14ac:dyDescent="0.25">
      <c r="A939" s="42" t="str" cm="1">
        <f t="array" ref="A939">IFERROR(INDEX(_xlfn._xlws.FILTER(Class_Players!A:A,Class_Players!B:B="Engineer"),QUOTIENT(ROW()-ROW($A$2),12)+1),"")</f>
        <v>vladi6716</v>
      </c>
      <c r="B939" s="42" t="str">
        <f>_xlfn.XLOOKUP(A939,Class_Players!$A:$A,Class_Players!$B:$B,"")</f>
        <v>Engineer</v>
      </c>
      <c r="C939" s="42" t="str" cm="1">
        <f t="array" ref="C939">INDEX(Lookups!$B$2:$B$13,MOD(ROW()-ROW($B$2),ROWS(Lookups!$B$2:$B$13))+1)</f>
        <v>SLM-93A (Air-Defense Launcher)</v>
      </c>
      <c r="D939" s="38" t="str">
        <f>_xlfn.XLOOKUP(C939,Analysis_Gadgets!$C:$C,Analysis_Gadgets!$B:$B)</f>
        <v>Gadget</v>
      </c>
      <c r="E939" s="43">
        <v>164</v>
      </c>
      <c r="F939" s="43">
        <f>_xlfn.XLOOKUP(A939,Class_Players!A:A,Class_Players!G:G)</f>
        <v>166</v>
      </c>
      <c r="G939" s="43">
        <f t="shared" si="215"/>
        <v>0.98795180722891562</v>
      </c>
      <c r="H939" s="43">
        <f>_xlfn.XLOOKUP(A939,Class_Players!$A:$A,Class_Players!$F:$F,"")</f>
        <v>7402</v>
      </c>
      <c r="I939" s="44">
        <f t="shared" si="216"/>
        <v>2.2156174007025128E-2</v>
      </c>
      <c r="J939" s="43">
        <f t="shared" si="217"/>
        <v>0</v>
      </c>
      <c r="K939" s="44" cm="1">
        <f t="array" ref="K939">IF(D939="Gadget",_xlfn.IFS(I939&gt;=0.2,0.5,I939&gt;=0.1,0.35,I939&gt;=0.05,0.2,TRUE,0),IF(D939="Grenade",_xlfn.IFS(I939&gt;=0.2,1,I939&gt;=0.1,0.7,I939&gt;=0.05,0.4,TRUE,0),0))</f>
        <v>0</v>
      </c>
      <c r="L939" s="57">
        <f t="shared" si="219"/>
        <v>0</v>
      </c>
    </row>
    <row r="940" spans="1:12" x14ac:dyDescent="0.25">
      <c r="A940" s="42" t="str" cm="1">
        <f t="array" ref="A940">IFERROR(INDEX(_xlfn._xlws.FILTER(Class_Players!A:A,Class_Players!B:B="Engineer"),QUOTIENT(ROW()-ROW($A$2),12)+1),"")</f>
        <v>vladi6716</v>
      </c>
      <c r="B940" s="42" t="str">
        <f>_xlfn.XLOOKUP(A940,Class_Players!$A:$A,Class_Players!$B:$B,"")</f>
        <v>Engineer</v>
      </c>
      <c r="C940" s="42" t="str" cm="1">
        <f t="array" ref="C940">INDEX(Lookups!$B$2:$B$13,MOD(ROW()-ROW($B$2),ROWS(Lookups!$B$2:$B$13))+1)</f>
        <v>RPG-7V2 (Unguided Rocket Launcher)</v>
      </c>
      <c r="D940" s="38" t="str">
        <f>_xlfn.XLOOKUP(C940,Analysis_Gadgets!$C:$C,Analysis_Gadgets!$B:$B)</f>
        <v>Gadget</v>
      </c>
      <c r="E940" s="43">
        <v>5605</v>
      </c>
      <c r="F940" s="43">
        <f>_xlfn.XLOOKUP(A940,Class_Players!A:A,Class_Players!G:G)</f>
        <v>166</v>
      </c>
      <c r="G940" s="43">
        <f t="shared" si="215"/>
        <v>33.765060240963855</v>
      </c>
      <c r="H940" s="43">
        <f>_xlfn.XLOOKUP(A940,Class_Players!$A:$A,Class_Players!$F:$F,"")</f>
        <v>7402</v>
      </c>
      <c r="I940" s="44">
        <f t="shared" si="216"/>
        <v>0.75722777627668203</v>
      </c>
      <c r="J940" s="43">
        <f t="shared" si="217"/>
        <v>1</v>
      </c>
      <c r="K940" s="44" cm="1">
        <f t="array" ref="K940">IF(D940="Gadget",_xlfn.IFS(I940&gt;=0.2,0.5,I940&gt;=0.1,0.35,I940&gt;=0.05,0.2,TRUE,0),IF(D940="Grenade",_xlfn.IFS(I940&gt;=0.2,1,I940&gt;=0.1,0.7,I940&gt;=0.05,0.4,TRUE,0),0))</f>
        <v>0.5</v>
      </c>
      <c r="L940" s="57">
        <f t="shared" si="219"/>
        <v>0.5</v>
      </c>
    </row>
    <row r="941" spans="1:12" x14ac:dyDescent="0.25">
      <c r="A941" s="42" t="str" cm="1">
        <f t="array" ref="A941">IFERROR(INDEX(_xlfn._xlws.FILTER(Class_Players!A:A,Class_Players!B:B="Engineer"),QUOTIENT(ROW()-ROW($A$2),12)+1),"")</f>
        <v>vladi6716</v>
      </c>
      <c r="B941" s="42" t="str">
        <f>_xlfn.XLOOKUP(A941,Class_Players!$A:$A,Class_Players!$B:$B,"")</f>
        <v>Engineer</v>
      </c>
      <c r="C941" s="42" t="str" cm="1">
        <f t="array" ref="C941">INDEX(Lookups!$B$2:$B$13,MOD(ROW()-ROW($B$2),ROWS(Lookups!$B$2:$B$13))+1)</f>
        <v>MAS 148 (Long-Range Launcher)</v>
      </c>
      <c r="D941" s="38" t="str">
        <f>_xlfn.XLOOKUP(C941,Analysis_Gadgets!$C:$C,Analysis_Gadgets!$B:$B)</f>
        <v>Gadget</v>
      </c>
      <c r="E941" s="43">
        <v>14</v>
      </c>
      <c r="F941" s="43">
        <f>_xlfn.XLOOKUP(A941,Class_Players!A:A,Class_Players!G:G)</f>
        <v>166</v>
      </c>
      <c r="G941" s="43">
        <f t="shared" si="215"/>
        <v>8.4337349397590355E-2</v>
      </c>
      <c r="H941" s="43">
        <f>_xlfn.XLOOKUP(A941,Class_Players!$A:$A,Class_Players!$F:$F,"")</f>
        <v>7402</v>
      </c>
      <c r="I941" s="44">
        <f t="shared" si="216"/>
        <v>1.8913807079167792E-3</v>
      </c>
      <c r="J941" s="43">
        <f t="shared" si="217"/>
        <v>0</v>
      </c>
      <c r="K941" s="44" cm="1">
        <f t="array" ref="K941">IF(D941="Gadget",_xlfn.IFS(I941&gt;=0.2,0.5,I941&gt;=0.1,0.35,I941&gt;=0.05,0.2,TRUE,0),IF(D941="Grenade",_xlfn.IFS(I941&gt;=0.2,1,I941&gt;=0.1,0.7,I941&gt;=0.05,0.4,TRUE,0),0))</f>
        <v>0</v>
      </c>
      <c r="L941" s="57">
        <f t="shared" si="219"/>
        <v>0</v>
      </c>
    </row>
    <row r="942" spans="1:12" x14ac:dyDescent="0.25">
      <c r="A942" s="42" t="str" cm="1">
        <f t="array" ref="A942">IFERROR(INDEX(_xlfn._xlws.FILTER(Class_Players!A:A,Class_Players!B:B="Engineer"),QUOTIENT(ROW()-ROW($A$2),12)+1),"")</f>
        <v>vladi6716</v>
      </c>
      <c r="B942" s="42" t="str">
        <f>_xlfn.XLOOKUP(A942,Class_Players!$A:$A,Class_Players!$B:$B,"")</f>
        <v>Engineer</v>
      </c>
      <c r="C942" s="42" t="str" cm="1">
        <f t="array" ref="C942">INDEX(Lookups!$B$2:$B$13,MOD(ROW()-ROW($B$2),ROWS(Lookups!$B$2:$B$13))+1)</f>
        <v>M136 AT (Aim-Guided Launcher)</v>
      </c>
      <c r="D942" s="38" t="str">
        <f>_xlfn.XLOOKUP(C942,Analysis_Gadgets!$C:$C,Analysis_Gadgets!$B:$B)</f>
        <v>Gadget</v>
      </c>
      <c r="E942" s="43">
        <v>14</v>
      </c>
      <c r="F942" s="43">
        <f>_xlfn.XLOOKUP(A942,Class_Players!A:A,Class_Players!G:G)</f>
        <v>166</v>
      </c>
      <c r="G942" s="43">
        <f t="shared" si="215"/>
        <v>8.4337349397590355E-2</v>
      </c>
      <c r="H942" s="43">
        <f>_xlfn.XLOOKUP(A942,Class_Players!$A:$A,Class_Players!$F:$F,"")</f>
        <v>7402</v>
      </c>
      <c r="I942" s="44">
        <f t="shared" si="216"/>
        <v>1.8913807079167792E-3</v>
      </c>
      <c r="J942" s="43">
        <f t="shared" si="217"/>
        <v>0</v>
      </c>
      <c r="K942" s="44" cm="1">
        <f t="array" ref="K942">IF(D942="Gadget",_xlfn.IFS(I942&gt;=0.2,0.5,I942&gt;=0.1,0.35,I942&gt;=0.05,0.2,TRUE,0),IF(D942="Grenade",_xlfn.IFS(I942&gt;=0.2,1,I942&gt;=0.1,0.7,I942&gt;=0.05,0.4,TRUE,0),0))</f>
        <v>0</v>
      </c>
      <c r="L942" s="57">
        <f t="shared" si="219"/>
        <v>0</v>
      </c>
    </row>
    <row r="943" spans="1:12" x14ac:dyDescent="0.25">
      <c r="A943" s="42" t="str" cm="1">
        <f t="array" ref="A943">IFERROR(INDEX(_xlfn._xlws.FILTER(Class_Players!A:A,Class_Players!B:B="Engineer"),QUOTIENT(ROW()-ROW($A$2),12)+1),"")</f>
        <v>vladi6716</v>
      </c>
      <c r="B943" s="42" t="str">
        <f>_xlfn.XLOOKUP(A943,Class_Players!$A:$A,Class_Players!$B:$B,"")</f>
        <v>Engineer</v>
      </c>
      <c r="C943" s="42" t="str" cm="1">
        <f t="array" ref="C943">INDEX(Lookups!$B$2:$B$13,MOD(ROW()-ROW($B$2),ROWS(Lookups!$B$2:$B$13))+1)</f>
        <v>Supply Crate</v>
      </c>
      <c r="D943" s="38" t="str">
        <f>_xlfn.XLOOKUP(C943,Analysis_Gadgets!$C:$C,Analysis_Gadgets!$B:$B)</f>
        <v>Gadget</v>
      </c>
      <c r="E943" s="43">
        <v>67</v>
      </c>
      <c r="F943" s="43">
        <f>_xlfn.XLOOKUP(A943,Class_Players!A:A,Class_Players!G:G)</f>
        <v>166</v>
      </c>
      <c r="G943" s="43">
        <f t="shared" si="215"/>
        <v>0.40361445783132532</v>
      </c>
      <c r="H943" s="43">
        <f>_xlfn.XLOOKUP(A943,Class_Players!$A:$A,Class_Players!$F:$F,"")</f>
        <v>7402</v>
      </c>
      <c r="I943" s="44">
        <f t="shared" si="216"/>
        <v>9.0516076736017297E-3</v>
      </c>
      <c r="J943" s="43">
        <f t="shared" si="217"/>
        <v>0</v>
      </c>
      <c r="K943" s="44" cm="1">
        <f t="array" ref="K943">IF(D943="Gadget",_xlfn.IFS(I943&gt;=0.2,0.5,I943&gt;=0.1,0.35,I943&gt;=0.05,0.2,TRUE,0),IF(D943="Grenade",_xlfn.IFS(I943&gt;=0.2,1,I943&gt;=0.1,0.7,I943&gt;=0.05,0.4,TRUE,0),0))</f>
        <v>0</v>
      </c>
      <c r="L943" s="57">
        <f t="shared" si="219"/>
        <v>0</v>
      </c>
    </row>
    <row r="944" spans="1:12" x14ac:dyDescent="0.25">
      <c r="A944" s="42" t="str" cm="1">
        <f t="array" ref="A944">IFERROR(INDEX(_xlfn._xlws.FILTER(Class_Players!A:A,Class_Players!B:B="Engineer"),QUOTIENT(ROW()-ROW($A$2),12)+1),"")</f>
        <v>vladi6716</v>
      </c>
      <c r="B944" s="42" t="str">
        <f>_xlfn.XLOOKUP(A944,Class_Players!$A:$A,Class_Players!$B:$B,"")</f>
        <v>Engineer</v>
      </c>
      <c r="C944" s="42" t="str" cm="1">
        <f t="array" ref="C944">INDEX(Lookups!$B$2:$B$13,MOD(ROW()-ROW($B$2),ROWS(Lookups!$B$2:$B$13))+1)</f>
        <v>M15 (Anti-Vehicle Mine)</v>
      </c>
      <c r="D944" s="38" t="str">
        <f>_xlfn.XLOOKUP(C944,Analysis_Gadgets!$C:$C,Analysis_Gadgets!$B:$B)</f>
        <v>Gadget</v>
      </c>
      <c r="E944" s="43">
        <v>6814</v>
      </c>
      <c r="F944" s="43">
        <f>_xlfn.XLOOKUP(A944,Class_Players!A:A,Class_Players!G:G)</f>
        <v>166</v>
      </c>
      <c r="G944" s="43">
        <f t="shared" si="215"/>
        <v>41.048192771084338</v>
      </c>
      <c r="H944" s="43">
        <f>_xlfn.XLOOKUP(A944,Class_Players!$A:$A,Class_Players!$F:$F,"")</f>
        <v>7402</v>
      </c>
      <c r="I944" s="44">
        <f t="shared" si="216"/>
        <v>0.92056201026749529</v>
      </c>
      <c r="J944" s="43">
        <f t="shared" si="217"/>
        <v>1</v>
      </c>
      <c r="K944" s="44" cm="1">
        <f t="array" ref="K944">IF(D944="Gadget",_xlfn.IFS(I944&gt;=0.2,0.5,I944&gt;=0.1,0.35,I944&gt;=0.05,0.2,TRUE,0),IF(D944="Grenade",_xlfn.IFS(I944&gt;=0.2,1,I944&gt;=0.1,0.7,I944&gt;=0.05,0.4,TRUE,0),0))</f>
        <v>0.5</v>
      </c>
      <c r="L944" s="57">
        <f t="shared" si="219"/>
        <v>0.5</v>
      </c>
    </row>
    <row r="945" spans="1:12" x14ac:dyDescent="0.25">
      <c r="A945" s="42" t="str" cm="1">
        <f t="array" ref="A945">IFERROR(INDEX(_xlfn._xlws.FILTER(Class_Players!A:A,Class_Players!B:B="Engineer"),QUOTIENT(ROW()-ROW($A$2),12)+1),"")</f>
        <v>vladi6716</v>
      </c>
      <c r="B945" s="42" t="str">
        <f>_xlfn.XLOOKUP(A945,Class_Players!$A:$A,Class_Players!$B:$B,"")</f>
        <v>Engineer</v>
      </c>
      <c r="C945" s="42" t="str" cm="1">
        <f t="array" ref="C945">INDEX(Lookups!$B$2:$B$13,MOD(ROW()-ROW($B$2),ROWS(Lookups!$B$2:$B$13))+1)</f>
        <v>PTKM-1R (Acoustic Sensor AV Mine)</v>
      </c>
      <c r="D945" s="38" t="str">
        <f>_xlfn.XLOOKUP(C945,Analysis_Gadgets!$C:$C,Analysis_Gadgets!$B:$B)</f>
        <v>Gadget</v>
      </c>
      <c r="E945" s="43">
        <v>1</v>
      </c>
      <c r="F945" s="43">
        <f>_xlfn.XLOOKUP(A945,Class_Players!A:A,Class_Players!G:G)</f>
        <v>166</v>
      </c>
      <c r="G945" s="43">
        <f t="shared" si="215"/>
        <v>6.024096385542169E-3</v>
      </c>
      <c r="H945" s="43">
        <f>_xlfn.XLOOKUP(A945,Class_Players!$A:$A,Class_Players!$F:$F,"")</f>
        <v>7402</v>
      </c>
      <c r="I945" s="44">
        <f t="shared" si="216"/>
        <v>1.3509862199405565E-4</v>
      </c>
      <c r="J945" s="43">
        <f t="shared" si="217"/>
        <v>0</v>
      </c>
      <c r="K945" s="44" cm="1">
        <f t="array" ref="K945">IF(D945="Gadget",_xlfn.IFS(I945&gt;=0.2,0.5,I945&gt;=0.1,0.35,I945&gt;=0.05,0.2,TRUE,0),IF(D945="Grenade",_xlfn.IFS(I945&gt;=0.2,1,I945&gt;=0.1,0.7,I945&gt;=0.05,0.4,TRUE,0),0))</f>
        <v>0</v>
      </c>
      <c r="L945" s="57">
        <f t="shared" si="219"/>
        <v>0</v>
      </c>
    </row>
    <row r="946" spans="1:12" x14ac:dyDescent="0.25">
      <c r="A946" s="42" t="str" cm="1">
        <f t="array" ref="A946">IFERROR(INDEX(_xlfn._xlws.FILTER(Class_Players!A:A,Class_Players!B:B="Engineer"),QUOTIENT(ROW()-ROW($A$2),12)+1),"")</f>
        <v>vladi6716</v>
      </c>
      <c r="B946" s="42" t="str">
        <f>_xlfn.XLOOKUP(A946,Class_Players!$A:$A,Class_Players!$B:$B,"")</f>
        <v>Engineer</v>
      </c>
      <c r="C946" s="42" t="str" cm="1">
        <f t="array" ref="C946">INDEX(Lookups!$B$2:$B$13,MOD(ROW()-ROW($B$2),ROWS(Lookups!$B$2:$B$13))+1)</f>
        <v>EOD Bot</v>
      </c>
      <c r="D946" s="38" t="str">
        <f>_xlfn.XLOOKUP(C946,Analysis_Gadgets!$C:$C,Analysis_Gadgets!$B:$B)</f>
        <v>Gadget</v>
      </c>
      <c r="E946" s="43">
        <v>2</v>
      </c>
      <c r="F946" s="43">
        <f>_xlfn.XLOOKUP(A946,Class_Players!A:A,Class_Players!G:G)</f>
        <v>166</v>
      </c>
      <c r="G946" s="43">
        <f t="shared" si="215"/>
        <v>1.2048192771084338E-2</v>
      </c>
      <c r="H946" s="43">
        <f>_xlfn.XLOOKUP(A946,Class_Players!$A:$A,Class_Players!$F:$F,"")</f>
        <v>7402</v>
      </c>
      <c r="I946" s="44">
        <f t="shared" si="216"/>
        <v>2.7019724398811131E-4</v>
      </c>
      <c r="J946" s="43">
        <f t="shared" si="217"/>
        <v>0</v>
      </c>
      <c r="K946" s="44" cm="1">
        <f t="array" ref="K946">IF(D946="Gadget",_xlfn.IFS(I946&gt;=0.2,0.5,I946&gt;=0.1,0.35,I946&gt;=0.05,0.2,TRUE,0),IF(D946="Grenade",_xlfn.IFS(I946&gt;=0.2,1,I946&gt;=0.1,0.7,I946&gt;=0.05,0.4,TRUE,0),0))</f>
        <v>0</v>
      </c>
      <c r="L946" s="57">
        <f t="shared" si="219"/>
        <v>0</v>
      </c>
    </row>
    <row r="947" spans="1:12" x14ac:dyDescent="0.25">
      <c r="A947" s="42" t="str" cm="1">
        <f t="array" ref="A947">IFERROR(INDEX(_xlfn._xlws.FILTER(Class_Players!A:A,Class_Players!B:B="Engineer"),QUOTIENT(ROW()-ROW($A$2),12)+1),"")</f>
        <v>vladi6716</v>
      </c>
      <c r="B947" s="42" t="str">
        <f>_xlfn.XLOOKUP(A947,Class_Players!$A:$A,Class_Players!$B:$B,"")</f>
        <v>Engineer</v>
      </c>
      <c r="C947" s="42" t="str" cm="1">
        <f t="array" ref="C947">INDEX(Lookups!$B$2:$B$13,MOD(ROW()-ROW($B$2),ROWS(Lookups!$B$2:$B$13))+1)</f>
        <v>M4A1 SLAM (Tripwire Sensor AV Mine)</v>
      </c>
      <c r="D947" s="38" t="str">
        <f>_xlfn.XLOOKUP(C947,Analysis_Gadgets!$C:$C,Analysis_Gadgets!$B:$B)</f>
        <v>Gadget</v>
      </c>
      <c r="E947" s="43">
        <v>0</v>
      </c>
      <c r="F947" s="43">
        <f>_xlfn.XLOOKUP(A947,Class_Players!A:A,Class_Players!G:G)</f>
        <v>166</v>
      </c>
      <c r="G947" s="43">
        <f t="shared" si="215"/>
        <v>0</v>
      </c>
      <c r="H947" s="43">
        <f>_xlfn.XLOOKUP(A947,Class_Players!$A:$A,Class_Players!$F:$F,"")</f>
        <v>7402</v>
      </c>
      <c r="I947" s="44">
        <f t="shared" si="216"/>
        <v>0</v>
      </c>
      <c r="J947" s="43">
        <f t="shared" si="217"/>
        <v>0</v>
      </c>
      <c r="K947" s="44" cm="1">
        <f t="array" ref="K947">IF(D947="Gadget",_xlfn.IFS(I947&gt;=0.2,0.5,I947&gt;=0.1,0.35,I947&gt;=0.05,0.2,TRUE,0),IF(D947="Grenade",_xlfn.IFS(I947&gt;=0.2,1,I947&gt;=0.1,0.7,I947&gt;=0.05,0.4,TRUE,0),0))</f>
        <v>0</v>
      </c>
      <c r="L947" s="57">
        <f t="shared" si="219"/>
        <v>0</v>
      </c>
    </row>
    <row r="948" spans="1:12" x14ac:dyDescent="0.25">
      <c r="A948" s="42" t="str" cm="1">
        <f t="array" ref="A948">IFERROR(INDEX(_xlfn._xlws.FILTER(Class_Players!A:A,Class_Players!B:B="Engineer"),QUOTIENT(ROW()-ROW($A$2),12)+1),"")</f>
        <v>vladi6716</v>
      </c>
      <c r="B948" s="42" t="str">
        <f>_xlfn.XLOOKUP(A948,Class_Players!$A:$A,Class_Players!$B:$B,"")</f>
        <v>Engineer</v>
      </c>
      <c r="C948" s="42" t="str" cm="1">
        <f t="array" ref="C948">INDEX(Lookups!$B$2:$B$13,MOD(ROW()-ROW($B$2),ROWS(Lookups!$B$2:$B$13))+1)</f>
        <v>Mini Frag Grenade</v>
      </c>
      <c r="D948" s="38" t="str">
        <f>_xlfn.XLOOKUP(C948,Analysis_Gadgets!$C:$C,Analysis_Gadgets!$B:$B)</f>
        <v>Grenade</v>
      </c>
      <c r="E948" s="43">
        <v>360</v>
      </c>
      <c r="F948" s="43">
        <f>_xlfn.XLOOKUP(A948,Class_Players!A:A,Class_Players!G:G)</f>
        <v>166</v>
      </c>
      <c r="G948" s="43">
        <f t="shared" si="215"/>
        <v>2.1686746987951806</v>
      </c>
      <c r="H948" s="43">
        <f>_xlfn.XLOOKUP(A948,Class_Players!$A:$A,Class_Players!$F:$F,"")</f>
        <v>7402</v>
      </c>
      <c r="I948" s="44">
        <f t="shared" si="216"/>
        <v>4.8635503917860035E-2</v>
      </c>
      <c r="J948" s="43">
        <f t="shared" si="217"/>
        <v>0</v>
      </c>
      <c r="K948" s="44" cm="1">
        <f t="array" ref="K948">IF(D948="Gadget",_xlfn.IFS(I948&gt;=0.2,0.5,I948&gt;=0.1,0.35,I948&gt;=0.05,0.2,TRUE,0),IF(D948="Grenade",_xlfn.IFS(I948&gt;=0.2,1,I948&gt;=0.1,0.7,I948&gt;=0.05,0.4,TRUE,0),0))</f>
        <v>0</v>
      </c>
      <c r="L948" s="57">
        <f t="shared" ref="L948:L949" si="220">IF($K948=0,0,$K948 / SUMIFS($K:$K,$A:$A,$A948,$D:$D,"Grenade"))</f>
        <v>0</v>
      </c>
    </row>
    <row r="949" spans="1:12" x14ac:dyDescent="0.25">
      <c r="A949" s="42" t="str" cm="1">
        <f t="array" ref="A949">IFERROR(INDEX(_xlfn._xlws.FILTER(Class_Players!A:A,Class_Players!B:B="Engineer"),QUOTIENT(ROW()-ROW($A$2),12)+1),"")</f>
        <v>vladi6716</v>
      </c>
      <c r="B949" s="42" t="str">
        <f>_xlfn.XLOOKUP(A949,Class_Players!$A:$A,Class_Players!$B:$B,"")</f>
        <v>Engineer</v>
      </c>
      <c r="C949" s="42" t="str" cm="1">
        <f t="array" ref="C949">INDEX(Lookups!$B$2:$B$13,MOD(ROW()-ROW($B$2),ROWS(Lookups!$B$2:$B$13))+1)</f>
        <v>Anti-Vehicle Grenade</v>
      </c>
      <c r="D949" s="38" t="str">
        <f>_xlfn.XLOOKUP(C949,Analysis_Gadgets!$C:$C,Analysis_Gadgets!$B:$B)</f>
        <v>Grenade</v>
      </c>
      <c r="E949" s="43">
        <v>0</v>
      </c>
      <c r="F949" s="43">
        <f>_xlfn.XLOOKUP(A949,Class_Players!A:A,Class_Players!G:G)</f>
        <v>166</v>
      </c>
      <c r="G949" s="43">
        <f t="shared" si="215"/>
        <v>0</v>
      </c>
      <c r="H949" s="43">
        <f>_xlfn.XLOOKUP(A949,Class_Players!$A:$A,Class_Players!$F:$F,"")</f>
        <v>7402</v>
      </c>
      <c r="I949" s="44">
        <f t="shared" si="216"/>
        <v>0</v>
      </c>
      <c r="J949" s="43">
        <f t="shared" si="217"/>
        <v>0</v>
      </c>
      <c r="K949" s="44" cm="1">
        <f t="array" ref="K949">IF(D949="Gadget",_xlfn.IFS(I949&gt;=0.2,0.5,I949&gt;=0.1,0.35,I949&gt;=0.05,0.2,TRUE,0),IF(D949="Grenade",_xlfn.IFS(I949&gt;=0.2,1,I949&gt;=0.1,0.7,I949&gt;=0.05,0.4,TRUE,0),0))</f>
        <v>0</v>
      </c>
      <c r="L949" s="57">
        <f t="shared" si="220"/>
        <v>0</v>
      </c>
    </row>
    <row r="950" spans="1:12" x14ac:dyDescent="0.25">
      <c r="A950" s="42" t="str" cm="1">
        <f t="array" ref="A950">IFERROR(INDEX(_xlfn._xlws.FILTER(Class_Players!A:A,Class_Players!B:B="Engineer"),QUOTIENT(ROW()-ROW($A$2),12)+1),"")</f>
        <v>DevilsReject170</v>
      </c>
      <c r="B950" s="42" t="str">
        <f>_xlfn.XLOOKUP(A950,Class_Players!$A:$A,Class_Players!$B:$B,"")</f>
        <v>Engineer</v>
      </c>
      <c r="C950" s="42" t="str" cm="1">
        <f t="array" ref="C950">INDEX(Lookups!$B$2:$B$13,MOD(ROW()-ROW($B$2),ROWS(Lookups!$B$2:$B$13))+1)</f>
        <v>MBT-LAW (Auto-Guided Launcher)</v>
      </c>
      <c r="D950" s="38" t="str">
        <f>_xlfn.XLOOKUP(C950,Analysis_Gadgets!$C:$C,Analysis_Gadgets!$B:$B)</f>
        <v>Gadget</v>
      </c>
      <c r="E950" s="43">
        <v>0</v>
      </c>
      <c r="F950" s="43">
        <f>_xlfn.XLOOKUP(A950,Class_Players!A:A,Class_Players!G:G)</f>
        <v>263</v>
      </c>
      <c r="G950" s="43">
        <f t="shared" si="215"/>
        <v>0</v>
      </c>
      <c r="H950" s="43">
        <f>_xlfn.XLOOKUP(A950,Class_Players!$A:$A,Class_Players!$F:$F,"")</f>
        <v>7610</v>
      </c>
      <c r="I950" s="44">
        <f t="shared" si="216"/>
        <v>0</v>
      </c>
      <c r="J950" s="43">
        <f t="shared" si="217"/>
        <v>0</v>
      </c>
      <c r="K950" s="44" cm="1">
        <f t="array" ref="K950">IF(D950="Gadget",_xlfn.IFS(I950&gt;=0.2,0.5,I950&gt;=0.1,0.35,I950&gt;=0.05,0.2,TRUE,0),IF(D950="Grenade",_xlfn.IFS(I950&gt;=0.2,1,I950&gt;=0.1,0.7,I950&gt;=0.05,0.4,TRUE,0),0))</f>
        <v>0</v>
      </c>
      <c r="L950" s="57">
        <f t="shared" ref="L950:L959" si="221">IF($K950=0,0,$K950 / SUMIFS($K:$K,$A:$A,$A950,$D:$D,"Gadget"))</f>
        <v>0</v>
      </c>
    </row>
    <row r="951" spans="1:12" x14ac:dyDescent="0.25">
      <c r="A951" s="42" t="str" cm="1">
        <f t="array" ref="A951">IFERROR(INDEX(_xlfn._xlws.FILTER(Class_Players!A:A,Class_Players!B:B="Engineer"),QUOTIENT(ROW()-ROW($A$2),12)+1),"")</f>
        <v>DevilsReject170</v>
      </c>
      <c r="B951" s="42" t="str">
        <f>_xlfn.XLOOKUP(A951,Class_Players!$A:$A,Class_Players!$B:$B,"")</f>
        <v>Engineer</v>
      </c>
      <c r="C951" s="42" t="str" cm="1">
        <f t="array" ref="C951">INDEX(Lookups!$B$2:$B$13,MOD(ROW()-ROW($B$2),ROWS(Lookups!$B$2:$B$13))+1)</f>
        <v>SLM-93A (Air-Defense Launcher)</v>
      </c>
      <c r="D951" s="38" t="str">
        <f>_xlfn.XLOOKUP(C951,Analysis_Gadgets!$C:$C,Analysis_Gadgets!$B:$B)</f>
        <v>Gadget</v>
      </c>
      <c r="E951" s="43">
        <v>0</v>
      </c>
      <c r="F951" s="43">
        <f>_xlfn.XLOOKUP(A951,Class_Players!A:A,Class_Players!G:G)</f>
        <v>263</v>
      </c>
      <c r="G951" s="43">
        <f t="shared" si="215"/>
        <v>0</v>
      </c>
      <c r="H951" s="43">
        <f>_xlfn.XLOOKUP(A951,Class_Players!$A:$A,Class_Players!$F:$F,"")</f>
        <v>7610</v>
      </c>
      <c r="I951" s="44">
        <f t="shared" si="216"/>
        <v>0</v>
      </c>
      <c r="J951" s="43">
        <f t="shared" si="217"/>
        <v>0</v>
      </c>
      <c r="K951" s="44" cm="1">
        <f t="array" ref="K951">IF(D951="Gadget",_xlfn.IFS(I951&gt;=0.2,0.5,I951&gt;=0.1,0.35,I951&gt;=0.05,0.2,TRUE,0),IF(D951="Grenade",_xlfn.IFS(I951&gt;=0.2,1,I951&gt;=0.1,0.7,I951&gt;=0.05,0.4,TRUE,0),0))</f>
        <v>0</v>
      </c>
      <c r="L951" s="57">
        <f t="shared" si="221"/>
        <v>0</v>
      </c>
    </row>
    <row r="952" spans="1:12" x14ac:dyDescent="0.25">
      <c r="A952" s="42" t="str" cm="1">
        <f t="array" ref="A952">IFERROR(INDEX(_xlfn._xlws.FILTER(Class_Players!A:A,Class_Players!B:B="Engineer"),QUOTIENT(ROW()-ROW($A$2),12)+1),"")</f>
        <v>DevilsReject170</v>
      </c>
      <c r="B952" s="42" t="str">
        <f>_xlfn.XLOOKUP(A952,Class_Players!$A:$A,Class_Players!$B:$B,"")</f>
        <v>Engineer</v>
      </c>
      <c r="C952" s="42" t="str" cm="1">
        <f t="array" ref="C952">INDEX(Lookups!$B$2:$B$13,MOD(ROW()-ROW($B$2),ROWS(Lookups!$B$2:$B$13))+1)</f>
        <v>RPG-7V2 (Unguided Rocket Launcher)</v>
      </c>
      <c r="D952" s="38" t="str">
        <f>_xlfn.XLOOKUP(C952,Analysis_Gadgets!$C:$C,Analysis_Gadgets!$B:$B)</f>
        <v>Gadget</v>
      </c>
      <c r="E952" s="43">
        <v>2779</v>
      </c>
      <c r="F952" s="43">
        <f>_xlfn.XLOOKUP(A952,Class_Players!A:A,Class_Players!G:G)</f>
        <v>263</v>
      </c>
      <c r="G952" s="43">
        <f t="shared" si="215"/>
        <v>10.566539923954373</v>
      </c>
      <c r="H952" s="43">
        <f>_xlfn.XLOOKUP(A952,Class_Players!$A:$A,Class_Players!$F:$F,"")</f>
        <v>7610</v>
      </c>
      <c r="I952" s="44">
        <f t="shared" si="216"/>
        <v>0.36517739816031536</v>
      </c>
      <c r="J952" s="43">
        <f t="shared" si="217"/>
        <v>1</v>
      </c>
      <c r="K952" s="44" cm="1">
        <f t="array" ref="K952">IF(D952="Gadget",_xlfn.IFS(I952&gt;=0.2,0.5,I952&gt;=0.1,0.35,I952&gt;=0.05,0.2,TRUE,0),IF(D952="Grenade",_xlfn.IFS(I952&gt;=0.2,1,I952&gt;=0.1,0.7,I952&gt;=0.05,0.4,TRUE,0),0))</f>
        <v>0.5</v>
      </c>
      <c r="L952" s="57">
        <f t="shared" si="221"/>
        <v>0.2857142857142857</v>
      </c>
    </row>
    <row r="953" spans="1:12" x14ac:dyDescent="0.25">
      <c r="A953" s="42" t="str" cm="1">
        <f t="array" ref="A953">IFERROR(INDEX(_xlfn._xlws.FILTER(Class_Players!A:A,Class_Players!B:B="Engineer"),QUOTIENT(ROW()-ROW($A$2),12)+1),"")</f>
        <v>DevilsReject170</v>
      </c>
      <c r="B953" s="42" t="str">
        <f>_xlfn.XLOOKUP(A953,Class_Players!$A:$A,Class_Players!$B:$B,"")</f>
        <v>Engineer</v>
      </c>
      <c r="C953" s="42" t="str" cm="1">
        <f t="array" ref="C953">INDEX(Lookups!$B$2:$B$13,MOD(ROW()-ROW($B$2),ROWS(Lookups!$B$2:$B$13))+1)</f>
        <v>MAS 148 (Long-Range Launcher)</v>
      </c>
      <c r="D953" s="38" t="str">
        <f>_xlfn.XLOOKUP(C953,Analysis_Gadgets!$C:$C,Analysis_Gadgets!$B:$B)</f>
        <v>Gadget</v>
      </c>
      <c r="E953" s="43">
        <v>205</v>
      </c>
      <c r="F953" s="43">
        <f>_xlfn.XLOOKUP(A953,Class_Players!A:A,Class_Players!G:G)</f>
        <v>263</v>
      </c>
      <c r="G953" s="43">
        <f t="shared" si="215"/>
        <v>0.77946768060836502</v>
      </c>
      <c r="H953" s="43">
        <f>_xlfn.XLOOKUP(A953,Class_Players!$A:$A,Class_Players!$F:$F,"")</f>
        <v>7610</v>
      </c>
      <c r="I953" s="44">
        <f t="shared" si="216"/>
        <v>2.6938239159001315E-2</v>
      </c>
      <c r="J953" s="43">
        <f t="shared" si="217"/>
        <v>0</v>
      </c>
      <c r="K953" s="44" cm="1">
        <f t="array" ref="K953">IF(D953="Gadget",_xlfn.IFS(I953&gt;=0.2,0.5,I953&gt;=0.1,0.35,I953&gt;=0.05,0.2,TRUE,0),IF(D953="Grenade",_xlfn.IFS(I953&gt;=0.2,1,I953&gt;=0.1,0.7,I953&gt;=0.05,0.4,TRUE,0),0))</f>
        <v>0</v>
      </c>
      <c r="L953" s="57">
        <f t="shared" si="221"/>
        <v>0</v>
      </c>
    </row>
    <row r="954" spans="1:12" x14ac:dyDescent="0.25">
      <c r="A954" s="42" t="str" cm="1">
        <f t="array" ref="A954">IFERROR(INDEX(_xlfn._xlws.FILTER(Class_Players!A:A,Class_Players!B:B="Engineer"),QUOTIENT(ROW()-ROW($A$2),12)+1),"")</f>
        <v>DevilsReject170</v>
      </c>
      <c r="B954" s="42" t="str">
        <f>_xlfn.XLOOKUP(A954,Class_Players!$A:$A,Class_Players!$B:$B,"")</f>
        <v>Engineer</v>
      </c>
      <c r="C954" s="42" t="str" cm="1">
        <f t="array" ref="C954">INDEX(Lookups!$B$2:$B$13,MOD(ROW()-ROW($B$2),ROWS(Lookups!$B$2:$B$13))+1)</f>
        <v>M136 AT (Aim-Guided Launcher)</v>
      </c>
      <c r="D954" s="38" t="str">
        <f>_xlfn.XLOOKUP(C954,Analysis_Gadgets!$C:$C,Analysis_Gadgets!$B:$B)</f>
        <v>Gadget</v>
      </c>
      <c r="E954" s="43">
        <v>750</v>
      </c>
      <c r="F954" s="43">
        <f>_xlfn.XLOOKUP(A954,Class_Players!A:A,Class_Players!G:G)</f>
        <v>263</v>
      </c>
      <c r="G954" s="43">
        <f t="shared" si="215"/>
        <v>2.8517110266159698</v>
      </c>
      <c r="H954" s="43">
        <f>_xlfn.XLOOKUP(A954,Class_Players!$A:$A,Class_Players!$F:$F,"")</f>
        <v>7610</v>
      </c>
      <c r="I954" s="44">
        <f t="shared" si="216"/>
        <v>9.8554533508541389E-2</v>
      </c>
      <c r="J954" s="43">
        <f t="shared" si="217"/>
        <v>0</v>
      </c>
      <c r="K954" s="44" cm="1">
        <f t="array" ref="K954">IF(D954="Gadget",_xlfn.IFS(I954&gt;=0.2,0.5,I954&gt;=0.1,0.35,I954&gt;=0.05,0.2,TRUE,0),IF(D954="Grenade",_xlfn.IFS(I954&gt;=0.2,1,I954&gt;=0.1,0.7,I954&gt;=0.05,0.4,TRUE,0),0))</f>
        <v>0.2</v>
      </c>
      <c r="L954" s="57">
        <f t="shared" si="221"/>
        <v>0.1142857142857143</v>
      </c>
    </row>
    <row r="955" spans="1:12" x14ac:dyDescent="0.25">
      <c r="A955" s="42" t="str" cm="1">
        <f t="array" ref="A955">IFERROR(INDEX(_xlfn._xlws.FILTER(Class_Players!A:A,Class_Players!B:B="Engineer"),QUOTIENT(ROW()-ROW($A$2),12)+1),"")</f>
        <v>DevilsReject170</v>
      </c>
      <c r="B955" s="42" t="str">
        <f>_xlfn.XLOOKUP(A955,Class_Players!$A:$A,Class_Players!$B:$B,"")</f>
        <v>Engineer</v>
      </c>
      <c r="C955" s="42" t="str" cm="1">
        <f t="array" ref="C955">INDEX(Lookups!$B$2:$B$13,MOD(ROW()-ROW($B$2),ROWS(Lookups!$B$2:$B$13))+1)</f>
        <v>Supply Crate</v>
      </c>
      <c r="D955" s="38" t="str">
        <f>_xlfn.XLOOKUP(C955,Analysis_Gadgets!$C:$C,Analysis_Gadgets!$B:$B)</f>
        <v>Gadget</v>
      </c>
      <c r="E955" s="43">
        <v>121</v>
      </c>
      <c r="F955" s="43">
        <f>_xlfn.XLOOKUP(A955,Class_Players!A:A,Class_Players!G:G)</f>
        <v>263</v>
      </c>
      <c r="G955" s="43">
        <f t="shared" si="215"/>
        <v>0.46007604562737642</v>
      </c>
      <c r="H955" s="43">
        <f>_xlfn.XLOOKUP(A955,Class_Players!$A:$A,Class_Players!$F:$F,"")</f>
        <v>7610</v>
      </c>
      <c r="I955" s="44">
        <f t="shared" si="216"/>
        <v>1.5900131406044678E-2</v>
      </c>
      <c r="J955" s="43">
        <f t="shared" si="217"/>
        <v>0</v>
      </c>
      <c r="K955" s="44" cm="1">
        <f t="array" ref="K955">IF(D955="Gadget",_xlfn.IFS(I955&gt;=0.2,0.5,I955&gt;=0.1,0.35,I955&gt;=0.05,0.2,TRUE,0),IF(D955="Grenade",_xlfn.IFS(I955&gt;=0.2,1,I955&gt;=0.1,0.7,I955&gt;=0.05,0.4,TRUE,0),0))</f>
        <v>0</v>
      </c>
      <c r="L955" s="57">
        <f t="shared" si="221"/>
        <v>0</v>
      </c>
    </row>
    <row r="956" spans="1:12" x14ac:dyDescent="0.25">
      <c r="A956" s="42" t="str" cm="1">
        <f t="array" ref="A956">IFERROR(INDEX(_xlfn._xlws.FILTER(Class_Players!A:A,Class_Players!B:B="Engineer"),QUOTIENT(ROW()-ROW($A$2),12)+1),"")</f>
        <v>DevilsReject170</v>
      </c>
      <c r="B956" s="42" t="str">
        <f>_xlfn.XLOOKUP(A956,Class_Players!$A:$A,Class_Players!$B:$B,"")</f>
        <v>Engineer</v>
      </c>
      <c r="C956" s="42" t="str" cm="1">
        <f t="array" ref="C956">INDEX(Lookups!$B$2:$B$13,MOD(ROW()-ROW($B$2),ROWS(Lookups!$B$2:$B$13))+1)</f>
        <v>M15 (Anti-Vehicle Mine)</v>
      </c>
      <c r="D956" s="38" t="str">
        <f>_xlfn.XLOOKUP(C956,Analysis_Gadgets!$C:$C,Analysis_Gadgets!$B:$B)</f>
        <v>Gadget</v>
      </c>
      <c r="E956" s="43">
        <v>676</v>
      </c>
      <c r="F956" s="43">
        <f>_xlfn.XLOOKUP(A956,Class_Players!A:A,Class_Players!G:G)</f>
        <v>263</v>
      </c>
      <c r="G956" s="43">
        <f t="shared" si="215"/>
        <v>2.5703422053231941</v>
      </c>
      <c r="H956" s="43">
        <f>_xlfn.XLOOKUP(A956,Class_Players!$A:$A,Class_Players!$F:$F,"")</f>
        <v>7610</v>
      </c>
      <c r="I956" s="44">
        <f t="shared" si="216"/>
        <v>8.8830486202365305E-2</v>
      </c>
      <c r="J956" s="43">
        <f t="shared" si="217"/>
        <v>0</v>
      </c>
      <c r="K956" s="44" cm="1">
        <f t="array" ref="K956">IF(D956="Gadget",_xlfn.IFS(I956&gt;=0.2,0.5,I956&gt;=0.1,0.35,I956&gt;=0.05,0.2,TRUE,0),IF(D956="Grenade",_xlfn.IFS(I956&gt;=0.2,1,I956&gt;=0.1,0.7,I956&gt;=0.05,0.4,TRUE,0),0))</f>
        <v>0.2</v>
      </c>
      <c r="L956" s="57">
        <f t="shared" si="221"/>
        <v>0.1142857142857143</v>
      </c>
    </row>
    <row r="957" spans="1:12" x14ac:dyDescent="0.25">
      <c r="A957" s="42" t="str" cm="1">
        <f t="array" ref="A957">IFERROR(INDEX(_xlfn._xlws.FILTER(Class_Players!A:A,Class_Players!B:B="Engineer"),QUOTIENT(ROW()-ROW($A$2),12)+1),"")</f>
        <v>DevilsReject170</v>
      </c>
      <c r="B957" s="42" t="str">
        <f>_xlfn.XLOOKUP(A957,Class_Players!$A:$A,Class_Players!$B:$B,"")</f>
        <v>Engineer</v>
      </c>
      <c r="C957" s="42" t="str" cm="1">
        <f t="array" ref="C957">INDEX(Lookups!$B$2:$B$13,MOD(ROW()-ROW($B$2),ROWS(Lookups!$B$2:$B$13))+1)</f>
        <v>PTKM-1R (Acoustic Sensor AV Mine)</v>
      </c>
      <c r="D957" s="38" t="str">
        <f>_xlfn.XLOOKUP(C957,Analysis_Gadgets!$C:$C,Analysis_Gadgets!$B:$B)</f>
        <v>Gadget</v>
      </c>
      <c r="E957" s="43">
        <v>2670</v>
      </c>
      <c r="F957" s="43">
        <f>_xlfn.XLOOKUP(A957,Class_Players!A:A,Class_Players!G:G)</f>
        <v>263</v>
      </c>
      <c r="G957" s="43">
        <f t="shared" si="215"/>
        <v>10.152091254752852</v>
      </c>
      <c r="H957" s="43">
        <f>_xlfn.XLOOKUP(A957,Class_Players!$A:$A,Class_Players!$F:$F,"")</f>
        <v>7610</v>
      </c>
      <c r="I957" s="44">
        <f t="shared" si="216"/>
        <v>0.35085413929040737</v>
      </c>
      <c r="J957" s="43">
        <f t="shared" si="217"/>
        <v>1</v>
      </c>
      <c r="K957" s="44" cm="1">
        <f t="array" ref="K957">IF(D957="Gadget",_xlfn.IFS(I957&gt;=0.2,0.5,I957&gt;=0.1,0.35,I957&gt;=0.05,0.2,TRUE,0),IF(D957="Grenade",_xlfn.IFS(I957&gt;=0.2,1,I957&gt;=0.1,0.7,I957&gt;=0.05,0.4,TRUE,0),0))</f>
        <v>0.5</v>
      </c>
      <c r="L957" s="57">
        <f t="shared" si="221"/>
        <v>0.2857142857142857</v>
      </c>
    </row>
    <row r="958" spans="1:12" x14ac:dyDescent="0.25">
      <c r="A958" s="42" t="str" cm="1">
        <f t="array" ref="A958">IFERROR(INDEX(_xlfn._xlws.FILTER(Class_Players!A:A,Class_Players!B:B="Engineer"),QUOTIENT(ROW()-ROW($A$2),12)+1),"")</f>
        <v>DevilsReject170</v>
      </c>
      <c r="B958" s="42" t="str">
        <f>_xlfn.XLOOKUP(A958,Class_Players!$A:$A,Class_Players!$B:$B,"")</f>
        <v>Engineer</v>
      </c>
      <c r="C958" s="42" t="str" cm="1">
        <f t="array" ref="C958">INDEX(Lookups!$B$2:$B$13,MOD(ROW()-ROW($B$2),ROWS(Lookups!$B$2:$B$13))+1)</f>
        <v>EOD Bot</v>
      </c>
      <c r="D958" s="38" t="str">
        <f>_xlfn.XLOOKUP(C958,Analysis_Gadgets!$C:$C,Analysis_Gadgets!$B:$B)</f>
        <v>Gadget</v>
      </c>
      <c r="E958" s="43">
        <v>7</v>
      </c>
      <c r="F958" s="43">
        <f>_xlfn.XLOOKUP(A958,Class_Players!A:A,Class_Players!G:G)</f>
        <v>263</v>
      </c>
      <c r="G958" s="43">
        <f t="shared" si="215"/>
        <v>2.6615969581749048E-2</v>
      </c>
      <c r="H958" s="43">
        <f>_xlfn.XLOOKUP(A958,Class_Players!$A:$A,Class_Players!$F:$F,"")</f>
        <v>7610</v>
      </c>
      <c r="I958" s="44">
        <f t="shared" si="216"/>
        <v>9.1984231274638633E-4</v>
      </c>
      <c r="J958" s="43">
        <f t="shared" si="217"/>
        <v>0</v>
      </c>
      <c r="K958" s="44" cm="1">
        <f t="array" ref="K958">IF(D958="Gadget",_xlfn.IFS(I958&gt;=0.2,0.5,I958&gt;=0.1,0.35,I958&gt;=0.05,0.2,TRUE,0),IF(D958="Grenade",_xlfn.IFS(I958&gt;=0.2,1,I958&gt;=0.1,0.7,I958&gt;=0.05,0.4,TRUE,0),0))</f>
        <v>0</v>
      </c>
      <c r="L958" s="57">
        <f t="shared" si="221"/>
        <v>0</v>
      </c>
    </row>
    <row r="959" spans="1:12" x14ac:dyDescent="0.25">
      <c r="A959" s="42" t="str" cm="1">
        <f t="array" ref="A959">IFERROR(INDEX(_xlfn._xlws.FILTER(Class_Players!A:A,Class_Players!B:B="Engineer"),QUOTIENT(ROW()-ROW($A$2),12)+1),"")</f>
        <v>DevilsReject170</v>
      </c>
      <c r="B959" s="42" t="str">
        <f>_xlfn.XLOOKUP(A959,Class_Players!$A:$A,Class_Players!$B:$B,"")</f>
        <v>Engineer</v>
      </c>
      <c r="C959" s="42" t="str" cm="1">
        <f t="array" ref="C959">INDEX(Lookups!$B$2:$B$13,MOD(ROW()-ROW($B$2),ROWS(Lookups!$B$2:$B$13))+1)</f>
        <v>M4A1 SLAM (Tripwire Sensor AV Mine)</v>
      </c>
      <c r="D959" s="38" t="str">
        <f>_xlfn.XLOOKUP(C959,Analysis_Gadgets!$C:$C,Analysis_Gadgets!$B:$B)</f>
        <v>Gadget</v>
      </c>
      <c r="E959" s="43">
        <v>1085</v>
      </c>
      <c r="F959" s="43">
        <f>_xlfn.XLOOKUP(A959,Class_Players!A:A,Class_Players!G:G)</f>
        <v>263</v>
      </c>
      <c r="G959" s="43">
        <f t="shared" si="215"/>
        <v>4.1254752851711025</v>
      </c>
      <c r="H959" s="43">
        <f>_xlfn.XLOOKUP(A959,Class_Players!$A:$A,Class_Players!$F:$F,"")</f>
        <v>7610</v>
      </c>
      <c r="I959" s="44">
        <f t="shared" si="216"/>
        <v>0.1425755584756899</v>
      </c>
      <c r="J959" s="43">
        <f t="shared" si="217"/>
        <v>1</v>
      </c>
      <c r="K959" s="44" cm="1">
        <f t="array" ref="K959">IF(D959="Gadget",_xlfn.IFS(I959&gt;=0.2,0.5,I959&gt;=0.1,0.35,I959&gt;=0.05,0.2,TRUE,0),IF(D959="Grenade",_xlfn.IFS(I959&gt;=0.2,1,I959&gt;=0.1,0.7,I959&gt;=0.05,0.4,TRUE,0),0))</f>
        <v>0.35</v>
      </c>
      <c r="L959" s="57">
        <f t="shared" si="221"/>
        <v>0.19999999999999998</v>
      </c>
    </row>
    <row r="960" spans="1:12" x14ac:dyDescent="0.25">
      <c r="A960" s="42" t="str" cm="1">
        <f t="array" ref="A960">IFERROR(INDEX(_xlfn._xlws.FILTER(Class_Players!A:A,Class_Players!B:B="Engineer"),QUOTIENT(ROW()-ROW($A$2),12)+1),"")</f>
        <v>DevilsReject170</v>
      </c>
      <c r="B960" s="42" t="str">
        <f>_xlfn.XLOOKUP(A960,Class_Players!$A:$A,Class_Players!$B:$B,"")</f>
        <v>Engineer</v>
      </c>
      <c r="C960" s="42" t="str" cm="1">
        <f t="array" ref="C960">INDEX(Lookups!$B$2:$B$13,MOD(ROW()-ROW($B$2),ROWS(Lookups!$B$2:$B$13))+1)</f>
        <v>Mini Frag Grenade</v>
      </c>
      <c r="D960" s="38" t="str">
        <f>_xlfn.XLOOKUP(C960,Analysis_Gadgets!$C:$C,Analysis_Gadgets!$B:$B)</f>
        <v>Grenade</v>
      </c>
      <c r="E960" s="43">
        <v>363</v>
      </c>
      <c r="F960" s="43">
        <f>_xlfn.XLOOKUP(A960,Class_Players!A:A,Class_Players!G:G)</f>
        <v>263</v>
      </c>
      <c r="G960" s="43">
        <f t="shared" si="215"/>
        <v>1.3802281368821292</v>
      </c>
      <c r="H960" s="43">
        <f>_xlfn.XLOOKUP(A960,Class_Players!$A:$A,Class_Players!$F:$F,"")</f>
        <v>7610</v>
      </c>
      <c r="I960" s="44">
        <f t="shared" si="216"/>
        <v>4.7700394218134032E-2</v>
      </c>
      <c r="J960" s="43">
        <f t="shared" si="217"/>
        <v>0</v>
      </c>
      <c r="K960" s="44" cm="1">
        <f t="array" ref="K960">IF(D960="Gadget",_xlfn.IFS(I960&gt;=0.2,0.5,I960&gt;=0.1,0.35,I960&gt;=0.05,0.2,TRUE,0),IF(D960="Grenade",_xlfn.IFS(I960&gt;=0.2,1,I960&gt;=0.1,0.7,I960&gt;=0.05,0.4,TRUE,0),0))</f>
        <v>0</v>
      </c>
      <c r="L960" s="57">
        <f t="shared" ref="L960:L961" si="222">IF($K960=0,0,$K960 / SUMIFS($K:$K,$A:$A,$A960,$D:$D,"Grenade"))</f>
        <v>0</v>
      </c>
    </row>
    <row r="961" spans="1:12" x14ac:dyDescent="0.25">
      <c r="A961" s="42" t="str" cm="1">
        <f t="array" ref="A961">IFERROR(INDEX(_xlfn._xlws.FILTER(Class_Players!A:A,Class_Players!B:B="Engineer"),QUOTIENT(ROW()-ROW($A$2),12)+1),"")</f>
        <v>DevilsReject170</v>
      </c>
      <c r="B961" s="42" t="str">
        <f>_xlfn.XLOOKUP(A961,Class_Players!$A:$A,Class_Players!$B:$B,"")</f>
        <v>Engineer</v>
      </c>
      <c r="C961" s="42" t="str" cm="1">
        <f t="array" ref="C961">INDEX(Lookups!$B$2:$B$13,MOD(ROW()-ROW($B$2),ROWS(Lookups!$B$2:$B$13))+1)</f>
        <v>Anti-Vehicle Grenade</v>
      </c>
      <c r="D961" s="38" t="str">
        <f>_xlfn.XLOOKUP(C961,Analysis_Gadgets!$C:$C,Analysis_Gadgets!$B:$B)</f>
        <v>Grenade</v>
      </c>
      <c r="E961" s="43">
        <v>0</v>
      </c>
      <c r="F961" s="43">
        <f>_xlfn.XLOOKUP(A961,Class_Players!A:A,Class_Players!G:G)</f>
        <v>263</v>
      </c>
      <c r="G961" s="43">
        <f t="shared" si="215"/>
        <v>0</v>
      </c>
      <c r="H961" s="43">
        <f>_xlfn.XLOOKUP(A961,Class_Players!$A:$A,Class_Players!$F:$F,"")</f>
        <v>7610</v>
      </c>
      <c r="I961" s="44">
        <f t="shared" si="216"/>
        <v>0</v>
      </c>
      <c r="J961" s="43">
        <f t="shared" si="217"/>
        <v>0</v>
      </c>
      <c r="K961" s="44" cm="1">
        <f t="array" ref="K961">IF(D961="Gadget",_xlfn.IFS(I961&gt;=0.2,0.5,I961&gt;=0.1,0.35,I961&gt;=0.05,0.2,TRUE,0),IF(D961="Grenade",_xlfn.IFS(I961&gt;=0.2,1,I961&gt;=0.1,0.7,I961&gt;=0.05,0.4,TRUE,0),0))</f>
        <v>0</v>
      </c>
      <c r="L961" s="57">
        <f t="shared" si="222"/>
        <v>0</v>
      </c>
    </row>
    <row r="962" spans="1:12" x14ac:dyDescent="0.25">
      <c r="A962" s="42" t="str" cm="1">
        <f t="array" ref="A962">IFERROR(INDEX(_xlfn._xlws.FILTER(Class_Players!A:A,Class_Players!B:B="Engineer"),QUOTIENT(ROW()-ROW($A$2),12)+1),"")</f>
        <v>DESOLATION TREY</v>
      </c>
      <c r="B962" s="42" t="str">
        <f>_xlfn.XLOOKUP(A962,Class_Players!$A:$A,Class_Players!$B:$B,"")</f>
        <v>Engineer</v>
      </c>
      <c r="C962" s="42" t="str" cm="1">
        <f t="array" ref="C962">INDEX(Lookups!$B$2:$B$13,MOD(ROW()-ROW($B$2),ROWS(Lookups!$B$2:$B$13))+1)</f>
        <v>MBT-LAW (Auto-Guided Launcher)</v>
      </c>
      <c r="D962" s="38" t="str">
        <f>_xlfn.XLOOKUP(C962,Analysis_Gadgets!$C:$C,Analysis_Gadgets!$B:$B)</f>
        <v>Gadget</v>
      </c>
      <c r="E962" s="43">
        <v>0</v>
      </c>
      <c r="F962" s="43">
        <f>_xlfn.XLOOKUP(A962,Class_Players!A:A,Class_Players!G:G)</f>
        <v>127</v>
      </c>
      <c r="G962" s="43">
        <f t="shared" si="215"/>
        <v>0</v>
      </c>
      <c r="H962" s="43">
        <f>_xlfn.XLOOKUP(A962,Class_Players!$A:$A,Class_Players!$F:$F,"")</f>
        <v>7216</v>
      </c>
      <c r="I962" s="44">
        <f t="shared" si="216"/>
        <v>0</v>
      </c>
      <c r="J962" s="43">
        <f t="shared" si="217"/>
        <v>0</v>
      </c>
      <c r="K962" s="44" cm="1">
        <f t="array" ref="K962">IF(D962="Gadget",_xlfn.IFS(I962&gt;=0.2,0.5,I962&gt;=0.1,0.35,I962&gt;=0.05,0.2,TRUE,0),IF(D962="Grenade",_xlfn.IFS(I962&gt;=0.2,1,I962&gt;=0.1,0.7,I962&gt;=0.05,0.4,TRUE,0),0))</f>
        <v>0</v>
      </c>
      <c r="L962" s="57">
        <f t="shared" ref="L962:L971" si="223">IF($K962=0,0,$K962 / SUMIFS($K:$K,$A:$A,$A962,$D:$D,"Gadget"))</f>
        <v>0</v>
      </c>
    </row>
    <row r="963" spans="1:12" x14ac:dyDescent="0.25">
      <c r="A963" s="42" t="str" cm="1">
        <f t="array" ref="A963">IFERROR(INDEX(_xlfn._xlws.FILTER(Class_Players!A:A,Class_Players!B:B="Engineer"),QUOTIENT(ROW()-ROW($A$2),12)+1),"")</f>
        <v>DESOLATION TREY</v>
      </c>
      <c r="B963" s="42" t="str">
        <f>_xlfn.XLOOKUP(A963,Class_Players!$A:$A,Class_Players!$B:$B,"")</f>
        <v>Engineer</v>
      </c>
      <c r="C963" s="42" t="str" cm="1">
        <f t="array" ref="C963">INDEX(Lookups!$B$2:$B$13,MOD(ROW()-ROW($B$2),ROWS(Lookups!$B$2:$B$13))+1)</f>
        <v>SLM-93A (Air-Defense Launcher)</v>
      </c>
      <c r="D963" s="38" t="str">
        <f>_xlfn.XLOOKUP(C963,Analysis_Gadgets!$C:$C,Analysis_Gadgets!$B:$B)</f>
        <v>Gadget</v>
      </c>
      <c r="E963" s="43">
        <v>3</v>
      </c>
      <c r="F963" s="43">
        <f>_xlfn.XLOOKUP(A963,Class_Players!A:A,Class_Players!G:G)</f>
        <v>127</v>
      </c>
      <c r="G963" s="43">
        <f t="shared" si="215"/>
        <v>2.3622047244094488E-2</v>
      </c>
      <c r="H963" s="43">
        <f>_xlfn.XLOOKUP(A963,Class_Players!$A:$A,Class_Players!$F:$F,"")</f>
        <v>7216</v>
      </c>
      <c r="I963" s="44">
        <f t="shared" si="216"/>
        <v>4.1574279379157428E-4</v>
      </c>
      <c r="J963" s="43">
        <f t="shared" si="217"/>
        <v>0</v>
      </c>
      <c r="K963" s="44" cm="1">
        <f t="array" ref="K963">IF(D963="Gadget",_xlfn.IFS(I963&gt;=0.2,0.5,I963&gt;=0.1,0.35,I963&gt;=0.05,0.2,TRUE,0),IF(D963="Grenade",_xlfn.IFS(I963&gt;=0.2,1,I963&gt;=0.1,0.7,I963&gt;=0.05,0.4,TRUE,0),0))</f>
        <v>0</v>
      </c>
      <c r="L963" s="57">
        <f t="shared" si="223"/>
        <v>0</v>
      </c>
    </row>
    <row r="964" spans="1:12" x14ac:dyDescent="0.25">
      <c r="A964" s="42" t="str" cm="1">
        <f t="array" ref="A964">IFERROR(INDEX(_xlfn._xlws.FILTER(Class_Players!A:A,Class_Players!B:B="Engineer"),QUOTIENT(ROW()-ROW($A$2),12)+1),"")</f>
        <v>DESOLATION TREY</v>
      </c>
      <c r="B964" s="42" t="str">
        <f>_xlfn.XLOOKUP(A964,Class_Players!$A:$A,Class_Players!$B:$B,"")</f>
        <v>Engineer</v>
      </c>
      <c r="C964" s="42" t="str" cm="1">
        <f t="array" ref="C964">INDEX(Lookups!$B$2:$B$13,MOD(ROW()-ROW($B$2),ROWS(Lookups!$B$2:$B$13))+1)</f>
        <v>RPG-7V2 (Unguided Rocket Launcher)</v>
      </c>
      <c r="D964" s="38" t="str">
        <f>_xlfn.XLOOKUP(C964,Analysis_Gadgets!$C:$C,Analysis_Gadgets!$B:$B)</f>
        <v>Gadget</v>
      </c>
      <c r="E964" s="43">
        <v>3766</v>
      </c>
      <c r="F964" s="43">
        <f>_xlfn.XLOOKUP(A964,Class_Players!A:A,Class_Players!G:G)</f>
        <v>127</v>
      </c>
      <c r="G964" s="43">
        <f t="shared" si="215"/>
        <v>29.653543307086615</v>
      </c>
      <c r="H964" s="43">
        <f>_xlfn.XLOOKUP(A964,Class_Players!$A:$A,Class_Players!$F:$F,"")</f>
        <v>7216</v>
      </c>
      <c r="I964" s="44">
        <f t="shared" si="216"/>
        <v>0.52189578713968954</v>
      </c>
      <c r="J964" s="43">
        <f t="shared" si="217"/>
        <v>1</v>
      </c>
      <c r="K964" s="44" cm="1">
        <f t="array" ref="K964">IF(D964="Gadget",_xlfn.IFS(I964&gt;=0.2,0.5,I964&gt;=0.1,0.35,I964&gt;=0.05,0.2,TRUE,0),IF(D964="Grenade",_xlfn.IFS(I964&gt;=0.2,1,I964&gt;=0.1,0.7,I964&gt;=0.05,0.4,TRUE,0),0))</f>
        <v>0.5</v>
      </c>
      <c r="L964" s="57">
        <f t="shared" si="223"/>
        <v>0.5</v>
      </c>
    </row>
    <row r="965" spans="1:12" x14ac:dyDescent="0.25">
      <c r="A965" s="42" t="str" cm="1">
        <f t="array" ref="A965">IFERROR(INDEX(_xlfn._xlws.FILTER(Class_Players!A:A,Class_Players!B:B="Engineer"),QUOTIENT(ROW()-ROW($A$2),12)+1),"")</f>
        <v>DESOLATION TREY</v>
      </c>
      <c r="B965" s="42" t="str">
        <f>_xlfn.XLOOKUP(A965,Class_Players!$A:$A,Class_Players!$B:$B,"")</f>
        <v>Engineer</v>
      </c>
      <c r="C965" s="42" t="str" cm="1">
        <f t="array" ref="C965">INDEX(Lookups!$B$2:$B$13,MOD(ROW()-ROW($B$2),ROWS(Lookups!$B$2:$B$13))+1)</f>
        <v>MAS 148 (Long-Range Launcher)</v>
      </c>
      <c r="D965" s="38" t="str">
        <f>_xlfn.XLOOKUP(C965,Analysis_Gadgets!$C:$C,Analysis_Gadgets!$B:$B)</f>
        <v>Gadget</v>
      </c>
      <c r="E965" s="43">
        <v>0</v>
      </c>
      <c r="F965" s="43">
        <f>_xlfn.XLOOKUP(A965,Class_Players!A:A,Class_Players!G:G)</f>
        <v>127</v>
      </c>
      <c r="G965" s="43">
        <f t="shared" si="215"/>
        <v>0</v>
      </c>
      <c r="H965" s="43">
        <f>_xlfn.XLOOKUP(A965,Class_Players!$A:$A,Class_Players!$F:$F,"")</f>
        <v>7216</v>
      </c>
      <c r="I965" s="44">
        <f t="shared" si="216"/>
        <v>0</v>
      </c>
      <c r="J965" s="43">
        <f t="shared" si="217"/>
        <v>0</v>
      </c>
      <c r="K965" s="44" cm="1">
        <f t="array" ref="K965">IF(D965="Gadget",_xlfn.IFS(I965&gt;=0.2,0.5,I965&gt;=0.1,0.35,I965&gt;=0.05,0.2,TRUE,0),IF(D965="Grenade",_xlfn.IFS(I965&gt;=0.2,1,I965&gt;=0.1,0.7,I965&gt;=0.05,0.4,TRUE,0),0))</f>
        <v>0</v>
      </c>
      <c r="L965" s="57">
        <f t="shared" si="223"/>
        <v>0</v>
      </c>
    </row>
    <row r="966" spans="1:12" x14ac:dyDescent="0.25">
      <c r="A966" s="42" t="str" cm="1">
        <f t="array" ref="A966">IFERROR(INDEX(_xlfn._xlws.FILTER(Class_Players!A:A,Class_Players!B:B="Engineer"),QUOTIENT(ROW()-ROW($A$2),12)+1),"")</f>
        <v>DESOLATION TREY</v>
      </c>
      <c r="B966" s="42" t="str">
        <f>_xlfn.XLOOKUP(A966,Class_Players!$A:$A,Class_Players!$B:$B,"")</f>
        <v>Engineer</v>
      </c>
      <c r="C966" s="42" t="str" cm="1">
        <f t="array" ref="C966">INDEX(Lookups!$B$2:$B$13,MOD(ROW()-ROW($B$2),ROWS(Lookups!$B$2:$B$13))+1)</f>
        <v>M136 AT (Aim-Guided Launcher)</v>
      </c>
      <c r="D966" s="38" t="str">
        <f>_xlfn.XLOOKUP(C966,Analysis_Gadgets!$C:$C,Analysis_Gadgets!$B:$B)</f>
        <v>Gadget</v>
      </c>
      <c r="E966" s="43">
        <v>0</v>
      </c>
      <c r="F966" s="43">
        <f>_xlfn.XLOOKUP(A966,Class_Players!A:A,Class_Players!G:G)</f>
        <v>127</v>
      </c>
      <c r="G966" s="43">
        <f t="shared" si="215"/>
        <v>0</v>
      </c>
      <c r="H966" s="43">
        <f>_xlfn.XLOOKUP(A966,Class_Players!$A:$A,Class_Players!$F:$F,"")</f>
        <v>7216</v>
      </c>
      <c r="I966" s="44">
        <f t="shared" si="216"/>
        <v>0</v>
      </c>
      <c r="J966" s="43">
        <f t="shared" si="217"/>
        <v>0</v>
      </c>
      <c r="K966" s="44" cm="1">
        <f t="array" ref="K966">IF(D966="Gadget",_xlfn.IFS(I966&gt;=0.2,0.5,I966&gt;=0.1,0.35,I966&gt;=0.05,0.2,TRUE,0),IF(D966="Grenade",_xlfn.IFS(I966&gt;=0.2,1,I966&gt;=0.1,0.7,I966&gt;=0.05,0.4,TRUE,0),0))</f>
        <v>0</v>
      </c>
      <c r="L966" s="57">
        <f t="shared" si="223"/>
        <v>0</v>
      </c>
    </row>
    <row r="967" spans="1:12" x14ac:dyDescent="0.25">
      <c r="A967" s="42" t="str" cm="1">
        <f t="array" ref="A967">IFERROR(INDEX(_xlfn._xlws.FILTER(Class_Players!A:A,Class_Players!B:B="Engineer"),QUOTIENT(ROW()-ROW($A$2),12)+1),"")</f>
        <v>DESOLATION TREY</v>
      </c>
      <c r="B967" s="42" t="str">
        <f>_xlfn.XLOOKUP(A967,Class_Players!$A:$A,Class_Players!$B:$B,"")</f>
        <v>Engineer</v>
      </c>
      <c r="C967" s="42" t="str" cm="1">
        <f t="array" ref="C967">INDEX(Lookups!$B$2:$B$13,MOD(ROW()-ROW($B$2),ROWS(Lookups!$B$2:$B$13))+1)</f>
        <v>Supply Crate</v>
      </c>
      <c r="D967" s="38" t="str">
        <f>_xlfn.XLOOKUP(C967,Analysis_Gadgets!$C:$C,Analysis_Gadgets!$B:$B)</f>
        <v>Gadget</v>
      </c>
      <c r="E967" s="43">
        <v>13</v>
      </c>
      <c r="F967" s="43">
        <f>_xlfn.XLOOKUP(A967,Class_Players!A:A,Class_Players!G:G)</f>
        <v>127</v>
      </c>
      <c r="G967" s="43">
        <f t="shared" si="215"/>
        <v>0.10236220472440945</v>
      </c>
      <c r="H967" s="43">
        <f>_xlfn.XLOOKUP(A967,Class_Players!$A:$A,Class_Players!$F:$F,"")</f>
        <v>7216</v>
      </c>
      <c r="I967" s="44">
        <f t="shared" si="216"/>
        <v>1.8015521064301552E-3</v>
      </c>
      <c r="J967" s="43">
        <f t="shared" si="217"/>
        <v>0</v>
      </c>
      <c r="K967" s="44" cm="1">
        <f t="array" ref="K967">IF(D967="Gadget",_xlfn.IFS(I967&gt;=0.2,0.5,I967&gt;=0.1,0.35,I967&gt;=0.05,0.2,TRUE,0),IF(D967="Grenade",_xlfn.IFS(I967&gt;=0.2,1,I967&gt;=0.1,0.7,I967&gt;=0.05,0.4,TRUE,0),0))</f>
        <v>0</v>
      </c>
      <c r="L967" s="57">
        <f t="shared" si="223"/>
        <v>0</v>
      </c>
    </row>
    <row r="968" spans="1:12" x14ac:dyDescent="0.25">
      <c r="A968" s="42" t="str" cm="1">
        <f t="array" ref="A968">IFERROR(INDEX(_xlfn._xlws.FILTER(Class_Players!A:A,Class_Players!B:B="Engineer"),QUOTIENT(ROW()-ROW($A$2),12)+1),"")</f>
        <v>DESOLATION TREY</v>
      </c>
      <c r="B968" s="42" t="str">
        <f>_xlfn.XLOOKUP(A968,Class_Players!$A:$A,Class_Players!$B:$B,"")</f>
        <v>Engineer</v>
      </c>
      <c r="C968" s="42" t="str" cm="1">
        <f t="array" ref="C968">INDEX(Lookups!$B$2:$B$13,MOD(ROW()-ROW($B$2),ROWS(Lookups!$B$2:$B$13))+1)</f>
        <v>M15 (Anti-Vehicle Mine)</v>
      </c>
      <c r="D968" s="38" t="str">
        <f>_xlfn.XLOOKUP(C968,Analysis_Gadgets!$C:$C,Analysis_Gadgets!$B:$B)</f>
        <v>Gadget</v>
      </c>
      <c r="E968" s="43">
        <v>1541</v>
      </c>
      <c r="F968" s="43">
        <f>_xlfn.XLOOKUP(A968,Class_Players!A:A,Class_Players!G:G)</f>
        <v>127</v>
      </c>
      <c r="G968" s="43">
        <f t="shared" si="215"/>
        <v>12.133858267716535</v>
      </c>
      <c r="H968" s="43">
        <f>_xlfn.XLOOKUP(A968,Class_Players!$A:$A,Class_Players!$F:$F,"")</f>
        <v>7216</v>
      </c>
      <c r="I968" s="44">
        <f t="shared" si="216"/>
        <v>0.21355321507760533</v>
      </c>
      <c r="J968" s="43">
        <f t="shared" si="217"/>
        <v>1</v>
      </c>
      <c r="K968" s="44" cm="1">
        <f t="array" ref="K968">IF(D968="Gadget",_xlfn.IFS(I968&gt;=0.2,0.5,I968&gt;=0.1,0.35,I968&gt;=0.05,0.2,TRUE,0),IF(D968="Grenade",_xlfn.IFS(I968&gt;=0.2,1,I968&gt;=0.1,0.7,I968&gt;=0.05,0.4,TRUE,0),0))</f>
        <v>0.5</v>
      </c>
      <c r="L968" s="57">
        <f t="shared" si="223"/>
        <v>0.5</v>
      </c>
    </row>
    <row r="969" spans="1:12" x14ac:dyDescent="0.25">
      <c r="A969" s="42" t="str" cm="1">
        <f t="array" ref="A969">IFERROR(INDEX(_xlfn._xlws.FILTER(Class_Players!A:A,Class_Players!B:B="Engineer"),QUOTIENT(ROW()-ROW($A$2),12)+1),"")</f>
        <v>DESOLATION TREY</v>
      </c>
      <c r="B969" s="42" t="str">
        <f>_xlfn.XLOOKUP(A969,Class_Players!$A:$A,Class_Players!$B:$B,"")</f>
        <v>Engineer</v>
      </c>
      <c r="C969" s="42" t="str" cm="1">
        <f t="array" ref="C969">INDEX(Lookups!$B$2:$B$13,MOD(ROW()-ROW($B$2),ROWS(Lookups!$B$2:$B$13))+1)</f>
        <v>PTKM-1R (Acoustic Sensor AV Mine)</v>
      </c>
      <c r="D969" s="38" t="str">
        <f>_xlfn.XLOOKUP(C969,Analysis_Gadgets!$C:$C,Analysis_Gadgets!$B:$B)</f>
        <v>Gadget</v>
      </c>
      <c r="E969" s="43">
        <v>0</v>
      </c>
      <c r="F969" s="43">
        <f>_xlfn.XLOOKUP(A969,Class_Players!A:A,Class_Players!G:G)</f>
        <v>127</v>
      </c>
      <c r="G969" s="43">
        <f t="shared" si="215"/>
        <v>0</v>
      </c>
      <c r="H969" s="43">
        <f>_xlfn.XLOOKUP(A969,Class_Players!$A:$A,Class_Players!$F:$F,"")</f>
        <v>7216</v>
      </c>
      <c r="I969" s="44">
        <f t="shared" si="216"/>
        <v>0</v>
      </c>
      <c r="J969" s="43">
        <f t="shared" si="217"/>
        <v>0</v>
      </c>
      <c r="K969" s="44" cm="1">
        <f t="array" ref="K969">IF(D969="Gadget",_xlfn.IFS(I969&gt;=0.2,0.5,I969&gt;=0.1,0.35,I969&gt;=0.05,0.2,TRUE,0),IF(D969="Grenade",_xlfn.IFS(I969&gt;=0.2,1,I969&gt;=0.1,0.7,I969&gt;=0.05,0.4,TRUE,0),0))</f>
        <v>0</v>
      </c>
      <c r="L969" s="57">
        <f t="shared" si="223"/>
        <v>0</v>
      </c>
    </row>
    <row r="970" spans="1:12" x14ac:dyDescent="0.25">
      <c r="A970" s="42" t="str" cm="1">
        <f t="array" ref="A970">IFERROR(INDEX(_xlfn._xlws.FILTER(Class_Players!A:A,Class_Players!B:B="Engineer"),QUOTIENT(ROW()-ROW($A$2),12)+1),"")</f>
        <v>DESOLATION TREY</v>
      </c>
      <c r="B970" s="42" t="str">
        <f>_xlfn.XLOOKUP(A970,Class_Players!$A:$A,Class_Players!$B:$B,"")</f>
        <v>Engineer</v>
      </c>
      <c r="C970" s="42" t="str" cm="1">
        <f t="array" ref="C970">INDEX(Lookups!$B$2:$B$13,MOD(ROW()-ROW($B$2),ROWS(Lookups!$B$2:$B$13))+1)</f>
        <v>EOD Bot</v>
      </c>
      <c r="D970" s="38" t="str">
        <f>_xlfn.XLOOKUP(C970,Analysis_Gadgets!$C:$C,Analysis_Gadgets!$B:$B)</f>
        <v>Gadget</v>
      </c>
      <c r="E970" s="43">
        <v>0</v>
      </c>
      <c r="F970" s="43">
        <f>_xlfn.XLOOKUP(A970,Class_Players!A:A,Class_Players!G:G)</f>
        <v>127</v>
      </c>
      <c r="G970" s="43">
        <f t="shared" si="215"/>
        <v>0</v>
      </c>
      <c r="H970" s="43">
        <f>_xlfn.XLOOKUP(A970,Class_Players!$A:$A,Class_Players!$F:$F,"")</f>
        <v>7216</v>
      </c>
      <c r="I970" s="44">
        <f t="shared" si="216"/>
        <v>0</v>
      </c>
      <c r="J970" s="43">
        <f t="shared" si="217"/>
        <v>0</v>
      </c>
      <c r="K970" s="44" cm="1">
        <f t="array" ref="K970">IF(D970="Gadget",_xlfn.IFS(I970&gt;=0.2,0.5,I970&gt;=0.1,0.35,I970&gt;=0.05,0.2,TRUE,0),IF(D970="Grenade",_xlfn.IFS(I970&gt;=0.2,1,I970&gt;=0.1,0.7,I970&gt;=0.05,0.4,TRUE,0),0))</f>
        <v>0</v>
      </c>
      <c r="L970" s="57">
        <f t="shared" si="223"/>
        <v>0</v>
      </c>
    </row>
    <row r="971" spans="1:12" x14ac:dyDescent="0.25">
      <c r="A971" s="42" t="str" cm="1">
        <f t="array" ref="A971">IFERROR(INDEX(_xlfn._xlws.FILTER(Class_Players!A:A,Class_Players!B:B="Engineer"),QUOTIENT(ROW()-ROW($A$2),12)+1),"")</f>
        <v>DESOLATION TREY</v>
      </c>
      <c r="B971" s="42" t="str">
        <f>_xlfn.XLOOKUP(A971,Class_Players!$A:$A,Class_Players!$B:$B,"")</f>
        <v>Engineer</v>
      </c>
      <c r="C971" s="42" t="str" cm="1">
        <f t="array" ref="C971">INDEX(Lookups!$B$2:$B$13,MOD(ROW()-ROW($B$2),ROWS(Lookups!$B$2:$B$13))+1)</f>
        <v>M4A1 SLAM (Tripwire Sensor AV Mine)</v>
      </c>
      <c r="D971" s="38" t="str">
        <f>_xlfn.XLOOKUP(C971,Analysis_Gadgets!$C:$C,Analysis_Gadgets!$B:$B)</f>
        <v>Gadget</v>
      </c>
      <c r="E971" s="43">
        <v>0</v>
      </c>
      <c r="F971" s="43">
        <f>_xlfn.XLOOKUP(A971,Class_Players!A:A,Class_Players!G:G)</f>
        <v>127</v>
      </c>
      <c r="G971" s="43">
        <f t="shared" si="215"/>
        <v>0</v>
      </c>
      <c r="H971" s="43">
        <f>_xlfn.XLOOKUP(A971,Class_Players!$A:$A,Class_Players!$F:$F,"")</f>
        <v>7216</v>
      </c>
      <c r="I971" s="44">
        <f t="shared" si="216"/>
        <v>0</v>
      </c>
      <c r="J971" s="43">
        <f t="shared" si="217"/>
        <v>0</v>
      </c>
      <c r="K971" s="44" cm="1">
        <f t="array" ref="K971">IF(D971="Gadget",_xlfn.IFS(I971&gt;=0.2,0.5,I971&gt;=0.1,0.35,I971&gt;=0.05,0.2,TRUE,0),IF(D971="Grenade",_xlfn.IFS(I971&gt;=0.2,1,I971&gt;=0.1,0.7,I971&gt;=0.05,0.4,TRUE,0),0))</f>
        <v>0</v>
      </c>
      <c r="L971" s="57">
        <f t="shared" si="223"/>
        <v>0</v>
      </c>
    </row>
    <row r="972" spans="1:12" x14ac:dyDescent="0.25">
      <c r="A972" s="42" t="str" cm="1">
        <f t="array" ref="A972">IFERROR(INDEX(_xlfn._xlws.FILTER(Class_Players!A:A,Class_Players!B:B="Engineer"),QUOTIENT(ROW()-ROW($A$2),12)+1),"")</f>
        <v>DESOLATION TREY</v>
      </c>
      <c r="B972" s="42" t="str">
        <f>_xlfn.XLOOKUP(A972,Class_Players!$A:$A,Class_Players!$B:$B,"")</f>
        <v>Engineer</v>
      </c>
      <c r="C972" s="42" t="str" cm="1">
        <f t="array" ref="C972">INDEX(Lookups!$B$2:$B$13,MOD(ROW()-ROW($B$2),ROWS(Lookups!$B$2:$B$13))+1)</f>
        <v>Mini Frag Grenade</v>
      </c>
      <c r="D972" s="38" t="str">
        <f>_xlfn.XLOOKUP(C972,Analysis_Gadgets!$C:$C,Analysis_Gadgets!$B:$B)</f>
        <v>Grenade</v>
      </c>
      <c r="E972" s="43">
        <v>0</v>
      </c>
      <c r="F972" s="43">
        <f>_xlfn.XLOOKUP(A972,Class_Players!A:A,Class_Players!G:G)</f>
        <v>127</v>
      </c>
      <c r="G972" s="43">
        <f t="shared" si="215"/>
        <v>0</v>
      </c>
      <c r="H972" s="43">
        <f>_xlfn.XLOOKUP(A972,Class_Players!$A:$A,Class_Players!$F:$F,"")</f>
        <v>7216</v>
      </c>
      <c r="I972" s="44">
        <f t="shared" si="216"/>
        <v>0</v>
      </c>
      <c r="J972" s="43">
        <f t="shared" si="217"/>
        <v>0</v>
      </c>
      <c r="K972" s="44" cm="1">
        <f t="array" ref="K972">IF(D972="Gadget",_xlfn.IFS(I972&gt;=0.2,0.5,I972&gt;=0.1,0.35,I972&gt;=0.05,0.2,TRUE,0),IF(D972="Grenade",_xlfn.IFS(I972&gt;=0.2,1,I972&gt;=0.1,0.7,I972&gt;=0.05,0.4,TRUE,0),0))</f>
        <v>0</v>
      </c>
      <c r="L972" s="57">
        <f t="shared" ref="L972:L973" si="224">IF($K972=0,0,$K972 / SUMIFS($K:$K,$A:$A,$A972,$D:$D,"Grenade"))</f>
        <v>0</v>
      </c>
    </row>
    <row r="973" spans="1:12" x14ac:dyDescent="0.25">
      <c r="A973" s="42" t="str" cm="1">
        <f t="array" ref="A973">IFERROR(INDEX(_xlfn._xlws.FILTER(Class_Players!A:A,Class_Players!B:B="Engineer"),QUOTIENT(ROW()-ROW($A$2),12)+1),"")</f>
        <v>DESOLATION TREY</v>
      </c>
      <c r="B973" s="42" t="str">
        <f>_xlfn.XLOOKUP(A973,Class_Players!$A:$A,Class_Players!$B:$B,"")</f>
        <v>Engineer</v>
      </c>
      <c r="C973" s="42" t="str" cm="1">
        <f t="array" ref="C973">INDEX(Lookups!$B$2:$B$13,MOD(ROW()-ROW($B$2),ROWS(Lookups!$B$2:$B$13))+1)</f>
        <v>Anti-Vehicle Grenade</v>
      </c>
      <c r="D973" s="38" t="str">
        <f>_xlfn.XLOOKUP(C973,Analysis_Gadgets!$C:$C,Analysis_Gadgets!$B:$B)</f>
        <v>Grenade</v>
      </c>
      <c r="E973" s="43">
        <v>0</v>
      </c>
      <c r="F973" s="43">
        <f>_xlfn.XLOOKUP(A973,Class_Players!A:A,Class_Players!G:G)</f>
        <v>127</v>
      </c>
      <c r="G973" s="43">
        <f t="shared" si="215"/>
        <v>0</v>
      </c>
      <c r="H973" s="43">
        <f>_xlfn.XLOOKUP(A973,Class_Players!$A:$A,Class_Players!$F:$F,"")</f>
        <v>7216</v>
      </c>
      <c r="I973" s="44">
        <f t="shared" si="216"/>
        <v>0</v>
      </c>
      <c r="J973" s="43">
        <f t="shared" si="217"/>
        <v>0</v>
      </c>
      <c r="K973" s="44" cm="1">
        <f t="array" ref="K973">IF(D973="Gadget",_xlfn.IFS(I973&gt;=0.2,0.5,I973&gt;=0.1,0.35,I973&gt;=0.05,0.2,TRUE,0),IF(D973="Grenade",_xlfn.IFS(I973&gt;=0.2,1,I973&gt;=0.1,0.7,I973&gt;=0.05,0.4,TRUE,0),0))</f>
        <v>0</v>
      </c>
      <c r="L973" s="57">
        <f t="shared" si="224"/>
        <v>0</v>
      </c>
    </row>
    <row r="974" spans="1:12" x14ac:dyDescent="0.25">
      <c r="A974" s="42" t="str" cm="1">
        <f t="array" ref="A974">IFERROR(INDEX(_xlfn._xlws.FILTER(Class_Players!A:A,Class_Players!B:B="Engineer"),QUOTIENT(ROW()-ROW($A$2),12)+1),"")</f>
        <v>firefighterdc74</v>
      </c>
      <c r="B974" s="42" t="str">
        <f>_xlfn.XLOOKUP(A974,Class_Players!$A:$A,Class_Players!$B:$B,"")</f>
        <v>Engineer</v>
      </c>
      <c r="C974" s="42" t="str" cm="1">
        <f t="array" ref="C974">INDEX(Lookups!$B$2:$B$13,MOD(ROW()-ROW($B$2),ROWS(Lookups!$B$2:$B$13))+1)</f>
        <v>MBT-LAW (Auto-Guided Launcher)</v>
      </c>
      <c r="D974" s="38" t="str">
        <f>_xlfn.XLOOKUP(C974,Analysis_Gadgets!$C:$C,Analysis_Gadgets!$B:$B)</f>
        <v>Gadget</v>
      </c>
      <c r="E974" s="43">
        <v>0</v>
      </c>
      <c r="F974" s="43">
        <f>_xlfn.XLOOKUP(A974,Class_Players!A:A,Class_Players!G:G)</f>
        <v>164</v>
      </c>
      <c r="G974" s="43">
        <f t="shared" si="215"/>
        <v>0</v>
      </c>
      <c r="H974" s="43">
        <f>_xlfn.XLOOKUP(A974,Class_Players!$A:$A,Class_Players!$F:$F,"")</f>
        <v>7339</v>
      </c>
      <c r="I974" s="44">
        <f t="shared" si="216"/>
        <v>0</v>
      </c>
      <c r="J974" s="43">
        <f t="shared" si="217"/>
        <v>0</v>
      </c>
      <c r="K974" s="44" cm="1">
        <f t="array" ref="K974">IF(D974="Gadget",_xlfn.IFS(I974&gt;=0.2,0.5,I974&gt;=0.1,0.35,I974&gt;=0.05,0.2,TRUE,0),IF(D974="Grenade",_xlfn.IFS(I974&gt;=0.2,1,I974&gt;=0.1,0.7,I974&gt;=0.05,0.4,TRUE,0),0))</f>
        <v>0</v>
      </c>
      <c r="L974" s="57">
        <f t="shared" ref="L974:L983" si="225">IF($K974=0,0,$K974 / SUMIFS($K:$K,$A:$A,$A974,$D:$D,"Gadget"))</f>
        <v>0</v>
      </c>
    </row>
    <row r="975" spans="1:12" x14ac:dyDescent="0.25">
      <c r="A975" s="42" t="str" cm="1">
        <f t="array" ref="A975">IFERROR(INDEX(_xlfn._xlws.FILTER(Class_Players!A:A,Class_Players!B:B="Engineer"),QUOTIENT(ROW()-ROW($A$2),12)+1),"")</f>
        <v>firefighterdc74</v>
      </c>
      <c r="B975" s="42" t="str">
        <f>_xlfn.XLOOKUP(A975,Class_Players!$A:$A,Class_Players!$B:$B,"")</f>
        <v>Engineer</v>
      </c>
      <c r="C975" s="42" t="str" cm="1">
        <f t="array" ref="C975">INDEX(Lookups!$B$2:$B$13,MOD(ROW()-ROW($B$2),ROWS(Lookups!$B$2:$B$13))+1)</f>
        <v>SLM-93A (Air-Defense Launcher)</v>
      </c>
      <c r="D975" s="38" t="str">
        <f>_xlfn.XLOOKUP(C975,Analysis_Gadgets!$C:$C,Analysis_Gadgets!$B:$B)</f>
        <v>Gadget</v>
      </c>
      <c r="E975" s="43">
        <v>413</v>
      </c>
      <c r="F975" s="43">
        <f>_xlfn.XLOOKUP(A975,Class_Players!A:A,Class_Players!G:G)</f>
        <v>164</v>
      </c>
      <c r="G975" s="43">
        <f t="shared" si="215"/>
        <v>2.5182926829268291</v>
      </c>
      <c r="H975" s="43">
        <f>_xlfn.XLOOKUP(A975,Class_Players!$A:$A,Class_Players!$F:$F,"")</f>
        <v>7339</v>
      </c>
      <c r="I975" s="44">
        <f t="shared" si="216"/>
        <v>5.6274696825180541E-2</v>
      </c>
      <c r="J975" s="43">
        <f t="shared" si="217"/>
        <v>0</v>
      </c>
      <c r="K975" s="44" cm="1">
        <f t="array" ref="K975">IF(D975="Gadget",_xlfn.IFS(I975&gt;=0.2,0.5,I975&gt;=0.1,0.35,I975&gt;=0.05,0.2,TRUE,0),IF(D975="Grenade",_xlfn.IFS(I975&gt;=0.2,1,I975&gt;=0.1,0.7,I975&gt;=0.05,0.4,TRUE,0),0))</f>
        <v>0.2</v>
      </c>
      <c r="L975" s="57">
        <f t="shared" si="225"/>
        <v>0.16666666666666669</v>
      </c>
    </row>
    <row r="976" spans="1:12" x14ac:dyDescent="0.25">
      <c r="A976" s="42" t="str" cm="1">
        <f t="array" ref="A976">IFERROR(INDEX(_xlfn._xlws.FILTER(Class_Players!A:A,Class_Players!B:B="Engineer"),QUOTIENT(ROW()-ROW($A$2),12)+1),"")</f>
        <v>firefighterdc74</v>
      </c>
      <c r="B976" s="42" t="str">
        <f>_xlfn.XLOOKUP(A976,Class_Players!$A:$A,Class_Players!$B:$B,"")</f>
        <v>Engineer</v>
      </c>
      <c r="C976" s="42" t="str" cm="1">
        <f t="array" ref="C976">INDEX(Lookups!$B$2:$B$13,MOD(ROW()-ROW($B$2),ROWS(Lookups!$B$2:$B$13))+1)</f>
        <v>RPG-7V2 (Unguided Rocket Launcher)</v>
      </c>
      <c r="D976" s="38" t="str">
        <f>_xlfn.XLOOKUP(C976,Analysis_Gadgets!$C:$C,Analysis_Gadgets!$B:$B)</f>
        <v>Gadget</v>
      </c>
      <c r="E976" s="43">
        <v>4741</v>
      </c>
      <c r="F976" s="43">
        <f>_xlfn.XLOOKUP(A976,Class_Players!A:A,Class_Players!G:G)</f>
        <v>164</v>
      </c>
      <c r="G976" s="43">
        <f t="shared" si="215"/>
        <v>28.908536585365855</v>
      </c>
      <c r="H976" s="43">
        <f>_xlfn.XLOOKUP(A976,Class_Players!$A:$A,Class_Players!$F:$F,"")</f>
        <v>7339</v>
      </c>
      <c r="I976" s="44">
        <f t="shared" si="216"/>
        <v>0.64600081755007499</v>
      </c>
      <c r="J976" s="43">
        <f t="shared" si="217"/>
        <v>1</v>
      </c>
      <c r="K976" s="44" cm="1">
        <f t="array" ref="K976">IF(D976="Gadget",_xlfn.IFS(I976&gt;=0.2,0.5,I976&gt;=0.1,0.35,I976&gt;=0.05,0.2,TRUE,0),IF(D976="Grenade",_xlfn.IFS(I976&gt;=0.2,1,I976&gt;=0.1,0.7,I976&gt;=0.05,0.4,TRUE,0),0))</f>
        <v>0.5</v>
      </c>
      <c r="L976" s="57">
        <f t="shared" si="225"/>
        <v>0.41666666666666669</v>
      </c>
    </row>
    <row r="977" spans="1:12" x14ac:dyDescent="0.25">
      <c r="A977" s="42" t="str" cm="1">
        <f t="array" ref="A977">IFERROR(INDEX(_xlfn._xlws.FILTER(Class_Players!A:A,Class_Players!B:B="Engineer"),QUOTIENT(ROW()-ROW($A$2),12)+1),"")</f>
        <v>firefighterdc74</v>
      </c>
      <c r="B977" s="42" t="str">
        <f>_xlfn.XLOOKUP(A977,Class_Players!$A:$A,Class_Players!$B:$B,"")</f>
        <v>Engineer</v>
      </c>
      <c r="C977" s="42" t="str" cm="1">
        <f t="array" ref="C977">INDEX(Lookups!$B$2:$B$13,MOD(ROW()-ROW($B$2),ROWS(Lookups!$B$2:$B$13))+1)</f>
        <v>MAS 148 (Long-Range Launcher)</v>
      </c>
      <c r="D977" s="38" t="str">
        <f>_xlfn.XLOOKUP(C977,Analysis_Gadgets!$C:$C,Analysis_Gadgets!$B:$B)</f>
        <v>Gadget</v>
      </c>
      <c r="E977" s="43">
        <v>0</v>
      </c>
      <c r="F977" s="43">
        <f>_xlfn.XLOOKUP(A977,Class_Players!A:A,Class_Players!G:G)</f>
        <v>164</v>
      </c>
      <c r="G977" s="43">
        <f t="shared" si="215"/>
        <v>0</v>
      </c>
      <c r="H977" s="43">
        <f>_xlfn.XLOOKUP(A977,Class_Players!$A:$A,Class_Players!$F:$F,"")</f>
        <v>7339</v>
      </c>
      <c r="I977" s="44">
        <f t="shared" si="216"/>
        <v>0</v>
      </c>
      <c r="J977" s="43">
        <f t="shared" si="217"/>
        <v>0</v>
      </c>
      <c r="K977" s="44" cm="1">
        <f t="array" ref="K977">IF(D977="Gadget",_xlfn.IFS(I977&gt;=0.2,0.5,I977&gt;=0.1,0.35,I977&gt;=0.05,0.2,TRUE,0),IF(D977="Grenade",_xlfn.IFS(I977&gt;=0.2,1,I977&gt;=0.1,0.7,I977&gt;=0.05,0.4,TRUE,0),0))</f>
        <v>0</v>
      </c>
      <c r="L977" s="57">
        <f t="shared" si="225"/>
        <v>0</v>
      </c>
    </row>
    <row r="978" spans="1:12" x14ac:dyDescent="0.25">
      <c r="A978" s="42" t="str" cm="1">
        <f t="array" ref="A978">IFERROR(INDEX(_xlfn._xlws.FILTER(Class_Players!A:A,Class_Players!B:B="Engineer"),QUOTIENT(ROW()-ROW($A$2),12)+1),"")</f>
        <v>firefighterdc74</v>
      </c>
      <c r="B978" s="42" t="str">
        <f>_xlfn.XLOOKUP(A978,Class_Players!$A:$A,Class_Players!$B:$B,"")</f>
        <v>Engineer</v>
      </c>
      <c r="C978" s="42" t="str" cm="1">
        <f t="array" ref="C978">INDEX(Lookups!$B$2:$B$13,MOD(ROW()-ROW($B$2),ROWS(Lookups!$B$2:$B$13))+1)</f>
        <v>M136 AT (Aim-Guided Launcher)</v>
      </c>
      <c r="D978" s="38" t="str">
        <f>_xlfn.XLOOKUP(C978,Analysis_Gadgets!$C:$C,Analysis_Gadgets!$B:$B)</f>
        <v>Gadget</v>
      </c>
      <c r="E978" s="43">
        <v>146</v>
      </c>
      <c r="F978" s="43">
        <f>_xlfn.XLOOKUP(A978,Class_Players!A:A,Class_Players!G:G)</f>
        <v>164</v>
      </c>
      <c r="G978" s="43">
        <f t="shared" si="215"/>
        <v>0.8902439024390244</v>
      </c>
      <c r="H978" s="43">
        <f>_xlfn.XLOOKUP(A978,Class_Players!$A:$A,Class_Players!$F:$F,"")</f>
        <v>7339</v>
      </c>
      <c r="I978" s="44">
        <f t="shared" si="216"/>
        <v>1.9893718490257527E-2</v>
      </c>
      <c r="J978" s="43">
        <f t="shared" si="217"/>
        <v>0</v>
      </c>
      <c r="K978" s="44" cm="1">
        <f t="array" ref="K978">IF(D978="Gadget",_xlfn.IFS(I978&gt;=0.2,0.5,I978&gt;=0.1,0.35,I978&gt;=0.05,0.2,TRUE,0),IF(D978="Grenade",_xlfn.IFS(I978&gt;=0.2,1,I978&gt;=0.1,0.7,I978&gt;=0.05,0.4,TRUE,0),0))</f>
        <v>0</v>
      </c>
      <c r="L978" s="57">
        <f t="shared" si="225"/>
        <v>0</v>
      </c>
    </row>
    <row r="979" spans="1:12" x14ac:dyDescent="0.25">
      <c r="A979" s="42" t="str" cm="1">
        <f t="array" ref="A979">IFERROR(INDEX(_xlfn._xlws.FILTER(Class_Players!A:A,Class_Players!B:B="Engineer"),QUOTIENT(ROW()-ROW($A$2),12)+1),"")</f>
        <v>firefighterdc74</v>
      </c>
      <c r="B979" s="42" t="str">
        <f>_xlfn.XLOOKUP(A979,Class_Players!$A:$A,Class_Players!$B:$B,"")</f>
        <v>Engineer</v>
      </c>
      <c r="C979" s="42" t="str" cm="1">
        <f t="array" ref="C979">INDEX(Lookups!$B$2:$B$13,MOD(ROW()-ROW($B$2),ROWS(Lookups!$B$2:$B$13))+1)</f>
        <v>Supply Crate</v>
      </c>
      <c r="D979" s="38" t="str">
        <f>_xlfn.XLOOKUP(C979,Analysis_Gadgets!$C:$C,Analysis_Gadgets!$B:$B)</f>
        <v>Gadget</v>
      </c>
      <c r="E979" s="43">
        <v>9</v>
      </c>
      <c r="F979" s="43">
        <f>_xlfn.XLOOKUP(A979,Class_Players!A:A,Class_Players!G:G)</f>
        <v>164</v>
      </c>
      <c r="G979" s="43">
        <f t="shared" si="215"/>
        <v>5.4878048780487805E-2</v>
      </c>
      <c r="H979" s="43">
        <f>_xlfn.XLOOKUP(A979,Class_Players!$A:$A,Class_Players!$F:$F,"")</f>
        <v>7339</v>
      </c>
      <c r="I979" s="44">
        <f t="shared" si="216"/>
        <v>1.2263251124131353E-3</v>
      </c>
      <c r="J979" s="43">
        <f t="shared" si="217"/>
        <v>0</v>
      </c>
      <c r="K979" s="44" cm="1">
        <f t="array" ref="K979">IF(D979="Gadget",_xlfn.IFS(I979&gt;=0.2,0.5,I979&gt;=0.1,0.35,I979&gt;=0.05,0.2,TRUE,0),IF(D979="Grenade",_xlfn.IFS(I979&gt;=0.2,1,I979&gt;=0.1,0.7,I979&gt;=0.05,0.4,TRUE,0),0))</f>
        <v>0</v>
      </c>
      <c r="L979" s="57">
        <f t="shared" si="225"/>
        <v>0</v>
      </c>
    </row>
    <row r="980" spans="1:12" x14ac:dyDescent="0.25">
      <c r="A980" s="42" t="str" cm="1">
        <f t="array" ref="A980">IFERROR(INDEX(_xlfn._xlws.FILTER(Class_Players!A:A,Class_Players!B:B="Engineer"),QUOTIENT(ROW()-ROW($A$2),12)+1),"")</f>
        <v>firefighterdc74</v>
      </c>
      <c r="B980" s="42" t="str">
        <f>_xlfn.XLOOKUP(A980,Class_Players!$A:$A,Class_Players!$B:$B,"")</f>
        <v>Engineer</v>
      </c>
      <c r="C980" s="42" t="str" cm="1">
        <f t="array" ref="C980">INDEX(Lookups!$B$2:$B$13,MOD(ROW()-ROW($B$2),ROWS(Lookups!$B$2:$B$13))+1)</f>
        <v>M15 (Anti-Vehicle Mine)</v>
      </c>
      <c r="D980" s="38" t="str">
        <f>_xlfn.XLOOKUP(C980,Analysis_Gadgets!$C:$C,Analysis_Gadgets!$B:$B)</f>
        <v>Gadget</v>
      </c>
      <c r="E980" s="43">
        <v>3447</v>
      </c>
      <c r="F980" s="43">
        <f>_xlfn.XLOOKUP(A980,Class_Players!A:A,Class_Players!G:G)</f>
        <v>164</v>
      </c>
      <c r="G980" s="43">
        <f t="shared" si="215"/>
        <v>21.01829268292683</v>
      </c>
      <c r="H980" s="43">
        <f>_xlfn.XLOOKUP(A980,Class_Players!$A:$A,Class_Players!$F:$F,"")</f>
        <v>7339</v>
      </c>
      <c r="I980" s="44">
        <f t="shared" si="216"/>
        <v>0.46968251805423084</v>
      </c>
      <c r="J980" s="43">
        <f t="shared" si="217"/>
        <v>1</v>
      </c>
      <c r="K980" s="44" cm="1">
        <f t="array" ref="K980">IF(D980="Gadget",_xlfn.IFS(I980&gt;=0.2,0.5,I980&gt;=0.1,0.35,I980&gt;=0.05,0.2,TRUE,0),IF(D980="Grenade",_xlfn.IFS(I980&gt;=0.2,1,I980&gt;=0.1,0.7,I980&gt;=0.05,0.4,TRUE,0),0))</f>
        <v>0.5</v>
      </c>
      <c r="L980" s="57">
        <f t="shared" si="225"/>
        <v>0.41666666666666669</v>
      </c>
    </row>
    <row r="981" spans="1:12" x14ac:dyDescent="0.25">
      <c r="A981" s="42" t="str" cm="1">
        <f t="array" ref="A981">IFERROR(INDEX(_xlfn._xlws.FILTER(Class_Players!A:A,Class_Players!B:B="Engineer"),QUOTIENT(ROW()-ROW($A$2),12)+1),"")</f>
        <v>firefighterdc74</v>
      </c>
      <c r="B981" s="42" t="str">
        <f>_xlfn.XLOOKUP(A981,Class_Players!$A:$A,Class_Players!$B:$B,"")</f>
        <v>Engineer</v>
      </c>
      <c r="C981" s="42" t="str" cm="1">
        <f t="array" ref="C981">INDEX(Lookups!$B$2:$B$13,MOD(ROW()-ROW($B$2),ROWS(Lookups!$B$2:$B$13))+1)</f>
        <v>PTKM-1R (Acoustic Sensor AV Mine)</v>
      </c>
      <c r="D981" s="38" t="str">
        <f>_xlfn.XLOOKUP(C981,Analysis_Gadgets!$C:$C,Analysis_Gadgets!$B:$B)</f>
        <v>Gadget</v>
      </c>
      <c r="E981" s="43">
        <v>288</v>
      </c>
      <c r="F981" s="43">
        <f>_xlfn.XLOOKUP(A981,Class_Players!A:A,Class_Players!G:G)</f>
        <v>164</v>
      </c>
      <c r="G981" s="43">
        <f t="shared" si="215"/>
        <v>1.7560975609756098</v>
      </c>
      <c r="H981" s="43">
        <f>_xlfn.XLOOKUP(A981,Class_Players!$A:$A,Class_Players!$F:$F,"")</f>
        <v>7339</v>
      </c>
      <c r="I981" s="44">
        <f t="shared" si="216"/>
        <v>3.9242403597220331E-2</v>
      </c>
      <c r="J981" s="43">
        <f t="shared" si="217"/>
        <v>0</v>
      </c>
      <c r="K981" s="44" cm="1">
        <f t="array" ref="K981">IF(D981="Gadget",_xlfn.IFS(I981&gt;=0.2,0.5,I981&gt;=0.1,0.35,I981&gt;=0.05,0.2,TRUE,0),IF(D981="Grenade",_xlfn.IFS(I981&gt;=0.2,1,I981&gt;=0.1,0.7,I981&gt;=0.05,0.4,TRUE,0),0))</f>
        <v>0</v>
      </c>
      <c r="L981" s="57">
        <f t="shared" si="225"/>
        <v>0</v>
      </c>
    </row>
    <row r="982" spans="1:12" x14ac:dyDescent="0.25">
      <c r="A982" s="42" t="str" cm="1">
        <f t="array" ref="A982">IFERROR(INDEX(_xlfn._xlws.FILTER(Class_Players!A:A,Class_Players!B:B="Engineer"),QUOTIENT(ROW()-ROW($A$2),12)+1),"")</f>
        <v>firefighterdc74</v>
      </c>
      <c r="B982" s="42" t="str">
        <f>_xlfn.XLOOKUP(A982,Class_Players!$A:$A,Class_Players!$B:$B,"")</f>
        <v>Engineer</v>
      </c>
      <c r="C982" s="42" t="str" cm="1">
        <f t="array" ref="C982">INDEX(Lookups!$B$2:$B$13,MOD(ROW()-ROW($B$2),ROWS(Lookups!$B$2:$B$13))+1)</f>
        <v>EOD Bot</v>
      </c>
      <c r="D982" s="38" t="str">
        <f>_xlfn.XLOOKUP(C982,Analysis_Gadgets!$C:$C,Analysis_Gadgets!$B:$B)</f>
        <v>Gadget</v>
      </c>
      <c r="E982" s="43">
        <v>26</v>
      </c>
      <c r="F982" s="43">
        <f>_xlfn.XLOOKUP(A982,Class_Players!A:A,Class_Players!G:G)</f>
        <v>164</v>
      </c>
      <c r="G982" s="43">
        <f t="shared" si="215"/>
        <v>0.15853658536585366</v>
      </c>
      <c r="H982" s="43">
        <f>_xlfn.XLOOKUP(A982,Class_Players!$A:$A,Class_Players!$F:$F,"")</f>
        <v>7339</v>
      </c>
      <c r="I982" s="44">
        <f t="shared" si="216"/>
        <v>3.5427169914157243E-3</v>
      </c>
      <c r="J982" s="43">
        <f t="shared" si="217"/>
        <v>0</v>
      </c>
      <c r="K982" s="44" cm="1">
        <f t="array" ref="K982">IF(D982="Gadget",_xlfn.IFS(I982&gt;=0.2,0.5,I982&gt;=0.1,0.35,I982&gt;=0.05,0.2,TRUE,0),IF(D982="Grenade",_xlfn.IFS(I982&gt;=0.2,1,I982&gt;=0.1,0.7,I982&gt;=0.05,0.4,TRUE,0),0))</f>
        <v>0</v>
      </c>
      <c r="L982" s="57">
        <f t="shared" si="225"/>
        <v>0</v>
      </c>
    </row>
    <row r="983" spans="1:12" x14ac:dyDescent="0.25">
      <c r="A983" s="42" t="str" cm="1">
        <f t="array" ref="A983">IFERROR(INDEX(_xlfn._xlws.FILTER(Class_Players!A:A,Class_Players!B:B="Engineer"),QUOTIENT(ROW()-ROW($A$2),12)+1),"")</f>
        <v>firefighterdc74</v>
      </c>
      <c r="B983" s="42" t="str">
        <f>_xlfn.XLOOKUP(A983,Class_Players!$A:$A,Class_Players!$B:$B,"")</f>
        <v>Engineer</v>
      </c>
      <c r="C983" s="42" t="str" cm="1">
        <f t="array" ref="C983">INDEX(Lookups!$B$2:$B$13,MOD(ROW()-ROW($B$2),ROWS(Lookups!$B$2:$B$13))+1)</f>
        <v>M4A1 SLAM (Tripwire Sensor AV Mine)</v>
      </c>
      <c r="D983" s="38" t="str">
        <f>_xlfn.XLOOKUP(C983,Analysis_Gadgets!$C:$C,Analysis_Gadgets!$B:$B)</f>
        <v>Gadget</v>
      </c>
      <c r="E983" s="43">
        <v>131</v>
      </c>
      <c r="F983" s="43">
        <f>_xlfn.XLOOKUP(A983,Class_Players!A:A,Class_Players!G:G)</f>
        <v>164</v>
      </c>
      <c r="G983" s="43">
        <f t="shared" si="215"/>
        <v>0.79878048780487809</v>
      </c>
      <c r="H983" s="43">
        <f>_xlfn.XLOOKUP(A983,Class_Players!$A:$A,Class_Players!$F:$F,"")</f>
        <v>7339</v>
      </c>
      <c r="I983" s="44">
        <f t="shared" si="216"/>
        <v>1.7849843302902301E-2</v>
      </c>
      <c r="J983" s="43">
        <f t="shared" si="217"/>
        <v>0</v>
      </c>
      <c r="K983" s="44" cm="1">
        <f t="array" ref="K983">IF(D983="Gadget",_xlfn.IFS(I983&gt;=0.2,0.5,I983&gt;=0.1,0.35,I983&gt;=0.05,0.2,TRUE,0),IF(D983="Grenade",_xlfn.IFS(I983&gt;=0.2,1,I983&gt;=0.1,0.7,I983&gt;=0.05,0.4,TRUE,0),0))</f>
        <v>0</v>
      </c>
      <c r="L983" s="57">
        <f t="shared" si="225"/>
        <v>0</v>
      </c>
    </row>
    <row r="984" spans="1:12" x14ac:dyDescent="0.25">
      <c r="A984" s="42" t="str" cm="1">
        <f t="array" ref="A984">IFERROR(INDEX(_xlfn._xlws.FILTER(Class_Players!A:A,Class_Players!B:B="Engineer"),QUOTIENT(ROW()-ROW($A$2),12)+1),"")</f>
        <v>firefighterdc74</v>
      </c>
      <c r="B984" s="42" t="str">
        <f>_xlfn.XLOOKUP(A984,Class_Players!$A:$A,Class_Players!$B:$B,"")</f>
        <v>Engineer</v>
      </c>
      <c r="C984" s="42" t="str" cm="1">
        <f t="array" ref="C984">INDEX(Lookups!$B$2:$B$13,MOD(ROW()-ROW($B$2),ROWS(Lookups!$B$2:$B$13))+1)</f>
        <v>Mini Frag Grenade</v>
      </c>
      <c r="D984" s="38" t="str">
        <f>_xlfn.XLOOKUP(C984,Analysis_Gadgets!$C:$C,Analysis_Gadgets!$B:$B)</f>
        <v>Grenade</v>
      </c>
      <c r="E984" s="43">
        <v>11</v>
      </c>
      <c r="F984" s="43">
        <f>_xlfn.XLOOKUP(A984,Class_Players!A:A,Class_Players!G:G)</f>
        <v>164</v>
      </c>
      <c r="G984" s="43">
        <f t="shared" si="215"/>
        <v>6.7073170731707321E-2</v>
      </c>
      <c r="H984" s="43">
        <f>_xlfn.XLOOKUP(A984,Class_Players!$A:$A,Class_Players!$F:$F,"")</f>
        <v>7339</v>
      </c>
      <c r="I984" s="44">
        <f t="shared" si="216"/>
        <v>1.4988418040604986E-3</v>
      </c>
      <c r="J984" s="43">
        <f t="shared" si="217"/>
        <v>0</v>
      </c>
      <c r="K984" s="44" cm="1">
        <f t="array" ref="K984">IF(D984="Gadget",_xlfn.IFS(I984&gt;=0.2,0.5,I984&gt;=0.1,0.35,I984&gt;=0.05,0.2,TRUE,0),IF(D984="Grenade",_xlfn.IFS(I984&gt;=0.2,1,I984&gt;=0.1,0.7,I984&gt;=0.05,0.4,TRUE,0),0))</f>
        <v>0</v>
      </c>
      <c r="L984" s="57">
        <f t="shared" ref="L984:L985" si="226">IF($K984=0,0,$K984 / SUMIFS($K:$K,$A:$A,$A984,$D:$D,"Grenade"))</f>
        <v>0</v>
      </c>
    </row>
    <row r="985" spans="1:12" x14ac:dyDescent="0.25">
      <c r="A985" s="42" t="str" cm="1">
        <f t="array" ref="A985">IFERROR(INDEX(_xlfn._xlws.FILTER(Class_Players!A:A,Class_Players!B:B="Engineer"),QUOTIENT(ROW()-ROW($A$2),12)+1),"")</f>
        <v>firefighterdc74</v>
      </c>
      <c r="B985" s="42" t="str">
        <f>_xlfn.XLOOKUP(A985,Class_Players!$A:$A,Class_Players!$B:$B,"")</f>
        <v>Engineer</v>
      </c>
      <c r="C985" s="42" t="str" cm="1">
        <f t="array" ref="C985">INDEX(Lookups!$B$2:$B$13,MOD(ROW()-ROW($B$2),ROWS(Lookups!$B$2:$B$13))+1)</f>
        <v>Anti-Vehicle Grenade</v>
      </c>
      <c r="D985" s="38" t="str">
        <f>_xlfn.XLOOKUP(C985,Analysis_Gadgets!$C:$C,Analysis_Gadgets!$B:$B)</f>
        <v>Grenade</v>
      </c>
      <c r="E985" s="43">
        <v>0</v>
      </c>
      <c r="F985" s="43">
        <f>_xlfn.XLOOKUP(A985,Class_Players!A:A,Class_Players!G:G)</f>
        <v>164</v>
      </c>
      <c r="G985" s="43">
        <f t="shared" si="215"/>
        <v>0</v>
      </c>
      <c r="H985" s="43">
        <f>_xlfn.XLOOKUP(A985,Class_Players!$A:$A,Class_Players!$F:$F,"")</f>
        <v>7339</v>
      </c>
      <c r="I985" s="44">
        <f t="shared" si="216"/>
        <v>0</v>
      </c>
      <c r="J985" s="43">
        <f t="shared" si="217"/>
        <v>0</v>
      </c>
      <c r="K985" s="44" cm="1">
        <f t="array" ref="K985">IF(D985="Gadget",_xlfn.IFS(I985&gt;=0.2,0.5,I985&gt;=0.1,0.35,I985&gt;=0.05,0.2,TRUE,0),IF(D985="Grenade",_xlfn.IFS(I985&gt;=0.2,1,I985&gt;=0.1,0.7,I985&gt;=0.05,0.4,TRUE,0),0))</f>
        <v>0</v>
      </c>
      <c r="L985" s="57">
        <f t="shared" si="226"/>
        <v>0</v>
      </c>
    </row>
    <row r="986" spans="1:12" x14ac:dyDescent="0.25">
      <c r="A986" s="42" t="str" cm="1">
        <f t="array" ref="A986">IFERROR(INDEX(_xlfn._xlws.FILTER(Class_Players!A:A,Class_Players!B:B="Engineer"),QUOTIENT(ROW()-ROW($A$2),12)+1),"")</f>
        <v>Vovan-Fizruk</v>
      </c>
      <c r="B986" s="42" t="str">
        <f>_xlfn.XLOOKUP(A986,Class_Players!$A:$A,Class_Players!$B:$B,"")</f>
        <v>Engineer</v>
      </c>
      <c r="C986" s="42" t="str" cm="1">
        <f t="array" ref="C986">INDEX(Lookups!$B$2:$B$13,MOD(ROW()-ROW($B$2),ROWS(Lookups!$B$2:$B$13))+1)</f>
        <v>MBT-LAW (Auto-Guided Launcher)</v>
      </c>
      <c r="D986" s="38" t="str">
        <f>_xlfn.XLOOKUP(C986,Analysis_Gadgets!$C:$C,Analysis_Gadgets!$B:$B)</f>
        <v>Gadget</v>
      </c>
      <c r="E986" s="43">
        <v>0</v>
      </c>
      <c r="F986" s="43">
        <f>_xlfn.XLOOKUP(A986,Class_Players!A:A,Class_Players!G:G)</f>
        <v>145</v>
      </c>
      <c r="G986" s="43">
        <f t="shared" si="215"/>
        <v>0</v>
      </c>
      <c r="H986" s="43">
        <f>_xlfn.XLOOKUP(A986,Class_Players!$A:$A,Class_Players!$F:$F,"")</f>
        <v>7139</v>
      </c>
      <c r="I986" s="44">
        <f t="shared" si="216"/>
        <v>0</v>
      </c>
      <c r="J986" s="43">
        <f t="shared" si="217"/>
        <v>0</v>
      </c>
      <c r="K986" s="44" cm="1">
        <f t="array" ref="K986">IF(D986="Gadget",_xlfn.IFS(I986&gt;=0.2,0.5,I986&gt;=0.1,0.35,I986&gt;=0.05,0.2,TRUE,0),IF(D986="Grenade",_xlfn.IFS(I986&gt;=0.2,1,I986&gt;=0.1,0.7,I986&gt;=0.05,0.4,TRUE,0),0))</f>
        <v>0</v>
      </c>
      <c r="L986" s="57">
        <f t="shared" ref="L986:L995" si="227">IF($K986=0,0,$K986 / SUMIFS($K:$K,$A:$A,$A986,$D:$D,"Gadget"))</f>
        <v>0</v>
      </c>
    </row>
    <row r="987" spans="1:12" x14ac:dyDescent="0.25">
      <c r="A987" s="42" t="str" cm="1">
        <f t="array" ref="A987">IFERROR(INDEX(_xlfn._xlws.FILTER(Class_Players!A:A,Class_Players!B:B="Engineer"),QUOTIENT(ROW()-ROW($A$2),12)+1),"")</f>
        <v>Vovan-Fizruk</v>
      </c>
      <c r="B987" s="42" t="str">
        <f>_xlfn.XLOOKUP(A987,Class_Players!$A:$A,Class_Players!$B:$B,"")</f>
        <v>Engineer</v>
      </c>
      <c r="C987" s="42" t="str" cm="1">
        <f t="array" ref="C987">INDEX(Lookups!$B$2:$B$13,MOD(ROW()-ROW($B$2),ROWS(Lookups!$B$2:$B$13))+1)</f>
        <v>SLM-93A (Air-Defense Launcher)</v>
      </c>
      <c r="D987" s="38" t="str">
        <f>_xlfn.XLOOKUP(C987,Analysis_Gadgets!$C:$C,Analysis_Gadgets!$B:$B)</f>
        <v>Gadget</v>
      </c>
      <c r="E987" s="43">
        <v>15</v>
      </c>
      <c r="F987" s="43">
        <f>_xlfn.XLOOKUP(A987,Class_Players!A:A,Class_Players!G:G)</f>
        <v>145</v>
      </c>
      <c r="G987" s="43">
        <f t="shared" si="215"/>
        <v>0.10344827586206896</v>
      </c>
      <c r="H987" s="43">
        <f>_xlfn.XLOOKUP(A987,Class_Players!$A:$A,Class_Players!$F:$F,"")</f>
        <v>7139</v>
      </c>
      <c r="I987" s="44">
        <f t="shared" si="216"/>
        <v>2.1011346126908531E-3</v>
      </c>
      <c r="J987" s="43">
        <f t="shared" si="217"/>
        <v>0</v>
      </c>
      <c r="K987" s="44" cm="1">
        <f t="array" ref="K987">IF(D987="Gadget",_xlfn.IFS(I987&gt;=0.2,0.5,I987&gt;=0.1,0.35,I987&gt;=0.05,0.2,TRUE,0),IF(D987="Grenade",_xlfn.IFS(I987&gt;=0.2,1,I987&gt;=0.1,0.7,I987&gt;=0.05,0.4,TRUE,0),0))</f>
        <v>0</v>
      </c>
      <c r="L987" s="57">
        <f t="shared" si="227"/>
        <v>0</v>
      </c>
    </row>
    <row r="988" spans="1:12" x14ac:dyDescent="0.25">
      <c r="A988" s="42" t="str" cm="1">
        <f t="array" ref="A988">IFERROR(INDEX(_xlfn._xlws.FILTER(Class_Players!A:A,Class_Players!B:B="Engineer"),QUOTIENT(ROW()-ROW($A$2),12)+1),"")</f>
        <v>Vovan-Fizruk</v>
      </c>
      <c r="B988" s="42" t="str">
        <f>_xlfn.XLOOKUP(A988,Class_Players!$A:$A,Class_Players!$B:$B,"")</f>
        <v>Engineer</v>
      </c>
      <c r="C988" s="42" t="str" cm="1">
        <f t="array" ref="C988">INDEX(Lookups!$B$2:$B$13,MOD(ROW()-ROW($B$2),ROWS(Lookups!$B$2:$B$13))+1)</f>
        <v>RPG-7V2 (Unguided Rocket Launcher)</v>
      </c>
      <c r="D988" s="38" t="str">
        <f>_xlfn.XLOOKUP(C988,Analysis_Gadgets!$C:$C,Analysis_Gadgets!$B:$B)</f>
        <v>Gadget</v>
      </c>
      <c r="E988" s="43">
        <v>3313</v>
      </c>
      <c r="F988" s="43">
        <f>_xlfn.XLOOKUP(A988,Class_Players!A:A,Class_Players!G:G)</f>
        <v>145</v>
      </c>
      <c r="G988" s="43">
        <f t="shared" si="215"/>
        <v>22.848275862068967</v>
      </c>
      <c r="H988" s="43">
        <f>_xlfn.XLOOKUP(A988,Class_Players!$A:$A,Class_Players!$F:$F,"")</f>
        <v>7139</v>
      </c>
      <c r="I988" s="44">
        <f t="shared" si="216"/>
        <v>0.4640705981229864</v>
      </c>
      <c r="J988" s="43">
        <f t="shared" si="217"/>
        <v>1</v>
      </c>
      <c r="K988" s="44" cm="1">
        <f t="array" ref="K988">IF(D988="Gadget",_xlfn.IFS(I988&gt;=0.2,0.5,I988&gt;=0.1,0.35,I988&gt;=0.05,0.2,TRUE,0),IF(D988="Grenade",_xlfn.IFS(I988&gt;=0.2,1,I988&gt;=0.1,0.7,I988&gt;=0.05,0.4,TRUE,0),0))</f>
        <v>0.5</v>
      </c>
      <c r="L988" s="57">
        <f t="shared" si="227"/>
        <v>0.5</v>
      </c>
    </row>
    <row r="989" spans="1:12" x14ac:dyDescent="0.25">
      <c r="A989" s="42" t="str" cm="1">
        <f t="array" ref="A989">IFERROR(INDEX(_xlfn._xlws.FILTER(Class_Players!A:A,Class_Players!B:B="Engineer"),QUOTIENT(ROW()-ROW($A$2),12)+1),"")</f>
        <v>Vovan-Fizruk</v>
      </c>
      <c r="B989" s="42" t="str">
        <f>_xlfn.XLOOKUP(A989,Class_Players!$A:$A,Class_Players!$B:$B,"")</f>
        <v>Engineer</v>
      </c>
      <c r="C989" s="42" t="str" cm="1">
        <f t="array" ref="C989">INDEX(Lookups!$B$2:$B$13,MOD(ROW()-ROW($B$2),ROWS(Lookups!$B$2:$B$13))+1)</f>
        <v>MAS 148 (Long-Range Launcher)</v>
      </c>
      <c r="D989" s="38" t="str">
        <f>_xlfn.XLOOKUP(C989,Analysis_Gadgets!$C:$C,Analysis_Gadgets!$B:$B)</f>
        <v>Gadget</v>
      </c>
      <c r="E989" s="43">
        <v>17</v>
      </c>
      <c r="F989" s="43">
        <f>_xlfn.XLOOKUP(A989,Class_Players!A:A,Class_Players!G:G)</f>
        <v>145</v>
      </c>
      <c r="G989" s="43">
        <f t="shared" si="215"/>
        <v>0.11724137931034483</v>
      </c>
      <c r="H989" s="43">
        <f>_xlfn.XLOOKUP(A989,Class_Players!$A:$A,Class_Players!$F:$F,"")</f>
        <v>7139</v>
      </c>
      <c r="I989" s="44">
        <f t="shared" si="216"/>
        <v>2.3812858943829669E-3</v>
      </c>
      <c r="J989" s="43">
        <f t="shared" si="217"/>
        <v>0</v>
      </c>
      <c r="K989" s="44" cm="1">
        <f t="array" ref="K989">IF(D989="Gadget",_xlfn.IFS(I989&gt;=0.2,0.5,I989&gt;=0.1,0.35,I989&gt;=0.05,0.2,TRUE,0),IF(D989="Grenade",_xlfn.IFS(I989&gt;=0.2,1,I989&gt;=0.1,0.7,I989&gt;=0.05,0.4,TRUE,0),0))</f>
        <v>0</v>
      </c>
      <c r="L989" s="57">
        <f t="shared" si="227"/>
        <v>0</v>
      </c>
    </row>
    <row r="990" spans="1:12" x14ac:dyDescent="0.25">
      <c r="A990" s="42" t="str" cm="1">
        <f t="array" ref="A990">IFERROR(INDEX(_xlfn._xlws.FILTER(Class_Players!A:A,Class_Players!B:B="Engineer"),QUOTIENT(ROW()-ROW($A$2),12)+1),"")</f>
        <v>Vovan-Fizruk</v>
      </c>
      <c r="B990" s="42" t="str">
        <f>_xlfn.XLOOKUP(A990,Class_Players!$A:$A,Class_Players!$B:$B,"")</f>
        <v>Engineer</v>
      </c>
      <c r="C990" s="42" t="str" cm="1">
        <f t="array" ref="C990">INDEX(Lookups!$B$2:$B$13,MOD(ROW()-ROW($B$2),ROWS(Lookups!$B$2:$B$13))+1)</f>
        <v>M136 AT (Aim-Guided Launcher)</v>
      </c>
      <c r="D990" s="38" t="str">
        <f>_xlfn.XLOOKUP(C990,Analysis_Gadgets!$C:$C,Analysis_Gadgets!$B:$B)</f>
        <v>Gadget</v>
      </c>
      <c r="E990" s="43">
        <v>46</v>
      </c>
      <c r="F990" s="43">
        <f>_xlfn.XLOOKUP(A990,Class_Players!A:A,Class_Players!G:G)</f>
        <v>145</v>
      </c>
      <c r="G990" s="43">
        <f t="shared" si="215"/>
        <v>0.31724137931034485</v>
      </c>
      <c r="H990" s="43">
        <f>_xlfn.XLOOKUP(A990,Class_Players!$A:$A,Class_Players!$F:$F,"")</f>
        <v>7139</v>
      </c>
      <c r="I990" s="44">
        <f t="shared" si="216"/>
        <v>6.4434794789186159E-3</v>
      </c>
      <c r="J990" s="43">
        <f t="shared" si="217"/>
        <v>0</v>
      </c>
      <c r="K990" s="44" cm="1">
        <f t="array" ref="K990">IF(D990="Gadget",_xlfn.IFS(I990&gt;=0.2,0.5,I990&gt;=0.1,0.35,I990&gt;=0.05,0.2,TRUE,0),IF(D990="Grenade",_xlfn.IFS(I990&gt;=0.2,1,I990&gt;=0.1,0.7,I990&gt;=0.05,0.4,TRUE,0),0))</f>
        <v>0</v>
      </c>
      <c r="L990" s="57">
        <f t="shared" si="227"/>
        <v>0</v>
      </c>
    </row>
    <row r="991" spans="1:12" x14ac:dyDescent="0.25">
      <c r="A991" s="42" t="str" cm="1">
        <f t="array" ref="A991">IFERROR(INDEX(_xlfn._xlws.FILTER(Class_Players!A:A,Class_Players!B:B="Engineer"),QUOTIENT(ROW()-ROW($A$2),12)+1),"")</f>
        <v>Vovan-Fizruk</v>
      </c>
      <c r="B991" s="42" t="str">
        <f>_xlfn.XLOOKUP(A991,Class_Players!$A:$A,Class_Players!$B:$B,"")</f>
        <v>Engineer</v>
      </c>
      <c r="C991" s="42" t="str" cm="1">
        <f t="array" ref="C991">INDEX(Lookups!$B$2:$B$13,MOD(ROW()-ROW($B$2),ROWS(Lookups!$B$2:$B$13))+1)</f>
        <v>Supply Crate</v>
      </c>
      <c r="D991" s="38" t="str">
        <f>_xlfn.XLOOKUP(C991,Analysis_Gadgets!$C:$C,Analysis_Gadgets!$B:$B)</f>
        <v>Gadget</v>
      </c>
      <c r="E991" s="43">
        <v>38</v>
      </c>
      <c r="F991" s="43">
        <f>_xlfn.XLOOKUP(A991,Class_Players!A:A,Class_Players!G:G)</f>
        <v>145</v>
      </c>
      <c r="G991" s="43">
        <f t="shared" si="215"/>
        <v>0.2620689655172414</v>
      </c>
      <c r="H991" s="43">
        <f>_xlfn.XLOOKUP(A991,Class_Players!$A:$A,Class_Players!$F:$F,"")</f>
        <v>7139</v>
      </c>
      <c r="I991" s="44">
        <f t="shared" si="216"/>
        <v>5.3228743521501615E-3</v>
      </c>
      <c r="J991" s="43">
        <f t="shared" si="217"/>
        <v>0</v>
      </c>
      <c r="K991" s="44" cm="1">
        <f t="array" ref="K991">IF(D991="Gadget",_xlfn.IFS(I991&gt;=0.2,0.5,I991&gt;=0.1,0.35,I991&gt;=0.05,0.2,TRUE,0),IF(D991="Grenade",_xlfn.IFS(I991&gt;=0.2,1,I991&gt;=0.1,0.7,I991&gt;=0.05,0.4,TRUE,0),0))</f>
        <v>0</v>
      </c>
      <c r="L991" s="57">
        <f t="shared" si="227"/>
        <v>0</v>
      </c>
    </row>
    <row r="992" spans="1:12" x14ac:dyDescent="0.25">
      <c r="A992" s="42" t="str" cm="1">
        <f t="array" ref="A992">IFERROR(INDEX(_xlfn._xlws.FILTER(Class_Players!A:A,Class_Players!B:B="Engineer"),QUOTIENT(ROW()-ROW($A$2),12)+1),"")</f>
        <v>Vovan-Fizruk</v>
      </c>
      <c r="B992" s="42" t="str">
        <f>_xlfn.XLOOKUP(A992,Class_Players!$A:$A,Class_Players!$B:$B,"")</f>
        <v>Engineer</v>
      </c>
      <c r="C992" s="42" t="str" cm="1">
        <f t="array" ref="C992">INDEX(Lookups!$B$2:$B$13,MOD(ROW()-ROW($B$2),ROWS(Lookups!$B$2:$B$13))+1)</f>
        <v>M15 (Anti-Vehicle Mine)</v>
      </c>
      <c r="D992" s="38" t="str">
        <f>_xlfn.XLOOKUP(C992,Analysis_Gadgets!$C:$C,Analysis_Gadgets!$B:$B)</f>
        <v>Gadget</v>
      </c>
      <c r="E992" s="43">
        <v>2725</v>
      </c>
      <c r="F992" s="43">
        <f>_xlfn.XLOOKUP(A992,Class_Players!A:A,Class_Players!G:G)</f>
        <v>145</v>
      </c>
      <c r="G992" s="43">
        <f t="shared" si="215"/>
        <v>18.793103448275861</v>
      </c>
      <c r="H992" s="43">
        <f>_xlfn.XLOOKUP(A992,Class_Players!$A:$A,Class_Players!$F:$F,"")</f>
        <v>7139</v>
      </c>
      <c r="I992" s="44">
        <f t="shared" si="216"/>
        <v>0.38170612130550496</v>
      </c>
      <c r="J992" s="43">
        <f t="shared" si="217"/>
        <v>1</v>
      </c>
      <c r="K992" s="44" cm="1">
        <f t="array" ref="K992">IF(D992="Gadget",_xlfn.IFS(I992&gt;=0.2,0.5,I992&gt;=0.1,0.35,I992&gt;=0.05,0.2,TRUE,0),IF(D992="Grenade",_xlfn.IFS(I992&gt;=0.2,1,I992&gt;=0.1,0.7,I992&gt;=0.05,0.4,TRUE,0),0))</f>
        <v>0.5</v>
      </c>
      <c r="L992" s="57">
        <f t="shared" si="227"/>
        <v>0.5</v>
      </c>
    </row>
    <row r="993" spans="1:12" x14ac:dyDescent="0.25">
      <c r="A993" s="42" t="str" cm="1">
        <f t="array" ref="A993">IFERROR(INDEX(_xlfn._xlws.FILTER(Class_Players!A:A,Class_Players!B:B="Engineer"),QUOTIENT(ROW()-ROW($A$2),12)+1),"")</f>
        <v>Vovan-Fizruk</v>
      </c>
      <c r="B993" s="42" t="str">
        <f>_xlfn.XLOOKUP(A993,Class_Players!$A:$A,Class_Players!$B:$B,"")</f>
        <v>Engineer</v>
      </c>
      <c r="C993" s="42" t="str" cm="1">
        <f t="array" ref="C993">INDEX(Lookups!$B$2:$B$13,MOD(ROW()-ROW($B$2),ROWS(Lookups!$B$2:$B$13))+1)</f>
        <v>PTKM-1R (Acoustic Sensor AV Mine)</v>
      </c>
      <c r="D993" s="38" t="str">
        <f>_xlfn.XLOOKUP(C993,Analysis_Gadgets!$C:$C,Analysis_Gadgets!$B:$B)</f>
        <v>Gadget</v>
      </c>
      <c r="E993" s="43">
        <v>8</v>
      </c>
      <c r="F993" s="43">
        <f>_xlfn.XLOOKUP(A993,Class_Players!A:A,Class_Players!G:G)</f>
        <v>145</v>
      </c>
      <c r="G993" s="43">
        <f t="shared" si="215"/>
        <v>5.5172413793103448E-2</v>
      </c>
      <c r="H993" s="43">
        <f>_xlfn.XLOOKUP(A993,Class_Players!$A:$A,Class_Players!$F:$F,"")</f>
        <v>7139</v>
      </c>
      <c r="I993" s="44">
        <f t="shared" si="216"/>
        <v>1.1206051267684549E-3</v>
      </c>
      <c r="J993" s="43">
        <f t="shared" si="217"/>
        <v>0</v>
      </c>
      <c r="K993" s="44" cm="1">
        <f t="array" ref="K993">IF(D993="Gadget",_xlfn.IFS(I993&gt;=0.2,0.5,I993&gt;=0.1,0.35,I993&gt;=0.05,0.2,TRUE,0),IF(D993="Grenade",_xlfn.IFS(I993&gt;=0.2,1,I993&gt;=0.1,0.7,I993&gt;=0.05,0.4,TRUE,0),0))</f>
        <v>0</v>
      </c>
      <c r="L993" s="57">
        <f t="shared" si="227"/>
        <v>0</v>
      </c>
    </row>
    <row r="994" spans="1:12" x14ac:dyDescent="0.25">
      <c r="A994" s="42" t="str" cm="1">
        <f t="array" ref="A994">IFERROR(INDEX(_xlfn._xlws.FILTER(Class_Players!A:A,Class_Players!B:B="Engineer"),QUOTIENT(ROW()-ROW($A$2),12)+1),"")</f>
        <v>Vovan-Fizruk</v>
      </c>
      <c r="B994" s="42" t="str">
        <f>_xlfn.XLOOKUP(A994,Class_Players!$A:$A,Class_Players!$B:$B,"")</f>
        <v>Engineer</v>
      </c>
      <c r="C994" s="42" t="str" cm="1">
        <f t="array" ref="C994">INDEX(Lookups!$B$2:$B$13,MOD(ROW()-ROW($B$2),ROWS(Lookups!$B$2:$B$13))+1)</f>
        <v>EOD Bot</v>
      </c>
      <c r="D994" s="38" t="str">
        <f>_xlfn.XLOOKUP(C994,Analysis_Gadgets!$C:$C,Analysis_Gadgets!$B:$B)</f>
        <v>Gadget</v>
      </c>
      <c r="E994" s="43">
        <v>0</v>
      </c>
      <c r="F994" s="43">
        <f>_xlfn.XLOOKUP(A994,Class_Players!A:A,Class_Players!G:G)</f>
        <v>145</v>
      </c>
      <c r="G994" s="43">
        <f t="shared" ref="G994:G1033" si="228">IF(F994=0,"",E994/(F994))</f>
        <v>0</v>
      </c>
      <c r="H994" s="43">
        <f>_xlfn.XLOOKUP(A994,Class_Players!$A:$A,Class_Players!$F:$F,"")</f>
        <v>7139</v>
      </c>
      <c r="I994" s="44">
        <f t="shared" ref="I994:I1033" si="229">IF(H994=0,"",E994/H994)</f>
        <v>0</v>
      </c>
      <c r="J994" s="43">
        <f t="shared" ref="J994:J1033" si="230">IF(I994&gt;=0.1,1,0)</f>
        <v>0</v>
      </c>
      <c r="K994" s="44" cm="1">
        <f t="array" ref="K994">IF(D994="Gadget",_xlfn.IFS(I994&gt;=0.2,0.5,I994&gt;=0.1,0.35,I994&gt;=0.05,0.2,TRUE,0),IF(D994="Grenade",_xlfn.IFS(I994&gt;=0.2,1,I994&gt;=0.1,0.7,I994&gt;=0.05,0.4,TRUE,0),0))</f>
        <v>0</v>
      </c>
      <c r="L994" s="57">
        <f t="shared" si="227"/>
        <v>0</v>
      </c>
    </row>
    <row r="995" spans="1:12" x14ac:dyDescent="0.25">
      <c r="A995" s="42" t="str" cm="1">
        <f t="array" ref="A995">IFERROR(INDEX(_xlfn._xlws.FILTER(Class_Players!A:A,Class_Players!B:B="Engineer"),QUOTIENT(ROW()-ROW($A$2),12)+1),"")</f>
        <v>Vovan-Fizruk</v>
      </c>
      <c r="B995" s="42" t="str">
        <f>_xlfn.XLOOKUP(A995,Class_Players!$A:$A,Class_Players!$B:$B,"")</f>
        <v>Engineer</v>
      </c>
      <c r="C995" s="42" t="str" cm="1">
        <f t="array" ref="C995">INDEX(Lookups!$B$2:$B$13,MOD(ROW()-ROW($B$2),ROWS(Lookups!$B$2:$B$13))+1)</f>
        <v>M4A1 SLAM (Tripwire Sensor AV Mine)</v>
      </c>
      <c r="D995" s="38" t="str">
        <f>_xlfn.XLOOKUP(C995,Analysis_Gadgets!$C:$C,Analysis_Gadgets!$B:$B)</f>
        <v>Gadget</v>
      </c>
      <c r="E995" s="43">
        <v>102</v>
      </c>
      <c r="F995" s="43">
        <f>_xlfn.XLOOKUP(A995,Class_Players!A:A,Class_Players!G:G)</f>
        <v>145</v>
      </c>
      <c r="G995" s="43">
        <f t="shared" si="228"/>
        <v>0.70344827586206893</v>
      </c>
      <c r="H995" s="43">
        <f>_xlfn.XLOOKUP(A995,Class_Players!$A:$A,Class_Players!$F:$F,"")</f>
        <v>7139</v>
      </c>
      <c r="I995" s="44">
        <f t="shared" si="229"/>
        <v>1.4287715366297801E-2</v>
      </c>
      <c r="J995" s="43">
        <f t="shared" si="230"/>
        <v>0</v>
      </c>
      <c r="K995" s="44" cm="1">
        <f t="array" ref="K995">IF(D995="Gadget",_xlfn.IFS(I995&gt;=0.2,0.5,I995&gt;=0.1,0.35,I995&gt;=0.05,0.2,TRUE,0),IF(D995="Grenade",_xlfn.IFS(I995&gt;=0.2,1,I995&gt;=0.1,0.7,I995&gt;=0.05,0.4,TRUE,0),0))</f>
        <v>0</v>
      </c>
      <c r="L995" s="57">
        <f t="shared" si="227"/>
        <v>0</v>
      </c>
    </row>
    <row r="996" spans="1:12" x14ac:dyDescent="0.25">
      <c r="A996" s="42" t="str" cm="1">
        <f t="array" ref="A996">IFERROR(INDEX(_xlfn._xlws.FILTER(Class_Players!A:A,Class_Players!B:B="Engineer"),QUOTIENT(ROW()-ROW($A$2),12)+1),"")</f>
        <v>Vovan-Fizruk</v>
      </c>
      <c r="B996" s="42" t="str">
        <f>_xlfn.XLOOKUP(A996,Class_Players!$A:$A,Class_Players!$B:$B,"")</f>
        <v>Engineer</v>
      </c>
      <c r="C996" s="42" t="str" cm="1">
        <f t="array" ref="C996">INDEX(Lookups!$B$2:$B$13,MOD(ROW()-ROW($B$2),ROWS(Lookups!$B$2:$B$13))+1)</f>
        <v>Mini Frag Grenade</v>
      </c>
      <c r="D996" s="38" t="str">
        <f>_xlfn.XLOOKUP(C996,Analysis_Gadgets!$C:$C,Analysis_Gadgets!$B:$B)</f>
        <v>Grenade</v>
      </c>
      <c r="E996" s="43">
        <v>3</v>
      </c>
      <c r="F996" s="43">
        <f>_xlfn.XLOOKUP(A996,Class_Players!A:A,Class_Players!G:G)</f>
        <v>145</v>
      </c>
      <c r="G996" s="43">
        <f t="shared" si="228"/>
        <v>2.0689655172413793E-2</v>
      </c>
      <c r="H996" s="43">
        <f>_xlfn.XLOOKUP(A996,Class_Players!$A:$A,Class_Players!$F:$F,"")</f>
        <v>7139</v>
      </c>
      <c r="I996" s="44">
        <f t="shared" si="229"/>
        <v>4.2022692253817064E-4</v>
      </c>
      <c r="J996" s="43">
        <f t="shared" si="230"/>
        <v>0</v>
      </c>
      <c r="K996" s="44" cm="1">
        <f t="array" ref="K996">IF(D996="Gadget",_xlfn.IFS(I996&gt;=0.2,0.5,I996&gt;=0.1,0.35,I996&gt;=0.05,0.2,TRUE,0),IF(D996="Grenade",_xlfn.IFS(I996&gt;=0.2,1,I996&gt;=0.1,0.7,I996&gt;=0.05,0.4,TRUE,0),0))</f>
        <v>0</v>
      </c>
      <c r="L996" s="57">
        <f t="shared" ref="L996:L997" si="231">IF($K996=0,0,$K996 / SUMIFS($K:$K,$A:$A,$A996,$D:$D,"Grenade"))</f>
        <v>0</v>
      </c>
    </row>
    <row r="997" spans="1:12" x14ac:dyDescent="0.25">
      <c r="A997" s="42" t="str" cm="1">
        <f t="array" ref="A997">IFERROR(INDEX(_xlfn._xlws.FILTER(Class_Players!A:A,Class_Players!B:B="Engineer"),QUOTIENT(ROW()-ROW($A$2),12)+1),"")</f>
        <v>Vovan-Fizruk</v>
      </c>
      <c r="B997" s="42" t="str">
        <f>_xlfn.XLOOKUP(A997,Class_Players!$A:$A,Class_Players!$B:$B,"")</f>
        <v>Engineer</v>
      </c>
      <c r="C997" s="42" t="str" cm="1">
        <f t="array" ref="C997">INDEX(Lookups!$B$2:$B$13,MOD(ROW()-ROW($B$2),ROWS(Lookups!$B$2:$B$13))+1)</f>
        <v>Anti-Vehicle Grenade</v>
      </c>
      <c r="D997" s="38" t="str">
        <f>_xlfn.XLOOKUP(C997,Analysis_Gadgets!$C:$C,Analysis_Gadgets!$B:$B)</f>
        <v>Grenade</v>
      </c>
      <c r="E997" s="43">
        <v>0</v>
      </c>
      <c r="F997" s="43">
        <f>_xlfn.XLOOKUP(A997,Class_Players!A:A,Class_Players!G:G)</f>
        <v>145</v>
      </c>
      <c r="G997" s="43">
        <f t="shared" si="228"/>
        <v>0</v>
      </c>
      <c r="H997" s="43">
        <f>_xlfn.XLOOKUP(A997,Class_Players!$A:$A,Class_Players!$F:$F,"")</f>
        <v>7139</v>
      </c>
      <c r="I997" s="44">
        <f t="shared" si="229"/>
        <v>0</v>
      </c>
      <c r="J997" s="43">
        <f t="shared" si="230"/>
        <v>0</v>
      </c>
      <c r="K997" s="44" cm="1">
        <f t="array" ref="K997">IF(D997="Gadget",_xlfn.IFS(I997&gt;=0.2,0.5,I997&gt;=0.1,0.35,I997&gt;=0.05,0.2,TRUE,0),IF(D997="Grenade",_xlfn.IFS(I997&gt;=0.2,1,I997&gt;=0.1,0.7,I997&gt;=0.05,0.4,TRUE,0),0))</f>
        <v>0</v>
      </c>
      <c r="L997" s="57">
        <f t="shared" si="231"/>
        <v>0</v>
      </c>
    </row>
    <row r="998" spans="1:12" x14ac:dyDescent="0.25">
      <c r="A998" s="42" t="str" cm="1">
        <f t="array" ref="A998">IFERROR(INDEX(_xlfn._xlws.FILTER(Class_Players!A:A,Class_Players!B:B="Engineer"),QUOTIENT(ROW()-ROW($A$2),12)+1),"")</f>
        <v>Jonny_Deathbox</v>
      </c>
      <c r="B998" s="42" t="str">
        <f>_xlfn.XLOOKUP(A998,Class_Players!$A:$A,Class_Players!$B:$B,"")</f>
        <v>Engineer</v>
      </c>
      <c r="C998" s="42" t="str" cm="1">
        <f t="array" ref="C998">INDEX(Lookups!$B$2:$B$13,MOD(ROW()-ROW($B$2),ROWS(Lookups!$B$2:$B$13))+1)</f>
        <v>MBT-LAW (Auto-Guided Launcher)</v>
      </c>
      <c r="D998" s="38" t="str">
        <f>_xlfn.XLOOKUP(C998,Analysis_Gadgets!$C:$C,Analysis_Gadgets!$B:$B)</f>
        <v>Gadget</v>
      </c>
      <c r="E998" s="43">
        <v>0</v>
      </c>
      <c r="F998" s="43">
        <f>_xlfn.XLOOKUP(A998,Class_Players!A:A,Class_Players!G:G)</f>
        <v>152</v>
      </c>
      <c r="G998" s="43">
        <f t="shared" si="228"/>
        <v>0</v>
      </c>
      <c r="H998" s="43">
        <f>_xlfn.XLOOKUP(A998,Class_Players!$A:$A,Class_Players!$F:$F,"")</f>
        <v>7102</v>
      </c>
      <c r="I998" s="44">
        <f t="shared" si="229"/>
        <v>0</v>
      </c>
      <c r="J998" s="43">
        <f t="shared" si="230"/>
        <v>0</v>
      </c>
      <c r="K998" s="44" cm="1">
        <f t="array" ref="K998">IF(D998="Gadget",_xlfn.IFS(I998&gt;=0.2,0.5,I998&gt;=0.1,0.35,I998&gt;=0.05,0.2,TRUE,0),IF(D998="Grenade",_xlfn.IFS(I998&gt;=0.2,1,I998&gt;=0.1,0.7,I998&gt;=0.05,0.4,TRUE,0),0))</f>
        <v>0</v>
      </c>
      <c r="L998" s="57">
        <f t="shared" ref="L998:L1007" si="232">IF($K998=0,0,$K998 / SUMIFS($K:$K,$A:$A,$A998,$D:$D,"Gadget"))</f>
        <v>0</v>
      </c>
    </row>
    <row r="999" spans="1:12" x14ac:dyDescent="0.25">
      <c r="A999" s="42" t="str" cm="1">
        <f t="array" ref="A999">IFERROR(INDEX(_xlfn._xlws.FILTER(Class_Players!A:A,Class_Players!B:B="Engineer"),QUOTIENT(ROW()-ROW($A$2),12)+1),"")</f>
        <v>Jonny_Deathbox</v>
      </c>
      <c r="B999" s="42" t="str">
        <f>_xlfn.XLOOKUP(A999,Class_Players!$A:$A,Class_Players!$B:$B,"")</f>
        <v>Engineer</v>
      </c>
      <c r="C999" s="42" t="str" cm="1">
        <f t="array" ref="C999">INDEX(Lookups!$B$2:$B$13,MOD(ROW()-ROW($B$2),ROWS(Lookups!$B$2:$B$13))+1)</f>
        <v>SLM-93A (Air-Defense Launcher)</v>
      </c>
      <c r="D999" s="38" t="str">
        <f>_xlfn.XLOOKUP(C999,Analysis_Gadgets!$C:$C,Analysis_Gadgets!$B:$B)</f>
        <v>Gadget</v>
      </c>
      <c r="E999" s="43">
        <v>3</v>
      </c>
      <c r="F999" s="43">
        <f>_xlfn.XLOOKUP(A999,Class_Players!A:A,Class_Players!G:G)</f>
        <v>152</v>
      </c>
      <c r="G999" s="43">
        <f t="shared" si="228"/>
        <v>1.9736842105263157E-2</v>
      </c>
      <c r="H999" s="43">
        <f>_xlfn.XLOOKUP(A999,Class_Players!$A:$A,Class_Players!$F:$F,"")</f>
        <v>7102</v>
      </c>
      <c r="I999" s="44">
        <f t="shared" si="229"/>
        <v>4.2241622078287804E-4</v>
      </c>
      <c r="J999" s="43">
        <f t="shared" si="230"/>
        <v>0</v>
      </c>
      <c r="K999" s="44" cm="1">
        <f t="array" ref="K999">IF(D999="Gadget",_xlfn.IFS(I999&gt;=0.2,0.5,I999&gt;=0.1,0.35,I999&gt;=0.05,0.2,TRUE,0),IF(D999="Grenade",_xlfn.IFS(I999&gt;=0.2,1,I999&gt;=0.1,0.7,I999&gt;=0.05,0.4,TRUE,0),0))</f>
        <v>0</v>
      </c>
      <c r="L999" s="57">
        <f t="shared" si="232"/>
        <v>0</v>
      </c>
    </row>
    <row r="1000" spans="1:12" x14ac:dyDescent="0.25">
      <c r="A1000" s="42" t="str" cm="1">
        <f t="array" ref="A1000">IFERROR(INDEX(_xlfn._xlws.FILTER(Class_Players!A:A,Class_Players!B:B="Engineer"),QUOTIENT(ROW()-ROW($A$2),12)+1),"")</f>
        <v>Jonny_Deathbox</v>
      </c>
      <c r="B1000" s="42" t="str">
        <f>_xlfn.XLOOKUP(A1000,Class_Players!$A:$A,Class_Players!$B:$B,"")</f>
        <v>Engineer</v>
      </c>
      <c r="C1000" s="42" t="str" cm="1">
        <f t="array" ref="C1000">INDEX(Lookups!$B$2:$B$13,MOD(ROW()-ROW($B$2),ROWS(Lookups!$B$2:$B$13))+1)</f>
        <v>RPG-7V2 (Unguided Rocket Launcher)</v>
      </c>
      <c r="D1000" s="38" t="str">
        <f>_xlfn.XLOOKUP(C1000,Analysis_Gadgets!$C:$C,Analysis_Gadgets!$B:$B)</f>
        <v>Gadget</v>
      </c>
      <c r="E1000" s="43">
        <v>2998</v>
      </c>
      <c r="F1000" s="43">
        <f>_xlfn.XLOOKUP(A1000,Class_Players!A:A,Class_Players!G:G)</f>
        <v>152</v>
      </c>
      <c r="G1000" s="43">
        <f t="shared" si="228"/>
        <v>19.723684210526315</v>
      </c>
      <c r="H1000" s="43">
        <f>_xlfn.XLOOKUP(A1000,Class_Players!$A:$A,Class_Players!$F:$F,"")</f>
        <v>7102</v>
      </c>
      <c r="I1000" s="44">
        <f t="shared" si="229"/>
        <v>0.4221346099690228</v>
      </c>
      <c r="J1000" s="43">
        <f t="shared" si="230"/>
        <v>1</v>
      </c>
      <c r="K1000" s="44" cm="1">
        <f t="array" ref="K1000">IF(D1000="Gadget",_xlfn.IFS(I1000&gt;=0.2,0.5,I1000&gt;=0.1,0.35,I1000&gt;=0.05,0.2,TRUE,0),IF(D1000="Grenade",_xlfn.IFS(I1000&gt;=0.2,1,I1000&gt;=0.1,0.7,I1000&gt;=0.05,0.4,TRUE,0),0))</f>
        <v>0.5</v>
      </c>
      <c r="L1000" s="57">
        <f t="shared" si="232"/>
        <v>0.5</v>
      </c>
    </row>
    <row r="1001" spans="1:12" x14ac:dyDescent="0.25">
      <c r="A1001" s="42" t="str" cm="1">
        <f t="array" ref="A1001">IFERROR(INDEX(_xlfn._xlws.FILTER(Class_Players!A:A,Class_Players!B:B="Engineer"),QUOTIENT(ROW()-ROW($A$2),12)+1),"")</f>
        <v>Jonny_Deathbox</v>
      </c>
      <c r="B1001" s="42" t="str">
        <f>_xlfn.XLOOKUP(A1001,Class_Players!$A:$A,Class_Players!$B:$B,"")</f>
        <v>Engineer</v>
      </c>
      <c r="C1001" s="42" t="str" cm="1">
        <f t="array" ref="C1001">INDEX(Lookups!$B$2:$B$13,MOD(ROW()-ROW($B$2),ROWS(Lookups!$B$2:$B$13))+1)</f>
        <v>MAS 148 (Long-Range Launcher)</v>
      </c>
      <c r="D1001" s="38" t="str">
        <f>_xlfn.XLOOKUP(C1001,Analysis_Gadgets!$C:$C,Analysis_Gadgets!$B:$B)</f>
        <v>Gadget</v>
      </c>
      <c r="E1001" s="43">
        <v>0</v>
      </c>
      <c r="F1001" s="43">
        <f>_xlfn.XLOOKUP(A1001,Class_Players!A:A,Class_Players!G:G)</f>
        <v>152</v>
      </c>
      <c r="G1001" s="43">
        <f t="shared" si="228"/>
        <v>0</v>
      </c>
      <c r="H1001" s="43">
        <f>_xlfn.XLOOKUP(A1001,Class_Players!$A:$A,Class_Players!$F:$F,"")</f>
        <v>7102</v>
      </c>
      <c r="I1001" s="44">
        <f t="shared" si="229"/>
        <v>0</v>
      </c>
      <c r="J1001" s="43">
        <f t="shared" si="230"/>
        <v>0</v>
      </c>
      <c r="K1001" s="44" cm="1">
        <f t="array" ref="K1001">IF(D1001="Gadget",_xlfn.IFS(I1001&gt;=0.2,0.5,I1001&gt;=0.1,0.35,I1001&gt;=0.05,0.2,TRUE,0),IF(D1001="Grenade",_xlfn.IFS(I1001&gt;=0.2,1,I1001&gt;=0.1,0.7,I1001&gt;=0.05,0.4,TRUE,0),0))</f>
        <v>0</v>
      </c>
      <c r="L1001" s="57">
        <f t="shared" si="232"/>
        <v>0</v>
      </c>
    </row>
    <row r="1002" spans="1:12" x14ac:dyDescent="0.25">
      <c r="A1002" s="42" t="str" cm="1">
        <f t="array" ref="A1002">IFERROR(INDEX(_xlfn._xlws.FILTER(Class_Players!A:A,Class_Players!B:B="Engineer"),QUOTIENT(ROW()-ROW($A$2),12)+1),"")</f>
        <v>Jonny_Deathbox</v>
      </c>
      <c r="B1002" s="42" t="str">
        <f>_xlfn.XLOOKUP(A1002,Class_Players!$A:$A,Class_Players!$B:$B,"")</f>
        <v>Engineer</v>
      </c>
      <c r="C1002" s="42" t="str" cm="1">
        <f t="array" ref="C1002">INDEX(Lookups!$B$2:$B$13,MOD(ROW()-ROW($B$2),ROWS(Lookups!$B$2:$B$13))+1)</f>
        <v>M136 AT (Aim-Guided Launcher)</v>
      </c>
      <c r="D1002" s="38" t="str">
        <f>_xlfn.XLOOKUP(C1002,Analysis_Gadgets!$C:$C,Analysis_Gadgets!$B:$B)</f>
        <v>Gadget</v>
      </c>
      <c r="E1002" s="43">
        <v>0</v>
      </c>
      <c r="F1002" s="43">
        <f>_xlfn.XLOOKUP(A1002,Class_Players!A:A,Class_Players!G:G)</f>
        <v>152</v>
      </c>
      <c r="G1002" s="43">
        <f t="shared" si="228"/>
        <v>0</v>
      </c>
      <c r="H1002" s="43">
        <f>_xlfn.XLOOKUP(A1002,Class_Players!$A:$A,Class_Players!$F:$F,"")</f>
        <v>7102</v>
      </c>
      <c r="I1002" s="44">
        <f t="shared" si="229"/>
        <v>0</v>
      </c>
      <c r="J1002" s="43">
        <f t="shared" si="230"/>
        <v>0</v>
      </c>
      <c r="K1002" s="44" cm="1">
        <f t="array" ref="K1002">IF(D1002="Gadget",_xlfn.IFS(I1002&gt;=0.2,0.5,I1002&gt;=0.1,0.35,I1002&gt;=0.05,0.2,TRUE,0),IF(D1002="Grenade",_xlfn.IFS(I1002&gt;=0.2,1,I1002&gt;=0.1,0.7,I1002&gt;=0.05,0.4,TRUE,0),0))</f>
        <v>0</v>
      </c>
      <c r="L1002" s="57">
        <f t="shared" si="232"/>
        <v>0</v>
      </c>
    </row>
    <row r="1003" spans="1:12" x14ac:dyDescent="0.25">
      <c r="A1003" s="42" t="str" cm="1">
        <f t="array" ref="A1003">IFERROR(INDEX(_xlfn._xlws.FILTER(Class_Players!A:A,Class_Players!B:B="Engineer"),QUOTIENT(ROW()-ROW($A$2),12)+1),"")</f>
        <v>Jonny_Deathbox</v>
      </c>
      <c r="B1003" s="42" t="str">
        <f>_xlfn.XLOOKUP(A1003,Class_Players!$A:$A,Class_Players!$B:$B,"")</f>
        <v>Engineer</v>
      </c>
      <c r="C1003" s="42" t="str" cm="1">
        <f t="array" ref="C1003">INDEX(Lookups!$B$2:$B$13,MOD(ROW()-ROW($B$2),ROWS(Lookups!$B$2:$B$13))+1)</f>
        <v>Supply Crate</v>
      </c>
      <c r="D1003" s="38" t="str">
        <f>_xlfn.XLOOKUP(C1003,Analysis_Gadgets!$C:$C,Analysis_Gadgets!$B:$B)</f>
        <v>Gadget</v>
      </c>
      <c r="E1003" s="43">
        <v>0</v>
      </c>
      <c r="F1003" s="43">
        <f>_xlfn.XLOOKUP(A1003,Class_Players!A:A,Class_Players!G:G)</f>
        <v>152</v>
      </c>
      <c r="G1003" s="43">
        <f t="shared" si="228"/>
        <v>0</v>
      </c>
      <c r="H1003" s="43">
        <f>_xlfn.XLOOKUP(A1003,Class_Players!$A:$A,Class_Players!$F:$F,"")</f>
        <v>7102</v>
      </c>
      <c r="I1003" s="44">
        <f t="shared" si="229"/>
        <v>0</v>
      </c>
      <c r="J1003" s="43">
        <f t="shared" si="230"/>
        <v>0</v>
      </c>
      <c r="K1003" s="44" cm="1">
        <f t="array" ref="K1003">IF(D1003="Gadget",_xlfn.IFS(I1003&gt;=0.2,0.5,I1003&gt;=0.1,0.35,I1003&gt;=0.05,0.2,TRUE,0),IF(D1003="Grenade",_xlfn.IFS(I1003&gt;=0.2,1,I1003&gt;=0.1,0.7,I1003&gt;=0.05,0.4,TRUE,0),0))</f>
        <v>0</v>
      </c>
      <c r="L1003" s="57">
        <f t="shared" si="232"/>
        <v>0</v>
      </c>
    </row>
    <row r="1004" spans="1:12" x14ac:dyDescent="0.25">
      <c r="A1004" s="42" t="str" cm="1">
        <f t="array" ref="A1004">IFERROR(INDEX(_xlfn._xlws.FILTER(Class_Players!A:A,Class_Players!B:B="Engineer"),QUOTIENT(ROW()-ROW($A$2),12)+1),"")</f>
        <v>Jonny_Deathbox</v>
      </c>
      <c r="B1004" s="42" t="str">
        <f>_xlfn.XLOOKUP(A1004,Class_Players!$A:$A,Class_Players!$B:$B,"")</f>
        <v>Engineer</v>
      </c>
      <c r="C1004" s="42" t="str" cm="1">
        <f t="array" ref="C1004">INDEX(Lookups!$B$2:$B$13,MOD(ROW()-ROW($B$2),ROWS(Lookups!$B$2:$B$13))+1)</f>
        <v>M15 (Anti-Vehicle Mine)</v>
      </c>
      <c r="D1004" s="38" t="str">
        <f>_xlfn.XLOOKUP(C1004,Analysis_Gadgets!$C:$C,Analysis_Gadgets!$B:$B)</f>
        <v>Gadget</v>
      </c>
      <c r="E1004" s="43">
        <v>2937</v>
      </c>
      <c r="F1004" s="43">
        <f>_xlfn.XLOOKUP(A1004,Class_Players!A:A,Class_Players!G:G)</f>
        <v>152</v>
      </c>
      <c r="G1004" s="43">
        <f t="shared" si="228"/>
        <v>19.32236842105263</v>
      </c>
      <c r="H1004" s="43">
        <f>_xlfn.XLOOKUP(A1004,Class_Players!$A:$A,Class_Players!$F:$F,"")</f>
        <v>7102</v>
      </c>
      <c r="I1004" s="44">
        <f t="shared" si="229"/>
        <v>0.41354548014643761</v>
      </c>
      <c r="J1004" s="43">
        <f t="shared" si="230"/>
        <v>1</v>
      </c>
      <c r="K1004" s="44" cm="1">
        <f t="array" ref="K1004">IF(D1004="Gadget",_xlfn.IFS(I1004&gt;=0.2,0.5,I1004&gt;=0.1,0.35,I1004&gt;=0.05,0.2,TRUE,0),IF(D1004="Grenade",_xlfn.IFS(I1004&gt;=0.2,1,I1004&gt;=0.1,0.7,I1004&gt;=0.05,0.4,TRUE,0),0))</f>
        <v>0.5</v>
      </c>
      <c r="L1004" s="57">
        <f t="shared" si="232"/>
        <v>0.5</v>
      </c>
    </row>
    <row r="1005" spans="1:12" x14ac:dyDescent="0.25">
      <c r="A1005" s="42" t="str" cm="1">
        <f t="array" ref="A1005">IFERROR(INDEX(_xlfn._xlws.FILTER(Class_Players!A:A,Class_Players!B:B="Engineer"),QUOTIENT(ROW()-ROW($A$2),12)+1),"")</f>
        <v>Jonny_Deathbox</v>
      </c>
      <c r="B1005" s="42" t="str">
        <f>_xlfn.XLOOKUP(A1005,Class_Players!$A:$A,Class_Players!$B:$B,"")</f>
        <v>Engineer</v>
      </c>
      <c r="C1005" s="42" t="str" cm="1">
        <f t="array" ref="C1005">INDEX(Lookups!$B$2:$B$13,MOD(ROW()-ROW($B$2),ROWS(Lookups!$B$2:$B$13))+1)</f>
        <v>PTKM-1R (Acoustic Sensor AV Mine)</v>
      </c>
      <c r="D1005" s="38" t="str">
        <f>_xlfn.XLOOKUP(C1005,Analysis_Gadgets!$C:$C,Analysis_Gadgets!$B:$B)</f>
        <v>Gadget</v>
      </c>
      <c r="E1005" s="43">
        <v>3</v>
      </c>
      <c r="F1005" s="43">
        <f>_xlfn.XLOOKUP(A1005,Class_Players!A:A,Class_Players!G:G)</f>
        <v>152</v>
      </c>
      <c r="G1005" s="43">
        <f t="shared" si="228"/>
        <v>1.9736842105263157E-2</v>
      </c>
      <c r="H1005" s="43">
        <f>_xlfn.XLOOKUP(A1005,Class_Players!$A:$A,Class_Players!$F:$F,"")</f>
        <v>7102</v>
      </c>
      <c r="I1005" s="44">
        <f t="shared" si="229"/>
        <v>4.2241622078287804E-4</v>
      </c>
      <c r="J1005" s="43">
        <f t="shared" si="230"/>
        <v>0</v>
      </c>
      <c r="K1005" s="44" cm="1">
        <f t="array" ref="K1005">IF(D1005="Gadget",_xlfn.IFS(I1005&gt;=0.2,0.5,I1005&gt;=0.1,0.35,I1005&gt;=0.05,0.2,TRUE,0),IF(D1005="Grenade",_xlfn.IFS(I1005&gt;=0.2,1,I1005&gt;=0.1,0.7,I1005&gt;=0.05,0.4,TRUE,0),0))</f>
        <v>0</v>
      </c>
      <c r="L1005" s="57">
        <f t="shared" si="232"/>
        <v>0</v>
      </c>
    </row>
    <row r="1006" spans="1:12" x14ac:dyDescent="0.25">
      <c r="A1006" s="42" t="str" cm="1">
        <f t="array" ref="A1006">IFERROR(INDEX(_xlfn._xlws.FILTER(Class_Players!A:A,Class_Players!B:B="Engineer"),QUOTIENT(ROW()-ROW($A$2),12)+1),"")</f>
        <v>Jonny_Deathbox</v>
      </c>
      <c r="B1006" s="42" t="str">
        <f>_xlfn.XLOOKUP(A1006,Class_Players!$A:$A,Class_Players!$B:$B,"")</f>
        <v>Engineer</v>
      </c>
      <c r="C1006" s="42" t="str" cm="1">
        <f t="array" ref="C1006">INDEX(Lookups!$B$2:$B$13,MOD(ROW()-ROW($B$2),ROWS(Lookups!$B$2:$B$13))+1)</f>
        <v>EOD Bot</v>
      </c>
      <c r="D1006" s="38" t="str">
        <f>_xlfn.XLOOKUP(C1006,Analysis_Gadgets!$C:$C,Analysis_Gadgets!$B:$B)</f>
        <v>Gadget</v>
      </c>
      <c r="E1006" s="43">
        <v>0</v>
      </c>
      <c r="F1006" s="43">
        <f>_xlfn.XLOOKUP(A1006,Class_Players!A:A,Class_Players!G:G)</f>
        <v>152</v>
      </c>
      <c r="G1006" s="43">
        <f t="shared" si="228"/>
        <v>0</v>
      </c>
      <c r="H1006" s="43">
        <f>_xlfn.XLOOKUP(A1006,Class_Players!$A:$A,Class_Players!$F:$F,"")</f>
        <v>7102</v>
      </c>
      <c r="I1006" s="44">
        <f t="shared" si="229"/>
        <v>0</v>
      </c>
      <c r="J1006" s="43">
        <f t="shared" si="230"/>
        <v>0</v>
      </c>
      <c r="K1006" s="44" cm="1">
        <f t="array" ref="K1006">IF(D1006="Gadget",_xlfn.IFS(I1006&gt;=0.2,0.5,I1006&gt;=0.1,0.35,I1006&gt;=0.05,0.2,TRUE,0),IF(D1006="Grenade",_xlfn.IFS(I1006&gt;=0.2,1,I1006&gt;=0.1,0.7,I1006&gt;=0.05,0.4,TRUE,0),0))</f>
        <v>0</v>
      </c>
      <c r="L1006" s="57">
        <f t="shared" si="232"/>
        <v>0</v>
      </c>
    </row>
    <row r="1007" spans="1:12" x14ac:dyDescent="0.25">
      <c r="A1007" s="42" t="str" cm="1">
        <f t="array" ref="A1007">IFERROR(INDEX(_xlfn._xlws.FILTER(Class_Players!A:A,Class_Players!B:B="Engineer"),QUOTIENT(ROW()-ROW($A$2),12)+1),"")</f>
        <v>Jonny_Deathbox</v>
      </c>
      <c r="B1007" s="42" t="str">
        <f>_xlfn.XLOOKUP(A1007,Class_Players!$A:$A,Class_Players!$B:$B,"")</f>
        <v>Engineer</v>
      </c>
      <c r="C1007" s="42" t="str" cm="1">
        <f t="array" ref="C1007">INDEX(Lookups!$B$2:$B$13,MOD(ROW()-ROW($B$2),ROWS(Lookups!$B$2:$B$13))+1)</f>
        <v>M4A1 SLAM (Tripwire Sensor AV Mine)</v>
      </c>
      <c r="D1007" s="38" t="str">
        <f>_xlfn.XLOOKUP(C1007,Analysis_Gadgets!$C:$C,Analysis_Gadgets!$B:$B)</f>
        <v>Gadget</v>
      </c>
      <c r="E1007" s="43">
        <v>0</v>
      </c>
      <c r="F1007" s="43">
        <f>_xlfn.XLOOKUP(A1007,Class_Players!A:A,Class_Players!G:G)</f>
        <v>152</v>
      </c>
      <c r="G1007" s="43">
        <f t="shared" si="228"/>
        <v>0</v>
      </c>
      <c r="H1007" s="43">
        <f>_xlfn.XLOOKUP(A1007,Class_Players!$A:$A,Class_Players!$F:$F,"")</f>
        <v>7102</v>
      </c>
      <c r="I1007" s="44">
        <f t="shared" si="229"/>
        <v>0</v>
      </c>
      <c r="J1007" s="43">
        <f t="shared" si="230"/>
        <v>0</v>
      </c>
      <c r="K1007" s="44" cm="1">
        <f t="array" ref="K1007">IF(D1007="Gadget",_xlfn.IFS(I1007&gt;=0.2,0.5,I1007&gt;=0.1,0.35,I1007&gt;=0.05,0.2,TRUE,0),IF(D1007="Grenade",_xlfn.IFS(I1007&gt;=0.2,1,I1007&gt;=0.1,0.7,I1007&gt;=0.05,0.4,TRUE,0),0))</f>
        <v>0</v>
      </c>
      <c r="L1007" s="57">
        <f t="shared" si="232"/>
        <v>0</v>
      </c>
    </row>
    <row r="1008" spans="1:12" x14ac:dyDescent="0.25">
      <c r="A1008" s="42" t="str" cm="1">
        <f t="array" ref="A1008">IFERROR(INDEX(_xlfn._xlws.FILTER(Class_Players!A:A,Class_Players!B:B="Engineer"),QUOTIENT(ROW()-ROW($A$2),12)+1),"")</f>
        <v>Jonny_Deathbox</v>
      </c>
      <c r="B1008" s="42" t="str">
        <f>_xlfn.XLOOKUP(A1008,Class_Players!$A:$A,Class_Players!$B:$B,"")</f>
        <v>Engineer</v>
      </c>
      <c r="C1008" s="42" t="str" cm="1">
        <f t="array" ref="C1008">INDEX(Lookups!$B$2:$B$13,MOD(ROW()-ROW($B$2),ROWS(Lookups!$B$2:$B$13))+1)</f>
        <v>Mini Frag Grenade</v>
      </c>
      <c r="D1008" s="38" t="str">
        <f>_xlfn.XLOOKUP(C1008,Analysis_Gadgets!$C:$C,Analysis_Gadgets!$B:$B)</f>
        <v>Grenade</v>
      </c>
      <c r="E1008" s="43">
        <v>2</v>
      </c>
      <c r="F1008" s="43">
        <f>_xlfn.XLOOKUP(A1008,Class_Players!A:A,Class_Players!G:G)</f>
        <v>152</v>
      </c>
      <c r="G1008" s="43">
        <f t="shared" si="228"/>
        <v>1.3157894736842105E-2</v>
      </c>
      <c r="H1008" s="43">
        <f>_xlfn.XLOOKUP(A1008,Class_Players!$A:$A,Class_Players!$F:$F,"")</f>
        <v>7102</v>
      </c>
      <c r="I1008" s="44">
        <f t="shared" si="229"/>
        <v>2.8161081385525203E-4</v>
      </c>
      <c r="J1008" s="43">
        <f t="shared" si="230"/>
        <v>0</v>
      </c>
      <c r="K1008" s="44" cm="1">
        <f t="array" ref="K1008">IF(D1008="Gadget",_xlfn.IFS(I1008&gt;=0.2,0.5,I1008&gt;=0.1,0.35,I1008&gt;=0.05,0.2,TRUE,0),IF(D1008="Grenade",_xlfn.IFS(I1008&gt;=0.2,1,I1008&gt;=0.1,0.7,I1008&gt;=0.05,0.4,TRUE,0),0))</f>
        <v>0</v>
      </c>
      <c r="L1008" s="57">
        <f t="shared" ref="L1008:L1009" si="233">IF($K1008=0,0,$K1008 / SUMIFS($K:$K,$A:$A,$A1008,$D:$D,"Grenade"))</f>
        <v>0</v>
      </c>
    </row>
    <row r="1009" spans="1:12" x14ac:dyDescent="0.25">
      <c r="A1009" s="42" t="str" cm="1">
        <f t="array" ref="A1009">IFERROR(INDEX(_xlfn._xlws.FILTER(Class_Players!A:A,Class_Players!B:B="Engineer"),QUOTIENT(ROW()-ROW($A$2),12)+1),"")</f>
        <v>Jonny_Deathbox</v>
      </c>
      <c r="B1009" s="42" t="str">
        <f>_xlfn.XLOOKUP(A1009,Class_Players!$A:$A,Class_Players!$B:$B,"")</f>
        <v>Engineer</v>
      </c>
      <c r="C1009" s="42" t="str" cm="1">
        <f t="array" ref="C1009">INDEX(Lookups!$B$2:$B$13,MOD(ROW()-ROW($B$2),ROWS(Lookups!$B$2:$B$13))+1)</f>
        <v>Anti-Vehicle Grenade</v>
      </c>
      <c r="D1009" s="38" t="str">
        <f>_xlfn.XLOOKUP(C1009,Analysis_Gadgets!$C:$C,Analysis_Gadgets!$B:$B)</f>
        <v>Grenade</v>
      </c>
      <c r="E1009" s="43">
        <v>0</v>
      </c>
      <c r="F1009" s="43">
        <f>_xlfn.XLOOKUP(A1009,Class_Players!A:A,Class_Players!G:G)</f>
        <v>152</v>
      </c>
      <c r="G1009" s="43">
        <f t="shared" si="228"/>
        <v>0</v>
      </c>
      <c r="H1009" s="43">
        <f>_xlfn.XLOOKUP(A1009,Class_Players!$A:$A,Class_Players!$F:$F,"")</f>
        <v>7102</v>
      </c>
      <c r="I1009" s="44">
        <f t="shared" si="229"/>
        <v>0</v>
      </c>
      <c r="J1009" s="43">
        <f t="shared" si="230"/>
        <v>0</v>
      </c>
      <c r="K1009" s="44" cm="1">
        <f t="array" ref="K1009">IF(D1009="Gadget",_xlfn.IFS(I1009&gt;=0.2,0.5,I1009&gt;=0.1,0.35,I1009&gt;=0.05,0.2,TRUE,0),IF(D1009="Grenade",_xlfn.IFS(I1009&gt;=0.2,1,I1009&gt;=0.1,0.7,I1009&gt;=0.05,0.4,TRUE,0),0))</f>
        <v>0</v>
      </c>
      <c r="L1009" s="57">
        <f t="shared" si="233"/>
        <v>0</v>
      </c>
    </row>
    <row r="1010" spans="1:12" x14ac:dyDescent="0.25">
      <c r="A1010" s="42" t="str" cm="1">
        <f t="array" ref="A1010">IFERROR(INDEX(_xlfn._xlws.FILTER(Class_Players!A:A,Class_Players!B:B="Engineer"),QUOTIENT(ROW()-ROW($A$2),12)+1),"")</f>
        <v>ChaosReigns143</v>
      </c>
      <c r="B1010" s="42" t="str">
        <f>_xlfn.XLOOKUP(A1010,Class_Players!$A:$A,Class_Players!$B:$B,"")</f>
        <v>Engineer</v>
      </c>
      <c r="C1010" s="42" t="str" cm="1">
        <f t="array" ref="C1010">INDEX(Lookups!$B$2:$B$13,MOD(ROW()-ROW($B$2),ROWS(Lookups!$B$2:$B$13))+1)</f>
        <v>MBT-LAW (Auto-Guided Launcher)</v>
      </c>
      <c r="D1010" s="38" t="str">
        <f>_xlfn.XLOOKUP(C1010,Analysis_Gadgets!$C:$C,Analysis_Gadgets!$B:$B)</f>
        <v>Gadget</v>
      </c>
      <c r="E1010" s="43">
        <v>0</v>
      </c>
      <c r="F1010" s="43">
        <f>_xlfn.XLOOKUP(A1010,Class_Players!A:A,Class_Players!G:G)</f>
        <v>210</v>
      </c>
      <c r="G1010" s="43">
        <f t="shared" si="228"/>
        <v>0</v>
      </c>
      <c r="H1010" s="43">
        <f>_xlfn.XLOOKUP(A1010,Class_Players!$A:$A,Class_Players!$F:$F,"")</f>
        <v>7264</v>
      </c>
      <c r="I1010" s="44">
        <f t="shared" si="229"/>
        <v>0</v>
      </c>
      <c r="J1010" s="43">
        <f t="shared" si="230"/>
        <v>0</v>
      </c>
      <c r="K1010" s="44" cm="1">
        <f t="array" ref="K1010">IF(D1010="Gadget",_xlfn.IFS(I1010&gt;=0.2,0.5,I1010&gt;=0.1,0.35,I1010&gt;=0.05,0.2,TRUE,0),IF(D1010="Grenade",_xlfn.IFS(I1010&gt;=0.2,1,I1010&gt;=0.1,0.7,I1010&gt;=0.05,0.4,TRUE,0),0))</f>
        <v>0</v>
      </c>
      <c r="L1010" s="57">
        <f t="shared" ref="L1010:L1019" si="234">IF($K1010=0,0,$K1010 / SUMIFS($K:$K,$A:$A,$A1010,$D:$D,"Gadget"))</f>
        <v>0</v>
      </c>
    </row>
    <row r="1011" spans="1:12" x14ac:dyDescent="0.25">
      <c r="A1011" s="42" t="str" cm="1">
        <f t="array" ref="A1011">IFERROR(INDEX(_xlfn._xlws.FILTER(Class_Players!A:A,Class_Players!B:B="Engineer"),QUOTIENT(ROW()-ROW($A$2),12)+1),"")</f>
        <v>ChaosReigns143</v>
      </c>
      <c r="B1011" s="42" t="str">
        <f>_xlfn.XLOOKUP(A1011,Class_Players!$A:$A,Class_Players!$B:$B,"")</f>
        <v>Engineer</v>
      </c>
      <c r="C1011" s="42" t="str" cm="1">
        <f t="array" ref="C1011">INDEX(Lookups!$B$2:$B$13,MOD(ROW()-ROW($B$2),ROWS(Lookups!$B$2:$B$13))+1)</f>
        <v>SLM-93A (Air-Defense Launcher)</v>
      </c>
      <c r="D1011" s="38" t="str">
        <f>_xlfn.XLOOKUP(C1011,Analysis_Gadgets!$C:$C,Analysis_Gadgets!$B:$B)</f>
        <v>Gadget</v>
      </c>
      <c r="E1011" s="43">
        <v>208</v>
      </c>
      <c r="F1011" s="43">
        <f>_xlfn.XLOOKUP(A1011,Class_Players!A:A,Class_Players!G:G)</f>
        <v>210</v>
      </c>
      <c r="G1011" s="43">
        <f t="shared" si="228"/>
        <v>0.99047619047619051</v>
      </c>
      <c r="H1011" s="43">
        <f>_xlfn.XLOOKUP(A1011,Class_Players!$A:$A,Class_Players!$F:$F,"")</f>
        <v>7264</v>
      </c>
      <c r="I1011" s="44">
        <f t="shared" si="229"/>
        <v>2.8634361233480177E-2</v>
      </c>
      <c r="J1011" s="43">
        <f t="shared" si="230"/>
        <v>0</v>
      </c>
      <c r="K1011" s="44" cm="1">
        <f t="array" ref="K1011">IF(D1011="Gadget",_xlfn.IFS(I1011&gt;=0.2,0.5,I1011&gt;=0.1,0.35,I1011&gt;=0.05,0.2,TRUE,0),IF(D1011="Grenade",_xlfn.IFS(I1011&gt;=0.2,1,I1011&gt;=0.1,0.7,I1011&gt;=0.05,0.4,TRUE,0),0))</f>
        <v>0</v>
      </c>
      <c r="L1011" s="57">
        <f t="shared" si="234"/>
        <v>0</v>
      </c>
    </row>
    <row r="1012" spans="1:12" x14ac:dyDescent="0.25">
      <c r="A1012" s="42" t="str" cm="1">
        <f t="array" ref="A1012">IFERROR(INDEX(_xlfn._xlws.FILTER(Class_Players!A:A,Class_Players!B:B="Engineer"),QUOTIENT(ROW()-ROW($A$2),12)+1),"")</f>
        <v>ChaosReigns143</v>
      </c>
      <c r="B1012" s="42" t="str">
        <f>_xlfn.XLOOKUP(A1012,Class_Players!$A:$A,Class_Players!$B:$B,"")</f>
        <v>Engineer</v>
      </c>
      <c r="C1012" s="42" t="str" cm="1">
        <f t="array" ref="C1012">INDEX(Lookups!$B$2:$B$13,MOD(ROW()-ROW($B$2),ROWS(Lookups!$B$2:$B$13))+1)</f>
        <v>RPG-7V2 (Unguided Rocket Launcher)</v>
      </c>
      <c r="D1012" s="38" t="str">
        <f>_xlfn.XLOOKUP(C1012,Analysis_Gadgets!$C:$C,Analysis_Gadgets!$B:$B)</f>
        <v>Gadget</v>
      </c>
      <c r="E1012" s="43">
        <v>5466</v>
      </c>
      <c r="F1012" s="43">
        <f>_xlfn.XLOOKUP(A1012,Class_Players!A:A,Class_Players!G:G)</f>
        <v>210</v>
      </c>
      <c r="G1012" s="43">
        <f t="shared" si="228"/>
        <v>26.028571428571428</v>
      </c>
      <c r="H1012" s="43">
        <f>_xlfn.XLOOKUP(A1012,Class_Players!$A:$A,Class_Players!$F:$F,"")</f>
        <v>7264</v>
      </c>
      <c r="I1012" s="44">
        <f t="shared" si="229"/>
        <v>0.75247797356828194</v>
      </c>
      <c r="J1012" s="43">
        <f t="shared" si="230"/>
        <v>1</v>
      </c>
      <c r="K1012" s="44" cm="1">
        <f t="array" ref="K1012">IF(D1012="Gadget",_xlfn.IFS(I1012&gt;=0.2,0.5,I1012&gt;=0.1,0.35,I1012&gt;=0.05,0.2,TRUE,0),IF(D1012="Grenade",_xlfn.IFS(I1012&gt;=0.2,1,I1012&gt;=0.1,0.7,I1012&gt;=0.05,0.4,TRUE,0),0))</f>
        <v>0.5</v>
      </c>
      <c r="L1012" s="57">
        <f t="shared" si="234"/>
        <v>0.41666666666666669</v>
      </c>
    </row>
    <row r="1013" spans="1:12" x14ac:dyDescent="0.25">
      <c r="A1013" s="42" t="str" cm="1">
        <f t="array" ref="A1013">IFERROR(INDEX(_xlfn._xlws.FILTER(Class_Players!A:A,Class_Players!B:B="Engineer"),QUOTIENT(ROW()-ROW($A$2),12)+1),"")</f>
        <v>ChaosReigns143</v>
      </c>
      <c r="B1013" s="42" t="str">
        <f>_xlfn.XLOOKUP(A1013,Class_Players!$A:$A,Class_Players!$B:$B,"")</f>
        <v>Engineer</v>
      </c>
      <c r="C1013" s="42" t="str" cm="1">
        <f t="array" ref="C1013">INDEX(Lookups!$B$2:$B$13,MOD(ROW()-ROW($B$2),ROWS(Lookups!$B$2:$B$13))+1)</f>
        <v>MAS 148 (Long-Range Launcher)</v>
      </c>
      <c r="D1013" s="38" t="str">
        <f>_xlfn.XLOOKUP(C1013,Analysis_Gadgets!$C:$C,Analysis_Gadgets!$B:$B)</f>
        <v>Gadget</v>
      </c>
      <c r="E1013" s="43">
        <v>22</v>
      </c>
      <c r="F1013" s="43">
        <f>_xlfn.XLOOKUP(A1013,Class_Players!A:A,Class_Players!G:G)</f>
        <v>210</v>
      </c>
      <c r="G1013" s="43">
        <f t="shared" si="228"/>
        <v>0.10476190476190476</v>
      </c>
      <c r="H1013" s="43">
        <f>_xlfn.XLOOKUP(A1013,Class_Players!$A:$A,Class_Players!$F:$F,"")</f>
        <v>7264</v>
      </c>
      <c r="I1013" s="44">
        <f t="shared" si="229"/>
        <v>3.0286343612334803E-3</v>
      </c>
      <c r="J1013" s="43">
        <f t="shared" si="230"/>
        <v>0</v>
      </c>
      <c r="K1013" s="44" cm="1">
        <f t="array" ref="K1013">IF(D1013="Gadget",_xlfn.IFS(I1013&gt;=0.2,0.5,I1013&gt;=0.1,0.35,I1013&gt;=0.05,0.2,TRUE,0),IF(D1013="Grenade",_xlfn.IFS(I1013&gt;=0.2,1,I1013&gt;=0.1,0.7,I1013&gt;=0.05,0.4,TRUE,0),0))</f>
        <v>0</v>
      </c>
      <c r="L1013" s="57">
        <f t="shared" si="234"/>
        <v>0</v>
      </c>
    </row>
    <row r="1014" spans="1:12" x14ac:dyDescent="0.25">
      <c r="A1014" s="42" t="str" cm="1">
        <f t="array" ref="A1014">IFERROR(INDEX(_xlfn._xlws.FILTER(Class_Players!A:A,Class_Players!B:B="Engineer"),QUOTIENT(ROW()-ROW($A$2),12)+1),"")</f>
        <v>ChaosReigns143</v>
      </c>
      <c r="B1014" s="42" t="str">
        <f>_xlfn.XLOOKUP(A1014,Class_Players!$A:$A,Class_Players!$B:$B,"")</f>
        <v>Engineer</v>
      </c>
      <c r="C1014" s="42" t="str" cm="1">
        <f t="array" ref="C1014">INDEX(Lookups!$B$2:$B$13,MOD(ROW()-ROW($B$2),ROWS(Lookups!$B$2:$B$13))+1)</f>
        <v>M136 AT (Aim-Guided Launcher)</v>
      </c>
      <c r="D1014" s="38" t="str">
        <f>_xlfn.XLOOKUP(C1014,Analysis_Gadgets!$C:$C,Analysis_Gadgets!$B:$B)</f>
        <v>Gadget</v>
      </c>
      <c r="E1014" s="43">
        <v>634</v>
      </c>
      <c r="F1014" s="43">
        <f>_xlfn.XLOOKUP(A1014,Class_Players!A:A,Class_Players!G:G)</f>
        <v>210</v>
      </c>
      <c r="G1014" s="43">
        <f t="shared" si="228"/>
        <v>3.019047619047619</v>
      </c>
      <c r="H1014" s="43">
        <f>_xlfn.XLOOKUP(A1014,Class_Players!$A:$A,Class_Players!$F:$F,"")</f>
        <v>7264</v>
      </c>
      <c r="I1014" s="44">
        <f t="shared" si="229"/>
        <v>8.7279735682819382E-2</v>
      </c>
      <c r="J1014" s="43">
        <f t="shared" si="230"/>
        <v>0</v>
      </c>
      <c r="K1014" s="44" cm="1">
        <f t="array" ref="K1014">IF(D1014="Gadget",_xlfn.IFS(I1014&gt;=0.2,0.5,I1014&gt;=0.1,0.35,I1014&gt;=0.05,0.2,TRUE,0),IF(D1014="Grenade",_xlfn.IFS(I1014&gt;=0.2,1,I1014&gt;=0.1,0.7,I1014&gt;=0.05,0.4,TRUE,0),0))</f>
        <v>0.2</v>
      </c>
      <c r="L1014" s="57">
        <f t="shared" si="234"/>
        <v>0.16666666666666669</v>
      </c>
    </row>
    <row r="1015" spans="1:12" x14ac:dyDescent="0.25">
      <c r="A1015" s="42" t="str" cm="1">
        <f t="array" ref="A1015">IFERROR(INDEX(_xlfn._xlws.FILTER(Class_Players!A:A,Class_Players!B:B="Engineer"),QUOTIENT(ROW()-ROW($A$2),12)+1),"")</f>
        <v>ChaosReigns143</v>
      </c>
      <c r="B1015" s="42" t="str">
        <f>_xlfn.XLOOKUP(A1015,Class_Players!$A:$A,Class_Players!$B:$B,"")</f>
        <v>Engineer</v>
      </c>
      <c r="C1015" s="42" t="str" cm="1">
        <f t="array" ref="C1015">INDEX(Lookups!$B$2:$B$13,MOD(ROW()-ROW($B$2),ROWS(Lookups!$B$2:$B$13))+1)</f>
        <v>Supply Crate</v>
      </c>
      <c r="D1015" s="38" t="str">
        <f>_xlfn.XLOOKUP(C1015,Analysis_Gadgets!$C:$C,Analysis_Gadgets!$B:$B)</f>
        <v>Gadget</v>
      </c>
      <c r="E1015" s="43">
        <v>26</v>
      </c>
      <c r="F1015" s="43">
        <f>_xlfn.XLOOKUP(A1015,Class_Players!A:A,Class_Players!G:G)</f>
        <v>210</v>
      </c>
      <c r="G1015" s="43">
        <f t="shared" si="228"/>
        <v>0.12380952380952381</v>
      </c>
      <c r="H1015" s="43">
        <f>_xlfn.XLOOKUP(A1015,Class_Players!$A:$A,Class_Players!$F:$F,"")</f>
        <v>7264</v>
      </c>
      <c r="I1015" s="44">
        <f t="shared" si="229"/>
        <v>3.5792951541850221E-3</v>
      </c>
      <c r="J1015" s="43">
        <f t="shared" si="230"/>
        <v>0</v>
      </c>
      <c r="K1015" s="44" cm="1">
        <f t="array" ref="K1015">IF(D1015="Gadget",_xlfn.IFS(I1015&gt;=0.2,0.5,I1015&gt;=0.1,0.35,I1015&gt;=0.05,0.2,TRUE,0),IF(D1015="Grenade",_xlfn.IFS(I1015&gt;=0.2,1,I1015&gt;=0.1,0.7,I1015&gt;=0.05,0.4,TRUE,0),0))</f>
        <v>0</v>
      </c>
      <c r="L1015" s="57">
        <f t="shared" si="234"/>
        <v>0</v>
      </c>
    </row>
    <row r="1016" spans="1:12" x14ac:dyDescent="0.25">
      <c r="A1016" s="42" t="str" cm="1">
        <f t="array" ref="A1016">IFERROR(INDEX(_xlfn._xlws.FILTER(Class_Players!A:A,Class_Players!B:B="Engineer"),QUOTIENT(ROW()-ROW($A$2),12)+1),"")</f>
        <v>ChaosReigns143</v>
      </c>
      <c r="B1016" s="42" t="str">
        <f>_xlfn.XLOOKUP(A1016,Class_Players!$A:$A,Class_Players!$B:$B,"")</f>
        <v>Engineer</v>
      </c>
      <c r="C1016" s="42" t="str" cm="1">
        <f t="array" ref="C1016">INDEX(Lookups!$B$2:$B$13,MOD(ROW()-ROW($B$2),ROWS(Lookups!$B$2:$B$13))+1)</f>
        <v>M15 (Anti-Vehicle Mine)</v>
      </c>
      <c r="D1016" s="38" t="str">
        <f>_xlfn.XLOOKUP(C1016,Analysis_Gadgets!$C:$C,Analysis_Gadgets!$B:$B)</f>
        <v>Gadget</v>
      </c>
      <c r="E1016" s="43">
        <v>1521</v>
      </c>
      <c r="F1016" s="43">
        <f>_xlfn.XLOOKUP(A1016,Class_Players!A:A,Class_Players!G:G)</f>
        <v>210</v>
      </c>
      <c r="G1016" s="43">
        <f t="shared" si="228"/>
        <v>7.2428571428571429</v>
      </c>
      <c r="H1016" s="43">
        <f>_xlfn.XLOOKUP(A1016,Class_Players!$A:$A,Class_Players!$F:$F,"")</f>
        <v>7264</v>
      </c>
      <c r="I1016" s="44">
        <f t="shared" si="229"/>
        <v>0.2093887665198238</v>
      </c>
      <c r="J1016" s="43">
        <f t="shared" si="230"/>
        <v>1</v>
      </c>
      <c r="K1016" s="44" cm="1">
        <f t="array" ref="K1016">IF(D1016="Gadget",_xlfn.IFS(I1016&gt;=0.2,0.5,I1016&gt;=0.1,0.35,I1016&gt;=0.05,0.2,TRUE,0),IF(D1016="Grenade",_xlfn.IFS(I1016&gt;=0.2,1,I1016&gt;=0.1,0.7,I1016&gt;=0.05,0.4,TRUE,0),0))</f>
        <v>0.5</v>
      </c>
      <c r="L1016" s="57">
        <f t="shared" si="234"/>
        <v>0.41666666666666669</v>
      </c>
    </row>
    <row r="1017" spans="1:12" x14ac:dyDescent="0.25">
      <c r="A1017" s="42" t="str" cm="1">
        <f t="array" ref="A1017">IFERROR(INDEX(_xlfn._xlws.FILTER(Class_Players!A:A,Class_Players!B:B="Engineer"),QUOTIENT(ROW()-ROW($A$2),12)+1),"")</f>
        <v>ChaosReigns143</v>
      </c>
      <c r="B1017" s="42" t="str">
        <f>_xlfn.XLOOKUP(A1017,Class_Players!$A:$A,Class_Players!$B:$B,"")</f>
        <v>Engineer</v>
      </c>
      <c r="C1017" s="42" t="str" cm="1">
        <f t="array" ref="C1017">INDEX(Lookups!$B$2:$B$13,MOD(ROW()-ROW($B$2),ROWS(Lookups!$B$2:$B$13))+1)</f>
        <v>PTKM-1R (Acoustic Sensor AV Mine)</v>
      </c>
      <c r="D1017" s="38" t="str">
        <f>_xlfn.XLOOKUP(C1017,Analysis_Gadgets!$C:$C,Analysis_Gadgets!$B:$B)</f>
        <v>Gadget</v>
      </c>
      <c r="E1017" s="43">
        <v>359</v>
      </c>
      <c r="F1017" s="43">
        <f>_xlfn.XLOOKUP(A1017,Class_Players!A:A,Class_Players!G:G)</f>
        <v>210</v>
      </c>
      <c r="G1017" s="43">
        <f t="shared" si="228"/>
        <v>1.7095238095238094</v>
      </c>
      <c r="H1017" s="43">
        <f>_xlfn.XLOOKUP(A1017,Class_Players!$A:$A,Class_Players!$F:$F,"")</f>
        <v>7264</v>
      </c>
      <c r="I1017" s="44">
        <f t="shared" si="229"/>
        <v>4.9421806167400884E-2</v>
      </c>
      <c r="J1017" s="43">
        <f t="shared" si="230"/>
        <v>0</v>
      </c>
      <c r="K1017" s="44" cm="1">
        <f t="array" ref="K1017">IF(D1017="Gadget",_xlfn.IFS(I1017&gt;=0.2,0.5,I1017&gt;=0.1,0.35,I1017&gt;=0.05,0.2,TRUE,0),IF(D1017="Grenade",_xlfn.IFS(I1017&gt;=0.2,1,I1017&gt;=0.1,0.7,I1017&gt;=0.05,0.4,TRUE,0),0))</f>
        <v>0</v>
      </c>
      <c r="L1017" s="57">
        <f t="shared" si="234"/>
        <v>0</v>
      </c>
    </row>
    <row r="1018" spans="1:12" x14ac:dyDescent="0.25">
      <c r="A1018" s="42" t="str" cm="1">
        <f t="array" ref="A1018">IFERROR(INDEX(_xlfn._xlws.FILTER(Class_Players!A:A,Class_Players!B:B="Engineer"),QUOTIENT(ROW()-ROW($A$2),12)+1),"")</f>
        <v>ChaosReigns143</v>
      </c>
      <c r="B1018" s="42" t="str">
        <f>_xlfn.XLOOKUP(A1018,Class_Players!$A:$A,Class_Players!$B:$B,"")</f>
        <v>Engineer</v>
      </c>
      <c r="C1018" s="42" t="str" cm="1">
        <f t="array" ref="C1018">INDEX(Lookups!$B$2:$B$13,MOD(ROW()-ROW($B$2),ROWS(Lookups!$B$2:$B$13))+1)</f>
        <v>EOD Bot</v>
      </c>
      <c r="D1018" s="38" t="str">
        <f>_xlfn.XLOOKUP(C1018,Analysis_Gadgets!$C:$C,Analysis_Gadgets!$B:$B)</f>
        <v>Gadget</v>
      </c>
      <c r="E1018" s="43">
        <v>0</v>
      </c>
      <c r="F1018" s="43">
        <f>_xlfn.XLOOKUP(A1018,Class_Players!A:A,Class_Players!G:G)</f>
        <v>210</v>
      </c>
      <c r="G1018" s="43">
        <f t="shared" si="228"/>
        <v>0</v>
      </c>
      <c r="H1018" s="43">
        <f>_xlfn.XLOOKUP(A1018,Class_Players!$A:$A,Class_Players!$F:$F,"")</f>
        <v>7264</v>
      </c>
      <c r="I1018" s="44">
        <f t="shared" si="229"/>
        <v>0</v>
      </c>
      <c r="J1018" s="43">
        <f t="shared" si="230"/>
        <v>0</v>
      </c>
      <c r="K1018" s="44" cm="1">
        <f t="array" ref="K1018">IF(D1018="Gadget",_xlfn.IFS(I1018&gt;=0.2,0.5,I1018&gt;=0.1,0.35,I1018&gt;=0.05,0.2,TRUE,0),IF(D1018="Grenade",_xlfn.IFS(I1018&gt;=0.2,1,I1018&gt;=0.1,0.7,I1018&gt;=0.05,0.4,TRUE,0),0))</f>
        <v>0</v>
      </c>
      <c r="L1018" s="57">
        <f t="shared" si="234"/>
        <v>0</v>
      </c>
    </row>
    <row r="1019" spans="1:12" x14ac:dyDescent="0.25">
      <c r="A1019" s="42" t="str" cm="1">
        <f t="array" ref="A1019">IFERROR(INDEX(_xlfn._xlws.FILTER(Class_Players!A:A,Class_Players!B:B="Engineer"),QUOTIENT(ROW()-ROW($A$2),12)+1),"")</f>
        <v>ChaosReigns143</v>
      </c>
      <c r="B1019" s="42" t="str">
        <f>_xlfn.XLOOKUP(A1019,Class_Players!$A:$A,Class_Players!$B:$B,"")</f>
        <v>Engineer</v>
      </c>
      <c r="C1019" s="42" t="str" cm="1">
        <f t="array" ref="C1019">INDEX(Lookups!$B$2:$B$13,MOD(ROW()-ROW($B$2),ROWS(Lookups!$B$2:$B$13))+1)</f>
        <v>M4A1 SLAM (Tripwire Sensor AV Mine)</v>
      </c>
      <c r="D1019" s="38" t="str">
        <f>_xlfn.XLOOKUP(C1019,Analysis_Gadgets!$C:$C,Analysis_Gadgets!$B:$B)</f>
        <v>Gadget</v>
      </c>
      <c r="E1019" s="43">
        <v>26</v>
      </c>
      <c r="F1019" s="43">
        <f>_xlfn.XLOOKUP(A1019,Class_Players!A:A,Class_Players!G:G)</f>
        <v>210</v>
      </c>
      <c r="G1019" s="43">
        <f t="shared" si="228"/>
        <v>0.12380952380952381</v>
      </c>
      <c r="H1019" s="43">
        <f>_xlfn.XLOOKUP(A1019,Class_Players!$A:$A,Class_Players!$F:$F,"")</f>
        <v>7264</v>
      </c>
      <c r="I1019" s="44">
        <f t="shared" si="229"/>
        <v>3.5792951541850221E-3</v>
      </c>
      <c r="J1019" s="43">
        <f t="shared" si="230"/>
        <v>0</v>
      </c>
      <c r="K1019" s="44" cm="1">
        <f t="array" ref="K1019">IF(D1019="Gadget",_xlfn.IFS(I1019&gt;=0.2,0.5,I1019&gt;=0.1,0.35,I1019&gt;=0.05,0.2,TRUE,0),IF(D1019="Grenade",_xlfn.IFS(I1019&gt;=0.2,1,I1019&gt;=0.1,0.7,I1019&gt;=0.05,0.4,TRUE,0),0))</f>
        <v>0</v>
      </c>
      <c r="L1019" s="57">
        <f t="shared" si="234"/>
        <v>0</v>
      </c>
    </row>
    <row r="1020" spans="1:12" x14ac:dyDescent="0.25">
      <c r="A1020" s="42" t="str" cm="1">
        <f t="array" ref="A1020">IFERROR(INDEX(_xlfn._xlws.FILTER(Class_Players!A:A,Class_Players!B:B="Engineer"),QUOTIENT(ROW()-ROW($A$2),12)+1),"")</f>
        <v>ChaosReigns143</v>
      </c>
      <c r="B1020" s="42" t="str">
        <f>_xlfn.XLOOKUP(A1020,Class_Players!$A:$A,Class_Players!$B:$B,"")</f>
        <v>Engineer</v>
      </c>
      <c r="C1020" s="42" t="str" cm="1">
        <f t="array" ref="C1020">INDEX(Lookups!$B$2:$B$13,MOD(ROW()-ROW($B$2),ROWS(Lookups!$B$2:$B$13))+1)</f>
        <v>Mini Frag Grenade</v>
      </c>
      <c r="D1020" s="38" t="str">
        <f>_xlfn.XLOOKUP(C1020,Analysis_Gadgets!$C:$C,Analysis_Gadgets!$B:$B)</f>
        <v>Grenade</v>
      </c>
      <c r="E1020" s="43">
        <v>1678</v>
      </c>
      <c r="F1020" s="43">
        <f>_xlfn.XLOOKUP(A1020,Class_Players!A:A,Class_Players!G:G)</f>
        <v>210</v>
      </c>
      <c r="G1020" s="43">
        <f t="shared" si="228"/>
        <v>7.9904761904761905</v>
      </c>
      <c r="H1020" s="43">
        <f>_xlfn.XLOOKUP(A1020,Class_Players!$A:$A,Class_Players!$F:$F,"")</f>
        <v>7264</v>
      </c>
      <c r="I1020" s="44">
        <f t="shared" si="229"/>
        <v>0.23100220264317181</v>
      </c>
      <c r="J1020" s="43">
        <f t="shared" si="230"/>
        <v>1</v>
      </c>
      <c r="K1020" s="44" cm="1">
        <f t="array" ref="K1020">IF(D1020="Gadget",_xlfn.IFS(I1020&gt;=0.2,0.5,I1020&gt;=0.1,0.35,I1020&gt;=0.05,0.2,TRUE,0),IF(D1020="Grenade",_xlfn.IFS(I1020&gt;=0.2,1,I1020&gt;=0.1,0.7,I1020&gt;=0.05,0.4,TRUE,0),0))</f>
        <v>1</v>
      </c>
      <c r="L1020" s="57">
        <f t="shared" ref="L1020:L1021" si="235">IF($K1020=0,0,$K1020 / SUMIFS($K:$K,$A:$A,$A1020,$D:$D,"Grenade"))</f>
        <v>1</v>
      </c>
    </row>
    <row r="1021" spans="1:12" x14ac:dyDescent="0.25">
      <c r="A1021" s="42" t="str" cm="1">
        <f t="array" ref="A1021">IFERROR(INDEX(_xlfn._xlws.FILTER(Class_Players!A:A,Class_Players!B:B="Engineer"),QUOTIENT(ROW()-ROW($A$2),12)+1),"")</f>
        <v>ChaosReigns143</v>
      </c>
      <c r="B1021" s="42" t="str">
        <f>_xlfn.XLOOKUP(A1021,Class_Players!$A:$A,Class_Players!$B:$B,"")</f>
        <v>Engineer</v>
      </c>
      <c r="C1021" s="42" t="str" cm="1">
        <f t="array" ref="C1021">INDEX(Lookups!$B$2:$B$13,MOD(ROW()-ROW($B$2),ROWS(Lookups!$B$2:$B$13))+1)</f>
        <v>Anti-Vehicle Grenade</v>
      </c>
      <c r="D1021" s="38" t="str">
        <f>_xlfn.XLOOKUP(C1021,Analysis_Gadgets!$C:$C,Analysis_Gadgets!$B:$B)</f>
        <v>Grenade</v>
      </c>
      <c r="E1021" s="43">
        <v>0</v>
      </c>
      <c r="F1021" s="43">
        <f>_xlfn.XLOOKUP(A1021,Class_Players!A:A,Class_Players!G:G)</f>
        <v>210</v>
      </c>
      <c r="G1021" s="43">
        <f t="shared" si="228"/>
        <v>0</v>
      </c>
      <c r="H1021" s="43">
        <f>_xlfn.XLOOKUP(A1021,Class_Players!$A:$A,Class_Players!$F:$F,"")</f>
        <v>7264</v>
      </c>
      <c r="I1021" s="44">
        <f t="shared" si="229"/>
        <v>0</v>
      </c>
      <c r="J1021" s="43">
        <f t="shared" si="230"/>
        <v>0</v>
      </c>
      <c r="K1021" s="44" cm="1">
        <f t="array" ref="K1021">IF(D1021="Gadget",_xlfn.IFS(I1021&gt;=0.2,0.5,I1021&gt;=0.1,0.35,I1021&gt;=0.05,0.2,TRUE,0),IF(D1021="Grenade",_xlfn.IFS(I1021&gt;=0.2,1,I1021&gt;=0.1,0.7,I1021&gt;=0.05,0.4,TRUE,0),0))</f>
        <v>0</v>
      </c>
      <c r="L1021" s="57">
        <f t="shared" si="235"/>
        <v>0</v>
      </c>
    </row>
    <row r="1022" spans="1:12" x14ac:dyDescent="0.25">
      <c r="A1022" s="42" t="str" cm="1">
        <f t="array" ref="A1022">IFERROR(INDEX(_xlfn._xlws.FILTER(Class_Players!A:A,Class_Players!B:B="Engineer"),QUOTIENT(ROW()-ROW($A$2),12)+1),"")</f>
        <v>rodrilondon10</v>
      </c>
      <c r="B1022" s="42" t="str">
        <f>_xlfn.XLOOKUP(A1022,Class_Players!$A:$A,Class_Players!$B:$B,"")</f>
        <v>Engineer</v>
      </c>
      <c r="C1022" s="42" t="str" cm="1">
        <f t="array" ref="C1022">INDEX(Lookups!$B$2:$B$13,MOD(ROW()-ROW($B$2),ROWS(Lookups!$B$2:$B$13))+1)</f>
        <v>MBT-LAW (Auto-Guided Launcher)</v>
      </c>
      <c r="D1022" s="38" t="str">
        <f>_xlfn.XLOOKUP(C1022,Analysis_Gadgets!$C:$C,Analysis_Gadgets!$B:$B)</f>
        <v>Gadget</v>
      </c>
      <c r="E1022" s="43">
        <v>0</v>
      </c>
      <c r="F1022" s="43">
        <f>_xlfn.XLOOKUP(A1022,Class_Players!A:A,Class_Players!G:G)</f>
        <v>257</v>
      </c>
      <c r="G1022" s="43">
        <f t="shared" si="228"/>
        <v>0</v>
      </c>
      <c r="H1022" s="43">
        <f>_xlfn.XLOOKUP(A1022,Class_Players!$A:$A,Class_Players!$F:$F,"")</f>
        <v>11460</v>
      </c>
      <c r="I1022" s="44">
        <f t="shared" si="229"/>
        <v>0</v>
      </c>
      <c r="J1022" s="43">
        <f t="shared" si="230"/>
        <v>0</v>
      </c>
      <c r="K1022" s="44" cm="1">
        <f t="array" ref="K1022">IF(D1022="Gadget",_xlfn.IFS(I1022&gt;=0.2,0.5,I1022&gt;=0.1,0.35,I1022&gt;=0.05,0.2,TRUE,0),IF(D1022="Grenade",_xlfn.IFS(I1022&gt;=0.2,1,I1022&gt;=0.1,0.7,I1022&gt;=0.05,0.4,TRUE,0),0))</f>
        <v>0</v>
      </c>
      <c r="L1022" s="57">
        <f t="shared" ref="L1022:L1067" si="236">IF($K1022=0,0,$K1022 / SUMIFS($K:$K,$A:$A,$A1022,$D:$D,"Gadget"))</f>
        <v>0</v>
      </c>
    </row>
    <row r="1023" spans="1:12" x14ac:dyDescent="0.25">
      <c r="A1023" s="42" t="str" cm="1">
        <f t="array" ref="A1023">IFERROR(INDEX(_xlfn._xlws.FILTER(Class_Players!A:A,Class_Players!B:B="Engineer"),QUOTIENT(ROW()-ROW($A$2),12)+1),"")</f>
        <v>rodrilondon10</v>
      </c>
      <c r="B1023" s="42" t="str">
        <f>_xlfn.XLOOKUP(A1023,Class_Players!$A:$A,Class_Players!$B:$B,"")</f>
        <v>Engineer</v>
      </c>
      <c r="C1023" s="42" t="str" cm="1">
        <f t="array" ref="C1023">INDEX(Lookups!$B$2:$B$13,MOD(ROW()-ROW($B$2),ROWS(Lookups!$B$2:$B$13))+1)</f>
        <v>SLM-93A (Air-Defense Launcher)</v>
      </c>
      <c r="D1023" s="38" t="str">
        <f>_xlfn.XLOOKUP(C1023,Analysis_Gadgets!$C:$C,Analysis_Gadgets!$B:$B)</f>
        <v>Gadget</v>
      </c>
      <c r="E1023" s="43">
        <v>17</v>
      </c>
      <c r="F1023" s="43">
        <f>_xlfn.XLOOKUP(A1023,Class_Players!A:A,Class_Players!G:G)</f>
        <v>257</v>
      </c>
      <c r="G1023" s="43">
        <f t="shared" si="228"/>
        <v>6.6147859922178989E-2</v>
      </c>
      <c r="H1023" s="43">
        <f>_xlfn.XLOOKUP(A1023,Class_Players!$A:$A,Class_Players!$F:$F,"")</f>
        <v>11460</v>
      </c>
      <c r="I1023" s="44">
        <f t="shared" si="229"/>
        <v>1.4834205933682374E-3</v>
      </c>
      <c r="J1023" s="43">
        <f t="shared" si="230"/>
        <v>0</v>
      </c>
      <c r="K1023" s="44" cm="1">
        <f t="array" ref="K1023">IF(D1023="Gadget",_xlfn.IFS(I1023&gt;=0.2,0.5,I1023&gt;=0.1,0.35,I1023&gt;=0.05,0.2,TRUE,0),IF(D1023="Grenade",_xlfn.IFS(I1023&gt;=0.2,1,I1023&gt;=0.1,0.7,I1023&gt;=0.05,0.4,TRUE,0),0))</f>
        <v>0</v>
      </c>
      <c r="L1023" s="57">
        <f t="shared" si="236"/>
        <v>0</v>
      </c>
    </row>
    <row r="1024" spans="1:12" x14ac:dyDescent="0.25">
      <c r="A1024" s="42" t="str" cm="1">
        <f t="array" ref="A1024">IFERROR(INDEX(_xlfn._xlws.FILTER(Class_Players!A:A,Class_Players!B:B="Engineer"),QUOTIENT(ROW()-ROW($A$2),12)+1),"")</f>
        <v>rodrilondon10</v>
      </c>
      <c r="B1024" s="42" t="str">
        <f>_xlfn.XLOOKUP(A1024,Class_Players!$A:$A,Class_Players!$B:$B,"")</f>
        <v>Engineer</v>
      </c>
      <c r="C1024" s="42" t="str" cm="1">
        <f t="array" ref="C1024">INDEX(Lookups!$B$2:$B$13,MOD(ROW()-ROW($B$2),ROWS(Lookups!$B$2:$B$13))+1)</f>
        <v>RPG-7V2 (Unguided Rocket Launcher)</v>
      </c>
      <c r="D1024" s="38" t="str">
        <f>_xlfn.XLOOKUP(C1024,Analysis_Gadgets!$C:$C,Analysis_Gadgets!$B:$B)</f>
        <v>Gadget</v>
      </c>
      <c r="E1024" s="43">
        <v>2218</v>
      </c>
      <c r="F1024" s="43">
        <f>_xlfn.XLOOKUP(A1024,Class_Players!A:A,Class_Players!G:G)</f>
        <v>257</v>
      </c>
      <c r="G1024" s="43">
        <f t="shared" si="228"/>
        <v>8.6303501945525287</v>
      </c>
      <c r="H1024" s="43">
        <f>_xlfn.XLOOKUP(A1024,Class_Players!$A:$A,Class_Players!$F:$F,"")</f>
        <v>11460</v>
      </c>
      <c r="I1024" s="44">
        <f t="shared" si="229"/>
        <v>0.19354275741710297</v>
      </c>
      <c r="J1024" s="43">
        <f t="shared" si="230"/>
        <v>1</v>
      </c>
      <c r="K1024" s="44" cm="1">
        <f t="array" ref="K1024">IF(D1024="Gadget",_xlfn.IFS(I1024&gt;=0.2,0.5,I1024&gt;=0.1,0.35,I1024&gt;=0.05,0.2,TRUE,0),IF(D1024="Grenade",_xlfn.IFS(I1024&gt;=0.2,1,I1024&gt;=0.1,0.7,I1024&gt;=0.05,0.4,TRUE,0),0))</f>
        <v>0.35</v>
      </c>
      <c r="L1024" s="57">
        <f t="shared" si="236"/>
        <v>1</v>
      </c>
    </row>
    <row r="1025" spans="1:12" x14ac:dyDescent="0.25">
      <c r="A1025" s="42" t="str" cm="1">
        <f t="array" ref="A1025">IFERROR(INDEX(_xlfn._xlws.FILTER(Class_Players!A:A,Class_Players!B:B="Engineer"),QUOTIENT(ROW()-ROW($A$2),12)+1),"")</f>
        <v>rodrilondon10</v>
      </c>
      <c r="B1025" s="42" t="str">
        <f>_xlfn.XLOOKUP(A1025,Class_Players!$A:$A,Class_Players!$B:$B,"")</f>
        <v>Engineer</v>
      </c>
      <c r="C1025" s="42" t="str" cm="1">
        <f t="array" ref="C1025">INDEX(Lookups!$B$2:$B$13,MOD(ROW()-ROW($B$2),ROWS(Lookups!$B$2:$B$13))+1)</f>
        <v>MAS 148 (Long-Range Launcher)</v>
      </c>
      <c r="D1025" s="38" t="str">
        <f>_xlfn.XLOOKUP(C1025,Analysis_Gadgets!$C:$C,Analysis_Gadgets!$B:$B)</f>
        <v>Gadget</v>
      </c>
      <c r="E1025" s="43">
        <v>59</v>
      </c>
      <c r="F1025" s="43">
        <f>_xlfn.XLOOKUP(A1025,Class_Players!A:A,Class_Players!G:G)</f>
        <v>257</v>
      </c>
      <c r="G1025" s="43">
        <f t="shared" si="228"/>
        <v>0.22957198443579765</v>
      </c>
      <c r="H1025" s="43">
        <f>_xlfn.XLOOKUP(A1025,Class_Players!$A:$A,Class_Players!$F:$F,"")</f>
        <v>11460</v>
      </c>
      <c r="I1025" s="44">
        <f t="shared" si="229"/>
        <v>5.1483420593368238E-3</v>
      </c>
      <c r="J1025" s="43">
        <f t="shared" si="230"/>
        <v>0</v>
      </c>
      <c r="K1025" s="44" cm="1">
        <f t="array" ref="K1025">IF(D1025="Gadget",_xlfn.IFS(I1025&gt;=0.2,0.5,I1025&gt;=0.1,0.35,I1025&gt;=0.05,0.2,TRUE,0),IF(D1025="Grenade",_xlfn.IFS(I1025&gt;=0.2,1,I1025&gt;=0.1,0.7,I1025&gt;=0.05,0.4,TRUE,0),0))</f>
        <v>0</v>
      </c>
      <c r="L1025" s="57">
        <f t="shared" si="236"/>
        <v>0</v>
      </c>
    </row>
    <row r="1026" spans="1:12" x14ac:dyDescent="0.25">
      <c r="A1026" s="42" t="str" cm="1">
        <f t="array" ref="A1026">IFERROR(INDEX(_xlfn._xlws.FILTER(Class_Players!A:A,Class_Players!B:B="Engineer"),QUOTIENT(ROW()-ROW($A$2),12)+1),"")</f>
        <v>rodrilondon10</v>
      </c>
      <c r="B1026" s="42" t="str">
        <f>_xlfn.XLOOKUP(A1026,Class_Players!$A:$A,Class_Players!$B:$B,"")</f>
        <v>Engineer</v>
      </c>
      <c r="C1026" s="42" t="str" cm="1">
        <f t="array" ref="C1026">INDEX(Lookups!$B$2:$B$13,MOD(ROW()-ROW($B$2),ROWS(Lookups!$B$2:$B$13))+1)</f>
        <v>M136 AT (Aim-Guided Launcher)</v>
      </c>
      <c r="D1026" s="38" t="str">
        <f>_xlfn.XLOOKUP(C1026,Analysis_Gadgets!$C:$C,Analysis_Gadgets!$B:$B)</f>
        <v>Gadget</v>
      </c>
      <c r="E1026" s="43">
        <v>0</v>
      </c>
      <c r="F1026" s="43">
        <f>_xlfn.XLOOKUP(A1026,Class_Players!A:A,Class_Players!G:G)</f>
        <v>257</v>
      </c>
      <c r="G1026" s="43">
        <f t="shared" si="228"/>
        <v>0</v>
      </c>
      <c r="H1026" s="43">
        <f>_xlfn.XLOOKUP(A1026,Class_Players!$A:$A,Class_Players!$F:$F,"")</f>
        <v>11460</v>
      </c>
      <c r="I1026" s="44">
        <f t="shared" si="229"/>
        <v>0</v>
      </c>
      <c r="J1026" s="43">
        <f t="shared" si="230"/>
        <v>0</v>
      </c>
      <c r="K1026" s="44" cm="1">
        <f t="array" ref="K1026">IF(D1026="Gadget",_xlfn.IFS(I1026&gt;=0.2,0.5,I1026&gt;=0.1,0.35,I1026&gt;=0.05,0.2,TRUE,0),IF(D1026="Grenade",_xlfn.IFS(I1026&gt;=0.2,1,I1026&gt;=0.1,0.7,I1026&gt;=0.05,0.4,TRUE,0),0))</f>
        <v>0</v>
      </c>
      <c r="L1026" s="57">
        <f t="shared" si="236"/>
        <v>0</v>
      </c>
    </row>
    <row r="1027" spans="1:12" x14ac:dyDescent="0.25">
      <c r="A1027" s="42" t="str" cm="1">
        <f t="array" ref="A1027">IFERROR(INDEX(_xlfn._xlws.FILTER(Class_Players!A:A,Class_Players!B:B="Engineer"),QUOTIENT(ROW()-ROW($A$2),12)+1),"")</f>
        <v>rodrilondon10</v>
      </c>
      <c r="B1027" s="42" t="str">
        <f>_xlfn.XLOOKUP(A1027,Class_Players!$A:$A,Class_Players!$B:$B,"")</f>
        <v>Engineer</v>
      </c>
      <c r="C1027" s="42" t="str" cm="1">
        <f t="array" ref="C1027">INDEX(Lookups!$B$2:$B$13,MOD(ROW()-ROW($B$2),ROWS(Lookups!$B$2:$B$13))+1)</f>
        <v>Supply Crate</v>
      </c>
      <c r="D1027" s="38" t="str">
        <f>_xlfn.XLOOKUP(C1027,Analysis_Gadgets!$C:$C,Analysis_Gadgets!$B:$B)</f>
        <v>Gadget</v>
      </c>
      <c r="E1027" s="43">
        <v>0</v>
      </c>
      <c r="F1027" s="43">
        <f>_xlfn.XLOOKUP(A1027,Class_Players!A:A,Class_Players!G:G)</f>
        <v>257</v>
      </c>
      <c r="G1027" s="43">
        <f t="shared" si="228"/>
        <v>0</v>
      </c>
      <c r="H1027" s="43">
        <f>_xlfn.XLOOKUP(A1027,Class_Players!$A:$A,Class_Players!$F:$F,"")</f>
        <v>11460</v>
      </c>
      <c r="I1027" s="44">
        <f t="shared" si="229"/>
        <v>0</v>
      </c>
      <c r="J1027" s="43">
        <f t="shared" si="230"/>
        <v>0</v>
      </c>
      <c r="K1027" s="44" cm="1">
        <f t="array" ref="K1027">IF(D1027="Gadget",_xlfn.IFS(I1027&gt;=0.2,0.5,I1027&gt;=0.1,0.35,I1027&gt;=0.05,0.2,TRUE,0),IF(D1027="Grenade",_xlfn.IFS(I1027&gt;=0.2,1,I1027&gt;=0.1,0.7,I1027&gt;=0.05,0.4,TRUE,0),0))</f>
        <v>0</v>
      </c>
      <c r="L1027" s="57">
        <f t="shared" si="236"/>
        <v>0</v>
      </c>
    </row>
    <row r="1028" spans="1:12" x14ac:dyDescent="0.25">
      <c r="A1028" s="42" t="str" cm="1">
        <f t="array" ref="A1028">IFERROR(INDEX(_xlfn._xlws.FILTER(Class_Players!A:A,Class_Players!B:B="Engineer"),QUOTIENT(ROW()-ROW($A$2),12)+1),"")</f>
        <v>rodrilondon10</v>
      </c>
      <c r="B1028" s="42" t="str">
        <f>_xlfn.XLOOKUP(A1028,Class_Players!$A:$A,Class_Players!$B:$B,"")</f>
        <v>Engineer</v>
      </c>
      <c r="C1028" s="42" t="str" cm="1">
        <f t="array" ref="C1028">INDEX(Lookups!$B$2:$B$13,MOD(ROW()-ROW($B$2),ROWS(Lookups!$B$2:$B$13))+1)</f>
        <v>M15 (Anti-Vehicle Mine)</v>
      </c>
      <c r="D1028" s="38" t="str">
        <f>_xlfn.XLOOKUP(C1028,Analysis_Gadgets!$C:$C,Analysis_Gadgets!$B:$B)</f>
        <v>Gadget</v>
      </c>
      <c r="E1028" s="43">
        <v>1</v>
      </c>
      <c r="F1028" s="43">
        <f>_xlfn.XLOOKUP(A1028,Class_Players!A:A,Class_Players!G:G)</f>
        <v>257</v>
      </c>
      <c r="G1028" s="43">
        <f t="shared" si="228"/>
        <v>3.8910505836575876E-3</v>
      </c>
      <c r="H1028" s="43">
        <f>_xlfn.XLOOKUP(A1028,Class_Players!$A:$A,Class_Players!$F:$F,"")</f>
        <v>11460</v>
      </c>
      <c r="I1028" s="44">
        <f t="shared" si="229"/>
        <v>8.7260034904013966E-5</v>
      </c>
      <c r="J1028" s="43">
        <f t="shared" si="230"/>
        <v>0</v>
      </c>
      <c r="K1028" s="44" cm="1">
        <f t="array" ref="K1028">IF(D1028="Gadget",_xlfn.IFS(I1028&gt;=0.2,0.5,I1028&gt;=0.1,0.35,I1028&gt;=0.05,0.2,TRUE,0),IF(D1028="Grenade",_xlfn.IFS(I1028&gt;=0.2,1,I1028&gt;=0.1,0.7,I1028&gt;=0.05,0.4,TRUE,0),0))</f>
        <v>0</v>
      </c>
      <c r="L1028" s="57">
        <f t="shared" si="236"/>
        <v>0</v>
      </c>
    </row>
    <row r="1029" spans="1:12" x14ac:dyDescent="0.25">
      <c r="A1029" s="42" t="str" cm="1">
        <f t="array" ref="A1029">IFERROR(INDEX(_xlfn._xlws.FILTER(Class_Players!A:A,Class_Players!B:B="Engineer"),QUOTIENT(ROW()-ROW($A$2),12)+1),"")</f>
        <v>rodrilondon10</v>
      </c>
      <c r="B1029" s="42" t="str">
        <f>_xlfn.XLOOKUP(A1029,Class_Players!$A:$A,Class_Players!$B:$B,"")</f>
        <v>Engineer</v>
      </c>
      <c r="C1029" s="42" t="str" cm="1">
        <f t="array" ref="C1029">INDEX(Lookups!$B$2:$B$13,MOD(ROW()-ROW($B$2),ROWS(Lookups!$B$2:$B$13))+1)</f>
        <v>PTKM-1R (Acoustic Sensor AV Mine)</v>
      </c>
      <c r="D1029" s="38" t="str">
        <f>_xlfn.XLOOKUP(C1029,Analysis_Gadgets!$C:$C,Analysis_Gadgets!$B:$B)</f>
        <v>Gadget</v>
      </c>
      <c r="E1029" s="43">
        <v>0</v>
      </c>
      <c r="F1029" s="43">
        <f>_xlfn.XLOOKUP(A1029,Class_Players!A:A,Class_Players!G:G)</f>
        <v>257</v>
      </c>
      <c r="G1029" s="43">
        <f t="shared" si="228"/>
        <v>0</v>
      </c>
      <c r="H1029" s="43">
        <f>_xlfn.XLOOKUP(A1029,Class_Players!$A:$A,Class_Players!$F:$F,"")</f>
        <v>11460</v>
      </c>
      <c r="I1029" s="44">
        <f t="shared" si="229"/>
        <v>0</v>
      </c>
      <c r="J1029" s="43">
        <f t="shared" si="230"/>
        <v>0</v>
      </c>
      <c r="K1029" s="44" cm="1">
        <f t="array" ref="K1029">IF(D1029="Gadget",_xlfn.IFS(I1029&gt;=0.2,0.5,I1029&gt;=0.1,0.35,I1029&gt;=0.05,0.2,TRUE,0),IF(D1029="Grenade",_xlfn.IFS(I1029&gt;=0.2,1,I1029&gt;=0.1,0.7,I1029&gt;=0.05,0.4,TRUE,0),0))</f>
        <v>0</v>
      </c>
      <c r="L1029" s="57">
        <f t="shared" si="236"/>
        <v>0</v>
      </c>
    </row>
    <row r="1030" spans="1:12" x14ac:dyDescent="0.25">
      <c r="A1030" s="42" t="str" cm="1">
        <f t="array" ref="A1030">IFERROR(INDEX(_xlfn._xlws.FILTER(Class_Players!A:A,Class_Players!B:B="Engineer"),QUOTIENT(ROW()-ROW($A$2),12)+1),"")</f>
        <v>rodrilondon10</v>
      </c>
      <c r="B1030" s="42" t="str">
        <f>_xlfn.XLOOKUP(A1030,Class_Players!$A:$A,Class_Players!$B:$B,"")</f>
        <v>Engineer</v>
      </c>
      <c r="C1030" s="42" t="str" cm="1">
        <f t="array" ref="C1030">INDEX(Lookups!$B$2:$B$13,MOD(ROW()-ROW($B$2),ROWS(Lookups!$B$2:$B$13))+1)</f>
        <v>EOD Bot</v>
      </c>
      <c r="D1030" s="38" t="str">
        <f>_xlfn.XLOOKUP(C1030,Analysis_Gadgets!$C:$C,Analysis_Gadgets!$B:$B)</f>
        <v>Gadget</v>
      </c>
      <c r="E1030" s="43">
        <v>111</v>
      </c>
      <c r="F1030" s="43">
        <f>_xlfn.XLOOKUP(A1030,Class_Players!A:A,Class_Players!G:G)</f>
        <v>257</v>
      </c>
      <c r="G1030" s="43">
        <f t="shared" si="228"/>
        <v>0.43190661478599224</v>
      </c>
      <c r="H1030" s="43">
        <f>_xlfn.XLOOKUP(A1030,Class_Players!$A:$A,Class_Players!$F:$F,"")</f>
        <v>11460</v>
      </c>
      <c r="I1030" s="44">
        <f t="shared" si="229"/>
        <v>9.6858638743455502E-3</v>
      </c>
      <c r="J1030" s="43">
        <f t="shared" si="230"/>
        <v>0</v>
      </c>
      <c r="K1030" s="44" cm="1">
        <f t="array" ref="K1030">IF(D1030="Gadget",_xlfn.IFS(I1030&gt;=0.2,0.5,I1030&gt;=0.1,0.35,I1030&gt;=0.05,0.2,TRUE,0),IF(D1030="Grenade",_xlfn.IFS(I1030&gt;=0.2,1,I1030&gt;=0.1,0.7,I1030&gt;=0.05,0.4,TRUE,0),0))</f>
        <v>0</v>
      </c>
      <c r="L1030" s="57">
        <f t="shared" si="236"/>
        <v>0</v>
      </c>
    </row>
    <row r="1031" spans="1:12" x14ac:dyDescent="0.25">
      <c r="A1031" s="42" t="str" cm="1">
        <f t="array" ref="A1031">IFERROR(INDEX(_xlfn._xlws.FILTER(Class_Players!A:A,Class_Players!B:B="Engineer"),QUOTIENT(ROW()-ROW($A$2),12)+1),"")</f>
        <v>rodrilondon10</v>
      </c>
      <c r="B1031" s="42" t="str">
        <f>_xlfn.XLOOKUP(A1031,Class_Players!$A:$A,Class_Players!$B:$B,"")</f>
        <v>Engineer</v>
      </c>
      <c r="C1031" s="42" t="str" cm="1">
        <f t="array" ref="C1031">INDEX(Lookups!$B$2:$B$13,MOD(ROW()-ROW($B$2),ROWS(Lookups!$B$2:$B$13))+1)</f>
        <v>M4A1 SLAM (Tripwire Sensor AV Mine)</v>
      </c>
      <c r="D1031" s="38" t="str">
        <f>_xlfn.XLOOKUP(C1031,Analysis_Gadgets!$C:$C,Analysis_Gadgets!$B:$B)</f>
        <v>Gadget</v>
      </c>
      <c r="E1031" s="43">
        <v>0</v>
      </c>
      <c r="F1031" s="43">
        <f>_xlfn.XLOOKUP(A1031,Class_Players!A:A,Class_Players!G:G)</f>
        <v>257</v>
      </c>
      <c r="G1031" s="43">
        <f t="shared" si="228"/>
        <v>0</v>
      </c>
      <c r="H1031" s="43">
        <f>_xlfn.XLOOKUP(A1031,Class_Players!$A:$A,Class_Players!$F:$F,"")</f>
        <v>11460</v>
      </c>
      <c r="I1031" s="44">
        <f t="shared" si="229"/>
        <v>0</v>
      </c>
      <c r="J1031" s="43">
        <f t="shared" si="230"/>
        <v>0</v>
      </c>
      <c r="K1031" s="44" cm="1">
        <f t="array" ref="K1031">IF(D1031="Gadget",_xlfn.IFS(I1031&gt;=0.2,0.5,I1031&gt;=0.1,0.35,I1031&gt;=0.05,0.2,TRUE,0),IF(D1031="Grenade",_xlfn.IFS(I1031&gt;=0.2,1,I1031&gt;=0.1,0.7,I1031&gt;=0.05,0.4,TRUE,0),0))</f>
        <v>0</v>
      </c>
      <c r="L1031" s="57">
        <f t="shared" si="236"/>
        <v>0</v>
      </c>
    </row>
    <row r="1032" spans="1:12" x14ac:dyDescent="0.25">
      <c r="A1032" s="42" t="str" cm="1">
        <f t="array" ref="A1032">IFERROR(INDEX(_xlfn._xlws.FILTER(Class_Players!A:A,Class_Players!B:B="Engineer"),QUOTIENT(ROW()-ROW($A$2),12)+1),"")</f>
        <v>rodrilondon10</v>
      </c>
      <c r="B1032" s="42" t="str">
        <f>_xlfn.XLOOKUP(A1032,Class_Players!$A:$A,Class_Players!$B:$B,"")</f>
        <v>Engineer</v>
      </c>
      <c r="C1032" s="42" t="str" cm="1">
        <f t="array" ref="C1032">INDEX(Lookups!$B$2:$B$13,MOD(ROW()-ROW($B$2),ROWS(Lookups!$B$2:$B$13))+1)</f>
        <v>Mini Frag Grenade</v>
      </c>
      <c r="D1032" s="38" t="str">
        <f>_xlfn.XLOOKUP(C1032,Analysis_Gadgets!$C:$C,Analysis_Gadgets!$B:$B)</f>
        <v>Grenade</v>
      </c>
      <c r="E1032" s="43">
        <v>0</v>
      </c>
      <c r="F1032" s="43">
        <f>_xlfn.XLOOKUP(A1032,Class_Players!A:A,Class_Players!G:G)</f>
        <v>257</v>
      </c>
      <c r="G1032" s="43">
        <f t="shared" si="228"/>
        <v>0</v>
      </c>
      <c r="H1032" s="43">
        <f>_xlfn.XLOOKUP(A1032,Class_Players!$A:$A,Class_Players!$F:$F,"")</f>
        <v>11460</v>
      </c>
      <c r="I1032" s="44">
        <f t="shared" si="229"/>
        <v>0</v>
      </c>
      <c r="J1032" s="43">
        <f t="shared" si="230"/>
        <v>0</v>
      </c>
      <c r="K1032" s="44" cm="1">
        <f t="array" ref="K1032">IF(D1032="Gadget",_xlfn.IFS(I1032&gt;=0.2,0.5,I1032&gt;=0.1,0.35,I1032&gt;=0.05,0.2,TRUE,0),IF(D1032="Grenade",_xlfn.IFS(I1032&gt;=0.2,1,I1032&gt;=0.1,0.7,I1032&gt;=0.05,0.4,TRUE,0),0))</f>
        <v>0</v>
      </c>
      <c r="L1032" s="57">
        <f t="shared" ref="L1032:L1057" si="237">IF($K1032=0,0,$K1032 / SUMIFS($K:$K,$A:$A,$A1032,$D:$D,"Grenade"))</f>
        <v>0</v>
      </c>
    </row>
    <row r="1033" spans="1:12" x14ac:dyDescent="0.25">
      <c r="A1033" s="42" t="str" cm="1">
        <f t="array" ref="A1033">IFERROR(INDEX(_xlfn._xlws.FILTER(Class_Players!A:A,Class_Players!B:B="Engineer"),QUOTIENT(ROW()-ROW($A$2),12)+1),"")</f>
        <v>rodrilondon10</v>
      </c>
      <c r="B1033" s="42" t="str">
        <f>_xlfn.XLOOKUP(A1033,Class_Players!$A:$A,Class_Players!$B:$B,"")</f>
        <v>Engineer</v>
      </c>
      <c r="C1033" s="42" t="str" cm="1">
        <f t="array" ref="C1033">INDEX(Lookups!$B$2:$B$13,MOD(ROW()-ROW($B$2),ROWS(Lookups!$B$2:$B$13))+1)</f>
        <v>Anti-Vehicle Grenade</v>
      </c>
      <c r="D1033" s="38" t="str">
        <f>_xlfn.XLOOKUP(C1033,Analysis_Gadgets!$C:$C,Analysis_Gadgets!$B:$B)</f>
        <v>Grenade</v>
      </c>
      <c r="E1033" s="43">
        <v>0</v>
      </c>
      <c r="F1033" s="43">
        <f>_xlfn.XLOOKUP(A1033,Class_Players!A:A,Class_Players!G:G)</f>
        <v>257</v>
      </c>
      <c r="G1033" s="43">
        <f t="shared" si="228"/>
        <v>0</v>
      </c>
      <c r="H1033" s="43">
        <f>_xlfn.XLOOKUP(A1033,Class_Players!$A:$A,Class_Players!$F:$F,"")</f>
        <v>11460</v>
      </c>
      <c r="I1033" s="44">
        <f t="shared" si="229"/>
        <v>0</v>
      </c>
      <c r="J1033" s="43">
        <f t="shared" si="230"/>
        <v>0</v>
      </c>
      <c r="K1033" s="44" cm="1">
        <f t="array" ref="K1033">IF(D1033="Gadget",_xlfn.IFS(I1033&gt;=0.2,0.5,I1033&gt;=0.1,0.35,I1033&gt;=0.05,0.2,TRUE,0),IF(D1033="Grenade",_xlfn.IFS(I1033&gt;=0.2,1,I1033&gt;=0.1,0.7,I1033&gt;=0.05,0.4,TRUE,0),0))</f>
        <v>0</v>
      </c>
      <c r="L1033" s="57">
        <f t="shared" si="237"/>
        <v>0</v>
      </c>
    </row>
    <row r="1034" spans="1:12" x14ac:dyDescent="0.25">
      <c r="A1034" s="42" t="str" cm="1">
        <f t="array" ref="A1034">IFERROR(INDEX(_xlfn._xlws.FILTER(Class_Players!A:A,Class_Players!B:B="Engineer"),QUOTIENT(ROW()-ROW($A$2),12)+1),"")</f>
        <v>LRT-JEMSYS-787</v>
      </c>
      <c r="B1034" s="42" t="str">
        <f>_xlfn.XLOOKUP(A1034,Class_Players!$A:$A,Class_Players!$B:$B,"")</f>
        <v>Engineer</v>
      </c>
      <c r="C1034" s="42" t="str" cm="1">
        <f t="array" ref="C1034">INDEX(Lookups!$B$2:$B$13,MOD(ROW()-ROW($B$2),ROWS(Lookups!$B$2:$B$13))+1)</f>
        <v>MBT-LAW (Auto-Guided Launcher)</v>
      </c>
      <c r="D1034" s="38" t="str">
        <f>_xlfn.XLOOKUP(C1034,Analysis_Gadgets!$C:$C,Analysis_Gadgets!$B:$B)</f>
        <v>Gadget</v>
      </c>
      <c r="E1034" s="43">
        <v>0</v>
      </c>
      <c r="F1034" s="43">
        <f>_xlfn.XLOOKUP(A1034,Class_Players!A:A,Class_Players!G:G)</f>
        <v>179</v>
      </c>
      <c r="G1034" s="43">
        <f t="shared" ref="G1034:G1097" si="238">IF(F1034=0,"",E1034/(F1034))</f>
        <v>0</v>
      </c>
      <c r="H1034" s="43">
        <f>_xlfn.XLOOKUP(A1034,Class_Players!$A:$A,Class_Players!$F:$F,"")</f>
        <v>7078</v>
      </c>
      <c r="I1034" s="44">
        <f t="shared" ref="I1034:I1097" si="239">IF(H1034=0,"",E1034/H1034)</f>
        <v>0</v>
      </c>
      <c r="J1034" s="43">
        <f t="shared" ref="J1034:J1097" si="240">IF(I1034&gt;=0.1,1,0)</f>
        <v>0</v>
      </c>
      <c r="K1034" s="44" cm="1">
        <f t="array" ref="K1034">IF(D1034="Gadget",_xlfn.IFS(I1034&gt;=0.2,0.5,I1034&gt;=0.1,0.35,I1034&gt;=0.05,0.2,TRUE,0),IF(D1034="Grenade",_xlfn.IFS(I1034&gt;=0.2,1,I1034&gt;=0.1,0.7,I1034&gt;=0.05,0.4,TRUE,0),0))</f>
        <v>0</v>
      </c>
      <c r="L1034" s="57">
        <f t="shared" si="236"/>
        <v>0</v>
      </c>
    </row>
    <row r="1035" spans="1:12" x14ac:dyDescent="0.25">
      <c r="A1035" s="42" t="str" cm="1">
        <f t="array" ref="A1035">IFERROR(INDEX(_xlfn._xlws.FILTER(Class_Players!A:A,Class_Players!B:B="Engineer"),QUOTIENT(ROW()-ROW($A$2),12)+1),"")</f>
        <v>LRT-JEMSYS-787</v>
      </c>
      <c r="B1035" s="42" t="str">
        <f>_xlfn.XLOOKUP(A1035,Class_Players!$A:$A,Class_Players!$B:$B,"")</f>
        <v>Engineer</v>
      </c>
      <c r="C1035" s="42" t="str" cm="1">
        <f t="array" ref="C1035">INDEX(Lookups!$B$2:$B$13,MOD(ROW()-ROW($B$2),ROWS(Lookups!$B$2:$B$13))+1)</f>
        <v>SLM-93A (Air-Defense Launcher)</v>
      </c>
      <c r="D1035" s="38" t="str">
        <f>_xlfn.XLOOKUP(C1035,Analysis_Gadgets!$C:$C,Analysis_Gadgets!$B:$B)</f>
        <v>Gadget</v>
      </c>
      <c r="E1035" s="43">
        <v>3</v>
      </c>
      <c r="F1035" s="43">
        <f>_xlfn.XLOOKUP(A1035,Class_Players!A:A,Class_Players!G:G)</f>
        <v>179</v>
      </c>
      <c r="G1035" s="43">
        <f t="shared" si="238"/>
        <v>1.6759776536312849E-2</v>
      </c>
      <c r="H1035" s="43">
        <f>_xlfn.XLOOKUP(A1035,Class_Players!$A:$A,Class_Players!$F:$F,"")</f>
        <v>7078</v>
      </c>
      <c r="I1035" s="44">
        <f t="shared" si="239"/>
        <v>4.2384854478666288E-4</v>
      </c>
      <c r="J1035" s="43">
        <f t="shared" si="240"/>
        <v>0</v>
      </c>
      <c r="K1035" s="44" cm="1">
        <f t="array" ref="K1035">IF(D1035="Gadget",_xlfn.IFS(I1035&gt;=0.2,0.5,I1035&gt;=0.1,0.35,I1035&gt;=0.05,0.2,TRUE,0),IF(D1035="Grenade",_xlfn.IFS(I1035&gt;=0.2,1,I1035&gt;=0.1,0.7,I1035&gt;=0.05,0.4,TRUE,0),0))</f>
        <v>0</v>
      </c>
      <c r="L1035" s="57">
        <f t="shared" si="236"/>
        <v>0</v>
      </c>
    </row>
    <row r="1036" spans="1:12" x14ac:dyDescent="0.25">
      <c r="A1036" s="42" t="str" cm="1">
        <f t="array" ref="A1036">IFERROR(INDEX(_xlfn._xlws.FILTER(Class_Players!A:A,Class_Players!B:B="Engineer"),QUOTIENT(ROW()-ROW($A$2),12)+1),"")</f>
        <v>LRT-JEMSYS-787</v>
      </c>
      <c r="B1036" s="42" t="str">
        <f>_xlfn.XLOOKUP(A1036,Class_Players!$A:$A,Class_Players!$B:$B,"")</f>
        <v>Engineer</v>
      </c>
      <c r="C1036" s="42" t="str" cm="1">
        <f t="array" ref="C1036">INDEX(Lookups!$B$2:$B$13,MOD(ROW()-ROW($B$2),ROWS(Lookups!$B$2:$B$13))+1)</f>
        <v>RPG-7V2 (Unguided Rocket Launcher)</v>
      </c>
      <c r="D1036" s="38" t="str">
        <f>_xlfn.XLOOKUP(C1036,Analysis_Gadgets!$C:$C,Analysis_Gadgets!$B:$B)</f>
        <v>Gadget</v>
      </c>
      <c r="E1036" s="43">
        <v>2785</v>
      </c>
      <c r="F1036" s="43">
        <f>_xlfn.XLOOKUP(A1036,Class_Players!A:A,Class_Players!G:G)</f>
        <v>179</v>
      </c>
      <c r="G1036" s="43">
        <f t="shared" si="238"/>
        <v>15.558659217877095</v>
      </c>
      <c r="H1036" s="43">
        <f>_xlfn.XLOOKUP(A1036,Class_Players!$A:$A,Class_Players!$F:$F,"")</f>
        <v>7078</v>
      </c>
      <c r="I1036" s="44">
        <f t="shared" si="239"/>
        <v>0.39347273241028541</v>
      </c>
      <c r="J1036" s="43">
        <f t="shared" si="240"/>
        <v>1</v>
      </c>
      <c r="K1036" s="44" cm="1">
        <f t="array" ref="K1036">IF(D1036="Gadget",_xlfn.IFS(I1036&gt;=0.2,0.5,I1036&gt;=0.1,0.35,I1036&gt;=0.05,0.2,TRUE,0),IF(D1036="Grenade",_xlfn.IFS(I1036&gt;=0.2,1,I1036&gt;=0.1,0.7,I1036&gt;=0.05,0.4,TRUE,0),0))</f>
        <v>0.5</v>
      </c>
      <c r="L1036" s="57">
        <f t="shared" si="236"/>
        <v>0.5</v>
      </c>
    </row>
    <row r="1037" spans="1:12" x14ac:dyDescent="0.25">
      <c r="A1037" s="42" t="str" cm="1">
        <f t="array" ref="A1037">IFERROR(INDEX(_xlfn._xlws.FILTER(Class_Players!A:A,Class_Players!B:B="Engineer"),QUOTIENT(ROW()-ROW($A$2),12)+1),"")</f>
        <v>LRT-JEMSYS-787</v>
      </c>
      <c r="B1037" s="42" t="str">
        <f>_xlfn.XLOOKUP(A1037,Class_Players!$A:$A,Class_Players!$B:$B,"")</f>
        <v>Engineer</v>
      </c>
      <c r="C1037" s="42" t="str" cm="1">
        <f t="array" ref="C1037">INDEX(Lookups!$B$2:$B$13,MOD(ROW()-ROW($B$2),ROWS(Lookups!$B$2:$B$13))+1)</f>
        <v>MAS 148 (Long-Range Launcher)</v>
      </c>
      <c r="D1037" s="38" t="str">
        <f>_xlfn.XLOOKUP(C1037,Analysis_Gadgets!$C:$C,Analysis_Gadgets!$B:$B)</f>
        <v>Gadget</v>
      </c>
      <c r="E1037" s="43">
        <v>0</v>
      </c>
      <c r="F1037" s="43">
        <f>_xlfn.XLOOKUP(A1037,Class_Players!A:A,Class_Players!G:G)</f>
        <v>179</v>
      </c>
      <c r="G1037" s="43">
        <f t="shared" si="238"/>
        <v>0</v>
      </c>
      <c r="H1037" s="43">
        <f>_xlfn.XLOOKUP(A1037,Class_Players!$A:$A,Class_Players!$F:$F,"")</f>
        <v>7078</v>
      </c>
      <c r="I1037" s="44">
        <f t="shared" si="239"/>
        <v>0</v>
      </c>
      <c r="J1037" s="43">
        <f t="shared" si="240"/>
        <v>0</v>
      </c>
      <c r="K1037" s="44" cm="1">
        <f t="array" ref="K1037">IF(D1037="Gadget",_xlfn.IFS(I1037&gt;=0.2,0.5,I1037&gt;=0.1,0.35,I1037&gt;=0.05,0.2,TRUE,0),IF(D1037="Grenade",_xlfn.IFS(I1037&gt;=0.2,1,I1037&gt;=0.1,0.7,I1037&gt;=0.05,0.4,TRUE,0),0))</f>
        <v>0</v>
      </c>
      <c r="L1037" s="57">
        <f t="shared" si="236"/>
        <v>0</v>
      </c>
    </row>
    <row r="1038" spans="1:12" x14ac:dyDescent="0.25">
      <c r="A1038" s="42" t="str" cm="1">
        <f t="array" ref="A1038">IFERROR(INDEX(_xlfn._xlws.FILTER(Class_Players!A:A,Class_Players!B:B="Engineer"),QUOTIENT(ROW()-ROW($A$2),12)+1),"")</f>
        <v>LRT-JEMSYS-787</v>
      </c>
      <c r="B1038" s="42" t="str">
        <f>_xlfn.XLOOKUP(A1038,Class_Players!$A:$A,Class_Players!$B:$B,"")</f>
        <v>Engineer</v>
      </c>
      <c r="C1038" s="42" t="str" cm="1">
        <f t="array" ref="C1038">INDEX(Lookups!$B$2:$B$13,MOD(ROW()-ROW($B$2),ROWS(Lookups!$B$2:$B$13))+1)</f>
        <v>M136 AT (Aim-Guided Launcher)</v>
      </c>
      <c r="D1038" s="38" t="str">
        <f>_xlfn.XLOOKUP(C1038,Analysis_Gadgets!$C:$C,Analysis_Gadgets!$B:$B)</f>
        <v>Gadget</v>
      </c>
      <c r="E1038" s="43">
        <v>8</v>
      </c>
      <c r="F1038" s="43">
        <f>_xlfn.XLOOKUP(A1038,Class_Players!A:A,Class_Players!G:G)</f>
        <v>179</v>
      </c>
      <c r="G1038" s="43">
        <f t="shared" si="238"/>
        <v>4.4692737430167599E-2</v>
      </c>
      <c r="H1038" s="43">
        <f>_xlfn.XLOOKUP(A1038,Class_Players!$A:$A,Class_Players!$F:$F,"")</f>
        <v>7078</v>
      </c>
      <c r="I1038" s="44">
        <f t="shared" si="239"/>
        <v>1.1302627860977678E-3</v>
      </c>
      <c r="J1038" s="43">
        <f t="shared" si="240"/>
        <v>0</v>
      </c>
      <c r="K1038" s="44" cm="1">
        <f t="array" ref="K1038">IF(D1038="Gadget",_xlfn.IFS(I1038&gt;=0.2,0.5,I1038&gt;=0.1,0.35,I1038&gt;=0.05,0.2,TRUE,0),IF(D1038="Grenade",_xlfn.IFS(I1038&gt;=0.2,1,I1038&gt;=0.1,0.7,I1038&gt;=0.05,0.4,TRUE,0),0))</f>
        <v>0</v>
      </c>
      <c r="L1038" s="57">
        <f t="shared" si="236"/>
        <v>0</v>
      </c>
    </row>
    <row r="1039" spans="1:12" x14ac:dyDescent="0.25">
      <c r="A1039" s="42" t="str" cm="1">
        <f t="array" ref="A1039">IFERROR(INDEX(_xlfn._xlws.FILTER(Class_Players!A:A,Class_Players!B:B="Engineer"),QUOTIENT(ROW()-ROW($A$2),12)+1),"")</f>
        <v>LRT-JEMSYS-787</v>
      </c>
      <c r="B1039" s="42" t="str">
        <f>_xlfn.XLOOKUP(A1039,Class_Players!$A:$A,Class_Players!$B:$B,"")</f>
        <v>Engineer</v>
      </c>
      <c r="C1039" s="42" t="str" cm="1">
        <f t="array" ref="C1039">INDEX(Lookups!$B$2:$B$13,MOD(ROW()-ROW($B$2),ROWS(Lookups!$B$2:$B$13))+1)</f>
        <v>Supply Crate</v>
      </c>
      <c r="D1039" s="38" t="str">
        <f>_xlfn.XLOOKUP(C1039,Analysis_Gadgets!$C:$C,Analysis_Gadgets!$B:$B)</f>
        <v>Gadget</v>
      </c>
      <c r="E1039" s="43">
        <v>0</v>
      </c>
      <c r="F1039" s="43">
        <f>_xlfn.XLOOKUP(A1039,Class_Players!A:A,Class_Players!G:G)</f>
        <v>179</v>
      </c>
      <c r="G1039" s="43">
        <f t="shared" si="238"/>
        <v>0</v>
      </c>
      <c r="H1039" s="43">
        <f>_xlfn.XLOOKUP(A1039,Class_Players!$A:$A,Class_Players!$F:$F,"")</f>
        <v>7078</v>
      </c>
      <c r="I1039" s="44">
        <f t="shared" si="239"/>
        <v>0</v>
      </c>
      <c r="J1039" s="43">
        <f t="shared" si="240"/>
        <v>0</v>
      </c>
      <c r="K1039" s="44" cm="1">
        <f t="array" ref="K1039">IF(D1039="Gadget",_xlfn.IFS(I1039&gt;=0.2,0.5,I1039&gt;=0.1,0.35,I1039&gt;=0.05,0.2,TRUE,0),IF(D1039="Grenade",_xlfn.IFS(I1039&gt;=0.2,1,I1039&gt;=0.1,0.7,I1039&gt;=0.05,0.4,TRUE,0),0))</f>
        <v>0</v>
      </c>
      <c r="L1039" s="57">
        <f t="shared" si="236"/>
        <v>0</v>
      </c>
    </row>
    <row r="1040" spans="1:12" x14ac:dyDescent="0.25">
      <c r="A1040" s="42" t="str" cm="1">
        <f t="array" ref="A1040">IFERROR(INDEX(_xlfn._xlws.FILTER(Class_Players!A:A,Class_Players!B:B="Engineer"),QUOTIENT(ROW()-ROW($A$2),12)+1),"")</f>
        <v>LRT-JEMSYS-787</v>
      </c>
      <c r="B1040" s="42" t="str">
        <f>_xlfn.XLOOKUP(A1040,Class_Players!$A:$A,Class_Players!$B:$B,"")</f>
        <v>Engineer</v>
      </c>
      <c r="C1040" s="42" t="str" cm="1">
        <f t="array" ref="C1040">INDEX(Lookups!$B$2:$B$13,MOD(ROW()-ROW($B$2),ROWS(Lookups!$B$2:$B$13))+1)</f>
        <v>M15 (Anti-Vehicle Mine)</v>
      </c>
      <c r="D1040" s="38" t="str">
        <f>_xlfn.XLOOKUP(C1040,Analysis_Gadgets!$C:$C,Analysis_Gadgets!$B:$B)</f>
        <v>Gadget</v>
      </c>
      <c r="E1040" s="43">
        <v>2128</v>
      </c>
      <c r="F1040" s="43">
        <f>_xlfn.XLOOKUP(A1040,Class_Players!A:A,Class_Players!G:G)</f>
        <v>179</v>
      </c>
      <c r="G1040" s="43">
        <f t="shared" si="238"/>
        <v>11.888268156424582</v>
      </c>
      <c r="H1040" s="43">
        <f>_xlfn.XLOOKUP(A1040,Class_Players!$A:$A,Class_Players!$F:$F,"")</f>
        <v>7078</v>
      </c>
      <c r="I1040" s="44">
        <f t="shared" si="239"/>
        <v>0.30064990110200623</v>
      </c>
      <c r="J1040" s="43">
        <f t="shared" si="240"/>
        <v>1</v>
      </c>
      <c r="K1040" s="44" cm="1">
        <f t="array" ref="K1040">IF(D1040="Gadget",_xlfn.IFS(I1040&gt;=0.2,0.5,I1040&gt;=0.1,0.35,I1040&gt;=0.05,0.2,TRUE,0),IF(D1040="Grenade",_xlfn.IFS(I1040&gt;=0.2,1,I1040&gt;=0.1,0.7,I1040&gt;=0.05,0.4,TRUE,0),0))</f>
        <v>0.5</v>
      </c>
      <c r="L1040" s="57">
        <f t="shared" si="236"/>
        <v>0.5</v>
      </c>
    </row>
    <row r="1041" spans="1:12" x14ac:dyDescent="0.25">
      <c r="A1041" s="42" t="str" cm="1">
        <f t="array" ref="A1041">IFERROR(INDEX(_xlfn._xlws.FILTER(Class_Players!A:A,Class_Players!B:B="Engineer"),QUOTIENT(ROW()-ROW($A$2),12)+1),"")</f>
        <v>LRT-JEMSYS-787</v>
      </c>
      <c r="B1041" s="42" t="str">
        <f>_xlfn.XLOOKUP(A1041,Class_Players!$A:$A,Class_Players!$B:$B,"")</f>
        <v>Engineer</v>
      </c>
      <c r="C1041" s="42" t="str" cm="1">
        <f t="array" ref="C1041">INDEX(Lookups!$B$2:$B$13,MOD(ROW()-ROW($B$2),ROWS(Lookups!$B$2:$B$13))+1)</f>
        <v>PTKM-1R (Acoustic Sensor AV Mine)</v>
      </c>
      <c r="D1041" s="38" t="str">
        <f>_xlfn.XLOOKUP(C1041,Analysis_Gadgets!$C:$C,Analysis_Gadgets!$B:$B)</f>
        <v>Gadget</v>
      </c>
      <c r="E1041" s="43">
        <v>44</v>
      </c>
      <c r="F1041" s="43">
        <f>_xlfn.XLOOKUP(A1041,Class_Players!A:A,Class_Players!G:G)</f>
        <v>179</v>
      </c>
      <c r="G1041" s="43">
        <f t="shared" si="238"/>
        <v>0.24581005586592178</v>
      </c>
      <c r="H1041" s="43">
        <f>_xlfn.XLOOKUP(A1041,Class_Players!$A:$A,Class_Players!$F:$F,"")</f>
        <v>7078</v>
      </c>
      <c r="I1041" s="44">
        <f t="shared" si="239"/>
        <v>6.2164453235377228E-3</v>
      </c>
      <c r="J1041" s="43">
        <f t="shared" si="240"/>
        <v>0</v>
      </c>
      <c r="K1041" s="44" cm="1">
        <f t="array" ref="K1041">IF(D1041="Gadget",_xlfn.IFS(I1041&gt;=0.2,0.5,I1041&gt;=0.1,0.35,I1041&gt;=0.05,0.2,TRUE,0),IF(D1041="Grenade",_xlfn.IFS(I1041&gt;=0.2,1,I1041&gt;=0.1,0.7,I1041&gt;=0.05,0.4,TRUE,0),0))</f>
        <v>0</v>
      </c>
      <c r="L1041" s="57">
        <f t="shared" si="236"/>
        <v>0</v>
      </c>
    </row>
    <row r="1042" spans="1:12" x14ac:dyDescent="0.25">
      <c r="A1042" s="42" t="str" cm="1">
        <f t="array" ref="A1042">IFERROR(INDEX(_xlfn._xlws.FILTER(Class_Players!A:A,Class_Players!B:B="Engineer"),QUOTIENT(ROW()-ROW($A$2),12)+1),"")</f>
        <v>LRT-JEMSYS-787</v>
      </c>
      <c r="B1042" s="42" t="str">
        <f>_xlfn.XLOOKUP(A1042,Class_Players!$A:$A,Class_Players!$B:$B,"")</f>
        <v>Engineer</v>
      </c>
      <c r="C1042" s="42" t="str" cm="1">
        <f t="array" ref="C1042">INDEX(Lookups!$B$2:$B$13,MOD(ROW()-ROW($B$2),ROWS(Lookups!$B$2:$B$13))+1)</f>
        <v>EOD Bot</v>
      </c>
      <c r="D1042" s="38" t="str">
        <f>_xlfn.XLOOKUP(C1042,Analysis_Gadgets!$C:$C,Analysis_Gadgets!$B:$B)</f>
        <v>Gadget</v>
      </c>
      <c r="E1042" s="43">
        <v>0</v>
      </c>
      <c r="F1042" s="43">
        <f>_xlfn.XLOOKUP(A1042,Class_Players!A:A,Class_Players!G:G)</f>
        <v>179</v>
      </c>
      <c r="G1042" s="43">
        <f t="shared" si="238"/>
        <v>0</v>
      </c>
      <c r="H1042" s="43">
        <f>_xlfn.XLOOKUP(A1042,Class_Players!$A:$A,Class_Players!$F:$F,"")</f>
        <v>7078</v>
      </c>
      <c r="I1042" s="44">
        <f t="shared" si="239"/>
        <v>0</v>
      </c>
      <c r="J1042" s="43">
        <f t="shared" si="240"/>
        <v>0</v>
      </c>
      <c r="K1042" s="44" cm="1">
        <f t="array" ref="K1042">IF(D1042="Gadget",_xlfn.IFS(I1042&gt;=0.2,0.5,I1042&gt;=0.1,0.35,I1042&gt;=0.05,0.2,TRUE,0),IF(D1042="Grenade",_xlfn.IFS(I1042&gt;=0.2,1,I1042&gt;=0.1,0.7,I1042&gt;=0.05,0.4,TRUE,0),0))</f>
        <v>0</v>
      </c>
      <c r="L1042" s="57">
        <f t="shared" si="236"/>
        <v>0</v>
      </c>
    </row>
    <row r="1043" spans="1:12" x14ac:dyDescent="0.25">
      <c r="A1043" s="42" t="str" cm="1">
        <f t="array" ref="A1043">IFERROR(INDEX(_xlfn._xlws.FILTER(Class_Players!A:A,Class_Players!B:B="Engineer"),QUOTIENT(ROW()-ROW($A$2),12)+1),"")</f>
        <v>LRT-JEMSYS-787</v>
      </c>
      <c r="B1043" s="42" t="str">
        <f>_xlfn.XLOOKUP(A1043,Class_Players!$A:$A,Class_Players!$B:$B,"")</f>
        <v>Engineer</v>
      </c>
      <c r="C1043" s="42" t="str" cm="1">
        <f t="array" ref="C1043">INDEX(Lookups!$B$2:$B$13,MOD(ROW()-ROW($B$2),ROWS(Lookups!$B$2:$B$13))+1)</f>
        <v>M4A1 SLAM (Tripwire Sensor AV Mine)</v>
      </c>
      <c r="D1043" s="38" t="str">
        <f>_xlfn.XLOOKUP(C1043,Analysis_Gadgets!$C:$C,Analysis_Gadgets!$B:$B)</f>
        <v>Gadget</v>
      </c>
      <c r="E1043" s="43">
        <v>0</v>
      </c>
      <c r="F1043" s="43">
        <f>_xlfn.XLOOKUP(A1043,Class_Players!A:A,Class_Players!G:G)</f>
        <v>179</v>
      </c>
      <c r="G1043" s="43">
        <f t="shared" si="238"/>
        <v>0</v>
      </c>
      <c r="H1043" s="43">
        <f>_xlfn.XLOOKUP(A1043,Class_Players!$A:$A,Class_Players!$F:$F,"")</f>
        <v>7078</v>
      </c>
      <c r="I1043" s="44">
        <f t="shared" si="239"/>
        <v>0</v>
      </c>
      <c r="J1043" s="43">
        <f t="shared" si="240"/>
        <v>0</v>
      </c>
      <c r="K1043" s="44" cm="1">
        <f t="array" ref="K1043">IF(D1043="Gadget",_xlfn.IFS(I1043&gt;=0.2,0.5,I1043&gt;=0.1,0.35,I1043&gt;=0.05,0.2,TRUE,0),IF(D1043="Grenade",_xlfn.IFS(I1043&gt;=0.2,1,I1043&gt;=0.1,0.7,I1043&gt;=0.05,0.4,TRUE,0),0))</f>
        <v>0</v>
      </c>
      <c r="L1043" s="57">
        <f t="shared" si="236"/>
        <v>0</v>
      </c>
    </row>
    <row r="1044" spans="1:12" x14ac:dyDescent="0.25">
      <c r="A1044" s="42" t="str" cm="1">
        <f t="array" ref="A1044">IFERROR(INDEX(_xlfn._xlws.FILTER(Class_Players!A:A,Class_Players!B:B="Engineer"),QUOTIENT(ROW()-ROW($A$2),12)+1),"")</f>
        <v>LRT-JEMSYS-787</v>
      </c>
      <c r="B1044" s="42" t="str">
        <f>_xlfn.XLOOKUP(A1044,Class_Players!$A:$A,Class_Players!$B:$B,"")</f>
        <v>Engineer</v>
      </c>
      <c r="C1044" s="42" t="str" cm="1">
        <f t="array" ref="C1044">INDEX(Lookups!$B$2:$B$13,MOD(ROW()-ROW($B$2),ROWS(Lookups!$B$2:$B$13))+1)</f>
        <v>Mini Frag Grenade</v>
      </c>
      <c r="D1044" s="38" t="str">
        <f>_xlfn.XLOOKUP(C1044,Analysis_Gadgets!$C:$C,Analysis_Gadgets!$B:$B)</f>
        <v>Grenade</v>
      </c>
      <c r="E1044" s="43">
        <v>2</v>
      </c>
      <c r="F1044" s="43">
        <f>_xlfn.XLOOKUP(A1044,Class_Players!A:A,Class_Players!G:G)</f>
        <v>179</v>
      </c>
      <c r="G1044" s="43">
        <f t="shared" si="238"/>
        <v>1.11731843575419E-2</v>
      </c>
      <c r="H1044" s="43">
        <f>_xlfn.XLOOKUP(A1044,Class_Players!$A:$A,Class_Players!$F:$F,"")</f>
        <v>7078</v>
      </c>
      <c r="I1044" s="44">
        <f t="shared" si="239"/>
        <v>2.8256569652444194E-4</v>
      </c>
      <c r="J1044" s="43">
        <f t="shared" si="240"/>
        <v>0</v>
      </c>
      <c r="K1044" s="44" cm="1">
        <f t="array" ref="K1044">IF(D1044="Gadget",_xlfn.IFS(I1044&gt;=0.2,0.5,I1044&gt;=0.1,0.35,I1044&gt;=0.05,0.2,TRUE,0),IF(D1044="Grenade",_xlfn.IFS(I1044&gt;=0.2,1,I1044&gt;=0.1,0.7,I1044&gt;=0.05,0.4,TRUE,0),0))</f>
        <v>0</v>
      </c>
      <c r="L1044" s="57">
        <f t="shared" si="237"/>
        <v>0</v>
      </c>
    </row>
    <row r="1045" spans="1:12" x14ac:dyDescent="0.25">
      <c r="A1045" s="42" t="str" cm="1">
        <f t="array" ref="A1045">IFERROR(INDEX(_xlfn._xlws.FILTER(Class_Players!A:A,Class_Players!B:B="Engineer"),QUOTIENT(ROW()-ROW($A$2),12)+1),"")</f>
        <v>LRT-JEMSYS-787</v>
      </c>
      <c r="B1045" s="42" t="str">
        <f>_xlfn.XLOOKUP(A1045,Class_Players!$A:$A,Class_Players!$B:$B,"")</f>
        <v>Engineer</v>
      </c>
      <c r="C1045" s="42" t="str" cm="1">
        <f t="array" ref="C1045">INDEX(Lookups!$B$2:$B$13,MOD(ROW()-ROW($B$2),ROWS(Lookups!$B$2:$B$13))+1)</f>
        <v>Anti-Vehicle Grenade</v>
      </c>
      <c r="D1045" s="38" t="str">
        <f>_xlfn.XLOOKUP(C1045,Analysis_Gadgets!$C:$C,Analysis_Gadgets!$B:$B)</f>
        <v>Grenade</v>
      </c>
      <c r="E1045" s="43">
        <v>0</v>
      </c>
      <c r="F1045" s="43">
        <f>_xlfn.XLOOKUP(A1045,Class_Players!A:A,Class_Players!G:G)</f>
        <v>179</v>
      </c>
      <c r="G1045" s="43">
        <f t="shared" si="238"/>
        <v>0</v>
      </c>
      <c r="H1045" s="43">
        <f>_xlfn.XLOOKUP(A1045,Class_Players!$A:$A,Class_Players!$F:$F,"")</f>
        <v>7078</v>
      </c>
      <c r="I1045" s="44">
        <f t="shared" si="239"/>
        <v>0</v>
      </c>
      <c r="J1045" s="43">
        <f t="shared" si="240"/>
        <v>0</v>
      </c>
      <c r="K1045" s="44" cm="1">
        <f t="array" ref="K1045">IF(D1045="Gadget",_xlfn.IFS(I1045&gt;=0.2,0.5,I1045&gt;=0.1,0.35,I1045&gt;=0.05,0.2,TRUE,0),IF(D1045="Grenade",_xlfn.IFS(I1045&gt;=0.2,1,I1045&gt;=0.1,0.7,I1045&gt;=0.05,0.4,TRUE,0),0))</f>
        <v>0</v>
      </c>
      <c r="L1045" s="57">
        <f t="shared" si="237"/>
        <v>0</v>
      </c>
    </row>
    <row r="1046" spans="1:12" x14ac:dyDescent="0.25">
      <c r="A1046" s="42" t="str" cm="1">
        <f t="array" ref="A1046">IFERROR(INDEX(_xlfn._xlws.FILTER(Class_Players!A:A,Class_Players!B:B="Engineer"),QUOTIENT(ROW()-ROW($A$2),12)+1),"")</f>
        <v>CCB-PLAAF-咕噜咕噜</v>
      </c>
      <c r="B1046" s="42" t="str">
        <f>_xlfn.XLOOKUP(A1046,Class_Players!$A:$A,Class_Players!$B:$B,"")</f>
        <v>Engineer</v>
      </c>
      <c r="C1046" s="42" t="str" cm="1">
        <f t="array" ref="C1046">INDEX(Lookups!$B$2:$B$13,MOD(ROW()-ROW($B$2),ROWS(Lookups!$B$2:$B$13))+1)</f>
        <v>MBT-LAW (Auto-Guided Launcher)</v>
      </c>
      <c r="D1046" s="38" t="str">
        <f>_xlfn.XLOOKUP(C1046,Analysis_Gadgets!$C:$C,Analysis_Gadgets!$B:$B)</f>
        <v>Gadget</v>
      </c>
      <c r="E1046" s="43">
        <v>0</v>
      </c>
      <c r="F1046" s="43">
        <f>_xlfn.XLOOKUP(A1046,Class_Players!A:A,Class_Players!G:G)</f>
        <v>200</v>
      </c>
      <c r="G1046" s="43">
        <f t="shared" si="238"/>
        <v>0</v>
      </c>
      <c r="H1046" s="43">
        <f>_xlfn.XLOOKUP(A1046,Class_Players!$A:$A,Class_Players!$F:$F,"")</f>
        <v>7041</v>
      </c>
      <c r="I1046" s="44">
        <f t="shared" si="239"/>
        <v>0</v>
      </c>
      <c r="J1046" s="43">
        <f t="shared" si="240"/>
        <v>0</v>
      </c>
      <c r="K1046" s="44" cm="1">
        <f t="array" ref="K1046">IF(D1046="Gadget",_xlfn.IFS(I1046&gt;=0.2,0.5,I1046&gt;=0.1,0.35,I1046&gt;=0.05,0.2,TRUE,0),IF(D1046="Grenade",_xlfn.IFS(I1046&gt;=0.2,1,I1046&gt;=0.1,0.7,I1046&gt;=0.05,0.4,TRUE,0),0))</f>
        <v>0</v>
      </c>
      <c r="L1046" s="57">
        <f t="shared" si="236"/>
        <v>0</v>
      </c>
    </row>
    <row r="1047" spans="1:12" x14ac:dyDescent="0.25">
      <c r="A1047" s="42" t="str" cm="1">
        <f t="array" ref="A1047">IFERROR(INDEX(_xlfn._xlws.FILTER(Class_Players!A:A,Class_Players!B:B="Engineer"),QUOTIENT(ROW()-ROW($A$2),12)+1),"")</f>
        <v>CCB-PLAAF-咕噜咕噜</v>
      </c>
      <c r="B1047" s="42" t="str">
        <f>_xlfn.XLOOKUP(A1047,Class_Players!$A:$A,Class_Players!$B:$B,"")</f>
        <v>Engineer</v>
      </c>
      <c r="C1047" s="42" t="str" cm="1">
        <f t="array" ref="C1047">INDEX(Lookups!$B$2:$B$13,MOD(ROW()-ROW($B$2),ROWS(Lookups!$B$2:$B$13))+1)</f>
        <v>SLM-93A (Air-Defense Launcher)</v>
      </c>
      <c r="D1047" s="38" t="str">
        <f>_xlfn.XLOOKUP(C1047,Analysis_Gadgets!$C:$C,Analysis_Gadgets!$B:$B)</f>
        <v>Gadget</v>
      </c>
      <c r="E1047" s="43">
        <v>3</v>
      </c>
      <c r="F1047" s="43">
        <f>_xlfn.XLOOKUP(A1047,Class_Players!A:A,Class_Players!G:G)</f>
        <v>200</v>
      </c>
      <c r="G1047" s="43">
        <f t="shared" si="238"/>
        <v>1.4999999999999999E-2</v>
      </c>
      <c r="H1047" s="43">
        <f>_xlfn.XLOOKUP(A1047,Class_Players!$A:$A,Class_Players!$F:$F,"")</f>
        <v>7041</v>
      </c>
      <c r="I1047" s="44">
        <f t="shared" si="239"/>
        <v>4.2607584149978694E-4</v>
      </c>
      <c r="J1047" s="43">
        <f t="shared" si="240"/>
        <v>0</v>
      </c>
      <c r="K1047" s="44" cm="1">
        <f t="array" ref="K1047">IF(D1047="Gadget",_xlfn.IFS(I1047&gt;=0.2,0.5,I1047&gt;=0.1,0.35,I1047&gt;=0.05,0.2,TRUE,0),IF(D1047="Grenade",_xlfn.IFS(I1047&gt;=0.2,1,I1047&gt;=0.1,0.7,I1047&gt;=0.05,0.4,TRUE,0),0))</f>
        <v>0</v>
      </c>
      <c r="L1047" s="57">
        <f t="shared" si="236"/>
        <v>0</v>
      </c>
    </row>
    <row r="1048" spans="1:12" x14ac:dyDescent="0.25">
      <c r="A1048" s="42" t="str" cm="1">
        <f t="array" ref="A1048">IFERROR(INDEX(_xlfn._xlws.FILTER(Class_Players!A:A,Class_Players!B:B="Engineer"),QUOTIENT(ROW()-ROW($A$2),12)+1),"")</f>
        <v>CCB-PLAAF-咕噜咕噜</v>
      </c>
      <c r="B1048" s="42" t="str">
        <f>_xlfn.XLOOKUP(A1048,Class_Players!$A:$A,Class_Players!$B:$B,"")</f>
        <v>Engineer</v>
      </c>
      <c r="C1048" s="42" t="str" cm="1">
        <f t="array" ref="C1048">INDEX(Lookups!$B$2:$B$13,MOD(ROW()-ROW($B$2),ROWS(Lookups!$B$2:$B$13))+1)</f>
        <v>RPG-7V2 (Unguided Rocket Launcher)</v>
      </c>
      <c r="D1048" s="38" t="str">
        <f>_xlfn.XLOOKUP(C1048,Analysis_Gadgets!$C:$C,Analysis_Gadgets!$B:$B)</f>
        <v>Gadget</v>
      </c>
      <c r="E1048" s="43">
        <v>2831</v>
      </c>
      <c r="F1048" s="43">
        <f>_xlfn.XLOOKUP(A1048,Class_Players!A:A,Class_Players!G:G)</f>
        <v>200</v>
      </c>
      <c r="G1048" s="43">
        <f t="shared" si="238"/>
        <v>14.154999999999999</v>
      </c>
      <c r="H1048" s="43">
        <f>_xlfn.XLOOKUP(A1048,Class_Players!$A:$A,Class_Players!$F:$F,"")</f>
        <v>7041</v>
      </c>
      <c r="I1048" s="44">
        <f t="shared" si="239"/>
        <v>0.40207356909529895</v>
      </c>
      <c r="J1048" s="43">
        <f t="shared" si="240"/>
        <v>1</v>
      </c>
      <c r="K1048" s="44" cm="1">
        <f t="array" ref="K1048">IF(D1048="Gadget",_xlfn.IFS(I1048&gt;=0.2,0.5,I1048&gt;=0.1,0.35,I1048&gt;=0.05,0.2,TRUE,0),IF(D1048="Grenade",_xlfn.IFS(I1048&gt;=0.2,1,I1048&gt;=0.1,0.7,I1048&gt;=0.05,0.4,TRUE,0),0))</f>
        <v>0.5</v>
      </c>
      <c r="L1048" s="57">
        <f t="shared" si="236"/>
        <v>0.58823529411764708</v>
      </c>
    </row>
    <row r="1049" spans="1:12" x14ac:dyDescent="0.25">
      <c r="A1049" s="42" t="str" cm="1">
        <f t="array" ref="A1049">IFERROR(INDEX(_xlfn._xlws.FILTER(Class_Players!A:A,Class_Players!B:B="Engineer"),QUOTIENT(ROW()-ROW($A$2),12)+1),"")</f>
        <v>CCB-PLAAF-咕噜咕噜</v>
      </c>
      <c r="B1049" s="42" t="str">
        <f>_xlfn.XLOOKUP(A1049,Class_Players!$A:$A,Class_Players!$B:$B,"")</f>
        <v>Engineer</v>
      </c>
      <c r="C1049" s="42" t="str" cm="1">
        <f t="array" ref="C1049">INDEX(Lookups!$B$2:$B$13,MOD(ROW()-ROW($B$2),ROWS(Lookups!$B$2:$B$13))+1)</f>
        <v>MAS 148 (Long-Range Launcher)</v>
      </c>
      <c r="D1049" s="38" t="str">
        <f>_xlfn.XLOOKUP(C1049,Analysis_Gadgets!$C:$C,Analysis_Gadgets!$B:$B)</f>
        <v>Gadget</v>
      </c>
      <c r="E1049" s="43">
        <v>0</v>
      </c>
      <c r="F1049" s="43">
        <f>_xlfn.XLOOKUP(A1049,Class_Players!A:A,Class_Players!G:G)</f>
        <v>200</v>
      </c>
      <c r="G1049" s="43">
        <f t="shared" si="238"/>
        <v>0</v>
      </c>
      <c r="H1049" s="43">
        <f>_xlfn.XLOOKUP(A1049,Class_Players!$A:$A,Class_Players!$F:$F,"")</f>
        <v>7041</v>
      </c>
      <c r="I1049" s="44">
        <f t="shared" si="239"/>
        <v>0</v>
      </c>
      <c r="J1049" s="43">
        <f t="shared" si="240"/>
        <v>0</v>
      </c>
      <c r="K1049" s="44" cm="1">
        <f t="array" ref="K1049">IF(D1049="Gadget",_xlfn.IFS(I1049&gt;=0.2,0.5,I1049&gt;=0.1,0.35,I1049&gt;=0.05,0.2,TRUE,0),IF(D1049="Grenade",_xlfn.IFS(I1049&gt;=0.2,1,I1049&gt;=0.1,0.7,I1049&gt;=0.05,0.4,TRUE,0),0))</f>
        <v>0</v>
      </c>
      <c r="L1049" s="57">
        <f t="shared" si="236"/>
        <v>0</v>
      </c>
    </row>
    <row r="1050" spans="1:12" x14ac:dyDescent="0.25">
      <c r="A1050" s="42" t="str" cm="1">
        <f t="array" ref="A1050">IFERROR(INDEX(_xlfn._xlws.FILTER(Class_Players!A:A,Class_Players!B:B="Engineer"),QUOTIENT(ROW()-ROW($A$2),12)+1),"")</f>
        <v>CCB-PLAAF-咕噜咕噜</v>
      </c>
      <c r="B1050" s="42" t="str">
        <f>_xlfn.XLOOKUP(A1050,Class_Players!$A:$A,Class_Players!$B:$B,"")</f>
        <v>Engineer</v>
      </c>
      <c r="C1050" s="42" t="str" cm="1">
        <f t="array" ref="C1050">INDEX(Lookups!$B$2:$B$13,MOD(ROW()-ROW($B$2),ROWS(Lookups!$B$2:$B$13))+1)</f>
        <v>M136 AT (Aim-Guided Launcher)</v>
      </c>
      <c r="D1050" s="38" t="str">
        <f>_xlfn.XLOOKUP(C1050,Analysis_Gadgets!$C:$C,Analysis_Gadgets!$B:$B)</f>
        <v>Gadget</v>
      </c>
      <c r="E1050" s="43">
        <v>2</v>
      </c>
      <c r="F1050" s="43">
        <f>_xlfn.XLOOKUP(A1050,Class_Players!A:A,Class_Players!G:G)</f>
        <v>200</v>
      </c>
      <c r="G1050" s="43">
        <f t="shared" si="238"/>
        <v>0.01</v>
      </c>
      <c r="H1050" s="43">
        <f>_xlfn.XLOOKUP(A1050,Class_Players!$A:$A,Class_Players!$F:$F,"")</f>
        <v>7041</v>
      </c>
      <c r="I1050" s="44">
        <f t="shared" si="239"/>
        <v>2.84050560999858E-4</v>
      </c>
      <c r="J1050" s="43">
        <f t="shared" si="240"/>
        <v>0</v>
      </c>
      <c r="K1050" s="44" cm="1">
        <f t="array" ref="K1050">IF(D1050="Gadget",_xlfn.IFS(I1050&gt;=0.2,0.5,I1050&gt;=0.1,0.35,I1050&gt;=0.05,0.2,TRUE,0),IF(D1050="Grenade",_xlfn.IFS(I1050&gt;=0.2,1,I1050&gt;=0.1,0.7,I1050&gt;=0.05,0.4,TRUE,0),0))</f>
        <v>0</v>
      </c>
      <c r="L1050" s="57">
        <f t="shared" si="236"/>
        <v>0</v>
      </c>
    </row>
    <row r="1051" spans="1:12" x14ac:dyDescent="0.25">
      <c r="A1051" s="42" t="str" cm="1">
        <f t="array" ref="A1051">IFERROR(INDEX(_xlfn._xlws.FILTER(Class_Players!A:A,Class_Players!B:B="Engineer"),QUOTIENT(ROW()-ROW($A$2),12)+1),"")</f>
        <v>CCB-PLAAF-咕噜咕噜</v>
      </c>
      <c r="B1051" s="42" t="str">
        <f>_xlfn.XLOOKUP(A1051,Class_Players!$A:$A,Class_Players!$B:$B,"")</f>
        <v>Engineer</v>
      </c>
      <c r="C1051" s="42" t="str" cm="1">
        <f t="array" ref="C1051">INDEX(Lookups!$B$2:$B$13,MOD(ROW()-ROW($B$2),ROWS(Lookups!$B$2:$B$13))+1)</f>
        <v>Supply Crate</v>
      </c>
      <c r="D1051" s="38" t="str">
        <f>_xlfn.XLOOKUP(C1051,Analysis_Gadgets!$C:$C,Analysis_Gadgets!$B:$B)</f>
        <v>Gadget</v>
      </c>
      <c r="E1051" s="43">
        <v>14</v>
      </c>
      <c r="F1051" s="43">
        <f>_xlfn.XLOOKUP(A1051,Class_Players!A:A,Class_Players!G:G)</f>
        <v>200</v>
      </c>
      <c r="G1051" s="43">
        <f t="shared" si="238"/>
        <v>7.0000000000000007E-2</v>
      </c>
      <c r="H1051" s="43">
        <f>_xlfn.XLOOKUP(A1051,Class_Players!$A:$A,Class_Players!$F:$F,"")</f>
        <v>7041</v>
      </c>
      <c r="I1051" s="44">
        <f t="shared" si="239"/>
        <v>1.9883539269990058E-3</v>
      </c>
      <c r="J1051" s="43">
        <f t="shared" si="240"/>
        <v>0</v>
      </c>
      <c r="K1051" s="44" cm="1">
        <f t="array" ref="K1051">IF(D1051="Gadget",_xlfn.IFS(I1051&gt;=0.2,0.5,I1051&gt;=0.1,0.35,I1051&gt;=0.05,0.2,TRUE,0),IF(D1051="Grenade",_xlfn.IFS(I1051&gt;=0.2,1,I1051&gt;=0.1,0.7,I1051&gt;=0.05,0.4,TRUE,0),0))</f>
        <v>0</v>
      </c>
      <c r="L1051" s="57">
        <f t="shared" si="236"/>
        <v>0</v>
      </c>
    </row>
    <row r="1052" spans="1:12" x14ac:dyDescent="0.25">
      <c r="A1052" s="42" t="str" cm="1">
        <f t="array" ref="A1052">IFERROR(INDEX(_xlfn._xlws.FILTER(Class_Players!A:A,Class_Players!B:B="Engineer"),QUOTIENT(ROW()-ROW($A$2),12)+1),"")</f>
        <v>CCB-PLAAF-咕噜咕噜</v>
      </c>
      <c r="B1052" s="42" t="str">
        <f>_xlfn.XLOOKUP(A1052,Class_Players!$A:$A,Class_Players!$B:$B,"")</f>
        <v>Engineer</v>
      </c>
      <c r="C1052" s="42" t="str" cm="1">
        <f t="array" ref="C1052">INDEX(Lookups!$B$2:$B$13,MOD(ROW()-ROW($B$2),ROWS(Lookups!$B$2:$B$13))+1)</f>
        <v>M15 (Anti-Vehicle Mine)</v>
      </c>
      <c r="D1052" s="38" t="str">
        <f>_xlfn.XLOOKUP(C1052,Analysis_Gadgets!$C:$C,Analysis_Gadgets!$B:$B)</f>
        <v>Gadget</v>
      </c>
      <c r="E1052" s="43">
        <v>919</v>
      </c>
      <c r="F1052" s="43">
        <f>_xlfn.XLOOKUP(A1052,Class_Players!A:A,Class_Players!G:G)</f>
        <v>200</v>
      </c>
      <c r="G1052" s="43">
        <f t="shared" si="238"/>
        <v>4.5949999999999998</v>
      </c>
      <c r="H1052" s="43">
        <f>_xlfn.XLOOKUP(A1052,Class_Players!$A:$A,Class_Players!$F:$F,"")</f>
        <v>7041</v>
      </c>
      <c r="I1052" s="44">
        <f t="shared" si="239"/>
        <v>0.13052123277943473</v>
      </c>
      <c r="J1052" s="43">
        <f t="shared" si="240"/>
        <v>1</v>
      </c>
      <c r="K1052" s="44" cm="1">
        <f t="array" ref="K1052">IF(D1052="Gadget",_xlfn.IFS(I1052&gt;=0.2,0.5,I1052&gt;=0.1,0.35,I1052&gt;=0.05,0.2,TRUE,0),IF(D1052="Grenade",_xlfn.IFS(I1052&gt;=0.2,1,I1052&gt;=0.1,0.7,I1052&gt;=0.05,0.4,TRUE,0),0))</f>
        <v>0.35</v>
      </c>
      <c r="L1052" s="57">
        <f t="shared" si="236"/>
        <v>0.41176470588235292</v>
      </c>
    </row>
    <row r="1053" spans="1:12" x14ac:dyDescent="0.25">
      <c r="A1053" s="42" t="str" cm="1">
        <f t="array" ref="A1053">IFERROR(INDEX(_xlfn._xlws.FILTER(Class_Players!A:A,Class_Players!B:B="Engineer"),QUOTIENT(ROW()-ROW($A$2),12)+1),"")</f>
        <v>CCB-PLAAF-咕噜咕噜</v>
      </c>
      <c r="B1053" s="42" t="str">
        <f>_xlfn.XLOOKUP(A1053,Class_Players!$A:$A,Class_Players!$B:$B,"")</f>
        <v>Engineer</v>
      </c>
      <c r="C1053" s="42" t="str" cm="1">
        <f t="array" ref="C1053">INDEX(Lookups!$B$2:$B$13,MOD(ROW()-ROW($B$2),ROWS(Lookups!$B$2:$B$13))+1)</f>
        <v>PTKM-1R (Acoustic Sensor AV Mine)</v>
      </c>
      <c r="D1053" s="38" t="str">
        <f>_xlfn.XLOOKUP(C1053,Analysis_Gadgets!$C:$C,Analysis_Gadgets!$B:$B)</f>
        <v>Gadget</v>
      </c>
      <c r="E1053" s="43">
        <v>17</v>
      </c>
      <c r="F1053" s="43">
        <f>_xlfn.XLOOKUP(A1053,Class_Players!A:A,Class_Players!G:G)</f>
        <v>200</v>
      </c>
      <c r="G1053" s="43">
        <f t="shared" si="238"/>
        <v>8.5000000000000006E-2</v>
      </c>
      <c r="H1053" s="43">
        <f>_xlfn.XLOOKUP(A1053,Class_Players!$A:$A,Class_Players!$F:$F,"")</f>
        <v>7041</v>
      </c>
      <c r="I1053" s="44">
        <f t="shared" si="239"/>
        <v>2.4144297684987929E-3</v>
      </c>
      <c r="J1053" s="43">
        <f t="shared" si="240"/>
        <v>0</v>
      </c>
      <c r="K1053" s="44" cm="1">
        <f t="array" ref="K1053">IF(D1053="Gadget",_xlfn.IFS(I1053&gt;=0.2,0.5,I1053&gt;=0.1,0.35,I1053&gt;=0.05,0.2,TRUE,0),IF(D1053="Grenade",_xlfn.IFS(I1053&gt;=0.2,1,I1053&gt;=0.1,0.7,I1053&gt;=0.05,0.4,TRUE,0),0))</f>
        <v>0</v>
      </c>
      <c r="L1053" s="57">
        <f t="shared" si="236"/>
        <v>0</v>
      </c>
    </row>
    <row r="1054" spans="1:12" x14ac:dyDescent="0.25">
      <c r="A1054" s="42" t="str" cm="1">
        <f t="array" ref="A1054">IFERROR(INDEX(_xlfn._xlws.FILTER(Class_Players!A:A,Class_Players!B:B="Engineer"),QUOTIENT(ROW()-ROW($A$2),12)+1),"")</f>
        <v>CCB-PLAAF-咕噜咕噜</v>
      </c>
      <c r="B1054" s="42" t="str">
        <f>_xlfn.XLOOKUP(A1054,Class_Players!$A:$A,Class_Players!$B:$B,"")</f>
        <v>Engineer</v>
      </c>
      <c r="C1054" s="42" t="str" cm="1">
        <f t="array" ref="C1054">INDEX(Lookups!$B$2:$B$13,MOD(ROW()-ROW($B$2),ROWS(Lookups!$B$2:$B$13))+1)</f>
        <v>EOD Bot</v>
      </c>
      <c r="D1054" s="38" t="str">
        <f>_xlfn.XLOOKUP(C1054,Analysis_Gadgets!$C:$C,Analysis_Gadgets!$B:$B)</f>
        <v>Gadget</v>
      </c>
      <c r="E1054" s="43">
        <v>0</v>
      </c>
      <c r="F1054" s="43">
        <f>_xlfn.XLOOKUP(A1054,Class_Players!A:A,Class_Players!G:G)</f>
        <v>200</v>
      </c>
      <c r="G1054" s="43">
        <f t="shared" si="238"/>
        <v>0</v>
      </c>
      <c r="H1054" s="43">
        <f>_xlfn.XLOOKUP(A1054,Class_Players!$A:$A,Class_Players!$F:$F,"")</f>
        <v>7041</v>
      </c>
      <c r="I1054" s="44">
        <f t="shared" si="239"/>
        <v>0</v>
      </c>
      <c r="J1054" s="43">
        <f t="shared" si="240"/>
        <v>0</v>
      </c>
      <c r="K1054" s="44" cm="1">
        <f t="array" ref="K1054">IF(D1054="Gadget",_xlfn.IFS(I1054&gt;=0.2,0.5,I1054&gt;=0.1,0.35,I1054&gt;=0.05,0.2,TRUE,0),IF(D1054="Grenade",_xlfn.IFS(I1054&gt;=0.2,1,I1054&gt;=0.1,0.7,I1054&gt;=0.05,0.4,TRUE,0),0))</f>
        <v>0</v>
      </c>
      <c r="L1054" s="57">
        <f t="shared" si="236"/>
        <v>0</v>
      </c>
    </row>
    <row r="1055" spans="1:12" x14ac:dyDescent="0.25">
      <c r="A1055" s="42" t="str" cm="1">
        <f t="array" ref="A1055">IFERROR(INDEX(_xlfn._xlws.FILTER(Class_Players!A:A,Class_Players!B:B="Engineer"),QUOTIENT(ROW()-ROW($A$2),12)+1),"")</f>
        <v>CCB-PLAAF-咕噜咕噜</v>
      </c>
      <c r="B1055" s="42" t="str">
        <f>_xlfn.XLOOKUP(A1055,Class_Players!$A:$A,Class_Players!$B:$B,"")</f>
        <v>Engineer</v>
      </c>
      <c r="C1055" s="42" t="str" cm="1">
        <f t="array" ref="C1055">INDEX(Lookups!$B$2:$B$13,MOD(ROW()-ROW($B$2),ROWS(Lookups!$B$2:$B$13))+1)</f>
        <v>M4A1 SLAM (Tripwire Sensor AV Mine)</v>
      </c>
      <c r="D1055" s="38" t="str">
        <f>_xlfn.XLOOKUP(C1055,Analysis_Gadgets!$C:$C,Analysis_Gadgets!$B:$B)</f>
        <v>Gadget</v>
      </c>
      <c r="E1055" s="43">
        <v>0</v>
      </c>
      <c r="F1055" s="43">
        <f>_xlfn.XLOOKUP(A1055,Class_Players!A:A,Class_Players!G:G)</f>
        <v>200</v>
      </c>
      <c r="G1055" s="43">
        <f t="shared" si="238"/>
        <v>0</v>
      </c>
      <c r="H1055" s="43">
        <f>_xlfn.XLOOKUP(A1055,Class_Players!$A:$A,Class_Players!$F:$F,"")</f>
        <v>7041</v>
      </c>
      <c r="I1055" s="44">
        <f t="shared" si="239"/>
        <v>0</v>
      </c>
      <c r="J1055" s="43">
        <f t="shared" si="240"/>
        <v>0</v>
      </c>
      <c r="K1055" s="44" cm="1">
        <f t="array" ref="K1055">IF(D1055="Gadget",_xlfn.IFS(I1055&gt;=0.2,0.5,I1055&gt;=0.1,0.35,I1055&gt;=0.05,0.2,TRUE,0),IF(D1055="Grenade",_xlfn.IFS(I1055&gt;=0.2,1,I1055&gt;=0.1,0.7,I1055&gt;=0.05,0.4,TRUE,0),0))</f>
        <v>0</v>
      </c>
      <c r="L1055" s="57">
        <f t="shared" si="236"/>
        <v>0</v>
      </c>
    </row>
    <row r="1056" spans="1:12" x14ac:dyDescent="0.25">
      <c r="A1056" s="42" t="str" cm="1">
        <f t="array" ref="A1056">IFERROR(INDEX(_xlfn._xlws.FILTER(Class_Players!A:A,Class_Players!B:B="Engineer"),QUOTIENT(ROW()-ROW($A$2),12)+1),"")</f>
        <v>CCB-PLAAF-咕噜咕噜</v>
      </c>
      <c r="B1056" s="42" t="str">
        <f>_xlfn.XLOOKUP(A1056,Class_Players!$A:$A,Class_Players!$B:$B,"")</f>
        <v>Engineer</v>
      </c>
      <c r="C1056" s="42" t="str" cm="1">
        <f t="array" ref="C1056">INDEX(Lookups!$B$2:$B$13,MOD(ROW()-ROW($B$2),ROWS(Lookups!$B$2:$B$13))+1)</f>
        <v>Mini Frag Grenade</v>
      </c>
      <c r="D1056" s="38" t="str">
        <f>_xlfn.XLOOKUP(C1056,Analysis_Gadgets!$C:$C,Analysis_Gadgets!$B:$B)</f>
        <v>Grenade</v>
      </c>
      <c r="E1056" s="43">
        <v>0</v>
      </c>
      <c r="F1056" s="43">
        <f>_xlfn.XLOOKUP(A1056,Class_Players!A:A,Class_Players!G:G)</f>
        <v>200</v>
      </c>
      <c r="G1056" s="43">
        <f t="shared" si="238"/>
        <v>0</v>
      </c>
      <c r="H1056" s="43">
        <f>_xlfn.XLOOKUP(A1056,Class_Players!$A:$A,Class_Players!$F:$F,"")</f>
        <v>7041</v>
      </c>
      <c r="I1056" s="44">
        <f t="shared" si="239"/>
        <v>0</v>
      </c>
      <c r="J1056" s="43">
        <f t="shared" si="240"/>
        <v>0</v>
      </c>
      <c r="K1056" s="44" cm="1">
        <f t="array" ref="K1056">IF(D1056="Gadget",_xlfn.IFS(I1056&gt;=0.2,0.5,I1056&gt;=0.1,0.35,I1056&gt;=0.05,0.2,TRUE,0),IF(D1056="Grenade",_xlfn.IFS(I1056&gt;=0.2,1,I1056&gt;=0.1,0.7,I1056&gt;=0.05,0.4,TRUE,0),0))</f>
        <v>0</v>
      </c>
      <c r="L1056" s="57">
        <f t="shared" si="237"/>
        <v>0</v>
      </c>
    </row>
    <row r="1057" spans="1:12" x14ac:dyDescent="0.25">
      <c r="A1057" s="42" t="str" cm="1">
        <f t="array" ref="A1057">IFERROR(INDEX(_xlfn._xlws.FILTER(Class_Players!A:A,Class_Players!B:B="Engineer"),QUOTIENT(ROW()-ROW($A$2),12)+1),"")</f>
        <v>CCB-PLAAF-咕噜咕噜</v>
      </c>
      <c r="B1057" s="42" t="str">
        <f>_xlfn.XLOOKUP(A1057,Class_Players!$A:$A,Class_Players!$B:$B,"")</f>
        <v>Engineer</v>
      </c>
      <c r="C1057" s="42" t="str" cm="1">
        <f t="array" ref="C1057">INDEX(Lookups!$B$2:$B$13,MOD(ROW()-ROW($B$2),ROWS(Lookups!$B$2:$B$13))+1)</f>
        <v>Anti-Vehicle Grenade</v>
      </c>
      <c r="D1057" s="38" t="str">
        <f>_xlfn.XLOOKUP(C1057,Analysis_Gadgets!$C:$C,Analysis_Gadgets!$B:$B)</f>
        <v>Grenade</v>
      </c>
      <c r="E1057" s="43">
        <v>0</v>
      </c>
      <c r="F1057" s="43">
        <f>_xlfn.XLOOKUP(A1057,Class_Players!A:A,Class_Players!G:G)</f>
        <v>200</v>
      </c>
      <c r="G1057" s="43">
        <f t="shared" si="238"/>
        <v>0</v>
      </c>
      <c r="H1057" s="43">
        <f>_xlfn.XLOOKUP(A1057,Class_Players!$A:$A,Class_Players!$F:$F,"")</f>
        <v>7041</v>
      </c>
      <c r="I1057" s="44">
        <f t="shared" si="239"/>
        <v>0</v>
      </c>
      <c r="J1057" s="43">
        <f t="shared" si="240"/>
        <v>0</v>
      </c>
      <c r="K1057" s="44" cm="1">
        <f t="array" ref="K1057">IF(D1057="Gadget",_xlfn.IFS(I1057&gt;=0.2,0.5,I1057&gt;=0.1,0.35,I1057&gt;=0.05,0.2,TRUE,0),IF(D1057="Grenade",_xlfn.IFS(I1057&gt;=0.2,1,I1057&gt;=0.1,0.7,I1057&gt;=0.05,0.4,TRUE,0),0))</f>
        <v>0</v>
      </c>
      <c r="L1057" s="57">
        <f t="shared" si="237"/>
        <v>0</v>
      </c>
    </row>
    <row r="1058" spans="1:12" x14ac:dyDescent="0.25">
      <c r="A1058" s="42" t="str" cm="1">
        <f t="array" ref="A1058">IFERROR(INDEX(_xlfn._xlws.FILTER(Class_Players!A:A,Class_Players!B:B="Engineer"),QUOTIENT(ROW()-ROW($A$2),12)+1),"")</f>
        <v>SYM-Shadowlerks</v>
      </c>
      <c r="B1058" s="42" t="str">
        <f>_xlfn.XLOOKUP(A1058,Class_Players!$A:$A,Class_Players!$B:$B,"")</f>
        <v>Engineer</v>
      </c>
      <c r="C1058" s="42" t="str" cm="1">
        <f t="array" ref="C1058">INDEX(Lookups!$B$2:$B$13,MOD(ROW()-ROW($B$2),ROWS(Lookups!$B$2:$B$13))+1)</f>
        <v>MBT-LAW (Auto-Guided Launcher)</v>
      </c>
      <c r="D1058" s="38" t="str">
        <f>_xlfn.XLOOKUP(C1058,Analysis_Gadgets!$C:$C,Analysis_Gadgets!$B:$B)</f>
        <v>Gadget</v>
      </c>
      <c r="E1058" s="43">
        <v>0</v>
      </c>
      <c r="F1058" s="43">
        <f>_xlfn.XLOOKUP(A1058,Class_Players!A:A,Class_Players!G:G)</f>
        <v>188</v>
      </c>
      <c r="G1058" s="43">
        <f t="shared" si="238"/>
        <v>0</v>
      </c>
      <c r="H1058" s="43">
        <f>_xlfn.XLOOKUP(A1058,Class_Players!$A:$A,Class_Players!$F:$F,"")</f>
        <v>7085</v>
      </c>
      <c r="I1058" s="44">
        <f t="shared" si="239"/>
        <v>0</v>
      </c>
      <c r="J1058" s="43">
        <f t="shared" si="240"/>
        <v>0</v>
      </c>
      <c r="K1058" s="44" cm="1">
        <f t="array" ref="K1058">IF(D1058="Gadget",_xlfn.IFS(I1058&gt;=0.2,0.5,I1058&gt;=0.1,0.35,I1058&gt;=0.05,0.2,TRUE,0),IF(D1058="Grenade",_xlfn.IFS(I1058&gt;=0.2,1,I1058&gt;=0.1,0.7,I1058&gt;=0.05,0.4,TRUE,0),0))</f>
        <v>0</v>
      </c>
      <c r="L1058" s="57">
        <f t="shared" si="236"/>
        <v>0</v>
      </c>
    </row>
    <row r="1059" spans="1:12" x14ac:dyDescent="0.25">
      <c r="A1059" s="42" t="str" cm="1">
        <f t="array" ref="A1059">IFERROR(INDEX(_xlfn._xlws.FILTER(Class_Players!A:A,Class_Players!B:B="Engineer"),QUOTIENT(ROW()-ROW($A$2),12)+1),"")</f>
        <v>SYM-Shadowlerks</v>
      </c>
      <c r="B1059" s="42" t="str">
        <f>_xlfn.XLOOKUP(A1059,Class_Players!$A:$A,Class_Players!$B:$B,"")</f>
        <v>Engineer</v>
      </c>
      <c r="C1059" s="42" t="str" cm="1">
        <f t="array" ref="C1059">INDEX(Lookups!$B$2:$B$13,MOD(ROW()-ROW($B$2),ROWS(Lookups!$B$2:$B$13))+1)</f>
        <v>SLM-93A (Air-Defense Launcher)</v>
      </c>
      <c r="D1059" s="38" t="str">
        <f>_xlfn.XLOOKUP(C1059,Analysis_Gadgets!$C:$C,Analysis_Gadgets!$B:$B)</f>
        <v>Gadget</v>
      </c>
      <c r="E1059" s="43">
        <v>6</v>
      </c>
      <c r="F1059" s="43">
        <f>_xlfn.XLOOKUP(A1059,Class_Players!A:A,Class_Players!G:G)</f>
        <v>188</v>
      </c>
      <c r="G1059" s="43">
        <f t="shared" si="238"/>
        <v>3.1914893617021274E-2</v>
      </c>
      <c r="H1059" s="43">
        <f>_xlfn.XLOOKUP(A1059,Class_Players!$A:$A,Class_Players!$F:$F,"")</f>
        <v>7085</v>
      </c>
      <c r="I1059" s="44">
        <f t="shared" si="239"/>
        <v>8.4685956245589278E-4</v>
      </c>
      <c r="J1059" s="43">
        <f t="shared" si="240"/>
        <v>0</v>
      </c>
      <c r="K1059" s="44" cm="1">
        <f t="array" ref="K1059">IF(D1059="Gadget",_xlfn.IFS(I1059&gt;=0.2,0.5,I1059&gt;=0.1,0.35,I1059&gt;=0.05,0.2,TRUE,0),IF(D1059="Grenade",_xlfn.IFS(I1059&gt;=0.2,1,I1059&gt;=0.1,0.7,I1059&gt;=0.05,0.4,TRUE,0),0))</f>
        <v>0</v>
      </c>
      <c r="L1059" s="57">
        <f t="shared" si="236"/>
        <v>0</v>
      </c>
    </row>
    <row r="1060" spans="1:12" x14ac:dyDescent="0.25">
      <c r="A1060" s="42" t="str" cm="1">
        <f t="array" ref="A1060">IFERROR(INDEX(_xlfn._xlws.FILTER(Class_Players!A:A,Class_Players!B:B="Engineer"),QUOTIENT(ROW()-ROW($A$2),12)+1),"")</f>
        <v>SYM-Shadowlerks</v>
      </c>
      <c r="B1060" s="42" t="str">
        <f>_xlfn.XLOOKUP(A1060,Class_Players!$A:$A,Class_Players!$B:$B,"")</f>
        <v>Engineer</v>
      </c>
      <c r="C1060" s="42" t="str" cm="1">
        <f t="array" ref="C1060">INDEX(Lookups!$B$2:$B$13,MOD(ROW()-ROW($B$2),ROWS(Lookups!$B$2:$B$13))+1)</f>
        <v>RPG-7V2 (Unguided Rocket Launcher)</v>
      </c>
      <c r="D1060" s="38" t="str">
        <f>_xlfn.XLOOKUP(C1060,Analysis_Gadgets!$C:$C,Analysis_Gadgets!$B:$B)</f>
        <v>Gadget</v>
      </c>
      <c r="E1060" s="43">
        <v>4660</v>
      </c>
      <c r="F1060" s="43">
        <f>_xlfn.XLOOKUP(A1060,Class_Players!A:A,Class_Players!G:G)</f>
        <v>188</v>
      </c>
      <c r="G1060" s="43">
        <f t="shared" si="238"/>
        <v>24.787234042553191</v>
      </c>
      <c r="H1060" s="43">
        <f>_xlfn.XLOOKUP(A1060,Class_Players!$A:$A,Class_Players!$F:$F,"")</f>
        <v>7085</v>
      </c>
      <c r="I1060" s="44">
        <f t="shared" si="239"/>
        <v>0.65772759350741006</v>
      </c>
      <c r="J1060" s="43">
        <f t="shared" si="240"/>
        <v>1</v>
      </c>
      <c r="K1060" s="44" cm="1">
        <f t="array" ref="K1060">IF(D1060="Gadget",_xlfn.IFS(I1060&gt;=0.2,0.5,I1060&gt;=0.1,0.35,I1060&gt;=0.05,0.2,TRUE,0),IF(D1060="Grenade",_xlfn.IFS(I1060&gt;=0.2,1,I1060&gt;=0.1,0.7,I1060&gt;=0.05,0.4,TRUE,0),0))</f>
        <v>0.5</v>
      </c>
      <c r="L1060" s="57">
        <f t="shared" si="236"/>
        <v>0.7142857142857143</v>
      </c>
    </row>
    <row r="1061" spans="1:12" x14ac:dyDescent="0.25">
      <c r="A1061" s="42" t="str" cm="1">
        <f t="array" ref="A1061">IFERROR(INDEX(_xlfn._xlws.FILTER(Class_Players!A:A,Class_Players!B:B="Engineer"),QUOTIENT(ROW()-ROW($A$2),12)+1),"")</f>
        <v>SYM-Shadowlerks</v>
      </c>
      <c r="B1061" s="42" t="str">
        <f>_xlfn.XLOOKUP(A1061,Class_Players!$A:$A,Class_Players!$B:$B,"")</f>
        <v>Engineer</v>
      </c>
      <c r="C1061" s="42" t="str" cm="1">
        <f t="array" ref="C1061">INDEX(Lookups!$B$2:$B$13,MOD(ROW()-ROW($B$2),ROWS(Lookups!$B$2:$B$13))+1)</f>
        <v>MAS 148 (Long-Range Launcher)</v>
      </c>
      <c r="D1061" s="38" t="str">
        <f>_xlfn.XLOOKUP(C1061,Analysis_Gadgets!$C:$C,Analysis_Gadgets!$B:$B)</f>
        <v>Gadget</v>
      </c>
      <c r="E1061" s="43">
        <v>3</v>
      </c>
      <c r="F1061" s="43">
        <f>_xlfn.XLOOKUP(A1061,Class_Players!A:A,Class_Players!G:G)</f>
        <v>188</v>
      </c>
      <c r="G1061" s="43">
        <f t="shared" si="238"/>
        <v>1.5957446808510637E-2</v>
      </c>
      <c r="H1061" s="43">
        <f>_xlfn.XLOOKUP(A1061,Class_Players!$A:$A,Class_Players!$F:$F,"")</f>
        <v>7085</v>
      </c>
      <c r="I1061" s="44">
        <f t="shared" si="239"/>
        <v>4.2342978122794639E-4</v>
      </c>
      <c r="J1061" s="43">
        <f t="shared" si="240"/>
        <v>0</v>
      </c>
      <c r="K1061" s="44" cm="1">
        <f t="array" ref="K1061">IF(D1061="Gadget",_xlfn.IFS(I1061&gt;=0.2,0.5,I1061&gt;=0.1,0.35,I1061&gt;=0.05,0.2,TRUE,0),IF(D1061="Grenade",_xlfn.IFS(I1061&gt;=0.2,1,I1061&gt;=0.1,0.7,I1061&gt;=0.05,0.4,TRUE,0),0))</f>
        <v>0</v>
      </c>
      <c r="L1061" s="57">
        <f t="shared" si="236"/>
        <v>0</v>
      </c>
    </row>
    <row r="1062" spans="1:12" x14ac:dyDescent="0.25">
      <c r="A1062" s="42" t="str" cm="1">
        <f t="array" ref="A1062">IFERROR(INDEX(_xlfn._xlws.FILTER(Class_Players!A:A,Class_Players!B:B="Engineer"),QUOTIENT(ROW()-ROW($A$2),12)+1),"")</f>
        <v>SYM-Shadowlerks</v>
      </c>
      <c r="B1062" s="42" t="str">
        <f>_xlfn.XLOOKUP(A1062,Class_Players!$A:$A,Class_Players!$B:$B,"")</f>
        <v>Engineer</v>
      </c>
      <c r="C1062" s="42" t="str" cm="1">
        <f t="array" ref="C1062">INDEX(Lookups!$B$2:$B$13,MOD(ROW()-ROW($B$2),ROWS(Lookups!$B$2:$B$13))+1)</f>
        <v>M136 AT (Aim-Guided Launcher)</v>
      </c>
      <c r="D1062" s="38" t="str">
        <f>_xlfn.XLOOKUP(C1062,Analysis_Gadgets!$C:$C,Analysis_Gadgets!$B:$B)</f>
        <v>Gadget</v>
      </c>
      <c r="E1062" s="43">
        <v>8</v>
      </c>
      <c r="F1062" s="43">
        <f>_xlfn.XLOOKUP(A1062,Class_Players!A:A,Class_Players!G:G)</f>
        <v>188</v>
      </c>
      <c r="G1062" s="43">
        <f t="shared" si="238"/>
        <v>4.2553191489361701E-2</v>
      </c>
      <c r="H1062" s="43">
        <f>_xlfn.XLOOKUP(A1062,Class_Players!$A:$A,Class_Players!$F:$F,"")</f>
        <v>7085</v>
      </c>
      <c r="I1062" s="44">
        <f t="shared" si="239"/>
        <v>1.1291460832745237E-3</v>
      </c>
      <c r="J1062" s="43">
        <f t="shared" si="240"/>
        <v>0</v>
      </c>
      <c r="K1062" s="44" cm="1">
        <f t="array" ref="K1062">IF(D1062="Gadget",_xlfn.IFS(I1062&gt;=0.2,0.5,I1062&gt;=0.1,0.35,I1062&gt;=0.05,0.2,TRUE,0),IF(D1062="Grenade",_xlfn.IFS(I1062&gt;=0.2,1,I1062&gt;=0.1,0.7,I1062&gt;=0.05,0.4,TRUE,0),0))</f>
        <v>0</v>
      </c>
      <c r="L1062" s="57">
        <f t="shared" si="236"/>
        <v>0</v>
      </c>
    </row>
    <row r="1063" spans="1:12" x14ac:dyDescent="0.25">
      <c r="A1063" s="42" t="str" cm="1">
        <f t="array" ref="A1063">IFERROR(INDEX(_xlfn._xlws.FILTER(Class_Players!A:A,Class_Players!B:B="Engineer"),QUOTIENT(ROW()-ROW($A$2),12)+1),"")</f>
        <v>SYM-Shadowlerks</v>
      </c>
      <c r="B1063" s="42" t="str">
        <f>_xlfn.XLOOKUP(A1063,Class_Players!$A:$A,Class_Players!$B:$B,"")</f>
        <v>Engineer</v>
      </c>
      <c r="C1063" s="42" t="str" cm="1">
        <f t="array" ref="C1063">INDEX(Lookups!$B$2:$B$13,MOD(ROW()-ROW($B$2),ROWS(Lookups!$B$2:$B$13))+1)</f>
        <v>Supply Crate</v>
      </c>
      <c r="D1063" s="38" t="str">
        <f>_xlfn.XLOOKUP(C1063,Analysis_Gadgets!$C:$C,Analysis_Gadgets!$B:$B)</f>
        <v>Gadget</v>
      </c>
      <c r="E1063" s="43">
        <v>24</v>
      </c>
      <c r="F1063" s="43">
        <f>_xlfn.XLOOKUP(A1063,Class_Players!A:A,Class_Players!G:G)</f>
        <v>188</v>
      </c>
      <c r="G1063" s="43">
        <f t="shared" si="238"/>
        <v>0.1276595744680851</v>
      </c>
      <c r="H1063" s="43">
        <f>_xlfn.XLOOKUP(A1063,Class_Players!$A:$A,Class_Players!$F:$F,"")</f>
        <v>7085</v>
      </c>
      <c r="I1063" s="44">
        <f t="shared" si="239"/>
        <v>3.3874382498235711E-3</v>
      </c>
      <c r="J1063" s="43">
        <f t="shared" si="240"/>
        <v>0</v>
      </c>
      <c r="K1063" s="44" cm="1">
        <f t="array" ref="K1063">IF(D1063="Gadget",_xlfn.IFS(I1063&gt;=0.2,0.5,I1063&gt;=0.1,0.35,I1063&gt;=0.05,0.2,TRUE,0),IF(D1063="Grenade",_xlfn.IFS(I1063&gt;=0.2,1,I1063&gt;=0.1,0.7,I1063&gt;=0.05,0.4,TRUE,0),0))</f>
        <v>0</v>
      </c>
      <c r="L1063" s="57">
        <f t="shared" si="236"/>
        <v>0</v>
      </c>
    </row>
    <row r="1064" spans="1:12" x14ac:dyDescent="0.25">
      <c r="A1064" s="42" t="str" cm="1">
        <f t="array" ref="A1064">IFERROR(INDEX(_xlfn._xlws.FILTER(Class_Players!A:A,Class_Players!B:B="Engineer"),QUOTIENT(ROW()-ROW($A$2),12)+1),"")</f>
        <v>SYM-Shadowlerks</v>
      </c>
      <c r="B1064" s="42" t="str">
        <f>_xlfn.XLOOKUP(A1064,Class_Players!$A:$A,Class_Players!$B:$B,"")</f>
        <v>Engineer</v>
      </c>
      <c r="C1064" s="42" t="str" cm="1">
        <f t="array" ref="C1064">INDEX(Lookups!$B$2:$B$13,MOD(ROW()-ROW($B$2),ROWS(Lookups!$B$2:$B$13))+1)</f>
        <v>M15 (Anti-Vehicle Mine)</v>
      </c>
      <c r="D1064" s="38" t="str">
        <f>_xlfn.XLOOKUP(C1064,Analysis_Gadgets!$C:$C,Analysis_Gadgets!$B:$B)</f>
        <v>Gadget</v>
      </c>
      <c r="E1064" s="43">
        <v>379</v>
      </c>
      <c r="F1064" s="43">
        <f>_xlfn.XLOOKUP(A1064,Class_Players!A:A,Class_Players!G:G)</f>
        <v>188</v>
      </c>
      <c r="G1064" s="43">
        <f t="shared" si="238"/>
        <v>2.0159574468085109</v>
      </c>
      <c r="H1064" s="43">
        <f>_xlfn.XLOOKUP(A1064,Class_Players!$A:$A,Class_Players!$F:$F,"")</f>
        <v>7085</v>
      </c>
      <c r="I1064" s="44">
        <f t="shared" si="239"/>
        <v>5.349329569513056E-2</v>
      </c>
      <c r="J1064" s="43">
        <f t="shared" si="240"/>
        <v>0</v>
      </c>
      <c r="K1064" s="44" cm="1">
        <f t="array" ref="K1064">IF(D1064="Gadget",_xlfn.IFS(I1064&gt;=0.2,0.5,I1064&gt;=0.1,0.35,I1064&gt;=0.05,0.2,TRUE,0),IF(D1064="Grenade",_xlfn.IFS(I1064&gt;=0.2,1,I1064&gt;=0.1,0.7,I1064&gt;=0.05,0.4,TRUE,0),0))</f>
        <v>0.2</v>
      </c>
      <c r="L1064" s="57">
        <f t="shared" si="236"/>
        <v>0.28571428571428575</v>
      </c>
    </row>
    <row r="1065" spans="1:12" x14ac:dyDescent="0.25">
      <c r="A1065" s="42" t="str" cm="1">
        <f t="array" ref="A1065">IFERROR(INDEX(_xlfn._xlws.FILTER(Class_Players!A:A,Class_Players!B:B="Engineer"),QUOTIENT(ROW()-ROW($A$2),12)+1),"")</f>
        <v>SYM-Shadowlerks</v>
      </c>
      <c r="B1065" s="42" t="str">
        <f>_xlfn.XLOOKUP(A1065,Class_Players!$A:$A,Class_Players!$B:$B,"")</f>
        <v>Engineer</v>
      </c>
      <c r="C1065" s="42" t="str" cm="1">
        <f t="array" ref="C1065">INDEX(Lookups!$B$2:$B$13,MOD(ROW()-ROW($B$2),ROWS(Lookups!$B$2:$B$13))+1)</f>
        <v>PTKM-1R (Acoustic Sensor AV Mine)</v>
      </c>
      <c r="D1065" s="38" t="str">
        <f>_xlfn.XLOOKUP(C1065,Analysis_Gadgets!$C:$C,Analysis_Gadgets!$B:$B)</f>
        <v>Gadget</v>
      </c>
      <c r="E1065" s="43">
        <v>1</v>
      </c>
      <c r="F1065" s="43">
        <f>_xlfn.XLOOKUP(A1065,Class_Players!A:A,Class_Players!G:G)</f>
        <v>188</v>
      </c>
      <c r="G1065" s="43">
        <f t="shared" si="238"/>
        <v>5.3191489361702126E-3</v>
      </c>
      <c r="H1065" s="43">
        <f>_xlfn.XLOOKUP(A1065,Class_Players!$A:$A,Class_Players!$F:$F,"")</f>
        <v>7085</v>
      </c>
      <c r="I1065" s="44">
        <f t="shared" si="239"/>
        <v>1.4114326040931546E-4</v>
      </c>
      <c r="J1065" s="43">
        <f t="shared" si="240"/>
        <v>0</v>
      </c>
      <c r="K1065" s="44" cm="1">
        <f t="array" ref="K1065">IF(D1065="Gadget",_xlfn.IFS(I1065&gt;=0.2,0.5,I1065&gt;=0.1,0.35,I1065&gt;=0.05,0.2,TRUE,0),IF(D1065="Grenade",_xlfn.IFS(I1065&gt;=0.2,1,I1065&gt;=0.1,0.7,I1065&gt;=0.05,0.4,TRUE,0),0))</f>
        <v>0</v>
      </c>
      <c r="L1065" s="57">
        <f t="shared" si="236"/>
        <v>0</v>
      </c>
    </row>
    <row r="1066" spans="1:12" x14ac:dyDescent="0.25">
      <c r="A1066" s="42" t="str" cm="1">
        <f t="array" ref="A1066">IFERROR(INDEX(_xlfn._xlws.FILTER(Class_Players!A:A,Class_Players!B:B="Engineer"),QUOTIENT(ROW()-ROW($A$2),12)+1),"")</f>
        <v>SYM-Shadowlerks</v>
      </c>
      <c r="B1066" s="42" t="str">
        <f>_xlfn.XLOOKUP(A1066,Class_Players!$A:$A,Class_Players!$B:$B,"")</f>
        <v>Engineer</v>
      </c>
      <c r="C1066" s="42" t="str" cm="1">
        <f t="array" ref="C1066">INDEX(Lookups!$B$2:$B$13,MOD(ROW()-ROW($B$2),ROWS(Lookups!$B$2:$B$13))+1)</f>
        <v>EOD Bot</v>
      </c>
      <c r="D1066" s="38" t="str">
        <f>_xlfn.XLOOKUP(C1066,Analysis_Gadgets!$C:$C,Analysis_Gadgets!$B:$B)</f>
        <v>Gadget</v>
      </c>
      <c r="E1066" s="43">
        <v>0</v>
      </c>
      <c r="F1066" s="43">
        <f>_xlfn.XLOOKUP(A1066,Class_Players!A:A,Class_Players!G:G)</f>
        <v>188</v>
      </c>
      <c r="G1066" s="43">
        <f t="shared" si="238"/>
        <v>0</v>
      </c>
      <c r="H1066" s="43">
        <f>_xlfn.XLOOKUP(A1066,Class_Players!$A:$A,Class_Players!$F:$F,"")</f>
        <v>7085</v>
      </c>
      <c r="I1066" s="44">
        <f t="shared" si="239"/>
        <v>0</v>
      </c>
      <c r="J1066" s="43">
        <f t="shared" si="240"/>
        <v>0</v>
      </c>
      <c r="K1066" s="44" cm="1">
        <f t="array" ref="K1066">IF(D1066="Gadget",_xlfn.IFS(I1066&gt;=0.2,0.5,I1066&gt;=0.1,0.35,I1066&gt;=0.05,0.2,TRUE,0),IF(D1066="Grenade",_xlfn.IFS(I1066&gt;=0.2,1,I1066&gt;=0.1,0.7,I1066&gt;=0.05,0.4,TRUE,0),0))</f>
        <v>0</v>
      </c>
      <c r="L1066" s="57">
        <f t="shared" si="236"/>
        <v>0</v>
      </c>
    </row>
    <row r="1067" spans="1:12" x14ac:dyDescent="0.25">
      <c r="A1067" s="42" t="str" cm="1">
        <f t="array" ref="A1067">IFERROR(INDEX(_xlfn._xlws.FILTER(Class_Players!A:A,Class_Players!B:B="Engineer"),QUOTIENT(ROW()-ROW($A$2),12)+1),"")</f>
        <v>SYM-Shadowlerks</v>
      </c>
      <c r="B1067" s="42" t="str">
        <f>_xlfn.XLOOKUP(A1067,Class_Players!$A:$A,Class_Players!$B:$B,"")</f>
        <v>Engineer</v>
      </c>
      <c r="C1067" s="42" t="str" cm="1">
        <f t="array" ref="C1067">INDEX(Lookups!$B$2:$B$13,MOD(ROW()-ROW($B$2),ROWS(Lookups!$B$2:$B$13))+1)</f>
        <v>M4A1 SLAM (Tripwire Sensor AV Mine)</v>
      </c>
      <c r="D1067" s="38" t="str">
        <f>_xlfn.XLOOKUP(C1067,Analysis_Gadgets!$C:$C,Analysis_Gadgets!$B:$B)</f>
        <v>Gadget</v>
      </c>
      <c r="E1067" s="43">
        <v>0</v>
      </c>
      <c r="F1067" s="43">
        <f>_xlfn.XLOOKUP(A1067,Class_Players!A:A,Class_Players!G:G)</f>
        <v>188</v>
      </c>
      <c r="G1067" s="43">
        <f t="shared" si="238"/>
        <v>0</v>
      </c>
      <c r="H1067" s="43">
        <f>_xlfn.XLOOKUP(A1067,Class_Players!$A:$A,Class_Players!$F:$F,"")</f>
        <v>7085</v>
      </c>
      <c r="I1067" s="44">
        <f t="shared" si="239"/>
        <v>0</v>
      </c>
      <c r="J1067" s="43">
        <f t="shared" si="240"/>
        <v>0</v>
      </c>
      <c r="K1067" s="44" cm="1">
        <f t="array" ref="K1067">IF(D1067="Gadget",_xlfn.IFS(I1067&gt;=0.2,0.5,I1067&gt;=0.1,0.35,I1067&gt;=0.05,0.2,TRUE,0),IF(D1067="Grenade",_xlfn.IFS(I1067&gt;=0.2,1,I1067&gt;=0.1,0.7,I1067&gt;=0.05,0.4,TRUE,0),0))</f>
        <v>0</v>
      </c>
      <c r="L1067" s="57">
        <f t="shared" si="236"/>
        <v>0</v>
      </c>
    </row>
    <row r="1068" spans="1:12" x14ac:dyDescent="0.25">
      <c r="A1068" s="42" t="str" cm="1">
        <f t="array" ref="A1068">IFERROR(INDEX(_xlfn._xlws.FILTER(Class_Players!A:A,Class_Players!B:B="Engineer"),QUOTIENT(ROW()-ROW($A$2),12)+1),"")</f>
        <v>SYM-Shadowlerks</v>
      </c>
      <c r="B1068" s="42" t="str">
        <f>_xlfn.XLOOKUP(A1068,Class_Players!$A:$A,Class_Players!$B:$B,"")</f>
        <v>Engineer</v>
      </c>
      <c r="C1068" s="42" t="str" cm="1">
        <f t="array" ref="C1068">INDEX(Lookups!$B$2:$B$13,MOD(ROW()-ROW($B$2),ROWS(Lookups!$B$2:$B$13))+1)</f>
        <v>Mini Frag Grenade</v>
      </c>
      <c r="D1068" s="38" t="str">
        <f>_xlfn.XLOOKUP(C1068,Analysis_Gadgets!$C:$C,Analysis_Gadgets!$B:$B)</f>
        <v>Grenade</v>
      </c>
      <c r="E1068" s="43">
        <v>66</v>
      </c>
      <c r="F1068" s="43">
        <f>_xlfn.XLOOKUP(A1068,Class_Players!A:A,Class_Players!G:G)</f>
        <v>188</v>
      </c>
      <c r="G1068" s="43">
        <f t="shared" si="238"/>
        <v>0.35106382978723405</v>
      </c>
      <c r="H1068" s="43">
        <f>_xlfn.XLOOKUP(A1068,Class_Players!$A:$A,Class_Players!$F:$F,"")</f>
        <v>7085</v>
      </c>
      <c r="I1068" s="44">
        <f t="shared" si="239"/>
        <v>9.3154551870148206E-3</v>
      </c>
      <c r="J1068" s="43">
        <f t="shared" si="240"/>
        <v>0</v>
      </c>
      <c r="K1068" s="44" cm="1">
        <f t="array" ref="K1068">IF(D1068="Gadget",_xlfn.IFS(I1068&gt;=0.2,0.5,I1068&gt;=0.1,0.35,I1068&gt;=0.05,0.2,TRUE,0),IF(D1068="Grenade",_xlfn.IFS(I1068&gt;=0.2,1,I1068&gt;=0.1,0.7,I1068&gt;=0.05,0.4,TRUE,0),0))</f>
        <v>0</v>
      </c>
      <c r="L1068" s="57">
        <f t="shared" ref="L1068:L1069" si="241">IF($K1068=0,0,$K1068 / SUMIFS($K:$K,$A:$A,$A1068,$D:$D,"Grenade"))</f>
        <v>0</v>
      </c>
    </row>
    <row r="1069" spans="1:12" x14ac:dyDescent="0.25">
      <c r="A1069" s="42" t="str" cm="1">
        <f t="array" ref="A1069">IFERROR(INDEX(_xlfn._xlws.FILTER(Class_Players!A:A,Class_Players!B:B="Engineer"),QUOTIENT(ROW()-ROW($A$2),12)+1),"")</f>
        <v>SYM-Shadowlerks</v>
      </c>
      <c r="B1069" s="42" t="str">
        <f>_xlfn.XLOOKUP(A1069,Class_Players!$A:$A,Class_Players!$B:$B,"")</f>
        <v>Engineer</v>
      </c>
      <c r="C1069" s="42" t="str" cm="1">
        <f t="array" ref="C1069">INDEX(Lookups!$B$2:$B$13,MOD(ROW()-ROW($B$2),ROWS(Lookups!$B$2:$B$13))+1)</f>
        <v>Anti-Vehicle Grenade</v>
      </c>
      <c r="D1069" s="38" t="str">
        <f>_xlfn.XLOOKUP(C1069,Analysis_Gadgets!$C:$C,Analysis_Gadgets!$B:$B)</f>
        <v>Grenade</v>
      </c>
      <c r="E1069" s="43">
        <v>0</v>
      </c>
      <c r="F1069" s="43">
        <f>_xlfn.XLOOKUP(A1069,Class_Players!A:A,Class_Players!G:G)</f>
        <v>188</v>
      </c>
      <c r="G1069" s="43">
        <f t="shared" si="238"/>
        <v>0</v>
      </c>
      <c r="H1069" s="43">
        <f>_xlfn.XLOOKUP(A1069,Class_Players!$A:$A,Class_Players!$F:$F,"")</f>
        <v>7085</v>
      </c>
      <c r="I1069" s="44">
        <f t="shared" si="239"/>
        <v>0</v>
      </c>
      <c r="J1069" s="43">
        <f t="shared" si="240"/>
        <v>0</v>
      </c>
      <c r="K1069" s="44" cm="1">
        <f t="array" ref="K1069">IF(D1069="Gadget",_xlfn.IFS(I1069&gt;=0.2,0.5,I1069&gt;=0.1,0.35,I1069&gt;=0.05,0.2,TRUE,0),IF(D1069="Grenade",_xlfn.IFS(I1069&gt;=0.2,1,I1069&gt;=0.1,0.7,I1069&gt;=0.05,0.4,TRUE,0),0))</f>
        <v>0</v>
      </c>
      <c r="L1069" s="57">
        <f t="shared" si="241"/>
        <v>0</v>
      </c>
    </row>
    <row r="1070" spans="1:12" x14ac:dyDescent="0.25">
      <c r="A1070" s="42" t="str" cm="1">
        <f t="array" ref="A1070">IFERROR(INDEX(_xlfn._xlws.FILTER(Class_Players!A:A,Class_Players!B:B="Engineer"),QUOTIENT(ROW()-ROW($A$2),12)+1),"")</f>
        <v>madmac80</v>
      </c>
      <c r="B1070" s="42" t="str">
        <f>_xlfn.XLOOKUP(A1070,Class_Players!$A:$A,Class_Players!$B:$B,"")</f>
        <v>Engineer</v>
      </c>
      <c r="C1070" s="42" t="str" cm="1">
        <f t="array" ref="C1070">INDEX(Lookups!$B$2:$B$13,MOD(ROW()-ROW($B$2),ROWS(Lookups!$B$2:$B$13))+1)</f>
        <v>MBT-LAW (Auto-Guided Launcher)</v>
      </c>
      <c r="D1070" s="38" t="str">
        <f>_xlfn.XLOOKUP(C1070,Analysis_Gadgets!$C:$C,Analysis_Gadgets!$B:$B)</f>
        <v>Gadget</v>
      </c>
      <c r="E1070" s="43">
        <v>0</v>
      </c>
      <c r="F1070" s="43">
        <f>_xlfn.XLOOKUP(A1070,Class_Players!A:A,Class_Players!G:G)</f>
        <v>123</v>
      </c>
      <c r="G1070" s="43">
        <f t="shared" si="238"/>
        <v>0</v>
      </c>
      <c r="H1070" s="43">
        <f>_xlfn.XLOOKUP(A1070,Class_Players!$A:$A,Class_Players!$F:$F,"")</f>
        <v>6922</v>
      </c>
      <c r="I1070" s="44">
        <f t="shared" si="239"/>
        <v>0</v>
      </c>
      <c r="J1070" s="43">
        <f t="shared" si="240"/>
        <v>0</v>
      </c>
      <c r="K1070" s="44" cm="1">
        <f t="array" ref="K1070">IF(D1070="Gadget",_xlfn.IFS(I1070&gt;=0.2,0.5,I1070&gt;=0.1,0.35,I1070&gt;=0.05,0.2,TRUE,0),IF(D1070="Grenade",_xlfn.IFS(I1070&gt;=0.2,1,I1070&gt;=0.1,0.7,I1070&gt;=0.05,0.4,TRUE,0),0))</f>
        <v>0</v>
      </c>
      <c r="L1070" s="57">
        <f t="shared" ref="L1070:L1079" si="242">IF($K1070=0,0,$K1070 / SUMIFS($K:$K,$A:$A,$A1070,$D:$D,"Gadget"))</f>
        <v>0</v>
      </c>
    </row>
    <row r="1071" spans="1:12" x14ac:dyDescent="0.25">
      <c r="A1071" s="42" t="str" cm="1">
        <f t="array" ref="A1071">IFERROR(INDEX(_xlfn._xlws.FILTER(Class_Players!A:A,Class_Players!B:B="Engineer"),QUOTIENT(ROW()-ROW($A$2),12)+1),"")</f>
        <v>madmac80</v>
      </c>
      <c r="B1071" s="42" t="str">
        <f>_xlfn.XLOOKUP(A1071,Class_Players!$A:$A,Class_Players!$B:$B,"")</f>
        <v>Engineer</v>
      </c>
      <c r="C1071" s="42" t="str" cm="1">
        <f t="array" ref="C1071">INDEX(Lookups!$B$2:$B$13,MOD(ROW()-ROW($B$2),ROWS(Lookups!$B$2:$B$13))+1)</f>
        <v>SLM-93A (Air-Defense Launcher)</v>
      </c>
      <c r="D1071" s="38" t="str">
        <f>_xlfn.XLOOKUP(C1071,Analysis_Gadgets!$C:$C,Analysis_Gadgets!$B:$B)</f>
        <v>Gadget</v>
      </c>
      <c r="E1071" s="43">
        <v>3</v>
      </c>
      <c r="F1071" s="43">
        <f>_xlfn.XLOOKUP(A1071,Class_Players!A:A,Class_Players!G:G)</f>
        <v>123</v>
      </c>
      <c r="G1071" s="43">
        <f t="shared" si="238"/>
        <v>2.4390243902439025E-2</v>
      </c>
      <c r="H1071" s="43">
        <f>_xlfn.XLOOKUP(A1071,Class_Players!$A:$A,Class_Players!$F:$F,"")</f>
        <v>6922</v>
      </c>
      <c r="I1071" s="44">
        <f t="shared" si="239"/>
        <v>4.3340075122796879E-4</v>
      </c>
      <c r="J1071" s="43">
        <f t="shared" si="240"/>
        <v>0</v>
      </c>
      <c r="K1071" s="44" cm="1">
        <f t="array" ref="K1071">IF(D1071="Gadget",_xlfn.IFS(I1071&gt;=0.2,0.5,I1071&gt;=0.1,0.35,I1071&gt;=0.05,0.2,TRUE,0),IF(D1071="Grenade",_xlfn.IFS(I1071&gt;=0.2,1,I1071&gt;=0.1,0.7,I1071&gt;=0.05,0.4,TRUE,0),0))</f>
        <v>0</v>
      </c>
      <c r="L1071" s="57">
        <f t="shared" si="242"/>
        <v>0</v>
      </c>
    </row>
    <row r="1072" spans="1:12" x14ac:dyDescent="0.25">
      <c r="A1072" s="42" t="str" cm="1">
        <f t="array" ref="A1072">IFERROR(INDEX(_xlfn._xlws.FILTER(Class_Players!A:A,Class_Players!B:B="Engineer"),QUOTIENT(ROW()-ROW($A$2),12)+1),"")</f>
        <v>madmac80</v>
      </c>
      <c r="B1072" s="42" t="str">
        <f>_xlfn.XLOOKUP(A1072,Class_Players!$A:$A,Class_Players!$B:$B,"")</f>
        <v>Engineer</v>
      </c>
      <c r="C1072" s="42" t="str" cm="1">
        <f t="array" ref="C1072">INDEX(Lookups!$B$2:$B$13,MOD(ROW()-ROW($B$2),ROWS(Lookups!$B$2:$B$13))+1)</f>
        <v>RPG-7V2 (Unguided Rocket Launcher)</v>
      </c>
      <c r="D1072" s="38" t="str">
        <f>_xlfn.XLOOKUP(C1072,Analysis_Gadgets!$C:$C,Analysis_Gadgets!$B:$B)</f>
        <v>Gadget</v>
      </c>
      <c r="E1072" s="43">
        <v>2765</v>
      </c>
      <c r="F1072" s="43">
        <f>_xlfn.XLOOKUP(A1072,Class_Players!A:A,Class_Players!G:G)</f>
        <v>123</v>
      </c>
      <c r="G1072" s="43">
        <f t="shared" si="238"/>
        <v>22.479674796747968</v>
      </c>
      <c r="H1072" s="43">
        <f>_xlfn.XLOOKUP(A1072,Class_Players!$A:$A,Class_Players!$F:$F,"")</f>
        <v>6922</v>
      </c>
      <c r="I1072" s="44">
        <f t="shared" si="239"/>
        <v>0.39945102571511126</v>
      </c>
      <c r="J1072" s="43">
        <f t="shared" si="240"/>
        <v>1</v>
      </c>
      <c r="K1072" s="44" cm="1">
        <f t="array" ref="K1072">IF(D1072="Gadget",_xlfn.IFS(I1072&gt;=0.2,0.5,I1072&gt;=0.1,0.35,I1072&gt;=0.05,0.2,TRUE,0),IF(D1072="Grenade",_xlfn.IFS(I1072&gt;=0.2,1,I1072&gt;=0.1,0.7,I1072&gt;=0.05,0.4,TRUE,0),0))</f>
        <v>0.5</v>
      </c>
      <c r="L1072" s="57">
        <f t="shared" si="242"/>
        <v>1</v>
      </c>
    </row>
    <row r="1073" spans="1:12" x14ac:dyDescent="0.25">
      <c r="A1073" s="42" t="str" cm="1">
        <f t="array" ref="A1073">IFERROR(INDEX(_xlfn._xlws.FILTER(Class_Players!A:A,Class_Players!B:B="Engineer"),QUOTIENT(ROW()-ROW($A$2),12)+1),"")</f>
        <v>madmac80</v>
      </c>
      <c r="B1073" s="42" t="str">
        <f>_xlfn.XLOOKUP(A1073,Class_Players!$A:$A,Class_Players!$B:$B,"")</f>
        <v>Engineer</v>
      </c>
      <c r="C1073" s="42" t="str" cm="1">
        <f t="array" ref="C1073">INDEX(Lookups!$B$2:$B$13,MOD(ROW()-ROW($B$2),ROWS(Lookups!$B$2:$B$13))+1)</f>
        <v>MAS 148 (Long-Range Launcher)</v>
      </c>
      <c r="D1073" s="38" t="str">
        <f>_xlfn.XLOOKUP(C1073,Analysis_Gadgets!$C:$C,Analysis_Gadgets!$B:$B)</f>
        <v>Gadget</v>
      </c>
      <c r="E1073" s="43">
        <v>7</v>
      </c>
      <c r="F1073" s="43">
        <f>_xlfn.XLOOKUP(A1073,Class_Players!A:A,Class_Players!G:G)</f>
        <v>123</v>
      </c>
      <c r="G1073" s="43">
        <f t="shared" si="238"/>
        <v>5.6910569105691054E-2</v>
      </c>
      <c r="H1073" s="43">
        <f>_xlfn.XLOOKUP(A1073,Class_Players!$A:$A,Class_Players!$F:$F,"")</f>
        <v>6922</v>
      </c>
      <c r="I1073" s="44">
        <f t="shared" si="239"/>
        <v>1.0112684195319273E-3</v>
      </c>
      <c r="J1073" s="43">
        <f t="shared" si="240"/>
        <v>0</v>
      </c>
      <c r="K1073" s="44" cm="1">
        <f t="array" ref="K1073">IF(D1073="Gadget",_xlfn.IFS(I1073&gt;=0.2,0.5,I1073&gt;=0.1,0.35,I1073&gt;=0.05,0.2,TRUE,0),IF(D1073="Grenade",_xlfn.IFS(I1073&gt;=0.2,1,I1073&gt;=0.1,0.7,I1073&gt;=0.05,0.4,TRUE,0),0))</f>
        <v>0</v>
      </c>
      <c r="L1073" s="57">
        <f t="shared" si="242"/>
        <v>0</v>
      </c>
    </row>
    <row r="1074" spans="1:12" x14ac:dyDescent="0.25">
      <c r="A1074" s="42" t="str" cm="1">
        <f t="array" ref="A1074">IFERROR(INDEX(_xlfn._xlws.FILTER(Class_Players!A:A,Class_Players!B:B="Engineer"),QUOTIENT(ROW()-ROW($A$2),12)+1),"")</f>
        <v>madmac80</v>
      </c>
      <c r="B1074" s="42" t="str">
        <f>_xlfn.XLOOKUP(A1074,Class_Players!$A:$A,Class_Players!$B:$B,"")</f>
        <v>Engineer</v>
      </c>
      <c r="C1074" s="42" t="str" cm="1">
        <f t="array" ref="C1074">INDEX(Lookups!$B$2:$B$13,MOD(ROW()-ROW($B$2),ROWS(Lookups!$B$2:$B$13))+1)</f>
        <v>M136 AT (Aim-Guided Launcher)</v>
      </c>
      <c r="D1074" s="38" t="str">
        <f>_xlfn.XLOOKUP(C1074,Analysis_Gadgets!$C:$C,Analysis_Gadgets!$B:$B)</f>
        <v>Gadget</v>
      </c>
      <c r="E1074" s="43">
        <v>0</v>
      </c>
      <c r="F1074" s="43">
        <f>_xlfn.XLOOKUP(A1074,Class_Players!A:A,Class_Players!G:G)</f>
        <v>123</v>
      </c>
      <c r="G1074" s="43">
        <f t="shared" si="238"/>
        <v>0</v>
      </c>
      <c r="H1074" s="43">
        <f>_xlfn.XLOOKUP(A1074,Class_Players!$A:$A,Class_Players!$F:$F,"")</f>
        <v>6922</v>
      </c>
      <c r="I1074" s="44">
        <f t="shared" si="239"/>
        <v>0</v>
      </c>
      <c r="J1074" s="43">
        <f t="shared" si="240"/>
        <v>0</v>
      </c>
      <c r="K1074" s="44" cm="1">
        <f t="array" ref="K1074">IF(D1074="Gadget",_xlfn.IFS(I1074&gt;=0.2,0.5,I1074&gt;=0.1,0.35,I1074&gt;=0.05,0.2,TRUE,0),IF(D1074="Grenade",_xlfn.IFS(I1074&gt;=0.2,1,I1074&gt;=0.1,0.7,I1074&gt;=0.05,0.4,TRUE,0),0))</f>
        <v>0</v>
      </c>
      <c r="L1074" s="57">
        <f t="shared" si="242"/>
        <v>0</v>
      </c>
    </row>
    <row r="1075" spans="1:12" x14ac:dyDescent="0.25">
      <c r="A1075" s="42" t="str" cm="1">
        <f t="array" ref="A1075">IFERROR(INDEX(_xlfn._xlws.FILTER(Class_Players!A:A,Class_Players!B:B="Engineer"),QUOTIENT(ROW()-ROW($A$2),12)+1),"")</f>
        <v>madmac80</v>
      </c>
      <c r="B1075" s="42" t="str">
        <f>_xlfn.XLOOKUP(A1075,Class_Players!$A:$A,Class_Players!$B:$B,"")</f>
        <v>Engineer</v>
      </c>
      <c r="C1075" s="42" t="str" cm="1">
        <f t="array" ref="C1075">INDEX(Lookups!$B$2:$B$13,MOD(ROW()-ROW($B$2),ROWS(Lookups!$B$2:$B$13))+1)</f>
        <v>Supply Crate</v>
      </c>
      <c r="D1075" s="38" t="str">
        <f>_xlfn.XLOOKUP(C1075,Analysis_Gadgets!$C:$C,Analysis_Gadgets!$B:$B)</f>
        <v>Gadget</v>
      </c>
      <c r="E1075" s="43">
        <v>8</v>
      </c>
      <c r="F1075" s="43">
        <f>_xlfn.XLOOKUP(A1075,Class_Players!A:A,Class_Players!G:G)</f>
        <v>123</v>
      </c>
      <c r="G1075" s="43">
        <f t="shared" si="238"/>
        <v>6.5040650406504072E-2</v>
      </c>
      <c r="H1075" s="43">
        <f>_xlfn.XLOOKUP(A1075,Class_Players!$A:$A,Class_Players!$F:$F,"")</f>
        <v>6922</v>
      </c>
      <c r="I1075" s="44">
        <f t="shared" si="239"/>
        <v>1.1557353366079169E-3</v>
      </c>
      <c r="J1075" s="43">
        <f t="shared" si="240"/>
        <v>0</v>
      </c>
      <c r="K1075" s="44" cm="1">
        <f t="array" ref="K1075">IF(D1075="Gadget",_xlfn.IFS(I1075&gt;=0.2,0.5,I1075&gt;=0.1,0.35,I1075&gt;=0.05,0.2,TRUE,0),IF(D1075="Grenade",_xlfn.IFS(I1075&gt;=0.2,1,I1075&gt;=0.1,0.7,I1075&gt;=0.05,0.4,TRUE,0),0))</f>
        <v>0</v>
      </c>
      <c r="L1075" s="57">
        <f t="shared" si="242"/>
        <v>0</v>
      </c>
    </row>
    <row r="1076" spans="1:12" x14ac:dyDescent="0.25">
      <c r="A1076" s="42" t="str" cm="1">
        <f t="array" ref="A1076">IFERROR(INDEX(_xlfn._xlws.FILTER(Class_Players!A:A,Class_Players!B:B="Engineer"),QUOTIENT(ROW()-ROW($A$2),12)+1),"")</f>
        <v>madmac80</v>
      </c>
      <c r="B1076" s="42" t="str">
        <f>_xlfn.XLOOKUP(A1076,Class_Players!$A:$A,Class_Players!$B:$B,"")</f>
        <v>Engineer</v>
      </c>
      <c r="C1076" s="42" t="str" cm="1">
        <f t="array" ref="C1076">INDEX(Lookups!$B$2:$B$13,MOD(ROW()-ROW($B$2),ROWS(Lookups!$B$2:$B$13))+1)</f>
        <v>M15 (Anti-Vehicle Mine)</v>
      </c>
      <c r="D1076" s="38" t="str">
        <f>_xlfn.XLOOKUP(C1076,Analysis_Gadgets!$C:$C,Analysis_Gadgets!$B:$B)</f>
        <v>Gadget</v>
      </c>
      <c r="E1076" s="43">
        <v>47</v>
      </c>
      <c r="F1076" s="43">
        <f>_xlfn.XLOOKUP(A1076,Class_Players!A:A,Class_Players!G:G)</f>
        <v>123</v>
      </c>
      <c r="G1076" s="43">
        <f t="shared" si="238"/>
        <v>0.38211382113821141</v>
      </c>
      <c r="H1076" s="43">
        <f>_xlfn.XLOOKUP(A1076,Class_Players!$A:$A,Class_Players!$F:$F,"")</f>
        <v>6922</v>
      </c>
      <c r="I1076" s="44">
        <f t="shared" si="239"/>
        <v>6.7899451025715115E-3</v>
      </c>
      <c r="J1076" s="43">
        <f t="shared" si="240"/>
        <v>0</v>
      </c>
      <c r="K1076" s="44" cm="1">
        <f t="array" ref="K1076">IF(D1076="Gadget",_xlfn.IFS(I1076&gt;=0.2,0.5,I1076&gt;=0.1,0.35,I1076&gt;=0.05,0.2,TRUE,0),IF(D1076="Grenade",_xlfn.IFS(I1076&gt;=0.2,1,I1076&gt;=0.1,0.7,I1076&gt;=0.05,0.4,TRUE,0),0))</f>
        <v>0</v>
      </c>
      <c r="L1076" s="57">
        <f t="shared" si="242"/>
        <v>0</v>
      </c>
    </row>
    <row r="1077" spans="1:12" x14ac:dyDescent="0.25">
      <c r="A1077" s="42" t="str" cm="1">
        <f t="array" ref="A1077">IFERROR(INDEX(_xlfn._xlws.FILTER(Class_Players!A:A,Class_Players!B:B="Engineer"),QUOTIENT(ROW()-ROW($A$2),12)+1),"")</f>
        <v>madmac80</v>
      </c>
      <c r="B1077" s="42" t="str">
        <f>_xlfn.XLOOKUP(A1077,Class_Players!$A:$A,Class_Players!$B:$B,"")</f>
        <v>Engineer</v>
      </c>
      <c r="C1077" s="42" t="str" cm="1">
        <f t="array" ref="C1077">INDEX(Lookups!$B$2:$B$13,MOD(ROW()-ROW($B$2),ROWS(Lookups!$B$2:$B$13))+1)</f>
        <v>PTKM-1R (Acoustic Sensor AV Mine)</v>
      </c>
      <c r="D1077" s="38" t="str">
        <f>_xlfn.XLOOKUP(C1077,Analysis_Gadgets!$C:$C,Analysis_Gadgets!$B:$B)</f>
        <v>Gadget</v>
      </c>
      <c r="E1077" s="43">
        <v>307</v>
      </c>
      <c r="F1077" s="43">
        <f>_xlfn.XLOOKUP(A1077,Class_Players!A:A,Class_Players!G:G)</f>
        <v>123</v>
      </c>
      <c r="G1077" s="43">
        <f t="shared" si="238"/>
        <v>2.4959349593495936</v>
      </c>
      <c r="H1077" s="43">
        <f>_xlfn.XLOOKUP(A1077,Class_Players!$A:$A,Class_Players!$F:$F,"")</f>
        <v>6922</v>
      </c>
      <c r="I1077" s="44">
        <f t="shared" si="239"/>
        <v>4.4351343542328808E-2</v>
      </c>
      <c r="J1077" s="43">
        <f t="shared" si="240"/>
        <v>0</v>
      </c>
      <c r="K1077" s="44" cm="1">
        <f t="array" ref="K1077">IF(D1077="Gadget",_xlfn.IFS(I1077&gt;=0.2,0.5,I1077&gt;=0.1,0.35,I1077&gt;=0.05,0.2,TRUE,0),IF(D1077="Grenade",_xlfn.IFS(I1077&gt;=0.2,1,I1077&gt;=0.1,0.7,I1077&gt;=0.05,0.4,TRUE,0),0))</f>
        <v>0</v>
      </c>
      <c r="L1077" s="57">
        <f t="shared" si="242"/>
        <v>0</v>
      </c>
    </row>
    <row r="1078" spans="1:12" x14ac:dyDescent="0.25">
      <c r="A1078" s="42" t="str" cm="1">
        <f t="array" ref="A1078">IFERROR(INDEX(_xlfn._xlws.FILTER(Class_Players!A:A,Class_Players!B:B="Engineer"),QUOTIENT(ROW()-ROW($A$2),12)+1),"")</f>
        <v>madmac80</v>
      </c>
      <c r="B1078" s="42" t="str">
        <f>_xlfn.XLOOKUP(A1078,Class_Players!$A:$A,Class_Players!$B:$B,"")</f>
        <v>Engineer</v>
      </c>
      <c r="C1078" s="42" t="str" cm="1">
        <f t="array" ref="C1078">INDEX(Lookups!$B$2:$B$13,MOD(ROW()-ROW($B$2),ROWS(Lookups!$B$2:$B$13))+1)</f>
        <v>EOD Bot</v>
      </c>
      <c r="D1078" s="38" t="str">
        <f>_xlfn.XLOOKUP(C1078,Analysis_Gadgets!$C:$C,Analysis_Gadgets!$B:$B)</f>
        <v>Gadget</v>
      </c>
      <c r="E1078" s="43">
        <v>0</v>
      </c>
      <c r="F1078" s="43">
        <f>_xlfn.XLOOKUP(A1078,Class_Players!A:A,Class_Players!G:G)</f>
        <v>123</v>
      </c>
      <c r="G1078" s="43">
        <f t="shared" si="238"/>
        <v>0</v>
      </c>
      <c r="H1078" s="43">
        <f>_xlfn.XLOOKUP(A1078,Class_Players!$A:$A,Class_Players!$F:$F,"")</f>
        <v>6922</v>
      </c>
      <c r="I1078" s="44">
        <f t="shared" si="239"/>
        <v>0</v>
      </c>
      <c r="J1078" s="43">
        <f t="shared" si="240"/>
        <v>0</v>
      </c>
      <c r="K1078" s="44" cm="1">
        <f t="array" ref="K1078">IF(D1078="Gadget",_xlfn.IFS(I1078&gt;=0.2,0.5,I1078&gt;=0.1,0.35,I1078&gt;=0.05,0.2,TRUE,0),IF(D1078="Grenade",_xlfn.IFS(I1078&gt;=0.2,1,I1078&gt;=0.1,0.7,I1078&gt;=0.05,0.4,TRUE,0),0))</f>
        <v>0</v>
      </c>
      <c r="L1078" s="57">
        <f t="shared" si="242"/>
        <v>0</v>
      </c>
    </row>
    <row r="1079" spans="1:12" x14ac:dyDescent="0.25">
      <c r="A1079" s="42" t="str" cm="1">
        <f t="array" ref="A1079">IFERROR(INDEX(_xlfn._xlws.FILTER(Class_Players!A:A,Class_Players!B:B="Engineer"),QUOTIENT(ROW()-ROW($A$2),12)+1),"")</f>
        <v>madmac80</v>
      </c>
      <c r="B1079" s="42" t="str">
        <f>_xlfn.XLOOKUP(A1079,Class_Players!$A:$A,Class_Players!$B:$B,"")</f>
        <v>Engineer</v>
      </c>
      <c r="C1079" s="42" t="str" cm="1">
        <f t="array" ref="C1079">INDEX(Lookups!$B$2:$B$13,MOD(ROW()-ROW($B$2),ROWS(Lookups!$B$2:$B$13))+1)</f>
        <v>M4A1 SLAM (Tripwire Sensor AV Mine)</v>
      </c>
      <c r="D1079" s="38" t="str">
        <f>_xlfn.XLOOKUP(C1079,Analysis_Gadgets!$C:$C,Analysis_Gadgets!$B:$B)</f>
        <v>Gadget</v>
      </c>
      <c r="E1079" s="43">
        <v>9</v>
      </c>
      <c r="F1079" s="43">
        <f>_xlfn.XLOOKUP(A1079,Class_Players!A:A,Class_Players!G:G)</f>
        <v>123</v>
      </c>
      <c r="G1079" s="43">
        <f t="shared" si="238"/>
        <v>7.3170731707317069E-2</v>
      </c>
      <c r="H1079" s="43">
        <f>_xlfn.XLOOKUP(A1079,Class_Players!$A:$A,Class_Players!$F:$F,"")</f>
        <v>6922</v>
      </c>
      <c r="I1079" s="44">
        <f t="shared" si="239"/>
        <v>1.3002022536839064E-3</v>
      </c>
      <c r="J1079" s="43">
        <f t="shared" si="240"/>
        <v>0</v>
      </c>
      <c r="K1079" s="44" cm="1">
        <f t="array" ref="K1079">IF(D1079="Gadget",_xlfn.IFS(I1079&gt;=0.2,0.5,I1079&gt;=0.1,0.35,I1079&gt;=0.05,0.2,TRUE,0),IF(D1079="Grenade",_xlfn.IFS(I1079&gt;=0.2,1,I1079&gt;=0.1,0.7,I1079&gt;=0.05,0.4,TRUE,0),0))</f>
        <v>0</v>
      </c>
      <c r="L1079" s="57">
        <f t="shared" si="242"/>
        <v>0</v>
      </c>
    </row>
    <row r="1080" spans="1:12" x14ac:dyDescent="0.25">
      <c r="A1080" s="42" t="str" cm="1">
        <f t="array" ref="A1080">IFERROR(INDEX(_xlfn._xlws.FILTER(Class_Players!A:A,Class_Players!B:B="Engineer"),QUOTIENT(ROW()-ROW($A$2),12)+1),"")</f>
        <v>madmac80</v>
      </c>
      <c r="B1080" s="42" t="str">
        <f>_xlfn.XLOOKUP(A1080,Class_Players!$A:$A,Class_Players!$B:$B,"")</f>
        <v>Engineer</v>
      </c>
      <c r="C1080" s="42" t="str" cm="1">
        <f t="array" ref="C1080">INDEX(Lookups!$B$2:$B$13,MOD(ROW()-ROW($B$2),ROWS(Lookups!$B$2:$B$13))+1)</f>
        <v>Mini Frag Grenade</v>
      </c>
      <c r="D1080" s="38" t="str">
        <f>_xlfn.XLOOKUP(C1080,Analysis_Gadgets!$C:$C,Analysis_Gadgets!$B:$B)</f>
        <v>Grenade</v>
      </c>
      <c r="E1080" s="43">
        <v>243</v>
      </c>
      <c r="F1080" s="43">
        <f>_xlfn.XLOOKUP(A1080,Class_Players!A:A,Class_Players!G:G)</f>
        <v>123</v>
      </c>
      <c r="G1080" s="43">
        <f t="shared" si="238"/>
        <v>1.975609756097561</v>
      </c>
      <c r="H1080" s="43">
        <f>_xlfn.XLOOKUP(A1080,Class_Players!$A:$A,Class_Players!$F:$F,"")</f>
        <v>6922</v>
      </c>
      <c r="I1080" s="44">
        <f t="shared" si="239"/>
        <v>3.5105460849465475E-2</v>
      </c>
      <c r="J1080" s="43">
        <f t="shared" si="240"/>
        <v>0</v>
      </c>
      <c r="K1080" s="44" cm="1">
        <f t="array" ref="K1080">IF(D1080="Gadget",_xlfn.IFS(I1080&gt;=0.2,0.5,I1080&gt;=0.1,0.35,I1080&gt;=0.05,0.2,TRUE,0),IF(D1080="Grenade",_xlfn.IFS(I1080&gt;=0.2,1,I1080&gt;=0.1,0.7,I1080&gt;=0.05,0.4,TRUE,0),0))</f>
        <v>0</v>
      </c>
      <c r="L1080" s="57">
        <f t="shared" ref="L1080:L1081" si="243">IF($K1080=0,0,$K1080 / SUMIFS($K:$K,$A:$A,$A1080,$D:$D,"Grenade"))</f>
        <v>0</v>
      </c>
    </row>
    <row r="1081" spans="1:12" x14ac:dyDescent="0.25">
      <c r="A1081" s="42" t="str" cm="1">
        <f t="array" ref="A1081">IFERROR(INDEX(_xlfn._xlws.FILTER(Class_Players!A:A,Class_Players!B:B="Engineer"),QUOTIENT(ROW()-ROW($A$2),12)+1),"")</f>
        <v>madmac80</v>
      </c>
      <c r="B1081" s="42" t="str">
        <f>_xlfn.XLOOKUP(A1081,Class_Players!$A:$A,Class_Players!$B:$B,"")</f>
        <v>Engineer</v>
      </c>
      <c r="C1081" s="42" t="str" cm="1">
        <f t="array" ref="C1081">INDEX(Lookups!$B$2:$B$13,MOD(ROW()-ROW($B$2),ROWS(Lookups!$B$2:$B$13))+1)</f>
        <v>Anti-Vehicle Grenade</v>
      </c>
      <c r="D1081" s="38" t="str">
        <f>_xlfn.XLOOKUP(C1081,Analysis_Gadgets!$C:$C,Analysis_Gadgets!$B:$B)</f>
        <v>Grenade</v>
      </c>
      <c r="E1081" s="43">
        <v>0</v>
      </c>
      <c r="F1081" s="43">
        <f>_xlfn.XLOOKUP(A1081,Class_Players!A:A,Class_Players!G:G)</f>
        <v>123</v>
      </c>
      <c r="G1081" s="43">
        <f t="shared" si="238"/>
        <v>0</v>
      </c>
      <c r="H1081" s="43">
        <f>_xlfn.XLOOKUP(A1081,Class_Players!$A:$A,Class_Players!$F:$F,"")</f>
        <v>6922</v>
      </c>
      <c r="I1081" s="44">
        <f t="shared" si="239"/>
        <v>0</v>
      </c>
      <c r="J1081" s="43">
        <f t="shared" si="240"/>
        <v>0</v>
      </c>
      <c r="K1081" s="44" cm="1">
        <f t="array" ref="K1081">IF(D1081="Gadget",_xlfn.IFS(I1081&gt;=0.2,0.5,I1081&gt;=0.1,0.35,I1081&gt;=0.05,0.2,TRUE,0),IF(D1081="Grenade",_xlfn.IFS(I1081&gt;=0.2,1,I1081&gt;=0.1,0.7,I1081&gt;=0.05,0.4,TRUE,0),0))</f>
        <v>0</v>
      </c>
      <c r="L1081" s="57">
        <f t="shared" si="243"/>
        <v>0</v>
      </c>
    </row>
    <row r="1082" spans="1:12" x14ac:dyDescent="0.25">
      <c r="A1082" s="42" t="str" cm="1">
        <f t="array" ref="A1082">IFERROR(INDEX(_xlfn._xlws.FILTER(Class_Players!A:A,Class_Players!B:B="Engineer"),QUOTIENT(ROW()-ROW($A$2),12)+1),"")</f>
        <v>DirtY Kiri</v>
      </c>
      <c r="B1082" s="42" t="str">
        <f>_xlfn.XLOOKUP(A1082,Class_Players!$A:$A,Class_Players!$B:$B,"")</f>
        <v>Engineer</v>
      </c>
      <c r="C1082" s="42" t="str" cm="1">
        <f t="array" ref="C1082">INDEX(Lookups!$B$2:$B$13,MOD(ROW()-ROW($B$2),ROWS(Lookups!$B$2:$B$13))+1)</f>
        <v>MBT-LAW (Auto-Guided Launcher)</v>
      </c>
      <c r="D1082" s="38" t="str">
        <f>_xlfn.XLOOKUP(C1082,Analysis_Gadgets!$C:$C,Analysis_Gadgets!$B:$B)</f>
        <v>Gadget</v>
      </c>
      <c r="E1082" s="43">
        <v>0</v>
      </c>
      <c r="F1082" s="43">
        <f>_xlfn.XLOOKUP(A1082,Class_Players!A:A,Class_Players!G:G)</f>
        <v>251</v>
      </c>
      <c r="G1082" s="43">
        <f t="shared" si="238"/>
        <v>0</v>
      </c>
      <c r="H1082" s="43">
        <f>_xlfn.XLOOKUP(A1082,Class_Players!$A:$A,Class_Players!$F:$F,"")</f>
        <v>6959</v>
      </c>
      <c r="I1082" s="44">
        <f t="shared" si="239"/>
        <v>0</v>
      </c>
      <c r="J1082" s="43">
        <f t="shared" si="240"/>
        <v>0</v>
      </c>
      <c r="K1082" s="44" cm="1">
        <f t="array" ref="K1082">IF(D1082="Gadget",_xlfn.IFS(I1082&gt;=0.2,0.5,I1082&gt;=0.1,0.35,I1082&gt;=0.05,0.2,TRUE,0),IF(D1082="Grenade",_xlfn.IFS(I1082&gt;=0.2,1,I1082&gt;=0.1,0.7,I1082&gt;=0.05,0.4,TRUE,0),0))</f>
        <v>0</v>
      </c>
      <c r="L1082" s="57">
        <f t="shared" ref="L1082:L1091" si="244">IF($K1082=0,0,$K1082 / SUMIFS($K:$K,$A:$A,$A1082,$D:$D,"Gadget"))</f>
        <v>0</v>
      </c>
    </row>
    <row r="1083" spans="1:12" x14ac:dyDescent="0.25">
      <c r="A1083" s="42" t="str" cm="1">
        <f t="array" ref="A1083">IFERROR(INDEX(_xlfn._xlws.FILTER(Class_Players!A:A,Class_Players!B:B="Engineer"),QUOTIENT(ROW()-ROW($A$2),12)+1),"")</f>
        <v>DirtY Kiri</v>
      </c>
      <c r="B1083" s="42" t="str">
        <f>_xlfn.XLOOKUP(A1083,Class_Players!$A:$A,Class_Players!$B:$B,"")</f>
        <v>Engineer</v>
      </c>
      <c r="C1083" s="42" t="str" cm="1">
        <f t="array" ref="C1083">INDEX(Lookups!$B$2:$B$13,MOD(ROW()-ROW($B$2),ROWS(Lookups!$B$2:$B$13))+1)</f>
        <v>SLM-93A (Air-Defense Launcher)</v>
      </c>
      <c r="D1083" s="38" t="str">
        <f>_xlfn.XLOOKUP(C1083,Analysis_Gadgets!$C:$C,Analysis_Gadgets!$B:$B)</f>
        <v>Gadget</v>
      </c>
      <c r="E1083" s="43">
        <v>43</v>
      </c>
      <c r="F1083" s="43">
        <f>_xlfn.XLOOKUP(A1083,Class_Players!A:A,Class_Players!G:G)</f>
        <v>251</v>
      </c>
      <c r="G1083" s="43">
        <f t="shared" si="238"/>
        <v>0.17131474103585656</v>
      </c>
      <c r="H1083" s="43">
        <f>_xlfn.XLOOKUP(A1083,Class_Players!$A:$A,Class_Players!$F:$F,"")</f>
        <v>6959</v>
      </c>
      <c r="I1083" s="44">
        <f t="shared" si="239"/>
        <v>6.1790487138956747E-3</v>
      </c>
      <c r="J1083" s="43">
        <f t="shared" si="240"/>
        <v>0</v>
      </c>
      <c r="K1083" s="44" cm="1">
        <f t="array" ref="K1083">IF(D1083="Gadget",_xlfn.IFS(I1083&gt;=0.2,0.5,I1083&gt;=0.1,0.35,I1083&gt;=0.05,0.2,TRUE,0),IF(D1083="Grenade",_xlfn.IFS(I1083&gt;=0.2,1,I1083&gt;=0.1,0.7,I1083&gt;=0.05,0.4,TRUE,0),0))</f>
        <v>0</v>
      </c>
      <c r="L1083" s="57">
        <f t="shared" si="244"/>
        <v>0</v>
      </c>
    </row>
    <row r="1084" spans="1:12" x14ac:dyDescent="0.25">
      <c r="A1084" s="42" t="str" cm="1">
        <f t="array" ref="A1084">IFERROR(INDEX(_xlfn._xlws.FILTER(Class_Players!A:A,Class_Players!B:B="Engineer"),QUOTIENT(ROW()-ROW($A$2),12)+1),"")</f>
        <v>DirtY Kiri</v>
      </c>
      <c r="B1084" s="42" t="str">
        <f>_xlfn.XLOOKUP(A1084,Class_Players!$A:$A,Class_Players!$B:$B,"")</f>
        <v>Engineer</v>
      </c>
      <c r="C1084" s="42" t="str" cm="1">
        <f t="array" ref="C1084">INDEX(Lookups!$B$2:$B$13,MOD(ROW()-ROW($B$2),ROWS(Lookups!$B$2:$B$13))+1)</f>
        <v>RPG-7V2 (Unguided Rocket Launcher)</v>
      </c>
      <c r="D1084" s="38" t="str">
        <f>_xlfn.XLOOKUP(C1084,Analysis_Gadgets!$C:$C,Analysis_Gadgets!$B:$B)</f>
        <v>Gadget</v>
      </c>
      <c r="E1084" s="43">
        <v>4677</v>
      </c>
      <c r="F1084" s="43">
        <f>_xlfn.XLOOKUP(A1084,Class_Players!A:A,Class_Players!G:G)</f>
        <v>251</v>
      </c>
      <c r="G1084" s="43">
        <f t="shared" si="238"/>
        <v>18.633466135458168</v>
      </c>
      <c r="H1084" s="43">
        <f>_xlfn.XLOOKUP(A1084,Class_Players!$A:$A,Class_Players!$F:$F,"")</f>
        <v>6959</v>
      </c>
      <c r="I1084" s="44">
        <f t="shared" si="239"/>
        <v>0.67207932174162954</v>
      </c>
      <c r="J1084" s="43">
        <f t="shared" si="240"/>
        <v>1</v>
      </c>
      <c r="K1084" s="44" cm="1">
        <f t="array" ref="K1084">IF(D1084="Gadget",_xlfn.IFS(I1084&gt;=0.2,0.5,I1084&gt;=0.1,0.35,I1084&gt;=0.05,0.2,TRUE,0),IF(D1084="Grenade",_xlfn.IFS(I1084&gt;=0.2,1,I1084&gt;=0.1,0.7,I1084&gt;=0.05,0.4,TRUE,0),0))</f>
        <v>0.5</v>
      </c>
      <c r="L1084" s="57">
        <f t="shared" si="244"/>
        <v>0.35714285714285715</v>
      </c>
    </row>
    <row r="1085" spans="1:12" x14ac:dyDescent="0.25">
      <c r="A1085" s="42" t="str" cm="1">
        <f t="array" ref="A1085">IFERROR(INDEX(_xlfn._xlws.FILTER(Class_Players!A:A,Class_Players!B:B="Engineer"),QUOTIENT(ROW()-ROW($A$2),12)+1),"")</f>
        <v>DirtY Kiri</v>
      </c>
      <c r="B1085" s="42" t="str">
        <f>_xlfn.XLOOKUP(A1085,Class_Players!$A:$A,Class_Players!$B:$B,"")</f>
        <v>Engineer</v>
      </c>
      <c r="C1085" s="42" t="str" cm="1">
        <f t="array" ref="C1085">INDEX(Lookups!$B$2:$B$13,MOD(ROW()-ROW($B$2),ROWS(Lookups!$B$2:$B$13))+1)</f>
        <v>MAS 148 (Long-Range Launcher)</v>
      </c>
      <c r="D1085" s="38" t="str">
        <f>_xlfn.XLOOKUP(C1085,Analysis_Gadgets!$C:$C,Analysis_Gadgets!$B:$B)</f>
        <v>Gadget</v>
      </c>
      <c r="E1085" s="43">
        <v>20</v>
      </c>
      <c r="F1085" s="43">
        <f>_xlfn.XLOOKUP(A1085,Class_Players!A:A,Class_Players!G:G)</f>
        <v>251</v>
      </c>
      <c r="G1085" s="43">
        <f t="shared" si="238"/>
        <v>7.9681274900398405E-2</v>
      </c>
      <c r="H1085" s="43">
        <f>_xlfn.XLOOKUP(A1085,Class_Players!$A:$A,Class_Players!$F:$F,"")</f>
        <v>6959</v>
      </c>
      <c r="I1085" s="44">
        <f t="shared" si="239"/>
        <v>2.8739761459979883E-3</v>
      </c>
      <c r="J1085" s="43">
        <f t="shared" si="240"/>
        <v>0</v>
      </c>
      <c r="K1085" s="44" cm="1">
        <f t="array" ref="K1085">IF(D1085="Gadget",_xlfn.IFS(I1085&gt;=0.2,0.5,I1085&gt;=0.1,0.35,I1085&gt;=0.05,0.2,TRUE,0),IF(D1085="Grenade",_xlfn.IFS(I1085&gt;=0.2,1,I1085&gt;=0.1,0.7,I1085&gt;=0.05,0.4,TRUE,0),0))</f>
        <v>0</v>
      </c>
      <c r="L1085" s="57">
        <f t="shared" si="244"/>
        <v>0</v>
      </c>
    </row>
    <row r="1086" spans="1:12" x14ac:dyDescent="0.25">
      <c r="A1086" s="42" t="str" cm="1">
        <f t="array" ref="A1086">IFERROR(INDEX(_xlfn._xlws.FILTER(Class_Players!A:A,Class_Players!B:B="Engineer"),QUOTIENT(ROW()-ROW($A$2),12)+1),"")</f>
        <v>DirtY Kiri</v>
      </c>
      <c r="B1086" s="42" t="str">
        <f>_xlfn.XLOOKUP(A1086,Class_Players!$A:$A,Class_Players!$B:$B,"")</f>
        <v>Engineer</v>
      </c>
      <c r="C1086" s="42" t="str" cm="1">
        <f t="array" ref="C1086">INDEX(Lookups!$B$2:$B$13,MOD(ROW()-ROW($B$2),ROWS(Lookups!$B$2:$B$13))+1)</f>
        <v>M136 AT (Aim-Guided Launcher)</v>
      </c>
      <c r="D1086" s="38" t="str">
        <f>_xlfn.XLOOKUP(C1086,Analysis_Gadgets!$C:$C,Analysis_Gadgets!$B:$B)</f>
        <v>Gadget</v>
      </c>
      <c r="E1086" s="43">
        <v>667</v>
      </c>
      <c r="F1086" s="43">
        <f>_xlfn.XLOOKUP(A1086,Class_Players!A:A,Class_Players!G:G)</f>
        <v>251</v>
      </c>
      <c r="G1086" s="43">
        <f t="shared" si="238"/>
        <v>2.6573705179282867</v>
      </c>
      <c r="H1086" s="43">
        <f>_xlfn.XLOOKUP(A1086,Class_Players!$A:$A,Class_Players!$F:$F,"")</f>
        <v>6959</v>
      </c>
      <c r="I1086" s="44">
        <f t="shared" si="239"/>
        <v>9.5847104469032912E-2</v>
      </c>
      <c r="J1086" s="43">
        <f t="shared" si="240"/>
        <v>0</v>
      </c>
      <c r="K1086" s="44" cm="1">
        <f t="array" ref="K1086">IF(D1086="Gadget",_xlfn.IFS(I1086&gt;=0.2,0.5,I1086&gt;=0.1,0.35,I1086&gt;=0.05,0.2,TRUE,0),IF(D1086="Grenade",_xlfn.IFS(I1086&gt;=0.2,1,I1086&gt;=0.1,0.7,I1086&gt;=0.05,0.4,TRUE,0),0))</f>
        <v>0.2</v>
      </c>
      <c r="L1086" s="57">
        <f t="shared" si="244"/>
        <v>0.14285714285714288</v>
      </c>
    </row>
    <row r="1087" spans="1:12" x14ac:dyDescent="0.25">
      <c r="A1087" s="42" t="str" cm="1">
        <f t="array" ref="A1087">IFERROR(INDEX(_xlfn._xlws.FILTER(Class_Players!A:A,Class_Players!B:B="Engineer"),QUOTIENT(ROW()-ROW($A$2),12)+1),"")</f>
        <v>DirtY Kiri</v>
      </c>
      <c r="B1087" s="42" t="str">
        <f>_xlfn.XLOOKUP(A1087,Class_Players!$A:$A,Class_Players!$B:$B,"")</f>
        <v>Engineer</v>
      </c>
      <c r="C1087" s="42" t="str" cm="1">
        <f t="array" ref="C1087">INDEX(Lookups!$B$2:$B$13,MOD(ROW()-ROW($B$2),ROWS(Lookups!$B$2:$B$13))+1)</f>
        <v>Supply Crate</v>
      </c>
      <c r="D1087" s="38" t="str">
        <f>_xlfn.XLOOKUP(C1087,Analysis_Gadgets!$C:$C,Analysis_Gadgets!$B:$B)</f>
        <v>Gadget</v>
      </c>
      <c r="E1087" s="43">
        <v>30</v>
      </c>
      <c r="F1087" s="43">
        <f>_xlfn.XLOOKUP(A1087,Class_Players!A:A,Class_Players!G:G)</f>
        <v>251</v>
      </c>
      <c r="G1087" s="43">
        <f t="shared" si="238"/>
        <v>0.11952191235059761</v>
      </c>
      <c r="H1087" s="43">
        <f>_xlfn.XLOOKUP(A1087,Class_Players!$A:$A,Class_Players!$F:$F,"")</f>
        <v>6959</v>
      </c>
      <c r="I1087" s="44">
        <f t="shared" si="239"/>
        <v>4.3109642189969825E-3</v>
      </c>
      <c r="J1087" s="43">
        <f t="shared" si="240"/>
        <v>0</v>
      </c>
      <c r="K1087" s="44" cm="1">
        <f t="array" ref="K1087">IF(D1087="Gadget",_xlfn.IFS(I1087&gt;=0.2,0.5,I1087&gt;=0.1,0.35,I1087&gt;=0.05,0.2,TRUE,0),IF(D1087="Grenade",_xlfn.IFS(I1087&gt;=0.2,1,I1087&gt;=0.1,0.7,I1087&gt;=0.05,0.4,TRUE,0),0))</f>
        <v>0</v>
      </c>
      <c r="L1087" s="57">
        <f t="shared" si="244"/>
        <v>0</v>
      </c>
    </row>
    <row r="1088" spans="1:12" x14ac:dyDescent="0.25">
      <c r="A1088" s="42" t="str" cm="1">
        <f t="array" ref="A1088">IFERROR(INDEX(_xlfn._xlws.FILTER(Class_Players!A:A,Class_Players!B:B="Engineer"),QUOTIENT(ROW()-ROW($A$2),12)+1),"")</f>
        <v>DirtY Kiri</v>
      </c>
      <c r="B1088" s="42" t="str">
        <f>_xlfn.XLOOKUP(A1088,Class_Players!$A:$A,Class_Players!$B:$B,"")</f>
        <v>Engineer</v>
      </c>
      <c r="C1088" s="42" t="str" cm="1">
        <f t="array" ref="C1088">INDEX(Lookups!$B$2:$B$13,MOD(ROW()-ROW($B$2),ROWS(Lookups!$B$2:$B$13))+1)</f>
        <v>M15 (Anti-Vehicle Mine)</v>
      </c>
      <c r="D1088" s="38" t="str">
        <f>_xlfn.XLOOKUP(C1088,Analysis_Gadgets!$C:$C,Analysis_Gadgets!$B:$B)</f>
        <v>Gadget</v>
      </c>
      <c r="E1088" s="43">
        <v>2578</v>
      </c>
      <c r="F1088" s="43">
        <f>_xlfn.XLOOKUP(A1088,Class_Players!A:A,Class_Players!G:G)</f>
        <v>251</v>
      </c>
      <c r="G1088" s="43">
        <f t="shared" si="238"/>
        <v>10.270916334661354</v>
      </c>
      <c r="H1088" s="43">
        <f>_xlfn.XLOOKUP(A1088,Class_Players!$A:$A,Class_Players!$F:$F,"")</f>
        <v>6959</v>
      </c>
      <c r="I1088" s="44">
        <f t="shared" si="239"/>
        <v>0.37045552521914066</v>
      </c>
      <c r="J1088" s="43">
        <f t="shared" si="240"/>
        <v>1</v>
      </c>
      <c r="K1088" s="44" cm="1">
        <f t="array" ref="K1088">IF(D1088="Gadget",_xlfn.IFS(I1088&gt;=0.2,0.5,I1088&gt;=0.1,0.35,I1088&gt;=0.05,0.2,TRUE,0),IF(D1088="Grenade",_xlfn.IFS(I1088&gt;=0.2,1,I1088&gt;=0.1,0.7,I1088&gt;=0.05,0.4,TRUE,0),0))</f>
        <v>0.5</v>
      </c>
      <c r="L1088" s="57">
        <f t="shared" si="244"/>
        <v>0.35714285714285715</v>
      </c>
    </row>
    <row r="1089" spans="1:12" x14ac:dyDescent="0.25">
      <c r="A1089" s="42" t="str" cm="1">
        <f t="array" ref="A1089">IFERROR(INDEX(_xlfn._xlws.FILTER(Class_Players!A:A,Class_Players!B:B="Engineer"),QUOTIENT(ROW()-ROW($A$2),12)+1),"")</f>
        <v>DirtY Kiri</v>
      </c>
      <c r="B1089" s="42" t="str">
        <f>_xlfn.XLOOKUP(A1089,Class_Players!$A:$A,Class_Players!$B:$B,"")</f>
        <v>Engineer</v>
      </c>
      <c r="C1089" s="42" t="str" cm="1">
        <f t="array" ref="C1089">INDEX(Lookups!$B$2:$B$13,MOD(ROW()-ROW($B$2),ROWS(Lookups!$B$2:$B$13))+1)</f>
        <v>PTKM-1R (Acoustic Sensor AV Mine)</v>
      </c>
      <c r="D1089" s="38" t="str">
        <f>_xlfn.XLOOKUP(C1089,Analysis_Gadgets!$C:$C,Analysis_Gadgets!$B:$B)</f>
        <v>Gadget</v>
      </c>
      <c r="E1089" s="43">
        <v>404</v>
      </c>
      <c r="F1089" s="43">
        <f>_xlfn.XLOOKUP(A1089,Class_Players!A:A,Class_Players!G:G)</f>
        <v>251</v>
      </c>
      <c r="G1089" s="43">
        <f t="shared" si="238"/>
        <v>1.6095617529880477</v>
      </c>
      <c r="H1089" s="43">
        <f>_xlfn.XLOOKUP(A1089,Class_Players!$A:$A,Class_Players!$F:$F,"")</f>
        <v>6959</v>
      </c>
      <c r="I1089" s="44">
        <f t="shared" si="239"/>
        <v>5.8054318149159359E-2</v>
      </c>
      <c r="J1089" s="43">
        <f t="shared" si="240"/>
        <v>0</v>
      </c>
      <c r="K1089" s="44" cm="1">
        <f t="array" ref="K1089">IF(D1089="Gadget",_xlfn.IFS(I1089&gt;=0.2,0.5,I1089&gt;=0.1,0.35,I1089&gt;=0.05,0.2,TRUE,0),IF(D1089="Grenade",_xlfn.IFS(I1089&gt;=0.2,1,I1089&gt;=0.1,0.7,I1089&gt;=0.05,0.4,TRUE,0),0))</f>
        <v>0.2</v>
      </c>
      <c r="L1089" s="57">
        <f t="shared" si="244"/>
        <v>0.14285714285714288</v>
      </c>
    </row>
    <row r="1090" spans="1:12" x14ac:dyDescent="0.25">
      <c r="A1090" s="42" t="str" cm="1">
        <f t="array" ref="A1090">IFERROR(INDEX(_xlfn._xlws.FILTER(Class_Players!A:A,Class_Players!B:B="Engineer"),QUOTIENT(ROW()-ROW($A$2),12)+1),"")</f>
        <v>DirtY Kiri</v>
      </c>
      <c r="B1090" s="42" t="str">
        <f>_xlfn.XLOOKUP(A1090,Class_Players!$A:$A,Class_Players!$B:$B,"")</f>
        <v>Engineer</v>
      </c>
      <c r="C1090" s="42" t="str" cm="1">
        <f t="array" ref="C1090">INDEX(Lookups!$B$2:$B$13,MOD(ROW()-ROW($B$2),ROWS(Lookups!$B$2:$B$13))+1)</f>
        <v>EOD Bot</v>
      </c>
      <c r="D1090" s="38" t="str">
        <f>_xlfn.XLOOKUP(C1090,Analysis_Gadgets!$C:$C,Analysis_Gadgets!$B:$B)</f>
        <v>Gadget</v>
      </c>
      <c r="E1090" s="43">
        <v>50</v>
      </c>
      <c r="F1090" s="43">
        <f>_xlfn.XLOOKUP(A1090,Class_Players!A:A,Class_Players!G:G)</f>
        <v>251</v>
      </c>
      <c r="G1090" s="43">
        <f t="shared" si="238"/>
        <v>0.19920318725099601</v>
      </c>
      <c r="H1090" s="43">
        <f>_xlfn.XLOOKUP(A1090,Class_Players!$A:$A,Class_Players!$F:$F,"")</f>
        <v>6959</v>
      </c>
      <c r="I1090" s="44">
        <f t="shared" si="239"/>
        <v>7.1849403649949708E-3</v>
      </c>
      <c r="J1090" s="43">
        <f t="shared" si="240"/>
        <v>0</v>
      </c>
      <c r="K1090" s="44" cm="1">
        <f t="array" ref="K1090">IF(D1090="Gadget",_xlfn.IFS(I1090&gt;=0.2,0.5,I1090&gt;=0.1,0.35,I1090&gt;=0.05,0.2,TRUE,0),IF(D1090="Grenade",_xlfn.IFS(I1090&gt;=0.2,1,I1090&gt;=0.1,0.7,I1090&gt;=0.05,0.4,TRUE,0),0))</f>
        <v>0</v>
      </c>
      <c r="L1090" s="57">
        <f t="shared" si="244"/>
        <v>0</v>
      </c>
    </row>
    <row r="1091" spans="1:12" x14ac:dyDescent="0.25">
      <c r="A1091" s="42" t="str" cm="1">
        <f t="array" ref="A1091">IFERROR(INDEX(_xlfn._xlws.FILTER(Class_Players!A:A,Class_Players!B:B="Engineer"),QUOTIENT(ROW()-ROW($A$2),12)+1),"")</f>
        <v>DirtY Kiri</v>
      </c>
      <c r="B1091" s="42" t="str">
        <f>_xlfn.XLOOKUP(A1091,Class_Players!$A:$A,Class_Players!$B:$B,"")</f>
        <v>Engineer</v>
      </c>
      <c r="C1091" s="42" t="str" cm="1">
        <f t="array" ref="C1091">INDEX(Lookups!$B$2:$B$13,MOD(ROW()-ROW($B$2),ROWS(Lookups!$B$2:$B$13))+1)</f>
        <v>M4A1 SLAM (Tripwire Sensor AV Mine)</v>
      </c>
      <c r="D1091" s="38" t="str">
        <f>_xlfn.XLOOKUP(C1091,Analysis_Gadgets!$C:$C,Analysis_Gadgets!$B:$B)</f>
        <v>Gadget</v>
      </c>
      <c r="E1091" s="43">
        <v>183</v>
      </c>
      <c r="F1091" s="43">
        <f>_xlfn.XLOOKUP(A1091,Class_Players!A:A,Class_Players!G:G)</f>
        <v>251</v>
      </c>
      <c r="G1091" s="43">
        <f t="shared" si="238"/>
        <v>0.72908366533864544</v>
      </c>
      <c r="H1091" s="43">
        <f>_xlfn.XLOOKUP(A1091,Class_Players!$A:$A,Class_Players!$F:$F,"")</f>
        <v>6959</v>
      </c>
      <c r="I1091" s="44">
        <f t="shared" si="239"/>
        <v>2.6296881735881593E-2</v>
      </c>
      <c r="J1091" s="43">
        <f t="shared" si="240"/>
        <v>0</v>
      </c>
      <c r="K1091" s="44" cm="1">
        <f t="array" ref="K1091">IF(D1091="Gadget",_xlfn.IFS(I1091&gt;=0.2,0.5,I1091&gt;=0.1,0.35,I1091&gt;=0.05,0.2,TRUE,0),IF(D1091="Grenade",_xlfn.IFS(I1091&gt;=0.2,1,I1091&gt;=0.1,0.7,I1091&gt;=0.05,0.4,TRUE,0),0))</f>
        <v>0</v>
      </c>
      <c r="L1091" s="57">
        <f t="shared" si="244"/>
        <v>0</v>
      </c>
    </row>
    <row r="1092" spans="1:12" x14ac:dyDescent="0.25">
      <c r="A1092" s="42" t="str" cm="1">
        <f t="array" ref="A1092">IFERROR(INDEX(_xlfn._xlws.FILTER(Class_Players!A:A,Class_Players!B:B="Engineer"),QUOTIENT(ROW()-ROW($A$2),12)+1),"")</f>
        <v>DirtY Kiri</v>
      </c>
      <c r="B1092" s="42" t="str">
        <f>_xlfn.XLOOKUP(A1092,Class_Players!$A:$A,Class_Players!$B:$B,"")</f>
        <v>Engineer</v>
      </c>
      <c r="C1092" s="42" t="str" cm="1">
        <f t="array" ref="C1092">INDEX(Lookups!$B$2:$B$13,MOD(ROW()-ROW($B$2),ROWS(Lookups!$B$2:$B$13))+1)</f>
        <v>Mini Frag Grenade</v>
      </c>
      <c r="D1092" s="38" t="str">
        <f>_xlfn.XLOOKUP(C1092,Analysis_Gadgets!$C:$C,Analysis_Gadgets!$B:$B)</f>
        <v>Grenade</v>
      </c>
      <c r="E1092" s="43">
        <v>93</v>
      </c>
      <c r="F1092" s="43">
        <f>_xlfn.XLOOKUP(A1092,Class_Players!A:A,Class_Players!G:G)</f>
        <v>251</v>
      </c>
      <c r="G1092" s="43">
        <f t="shared" si="238"/>
        <v>0.37051792828685259</v>
      </c>
      <c r="H1092" s="43">
        <f>_xlfn.XLOOKUP(A1092,Class_Players!$A:$A,Class_Players!$F:$F,"")</f>
        <v>6959</v>
      </c>
      <c r="I1092" s="44">
        <f t="shared" si="239"/>
        <v>1.3363989078890645E-2</v>
      </c>
      <c r="J1092" s="43">
        <f t="shared" si="240"/>
        <v>0</v>
      </c>
      <c r="K1092" s="44" cm="1">
        <f t="array" ref="K1092">IF(D1092="Gadget",_xlfn.IFS(I1092&gt;=0.2,0.5,I1092&gt;=0.1,0.35,I1092&gt;=0.05,0.2,TRUE,0),IF(D1092="Grenade",_xlfn.IFS(I1092&gt;=0.2,1,I1092&gt;=0.1,0.7,I1092&gt;=0.05,0.4,TRUE,0),0))</f>
        <v>0</v>
      </c>
      <c r="L1092" s="57">
        <f t="shared" ref="L1092:L1093" si="245">IF($K1092=0,0,$K1092 / SUMIFS($K:$K,$A:$A,$A1092,$D:$D,"Grenade"))</f>
        <v>0</v>
      </c>
    </row>
    <row r="1093" spans="1:12" x14ac:dyDescent="0.25">
      <c r="A1093" s="42" t="str" cm="1">
        <f t="array" ref="A1093">IFERROR(INDEX(_xlfn._xlws.FILTER(Class_Players!A:A,Class_Players!B:B="Engineer"),QUOTIENT(ROW()-ROW($A$2),12)+1),"")</f>
        <v>DirtY Kiri</v>
      </c>
      <c r="B1093" s="42" t="str">
        <f>_xlfn.XLOOKUP(A1093,Class_Players!$A:$A,Class_Players!$B:$B,"")</f>
        <v>Engineer</v>
      </c>
      <c r="C1093" s="42" t="str" cm="1">
        <f t="array" ref="C1093">INDEX(Lookups!$B$2:$B$13,MOD(ROW()-ROW($B$2),ROWS(Lookups!$B$2:$B$13))+1)</f>
        <v>Anti-Vehicle Grenade</v>
      </c>
      <c r="D1093" s="38" t="str">
        <f>_xlfn.XLOOKUP(C1093,Analysis_Gadgets!$C:$C,Analysis_Gadgets!$B:$B)</f>
        <v>Grenade</v>
      </c>
      <c r="E1093" s="43">
        <v>0</v>
      </c>
      <c r="F1093" s="43">
        <f>_xlfn.XLOOKUP(A1093,Class_Players!A:A,Class_Players!G:G)</f>
        <v>251</v>
      </c>
      <c r="G1093" s="43">
        <f t="shared" si="238"/>
        <v>0</v>
      </c>
      <c r="H1093" s="43">
        <f>_xlfn.XLOOKUP(A1093,Class_Players!$A:$A,Class_Players!$F:$F,"")</f>
        <v>6959</v>
      </c>
      <c r="I1093" s="44">
        <f t="shared" si="239"/>
        <v>0</v>
      </c>
      <c r="J1093" s="43">
        <f t="shared" si="240"/>
        <v>0</v>
      </c>
      <c r="K1093" s="44" cm="1">
        <f t="array" ref="K1093">IF(D1093="Gadget",_xlfn.IFS(I1093&gt;=0.2,0.5,I1093&gt;=0.1,0.35,I1093&gt;=0.05,0.2,TRUE,0),IF(D1093="Grenade",_xlfn.IFS(I1093&gt;=0.2,1,I1093&gt;=0.1,0.7,I1093&gt;=0.05,0.4,TRUE,0),0))</f>
        <v>0</v>
      </c>
      <c r="L1093" s="57">
        <f t="shared" si="245"/>
        <v>0</v>
      </c>
    </row>
    <row r="1094" spans="1:12" x14ac:dyDescent="0.25">
      <c r="A1094" s="42" t="str" cm="1">
        <f t="array" ref="A1094">IFERROR(INDEX(_xlfn._xlws.FILTER(Class_Players!A:A,Class_Players!B:B="Engineer"),QUOTIENT(ROW()-ROW($A$2),12)+1),"")</f>
        <v>bunny bunny bunny bunny bunny</v>
      </c>
      <c r="B1094" s="42" t="str">
        <f>_xlfn.XLOOKUP(A1094,Class_Players!$A:$A,Class_Players!$B:$B,"")</f>
        <v>Engineer</v>
      </c>
      <c r="C1094" s="42" t="str" cm="1">
        <f t="array" ref="C1094">INDEX(Lookups!$B$2:$B$13,MOD(ROW()-ROW($B$2),ROWS(Lookups!$B$2:$B$13))+1)</f>
        <v>MBT-LAW (Auto-Guided Launcher)</v>
      </c>
      <c r="D1094" s="38" t="str">
        <f>_xlfn.XLOOKUP(C1094,Analysis_Gadgets!$C:$C,Analysis_Gadgets!$B:$B)</f>
        <v>Gadget</v>
      </c>
      <c r="E1094" s="43">
        <v>0</v>
      </c>
      <c r="F1094" s="43">
        <f>_xlfn.XLOOKUP(A1094,Class_Players!A:A,Class_Players!G:G)</f>
        <v>186</v>
      </c>
      <c r="G1094" s="43">
        <f t="shared" si="238"/>
        <v>0</v>
      </c>
      <c r="H1094" s="43">
        <f>_xlfn.XLOOKUP(A1094,Class_Players!$A:$A,Class_Players!$F:$F,"")</f>
        <v>6924</v>
      </c>
      <c r="I1094" s="44">
        <f t="shared" si="239"/>
        <v>0</v>
      </c>
      <c r="J1094" s="43">
        <f t="shared" si="240"/>
        <v>0</v>
      </c>
      <c r="K1094" s="44" cm="1">
        <f t="array" ref="K1094">IF(D1094="Gadget",_xlfn.IFS(I1094&gt;=0.2,0.5,I1094&gt;=0.1,0.35,I1094&gt;=0.05,0.2,TRUE,0),IF(D1094="Grenade",_xlfn.IFS(I1094&gt;=0.2,1,I1094&gt;=0.1,0.7,I1094&gt;=0.05,0.4,TRUE,0),0))</f>
        <v>0</v>
      </c>
      <c r="L1094" s="57">
        <f t="shared" ref="L1094:L1103" si="246">IF($K1094=0,0,$K1094 / SUMIFS($K:$K,$A:$A,$A1094,$D:$D,"Gadget"))</f>
        <v>0</v>
      </c>
    </row>
    <row r="1095" spans="1:12" x14ac:dyDescent="0.25">
      <c r="A1095" s="42" t="str" cm="1">
        <f t="array" ref="A1095">IFERROR(INDEX(_xlfn._xlws.FILTER(Class_Players!A:A,Class_Players!B:B="Engineer"),QUOTIENT(ROW()-ROW($A$2),12)+1),"")</f>
        <v>bunny bunny bunny bunny bunny</v>
      </c>
      <c r="B1095" s="42" t="str">
        <f>_xlfn.XLOOKUP(A1095,Class_Players!$A:$A,Class_Players!$B:$B,"")</f>
        <v>Engineer</v>
      </c>
      <c r="C1095" s="42" t="str" cm="1">
        <f t="array" ref="C1095">INDEX(Lookups!$B$2:$B$13,MOD(ROW()-ROW($B$2),ROWS(Lookups!$B$2:$B$13))+1)</f>
        <v>SLM-93A (Air-Defense Launcher)</v>
      </c>
      <c r="D1095" s="38" t="str">
        <f>_xlfn.XLOOKUP(C1095,Analysis_Gadgets!$C:$C,Analysis_Gadgets!$B:$B)</f>
        <v>Gadget</v>
      </c>
      <c r="E1095" s="43">
        <v>0</v>
      </c>
      <c r="F1095" s="43">
        <f>_xlfn.XLOOKUP(A1095,Class_Players!A:A,Class_Players!G:G)</f>
        <v>186</v>
      </c>
      <c r="G1095" s="43">
        <f t="shared" si="238"/>
        <v>0</v>
      </c>
      <c r="H1095" s="43">
        <f>_xlfn.XLOOKUP(A1095,Class_Players!$A:$A,Class_Players!$F:$F,"")</f>
        <v>6924</v>
      </c>
      <c r="I1095" s="44">
        <f t="shared" si="239"/>
        <v>0</v>
      </c>
      <c r="J1095" s="43">
        <f t="shared" si="240"/>
        <v>0</v>
      </c>
      <c r="K1095" s="44" cm="1">
        <f t="array" ref="K1095">IF(D1095="Gadget",_xlfn.IFS(I1095&gt;=0.2,0.5,I1095&gt;=0.1,0.35,I1095&gt;=0.05,0.2,TRUE,0),IF(D1095="Grenade",_xlfn.IFS(I1095&gt;=0.2,1,I1095&gt;=0.1,0.7,I1095&gt;=0.05,0.4,TRUE,0),0))</f>
        <v>0</v>
      </c>
      <c r="L1095" s="57">
        <f t="shared" si="246"/>
        <v>0</v>
      </c>
    </row>
    <row r="1096" spans="1:12" x14ac:dyDescent="0.25">
      <c r="A1096" s="42" t="str" cm="1">
        <f t="array" ref="A1096">IFERROR(INDEX(_xlfn._xlws.FILTER(Class_Players!A:A,Class_Players!B:B="Engineer"),QUOTIENT(ROW()-ROW($A$2),12)+1),"")</f>
        <v>bunny bunny bunny bunny bunny</v>
      </c>
      <c r="B1096" s="42" t="str">
        <f>_xlfn.XLOOKUP(A1096,Class_Players!$A:$A,Class_Players!$B:$B,"")</f>
        <v>Engineer</v>
      </c>
      <c r="C1096" s="42" t="str" cm="1">
        <f t="array" ref="C1096">INDEX(Lookups!$B$2:$B$13,MOD(ROW()-ROW($B$2),ROWS(Lookups!$B$2:$B$13))+1)</f>
        <v>RPG-7V2 (Unguided Rocket Launcher)</v>
      </c>
      <c r="D1096" s="38" t="str">
        <f>_xlfn.XLOOKUP(C1096,Analysis_Gadgets!$C:$C,Analysis_Gadgets!$B:$B)</f>
        <v>Gadget</v>
      </c>
      <c r="E1096" s="43">
        <v>4852</v>
      </c>
      <c r="F1096" s="43">
        <f>_xlfn.XLOOKUP(A1096,Class_Players!A:A,Class_Players!G:G)</f>
        <v>186</v>
      </c>
      <c r="G1096" s="43">
        <f t="shared" si="238"/>
        <v>26.086021505376344</v>
      </c>
      <c r="H1096" s="43">
        <f>_xlfn.XLOOKUP(A1096,Class_Players!$A:$A,Class_Players!$F:$F,"")</f>
        <v>6924</v>
      </c>
      <c r="I1096" s="44">
        <f t="shared" si="239"/>
        <v>0.70075101097631431</v>
      </c>
      <c r="J1096" s="43">
        <f t="shared" si="240"/>
        <v>1</v>
      </c>
      <c r="K1096" s="44" cm="1">
        <f t="array" ref="K1096">IF(D1096="Gadget",_xlfn.IFS(I1096&gt;=0.2,0.5,I1096&gt;=0.1,0.35,I1096&gt;=0.05,0.2,TRUE,0),IF(D1096="Grenade",_xlfn.IFS(I1096&gt;=0.2,1,I1096&gt;=0.1,0.7,I1096&gt;=0.05,0.4,TRUE,0),0))</f>
        <v>0.5</v>
      </c>
      <c r="L1096" s="57">
        <f t="shared" si="246"/>
        <v>0.37037037037037035</v>
      </c>
    </row>
    <row r="1097" spans="1:12" x14ac:dyDescent="0.25">
      <c r="A1097" s="42" t="str" cm="1">
        <f t="array" ref="A1097">IFERROR(INDEX(_xlfn._xlws.FILTER(Class_Players!A:A,Class_Players!B:B="Engineer"),QUOTIENT(ROW()-ROW($A$2),12)+1),"")</f>
        <v>bunny bunny bunny bunny bunny</v>
      </c>
      <c r="B1097" s="42" t="str">
        <f>_xlfn.XLOOKUP(A1097,Class_Players!$A:$A,Class_Players!$B:$B,"")</f>
        <v>Engineer</v>
      </c>
      <c r="C1097" s="42" t="str" cm="1">
        <f t="array" ref="C1097">INDEX(Lookups!$B$2:$B$13,MOD(ROW()-ROW($B$2),ROWS(Lookups!$B$2:$B$13))+1)</f>
        <v>MAS 148 (Long-Range Launcher)</v>
      </c>
      <c r="D1097" s="38" t="str">
        <f>_xlfn.XLOOKUP(C1097,Analysis_Gadgets!$C:$C,Analysis_Gadgets!$B:$B)</f>
        <v>Gadget</v>
      </c>
      <c r="E1097" s="43">
        <v>45</v>
      </c>
      <c r="F1097" s="43">
        <f>_xlfn.XLOOKUP(A1097,Class_Players!A:A,Class_Players!G:G)</f>
        <v>186</v>
      </c>
      <c r="G1097" s="43">
        <f t="shared" si="238"/>
        <v>0.24193548387096775</v>
      </c>
      <c r="H1097" s="43">
        <f>_xlfn.XLOOKUP(A1097,Class_Players!$A:$A,Class_Players!$F:$F,"")</f>
        <v>6924</v>
      </c>
      <c r="I1097" s="44">
        <f t="shared" si="239"/>
        <v>6.4991334488734833E-3</v>
      </c>
      <c r="J1097" s="43">
        <f t="shared" si="240"/>
        <v>0</v>
      </c>
      <c r="K1097" s="44" cm="1">
        <f t="array" ref="K1097">IF(D1097="Gadget",_xlfn.IFS(I1097&gt;=0.2,0.5,I1097&gt;=0.1,0.35,I1097&gt;=0.05,0.2,TRUE,0),IF(D1097="Grenade",_xlfn.IFS(I1097&gt;=0.2,1,I1097&gt;=0.1,0.7,I1097&gt;=0.05,0.4,TRUE,0),0))</f>
        <v>0</v>
      </c>
      <c r="L1097" s="57">
        <f t="shared" si="246"/>
        <v>0</v>
      </c>
    </row>
    <row r="1098" spans="1:12" x14ac:dyDescent="0.25">
      <c r="A1098" s="42" t="str" cm="1">
        <f t="array" ref="A1098">IFERROR(INDEX(_xlfn._xlws.FILTER(Class_Players!A:A,Class_Players!B:B="Engineer"),QUOTIENT(ROW()-ROW($A$2),12)+1),"")</f>
        <v>bunny bunny bunny bunny bunny</v>
      </c>
      <c r="B1098" s="42" t="str">
        <f>_xlfn.XLOOKUP(A1098,Class_Players!$A:$A,Class_Players!$B:$B,"")</f>
        <v>Engineer</v>
      </c>
      <c r="C1098" s="42" t="str" cm="1">
        <f t="array" ref="C1098">INDEX(Lookups!$B$2:$B$13,MOD(ROW()-ROW($B$2),ROWS(Lookups!$B$2:$B$13))+1)</f>
        <v>M136 AT (Aim-Guided Launcher)</v>
      </c>
      <c r="D1098" s="38" t="str">
        <f>_xlfn.XLOOKUP(C1098,Analysis_Gadgets!$C:$C,Analysis_Gadgets!$B:$B)</f>
        <v>Gadget</v>
      </c>
      <c r="E1098" s="43">
        <v>58</v>
      </c>
      <c r="F1098" s="43">
        <f>_xlfn.XLOOKUP(A1098,Class_Players!A:A,Class_Players!G:G)</f>
        <v>186</v>
      </c>
      <c r="G1098" s="43">
        <f t="shared" ref="G1098:G1161" si="247">IF(F1098=0,"",E1098/(F1098))</f>
        <v>0.31182795698924731</v>
      </c>
      <c r="H1098" s="43">
        <f>_xlfn.XLOOKUP(A1098,Class_Players!$A:$A,Class_Players!$F:$F,"")</f>
        <v>6924</v>
      </c>
      <c r="I1098" s="44">
        <f t="shared" ref="I1098:I1161" si="248">IF(H1098=0,"",E1098/H1098)</f>
        <v>8.3766608896591564E-3</v>
      </c>
      <c r="J1098" s="43">
        <f t="shared" ref="J1098:J1161" si="249">IF(I1098&gt;=0.1,1,0)</f>
        <v>0</v>
      </c>
      <c r="K1098" s="44" cm="1">
        <f t="array" ref="K1098">IF(D1098="Gadget",_xlfn.IFS(I1098&gt;=0.2,0.5,I1098&gt;=0.1,0.35,I1098&gt;=0.05,0.2,TRUE,0),IF(D1098="Grenade",_xlfn.IFS(I1098&gt;=0.2,1,I1098&gt;=0.1,0.7,I1098&gt;=0.05,0.4,TRUE,0),0))</f>
        <v>0</v>
      </c>
      <c r="L1098" s="57">
        <f t="shared" si="246"/>
        <v>0</v>
      </c>
    </row>
    <row r="1099" spans="1:12" x14ac:dyDescent="0.25">
      <c r="A1099" s="42" t="str" cm="1">
        <f t="array" ref="A1099">IFERROR(INDEX(_xlfn._xlws.FILTER(Class_Players!A:A,Class_Players!B:B="Engineer"),QUOTIENT(ROW()-ROW($A$2),12)+1),"")</f>
        <v>bunny bunny bunny bunny bunny</v>
      </c>
      <c r="B1099" s="42" t="str">
        <f>_xlfn.XLOOKUP(A1099,Class_Players!$A:$A,Class_Players!$B:$B,"")</f>
        <v>Engineer</v>
      </c>
      <c r="C1099" s="42" t="str" cm="1">
        <f t="array" ref="C1099">INDEX(Lookups!$B$2:$B$13,MOD(ROW()-ROW($B$2),ROWS(Lookups!$B$2:$B$13))+1)</f>
        <v>Supply Crate</v>
      </c>
      <c r="D1099" s="38" t="str">
        <f>_xlfn.XLOOKUP(C1099,Analysis_Gadgets!$C:$C,Analysis_Gadgets!$B:$B)</f>
        <v>Gadget</v>
      </c>
      <c r="E1099" s="43">
        <v>8</v>
      </c>
      <c r="F1099" s="43">
        <f>_xlfn.XLOOKUP(A1099,Class_Players!A:A,Class_Players!G:G)</f>
        <v>186</v>
      </c>
      <c r="G1099" s="43">
        <f t="shared" si="247"/>
        <v>4.3010752688172046E-2</v>
      </c>
      <c r="H1099" s="43">
        <f>_xlfn.XLOOKUP(A1099,Class_Players!$A:$A,Class_Players!$F:$F,"")</f>
        <v>6924</v>
      </c>
      <c r="I1099" s="44">
        <f t="shared" si="248"/>
        <v>1.1554015020219526E-3</v>
      </c>
      <c r="J1099" s="43">
        <f t="shared" si="249"/>
        <v>0</v>
      </c>
      <c r="K1099" s="44" cm="1">
        <f t="array" ref="K1099">IF(D1099="Gadget",_xlfn.IFS(I1099&gt;=0.2,0.5,I1099&gt;=0.1,0.35,I1099&gt;=0.05,0.2,TRUE,0),IF(D1099="Grenade",_xlfn.IFS(I1099&gt;=0.2,1,I1099&gt;=0.1,0.7,I1099&gt;=0.05,0.4,TRUE,0),0))</f>
        <v>0</v>
      </c>
      <c r="L1099" s="57">
        <f t="shared" si="246"/>
        <v>0</v>
      </c>
    </row>
    <row r="1100" spans="1:12" x14ac:dyDescent="0.25">
      <c r="A1100" s="42" t="str" cm="1">
        <f t="array" ref="A1100">IFERROR(INDEX(_xlfn._xlws.FILTER(Class_Players!A:A,Class_Players!B:B="Engineer"),QUOTIENT(ROW()-ROW($A$2),12)+1),"")</f>
        <v>bunny bunny bunny bunny bunny</v>
      </c>
      <c r="B1100" s="42" t="str">
        <f>_xlfn.XLOOKUP(A1100,Class_Players!$A:$A,Class_Players!$B:$B,"")</f>
        <v>Engineer</v>
      </c>
      <c r="C1100" s="42" t="str" cm="1">
        <f t="array" ref="C1100">INDEX(Lookups!$B$2:$B$13,MOD(ROW()-ROW($B$2),ROWS(Lookups!$B$2:$B$13))+1)</f>
        <v>M15 (Anti-Vehicle Mine)</v>
      </c>
      <c r="D1100" s="38" t="str">
        <f>_xlfn.XLOOKUP(C1100,Analysis_Gadgets!$C:$C,Analysis_Gadgets!$B:$B)</f>
        <v>Gadget</v>
      </c>
      <c r="E1100" s="43">
        <v>3353</v>
      </c>
      <c r="F1100" s="43">
        <f>_xlfn.XLOOKUP(A1100,Class_Players!A:A,Class_Players!G:G)</f>
        <v>186</v>
      </c>
      <c r="G1100" s="43">
        <f t="shared" si="247"/>
        <v>18.026881720430108</v>
      </c>
      <c r="H1100" s="43">
        <f>_xlfn.XLOOKUP(A1100,Class_Players!$A:$A,Class_Players!$F:$F,"")</f>
        <v>6924</v>
      </c>
      <c r="I1100" s="44">
        <f t="shared" si="248"/>
        <v>0.4842576545349509</v>
      </c>
      <c r="J1100" s="43">
        <f t="shared" si="249"/>
        <v>1</v>
      </c>
      <c r="K1100" s="44" cm="1">
        <f t="array" ref="K1100">IF(D1100="Gadget",_xlfn.IFS(I1100&gt;=0.2,0.5,I1100&gt;=0.1,0.35,I1100&gt;=0.05,0.2,TRUE,0),IF(D1100="Grenade",_xlfn.IFS(I1100&gt;=0.2,1,I1100&gt;=0.1,0.7,I1100&gt;=0.05,0.4,TRUE,0),0))</f>
        <v>0.5</v>
      </c>
      <c r="L1100" s="57">
        <f t="shared" si="246"/>
        <v>0.37037037037037035</v>
      </c>
    </row>
    <row r="1101" spans="1:12" x14ac:dyDescent="0.25">
      <c r="A1101" s="42" t="str" cm="1">
        <f t="array" ref="A1101">IFERROR(INDEX(_xlfn._xlws.FILTER(Class_Players!A:A,Class_Players!B:B="Engineer"),QUOTIENT(ROW()-ROW($A$2),12)+1),"")</f>
        <v>bunny bunny bunny bunny bunny</v>
      </c>
      <c r="B1101" s="42" t="str">
        <f>_xlfn.XLOOKUP(A1101,Class_Players!$A:$A,Class_Players!$B:$B,"")</f>
        <v>Engineer</v>
      </c>
      <c r="C1101" s="42" t="str" cm="1">
        <f t="array" ref="C1101">INDEX(Lookups!$B$2:$B$13,MOD(ROW()-ROW($B$2),ROWS(Lookups!$B$2:$B$13))+1)</f>
        <v>PTKM-1R (Acoustic Sensor AV Mine)</v>
      </c>
      <c r="D1101" s="38" t="str">
        <f>_xlfn.XLOOKUP(C1101,Analysis_Gadgets!$C:$C,Analysis_Gadgets!$B:$B)</f>
        <v>Gadget</v>
      </c>
      <c r="E1101" s="43">
        <v>895</v>
      </c>
      <c r="F1101" s="43">
        <f>_xlfn.XLOOKUP(A1101,Class_Players!A:A,Class_Players!G:G)</f>
        <v>186</v>
      </c>
      <c r="G1101" s="43">
        <f t="shared" si="247"/>
        <v>4.811827956989247</v>
      </c>
      <c r="H1101" s="43">
        <f>_xlfn.XLOOKUP(A1101,Class_Players!$A:$A,Class_Players!$F:$F,"")</f>
        <v>6924</v>
      </c>
      <c r="I1101" s="44">
        <f t="shared" si="248"/>
        <v>0.12926054303870596</v>
      </c>
      <c r="J1101" s="43">
        <f t="shared" si="249"/>
        <v>1</v>
      </c>
      <c r="K1101" s="44" cm="1">
        <f t="array" ref="K1101">IF(D1101="Gadget",_xlfn.IFS(I1101&gt;=0.2,0.5,I1101&gt;=0.1,0.35,I1101&gt;=0.05,0.2,TRUE,0),IF(D1101="Grenade",_xlfn.IFS(I1101&gt;=0.2,1,I1101&gt;=0.1,0.7,I1101&gt;=0.05,0.4,TRUE,0),0))</f>
        <v>0.35</v>
      </c>
      <c r="L1101" s="57">
        <f t="shared" si="246"/>
        <v>0.25925925925925924</v>
      </c>
    </row>
    <row r="1102" spans="1:12" x14ac:dyDescent="0.25">
      <c r="A1102" s="42" t="str" cm="1">
        <f t="array" ref="A1102">IFERROR(INDEX(_xlfn._xlws.FILTER(Class_Players!A:A,Class_Players!B:B="Engineer"),QUOTIENT(ROW()-ROW($A$2),12)+1),"")</f>
        <v>bunny bunny bunny bunny bunny</v>
      </c>
      <c r="B1102" s="42" t="str">
        <f>_xlfn.XLOOKUP(A1102,Class_Players!$A:$A,Class_Players!$B:$B,"")</f>
        <v>Engineer</v>
      </c>
      <c r="C1102" s="42" t="str" cm="1">
        <f t="array" ref="C1102">INDEX(Lookups!$B$2:$B$13,MOD(ROW()-ROW($B$2),ROWS(Lookups!$B$2:$B$13))+1)</f>
        <v>EOD Bot</v>
      </c>
      <c r="D1102" s="38" t="str">
        <f>_xlfn.XLOOKUP(C1102,Analysis_Gadgets!$C:$C,Analysis_Gadgets!$B:$B)</f>
        <v>Gadget</v>
      </c>
      <c r="E1102" s="43">
        <v>4</v>
      </c>
      <c r="F1102" s="43">
        <f>_xlfn.XLOOKUP(A1102,Class_Players!A:A,Class_Players!G:G)</f>
        <v>186</v>
      </c>
      <c r="G1102" s="43">
        <f t="shared" si="247"/>
        <v>2.1505376344086023E-2</v>
      </c>
      <c r="H1102" s="43">
        <f>_xlfn.XLOOKUP(A1102,Class_Players!$A:$A,Class_Players!$F:$F,"")</f>
        <v>6924</v>
      </c>
      <c r="I1102" s="44">
        <f t="shared" si="248"/>
        <v>5.7770075101097628E-4</v>
      </c>
      <c r="J1102" s="43">
        <f t="shared" si="249"/>
        <v>0</v>
      </c>
      <c r="K1102" s="44" cm="1">
        <f t="array" ref="K1102">IF(D1102="Gadget",_xlfn.IFS(I1102&gt;=0.2,0.5,I1102&gt;=0.1,0.35,I1102&gt;=0.05,0.2,TRUE,0),IF(D1102="Grenade",_xlfn.IFS(I1102&gt;=0.2,1,I1102&gt;=0.1,0.7,I1102&gt;=0.05,0.4,TRUE,0),0))</f>
        <v>0</v>
      </c>
      <c r="L1102" s="57">
        <f t="shared" si="246"/>
        <v>0</v>
      </c>
    </row>
    <row r="1103" spans="1:12" x14ac:dyDescent="0.25">
      <c r="A1103" s="42" t="str" cm="1">
        <f t="array" ref="A1103">IFERROR(INDEX(_xlfn._xlws.FILTER(Class_Players!A:A,Class_Players!B:B="Engineer"),QUOTIENT(ROW()-ROW($A$2),12)+1),"")</f>
        <v>bunny bunny bunny bunny bunny</v>
      </c>
      <c r="B1103" s="42" t="str">
        <f>_xlfn.XLOOKUP(A1103,Class_Players!$A:$A,Class_Players!$B:$B,"")</f>
        <v>Engineer</v>
      </c>
      <c r="C1103" s="42" t="str" cm="1">
        <f t="array" ref="C1103">INDEX(Lookups!$B$2:$B$13,MOD(ROW()-ROW($B$2),ROWS(Lookups!$B$2:$B$13))+1)</f>
        <v>M4A1 SLAM (Tripwire Sensor AV Mine)</v>
      </c>
      <c r="D1103" s="38" t="str">
        <f>_xlfn.XLOOKUP(C1103,Analysis_Gadgets!$C:$C,Analysis_Gadgets!$B:$B)</f>
        <v>Gadget</v>
      </c>
      <c r="E1103" s="43">
        <v>32</v>
      </c>
      <c r="F1103" s="43">
        <f>_xlfn.XLOOKUP(A1103,Class_Players!A:A,Class_Players!G:G)</f>
        <v>186</v>
      </c>
      <c r="G1103" s="43">
        <f t="shared" si="247"/>
        <v>0.17204301075268819</v>
      </c>
      <c r="H1103" s="43">
        <f>_xlfn.XLOOKUP(A1103,Class_Players!$A:$A,Class_Players!$F:$F,"")</f>
        <v>6924</v>
      </c>
      <c r="I1103" s="44">
        <f t="shared" si="248"/>
        <v>4.6216060080878103E-3</v>
      </c>
      <c r="J1103" s="43">
        <f t="shared" si="249"/>
        <v>0</v>
      </c>
      <c r="K1103" s="44" cm="1">
        <f t="array" ref="K1103">IF(D1103="Gadget",_xlfn.IFS(I1103&gt;=0.2,0.5,I1103&gt;=0.1,0.35,I1103&gt;=0.05,0.2,TRUE,0),IF(D1103="Grenade",_xlfn.IFS(I1103&gt;=0.2,1,I1103&gt;=0.1,0.7,I1103&gt;=0.05,0.4,TRUE,0),0))</f>
        <v>0</v>
      </c>
      <c r="L1103" s="57">
        <f t="shared" si="246"/>
        <v>0</v>
      </c>
    </row>
    <row r="1104" spans="1:12" x14ac:dyDescent="0.25">
      <c r="A1104" s="42" t="str" cm="1">
        <f t="array" ref="A1104">IFERROR(INDEX(_xlfn._xlws.FILTER(Class_Players!A:A,Class_Players!B:B="Engineer"),QUOTIENT(ROW()-ROW($A$2),12)+1),"")</f>
        <v>bunny bunny bunny bunny bunny</v>
      </c>
      <c r="B1104" s="42" t="str">
        <f>_xlfn.XLOOKUP(A1104,Class_Players!$A:$A,Class_Players!$B:$B,"")</f>
        <v>Engineer</v>
      </c>
      <c r="C1104" s="42" t="str" cm="1">
        <f t="array" ref="C1104">INDEX(Lookups!$B$2:$B$13,MOD(ROW()-ROW($B$2),ROWS(Lookups!$B$2:$B$13))+1)</f>
        <v>Mini Frag Grenade</v>
      </c>
      <c r="D1104" s="38" t="str">
        <f>_xlfn.XLOOKUP(C1104,Analysis_Gadgets!$C:$C,Analysis_Gadgets!$B:$B)</f>
        <v>Grenade</v>
      </c>
      <c r="E1104" s="43">
        <v>14</v>
      </c>
      <c r="F1104" s="43">
        <f>_xlfn.XLOOKUP(A1104,Class_Players!A:A,Class_Players!G:G)</f>
        <v>186</v>
      </c>
      <c r="G1104" s="43">
        <f t="shared" si="247"/>
        <v>7.5268817204301078E-2</v>
      </c>
      <c r="H1104" s="43">
        <f>_xlfn.XLOOKUP(A1104,Class_Players!$A:$A,Class_Players!$F:$F,"")</f>
        <v>6924</v>
      </c>
      <c r="I1104" s="44">
        <f t="shared" si="248"/>
        <v>2.0219526285384171E-3</v>
      </c>
      <c r="J1104" s="43">
        <f t="shared" si="249"/>
        <v>0</v>
      </c>
      <c r="K1104" s="44" cm="1">
        <f t="array" ref="K1104">IF(D1104="Gadget",_xlfn.IFS(I1104&gt;=0.2,0.5,I1104&gt;=0.1,0.35,I1104&gt;=0.05,0.2,TRUE,0),IF(D1104="Grenade",_xlfn.IFS(I1104&gt;=0.2,1,I1104&gt;=0.1,0.7,I1104&gt;=0.05,0.4,TRUE,0),0))</f>
        <v>0</v>
      </c>
      <c r="L1104" s="57">
        <f t="shared" ref="L1104:L1105" si="250">IF($K1104=0,0,$K1104 / SUMIFS($K:$K,$A:$A,$A1104,$D:$D,"Grenade"))</f>
        <v>0</v>
      </c>
    </row>
    <row r="1105" spans="1:12" x14ac:dyDescent="0.25">
      <c r="A1105" s="42" t="str" cm="1">
        <f t="array" ref="A1105">IFERROR(INDEX(_xlfn._xlws.FILTER(Class_Players!A:A,Class_Players!B:B="Engineer"),QUOTIENT(ROW()-ROW($A$2),12)+1),"")</f>
        <v>bunny bunny bunny bunny bunny</v>
      </c>
      <c r="B1105" s="42" t="str">
        <f>_xlfn.XLOOKUP(A1105,Class_Players!$A:$A,Class_Players!$B:$B,"")</f>
        <v>Engineer</v>
      </c>
      <c r="C1105" s="42" t="str" cm="1">
        <f t="array" ref="C1105">INDEX(Lookups!$B$2:$B$13,MOD(ROW()-ROW($B$2),ROWS(Lookups!$B$2:$B$13))+1)</f>
        <v>Anti-Vehicle Grenade</v>
      </c>
      <c r="D1105" s="38" t="str">
        <f>_xlfn.XLOOKUP(C1105,Analysis_Gadgets!$C:$C,Analysis_Gadgets!$B:$B)</f>
        <v>Grenade</v>
      </c>
      <c r="E1105" s="43">
        <v>0</v>
      </c>
      <c r="F1105" s="43">
        <f>_xlfn.XLOOKUP(A1105,Class_Players!A:A,Class_Players!G:G)</f>
        <v>186</v>
      </c>
      <c r="G1105" s="43">
        <f t="shared" si="247"/>
        <v>0</v>
      </c>
      <c r="H1105" s="43">
        <f>_xlfn.XLOOKUP(A1105,Class_Players!$A:$A,Class_Players!$F:$F,"")</f>
        <v>6924</v>
      </c>
      <c r="I1105" s="44">
        <f t="shared" si="248"/>
        <v>0</v>
      </c>
      <c r="J1105" s="43">
        <f t="shared" si="249"/>
        <v>0</v>
      </c>
      <c r="K1105" s="44" cm="1">
        <f t="array" ref="K1105">IF(D1105="Gadget",_xlfn.IFS(I1105&gt;=0.2,0.5,I1105&gt;=0.1,0.35,I1105&gt;=0.05,0.2,TRUE,0),IF(D1105="Grenade",_xlfn.IFS(I1105&gt;=0.2,1,I1105&gt;=0.1,0.7,I1105&gt;=0.05,0.4,TRUE,0),0))</f>
        <v>0</v>
      </c>
      <c r="L1105" s="57">
        <f t="shared" si="250"/>
        <v>0</v>
      </c>
    </row>
    <row r="1106" spans="1:12" x14ac:dyDescent="0.25">
      <c r="A1106" s="42" t="str" cm="1">
        <f t="array" ref="A1106">IFERROR(INDEX(_xlfn._xlws.FILTER(Class_Players!A:A,Class_Players!B:B="Engineer"),QUOTIENT(ROW()-ROW($A$2),12)+1),"")</f>
        <v>kaltkopf</v>
      </c>
      <c r="B1106" s="42" t="str">
        <f>_xlfn.XLOOKUP(A1106,Class_Players!$A:$A,Class_Players!$B:$B,"")</f>
        <v>Engineer</v>
      </c>
      <c r="C1106" s="42" t="str" cm="1">
        <f t="array" ref="C1106">INDEX(Lookups!$B$2:$B$13,MOD(ROW()-ROW($B$2),ROWS(Lookups!$B$2:$B$13))+1)</f>
        <v>MBT-LAW (Auto-Guided Launcher)</v>
      </c>
      <c r="D1106" s="38" t="str">
        <f>_xlfn.XLOOKUP(C1106,Analysis_Gadgets!$C:$C,Analysis_Gadgets!$B:$B)</f>
        <v>Gadget</v>
      </c>
      <c r="E1106" s="43">
        <v>0</v>
      </c>
      <c r="F1106" s="43">
        <f>_xlfn.XLOOKUP(A1106,Class_Players!A:A,Class_Players!G:G)</f>
        <v>197</v>
      </c>
      <c r="G1106" s="43">
        <f t="shared" si="247"/>
        <v>0</v>
      </c>
      <c r="H1106" s="43">
        <f>_xlfn.XLOOKUP(A1106,Class_Players!$A:$A,Class_Players!$F:$F,"")</f>
        <v>7215</v>
      </c>
      <c r="I1106" s="44">
        <f t="shared" si="248"/>
        <v>0</v>
      </c>
      <c r="J1106" s="43">
        <f t="shared" si="249"/>
        <v>0</v>
      </c>
      <c r="K1106" s="44" cm="1">
        <f t="array" ref="K1106">IF(D1106="Gadget",_xlfn.IFS(I1106&gt;=0.2,0.5,I1106&gt;=0.1,0.35,I1106&gt;=0.05,0.2,TRUE,0),IF(D1106="Grenade",_xlfn.IFS(I1106&gt;=0.2,1,I1106&gt;=0.1,0.7,I1106&gt;=0.05,0.4,TRUE,0),0))</f>
        <v>0</v>
      </c>
      <c r="L1106" s="57">
        <f t="shared" ref="L1106:L1115" si="251">IF($K1106=0,0,$K1106 / SUMIFS($K:$K,$A:$A,$A1106,$D:$D,"Gadget"))</f>
        <v>0</v>
      </c>
    </row>
    <row r="1107" spans="1:12" x14ac:dyDescent="0.25">
      <c r="A1107" s="42" t="str" cm="1">
        <f t="array" ref="A1107">IFERROR(INDEX(_xlfn._xlws.FILTER(Class_Players!A:A,Class_Players!B:B="Engineer"),QUOTIENT(ROW()-ROW($A$2),12)+1),"")</f>
        <v>kaltkopf</v>
      </c>
      <c r="B1107" s="42" t="str">
        <f>_xlfn.XLOOKUP(A1107,Class_Players!$A:$A,Class_Players!$B:$B,"")</f>
        <v>Engineer</v>
      </c>
      <c r="C1107" s="42" t="str" cm="1">
        <f t="array" ref="C1107">INDEX(Lookups!$B$2:$B$13,MOD(ROW()-ROW($B$2),ROWS(Lookups!$B$2:$B$13))+1)</f>
        <v>SLM-93A (Air-Defense Launcher)</v>
      </c>
      <c r="D1107" s="38" t="str">
        <f>_xlfn.XLOOKUP(C1107,Analysis_Gadgets!$C:$C,Analysis_Gadgets!$B:$B)</f>
        <v>Gadget</v>
      </c>
      <c r="E1107" s="43">
        <v>103</v>
      </c>
      <c r="F1107" s="43">
        <f>_xlfn.XLOOKUP(A1107,Class_Players!A:A,Class_Players!G:G)</f>
        <v>197</v>
      </c>
      <c r="G1107" s="43">
        <f t="shared" si="247"/>
        <v>0.52284263959390864</v>
      </c>
      <c r="H1107" s="43">
        <f>_xlfn.XLOOKUP(A1107,Class_Players!$A:$A,Class_Players!$F:$F,"")</f>
        <v>7215</v>
      </c>
      <c r="I1107" s="44">
        <f t="shared" si="248"/>
        <v>1.4275814275814275E-2</v>
      </c>
      <c r="J1107" s="43">
        <f t="shared" si="249"/>
        <v>0</v>
      </c>
      <c r="K1107" s="44" cm="1">
        <f t="array" ref="K1107">IF(D1107="Gadget",_xlfn.IFS(I1107&gt;=0.2,0.5,I1107&gt;=0.1,0.35,I1107&gt;=0.05,0.2,TRUE,0),IF(D1107="Grenade",_xlfn.IFS(I1107&gt;=0.2,1,I1107&gt;=0.1,0.7,I1107&gt;=0.05,0.4,TRUE,0),0))</f>
        <v>0</v>
      </c>
      <c r="L1107" s="57">
        <f t="shared" si="251"/>
        <v>0</v>
      </c>
    </row>
    <row r="1108" spans="1:12" x14ac:dyDescent="0.25">
      <c r="A1108" s="42" t="str" cm="1">
        <f t="array" ref="A1108">IFERROR(INDEX(_xlfn._xlws.FILTER(Class_Players!A:A,Class_Players!B:B="Engineer"),QUOTIENT(ROW()-ROW($A$2),12)+1),"")</f>
        <v>kaltkopf</v>
      </c>
      <c r="B1108" s="42" t="str">
        <f>_xlfn.XLOOKUP(A1108,Class_Players!$A:$A,Class_Players!$B:$B,"")</f>
        <v>Engineer</v>
      </c>
      <c r="C1108" s="42" t="str" cm="1">
        <f t="array" ref="C1108">INDEX(Lookups!$B$2:$B$13,MOD(ROW()-ROW($B$2),ROWS(Lookups!$B$2:$B$13))+1)</f>
        <v>RPG-7V2 (Unguided Rocket Launcher)</v>
      </c>
      <c r="D1108" s="38" t="str">
        <f>_xlfn.XLOOKUP(C1108,Analysis_Gadgets!$C:$C,Analysis_Gadgets!$B:$B)</f>
        <v>Gadget</v>
      </c>
      <c r="E1108" s="43">
        <v>5190</v>
      </c>
      <c r="F1108" s="43">
        <f>_xlfn.XLOOKUP(A1108,Class_Players!A:A,Class_Players!G:G)</f>
        <v>197</v>
      </c>
      <c r="G1108" s="43">
        <f t="shared" si="247"/>
        <v>26.345177664974621</v>
      </c>
      <c r="H1108" s="43">
        <f>_xlfn.XLOOKUP(A1108,Class_Players!$A:$A,Class_Players!$F:$F,"")</f>
        <v>7215</v>
      </c>
      <c r="I1108" s="44">
        <f t="shared" si="248"/>
        <v>0.71933471933471937</v>
      </c>
      <c r="J1108" s="43">
        <f t="shared" si="249"/>
        <v>1</v>
      </c>
      <c r="K1108" s="44" cm="1">
        <f t="array" ref="K1108">IF(D1108="Gadget",_xlfn.IFS(I1108&gt;=0.2,0.5,I1108&gt;=0.1,0.35,I1108&gt;=0.05,0.2,TRUE,0),IF(D1108="Grenade",_xlfn.IFS(I1108&gt;=0.2,1,I1108&gt;=0.1,0.7,I1108&gt;=0.05,0.4,TRUE,0),0))</f>
        <v>0.5</v>
      </c>
      <c r="L1108" s="57">
        <f t="shared" si="251"/>
        <v>0.55555555555555558</v>
      </c>
    </row>
    <row r="1109" spans="1:12" x14ac:dyDescent="0.25">
      <c r="A1109" s="42" t="str" cm="1">
        <f t="array" ref="A1109">IFERROR(INDEX(_xlfn._xlws.FILTER(Class_Players!A:A,Class_Players!B:B="Engineer"),QUOTIENT(ROW()-ROW($A$2),12)+1),"")</f>
        <v>kaltkopf</v>
      </c>
      <c r="B1109" s="42" t="str">
        <f>_xlfn.XLOOKUP(A1109,Class_Players!$A:$A,Class_Players!$B:$B,"")</f>
        <v>Engineer</v>
      </c>
      <c r="C1109" s="42" t="str" cm="1">
        <f t="array" ref="C1109">INDEX(Lookups!$B$2:$B$13,MOD(ROW()-ROW($B$2),ROWS(Lookups!$B$2:$B$13))+1)</f>
        <v>MAS 148 (Long-Range Launcher)</v>
      </c>
      <c r="D1109" s="38" t="str">
        <f>_xlfn.XLOOKUP(C1109,Analysis_Gadgets!$C:$C,Analysis_Gadgets!$B:$B)</f>
        <v>Gadget</v>
      </c>
      <c r="E1109" s="43">
        <v>21</v>
      </c>
      <c r="F1109" s="43">
        <f>_xlfn.XLOOKUP(A1109,Class_Players!A:A,Class_Players!G:G)</f>
        <v>197</v>
      </c>
      <c r="G1109" s="43">
        <f t="shared" si="247"/>
        <v>0.1065989847715736</v>
      </c>
      <c r="H1109" s="43">
        <f>_xlfn.XLOOKUP(A1109,Class_Players!$A:$A,Class_Players!$F:$F,"")</f>
        <v>7215</v>
      </c>
      <c r="I1109" s="44">
        <f t="shared" si="248"/>
        <v>2.9106029106029108E-3</v>
      </c>
      <c r="J1109" s="43">
        <f t="shared" si="249"/>
        <v>0</v>
      </c>
      <c r="K1109" s="44" cm="1">
        <f t="array" ref="K1109">IF(D1109="Gadget",_xlfn.IFS(I1109&gt;=0.2,0.5,I1109&gt;=0.1,0.35,I1109&gt;=0.05,0.2,TRUE,0),IF(D1109="Grenade",_xlfn.IFS(I1109&gt;=0.2,1,I1109&gt;=0.1,0.7,I1109&gt;=0.05,0.4,TRUE,0),0))</f>
        <v>0</v>
      </c>
      <c r="L1109" s="57">
        <f t="shared" si="251"/>
        <v>0</v>
      </c>
    </row>
    <row r="1110" spans="1:12" x14ac:dyDescent="0.25">
      <c r="A1110" s="42" t="str" cm="1">
        <f t="array" ref="A1110">IFERROR(INDEX(_xlfn._xlws.FILTER(Class_Players!A:A,Class_Players!B:B="Engineer"),QUOTIENT(ROW()-ROW($A$2),12)+1),"")</f>
        <v>kaltkopf</v>
      </c>
      <c r="B1110" s="42" t="str">
        <f>_xlfn.XLOOKUP(A1110,Class_Players!$A:$A,Class_Players!$B:$B,"")</f>
        <v>Engineer</v>
      </c>
      <c r="C1110" s="42" t="str" cm="1">
        <f t="array" ref="C1110">INDEX(Lookups!$B$2:$B$13,MOD(ROW()-ROW($B$2),ROWS(Lookups!$B$2:$B$13))+1)</f>
        <v>M136 AT (Aim-Guided Launcher)</v>
      </c>
      <c r="D1110" s="38" t="str">
        <f>_xlfn.XLOOKUP(C1110,Analysis_Gadgets!$C:$C,Analysis_Gadgets!$B:$B)</f>
        <v>Gadget</v>
      </c>
      <c r="E1110" s="43">
        <v>68</v>
      </c>
      <c r="F1110" s="43">
        <f>_xlfn.XLOOKUP(A1110,Class_Players!A:A,Class_Players!G:G)</f>
        <v>197</v>
      </c>
      <c r="G1110" s="43">
        <f t="shared" si="247"/>
        <v>0.34517766497461927</v>
      </c>
      <c r="H1110" s="43">
        <f>_xlfn.XLOOKUP(A1110,Class_Players!$A:$A,Class_Players!$F:$F,"")</f>
        <v>7215</v>
      </c>
      <c r="I1110" s="44">
        <f t="shared" si="248"/>
        <v>9.4248094248094248E-3</v>
      </c>
      <c r="J1110" s="43">
        <f t="shared" si="249"/>
        <v>0</v>
      </c>
      <c r="K1110" s="44" cm="1">
        <f t="array" ref="K1110">IF(D1110="Gadget",_xlfn.IFS(I1110&gt;=0.2,0.5,I1110&gt;=0.1,0.35,I1110&gt;=0.05,0.2,TRUE,0),IF(D1110="Grenade",_xlfn.IFS(I1110&gt;=0.2,1,I1110&gt;=0.1,0.7,I1110&gt;=0.05,0.4,TRUE,0),0))</f>
        <v>0</v>
      </c>
      <c r="L1110" s="57">
        <f t="shared" si="251"/>
        <v>0</v>
      </c>
    </row>
    <row r="1111" spans="1:12" x14ac:dyDescent="0.25">
      <c r="A1111" s="42" t="str" cm="1">
        <f t="array" ref="A1111">IFERROR(INDEX(_xlfn._xlws.FILTER(Class_Players!A:A,Class_Players!B:B="Engineer"),QUOTIENT(ROW()-ROW($A$2),12)+1),"")</f>
        <v>kaltkopf</v>
      </c>
      <c r="B1111" s="42" t="str">
        <f>_xlfn.XLOOKUP(A1111,Class_Players!$A:$A,Class_Players!$B:$B,"")</f>
        <v>Engineer</v>
      </c>
      <c r="C1111" s="42" t="str" cm="1">
        <f t="array" ref="C1111">INDEX(Lookups!$B$2:$B$13,MOD(ROW()-ROW($B$2),ROWS(Lookups!$B$2:$B$13))+1)</f>
        <v>Supply Crate</v>
      </c>
      <c r="D1111" s="38" t="str">
        <f>_xlfn.XLOOKUP(C1111,Analysis_Gadgets!$C:$C,Analysis_Gadgets!$B:$B)</f>
        <v>Gadget</v>
      </c>
      <c r="E1111" s="43">
        <v>17</v>
      </c>
      <c r="F1111" s="43">
        <f>_xlfn.XLOOKUP(A1111,Class_Players!A:A,Class_Players!G:G)</f>
        <v>197</v>
      </c>
      <c r="G1111" s="43">
        <f t="shared" si="247"/>
        <v>8.6294416243654817E-2</v>
      </c>
      <c r="H1111" s="43">
        <f>_xlfn.XLOOKUP(A1111,Class_Players!$A:$A,Class_Players!$F:$F,"")</f>
        <v>7215</v>
      </c>
      <c r="I1111" s="44">
        <f t="shared" si="248"/>
        <v>2.3562023562023562E-3</v>
      </c>
      <c r="J1111" s="43">
        <f t="shared" si="249"/>
        <v>0</v>
      </c>
      <c r="K1111" s="44" cm="1">
        <f t="array" ref="K1111">IF(D1111="Gadget",_xlfn.IFS(I1111&gt;=0.2,0.5,I1111&gt;=0.1,0.35,I1111&gt;=0.05,0.2,TRUE,0),IF(D1111="Grenade",_xlfn.IFS(I1111&gt;=0.2,1,I1111&gt;=0.1,0.7,I1111&gt;=0.05,0.4,TRUE,0),0))</f>
        <v>0</v>
      </c>
      <c r="L1111" s="57">
        <f t="shared" si="251"/>
        <v>0</v>
      </c>
    </row>
    <row r="1112" spans="1:12" x14ac:dyDescent="0.25">
      <c r="A1112" s="42" t="str" cm="1">
        <f t="array" ref="A1112">IFERROR(INDEX(_xlfn._xlws.FILTER(Class_Players!A:A,Class_Players!B:B="Engineer"),QUOTIENT(ROW()-ROW($A$2),12)+1),"")</f>
        <v>kaltkopf</v>
      </c>
      <c r="B1112" s="42" t="str">
        <f>_xlfn.XLOOKUP(A1112,Class_Players!$A:$A,Class_Players!$B:$B,"")</f>
        <v>Engineer</v>
      </c>
      <c r="C1112" s="42" t="str" cm="1">
        <f t="array" ref="C1112">INDEX(Lookups!$B$2:$B$13,MOD(ROW()-ROW($B$2),ROWS(Lookups!$B$2:$B$13))+1)</f>
        <v>M15 (Anti-Vehicle Mine)</v>
      </c>
      <c r="D1112" s="38" t="str">
        <f>_xlfn.XLOOKUP(C1112,Analysis_Gadgets!$C:$C,Analysis_Gadgets!$B:$B)</f>
        <v>Gadget</v>
      </c>
      <c r="E1112" s="43">
        <v>662</v>
      </c>
      <c r="F1112" s="43">
        <f>_xlfn.XLOOKUP(A1112,Class_Players!A:A,Class_Players!G:G)</f>
        <v>197</v>
      </c>
      <c r="G1112" s="43">
        <f t="shared" si="247"/>
        <v>3.3604060913705585</v>
      </c>
      <c r="H1112" s="43">
        <f>_xlfn.XLOOKUP(A1112,Class_Players!$A:$A,Class_Players!$F:$F,"")</f>
        <v>7215</v>
      </c>
      <c r="I1112" s="44">
        <f t="shared" si="248"/>
        <v>9.1753291753291749E-2</v>
      </c>
      <c r="J1112" s="43">
        <f t="shared" si="249"/>
        <v>0</v>
      </c>
      <c r="K1112" s="44" cm="1">
        <f t="array" ref="K1112">IF(D1112="Gadget",_xlfn.IFS(I1112&gt;=0.2,0.5,I1112&gt;=0.1,0.35,I1112&gt;=0.05,0.2,TRUE,0),IF(D1112="Grenade",_xlfn.IFS(I1112&gt;=0.2,1,I1112&gt;=0.1,0.7,I1112&gt;=0.05,0.4,TRUE,0),0))</f>
        <v>0.2</v>
      </c>
      <c r="L1112" s="57">
        <f t="shared" si="251"/>
        <v>0.22222222222222227</v>
      </c>
    </row>
    <row r="1113" spans="1:12" x14ac:dyDescent="0.25">
      <c r="A1113" s="42" t="str" cm="1">
        <f t="array" ref="A1113">IFERROR(INDEX(_xlfn._xlws.FILTER(Class_Players!A:A,Class_Players!B:B="Engineer"),QUOTIENT(ROW()-ROW($A$2),12)+1),"")</f>
        <v>kaltkopf</v>
      </c>
      <c r="B1113" s="42" t="str">
        <f>_xlfn.XLOOKUP(A1113,Class_Players!$A:$A,Class_Players!$B:$B,"")</f>
        <v>Engineer</v>
      </c>
      <c r="C1113" s="42" t="str" cm="1">
        <f t="array" ref="C1113">INDEX(Lookups!$B$2:$B$13,MOD(ROW()-ROW($B$2),ROWS(Lookups!$B$2:$B$13))+1)</f>
        <v>PTKM-1R (Acoustic Sensor AV Mine)</v>
      </c>
      <c r="D1113" s="38" t="str">
        <f>_xlfn.XLOOKUP(C1113,Analysis_Gadgets!$C:$C,Analysis_Gadgets!$B:$B)</f>
        <v>Gadget</v>
      </c>
      <c r="E1113" s="43">
        <v>673</v>
      </c>
      <c r="F1113" s="43">
        <f>_xlfn.XLOOKUP(A1113,Class_Players!A:A,Class_Players!G:G)</f>
        <v>197</v>
      </c>
      <c r="G1113" s="43">
        <f t="shared" si="247"/>
        <v>3.4162436548223352</v>
      </c>
      <c r="H1113" s="43">
        <f>_xlfn.XLOOKUP(A1113,Class_Players!$A:$A,Class_Players!$F:$F,"")</f>
        <v>7215</v>
      </c>
      <c r="I1113" s="44">
        <f t="shared" si="248"/>
        <v>9.3277893277893278E-2</v>
      </c>
      <c r="J1113" s="43">
        <f t="shared" si="249"/>
        <v>0</v>
      </c>
      <c r="K1113" s="44" cm="1">
        <f t="array" ref="K1113">IF(D1113="Gadget",_xlfn.IFS(I1113&gt;=0.2,0.5,I1113&gt;=0.1,0.35,I1113&gt;=0.05,0.2,TRUE,0),IF(D1113="Grenade",_xlfn.IFS(I1113&gt;=0.2,1,I1113&gt;=0.1,0.7,I1113&gt;=0.05,0.4,TRUE,0),0))</f>
        <v>0.2</v>
      </c>
      <c r="L1113" s="57">
        <f t="shared" si="251"/>
        <v>0.22222222222222227</v>
      </c>
    </row>
    <row r="1114" spans="1:12" x14ac:dyDescent="0.25">
      <c r="A1114" s="42" t="str" cm="1">
        <f t="array" ref="A1114">IFERROR(INDEX(_xlfn._xlws.FILTER(Class_Players!A:A,Class_Players!B:B="Engineer"),QUOTIENT(ROW()-ROW($A$2),12)+1),"")</f>
        <v>kaltkopf</v>
      </c>
      <c r="B1114" s="42" t="str">
        <f>_xlfn.XLOOKUP(A1114,Class_Players!$A:$A,Class_Players!$B:$B,"")</f>
        <v>Engineer</v>
      </c>
      <c r="C1114" s="42" t="str" cm="1">
        <f t="array" ref="C1114">INDEX(Lookups!$B$2:$B$13,MOD(ROW()-ROW($B$2),ROWS(Lookups!$B$2:$B$13))+1)</f>
        <v>EOD Bot</v>
      </c>
      <c r="D1114" s="38" t="str">
        <f>_xlfn.XLOOKUP(C1114,Analysis_Gadgets!$C:$C,Analysis_Gadgets!$B:$B)</f>
        <v>Gadget</v>
      </c>
      <c r="E1114" s="43">
        <v>112</v>
      </c>
      <c r="F1114" s="43">
        <f>_xlfn.XLOOKUP(A1114,Class_Players!A:A,Class_Players!G:G)</f>
        <v>197</v>
      </c>
      <c r="G1114" s="43">
        <f t="shared" si="247"/>
        <v>0.56852791878172593</v>
      </c>
      <c r="H1114" s="43">
        <f>_xlfn.XLOOKUP(A1114,Class_Players!$A:$A,Class_Players!$F:$F,"")</f>
        <v>7215</v>
      </c>
      <c r="I1114" s="44">
        <f t="shared" si="248"/>
        <v>1.5523215523215523E-2</v>
      </c>
      <c r="J1114" s="43">
        <f t="shared" si="249"/>
        <v>0</v>
      </c>
      <c r="K1114" s="44" cm="1">
        <f t="array" ref="K1114">IF(D1114="Gadget",_xlfn.IFS(I1114&gt;=0.2,0.5,I1114&gt;=0.1,0.35,I1114&gt;=0.05,0.2,TRUE,0),IF(D1114="Grenade",_xlfn.IFS(I1114&gt;=0.2,1,I1114&gt;=0.1,0.7,I1114&gt;=0.05,0.4,TRUE,0),0))</f>
        <v>0</v>
      </c>
      <c r="L1114" s="57">
        <f t="shared" si="251"/>
        <v>0</v>
      </c>
    </row>
    <row r="1115" spans="1:12" x14ac:dyDescent="0.25">
      <c r="A1115" s="42" t="str" cm="1">
        <f t="array" ref="A1115">IFERROR(INDEX(_xlfn._xlws.FILTER(Class_Players!A:A,Class_Players!B:B="Engineer"),QUOTIENT(ROW()-ROW($A$2),12)+1),"")</f>
        <v>kaltkopf</v>
      </c>
      <c r="B1115" s="42" t="str">
        <f>_xlfn.XLOOKUP(A1115,Class_Players!$A:$A,Class_Players!$B:$B,"")</f>
        <v>Engineer</v>
      </c>
      <c r="C1115" s="42" t="str" cm="1">
        <f t="array" ref="C1115">INDEX(Lookups!$B$2:$B$13,MOD(ROW()-ROW($B$2),ROWS(Lookups!$B$2:$B$13))+1)</f>
        <v>M4A1 SLAM (Tripwire Sensor AV Mine)</v>
      </c>
      <c r="D1115" s="38" t="str">
        <f>_xlfn.XLOOKUP(C1115,Analysis_Gadgets!$C:$C,Analysis_Gadgets!$B:$B)</f>
        <v>Gadget</v>
      </c>
      <c r="E1115" s="43">
        <v>19</v>
      </c>
      <c r="F1115" s="43">
        <f>_xlfn.XLOOKUP(A1115,Class_Players!A:A,Class_Players!G:G)</f>
        <v>197</v>
      </c>
      <c r="G1115" s="43">
        <f t="shared" si="247"/>
        <v>9.6446700507614211E-2</v>
      </c>
      <c r="H1115" s="43">
        <f>_xlfn.XLOOKUP(A1115,Class_Players!$A:$A,Class_Players!$F:$F,"")</f>
        <v>7215</v>
      </c>
      <c r="I1115" s="44">
        <f t="shared" si="248"/>
        <v>2.6334026334026333E-3</v>
      </c>
      <c r="J1115" s="43">
        <f t="shared" si="249"/>
        <v>0</v>
      </c>
      <c r="K1115" s="44" cm="1">
        <f t="array" ref="K1115">IF(D1115="Gadget",_xlfn.IFS(I1115&gt;=0.2,0.5,I1115&gt;=0.1,0.35,I1115&gt;=0.05,0.2,TRUE,0),IF(D1115="Grenade",_xlfn.IFS(I1115&gt;=0.2,1,I1115&gt;=0.1,0.7,I1115&gt;=0.05,0.4,TRUE,0),0))</f>
        <v>0</v>
      </c>
      <c r="L1115" s="57">
        <f t="shared" si="251"/>
        <v>0</v>
      </c>
    </row>
    <row r="1116" spans="1:12" x14ac:dyDescent="0.25">
      <c r="A1116" s="42" t="str" cm="1">
        <f t="array" ref="A1116">IFERROR(INDEX(_xlfn._xlws.FILTER(Class_Players!A:A,Class_Players!B:B="Engineer"),QUOTIENT(ROW()-ROW($A$2),12)+1),"")</f>
        <v>kaltkopf</v>
      </c>
      <c r="B1116" s="42" t="str">
        <f>_xlfn.XLOOKUP(A1116,Class_Players!$A:$A,Class_Players!$B:$B,"")</f>
        <v>Engineer</v>
      </c>
      <c r="C1116" s="42" t="str" cm="1">
        <f t="array" ref="C1116">INDEX(Lookups!$B$2:$B$13,MOD(ROW()-ROW($B$2),ROWS(Lookups!$B$2:$B$13))+1)</f>
        <v>Mini Frag Grenade</v>
      </c>
      <c r="D1116" s="38" t="str">
        <f>_xlfn.XLOOKUP(C1116,Analysis_Gadgets!$C:$C,Analysis_Gadgets!$B:$B)</f>
        <v>Grenade</v>
      </c>
      <c r="E1116" s="43">
        <v>3706</v>
      </c>
      <c r="F1116" s="43">
        <f>_xlfn.XLOOKUP(A1116,Class_Players!A:A,Class_Players!G:G)</f>
        <v>197</v>
      </c>
      <c r="G1116" s="43">
        <f t="shared" si="247"/>
        <v>18.81218274111675</v>
      </c>
      <c r="H1116" s="43">
        <f>_xlfn.XLOOKUP(A1116,Class_Players!$A:$A,Class_Players!$F:$F,"")</f>
        <v>7215</v>
      </c>
      <c r="I1116" s="44">
        <f t="shared" si="248"/>
        <v>0.51365211365211361</v>
      </c>
      <c r="J1116" s="43">
        <f t="shared" si="249"/>
        <v>1</v>
      </c>
      <c r="K1116" s="44" cm="1">
        <f t="array" ref="K1116">IF(D1116="Gadget",_xlfn.IFS(I1116&gt;=0.2,0.5,I1116&gt;=0.1,0.35,I1116&gt;=0.05,0.2,TRUE,0),IF(D1116="Grenade",_xlfn.IFS(I1116&gt;=0.2,1,I1116&gt;=0.1,0.7,I1116&gt;=0.05,0.4,TRUE,0),0))</f>
        <v>1</v>
      </c>
      <c r="L1116" s="57">
        <f t="shared" ref="L1116:L1117" si="252">IF($K1116=0,0,$K1116 / SUMIFS($K:$K,$A:$A,$A1116,$D:$D,"Grenade"))</f>
        <v>1</v>
      </c>
    </row>
    <row r="1117" spans="1:12" x14ac:dyDescent="0.25">
      <c r="A1117" s="42" t="str" cm="1">
        <f t="array" ref="A1117">IFERROR(INDEX(_xlfn._xlws.FILTER(Class_Players!A:A,Class_Players!B:B="Engineer"),QUOTIENT(ROW()-ROW($A$2),12)+1),"")</f>
        <v>kaltkopf</v>
      </c>
      <c r="B1117" s="42" t="str">
        <f>_xlfn.XLOOKUP(A1117,Class_Players!$A:$A,Class_Players!$B:$B,"")</f>
        <v>Engineer</v>
      </c>
      <c r="C1117" s="42" t="str" cm="1">
        <f t="array" ref="C1117">INDEX(Lookups!$B$2:$B$13,MOD(ROW()-ROW($B$2),ROWS(Lookups!$B$2:$B$13))+1)</f>
        <v>Anti-Vehicle Grenade</v>
      </c>
      <c r="D1117" s="38" t="str">
        <f>_xlfn.XLOOKUP(C1117,Analysis_Gadgets!$C:$C,Analysis_Gadgets!$B:$B)</f>
        <v>Grenade</v>
      </c>
      <c r="E1117" s="43">
        <v>0</v>
      </c>
      <c r="F1117" s="43">
        <f>_xlfn.XLOOKUP(A1117,Class_Players!A:A,Class_Players!G:G)</f>
        <v>197</v>
      </c>
      <c r="G1117" s="43">
        <f t="shared" si="247"/>
        <v>0</v>
      </c>
      <c r="H1117" s="43">
        <f>_xlfn.XLOOKUP(A1117,Class_Players!$A:$A,Class_Players!$F:$F,"")</f>
        <v>7215</v>
      </c>
      <c r="I1117" s="44">
        <f t="shared" si="248"/>
        <v>0</v>
      </c>
      <c r="J1117" s="43">
        <f t="shared" si="249"/>
        <v>0</v>
      </c>
      <c r="K1117" s="44" cm="1">
        <f t="array" ref="K1117">IF(D1117="Gadget",_xlfn.IFS(I1117&gt;=0.2,0.5,I1117&gt;=0.1,0.35,I1117&gt;=0.05,0.2,TRUE,0),IF(D1117="Grenade",_xlfn.IFS(I1117&gt;=0.2,1,I1117&gt;=0.1,0.7,I1117&gt;=0.05,0.4,TRUE,0),0))</f>
        <v>0</v>
      </c>
      <c r="L1117" s="57">
        <f t="shared" si="252"/>
        <v>0</v>
      </c>
    </row>
    <row r="1118" spans="1:12" x14ac:dyDescent="0.25">
      <c r="A1118" s="42" t="str" cm="1">
        <f t="array" ref="A1118">IFERROR(INDEX(_xlfn._xlws.FILTER(Class_Players!A:A,Class_Players!B:B="Engineer"),QUOTIENT(ROW()-ROW($A$2),12)+1),"")</f>
        <v>John Maçarico</v>
      </c>
      <c r="B1118" s="42" t="str">
        <f>_xlfn.XLOOKUP(A1118,Class_Players!$A:$A,Class_Players!$B:$B,"")</f>
        <v>Engineer</v>
      </c>
      <c r="C1118" s="42" t="str" cm="1">
        <f t="array" ref="C1118">INDEX(Lookups!$B$2:$B$13,MOD(ROW()-ROW($B$2),ROWS(Lookups!$B$2:$B$13))+1)</f>
        <v>MBT-LAW (Auto-Guided Launcher)</v>
      </c>
      <c r="D1118" s="38" t="str">
        <f>_xlfn.XLOOKUP(C1118,Analysis_Gadgets!$C:$C,Analysis_Gadgets!$B:$B)</f>
        <v>Gadget</v>
      </c>
      <c r="E1118" s="43">
        <v>0</v>
      </c>
      <c r="F1118" s="43">
        <f>_xlfn.XLOOKUP(A1118,Class_Players!A:A,Class_Players!G:G)</f>
        <v>162</v>
      </c>
      <c r="G1118" s="43">
        <f t="shared" si="247"/>
        <v>0</v>
      </c>
      <c r="H1118" s="43">
        <f>_xlfn.XLOOKUP(A1118,Class_Players!$A:$A,Class_Players!$F:$F,"")</f>
        <v>6799</v>
      </c>
      <c r="I1118" s="44">
        <f t="shared" si="248"/>
        <v>0</v>
      </c>
      <c r="J1118" s="43">
        <f t="shared" si="249"/>
        <v>0</v>
      </c>
      <c r="K1118" s="44" cm="1">
        <f t="array" ref="K1118">IF(D1118="Gadget",_xlfn.IFS(I1118&gt;=0.2,0.5,I1118&gt;=0.1,0.35,I1118&gt;=0.05,0.2,TRUE,0),IF(D1118="Grenade",_xlfn.IFS(I1118&gt;=0.2,1,I1118&gt;=0.1,0.7,I1118&gt;=0.05,0.4,TRUE,0),0))</f>
        <v>0</v>
      </c>
      <c r="L1118" s="57">
        <f t="shared" ref="L1118:L1127" si="253">IF($K1118=0,0,$K1118 / SUMIFS($K:$K,$A:$A,$A1118,$D:$D,"Gadget"))</f>
        <v>0</v>
      </c>
    </row>
    <row r="1119" spans="1:12" x14ac:dyDescent="0.25">
      <c r="A1119" s="42" t="str" cm="1">
        <f t="array" ref="A1119">IFERROR(INDEX(_xlfn._xlws.FILTER(Class_Players!A:A,Class_Players!B:B="Engineer"),QUOTIENT(ROW()-ROW($A$2),12)+1),"")</f>
        <v>John Maçarico</v>
      </c>
      <c r="B1119" s="42" t="str">
        <f>_xlfn.XLOOKUP(A1119,Class_Players!$A:$A,Class_Players!$B:$B,"")</f>
        <v>Engineer</v>
      </c>
      <c r="C1119" s="42" t="str" cm="1">
        <f t="array" ref="C1119">INDEX(Lookups!$B$2:$B$13,MOD(ROW()-ROW($B$2),ROWS(Lookups!$B$2:$B$13))+1)</f>
        <v>SLM-93A (Air-Defense Launcher)</v>
      </c>
      <c r="D1119" s="38" t="str">
        <f>_xlfn.XLOOKUP(C1119,Analysis_Gadgets!$C:$C,Analysis_Gadgets!$B:$B)</f>
        <v>Gadget</v>
      </c>
      <c r="E1119" s="43">
        <v>106</v>
      </c>
      <c r="F1119" s="43">
        <f>_xlfn.XLOOKUP(A1119,Class_Players!A:A,Class_Players!G:G)</f>
        <v>162</v>
      </c>
      <c r="G1119" s="43">
        <f t="shared" si="247"/>
        <v>0.65432098765432101</v>
      </c>
      <c r="H1119" s="43">
        <f>_xlfn.XLOOKUP(A1119,Class_Players!$A:$A,Class_Players!$F:$F,"")</f>
        <v>6799</v>
      </c>
      <c r="I1119" s="44">
        <f t="shared" si="248"/>
        <v>1.5590528018826297E-2</v>
      </c>
      <c r="J1119" s="43">
        <f t="shared" si="249"/>
        <v>0</v>
      </c>
      <c r="K1119" s="44" cm="1">
        <f t="array" ref="K1119">IF(D1119="Gadget",_xlfn.IFS(I1119&gt;=0.2,0.5,I1119&gt;=0.1,0.35,I1119&gt;=0.05,0.2,TRUE,0),IF(D1119="Grenade",_xlfn.IFS(I1119&gt;=0.2,1,I1119&gt;=0.1,0.7,I1119&gt;=0.05,0.4,TRUE,0),0))</f>
        <v>0</v>
      </c>
      <c r="L1119" s="57">
        <f t="shared" si="253"/>
        <v>0</v>
      </c>
    </row>
    <row r="1120" spans="1:12" x14ac:dyDescent="0.25">
      <c r="A1120" s="42" t="str" cm="1">
        <f t="array" ref="A1120">IFERROR(INDEX(_xlfn._xlws.FILTER(Class_Players!A:A,Class_Players!B:B="Engineer"),QUOTIENT(ROW()-ROW($A$2),12)+1),"")</f>
        <v>John Maçarico</v>
      </c>
      <c r="B1120" s="42" t="str">
        <f>_xlfn.XLOOKUP(A1120,Class_Players!$A:$A,Class_Players!$B:$B,"")</f>
        <v>Engineer</v>
      </c>
      <c r="C1120" s="42" t="str" cm="1">
        <f t="array" ref="C1120">INDEX(Lookups!$B$2:$B$13,MOD(ROW()-ROW($B$2),ROWS(Lookups!$B$2:$B$13))+1)</f>
        <v>RPG-7V2 (Unguided Rocket Launcher)</v>
      </c>
      <c r="D1120" s="38" t="str">
        <f>_xlfn.XLOOKUP(C1120,Analysis_Gadgets!$C:$C,Analysis_Gadgets!$B:$B)</f>
        <v>Gadget</v>
      </c>
      <c r="E1120" s="43">
        <v>1480</v>
      </c>
      <c r="F1120" s="43">
        <f>_xlfn.XLOOKUP(A1120,Class_Players!A:A,Class_Players!G:G)</f>
        <v>162</v>
      </c>
      <c r="G1120" s="43">
        <f t="shared" si="247"/>
        <v>9.1358024691358022</v>
      </c>
      <c r="H1120" s="43">
        <f>_xlfn.XLOOKUP(A1120,Class_Players!$A:$A,Class_Players!$F:$F,"")</f>
        <v>6799</v>
      </c>
      <c r="I1120" s="44">
        <f t="shared" si="248"/>
        <v>0.217679070451537</v>
      </c>
      <c r="J1120" s="43">
        <f t="shared" si="249"/>
        <v>1</v>
      </c>
      <c r="K1120" s="44" cm="1">
        <f t="array" ref="K1120">IF(D1120="Gadget",_xlfn.IFS(I1120&gt;=0.2,0.5,I1120&gt;=0.1,0.35,I1120&gt;=0.05,0.2,TRUE,0),IF(D1120="Grenade",_xlfn.IFS(I1120&gt;=0.2,1,I1120&gt;=0.1,0.7,I1120&gt;=0.05,0.4,TRUE,0),0))</f>
        <v>0.5</v>
      </c>
      <c r="L1120" s="57">
        <f t="shared" si="253"/>
        <v>0.7142857142857143</v>
      </c>
    </row>
    <row r="1121" spans="1:12" x14ac:dyDescent="0.25">
      <c r="A1121" s="42" t="str" cm="1">
        <f t="array" ref="A1121">IFERROR(INDEX(_xlfn._xlws.FILTER(Class_Players!A:A,Class_Players!B:B="Engineer"),QUOTIENT(ROW()-ROW($A$2),12)+1),"")</f>
        <v>John Maçarico</v>
      </c>
      <c r="B1121" s="42" t="str">
        <f>_xlfn.XLOOKUP(A1121,Class_Players!$A:$A,Class_Players!$B:$B,"")</f>
        <v>Engineer</v>
      </c>
      <c r="C1121" s="42" t="str" cm="1">
        <f t="array" ref="C1121">INDEX(Lookups!$B$2:$B$13,MOD(ROW()-ROW($B$2),ROWS(Lookups!$B$2:$B$13))+1)</f>
        <v>MAS 148 (Long-Range Launcher)</v>
      </c>
      <c r="D1121" s="38" t="str">
        <f>_xlfn.XLOOKUP(C1121,Analysis_Gadgets!$C:$C,Analysis_Gadgets!$B:$B)</f>
        <v>Gadget</v>
      </c>
      <c r="E1121" s="43">
        <v>8</v>
      </c>
      <c r="F1121" s="43">
        <f>_xlfn.XLOOKUP(A1121,Class_Players!A:A,Class_Players!G:G)</f>
        <v>162</v>
      </c>
      <c r="G1121" s="43">
        <f t="shared" si="247"/>
        <v>4.9382716049382713E-2</v>
      </c>
      <c r="H1121" s="43">
        <f>_xlfn.XLOOKUP(A1121,Class_Players!$A:$A,Class_Players!$F:$F,"")</f>
        <v>6799</v>
      </c>
      <c r="I1121" s="44">
        <f t="shared" si="248"/>
        <v>1.1766436240623621E-3</v>
      </c>
      <c r="J1121" s="43">
        <f t="shared" si="249"/>
        <v>0</v>
      </c>
      <c r="K1121" s="44" cm="1">
        <f t="array" ref="K1121">IF(D1121="Gadget",_xlfn.IFS(I1121&gt;=0.2,0.5,I1121&gt;=0.1,0.35,I1121&gt;=0.05,0.2,TRUE,0),IF(D1121="Grenade",_xlfn.IFS(I1121&gt;=0.2,1,I1121&gt;=0.1,0.7,I1121&gt;=0.05,0.4,TRUE,0),0))</f>
        <v>0</v>
      </c>
      <c r="L1121" s="57">
        <f t="shared" si="253"/>
        <v>0</v>
      </c>
    </row>
    <row r="1122" spans="1:12" x14ac:dyDescent="0.25">
      <c r="A1122" s="42" t="str" cm="1">
        <f t="array" ref="A1122">IFERROR(INDEX(_xlfn._xlws.FILTER(Class_Players!A:A,Class_Players!B:B="Engineer"),QUOTIENT(ROW()-ROW($A$2),12)+1),"")</f>
        <v>John Maçarico</v>
      </c>
      <c r="B1122" s="42" t="str">
        <f>_xlfn.XLOOKUP(A1122,Class_Players!$A:$A,Class_Players!$B:$B,"")</f>
        <v>Engineer</v>
      </c>
      <c r="C1122" s="42" t="str" cm="1">
        <f t="array" ref="C1122">INDEX(Lookups!$B$2:$B$13,MOD(ROW()-ROW($B$2),ROWS(Lookups!$B$2:$B$13))+1)</f>
        <v>M136 AT (Aim-Guided Launcher)</v>
      </c>
      <c r="D1122" s="38" t="str">
        <f>_xlfn.XLOOKUP(C1122,Analysis_Gadgets!$C:$C,Analysis_Gadgets!$B:$B)</f>
        <v>Gadget</v>
      </c>
      <c r="E1122" s="43">
        <v>203</v>
      </c>
      <c r="F1122" s="43">
        <f>_xlfn.XLOOKUP(A1122,Class_Players!A:A,Class_Players!G:G)</f>
        <v>162</v>
      </c>
      <c r="G1122" s="43">
        <f t="shared" si="247"/>
        <v>1.2530864197530864</v>
      </c>
      <c r="H1122" s="43">
        <f>_xlfn.XLOOKUP(A1122,Class_Players!$A:$A,Class_Players!$F:$F,"")</f>
        <v>6799</v>
      </c>
      <c r="I1122" s="44">
        <f t="shared" si="248"/>
        <v>2.9857331960582437E-2</v>
      </c>
      <c r="J1122" s="43">
        <f t="shared" si="249"/>
        <v>0</v>
      </c>
      <c r="K1122" s="44" cm="1">
        <f t="array" ref="K1122">IF(D1122="Gadget",_xlfn.IFS(I1122&gt;=0.2,0.5,I1122&gt;=0.1,0.35,I1122&gt;=0.05,0.2,TRUE,0),IF(D1122="Grenade",_xlfn.IFS(I1122&gt;=0.2,1,I1122&gt;=0.1,0.7,I1122&gt;=0.05,0.4,TRUE,0),0))</f>
        <v>0</v>
      </c>
      <c r="L1122" s="57">
        <f t="shared" si="253"/>
        <v>0</v>
      </c>
    </row>
    <row r="1123" spans="1:12" x14ac:dyDescent="0.25">
      <c r="A1123" s="42" t="str" cm="1">
        <f t="array" ref="A1123">IFERROR(INDEX(_xlfn._xlws.FILTER(Class_Players!A:A,Class_Players!B:B="Engineer"),QUOTIENT(ROW()-ROW($A$2),12)+1),"")</f>
        <v>John Maçarico</v>
      </c>
      <c r="B1123" s="42" t="str">
        <f>_xlfn.XLOOKUP(A1123,Class_Players!$A:$A,Class_Players!$B:$B,"")</f>
        <v>Engineer</v>
      </c>
      <c r="C1123" s="42" t="str" cm="1">
        <f t="array" ref="C1123">INDEX(Lookups!$B$2:$B$13,MOD(ROW()-ROW($B$2),ROWS(Lookups!$B$2:$B$13))+1)</f>
        <v>Supply Crate</v>
      </c>
      <c r="D1123" s="38" t="str">
        <f>_xlfn.XLOOKUP(C1123,Analysis_Gadgets!$C:$C,Analysis_Gadgets!$B:$B)</f>
        <v>Gadget</v>
      </c>
      <c r="E1123" s="43">
        <v>11</v>
      </c>
      <c r="F1123" s="43">
        <f>_xlfn.XLOOKUP(A1123,Class_Players!A:A,Class_Players!G:G)</f>
        <v>162</v>
      </c>
      <c r="G1123" s="43">
        <f t="shared" si="247"/>
        <v>6.7901234567901231E-2</v>
      </c>
      <c r="H1123" s="43">
        <f>_xlfn.XLOOKUP(A1123,Class_Players!$A:$A,Class_Players!$F:$F,"")</f>
        <v>6799</v>
      </c>
      <c r="I1123" s="44">
        <f t="shared" si="248"/>
        <v>1.617884983085748E-3</v>
      </c>
      <c r="J1123" s="43">
        <f t="shared" si="249"/>
        <v>0</v>
      </c>
      <c r="K1123" s="44" cm="1">
        <f t="array" ref="K1123">IF(D1123="Gadget",_xlfn.IFS(I1123&gt;=0.2,0.5,I1123&gt;=0.1,0.35,I1123&gt;=0.05,0.2,TRUE,0),IF(D1123="Grenade",_xlfn.IFS(I1123&gt;=0.2,1,I1123&gt;=0.1,0.7,I1123&gt;=0.05,0.4,TRUE,0),0))</f>
        <v>0</v>
      </c>
      <c r="L1123" s="57">
        <f t="shared" si="253"/>
        <v>0</v>
      </c>
    </row>
    <row r="1124" spans="1:12" x14ac:dyDescent="0.25">
      <c r="A1124" s="42" t="str" cm="1">
        <f t="array" ref="A1124">IFERROR(INDEX(_xlfn._xlws.FILTER(Class_Players!A:A,Class_Players!B:B="Engineer"),QUOTIENT(ROW()-ROW($A$2),12)+1),"")</f>
        <v>John Maçarico</v>
      </c>
      <c r="B1124" s="42" t="str">
        <f>_xlfn.XLOOKUP(A1124,Class_Players!$A:$A,Class_Players!$B:$B,"")</f>
        <v>Engineer</v>
      </c>
      <c r="C1124" s="42" t="str" cm="1">
        <f t="array" ref="C1124">INDEX(Lookups!$B$2:$B$13,MOD(ROW()-ROW($B$2),ROWS(Lookups!$B$2:$B$13))+1)</f>
        <v>M15 (Anti-Vehicle Mine)</v>
      </c>
      <c r="D1124" s="38" t="str">
        <f>_xlfn.XLOOKUP(C1124,Analysis_Gadgets!$C:$C,Analysis_Gadgets!$B:$B)</f>
        <v>Gadget</v>
      </c>
      <c r="E1124" s="43">
        <v>0</v>
      </c>
      <c r="F1124" s="43">
        <f>_xlfn.XLOOKUP(A1124,Class_Players!A:A,Class_Players!G:G)</f>
        <v>162</v>
      </c>
      <c r="G1124" s="43">
        <f t="shared" si="247"/>
        <v>0</v>
      </c>
      <c r="H1124" s="43">
        <f>_xlfn.XLOOKUP(A1124,Class_Players!$A:$A,Class_Players!$F:$F,"")</f>
        <v>6799</v>
      </c>
      <c r="I1124" s="44">
        <f t="shared" si="248"/>
        <v>0</v>
      </c>
      <c r="J1124" s="43">
        <f t="shared" si="249"/>
        <v>0</v>
      </c>
      <c r="K1124" s="44" cm="1">
        <f t="array" ref="K1124">IF(D1124="Gadget",_xlfn.IFS(I1124&gt;=0.2,0.5,I1124&gt;=0.1,0.35,I1124&gt;=0.05,0.2,TRUE,0),IF(D1124="Grenade",_xlfn.IFS(I1124&gt;=0.2,1,I1124&gt;=0.1,0.7,I1124&gt;=0.05,0.4,TRUE,0),0))</f>
        <v>0</v>
      </c>
      <c r="L1124" s="57">
        <f t="shared" si="253"/>
        <v>0</v>
      </c>
    </row>
    <row r="1125" spans="1:12" x14ac:dyDescent="0.25">
      <c r="A1125" s="42" t="str" cm="1">
        <f t="array" ref="A1125">IFERROR(INDEX(_xlfn._xlws.FILTER(Class_Players!A:A,Class_Players!B:B="Engineer"),QUOTIENT(ROW()-ROW($A$2),12)+1),"")</f>
        <v>John Maçarico</v>
      </c>
      <c r="B1125" s="42" t="str">
        <f>_xlfn.XLOOKUP(A1125,Class_Players!$A:$A,Class_Players!$B:$B,"")</f>
        <v>Engineer</v>
      </c>
      <c r="C1125" s="42" t="str" cm="1">
        <f t="array" ref="C1125">INDEX(Lookups!$B$2:$B$13,MOD(ROW()-ROW($B$2),ROWS(Lookups!$B$2:$B$13))+1)</f>
        <v>PTKM-1R (Acoustic Sensor AV Mine)</v>
      </c>
      <c r="D1125" s="38" t="str">
        <f>_xlfn.XLOOKUP(C1125,Analysis_Gadgets!$C:$C,Analysis_Gadgets!$B:$B)</f>
        <v>Gadget</v>
      </c>
      <c r="E1125" s="43">
        <v>341</v>
      </c>
      <c r="F1125" s="43">
        <f>_xlfn.XLOOKUP(A1125,Class_Players!A:A,Class_Players!G:G)</f>
        <v>162</v>
      </c>
      <c r="G1125" s="43">
        <f t="shared" si="247"/>
        <v>2.1049382716049383</v>
      </c>
      <c r="H1125" s="43">
        <f>_xlfn.XLOOKUP(A1125,Class_Players!$A:$A,Class_Players!$F:$F,"")</f>
        <v>6799</v>
      </c>
      <c r="I1125" s="44">
        <f t="shared" si="248"/>
        <v>5.0154434475658184E-2</v>
      </c>
      <c r="J1125" s="43">
        <f t="shared" si="249"/>
        <v>0</v>
      </c>
      <c r="K1125" s="44" cm="1">
        <f t="array" ref="K1125">IF(D1125="Gadget",_xlfn.IFS(I1125&gt;=0.2,0.5,I1125&gt;=0.1,0.35,I1125&gt;=0.05,0.2,TRUE,0),IF(D1125="Grenade",_xlfn.IFS(I1125&gt;=0.2,1,I1125&gt;=0.1,0.7,I1125&gt;=0.05,0.4,TRUE,0),0))</f>
        <v>0.2</v>
      </c>
      <c r="L1125" s="57">
        <f t="shared" si="253"/>
        <v>0.28571428571428575</v>
      </c>
    </row>
    <row r="1126" spans="1:12" x14ac:dyDescent="0.25">
      <c r="A1126" s="42" t="str" cm="1">
        <f t="array" ref="A1126">IFERROR(INDEX(_xlfn._xlws.FILTER(Class_Players!A:A,Class_Players!B:B="Engineer"),QUOTIENT(ROW()-ROW($A$2),12)+1),"")</f>
        <v>John Maçarico</v>
      </c>
      <c r="B1126" s="42" t="str">
        <f>_xlfn.XLOOKUP(A1126,Class_Players!$A:$A,Class_Players!$B:$B,"")</f>
        <v>Engineer</v>
      </c>
      <c r="C1126" s="42" t="str" cm="1">
        <f t="array" ref="C1126">INDEX(Lookups!$B$2:$B$13,MOD(ROW()-ROW($B$2),ROWS(Lookups!$B$2:$B$13))+1)</f>
        <v>EOD Bot</v>
      </c>
      <c r="D1126" s="38" t="str">
        <f>_xlfn.XLOOKUP(C1126,Analysis_Gadgets!$C:$C,Analysis_Gadgets!$B:$B)</f>
        <v>Gadget</v>
      </c>
      <c r="E1126" s="43">
        <v>36</v>
      </c>
      <c r="F1126" s="43">
        <f>_xlfn.XLOOKUP(A1126,Class_Players!A:A,Class_Players!G:G)</f>
        <v>162</v>
      </c>
      <c r="G1126" s="43">
        <f t="shared" si="247"/>
        <v>0.22222222222222221</v>
      </c>
      <c r="H1126" s="43">
        <f>_xlfn.XLOOKUP(A1126,Class_Players!$A:$A,Class_Players!$F:$F,"")</f>
        <v>6799</v>
      </c>
      <c r="I1126" s="44">
        <f t="shared" si="248"/>
        <v>5.2948963082806296E-3</v>
      </c>
      <c r="J1126" s="43">
        <f t="shared" si="249"/>
        <v>0</v>
      </c>
      <c r="K1126" s="44" cm="1">
        <f t="array" ref="K1126">IF(D1126="Gadget",_xlfn.IFS(I1126&gt;=0.2,0.5,I1126&gt;=0.1,0.35,I1126&gt;=0.05,0.2,TRUE,0),IF(D1126="Grenade",_xlfn.IFS(I1126&gt;=0.2,1,I1126&gt;=0.1,0.7,I1126&gt;=0.05,0.4,TRUE,0),0))</f>
        <v>0</v>
      </c>
      <c r="L1126" s="57">
        <f t="shared" si="253"/>
        <v>0</v>
      </c>
    </row>
    <row r="1127" spans="1:12" x14ac:dyDescent="0.25">
      <c r="A1127" s="42" t="str" cm="1">
        <f t="array" ref="A1127">IFERROR(INDEX(_xlfn._xlws.FILTER(Class_Players!A:A,Class_Players!B:B="Engineer"),QUOTIENT(ROW()-ROW($A$2),12)+1),"")</f>
        <v>John Maçarico</v>
      </c>
      <c r="B1127" s="42" t="str">
        <f>_xlfn.XLOOKUP(A1127,Class_Players!$A:$A,Class_Players!$B:$B,"")</f>
        <v>Engineer</v>
      </c>
      <c r="C1127" s="42" t="str" cm="1">
        <f t="array" ref="C1127">INDEX(Lookups!$B$2:$B$13,MOD(ROW()-ROW($B$2),ROWS(Lookups!$B$2:$B$13))+1)</f>
        <v>M4A1 SLAM (Tripwire Sensor AV Mine)</v>
      </c>
      <c r="D1127" s="38" t="str">
        <f>_xlfn.XLOOKUP(C1127,Analysis_Gadgets!$C:$C,Analysis_Gadgets!$B:$B)</f>
        <v>Gadget</v>
      </c>
      <c r="E1127" s="43">
        <v>0</v>
      </c>
      <c r="F1127" s="43">
        <f>_xlfn.XLOOKUP(A1127,Class_Players!A:A,Class_Players!G:G)</f>
        <v>162</v>
      </c>
      <c r="G1127" s="43">
        <f t="shared" si="247"/>
        <v>0</v>
      </c>
      <c r="H1127" s="43">
        <f>_xlfn.XLOOKUP(A1127,Class_Players!$A:$A,Class_Players!$F:$F,"")</f>
        <v>6799</v>
      </c>
      <c r="I1127" s="44">
        <f t="shared" si="248"/>
        <v>0</v>
      </c>
      <c r="J1127" s="43">
        <f t="shared" si="249"/>
        <v>0</v>
      </c>
      <c r="K1127" s="44" cm="1">
        <f t="array" ref="K1127">IF(D1127="Gadget",_xlfn.IFS(I1127&gt;=0.2,0.5,I1127&gt;=0.1,0.35,I1127&gt;=0.05,0.2,TRUE,0),IF(D1127="Grenade",_xlfn.IFS(I1127&gt;=0.2,1,I1127&gt;=0.1,0.7,I1127&gt;=0.05,0.4,TRUE,0),0))</f>
        <v>0</v>
      </c>
      <c r="L1127" s="57">
        <f t="shared" si="253"/>
        <v>0</v>
      </c>
    </row>
    <row r="1128" spans="1:12" x14ac:dyDescent="0.25">
      <c r="A1128" s="42" t="str" cm="1">
        <f t="array" ref="A1128">IFERROR(INDEX(_xlfn._xlws.FILTER(Class_Players!A:A,Class_Players!B:B="Engineer"),QUOTIENT(ROW()-ROW($A$2),12)+1),"")</f>
        <v>John Maçarico</v>
      </c>
      <c r="B1128" s="42" t="str">
        <f>_xlfn.XLOOKUP(A1128,Class_Players!$A:$A,Class_Players!$B:$B,"")</f>
        <v>Engineer</v>
      </c>
      <c r="C1128" s="42" t="str" cm="1">
        <f t="array" ref="C1128">INDEX(Lookups!$B$2:$B$13,MOD(ROW()-ROW($B$2),ROWS(Lookups!$B$2:$B$13))+1)</f>
        <v>Mini Frag Grenade</v>
      </c>
      <c r="D1128" s="38" t="str">
        <f>_xlfn.XLOOKUP(C1128,Analysis_Gadgets!$C:$C,Analysis_Gadgets!$B:$B)</f>
        <v>Grenade</v>
      </c>
      <c r="E1128" s="43">
        <v>82</v>
      </c>
      <c r="F1128" s="43">
        <f>_xlfn.XLOOKUP(A1128,Class_Players!A:A,Class_Players!G:G)</f>
        <v>162</v>
      </c>
      <c r="G1128" s="43">
        <f t="shared" si="247"/>
        <v>0.50617283950617287</v>
      </c>
      <c r="H1128" s="43">
        <f>_xlfn.XLOOKUP(A1128,Class_Players!$A:$A,Class_Players!$F:$F,"")</f>
        <v>6799</v>
      </c>
      <c r="I1128" s="44">
        <f t="shared" si="248"/>
        <v>1.2060597146639212E-2</v>
      </c>
      <c r="J1128" s="43">
        <f t="shared" si="249"/>
        <v>0</v>
      </c>
      <c r="K1128" s="44" cm="1">
        <f t="array" ref="K1128">IF(D1128="Gadget",_xlfn.IFS(I1128&gt;=0.2,0.5,I1128&gt;=0.1,0.35,I1128&gt;=0.05,0.2,TRUE,0),IF(D1128="Grenade",_xlfn.IFS(I1128&gt;=0.2,1,I1128&gt;=0.1,0.7,I1128&gt;=0.05,0.4,TRUE,0),0))</f>
        <v>0</v>
      </c>
      <c r="L1128" s="57">
        <f t="shared" ref="L1128:L1129" si="254">IF($K1128=0,0,$K1128 / SUMIFS($K:$K,$A:$A,$A1128,$D:$D,"Grenade"))</f>
        <v>0</v>
      </c>
    </row>
    <row r="1129" spans="1:12" x14ac:dyDescent="0.25">
      <c r="A1129" s="42" t="str" cm="1">
        <f t="array" ref="A1129">IFERROR(INDEX(_xlfn._xlws.FILTER(Class_Players!A:A,Class_Players!B:B="Engineer"),QUOTIENT(ROW()-ROW($A$2),12)+1),"")</f>
        <v>John Maçarico</v>
      </c>
      <c r="B1129" s="42" t="str">
        <f>_xlfn.XLOOKUP(A1129,Class_Players!$A:$A,Class_Players!$B:$B,"")</f>
        <v>Engineer</v>
      </c>
      <c r="C1129" s="42" t="str" cm="1">
        <f t="array" ref="C1129">INDEX(Lookups!$B$2:$B$13,MOD(ROW()-ROW($B$2),ROWS(Lookups!$B$2:$B$13))+1)</f>
        <v>Anti-Vehicle Grenade</v>
      </c>
      <c r="D1129" s="38" t="str">
        <f>_xlfn.XLOOKUP(C1129,Analysis_Gadgets!$C:$C,Analysis_Gadgets!$B:$B)</f>
        <v>Grenade</v>
      </c>
      <c r="E1129" s="43">
        <v>0</v>
      </c>
      <c r="F1129" s="43">
        <f>_xlfn.XLOOKUP(A1129,Class_Players!A:A,Class_Players!G:G)</f>
        <v>162</v>
      </c>
      <c r="G1129" s="43">
        <f t="shared" si="247"/>
        <v>0</v>
      </c>
      <c r="H1129" s="43">
        <f>_xlfn.XLOOKUP(A1129,Class_Players!$A:$A,Class_Players!$F:$F,"")</f>
        <v>6799</v>
      </c>
      <c r="I1129" s="44">
        <f t="shared" si="248"/>
        <v>0</v>
      </c>
      <c r="J1129" s="43">
        <f t="shared" si="249"/>
        <v>0</v>
      </c>
      <c r="K1129" s="44" cm="1">
        <f t="array" ref="K1129">IF(D1129="Gadget",_xlfn.IFS(I1129&gt;=0.2,0.5,I1129&gt;=0.1,0.35,I1129&gt;=0.05,0.2,TRUE,0),IF(D1129="Grenade",_xlfn.IFS(I1129&gt;=0.2,1,I1129&gt;=0.1,0.7,I1129&gt;=0.05,0.4,TRUE,0),0))</f>
        <v>0</v>
      </c>
      <c r="L1129" s="57">
        <f t="shared" si="254"/>
        <v>0</v>
      </c>
    </row>
    <row r="1130" spans="1:12" x14ac:dyDescent="0.25">
      <c r="A1130" s="42" t="str" cm="1">
        <f t="array" ref="A1130">IFERROR(INDEX(_xlfn._xlws.FILTER(Class_Players!A:A,Class_Players!B:B="Engineer"),QUOTIENT(ROW()-ROW($A$2),12)+1),"")</f>
        <v>BIG2907</v>
      </c>
      <c r="B1130" s="42" t="str">
        <f>_xlfn.XLOOKUP(A1130,Class_Players!$A:$A,Class_Players!$B:$B,"")</f>
        <v>Engineer</v>
      </c>
      <c r="C1130" s="42" t="str" cm="1">
        <f t="array" ref="C1130">INDEX(Lookups!$B$2:$B$13,MOD(ROW()-ROW($B$2),ROWS(Lookups!$B$2:$B$13))+1)</f>
        <v>MBT-LAW (Auto-Guided Launcher)</v>
      </c>
      <c r="D1130" s="38" t="str">
        <f>_xlfn.XLOOKUP(C1130,Analysis_Gadgets!$C:$C,Analysis_Gadgets!$B:$B)</f>
        <v>Gadget</v>
      </c>
      <c r="E1130" s="43">
        <v>0</v>
      </c>
      <c r="F1130" s="43">
        <f>_xlfn.XLOOKUP(A1130,Class_Players!A:A,Class_Players!G:G)</f>
        <v>214</v>
      </c>
      <c r="G1130" s="43">
        <f t="shared" si="247"/>
        <v>0</v>
      </c>
      <c r="H1130" s="43">
        <f>_xlfn.XLOOKUP(A1130,Class_Players!$A:$A,Class_Players!$F:$F,"")</f>
        <v>7217</v>
      </c>
      <c r="I1130" s="44">
        <f t="shared" si="248"/>
        <v>0</v>
      </c>
      <c r="J1130" s="43">
        <f t="shared" si="249"/>
        <v>0</v>
      </c>
      <c r="K1130" s="44" cm="1">
        <f t="array" ref="K1130">IF(D1130="Gadget",_xlfn.IFS(I1130&gt;=0.2,0.5,I1130&gt;=0.1,0.35,I1130&gt;=0.05,0.2,TRUE,0),IF(D1130="Grenade",_xlfn.IFS(I1130&gt;=0.2,1,I1130&gt;=0.1,0.7,I1130&gt;=0.05,0.4,TRUE,0),0))</f>
        <v>0</v>
      </c>
      <c r="L1130" s="57">
        <f t="shared" ref="L1130:L1139" si="255">IF($K1130=0,0,$K1130 / SUMIFS($K:$K,$A:$A,$A1130,$D:$D,"Gadget"))</f>
        <v>0</v>
      </c>
    </row>
    <row r="1131" spans="1:12" x14ac:dyDescent="0.25">
      <c r="A1131" s="42" t="str" cm="1">
        <f t="array" ref="A1131">IFERROR(INDEX(_xlfn._xlws.FILTER(Class_Players!A:A,Class_Players!B:B="Engineer"),QUOTIENT(ROW()-ROW($A$2),12)+1),"")</f>
        <v>BIG2907</v>
      </c>
      <c r="B1131" s="42" t="str">
        <f>_xlfn.XLOOKUP(A1131,Class_Players!$A:$A,Class_Players!$B:$B,"")</f>
        <v>Engineer</v>
      </c>
      <c r="C1131" s="42" t="str" cm="1">
        <f t="array" ref="C1131">INDEX(Lookups!$B$2:$B$13,MOD(ROW()-ROW($B$2),ROWS(Lookups!$B$2:$B$13))+1)</f>
        <v>SLM-93A (Air-Defense Launcher)</v>
      </c>
      <c r="D1131" s="38" t="str">
        <f>_xlfn.XLOOKUP(C1131,Analysis_Gadgets!$C:$C,Analysis_Gadgets!$B:$B)</f>
        <v>Gadget</v>
      </c>
      <c r="E1131" s="43">
        <v>285</v>
      </c>
      <c r="F1131" s="43">
        <f>_xlfn.XLOOKUP(A1131,Class_Players!A:A,Class_Players!G:G)</f>
        <v>214</v>
      </c>
      <c r="G1131" s="43">
        <f t="shared" si="247"/>
        <v>1.3317757009345794</v>
      </c>
      <c r="H1131" s="43">
        <f>_xlfn.XLOOKUP(A1131,Class_Players!$A:$A,Class_Players!$F:$F,"")</f>
        <v>7217</v>
      </c>
      <c r="I1131" s="44">
        <f t="shared" si="248"/>
        <v>3.9490092836358598E-2</v>
      </c>
      <c r="J1131" s="43">
        <f t="shared" si="249"/>
        <v>0</v>
      </c>
      <c r="K1131" s="44" cm="1">
        <f t="array" ref="K1131">IF(D1131="Gadget",_xlfn.IFS(I1131&gt;=0.2,0.5,I1131&gt;=0.1,0.35,I1131&gt;=0.05,0.2,TRUE,0),IF(D1131="Grenade",_xlfn.IFS(I1131&gt;=0.2,1,I1131&gt;=0.1,0.7,I1131&gt;=0.05,0.4,TRUE,0),0))</f>
        <v>0</v>
      </c>
      <c r="L1131" s="57">
        <f t="shared" si="255"/>
        <v>0</v>
      </c>
    </row>
    <row r="1132" spans="1:12" x14ac:dyDescent="0.25">
      <c r="A1132" s="42" t="str" cm="1">
        <f t="array" ref="A1132">IFERROR(INDEX(_xlfn._xlws.FILTER(Class_Players!A:A,Class_Players!B:B="Engineer"),QUOTIENT(ROW()-ROW($A$2),12)+1),"")</f>
        <v>BIG2907</v>
      </c>
      <c r="B1132" s="42" t="str">
        <f>_xlfn.XLOOKUP(A1132,Class_Players!$A:$A,Class_Players!$B:$B,"")</f>
        <v>Engineer</v>
      </c>
      <c r="C1132" s="42" t="str" cm="1">
        <f t="array" ref="C1132">INDEX(Lookups!$B$2:$B$13,MOD(ROW()-ROW($B$2),ROWS(Lookups!$B$2:$B$13))+1)</f>
        <v>RPG-7V2 (Unguided Rocket Launcher)</v>
      </c>
      <c r="D1132" s="38" t="str">
        <f>_xlfn.XLOOKUP(C1132,Analysis_Gadgets!$C:$C,Analysis_Gadgets!$B:$B)</f>
        <v>Gadget</v>
      </c>
      <c r="E1132" s="43">
        <v>452</v>
      </c>
      <c r="F1132" s="43">
        <f>_xlfn.XLOOKUP(A1132,Class_Players!A:A,Class_Players!G:G)</f>
        <v>214</v>
      </c>
      <c r="G1132" s="43">
        <f t="shared" si="247"/>
        <v>2.1121495327102804</v>
      </c>
      <c r="H1132" s="43">
        <f>_xlfn.XLOOKUP(A1132,Class_Players!$A:$A,Class_Players!$F:$F,"")</f>
        <v>7217</v>
      </c>
      <c r="I1132" s="44">
        <f t="shared" si="248"/>
        <v>6.2629901621172226E-2</v>
      </c>
      <c r="J1132" s="43">
        <f t="shared" si="249"/>
        <v>0</v>
      </c>
      <c r="K1132" s="44" cm="1">
        <f t="array" ref="K1132">IF(D1132="Gadget",_xlfn.IFS(I1132&gt;=0.2,0.5,I1132&gt;=0.1,0.35,I1132&gt;=0.05,0.2,TRUE,0),IF(D1132="Grenade",_xlfn.IFS(I1132&gt;=0.2,1,I1132&gt;=0.1,0.7,I1132&gt;=0.05,0.4,TRUE,0),0))</f>
        <v>0.2</v>
      </c>
      <c r="L1132" s="57">
        <f t="shared" si="255"/>
        <v>0.22222222222222227</v>
      </c>
    </row>
    <row r="1133" spans="1:12" x14ac:dyDescent="0.25">
      <c r="A1133" s="42" t="str" cm="1">
        <f t="array" ref="A1133">IFERROR(INDEX(_xlfn._xlws.FILTER(Class_Players!A:A,Class_Players!B:B="Engineer"),QUOTIENT(ROW()-ROW($A$2),12)+1),"")</f>
        <v>BIG2907</v>
      </c>
      <c r="B1133" s="42" t="str">
        <f>_xlfn.XLOOKUP(A1133,Class_Players!$A:$A,Class_Players!$B:$B,"")</f>
        <v>Engineer</v>
      </c>
      <c r="C1133" s="42" t="str" cm="1">
        <f t="array" ref="C1133">INDEX(Lookups!$B$2:$B$13,MOD(ROW()-ROW($B$2),ROWS(Lookups!$B$2:$B$13))+1)</f>
        <v>MAS 148 (Long-Range Launcher)</v>
      </c>
      <c r="D1133" s="38" t="str">
        <f>_xlfn.XLOOKUP(C1133,Analysis_Gadgets!$C:$C,Analysis_Gadgets!$B:$B)</f>
        <v>Gadget</v>
      </c>
      <c r="E1133" s="43">
        <v>198</v>
      </c>
      <c r="F1133" s="43">
        <f>_xlfn.XLOOKUP(A1133,Class_Players!A:A,Class_Players!G:G)</f>
        <v>214</v>
      </c>
      <c r="G1133" s="43">
        <f t="shared" si="247"/>
        <v>0.92523364485981308</v>
      </c>
      <c r="H1133" s="43">
        <f>_xlfn.XLOOKUP(A1133,Class_Players!$A:$A,Class_Players!$F:$F,"")</f>
        <v>7217</v>
      </c>
      <c r="I1133" s="44">
        <f t="shared" si="248"/>
        <v>2.7435222391575448E-2</v>
      </c>
      <c r="J1133" s="43">
        <f t="shared" si="249"/>
        <v>0</v>
      </c>
      <c r="K1133" s="44" cm="1">
        <f t="array" ref="K1133">IF(D1133="Gadget",_xlfn.IFS(I1133&gt;=0.2,0.5,I1133&gt;=0.1,0.35,I1133&gt;=0.05,0.2,TRUE,0),IF(D1133="Grenade",_xlfn.IFS(I1133&gt;=0.2,1,I1133&gt;=0.1,0.7,I1133&gt;=0.05,0.4,TRUE,0),0))</f>
        <v>0</v>
      </c>
      <c r="L1133" s="57">
        <f t="shared" si="255"/>
        <v>0</v>
      </c>
    </row>
    <row r="1134" spans="1:12" x14ac:dyDescent="0.25">
      <c r="A1134" s="42" t="str" cm="1">
        <f t="array" ref="A1134">IFERROR(INDEX(_xlfn._xlws.FILTER(Class_Players!A:A,Class_Players!B:B="Engineer"),QUOTIENT(ROW()-ROW($A$2),12)+1),"")</f>
        <v>BIG2907</v>
      </c>
      <c r="B1134" s="42" t="str">
        <f>_xlfn.XLOOKUP(A1134,Class_Players!$A:$A,Class_Players!$B:$B,"")</f>
        <v>Engineer</v>
      </c>
      <c r="C1134" s="42" t="str" cm="1">
        <f t="array" ref="C1134">INDEX(Lookups!$B$2:$B$13,MOD(ROW()-ROW($B$2),ROWS(Lookups!$B$2:$B$13))+1)</f>
        <v>M136 AT (Aim-Guided Launcher)</v>
      </c>
      <c r="D1134" s="38" t="str">
        <f>_xlfn.XLOOKUP(C1134,Analysis_Gadgets!$C:$C,Analysis_Gadgets!$B:$B)</f>
        <v>Gadget</v>
      </c>
      <c r="E1134" s="43">
        <v>9</v>
      </c>
      <c r="F1134" s="43">
        <f>_xlfn.XLOOKUP(A1134,Class_Players!A:A,Class_Players!G:G)</f>
        <v>214</v>
      </c>
      <c r="G1134" s="43">
        <f t="shared" si="247"/>
        <v>4.2056074766355138E-2</v>
      </c>
      <c r="H1134" s="43">
        <f>_xlfn.XLOOKUP(A1134,Class_Players!$A:$A,Class_Players!$F:$F,"")</f>
        <v>7217</v>
      </c>
      <c r="I1134" s="44">
        <f t="shared" si="248"/>
        <v>1.2470555632534293E-3</v>
      </c>
      <c r="J1134" s="43">
        <f t="shared" si="249"/>
        <v>0</v>
      </c>
      <c r="K1134" s="44" cm="1">
        <f t="array" ref="K1134">IF(D1134="Gadget",_xlfn.IFS(I1134&gt;=0.2,0.5,I1134&gt;=0.1,0.35,I1134&gt;=0.05,0.2,TRUE,0),IF(D1134="Grenade",_xlfn.IFS(I1134&gt;=0.2,1,I1134&gt;=0.1,0.7,I1134&gt;=0.05,0.4,TRUE,0),0))</f>
        <v>0</v>
      </c>
      <c r="L1134" s="57">
        <f t="shared" si="255"/>
        <v>0</v>
      </c>
    </row>
    <row r="1135" spans="1:12" x14ac:dyDescent="0.25">
      <c r="A1135" s="42" t="str" cm="1">
        <f t="array" ref="A1135">IFERROR(INDEX(_xlfn._xlws.FILTER(Class_Players!A:A,Class_Players!B:B="Engineer"),QUOTIENT(ROW()-ROW($A$2),12)+1),"")</f>
        <v>BIG2907</v>
      </c>
      <c r="B1135" s="42" t="str">
        <f>_xlfn.XLOOKUP(A1135,Class_Players!$A:$A,Class_Players!$B:$B,"")</f>
        <v>Engineer</v>
      </c>
      <c r="C1135" s="42" t="str" cm="1">
        <f t="array" ref="C1135">INDEX(Lookups!$B$2:$B$13,MOD(ROW()-ROW($B$2),ROWS(Lookups!$B$2:$B$13))+1)</f>
        <v>Supply Crate</v>
      </c>
      <c r="D1135" s="38" t="str">
        <f>_xlfn.XLOOKUP(C1135,Analysis_Gadgets!$C:$C,Analysis_Gadgets!$B:$B)</f>
        <v>Gadget</v>
      </c>
      <c r="E1135" s="43">
        <v>17</v>
      </c>
      <c r="F1135" s="43">
        <f>_xlfn.XLOOKUP(A1135,Class_Players!A:A,Class_Players!G:G)</f>
        <v>214</v>
      </c>
      <c r="G1135" s="43">
        <f t="shared" si="247"/>
        <v>7.9439252336448593E-2</v>
      </c>
      <c r="H1135" s="43">
        <f>_xlfn.XLOOKUP(A1135,Class_Players!$A:$A,Class_Players!$F:$F,"")</f>
        <v>7217</v>
      </c>
      <c r="I1135" s="44">
        <f t="shared" si="248"/>
        <v>2.3555493972564779E-3</v>
      </c>
      <c r="J1135" s="43">
        <f t="shared" si="249"/>
        <v>0</v>
      </c>
      <c r="K1135" s="44" cm="1">
        <f t="array" ref="K1135">IF(D1135="Gadget",_xlfn.IFS(I1135&gt;=0.2,0.5,I1135&gt;=0.1,0.35,I1135&gt;=0.05,0.2,TRUE,0),IF(D1135="Grenade",_xlfn.IFS(I1135&gt;=0.2,1,I1135&gt;=0.1,0.7,I1135&gt;=0.05,0.4,TRUE,0),0))</f>
        <v>0</v>
      </c>
      <c r="L1135" s="57">
        <f t="shared" si="255"/>
        <v>0</v>
      </c>
    </row>
    <row r="1136" spans="1:12" x14ac:dyDescent="0.25">
      <c r="A1136" s="42" t="str" cm="1">
        <f t="array" ref="A1136">IFERROR(INDEX(_xlfn._xlws.FILTER(Class_Players!A:A,Class_Players!B:B="Engineer"),QUOTIENT(ROW()-ROW($A$2),12)+1),"")</f>
        <v>BIG2907</v>
      </c>
      <c r="B1136" s="42" t="str">
        <f>_xlfn.XLOOKUP(A1136,Class_Players!$A:$A,Class_Players!$B:$B,"")</f>
        <v>Engineer</v>
      </c>
      <c r="C1136" s="42" t="str" cm="1">
        <f t="array" ref="C1136">INDEX(Lookups!$B$2:$B$13,MOD(ROW()-ROW($B$2),ROWS(Lookups!$B$2:$B$13))+1)</f>
        <v>M15 (Anti-Vehicle Mine)</v>
      </c>
      <c r="D1136" s="38" t="str">
        <f>_xlfn.XLOOKUP(C1136,Analysis_Gadgets!$C:$C,Analysis_Gadgets!$B:$B)</f>
        <v>Gadget</v>
      </c>
      <c r="E1136" s="43">
        <v>5093</v>
      </c>
      <c r="F1136" s="43">
        <f>_xlfn.XLOOKUP(A1136,Class_Players!A:A,Class_Players!G:G)</f>
        <v>214</v>
      </c>
      <c r="G1136" s="43">
        <f t="shared" si="247"/>
        <v>23.799065420560748</v>
      </c>
      <c r="H1136" s="43">
        <f>_xlfn.XLOOKUP(A1136,Class_Players!$A:$A,Class_Players!$F:$F,"")</f>
        <v>7217</v>
      </c>
      <c r="I1136" s="44">
        <f t="shared" si="248"/>
        <v>0.70569488707219064</v>
      </c>
      <c r="J1136" s="43">
        <f t="shared" si="249"/>
        <v>1</v>
      </c>
      <c r="K1136" s="44" cm="1">
        <f t="array" ref="K1136">IF(D1136="Gadget",_xlfn.IFS(I1136&gt;=0.2,0.5,I1136&gt;=0.1,0.35,I1136&gt;=0.05,0.2,TRUE,0),IF(D1136="Grenade",_xlfn.IFS(I1136&gt;=0.2,1,I1136&gt;=0.1,0.7,I1136&gt;=0.05,0.4,TRUE,0),0))</f>
        <v>0.5</v>
      </c>
      <c r="L1136" s="57">
        <f t="shared" si="255"/>
        <v>0.55555555555555558</v>
      </c>
    </row>
    <row r="1137" spans="1:12" x14ac:dyDescent="0.25">
      <c r="A1137" s="42" t="str" cm="1">
        <f t="array" ref="A1137">IFERROR(INDEX(_xlfn._xlws.FILTER(Class_Players!A:A,Class_Players!B:B="Engineer"),QUOTIENT(ROW()-ROW($A$2),12)+1),"")</f>
        <v>BIG2907</v>
      </c>
      <c r="B1137" s="42" t="str">
        <f>_xlfn.XLOOKUP(A1137,Class_Players!$A:$A,Class_Players!$B:$B,"")</f>
        <v>Engineer</v>
      </c>
      <c r="C1137" s="42" t="str" cm="1">
        <f t="array" ref="C1137">INDEX(Lookups!$B$2:$B$13,MOD(ROW()-ROW($B$2),ROWS(Lookups!$B$2:$B$13))+1)</f>
        <v>PTKM-1R (Acoustic Sensor AV Mine)</v>
      </c>
      <c r="D1137" s="38" t="str">
        <f>_xlfn.XLOOKUP(C1137,Analysis_Gadgets!$C:$C,Analysis_Gadgets!$B:$B)</f>
        <v>Gadget</v>
      </c>
      <c r="E1137" s="43">
        <v>73</v>
      </c>
      <c r="F1137" s="43">
        <f>_xlfn.XLOOKUP(A1137,Class_Players!A:A,Class_Players!G:G)</f>
        <v>214</v>
      </c>
      <c r="G1137" s="43">
        <f t="shared" si="247"/>
        <v>0.34112149532710279</v>
      </c>
      <c r="H1137" s="43">
        <f>_xlfn.XLOOKUP(A1137,Class_Players!$A:$A,Class_Players!$F:$F,"")</f>
        <v>7217</v>
      </c>
      <c r="I1137" s="44">
        <f t="shared" si="248"/>
        <v>1.0115006235277816E-2</v>
      </c>
      <c r="J1137" s="43">
        <f t="shared" si="249"/>
        <v>0</v>
      </c>
      <c r="K1137" s="44" cm="1">
        <f t="array" ref="K1137">IF(D1137="Gadget",_xlfn.IFS(I1137&gt;=0.2,0.5,I1137&gt;=0.1,0.35,I1137&gt;=0.05,0.2,TRUE,0),IF(D1137="Grenade",_xlfn.IFS(I1137&gt;=0.2,1,I1137&gt;=0.1,0.7,I1137&gt;=0.05,0.4,TRUE,0),0))</f>
        <v>0</v>
      </c>
      <c r="L1137" s="57">
        <f t="shared" si="255"/>
        <v>0</v>
      </c>
    </row>
    <row r="1138" spans="1:12" x14ac:dyDescent="0.25">
      <c r="A1138" s="42" t="str" cm="1">
        <f t="array" ref="A1138">IFERROR(INDEX(_xlfn._xlws.FILTER(Class_Players!A:A,Class_Players!B:B="Engineer"),QUOTIENT(ROW()-ROW($A$2),12)+1),"")</f>
        <v>BIG2907</v>
      </c>
      <c r="B1138" s="42" t="str">
        <f>_xlfn.XLOOKUP(A1138,Class_Players!$A:$A,Class_Players!$B:$B,"")</f>
        <v>Engineer</v>
      </c>
      <c r="C1138" s="42" t="str" cm="1">
        <f t="array" ref="C1138">INDEX(Lookups!$B$2:$B$13,MOD(ROW()-ROW($B$2),ROWS(Lookups!$B$2:$B$13))+1)</f>
        <v>EOD Bot</v>
      </c>
      <c r="D1138" s="38" t="str">
        <f>_xlfn.XLOOKUP(C1138,Analysis_Gadgets!$C:$C,Analysis_Gadgets!$B:$B)</f>
        <v>Gadget</v>
      </c>
      <c r="E1138" s="43">
        <v>0</v>
      </c>
      <c r="F1138" s="43">
        <f>_xlfn.XLOOKUP(A1138,Class_Players!A:A,Class_Players!G:G)</f>
        <v>214</v>
      </c>
      <c r="G1138" s="43">
        <f t="shared" si="247"/>
        <v>0</v>
      </c>
      <c r="H1138" s="43">
        <f>_xlfn.XLOOKUP(A1138,Class_Players!$A:$A,Class_Players!$F:$F,"")</f>
        <v>7217</v>
      </c>
      <c r="I1138" s="44">
        <f t="shared" si="248"/>
        <v>0</v>
      </c>
      <c r="J1138" s="43">
        <f t="shared" si="249"/>
        <v>0</v>
      </c>
      <c r="K1138" s="44" cm="1">
        <f t="array" ref="K1138">IF(D1138="Gadget",_xlfn.IFS(I1138&gt;=0.2,0.5,I1138&gt;=0.1,0.35,I1138&gt;=0.05,0.2,TRUE,0),IF(D1138="Grenade",_xlfn.IFS(I1138&gt;=0.2,1,I1138&gt;=0.1,0.7,I1138&gt;=0.05,0.4,TRUE,0),0))</f>
        <v>0</v>
      </c>
      <c r="L1138" s="57">
        <f t="shared" si="255"/>
        <v>0</v>
      </c>
    </row>
    <row r="1139" spans="1:12" x14ac:dyDescent="0.25">
      <c r="A1139" s="42" t="str" cm="1">
        <f t="array" ref="A1139">IFERROR(INDEX(_xlfn._xlws.FILTER(Class_Players!A:A,Class_Players!B:B="Engineer"),QUOTIENT(ROW()-ROW($A$2),12)+1),"")</f>
        <v>BIG2907</v>
      </c>
      <c r="B1139" s="42" t="str">
        <f>_xlfn.XLOOKUP(A1139,Class_Players!$A:$A,Class_Players!$B:$B,"")</f>
        <v>Engineer</v>
      </c>
      <c r="C1139" s="42" t="str" cm="1">
        <f t="array" ref="C1139">INDEX(Lookups!$B$2:$B$13,MOD(ROW()-ROW($B$2),ROWS(Lookups!$B$2:$B$13))+1)</f>
        <v>M4A1 SLAM (Tripwire Sensor AV Mine)</v>
      </c>
      <c r="D1139" s="38" t="str">
        <f>_xlfn.XLOOKUP(C1139,Analysis_Gadgets!$C:$C,Analysis_Gadgets!$B:$B)</f>
        <v>Gadget</v>
      </c>
      <c r="E1139" s="43">
        <v>427</v>
      </c>
      <c r="F1139" s="43">
        <f>_xlfn.XLOOKUP(A1139,Class_Players!A:A,Class_Players!G:G)</f>
        <v>214</v>
      </c>
      <c r="G1139" s="43">
        <f t="shared" si="247"/>
        <v>1.9953271028037383</v>
      </c>
      <c r="H1139" s="43">
        <f>_xlfn.XLOOKUP(A1139,Class_Players!$A:$A,Class_Players!$F:$F,"")</f>
        <v>7217</v>
      </c>
      <c r="I1139" s="44">
        <f t="shared" si="248"/>
        <v>5.9165858389912708E-2</v>
      </c>
      <c r="J1139" s="43">
        <f t="shared" si="249"/>
        <v>0</v>
      </c>
      <c r="K1139" s="44" cm="1">
        <f t="array" ref="K1139">IF(D1139="Gadget",_xlfn.IFS(I1139&gt;=0.2,0.5,I1139&gt;=0.1,0.35,I1139&gt;=0.05,0.2,TRUE,0),IF(D1139="Grenade",_xlfn.IFS(I1139&gt;=0.2,1,I1139&gt;=0.1,0.7,I1139&gt;=0.05,0.4,TRUE,0),0))</f>
        <v>0.2</v>
      </c>
      <c r="L1139" s="57">
        <f t="shared" si="255"/>
        <v>0.22222222222222227</v>
      </c>
    </row>
    <row r="1140" spans="1:12" x14ac:dyDescent="0.25">
      <c r="A1140" s="42" t="str" cm="1">
        <f t="array" ref="A1140">IFERROR(INDEX(_xlfn._xlws.FILTER(Class_Players!A:A,Class_Players!B:B="Engineer"),QUOTIENT(ROW()-ROW($A$2),12)+1),"")</f>
        <v>BIG2907</v>
      </c>
      <c r="B1140" s="42" t="str">
        <f>_xlfn.XLOOKUP(A1140,Class_Players!$A:$A,Class_Players!$B:$B,"")</f>
        <v>Engineer</v>
      </c>
      <c r="C1140" s="42" t="str" cm="1">
        <f t="array" ref="C1140">INDEX(Lookups!$B$2:$B$13,MOD(ROW()-ROW($B$2),ROWS(Lookups!$B$2:$B$13))+1)</f>
        <v>Mini Frag Grenade</v>
      </c>
      <c r="D1140" s="38" t="str">
        <f>_xlfn.XLOOKUP(C1140,Analysis_Gadgets!$C:$C,Analysis_Gadgets!$B:$B)</f>
        <v>Grenade</v>
      </c>
      <c r="E1140" s="43">
        <v>30</v>
      </c>
      <c r="F1140" s="43">
        <f>_xlfn.XLOOKUP(A1140,Class_Players!A:A,Class_Players!G:G)</f>
        <v>214</v>
      </c>
      <c r="G1140" s="43">
        <f t="shared" si="247"/>
        <v>0.14018691588785046</v>
      </c>
      <c r="H1140" s="43">
        <f>_xlfn.XLOOKUP(A1140,Class_Players!$A:$A,Class_Players!$F:$F,"")</f>
        <v>7217</v>
      </c>
      <c r="I1140" s="44">
        <f t="shared" si="248"/>
        <v>4.1568518775114312E-3</v>
      </c>
      <c r="J1140" s="43">
        <f t="shared" si="249"/>
        <v>0</v>
      </c>
      <c r="K1140" s="44" cm="1">
        <f t="array" ref="K1140">IF(D1140="Gadget",_xlfn.IFS(I1140&gt;=0.2,0.5,I1140&gt;=0.1,0.35,I1140&gt;=0.05,0.2,TRUE,0),IF(D1140="Grenade",_xlfn.IFS(I1140&gt;=0.2,1,I1140&gt;=0.1,0.7,I1140&gt;=0.05,0.4,TRUE,0),0))</f>
        <v>0</v>
      </c>
      <c r="L1140" s="57">
        <f t="shared" ref="L1140:L1141" si="256">IF($K1140=0,0,$K1140 / SUMIFS($K:$K,$A:$A,$A1140,$D:$D,"Grenade"))</f>
        <v>0</v>
      </c>
    </row>
    <row r="1141" spans="1:12" x14ac:dyDescent="0.25">
      <c r="A1141" s="42" t="str" cm="1">
        <f t="array" ref="A1141">IFERROR(INDEX(_xlfn._xlws.FILTER(Class_Players!A:A,Class_Players!B:B="Engineer"),QUOTIENT(ROW()-ROW($A$2),12)+1),"")</f>
        <v>BIG2907</v>
      </c>
      <c r="B1141" s="42" t="str">
        <f>_xlfn.XLOOKUP(A1141,Class_Players!$A:$A,Class_Players!$B:$B,"")</f>
        <v>Engineer</v>
      </c>
      <c r="C1141" s="42" t="str" cm="1">
        <f t="array" ref="C1141">INDEX(Lookups!$B$2:$B$13,MOD(ROW()-ROW($B$2),ROWS(Lookups!$B$2:$B$13))+1)</f>
        <v>Anti-Vehicle Grenade</v>
      </c>
      <c r="D1141" s="38" t="str">
        <f>_xlfn.XLOOKUP(C1141,Analysis_Gadgets!$C:$C,Analysis_Gadgets!$B:$B)</f>
        <v>Grenade</v>
      </c>
      <c r="E1141" s="43">
        <v>0</v>
      </c>
      <c r="F1141" s="43">
        <f>_xlfn.XLOOKUP(A1141,Class_Players!A:A,Class_Players!G:G)</f>
        <v>214</v>
      </c>
      <c r="G1141" s="43">
        <f t="shared" si="247"/>
        <v>0</v>
      </c>
      <c r="H1141" s="43">
        <f>_xlfn.XLOOKUP(A1141,Class_Players!$A:$A,Class_Players!$F:$F,"")</f>
        <v>7217</v>
      </c>
      <c r="I1141" s="44">
        <f t="shared" si="248"/>
        <v>0</v>
      </c>
      <c r="J1141" s="43">
        <f t="shared" si="249"/>
        <v>0</v>
      </c>
      <c r="K1141" s="44" cm="1">
        <f t="array" ref="K1141">IF(D1141="Gadget",_xlfn.IFS(I1141&gt;=0.2,0.5,I1141&gt;=0.1,0.35,I1141&gt;=0.05,0.2,TRUE,0),IF(D1141="Grenade",_xlfn.IFS(I1141&gt;=0.2,1,I1141&gt;=0.1,0.7,I1141&gt;=0.05,0.4,TRUE,0),0))</f>
        <v>0</v>
      </c>
      <c r="L1141" s="57">
        <f t="shared" si="256"/>
        <v>0</v>
      </c>
    </row>
    <row r="1142" spans="1:12" x14ac:dyDescent="0.25">
      <c r="A1142" s="42" t="str" cm="1">
        <f t="array" ref="A1142">IFERROR(INDEX(_xlfn._xlws.FILTER(Class_Players!A:A,Class_Players!B:B="Engineer"),QUOTIENT(ROW()-ROW($A$2),12)+1),"")</f>
        <v>free_example9</v>
      </c>
      <c r="B1142" s="42" t="str">
        <f>_xlfn.XLOOKUP(A1142,Class_Players!$A:$A,Class_Players!$B:$B,"")</f>
        <v>Engineer</v>
      </c>
      <c r="C1142" s="42" t="str" cm="1">
        <f t="array" ref="C1142">INDEX(Lookups!$B$2:$B$13,MOD(ROW()-ROW($B$2),ROWS(Lookups!$B$2:$B$13))+1)</f>
        <v>MBT-LAW (Auto-Guided Launcher)</v>
      </c>
      <c r="D1142" s="38" t="str">
        <f>_xlfn.XLOOKUP(C1142,Analysis_Gadgets!$C:$C,Analysis_Gadgets!$B:$B)</f>
        <v>Gadget</v>
      </c>
      <c r="E1142" s="43">
        <v>0</v>
      </c>
      <c r="F1142" s="43">
        <f>_xlfn.XLOOKUP(A1142,Class_Players!A:A,Class_Players!G:G)</f>
        <v>141</v>
      </c>
      <c r="G1142" s="43">
        <f t="shared" si="247"/>
        <v>0</v>
      </c>
      <c r="H1142" s="43">
        <f>_xlfn.XLOOKUP(A1142,Class_Players!$A:$A,Class_Players!$F:$F,"")</f>
        <v>8952</v>
      </c>
      <c r="I1142" s="44">
        <f t="shared" si="248"/>
        <v>0</v>
      </c>
      <c r="J1142" s="43">
        <f t="shared" si="249"/>
        <v>0</v>
      </c>
      <c r="K1142" s="44" cm="1">
        <f t="array" ref="K1142">IF(D1142="Gadget",_xlfn.IFS(I1142&gt;=0.2,0.5,I1142&gt;=0.1,0.35,I1142&gt;=0.05,0.2,TRUE,0),IF(D1142="Grenade",_xlfn.IFS(I1142&gt;=0.2,1,I1142&gt;=0.1,0.7,I1142&gt;=0.05,0.4,TRUE,0),0))</f>
        <v>0</v>
      </c>
      <c r="L1142" s="57">
        <f t="shared" ref="L1142:L1151" si="257">IF($K1142=0,0,$K1142 / SUMIFS($K:$K,$A:$A,$A1142,$D:$D,"Gadget"))</f>
        <v>0</v>
      </c>
    </row>
    <row r="1143" spans="1:12" x14ac:dyDescent="0.25">
      <c r="A1143" s="42" t="str" cm="1">
        <f t="array" ref="A1143">IFERROR(INDEX(_xlfn._xlws.FILTER(Class_Players!A:A,Class_Players!B:B="Engineer"),QUOTIENT(ROW()-ROW($A$2),12)+1),"")</f>
        <v>free_example9</v>
      </c>
      <c r="B1143" s="42" t="str">
        <f>_xlfn.XLOOKUP(A1143,Class_Players!$A:$A,Class_Players!$B:$B,"")</f>
        <v>Engineer</v>
      </c>
      <c r="C1143" s="42" t="str" cm="1">
        <f t="array" ref="C1143">INDEX(Lookups!$B$2:$B$13,MOD(ROW()-ROW($B$2),ROWS(Lookups!$B$2:$B$13))+1)</f>
        <v>SLM-93A (Air-Defense Launcher)</v>
      </c>
      <c r="D1143" s="38" t="str">
        <f>_xlfn.XLOOKUP(C1143,Analysis_Gadgets!$C:$C,Analysis_Gadgets!$B:$B)</f>
        <v>Gadget</v>
      </c>
      <c r="E1143" s="43">
        <v>112</v>
      </c>
      <c r="F1143" s="43">
        <f>_xlfn.XLOOKUP(A1143,Class_Players!A:A,Class_Players!G:G)</f>
        <v>141</v>
      </c>
      <c r="G1143" s="43">
        <f t="shared" si="247"/>
        <v>0.79432624113475181</v>
      </c>
      <c r="H1143" s="43">
        <f>_xlfn.XLOOKUP(A1143,Class_Players!$A:$A,Class_Players!$F:$F,"")</f>
        <v>8952</v>
      </c>
      <c r="I1143" s="44">
        <f t="shared" si="248"/>
        <v>1.2511170688114389E-2</v>
      </c>
      <c r="J1143" s="43">
        <f t="shared" si="249"/>
        <v>0</v>
      </c>
      <c r="K1143" s="44" cm="1">
        <f t="array" ref="K1143">IF(D1143="Gadget",_xlfn.IFS(I1143&gt;=0.2,0.5,I1143&gt;=0.1,0.35,I1143&gt;=0.05,0.2,TRUE,0),IF(D1143="Grenade",_xlfn.IFS(I1143&gt;=0.2,1,I1143&gt;=0.1,0.7,I1143&gt;=0.05,0.4,TRUE,0),0))</f>
        <v>0</v>
      </c>
      <c r="L1143" s="57">
        <f t="shared" si="257"/>
        <v>0</v>
      </c>
    </row>
    <row r="1144" spans="1:12" x14ac:dyDescent="0.25">
      <c r="A1144" s="42" t="str" cm="1">
        <f t="array" ref="A1144">IFERROR(INDEX(_xlfn._xlws.FILTER(Class_Players!A:A,Class_Players!B:B="Engineer"),QUOTIENT(ROW()-ROW($A$2),12)+1),"")</f>
        <v>free_example9</v>
      </c>
      <c r="B1144" s="42" t="str">
        <f>_xlfn.XLOOKUP(A1144,Class_Players!$A:$A,Class_Players!$B:$B,"")</f>
        <v>Engineer</v>
      </c>
      <c r="C1144" s="42" t="str" cm="1">
        <f t="array" ref="C1144">INDEX(Lookups!$B$2:$B$13,MOD(ROW()-ROW($B$2),ROWS(Lookups!$B$2:$B$13))+1)</f>
        <v>RPG-7V2 (Unguided Rocket Launcher)</v>
      </c>
      <c r="D1144" s="38" t="str">
        <f>_xlfn.XLOOKUP(C1144,Analysis_Gadgets!$C:$C,Analysis_Gadgets!$B:$B)</f>
        <v>Gadget</v>
      </c>
      <c r="E1144" s="43">
        <v>2566</v>
      </c>
      <c r="F1144" s="43">
        <f>_xlfn.XLOOKUP(A1144,Class_Players!A:A,Class_Players!G:G)</f>
        <v>141</v>
      </c>
      <c r="G1144" s="43">
        <f t="shared" si="247"/>
        <v>18.198581560283689</v>
      </c>
      <c r="H1144" s="43">
        <f>_xlfn.XLOOKUP(A1144,Class_Players!$A:$A,Class_Players!$F:$F,"")</f>
        <v>8952</v>
      </c>
      <c r="I1144" s="44">
        <f t="shared" si="248"/>
        <v>0.28663985701519212</v>
      </c>
      <c r="J1144" s="43">
        <f t="shared" si="249"/>
        <v>1</v>
      </c>
      <c r="K1144" s="44" cm="1">
        <f t="array" ref="K1144">IF(D1144="Gadget",_xlfn.IFS(I1144&gt;=0.2,0.5,I1144&gt;=0.1,0.35,I1144&gt;=0.05,0.2,TRUE,0),IF(D1144="Grenade",_xlfn.IFS(I1144&gt;=0.2,1,I1144&gt;=0.1,0.7,I1144&gt;=0.05,0.4,TRUE,0),0))</f>
        <v>0.5</v>
      </c>
      <c r="L1144" s="57">
        <f t="shared" si="257"/>
        <v>1</v>
      </c>
    </row>
    <row r="1145" spans="1:12" x14ac:dyDescent="0.25">
      <c r="A1145" s="42" t="str" cm="1">
        <f t="array" ref="A1145">IFERROR(INDEX(_xlfn._xlws.FILTER(Class_Players!A:A,Class_Players!B:B="Engineer"),QUOTIENT(ROW()-ROW($A$2),12)+1),"")</f>
        <v>free_example9</v>
      </c>
      <c r="B1145" s="42" t="str">
        <f>_xlfn.XLOOKUP(A1145,Class_Players!$A:$A,Class_Players!$B:$B,"")</f>
        <v>Engineer</v>
      </c>
      <c r="C1145" s="42" t="str" cm="1">
        <f t="array" ref="C1145">INDEX(Lookups!$B$2:$B$13,MOD(ROW()-ROW($B$2),ROWS(Lookups!$B$2:$B$13))+1)</f>
        <v>MAS 148 (Long-Range Launcher)</v>
      </c>
      <c r="D1145" s="38" t="str">
        <f>_xlfn.XLOOKUP(C1145,Analysis_Gadgets!$C:$C,Analysis_Gadgets!$B:$B)</f>
        <v>Gadget</v>
      </c>
      <c r="E1145" s="43">
        <v>63</v>
      </c>
      <c r="F1145" s="43">
        <f>_xlfn.XLOOKUP(A1145,Class_Players!A:A,Class_Players!G:G)</f>
        <v>141</v>
      </c>
      <c r="G1145" s="43">
        <f t="shared" si="247"/>
        <v>0.44680851063829785</v>
      </c>
      <c r="H1145" s="43">
        <f>_xlfn.XLOOKUP(A1145,Class_Players!$A:$A,Class_Players!$F:$F,"")</f>
        <v>8952</v>
      </c>
      <c r="I1145" s="44">
        <f t="shared" si="248"/>
        <v>7.0375335120643435E-3</v>
      </c>
      <c r="J1145" s="43">
        <f t="shared" si="249"/>
        <v>0</v>
      </c>
      <c r="K1145" s="44" cm="1">
        <f t="array" ref="K1145">IF(D1145="Gadget",_xlfn.IFS(I1145&gt;=0.2,0.5,I1145&gt;=0.1,0.35,I1145&gt;=0.05,0.2,TRUE,0),IF(D1145="Grenade",_xlfn.IFS(I1145&gt;=0.2,1,I1145&gt;=0.1,0.7,I1145&gt;=0.05,0.4,TRUE,0),0))</f>
        <v>0</v>
      </c>
      <c r="L1145" s="57">
        <f t="shared" si="257"/>
        <v>0</v>
      </c>
    </row>
    <row r="1146" spans="1:12" x14ac:dyDescent="0.25">
      <c r="A1146" s="42" t="str" cm="1">
        <f t="array" ref="A1146">IFERROR(INDEX(_xlfn._xlws.FILTER(Class_Players!A:A,Class_Players!B:B="Engineer"),QUOTIENT(ROW()-ROW($A$2),12)+1),"")</f>
        <v>free_example9</v>
      </c>
      <c r="B1146" s="42" t="str">
        <f>_xlfn.XLOOKUP(A1146,Class_Players!$A:$A,Class_Players!$B:$B,"")</f>
        <v>Engineer</v>
      </c>
      <c r="C1146" s="42" t="str" cm="1">
        <f t="array" ref="C1146">INDEX(Lookups!$B$2:$B$13,MOD(ROW()-ROW($B$2),ROWS(Lookups!$B$2:$B$13))+1)</f>
        <v>M136 AT (Aim-Guided Launcher)</v>
      </c>
      <c r="D1146" s="38" t="str">
        <f>_xlfn.XLOOKUP(C1146,Analysis_Gadgets!$C:$C,Analysis_Gadgets!$B:$B)</f>
        <v>Gadget</v>
      </c>
      <c r="E1146" s="43">
        <v>6</v>
      </c>
      <c r="F1146" s="43">
        <f>_xlfn.XLOOKUP(A1146,Class_Players!A:A,Class_Players!G:G)</f>
        <v>141</v>
      </c>
      <c r="G1146" s="43">
        <f t="shared" si="247"/>
        <v>4.2553191489361701E-2</v>
      </c>
      <c r="H1146" s="43">
        <f>_xlfn.XLOOKUP(A1146,Class_Players!$A:$A,Class_Players!$F:$F,"")</f>
        <v>8952</v>
      </c>
      <c r="I1146" s="44">
        <f t="shared" si="248"/>
        <v>6.7024128686327079E-4</v>
      </c>
      <c r="J1146" s="43">
        <f t="shared" si="249"/>
        <v>0</v>
      </c>
      <c r="K1146" s="44" cm="1">
        <f t="array" ref="K1146">IF(D1146="Gadget",_xlfn.IFS(I1146&gt;=0.2,0.5,I1146&gt;=0.1,0.35,I1146&gt;=0.05,0.2,TRUE,0),IF(D1146="Grenade",_xlfn.IFS(I1146&gt;=0.2,1,I1146&gt;=0.1,0.7,I1146&gt;=0.05,0.4,TRUE,0),0))</f>
        <v>0</v>
      </c>
      <c r="L1146" s="57">
        <f t="shared" si="257"/>
        <v>0</v>
      </c>
    </row>
    <row r="1147" spans="1:12" x14ac:dyDescent="0.25">
      <c r="A1147" s="42" t="str" cm="1">
        <f t="array" ref="A1147">IFERROR(INDEX(_xlfn._xlws.FILTER(Class_Players!A:A,Class_Players!B:B="Engineer"),QUOTIENT(ROW()-ROW($A$2),12)+1),"")</f>
        <v>free_example9</v>
      </c>
      <c r="B1147" s="42" t="str">
        <f>_xlfn.XLOOKUP(A1147,Class_Players!$A:$A,Class_Players!$B:$B,"")</f>
        <v>Engineer</v>
      </c>
      <c r="C1147" s="42" t="str" cm="1">
        <f t="array" ref="C1147">INDEX(Lookups!$B$2:$B$13,MOD(ROW()-ROW($B$2),ROWS(Lookups!$B$2:$B$13))+1)</f>
        <v>Supply Crate</v>
      </c>
      <c r="D1147" s="38" t="str">
        <f>_xlfn.XLOOKUP(C1147,Analysis_Gadgets!$C:$C,Analysis_Gadgets!$B:$B)</f>
        <v>Gadget</v>
      </c>
      <c r="E1147" s="43">
        <v>42</v>
      </c>
      <c r="F1147" s="43">
        <f>_xlfn.XLOOKUP(A1147,Class_Players!A:A,Class_Players!G:G)</f>
        <v>141</v>
      </c>
      <c r="G1147" s="43">
        <f t="shared" si="247"/>
        <v>0.2978723404255319</v>
      </c>
      <c r="H1147" s="43">
        <f>_xlfn.XLOOKUP(A1147,Class_Players!$A:$A,Class_Players!$F:$F,"")</f>
        <v>8952</v>
      </c>
      <c r="I1147" s="44">
        <f t="shared" si="248"/>
        <v>4.6916890080428951E-3</v>
      </c>
      <c r="J1147" s="43">
        <f t="shared" si="249"/>
        <v>0</v>
      </c>
      <c r="K1147" s="44" cm="1">
        <f t="array" ref="K1147">IF(D1147="Gadget",_xlfn.IFS(I1147&gt;=0.2,0.5,I1147&gt;=0.1,0.35,I1147&gt;=0.05,0.2,TRUE,0),IF(D1147="Grenade",_xlfn.IFS(I1147&gt;=0.2,1,I1147&gt;=0.1,0.7,I1147&gt;=0.05,0.4,TRUE,0),0))</f>
        <v>0</v>
      </c>
      <c r="L1147" s="57">
        <f t="shared" si="257"/>
        <v>0</v>
      </c>
    </row>
    <row r="1148" spans="1:12" x14ac:dyDescent="0.25">
      <c r="A1148" s="42" t="str" cm="1">
        <f t="array" ref="A1148">IFERROR(INDEX(_xlfn._xlws.FILTER(Class_Players!A:A,Class_Players!B:B="Engineer"),QUOTIENT(ROW()-ROW($A$2),12)+1),"")</f>
        <v>free_example9</v>
      </c>
      <c r="B1148" s="42" t="str">
        <f>_xlfn.XLOOKUP(A1148,Class_Players!$A:$A,Class_Players!$B:$B,"")</f>
        <v>Engineer</v>
      </c>
      <c r="C1148" s="42" t="str" cm="1">
        <f t="array" ref="C1148">INDEX(Lookups!$B$2:$B$13,MOD(ROW()-ROW($B$2),ROWS(Lookups!$B$2:$B$13))+1)</f>
        <v>M15 (Anti-Vehicle Mine)</v>
      </c>
      <c r="D1148" s="38" t="str">
        <f>_xlfn.XLOOKUP(C1148,Analysis_Gadgets!$C:$C,Analysis_Gadgets!$B:$B)</f>
        <v>Gadget</v>
      </c>
      <c r="E1148" s="43">
        <v>129</v>
      </c>
      <c r="F1148" s="43">
        <f>_xlfn.XLOOKUP(A1148,Class_Players!A:A,Class_Players!G:G)</f>
        <v>141</v>
      </c>
      <c r="G1148" s="43">
        <f t="shared" si="247"/>
        <v>0.91489361702127658</v>
      </c>
      <c r="H1148" s="43">
        <f>_xlfn.XLOOKUP(A1148,Class_Players!$A:$A,Class_Players!$F:$F,"")</f>
        <v>8952</v>
      </c>
      <c r="I1148" s="44">
        <f t="shared" si="248"/>
        <v>1.4410187667560321E-2</v>
      </c>
      <c r="J1148" s="43">
        <f t="shared" si="249"/>
        <v>0</v>
      </c>
      <c r="K1148" s="44" cm="1">
        <f t="array" ref="K1148">IF(D1148="Gadget",_xlfn.IFS(I1148&gt;=0.2,0.5,I1148&gt;=0.1,0.35,I1148&gt;=0.05,0.2,TRUE,0),IF(D1148="Grenade",_xlfn.IFS(I1148&gt;=0.2,1,I1148&gt;=0.1,0.7,I1148&gt;=0.05,0.4,TRUE,0),0))</f>
        <v>0</v>
      </c>
      <c r="L1148" s="57">
        <f t="shared" si="257"/>
        <v>0</v>
      </c>
    </row>
    <row r="1149" spans="1:12" x14ac:dyDescent="0.25">
      <c r="A1149" s="42" t="str" cm="1">
        <f t="array" ref="A1149">IFERROR(INDEX(_xlfn._xlws.FILTER(Class_Players!A:A,Class_Players!B:B="Engineer"),QUOTIENT(ROW()-ROW($A$2),12)+1),"")</f>
        <v>free_example9</v>
      </c>
      <c r="B1149" s="42" t="str">
        <f>_xlfn.XLOOKUP(A1149,Class_Players!$A:$A,Class_Players!$B:$B,"")</f>
        <v>Engineer</v>
      </c>
      <c r="C1149" s="42" t="str" cm="1">
        <f t="array" ref="C1149">INDEX(Lookups!$B$2:$B$13,MOD(ROW()-ROW($B$2),ROWS(Lookups!$B$2:$B$13))+1)</f>
        <v>PTKM-1R (Acoustic Sensor AV Mine)</v>
      </c>
      <c r="D1149" s="38" t="str">
        <f>_xlfn.XLOOKUP(C1149,Analysis_Gadgets!$C:$C,Analysis_Gadgets!$B:$B)</f>
        <v>Gadget</v>
      </c>
      <c r="E1149" s="43">
        <v>241</v>
      </c>
      <c r="F1149" s="43">
        <f>_xlfn.XLOOKUP(A1149,Class_Players!A:A,Class_Players!G:G)</f>
        <v>141</v>
      </c>
      <c r="G1149" s="43">
        <f t="shared" si="247"/>
        <v>1.7092198581560283</v>
      </c>
      <c r="H1149" s="43">
        <f>_xlfn.XLOOKUP(A1149,Class_Players!$A:$A,Class_Players!$F:$F,"")</f>
        <v>8952</v>
      </c>
      <c r="I1149" s="44">
        <f t="shared" si="248"/>
        <v>2.6921358355674708E-2</v>
      </c>
      <c r="J1149" s="43">
        <f t="shared" si="249"/>
        <v>0</v>
      </c>
      <c r="K1149" s="44" cm="1">
        <f t="array" ref="K1149">IF(D1149="Gadget",_xlfn.IFS(I1149&gt;=0.2,0.5,I1149&gt;=0.1,0.35,I1149&gt;=0.05,0.2,TRUE,0),IF(D1149="Grenade",_xlfn.IFS(I1149&gt;=0.2,1,I1149&gt;=0.1,0.7,I1149&gt;=0.05,0.4,TRUE,0),0))</f>
        <v>0</v>
      </c>
      <c r="L1149" s="57">
        <f t="shared" si="257"/>
        <v>0</v>
      </c>
    </row>
    <row r="1150" spans="1:12" x14ac:dyDescent="0.25">
      <c r="A1150" s="42" t="str" cm="1">
        <f t="array" ref="A1150">IFERROR(INDEX(_xlfn._xlws.FILTER(Class_Players!A:A,Class_Players!B:B="Engineer"),QUOTIENT(ROW()-ROW($A$2),12)+1),"")</f>
        <v>free_example9</v>
      </c>
      <c r="B1150" s="42" t="str">
        <f>_xlfn.XLOOKUP(A1150,Class_Players!$A:$A,Class_Players!$B:$B,"")</f>
        <v>Engineer</v>
      </c>
      <c r="C1150" s="42" t="str" cm="1">
        <f t="array" ref="C1150">INDEX(Lookups!$B$2:$B$13,MOD(ROW()-ROW($B$2),ROWS(Lookups!$B$2:$B$13))+1)</f>
        <v>EOD Bot</v>
      </c>
      <c r="D1150" s="38" t="str">
        <f>_xlfn.XLOOKUP(C1150,Analysis_Gadgets!$C:$C,Analysis_Gadgets!$B:$B)</f>
        <v>Gadget</v>
      </c>
      <c r="E1150" s="43">
        <v>7</v>
      </c>
      <c r="F1150" s="43">
        <f>_xlfn.XLOOKUP(A1150,Class_Players!A:A,Class_Players!G:G)</f>
        <v>141</v>
      </c>
      <c r="G1150" s="43">
        <f t="shared" si="247"/>
        <v>4.9645390070921988E-2</v>
      </c>
      <c r="H1150" s="43">
        <f>_xlfn.XLOOKUP(A1150,Class_Players!$A:$A,Class_Players!$F:$F,"")</f>
        <v>8952</v>
      </c>
      <c r="I1150" s="44">
        <f t="shared" si="248"/>
        <v>7.8194816800714929E-4</v>
      </c>
      <c r="J1150" s="43">
        <f t="shared" si="249"/>
        <v>0</v>
      </c>
      <c r="K1150" s="44" cm="1">
        <f t="array" ref="K1150">IF(D1150="Gadget",_xlfn.IFS(I1150&gt;=0.2,0.5,I1150&gt;=0.1,0.35,I1150&gt;=0.05,0.2,TRUE,0),IF(D1150="Grenade",_xlfn.IFS(I1150&gt;=0.2,1,I1150&gt;=0.1,0.7,I1150&gt;=0.05,0.4,TRUE,0),0))</f>
        <v>0</v>
      </c>
      <c r="L1150" s="57">
        <f t="shared" si="257"/>
        <v>0</v>
      </c>
    </row>
    <row r="1151" spans="1:12" x14ac:dyDescent="0.25">
      <c r="A1151" s="42" t="str" cm="1">
        <f t="array" ref="A1151">IFERROR(INDEX(_xlfn._xlws.FILTER(Class_Players!A:A,Class_Players!B:B="Engineer"),QUOTIENT(ROW()-ROW($A$2),12)+1),"")</f>
        <v>free_example9</v>
      </c>
      <c r="B1151" s="42" t="str">
        <f>_xlfn.XLOOKUP(A1151,Class_Players!$A:$A,Class_Players!$B:$B,"")</f>
        <v>Engineer</v>
      </c>
      <c r="C1151" s="42" t="str" cm="1">
        <f t="array" ref="C1151">INDEX(Lookups!$B$2:$B$13,MOD(ROW()-ROW($B$2),ROWS(Lookups!$B$2:$B$13))+1)</f>
        <v>M4A1 SLAM (Tripwire Sensor AV Mine)</v>
      </c>
      <c r="D1151" s="38" t="str">
        <f>_xlfn.XLOOKUP(C1151,Analysis_Gadgets!$C:$C,Analysis_Gadgets!$B:$B)</f>
        <v>Gadget</v>
      </c>
      <c r="E1151" s="43">
        <v>130</v>
      </c>
      <c r="F1151" s="43">
        <f>_xlfn.XLOOKUP(A1151,Class_Players!A:A,Class_Players!G:G)</f>
        <v>141</v>
      </c>
      <c r="G1151" s="43">
        <f t="shared" si="247"/>
        <v>0.92198581560283688</v>
      </c>
      <c r="H1151" s="43">
        <f>_xlfn.XLOOKUP(A1151,Class_Players!$A:$A,Class_Players!$F:$F,"")</f>
        <v>8952</v>
      </c>
      <c r="I1151" s="44">
        <f t="shared" si="248"/>
        <v>1.4521894548704201E-2</v>
      </c>
      <c r="J1151" s="43">
        <f t="shared" si="249"/>
        <v>0</v>
      </c>
      <c r="K1151" s="44" cm="1">
        <f t="array" ref="K1151">IF(D1151="Gadget",_xlfn.IFS(I1151&gt;=0.2,0.5,I1151&gt;=0.1,0.35,I1151&gt;=0.05,0.2,TRUE,0),IF(D1151="Grenade",_xlfn.IFS(I1151&gt;=0.2,1,I1151&gt;=0.1,0.7,I1151&gt;=0.05,0.4,TRUE,0),0))</f>
        <v>0</v>
      </c>
      <c r="L1151" s="57">
        <f t="shared" si="257"/>
        <v>0</v>
      </c>
    </row>
    <row r="1152" spans="1:12" x14ac:dyDescent="0.25">
      <c r="A1152" s="42" t="str" cm="1">
        <f t="array" ref="A1152">IFERROR(INDEX(_xlfn._xlws.FILTER(Class_Players!A:A,Class_Players!B:B="Engineer"),QUOTIENT(ROW()-ROW($A$2),12)+1),"")</f>
        <v>free_example9</v>
      </c>
      <c r="B1152" s="42" t="str">
        <f>_xlfn.XLOOKUP(A1152,Class_Players!$A:$A,Class_Players!$B:$B,"")</f>
        <v>Engineer</v>
      </c>
      <c r="C1152" s="42" t="str" cm="1">
        <f t="array" ref="C1152">INDEX(Lookups!$B$2:$B$13,MOD(ROW()-ROW($B$2),ROWS(Lookups!$B$2:$B$13))+1)</f>
        <v>Mini Frag Grenade</v>
      </c>
      <c r="D1152" s="38" t="str">
        <f>_xlfn.XLOOKUP(C1152,Analysis_Gadgets!$C:$C,Analysis_Gadgets!$B:$B)</f>
        <v>Grenade</v>
      </c>
      <c r="E1152" s="43">
        <v>1</v>
      </c>
      <c r="F1152" s="43">
        <f>_xlfn.XLOOKUP(A1152,Class_Players!A:A,Class_Players!G:G)</f>
        <v>141</v>
      </c>
      <c r="G1152" s="43">
        <f t="shared" si="247"/>
        <v>7.0921985815602835E-3</v>
      </c>
      <c r="H1152" s="43">
        <f>_xlfn.XLOOKUP(A1152,Class_Players!$A:$A,Class_Players!$F:$F,"")</f>
        <v>8952</v>
      </c>
      <c r="I1152" s="44">
        <f t="shared" si="248"/>
        <v>1.1170688114387846E-4</v>
      </c>
      <c r="J1152" s="43">
        <f t="shared" si="249"/>
        <v>0</v>
      </c>
      <c r="K1152" s="44" cm="1">
        <f t="array" ref="K1152">IF(D1152="Gadget",_xlfn.IFS(I1152&gt;=0.2,0.5,I1152&gt;=0.1,0.35,I1152&gt;=0.05,0.2,TRUE,0),IF(D1152="Grenade",_xlfn.IFS(I1152&gt;=0.2,1,I1152&gt;=0.1,0.7,I1152&gt;=0.05,0.4,TRUE,0),0))</f>
        <v>0</v>
      </c>
      <c r="L1152" s="57">
        <f t="shared" ref="L1152:L1153" si="258">IF($K1152=0,0,$K1152 / SUMIFS($K:$K,$A:$A,$A1152,$D:$D,"Grenade"))</f>
        <v>0</v>
      </c>
    </row>
    <row r="1153" spans="1:12" x14ac:dyDescent="0.25">
      <c r="A1153" s="42" t="str" cm="1">
        <f t="array" ref="A1153">IFERROR(INDEX(_xlfn._xlws.FILTER(Class_Players!A:A,Class_Players!B:B="Engineer"),QUOTIENT(ROW()-ROW($A$2),12)+1),"")</f>
        <v>free_example9</v>
      </c>
      <c r="B1153" s="42" t="str">
        <f>_xlfn.XLOOKUP(A1153,Class_Players!$A:$A,Class_Players!$B:$B,"")</f>
        <v>Engineer</v>
      </c>
      <c r="C1153" s="42" t="str" cm="1">
        <f t="array" ref="C1153">INDEX(Lookups!$B$2:$B$13,MOD(ROW()-ROW($B$2),ROWS(Lookups!$B$2:$B$13))+1)</f>
        <v>Anti-Vehicle Grenade</v>
      </c>
      <c r="D1153" s="38" t="str">
        <f>_xlfn.XLOOKUP(C1153,Analysis_Gadgets!$C:$C,Analysis_Gadgets!$B:$B)</f>
        <v>Grenade</v>
      </c>
      <c r="E1153" s="43">
        <v>0</v>
      </c>
      <c r="F1153" s="43">
        <f>_xlfn.XLOOKUP(A1153,Class_Players!A:A,Class_Players!G:G)</f>
        <v>141</v>
      </c>
      <c r="G1153" s="43">
        <f t="shared" si="247"/>
        <v>0</v>
      </c>
      <c r="H1153" s="43">
        <f>_xlfn.XLOOKUP(A1153,Class_Players!$A:$A,Class_Players!$F:$F,"")</f>
        <v>8952</v>
      </c>
      <c r="I1153" s="44">
        <f t="shared" si="248"/>
        <v>0</v>
      </c>
      <c r="J1153" s="43">
        <f t="shared" si="249"/>
        <v>0</v>
      </c>
      <c r="K1153" s="44" cm="1">
        <f t="array" ref="K1153">IF(D1153="Gadget",_xlfn.IFS(I1153&gt;=0.2,0.5,I1153&gt;=0.1,0.35,I1153&gt;=0.05,0.2,TRUE,0),IF(D1153="Grenade",_xlfn.IFS(I1153&gt;=0.2,1,I1153&gt;=0.1,0.7,I1153&gt;=0.05,0.4,TRUE,0),0))</f>
        <v>0</v>
      </c>
      <c r="L1153" s="57">
        <f t="shared" si="258"/>
        <v>0</v>
      </c>
    </row>
    <row r="1154" spans="1:12" x14ac:dyDescent="0.25">
      <c r="A1154" s="42" t="str" cm="1">
        <f t="array" ref="A1154">IFERROR(INDEX(_xlfn._xlws.FILTER(Class_Players!A:A,Class_Players!B:B="Engineer"),QUOTIENT(ROW()-ROW($A$2),12)+1),"")</f>
        <v>duty7837</v>
      </c>
      <c r="B1154" s="42" t="str">
        <f>_xlfn.XLOOKUP(A1154,Class_Players!$A:$A,Class_Players!$B:$B,"")</f>
        <v>Engineer</v>
      </c>
      <c r="C1154" s="42" t="str" cm="1">
        <f t="array" ref="C1154">INDEX(Lookups!$B$2:$B$13,MOD(ROW()-ROW($B$2),ROWS(Lookups!$B$2:$B$13))+1)</f>
        <v>MBT-LAW (Auto-Guided Launcher)</v>
      </c>
      <c r="D1154" s="38" t="str">
        <f>_xlfn.XLOOKUP(C1154,Analysis_Gadgets!$C:$C,Analysis_Gadgets!$B:$B)</f>
        <v>Gadget</v>
      </c>
      <c r="E1154" s="43">
        <v>0</v>
      </c>
      <c r="F1154" s="43">
        <f>_xlfn.XLOOKUP(A1154,Class_Players!A:A,Class_Players!G:G)</f>
        <v>149</v>
      </c>
      <c r="G1154" s="43">
        <f t="shared" si="247"/>
        <v>0</v>
      </c>
      <c r="H1154" s="43">
        <f>_xlfn.XLOOKUP(A1154,Class_Players!$A:$A,Class_Players!$F:$F,"")</f>
        <v>6734</v>
      </c>
      <c r="I1154" s="44">
        <f t="shared" si="248"/>
        <v>0</v>
      </c>
      <c r="J1154" s="43">
        <f t="shared" si="249"/>
        <v>0</v>
      </c>
      <c r="K1154" s="44" cm="1">
        <f t="array" ref="K1154">IF(D1154="Gadget",_xlfn.IFS(I1154&gt;=0.2,0.5,I1154&gt;=0.1,0.35,I1154&gt;=0.05,0.2,TRUE,0),IF(D1154="Grenade",_xlfn.IFS(I1154&gt;=0.2,1,I1154&gt;=0.1,0.7,I1154&gt;=0.05,0.4,TRUE,0),0))</f>
        <v>0</v>
      </c>
      <c r="L1154" s="57">
        <f t="shared" ref="L1154:L1163" si="259">IF($K1154=0,0,$K1154 / SUMIFS($K:$K,$A:$A,$A1154,$D:$D,"Gadget"))</f>
        <v>0</v>
      </c>
    </row>
    <row r="1155" spans="1:12" x14ac:dyDescent="0.25">
      <c r="A1155" s="42" t="str" cm="1">
        <f t="array" ref="A1155">IFERROR(INDEX(_xlfn._xlws.FILTER(Class_Players!A:A,Class_Players!B:B="Engineer"),QUOTIENT(ROW()-ROW($A$2),12)+1),"")</f>
        <v>duty7837</v>
      </c>
      <c r="B1155" s="42" t="str">
        <f>_xlfn.XLOOKUP(A1155,Class_Players!$A:$A,Class_Players!$B:$B,"")</f>
        <v>Engineer</v>
      </c>
      <c r="C1155" s="42" t="str" cm="1">
        <f t="array" ref="C1155">INDEX(Lookups!$B$2:$B$13,MOD(ROW()-ROW($B$2),ROWS(Lookups!$B$2:$B$13))+1)</f>
        <v>SLM-93A (Air-Defense Launcher)</v>
      </c>
      <c r="D1155" s="38" t="str">
        <f>_xlfn.XLOOKUP(C1155,Analysis_Gadgets!$C:$C,Analysis_Gadgets!$B:$B)</f>
        <v>Gadget</v>
      </c>
      <c r="E1155" s="43">
        <v>5</v>
      </c>
      <c r="F1155" s="43">
        <f>_xlfn.XLOOKUP(A1155,Class_Players!A:A,Class_Players!G:G)</f>
        <v>149</v>
      </c>
      <c r="G1155" s="43">
        <f t="shared" si="247"/>
        <v>3.3557046979865772E-2</v>
      </c>
      <c r="H1155" s="43">
        <f>_xlfn.XLOOKUP(A1155,Class_Players!$A:$A,Class_Players!$F:$F,"")</f>
        <v>6734</v>
      </c>
      <c r="I1155" s="44">
        <f t="shared" si="248"/>
        <v>7.4250074250074253E-4</v>
      </c>
      <c r="J1155" s="43">
        <f t="shared" si="249"/>
        <v>0</v>
      </c>
      <c r="K1155" s="44" cm="1">
        <f t="array" ref="K1155">IF(D1155="Gadget",_xlfn.IFS(I1155&gt;=0.2,0.5,I1155&gt;=0.1,0.35,I1155&gt;=0.05,0.2,TRUE,0),IF(D1155="Grenade",_xlfn.IFS(I1155&gt;=0.2,1,I1155&gt;=0.1,0.7,I1155&gt;=0.05,0.4,TRUE,0),0))</f>
        <v>0</v>
      </c>
      <c r="L1155" s="57">
        <f t="shared" si="259"/>
        <v>0</v>
      </c>
    </row>
    <row r="1156" spans="1:12" x14ac:dyDescent="0.25">
      <c r="A1156" s="42" t="str" cm="1">
        <f t="array" ref="A1156">IFERROR(INDEX(_xlfn._xlws.FILTER(Class_Players!A:A,Class_Players!B:B="Engineer"),QUOTIENT(ROW()-ROW($A$2),12)+1),"")</f>
        <v>duty7837</v>
      </c>
      <c r="B1156" s="42" t="str">
        <f>_xlfn.XLOOKUP(A1156,Class_Players!$A:$A,Class_Players!$B:$B,"")</f>
        <v>Engineer</v>
      </c>
      <c r="C1156" s="42" t="str" cm="1">
        <f t="array" ref="C1156">INDEX(Lookups!$B$2:$B$13,MOD(ROW()-ROW($B$2),ROWS(Lookups!$B$2:$B$13))+1)</f>
        <v>RPG-7V2 (Unguided Rocket Launcher)</v>
      </c>
      <c r="D1156" s="38" t="str">
        <f>_xlfn.XLOOKUP(C1156,Analysis_Gadgets!$C:$C,Analysis_Gadgets!$B:$B)</f>
        <v>Gadget</v>
      </c>
      <c r="E1156" s="43">
        <v>2670</v>
      </c>
      <c r="F1156" s="43">
        <f>_xlfn.XLOOKUP(A1156,Class_Players!A:A,Class_Players!G:G)</f>
        <v>149</v>
      </c>
      <c r="G1156" s="43">
        <f t="shared" si="247"/>
        <v>17.919463087248321</v>
      </c>
      <c r="H1156" s="43">
        <f>_xlfn.XLOOKUP(A1156,Class_Players!$A:$A,Class_Players!$F:$F,"")</f>
        <v>6734</v>
      </c>
      <c r="I1156" s="44">
        <f t="shared" si="248"/>
        <v>0.3964953964953965</v>
      </c>
      <c r="J1156" s="43">
        <f t="shared" si="249"/>
        <v>1</v>
      </c>
      <c r="K1156" s="44" cm="1">
        <f t="array" ref="K1156">IF(D1156="Gadget",_xlfn.IFS(I1156&gt;=0.2,0.5,I1156&gt;=0.1,0.35,I1156&gt;=0.05,0.2,TRUE,0),IF(D1156="Grenade",_xlfn.IFS(I1156&gt;=0.2,1,I1156&gt;=0.1,0.7,I1156&gt;=0.05,0.4,TRUE,0),0))</f>
        <v>0.5</v>
      </c>
      <c r="L1156" s="57">
        <f t="shared" si="259"/>
        <v>1</v>
      </c>
    </row>
    <row r="1157" spans="1:12" x14ac:dyDescent="0.25">
      <c r="A1157" s="42" t="str" cm="1">
        <f t="array" ref="A1157">IFERROR(INDEX(_xlfn._xlws.FILTER(Class_Players!A:A,Class_Players!B:B="Engineer"),QUOTIENT(ROW()-ROW($A$2),12)+1),"")</f>
        <v>duty7837</v>
      </c>
      <c r="B1157" s="42" t="str">
        <f>_xlfn.XLOOKUP(A1157,Class_Players!$A:$A,Class_Players!$B:$B,"")</f>
        <v>Engineer</v>
      </c>
      <c r="C1157" s="42" t="str" cm="1">
        <f t="array" ref="C1157">INDEX(Lookups!$B$2:$B$13,MOD(ROW()-ROW($B$2),ROWS(Lookups!$B$2:$B$13))+1)</f>
        <v>MAS 148 (Long-Range Launcher)</v>
      </c>
      <c r="D1157" s="38" t="str">
        <f>_xlfn.XLOOKUP(C1157,Analysis_Gadgets!$C:$C,Analysis_Gadgets!$B:$B)</f>
        <v>Gadget</v>
      </c>
      <c r="E1157" s="43">
        <v>0</v>
      </c>
      <c r="F1157" s="43">
        <f>_xlfn.XLOOKUP(A1157,Class_Players!A:A,Class_Players!G:G)</f>
        <v>149</v>
      </c>
      <c r="G1157" s="43">
        <f t="shared" si="247"/>
        <v>0</v>
      </c>
      <c r="H1157" s="43">
        <f>_xlfn.XLOOKUP(A1157,Class_Players!$A:$A,Class_Players!$F:$F,"")</f>
        <v>6734</v>
      </c>
      <c r="I1157" s="44">
        <f t="shared" si="248"/>
        <v>0</v>
      </c>
      <c r="J1157" s="43">
        <f t="shared" si="249"/>
        <v>0</v>
      </c>
      <c r="K1157" s="44" cm="1">
        <f t="array" ref="K1157">IF(D1157="Gadget",_xlfn.IFS(I1157&gt;=0.2,0.5,I1157&gt;=0.1,0.35,I1157&gt;=0.05,0.2,TRUE,0),IF(D1157="Grenade",_xlfn.IFS(I1157&gt;=0.2,1,I1157&gt;=0.1,0.7,I1157&gt;=0.05,0.4,TRUE,0),0))</f>
        <v>0</v>
      </c>
      <c r="L1157" s="57">
        <f t="shared" si="259"/>
        <v>0</v>
      </c>
    </row>
    <row r="1158" spans="1:12" x14ac:dyDescent="0.25">
      <c r="A1158" s="42" t="str" cm="1">
        <f t="array" ref="A1158">IFERROR(INDEX(_xlfn._xlws.FILTER(Class_Players!A:A,Class_Players!B:B="Engineer"),QUOTIENT(ROW()-ROW($A$2),12)+1),"")</f>
        <v>duty7837</v>
      </c>
      <c r="B1158" s="42" t="str">
        <f>_xlfn.XLOOKUP(A1158,Class_Players!$A:$A,Class_Players!$B:$B,"")</f>
        <v>Engineer</v>
      </c>
      <c r="C1158" s="42" t="str" cm="1">
        <f t="array" ref="C1158">INDEX(Lookups!$B$2:$B$13,MOD(ROW()-ROW($B$2),ROWS(Lookups!$B$2:$B$13))+1)</f>
        <v>M136 AT (Aim-Guided Launcher)</v>
      </c>
      <c r="D1158" s="38" t="str">
        <f>_xlfn.XLOOKUP(C1158,Analysis_Gadgets!$C:$C,Analysis_Gadgets!$B:$B)</f>
        <v>Gadget</v>
      </c>
      <c r="E1158" s="43">
        <v>69</v>
      </c>
      <c r="F1158" s="43">
        <f>_xlfn.XLOOKUP(A1158,Class_Players!A:A,Class_Players!G:G)</f>
        <v>149</v>
      </c>
      <c r="G1158" s="43">
        <f t="shared" si="247"/>
        <v>0.46308724832214765</v>
      </c>
      <c r="H1158" s="43">
        <f>_xlfn.XLOOKUP(A1158,Class_Players!$A:$A,Class_Players!$F:$F,"")</f>
        <v>6734</v>
      </c>
      <c r="I1158" s="44">
        <f t="shared" si="248"/>
        <v>1.0246510246510247E-2</v>
      </c>
      <c r="J1158" s="43">
        <f t="shared" si="249"/>
        <v>0</v>
      </c>
      <c r="K1158" s="44" cm="1">
        <f t="array" ref="K1158">IF(D1158="Gadget",_xlfn.IFS(I1158&gt;=0.2,0.5,I1158&gt;=0.1,0.35,I1158&gt;=0.05,0.2,TRUE,0),IF(D1158="Grenade",_xlfn.IFS(I1158&gt;=0.2,1,I1158&gt;=0.1,0.7,I1158&gt;=0.05,0.4,TRUE,0),0))</f>
        <v>0</v>
      </c>
      <c r="L1158" s="57">
        <f t="shared" si="259"/>
        <v>0</v>
      </c>
    </row>
    <row r="1159" spans="1:12" x14ac:dyDescent="0.25">
      <c r="A1159" s="42" t="str" cm="1">
        <f t="array" ref="A1159">IFERROR(INDEX(_xlfn._xlws.FILTER(Class_Players!A:A,Class_Players!B:B="Engineer"),QUOTIENT(ROW()-ROW($A$2),12)+1),"")</f>
        <v>duty7837</v>
      </c>
      <c r="B1159" s="42" t="str">
        <f>_xlfn.XLOOKUP(A1159,Class_Players!$A:$A,Class_Players!$B:$B,"")</f>
        <v>Engineer</v>
      </c>
      <c r="C1159" s="42" t="str" cm="1">
        <f t="array" ref="C1159">INDEX(Lookups!$B$2:$B$13,MOD(ROW()-ROW($B$2),ROWS(Lookups!$B$2:$B$13))+1)</f>
        <v>Supply Crate</v>
      </c>
      <c r="D1159" s="38" t="str">
        <f>_xlfn.XLOOKUP(C1159,Analysis_Gadgets!$C:$C,Analysis_Gadgets!$B:$B)</f>
        <v>Gadget</v>
      </c>
      <c r="E1159" s="43">
        <v>34</v>
      </c>
      <c r="F1159" s="43">
        <f>_xlfn.XLOOKUP(A1159,Class_Players!A:A,Class_Players!G:G)</f>
        <v>149</v>
      </c>
      <c r="G1159" s="43">
        <f t="shared" si="247"/>
        <v>0.22818791946308725</v>
      </c>
      <c r="H1159" s="43">
        <f>_xlfn.XLOOKUP(A1159,Class_Players!$A:$A,Class_Players!$F:$F,"")</f>
        <v>6734</v>
      </c>
      <c r="I1159" s="44">
        <f t="shared" si="248"/>
        <v>5.0490050490050488E-3</v>
      </c>
      <c r="J1159" s="43">
        <f t="shared" si="249"/>
        <v>0</v>
      </c>
      <c r="K1159" s="44" cm="1">
        <f t="array" ref="K1159">IF(D1159="Gadget",_xlfn.IFS(I1159&gt;=0.2,0.5,I1159&gt;=0.1,0.35,I1159&gt;=0.05,0.2,TRUE,0),IF(D1159="Grenade",_xlfn.IFS(I1159&gt;=0.2,1,I1159&gt;=0.1,0.7,I1159&gt;=0.05,0.4,TRUE,0),0))</f>
        <v>0</v>
      </c>
      <c r="L1159" s="57">
        <f t="shared" si="259"/>
        <v>0</v>
      </c>
    </row>
    <row r="1160" spans="1:12" x14ac:dyDescent="0.25">
      <c r="A1160" s="42" t="str" cm="1">
        <f t="array" ref="A1160">IFERROR(INDEX(_xlfn._xlws.FILTER(Class_Players!A:A,Class_Players!B:B="Engineer"),QUOTIENT(ROW()-ROW($A$2),12)+1),"")</f>
        <v>duty7837</v>
      </c>
      <c r="B1160" s="42" t="str">
        <f>_xlfn.XLOOKUP(A1160,Class_Players!$A:$A,Class_Players!$B:$B,"")</f>
        <v>Engineer</v>
      </c>
      <c r="C1160" s="42" t="str" cm="1">
        <f t="array" ref="C1160">INDEX(Lookups!$B$2:$B$13,MOD(ROW()-ROW($B$2),ROWS(Lookups!$B$2:$B$13))+1)</f>
        <v>M15 (Anti-Vehicle Mine)</v>
      </c>
      <c r="D1160" s="38" t="str">
        <f>_xlfn.XLOOKUP(C1160,Analysis_Gadgets!$C:$C,Analysis_Gadgets!$B:$B)</f>
        <v>Gadget</v>
      </c>
      <c r="E1160" s="43">
        <v>77</v>
      </c>
      <c r="F1160" s="43">
        <f>_xlfn.XLOOKUP(A1160,Class_Players!A:A,Class_Players!G:G)</f>
        <v>149</v>
      </c>
      <c r="G1160" s="43">
        <f t="shared" si="247"/>
        <v>0.51677852348993292</v>
      </c>
      <c r="H1160" s="43">
        <f>_xlfn.XLOOKUP(A1160,Class_Players!$A:$A,Class_Players!$F:$F,"")</f>
        <v>6734</v>
      </c>
      <c r="I1160" s="44">
        <f t="shared" si="248"/>
        <v>1.1434511434511435E-2</v>
      </c>
      <c r="J1160" s="43">
        <f t="shared" si="249"/>
        <v>0</v>
      </c>
      <c r="K1160" s="44" cm="1">
        <f t="array" ref="K1160">IF(D1160="Gadget",_xlfn.IFS(I1160&gt;=0.2,0.5,I1160&gt;=0.1,0.35,I1160&gt;=0.05,0.2,TRUE,0),IF(D1160="Grenade",_xlfn.IFS(I1160&gt;=0.2,1,I1160&gt;=0.1,0.7,I1160&gt;=0.05,0.4,TRUE,0),0))</f>
        <v>0</v>
      </c>
      <c r="L1160" s="57">
        <f t="shared" si="259"/>
        <v>0</v>
      </c>
    </row>
    <row r="1161" spans="1:12" x14ac:dyDescent="0.25">
      <c r="A1161" s="42" t="str" cm="1">
        <f t="array" ref="A1161">IFERROR(INDEX(_xlfn._xlws.FILTER(Class_Players!A:A,Class_Players!B:B="Engineer"),QUOTIENT(ROW()-ROW($A$2),12)+1),"")</f>
        <v>duty7837</v>
      </c>
      <c r="B1161" s="42" t="str">
        <f>_xlfn.XLOOKUP(A1161,Class_Players!$A:$A,Class_Players!$B:$B,"")</f>
        <v>Engineer</v>
      </c>
      <c r="C1161" s="42" t="str" cm="1">
        <f t="array" ref="C1161">INDEX(Lookups!$B$2:$B$13,MOD(ROW()-ROW($B$2),ROWS(Lookups!$B$2:$B$13))+1)</f>
        <v>PTKM-1R (Acoustic Sensor AV Mine)</v>
      </c>
      <c r="D1161" s="38" t="str">
        <f>_xlfn.XLOOKUP(C1161,Analysis_Gadgets!$C:$C,Analysis_Gadgets!$B:$B)</f>
        <v>Gadget</v>
      </c>
      <c r="E1161" s="43">
        <v>25</v>
      </c>
      <c r="F1161" s="43">
        <f>_xlfn.XLOOKUP(A1161,Class_Players!A:A,Class_Players!G:G)</f>
        <v>149</v>
      </c>
      <c r="G1161" s="43">
        <f t="shared" si="247"/>
        <v>0.16778523489932887</v>
      </c>
      <c r="H1161" s="43">
        <f>_xlfn.XLOOKUP(A1161,Class_Players!$A:$A,Class_Players!$F:$F,"")</f>
        <v>6734</v>
      </c>
      <c r="I1161" s="44">
        <f t="shared" si="248"/>
        <v>3.7125037125037125E-3</v>
      </c>
      <c r="J1161" s="43">
        <f t="shared" si="249"/>
        <v>0</v>
      </c>
      <c r="K1161" s="44" cm="1">
        <f t="array" ref="K1161">IF(D1161="Gadget",_xlfn.IFS(I1161&gt;=0.2,0.5,I1161&gt;=0.1,0.35,I1161&gt;=0.05,0.2,TRUE,0),IF(D1161="Grenade",_xlfn.IFS(I1161&gt;=0.2,1,I1161&gt;=0.1,0.7,I1161&gt;=0.05,0.4,TRUE,0),0))</f>
        <v>0</v>
      </c>
      <c r="L1161" s="57">
        <f t="shared" si="259"/>
        <v>0</v>
      </c>
    </row>
    <row r="1162" spans="1:12" x14ac:dyDescent="0.25">
      <c r="A1162" s="42" t="str" cm="1">
        <f t="array" ref="A1162">IFERROR(INDEX(_xlfn._xlws.FILTER(Class_Players!A:A,Class_Players!B:B="Engineer"),QUOTIENT(ROW()-ROW($A$2),12)+1),"")</f>
        <v>duty7837</v>
      </c>
      <c r="B1162" s="42" t="str">
        <f>_xlfn.XLOOKUP(A1162,Class_Players!$A:$A,Class_Players!$B:$B,"")</f>
        <v>Engineer</v>
      </c>
      <c r="C1162" s="42" t="str" cm="1">
        <f t="array" ref="C1162">INDEX(Lookups!$B$2:$B$13,MOD(ROW()-ROW($B$2),ROWS(Lookups!$B$2:$B$13))+1)</f>
        <v>EOD Bot</v>
      </c>
      <c r="D1162" s="38" t="str">
        <f>_xlfn.XLOOKUP(C1162,Analysis_Gadgets!$C:$C,Analysis_Gadgets!$B:$B)</f>
        <v>Gadget</v>
      </c>
      <c r="E1162" s="43">
        <v>0</v>
      </c>
      <c r="F1162" s="43">
        <f>_xlfn.XLOOKUP(A1162,Class_Players!A:A,Class_Players!G:G)</f>
        <v>149</v>
      </c>
      <c r="G1162" s="43">
        <f t="shared" ref="G1162:G1201" si="260">IF(F1162=0,"",E1162/(F1162))</f>
        <v>0</v>
      </c>
      <c r="H1162" s="43">
        <f>_xlfn.XLOOKUP(A1162,Class_Players!$A:$A,Class_Players!$F:$F,"")</f>
        <v>6734</v>
      </c>
      <c r="I1162" s="44">
        <f t="shared" ref="I1162:I1201" si="261">IF(H1162=0,"",E1162/H1162)</f>
        <v>0</v>
      </c>
      <c r="J1162" s="43">
        <f t="shared" ref="J1162:J1201" si="262">IF(I1162&gt;=0.1,1,0)</f>
        <v>0</v>
      </c>
      <c r="K1162" s="44" cm="1">
        <f t="array" ref="K1162">IF(D1162="Gadget",_xlfn.IFS(I1162&gt;=0.2,0.5,I1162&gt;=0.1,0.35,I1162&gt;=0.05,0.2,TRUE,0),IF(D1162="Grenade",_xlfn.IFS(I1162&gt;=0.2,1,I1162&gt;=0.1,0.7,I1162&gt;=0.05,0.4,TRUE,0),0))</f>
        <v>0</v>
      </c>
      <c r="L1162" s="57">
        <f t="shared" si="259"/>
        <v>0</v>
      </c>
    </row>
    <row r="1163" spans="1:12" x14ac:dyDescent="0.25">
      <c r="A1163" s="42" t="str" cm="1">
        <f t="array" ref="A1163">IFERROR(INDEX(_xlfn._xlws.FILTER(Class_Players!A:A,Class_Players!B:B="Engineer"),QUOTIENT(ROW()-ROW($A$2),12)+1),"")</f>
        <v>duty7837</v>
      </c>
      <c r="B1163" s="42" t="str">
        <f>_xlfn.XLOOKUP(A1163,Class_Players!$A:$A,Class_Players!$B:$B,"")</f>
        <v>Engineer</v>
      </c>
      <c r="C1163" s="42" t="str" cm="1">
        <f t="array" ref="C1163">INDEX(Lookups!$B$2:$B$13,MOD(ROW()-ROW($B$2),ROWS(Lookups!$B$2:$B$13))+1)</f>
        <v>M4A1 SLAM (Tripwire Sensor AV Mine)</v>
      </c>
      <c r="D1163" s="38" t="str">
        <f>_xlfn.XLOOKUP(C1163,Analysis_Gadgets!$C:$C,Analysis_Gadgets!$B:$B)</f>
        <v>Gadget</v>
      </c>
      <c r="E1163" s="43">
        <v>10</v>
      </c>
      <c r="F1163" s="43">
        <f>_xlfn.XLOOKUP(A1163,Class_Players!A:A,Class_Players!G:G)</f>
        <v>149</v>
      </c>
      <c r="G1163" s="43">
        <f t="shared" si="260"/>
        <v>6.7114093959731544E-2</v>
      </c>
      <c r="H1163" s="43">
        <f>_xlfn.XLOOKUP(A1163,Class_Players!$A:$A,Class_Players!$F:$F,"")</f>
        <v>6734</v>
      </c>
      <c r="I1163" s="44">
        <f t="shared" si="261"/>
        <v>1.4850014850014851E-3</v>
      </c>
      <c r="J1163" s="43">
        <f t="shared" si="262"/>
        <v>0</v>
      </c>
      <c r="K1163" s="44" cm="1">
        <f t="array" ref="K1163">IF(D1163="Gadget",_xlfn.IFS(I1163&gt;=0.2,0.5,I1163&gt;=0.1,0.35,I1163&gt;=0.05,0.2,TRUE,0),IF(D1163="Grenade",_xlfn.IFS(I1163&gt;=0.2,1,I1163&gt;=0.1,0.7,I1163&gt;=0.05,0.4,TRUE,0),0))</f>
        <v>0</v>
      </c>
      <c r="L1163" s="57">
        <f t="shared" si="259"/>
        <v>0</v>
      </c>
    </row>
    <row r="1164" spans="1:12" x14ac:dyDescent="0.25">
      <c r="A1164" s="42" t="str" cm="1">
        <f t="array" ref="A1164">IFERROR(INDEX(_xlfn._xlws.FILTER(Class_Players!A:A,Class_Players!B:B="Engineer"),QUOTIENT(ROW()-ROW($A$2),12)+1),"")</f>
        <v>duty7837</v>
      </c>
      <c r="B1164" s="42" t="str">
        <f>_xlfn.XLOOKUP(A1164,Class_Players!$A:$A,Class_Players!$B:$B,"")</f>
        <v>Engineer</v>
      </c>
      <c r="C1164" s="42" t="str" cm="1">
        <f t="array" ref="C1164">INDEX(Lookups!$B$2:$B$13,MOD(ROW()-ROW($B$2),ROWS(Lookups!$B$2:$B$13))+1)</f>
        <v>Mini Frag Grenade</v>
      </c>
      <c r="D1164" s="38" t="str">
        <f>_xlfn.XLOOKUP(C1164,Analysis_Gadgets!$C:$C,Analysis_Gadgets!$B:$B)</f>
        <v>Grenade</v>
      </c>
      <c r="E1164" s="43">
        <v>6</v>
      </c>
      <c r="F1164" s="43">
        <f>_xlfn.XLOOKUP(A1164,Class_Players!A:A,Class_Players!G:G)</f>
        <v>149</v>
      </c>
      <c r="G1164" s="43">
        <f t="shared" si="260"/>
        <v>4.0268456375838924E-2</v>
      </c>
      <c r="H1164" s="43">
        <f>_xlfn.XLOOKUP(A1164,Class_Players!$A:$A,Class_Players!$F:$F,"")</f>
        <v>6734</v>
      </c>
      <c r="I1164" s="44">
        <f t="shared" si="261"/>
        <v>8.9100089100089099E-4</v>
      </c>
      <c r="J1164" s="43">
        <f t="shared" si="262"/>
        <v>0</v>
      </c>
      <c r="K1164" s="44" cm="1">
        <f t="array" ref="K1164">IF(D1164="Gadget",_xlfn.IFS(I1164&gt;=0.2,0.5,I1164&gt;=0.1,0.35,I1164&gt;=0.05,0.2,TRUE,0),IF(D1164="Grenade",_xlfn.IFS(I1164&gt;=0.2,1,I1164&gt;=0.1,0.7,I1164&gt;=0.05,0.4,TRUE,0),0))</f>
        <v>0</v>
      </c>
      <c r="L1164" s="57">
        <f t="shared" ref="L1164:L1165" si="263">IF($K1164=0,0,$K1164 / SUMIFS($K:$K,$A:$A,$A1164,$D:$D,"Grenade"))</f>
        <v>0</v>
      </c>
    </row>
    <row r="1165" spans="1:12" x14ac:dyDescent="0.25">
      <c r="A1165" s="42" t="str" cm="1">
        <f t="array" ref="A1165">IFERROR(INDEX(_xlfn._xlws.FILTER(Class_Players!A:A,Class_Players!B:B="Engineer"),QUOTIENT(ROW()-ROW($A$2),12)+1),"")</f>
        <v>duty7837</v>
      </c>
      <c r="B1165" s="42" t="str">
        <f>_xlfn.XLOOKUP(A1165,Class_Players!$A:$A,Class_Players!$B:$B,"")</f>
        <v>Engineer</v>
      </c>
      <c r="C1165" s="42" t="str" cm="1">
        <f t="array" ref="C1165">INDEX(Lookups!$B$2:$B$13,MOD(ROW()-ROW($B$2),ROWS(Lookups!$B$2:$B$13))+1)</f>
        <v>Anti-Vehicle Grenade</v>
      </c>
      <c r="D1165" s="38" t="str">
        <f>_xlfn.XLOOKUP(C1165,Analysis_Gadgets!$C:$C,Analysis_Gadgets!$B:$B)</f>
        <v>Grenade</v>
      </c>
      <c r="E1165" s="43">
        <v>0</v>
      </c>
      <c r="F1165" s="43">
        <f>_xlfn.XLOOKUP(A1165,Class_Players!A:A,Class_Players!G:G)</f>
        <v>149</v>
      </c>
      <c r="G1165" s="43">
        <f t="shared" si="260"/>
        <v>0</v>
      </c>
      <c r="H1165" s="43">
        <f>_xlfn.XLOOKUP(A1165,Class_Players!$A:$A,Class_Players!$F:$F,"")</f>
        <v>6734</v>
      </c>
      <c r="I1165" s="44">
        <f t="shared" si="261"/>
        <v>0</v>
      </c>
      <c r="J1165" s="43">
        <f t="shared" si="262"/>
        <v>0</v>
      </c>
      <c r="K1165" s="44" cm="1">
        <f t="array" ref="K1165">IF(D1165="Gadget",_xlfn.IFS(I1165&gt;=0.2,0.5,I1165&gt;=0.1,0.35,I1165&gt;=0.05,0.2,TRUE,0),IF(D1165="Grenade",_xlfn.IFS(I1165&gt;=0.2,1,I1165&gt;=0.1,0.7,I1165&gt;=0.05,0.4,TRUE,0),0))</f>
        <v>0</v>
      </c>
      <c r="L1165" s="57">
        <f t="shared" si="263"/>
        <v>0</v>
      </c>
    </row>
    <row r="1166" spans="1:12" x14ac:dyDescent="0.25">
      <c r="A1166" s="42" t="str" cm="1">
        <f t="array" ref="A1166">IFERROR(INDEX(_xlfn._xlws.FILTER(Class_Players!A:A,Class_Players!B:B="Engineer"),QUOTIENT(ROW()-ROW($A$2),12)+1),"")</f>
        <v>thredzzzz</v>
      </c>
      <c r="B1166" s="42" t="str">
        <f>_xlfn.XLOOKUP(A1166,Class_Players!$A:$A,Class_Players!$B:$B,"")</f>
        <v>Engineer</v>
      </c>
      <c r="C1166" s="42" t="str" cm="1">
        <f t="array" ref="C1166">INDEX(Lookups!$B$2:$B$13,MOD(ROW()-ROW($B$2),ROWS(Lookups!$B$2:$B$13))+1)</f>
        <v>MBT-LAW (Auto-Guided Launcher)</v>
      </c>
      <c r="D1166" s="38" t="str">
        <f>_xlfn.XLOOKUP(C1166,Analysis_Gadgets!$C:$C,Analysis_Gadgets!$B:$B)</f>
        <v>Gadget</v>
      </c>
      <c r="E1166" s="43">
        <v>0</v>
      </c>
      <c r="F1166" s="43">
        <f>_xlfn.XLOOKUP(A1166,Class_Players!A:A,Class_Players!G:G)</f>
        <v>214</v>
      </c>
      <c r="G1166" s="43">
        <f t="shared" si="260"/>
        <v>0</v>
      </c>
      <c r="H1166" s="43">
        <f>_xlfn.XLOOKUP(A1166,Class_Players!$A:$A,Class_Players!$F:$F,"")</f>
        <v>6831</v>
      </c>
      <c r="I1166" s="44">
        <f t="shared" si="261"/>
        <v>0</v>
      </c>
      <c r="J1166" s="43">
        <f t="shared" si="262"/>
        <v>0</v>
      </c>
      <c r="K1166" s="44" cm="1">
        <f t="array" ref="K1166">IF(D1166="Gadget",_xlfn.IFS(I1166&gt;=0.2,0.5,I1166&gt;=0.1,0.35,I1166&gt;=0.05,0.2,TRUE,0),IF(D1166="Grenade",_xlfn.IFS(I1166&gt;=0.2,1,I1166&gt;=0.1,0.7,I1166&gt;=0.05,0.4,TRUE,0),0))</f>
        <v>0</v>
      </c>
      <c r="L1166" s="57">
        <f t="shared" ref="L1166:L1175" si="264">IF($K1166=0,0,$K1166 / SUMIFS($K:$K,$A:$A,$A1166,$D:$D,"Gadget"))</f>
        <v>0</v>
      </c>
    </row>
    <row r="1167" spans="1:12" x14ac:dyDescent="0.25">
      <c r="A1167" s="42" t="str" cm="1">
        <f t="array" ref="A1167">IFERROR(INDEX(_xlfn._xlws.FILTER(Class_Players!A:A,Class_Players!B:B="Engineer"),QUOTIENT(ROW()-ROW($A$2),12)+1),"")</f>
        <v>thredzzzz</v>
      </c>
      <c r="B1167" s="42" t="str">
        <f>_xlfn.XLOOKUP(A1167,Class_Players!$A:$A,Class_Players!$B:$B,"")</f>
        <v>Engineer</v>
      </c>
      <c r="C1167" s="42" t="str" cm="1">
        <f t="array" ref="C1167">INDEX(Lookups!$B$2:$B$13,MOD(ROW()-ROW($B$2),ROWS(Lookups!$B$2:$B$13))+1)</f>
        <v>SLM-93A (Air-Defense Launcher)</v>
      </c>
      <c r="D1167" s="38" t="str">
        <f>_xlfn.XLOOKUP(C1167,Analysis_Gadgets!$C:$C,Analysis_Gadgets!$B:$B)</f>
        <v>Gadget</v>
      </c>
      <c r="E1167" s="43">
        <v>29</v>
      </c>
      <c r="F1167" s="43">
        <f>_xlfn.XLOOKUP(A1167,Class_Players!A:A,Class_Players!G:G)</f>
        <v>214</v>
      </c>
      <c r="G1167" s="43">
        <f t="shared" si="260"/>
        <v>0.13551401869158877</v>
      </c>
      <c r="H1167" s="43">
        <f>_xlfn.XLOOKUP(A1167,Class_Players!$A:$A,Class_Players!$F:$F,"")</f>
        <v>6831</v>
      </c>
      <c r="I1167" s="44">
        <f t="shared" si="261"/>
        <v>4.2453520714390283E-3</v>
      </c>
      <c r="J1167" s="43">
        <f t="shared" si="262"/>
        <v>0</v>
      </c>
      <c r="K1167" s="44" cm="1">
        <f t="array" ref="K1167">IF(D1167="Gadget",_xlfn.IFS(I1167&gt;=0.2,0.5,I1167&gt;=0.1,0.35,I1167&gt;=0.05,0.2,TRUE,0),IF(D1167="Grenade",_xlfn.IFS(I1167&gt;=0.2,1,I1167&gt;=0.1,0.7,I1167&gt;=0.05,0.4,TRUE,0),0))</f>
        <v>0</v>
      </c>
      <c r="L1167" s="57">
        <f t="shared" si="264"/>
        <v>0</v>
      </c>
    </row>
    <row r="1168" spans="1:12" x14ac:dyDescent="0.25">
      <c r="A1168" s="42" t="str" cm="1">
        <f t="array" ref="A1168">IFERROR(INDEX(_xlfn._xlws.FILTER(Class_Players!A:A,Class_Players!B:B="Engineer"),QUOTIENT(ROW()-ROW($A$2),12)+1),"")</f>
        <v>thredzzzz</v>
      </c>
      <c r="B1168" s="42" t="str">
        <f>_xlfn.XLOOKUP(A1168,Class_Players!$A:$A,Class_Players!$B:$B,"")</f>
        <v>Engineer</v>
      </c>
      <c r="C1168" s="42" t="str" cm="1">
        <f t="array" ref="C1168">INDEX(Lookups!$B$2:$B$13,MOD(ROW()-ROW($B$2),ROWS(Lookups!$B$2:$B$13))+1)</f>
        <v>RPG-7V2 (Unguided Rocket Launcher)</v>
      </c>
      <c r="D1168" s="38" t="str">
        <f>_xlfn.XLOOKUP(C1168,Analysis_Gadgets!$C:$C,Analysis_Gadgets!$B:$B)</f>
        <v>Gadget</v>
      </c>
      <c r="E1168" s="43">
        <v>6532</v>
      </c>
      <c r="F1168" s="43">
        <f>_xlfn.XLOOKUP(A1168,Class_Players!A:A,Class_Players!G:G)</f>
        <v>214</v>
      </c>
      <c r="G1168" s="43">
        <f t="shared" si="260"/>
        <v>30.523364485981308</v>
      </c>
      <c r="H1168" s="43">
        <f>_xlfn.XLOOKUP(A1168,Class_Players!$A:$A,Class_Players!$F:$F,"")</f>
        <v>6831</v>
      </c>
      <c r="I1168" s="44">
        <f t="shared" si="261"/>
        <v>0.95622895622895621</v>
      </c>
      <c r="J1168" s="43">
        <f t="shared" si="262"/>
        <v>1</v>
      </c>
      <c r="K1168" s="44" cm="1">
        <f t="array" ref="K1168">IF(D1168="Gadget",_xlfn.IFS(I1168&gt;=0.2,0.5,I1168&gt;=0.1,0.35,I1168&gt;=0.05,0.2,TRUE,0),IF(D1168="Grenade",_xlfn.IFS(I1168&gt;=0.2,1,I1168&gt;=0.1,0.7,I1168&gt;=0.05,0.4,TRUE,0),0))</f>
        <v>0.5</v>
      </c>
      <c r="L1168" s="57">
        <f t="shared" si="264"/>
        <v>0.5</v>
      </c>
    </row>
    <row r="1169" spans="1:12" x14ac:dyDescent="0.25">
      <c r="A1169" s="42" t="str" cm="1">
        <f t="array" ref="A1169">IFERROR(INDEX(_xlfn._xlws.FILTER(Class_Players!A:A,Class_Players!B:B="Engineer"),QUOTIENT(ROW()-ROW($A$2),12)+1),"")</f>
        <v>thredzzzz</v>
      </c>
      <c r="B1169" s="42" t="str">
        <f>_xlfn.XLOOKUP(A1169,Class_Players!$A:$A,Class_Players!$B:$B,"")</f>
        <v>Engineer</v>
      </c>
      <c r="C1169" s="42" t="str" cm="1">
        <f t="array" ref="C1169">INDEX(Lookups!$B$2:$B$13,MOD(ROW()-ROW($B$2),ROWS(Lookups!$B$2:$B$13))+1)</f>
        <v>MAS 148 (Long-Range Launcher)</v>
      </c>
      <c r="D1169" s="38" t="str">
        <f>_xlfn.XLOOKUP(C1169,Analysis_Gadgets!$C:$C,Analysis_Gadgets!$B:$B)</f>
        <v>Gadget</v>
      </c>
      <c r="E1169" s="43">
        <v>26</v>
      </c>
      <c r="F1169" s="43">
        <f>_xlfn.XLOOKUP(A1169,Class_Players!A:A,Class_Players!G:G)</f>
        <v>214</v>
      </c>
      <c r="G1169" s="43">
        <f t="shared" si="260"/>
        <v>0.12149532710280374</v>
      </c>
      <c r="H1169" s="43">
        <f>_xlfn.XLOOKUP(A1169,Class_Players!$A:$A,Class_Players!$F:$F,"")</f>
        <v>6831</v>
      </c>
      <c r="I1169" s="44">
        <f t="shared" si="261"/>
        <v>3.8061777192211974E-3</v>
      </c>
      <c r="J1169" s="43">
        <f t="shared" si="262"/>
        <v>0</v>
      </c>
      <c r="K1169" s="44" cm="1">
        <f t="array" ref="K1169">IF(D1169="Gadget",_xlfn.IFS(I1169&gt;=0.2,0.5,I1169&gt;=0.1,0.35,I1169&gt;=0.05,0.2,TRUE,0),IF(D1169="Grenade",_xlfn.IFS(I1169&gt;=0.2,1,I1169&gt;=0.1,0.7,I1169&gt;=0.05,0.4,TRUE,0),0))</f>
        <v>0</v>
      </c>
      <c r="L1169" s="57">
        <f t="shared" si="264"/>
        <v>0</v>
      </c>
    </row>
    <row r="1170" spans="1:12" x14ac:dyDescent="0.25">
      <c r="A1170" s="42" t="str" cm="1">
        <f t="array" ref="A1170">IFERROR(INDEX(_xlfn._xlws.FILTER(Class_Players!A:A,Class_Players!B:B="Engineer"),QUOTIENT(ROW()-ROW($A$2),12)+1),"")</f>
        <v>thredzzzz</v>
      </c>
      <c r="B1170" s="42" t="str">
        <f>_xlfn.XLOOKUP(A1170,Class_Players!$A:$A,Class_Players!$B:$B,"")</f>
        <v>Engineer</v>
      </c>
      <c r="C1170" s="42" t="str" cm="1">
        <f t="array" ref="C1170">INDEX(Lookups!$B$2:$B$13,MOD(ROW()-ROW($B$2),ROWS(Lookups!$B$2:$B$13))+1)</f>
        <v>M136 AT (Aim-Guided Launcher)</v>
      </c>
      <c r="D1170" s="38" t="str">
        <f>_xlfn.XLOOKUP(C1170,Analysis_Gadgets!$C:$C,Analysis_Gadgets!$B:$B)</f>
        <v>Gadget</v>
      </c>
      <c r="E1170" s="43">
        <v>124</v>
      </c>
      <c r="F1170" s="43">
        <f>_xlfn.XLOOKUP(A1170,Class_Players!A:A,Class_Players!G:G)</f>
        <v>214</v>
      </c>
      <c r="G1170" s="43">
        <f t="shared" si="260"/>
        <v>0.57943925233644855</v>
      </c>
      <c r="H1170" s="43">
        <f>_xlfn.XLOOKUP(A1170,Class_Players!$A:$A,Class_Players!$F:$F,"")</f>
        <v>6831</v>
      </c>
      <c r="I1170" s="44">
        <f t="shared" si="261"/>
        <v>1.8152539891670327E-2</v>
      </c>
      <c r="J1170" s="43">
        <f t="shared" si="262"/>
        <v>0</v>
      </c>
      <c r="K1170" s="44" cm="1">
        <f t="array" ref="K1170">IF(D1170="Gadget",_xlfn.IFS(I1170&gt;=0.2,0.5,I1170&gt;=0.1,0.35,I1170&gt;=0.05,0.2,TRUE,0),IF(D1170="Grenade",_xlfn.IFS(I1170&gt;=0.2,1,I1170&gt;=0.1,0.7,I1170&gt;=0.05,0.4,TRUE,0),0))</f>
        <v>0</v>
      </c>
      <c r="L1170" s="57">
        <f t="shared" si="264"/>
        <v>0</v>
      </c>
    </row>
    <row r="1171" spans="1:12" x14ac:dyDescent="0.25">
      <c r="A1171" s="42" t="str" cm="1">
        <f t="array" ref="A1171">IFERROR(INDEX(_xlfn._xlws.FILTER(Class_Players!A:A,Class_Players!B:B="Engineer"),QUOTIENT(ROW()-ROW($A$2),12)+1),"")</f>
        <v>thredzzzz</v>
      </c>
      <c r="B1171" s="42" t="str">
        <f>_xlfn.XLOOKUP(A1171,Class_Players!$A:$A,Class_Players!$B:$B,"")</f>
        <v>Engineer</v>
      </c>
      <c r="C1171" s="42" t="str" cm="1">
        <f t="array" ref="C1171">INDEX(Lookups!$B$2:$B$13,MOD(ROW()-ROW($B$2),ROWS(Lookups!$B$2:$B$13))+1)</f>
        <v>Supply Crate</v>
      </c>
      <c r="D1171" s="38" t="str">
        <f>_xlfn.XLOOKUP(C1171,Analysis_Gadgets!$C:$C,Analysis_Gadgets!$B:$B)</f>
        <v>Gadget</v>
      </c>
      <c r="E1171" s="43">
        <v>5</v>
      </c>
      <c r="F1171" s="43">
        <f>_xlfn.XLOOKUP(A1171,Class_Players!A:A,Class_Players!G:G)</f>
        <v>214</v>
      </c>
      <c r="G1171" s="43">
        <f t="shared" si="260"/>
        <v>2.336448598130841E-2</v>
      </c>
      <c r="H1171" s="43">
        <f>_xlfn.XLOOKUP(A1171,Class_Players!$A:$A,Class_Players!$F:$F,"")</f>
        <v>6831</v>
      </c>
      <c r="I1171" s="44">
        <f t="shared" si="261"/>
        <v>7.3195725369638409E-4</v>
      </c>
      <c r="J1171" s="43">
        <f t="shared" si="262"/>
        <v>0</v>
      </c>
      <c r="K1171" s="44" cm="1">
        <f t="array" ref="K1171">IF(D1171="Gadget",_xlfn.IFS(I1171&gt;=0.2,0.5,I1171&gt;=0.1,0.35,I1171&gt;=0.05,0.2,TRUE,0),IF(D1171="Grenade",_xlfn.IFS(I1171&gt;=0.2,1,I1171&gt;=0.1,0.7,I1171&gt;=0.05,0.4,TRUE,0),0))</f>
        <v>0</v>
      </c>
      <c r="L1171" s="57">
        <f t="shared" si="264"/>
        <v>0</v>
      </c>
    </row>
    <row r="1172" spans="1:12" x14ac:dyDescent="0.25">
      <c r="A1172" s="42" t="str" cm="1">
        <f t="array" ref="A1172">IFERROR(INDEX(_xlfn._xlws.FILTER(Class_Players!A:A,Class_Players!B:B="Engineer"),QUOTIENT(ROW()-ROW($A$2),12)+1),"")</f>
        <v>thredzzzz</v>
      </c>
      <c r="B1172" s="42" t="str">
        <f>_xlfn.XLOOKUP(A1172,Class_Players!$A:$A,Class_Players!$B:$B,"")</f>
        <v>Engineer</v>
      </c>
      <c r="C1172" s="42" t="str" cm="1">
        <f t="array" ref="C1172">INDEX(Lookups!$B$2:$B$13,MOD(ROW()-ROW($B$2),ROWS(Lookups!$B$2:$B$13))+1)</f>
        <v>M15 (Anti-Vehicle Mine)</v>
      </c>
      <c r="D1172" s="38" t="str">
        <f>_xlfn.XLOOKUP(C1172,Analysis_Gadgets!$C:$C,Analysis_Gadgets!$B:$B)</f>
        <v>Gadget</v>
      </c>
      <c r="E1172" s="43">
        <v>3392</v>
      </c>
      <c r="F1172" s="43">
        <f>_xlfn.XLOOKUP(A1172,Class_Players!A:A,Class_Players!G:G)</f>
        <v>214</v>
      </c>
      <c r="G1172" s="43">
        <f t="shared" si="260"/>
        <v>15.850467289719626</v>
      </c>
      <c r="H1172" s="43">
        <f>_xlfn.XLOOKUP(A1172,Class_Players!$A:$A,Class_Players!$F:$F,"")</f>
        <v>6831</v>
      </c>
      <c r="I1172" s="44">
        <f t="shared" si="261"/>
        <v>0.49655980090762697</v>
      </c>
      <c r="J1172" s="43">
        <f t="shared" si="262"/>
        <v>1</v>
      </c>
      <c r="K1172" s="44" cm="1">
        <f t="array" ref="K1172">IF(D1172="Gadget",_xlfn.IFS(I1172&gt;=0.2,0.5,I1172&gt;=0.1,0.35,I1172&gt;=0.05,0.2,TRUE,0),IF(D1172="Grenade",_xlfn.IFS(I1172&gt;=0.2,1,I1172&gt;=0.1,0.7,I1172&gt;=0.05,0.4,TRUE,0),0))</f>
        <v>0.5</v>
      </c>
      <c r="L1172" s="57">
        <f t="shared" si="264"/>
        <v>0.5</v>
      </c>
    </row>
    <row r="1173" spans="1:12" x14ac:dyDescent="0.25">
      <c r="A1173" s="42" t="str" cm="1">
        <f t="array" ref="A1173">IFERROR(INDEX(_xlfn._xlws.FILTER(Class_Players!A:A,Class_Players!B:B="Engineer"),QUOTIENT(ROW()-ROW($A$2),12)+1),"")</f>
        <v>thredzzzz</v>
      </c>
      <c r="B1173" s="42" t="str">
        <f>_xlfn.XLOOKUP(A1173,Class_Players!$A:$A,Class_Players!$B:$B,"")</f>
        <v>Engineer</v>
      </c>
      <c r="C1173" s="42" t="str" cm="1">
        <f t="array" ref="C1173">INDEX(Lookups!$B$2:$B$13,MOD(ROW()-ROW($B$2),ROWS(Lookups!$B$2:$B$13))+1)</f>
        <v>PTKM-1R (Acoustic Sensor AV Mine)</v>
      </c>
      <c r="D1173" s="38" t="str">
        <f>_xlfn.XLOOKUP(C1173,Analysis_Gadgets!$C:$C,Analysis_Gadgets!$B:$B)</f>
        <v>Gadget</v>
      </c>
      <c r="E1173" s="43">
        <v>40</v>
      </c>
      <c r="F1173" s="43">
        <f>_xlfn.XLOOKUP(A1173,Class_Players!A:A,Class_Players!G:G)</f>
        <v>214</v>
      </c>
      <c r="G1173" s="43">
        <f t="shared" si="260"/>
        <v>0.18691588785046728</v>
      </c>
      <c r="H1173" s="43">
        <f>_xlfn.XLOOKUP(A1173,Class_Players!$A:$A,Class_Players!$F:$F,"")</f>
        <v>6831</v>
      </c>
      <c r="I1173" s="44">
        <f t="shared" si="261"/>
        <v>5.8556580295710727E-3</v>
      </c>
      <c r="J1173" s="43">
        <f t="shared" si="262"/>
        <v>0</v>
      </c>
      <c r="K1173" s="44" cm="1">
        <f t="array" ref="K1173">IF(D1173="Gadget",_xlfn.IFS(I1173&gt;=0.2,0.5,I1173&gt;=0.1,0.35,I1173&gt;=0.05,0.2,TRUE,0),IF(D1173="Grenade",_xlfn.IFS(I1173&gt;=0.2,1,I1173&gt;=0.1,0.7,I1173&gt;=0.05,0.4,TRUE,0),0))</f>
        <v>0</v>
      </c>
      <c r="L1173" s="57">
        <f t="shared" si="264"/>
        <v>0</v>
      </c>
    </row>
    <row r="1174" spans="1:12" x14ac:dyDescent="0.25">
      <c r="A1174" s="42" t="str" cm="1">
        <f t="array" ref="A1174">IFERROR(INDEX(_xlfn._xlws.FILTER(Class_Players!A:A,Class_Players!B:B="Engineer"),QUOTIENT(ROW()-ROW($A$2),12)+1),"")</f>
        <v>thredzzzz</v>
      </c>
      <c r="B1174" s="42" t="str">
        <f>_xlfn.XLOOKUP(A1174,Class_Players!$A:$A,Class_Players!$B:$B,"")</f>
        <v>Engineer</v>
      </c>
      <c r="C1174" s="42" t="str" cm="1">
        <f t="array" ref="C1174">INDEX(Lookups!$B$2:$B$13,MOD(ROW()-ROW($B$2),ROWS(Lookups!$B$2:$B$13))+1)</f>
        <v>EOD Bot</v>
      </c>
      <c r="D1174" s="38" t="str">
        <f>_xlfn.XLOOKUP(C1174,Analysis_Gadgets!$C:$C,Analysis_Gadgets!$B:$B)</f>
        <v>Gadget</v>
      </c>
      <c r="E1174" s="43">
        <v>3</v>
      </c>
      <c r="F1174" s="43">
        <f>_xlfn.XLOOKUP(A1174,Class_Players!A:A,Class_Players!G:G)</f>
        <v>214</v>
      </c>
      <c r="G1174" s="43">
        <f t="shared" si="260"/>
        <v>1.4018691588785047E-2</v>
      </c>
      <c r="H1174" s="43">
        <f>_xlfn.XLOOKUP(A1174,Class_Players!$A:$A,Class_Players!$F:$F,"")</f>
        <v>6831</v>
      </c>
      <c r="I1174" s="44">
        <f t="shared" si="261"/>
        <v>4.391743522178305E-4</v>
      </c>
      <c r="J1174" s="43">
        <f t="shared" si="262"/>
        <v>0</v>
      </c>
      <c r="K1174" s="44" cm="1">
        <f t="array" ref="K1174">IF(D1174="Gadget",_xlfn.IFS(I1174&gt;=0.2,0.5,I1174&gt;=0.1,0.35,I1174&gt;=0.05,0.2,TRUE,0),IF(D1174="Grenade",_xlfn.IFS(I1174&gt;=0.2,1,I1174&gt;=0.1,0.7,I1174&gt;=0.05,0.4,TRUE,0),0))</f>
        <v>0</v>
      </c>
      <c r="L1174" s="57">
        <f t="shared" si="264"/>
        <v>0</v>
      </c>
    </row>
    <row r="1175" spans="1:12" x14ac:dyDescent="0.25">
      <c r="A1175" s="42" t="str" cm="1">
        <f t="array" ref="A1175">IFERROR(INDEX(_xlfn._xlws.FILTER(Class_Players!A:A,Class_Players!B:B="Engineer"),QUOTIENT(ROW()-ROW($A$2),12)+1),"")</f>
        <v>thredzzzz</v>
      </c>
      <c r="B1175" s="42" t="str">
        <f>_xlfn.XLOOKUP(A1175,Class_Players!$A:$A,Class_Players!$B:$B,"")</f>
        <v>Engineer</v>
      </c>
      <c r="C1175" s="42" t="str" cm="1">
        <f t="array" ref="C1175">INDEX(Lookups!$B$2:$B$13,MOD(ROW()-ROW($B$2),ROWS(Lookups!$B$2:$B$13))+1)</f>
        <v>M4A1 SLAM (Tripwire Sensor AV Mine)</v>
      </c>
      <c r="D1175" s="38" t="str">
        <f>_xlfn.XLOOKUP(C1175,Analysis_Gadgets!$C:$C,Analysis_Gadgets!$B:$B)</f>
        <v>Gadget</v>
      </c>
      <c r="E1175" s="43">
        <v>74</v>
      </c>
      <c r="F1175" s="43">
        <f>_xlfn.XLOOKUP(A1175,Class_Players!A:A,Class_Players!G:G)</f>
        <v>214</v>
      </c>
      <c r="G1175" s="43">
        <f t="shared" si="260"/>
        <v>0.34579439252336447</v>
      </c>
      <c r="H1175" s="43">
        <f>_xlfn.XLOOKUP(A1175,Class_Players!$A:$A,Class_Players!$F:$F,"")</f>
        <v>6831</v>
      </c>
      <c r="I1175" s="44">
        <f t="shared" si="261"/>
        <v>1.0832967354706485E-2</v>
      </c>
      <c r="J1175" s="43">
        <f t="shared" si="262"/>
        <v>0</v>
      </c>
      <c r="K1175" s="44" cm="1">
        <f t="array" ref="K1175">IF(D1175="Gadget",_xlfn.IFS(I1175&gt;=0.2,0.5,I1175&gt;=0.1,0.35,I1175&gt;=0.05,0.2,TRUE,0),IF(D1175="Grenade",_xlfn.IFS(I1175&gt;=0.2,1,I1175&gt;=0.1,0.7,I1175&gt;=0.05,0.4,TRUE,0),0))</f>
        <v>0</v>
      </c>
      <c r="L1175" s="57">
        <f t="shared" si="264"/>
        <v>0</v>
      </c>
    </row>
    <row r="1176" spans="1:12" x14ac:dyDescent="0.25">
      <c r="A1176" s="42" t="str" cm="1">
        <f t="array" ref="A1176">IFERROR(INDEX(_xlfn._xlws.FILTER(Class_Players!A:A,Class_Players!B:B="Engineer"),QUOTIENT(ROW()-ROW($A$2),12)+1),"")</f>
        <v>thredzzzz</v>
      </c>
      <c r="B1176" s="42" t="str">
        <f>_xlfn.XLOOKUP(A1176,Class_Players!$A:$A,Class_Players!$B:$B,"")</f>
        <v>Engineer</v>
      </c>
      <c r="C1176" s="42" t="str" cm="1">
        <f t="array" ref="C1176">INDEX(Lookups!$B$2:$B$13,MOD(ROW()-ROW($B$2),ROWS(Lookups!$B$2:$B$13))+1)</f>
        <v>Mini Frag Grenade</v>
      </c>
      <c r="D1176" s="38" t="str">
        <f>_xlfn.XLOOKUP(C1176,Analysis_Gadgets!$C:$C,Analysis_Gadgets!$B:$B)</f>
        <v>Grenade</v>
      </c>
      <c r="E1176" s="43">
        <v>123</v>
      </c>
      <c r="F1176" s="43">
        <f>_xlfn.XLOOKUP(A1176,Class_Players!A:A,Class_Players!G:G)</f>
        <v>214</v>
      </c>
      <c r="G1176" s="43">
        <f t="shared" si="260"/>
        <v>0.57476635514018692</v>
      </c>
      <c r="H1176" s="43">
        <f>_xlfn.XLOOKUP(A1176,Class_Players!$A:$A,Class_Players!$F:$F,"")</f>
        <v>6831</v>
      </c>
      <c r="I1176" s="44">
        <f t="shared" si="261"/>
        <v>1.8006148440931048E-2</v>
      </c>
      <c r="J1176" s="43">
        <f t="shared" si="262"/>
        <v>0</v>
      </c>
      <c r="K1176" s="44" cm="1">
        <f t="array" ref="K1176">IF(D1176="Gadget",_xlfn.IFS(I1176&gt;=0.2,0.5,I1176&gt;=0.1,0.35,I1176&gt;=0.05,0.2,TRUE,0),IF(D1176="Grenade",_xlfn.IFS(I1176&gt;=0.2,1,I1176&gt;=0.1,0.7,I1176&gt;=0.05,0.4,TRUE,0),0))</f>
        <v>0</v>
      </c>
      <c r="L1176" s="57">
        <f t="shared" ref="L1176:L1177" si="265">IF($K1176=0,0,$K1176 / SUMIFS($K:$K,$A:$A,$A1176,$D:$D,"Grenade"))</f>
        <v>0</v>
      </c>
    </row>
    <row r="1177" spans="1:12" x14ac:dyDescent="0.25">
      <c r="A1177" s="42" t="str" cm="1">
        <f t="array" ref="A1177">IFERROR(INDEX(_xlfn._xlws.FILTER(Class_Players!A:A,Class_Players!B:B="Engineer"),QUOTIENT(ROW()-ROW($A$2),12)+1),"")</f>
        <v>thredzzzz</v>
      </c>
      <c r="B1177" s="42" t="str">
        <f>_xlfn.XLOOKUP(A1177,Class_Players!$A:$A,Class_Players!$B:$B,"")</f>
        <v>Engineer</v>
      </c>
      <c r="C1177" s="42" t="str" cm="1">
        <f t="array" ref="C1177">INDEX(Lookups!$B$2:$B$13,MOD(ROW()-ROW($B$2),ROWS(Lookups!$B$2:$B$13))+1)</f>
        <v>Anti-Vehicle Grenade</v>
      </c>
      <c r="D1177" s="38" t="str">
        <f>_xlfn.XLOOKUP(C1177,Analysis_Gadgets!$C:$C,Analysis_Gadgets!$B:$B)</f>
        <v>Grenade</v>
      </c>
      <c r="E1177" s="43">
        <v>0</v>
      </c>
      <c r="F1177" s="43">
        <f>_xlfn.XLOOKUP(A1177,Class_Players!A:A,Class_Players!G:G)</f>
        <v>214</v>
      </c>
      <c r="G1177" s="43">
        <f t="shared" si="260"/>
        <v>0</v>
      </c>
      <c r="H1177" s="43">
        <f>_xlfn.XLOOKUP(A1177,Class_Players!$A:$A,Class_Players!$F:$F,"")</f>
        <v>6831</v>
      </c>
      <c r="I1177" s="44">
        <f t="shared" si="261"/>
        <v>0</v>
      </c>
      <c r="J1177" s="43">
        <f t="shared" si="262"/>
        <v>0</v>
      </c>
      <c r="K1177" s="44" cm="1">
        <f t="array" ref="K1177">IF(D1177="Gadget",_xlfn.IFS(I1177&gt;=0.2,0.5,I1177&gt;=0.1,0.35,I1177&gt;=0.05,0.2,TRUE,0),IF(D1177="Grenade",_xlfn.IFS(I1177&gt;=0.2,1,I1177&gt;=0.1,0.7,I1177&gt;=0.05,0.4,TRUE,0),0))</f>
        <v>0</v>
      </c>
      <c r="L1177" s="57">
        <f t="shared" si="265"/>
        <v>0</v>
      </c>
    </row>
    <row r="1178" spans="1:12" x14ac:dyDescent="0.25">
      <c r="A1178" s="42" t="str" cm="1">
        <f t="array" ref="A1178">IFERROR(INDEX(_xlfn._xlws.FILTER(Class_Players!A:A,Class_Players!B:B="Engineer"),QUOTIENT(ROW()-ROW($A$2),12)+1),"")</f>
        <v>MD-Trooper1984</v>
      </c>
      <c r="B1178" s="42" t="str">
        <f>_xlfn.XLOOKUP(A1178,Class_Players!$A:$A,Class_Players!$B:$B,"")</f>
        <v>Engineer</v>
      </c>
      <c r="C1178" s="42" t="str" cm="1">
        <f t="array" ref="C1178">INDEX(Lookups!$B$2:$B$13,MOD(ROW()-ROW($B$2),ROWS(Lookups!$B$2:$B$13))+1)</f>
        <v>MBT-LAW (Auto-Guided Launcher)</v>
      </c>
      <c r="D1178" s="38" t="str">
        <f>_xlfn.XLOOKUP(C1178,Analysis_Gadgets!$C:$C,Analysis_Gadgets!$B:$B)</f>
        <v>Gadget</v>
      </c>
      <c r="E1178" s="43">
        <v>0</v>
      </c>
      <c r="F1178" s="43">
        <f>_xlfn.XLOOKUP(A1178,Class_Players!A:A,Class_Players!G:G)</f>
        <v>150</v>
      </c>
      <c r="G1178" s="43">
        <f t="shared" si="260"/>
        <v>0</v>
      </c>
      <c r="H1178" s="43">
        <f>_xlfn.XLOOKUP(A1178,Class_Players!$A:$A,Class_Players!$F:$F,"")</f>
        <v>7061</v>
      </c>
      <c r="I1178" s="44">
        <f t="shared" si="261"/>
        <v>0</v>
      </c>
      <c r="J1178" s="43">
        <f t="shared" si="262"/>
        <v>0</v>
      </c>
      <c r="K1178" s="44" cm="1">
        <f t="array" ref="K1178">IF(D1178="Gadget",_xlfn.IFS(I1178&gt;=0.2,0.5,I1178&gt;=0.1,0.35,I1178&gt;=0.05,0.2,TRUE,0),IF(D1178="Grenade",_xlfn.IFS(I1178&gt;=0.2,1,I1178&gt;=0.1,0.7,I1178&gt;=0.05,0.4,TRUE,0),0))</f>
        <v>0</v>
      </c>
      <c r="L1178" s="57">
        <f t="shared" ref="L1178:L1187" si="266">IF($K1178=0,0,$K1178 / SUMIFS($K:$K,$A:$A,$A1178,$D:$D,"Gadget"))</f>
        <v>0</v>
      </c>
    </row>
    <row r="1179" spans="1:12" x14ac:dyDescent="0.25">
      <c r="A1179" s="42" t="str" cm="1">
        <f t="array" ref="A1179">IFERROR(INDEX(_xlfn._xlws.FILTER(Class_Players!A:A,Class_Players!B:B="Engineer"),QUOTIENT(ROW()-ROW($A$2),12)+1),"")</f>
        <v>MD-Trooper1984</v>
      </c>
      <c r="B1179" s="42" t="str">
        <f>_xlfn.XLOOKUP(A1179,Class_Players!$A:$A,Class_Players!$B:$B,"")</f>
        <v>Engineer</v>
      </c>
      <c r="C1179" s="42" t="str" cm="1">
        <f t="array" ref="C1179">INDEX(Lookups!$B$2:$B$13,MOD(ROW()-ROW($B$2),ROWS(Lookups!$B$2:$B$13))+1)</f>
        <v>SLM-93A (Air-Defense Launcher)</v>
      </c>
      <c r="D1179" s="38" t="str">
        <f>_xlfn.XLOOKUP(C1179,Analysis_Gadgets!$C:$C,Analysis_Gadgets!$B:$B)</f>
        <v>Gadget</v>
      </c>
      <c r="E1179" s="43">
        <v>0</v>
      </c>
      <c r="F1179" s="43">
        <f>_xlfn.XLOOKUP(A1179,Class_Players!A:A,Class_Players!G:G)</f>
        <v>150</v>
      </c>
      <c r="G1179" s="43">
        <f t="shared" si="260"/>
        <v>0</v>
      </c>
      <c r="H1179" s="43">
        <f>_xlfn.XLOOKUP(A1179,Class_Players!$A:$A,Class_Players!$F:$F,"")</f>
        <v>7061</v>
      </c>
      <c r="I1179" s="44">
        <f t="shared" si="261"/>
        <v>0</v>
      </c>
      <c r="J1179" s="43">
        <f t="shared" si="262"/>
        <v>0</v>
      </c>
      <c r="K1179" s="44" cm="1">
        <f t="array" ref="K1179">IF(D1179="Gadget",_xlfn.IFS(I1179&gt;=0.2,0.5,I1179&gt;=0.1,0.35,I1179&gt;=0.05,0.2,TRUE,0),IF(D1179="Grenade",_xlfn.IFS(I1179&gt;=0.2,1,I1179&gt;=0.1,0.7,I1179&gt;=0.05,0.4,TRUE,0),0))</f>
        <v>0</v>
      </c>
      <c r="L1179" s="57">
        <f t="shared" si="266"/>
        <v>0</v>
      </c>
    </row>
    <row r="1180" spans="1:12" x14ac:dyDescent="0.25">
      <c r="A1180" s="42" t="str" cm="1">
        <f t="array" ref="A1180">IFERROR(INDEX(_xlfn._xlws.FILTER(Class_Players!A:A,Class_Players!B:B="Engineer"),QUOTIENT(ROW()-ROW($A$2),12)+1),"")</f>
        <v>MD-Trooper1984</v>
      </c>
      <c r="B1180" s="42" t="str">
        <f>_xlfn.XLOOKUP(A1180,Class_Players!$A:$A,Class_Players!$B:$B,"")</f>
        <v>Engineer</v>
      </c>
      <c r="C1180" s="42" t="str" cm="1">
        <f t="array" ref="C1180">INDEX(Lookups!$B$2:$B$13,MOD(ROW()-ROW($B$2),ROWS(Lookups!$B$2:$B$13))+1)</f>
        <v>RPG-7V2 (Unguided Rocket Launcher)</v>
      </c>
      <c r="D1180" s="38" t="str">
        <f>_xlfn.XLOOKUP(C1180,Analysis_Gadgets!$C:$C,Analysis_Gadgets!$B:$B)</f>
        <v>Gadget</v>
      </c>
      <c r="E1180" s="43">
        <v>4148</v>
      </c>
      <c r="F1180" s="43">
        <f>_xlfn.XLOOKUP(A1180,Class_Players!A:A,Class_Players!G:G)</f>
        <v>150</v>
      </c>
      <c r="G1180" s="43">
        <f t="shared" si="260"/>
        <v>27.653333333333332</v>
      </c>
      <c r="H1180" s="43">
        <f>_xlfn.XLOOKUP(A1180,Class_Players!$A:$A,Class_Players!$F:$F,"")</f>
        <v>7061</v>
      </c>
      <c r="I1180" s="44">
        <f t="shared" si="261"/>
        <v>0.58745220223764338</v>
      </c>
      <c r="J1180" s="43">
        <f t="shared" si="262"/>
        <v>1</v>
      </c>
      <c r="K1180" s="44" cm="1">
        <f t="array" ref="K1180">IF(D1180="Gadget",_xlfn.IFS(I1180&gt;=0.2,0.5,I1180&gt;=0.1,0.35,I1180&gt;=0.05,0.2,TRUE,0),IF(D1180="Grenade",_xlfn.IFS(I1180&gt;=0.2,1,I1180&gt;=0.1,0.7,I1180&gt;=0.05,0.4,TRUE,0),0))</f>
        <v>0.5</v>
      </c>
      <c r="L1180" s="57">
        <f t="shared" si="266"/>
        <v>0.58823529411764708</v>
      </c>
    </row>
    <row r="1181" spans="1:12" x14ac:dyDescent="0.25">
      <c r="A1181" s="42" t="str" cm="1">
        <f t="array" ref="A1181">IFERROR(INDEX(_xlfn._xlws.FILTER(Class_Players!A:A,Class_Players!B:B="Engineer"),QUOTIENT(ROW()-ROW($A$2),12)+1),"")</f>
        <v>MD-Trooper1984</v>
      </c>
      <c r="B1181" s="42" t="str">
        <f>_xlfn.XLOOKUP(A1181,Class_Players!$A:$A,Class_Players!$B:$B,"")</f>
        <v>Engineer</v>
      </c>
      <c r="C1181" s="42" t="str" cm="1">
        <f t="array" ref="C1181">INDEX(Lookups!$B$2:$B$13,MOD(ROW()-ROW($B$2),ROWS(Lookups!$B$2:$B$13))+1)</f>
        <v>MAS 148 (Long-Range Launcher)</v>
      </c>
      <c r="D1181" s="38" t="str">
        <f>_xlfn.XLOOKUP(C1181,Analysis_Gadgets!$C:$C,Analysis_Gadgets!$B:$B)</f>
        <v>Gadget</v>
      </c>
      <c r="E1181" s="43">
        <v>12</v>
      </c>
      <c r="F1181" s="43">
        <f>_xlfn.XLOOKUP(A1181,Class_Players!A:A,Class_Players!G:G)</f>
        <v>150</v>
      </c>
      <c r="G1181" s="43">
        <f t="shared" si="260"/>
        <v>0.08</v>
      </c>
      <c r="H1181" s="43">
        <f>_xlfn.XLOOKUP(A1181,Class_Players!$A:$A,Class_Players!$F:$F,"")</f>
        <v>7061</v>
      </c>
      <c r="I1181" s="44">
        <f t="shared" si="261"/>
        <v>1.6994759949015719E-3</v>
      </c>
      <c r="J1181" s="43">
        <f t="shared" si="262"/>
        <v>0</v>
      </c>
      <c r="K1181" s="44" cm="1">
        <f t="array" ref="K1181">IF(D1181="Gadget",_xlfn.IFS(I1181&gt;=0.2,0.5,I1181&gt;=0.1,0.35,I1181&gt;=0.05,0.2,TRUE,0),IF(D1181="Grenade",_xlfn.IFS(I1181&gt;=0.2,1,I1181&gt;=0.1,0.7,I1181&gt;=0.05,0.4,TRUE,0),0))</f>
        <v>0</v>
      </c>
      <c r="L1181" s="57">
        <f t="shared" si="266"/>
        <v>0</v>
      </c>
    </row>
    <row r="1182" spans="1:12" x14ac:dyDescent="0.25">
      <c r="A1182" s="42" t="str" cm="1">
        <f t="array" ref="A1182">IFERROR(INDEX(_xlfn._xlws.FILTER(Class_Players!A:A,Class_Players!B:B="Engineer"),QUOTIENT(ROW()-ROW($A$2),12)+1),"")</f>
        <v>MD-Trooper1984</v>
      </c>
      <c r="B1182" s="42" t="str">
        <f>_xlfn.XLOOKUP(A1182,Class_Players!$A:$A,Class_Players!$B:$B,"")</f>
        <v>Engineer</v>
      </c>
      <c r="C1182" s="42" t="str" cm="1">
        <f t="array" ref="C1182">INDEX(Lookups!$B$2:$B$13,MOD(ROW()-ROW($B$2),ROWS(Lookups!$B$2:$B$13))+1)</f>
        <v>M136 AT (Aim-Guided Launcher)</v>
      </c>
      <c r="D1182" s="38" t="str">
        <f>_xlfn.XLOOKUP(C1182,Analysis_Gadgets!$C:$C,Analysis_Gadgets!$B:$B)</f>
        <v>Gadget</v>
      </c>
      <c r="E1182" s="43">
        <v>31</v>
      </c>
      <c r="F1182" s="43">
        <f>_xlfn.XLOOKUP(A1182,Class_Players!A:A,Class_Players!G:G)</f>
        <v>150</v>
      </c>
      <c r="G1182" s="43">
        <f t="shared" si="260"/>
        <v>0.20666666666666667</v>
      </c>
      <c r="H1182" s="43">
        <f>_xlfn.XLOOKUP(A1182,Class_Players!$A:$A,Class_Players!$F:$F,"")</f>
        <v>7061</v>
      </c>
      <c r="I1182" s="44">
        <f t="shared" si="261"/>
        <v>4.3903129868290607E-3</v>
      </c>
      <c r="J1182" s="43">
        <f t="shared" si="262"/>
        <v>0</v>
      </c>
      <c r="K1182" s="44" cm="1">
        <f t="array" ref="K1182">IF(D1182="Gadget",_xlfn.IFS(I1182&gt;=0.2,0.5,I1182&gt;=0.1,0.35,I1182&gt;=0.05,0.2,TRUE,0),IF(D1182="Grenade",_xlfn.IFS(I1182&gt;=0.2,1,I1182&gt;=0.1,0.7,I1182&gt;=0.05,0.4,TRUE,0),0))</f>
        <v>0</v>
      </c>
      <c r="L1182" s="57">
        <f t="shared" si="266"/>
        <v>0</v>
      </c>
    </row>
    <row r="1183" spans="1:12" x14ac:dyDescent="0.25">
      <c r="A1183" s="42" t="str" cm="1">
        <f t="array" ref="A1183">IFERROR(INDEX(_xlfn._xlws.FILTER(Class_Players!A:A,Class_Players!B:B="Engineer"),QUOTIENT(ROW()-ROW($A$2),12)+1),"")</f>
        <v>MD-Trooper1984</v>
      </c>
      <c r="B1183" s="42" t="str">
        <f>_xlfn.XLOOKUP(A1183,Class_Players!$A:$A,Class_Players!$B:$B,"")</f>
        <v>Engineer</v>
      </c>
      <c r="C1183" s="42" t="str" cm="1">
        <f t="array" ref="C1183">INDEX(Lookups!$B$2:$B$13,MOD(ROW()-ROW($B$2),ROWS(Lookups!$B$2:$B$13))+1)</f>
        <v>Supply Crate</v>
      </c>
      <c r="D1183" s="38" t="str">
        <f>_xlfn.XLOOKUP(C1183,Analysis_Gadgets!$C:$C,Analysis_Gadgets!$B:$B)</f>
        <v>Gadget</v>
      </c>
      <c r="E1183" s="43">
        <v>13</v>
      </c>
      <c r="F1183" s="43">
        <f>_xlfn.XLOOKUP(A1183,Class_Players!A:A,Class_Players!G:G)</f>
        <v>150</v>
      </c>
      <c r="G1183" s="43">
        <f t="shared" si="260"/>
        <v>8.666666666666667E-2</v>
      </c>
      <c r="H1183" s="43">
        <f>_xlfn.XLOOKUP(A1183,Class_Players!$A:$A,Class_Players!$F:$F,"")</f>
        <v>7061</v>
      </c>
      <c r="I1183" s="44">
        <f t="shared" si="261"/>
        <v>1.841098994476703E-3</v>
      </c>
      <c r="J1183" s="43">
        <f t="shared" si="262"/>
        <v>0</v>
      </c>
      <c r="K1183" s="44" cm="1">
        <f t="array" ref="K1183">IF(D1183="Gadget",_xlfn.IFS(I1183&gt;=0.2,0.5,I1183&gt;=0.1,0.35,I1183&gt;=0.05,0.2,TRUE,0),IF(D1183="Grenade",_xlfn.IFS(I1183&gt;=0.2,1,I1183&gt;=0.1,0.7,I1183&gt;=0.05,0.4,TRUE,0),0))</f>
        <v>0</v>
      </c>
      <c r="L1183" s="57">
        <f t="shared" si="266"/>
        <v>0</v>
      </c>
    </row>
    <row r="1184" spans="1:12" x14ac:dyDescent="0.25">
      <c r="A1184" s="42" t="str" cm="1">
        <f t="array" ref="A1184">IFERROR(INDEX(_xlfn._xlws.FILTER(Class_Players!A:A,Class_Players!B:B="Engineer"),QUOTIENT(ROW()-ROW($A$2),12)+1),"")</f>
        <v>MD-Trooper1984</v>
      </c>
      <c r="B1184" s="42" t="str">
        <f>_xlfn.XLOOKUP(A1184,Class_Players!$A:$A,Class_Players!$B:$B,"")</f>
        <v>Engineer</v>
      </c>
      <c r="C1184" s="42" t="str" cm="1">
        <f t="array" ref="C1184">INDEX(Lookups!$B$2:$B$13,MOD(ROW()-ROW($B$2),ROWS(Lookups!$B$2:$B$13))+1)</f>
        <v>M15 (Anti-Vehicle Mine)</v>
      </c>
      <c r="D1184" s="38" t="str">
        <f>_xlfn.XLOOKUP(C1184,Analysis_Gadgets!$C:$C,Analysis_Gadgets!$B:$B)</f>
        <v>Gadget</v>
      </c>
      <c r="E1184" s="43">
        <v>152</v>
      </c>
      <c r="F1184" s="43">
        <f>_xlfn.XLOOKUP(A1184,Class_Players!A:A,Class_Players!G:G)</f>
        <v>150</v>
      </c>
      <c r="G1184" s="43">
        <f t="shared" si="260"/>
        <v>1.0133333333333334</v>
      </c>
      <c r="H1184" s="43">
        <f>_xlfn.XLOOKUP(A1184,Class_Players!$A:$A,Class_Players!$F:$F,"")</f>
        <v>7061</v>
      </c>
      <c r="I1184" s="44">
        <f t="shared" si="261"/>
        <v>2.1526695935419914E-2</v>
      </c>
      <c r="J1184" s="43">
        <f t="shared" si="262"/>
        <v>0</v>
      </c>
      <c r="K1184" s="44" cm="1">
        <f t="array" ref="K1184">IF(D1184="Gadget",_xlfn.IFS(I1184&gt;=0.2,0.5,I1184&gt;=0.1,0.35,I1184&gt;=0.05,0.2,TRUE,0),IF(D1184="Grenade",_xlfn.IFS(I1184&gt;=0.2,1,I1184&gt;=0.1,0.7,I1184&gt;=0.05,0.4,TRUE,0),0))</f>
        <v>0</v>
      </c>
      <c r="L1184" s="57">
        <f t="shared" si="266"/>
        <v>0</v>
      </c>
    </row>
    <row r="1185" spans="1:12" x14ac:dyDescent="0.25">
      <c r="A1185" s="42" t="str" cm="1">
        <f t="array" ref="A1185">IFERROR(INDEX(_xlfn._xlws.FILTER(Class_Players!A:A,Class_Players!B:B="Engineer"),QUOTIENT(ROW()-ROW($A$2),12)+1),"")</f>
        <v>MD-Trooper1984</v>
      </c>
      <c r="B1185" s="42" t="str">
        <f>_xlfn.XLOOKUP(A1185,Class_Players!$A:$A,Class_Players!$B:$B,"")</f>
        <v>Engineer</v>
      </c>
      <c r="C1185" s="42" t="str" cm="1">
        <f t="array" ref="C1185">INDEX(Lookups!$B$2:$B$13,MOD(ROW()-ROW($B$2),ROWS(Lookups!$B$2:$B$13))+1)</f>
        <v>PTKM-1R (Acoustic Sensor AV Mine)</v>
      </c>
      <c r="D1185" s="38" t="str">
        <f>_xlfn.XLOOKUP(C1185,Analysis_Gadgets!$C:$C,Analysis_Gadgets!$B:$B)</f>
        <v>Gadget</v>
      </c>
      <c r="E1185" s="43">
        <v>1032</v>
      </c>
      <c r="F1185" s="43">
        <f>_xlfn.XLOOKUP(A1185,Class_Players!A:A,Class_Players!G:G)</f>
        <v>150</v>
      </c>
      <c r="G1185" s="43">
        <f t="shared" si="260"/>
        <v>6.88</v>
      </c>
      <c r="H1185" s="43">
        <f>_xlfn.XLOOKUP(A1185,Class_Players!$A:$A,Class_Players!$F:$F,"")</f>
        <v>7061</v>
      </c>
      <c r="I1185" s="44">
        <f t="shared" si="261"/>
        <v>0.14615493556153519</v>
      </c>
      <c r="J1185" s="43">
        <f t="shared" si="262"/>
        <v>1</v>
      </c>
      <c r="K1185" s="44" cm="1">
        <f t="array" ref="K1185">IF(D1185="Gadget",_xlfn.IFS(I1185&gt;=0.2,0.5,I1185&gt;=0.1,0.35,I1185&gt;=0.05,0.2,TRUE,0),IF(D1185="Grenade",_xlfn.IFS(I1185&gt;=0.2,1,I1185&gt;=0.1,0.7,I1185&gt;=0.05,0.4,TRUE,0),0))</f>
        <v>0.35</v>
      </c>
      <c r="L1185" s="57">
        <f t="shared" si="266"/>
        <v>0.41176470588235292</v>
      </c>
    </row>
    <row r="1186" spans="1:12" x14ac:dyDescent="0.25">
      <c r="A1186" s="42" t="str" cm="1">
        <f t="array" ref="A1186">IFERROR(INDEX(_xlfn._xlws.FILTER(Class_Players!A:A,Class_Players!B:B="Engineer"),QUOTIENT(ROW()-ROW($A$2),12)+1),"")</f>
        <v>MD-Trooper1984</v>
      </c>
      <c r="B1186" s="42" t="str">
        <f>_xlfn.XLOOKUP(A1186,Class_Players!$A:$A,Class_Players!$B:$B,"")</f>
        <v>Engineer</v>
      </c>
      <c r="C1186" s="42" t="str" cm="1">
        <f t="array" ref="C1186">INDEX(Lookups!$B$2:$B$13,MOD(ROW()-ROW($B$2),ROWS(Lookups!$B$2:$B$13))+1)</f>
        <v>EOD Bot</v>
      </c>
      <c r="D1186" s="38" t="str">
        <f>_xlfn.XLOOKUP(C1186,Analysis_Gadgets!$C:$C,Analysis_Gadgets!$B:$B)</f>
        <v>Gadget</v>
      </c>
      <c r="E1186" s="43">
        <v>0</v>
      </c>
      <c r="F1186" s="43">
        <f>_xlfn.XLOOKUP(A1186,Class_Players!A:A,Class_Players!G:G)</f>
        <v>150</v>
      </c>
      <c r="G1186" s="43">
        <f t="shared" si="260"/>
        <v>0</v>
      </c>
      <c r="H1186" s="43">
        <f>_xlfn.XLOOKUP(A1186,Class_Players!$A:$A,Class_Players!$F:$F,"")</f>
        <v>7061</v>
      </c>
      <c r="I1186" s="44">
        <f t="shared" si="261"/>
        <v>0</v>
      </c>
      <c r="J1186" s="43">
        <f t="shared" si="262"/>
        <v>0</v>
      </c>
      <c r="K1186" s="44" cm="1">
        <f t="array" ref="K1186">IF(D1186="Gadget",_xlfn.IFS(I1186&gt;=0.2,0.5,I1186&gt;=0.1,0.35,I1186&gt;=0.05,0.2,TRUE,0),IF(D1186="Grenade",_xlfn.IFS(I1186&gt;=0.2,1,I1186&gt;=0.1,0.7,I1186&gt;=0.05,0.4,TRUE,0),0))</f>
        <v>0</v>
      </c>
      <c r="L1186" s="57">
        <f t="shared" si="266"/>
        <v>0</v>
      </c>
    </row>
    <row r="1187" spans="1:12" x14ac:dyDescent="0.25">
      <c r="A1187" s="42" t="str" cm="1">
        <f t="array" ref="A1187">IFERROR(INDEX(_xlfn._xlws.FILTER(Class_Players!A:A,Class_Players!B:B="Engineer"),QUOTIENT(ROW()-ROW($A$2),12)+1),"")</f>
        <v>MD-Trooper1984</v>
      </c>
      <c r="B1187" s="42" t="str">
        <f>_xlfn.XLOOKUP(A1187,Class_Players!$A:$A,Class_Players!$B:$B,"")</f>
        <v>Engineer</v>
      </c>
      <c r="C1187" s="42" t="str" cm="1">
        <f t="array" ref="C1187">INDEX(Lookups!$B$2:$B$13,MOD(ROW()-ROW($B$2),ROWS(Lookups!$B$2:$B$13))+1)</f>
        <v>M4A1 SLAM (Tripwire Sensor AV Mine)</v>
      </c>
      <c r="D1187" s="38" t="str">
        <f>_xlfn.XLOOKUP(C1187,Analysis_Gadgets!$C:$C,Analysis_Gadgets!$B:$B)</f>
        <v>Gadget</v>
      </c>
      <c r="E1187" s="43">
        <v>5</v>
      </c>
      <c r="F1187" s="43">
        <f>_xlfn.XLOOKUP(A1187,Class_Players!A:A,Class_Players!G:G)</f>
        <v>150</v>
      </c>
      <c r="G1187" s="43">
        <f t="shared" si="260"/>
        <v>3.3333333333333333E-2</v>
      </c>
      <c r="H1187" s="43">
        <f>_xlfn.XLOOKUP(A1187,Class_Players!$A:$A,Class_Players!$F:$F,"")</f>
        <v>7061</v>
      </c>
      <c r="I1187" s="44">
        <f t="shared" si="261"/>
        <v>7.0811499787565497E-4</v>
      </c>
      <c r="J1187" s="43">
        <f t="shared" si="262"/>
        <v>0</v>
      </c>
      <c r="K1187" s="44" cm="1">
        <f t="array" ref="K1187">IF(D1187="Gadget",_xlfn.IFS(I1187&gt;=0.2,0.5,I1187&gt;=0.1,0.35,I1187&gt;=0.05,0.2,TRUE,0),IF(D1187="Grenade",_xlfn.IFS(I1187&gt;=0.2,1,I1187&gt;=0.1,0.7,I1187&gt;=0.05,0.4,TRUE,0),0))</f>
        <v>0</v>
      </c>
      <c r="L1187" s="57">
        <f t="shared" si="266"/>
        <v>0</v>
      </c>
    </row>
    <row r="1188" spans="1:12" x14ac:dyDescent="0.25">
      <c r="A1188" s="42" t="str" cm="1">
        <f t="array" ref="A1188">IFERROR(INDEX(_xlfn._xlws.FILTER(Class_Players!A:A,Class_Players!B:B="Engineer"),QUOTIENT(ROW()-ROW($A$2),12)+1),"")</f>
        <v>MD-Trooper1984</v>
      </c>
      <c r="B1188" s="42" t="str">
        <f>_xlfn.XLOOKUP(A1188,Class_Players!$A:$A,Class_Players!$B:$B,"")</f>
        <v>Engineer</v>
      </c>
      <c r="C1188" s="42" t="str" cm="1">
        <f t="array" ref="C1188">INDEX(Lookups!$B$2:$B$13,MOD(ROW()-ROW($B$2),ROWS(Lookups!$B$2:$B$13))+1)</f>
        <v>Mini Frag Grenade</v>
      </c>
      <c r="D1188" s="38" t="str">
        <f>_xlfn.XLOOKUP(C1188,Analysis_Gadgets!$C:$C,Analysis_Gadgets!$B:$B)</f>
        <v>Grenade</v>
      </c>
      <c r="E1188" s="43">
        <v>697</v>
      </c>
      <c r="F1188" s="43">
        <f>_xlfn.XLOOKUP(A1188,Class_Players!A:A,Class_Players!G:G)</f>
        <v>150</v>
      </c>
      <c r="G1188" s="43">
        <f t="shared" si="260"/>
        <v>4.6466666666666665</v>
      </c>
      <c r="H1188" s="43">
        <f>_xlfn.XLOOKUP(A1188,Class_Players!$A:$A,Class_Players!$F:$F,"")</f>
        <v>7061</v>
      </c>
      <c r="I1188" s="44">
        <f t="shared" si="261"/>
        <v>9.8711230703866309E-2</v>
      </c>
      <c r="J1188" s="43">
        <f t="shared" si="262"/>
        <v>0</v>
      </c>
      <c r="K1188" s="44" cm="1">
        <f t="array" ref="K1188">IF(D1188="Gadget",_xlfn.IFS(I1188&gt;=0.2,0.5,I1188&gt;=0.1,0.35,I1188&gt;=0.05,0.2,TRUE,0),IF(D1188="Grenade",_xlfn.IFS(I1188&gt;=0.2,1,I1188&gt;=0.1,0.7,I1188&gt;=0.05,0.4,TRUE,0),0))</f>
        <v>0.4</v>
      </c>
      <c r="L1188" s="57">
        <f t="shared" ref="L1188:L1189" si="267">IF($K1188=0,0,$K1188 / SUMIFS($K:$K,$A:$A,$A1188,$D:$D,"Grenade"))</f>
        <v>1</v>
      </c>
    </row>
    <row r="1189" spans="1:12" x14ac:dyDescent="0.25">
      <c r="A1189" s="42" t="str" cm="1">
        <f t="array" ref="A1189">IFERROR(INDEX(_xlfn._xlws.FILTER(Class_Players!A:A,Class_Players!B:B="Engineer"),QUOTIENT(ROW()-ROW($A$2),12)+1),"")</f>
        <v>MD-Trooper1984</v>
      </c>
      <c r="B1189" s="42" t="str">
        <f>_xlfn.XLOOKUP(A1189,Class_Players!$A:$A,Class_Players!$B:$B,"")</f>
        <v>Engineer</v>
      </c>
      <c r="C1189" s="42" t="str" cm="1">
        <f t="array" ref="C1189">INDEX(Lookups!$B$2:$B$13,MOD(ROW()-ROW($B$2),ROWS(Lookups!$B$2:$B$13))+1)</f>
        <v>Anti-Vehicle Grenade</v>
      </c>
      <c r="D1189" s="38" t="str">
        <f>_xlfn.XLOOKUP(C1189,Analysis_Gadgets!$C:$C,Analysis_Gadgets!$B:$B)</f>
        <v>Grenade</v>
      </c>
      <c r="E1189" s="43">
        <v>0</v>
      </c>
      <c r="F1189" s="43">
        <f>_xlfn.XLOOKUP(A1189,Class_Players!A:A,Class_Players!G:G)</f>
        <v>150</v>
      </c>
      <c r="G1189" s="43">
        <f t="shared" si="260"/>
        <v>0</v>
      </c>
      <c r="H1189" s="43">
        <f>_xlfn.XLOOKUP(A1189,Class_Players!$A:$A,Class_Players!$F:$F,"")</f>
        <v>7061</v>
      </c>
      <c r="I1189" s="44">
        <f t="shared" si="261"/>
        <v>0</v>
      </c>
      <c r="J1189" s="43">
        <f t="shared" si="262"/>
        <v>0</v>
      </c>
      <c r="K1189" s="44" cm="1">
        <f t="array" ref="K1189">IF(D1189="Gadget",_xlfn.IFS(I1189&gt;=0.2,0.5,I1189&gt;=0.1,0.35,I1189&gt;=0.05,0.2,TRUE,0),IF(D1189="Grenade",_xlfn.IFS(I1189&gt;=0.2,1,I1189&gt;=0.1,0.7,I1189&gt;=0.05,0.4,TRUE,0),0))</f>
        <v>0</v>
      </c>
      <c r="L1189" s="57">
        <f t="shared" si="267"/>
        <v>0</v>
      </c>
    </row>
    <row r="1190" spans="1:12" x14ac:dyDescent="0.25">
      <c r="A1190" s="42" t="str" cm="1">
        <f t="array" ref="A1190">IFERROR(INDEX(_xlfn._xlws.FILTER(Class_Players!A:A,Class_Players!B:B="Engineer"),QUOTIENT(ROW()-ROW($A$2),12)+1),"")</f>
        <v>II STRICK9 II</v>
      </c>
      <c r="B1190" s="42" t="str">
        <f>_xlfn.XLOOKUP(A1190,Class_Players!$A:$A,Class_Players!$B:$B,"")</f>
        <v>Engineer</v>
      </c>
      <c r="C1190" s="42" t="str" cm="1">
        <f t="array" ref="C1190">INDEX(Lookups!$B$2:$B$13,MOD(ROW()-ROW($B$2),ROWS(Lookups!$B$2:$B$13))+1)</f>
        <v>MBT-LAW (Auto-Guided Launcher)</v>
      </c>
      <c r="D1190" s="38" t="str">
        <f>_xlfn.XLOOKUP(C1190,Analysis_Gadgets!$C:$C,Analysis_Gadgets!$B:$B)</f>
        <v>Gadget</v>
      </c>
      <c r="E1190" s="43">
        <v>0</v>
      </c>
      <c r="F1190" s="43">
        <f>_xlfn.XLOOKUP(A1190,Class_Players!A:A,Class_Players!G:G)</f>
        <v>233</v>
      </c>
      <c r="G1190" s="43">
        <f t="shared" si="260"/>
        <v>0</v>
      </c>
      <c r="H1190" s="43">
        <f>_xlfn.XLOOKUP(A1190,Class_Players!$A:$A,Class_Players!$F:$F,"")</f>
        <v>6773</v>
      </c>
      <c r="I1190" s="44">
        <f t="shared" si="261"/>
        <v>0</v>
      </c>
      <c r="J1190" s="43">
        <f t="shared" si="262"/>
        <v>0</v>
      </c>
      <c r="K1190" s="44" cm="1">
        <f t="array" ref="K1190">IF(D1190="Gadget",_xlfn.IFS(I1190&gt;=0.2,0.5,I1190&gt;=0.1,0.35,I1190&gt;=0.05,0.2,TRUE,0),IF(D1190="Grenade",_xlfn.IFS(I1190&gt;=0.2,1,I1190&gt;=0.1,0.7,I1190&gt;=0.05,0.4,TRUE,0),0))</f>
        <v>0</v>
      </c>
      <c r="L1190" s="57">
        <f t="shared" ref="L1190:L1199" si="268">IF($K1190=0,0,$K1190 / SUMIFS($K:$K,$A:$A,$A1190,$D:$D,"Gadget"))</f>
        <v>0</v>
      </c>
    </row>
    <row r="1191" spans="1:12" x14ac:dyDescent="0.25">
      <c r="A1191" s="42" t="str" cm="1">
        <f t="array" ref="A1191">IFERROR(INDEX(_xlfn._xlws.FILTER(Class_Players!A:A,Class_Players!B:B="Engineer"),QUOTIENT(ROW()-ROW($A$2),12)+1),"")</f>
        <v>II STRICK9 II</v>
      </c>
      <c r="B1191" s="42" t="str">
        <f>_xlfn.XLOOKUP(A1191,Class_Players!$A:$A,Class_Players!$B:$B,"")</f>
        <v>Engineer</v>
      </c>
      <c r="C1191" s="42" t="str" cm="1">
        <f t="array" ref="C1191">INDEX(Lookups!$B$2:$B$13,MOD(ROW()-ROW($B$2),ROWS(Lookups!$B$2:$B$13))+1)</f>
        <v>SLM-93A (Air-Defense Launcher)</v>
      </c>
      <c r="D1191" s="38" t="str">
        <f>_xlfn.XLOOKUP(C1191,Analysis_Gadgets!$C:$C,Analysis_Gadgets!$B:$B)</f>
        <v>Gadget</v>
      </c>
      <c r="E1191" s="43">
        <v>270</v>
      </c>
      <c r="F1191" s="43">
        <f>_xlfn.XLOOKUP(A1191,Class_Players!A:A,Class_Players!G:G)</f>
        <v>233</v>
      </c>
      <c r="G1191" s="43">
        <f t="shared" si="260"/>
        <v>1.1587982832618027</v>
      </c>
      <c r="H1191" s="43">
        <f>_xlfn.XLOOKUP(A1191,Class_Players!$A:$A,Class_Players!$F:$F,"")</f>
        <v>6773</v>
      </c>
      <c r="I1191" s="44">
        <f t="shared" si="261"/>
        <v>3.9864166543629113E-2</v>
      </c>
      <c r="J1191" s="43">
        <f t="shared" si="262"/>
        <v>0</v>
      </c>
      <c r="K1191" s="44" cm="1">
        <f t="array" ref="K1191">IF(D1191="Gadget",_xlfn.IFS(I1191&gt;=0.2,0.5,I1191&gt;=0.1,0.35,I1191&gt;=0.05,0.2,TRUE,0),IF(D1191="Grenade",_xlfn.IFS(I1191&gt;=0.2,1,I1191&gt;=0.1,0.7,I1191&gt;=0.05,0.4,TRUE,0),0))</f>
        <v>0</v>
      </c>
      <c r="L1191" s="57">
        <f t="shared" si="268"/>
        <v>0</v>
      </c>
    </row>
    <row r="1192" spans="1:12" x14ac:dyDescent="0.25">
      <c r="A1192" s="42" t="str" cm="1">
        <f t="array" ref="A1192">IFERROR(INDEX(_xlfn._xlws.FILTER(Class_Players!A:A,Class_Players!B:B="Engineer"),QUOTIENT(ROW()-ROW($A$2),12)+1),"")</f>
        <v>II STRICK9 II</v>
      </c>
      <c r="B1192" s="42" t="str">
        <f>_xlfn.XLOOKUP(A1192,Class_Players!$A:$A,Class_Players!$B:$B,"")</f>
        <v>Engineer</v>
      </c>
      <c r="C1192" s="42" t="str" cm="1">
        <f t="array" ref="C1192">INDEX(Lookups!$B$2:$B$13,MOD(ROW()-ROW($B$2),ROWS(Lookups!$B$2:$B$13))+1)</f>
        <v>RPG-7V2 (Unguided Rocket Launcher)</v>
      </c>
      <c r="D1192" s="38" t="str">
        <f>_xlfn.XLOOKUP(C1192,Analysis_Gadgets!$C:$C,Analysis_Gadgets!$B:$B)</f>
        <v>Gadget</v>
      </c>
      <c r="E1192" s="43">
        <v>3205</v>
      </c>
      <c r="F1192" s="43">
        <f>_xlfn.XLOOKUP(A1192,Class_Players!A:A,Class_Players!G:G)</f>
        <v>233</v>
      </c>
      <c r="G1192" s="43">
        <f t="shared" si="260"/>
        <v>13.755364806866952</v>
      </c>
      <c r="H1192" s="43">
        <f>_xlfn.XLOOKUP(A1192,Class_Players!$A:$A,Class_Players!$F:$F,"")</f>
        <v>6773</v>
      </c>
      <c r="I1192" s="44">
        <f t="shared" si="261"/>
        <v>0.47320242137900487</v>
      </c>
      <c r="J1192" s="43">
        <f t="shared" si="262"/>
        <v>1</v>
      </c>
      <c r="K1192" s="44" cm="1">
        <f t="array" ref="K1192">IF(D1192="Gadget",_xlfn.IFS(I1192&gt;=0.2,0.5,I1192&gt;=0.1,0.35,I1192&gt;=0.05,0.2,TRUE,0),IF(D1192="Grenade",_xlfn.IFS(I1192&gt;=0.2,1,I1192&gt;=0.1,0.7,I1192&gt;=0.05,0.4,TRUE,0),0))</f>
        <v>0.5</v>
      </c>
      <c r="L1192" s="57">
        <f t="shared" si="268"/>
        <v>0.41666666666666669</v>
      </c>
    </row>
    <row r="1193" spans="1:12" x14ac:dyDescent="0.25">
      <c r="A1193" s="42" t="str" cm="1">
        <f t="array" ref="A1193">IFERROR(INDEX(_xlfn._xlws.FILTER(Class_Players!A:A,Class_Players!B:B="Engineer"),QUOTIENT(ROW()-ROW($A$2),12)+1),"")</f>
        <v>II STRICK9 II</v>
      </c>
      <c r="B1193" s="42" t="str">
        <f>_xlfn.XLOOKUP(A1193,Class_Players!$A:$A,Class_Players!$B:$B,"")</f>
        <v>Engineer</v>
      </c>
      <c r="C1193" s="42" t="str" cm="1">
        <f t="array" ref="C1193">INDEX(Lookups!$B$2:$B$13,MOD(ROW()-ROW($B$2),ROWS(Lookups!$B$2:$B$13))+1)</f>
        <v>MAS 148 (Long-Range Launcher)</v>
      </c>
      <c r="D1193" s="38" t="str">
        <f>_xlfn.XLOOKUP(C1193,Analysis_Gadgets!$C:$C,Analysis_Gadgets!$B:$B)</f>
        <v>Gadget</v>
      </c>
      <c r="E1193" s="43">
        <v>108</v>
      </c>
      <c r="F1193" s="43">
        <f>_xlfn.XLOOKUP(A1193,Class_Players!A:A,Class_Players!G:G)</f>
        <v>233</v>
      </c>
      <c r="G1193" s="43">
        <f t="shared" si="260"/>
        <v>0.46351931330472101</v>
      </c>
      <c r="H1193" s="43">
        <f>_xlfn.XLOOKUP(A1193,Class_Players!$A:$A,Class_Players!$F:$F,"")</f>
        <v>6773</v>
      </c>
      <c r="I1193" s="44">
        <f t="shared" si="261"/>
        <v>1.5945666617451646E-2</v>
      </c>
      <c r="J1193" s="43">
        <f t="shared" si="262"/>
        <v>0</v>
      </c>
      <c r="K1193" s="44" cm="1">
        <f t="array" ref="K1193">IF(D1193="Gadget",_xlfn.IFS(I1193&gt;=0.2,0.5,I1193&gt;=0.1,0.35,I1193&gt;=0.05,0.2,TRUE,0),IF(D1193="Grenade",_xlfn.IFS(I1193&gt;=0.2,1,I1193&gt;=0.1,0.7,I1193&gt;=0.05,0.4,TRUE,0),0))</f>
        <v>0</v>
      </c>
      <c r="L1193" s="57">
        <f t="shared" si="268"/>
        <v>0</v>
      </c>
    </row>
    <row r="1194" spans="1:12" x14ac:dyDescent="0.25">
      <c r="A1194" s="42" t="str" cm="1">
        <f t="array" ref="A1194">IFERROR(INDEX(_xlfn._xlws.FILTER(Class_Players!A:A,Class_Players!B:B="Engineer"),QUOTIENT(ROW()-ROW($A$2),12)+1),"")</f>
        <v>II STRICK9 II</v>
      </c>
      <c r="B1194" s="42" t="str">
        <f>_xlfn.XLOOKUP(A1194,Class_Players!$A:$A,Class_Players!$B:$B,"")</f>
        <v>Engineer</v>
      </c>
      <c r="C1194" s="42" t="str" cm="1">
        <f t="array" ref="C1194">INDEX(Lookups!$B$2:$B$13,MOD(ROW()-ROW($B$2),ROWS(Lookups!$B$2:$B$13))+1)</f>
        <v>M136 AT (Aim-Guided Launcher)</v>
      </c>
      <c r="D1194" s="38" t="str">
        <f>_xlfn.XLOOKUP(C1194,Analysis_Gadgets!$C:$C,Analysis_Gadgets!$B:$B)</f>
        <v>Gadget</v>
      </c>
      <c r="E1194" s="43">
        <v>159</v>
      </c>
      <c r="F1194" s="43">
        <f>_xlfn.XLOOKUP(A1194,Class_Players!A:A,Class_Players!G:G)</f>
        <v>233</v>
      </c>
      <c r="G1194" s="43">
        <f t="shared" si="260"/>
        <v>0.68240343347639487</v>
      </c>
      <c r="H1194" s="43">
        <f>_xlfn.XLOOKUP(A1194,Class_Players!$A:$A,Class_Players!$F:$F,"")</f>
        <v>6773</v>
      </c>
      <c r="I1194" s="44">
        <f t="shared" si="261"/>
        <v>2.3475564742359369E-2</v>
      </c>
      <c r="J1194" s="43">
        <f t="shared" si="262"/>
        <v>0</v>
      </c>
      <c r="K1194" s="44" cm="1">
        <f t="array" ref="K1194">IF(D1194="Gadget",_xlfn.IFS(I1194&gt;=0.2,0.5,I1194&gt;=0.1,0.35,I1194&gt;=0.05,0.2,TRUE,0),IF(D1194="Grenade",_xlfn.IFS(I1194&gt;=0.2,1,I1194&gt;=0.1,0.7,I1194&gt;=0.05,0.4,TRUE,0),0))</f>
        <v>0</v>
      </c>
      <c r="L1194" s="57">
        <f t="shared" si="268"/>
        <v>0</v>
      </c>
    </row>
    <row r="1195" spans="1:12" x14ac:dyDescent="0.25">
      <c r="A1195" s="42" t="str" cm="1">
        <f t="array" ref="A1195">IFERROR(INDEX(_xlfn._xlws.FILTER(Class_Players!A:A,Class_Players!B:B="Engineer"),QUOTIENT(ROW()-ROW($A$2),12)+1),"")</f>
        <v>II STRICK9 II</v>
      </c>
      <c r="B1195" s="42" t="str">
        <f>_xlfn.XLOOKUP(A1195,Class_Players!$A:$A,Class_Players!$B:$B,"")</f>
        <v>Engineer</v>
      </c>
      <c r="C1195" s="42" t="str" cm="1">
        <f t="array" ref="C1195">INDEX(Lookups!$B$2:$B$13,MOD(ROW()-ROW($B$2),ROWS(Lookups!$B$2:$B$13))+1)</f>
        <v>Supply Crate</v>
      </c>
      <c r="D1195" s="38" t="str">
        <f>_xlfn.XLOOKUP(C1195,Analysis_Gadgets!$C:$C,Analysis_Gadgets!$B:$B)</f>
        <v>Gadget</v>
      </c>
      <c r="E1195" s="43">
        <v>11</v>
      </c>
      <c r="F1195" s="43">
        <f>_xlfn.XLOOKUP(A1195,Class_Players!A:A,Class_Players!G:G)</f>
        <v>233</v>
      </c>
      <c r="G1195" s="43">
        <f t="shared" si="260"/>
        <v>4.7210300429184553E-2</v>
      </c>
      <c r="H1195" s="43">
        <f>_xlfn.XLOOKUP(A1195,Class_Players!$A:$A,Class_Players!$F:$F,"")</f>
        <v>6773</v>
      </c>
      <c r="I1195" s="44">
        <f t="shared" si="261"/>
        <v>1.6240956739997047E-3</v>
      </c>
      <c r="J1195" s="43">
        <f t="shared" si="262"/>
        <v>0</v>
      </c>
      <c r="K1195" s="44" cm="1">
        <f t="array" ref="K1195">IF(D1195="Gadget",_xlfn.IFS(I1195&gt;=0.2,0.5,I1195&gt;=0.1,0.35,I1195&gt;=0.05,0.2,TRUE,0),IF(D1195="Grenade",_xlfn.IFS(I1195&gt;=0.2,1,I1195&gt;=0.1,0.7,I1195&gt;=0.05,0.4,TRUE,0),0))</f>
        <v>0</v>
      </c>
      <c r="L1195" s="57">
        <f t="shared" si="268"/>
        <v>0</v>
      </c>
    </row>
    <row r="1196" spans="1:12" x14ac:dyDescent="0.25">
      <c r="A1196" s="42" t="str" cm="1">
        <f t="array" ref="A1196">IFERROR(INDEX(_xlfn._xlws.FILTER(Class_Players!A:A,Class_Players!B:B="Engineer"),QUOTIENT(ROW()-ROW($A$2),12)+1),"")</f>
        <v>II STRICK9 II</v>
      </c>
      <c r="B1196" s="42" t="str">
        <f>_xlfn.XLOOKUP(A1196,Class_Players!$A:$A,Class_Players!$B:$B,"")</f>
        <v>Engineer</v>
      </c>
      <c r="C1196" s="42" t="str" cm="1">
        <f t="array" ref="C1196">INDEX(Lookups!$B$2:$B$13,MOD(ROW()-ROW($B$2),ROWS(Lookups!$B$2:$B$13))+1)</f>
        <v>M15 (Anti-Vehicle Mine)</v>
      </c>
      <c r="D1196" s="38" t="str">
        <f>_xlfn.XLOOKUP(C1196,Analysis_Gadgets!$C:$C,Analysis_Gadgets!$B:$B)</f>
        <v>Gadget</v>
      </c>
      <c r="E1196" s="43">
        <v>1621</v>
      </c>
      <c r="F1196" s="43">
        <f>_xlfn.XLOOKUP(A1196,Class_Players!A:A,Class_Players!G:G)</f>
        <v>233</v>
      </c>
      <c r="G1196" s="43">
        <f t="shared" si="260"/>
        <v>6.9570815450643773</v>
      </c>
      <c r="H1196" s="43">
        <f>_xlfn.XLOOKUP(A1196,Class_Players!$A:$A,Class_Players!$F:$F,"")</f>
        <v>6773</v>
      </c>
      <c r="I1196" s="44">
        <f t="shared" si="261"/>
        <v>0.23933264432304741</v>
      </c>
      <c r="J1196" s="43">
        <f t="shared" si="262"/>
        <v>1</v>
      </c>
      <c r="K1196" s="44" cm="1">
        <f t="array" ref="K1196">IF(D1196="Gadget",_xlfn.IFS(I1196&gt;=0.2,0.5,I1196&gt;=0.1,0.35,I1196&gt;=0.05,0.2,TRUE,0),IF(D1196="Grenade",_xlfn.IFS(I1196&gt;=0.2,1,I1196&gt;=0.1,0.7,I1196&gt;=0.05,0.4,TRUE,0),0))</f>
        <v>0.5</v>
      </c>
      <c r="L1196" s="57">
        <f t="shared" si="268"/>
        <v>0.41666666666666669</v>
      </c>
    </row>
    <row r="1197" spans="1:12" x14ac:dyDescent="0.25">
      <c r="A1197" s="42" t="str" cm="1">
        <f t="array" ref="A1197">IFERROR(INDEX(_xlfn._xlws.FILTER(Class_Players!A:A,Class_Players!B:B="Engineer"),QUOTIENT(ROW()-ROW($A$2),12)+1),"")</f>
        <v>II STRICK9 II</v>
      </c>
      <c r="B1197" s="42" t="str">
        <f>_xlfn.XLOOKUP(A1197,Class_Players!$A:$A,Class_Players!$B:$B,"")</f>
        <v>Engineer</v>
      </c>
      <c r="C1197" s="42" t="str" cm="1">
        <f t="array" ref="C1197">INDEX(Lookups!$B$2:$B$13,MOD(ROW()-ROW($B$2),ROWS(Lookups!$B$2:$B$13))+1)</f>
        <v>PTKM-1R (Acoustic Sensor AV Mine)</v>
      </c>
      <c r="D1197" s="38" t="str">
        <f>_xlfn.XLOOKUP(C1197,Analysis_Gadgets!$C:$C,Analysis_Gadgets!$B:$B)</f>
        <v>Gadget</v>
      </c>
      <c r="E1197" s="43">
        <v>327</v>
      </c>
      <c r="F1197" s="43">
        <f>_xlfn.XLOOKUP(A1197,Class_Players!A:A,Class_Players!G:G)</f>
        <v>233</v>
      </c>
      <c r="G1197" s="43">
        <f t="shared" si="260"/>
        <v>1.4034334763948497</v>
      </c>
      <c r="H1197" s="43">
        <f>_xlfn.XLOOKUP(A1197,Class_Players!$A:$A,Class_Players!$F:$F,"")</f>
        <v>6773</v>
      </c>
      <c r="I1197" s="44">
        <f t="shared" si="261"/>
        <v>4.827993503617304E-2</v>
      </c>
      <c r="J1197" s="43">
        <f t="shared" si="262"/>
        <v>0</v>
      </c>
      <c r="K1197" s="44" cm="1">
        <f t="array" ref="K1197">IF(D1197="Gadget",_xlfn.IFS(I1197&gt;=0.2,0.5,I1197&gt;=0.1,0.35,I1197&gt;=0.05,0.2,TRUE,0),IF(D1197="Grenade",_xlfn.IFS(I1197&gt;=0.2,1,I1197&gt;=0.1,0.7,I1197&gt;=0.05,0.4,TRUE,0),0))</f>
        <v>0</v>
      </c>
      <c r="L1197" s="57">
        <f t="shared" si="268"/>
        <v>0</v>
      </c>
    </row>
    <row r="1198" spans="1:12" x14ac:dyDescent="0.25">
      <c r="A1198" s="42" t="str" cm="1">
        <f t="array" ref="A1198">IFERROR(INDEX(_xlfn._xlws.FILTER(Class_Players!A:A,Class_Players!B:B="Engineer"),QUOTIENT(ROW()-ROW($A$2),12)+1),"")</f>
        <v>II STRICK9 II</v>
      </c>
      <c r="B1198" s="42" t="str">
        <f>_xlfn.XLOOKUP(A1198,Class_Players!$A:$A,Class_Players!$B:$B,"")</f>
        <v>Engineer</v>
      </c>
      <c r="C1198" s="42" t="str" cm="1">
        <f t="array" ref="C1198">INDEX(Lookups!$B$2:$B$13,MOD(ROW()-ROW($B$2),ROWS(Lookups!$B$2:$B$13))+1)</f>
        <v>EOD Bot</v>
      </c>
      <c r="D1198" s="38" t="str">
        <f>_xlfn.XLOOKUP(C1198,Analysis_Gadgets!$C:$C,Analysis_Gadgets!$B:$B)</f>
        <v>Gadget</v>
      </c>
      <c r="E1198" s="43">
        <v>36</v>
      </c>
      <c r="F1198" s="43">
        <f>_xlfn.XLOOKUP(A1198,Class_Players!A:A,Class_Players!G:G)</f>
        <v>233</v>
      </c>
      <c r="G1198" s="43">
        <f t="shared" si="260"/>
        <v>0.15450643776824036</v>
      </c>
      <c r="H1198" s="43">
        <f>_xlfn.XLOOKUP(A1198,Class_Players!$A:$A,Class_Players!$F:$F,"")</f>
        <v>6773</v>
      </c>
      <c r="I1198" s="44">
        <f t="shared" si="261"/>
        <v>5.3152222058172154E-3</v>
      </c>
      <c r="J1198" s="43">
        <f t="shared" si="262"/>
        <v>0</v>
      </c>
      <c r="K1198" s="44" cm="1">
        <f t="array" ref="K1198">IF(D1198="Gadget",_xlfn.IFS(I1198&gt;=0.2,0.5,I1198&gt;=0.1,0.35,I1198&gt;=0.05,0.2,TRUE,0),IF(D1198="Grenade",_xlfn.IFS(I1198&gt;=0.2,1,I1198&gt;=0.1,0.7,I1198&gt;=0.05,0.4,TRUE,0),0))</f>
        <v>0</v>
      </c>
      <c r="L1198" s="57">
        <f t="shared" si="268"/>
        <v>0</v>
      </c>
    </row>
    <row r="1199" spans="1:12" x14ac:dyDescent="0.25">
      <c r="A1199" s="42" t="str" cm="1">
        <f t="array" ref="A1199">IFERROR(INDEX(_xlfn._xlws.FILTER(Class_Players!A:A,Class_Players!B:B="Engineer"),QUOTIENT(ROW()-ROW($A$2),12)+1),"")</f>
        <v>II STRICK9 II</v>
      </c>
      <c r="B1199" s="42" t="str">
        <f>_xlfn.XLOOKUP(A1199,Class_Players!$A:$A,Class_Players!$B:$B,"")</f>
        <v>Engineer</v>
      </c>
      <c r="C1199" s="42" t="str" cm="1">
        <f t="array" ref="C1199">INDEX(Lookups!$B$2:$B$13,MOD(ROW()-ROW($B$2),ROWS(Lookups!$B$2:$B$13))+1)</f>
        <v>M4A1 SLAM (Tripwire Sensor AV Mine)</v>
      </c>
      <c r="D1199" s="38" t="str">
        <f>_xlfn.XLOOKUP(C1199,Analysis_Gadgets!$C:$C,Analysis_Gadgets!$B:$B)</f>
        <v>Gadget</v>
      </c>
      <c r="E1199" s="43">
        <v>411</v>
      </c>
      <c r="F1199" s="43">
        <f>_xlfn.XLOOKUP(A1199,Class_Players!A:A,Class_Players!G:G)</f>
        <v>233</v>
      </c>
      <c r="G1199" s="43">
        <f t="shared" si="260"/>
        <v>1.7639484978540771</v>
      </c>
      <c r="H1199" s="43">
        <f>_xlfn.XLOOKUP(A1199,Class_Players!$A:$A,Class_Players!$F:$F,"")</f>
        <v>6773</v>
      </c>
      <c r="I1199" s="44">
        <f t="shared" si="261"/>
        <v>6.0682120183079877E-2</v>
      </c>
      <c r="J1199" s="43">
        <f t="shared" si="262"/>
        <v>0</v>
      </c>
      <c r="K1199" s="44" cm="1">
        <f t="array" ref="K1199">IF(D1199="Gadget",_xlfn.IFS(I1199&gt;=0.2,0.5,I1199&gt;=0.1,0.35,I1199&gt;=0.05,0.2,TRUE,0),IF(D1199="Grenade",_xlfn.IFS(I1199&gt;=0.2,1,I1199&gt;=0.1,0.7,I1199&gt;=0.05,0.4,TRUE,0),0))</f>
        <v>0.2</v>
      </c>
      <c r="L1199" s="57">
        <f t="shared" si="268"/>
        <v>0.16666666666666669</v>
      </c>
    </row>
    <row r="1200" spans="1:12" x14ac:dyDescent="0.25">
      <c r="A1200" s="42" t="str" cm="1">
        <f t="array" ref="A1200">IFERROR(INDEX(_xlfn._xlws.FILTER(Class_Players!A:A,Class_Players!B:B="Engineer"),QUOTIENT(ROW()-ROW($A$2),12)+1),"")</f>
        <v>II STRICK9 II</v>
      </c>
      <c r="B1200" s="42" t="str">
        <f>_xlfn.XLOOKUP(A1200,Class_Players!$A:$A,Class_Players!$B:$B,"")</f>
        <v>Engineer</v>
      </c>
      <c r="C1200" s="42" t="str" cm="1">
        <f t="array" ref="C1200">INDEX(Lookups!$B$2:$B$13,MOD(ROW()-ROW($B$2),ROWS(Lookups!$B$2:$B$13))+1)</f>
        <v>Mini Frag Grenade</v>
      </c>
      <c r="D1200" s="38" t="str">
        <f>_xlfn.XLOOKUP(C1200,Analysis_Gadgets!$C:$C,Analysis_Gadgets!$B:$B)</f>
        <v>Grenade</v>
      </c>
      <c r="E1200" s="43">
        <v>0</v>
      </c>
      <c r="F1200" s="43">
        <f>_xlfn.XLOOKUP(A1200,Class_Players!A:A,Class_Players!G:G)</f>
        <v>233</v>
      </c>
      <c r="G1200" s="43">
        <f t="shared" si="260"/>
        <v>0</v>
      </c>
      <c r="H1200" s="43">
        <f>_xlfn.XLOOKUP(A1200,Class_Players!$A:$A,Class_Players!$F:$F,"")</f>
        <v>6773</v>
      </c>
      <c r="I1200" s="44">
        <f t="shared" si="261"/>
        <v>0</v>
      </c>
      <c r="J1200" s="43">
        <f t="shared" si="262"/>
        <v>0</v>
      </c>
      <c r="K1200" s="44" cm="1">
        <f t="array" ref="K1200">IF(D1200="Gadget",_xlfn.IFS(I1200&gt;=0.2,0.5,I1200&gt;=0.1,0.35,I1200&gt;=0.05,0.2,TRUE,0),IF(D1200="Grenade",_xlfn.IFS(I1200&gt;=0.2,1,I1200&gt;=0.1,0.7,I1200&gt;=0.05,0.4,TRUE,0),0))</f>
        <v>0</v>
      </c>
      <c r="L1200" s="57">
        <f t="shared" ref="L1200:L1201" si="269">IF($K1200=0,0,$K1200 / SUMIFS($K:$K,$A:$A,$A1200,$D:$D,"Grenade"))</f>
        <v>0</v>
      </c>
    </row>
    <row r="1201" spans="1:12" x14ac:dyDescent="0.25">
      <c r="A1201" s="42" t="str" cm="1">
        <f t="array" ref="A1201">IFERROR(INDEX(_xlfn._xlws.FILTER(Class_Players!A:A,Class_Players!B:B="Engineer"),QUOTIENT(ROW()-ROW($A$2),12)+1),"")</f>
        <v>II STRICK9 II</v>
      </c>
      <c r="B1201" s="42" t="str">
        <f>_xlfn.XLOOKUP(A1201,Class_Players!$A:$A,Class_Players!$B:$B,"")</f>
        <v>Engineer</v>
      </c>
      <c r="C1201" s="42" t="str" cm="1">
        <f t="array" ref="C1201">INDEX(Lookups!$B$2:$B$13,MOD(ROW()-ROW($B$2),ROWS(Lookups!$B$2:$B$13))+1)</f>
        <v>Anti-Vehicle Grenade</v>
      </c>
      <c r="D1201" s="38" t="str">
        <f>_xlfn.XLOOKUP(C1201,Analysis_Gadgets!$C:$C,Analysis_Gadgets!$B:$B)</f>
        <v>Grenade</v>
      </c>
      <c r="E1201" s="43">
        <v>0</v>
      </c>
      <c r="F1201" s="43">
        <f>_xlfn.XLOOKUP(A1201,Class_Players!A:A,Class_Players!G:G)</f>
        <v>233</v>
      </c>
      <c r="G1201" s="43">
        <f t="shared" si="260"/>
        <v>0</v>
      </c>
      <c r="H1201" s="43">
        <f>_xlfn.XLOOKUP(A1201,Class_Players!$A:$A,Class_Players!$F:$F,"")</f>
        <v>6773</v>
      </c>
      <c r="I1201" s="44">
        <f t="shared" si="261"/>
        <v>0</v>
      </c>
      <c r="J1201" s="43">
        <f t="shared" si="262"/>
        <v>0</v>
      </c>
      <c r="K1201" s="44" cm="1">
        <f t="array" ref="K1201">IF(D1201="Gadget",_xlfn.IFS(I1201&gt;=0.2,0.5,I1201&gt;=0.1,0.35,I1201&gt;=0.05,0.2,TRUE,0),IF(D1201="Grenade",_xlfn.IFS(I1201&gt;=0.2,1,I1201&gt;=0.1,0.7,I1201&gt;=0.05,0.4,TRUE,0),0))</f>
        <v>0</v>
      </c>
      <c r="L1201" s="57">
        <f t="shared" si="269"/>
        <v>0</v>
      </c>
    </row>
  </sheetData>
  <conditionalFormatting sqref="A1:C1 E1:J1 A2:L10000">
    <cfRule type="expression" dxfId="12" priority="12">
      <formula>MOD(ROW()-13,12)=0</formula>
    </cfRule>
  </conditionalFormatting>
  <conditionalFormatting sqref="J1:J1048576">
    <cfRule type="colorScale" priority="27">
      <colorScale>
        <cfvo type="min"/>
        <cfvo type="max"/>
        <color rgb="FFFCFCFF"/>
        <color rgb="FF63BE7B"/>
      </colorScale>
    </cfRule>
  </conditionalFormatting>
  <conditionalFormatting sqref="K1:L1048576">
    <cfRule type="colorScale" priority="1">
      <colorScale>
        <cfvo type="min"/>
        <cfvo type="max"/>
        <color rgb="FFFCFCFF"/>
        <color rgb="FF63BE7B"/>
      </colorScale>
    </cfRule>
  </conditionalFormatting>
  <conditionalFormatting sqref="K14:L1201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41AE-BE16-4E6C-B364-E34F2F58C219}">
  <dimension ref="A1:L873"/>
  <sheetViews>
    <sheetView workbookViewId="0">
      <pane ySplit="1" topLeftCell="A2" activePane="bottomLeft" state="frozen"/>
      <selection pane="bottomLeft" activeCell="K2" sqref="K2:K801"/>
    </sheetView>
  </sheetViews>
  <sheetFormatPr defaultRowHeight="15" customHeight="1" x14ac:dyDescent="0.25"/>
  <cols>
    <col min="1" max="1" width="18" style="42" bestFit="1" customWidth="1"/>
    <col min="2" max="2" width="6.42578125" style="42" bestFit="1" customWidth="1"/>
    <col min="3" max="4" width="19" style="42" customWidth="1"/>
    <col min="5" max="5" width="12.85546875" style="43" bestFit="1" customWidth="1"/>
    <col min="6" max="6" width="16.7109375" style="43" bestFit="1" customWidth="1"/>
    <col min="7" max="7" width="14.7109375" style="43" bestFit="1" customWidth="1"/>
    <col min="8" max="8" width="19.28515625" style="43" bestFit="1" customWidth="1"/>
    <col min="9" max="9" width="21.7109375" style="44" bestFit="1" customWidth="1"/>
    <col min="10" max="10" width="11.140625" style="43" bestFit="1" customWidth="1"/>
    <col min="11" max="11" width="22" style="42" customWidth="1"/>
    <col min="12" max="12" width="13.5703125" style="42" bestFit="1" customWidth="1"/>
    <col min="13" max="16384" width="9.140625" style="42"/>
  </cols>
  <sheetData>
    <row r="1" spans="1:12" s="41" customFormat="1" ht="15" customHeight="1" thickBot="1" x14ac:dyDescent="0.3">
      <c r="A1" s="9" t="s">
        <v>0</v>
      </c>
      <c r="B1" s="9" t="s">
        <v>2</v>
      </c>
      <c r="C1" s="9" t="s">
        <v>5</v>
      </c>
      <c r="D1" s="9" t="s">
        <v>190</v>
      </c>
      <c r="E1" s="11" t="s">
        <v>6</v>
      </c>
      <c r="F1" s="11" t="s">
        <v>178</v>
      </c>
      <c r="G1" s="11" t="s">
        <v>7</v>
      </c>
      <c r="H1" s="11" t="s">
        <v>3</v>
      </c>
      <c r="I1" s="10" t="s">
        <v>124</v>
      </c>
      <c r="J1" s="11" t="s">
        <v>125</v>
      </c>
      <c r="K1" s="11" t="s">
        <v>234</v>
      </c>
      <c r="L1" s="27" t="s">
        <v>235</v>
      </c>
    </row>
    <row r="2" spans="1:12" ht="15" customHeight="1" x14ac:dyDescent="0.25">
      <c r="A2" s="42" t="str" cm="1">
        <f t="array" ref="A2">IFERROR(INDEX(_xlfn._xlws.FILTER(Class_Players!A:A,Class_Players!B:B="Recon"),QUOTIENT(ROW()-ROW($A$2),8)+1),"")</f>
        <v>ImKruss</v>
      </c>
      <c r="B2" s="42" t="str">
        <f>_xlfn.XLOOKUP(A2,Class_Players!$A:$A,Class_Players!$B:$B,"")</f>
        <v>Recon</v>
      </c>
      <c r="C2" s="38" t="str" cm="1">
        <f t="array" ref="C2">INDEX(Lookups!$C$2:$C$9,MOD(ROW()-ROW($B$2),ROWS(Lookups!$C$2:$C$9))+1)</f>
        <v>Laser Designator</v>
      </c>
      <c r="D2" s="38" t="str">
        <f>_xlfn.XLOOKUP(C2,Analysis_Gadgets!$C:$C,Analysis_Gadgets!$B:$B)</f>
        <v>Gadget</v>
      </c>
      <c r="E2" s="43">
        <v>3</v>
      </c>
      <c r="F2" s="43">
        <f>_xlfn.XLOOKUP(A2,Class_Players!A:A,Class_Players!G:G)</f>
        <v>476</v>
      </c>
      <c r="G2" s="43">
        <f>IF(F2=0,"",E2/(F2))</f>
        <v>6.3025210084033615E-3</v>
      </c>
      <c r="H2" s="43">
        <f>_xlfn.XLOOKUP(A2,Class_Players!$A:$A,Class_Players!$F:$F,"")</f>
        <v>21169</v>
      </c>
      <c r="I2" s="44">
        <f>IF(H2=0,"",E2/H2)</f>
        <v>1.4171666115546318E-4</v>
      </c>
      <c r="J2" s="43">
        <f>IF(I2&gt;=0.1,1,0)</f>
        <v>0</v>
      </c>
      <c r="K2" s="44" cm="1">
        <f t="array" ref="K2">IF(D2="Gadget",_xlfn.IFS(I2&gt;=0.2,0.5,I2&gt;=0.1,0.35,I2&gt;=0.05,0.2,TRUE,0),IF(D2="Grenade",_xlfn.IFS(I2&gt;=0.2,1,I2&gt;=0.1,0.7,I2&gt;=0.05,0.4,TRUE,0),0))</f>
        <v>0</v>
      </c>
      <c r="L2" s="57">
        <f>IF($K2=0,0,$K2 / SUMIFS($K:$K,$A:$A,$A2,$D:$D,"Gadget"))</f>
        <v>0</v>
      </c>
    </row>
    <row r="3" spans="1:12" ht="15" customHeight="1" x14ac:dyDescent="0.25">
      <c r="A3" s="42" t="str" cm="1">
        <f t="array" ref="A3">IFERROR(INDEX(_xlfn._xlws.FILTER(Class_Players!A:A,Class_Players!B:B="Recon"),QUOTIENT(ROW()-ROW($A$2),8)+1),"")</f>
        <v>ImKruss</v>
      </c>
      <c r="B3" s="42" t="str">
        <f>_xlfn.XLOOKUP(A3,Class_Players!$A:$A,Class_Players!$B:$B,"")</f>
        <v>Recon</v>
      </c>
      <c r="C3" s="38" t="str" cm="1">
        <f t="array" ref="C3">INDEX(Lookups!$C$2:$C$9,MOD(ROW()-ROW($B$2),ROWS(Lookups!$C$2:$C$9))+1)</f>
        <v>Recon Drone</v>
      </c>
      <c r="D3" s="38" t="str">
        <f>_xlfn.XLOOKUP(C3,Analysis_Gadgets!$C:$C,Analysis_Gadgets!$B:$B)</f>
        <v>Gadget</v>
      </c>
      <c r="E3" s="43">
        <v>5</v>
      </c>
      <c r="F3" s="43">
        <f>_xlfn.XLOOKUP(A3,Class_Players!A:A,Class_Players!G:G)</f>
        <v>476</v>
      </c>
      <c r="G3" s="43">
        <f t="shared" ref="G3:G9" si="0">IF(F3=0,"",E3/(F3))</f>
        <v>1.050420168067227E-2</v>
      </c>
      <c r="H3" s="43">
        <f>_xlfn.XLOOKUP(A3,Class_Players!$A:$A,Class_Players!$F:$F,"")</f>
        <v>21169</v>
      </c>
      <c r="I3" s="44">
        <f>IF(H3=0,"",E3/H3)</f>
        <v>2.361944352591053E-4</v>
      </c>
      <c r="J3" s="43">
        <f t="shared" ref="J3:J66" si="1">IF(I3&gt;=0.1,1,0)</f>
        <v>0</v>
      </c>
      <c r="K3" s="44" cm="1">
        <f t="array" ref="K3">IF(D3="Gadget",_xlfn.IFS(I3&gt;=0.2,0.5,I3&gt;=0.1,0.35,I3&gt;=0.05,0.2,TRUE,0),IF(D3="Grenade",_xlfn.IFS(I3&gt;=0.2,1,I3&gt;=0.1,0.7,I3&gt;=0.05,0.4,TRUE,0),0))</f>
        <v>0</v>
      </c>
      <c r="L3" s="57">
        <f t="shared" ref="L3:L7" si="2">IF($K3=0,0,$K3 / SUMIFS($K:$K,$A:$A,$A3,$D:$D,"Gadget"))</f>
        <v>0</v>
      </c>
    </row>
    <row r="4" spans="1:12" ht="15" customHeight="1" x14ac:dyDescent="0.25">
      <c r="A4" s="42" t="str" cm="1">
        <f t="array" ref="A4">IFERROR(INDEX(_xlfn._xlws.FILTER(Class_Players!A:A,Class_Players!B:B="Recon"),QUOTIENT(ROW()-ROW($A$2),8)+1),"")</f>
        <v>ImKruss</v>
      </c>
      <c r="B4" s="42" t="str">
        <f>_xlfn.XLOOKUP(A4,Class_Players!$A:$A,Class_Players!$B:$B,"")</f>
        <v>Recon</v>
      </c>
      <c r="C4" s="38" t="str" cm="1">
        <f t="array" ref="C4">INDEX(Lookups!$C$2:$C$9,MOD(ROW()-ROW($B$2),ROWS(Lookups!$C$2:$C$9))+1)</f>
        <v>Tracer Dart</v>
      </c>
      <c r="D4" s="38" t="str">
        <f>_xlfn.XLOOKUP(C4,Analysis_Gadgets!$C:$C,Analysis_Gadgets!$B:$B)</f>
        <v>Gadget</v>
      </c>
      <c r="E4" s="43">
        <v>0</v>
      </c>
      <c r="F4" s="43">
        <f>_xlfn.XLOOKUP(A4,Class_Players!A:A,Class_Players!G:G)</f>
        <v>476</v>
      </c>
      <c r="G4" s="43">
        <f t="shared" si="0"/>
        <v>0</v>
      </c>
      <c r="H4" s="43">
        <f>_xlfn.XLOOKUP(A4,Class_Players!$A:$A,Class_Players!$F:$F,"")</f>
        <v>21169</v>
      </c>
      <c r="I4" s="44">
        <f>IF(H4=0,"",E4/H4)</f>
        <v>0</v>
      </c>
      <c r="J4" s="43">
        <f t="shared" si="1"/>
        <v>0</v>
      </c>
      <c r="K4" s="44" cm="1">
        <f t="array" ref="K4">IF(D4="Gadget",_xlfn.IFS(I4&gt;=0.2,0.5,I4&gt;=0.1,0.35,I4&gt;=0.05,0.2,TRUE,0),IF(D4="Grenade",_xlfn.IFS(I4&gt;=0.2,1,I4&gt;=0.1,0.7,I4&gt;=0.05,0.4,TRUE,0),0))</f>
        <v>0</v>
      </c>
      <c r="L4" s="57">
        <f t="shared" si="2"/>
        <v>0</v>
      </c>
    </row>
    <row r="5" spans="1:12" ht="15" customHeight="1" x14ac:dyDescent="0.25">
      <c r="A5" s="42" t="str" cm="1">
        <f t="array" ref="A5">IFERROR(INDEX(_xlfn._xlws.FILTER(Class_Players!A:A,Class_Players!B:B="Recon"),QUOTIENT(ROW()-ROW($A$2),8)+1),"")</f>
        <v>ImKruss</v>
      </c>
      <c r="B5" s="42" t="str">
        <f>_xlfn.XLOOKUP(A5,Class_Players!$A:$A,Class_Players!$B:$B,"")</f>
        <v>Recon</v>
      </c>
      <c r="C5" s="38" t="str" cm="1">
        <f t="array" ref="C5">INDEX(Lookups!$C$2:$C$9,MOD(ROW()-ROW($B$2),ROWS(Lookups!$C$2:$C$9))+1)</f>
        <v>M18A1 (Claymore)</v>
      </c>
      <c r="D5" s="38" t="str">
        <f>_xlfn.XLOOKUP(C5,Analysis_Gadgets!$C:$C,Analysis_Gadgets!$B:$B)</f>
        <v>Gadget</v>
      </c>
      <c r="E5" s="43">
        <v>8311</v>
      </c>
      <c r="F5" s="43">
        <f>_xlfn.XLOOKUP(A5,Class_Players!A:A,Class_Players!G:G)</f>
        <v>476</v>
      </c>
      <c r="G5" s="43">
        <f t="shared" si="0"/>
        <v>17.460084033613445</v>
      </c>
      <c r="H5" s="43">
        <f>_xlfn.XLOOKUP(A5,Class_Players!$A:$A,Class_Players!$F:$F,"")</f>
        <v>21169</v>
      </c>
      <c r="I5" s="44">
        <f t="shared" ref="I5:I7" si="3">IF(H5=0,"",E5/H5)</f>
        <v>0.39260239028768484</v>
      </c>
      <c r="J5" s="43">
        <f t="shared" si="1"/>
        <v>1</v>
      </c>
      <c r="K5" s="44" cm="1">
        <f t="array" ref="K5">IF(D5="Gadget",_xlfn.IFS(I5&gt;=0.2,0.5,I5&gt;=0.1,0.35,I5&gt;=0.05,0.2,TRUE,0),IF(D5="Grenade",_xlfn.IFS(I5&gt;=0.2,1,I5&gt;=0.1,0.7,I5&gt;=0.05,0.4,TRUE,0),0))</f>
        <v>0.5</v>
      </c>
      <c r="L5" s="57">
        <f t="shared" si="2"/>
        <v>0.5</v>
      </c>
    </row>
    <row r="6" spans="1:12" ht="15" customHeight="1" x14ac:dyDescent="0.25">
      <c r="A6" s="42" t="str" cm="1">
        <f t="array" ref="A6">IFERROR(INDEX(_xlfn._xlws.FILTER(Class_Players!A:A,Class_Players!B:B="Recon"),QUOTIENT(ROW()-ROW($A$2),8)+1),"")</f>
        <v>ImKruss</v>
      </c>
      <c r="B6" s="42" t="str">
        <f>_xlfn.XLOOKUP(A6,Class_Players!$A:$A,Class_Players!$B:$B,"")</f>
        <v>Recon</v>
      </c>
      <c r="C6" s="38" t="str" cm="1">
        <f t="array" ref="C6">INDEX(Lookups!$C$2:$C$9,MOD(ROW()-ROW($B$2),ROWS(Lookups!$C$2:$C$9))+1)</f>
        <v>Sniper Decoy</v>
      </c>
      <c r="D6" s="38" t="str">
        <f>_xlfn.XLOOKUP(C6,Analysis_Gadgets!$C:$C,Analysis_Gadgets!$B:$B)</f>
        <v>Gadget</v>
      </c>
      <c r="E6" s="43">
        <v>0</v>
      </c>
      <c r="F6" s="43">
        <f>_xlfn.XLOOKUP(A6,Class_Players!A:A,Class_Players!G:G)</f>
        <v>476</v>
      </c>
      <c r="G6" s="43">
        <f t="shared" si="0"/>
        <v>0</v>
      </c>
      <c r="H6" s="43">
        <f>_xlfn.XLOOKUP(A6,Class_Players!$A:$A,Class_Players!$F:$F,"")</f>
        <v>21169</v>
      </c>
      <c r="I6" s="44">
        <f t="shared" si="3"/>
        <v>0</v>
      </c>
      <c r="J6" s="43">
        <f t="shared" si="1"/>
        <v>0</v>
      </c>
      <c r="K6" s="44" cm="1">
        <f t="array" ref="K6">IF(D6="Gadget",_xlfn.IFS(I6&gt;=0.2,0.5,I6&gt;=0.1,0.35,I6&gt;=0.05,0.2,TRUE,0),IF(D6="Grenade",_xlfn.IFS(I6&gt;=0.2,1,I6&gt;=0.1,0.7,I6&gt;=0.05,0.4,TRUE,0),0))</f>
        <v>0</v>
      </c>
      <c r="L6" s="57">
        <f t="shared" si="2"/>
        <v>0</v>
      </c>
    </row>
    <row r="7" spans="1:12" ht="15" customHeight="1" x14ac:dyDescent="0.25">
      <c r="A7" s="42" t="str" cm="1">
        <f t="array" ref="A7">IFERROR(INDEX(_xlfn._xlws.FILTER(Class_Players!A:A,Class_Players!B:B="Recon"),QUOTIENT(ROW()-ROW($A$2),8)+1),"")</f>
        <v>ImKruss</v>
      </c>
      <c r="B7" s="42" t="str">
        <f>_xlfn.XLOOKUP(A7,Class_Players!$A:$A,Class_Players!$B:$B,"")</f>
        <v>Recon</v>
      </c>
      <c r="C7" s="38" t="str" cm="1">
        <f t="array" ref="C7">INDEX(Lookups!$C$2:$C$9,MOD(ROW()-ROW($B$2),ROWS(Lookups!$C$2:$C$9))+1)</f>
        <v>C-4 Explosives</v>
      </c>
      <c r="D7" s="38" t="str">
        <f>_xlfn.XLOOKUP(C7,Analysis_Gadgets!$C:$C,Analysis_Gadgets!$B:$B)</f>
        <v>Gadget</v>
      </c>
      <c r="E7" s="43">
        <v>17553</v>
      </c>
      <c r="F7" s="43">
        <f>_xlfn.XLOOKUP(A7,Class_Players!A:A,Class_Players!G:G)</f>
        <v>476</v>
      </c>
      <c r="G7" s="43">
        <f t="shared" si="0"/>
        <v>36.87605042016807</v>
      </c>
      <c r="H7" s="43">
        <f>_xlfn.XLOOKUP(A7,Class_Players!$A:$A,Class_Players!$F:$F,"")</f>
        <v>21169</v>
      </c>
      <c r="I7" s="44">
        <f t="shared" si="3"/>
        <v>0.82918418442061503</v>
      </c>
      <c r="J7" s="43">
        <f t="shared" si="1"/>
        <v>1</v>
      </c>
      <c r="K7" s="44" cm="1">
        <f t="array" ref="K7">IF(D7="Gadget",_xlfn.IFS(I7&gt;=0.2,0.5,I7&gt;=0.1,0.35,I7&gt;=0.05,0.2,TRUE,0),IF(D7="Grenade",_xlfn.IFS(I7&gt;=0.2,1,I7&gt;=0.1,0.7,I7&gt;=0.05,0.4,TRUE,0),0))</f>
        <v>0.5</v>
      </c>
      <c r="L7" s="57">
        <f t="shared" si="2"/>
        <v>0.5</v>
      </c>
    </row>
    <row r="8" spans="1:12" ht="15" customHeight="1" x14ac:dyDescent="0.25">
      <c r="A8" s="42" t="str" cm="1">
        <f t="array" ref="A8">IFERROR(INDEX(_xlfn._xlws.FILTER(Class_Players!A:A,Class_Players!B:B="Recon"),QUOTIENT(ROW()-ROW($A$2),8)+1),"")</f>
        <v>ImKruss</v>
      </c>
      <c r="B8" s="42" t="str">
        <f>_xlfn.XLOOKUP(A8,Class_Players!$A:$A,Class_Players!$B:$B,"")</f>
        <v>Recon</v>
      </c>
      <c r="C8" s="38" t="str" cm="1">
        <f t="array" ref="C8">INDEX(Lookups!$C$2:$C$9,MOD(ROW()-ROW($B$2),ROWS(Lookups!$C$2:$C$9))+1)</f>
        <v>Proximity Detector</v>
      </c>
      <c r="D8" s="38" t="str">
        <f>_xlfn.XLOOKUP(C8,Analysis_Gadgets!$C:$C,Analysis_Gadgets!$B:$B)</f>
        <v>Grenade</v>
      </c>
      <c r="E8" s="43">
        <v>0</v>
      </c>
      <c r="F8" s="43">
        <f>_xlfn.XLOOKUP(A8,Class_Players!A:A,Class_Players!G:G)</f>
        <v>476</v>
      </c>
      <c r="G8" s="43">
        <f t="shared" si="0"/>
        <v>0</v>
      </c>
      <c r="H8" s="43">
        <f>_xlfn.XLOOKUP(A8,Class_Players!$A:$A,Class_Players!$F:$F,"")</f>
        <v>21169</v>
      </c>
      <c r="I8" s="44">
        <f>IF(H8=0,"",E8/H8)</f>
        <v>0</v>
      </c>
      <c r="J8" s="43">
        <f t="shared" si="1"/>
        <v>0</v>
      </c>
      <c r="K8" s="44" cm="1">
        <f t="array" ref="K8">IF(D8="Gadget",_xlfn.IFS(I8&gt;=0.2,0.5,I8&gt;=0.1,0.35,I8&gt;=0.05,0.2,TRUE,0),IF(D8="Grenade",_xlfn.IFS(I8&gt;=0.2,1,I8&gt;=0.1,0.7,I8&gt;=0.05,0.4,TRUE,0),0))</f>
        <v>0</v>
      </c>
      <c r="L8" s="57">
        <f>IF($K8=0,0,$K8 / SUMIFS($K:$K,$A:$A,$A8,$D:$D,"Grenade"))</f>
        <v>0</v>
      </c>
    </row>
    <row r="9" spans="1:12" ht="15" customHeight="1" x14ac:dyDescent="0.25">
      <c r="A9" s="42" t="str" cm="1">
        <f t="array" ref="A9">IFERROR(INDEX(_xlfn._xlws.FILTER(Class_Players!A:A,Class_Players!B:B="Recon"),QUOTIENT(ROW()-ROW($A$2),8)+1),"")</f>
        <v>ImKruss</v>
      </c>
      <c r="B9" s="42" t="str">
        <f>_xlfn.XLOOKUP(A9,Class_Players!$A:$A,Class_Players!$B:$B,"")</f>
        <v>Recon</v>
      </c>
      <c r="C9" s="38" t="str" cm="1">
        <f t="array" ref="C9">INDEX(Lookups!$C$2:$C$9,MOD(ROW()-ROW($B$2),ROWS(Lookups!$C$2:$C$9))+1)</f>
        <v>Throwing Knife</v>
      </c>
      <c r="D9" s="38" t="str">
        <f>_xlfn.XLOOKUP(C9,Analysis_Gadgets!$C:$C,Analysis_Gadgets!$B:$B)</f>
        <v>Grenade</v>
      </c>
      <c r="E9" s="43">
        <v>24</v>
      </c>
      <c r="F9" s="43">
        <f>_xlfn.XLOOKUP(A9,Class_Players!A:A,Class_Players!G:G)</f>
        <v>476</v>
      </c>
      <c r="G9" s="43">
        <f t="shared" si="0"/>
        <v>5.0420168067226892E-2</v>
      </c>
      <c r="H9" s="43">
        <f>_xlfn.XLOOKUP(A9,Class_Players!$A:$A,Class_Players!$F:$F,"")</f>
        <v>21169</v>
      </c>
      <c r="I9" s="44">
        <f t="shared" ref="I9" si="4">IF(H9=0,"",E9/H9)</f>
        <v>1.1337332892437054E-3</v>
      </c>
      <c r="J9" s="43">
        <f t="shared" si="1"/>
        <v>0</v>
      </c>
      <c r="K9" s="44" cm="1">
        <f t="array" ref="K9">IF(D9="Gadget",_xlfn.IFS(I9&gt;=0.2,0.5,I9&gt;=0.1,0.35,I9&gt;=0.05,0.2,TRUE,0),IF(D9="Grenade",_xlfn.IFS(I9&gt;=0.2,1,I9&gt;=0.1,0.7,I9&gt;=0.05,0.4,TRUE,0),0))</f>
        <v>0</v>
      </c>
      <c r="L9" s="57">
        <f>IF($K9=0,0,$K9 / SUMIFS($K:$K,$A:$A,$A9,$D:$D,"Grenade"))</f>
        <v>0</v>
      </c>
    </row>
    <row r="10" spans="1:12" ht="15" customHeight="1" x14ac:dyDescent="0.25">
      <c r="A10" s="42" t="str" cm="1">
        <f t="array" ref="A10">IFERROR(INDEX(_xlfn._xlws.FILTER(Class_Players!A:A,Class_Players!B:B="Recon"),QUOTIENT(ROW()-ROW($A$2),8)+1),"")</f>
        <v>RASHxYT</v>
      </c>
      <c r="B10" s="42" t="str">
        <f>_xlfn.XLOOKUP(A10,Class_Players!$A:$A,Class_Players!$B:$B,"")</f>
        <v>Recon</v>
      </c>
      <c r="C10" s="38" t="str" cm="1">
        <f t="array" ref="C10">INDEX(Lookups!$C$2:$C$9,MOD(ROW()-ROW($B$2),ROWS(Lookups!$C$2:$C$9))+1)</f>
        <v>Laser Designator</v>
      </c>
      <c r="D10" s="38" t="str">
        <f>_xlfn.XLOOKUP(C10,Analysis_Gadgets!$C:$C,Analysis_Gadgets!$B:$B)</f>
        <v>Gadget</v>
      </c>
      <c r="E10" s="43">
        <v>4</v>
      </c>
      <c r="F10" s="43">
        <f>_xlfn.XLOOKUP(A10,Class_Players!A:A,Class_Players!G:G)</f>
        <v>285</v>
      </c>
      <c r="G10" s="43">
        <f>IF(F10=0,"",E10/(F10))</f>
        <v>1.4035087719298246E-2</v>
      </c>
      <c r="H10" s="43">
        <f>_xlfn.XLOOKUP(A10,Class_Players!$A:$A,Class_Players!$F:$F,"")</f>
        <v>17330</v>
      </c>
      <c r="I10" s="44">
        <f>IF(H10=0,"",E10/H10)</f>
        <v>2.3081361800346219E-4</v>
      </c>
      <c r="J10" s="43">
        <f t="shared" si="1"/>
        <v>0</v>
      </c>
      <c r="K10" s="44" cm="1">
        <f t="array" ref="K10">IF(D10="Gadget",_xlfn.IFS(I10&gt;=0.2,0.5,I10&gt;=0.1,0.35,I10&gt;=0.05,0.2,TRUE,0),IF(D10="Grenade",_xlfn.IFS(I10&gt;=0.2,1,I10&gt;=0.1,0.7,I10&gt;=0.05,0.4,TRUE,0),0))</f>
        <v>0</v>
      </c>
      <c r="L10" s="57">
        <f t="shared" ref="L10:L15" si="5">IF($K10=0,0,$K10 / SUMIFS($K:$K,$A:$A,$A10,$D:$D,"Gadget"))</f>
        <v>0</v>
      </c>
    </row>
    <row r="11" spans="1:12" ht="15" customHeight="1" x14ac:dyDescent="0.25">
      <c r="A11" s="42" t="str" cm="1">
        <f t="array" ref="A11">IFERROR(INDEX(_xlfn._xlws.FILTER(Class_Players!A:A,Class_Players!B:B="Recon"),QUOTIENT(ROW()-ROW($A$2),8)+1),"")</f>
        <v>RASHxYT</v>
      </c>
      <c r="B11" s="42" t="str">
        <f>_xlfn.XLOOKUP(A11,Class_Players!$A:$A,Class_Players!$B:$B,"")</f>
        <v>Recon</v>
      </c>
      <c r="C11" s="38" t="str" cm="1">
        <f t="array" ref="C11">INDEX(Lookups!$C$2:$C$9,MOD(ROW()-ROW($B$2),ROWS(Lookups!$C$2:$C$9))+1)</f>
        <v>Recon Drone</v>
      </c>
      <c r="D11" s="38" t="str">
        <f>_xlfn.XLOOKUP(C11,Analysis_Gadgets!$C:$C,Analysis_Gadgets!$B:$B)</f>
        <v>Gadget</v>
      </c>
      <c r="E11" s="43">
        <v>3</v>
      </c>
      <c r="F11" s="43">
        <f>_xlfn.XLOOKUP(A11,Class_Players!A:A,Class_Players!G:G)</f>
        <v>285</v>
      </c>
      <c r="G11" s="43">
        <f t="shared" ref="G11:G26" si="6">IF(F11=0,"",E11/(F11))</f>
        <v>1.0526315789473684E-2</v>
      </c>
      <c r="H11" s="43">
        <f>_xlfn.XLOOKUP(A11,Class_Players!$A:$A,Class_Players!$F:$F,"")</f>
        <v>17330</v>
      </c>
      <c r="I11" s="44">
        <f>IF(H11=0,"",E11/H11)</f>
        <v>1.7311021350259665E-4</v>
      </c>
      <c r="J11" s="43">
        <f t="shared" si="1"/>
        <v>0</v>
      </c>
      <c r="K11" s="44" cm="1">
        <f t="array" ref="K11">IF(D11="Gadget",_xlfn.IFS(I11&gt;=0.2,0.5,I11&gt;=0.1,0.35,I11&gt;=0.05,0.2,TRUE,0),IF(D11="Grenade",_xlfn.IFS(I11&gt;=0.2,1,I11&gt;=0.1,0.7,I11&gt;=0.05,0.4,TRUE,0),0))</f>
        <v>0</v>
      </c>
      <c r="L11" s="57">
        <f t="shared" si="5"/>
        <v>0</v>
      </c>
    </row>
    <row r="12" spans="1:12" ht="15" customHeight="1" x14ac:dyDescent="0.25">
      <c r="A12" s="42" t="str" cm="1">
        <f t="array" ref="A12">IFERROR(INDEX(_xlfn._xlws.FILTER(Class_Players!A:A,Class_Players!B:B="Recon"),QUOTIENT(ROW()-ROW($A$2),8)+1),"")</f>
        <v>RASHxYT</v>
      </c>
      <c r="B12" s="42" t="str">
        <f>_xlfn.XLOOKUP(A12,Class_Players!$A:$A,Class_Players!$B:$B,"")</f>
        <v>Recon</v>
      </c>
      <c r="C12" s="38" t="str" cm="1">
        <f t="array" ref="C12">INDEX(Lookups!$C$2:$C$9,MOD(ROW()-ROW($B$2),ROWS(Lookups!$C$2:$C$9))+1)</f>
        <v>Tracer Dart</v>
      </c>
      <c r="D12" s="38" t="str">
        <f>_xlfn.XLOOKUP(C12,Analysis_Gadgets!$C:$C,Analysis_Gadgets!$B:$B)</f>
        <v>Gadget</v>
      </c>
      <c r="E12" s="43">
        <v>0</v>
      </c>
      <c r="F12" s="43">
        <f>_xlfn.XLOOKUP(A12,Class_Players!A:A,Class_Players!G:G)</f>
        <v>285</v>
      </c>
      <c r="G12" s="43">
        <f t="shared" si="6"/>
        <v>0</v>
      </c>
      <c r="H12" s="43">
        <f>_xlfn.XLOOKUP(A12,Class_Players!$A:$A,Class_Players!$F:$F,"")</f>
        <v>17330</v>
      </c>
      <c r="I12" s="44">
        <f>IF(H12=0,"",E12/H12)</f>
        <v>0</v>
      </c>
      <c r="J12" s="43">
        <f t="shared" si="1"/>
        <v>0</v>
      </c>
      <c r="K12" s="44" cm="1">
        <f t="array" ref="K12">IF(D12="Gadget",_xlfn.IFS(I12&gt;=0.2,0.5,I12&gt;=0.1,0.35,I12&gt;=0.05,0.2,TRUE,0),IF(D12="Grenade",_xlfn.IFS(I12&gt;=0.2,1,I12&gt;=0.1,0.7,I12&gt;=0.05,0.4,TRUE,0),0))</f>
        <v>0</v>
      </c>
      <c r="L12" s="57">
        <f t="shared" si="5"/>
        <v>0</v>
      </c>
    </row>
    <row r="13" spans="1:12" ht="15" customHeight="1" x14ac:dyDescent="0.25">
      <c r="A13" s="42" t="str" cm="1">
        <f t="array" ref="A13">IFERROR(INDEX(_xlfn._xlws.FILTER(Class_Players!A:A,Class_Players!B:B="Recon"),QUOTIENT(ROW()-ROW($A$2),8)+1),"")</f>
        <v>RASHxYT</v>
      </c>
      <c r="B13" s="42" t="str">
        <f>_xlfn.XLOOKUP(A13,Class_Players!$A:$A,Class_Players!$B:$B,"")</f>
        <v>Recon</v>
      </c>
      <c r="C13" s="38" t="str" cm="1">
        <f t="array" ref="C13">INDEX(Lookups!$C$2:$C$9,MOD(ROW()-ROW($B$2),ROWS(Lookups!$C$2:$C$9))+1)</f>
        <v>M18A1 (Claymore)</v>
      </c>
      <c r="D13" s="38" t="str">
        <f>_xlfn.XLOOKUP(C13,Analysis_Gadgets!$C:$C,Analysis_Gadgets!$B:$B)</f>
        <v>Gadget</v>
      </c>
      <c r="E13" s="43">
        <v>609</v>
      </c>
      <c r="F13" s="43">
        <f>_xlfn.XLOOKUP(A13,Class_Players!A:A,Class_Players!G:G)</f>
        <v>285</v>
      </c>
      <c r="G13" s="43">
        <f t="shared" si="6"/>
        <v>2.1368421052631579</v>
      </c>
      <c r="H13" s="43">
        <f>_xlfn.XLOOKUP(A13,Class_Players!$A:$A,Class_Players!$F:$F,"")</f>
        <v>17330</v>
      </c>
      <c r="I13" s="44">
        <f t="shared" ref="I13:I15" si="7">IF(H13=0,"",E13/H13)</f>
        <v>3.514137334102712E-2</v>
      </c>
      <c r="J13" s="43">
        <f t="shared" si="1"/>
        <v>0</v>
      </c>
      <c r="K13" s="44" cm="1">
        <f t="array" ref="K13">IF(D13="Gadget",_xlfn.IFS(I13&gt;=0.2,0.5,I13&gt;=0.1,0.35,I13&gt;=0.05,0.2,TRUE,0),IF(D13="Grenade",_xlfn.IFS(I13&gt;=0.2,1,I13&gt;=0.1,0.7,I13&gt;=0.05,0.4,TRUE,0),0))</f>
        <v>0</v>
      </c>
      <c r="L13" s="57">
        <f t="shared" si="5"/>
        <v>0</v>
      </c>
    </row>
    <row r="14" spans="1:12" ht="15" customHeight="1" x14ac:dyDescent="0.25">
      <c r="A14" s="42" t="str" cm="1">
        <f t="array" ref="A14">IFERROR(INDEX(_xlfn._xlws.FILTER(Class_Players!A:A,Class_Players!B:B="Recon"),QUOTIENT(ROW()-ROW($A$2),8)+1),"")</f>
        <v>RASHxYT</v>
      </c>
      <c r="B14" s="42" t="str">
        <f>_xlfn.XLOOKUP(A14,Class_Players!$A:$A,Class_Players!$B:$B,"")</f>
        <v>Recon</v>
      </c>
      <c r="C14" s="38" t="str" cm="1">
        <f t="array" ref="C14">INDEX(Lookups!$C$2:$C$9,MOD(ROW()-ROW($B$2),ROWS(Lookups!$C$2:$C$9))+1)</f>
        <v>Sniper Decoy</v>
      </c>
      <c r="D14" s="38" t="str">
        <f>_xlfn.XLOOKUP(C14,Analysis_Gadgets!$C:$C,Analysis_Gadgets!$B:$B)</f>
        <v>Gadget</v>
      </c>
      <c r="E14" s="43">
        <v>0</v>
      </c>
      <c r="F14" s="43">
        <f>_xlfn.XLOOKUP(A14,Class_Players!A:A,Class_Players!G:G)</f>
        <v>285</v>
      </c>
      <c r="G14" s="43">
        <f t="shared" si="6"/>
        <v>0</v>
      </c>
      <c r="H14" s="43">
        <f>_xlfn.XLOOKUP(A14,Class_Players!$A:$A,Class_Players!$F:$F,"")</f>
        <v>17330</v>
      </c>
      <c r="I14" s="44">
        <f t="shared" si="7"/>
        <v>0</v>
      </c>
      <c r="J14" s="43">
        <f t="shared" si="1"/>
        <v>0</v>
      </c>
      <c r="K14" s="44" cm="1">
        <f t="array" ref="K14">IF(D14="Gadget",_xlfn.IFS(I14&gt;=0.2,0.5,I14&gt;=0.1,0.35,I14&gt;=0.05,0.2,TRUE,0),IF(D14="Grenade",_xlfn.IFS(I14&gt;=0.2,1,I14&gt;=0.1,0.7,I14&gt;=0.05,0.4,TRUE,0),0))</f>
        <v>0</v>
      </c>
      <c r="L14" s="57">
        <f t="shared" si="5"/>
        <v>0</v>
      </c>
    </row>
    <row r="15" spans="1:12" ht="15" customHeight="1" x14ac:dyDescent="0.25">
      <c r="A15" s="42" t="str" cm="1">
        <f t="array" ref="A15">IFERROR(INDEX(_xlfn._xlws.FILTER(Class_Players!A:A,Class_Players!B:B="Recon"),QUOTIENT(ROW()-ROW($A$2),8)+1),"")</f>
        <v>RASHxYT</v>
      </c>
      <c r="B15" s="42" t="str">
        <f>_xlfn.XLOOKUP(A15,Class_Players!$A:$A,Class_Players!$B:$B,"")</f>
        <v>Recon</v>
      </c>
      <c r="C15" s="38" t="str" cm="1">
        <f t="array" ref="C15">INDEX(Lookups!$C$2:$C$9,MOD(ROW()-ROW($B$2),ROWS(Lookups!$C$2:$C$9))+1)</f>
        <v>C-4 Explosives</v>
      </c>
      <c r="D15" s="38" t="str">
        <f>_xlfn.XLOOKUP(C15,Analysis_Gadgets!$C:$C,Analysis_Gadgets!$B:$B)</f>
        <v>Gadget</v>
      </c>
      <c r="E15" s="43">
        <v>9468</v>
      </c>
      <c r="F15" s="43">
        <f>_xlfn.XLOOKUP(A15,Class_Players!A:A,Class_Players!G:G)</f>
        <v>285</v>
      </c>
      <c r="G15" s="43">
        <f t="shared" si="6"/>
        <v>33.221052631578949</v>
      </c>
      <c r="H15" s="43">
        <f>_xlfn.XLOOKUP(A15,Class_Players!$A:$A,Class_Players!$F:$F,"")</f>
        <v>17330</v>
      </c>
      <c r="I15" s="44">
        <f t="shared" si="7"/>
        <v>0.54633583381419504</v>
      </c>
      <c r="J15" s="43">
        <f t="shared" si="1"/>
        <v>1</v>
      </c>
      <c r="K15" s="44" cm="1">
        <f t="array" ref="K15">IF(D15="Gadget",_xlfn.IFS(I15&gt;=0.2,0.5,I15&gt;=0.1,0.35,I15&gt;=0.05,0.2,TRUE,0),IF(D15="Grenade",_xlfn.IFS(I15&gt;=0.2,1,I15&gt;=0.1,0.7,I15&gt;=0.05,0.4,TRUE,0),0))</f>
        <v>0.5</v>
      </c>
      <c r="L15" s="57">
        <f t="shared" si="5"/>
        <v>1</v>
      </c>
    </row>
    <row r="16" spans="1:12" ht="15" customHeight="1" x14ac:dyDescent="0.25">
      <c r="A16" s="42" t="str" cm="1">
        <f t="array" ref="A16">IFERROR(INDEX(_xlfn._xlws.FILTER(Class_Players!A:A,Class_Players!B:B="Recon"),QUOTIENT(ROW()-ROW($A$2),8)+1),"")</f>
        <v>RASHxYT</v>
      </c>
      <c r="B16" s="42" t="str">
        <f>_xlfn.XLOOKUP(A16,Class_Players!$A:$A,Class_Players!$B:$B,"")</f>
        <v>Recon</v>
      </c>
      <c r="C16" s="38" t="str" cm="1">
        <f t="array" ref="C16">INDEX(Lookups!$C$2:$C$9,MOD(ROW()-ROW($B$2),ROWS(Lookups!$C$2:$C$9))+1)</f>
        <v>Proximity Detector</v>
      </c>
      <c r="D16" s="38" t="str">
        <f>_xlfn.XLOOKUP(C16,Analysis_Gadgets!$C:$C,Analysis_Gadgets!$B:$B)</f>
        <v>Grenade</v>
      </c>
      <c r="E16" s="43">
        <v>205</v>
      </c>
      <c r="F16" s="43">
        <f>_xlfn.XLOOKUP(A16,Class_Players!A:A,Class_Players!G:G)</f>
        <v>285</v>
      </c>
      <c r="G16" s="43">
        <f t="shared" si="6"/>
        <v>0.7192982456140351</v>
      </c>
      <c r="H16" s="43">
        <f>_xlfn.XLOOKUP(A16,Class_Players!$A:$A,Class_Players!$F:$F,"")</f>
        <v>17330</v>
      </c>
      <c r="I16" s="44">
        <f>IF(H16=0,"",E16/H16)</f>
        <v>1.1829197922677438E-2</v>
      </c>
      <c r="J16" s="43">
        <f t="shared" si="1"/>
        <v>0</v>
      </c>
      <c r="K16" s="44" cm="1">
        <f t="array" ref="K16">IF(D16="Gadget",_xlfn.IFS(I16&gt;=0.2,0.5,I16&gt;=0.1,0.35,I16&gt;=0.05,0.2,TRUE,0),IF(D16="Grenade",_xlfn.IFS(I16&gt;=0.2,1,I16&gt;=0.1,0.7,I16&gt;=0.05,0.4,TRUE,0),0))</f>
        <v>0</v>
      </c>
      <c r="L16" s="57">
        <f t="shared" ref="L16:L17" si="8">IF($K16=0,0,$K16 / SUMIFS($K:$K,$A:$A,$A16,$D:$D,"Grenade"))</f>
        <v>0</v>
      </c>
    </row>
    <row r="17" spans="1:12" ht="15" customHeight="1" x14ac:dyDescent="0.25">
      <c r="A17" s="42" t="str" cm="1">
        <f t="array" ref="A17">IFERROR(INDEX(_xlfn._xlws.FILTER(Class_Players!A:A,Class_Players!B:B="Recon"),QUOTIENT(ROW()-ROW($A$2),8)+1),"")</f>
        <v>RASHxYT</v>
      </c>
      <c r="B17" s="42" t="str">
        <f>_xlfn.XLOOKUP(A17,Class_Players!$A:$A,Class_Players!$B:$B,"")</f>
        <v>Recon</v>
      </c>
      <c r="C17" s="38" t="str" cm="1">
        <f t="array" ref="C17">INDEX(Lookups!$C$2:$C$9,MOD(ROW()-ROW($B$2),ROWS(Lookups!$C$2:$C$9))+1)</f>
        <v>Throwing Knife</v>
      </c>
      <c r="D17" s="38" t="str">
        <f>_xlfn.XLOOKUP(C17,Analysis_Gadgets!$C:$C,Analysis_Gadgets!$B:$B)</f>
        <v>Grenade</v>
      </c>
      <c r="E17" s="43">
        <v>10</v>
      </c>
      <c r="F17" s="43">
        <f>_xlfn.XLOOKUP(A17,Class_Players!A:A,Class_Players!G:G)</f>
        <v>285</v>
      </c>
      <c r="G17" s="43">
        <f t="shared" si="6"/>
        <v>3.5087719298245612E-2</v>
      </c>
      <c r="H17" s="43">
        <f>_xlfn.XLOOKUP(A17,Class_Players!$A:$A,Class_Players!$F:$F,"")</f>
        <v>17330</v>
      </c>
      <c r="I17" s="44">
        <f t="shared" ref="I17:I32" si="9">IF(H17=0,"",E17/H17)</f>
        <v>5.7703404500865547E-4</v>
      </c>
      <c r="J17" s="43">
        <f t="shared" si="1"/>
        <v>0</v>
      </c>
      <c r="K17" s="44" cm="1">
        <f t="array" ref="K17">IF(D17="Gadget",_xlfn.IFS(I17&gt;=0.2,0.5,I17&gt;=0.1,0.35,I17&gt;=0.05,0.2,TRUE,0),IF(D17="Grenade",_xlfn.IFS(I17&gt;=0.2,1,I17&gt;=0.1,0.7,I17&gt;=0.05,0.4,TRUE,0),0))</f>
        <v>0</v>
      </c>
      <c r="L17" s="57">
        <f t="shared" si="8"/>
        <v>0</v>
      </c>
    </row>
    <row r="18" spans="1:12" ht="15" customHeight="1" x14ac:dyDescent="0.25">
      <c r="A18" s="42" t="str" cm="1">
        <f t="array" ref="A18">IFERROR(INDEX(_xlfn._xlws.FILTER(Class_Players!A:A,Class_Players!B:B="Recon"),QUOTIENT(ROW()-ROW($A$2),8)+1),"")</f>
        <v>AutomotiveVP</v>
      </c>
      <c r="B18" s="42" t="str">
        <f>_xlfn.XLOOKUP(A18,Class_Players!$A:$A,Class_Players!$B:$B,"")</f>
        <v>Recon</v>
      </c>
      <c r="C18" s="38" t="str" cm="1">
        <f t="array" ref="C18">INDEX(Lookups!$C$2:$C$9,MOD(ROW()-ROW($B$2),ROWS(Lookups!$C$2:$C$9))+1)</f>
        <v>Laser Designator</v>
      </c>
      <c r="D18" s="38" t="str">
        <f>_xlfn.XLOOKUP(C18,Analysis_Gadgets!$C:$C,Analysis_Gadgets!$B:$B)</f>
        <v>Gadget</v>
      </c>
      <c r="E18" s="43">
        <v>17</v>
      </c>
      <c r="F18" s="43">
        <f>_xlfn.XLOOKUP(A18,Class_Players!A:A,Class_Players!G:G)</f>
        <v>267</v>
      </c>
      <c r="G18" s="43">
        <f t="shared" si="6"/>
        <v>6.3670411985018729E-2</v>
      </c>
      <c r="H18" s="43">
        <f>_xlfn.XLOOKUP(A18,Class_Players!$A:$A,Class_Players!$F:$F,"")</f>
        <v>15653</v>
      </c>
      <c r="I18" s="44">
        <f t="shared" si="9"/>
        <v>1.0860537916054431E-3</v>
      </c>
      <c r="J18" s="43">
        <f t="shared" si="1"/>
        <v>0</v>
      </c>
      <c r="K18" s="44" cm="1">
        <f t="array" ref="K18">IF(D18="Gadget",_xlfn.IFS(I18&gt;=0.2,0.5,I18&gt;=0.1,0.35,I18&gt;=0.05,0.2,TRUE,0),IF(D18="Grenade",_xlfn.IFS(I18&gt;=0.2,1,I18&gt;=0.1,0.7,I18&gt;=0.05,0.4,TRUE,0),0))</f>
        <v>0</v>
      </c>
      <c r="L18" s="57">
        <f t="shared" ref="L18:L23" si="10">IF($K18=0,0,$K18 / SUMIFS($K:$K,$A:$A,$A18,$D:$D,"Gadget"))</f>
        <v>0</v>
      </c>
    </row>
    <row r="19" spans="1:12" ht="15" customHeight="1" x14ac:dyDescent="0.25">
      <c r="A19" s="42" t="str" cm="1">
        <f t="array" ref="A19">IFERROR(INDEX(_xlfn._xlws.FILTER(Class_Players!A:A,Class_Players!B:B="Recon"),QUOTIENT(ROW()-ROW($A$2),8)+1),"")</f>
        <v>AutomotiveVP</v>
      </c>
      <c r="B19" s="42" t="str">
        <f>_xlfn.XLOOKUP(A19,Class_Players!$A:$A,Class_Players!$B:$B,"")</f>
        <v>Recon</v>
      </c>
      <c r="C19" s="38" t="str" cm="1">
        <f t="array" ref="C19">INDEX(Lookups!$C$2:$C$9,MOD(ROW()-ROW($B$2),ROWS(Lookups!$C$2:$C$9))+1)</f>
        <v>Recon Drone</v>
      </c>
      <c r="D19" s="38" t="str">
        <f>_xlfn.XLOOKUP(C19,Analysis_Gadgets!$C:$C,Analysis_Gadgets!$B:$B)</f>
        <v>Gadget</v>
      </c>
      <c r="E19" s="43">
        <v>71</v>
      </c>
      <c r="F19" s="43">
        <f>_xlfn.XLOOKUP(A19,Class_Players!A:A,Class_Players!G:G)</f>
        <v>267</v>
      </c>
      <c r="G19" s="43">
        <f t="shared" si="6"/>
        <v>0.26591760299625467</v>
      </c>
      <c r="H19" s="43">
        <f>_xlfn.XLOOKUP(A19,Class_Players!$A:$A,Class_Players!$F:$F,"")</f>
        <v>15653</v>
      </c>
      <c r="I19" s="44">
        <f t="shared" si="9"/>
        <v>4.5358717178815566E-3</v>
      </c>
      <c r="J19" s="43">
        <f t="shared" si="1"/>
        <v>0</v>
      </c>
      <c r="K19" s="44" cm="1">
        <f t="array" ref="K19">IF(D19="Gadget",_xlfn.IFS(I19&gt;=0.2,0.5,I19&gt;=0.1,0.35,I19&gt;=0.05,0.2,TRUE,0),IF(D19="Grenade",_xlfn.IFS(I19&gt;=0.2,1,I19&gt;=0.1,0.7,I19&gt;=0.05,0.4,TRUE,0),0))</f>
        <v>0</v>
      </c>
      <c r="L19" s="57">
        <f t="shared" si="10"/>
        <v>0</v>
      </c>
    </row>
    <row r="20" spans="1:12" ht="15" customHeight="1" x14ac:dyDescent="0.25">
      <c r="A20" s="42" t="str" cm="1">
        <f t="array" ref="A20">IFERROR(INDEX(_xlfn._xlws.FILTER(Class_Players!A:A,Class_Players!B:B="Recon"),QUOTIENT(ROW()-ROW($A$2),8)+1),"")</f>
        <v>AutomotiveVP</v>
      </c>
      <c r="B20" s="42" t="str">
        <f>_xlfn.XLOOKUP(A20,Class_Players!$A:$A,Class_Players!$B:$B,"")</f>
        <v>Recon</v>
      </c>
      <c r="C20" s="38" t="str" cm="1">
        <f t="array" ref="C20">INDEX(Lookups!$C$2:$C$9,MOD(ROW()-ROW($B$2),ROWS(Lookups!$C$2:$C$9))+1)</f>
        <v>Tracer Dart</v>
      </c>
      <c r="D20" s="38" t="str">
        <f>_xlfn.XLOOKUP(C20,Analysis_Gadgets!$C:$C,Analysis_Gadgets!$B:$B)</f>
        <v>Gadget</v>
      </c>
      <c r="E20" s="43">
        <v>0</v>
      </c>
      <c r="F20" s="43">
        <f>_xlfn.XLOOKUP(A20,Class_Players!A:A,Class_Players!G:G)</f>
        <v>267</v>
      </c>
      <c r="G20" s="43">
        <f t="shared" si="6"/>
        <v>0</v>
      </c>
      <c r="H20" s="43">
        <f>_xlfn.XLOOKUP(A20,Class_Players!$A:$A,Class_Players!$F:$F,"")</f>
        <v>15653</v>
      </c>
      <c r="I20" s="44">
        <f t="shared" si="9"/>
        <v>0</v>
      </c>
      <c r="J20" s="43">
        <f t="shared" si="1"/>
        <v>0</v>
      </c>
      <c r="K20" s="44" cm="1">
        <f t="array" ref="K20">IF(D20="Gadget",_xlfn.IFS(I20&gt;=0.2,0.5,I20&gt;=0.1,0.35,I20&gt;=0.05,0.2,TRUE,0),IF(D20="Grenade",_xlfn.IFS(I20&gt;=0.2,1,I20&gt;=0.1,0.7,I20&gt;=0.05,0.4,TRUE,0),0))</f>
        <v>0</v>
      </c>
      <c r="L20" s="57">
        <f t="shared" si="10"/>
        <v>0</v>
      </c>
    </row>
    <row r="21" spans="1:12" ht="15" customHeight="1" x14ac:dyDescent="0.25">
      <c r="A21" s="42" t="str" cm="1">
        <f t="array" ref="A21">IFERROR(INDEX(_xlfn._xlws.FILTER(Class_Players!A:A,Class_Players!B:B="Recon"),QUOTIENT(ROW()-ROW($A$2),8)+1),"")</f>
        <v>AutomotiveVP</v>
      </c>
      <c r="B21" s="42" t="str">
        <f>_xlfn.XLOOKUP(A21,Class_Players!$A:$A,Class_Players!$B:$B,"")</f>
        <v>Recon</v>
      </c>
      <c r="C21" s="38" t="str" cm="1">
        <f t="array" ref="C21">INDEX(Lookups!$C$2:$C$9,MOD(ROW()-ROW($B$2),ROWS(Lookups!$C$2:$C$9))+1)</f>
        <v>M18A1 (Claymore)</v>
      </c>
      <c r="D21" s="38" t="str">
        <f>_xlfn.XLOOKUP(C21,Analysis_Gadgets!$C:$C,Analysis_Gadgets!$B:$B)</f>
        <v>Gadget</v>
      </c>
      <c r="E21" s="43">
        <v>5288</v>
      </c>
      <c r="F21" s="43">
        <f>_xlfn.XLOOKUP(A21,Class_Players!A:A,Class_Players!G:G)</f>
        <v>267</v>
      </c>
      <c r="G21" s="43">
        <f t="shared" si="6"/>
        <v>19.805243445692884</v>
      </c>
      <c r="H21" s="43">
        <f>_xlfn.XLOOKUP(A21,Class_Players!$A:$A,Class_Players!$F:$F,"")</f>
        <v>15653</v>
      </c>
      <c r="I21" s="44">
        <f t="shared" si="9"/>
        <v>0.33782661470644604</v>
      </c>
      <c r="J21" s="43">
        <f t="shared" si="1"/>
        <v>1</v>
      </c>
      <c r="K21" s="44" cm="1">
        <f t="array" ref="K21">IF(D21="Gadget",_xlfn.IFS(I21&gt;=0.2,0.5,I21&gt;=0.1,0.35,I21&gt;=0.05,0.2,TRUE,0),IF(D21="Grenade",_xlfn.IFS(I21&gt;=0.2,1,I21&gt;=0.1,0.7,I21&gt;=0.05,0.4,TRUE,0),0))</f>
        <v>0.5</v>
      </c>
      <c r="L21" s="57">
        <f t="shared" si="10"/>
        <v>0.5</v>
      </c>
    </row>
    <row r="22" spans="1:12" ht="15" customHeight="1" x14ac:dyDescent="0.25">
      <c r="A22" s="42" t="str" cm="1">
        <f t="array" ref="A22">IFERROR(INDEX(_xlfn._xlws.FILTER(Class_Players!A:A,Class_Players!B:B="Recon"),QUOTIENT(ROW()-ROW($A$2),8)+1),"")</f>
        <v>AutomotiveVP</v>
      </c>
      <c r="B22" s="42" t="str">
        <f>_xlfn.XLOOKUP(A22,Class_Players!$A:$A,Class_Players!$B:$B,"")</f>
        <v>Recon</v>
      </c>
      <c r="C22" s="38" t="str" cm="1">
        <f t="array" ref="C22">INDEX(Lookups!$C$2:$C$9,MOD(ROW()-ROW($B$2),ROWS(Lookups!$C$2:$C$9))+1)</f>
        <v>Sniper Decoy</v>
      </c>
      <c r="D22" s="38" t="str">
        <f>_xlfn.XLOOKUP(C22,Analysis_Gadgets!$C:$C,Analysis_Gadgets!$B:$B)</f>
        <v>Gadget</v>
      </c>
      <c r="E22" s="43">
        <v>15</v>
      </c>
      <c r="F22" s="43">
        <f>_xlfn.XLOOKUP(A22,Class_Players!A:A,Class_Players!G:G)</f>
        <v>267</v>
      </c>
      <c r="G22" s="43">
        <f t="shared" si="6"/>
        <v>5.6179775280898875E-2</v>
      </c>
      <c r="H22" s="43">
        <f>_xlfn.XLOOKUP(A22,Class_Players!$A:$A,Class_Players!$F:$F,"")</f>
        <v>15653</v>
      </c>
      <c r="I22" s="44">
        <f t="shared" si="9"/>
        <v>9.5828275729892038E-4</v>
      </c>
      <c r="J22" s="43">
        <f t="shared" si="1"/>
        <v>0</v>
      </c>
      <c r="K22" s="44" cm="1">
        <f t="array" ref="K22">IF(D22="Gadget",_xlfn.IFS(I22&gt;=0.2,0.5,I22&gt;=0.1,0.35,I22&gt;=0.05,0.2,TRUE,0),IF(D22="Grenade",_xlfn.IFS(I22&gt;=0.2,1,I22&gt;=0.1,0.7,I22&gt;=0.05,0.4,TRUE,0),0))</f>
        <v>0</v>
      </c>
      <c r="L22" s="57">
        <f t="shared" si="10"/>
        <v>0</v>
      </c>
    </row>
    <row r="23" spans="1:12" ht="15" customHeight="1" x14ac:dyDescent="0.25">
      <c r="A23" s="42" t="str" cm="1">
        <f t="array" ref="A23">IFERROR(INDEX(_xlfn._xlws.FILTER(Class_Players!A:A,Class_Players!B:B="Recon"),QUOTIENT(ROW()-ROW($A$2),8)+1),"")</f>
        <v>AutomotiveVP</v>
      </c>
      <c r="B23" s="42" t="str">
        <f>_xlfn.XLOOKUP(A23,Class_Players!$A:$A,Class_Players!$B:$B,"")</f>
        <v>Recon</v>
      </c>
      <c r="C23" s="38" t="str" cm="1">
        <f t="array" ref="C23">INDEX(Lookups!$C$2:$C$9,MOD(ROW()-ROW($B$2),ROWS(Lookups!$C$2:$C$9))+1)</f>
        <v>C-4 Explosives</v>
      </c>
      <c r="D23" s="38" t="str">
        <f>_xlfn.XLOOKUP(C23,Analysis_Gadgets!$C:$C,Analysis_Gadgets!$B:$B)</f>
        <v>Gadget</v>
      </c>
      <c r="E23" s="43">
        <v>7123</v>
      </c>
      <c r="F23" s="43">
        <f>_xlfn.XLOOKUP(A23,Class_Players!A:A,Class_Players!G:G)</f>
        <v>267</v>
      </c>
      <c r="G23" s="43">
        <f t="shared" si="6"/>
        <v>26.677902621722847</v>
      </c>
      <c r="H23" s="43">
        <f>_xlfn.XLOOKUP(A23,Class_Players!$A:$A,Class_Players!$F:$F,"")</f>
        <v>15653</v>
      </c>
      <c r="I23" s="44">
        <f t="shared" si="9"/>
        <v>0.45505653868268064</v>
      </c>
      <c r="J23" s="43">
        <f t="shared" si="1"/>
        <v>1</v>
      </c>
      <c r="K23" s="44" cm="1">
        <f t="array" ref="K23">IF(D23="Gadget",_xlfn.IFS(I23&gt;=0.2,0.5,I23&gt;=0.1,0.35,I23&gt;=0.05,0.2,TRUE,0),IF(D23="Grenade",_xlfn.IFS(I23&gt;=0.2,1,I23&gt;=0.1,0.7,I23&gt;=0.05,0.4,TRUE,0),0))</f>
        <v>0.5</v>
      </c>
      <c r="L23" s="57">
        <f t="shared" si="10"/>
        <v>0.5</v>
      </c>
    </row>
    <row r="24" spans="1:12" ht="15" customHeight="1" x14ac:dyDescent="0.25">
      <c r="A24" s="42" t="str" cm="1">
        <f t="array" ref="A24">IFERROR(INDEX(_xlfn._xlws.FILTER(Class_Players!A:A,Class_Players!B:B="Recon"),QUOTIENT(ROW()-ROW($A$2),8)+1),"")</f>
        <v>AutomotiveVP</v>
      </c>
      <c r="B24" s="42" t="str">
        <f>_xlfn.XLOOKUP(A24,Class_Players!$A:$A,Class_Players!$B:$B,"")</f>
        <v>Recon</v>
      </c>
      <c r="C24" s="38" t="str" cm="1">
        <f t="array" ref="C24">INDEX(Lookups!$C$2:$C$9,MOD(ROW()-ROW($B$2),ROWS(Lookups!$C$2:$C$9))+1)</f>
        <v>Proximity Detector</v>
      </c>
      <c r="D24" s="38" t="str">
        <f>_xlfn.XLOOKUP(C24,Analysis_Gadgets!$C:$C,Analysis_Gadgets!$B:$B)</f>
        <v>Grenade</v>
      </c>
      <c r="E24" s="43">
        <v>15</v>
      </c>
      <c r="F24" s="43">
        <f>_xlfn.XLOOKUP(A24,Class_Players!A:A,Class_Players!G:G)</f>
        <v>267</v>
      </c>
      <c r="G24" s="43">
        <f t="shared" si="6"/>
        <v>5.6179775280898875E-2</v>
      </c>
      <c r="H24" s="43">
        <f>_xlfn.XLOOKUP(A24,Class_Players!$A:$A,Class_Players!$F:$F,"")</f>
        <v>15653</v>
      </c>
      <c r="I24" s="44">
        <f t="shared" si="9"/>
        <v>9.5828275729892038E-4</v>
      </c>
      <c r="J24" s="43">
        <f t="shared" si="1"/>
        <v>0</v>
      </c>
      <c r="K24" s="44" cm="1">
        <f t="array" ref="K24">IF(D24="Gadget",_xlfn.IFS(I24&gt;=0.2,0.5,I24&gt;=0.1,0.35,I24&gt;=0.05,0.2,TRUE,0),IF(D24="Grenade",_xlfn.IFS(I24&gt;=0.2,1,I24&gt;=0.1,0.7,I24&gt;=0.05,0.4,TRUE,0),0))</f>
        <v>0</v>
      </c>
      <c r="L24" s="57">
        <f t="shared" ref="L24:L25" si="11">IF($K24=0,0,$K24 / SUMIFS($K:$K,$A:$A,$A24,$D:$D,"Grenade"))</f>
        <v>0</v>
      </c>
    </row>
    <row r="25" spans="1:12" ht="15" customHeight="1" x14ac:dyDescent="0.25">
      <c r="A25" s="42" t="str" cm="1">
        <f t="array" ref="A25">IFERROR(INDEX(_xlfn._xlws.FILTER(Class_Players!A:A,Class_Players!B:B="Recon"),QUOTIENT(ROW()-ROW($A$2),8)+1),"")</f>
        <v>AutomotiveVP</v>
      </c>
      <c r="B25" s="42" t="str">
        <f>_xlfn.XLOOKUP(A25,Class_Players!$A:$A,Class_Players!$B:$B,"")</f>
        <v>Recon</v>
      </c>
      <c r="C25" s="38" t="str" cm="1">
        <f t="array" ref="C25">INDEX(Lookups!$C$2:$C$9,MOD(ROW()-ROW($B$2),ROWS(Lookups!$C$2:$C$9))+1)</f>
        <v>Throwing Knife</v>
      </c>
      <c r="D25" s="38" t="str">
        <f>_xlfn.XLOOKUP(C25,Analysis_Gadgets!$C:$C,Analysis_Gadgets!$B:$B)</f>
        <v>Grenade</v>
      </c>
      <c r="E25" s="43">
        <v>4</v>
      </c>
      <c r="F25" s="43">
        <f>_xlfn.XLOOKUP(A25,Class_Players!A:A,Class_Players!G:G)</f>
        <v>267</v>
      </c>
      <c r="G25" s="43">
        <f t="shared" si="6"/>
        <v>1.4981273408239701E-2</v>
      </c>
      <c r="H25" s="43">
        <f>_xlfn.XLOOKUP(A25,Class_Players!$A:$A,Class_Players!$F:$F,"")</f>
        <v>15653</v>
      </c>
      <c r="I25" s="44">
        <f t="shared" si="9"/>
        <v>2.5554206861304541E-4</v>
      </c>
      <c r="J25" s="43">
        <f t="shared" si="1"/>
        <v>0</v>
      </c>
      <c r="K25" s="44" cm="1">
        <f t="array" ref="K25">IF(D25="Gadget",_xlfn.IFS(I25&gt;=0.2,0.5,I25&gt;=0.1,0.35,I25&gt;=0.05,0.2,TRUE,0),IF(D25="Grenade",_xlfn.IFS(I25&gt;=0.2,1,I25&gt;=0.1,0.7,I25&gt;=0.05,0.4,TRUE,0),0))</f>
        <v>0</v>
      </c>
      <c r="L25" s="57">
        <f t="shared" si="11"/>
        <v>0</v>
      </c>
    </row>
    <row r="26" spans="1:12" ht="15" customHeight="1" x14ac:dyDescent="0.25">
      <c r="A26" s="42" t="str" cm="1">
        <f t="array" ref="A26">IFERROR(INDEX(_xlfn._xlws.FILTER(Class_Players!A:A,Class_Players!B:B="Recon"),QUOTIENT(ROW()-ROW($A$2),8)+1),"")</f>
        <v>O_WOLF_SNIPER_O</v>
      </c>
      <c r="B26" s="42" t="str">
        <f>_xlfn.XLOOKUP(A26,Class_Players!$A:$A,Class_Players!$B:$B,"")</f>
        <v>Recon</v>
      </c>
      <c r="C26" s="38" t="str" cm="1">
        <f t="array" ref="C26">INDEX(Lookups!$C$2:$C$9,MOD(ROW()-ROW($B$2),ROWS(Lookups!$C$2:$C$9))+1)</f>
        <v>Laser Designator</v>
      </c>
      <c r="D26" s="38" t="str">
        <f>_xlfn.XLOOKUP(C26,Analysis_Gadgets!$C:$C,Analysis_Gadgets!$B:$B)</f>
        <v>Gadget</v>
      </c>
      <c r="E26" s="43">
        <v>100</v>
      </c>
      <c r="F26" s="43">
        <f>_xlfn.XLOOKUP(A26,Class_Players!A:A,Class_Players!G:G)</f>
        <v>298</v>
      </c>
      <c r="G26" s="43">
        <f t="shared" si="6"/>
        <v>0.33557046979865773</v>
      </c>
      <c r="H26" s="43">
        <f>_xlfn.XLOOKUP(A26,Class_Players!$A:$A,Class_Players!$F:$F,"")</f>
        <v>14343</v>
      </c>
      <c r="I26" s="44">
        <f t="shared" si="9"/>
        <v>6.9720421111343512E-3</v>
      </c>
      <c r="J26" s="43">
        <f t="shared" si="1"/>
        <v>0</v>
      </c>
      <c r="K26" s="44" cm="1">
        <f t="array" ref="K26">IF(D26="Gadget",_xlfn.IFS(I26&gt;=0.2,0.5,I26&gt;=0.1,0.35,I26&gt;=0.05,0.2,TRUE,0),IF(D26="Grenade",_xlfn.IFS(I26&gt;=0.2,1,I26&gt;=0.1,0.7,I26&gt;=0.05,0.4,TRUE,0),0))</f>
        <v>0</v>
      </c>
      <c r="L26" s="57">
        <f t="shared" ref="L26:L31" si="12">IF($K26=0,0,$K26 / SUMIFS($K:$K,$A:$A,$A26,$D:$D,"Gadget"))</f>
        <v>0</v>
      </c>
    </row>
    <row r="27" spans="1:12" ht="15" customHeight="1" x14ac:dyDescent="0.25">
      <c r="A27" s="42" t="str" cm="1">
        <f t="array" ref="A27">IFERROR(INDEX(_xlfn._xlws.FILTER(Class_Players!A:A,Class_Players!B:B="Recon"),QUOTIENT(ROW()-ROW($A$2),8)+1),"")</f>
        <v>O_WOLF_SNIPER_O</v>
      </c>
      <c r="B27" s="42" t="str">
        <f>_xlfn.XLOOKUP(A27,Class_Players!$A:$A,Class_Players!$B:$B,"")</f>
        <v>Recon</v>
      </c>
      <c r="C27" s="38" t="str" cm="1">
        <f t="array" ref="C27">INDEX(Lookups!$C$2:$C$9,MOD(ROW()-ROW($B$2),ROWS(Lookups!$C$2:$C$9))+1)</f>
        <v>Recon Drone</v>
      </c>
      <c r="D27" s="38" t="str">
        <f>_xlfn.XLOOKUP(C27,Analysis_Gadgets!$C:$C,Analysis_Gadgets!$B:$B)</f>
        <v>Gadget</v>
      </c>
      <c r="E27" s="43">
        <v>270</v>
      </c>
      <c r="F27" s="43">
        <f>_xlfn.XLOOKUP(A27,Class_Players!A:A,Class_Players!G:G)</f>
        <v>298</v>
      </c>
      <c r="G27" s="43">
        <f t="shared" ref="G27:G81" si="13">IF(F27=0,"",E27/(F27))</f>
        <v>0.90604026845637586</v>
      </c>
      <c r="H27" s="43">
        <f>_xlfn.XLOOKUP(A27,Class_Players!$A:$A,Class_Players!$F:$F,"")</f>
        <v>14343</v>
      </c>
      <c r="I27" s="44">
        <f t="shared" si="9"/>
        <v>1.8824513700062748E-2</v>
      </c>
      <c r="J27" s="43">
        <f t="shared" si="1"/>
        <v>0</v>
      </c>
      <c r="K27" s="44" cm="1">
        <f t="array" ref="K27">IF(D27="Gadget",_xlfn.IFS(I27&gt;=0.2,0.5,I27&gt;=0.1,0.35,I27&gt;=0.05,0.2,TRUE,0),IF(D27="Grenade",_xlfn.IFS(I27&gt;=0.2,1,I27&gt;=0.1,0.7,I27&gt;=0.05,0.4,TRUE,0),0))</f>
        <v>0</v>
      </c>
      <c r="L27" s="57">
        <f t="shared" si="12"/>
        <v>0</v>
      </c>
    </row>
    <row r="28" spans="1:12" ht="15" customHeight="1" x14ac:dyDescent="0.25">
      <c r="A28" s="42" t="str" cm="1">
        <f t="array" ref="A28">IFERROR(INDEX(_xlfn._xlws.FILTER(Class_Players!A:A,Class_Players!B:B="Recon"),QUOTIENT(ROW()-ROW($A$2),8)+1),"")</f>
        <v>O_WOLF_SNIPER_O</v>
      </c>
      <c r="B28" s="42" t="str">
        <f>_xlfn.XLOOKUP(A28,Class_Players!$A:$A,Class_Players!$B:$B,"")</f>
        <v>Recon</v>
      </c>
      <c r="C28" s="38" t="str" cm="1">
        <f t="array" ref="C28">INDEX(Lookups!$C$2:$C$9,MOD(ROW()-ROW($B$2),ROWS(Lookups!$C$2:$C$9))+1)</f>
        <v>Tracer Dart</v>
      </c>
      <c r="D28" s="38" t="str">
        <f>_xlfn.XLOOKUP(C28,Analysis_Gadgets!$C:$C,Analysis_Gadgets!$B:$B)</f>
        <v>Gadget</v>
      </c>
      <c r="E28" s="43">
        <v>47</v>
      </c>
      <c r="F28" s="43">
        <f>_xlfn.XLOOKUP(A28,Class_Players!A:A,Class_Players!G:G)</f>
        <v>298</v>
      </c>
      <c r="G28" s="43">
        <f t="shared" si="13"/>
        <v>0.15771812080536912</v>
      </c>
      <c r="H28" s="43">
        <f>_xlfn.XLOOKUP(A28,Class_Players!$A:$A,Class_Players!$F:$F,"")</f>
        <v>14343</v>
      </c>
      <c r="I28" s="44">
        <f t="shared" si="9"/>
        <v>3.276859792233145E-3</v>
      </c>
      <c r="J28" s="43">
        <f t="shared" si="1"/>
        <v>0</v>
      </c>
      <c r="K28" s="44" cm="1">
        <f t="array" ref="K28">IF(D28="Gadget",_xlfn.IFS(I28&gt;=0.2,0.5,I28&gt;=0.1,0.35,I28&gt;=0.05,0.2,TRUE,0),IF(D28="Grenade",_xlfn.IFS(I28&gt;=0.2,1,I28&gt;=0.1,0.7,I28&gt;=0.05,0.4,TRUE,0),0))</f>
        <v>0</v>
      </c>
      <c r="L28" s="57">
        <f t="shared" si="12"/>
        <v>0</v>
      </c>
    </row>
    <row r="29" spans="1:12" ht="15" customHeight="1" x14ac:dyDescent="0.25">
      <c r="A29" s="42" t="str" cm="1">
        <f t="array" ref="A29">IFERROR(INDEX(_xlfn._xlws.FILTER(Class_Players!A:A,Class_Players!B:B="Recon"),QUOTIENT(ROW()-ROW($A$2),8)+1),"")</f>
        <v>O_WOLF_SNIPER_O</v>
      </c>
      <c r="B29" s="42" t="str">
        <f>_xlfn.XLOOKUP(A29,Class_Players!$A:$A,Class_Players!$B:$B,"")</f>
        <v>Recon</v>
      </c>
      <c r="C29" s="38" t="str" cm="1">
        <f t="array" ref="C29">INDEX(Lookups!$C$2:$C$9,MOD(ROW()-ROW($B$2),ROWS(Lookups!$C$2:$C$9))+1)</f>
        <v>M18A1 (Claymore)</v>
      </c>
      <c r="D29" s="38" t="str">
        <f>_xlfn.XLOOKUP(C29,Analysis_Gadgets!$C:$C,Analysis_Gadgets!$B:$B)</f>
        <v>Gadget</v>
      </c>
      <c r="E29" s="43">
        <v>393</v>
      </c>
      <c r="F29" s="43">
        <f>_xlfn.XLOOKUP(A29,Class_Players!A:A,Class_Players!G:G)</f>
        <v>298</v>
      </c>
      <c r="G29" s="43">
        <f t="shared" si="13"/>
        <v>1.3187919463087248</v>
      </c>
      <c r="H29" s="43">
        <f>_xlfn.XLOOKUP(A29,Class_Players!$A:$A,Class_Players!$F:$F,"")</f>
        <v>14343</v>
      </c>
      <c r="I29" s="44">
        <f t="shared" si="9"/>
        <v>2.7400125496758E-2</v>
      </c>
      <c r="J29" s="43">
        <f t="shared" si="1"/>
        <v>0</v>
      </c>
      <c r="K29" s="44" cm="1">
        <f t="array" ref="K29">IF(D29="Gadget",_xlfn.IFS(I29&gt;=0.2,0.5,I29&gt;=0.1,0.35,I29&gt;=0.05,0.2,TRUE,0),IF(D29="Grenade",_xlfn.IFS(I29&gt;=0.2,1,I29&gt;=0.1,0.7,I29&gt;=0.05,0.4,TRUE,0),0))</f>
        <v>0</v>
      </c>
      <c r="L29" s="57">
        <f t="shared" si="12"/>
        <v>0</v>
      </c>
    </row>
    <row r="30" spans="1:12" ht="15" customHeight="1" x14ac:dyDescent="0.25">
      <c r="A30" s="42" t="str" cm="1">
        <f t="array" ref="A30">IFERROR(INDEX(_xlfn._xlws.FILTER(Class_Players!A:A,Class_Players!B:B="Recon"),QUOTIENT(ROW()-ROW($A$2),8)+1),"")</f>
        <v>O_WOLF_SNIPER_O</v>
      </c>
      <c r="B30" s="42" t="str">
        <f>_xlfn.XLOOKUP(A30,Class_Players!$A:$A,Class_Players!$B:$B,"")</f>
        <v>Recon</v>
      </c>
      <c r="C30" s="38" t="str" cm="1">
        <f t="array" ref="C30">INDEX(Lookups!$C$2:$C$9,MOD(ROW()-ROW($B$2),ROWS(Lookups!$C$2:$C$9))+1)</f>
        <v>Sniper Decoy</v>
      </c>
      <c r="D30" s="38" t="str">
        <f>_xlfn.XLOOKUP(C30,Analysis_Gadgets!$C:$C,Analysis_Gadgets!$B:$B)</f>
        <v>Gadget</v>
      </c>
      <c r="E30" s="43">
        <v>50</v>
      </c>
      <c r="F30" s="43">
        <f>_xlfn.XLOOKUP(A30,Class_Players!A:A,Class_Players!G:G)</f>
        <v>298</v>
      </c>
      <c r="G30" s="43">
        <f t="shared" si="13"/>
        <v>0.16778523489932887</v>
      </c>
      <c r="H30" s="43">
        <f>_xlfn.XLOOKUP(A30,Class_Players!$A:$A,Class_Players!$F:$F,"")</f>
        <v>14343</v>
      </c>
      <c r="I30" s="44">
        <f t="shared" si="9"/>
        <v>3.4860210555671756E-3</v>
      </c>
      <c r="J30" s="43">
        <f t="shared" si="1"/>
        <v>0</v>
      </c>
      <c r="K30" s="44" cm="1">
        <f t="array" ref="K30">IF(D30="Gadget",_xlfn.IFS(I30&gt;=0.2,0.5,I30&gt;=0.1,0.35,I30&gt;=0.05,0.2,TRUE,0),IF(D30="Grenade",_xlfn.IFS(I30&gt;=0.2,1,I30&gt;=0.1,0.7,I30&gt;=0.05,0.4,TRUE,0),0))</f>
        <v>0</v>
      </c>
      <c r="L30" s="57">
        <f t="shared" si="12"/>
        <v>0</v>
      </c>
    </row>
    <row r="31" spans="1:12" ht="15" customHeight="1" x14ac:dyDescent="0.25">
      <c r="A31" s="42" t="str" cm="1">
        <f t="array" ref="A31">IFERROR(INDEX(_xlfn._xlws.FILTER(Class_Players!A:A,Class_Players!B:B="Recon"),QUOTIENT(ROW()-ROW($A$2),8)+1),"")</f>
        <v>O_WOLF_SNIPER_O</v>
      </c>
      <c r="B31" s="42" t="str">
        <f>_xlfn.XLOOKUP(A31,Class_Players!$A:$A,Class_Players!$B:$B,"")</f>
        <v>Recon</v>
      </c>
      <c r="C31" s="38" t="str" cm="1">
        <f t="array" ref="C31">INDEX(Lookups!$C$2:$C$9,MOD(ROW()-ROW($B$2),ROWS(Lookups!$C$2:$C$9))+1)</f>
        <v>C-4 Explosives</v>
      </c>
      <c r="D31" s="38" t="str">
        <f>_xlfn.XLOOKUP(C31,Analysis_Gadgets!$C:$C,Analysis_Gadgets!$B:$B)</f>
        <v>Gadget</v>
      </c>
      <c r="E31" s="43">
        <v>1397</v>
      </c>
      <c r="F31" s="43">
        <f>_xlfn.XLOOKUP(A31,Class_Players!A:A,Class_Players!G:G)</f>
        <v>298</v>
      </c>
      <c r="G31" s="43">
        <f t="shared" si="13"/>
        <v>4.6879194630872485</v>
      </c>
      <c r="H31" s="43">
        <f>_xlfn.XLOOKUP(A31,Class_Players!$A:$A,Class_Players!$F:$F,"")</f>
        <v>14343</v>
      </c>
      <c r="I31" s="44">
        <f t="shared" si="9"/>
        <v>9.7399428292546886E-2</v>
      </c>
      <c r="J31" s="43">
        <f t="shared" si="1"/>
        <v>0</v>
      </c>
      <c r="K31" s="44" cm="1">
        <f t="array" ref="K31">IF(D31="Gadget",_xlfn.IFS(I31&gt;=0.2,0.5,I31&gt;=0.1,0.35,I31&gt;=0.05,0.2,TRUE,0),IF(D31="Grenade",_xlfn.IFS(I31&gt;=0.2,1,I31&gt;=0.1,0.7,I31&gt;=0.05,0.4,TRUE,0),0))</f>
        <v>0.2</v>
      </c>
      <c r="L31" s="57">
        <f t="shared" si="12"/>
        <v>1</v>
      </c>
    </row>
    <row r="32" spans="1:12" ht="15" customHeight="1" x14ac:dyDescent="0.25">
      <c r="A32" s="42" t="str" cm="1">
        <f t="array" ref="A32">IFERROR(INDEX(_xlfn._xlws.FILTER(Class_Players!A:A,Class_Players!B:B="Recon"),QUOTIENT(ROW()-ROW($A$2),8)+1),"")</f>
        <v>O_WOLF_SNIPER_O</v>
      </c>
      <c r="B32" s="42" t="str">
        <f>_xlfn.XLOOKUP(A32,Class_Players!$A:$A,Class_Players!$B:$B,"")</f>
        <v>Recon</v>
      </c>
      <c r="C32" s="38" t="str" cm="1">
        <f t="array" ref="C32">INDEX(Lookups!$C$2:$C$9,MOD(ROW()-ROW($B$2),ROWS(Lookups!$C$2:$C$9))+1)</f>
        <v>Proximity Detector</v>
      </c>
      <c r="D32" s="38" t="str">
        <f>_xlfn.XLOOKUP(C32,Analysis_Gadgets!$C:$C,Analysis_Gadgets!$B:$B)</f>
        <v>Grenade</v>
      </c>
      <c r="E32" s="43">
        <v>0</v>
      </c>
      <c r="F32" s="43">
        <f>_xlfn.XLOOKUP(A32,Class_Players!A:A,Class_Players!G:G)</f>
        <v>298</v>
      </c>
      <c r="G32" s="43">
        <f t="shared" si="13"/>
        <v>0</v>
      </c>
      <c r="H32" s="43">
        <f>_xlfn.XLOOKUP(A32,Class_Players!$A:$A,Class_Players!$F:$F,"")</f>
        <v>14343</v>
      </c>
      <c r="I32" s="44">
        <f t="shared" si="9"/>
        <v>0</v>
      </c>
      <c r="J32" s="43">
        <f t="shared" si="1"/>
        <v>0</v>
      </c>
      <c r="K32" s="44" cm="1">
        <f t="array" ref="K32">IF(D32="Gadget",_xlfn.IFS(I32&gt;=0.2,0.5,I32&gt;=0.1,0.35,I32&gt;=0.05,0.2,TRUE,0),IF(D32="Grenade",_xlfn.IFS(I32&gt;=0.2,1,I32&gt;=0.1,0.7,I32&gt;=0.05,0.4,TRUE,0),0))</f>
        <v>0</v>
      </c>
      <c r="L32" s="57">
        <f t="shared" ref="L32:L33" si="14">IF($K32=0,0,$K32 / SUMIFS($K:$K,$A:$A,$A32,$D:$D,"Grenade"))</f>
        <v>0</v>
      </c>
    </row>
    <row r="33" spans="1:12" ht="15" customHeight="1" x14ac:dyDescent="0.25">
      <c r="A33" s="42" t="str" cm="1">
        <f t="array" ref="A33">IFERROR(INDEX(_xlfn._xlws.FILTER(Class_Players!A:A,Class_Players!B:B="Recon"),QUOTIENT(ROW()-ROW($A$2),8)+1),"")</f>
        <v>O_WOLF_SNIPER_O</v>
      </c>
      <c r="B33" s="42" t="str">
        <f>_xlfn.XLOOKUP(A33,Class_Players!$A:$A,Class_Players!$B:$B,"")</f>
        <v>Recon</v>
      </c>
      <c r="C33" s="38" t="str" cm="1">
        <f t="array" ref="C33">INDEX(Lookups!$C$2:$C$9,MOD(ROW()-ROW($B$2),ROWS(Lookups!$C$2:$C$9))+1)</f>
        <v>Throwing Knife</v>
      </c>
      <c r="D33" s="38" t="str">
        <f>_xlfn.XLOOKUP(C33,Analysis_Gadgets!$C:$C,Analysis_Gadgets!$B:$B)</f>
        <v>Grenade</v>
      </c>
      <c r="E33" s="43">
        <v>14</v>
      </c>
      <c r="F33" s="43">
        <f>_xlfn.XLOOKUP(A33,Class_Players!A:A,Class_Players!G:G)</f>
        <v>298</v>
      </c>
      <c r="G33" s="43">
        <f t="shared" si="13"/>
        <v>4.6979865771812082E-2</v>
      </c>
      <c r="H33" s="43">
        <f>_xlfn.XLOOKUP(A33,Class_Players!$A:$A,Class_Players!$F:$F,"")</f>
        <v>14343</v>
      </c>
      <c r="I33" s="44">
        <f t="shared" ref="I33:I81" si="15">IF(H33=0,"",E33/H33)</f>
        <v>9.760858955588092E-4</v>
      </c>
      <c r="J33" s="43">
        <f t="shared" si="1"/>
        <v>0</v>
      </c>
      <c r="K33" s="44" cm="1">
        <f t="array" ref="K33">IF(D33="Gadget",_xlfn.IFS(I33&gt;=0.2,0.5,I33&gt;=0.1,0.35,I33&gt;=0.05,0.2,TRUE,0),IF(D33="Grenade",_xlfn.IFS(I33&gt;=0.2,1,I33&gt;=0.1,0.7,I33&gt;=0.05,0.4,TRUE,0),0))</f>
        <v>0</v>
      </c>
      <c r="L33" s="57">
        <f t="shared" si="14"/>
        <v>0</v>
      </c>
    </row>
    <row r="34" spans="1:12" ht="15" customHeight="1" x14ac:dyDescent="0.25">
      <c r="A34" s="42" t="str" cm="1">
        <f t="array" ref="A34">IFERROR(INDEX(_xlfn._xlws.FILTER(Class_Players!A:A,Class_Players!B:B="Recon"),QUOTIENT(ROW()-ROW($A$2),8)+1),"")</f>
        <v>Colonel_Ghostman</v>
      </c>
      <c r="B34" s="42" t="str">
        <f>_xlfn.XLOOKUP(A34,Class_Players!$A:$A,Class_Players!$B:$B,"")</f>
        <v>Recon</v>
      </c>
      <c r="C34" s="38" t="str" cm="1">
        <f t="array" ref="C34">INDEX(Lookups!$C$2:$C$9,MOD(ROW()-ROW($B$2),ROWS(Lookups!$C$2:$C$9))+1)</f>
        <v>Laser Designator</v>
      </c>
      <c r="D34" s="38" t="str">
        <f>_xlfn.XLOOKUP(C34,Analysis_Gadgets!$C:$C,Analysis_Gadgets!$B:$B)</f>
        <v>Gadget</v>
      </c>
      <c r="E34" s="43">
        <v>43</v>
      </c>
      <c r="F34" s="43">
        <f>_xlfn.XLOOKUP(A34,Class_Players!A:A,Class_Players!G:G)</f>
        <v>321</v>
      </c>
      <c r="G34" s="43">
        <f t="shared" si="13"/>
        <v>0.13395638629283488</v>
      </c>
      <c r="H34" s="43">
        <f>_xlfn.XLOOKUP(A34,Class_Players!$A:$A,Class_Players!$F:$F,"")</f>
        <v>13314</v>
      </c>
      <c r="I34" s="44">
        <f t="shared" si="15"/>
        <v>3.2296830404085924E-3</v>
      </c>
      <c r="J34" s="43">
        <f t="shared" si="1"/>
        <v>0</v>
      </c>
      <c r="K34" s="44" cm="1">
        <f t="array" ref="K34">IF(D34="Gadget",_xlfn.IFS(I34&gt;=0.2,0.5,I34&gt;=0.1,0.35,I34&gt;=0.05,0.2,TRUE,0),IF(D34="Grenade",_xlfn.IFS(I34&gt;=0.2,1,I34&gt;=0.1,0.7,I34&gt;=0.05,0.4,TRUE,0),0))</f>
        <v>0</v>
      </c>
      <c r="L34" s="57">
        <f t="shared" ref="L34:L39" si="16">IF($K34=0,0,$K34 / SUMIFS($K:$K,$A:$A,$A34,$D:$D,"Gadget"))</f>
        <v>0</v>
      </c>
    </row>
    <row r="35" spans="1:12" ht="15" customHeight="1" x14ac:dyDescent="0.25">
      <c r="A35" s="42" t="str" cm="1">
        <f t="array" ref="A35">IFERROR(INDEX(_xlfn._xlws.FILTER(Class_Players!A:A,Class_Players!B:B="Recon"),QUOTIENT(ROW()-ROW($A$2),8)+1),"")</f>
        <v>Colonel_Ghostman</v>
      </c>
      <c r="B35" s="42" t="str">
        <f>_xlfn.XLOOKUP(A35,Class_Players!$A:$A,Class_Players!$B:$B,"")</f>
        <v>Recon</v>
      </c>
      <c r="C35" s="38" t="str" cm="1">
        <f t="array" ref="C35">INDEX(Lookups!$C$2:$C$9,MOD(ROW()-ROW($B$2),ROWS(Lookups!$C$2:$C$9))+1)</f>
        <v>Recon Drone</v>
      </c>
      <c r="D35" s="38" t="str">
        <f>_xlfn.XLOOKUP(C35,Analysis_Gadgets!$C:$C,Analysis_Gadgets!$B:$B)</f>
        <v>Gadget</v>
      </c>
      <c r="E35" s="43">
        <v>88</v>
      </c>
      <c r="F35" s="43">
        <f>_xlfn.XLOOKUP(A35,Class_Players!A:A,Class_Players!G:G)</f>
        <v>321</v>
      </c>
      <c r="G35" s="43">
        <f t="shared" si="13"/>
        <v>0.27414330218068533</v>
      </c>
      <c r="H35" s="43">
        <f>_xlfn.XLOOKUP(A35,Class_Players!$A:$A,Class_Players!$F:$F,"")</f>
        <v>13314</v>
      </c>
      <c r="I35" s="44">
        <f t="shared" si="15"/>
        <v>6.6095838966501426E-3</v>
      </c>
      <c r="J35" s="43">
        <f t="shared" si="1"/>
        <v>0</v>
      </c>
      <c r="K35" s="44" cm="1">
        <f t="array" ref="K35">IF(D35="Gadget",_xlfn.IFS(I35&gt;=0.2,0.5,I35&gt;=0.1,0.35,I35&gt;=0.05,0.2,TRUE,0),IF(D35="Grenade",_xlfn.IFS(I35&gt;=0.2,1,I35&gt;=0.1,0.7,I35&gt;=0.05,0.4,TRUE,0),0))</f>
        <v>0</v>
      </c>
      <c r="L35" s="57">
        <f t="shared" si="16"/>
        <v>0</v>
      </c>
    </row>
    <row r="36" spans="1:12" ht="15" customHeight="1" x14ac:dyDescent="0.25">
      <c r="A36" s="42" t="str" cm="1">
        <f t="array" ref="A36">IFERROR(INDEX(_xlfn._xlws.FILTER(Class_Players!A:A,Class_Players!B:B="Recon"),QUOTIENT(ROW()-ROW($A$2),8)+1),"")</f>
        <v>Colonel_Ghostman</v>
      </c>
      <c r="B36" s="42" t="str">
        <f>_xlfn.XLOOKUP(A36,Class_Players!$A:$A,Class_Players!$B:$B,"")</f>
        <v>Recon</v>
      </c>
      <c r="C36" s="38" t="str" cm="1">
        <f t="array" ref="C36">INDEX(Lookups!$C$2:$C$9,MOD(ROW()-ROW($B$2),ROWS(Lookups!$C$2:$C$9))+1)</f>
        <v>Tracer Dart</v>
      </c>
      <c r="D36" s="38" t="str">
        <f>_xlfn.XLOOKUP(C36,Analysis_Gadgets!$C:$C,Analysis_Gadgets!$B:$B)</f>
        <v>Gadget</v>
      </c>
      <c r="E36" s="43">
        <v>0</v>
      </c>
      <c r="F36" s="43">
        <f>_xlfn.XLOOKUP(A36,Class_Players!A:A,Class_Players!G:G)</f>
        <v>321</v>
      </c>
      <c r="G36" s="43">
        <f t="shared" si="13"/>
        <v>0</v>
      </c>
      <c r="H36" s="43">
        <f>_xlfn.XLOOKUP(A36,Class_Players!$A:$A,Class_Players!$F:$F,"")</f>
        <v>13314</v>
      </c>
      <c r="I36" s="44">
        <f t="shared" si="15"/>
        <v>0</v>
      </c>
      <c r="J36" s="43">
        <f t="shared" si="1"/>
        <v>0</v>
      </c>
      <c r="K36" s="44" cm="1">
        <f t="array" ref="K36">IF(D36="Gadget",_xlfn.IFS(I36&gt;=0.2,0.5,I36&gt;=0.1,0.35,I36&gt;=0.05,0.2,TRUE,0),IF(D36="Grenade",_xlfn.IFS(I36&gt;=0.2,1,I36&gt;=0.1,0.7,I36&gt;=0.05,0.4,TRUE,0),0))</f>
        <v>0</v>
      </c>
      <c r="L36" s="57">
        <f t="shared" si="16"/>
        <v>0</v>
      </c>
    </row>
    <row r="37" spans="1:12" ht="15" customHeight="1" x14ac:dyDescent="0.25">
      <c r="A37" s="42" t="str" cm="1">
        <f t="array" ref="A37">IFERROR(INDEX(_xlfn._xlws.FILTER(Class_Players!A:A,Class_Players!B:B="Recon"),QUOTIENT(ROW()-ROW($A$2),8)+1),"")</f>
        <v>Colonel_Ghostman</v>
      </c>
      <c r="B37" s="42" t="str">
        <f>_xlfn.XLOOKUP(A37,Class_Players!$A:$A,Class_Players!$B:$B,"")</f>
        <v>Recon</v>
      </c>
      <c r="C37" s="38" t="str" cm="1">
        <f t="array" ref="C37">INDEX(Lookups!$C$2:$C$9,MOD(ROW()-ROW($B$2),ROWS(Lookups!$C$2:$C$9))+1)</f>
        <v>M18A1 (Claymore)</v>
      </c>
      <c r="D37" s="38" t="str">
        <f>_xlfn.XLOOKUP(C37,Analysis_Gadgets!$C:$C,Analysis_Gadgets!$B:$B)</f>
        <v>Gadget</v>
      </c>
      <c r="E37" s="43">
        <v>8260</v>
      </c>
      <c r="F37" s="43">
        <f>_xlfn.XLOOKUP(A37,Class_Players!A:A,Class_Players!G:G)</f>
        <v>321</v>
      </c>
      <c r="G37" s="43">
        <f t="shared" si="13"/>
        <v>25.732087227414329</v>
      </c>
      <c r="H37" s="43">
        <f>_xlfn.XLOOKUP(A37,Class_Players!$A:$A,Class_Players!$F:$F,"")</f>
        <v>13314</v>
      </c>
      <c r="I37" s="44">
        <f t="shared" si="15"/>
        <v>0.6203995793901157</v>
      </c>
      <c r="J37" s="43">
        <f t="shared" si="1"/>
        <v>1</v>
      </c>
      <c r="K37" s="44" cm="1">
        <f t="array" ref="K37">IF(D37="Gadget",_xlfn.IFS(I37&gt;=0.2,0.5,I37&gt;=0.1,0.35,I37&gt;=0.05,0.2,TRUE,0),IF(D37="Grenade",_xlfn.IFS(I37&gt;=0.2,1,I37&gt;=0.1,0.7,I37&gt;=0.05,0.4,TRUE,0),0))</f>
        <v>0.5</v>
      </c>
      <c r="L37" s="57">
        <f t="shared" si="16"/>
        <v>0.5</v>
      </c>
    </row>
    <row r="38" spans="1:12" ht="15" customHeight="1" x14ac:dyDescent="0.25">
      <c r="A38" s="42" t="str" cm="1">
        <f t="array" ref="A38">IFERROR(INDEX(_xlfn._xlws.FILTER(Class_Players!A:A,Class_Players!B:B="Recon"),QUOTIENT(ROW()-ROW($A$2),8)+1),"")</f>
        <v>Colonel_Ghostman</v>
      </c>
      <c r="B38" s="42" t="str">
        <f>_xlfn.XLOOKUP(A38,Class_Players!$A:$A,Class_Players!$B:$B,"")</f>
        <v>Recon</v>
      </c>
      <c r="C38" s="38" t="str" cm="1">
        <f t="array" ref="C38">INDEX(Lookups!$C$2:$C$9,MOD(ROW()-ROW($B$2),ROWS(Lookups!$C$2:$C$9))+1)</f>
        <v>Sniper Decoy</v>
      </c>
      <c r="D38" s="38" t="str">
        <f>_xlfn.XLOOKUP(C38,Analysis_Gadgets!$C:$C,Analysis_Gadgets!$B:$B)</f>
        <v>Gadget</v>
      </c>
      <c r="E38" s="43">
        <v>47</v>
      </c>
      <c r="F38" s="43">
        <f>_xlfn.XLOOKUP(A38,Class_Players!A:A,Class_Players!G:G)</f>
        <v>321</v>
      </c>
      <c r="G38" s="43">
        <f t="shared" si="13"/>
        <v>0.14641744548286603</v>
      </c>
      <c r="H38" s="43">
        <f>_xlfn.XLOOKUP(A38,Class_Players!$A:$A,Class_Players!$F:$F,"")</f>
        <v>13314</v>
      </c>
      <c r="I38" s="44">
        <f t="shared" si="15"/>
        <v>3.5301186720745081E-3</v>
      </c>
      <c r="J38" s="43">
        <f t="shared" si="1"/>
        <v>0</v>
      </c>
      <c r="K38" s="44" cm="1">
        <f t="array" ref="K38">IF(D38="Gadget",_xlfn.IFS(I38&gt;=0.2,0.5,I38&gt;=0.1,0.35,I38&gt;=0.05,0.2,TRUE,0),IF(D38="Grenade",_xlfn.IFS(I38&gt;=0.2,1,I38&gt;=0.1,0.7,I38&gt;=0.05,0.4,TRUE,0),0))</f>
        <v>0</v>
      </c>
      <c r="L38" s="57">
        <f t="shared" si="16"/>
        <v>0</v>
      </c>
    </row>
    <row r="39" spans="1:12" ht="15" customHeight="1" x14ac:dyDescent="0.25">
      <c r="A39" s="42" t="str" cm="1">
        <f t="array" ref="A39">IFERROR(INDEX(_xlfn._xlws.FILTER(Class_Players!A:A,Class_Players!B:B="Recon"),QUOTIENT(ROW()-ROW($A$2),8)+1),"")</f>
        <v>Colonel_Ghostman</v>
      </c>
      <c r="B39" s="42" t="str">
        <f>_xlfn.XLOOKUP(A39,Class_Players!$A:$A,Class_Players!$B:$B,"")</f>
        <v>Recon</v>
      </c>
      <c r="C39" s="38" t="str" cm="1">
        <f t="array" ref="C39">INDEX(Lookups!$C$2:$C$9,MOD(ROW()-ROW($B$2),ROWS(Lookups!$C$2:$C$9))+1)</f>
        <v>C-4 Explosives</v>
      </c>
      <c r="D39" s="38" t="str">
        <f>_xlfn.XLOOKUP(C39,Analysis_Gadgets!$C:$C,Analysis_Gadgets!$B:$B)</f>
        <v>Gadget</v>
      </c>
      <c r="E39" s="43">
        <v>11238</v>
      </c>
      <c r="F39" s="43">
        <f>_xlfn.XLOOKUP(A39,Class_Players!A:A,Class_Players!G:G)</f>
        <v>321</v>
      </c>
      <c r="G39" s="43">
        <f t="shared" si="13"/>
        <v>35.009345794392523</v>
      </c>
      <c r="H39" s="43">
        <f>_xlfn.XLOOKUP(A39,Class_Players!$A:$A,Class_Players!$F:$F,"")</f>
        <v>13314</v>
      </c>
      <c r="I39" s="44">
        <f t="shared" si="15"/>
        <v>0.84407390716538977</v>
      </c>
      <c r="J39" s="43">
        <f t="shared" si="1"/>
        <v>1</v>
      </c>
      <c r="K39" s="44" cm="1">
        <f t="array" ref="K39">IF(D39="Gadget",_xlfn.IFS(I39&gt;=0.2,0.5,I39&gt;=0.1,0.35,I39&gt;=0.05,0.2,TRUE,0),IF(D39="Grenade",_xlfn.IFS(I39&gt;=0.2,1,I39&gt;=0.1,0.7,I39&gt;=0.05,0.4,TRUE,0),0))</f>
        <v>0.5</v>
      </c>
      <c r="L39" s="57">
        <f t="shared" si="16"/>
        <v>0.5</v>
      </c>
    </row>
    <row r="40" spans="1:12" ht="15" customHeight="1" x14ac:dyDescent="0.25">
      <c r="A40" s="42" t="str" cm="1">
        <f t="array" ref="A40">IFERROR(INDEX(_xlfn._xlws.FILTER(Class_Players!A:A,Class_Players!B:B="Recon"),QUOTIENT(ROW()-ROW($A$2),8)+1),"")</f>
        <v>Colonel_Ghostman</v>
      </c>
      <c r="B40" s="42" t="str">
        <f>_xlfn.XLOOKUP(A40,Class_Players!$A:$A,Class_Players!$B:$B,"")</f>
        <v>Recon</v>
      </c>
      <c r="C40" s="38" t="str" cm="1">
        <f t="array" ref="C40">INDEX(Lookups!$C$2:$C$9,MOD(ROW()-ROW($B$2),ROWS(Lookups!$C$2:$C$9))+1)</f>
        <v>Proximity Detector</v>
      </c>
      <c r="D40" s="38" t="str">
        <f>_xlfn.XLOOKUP(C40,Analysis_Gadgets!$C:$C,Analysis_Gadgets!$B:$B)</f>
        <v>Grenade</v>
      </c>
      <c r="E40" s="43">
        <v>8</v>
      </c>
      <c r="F40" s="43">
        <f>_xlfn.XLOOKUP(A40,Class_Players!A:A,Class_Players!G:G)</f>
        <v>321</v>
      </c>
      <c r="G40" s="43">
        <f t="shared" si="13"/>
        <v>2.4922118380062305E-2</v>
      </c>
      <c r="H40" s="43">
        <f>_xlfn.XLOOKUP(A40,Class_Players!$A:$A,Class_Players!$F:$F,"")</f>
        <v>13314</v>
      </c>
      <c r="I40" s="44">
        <f t="shared" si="15"/>
        <v>6.0087126333183117E-4</v>
      </c>
      <c r="J40" s="43">
        <f t="shared" si="1"/>
        <v>0</v>
      </c>
      <c r="K40" s="44" cm="1">
        <f t="array" ref="K40">IF(D40="Gadget",_xlfn.IFS(I40&gt;=0.2,0.5,I40&gt;=0.1,0.35,I40&gt;=0.05,0.2,TRUE,0),IF(D40="Grenade",_xlfn.IFS(I40&gt;=0.2,1,I40&gt;=0.1,0.7,I40&gt;=0.05,0.4,TRUE,0),0))</f>
        <v>0</v>
      </c>
      <c r="L40" s="57">
        <f t="shared" ref="L40:L41" si="17">IF($K40=0,0,$K40 / SUMIFS($K:$K,$A:$A,$A40,$D:$D,"Grenade"))</f>
        <v>0</v>
      </c>
    </row>
    <row r="41" spans="1:12" ht="15" customHeight="1" x14ac:dyDescent="0.25">
      <c r="A41" s="42" t="str" cm="1">
        <f t="array" ref="A41">IFERROR(INDEX(_xlfn._xlws.FILTER(Class_Players!A:A,Class_Players!B:B="Recon"),QUOTIENT(ROW()-ROW($A$2),8)+1),"")</f>
        <v>Colonel_Ghostman</v>
      </c>
      <c r="B41" s="42" t="str">
        <f>_xlfn.XLOOKUP(A41,Class_Players!$A:$A,Class_Players!$B:$B,"")</f>
        <v>Recon</v>
      </c>
      <c r="C41" s="38" t="str" cm="1">
        <f t="array" ref="C41">INDEX(Lookups!$C$2:$C$9,MOD(ROW()-ROW($B$2),ROWS(Lookups!$C$2:$C$9))+1)</f>
        <v>Throwing Knife</v>
      </c>
      <c r="D41" s="38" t="str">
        <f>_xlfn.XLOOKUP(C41,Analysis_Gadgets!$C:$C,Analysis_Gadgets!$B:$B)</f>
        <v>Grenade</v>
      </c>
      <c r="E41" s="43">
        <v>3</v>
      </c>
      <c r="F41" s="43">
        <f>_xlfn.XLOOKUP(A41,Class_Players!A:A,Class_Players!G:G)</f>
        <v>321</v>
      </c>
      <c r="G41" s="43">
        <f t="shared" si="13"/>
        <v>9.3457943925233638E-3</v>
      </c>
      <c r="H41" s="43">
        <f>_xlfn.XLOOKUP(A41,Class_Players!$A:$A,Class_Players!$F:$F,"")</f>
        <v>13314</v>
      </c>
      <c r="I41" s="44">
        <f t="shared" si="15"/>
        <v>2.2532672374943669E-4</v>
      </c>
      <c r="J41" s="43">
        <f t="shared" si="1"/>
        <v>0</v>
      </c>
      <c r="K41" s="44" cm="1">
        <f t="array" ref="K41">IF(D41="Gadget",_xlfn.IFS(I41&gt;=0.2,0.5,I41&gt;=0.1,0.35,I41&gt;=0.05,0.2,TRUE,0),IF(D41="Grenade",_xlfn.IFS(I41&gt;=0.2,1,I41&gt;=0.1,0.7,I41&gt;=0.05,0.4,TRUE,0),0))</f>
        <v>0</v>
      </c>
      <c r="L41" s="57">
        <f t="shared" si="17"/>
        <v>0</v>
      </c>
    </row>
    <row r="42" spans="1:12" ht="15" customHeight="1" x14ac:dyDescent="0.25">
      <c r="A42" s="42" t="str" cm="1">
        <f t="array" ref="A42">IFERROR(INDEX(_xlfn._xlws.FILTER(Class_Players!A:A,Class_Players!B:B="Recon"),QUOTIENT(ROW()-ROW($A$2),8)+1),"")</f>
        <v>Baaghdaddy</v>
      </c>
      <c r="B42" s="42" t="str">
        <f>_xlfn.XLOOKUP(A42,Class_Players!$A:$A,Class_Players!$B:$B,"")</f>
        <v>Recon</v>
      </c>
      <c r="C42" s="38" t="str" cm="1">
        <f t="array" ref="C42">INDEX(Lookups!$C$2:$C$9,MOD(ROW()-ROW($B$2),ROWS(Lookups!$C$2:$C$9))+1)</f>
        <v>Laser Designator</v>
      </c>
      <c r="D42" s="38" t="str">
        <f>_xlfn.XLOOKUP(C42,Analysis_Gadgets!$C:$C,Analysis_Gadgets!$B:$B)</f>
        <v>Gadget</v>
      </c>
      <c r="E42" s="43">
        <v>1494</v>
      </c>
      <c r="F42" s="43">
        <f>_xlfn.XLOOKUP(A42,Class_Players!A:A,Class_Players!G:G)</f>
        <v>266</v>
      </c>
      <c r="G42" s="43">
        <f t="shared" si="13"/>
        <v>5.6165413533834583</v>
      </c>
      <c r="H42" s="43">
        <f>_xlfn.XLOOKUP(A42,Class_Players!$A:$A,Class_Players!$F:$F,"")</f>
        <v>12787</v>
      </c>
      <c r="I42" s="44">
        <f t="shared" si="15"/>
        <v>0.11683741299757566</v>
      </c>
      <c r="J42" s="43">
        <f t="shared" si="1"/>
        <v>1</v>
      </c>
      <c r="K42" s="44" cm="1">
        <f t="array" ref="K42">IF(D42="Gadget",_xlfn.IFS(I42&gt;=0.2,0.5,I42&gt;=0.1,0.35,I42&gt;=0.05,0.2,TRUE,0),IF(D42="Grenade",_xlfn.IFS(I42&gt;=0.2,1,I42&gt;=0.1,0.7,I42&gt;=0.05,0.4,TRUE,0),0))</f>
        <v>0.35</v>
      </c>
      <c r="L42" s="57">
        <f t="shared" ref="L42:L47" si="18">IF($K42=0,0,$K42 / SUMIFS($K:$K,$A:$A,$A42,$D:$D,"Gadget"))</f>
        <v>0.29166666666666669</v>
      </c>
    </row>
    <row r="43" spans="1:12" ht="15" customHeight="1" x14ac:dyDescent="0.25">
      <c r="A43" s="42" t="str" cm="1">
        <f t="array" ref="A43">IFERROR(INDEX(_xlfn._xlws.FILTER(Class_Players!A:A,Class_Players!B:B="Recon"),QUOTIENT(ROW()-ROW($A$2),8)+1),"")</f>
        <v>Baaghdaddy</v>
      </c>
      <c r="B43" s="42" t="str">
        <f>_xlfn.XLOOKUP(A43,Class_Players!$A:$A,Class_Players!$B:$B,"")</f>
        <v>Recon</v>
      </c>
      <c r="C43" s="38" t="str" cm="1">
        <f t="array" ref="C43">INDEX(Lookups!$C$2:$C$9,MOD(ROW()-ROW($B$2),ROWS(Lookups!$C$2:$C$9))+1)</f>
        <v>Recon Drone</v>
      </c>
      <c r="D43" s="38" t="str">
        <f>_xlfn.XLOOKUP(C43,Analysis_Gadgets!$C:$C,Analysis_Gadgets!$B:$B)</f>
        <v>Gadget</v>
      </c>
      <c r="E43" s="43">
        <v>1305</v>
      </c>
      <c r="F43" s="43">
        <f>_xlfn.XLOOKUP(A43,Class_Players!A:A,Class_Players!G:G)</f>
        <v>266</v>
      </c>
      <c r="G43" s="43">
        <f t="shared" si="13"/>
        <v>4.9060150375939848</v>
      </c>
      <c r="H43" s="43">
        <f>_xlfn.XLOOKUP(A43,Class_Players!$A:$A,Class_Players!$F:$F,"")</f>
        <v>12787</v>
      </c>
      <c r="I43" s="44">
        <f t="shared" si="15"/>
        <v>0.10205677641354501</v>
      </c>
      <c r="J43" s="43">
        <f t="shared" si="1"/>
        <v>1</v>
      </c>
      <c r="K43" s="44" cm="1">
        <f t="array" ref="K43">IF(D43="Gadget",_xlfn.IFS(I43&gt;=0.2,0.5,I43&gt;=0.1,0.35,I43&gt;=0.05,0.2,TRUE,0),IF(D43="Grenade",_xlfn.IFS(I43&gt;=0.2,1,I43&gt;=0.1,0.7,I43&gt;=0.05,0.4,TRUE,0),0))</f>
        <v>0.35</v>
      </c>
      <c r="L43" s="57">
        <f t="shared" si="18"/>
        <v>0.29166666666666669</v>
      </c>
    </row>
    <row r="44" spans="1:12" ht="15" customHeight="1" x14ac:dyDescent="0.25">
      <c r="A44" s="42" t="str" cm="1">
        <f t="array" ref="A44">IFERROR(INDEX(_xlfn._xlws.FILTER(Class_Players!A:A,Class_Players!B:B="Recon"),QUOTIENT(ROW()-ROW($A$2),8)+1),"")</f>
        <v>Baaghdaddy</v>
      </c>
      <c r="B44" s="42" t="str">
        <f>_xlfn.XLOOKUP(A44,Class_Players!$A:$A,Class_Players!$B:$B,"")</f>
        <v>Recon</v>
      </c>
      <c r="C44" s="38" t="str" cm="1">
        <f t="array" ref="C44">INDEX(Lookups!$C$2:$C$9,MOD(ROW()-ROW($B$2),ROWS(Lookups!$C$2:$C$9))+1)</f>
        <v>Tracer Dart</v>
      </c>
      <c r="D44" s="38" t="str">
        <f>_xlfn.XLOOKUP(C44,Analysis_Gadgets!$C:$C,Analysis_Gadgets!$B:$B)</f>
        <v>Gadget</v>
      </c>
      <c r="E44" s="43">
        <v>36</v>
      </c>
      <c r="F44" s="43">
        <f>_xlfn.XLOOKUP(A44,Class_Players!A:A,Class_Players!G:G)</f>
        <v>266</v>
      </c>
      <c r="G44" s="43">
        <f t="shared" si="13"/>
        <v>0.13533834586466165</v>
      </c>
      <c r="H44" s="43">
        <f>_xlfn.XLOOKUP(A44,Class_Players!$A:$A,Class_Players!$F:$F,"")</f>
        <v>12787</v>
      </c>
      <c r="I44" s="44">
        <f t="shared" si="15"/>
        <v>2.8153593493391725E-3</v>
      </c>
      <c r="J44" s="43">
        <f t="shared" si="1"/>
        <v>0</v>
      </c>
      <c r="K44" s="44" cm="1">
        <f t="array" ref="K44">IF(D44="Gadget",_xlfn.IFS(I44&gt;=0.2,0.5,I44&gt;=0.1,0.35,I44&gt;=0.05,0.2,TRUE,0),IF(D44="Grenade",_xlfn.IFS(I44&gt;=0.2,1,I44&gt;=0.1,0.7,I44&gt;=0.05,0.4,TRUE,0),0))</f>
        <v>0</v>
      </c>
      <c r="L44" s="57">
        <f t="shared" si="18"/>
        <v>0</v>
      </c>
    </row>
    <row r="45" spans="1:12" ht="15" customHeight="1" x14ac:dyDescent="0.25">
      <c r="A45" s="42" t="str" cm="1">
        <f t="array" ref="A45">IFERROR(INDEX(_xlfn._xlws.FILTER(Class_Players!A:A,Class_Players!B:B="Recon"),QUOTIENT(ROW()-ROW($A$2),8)+1),"")</f>
        <v>Baaghdaddy</v>
      </c>
      <c r="B45" s="42" t="str">
        <f>_xlfn.XLOOKUP(A45,Class_Players!$A:$A,Class_Players!$B:$B,"")</f>
        <v>Recon</v>
      </c>
      <c r="C45" s="38" t="str" cm="1">
        <f t="array" ref="C45">INDEX(Lookups!$C$2:$C$9,MOD(ROW()-ROW($B$2),ROWS(Lookups!$C$2:$C$9))+1)</f>
        <v>M18A1 (Claymore)</v>
      </c>
      <c r="D45" s="38" t="str">
        <f>_xlfn.XLOOKUP(C45,Analysis_Gadgets!$C:$C,Analysis_Gadgets!$B:$B)</f>
        <v>Gadget</v>
      </c>
      <c r="E45" s="43">
        <v>41</v>
      </c>
      <c r="F45" s="43">
        <f>_xlfn.XLOOKUP(A45,Class_Players!A:A,Class_Players!G:G)</f>
        <v>266</v>
      </c>
      <c r="G45" s="43">
        <f t="shared" si="13"/>
        <v>0.15413533834586465</v>
      </c>
      <c r="H45" s="43">
        <f>_xlfn.XLOOKUP(A45,Class_Players!$A:$A,Class_Players!$F:$F,"")</f>
        <v>12787</v>
      </c>
      <c r="I45" s="44">
        <f t="shared" si="15"/>
        <v>3.2063814811918354E-3</v>
      </c>
      <c r="J45" s="43">
        <f t="shared" si="1"/>
        <v>0</v>
      </c>
      <c r="K45" s="44" cm="1">
        <f t="array" ref="K45">IF(D45="Gadget",_xlfn.IFS(I45&gt;=0.2,0.5,I45&gt;=0.1,0.35,I45&gt;=0.05,0.2,TRUE,0),IF(D45="Grenade",_xlfn.IFS(I45&gt;=0.2,1,I45&gt;=0.1,0.7,I45&gt;=0.05,0.4,TRUE,0),0))</f>
        <v>0</v>
      </c>
      <c r="L45" s="57">
        <f t="shared" si="18"/>
        <v>0</v>
      </c>
    </row>
    <row r="46" spans="1:12" ht="15" customHeight="1" x14ac:dyDescent="0.25">
      <c r="A46" s="42" t="str" cm="1">
        <f t="array" ref="A46">IFERROR(INDEX(_xlfn._xlws.FILTER(Class_Players!A:A,Class_Players!B:B="Recon"),QUOTIENT(ROW()-ROW($A$2),8)+1),"")</f>
        <v>Baaghdaddy</v>
      </c>
      <c r="B46" s="42" t="str">
        <f>_xlfn.XLOOKUP(A46,Class_Players!$A:$A,Class_Players!$B:$B,"")</f>
        <v>Recon</v>
      </c>
      <c r="C46" s="38" t="str" cm="1">
        <f t="array" ref="C46">INDEX(Lookups!$C$2:$C$9,MOD(ROW()-ROW($B$2),ROWS(Lookups!$C$2:$C$9))+1)</f>
        <v>Sniper Decoy</v>
      </c>
      <c r="D46" s="38" t="str">
        <f>_xlfn.XLOOKUP(C46,Analysis_Gadgets!$C:$C,Analysis_Gadgets!$B:$B)</f>
        <v>Gadget</v>
      </c>
      <c r="E46" s="43">
        <v>60</v>
      </c>
      <c r="F46" s="43">
        <f>_xlfn.XLOOKUP(A46,Class_Players!A:A,Class_Players!G:G)</f>
        <v>266</v>
      </c>
      <c r="G46" s="43">
        <f t="shared" si="13"/>
        <v>0.22556390977443608</v>
      </c>
      <c r="H46" s="43">
        <f>_xlfn.XLOOKUP(A46,Class_Players!$A:$A,Class_Players!$F:$F,"")</f>
        <v>12787</v>
      </c>
      <c r="I46" s="44">
        <f t="shared" si="15"/>
        <v>4.6922655822319546E-3</v>
      </c>
      <c r="J46" s="43">
        <f t="shared" si="1"/>
        <v>0</v>
      </c>
      <c r="K46" s="44" cm="1">
        <f t="array" ref="K46">IF(D46="Gadget",_xlfn.IFS(I46&gt;=0.2,0.5,I46&gt;=0.1,0.35,I46&gt;=0.05,0.2,TRUE,0),IF(D46="Grenade",_xlfn.IFS(I46&gt;=0.2,1,I46&gt;=0.1,0.7,I46&gt;=0.05,0.4,TRUE,0),0))</f>
        <v>0</v>
      </c>
      <c r="L46" s="57">
        <f t="shared" si="18"/>
        <v>0</v>
      </c>
    </row>
    <row r="47" spans="1:12" ht="15" customHeight="1" x14ac:dyDescent="0.25">
      <c r="A47" s="42" t="str" cm="1">
        <f t="array" ref="A47">IFERROR(INDEX(_xlfn._xlws.FILTER(Class_Players!A:A,Class_Players!B:B="Recon"),QUOTIENT(ROW()-ROW($A$2),8)+1),"")</f>
        <v>Baaghdaddy</v>
      </c>
      <c r="B47" s="42" t="str">
        <f>_xlfn.XLOOKUP(A47,Class_Players!$A:$A,Class_Players!$B:$B,"")</f>
        <v>Recon</v>
      </c>
      <c r="C47" s="38" t="str" cm="1">
        <f t="array" ref="C47">INDEX(Lookups!$C$2:$C$9,MOD(ROW()-ROW($B$2),ROWS(Lookups!$C$2:$C$9))+1)</f>
        <v>C-4 Explosives</v>
      </c>
      <c r="D47" s="38" t="str">
        <f>_xlfn.XLOOKUP(C47,Analysis_Gadgets!$C:$C,Analysis_Gadgets!$B:$B)</f>
        <v>Gadget</v>
      </c>
      <c r="E47" s="43">
        <v>4458</v>
      </c>
      <c r="F47" s="43">
        <f>_xlfn.XLOOKUP(A47,Class_Players!A:A,Class_Players!G:G)</f>
        <v>266</v>
      </c>
      <c r="G47" s="43">
        <f t="shared" si="13"/>
        <v>16.7593984962406</v>
      </c>
      <c r="H47" s="43">
        <f>_xlfn.XLOOKUP(A47,Class_Players!$A:$A,Class_Players!$F:$F,"")</f>
        <v>12787</v>
      </c>
      <c r="I47" s="44">
        <f t="shared" si="15"/>
        <v>0.34863533275983422</v>
      </c>
      <c r="J47" s="43">
        <f t="shared" si="1"/>
        <v>1</v>
      </c>
      <c r="K47" s="44" cm="1">
        <f t="array" ref="K47">IF(D47="Gadget",_xlfn.IFS(I47&gt;=0.2,0.5,I47&gt;=0.1,0.35,I47&gt;=0.05,0.2,TRUE,0),IF(D47="Grenade",_xlfn.IFS(I47&gt;=0.2,1,I47&gt;=0.1,0.7,I47&gt;=0.05,0.4,TRUE,0),0))</f>
        <v>0.5</v>
      </c>
      <c r="L47" s="57">
        <f t="shared" si="18"/>
        <v>0.41666666666666669</v>
      </c>
    </row>
    <row r="48" spans="1:12" ht="15" customHeight="1" x14ac:dyDescent="0.25">
      <c r="A48" s="42" t="str" cm="1">
        <f t="array" ref="A48">IFERROR(INDEX(_xlfn._xlws.FILTER(Class_Players!A:A,Class_Players!B:B="Recon"),QUOTIENT(ROW()-ROW($A$2),8)+1),"")</f>
        <v>Baaghdaddy</v>
      </c>
      <c r="B48" s="42" t="str">
        <f>_xlfn.XLOOKUP(A48,Class_Players!$A:$A,Class_Players!$B:$B,"")</f>
        <v>Recon</v>
      </c>
      <c r="C48" s="38" t="str" cm="1">
        <f t="array" ref="C48">INDEX(Lookups!$C$2:$C$9,MOD(ROW()-ROW($B$2),ROWS(Lookups!$C$2:$C$9))+1)</f>
        <v>Proximity Detector</v>
      </c>
      <c r="D48" s="38" t="str">
        <f>_xlfn.XLOOKUP(C48,Analysis_Gadgets!$C:$C,Analysis_Gadgets!$B:$B)</f>
        <v>Grenade</v>
      </c>
      <c r="E48" s="43">
        <v>52</v>
      </c>
      <c r="F48" s="43">
        <f>_xlfn.XLOOKUP(A48,Class_Players!A:A,Class_Players!G:G)</f>
        <v>266</v>
      </c>
      <c r="G48" s="43">
        <f t="shared" si="13"/>
        <v>0.19548872180451127</v>
      </c>
      <c r="H48" s="43">
        <f>_xlfn.XLOOKUP(A48,Class_Players!$A:$A,Class_Players!$F:$F,"")</f>
        <v>12787</v>
      </c>
      <c r="I48" s="44">
        <f t="shared" si="15"/>
        <v>4.0666301712676935E-3</v>
      </c>
      <c r="J48" s="43">
        <f t="shared" si="1"/>
        <v>0</v>
      </c>
      <c r="K48" s="44" cm="1">
        <f t="array" ref="K48">IF(D48="Gadget",_xlfn.IFS(I48&gt;=0.2,0.5,I48&gt;=0.1,0.35,I48&gt;=0.05,0.2,TRUE,0),IF(D48="Grenade",_xlfn.IFS(I48&gt;=0.2,1,I48&gt;=0.1,0.7,I48&gt;=0.05,0.4,TRUE,0),0))</f>
        <v>0</v>
      </c>
      <c r="L48" s="57">
        <f t="shared" ref="L48:L49" si="19">IF($K48=0,0,$K48 / SUMIFS($K:$K,$A:$A,$A48,$D:$D,"Grenade"))</f>
        <v>0</v>
      </c>
    </row>
    <row r="49" spans="1:12" ht="15" customHeight="1" x14ac:dyDescent="0.25">
      <c r="A49" s="42" t="str" cm="1">
        <f t="array" ref="A49">IFERROR(INDEX(_xlfn._xlws.FILTER(Class_Players!A:A,Class_Players!B:B="Recon"),QUOTIENT(ROW()-ROW($A$2),8)+1),"")</f>
        <v>Baaghdaddy</v>
      </c>
      <c r="B49" s="42" t="str">
        <f>_xlfn.XLOOKUP(A49,Class_Players!$A:$A,Class_Players!$B:$B,"")</f>
        <v>Recon</v>
      </c>
      <c r="C49" s="38" t="str" cm="1">
        <f t="array" ref="C49">INDEX(Lookups!$C$2:$C$9,MOD(ROW()-ROW($B$2),ROWS(Lookups!$C$2:$C$9))+1)</f>
        <v>Throwing Knife</v>
      </c>
      <c r="D49" s="38" t="str">
        <f>_xlfn.XLOOKUP(C49,Analysis_Gadgets!$C:$C,Analysis_Gadgets!$B:$B)</f>
        <v>Grenade</v>
      </c>
      <c r="E49" s="43">
        <v>298</v>
      </c>
      <c r="F49" s="43">
        <f>_xlfn.XLOOKUP(A49,Class_Players!A:A,Class_Players!G:G)</f>
        <v>266</v>
      </c>
      <c r="G49" s="43">
        <f t="shared" si="13"/>
        <v>1.1203007518796992</v>
      </c>
      <c r="H49" s="43">
        <f>_xlfn.XLOOKUP(A49,Class_Players!$A:$A,Class_Players!$F:$F,"")</f>
        <v>12787</v>
      </c>
      <c r="I49" s="44">
        <f t="shared" si="15"/>
        <v>2.3304919058418708E-2</v>
      </c>
      <c r="J49" s="43">
        <f t="shared" si="1"/>
        <v>0</v>
      </c>
      <c r="K49" s="44" cm="1">
        <f t="array" ref="K49">IF(D49="Gadget",_xlfn.IFS(I49&gt;=0.2,0.5,I49&gt;=0.1,0.35,I49&gt;=0.05,0.2,TRUE,0),IF(D49="Grenade",_xlfn.IFS(I49&gt;=0.2,1,I49&gt;=0.1,0.7,I49&gt;=0.05,0.4,TRUE,0),0))</f>
        <v>0</v>
      </c>
      <c r="L49" s="57">
        <f t="shared" si="19"/>
        <v>0</v>
      </c>
    </row>
    <row r="50" spans="1:12" ht="15" customHeight="1" x14ac:dyDescent="0.25">
      <c r="A50" s="42" t="str" cm="1">
        <f t="array" ref="A50">IFERROR(INDEX(_xlfn._xlws.FILTER(Class_Players!A:A,Class_Players!B:B="Recon"),QUOTIENT(ROW()-ROW($A$2),8)+1),"")</f>
        <v>chrischwa_75</v>
      </c>
      <c r="B50" s="42" t="str">
        <f>_xlfn.XLOOKUP(A50,Class_Players!$A:$A,Class_Players!$B:$B,"")</f>
        <v>Recon</v>
      </c>
      <c r="C50" s="38" t="str" cm="1">
        <f t="array" ref="C50">INDEX(Lookups!$C$2:$C$9,MOD(ROW()-ROW($B$2),ROWS(Lookups!$C$2:$C$9))+1)</f>
        <v>Laser Designator</v>
      </c>
      <c r="D50" s="38" t="str">
        <f>_xlfn.XLOOKUP(C50,Analysis_Gadgets!$C:$C,Analysis_Gadgets!$B:$B)</f>
        <v>Gadget</v>
      </c>
      <c r="E50" s="43">
        <v>40</v>
      </c>
      <c r="F50" s="43">
        <f>_xlfn.XLOOKUP(A50,Class_Players!A:A,Class_Players!G:G)</f>
        <v>115</v>
      </c>
      <c r="G50" s="43">
        <f t="shared" si="13"/>
        <v>0.34782608695652173</v>
      </c>
      <c r="H50" s="43">
        <f>_xlfn.XLOOKUP(A50,Class_Players!$A:$A,Class_Players!$F:$F,"")</f>
        <v>12439</v>
      </c>
      <c r="I50" s="44">
        <f t="shared" si="15"/>
        <v>3.2156925797893719E-3</v>
      </c>
      <c r="J50" s="43">
        <f t="shared" si="1"/>
        <v>0</v>
      </c>
      <c r="K50" s="44" cm="1">
        <f t="array" ref="K50">IF(D50="Gadget",_xlfn.IFS(I50&gt;=0.2,0.5,I50&gt;=0.1,0.35,I50&gt;=0.05,0.2,TRUE,0),IF(D50="Grenade",_xlfn.IFS(I50&gt;=0.2,1,I50&gt;=0.1,0.7,I50&gt;=0.05,0.4,TRUE,0),0))</f>
        <v>0</v>
      </c>
      <c r="L50" s="57">
        <f t="shared" ref="L50:L55" si="20">IF($K50=0,0,$K50 / SUMIFS($K:$K,$A:$A,$A50,$D:$D,"Gadget"))</f>
        <v>0</v>
      </c>
    </row>
    <row r="51" spans="1:12" ht="15" customHeight="1" x14ac:dyDescent="0.25">
      <c r="A51" s="42" t="str" cm="1">
        <f t="array" ref="A51">IFERROR(INDEX(_xlfn._xlws.FILTER(Class_Players!A:A,Class_Players!B:B="Recon"),QUOTIENT(ROW()-ROW($A$2),8)+1),"")</f>
        <v>chrischwa_75</v>
      </c>
      <c r="B51" s="42" t="str">
        <f>_xlfn.XLOOKUP(A51,Class_Players!$A:$A,Class_Players!$B:$B,"")</f>
        <v>Recon</v>
      </c>
      <c r="C51" s="38" t="str" cm="1">
        <f t="array" ref="C51">INDEX(Lookups!$C$2:$C$9,MOD(ROW()-ROW($B$2),ROWS(Lookups!$C$2:$C$9))+1)</f>
        <v>Recon Drone</v>
      </c>
      <c r="D51" s="38" t="str">
        <f>_xlfn.XLOOKUP(C51,Analysis_Gadgets!$C:$C,Analysis_Gadgets!$B:$B)</f>
        <v>Gadget</v>
      </c>
      <c r="E51" s="43">
        <v>77</v>
      </c>
      <c r="F51" s="43">
        <f>_xlfn.XLOOKUP(A51,Class_Players!A:A,Class_Players!G:G)</f>
        <v>115</v>
      </c>
      <c r="G51" s="43">
        <f t="shared" si="13"/>
        <v>0.66956521739130437</v>
      </c>
      <c r="H51" s="43">
        <f>_xlfn.XLOOKUP(A51,Class_Players!$A:$A,Class_Players!$F:$F,"")</f>
        <v>12439</v>
      </c>
      <c r="I51" s="44">
        <f t="shared" si="15"/>
        <v>6.1902082160945416E-3</v>
      </c>
      <c r="J51" s="43">
        <f t="shared" si="1"/>
        <v>0</v>
      </c>
      <c r="K51" s="44" cm="1">
        <f t="array" ref="K51">IF(D51="Gadget",_xlfn.IFS(I51&gt;=0.2,0.5,I51&gt;=0.1,0.35,I51&gt;=0.05,0.2,TRUE,0),IF(D51="Grenade",_xlfn.IFS(I51&gt;=0.2,1,I51&gt;=0.1,0.7,I51&gt;=0.05,0.4,TRUE,0),0))</f>
        <v>0</v>
      </c>
      <c r="L51" s="57">
        <f t="shared" si="20"/>
        <v>0</v>
      </c>
    </row>
    <row r="52" spans="1:12" ht="15" customHeight="1" x14ac:dyDescent="0.25">
      <c r="A52" s="42" t="str" cm="1">
        <f t="array" ref="A52">IFERROR(INDEX(_xlfn._xlws.FILTER(Class_Players!A:A,Class_Players!B:B="Recon"),QUOTIENT(ROW()-ROW($A$2),8)+1),"")</f>
        <v>chrischwa_75</v>
      </c>
      <c r="B52" s="42" t="str">
        <f>_xlfn.XLOOKUP(A52,Class_Players!$A:$A,Class_Players!$B:$B,"")</f>
        <v>Recon</v>
      </c>
      <c r="C52" s="38" t="str" cm="1">
        <f t="array" ref="C52">INDEX(Lookups!$C$2:$C$9,MOD(ROW()-ROW($B$2),ROWS(Lookups!$C$2:$C$9))+1)</f>
        <v>Tracer Dart</v>
      </c>
      <c r="D52" s="38" t="str">
        <f>_xlfn.XLOOKUP(C52,Analysis_Gadgets!$C:$C,Analysis_Gadgets!$B:$B)</f>
        <v>Gadget</v>
      </c>
      <c r="E52" s="43">
        <v>0</v>
      </c>
      <c r="F52" s="43">
        <f>_xlfn.XLOOKUP(A52,Class_Players!A:A,Class_Players!G:G)</f>
        <v>115</v>
      </c>
      <c r="G52" s="43">
        <f t="shared" si="13"/>
        <v>0</v>
      </c>
      <c r="H52" s="43">
        <f>_xlfn.XLOOKUP(A52,Class_Players!$A:$A,Class_Players!$F:$F,"")</f>
        <v>12439</v>
      </c>
      <c r="I52" s="44">
        <f t="shared" si="15"/>
        <v>0</v>
      </c>
      <c r="J52" s="43">
        <f t="shared" si="1"/>
        <v>0</v>
      </c>
      <c r="K52" s="44" cm="1">
        <f t="array" ref="K52">IF(D52="Gadget",_xlfn.IFS(I52&gt;=0.2,0.5,I52&gt;=0.1,0.35,I52&gt;=0.05,0.2,TRUE,0),IF(D52="Grenade",_xlfn.IFS(I52&gt;=0.2,1,I52&gt;=0.1,0.7,I52&gt;=0.05,0.4,TRUE,0),0))</f>
        <v>0</v>
      </c>
      <c r="L52" s="57">
        <f t="shared" si="20"/>
        <v>0</v>
      </c>
    </row>
    <row r="53" spans="1:12" ht="15" customHeight="1" x14ac:dyDescent="0.25">
      <c r="A53" s="42" t="str" cm="1">
        <f t="array" ref="A53">IFERROR(INDEX(_xlfn._xlws.FILTER(Class_Players!A:A,Class_Players!B:B="Recon"),QUOTIENT(ROW()-ROW($A$2),8)+1),"")</f>
        <v>chrischwa_75</v>
      </c>
      <c r="B53" s="42" t="str">
        <f>_xlfn.XLOOKUP(A53,Class_Players!$A:$A,Class_Players!$B:$B,"")</f>
        <v>Recon</v>
      </c>
      <c r="C53" s="38" t="str" cm="1">
        <f t="array" ref="C53">INDEX(Lookups!$C$2:$C$9,MOD(ROW()-ROW($B$2),ROWS(Lookups!$C$2:$C$9))+1)</f>
        <v>M18A1 (Claymore)</v>
      </c>
      <c r="D53" s="38" t="str">
        <f>_xlfn.XLOOKUP(C53,Analysis_Gadgets!$C:$C,Analysis_Gadgets!$B:$B)</f>
        <v>Gadget</v>
      </c>
      <c r="E53" s="43">
        <v>7841</v>
      </c>
      <c r="F53" s="43">
        <f>_xlfn.XLOOKUP(A53,Class_Players!A:A,Class_Players!G:G)</f>
        <v>115</v>
      </c>
      <c r="G53" s="43">
        <f t="shared" si="13"/>
        <v>68.182608695652178</v>
      </c>
      <c r="H53" s="43">
        <f>_xlfn.XLOOKUP(A53,Class_Players!$A:$A,Class_Players!$F:$F,"")</f>
        <v>12439</v>
      </c>
      <c r="I53" s="44">
        <f t="shared" si="15"/>
        <v>0.63035613795321166</v>
      </c>
      <c r="J53" s="43">
        <f t="shared" si="1"/>
        <v>1</v>
      </c>
      <c r="K53" s="44" cm="1">
        <f t="array" ref="K53">IF(D53="Gadget",_xlfn.IFS(I53&gt;=0.2,0.5,I53&gt;=0.1,0.35,I53&gt;=0.05,0.2,TRUE,0),IF(D53="Grenade",_xlfn.IFS(I53&gt;=0.2,1,I53&gt;=0.1,0.7,I53&gt;=0.05,0.4,TRUE,0),0))</f>
        <v>0.5</v>
      </c>
      <c r="L53" s="57">
        <f t="shared" si="20"/>
        <v>0.5</v>
      </c>
    </row>
    <row r="54" spans="1:12" ht="15" customHeight="1" x14ac:dyDescent="0.25">
      <c r="A54" s="42" t="str" cm="1">
        <f t="array" ref="A54">IFERROR(INDEX(_xlfn._xlws.FILTER(Class_Players!A:A,Class_Players!B:B="Recon"),QUOTIENT(ROW()-ROW($A$2),8)+1),"")</f>
        <v>chrischwa_75</v>
      </c>
      <c r="B54" s="42" t="str">
        <f>_xlfn.XLOOKUP(A54,Class_Players!$A:$A,Class_Players!$B:$B,"")</f>
        <v>Recon</v>
      </c>
      <c r="C54" s="38" t="str" cm="1">
        <f t="array" ref="C54">INDEX(Lookups!$C$2:$C$9,MOD(ROW()-ROW($B$2),ROWS(Lookups!$C$2:$C$9))+1)</f>
        <v>Sniper Decoy</v>
      </c>
      <c r="D54" s="38" t="str">
        <f>_xlfn.XLOOKUP(C54,Analysis_Gadgets!$C:$C,Analysis_Gadgets!$B:$B)</f>
        <v>Gadget</v>
      </c>
      <c r="E54" s="43">
        <v>0</v>
      </c>
      <c r="F54" s="43">
        <f>_xlfn.XLOOKUP(A54,Class_Players!A:A,Class_Players!G:G)</f>
        <v>115</v>
      </c>
      <c r="G54" s="43">
        <f t="shared" si="13"/>
        <v>0</v>
      </c>
      <c r="H54" s="43">
        <f>_xlfn.XLOOKUP(A54,Class_Players!$A:$A,Class_Players!$F:$F,"")</f>
        <v>12439</v>
      </c>
      <c r="I54" s="44">
        <f t="shared" si="15"/>
        <v>0</v>
      </c>
      <c r="J54" s="43">
        <f t="shared" si="1"/>
        <v>0</v>
      </c>
      <c r="K54" s="44" cm="1">
        <f t="array" ref="K54">IF(D54="Gadget",_xlfn.IFS(I54&gt;=0.2,0.5,I54&gt;=0.1,0.35,I54&gt;=0.05,0.2,TRUE,0),IF(D54="Grenade",_xlfn.IFS(I54&gt;=0.2,1,I54&gt;=0.1,0.7,I54&gt;=0.05,0.4,TRUE,0),0))</f>
        <v>0</v>
      </c>
      <c r="L54" s="57">
        <f t="shared" si="20"/>
        <v>0</v>
      </c>
    </row>
    <row r="55" spans="1:12" ht="15" customHeight="1" x14ac:dyDescent="0.25">
      <c r="A55" s="42" t="str" cm="1">
        <f t="array" ref="A55">IFERROR(INDEX(_xlfn._xlws.FILTER(Class_Players!A:A,Class_Players!B:B="Recon"),QUOTIENT(ROW()-ROW($A$2),8)+1),"")</f>
        <v>chrischwa_75</v>
      </c>
      <c r="B55" s="42" t="str">
        <f>_xlfn.XLOOKUP(A55,Class_Players!$A:$A,Class_Players!$B:$B,"")</f>
        <v>Recon</v>
      </c>
      <c r="C55" s="38" t="str" cm="1">
        <f t="array" ref="C55">INDEX(Lookups!$C$2:$C$9,MOD(ROW()-ROW($B$2),ROWS(Lookups!$C$2:$C$9))+1)</f>
        <v>C-4 Explosives</v>
      </c>
      <c r="D55" s="38" t="str">
        <f>_xlfn.XLOOKUP(C55,Analysis_Gadgets!$C:$C,Analysis_Gadgets!$B:$B)</f>
        <v>Gadget</v>
      </c>
      <c r="E55" s="43">
        <v>5250</v>
      </c>
      <c r="F55" s="43">
        <f>_xlfn.XLOOKUP(A55,Class_Players!A:A,Class_Players!G:G)</f>
        <v>115</v>
      </c>
      <c r="G55" s="43">
        <f t="shared" si="13"/>
        <v>45.652173913043477</v>
      </c>
      <c r="H55" s="43">
        <f>_xlfn.XLOOKUP(A55,Class_Players!$A:$A,Class_Players!$F:$F,"")</f>
        <v>12439</v>
      </c>
      <c r="I55" s="44">
        <f t="shared" si="15"/>
        <v>0.4220596510973551</v>
      </c>
      <c r="J55" s="43">
        <f t="shared" si="1"/>
        <v>1</v>
      </c>
      <c r="K55" s="44" cm="1">
        <f t="array" ref="K55">IF(D55="Gadget",_xlfn.IFS(I55&gt;=0.2,0.5,I55&gt;=0.1,0.35,I55&gt;=0.05,0.2,TRUE,0),IF(D55="Grenade",_xlfn.IFS(I55&gt;=0.2,1,I55&gt;=0.1,0.7,I55&gt;=0.05,0.4,TRUE,0),0))</f>
        <v>0.5</v>
      </c>
      <c r="L55" s="57">
        <f t="shared" si="20"/>
        <v>0.5</v>
      </c>
    </row>
    <row r="56" spans="1:12" ht="15" customHeight="1" x14ac:dyDescent="0.25">
      <c r="A56" s="42" t="str" cm="1">
        <f t="array" ref="A56">IFERROR(INDEX(_xlfn._xlws.FILTER(Class_Players!A:A,Class_Players!B:B="Recon"),QUOTIENT(ROW()-ROW($A$2),8)+1),"")</f>
        <v>chrischwa_75</v>
      </c>
      <c r="B56" s="42" t="str">
        <f>_xlfn.XLOOKUP(A56,Class_Players!$A:$A,Class_Players!$B:$B,"")</f>
        <v>Recon</v>
      </c>
      <c r="C56" s="38" t="str" cm="1">
        <f t="array" ref="C56">INDEX(Lookups!$C$2:$C$9,MOD(ROW()-ROW($B$2),ROWS(Lookups!$C$2:$C$9))+1)</f>
        <v>Proximity Detector</v>
      </c>
      <c r="D56" s="38" t="str">
        <f>_xlfn.XLOOKUP(C56,Analysis_Gadgets!$C:$C,Analysis_Gadgets!$B:$B)</f>
        <v>Grenade</v>
      </c>
      <c r="E56" s="43">
        <v>20</v>
      </c>
      <c r="F56" s="43">
        <f>_xlfn.XLOOKUP(A56,Class_Players!A:A,Class_Players!G:G)</f>
        <v>115</v>
      </c>
      <c r="G56" s="43">
        <f t="shared" si="13"/>
        <v>0.17391304347826086</v>
      </c>
      <c r="H56" s="43">
        <f>_xlfn.XLOOKUP(A56,Class_Players!$A:$A,Class_Players!$F:$F,"")</f>
        <v>12439</v>
      </c>
      <c r="I56" s="44">
        <f t="shared" si="15"/>
        <v>1.607846289894686E-3</v>
      </c>
      <c r="J56" s="43">
        <f t="shared" si="1"/>
        <v>0</v>
      </c>
      <c r="K56" s="44" cm="1">
        <f t="array" ref="K56">IF(D56="Gadget",_xlfn.IFS(I56&gt;=0.2,0.5,I56&gt;=0.1,0.35,I56&gt;=0.05,0.2,TRUE,0),IF(D56="Grenade",_xlfn.IFS(I56&gt;=0.2,1,I56&gt;=0.1,0.7,I56&gt;=0.05,0.4,TRUE,0),0))</f>
        <v>0</v>
      </c>
      <c r="L56" s="57">
        <f t="shared" ref="L56:L57" si="21">IF($K56=0,0,$K56 / SUMIFS($K:$K,$A:$A,$A56,$D:$D,"Grenade"))</f>
        <v>0</v>
      </c>
    </row>
    <row r="57" spans="1:12" ht="15" customHeight="1" x14ac:dyDescent="0.25">
      <c r="A57" s="42" t="str" cm="1">
        <f t="array" ref="A57">IFERROR(INDEX(_xlfn._xlws.FILTER(Class_Players!A:A,Class_Players!B:B="Recon"),QUOTIENT(ROW()-ROW($A$2),8)+1),"")</f>
        <v>chrischwa_75</v>
      </c>
      <c r="B57" s="42" t="str">
        <f>_xlfn.XLOOKUP(A57,Class_Players!$A:$A,Class_Players!$B:$B,"")</f>
        <v>Recon</v>
      </c>
      <c r="C57" s="38" t="str" cm="1">
        <f t="array" ref="C57">INDEX(Lookups!$C$2:$C$9,MOD(ROW()-ROW($B$2),ROWS(Lookups!$C$2:$C$9))+1)</f>
        <v>Throwing Knife</v>
      </c>
      <c r="D57" s="38" t="str">
        <f>_xlfn.XLOOKUP(C57,Analysis_Gadgets!$C:$C,Analysis_Gadgets!$B:$B)</f>
        <v>Grenade</v>
      </c>
      <c r="E57" s="43">
        <v>29</v>
      </c>
      <c r="F57" s="43">
        <f>_xlfn.XLOOKUP(A57,Class_Players!A:A,Class_Players!G:G)</f>
        <v>115</v>
      </c>
      <c r="G57" s="43">
        <f t="shared" si="13"/>
        <v>0.25217391304347825</v>
      </c>
      <c r="H57" s="43">
        <f>_xlfn.XLOOKUP(A57,Class_Players!$A:$A,Class_Players!$F:$F,"")</f>
        <v>12439</v>
      </c>
      <c r="I57" s="44">
        <f t="shared" si="15"/>
        <v>2.331377120347295E-3</v>
      </c>
      <c r="J57" s="43">
        <f t="shared" si="1"/>
        <v>0</v>
      </c>
      <c r="K57" s="44" cm="1">
        <f t="array" ref="K57">IF(D57="Gadget",_xlfn.IFS(I57&gt;=0.2,0.5,I57&gt;=0.1,0.35,I57&gt;=0.05,0.2,TRUE,0),IF(D57="Grenade",_xlfn.IFS(I57&gt;=0.2,1,I57&gt;=0.1,0.7,I57&gt;=0.05,0.4,TRUE,0),0))</f>
        <v>0</v>
      </c>
      <c r="L57" s="57">
        <f t="shared" si="21"/>
        <v>0</v>
      </c>
    </row>
    <row r="58" spans="1:12" ht="15" customHeight="1" x14ac:dyDescent="0.25">
      <c r="A58" s="42" t="str" cm="1">
        <f t="array" ref="A58">IFERROR(INDEX(_xlfn._xlws.FILTER(Class_Players!A:A,Class_Players!B:B="Recon"),QUOTIENT(ROW()-ROW($A$2),8)+1),"")</f>
        <v>Tha_Gingerbread</v>
      </c>
      <c r="B58" s="42" t="str">
        <f>_xlfn.XLOOKUP(A58,Class_Players!$A:$A,Class_Players!$B:$B,"")</f>
        <v>Recon</v>
      </c>
      <c r="C58" s="38" t="str" cm="1">
        <f t="array" ref="C58">INDEX(Lookups!$C$2:$C$9,MOD(ROW()-ROW($B$2),ROWS(Lookups!$C$2:$C$9))+1)</f>
        <v>Laser Designator</v>
      </c>
      <c r="D58" s="38" t="str">
        <f>_xlfn.XLOOKUP(C58,Analysis_Gadgets!$C:$C,Analysis_Gadgets!$B:$B)</f>
        <v>Gadget</v>
      </c>
      <c r="E58" s="43">
        <v>108</v>
      </c>
      <c r="F58" s="43">
        <f>_xlfn.XLOOKUP(A58,Class_Players!A:A,Class_Players!G:G)</f>
        <v>354</v>
      </c>
      <c r="G58" s="43">
        <f t="shared" si="13"/>
        <v>0.30508474576271188</v>
      </c>
      <c r="H58" s="43">
        <f>_xlfn.XLOOKUP(A58,Class_Players!$A:$A,Class_Players!$F:$F,"")</f>
        <v>11845</v>
      </c>
      <c r="I58" s="44">
        <f t="shared" si="15"/>
        <v>9.117771211481638E-3</v>
      </c>
      <c r="J58" s="43">
        <f t="shared" si="1"/>
        <v>0</v>
      </c>
      <c r="K58" s="44" cm="1">
        <f t="array" ref="K58">IF(D58="Gadget",_xlfn.IFS(I58&gt;=0.2,0.5,I58&gt;=0.1,0.35,I58&gt;=0.05,0.2,TRUE,0),IF(D58="Grenade",_xlfn.IFS(I58&gt;=0.2,1,I58&gt;=0.1,0.7,I58&gt;=0.05,0.4,TRUE,0),0))</f>
        <v>0</v>
      </c>
      <c r="L58" s="57">
        <f t="shared" ref="L58:L63" si="22">IF($K58=0,0,$K58 / SUMIFS($K:$K,$A:$A,$A58,$D:$D,"Gadget"))</f>
        <v>0</v>
      </c>
    </row>
    <row r="59" spans="1:12" ht="15" customHeight="1" x14ac:dyDescent="0.25">
      <c r="A59" s="42" t="str" cm="1">
        <f t="array" ref="A59">IFERROR(INDEX(_xlfn._xlws.FILTER(Class_Players!A:A,Class_Players!B:B="Recon"),QUOTIENT(ROW()-ROW($A$2),8)+1),"")</f>
        <v>Tha_Gingerbread</v>
      </c>
      <c r="B59" s="42" t="str">
        <f>_xlfn.XLOOKUP(A59,Class_Players!$A:$A,Class_Players!$B:$B,"")</f>
        <v>Recon</v>
      </c>
      <c r="C59" s="38" t="str" cm="1">
        <f t="array" ref="C59">INDEX(Lookups!$C$2:$C$9,MOD(ROW()-ROW($B$2),ROWS(Lookups!$C$2:$C$9))+1)</f>
        <v>Recon Drone</v>
      </c>
      <c r="D59" s="38" t="str">
        <f>_xlfn.XLOOKUP(C59,Analysis_Gadgets!$C:$C,Analysis_Gadgets!$B:$B)</f>
        <v>Gadget</v>
      </c>
      <c r="E59" s="43">
        <v>2912</v>
      </c>
      <c r="F59" s="43">
        <f>_xlfn.XLOOKUP(A59,Class_Players!A:A,Class_Players!G:G)</f>
        <v>354</v>
      </c>
      <c r="G59" s="43">
        <f t="shared" si="13"/>
        <v>8.2259887005649723</v>
      </c>
      <c r="H59" s="43">
        <f>_xlfn.XLOOKUP(A59,Class_Players!$A:$A,Class_Players!$F:$F,"")</f>
        <v>11845</v>
      </c>
      <c r="I59" s="44">
        <f t="shared" si="15"/>
        <v>0.24584212747994935</v>
      </c>
      <c r="J59" s="43">
        <f t="shared" si="1"/>
        <v>1</v>
      </c>
      <c r="K59" s="44" cm="1">
        <f t="array" ref="K59">IF(D59="Gadget",_xlfn.IFS(I59&gt;=0.2,0.5,I59&gt;=0.1,0.35,I59&gt;=0.05,0.2,TRUE,0),IF(D59="Grenade",_xlfn.IFS(I59&gt;=0.2,1,I59&gt;=0.1,0.7,I59&gt;=0.05,0.4,TRUE,0),0))</f>
        <v>0.5</v>
      </c>
      <c r="L59" s="57">
        <f t="shared" si="22"/>
        <v>0.33333333333333331</v>
      </c>
    </row>
    <row r="60" spans="1:12" ht="15" customHeight="1" x14ac:dyDescent="0.25">
      <c r="A60" s="42" t="str" cm="1">
        <f t="array" ref="A60">IFERROR(INDEX(_xlfn._xlws.FILTER(Class_Players!A:A,Class_Players!B:B="Recon"),QUOTIENT(ROW()-ROW($A$2),8)+1),"")</f>
        <v>Tha_Gingerbread</v>
      </c>
      <c r="B60" s="42" t="str">
        <f>_xlfn.XLOOKUP(A60,Class_Players!$A:$A,Class_Players!$B:$B,"")</f>
        <v>Recon</v>
      </c>
      <c r="C60" s="38" t="str" cm="1">
        <f t="array" ref="C60">INDEX(Lookups!$C$2:$C$9,MOD(ROW()-ROW($B$2),ROWS(Lookups!$C$2:$C$9))+1)</f>
        <v>Tracer Dart</v>
      </c>
      <c r="D60" s="38" t="str">
        <f>_xlfn.XLOOKUP(C60,Analysis_Gadgets!$C:$C,Analysis_Gadgets!$B:$B)</f>
        <v>Gadget</v>
      </c>
      <c r="E60" s="43">
        <v>32</v>
      </c>
      <c r="F60" s="43">
        <f>_xlfn.XLOOKUP(A60,Class_Players!A:A,Class_Players!G:G)</f>
        <v>354</v>
      </c>
      <c r="G60" s="43">
        <f t="shared" si="13"/>
        <v>9.03954802259887E-2</v>
      </c>
      <c r="H60" s="43">
        <f>_xlfn.XLOOKUP(A60,Class_Players!$A:$A,Class_Players!$F:$F,"")</f>
        <v>11845</v>
      </c>
      <c r="I60" s="44">
        <f t="shared" si="15"/>
        <v>2.7015618404390039E-3</v>
      </c>
      <c r="J60" s="43">
        <f t="shared" si="1"/>
        <v>0</v>
      </c>
      <c r="K60" s="44" cm="1">
        <f t="array" ref="K60">IF(D60="Gadget",_xlfn.IFS(I60&gt;=0.2,0.5,I60&gt;=0.1,0.35,I60&gt;=0.05,0.2,TRUE,0),IF(D60="Grenade",_xlfn.IFS(I60&gt;=0.2,1,I60&gt;=0.1,0.7,I60&gt;=0.05,0.4,TRUE,0),0))</f>
        <v>0</v>
      </c>
      <c r="L60" s="57">
        <f t="shared" si="22"/>
        <v>0</v>
      </c>
    </row>
    <row r="61" spans="1:12" ht="15" customHeight="1" x14ac:dyDescent="0.25">
      <c r="A61" s="42" t="str" cm="1">
        <f t="array" ref="A61">IFERROR(INDEX(_xlfn._xlws.FILTER(Class_Players!A:A,Class_Players!B:B="Recon"),QUOTIENT(ROW()-ROW($A$2),8)+1),"")</f>
        <v>Tha_Gingerbread</v>
      </c>
      <c r="B61" s="42" t="str">
        <f>_xlfn.XLOOKUP(A61,Class_Players!$A:$A,Class_Players!$B:$B,"")</f>
        <v>Recon</v>
      </c>
      <c r="C61" s="38" t="str" cm="1">
        <f t="array" ref="C61">INDEX(Lookups!$C$2:$C$9,MOD(ROW()-ROW($B$2),ROWS(Lookups!$C$2:$C$9))+1)</f>
        <v>M18A1 (Claymore)</v>
      </c>
      <c r="D61" s="38" t="str">
        <f>_xlfn.XLOOKUP(C61,Analysis_Gadgets!$C:$C,Analysis_Gadgets!$B:$B)</f>
        <v>Gadget</v>
      </c>
      <c r="E61" s="43">
        <v>5925</v>
      </c>
      <c r="F61" s="43">
        <f>_xlfn.XLOOKUP(A61,Class_Players!A:A,Class_Players!G:G)</f>
        <v>354</v>
      </c>
      <c r="G61" s="43">
        <f t="shared" si="13"/>
        <v>16.737288135593221</v>
      </c>
      <c r="H61" s="43">
        <f>_xlfn.XLOOKUP(A61,Class_Players!$A:$A,Class_Players!$F:$F,"")</f>
        <v>11845</v>
      </c>
      <c r="I61" s="44">
        <f t="shared" si="15"/>
        <v>0.50021105951878431</v>
      </c>
      <c r="J61" s="43">
        <f t="shared" si="1"/>
        <v>1</v>
      </c>
      <c r="K61" s="44" cm="1">
        <f t="array" ref="K61">IF(D61="Gadget",_xlfn.IFS(I61&gt;=0.2,0.5,I61&gt;=0.1,0.35,I61&gt;=0.05,0.2,TRUE,0),IF(D61="Grenade",_xlfn.IFS(I61&gt;=0.2,1,I61&gt;=0.1,0.7,I61&gt;=0.05,0.4,TRUE,0),0))</f>
        <v>0.5</v>
      </c>
      <c r="L61" s="57">
        <f t="shared" si="22"/>
        <v>0.33333333333333331</v>
      </c>
    </row>
    <row r="62" spans="1:12" ht="15" customHeight="1" x14ac:dyDescent="0.25">
      <c r="A62" s="42" t="str" cm="1">
        <f t="array" ref="A62">IFERROR(INDEX(_xlfn._xlws.FILTER(Class_Players!A:A,Class_Players!B:B="Recon"),QUOTIENT(ROW()-ROW($A$2),8)+1),"")</f>
        <v>Tha_Gingerbread</v>
      </c>
      <c r="B62" s="42" t="str">
        <f>_xlfn.XLOOKUP(A62,Class_Players!$A:$A,Class_Players!$B:$B,"")</f>
        <v>Recon</v>
      </c>
      <c r="C62" s="38" t="str" cm="1">
        <f t="array" ref="C62">INDEX(Lookups!$C$2:$C$9,MOD(ROW()-ROW($B$2),ROWS(Lookups!$C$2:$C$9))+1)</f>
        <v>Sniper Decoy</v>
      </c>
      <c r="D62" s="38" t="str">
        <f>_xlfn.XLOOKUP(C62,Analysis_Gadgets!$C:$C,Analysis_Gadgets!$B:$B)</f>
        <v>Gadget</v>
      </c>
      <c r="E62" s="43">
        <v>83</v>
      </c>
      <c r="F62" s="43">
        <f>_xlfn.XLOOKUP(A62,Class_Players!A:A,Class_Players!G:G)</f>
        <v>354</v>
      </c>
      <c r="G62" s="43">
        <f t="shared" si="13"/>
        <v>0.2344632768361582</v>
      </c>
      <c r="H62" s="43">
        <f>_xlfn.XLOOKUP(A62,Class_Players!$A:$A,Class_Players!$F:$F,"")</f>
        <v>11845</v>
      </c>
      <c r="I62" s="44">
        <f t="shared" si="15"/>
        <v>7.0071760236386661E-3</v>
      </c>
      <c r="J62" s="43">
        <f t="shared" si="1"/>
        <v>0</v>
      </c>
      <c r="K62" s="44" cm="1">
        <f t="array" ref="K62">IF(D62="Gadget",_xlfn.IFS(I62&gt;=0.2,0.5,I62&gt;=0.1,0.35,I62&gt;=0.05,0.2,TRUE,0),IF(D62="Grenade",_xlfn.IFS(I62&gt;=0.2,1,I62&gt;=0.1,0.7,I62&gt;=0.05,0.4,TRUE,0),0))</f>
        <v>0</v>
      </c>
      <c r="L62" s="57">
        <f t="shared" si="22"/>
        <v>0</v>
      </c>
    </row>
    <row r="63" spans="1:12" ht="15" customHeight="1" x14ac:dyDescent="0.25">
      <c r="A63" s="42" t="str" cm="1">
        <f t="array" ref="A63">IFERROR(INDEX(_xlfn._xlws.FILTER(Class_Players!A:A,Class_Players!B:B="Recon"),QUOTIENT(ROW()-ROW($A$2),8)+1),"")</f>
        <v>Tha_Gingerbread</v>
      </c>
      <c r="B63" s="42" t="str">
        <f>_xlfn.XLOOKUP(A63,Class_Players!$A:$A,Class_Players!$B:$B,"")</f>
        <v>Recon</v>
      </c>
      <c r="C63" s="38" t="str" cm="1">
        <f t="array" ref="C63">INDEX(Lookups!$C$2:$C$9,MOD(ROW()-ROW($B$2),ROWS(Lookups!$C$2:$C$9))+1)</f>
        <v>C-4 Explosives</v>
      </c>
      <c r="D63" s="38" t="str">
        <f>_xlfn.XLOOKUP(C63,Analysis_Gadgets!$C:$C,Analysis_Gadgets!$B:$B)</f>
        <v>Gadget</v>
      </c>
      <c r="E63" s="43">
        <v>4552</v>
      </c>
      <c r="F63" s="43">
        <f>_xlfn.XLOOKUP(A63,Class_Players!A:A,Class_Players!G:G)</f>
        <v>354</v>
      </c>
      <c r="G63" s="43">
        <f t="shared" si="13"/>
        <v>12.858757062146893</v>
      </c>
      <c r="H63" s="43">
        <f>_xlfn.XLOOKUP(A63,Class_Players!$A:$A,Class_Players!$F:$F,"")</f>
        <v>11845</v>
      </c>
      <c r="I63" s="44">
        <f t="shared" si="15"/>
        <v>0.38429717180244827</v>
      </c>
      <c r="J63" s="43">
        <f t="shared" si="1"/>
        <v>1</v>
      </c>
      <c r="K63" s="44" cm="1">
        <f t="array" ref="K63">IF(D63="Gadget",_xlfn.IFS(I63&gt;=0.2,0.5,I63&gt;=0.1,0.35,I63&gt;=0.05,0.2,TRUE,0),IF(D63="Grenade",_xlfn.IFS(I63&gt;=0.2,1,I63&gt;=0.1,0.7,I63&gt;=0.05,0.4,TRUE,0),0))</f>
        <v>0.5</v>
      </c>
      <c r="L63" s="57">
        <f t="shared" si="22"/>
        <v>0.33333333333333331</v>
      </c>
    </row>
    <row r="64" spans="1:12" ht="15" customHeight="1" x14ac:dyDescent="0.25">
      <c r="A64" s="42" t="str" cm="1">
        <f t="array" ref="A64">IFERROR(INDEX(_xlfn._xlws.FILTER(Class_Players!A:A,Class_Players!B:B="Recon"),QUOTIENT(ROW()-ROW($A$2),8)+1),"")</f>
        <v>Tha_Gingerbread</v>
      </c>
      <c r="B64" s="42" t="str">
        <f>_xlfn.XLOOKUP(A64,Class_Players!$A:$A,Class_Players!$B:$B,"")</f>
        <v>Recon</v>
      </c>
      <c r="C64" s="38" t="str" cm="1">
        <f t="array" ref="C64">INDEX(Lookups!$C$2:$C$9,MOD(ROW()-ROW($B$2),ROWS(Lookups!$C$2:$C$9))+1)</f>
        <v>Proximity Detector</v>
      </c>
      <c r="D64" s="38" t="str">
        <f>_xlfn.XLOOKUP(C64,Analysis_Gadgets!$C:$C,Analysis_Gadgets!$B:$B)</f>
        <v>Grenade</v>
      </c>
      <c r="E64" s="43">
        <v>891</v>
      </c>
      <c r="F64" s="43">
        <f>_xlfn.XLOOKUP(A64,Class_Players!A:A,Class_Players!G:G)</f>
        <v>354</v>
      </c>
      <c r="G64" s="43">
        <f t="shared" si="13"/>
        <v>2.5169491525423728</v>
      </c>
      <c r="H64" s="43">
        <f>_xlfn.XLOOKUP(A64,Class_Players!$A:$A,Class_Players!$F:$F,"")</f>
        <v>11845</v>
      </c>
      <c r="I64" s="44">
        <f t="shared" si="15"/>
        <v>7.5221612494723505E-2</v>
      </c>
      <c r="J64" s="43">
        <f t="shared" si="1"/>
        <v>0</v>
      </c>
      <c r="K64" s="44" cm="1">
        <f t="array" ref="K64">IF(D64="Gadget",_xlfn.IFS(I64&gt;=0.2,0.5,I64&gt;=0.1,0.35,I64&gt;=0.05,0.2,TRUE,0),IF(D64="Grenade",_xlfn.IFS(I64&gt;=0.2,1,I64&gt;=0.1,0.7,I64&gt;=0.05,0.4,TRUE,0),0))</f>
        <v>0.4</v>
      </c>
      <c r="L64" s="57">
        <f t="shared" ref="L64:L65" si="23">IF($K64=0,0,$K64 / SUMIFS($K:$K,$A:$A,$A64,$D:$D,"Grenade"))</f>
        <v>1</v>
      </c>
    </row>
    <row r="65" spans="1:12" ht="15" customHeight="1" x14ac:dyDescent="0.25">
      <c r="A65" s="42" t="str" cm="1">
        <f t="array" ref="A65">IFERROR(INDEX(_xlfn._xlws.FILTER(Class_Players!A:A,Class_Players!B:B="Recon"),QUOTIENT(ROW()-ROW($A$2),8)+1),"")</f>
        <v>Tha_Gingerbread</v>
      </c>
      <c r="B65" s="42" t="str">
        <f>_xlfn.XLOOKUP(A65,Class_Players!$A:$A,Class_Players!$B:$B,"")</f>
        <v>Recon</v>
      </c>
      <c r="C65" s="38" t="str" cm="1">
        <f t="array" ref="C65">INDEX(Lookups!$C$2:$C$9,MOD(ROW()-ROW($B$2),ROWS(Lookups!$C$2:$C$9))+1)</f>
        <v>Throwing Knife</v>
      </c>
      <c r="D65" s="38" t="str">
        <f>_xlfn.XLOOKUP(C65,Analysis_Gadgets!$C:$C,Analysis_Gadgets!$B:$B)</f>
        <v>Grenade</v>
      </c>
      <c r="E65" s="43">
        <v>175</v>
      </c>
      <c r="F65" s="43">
        <f>_xlfn.XLOOKUP(A65,Class_Players!A:A,Class_Players!G:G)</f>
        <v>354</v>
      </c>
      <c r="G65" s="43">
        <f t="shared" si="13"/>
        <v>0.4943502824858757</v>
      </c>
      <c r="H65" s="43">
        <f>_xlfn.XLOOKUP(A65,Class_Players!$A:$A,Class_Players!$F:$F,"")</f>
        <v>11845</v>
      </c>
      <c r="I65" s="44">
        <f t="shared" si="15"/>
        <v>1.4774166314900802E-2</v>
      </c>
      <c r="J65" s="43">
        <f t="shared" si="1"/>
        <v>0</v>
      </c>
      <c r="K65" s="44" cm="1">
        <f t="array" ref="K65">IF(D65="Gadget",_xlfn.IFS(I65&gt;=0.2,0.5,I65&gt;=0.1,0.35,I65&gt;=0.05,0.2,TRUE,0),IF(D65="Grenade",_xlfn.IFS(I65&gt;=0.2,1,I65&gt;=0.1,0.7,I65&gt;=0.05,0.4,TRUE,0),0))</f>
        <v>0</v>
      </c>
      <c r="L65" s="57">
        <f t="shared" si="23"/>
        <v>0</v>
      </c>
    </row>
    <row r="66" spans="1:12" ht="15" customHeight="1" x14ac:dyDescent="0.25">
      <c r="A66" s="42" t="str" cm="1">
        <f t="array" ref="A66">IFERROR(INDEX(_xlfn._xlws.FILTER(Class_Players!A:A,Class_Players!B:B="Recon"),QUOTIENT(ROW()-ROW($A$2),8)+1),"")</f>
        <v>Heimi72</v>
      </c>
      <c r="B66" s="42" t="str">
        <f>_xlfn.XLOOKUP(A66,Class_Players!$A:$A,Class_Players!$B:$B,"")</f>
        <v>Recon</v>
      </c>
      <c r="C66" s="38" t="str" cm="1">
        <f t="array" ref="C66">INDEX(Lookups!$C$2:$C$9,MOD(ROW()-ROW($B$2),ROWS(Lookups!$C$2:$C$9))+1)</f>
        <v>Laser Designator</v>
      </c>
      <c r="D66" s="38" t="str">
        <f>_xlfn.XLOOKUP(C66,Analysis_Gadgets!$C:$C,Analysis_Gadgets!$B:$B)</f>
        <v>Gadget</v>
      </c>
      <c r="E66" s="43">
        <v>1</v>
      </c>
      <c r="F66" s="43">
        <f>_xlfn.XLOOKUP(A66,Class_Players!A:A,Class_Players!G:G)</f>
        <v>181</v>
      </c>
      <c r="G66" s="43">
        <f t="shared" si="13"/>
        <v>5.5248618784530384E-3</v>
      </c>
      <c r="H66" s="43">
        <f>_xlfn.XLOOKUP(A66,Class_Players!$A:$A,Class_Players!$F:$F,"")</f>
        <v>12431</v>
      </c>
      <c r="I66" s="44">
        <f t="shared" si="15"/>
        <v>8.0444051162416539E-5</v>
      </c>
      <c r="J66" s="43">
        <f t="shared" si="1"/>
        <v>0</v>
      </c>
      <c r="K66" s="44" cm="1">
        <f t="array" ref="K66">IF(D66="Gadget",_xlfn.IFS(I66&gt;=0.2,0.5,I66&gt;=0.1,0.35,I66&gt;=0.05,0.2,TRUE,0),IF(D66="Grenade",_xlfn.IFS(I66&gt;=0.2,1,I66&gt;=0.1,0.7,I66&gt;=0.05,0.4,TRUE,0),0))</f>
        <v>0</v>
      </c>
      <c r="L66" s="57">
        <f t="shared" ref="L66:L71" si="24">IF($K66=0,0,$K66 / SUMIFS($K:$K,$A:$A,$A66,$D:$D,"Gadget"))</f>
        <v>0</v>
      </c>
    </row>
    <row r="67" spans="1:12" ht="15" customHeight="1" x14ac:dyDescent="0.25">
      <c r="A67" s="42" t="str" cm="1">
        <f t="array" ref="A67">IFERROR(INDEX(_xlfn._xlws.FILTER(Class_Players!A:A,Class_Players!B:B="Recon"),QUOTIENT(ROW()-ROW($A$2),8)+1),"")</f>
        <v>Heimi72</v>
      </c>
      <c r="B67" s="42" t="str">
        <f>_xlfn.XLOOKUP(A67,Class_Players!$A:$A,Class_Players!$B:$B,"")</f>
        <v>Recon</v>
      </c>
      <c r="C67" s="38" t="str" cm="1">
        <f t="array" ref="C67">INDEX(Lookups!$C$2:$C$9,MOD(ROW()-ROW($B$2),ROWS(Lookups!$C$2:$C$9))+1)</f>
        <v>Recon Drone</v>
      </c>
      <c r="D67" s="38" t="str">
        <f>_xlfn.XLOOKUP(C67,Analysis_Gadgets!$C:$C,Analysis_Gadgets!$B:$B)</f>
        <v>Gadget</v>
      </c>
      <c r="E67" s="43">
        <v>39</v>
      </c>
      <c r="F67" s="43">
        <f>_xlfn.XLOOKUP(A67,Class_Players!A:A,Class_Players!G:G)</f>
        <v>181</v>
      </c>
      <c r="G67" s="43">
        <f t="shared" si="13"/>
        <v>0.21546961325966851</v>
      </c>
      <c r="H67" s="43">
        <f>_xlfn.XLOOKUP(A67,Class_Players!$A:$A,Class_Players!$F:$F,"")</f>
        <v>12431</v>
      </c>
      <c r="I67" s="44">
        <f t="shared" si="15"/>
        <v>3.1373179953342449E-3</v>
      </c>
      <c r="J67" s="43">
        <f t="shared" ref="J67:J121" si="25">IF(I67&gt;=0.1,1,0)</f>
        <v>0</v>
      </c>
      <c r="K67" s="44" cm="1">
        <f t="array" ref="K67">IF(D67="Gadget",_xlfn.IFS(I67&gt;=0.2,0.5,I67&gt;=0.1,0.35,I67&gt;=0.05,0.2,TRUE,0),IF(D67="Grenade",_xlfn.IFS(I67&gt;=0.2,1,I67&gt;=0.1,0.7,I67&gt;=0.05,0.4,TRUE,0),0))</f>
        <v>0</v>
      </c>
      <c r="L67" s="57">
        <f t="shared" si="24"/>
        <v>0</v>
      </c>
    </row>
    <row r="68" spans="1:12" ht="15" customHeight="1" x14ac:dyDescent="0.25">
      <c r="A68" s="42" t="str" cm="1">
        <f t="array" ref="A68">IFERROR(INDEX(_xlfn._xlws.FILTER(Class_Players!A:A,Class_Players!B:B="Recon"),QUOTIENT(ROW()-ROW($A$2),8)+1),"")</f>
        <v>Heimi72</v>
      </c>
      <c r="B68" s="42" t="str">
        <f>_xlfn.XLOOKUP(A68,Class_Players!$A:$A,Class_Players!$B:$B,"")</f>
        <v>Recon</v>
      </c>
      <c r="C68" s="38" t="str" cm="1">
        <f t="array" ref="C68">INDEX(Lookups!$C$2:$C$9,MOD(ROW()-ROW($B$2),ROWS(Lookups!$C$2:$C$9))+1)</f>
        <v>Tracer Dart</v>
      </c>
      <c r="D68" s="38" t="str">
        <f>_xlfn.XLOOKUP(C68,Analysis_Gadgets!$C:$C,Analysis_Gadgets!$B:$B)</f>
        <v>Gadget</v>
      </c>
      <c r="E68" s="43">
        <v>0</v>
      </c>
      <c r="F68" s="43">
        <f>_xlfn.XLOOKUP(A68,Class_Players!A:A,Class_Players!G:G)</f>
        <v>181</v>
      </c>
      <c r="G68" s="43">
        <f t="shared" si="13"/>
        <v>0</v>
      </c>
      <c r="H68" s="43">
        <f>_xlfn.XLOOKUP(A68,Class_Players!$A:$A,Class_Players!$F:$F,"")</f>
        <v>12431</v>
      </c>
      <c r="I68" s="44">
        <f t="shared" si="15"/>
        <v>0</v>
      </c>
      <c r="J68" s="43">
        <f t="shared" si="25"/>
        <v>0</v>
      </c>
      <c r="K68" s="44" cm="1">
        <f t="array" ref="K68">IF(D68="Gadget",_xlfn.IFS(I68&gt;=0.2,0.5,I68&gt;=0.1,0.35,I68&gt;=0.05,0.2,TRUE,0),IF(D68="Grenade",_xlfn.IFS(I68&gt;=0.2,1,I68&gt;=0.1,0.7,I68&gt;=0.05,0.4,TRUE,0),0))</f>
        <v>0</v>
      </c>
      <c r="L68" s="57">
        <f t="shared" si="24"/>
        <v>0</v>
      </c>
    </row>
    <row r="69" spans="1:12" ht="15" customHeight="1" x14ac:dyDescent="0.25">
      <c r="A69" s="42" t="str" cm="1">
        <f t="array" ref="A69">IFERROR(INDEX(_xlfn._xlws.FILTER(Class_Players!A:A,Class_Players!B:B="Recon"),QUOTIENT(ROW()-ROW($A$2),8)+1),"")</f>
        <v>Heimi72</v>
      </c>
      <c r="B69" s="42" t="str">
        <f>_xlfn.XLOOKUP(A69,Class_Players!$A:$A,Class_Players!$B:$B,"")</f>
        <v>Recon</v>
      </c>
      <c r="C69" s="38" t="str" cm="1">
        <f t="array" ref="C69">INDEX(Lookups!$C$2:$C$9,MOD(ROW()-ROW($B$2),ROWS(Lookups!$C$2:$C$9))+1)</f>
        <v>M18A1 (Claymore)</v>
      </c>
      <c r="D69" s="38" t="str">
        <f>_xlfn.XLOOKUP(C69,Analysis_Gadgets!$C:$C,Analysis_Gadgets!$B:$B)</f>
        <v>Gadget</v>
      </c>
      <c r="E69" s="43">
        <v>5271</v>
      </c>
      <c r="F69" s="43">
        <f>_xlfn.XLOOKUP(A69,Class_Players!A:A,Class_Players!G:G)</f>
        <v>181</v>
      </c>
      <c r="G69" s="43">
        <f t="shared" si="13"/>
        <v>29.121546961325969</v>
      </c>
      <c r="H69" s="43">
        <f>_xlfn.XLOOKUP(A69,Class_Players!$A:$A,Class_Players!$F:$F,"")</f>
        <v>12431</v>
      </c>
      <c r="I69" s="44">
        <f t="shared" si="15"/>
        <v>0.4240205936770976</v>
      </c>
      <c r="J69" s="43">
        <f t="shared" si="25"/>
        <v>1</v>
      </c>
      <c r="K69" s="44" cm="1">
        <f t="array" ref="K69">IF(D69="Gadget",_xlfn.IFS(I69&gt;=0.2,0.5,I69&gt;=0.1,0.35,I69&gt;=0.05,0.2,TRUE,0),IF(D69="Grenade",_xlfn.IFS(I69&gt;=0.2,1,I69&gt;=0.1,0.7,I69&gt;=0.05,0.4,TRUE,0),0))</f>
        <v>0.5</v>
      </c>
      <c r="L69" s="57">
        <f t="shared" si="24"/>
        <v>0.5</v>
      </c>
    </row>
    <row r="70" spans="1:12" ht="15" customHeight="1" x14ac:dyDescent="0.25">
      <c r="A70" s="42" t="str" cm="1">
        <f t="array" ref="A70">IFERROR(INDEX(_xlfn._xlws.FILTER(Class_Players!A:A,Class_Players!B:B="Recon"),QUOTIENT(ROW()-ROW($A$2),8)+1),"")</f>
        <v>Heimi72</v>
      </c>
      <c r="B70" s="42" t="str">
        <f>_xlfn.XLOOKUP(A70,Class_Players!$A:$A,Class_Players!$B:$B,"")</f>
        <v>Recon</v>
      </c>
      <c r="C70" s="38" t="str" cm="1">
        <f t="array" ref="C70">INDEX(Lookups!$C$2:$C$9,MOD(ROW()-ROW($B$2),ROWS(Lookups!$C$2:$C$9))+1)</f>
        <v>Sniper Decoy</v>
      </c>
      <c r="D70" s="38" t="str">
        <f>_xlfn.XLOOKUP(C70,Analysis_Gadgets!$C:$C,Analysis_Gadgets!$B:$B)</f>
        <v>Gadget</v>
      </c>
      <c r="E70" s="43">
        <v>32</v>
      </c>
      <c r="F70" s="43">
        <f>_xlfn.XLOOKUP(A70,Class_Players!A:A,Class_Players!G:G)</f>
        <v>181</v>
      </c>
      <c r="G70" s="43">
        <f t="shared" si="13"/>
        <v>0.17679558011049723</v>
      </c>
      <c r="H70" s="43">
        <f>_xlfn.XLOOKUP(A70,Class_Players!$A:$A,Class_Players!$F:$F,"")</f>
        <v>12431</v>
      </c>
      <c r="I70" s="44">
        <f t="shared" si="15"/>
        <v>2.5742096371973292E-3</v>
      </c>
      <c r="J70" s="43">
        <f t="shared" si="25"/>
        <v>0</v>
      </c>
      <c r="K70" s="44" cm="1">
        <f t="array" ref="K70">IF(D70="Gadget",_xlfn.IFS(I70&gt;=0.2,0.5,I70&gt;=0.1,0.35,I70&gt;=0.05,0.2,TRUE,0),IF(D70="Grenade",_xlfn.IFS(I70&gt;=0.2,1,I70&gt;=0.1,0.7,I70&gt;=0.05,0.4,TRUE,0),0))</f>
        <v>0</v>
      </c>
      <c r="L70" s="57">
        <f t="shared" si="24"/>
        <v>0</v>
      </c>
    </row>
    <row r="71" spans="1:12" ht="15" customHeight="1" x14ac:dyDescent="0.25">
      <c r="A71" s="42" t="str" cm="1">
        <f t="array" ref="A71">IFERROR(INDEX(_xlfn._xlws.FILTER(Class_Players!A:A,Class_Players!B:B="Recon"),QUOTIENT(ROW()-ROW($A$2),8)+1),"")</f>
        <v>Heimi72</v>
      </c>
      <c r="B71" s="42" t="str">
        <f>_xlfn.XLOOKUP(A71,Class_Players!$A:$A,Class_Players!$B:$B,"")</f>
        <v>Recon</v>
      </c>
      <c r="C71" s="38" t="str" cm="1">
        <f t="array" ref="C71">INDEX(Lookups!$C$2:$C$9,MOD(ROW()-ROW($B$2),ROWS(Lookups!$C$2:$C$9))+1)</f>
        <v>C-4 Explosives</v>
      </c>
      <c r="D71" s="38" t="str">
        <f>_xlfn.XLOOKUP(C71,Analysis_Gadgets!$C:$C,Analysis_Gadgets!$B:$B)</f>
        <v>Gadget</v>
      </c>
      <c r="E71" s="43">
        <v>7552</v>
      </c>
      <c r="F71" s="43">
        <f>_xlfn.XLOOKUP(A71,Class_Players!A:A,Class_Players!G:G)</f>
        <v>181</v>
      </c>
      <c r="G71" s="43">
        <f t="shared" si="13"/>
        <v>41.723756906077348</v>
      </c>
      <c r="H71" s="43">
        <f>_xlfn.XLOOKUP(A71,Class_Players!$A:$A,Class_Players!$F:$F,"")</f>
        <v>12431</v>
      </c>
      <c r="I71" s="44">
        <f t="shared" si="15"/>
        <v>0.60751347437856973</v>
      </c>
      <c r="J71" s="43">
        <f t="shared" si="25"/>
        <v>1</v>
      </c>
      <c r="K71" s="44" cm="1">
        <f t="array" ref="K71">IF(D71="Gadget",_xlfn.IFS(I71&gt;=0.2,0.5,I71&gt;=0.1,0.35,I71&gt;=0.05,0.2,TRUE,0),IF(D71="Grenade",_xlfn.IFS(I71&gt;=0.2,1,I71&gt;=0.1,0.7,I71&gt;=0.05,0.4,TRUE,0),0))</f>
        <v>0.5</v>
      </c>
      <c r="L71" s="57">
        <f t="shared" si="24"/>
        <v>0.5</v>
      </c>
    </row>
    <row r="72" spans="1:12" ht="15" customHeight="1" x14ac:dyDescent="0.25">
      <c r="A72" s="42" t="str" cm="1">
        <f t="array" ref="A72">IFERROR(INDEX(_xlfn._xlws.FILTER(Class_Players!A:A,Class_Players!B:B="Recon"),QUOTIENT(ROW()-ROW($A$2),8)+1),"")</f>
        <v>Heimi72</v>
      </c>
      <c r="B72" s="42" t="str">
        <f>_xlfn.XLOOKUP(A72,Class_Players!$A:$A,Class_Players!$B:$B,"")</f>
        <v>Recon</v>
      </c>
      <c r="C72" s="38" t="str" cm="1">
        <f t="array" ref="C72">INDEX(Lookups!$C$2:$C$9,MOD(ROW()-ROW($B$2),ROWS(Lookups!$C$2:$C$9))+1)</f>
        <v>Proximity Detector</v>
      </c>
      <c r="D72" s="38" t="str">
        <f>_xlfn.XLOOKUP(C72,Analysis_Gadgets!$C:$C,Analysis_Gadgets!$B:$B)</f>
        <v>Grenade</v>
      </c>
      <c r="E72" s="43">
        <v>17</v>
      </c>
      <c r="F72" s="43">
        <f>_xlfn.XLOOKUP(A72,Class_Players!A:A,Class_Players!G:G)</f>
        <v>181</v>
      </c>
      <c r="G72" s="43">
        <f t="shared" si="13"/>
        <v>9.3922651933701654E-2</v>
      </c>
      <c r="H72" s="43">
        <f>_xlfn.XLOOKUP(A72,Class_Players!$A:$A,Class_Players!$F:$F,"")</f>
        <v>12431</v>
      </c>
      <c r="I72" s="44">
        <f t="shared" si="15"/>
        <v>1.3675488697610812E-3</v>
      </c>
      <c r="J72" s="43">
        <f t="shared" si="25"/>
        <v>0</v>
      </c>
      <c r="K72" s="44" cm="1">
        <f t="array" ref="K72">IF(D72="Gadget",_xlfn.IFS(I72&gt;=0.2,0.5,I72&gt;=0.1,0.35,I72&gt;=0.05,0.2,TRUE,0),IF(D72="Grenade",_xlfn.IFS(I72&gt;=0.2,1,I72&gt;=0.1,0.7,I72&gt;=0.05,0.4,TRUE,0),0))</f>
        <v>0</v>
      </c>
      <c r="L72" s="57">
        <f t="shared" ref="L72:L73" si="26">IF($K72=0,0,$K72 / SUMIFS($K:$K,$A:$A,$A72,$D:$D,"Grenade"))</f>
        <v>0</v>
      </c>
    </row>
    <row r="73" spans="1:12" ht="15" customHeight="1" x14ac:dyDescent="0.25">
      <c r="A73" s="42" t="str" cm="1">
        <f t="array" ref="A73">IFERROR(INDEX(_xlfn._xlws.FILTER(Class_Players!A:A,Class_Players!B:B="Recon"),QUOTIENT(ROW()-ROW($A$2),8)+1),"")</f>
        <v>Heimi72</v>
      </c>
      <c r="B73" s="42" t="str">
        <f>_xlfn.XLOOKUP(A73,Class_Players!$A:$A,Class_Players!$B:$B,"")</f>
        <v>Recon</v>
      </c>
      <c r="C73" s="38" t="str" cm="1">
        <f t="array" ref="C73">INDEX(Lookups!$C$2:$C$9,MOD(ROW()-ROW($B$2),ROWS(Lookups!$C$2:$C$9))+1)</f>
        <v>Throwing Knife</v>
      </c>
      <c r="D73" s="38" t="str">
        <f>_xlfn.XLOOKUP(C73,Analysis_Gadgets!$C:$C,Analysis_Gadgets!$B:$B)</f>
        <v>Grenade</v>
      </c>
      <c r="E73" s="43">
        <v>4</v>
      </c>
      <c r="F73" s="43">
        <f>_xlfn.XLOOKUP(A73,Class_Players!A:A,Class_Players!G:G)</f>
        <v>181</v>
      </c>
      <c r="G73" s="43">
        <f t="shared" si="13"/>
        <v>2.2099447513812154E-2</v>
      </c>
      <c r="H73" s="43">
        <f>_xlfn.XLOOKUP(A73,Class_Players!$A:$A,Class_Players!$F:$F,"")</f>
        <v>12431</v>
      </c>
      <c r="I73" s="44">
        <f t="shared" si="15"/>
        <v>3.2177620464966615E-4</v>
      </c>
      <c r="J73" s="43">
        <f t="shared" si="25"/>
        <v>0</v>
      </c>
      <c r="K73" s="44" cm="1">
        <f t="array" ref="K73">IF(D73="Gadget",_xlfn.IFS(I73&gt;=0.2,0.5,I73&gt;=0.1,0.35,I73&gt;=0.05,0.2,TRUE,0),IF(D73="Grenade",_xlfn.IFS(I73&gt;=0.2,1,I73&gt;=0.1,0.7,I73&gt;=0.05,0.4,TRUE,0),0))</f>
        <v>0</v>
      </c>
      <c r="L73" s="57">
        <f t="shared" si="26"/>
        <v>0</v>
      </c>
    </row>
    <row r="74" spans="1:12" ht="15" customHeight="1" x14ac:dyDescent="0.25">
      <c r="A74" s="42" t="str" cm="1">
        <f t="array" ref="A74">IFERROR(INDEX(_xlfn._xlws.FILTER(Class_Players!A:A,Class_Players!B:B="Recon"),QUOTIENT(ROW()-ROW($A$2),8)+1),"")</f>
        <v>Slimline67</v>
      </c>
      <c r="B74" s="42" t="str">
        <f>_xlfn.XLOOKUP(A74,Class_Players!$A:$A,Class_Players!$B:$B,"")</f>
        <v>Recon</v>
      </c>
      <c r="C74" s="38" t="str" cm="1">
        <f t="array" ref="C74">INDEX(Lookups!$C$2:$C$9,MOD(ROW()-ROW($B$2),ROWS(Lookups!$C$2:$C$9))+1)</f>
        <v>Laser Designator</v>
      </c>
      <c r="D74" s="38" t="str">
        <f>_xlfn.XLOOKUP(C74,Analysis_Gadgets!$C:$C,Analysis_Gadgets!$B:$B)</f>
        <v>Gadget</v>
      </c>
      <c r="E74" s="43">
        <v>1</v>
      </c>
      <c r="F74" s="43">
        <f>_xlfn.XLOOKUP(A74,Class_Players!A:A,Class_Players!G:G)</f>
        <v>189</v>
      </c>
      <c r="G74" s="43">
        <f t="shared" si="13"/>
        <v>5.2910052910052907E-3</v>
      </c>
      <c r="H74" s="43">
        <f>_xlfn.XLOOKUP(A74,Class_Players!$A:$A,Class_Players!$F:$F,"")</f>
        <v>13829</v>
      </c>
      <c r="I74" s="44">
        <f t="shared" si="15"/>
        <v>7.2311808518331041E-5</v>
      </c>
      <c r="J74" s="43">
        <f t="shared" si="25"/>
        <v>0</v>
      </c>
      <c r="K74" s="44" cm="1">
        <f t="array" ref="K74">IF(D74="Gadget",_xlfn.IFS(I74&gt;=0.2,0.5,I74&gt;=0.1,0.35,I74&gt;=0.05,0.2,TRUE,0),IF(D74="Grenade",_xlfn.IFS(I74&gt;=0.2,1,I74&gt;=0.1,0.7,I74&gt;=0.05,0.4,TRUE,0),0))</f>
        <v>0</v>
      </c>
      <c r="L74" s="57">
        <f t="shared" ref="L74:L79" si="27">IF($K74=0,0,$K74 / SUMIFS($K:$K,$A:$A,$A74,$D:$D,"Gadget"))</f>
        <v>0</v>
      </c>
    </row>
    <row r="75" spans="1:12" ht="15" customHeight="1" x14ac:dyDescent="0.25">
      <c r="A75" s="42" t="str" cm="1">
        <f t="array" ref="A75">IFERROR(INDEX(_xlfn._xlws.FILTER(Class_Players!A:A,Class_Players!B:B="Recon"),QUOTIENT(ROW()-ROW($A$2),8)+1),"")</f>
        <v>Slimline67</v>
      </c>
      <c r="B75" s="42" t="str">
        <f>_xlfn.XLOOKUP(A75,Class_Players!$A:$A,Class_Players!$B:$B,"")</f>
        <v>Recon</v>
      </c>
      <c r="C75" s="38" t="str" cm="1">
        <f t="array" ref="C75">INDEX(Lookups!$C$2:$C$9,MOD(ROW()-ROW($B$2),ROWS(Lookups!$C$2:$C$9))+1)</f>
        <v>Recon Drone</v>
      </c>
      <c r="D75" s="38" t="str">
        <f>_xlfn.XLOOKUP(C75,Analysis_Gadgets!$C:$C,Analysis_Gadgets!$B:$B)</f>
        <v>Gadget</v>
      </c>
      <c r="E75" s="43">
        <v>0</v>
      </c>
      <c r="F75" s="43">
        <f>_xlfn.XLOOKUP(A75,Class_Players!A:A,Class_Players!G:G)</f>
        <v>189</v>
      </c>
      <c r="G75" s="43">
        <f t="shared" si="13"/>
        <v>0</v>
      </c>
      <c r="H75" s="43">
        <f>_xlfn.XLOOKUP(A75,Class_Players!$A:$A,Class_Players!$F:$F,"")</f>
        <v>13829</v>
      </c>
      <c r="I75" s="44">
        <f t="shared" si="15"/>
        <v>0</v>
      </c>
      <c r="J75" s="43">
        <f t="shared" si="25"/>
        <v>0</v>
      </c>
      <c r="K75" s="44" cm="1">
        <f t="array" ref="K75">IF(D75="Gadget",_xlfn.IFS(I75&gt;=0.2,0.5,I75&gt;=0.1,0.35,I75&gt;=0.05,0.2,TRUE,0),IF(D75="Grenade",_xlfn.IFS(I75&gt;=0.2,1,I75&gt;=0.1,0.7,I75&gt;=0.05,0.4,TRUE,0),0))</f>
        <v>0</v>
      </c>
      <c r="L75" s="57">
        <f t="shared" si="27"/>
        <v>0</v>
      </c>
    </row>
    <row r="76" spans="1:12" ht="15" customHeight="1" x14ac:dyDescent="0.25">
      <c r="A76" s="42" t="str" cm="1">
        <f t="array" ref="A76">IFERROR(INDEX(_xlfn._xlws.FILTER(Class_Players!A:A,Class_Players!B:B="Recon"),QUOTIENT(ROW()-ROW($A$2),8)+1),"")</f>
        <v>Slimline67</v>
      </c>
      <c r="B76" s="42" t="str">
        <f>_xlfn.XLOOKUP(A76,Class_Players!$A:$A,Class_Players!$B:$B,"")</f>
        <v>Recon</v>
      </c>
      <c r="C76" s="38" t="str" cm="1">
        <f t="array" ref="C76">INDEX(Lookups!$C$2:$C$9,MOD(ROW()-ROW($B$2),ROWS(Lookups!$C$2:$C$9))+1)</f>
        <v>Tracer Dart</v>
      </c>
      <c r="D76" s="38" t="str">
        <f>_xlfn.XLOOKUP(C76,Analysis_Gadgets!$C:$C,Analysis_Gadgets!$B:$B)</f>
        <v>Gadget</v>
      </c>
      <c r="E76" s="43">
        <v>0</v>
      </c>
      <c r="F76" s="43">
        <f>_xlfn.XLOOKUP(A76,Class_Players!A:A,Class_Players!G:G)</f>
        <v>189</v>
      </c>
      <c r="G76" s="43">
        <f t="shared" si="13"/>
        <v>0</v>
      </c>
      <c r="H76" s="43">
        <f>_xlfn.XLOOKUP(A76,Class_Players!$A:$A,Class_Players!$F:$F,"")</f>
        <v>13829</v>
      </c>
      <c r="I76" s="44">
        <f t="shared" si="15"/>
        <v>0</v>
      </c>
      <c r="J76" s="43">
        <f t="shared" si="25"/>
        <v>0</v>
      </c>
      <c r="K76" s="44" cm="1">
        <f t="array" ref="K76">IF(D76="Gadget",_xlfn.IFS(I76&gt;=0.2,0.5,I76&gt;=0.1,0.35,I76&gt;=0.05,0.2,TRUE,0),IF(D76="Grenade",_xlfn.IFS(I76&gt;=0.2,1,I76&gt;=0.1,0.7,I76&gt;=0.05,0.4,TRUE,0),0))</f>
        <v>0</v>
      </c>
      <c r="L76" s="57">
        <f t="shared" si="27"/>
        <v>0</v>
      </c>
    </row>
    <row r="77" spans="1:12" ht="15" customHeight="1" x14ac:dyDescent="0.25">
      <c r="A77" s="42" t="str" cm="1">
        <f t="array" ref="A77">IFERROR(INDEX(_xlfn._xlws.FILTER(Class_Players!A:A,Class_Players!B:B="Recon"),QUOTIENT(ROW()-ROW($A$2),8)+1),"")</f>
        <v>Slimline67</v>
      </c>
      <c r="B77" s="42" t="str">
        <f>_xlfn.XLOOKUP(A77,Class_Players!$A:$A,Class_Players!$B:$B,"")</f>
        <v>Recon</v>
      </c>
      <c r="C77" s="38" t="str" cm="1">
        <f t="array" ref="C77">INDEX(Lookups!$C$2:$C$9,MOD(ROW()-ROW($B$2),ROWS(Lookups!$C$2:$C$9))+1)</f>
        <v>M18A1 (Claymore)</v>
      </c>
      <c r="D77" s="38" t="str">
        <f>_xlfn.XLOOKUP(C77,Analysis_Gadgets!$C:$C,Analysis_Gadgets!$B:$B)</f>
        <v>Gadget</v>
      </c>
      <c r="E77" s="43">
        <v>7536</v>
      </c>
      <c r="F77" s="43">
        <f>_xlfn.XLOOKUP(A77,Class_Players!A:A,Class_Players!G:G)</f>
        <v>189</v>
      </c>
      <c r="G77" s="43">
        <f t="shared" si="13"/>
        <v>39.873015873015873</v>
      </c>
      <c r="H77" s="43">
        <f>_xlfn.XLOOKUP(A77,Class_Players!$A:$A,Class_Players!$F:$F,"")</f>
        <v>13829</v>
      </c>
      <c r="I77" s="44">
        <f t="shared" si="15"/>
        <v>0.5449417889941427</v>
      </c>
      <c r="J77" s="43">
        <f t="shared" si="25"/>
        <v>1</v>
      </c>
      <c r="K77" s="44" cm="1">
        <f t="array" ref="K77">IF(D77="Gadget",_xlfn.IFS(I77&gt;=0.2,0.5,I77&gt;=0.1,0.35,I77&gt;=0.05,0.2,TRUE,0),IF(D77="Grenade",_xlfn.IFS(I77&gt;=0.2,1,I77&gt;=0.1,0.7,I77&gt;=0.05,0.4,TRUE,0),0))</f>
        <v>0.5</v>
      </c>
      <c r="L77" s="57">
        <f t="shared" si="27"/>
        <v>0.5</v>
      </c>
    </row>
    <row r="78" spans="1:12" ht="15" customHeight="1" x14ac:dyDescent="0.25">
      <c r="A78" s="42" t="str" cm="1">
        <f t="array" ref="A78">IFERROR(INDEX(_xlfn._xlws.FILTER(Class_Players!A:A,Class_Players!B:B="Recon"),QUOTIENT(ROW()-ROW($A$2),8)+1),"")</f>
        <v>Slimline67</v>
      </c>
      <c r="B78" s="42" t="str">
        <f>_xlfn.XLOOKUP(A78,Class_Players!$A:$A,Class_Players!$B:$B,"")</f>
        <v>Recon</v>
      </c>
      <c r="C78" s="38" t="str" cm="1">
        <f t="array" ref="C78">INDEX(Lookups!$C$2:$C$9,MOD(ROW()-ROW($B$2),ROWS(Lookups!$C$2:$C$9))+1)</f>
        <v>Sniper Decoy</v>
      </c>
      <c r="D78" s="38" t="str">
        <f>_xlfn.XLOOKUP(C78,Analysis_Gadgets!$C:$C,Analysis_Gadgets!$B:$B)</f>
        <v>Gadget</v>
      </c>
      <c r="E78" s="43">
        <v>0</v>
      </c>
      <c r="F78" s="43">
        <f>_xlfn.XLOOKUP(A78,Class_Players!A:A,Class_Players!G:G)</f>
        <v>189</v>
      </c>
      <c r="G78" s="43">
        <f t="shared" si="13"/>
        <v>0</v>
      </c>
      <c r="H78" s="43">
        <f>_xlfn.XLOOKUP(A78,Class_Players!$A:$A,Class_Players!$F:$F,"")</f>
        <v>13829</v>
      </c>
      <c r="I78" s="44">
        <f t="shared" si="15"/>
        <v>0</v>
      </c>
      <c r="J78" s="43">
        <f t="shared" si="25"/>
        <v>0</v>
      </c>
      <c r="K78" s="44" cm="1">
        <f t="array" ref="K78">IF(D78="Gadget",_xlfn.IFS(I78&gt;=0.2,0.5,I78&gt;=0.1,0.35,I78&gt;=0.05,0.2,TRUE,0),IF(D78="Grenade",_xlfn.IFS(I78&gt;=0.2,1,I78&gt;=0.1,0.7,I78&gt;=0.05,0.4,TRUE,0),0))</f>
        <v>0</v>
      </c>
      <c r="L78" s="57">
        <f t="shared" si="27"/>
        <v>0</v>
      </c>
    </row>
    <row r="79" spans="1:12" ht="15" customHeight="1" x14ac:dyDescent="0.25">
      <c r="A79" s="42" t="str" cm="1">
        <f t="array" ref="A79">IFERROR(INDEX(_xlfn._xlws.FILTER(Class_Players!A:A,Class_Players!B:B="Recon"),QUOTIENT(ROW()-ROW($A$2),8)+1),"")</f>
        <v>Slimline67</v>
      </c>
      <c r="B79" s="42" t="str">
        <f>_xlfn.XLOOKUP(A79,Class_Players!$A:$A,Class_Players!$B:$B,"")</f>
        <v>Recon</v>
      </c>
      <c r="C79" s="38" t="str" cm="1">
        <f t="array" ref="C79">INDEX(Lookups!$C$2:$C$9,MOD(ROW()-ROW($B$2),ROWS(Lookups!$C$2:$C$9))+1)</f>
        <v>C-4 Explosives</v>
      </c>
      <c r="D79" s="38" t="str">
        <f>_xlfn.XLOOKUP(C79,Analysis_Gadgets!$C:$C,Analysis_Gadgets!$B:$B)</f>
        <v>Gadget</v>
      </c>
      <c r="E79" s="43">
        <v>9696</v>
      </c>
      <c r="F79" s="43">
        <f>_xlfn.XLOOKUP(A79,Class_Players!A:A,Class_Players!G:G)</f>
        <v>189</v>
      </c>
      <c r="G79" s="43">
        <f t="shared" si="13"/>
        <v>51.301587301587304</v>
      </c>
      <c r="H79" s="43">
        <f>_xlfn.XLOOKUP(A79,Class_Players!$A:$A,Class_Players!$F:$F,"")</f>
        <v>13829</v>
      </c>
      <c r="I79" s="44">
        <f t="shared" si="15"/>
        <v>0.70113529539373776</v>
      </c>
      <c r="J79" s="43">
        <f t="shared" si="25"/>
        <v>1</v>
      </c>
      <c r="K79" s="44" cm="1">
        <f t="array" ref="K79">IF(D79="Gadget",_xlfn.IFS(I79&gt;=0.2,0.5,I79&gt;=0.1,0.35,I79&gt;=0.05,0.2,TRUE,0),IF(D79="Grenade",_xlfn.IFS(I79&gt;=0.2,1,I79&gt;=0.1,0.7,I79&gt;=0.05,0.4,TRUE,0),0))</f>
        <v>0.5</v>
      </c>
      <c r="L79" s="57">
        <f t="shared" si="27"/>
        <v>0.5</v>
      </c>
    </row>
    <row r="80" spans="1:12" ht="15" customHeight="1" x14ac:dyDescent="0.25">
      <c r="A80" s="42" t="str" cm="1">
        <f t="array" ref="A80">IFERROR(INDEX(_xlfn._xlws.FILTER(Class_Players!A:A,Class_Players!B:B="Recon"),QUOTIENT(ROW()-ROW($A$2),8)+1),"")</f>
        <v>Slimline67</v>
      </c>
      <c r="B80" s="42" t="str">
        <f>_xlfn.XLOOKUP(A80,Class_Players!$A:$A,Class_Players!$B:$B,"")</f>
        <v>Recon</v>
      </c>
      <c r="C80" s="38" t="str" cm="1">
        <f t="array" ref="C80">INDEX(Lookups!$C$2:$C$9,MOD(ROW()-ROW($B$2),ROWS(Lookups!$C$2:$C$9))+1)</f>
        <v>Proximity Detector</v>
      </c>
      <c r="D80" s="38" t="str">
        <f>_xlfn.XLOOKUP(C80,Analysis_Gadgets!$C:$C,Analysis_Gadgets!$B:$B)</f>
        <v>Grenade</v>
      </c>
      <c r="E80" s="43">
        <v>0</v>
      </c>
      <c r="F80" s="43">
        <f>_xlfn.XLOOKUP(A80,Class_Players!A:A,Class_Players!G:G)</f>
        <v>189</v>
      </c>
      <c r="G80" s="43">
        <f t="shared" si="13"/>
        <v>0</v>
      </c>
      <c r="H80" s="43">
        <f>_xlfn.XLOOKUP(A80,Class_Players!$A:$A,Class_Players!$F:$F,"")</f>
        <v>13829</v>
      </c>
      <c r="I80" s="44">
        <f t="shared" si="15"/>
        <v>0</v>
      </c>
      <c r="J80" s="43">
        <f t="shared" si="25"/>
        <v>0</v>
      </c>
      <c r="K80" s="44" cm="1">
        <f t="array" ref="K80">IF(D80="Gadget",_xlfn.IFS(I80&gt;=0.2,0.5,I80&gt;=0.1,0.35,I80&gt;=0.05,0.2,TRUE,0),IF(D80="Grenade",_xlfn.IFS(I80&gt;=0.2,1,I80&gt;=0.1,0.7,I80&gt;=0.05,0.4,TRUE,0),0))</f>
        <v>0</v>
      </c>
      <c r="L80" s="57">
        <f t="shared" ref="L80:L81" si="28">IF($K80=0,0,$K80 / SUMIFS($K:$K,$A:$A,$A80,$D:$D,"Grenade"))</f>
        <v>0</v>
      </c>
    </row>
    <row r="81" spans="1:12" ht="15" customHeight="1" x14ac:dyDescent="0.25">
      <c r="A81" s="42" t="str" cm="1">
        <f t="array" ref="A81">IFERROR(INDEX(_xlfn._xlws.FILTER(Class_Players!A:A,Class_Players!B:B="Recon"),QUOTIENT(ROW()-ROW($A$2),8)+1),"")</f>
        <v>Slimline67</v>
      </c>
      <c r="B81" s="42" t="str">
        <f>_xlfn.XLOOKUP(A81,Class_Players!$A:$A,Class_Players!$B:$B,"")</f>
        <v>Recon</v>
      </c>
      <c r="C81" s="38" t="str" cm="1">
        <f t="array" ref="C81">INDEX(Lookups!$C$2:$C$9,MOD(ROW()-ROW($B$2),ROWS(Lookups!$C$2:$C$9))+1)</f>
        <v>Throwing Knife</v>
      </c>
      <c r="D81" s="38" t="str">
        <f>_xlfn.XLOOKUP(C81,Analysis_Gadgets!$C:$C,Analysis_Gadgets!$B:$B)</f>
        <v>Grenade</v>
      </c>
      <c r="E81" s="43">
        <v>0</v>
      </c>
      <c r="F81" s="43">
        <f>_xlfn.XLOOKUP(A81,Class_Players!A:A,Class_Players!G:G)</f>
        <v>189</v>
      </c>
      <c r="G81" s="43">
        <f t="shared" si="13"/>
        <v>0</v>
      </c>
      <c r="H81" s="43">
        <f>_xlfn.XLOOKUP(A81,Class_Players!$A:$A,Class_Players!$F:$F,"")</f>
        <v>13829</v>
      </c>
      <c r="I81" s="44">
        <f t="shared" si="15"/>
        <v>0</v>
      </c>
      <c r="J81" s="43">
        <f t="shared" si="25"/>
        <v>0</v>
      </c>
      <c r="K81" s="44" cm="1">
        <f t="array" ref="K81">IF(D81="Gadget",_xlfn.IFS(I81&gt;=0.2,0.5,I81&gt;=0.1,0.35,I81&gt;=0.05,0.2,TRUE,0),IF(D81="Grenade",_xlfn.IFS(I81&gt;=0.2,1,I81&gt;=0.1,0.7,I81&gt;=0.05,0.4,TRUE,0),0))</f>
        <v>0</v>
      </c>
      <c r="L81" s="57">
        <f t="shared" si="28"/>
        <v>0</v>
      </c>
    </row>
    <row r="82" spans="1:12" ht="15" customHeight="1" x14ac:dyDescent="0.25">
      <c r="A82" s="42" t="str" cm="1">
        <f t="array" ref="A82">IFERROR(INDEX(_xlfn._xlws.FILTER(Class_Players!A:A,Class_Players!B:B="Recon"),QUOTIENT(ROW()-ROW($A$2),8)+1),"")</f>
        <v>Eucharion</v>
      </c>
      <c r="B82" s="42" t="str">
        <f>_xlfn.XLOOKUP(A82,Class_Players!$A:$A,Class_Players!$B:$B,"")</f>
        <v>Recon</v>
      </c>
      <c r="C82" s="38" t="str" cm="1">
        <f t="array" ref="C82">INDEX(Lookups!$C$2:$C$9,MOD(ROW()-ROW($B$2),ROWS(Lookups!$C$2:$C$9))+1)</f>
        <v>Laser Designator</v>
      </c>
      <c r="D82" s="38" t="str">
        <f>_xlfn.XLOOKUP(C82,Analysis_Gadgets!$C:$C,Analysis_Gadgets!$B:$B)</f>
        <v>Gadget</v>
      </c>
      <c r="E82" s="43">
        <v>204</v>
      </c>
      <c r="F82" s="43">
        <f>_xlfn.XLOOKUP(A82,Class_Players!A:A,Class_Players!G:G)</f>
        <v>262</v>
      </c>
      <c r="G82" s="43">
        <f t="shared" ref="G82:G121" si="29">IF(F82=0,"",E82/(F82))</f>
        <v>0.77862595419847325</v>
      </c>
      <c r="H82" s="43">
        <f>_xlfn.XLOOKUP(A82,Class_Players!$A:$A,Class_Players!$F:$F,"")</f>
        <v>11174</v>
      </c>
      <c r="I82" s="44">
        <f t="shared" ref="I82:I121" si="30">IF(H82=0,"",E82/H82)</f>
        <v>1.825666726328978E-2</v>
      </c>
      <c r="J82" s="43">
        <f t="shared" si="25"/>
        <v>0</v>
      </c>
      <c r="K82" s="44" cm="1">
        <f t="array" ref="K82">IF(D82="Gadget",_xlfn.IFS(I82&gt;=0.2,0.5,I82&gt;=0.1,0.35,I82&gt;=0.05,0.2,TRUE,0),IF(D82="Grenade",_xlfn.IFS(I82&gt;=0.2,1,I82&gt;=0.1,0.7,I82&gt;=0.05,0.4,TRUE,0),0))</f>
        <v>0</v>
      </c>
      <c r="L82" s="57">
        <f t="shared" ref="L82:L87" si="31">IF($K82=0,0,$K82 / SUMIFS($K:$K,$A:$A,$A82,$D:$D,"Gadget"))</f>
        <v>0</v>
      </c>
    </row>
    <row r="83" spans="1:12" ht="15" customHeight="1" x14ac:dyDescent="0.25">
      <c r="A83" s="42" t="str" cm="1">
        <f t="array" ref="A83">IFERROR(INDEX(_xlfn._xlws.FILTER(Class_Players!A:A,Class_Players!B:B="Recon"),QUOTIENT(ROW()-ROW($A$2),8)+1),"")</f>
        <v>Eucharion</v>
      </c>
      <c r="B83" s="42" t="str">
        <f>_xlfn.XLOOKUP(A83,Class_Players!$A:$A,Class_Players!$B:$B,"")</f>
        <v>Recon</v>
      </c>
      <c r="C83" s="38" t="str" cm="1">
        <f t="array" ref="C83">INDEX(Lookups!$C$2:$C$9,MOD(ROW()-ROW($B$2),ROWS(Lookups!$C$2:$C$9))+1)</f>
        <v>Recon Drone</v>
      </c>
      <c r="D83" s="38" t="str">
        <f>_xlfn.XLOOKUP(C83,Analysis_Gadgets!$C:$C,Analysis_Gadgets!$B:$B)</f>
        <v>Gadget</v>
      </c>
      <c r="E83" s="43">
        <v>494</v>
      </c>
      <c r="F83" s="43">
        <f>_xlfn.XLOOKUP(A83,Class_Players!A:A,Class_Players!G:G)</f>
        <v>262</v>
      </c>
      <c r="G83" s="43">
        <f t="shared" si="29"/>
        <v>1.8854961832061068</v>
      </c>
      <c r="H83" s="43">
        <f>_xlfn.XLOOKUP(A83,Class_Players!$A:$A,Class_Players!$F:$F,"")</f>
        <v>11174</v>
      </c>
      <c r="I83" s="44">
        <f t="shared" si="30"/>
        <v>4.420977268659388E-2</v>
      </c>
      <c r="J83" s="43">
        <f t="shared" si="25"/>
        <v>0</v>
      </c>
      <c r="K83" s="44" cm="1">
        <f t="array" ref="K83">IF(D83="Gadget",_xlfn.IFS(I83&gt;=0.2,0.5,I83&gt;=0.1,0.35,I83&gt;=0.05,0.2,TRUE,0),IF(D83="Grenade",_xlfn.IFS(I83&gt;=0.2,1,I83&gt;=0.1,0.7,I83&gt;=0.05,0.4,TRUE,0),0))</f>
        <v>0</v>
      </c>
      <c r="L83" s="57">
        <f t="shared" si="31"/>
        <v>0</v>
      </c>
    </row>
    <row r="84" spans="1:12" ht="15" customHeight="1" x14ac:dyDescent="0.25">
      <c r="A84" s="42" t="str" cm="1">
        <f t="array" ref="A84">IFERROR(INDEX(_xlfn._xlws.FILTER(Class_Players!A:A,Class_Players!B:B="Recon"),QUOTIENT(ROW()-ROW($A$2),8)+1),"")</f>
        <v>Eucharion</v>
      </c>
      <c r="B84" s="42" t="str">
        <f>_xlfn.XLOOKUP(A84,Class_Players!$A:$A,Class_Players!$B:$B,"")</f>
        <v>Recon</v>
      </c>
      <c r="C84" s="38" t="str" cm="1">
        <f t="array" ref="C84">INDEX(Lookups!$C$2:$C$9,MOD(ROW()-ROW($B$2),ROWS(Lookups!$C$2:$C$9))+1)</f>
        <v>Tracer Dart</v>
      </c>
      <c r="D84" s="38" t="str">
        <f>_xlfn.XLOOKUP(C84,Analysis_Gadgets!$C:$C,Analysis_Gadgets!$B:$B)</f>
        <v>Gadget</v>
      </c>
      <c r="E84" s="43">
        <v>143</v>
      </c>
      <c r="F84" s="43">
        <f>_xlfn.XLOOKUP(A84,Class_Players!A:A,Class_Players!G:G)</f>
        <v>262</v>
      </c>
      <c r="G84" s="43">
        <f t="shared" si="29"/>
        <v>0.54580152671755722</v>
      </c>
      <c r="H84" s="43">
        <f>_xlfn.XLOOKUP(A84,Class_Players!$A:$A,Class_Players!$F:$F,"")</f>
        <v>11174</v>
      </c>
      <c r="I84" s="44">
        <f t="shared" si="30"/>
        <v>1.2797565777698227E-2</v>
      </c>
      <c r="J84" s="43">
        <f t="shared" si="25"/>
        <v>0</v>
      </c>
      <c r="K84" s="44" cm="1">
        <f t="array" ref="K84">IF(D84="Gadget",_xlfn.IFS(I84&gt;=0.2,0.5,I84&gt;=0.1,0.35,I84&gt;=0.05,0.2,TRUE,0),IF(D84="Grenade",_xlfn.IFS(I84&gt;=0.2,1,I84&gt;=0.1,0.7,I84&gt;=0.05,0.4,TRUE,0),0))</f>
        <v>0</v>
      </c>
      <c r="L84" s="57">
        <f t="shared" si="31"/>
        <v>0</v>
      </c>
    </row>
    <row r="85" spans="1:12" ht="15" customHeight="1" x14ac:dyDescent="0.25">
      <c r="A85" s="42" t="str" cm="1">
        <f t="array" ref="A85">IFERROR(INDEX(_xlfn._xlws.FILTER(Class_Players!A:A,Class_Players!B:B="Recon"),QUOTIENT(ROW()-ROW($A$2),8)+1),"")</f>
        <v>Eucharion</v>
      </c>
      <c r="B85" s="42" t="str">
        <f>_xlfn.XLOOKUP(A85,Class_Players!$A:$A,Class_Players!$B:$B,"")</f>
        <v>Recon</v>
      </c>
      <c r="C85" s="38" t="str" cm="1">
        <f t="array" ref="C85">INDEX(Lookups!$C$2:$C$9,MOD(ROW()-ROW($B$2),ROWS(Lookups!$C$2:$C$9))+1)</f>
        <v>M18A1 (Claymore)</v>
      </c>
      <c r="D85" s="38" t="str">
        <f>_xlfn.XLOOKUP(C85,Analysis_Gadgets!$C:$C,Analysis_Gadgets!$B:$B)</f>
        <v>Gadget</v>
      </c>
      <c r="E85" s="43">
        <v>2371</v>
      </c>
      <c r="F85" s="43">
        <f>_xlfn.XLOOKUP(A85,Class_Players!A:A,Class_Players!G:G)</f>
        <v>262</v>
      </c>
      <c r="G85" s="43">
        <f t="shared" si="29"/>
        <v>9.0496183206106871</v>
      </c>
      <c r="H85" s="43">
        <f>_xlfn.XLOOKUP(A85,Class_Players!$A:$A,Class_Players!$F:$F,"")</f>
        <v>11174</v>
      </c>
      <c r="I85" s="44">
        <f t="shared" si="30"/>
        <v>0.21218901020225522</v>
      </c>
      <c r="J85" s="43">
        <f t="shared" si="25"/>
        <v>1</v>
      </c>
      <c r="K85" s="44" cm="1">
        <f t="array" ref="K85">IF(D85="Gadget",_xlfn.IFS(I85&gt;=0.2,0.5,I85&gt;=0.1,0.35,I85&gt;=0.05,0.2,TRUE,0),IF(D85="Grenade",_xlfn.IFS(I85&gt;=0.2,1,I85&gt;=0.1,0.7,I85&gt;=0.05,0.4,TRUE,0),0))</f>
        <v>0.5</v>
      </c>
      <c r="L85" s="57">
        <f t="shared" si="31"/>
        <v>0.58823529411764708</v>
      </c>
    </row>
    <row r="86" spans="1:12" ht="15" customHeight="1" x14ac:dyDescent="0.25">
      <c r="A86" s="42" t="str" cm="1">
        <f t="array" ref="A86">IFERROR(INDEX(_xlfn._xlws.FILTER(Class_Players!A:A,Class_Players!B:B="Recon"),QUOTIENT(ROW()-ROW($A$2),8)+1),"")</f>
        <v>Eucharion</v>
      </c>
      <c r="B86" s="42" t="str">
        <f>_xlfn.XLOOKUP(A86,Class_Players!$A:$A,Class_Players!$B:$B,"")</f>
        <v>Recon</v>
      </c>
      <c r="C86" s="38" t="str" cm="1">
        <f t="array" ref="C86">INDEX(Lookups!$C$2:$C$9,MOD(ROW()-ROW($B$2),ROWS(Lookups!$C$2:$C$9))+1)</f>
        <v>Sniper Decoy</v>
      </c>
      <c r="D86" s="38" t="str">
        <f>_xlfn.XLOOKUP(C86,Analysis_Gadgets!$C:$C,Analysis_Gadgets!$B:$B)</f>
        <v>Gadget</v>
      </c>
      <c r="E86" s="43">
        <v>32</v>
      </c>
      <c r="F86" s="43">
        <f>_xlfn.XLOOKUP(A86,Class_Players!A:A,Class_Players!G:G)</f>
        <v>262</v>
      </c>
      <c r="G86" s="43">
        <f t="shared" si="29"/>
        <v>0.12213740458015267</v>
      </c>
      <c r="H86" s="43">
        <f>_xlfn.XLOOKUP(A86,Class_Players!$A:$A,Class_Players!$F:$F,"")</f>
        <v>11174</v>
      </c>
      <c r="I86" s="44">
        <f t="shared" si="30"/>
        <v>2.8637909432611421E-3</v>
      </c>
      <c r="J86" s="43">
        <f t="shared" si="25"/>
        <v>0</v>
      </c>
      <c r="K86" s="44" cm="1">
        <f t="array" ref="K86">IF(D86="Gadget",_xlfn.IFS(I86&gt;=0.2,0.5,I86&gt;=0.1,0.35,I86&gt;=0.05,0.2,TRUE,0),IF(D86="Grenade",_xlfn.IFS(I86&gt;=0.2,1,I86&gt;=0.1,0.7,I86&gt;=0.05,0.4,TRUE,0),0))</f>
        <v>0</v>
      </c>
      <c r="L86" s="57">
        <f t="shared" si="31"/>
        <v>0</v>
      </c>
    </row>
    <row r="87" spans="1:12" ht="15" customHeight="1" x14ac:dyDescent="0.25">
      <c r="A87" s="42" t="str" cm="1">
        <f t="array" ref="A87">IFERROR(INDEX(_xlfn._xlws.FILTER(Class_Players!A:A,Class_Players!B:B="Recon"),QUOTIENT(ROW()-ROW($A$2),8)+1),"")</f>
        <v>Eucharion</v>
      </c>
      <c r="B87" s="42" t="str">
        <f>_xlfn.XLOOKUP(A87,Class_Players!$A:$A,Class_Players!$B:$B,"")</f>
        <v>Recon</v>
      </c>
      <c r="C87" s="38" t="str" cm="1">
        <f t="array" ref="C87">INDEX(Lookups!$C$2:$C$9,MOD(ROW()-ROW($B$2),ROWS(Lookups!$C$2:$C$9))+1)</f>
        <v>C-4 Explosives</v>
      </c>
      <c r="D87" s="38" t="str">
        <f>_xlfn.XLOOKUP(C87,Analysis_Gadgets!$C:$C,Analysis_Gadgets!$B:$B)</f>
        <v>Gadget</v>
      </c>
      <c r="E87" s="43">
        <v>1677</v>
      </c>
      <c r="F87" s="43">
        <f>_xlfn.XLOOKUP(A87,Class_Players!A:A,Class_Players!G:G)</f>
        <v>262</v>
      </c>
      <c r="G87" s="43">
        <f t="shared" si="29"/>
        <v>6.4007633587786259</v>
      </c>
      <c r="H87" s="43">
        <f>_xlfn.XLOOKUP(A87,Class_Players!$A:$A,Class_Players!$F:$F,"")</f>
        <v>11174</v>
      </c>
      <c r="I87" s="44">
        <f t="shared" si="30"/>
        <v>0.15008054412027921</v>
      </c>
      <c r="J87" s="43">
        <f t="shared" si="25"/>
        <v>1</v>
      </c>
      <c r="K87" s="44" cm="1">
        <f t="array" ref="K87">IF(D87="Gadget",_xlfn.IFS(I87&gt;=0.2,0.5,I87&gt;=0.1,0.35,I87&gt;=0.05,0.2,TRUE,0),IF(D87="Grenade",_xlfn.IFS(I87&gt;=0.2,1,I87&gt;=0.1,0.7,I87&gt;=0.05,0.4,TRUE,0),0))</f>
        <v>0.35</v>
      </c>
      <c r="L87" s="57">
        <f t="shared" si="31"/>
        <v>0.41176470588235292</v>
      </c>
    </row>
    <row r="88" spans="1:12" ht="15" customHeight="1" x14ac:dyDescent="0.25">
      <c r="A88" s="42" t="str" cm="1">
        <f t="array" ref="A88">IFERROR(INDEX(_xlfn._xlws.FILTER(Class_Players!A:A,Class_Players!B:B="Recon"),QUOTIENT(ROW()-ROW($A$2),8)+1),"")</f>
        <v>Eucharion</v>
      </c>
      <c r="B88" s="42" t="str">
        <f>_xlfn.XLOOKUP(A88,Class_Players!$A:$A,Class_Players!$B:$B,"")</f>
        <v>Recon</v>
      </c>
      <c r="C88" s="38" t="str" cm="1">
        <f t="array" ref="C88">INDEX(Lookups!$C$2:$C$9,MOD(ROW()-ROW($B$2),ROWS(Lookups!$C$2:$C$9))+1)</f>
        <v>Proximity Detector</v>
      </c>
      <c r="D88" s="38" t="str">
        <f>_xlfn.XLOOKUP(C88,Analysis_Gadgets!$C:$C,Analysis_Gadgets!$B:$B)</f>
        <v>Grenade</v>
      </c>
      <c r="E88" s="43">
        <v>34</v>
      </c>
      <c r="F88" s="43">
        <f>_xlfn.XLOOKUP(A88,Class_Players!A:A,Class_Players!G:G)</f>
        <v>262</v>
      </c>
      <c r="G88" s="43">
        <f t="shared" si="29"/>
        <v>0.12977099236641221</v>
      </c>
      <c r="H88" s="43">
        <f>_xlfn.XLOOKUP(A88,Class_Players!$A:$A,Class_Players!$F:$F,"")</f>
        <v>11174</v>
      </c>
      <c r="I88" s="44">
        <f t="shared" si="30"/>
        <v>3.0427778772149634E-3</v>
      </c>
      <c r="J88" s="43">
        <f t="shared" si="25"/>
        <v>0</v>
      </c>
      <c r="K88" s="44" cm="1">
        <f t="array" ref="K88">IF(D88="Gadget",_xlfn.IFS(I88&gt;=0.2,0.5,I88&gt;=0.1,0.35,I88&gt;=0.05,0.2,TRUE,0),IF(D88="Grenade",_xlfn.IFS(I88&gt;=0.2,1,I88&gt;=0.1,0.7,I88&gt;=0.05,0.4,TRUE,0),0))</f>
        <v>0</v>
      </c>
      <c r="L88" s="57">
        <f t="shared" ref="L88:L89" si="32">IF($K88=0,0,$K88 / SUMIFS($K:$K,$A:$A,$A88,$D:$D,"Grenade"))</f>
        <v>0</v>
      </c>
    </row>
    <row r="89" spans="1:12" ht="15" customHeight="1" x14ac:dyDescent="0.25">
      <c r="A89" s="42" t="str" cm="1">
        <f t="array" ref="A89">IFERROR(INDEX(_xlfn._xlws.FILTER(Class_Players!A:A,Class_Players!B:B="Recon"),QUOTIENT(ROW()-ROW($A$2),8)+1),"")</f>
        <v>Eucharion</v>
      </c>
      <c r="B89" s="42" t="str">
        <f>_xlfn.XLOOKUP(A89,Class_Players!$A:$A,Class_Players!$B:$B,"")</f>
        <v>Recon</v>
      </c>
      <c r="C89" s="38" t="str" cm="1">
        <f t="array" ref="C89">INDEX(Lookups!$C$2:$C$9,MOD(ROW()-ROW($B$2),ROWS(Lookups!$C$2:$C$9))+1)</f>
        <v>Throwing Knife</v>
      </c>
      <c r="D89" s="38" t="str">
        <f>_xlfn.XLOOKUP(C89,Analysis_Gadgets!$C:$C,Analysis_Gadgets!$B:$B)</f>
        <v>Grenade</v>
      </c>
      <c r="E89" s="43">
        <v>9</v>
      </c>
      <c r="F89" s="43">
        <f>_xlfn.XLOOKUP(A89,Class_Players!A:A,Class_Players!G:G)</f>
        <v>262</v>
      </c>
      <c r="G89" s="43">
        <f t="shared" si="29"/>
        <v>3.4351145038167941E-2</v>
      </c>
      <c r="H89" s="43">
        <f>_xlfn.XLOOKUP(A89,Class_Players!$A:$A,Class_Players!$F:$F,"")</f>
        <v>11174</v>
      </c>
      <c r="I89" s="44">
        <f t="shared" si="30"/>
        <v>8.0544120279219618E-4</v>
      </c>
      <c r="J89" s="43">
        <f t="shared" si="25"/>
        <v>0</v>
      </c>
      <c r="K89" s="44" cm="1">
        <f t="array" ref="K89">IF(D89="Gadget",_xlfn.IFS(I89&gt;=0.2,0.5,I89&gt;=0.1,0.35,I89&gt;=0.05,0.2,TRUE,0),IF(D89="Grenade",_xlfn.IFS(I89&gt;=0.2,1,I89&gt;=0.1,0.7,I89&gt;=0.05,0.4,TRUE,0),0))</f>
        <v>0</v>
      </c>
      <c r="L89" s="57">
        <f t="shared" si="32"/>
        <v>0</v>
      </c>
    </row>
    <row r="90" spans="1:12" ht="15" customHeight="1" x14ac:dyDescent="0.25">
      <c r="A90" s="42" t="str" cm="1">
        <f t="array" ref="A90">IFERROR(INDEX(_xlfn._xlws.FILTER(Class_Players!A:A,Class_Players!B:B="Recon"),QUOTIENT(ROW()-ROW($A$2),8)+1),"")</f>
        <v>llZeroHeroll</v>
      </c>
      <c r="B90" s="42" t="str">
        <f>_xlfn.XLOOKUP(A90,Class_Players!$A:$A,Class_Players!$B:$B,"")</f>
        <v>Recon</v>
      </c>
      <c r="C90" s="38" t="str" cm="1">
        <f t="array" ref="C90">INDEX(Lookups!$C$2:$C$9,MOD(ROW()-ROW($B$2),ROWS(Lookups!$C$2:$C$9))+1)</f>
        <v>Laser Designator</v>
      </c>
      <c r="D90" s="38" t="str">
        <f>_xlfn.XLOOKUP(C90,Analysis_Gadgets!$C:$C,Analysis_Gadgets!$B:$B)</f>
        <v>Gadget</v>
      </c>
      <c r="E90" s="43">
        <v>4</v>
      </c>
      <c r="F90" s="43">
        <f>_xlfn.XLOOKUP(A90,Class_Players!A:A,Class_Players!G:G)</f>
        <v>197</v>
      </c>
      <c r="G90" s="43">
        <f t="shared" si="29"/>
        <v>2.030456852791878E-2</v>
      </c>
      <c r="H90" s="43">
        <f>_xlfn.XLOOKUP(A90,Class_Players!$A:$A,Class_Players!$F:$F,"")</f>
        <v>10801</v>
      </c>
      <c r="I90" s="44">
        <f t="shared" si="30"/>
        <v>3.7033607999259331E-4</v>
      </c>
      <c r="J90" s="43">
        <f t="shared" si="25"/>
        <v>0</v>
      </c>
      <c r="K90" s="44" cm="1">
        <f t="array" ref="K90">IF(D90="Gadget",_xlfn.IFS(I90&gt;=0.2,0.5,I90&gt;=0.1,0.35,I90&gt;=0.05,0.2,TRUE,0),IF(D90="Grenade",_xlfn.IFS(I90&gt;=0.2,1,I90&gt;=0.1,0.7,I90&gt;=0.05,0.4,TRUE,0),0))</f>
        <v>0</v>
      </c>
      <c r="L90" s="57">
        <f t="shared" ref="L90:L95" si="33">IF($K90=0,0,$K90 / SUMIFS($K:$K,$A:$A,$A90,$D:$D,"Gadget"))</f>
        <v>0</v>
      </c>
    </row>
    <row r="91" spans="1:12" ht="15" customHeight="1" x14ac:dyDescent="0.25">
      <c r="A91" s="42" t="str" cm="1">
        <f t="array" ref="A91">IFERROR(INDEX(_xlfn._xlws.FILTER(Class_Players!A:A,Class_Players!B:B="Recon"),QUOTIENT(ROW()-ROW($A$2),8)+1),"")</f>
        <v>llZeroHeroll</v>
      </c>
      <c r="B91" s="42" t="str">
        <f>_xlfn.XLOOKUP(A91,Class_Players!$A:$A,Class_Players!$B:$B,"")</f>
        <v>Recon</v>
      </c>
      <c r="C91" s="38" t="str" cm="1">
        <f t="array" ref="C91">INDEX(Lookups!$C$2:$C$9,MOD(ROW()-ROW($B$2),ROWS(Lookups!$C$2:$C$9))+1)</f>
        <v>Recon Drone</v>
      </c>
      <c r="D91" s="38" t="str">
        <f>_xlfn.XLOOKUP(C91,Analysis_Gadgets!$C:$C,Analysis_Gadgets!$B:$B)</f>
        <v>Gadget</v>
      </c>
      <c r="E91" s="43">
        <v>3</v>
      </c>
      <c r="F91" s="43">
        <f>_xlfn.XLOOKUP(A91,Class_Players!A:A,Class_Players!G:G)</f>
        <v>197</v>
      </c>
      <c r="G91" s="43">
        <f t="shared" si="29"/>
        <v>1.5228426395939087E-2</v>
      </c>
      <c r="H91" s="43">
        <f>_xlfn.XLOOKUP(A91,Class_Players!$A:$A,Class_Players!$F:$F,"")</f>
        <v>10801</v>
      </c>
      <c r="I91" s="44">
        <f t="shared" si="30"/>
        <v>2.7775205999444494E-4</v>
      </c>
      <c r="J91" s="43">
        <f t="shared" si="25"/>
        <v>0</v>
      </c>
      <c r="K91" s="44" cm="1">
        <f t="array" ref="K91">IF(D91="Gadget",_xlfn.IFS(I91&gt;=0.2,0.5,I91&gt;=0.1,0.35,I91&gt;=0.05,0.2,TRUE,0),IF(D91="Grenade",_xlfn.IFS(I91&gt;=0.2,1,I91&gt;=0.1,0.7,I91&gt;=0.05,0.4,TRUE,0),0))</f>
        <v>0</v>
      </c>
      <c r="L91" s="57">
        <f t="shared" si="33"/>
        <v>0</v>
      </c>
    </row>
    <row r="92" spans="1:12" ht="15" customHeight="1" x14ac:dyDescent="0.25">
      <c r="A92" s="42" t="str" cm="1">
        <f t="array" ref="A92">IFERROR(INDEX(_xlfn._xlws.FILTER(Class_Players!A:A,Class_Players!B:B="Recon"),QUOTIENT(ROW()-ROW($A$2),8)+1),"")</f>
        <v>llZeroHeroll</v>
      </c>
      <c r="B92" s="42" t="str">
        <f>_xlfn.XLOOKUP(A92,Class_Players!$A:$A,Class_Players!$B:$B,"")</f>
        <v>Recon</v>
      </c>
      <c r="C92" s="38" t="str" cm="1">
        <f t="array" ref="C92">INDEX(Lookups!$C$2:$C$9,MOD(ROW()-ROW($B$2),ROWS(Lookups!$C$2:$C$9))+1)</f>
        <v>Tracer Dart</v>
      </c>
      <c r="D92" s="38" t="str">
        <f>_xlfn.XLOOKUP(C92,Analysis_Gadgets!$C:$C,Analysis_Gadgets!$B:$B)</f>
        <v>Gadget</v>
      </c>
      <c r="E92" s="43">
        <v>0</v>
      </c>
      <c r="F92" s="43">
        <f>_xlfn.XLOOKUP(A92,Class_Players!A:A,Class_Players!G:G)</f>
        <v>197</v>
      </c>
      <c r="G92" s="43">
        <f t="shared" si="29"/>
        <v>0</v>
      </c>
      <c r="H92" s="43">
        <f>_xlfn.XLOOKUP(A92,Class_Players!$A:$A,Class_Players!$F:$F,"")</f>
        <v>10801</v>
      </c>
      <c r="I92" s="44">
        <f t="shared" si="30"/>
        <v>0</v>
      </c>
      <c r="J92" s="43">
        <f t="shared" si="25"/>
        <v>0</v>
      </c>
      <c r="K92" s="44" cm="1">
        <f t="array" ref="K92">IF(D92="Gadget",_xlfn.IFS(I92&gt;=0.2,0.5,I92&gt;=0.1,0.35,I92&gt;=0.05,0.2,TRUE,0),IF(D92="Grenade",_xlfn.IFS(I92&gt;=0.2,1,I92&gt;=0.1,0.7,I92&gt;=0.05,0.4,TRUE,0),0))</f>
        <v>0</v>
      </c>
      <c r="L92" s="57">
        <f t="shared" si="33"/>
        <v>0</v>
      </c>
    </row>
    <row r="93" spans="1:12" ht="15" customHeight="1" x14ac:dyDescent="0.25">
      <c r="A93" s="42" t="str" cm="1">
        <f t="array" ref="A93">IFERROR(INDEX(_xlfn._xlws.FILTER(Class_Players!A:A,Class_Players!B:B="Recon"),QUOTIENT(ROW()-ROW($A$2),8)+1),"")</f>
        <v>llZeroHeroll</v>
      </c>
      <c r="B93" s="42" t="str">
        <f>_xlfn.XLOOKUP(A93,Class_Players!$A:$A,Class_Players!$B:$B,"")</f>
        <v>Recon</v>
      </c>
      <c r="C93" s="38" t="str" cm="1">
        <f t="array" ref="C93">INDEX(Lookups!$C$2:$C$9,MOD(ROW()-ROW($B$2),ROWS(Lookups!$C$2:$C$9))+1)</f>
        <v>M18A1 (Claymore)</v>
      </c>
      <c r="D93" s="38" t="str">
        <f>_xlfn.XLOOKUP(C93,Analysis_Gadgets!$C:$C,Analysis_Gadgets!$B:$B)</f>
        <v>Gadget</v>
      </c>
      <c r="E93" s="43">
        <v>6168</v>
      </c>
      <c r="F93" s="43">
        <f>_xlfn.XLOOKUP(A93,Class_Players!A:A,Class_Players!G:G)</f>
        <v>197</v>
      </c>
      <c r="G93" s="43">
        <f t="shared" si="29"/>
        <v>31.309644670050762</v>
      </c>
      <c r="H93" s="43">
        <f>_xlfn.XLOOKUP(A93,Class_Players!$A:$A,Class_Players!$F:$F,"")</f>
        <v>10801</v>
      </c>
      <c r="I93" s="44">
        <f t="shared" si="30"/>
        <v>0.5710582353485788</v>
      </c>
      <c r="J93" s="43">
        <f t="shared" si="25"/>
        <v>1</v>
      </c>
      <c r="K93" s="44" cm="1">
        <f t="array" ref="K93">IF(D93="Gadget",_xlfn.IFS(I93&gt;=0.2,0.5,I93&gt;=0.1,0.35,I93&gt;=0.05,0.2,TRUE,0),IF(D93="Grenade",_xlfn.IFS(I93&gt;=0.2,1,I93&gt;=0.1,0.7,I93&gt;=0.05,0.4,TRUE,0),0))</f>
        <v>0.5</v>
      </c>
      <c r="L93" s="57">
        <f t="shared" si="33"/>
        <v>0.5</v>
      </c>
    </row>
    <row r="94" spans="1:12" ht="15" customHeight="1" x14ac:dyDescent="0.25">
      <c r="A94" s="42" t="str" cm="1">
        <f t="array" ref="A94">IFERROR(INDEX(_xlfn._xlws.FILTER(Class_Players!A:A,Class_Players!B:B="Recon"),QUOTIENT(ROW()-ROW($A$2),8)+1),"")</f>
        <v>llZeroHeroll</v>
      </c>
      <c r="B94" s="42" t="str">
        <f>_xlfn.XLOOKUP(A94,Class_Players!$A:$A,Class_Players!$B:$B,"")</f>
        <v>Recon</v>
      </c>
      <c r="C94" s="38" t="str" cm="1">
        <f t="array" ref="C94">INDEX(Lookups!$C$2:$C$9,MOD(ROW()-ROW($B$2),ROWS(Lookups!$C$2:$C$9))+1)</f>
        <v>Sniper Decoy</v>
      </c>
      <c r="D94" s="38" t="str">
        <f>_xlfn.XLOOKUP(C94,Analysis_Gadgets!$C:$C,Analysis_Gadgets!$B:$B)</f>
        <v>Gadget</v>
      </c>
      <c r="E94" s="43">
        <v>0</v>
      </c>
      <c r="F94" s="43">
        <f>_xlfn.XLOOKUP(A94,Class_Players!A:A,Class_Players!G:G)</f>
        <v>197</v>
      </c>
      <c r="G94" s="43">
        <f t="shared" si="29"/>
        <v>0</v>
      </c>
      <c r="H94" s="43">
        <f>_xlfn.XLOOKUP(A94,Class_Players!$A:$A,Class_Players!$F:$F,"")</f>
        <v>10801</v>
      </c>
      <c r="I94" s="44">
        <f t="shared" si="30"/>
        <v>0</v>
      </c>
      <c r="J94" s="43">
        <f t="shared" si="25"/>
        <v>0</v>
      </c>
      <c r="K94" s="44" cm="1">
        <f t="array" ref="K94">IF(D94="Gadget",_xlfn.IFS(I94&gt;=0.2,0.5,I94&gt;=0.1,0.35,I94&gt;=0.05,0.2,TRUE,0),IF(D94="Grenade",_xlfn.IFS(I94&gt;=0.2,1,I94&gt;=0.1,0.7,I94&gt;=0.05,0.4,TRUE,0),0))</f>
        <v>0</v>
      </c>
      <c r="L94" s="57">
        <f t="shared" si="33"/>
        <v>0</v>
      </c>
    </row>
    <row r="95" spans="1:12" ht="15" customHeight="1" x14ac:dyDescent="0.25">
      <c r="A95" s="42" t="str" cm="1">
        <f t="array" ref="A95">IFERROR(INDEX(_xlfn._xlws.FILTER(Class_Players!A:A,Class_Players!B:B="Recon"),QUOTIENT(ROW()-ROW($A$2),8)+1),"")</f>
        <v>llZeroHeroll</v>
      </c>
      <c r="B95" s="42" t="str">
        <f>_xlfn.XLOOKUP(A95,Class_Players!$A:$A,Class_Players!$B:$B,"")</f>
        <v>Recon</v>
      </c>
      <c r="C95" s="38" t="str" cm="1">
        <f t="array" ref="C95">INDEX(Lookups!$C$2:$C$9,MOD(ROW()-ROW($B$2),ROWS(Lookups!$C$2:$C$9))+1)</f>
        <v>C-4 Explosives</v>
      </c>
      <c r="D95" s="38" t="str">
        <f>_xlfn.XLOOKUP(C95,Analysis_Gadgets!$C:$C,Analysis_Gadgets!$B:$B)</f>
        <v>Gadget</v>
      </c>
      <c r="E95" s="43">
        <v>9482</v>
      </c>
      <c r="F95" s="43">
        <f>_xlfn.XLOOKUP(A95,Class_Players!A:A,Class_Players!G:G)</f>
        <v>197</v>
      </c>
      <c r="G95" s="43">
        <f t="shared" si="29"/>
        <v>48.131979695431475</v>
      </c>
      <c r="H95" s="43">
        <f>_xlfn.XLOOKUP(A95,Class_Players!$A:$A,Class_Players!$F:$F,"")</f>
        <v>10801</v>
      </c>
      <c r="I95" s="44">
        <f t="shared" si="30"/>
        <v>0.8778816776224424</v>
      </c>
      <c r="J95" s="43">
        <f t="shared" si="25"/>
        <v>1</v>
      </c>
      <c r="K95" s="44" cm="1">
        <f t="array" ref="K95">IF(D95="Gadget",_xlfn.IFS(I95&gt;=0.2,0.5,I95&gt;=0.1,0.35,I95&gt;=0.05,0.2,TRUE,0),IF(D95="Grenade",_xlfn.IFS(I95&gt;=0.2,1,I95&gt;=0.1,0.7,I95&gt;=0.05,0.4,TRUE,0),0))</f>
        <v>0.5</v>
      </c>
      <c r="L95" s="57">
        <f t="shared" si="33"/>
        <v>0.5</v>
      </c>
    </row>
    <row r="96" spans="1:12" ht="15" customHeight="1" x14ac:dyDescent="0.25">
      <c r="A96" s="42" t="str" cm="1">
        <f t="array" ref="A96">IFERROR(INDEX(_xlfn._xlws.FILTER(Class_Players!A:A,Class_Players!B:B="Recon"),QUOTIENT(ROW()-ROW($A$2),8)+1),"")</f>
        <v>llZeroHeroll</v>
      </c>
      <c r="B96" s="42" t="str">
        <f>_xlfn.XLOOKUP(A96,Class_Players!$A:$A,Class_Players!$B:$B,"")</f>
        <v>Recon</v>
      </c>
      <c r="C96" s="38" t="str" cm="1">
        <f t="array" ref="C96">INDEX(Lookups!$C$2:$C$9,MOD(ROW()-ROW($B$2),ROWS(Lookups!$C$2:$C$9))+1)</f>
        <v>Proximity Detector</v>
      </c>
      <c r="D96" s="38" t="str">
        <f>_xlfn.XLOOKUP(C96,Analysis_Gadgets!$C:$C,Analysis_Gadgets!$B:$B)</f>
        <v>Grenade</v>
      </c>
      <c r="E96" s="43">
        <v>5</v>
      </c>
      <c r="F96" s="43">
        <f>_xlfn.XLOOKUP(A96,Class_Players!A:A,Class_Players!G:G)</f>
        <v>197</v>
      </c>
      <c r="G96" s="43">
        <f t="shared" si="29"/>
        <v>2.5380710659898477E-2</v>
      </c>
      <c r="H96" s="43">
        <f>_xlfn.XLOOKUP(A96,Class_Players!$A:$A,Class_Players!$F:$F,"")</f>
        <v>10801</v>
      </c>
      <c r="I96" s="44">
        <f t="shared" si="30"/>
        <v>4.6292009999074162E-4</v>
      </c>
      <c r="J96" s="43">
        <f t="shared" si="25"/>
        <v>0</v>
      </c>
      <c r="K96" s="44" cm="1">
        <f t="array" ref="K96">IF(D96="Gadget",_xlfn.IFS(I96&gt;=0.2,0.5,I96&gt;=0.1,0.35,I96&gt;=0.05,0.2,TRUE,0),IF(D96="Grenade",_xlfn.IFS(I96&gt;=0.2,1,I96&gt;=0.1,0.7,I96&gt;=0.05,0.4,TRUE,0),0))</f>
        <v>0</v>
      </c>
      <c r="L96" s="57">
        <f t="shared" ref="L96:L97" si="34">IF($K96=0,0,$K96 / SUMIFS($K:$K,$A:$A,$A96,$D:$D,"Grenade"))</f>
        <v>0</v>
      </c>
    </row>
    <row r="97" spans="1:12" ht="15" customHeight="1" x14ac:dyDescent="0.25">
      <c r="A97" s="42" t="str" cm="1">
        <f t="array" ref="A97">IFERROR(INDEX(_xlfn._xlws.FILTER(Class_Players!A:A,Class_Players!B:B="Recon"),QUOTIENT(ROW()-ROW($A$2),8)+1),"")</f>
        <v>llZeroHeroll</v>
      </c>
      <c r="B97" s="42" t="str">
        <f>_xlfn.XLOOKUP(A97,Class_Players!$A:$A,Class_Players!$B:$B,"")</f>
        <v>Recon</v>
      </c>
      <c r="C97" s="38" t="str" cm="1">
        <f t="array" ref="C97">INDEX(Lookups!$C$2:$C$9,MOD(ROW()-ROW($B$2),ROWS(Lookups!$C$2:$C$9))+1)</f>
        <v>Throwing Knife</v>
      </c>
      <c r="D97" s="38" t="str">
        <f>_xlfn.XLOOKUP(C97,Analysis_Gadgets!$C:$C,Analysis_Gadgets!$B:$B)</f>
        <v>Grenade</v>
      </c>
      <c r="E97" s="43">
        <v>2</v>
      </c>
      <c r="F97" s="43">
        <f>_xlfn.XLOOKUP(A97,Class_Players!A:A,Class_Players!G:G)</f>
        <v>197</v>
      </c>
      <c r="G97" s="43">
        <f t="shared" si="29"/>
        <v>1.015228426395939E-2</v>
      </c>
      <c r="H97" s="43">
        <f>_xlfn.XLOOKUP(A97,Class_Players!$A:$A,Class_Players!$F:$F,"")</f>
        <v>10801</v>
      </c>
      <c r="I97" s="44">
        <f t="shared" si="30"/>
        <v>1.8516803999629665E-4</v>
      </c>
      <c r="J97" s="43">
        <f t="shared" si="25"/>
        <v>0</v>
      </c>
      <c r="K97" s="44" cm="1">
        <f t="array" ref="K97">IF(D97="Gadget",_xlfn.IFS(I97&gt;=0.2,0.5,I97&gt;=0.1,0.35,I97&gt;=0.05,0.2,TRUE,0),IF(D97="Grenade",_xlfn.IFS(I97&gt;=0.2,1,I97&gt;=0.1,0.7,I97&gt;=0.05,0.4,TRUE,0),0))</f>
        <v>0</v>
      </c>
      <c r="L97" s="57">
        <f t="shared" si="34"/>
        <v>0</v>
      </c>
    </row>
    <row r="98" spans="1:12" ht="15" customHeight="1" x14ac:dyDescent="0.25">
      <c r="A98" s="42" t="str" cm="1">
        <f t="array" ref="A98">IFERROR(INDEX(_xlfn._xlws.FILTER(Class_Players!A:A,Class_Players!B:B="Recon"),QUOTIENT(ROW()-ROW($A$2),8)+1),"")</f>
        <v>SpotUpLevi</v>
      </c>
      <c r="B98" s="42" t="str">
        <f>_xlfn.XLOOKUP(A98,Class_Players!$A:$A,Class_Players!$B:$B,"")</f>
        <v>Recon</v>
      </c>
      <c r="C98" s="38" t="str" cm="1">
        <f t="array" ref="C98">INDEX(Lookups!$C$2:$C$9,MOD(ROW()-ROW($B$2),ROWS(Lookups!$C$2:$C$9))+1)</f>
        <v>Laser Designator</v>
      </c>
      <c r="D98" s="38" t="str">
        <f>_xlfn.XLOOKUP(C98,Analysis_Gadgets!$C:$C,Analysis_Gadgets!$B:$B)</f>
        <v>Gadget</v>
      </c>
      <c r="E98" s="43">
        <v>2</v>
      </c>
      <c r="F98" s="43">
        <f>_xlfn.XLOOKUP(A98,Class_Players!A:A,Class_Players!G:G)</f>
        <v>124</v>
      </c>
      <c r="G98" s="43">
        <f t="shared" si="29"/>
        <v>1.6129032258064516E-2</v>
      </c>
      <c r="H98" s="43">
        <f>_xlfn.XLOOKUP(A98,Class_Players!$A:$A,Class_Players!$F:$F,"")</f>
        <v>10574</v>
      </c>
      <c r="I98" s="44">
        <f t="shared" si="30"/>
        <v>1.8914318138831096E-4</v>
      </c>
      <c r="J98" s="43">
        <f t="shared" si="25"/>
        <v>0</v>
      </c>
      <c r="K98" s="44" cm="1">
        <f t="array" ref="K98">IF(D98="Gadget",_xlfn.IFS(I98&gt;=0.2,0.5,I98&gt;=0.1,0.35,I98&gt;=0.05,0.2,TRUE,0),IF(D98="Grenade",_xlfn.IFS(I98&gt;=0.2,1,I98&gt;=0.1,0.7,I98&gt;=0.05,0.4,TRUE,0),0))</f>
        <v>0</v>
      </c>
      <c r="L98" s="57">
        <f t="shared" ref="L98:L103" si="35">IF($K98=0,0,$K98 / SUMIFS($K:$K,$A:$A,$A98,$D:$D,"Gadget"))</f>
        <v>0</v>
      </c>
    </row>
    <row r="99" spans="1:12" ht="15" customHeight="1" x14ac:dyDescent="0.25">
      <c r="A99" s="42" t="str" cm="1">
        <f t="array" ref="A99">IFERROR(INDEX(_xlfn._xlws.FILTER(Class_Players!A:A,Class_Players!B:B="Recon"),QUOTIENT(ROW()-ROW($A$2),8)+1),"")</f>
        <v>SpotUpLevi</v>
      </c>
      <c r="B99" s="42" t="str">
        <f>_xlfn.XLOOKUP(A99,Class_Players!$A:$A,Class_Players!$B:$B,"")</f>
        <v>Recon</v>
      </c>
      <c r="C99" s="38" t="str" cm="1">
        <f t="array" ref="C99">INDEX(Lookups!$C$2:$C$9,MOD(ROW()-ROW($B$2),ROWS(Lookups!$C$2:$C$9))+1)</f>
        <v>Recon Drone</v>
      </c>
      <c r="D99" s="38" t="str">
        <f>_xlfn.XLOOKUP(C99,Analysis_Gadgets!$C:$C,Analysis_Gadgets!$B:$B)</f>
        <v>Gadget</v>
      </c>
      <c r="E99" s="43">
        <v>0</v>
      </c>
      <c r="F99" s="43">
        <f>_xlfn.XLOOKUP(A99,Class_Players!A:A,Class_Players!G:G)</f>
        <v>124</v>
      </c>
      <c r="G99" s="43">
        <f t="shared" si="29"/>
        <v>0</v>
      </c>
      <c r="H99" s="43">
        <f>_xlfn.XLOOKUP(A99,Class_Players!$A:$A,Class_Players!$F:$F,"")</f>
        <v>10574</v>
      </c>
      <c r="I99" s="44">
        <f t="shared" si="30"/>
        <v>0</v>
      </c>
      <c r="J99" s="43">
        <f t="shared" si="25"/>
        <v>0</v>
      </c>
      <c r="K99" s="44" cm="1">
        <f t="array" ref="K99">IF(D99="Gadget",_xlfn.IFS(I99&gt;=0.2,0.5,I99&gt;=0.1,0.35,I99&gt;=0.05,0.2,TRUE,0),IF(D99="Grenade",_xlfn.IFS(I99&gt;=0.2,1,I99&gt;=0.1,0.7,I99&gt;=0.05,0.4,TRUE,0),0))</f>
        <v>0</v>
      </c>
      <c r="L99" s="57">
        <f t="shared" si="35"/>
        <v>0</v>
      </c>
    </row>
    <row r="100" spans="1:12" ht="15" customHeight="1" x14ac:dyDescent="0.25">
      <c r="A100" s="42" t="str" cm="1">
        <f t="array" ref="A100">IFERROR(INDEX(_xlfn._xlws.FILTER(Class_Players!A:A,Class_Players!B:B="Recon"),QUOTIENT(ROW()-ROW($A$2),8)+1),"")</f>
        <v>SpotUpLevi</v>
      </c>
      <c r="B100" s="42" t="str">
        <f>_xlfn.XLOOKUP(A100,Class_Players!$A:$A,Class_Players!$B:$B,"")</f>
        <v>Recon</v>
      </c>
      <c r="C100" s="38" t="str" cm="1">
        <f t="array" ref="C100">INDEX(Lookups!$C$2:$C$9,MOD(ROW()-ROW($B$2),ROWS(Lookups!$C$2:$C$9))+1)</f>
        <v>Tracer Dart</v>
      </c>
      <c r="D100" s="38" t="str">
        <f>_xlfn.XLOOKUP(C100,Analysis_Gadgets!$C:$C,Analysis_Gadgets!$B:$B)</f>
        <v>Gadget</v>
      </c>
      <c r="E100" s="43">
        <v>0</v>
      </c>
      <c r="F100" s="43">
        <f>_xlfn.XLOOKUP(A100,Class_Players!A:A,Class_Players!G:G)</f>
        <v>124</v>
      </c>
      <c r="G100" s="43">
        <f t="shared" si="29"/>
        <v>0</v>
      </c>
      <c r="H100" s="43">
        <f>_xlfn.XLOOKUP(A100,Class_Players!$A:$A,Class_Players!$F:$F,"")</f>
        <v>10574</v>
      </c>
      <c r="I100" s="44">
        <f t="shared" si="30"/>
        <v>0</v>
      </c>
      <c r="J100" s="43">
        <f t="shared" si="25"/>
        <v>0</v>
      </c>
      <c r="K100" s="44" cm="1">
        <f t="array" ref="K100">IF(D100="Gadget",_xlfn.IFS(I100&gt;=0.2,0.5,I100&gt;=0.1,0.35,I100&gt;=0.05,0.2,TRUE,0),IF(D100="Grenade",_xlfn.IFS(I100&gt;=0.2,1,I100&gt;=0.1,0.7,I100&gt;=0.05,0.4,TRUE,0),0))</f>
        <v>0</v>
      </c>
      <c r="L100" s="57">
        <f t="shared" si="35"/>
        <v>0</v>
      </c>
    </row>
    <row r="101" spans="1:12" ht="15" customHeight="1" x14ac:dyDescent="0.25">
      <c r="A101" s="42" t="str" cm="1">
        <f t="array" ref="A101">IFERROR(INDEX(_xlfn._xlws.FILTER(Class_Players!A:A,Class_Players!B:B="Recon"),QUOTIENT(ROW()-ROW($A$2),8)+1),"")</f>
        <v>SpotUpLevi</v>
      </c>
      <c r="B101" s="42" t="str">
        <f>_xlfn.XLOOKUP(A101,Class_Players!$A:$A,Class_Players!$B:$B,"")</f>
        <v>Recon</v>
      </c>
      <c r="C101" s="38" t="str" cm="1">
        <f t="array" ref="C101">INDEX(Lookups!$C$2:$C$9,MOD(ROW()-ROW($B$2),ROWS(Lookups!$C$2:$C$9))+1)</f>
        <v>M18A1 (Claymore)</v>
      </c>
      <c r="D101" s="38" t="str">
        <f>_xlfn.XLOOKUP(C101,Analysis_Gadgets!$C:$C,Analysis_Gadgets!$B:$B)</f>
        <v>Gadget</v>
      </c>
      <c r="E101" s="43">
        <v>2820</v>
      </c>
      <c r="F101" s="43">
        <f>_xlfn.XLOOKUP(A101,Class_Players!A:A,Class_Players!G:G)</f>
        <v>124</v>
      </c>
      <c r="G101" s="43">
        <f t="shared" si="29"/>
        <v>22.741935483870968</v>
      </c>
      <c r="H101" s="43">
        <f>_xlfn.XLOOKUP(A101,Class_Players!$A:$A,Class_Players!$F:$F,"")</f>
        <v>10574</v>
      </c>
      <c r="I101" s="44">
        <f t="shared" si="30"/>
        <v>0.26669188575751845</v>
      </c>
      <c r="J101" s="43">
        <f t="shared" si="25"/>
        <v>1</v>
      </c>
      <c r="K101" s="44" cm="1">
        <f t="array" ref="K101">IF(D101="Gadget",_xlfn.IFS(I101&gt;=0.2,0.5,I101&gt;=0.1,0.35,I101&gt;=0.05,0.2,TRUE,0),IF(D101="Grenade",_xlfn.IFS(I101&gt;=0.2,1,I101&gt;=0.1,0.7,I101&gt;=0.05,0.4,TRUE,0),0))</f>
        <v>0.5</v>
      </c>
      <c r="L101" s="57">
        <f t="shared" si="35"/>
        <v>1</v>
      </c>
    </row>
    <row r="102" spans="1:12" ht="15" customHeight="1" x14ac:dyDescent="0.25">
      <c r="A102" s="42" t="str" cm="1">
        <f t="array" ref="A102">IFERROR(INDEX(_xlfn._xlws.FILTER(Class_Players!A:A,Class_Players!B:B="Recon"),QUOTIENT(ROW()-ROW($A$2),8)+1),"")</f>
        <v>SpotUpLevi</v>
      </c>
      <c r="B102" s="42" t="str">
        <f>_xlfn.XLOOKUP(A102,Class_Players!$A:$A,Class_Players!$B:$B,"")</f>
        <v>Recon</v>
      </c>
      <c r="C102" s="38" t="str" cm="1">
        <f t="array" ref="C102">INDEX(Lookups!$C$2:$C$9,MOD(ROW()-ROW($B$2),ROWS(Lookups!$C$2:$C$9))+1)</f>
        <v>Sniper Decoy</v>
      </c>
      <c r="D102" s="38" t="str">
        <f>_xlfn.XLOOKUP(C102,Analysis_Gadgets!$C:$C,Analysis_Gadgets!$B:$B)</f>
        <v>Gadget</v>
      </c>
      <c r="E102" s="43">
        <v>0</v>
      </c>
      <c r="F102" s="43">
        <f>_xlfn.XLOOKUP(A102,Class_Players!A:A,Class_Players!G:G)</f>
        <v>124</v>
      </c>
      <c r="G102" s="43">
        <f t="shared" si="29"/>
        <v>0</v>
      </c>
      <c r="H102" s="43">
        <f>_xlfn.XLOOKUP(A102,Class_Players!$A:$A,Class_Players!$F:$F,"")</f>
        <v>10574</v>
      </c>
      <c r="I102" s="44">
        <f t="shared" si="30"/>
        <v>0</v>
      </c>
      <c r="J102" s="43">
        <f t="shared" si="25"/>
        <v>0</v>
      </c>
      <c r="K102" s="44" cm="1">
        <f t="array" ref="K102">IF(D102="Gadget",_xlfn.IFS(I102&gt;=0.2,0.5,I102&gt;=0.1,0.35,I102&gt;=0.05,0.2,TRUE,0),IF(D102="Grenade",_xlfn.IFS(I102&gt;=0.2,1,I102&gt;=0.1,0.7,I102&gt;=0.05,0.4,TRUE,0),0))</f>
        <v>0</v>
      </c>
      <c r="L102" s="57">
        <f t="shared" si="35"/>
        <v>0</v>
      </c>
    </row>
    <row r="103" spans="1:12" ht="15" customHeight="1" x14ac:dyDescent="0.25">
      <c r="A103" s="42" t="str" cm="1">
        <f t="array" ref="A103">IFERROR(INDEX(_xlfn._xlws.FILTER(Class_Players!A:A,Class_Players!B:B="Recon"),QUOTIENT(ROW()-ROW($A$2),8)+1),"")</f>
        <v>SpotUpLevi</v>
      </c>
      <c r="B103" s="42" t="str">
        <f>_xlfn.XLOOKUP(A103,Class_Players!$A:$A,Class_Players!$B:$B,"")</f>
        <v>Recon</v>
      </c>
      <c r="C103" s="38" t="str" cm="1">
        <f t="array" ref="C103">INDEX(Lookups!$C$2:$C$9,MOD(ROW()-ROW($B$2),ROWS(Lookups!$C$2:$C$9))+1)</f>
        <v>C-4 Explosives</v>
      </c>
      <c r="D103" s="38" t="str">
        <f>_xlfn.XLOOKUP(C103,Analysis_Gadgets!$C:$C,Analysis_Gadgets!$B:$B)</f>
        <v>Gadget</v>
      </c>
      <c r="E103" s="43">
        <v>0</v>
      </c>
      <c r="F103" s="43">
        <f>_xlfn.XLOOKUP(A103,Class_Players!A:A,Class_Players!G:G)</f>
        <v>124</v>
      </c>
      <c r="G103" s="43">
        <f t="shared" si="29"/>
        <v>0</v>
      </c>
      <c r="H103" s="43">
        <f>_xlfn.XLOOKUP(A103,Class_Players!$A:$A,Class_Players!$F:$F,"")</f>
        <v>10574</v>
      </c>
      <c r="I103" s="44">
        <f t="shared" si="30"/>
        <v>0</v>
      </c>
      <c r="J103" s="43">
        <f t="shared" si="25"/>
        <v>0</v>
      </c>
      <c r="K103" s="44" cm="1">
        <f t="array" ref="K103">IF(D103="Gadget",_xlfn.IFS(I103&gt;=0.2,0.5,I103&gt;=0.1,0.35,I103&gt;=0.05,0.2,TRUE,0),IF(D103="Grenade",_xlfn.IFS(I103&gt;=0.2,1,I103&gt;=0.1,0.7,I103&gt;=0.05,0.4,TRUE,0),0))</f>
        <v>0</v>
      </c>
      <c r="L103" s="57">
        <f t="shared" si="35"/>
        <v>0</v>
      </c>
    </row>
    <row r="104" spans="1:12" ht="15" customHeight="1" x14ac:dyDescent="0.25">
      <c r="A104" s="42" t="str" cm="1">
        <f t="array" ref="A104">IFERROR(INDEX(_xlfn._xlws.FILTER(Class_Players!A:A,Class_Players!B:B="Recon"),QUOTIENT(ROW()-ROW($A$2),8)+1),"")</f>
        <v>SpotUpLevi</v>
      </c>
      <c r="B104" s="42" t="str">
        <f>_xlfn.XLOOKUP(A104,Class_Players!$A:$A,Class_Players!$B:$B,"")</f>
        <v>Recon</v>
      </c>
      <c r="C104" s="38" t="str" cm="1">
        <f t="array" ref="C104">INDEX(Lookups!$C$2:$C$9,MOD(ROW()-ROW($B$2),ROWS(Lookups!$C$2:$C$9))+1)</f>
        <v>Proximity Detector</v>
      </c>
      <c r="D104" s="38" t="str">
        <f>_xlfn.XLOOKUP(C104,Analysis_Gadgets!$C:$C,Analysis_Gadgets!$B:$B)</f>
        <v>Grenade</v>
      </c>
      <c r="E104" s="43">
        <v>1</v>
      </c>
      <c r="F104" s="43">
        <f>_xlfn.XLOOKUP(A104,Class_Players!A:A,Class_Players!G:G)</f>
        <v>124</v>
      </c>
      <c r="G104" s="43">
        <f t="shared" si="29"/>
        <v>8.0645161290322578E-3</v>
      </c>
      <c r="H104" s="43">
        <f>_xlfn.XLOOKUP(A104,Class_Players!$A:$A,Class_Players!$F:$F,"")</f>
        <v>10574</v>
      </c>
      <c r="I104" s="44">
        <f t="shared" si="30"/>
        <v>9.4571590694155481E-5</v>
      </c>
      <c r="J104" s="43">
        <f t="shared" si="25"/>
        <v>0</v>
      </c>
      <c r="K104" s="44" cm="1">
        <f t="array" ref="K104">IF(D104="Gadget",_xlfn.IFS(I104&gt;=0.2,0.5,I104&gt;=0.1,0.35,I104&gt;=0.05,0.2,TRUE,0),IF(D104="Grenade",_xlfn.IFS(I104&gt;=0.2,1,I104&gt;=0.1,0.7,I104&gt;=0.05,0.4,TRUE,0),0))</f>
        <v>0</v>
      </c>
      <c r="L104" s="57">
        <f t="shared" ref="L104:L105" si="36">IF($K104=0,0,$K104 / SUMIFS($K:$K,$A:$A,$A104,$D:$D,"Grenade"))</f>
        <v>0</v>
      </c>
    </row>
    <row r="105" spans="1:12" ht="15" customHeight="1" x14ac:dyDescent="0.25">
      <c r="A105" s="42" t="str" cm="1">
        <f t="array" ref="A105">IFERROR(INDEX(_xlfn._xlws.FILTER(Class_Players!A:A,Class_Players!B:B="Recon"),QUOTIENT(ROW()-ROW($A$2),8)+1),"")</f>
        <v>SpotUpLevi</v>
      </c>
      <c r="B105" s="42" t="str">
        <f>_xlfn.XLOOKUP(A105,Class_Players!$A:$A,Class_Players!$B:$B,"")</f>
        <v>Recon</v>
      </c>
      <c r="C105" s="38" t="str" cm="1">
        <f t="array" ref="C105">INDEX(Lookups!$C$2:$C$9,MOD(ROW()-ROW($B$2),ROWS(Lookups!$C$2:$C$9))+1)</f>
        <v>Throwing Knife</v>
      </c>
      <c r="D105" s="38" t="str">
        <f>_xlfn.XLOOKUP(C105,Analysis_Gadgets!$C:$C,Analysis_Gadgets!$B:$B)</f>
        <v>Grenade</v>
      </c>
      <c r="E105" s="43">
        <v>0</v>
      </c>
      <c r="F105" s="43">
        <f>_xlfn.XLOOKUP(A105,Class_Players!A:A,Class_Players!G:G)</f>
        <v>124</v>
      </c>
      <c r="G105" s="43">
        <f t="shared" si="29"/>
        <v>0</v>
      </c>
      <c r="H105" s="43">
        <f>_xlfn.XLOOKUP(A105,Class_Players!$A:$A,Class_Players!$F:$F,"")</f>
        <v>10574</v>
      </c>
      <c r="I105" s="44">
        <f t="shared" si="30"/>
        <v>0</v>
      </c>
      <c r="J105" s="43">
        <f t="shared" si="25"/>
        <v>0</v>
      </c>
      <c r="K105" s="44" cm="1">
        <f t="array" ref="K105">IF(D105="Gadget",_xlfn.IFS(I105&gt;=0.2,0.5,I105&gt;=0.1,0.35,I105&gt;=0.05,0.2,TRUE,0),IF(D105="Grenade",_xlfn.IFS(I105&gt;=0.2,1,I105&gt;=0.1,0.7,I105&gt;=0.05,0.4,TRUE,0),0))</f>
        <v>0</v>
      </c>
      <c r="L105" s="57">
        <f t="shared" si="36"/>
        <v>0</v>
      </c>
    </row>
    <row r="106" spans="1:12" ht="15" customHeight="1" x14ac:dyDescent="0.25">
      <c r="A106" s="42" t="str" cm="1">
        <f t="array" ref="A106">IFERROR(INDEX(_xlfn._xlws.FILTER(Class_Players!A:A,Class_Players!B:B="Recon"),QUOTIENT(ROW()-ROW($A$2),8)+1),"")</f>
        <v>TAKAMAS4</v>
      </c>
      <c r="B106" s="42" t="str">
        <f>_xlfn.XLOOKUP(A106,Class_Players!$A:$A,Class_Players!$B:$B,"")</f>
        <v>Recon</v>
      </c>
      <c r="C106" s="38" t="str" cm="1">
        <f t="array" ref="C106">INDEX(Lookups!$C$2:$C$9,MOD(ROW()-ROW($B$2),ROWS(Lookups!$C$2:$C$9))+1)</f>
        <v>Laser Designator</v>
      </c>
      <c r="D106" s="38" t="str">
        <f>_xlfn.XLOOKUP(C106,Analysis_Gadgets!$C:$C,Analysis_Gadgets!$B:$B)</f>
        <v>Gadget</v>
      </c>
      <c r="E106" s="43">
        <v>146</v>
      </c>
      <c r="F106" s="43">
        <f>_xlfn.XLOOKUP(A106,Class_Players!A:A,Class_Players!G:G)</f>
        <v>140</v>
      </c>
      <c r="G106" s="43">
        <f t="shared" si="29"/>
        <v>1.0428571428571429</v>
      </c>
      <c r="H106" s="43">
        <f>_xlfn.XLOOKUP(A106,Class_Players!$A:$A,Class_Players!$F:$F,"")</f>
        <v>10961</v>
      </c>
      <c r="I106" s="44">
        <f t="shared" si="30"/>
        <v>1.3319952559073077E-2</v>
      </c>
      <c r="J106" s="43">
        <f t="shared" si="25"/>
        <v>0</v>
      </c>
      <c r="K106" s="44" cm="1">
        <f t="array" ref="K106">IF(D106="Gadget",_xlfn.IFS(I106&gt;=0.2,0.5,I106&gt;=0.1,0.35,I106&gt;=0.05,0.2,TRUE,0),IF(D106="Grenade",_xlfn.IFS(I106&gt;=0.2,1,I106&gt;=0.1,0.7,I106&gt;=0.05,0.4,TRUE,0),0))</f>
        <v>0</v>
      </c>
      <c r="L106" s="57">
        <f t="shared" ref="L106:L111" si="37">IF($K106=0,0,$K106 / SUMIFS($K:$K,$A:$A,$A106,$D:$D,"Gadget"))</f>
        <v>0</v>
      </c>
    </row>
    <row r="107" spans="1:12" ht="15" customHeight="1" x14ac:dyDescent="0.25">
      <c r="A107" s="42" t="str" cm="1">
        <f t="array" ref="A107">IFERROR(INDEX(_xlfn._xlws.FILTER(Class_Players!A:A,Class_Players!B:B="Recon"),QUOTIENT(ROW()-ROW($A$2),8)+1),"")</f>
        <v>TAKAMAS4</v>
      </c>
      <c r="B107" s="42" t="str">
        <f>_xlfn.XLOOKUP(A107,Class_Players!$A:$A,Class_Players!$B:$B,"")</f>
        <v>Recon</v>
      </c>
      <c r="C107" s="38" t="str" cm="1">
        <f t="array" ref="C107">INDEX(Lookups!$C$2:$C$9,MOD(ROW()-ROW($B$2),ROWS(Lookups!$C$2:$C$9))+1)</f>
        <v>Recon Drone</v>
      </c>
      <c r="D107" s="38" t="str">
        <f>_xlfn.XLOOKUP(C107,Analysis_Gadgets!$C:$C,Analysis_Gadgets!$B:$B)</f>
        <v>Gadget</v>
      </c>
      <c r="E107" s="43">
        <v>1250</v>
      </c>
      <c r="F107" s="43">
        <f>_xlfn.XLOOKUP(A107,Class_Players!A:A,Class_Players!G:G)</f>
        <v>140</v>
      </c>
      <c r="G107" s="43">
        <f t="shared" si="29"/>
        <v>8.9285714285714288</v>
      </c>
      <c r="H107" s="43">
        <f>_xlfn.XLOOKUP(A107,Class_Players!$A:$A,Class_Players!$F:$F,"")</f>
        <v>10961</v>
      </c>
      <c r="I107" s="44">
        <f t="shared" si="30"/>
        <v>0.11404068971809142</v>
      </c>
      <c r="J107" s="43">
        <f t="shared" si="25"/>
        <v>1</v>
      </c>
      <c r="K107" s="44" cm="1">
        <f t="array" ref="K107">IF(D107="Gadget",_xlfn.IFS(I107&gt;=0.2,0.5,I107&gt;=0.1,0.35,I107&gt;=0.05,0.2,TRUE,0),IF(D107="Grenade",_xlfn.IFS(I107&gt;=0.2,1,I107&gt;=0.1,0.7,I107&gt;=0.05,0.4,TRUE,0),0))</f>
        <v>0.35</v>
      </c>
      <c r="L107" s="57">
        <f t="shared" si="37"/>
        <v>0.41176470588235292</v>
      </c>
    </row>
    <row r="108" spans="1:12" ht="15" customHeight="1" x14ac:dyDescent="0.25">
      <c r="A108" s="42" t="str" cm="1">
        <f t="array" ref="A108">IFERROR(INDEX(_xlfn._xlws.FILTER(Class_Players!A:A,Class_Players!B:B="Recon"),QUOTIENT(ROW()-ROW($A$2),8)+1),"")</f>
        <v>TAKAMAS4</v>
      </c>
      <c r="B108" s="42" t="str">
        <f>_xlfn.XLOOKUP(A108,Class_Players!$A:$A,Class_Players!$B:$B,"")</f>
        <v>Recon</v>
      </c>
      <c r="C108" s="38" t="str" cm="1">
        <f t="array" ref="C108">INDEX(Lookups!$C$2:$C$9,MOD(ROW()-ROW($B$2),ROWS(Lookups!$C$2:$C$9))+1)</f>
        <v>Tracer Dart</v>
      </c>
      <c r="D108" s="38" t="str">
        <f>_xlfn.XLOOKUP(C108,Analysis_Gadgets!$C:$C,Analysis_Gadgets!$B:$B)</f>
        <v>Gadget</v>
      </c>
      <c r="E108" s="43">
        <v>0</v>
      </c>
      <c r="F108" s="43">
        <f>_xlfn.XLOOKUP(A108,Class_Players!A:A,Class_Players!G:G)</f>
        <v>140</v>
      </c>
      <c r="G108" s="43">
        <f t="shared" si="29"/>
        <v>0</v>
      </c>
      <c r="H108" s="43">
        <f>_xlfn.XLOOKUP(A108,Class_Players!$A:$A,Class_Players!$F:$F,"")</f>
        <v>10961</v>
      </c>
      <c r="I108" s="44">
        <f t="shared" si="30"/>
        <v>0</v>
      </c>
      <c r="J108" s="43">
        <f t="shared" si="25"/>
        <v>0</v>
      </c>
      <c r="K108" s="44" cm="1">
        <f t="array" ref="K108">IF(D108="Gadget",_xlfn.IFS(I108&gt;=0.2,0.5,I108&gt;=0.1,0.35,I108&gt;=0.05,0.2,TRUE,0),IF(D108="Grenade",_xlfn.IFS(I108&gt;=0.2,1,I108&gt;=0.1,0.7,I108&gt;=0.05,0.4,TRUE,0),0))</f>
        <v>0</v>
      </c>
      <c r="L108" s="57">
        <f t="shared" si="37"/>
        <v>0</v>
      </c>
    </row>
    <row r="109" spans="1:12" ht="15" customHeight="1" x14ac:dyDescent="0.25">
      <c r="A109" s="42" t="str" cm="1">
        <f t="array" ref="A109">IFERROR(INDEX(_xlfn._xlws.FILTER(Class_Players!A:A,Class_Players!B:B="Recon"),QUOTIENT(ROW()-ROW($A$2),8)+1),"")</f>
        <v>TAKAMAS4</v>
      </c>
      <c r="B109" s="42" t="str">
        <f>_xlfn.XLOOKUP(A109,Class_Players!$A:$A,Class_Players!$B:$B,"")</f>
        <v>Recon</v>
      </c>
      <c r="C109" s="38" t="str" cm="1">
        <f t="array" ref="C109">INDEX(Lookups!$C$2:$C$9,MOD(ROW()-ROW($B$2),ROWS(Lookups!$C$2:$C$9))+1)</f>
        <v>M18A1 (Claymore)</v>
      </c>
      <c r="D109" s="38" t="str">
        <f>_xlfn.XLOOKUP(C109,Analysis_Gadgets!$C:$C,Analysis_Gadgets!$B:$B)</f>
        <v>Gadget</v>
      </c>
      <c r="E109" s="43">
        <v>42</v>
      </c>
      <c r="F109" s="43">
        <f>_xlfn.XLOOKUP(A109,Class_Players!A:A,Class_Players!G:G)</f>
        <v>140</v>
      </c>
      <c r="G109" s="43">
        <f t="shared" si="29"/>
        <v>0.3</v>
      </c>
      <c r="H109" s="43">
        <f>_xlfn.XLOOKUP(A109,Class_Players!$A:$A,Class_Players!$F:$F,"")</f>
        <v>10961</v>
      </c>
      <c r="I109" s="44">
        <f t="shared" si="30"/>
        <v>3.8317671745278716E-3</v>
      </c>
      <c r="J109" s="43">
        <f t="shared" si="25"/>
        <v>0</v>
      </c>
      <c r="K109" s="44" cm="1">
        <f t="array" ref="K109">IF(D109="Gadget",_xlfn.IFS(I109&gt;=0.2,0.5,I109&gt;=0.1,0.35,I109&gt;=0.05,0.2,TRUE,0),IF(D109="Grenade",_xlfn.IFS(I109&gt;=0.2,1,I109&gt;=0.1,0.7,I109&gt;=0.05,0.4,TRUE,0),0))</f>
        <v>0</v>
      </c>
      <c r="L109" s="57">
        <f t="shared" si="37"/>
        <v>0</v>
      </c>
    </row>
    <row r="110" spans="1:12" ht="15" customHeight="1" x14ac:dyDescent="0.25">
      <c r="A110" s="42" t="str" cm="1">
        <f t="array" ref="A110">IFERROR(INDEX(_xlfn._xlws.FILTER(Class_Players!A:A,Class_Players!B:B="Recon"),QUOTIENT(ROW()-ROW($A$2),8)+1),"")</f>
        <v>TAKAMAS4</v>
      </c>
      <c r="B110" s="42" t="str">
        <f>_xlfn.XLOOKUP(A110,Class_Players!$A:$A,Class_Players!$B:$B,"")</f>
        <v>Recon</v>
      </c>
      <c r="C110" s="38" t="str" cm="1">
        <f t="array" ref="C110">INDEX(Lookups!$C$2:$C$9,MOD(ROW()-ROW($B$2),ROWS(Lookups!$C$2:$C$9))+1)</f>
        <v>Sniper Decoy</v>
      </c>
      <c r="D110" s="38" t="str">
        <f>_xlfn.XLOOKUP(C110,Analysis_Gadgets!$C:$C,Analysis_Gadgets!$B:$B)</f>
        <v>Gadget</v>
      </c>
      <c r="E110" s="43">
        <v>0</v>
      </c>
      <c r="F110" s="43">
        <f>_xlfn.XLOOKUP(A110,Class_Players!A:A,Class_Players!G:G)</f>
        <v>140</v>
      </c>
      <c r="G110" s="43">
        <f t="shared" si="29"/>
        <v>0</v>
      </c>
      <c r="H110" s="43">
        <f>_xlfn.XLOOKUP(A110,Class_Players!$A:$A,Class_Players!$F:$F,"")</f>
        <v>10961</v>
      </c>
      <c r="I110" s="44">
        <f t="shared" si="30"/>
        <v>0</v>
      </c>
      <c r="J110" s="43">
        <f t="shared" si="25"/>
        <v>0</v>
      </c>
      <c r="K110" s="44" cm="1">
        <f t="array" ref="K110">IF(D110="Gadget",_xlfn.IFS(I110&gt;=0.2,0.5,I110&gt;=0.1,0.35,I110&gt;=0.05,0.2,TRUE,0),IF(D110="Grenade",_xlfn.IFS(I110&gt;=0.2,1,I110&gt;=0.1,0.7,I110&gt;=0.05,0.4,TRUE,0),0))</f>
        <v>0</v>
      </c>
      <c r="L110" s="57">
        <f t="shared" si="37"/>
        <v>0</v>
      </c>
    </row>
    <row r="111" spans="1:12" ht="15" customHeight="1" x14ac:dyDescent="0.25">
      <c r="A111" s="42" t="str" cm="1">
        <f t="array" ref="A111">IFERROR(INDEX(_xlfn._xlws.FILTER(Class_Players!A:A,Class_Players!B:B="Recon"),QUOTIENT(ROW()-ROW($A$2),8)+1),"")</f>
        <v>TAKAMAS4</v>
      </c>
      <c r="B111" s="42" t="str">
        <f>_xlfn.XLOOKUP(A111,Class_Players!$A:$A,Class_Players!$B:$B,"")</f>
        <v>Recon</v>
      </c>
      <c r="C111" s="38" t="str" cm="1">
        <f t="array" ref="C111">INDEX(Lookups!$C$2:$C$9,MOD(ROW()-ROW($B$2),ROWS(Lookups!$C$2:$C$9))+1)</f>
        <v>C-4 Explosives</v>
      </c>
      <c r="D111" s="38" t="str">
        <f>_xlfn.XLOOKUP(C111,Analysis_Gadgets!$C:$C,Analysis_Gadgets!$B:$B)</f>
        <v>Gadget</v>
      </c>
      <c r="E111" s="43">
        <v>2196</v>
      </c>
      <c r="F111" s="43">
        <f>_xlfn.XLOOKUP(A111,Class_Players!A:A,Class_Players!G:G)</f>
        <v>140</v>
      </c>
      <c r="G111" s="43">
        <f t="shared" si="29"/>
        <v>15.685714285714285</v>
      </c>
      <c r="H111" s="43">
        <f>_xlfn.XLOOKUP(A111,Class_Players!$A:$A,Class_Players!$F:$F,"")</f>
        <v>10961</v>
      </c>
      <c r="I111" s="44">
        <f t="shared" si="30"/>
        <v>0.20034668369674299</v>
      </c>
      <c r="J111" s="43">
        <f t="shared" si="25"/>
        <v>1</v>
      </c>
      <c r="K111" s="44" cm="1">
        <f t="array" ref="K111">IF(D111="Gadget",_xlfn.IFS(I111&gt;=0.2,0.5,I111&gt;=0.1,0.35,I111&gt;=0.05,0.2,TRUE,0),IF(D111="Grenade",_xlfn.IFS(I111&gt;=0.2,1,I111&gt;=0.1,0.7,I111&gt;=0.05,0.4,TRUE,0),0))</f>
        <v>0.5</v>
      </c>
      <c r="L111" s="57">
        <f t="shared" si="37"/>
        <v>0.58823529411764708</v>
      </c>
    </row>
    <row r="112" spans="1:12" ht="15" customHeight="1" x14ac:dyDescent="0.25">
      <c r="A112" s="42" t="str" cm="1">
        <f t="array" ref="A112">IFERROR(INDEX(_xlfn._xlws.FILTER(Class_Players!A:A,Class_Players!B:B="Recon"),QUOTIENT(ROW()-ROW($A$2),8)+1),"")</f>
        <v>TAKAMAS4</v>
      </c>
      <c r="B112" s="42" t="str">
        <f>_xlfn.XLOOKUP(A112,Class_Players!$A:$A,Class_Players!$B:$B,"")</f>
        <v>Recon</v>
      </c>
      <c r="C112" s="38" t="str" cm="1">
        <f t="array" ref="C112">INDEX(Lookups!$C$2:$C$9,MOD(ROW()-ROW($B$2),ROWS(Lookups!$C$2:$C$9))+1)</f>
        <v>Proximity Detector</v>
      </c>
      <c r="D112" s="38" t="str">
        <f>_xlfn.XLOOKUP(C112,Analysis_Gadgets!$C:$C,Analysis_Gadgets!$B:$B)</f>
        <v>Grenade</v>
      </c>
      <c r="E112" s="43">
        <v>0</v>
      </c>
      <c r="F112" s="43">
        <f>_xlfn.XLOOKUP(A112,Class_Players!A:A,Class_Players!G:G)</f>
        <v>140</v>
      </c>
      <c r="G112" s="43">
        <f t="shared" si="29"/>
        <v>0</v>
      </c>
      <c r="H112" s="43">
        <f>_xlfn.XLOOKUP(A112,Class_Players!$A:$A,Class_Players!$F:$F,"")</f>
        <v>10961</v>
      </c>
      <c r="I112" s="44">
        <f t="shared" si="30"/>
        <v>0</v>
      </c>
      <c r="J112" s="43">
        <f t="shared" si="25"/>
        <v>0</v>
      </c>
      <c r="K112" s="44" cm="1">
        <f t="array" ref="K112">IF(D112="Gadget",_xlfn.IFS(I112&gt;=0.2,0.5,I112&gt;=0.1,0.35,I112&gt;=0.05,0.2,TRUE,0),IF(D112="Grenade",_xlfn.IFS(I112&gt;=0.2,1,I112&gt;=0.1,0.7,I112&gt;=0.05,0.4,TRUE,0),0))</f>
        <v>0</v>
      </c>
      <c r="L112" s="57">
        <f t="shared" ref="L112:L113" si="38">IF($K112=0,0,$K112 / SUMIFS($K:$K,$A:$A,$A112,$D:$D,"Grenade"))</f>
        <v>0</v>
      </c>
    </row>
    <row r="113" spans="1:12" ht="15" customHeight="1" x14ac:dyDescent="0.25">
      <c r="A113" s="42" t="str" cm="1">
        <f t="array" ref="A113">IFERROR(INDEX(_xlfn._xlws.FILTER(Class_Players!A:A,Class_Players!B:B="Recon"),QUOTIENT(ROW()-ROW($A$2),8)+1),"")</f>
        <v>TAKAMAS4</v>
      </c>
      <c r="B113" s="42" t="str">
        <f>_xlfn.XLOOKUP(A113,Class_Players!$A:$A,Class_Players!$B:$B,"")</f>
        <v>Recon</v>
      </c>
      <c r="C113" s="38" t="str" cm="1">
        <f t="array" ref="C113">INDEX(Lookups!$C$2:$C$9,MOD(ROW()-ROW($B$2),ROWS(Lookups!$C$2:$C$9))+1)</f>
        <v>Throwing Knife</v>
      </c>
      <c r="D113" s="38" t="str">
        <f>_xlfn.XLOOKUP(C113,Analysis_Gadgets!$C:$C,Analysis_Gadgets!$B:$B)</f>
        <v>Grenade</v>
      </c>
      <c r="E113" s="43">
        <v>0</v>
      </c>
      <c r="F113" s="43">
        <f>_xlfn.XLOOKUP(A113,Class_Players!A:A,Class_Players!G:G)</f>
        <v>140</v>
      </c>
      <c r="G113" s="43">
        <f t="shared" si="29"/>
        <v>0</v>
      </c>
      <c r="H113" s="43">
        <f>_xlfn.XLOOKUP(A113,Class_Players!$A:$A,Class_Players!$F:$F,"")</f>
        <v>10961</v>
      </c>
      <c r="I113" s="44">
        <f t="shared" si="30"/>
        <v>0</v>
      </c>
      <c r="J113" s="43">
        <f t="shared" si="25"/>
        <v>0</v>
      </c>
      <c r="K113" s="44" cm="1">
        <f t="array" ref="K113">IF(D113="Gadget",_xlfn.IFS(I113&gt;=0.2,0.5,I113&gt;=0.1,0.35,I113&gt;=0.05,0.2,TRUE,0),IF(D113="Grenade",_xlfn.IFS(I113&gt;=0.2,1,I113&gt;=0.1,0.7,I113&gt;=0.05,0.4,TRUE,0),0))</f>
        <v>0</v>
      </c>
      <c r="L113" s="57">
        <f t="shared" si="38"/>
        <v>0</v>
      </c>
    </row>
    <row r="114" spans="1:12" ht="15" customHeight="1" x14ac:dyDescent="0.25">
      <c r="A114" s="42" t="str" cm="1">
        <f t="array" ref="A114">IFERROR(INDEX(_xlfn._xlws.FILTER(Class_Players!A:A,Class_Players!B:B="Recon"),QUOTIENT(ROW()-ROW($A$2),8)+1),"")</f>
        <v>Brock Xx Samson</v>
      </c>
      <c r="B114" s="42" t="str">
        <f>_xlfn.XLOOKUP(A114,Class_Players!$A:$A,Class_Players!$B:$B,"")</f>
        <v>Recon</v>
      </c>
      <c r="C114" s="38" t="str" cm="1">
        <f t="array" ref="C114">INDEX(Lookups!$C$2:$C$9,MOD(ROW()-ROW($B$2),ROWS(Lookups!$C$2:$C$9))+1)</f>
        <v>Laser Designator</v>
      </c>
      <c r="D114" s="38" t="str">
        <f>_xlfn.XLOOKUP(C114,Analysis_Gadgets!$C:$C,Analysis_Gadgets!$B:$B)</f>
        <v>Gadget</v>
      </c>
      <c r="E114" s="43">
        <v>4755</v>
      </c>
      <c r="F114" s="43">
        <f>_xlfn.XLOOKUP(A114,Class_Players!A:A,Class_Players!G:G)</f>
        <v>263</v>
      </c>
      <c r="G114" s="43">
        <f t="shared" si="29"/>
        <v>18.079847908745247</v>
      </c>
      <c r="H114" s="43">
        <f>_xlfn.XLOOKUP(A114,Class_Players!$A:$A,Class_Players!$F:$F,"")</f>
        <v>9973</v>
      </c>
      <c r="I114" s="44">
        <f t="shared" si="30"/>
        <v>0.47678732577960492</v>
      </c>
      <c r="J114" s="43">
        <f t="shared" si="25"/>
        <v>1</v>
      </c>
      <c r="K114" s="44" cm="1">
        <f t="array" ref="K114">IF(D114="Gadget",_xlfn.IFS(I114&gt;=0.2,0.5,I114&gt;=0.1,0.35,I114&gt;=0.05,0.2,TRUE,0),IF(D114="Grenade",_xlfn.IFS(I114&gt;=0.2,1,I114&gt;=0.1,0.7,I114&gt;=0.05,0.4,TRUE,0),0))</f>
        <v>0.5</v>
      </c>
      <c r="L114" s="57">
        <f t="shared" ref="L114:L119" si="39">IF($K114=0,0,$K114 / SUMIFS($K:$K,$A:$A,$A114,$D:$D,"Gadget"))</f>
        <v>0.47619047619047628</v>
      </c>
    </row>
    <row r="115" spans="1:12" ht="15" customHeight="1" x14ac:dyDescent="0.25">
      <c r="A115" s="42" t="str" cm="1">
        <f t="array" ref="A115">IFERROR(INDEX(_xlfn._xlws.FILTER(Class_Players!A:A,Class_Players!B:B="Recon"),QUOTIENT(ROW()-ROW($A$2),8)+1),"")</f>
        <v>Brock Xx Samson</v>
      </c>
      <c r="B115" s="42" t="str">
        <f>_xlfn.XLOOKUP(A115,Class_Players!$A:$A,Class_Players!$B:$B,"")</f>
        <v>Recon</v>
      </c>
      <c r="C115" s="38" t="str" cm="1">
        <f t="array" ref="C115">INDEX(Lookups!$C$2:$C$9,MOD(ROW()-ROW($B$2),ROWS(Lookups!$C$2:$C$9))+1)</f>
        <v>Recon Drone</v>
      </c>
      <c r="D115" s="38" t="str">
        <f>_xlfn.XLOOKUP(C115,Analysis_Gadgets!$C:$C,Analysis_Gadgets!$B:$B)</f>
        <v>Gadget</v>
      </c>
      <c r="E115" s="43">
        <v>535</v>
      </c>
      <c r="F115" s="43">
        <f>_xlfn.XLOOKUP(A115,Class_Players!A:A,Class_Players!G:G)</f>
        <v>263</v>
      </c>
      <c r="G115" s="43">
        <f t="shared" si="29"/>
        <v>2.0342205323193916</v>
      </c>
      <c r="H115" s="43">
        <f>_xlfn.XLOOKUP(A115,Class_Players!$A:$A,Class_Players!$F:$F,"")</f>
        <v>9973</v>
      </c>
      <c r="I115" s="44">
        <f t="shared" si="30"/>
        <v>5.3644841070891409E-2</v>
      </c>
      <c r="J115" s="43">
        <f t="shared" si="25"/>
        <v>0</v>
      </c>
      <c r="K115" s="44" cm="1">
        <f t="array" ref="K115">IF(D115="Gadget",_xlfn.IFS(I115&gt;=0.2,0.5,I115&gt;=0.1,0.35,I115&gt;=0.05,0.2,TRUE,0),IF(D115="Grenade",_xlfn.IFS(I115&gt;=0.2,1,I115&gt;=0.1,0.7,I115&gt;=0.05,0.4,TRUE,0),0))</f>
        <v>0.2</v>
      </c>
      <c r="L115" s="57">
        <f t="shared" si="39"/>
        <v>0.19047619047619052</v>
      </c>
    </row>
    <row r="116" spans="1:12" ht="15" customHeight="1" x14ac:dyDescent="0.25">
      <c r="A116" s="42" t="str" cm="1">
        <f t="array" ref="A116">IFERROR(INDEX(_xlfn._xlws.FILTER(Class_Players!A:A,Class_Players!B:B="Recon"),QUOTIENT(ROW()-ROW($A$2),8)+1),"")</f>
        <v>Brock Xx Samson</v>
      </c>
      <c r="B116" s="42" t="str">
        <f>_xlfn.XLOOKUP(A116,Class_Players!$A:$A,Class_Players!$B:$B,"")</f>
        <v>Recon</v>
      </c>
      <c r="C116" s="38" t="str" cm="1">
        <f t="array" ref="C116">INDEX(Lookups!$C$2:$C$9,MOD(ROW()-ROW($B$2),ROWS(Lookups!$C$2:$C$9))+1)</f>
        <v>Tracer Dart</v>
      </c>
      <c r="D116" s="38" t="str">
        <f>_xlfn.XLOOKUP(C116,Analysis_Gadgets!$C:$C,Analysis_Gadgets!$B:$B)</f>
        <v>Gadget</v>
      </c>
      <c r="E116" s="43">
        <v>43</v>
      </c>
      <c r="F116" s="43">
        <f>_xlfn.XLOOKUP(A116,Class_Players!A:A,Class_Players!G:G)</f>
        <v>263</v>
      </c>
      <c r="G116" s="43">
        <f t="shared" si="29"/>
        <v>0.1634980988593156</v>
      </c>
      <c r="H116" s="43">
        <f>_xlfn.XLOOKUP(A116,Class_Players!$A:$A,Class_Players!$F:$F,"")</f>
        <v>9973</v>
      </c>
      <c r="I116" s="44">
        <f t="shared" si="30"/>
        <v>4.3116414318660383E-3</v>
      </c>
      <c r="J116" s="43">
        <f t="shared" si="25"/>
        <v>0</v>
      </c>
      <c r="K116" s="44" cm="1">
        <f t="array" ref="K116">IF(D116="Gadget",_xlfn.IFS(I116&gt;=0.2,0.5,I116&gt;=0.1,0.35,I116&gt;=0.05,0.2,TRUE,0),IF(D116="Grenade",_xlfn.IFS(I116&gt;=0.2,1,I116&gt;=0.1,0.7,I116&gt;=0.05,0.4,TRUE,0),0))</f>
        <v>0</v>
      </c>
      <c r="L116" s="57">
        <f t="shared" si="39"/>
        <v>0</v>
      </c>
    </row>
    <row r="117" spans="1:12" ht="15" customHeight="1" x14ac:dyDescent="0.25">
      <c r="A117" s="42" t="str" cm="1">
        <f t="array" ref="A117">IFERROR(INDEX(_xlfn._xlws.FILTER(Class_Players!A:A,Class_Players!B:B="Recon"),QUOTIENT(ROW()-ROW($A$2),8)+1),"")</f>
        <v>Brock Xx Samson</v>
      </c>
      <c r="B117" s="42" t="str">
        <f>_xlfn.XLOOKUP(A117,Class_Players!$A:$A,Class_Players!$B:$B,"")</f>
        <v>Recon</v>
      </c>
      <c r="C117" s="38" t="str" cm="1">
        <f t="array" ref="C117">INDEX(Lookups!$C$2:$C$9,MOD(ROW()-ROW($B$2),ROWS(Lookups!$C$2:$C$9))+1)</f>
        <v>M18A1 (Claymore)</v>
      </c>
      <c r="D117" s="38" t="str">
        <f>_xlfn.XLOOKUP(C117,Analysis_Gadgets!$C:$C,Analysis_Gadgets!$B:$B)</f>
        <v>Gadget</v>
      </c>
      <c r="E117" s="43">
        <v>64</v>
      </c>
      <c r="F117" s="43">
        <f>_xlfn.XLOOKUP(A117,Class_Players!A:A,Class_Players!G:G)</f>
        <v>263</v>
      </c>
      <c r="G117" s="43">
        <f t="shared" si="29"/>
        <v>0.24334600760456274</v>
      </c>
      <c r="H117" s="43">
        <f>_xlfn.XLOOKUP(A117,Class_Players!$A:$A,Class_Players!$F:$F,"")</f>
        <v>9973</v>
      </c>
      <c r="I117" s="44">
        <f t="shared" si="30"/>
        <v>6.4173267823122429E-3</v>
      </c>
      <c r="J117" s="43">
        <f t="shared" si="25"/>
        <v>0</v>
      </c>
      <c r="K117" s="44" cm="1">
        <f t="array" ref="K117">IF(D117="Gadget",_xlfn.IFS(I117&gt;=0.2,0.5,I117&gt;=0.1,0.35,I117&gt;=0.05,0.2,TRUE,0),IF(D117="Grenade",_xlfn.IFS(I117&gt;=0.2,1,I117&gt;=0.1,0.7,I117&gt;=0.05,0.4,TRUE,0),0))</f>
        <v>0</v>
      </c>
      <c r="L117" s="57">
        <f t="shared" si="39"/>
        <v>0</v>
      </c>
    </row>
    <row r="118" spans="1:12" ht="15" customHeight="1" x14ac:dyDescent="0.25">
      <c r="A118" s="42" t="str" cm="1">
        <f t="array" ref="A118">IFERROR(INDEX(_xlfn._xlws.FILTER(Class_Players!A:A,Class_Players!B:B="Recon"),QUOTIENT(ROW()-ROW($A$2),8)+1),"")</f>
        <v>Brock Xx Samson</v>
      </c>
      <c r="B118" s="42" t="str">
        <f>_xlfn.XLOOKUP(A118,Class_Players!$A:$A,Class_Players!$B:$B,"")</f>
        <v>Recon</v>
      </c>
      <c r="C118" s="38" t="str" cm="1">
        <f t="array" ref="C118">INDEX(Lookups!$C$2:$C$9,MOD(ROW()-ROW($B$2),ROWS(Lookups!$C$2:$C$9))+1)</f>
        <v>Sniper Decoy</v>
      </c>
      <c r="D118" s="38" t="str">
        <f>_xlfn.XLOOKUP(C118,Analysis_Gadgets!$C:$C,Analysis_Gadgets!$B:$B)</f>
        <v>Gadget</v>
      </c>
      <c r="E118" s="43">
        <v>26</v>
      </c>
      <c r="F118" s="43">
        <f>_xlfn.XLOOKUP(A118,Class_Players!A:A,Class_Players!G:G)</f>
        <v>263</v>
      </c>
      <c r="G118" s="43">
        <f t="shared" si="29"/>
        <v>9.8859315589353611E-2</v>
      </c>
      <c r="H118" s="43">
        <f>_xlfn.XLOOKUP(A118,Class_Players!$A:$A,Class_Players!$F:$F,"")</f>
        <v>9973</v>
      </c>
      <c r="I118" s="44">
        <f t="shared" si="30"/>
        <v>2.6070390053143486E-3</v>
      </c>
      <c r="J118" s="43">
        <f t="shared" si="25"/>
        <v>0</v>
      </c>
      <c r="K118" s="44" cm="1">
        <f t="array" ref="K118">IF(D118="Gadget",_xlfn.IFS(I118&gt;=0.2,0.5,I118&gt;=0.1,0.35,I118&gt;=0.05,0.2,TRUE,0),IF(D118="Grenade",_xlfn.IFS(I118&gt;=0.2,1,I118&gt;=0.1,0.7,I118&gt;=0.05,0.4,TRUE,0),0))</f>
        <v>0</v>
      </c>
      <c r="L118" s="57">
        <f t="shared" si="39"/>
        <v>0</v>
      </c>
    </row>
    <row r="119" spans="1:12" ht="15" customHeight="1" x14ac:dyDescent="0.25">
      <c r="A119" s="42" t="str" cm="1">
        <f t="array" ref="A119">IFERROR(INDEX(_xlfn._xlws.FILTER(Class_Players!A:A,Class_Players!B:B="Recon"),QUOTIENT(ROW()-ROW($A$2),8)+1),"")</f>
        <v>Brock Xx Samson</v>
      </c>
      <c r="B119" s="42" t="str">
        <f>_xlfn.XLOOKUP(A119,Class_Players!$A:$A,Class_Players!$B:$B,"")</f>
        <v>Recon</v>
      </c>
      <c r="C119" s="38" t="str" cm="1">
        <f t="array" ref="C119">INDEX(Lookups!$C$2:$C$9,MOD(ROW()-ROW($B$2),ROWS(Lookups!$C$2:$C$9))+1)</f>
        <v>C-4 Explosives</v>
      </c>
      <c r="D119" s="38" t="str">
        <f>_xlfn.XLOOKUP(C119,Analysis_Gadgets!$C:$C,Analysis_Gadgets!$B:$B)</f>
        <v>Gadget</v>
      </c>
      <c r="E119" s="43">
        <v>1558</v>
      </c>
      <c r="F119" s="43">
        <f>_xlfn.XLOOKUP(A119,Class_Players!A:A,Class_Players!G:G)</f>
        <v>263</v>
      </c>
      <c r="G119" s="43">
        <f t="shared" si="29"/>
        <v>5.9239543726235739</v>
      </c>
      <c r="H119" s="43">
        <f>_xlfn.XLOOKUP(A119,Class_Players!$A:$A,Class_Players!$F:$F,"")</f>
        <v>9973</v>
      </c>
      <c r="I119" s="44">
        <f t="shared" si="30"/>
        <v>0.15622179885691367</v>
      </c>
      <c r="J119" s="43">
        <f t="shared" si="25"/>
        <v>1</v>
      </c>
      <c r="K119" s="44" cm="1">
        <f t="array" ref="K119">IF(D119="Gadget",_xlfn.IFS(I119&gt;=0.2,0.5,I119&gt;=0.1,0.35,I119&gt;=0.05,0.2,TRUE,0),IF(D119="Grenade",_xlfn.IFS(I119&gt;=0.2,1,I119&gt;=0.1,0.7,I119&gt;=0.05,0.4,TRUE,0),0))</f>
        <v>0.35</v>
      </c>
      <c r="L119" s="57">
        <f t="shared" si="39"/>
        <v>0.33333333333333337</v>
      </c>
    </row>
    <row r="120" spans="1:12" ht="15" customHeight="1" x14ac:dyDescent="0.25">
      <c r="A120" s="42" t="str" cm="1">
        <f t="array" ref="A120">IFERROR(INDEX(_xlfn._xlws.FILTER(Class_Players!A:A,Class_Players!B:B="Recon"),QUOTIENT(ROW()-ROW($A$2),8)+1),"")</f>
        <v>Brock Xx Samson</v>
      </c>
      <c r="B120" s="42" t="str">
        <f>_xlfn.XLOOKUP(A120,Class_Players!$A:$A,Class_Players!$B:$B,"")</f>
        <v>Recon</v>
      </c>
      <c r="C120" s="38" t="str" cm="1">
        <f t="array" ref="C120">INDEX(Lookups!$C$2:$C$9,MOD(ROW()-ROW($B$2),ROWS(Lookups!$C$2:$C$9))+1)</f>
        <v>Proximity Detector</v>
      </c>
      <c r="D120" s="38" t="str">
        <f>_xlfn.XLOOKUP(C120,Analysis_Gadgets!$C:$C,Analysis_Gadgets!$B:$B)</f>
        <v>Grenade</v>
      </c>
      <c r="E120" s="43">
        <v>882</v>
      </c>
      <c r="F120" s="43">
        <f>_xlfn.XLOOKUP(A120,Class_Players!A:A,Class_Players!G:G)</f>
        <v>263</v>
      </c>
      <c r="G120" s="43">
        <f t="shared" si="29"/>
        <v>3.3536121673003803</v>
      </c>
      <c r="H120" s="43">
        <f>_xlfn.XLOOKUP(A120,Class_Players!$A:$A,Class_Players!$F:$F,"")</f>
        <v>9973</v>
      </c>
      <c r="I120" s="44">
        <f t="shared" si="30"/>
        <v>8.8438784718740601E-2</v>
      </c>
      <c r="J120" s="43">
        <f t="shared" si="25"/>
        <v>0</v>
      </c>
      <c r="K120" s="44" cm="1">
        <f t="array" ref="K120">IF(D120="Gadget",_xlfn.IFS(I120&gt;=0.2,0.5,I120&gt;=0.1,0.35,I120&gt;=0.05,0.2,TRUE,0),IF(D120="Grenade",_xlfn.IFS(I120&gt;=0.2,1,I120&gt;=0.1,0.7,I120&gt;=0.05,0.4,TRUE,0),0))</f>
        <v>0.4</v>
      </c>
      <c r="L120" s="57">
        <f t="shared" ref="L120:L121" si="40">IF($K120=0,0,$K120 / SUMIFS($K:$K,$A:$A,$A120,$D:$D,"Grenade"))</f>
        <v>1</v>
      </c>
    </row>
    <row r="121" spans="1:12" ht="15" customHeight="1" x14ac:dyDescent="0.25">
      <c r="A121" s="42" t="str" cm="1">
        <f t="array" ref="A121">IFERROR(INDEX(_xlfn._xlws.FILTER(Class_Players!A:A,Class_Players!B:B="Recon"),QUOTIENT(ROW()-ROW($A$2),8)+1),"")</f>
        <v>Brock Xx Samson</v>
      </c>
      <c r="B121" s="42" t="str">
        <f>_xlfn.XLOOKUP(A121,Class_Players!$A:$A,Class_Players!$B:$B,"")</f>
        <v>Recon</v>
      </c>
      <c r="C121" s="38" t="str" cm="1">
        <f t="array" ref="C121">INDEX(Lookups!$C$2:$C$9,MOD(ROW()-ROW($B$2),ROWS(Lookups!$C$2:$C$9))+1)</f>
        <v>Throwing Knife</v>
      </c>
      <c r="D121" s="38" t="str">
        <f>_xlfn.XLOOKUP(C121,Analysis_Gadgets!$C:$C,Analysis_Gadgets!$B:$B)</f>
        <v>Grenade</v>
      </c>
      <c r="E121" s="43">
        <v>3</v>
      </c>
      <c r="F121" s="43">
        <f>_xlfn.XLOOKUP(A121,Class_Players!A:A,Class_Players!G:G)</f>
        <v>263</v>
      </c>
      <c r="G121" s="43">
        <f t="shared" si="29"/>
        <v>1.1406844106463879E-2</v>
      </c>
      <c r="H121" s="43">
        <f>_xlfn.XLOOKUP(A121,Class_Players!$A:$A,Class_Players!$F:$F,"")</f>
        <v>9973</v>
      </c>
      <c r="I121" s="44">
        <f t="shared" si="30"/>
        <v>3.0081219292088637E-4</v>
      </c>
      <c r="J121" s="43">
        <f t="shared" si="25"/>
        <v>0</v>
      </c>
      <c r="K121" s="44" cm="1">
        <f t="array" ref="K121">IF(D121="Gadget",_xlfn.IFS(I121&gt;=0.2,0.5,I121&gt;=0.1,0.35,I121&gt;=0.05,0.2,TRUE,0),IF(D121="Grenade",_xlfn.IFS(I121&gt;=0.2,1,I121&gt;=0.1,0.7,I121&gt;=0.05,0.4,TRUE,0),0))</f>
        <v>0</v>
      </c>
      <c r="L121" s="57">
        <f t="shared" si="40"/>
        <v>0</v>
      </c>
    </row>
    <row r="122" spans="1:12" ht="15" customHeight="1" x14ac:dyDescent="0.25">
      <c r="A122" s="42" t="str" cm="1">
        <f t="array" ref="A122">IFERROR(INDEX(_xlfn._xlws.FILTER(Class_Players!A:A,Class_Players!B:B="Recon"),QUOTIENT(ROW()-ROW($A$2),8)+1),"")</f>
        <v>Youngling Force Kin</v>
      </c>
      <c r="B122" s="42" t="str">
        <f>_xlfn.XLOOKUP(A122,Class_Players!$A:$A,Class_Players!$B:$B,"")</f>
        <v>Recon</v>
      </c>
      <c r="C122" s="38" t="str" cm="1">
        <f t="array" ref="C122">INDEX(Lookups!$C$2:$C$9,MOD(ROW()-ROW($B$2),ROWS(Lookups!$C$2:$C$9))+1)</f>
        <v>Laser Designator</v>
      </c>
      <c r="D122" s="38" t="str">
        <f>_xlfn.XLOOKUP(C122,Analysis_Gadgets!$C:$C,Analysis_Gadgets!$B:$B)</f>
        <v>Gadget</v>
      </c>
      <c r="E122" s="43">
        <v>11</v>
      </c>
      <c r="F122" s="43">
        <f>_xlfn.XLOOKUP(A122,Class_Players!A:A,Class_Players!G:G)</f>
        <v>292</v>
      </c>
      <c r="G122" s="43">
        <f t="shared" ref="G122:G129" si="41">IF(F122=0,"",E122/(F122))</f>
        <v>3.7671232876712327E-2</v>
      </c>
      <c r="H122" s="43">
        <f>_xlfn.XLOOKUP(A122,Class_Players!$A:$A,Class_Players!$F:$F,"")</f>
        <v>11406</v>
      </c>
      <c r="I122" s="44">
        <f t="shared" ref="I122:I129" si="42">IF(H122=0,"",E122/H122)</f>
        <v>9.6440469928108018E-4</v>
      </c>
      <c r="J122" s="43">
        <f t="shared" ref="J122:J129" si="43">IF(I122&gt;=0.1,1,0)</f>
        <v>0</v>
      </c>
      <c r="K122" s="44" cm="1">
        <f t="array" ref="K122">IF(D122="Gadget",_xlfn.IFS(I122&gt;=0.2,0.5,I122&gt;=0.1,0.35,I122&gt;=0.05,0.2,TRUE,0),IF(D122="Grenade",_xlfn.IFS(I122&gt;=0.2,1,I122&gt;=0.1,0.7,I122&gt;=0.05,0.4,TRUE,0),0))</f>
        <v>0</v>
      </c>
      <c r="L122" s="57">
        <f t="shared" ref="L122:L127" si="44">IF($K122=0,0,$K122 / SUMIFS($K:$K,$A:$A,$A122,$D:$D,"Gadget"))</f>
        <v>0</v>
      </c>
    </row>
    <row r="123" spans="1:12" ht="15" customHeight="1" x14ac:dyDescent="0.25">
      <c r="A123" s="42" t="str" cm="1">
        <f t="array" ref="A123">IFERROR(INDEX(_xlfn._xlws.FILTER(Class_Players!A:A,Class_Players!B:B="Recon"),QUOTIENT(ROW()-ROW($A$2),8)+1),"")</f>
        <v>Youngling Force Kin</v>
      </c>
      <c r="B123" s="42" t="str">
        <f>_xlfn.XLOOKUP(A123,Class_Players!$A:$A,Class_Players!$B:$B,"")</f>
        <v>Recon</v>
      </c>
      <c r="C123" s="38" t="str" cm="1">
        <f t="array" ref="C123">INDEX(Lookups!$C$2:$C$9,MOD(ROW()-ROW($B$2),ROWS(Lookups!$C$2:$C$9))+1)</f>
        <v>Recon Drone</v>
      </c>
      <c r="D123" s="38" t="str">
        <f>_xlfn.XLOOKUP(C123,Analysis_Gadgets!$C:$C,Analysis_Gadgets!$B:$B)</f>
        <v>Gadget</v>
      </c>
      <c r="E123" s="43">
        <v>673</v>
      </c>
      <c r="F123" s="43">
        <f>_xlfn.XLOOKUP(A123,Class_Players!A:A,Class_Players!G:G)</f>
        <v>292</v>
      </c>
      <c r="G123" s="43">
        <f t="shared" si="41"/>
        <v>2.3047945205479454</v>
      </c>
      <c r="H123" s="43">
        <f>_xlfn.XLOOKUP(A123,Class_Players!$A:$A,Class_Players!$F:$F,"")</f>
        <v>11406</v>
      </c>
      <c r="I123" s="44">
        <f t="shared" si="42"/>
        <v>5.9004032965106083E-2</v>
      </c>
      <c r="J123" s="43">
        <f t="shared" si="43"/>
        <v>0</v>
      </c>
      <c r="K123" s="44" cm="1">
        <f t="array" ref="K123">IF(D123="Gadget",_xlfn.IFS(I123&gt;=0.2,0.5,I123&gt;=0.1,0.35,I123&gt;=0.05,0.2,TRUE,0),IF(D123="Grenade",_xlfn.IFS(I123&gt;=0.2,1,I123&gt;=0.1,0.7,I123&gt;=0.05,0.4,TRUE,0),0))</f>
        <v>0.2</v>
      </c>
      <c r="L123" s="57">
        <f t="shared" si="44"/>
        <v>0.16666666666666669</v>
      </c>
    </row>
    <row r="124" spans="1:12" ht="15" customHeight="1" x14ac:dyDescent="0.25">
      <c r="A124" s="42" t="str" cm="1">
        <f t="array" ref="A124">IFERROR(INDEX(_xlfn._xlws.FILTER(Class_Players!A:A,Class_Players!B:B="Recon"),QUOTIENT(ROW()-ROW($A$2),8)+1),"")</f>
        <v>Youngling Force Kin</v>
      </c>
      <c r="B124" s="42" t="str">
        <f>_xlfn.XLOOKUP(A124,Class_Players!$A:$A,Class_Players!$B:$B,"")</f>
        <v>Recon</v>
      </c>
      <c r="C124" s="38" t="str" cm="1">
        <f t="array" ref="C124">INDEX(Lookups!$C$2:$C$9,MOD(ROW()-ROW($B$2),ROWS(Lookups!$C$2:$C$9))+1)</f>
        <v>Tracer Dart</v>
      </c>
      <c r="D124" s="38" t="str">
        <f>_xlfn.XLOOKUP(C124,Analysis_Gadgets!$C:$C,Analysis_Gadgets!$B:$B)</f>
        <v>Gadget</v>
      </c>
      <c r="E124" s="43">
        <v>38</v>
      </c>
      <c r="F124" s="43">
        <f>_xlfn.XLOOKUP(A124,Class_Players!A:A,Class_Players!G:G)</f>
        <v>292</v>
      </c>
      <c r="G124" s="43">
        <f t="shared" si="41"/>
        <v>0.13013698630136986</v>
      </c>
      <c r="H124" s="43">
        <f>_xlfn.XLOOKUP(A124,Class_Players!$A:$A,Class_Players!$F:$F,"")</f>
        <v>11406</v>
      </c>
      <c r="I124" s="44">
        <f t="shared" si="42"/>
        <v>3.3315798702437316E-3</v>
      </c>
      <c r="J124" s="43">
        <f t="shared" si="43"/>
        <v>0</v>
      </c>
      <c r="K124" s="44" cm="1">
        <f t="array" ref="K124">IF(D124="Gadget",_xlfn.IFS(I124&gt;=0.2,0.5,I124&gt;=0.1,0.35,I124&gt;=0.05,0.2,TRUE,0),IF(D124="Grenade",_xlfn.IFS(I124&gt;=0.2,1,I124&gt;=0.1,0.7,I124&gt;=0.05,0.4,TRUE,0),0))</f>
        <v>0</v>
      </c>
      <c r="L124" s="57">
        <f t="shared" si="44"/>
        <v>0</v>
      </c>
    </row>
    <row r="125" spans="1:12" ht="15" customHeight="1" x14ac:dyDescent="0.25">
      <c r="A125" s="42" t="str" cm="1">
        <f t="array" ref="A125">IFERROR(INDEX(_xlfn._xlws.FILTER(Class_Players!A:A,Class_Players!B:B="Recon"),QUOTIENT(ROW()-ROW($A$2),8)+1),"")</f>
        <v>Youngling Force Kin</v>
      </c>
      <c r="B125" s="42" t="str">
        <f>_xlfn.XLOOKUP(A125,Class_Players!$A:$A,Class_Players!$B:$B,"")</f>
        <v>Recon</v>
      </c>
      <c r="C125" s="38" t="str" cm="1">
        <f t="array" ref="C125">INDEX(Lookups!$C$2:$C$9,MOD(ROW()-ROW($B$2),ROWS(Lookups!$C$2:$C$9))+1)</f>
        <v>M18A1 (Claymore)</v>
      </c>
      <c r="D125" s="38" t="str">
        <f>_xlfn.XLOOKUP(C125,Analysis_Gadgets!$C:$C,Analysis_Gadgets!$B:$B)</f>
        <v>Gadget</v>
      </c>
      <c r="E125" s="43">
        <v>2793</v>
      </c>
      <c r="F125" s="43">
        <f>_xlfn.XLOOKUP(A125,Class_Players!A:A,Class_Players!G:G)</f>
        <v>292</v>
      </c>
      <c r="G125" s="43">
        <f t="shared" si="41"/>
        <v>9.5650684931506849</v>
      </c>
      <c r="H125" s="43">
        <f>_xlfn.XLOOKUP(A125,Class_Players!$A:$A,Class_Players!$F:$F,"")</f>
        <v>11406</v>
      </c>
      <c r="I125" s="44">
        <f t="shared" si="42"/>
        <v>0.24487112046291426</v>
      </c>
      <c r="J125" s="43">
        <f t="shared" si="43"/>
        <v>1</v>
      </c>
      <c r="K125" s="44" cm="1">
        <f t="array" ref="K125">IF(D125="Gadget",_xlfn.IFS(I125&gt;=0.2,0.5,I125&gt;=0.1,0.35,I125&gt;=0.05,0.2,TRUE,0),IF(D125="Grenade",_xlfn.IFS(I125&gt;=0.2,1,I125&gt;=0.1,0.7,I125&gt;=0.05,0.4,TRUE,0),0))</f>
        <v>0.5</v>
      </c>
      <c r="L125" s="57">
        <f t="shared" si="44"/>
        <v>0.41666666666666669</v>
      </c>
    </row>
    <row r="126" spans="1:12" ht="15" customHeight="1" x14ac:dyDescent="0.25">
      <c r="A126" s="42" t="str" cm="1">
        <f t="array" ref="A126">IFERROR(INDEX(_xlfn._xlws.FILTER(Class_Players!A:A,Class_Players!B:B="Recon"),QUOTIENT(ROW()-ROW($A$2),8)+1),"")</f>
        <v>Youngling Force Kin</v>
      </c>
      <c r="B126" s="42" t="str">
        <f>_xlfn.XLOOKUP(A126,Class_Players!$A:$A,Class_Players!$B:$B,"")</f>
        <v>Recon</v>
      </c>
      <c r="C126" s="38" t="str" cm="1">
        <f t="array" ref="C126">INDEX(Lookups!$C$2:$C$9,MOD(ROW()-ROW($B$2),ROWS(Lookups!$C$2:$C$9))+1)</f>
        <v>Sniper Decoy</v>
      </c>
      <c r="D126" s="38" t="str">
        <f>_xlfn.XLOOKUP(C126,Analysis_Gadgets!$C:$C,Analysis_Gadgets!$B:$B)</f>
        <v>Gadget</v>
      </c>
      <c r="E126" s="43">
        <v>11</v>
      </c>
      <c r="F126" s="43">
        <f>_xlfn.XLOOKUP(A126,Class_Players!A:A,Class_Players!G:G)</f>
        <v>292</v>
      </c>
      <c r="G126" s="43">
        <f t="shared" si="41"/>
        <v>3.7671232876712327E-2</v>
      </c>
      <c r="H126" s="43">
        <f>_xlfn.XLOOKUP(A126,Class_Players!$A:$A,Class_Players!$F:$F,"")</f>
        <v>11406</v>
      </c>
      <c r="I126" s="44">
        <f t="shared" si="42"/>
        <v>9.6440469928108018E-4</v>
      </c>
      <c r="J126" s="43">
        <f t="shared" si="43"/>
        <v>0</v>
      </c>
      <c r="K126" s="44" cm="1">
        <f t="array" ref="K126">IF(D126="Gadget",_xlfn.IFS(I126&gt;=0.2,0.5,I126&gt;=0.1,0.35,I126&gt;=0.05,0.2,TRUE,0),IF(D126="Grenade",_xlfn.IFS(I126&gt;=0.2,1,I126&gt;=0.1,0.7,I126&gt;=0.05,0.4,TRUE,0),0))</f>
        <v>0</v>
      </c>
      <c r="L126" s="57">
        <f t="shared" si="44"/>
        <v>0</v>
      </c>
    </row>
    <row r="127" spans="1:12" ht="15" customHeight="1" x14ac:dyDescent="0.25">
      <c r="A127" s="42" t="str" cm="1">
        <f t="array" ref="A127">IFERROR(INDEX(_xlfn._xlws.FILTER(Class_Players!A:A,Class_Players!B:B="Recon"),QUOTIENT(ROW()-ROW($A$2),8)+1),"")</f>
        <v>Youngling Force Kin</v>
      </c>
      <c r="B127" s="42" t="str">
        <f>_xlfn.XLOOKUP(A127,Class_Players!$A:$A,Class_Players!$B:$B,"")</f>
        <v>Recon</v>
      </c>
      <c r="C127" s="38" t="str" cm="1">
        <f t="array" ref="C127">INDEX(Lookups!$C$2:$C$9,MOD(ROW()-ROW($B$2),ROWS(Lookups!$C$2:$C$9))+1)</f>
        <v>C-4 Explosives</v>
      </c>
      <c r="D127" s="38" t="str">
        <f>_xlfn.XLOOKUP(C127,Analysis_Gadgets!$C:$C,Analysis_Gadgets!$B:$B)</f>
        <v>Gadget</v>
      </c>
      <c r="E127" s="43">
        <v>6008</v>
      </c>
      <c r="F127" s="43">
        <f>_xlfn.XLOOKUP(A127,Class_Players!A:A,Class_Players!G:G)</f>
        <v>292</v>
      </c>
      <c r="G127" s="43">
        <f t="shared" si="41"/>
        <v>20.575342465753426</v>
      </c>
      <c r="H127" s="43">
        <f>_xlfn.XLOOKUP(A127,Class_Players!$A:$A,Class_Players!$F:$F,"")</f>
        <v>11406</v>
      </c>
      <c r="I127" s="44">
        <f t="shared" si="42"/>
        <v>0.52674031211642991</v>
      </c>
      <c r="J127" s="43">
        <f t="shared" si="43"/>
        <v>1</v>
      </c>
      <c r="K127" s="44" cm="1">
        <f t="array" ref="K127">IF(D127="Gadget",_xlfn.IFS(I127&gt;=0.2,0.5,I127&gt;=0.1,0.35,I127&gt;=0.05,0.2,TRUE,0),IF(D127="Grenade",_xlfn.IFS(I127&gt;=0.2,1,I127&gt;=0.1,0.7,I127&gt;=0.05,0.4,TRUE,0),0))</f>
        <v>0.5</v>
      </c>
      <c r="L127" s="57">
        <f t="shared" si="44"/>
        <v>0.41666666666666669</v>
      </c>
    </row>
    <row r="128" spans="1:12" ht="15" customHeight="1" x14ac:dyDescent="0.25">
      <c r="A128" s="42" t="str" cm="1">
        <f t="array" ref="A128">IFERROR(INDEX(_xlfn._xlws.FILTER(Class_Players!A:A,Class_Players!B:B="Recon"),QUOTIENT(ROW()-ROW($A$2),8)+1),"")</f>
        <v>Youngling Force Kin</v>
      </c>
      <c r="B128" s="42" t="str">
        <f>_xlfn.XLOOKUP(A128,Class_Players!$A:$A,Class_Players!$B:$B,"")</f>
        <v>Recon</v>
      </c>
      <c r="C128" s="38" t="str" cm="1">
        <f t="array" ref="C128">INDEX(Lookups!$C$2:$C$9,MOD(ROW()-ROW($B$2),ROWS(Lookups!$C$2:$C$9))+1)</f>
        <v>Proximity Detector</v>
      </c>
      <c r="D128" s="38" t="str">
        <f>_xlfn.XLOOKUP(C128,Analysis_Gadgets!$C:$C,Analysis_Gadgets!$B:$B)</f>
        <v>Grenade</v>
      </c>
      <c r="E128" s="43">
        <v>0</v>
      </c>
      <c r="F128" s="43">
        <f>_xlfn.XLOOKUP(A128,Class_Players!A:A,Class_Players!G:G)</f>
        <v>292</v>
      </c>
      <c r="G128" s="43">
        <f t="shared" si="41"/>
        <v>0</v>
      </c>
      <c r="H128" s="43">
        <f>_xlfn.XLOOKUP(A128,Class_Players!$A:$A,Class_Players!$F:$F,"")</f>
        <v>11406</v>
      </c>
      <c r="I128" s="44">
        <f t="shared" si="42"/>
        <v>0</v>
      </c>
      <c r="J128" s="43">
        <f t="shared" si="43"/>
        <v>0</v>
      </c>
      <c r="K128" s="44" cm="1">
        <f t="array" ref="K128">IF(D128="Gadget",_xlfn.IFS(I128&gt;=0.2,0.5,I128&gt;=0.1,0.35,I128&gt;=0.05,0.2,TRUE,0),IF(D128="Grenade",_xlfn.IFS(I128&gt;=0.2,1,I128&gt;=0.1,0.7,I128&gt;=0.05,0.4,TRUE,0),0))</f>
        <v>0</v>
      </c>
      <c r="L128" s="57">
        <f t="shared" ref="L128:L129" si="45">IF($K128=0,0,$K128 / SUMIFS($K:$K,$A:$A,$A128,$D:$D,"Grenade"))</f>
        <v>0</v>
      </c>
    </row>
    <row r="129" spans="1:12" ht="15" customHeight="1" x14ac:dyDescent="0.25">
      <c r="A129" s="42" t="str" cm="1">
        <f t="array" ref="A129">IFERROR(INDEX(_xlfn._xlws.FILTER(Class_Players!A:A,Class_Players!B:B="Recon"),QUOTIENT(ROW()-ROW($A$2),8)+1),"")</f>
        <v>Youngling Force Kin</v>
      </c>
      <c r="B129" s="42" t="str">
        <f>_xlfn.XLOOKUP(A129,Class_Players!$A:$A,Class_Players!$B:$B,"")</f>
        <v>Recon</v>
      </c>
      <c r="C129" s="38" t="str" cm="1">
        <f t="array" ref="C129">INDEX(Lookups!$C$2:$C$9,MOD(ROW()-ROW($B$2),ROWS(Lookups!$C$2:$C$9))+1)</f>
        <v>Throwing Knife</v>
      </c>
      <c r="D129" s="38" t="str">
        <f>_xlfn.XLOOKUP(C129,Analysis_Gadgets!$C:$C,Analysis_Gadgets!$B:$B)</f>
        <v>Grenade</v>
      </c>
      <c r="E129" s="43">
        <v>75</v>
      </c>
      <c r="F129" s="43">
        <f>_xlfn.XLOOKUP(A129,Class_Players!A:A,Class_Players!G:G)</f>
        <v>292</v>
      </c>
      <c r="G129" s="43">
        <f t="shared" si="41"/>
        <v>0.25684931506849318</v>
      </c>
      <c r="H129" s="43">
        <f>_xlfn.XLOOKUP(A129,Class_Players!$A:$A,Class_Players!$F:$F,"")</f>
        <v>11406</v>
      </c>
      <c r="I129" s="44">
        <f t="shared" si="42"/>
        <v>6.5754865860073643E-3</v>
      </c>
      <c r="J129" s="43">
        <f t="shared" si="43"/>
        <v>0</v>
      </c>
      <c r="K129" s="44" cm="1">
        <f t="array" ref="K129">IF(D129="Gadget",_xlfn.IFS(I129&gt;=0.2,0.5,I129&gt;=0.1,0.35,I129&gt;=0.05,0.2,TRUE,0),IF(D129="Grenade",_xlfn.IFS(I129&gt;=0.2,1,I129&gt;=0.1,0.7,I129&gt;=0.05,0.4,TRUE,0),0))</f>
        <v>0</v>
      </c>
      <c r="L129" s="57">
        <f t="shared" si="45"/>
        <v>0</v>
      </c>
    </row>
    <row r="130" spans="1:12" ht="15" customHeight="1" x14ac:dyDescent="0.25">
      <c r="A130" s="42" t="str" cm="1">
        <f t="array" ref="A130">IFERROR(INDEX(_xlfn._xlws.FILTER(Class_Players!A:A,Class_Players!B:B="Recon"),QUOTIENT(ROW()-ROW($A$2),8)+1),"")</f>
        <v>ikuzza</v>
      </c>
      <c r="B130" s="42" t="str">
        <f>_xlfn.XLOOKUP(A130,Class_Players!$A:$A,Class_Players!$B:$B,"")</f>
        <v>Recon</v>
      </c>
      <c r="C130" s="38" t="str" cm="1">
        <f t="array" ref="C130">INDEX(Lookups!$C$2:$C$9,MOD(ROW()-ROW($B$2),ROWS(Lookups!$C$2:$C$9))+1)</f>
        <v>Laser Designator</v>
      </c>
      <c r="D130" s="38" t="str">
        <f>_xlfn.XLOOKUP(C130,Analysis_Gadgets!$C:$C,Analysis_Gadgets!$B:$B)</f>
        <v>Gadget</v>
      </c>
      <c r="E130" s="43">
        <v>0</v>
      </c>
      <c r="F130" s="43">
        <f>_xlfn.XLOOKUP(A130,Class_Players!A:A,Class_Players!G:G)</f>
        <v>207</v>
      </c>
      <c r="G130" s="43">
        <f t="shared" ref="G130:G193" si="46">IF(F130=0,"",E130/(F130))</f>
        <v>0</v>
      </c>
      <c r="H130" s="43">
        <f>_xlfn.XLOOKUP(A130,Class_Players!$A:$A,Class_Players!$F:$F,"")</f>
        <v>11177</v>
      </c>
      <c r="I130" s="44">
        <f t="shared" ref="I130:I193" si="47">IF(H130=0,"",E130/H130)</f>
        <v>0</v>
      </c>
      <c r="J130" s="43">
        <f t="shared" ref="J130:J193" si="48">IF(I130&gt;=0.1,1,0)</f>
        <v>0</v>
      </c>
      <c r="K130" s="44" cm="1">
        <f t="array" ref="K130">IF(D130="Gadget",_xlfn.IFS(I130&gt;=0.2,0.5,I130&gt;=0.1,0.35,I130&gt;=0.05,0.2,TRUE,0),IF(D130="Grenade",_xlfn.IFS(I130&gt;=0.2,1,I130&gt;=0.1,0.7,I130&gt;=0.05,0.4,TRUE,0),0))</f>
        <v>0</v>
      </c>
      <c r="L130" s="57">
        <f t="shared" ref="L130:L135" si="49">IF($K130=0,0,$K130 / SUMIFS($K:$K,$A:$A,$A130,$D:$D,"Gadget"))</f>
        <v>0</v>
      </c>
    </row>
    <row r="131" spans="1:12" ht="15" customHeight="1" x14ac:dyDescent="0.25">
      <c r="A131" s="42" t="str" cm="1">
        <f t="array" ref="A131">IFERROR(INDEX(_xlfn._xlws.FILTER(Class_Players!A:A,Class_Players!B:B="Recon"),QUOTIENT(ROW()-ROW($A$2),8)+1),"")</f>
        <v>ikuzza</v>
      </c>
      <c r="B131" s="42" t="str">
        <f>_xlfn.XLOOKUP(A131,Class_Players!$A:$A,Class_Players!$B:$B,"")</f>
        <v>Recon</v>
      </c>
      <c r="C131" s="38" t="str" cm="1">
        <f t="array" ref="C131">INDEX(Lookups!$C$2:$C$9,MOD(ROW()-ROW($B$2),ROWS(Lookups!$C$2:$C$9))+1)</f>
        <v>Recon Drone</v>
      </c>
      <c r="D131" s="38" t="str">
        <f>_xlfn.XLOOKUP(C131,Analysis_Gadgets!$C:$C,Analysis_Gadgets!$B:$B)</f>
        <v>Gadget</v>
      </c>
      <c r="E131" s="43">
        <v>250</v>
      </c>
      <c r="F131" s="43">
        <f>_xlfn.XLOOKUP(A131,Class_Players!A:A,Class_Players!G:G)</f>
        <v>207</v>
      </c>
      <c r="G131" s="43">
        <f t="shared" si="46"/>
        <v>1.2077294685990339</v>
      </c>
      <c r="H131" s="43">
        <f>_xlfn.XLOOKUP(A131,Class_Players!$A:$A,Class_Players!$F:$F,"")</f>
        <v>11177</v>
      </c>
      <c r="I131" s="44">
        <f t="shared" si="47"/>
        <v>2.2367361546032031E-2</v>
      </c>
      <c r="J131" s="43">
        <f t="shared" si="48"/>
        <v>0</v>
      </c>
      <c r="K131" s="44" cm="1">
        <f t="array" ref="K131">IF(D131="Gadget",_xlfn.IFS(I131&gt;=0.2,0.5,I131&gt;=0.1,0.35,I131&gt;=0.05,0.2,TRUE,0),IF(D131="Grenade",_xlfn.IFS(I131&gt;=0.2,1,I131&gt;=0.1,0.7,I131&gt;=0.05,0.4,TRUE,0),0))</f>
        <v>0</v>
      </c>
      <c r="L131" s="57">
        <f t="shared" si="49"/>
        <v>0</v>
      </c>
    </row>
    <row r="132" spans="1:12" ht="15" customHeight="1" x14ac:dyDescent="0.25">
      <c r="A132" s="42" t="str" cm="1">
        <f t="array" ref="A132">IFERROR(INDEX(_xlfn._xlws.FILTER(Class_Players!A:A,Class_Players!B:B="Recon"),QUOTIENT(ROW()-ROW($A$2),8)+1),"")</f>
        <v>ikuzza</v>
      </c>
      <c r="B132" s="42" t="str">
        <f>_xlfn.XLOOKUP(A132,Class_Players!$A:$A,Class_Players!$B:$B,"")</f>
        <v>Recon</v>
      </c>
      <c r="C132" s="38" t="str" cm="1">
        <f t="array" ref="C132">INDEX(Lookups!$C$2:$C$9,MOD(ROW()-ROW($B$2),ROWS(Lookups!$C$2:$C$9))+1)</f>
        <v>Tracer Dart</v>
      </c>
      <c r="D132" s="38" t="str">
        <f>_xlfn.XLOOKUP(C132,Analysis_Gadgets!$C:$C,Analysis_Gadgets!$B:$B)</f>
        <v>Gadget</v>
      </c>
      <c r="E132" s="43">
        <v>0</v>
      </c>
      <c r="F132" s="43">
        <f>_xlfn.XLOOKUP(A132,Class_Players!A:A,Class_Players!G:G)</f>
        <v>207</v>
      </c>
      <c r="G132" s="43">
        <f t="shared" si="46"/>
        <v>0</v>
      </c>
      <c r="H132" s="43">
        <f>_xlfn.XLOOKUP(A132,Class_Players!$A:$A,Class_Players!$F:$F,"")</f>
        <v>11177</v>
      </c>
      <c r="I132" s="44">
        <f t="shared" si="47"/>
        <v>0</v>
      </c>
      <c r="J132" s="43">
        <f t="shared" si="48"/>
        <v>0</v>
      </c>
      <c r="K132" s="44" cm="1">
        <f t="array" ref="K132">IF(D132="Gadget",_xlfn.IFS(I132&gt;=0.2,0.5,I132&gt;=0.1,0.35,I132&gt;=0.05,0.2,TRUE,0),IF(D132="Grenade",_xlfn.IFS(I132&gt;=0.2,1,I132&gt;=0.1,0.7,I132&gt;=0.05,0.4,TRUE,0),0))</f>
        <v>0</v>
      </c>
      <c r="L132" s="57">
        <f t="shared" si="49"/>
        <v>0</v>
      </c>
    </row>
    <row r="133" spans="1:12" ht="15" customHeight="1" x14ac:dyDescent="0.25">
      <c r="A133" s="42" t="str" cm="1">
        <f t="array" ref="A133">IFERROR(INDEX(_xlfn._xlws.FILTER(Class_Players!A:A,Class_Players!B:B="Recon"),QUOTIENT(ROW()-ROW($A$2),8)+1),"")</f>
        <v>ikuzza</v>
      </c>
      <c r="B133" s="42" t="str">
        <f>_xlfn.XLOOKUP(A133,Class_Players!$A:$A,Class_Players!$B:$B,"")</f>
        <v>Recon</v>
      </c>
      <c r="C133" s="38" t="str" cm="1">
        <f t="array" ref="C133">INDEX(Lookups!$C$2:$C$9,MOD(ROW()-ROW($B$2),ROWS(Lookups!$C$2:$C$9))+1)</f>
        <v>M18A1 (Claymore)</v>
      </c>
      <c r="D133" s="38" t="str">
        <f>_xlfn.XLOOKUP(C133,Analysis_Gadgets!$C:$C,Analysis_Gadgets!$B:$B)</f>
        <v>Gadget</v>
      </c>
      <c r="E133" s="43">
        <v>8339</v>
      </c>
      <c r="F133" s="43">
        <f>_xlfn.XLOOKUP(A133,Class_Players!A:A,Class_Players!G:G)</f>
        <v>207</v>
      </c>
      <c r="G133" s="43">
        <f t="shared" si="46"/>
        <v>40.285024154589372</v>
      </c>
      <c r="H133" s="43">
        <f>_xlfn.XLOOKUP(A133,Class_Players!$A:$A,Class_Players!$F:$F,"")</f>
        <v>11177</v>
      </c>
      <c r="I133" s="44">
        <f t="shared" si="47"/>
        <v>0.74608571172944438</v>
      </c>
      <c r="J133" s="43">
        <f t="shared" si="48"/>
        <v>1</v>
      </c>
      <c r="K133" s="44" cm="1">
        <f t="array" ref="K133">IF(D133="Gadget",_xlfn.IFS(I133&gt;=0.2,0.5,I133&gt;=0.1,0.35,I133&gt;=0.05,0.2,TRUE,0),IF(D133="Grenade",_xlfn.IFS(I133&gt;=0.2,1,I133&gt;=0.1,0.7,I133&gt;=0.05,0.4,TRUE,0),0))</f>
        <v>0.5</v>
      </c>
      <c r="L133" s="57">
        <f t="shared" si="49"/>
        <v>0.5</v>
      </c>
    </row>
    <row r="134" spans="1:12" ht="15" customHeight="1" x14ac:dyDescent="0.25">
      <c r="A134" s="42" t="str" cm="1">
        <f t="array" ref="A134">IFERROR(INDEX(_xlfn._xlws.FILTER(Class_Players!A:A,Class_Players!B:B="Recon"),QUOTIENT(ROW()-ROW($A$2),8)+1),"")</f>
        <v>ikuzza</v>
      </c>
      <c r="B134" s="42" t="str">
        <f>_xlfn.XLOOKUP(A134,Class_Players!$A:$A,Class_Players!$B:$B,"")</f>
        <v>Recon</v>
      </c>
      <c r="C134" s="38" t="str" cm="1">
        <f t="array" ref="C134">INDEX(Lookups!$C$2:$C$9,MOD(ROW()-ROW($B$2),ROWS(Lookups!$C$2:$C$9))+1)</f>
        <v>Sniper Decoy</v>
      </c>
      <c r="D134" s="38" t="str">
        <f>_xlfn.XLOOKUP(C134,Analysis_Gadgets!$C:$C,Analysis_Gadgets!$B:$B)</f>
        <v>Gadget</v>
      </c>
      <c r="E134" s="43">
        <v>2</v>
      </c>
      <c r="F134" s="43">
        <f>_xlfn.XLOOKUP(A134,Class_Players!A:A,Class_Players!G:G)</f>
        <v>207</v>
      </c>
      <c r="G134" s="43">
        <f t="shared" si="46"/>
        <v>9.6618357487922701E-3</v>
      </c>
      <c r="H134" s="43">
        <f>_xlfn.XLOOKUP(A134,Class_Players!$A:$A,Class_Players!$F:$F,"")</f>
        <v>11177</v>
      </c>
      <c r="I134" s="44">
        <f t="shared" si="47"/>
        <v>1.7893889236825623E-4</v>
      </c>
      <c r="J134" s="43">
        <f t="shared" si="48"/>
        <v>0</v>
      </c>
      <c r="K134" s="44" cm="1">
        <f t="array" ref="K134">IF(D134="Gadget",_xlfn.IFS(I134&gt;=0.2,0.5,I134&gt;=0.1,0.35,I134&gt;=0.05,0.2,TRUE,0),IF(D134="Grenade",_xlfn.IFS(I134&gt;=0.2,1,I134&gt;=0.1,0.7,I134&gt;=0.05,0.4,TRUE,0),0))</f>
        <v>0</v>
      </c>
      <c r="L134" s="57">
        <f t="shared" si="49"/>
        <v>0</v>
      </c>
    </row>
    <row r="135" spans="1:12" ht="15" customHeight="1" x14ac:dyDescent="0.25">
      <c r="A135" s="42" t="str" cm="1">
        <f t="array" ref="A135">IFERROR(INDEX(_xlfn._xlws.FILTER(Class_Players!A:A,Class_Players!B:B="Recon"),QUOTIENT(ROW()-ROW($A$2),8)+1),"")</f>
        <v>ikuzza</v>
      </c>
      <c r="B135" s="42" t="str">
        <f>_xlfn.XLOOKUP(A135,Class_Players!$A:$A,Class_Players!$B:$B,"")</f>
        <v>Recon</v>
      </c>
      <c r="C135" s="38" t="str" cm="1">
        <f t="array" ref="C135">INDEX(Lookups!$C$2:$C$9,MOD(ROW()-ROW($B$2),ROWS(Lookups!$C$2:$C$9))+1)</f>
        <v>C-4 Explosives</v>
      </c>
      <c r="D135" s="38" t="str">
        <f>_xlfn.XLOOKUP(C135,Analysis_Gadgets!$C:$C,Analysis_Gadgets!$B:$B)</f>
        <v>Gadget</v>
      </c>
      <c r="E135" s="43">
        <v>3452</v>
      </c>
      <c r="F135" s="43">
        <f>_xlfn.XLOOKUP(A135,Class_Players!A:A,Class_Players!G:G)</f>
        <v>207</v>
      </c>
      <c r="G135" s="43">
        <f t="shared" si="46"/>
        <v>16.676328502415458</v>
      </c>
      <c r="H135" s="43">
        <f>_xlfn.XLOOKUP(A135,Class_Players!$A:$A,Class_Players!$F:$F,"")</f>
        <v>11177</v>
      </c>
      <c r="I135" s="44">
        <f t="shared" si="47"/>
        <v>0.30884852822761028</v>
      </c>
      <c r="J135" s="43">
        <f t="shared" si="48"/>
        <v>1</v>
      </c>
      <c r="K135" s="44" cm="1">
        <f t="array" ref="K135">IF(D135="Gadget",_xlfn.IFS(I135&gt;=0.2,0.5,I135&gt;=0.1,0.35,I135&gt;=0.05,0.2,TRUE,0),IF(D135="Grenade",_xlfn.IFS(I135&gt;=0.2,1,I135&gt;=0.1,0.7,I135&gt;=0.05,0.4,TRUE,0),0))</f>
        <v>0.5</v>
      </c>
      <c r="L135" s="57">
        <f t="shared" si="49"/>
        <v>0.5</v>
      </c>
    </row>
    <row r="136" spans="1:12" ht="15" customHeight="1" x14ac:dyDescent="0.25">
      <c r="A136" s="42" t="str" cm="1">
        <f t="array" ref="A136">IFERROR(INDEX(_xlfn._xlws.FILTER(Class_Players!A:A,Class_Players!B:B="Recon"),QUOTIENT(ROW()-ROW($A$2),8)+1),"")</f>
        <v>ikuzza</v>
      </c>
      <c r="B136" s="42" t="str">
        <f>_xlfn.XLOOKUP(A136,Class_Players!$A:$A,Class_Players!$B:$B,"")</f>
        <v>Recon</v>
      </c>
      <c r="C136" s="38" t="str" cm="1">
        <f t="array" ref="C136">INDEX(Lookups!$C$2:$C$9,MOD(ROW()-ROW($B$2),ROWS(Lookups!$C$2:$C$9))+1)</f>
        <v>Proximity Detector</v>
      </c>
      <c r="D136" s="38" t="str">
        <f>_xlfn.XLOOKUP(C136,Analysis_Gadgets!$C:$C,Analysis_Gadgets!$B:$B)</f>
        <v>Grenade</v>
      </c>
      <c r="E136" s="43">
        <v>27</v>
      </c>
      <c r="F136" s="43">
        <f>_xlfn.XLOOKUP(A136,Class_Players!A:A,Class_Players!G:G)</f>
        <v>207</v>
      </c>
      <c r="G136" s="43">
        <f t="shared" si="46"/>
        <v>0.13043478260869565</v>
      </c>
      <c r="H136" s="43">
        <f>_xlfn.XLOOKUP(A136,Class_Players!$A:$A,Class_Players!$F:$F,"")</f>
        <v>11177</v>
      </c>
      <c r="I136" s="44">
        <f t="shared" si="47"/>
        <v>2.4156750469714592E-3</v>
      </c>
      <c r="J136" s="43">
        <f t="shared" si="48"/>
        <v>0</v>
      </c>
      <c r="K136" s="44" cm="1">
        <f t="array" ref="K136">IF(D136="Gadget",_xlfn.IFS(I136&gt;=0.2,0.5,I136&gt;=0.1,0.35,I136&gt;=0.05,0.2,TRUE,0),IF(D136="Grenade",_xlfn.IFS(I136&gt;=0.2,1,I136&gt;=0.1,0.7,I136&gt;=0.05,0.4,TRUE,0),0))</f>
        <v>0</v>
      </c>
      <c r="L136" s="57">
        <f t="shared" ref="L136:L137" si="50">IF($K136=0,0,$K136 / SUMIFS($K:$K,$A:$A,$A136,$D:$D,"Grenade"))</f>
        <v>0</v>
      </c>
    </row>
    <row r="137" spans="1:12" ht="15" customHeight="1" x14ac:dyDescent="0.25">
      <c r="A137" s="42" t="str" cm="1">
        <f t="array" ref="A137">IFERROR(INDEX(_xlfn._xlws.FILTER(Class_Players!A:A,Class_Players!B:B="Recon"),QUOTIENT(ROW()-ROW($A$2),8)+1),"")</f>
        <v>ikuzza</v>
      </c>
      <c r="B137" s="42" t="str">
        <f>_xlfn.XLOOKUP(A137,Class_Players!$A:$A,Class_Players!$B:$B,"")</f>
        <v>Recon</v>
      </c>
      <c r="C137" s="38" t="str" cm="1">
        <f t="array" ref="C137">INDEX(Lookups!$C$2:$C$9,MOD(ROW()-ROW($B$2),ROWS(Lookups!$C$2:$C$9))+1)</f>
        <v>Throwing Knife</v>
      </c>
      <c r="D137" s="38" t="str">
        <f>_xlfn.XLOOKUP(C137,Analysis_Gadgets!$C:$C,Analysis_Gadgets!$B:$B)</f>
        <v>Grenade</v>
      </c>
      <c r="E137" s="43">
        <v>0</v>
      </c>
      <c r="F137" s="43">
        <f>_xlfn.XLOOKUP(A137,Class_Players!A:A,Class_Players!G:G)</f>
        <v>207</v>
      </c>
      <c r="G137" s="43">
        <f t="shared" si="46"/>
        <v>0</v>
      </c>
      <c r="H137" s="43">
        <f>_xlfn.XLOOKUP(A137,Class_Players!$A:$A,Class_Players!$F:$F,"")</f>
        <v>11177</v>
      </c>
      <c r="I137" s="44">
        <f t="shared" si="47"/>
        <v>0</v>
      </c>
      <c r="J137" s="43">
        <f t="shared" si="48"/>
        <v>0</v>
      </c>
      <c r="K137" s="44" cm="1">
        <f t="array" ref="K137">IF(D137="Gadget",_xlfn.IFS(I137&gt;=0.2,0.5,I137&gt;=0.1,0.35,I137&gt;=0.05,0.2,TRUE,0),IF(D137="Grenade",_xlfn.IFS(I137&gt;=0.2,1,I137&gt;=0.1,0.7,I137&gt;=0.05,0.4,TRUE,0),0))</f>
        <v>0</v>
      </c>
      <c r="L137" s="57">
        <f t="shared" si="50"/>
        <v>0</v>
      </c>
    </row>
    <row r="138" spans="1:12" ht="15" customHeight="1" x14ac:dyDescent="0.25">
      <c r="A138" s="42" t="str" cm="1">
        <f t="array" ref="A138">IFERROR(INDEX(_xlfn._xlws.FILTER(Class_Players!A:A,Class_Players!B:B="Recon"),QUOTIENT(ROW()-ROW($A$2),8)+1),"")</f>
        <v>L10nhear</v>
      </c>
      <c r="B138" s="42" t="str">
        <f>_xlfn.XLOOKUP(A138,Class_Players!$A:$A,Class_Players!$B:$B,"")</f>
        <v>Recon</v>
      </c>
      <c r="C138" s="38" t="str" cm="1">
        <f t="array" ref="C138">INDEX(Lookups!$C$2:$C$9,MOD(ROW()-ROW($B$2),ROWS(Lookups!$C$2:$C$9))+1)</f>
        <v>Laser Designator</v>
      </c>
      <c r="D138" s="38" t="str">
        <f>_xlfn.XLOOKUP(C138,Analysis_Gadgets!$C:$C,Analysis_Gadgets!$B:$B)</f>
        <v>Gadget</v>
      </c>
      <c r="E138" s="43">
        <v>7</v>
      </c>
      <c r="F138" s="43">
        <f>_xlfn.XLOOKUP(A138,Class_Players!A:A,Class_Players!G:G)</f>
        <v>155</v>
      </c>
      <c r="G138" s="43">
        <f t="shared" si="46"/>
        <v>4.5161290322580643E-2</v>
      </c>
      <c r="H138" s="43">
        <f>_xlfn.XLOOKUP(A138,Class_Players!$A:$A,Class_Players!$F:$F,"")</f>
        <v>13291</v>
      </c>
      <c r="I138" s="44">
        <f t="shared" si="47"/>
        <v>5.2667218418478673E-4</v>
      </c>
      <c r="J138" s="43">
        <f t="shared" si="48"/>
        <v>0</v>
      </c>
      <c r="K138" s="44" cm="1">
        <f t="array" ref="K138">IF(D138="Gadget",_xlfn.IFS(I138&gt;=0.2,0.5,I138&gt;=0.1,0.35,I138&gt;=0.05,0.2,TRUE,0),IF(D138="Grenade",_xlfn.IFS(I138&gt;=0.2,1,I138&gt;=0.1,0.7,I138&gt;=0.05,0.4,TRUE,0),0))</f>
        <v>0</v>
      </c>
      <c r="L138" s="57">
        <f t="shared" ref="L138:L143" si="51">IF($K138=0,0,$K138 / SUMIFS($K:$K,$A:$A,$A138,$D:$D,"Gadget"))</f>
        <v>0</v>
      </c>
    </row>
    <row r="139" spans="1:12" ht="15" customHeight="1" x14ac:dyDescent="0.25">
      <c r="A139" s="42" t="str" cm="1">
        <f t="array" ref="A139">IFERROR(INDEX(_xlfn._xlws.FILTER(Class_Players!A:A,Class_Players!B:B="Recon"),QUOTIENT(ROW()-ROW($A$2),8)+1),"")</f>
        <v>L10nhear</v>
      </c>
      <c r="B139" s="42" t="str">
        <f>_xlfn.XLOOKUP(A139,Class_Players!$A:$A,Class_Players!$B:$B,"")</f>
        <v>Recon</v>
      </c>
      <c r="C139" s="38" t="str" cm="1">
        <f t="array" ref="C139">INDEX(Lookups!$C$2:$C$9,MOD(ROW()-ROW($B$2),ROWS(Lookups!$C$2:$C$9))+1)</f>
        <v>Recon Drone</v>
      </c>
      <c r="D139" s="38" t="str">
        <f>_xlfn.XLOOKUP(C139,Analysis_Gadgets!$C:$C,Analysis_Gadgets!$B:$B)</f>
        <v>Gadget</v>
      </c>
      <c r="E139" s="43">
        <v>147</v>
      </c>
      <c r="F139" s="43">
        <f>_xlfn.XLOOKUP(A139,Class_Players!A:A,Class_Players!G:G)</f>
        <v>155</v>
      </c>
      <c r="G139" s="43">
        <f t="shared" si="46"/>
        <v>0.94838709677419353</v>
      </c>
      <c r="H139" s="43">
        <f>_xlfn.XLOOKUP(A139,Class_Players!$A:$A,Class_Players!$F:$F,"")</f>
        <v>13291</v>
      </c>
      <c r="I139" s="44">
        <f t="shared" si="47"/>
        <v>1.1060115867880521E-2</v>
      </c>
      <c r="J139" s="43">
        <f t="shared" si="48"/>
        <v>0</v>
      </c>
      <c r="K139" s="44" cm="1">
        <f t="array" ref="K139">IF(D139="Gadget",_xlfn.IFS(I139&gt;=0.2,0.5,I139&gt;=0.1,0.35,I139&gt;=0.05,0.2,TRUE,0),IF(D139="Grenade",_xlfn.IFS(I139&gt;=0.2,1,I139&gt;=0.1,0.7,I139&gt;=0.05,0.4,TRUE,0),0))</f>
        <v>0</v>
      </c>
      <c r="L139" s="57">
        <f t="shared" si="51"/>
        <v>0</v>
      </c>
    </row>
    <row r="140" spans="1:12" ht="15" customHeight="1" x14ac:dyDescent="0.25">
      <c r="A140" s="42" t="str" cm="1">
        <f t="array" ref="A140">IFERROR(INDEX(_xlfn._xlws.FILTER(Class_Players!A:A,Class_Players!B:B="Recon"),QUOTIENT(ROW()-ROW($A$2),8)+1),"")</f>
        <v>L10nhear</v>
      </c>
      <c r="B140" s="42" t="str">
        <f>_xlfn.XLOOKUP(A140,Class_Players!$A:$A,Class_Players!$B:$B,"")</f>
        <v>Recon</v>
      </c>
      <c r="C140" s="38" t="str" cm="1">
        <f t="array" ref="C140">INDEX(Lookups!$C$2:$C$9,MOD(ROW()-ROW($B$2),ROWS(Lookups!$C$2:$C$9))+1)</f>
        <v>Tracer Dart</v>
      </c>
      <c r="D140" s="38" t="str">
        <f>_xlfn.XLOOKUP(C140,Analysis_Gadgets!$C:$C,Analysis_Gadgets!$B:$B)</f>
        <v>Gadget</v>
      </c>
      <c r="E140" s="43">
        <v>0</v>
      </c>
      <c r="F140" s="43">
        <f>_xlfn.XLOOKUP(A140,Class_Players!A:A,Class_Players!G:G)</f>
        <v>155</v>
      </c>
      <c r="G140" s="43">
        <f t="shared" si="46"/>
        <v>0</v>
      </c>
      <c r="H140" s="43">
        <f>_xlfn.XLOOKUP(A140,Class_Players!$A:$A,Class_Players!$F:$F,"")</f>
        <v>13291</v>
      </c>
      <c r="I140" s="44">
        <f t="shared" si="47"/>
        <v>0</v>
      </c>
      <c r="J140" s="43">
        <f t="shared" si="48"/>
        <v>0</v>
      </c>
      <c r="K140" s="44" cm="1">
        <f t="array" ref="K140">IF(D140="Gadget",_xlfn.IFS(I140&gt;=0.2,0.5,I140&gt;=0.1,0.35,I140&gt;=0.05,0.2,TRUE,0),IF(D140="Grenade",_xlfn.IFS(I140&gt;=0.2,1,I140&gt;=0.1,0.7,I140&gt;=0.05,0.4,TRUE,0),0))</f>
        <v>0</v>
      </c>
      <c r="L140" s="57">
        <f t="shared" si="51"/>
        <v>0</v>
      </c>
    </row>
    <row r="141" spans="1:12" ht="15" customHeight="1" x14ac:dyDescent="0.25">
      <c r="A141" s="42" t="str" cm="1">
        <f t="array" ref="A141">IFERROR(INDEX(_xlfn._xlws.FILTER(Class_Players!A:A,Class_Players!B:B="Recon"),QUOTIENT(ROW()-ROW($A$2),8)+1),"")</f>
        <v>L10nhear</v>
      </c>
      <c r="B141" s="42" t="str">
        <f>_xlfn.XLOOKUP(A141,Class_Players!$A:$A,Class_Players!$B:$B,"")</f>
        <v>Recon</v>
      </c>
      <c r="C141" s="38" t="str" cm="1">
        <f t="array" ref="C141">INDEX(Lookups!$C$2:$C$9,MOD(ROW()-ROW($B$2),ROWS(Lookups!$C$2:$C$9))+1)</f>
        <v>M18A1 (Claymore)</v>
      </c>
      <c r="D141" s="38" t="str">
        <f>_xlfn.XLOOKUP(C141,Analysis_Gadgets!$C:$C,Analysis_Gadgets!$B:$B)</f>
        <v>Gadget</v>
      </c>
      <c r="E141" s="43">
        <v>3306</v>
      </c>
      <c r="F141" s="43">
        <f>_xlfn.XLOOKUP(A141,Class_Players!A:A,Class_Players!G:G)</f>
        <v>155</v>
      </c>
      <c r="G141" s="43">
        <f t="shared" si="46"/>
        <v>21.329032258064515</v>
      </c>
      <c r="H141" s="43">
        <f>_xlfn.XLOOKUP(A141,Class_Players!$A:$A,Class_Players!$F:$F,"")</f>
        <v>13291</v>
      </c>
      <c r="I141" s="44">
        <f t="shared" si="47"/>
        <v>0.24873974870212925</v>
      </c>
      <c r="J141" s="43">
        <f t="shared" si="48"/>
        <v>1</v>
      </c>
      <c r="K141" s="44" cm="1">
        <f t="array" ref="K141">IF(D141="Gadget",_xlfn.IFS(I141&gt;=0.2,0.5,I141&gt;=0.1,0.35,I141&gt;=0.05,0.2,TRUE,0),IF(D141="Grenade",_xlfn.IFS(I141&gt;=0.2,1,I141&gt;=0.1,0.7,I141&gt;=0.05,0.4,TRUE,0),0))</f>
        <v>0.5</v>
      </c>
      <c r="L141" s="57">
        <f t="shared" si="51"/>
        <v>0.58823529411764708</v>
      </c>
    </row>
    <row r="142" spans="1:12" ht="15" customHeight="1" x14ac:dyDescent="0.25">
      <c r="A142" s="42" t="str" cm="1">
        <f t="array" ref="A142">IFERROR(INDEX(_xlfn._xlws.FILTER(Class_Players!A:A,Class_Players!B:B="Recon"),QUOTIENT(ROW()-ROW($A$2),8)+1),"")</f>
        <v>L10nhear</v>
      </c>
      <c r="B142" s="42" t="str">
        <f>_xlfn.XLOOKUP(A142,Class_Players!$A:$A,Class_Players!$B:$B,"")</f>
        <v>Recon</v>
      </c>
      <c r="C142" s="38" t="str" cm="1">
        <f t="array" ref="C142">INDEX(Lookups!$C$2:$C$9,MOD(ROW()-ROW($B$2),ROWS(Lookups!$C$2:$C$9))+1)</f>
        <v>Sniper Decoy</v>
      </c>
      <c r="D142" s="38" t="str">
        <f>_xlfn.XLOOKUP(C142,Analysis_Gadgets!$C:$C,Analysis_Gadgets!$B:$B)</f>
        <v>Gadget</v>
      </c>
      <c r="E142" s="43">
        <v>14</v>
      </c>
      <c r="F142" s="43">
        <f>_xlfn.XLOOKUP(A142,Class_Players!A:A,Class_Players!G:G)</f>
        <v>155</v>
      </c>
      <c r="G142" s="43">
        <f t="shared" si="46"/>
        <v>9.0322580645161285E-2</v>
      </c>
      <c r="H142" s="43">
        <f>_xlfn.XLOOKUP(A142,Class_Players!$A:$A,Class_Players!$F:$F,"")</f>
        <v>13291</v>
      </c>
      <c r="I142" s="44">
        <f t="shared" si="47"/>
        <v>1.0533443683695735E-3</v>
      </c>
      <c r="J142" s="43">
        <f t="shared" si="48"/>
        <v>0</v>
      </c>
      <c r="K142" s="44" cm="1">
        <f t="array" ref="K142">IF(D142="Gadget",_xlfn.IFS(I142&gt;=0.2,0.5,I142&gt;=0.1,0.35,I142&gt;=0.05,0.2,TRUE,0),IF(D142="Grenade",_xlfn.IFS(I142&gt;=0.2,1,I142&gt;=0.1,0.7,I142&gt;=0.05,0.4,TRUE,0),0))</f>
        <v>0</v>
      </c>
      <c r="L142" s="57">
        <f t="shared" si="51"/>
        <v>0</v>
      </c>
    </row>
    <row r="143" spans="1:12" ht="15" customHeight="1" x14ac:dyDescent="0.25">
      <c r="A143" s="42" t="str" cm="1">
        <f t="array" ref="A143">IFERROR(INDEX(_xlfn._xlws.FILTER(Class_Players!A:A,Class_Players!B:B="Recon"),QUOTIENT(ROW()-ROW($A$2),8)+1),"")</f>
        <v>L10nhear</v>
      </c>
      <c r="B143" s="42" t="str">
        <f>_xlfn.XLOOKUP(A143,Class_Players!$A:$A,Class_Players!$B:$B,"")</f>
        <v>Recon</v>
      </c>
      <c r="C143" s="38" t="str" cm="1">
        <f t="array" ref="C143">INDEX(Lookups!$C$2:$C$9,MOD(ROW()-ROW($B$2),ROWS(Lookups!$C$2:$C$9))+1)</f>
        <v>C-4 Explosives</v>
      </c>
      <c r="D143" s="38" t="str">
        <f>_xlfn.XLOOKUP(C143,Analysis_Gadgets!$C:$C,Analysis_Gadgets!$B:$B)</f>
        <v>Gadget</v>
      </c>
      <c r="E143" s="43">
        <v>2656</v>
      </c>
      <c r="F143" s="43">
        <f>_xlfn.XLOOKUP(A143,Class_Players!A:A,Class_Players!G:G)</f>
        <v>155</v>
      </c>
      <c r="G143" s="43">
        <f t="shared" si="46"/>
        <v>17.135483870967743</v>
      </c>
      <c r="H143" s="43">
        <f>_xlfn.XLOOKUP(A143,Class_Players!$A:$A,Class_Players!$F:$F,"")</f>
        <v>13291</v>
      </c>
      <c r="I143" s="44">
        <f t="shared" si="47"/>
        <v>0.19983447445639907</v>
      </c>
      <c r="J143" s="43">
        <f t="shared" si="48"/>
        <v>1</v>
      </c>
      <c r="K143" s="44" cm="1">
        <f t="array" ref="K143">IF(D143="Gadget",_xlfn.IFS(I143&gt;=0.2,0.5,I143&gt;=0.1,0.35,I143&gt;=0.05,0.2,TRUE,0),IF(D143="Grenade",_xlfn.IFS(I143&gt;=0.2,1,I143&gt;=0.1,0.7,I143&gt;=0.05,0.4,TRUE,0),0))</f>
        <v>0.35</v>
      </c>
      <c r="L143" s="57">
        <f t="shared" si="51"/>
        <v>0.41176470588235292</v>
      </c>
    </row>
    <row r="144" spans="1:12" ht="15" customHeight="1" x14ac:dyDescent="0.25">
      <c r="A144" s="42" t="str" cm="1">
        <f t="array" ref="A144">IFERROR(INDEX(_xlfn._xlws.FILTER(Class_Players!A:A,Class_Players!B:B="Recon"),QUOTIENT(ROW()-ROW($A$2),8)+1),"")</f>
        <v>L10nhear</v>
      </c>
      <c r="B144" s="42" t="str">
        <f>_xlfn.XLOOKUP(A144,Class_Players!$A:$A,Class_Players!$B:$B,"")</f>
        <v>Recon</v>
      </c>
      <c r="C144" s="38" t="str" cm="1">
        <f t="array" ref="C144">INDEX(Lookups!$C$2:$C$9,MOD(ROW()-ROW($B$2),ROWS(Lookups!$C$2:$C$9))+1)</f>
        <v>Proximity Detector</v>
      </c>
      <c r="D144" s="38" t="str">
        <f>_xlfn.XLOOKUP(C144,Analysis_Gadgets!$C:$C,Analysis_Gadgets!$B:$B)</f>
        <v>Grenade</v>
      </c>
      <c r="E144" s="43">
        <v>4</v>
      </c>
      <c r="F144" s="43">
        <f>_xlfn.XLOOKUP(A144,Class_Players!A:A,Class_Players!G:G)</f>
        <v>155</v>
      </c>
      <c r="G144" s="43">
        <f t="shared" si="46"/>
        <v>2.5806451612903226E-2</v>
      </c>
      <c r="H144" s="43">
        <f>_xlfn.XLOOKUP(A144,Class_Players!$A:$A,Class_Players!$F:$F,"")</f>
        <v>13291</v>
      </c>
      <c r="I144" s="44">
        <f t="shared" si="47"/>
        <v>3.0095553381987811E-4</v>
      </c>
      <c r="J144" s="43">
        <f t="shared" si="48"/>
        <v>0</v>
      </c>
      <c r="K144" s="44" cm="1">
        <f t="array" ref="K144">IF(D144="Gadget",_xlfn.IFS(I144&gt;=0.2,0.5,I144&gt;=0.1,0.35,I144&gt;=0.05,0.2,TRUE,0),IF(D144="Grenade",_xlfn.IFS(I144&gt;=0.2,1,I144&gt;=0.1,0.7,I144&gt;=0.05,0.4,TRUE,0),0))</f>
        <v>0</v>
      </c>
      <c r="L144" s="57">
        <f t="shared" ref="L144:L145" si="52">IF($K144=0,0,$K144 / SUMIFS($K:$K,$A:$A,$A144,$D:$D,"Grenade"))</f>
        <v>0</v>
      </c>
    </row>
    <row r="145" spans="1:12" ht="15" customHeight="1" x14ac:dyDescent="0.25">
      <c r="A145" s="42" t="str" cm="1">
        <f t="array" ref="A145">IFERROR(INDEX(_xlfn._xlws.FILTER(Class_Players!A:A,Class_Players!B:B="Recon"),QUOTIENT(ROW()-ROW($A$2),8)+1),"")</f>
        <v>L10nhear</v>
      </c>
      <c r="B145" s="42" t="str">
        <f>_xlfn.XLOOKUP(A145,Class_Players!$A:$A,Class_Players!$B:$B,"")</f>
        <v>Recon</v>
      </c>
      <c r="C145" s="38" t="str" cm="1">
        <f t="array" ref="C145">INDEX(Lookups!$C$2:$C$9,MOD(ROW()-ROW($B$2),ROWS(Lookups!$C$2:$C$9))+1)</f>
        <v>Throwing Knife</v>
      </c>
      <c r="D145" s="38" t="str">
        <f>_xlfn.XLOOKUP(C145,Analysis_Gadgets!$C:$C,Analysis_Gadgets!$B:$B)</f>
        <v>Grenade</v>
      </c>
      <c r="E145" s="43">
        <v>0</v>
      </c>
      <c r="F145" s="43">
        <f>_xlfn.XLOOKUP(A145,Class_Players!A:A,Class_Players!G:G)</f>
        <v>155</v>
      </c>
      <c r="G145" s="43">
        <f t="shared" si="46"/>
        <v>0</v>
      </c>
      <c r="H145" s="43">
        <f>_xlfn.XLOOKUP(A145,Class_Players!$A:$A,Class_Players!$F:$F,"")</f>
        <v>13291</v>
      </c>
      <c r="I145" s="44">
        <f t="shared" si="47"/>
        <v>0</v>
      </c>
      <c r="J145" s="43">
        <f t="shared" si="48"/>
        <v>0</v>
      </c>
      <c r="K145" s="44" cm="1">
        <f t="array" ref="K145">IF(D145="Gadget",_xlfn.IFS(I145&gt;=0.2,0.5,I145&gt;=0.1,0.35,I145&gt;=0.05,0.2,TRUE,0),IF(D145="Grenade",_xlfn.IFS(I145&gt;=0.2,1,I145&gt;=0.1,0.7,I145&gt;=0.05,0.4,TRUE,0),0))</f>
        <v>0</v>
      </c>
      <c r="L145" s="57">
        <f t="shared" si="52"/>
        <v>0</v>
      </c>
    </row>
    <row r="146" spans="1:12" ht="15" customHeight="1" x14ac:dyDescent="0.25">
      <c r="A146" s="42" t="str" cm="1">
        <f t="array" ref="A146">IFERROR(INDEX(_xlfn._xlws.FILTER(Class_Players!A:A,Class_Players!B:B="Recon"),QUOTIENT(ROW()-ROW($A$2),8)+1),"")</f>
        <v>CAP Mifune</v>
      </c>
      <c r="B146" s="42" t="str">
        <f>_xlfn.XLOOKUP(A146,Class_Players!$A:$A,Class_Players!$B:$B,"")</f>
        <v>Recon</v>
      </c>
      <c r="C146" s="38" t="str" cm="1">
        <f t="array" ref="C146">INDEX(Lookups!$C$2:$C$9,MOD(ROW()-ROW($B$2),ROWS(Lookups!$C$2:$C$9))+1)</f>
        <v>Laser Designator</v>
      </c>
      <c r="D146" s="38" t="str">
        <f>_xlfn.XLOOKUP(C146,Analysis_Gadgets!$C:$C,Analysis_Gadgets!$B:$B)</f>
        <v>Gadget</v>
      </c>
      <c r="E146" s="43">
        <v>6</v>
      </c>
      <c r="F146" s="43">
        <f>_xlfn.XLOOKUP(A146,Class_Players!A:A,Class_Players!G:G)</f>
        <v>223</v>
      </c>
      <c r="G146" s="43">
        <f t="shared" si="46"/>
        <v>2.6905829596412557E-2</v>
      </c>
      <c r="H146" s="43">
        <f>_xlfn.XLOOKUP(A146,Class_Players!$A:$A,Class_Players!$F:$F,"")</f>
        <v>11021</v>
      </c>
      <c r="I146" s="44">
        <f t="shared" si="47"/>
        <v>5.4441520733145812E-4</v>
      </c>
      <c r="J146" s="43">
        <f t="shared" si="48"/>
        <v>0</v>
      </c>
      <c r="K146" s="44" cm="1">
        <f t="array" ref="K146">IF(D146="Gadget",_xlfn.IFS(I146&gt;=0.2,0.5,I146&gt;=0.1,0.35,I146&gt;=0.05,0.2,TRUE,0),IF(D146="Grenade",_xlfn.IFS(I146&gt;=0.2,1,I146&gt;=0.1,0.7,I146&gt;=0.05,0.4,TRUE,0),0))</f>
        <v>0</v>
      </c>
      <c r="L146" s="57">
        <f t="shared" ref="L146:L151" si="53">IF($K146=0,0,$K146 / SUMIFS($K:$K,$A:$A,$A146,$D:$D,"Gadget"))</f>
        <v>0</v>
      </c>
    </row>
    <row r="147" spans="1:12" ht="15" customHeight="1" x14ac:dyDescent="0.25">
      <c r="A147" s="42" t="str" cm="1">
        <f t="array" ref="A147">IFERROR(INDEX(_xlfn._xlws.FILTER(Class_Players!A:A,Class_Players!B:B="Recon"),QUOTIENT(ROW()-ROW($A$2),8)+1),"")</f>
        <v>CAP Mifune</v>
      </c>
      <c r="B147" s="42" t="str">
        <f>_xlfn.XLOOKUP(A147,Class_Players!$A:$A,Class_Players!$B:$B,"")</f>
        <v>Recon</v>
      </c>
      <c r="C147" s="38" t="str" cm="1">
        <f t="array" ref="C147">INDEX(Lookups!$C$2:$C$9,MOD(ROW()-ROW($B$2),ROWS(Lookups!$C$2:$C$9))+1)</f>
        <v>Recon Drone</v>
      </c>
      <c r="D147" s="38" t="str">
        <f>_xlfn.XLOOKUP(C147,Analysis_Gadgets!$C:$C,Analysis_Gadgets!$B:$B)</f>
        <v>Gadget</v>
      </c>
      <c r="E147" s="43">
        <v>601</v>
      </c>
      <c r="F147" s="43">
        <f>_xlfn.XLOOKUP(A147,Class_Players!A:A,Class_Players!G:G)</f>
        <v>223</v>
      </c>
      <c r="G147" s="43">
        <f t="shared" si="46"/>
        <v>2.695067264573991</v>
      </c>
      <c r="H147" s="43">
        <f>_xlfn.XLOOKUP(A147,Class_Players!$A:$A,Class_Players!$F:$F,"")</f>
        <v>11021</v>
      </c>
      <c r="I147" s="44">
        <f t="shared" si="47"/>
        <v>5.453225660103439E-2</v>
      </c>
      <c r="J147" s="43">
        <f t="shared" si="48"/>
        <v>0</v>
      </c>
      <c r="K147" s="44" cm="1">
        <f t="array" ref="K147">IF(D147="Gadget",_xlfn.IFS(I147&gt;=0.2,0.5,I147&gt;=0.1,0.35,I147&gt;=0.05,0.2,TRUE,0),IF(D147="Grenade",_xlfn.IFS(I147&gt;=0.2,1,I147&gt;=0.1,0.7,I147&gt;=0.05,0.4,TRUE,0),0))</f>
        <v>0.2</v>
      </c>
      <c r="L147" s="57">
        <f t="shared" si="53"/>
        <v>0.28571428571428575</v>
      </c>
    </row>
    <row r="148" spans="1:12" ht="15" customHeight="1" x14ac:dyDescent="0.25">
      <c r="A148" s="42" t="str" cm="1">
        <f t="array" ref="A148">IFERROR(INDEX(_xlfn._xlws.FILTER(Class_Players!A:A,Class_Players!B:B="Recon"),QUOTIENT(ROW()-ROW($A$2),8)+1),"")</f>
        <v>CAP Mifune</v>
      </c>
      <c r="B148" s="42" t="str">
        <f>_xlfn.XLOOKUP(A148,Class_Players!$A:$A,Class_Players!$B:$B,"")</f>
        <v>Recon</v>
      </c>
      <c r="C148" s="38" t="str" cm="1">
        <f t="array" ref="C148">INDEX(Lookups!$C$2:$C$9,MOD(ROW()-ROW($B$2),ROWS(Lookups!$C$2:$C$9))+1)</f>
        <v>Tracer Dart</v>
      </c>
      <c r="D148" s="38" t="str">
        <f>_xlfn.XLOOKUP(C148,Analysis_Gadgets!$C:$C,Analysis_Gadgets!$B:$B)</f>
        <v>Gadget</v>
      </c>
      <c r="E148" s="43">
        <v>101</v>
      </c>
      <c r="F148" s="43">
        <f>_xlfn.XLOOKUP(A148,Class_Players!A:A,Class_Players!G:G)</f>
        <v>223</v>
      </c>
      <c r="G148" s="43">
        <f t="shared" si="46"/>
        <v>0.452914798206278</v>
      </c>
      <c r="H148" s="43">
        <f>_xlfn.XLOOKUP(A148,Class_Players!$A:$A,Class_Players!$F:$F,"")</f>
        <v>11021</v>
      </c>
      <c r="I148" s="44">
        <f t="shared" si="47"/>
        <v>9.164322656746212E-3</v>
      </c>
      <c r="J148" s="43">
        <f t="shared" si="48"/>
        <v>0</v>
      </c>
      <c r="K148" s="44" cm="1">
        <f t="array" ref="K148">IF(D148="Gadget",_xlfn.IFS(I148&gt;=0.2,0.5,I148&gt;=0.1,0.35,I148&gt;=0.05,0.2,TRUE,0),IF(D148="Grenade",_xlfn.IFS(I148&gt;=0.2,1,I148&gt;=0.1,0.7,I148&gt;=0.05,0.4,TRUE,0),0))</f>
        <v>0</v>
      </c>
      <c r="L148" s="57">
        <f t="shared" si="53"/>
        <v>0</v>
      </c>
    </row>
    <row r="149" spans="1:12" ht="15" customHeight="1" x14ac:dyDescent="0.25">
      <c r="A149" s="42" t="str" cm="1">
        <f t="array" ref="A149">IFERROR(INDEX(_xlfn._xlws.FILTER(Class_Players!A:A,Class_Players!B:B="Recon"),QUOTIENT(ROW()-ROW($A$2),8)+1),"")</f>
        <v>CAP Mifune</v>
      </c>
      <c r="B149" s="42" t="str">
        <f>_xlfn.XLOOKUP(A149,Class_Players!$A:$A,Class_Players!$B:$B,"")</f>
        <v>Recon</v>
      </c>
      <c r="C149" s="38" t="str" cm="1">
        <f t="array" ref="C149">INDEX(Lookups!$C$2:$C$9,MOD(ROW()-ROW($B$2),ROWS(Lookups!$C$2:$C$9))+1)</f>
        <v>M18A1 (Claymore)</v>
      </c>
      <c r="D149" s="38" t="str">
        <f>_xlfn.XLOOKUP(C149,Analysis_Gadgets!$C:$C,Analysis_Gadgets!$B:$B)</f>
        <v>Gadget</v>
      </c>
      <c r="E149" s="43">
        <v>69</v>
      </c>
      <c r="F149" s="43">
        <f>_xlfn.XLOOKUP(A149,Class_Players!A:A,Class_Players!G:G)</f>
        <v>223</v>
      </c>
      <c r="G149" s="43">
        <f t="shared" si="46"/>
        <v>0.3094170403587444</v>
      </c>
      <c r="H149" s="43">
        <f>_xlfn.XLOOKUP(A149,Class_Players!$A:$A,Class_Players!$F:$F,"")</f>
        <v>11021</v>
      </c>
      <c r="I149" s="44">
        <f t="shared" si="47"/>
        <v>6.2607748843117681E-3</v>
      </c>
      <c r="J149" s="43">
        <f t="shared" si="48"/>
        <v>0</v>
      </c>
      <c r="K149" s="44" cm="1">
        <f t="array" ref="K149">IF(D149="Gadget",_xlfn.IFS(I149&gt;=0.2,0.5,I149&gt;=0.1,0.35,I149&gt;=0.05,0.2,TRUE,0),IF(D149="Grenade",_xlfn.IFS(I149&gt;=0.2,1,I149&gt;=0.1,0.7,I149&gt;=0.05,0.4,TRUE,0),0))</f>
        <v>0</v>
      </c>
      <c r="L149" s="57">
        <f t="shared" si="53"/>
        <v>0</v>
      </c>
    </row>
    <row r="150" spans="1:12" ht="15" customHeight="1" x14ac:dyDescent="0.25">
      <c r="A150" s="42" t="str" cm="1">
        <f t="array" ref="A150">IFERROR(INDEX(_xlfn._xlws.FILTER(Class_Players!A:A,Class_Players!B:B="Recon"),QUOTIENT(ROW()-ROW($A$2),8)+1),"")</f>
        <v>CAP Mifune</v>
      </c>
      <c r="B150" s="42" t="str">
        <f>_xlfn.XLOOKUP(A150,Class_Players!$A:$A,Class_Players!$B:$B,"")</f>
        <v>Recon</v>
      </c>
      <c r="C150" s="38" t="str" cm="1">
        <f t="array" ref="C150">INDEX(Lookups!$C$2:$C$9,MOD(ROW()-ROW($B$2),ROWS(Lookups!$C$2:$C$9))+1)</f>
        <v>Sniper Decoy</v>
      </c>
      <c r="D150" s="38" t="str">
        <f>_xlfn.XLOOKUP(C150,Analysis_Gadgets!$C:$C,Analysis_Gadgets!$B:$B)</f>
        <v>Gadget</v>
      </c>
      <c r="E150" s="43">
        <v>49</v>
      </c>
      <c r="F150" s="43">
        <f>_xlfn.XLOOKUP(A150,Class_Players!A:A,Class_Players!G:G)</f>
        <v>223</v>
      </c>
      <c r="G150" s="43">
        <f t="shared" si="46"/>
        <v>0.21973094170403587</v>
      </c>
      <c r="H150" s="43">
        <f>_xlfn.XLOOKUP(A150,Class_Players!$A:$A,Class_Players!$F:$F,"")</f>
        <v>11021</v>
      </c>
      <c r="I150" s="44">
        <f t="shared" si="47"/>
        <v>4.4460575265402417E-3</v>
      </c>
      <c r="J150" s="43">
        <f t="shared" si="48"/>
        <v>0</v>
      </c>
      <c r="K150" s="44" cm="1">
        <f t="array" ref="K150">IF(D150="Gadget",_xlfn.IFS(I150&gt;=0.2,0.5,I150&gt;=0.1,0.35,I150&gt;=0.05,0.2,TRUE,0),IF(D150="Grenade",_xlfn.IFS(I150&gt;=0.2,1,I150&gt;=0.1,0.7,I150&gt;=0.05,0.4,TRUE,0),0))</f>
        <v>0</v>
      </c>
      <c r="L150" s="57">
        <f t="shared" si="53"/>
        <v>0</v>
      </c>
    </row>
    <row r="151" spans="1:12" ht="15" customHeight="1" x14ac:dyDescent="0.25">
      <c r="A151" s="42" t="str" cm="1">
        <f t="array" ref="A151">IFERROR(INDEX(_xlfn._xlws.FILTER(Class_Players!A:A,Class_Players!B:B="Recon"),QUOTIENT(ROW()-ROW($A$2),8)+1),"")</f>
        <v>CAP Mifune</v>
      </c>
      <c r="B151" s="42" t="str">
        <f>_xlfn.XLOOKUP(A151,Class_Players!$A:$A,Class_Players!$B:$B,"")</f>
        <v>Recon</v>
      </c>
      <c r="C151" s="38" t="str" cm="1">
        <f t="array" ref="C151">INDEX(Lookups!$C$2:$C$9,MOD(ROW()-ROW($B$2),ROWS(Lookups!$C$2:$C$9))+1)</f>
        <v>C-4 Explosives</v>
      </c>
      <c r="D151" s="38" t="str">
        <f>_xlfn.XLOOKUP(C151,Analysis_Gadgets!$C:$C,Analysis_Gadgets!$B:$B)</f>
        <v>Gadget</v>
      </c>
      <c r="E151" s="43">
        <v>2546</v>
      </c>
      <c r="F151" s="43">
        <f>_xlfn.XLOOKUP(A151,Class_Players!A:A,Class_Players!G:G)</f>
        <v>223</v>
      </c>
      <c r="G151" s="43">
        <f t="shared" si="46"/>
        <v>11.417040358744394</v>
      </c>
      <c r="H151" s="43">
        <f>_xlfn.XLOOKUP(A151,Class_Players!$A:$A,Class_Players!$F:$F,"")</f>
        <v>11021</v>
      </c>
      <c r="I151" s="44">
        <f t="shared" si="47"/>
        <v>0.23101351964431541</v>
      </c>
      <c r="J151" s="43">
        <f t="shared" si="48"/>
        <v>1</v>
      </c>
      <c r="K151" s="44" cm="1">
        <f t="array" ref="K151">IF(D151="Gadget",_xlfn.IFS(I151&gt;=0.2,0.5,I151&gt;=0.1,0.35,I151&gt;=0.05,0.2,TRUE,0),IF(D151="Grenade",_xlfn.IFS(I151&gt;=0.2,1,I151&gt;=0.1,0.7,I151&gt;=0.05,0.4,TRUE,0),0))</f>
        <v>0.5</v>
      </c>
      <c r="L151" s="57">
        <f t="shared" si="53"/>
        <v>0.7142857142857143</v>
      </c>
    </row>
    <row r="152" spans="1:12" ht="15" customHeight="1" x14ac:dyDescent="0.25">
      <c r="A152" s="42" t="str" cm="1">
        <f t="array" ref="A152">IFERROR(INDEX(_xlfn._xlws.FILTER(Class_Players!A:A,Class_Players!B:B="Recon"),QUOTIENT(ROW()-ROW($A$2),8)+1),"")</f>
        <v>CAP Mifune</v>
      </c>
      <c r="B152" s="42" t="str">
        <f>_xlfn.XLOOKUP(A152,Class_Players!$A:$A,Class_Players!$B:$B,"")</f>
        <v>Recon</v>
      </c>
      <c r="C152" s="38" t="str" cm="1">
        <f t="array" ref="C152">INDEX(Lookups!$C$2:$C$9,MOD(ROW()-ROW($B$2),ROWS(Lookups!$C$2:$C$9))+1)</f>
        <v>Proximity Detector</v>
      </c>
      <c r="D152" s="38" t="str">
        <f>_xlfn.XLOOKUP(C152,Analysis_Gadgets!$C:$C,Analysis_Gadgets!$B:$B)</f>
        <v>Grenade</v>
      </c>
      <c r="E152" s="43">
        <v>0</v>
      </c>
      <c r="F152" s="43">
        <f>_xlfn.XLOOKUP(A152,Class_Players!A:A,Class_Players!G:G)</f>
        <v>223</v>
      </c>
      <c r="G152" s="43">
        <f t="shared" si="46"/>
        <v>0</v>
      </c>
      <c r="H152" s="43">
        <f>_xlfn.XLOOKUP(A152,Class_Players!$A:$A,Class_Players!$F:$F,"")</f>
        <v>11021</v>
      </c>
      <c r="I152" s="44">
        <f t="shared" si="47"/>
        <v>0</v>
      </c>
      <c r="J152" s="43">
        <f t="shared" si="48"/>
        <v>0</v>
      </c>
      <c r="K152" s="44" cm="1">
        <f t="array" ref="K152">IF(D152="Gadget",_xlfn.IFS(I152&gt;=0.2,0.5,I152&gt;=0.1,0.35,I152&gt;=0.05,0.2,TRUE,0),IF(D152="Grenade",_xlfn.IFS(I152&gt;=0.2,1,I152&gt;=0.1,0.7,I152&gt;=0.05,0.4,TRUE,0),0))</f>
        <v>0</v>
      </c>
      <c r="L152" s="57">
        <f t="shared" ref="L152:L153" si="54">IF($K152=0,0,$K152 / SUMIFS($K:$K,$A:$A,$A152,$D:$D,"Grenade"))</f>
        <v>0</v>
      </c>
    </row>
    <row r="153" spans="1:12" ht="15" customHeight="1" x14ac:dyDescent="0.25">
      <c r="A153" s="42" t="str" cm="1">
        <f t="array" ref="A153">IFERROR(INDEX(_xlfn._xlws.FILTER(Class_Players!A:A,Class_Players!B:B="Recon"),QUOTIENT(ROW()-ROW($A$2),8)+1),"")</f>
        <v>CAP Mifune</v>
      </c>
      <c r="B153" s="42" t="str">
        <f>_xlfn.XLOOKUP(A153,Class_Players!$A:$A,Class_Players!$B:$B,"")</f>
        <v>Recon</v>
      </c>
      <c r="C153" s="38" t="str" cm="1">
        <f t="array" ref="C153">INDEX(Lookups!$C$2:$C$9,MOD(ROW()-ROW($B$2),ROWS(Lookups!$C$2:$C$9))+1)</f>
        <v>Throwing Knife</v>
      </c>
      <c r="D153" s="38" t="str">
        <f>_xlfn.XLOOKUP(C153,Analysis_Gadgets!$C:$C,Analysis_Gadgets!$B:$B)</f>
        <v>Grenade</v>
      </c>
      <c r="E153" s="43">
        <v>8</v>
      </c>
      <c r="F153" s="43">
        <f>_xlfn.XLOOKUP(A153,Class_Players!A:A,Class_Players!G:G)</f>
        <v>223</v>
      </c>
      <c r="G153" s="43">
        <f t="shared" si="46"/>
        <v>3.5874439461883408E-2</v>
      </c>
      <c r="H153" s="43">
        <f>_xlfn.XLOOKUP(A153,Class_Players!$A:$A,Class_Players!$F:$F,"")</f>
        <v>11021</v>
      </c>
      <c r="I153" s="44">
        <f t="shared" si="47"/>
        <v>7.2588694310861087E-4</v>
      </c>
      <c r="J153" s="43">
        <f t="shared" si="48"/>
        <v>0</v>
      </c>
      <c r="K153" s="44" cm="1">
        <f t="array" ref="K153">IF(D153="Gadget",_xlfn.IFS(I153&gt;=0.2,0.5,I153&gt;=0.1,0.35,I153&gt;=0.05,0.2,TRUE,0),IF(D153="Grenade",_xlfn.IFS(I153&gt;=0.2,1,I153&gt;=0.1,0.7,I153&gt;=0.05,0.4,TRUE,0),0))</f>
        <v>0</v>
      </c>
      <c r="L153" s="57">
        <f t="shared" si="54"/>
        <v>0</v>
      </c>
    </row>
    <row r="154" spans="1:12" ht="15" customHeight="1" x14ac:dyDescent="0.25">
      <c r="A154" s="42" t="str" cm="1">
        <f t="array" ref="A154">IFERROR(INDEX(_xlfn._xlws.FILTER(Class_Players!A:A,Class_Players!B:B="Recon"),QUOTIENT(ROW()-ROW($A$2),8)+1),"")</f>
        <v>Veom18</v>
      </c>
      <c r="B154" s="42" t="str">
        <f>_xlfn.XLOOKUP(A154,Class_Players!$A:$A,Class_Players!$B:$B,"")</f>
        <v>Recon</v>
      </c>
      <c r="C154" s="38" t="str" cm="1">
        <f t="array" ref="C154">INDEX(Lookups!$C$2:$C$9,MOD(ROW()-ROW($B$2),ROWS(Lookups!$C$2:$C$9))+1)</f>
        <v>Laser Designator</v>
      </c>
      <c r="D154" s="38" t="str">
        <f>_xlfn.XLOOKUP(C154,Analysis_Gadgets!$C:$C,Analysis_Gadgets!$B:$B)</f>
        <v>Gadget</v>
      </c>
      <c r="E154" s="43">
        <v>7</v>
      </c>
      <c r="F154" s="43">
        <f>_xlfn.XLOOKUP(A154,Class_Players!A:A,Class_Players!G:G)</f>
        <v>118</v>
      </c>
      <c r="G154" s="43">
        <f t="shared" si="46"/>
        <v>5.9322033898305086E-2</v>
      </c>
      <c r="H154" s="43">
        <f>_xlfn.XLOOKUP(A154,Class_Players!$A:$A,Class_Players!$F:$F,"")</f>
        <v>10277</v>
      </c>
      <c r="I154" s="44">
        <f t="shared" si="47"/>
        <v>6.8113262625279754E-4</v>
      </c>
      <c r="J154" s="43">
        <f t="shared" si="48"/>
        <v>0</v>
      </c>
      <c r="K154" s="44" cm="1">
        <f t="array" ref="K154">IF(D154="Gadget",_xlfn.IFS(I154&gt;=0.2,0.5,I154&gt;=0.1,0.35,I154&gt;=0.05,0.2,TRUE,0),IF(D154="Grenade",_xlfn.IFS(I154&gt;=0.2,1,I154&gt;=0.1,0.7,I154&gt;=0.05,0.4,TRUE,0),0))</f>
        <v>0</v>
      </c>
      <c r="L154" s="57">
        <f t="shared" ref="L154:L159" si="55">IF($K154=0,0,$K154 / SUMIFS($K:$K,$A:$A,$A154,$D:$D,"Gadget"))</f>
        <v>0</v>
      </c>
    </row>
    <row r="155" spans="1:12" ht="15" customHeight="1" x14ac:dyDescent="0.25">
      <c r="A155" s="42" t="str" cm="1">
        <f t="array" ref="A155">IFERROR(INDEX(_xlfn._xlws.FILTER(Class_Players!A:A,Class_Players!B:B="Recon"),QUOTIENT(ROW()-ROW($A$2),8)+1),"")</f>
        <v>Veom18</v>
      </c>
      <c r="B155" s="42" t="str">
        <f>_xlfn.XLOOKUP(A155,Class_Players!$A:$A,Class_Players!$B:$B,"")</f>
        <v>Recon</v>
      </c>
      <c r="C155" s="38" t="str" cm="1">
        <f t="array" ref="C155">INDEX(Lookups!$C$2:$C$9,MOD(ROW()-ROW($B$2),ROWS(Lookups!$C$2:$C$9))+1)</f>
        <v>Recon Drone</v>
      </c>
      <c r="D155" s="38" t="str">
        <f>_xlfn.XLOOKUP(C155,Analysis_Gadgets!$C:$C,Analysis_Gadgets!$B:$B)</f>
        <v>Gadget</v>
      </c>
      <c r="E155" s="43">
        <v>236</v>
      </c>
      <c r="F155" s="43">
        <f>_xlfn.XLOOKUP(A155,Class_Players!A:A,Class_Players!G:G)</f>
        <v>118</v>
      </c>
      <c r="G155" s="43">
        <f t="shared" si="46"/>
        <v>2</v>
      </c>
      <c r="H155" s="43">
        <f>_xlfn.XLOOKUP(A155,Class_Players!$A:$A,Class_Players!$F:$F,"")</f>
        <v>10277</v>
      </c>
      <c r="I155" s="44">
        <f t="shared" si="47"/>
        <v>2.2963899970808603E-2</v>
      </c>
      <c r="J155" s="43">
        <f t="shared" si="48"/>
        <v>0</v>
      </c>
      <c r="K155" s="44" cm="1">
        <f t="array" ref="K155">IF(D155="Gadget",_xlfn.IFS(I155&gt;=0.2,0.5,I155&gt;=0.1,0.35,I155&gt;=0.05,0.2,TRUE,0),IF(D155="Grenade",_xlfn.IFS(I155&gt;=0.2,1,I155&gt;=0.1,0.7,I155&gt;=0.05,0.4,TRUE,0),0))</f>
        <v>0</v>
      </c>
      <c r="L155" s="57">
        <f t="shared" si="55"/>
        <v>0</v>
      </c>
    </row>
    <row r="156" spans="1:12" ht="15" customHeight="1" x14ac:dyDescent="0.25">
      <c r="A156" s="42" t="str" cm="1">
        <f t="array" ref="A156">IFERROR(INDEX(_xlfn._xlws.FILTER(Class_Players!A:A,Class_Players!B:B="Recon"),QUOTIENT(ROW()-ROW($A$2),8)+1),"")</f>
        <v>Veom18</v>
      </c>
      <c r="B156" s="42" t="str">
        <f>_xlfn.XLOOKUP(A156,Class_Players!$A:$A,Class_Players!$B:$B,"")</f>
        <v>Recon</v>
      </c>
      <c r="C156" s="38" t="str" cm="1">
        <f t="array" ref="C156">INDEX(Lookups!$C$2:$C$9,MOD(ROW()-ROW($B$2),ROWS(Lookups!$C$2:$C$9))+1)</f>
        <v>Tracer Dart</v>
      </c>
      <c r="D156" s="38" t="str">
        <f>_xlfn.XLOOKUP(C156,Analysis_Gadgets!$C:$C,Analysis_Gadgets!$B:$B)</f>
        <v>Gadget</v>
      </c>
      <c r="E156" s="43">
        <v>0</v>
      </c>
      <c r="F156" s="43">
        <f>_xlfn.XLOOKUP(A156,Class_Players!A:A,Class_Players!G:G)</f>
        <v>118</v>
      </c>
      <c r="G156" s="43">
        <f t="shared" si="46"/>
        <v>0</v>
      </c>
      <c r="H156" s="43">
        <f>_xlfn.XLOOKUP(A156,Class_Players!$A:$A,Class_Players!$F:$F,"")</f>
        <v>10277</v>
      </c>
      <c r="I156" s="44">
        <f t="shared" si="47"/>
        <v>0</v>
      </c>
      <c r="J156" s="43">
        <f t="shared" si="48"/>
        <v>0</v>
      </c>
      <c r="K156" s="44" cm="1">
        <f t="array" ref="K156">IF(D156="Gadget",_xlfn.IFS(I156&gt;=0.2,0.5,I156&gt;=0.1,0.35,I156&gt;=0.05,0.2,TRUE,0),IF(D156="Grenade",_xlfn.IFS(I156&gt;=0.2,1,I156&gt;=0.1,0.7,I156&gt;=0.05,0.4,TRUE,0),0))</f>
        <v>0</v>
      </c>
      <c r="L156" s="57">
        <f t="shared" si="55"/>
        <v>0</v>
      </c>
    </row>
    <row r="157" spans="1:12" ht="15" customHeight="1" x14ac:dyDescent="0.25">
      <c r="A157" s="42" t="str" cm="1">
        <f t="array" ref="A157">IFERROR(INDEX(_xlfn._xlws.FILTER(Class_Players!A:A,Class_Players!B:B="Recon"),QUOTIENT(ROW()-ROW($A$2),8)+1),"")</f>
        <v>Veom18</v>
      </c>
      <c r="B157" s="42" t="str">
        <f>_xlfn.XLOOKUP(A157,Class_Players!$A:$A,Class_Players!$B:$B,"")</f>
        <v>Recon</v>
      </c>
      <c r="C157" s="38" t="str" cm="1">
        <f t="array" ref="C157">INDEX(Lookups!$C$2:$C$9,MOD(ROW()-ROW($B$2),ROWS(Lookups!$C$2:$C$9))+1)</f>
        <v>M18A1 (Claymore)</v>
      </c>
      <c r="D157" s="38" t="str">
        <f>_xlfn.XLOOKUP(C157,Analysis_Gadgets!$C:$C,Analysis_Gadgets!$B:$B)</f>
        <v>Gadget</v>
      </c>
      <c r="E157" s="43">
        <v>2673</v>
      </c>
      <c r="F157" s="43">
        <f>_xlfn.XLOOKUP(A157,Class_Players!A:A,Class_Players!G:G)</f>
        <v>118</v>
      </c>
      <c r="G157" s="43">
        <f t="shared" si="46"/>
        <v>22.652542372881356</v>
      </c>
      <c r="H157" s="43">
        <f>_xlfn.XLOOKUP(A157,Class_Players!$A:$A,Class_Players!$F:$F,"")</f>
        <v>10277</v>
      </c>
      <c r="I157" s="44">
        <f t="shared" si="47"/>
        <v>0.26009535856767541</v>
      </c>
      <c r="J157" s="43">
        <f t="shared" si="48"/>
        <v>1</v>
      </c>
      <c r="K157" s="44" cm="1">
        <f t="array" ref="K157">IF(D157="Gadget",_xlfn.IFS(I157&gt;=0.2,0.5,I157&gt;=0.1,0.35,I157&gt;=0.05,0.2,TRUE,0),IF(D157="Grenade",_xlfn.IFS(I157&gt;=0.2,1,I157&gt;=0.1,0.7,I157&gt;=0.05,0.4,TRUE,0),0))</f>
        <v>0.5</v>
      </c>
      <c r="L157" s="57">
        <f t="shared" si="55"/>
        <v>0.58823529411764708</v>
      </c>
    </row>
    <row r="158" spans="1:12" ht="15" customHeight="1" x14ac:dyDescent="0.25">
      <c r="A158" s="42" t="str" cm="1">
        <f t="array" ref="A158">IFERROR(INDEX(_xlfn._xlws.FILTER(Class_Players!A:A,Class_Players!B:B="Recon"),QUOTIENT(ROW()-ROW($A$2),8)+1),"")</f>
        <v>Veom18</v>
      </c>
      <c r="B158" s="42" t="str">
        <f>_xlfn.XLOOKUP(A158,Class_Players!$A:$A,Class_Players!$B:$B,"")</f>
        <v>Recon</v>
      </c>
      <c r="C158" s="38" t="str" cm="1">
        <f t="array" ref="C158">INDEX(Lookups!$C$2:$C$9,MOD(ROW()-ROW($B$2),ROWS(Lookups!$C$2:$C$9))+1)</f>
        <v>Sniper Decoy</v>
      </c>
      <c r="D158" s="38" t="str">
        <f>_xlfn.XLOOKUP(C158,Analysis_Gadgets!$C:$C,Analysis_Gadgets!$B:$B)</f>
        <v>Gadget</v>
      </c>
      <c r="E158" s="43">
        <v>1729</v>
      </c>
      <c r="F158" s="43">
        <f>_xlfn.XLOOKUP(A158,Class_Players!A:A,Class_Players!G:G)</f>
        <v>118</v>
      </c>
      <c r="G158" s="43">
        <f t="shared" si="46"/>
        <v>14.652542372881356</v>
      </c>
      <c r="H158" s="43">
        <f>_xlfn.XLOOKUP(A158,Class_Players!$A:$A,Class_Players!$F:$F,"")</f>
        <v>10277</v>
      </c>
      <c r="I158" s="44">
        <f t="shared" si="47"/>
        <v>0.16823975868444099</v>
      </c>
      <c r="J158" s="43">
        <f t="shared" si="48"/>
        <v>1</v>
      </c>
      <c r="K158" s="44" cm="1">
        <f t="array" ref="K158">IF(D158="Gadget",_xlfn.IFS(I158&gt;=0.2,0.5,I158&gt;=0.1,0.35,I158&gt;=0.05,0.2,TRUE,0),IF(D158="Grenade",_xlfn.IFS(I158&gt;=0.2,1,I158&gt;=0.1,0.7,I158&gt;=0.05,0.4,TRUE,0),0))</f>
        <v>0.35</v>
      </c>
      <c r="L158" s="57">
        <f t="shared" si="55"/>
        <v>0.41176470588235292</v>
      </c>
    </row>
    <row r="159" spans="1:12" ht="15" customHeight="1" x14ac:dyDescent="0.25">
      <c r="A159" s="42" t="str" cm="1">
        <f t="array" ref="A159">IFERROR(INDEX(_xlfn._xlws.FILTER(Class_Players!A:A,Class_Players!B:B="Recon"),QUOTIENT(ROW()-ROW($A$2),8)+1),"")</f>
        <v>Veom18</v>
      </c>
      <c r="B159" s="42" t="str">
        <f>_xlfn.XLOOKUP(A159,Class_Players!$A:$A,Class_Players!$B:$B,"")</f>
        <v>Recon</v>
      </c>
      <c r="C159" s="38" t="str" cm="1">
        <f t="array" ref="C159">INDEX(Lookups!$C$2:$C$9,MOD(ROW()-ROW($B$2),ROWS(Lookups!$C$2:$C$9))+1)</f>
        <v>C-4 Explosives</v>
      </c>
      <c r="D159" s="38" t="str">
        <f>_xlfn.XLOOKUP(C159,Analysis_Gadgets!$C:$C,Analysis_Gadgets!$B:$B)</f>
        <v>Gadget</v>
      </c>
      <c r="E159" s="43">
        <v>146</v>
      </c>
      <c r="F159" s="43">
        <f>_xlfn.XLOOKUP(A159,Class_Players!A:A,Class_Players!G:G)</f>
        <v>118</v>
      </c>
      <c r="G159" s="43">
        <f t="shared" si="46"/>
        <v>1.2372881355932204</v>
      </c>
      <c r="H159" s="43">
        <f>_xlfn.XLOOKUP(A159,Class_Players!$A:$A,Class_Players!$F:$F,"")</f>
        <v>10277</v>
      </c>
      <c r="I159" s="44">
        <f t="shared" si="47"/>
        <v>1.4206480490415492E-2</v>
      </c>
      <c r="J159" s="43">
        <f t="shared" si="48"/>
        <v>0</v>
      </c>
      <c r="K159" s="44" cm="1">
        <f t="array" ref="K159">IF(D159="Gadget",_xlfn.IFS(I159&gt;=0.2,0.5,I159&gt;=0.1,0.35,I159&gt;=0.05,0.2,TRUE,0),IF(D159="Grenade",_xlfn.IFS(I159&gt;=0.2,1,I159&gt;=0.1,0.7,I159&gt;=0.05,0.4,TRUE,0),0))</f>
        <v>0</v>
      </c>
      <c r="L159" s="57">
        <f t="shared" si="55"/>
        <v>0</v>
      </c>
    </row>
    <row r="160" spans="1:12" ht="15" customHeight="1" x14ac:dyDescent="0.25">
      <c r="A160" s="42" t="str" cm="1">
        <f t="array" ref="A160">IFERROR(INDEX(_xlfn._xlws.FILTER(Class_Players!A:A,Class_Players!B:B="Recon"),QUOTIENT(ROW()-ROW($A$2),8)+1),"")</f>
        <v>Veom18</v>
      </c>
      <c r="B160" s="42" t="str">
        <f>_xlfn.XLOOKUP(A160,Class_Players!$A:$A,Class_Players!$B:$B,"")</f>
        <v>Recon</v>
      </c>
      <c r="C160" s="38" t="str" cm="1">
        <f t="array" ref="C160">INDEX(Lookups!$C$2:$C$9,MOD(ROW()-ROW($B$2),ROWS(Lookups!$C$2:$C$9))+1)</f>
        <v>Proximity Detector</v>
      </c>
      <c r="D160" s="38" t="str">
        <f>_xlfn.XLOOKUP(C160,Analysis_Gadgets!$C:$C,Analysis_Gadgets!$B:$B)</f>
        <v>Grenade</v>
      </c>
      <c r="E160" s="43">
        <v>36</v>
      </c>
      <c r="F160" s="43">
        <f>_xlfn.XLOOKUP(A160,Class_Players!A:A,Class_Players!G:G)</f>
        <v>118</v>
      </c>
      <c r="G160" s="43">
        <f t="shared" si="46"/>
        <v>0.30508474576271188</v>
      </c>
      <c r="H160" s="43">
        <f>_xlfn.XLOOKUP(A160,Class_Players!$A:$A,Class_Players!$F:$F,"")</f>
        <v>10277</v>
      </c>
      <c r="I160" s="44">
        <f t="shared" si="47"/>
        <v>3.5029677921572444E-3</v>
      </c>
      <c r="J160" s="43">
        <f t="shared" si="48"/>
        <v>0</v>
      </c>
      <c r="K160" s="44" cm="1">
        <f t="array" ref="K160">IF(D160="Gadget",_xlfn.IFS(I160&gt;=0.2,0.5,I160&gt;=0.1,0.35,I160&gt;=0.05,0.2,TRUE,0),IF(D160="Grenade",_xlfn.IFS(I160&gt;=0.2,1,I160&gt;=0.1,0.7,I160&gt;=0.05,0.4,TRUE,0),0))</f>
        <v>0</v>
      </c>
      <c r="L160" s="57">
        <f t="shared" ref="L160:L161" si="56">IF($K160=0,0,$K160 / SUMIFS($K:$K,$A:$A,$A160,$D:$D,"Grenade"))</f>
        <v>0</v>
      </c>
    </row>
    <row r="161" spans="1:12" ht="15" customHeight="1" x14ac:dyDescent="0.25">
      <c r="A161" s="42" t="str" cm="1">
        <f t="array" ref="A161">IFERROR(INDEX(_xlfn._xlws.FILTER(Class_Players!A:A,Class_Players!B:B="Recon"),QUOTIENT(ROW()-ROW($A$2),8)+1),"")</f>
        <v>Veom18</v>
      </c>
      <c r="B161" s="42" t="str">
        <f>_xlfn.XLOOKUP(A161,Class_Players!$A:$A,Class_Players!$B:$B,"")</f>
        <v>Recon</v>
      </c>
      <c r="C161" s="38" t="str" cm="1">
        <f t="array" ref="C161">INDEX(Lookups!$C$2:$C$9,MOD(ROW()-ROW($B$2),ROWS(Lookups!$C$2:$C$9))+1)</f>
        <v>Throwing Knife</v>
      </c>
      <c r="D161" s="38" t="str">
        <f>_xlfn.XLOOKUP(C161,Analysis_Gadgets!$C:$C,Analysis_Gadgets!$B:$B)</f>
        <v>Grenade</v>
      </c>
      <c r="E161" s="43">
        <v>7</v>
      </c>
      <c r="F161" s="43">
        <f>_xlfn.XLOOKUP(A161,Class_Players!A:A,Class_Players!G:G)</f>
        <v>118</v>
      </c>
      <c r="G161" s="43">
        <f t="shared" si="46"/>
        <v>5.9322033898305086E-2</v>
      </c>
      <c r="H161" s="43">
        <f>_xlfn.XLOOKUP(A161,Class_Players!$A:$A,Class_Players!$F:$F,"")</f>
        <v>10277</v>
      </c>
      <c r="I161" s="44">
        <f t="shared" si="47"/>
        <v>6.8113262625279754E-4</v>
      </c>
      <c r="J161" s="43">
        <f t="shared" si="48"/>
        <v>0</v>
      </c>
      <c r="K161" s="44" cm="1">
        <f t="array" ref="K161">IF(D161="Gadget",_xlfn.IFS(I161&gt;=0.2,0.5,I161&gt;=0.1,0.35,I161&gt;=0.05,0.2,TRUE,0),IF(D161="Grenade",_xlfn.IFS(I161&gt;=0.2,1,I161&gt;=0.1,0.7,I161&gt;=0.05,0.4,TRUE,0),0))</f>
        <v>0</v>
      </c>
      <c r="L161" s="57">
        <f t="shared" si="56"/>
        <v>0</v>
      </c>
    </row>
    <row r="162" spans="1:12" ht="15" customHeight="1" x14ac:dyDescent="0.25">
      <c r="A162" s="42" t="str" cm="1">
        <f t="array" ref="A162">IFERROR(INDEX(_xlfn._xlws.FILTER(Class_Players!A:A,Class_Players!B:B="Recon"),QUOTIENT(ROW()-ROW($A$2),8)+1),"")</f>
        <v>NotPravnikk</v>
      </c>
      <c r="B162" s="42" t="str">
        <f>_xlfn.XLOOKUP(A162,Class_Players!$A:$A,Class_Players!$B:$B,"")</f>
        <v>Recon</v>
      </c>
      <c r="C162" s="38" t="str" cm="1">
        <f t="array" ref="C162">INDEX(Lookups!$C$2:$C$9,MOD(ROW()-ROW($B$2),ROWS(Lookups!$C$2:$C$9))+1)</f>
        <v>Laser Designator</v>
      </c>
      <c r="D162" s="38" t="str">
        <f>_xlfn.XLOOKUP(C162,Analysis_Gadgets!$C:$C,Analysis_Gadgets!$B:$B)</f>
        <v>Gadget</v>
      </c>
      <c r="E162" s="43">
        <v>116</v>
      </c>
      <c r="F162" s="43">
        <f>_xlfn.XLOOKUP(A162,Class_Players!A:A,Class_Players!G:G)</f>
        <v>235</v>
      </c>
      <c r="G162" s="43">
        <f t="shared" si="46"/>
        <v>0.49361702127659574</v>
      </c>
      <c r="H162" s="43">
        <f>_xlfn.XLOOKUP(A162,Class_Players!$A:$A,Class_Players!$F:$F,"")</f>
        <v>10032</v>
      </c>
      <c r="I162" s="44">
        <f t="shared" si="47"/>
        <v>1.1562998405103669E-2</v>
      </c>
      <c r="J162" s="43">
        <f t="shared" si="48"/>
        <v>0</v>
      </c>
      <c r="K162" s="44" cm="1">
        <f t="array" ref="K162">IF(D162="Gadget",_xlfn.IFS(I162&gt;=0.2,0.5,I162&gt;=0.1,0.35,I162&gt;=0.05,0.2,TRUE,0),IF(D162="Grenade",_xlfn.IFS(I162&gt;=0.2,1,I162&gt;=0.1,0.7,I162&gt;=0.05,0.4,TRUE,0),0))</f>
        <v>0</v>
      </c>
      <c r="L162" s="57">
        <f t="shared" ref="L162:L167" si="57">IF($K162=0,0,$K162 / SUMIFS($K:$K,$A:$A,$A162,$D:$D,"Gadget"))</f>
        <v>0</v>
      </c>
    </row>
    <row r="163" spans="1:12" ht="15" customHeight="1" x14ac:dyDescent="0.25">
      <c r="A163" s="42" t="str" cm="1">
        <f t="array" ref="A163">IFERROR(INDEX(_xlfn._xlws.FILTER(Class_Players!A:A,Class_Players!B:B="Recon"),QUOTIENT(ROW()-ROW($A$2),8)+1),"")</f>
        <v>NotPravnikk</v>
      </c>
      <c r="B163" s="42" t="str">
        <f>_xlfn.XLOOKUP(A163,Class_Players!$A:$A,Class_Players!$B:$B,"")</f>
        <v>Recon</v>
      </c>
      <c r="C163" s="38" t="str" cm="1">
        <f t="array" ref="C163">INDEX(Lookups!$C$2:$C$9,MOD(ROW()-ROW($B$2),ROWS(Lookups!$C$2:$C$9))+1)</f>
        <v>Recon Drone</v>
      </c>
      <c r="D163" s="38" t="str">
        <f>_xlfn.XLOOKUP(C163,Analysis_Gadgets!$C:$C,Analysis_Gadgets!$B:$B)</f>
        <v>Gadget</v>
      </c>
      <c r="E163" s="43">
        <v>505</v>
      </c>
      <c r="F163" s="43">
        <f>_xlfn.XLOOKUP(A163,Class_Players!A:A,Class_Players!G:G)</f>
        <v>235</v>
      </c>
      <c r="G163" s="43">
        <f t="shared" si="46"/>
        <v>2.1489361702127661</v>
      </c>
      <c r="H163" s="43">
        <f>_xlfn.XLOOKUP(A163,Class_Players!$A:$A,Class_Players!$F:$F,"")</f>
        <v>10032</v>
      </c>
      <c r="I163" s="44">
        <f t="shared" si="47"/>
        <v>5.0338915470494419E-2</v>
      </c>
      <c r="J163" s="43">
        <f t="shared" si="48"/>
        <v>0</v>
      </c>
      <c r="K163" s="44" cm="1">
        <f t="array" ref="K163">IF(D163="Gadget",_xlfn.IFS(I163&gt;=0.2,0.5,I163&gt;=0.1,0.35,I163&gt;=0.05,0.2,TRUE,0),IF(D163="Grenade",_xlfn.IFS(I163&gt;=0.2,1,I163&gt;=0.1,0.7,I163&gt;=0.05,0.4,TRUE,0),0))</f>
        <v>0.2</v>
      </c>
      <c r="L163" s="57">
        <f t="shared" si="57"/>
        <v>0.19047619047619047</v>
      </c>
    </row>
    <row r="164" spans="1:12" ht="15" customHeight="1" x14ac:dyDescent="0.25">
      <c r="A164" s="42" t="str" cm="1">
        <f t="array" ref="A164">IFERROR(INDEX(_xlfn._xlws.FILTER(Class_Players!A:A,Class_Players!B:B="Recon"),QUOTIENT(ROW()-ROW($A$2),8)+1),"")</f>
        <v>NotPravnikk</v>
      </c>
      <c r="B164" s="42" t="str">
        <f>_xlfn.XLOOKUP(A164,Class_Players!$A:$A,Class_Players!$B:$B,"")</f>
        <v>Recon</v>
      </c>
      <c r="C164" s="38" t="str" cm="1">
        <f t="array" ref="C164">INDEX(Lookups!$C$2:$C$9,MOD(ROW()-ROW($B$2),ROWS(Lookups!$C$2:$C$9))+1)</f>
        <v>Tracer Dart</v>
      </c>
      <c r="D164" s="38" t="str">
        <f>_xlfn.XLOOKUP(C164,Analysis_Gadgets!$C:$C,Analysis_Gadgets!$B:$B)</f>
        <v>Gadget</v>
      </c>
      <c r="E164" s="43">
        <v>55</v>
      </c>
      <c r="F164" s="43">
        <f>_xlfn.XLOOKUP(A164,Class_Players!A:A,Class_Players!G:G)</f>
        <v>235</v>
      </c>
      <c r="G164" s="43">
        <f t="shared" si="46"/>
        <v>0.23404255319148937</v>
      </c>
      <c r="H164" s="43">
        <f>_xlfn.XLOOKUP(A164,Class_Players!$A:$A,Class_Players!$F:$F,"")</f>
        <v>10032</v>
      </c>
      <c r="I164" s="44">
        <f t="shared" si="47"/>
        <v>5.4824561403508769E-3</v>
      </c>
      <c r="J164" s="43">
        <f t="shared" si="48"/>
        <v>0</v>
      </c>
      <c r="K164" s="44" cm="1">
        <f t="array" ref="K164">IF(D164="Gadget",_xlfn.IFS(I164&gt;=0.2,0.5,I164&gt;=0.1,0.35,I164&gt;=0.05,0.2,TRUE,0),IF(D164="Grenade",_xlfn.IFS(I164&gt;=0.2,1,I164&gt;=0.1,0.7,I164&gt;=0.05,0.4,TRUE,0),0))</f>
        <v>0</v>
      </c>
      <c r="L164" s="57">
        <f t="shared" si="57"/>
        <v>0</v>
      </c>
    </row>
    <row r="165" spans="1:12" ht="15" customHeight="1" x14ac:dyDescent="0.25">
      <c r="A165" s="42" t="str" cm="1">
        <f t="array" ref="A165">IFERROR(INDEX(_xlfn._xlws.FILTER(Class_Players!A:A,Class_Players!B:B="Recon"),QUOTIENT(ROW()-ROW($A$2),8)+1),"")</f>
        <v>NotPravnikk</v>
      </c>
      <c r="B165" s="42" t="str">
        <f>_xlfn.XLOOKUP(A165,Class_Players!$A:$A,Class_Players!$B:$B,"")</f>
        <v>Recon</v>
      </c>
      <c r="C165" s="38" t="str" cm="1">
        <f t="array" ref="C165">INDEX(Lookups!$C$2:$C$9,MOD(ROW()-ROW($B$2),ROWS(Lookups!$C$2:$C$9))+1)</f>
        <v>M18A1 (Claymore)</v>
      </c>
      <c r="D165" s="38" t="str">
        <f>_xlfn.XLOOKUP(C165,Analysis_Gadgets!$C:$C,Analysis_Gadgets!$B:$B)</f>
        <v>Gadget</v>
      </c>
      <c r="E165" s="43">
        <v>1711</v>
      </c>
      <c r="F165" s="43">
        <f>_xlfn.XLOOKUP(A165,Class_Players!A:A,Class_Players!G:G)</f>
        <v>235</v>
      </c>
      <c r="G165" s="43">
        <f t="shared" si="46"/>
        <v>7.280851063829787</v>
      </c>
      <c r="H165" s="43">
        <f>_xlfn.XLOOKUP(A165,Class_Players!$A:$A,Class_Players!$F:$F,"")</f>
        <v>10032</v>
      </c>
      <c r="I165" s="44">
        <f t="shared" si="47"/>
        <v>0.1705542264752791</v>
      </c>
      <c r="J165" s="43">
        <f t="shared" si="48"/>
        <v>1</v>
      </c>
      <c r="K165" s="44" cm="1">
        <f t="array" ref="K165">IF(D165="Gadget",_xlfn.IFS(I165&gt;=0.2,0.5,I165&gt;=0.1,0.35,I165&gt;=0.05,0.2,TRUE,0),IF(D165="Grenade",_xlfn.IFS(I165&gt;=0.2,1,I165&gt;=0.1,0.7,I165&gt;=0.05,0.4,TRUE,0),0))</f>
        <v>0.35</v>
      </c>
      <c r="L165" s="57">
        <f t="shared" si="57"/>
        <v>0.33333333333333331</v>
      </c>
    </row>
    <row r="166" spans="1:12" ht="15" customHeight="1" x14ac:dyDescent="0.25">
      <c r="A166" s="42" t="str" cm="1">
        <f t="array" ref="A166">IFERROR(INDEX(_xlfn._xlws.FILTER(Class_Players!A:A,Class_Players!B:B="Recon"),QUOTIENT(ROW()-ROW($A$2),8)+1),"")</f>
        <v>NotPravnikk</v>
      </c>
      <c r="B166" s="42" t="str">
        <f>_xlfn.XLOOKUP(A166,Class_Players!$A:$A,Class_Players!$B:$B,"")</f>
        <v>Recon</v>
      </c>
      <c r="C166" s="38" t="str" cm="1">
        <f t="array" ref="C166">INDEX(Lookups!$C$2:$C$9,MOD(ROW()-ROW($B$2),ROWS(Lookups!$C$2:$C$9))+1)</f>
        <v>Sniper Decoy</v>
      </c>
      <c r="D166" s="38" t="str">
        <f>_xlfn.XLOOKUP(C166,Analysis_Gadgets!$C:$C,Analysis_Gadgets!$B:$B)</f>
        <v>Gadget</v>
      </c>
      <c r="E166" s="43">
        <v>82</v>
      </c>
      <c r="F166" s="43">
        <f>_xlfn.XLOOKUP(A166,Class_Players!A:A,Class_Players!G:G)</f>
        <v>235</v>
      </c>
      <c r="G166" s="43">
        <f t="shared" si="46"/>
        <v>0.34893617021276596</v>
      </c>
      <c r="H166" s="43">
        <f>_xlfn.XLOOKUP(A166,Class_Players!$A:$A,Class_Players!$F:$F,"")</f>
        <v>10032</v>
      </c>
      <c r="I166" s="44">
        <f t="shared" si="47"/>
        <v>8.1738437001594895E-3</v>
      </c>
      <c r="J166" s="43">
        <f t="shared" si="48"/>
        <v>0</v>
      </c>
      <c r="K166" s="44" cm="1">
        <f t="array" ref="K166">IF(D166="Gadget",_xlfn.IFS(I166&gt;=0.2,0.5,I166&gt;=0.1,0.35,I166&gt;=0.05,0.2,TRUE,0),IF(D166="Grenade",_xlfn.IFS(I166&gt;=0.2,1,I166&gt;=0.1,0.7,I166&gt;=0.05,0.4,TRUE,0),0))</f>
        <v>0</v>
      </c>
      <c r="L166" s="57">
        <f t="shared" si="57"/>
        <v>0</v>
      </c>
    </row>
    <row r="167" spans="1:12" ht="15" customHeight="1" x14ac:dyDescent="0.25">
      <c r="A167" s="42" t="str" cm="1">
        <f t="array" ref="A167">IFERROR(INDEX(_xlfn._xlws.FILTER(Class_Players!A:A,Class_Players!B:B="Recon"),QUOTIENT(ROW()-ROW($A$2),8)+1),"")</f>
        <v>NotPravnikk</v>
      </c>
      <c r="B167" s="42" t="str">
        <f>_xlfn.XLOOKUP(A167,Class_Players!$A:$A,Class_Players!$B:$B,"")</f>
        <v>Recon</v>
      </c>
      <c r="C167" s="38" t="str" cm="1">
        <f t="array" ref="C167">INDEX(Lookups!$C$2:$C$9,MOD(ROW()-ROW($B$2),ROWS(Lookups!$C$2:$C$9))+1)</f>
        <v>C-4 Explosives</v>
      </c>
      <c r="D167" s="38" t="str">
        <f>_xlfn.XLOOKUP(C167,Analysis_Gadgets!$C:$C,Analysis_Gadgets!$B:$B)</f>
        <v>Gadget</v>
      </c>
      <c r="E167" s="43">
        <v>7339</v>
      </c>
      <c r="F167" s="43">
        <f>_xlfn.XLOOKUP(A167,Class_Players!A:A,Class_Players!G:G)</f>
        <v>235</v>
      </c>
      <c r="G167" s="43">
        <f t="shared" si="46"/>
        <v>31.229787234042554</v>
      </c>
      <c r="H167" s="43">
        <f>_xlfn.XLOOKUP(A167,Class_Players!$A:$A,Class_Players!$F:$F,"")</f>
        <v>10032</v>
      </c>
      <c r="I167" s="44">
        <f t="shared" si="47"/>
        <v>0.73155901116427435</v>
      </c>
      <c r="J167" s="43">
        <f t="shared" si="48"/>
        <v>1</v>
      </c>
      <c r="K167" s="44" cm="1">
        <f t="array" ref="K167">IF(D167="Gadget",_xlfn.IFS(I167&gt;=0.2,0.5,I167&gt;=0.1,0.35,I167&gt;=0.05,0.2,TRUE,0),IF(D167="Grenade",_xlfn.IFS(I167&gt;=0.2,1,I167&gt;=0.1,0.7,I167&gt;=0.05,0.4,TRUE,0),0))</f>
        <v>0.5</v>
      </c>
      <c r="L167" s="57">
        <f t="shared" si="57"/>
        <v>0.47619047619047616</v>
      </c>
    </row>
    <row r="168" spans="1:12" ht="15" customHeight="1" x14ac:dyDescent="0.25">
      <c r="A168" s="42" t="str" cm="1">
        <f t="array" ref="A168">IFERROR(INDEX(_xlfn._xlws.FILTER(Class_Players!A:A,Class_Players!B:B="Recon"),QUOTIENT(ROW()-ROW($A$2),8)+1),"")</f>
        <v>NotPravnikk</v>
      </c>
      <c r="B168" s="42" t="str">
        <f>_xlfn.XLOOKUP(A168,Class_Players!$A:$A,Class_Players!$B:$B,"")</f>
        <v>Recon</v>
      </c>
      <c r="C168" s="38" t="str" cm="1">
        <f t="array" ref="C168">INDEX(Lookups!$C$2:$C$9,MOD(ROW()-ROW($B$2),ROWS(Lookups!$C$2:$C$9))+1)</f>
        <v>Proximity Detector</v>
      </c>
      <c r="D168" s="38" t="str">
        <f>_xlfn.XLOOKUP(C168,Analysis_Gadgets!$C:$C,Analysis_Gadgets!$B:$B)</f>
        <v>Grenade</v>
      </c>
      <c r="E168" s="43">
        <v>196</v>
      </c>
      <c r="F168" s="43">
        <f>_xlfn.XLOOKUP(A168,Class_Players!A:A,Class_Players!G:G)</f>
        <v>235</v>
      </c>
      <c r="G168" s="43">
        <f t="shared" si="46"/>
        <v>0.83404255319148934</v>
      </c>
      <c r="H168" s="43">
        <f>_xlfn.XLOOKUP(A168,Class_Players!$A:$A,Class_Players!$F:$F,"")</f>
        <v>10032</v>
      </c>
      <c r="I168" s="44">
        <f t="shared" si="47"/>
        <v>1.9537480063795853E-2</v>
      </c>
      <c r="J168" s="43">
        <f t="shared" si="48"/>
        <v>0</v>
      </c>
      <c r="K168" s="44" cm="1">
        <f t="array" ref="K168">IF(D168="Gadget",_xlfn.IFS(I168&gt;=0.2,0.5,I168&gt;=0.1,0.35,I168&gt;=0.05,0.2,TRUE,0),IF(D168="Grenade",_xlfn.IFS(I168&gt;=0.2,1,I168&gt;=0.1,0.7,I168&gt;=0.05,0.4,TRUE,0),0))</f>
        <v>0</v>
      </c>
      <c r="L168" s="57">
        <f t="shared" ref="L168:L169" si="58">IF($K168=0,0,$K168 / SUMIFS($K:$K,$A:$A,$A168,$D:$D,"Grenade"))</f>
        <v>0</v>
      </c>
    </row>
    <row r="169" spans="1:12" ht="15" customHeight="1" x14ac:dyDescent="0.25">
      <c r="A169" s="42" t="str" cm="1">
        <f t="array" ref="A169">IFERROR(INDEX(_xlfn._xlws.FILTER(Class_Players!A:A,Class_Players!B:B="Recon"),QUOTIENT(ROW()-ROW($A$2),8)+1),"")</f>
        <v>NotPravnikk</v>
      </c>
      <c r="B169" s="42" t="str">
        <f>_xlfn.XLOOKUP(A169,Class_Players!$A:$A,Class_Players!$B:$B,"")</f>
        <v>Recon</v>
      </c>
      <c r="C169" s="38" t="str" cm="1">
        <f t="array" ref="C169">INDEX(Lookups!$C$2:$C$9,MOD(ROW()-ROW($B$2),ROWS(Lookups!$C$2:$C$9))+1)</f>
        <v>Throwing Knife</v>
      </c>
      <c r="D169" s="38" t="str">
        <f>_xlfn.XLOOKUP(C169,Analysis_Gadgets!$C:$C,Analysis_Gadgets!$B:$B)</f>
        <v>Grenade</v>
      </c>
      <c r="E169" s="43">
        <v>3</v>
      </c>
      <c r="F169" s="43">
        <f>_xlfn.XLOOKUP(A169,Class_Players!A:A,Class_Players!G:G)</f>
        <v>235</v>
      </c>
      <c r="G169" s="43">
        <f t="shared" si="46"/>
        <v>1.276595744680851E-2</v>
      </c>
      <c r="H169" s="43">
        <f>_xlfn.XLOOKUP(A169,Class_Players!$A:$A,Class_Players!$F:$F,"")</f>
        <v>10032</v>
      </c>
      <c r="I169" s="44">
        <f t="shared" si="47"/>
        <v>2.9904306220095693E-4</v>
      </c>
      <c r="J169" s="43">
        <f t="shared" si="48"/>
        <v>0</v>
      </c>
      <c r="K169" s="44" cm="1">
        <f t="array" ref="K169">IF(D169="Gadget",_xlfn.IFS(I169&gt;=0.2,0.5,I169&gt;=0.1,0.35,I169&gt;=0.05,0.2,TRUE,0),IF(D169="Grenade",_xlfn.IFS(I169&gt;=0.2,1,I169&gt;=0.1,0.7,I169&gt;=0.05,0.4,TRUE,0),0))</f>
        <v>0</v>
      </c>
      <c r="L169" s="57">
        <f t="shared" si="58"/>
        <v>0</v>
      </c>
    </row>
    <row r="170" spans="1:12" ht="15" customHeight="1" x14ac:dyDescent="0.25">
      <c r="A170" s="42" t="str" cm="1">
        <f t="array" ref="A170">IFERROR(INDEX(_xlfn._xlws.FILTER(Class_Players!A:A,Class_Players!B:B="Recon"),QUOTIENT(ROW()-ROW($A$2),8)+1),"")</f>
        <v>Special_Foxs</v>
      </c>
      <c r="B170" s="42" t="str">
        <f>_xlfn.XLOOKUP(A170,Class_Players!$A:$A,Class_Players!$B:$B,"")</f>
        <v>Recon</v>
      </c>
      <c r="C170" s="38" t="str" cm="1">
        <f t="array" ref="C170">INDEX(Lookups!$C$2:$C$9,MOD(ROW()-ROW($B$2),ROWS(Lookups!$C$2:$C$9))+1)</f>
        <v>Laser Designator</v>
      </c>
      <c r="D170" s="38" t="str">
        <f>_xlfn.XLOOKUP(C170,Analysis_Gadgets!$C:$C,Analysis_Gadgets!$B:$B)</f>
        <v>Gadget</v>
      </c>
      <c r="E170" s="43">
        <v>73</v>
      </c>
      <c r="F170" s="43">
        <f>_xlfn.XLOOKUP(A170,Class_Players!A:A,Class_Players!G:G)</f>
        <v>214</v>
      </c>
      <c r="G170" s="43">
        <f t="shared" si="46"/>
        <v>0.34112149532710279</v>
      </c>
      <c r="H170" s="43">
        <f>_xlfn.XLOOKUP(A170,Class_Players!$A:$A,Class_Players!$F:$F,"")</f>
        <v>10029</v>
      </c>
      <c r="I170" s="44">
        <f t="shared" si="47"/>
        <v>7.2788912154751221E-3</v>
      </c>
      <c r="J170" s="43">
        <f t="shared" si="48"/>
        <v>0</v>
      </c>
      <c r="K170" s="44" cm="1">
        <f t="array" ref="K170">IF(D170="Gadget",_xlfn.IFS(I170&gt;=0.2,0.5,I170&gt;=0.1,0.35,I170&gt;=0.05,0.2,TRUE,0),IF(D170="Grenade",_xlfn.IFS(I170&gt;=0.2,1,I170&gt;=0.1,0.7,I170&gt;=0.05,0.4,TRUE,0),0))</f>
        <v>0</v>
      </c>
      <c r="L170" s="57">
        <f t="shared" ref="L170:L175" si="59">IF($K170=0,0,$K170 / SUMIFS($K:$K,$A:$A,$A170,$D:$D,"Gadget"))</f>
        <v>0</v>
      </c>
    </row>
    <row r="171" spans="1:12" ht="15" customHeight="1" x14ac:dyDescent="0.25">
      <c r="A171" s="42" t="str" cm="1">
        <f t="array" ref="A171">IFERROR(INDEX(_xlfn._xlws.FILTER(Class_Players!A:A,Class_Players!B:B="Recon"),QUOTIENT(ROW()-ROW($A$2),8)+1),"")</f>
        <v>Special_Foxs</v>
      </c>
      <c r="B171" s="42" t="str">
        <f>_xlfn.XLOOKUP(A171,Class_Players!$A:$A,Class_Players!$B:$B,"")</f>
        <v>Recon</v>
      </c>
      <c r="C171" s="38" t="str" cm="1">
        <f t="array" ref="C171">INDEX(Lookups!$C$2:$C$9,MOD(ROW()-ROW($B$2),ROWS(Lookups!$C$2:$C$9))+1)</f>
        <v>Recon Drone</v>
      </c>
      <c r="D171" s="38" t="str">
        <f>_xlfn.XLOOKUP(C171,Analysis_Gadgets!$C:$C,Analysis_Gadgets!$B:$B)</f>
        <v>Gadget</v>
      </c>
      <c r="E171" s="43">
        <v>114</v>
      </c>
      <c r="F171" s="43">
        <f>_xlfn.XLOOKUP(A171,Class_Players!A:A,Class_Players!G:G)</f>
        <v>214</v>
      </c>
      <c r="G171" s="43">
        <f t="shared" si="46"/>
        <v>0.53271028037383172</v>
      </c>
      <c r="H171" s="43">
        <f>_xlfn.XLOOKUP(A171,Class_Players!$A:$A,Class_Players!$F:$F,"")</f>
        <v>10029</v>
      </c>
      <c r="I171" s="44">
        <f t="shared" si="47"/>
        <v>1.1367035596769369E-2</v>
      </c>
      <c r="J171" s="43">
        <f t="shared" si="48"/>
        <v>0</v>
      </c>
      <c r="K171" s="44" cm="1">
        <f t="array" ref="K171">IF(D171="Gadget",_xlfn.IFS(I171&gt;=0.2,0.5,I171&gt;=0.1,0.35,I171&gt;=0.05,0.2,TRUE,0),IF(D171="Grenade",_xlfn.IFS(I171&gt;=0.2,1,I171&gt;=0.1,0.7,I171&gt;=0.05,0.4,TRUE,0),0))</f>
        <v>0</v>
      </c>
      <c r="L171" s="57">
        <f t="shared" si="59"/>
        <v>0</v>
      </c>
    </row>
    <row r="172" spans="1:12" ht="15" customHeight="1" x14ac:dyDescent="0.25">
      <c r="A172" s="42" t="str" cm="1">
        <f t="array" ref="A172">IFERROR(INDEX(_xlfn._xlws.FILTER(Class_Players!A:A,Class_Players!B:B="Recon"),QUOTIENT(ROW()-ROW($A$2),8)+1),"")</f>
        <v>Special_Foxs</v>
      </c>
      <c r="B172" s="42" t="str">
        <f>_xlfn.XLOOKUP(A172,Class_Players!$A:$A,Class_Players!$B:$B,"")</f>
        <v>Recon</v>
      </c>
      <c r="C172" s="38" t="str" cm="1">
        <f t="array" ref="C172">INDEX(Lookups!$C$2:$C$9,MOD(ROW()-ROW($B$2),ROWS(Lookups!$C$2:$C$9))+1)</f>
        <v>Tracer Dart</v>
      </c>
      <c r="D172" s="38" t="str">
        <f>_xlfn.XLOOKUP(C172,Analysis_Gadgets!$C:$C,Analysis_Gadgets!$B:$B)</f>
        <v>Gadget</v>
      </c>
      <c r="E172" s="43">
        <v>35</v>
      </c>
      <c r="F172" s="43">
        <f>_xlfn.XLOOKUP(A172,Class_Players!A:A,Class_Players!G:G)</f>
        <v>214</v>
      </c>
      <c r="G172" s="43">
        <f t="shared" si="46"/>
        <v>0.16355140186915887</v>
      </c>
      <c r="H172" s="43">
        <f>_xlfn.XLOOKUP(A172,Class_Players!$A:$A,Class_Players!$F:$F,"")</f>
        <v>10029</v>
      </c>
      <c r="I172" s="44">
        <f t="shared" si="47"/>
        <v>3.4898793498853325E-3</v>
      </c>
      <c r="J172" s="43">
        <f t="shared" si="48"/>
        <v>0</v>
      </c>
      <c r="K172" s="44" cm="1">
        <f t="array" ref="K172">IF(D172="Gadget",_xlfn.IFS(I172&gt;=0.2,0.5,I172&gt;=0.1,0.35,I172&gt;=0.05,0.2,TRUE,0),IF(D172="Grenade",_xlfn.IFS(I172&gt;=0.2,1,I172&gt;=0.1,0.7,I172&gt;=0.05,0.4,TRUE,0),0))</f>
        <v>0</v>
      </c>
      <c r="L172" s="57">
        <f t="shared" si="59"/>
        <v>0</v>
      </c>
    </row>
    <row r="173" spans="1:12" ht="15" customHeight="1" x14ac:dyDescent="0.25">
      <c r="A173" s="42" t="str" cm="1">
        <f t="array" ref="A173">IFERROR(INDEX(_xlfn._xlws.FILTER(Class_Players!A:A,Class_Players!B:B="Recon"),QUOTIENT(ROW()-ROW($A$2),8)+1),"")</f>
        <v>Special_Foxs</v>
      </c>
      <c r="B173" s="42" t="str">
        <f>_xlfn.XLOOKUP(A173,Class_Players!$A:$A,Class_Players!$B:$B,"")</f>
        <v>Recon</v>
      </c>
      <c r="C173" s="38" t="str" cm="1">
        <f t="array" ref="C173">INDEX(Lookups!$C$2:$C$9,MOD(ROW()-ROW($B$2),ROWS(Lookups!$C$2:$C$9))+1)</f>
        <v>M18A1 (Claymore)</v>
      </c>
      <c r="D173" s="38" t="str">
        <f>_xlfn.XLOOKUP(C173,Analysis_Gadgets!$C:$C,Analysis_Gadgets!$B:$B)</f>
        <v>Gadget</v>
      </c>
      <c r="E173" s="43">
        <v>269</v>
      </c>
      <c r="F173" s="43">
        <f>_xlfn.XLOOKUP(A173,Class_Players!A:A,Class_Players!G:G)</f>
        <v>214</v>
      </c>
      <c r="G173" s="43">
        <f t="shared" si="46"/>
        <v>1.2570093457943925</v>
      </c>
      <c r="H173" s="43">
        <f>_xlfn.XLOOKUP(A173,Class_Players!$A:$A,Class_Players!$F:$F,"")</f>
        <v>10029</v>
      </c>
      <c r="I173" s="44">
        <f t="shared" si="47"/>
        <v>2.6822215574832983E-2</v>
      </c>
      <c r="J173" s="43">
        <f t="shared" si="48"/>
        <v>0</v>
      </c>
      <c r="K173" s="44" cm="1">
        <f t="array" ref="K173">IF(D173="Gadget",_xlfn.IFS(I173&gt;=0.2,0.5,I173&gt;=0.1,0.35,I173&gt;=0.05,0.2,TRUE,0),IF(D173="Grenade",_xlfn.IFS(I173&gt;=0.2,1,I173&gt;=0.1,0.7,I173&gt;=0.05,0.4,TRUE,0),0))</f>
        <v>0</v>
      </c>
      <c r="L173" s="57">
        <f t="shared" si="59"/>
        <v>0</v>
      </c>
    </row>
    <row r="174" spans="1:12" ht="15" customHeight="1" x14ac:dyDescent="0.25">
      <c r="A174" s="42" t="str" cm="1">
        <f t="array" ref="A174">IFERROR(INDEX(_xlfn._xlws.FILTER(Class_Players!A:A,Class_Players!B:B="Recon"),QUOTIENT(ROW()-ROW($A$2),8)+1),"")</f>
        <v>Special_Foxs</v>
      </c>
      <c r="B174" s="42" t="str">
        <f>_xlfn.XLOOKUP(A174,Class_Players!$A:$A,Class_Players!$B:$B,"")</f>
        <v>Recon</v>
      </c>
      <c r="C174" s="38" t="str" cm="1">
        <f t="array" ref="C174">INDEX(Lookups!$C$2:$C$9,MOD(ROW()-ROW($B$2),ROWS(Lookups!$C$2:$C$9))+1)</f>
        <v>Sniper Decoy</v>
      </c>
      <c r="D174" s="38" t="str">
        <f>_xlfn.XLOOKUP(C174,Analysis_Gadgets!$C:$C,Analysis_Gadgets!$B:$B)</f>
        <v>Gadget</v>
      </c>
      <c r="E174" s="43">
        <v>11</v>
      </c>
      <c r="F174" s="43">
        <f>_xlfn.XLOOKUP(A174,Class_Players!A:A,Class_Players!G:G)</f>
        <v>214</v>
      </c>
      <c r="G174" s="43">
        <f t="shared" si="46"/>
        <v>5.1401869158878503E-2</v>
      </c>
      <c r="H174" s="43">
        <f>_xlfn.XLOOKUP(A174,Class_Players!$A:$A,Class_Players!$F:$F,"")</f>
        <v>10029</v>
      </c>
      <c r="I174" s="44">
        <f t="shared" si="47"/>
        <v>1.0968192242496759E-3</v>
      </c>
      <c r="J174" s="43">
        <f t="shared" si="48"/>
        <v>0</v>
      </c>
      <c r="K174" s="44" cm="1">
        <f t="array" ref="K174">IF(D174="Gadget",_xlfn.IFS(I174&gt;=0.2,0.5,I174&gt;=0.1,0.35,I174&gt;=0.05,0.2,TRUE,0),IF(D174="Grenade",_xlfn.IFS(I174&gt;=0.2,1,I174&gt;=0.1,0.7,I174&gt;=0.05,0.4,TRUE,0),0))</f>
        <v>0</v>
      </c>
      <c r="L174" s="57">
        <f t="shared" si="59"/>
        <v>0</v>
      </c>
    </row>
    <row r="175" spans="1:12" ht="15" customHeight="1" x14ac:dyDescent="0.25">
      <c r="A175" s="42" t="str" cm="1">
        <f t="array" ref="A175">IFERROR(INDEX(_xlfn._xlws.FILTER(Class_Players!A:A,Class_Players!B:B="Recon"),QUOTIENT(ROW()-ROW($A$2),8)+1),"")</f>
        <v>Special_Foxs</v>
      </c>
      <c r="B175" s="42" t="str">
        <f>_xlfn.XLOOKUP(A175,Class_Players!$A:$A,Class_Players!$B:$B,"")</f>
        <v>Recon</v>
      </c>
      <c r="C175" s="38" t="str" cm="1">
        <f t="array" ref="C175">INDEX(Lookups!$C$2:$C$9,MOD(ROW()-ROW($B$2),ROWS(Lookups!$C$2:$C$9))+1)</f>
        <v>C-4 Explosives</v>
      </c>
      <c r="D175" s="38" t="str">
        <f>_xlfn.XLOOKUP(C175,Analysis_Gadgets!$C:$C,Analysis_Gadgets!$B:$B)</f>
        <v>Gadget</v>
      </c>
      <c r="E175" s="43">
        <v>2526</v>
      </c>
      <c r="F175" s="43">
        <f>_xlfn.XLOOKUP(A175,Class_Players!A:A,Class_Players!G:G)</f>
        <v>214</v>
      </c>
      <c r="G175" s="43">
        <f t="shared" si="46"/>
        <v>11.803738317757009</v>
      </c>
      <c r="H175" s="43">
        <f>_xlfn.XLOOKUP(A175,Class_Players!$A:$A,Class_Players!$F:$F,"")</f>
        <v>10029</v>
      </c>
      <c r="I175" s="44">
        <f t="shared" si="47"/>
        <v>0.25186957822315287</v>
      </c>
      <c r="J175" s="43">
        <f t="shared" si="48"/>
        <v>1</v>
      </c>
      <c r="K175" s="44" cm="1">
        <f t="array" ref="K175">IF(D175="Gadget",_xlfn.IFS(I175&gt;=0.2,0.5,I175&gt;=0.1,0.35,I175&gt;=0.05,0.2,TRUE,0),IF(D175="Grenade",_xlfn.IFS(I175&gt;=0.2,1,I175&gt;=0.1,0.7,I175&gt;=0.05,0.4,TRUE,0),0))</f>
        <v>0.5</v>
      </c>
      <c r="L175" s="57">
        <f t="shared" si="59"/>
        <v>1</v>
      </c>
    </row>
    <row r="176" spans="1:12" ht="15" customHeight="1" x14ac:dyDescent="0.25">
      <c r="A176" s="42" t="str" cm="1">
        <f t="array" ref="A176">IFERROR(INDEX(_xlfn._xlws.FILTER(Class_Players!A:A,Class_Players!B:B="Recon"),QUOTIENT(ROW()-ROW($A$2),8)+1),"")</f>
        <v>Special_Foxs</v>
      </c>
      <c r="B176" s="42" t="str">
        <f>_xlfn.XLOOKUP(A176,Class_Players!$A:$A,Class_Players!$B:$B,"")</f>
        <v>Recon</v>
      </c>
      <c r="C176" s="38" t="str" cm="1">
        <f t="array" ref="C176">INDEX(Lookups!$C$2:$C$9,MOD(ROW()-ROW($B$2),ROWS(Lookups!$C$2:$C$9))+1)</f>
        <v>Proximity Detector</v>
      </c>
      <c r="D176" s="38" t="str">
        <f>_xlfn.XLOOKUP(C176,Analysis_Gadgets!$C:$C,Analysis_Gadgets!$B:$B)</f>
        <v>Grenade</v>
      </c>
      <c r="E176" s="43">
        <v>2</v>
      </c>
      <c r="F176" s="43">
        <f>_xlfn.XLOOKUP(A176,Class_Players!A:A,Class_Players!G:G)</f>
        <v>214</v>
      </c>
      <c r="G176" s="43">
        <f t="shared" si="46"/>
        <v>9.3457943925233638E-3</v>
      </c>
      <c r="H176" s="43">
        <f>_xlfn.XLOOKUP(A176,Class_Players!$A:$A,Class_Players!$F:$F,"")</f>
        <v>10029</v>
      </c>
      <c r="I176" s="44">
        <f t="shared" si="47"/>
        <v>1.9942167713630471E-4</v>
      </c>
      <c r="J176" s="43">
        <f t="shared" si="48"/>
        <v>0</v>
      </c>
      <c r="K176" s="44" cm="1">
        <f t="array" ref="K176">IF(D176="Gadget",_xlfn.IFS(I176&gt;=0.2,0.5,I176&gt;=0.1,0.35,I176&gt;=0.05,0.2,TRUE,0),IF(D176="Grenade",_xlfn.IFS(I176&gt;=0.2,1,I176&gt;=0.1,0.7,I176&gt;=0.05,0.4,TRUE,0),0))</f>
        <v>0</v>
      </c>
      <c r="L176" s="57">
        <f t="shared" ref="L176:L177" si="60">IF($K176=0,0,$K176 / SUMIFS($K:$K,$A:$A,$A176,$D:$D,"Grenade"))</f>
        <v>0</v>
      </c>
    </row>
    <row r="177" spans="1:12" ht="15" customHeight="1" x14ac:dyDescent="0.25">
      <c r="A177" s="42" t="str" cm="1">
        <f t="array" ref="A177">IFERROR(INDEX(_xlfn._xlws.FILTER(Class_Players!A:A,Class_Players!B:B="Recon"),QUOTIENT(ROW()-ROW($A$2),8)+1),"")</f>
        <v>Special_Foxs</v>
      </c>
      <c r="B177" s="42" t="str">
        <f>_xlfn.XLOOKUP(A177,Class_Players!$A:$A,Class_Players!$B:$B,"")</f>
        <v>Recon</v>
      </c>
      <c r="C177" s="38" t="str" cm="1">
        <f t="array" ref="C177">INDEX(Lookups!$C$2:$C$9,MOD(ROW()-ROW($B$2),ROWS(Lookups!$C$2:$C$9))+1)</f>
        <v>Throwing Knife</v>
      </c>
      <c r="D177" s="38" t="str">
        <f>_xlfn.XLOOKUP(C177,Analysis_Gadgets!$C:$C,Analysis_Gadgets!$B:$B)</f>
        <v>Grenade</v>
      </c>
      <c r="E177" s="43">
        <v>0</v>
      </c>
      <c r="F177" s="43">
        <f>_xlfn.XLOOKUP(A177,Class_Players!A:A,Class_Players!G:G)</f>
        <v>214</v>
      </c>
      <c r="G177" s="43">
        <f t="shared" si="46"/>
        <v>0</v>
      </c>
      <c r="H177" s="43">
        <f>_xlfn.XLOOKUP(A177,Class_Players!$A:$A,Class_Players!$F:$F,"")</f>
        <v>10029</v>
      </c>
      <c r="I177" s="44">
        <f t="shared" si="47"/>
        <v>0</v>
      </c>
      <c r="J177" s="43">
        <f t="shared" si="48"/>
        <v>0</v>
      </c>
      <c r="K177" s="44" cm="1">
        <f t="array" ref="K177">IF(D177="Gadget",_xlfn.IFS(I177&gt;=0.2,0.5,I177&gt;=0.1,0.35,I177&gt;=0.05,0.2,TRUE,0),IF(D177="Grenade",_xlfn.IFS(I177&gt;=0.2,1,I177&gt;=0.1,0.7,I177&gt;=0.05,0.4,TRUE,0),0))</f>
        <v>0</v>
      </c>
      <c r="L177" s="57">
        <f t="shared" si="60"/>
        <v>0</v>
      </c>
    </row>
    <row r="178" spans="1:12" ht="15" customHeight="1" x14ac:dyDescent="0.25">
      <c r="A178" s="42" t="str" cm="1">
        <f t="array" ref="A178">IFERROR(INDEX(_xlfn._xlws.FILTER(Class_Players!A:A,Class_Players!B:B="Recon"),QUOTIENT(ROW()-ROW($A$2),8)+1),"")</f>
        <v>M3ThatGuy</v>
      </c>
      <c r="B178" s="42" t="str">
        <f>_xlfn.XLOOKUP(A178,Class_Players!$A:$A,Class_Players!$B:$B,"")</f>
        <v>Recon</v>
      </c>
      <c r="C178" s="38" t="str" cm="1">
        <f t="array" ref="C178">INDEX(Lookups!$C$2:$C$9,MOD(ROW()-ROW($B$2),ROWS(Lookups!$C$2:$C$9))+1)</f>
        <v>Laser Designator</v>
      </c>
      <c r="D178" s="38" t="str">
        <f>_xlfn.XLOOKUP(C178,Analysis_Gadgets!$C:$C,Analysis_Gadgets!$B:$B)</f>
        <v>Gadget</v>
      </c>
      <c r="E178" s="43">
        <v>6</v>
      </c>
      <c r="F178" s="43">
        <f>_xlfn.XLOOKUP(A178,Class_Players!A:A,Class_Players!G:G)</f>
        <v>190</v>
      </c>
      <c r="G178" s="43">
        <f t="shared" si="46"/>
        <v>3.1578947368421054E-2</v>
      </c>
      <c r="H178" s="43">
        <f>_xlfn.XLOOKUP(A178,Class_Players!$A:$A,Class_Players!$F:$F,"")</f>
        <v>9788</v>
      </c>
      <c r="I178" s="44">
        <f t="shared" si="47"/>
        <v>6.1299550469963221E-4</v>
      </c>
      <c r="J178" s="43">
        <f t="shared" si="48"/>
        <v>0</v>
      </c>
      <c r="K178" s="44" cm="1">
        <f t="array" ref="K178">IF(D178="Gadget",_xlfn.IFS(I178&gt;=0.2,0.5,I178&gt;=0.1,0.35,I178&gt;=0.05,0.2,TRUE,0),IF(D178="Grenade",_xlfn.IFS(I178&gt;=0.2,1,I178&gt;=0.1,0.7,I178&gt;=0.05,0.4,TRUE,0),0))</f>
        <v>0</v>
      </c>
      <c r="L178" s="57">
        <f t="shared" ref="L178:L183" si="61">IF($K178=0,0,$K178 / SUMIFS($K:$K,$A:$A,$A178,$D:$D,"Gadget"))</f>
        <v>0</v>
      </c>
    </row>
    <row r="179" spans="1:12" ht="15" customHeight="1" x14ac:dyDescent="0.25">
      <c r="A179" s="42" t="str" cm="1">
        <f t="array" ref="A179">IFERROR(INDEX(_xlfn._xlws.FILTER(Class_Players!A:A,Class_Players!B:B="Recon"),QUOTIENT(ROW()-ROW($A$2),8)+1),"")</f>
        <v>M3ThatGuy</v>
      </c>
      <c r="B179" s="42" t="str">
        <f>_xlfn.XLOOKUP(A179,Class_Players!$A:$A,Class_Players!$B:$B,"")</f>
        <v>Recon</v>
      </c>
      <c r="C179" s="38" t="str" cm="1">
        <f t="array" ref="C179">INDEX(Lookups!$C$2:$C$9,MOD(ROW()-ROW($B$2),ROWS(Lookups!$C$2:$C$9))+1)</f>
        <v>Recon Drone</v>
      </c>
      <c r="D179" s="38" t="str">
        <f>_xlfn.XLOOKUP(C179,Analysis_Gadgets!$C:$C,Analysis_Gadgets!$B:$B)</f>
        <v>Gadget</v>
      </c>
      <c r="E179" s="43">
        <v>35</v>
      </c>
      <c r="F179" s="43">
        <f>_xlfn.XLOOKUP(A179,Class_Players!A:A,Class_Players!G:G)</f>
        <v>190</v>
      </c>
      <c r="G179" s="43">
        <f t="shared" si="46"/>
        <v>0.18421052631578946</v>
      </c>
      <c r="H179" s="43">
        <f>_xlfn.XLOOKUP(A179,Class_Players!$A:$A,Class_Players!$F:$F,"")</f>
        <v>9788</v>
      </c>
      <c r="I179" s="44">
        <f t="shared" si="47"/>
        <v>3.5758071107478543E-3</v>
      </c>
      <c r="J179" s="43">
        <f t="shared" si="48"/>
        <v>0</v>
      </c>
      <c r="K179" s="44" cm="1">
        <f t="array" ref="K179">IF(D179="Gadget",_xlfn.IFS(I179&gt;=0.2,0.5,I179&gt;=0.1,0.35,I179&gt;=0.05,0.2,TRUE,0),IF(D179="Grenade",_xlfn.IFS(I179&gt;=0.2,1,I179&gt;=0.1,0.7,I179&gt;=0.05,0.4,TRUE,0),0))</f>
        <v>0</v>
      </c>
      <c r="L179" s="57">
        <f t="shared" si="61"/>
        <v>0</v>
      </c>
    </row>
    <row r="180" spans="1:12" ht="15" customHeight="1" x14ac:dyDescent="0.25">
      <c r="A180" s="42" t="str" cm="1">
        <f t="array" ref="A180">IFERROR(INDEX(_xlfn._xlws.FILTER(Class_Players!A:A,Class_Players!B:B="Recon"),QUOTIENT(ROW()-ROW($A$2),8)+1),"")</f>
        <v>M3ThatGuy</v>
      </c>
      <c r="B180" s="42" t="str">
        <f>_xlfn.XLOOKUP(A180,Class_Players!$A:$A,Class_Players!$B:$B,"")</f>
        <v>Recon</v>
      </c>
      <c r="C180" s="38" t="str" cm="1">
        <f t="array" ref="C180">INDEX(Lookups!$C$2:$C$9,MOD(ROW()-ROW($B$2),ROWS(Lookups!$C$2:$C$9))+1)</f>
        <v>Tracer Dart</v>
      </c>
      <c r="D180" s="38" t="str">
        <f>_xlfn.XLOOKUP(C180,Analysis_Gadgets!$C:$C,Analysis_Gadgets!$B:$B)</f>
        <v>Gadget</v>
      </c>
      <c r="E180" s="43">
        <v>60</v>
      </c>
      <c r="F180" s="43">
        <f>_xlfn.XLOOKUP(A180,Class_Players!A:A,Class_Players!G:G)</f>
        <v>190</v>
      </c>
      <c r="G180" s="43">
        <f t="shared" si="46"/>
        <v>0.31578947368421051</v>
      </c>
      <c r="H180" s="43">
        <f>_xlfn.XLOOKUP(A180,Class_Players!$A:$A,Class_Players!$F:$F,"")</f>
        <v>9788</v>
      </c>
      <c r="I180" s="44">
        <f t="shared" si="47"/>
        <v>6.1299550469963221E-3</v>
      </c>
      <c r="J180" s="43">
        <f t="shared" si="48"/>
        <v>0</v>
      </c>
      <c r="K180" s="44" cm="1">
        <f t="array" ref="K180">IF(D180="Gadget",_xlfn.IFS(I180&gt;=0.2,0.5,I180&gt;=0.1,0.35,I180&gt;=0.05,0.2,TRUE,0),IF(D180="Grenade",_xlfn.IFS(I180&gt;=0.2,1,I180&gt;=0.1,0.7,I180&gt;=0.05,0.4,TRUE,0),0))</f>
        <v>0</v>
      </c>
      <c r="L180" s="57">
        <f t="shared" si="61"/>
        <v>0</v>
      </c>
    </row>
    <row r="181" spans="1:12" ht="15" customHeight="1" x14ac:dyDescent="0.25">
      <c r="A181" s="42" t="str" cm="1">
        <f t="array" ref="A181">IFERROR(INDEX(_xlfn._xlws.FILTER(Class_Players!A:A,Class_Players!B:B="Recon"),QUOTIENT(ROW()-ROW($A$2),8)+1),"")</f>
        <v>M3ThatGuy</v>
      </c>
      <c r="B181" s="42" t="str">
        <f>_xlfn.XLOOKUP(A181,Class_Players!$A:$A,Class_Players!$B:$B,"")</f>
        <v>Recon</v>
      </c>
      <c r="C181" s="38" t="str" cm="1">
        <f t="array" ref="C181">INDEX(Lookups!$C$2:$C$9,MOD(ROW()-ROW($B$2),ROWS(Lookups!$C$2:$C$9))+1)</f>
        <v>M18A1 (Claymore)</v>
      </c>
      <c r="D181" s="38" t="str">
        <f>_xlfn.XLOOKUP(C181,Analysis_Gadgets!$C:$C,Analysis_Gadgets!$B:$B)</f>
        <v>Gadget</v>
      </c>
      <c r="E181" s="43">
        <v>4825</v>
      </c>
      <c r="F181" s="43">
        <f>_xlfn.XLOOKUP(A181,Class_Players!A:A,Class_Players!G:G)</f>
        <v>190</v>
      </c>
      <c r="G181" s="43">
        <f t="shared" si="46"/>
        <v>25.394736842105264</v>
      </c>
      <c r="H181" s="43">
        <f>_xlfn.XLOOKUP(A181,Class_Players!$A:$A,Class_Players!$F:$F,"")</f>
        <v>9788</v>
      </c>
      <c r="I181" s="44">
        <f t="shared" si="47"/>
        <v>0.49295055169595425</v>
      </c>
      <c r="J181" s="43">
        <f t="shared" si="48"/>
        <v>1</v>
      </c>
      <c r="K181" s="44" cm="1">
        <f t="array" ref="K181">IF(D181="Gadget",_xlfn.IFS(I181&gt;=0.2,0.5,I181&gt;=0.1,0.35,I181&gt;=0.05,0.2,TRUE,0),IF(D181="Grenade",_xlfn.IFS(I181&gt;=0.2,1,I181&gt;=0.1,0.7,I181&gt;=0.05,0.4,TRUE,0),0))</f>
        <v>0.5</v>
      </c>
      <c r="L181" s="57">
        <f t="shared" si="61"/>
        <v>0.5</v>
      </c>
    </row>
    <row r="182" spans="1:12" ht="15" customHeight="1" x14ac:dyDescent="0.25">
      <c r="A182" s="42" t="str" cm="1">
        <f t="array" ref="A182">IFERROR(INDEX(_xlfn._xlws.FILTER(Class_Players!A:A,Class_Players!B:B="Recon"),QUOTIENT(ROW()-ROW($A$2),8)+1),"")</f>
        <v>M3ThatGuy</v>
      </c>
      <c r="B182" s="42" t="str">
        <f>_xlfn.XLOOKUP(A182,Class_Players!$A:$A,Class_Players!$B:$B,"")</f>
        <v>Recon</v>
      </c>
      <c r="C182" s="38" t="str" cm="1">
        <f t="array" ref="C182">INDEX(Lookups!$C$2:$C$9,MOD(ROW()-ROW($B$2),ROWS(Lookups!$C$2:$C$9))+1)</f>
        <v>Sniper Decoy</v>
      </c>
      <c r="D182" s="38" t="str">
        <f>_xlfn.XLOOKUP(C182,Analysis_Gadgets!$C:$C,Analysis_Gadgets!$B:$B)</f>
        <v>Gadget</v>
      </c>
      <c r="E182" s="43">
        <v>42</v>
      </c>
      <c r="F182" s="43">
        <f>_xlfn.XLOOKUP(A182,Class_Players!A:A,Class_Players!G:G)</f>
        <v>190</v>
      </c>
      <c r="G182" s="43">
        <f t="shared" si="46"/>
        <v>0.22105263157894736</v>
      </c>
      <c r="H182" s="43">
        <f>_xlfn.XLOOKUP(A182,Class_Players!$A:$A,Class_Players!$F:$F,"")</f>
        <v>9788</v>
      </c>
      <c r="I182" s="44">
        <f t="shared" si="47"/>
        <v>4.290968532897425E-3</v>
      </c>
      <c r="J182" s="43">
        <f t="shared" si="48"/>
        <v>0</v>
      </c>
      <c r="K182" s="44" cm="1">
        <f t="array" ref="K182">IF(D182="Gadget",_xlfn.IFS(I182&gt;=0.2,0.5,I182&gt;=0.1,0.35,I182&gt;=0.05,0.2,TRUE,0),IF(D182="Grenade",_xlfn.IFS(I182&gt;=0.2,1,I182&gt;=0.1,0.7,I182&gt;=0.05,0.4,TRUE,0),0))</f>
        <v>0</v>
      </c>
      <c r="L182" s="57">
        <f t="shared" si="61"/>
        <v>0</v>
      </c>
    </row>
    <row r="183" spans="1:12" ht="15" customHeight="1" x14ac:dyDescent="0.25">
      <c r="A183" s="42" t="str" cm="1">
        <f t="array" ref="A183">IFERROR(INDEX(_xlfn._xlws.FILTER(Class_Players!A:A,Class_Players!B:B="Recon"),QUOTIENT(ROW()-ROW($A$2),8)+1),"")</f>
        <v>M3ThatGuy</v>
      </c>
      <c r="B183" s="42" t="str">
        <f>_xlfn.XLOOKUP(A183,Class_Players!$A:$A,Class_Players!$B:$B,"")</f>
        <v>Recon</v>
      </c>
      <c r="C183" s="38" t="str" cm="1">
        <f t="array" ref="C183">INDEX(Lookups!$C$2:$C$9,MOD(ROW()-ROW($B$2),ROWS(Lookups!$C$2:$C$9))+1)</f>
        <v>C-4 Explosives</v>
      </c>
      <c r="D183" s="38" t="str">
        <f>_xlfn.XLOOKUP(C183,Analysis_Gadgets!$C:$C,Analysis_Gadgets!$B:$B)</f>
        <v>Gadget</v>
      </c>
      <c r="E183" s="43">
        <v>14839</v>
      </c>
      <c r="F183" s="43">
        <f>_xlfn.XLOOKUP(A183,Class_Players!A:A,Class_Players!G:G)</f>
        <v>190</v>
      </c>
      <c r="G183" s="43">
        <f t="shared" si="46"/>
        <v>78.099999999999994</v>
      </c>
      <c r="H183" s="43">
        <f>_xlfn.XLOOKUP(A183,Class_Players!$A:$A,Class_Players!$F:$F,"")</f>
        <v>9788</v>
      </c>
      <c r="I183" s="44">
        <f t="shared" si="47"/>
        <v>1.5160400490396404</v>
      </c>
      <c r="J183" s="43">
        <f t="shared" si="48"/>
        <v>1</v>
      </c>
      <c r="K183" s="44" cm="1">
        <f t="array" ref="K183">IF(D183="Gadget",_xlfn.IFS(I183&gt;=0.2,0.5,I183&gt;=0.1,0.35,I183&gt;=0.05,0.2,TRUE,0),IF(D183="Grenade",_xlfn.IFS(I183&gt;=0.2,1,I183&gt;=0.1,0.7,I183&gt;=0.05,0.4,TRUE,0),0))</f>
        <v>0.5</v>
      </c>
      <c r="L183" s="57">
        <f t="shared" si="61"/>
        <v>0.5</v>
      </c>
    </row>
    <row r="184" spans="1:12" ht="15" customHeight="1" x14ac:dyDescent="0.25">
      <c r="A184" s="42" t="str" cm="1">
        <f t="array" ref="A184">IFERROR(INDEX(_xlfn._xlws.FILTER(Class_Players!A:A,Class_Players!B:B="Recon"),QUOTIENT(ROW()-ROW($A$2),8)+1),"")</f>
        <v>M3ThatGuy</v>
      </c>
      <c r="B184" s="42" t="str">
        <f>_xlfn.XLOOKUP(A184,Class_Players!$A:$A,Class_Players!$B:$B,"")</f>
        <v>Recon</v>
      </c>
      <c r="C184" s="38" t="str" cm="1">
        <f t="array" ref="C184">INDEX(Lookups!$C$2:$C$9,MOD(ROW()-ROW($B$2),ROWS(Lookups!$C$2:$C$9))+1)</f>
        <v>Proximity Detector</v>
      </c>
      <c r="D184" s="38" t="str">
        <f>_xlfn.XLOOKUP(C184,Analysis_Gadgets!$C:$C,Analysis_Gadgets!$B:$B)</f>
        <v>Grenade</v>
      </c>
      <c r="E184" s="43">
        <v>14</v>
      </c>
      <c r="F184" s="43">
        <f>_xlfn.XLOOKUP(A184,Class_Players!A:A,Class_Players!G:G)</f>
        <v>190</v>
      </c>
      <c r="G184" s="43">
        <f t="shared" si="46"/>
        <v>7.3684210526315783E-2</v>
      </c>
      <c r="H184" s="43">
        <f>_xlfn.XLOOKUP(A184,Class_Players!$A:$A,Class_Players!$F:$F,"")</f>
        <v>9788</v>
      </c>
      <c r="I184" s="44">
        <f t="shared" si="47"/>
        <v>1.4303228442991418E-3</v>
      </c>
      <c r="J184" s="43">
        <f t="shared" si="48"/>
        <v>0</v>
      </c>
      <c r="K184" s="44" cm="1">
        <f t="array" ref="K184">IF(D184="Gadget",_xlfn.IFS(I184&gt;=0.2,0.5,I184&gt;=0.1,0.35,I184&gt;=0.05,0.2,TRUE,0),IF(D184="Grenade",_xlfn.IFS(I184&gt;=0.2,1,I184&gt;=0.1,0.7,I184&gt;=0.05,0.4,TRUE,0),0))</f>
        <v>0</v>
      </c>
      <c r="L184" s="57">
        <f t="shared" ref="L184:L185" si="62">IF($K184=0,0,$K184 / SUMIFS($K:$K,$A:$A,$A184,$D:$D,"Grenade"))</f>
        <v>0</v>
      </c>
    </row>
    <row r="185" spans="1:12" ht="15" customHeight="1" x14ac:dyDescent="0.25">
      <c r="A185" s="42" t="str" cm="1">
        <f t="array" ref="A185">IFERROR(INDEX(_xlfn._xlws.FILTER(Class_Players!A:A,Class_Players!B:B="Recon"),QUOTIENT(ROW()-ROW($A$2),8)+1),"")</f>
        <v>M3ThatGuy</v>
      </c>
      <c r="B185" s="42" t="str">
        <f>_xlfn.XLOOKUP(A185,Class_Players!$A:$A,Class_Players!$B:$B,"")</f>
        <v>Recon</v>
      </c>
      <c r="C185" s="38" t="str" cm="1">
        <f t="array" ref="C185">INDEX(Lookups!$C$2:$C$9,MOD(ROW()-ROW($B$2),ROWS(Lookups!$C$2:$C$9))+1)</f>
        <v>Throwing Knife</v>
      </c>
      <c r="D185" s="38" t="str">
        <f>_xlfn.XLOOKUP(C185,Analysis_Gadgets!$C:$C,Analysis_Gadgets!$B:$B)</f>
        <v>Grenade</v>
      </c>
      <c r="E185" s="43">
        <v>9</v>
      </c>
      <c r="F185" s="43">
        <f>_xlfn.XLOOKUP(A185,Class_Players!A:A,Class_Players!G:G)</f>
        <v>190</v>
      </c>
      <c r="G185" s="43">
        <f t="shared" si="46"/>
        <v>4.736842105263158E-2</v>
      </c>
      <c r="H185" s="43">
        <f>_xlfn.XLOOKUP(A185,Class_Players!$A:$A,Class_Players!$F:$F,"")</f>
        <v>9788</v>
      </c>
      <c r="I185" s="44">
        <f t="shared" si="47"/>
        <v>9.1949325704944831E-4</v>
      </c>
      <c r="J185" s="43">
        <f t="shared" si="48"/>
        <v>0</v>
      </c>
      <c r="K185" s="44" cm="1">
        <f t="array" ref="K185">IF(D185="Gadget",_xlfn.IFS(I185&gt;=0.2,0.5,I185&gt;=0.1,0.35,I185&gt;=0.05,0.2,TRUE,0),IF(D185="Grenade",_xlfn.IFS(I185&gt;=0.2,1,I185&gt;=0.1,0.7,I185&gt;=0.05,0.4,TRUE,0),0))</f>
        <v>0</v>
      </c>
      <c r="L185" s="57">
        <f t="shared" si="62"/>
        <v>0</v>
      </c>
    </row>
    <row r="186" spans="1:12" ht="15" customHeight="1" x14ac:dyDescent="0.25">
      <c r="A186" s="42" t="str" cm="1">
        <f t="array" ref="A186">IFERROR(INDEX(_xlfn._xlws.FILTER(Class_Players!A:A,Class_Players!B:B="Recon"),QUOTIENT(ROW()-ROW($A$2),8)+1),"")</f>
        <v>John Battledive</v>
      </c>
      <c r="B186" s="42" t="str">
        <f>_xlfn.XLOOKUP(A186,Class_Players!$A:$A,Class_Players!$B:$B,"")</f>
        <v>Recon</v>
      </c>
      <c r="C186" s="38" t="str" cm="1">
        <f t="array" ref="C186">INDEX(Lookups!$C$2:$C$9,MOD(ROW()-ROW($B$2),ROWS(Lookups!$C$2:$C$9))+1)</f>
        <v>Laser Designator</v>
      </c>
      <c r="D186" s="38" t="str">
        <f>_xlfn.XLOOKUP(C186,Analysis_Gadgets!$C:$C,Analysis_Gadgets!$B:$B)</f>
        <v>Gadget</v>
      </c>
      <c r="E186" s="43">
        <v>195</v>
      </c>
      <c r="F186" s="43">
        <f>_xlfn.XLOOKUP(A186,Class_Players!A:A,Class_Players!G:G)</f>
        <v>310</v>
      </c>
      <c r="G186" s="43">
        <f t="shared" si="46"/>
        <v>0.62903225806451613</v>
      </c>
      <c r="H186" s="43">
        <f>_xlfn.XLOOKUP(A186,Class_Players!$A:$A,Class_Players!$F:$F,"")</f>
        <v>9837</v>
      </c>
      <c r="I186" s="44">
        <f t="shared" si="47"/>
        <v>1.9823116803903629E-2</v>
      </c>
      <c r="J186" s="43">
        <f t="shared" si="48"/>
        <v>0</v>
      </c>
      <c r="K186" s="44" cm="1">
        <f t="array" ref="K186">IF(D186="Gadget",_xlfn.IFS(I186&gt;=0.2,0.5,I186&gt;=0.1,0.35,I186&gt;=0.05,0.2,TRUE,0),IF(D186="Grenade",_xlfn.IFS(I186&gt;=0.2,1,I186&gt;=0.1,0.7,I186&gt;=0.05,0.4,TRUE,0),0))</f>
        <v>0</v>
      </c>
      <c r="L186" s="57">
        <f t="shared" ref="L186:L191" si="63">IF($K186=0,0,$K186 / SUMIFS($K:$K,$A:$A,$A186,$D:$D,"Gadget"))</f>
        <v>0</v>
      </c>
    </row>
    <row r="187" spans="1:12" ht="15" customHeight="1" x14ac:dyDescent="0.25">
      <c r="A187" s="42" t="str" cm="1">
        <f t="array" ref="A187">IFERROR(INDEX(_xlfn._xlws.FILTER(Class_Players!A:A,Class_Players!B:B="Recon"),QUOTIENT(ROW()-ROW($A$2),8)+1),"")</f>
        <v>John Battledive</v>
      </c>
      <c r="B187" s="42" t="str">
        <f>_xlfn.XLOOKUP(A187,Class_Players!$A:$A,Class_Players!$B:$B,"")</f>
        <v>Recon</v>
      </c>
      <c r="C187" s="38" t="str" cm="1">
        <f t="array" ref="C187">INDEX(Lookups!$C$2:$C$9,MOD(ROW()-ROW($B$2),ROWS(Lookups!$C$2:$C$9))+1)</f>
        <v>Recon Drone</v>
      </c>
      <c r="D187" s="38" t="str">
        <f>_xlfn.XLOOKUP(C187,Analysis_Gadgets!$C:$C,Analysis_Gadgets!$B:$B)</f>
        <v>Gadget</v>
      </c>
      <c r="E187" s="43">
        <v>45</v>
      </c>
      <c r="F187" s="43">
        <f>_xlfn.XLOOKUP(A187,Class_Players!A:A,Class_Players!G:G)</f>
        <v>310</v>
      </c>
      <c r="G187" s="43">
        <f t="shared" si="46"/>
        <v>0.14516129032258066</v>
      </c>
      <c r="H187" s="43">
        <f>_xlfn.XLOOKUP(A187,Class_Players!$A:$A,Class_Players!$F:$F,"")</f>
        <v>9837</v>
      </c>
      <c r="I187" s="44">
        <f t="shared" si="47"/>
        <v>4.5745654162854532E-3</v>
      </c>
      <c r="J187" s="43">
        <f t="shared" si="48"/>
        <v>0</v>
      </c>
      <c r="K187" s="44" cm="1">
        <f t="array" ref="K187">IF(D187="Gadget",_xlfn.IFS(I187&gt;=0.2,0.5,I187&gt;=0.1,0.35,I187&gt;=0.05,0.2,TRUE,0),IF(D187="Grenade",_xlfn.IFS(I187&gt;=0.2,1,I187&gt;=0.1,0.7,I187&gt;=0.05,0.4,TRUE,0),0))</f>
        <v>0</v>
      </c>
      <c r="L187" s="57">
        <f t="shared" si="63"/>
        <v>0</v>
      </c>
    </row>
    <row r="188" spans="1:12" ht="15" customHeight="1" x14ac:dyDescent="0.25">
      <c r="A188" s="42" t="str" cm="1">
        <f t="array" ref="A188">IFERROR(INDEX(_xlfn._xlws.FILTER(Class_Players!A:A,Class_Players!B:B="Recon"),QUOTIENT(ROW()-ROW($A$2),8)+1),"")</f>
        <v>John Battledive</v>
      </c>
      <c r="B188" s="42" t="str">
        <f>_xlfn.XLOOKUP(A188,Class_Players!$A:$A,Class_Players!$B:$B,"")</f>
        <v>Recon</v>
      </c>
      <c r="C188" s="38" t="str" cm="1">
        <f t="array" ref="C188">INDEX(Lookups!$C$2:$C$9,MOD(ROW()-ROW($B$2),ROWS(Lookups!$C$2:$C$9))+1)</f>
        <v>Tracer Dart</v>
      </c>
      <c r="D188" s="38" t="str">
        <f>_xlfn.XLOOKUP(C188,Analysis_Gadgets!$C:$C,Analysis_Gadgets!$B:$B)</f>
        <v>Gadget</v>
      </c>
      <c r="E188" s="43">
        <v>28</v>
      </c>
      <c r="F188" s="43">
        <f>_xlfn.XLOOKUP(A188,Class_Players!A:A,Class_Players!G:G)</f>
        <v>310</v>
      </c>
      <c r="G188" s="43">
        <f t="shared" si="46"/>
        <v>9.0322580645161285E-2</v>
      </c>
      <c r="H188" s="43">
        <f>_xlfn.XLOOKUP(A188,Class_Players!$A:$A,Class_Players!$F:$F,"")</f>
        <v>9837</v>
      </c>
      <c r="I188" s="44">
        <f t="shared" si="47"/>
        <v>2.8463962590220596E-3</v>
      </c>
      <c r="J188" s="43">
        <f t="shared" si="48"/>
        <v>0</v>
      </c>
      <c r="K188" s="44" cm="1">
        <f t="array" ref="K188">IF(D188="Gadget",_xlfn.IFS(I188&gt;=0.2,0.5,I188&gt;=0.1,0.35,I188&gt;=0.05,0.2,TRUE,0),IF(D188="Grenade",_xlfn.IFS(I188&gt;=0.2,1,I188&gt;=0.1,0.7,I188&gt;=0.05,0.4,TRUE,0),0))</f>
        <v>0</v>
      </c>
      <c r="L188" s="57">
        <f t="shared" si="63"/>
        <v>0</v>
      </c>
    </row>
    <row r="189" spans="1:12" ht="15" customHeight="1" x14ac:dyDescent="0.25">
      <c r="A189" s="42" t="str" cm="1">
        <f t="array" ref="A189">IFERROR(INDEX(_xlfn._xlws.FILTER(Class_Players!A:A,Class_Players!B:B="Recon"),QUOTIENT(ROW()-ROW($A$2),8)+1),"")</f>
        <v>John Battledive</v>
      </c>
      <c r="B189" s="42" t="str">
        <f>_xlfn.XLOOKUP(A189,Class_Players!$A:$A,Class_Players!$B:$B,"")</f>
        <v>Recon</v>
      </c>
      <c r="C189" s="38" t="str" cm="1">
        <f t="array" ref="C189">INDEX(Lookups!$C$2:$C$9,MOD(ROW()-ROW($B$2),ROWS(Lookups!$C$2:$C$9))+1)</f>
        <v>M18A1 (Claymore)</v>
      </c>
      <c r="D189" s="38" t="str">
        <f>_xlfn.XLOOKUP(C189,Analysis_Gadgets!$C:$C,Analysis_Gadgets!$B:$B)</f>
        <v>Gadget</v>
      </c>
      <c r="E189" s="43">
        <v>2228</v>
      </c>
      <c r="F189" s="43">
        <f>_xlfn.XLOOKUP(A189,Class_Players!A:A,Class_Players!G:G)</f>
        <v>310</v>
      </c>
      <c r="G189" s="43">
        <f t="shared" si="46"/>
        <v>7.1870967741935488</v>
      </c>
      <c r="H189" s="43">
        <f>_xlfn.XLOOKUP(A189,Class_Players!$A:$A,Class_Players!$F:$F,"")</f>
        <v>9837</v>
      </c>
      <c r="I189" s="44">
        <f t="shared" si="47"/>
        <v>0.22649181661075532</v>
      </c>
      <c r="J189" s="43">
        <f t="shared" si="48"/>
        <v>1</v>
      </c>
      <c r="K189" s="44" cm="1">
        <f t="array" ref="K189">IF(D189="Gadget",_xlfn.IFS(I189&gt;=0.2,0.5,I189&gt;=0.1,0.35,I189&gt;=0.05,0.2,TRUE,0),IF(D189="Grenade",_xlfn.IFS(I189&gt;=0.2,1,I189&gt;=0.1,0.7,I189&gt;=0.05,0.4,TRUE,0),0))</f>
        <v>0.5</v>
      </c>
      <c r="L189" s="57">
        <f t="shared" si="63"/>
        <v>0.58823529411764708</v>
      </c>
    </row>
    <row r="190" spans="1:12" ht="15" customHeight="1" x14ac:dyDescent="0.25">
      <c r="A190" s="42" t="str" cm="1">
        <f t="array" ref="A190">IFERROR(INDEX(_xlfn._xlws.FILTER(Class_Players!A:A,Class_Players!B:B="Recon"),QUOTIENT(ROW()-ROW($A$2),8)+1),"")</f>
        <v>John Battledive</v>
      </c>
      <c r="B190" s="42" t="str">
        <f>_xlfn.XLOOKUP(A190,Class_Players!$A:$A,Class_Players!$B:$B,"")</f>
        <v>Recon</v>
      </c>
      <c r="C190" s="38" t="str" cm="1">
        <f t="array" ref="C190">INDEX(Lookups!$C$2:$C$9,MOD(ROW()-ROW($B$2),ROWS(Lookups!$C$2:$C$9))+1)</f>
        <v>Sniper Decoy</v>
      </c>
      <c r="D190" s="38" t="str">
        <f>_xlfn.XLOOKUP(C190,Analysis_Gadgets!$C:$C,Analysis_Gadgets!$B:$B)</f>
        <v>Gadget</v>
      </c>
      <c r="E190" s="43">
        <v>0</v>
      </c>
      <c r="F190" s="43">
        <f>_xlfn.XLOOKUP(A190,Class_Players!A:A,Class_Players!G:G)</f>
        <v>310</v>
      </c>
      <c r="G190" s="43">
        <f t="shared" si="46"/>
        <v>0</v>
      </c>
      <c r="H190" s="43">
        <f>_xlfn.XLOOKUP(A190,Class_Players!$A:$A,Class_Players!$F:$F,"")</f>
        <v>9837</v>
      </c>
      <c r="I190" s="44">
        <f t="shared" si="47"/>
        <v>0</v>
      </c>
      <c r="J190" s="43">
        <f t="shared" si="48"/>
        <v>0</v>
      </c>
      <c r="K190" s="44" cm="1">
        <f t="array" ref="K190">IF(D190="Gadget",_xlfn.IFS(I190&gt;=0.2,0.5,I190&gt;=0.1,0.35,I190&gt;=0.05,0.2,TRUE,0),IF(D190="Grenade",_xlfn.IFS(I190&gt;=0.2,1,I190&gt;=0.1,0.7,I190&gt;=0.05,0.4,TRUE,0),0))</f>
        <v>0</v>
      </c>
      <c r="L190" s="57">
        <f t="shared" si="63"/>
        <v>0</v>
      </c>
    </row>
    <row r="191" spans="1:12" ht="15" customHeight="1" x14ac:dyDescent="0.25">
      <c r="A191" s="42" t="str" cm="1">
        <f t="array" ref="A191">IFERROR(INDEX(_xlfn._xlws.FILTER(Class_Players!A:A,Class_Players!B:B="Recon"),QUOTIENT(ROW()-ROW($A$2),8)+1),"")</f>
        <v>John Battledive</v>
      </c>
      <c r="B191" s="42" t="str">
        <f>_xlfn.XLOOKUP(A191,Class_Players!$A:$A,Class_Players!$B:$B,"")</f>
        <v>Recon</v>
      </c>
      <c r="C191" s="38" t="str" cm="1">
        <f t="array" ref="C191">INDEX(Lookups!$C$2:$C$9,MOD(ROW()-ROW($B$2),ROWS(Lookups!$C$2:$C$9))+1)</f>
        <v>C-4 Explosives</v>
      </c>
      <c r="D191" s="38" t="str">
        <f>_xlfn.XLOOKUP(C191,Analysis_Gadgets!$C:$C,Analysis_Gadgets!$B:$B)</f>
        <v>Gadget</v>
      </c>
      <c r="E191" s="43">
        <v>1696</v>
      </c>
      <c r="F191" s="43">
        <f>_xlfn.XLOOKUP(A191,Class_Players!A:A,Class_Players!G:G)</f>
        <v>310</v>
      </c>
      <c r="G191" s="43">
        <f t="shared" si="46"/>
        <v>5.4709677419354836</v>
      </c>
      <c r="H191" s="43">
        <f>_xlfn.XLOOKUP(A191,Class_Players!$A:$A,Class_Players!$F:$F,"")</f>
        <v>9837</v>
      </c>
      <c r="I191" s="44">
        <f t="shared" si="47"/>
        <v>0.17241028768933617</v>
      </c>
      <c r="J191" s="43">
        <f t="shared" si="48"/>
        <v>1</v>
      </c>
      <c r="K191" s="44" cm="1">
        <f t="array" ref="K191">IF(D191="Gadget",_xlfn.IFS(I191&gt;=0.2,0.5,I191&gt;=0.1,0.35,I191&gt;=0.05,0.2,TRUE,0),IF(D191="Grenade",_xlfn.IFS(I191&gt;=0.2,1,I191&gt;=0.1,0.7,I191&gt;=0.05,0.4,TRUE,0),0))</f>
        <v>0.35</v>
      </c>
      <c r="L191" s="57">
        <f t="shared" si="63"/>
        <v>0.41176470588235292</v>
      </c>
    </row>
    <row r="192" spans="1:12" ht="15" customHeight="1" x14ac:dyDescent="0.25">
      <c r="A192" s="42" t="str" cm="1">
        <f t="array" ref="A192">IFERROR(INDEX(_xlfn._xlws.FILTER(Class_Players!A:A,Class_Players!B:B="Recon"),QUOTIENT(ROW()-ROW($A$2),8)+1),"")</f>
        <v>John Battledive</v>
      </c>
      <c r="B192" s="42" t="str">
        <f>_xlfn.XLOOKUP(A192,Class_Players!$A:$A,Class_Players!$B:$B,"")</f>
        <v>Recon</v>
      </c>
      <c r="C192" s="38" t="str" cm="1">
        <f t="array" ref="C192">INDEX(Lookups!$C$2:$C$9,MOD(ROW()-ROW($B$2),ROWS(Lookups!$C$2:$C$9))+1)</f>
        <v>Proximity Detector</v>
      </c>
      <c r="D192" s="38" t="str">
        <f>_xlfn.XLOOKUP(C192,Analysis_Gadgets!$C:$C,Analysis_Gadgets!$B:$B)</f>
        <v>Grenade</v>
      </c>
      <c r="E192" s="43">
        <v>77</v>
      </c>
      <c r="F192" s="43">
        <f>_xlfn.XLOOKUP(A192,Class_Players!A:A,Class_Players!G:G)</f>
        <v>310</v>
      </c>
      <c r="G192" s="43">
        <f t="shared" si="46"/>
        <v>0.24838709677419354</v>
      </c>
      <c r="H192" s="43">
        <f>_xlfn.XLOOKUP(A192,Class_Players!$A:$A,Class_Players!$F:$F,"")</f>
        <v>9837</v>
      </c>
      <c r="I192" s="44">
        <f t="shared" si="47"/>
        <v>7.827589712310663E-3</v>
      </c>
      <c r="J192" s="43">
        <f t="shared" si="48"/>
        <v>0</v>
      </c>
      <c r="K192" s="44" cm="1">
        <f t="array" ref="K192">IF(D192="Gadget",_xlfn.IFS(I192&gt;=0.2,0.5,I192&gt;=0.1,0.35,I192&gt;=0.05,0.2,TRUE,0),IF(D192="Grenade",_xlfn.IFS(I192&gt;=0.2,1,I192&gt;=0.1,0.7,I192&gt;=0.05,0.4,TRUE,0),0))</f>
        <v>0</v>
      </c>
      <c r="L192" s="57">
        <f t="shared" ref="L192:L193" si="64">IF($K192=0,0,$K192 / SUMIFS($K:$K,$A:$A,$A192,$D:$D,"Grenade"))</f>
        <v>0</v>
      </c>
    </row>
    <row r="193" spans="1:12" ht="15" customHeight="1" x14ac:dyDescent="0.25">
      <c r="A193" s="42" t="str" cm="1">
        <f t="array" ref="A193">IFERROR(INDEX(_xlfn._xlws.FILTER(Class_Players!A:A,Class_Players!B:B="Recon"),QUOTIENT(ROW()-ROW($A$2),8)+1),"")</f>
        <v>John Battledive</v>
      </c>
      <c r="B193" s="42" t="str">
        <f>_xlfn.XLOOKUP(A193,Class_Players!$A:$A,Class_Players!$B:$B,"")</f>
        <v>Recon</v>
      </c>
      <c r="C193" s="38" t="str" cm="1">
        <f t="array" ref="C193">INDEX(Lookups!$C$2:$C$9,MOD(ROW()-ROW($B$2),ROWS(Lookups!$C$2:$C$9))+1)</f>
        <v>Throwing Knife</v>
      </c>
      <c r="D193" s="38" t="str">
        <f>_xlfn.XLOOKUP(C193,Analysis_Gadgets!$C:$C,Analysis_Gadgets!$B:$B)</f>
        <v>Grenade</v>
      </c>
      <c r="E193" s="43">
        <v>0</v>
      </c>
      <c r="F193" s="43">
        <f>_xlfn.XLOOKUP(A193,Class_Players!A:A,Class_Players!G:G)</f>
        <v>310</v>
      </c>
      <c r="G193" s="43">
        <f t="shared" si="46"/>
        <v>0</v>
      </c>
      <c r="H193" s="43">
        <f>_xlfn.XLOOKUP(A193,Class_Players!$A:$A,Class_Players!$F:$F,"")</f>
        <v>9837</v>
      </c>
      <c r="I193" s="44">
        <f t="shared" si="47"/>
        <v>0</v>
      </c>
      <c r="J193" s="43">
        <f t="shared" si="48"/>
        <v>0</v>
      </c>
      <c r="K193" s="44" cm="1">
        <f t="array" ref="K193">IF(D193="Gadget",_xlfn.IFS(I193&gt;=0.2,0.5,I193&gt;=0.1,0.35,I193&gt;=0.05,0.2,TRUE,0),IF(D193="Grenade",_xlfn.IFS(I193&gt;=0.2,1,I193&gt;=0.1,0.7,I193&gt;=0.05,0.4,TRUE,0),0))</f>
        <v>0</v>
      </c>
      <c r="L193" s="57">
        <f t="shared" si="64"/>
        <v>0</v>
      </c>
    </row>
    <row r="194" spans="1:12" ht="15" customHeight="1" x14ac:dyDescent="0.25">
      <c r="A194" s="42" t="str" cm="1">
        <f t="array" ref="A194">IFERROR(INDEX(_xlfn._xlws.FILTER(Class_Players!A:A,Class_Players!B:B="Recon"),QUOTIENT(ROW()-ROW($A$2),8)+1),"")</f>
        <v>Shotgun Savant</v>
      </c>
      <c r="B194" s="42" t="str">
        <f>_xlfn.XLOOKUP(A194,Class_Players!$A:$A,Class_Players!$B:$B,"")</f>
        <v>Recon</v>
      </c>
      <c r="C194" s="38" t="str" cm="1">
        <f t="array" ref="C194">INDEX(Lookups!$C$2:$C$9,MOD(ROW()-ROW($B$2),ROWS(Lookups!$C$2:$C$9))+1)</f>
        <v>Laser Designator</v>
      </c>
      <c r="D194" s="38" t="str">
        <f>_xlfn.XLOOKUP(C194,Analysis_Gadgets!$C:$C,Analysis_Gadgets!$B:$B)</f>
        <v>Gadget</v>
      </c>
      <c r="E194" s="43">
        <v>383</v>
      </c>
      <c r="F194" s="43">
        <f>_xlfn.XLOOKUP(A194,Class_Players!A:A,Class_Players!G:G)</f>
        <v>266</v>
      </c>
      <c r="G194" s="43">
        <f t="shared" ref="G194:G257" si="65">IF(F194=0,"",E194/(F194))</f>
        <v>1.4398496240601504</v>
      </c>
      <c r="H194" s="43">
        <f>_xlfn.XLOOKUP(A194,Class_Players!$A:$A,Class_Players!$F:$F,"")</f>
        <v>9861</v>
      </c>
      <c r="I194" s="44">
        <f t="shared" ref="I194:I257" si="66">IF(H194=0,"",E194/H194)</f>
        <v>3.8839874252104251E-2</v>
      </c>
      <c r="J194" s="43">
        <f t="shared" ref="J194:J257" si="67">IF(I194&gt;=0.1,1,0)</f>
        <v>0</v>
      </c>
      <c r="K194" s="44" cm="1">
        <f t="array" ref="K194">IF(D194="Gadget",_xlfn.IFS(I194&gt;=0.2,0.5,I194&gt;=0.1,0.35,I194&gt;=0.05,0.2,TRUE,0),IF(D194="Grenade",_xlfn.IFS(I194&gt;=0.2,1,I194&gt;=0.1,0.7,I194&gt;=0.05,0.4,TRUE,0),0))</f>
        <v>0</v>
      </c>
      <c r="L194" s="57">
        <f t="shared" ref="L194:L199" si="68">IF($K194=0,0,$K194 / SUMIFS($K:$K,$A:$A,$A194,$D:$D,"Gadget"))</f>
        <v>0</v>
      </c>
    </row>
    <row r="195" spans="1:12" ht="15" customHeight="1" x14ac:dyDescent="0.25">
      <c r="A195" s="42" t="str" cm="1">
        <f t="array" ref="A195">IFERROR(INDEX(_xlfn._xlws.FILTER(Class_Players!A:A,Class_Players!B:B="Recon"),QUOTIENT(ROW()-ROW($A$2),8)+1),"")</f>
        <v>Shotgun Savant</v>
      </c>
      <c r="B195" s="42" t="str">
        <f>_xlfn.XLOOKUP(A195,Class_Players!$A:$A,Class_Players!$B:$B,"")</f>
        <v>Recon</v>
      </c>
      <c r="C195" s="38" t="str" cm="1">
        <f t="array" ref="C195">INDEX(Lookups!$C$2:$C$9,MOD(ROW()-ROW($B$2),ROWS(Lookups!$C$2:$C$9))+1)</f>
        <v>Recon Drone</v>
      </c>
      <c r="D195" s="38" t="str">
        <f>_xlfn.XLOOKUP(C195,Analysis_Gadgets!$C:$C,Analysis_Gadgets!$B:$B)</f>
        <v>Gadget</v>
      </c>
      <c r="E195" s="43">
        <v>120</v>
      </c>
      <c r="F195" s="43">
        <f>_xlfn.XLOOKUP(A195,Class_Players!A:A,Class_Players!G:G)</f>
        <v>266</v>
      </c>
      <c r="G195" s="43">
        <f t="shared" si="65"/>
        <v>0.45112781954887216</v>
      </c>
      <c r="H195" s="43">
        <f>_xlfn.XLOOKUP(A195,Class_Players!$A:$A,Class_Players!$F:$F,"")</f>
        <v>9861</v>
      </c>
      <c r="I195" s="44">
        <f t="shared" si="66"/>
        <v>1.2169151201703681E-2</v>
      </c>
      <c r="J195" s="43">
        <f t="shared" si="67"/>
        <v>0</v>
      </c>
      <c r="K195" s="44" cm="1">
        <f t="array" ref="K195">IF(D195="Gadget",_xlfn.IFS(I195&gt;=0.2,0.5,I195&gt;=0.1,0.35,I195&gt;=0.05,0.2,TRUE,0),IF(D195="Grenade",_xlfn.IFS(I195&gt;=0.2,1,I195&gt;=0.1,0.7,I195&gt;=0.05,0.4,TRUE,0),0))</f>
        <v>0</v>
      </c>
      <c r="L195" s="57">
        <f t="shared" si="68"/>
        <v>0</v>
      </c>
    </row>
    <row r="196" spans="1:12" ht="15" customHeight="1" x14ac:dyDescent="0.25">
      <c r="A196" s="42" t="str" cm="1">
        <f t="array" ref="A196">IFERROR(INDEX(_xlfn._xlws.FILTER(Class_Players!A:A,Class_Players!B:B="Recon"),QUOTIENT(ROW()-ROW($A$2),8)+1),"")</f>
        <v>Shotgun Savant</v>
      </c>
      <c r="B196" s="42" t="str">
        <f>_xlfn.XLOOKUP(A196,Class_Players!$A:$A,Class_Players!$B:$B,"")</f>
        <v>Recon</v>
      </c>
      <c r="C196" s="38" t="str" cm="1">
        <f t="array" ref="C196">INDEX(Lookups!$C$2:$C$9,MOD(ROW()-ROW($B$2),ROWS(Lookups!$C$2:$C$9))+1)</f>
        <v>Tracer Dart</v>
      </c>
      <c r="D196" s="38" t="str">
        <f>_xlfn.XLOOKUP(C196,Analysis_Gadgets!$C:$C,Analysis_Gadgets!$B:$B)</f>
        <v>Gadget</v>
      </c>
      <c r="E196" s="43">
        <v>35</v>
      </c>
      <c r="F196" s="43">
        <f>_xlfn.XLOOKUP(A196,Class_Players!A:A,Class_Players!G:G)</f>
        <v>266</v>
      </c>
      <c r="G196" s="43">
        <f t="shared" si="65"/>
        <v>0.13157894736842105</v>
      </c>
      <c r="H196" s="43">
        <f>_xlfn.XLOOKUP(A196,Class_Players!$A:$A,Class_Players!$F:$F,"")</f>
        <v>9861</v>
      </c>
      <c r="I196" s="44">
        <f t="shared" si="66"/>
        <v>3.5493357671635738E-3</v>
      </c>
      <c r="J196" s="43">
        <f t="shared" si="67"/>
        <v>0</v>
      </c>
      <c r="K196" s="44" cm="1">
        <f t="array" ref="K196">IF(D196="Gadget",_xlfn.IFS(I196&gt;=0.2,0.5,I196&gt;=0.1,0.35,I196&gt;=0.05,0.2,TRUE,0),IF(D196="Grenade",_xlfn.IFS(I196&gt;=0.2,1,I196&gt;=0.1,0.7,I196&gt;=0.05,0.4,TRUE,0),0))</f>
        <v>0</v>
      </c>
      <c r="L196" s="57">
        <f t="shared" si="68"/>
        <v>0</v>
      </c>
    </row>
    <row r="197" spans="1:12" ht="15" customHeight="1" x14ac:dyDescent="0.25">
      <c r="A197" s="42" t="str" cm="1">
        <f t="array" ref="A197">IFERROR(INDEX(_xlfn._xlws.FILTER(Class_Players!A:A,Class_Players!B:B="Recon"),QUOTIENT(ROW()-ROW($A$2),8)+1),"")</f>
        <v>Shotgun Savant</v>
      </c>
      <c r="B197" s="42" t="str">
        <f>_xlfn.XLOOKUP(A197,Class_Players!$A:$A,Class_Players!$B:$B,"")</f>
        <v>Recon</v>
      </c>
      <c r="C197" s="38" t="str" cm="1">
        <f t="array" ref="C197">INDEX(Lookups!$C$2:$C$9,MOD(ROW()-ROW($B$2),ROWS(Lookups!$C$2:$C$9))+1)</f>
        <v>M18A1 (Claymore)</v>
      </c>
      <c r="D197" s="38" t="str">
        <f>_xlfn.XLOOKUP(C197,Analysis_Gadgets!$C:$C,Analysis_Gadgets!$B:$B)</f>
        <v>Gadget</v>
      </c>
      <c r="E197" s="43">
        <v>2339</v>
      </c>
      <c r="F197" s="43">
        <f>_xlfn.XLOOKUP(A197,Class_Players!A:A,Class_Players!G:G)</f>
        <v>266</v>
      </c>
      <c r="G197" s="43">
        <f t="shared" si="65"/>
        <v>8.7932330827067666</v>
      </c>
      <c r="H197" s="43">
        <f>_xlfn.XLOOKUP(A197,Class_Players!$A:$A,Class_Players!$F:$F,"")</f>
        <v>9861</v>
      </c>
      <c r="I197" s="44">
        <f t="shared" si="66"/>
        <v>0.23719703883987425</v>
      </c>
      <c r="J197" s="43">
        <f t="shared" si="67"/>
        <v>1</v>
      </c>
      <c r="K197" s="44" cm="1">
        <f t="array" ref="K197">IF(D197="Gadget",_xlfn.IFS(I197&gt;=0.2,0.5,I197&gt;=0.1,0.35,I197&gt;=0.05,0.2,TRUE,0),IF(D197="Grenade",_xlfn.IFS(I197&gt;=0.2,1,I197&gt;=0.1,0.7,I197&gt;=0.05,0.4,TRUE,0),0))</f>
        <v>0.5</v>
      </c>
      <c r="L197" s="57">
        <f t="shared" si="68"/>
        <v>0.5</v>
      </c>
    </row>
    <row r="198" spans="1:12" ht="15" customHeight="1" x14ac:dyDescent="0.25">
      <c r="A198" s="42" t="str" cm="1">
        <f t="array" ref="A198">IFERROR(INDEX(_xlfn._xlws.FILTER(Class_Players!A:A,Class_Players!B:B="Recon"),QUOTIENT(ROW()-ROW($A$2),8)+1),"")</f>
        <v>Shotgun Savant</v>
      </c>
      <c r="B198" s="42" t="str">
        <f>_xlfn.XLOOKUP(A198,Class_Players!$A:$A,Class_Players!$B:$B,"")</f>
        <v>Recon</v>
      </c>
      <c r="C198" s="38" t="str" cm="1">
        <f t="array" ref="C198">INDEX(Lookups!$C$2:$C$9,MOD(ROW()-ROW($B$2),ROWS(Lookups!$C$2:$C$9))+1)</f>
        <v>Sniper Decoy</v>
      </c>
      <c r="D198" s="38" t="str">
        <f>_xlfn.XLOOKUP(C198,Analysis_Gadgets!$C:$C,Analysis_Gadgets!$B:$B)</f>
        <v>Gadget</v>
      </c>
      <c r="E198" s="43">
        <v>239</v>
      </c>
      <c r="F198" s="43">
        <f>_xlfn.XLOOKUP(A198,Class_Players!A:A,Class_Players!G:G)</f>
        <v>266</v>
      </c>
      <c r="G198" s="43">
        <f t="shared" si="65"/>
        <v>0.89849624060150379</v>
      </c>
      <c r="H198" s="43">
        <f>_xlfn.XLOOKUP(A198,Class_Players!$A:$A,Class_Players!$F:$F,"")</f>
        <v>9861</v>
      </c>
      <c r="I198" s="44">
        <f t="shared" si="66"/>
        <v>2.4236892810059831E-2</v>
      </c>
      <c r="J198" s="43">
        <f t="shared" si="67"/>
        <v>0</v>
      </c>
      <c r="K198" s="44" cm="1">
        <f t="array" ref="K198">IF(D198="Gadget",_xlfn.IFS(I198&gt;=0.2,0.5,I198&gt;=0.1,0.35,I198&gt;=0.05,0.2,TRUE,0),IF(D198="Grenade",_xlfn.IFS(I198&gt;=0.2,1,I198&gt;=0.1,0.7,I198&gt;=0.05,0.4,TRUE,0),0))</f>
        <v>0</v>
      </c>
      <c r="L198" s="57">
        <f t="shared" si="68"/>
        <v>0</v>
      </c>
    </row>
    <row r="199" spans="1:12" ht="15" customHeight="1" x14ac:dyDescent="0.25">
      <c r="A199" s="42" t="str" cm="1">
        <f t="array" ref="A199">IFERROR(INDEX(_xlfn._xlws.FILTER(Class_Players!A:A,Class_Players!B:B="Recon"),QUOTIENT(ROW()-ROW($A$2),8)+1),"")</f>
        <v>Shotgun Savant</v>
      </c>
      <c r="B199" s="42" t="str">
        <f>_xlfn.XLOOKUP(A199,Class_Players!$A:$A,Class_Players!$B:$B,"")</f>
        <v>Recon</v>
      </c>
      <c r="C199" s="38" t="str" cm="1">
        <f t="array" ref="C199">INDEX(Lookups!$C$2:$C$9,MOD(ROW()-ROW($B$2),ROWS(Lookups!$C$2:$C$9))+1)</f>
        <v>C-4 Explosives</v>
      </c>
      <c r="D199" s="38" t="str">
        <f>_xlfn.XLOOKUP(C199,Analysis_Gadgets!$C:$C,Analysis_Gadgets!$B:$B)</f>
        <v>Gadget</v>
      </c>
      <c r="E199" s="43">
        <v>2024</v>
      </c>
      <c r="F199" s="43">
        <f>_xlfn.XLOOKUP(A199,Class_Players!A:A,Class_Players!G:G)</f>
        <v>266</v>
      </c>
      <c r="G199" s="43">
        <f t="shared" si="65"/>
        <v>7.6090225563909772</v>
      </c>
      <c r="H199" s="43">
        <f>_xlfn.XLOOKUP(A199,Class_Players!$A:$A,Class_Players!$F:$F,"")</f>
        <v>9861</v>
      </c>
      <c r="I199" s="44">
        <f t="shared" si="66"/>
        <v>0.2052530169354021</v>
      </c>
      <c r="J199" s="43">
        <f t="shared" si="67"/>
        <v>1</v>
      </c>
      <c r="K199" s="44" cm="1">
        <f t="array" ref="K199">IF(D199="Gadget",_xlfn.IFS(I199&gt;=0.2,0.5,I199&gt;=0.1,0.35,I199&gt;=0.05,0.2,TRUE,0),IF(D199="Grenade",_xlfn.IFS(I199&gt;=0.2,1,I199&gt;=0.1,0.7,I199&gt;=0.05,0.4,TRUE,0),0))</f>
        <v>0.5</v>
      </c>
      <c r="L199" s="57">
        <f t="shared" si="68"/>
        <v>0.5</v>
      </c>
    </row>
    <row r="200" spans="1:12" ht="15" customHeight="1" x14ac:dyDescent="0.25">
      <c r="A200" s="42" t="str" cm="1">
        <f t="array" ref="A200">IFERROR(INDEX(_xlfn._xlws.FILTER(Class_Players!A:A,Class_Players!B:B="Recon"),QUOTIENT(ROW()-ROW($A$2),8)+1),"")</f>
        <v>Shotgun Savant</v>
      </c>
      <c r="B200" s="42" t="str">
        <f>_xlfn.XLOOKUP(A200,Class_Players!$A:$A,Class_Players!$B:$B,"")</f>
        <v>Recon</v>
      </c>
      <c r="C200" s="38" t="str" cm="1">
        <f t="array" ref="C200">INDEX(Lookups!$C$2:$C$9,MOD(ROW()-ROW($B$2),ROWS(Lookups!$C$2:$C$9))+1)</f>
        <v>Proximity Detector</v>
      </c>
      <c r="D200" s="38" t="str">
        <f>_xlfn.XLOOKUP(C200,Analysis_Gadgets!$C:$C,Analysis_Gadgets!$B:$B)</f>
        <v>Grenade</v>
      </c>
      <c r="E200" s="43">
        <v>0</v>
      </c>
      <c r="F200" s="43">
        <f>_xlfn.XLOOKUP(A200,Class_Players!A:A,Class_Players!G:G)</f>
        <v>266</v>
      </c>
      <c r="G200" s="43">
        <f t="shared" si="65"/>
        <v>0</v>
      </c>
      <c r="H200" s="43">
        <f>_xlfn.XLOOKUP(A200,Class_Players!$A:$A,Class_Players!$F:$F,"")</f>
        <v>9861</v>
      </c>
      <c r="I200" s="44">
        <f t="shared" si="66"/>
        <v>0</v>
      </c>
      <c r="J200" s="43">
        <f t="shared" si="67"/>
        <v>0</v>
      </c>
      <c r="K200" s="44" cm="1">
        <f t="array" ref="K200">IF(D200="Gadget",_xlfn.IFS(I200&gt;=0.2,0.5,I200&gt;=0.1,0.35,I200&gt;=0.05,0.2,TRUE,0),IF(D200="Grenade",_xlfn.IFS(I200&gt;=0.2,1,I200&gt;=0.1,0.7,I200&gt;=0.05,0.4,TRUE,0),0))</f>
        <v>0</v>
      </c>
      <c r="L200" s="57">
        <f t="shared" ref="L200:L201" si="69">IF($K200=0,0,$K200 / SUMIFS($K:$K,$A:$A,$A200,$D:$D,"Grenade"))</f>
        <v>0</v>
      </c>
    </row>
    <row r="201" spans="1:12" ht="15" customHeight="1" x14ac:dyDescent="0.25">
      <c r="A201" s="42" t="str" cm="1">
        <f t="array" ref="A201">IFERROR(INDEX(_xlfn._xlws.FILTER(Class_Players!A:A,Class_Players!B:B="Recon"),QUOTIENT(ROW()-ROW($A$2),8)+1),"")</f>
        <v>Shotgun Savant</v>
      </c>
      <c r="B201" s="42" t="str">
        <f>_xlfn.XLOOKUP(A201,Class_Players!$A:$A,Class_Players!$B:$B,"")</f>
        <v>Recon</v>
      </c>
      <c r="C201" s="38" t="str" cm="1">
        <f t="array" ref="C201">INDEX(Lookups!$C$2:$C$9,MOD(ROW()-ROW($B$2),ROWS(Lookups!$C$2:$C$9))+1)</f>
        <v>Throwing Knife</v>
      </c>
      <c r="D201" s="38" t="str">
        <f>_xlfn.XLOOKUP(C201,Analysis_Gadgets!$C:$C,Analysis_Gadgets!$B:$B)</f>
        <v>Grenade</v>
      </c>
      <c r="E201" s="43">
        <v>0</v>
      </c>
      <c r="F201" s="43">
        <f>_xlfn.XLOOKUP(A201,Class_Players!A:A,Class_Players!G:G)</f>
        <v>266</v>
      </c>
      <c r="G201" s="43">
        <f t="shared" si="65"/>
        <v>0</v>
      </c>
      <c r="H201" s="43">
        <f>_xlfn.XLOOKUP(A201,Class_Players!$A:$A,Class_Players!$F:$F,"")</f>
        <v>9861</v>
      </c>
      <c r="I201" s="44">
        <f t="shared" si="66"/>
        <v>0</v>
      </c>
      <c r="J201" s="43">
        <f t="shared" si="67"/>
        <v>0</v>
      </c>
      <c r="K201" s="44" cm="1">
        <f t="array" ref="K201">IF(D201="Gadget",_xlfn.IFS(I201&gt;=0.2,0.5,I201&gt;=0.1,0.35,I201&gt;=0.05,0.2,TRUE,0),IF(D201="Grenade",_xlfn.IFS(I201&gt;=0.2,1,I201&gt;=0.1,0.7,I201&gt;=0.05,0.4,TRUE,0),0))</f>
        <v>0</v>
      </c>
      <c r="L201" s="57">
        <f t="shared" si="69"/>
        <v>0</v>
      </c>
    </row>
    <row r="202" spans="1:12" ht="15" customHeight="1" x14ac:dyDescent="0.25">
      <c r="A202" s="42" t="str" cm="1">
        <f t="array" ref="A202">IFERROR(INDEX(_xlfn._xlws.FILTER(Class_Players!A:A,Class_Players!B:B="Recon"),QUOTIENT(ROW()-ROW($A$2),8)+1),"")</f>
        <v>ken640</v>
      </c>
      <c r="B202" s="42" t="str">
        <f>_xlfn.XLOOKUP(A202,Class_Players!$A:$A,Class_Players!$B:$B,"")</f>
        <v>Recon</v>
      </c>
      <c r="C202" s="38" t="str" cm="1">
        <f t="array" ref="C202">INDEX(Lookups!$C$2:$C$9,MOD(ROW()-ROW($B$2),ROWS(Lookups!$C$2:$C$9))+1)</f>
        <v>Laser Designator</v>
      </c>
      <c r="D202" s="38" t="str">
        <f>_xlfn.XLOOKUP(C202,Analysis_Gadgets!$C:$C,Analysis_Gadgets!$B:$B)</f>
        <v>Gadget</v>
      </c>
      <c r="E202" s="43">
        <v>714</v>
      </c>
      <c r="F202" s="43">
        <f>_xlfn.XLOOKUP(A202,Class_Players!A:A,Class_Players!G:G)</f>
        <v>200</v>
      </c>
      <c r="G202" s="43">
        <f t="shared" si="65"/>
        <v>3.57</v>
      </c>
      <c r="H202" s="43">
        <f>_xlfn.XLOOKUP(A202,Class_Players!$A:$A,Class_Players!$F:$F,"")</f>
        <v>10010</v>
      </c>
      <c r="I202" s="44">
        <f t="shared" si="66"/>
        <v>7.1328671328671323E-2</v>
      </c>
      <c r="J202" s="43">
        <f t="shared" si="67"/>
        <v>0</v>
      </c>
      <c r="K202" s="44" cm="1">
        <f t="array" ref="K202">IF(D202="Gadget",_xlfn.IFS(I202&gt;=0.2,0.5,I202&gt;=0.1,0.35,I202&gt;=0.05,0.2,TRUE,0),IF(D202="Grenade",_xlfn.IFS(I202&gt;=0.2,1,I202&gt;=0.1,0.7,I202&gt;=0.05,0.4,TRUE,0),0))</f>
        <v>0.2</v>
      </c>
      <c r="L202" s="57">
        <f t="shared" ref="L202:L207" si="70">IF($K202=0,0,$K202 / SUMIFS($K:$K,$A:$A,$A202,$D:$D,"Gadget"))</f>
        <v>0.12903225806451613</v>
      </c>
    </row>
    <row r="203" spans="1:12" ht="15" customHeight="1" x14ac:dyDescent="0.25">
      <c r="A203" s="42" t="str" cm="1">
        <f t="array" ref="A203">IFERROR(INDEX(_xlfn._xlws.FILTER(Class_Players!A:A,Class_Players!B:B="Recon"),QUOTIENT(ROW()-ROW($A$2),8)+1),"")</f>
        <v>ken640</v>
      </c>
      <c r="B203" s="42" t="str">
        <f>_xlfn.XLOOKUP(A203,Class_Players!$A:$A,Class_Players!$B:$B,"")</f>
        <v>Recon</v>
      </c>
      <c r="C203" s="38" t="str" cm="1">
        <f t="array" ref="C203">INDEX(Lookups!$C$2:$C$9,MOD(ROW()-ROW($B$2),ROWS(Lookups!$C$2:$C$9))+1)</f>
        <v>Recon Drone</v>
      </c>
      <c r="D203" s="38" t="str">
        <f>_xlfn.XLOOKUP(C203,Analysis_Gadgets!$C:$C,Analysis_Gadgets!$B:$B)</f>
        <v>Gadget</v>
      </c>
      <c r="E203" s="43">
        <v>1651</v>
      </c>
      <c r="F203" s="43">
        <f>_xlfn.XLOOKUP(A203,Class_Players!A:A,Class_Players!G:G)</f>
        <v>200</v>
      </c>
      <c r="G203" s="43">
        <f t="shared" si="65"/>
        <v>8.2550000000000008</v>
      </c>
      <c r="H203" s="43">
        <f>_xlfn.XLOOKUP(A203,Class_Players!$A:$A,Class_Players!$F:$F,"")</f>
        <v>10010</v>
      </c>
      <c r="I203" s="44">
        <f t="shared" si="66"/>
        <v>0.16493506493506493</v>
      </c>
      <c r="J203" s="43">
        <f t="shared" si="67"/>
        <v>1</v>
      </c>
      <c r="K203" s="44" cm="1">
        <f t="array" ref="K203">IF(D203="Gadget",_xlfn.IFS(I203&gt;=0.2,0.5,I203&gt;=0.1,0.35,I203&gt;=0.05,0.2,TRUE,0),IF(D203="Grenade",_xlfn.IFS(I203&gt;=0.2,1,I203&gt;=0.1,0.7,I203&gt;=0.05,0.4,TRUE,0),0))</f>
        <v>0.35</v>
      </c>
      <c r="L203" s="57">
        <f t="shared" si="70"/>
        <v>0.22580645161290319</v>
      </c>
    </row>
    <row r="204" spans="1:12" ht="15" customHeight="1" x14ac:dyDescent="0.25">
      <c r="A204" s="42" t="str" cm="1">
        <f t="array" ref="A204">IFERROR(INDEX(_xlfn._xlws.FILTER(Class_Players!A:A,Class_Players!B:B="Recon"),QUOTIENT(ROW()-ROW($A$2),8)+1),"")</f>
        <v>ken640</v>
      </c>
      <c r="B204" s="42" t="str">
        <f>_xlfn.XLOOKUP(A204,Class_Players!$A:$A,Class_Players!$B:$B,"")</f>
        <v>Recon</v>
      </c>
      <c r="C204" s="38" t="str" cm="1">
        <f t="array" ref="C204">INDEX(Lookups!$C$2:$C$9,MOD(ROW()-ROW($B$2),ROWS(Lookups!$C$2:$C$9))+1)</f>
        <v>Tracer Dart</v>
      </c>
      <c r="D204" s="38" t="str">
        <f>_xlfn.XLOOKUP(C204,Analysis_Gadgets!$C:$C,Analysis_Gadgets!$B:$B)</f>
        <v>Gadget</v>
      </c>
      <c r="E204" s="43">
        <v>21</v>
      </c>
      <c r="F204" s="43">
        <f>_xlfn.XLOOKUP(A204,Class_Players!A:A,Class_Players!G:G)</f>
        <v>200</v>
      </c>
      <c r="G204" s="43">
        <f t="shared" si="65"/>
        <v>0.105</v>
      </c>
      <c r="H204" s="43">
        <f>_xlfn.XLOOKUP(A204,Class_Players!$A:$A,Class_Players!$F:$F,"")</f>
        <v>10010</v>
      </c>
      <c r="I204" s="44">
        <f t="shared" si="66"/>
        <v>2.0979020979020979E-3</v>
      </c>
      <c r="J204" s="43">
        <f t="shared" si="67"/>
        <v>0</v>
      </c>
      <c r="K204" s="44" cm="1">
        <f t="array" ref="K204">IF(D204="Gadget",_xlfn.IFS(I204&gt;=0.2,0.5,I204&gt;=0.1,0.35,I204&gt;=0.05,0.2,TRUE,0),IF(D204="Grenade",_xlfn.IFS(I204&gt;=0.2,1,I204&gt;=0.1,0.7,I204&gt;=0.05,0.4,TRUE,0),0))</f>
        <v>0</v>
      </c>
      <c r="L204" s="57">
        <f t="shared" si="70"/>
        <v>0</v>
      </c>
    </row>
    <row r="205" spans="1:12" ht="15" customHeight="1" x14ac:dyDescent="0.25">
      <c r="A205" s="42" t="str" cm="1">
        <f t="array" ref="A205">IFERROR(INDEX(_xlfn._xlws.FILTER(Class_Players!A:A,Class_Players!B:B="Recon"),QUOTIENT(ROW()-ROW($A$2),8)+1),"")</f>
        <v>ken640</v>
      </c>
      <c r="B205" s="42" t="str">
        <f>_xlfn.XLOOKUP(A205,Class_Players!$A:$A,Class_Players!$B:$B,"")</f>
        <v>Recon</v>
      </c>
      <c r="C205" s="38" t="str" cm="1">
        <f t="array" ref="C205">INDEX(Lookups!$C$2:$C$9,MOD(ROW()-ROW($B$2),ROWS(Lookups!$C$2:$C$9))+1)</f>
        <v>M18A1 (Claymore)</v>
      </c>
      <c r="D205" s="38" t="str">
        <f>_xlfn.XLOOKUP(C205,Analysis_Gadgets!$C:$C,Analysis_Gadgets!$B:$B)</f>
        <v>Gadget</v>
      </c>
      <c r="E205" s="43">
        <v>2102</v>
      </c>
      <c r="F205" s="43">
        <f>_xlfn.XLOOKUP(A205,Class_Players!A:A,Class_Players!G:G)</f>
        <v>200</v>
      </c>
      <c r="G205" s="43">
        <f t="shared" si="65"/>
        <v>10.51</v>
      </c>
      <c r="H205" s="43">
        <f>_xlfn.XLOOKUP(A205,Class_Players!$A:$A,Class_Players!$F:$F,"")</f>
        <v>10010</v>
      </c>
      <c r="I205" s="44">
        <f t="shared" si="66"/>
        <v>0.20999000999001</v>
      </c>
      <c r="J205" s="43">
        <f t="shared" si="67"/>
        <v>1</v>
      </c>
      <c r="K205" s="44" cm="1">
        <f t="array" ref="K205">IF(D205="Gadget",_xlfn.IFS(I205&gt;=0.2,0.5,I205&gt;=0.1,0.35,I205&gt;=0.05,0.2,TRUE,0),IF(D205="Grenade",_xlfn.IFS(I205&gt;=0.2,1,I205&gt;=0.1,0.7,I205&gt;=0.05,0.4,TRUE,0),0))</f>
        <v>0.5</v>
      </c>
      <c r="L205" s="57">
        <f t="shared" si="70"/>
        <v>0.32258064516129031</v>
      </c>
    </row>
    <row r="206" spans="1:12" ht="15" customHeight="1" x14ac:dyDescent="0.25">
      <c r="A206" s="42" t="str" cm="1">
        <f t="array" ref="A206">IFERROR(INDEX(_xlfn._xlws.FILTER(Class_Players!A:A,Class_Players!B:B="Recon"),QUOTIENT(ROW()-ROW($A$2),8)+1),"")</f>
        <v>ken640</v>
      </c>
      <c r="B206" s="42" t="str">
        <f>_xlfn.XLOOKUP(A206,Class_Players!$A:$A,Class_Players!$B:$B,"")</f>
        <v>Recon</v>
      </c>
      <c r="C206" s="38" t="str" cm="1">
        <f t="array" ref="C206">INDEX(Lookups!$C$2:$C$9,MOD(ROW()-ROW($B$2),ROWS(Lookups!$C$2:$C$9))+1)</f>
        <v>Sniper Decoy</v>
      </c>
      <c r="D206" s="38" t="str">
        <f>_xlfn.XLOOKUP(C206,Analysis_Gadgets!$C:$C,Analysis_Gadgets!$B:$B)</f>
        <v>Gadget</v>
      </c>
      <c r="E206" s="43">
        <v>42</v>
      </c>
      <c r="F206" s="43">
        <f>_xlfn.XLOOKUP(A206,Class_Players!A:A,Class_Players!G:G)</f>
        <v>200</v>
      </c>
      <c r="G206" s="43">
        <f t="shared" si="65"/>
        <v>0.21</v>
      </c>
      <c r="H206" s="43">
        <f>_xlfn.XLOOKUP(A206,Class_Players!$A:$A,Class_Players!$F:$F,"")</f>
        <v>10010</v>
      </c>
      <c r="I206" s="44">
        <f t="shared" si="66"/>
        <v>4.1958041958041958E-3</v>
      </c>
      <c r="J206" s="43">
        <f t="shared" si="67"/>
        <v>0</v>
      </c>
      <c r="K206" s="44" cm="1">
        <f t="array" ref="K206">IF(D206="Gadget",_xlfn.IFS(I206&gt;=0.2,0.5,I206&gt;=0.1,0.35,I206&gt;=0.05,0.2,TRUE,0),IF(D206="Grenade",_xlfn.IFS(I206&gt;=0.2,1,I206&gt;=0.1,0.7,I206&gt;=0.05,0.4,TRUE,0),0))</f>
        <v>0</v>
      </c>
      <c r="L206" s="57">
        <f t="shared" si="70"/>
        <v>0</v>
      </c>
    </row>
    <row r="207" spans="1:12" ht="15" customHeight="1" x14ac:dyDescent="0.25">
      <c r="A207" s="42" t="str" cm="1">
        <f t="array" ref="A207">IFERROR(INDEX(_xlfn._xlws.FILTER(Class_Players!A:A,Class_Players!B:B="Recon"),QUOTIENT(ROW()-ROW($A$2),8)+1),"")</f>
        <v>ken640</v>
      </c>
      <c r="B207" s="42" t="str">
        <f>_xlfn.XLOOKUP(A207,Class_Players!$A:$A,Class_Players!$B:$B,"")</f>
        <v>Recon</v>
      </c>
      <c r="C207" s="38" t="str" cm="1">
        <f t="array" ref="C207">INDEX(Lookups!$C$2:$C$9,MOD(ROW()-ROW($B$2),ROWS(Lookups!$C$2:$C$9))+1)</f>
        <v>C-4 Explosives</v>
      </c>
      <c r="D207" s="38" t="str">
        <f>_xlfn.XLOOKUP(C207,Analysis_Gadgets!$C:$C,Analysis_Gadgets!$B:$B)</f>
        <v>Gadget</v>
      </c>
      <c r="E207" s="43">
        <v>3481</v>
      </c>
      <c r="F207" s="43">
        <f>_xlfn.XLOOKUP(A207,Class_Players!A:A,Class_Players!G:G)</f>
        <v>200</v>
      </c>
      <c r="G207" s="43">
        <f t="shared" si="65"/>
        <v>17.405000000000001</v>
      </c>
      <c r="H207" s="43">
        <f>_xlfn.XLOOKUP(A207,Class_Players!$A:$A,Class_Players!$F:$F,"")</f>
        <v>10010</v>
      </c>
      <c r="I207" s="44">
        <f t="shared" si="66"/>
        <v>0.34775224775224778</v>
      </c>
      <c r="J207" s="43">
        <f t="shared" si="67"/>
        <v>1</v>
      </c>
      <c r="K207" s="44" cm="1">
        <f t="array" ref="K207">IF(D207="Gadget",_xlfn.IFS(I207&gt;=0.2,0.5,I207&gt;=0.1,0.35,I207&gt;=0.05,0.2,TRUE,0),IF(D207="Grenade",_xlfn.IFS(I207&gt;=0.2,1,I207&gt;=0.1,0.7,I207&gt;=0.05,0.4,TRUE,0),0))</f>
        <v>0.5</v>
      </c>
      <c r="L207" s="57">
        <f t="shared" si="70"/>
        <v>0.32258064516129031</v>
      </c>
    </row>
    <row r="208" spans="1:12" ht="15" customHeight="1" x14ac:dyDescent="0.25">
      <c r="A208" s="42" t="str" cm="1">
        <f t="array" ref="A208">IFERROR(INDEX(_xlfn._xlws.FILTER(Class_Players!A:A,Class_Players!B:B="Recon"),QUOTIENT(ROW()-ROW($A$2),8)+1),"")</f>
        <v>ken640</v>
      </c>
      <c r="B208" s="42" t="str">
        <f>_xlfn.XLOOKUP(A208,Class_Players!$A:$A,Class_Players!$B:$B,"")</f>
        <v>Recon</v>
      </c>
      <c r="C208" s="38" t="str" cm="1">
        <f t="array" ref="C208">INDEX(Lookups!$C$2:$C$9,MOD(ROW()-ROW($B$2),ROWS(Lookups!$C$2:$C$9))+1)</f>
        <v>Proximity Detector</v>
      </c>
      <c r="D208" s="38" t="str">
        <f>_xlfn.XLOOKUP(C208,Analysis_Gadgets!$C:$C,Analysis_Gadgets!$B:$B)</f>
        <v>Grenade</v>
      </c>
      <c r="E208" s="43">
        <v>4737</v>
      </c>
      <c r="F208" s="43">
        <f>_xlfn.XLOOKUP(A208,Class_Players!A:A,Class_Players!G:G)</f>
        <v>200</v>
      </c>
      <c r="G208" s="43">
        <f t="shared" si="65"/>
        <v>23.684999999999999</v>
      </c>
      <c r="H208" s="43">
        <f>_xlfn.XLOOKUP(A208,Class_Players!$A:$A,Class_Players!$F:$F,"")</f>
        <v>10010</v>
      </c>
      <c r="I208" s="44">
        <f t="shared" si="66"/>
        <v>0.4732267732267732</v>
      </c>
      <c r="J208" s="43">
        <f t="shared" si="67"/>
        <v>1</v>
      </c>
      <c r="K208" s="44" cm="1">
        <f t="array" ref="K208">IF(D208="Gadget",_xlfn.IFS(I208&gt;=0.2,0.5,I208&gt;=0.1,0.35,I208&gt;=0.05,0.2,TRUE,0),IF(D208="Grenade",_xlfn.IFS(I208&gt;=0.2,1,I208&gt;=0.1,0.7,I208&gt;=0.05,0.4,TRUE,0),0))</f>
        <v>1</v>
      </c>
      <c r="L208" s="57">
        <f t="shared" ref="L208:L209" si="71">IF($K208=0,0,$K208 / SUMIFS($K:$K,$A:$A,$A208,$D:$D,"Grenade"))</f>
        <v>1</v>
      </c>
    </row>
    <row r="209" spans="1:12" ht="15" customHeight="1" x14ac:dyDescent="0.25">
      <c r="A209" s="42" t="str" cm="1">
        <f t="array" ref="A209">IFERROR(INDEX(_xlfn._xlws.FILTER(Class_Players!A:A,Class_Players!B:B="Recon"),QUOTIENT(ROW()-ROW($A$2),8)+1),"")</f>
        <v>ken640</v>
      </c>
      <c r="B209" s="42" t="str">
        <f>_xlfn.XLOOKUP(A209,Class_Players!$A:$A,Class_Players!$B:$B,"")</f>
        <v>Recon</v>
      </c>
      <c r="C209" s="38" t="str" cm="1">
        <f t="array" ref="C209">INDEX(Lookups!$C$2:$C$9,MOD(ROW()-ROW($B$2),ROWS(Lookups!$C$2:$C$9))+1)</f>
        <v>Throwing Knife</v>
      </c>
      <c r="D209" s="38" t="str">
        <f>_xlfn.XLOOKUP(C209,Analysis_Gadgets!$C:$C,Analysis_Gadgets!$B:$B)</f>
        <v>Grenade</v>
      </c>
      <c r="E209" s="43">
        <v>2</v>
      </c>
      <c r="F209" s="43">
        <f>_xlfn.XLOOKUP(A209,Class_Players!A:A,Class_Players!G:G)</f>
        <v>200</v>
      </c>
      <c r="G209" s="43">
        <f t="shared" si="65"/>
        <v>0.01</v>
      </c>
      <c r="H209" s="43">
        <f>_xlfn.XLOOKUP(A209,Class_Players!$A:$A,Class_Players!$F:$F,"")</f>
        <v>10010</v>
      </c>
      <c r="I209" s="44">
        <f t="shared" si="66"/>
        <v>1.998001998001998E-4</v>
      </c>
      <c r="J209" s="43">
        <f t="shared" si="67"/>
        <v>0</v>
      </c>
      <c r="K209" s="44" cm="1">
        <f t="array" ref="K209">IF(D209="Gadget",_xlfn.IFS(I209&gt;=0.2,0.5,I209&gt;=0.1,0.35,I209&gt;=0.05,0.2,TRUE,0),IF(D209="Grenade",_xlfn.IFS(I209&gt;=0.2,1,I209&gt;=0.1,0.7,I209&gt;=0.05,0.4,TRUE,0),0))</f>
        <v>0</v>
      </c>
      <c r="L209" s="57">
        <f t="shared" si="71"/>
        <v>0</v>
      </c>
    </row>
    <row r="210" spans="1:12" ht="15" customHeight="1" x14ac:dyDescent="0.25">
      <c r="A210" s="42" t="str" cm="1">
        <f t="array" ref="A210">IFERROR(INDEX(_xlfn._xlws.FILTER(Class_Players!A:A,Class_Players!B:B="Recon"),QUOTIENT(ROW()-ROW($A$2),8)+1),"")</f>
        <v>LukLira_14</v>
      </c>
      <c r="B210" s="42" t="str">
        <f>_xlfn.XLOOKUP(A210,Class_Players!$A:$A,Class_Players!$B:$B,"")</f>
        <v>Recon</v>
      </c>
      <c r="C210" s="38" t="str" cm="1">
        <f t="array" ref="C210">INDEX(Lookups!$C$2:$C$9,MOD(ROW()-ROW($B$2),ROWS(Lookups!$C$2:$C$9))+1)</f>
        <v>Laser Designator</v>
      </c>
      <c r="D210" s="38" t="str">
        <f>_xlfn.XLOOKUP(C210,Analysis_Gadgets!$C:$C,Analysis_Gadgets!$B:$B)</f>
        <v>Gadget</v>
      </c>
      <c r="E210" s="43">
        <v>45</v>
      </c>
      <c r="F210" s="43">
        <f>_xlfn.XLOOKUP(A210,Class_Players!A:A,Class_Players!G:G)</f>
        <v>348</v>
      </c>
      <c r="G210" s="43">
        <f t="shared" si="65"/>
        <v>0.12931034482758622</v>
      </c>
      <c r="H210" s="43">
        <f>_xlfn.XLOOKUP(A210,Class_Players!$A:$A,Class_Players!$F:$F,"")</f>
        <v>9257</v>
      </c>
      <c r="I210" s="44">
        <f t="shared" si="66"/>
        <v>4.8611861294155772E-3</v>
      </c>
      <c r="J210" s="43">
        <f t="shared" si="67"/>
        <v>0</v>
      </c>
      <c r="K210" s="44" cm="1">
        <f t="array" ref="K210">IF(D210="Gadget",_xlfn.IFS(I210&gt;=0.2,0.5,I210&gt;=0.1,0.35,I210&gt;=0.05,0.2,TRUE,0),IF(D210="Grenade",_xlfn.IFS(I210&gt;=0.2,1,I210&gt;=0.1,0.7,I210&gt;=0.05,0.4,TRUE,0),0))</f>
        <v>0</v>
      </c>
      <c r="L210" s="57">
        <f t="shared" ref="L210:L215" si="72">IF($K210=0,0,$K210 / SUMIFS($K:$K,$A:$A,$A210,$D:$D,"Gadget"))</f>
        <v>0</v>
      </c>
    </row>
    <row r="211" spans="1:12" ht="15" customHeight="1" x14ac:dyDescent="0.25">
      <c r="A211" s="42" t="str" cm="1">
        <f t="array" ref="A211">IFERROR(INDEX(_xlfn._xlws.FILTER(Class_Players!A:A,Class_Players!B:B="Recon"),QUOTIENT(ROW()-ROW($A$2),8)+1),"")</f>
        <v>LukLira_14</v>
      </c>
      <c r="B211" s="42" t="str">
        <f>_xlfn.XLOOKUP(A211,Class_Players!$A:$A,Class_Players!$B:$B,"")</f>
        <v>Recon</v>
      </c>
      <c r="C211" s="38" t="str" cm="1">
        <f t="array" ref="C211">INDEX(Lookups!$C$2:$C$9,MOD(ROW()-ROW($B$2),ROWS(Lookups!$C$2:$C$9))+1)</f>
        <v>Recon Drone</v>
      </c>
      <c r="D211" s="38" t="str">
        <f>_xlfn.XLOOKUP(C211,Analysis_Gadgets!$C:$C,Analysis_Gadgets!$B:$B)</f>
        <v>Gadget</v>
      </c>
      <c r="E211" s="43">
        <v>680</v>
      </c>
      <c r="F211" s="43">
        <f>_xlfn.XLOOKUP(A211,Class_Players!A:A,Class_Players!G:G)</f>
        <v>348</v>
      </c>
      <c r="G211" s="43">
        <f t="shared" si="65"/>
        <v>1.9540229885057472</v>
      </c>
      <c r="H211" s="43">
        <f>_xlfn.XLOOKUP(A211,Class_Players!$A:$A,Class_Players!$F:$F,"")</f>
        <v>9257</v>
      </c>
      <c r="I211" s="44">
        <f t="shared" si="66"/>
        <v>7.3457923733390953E-2</v>
      </c>
      <c r="J211" s="43">
        <f t="shared" si="67"/>
        <v>0</v>
      </c>
      <c r="K211" s="44" cm="1">
        <f t="array" ref="K211">IF(D211="Gadget",_xlfn.IFS(I211&gt;=0.2,0.5,I211&gt;=0.1,0.35,I211&gt;=0.05,0.2,TRUE,0),IF(D211="Grenade",_xlfn.IFS(I211&gt;=0.2,1,I211&gt;=0.1,0.7,I211&gt;=0.05,0.4,TRUE,0),0))</f>
        <v>0.2</v>
      </c>
      <c r="L211" s="57">
        <f t="shared" si="72"/>
        <v>0.28571428571428575</v>
      </c>
    </row>
    <row r="212" spans="1:12" ht="15" customHeight="1" x14ac:dyDescent="0.25">
      <c r="A212" s="42" t="str" cm="1">
        <f t="array" ref="A212">IFERROR(INDEX(_xlfn._xlws.FILTER(Class_Players!A:A,Class_Players!B:B="Recon"),QUOTIENT(ROW()-ROW($A$2),8)+1),"")</f>
        <v>LukLira_14</v>
      </c>
      <c r="B212" s="42" t="str">
        <f>_xlfn.XLOOKUP(A212,Class_Players!$A:$A,Class_Players!$B:$B,"")</f>
        <v>Recon</v>
      </c>
      <c r="C212" s="38" t="str" cm="1">
        <f t="array" ref="C212">INDEX(Lookups!$C$2:$C$9,MOD(ROW()-ROW($B$2),ROWS(Lookups!$C$2:$C$9))+1)</f>
        <v>Tracer Dart</v>
      </c>
      <c r="D212" s="38" t="str">
        <f>_xlfn.XLOOKUP(C212,Analysis_Gadgets!$C:$C,Analysis_Gadgets!$B:$B)</f>
        <v>Gadget</v>
      </c>
      <c r="E212" s="43">
        <v>30</v>
      </c>
      <c r="F212" s="43">
        <f>_xlfn.XLOOKUP(A212,Class_Players!A:A,Class_Players!G:G)</f>
        <v>348</v>
      </c>
      <c r="G212" s="43">
        <f t="shared" si="65"/>
        <v>8.6206896551724144E-2</v>
      </c>
      <c r="H212" s="43">
        <f>_xlfn.XLOOKUP(A212,Class_Players!$A:$A,Class_Players!$F:$F,"")</f>
        <v>9257</v>
      </c>
      <c r="I212" s="44">
        <f t="shared" si="66"/>
        <v>3.2407907529437181E-3</v>
      </c>
      <c r="J212" s="43">
        <f t="shared" si="67"/>
        <v>0</v>
      </c>
      <c r="K212" s="44" cm="1">
        <f t="array" ref="K212">IF(D212="Gadget",_xlfn.IFS(I212&gt;=0.2,0.5,I212&gt;=0.1,0.35,I212&gt;=0.05,0.2,TRUE,0),IF(D212="Grenade",_xlfn.IFS(I212&gt;=0.2,1,I212&gt;=0.1,0.7,I212&gt;=0.05,0.4,TRUE,0),0))</f>
        <v>0</v>
      </c>
      <c r="L212" s="57">
        <f t="shared" si="72"/>
        <v>0</v>
      </c>
    </row>
    <row r="213" spans="1:12" ht="15" customHeight="1" x14ac:dyDescent="0.25">
      <c r="A213" s="42" t="str" cm="1">
        <f t="array" ref="A213">IFERROR(INDEX(_xlfn._xlws.FILTER(Class_Players!A:A,Class_Players!B:B="Recon"),QUOTIENT(ROW()-ROW($A$2),8)+1),"")</f>
        <v>LukLira_14</v>
      </c>
      <c r="B213" s="42" t="str">
        <f>_xlfn.XLOOKUP(A213,Class_Players!$A:$A,Class_Players!$B:$B,"")</f>
        <v>Recon</v>
      </c>
      <c r="C213" s="38" t="str" cm="1">
        <f t="array" ref="C213">INDEX(Lookups!$C$2:$C$9,MOD(ROW()-ROW($B$2),ROWS(Lookups!$C$2:$C$9))+1)</f>
        <v>M18A1 (Claymore)</v>
      </c>
      <c r="D213" s="38" t="str">
        <f>_xlfn.XLOOKUP(C213,Analysis_Gadgets!$C:$C,Analysis_Gadgets!$B:$B)</f>
        <v>Gadget</v>
      </c>
      <c r="E213" s="43">
        <v>264</v>
      </c>
      <c r="F213" s="43">
        <f>_xlfn.XLOOKUP(A213,Class_Players!A:A,Class_Players!G:G)</f>
        <v>348</v>
      </c>
      <c r="G213" s="43">
        <f t="shared" si="65"/>
        <v>0.75862068965517238</v>
      </c>
      <c r="H213" s="43">
        <f>_xlfn.XLOOKUP(A213,Class_Players!$A:$A,Class_Players!$F:$F,"")</f>
        <v>9257</v>
      </c>
      <c r="I213" s="44">
        <f t="shared" si="66"/>
        <v>2.8518958625904721E-2</v>
      </c>
      <c r="J213" s="43">
        <f t="shared" si="67"/>
        <v>0</v>
      </c>
      <c r="K213" s="44" cm="1">
        <f t="array" ref="K213">IF(D213="Gadget",_xlfn.IFS(I213&gt;=0.2,0.5,I213&gt;=0.1,0.35,I213&gt;=0.05,0.2,TRUE,0),IF(D213="Grenade",_xlfn.IFS(I213&gt;=0.2,1,I213&gt;=0.1,0.7,I213&gt;=0.05,0.4,TRUE,0),0))</f>
        <v>0</v>
      </c>
      <c r="L213" s="57">
        <f t="shared" si="72"/>
        <v>0</v>
      </c>
    </row>
    <row r="214" spans="1:12" ht="15" customHeight="1" x14ac:dyDescent="0.25">
      <c r="A214" s="42" t="str" cm="1">
        <f t="array" ref="A214">IFERROR(INDEX(_xlfn._xlws.FILTER(Class_Players!A:A,Class_Players!B:B="Recon"),QUOTIENT(ROW()-ROW($A$2),8)+1),"")</f>
        <v>LukLira_14</v>
      </c>
      <c r="B214" s="42" t="str">
        <f>_xlfn.XLOOKUP(A214,Class_Players!$A:$A,Class_Players!$B:$B,"")</f>
        <v>Recon</v>
      </c>
      <c r="C214" s="38" t="str" cm="1">
        <f t="array" ref="C214">INDEX(Lookups!$C$2:$C$9,MOD(ROW()-ROW($B$2),ROWS(Lookups!$C$2:$C$9))+1)</f>
        <v>Sniper Decoy</v>
      </c>
      <c r="D214" s="38" t="str">
        <f>_xlfn.XLOOKUP(C214,Analysis_Gadgets!$C:$C,Analysis_Gadgets!$B:$B)</f>
        <v>Gadget</v>
      </c>
      <c r="E214" s="43">
        <v>24</v>
      </c>
      <c r="F214" s="43">
        <f>_xlfn.XLOOKUP(A214,Class_Players!A:A,Class_Players!G:G)</f>
        <v>348</v>
      </c>
      <c r="G214" s="43">
        <f t="shared" si="65"/>
        <v>6.8965517241379309E-2</v>
      </c>
      <c r="H214" s="43">
        <f>_xlfn.XLOOKUP(A214,Class_Players!$A:$A,Class_Players!$F:$F,"")</f>
        <v>9257</v>
      </c>
      <c r="I214" s="44">
        <f t="shared" si="66"/>
        <v>2.5926326023549746E-3</v>
      </c>
      <c r="J214" s="43">
        <f t="shared" si="67"/>
        <v>0</v>
      </c>
      <c r="K214" s="44" cm="1">
        <f t="array" ref="K214">IF(D214="Gadget",_xlfn.IFS(I214&gt;=0.2,0.5,I214&gt;=0.1,0.35,I214&gt;=0.05,0.2,TRUE,0),IF(D214="Grenade",_xlfn.IFS(I214&gt;=0.2,1,I214&gt;=0.1,0.7,I214&gt;=0.05,0.4,TRUE,0),0))</f>
        <v>0</v>
      </c>
      <c r="L214" s="57">
        <f t="shared" si="72"/>
        <v>0</v>
      </c>
    </row>
    <row r="215" spans="1:12" ht="15" customHeight="1" x14ac:dyDescent="0.25">
      <c r="A215" s="42" t="str" cm="1">
        <f t="array" ref="A215">IFERROR(INDEX(_xlfn._xlws.FILTER(Class_Players!A:A,Class_Players!B:B="Recon"),QUOTIENT(ROW()-ROW($A$2),8)+1),"")</f>
        <v>LukLira_14</v>
      </c>
      <c r="B215" s="42" t="str">
        <f>_xlfn.XLOOKUP(A215,Class_Players!$A:$A,Class_Players!$B:$B,"")</f>
        <v>Recon</v>
      </c>
      <c r="C215" s="38" t="str" cm="1">
        <f t="array" ref="C215">INDEX(Lookups!$C$2:$C$9,MOD(ROW()-ROW($B$2),ROWS(Lookups!$C$2:$C$9))+1)</f>
        <v>C-4 Explosives</v>
      </c>
      <c r="D215" s="38" t="str">
        <f>_xlfn.XLOOKUP(C215,Analysis_Gadgets!$C:$C,Analysis_Gadgets!$B:$B)</f>
        <v>Gadget</v>
      </c>
      <c r="E215" s="43">
        <v>4693</v>
      </c>
      <c r="F215" s="43">
        <f>_xlfn.XLOOKUP(A215,Class_Players!A:A,Class_Players!G:G)</f>
        <v>348</v>
      </c>
      <c r="G215" s="43">
        <f t="shared" si="65"/>
        <v>13.485632183908047</v>
      </c>
      <c r="H215" s="43">
        <f>_xlfn.XLOOKUP(A215,Class_Players!$A:$A,Class_Players!$F:$F,"")</f>
        <v>9257</v>
      </c>
      <c r="I215" s="44">
        <f t="shared" si="66"/>
        <v>0.50696770011882897</v>
      </c>
      <c r="J215" s="43">
        <f t="shared" si="67"/>
        <v>1</v>
      </c>
      <c r="K215" s="44" cm="1">
        <f t="array" ref="K215">IF(D215="Gadget",_xlfn.IFS(I215&gt;=0.2,0.5,I215&gt;=0.1,0.35,I215&gt;=0.05,0.2,TRUE,0),IF(D215="Grenade",_xlfn.IFS(I215&gt;=0.2,1,I215&gt;=0.1,0.7,I215&gt;=0.05,0.4,TRUE,0),0))</f>
        <v>0.5</v>
      </c>
      <c r="L215" s="57">
        <f t="shared" si="72"/>
        <v>0.7142857142857143</v>
      </c>
    </row>
    <row r="216" spans="1:12" ht="15" customHeight="1" x14ac:dyDescent="0.25">
      <c r="A216" s="42" t="str" cm="1">
        <f t="array" ref="A216">IFERROR(INDEX(_xlfn._xlws.FILTER(Class_Players!A:A,Class_Players!B:B="Recon"),QUOTIENT(ROW()-ROW($A$2),8)+1),"")</f>
        <v>LukLira_14</v>
      </c>
      <c r="B216" s="42" t="str">
        <f>_xlfn.XLOOKUP(A216,Class_Players!$A:$A,Class_Players!$B:$B,"")</f>
        <v>Recon</v>
      </c>
      <c r="C216" s="38" t="str" cm="1">
        <f t="array" ref="C216">INDEX(Lookups!$C$2:$C$9,MOD(ROW()-ROW($B$2),ROWS(Lookups!$C$2:$C$9))+1)</f>
        <v>Proximity Detector</v>
      </c>
      <c r="D216" s="38" t="str">
        <f>_xlfn.XLOOKUP(C216,Analysis_Gadgets!$C:$C,Analysis_Gadgets!$B:$B)</f>
        <v>Grenade</v>
      </c>
      <c r="E216" s="43">
        <v>69</v>
      </c>
      <c r="F216" s="43">
        <f>_xlfn.XLOOKUP(A216,Class_Players!A:A,Class_Players!G:G)</f>
        <v>348</v>
      </c>
      <c r="G216" s="43">
        <f t="shared" si="65"/>
        <v>0.19827586206896552</v>
      </c>
      <c r="H216" s="43">
        <f>_xlfn.XLOOKUP(A216,Class_Players!$A:$A,Class_Players!$F:$F,"")</f>
        <v>9257</v>
      </c>
      <c r="I216" s="44">
        <f t="shared" si="66"/>
        <v>7.4538187317705522E-3</v>
      </c>
      <c r="J216" s="43">
        <f t="shared" si="67"/>
        <v>0</v>
      </c>
      <c r="K216" s="44" cm="1">
        <f t="array" ref="K216">IF(D216="Gadget",_xlfn.IFS(I216&gt;=0.2,0.5,I216&gt;=0.1,0.35,I216&gt;=0.05,0.2,TRUE,0),IF(D216="Grenade",_xlfn.IFS(I216&gt;=0.2,1,I216&gt;=0.1,0.7,I216&gt;=0.05,0.4,TRUE,0),0))</f>
        <v>0</v>
      </c>
      <c r="L216" s="57">
        <f t="shared" ref="L216:L217" si="73">IF($K216=0,0,$K216 / SUMIFS($K:$K,$A:$A,$A216,$D:$D,"Grenade"))</f>
        <v>0</v>
      </c>
    </row>
    <row r="217" spans="1:12" ht="15" customHeight="1" x14ac:dyDescent="0.25">
      <c r="A217" s="42" t="str" cm="1">
        <f t="array" ref="A217">IFERROR(INDEX(_xlfn._xlws.FILTER(Class_Players!A:A,Class_Players!B:B="Recon"),QUOTIENT(ROW()-ROW($A$2),8)+1),"")</f>
        <v>LukLira_14</v>
      </c>
      <c r="B217" s="42" t="str">
        <f>_xlfn.XLOOKUP(A217,Class_Players!$A:$A,Class_Players!$B:$B,"")</f>
        <v>Recon</v>
      </c>
      <c r="C217" s="38" t="str" cm="1">
        <f t="array" ref="C217">INDEX(Lookups!$C$2:$C$9,MOD(ROW()-ROW($B$2),ROWS(Lookups!$C$2:$C$9))+1)</f>
        <v>Throwing Knife</v>
      </c>
      <c r="D217" s="38" t="str">
        <f>_xlfn.XLOOKUP(C217,Analysis_Gadgets!$C:$C,Analysis_Gadgets!$B:$B)</f>
        <v>Grenade</v>
      </c>
      <c r="E217" s="43">
        <v>0</v>
      </c>
      <c r="F217" s="43">
        <f>_xlfn.XLOOKUP(A217,Class_Players!A:A,Class_Players!G:G)</f>
        <v>348</v>
      </c>
      <c r="G217" s="43">
        <f t="shared" si="65"/>
        <v>0</v>
      </c>
      <c r="H217" s="43">
        <f>_xlfn.XLOOKUP(A217,Class_Players!$A:$A,Class_Players!$F:$F,"")</f>
        <v>9257</v>
      </c>
      <c r="I217" s="44">
        <f t="shared" si="66"/>
        <v>0</v>
      </c>
      <c r="J217" s="43">
        <f t="shared" si="67"/>
        <v>0</v>
      </c>
      <c r="K217" s="44" cm="1">
        <f t="array" ref="K217">IF(D217="Gadget",_xlfn.IFS(I217&gt;=0.2,0.5,I217&gt;=0.1,0.35,I217&gt;=0.05,0.2,TRUE,0),IF(D217="Grenade",_xlfn.IFS(I217&gt;=0.2,1,I217&gt;=0.1,0.7,I217&gt;=0.05,0.4,TRUE,0),0))</f>
        <v>0</v>
      </c>
      <c r="L217" s="57">
        <f t="shared" si="73"/>
        <v>0</v>
      </c>
    </row>
    <row r="218" spans="1:12" ht="15" customHeight="1" x14ac:dyDescent="0.25">
      <c r="A218" s="42" t="str" cm="1">
        <f t="array" ref="A218">IFERROR(INDEX(_xlfn._xlws.FILTER(Class_Players!A:A,Class_Players!B:B="Recon"),QUOTIENT(ROW()-ROW($A$2),8)+1),"")</f>
        <v>Fate by Fenrir</v>
      </c>
      <c r="B218" s="42" t="str">
        <f>_xlfn.XLOOKUP(A218,Class_Players!$A:$A,Class_Players!$B:$B,"")</f>
        <v>Recon</v>
      </c>
      <c r="C218" s="38" t="str" cm="1">
        <f t="array" ref="C218">INDEX(Lookups!$C$2:$C$9,MOD(ROW()-ROW($B$2),ROWS(Lookups!$C$2:$C$9))+1)</f>
        <v>Laser Designator</v>
      </c>
      <c r="D218" s="38" t="str">
        <f>_xlfn.XLOOKUP(C218,Analysis_Gadgets!$C:$C,Analysis_Gadgets!$B:$B)</f>
        <v>Gadget</v>
      </c>
      <c r="E218" s="43">
        <v>69</v>
      </c>
      <c r="F218" s="43">
        <f>_xlfn.XLOOKUP(A218,Class_Players!A:A,Class_Players!G:G)</f>
        <v>263</v>
      </c>
      <c r="G218" s="43">
        <f t="shared" si="65"/>
        <v>0.26235741444866922</v>
      </c>
      <c r="H218" s="43">
        <f>_xlfn.XLOOKUP(A218,Class_Players!$A:$A,Class_Players!$F:$F,"")</f>
        <v>9192</v>
      </c>
      <c r="I218" s="44">
        <f t="shared" si="66"/>
        <v>7.5065274151436033E-3</v>
      </c>
      <c r="J218" s="43">
        <f t="shared" si="67"/>
        <v>0</v>
      </c>
      <c r="K218" s="44" cm="1">
        <f t="array" ref="K218">IF(D218="Gadget",_xlfn.IFS(I218&gt;=0.2,0.5,I218&gt;=0.1,0.35,I218&gt;=0.05,0.2,TRUE,0),IF(D218="Grenade",_xlfn.IFS(I218&gt;=0.2,1,I218&gt;=0.1,0.7,I218&gt;=0.05,0.4,TRUE,0),0))</f>
        <v>0</v>
      </c>
      <c r="L218" s="57">
        <f t="shared" ref="L218:L223" si="74">IF($K218=0,0,$K218 / SUMIFS($K:$K,$A:$A,$A218,$D:$D,"Gadget"))</f>
        <v>0</v>
      </c>
    </row>
    <row r="219" spans="1:12" ht="15" customHeight="1" x14ac:dyDescent="0.25">
      <c r="A219" s="42" t="str" cm="1">
        <f t="array" ref="A219">IFERROR(INDEX(_xlfn._xlws.FILTER(Class_Players!A:A,Class_Players!B:B="Recon"),QUOTIENT(ROW()-ROW($A$2),8)+1),"")</f>
        <v>Fate by Fenrir</v>
      </c>
      <c r="B219" s="42" t="str">
        <f>_xlfn.XLOOKUP(A219,Class_Players!$A:$A,Class_Players!$B:$B,"")</f>
        <v>Recon</v>
      </c>
      <c r="C219" s="38" t="str" cm="1">
        <f t="array" ref="C219">INDEX(Lookups!$C$2:$C$9,MOD(ROW()-ROW($B$2),ROWS(Lookups!$C$2:$C$9))+1)</f>
        <v>Recon Drone</v>
      </c>
      <c r="D219" s="38" t="str">
        <f>_xlfn.XLOOKUP(C219,Analysis_Gadgets!$C:$C,Analysis_Gadgets!$B:$B)</f>
        <v>Gadget</v>
      </c>
      <c r="E219" s="43">
        <v>2392</v>
      </c>
      <c r="F219" s="43">
        <f>_xlfn.XLOOKUP(A219,Class_Players!A:A,Class_Players!G:G)</f>
        <v>263</v>
      </c>
      <c r="G219" s="43">
        <f t="shared" si="65"/>
        <v>9.0950570342205328</v>
      </c>
      <c r="H219" s="43">
        <f>_xlfn.XLOOKUP(A219,Class_Players!$A:$A,Class_Players!$F:$F,"")</f>
        <v>9192</v>
      </c>
      <c r="I219" s="44">
        <f t="shared" si="66"/>
        <v>0.26022628372497825</v>
      </c>
      <c r="J219" s="43">
        <f t="shared" si="67"/>
        <v>1</v>
      </c>
      <c r="K219" s="44" cm="1">
        <f t="array" ref="K219">IF(D219="Gadget",_xlfn.IFS(I219&gt;=0.2,0.5,I219&gt;=0.1,0.35,I219&gt;=0.05,0.2,TRUE,0),IF(D219="Grenade",_xlfn.IFS(I219&gt;=0.2,1,I219&gt;=0.1,0.7,I219&gt;=0.05,0.4,TRUE,0),0))</f>
        <v>0.5</v>
      </c>
      <c r="L219" s="57">
        <f t="shared" si="74"/>
        <v>0.41666666666666669</v>
      </c>
    </row>
    <row r="220" spans="1:12" ht="15" customHeight="1" x14ac:dyDescent="0.25">
      <c r="A220" s="42" t="str" cm="1">
        <f t="array" ref="A220">IFERROR(INDEX(_xlfn._xlws.FILTER(Class_Players!A:A,Class_Players!B:B="Recon"),QUOTIENT(ROW()-ROW($A$2),8)+1),"")</f>
        <v>Fate by Fenrir</v>
      </c>
      <c r="B220" s="42" t="str">
        <f>_xlfn.XLOOKUP(A220,Class_Players!$A:$A,Class_Players!$B:$B,"")</f>
        <v>Recon</v>
      </c>
      <c r="C220" s="38" t="str" cm="1">
        <f t="array" ref="C220">INDEX(Lookups!$C$2:$C$9,MOD(ROW()-ROW($B$2),ROWS(Lookups!$C$2:$C$9))+1)</f>
        <v>Tracer Dart</v>
      </c>
      <c r="D220" s="38" t="str">
        <f>_xlfn.XLOOKUP(C220,Analysis_Gadgets!$C:$C,Analysis_Gadgets!$B:$B)</f>
        <v>Gadget</v>
      </c>
      <c r="E220" s="43">
        <v>56</v>
      </c>
      <c r="F220" s="43">
        <f>_xlfn.XLOOKUP(A220,Class_Players!A:A,Class_Players!G:G)</f>
        <v>263</v>
      </c>
      <c r="G220" s="43">
        <f t="shared" si="65"/>
        <v>0.21292775665399238</v>
      </c>
      <c r="H220" s="43">
        <f>_xlfn.XLOOKUP(A220,Class_Players!$A:$A,Class_Players!$F:$F,"")</f>
        <v>9192</v>
      </c>
      <c r="I220" s="44">
        <f t="shared" si="66"/>
        <v>6.0922541340295913E-3</v>
      </c>
      <c r="J220" s="43">
        <f t="shared" si="67"/>
        <v>0</v>
      </c>
      <c r="K220" s="44" cm="1">
        <f t="array" ref="K220">IF(D220="Gadget",_xlfn.IFS(I220&gt;=0.2,0.5,I220&gt;=0.1,0.35,I220&gt;=0.05,0.2,TRUE,0),IF(D220="Grenade",_xlfn.IFS(I220&gt;=0.2,1,I220&gt;=0.1,0.7,I220&gt;=0.05,0.4,TRUE,0),0))</f>
        <v>0</v>
      </c>
      <c r="L220" s="57">
        <f t="shared" si="74"/>
        <v>0</v>
      </c>
    </row>
    <row r="221" spans="1:12" ht="15" customHeight="1" x14ac:dyDescent="0.25">
      <c r="A221" s="42" t="str" cm="1">
        <f t="array" ref="A221">IFERROR(INDEX(_xlfn._xlws.FILTER(Class_Players!A:A,Class_Players!B:B="Recon"),QUOTIENT(ROW()-ROW($A$2),8)+1),"")</f>
        <v>Fate by Fenrir</v>
      </c>
      <c r="B221" s="42" t="str">
        <f>_xlfn.XLOOKUP(A221,Class_Players!$A:$A,Class_Players!$B:$B,"")</f>
        <v>Recon</v>
      </c>
      <c r="C221" s="38" t="str" cm="1">
        <f t="array" ref="C221">INDEX(Lookups!$C$2:$C$9,MOD(ROW()-ROW($B$2),ROWS(Lookups!$C$2:$C$9))+1)</f>
        <v>M18A1 (Claymore)</v>
      </c>
      <c r="D221" s="38" t="str">
        <f>_xlfn.XLOOKUP(C221,Analysis_Gadgets!$C:$C,Analysis_Gadgets!$B:$B)</f>
        <v>Gadget</v>
      </c>
      <c r="E221" s="43">
        <v>824</v>
      </c>
      <c r="F221" s="43">
        <f>_xlfn.XLOOKUP(A221,Class_Players!A:A,Class_Players!G:G)</f>
        <v>263</v>
      </c>
      <c r="G221" s="43">
        <f t="shared" si="65"/>
        <v>3.1330798479087454</v>
      </c>
      <c r="H221" s="43">
        <f>_xlfn.XLOOKUP(A221,Class_Players!$A:$A,Class_Players!$F:$F,"")</f>
        <v>9192</v>
      </c>
      <c r="I221" s="44">
        <f t="shared" si="66"/>
        <v>8.964316797214969E-2</v>
      </c>
      <c r="J221" s="43">
        <f t="shared" si="67"/>
        <v>0</v>
      </c>
      <c r="K221" s="44" cm="1">
        <f t="array" ref="K221">IF(D221="Gadget",_xlfn.IFS(I221&gt;=0.2,0.5,I221&gt;=0.1,0.35,I221&gt;=0.05,0.2,TRUE,0),IF(D221="Grenade",_xlfn.IFS(I221&gt;=0.2,1,I221&gt;=0.1,0.7,I221&gt;=0.05,0.4,TRUE,0),0))</f>
        <v>0.2</v>
      </c>
      <c r="L221" s="57">
        <f t="shared" si="74"/>
        <v>0.16666666666666669</v>
      </c>
    </row>
    <row r="222" spans="1:12" ht="15" customHeight="1" x14ac:dyDescent="0.25">
      <c r="A222" s="42" t="str" cm="1">
        <f t="array" ref="A222">IFERROR(INDEX(_xlfn._xlws.FILTER(Class_Players!A:A,Class_Players!B:B="Recon"),QUOTIENT(ROW()-ROW($A$2),8)+1),"")</f>
        <v>Fate by Fenrir</v>
      </c>
      <c r="B222" s="42" t="str">
        <f>_xlfn.XLOOKUP(A222,Class_Players!$A:$A,Class_Players!$B:$B,"")</f>
        <v>Recon</v>
      </c>
      <c r="C222" s="38" t="str" cm="1">
        <f t="array" ref="C222">INDEX(Lookups!$C$2:$C$9,MOD(ROW()-ROW($B$2),ROWS(Lookups!$C$2:$C$9))+1)</f>
        <v>Sniper Decoy</v>
      </c>
      <c r="D222" s="38" t="str">
        <f>_xlfn.XLOOKUP(C222,Analysis_Gadgets!$C:$C,Analysis_Gadgets!$B:$B)</f>
        <v>Gadget</v>
      </c>
      <c r="E222" s="43">
        <v>93</v>
      </c>
      <c r="F222" s="43">
        <f>_xlfn.XLOOKUP(A222,Class_Players!A:A,Class_Players!G:G)</f>
        <v>263</v>
      </c>
      <c r="G222" s="43">
        <f t="shared" si="65"/>
        <v>0.35361216730038025</v>
      </c>
      <c r="H222" s="43">
        <f>_xlfn.XLOOKUP(A222,Class_Players!$A:$A,Class_Players!$F:$F,"")</f>
        <v>9192</v>
      </c>
      <c r="I222" s="44">
        <f t="shared" si="66"/>
        <v>1.0117493472584857E-2</v>
      </c>
      <c r="J222" s="43">
        <f t="shared" si="67"/>
        <v>0</v>
      </c>
      <c r="K222" s="44" cm="1">
        <f t="array" ref="K222">IF(D222="Gadget",_xlfn.IFS(I222&gt;=0.2,0.5,I222&gt;=0.1,0.35,I222&gt;=0.05,0.2,TRUE,0),IF(D222="Grenade",_xlfn.IFS(I222&gt;=0.2,1,I222&gt;=0.1,0.7,I222&gt;=0.05,0.4,TRUE,0),0))</f>
        <v>0</v>
      </c>
      <c r="L222" s="57">
        <f t="shared" si="74"/>
        <v>0</v>
      </c>
    </row>
    <row r="223" spans="1:12" ht="15" customHeight="1" x14ac:dyDescent="0.25">
      <c r="A223" s="42" t="str" cm="1">
        <f t="array" ref="A223">IFERROR(INDEX(_xlfn._xlws.FILTER(Class_Players!A:A,Class_Players!B:B="Recon"),QUOTIENT(ROW()-ROW($A$2),8)+1),"")</f>
        <v>Fate by Fenrir</v>
      </c>
      <c r="B223" s="42" t="str">
        <f>_xlfn.XLOOKUP(A223,Class_Players!$A:$A,Class_Players!$B:$B,"")</f>
        <v>Recon</v>
      </c>
      <c r="C223" s="38" t="str" cm="1">
        <f t="array" ref="C223">INDEX(Lookups!$C$2:$C$9,MOD(ROW()-ROW($B$2),ROWS(Lookups!$C$2:$C$9))+1)</f>
        <v>C-4 Explosives</v>
      </c>
      <c r="D223" s="38" t="str">
        <f>_xlfn.XLOOKUP(C223,Analysis_Gadgets!$C:$C,Analysis_Gadgets!$B:$B)</f>
        <v>Gadget</v>
      </c>
      <c r="E223" s="43">
        <v>2404</v>
      </c>
      <c r="F223" s="43">
        <f>_xlfn.XLOOKUP(A223,Class_Players!A:A,Class_Players!G:G)</f>
        <v>263</v>
      </c>
      <c r="G223" s="43">
        <f t="shared" si="65"/>
        <v>9.1406844106463883</v>
      </c>
      <c r="H223" s="43">
        <f>_xlfn.XLOOKUP(A223,Class_Players!$A:$A,Class_Players!$F:$F,"")</f>
        <v>9192</v>
      </c>
      <c r="I223" s="44">
        <f t="shared" si="66"/>
        <v>0.26153176675369888</v>
      </c>
      <c r="J223" s="43">
        <f t="shared" si="67"/>
        <v>1</v>
      </c>
      <c r="K223" s="44" cm="1">
        <f t="array" ref="K223">IF(D223="Gadget",_xlfn.IFS(I223&gt;=0.2,0.5,I223&gt;=0.1,0.35,I223&gt;=0.05,0.2,TRUE,0),IF(D223="Grenade",_xlfn.IFS(I223&gt;=0.2,1,I223&gt;=0.1,0.7,I223&gt;=0.05,0.4,TRUE,0),0))</f>
        <v>0.5</v>
      </c>
      <c r="L223" s="57">
        <f t="shared" si="74"/>
        <v>0.41666666666666669</v>
      </c>
    </row>
    <row r="224" spans="1:12" ht="15" customHeight="1" x14ac:dyDescent="0.25">
      <c r="A224" s="42" t="str" cm="1">
        <f t="array" ref="A224">IFERROR(INDEX(_xlfn._xlws.FILTER(Class_Players!A:A,Class_Players!B:B="Recon"),QUOTIENT(ROW()-ROW($A$2),8)+1),"")</f>
        <v>Fate by Fenrir</v>
      </c>
      <c r="B224" s="42" t="str">
        <f>_xlfn.XLOOKUP(A224,Class_Players!$A:$A,Class_Players!$B:$B,"")</f>
        <v>Recon</v>
      </c>
      <c r="C224" s="38" t="str" cm="1">
        <f t="array" ref="C224">INDEX(Lookups!$C$2:$C$9,MOD(ROW()-ROW($B$2),ROWS(Lookups!$C$2:$C$9))+1)</f>
        <v>Proximity Detector</v>
      </c>
      <c r="D224" s="38" t="str">
        <f>_xlfn.XLOOKUP(C224,Analysis_Gadgets!$C:$C,Analysis_Gadgets!$B:$B)</f>
        <v>Grenade</v>
      </c>
      <c r="E224" s="43">
        <v>3863</v>
      </c>
      <c r="F224" s="43">
        <f>_xlfn.XLOOKUP(A224,Class_Players!A:A,Class_Players!G:G)</f>
        <v>263</v>
      </c>
      <c r="G224" s="43">
        <f t="shared" si="65"/>
        <v>14.688212927756654</v>
      </c>
      <c r="H224" s="43">
        <f>_xlfn.XLOOKUP(A224,Class_Players!$A:$A,Class_Players!$F:$F,"")</f>
        <v>9192</v>
      </c>
      <c r="I224" s="44">
        <f t="shared" si="66"/>
        <v>0.42025674499564841</v>
      </c>
      <c r="J224" s="43">
        <f t="shared" si="67"/>
        <v>1</v>
      </c>
      <c r="K224" s="44" cm="1">
        <f t="array" ref="K224">IF(D224="Gadget",_xlfn.IFS(I224&gt;=0.2,0.5,I224&gt;=0.1,0.35,I224&gt;=0.05,0.2,TRUE,0),IF(D224="Grenade",_xlfn.IFS(I224&gt;=0.2,1,I224&gt;=0.1,0.7,I224&gt;=0.05,0.4,TRUE,0),0))</f>
        <v>1</v>
      </c>
      <c r="L224" s="57">
        <f t="shared" ref="L224:L225" si="75">IF($K224=0,0,$K224 / SUMIFS($K:$K,$A:$A,$A224,$D:$D,"Grenade"))</f>
        <v>1</v>
      </c>
    </row>
    <row r="225" spans="1:12" ht="15" customHeight="1" x14ac:dyDescent="0.25">
      <c r="A225" s="42" t="str" cm="1">
        <f t="array" ref="A225">IFERROR(INDEX(_xlfn._xlws.FILTER(Class_Players!A:A,Class_Players!B:B="Recon"),QUOTIENT(ROW()-ROW($A$2),8)+1),"")</f>
        <v>Fate by Fenrir</v>
      </c>
      <c r="B225" s="42" t="str">
        <f>_xlfn.XLOOKUP(A225,Class_Players!$A:$A,Class_Players!$B:$B,"")</f>
        <v>Recon</v>
      </c>
      <c r="C225" s="38" t="str" cm="1">
        <f t="array" ref="C225">INDEX(Lookups!$C$2:$C$9,MOD(ROW()-ROW($B$2),ROWS(Lookups!$C$2:$C$9))+1)</f>
        <v>Throwing Knife</v>
      </c>
      <c r="D225" s="38" t="str">
        <f>_xlfn.XLOOKUP(C225,Analysis_Gadgets!$C:$C,Analysis_Gadgets!$B:$B)</f>
        <v>Grenade</v>
      </c>
      <c r="E225" s="43">
        <v>79</v>
      </c>
      <c r="F225" s="43">
        <f>_xlfn.XLOOKUP(A225,Class_Players!A:A,Class_Players!G:G)</f>
        <v>263</v>
      </c>
      <c r="G225" s="43">
        <f t="shared" si="65"/>
        <v>0.30038022813688214</v>
      </c>
      <c r="H225" s="43">
        <f>_xlfn.XLOOKUP(A225,Class_Players!$A:$A,Class_Players!$F:$F,"")</f>
        <v>9192</v>
      </c>
      <c r="I225" s="44">
        <f t="shared" si="66"/>
        <v>8.5944299390774588E-3</v>
      </c>
      <c r="J225" s="43">
        <f t="shared" si="67"/>
        <v>0</v>
      </c>
      <c r="K225" s="44" cm="1">
        <f t="array" ref="K225">IF(D225="Gadget",_xlfn.IFS(I225&gt;=0.2,0.5,I225&gt;=0.1,0.35,I225&gt;=0.05,0.2,TRUE,0),IF(D225="Grenade",_xlfn.IFS(I225&gt;=0.2,1,I225&gt;=0.1,0.7,I225&gt;=0.05,0.4,TRUE,0),0))</f>
        <v>0</v>
      </c>
      <c r="L225" s="57">
        <f t="shared" si="75"/>
        <v>0</v>
      </c>
    </row>
    <row r="226" spans="1:12" ht="15" customHeight="1" x14ac:dyDescent="0.25">
      <c r="A226" s="42" t="str" cm="1">
        <f t="array" ref="A226">IFERROR(INDEX(_xlfn._xlws.FILTER(Class_Players!A:A,Class_Players!B:B="Recon"),QUOTIENT(ROW()-ROW($A$2),8)+1),"")</f>
        <v>//M34_</v>
      </c>
      <c r="B226" s="42" t="str">
        <f>_xlfn.XLOOKUP(A226,Class_Players!$A:$A,Class_Players!$B:$B,"")</f>
        <v>Recon</v>
      </c>
      <c r="C226" s="38" t="str" cm="1">
        <f t="array" ref="C226">INDEX(Lookups!$C$2:$C$9,MOD(ROW()-ROW($B$2),ROWS(Lookups!$C$2:$C$9))+1)</f>
        <v>Laser Designator</v>
      </c>
      <c r="D226" s="38" t="str">
        <f>_xlfn.XLOOKUP(C226,Analysis_Gadgets!$C:$C,Analysis_Gadgets!$B:$B)</f>
        <v>Gadget</v>
      </c>
      <c r="E226" s="43">
        <v>3012</v>
      </c>
      <c r="F226" s="43">
        <f>_xlfn.XLOOKUP(A226,Class_Players!A:A,Class_Players!G:G)</f>
        <v>239</v>
      </c>
      <c r="G226" s="43">
        <f t="shared" si="65"/>
        <v>12.602510460251047</v>
      </c>
      <c r="H226" s="43">
        <f>_xlfn.XLOOKUP(A226,Class_Players!$A:$A,Class_Players!$F:$F,"")</f>
        <v>9016</v>
      </c>
      <c r="I226" s="44">
        <f t="shared" si="66"/>
        <v>0.33407275953859805</v>
      </c>
      <c r="J226" s="43">
        <f t="shared" si="67"/>
        <v>1</v>
      </c>
      <c r="K226" s="44" cm="1">
        <f t="array" ref="K226">IF(D226="Gadget",_xlfn.IFS(I226&gt;=0.2,0.5,I226&gt;=0.1,0.35,I226&gt;=0.05,0.2,TRUE,0),IF(D226="Grenade",_xlfn.IFS(I226&gt;=0.2,1,I226&gt;=0.1,0.7,I226&gt;=0.05,0.4,TRUE,0),0))</f>
        <v>0.5</v>
      </c>
      <c r="L226" s="57">
        <f t="shared" ref="L226:L231" si="76">IF($K226=0,0,$K226 / SUMIFS($K:$K,$A:$A,$A226,$D:$D,"Gadget"))</f>
        <v>0.29411764705882354</v>
      </c>
    </row>
    <row r="227" spans="1:12" ht="15" customHeight="1" x14ac:dyDescent="0.25">
      <c r="A227" s="42" t="str" cm="1">
        <f t="array" ref="A227">IFERROR(INDEX(_xlfn._xlws.FILTER(Class_Players!A:A,Class_Players!B:B="Recon"),QUOTIENT(ROW()-ROW($A$2),8)+1),"")</f>
        <v>//M34_</v>
      </c>
      <c r="B227" s="42" t="str">
        <f>_xlfn.XLOOKUP(A227,Class_Players!$A:$A,Class_Players!$B:$B,"")</f>
        <v>Recon</v>
      </c>
      <c r="C227" s="38" t="str" cm="1">
        <f t="array" ref="C227">INDEX(Lookups!$C$2:$C$9,MOD(ROW()-ROW($B$2),ROWS(Lookups!$C$2:$C$9))+1)</f>
        <v>Recon Drone</v>
      </c>
      <c r="D227" s="38" t="str">
        <f>_xlfn.XLOOKUP(C227,Analysis_Gadgets!$C:$C,Analysis_Gadgets!$B:$B)</f>
        <v>Gadget</v>
      </c>
      <c r="E227" s="43">
        <v>467</v>
      </c>
      <c r="F227" s="43">
        <f>_xlfn.XLOOKUP(A227,Class_Players!A:A,Class_Players!G:G)</f>
        <v>239</v>
      </c>
      <c r="G227" s="43">
        <f t="shared" si="65"/>
        <v>1.9539748953974896</v>
      </c>
      <c r="H227" s="43">
        <f>_xlfn.XLOOKUP(A227,Class_Players!$A:$A,Class_Players!$F:$F,"")</f>
        <v>9016</v>
      </c>
      <c r="I227" s="44">
        <f t="shared" si="66"/>
        <v>5.1796805678793259E-2</v>
      </c>
      <c r="J227" s="43">
        <f t="shared" si="67"/>
        <v>0</v>
      </c>
      <c r="K227" s="44" cm="1">
        <f t="array" ref="K227">IF(D227="Gadget",_xlfn.IFS(I227&gt;=0.2,0.5,I227&gt;=0.1,0.35,I227&gt;=0.05,0.2,TRUE,0),IF(D227="Grenade",_xlfn.IFS(I227&gt;=0.2,1,I227&gt;=0.1,0.7,I227&gt;=0.05,0.4,TRUE,0),0))</f>
        <v>0.2</v>
      </c>
      <c r="L227" s="57">
        <f t="shared" si="76"/>
        <v>0.11764705882352942</v>
      </c>
    </row>
    <row r="228" spans="1:12" ht="15" customHeight="1" x14ac:dyDescent="0.25">
      <c r="A228" s="42" t="str" cm="1">
        <f t="array" ref="A228">IFERROR(INDEX(_xlfn._xlws.FILTER(Class_Players!A:A,Class_Players!B:B="Recon"),QUOTIENT(ROW()-ROW($A$2),8)+1),"")</f>
        <v>//M34_</v>
      </c>
      <c r="B228" s="42" t="str">
        <f>_xlfn.XLOOKUP(A228,Class_Players!$A:$A,Class_Players!$B:$B,"")</f>
        <v>Recon</v>
      </c>
      <c r="C228" s="38" t="str" cm="1">
        <f t="array" ref="C228">INDEX(Lookups!$C$2:$C$9,MOD(ROW()-ROW($B$2),ROWS(Lookups!$C$2:$C$9))+1)</f>
        <v>Tracer Dart</v>
      </c>
      <c r="D228" s="38" t="str">
        <f>_xlfn.XLOOKUP(C228,Analysis_Gadgets!$C:$C,Analysis_Gadgets!$B:$B)</f>
        <v>Gadget</v>
      </c>
      <c r="E228" s="43">
        <v>51</v>
      </c>
      <c r="F228" s="43">
        <f>_xlfn.XLOOKUP(A228,Class_Players!A:A,Class_Players!G:G)</f>
        <v>239</v>
      </c>
      <c r="G228" s="43">
        <f t="shared" si="65"/>
        <v>0.21338912133891214</v>
      </c>
      <c r="H228" s="43">
        <f>_xlfn.XLOOKUP(A228,Class_Players!$A:$A,Class_Players!$F:$F,"")</f>
        <v>9016</v>
      </c>
      <c r="I228" s="44">
        <f t="shared" si="66"/>
        <v>5.6566104702750666E-3</v>
      </c>
      <c r="J228" s="43">
        <f t="shared" si="67"/>
        <v>0</v>
      </c>
      <c r="K228" s="44" cm="1">
        <f t="array" ref="K228">IF(D228="Gadget",_xlfn.IFS(I228&gt;=0.2,0.5,I228&gt;=0.1,0.35,I228&gt;=0.05,0.2,TRUE,0),IF(D228="Grenade",_xlfn.IFS(I228&gt;=0.2,1,I228&gt;=0.1,0.7,I228&gt;=0.05,0.4,TRUE,0),0))</f>
        <v>0</v>
      </c>
      <c r="L228" s="57">
        <f t="shared" si="76"/>
        <v>0</v>
      </c>
    </row>
    <row r="229" spans="1:12" ht="15" customHeight="1" x14ac:dyDescent="0.25">
      <c r="A229" s="42" t="str" cm="1">
        <f t="array" ref="A229">IFERROR(INDEX(_xlfn._xlws.FILTER(Class_Players!A:A,Class_Players!B:B="Recon"),QUOTIENT(ROW()-ROW($A$2),8)+1),"")</f>
        <v>//M34_</v>
      </c>
      <c r="B229" s="42" t="str">
        <f>_xlfn.XLOOKUP(A229,Class_Players!$A:$A,Class_Players!$B:$B,"")</f>
        <v>Recon</v>
      </c>
      <c r="C229" s="38" t="str" cm="1">
        <f t="array" ref="C229">INDEX(Lookups!$C$2:$C$9,MOD(ROW()-ROW($B$2),ROWS(Lookups!$C$2:$C$9))+1)</f>
        <v>M18A1 (Claymore)</v>
      </c>
      <c r="D229" s="38" t="str">
        <f>_xlfn.XLOOKUP(C229,Analysis_Gadgets!$C:$C,Analysis_Gadgets!$B:$B)</f>
        <v>Gadget</v>
      </c>
      <c r="E229" s="43">
        <v>3188</v>
      </c>
      <c r="F229" s="43">
        <f>_xlfn.XLOOKUP(A229,Class_Players!A:A,Class_Players!G:G)</f>
        <v>239</v>
      </c>
      <c r="G229" s="43">
        <f t="shared" si="65"/>
        <v>13.338912133891213</v>
      </c>
      <c r="H229" s="43">
        <f>_xlfn.XLOOKUP(A229,Class_Players!$A:$A,Class_Players!$F:$F,"")</f>
        <v>9016</v>
      </c>
      <c r="I229" s="44">
        <f t="shared" si="66"/>
        <v>0.35359361135758649</v>
      </c>
      <c r="J229" s="43">
        <f t="shared" si="67"/>
        <v>1</v>
      </c>
      <c r="K229" s="44" cm="1">
        <f t="array" ref="K229">IF(D229="Gadget",_xlfn.IFS(I229&gt;=0.2,0.5,I229&gt;=0.1,0.35,I229&gt;=0.05,0.2,TRUE,0),IF(D229="Grenade",_xlfn.IFS(I229&gt;=0.2,1,I229&gt;=0.1,0.7,I229&gt;=0.05,0.4,TRUE,0),0))</f>
        <v>0.5</v>
      </c>
      <c r="L229" s="57">
        <f t="shared" si="76"/>
        <v>0.29411764705882354</v>
      </c>
    </row>
    <row r="230" spans="1:12" ht="15" customHeight="1" x14ac:dyDescent="0.25">
      <c r="A230" s="42" t="str" cm="1">
        <f t="array" ref="A230">IFERROR(INDEX(_xlfn._xlws.FILTER(Class_Players!A:A,Class_Players!B:B="Recon"),QUOTIENT(ROW()-ROW($A$2),8)+1),"")</f>
        <v>//M34_</v>
      </c>
      <c r="B230" s="42" t="str">
        <f>_xlfn.XLOOKUP(A230,Class_Players!$A:$A,Class_Players!$B:$B,"")</f>
        <v>Recon</v>
      </c>
      <c r="C230" s="38" t="str" cm="1">
        <f t="array" ref="C230">INDEX(Lookups!$C$2:$C$9,MOD(ROW()-ROW($B$2),ROWS(Lookups!$C$2:$C$9))+1)</f>
        <v>Sniper Decoy</v>
      </c>
      <c r="D230" s="38" t="str">
        <f>_xlfn.XLOOKUP(C230,Analysis_Gadgets!$C:$C,Analysis_Gadgets!$B:$B)</f>
        <v>Gadget</v>
      </c>
      <c r="E230" s="43">
        <v>45</v>
      </c>
      <c r="F230" s="43">
        <f>_xlfn.XLOOKUP(A230,Class_Players!A:A,Class_Players!G:G)</f>
        <v>239</v>
      </c>
      <c r="G230" s="43">
        <f t="shared" si="65"/>
        <v>0.18828451882845187</v>
      </c>
      <c r="H230" s="43">
        <f>_xlfn.XLOOKUP(A230,Class_Players!$A:$A,Class_Players!$F:$F,"")</f>
        <v>9016</v>
      </c>
      <c r="I230" s="44">
        <f t="shared" si="66"/>
        <v>4.9911268855368238E-3</v>
      </c>
      <c r="J230" s="43">
        <f t="shared" si="67"/>
        <v>0</v>
      </c>
      <c r="K230" s="44" cm="1">
        <f t="array" ref="K230">IF(D230="Gadget",_xlfn.IFS(I230&gt;=0.2,0.5,I230&gt;=0.1,0.35,I230&gt;=0.05,0.2,TRUE,0),IF(D230="Grenade",_xlfn.IFS(I230&gt;=0.2,1,I230&gt;=0.1,0.7,I230&gt;=0.05,0.4,TRUE,0),0))</f>
        <v>0</v>
      </c>
      <c r="L230" s="57">
        <f t="shared" si="76"/>
        <v>0</v>
      </c>
    </row>
    <row r="231" spans="1:12" ht="15" customHeight="1" x14ac:dyDescent="0.25">
      <c r="A231" s="42" t="str" cm="1">
        <f t="array" ref="A231">IFERROR(INDEX(_xlfn._xlws.FILTER(Class_Players!A:A,Class_Players!B:B="Recon"),QUOTIENT(ROW()-ROW($A$2),8)+1),"")</f>
        <v>//M34_</v>
      </c>
      <c r="B231" s="42" t="str">
        <f>_xlfn.XLOOKUP(A231,Class_Players!$A:$A,Class_Players!$B:$B,"")</f>
        <v>Recon</v>
      </c>
      <c r="C231" s="38" t="str" cm="1">
        <f t="array" ref="C231">INDEX(Lookups!$C$2:$C$9,MOD(ROW()-ROW($B$2),ROWS(Lookups!$C$2:$C$9))+1)</f>
        <v>C-4 Explosives</v>
      </c>
      <c r="D231" s="38" t="str">
        <f>_xlfn.XLOOKUP(C231,Analysis_Gadgets!$C:$C,Analysis_Gadgets!$B:$B)</f>
        <v>Gadget</v>
      </c>
      <c r="E231" s="43">
        <v>5852</v>
      </c>
      <c r="F231" s="43">
        <f>_xlfn.XLOOKUP(A231,Class_Players!A:A,Class_Players!G:G)</f>
        <v>239</v>
      </c>
      <c r="G231" s="43">
        <f t="shared" si="65"/>
        <v>24.485355648535563</v>
      </c>
      <c r="H231" s="43">
        <f>_xlfn.XLOOKUP(A231,Class_Players!$A:$A,Class_Players!$F:$F,"")</f>
        <v>9016</v>
      </c>
      <c r="I231" s="44">
        <f t="shared" si="66"/>
        <v>0.64906832298136641</v>
      </c>
      <c r="J231" s="43">
        <f t="shared" si="67"/>
        <v>1</v>
      </c>
      <c r="K231" s="44" cm="1">
        <f t="array" ref="K231">IF(D231="Gadget",_xlfn.IFS(I231&gt;=0.2,0.5,I231&gt;=0.1,0.35,I231&gt;=0.05,0.2,TRUE,0),IF(D231="Grenade",_xlfn.IFS(I231&gt;=0.2,1,I231&gt;=0.1,0.7,I231&gt;=0.05,0.4,TRUE,0),0))</f>
        <v>0.5</v>
      </c>
      <c r="L231" s="57">
        <f t="shared" si="76"/>
        <v>0.29411764705882354</v>
      </c>
    </row>
    <row r="232" spans="1:12" ht="15" customHeight="1" x14ac:dyDescent="0.25">
      <c r="A232" s="42" t="str" cm="1">
        <f t="array" ref="A232">IFERROR(INDEX(_xlfn._xlws.FILTER(Class_Players!A:A,Class_Players!B:B="Recon"),QUOTIENT(ROW()-ROW($A$2),8)+1),"")</f>
        <v>//M34_</v>
      </c>
      <c r="B232" s="42" t="str">
        <f>_xlfn.XLOOKUP(A232,Class_Players!$A:$A,Class_Players!$B:$B,"")</f>
        <v>Recon</v>
      </c>
      <c r="C232" s="38" t="str" cm="1">
        <f t="array" ref="C232">INDEX(Lookups!$C$2:$C$9,MOD(ROW()-ROW($B$2),ROWS(Lookups!$C$2:$C$9))+1)</f>
        <v>Proximity Detector</v>
      </c>
      <c r="D232" s="38" t="str">
        <f>_xlfn.XLOOKUP(C232,Analysis_Gadgets!$C:$C,Analysis_Gadgets!$B:$B)</f>
        <v>Grenade</v>
      </c>
      <c r="E232" s="43">
        <v>38</v>
      </c>
      <c r="F232" s="43">
        <f>_xlfn.XLOOKUP(A232,Class_Players!A:A,Class_Players!G:G)</f>
        <v>239</v>
      </c>
      <c r="G232" s="43">
        <f t="shared" si="65"/>
        <v>0.15899581589958159</v>
      </c>
      <c r="H232" s="43">
        <f>_xlfn.XLOOKUP(A232,Class_Players!$A:$A,Class_Players!$F:$F,"")</f>
        <v>9016</v>
      </c>
      <c r="I232" s="44">
        <f t="shared" si="66"/>
        <v>4.2147293700088729E-3</v>
      </c>
      <c r="J232" s="43">
        <f t="shared" si="67"/>
        <v>0</v>
      </c>
      <c r="K232" s="44" cm="1">
        <f t="array" ref="K232">IF(D232="Gadget",_xlfn.IFS(I232&gt;=0.2,0.5,I232&gt;=0.1,0.35,I232&gt;=0.05,0.2,TRUE,0),IF(D232="Grenade",_xlfn.IFS(I232&gt;=0.2,1,I232&gt;=0.1,0.7,I232&gt;=0.05,0.4,TRUE,0),0))</f>
        <v>0</v>
      </c>
      <c r="L232" s="57">
        <f t="shared" ref="L232:L233" si="77">IF($K232=0,0,$K232 / SUMIFS($K:$K,$A:$A,$A232,$D:$D,"Grenade"))</f>
        <v>0</v>
      </c>
    </row>
    <row r="233" spans="1:12" ht="15" customHeight="1" x14ac:dyDescent="0.25">
      <c r="A233" s="42" t="str" cm="1">
        <f t="array" ref="A233">IFERROR(INDEX(_xlfn._xlws.FILTER(Class_Players!A:A,Class_Players!B:B="Recon"),QUOTIENT(ROW()-ROW($A$2),8)+1),"")</f>
        <v>//M34_</v>
      </c>
      <c r="B233" s="42" t="str">
        <f>_xlfn.XLOOKUP(A233,Class_Players!$A:$A,Class_Players!$B:$B,"")</f>
        <v>Recon</v>
      </c>
      <c r="C233" s="38" t="str" cm="1">
        <f t="array" ref="C233">INDEX(Lookups!$C$2:$C$9,MOD(ROW()-ROW($B$2),ROWS(Lookups!$C$2:$C$9))+1)</f>
        <v>Throwing Knife</v>
      </c>
      <c r="D233" s="38" t="str">
        <f>_xlfn.XLOOKUP(C233,Analysis_Gadgets!$C:$C,Analysis_Gadgets!$B:$B)</f>
        <v>Grenade</v>
      </c>
      <c r="E233" s="43">
        <v>137</v>
      </c>
      <c r="F233" s="43">
        <f>_xlfn.XLOOKUP(A233,Class_Players!A:A,Class_Players!G:G)</f>
        <v>239</v>
      </c>
      <c r="G233" s="43">
        <f t="shared" si="65"/>
        <v>0.57322175732217573</v>
      </c>
      <c r="H233" s="43">
        <f>_xlfn.XLOOKUP(A233,Class_Players!$A:$A,Class_Players!$F:$F,"")</f>
        <v>9016</v>
      </c>
      <c r="I233" s="44">
        <f t="shared" si="66"/>
        <v>1.5195208518189885E-2</v>
      </c>
      <c r="J233" s="43">
        <f t="shared" si="67"/>
        <v>0</v>
      </c>
      <c r="K233" s="44" cm="1">
        <f t="array" ref="K233">IF(D233="Gadget",_xlfn.IFS(I233&gt;=0.2,0.5,I233&gt;=0.1,0.35,I233&gt;=0.05,0.2,TRUE,0),IF(D233="Grenade",_xlfn.IFS(I233&gt;=0.2,1,I233&gt;=0.1,0.7,I233&gt;=0.05,0.4,TRUE,0),0))</f>
        <v>0</v>
      </c>
      <c r="L233" s="57">
        <f t="shared" si="77"/>
        <v>0</v>
      </c>
    </row>
    <row r="234" spans="1:12" ht="15" customHeight="1" x14ac:dyDescent="0.25">
      <c r="A234" s="42" t="str" cm="1">
        <f t="array" ref="A234">IFERROR(INDEX(_xlfn._xlws.FILTER(Class_Players!A:A,Class_Players!B:B="Recon"),QUOTIENT(ROW()-ROW($A$2),8)+1),"")</f>
        <v>Quagsie</v>
      </c>
      <c r="B234" s="42" t="str">
        <f>_xlfn.XLOOKUP(A234,Class_Players!$A:$A,Class_Players!$B:$B,"")</f>
        <v>Recon</v>
      </c>
      <c r="C234" s="38" t="str" cm="1">
        <f t="array" ref="C234">INDEX(Lookups!$C$2:$C$9,MOD(ROW()-ROW($B$2),ROWS(Lookups!$C$2:$C$9))+1)</f>
        <v>Laser Designator</v>
      </c>
      <c r="D234" s="38" t="str">
        <f>_xlfn.XLOOKUP(C234,Analysis_Gadgets!$C:$C,Analysis_Gadgets!$B:$B)</f>
        <v>Gadget</v>
      </c>
      <c r="E234" s="43">
        <v>2</v>
      </c>
      <c r="F234" s="43">
        <f>_xlfn.XLOOKUP(A234,Class_Players!A:A,Class_Players!G:G)</f>
        <v>209</v>
      </c>
      <c r="G234" s="43">
        <f t="shared" si="65"/>
        <v>9.5693779904306216E-3</v>
      </c>
      <c r="H234" s="43">
        <f>_xlfn.XLOOKUP(A234,Class_Players!$A:$A,Class_Players!$F:$F,"")</f>
        <v>8899</v>
      </c>
      <c r="I234" s="44">
        <f t="shared" si="66"/>
        <v>2.247443532981234E-4</v>
      </c>
      <c r="J234" s="43">
        <f t="shared" si="67"/>
        <v>0</v>
      </c>
      <c r="K234" s="44" cm="1">
        <f t="array" ref="K234">IF(D234="Gadget",_xlfn.IFS(I234&gt;=0.2,0.5,I234&gt;=0.1,0.35,I234&gt;=0.05,0.2,TRUE,0),IF(D234="Grenade",_xlfn.IFS(I234&gt;=0.2,1,I234&gt;=0.1,0.7,I234&gt;=0.05,0.4,TRUE,0),0))</f>
        <v>0</v>
      </c>
      <c r="L234" s="57">
        <f t="shared" ref="L234:L239" si="78">IF($K234=0,0,$K234 / SUMIFS($K:$K,$A:$A,$A234,$D:$D,"Gadget"))</f>
        <v>0</v>
      </c>
    </row>
    <row r="235" spans="1:12" ht="15" customHeight="1" x14ac:dyDescent="0.25">
      <c r="A235" s="42" t="str" cm="1">
        <f t="array" ref="A235">IFERROR(INDEX(_xlfn._xlws.FILTER(Class_Players!A:A,Class_Players!B:B="Recon"),QUOTIENT(ROW()-ROW($A$2),8)+1),"")</f>
        <v>Quagsie</v>
      </c>
      <c r="B235" s="42" t="str">
        <f>_xlfn.XLOOKUP(A235,Class_Players!$A:$A,Class_Players!$B:$B,"")</f>
        <v>Recon</v>
      </c>
      <c r="C235" s="38" t="str" cm="1">
        <f t="array" ref="C235">INDEX(Lookups!$C$2:$C$9,MOD(ROW()-ROW($B$2),ROWS(Lookups!$C$2:$C$9))+1)</f>
        <v>Recon Drone</v>
      </c>
      <c r="D235" s="38" t="str">
        <f>_xlfn.XLOOKUP(C235,Analysis_Gadgets!$C:$C,Analysis_Gadgets!$B:$B)</f>
        <v>Gadget</v>
      </c>
      <c r="E235" s="43">
        <v>2</v>
      </c>
      <c r="F235" s="43">
        <f>_xlfn.XLOOKUP(A235,Class_Players!A:A,Class_Players!G:G)</f>
        <v>209</v>
      </c>
      <c r="G235" s="43">
        <f t="shared" si="65"/>
        <v>9.5693779904306216E-3</v>
      </c>
      <c r="H235" s="43">
        <f>_xlfn.XLOOKUP(A235,Class_Players!$A:$A,Class_Players!$F:$F,"")</f>
        <v>8899</v>
      </c>
      <c r="I235" s="44">
        <f t="shared" si="66"/>
        <v>2.247443532981234E-4</v>
      </c>
      <c r="J235" s="43">
        <f t="shared" si="67"/>
        <v>0</v>
      </c>
      <c r="K235" s="44" cm="1">
        <f t="array" ref="K235">IF(D235="Gadget",_xlfn.IFS(I235&gt;=0.2,0.5,I235&gt;=0.1,0.35,I235&gt;=0.05,0.2,TRUE,0),IF(D235="Grenade",_xlfn.IFS(I235&gt;=0.2,1,I235&gt;=0.1,0.7,I235&gt;=0.05,0.4,TRUE,0),0))</f>
        <v>0</v>
      </c>
      <c r="L235" s="57">
        <f t="shared" si="78"/>
        <v>0</v>
      </c>
    </row>
    <row r="236" spans="1:12" ht="15" customHeight="1" x14ac:dyDescent="0.25">
      <c r="A236" s="42" t="str" cm="1">
        <f t="array" ref="A236">IFERROR(INDEX(_xlfn._xlws.FILTER(Class_Players!A:A,Class_Players!B:B="Recon"),QUOTIENT(ROW()-ROW($A$2),8)+1),"")</f>
        <v>Quagsie</v>
      </c>
      <c r="B236" s="42" t="str">
        <f>_xlfn.XLOOKUP(A236,Class_Players!$A:$A,Class_Players!$B:$B,"")</f>
        <v>Recon</v>
      </c>
      <c r="C236" s="38" t="str" cm="1">
        <f t="array" ref="C236">INDEX(Lookups!$C$2:$C$9,MOD(ROW()-ROW($B$2),ROWS(Lookups!$C$2:$C$9))+1)</f>
        <v>Tracer Dart</v>
      </c>
      <c r="D236" s="38" t="str">
        <f>_xlfn.XLOOKUP(C236,Analysis_Gadgets!$C:$C,Analysis_Gadgets!$B:$B)</f>
        <v>Gadget</v>
      </c>
      <c r="E236" s="43">
        <v>0</v>
      </c>
      <c r="F236" s="43">
        <f>_xlfn.XLOOKUP(A236,Class_Players!A:A,Class_Players!G:G)</f>
        <v>209</v>
      </c>
      <c r="G236" s="43">
        <f t="shared" si="65"/>
        <v>0</v>
      </c>
      <c r="H236" s="43">
        <f>_xlfn.XLOOKUP(A236,Class_Players!$A:$A,Class_Players!$F:$F,"")</f>
        <v>8899</v>
      </c>
      <c r="I236" s="44">
        <f t="shared" si="66"/>
        <v>0</v>
      </c>
      <c r="J236" s="43">
        <f t="shared" si="67"/>
        <v>0</v>
      </c>
      <c r="K236" s="44" cm="1">
        <f t="array" ref="K236">IF(D236="Gadget",_xlfn.IFS(I236&gt;=0.2,0.5,I236&gt;=0.1,0.35,I236&gt;=0.05,0.2,TRUE,0),IF(D236="Grenade",_xlfn.IFS(I236&gt;=0.2,1,I236&gt;=0.1,0.7,I236&gt;=0.05,0.4,TRUE,0),0))</f>
        <v>0</v>
      </c>
      <c r="L236" s="57">
        <f t="shared" si="78"/>
        <v>0</v>
      </c>
    </row>
    <row r="237" spans="1:12" ht="15" customHeight="1" x14ac:dyDescent="0.25">
      <c r="A237" s="42" t="str" cm="1">
        <f t="array" ref="A237">IFERROR(INDEX(_xlfn._xlws.FILTER(Class_Players!A:A,Class_Players!B:B="Recon"),QUOTIENT(ROW()-ROW($A$2),8)+1),"")</f>
        <v>Quagsie</v>
      </c>
      <c r="B237" s="42" t="str">
        <f>_xlfn.XLOOKUP(A237,Class_Players!$A:$A,Class_Players!$B:$B,"")</f>
        <v>Recon</v>
      </c>
      <c r="C237" s="38" t="str" cm="1">
        <f t="array" ref="C237">INDEX(Lookups!$C$2:$C$9,MOD(ROW()-ROW($B$2),ROWS(Lookups!$C$2:$C$9))+1)</f>
        <v>M18A1 (Claymore)</v>
      </c>
      <c r="D237" s="38" t="str">
        <f>_xlfn.XLOOKUP(C237,Analysis_Gadgets!$C:$C,Analysis_Gadgets!$B:$B)</f>
        <v>Gadget</v>
      </c>
      <c r="E237" s="43">
        <v>2814</v>
      </c>
      <c r="F237" s="43">
        <f>_xlfn.XLOOKUP(A237,Class_Players!A:A,Class_Players!G:G)</f>
        <v>209</v>
      </c>
      <c r="G237" s="43">
        <f t="shared" si="65"/>
        <v>13.464114832535886</v>
      </c>
      <c r="H237" s="43">
        <f>_xlfn.XLOOKUP(A237,Class_Players!$A:$A,Class_Players!$F:$F,"")</f>
        <v>8899</v>
      </c>
      <c r="I237" s="44">
        <f t="shared" si="66"/>
        <v>0.31621530509045959</v>
      </c>
      <c r="J237" s="43">
        <f t="shared" si="67"/>
        <v>1</v>
      </c>
      <c r="K237" s="44" cm="1">
        <f t="array" ref="K237">IF(D237="Gadget",_xlfn.IFS(I237&gt;=0.2,0.5,I237&gt;=0.1,0.35,I237&gt;=0.05,0.2,TRUE,0),IF(D237="Grenade",_xlfn.IFS(I237&gt;=0.2,1,I237&gt;=0.1,0.7,I237&gt;=0.05,0.4,TRUE,0),0))</f>
        <v>0.5</v>
      </c>
      <c r="L237" s="57">
        <f t="shared" si="78"/>
        <v>0.5</v>
      </c>
    </row>
    <row r="238" spans="1:12" ht="15" customHeight="1" x14ac:dyDescent="0.25">
      <c r="A238" s="42" t="str" cm="1">
        <f t="array" ref="A238">IFERROR(INDEX(_xlfn._xlws.FILTER(Class_Players!A:A,Class_Players!B:B="Recon"),QUOTIENT(ROW()-ROW($A$2),8)+1),"")</f>
        <v>Quagsie</v>
      </c>
      <c r="B238" s="42" t="str">
        <f>_xlfn.XLOOKUP(A238,Class_Players!$A:$A,Class_Players!$B:$B,"")</f>
        <v>Recon</v>
      </c>
      <c r="C238" s="38" t="str" cm="1">
        <f t="array" ref="C238">INDEX(Lookups!$C$2:$C$9,MOD(ROW()-ROW($B$2),ROWS(Lookups!$C$2:$C$9))+1)</f>
        <v>Sniper Decoy</v>
      </c>
      <c r="D238" s="38" t="str">
        <f>_xlfn.XLOOKUP(C238,Analysis_Gadgets!$C:$C,Analysis_Gadgets!$B:$B)</f>
        <v>Gadget</v>
      </c>
      <c r="E238" s="43">
        <v>0</v>
      </c>
      <c r="F238" s="43">
        <f>_xlfn.XLOOKUP(A238,Class_Players!A:A,Class_Players!G:G)</f>
        <v>209</v>
      </c>
      <c r="G238" s="43">
        <f t="shared" si="65"/>
        <v>0</v>
      </c>
      <c r="H238" s="43">
        <f>_xlfn.XLOOKUP(A238,Class_Players!$A:$A,Class_Players!$F:$F,"")</f>
        <v>8899</v>
      </c>
      <c r="I238" s="44">
        <f t="shared" si="66"/>
        <v>0</v>
      </c>
      <c r="J238" s="43">
        <f t="shared" si="67"/>
        <v>0</v>
      </c>
      <c r="K238" s="44" cm="1">
        <f t="array" ref="K238">IF(D238="Gadget",_xlfn.IFS(I238&gt;=0.2,0.5,I238&gt;=0.1,0.35,I238&gt;=0.05,0.2,TRUE,0),IF(D238="Grenade",_xlfn.IFS(I238&gt;=0.2,1,I238&gt;=0.1,0.7,I238&gt;=0.05,0.4,TRUE,0),0))</f>
        <v>0</v>
      </c>
      <c r="L238" s="57">
        <f t="shared" si="78"/>
        <v>0</v>
      </c>
    </row>
    <row r="239" spans="1:12" ht="15" customHeight="1" x14ac:dyDescent="0.25">
      <c r="A239" s="42" t="str" cm="1">
        <f t="array" ref="A239">IFERROR(INDEX(_xlfn._xlws.FILTER(Class_Players!A:A,Class_Players!B:B="Recon"),QUOTIENT(ROW()-ROW($A$2),8)+1),"")</f>
        <v>Quagsie</v>
      </c>
      <c r="B239" s="42" t="str">
        <f>_xlfn.XLOOKUP(A239,Class_Players!$A:$A,Class_Players!$B:$B,"")</f>
        <v>Recon</v>
      </c>
      <c r="C239" s="38" t="str" cm="1">
        <f t="array" ref="C239">INDEX(Lookups!$C$2:$C$9,MOD(ROW()-ROW($B$2),ROWS(Lookups!$C$2:$C$9))+1)</f>
        <v>C-4 Explosives</v>
      </c>
      <c r="D239" s="38" t="str">
        <f>_xlfn.XLOOKUP(C239,Analysis_Gadgets!$C:$C,Analysis_Gadgets!$B:$B)</f>
        <v>Gadget</v>
      </c>
      <c r="E239" s="43">
        <v>1977</v>
      </c>
      <c r="F239" s="43">
        <f>_xlfn.XLOOKUP(A239,Class_Players!A:A,Class_Players!G:G)</f>
        <v>209</v>
      </c>
      <c r="G239" s="43">
        <f t="shared" si="65"/>
        <v>9.4593301435406705</v>
      </c>
      <c r="H239" s="43">
        <f>_xlfn.XLOOKUP(A239,Class_Players!$A:$A,Class_Players!$F:$F,"")</f>
        <v>8899</v>
      </c>
      <c r="I239" s="44">
        <f t="shared" si="66"/>
        <v>0.22215979323519497</v>
      </c>
      <c r="J239" s="43">
        <f t="shared" si="67"/>
        <v>1</v>
      </c>
      <c r="K239" s="44" cm="1">
        <f t="array" ref="K239">IF(D239="Gadget",_xlfn.IFS(I239&gt;=0.2,0.5,I239&gt;=0.1,0.35,I239&gt;=0.05,0.2,TRUE,0),IF(D239="Grenade",_xlfn.IFS(I239&gt;=0.2,1,I239&gt;=0.1,0.7,I239&gt;=0.05,0.4,TRUE,0),0))</f>
        <v>0.5</v>
      </c>
      <c r="L239" s="57">
        <f t="shared" si="78"/>
        <v>0.5</v>
      </c>
    </row>
    <row r="240" spans="1:12" ht="15" customHeight="1" x14ac:dyDescent="0.25">
      <c r="A240" s="42" t="str" cm="1">
        <f t="array" ref="A240">IFERROR(INDEX(_xlfn._xlws.FILTER(Class_Players!A:A,Class_Players!B:B="Recon"),QUOTIENT(ROW()-ROW($A$2),8)+1),"")</f>
        <v>Quagsie</v>
      </c>
      <c r="B240" s="42" t="str">
        <f>_xlfn.XLOOKUP(A240,Class_Players!$A:$A,Class_Players!$B:$B,"")</f>
        <v>Recon</v>
      </c>
      <c r="C240" s="38" t="str" cm="1">
        <f t="array" ref="C240">INDEX(Lookups!$C$2:$C$9,MOD(ROW()-ROW($B$2),ROWS(Lookups!$C$2:$C$9))+1)</f>
        <v>Proximity Detector</v>
      </c>
      <c r="D240" s="38" t="str">
        <f>_xlfn.XLOOKUP(C240,Analysis_Gadgets!$C:$C,Analysis_Gadgets!$B:$B)</f>
        <v>Grenade</v>
      </c>
      <c r="E240" s="43">
        <v>2</v>
      </c>
      <c r="F240" s="43">
        <f>_xlfn.XLOOKUP(A240,Class_Players!A:A,Class_Players!G:G)</f>
        <v>209</v>
      </c>
      <c r="G240" s="43">
        <f t="shared" si="65"/>
        <v>9.5693779904306216E-3</v>
      </c>
      <c r="H240" s="43">
        <f>_xlfn.XLOOKUP(A240,Class_Players!$A:$A,Class_Players!$F:$F,"")</f>
        <v>8899</v>
      </c>
      <c r="I240" s="44">
        <f t="shared" si="66"/>
        <v>2.247443532981234E-4</v>
      </c>
      <c r="J240" s="43">
        <f t="shared" si="67"/>
        <v>0</v>
      </c>
      <c r="K240" s="44" cm="1">
        <f t="array" ref="K240">IF(D240="Gadget",_xlfn.IFS(I240&gt;=0.2,0.5,I240&gt;=0.1,0.35,I240&gt;=0.05,0.2,TRUE,0),IF(D240="Grenade",_xlfn.IFS(I240&gt;=0.2,1,I240&gt;=0.1,0.7,I240&gt;=0.05,0.4,TRUE,0),0))</f>
        <v>0</v>
      </c>
      <c r="L240" s="57">
        <f t="shared" ref="L240:L241" si="79">IF($K240=0,0,$K240 / SUMIFS($K:$K,$A:$A,$A240,$D:$D,"Grenade"))</f>
        <v>0</v>
      </c>
    </row>
    <row r="241" spans="1:12" ht="15" customHeight="1" x14ac:dyDescent="0.25">
      <c r="A241" s="42" t="str" cm="1">
        <f t="array" ref="A241">IFERROR(INDEX(_xlfn._xlws.FILTER(Class_Players!A:A,Class_Players!B:B="Recon"),QUOTIENT(ROW()-ROW($A$2),8)+1),"")</f>
        <v>Quagsie</v>
      </c>
      <c r="B241" s="42" t="str">
        <f>_xlfn.XLOOKUP(A241,Class_Players!$A:$A,Class_Players!$B:$B,"")</f>
        <v>Recon</v>
      </c>
      <c r="C241" s="38" t="str" cm="1">
        <f t="array" ref="C241">INDEX(Lookups!$C$2:$C$9,MOD(ROW()-ROW($B$2),ROWS(Lookups!$C$2:$C$9))+1)</f>
        <v>Throwing Knife</v>
      </c>
      <c r="D241" s="38" t="str">
        <f>_xlfn.XLOOKUP(C241,Analysis_Gadgets!$C:$C,Analysis_Gadgets!$B:$B)</f>
        <v>Grenade</v>
      </c>
      <c r="E241" s="43">
        <v>6</v>
      </c>
      <c r="F241" s="43">
        <f>_xlfn.XLOOKUP(A241,Class_Players!A:A,Class_Players!G:G)</f>
        <v>209</v>
      </c>
      <c r="G241" s="43">
        <f t="shared" si="65"/>
        <v>2.8708133971291867E-2</v>
      </c>
      <c r="H241" s="43">
        <f>_xlfn.XLOOKUP(A241,Class_Players!$A:$A,Class_Players!$F:$F,"")</f>
        <v>8899</v>
      </c>
      <c r="I241" s="44">
        <f t="shared" si="66"/>
        <v>6.7423305989437016E-4</v>
      </c>
      <c r="J241" s="43">
        <f t="shared" si="67"/>
        <v>0</v>
      </c>
      <c r="K241" s="44" cm="1">
        <f t="array" ref="K241">IF(D241="Gadget",_xlfn.IFS(I241&gt;=0.2,0.5,I241&gt;=0.1,0.35,I241&gt;=0.05,0.2,TRUE,0),IF(D241="Grenade",_xlfn.IFS(I241&gt;=0.2,1,I241&gt;=0.1,0.7,I241&gt;=0.05,0.4,TRUE,0),0))</f>
        <v>0</v>
      </c>
      <c r="L241" s="57">
        <f t="shared" si="79"/>
        <v>0</v>
      </c>
    </row>
    <row r="242" spans="1:12" ht="15" customHeight="1" x14ac:dyDescent="0.25">
      <c r="A242" s="42" t="str" cm="1">
        <f t="array" ref="A242">IFERROR(INDEX(_xlfn._xlws.FILTER(Class_Players!A:A,Class_Players!B:B="Recon"),QUOTIENT(ROW()-ROW($A$2),8)+1),"")</f>
        <v>TheDumbLucky</v>
      </c>
      <c r="B242" s="42" t="str">
        <f>_xlfn.XLOOKUP(A242,Class_Players!$A:$A,Class_Players!$B:$B,"")</f>
        <v>Recon</v>
      </c>
      <c r="C242" s="38" t="str" cm="1">
        <f t="array" ref="C242">INDEX(Lookups!$C$2:$C$9,MOD(ROW()-ROW($B$2),ROWS(Lookups!$C$2:$C$9))+1)</f>
        <v>Laser Designator</v>
      </c>
      <c r="D242" s="38" t="str">
        <f>_xlfn.XLOOKUP(C242,Analysis_Gadgets!$C:$C,Analysis_Gadgets!$B:$B)</f>
        <v>Gadget</v>
      </c>
      <c r="E242" s="43">
        <v>83</v>
      </c>
      <c r="F242" s="43">
        <f>_xlfn.XLOOKUP(A242,Class_Players!A:A,Class_Players!G:G)</f>
        <v>120</v>
      </c>
      <c r="G242" s="43">
        <f t="shared" si="65"/>
        <v>0.69166666666666665</v>
      </c>
      <c r="H242" s="43">
        <f>_xlfn.XLOOKUP(A242,Class_Players!$A:$A,Class_Players!$F:$F,"")</f>
        <v>9576</v>
      </c>
      <c r="I242" s="44">
        <f t="shared" si="66"/>
        <v>8.6675020885547197E-3</v>
      </c>
      <c r="J242" s="43">
        <f t="shared" si="67"/>
        <v>0</v>
      </c>
      <c r="K242" s="44" cm="1">
        <f t="array" ref="K242">IF(D242="Gadget",_xlfn.IFS(I242&gt;=0.2,0.5,I242&gt;=0.1,0.35,I242&gt;=0.05,0.2,TRUE,0),IF(D242="Grenade",_xlfn.IFS(I242&gt;=0.2,1,I242&gt;=0.1,0.7,I242&gt;=0.05,0.4,TRUE,0),0))</f>
        <v>0</v>
      </c>
      <c r="L242" s="57">
        <f t="shared" ref="L242:L247" si="80">IF($K242=0,0,$K242 / SUMIFS($K:$K,$A:$A,$A242,$D:$D,"Gadget"))</f>
        <v>0</v>
      </c>
    </row>
    <row r="243" spans="1:12" ht="15" customHeight="1" x14ac:dyDescent="0.25">
      <c r="A243" s="42" t="str" cm="1">
        <f t="array" ref="A243">IFERROR(INDEX(_xlfn._xlws.FILTER(Class_Players!A:A,Class_Players!B:B="Recon"),QUOTIENT(ROW()-ROW($A$2),8)+1),"")</f>
        <v>TheDumbLucky</v>
      </c>
      <c r="B243" s="42" t="str">
        <f>_xlfn.XLOOKUP(A243,Class_Players!$A:$A,Class_Players!$B:$B,"")</f>
        <v>Recon</v>
      </c>
      <c r="C243" s="38" t="str" cm="1">
        <f t="array" ref="C243">INDEX(Lookups!$C$2:$C$9,MOD(ROW()-ROW($B$2),ROWS(Lookups!$C$2:$C$9))+1)</f>
        <v>Recon Drone</v>
      </c>
      <c r="D243" s="38" t="str">
        <f>_xlfn.XLOOKUP(C243,Analysis_Gadgets!$C:$C,Analysis_Gadgets!$B:$B)</f>
        <v>Gadget</v>
      </c>
      <c r="E243" s="43">
        <v>144</v>
      </c>
      <c r="F243" s="43">
        <f>_xlfn.XLOOKUP(A243,Class_Players!A:A,Class_Players!G:G)</f>
        <v>120</v>
      </c>
      <c r="G243" s="43">
        <f t="shared" si="65"/>
        <v>1.2</v>
      </c>
      <c r="H243" s="43">
        <f>_xlfn.XLOOKUP(A243,Class_Players!$A:$A,Class_Players!$F:$F,"")</f>
        <v>9576</v>
      </c>
      <c r="I243" s="44">
        <f t="shared" si="66"/>
        <v>1.5037593984962405E-2</v>
      </c>
      <c r="J243" s="43">
        <f t="shared" si="67"/>
        <v>0</v>
      </c>
      <c r="K243" s="44" cm="1">
        <f t="array" ref="K243">IF(D243="Gadget",_xlfn.IFS(I243&gt;=0.2,0.5,I243&gt;=0.1,0.35,I243&gt;=0.05,0.2,TRUE,0),IF(D243="Grenade",_xlfn.IFS(I243&gt;=0.2,1,I243&gt;=0.1,0.7,I243&gt;=0.05,0.4,TRUE,0),0))</f>
        <v>0</v>
      </c>
      <c r="L243" s="57">
        <f t="shared" si="80"/>
        <v>0</v>
      </c>
    </row>
    <row r="244" spans="1:12" ht="15" customHeight="1" x14ac:dyDescent="0.25">
      <c r="A244" s="42" t="str" cm="1">
        <f t="array" ref="A244">IFERROR(INDEX(_xlfn._xlws.FILTER(Class_Players!A:A,Class_Players!B:B="Recon"),QUOTIENT(ROW()-ROW($A$2),8)+1),"")</f>
        <v>TheDumbLucky</v>
      </c>
      <c r="B244" s="42" t="str">
        <f>_xlfn.XLOOKUP(A244,Class_Players!$A:$A,Class_Players!$B:$B,"")</f>
        <v>Recon</v>
      </c>
      <c r="C244" s="38" t="str" cm="1">
        <f t="array" ref="C244">INDEX(Lookups!$C$2:$C$9,MOD(ROW()-ROW($B$2),ROWS(Lookups!$C$2:$C$9))+1)</f>
        <v>Tracer Dart</v>
      </c>
      <c r="D244" s="38" t="str">
        <f>_xlfn.XLOOKUP(C244,Analysis_Gadgets!$C:$C,Analysis_Gadgets!$B:$B)</f>
        <v>Gadget</v>
      </c>
      <c r="E244" s="43">
        <v>40</v>
      </c>
      <c r="F244" s="43">
        <f>_xlfn.XLOOKUP(A244,Class_Players!A:A,Class_Players!G:G)</f>
        <v>120</v>
      </c>
      <c r="G244" s="43">
        <f t="shared" si="65"/>
        <v>0.33333333333333331</v>
      </c>
      <c r="H244" s="43">
        <f>_xlfn.XLOOKUP(A244,Class_Players!$A:$A,Class_Players!$F:$F,"")</f>
        <v>9576</v>
      </c>
      <c r="I244" s="44">
        <f t="shared" si="66"/>
        <v>4.1771094402673348E-3</v>
      </c>
      <c r="J244" s="43">
        <f t="shared" si="67"/>
        <v>0</v>
      </c>
      <c r="K244" s="44" cm="1">
        <f t="array" ref="K244">IF(D244="Gadget",_xlfn.IFS(I244&gt;=0.2,0.5,I244&gt;=0.1,0.35,I244&gt;=0.05,0.2,TRUE,0),IF(D244="Grenade",_xlfn.IFS(I244&gt;=0.2,1,I244&gt;=0.1,0.7,I244&gt;=0.05,0.4,TRUE,0),0))</f>
        <v>0</v>
      </c>
      <c r="L244" s="57">
        <f t="shared" si="80"/>
        <v>0</v>
      </c>
    </row>
    <row r="245" spans="1:12" ht="15" customHeight="1" x14ac:dyDescent="0.25">
      <c r="A245" s="42" t="str" cm="1">
        <f t="array" ref="A245">IFERROR(INDEX(_xlfn._xlws.FILTER(Class_Players!A:A,Class_Players!B:B="Recon"),QUOTIENT(ROW()-ROW($A$2),8)+1),"")</f>
        <v>TheDumbLucky</v>
      </c>
      <c r="B245" s="42" t="str">
        <f>_xlfn.XLOOKUP(A245,Class_Players!$A:$A,Class_Players!$B:$B,"")</f>
        <v>Recon</v>
      </c>
      <c r="C245" s="38" t="str" cm="1">
        <f t="array" ref="C245">INDEX(Lookups!$C$2:$C$9,MOD(ROW()-ROW($B$2),ROWS(Lookups!$C$2:$C$9))+1)</f>
        <v>M18A1 (Claymore)</v>
      </c>
      <c r="D245" s="38" t="str">
        <f>_xlfn.XLOOKUP(C245,Analysis_Gadgets!$C:$C,Analysis_Gadgets!$B:$B)</f>
        <v>Gadget</v>
      </c>
      <c r="E245" s="43">
        <v>5991</v>
      </c>
      <c r="F245" s="43">
        <f>_xlfn.XLOOKUP(A245,Class_Players!A:A,Class_Players!G:G)</f>
        <v>120</v>
      </c>
      <c r="G245" s="43">
        <f t="shared" si="65"/>
        <v>49.924999999999997</v>
      </c>
      <c r="H245" s="43">
        <f>_xlfn.XLOOKUP(A245,Class_Players!$A:$A,Class_Players!$F:$F,"")</f>
        <v>9576</v>
      </c>
      <c r="I245" s="44">
        <f t="shared" si="66"/>
        <v>0.62562656641604009</v>
      </c>
      <c r="J245" s="43">
        <f t="shared" si="67"/>
        <v>1</v>
      </c>
      <c r="K245" s="44" cm="1">
        <f t="array" ref="K245">IF(D245="Gadget",_xlfn.IFS(I245&gt;=0.2,0.5,I245&gt;=0.1,0.35,I245&gt;=0.05,0.2,TRUE,0),IF(D245="Grenade",_xlfn.IFS(I245&gt;=0.2,1,I245&gt;=0.1,0.7,I245&gt;=0.05,0.4,TRUE,0),0))</f>
        <v>0.5</v>
      </c>
      <c r="L245" s="57">
        <f t="shared" si="80"/>
        <v>0.5</v>
      </c>
    </row>
    <row r="246" spans="1:12" ht="15" customHeight="1" x14ac:dyDescent="0.25">
      <c r="A246" s="42" t="str" cm="1">
        <f t="array" ref="A246">IFERROR(INDEX(_xlfn._xlws.FILTER(Class_Players!A:A,Class_Players!B:B="Recon"),QUOTIENT(ROW()-ROW($A$2),8)+1),"")</f>
        <v>TheDumbLucky</v>
      </c>
      <c r="B246" s="42" t="str">
        <f>_xlfn.XLOOKUP(A246,Class_Players!$A:$A,Class_Players!$B:$B,"")</f>
        <v>Recon</v>
      </c>
      <c r="C246" s="38" t="str" cm="1">
        <f t="array" ref="C246">INDEX(Lookups!$C$2:$C$9,MOD(ROW()-ROW($B$2),ROWS(Lookups!$C$2:$C$9))+1)</f>
        <v>Sniper Decoy</v>
      </c>
      <c r="D246" s="38" t="str">
        <f>_xlfn.XLOOKUP(C246,Analysis_Gadgets!$C:$C,Analysis_Gadgets!$B:$B)</f>
        <v>Gadget</v>
      </c>
      <c r="E246" s="43">
        <v>74</v>
      </c>
      <c r="F246" s="43">
        <f>_xlfn.XLOOKUP(A246,Class_Players!A:A,Class_Players!G:G)</f>
        <v>120</v>
      </c>
      <c r="G246" s="43">
        <f t="shared" si="65"/>
        <v>0.6166666666666667</v>
      </c>
      <c r="H246" s="43">
        <f>_xlfn.XLOOKUP(A246,Class_Players!$A:$A,Class_Players!$F:$F,"")</f>
        <v>9576</v>
      </c>
      <c r="I246" s="44">
        <f t="shared" si="66"/>
        <v>7.7276524644945693E-3</v>
      </c>
      <c r="J246" s="43">
        <f t="shared" si="67"/>
        <v>0</v>
      </c>
      <c r="K246" s="44" cm="1">
        <f t="array" ref="K246">IF(D246="Gadget",_xlfn.IFS(I246&gt;=0.2,0.5,I246&gt;=0.1,0.35,I246&gt;=0.05,0.2,TRUE,0),IF(D246="Grenade",_xlfn.IFS(I246&gt;=0.2,1,I246&gt;=0.1,0.7,I246&gt;=0.05,0.4,TRUE,0),0))</f>
        <v>0</v>
      </c>
      <c r="L246" s="57">
        <f t="shared" si="80"/>
        <v>0</v>
      </c>
    </row>
    <row r="247" spans="1:12" ht="15" customHeight="1" x14ac:dyDescent="0.25">
      <c r="A247" s="42" t="str" cm="1">
        <f t="array" ref="A247">IFERROR(INDEX(_xlfn._xlws.FILTER(Class_Players!A:A,Class_Players!B:B="Recon"),QUOTIENT(ROW()-ROW($A$2),8)+1),"")</f>
        <v>TheDumbLucky</v>
      </c>
      <c r="B247" s="42" t="str">
        <f>_xlfn.XLOOKUP(A247,Class_Players!$A:$A,Class_Players!$B:$B,"")</f>
        <v>Recon</v>
      </c>
      <c r="C247" s="38" t="str" cm="1">
        <f t="array" ref="C247">INDEX(Lookups!$C$2:$C$9,MOD(ROW()-ROW($B$2),ROWS(Lookups!$C$2:$C$9))+1)</f>
        <v>C-4 Explosives</v>
      </c>
      <c r="D247" s="38" t="str">
        <f>_xlfn.XLOOKUP(C247,Analysis_Gadgets!$C:$C,Analysis_Gadgets!$B:$B)</f>
        <v>Gadget</v>
      </c>
      <c r="E247" s="43">
        <v>3233</v>
      </c>
      <c r="F247" s="43">
        <f>_xlfn.XLOOKUP(A247,Class_Players!A:A,Class_Players!G:G)</f>
        <v>120</v>
      </c>
      <c r="G247" s="43">
        <f t="shared" si="65"/>
        <v>26.941666666666666</v>
      </c>
      <c r="H247" s="43">
        <f>_xlfn.XLOOKUP(A247,Class_Players!$A:$A,Class_Players!$F:$F,"")</f>
        <v>9576</v>
      </c>
      <c r="I247" s="44">
        <f t="shared" si="66"/>
        <v>0.33761487050960737</v>
      </c>
      <c r="J247" s="43">
        <f t="shared" si="67"/>
        <v>1</v>
      </c>
      <c r="K247" s="44" cm="1">
        <f t="array" ref="K247">IF(D247="Gadget",_xlfn.IFS(I247&gt;=0.2,0.5,I247&gt;=0.1,0.35,I247&gt;=0.05,0.2,TRUE,0),IF(D247="Grenade",_xlfn.IFS(I247&gt;=0.2,1,I247&gt;=0.1,0.7,I247&gt;=0.05,0.4,TRUE,0),0))</f>
        <v>0.5</v>
      </c>
      <c r="L247" s="57">
        <f t="shared" si="80"/>
        <v>0.5</v>
      </c>
    </row>
    <row r="248" spans="1:12" ht="15" customHeight="1" x14ac:dyDescent="0.25">
      <c r="A248" s="42" t="str" cm="1">
        <f t="array" ref="A248">IFERROR(INDEX(_xlfn._xlws.FILTER(Class_Players!A:A,Class_Players!B:B="Recon"),QUOTIENT(ROW()-ROW($A$2),8)+1),"")</f>
        <v>TheDumbLucky</v>
      </c>
      <c r="B248" s="42" t="str">
        <f>_xlfn.XLOOKUP(A248,Class_Players!$A:$A,Class_Players!$B:$B,"")</f>
        <v>Recon</v>
      </c>
      <c r="C248" s="38" t="str" cm="1">
        <f t="array" ref="C248">INDEX(Lookups!$C$2:$C$9,MOD(ROW()-ROW($B$2),ROWS(Lookups!$C$2:$C$9))+1)</f>
        <v>Proximity Detector</v>
      </c>
      <c r="D248" s="38" t="str">
        <f>_xlfn.XLOOKUP(C248,Analysis_Gadgets!$C:$C,Analysis_Gadgets!$B:$B)</f>
        <v>Grenade</v>
      </c>
      <c r="E248" s="43">
        <v>8</v>
      </c>
      <c r="F248" s="43">
        <f>_xlfn.XLOOKUP(A248,Class_Players!A:A,Class_Players!G:G)</f>
        <v>120</v>
      </c>
      <c r="G248" s="43">
        <f t="shared" si="65"/>
        <v>6.6666666666666666E-2</v>
      </c>
      <c r="H248" s="43">
        <f>_xlfn.XLOOKUP(A248,Class_Players!$A:$A,Class_Players!$F:$F,"")</f>
        <v>9576</v>
      </c>
      <c r="I248" s="44">
        <f t="shared" si="66"/>
        <v>8.3542188805346695E-4</v>
      </c>
      <c r="J248" s="43">
        <f t="shared" si="67"/>
        <v>0</v>
      </c>
      <c r="K248" s="44" cm="1">
        <f t="array" ref="K248">IF(D248="Gadget",_xlfn.IFS(I248&gt;=0.2,0.5,I248&gt;=0.1,0.35,I248&gt;=0.05,0.2,TRUE,0),IF(D248="Grenade",_xlfn.IFS(I248&gt;=0.2,1,I248&gt;=0.1,0.7,I248&gt;=0.05,0.4,TRUE,0),0))</f>
        <v>0</v>
      </c>
      <c r="L248" s="57">
        <f t="shared" ref="L248:L249" si="81">IF($K248=0,0,$K248 / SUMIFS($K:$K,$A:$A,$A248,$D:$D,"Grenade"))</f>
        <v>0</v>
      </c>
    </row>
    <row r="249" spans="1:12" ht="15" customHeight="1" x14ac:dyDescent="0.25">
      <c r="A249" s="42" t="str" cm="1">
        <f t="array" ref="A249">IFERROR(INDEX(_xlfn._xlws.FILTER(Class_Players!A:A,Class_Players!B:B="Recon"),QUOTIENT(ROW()-ROW($A$2),8)+1),"")</f>
        <v>TheDumbLucky</v>
      </c>
      <c r="B249" s="42" t="str">
        <f>_xlfn.XLOOKUP(A249,Class_Players!$A:$A,Class_Players!$B:$B,"")</f>
        <v>Recon</v>
      </c>
      <c r="C249" s="38" t="str" cm="1">
        <f t="array" ref="C249">INDEX(Lookups!$C$2:$C$9,MOD(ROW()-ROW($B$2),ROWS(Lookups!$C$2:$C$9))+1)</f>
        <v>Throwing Knife</v>
      </c>
      <c r="D249" s="38" t="str">
        <f>_xlfn.XLOOKUP(C249,Analysis_Gadgets!$C:$C,Analysis_Gadgets!$B:$B)</f>
        <v>Grenade</v>
      </c>
      <c r="E249" s="43">
        <v>1</v>
      </c>
      <c r="F249" s="43">
        <f>_xlfn.XLOOKUP(A249,Class_Players!A:A,Class_Players!G:G)</f>
        <v>120</v>
      </c>
      <c r="G249" s="43">
        <f t="shared" si="65"/>
        <v>8.3333333333333332E-3</v>
      </c>
      <c r="H249" s="43">
        <f>_xlfn.XLOOKUP(A249,Class_Players!$A:$A,Class_Players!$F:$F,"")</f>
        <v>9576</v>
      </c>
      <c r="I249" s="44">
        <f t="shared" si="66"/>
        <v>1.0442773600668337E-4</v>
      </c>
      <c r="J249" s="43">
        <f t="shared" si="67"/>
        <v>0</v>
      </c>
      <c r="K249" s="44" cm="1">
        <f t="array" ref="K249">IF(D249="Gadget",_xlfn.IFS(I249&gt;=0.2,0.5,I249&gt;=0.1,0.35,I249&gt;=0.05,0.2,TRUE,0),IF(D249="Grenade",_xlfn.IFS(I249&gt;=0.2,1,I249&gt;=0.1,0.7,I249&gt;=0.05,0.4,TRUE,0),0))</f>
        <v>0</v>
      </c>
      <c r="L249" s="57">
        <f t="shared" si="81"/>
        <v>0</v>
      </c>
    </row>
    <row r="250" spans="1:12" ht="15" customHeight="1" x14ac:dyDescent="0.25">
      <c r="A250" s="42" t="str" cm="1">
        <f t="array" ref="A250">IFERROR(INDEX(_xlfn._xlws.FILTER(Class_Players!A:A,Class_Players!B:B="Recon"),QUOTIENT(ROW()-ROW($A$2),8)+1),"")</f>
        <v>fxlive</v>
      </c>
      <c r="B250" s="42" t="str">
        <f>_xlfn.XLOOKUP(A250,Class_Players!$A:$A,Class_Players!$B:$B,"")</f>
        <v>Recon</v>
      </c>
      <c r="C250" s="38" t="str" cm="1">
        <f t="array" ref="C250">INDEX(Lookups!$C$2:$C$9,MOD(ROW()-ROW($B$2),ROWS(Lookups!$C$2:$C$9))+1)</f>
        <v>Laser Designator</v>
      </c>
      <c r="D250" s="38" t="str">
        <f>_xlfn.XLOOKUP(C250,Analysis_Gadgets!$C:$C,Analysis_Gadgets!$B:$B)</f>
        <v>Gadget</v>
      </c>
      <c r="E250" s="43">
        <v>53</v>
      </c>
      <c r="F250" s="43">
        <f>_xlfn.XLOOKUP(A250,Class_Players!A:A,Class_Players!G:G)</f>
        <v>211</v>
      </c>
      <c r="G250" s="43">
        <f t="shared" si="65"/>
        <v>0.25118483412322273</v>
      </c>
      <c r="H250" s="43">
        <f>_xlfn.XLOOKUP(A250,Class_Players!$A:$A,Class_Players!$F:$F,"")</f>
        <v>9122</v>
      </c>
      <c r="I250" s="44">
        <f t="shared" si="66"/>
        <v>5.8101293575970178E-3</v>
      </c>
      <c r="J250" s="43">
        <f t="shared" si="67"/>
        <v>0</v>
      </c>
      <c r="K250" s="44" cm="1">
        <f t="array" ref="K250">IF(D250="Gadget",_xlfn.IFS(I250&gt;=0.2,0.5,I250&gt;=0.1,0.35,I250&gt;=0.05,0.2,TRUE,0),IF(D250="Grenade",_xlfn.IFS(I250&gt;=0.2,1,I250&gt;=0.1,0.7,I250&gt;=0.05,0.4,TRUE,0),0))</f>
        <v>0</v>
      </c>
      <c r="L250" s="57">
        <f t="shared" ref="L250:L255" si="82">IF($K250=0,0,$K250 / SUMIFS($K:$K,$A:$A,$A250,$D:$D,"Gadget"))</f>
        <v>0</v>
      </c>
    </row>
    <row r="251" spans="1:12" ht="15" customHeight="1" x14ac:dyDescent="0.25">
      <c r="A251" s="42" t="str" cm="1">
        <f t="array" ref="A251">IFERROR(INDEX(_xlfn._xlws.FILTER(Class_Players!A:A,Class_Players!B:B="Recon"),QUOTIENT(ROW()-ROW($A$2),8)+1),"")</f>
        <v>fxlive</v>
      </c>
      <c r="B251" s="42" t="str">
        <f>_xlfn.XLOOKUP(A251,Class_Players!$A:$A,Class_Players!$B:$B,"")</f>
        <v>Recon</v>
      </c>
      <c r="C251" s="38" t="str" cm="1">
        <f t="array" ref="C251">INDEX(Lookups!$C$2:$C$9,MOD(ROW()-ROW($B$2),ROWS(Lookups!$C$2:$C$9))+1)</f>
        <v>Recon Drone</v>
      </c>
      <c r="D251" s="38" t="str">
        <f>_xlfn.XLOOKUP(C251,Analysis_Gadgets!$C:$C,Analysis_Gadgets!$B:$B)</f>
        <v>Gadget</v>
      </c>
      <c r="E251" s="43">
        <v>21</v>
      </c>
      <c r="F251" s="43">
        <f>_xlfn.XLOOKUP(A251,Class_Players!A:A,Class_Players!G:G)</f>
        <v>211</v>
      </c>
      <c r="G251" s="43">
        <f t="shared" si="65"/>
        <v>9.9526066350710901E-2</v>
      </c>
      <c r="H251" s="43">
        <f>_xlfn.XLOOKUP(A251,Class_Players!$A:$A,Class_Players!$F:$F,"")</f>
        <v>9122</v>
      </c>
      <c r="I251" s="44">
        <f t="shared" si="66"/>
        <v>2.3021267265950448E-3</v>
      </c>
      <c r="J251" s="43">
        <f t="shared" si="67"/>
        <v>0</v>
      </c>
      <c r="K251" s="44" cm="1">
        <f t="array" ref="K251">IF(D251="Gadget",_xlfn.IFS(I251&gt;=0.2,0.5,I251&gt;=0.1,0.35,I251&gt;=0.05,0.2,TRUE,0),IF(D251="Grenade",_xlfn.IFS(I251&gt;=0.2,1,I251&gt;=0.1,0.7,I251&gt;=0.05,0.4,TRUE,0),0))</f>
        <v>0</v>
      </c>
      <c r="L251" s="57">
        <f t="shared" si="82"/>
        <v>0</v>
      </c>
    </row>
    <row r="252" spans="1:12" ht="15" customHeight="1" x14ac:dyDescent="0.25">
      <c r="A252" s="42" t="str" cm="1">
        <f t="array" ref="A252">IFERROR(INDEX(_xlfn._xlws.FILTER(Class_Players!A:A,Class_Players!B:B="Recon"),QUOTIENT(ROW()-ROW($A$2),8)+1),"")</f>
        <v>fxlive</v>
      </c>
      <c r="B252" s="42" t="str">
        <f>_xlfn.XLOOKUP(A252,Class_Players!$A:$A,Class_Players!$B:$B,"")</f>
        <v>Recon</v>
      </c>
      <c r="C252" s="38" t="str" cm="1">
        <f t="array" ref="C252">INDEX(Lookups!$C$2:$C$9,MOD(ROW()-ROW($B$2),ROWS(Lookups!$C$2:$C$9))+1)</f>
        <v>Tracer Dart</v>
      </c>
      <c r="D252" s="38" t="str">
        <f>_xlfn.XLOOKUP(C252,Analysis_Gadgets!$C:$C,Analysis_Gadgets!$B:$B)</f>
        <v>Gadget</v>
      </c>
      <c r="E252" s="43">
        <v>0</v>
      </c>
      <c r="F252" s="43">
        <f>_xlfn.XLOOKUP(A252,Class_Players!A:A,Class_Players!G:G)</f>
        <v>211</v>
      </c>
      <c r="G252" s="43">
        <f t="shared" si="65"/>
        <v>0</v>
      </c>
      <c r="H252" s="43">
        <f>_xlfn.XLOOKUP(A252,Class_Players!$A:$A,Class_Players!$F:$F,"")</f>
        <v>9122</v>
      </c>
      <c r="I252" s="44">
        <f t="shared" si="66"/>
        <v>0</v>
      </c>
      <c r="J252" s="43">
        <f t="shared" si="67"/>
        <v>0</v>
      </c>
      <c r="K252" s="44" cm="1">
        <f t="array" ref="K252">IF(D252="Gadget",_xlfn.IFS(I252&gt;=0.2,0.5,I252&gt;=0.1,0.35,I252&gt;=0.05,0.2,TRUE,0),IF(D252="Grenade",_xlfn.IFS(I252&gt;=0.2,1,I252&gt;=0.1,0.7,I252&gt;=0.05,0.4,TRUE,0),0))</f>
        <v>0</v>
      </c>
      <c r="L252" s="57">
        <f t="shared" si="82"/>
        <v>0</v>
      </c>
    </row>
    <row r="253" spans="1:12" ht="15" customHeight="1" x14ac:dyDescent="0.25">
      <c r="A253" s="42" t="str" cm="1">
        <f t="array" ref="A253">IFERROR(INDEX(_xlfn._xlws.FILTER(Class_Players!A:A,Class_Players!B:B="Recon"),QUOTIENT(ROW()-ROW($A$2),8)+1),"")</f>
        <v>fxlive</v>
      </c>
      <c r="B253" s="42" t="str">
        <f>_xlfn.XLOOKUP(A253,Class_Players!$A:$A,Class_Players!$B:$B,"")</f>
        <v>Recon</v>
      </c>
      <c r="C253" s="38" t="str" cm="1">
        <f t="array" ref="C253">INDEX(Lookups!$C$2:$C$9,MOD(ROW()-ROW($B$2),ROWS(Lookups!$C$2:$C$9))+1)</f>
        <v>M18A1 (Claymore)</v>
      </c>
      <c r="D253" s="38" t="str">
        <f>_xlfn.XLOOKUP(C253,Analysis_Gadgets!$C:$C,Analysis_Gadgets!$B:$B)</f>
        <v>Gadget</v>
      </c>
      <c r="E253" s="43">
        <v>3198</v>
      </c>
      <c r="F253" s="43">
        <f>_xlfn.XLOOKUP(A253,Class_Players!A:A,Class_Players!G:G)</f>
        <v>211</v>
      </c>
      <c r="G253" s="43">
        <f t="shared" si="65"/>
        <v>15.156398104265403</v>
      </c>
      <c r="H253" s="43">
        <f>_xlfn.XLOOKUP(A253,Class_Players!$A:$A,Class_Players!$F:$F,"")</f>
        <v>9122</v>
      </c>
      <c r="I253" s="44">
        <f t="shared" si="66"/>
        <v>0.35058101293575972</v>
      </c>
      <c r="J253" s="43">
        <f t="shared" si="67"/>
        <v>1</v>
      </c>
      <c r="K253" s="44" cm="1">
        <f t="array" ref="K253">IF(D253="Gadget",_xlfn.IFS(I253&gt;=0.2,0.5,I253&gt;=0.1,0.35,I253&gt;=0.05,0.2,TRUE,0),IF(D253="Grenade",_xlfn.IFS(I253&gt;=0.2,1,I253&gt;=0.1,0.7,I253&gt;=0.05,0.4,TRUE,0),0))</f>
        <v>0.5</v>
      </c>
      <c r="L253" s="57">
        <f t="shared" si="82"/>
        <v>0.5</v>
      </c>
    </row>
    <row r="254" spans="1:12" ht="15" customHeight="1" x14ac:dyDescent="0.25">
      <c r="A254" s="42" t="str" cm="1">
        <f t="array" ref="A254">IFERROR(INDEX(_xlfn._xlws.FILTER(Class_Players!A:A,Class_Players!B:B="Recon"),QUOTIENT(ROW()-ROW($A$2),8)+1),"")</f>
        <v>fxlive</v>
      </c>
      <c r="B254" s="42" t="str">
        <f>_xlfn.XLOOKUP(A254,Class_Players!$A:$A,Class_Players!$B:$B,"")</f>
        <v>Recon</v>
      </c>
      <c r="C254" s="38" t="str" cm="1">
        <f t="array" ref="C254">INDEX(Lookups!$C$2:$C$9,MOD(ROW()-ROW($B$2),ROWS(Lookups!$C$2:$C$9))+1)</f>
        <v>Sniper Decoy</v>
      </c>
      <c r="D254" s="38" t="str">
        <f>_xlfn.XLOOKUP(C254,Analysis_Gadgets!$C:$C,Analysis_Gadgets!$B:$B)</f>
        <v>Gadget</v>
      </c>
      <c r="E254" s="43">
        <v>118</v>
      </c>
      <c r="F254" s="43">
        <f>_xlfn.XLOOKUP(A254,Class_Players!A:A,Class_Players!G:G)</f>
        <v>211</v>
      </c>
      <c r="G254" s="43">
        <f t="shared" si="65"/>
        <v>0.55924170616113744</v>
      </c>
      <c r="H254" s="43">
        <f>_xlfn.XLOOKUP(A254,Class_Players!$A:$A,Class_Players!$F:$F,"")</f>
        <v>9122</v>
      </c>
      <c r="I254" s="44">
        <f t="shared" si="66"/>
        <v>1.2935759701819776E-2</v>
      </c>
      <c r="J254" s="43">
        <f t="shared" si="67"/>
        <v>0</v>
      </c>
      <c r="K254" s="44" cm="1">
        <f t="array" ref="K254">IF(D254="Gadget",_xlfn.IFS(I254&gt;=0.2,0.5,I254&gt;=0.1,0.35,I254&gt;=0.05,0.2,TRUE,0),IF(D254="Grenade",_xlfn.IFS(I254&gt;=0.2,1,I254&gt;=0.1,0.7,I254&gt;=0.05,0.4,TRUE,0),0))</f>
        <v>0</v>
      </c>
      <c r="L254" s="57">
        <f t="shared" si="82"/>
        <v>0</v>
      </c>
    </row>
    <row r="255" spans="1:12" ht="15" customHeight="1" x14ac:dyDescent="0.25">
      <c r="A255" s="42" t="str" cm="1">
        <f t="array" ref="A255">IFERROR(INDEX(_xlfn._xlws.FILTER(Class_Players!A:A,Class_Players!B:B="Recon"),QUOTIENT(ROW()-ROW($A$2),8)+1),"")</f>
        <v>fxlive</v>
      </c>
      <c r="B255" s="42" t="str">
        <f>_xlfn.XLOOKUP(A255,Class_Players!$A:$A,Class_Players!$B:$B,"")</f>
        <v>Recon</v>
      </c>
      <c r="C255" s="38" t="str" cm="1">
        <f t="array" ref="C255">INDEX(Lookups!$C$2:$C$9,MOD(ROW()-ROW($B$2),ROWS(Lookups!$C$2:$C$9))+1)</f>
        <v>C-4 Explosives</v>
      </c>
      <c r="D255" s="38" t="str">
        <f>_xlfn.XLOOKUP(C255,Analysis_Gadgets!$C:$C,Analysis_Gadgets!$B:$B)</f>
        <v>Gadget</v>
      </c>
      <c r="E255" s="43">
        <v>3067</v>
      </c>
      <c r="F255" s="43">
        <f>_xlfn.XLOOKUP(A255,Class_Players!A:A,Class_Players!G:G)</f>
        <v>211</v>
      </c>
      <c r="G255" s="43">
        <f t="shared" si="65"/>
        <v>14.535545023696683</v>
      </c>
      <c r="H255" s="43">
        <f>_xlfn.XLOOKUP(A255,Class_Players!$A:$A,Class_Players!$F:$F,"")</f>
        <v>9122</v>
      </c>
      <c r="I255" s="44">
        <f t="shared" si="66"/>
        <v>0.33622012716509536</v>
      </c>
      <c r="J255" s="43">
        <f t="shared" si="67"/>
        <v>1</v>
      </c>
      <c r="K255" s="44" cm="1">
        <f t="array" ref="K255">IF(D255="Gadget",_xlfn.IFS(I255&gt;=0.2,0.5,I255&gt;=0.1,0.35,I255&gt;=0.05,0.2,TRUE,0),IF(D255="Grenade",_xlfn.IFS(I255&gt;=0.2,1,I255&gt;=0.1,0.7,I255&gt;=0.05,0.4,TRUE,0),0))</f>
        <v>0.5</v>
      </c>
      <c r="L255" s="57">
        <f t="shared" si="82"/>
        <v>0.5</v>
      </c>
    </row>
    <row r="256" spans="1:12" ht="15" customHeight="1" x14ac:dyDescent="0.25">
      <c r="A256" s="42" t="str" cm="1">
        <f t="array" ref="A256">IFERROR(INDEX(_xlfn._xlws.FILTER(Class_Players!A:A,Class_Players!B:B="Recon"),QUOTIENT(ROW()-ROW($A$2),8)+1),"")</f>
        <v>fxlive</v>
      </c>
      <c r="B256" s="42" t="str">
        <f>_xlfn.XLOOKUP(A256,Class_Players!$A:$A,Class_Players!$B:$B,"")</f>
        <v>Recon</v>
      </c>
      <c r="C256" s="38" t="str" cm="1">
        <f t="array" ref="C256">INDEX(Lookups!$C$2:$C$9,MOD(ROW()-ROW($B$2),ROWS(Lookups!$C$2:$C$9))+1)</f>
        <v>Proximity Detector</v>
      </c>
      <c r="D256" s="38" t="str">
        <f>_xlfn.XLOOKUP(C256,Analysis_Gadgets!$C:$C,Analysis_Gadgets!$B:$B)</f>
        <v>Grenade</v>
      </c>
      <c r="E256" s="43">
        <v>69</v>
      </c>
      <c r="F256" s="43">
        <f>_xlfn.XLOOKUP(A256,Class_Players!A:A,Class_Players!G:G)</f>
        <v>211</v>
      </c>
      <c r="G256" s="43">
        <f t="shared" si="65"/>
        <v>0.32701421800947866</v>
      </c>
      <c r="H256" s="43">
        <f>_xlfn.XLOOKUP(A256,Class_Players!$A:$A,Class_Players!$F:$F,"")</f>
        <v>9122</v>
      </c>
      <c r="I256" s="44">
        <f t="shared" si="66"/>
        <v>7.5641306730980049E-3</v>
      </c>
      <c r="J256" s="43">
        <f t="shared" si="67"/>
        <v>0</v>
      </c>
      <c r="K256" s="44" cm="1">
        <f t="array" ref="K256">IF(D256="Gadget",_xlfn.IFS(I256&gt;=0.2,0.5,I256&gt;=0.1,0.35,I256&gt;=0.05,0.2,TRUE,0),IF(D256="Grenade",_xlfn.IFS(I256&gt;=0.2,1,I256&gt;=0.1,0.7,I256&gt;=0.05,0.4,TRUE,0),0))</f>
        <v>0</v>
      </c>
      <c r="L256" s="57">
        <f t="shared" ref="L256:L257" si="83">IF($K256=0,0,$K256 / SUMIFS($K:$K,$A:$A,$A256,$D:$D,"Grenade"))</f>
        <v>0</v>
      </c>
    </row>
    <row r="257" spans="1:12" ht="15" customHeight="1" x14ac:dyDescent="0.25">
      <c r="A257" s="42" t="str" cm="1">
        <f t="array" ref="A257">IFERROR(INDEX(_xlfn._xlws.FILTER(Class_Players!A:A,Class_Players!B:B="Recon"),QUOTIENT(ROW()-ROW($A$2),8)+1),"")</f>
        <v>fxlive</v>
      </c>
      <c r="B257" s="42" t="str">
        <f>_xlfn.XLOOKUP(A257,Class_Players!$A:$A,Class_Players!$B:$B,"")</f>
        <v>Recon</v>
      </c>
      <c r="C257" s="38" t="str" cm="1">
        <f t="array" ref="C257">INDEX(Lookups!$C$2:$C$9,MOD(ROW()-ROW($B$2),ROWS(Lookups!$C$2:$C$9))+1)</f>
        <v>Throwing Knife</v>
      </c>
      <c r="D257" s="38" t="str">
        <f>_xlfn.XLOOKUP(C257,Analysis_Gadgets!$C:$C,Analysis_Gadgets!$B:$B)</f>
        <v>Grenade</v>
      </c>
      <c r="E257" s="43">
        <v>0</v>
      </c>
      <c r="F257" s="43">
        <f>_xlfn.XLOOKUP(A257,Class_Players!A:A,Class_Players!G:G)</f>
        <v>211</v>
      </c>
      <c r="G257" s="43">
        <f t="shared" si="65"/>
        <v>0</v>
      </c>
      <c r="H257" s="43">
        <f>_xlfn.XLOOKUP(A257,Class_Players!$A:$A,Class_Players!$F:$F,"")</f>
        <v>9122</v>
      </c>
      <c r="I257" s="44">
        <f t="shared" si="66"/>
        <v>0</v>
      </c>
      <c r="J257" s="43">
        <f t="shared" si="67"/>
        <v>0</v>
      </c>
      <c r="K257" s="44" cm="1">
        <f t="array" ref="K257">IF(D257="Gadget",_xlfn.IFS(I257&gt;=0.2,0.5,I257&gt;=0.1,0.35,I257&gt;=0.05,0.2,TRUE,0),IF(D257="Grenade",_xlfn.IFS(I257&gt;=0.2,1,I257&gt;=0.1,0.7,I257&gt;=0.05,0.4,TRUE,0),0))</f>
        <v>0</v>
      </c>
      <c r="L257" s="57">
        <f t="shared" si="83"/>
        <v>0</v>
      </c>
    </row>
    <row r="258" spans="1:12" ht="15" customHeight="1" x14ac:dyDescent="0.25">
      <c r="A258" s="42" t="str" cm="1">
        <f t="array" ref="A258">IFERROR(INDEX(_xlfn._xlws.FILTER(Class_Players!A:A,Class_Players!B:B="Recon"),QUOTIENT(ROW()-ROW($A$2),8)+1),"")</f>
        <v>I-TomAce-I</v>
      </c>
      <c r="B258" s="42" t="str">
        <f>_xlfn.XLOOKUP(A258,Class_Players!$A:$A,Class_Players!$B:$B,"")</f>
        <v>Recon</v>
      </c>
      <c r="C258" s="38" t="str" cm="1">
        <f t="array" ref="C258">INDEX(Lookups!$C$2:$C$9,MOD(ROW()-ROW($B$2),ROWS(Lookups!$C$2:$C$9))+1)</f>
        <v>Laser Designator</v>
      </c>
      <c r="D258" s="38" t="str">
        <f>_xlfn.XLOOKUP(C258,Analysis_Gadgets!$C:$C,Analysis_Gadgets!$B:$B)</f>
        <v>Gadget</v>
      </c>
      <c r="E258" s="43">
        <v>34</v>
      </c>
      <c r="F258" s="43">
        <f>_xlfn.XLOOKUP(A258,Class_Players!A:A,Class_Players!G:G)</f>
        <v>228</v>
      </c>
      <c r="G258" s="43">
        <f t="shared" ref="G258:G281" si="84">IF(F258=0,"",E258/(F258))</f>
        <v>0.14912280701754385</v>
      </c>
      <c r="H258" s="43">
        <f>_xlfn.XLOOKUP(A258,Class_Players!$A:$A,Class_Players!$F:$F,"")</f>
        <v>9307</v>
      </c>
      <c r="I258" s="44">
        <f t="shared" ref="I258:I281" si="85">IF(H258=0,"",E258/H258)</f>
        <v>3.6531642849468144E-3</v>
      </c>
      <c r="J258" s="43">
        <f t="shared" ref="J258:J281" si="86">IF(I258&gt;=0.1,1,0)</f>
        <v>0</v>
      </c>
      <c r="K258" s="44" cm="1">
        <f t="array" ref="K258">IF(D258="Gadget",_xlfn.IFS(I258&gt;=0.2,0.5,I258&gt;=0.1,0.35,I258&gt;=0.05,0.2,TRUE,0),IF(D258="Grenade",_xlfn.IFS(I258&gt;=0.2,1,I258&gt;=0.1,0.7,I258&gt;=0.05,0.4,TRUE,0),0))</f>
        <v>0</v>
      </c>
      <c r="L258" s="57">
        <f t="shared" ref="L258:L263" si="87">IF($K258=0,0,$K258 / SUMIFS($K:$K,$A:$A,$A258,$D:$D,"Gadget"))</f>
        <v>0</v>
      </c>
    </row>
    <row r="259" spans="1:12" ht="15" customHeight="1" x14ac:dyDescent="0.25">
      <c r="A259" s="42" t="str" cm="1">
        <f t="array" ref="A259">IFERROR(INDEX(_xlfn._xlws.FILTER(Class_Players!A:A,Class_Players!B:B="Recon"),QUOTIENT(ROW()-ROW($A$2),8)+1),"")</f>
        <v>I-TomAce-I</v>
      </c>
      <c r="B259" s="42" t="str">
        <f>_xlfn.XLOOKUP(A259,Class_Players!$A:$A,Class_Players!$B:$B,"")</f>
        <v>Recon</v>
      </c>
      <c r="C259" s="38" t="str" cm="1">
        <f t="array" ref="C259">INDEX(Lookups!$C$2:$C$9,MOD(ROW()-ROW($B$2),ROWS(Lookups!$C$2:$C$9))+1)</f>
        <v>Recon Drone</v>
      </c>
      <c r="D259" s="38" t="str">
        <f>_xlfn.XLOOKUP(C259,Analysis_Gadgets!$C:$C,Analysis_Gadgets!$B:$B)</f>
        <v>Gadget</v>
      </c>
      <c r="E259" s="43">
        <v>16</v>
      </c>
      <c r="F259" s="43">
        <f>_xlfn.XLOOKUP(A259,Class_Players!A:A,Class_Players!G:G)</f>
        <v>228</v>
      </c>
      <c r="G259" s="43">
        <f t="shared" si="84"/>
        <v>7.0175438596491224E-2</v>
      </c>
      <c r="H259" s="43">
        <f>_xlfn.XLOOKUP(A259,Class_Players!$A:$A,Class_Players!$F:$F,"")</f>
        <v>9307</v>
      </c>
      <c r="I259" s="44">
        <f t="shared" si="85"/>
        <v>1.7191361340926185E-3</v>
      </c>
      <c r="J259" s="43">
        <f t="shared" si="86"/>
        <v>0</v>
      </c>
      <c r="K259" s="44" cm="1">
        <f t="array" ref="K259">IF(D259="Gadget",_xlfn.IFS(I259&gt;=0.2,0.5,I259&gt;=0.1,0.35,I259&gt;=0.05,0.2,TRUE,0),IF(D259="Grenade",_xlfn.IFS(I259&gt;=0.2,1,I259&gt;=0.1,0.7,I259&gt;=0.05,0.4,TRUE,0),0))</f>
        <v>0</v>
      </c>
      <c r="L259" s="57">
        <f t="shared" si="87"/>
        <v>0</v>
      </c>
    </row>
    <row r="260" spans="1:12" ht="15" customHeight="1" x14ac:dyDescent="0.25">
      <c r="A260" s="42" t="str" cm="1">
        <f t="array" ref="A260">IFERROR(INDEX(_xlfn._xlws.FILTER(Class_Players!A:A,Class_Players!B:B="Recon"),QUOTIENT(ROW()-ROW($A$2),8)+1),"")</f>
        <v>I-TomAce-I</v>
      </c>
      <c r="B260" s="42" t="str">
        <f>_xlfn.XLOOKUP(A260,Class_Players!$A:$A,Class_Players!$B:$B,"")</f>
        <v>Recon</v>
      </c>
      <c r="C260" s="38" t="str" cm="1">
        <f t="array" ref="C260">INDEX(Lookups!$C$2:$C$9,MOD(ROW()-ROW($B$2),ROWS(Lookups!$C$2:$C$9))+1)</f>
        <v>Tracer Dart</v>
      </c>
      <c r="D260" s="38" t="str">
        <f>_xlfn.XLOOKUP(C260,Analysis_Gadgets!$C:$C,Analysis_Gadgets!$B:$B)</f>
        <v>Gadget</v>
      </c>
      <c r="E260" s="43">
        <v>70</v>
      </c>
      <c r="F260" s="43">
        <f>_xlfn.XLOOKUP(A260,Class_Players!A:A,Class_Players!G:G)</f>
        <v>228</v>
      </c>
      <c r="G260" s="43">
        <f t="shared" si="84"/>
        <v>0.30701754385964913</v>
      </c>
      <c r="H260" s="43">
        <f>_xlfn.XLOOKUP(A260,Class_Players!$A:$A,Class_Players!$F:$F,"")</f>
        <v>9307</v>
      </c>
      <c r="I260" s="44">
        <f t="shared" si="85"/>
        <v>7.5212205866552057E-3</v>
      </c>
      <c r="J260" s="43">
        <f t="shared" si="86"/>
        <v>0</v>
      </c>
      <c r="K260" s="44" cm="1">
        <f t="array" ref="K260">IF(D260="Gadget",_xlfn.IFS(I260&gt;=0.2,0.5,I260&gt;=0.1,0.35,I260&gt;=0.05,0.2,TRUE,0),IF(D260="Grenade",_xlfn.IFS(I260&gt;=0.2,1,I260&gt;=0.1,0.7,I260&gt;=0.05,0.4,TRUE,0),0))</f>
        <v>0</v>
      </c>
      <c r="L260" s="57">
        <f t="shared" si="87"/>
        <v>0</v>
      </c>
    </row>
    <row r="261" spans="1:12" ht="15" customHeight="1" x14ac:dyDescent="0.25">
      <c r="A261" s="42" t="str" cm="1">
        <f t="array" ref="A261">IFERROR(INDEX(_xlfn._xlws.FILTER(Class_Players!A:A,Class_Players!B:B="Recon"),QUOTIENT(ROW()-ROW($A$2),8)+1),"")</f>
        <v>I-TomAce-I</v>
      </c>
      <c r="B261" s="42" t="str">
        <f>_xlfn.XLOOKUP(A261,Class_Players!$A:$A,Class_Players!$B:$B,"")</f>
        <v>Recon</v>
      </c>
      <c r="C261" s="38" t="str" cm="1">
        <f t="array" ref="C261">INDEX(Lookups!$C$2:$C$9,MOD(ROW()-ROW($B$2),ROWS(Lookups!$C$2:$C$9))+1)</f>
        <v>M18A1 (Claymore)</v>
      </c>
      <c r="D261" s="38" t="str">
        <f>_xlfn.XLOOKUP(C261,Analysis_Gadgets!$C:$C,Analysis_Gadgets!$B:$B)</f>
        <v>Gadget</v>
      </c>
      <c r="E261" s="43">
        <v>294</v>
      </c>
      <c r="F261" s="43">
        <f>_xlfn.XLOOKUP(A261,Class_Players!A:A,Class_Players!G:G)</f>
        <v>228</v>
      </c>
      <c r="G261" s="43">
        <f t="shared" si="84"/>
        <v>1.2894736842105263</v>
      </c>
      <c r="H261" s="43">
        <f>_xlfn.XLOOKUP(A261,Class_Players!$A:$A,Class_Players!$F:$F,"")</f>
        <v>9307</v>
      </c>
      <c r="I261" s="44">
        <f t="shared" si="85"/>
        <v>3.1589126463951865E-2</v>
      </c>
      <c r="J261" s="43">
        <f t="shared" si="86"/>
        <v>0</v>
      </c>
      <c r="K261" s="44" cm="1">
        <f t="array" ref="K261">IF(D261="Gadget",_xlfn.IFS(I261&gt;=0.2,0.5,I261&gt;=0.1,0.35,I261&gt;=0.05,0.2,TRUE,0),IF(D261="Grenade",_xlfn.IFS(I261&gt;=0.2,1,I261&gt;=0.1,0.7,I261&gt;=0.05,0.4,TRUE,0),0))</f>
        <v>0</v>
      </c>
      <c r="L261" s="57">
        <f t="shared" si="87"/>
        <v>0</v>
      </c>
    </row>
    <row r="262" spans="1:12" ht="15" customHeight="1" x14ac:dyDescent="0.25">
      <c r="A262" s="42" t="str" cm="1">
        <f t="array" ref="A262">IFERROR(INDEX(_xlfn._xlws.FILTER(Class_Players!A:A,Class_Players!B:B="Recon"),QUOTIENT(ROW()-ROW($A$2),8)+1),"")</f>
        <v>I-TomAce-I</v>
      </c>
      <c r="B262" s="42" t="str">
        <f>_xlfn.XLOOKUP(A262,Class_Players!$A:$A,Class_Players!$B:$B,"")</f>
        <v>Recon</v>
      </c>
      <c r="C262" s="38" t="str" cm="1">
        <f t="array" ref="C262">INDEX(Lookups!$C$2:$C$9,MOD(ROW()-ROW($B$2),ROWS(Lookups!$C$2:$C$9))+1)</f>
        <v>Sniper Decoy</v>
      </c>
      <c r="D262" s="38" t="str">
        <f>_xlfn.XLOOKUP(C262,Analysis_Gadgets!$C:$C,Analysis_Gadgets!$B:$B)</f>
        <v>Gadget</v>
      </c>
      <c r="E262" s="43">
        <v>10</v>
      </c>
      <c r="F262" s="43">
        <f>_xlfn.XLOOKUP(A262,Class_Players!A:A,Class_Players!G:G)</f>
        <v>228</v>
      </c>
      <c r="G262" s="43">
        <f t="shared" si="84"/>
        <v>4.3859649122807015E-2</v>
      </c>
      <c r="H262" s="43">
        <f>_xlfn.XLOOKUP(A262,Class_Players!$A:$A,Class_Players!$F:$F,"")</f>
        <v>9307</v>
      </c>
      <c r="I262" s="44">
        <f t="shared" si="85"/>
        <v>1.0744600838078866E-3</v>
      </c>
      <c r="J262" s="43">
        <f t="shared" si="86"/>
        <v>0</v>
      </c>
      <c r="K262" s="44" cm="1">
        <f t="array" ref="K262">IF(D262="Gadget",_xlfn.IFS(I262&gt;=0.2,0.5,I262&gt;=0.1,0.35,I262&gt;=0.05,0.2,TRUE,0),IF(D262="Grenade",_xlfn.IFS(I262&gt;=0.2,1,I262&gt;=0.1,0.7,I262&gt;=0.05,0.4,TRUE,0),0))</f>
        <v>0</v>
      </c>
      <c r="L262" s="57">
        <f t="shared" si="87"/>
        <v>0</v>
      </c>
    </row>
    <row r="263" spans="1:12" ht="15" customHeight="1" x14ac:dyDescent="0.25">
      <c r="A263" s="42" t="str" cm="1">
        <f t="array" ref="A263">IFERROR(INDEX(_xlfn._xlws.FILTER(Class_Players!A:A,Class_Players!B:B="Recon"),QUOTIENT(ROW()-ROW($A$2),8)+1),"")</f>
        <v>I-TomAce-I</v>
      </c>
      <c r="B263" s="42" t="str">
        <f>_xlfn.XLOOKUP(A263,Class_Players!$A:$A,Class_Players!$B:$B,"")</f>
        <v>Recon</v>
      </c>
      <c r="C263" s="38" t="str" cm="1">
        <f t="array" ref="C263">INDEX(Lookups!$C$2:$C$9,MOD(ROW()-ROW($B$2),ROWS(Lookups!$C$2:$C$9))+1)</f>
        <v>C-4 Explosives</v>
      </c>
      <c r="D263" s="38" t="str">
        <f>_xlfn.XLOOKUP(C263,Analysis_Gadgets!$C:$C,Analysis_Gadgets!$B:$B)</f>
        <v>Gadget</v>
      </c>
      <c r="E263" s="43">
        <v>5763</v>
      </c>
      <c r="F263" s="43">
        <f>_xlfn.XLOOKUP(A263,Class_Players!A:A,Class_Players!G:G)</f>
        <v>228</v>
      </c>
      <c r="G263" s="43">
        <f t="shared" si="84"/>
        <v>25.276315789473685</v>
      </c>
      <c r="H263" s="43">
        <f>_xlfn.XLOOKUP(A263,Class_Players!$A:$A,Class_Players!$F:$F,"")</f>
        <v>9307</v>
      </c>
      <c r="I263" s="44">
        <f t="shared" si="85"/>
        <v>0.61921134629848507</v>
      </c>
      <c r="J263" s="43">
        <f t="shared" si="86"/>
        <v>1</v>
      </c>
      <c r="K263" s="44" cm="1">
        <f t="array" ref="K263">IF(D263="Gadget",_xlfn.IFS(I263&gt;=0.2,0.5,I263&gt;=0.1,0.35,I263&gt;=0.05,0.2,TRUE,0),IF(D263="Grenade",_xlfn.IFS(I263&gt;=0.2,1,I263&gt;=0.1,0.7,I263&gt;=0.05,0.4,TRUE,0),0))</f>
        <v>0.5</v>
      </c>
      <c r="L263" s="57">
        <f t="shared" si="87"/>
        <v>1</v>
      </c>
    </row>
    <row r="264" spans="1:12" ht="15" customHeight="1" x14ac:dyDescent="0.25">
      <c r="A264" s="42" t="str" cm="1">
        <f t="array" ref="A264">IFERROR(INDEX(_xlfn._xlws.FILTER(Class_Players!A:A,Class_Players!B:B="Recon"),QUOTIENT(ROW()-ROW($A$2),8)+1),"")</f>
        <v>I-TomAce-I</v>
      </c>
      <c r="B264" s="42" t="str">
        <f>_xlfn.XLOOKUP(A264,Class_Players!$A:$A,Class_Players!$B:$B,"")</f>
        <v>Recon</v>
      </c>
      <c r="C264" s="38" t="str" cm="1">
        <f t="array" ref="C264">INDEX(Lookups!$C$2:$C$9,MOD(ROW()-ROW($B$2),ROWS(Lookups!$C$2:$C$9))+1)</f>
        <v>Proximity Detector</v>
      </c>
      <c r="D264" s="38" t="str">
        <f>_xlfn.XLOOKUP(C264,Analysis_Gadgets!$C:$C,Analysis_Gadgets!$B:$B)</f>
        <v>Grenade</v>
      </c>
      <c r="E264" s="43">
        <v>1378</v>
      </c>
      <c r="F264" s="43">
        <f>_xlfn.XLOOKUP(A264,Class_Players!A:A,Class_Players!G:G)</f>
        <v>228</v>
      </c>
      <c r="G264" s="43">
        <f t="shared" si="84"/>
        <v>6.0438596491228074</v>
      </c>
      <c r="H264" s="43">
        <f>_xlfn.XLOOKUP(A264,Class_Players!$A:$A,Class_Players!$F:$F,"")</f>
        <v>9307</v>
      </c>
      <c r="I264" s="44">
        <f t="shared" si="85"/>
        <v>0.14806059954872677</v>
      </c>
      <c r="J264" s="43">
        <f t="shared" si="86"/>
        <v>1</v>
      </c>
      <c r="K264" s="44" cm="1">
        <f t="array" ref="K264">IF(D264="Gadget",_xlfn.IFS(I264&gt;=0.2,0.5,I264&gt;=0.1,0.35,I264&gt;=0.05,0.2,TRUE,0),IF(D264="Grenade",_xlfn.IFS(I264&gt;=0.2,1,I264&gt;=0.1,0.7,I264&gt;=0.05,0.4,TRUE,0),0))</f>
        <v>0.7</v>
      </c>
      <c r="L264" s="57">
        <f t="shared" ref="L264:L265" si="88">IF($K264=0,0,$K264 / SUMIFS($K:$K,$A:$A,$A264,$D:$D,"Grenade"))</f>
        <v>1</v>
      </c>
    </row>
    <row r="265" spans="1:12" ht="15" customHeight="1" x14ac:dyDescent="0.25">
      <c r="A265" s="42" t="str" cm="1">
        <f t="array" ref="A265">IFERROR(INDEX(_xlfn._xlws.FILTER(Class_Players!A:A,Class_Players!B:B="Recon"),QUOTIENT(ROW()-ROW($A$2),8)+1),"")</f>
        <v>I-TomAce-I</v>
      </c>
      <c r="B265" s="42" t="str">
        <f>_xlfn.XLOOKUP(A265,Class_Players!$A:$A,Class_Players!$B:$B,"")</f>
        <v>Recon</v>
      </c>
      <c r="C265" s="38" t="str" cm="1">
        <f t="array" ref="C265">INDEX(Lookups!$C$2:$C$9,MOD(ROW()-ROW($B$2),ROWS(Lookups!$C$2:$C$9))+1)</f>
        <v>Throwing Knife</v>
      </c>
      <c r="D265" s="38" t="str">
        <f>_xlfn.XLOOKUP(C265,Analysis_Gadgets!$C:$C,Analysis_Gadgets!$B:$B)</f>
        <v>Grenade</v>
      </c>
      <c r="E265" s="43">
        <v>0</v>
      </c>
      <c r="F265" s="43">
        <f>_xlfn.XLOOKUP(A265,Class_Players!A:A,Class_Players!G:G)</f>
        <v>228</v>
      </c>
      <c r="G265" s="43">
        <f t="shared" si="84"/>
        <v>0</v>
      </c>
      <c r="H265" s="43">
        <f>_xlfn.XLOOKUP(A265,Class_Players!$A:$A,Class_Players!$F:$F,"")</f>
        <v>9307</v>
      </c>
      <c r="I265" s="44">
        <f t="shared" si="85"/>
        <v>0</v>
      </c>
      <c r="J265" s="43">
        <f t="shared" si="86"/>
        <v>0</v>
      </c>
      <c r="K265" s="44" cm="1">
        <f t="array" ref="K265">IF(D265="Gadget",_xlfn.IFS(I265&gt;=0.2,0.5,I265&gt;=0.1,0.35,I265&gt;=0.05,0.2,TRUE,0),IF(D265="Grenade",_xlfn.IFS(I265&gt;=0.2,1,I265&gt;=0.1,0.7,I265&gt;=0.05,0.4,TRUE,0),0))</f>
        <v>0</v>
      </c>
      <c r="L265" s="57">
        <f t="shared" si="88"/>
        <v>0</v>
      </c>
    </row>
    <row r="266" spans="1:12" ht="15" customHeight="1" x14ac:dyDescent="0.25">
      <c r="A266" s="42" t="str" cm="1">
        <f t="array" ref="A266">IFERROR(INDEX(_xlfn._xlws.FILTER(Class_Players!A:A,Class_Players!B:B="Recon"),QUOTIENT(ROW()-ROW($A$2),8)+1),"")</f>
        <v>Vogge</v>
      </c>
      <c r="B266" s="42" t="str">
        <f>_xlfn.XLOOKUP(A266,Class_Players!$A:$A,Class_Players!$B:$B,"")</f>
        <v>Recon</v>
      </c>
      <c r="C266" s="38" t="str" cm="1">
        <f t="array" ref="C266">INDEX(Lookups!$C$2:$C$9,MOD(ROW()-ROW($B$2),ROWS(Lookups!$C$2:$C$9))+1)</f>
        <v>Laser Designator</v>
      </c>
      <c r="D266" s="38" t="str">
        <f>_xlfn.XLOOKUP(C266,Analysis_Gadgets!$C:$C,Analysis_Gadgets!$B:$B)</f>
        <v>Gadget</v>
      </c>
      <c r="E266" s="43">
        <v>44</v>
      </c>
      <c r="F266" s="43">
        <f>_xlfn.XLOOKUP(A266,Class_Players!A:A,Class_Players!G:G)</f>
        <v>222</v>
      </c>
      <c r="G266" s="43">
        <f t="shared" si="84"/>
        <v>0.1981981981981982</v>
      </c>
      <c r="H266" s="43">
        <f>_xlfn.XLOOKUP(A266,Class_Players!$A:$A,Class_Players!$F:$F,"")</f>
        <v>8652</v>
      </c>
      <c r="I266" s="44">
        <f t="shared" si="85"/>
        <v>5.0855293573740176E-3</v>
      </c>
      <c r="J266" s="43">
        <f t="shared" si="86"/>
        <v>0</v>
      </c>
      <c r="K266" s="44" cm="1">
        <f t="array" ref="K266">IF(D266="Gadget",_xlfn.IFS(I266&gt;=0.2,0.5,I266&gt;=0.1,0.35,I266&gt;=0.05,0.2,TRUE,0),IF(D266="Grenade",_xlfn.IFS(I266&gt;=0.2,1,I266&gt;=0.1,0.7,I266&gt;=0.05,0.4,TRUE,0),0))</f>
        <v>0</v>
      </c>
      <c r="L266" s="57">
        <f t="shared" ref="L266:L271" si="89">IF($K266=0,0,$K266 / SUMIFS($K:$K,$A:$A,$A266,$D:$D,"Gadget"))</f>
        <v>0</v>
      </c>
    </row>
    <row r="267" spans="1:12" ht="15" customHeight="1" x14ac:dyDescent="0.25">
      <c r="A267" s="42" t="str" cm="1">
        <f t="array" ref="A267">IFERROR(INDEX(_xlfn._xlws.FILTER(Class_Players!A:A,Class_Players!B:B="Recon"),QUOTIENT(ROW()-ROW($A$2),8)+1),"")</f>
        <v>Vogge</v>
      </c>
      <c r="B267" s="42" t="str">
        <f>_xlfn.XLOOKUP(A267,Class_Players!$A:$A,Class_Players!$B:$B,"")</f>
        <v>Recon</v>
      </c>
      <c r="C267" s="38" t="str" cm="1">
        <f t="array" ref="C267">INDEX(Lookups!$C$2:$C$9,MOD(ROW()-ROW($B$2),ROWS(Lookups!$C$2:$C$9))+1)</f>
        <v>Recon Drone</v>
      </c>
      <c r="D267" s="38" t="str">
        <f>_xlfn.XLOOKUP(C267,Analysis_Gadgets!$C:$C,Analysis_Gadgets!$B:$B)</f>
        <v>Gadget</v>
      </c>
      <c r="E267" s="43">
        <v>34</v>
      </c>
      <c r="F267" s="43">
        <f>_xlfn.XLOOKUP(A267,Class_Players!A:A,Class_Players!G:G)</f>
        <v>222</v>
      </c>
      <c r="G267" s="43">
        <f t="shared" si="84"/>
        <v>0.15315315315315314</v>
      </c>
      <c r="H267" s="43">
        <f>_xlfn.XLOOKUP(A267,Class_Players!$A:$A,Class_Players!$F:$F,"")</f>
        <v>8652</v>
      </c>
      <c r="I267" s="44">
        <f t="shared" si="85"/>
        <v>3.9297272306981048E-3</v>
      </c>
      <c r="J267" s="43">
        <f t="shared" si="86"/>
        <v>0</v>
      </c>
      <c r="K267" s="44" cm="1">
        <f t="array" ref="K267">IF(D267="Gadget",_xlfn.IFS(I267&gt;=0.2,0.5,I267&gt;=0.1,0.35,I267&gt;=0.05,0.2,TRUE,0),IF(D267="Grenade",_xlfn.IFS(I267&gt;=0.2,1,I267&gt;=0.1,0.7,I267&gt;=0.05,0.4,TRUE,0),0))</f>
        <v>0</v>
      </c>
      <c r="L267" s="57">
        <f t="shared" si="89"/>
        <v>0</v>
      </c>
    </row>
    <row r="268" spans="1:12" ht="15" customHeight="1" x14ac:dyDescent="0.25">
      <c r="A268" s="42" t="str" cm="1">
        <f t="array" ref="A268">IFERROR(INDEX(_xlfn._xlws.FILTER(Class_Players!A:A,Class_Players!B:B="Recon"),QUOTIENT(ROW()-ROW($A$2),8)+1),"")</f>
        <v>Vogge</v>
      </c>
      <c r="B268" s="42" t="str">
        <f>_xlfn.XLOOKUP(A268,Class_Players!$A:$A,Class_Players!$B:$B,"")</f>
        <v>Recon</v>
      </c>
      <c r="C268" s="38" t="str" cm="1">
        <f t="array" ref="C268">INDEX(Lookups!$C$2:$C$9,MOD(ROW()-ROW($B$2),ROWS(Lookups!$C$2:$C$9))+1)</f>
        <v>Tracer Dart</v>
      </c>
      <c r="D268" s="38" t="str">
        <f>_xlfn.XLOOKUP(C268,Analysis_Gadgets!$C:$C,Analysis_Gadgets!$B:$B)</f>
        <v>Gadget</v>
      </c>
      <c r="E268" s="43">
        <v>0</v>
      </c>
      <c r="F268" s="43">
        <f>_xlfn.XLOOKUP(A268,Class_Players!A:A,Class_Players!G:G)</f>
        <v>222</v>
      </c>
      <c r="G268" s="43">
        <f t="shared" si="84"/>
        <v>0</v>
      </c>
      <c r="H268" s="43">
        <f>_xlfn.XLOOKUP(A268,Class_Players!$A:$A,Class_Players!$F:$F,"")</f>
        <v>8652</v>
      </c>
      <c r="I268" s="44">
        <f t="shared" si="85"/>
        <v>0</v>
      </c>
      <c r="J268" s="43">
        <f t="shared" si="86"/>
        <v>0</v>
      </c>
      <c r="K268" s="44" cm="1">
        <f t="array" ref="K268">IF(D268="Gadget",_xlfn.IFS(I268&gt;=0.2,0.5,I268&gt;=0.1,0.35,I268&gt;=0.05,0.2,TRUE,0),IF(D268="Grenade",_xlfn.IFS(I268&gt;=0.2,1,I268&gt;=0.1,0.7,I268&gt;=0.05,0.4,TRUE,0),0))</f>
        <v>0</v>
      </c>
      <c r="L268" s="57">
        <f t="shared" si="89"/>
        <v>0</v>
      </c>
    </row>
    <row r="269" spans="1:12" ht="15" customHeight="1" x14ac:dyDescent="0.25">
      <c r="A269" s="42" t="str" cm="1">
        <f t="array" ref="A269">IFERROR(INDEX(_xlfn._xlws.FILTER(Class_Players!A:A,Class_Players!B:B="Recon"),QUOTIENT(ROW()-ROW($A$2),8)+1),"")</f>
        <v>Vogge</v>
      </c>
      <c r="B269" s="42" t="str">
        <f>_xlfn.XLOOKUP(A269,Class_Players!$A:$A,Class_Players!$B:$B,"")</f>
        <v>Recon</v>
      </c>
      <c r="C269" s="38" t="str" cm="1">
        <f t="array" ref="C269">INDEX(Lookups!$C$2:$C$9,MOD(ROW()-ROW($B$2),ROWS(Lookups!$C$2:$C$9))+1)</f>
        <v>M18A1 (Claymore)</v>
      </c>
      <c r="D269" s="38" t="str">
        <f>_xlfn.XLOOKUP(C269,Analysis_Gadgets!$C:$C,Analysis_Gadgets!$B:$B)</f>
        <v>Gadget</v>
      </c>
      <c r="E269" s="43">
        <v>4410</v>
      </c>
      <c r="F269" s="43">
        <f>_xlfn.XLOOKUP(A269,Class_Players!A:A,Class_Players!G:G)</f>
        <v>222</v>
      </c>
      <c r="G269" s="43">
        <f t="shared" si="84"/>
        <v>19.864864864864863</v>
      </c>
      <c r="H269" s="43">
        <f>_xlfn.XLOOKUP(A269,Class_Players!$A:$A,Class_Players!$F:$F,"")</f>
        <v>8652</v>
      </c>
      <c r="I269" s="44">
        <f t="shared" si="85"/>
        <v>0.50970873786407767</v>
      </c>
      <c r="J269" s="43">
        <f t="shared" si="86"/>
        <v>1</v>
      </c>
      <c r="K269" s="44" cm="1">
        <f t="array" ref="K269">IF(D269="Gadget",_xlfn.IFS(I269&gt;=0.2,0.5,I269&gt;=0.1,0.35,I269&gt;=0.05,0.2,TRUE,0),IF(D269="Grenade",_xlfn.IFS(I269&gt;=0.2,1,I269&gt;=0.1,0.7,I269&gt;=0.05,0.4,TRUE,0),0))</f>
        <v>0.5</v>
      </c>
      <c r="L269" s="57">
        <f t="shared" si="89"/>
        <v>0.5</v>
      </c>
    </row>
    <row r="270" spans="1:12" ht="15" customHeight="1" x14ac:dyDescent="0.25">
      <c r="A270" s="42" t="str" cm="1">
        <f t="array" ref="A270">IFERROR(INDEX(_xlfn._xlws.FILTER(Class_Players!A:A,Class_Players!B:B="Recon"),QUOTIENT(ROW()-ROW($A$2),8)+1),"")</f>
        <v>Vogge</v>
      </c>
      <c r="B270" s="42" t="str">
        <f>_xlfn.XLOOKUP(A270,Class_Players!$A:$A,Class_Players!$B:$B,"")</f>
        <v>Recon</v>
      </c>
      <c r="C270" s="38" t="str" cm="1">
        <f t="array" ref="C270">INDEX(Lookups!$C$2:$C$9,MOD(ROW()-ROW($B$2),ROWS(Lookups!$C$2:$C$9))+1)</f>
        <v>Sniper Decoy</v>
      </c>
      <c r="D270" s="38" t="str">
        <f>_xlfn.XLOOKUP(C270,Analysis_Gadgets!$C:$C,Analysis_Gadgets!$B:$B)</f>
        <v>Gadget</v>
      </c>
      <c r="E270" s="43">
        <v>0</v>
      </c>
      <c r="F270" s="43">
        <f>_xlfn.XLOOKUP(A270,Class_Players!A:A,Class_Players!G:G)</f>
        <v>222</v>
      </c>
      <c r="G270" s="43">
        <f t="shared" si="84"/>
        <v>0</v>
      </c>
      <c r="H270" s="43">
        <f>_xlfn.XLOOKUP(A270,Class_Players!$A:$A,Class_Players!$F:$F,"")</f>
        <v>8652</v>
      </c>
      <c r="I270" s="44">
        <f t="shared" si="85"/>
        <v>0</v>
      </c>
      <c r="J270" s="43">
        <f t="shared" si="86"/>
        <v>0</v>
      </c>
      <c r="K270" s="44" cm="1">
        <f t="array" ref="K270">IF(D270="Gadget",_xlfn.IFS(I270&gt;=0.2,0.5,I270&gt;=0.1,0.35,I270&gt;=0.05,0.2,TRUE,0),IF(D270="Grenade",_xlfn.IFS(I270&gt;=0.2,1,I270&gt;=0.1,0.7,I270&gt;=0.05,0.4,TRUE,0),0))</f>
        <v>0</v>
      </c>
      <c r="L270" s="57">
        <f t="shared" si="89"/>
        <v>0</v>
      </c>
    </row>
    <row r="271" spans="1:12" ht="15" customHeight="1" x14ac:dyDescent="0.25">
      <c r="A271" s="42" t="str" cm="1">
        <f t="array" ref="A271">IFERROR(INDEX(_xlfn._xlws.FILTER(Class_Players!A:A,Class_Players!B:B="Recon"),QUOTIENT(ROW()-ROW($A$2),8)+1),"")</f>
        <v>Vogge</v>
      </c>
      <c r="B271" s="42" t="str">
        <f>_xlfn.XLOOKUP(A271,Class_Players!$A:$A,Class_Players!$B:$B,"")</f>
        <v>Recon</v>
      </c>
      <c r="C271" s="38" t="str" cm="1">
        <f t="array" ref="C271">INDEX(Lookups!$C$2:$C$9,MOD(ROW()-ROW($B$2),ROWS(Lookups!$C$2:$C$9))+1)</f>
        <v>C-4 Explosives</v>
      </c>
      <c r="D271" s="38" t="str">
        <f>_xlfn.XLOOKUP(C271,Analysis_Gadgets!$C:$C,Analysis_Gadgets!$B:$B)</f>
        <v>Gadget</v>
      </c>
      <c r="E271" s="43">
        <v>2250</v>
      </c>
      <c r="F271" s="43">
        <f>_xlfn.XLOOKUP(A271,Class_Players!A:A,Class_Players!G:G)</f>
        <v>222</v>
      </c>
      <c r="G271" s="43">
        <f t="shared" si="84"/>
        <v>10.135135135135135</v>
      </c>
      <c r="H271" s="43">
        <f>_xlfn.XLOOKUP(A271,Class_Players!$A:$A,Class_Players!$F:$F,"")</f>
        <v>8652</v>
      </c>
      <c r="I271" s="44">
        <f t="shared" si="85"/>
        <v>0.26005547850208044</v>
      </c>
      <c r="J271" s="43">
        <f t="shared" si="86"/>
        <v>1</v>
      </c>
      <c r="K271" s="44" cm="1">
        <f t="array" ref="K271">IF(D271="Gadget",_xlfn.IFS(I271&gt;=0.2,0.5,I271&gt;=0.1,0.35,I271&gt;=0.05,0.2,TRUE,0),IF(D271="Grenade",_xlfn.IFS(I271&gt;=0.2,1,I271&gt;=0.1,0.7,I271&gt;=0.05,0.4,TRUE,0),0))</f>
        <v>0.5</v>
      </c>
      <c r="L271" s="57">
        <f t="shared" si="89"/>
        <v>0.5</v>
      </c>
    </row>
    <row r="272" spans="1:12" ht="15" customHeight="1" x14ac:dyDescent="0.25">
      <c r="A272" s="42" t="str" cm="1">
        <f t="array" ref="A272">IFERROR(INDEX(_xlfn._xlws.FILTER(Class_Players!A:A,Class_Players!B:B="Recon"),QUOTIENT(ROW()-ROW($A$2),8)+1),"")</f>
        <v>Vogge</v>
      </c>
      <c r="B272" s="42" t="str">
        <f>_xlfn.XLOOKUP(A272,Class_Players!$A:$A,Class_Players!$B:$B,"")</f>
        <v>Recon</v>
      </c>
      <c r="C272" s="38" t="str" cm="1">
        <f t="array" ref="C272">INDEX(Lookups!$C$2:$C$9,MOD(ROW()-ROW($B$2),ROWS(Lookups!$C$2:$C$9))+1)</f>
        <v>Proximity Detector</v>
      </c>
      <c r="D272" s="38" t="str">
        <f>_xlfn.XLOOKUP(C272,Analysis_Gadgets!$C:$C,Analysis_Gadgets!$B:$B)</f>
        <v>Grenade</v>
      </c>
      <c r="E272" s="43">
        <v>449</v>
      </c>
      <c r="F272" s="43">
        <f>_xlfn.XLOOKUP(A272,Class_Players!A:A,Class_Players!G:G)</f>
        <v>222</v>
      </c>
      <c r="G272" s="43">
        <f t="shared" si="84"/>
        <v>2.0225225225225225</v>
      </c>
      <c r="H272" s="43">
        <f>_xlfn.XLOOKUP(A272,Class_Players!$A:$A,Class_Players!$F:$F,"")</f>
        <v>8652</v>
      </c>
      <c r="I272" s="44">
        <f t="shared" si="85"/>
        <v>5.1895515487748498E-2</v>
      </c>
      <c r="J272" s="43">
        <f t="shared" si="86"/>
        <v>0</v>
      </c>
      <c r="K272" s="44" cm="1">
        <f t="array" ref="K272">IF(D272="Gadget",_xlfn.IFS(I272&gt;=0.2,0.5,I272&gt;=0.1,0.35,I272&gt;=0.05,0.2,TRUE,0),IF(D272="Grenade",_xlfn.IFS(I272&gt;=0.2,1,I272&gt;=0.1,0.7,I272&gt;=0.05,0.4,TRUE,0),0))</f>
        <v>0.4</v>
      </c>
      <c r="L272" s="57">
        <f t="shared" ref="L272:L273" si="90">IF($K272=0,0,$K272 / SUMIFS($K:$K,$A:$A,$A272,$D:$D,"Grenade"))</f>
        <v>1</v>
      </c>
    </row>
    <row r="273" spans="1:12" ht="15" customHeight="1" x14ac:dyDescent="0.25">
      <c r="A273" s="42" t="str" cm="1">
        <f t="array" ref="A273">IFERROR(INDEX(_xlfn._xlws.FILTER(Class_Players!A:A,Class_Players!B:B="Recon"),QUOTIENT(ROW()-ROW($A$2),8)+1),"")</f>
        <v>Vogge</v>
      </c>
      <c r="B273" s="42" t="str">
        <f>_xlfn.XLOOKUP(A273,Class_Players!$A:$A,Class_Players!$B:$B,"")</f>
        <v>Recon</v>
      </c>
      <c r="C273" s="38" t="str" cm="1">
        <f t="array" ref="C273">INDEX(Lookups!$C$2:$C$9,MOD(ROW()-ROW($B$2),ROWS(Lookups!$C$2:$C$9))+1)</f>
        <v>Throwing Knife</v>
      </c>
      <c r="D273" s="38" t="str">
        <f>_xlfn.XLOOKUP(C273,Analysis_Gadgets!$C:$C,Analysis_Gadgets!$B:$B)</f>
        <v>Grenade</v>
      </c>
      <c r="E273" s="43">
        <v>1</v>
      </c>
      <c r="F273" s="43">
        <f>_xlfn.XLOOKUP(A273,Class_Players!A:A,Class_Players!G:G)</f>
        <v>222</v>
      </c>
      <c r="G273" s="43">
        <f t="shared" si="84"/>
        <v>4.5045045045045045E-3</v>
      </c>
      <c r="H273" s="43">
        <f>_xlfn.XLOOKUP(A273,Class_Players!$A:$A,Class_Players!$F:$F,"")</f>
        <v>8652</v>
      </c>
      <c r="I273" s="44">
        <f t="shared" si="85"/>
        <v>1.155802126675913E-4</v>
      </c>
      <c r="J273" s="43">
        <f t="shared" si="86"/>
        <v>0</v>
      </c>
      <c r="K273" s="44" cm="1">
        <f t="array" ref="K273">IF(D273="Gadget",_xlfn.IFS(I273&gt;=0.2,0.5,I273&gt;=0.1,0.35,I273&gt;=0.05,0.2,TRUE,0),IF(D273="Grenade",_xlfn.IFS(I273&gt;=0.2,1,I273&gt;=0.1,0.7,I273&gt;=0.05,0.4,TRUE,0),0))</f>
        <v>0</v>
      </c>
      <c r="L273" s="57">
        <f t="shared" si="90"/>
        <v>0</v>
      </c>
    </row>
    <row r="274" spans="1:12" ht="15" customHeight="1" x14ac:dyDescent="0.25">
      <c r="A274" s="42" t="str" cm="1">
        <f t="array" ref="A274">IFERROR(INDEX(_xlfn._xlws.FILTER(Class_Players!A:A,Class_Players!B:B="Recon"),QUOTIENT(ROW()-ROW($A$2),8)+1),"")</f>
        <v>HeRbY-007</v>
      </c>
      <c r="B274" s="42" t="str">
        <f>_xlfn.XLOOKUP(A274,Class_Players!$A:$A,Class_Players!$B:$B,"")</f>
        <v>Recon</v>
      </c>
      <c r="C274" s="38" t="str" cm="1">
        <f t="array" ref="C274">INDEX(Lookups!$C$2:$C$9,MOD(ROW()-ROW($B$2),ROWS(Lookups!$C$2:$C$9))+1)</f>
        <v>Laser Designator</v>
      </c>
      <c r="D274" s="38" t="str">
        <f>_xlfn.XLOOKUP(C274,Analysis_Gadgets!$C:$C,Analysis_Gadgets!$B:$B)</f>
        <v>Gadget</v>
      </c>
      <c r="E274" s="43">
        <v>238</v>
      </c>
      <c r="F274" s="43">
        <f>_xlfn.XLOOKUP(A274,Class_Players!A:A,Class_Players!G:G)</f>
        <v>197</v>
      </c>
      <c r="G274" s="43">
        <f t="shared" si="84"/>
        <v>1.2081218274111676</v>
      </c>
      <c r="H274" s="43">
        <f>_xlfn.XLOOKUP(A274,Class_Players!$A:$A,Class_Players!$F:$F,"")</f>
        <v>8379</v>
      </c>
      <c r="I274" s="44">
        <f t="shared" si="85"/>
        <v>2.8404344193817876E-2</v>
      </c>
      <c r="J274" s="43">
        <f t="shared" si="86"/>
        <v>0</v>
      </c>
      <c r="K274" s="44" cm="1">
        <f t="array" ref="K274">IF(D274="Gadget",_xlfn.IFS(I274&gt;=0.2,0.5,I274&gt;=0.1,0.35,I274&gt;=0.05,0.2,TRUE,0),IF(D274="Grenade",_xlfn.IFS(I274&gt;=0.2,1,I274&gt;=0.1,0.7,I274&gt;=0.05,0.4,TRUE,0),0))</f>
        <v>0</v>
      </c>
      <c r="L274" s="57">
        <f t="shared" ref="L274:L295" si="91">IF($K274=0,0,$K274 / SUMIFS($K:$K,$A:$A,$A274,$D:$D,"Gadget"))</f>
        <v>0</v>
      </c>
    </row>
    <row r="275" spans="1:12" ht="15" customHeight="1" x14ac:dyDescent="0.25">
      <c r="A275" s="42" t="str" cm="1">
        <f t="array" ref="A275">IFERROR(INDEX(_xlfn._xlws.FILTER(Class_Players!A:A,Class_Players!B:B="Recon"),QUOTIENT(ROW()-ROW($A$2),8)+1),"")</f>
        <v>HeRbY-007</v>
      </c>
      <c r="B275" s="42" t="str">
        <f>_xlfn.XLOOKUP(A275,Class_Players!$A:$A,Class_Players!$B:$B,"")</f>
        <v>Recon</v>
      </c>
      <c r="C275" s="38" t="str" cm="1">
        <f t="array" ref="C275">INDEX(Lookups!$C$2:$C$9,MOD(ROW()-ROW($B$2),ROWS(Lookups!$C$2:$C$9))+1)</f>
        <v>Recon Drone</v>
      </c>
      <c r="D275" s="38" t="str">
        <f>_xlfn.XLOOKUP(C275,Analysis_Gadgets!$C:$C,Analysis_Gadgets!$B:$B)</f>
        <v>Gadget</v>
      </c>
      <c r="E275" s="43">
        <v>387</v>
      </c>
      <c r="F275" s="43">
        <f>_xlfn.XLOOKUP(A275,Class_Players!A:A,Class_Players!G:G)</f>
        <v>197</v>
      </c>
      <c r="G275" s="43">
        <f t="shared" si="84"/>
        <v>1.9644670050761421</v>
      </c>
      <c r="H275" s="43">
        <f>_xlfn.XLOOKUP(A275,Class_Players!$A:$A,Class_Players!$F:$F,"")</f>
        <v>8379</v>
      </c>
      <c r="I275" s="44">
        <f t="shared" si="85"/>
        <v>4.6186895810955961E-2</v>
      </c>
      <c r="J275" s="43">
        <f t="shared" si="86"/>
        <v>0</v>
      </c>
      <c r="K275" s="44" cm="1">
        <f t="array" ref="K275">IF(D275="Gadget",_xlfn.IFS(I275&gt;=0.2,0.5,I275&gt;=0.1,0.35,I275&gt;=0.05,0.2,TRUE,0),IF(D275="Grenade",_xlfn.IFS(I275&gt;=0.2,1,I275&gt;=0.1,0.7,I275&gt;=0.05,0.4,TRUE,0),0))</f>
        <v>0</v>
      </c>
      <c r="L275" s="57">
        <f t="shared" si="91"/>
        <v>0</v>
      </c>
    </row>
    <row r="276" spans="1:12" ht="15" customHeight="1" x14ac:dyDescent="0.25">
      <c r="A276" s="42" t="str" cm="1">
        <f t="array" ref="A276">IFERROR(INDEX(_xlfn._xlws.FILTER(Class_Players!A:A,Class_Players!B:B="Recon"),QUOTIENT(ROW()-ROW($A$2),8)+1),"")</f>
        <v>HeRbY-007</v>
      </c>
      <c r="B276" s="42" t="str">
        <f>_xlfn.XLOOKUP(A276,Class_Players!$A:$A,Class_Players!$B:$B,"")</f>
        <v>Recon</v>
      </c>
      <c r="C276" s="38" t="str" cm="1">
        <f t="array" ref="C276">INDEX(Lookups!$C$2:$C$9,MOD(ROW()-ROW($B$2),ROWS(Lookups!$C$2:$C$9))+1)</f>
        <v>Tracer Dart</v>
      </c>
      <c r="D276" s="38" t="str">
        <f>_xlfn.XLOOKUP(C276,Analysis_Gadgets!$C:$C,Analysis_Gadgets!$B:$B)</f>
        <v>Gadget</v>
      </c>
      <c r="E276" s="43">
        <v>36</v>
      </c>
      <c r="F276" s="43">
        <f>_xlfn.XLOOKUP(A276,Class_Players!A:A,Class_Players!G:G)</f>
        <v>197</v>
      </c>
      <c r="G276" s="43">
        <f t="shared" si="84"/>
        <v>0.18274111675126903</v>
      </c>
      <c r="H276" s="43">
        <f>_xlfn.XLOOKUP(A276,Class_Players!$A:$A,Class_Players!$F:$F,"")</f>
        <v>8379</v>
      </c>
      <c r="I276" s="44">
        <f t="shared" si="85"/>
        <v>4.296455424274973E-3</v>
      </c>
      <c r="J276" s="43">
        <f t="shared" si="86"/>
        <v>0</v>
      </c>
      <c r="K276" s="44" cm="1">
        <f t="array" ref="K276">IF(D276="Gadget",_xlfn.IFS(I276&gt;=0.2,0.5,I276&gt;=0.1,0.35,I276&gt;=0.05,0.2,TRUE,0),IF(D276="Grenade",_xlfn.IFS(I276&gt;=0.2,1,I276&gt;=0.1,0.7,I276&gt;=0.05,0.4,TRUE,0),0))</f>
        <v>0</v>
      </c>
      <c r="L276" s="57">
        <f t="shared" si="91"/>
        <v>0</v>
      </c>
    </row>
    <row r="277" spans="1:12" ht="15" customHeight="1" x14ac:dyDescent="0.25">
      <c r="A277" s="42" t="str" cm="1">
        <f t="array" ref="A277">IFERROR(INDEX(_xlfn._xlws.FILTER(Class_Players!A:A,Class_Players!B:B="Recon"),QUOTIENT(ROW()-ROW($A$2),8)+1),"")</f>
        <v>HeRbY-007</v>
      </c>
      <c r="B277" s="42" t="str">
        <f>_xlfn.XLOOKUP(A277,Class_Players!$A:$A,Class_Players!$B:$B,"")</f>
        <v>Recon</v>
      </c>
      <c r="C277" s="38" t="str" cm="1">
        <f t="array" ref="C277">INDEX(Lookups!$C$2:$C$9,MOD(ROW()-ROW($B$2),ROWS(Lookups!$C$2:$C$9))+1)</f>
        <v>M18A1 (Claymore)</v>
      </c>
      <c r="D277" s="38" t="str">
        <f>_xlfn.XLOOKUP(C277,Analysis_Gadgets!$C:$C,Analysis_Gadgets!$B:$B)</f>
        <v>Gadget</v>
      </c>
      <c r="E277" s="43">
        <v>1906</v>
      </c>
      <c r="F277" s="43">
        <f>_xlfn.XLOOKUP(A277,Class_Players!A:A,Class_Players!G:G)</f>
        <v>197</v>
      </c>
      <c r="G277" s="43">
        <f t="shared" si="84"/>
        <v>9.6751269035533003</v>
      </c>
      <c r="H277" s="43">
        <f>_xlfn.XLOOKUP(A277,Class_Players!$A:$A,Class_Players!$F:$F,"")</f>
        <v>8379</v>
      </c>
      <c r="I277" s="44">
        <f t="shared" si="85"/>
        <v>0.2274734455185583</v>
      </c>
      <c r="J277" s="43">
        <f t="shared" si="86"/>
        <v>1</v>
      </c>
      <c r="K277" s="44" cm="1">
        <f t="array" ref="K277">IF(D277="Gadget",_xlfn.IFS(I277&gt;=0.2,0.5,I277&gt;=0.1,0.35,I277&gt;=0.05,0.2,TRUE,0),IF(D277="Grenade",_xlfn.IFS(I277&gt;=0.2,1,I277&gt;=0.1,0.7,I277&gt;=0.05,0.4,TRUE,0),0))</f>
        <v>0.5</v>
      </c>
      <c r="L277" s="57">
        <f t="shared" si="91"/>
        <v>0.5</v>
      </c>
    </row>
    <row r="278" spans="1:12" ht="15" customHeight="1" x14ac:dyDescent="0.25">
      <c r="A278" s="42" t="str" cm="1">
        <f t="array" ref="A278">IFERROR(INDEX(_xlfn._xlws.FILTER(Class_Players!A:A,Class_Players!B:B="Recon"),QUOTIENT(ROW()-ROW($A$2),8)+1),"")</f>
        <v>HeRbY-007</v>
      </c>
      <c r="B278" s="42" t="str">
        <f>_xlfn.XLOOKUP(A278,Class_Players!$A:$A,Class_Players!$B:$B,"")</f>
        <v>Recon</v>
      </c>
      <c r="C278" s="38" t="str" cm="1">
        <f t="array" ref="C278">INDEX(Lookups!$C$2:$C$9,MOD(ROW()-ROW($B$2),ROWS(Lookups!$C$2:$C$9))+1)</f>
        <v>Sniper Decoy</v>
      </c>
      <c r="D278" s="38" t="str">
        <f>_xlfn.XLOOKUP(C278,Analysis_Gadgets!$C:$C,Analysis_Gadgets!$B:$B)</f>
        <v>Gadget</v>
      </c>
      <c r="E278" s="43">
        <v>31</v>
      </c>
      <c r="F278" s="43">
        <f>_xlfn.XLOOKUP(A278,Class_Players!A:A,Class_Players!G:G)</f>
        <v>197</v>
      </c>
      <c r="G278" s="43">
        <f t="shared" si="84"/>
        <v>0.15736040609137056</v>
      </c>
      <c r="H278" s="43">
        <f>_xlfn.XLOOKUP(A278,Class_Players!$A:$A,Class_Players!$F:$F,"")</f>
        <v>8379</v>
      </c>
      <c r="I278" s="44">
        <f t="shared" si="85"/>
        <v>3.6997255042367826E-3</v>
      </c>
      <c r="J278" s="43">
        <f t="shared" si="86"/>
        <v>0</v>
      </c>
      <c r="K278" s="44" cm="1">
        <f t="array" ref="K278">IF(D278="Gadget",_xlfn.IFS(I278&gt;=0.2,0.5,I278&gt;=0.1,0.35,I278&gt;=0.05,0.2,TRUE,0),IF(D278="Grenade",_xlfn.IFS(I278&gt;=0.2,1,I278&gt;=0.1,0.7,I278&gt;=0.05,0.4,TRUE,0),0))</f>
        <v>0</v>
      </c>
      <c r="L278" s="57">
        <f t="shared" si="91"/>
        <v>0</v>
      </c>
    </row>
    <row r="279" spans="1:12" ht="15" customHeight="1" x14ac:dyDescent="0.25">
      <c r="A279" s="42" t="str" cm="1">
        <f t="array" ref="A279">IFERROR(INDEX(_xlfn._xlws.FILTER(Class_Players!A:A,Class_Players!B:B="Recon"),QUOTIENT(ROW()-ROW($A$2),8)+1),"")</f>
        <v>HeRbY-007</v>
      </c>
      <c r="B279" s="42" t="str">
        <f>_xlfn.XLOOKUP(A279,Class_Players!$A:$A,Class_Players!$B:$B,"")</f>
        <v>Recon</v>
      </c>
      <c r="C279" s="38" t="str" cm="1">
        <f t="array" ref="C279">INDEX(Lookups!$C$2:$C$9,MOD(ROW()-ROW($B$2),ROWS(Lookups!$C$2:$C$9))+1)</f>
        <v>C-4 Explosives</v>
      </c>
      <c r="D279" s="38" t="str">
        <f>_xlfn.XLOOKUP(C279,Analysis_Gadgets!$C:$C,Analysis_Gadgets!$B:$B)</f>
        <v>Gadget</v>
      </c>
      <c r="E279" s="43">
        <v>5556</v>
      </c>
      <c r="F279" s="43">
        <f>_xlfn.XLOOKUP(A279,Class_Players!A:A,Class_Players!G:G)</f>
        <v>197</v>
      </c>
      <c r="G279" s="43">
        <f t="shared" si="84"/>
        <v>28.203045685279189</v>
      </c>
      <c r="H279" s="43">
        <f>_xlfn.XLOOKUP(A279,Class_Players!$A:$A,Class_Players!$F:$F,"")</f>
        <v>8379</v>
      </c>
      <c r="I279" s="44">
        <f t="shared" si="85"/>
        <v>0.66308628714643747</v>
      </c>
      <c r="J279" s="43">
        <f t="shared" si="86"/>
        <v>1</v>
      </c>
      <c r="K279" s="44" cm="1">
        <f t="array" ref="K279">IF(D279="Gadget",_xlfn.IFS(I279&gt;=0.2,0.5,I279&gt;=0.1,0.35,I279&gt;=0.05,0.2,TRUE,0),IF(D279="Grenade",_xlfn.IFS(I279&gt;=0.2,1,I279&gt;=0.1,0.7,I279&gt;=0.05,0.4,TRUE,0),0))</f>
        <v>0.5</v>
      </c>
      <c r="L279" s="57">
        <f t="shared" si="91"/>
        <v>0.5</v>
      </c>
    </row>
    <row r="280" spans="1:12" ht="15" customHeight="1" x14ac:dyDescent="0.25">
      <c r="A280" s="42" t="str" cm="1">
        <f t="array" ref="A280">IFERROR(INDEX(_xlfn._xlws.FILTER(Class_Players!A:A,Class_Players!B:B="Recon"),QUOTIENT(ROW()-ROW($A$2),8)+1),"")</f>
        <v>HeRbY-007</v>
      </c>
      <c r="B280" s="42" t="str">
        <f>_xlfn.XLOOKUP(A280,Class_Players!$A:$A,Class_Players!$B:$B,"")</f>
        <v>Recon</v>
      </c>
      <c r="C280" s="38" t="str" cm="1">
        <f t="array" ref="C280">INDEX(Lookups!$C$2:$C$9,MOD(ROW()-ROW($B$2),ROWS(Lookups!$C$2:$C$9))+1)</f>
        <v>Proximity Detector</v>
      </c>
      <c r="D280" s="38" t="str">
        <f>_xlfn.XLOOKUP(C280,Analysis_Gadgets!$C:$C,Analysis_Gadgets!$B:$B)</f>
        <v>Grenade</v>
      </c>
      <c r="E280" s="43">
        <v>252</v>
      </c>
      <c r="F280" s="43">
        <f>_xlfn.XLOOKUP(A280,Class_Players!A:A,Class_Players!G:G)</f>
        <v>197</v>
      </c>
      <c r="G280" s="43">
        <f t="shared" si="84"/>
        <v>1.2791878172588833</v>
      </c>
      <c r="H280" s="43">
        <f>_xlfn.XLOOKUP(A280,Class_Players!$A:$A,Class_Players!$F:$F,"")</f>
        <v>8379</v>
      </c>
      <c r="I280" s="44">
        <f t="shared" si="85"/>
        <v>3.007518796992481E-2</v>
      </c>
      <c r="J280" s="43">
        <f t="shared" si="86"/>
        <v>0</v>
      </c>
      <c r="K280" s="44" cm="1">
        <f t="array" ref="K280">IF(D280="Gadget",_xlfn.IFS(I280&gt;=0.2,0.5,I280&gt;=0.1,0.35,I280&gt;=0.05,0.2,TRUE,0),IF(D280="Grenade",_xlfn.IFS(I280&gt;=0.2,1,I280&gt;=0.1,0.7,I280&gt;=0.05,0.4,TRUE,0),0))</f>
        <v>0</v>
      </c>
      <c r="L280" s="57">
        <f t="shared" ref="L280:L289" si="92">IF($K280=0,0,$K280 / SUMIFS($K:$K,$A:$A,$A280,$D:$D,"Grenade"))</f>
        <v>0</v>
      </c>
    </row>
    <row r="281" spans="1:12" ht="15" customHeight="1" x14ac:dyDescent="0.25">
      <c r="A281" s="42" t="str" cm="1">
        <f t="array" ref="A281">IFERROR(INDEX(_xlfn._xlws.FILTER(Class_Players!A:A,Class_Players!B:B="Recon"),QUOTIENT(ROW()-ROW($A$2),8)+1),"")</f>
        <v>HeRbY-007</v>
      </c>
      <c r="B281" s="42" t="str">
        <f>_xlfn.XLOOKUP(A281,Class_Players!$A:$A,Class_Players!$B:$B,"")</f>
        <v>Recon</v>
      </c>
      <c r="C281" s="38" t="str" cm="1">
        <f t="array" ref="C281">INDEX(Lookups!$C$2:$C$9,MOD(ROW()-ROW($B$2),ROWS(Lookups!$C$2:$C$9))+1)</f>
        <v>Throwing Knife</v>
      </c>
      <c r="D281" s="38" t="str">
        <f>_xlfn.XLOOKUP(C281,Analysis_Gadgets!$C:$C,Analysis_Gadgets!$B:$B)</f>
        <v>Grenade</v>
      </c>
      <c r="E281" s="43">
        <v>53</v>
      </c>
      <c r="F281" s="43">
        <f>_xlfn.XLOOKUP(A281,Class_Players!A:A,Class_Players!G:G)</f>
        <v>197</v>
      </c>
      <c r="G281" s="43">
        <f t="shared" si="84"/>
        <v>0.26903553299492383</v>
      </c>
      <c r="H281" s="43">
        <f>_xlfn.XLOOKUP(A281,Class_Players!$A:$A,Class_Players!$F:$F,"")</f>
        <v>8379</v>
      </c>
      <c r="I281" s="44">
        <f t="shared" si="85"/>
        <v>6.3253371524048217E-3</v>
      </c>
      <c r="J281" s="43">
        <f t="shared" si="86"/>
        <v>0</v>
      </c>
      <c r="K281" s="44" cm="1">
        <f t="array" ref="K281">IF(D281="Gadget",_xlfn.IFS(I281&gt;=0.2,0.5,I281&gt;=0.1,0.35,I281&gt;=0.05,0.2,TRUE,0),IF(D281="Grenade",_xlfn.IFS(I281&gt;=0.2,1,I281&gt;=0.1,0.7,I281&gt;=0.05,0.4,TRUE,0),0))</f>
        <v>0</v>
      </c>
      <c r="L281" s="57">
        <f t="shared" si="92"/>
        <v>0</v>
      </c>
    </row>
    <row r="282" spans="1:12" ht="15" customHeight="1" x14ac:dyDescent="0.25">
      <c r="A282" s="42" t="str" cm="1">
        <f t="array" ref="A282">IFERROR(INDEX(_xlfn._xlws.FILTER(Class_Players!A:A,Class_Players!B:B="Recon"),QUOTIENT(ROW()-ROW($A$2),8)+1),"")</f>
        <v>Oldman2025xx</v>
      </c>
      <c r="B282" s="42" t="str">
        <f>_xlfn.XLOOKUP(A282,Class_Players!$A:$A,Class_Players!$B:$B,"")</f>
        <v>Recon</v>
      </c>
      <c r="C282" s="38" t="str" cm="1">
        <f t="array" ref="C282">INDEX(Lookups!$C$2:$C$9,MOD(ROW()-ROW($B$2),ROWS(Lookups!$C$2:$C$9))+1)</f>
        <v>Laser Designator</v>
      </c>
      <c r="D282" s="38" t="str">
        <f>_xlfn.XLOOKUP(C282,Analysis_Gadgets!$C:$C,Analysis_Gadgets!$B:$B)</f>
        <v>Gadget</v>
      </c>
      <c r="E282" s="43">
        <v>29</v>
      </c>
      <c r="F282" s="43">
        <f>_xlfn.XLOOKUP(A282,Class_Players!A:A,Class_Players!G:G)</f>
        <v>134</v>
      </c>
      <c r="G282" s="43">
        <f t="shared" ref="G282:G289" si="93">IF(F282=0,"",E282/(F282))</f>
        <v>0.21641791044776118</v>
      </c>
      <c r="H282" s="43">
        <f>_xlfn.XLOOKUP(A282,Class_Players!$A:$A,Class_Players!$F:$F,"")</f>
        <v>7896</v>
      </c>
      <c r="I282" s="44">
        <f t="shared" ref="I282:I289" si="94">IF(H282=0,"",E282/H282)</f>
        <v>3.6727456940222896E-3</v>
      </c>
      <c r="J282" s="43">
        <f t="shared" ref="J282:J289" si="95">IF(I282&gt;=0.1,1,0)</f>
        <v>0</v>
      </c>
      <c r="K282" s="44" cm="1">
        <f t="array" ref="K282">IF(D282="Gadget",_xlfn.IFS(I282&gt;=0.2,0.5,I282&gt;=0.1,0.35,I282&gt;=0.05,0.2,TRUE,0),IF(D282="Grenade",_xlfn.IFS(I282&gt;=0.2,1,I282&gt;=0.1,0.7,I282&gt;=0.05,0.4,TRUE,0),0))</f>
        <v>0</v>
      </c>
      <c r="L282" s="57">
        <f t="shared" si="91"/>
        <v>0</v>
      </c>
    </row>
    <row r="283" spans="1:12" ht="15" customHeight="1" x14ac:dyDescent="0.25">
      <c r="A283" s="42" t="str" cm="1">
        <f t="array" ref="A283">IFERROR(INDEX(_xlfn._xlws.FILTER(Class_Players!A:A,Class_Players!B:B="Recon"),QUOTIENT(ROW()-ROW($A$2),8)+1),"")</f>
        <v>Oldman2025xx</v>
      </c>
      <c r="B283" s="42" t="str">
        <f>_xlfn.XLOOKUP(A283,Class_Players!$A:$A,Class_Players!$B:$B,"")</f>
        <v>Recon</v>
      </c>
      <c r="C283" s="38" t="str" cm="1">
        <f t="array" ref="C283">INDEX(Lookups!$C$2:$C$9,MOD(ROW()-ROW($B$2),ROWS(Lookups!$C$2:$C$9))+1)</f>
        <v>Recon Drone</v>
      </c>
      <c r="D283" s="38" t="str">
        <f>_xlfn.XLOOKUP(C283,Analysis_Gadgets!$C:$C,Analysis_Gadgets!$B:$B)</f>
        <v>Gadget</v>
      </c>
      <c r="E283" s="43">
        <v>179</v>
      </c>
      <c r="F283" s="43">
        <f>_xlfn.XLOOKUP(A283,Class_Players!A:A,Class_Players!G:G)</f>
        <v>134</v>
      </c>
      <c r="G283" s="43">
        <f t="shared" si="93"/>
        <v>1.335820895522388</v>
      </c>
      <c r="H283" s="43">
        <f>_xlfn.XLOOKUP(A283,Class_Players!$A:$A,Class_Players!$F:$F,"")</f>
        <v>7896</v>
      </c>
      <c r="I283" s="44">
        <f t="shared" si="94"/>
        <v>2.2669706180344477E-2</v>
      </c>
      <c r="J283" s="43">
        <f t="shared" si="95"/>
        <v>0</v>
      </c>
      <c r="K283" s="44" cm="1">
        <f t="array" ref="K283">IF(D283="Gadget",_xlfn.IFS(I283&gt;=0.2,0.5,I283&gt;=0.1,0.35,I283&gt;=0.05,0.2,TRUE,0),IF(D283="Grenade",_xlfn.IFS(I283&gt;=0.2,1,I283&gt;=0.1,0.7,I283&gt;=0.05,0.4,TRUE,0),0))</f>
        <v>0</v>
      </c>
      <c r="L283" s="57">
        <f t="shared" si="91"/>
        <v>0</v>
      </c>
    </row>
    <row r="284" spans="1:12" ht="15" customHeight="1" x14ac:dyDescent="0.25">
      <c r="A284" s="42" t="str" cm="1">
        <f t="array" ref="A284">IFERROR(INDEX(_xlfn._xlws.FILTER(Class_Players!A:A,Class_Players!B:B="Recon"),QUOTIENT(ROW()-ROW($A$2),8)+1),"")</f>
        <v>Oldman2025xx</v>
      </c>
      <c r="B284" s="42" t="str">
        <f>_xlfn.XLOOKUP(A284,Class_Players!$A:$A,Class_Players!$B:$B,"")</f>
        <v>Recon</v>
      </c>
      <c r="C284" s="38" t="str" cm="1">
        <f t="array" ref="C284">INDEX(Lookups!$C$2:$C$9,MOD(ROW()-ROW($B$2),ROWS(Lookups!$C$2:$C$9))+1)</f>
        <v>Tracer Dart</v>
      </c>
      <c r="D284" s="38" t="str">
        <f>_xlfn.XLOOKUP(C284,Analysis_Gadgets!$C:$C,Analysis_Gadgets!$B:$B)</f>
        <v>Gadget</v>
      </c>
      <c r="E284" s="43">
        <v>20</v>
      </c>
      <c r="F284" s="43">
        <f>_xlfn.XLOOKUP(A284,Class_Players!A:A,Class_Players!G:G)</f>
        <v>134</v>
      </c>
      <c r="G284" s="43">
        <f t="shared" si="93"/>
        <v>0.14925373134328357</v>
      </c>
      <c r="H284" s="43">
        <f>_xlfn.XLOOKUP(A284,Class_Players!$A:$A,Class_Players!$F:$F,"")</f>
        <v>7896</v>
      </c>
      <c r="I284" s="44">
        <f t="shared" si="94"/>
        <v>2.5329280648429585E-3</v>
      </c>
      <c r="J284" s="43">
        <f t="shared" si="95"/>
        <v>0</v>
      </c>
      <c r="K284" s="44" cm="1">
        <f t="array" ref="K284">IF(D284="Gadget",_xlfn.IFS(I284&gt;=0.2,0.5,I284&gt;=0.1,0.35,I284&gt;=0.05,0.2,TRUE,0),IF(D284="Grenade",_xlfn.IFS(I284&gt;=0.2,1,I284&gt;=0.1,0.7,I284&gt;=0.05,0.4,TRUE,0),0))</f>
        <v>0</v>
      </c>
      <c r="L284" s="57">
        <f t="shared" si="91"/>
        <v>0</v>
      </c>
    </row>
    <row r="285" spans="1:12" ht="15" customHeight="1" x14ac:dyDescent="0.25">
      <c r="A285" s="42" t="str" cm="1">
        <f t="array" ref="A285">IFERROR(INDEX(_xlfn._xlws.FILTER(Class_Players!A:A,Class_Players!B:B="Recon"),QUOTIENT(ROW()-ROW($A$2),8)+1),"")</f>
        <v>Oldman2025xx</v>
      </c>
      <c r="B285" s="42" t="str">
        <f>_xlfn.XLOOKUP(A285,Class_Players!$A:$A,Class_Players!$B:$B,"")</f>
        <v>Recon</v>
      </c>
      <c r="C285" s="38" t="str" cm="1">
        <f t="array" ref="C285">INDEX(Lookups!$C$2:$C$9,MOD(ROW()-ROW($B$2),ROWS(Lookups!$C$2:$C$9))+1)</f>
        <v>M18A1 (Claymore)</v>
      </c>
      <c r="D285" s="38" t="str">
        <f>_xlfn.XLOOKUP(C285,Analysis_Gadgets!$C:$C,Analysis_Gadgets!$B:$B)</f>
        <v>Gadget</v>
      </c>
      <c r="E285" s="43">
        <v>5458</v>
      </c>
      <c r="F285" s="43">
        <f>_xlfn.XLOOKUP(A285,Class_Players!A:A,Class_Players!G:G)</f>
        <v>134</v>
      </c>
      <c r="G285" s="43">
        <f t="shared" si="93"/>
        <v>40.731343283582092</v>
      </c>
      <c r="H285" s="43">
        <f>_xlfn.XLOOKUP(A285,Class_Players!$A:$A,Class_Players!$F:$F,"")</f>
        <v>7896</v>
      </c>
      <c r="I285" s="44">
        <f t="shared" si="94"/>
        <v>0.69123606889564337</v>
      </c>
      <c r="J285" s="43">
        <f t="shared" si="95"/>
        <v>1</v>
      </c>
      <c r="K285" s="44" cm="1">
        <f t="array" ref="K285">IF(D285="Gadget",_xlfn.IFS(I285&gt;=0.2,0.5,I285&gt;=0.1,0.35,I285&gt;=0.05,0.2,TRUE,0),IF(D285="Grenade",_xlfn.IFS(I285&gt;=0.2,1,I285&gt;=0.1,0.7,I285&gt;=0.05,0.4,TRUE,0),0))</f>
        <v>0.5</v>
      </c>
      <c r="L285" s="57">
        <f t="shared" si="91"/>
        <v>0.58823529411764708</v>
      </c>
    </row>
    <row r="286" spans="1:12" ht="15" customHeight="1" x14ac:dyDescent="0.25">
      <c r="A286" s="42" t="str" cm="1">
        <f t="array" ref="A286">IFERROR(INDEX(_xlfn._xlws.FILTER(Class_Players!A:A,Class_Players!B:B="Recon"),QUOTIENT(ROW()-ROW($A$2),8)+1),"")</f>
        <v>Oldman2025xx</v>
      </c>
      <c r="B286" s="42" t="str">
        <f>_xlfn.XLOOKUP(A286,Class_Players!$A:$A,Class_Players!$B:$B,"")</f>
        <v>Recon</v>
      </c>
      <c r="C286" s="38" t="str" cm="1">
        <f t="array" ref="C286">INDEX(Lookups!$C$2:$C$9,MOD(ROW()-ROW($B$2),ROWS(Lookups!$C$2:$C$9))+1)</f>
        <v>Sniper Decoy</v>
      </c>
      <c r="D286" s="38" t="str">
        <f>_xlfn.XLOOKUP(C286,Analysis_Gadgets!$C:$C,Analysis_Gadgets!$B:$B)</f>
        <v>Gadget</v>
      </c>
      <c r="E286" s="43">
        <v>75</v>
      </c>
      <c r="F286" s="43">
        <f>_xlfn.XLOOKUP(A286,Class_Players!A:A,Class_Players!G:G)</f>
        <v>134</v>
      </c>
      <c r="G286" s="43">
        <f t="shared" si="93"/>
        <v>0.55970149253731338</v>
      </c>
      <c r="H286" s="43">
        <f>_xlfn.XLOOKUP(A286,Class_Players!$A:$A,Class_Players!$F:$F,"")</f>
        <v>7896</v>
      </c>
      <c r="I286" s="44">
        <f t="shared" si="94"/>
        <v>9.4984802431610938E-3</v>
      </c>
      <c r="J286" s="43">
        <f t="shared" si="95"/>
        <v>0</v>
      </c>
      <c r="K286" s="44" cm="1">
        <f t="array" ref="K286">IF(D286="Gadget",_xlfn.IFS(I286&gt;=0.2,0.5,I286&gt;=0.1,0.35,I286&gt;=0.05,0.2,TRUE,0),IF(D286="Grenade",_xlfn.IFS(I286&gt;=0.2,1,I286&gt;=0.1,0.7,I286&gt;=0.05,0.4,TRUE,0),0))</f>
        <v>0</v>
      </c>
      <c r="L286" s="57">
        <f t="shared" si="91"/>
        <v>0</v>
      </c>
    </row>
    <row r="287" spans="1:12" ht="15" customHeight="1" x14ac:dyDescent="0.25">
      <c r="A287" s="42" t="str" cm="1">
        <f t="array" ref="A287">IFERROR(INDEX(_xlfn._xlws.FILTER(Class_Players!A:A,Class_Players!B:B="Recon"),QUOTIENT(ROW()-ROW($A$2),8)+1),"")</f>
        <v>Oldman2025xx</v>
      </c>
      <c r="B287" s="42" t="str">
        <f>_xlfn.XLOOKUP(A287,Class_Players!$A:$A,Class_Players!$B:$B,"")</f>
        <v>Recon</v>
      </c>
      <c r="C287" s="38" t="str" cm="1">
        <f t="array" ref="C287">INDEX(Lookups!$C$2:$C$9,MOD(ROW()-ROW($B$2),ROWS(Lookups!$C$2:$C$9))+1)</f>
        <v>C-4 Explosives</v>
      </c>
      <c r="D287" s="38" t="str">
        <f>_xlfn.XLOOKUP(C287,Analysis_Gadgets!$C:$C,Analysis_Gadgets!$B:$B)</f>
        <v>Gadget</v>
      </c>
      <c r="E287" s="43">
        <v>1543</v>
      </c>
      <c r="F287" s="43">
        <f>_xlfn.XLOOKUP(A287,Class_Players!A:A,Class_Players!G:G)</f>
        <v>134</v>
      </c>
      <c r="G287" s="43">
        <f t="shared" si="93"/>
        <v>11.514925373134329</v>
      </c>
      <c r="H287" s="43">
        <f>_xlfn.XLOOKUP(A287,Class_Players!$A:$A,Class_Players!$F:$F,"")</f>
        <v>7896</v>
      </c>
      <c r="I287" s="44">
        <f t="shared" si="94"/>
        <v>0.19541540020263423</v>
      </c>
      <c r="J287" s="43">
        <f t="shared" si="95"/>
        <v>1</v>
      </c>
      <c r="K287" s="44" cm="1">
        <f t="array" ref="K287">IF(D287="Gadget",_xlfn.IFS(I287&gt;=0.2,0.5,I287&gt;=0.1,0.35,I287&gt;=0.05,0.2,TRUE,0),IF(D287="Grenade",_xlfn.IFS(I287&gt;=0.2,1,I287&gt;=0.1,0.7,I287&gt;=0.05,0.4,TRUE,0),0))</f>
        <v>0.35</v>
      </c>
      <c r="L287" s="57">
        <f t="shared" si="91"/>
        <v>0.41176470588235292</v>
      </c>
    </row>
    <row r="288" spans="1:12" ht="15" customHeight="1" x14ac:dyDescent="0.25">
      <c r="A288" s="42" t="str" cm="1">
        <f t="array" ref="A288">IFERROR(INDEX(_xlfn._xlws.FILTER(Class_Players!A:A,Class_Players!B:B="Recon"),QUOTIENT(ROW()-ROW($A$2),8)+1),"")</f>
        <v>Oldman2025xx</v>
      </c>
      <c r="B288" s="42" t="str">
        <f>_xlfn.XLOOKUP(A288,Class_Players!$A:$A,Class_Players!$B:$B,"")</f>
        <v>Recon</v>
      </c>
      <c r="C288" s="38" t="str" cm="1">
        <f t="array" ref="C288">INDEX(Lookups!$C$2:$C$9,MOD(ROW()-ROW($B$2),ROWS(Lookups!$C$2:$C$9))+1)</f>
        <v>Proximity Detector</v>
      </c>
      <c r="D288" s="38" t="str">
        <f>_xlfn.XLOOKUP(C288,Analysis_Gadgets!$C:$C,Analysis_Gadgets!$B:$B)</f>
        <v>Grenade</v>
      </c>
      <c r="E288" s="43">
        <v>24</v>
      </c>
      <c r="F288" s="43">
        <f>_xlfn.XLOOKUP(A288,Class_Players!A:A,Class_Players!G:G)</f>
        <v>134</v>
      </c>
      <c r="G288" s="43">
        <f t="shared" si="93"/>
        <v>0.17910447761194029</v>
      </c>
      <c r="H288" s="43">
        <f>_xlfn.XLOOKUP(A288,Class_Players!$A:$A,Class_Players!$F:$F,"")</f>
        <v>7896</v>
      </c>
      <c r="I288" s="44">
        <f t="shared" si="94"/>
        <v>3.0395136778115501E-3</v>
      </c>
      <c r="J288" s="43">
        <f t="shared" si="95"/>
        <v>0</v>
      </c>
      <c r="K288" s="44" cm="1">
        <f t="array" ref="K288">IF(D288="Gadget",_xlfn.IFS(I288&gt;=0.2,0.5,I288&gt;=0.1,0.35,I288&gt;=0.05,0.2,TRUE,0),IF(D288="Grenade",_xlfn.IFS(I288&gt;=0.2,1,I288&gt;=0.1,0.7,I288&gt;=0.05,0.4,TRUE,0),0))</f>
        <v>0</v>
      </c>
      <c r="L288" s="57">
        <f t="shared" si="92"/>
        <v>0</v>
      </c>
    </row>
    <row r="289" spans="1:12" ht="15" customHeight="1" x14ac:dyDescent="0.25">
      <c r="A289" s="42" t="str" cm="1">
        <f t="array" ref="A289">IFERROR(INDEX(_xlfn._xlws.FILTER(Class_Players!A:A,Class_Players!B:B="Recon"),QUOTIENT(ROW()-ROW($A$2),8)+1),"")</f>
        <v>Oldman2025xx</v>
      </c>
      <c r="B289" s="42" t="str">
        <f>_xlfn.XLOOKUP(A289,Class_Players!$A:$A,Class_Players!$B:$B,"")</f>
        <v>Recon</v>
      </c>
      <c r="C289" s="38" t="str" cm="1">
        <f t="array" ref="C289">INDEX(Lookups!$C$2:$C$9,MOD(ROW()-ROW($B$2),ROWS(Lookups!$C$2:$C$9))+1)</f>
        <v>Throwing Knife</v>
      </c>
      <c r="D289" s="38" t="str">
        <f>_xlfn.XLOOKUP(C289,Analysis_Gadgets!$C:$C,Analysis_Gadgets!$B:$B)</f>
        <v>Grenade</v>
      </c>
      <c r="E289" s="43">
        <v>7</v>
      </c>
      <c r="F289" s="43">
        <f>_xlfn.XLOOKUP(A289,Class_Players!A:A,Class_Players!G:G)</f>
        <v>134</v>
      </c>
      <c r="G289" s="43">
        <f t="shared" si="93"/>
        <v>5.2238805970149252E-2</v>
      </c>
      <c r="H289" s="43">
        <f>_xlfn.XLOOKUP(A289,Class_Players!$A:$A,Class_Players!$F:$F,"")</f>
        <v>7896</v>
      </c>
      <c r="I289" s="44">
        <f t="shared" si="94"/>
        <v>8.8652482269503544E-4</v>
      </c>
      <c r="J289" s="43">
        <f t="shared" si="95"/>
        <v>0</v>
      </c>
      <c r="K289" s="44" cm="1">
        <f t="array" ref="K289">IF(D289="Gadget",_xlfn.IFS(I289&gt;=0.2,0.5,I289&gt;=0.1,0.35,I289&gt;=0.05,0.2,TRUE,0),IF(D289="Grenade",_xlfn.IFS(I289&gt;=0.2,1,I289&gt;=0.1,0.7,I289&gt;=0.05,0.4,TRUE,0),0))</f>
        <v>0</v>
      </c>
      <c r="L289" s="57">
        <f t="shared" si="92"/>
        <v>0</v>
      </c>
    </row>
    <row r="290" spans="1:12" ht="15" customHeight="1" x14ac:dyDescent="0.25">
      <c r="A290" s="42" t="str" cm="1">
        <f t="array" ref="A290">IFERROR(INDEX(_xlfn._xlws.FILTER(Class_Players!A:A,Class_Players!B:B="Recon"),QUOTIENT(ROW()-ROW($A$2),8)+1),"")</f>
        <v>ImSwiftt</v>
      </c>
      <c r="B290" s="42" t="str">
        <f>_xlfn.XLOOKUP(A290,Class_Players!$A:$A,Class_Players!$B:$B,"")</f>
        <v>Recon</v>
      </c>
      <c r="C290" s="38" t="str" cm="1">
        <f t="array" ref="C290">INDEX(Lookups!$C$2:$C$9,MOD(ROW()-ROW($B$2),ROWS(Lookups!$C$2:$C$9))+1)</f>
        <v>Laser Designator</v>
      </c>
      <c r="D290" s="38" t="str">
        <f>_xlfn.XLOOKUP(C290,Analysis_Gadgets!$C:$C,Analysis_Gadgets!$B:$B)</f>
        <v>Gadget</v>
      </c>
      <c r="E290" s="43">
        <v>136</v>
      </c>
      <c r="F290" s="43">
        <f>_xlfn.XLOOKUP(A290,Class_Players!A:A,Class_Players!G:G)</f>
        <v>249</v>
      </c>
      <c r="G290" s="43">
        <f t="shared" ref="G290:G353" si="96">IF(F290=0,"",E290/(F290))</f>
        <v>0.54618473895582331</v>
      </c>
      <c r="H290" s="43">
        <f>_xlfn.XLOOKUP(A290,Class_Players!$A:$A,Class_Players!$F:$F,"")</f>
        <v>7820</v>
      </c>
      <c r="I290" s="44">
        <f t="shared" ref="I290:I353" si="97">IF(H290=0,"",E290/H290)</f>
        <v>1.7391304347826087E-2</v>
      </c>
      <c r="J290" s="43">
        <f t="shared" ref="J290:J353" si="98">IF(I290&gt;=0.1,1,0)</f>
        <v>0</v>
      </c>
      <c r="K290" s="44" cm="1">
        <f t="array" ref="K290">IF(D290="Gadget",_xlfn.IFS(I290&gt;=0.2,0.5,I290&gt;=0.1,0.35,I290&gt;=0.05,0.2,TRUE,0),IF(D290="Grenade",_xlfn.IFS(I290&gt;=0.2,1,I290&gt;=0.1,0.7,I290&gt;=0.05,0.4,TRUE,0),0))</f>
        <v>0</v>
      </c>
      <c r="L290" s="57">
        <f t="shared" si="91"/>
        <v>0</v>
      </c>
    </row>
    <row r="291" spans="1:12" ht="15" customHeight="1" x14ac:dyDescent="0.25">
      <c r="A291" s="42" t="str" cm="1">
        <f t="array" ref="A291">IFERROR(INDEX(_xlfn._xlws.FILTER(Class_Players!A:A,Class_Players!B:B="Recon"),QUOTIENT(ROW()-ROW($A$2),8)+1),"")</f>
        <v>ImSwiftt</v>
      </c>
      <c r="B291" s="42" t="str">
        <f>_xlfn.XLOOKUP(A291,Class_Players!$A:$A,Class_Players!$B:$B,"")</f>
        <v>Recon</v>
      </c>
      <c r="C291" s="38" t="str" cm="1">
        <f t="array" ref="C291">INDEX(Lookups!$C$2:$C$9,MOD(ROW()-ROW($B$2),ROWS(Lookups!$C$2:$C$9))+1)</f>
        <v>Recon Drone</v>
      </c>
      <c r="D291" s="38" t="str">
        <f>_xlfn.XLOOKUP(C291,Analysis_Gadgets!$C:$C,Analysis_Gadgets!$B:$B)</f>
        <v>Gadget</v>
      </c>
      <c r="E291" s="43">
        <v>2563</v>
      </c>
      <c r="F291" s="43">
        <f>_xlfn.XLOOKUP(A291,Class_Players!A:A,Class_Players!G:G)</f>
        <v>249</v>
      </c>
      <c r="G291" s="43">
        <f t="shared" si="96"/>
        <v>10.293172690763052</v>
      </c>
      <c r="H291" s="43">
        <f>_xlfn.XLOOKUP(A291,Class_Players!$A:$A,Class_Players!$F:$F,"")</f>
        <v>7820</v>
      </c>
      <c r="I291" s="44">
        <f t="shared" si="97"/>
        <v>0.32774936061381071</v>
      </c>
      <c r="J291" s="43">
        <f t="shared" si="98"/>
        <v>1</v>
      </c>
      <c r="K291" s="44" cm="1">
        <f t="array" ref="K291">IF(D291="Gadget",_xlfn.IFS(I291&gt;=0.2,0.5,I291&gt;=0.1,0.35,I291&gt;=0.05,0.2,TRUE,0),IF(D291="Grenade",_xlfn.IFS(I291&gt;=0.2,1,I291&gt;=0.1,0.7,I291&gt;=0.05,0.4,TRUE,0),0))</f>
        <v>0.5</v>
      </c>
      <c r="L291" s="57">
        <f t="shared" si="91"/>
        <v>0.5</v>
      </c>
    </row>
    <row r="292" spans="1:12" ht="15" customHeight="1" x14ac:dyDescent="0.25">
      <c r="A292" s="42" t="str" cm="1">
        <f t="array" ref="A292">IFERROR(INDEX(_xlfn._xlws.FILTER(Class_Players!A:A,Class_Players!B:B="Recon"),QUOTIENT(ROW()-ROW($A$2),8)+1),"")</f>
        <v>ImSwiftt</v>
      </c>
      <c r="B292" s="42" t="str">
        <f>_xlfn.XLOOKUP(A292,Class_Players!$A:$A,Class_Players!$B:$B,"")</f>
        <v>Recon</v>
      </c>
      <c r="C292" s="38" t="str" cm="1">
        <f t="array" ref="C292">INDEX(Lookups!$C$2:$C$9,MOD(ROW()-ROW($B$2),ROWS(Lookups!$C$2:$C$9))+1)</f>
        <v>Tracer Dart</v>
      </c>
      <c r="D292" s="38" t="str">
        <f>_xlfn.XLOOKUP(C292,Analysis_Gadgets!$C:$C,Analysis_Gadgets!$B:$B)</f>
        <v>Gadget</v>
      </c>
      <c r="E292" s="43">
        <v>36</v>
      </c>
      <c r="F292" s="43">
        <f>_xlfn.XLOOKUP(A292,Class_Players!A:A,Class_Players!G:G)</f>
        <v>249</v>
      </c>
      <c r="G292" s="43">
        <f t="shared" si="96"/>
        <v>0.14457831325301204</v>
      </c>
      <c r="H292" s="43">
        <f>_xlfn.XLOOKUP(A292,Class_Players!$A:$A,Class_Players!$F:$F,"")</f>
        <v>7820</v>
      </c>
      <c r="I292" s="44">
        <f t="shared" si="97"/>
        <v>4.6035805626598461E-3</v>
      </c>
      <c r="J292" s="43">
        <f t="shared" si="98"/>
        <v>0</v>
      </c>
      <c r="K292" s="44" cm="1">
        <f t="array" ref="K292">IF(D292="Gadget",_xlfn.IFS(I292&gt;=0.2,0.5,I292&gt;=0.1,0.35,I292&gt;=0.05,0.2,TRUE,0),IF(D292="Grenade",_xlfn.IFS(I292&gt;=0.2,1,I292&gt;=0.1,0.7,I292&gt;=0.05,0.4,TRUE,0),0))</f>
        <v>0</v>
      </c>
      <c r="L292" s="57">
        <f t="shared" si="91"/>
        <v>0</v>
      </c>
    </row>
    <row r="293" spans="1:12" ht="15" customHeight="1" x14ac:dyDescent="0.25">
      <c r="A293" s="42" t="str" cm="1">
        <f t="array" ref="A293">IFERROR(INDEX(_xlfn._xlws.FILTER(Class_Players!A:A,Class_Players!B:B="Recon"),QUOTIENT(ROW()-ROW($A$2),8)+1),"")</f>
        <v>ImSwiftt</v>
      </c>
      <c r="B293" s="42" t="str">
        <f>_xlfn.XLOOKUP(A293,Class_Players!$A:$A,Class_Players!$B:$B,"")</f>
        <v>Recon</v>
      </c>
      <c r="C293" s="38" t="str" cm="1">
        <f t="array" ref="C293">INDEX(Lookups!$C$2:$C$9,MOD(ROW()-ROW($B$2),ROWS(Lookups!$C$2:$C$9))+1)</f>
        <v>M18A1 (Claymore)</v>
      </c>
      <c r="D293" s="38" t="str">
        <f>_xlfn.XLOOKUP(C293,Analysis_Gadgets!$C:$C,Analysis_Gadgets!$B:$B)</f>
        <v>Gadget</v>
      </c>
      <c r="E293" s="43">
        <v>116</v>
      </c>
      <c r="F293" s="43">
        <f>_xlfn.XLOOKUP(A293,Class_Players!A:A,Class_Players!G:G)</f>
        <v>249</v>
      </c>
      <c r="G293" s="43">
        <f t="shared" si="96"/>
        <v>0.46586345381526106</v>
      </c>
      <c r="H293" s="43">
        <f>_xlfn.XLOOKUP(A293,Class_Players!$A:$A,Class_Players!$F:$F,"")</f>
        <v>7820</v>
      </c>
      <c r="I293" s="44">
        <f t="shared" si="97"/>
        <v>1.4833759590792838E-2</v>
      </c>
      <c r="J293" s="43">
        <f t="shared" si="98"/>
        <v>0</v>
      </c>
      <c r="K293" s="44" cm="1">
        <f t="array" ref="K293">IF(D293="Gadget",_xlfn.IFS(I293&gt;=0.2,0.5,I293&gt;=0.1,0.35,I293&gt;=0.05,0.2,TRUE,0),IF(D293="Grenade",_xlfn.IFS(I293&gt;=0.2,1,I293&gt;=0.1,0.7,I293&gt;=0.05,0.4,TRUE,0),0))</f>
        <v>0</v>
      </c>
      <c r="L293" s="57">
        <f t="shared" si="91"/>
        <v>0</v>
      </c>
    </row>
    <row r="294" spans="1:12" ht="15" customHeight="1" x14ac:dyDescent="0.25">
      <c r="A294" s="42" t="str" cm="1">
        <f t="array" ref="A294">IFERROR(INDEX(_xlfn._xlws.FILTER(Class_Players!A:A,Class_Players!B:B="Recon"),QUOTIENT(ROW()-ROW($A$2),8)+1),"")</f>
        <v>ImSwiftt</v>
      </c>
      <c r="B294" s="42" t="str">
        <f>_xlfn.XLOOKUP(A294,Class_Players!$A:$A,Class_Players!$B:$B,"")</f>
        <v>Recon</v>
      </c>
      <c r="C294" s="38" t="str" cm="1">
        <f t="array" ref="C294">INDEX(Lookups!$C$2:$C$9,MOD(ROW()-ROW($B$2),ROWS(Lookups!$C$2:$C$9))+1)</f>
        <v>Sniper Decoy</v>
      </c>
      <c r="D294" s="38" t="str">
        <f>_xlfn.XLOOKUP(C294,Analysis_Gadgets!$C:$C,Analysis_Gadgets!$B:$B)</f>
        <v>Gadget</v>
      </c>
      <c r="E294" s="43">
        <v>55</v>
      </c>
      <c r="F294" s="43">
        <f>_xlfn.XLOOKUP(A294,Class_Players!A:A,Class_Players!G:G)</f>
        <v>249</v>
      </c>
      <c r="G294" s="43">
        <f t="shared" si="96"/>
        <v>0.22088353413654618</v>
      </c>
      <c r="H294" s="43">
        <f>_xlfn.XLOOKUP(A294,Class_Players!$A:$A,Class_Players!$F:$F,"")</f>
        <v>7820</v>
      </c>
      <c r="I294" s="44">
        <f t="shared" si="97"/>
        <v>7.0332480818414318E-3</v>
      </c>
      <c r="J294" s="43">
        <f t="shared" si="98"/>
        <v>0</v>
      </c>
      <c r="K294" s="44" cm="1">
        <f t="array" ref="K294">IF(D294="Gadget",_xlfn.IFS(I294&gt;=0.2,0.5,I294&gt;=0.1,0.35,I294&gt;=0.05,0.2,TRUE,0),IF(D294="Grenade",_xlfn.IFS(I294&gt;=0.2,1,I294&gt;=0.1,0.7,I294&gt;=0.05,0.4,TRUE,0),0))</f>
        <v>0</v>
      </c>
      <c r="L294" s="57">
        <f t="shared" si="91"/>
        <v>0</v>
      </c>
    </row>
    <row r="295" spans="1:12" ht="15" customHeight="1" x14ac:dyDescent="0.25">
      <c r="A295" s="42" t="str" cm="1">
        <f t="array" ref="A295">IFERROR(INDEX(_xlfn._xlws.FILTER(Class_Players!A:A,Class_Players!B:B="Recon"),QUOTIENT(ROW()-ROW($A$2),8)+1),"")</f>
        <v>ImSwiftt</v>
      </c>
      <c r="B295" s="42" t="str">
        <f>_xlfn.XLOOKUP(A295,Class_Players!$A:$A,Class_Players!$B:$B,"")</f>
        <v>Recon</v>
      </c>
      <c r="C295" s="38" t="str" cm="1">
        <f t="array" ref="C295">INDEX(Lookups!$C$2:$C$9,MOD(ROW()-ROW($B$2),ROWS(Lookups!$C$2:$C$9))+1)</f>
        <v>C-4 Explosives</v>
      </c>
      <c r="D295" s="38" t="str">
        <f>_xlfn.XLOOKUP(C295,Analysis_Gadgets!$C:$C,Analysis_Gadgets!$B:$B)</f>
        <v>Gadget</v>
      </c>
      <c r="E295" s="43">
        <v>7795</v>
      </c>
      <c r="F295" s="43">
        <f>_xlfn.XLOOKUP(A295,Class_Players!A:A,Class_Players!G:G)</f>
        <v>249</v>
      </c>
      <c r="G295" s="43">
        <f t="shared" si="96"/>
        <v>31.305220883534137</v>
      </c>
      <c r="H295" s="43">
        <f>_xlfn.XLOOKUP(A295,Class_Players!$A:$A,Class_Players!$F:$F,"")</f>
        <v>7820</v>
      </c>
      <c r="I295" s="44">
        <f t="shared" si="97"/>
        <v>0.99680306905370841</v>
      </c>
      <c r="J295" s="43">
        <f t="shared" si="98"/>
        <v>1</v>
      </c>
      <c r="K295" s="44" cm="1">
        <f t="array" ref="K295">IF(D295="Gadget",_xlfn.IFS(I295&gt;=0.2,0.5,I295&gt;=0.1,0.35,I295&gt;=0.05,0.2,TRUE,0),IF(D295="Grenade",_xlfn.IFS(I295&gt;=0.2,1,I295&gt;=0.1,0.7,I295&gt;=0.05,0.4,TRUE,0),0))</f>
        <v>0.5</v>
      </c>
      <c r="L295" s="57">
        <f t="shared" si="91"/>
        <v>0.5</v>
      </c>
    </row>
    <row r="296" spans="1:12" ht="15" customHeight="1" x14ac:dyDescent="0.25">
      <c r="A296" s="42" t="str" cm="1">
        <f t="array" ref="A296">IFERROR(INDEX(_xlfn._xlws.FILTER(Class_Players!A:A,Class_Players!B:B="Recon"),QUOTIENT(ROW()-ROW($A$2),8)+1),"")</f>
        <v>ImSwiftt</v>
      </c>
      <c r="B296" s="42" t="str">
        <f>_xlfn.XLOOKUP(A296,Class_Players!$A:$A,Class_Players!$B:$B,"")</f>
        <v>Recon</v>
      </c>
      <c r="C296" s="38" t="str" cm="1">
        <f t="array" ref="C296">INDEX(Lookups!$C$2:$C$9,MOD(ROW()-ROW($B$2),ROWS(Lookups!$C$2:$C$9))+1)</f>
        <v>Proximity Detector</v>
      </c>
      <c r="D296" s="38" t="str">
        <f>_xlfn.XLOOKUP(C296,Analysis_Gadgets!$C:$C,Analysis_Gadgets!$B:$B)</f>
        <v>Grenade</v>
      </c>
      <c r="E296" s="43">
        <v>17</v>
      </c>
      <c r="F296" s="43">
        <f>_xlfn.XLOOKUP(A296,Class_Players!A:A,Class_Players!G:G)</f>
        <v>249</v>
      </c>
      <c r="G296" s="43">
        <f t="shared" si="96"/>
        <v>6.8273092369477914E-2</v>
      </c>
      <c r="H296" s="43">
        <f>_xlfn.XLOOKUP(A296,Class_Players!$A:$A,Class_Players!$F:$F,"")</f>
        <v>7820</v>
      </c>
      <c r="I296" s="44">
        <f t="shared" si="97"/>
        <v>2.1739130434782609E-3</v>
      </c>
      <c r="J296" s="43">
        <f t="shared" si="98"/>
        <v>0</v>
      </c>
      <c r="K296" s="44" cm="1">
        <f t="array" ref="K296">IF(D296="Gadget",_xlfn.IFS(I296&gt;=0.2,0.5,I296&gt;=0.1,0.35,I296&gt;=0.05,0.2,TRUE,0),IF(D296="Grenade",_xlfn.IFS(I296&gt;=0.2,1,I296&gt;=0.1,0.7,I296&gt;=0.05,0.4,TRUE,0),0))</f>
        <v>0</v>
      </c>
      <c r="L296" s="57">
        <f t="shared" ref="L296:L297" si="99">IF($K296=0,0,$K296 / SUMIFS($K:$K,$A:$A,$A296,$D:$D,"Grenade"))</f>
        <v>0</v>
      </c>
    </row>
    <row r="297" spans="1:12" ht="15" customHeight="1" x14ac:dyDescent="0.25">
      <c r="A297" s="42" t="str" cm="1">
        <f t="array" ref="A297">IFERROR(INDEX(_xlfn._xlws.FILTER(Class_Players!A:A,Class_Players!B:B="Recon"),QUOTIENT(ROW()-ROW($A$2),8)+1),"")</f>
        <v>ImSwiftt</v>
      </c>
      <c r="B297" s="42" t="str">
        <f>_xlfn.XLOOKUP(A297,Class_Players!$A:$A,Class_Players!$B:$B,"")</f>
        <v>Recon</v>
      </c>
      <c r="C297" s="38" t="str" cm="1">
        <f t="array" ref="C297">INDEX(Lookups!$C$2:$C$9,MOD(ROW()-ROW($B$2),ROWS(Lookups!$C$2:$C$9))+1)</f>
        <v>Throwing Knife</v>
      </c>
      <c r="D297" s="38" t="str">
        <f>_xlfn.XLOOKUP(C297,Analysis_Gadgets!$C:$C,Analysis_Gadgets!$B:$B)</f>
        <v>Grenade</v>
      </c>
      <c r="E297" s="43">
        <v>11</v>
      </c>
      <c r="F297" s="43">
        <f>_xlfn.XLOOKUP(A297,Class_Players!A:A,Class_Players!G:G)</f>
        <v>249</v>
      </c>
      <c r="G297" s="43">
        <f t="shared" si="96"/>
        <v>4.4176706827309238E-2</v>
      </c>
      <c r="H297" s="43">
        <f>_xlfn.XLOOKUP(A297,Class_Players!$A:$A,Class_Players!$F:$F,"")</f>
        <v>7820</v>
      </c>
      <c r="I297" s="44">
        <f t="shared" si="97"/>
        <v>1.4066496163682865E-3</v>
      </c>
      <c r="J297" s="43">
        <f t="shared" si="98"/>
        <v>0</v>
      </c>
      <c r="K297" s="44" cm="1">
        <f t="array" ref="K297">IF(D297="Gadget",_xlfn.IFS(I297&gt;=0.2,0.5,I297&gt;=0.1,0.35,I297&gt;=0.05,0.2,TRUE,0),IF(D297="Grenade",_xlfn.IFS(I297&gt;=0.2,1,I297&gt;=0.1,0.7,I297&gt;=0.05,0.4,TRUE,0),0))</f>
        <v>0</v>
      </c>
      <c r="L297" s="57">
        <f t="shared" si="99"/>
        <v>0</v>
      </c>
    </row>
    <row r="298" spans="1:12" ht="15" customHeight="1" x14ac:dyDescent="0.25">
      <c r="A298" s="42" t="str" cm="1">
        <f t="array" ref="A298">IFERROR(INDEX(_xlfn._xlws.FILTER(Class_Players!A:A,Class_Players!B:B="Recon"),QUOTIENT(ROW()-ROW($A$2),8)+1),"")</f>
        <v>PinTao - Keep the Peace</v>
      </c>
      <c r="B298" s="42" t="str">
        <f>_xlfn.XLOOKUP(A298,Class_Players!$A:$A,Class_Players!$B:$B,"")</f>
        <v>Recon</v>
      </c>
      <c r="C298" s="38" t="str" cm="1">
        <f t="array" ref="C298">INDEX(Lookups!$C$2:$C$9,MOD(ROW()-ROW($B$2),ROWS(Lookups!$C$2:$C$9))+1)</f>
        <v>Laser Designator</v>
      </c>
      <c r="D298" s="38" t="str">
        <f>_xlfn.XLOOKUP(C298,Analysis_Gadgets!$C:$C,Analysis_Gadgets!$B:$B)</f>
        <v>Gadget</v>
      </c>
      <c r="E298" s="43">
        <v>15</v>
      </c>
      <c r="F298" s="43">
        <f>_xlfn.XLOOKUP(A298,Class_Players!A:A,Class_Players!G:G)</f>
        <v>133</v>
      </c>
      <c r="G298" s="43">
        <f t="shared" si="96"/>
        <v>0.11278195488721804</v>
      </c>
      <c r="H298" s="43">
        <f>_xlfn.XLOOKUP(A298,Class_Players!$A:$A,Class_Players!$F:$F,"")</f>
        <v>8380</v>
      </c>
      <c r="I298" s="44">
        <f t="shared" si="97"/>
        <v>1.7899761336515514E-3</v>
      </c>
      <c r="J298" s="43">
        <f t="shared" si="98"/>
        <v>0</v>
      </c>
      <c r="K298" s="44" cm="1">
        <f t="array" ref="K298">IF(D298="Gadget",_xlfn.IFS(I298&gt;=0.2,0.5,I298&gt;=0.1,0.35,I298&gt;=0.05,0.2,TRUE,0),IF(D298="Grenade",_xlfn.IFS(I298&gt;=0.2,1,I298&gt;=0.1,0.7,I298&gt;=0.05,0.4,TRUE,0),0))</f>
        <v>0</v>
      </c>
      <c r="L298" s="57">
        <f t="shared" ref="L298:L303" si="100">IF($K298=0,0,$K298 / SUMIFS($K:$K,$A:$A,$A298,$D:$D,"Gadget"))</f>
        <v>0</v>
      </c>
    </row>
    <row r="299" spans="1:12" ht="15" customHeight="1" x14ac:dyDescent="0.25">
      <c r="A299" s="42" t="str" cm="1">
        <f t="array" ref="A299">IFERROR(INDEX(_xlfn._xlws.FILTER(Class_Players!A:A,Class_Players!B:B="Recon"),QUOTIENT(ROW()-ROW($A$2),8)+1),"")</f>
        <v>PinTao - Keep the Peace</v>
      </c>
      <c r="B299" s="42" t="str">
        <f>_xlfn.XLOOKUP(A299,Class_Players!$A:$A,Class_Players!$B:$B,"")</f>
        <v>Recon</v>
      </c>
      <c r="C299" s="38" t="str" cm="1">
        <f t="array" ref="C299">INDEX(Lookups!$C$2:$C$9,MOD(ROW()-ROW($B$2),ROWS(Lookups!$C$2:$C$9))+1)</f>
        <v>Recon Drone</v>
      </c>
      <c r="D299" s="38" t="str">
        <f>_xlfn.XLOOKUP(C299,Analysis_Gadgets!$C:$C,Analysis_Gadgets!$B:$B)</f>
        <v>Gadget</v>
      </c>
      <c r="E299" s="43">
        <v>45</v>
      </c>
      <c r="F299" s="43">
        <f>_xlfn.XLOOKUP(A299,Class_Players!A:A,Class_Players!G:G)</f>
        <v>133</v>
      </c>
      <c r="G299" s="43">
        <f t="shared" si="96"/>
        <v>0.33834586466165412</v>
      </c>
      <c r="H299" s="43">
        <f>_xlfn.XLOOKUP(A299,Class_Players!$A:$A,Class_Players!$F:$F,"")</f>
        <v>8380</v>
      </c>
      <c r="I299" s="44">
        <f t="shared" si="97"/>
        <v>5.3699284009546535E-3</v>
      </c>
      <c r="J299" s="43">
        <f t="shared" si="98"/>
        <v>0</v>
      </c>
      <c r="K299" s="44" cm="1">
        <f t="array" ref="K299">IF(D299="Gadget",_xlfn.IFS(I299&gt;=0.2,0.5,I299&gt;=0.1,0.35,I299&gt;=0.05,0.2,TRUE,0),IF(D299="Grenade",_xlfn.IFS(I299&gt;=0.2,1,I299&gt;=0.1,0.7,I299&gt;=0.05,0.4,TRUE,0),0))</f>
        <v>0</v>
      </c>
      <c r="L299" s="57">
        <f t="shared" si="100"/>
        <v>0</v>
      </c>
    </row>
    <row r="300" spans="1:12" ht="15" customHeight="1" x14ac:dyDescent="0.25">
      <c r="A300" s="42" t="str" cm="1">
        <f t="array" ref="A300">IFERROR(INDEX(_xlfn._xlws.FILTER(Class_Players!A:A,Class_Players!B:B="Recon"),QUOTIENT(ROW()-ROW($A$2),8)+1),"")</f>
        <v>PinTao - Keep the Peace</v>
      </c>
      <c r="B300" s="42" t="str">
        <f>_xlfn.XLOOKUP(A300,Class_Players!$A:$A,Class_Players!$B:$B,"")</f>
        <v>Recon</v>
      </c>
      <c r="C300" s="38" t="str" cm="1">
        <f t="array" ref="C300">INDEX(Lookups!$C$2:$C$9,MOD(ROW()-ROW($B$2),ROWS(Lookups!$C$2:$C$9))+1)</f>
        <v>Tracer Dart</v>
      </c>
      <c r="D300" s="38" t="str">
        <f>_xlfn.XLOOKUP(C300,Analysis_Gadgets!$C:$C,Analysis_Gadgets!$B:$B)</f>
        <v>Gadget</v>
      </c>
      <c r="E300" s="43">
        <v>0</v>
      </c>
      <c r="F300" s="43">
        <f>_xlfn.XLOOKUP(A300,Class_Players!A:A,Class_Players!G:G)</f>
        <v>133</v>
      </c>
      <c r="G300" s="43">
        <f t="shared" si="96"/>
        <v>0</v>
      </c>
      <c r="H300" s="43">
        <f>_xlfn.XLOOKUP(A300,Class_Players!$A:$A,Class_Players!$F:$F,"")</f>
        <v>8380</v>
      </c>
      <c r="I300" s="44">
        <f t="shared" si="97"/>
        <v>0</v>
      </c>
      <c r="J300" s="43">
        <f t="shared" si="98"/>
        <v>0</v>
      </c>
      <c r="K300" s="44" cm="1">
        <f t="array" ref="K300">IF(D300="Gadget",_xlfn.IFS(I300&gt;=0.2,0.5,I300&gt;=0.1,0.35,I300&gt;=0.05,0.2,TRUE,0),IF(D300="Grenade",_xlfn.IFS(I300&gt;=0.2,1,I300&gt;=0.1,0.7,I300&gt;=0.05,0.4,TRUE,0),0))</f>
        <v>0</v>
      </c>
      <c r="L300" s="57">
        <f t="shared" si="100"/>
        <v>0</v>
      </c>
    </row>
    <row r="301" spans="1:12" ht="15" customHeight="1" x14ac:dyDescent="0.25">
      <c r="A301" s="42" t="str" cm="1">
        <f t="array" ref="A301">IFERROR(INDEX(_xlfn._xlws.FILTER(Class_Players!A:A,Class_Players!B:B="Recon"),QUOTIENT(ROW()-ROW($A$2),8)+1),"")</f>
        <v>PinTao - Keep the Peace</v>
      </c>
      <c r="B301" s="42" t="str">
        <f>_xlfn.XLOOKUP(A301,Class_Players!$A:$A,Class_Players!$B:$B,"")</f>
        <v>Recon</v>
      </c>
      <c r="C301" s="38" t="str" cm="1">
        <f t="array" ref="C301">INDEX(Lookups!$C$2:$C$9,MOD(ROW()-ROW($B$2),ROWS(Lookups!$C$2:$C$9))+1)</f>
        <v>M18A1 (Claymore)</v>
      </c>
      <c r="D301" s="38" t="str">
        <f>_xlfn.XLOOKUP(C301,Analysis_Gadgets!$C:$C,Analysis_Gadgets!$B:$B)</f>
        <v>Gadget</v>
      </c>
      <c r="E301" s="43">
        <v>51</v>
      </c>
      <c r="F301" s="43">
        <f>_xlfn.XLOOKUP(A301,Class_Players!A:A,Class_Players!G:G)</f>
        <v>133</v>
      </c>
      <c r="G301" s="43">
        <f t="shared" si="96"/>
        <v>0.38345864661654133</v>
      </c>
      <c r="H301" s="43">
        <f>_xlfn.XLOOKUP(A301,Class_Players!$A:$A,Class_Players!$F:$F,"")</f>
        <v>8380</v>
      </c>
      <c r="I301" s="44">
        <f t="shared" si="97"/>
        <v>6.0859188544152747E-3</v>
      </c>
      <c r="J301" s="43">
        <f t="shared" si="98"/>
        <v>0</v>
      </c>
      <c r="K301" s="44" cm="1">
        <f t="array" ref="K301">IF(D301="Gadget",_xlfn.IFS(I301&gt;=0.2,0.5,I301&gt;=0.1,0.35,I301&gt;=0.05,0.2,TRUE,0),IF(D301="Grenade",_xlfn.IFS(I301&gt;=0.2,1,I301&gt;=0.1,0.7,I301&gt;=0.05,0.4,TRUE,0),0))</f>
        <v>0</v>
      </c>
      <c r="L301" s="57">
        <f t="shared" si="100"/>
        <v>0</v>
      </c>
    </row>
    <row r="302" spans="1:12" ht="15" customHeight="1" x14ac:dyDescent="0.25">
      <c r="A302" s="42" t="str" cm="1">
        <f t="array" ref="A302">IFERROR(INDEX(_xlfn._xlws.FILTER(Class_Players!A:A,Class_Players!B:B="Recon"),QUOTIENT(ROW()-ROW($A$2),8)+1),"")</f>
        <v>PinTao - Keep the Peace</v>
      </c>
      <c r="B302" s="42" t="str">
        <f>_xlfn.XLOOKUP(A302,Class_Players!$A:$A,Class_Players!$B:$B,"")</f>
        <v>Recon</v>
      </c>
      <c r="C302" s="38" t="str" cm="1">
        <f t="array" ref="C302">INDEX(Lookups!$C$2:$C$9,MOD(ROW()-ROW($B$2),ROWS(Lookups!$C$2:$C$9))+1)</f>
        <v>Sniper Decoy</v>
      </c>
      <c r="D302" s="38" t="str">
        <f>_xlfn.XLOOKUP(C302,Analysis_Gadgets!$C:$C,Analysis_Gadgets!$B:$B)</f>
        <v>Gadget</v>
      </c>
      <c r="E302" s="43">
        <v>32</v>
      </c>
      <c r="F302" s="43">
        <f>_xlfn.XLOOKUP(A302,Class_Players!A:A,Class_Players!G:G)</f>
        <v>133</v>
      </c>
      <c r="G302" s="43">
        <f t="shared" si="96"/>
        <v>0.24060150375939848</v>
      </c>
      <c r="H302" s="43">
        <f>_xlfn.XLOOKUP(A302,Class_Players!$A:$A,Class_Players!$F:$F,"")</f>
        <v>8380</v>
      </c>
      <c r="I302" s="44">
        <f t="shared" si="97"/>
        <v>3.8186157517899762E-3</v>
      </c>
      <c r="J302" s="43">
        <f t="shared" si="98"/>
        <v>0</v>
      </c>
      <c r="K302" s="44" cm="1">
        <f t="array" ref="K302">IF(D302="Gadget",_xlfn.IFS(I302&gt;=0.2,0.5,I302&gt;=0.1,0.35,I302&gt;=0.05,0.2,TRUE,0),IF(D302="Grenade",_xlfn.IFS(I302&gt;=0.2,1,I302&gt;=0.1,0.7,I302&gt;=0.05,0.4,TRUE,0),0))</f>
        <v>0</v>
      </c>
      <c r="L302" s="57">
        <f t="shared" si="100"/>
        <v>0</v>
      </c>
    </row>
    <row r="303" spans="1:12" ht="15" customHeight="1" x14ac:dyDescent="0.25">
      <c r="A303" s="42" t="str" cm="1">
        <f t="array" ref="A303">IFERROR(INDEX(_xlfn._xlws.FILTER(Class_Players!A:A,Class_Players!B:B="Recon"),QUOTIENT(ROW()-ROW($A$2),8)+1),"")</f>
        <v>PinTao - Keep the Peace</v>
      </c>
      <c r="B303" s="42" t="str">
        <f>_xlfn.XLOOKUP(A303,Class_Players!$A:$A,Class_Players!$B:$B,"")</f>
        <v>Recon</v>
      </c>
      <c r="C303" s="38" t="str" cm="1">
        <f t="array" ref="C303">INDEX(Lookups!$C$2:$C$9,MOD(ROW()-ROW($B$2),ROWS(Lookups!$C$2:$C$9))+1)</f>
        <v>C-4 Explosives</v>
      </c>
      <c r="D303" s="38" t="str">
        <f>_xlfn.XLOOKUP(C303,Analysis_Gadgets!$C:$C,Analysis_Gadgets!$B:$B)</f>
        <v>Gadget</v>
      </c>
      <c r="E303" s="43">
        <v>575</v>
      </c>
      <c r="F303" s="43">
        <f>_xlfn.XLOOKUP(A303,Class_Players!A:A,Class_Players!G:G)</f>
        <v>133</v>
      </c>
      <c r="G303" s="43">
        <f t="shared" si="96"/>
        <v>4.3233082706766917</v>
      </c>
      <c r="H303" s="43">
        <f>_xlfn.XLOOKUP(A303,Class_Players!$A:$A,Class_Players!$F:$F,"")</f>
        <v>8380</v>
      </c>
      <c r="I303" s="44">
        <f t="shared" si="97"/>
        <v>6.8615751789976129E-2</v>
      </c>
      <c r="J303" s="43">
        <f t="shared" si="98"/>
        <v>0</v>
      </c>
      <c r="K303" s="44" cm="1">
        <f t="array" ref="K303">IF(D303="Gadget",_xlfn.IFS(I303&gt;=0.2,0.5,I303&gt;=0.1,0.35,I303&gt;=0.05,0.2,TRUE,0),IF(D303="Grenade",_xlfn.IFS(I303&gt;=0.2,1,I303&gt;=0.1,0.7,I303&gt;=0.05,0.4,TRUE,0),0))</f>
        <v>0.2</v>
      </c>
      <c r="L303" s="57">
        <f t="shared" si="100"/>
        <v>1</v>
      </c>
    </row>
    <row r="304" spans="1:12" ht="15" customHeight="1" x14ac:dyDescent="0.25">
      <c r="A304" s="42" t="str" cm="1">
        <f t="array" ref="A304">IFERROR(INDEX(_xlfn._xlws.FILTER(Class_Players!A:A,Class_Players!B:B="Recon"),QUOTIENT(ROW()-ROW($A$2),8)+1),"")</f>
        <v>PinTao - Keep the Peace</v>
      </c>
      <c r="B304" s="42" t="str">
        <f>_xlfn.XLOOKUP(A304,Class_Players!$A:$A,Class_Players!$B:$B,"")</f>
        <v>Recon</v>
      </c>
      <c r="C304" s="38" t="str" cm="1">
        <f t="array" ref="C304">INDEX(Lookups!$C$2:$C$9,MOD(ROW()-ROW($B$2),ROWS(Lookups!$C$2:$C$9))+1)</f>
        <v>Proximity Detector</v>
      </c>
      <c r="D304" s="38" t="str">
        <f>_xlfn.XLOOKUP(C304,Analysis_Gadgets!$C:$C,Analysis_Gadgets!$B:$B)</f>
        <v>Grenade</v>
      </c>
      <c r="E304" s="43">
        <v>54</v>
      </c>
      <c r="F304" s="43">
        <f>_xlfn.XLOOKUP(A304,Class_Players!A:A,Class_Players!G:G)</f>
        <v>133</v>
      </c>
      <c r="G304" s="43">
        <f t="shared" si="96"/>
        <v>0.40601503759398494</v>
      </c>
      <c r="H304" s="43">
        <f>_xlfn.XLOOKUP(A304,Class_Players!$A:$A,Class_Players!$F:$F,"")</f>
        <v>8380</v>
      </c>
      <c r="I304" s="44">
        <f t="shared" si="97"/>
        <v>6.4439140811455844E-3</v>
      </c>
      <c r="J304" s="43">
        <f t="shared" si="98"/>
        <v>0</v>
      </c>
      <c r="K304" s="44" cm="1">
        <f t="array" ref="K304">IF(D304="Gadget",_xlfn.IFS(I304&gt;=0.2,0.5,I304&gt;=0.1,0.35,I304&gt;=0.05,0.2,TRUE,0),IF(D304="Grenade",_xlfn.IFS(I304&gt;=0.2,1,I304&gt;=0.1,0.7,I304&gt;=0.05,0.4,TRUE,0),0))</f>
        <v>0</v>
      </c>
      <c r="L304" s="57">
        <f t="shared" ref="L304:L305" si="101">IF($K304=0,0,$K304 / SUMIFS($K:$K,$A:$A,$A304,$D:$D,"Grenade"))</f>
        <v>0</v>
      </c>
    </row>
    <row r="305" spans="1:12" ht="15" customHeight="1" x14ac:dyDescent="0.25">
      <c r="A305" s="42" t="str" cm="1">
        <f t="array" ref="A305">IFERROR(INDEX(_xlfn._xlws.FILTER(Class_Players!A:A,Class_Players!B:B="Recon"),QUOTIENT(ROW()-ROW($A$2),8)+1),"")</f>
        <v>PinTao - Keep the Peace</v>
      </c>
      <c r="B305" s="42" t="str">
        <f>_xlfn.XLOOKUP(A305,Class_Players!$A:$A,Class_Players!$B:$B,"")</f>
        <v>Recon</v>
      </c>
      <c r="C305" s="38" t="str" cm="1">
        <f t="array" ref="C305">INDEX(Lookups!$C$2:$C$9,MOD(ROW()-ROW($B$2),ROWS(Lookups!$C$2:$C$9))+1)</f>
        <v>Throwing Knife</v>
      </c>
      <c r="D305" s="38" t="str">
        <f>_xlfn.XLOOKUP(C305,Analysis_Gadgets!$C:$C,Analysis_Gadgets!$B:$B)</f>
        <v>Grenade</v>
      </c>
      <c r="E305" s="43">
        <v>1</v>
      </c>
      <c r="F305" s="43">
        <f>_xlfn.XLOOKUP(A305,Class_Players!A:A,Class_Players!G:G)</f>
        <v>133</v>
      </c>
      <c r="G305" s="43">
        <f t="shared" si="96"/>
        <v>7.5187969924812026E-3</v>
      </c>
      <c r="H305" s="43">
        <f>_xlfn.XLOOKUP(A305,Class_Players!$A:$A,Class_Players!$F:$F,"")</f>
        <v>8380</v>
      </c>
      <c r="I305" s="44">
        <f t="shared" si="97"/>
        <v>1.1933174224343676E-4</v>
      </c>
      <c r="J305" s="43">
        <f t="shared" si="98"/>
        <v>0</v>
      </c>
      <c r="K305" s="44" cm="1">
        <f t="array" ref="K305">IF(D305="Gadget",_xlfn.IFS(I305&gt;=0.2,0.5,I305&gt;=0.1,0.35,I305&gt;=0.05,0.2,TRUE,0),IF(D305="Grenade",_xlfn.IFS(I305&gt;=0.2,1,I305&gt;=0.1,0.7,I305&gt;=0.05,0.4,TRUE,0),0))</f>
        <v>0</v>
      </c>
      <c r="L305" s="57">
        <f t="shared" si="101"/>
        <v>0</v>
      </c>
    </row>
    <row r="306" spans="1:12" ht="15" customHeight="1" x14ac:dyDescent="0.25">
      <c r="A306" s="42" t="str" cm="1">
        <f t="array" ref="A306">IFERROR(INDEX(_xlfn._xlws.FILTER(Class_Players!A:A,Class_Players!B:B="Recon"),QUOTIENT(ROW()-ROW($A$2),8)+1),"")</f>
        <v>Gop-Stop Petroleum</v>
      </c>
      <c r="B306" s="42" t="str">
        <f>_xlfn.XLOOKUP(A306,Class_Players!$A:$A,Class_Players!$B:$B,"")</f>
        <v>Recon</v>
      </c>
      <c r="C306" s="38" t="str" cm="1">
        <f t="array" ref="C306">INDEX(Lookups!$C$2:$C$9,MOD(ROW()-ROW($B$2),ROWS(Lookups!$C$2:$C$9))+1)</f>
        <v>Laser Designator</v>
      </c>
      <c r="D306" s="38" t="str">
        <f>_xlfn.XLOOKUP(C306,Analysis_Gadgets!$C:$C,Analysis_Gadgets!$B:$B)</f>
        <v>Gadget</v>
      </c>
      <c r="E306" s="43">
        <v>237</v>
      </c>
      <c r="F306" s="43">
        <f>_xlfn.XLOOKUP(A306,Class_Players!A:A,Class_Players!G:G)</f>
        <v>169</v>
      </c>
      <c r="G306" s="43">
        <f t="shared" si="96"/>
        <v>1.4023668639053255</v>
      </c>
      <c r="H306" s="43">
        <f>_xlfn.XLOOKUP(A306,Class_Players!$A:$A,Class_Players!$F:$F,"")</f>
        <v>8230</v>
      </c>
      <c r="I306" s="44">
        <f t="shared" si="97"/>
        <v>2.879708383961118E-2</v>
      </c>
      <c r="J306" s="43">
        <f t="shared" si="98"/>
        <v>0</v>
      </c>
      <c r="K306" s="44" cm="1">
        <f t="array" ref="K306">IF(D306="Gadget",_xlfn.IFS(I306&gt;=0.2,0.5,I306&gt;=0.1,0.35,I306&gt;=0.05,0.2,TRUE,0),IF(D306="Grenade",_xlfn.IFS(I306&gt;=0.2,1,I306&gt;=0.1,0.7,I306&gt;=0.05,0.4,TRUE,0),0))</f>
        <v>0</v>
      </c>
      <c r="L306" s="57">
        <f t="shared" ref="L306:L311" si="102">IF($K306=0,0,$K306 / SUMIFS($K:$K,$A:$A,$A306,$D:$D,"Gadget"))</f>
        <v>0</v>
      </c>
    </row>
    <row r="307" spans="1:12" ht="15" customHeight="1" x14ac:dyDescent="0.25">
      <c r="A307" s="42" t="str" cm="1">
        <f t="array" ref="A307">IFERROR(INDEX(_xlfn._xlws.FILTER(Class_Players!A:A,Class_Players!B:B="Recon"),QUOTIENT(ROW()-ROW($A$2),8)+1),"")</f>
        <v>Gop-Stop Petroleum</v>
      </c>
      <c r="B307" s="42" t="str">
        <f>_xlfn.XLOOKUP(A307,Class_Players!$A:$A,Class_Players!$B:$B,"")</f>
        <v>Recon</v>
      </c>
      <c r="C307" s="38" t="str" cm="1">
        <f t="array" ref="C307">INDEX(Lookups!$C$2:$C$9,MOD(ROW()-ROW($B$2),ROWS(Lookups!$C$2:$C$9))+1)</f>
        <v>Recon Drone</v>
      </c>
      <c r="D307" s="38" t="str">
        <f>_xlfn.XLOOKUP(C307,Analysis_Gadgets!$C:$C,Analysis_Gadgets!$B:$B)</f>
        <v>Gadget</v>
      </c>
      <c r="E307" s="43">
        <v>336</v>
      </c>
      <c r="F307" s="43">
        <f>_xlfn.XLOOKUP(A307,Class_Players!A:A,Class_Players!G:G)</f>
        <v>169</v>
      </c>
      <c r="G307" s="43">
        <f t="shared" si="96"/>
        <v>1.9881656804733727</v>
      </c>
      <c r="H307" s="43">
        <f>_xlfn.XLOOKUP(A307,Class_Players!$A:$A,Class_Players!$F:$F,"")</f>
        <v>8230</v>
      </c>
      <c r="I307" s="44">
        <f t="shared" si="97"/>
        <v>4.0826245443499394E-2</v>
      </c>
      <c r="J307" s="43">
        <f t="shared" si="98"/>
        <v>0</v>
      </c>
      <c r="K307" s="44" cm="1">
        <f t="array" ref="K307">IF(D307="Gadget",_xlfn.IFS(I307&gt;=0.2,0.5,I307&gt;=0.1,0.35,I307&gt;=0.05,0.2,TRUE,0),IF(D307="Grenade",_xlfn.IFS(I307&gt;=0.2,1,I307&gt;=0.1,0.7,I307&gt;=0.05,0.4,TRUE,0),0))</f>
        <v>0</v>
      </c>
      <c r="L307" s="57">
        <f t="shared" si="102"/>
        <v>0</v>
      </c>
    </row>
    <row r="308" spans="1:12" ht="15" customHeight="1" x14ac:dyDescent="0.25">
      <c r="A308" s="42" t="str" cm="1">
        <f t="array" ref="A308">IFERROR(INDEX(_xlfn._xlws.FILTER(Class_Players!A:A,Class_Players!B:B="Recon"),QUOTIENT(ROW()-ROW($A$2),8)+1),"")</f>
        <v>Gop-Stop Petroleum</v>
      </c>
      <c r="B308" s="42" t="str">
        <f>_xlfn.XLOOKUP(A308,Class_Players!$A:$A,Class_Players!$B:$B,"")</f>
        <v>Recon</v>
      </c>
      <c r="C308" s="38" t="str" cm="1">
        <f t="array" ref="C308">INDEX(Lookups!$C$2:$C$9,MOD(ROW()-ROW($B$2),ROWS(Lookups!$C$2:$C$9))+1)</f>
        <v>Tracer Dart</v>
      </c>
      <c r="D308" s="38" t="str">
        <f>_xlfn.XLOOKUP(C308,Analysis_Gadgets!$C:$C,Analysis_Gadgets!$B:$B)</f>
        <v>Gadget</v>
      </c>
      <c r="E308" s="43">
        <v>33</v>
      </c>
      <c r="F308" s="43">
        <f>_xlfn.XLOOKUP(A308,Class_Players!A:A,Class_Players!G:G)</f>
        <v>169</v>
      </c>
      <c r="G308" s="43">
        <f t="shared" si="96"/>
        <v>0.19526627218934911</v>
      </c>
      <c r="H308" s="43">
        <f>_xlfn.XLOOKUP(A308,Class_Players!$A:$A,Class_Players!$F:$F,"")</f>
        <v>8230</v>
      </c>
      <c r="I308" s="44">
        <f t="shared" si="97"/>
        <v>4.0097205346294046E-3</v>
      </c>
      <c r="J308" s="43">
        <f t="shared" si="98"/>
        <v>0</v>
      </c>
      <c r="K308" s="44" cm="1">
        <f t="array" ref="K308">IF(D308="Gadget",_xlfn.IFS(I308&gt;=0.2,0.5,I308&gt;=0.1,0.35,I308&gt;=0.05,0.2,TRUE,0),IF(D308="Grenade",_xlfn.IFS(I308&gt;=0.2,1,I308&gt;=0.1,0.7,I308&gt;=0.05,0.4,TRUE,0),0))</f>
        <v>0</v>
      </c>
      <c r="L308" s="57">
        <f t="shared" si="102"/>
        <v>0</v>
      </c>
    </row>
    <row r="309" spans="1:12" ht="15" customHeight="1" x14ac:dyDescent="0.25">
      <c r="A309" s="42" t="str" cm="1">
        <f t="array" ref="A309">IFERROR(INDEX(_xlfn._xlws.FILTER(Class_Players!A:A,Class_Players!B:B="Recon"),QUOTIENT(ROW()-ROW($A$2),8)+1),"")</f>
        <v>Gop-Stop Petroleum</v>
      </c>
      <c r="B309" s="42" t="str">
        <f>_xlfn.XLOOKUP(A309,Class_Players!$A:$A,Class_Players!$B:$B,"")</f>
        <v>Recon</v>
      </c>
      <c r="C309" s="38" t="str" cm="1">
        <f t="array" ref="C309">INDEX(Lookups!$C$2:$C$9,MOD(ROW()-ROW($B$2),ROWS(Lookups!$C$2:$C$9))+1)</f>
        <v>M18A1 (Claymore)</v>
      </c>
      <c r="D309" s="38" t="str">
        <f>_xlfn.XLOOKUP(C309,Analysis_Gadgets!$C:$C,Analysis_Gadgets!$B:$B)</f>
        <v>Gadget</v>
      </c>
      <c r="E309" s="43">
        <v>3008</v>
      </c>
      <c r="F309" s="43">
        <f>_xlfn.XLOOKUP(A309,Class_Players!A:A,Class_Players!G:G)</f>
        <v>169</v>
      </c>
      <c r="G309" s="43">
        <f t="shared" si="96"/>
        <v>17.798816568047336</v>
      </c>
      <c r="H309" s="43">
        <f>_xlfn.XLOOKUP(A309,Class_Players!$A:$A,Class_Players!$F:$F,"")</f>
        <v>8230</v>
      </c>
      <c r="I309" s="44">
        <f t="shared" si="97"/>
        <v>0.36549210206561361</v>
      </c>
      <c r="J309" s="43">
        <f t="shared" si="98"/>
        <v>1</v>
      </c>
      <c r="K309" s="44" cm="1">
        <f t="array" ref="K309">IF(D309="Gadget",_xlfn.IFS(I309&gt;=0.2,0.5,I309&gt;=0.1,0.35,I309&gt;=0.05,0.2,TRUE,0),IF(D309="Grenade",_xlfn.IFS(I309&gt;=0.2,1,I309&gt;=0.1,0.7,I309&gt;=0.05,0.4,TRUE,0),0))</f>
        <v>0.5</v>
      </c>
      <c r="L309" s="57">
        <f t="shared" si="102"/>
        <v>0.5</v>
      </c>
    </row>
    <row r="310" spans="1:12" ht="15" customHeight="1" x14ac:dyDescent="0.25">
      <c r="A310" s="42" t="str" cm="1">
        <f t="array" ref="A310">IFERROR(INDEX(_xlfn._xlws.FILTER(Class_Players!A:A,Class_Players!B:B="Recon"),QUOTIENT(ROW()-ROW($A$2),8)+1),"")</f>
        <v>Gop-Stop Petroleum</v>
      </c>
      <c r="B310" s="42" t="str">
        <f>_xlfn.XLOOKUP(A310,Class_Players!$A:$A,Class_Players!$B:$B,"")</f>
        <v>Recon</v>
      </c>
      <c r="C310" s="38" t="str" cm="1">
        <f t="array" ref="C310">INDEX(Lookups!$C$2:$C$9,MOD(ROW()-ROW($B$2),ROWS(Lookups!$C$2:$C$9))+1)</f>
        <v>Sniper Decoy</v>
      </c>
      <c r="D310" s="38" t="str">
        <f>_xlfn.XLOOKUP(C310,Analysis_Gadgets!$C:$C,Analysis_Gadgets!$B:$B)</f>
        <v>Gadget</v>
      </c>
      <c r="E310" s="43">
        <v>400</v>
      </c>
      <c r="F310" s="43">
        <f>_xlfn.XLOOKUP(A310,Class_Players!A:A,Class_Players!G:G)</f>
        <v>169</v>
      </c>
      <c r="G310" s="43">
        <f t="shared" si="96"/>
        <v>2.3668639053254439</v>
      </c>
      <c r="H310" s="43">
        <f>_xlfn.XLOOKUP(A310,Class_Players!$A:$A,Class_Players!$F:$F,"")</f>
        <v>8230</v>
      </c>
      <c r="I310" s="44">
        <f t="shared" si="97"/>
        <v>4.8602673147023087E-2</v>
      </c>
      <c r="J310" s="43">
        <f t="shared" si="98"/>
        <v>0</v>
      </c>
      <c r="K310" s="44" cm="1">
        <f t="array" ref="K310">IF(D310="Gadget",_xlfn.IFS(I310&gt;=0.2,0.5,I310&gt;=0.1,0.35,I310&gt;=0.05,0.2,TRUE,0),IF(D310="Grenade",_xlfn.IFS(I310&gt;=0.2,1,I310&gt;=0.1,0.7,I310&gt;=0.05,0.4,TRUE,0),0))</f>
        <v>0</v>
      </c>
      <c r="L310" s="57">
        <f t="shared" si="102"/>
        <v>0</v>
      </c>
    </row>
    <row r="311" spans="1:12" ht="15" customHeight="1" x14ac:dyDescent="0.25">
      <c r="A311" s="42" t="str" cm="1">
        <f t="array" ref="A311">IFERROR(INDEX(_xlfn._xlws.FILTER(Class_Players!A:A,Class_Players!B:B="Recon"),QUOTIENT(ROW()-ROW($A$2),8)+1),"")</f>
        <v>Gop-Stop Petroleum</v>
      </c>
      <c r="B311" s="42" t="str">
        <f>_xlfn.XLOOKUP(A311,Class_Players!$A:$A,Class_Players!$B:$B,"")</f>
        <v>Recon</v>
      </c>
      <c r="C311" s="38" t="str" cm="1">
        <f t="array" ref="C311">INDEX(Lookups!$C$2:$C$9,MOD(ROW()-ROW($B$2),ROWS(Lookups!$C$2:$C$9))+1)</f>
        <v>C-4 Explosives</v>
      </c>
      <c r="D311" s="38" t="str">
        <f>_xlfn.XLOOKUP(C311,Analysis_Gadgets!$C:$C,Analysis_Gadgets!$B:$B)</f>
        <v>Gadget</v>
      </c>
      <c r="E311" s="43">
        <v>5066</v>
      </c>
      <c r="F311" s="43">
        <f>_xlfn.XLOOKUP(A311,Class_Players!A:A,Class_Players!G:G)</f>
        <v>169</v>
      </c>
      <c r="G311" s="43">
        <f t="shared" si="96"/>
        <v>29.976331360946745</v>
      </c>
      <c r="H311" s="43">
        <f>_xlfn.XLOOKUP(A311,Class_Players!$A:$A,Class_Players!$F:$F,"")</f>
        <v>8230</v>
      </c>
      <c r="I311" s="44">
        <f t="shared" si="97"/>
        <v>0.61555285540704741</v>
      </c>
      <c r="J311" s="43">
        <f t="shared" si="98"/>
        <v>1</v>
      </c>
      <c r="K311" s="44" cm="1">
        <f t="array" ref="K311">IF(D311="Gadget",_xlfn.IFS(I311&gt;=0.2,0.5,I311&gt;=0.1,0.35,I311&gt;=0.05,0.2,TRUE,0),IF(D311="Grenade",_xlfn.IFS(I311&gt;=0.2,1,I311&gt;=0.1,0.7,I311&gt;=0.05,0.4,TRUE,0),0))</f>
        <v>0.5</v>
      </c>
      <c r="L311" s="57">
        <f t="shared" si="102"/>
        <v>0.5</v>
      </c>
    </row>
    <row r="312" spans="1:12" ht="15" customHeight="1" x14ac:dyDescent="0.25">
      <c r="A312" s="42" t="str" cm="1">
        <f t="array" ref="A312">IFERROR(INDEX(_xlfn._xlws.FILTER(Class_Players!A:A,Class_Players!B:B="Recon"),QUOTIENT(ROW()-ROW($A$2),8)+1),"")</f>
        <v>Gop-Stop Petroleum</v>
      </c>
      <c r="B312" s="42" t="str">
        <f>_xlfn.XLOOKUP(A312,Class_Players!$A:$A,Class_Players!$B:$B,"")</f>
        <v>Recon</v>
      </c>
      <c r="C312" s="38" t="str" cm="1">
        <f t="array" ref="C312">INDEX(Lookups!$C$2:$C$9,MOD(ROW()-ROW($B$2),ROWS(Lookups!$C$2:$C$9))+1)</f>
        <v>Proximity Detector</v>
      </c>
      <c r="D312" s="38" t="str">
        <f>_xlfn.XLOOKUP(C312,Analysis_Gadgets!$C:$C,Analysis_Gadgets!$B:$B)</f>
        <v>Grenade</v>
      </c>
      <c r="E312" s="43">
        <v>115</v>
      </c>
      <c r="F312" s="43">
        <f>_xlfn.XLOOKUP(A312,Class_Players!A:A,Class_Players!G:G)</f>
        <v>169</v>
      </c>
      <c r="G312" s="43">
        <f t="shared" si="96"/>
        <v>0.68047337278106512</v>
      </c>
      <c r="H312" s="43">
        <f>_xlfn.XLOOKUP(A312,Class_Players!$A:$A,Class_Players!$F:$F,"")</f>
        <v>8230</v>
      </c>
      <c r="I312" s="44">
        <f t="shared" si="97"/>
        <v>1.3973268529769137E-2</v>
      </c>
      <c r="J312" s="43">
        <f t="shared" si="98"/>
        <v>0</v>
      </c>
      <c r="K312" s="44" cm="1">
        <f t="array" ref="K312">IF(D312="Gadget",_xlfn.IFS(I312&gt;=0.2,0.5,I312&gt;=0.1,0.35,I312&gt;=0.05,0.2,TRUE,0),IF(D312="Grenade",_xlfn.IFS(I312&gt;=0.2,1,I312&gt;=0.1,0.7,I312&gt;=0.05,0.4,TRUE,0),0))</f>
        <v>0</v>
      </c>
      <c r="L312" s="57">
        <f t="shared" ref="L312:L313" si="103">IF($K312=0,0,$K312 / SUMIFS($K:$K,$A:$A,$A312,$D:$D,"Grenade"))</f>
        <v>0</v>
      </c>
    </row>
    <row r="313" spans="1:12" ht="15" customHeight="1" x14ac:dyDescent="0.25">
      <c r="A313" s="42" t="str" cm="1">
        <f t="array" ref="A313">IFERROR(INDEX(_xlfn._xlws.FILTER(Class_Players!A:A,Class_Players!B:B="Recon"),QUOTIENT(ROW()-ROW($A$2),8)+1),"")</f>
        <v>Gop-Stop Petroleum</v>
      </c>
      <c r="B313" s="42" t="str">
        <f>_xlfn.XLOOKUP(A313,Class_Players!$A:$A,Class_Players!$B:$B,"")</f>
        <v>Recon</v>
      </c>
      <c r="C313" s="38" t="str" cm="1">
        <f t="array" ref="C313">INDEX(Lookups!$C$2:$C$9,MOD(ROW()-ROW($B$2),ROWS(Lookups!$C$2:$C$9))+1)</f>
        <v>Throwing Knife</v>
      </c>
      <c r="D313" s="38" t="str">
        <f>_xlfn.XLOOKUP(C313,Analysis_Gadgets!$C:$C,Analysis_Gadgets!$B:$B)</f>
        <v>Grenade</v>
      </c>
      <c r="E313" s="43">
        <v>52</v>
      </c>
      <c r="F313" s="43">
        <f>_xlfn.XLOOKUP(A313,Class_Players!A:A,Class_Players!G:G)</f>
        <v>169</v>
      </c>
      <c r="G313" s="43">
        <f t="shared" si="96"/>
        <v>0.30769230769230771</v>
      </c>
      <c r="H313" s="43">
        <f>_xlfn.XLOOKUP(A313,Class_Players!$A:$A,Class_Players!$F:$F,"")</f>
        <v>8230</v>
      </c>
      <c r="I313" s="44">
        <f t="shared" si="97"/>
        <v>6.3183475091130011E-3</v>
      </c>
      <c r="J313" s="43">
        <f t="shared" si="98"/>
        <v>0</v>
      </c>
      <c r="K313" s="44" cm="1">
        <f t="array" ref="K313">IF(D313="Gadget",_xlfn.IFS(I313&gt;=0.2,0.5,I313&gt;=0.1,0.35,I313&gt;=0.05,0.2,TRUE,0),IF(D313="Grenade",_xlfn.IFS(I313&gt;=0.2,1,I313&gt;=0.1,0.7,I313&gt;=0.05,0.4,TRUE,0),0))</f>
        <v>0</v>
      </c>
      <c r="L313" s="57">
        <f t="shared" si="103"/>
        <v>0</v>
      </c>
    </row>
    <row r="314" spans="1:12" ht="15" customHeight="1" x14ac:dyDescent="0.25">
      <c r="A314" s="42" t="str" cm="1">
        <f t="array" ref="A314">IFERROR(INDEX(_xlfn._xlws.FILTER(Class_Players!A:A,Class_Players!B:B="Recon"),QUOTIENT(ROW()-ROW($A$2),8)+1),"")</f>
        <v>CisnBlack2393</v>
      </c>
      <c r="B314" s="42" t="str">
        <f>_xlfn.XLOOKUP(A314,Class_Players!$A:$A,Class_Players!$B:$B,"")</f>
        <v>Recon</v>
      </c>
      <c r="C314" s="38" t="str" cm="1">
        <f t="array" ref="C314">INDEX(Lookups!$C$2:$C$9,MOD(ROW()-ROW($B$2),ROWS(Lookups!$C$2:$C$9))+1)</f>
        <v>Laser Designator</v>
      </c>
      <c r="D314" s="38" t="str">
        <f>_xlfn.XLOOKUP(C314,Analysis_Gadgets!$C:$C,Analysis_Gadgets!$B:$B)</f>
        <v>Gadget</v>
      </c>
      <c r="E314" s="43">
        <v>3533</v>
      </c>
      <c r="F314" s="43">
        <f>_xlfn.XLOOKUP(A314,Class_Players!A:A,Class_Players!G:G)</f>
        <v>169</v>
      </c>
      <c r="G314" s="43">
        <f t="shared" si="96"/>
        <v>20.905325443786982</v>
      </c>
      <c r="H314" s="43">
        <f>_xlfn.XLOOKUP(A314,Class_Players!$A:$A,Class_Players!$F:$F,"")</f>
        <v>8010</v>
      </c>
      <c r="I314" s="44">
        <f t="shared" si="97"/>
        <v>0.44107365792759051</v>
      </c>
      <c r="J314" s="43">
        <f t="shared" si="98"/>
        <v>1</v>
      </c>
      <c r="K314" s="44" cm="1">
        <f t="array" ref="K314">IF(D314="Gadget",_xlfn.IFS(I314&gt;=0.2,0.5,I314&gt;=0.1,0.35,I314&gt;=0.05,0.2,TRUE,0),IF(D314="Grenade",_xlfn.IFS(I314&gt;=0.2,1,I314&gt;=0.1,0.7,I314&gt;=0.05,0.4,TRUE,0),0))</f>
        <v>0.5</v>
      </c>
      <c r="L314" s="57">
        <f t="shared" ref="L314:L319" si="104">IF($K314=0,0,$K314 / SUMIFS($K:$K,$A:$A,$A314,$D:$D,"Gadget"))</f>
        <v>0.22727272727272727</v>
      </c>
    </row>
    <row r="315" spans="1:12" ht="15" customHeight="1" x14ac:dyDescent="0.25">
      <c r="A315" s="42" t="str" cm="1">
        <f t="array" ref="A315">IFERROR(INDEX(_xlfn._xlws.FILTER(Class_Players!A:A,Class_Players!B:B="Recon"),QUOTIENT(ROW()-ROW($A$2),8)+1),"")</f>
        <v>CisnBlack2393</v>
      </c>
      <c r="B315" s="42" t="str">
        <f>_xlfn.XLOOKUP(A315,Class_Players!$A:$A,Class_Players!$B:$B,"")</f>
        <v>Recon</v>
      </c>
      <c r="C315" s="38" t="str" cm="1">
        <f t="array" ref="C315">INDEX(Lookups!$C$2:$C$9,MOD(ROW()-ROW($B$2),ROWS(Lookups!$C$2:$C$9))+1)</f>
        <v>Recon Drone</v>
      </c>
      <c r="D315" s="38" t="str">
        <f>_xlfn.XLOOKUP(C315,Analysis_Gadgets!$C:$C,Analysis_Gadgets!$B:$B)</f>
        <v>Gadget</v>
      </c>
      <c r="E315" s="43">
        <v>520</v>
      </c>
      <c r="F315" s="43">
        <f>_xlfn.XLOOKUP(A315,Class_Players!A:A,Class_Players!G:G)</f>
        <v>169</v>
      </c>
      <c r="G315" s="43">
        <f t="shared" si="96"/>
        <v>3.0769230769230771</v>
      </c>
      <c r="H315" s="43">
        <f>_xlfn.XLOOKUP(A315,Class_Players!$A:$A,Class_Players!$F:$F,"")</f>
        <v>8010</v>
      </c>
      <c r="I315" s="44">
        <f t="shared" si="97"/>
        <v>6.4918851435705374E-2</v>
      </c>
      <c r="J315" s="43">
        <f t="shared" si="98"/>
        <v>0</v>
      </c>
      <c r="K315" s="44" cm="1">
        <f t="array" ref="K315">IF(D315="Gadget",_xlfn.IFS(I315&gt;=0.2,0.5,I315&gt;=0.1,0.35,I315&gt;=0.05,0.2,TRUE,0),IF(D315="Grenade",_xlfn.IFS(I315&gt;=0.2,1,I315&gt;=0.1,0.7,I315&gt;=0.05,0.4,TRUE,0),0))</f>
        <v>0.2</v>
      </c>
      <c r="L315" s="57">
        <f t="shared" si="104"/>
        <v>9.0909090909090912E-2</v>
      </c>
    </row>
    <row r="316" spans="1:12" ht="15" customHeight="1" x14ac:dyDescent="0.25">
      <c r="A316" s="42" t="str" cm="1">
        <f t="array" ref="A316">IFERROR(INDEX(_xlfn._xlws.FILTER(Class_Players!A:A,Class_Players!B:B="Recon"),QUOTIENT(ROW()-ROW($A$2),8)+1),"")</f>
        <v>CisnBlack2393</v>
      </c>
      <c r="B316" s="42" t="str">
        <f>_xlfn.XLOOKUP(A316,Class_Players!$A:$A,Class_Players!$B:$B,"")</f>
        <v>Recon</v>
      </c>
      <c r="C316" s="38" t="str" cm="1">
        <f t="array" ref="C316">INDEX(Lookups!$C$2:$C$9,MOD(ROW()-ROW($B$2),ROWS(Lookups!$C$2:$C$9))+1)</f>
        <v>Tracer Dart</v>
      </c>
      <c r="D316" s="38" t="str">
        <f>_xlfn.XLOOKUP(C316,Analysis_Gadgets!$C:$C,Analysis_Gadgets!$B:$B)</f>
        <v>Gadget</v>
      </c>
      <c r="E316" s="43">
        <v>42</v>
      </c>
      <c r="F316" s="43">
        <f>_xlfn.XLOOKUP(A316,Class_Players!A:A,Class_Players!G:G)</f>
        <v>169</v>
      </c>
      <c r="G316" s="43">
        <f t="shared" si="96"/>
        <v>0.24852071005917159</v>
      </c>
      <c r="H316" s="43">
        <f>_xlfn.XLOOKUP(A316,Class_Players!$A:$A,Class_Players!$F:$F,"")</f>
        <v>8010</v>
      </c>
      <c r="I316" s="44">
        <f t="shared" si="97"/>
        <v>5.2434456928838954E-3</v>
      </c>
      <c r="J316" s="43">
        <f t="shared" si="98"/>
        <v>0</v>
      </c>
      <c r="K316" s="44" cm="1">
        <f t="array" ref="K316">IF(D316="Gadget",_xlfn.IFS(I316&gt;=0.2,0.5,I316&gt;=0.1,0.35,I316&gt;=0.05,0.2,TRUE,0),IF(D316="Grenade",_xlfn.IFS(I316&gt;=0.2,1,I316&gt;=0.1,0.7,I316&gt;=0.05,0.4,TRUE,0),0))</f>
        <v>0</v>
      </c>
      <c r="L316" s="57">
        <f t="shared" si="104"/>
        <v>0</v>
      </c>
    </row>
    <row r="317" spans="1:12" ht="15" customHeight="1" x14ac:dyDescent="0.25">
      <c r="A317" s="42" t="str" cm="1">
        <f t="array" ref="A317">IFERROR(INDEX(_xlfn._xlws.FILTER(Class_Players!A:A,Class_Players!B:B="Recon"),QUOTIENT(ROW()-ROW($A$2),8)+1),"")</f>
        <v>CisnBlack2393</v>
      </c>
      <c r="B317" s="42" t="str">
        <f>_xlfn.XLOOKUP(A317,Class_Players!$A:$A,Class_Players!$B:$B,"")</f>
        <v>Recon</v>
      </c>
      <c r="C317" s="38" t="str" cm="1">
        <f t="array" ref="C317">INDEX(Lookups!$C$2:$C$9,MOD(ROW()-ROW($B$2),ROWS(Lookups!$C$2:$C$9))+1)</f>
        <v>M18A1 (Claymore)</v>
      </c>
      <c r="D317" s="38" t="str">
        <f>_xlfn.XLOOKUP(C317,Analysis_Gadgets!$C:$C,Analysis_Gadgets!$B:$B)</f>
        <v>Gadget</v>
      </c>
      <c r="E317" s="43">
        <v>3065</v>
      </c>
      <c r="F317" s="43">
        <f>_xlfn.XLOOKUP(A317,Class_Players!A:A,Class_Players!G:G)</f>
        <v>169</v>
      </c>
      <c r="G317" s="43">
        <f t="shared" si="96"/>
        <v>18.136094674556212</v>
      </c>
      <c r="H317" s="43">
        <f>_xlfn.XLOOKUP(A317,Class_Players!$A:$A,Class_Players!$F:$F,"")</f>
        <v>8010</v>
      </c>
      <c r="I317" s="44">
        <f t="shared" si="97"/>
        <v>0.38264669163545567</v>
      </c>
      <c r="J317" s="43">
        <f t="shared" si="98"/>
        <v>1</v>
      </c>
      <c r="K317" s="44" cm="1">
        <f t="array" ref="K317">IF(D317="Gadget",_xlfn.IFS(I317&gt;=0.2,0.5,I317&gt;=0.1,0.35,I317&gt;=0.05,0.2,TRUE,0),IF(D317="Grenade",_xlfn.IFS(I317&gt;=0.2,1,I317&gt;=0.1,0.7,I317&gt;=0.05,0.4,TRUE,0),0))</f>
        <v>0.5</v>
      </c>
      <c r="L317" s="57">
        <f t="shared" si="104"/>
        <v>0.22727272727272727</v>
      </c>
    </row>
    <row r="318" spans="1:12" ht="15" customHeight="1" x14ac:dyDescent="0.25">
      <c r="A318" s="42" t="str" cm="1">
        <f t="array" ref="A318">IFERROR(INDEX(_xlfn._xlws.FILTER(Class_Players!A:A,Class_Players!B:B="Recon"),QUOTIENT(ROW()-ROW($A$2),8)+1),"")</f>
        <v>CisnBlack2393</v>
      </c>
      <c r="B318" s="42" t="str">
        <f>_xlfn.XLOOKUP(A318,Class_Players!$A:$A,Class_Players!$B:$B,"")</f>
        <v>Recon</v>
      </c>
      <c r="C318" s="38" t="str" cm="1">
        <f t="array" ref="C318">INDEX(Lookups!$C$2:$C$9,MOD(ROW()-ROW($B$2),ROWS(Lookups!$C$2:$C$9))+1)</f>
        <v>Sniper Decoy</v>
      </c>
      <c r="D318" s="38" t="str">
        <f>_xlfn.XLOOKUP(C318,Analysis_Gadgets!$C:$C,Analysis_Gadgets!$B:$B)</f>
        <v>Gadget</v>
      </c>
      <c r="E318" s="43">
        <v>3498</v>
      </c>
      <c r="F318" s="43">
        <f>_xlfn.XLOOKUP(A318,Class_Players!A:A,Class_Players!G:G)</f>
        <v>169</v>
      </c>
      <c r="G318" s="43">
        <f t="shared" si="96"/>
        <v>20.698224852071007</v>
      </c>
      <c r="H318" s="43">
        <f>_xlfn.XLOOKUP(A318,Class_Players!$A:$A,Class_Players!$F:$F,"")</f>
        <v>8010</v>
      </c>
      <c r="I318" s="44">
        <f t="shared" si="97"/>
        <v>0.43670411985018726</v>
      </c>
      <c r="J318" s="43">
        <f t="shared" si="98"/>
        <v>1</v>
      </c>
      <c r="K318" s="44" cm="1">
        <f t="array" ref="K318">IF(D318="Gadget",_xlfn.IFS(I318&gt;=0.2,0.5,I318&gt;=0.1,0.35,I318&gt;=0.05,0.2,TRUE,0),IF(D318="Grenade",_xlfn.IFS(I318&gt;=0.2,1,I318&gt;=0.1,0.7,I318&gt;=0.05,0.4,TRUE,0),0))</f>
        <v>0.5</v>
      </c>
      <c r="L318" s="57">
        <f t="shared" si="104"/>
        <v>0.22727272727272727</v>
      </c>
    </row>
    <row r="319" spans="1:12" ht="15" customHeight="1" x14ac:dyDescent="0.25">
      <c r="A319" s="42" t="str" cm="1">
        <f t="array" ref="A319">IFERROR(INDEX(_xlfn._xlws.FILTER(Class_Players!A:A,Class_Players!B:B="Recon"),QUOTIENT(ROW()-ROW($A$2),8)+1),"")</f>
        <v>CisnBlack2393</v>
      </c>
      <c r="B319" s="42" t="str">
        <f>_xlfn.XLOOKUP(A319,Class_Players!$A:$A,Class_Players!$B:$B,"")</f>
        <v>Recon</v>
      </c>
      <c r="C319" s="38" t="str" cm="1">
        <f t="array" ref="C319">INDEX(Lookups!$C$2:$C$9,MOD(ROW()-ROW($B$2),ROWS(Lookups!$C$2:$C$9))+1)</f>
        <v>C-4 Explosives</v>
      </c>
      <c r="D319" s="38" t="str">
        <f>_xlfn.XLOOKUP(C319,Analysis_Gadgets!$C:$C,Analysis_Gadgets!$B:$B)</f>
        <v>Gadget</v>
      </c>
      <c r="E319" s="43">
        <v>5681</v>
      </c>
      <c r="F319" s="43">
        <f>_xlfn.XLOOKUP(A319,Class_Players!A:A,Class_Players!G:G)</f>
        <v>169</v>
      </c>
      <c r="G319" s="43">
        <f t="shared" si="96"/>
        <v>33.615384615384613</v>
      </c>
      <c r="H319" s="43">
        <f>_xlfn.XLOOKUP(A319,Class_Players!$A:$A,Class_Players!$F:$F,"")</f>
        <v>8010</v>
      </c>
      <c r="I319" s="44">
        <f t="shared" si="97"/>
        <v>0.70923845193508117</v>
      </c>
      <c r="J319" s="43">
        <f t="shared" si="98"/>
        <v>1</v>
      </c>
      <c r="K319" s="44" cm="1">
        <f t="array" ref="K319">IF(D319="Gadget",_xlfn.IFS(I319&gt;=0.2,0.5,I319&gt;=0.1,0.35,I319&gt;=0.05,0.2,TRUE,0),IF(D319="Grenade",_xlfn.IFS(I319&gt;=0.2,1,I319&gt;=0.1,0.7,I319&gt;=0.05,0.4,TRUE,0),0))</f>
        <v>0.5</v>
      </c>
      <c r="L319" s="57">
        <f t="shared" si="104"/>
        <v>0.22727272727272727</v>
      </c>
    </row>
    <row r="320" spans="1:12" ht="15" customHeight="1" x14ac:dyDescent="0.25">
      <c r="A320" s="42" t="str" cm="1">
        <f t="array" ref="A320">IFERROR(INDEX(_xlfn._xlws.FILTER(Class_Players!A:A,Class_Players!B:B="Recon"),QUOTIENT(ROW()-ROW($A$2),8)+1),"")</f>
        <v>CisnBlack2393</v>
      </c>
      <c r="B320" s="42" t="str">
        <f>_xlfn.XLOOKUP(A320,Class_Players!$A:$A,Class_Players!$B:$B,"")</f>
        <v>Recon</v>
      </c>
      <c r="C320" s="38" t="str" cm="1">
        <f t="array" ref="C320">INDEX(Lookups!$C$2:$C$9,MOD(ROW()-ROW($B$2),ROWS(Lookups!$C$2:$C$9))+1)</f>
        <v>Proximity Detector</v>
      </c>
      <c r="D320" s="38" t="str">
        <f>_xlfn.XLOOKUP(C320,Analysis_Gadgets!$C:$C,Analysis_Gadgets!$B:$B)</f>
        <v>Grenade</v>
      </c>
      <c r="E320" s="43">
        <v>2245</v>
      </c>
      <c r="F320" s="43">
        <f>_xlfn.XLOOKUP(A320,Class_Players!A:A,Class_Players!G:G)</f>
        <v>169</v>
      </c>
      <c r="G320" s="43">
        <f t="shared" si="96"/>
        <v>13.284023668639053</v>
      </c>
      <c r="H320" s="43">
        <f>_xlfn.XLOOKUP(A320,Class_Players!$A:$A,Class_Players!$F:$F,"")</f>
        <v>8010</v>
      </c>
      <c r="I320" s="44">
        <f t="shared" si="97"/>
        <v>0.28027465667915108</v>
      </c>
      <c r="J320" s="43">
        <f t="shared" si="98"/>
        <v>1</v>
      </c>
      <c r="K320" s="44" cm="1">
        <f t="array" ref="K320">IF(D320="Gadget",_xlfn.IFS(I320&gt;=0.2,0.5,I320&gt;=0.1,0.35,I320&gt;=0.05,0.2,TRUE,0),IF(D320="Grenade",_xlfn.IFS(I320&gt;=0.2,1,I320&gt;=0.1,0.7,I320&gt;=0.05,0.4,TRUE,0),0))</f>
        <v>1</v>
      </c>
      <c r="L320" s="57">
        <f t="shared" ref="L320:L321" si="105">IF($K320=0,0,$K320 / SUMIFS($K:$K,$A:$A,$A320,$D:$D,"Grenade"))</f>
        <v>1</v>
      </c>
    </row>
    <row r="321" spans="1:12" ht="15" customHeight="1" x14ac:dyDescent="0.25">
      <c r="A321" s="42" t="str" cm="1">
        <f t="array" ref="A321">IFERROR(INDEX(_xlfn._xlws.FILTER(Class_Players!A:A,Class_Players!B:B="Recon"),QUOTIENT(ROW()-ROW($A$2),8)+1),"")</f>
        <v>CisnBlack2393</v>
      </c>
      <c r="B321" s="42" t="str">
        <f>_xlfn.XLOOKUP(A321,Class_Players!$A:$A,Class_Players!$B:$B,"")</f>
        <v>Recon</v>
      </c>
      <c r="C321" s="38" t="str" cm="1">
        <f t="array" ref="C321">INDEX(Lookups!$C$2:$C$9,MOD(ROW()-ROW($B$2),ROWS(Lookups!$C$2:$C$9))+1)</f>
        <v>Throwing Knife</v>
      </c>
      <c r="D321" s="38" t="str">
        <f>_xlfn.XLOOKUP(C321,Analysis_Gadgets!$C:$C,Analysis_Gadgets!$B:$B)</f>
        <v>Grenade</v>
      </c>
      <c r="E321" s="43">
        <v>51</v>
      </c>
      <c r="F321" s="43">
        <f>_xlfn.XLOOKUP(A321,Class_Players!A:A,Class_Players!G:G)</f>
        <v>169</v>
      </c>
      <c r="G321" s="43">
        <f t="shared" si="96"/>
        <v>0.30177514792899407</v>
      </c>
      <c r="H321" s="43">
        <f>_xlfn.XLOOKUP(A321,Class_Players!$A:$A,Class_Players!$F:$F,"")</f>
        <v>8010</v>
      </c>
      <c r="I321" s="44">
        <f t="shared" si="97"/>
        <v>6.3670411985018724E-3</v>
      </c>
      <c r="J321" s="43">
        <f t="shared" si="98"/>
        <v>0</v>
      </c>
      <c r="K321" s="44" cm="1">
        <f t="array" ref="K321">IF(D321="Gadget",_xlfn.IFS(I321&gt;=0.2,0.5,I321&gt;=0.1,0.35,I321&gt;=0.05,0.2,TRUE,0),IF(D321="Grenade",_xlfn.IFS(I321&gt;=0.2,1,I321&gt;=0.1,0.7,I321&gt;=0.05,0.4,TRUE,0),0))</f>
        <v>0</v>
      </c>
      <c r="L321" s="57">
        <f t="shared" si="105"/>
        <v>0</v>
      </c>
    </row>
    <row r="322" spans="1:12" ht="15" customHeight="1" x14ac:dyDescent="0.25">
      <c r="A322" s="42" t="str" cm="1">
        <f t="array" ref="A322">IFERROR(INDEX(_xlfn._xlws.FILTER(Class_Players!A:A,Class_Players!B:B="Recon"),QUOTIENT(ROW()-ROW($A$2),8)+1),"")</f>
        <v>PapaSmurf_549</v>
      </c>
      <c r="B322" s="42" t="str">
        <f>_xlfn.XLOOKUP(A322,Class_Players!$A:$A,Class_Players!$B:$B,"")</f>
        <v>Recon</v>
      </c>
      <c r="C322" s="38" t="str" cm="1">
        <f t="array" ref="C322">INDEX(Lookups!$C$2:$C$9,MOD(ROW()-ROW($B$2),ROWS(Lookups!$C$2:$C$9))+1)</f>
        <v>Laser Designator</v>
      </c>
      <c r="D322" s="38" t="str">
        <f>_xlfn.XLOOKUP(C322,Analysis_Gadgets!$C:$C,Analysis_Gadgets!$B:$B)</f>
        <v>Gadget</v>
      </c>
      <c r="E322" s="43">
        <v>427</v>
      </c>
      <c r="F322" s="43">
        <f>_xlfn.XLOOKUP(A322,Class_Players!A:A,Class_Players!G:G)</f>
        <v>151</v>
      </c>
      <c r="G322" s="43">
        <f t="shared" si="96"/>
        <v>2.8278145695364238</v>
      </c>
      <c r="H322" s="43">
        <f>_xlfn.XLOOKUP(A322,Class_Players!$A:$A,Class_Players!$F:$F,"")</f>
        <v>8622</v>
      </c>
      <c r="I322" s="44">
        <f t="shared" si="97"/>
        <v>4.9524472280213408E-2</v>
      </c>
      <c r="J322" s="43">
        <f t="shared" si="98"/>
        <v>0</v>
      </c>
      <c r="K322" s="44" cm="1">
        <f t="array" ref="K322">IF(D322="Gadget",_xlfn.IFS(I322&gt;=0.2,0.5,I322&gt;=0.1,0.35,I322&gt;=0.05,0.2,TRUE,0),IF(D322="Grenade",_xlfn.IFS(I322&gt;=0.2,1,I322&gt;=0.1,0.7,I322&gt;=0.05,0.4,TRUE,0),0))</f>
        <v>0</v>
      </c>
      <c r="L322" s="57">
        <f t="shared" ref="L322:L327" si="106">IF($K322=0,0,$K322 / SUMIFS($K:$K,$A:$A,$A322,$D:$D,"Gadget"))</f>
        <v>0</v>
      </c>
    </row>
    <row r="323" spans="1:12" ht="15" customHeight="1" x14ac:dyDescent="0.25">
      <c r="A323" s="42" t="str" cm="1">
        <f t="array" ref="A323">IFERROR(INDEX(_xlfn._xlws.FILTER(Class_Players!A:A,Class_Players!B:B="Recon"),QUOTIENT(ROW()-ROW($A$2),8)+1),"")</f>
        <v>PapaSmurf_549</v>
      </c>
      <c r="B323" s="42" t="str">
        <f>_xlfn.XLOOKUP(A323,Class_Players!$A:$A,Class_Players!$B:$B,"")</f>
        <v>Recon</v>
      </c>
      <c r="C323" s="38" t="str" cm="1">
        <f t="array" ref="C323">INDEX(Lookups!$C$2:$C$9,MOD(ROW()-ROW($B$2),ROWS(Lookups!$C$2:$C$9))+1)</f>
        <v>Recon Drone</v>
      </c>
      <c r="D323" s="38" t="str">
        <f>_xlfn.XLOOKUP(C323,Analysis_Gadgets!$C:$C,Analysis_Gadgets!$B:$B)</f>
        <v>Gadget</v>
      </c>
      <c r="E323" s="43">
        <v>256</v>
      </c>
      <c r="F323" s="43">
        <f>_xlfn.XLOOKUP(A323,Class_Players!A:A,Class_Players!G:G)</f>
        <v>151</v>
      </c>
      <c r="G323" s="43">
        <f t="shared" si="96"/>
        <v>1.695364238410596</v>
      </c>
      <c r="H323" s="43">
        <f>_xlfn.XLOOKUP(A323,Class_Players!$A:$A,Class_Players!$F:$F,"")</f>
        <v>8622</v>
      </c>
      <c r="I323" s="44">
        <f t="shared" si="97"/>
        <v>2.9691486893992113E-2</v>
      </c>
      <c r="J323" s="43">
        <f t="shared" si="98"/>
        <v>0</v>
      </c>
      <c r="K323" s="44" cm="1">
        <f t="array" ref="K323">IF(D323="Gadget",_xlfn.IFS(I323&gt;=0.2,0.5,I323&gt;=0.1,0.35,I323&gt;=0.05,0.2,TRUE,0),IF(D323="Grenade",_xlfn.IFS(I323&gt;=0.2,1,I323&gt;=0.1,0.7,I323&gt;=0.05,0.4,TRUE,0),0))</f>
        <v>0</v>
      </c>
      <c r="L323" s="57">
        <f t="shared" si="106"/>
        <v>0</v>
      </c>
    </row>
    <row r="324" spans="1:12" ht="15" customHeight="1" x14ac:dyDescent="0.25">
      <c r="A324" s="42" t="str" cm="1">
        <f t="array" ref="A324">IFERROR(INDEX(_xlfn._xlws.FILTER(Class_Players!A:A,Class_Players!B:B="Recon"),QUOTIENT(ROW()-ROW($A$2),8)+1),"")</f>
        <v>PapaSmurf_549</v>
      </c>
      <c r="B324" s="42" t="str">
        <f>_xlfn.XLOOKUP(A324,Class_Players!$A:$A,Class_Players!$B:$B,"")</f>
        <v>Recon</v>
      </c>
      <c r="C324" s="38" t="str" cm="1">
        <f t="array" ref="C324">INDEX(Lookups!$C$2:$C$9,MOD(ROW()-ROW($B$2),ROWS(Lookups!$C$2:$C$9))+1)</f>
        <v>Tracer Dart</v>
      </c>
      <c r="D324" s="38" t="str">
        <f>_xlfn.XLOOKUP(C324,Analysis_Gadgets!$C:$C,Analysis_Gadgets!$B:$B)</f>
        <v>Gadget</v>
      </c>
      <c r="E324" s="43">
        <v>37</v>
      </c>
      <c r="F324" s="43">
        <f>_xlfn.XLOOKUP(A324,Class_Players!A:A,Class_Players!G:G)</f>
        <v>151</v>
      </c>
      <c r="G324" s="43">
        <f t="shared" si="96"/>
        <v>0.24503311258278146</v>
      </c>
      <c r="H324" s="43">
        <f>_xlfn.XLOOKUP(A324,Class_Players!$A:$A,Class_Players!$F:$F,"")</f>
        <v>8622</v>
      </c>
      <c r="I324" s="44">
        <f t="shared" si="97"/>
        <v>4.2913477151472973E-3</v>
      </c>
      <c r="J324" s="43">
        <f t="shared" si="98"/>
        <v>0</v>
      </c>
      <c r="K324" s="44" cm="1">
        <f t="array" ref="K324">IF(D324="Gadget",_xlfn.IFS(I324&gt;=0.2,0.5,I324&gt;=0.1,0.35,I324&gt;=0.05,0.2,TRUE,0),IF(D324="Grenade",_xlfn.IFS(I324&gt;=0.2,1,I324&gt;=0.1,0.7,I324&gt;=0.05,0.4,TRUE,0),0))</f>
        <v>0</v>
      </c>
      <c r="L324" s="57">
        <f t="shared" si="106"/>
        <v>0</v>
      </c>
    </row>
    <row r="325" spans="1:12" ht="15" customHeight="1" x14ac:dyDescent="0.25">
      <c r="A325" s="42" t="str" cm="1">
        <f t="array" ref="A325">IFERROR(INDEX(_xlfn._xlws.FILTER(Class_Players!A:A,Class_Players!B:B="Recon"),QUOTIENT(ROW()-ROW($A$2),8)+1),"")</f>
        <v>PapaSmurf_549</v>
      </c>
      <c r="B325" s="42" t="str">
        <f>_xlfn.XLOOKUP(A325,Class_Players!$A:$A,Class_Players!$B:$B,"")</f>
        <v>Recon</v>
      </c>
      <c r="C325" s="38" t="str" cm="1">
        <f t="array" ref="C325">INDEX(Lookups!$C$2:$C$9,MOD(ROW()-ROW($B$2),ROWS(Lookups!$C$2:$C$9))+1)</f>
        <v>M18A1 (Claymore)</v>
      </c>
      <c r="D325" s="38" t="str">
        <f>_xlfn.XLOOKUP(C325,Analysis_Gadgets!$C:$C,Analysis_Gadgets!$B:$B)</f>
        <v>Gadget</v>
      </c>
      <c r="E325" s="43">
        <v>363</v>
      </c>
      <c r="F325" s="43">
        <f>_xlfn.XLOOKUP(A325,Class_Players!A:A,Class_Players!G:G)</f>
        <v>151</v>
      </c>
      <c r="G325" s="43">
        <f t="shared" si="96"/>
        <v>2.4039735099337749</v>
      </c>
      <c r="H325" s="43">
        <f>_xlfn.XLOOKUP(A325,Class_Players!$A:$A,Class_Players!$F:$F,"")</f>
        <v>8622</v>
      </c>
      <c r="I325" s="44">
        <f t="shared" si="97"/>
        <v>4.2101600556715378E-2</v>
      </c>
      <c r="J325" s="43">
        <f t="shared" si="98"/>
        <v>0</v>
      </c>
      <c r="K325" s="44" cm="1">
        <f t="array" ref="K325">IF(D325="Gadget",_xlfn.IFS(I325&gt;=0.2,0.5,I325&gt;=0.1,0.35,I325&gt;=0.05,0.2,TRUE,0),IF(D325="Grenade",_xlfn.IFS(I325&gt;=0.2,1,I325&gt;=0.1,0.7,I325&gt;=0.05,0.4,TRUE,0),0))</f>
        <v>0</v>
      </c>
      <c r="L325" s="57">
        <f t="shared" si="106"/>
        <v>0</v>
      </c>
    </row>
    <row r="326" spans="1:12" ht="15" customHeight="1" x14ac:dyDescent="0.25">
      <c r="A326" s="42" t="str" cm="1">
        <f t="array" ref="A326">IFERROR(INDEX(_xlfn._xlws.FILTER(Class_Players!A:A,Class_Players!B:B="Recon"),QUOTIENT(ROW()-ROW($A$2),8)+1),"")</f>
        <v>PapaSmurf_549</v>
      </c>
      <c r="B326" s="42" t="str">
        <f>_xlfn.XLOOKUP(A326,Class_Players!$A:$A,Class_Players!$B:$B,"")</f>
        <v>Recon</v>
      </c>
      <c r="C326" s="38" t="str" cm="1">
        <f t="array" ref="C326">INDEX(Lookups!$C$2:$C$9,MOD(ROW()-ROW($B$2),ROWS(Lookups!$C$2:$C$9))+1)</f>
        <v>Sniper Decoy</v>
      </c>
      <c r="D326" s="38" t="str">
        <f>_xlfn.XLOOKUP(C326,Analysis_Gadgets!$C:$C,Analysis_Gadgets!$B:$B)</f>
        <v>Gadget</v>
      </c>
      <c r="E326" s="43">
        <v>36</v>
      </c>
      <c r="F326" s="43">
        <f>_xlfn.XLOOKUP(A326,Class_Players!A:A,Class_Players!G:G)</f>
        <v>151</v>
      </c>
      <c r="G326" s="43">
        <f t="shared" si="96"/>
        <v>0.23841059602649006</v>
      </c>
      <c r="H326" s="43">
        <f>_xlfn.XLOOKUP(A326,Class_Players!$A:$A,Class_Players!$F:$F,"")</f>
        <v>8622</v>
      </c>
      <c r="I326" s="44">
        <f t="shared" si="97"/>
        <v>4.1753653444676405E-3</v>
      </c>
      <c r="J326" s="43">
        <f t="shared" si="98"/>
        <v>0</v>
      </c>
      <c r="K326" s="44" cm="1">
        <f t="array" ref="K326">IF(D326="Gadget",_xlfn.IFS(I326&gt;=0.2,0.5,I326&gt;=0.1,0.35,I326&gt;=0.05,0.2,TRUE,0),IF(D326="Grenade",_xlfn.IFS(I326&gt;=0.2,1,I326&gt;=0.1,0.7,I326&gt;=0.05,0.4,TRUE,0),0))</f>
        <v>0</v>
      </c>
      <c r="L326" s="57">
        <f t="shared" si="106"/>
        <v>0</v>
      </c>
    </row>
    <row r="327" spans="1:12" ht="15" customHeight="1" x14ac:dyDescent="0.25">
      <c r="A327" s="42" t="str" cm="1">
        <f t="array" ref="A327">IFERROR(INDEX(_xlfn._xlws.FILTER(Class_Players!A:A,Class_Players!B:B="Recon"),QUOTIENT(ROW()-ROW($A$2),8)+1),"")</f>
        <v>PapaSmurf_549</v>
      </c>
      <c r="B327" s="42" t="str">
        <f>_xlfn.XLOOKUP(A327,Class_Players!$A:$A,Class_Players!$B:$B,"")</f>
        <v>Recon</v>
      </c>
      <c r="C327" s="38" t="str" cm="1">
        <f t="array" ref="C327">INDEX(Lookups!$C$2:$C$9,MOD(ROW()-ROW($B$2),ROWS(Lookups!$C$2:$C$9))+1)</f>
        <v>C-4 Explosives</v>
      </c>
      <c r="D327" s="38" t="str">
        <f>_xlfn.XLOOKUP(C327,Analysis_Gadgets!$C:$C,Analysis_Gadgets!$B:$B)</f>
        <v>Gadget</v>
      </c>
      <c r="E327" s="43">
        <v>2088</v>
      </c>
      <c r="F327" s="43">
        <f>_xlfn.XLOOKUP(A327,Class_Players!A:A,Class_Players!G:G)</f>
        <v>151</v>
      </c>
      <c r="G327" s="43">
        <f t="shared" si="96"/>
        <v>13.827814569536423</v>
      </c>
      <c r="H327" s="43">
        <f>_xlfn.XLOOKUP(A327,Class_Players!$A:$A,Class_Players!$F:$F,"")</f>
        <v>8622</v>
      </c>
      <c r="I327" s="44">
        <f t="shared" si="97"/>
        <v>0.24217118997912318</v>
      </c>
      <c r="J327" s="43">
        <f t="shared" si="98"/>
        <v>1</v>
      </c>
      <c r="K327" s="44" cm="1">
        <f t="array" ref="K327">IF(D327="Gadget",_xlfn.IFS(I327&gt;=0.2,0.5,I327&gt;=0.1,0.35,I327&gt;=0.05,0.2,TRUE,0),IF(D327="Grenade",_xlfn.IFS(I327&gt;=0.2,1,I327&gt;=0.1,0.7,I327&gt;=0.05,0.4,TRUE,0),0))</f>
        <v>0.5</v>
      </c>
      <c r="L327" s="57">
        <f t="shared" si="106"/>
        <v>1</v>
      </c>
    </row>
    <row r="328" spans="1:12" ht="15" customHeight="1" x14ac:dyDescent="0.25">
      <c r="A328" s="42" t="str" cm="1">
        <f t="array" ref="A328">IFERROR(INDEX(_xlfn._xlws.FILTER(Class_Players!A:A,Class_Players!B:B="Recon"),QUOTIENT(ROW()-ROW($A$2),8)+1),"")</f>
        <v>PapaSmurf_549</v>
      </c>
      <c r="B328" s="42" t="str">
        <f>_xlfn.XLOOKUP(A328,Class_Players!$A:$A,Class_Players!$B:$B,"")</f>
        <v>Recon</v>
      </c>
      <c r="C328" s="38" t="str" cm="1">
        <f t="array" ref="C328">INDEX(Lookups!$C$2:$C$9,MOD(ROW()-ROW($B$2),ROWS(Lookups!$C$2:$C$9))+1)</f>
        <v>Proximity Detector</v>
      </c>
      <c r="D328" s="38" t="str">
        <f>_xlfn.XLOOKUP(C328,Analysis_Gadgets!$C:$C,Analysis_Gadgets!$B:$B)</f>
        <v>Grenade</v>
      </c>
      <c r="E328" s="43">
        <v>589</v>
      </c>
      <c r="F328" s="43">
        <f>_xlfn.XLOOKUP(A328,Class_Players!A:A,Class_Players!G:G)</f>
        <v>151</v>
      </c>
      <c r="G328" s="43">
        <f t="shared" si="96"/>
        <v>3.9006622516556293</v>
      </c>
      <c r="H328" s="43">
        <f>_xlfn.XLOOKUP(A328,Class_Players!$A:$A,Class_Players!$F:$F,"")</f>
        <v>8622</v>
      </c>
      <c r="I328" s="44">
        <f t="shared" si="97"/>
        <v>6.8313616330317795E-2</v>
      </c>
      <c r="J328" s="43">
        <f t="shared" si="98"/>
        <v>0</v>
      </c>
      <c r="K328" s="44" cm="1">
        <f t="array" ref="K328">IF(D328="Gadget",_xlfn.IFS(I328&gt;=0.2,0.5,I328&gt;=0.1,0.35,I328&gt;=0.05,0.2,TRUE,0),IF(D328="Grenade",_xlfn.IFS(I328&gt;=0.2,1,I328&gt;=0.1,0.7,I328&gt;=0.05,0.4,TRUE,0),0))</f>
        <v>0.4</v>
      </c>
      <c r="L328" s="57">
        <f t="shared" ref="L328:L329" si="107">IF($K328=0,0,$K328 / SUMIFS($K:$K,$A:$A,$A328,$D:$D,"Grenade"))</f>
        <v>1</v>
      </c>
    </row>
    <row r="329" spans="1:12" ht="15" customHeight="1" x14ac:dyDescent="0.25">
      <c r="A329" s="42" t="str" cm="1">
        <f t="array" ref="A329">IFERROR(INDEX(_xlfn._xlws.FILTER(Class_Players!A:A,Class_Players!B:B="Recon"),QUOTIENT(ROW()-ROW($A$2),8)+1),"")</f>
        <v>PapaSmurf_549</v>
      </c>
      <c r="B329" s="42" t="str">
        <f>_xlfn.XLOOKUP(A329,Class_Players!$A:$A,Class_Players!$B:$B,"")</f>
        <v>Recon</v>
      </c>
      <c r="C329" s="38" t="str" cm="1">
        <f t="array" ref="C329">INDEX(Lookups!$C$2:$C$9,MOD(ROW()-ROW($B$2),ROWS(Lookups!$C$2:$C$9))+1)</f>
        <v>Throwing Knife</v>
      </c>
      <c r="D329" s="38" t="str">
        <f>_xlfn.XLOOKUP(C329,Analysis_Gadgets!$C:$C,Analysis_Gadgets!$B:$B)</f>
        <v>Grenade</v>
      </c>
      <c r="E329" s="43">
        <v>0</v>
      </c>
      <c r="F329" s="43">
        <f>_xlfn.XLOOKUP(A329,Class_Players!A:A,Class_Players!G:G)</f>
        <v>151</v>
      </c>
      <c r="G329" s="43">
        <f t="shared" si="96"/>
        <v>0</v>
      </c>
      <c r="H329" s="43">
        <f>_xlfn.XLOOKUP(A329,Class_Players!$A:$A,Class_Players!$F:$F,"")</f>
        <v>8622</v>
      </c>
      <c r="I329" s="44">
        <f t="shared" si="97"/>
        <v>0</v>
      </c>
      <c r="J329" s="43">
        <f t="shared" si="98"/>
        <v>0</v>
      </c>
      <c r="K329" s="44" cm="1">
        <f t="array" ref="K329">IF(D329="Gadget",_xlfn.IFS(I329&gt;=0.2,0.5,I329&gt;=0.1,0.35,I329&gt;=0.05,0.2,TRUE,0),IF(D329="Grenade",_xlfn.IFS(I329&gt;=0.2,1,I329&gt;=0.1,0.7,I329&gt;=0.05,0.4,TRUE,0),0))</f>
        <v>0</v>
      </c>
      <c r="L329" s="57">
        <f t="shared" si="107"/>
        <v>0</v>
      </c>
    </row>
    <row r="330" spans="1:12" ht="15" customHeight="1" x14ac:dyDescent="0.25">
      <c r="A330" s="42" t="str" cm="1">
        <f t="array" ref="A330">IFERROR(INDEX(_xlfn._xlws.FILTER(Class_Players!A:A,Class_Players!B:B="Recon"),QUOTIENT(ROW()-ROW($A$2),8)+1),"")</f>
        <v>JAYGGUERNAUT</v>
      </c>
      <c r="B330" s="42" t="str">
        <f>_xlfn.XLOOKUP(A330,Class_Players!$A:$A,Class_Players!$B:$B,"")</f>
        <v>Recon</v>
      </c>
      <c r="C330" s="38" t="str" cm="1">
        <f t="array" ref="C330">INDEX(Lookups!$C$2:$C$9,MOD(ROW()-ROW($B$2),ROWS(Lookups!$C$2:$C$9))+1)</f>
        <v>Laser Designator</v>
      </c>
      <c r="D330" s="38" t="str">
        <f>_xlfn.XLOOKUP(C330,Analysis_Gadgets!$C:$C,Analysis_Gadgets!$B:$B)</f>
        <v>Gadget</v>
      </c>
      <c r="E330" s="43">
        <v>37</v>
      </c>
      <c r="F330" s="43">
        <f>_xlfn.XLOOKUP(A330,Class_Players!A:A,Class_Players!G:G)</f>
        <v>92</v>
      </c>
      <c r="G330" s="43">
        <f t="shared" si="96"/>
        <v>0.40217391304347827</v>
      </c>
      <c r="H330" s="43">
        <f>_xlfn.XLOOKUP(A330,Class_Players!$A:$A,Class_Players!$F:$F,"")</f>
        <v>7366</v>
      </c>
      <c r="I330" s="44">
        <f t="shared" si="97"/>
        <v>5.0230790116752647E-3</v>
      </c>
      <c r="J330" s="43">
        <f t="shared" si="98"/>
        <v>0</v>
      </c>
      <c r="K330" s="44" cm="1">
        <f t="array" ref="K330">IF(D330="Gadget",_xlfn.IFS(I330&gt;=0.2,0.5,I330&gt;=0.1,0.35,I330&gt;=0.05,0.2,TRUE,0),IF(D330="Grenade",_xlfn.IFS(I330&gt;=0.2,1,I330&gt;=0.1,0.7,I330&gt;=0.05,0.4,TRUE,0),0))</f>
        <v>0</v>
      </c>
      <c r="L330" s="57">
        <f t="shared" ref="L330:L335" si="108">IF($K330=0,0,$K330 / SUMIFS($K:$K,$A:$A,$A330,$D:$D,"Gadget"))</f>
        <v>0</v>
      </c>
    </row>
    <row r="331" spans="1:12" ht="15" customHeight="1" x14ac:dyDescent="0.25">
      <c r="A331" s="42" t="str" cm="1">
        <f t="array" ref="A331">IFERROR(INDEX(_xlfn._xlws.FILTER(Class_Players!A:A,Class_Players!B:B="Recon"),QUOTIENT(ROW()-ROW($A$2),8)+1),"")</f>
        <v>JAYGGUERNAUT</v>
      </c>
      <c r="B331" s="42" t="str">
        <f>_xlfn.XLOOKUP(A331,Class_Players!$A:$A,Class_Players!$B:$B,"")</f>
        <v>Recon</v>
      </c>
      <c r="C331" s="38" t="str" cm="1">
        <f t="array" ref="C331">INDEX(Lookups!$C$2:$C$9,MOD(ROW()-ROW($B$2),ROWS(Lookups!$C$2:$C$9))+1)</f>
        <v>Recon Drone</v>
      </c>
      <c r="D331" s="38" t="str">
        <f>_xlfn.XLOOKUP(C331,Analysis_Gadgets!$C:$C,Analysis_Gadgets!$B:$B)</f>
        <v>Gadget</v>
      </c>
      <c r="E331" s="43">
        <v>401</v>
      </c>
      <c r="F331" s="43">
        <f>_xlfn.XLOOKUP(A331,Class_Players!A:A,Class_Players!G:G)</f>
        <v>92</v>
      </c>
      <c r="G331" s="43">
        <f t="shared" si="96"/>
        <v>4.3586956521739131</v>
      </c>
      <c r="H331" s="43">
        <f>_xlfn.XLOOKUP(A331,Class_Players!$A:$A,Class_Players!$F:$F,"")</f>
        <v>7366</v>
      </c>
      <c r="I331" s="44">
        <f t="shared" si="97"/>
        <v>5.4439315775183274E-2</v>
      </c>
      <c r="J331" s="43">
        <f t="shared" si="98"/>
        <v>0</v>
      </c>
      <c r="K331" s="44" cm="1">
        <f t="array" ref="K331">IF(D331="Gadget",_xlfn.IFS(I331&gt;=0.2,0.5,I331&gt;=0.1,0.35,I331&gt;=0.05,0.2,TRUE,0),IF(D331="Grenade",_xlfn.IFS(I331&gt;=0.2,1,I331&gt;=0.1,0.7,I331&gt;=0.05,0.4,TRUE,0),0))</f>
        <v>0.2</v>
      </c>
      <c r="L331" s="57">
        <f t="shared" si="108"/>
        <v>0.2105263157894737</v>
      </c>
    </row>
    <row r="332" spans="1:12" ht="15" customHeight="1" x14ac:dyDescent="0.25">
      <c r="A332" s="42" t="str" cm="1">
        <f t="array" ref="A332">IFERROR(INDEX(_xlfn._xlws.FILTER(Class_Players!A:A,Class_Players!B:B="Recon"),QUOTIENT(ROW()-ROW($A$2),8)+1),"")</f>
        <v>JAYGGUERNAUT</v>
      </c>
      <c r="B332" s="42" t="str">
        <f>_xlfn.XLOOKUP(A332,Class_Players!$A:$A,Class_Players!$B:$B,"")</f>
        <v>Recon</v>
      </c>
      <c r="C332" s="38" t="str" cm="1">
        <f t="array" ref="C332">INDEX(Lookups!$C$2:$C$9,MOD(ROW()-ROW($B$2),ROWS(Lookups!$C$2:$C$9))+1)</f>
        <v>Tracer Dart</v>
      </c>
      <c r="D332" s="38" t="str">
        <f>_xlfn.XLOOKUP(C332,Analysis_Gadgets!$C:$C,Analysis_Gadgets!$B:$B)</f>
        <v>Gadget</v>
      </c>
      <c r="E332" s="43">
        <v>0</v>
      </c>
      <c r="F332" s="43">
        <f>_xlfn.XLOOKUP(A332,Class_Players!A:A,Class_Players!G:G)</f>
        <v>92</v>
      </c>
      <c r="G332" s="43">
        <f t="shared" si="96"/>
        <v>0</v>
      </c>
      <c r="H332" s="43">
        <f>_xlfn.XLOOKUP(A332,Class_Players!$A:$A,Class_Players!$F:$F,"")</f>
        <v>7366</v>
      </c>
      <c r="I332" s="44">
        <f t="shared" si="97"/>
        <v>0</v>
      </c>
      <c r="J332" s="43">
        <f t="shared" si="98"/>
        <v>0</v>
      </c>
      <c r="K332" s="44" cm="1">
        <f t="array" ref="K332">IF(D332="Gadget",_xlfn.IFS(I332&gt;=0.2,0.5,I332&gt;=0.1,0.35,I332&gt;=0.05,0.2,TRUE,0),IF(D332="Grenade",_xlfn.IFS(I332&gt;=0.2,1,I332&gt;=0.1,0.7,I332&gt;=0.05,0.4,TRUE,0),0))</f>
        <v>0</v>
      </c>
      <c r="L332" s="57">
        <f t="shared" si="108"/>
        <v>0</v>
      </c>
    </row>
    <row r="333" spans="1:12" ht="15" customHeight="1" x14ac:dyDescent="0.25">
      <c r="A333" s="42" t="str" cm="1">
        <f t="array" ref="A333">IFERROR(INDEX(_xlfn._xlws.FILTER(Class_Players!A:A,Class_Players!B:B="Recon"),QUOTIENT(ROW()-ROW($A$2),8)+1),"")</f>
        <v>JAYGGUERNAUT</v>
      </c>
      <c r="B333" s="42" t="str">
        <f>_xlfn.XLOOKUP(A333,Class_Players!$A:$A,Class_Players!$B:$B,"")</f>
        <v>Recon</v>
      </c>
      <c r="C333" s="38" t="str" cm="1">
        <f t="array" ref="C333">INDEX(Lookups!$C$2:$C$9,MOD(ROW()-ROW($B$2),ROWS(Lookups!$C$2:$C$9))+1)</f>
        <v>M18A1 (Claymore)</v>
      </c>
      <c r="D333" s="38" t="str">
        <f>_xlfn.XLOOKUP(C333,Analysis_Gadgets!$C:$C,Analysis_Gadgets!$B:$B)</f>
        <v>Gadget</v>
      </c>
      <c r="E333" s="43">
        <v>717</v>
      </c>
      <c r="F333" s="43">
        <f>_xlfn.XLOOKUP(A333,Class_Players!A:A,Class_Players!G:G)</f>
        <v>92</v>
      </c>
      <c r="G333" s="43">
        <f t="shared" si="96"/>
        <v>7.7934782608695654</v>
      </c>
      <c r="H333" s="43">
        <f>_xlfn.XLOOKUP(A333,Class_Players!$A:$A,Class_Players!$F:$F,"")</f>
        <v>7366</v>
      </c>
      <c r="I333" s="44">
        <f t="shared" si="97"/>
        <v>9.733912571273419E-2</v>
      </c>
      <c r="J333" s="43">
        <f t="shared" si="98"/>
        <v>0</v>
      </c>
      <c r="K333" s="44" cm="1">
        <f t="array" ref="K333">IF(D333="Gadget",_xlfn.IFS(I333&gt;=0.2,0.5,I333&gt;=0.1,0.35,I333&gt;=0.05,0.2,TRUE,0),IF(D333="Grenade",_xlfn.IFS(I333&gt;=0.2,1,I333&gt;=0.1,0.7,I333&gt;=0.05,0.4,TRUE,0),0))</f>
        <v>0.2</v>
      </c>
      <c r="L333" s="57">
        <f t="shared" si="108"/>
        <v>0.2105263157894737</v>
      </c>
    </row>
    <row r="334" spans="1:12" ht="15" customHeight="1" x14ac:dyDescent="0.25">
      <c r="A334" s="42" t="str" cm="1">
        <f t="array" ref="A334">IFERROR(INDEX(_xlfn._xlws.FILTER(Class_Players!A:A,Class_Players!B:B="Recon"),QUOTIENT(ROW()-ROW($A$2),8)+1),"")</f>
        <v>JAYGGUERNAUT</v>
      </c>
      <c r="B334" s="42" t="str">
        <f>_xlfn.XLOOKUP(A334,Class_Players!$A:$A,Class_Players!$B:$B,"")</f>
        <v>Recon</v>
      </c>
      <c r="C334" s="38" t="str" cm="1">
        <f t="array" ref="C334">INDEX(Lookups!$C$2:$C$9,MOD(ROW()-ROW($B$2),ROWS(Lookups!$C$2:$C$9))+1)</f>
        <v>Sniper Decoy</v>
      </c>
      <c r="D334" s="38" t="str">
        <f>_xlfn.XLOOKUP(C334,Analysis_Gadgets!$C:$C,Analysis_Gadgets!$B:$B)</f>
        <v>Gadget</v>
      </c>
      <c r="E334" s="43">
        <v>818</v>
      </c>
      <c r="F334" s="43">
        <f>_xlfn.XLOOKUP(A334,Class_Players!A:A,Class_Players!G:G)</f>
        <v>92</v>
      </c>
      <c r="G334" s="43">
        <f t="shared" si="96"/>
        <v>8.8913043478260878</v>
      </c>
      <c r="H334" s="43">
        <f>_xlfn.XLOOKUP(A334,Class_Players!$A:$A,Class_Players!$F:$F,"")</f>
        <v>7366</v>
      </c>
      <c r="I334" s="44">
        <f t="shared" si="97"/>
        <v>0.11105077382568558</v>
      </c>
      <c r="J334" s="43">
        <f t="shared" si="98"/>
        <v>1</v>
      </c>
      <c r="K334" s="44" cm="1">
        <f t="array" ref="K334">IF(D334="Gadget",_xlfn.IFS(I334&gt;=0.2,0.5,I334&gt;=0.1,0.35,I334&gt;=0.05,0.2,TRUE,0),IF(D334="Grenade",_xlfn.IFS(I334&gt;=0.2,1,I334&gt;=0.1,0.7,I334&gt;=0.05,0.4,TRUE,0),0))</f>
        <v>0.35</v>
      </c>
      <c r="L334" s="57">
        <f t="shared" si="108"/>
        <v>0.36842105263157893</v>
      </c>
    </row>
    <row r="335" spans="1:12" ht="15" customHeight="1" x14ac:dyDescent="0.25">
      <c r="A335" s="42" t="str" cm="1">
        <f t="array" ref="A335">IFERROR(INDEX(_xlfn._xlws.FILTER(Class_Players!A:A,Class_Players!B:B="Recon"),QUOTIENT(ROW()-ROW($A$2),8)+1),"")</f>
        <v>JAYGGUERNAUT</v>
      </c>
      <c r="B335" s="42" t="str">
        <f>_xlfn.XLOOKUP(A335,Class_Players!$A:$A,Class_Players!$B:$B,"")</f>
        <v>Recon</v>
      </c>
      <c r="C335" s="38" t="str" cm="1">
        <f t="array" ref="C335">INDEX(Lookups!$C$2:$C$9,MOD(ROW()-ROW($B$2),ROWS(Lookups!$C$2:$C$9))+1)</f>
        <v>C-4 Explosives</v>
      </c>
      <c r="D335" s="38" t="str">
        <f>_xlfn.XLOOKUP(C335,Analysis_Gadgets!$C:$C,Analysis_Gadgets!$B:$B)</f>
        <v>Gadget</v>
      </c>
      <c r="E335" s="43">
        <v>497</v>
      </c>
      <c r="F335" s="43">
        <f>_xlfn.XLOOKUP(A335,Class_Players!A:A,Class_Players!G:G)</f>
        <v>92</v>
      </c>
      <c r="G335" s="43">
        <f t="shared" si="96"/>
        <v>5.4021739130434785</v>
      </c>
      <c r="H335" s="43">
        <f>_xlfn.XLOOKUP(A335,Class_Players!$A:$A,Class_Players!$F:$F,"")</f>
        <v>7366</v>
      </c>
      <c r="I335" s="44">
        <f t="shared" si="97"/>
        <v>6.7472169427097481E-2</v>
      </c>
      <c r="J335" s="43">
        <f t="shared" si="98"/>
        <v>0</v>
      </c>
      <c r="K335" s="44" cm="1">
        <f t="array" ref="K335">IF(D335="Gadget",_xlfn.IFS(I335&gt;=0.2,0.5,I335&gt;=0.1,0.35,I335&gt;=0.05,0.2,TRUE,0),IF(D335="Grenade",_xlfn.IFS(I335&gt;=0.2,1,I335&gt;=0.1,0.7,I335&gt;=0.05,0.4,TRUE,0),0))</f>
        <v>0.2</v>
      </c>
      <c r="L335" s="57">
        <f t="shared" si="108"/>
        <v>0.2105263157894737</v>
      </c>
    </row>
    <row r="336" spans="1:12" ht="15" customHeight="1" x14ac:dyDescent="0.25">
      <c r="A336" s="42" t="str" cm="1">
        <f t="array" ref="A336">IFERROR(INDEX(_xlfn._xlws.FILTER(Class_Players!A:A,Class_Players!B:B="Recon"),QUOTIENT(ROW()-ROW($A$2),8)+1),"")</f>
        <v>JAYGGUERNAUT</v>
      </c>
      <c r="B336" s="42" t="str">
        <f>_xlfn.XLOOKUP(A336,Class_Players!$A:$A,Class_Players!$B:$B,"")</f>
        <v>Recon</v>
      </c>
      <c r="C336" s="38" t="str" cm="1">
        <f t="array" ref="C336">INDEX(Lookups!$C$2:$C$9,MOD(ROW()-ROW($B$2),ROWS(Lookups!$C$2:$C$9))+1)</f>
        <v>Proximity Detector</v>
      </c>
      <c r="D336" s="38" t="str">
        <f>_xlfn.XLOOKUP(C336,Analysis_Gadgets!$C:$C,Analysis_Gadgets!$B:$B)</f>
        <v>Grenade</v>
      </c>
      <c r="E336" s="43">
        <v>127</v>
      </c>
      <c r="F336" s="43">
        <f>_xlfn.XLOOKUP(A336,Class_Players!A:A,Class_Players!G:G)</f>
        <v>92</v>
      </c>
      <c r="G336" s="43">
        <f t="shared" si="96"/>
        <v>1.3804347826086956</v>
      </c>
      <c r="H336" s="43">
        <f>_xlfn.XLOOKUP(A336,Class_Players!$A:$A,Class_Players!$F:$F,"")</f>
        <v>7366</v>
      </c>
      <c r="I336" s="44">
        <f t="shared" si="97"/>
        <v>1.7241379310344827E-2</v>
      </c>
      <c r="J336" s="43">
        <f t="shared" si="98"/>
        <v>0</v>
      </c>
      <c r="K336" s="44" cm="1">
        <f t="array" ref="K336">IF(D336="Gadget",_xlfn.IFS(I336&gt;=0.2,0.5,I336&gt;=0.1,0.35,I336&gt;=0.05,0.2,TRUE,0),IF(D336="Grenade",_xlfn.IFS(I336&gt;=0.2,1,I336&gt;=0.1,0.7,I336&gt;=0.05,0.4,TRUE,0),0))</f>
        <v>0</v>
      </c>
      <c r="L336" s="57">
        <f t="shared" ref="L336:L337" si="109">IF($K336=0,0,$K336 / SUMIFS($K:$K,$A:$A,$A336,$D:$D,"Grenade"))</f>
        <v>0</v>
      </c>
    </row>
    <row r="337" spans="1:12" ht="15" customHeight="1" x14ac:dyDescent="0.25">
      <c r="A337" s="42" t="str" cm="1">
        <f t="array" ref="A337">IFERROR(INDEX(_xlfn._xlws.FILTER(Class_Players!A:A,Class_Players!B:B="Recon"),QUOTIENT(ROW()-ROW($A$2),8)+1),"")</f>
        <v>JAYGGUERNAUT</v>
      </c>
      <c r="B337" s="42" t="str">
        <f>_xlfn.XLOOKUP(A337,Class_Players!$A:$A,Class_Players!$B:$B,"")</f>
        <v>Recon</v>
      </c>
      <c r="C337" s="38" t="str" cm="1">
        <f t="array" ref="C337">INDEX(Lookups!$C$2:$C$9,MOD(ROW()-ROW($B$2),ROWS(Lookups!$C$2:$C$9))+1)</f>
        <v>Throwing Knife</v>
      </c>
      <c r="D337" s="38" t="str">
        <f>_xlfn.XLOOKUP(C337,Analysis_Gadgets!$C:$C,Analysis_Gadgets!$B:$B)</f>
        <v>Grenade</v>
      </c>
      <c r="E337" s="43">
        <v>0</v>
      </c>
      <c r="F337" s="43">
        <f>_xlfn.XLOOKUP(A337,Class_Players!A:A,Class_Players!G:G)</f>
        <v>92</v>
      </c>
      <c r="G337" s="43">
        <f t="shared" si="96"/>
        <v>0</v>
      </c>
      <c r="H337" s="43">
        <f>_xlfn.XLOOKUP(A337,Class_Players!$A:$A,Class_Players!$F:$F,"")</f>
        <v>7366</v>
      </c>
      <c r="I337" s="44">
        <f t="shared" si="97"/>
        <v>0</v>
      </c>
      <c r="J337" s="43">
        <f t="shared" si="98"/>
        <v>0</v>
      </c>
      <c r="K337" s="44" cm="1">
        <f t="array" ref="K337">IF(D337="Gadget",_xlfn.IFS(I337&gt;=0.2,0.5,I337&gt;=0.1,0.35,I337&gt;=0.05,0.2,TRUE,0),IF(D337="Grenade",_xlfn.IFS(I337&gt;=0.2,1,I337&gt;=0.1,0.7,I337&gt;=0.05,0.4,TRUE,0),0))</f>
        <v>0</v>
      </c>
      <c r="L337" s="57">
        <f t="shared" si="109"/>
        <v>0</v>
      </c>
    </row>
    <row r="338" spans="1:12" ht="15" customHeight="1" x14ac:dyDescent="0.25">
      <c r="A338" s="42" t="str" cm="1">
        <f t="array" ref="A338">IFERROR(INDEX(_xlfn._xlws.FILTER(Class_Players!A:A,Class_Players!B:B="Recon"),QUOTIENT(ROW()-ROW($A$2),8)+1),"")</f>
        <v>Squeaky4all</v>
      </c>
      <c r="B338" s="42" t="str">
        <f>_xlfn.XLOOKUP(A338,Class_Players!$A:$A,Class_Players!$B:$B,"")</f>
        <v>Recon</v>
      </c>
      <c r="C338" s="38" t="str" cm="1">
        <f t="array" ref="C338">INDEX(Lookups!$C$2:$C$9,MOD(ROW()-ROW($B$2),ROWS(Lookups!$C$2:$C$9))+1)</f>
        <v>Laser Designator</v>
      </c>
      <c r="D338" s="38" t="str">
        <f>_xlfn.XLOOKUP(C338,Analysis_Gadgets!$C:$C,Analysis_Gadgets!$B:$B)</f>
        <v>Gadget</v>
      </c>
      <c r="E338" s="43">
        <v>126</v>
      </c>
      <c r="F338" s="43">
        <f>_xlfn.XLOOKUP(A338,Class_Players!A:A,Class_Players!G:G)</f>
        <v>131</v>
      </c>
      <c r="G338" s="43">
        <f t="shared" si="96"/>
        <v>0.96183206106870234</v>
      </c>
      <c r="H338" s="43">
        <f>_xlfn.XLOOKUP(A338,Class_Players!$A:$A,Class_Players!$F:$F,"")</f>
        <v>7924</v>
      </c>
      <c r="I338" s="44">
        <f t="shared" si="97"/>
        <v>1.5901060070671377E-2</v>
      </c>
      <c r="J338" s="43">
        <f t="shared" si="98"/>
        <v>0</v>
      </c>
      <c r="K338" s="44" cm="1">
        <f t="array" ref="K338">IF(D338="Gadget",_xlfn.IFS(I338&gt;=0.2,0.5,I338&gt;=0.1,0.35,I338&gt;=0.05,0.2,TRUE,0),IF(D338="Grenade",_xlfn.IFS(I338&gt;=0.2,1,I338&gt;=0.1,0.7,I338&gt;=0.05,0.4,TRUE,0),0))</f>
        <v>0</v>
      </c>
      <c r="L338" s="57">
        <f t="shared" ref="L338:L343" si="110">IF($K338=0,0,$K338 / SUMIFS($K:$K,$A:$A,$A338,$D:$D,"Gadget"))</f>
        <v>0</v>
      </c>
    </row>
    <row r="339" spans="1:12" ht="15" customHeight="1" x14ac:dyDescent="0.25">
      <c r="A339" s="42" t="str" cm="1">
        <f t="array" ref="A339">IFERROR(INDEX(_xlfn._xlws.FILTER(Class_Players!A:A,Class_Players!B:B="Recon"),QUOTIENT(ROW()-ROW($A$2),8)+1),"")</f>
        <v>Squeaky4all</v>
      </c>
      <c r="B339" s="42" t="str">
        <f>_xlfn.XLOOKUP(A339,Class_Players!$A:$A,Class_Players!$B:$B,"")</f>
        <v>Recon</v>
      </c>
      <c r="C339" s="38" t="str" cm="1">
        <f t="array" ref="C339">INDEX(Lookups!$C$2:$C$9,MOD(ROW()-ROW($B$2),ROWS(Lookups!$C$2:$C$9))+1)</f>
        <v>Recon Drone</v>
      </c>
      <c r="D339" s="38" t="str">
        <f>_xlfn.XLOOKUP(C339,Analysis_Gadgets!$C:$C,Analysis_Gadgets!$B:$B)</f>
        <v>Gadget</v>
      </c>
      <c r="E339" s="43">
        <v>120</v>
      </c>
      <c r="F339" s="43">
        <f>_xlfn.XLOOKUP(A339,Class_Players!A:A,Class_Players!G:G)</f>
        <v>131</v>
      </c>
      <c r="G339" s="43">
        <f t="shared" si="96"/>
        <v>0.91603053435114501</v>
      </c>
      <c r="H339" s="43">
        <f>_xlfn.XLOOKUP(A339,Class_Players!$A:$A,Class_Players!$F:$F,"")</f>
        <v>7924</v>
      </c>
      <c r="I339" s="44">
        <f t="shared" si="97"/>
        <v>1.5143866733972741E-2</v>
      </c>
      <c r="J339" s="43">
        <f t="shared" si="98"/>
        <v>0</v>
      </c>
      <c r="K339" s="44" cm="1">
        <f t="array" ref="K339">IF(D339="Gadget",_xlfn.IFS(I339&gt;=0.2,0.5,I339&gt;=0.1,0.35,I339&gt;=0.05,0.2,TRUE,0),IF(D339="Grenade",_xlfn.IFS(I339&gt;=0.2,1,I339&gt;=0.1,0.7,I339&gt;=0.05,0.4,TRUE,0),0))</f>
        <v>0</v>
      </c>
      <c r="L339" s="57">
        <f t="shared" si="110"/>
        <v>0</v>
      </c>
    </row>
    <row r="340" spans="1:12" ht="15" customHeight="1" x14ac:dyDescent="0.25">
      <c r="A340" s="42" t="str" cm="1">
        <f t="array" ref="A340">IFERROR(INDEX(_xlfn._xlws.FILTER(Class_Players!A:A,Class_Players!B:B="Recon"),QUOTIENT(ROW()-ROW($A$2),8)+1),"")</f>
        <v>Squeaky4all</v>
      </c>
      <c r="B340" s="42" t="str">
        <f>_xlfn.XLOOKUP(A340,Class_Players!$A:$A,Class_Players!$B:$B,"")</f>
        <v>Recon</v>
      </c>
      <c r="C340" s="38" t="str" cm="1">
        <f t="array" ref="C340">INDEX(Lookups!$C$2:$C$9,MOD(ROW()-ROW($B$2),ROWS(Lookups!$C$2:$C$9))+1)</f>
        <v>Tracer Dart</v>
      </c>
      <c r="D340" s="38" t="str">
        <f>_xlfn.XLOOKUP(C340,Analysis_Gadgets!$C:$C,Analysis_Gadgets!$B:$B)</f>
        <v>Gadget</v>
      </c>
      <c r="E340" s="43">
        <v>0</v>
      </c>
      <c r="F340" s="43">
        <f>_xlfn.XLOOKUP(A340,Class_Players!A:A,Class_Players!G:G)</f>
        <v>131</v>
      </c>
      <c r="G340" s="43">
        <f t="shared" si="96"/>
        <v>0</v>
      </c>
      <c r="H340" s="43">
        <f>_xlfn.XLOOKUP(A340,Class_Players!$A:$A,Class_Players!$F:$F,"")</f>
        <v>7924</v>
      </c>
      <c r="I340" s="44">
        <f t="shared" si="97"/>
        <v>0</v>
      </c>
      <c r="J340" s="43">
        <f t="shared" si="98"/>
        <v>0</v>
      </c>
      <c r="K340" s="44" cm="1">
        <f t="array" ref="K340">IF(D340="Gadget",_xlfn.IFS(I340&gt;=0.2,0.5,I340&gt;=0.1,0.35,I340&gt;=0.05,0.2,TRUE,0),IF(D340="Grenade",_xlfn.IFS(I340&gt;=0.2,1,I340&gt;=0.1,0.7,I340&gt;=0.05,0.4,TRUE,0),0))</f>
        <v>0</v>
      </c>
      <c r="L340" s="57">
        <f t="shared" si="110"/>
        <v>0</v>
      </c>
    </row>
    <row r="341" spans="1:12" ht="15" customHeight="1" x14ac:dyDescent="0.25">
      <c r="A341" s="42" t="str" cm="1">
        <f t="array" ref="A341">IFERROR(INDEX(_xlfn._xlws.FILTER(Class_Players!A:A,Class_Players!B:B="Recon"),QUOTIENT(ROW()-ROW($A$2),8)+1),"")</f>
        <v>Squeaky4all</v>
      </c>
      <c r="B341" s="42" t="str">
        <f>_xlfn.XLOOKUP(A341,Class_Players!$A:$A,Class_Players!$B:$B,"")</f>
        <v>Recon</v>
      </c>
      <c r="C341" s="38" t="str" cm="1">
        <f t="array" ref="C341">INDEX(Lookups!$C$2:$C$9,MOD(ROW()-ROW($B$2),ROWS(Lookups!$C$2:$C$9))+1)</f>
        <v>M18A1 (Claymore)</v>
      </c>
      <c r="D341" s="38" t="str">
        <f>_xlfn.XLOOKUP(C341,Analysis_Gadgets!$C:$C,Analysis_Gadgets!$B:$B)</f>
        <v>Gadget</v>
      </c>
      <c r="E341" s="43">
        <v>5183</v>
      </c>
      <c r="F341" s="43">
        <f>_xlfn.XLOOKUP(A341,Class_Players!A:A,Class_Players!G:G)</f>
        <v>131</v>
      </c>
      <c r="G341" s="43">
        <f t="shared" si="96"/>
        <v>39.564885496183209</v>
      </c>
      <c r="H341" s="43">
        <f>_xlfn.XLOOKUP(A341,Class_Players!$A:$A,Class_Players!$F:$F,"")</f>
        <v>7924</v>
      </c>
      <c r="I341" s="44">
        <f t="shared" si="97"/>
        <v>0.65408884401817269</v>
      </c>
      <c r="J341" s="43">
        <f t="shared" si="98"/>
        <v>1</v>
      </c>
      <c r="K341" s="44" cm="1">
        <f t="array" ref="K341">IF(D341="Gadget",_xlfn.IFS(I341&gt;=0.2,0.5,I341&gt;=0.1,0.35,I341&gt;=0.05,0.2,TRUE,0),IF(D341="Grenade",_xlfn.IFS(I341&gt;=0.2,1,I341&gt;=0.1,0.7,I341&gt;=0.05,0.4,TRUE,0),0))</f>
        <v>0.5</v>
      </c>
      <c r="L341" s="57">
        <f t="shared" si="110"/>
        <v>0.41666666666666669</v>
      </c>
    </row>
    <row r="342" spans="1:12" ht="15" customHeight="1" x14ac:dyDescent="0.25">
      <c r="A342" s="42" t="str" cm="1">
        <f t="array" ref="A342">IFERROR(INDEX(_xlfn._xlws.FILTER(Class_Players!A:A,Class_Players!B:B="Recon"),QUOTIENT(ROW()-ROW($A$2),8)+1),"")</f>
        <v>Squeaky4all</v>
      </c>
      <c r="B342" s="42" t="str">
        <f>_xlfn.XLOOKUP(A342,Class_Players!$A:$A,Class_Players!$B:$B,"")</f>
        <v>Recon</v>
      </c>
      <c r="C342" s="38" t="str" cm="1">
        <f t="array" ref="C342">INDEX(Lookups!$C$2:$C$9,MOD(ROW()-ROW($B$2),ROWS(Lookups!$C$2:$C$9))+1)</f>
        <v>Sniper Decoy</v>
      </c>
      <c r="D342" s="38" t="str">
        <f>_xlfn.XLOOKUP(C342,Analysis_Gadgets!$C:$C,Analysis_Gadgets!$B:$B)</f>
        <v>Gadget</v>
      </c>
      <c r="E342" s="43">
        <v>5395</v>
      </c>
      <c r="F342" s="43">
        <f>_xlfn.XLOOKUP(A342,Class_Players!A:A,Class_Players!G:G)</f>
        <v>131</v>
      </c>
      <c r="G342" s="43">
        <f t="shared" si="96"/>
        <v>41.18320610687023</v>
      </c>
      <c r="H342" s="43">
        <f>_xlfn.XLOOKUP(A342,Class_Players!$A:$A,Class_Players!$F:$F,"")</f>
        <v>7924</v>
      </c>
      <c r="I342" s="44">
        <f t="shared" si="97"/>
        <v>0.68084300858152447</v>
      </c>
      <c r="J342" s="43">
        <f t="shared" si="98"/>
        <v>1</v>
      </c>
      <c r="K342" s="44" cm="1">
        <f t="array" ref="K342">IF(D342="Gadget",_xlfn.IFS(I342&gt;=0.2,0.5,I342&gt;=0.1,0.35,I342&gt;=0.05,0.2,TRUE,0),IF(D342="Grenade",_xlfn.IFS(I342&gt;=0.2,1,I342&gt;=0.1,0.7,I342&gt;=0.05,0.4,TRUE,0),0))</f>
        <v>0.5</v>
      </c>
      <c r="L342" s="57">
        <f t="shared" si="110"/>
        <v>0.41666666666666669</v>
      </c>
    </row>
    <row r="343" spans="1:12" ht="15" customHeight="1" x14ac:dyDescent="0.25">
      <c r="A343" s="42" t="str" cm="1">
        <f t="array" ref="A343">IFERROR(INDEX(_xlfn._xlws.FILTER(Class_Players!A:A,Class_Players!B:B="Recon"),QUOTIENT(ROW()-ROW($A$2),8)+1),"")</f>
        <v>Squeaky4all</v>
      </c>
      <c r="B343" s="42" t="str">
        <f>_xlfn.XLOOKUP(A343,Class_Players!$A:$A,Class_Players!$B:$B,"")</f>
        <v>Recon</v>
      </c>
      <c r="C343" s="38" t="str" cm="1">
        <f t="array" ref="C343">INDEX(Lookups!$C$2:$C$9,MOD(ROW()-ROW($B$2),ROWS(Lookups!$C$2:$C$9))+1)</f>
        <v>C-4 Explosives</v>
      </c>
      <c r="D343" s="38" t="str">
        <f>_xlfn.XLOOKUP(C343,Analysis_Gadgets!$C:$C,Analysis_Gadgets!$B:$B)</f>
        <v>Gadget</v>
      </c>
      <c r="E343" s="43">
        <v>401</v>
      </c>
      <c r="F343" s="43">
        <f>_xlfn.XLOOKUP(A343,Class_Players!A:A,Class_Players!G:G)</f>
        <v>131</v>
      </c>
      <c r="G343" s="43">
        <f t="shared" si="96"/>
        <v>3.0610687022900764</v>
      </c>
      <c r="H343" s="43">
        <f>_xlfn.XLOOKUP(A343,Class_Players!$A:$A,Class_Players!$F:$F,"")</f>
        <v>7924</v>
      </c>
      <c r="I343" s="44">
        <f t="shared" si="97"/>
        <v>5.0605754669358911E-2</v>
      </c>
      <c r="J343" s="43">
        <f t="shared" si="98"/>
        <v>0</v>
      </c>
      <c r="K343" s="44" cm="1">
        <f t="array" ref="K343">IF(D343="Gadget",_xlfn.IFS(I343&gt;=0.2,0.5,I343&gt;=0.1,0.35,I343&gt;=0.05,0.2,TRUE,0),IF(D343="Grenade",_xlfn.IFS(I343&gt;=0.2,1,I343&gt;=0.1,0.7,I343&gt;=0.05,0.4,TRUE,0),0))</f>
        <v>0.2</v>
      </c>
      <c r="L343" s="57">
        <f t="shared" si="110"/>
        <v>0.16666666666666669</v>
      </c>
    </row>
    <row r="344" spans="1:12" ht="15" customHeight="1" x14ac:dyDescent="0.25">
      <c r="A344" s="42" t="str" cm="1">
        <f t="array" ref="A344">IFERROR(INDEX(_xlfn._xlws.FILTER(Class_Players!A:A,Class_Players!B:B="Recon"),QUOTIENT(ROW()-ROW($A$2),8)+1),"")</f>
        <v>Squeaky4all</v>
      </c>
      <c r="B344" s="42" t="str">
        <f>_xlfn.XLOOKUP(A344,Class_Players!$A:$A,Class_Players!$B:$B,"")</f>
        <v>Recon</v>
      </c>
      <c r="C344" s="38" t="str" cm="1">
        <f t="array" ref="C344">INDEX(Lookups!$C$2:$C$9,MOD(ROW()-ROW($B$2),ROWS(Lookups!$C$2:$C$9))+1)</f>
        <v>Proximity Detector</v>
      </c>
      <c r="D344" s="38" t="str">
        <f>_xlfn.XLOOKUP(C344,Analysis_Gadgets!$C:$C,Analysis_Gadgets!$B:$B)</f>
        <v>Grenade</v>
      </c>
      <c r="E344" s="43">
        <v>19</v>
      </c>
      <c r="F344" s="43">
        <f>_xlfn.XLOOKUP(A344,Class_Players!A:A,Class_Players!G:G)</f>
        <v>131</v>
      </c>
      <c r="G344" s="43">
        <f t="shared" si="96"/>
        <v>0.14503816793893129</v>
      </c>
      <c r="H344" s="43">
        <f>_xlfn.XLOOKUP(A344,Class_Players!$A:$A,Class_Players!$F:$F,"")</f>
        <v>7924</v>
      </c>
      <c r="I344" s="44">
        <f t="shared" si="97"/>
        <v>2.3977788995456842E-3</v>
      </c>
      <c r="J344" s="43">
        <f t="shared" si="98"/>
        <v>0</v>
      </c>
      <c r="K344" s="44" cm="1">
        <f t="array" ref="K344">IF(D344="Gadget",_xlfn.IFS(I344&gt;=0.2,0.5,I344&gt;=0.1,0.35,I344&gt;=0.05,0.2,TRUE,0),IF(D344="Grenade",_xlfn.IFS(I344&gt;=0.2,1,I344&gt;=0.1,0.7,I344&gt;=0.05,0.4,TRUE,0),0))</f>
        <v>0</v>
      </c>
      <c r="L344" s="57">
        <f t="shared" ref="L344:L345" si="111">IF($K344=0,0,$K344 / SUMIFS($K:$K,$A:$A,$A344,$D:$D,"Grenade"))</f>
        <v>0</v>
      </c>
    </row>
    <row r="345" spans="1:12" ht="15" customHeight="1" x14ac:dyDescent="0.25">
      <c r="A345" s="42" t="str" cm="1">
        <f t="array" ref="A345">IFERROR(INDEX(_xlfn._xlws.FILTER(Class_Players!A:A,Class_Players!B:B="Recon"),QUOTIENT(ROW()-ROW($A$2),8)+1),"")</f>
        <v>Squeaky4all</v>
      </c>
      <c r="B345" s="42" t="str">
        <f>_xlfn.XLOOKUP(A345,Class_Players!$A:$A,Class_Players!$B:$B,"")</f>
        <v>Recon</v>
      </c>
      <c r="C345" s="38" t="str" cm="1">
        <f t="array" ref="C345">INDEX(Lookups!$C$2:$C$9,MOD(ROW()-ROW($B$2),ROWS(Lookups!$C$2:$C$9))+1)</f>
        <v>Throwing Knife</v>
      </c>
      <c r="D345" s="38" t="str">
        <f>_xlfn.XLOOKUP(C345,Analysis_Gadgets!$C:$C,Analysis_Gadgets!$B:$B)</f>
        <v>Grenade</v>
      </c>
      <c r="E345" s="43">
        <v>0</v>
      </c>
      <c r="F345" s="43">
        <f>_xlfn.XLOOKUP(A345,Class_Players!A:A,Class_Players!G:G)</f>
        <v>131</v>
      </c>
      <c r="G345" s="43">
        <f t="shared" si="96"/>
        <v>0</v>
      </c>
      <c r="H345" s="43">
        <f>_xlfn.XLOOKUP(A345,Class_Players!$A:$A,Class_Players!$F:$F,"")</f>
        <v>7924</v>
      </c>
      <c r="I345" s="44">
        <f t="shared" si="97"/>
        <v>0</v>
      </c>
      <c r="J345" s="43">
        <f t="shared" si="98"/>
        <v>0</v>
      </c>
      <c r="K345" s="44" cm="1">
        <f t="array" ref="K345">IF(D345="Gadget",_xlfn.IFS(I345&gt;=0.2,0.5,I345&gt;=0.1,0.35,I345&gt;=0.05,0.2,TRUE,0),IF(D345="Grenade",_xlfn.IFS(I345&gt;=0.2,1,I345&gt;=0.1,0.7,I345&gt;=0.05,0.4,TRUE,0),0))</f>
        <v>0</v>
      </c>
      <c r="L345" s="57">
        <f t="shared" si="111"/>
        <v>0</v>
      </c>
    </row>
    <row r="346" spans="1:12" ht="15" customHeight="1" x14ac:dyDescent="0.25">
      <c r="A346" s="42" t="str" cm="1">
        <f t="array" ref="A346">IFERROR(INDEX(_xlfn._xlws.FILTER(Class_Players!A:A,Class_Players!B:B="Recon"),QUOTIENT(ROW()-ROW($A$2),8)+1),"")</f>
        <v>Xeo_TV | YT</v>
      </c>
      <c r="B346" s="42" t="str">
        <f>_xlfn.XLOOKUP(A346,Class_Players!$A:$A,Class_Players!$B:$B,"")</f>
        <v>Recon</v>
      </c>
      <c r="C346" s="38" t="str" cm="1">
        <f t="array" ref="C346">INDEX(Lookups!$C$2:$C$9,MOD(ROW()-ROW($B$2),ROWS(Lookups!$C$2:$C$9))+1)</f>
        <v>Laser Designator</v>
      </c>
      <c r="D346" s="38" t="str">
        <f>_xlfn.XLOOKUP(C346,Analysis_Gadgets!$C:$C,Analysis_Gadgets!$B:$B)</f>
        <v>Gadget</v>
      </c>
      <c r="E346" s="43">
        <v>135</v>
      </c>
      <c r="F346" s="43">
        <f>_xlfn.XLOOKUP(A346,Class_Players!A:A,Class_Players!G:G)</f>
        <v>140</v>
      </c>
      <c r="G346" s="43">
        <f t="shared" si="96"/>
        <v>0.9642857142857143</v>
      </c>
      <c r="H346" s="43">
        <f>_xlfn.XLOOKUP(A346,Class_Players!$A:$A,Class_Players!$F:$F,"")</f>
        <v>7378</v>
      </c>
      <c r="I346" s="44">
        <f t="shared" si="97"/>
        <v>1.8297641637300081E-2</v>
      </c>
      <c r="J346" s="43">
        <f t="shared" si="98"/>
        <v>0</v>
      </c>
      <c r="K346" s="44" cm="1">
        <f t="array" ref="K346">IF(D346="Gadget",_xlfn.IFS(I346&gt;=0.2,0.5,I346&gt;=0.1,0.35,I346&gt;=0.05,0.2,TRUE,0),IF(D346="Grenade",_xlfn.IFS(I346&gt;=0.2,1,I346&gt;=0.1,0.7,I346&gt;=0.05,0.4,TRUE,0),0))</f>
        <v>0</v>
      </c>
      <c r="L346" s="57">
        <f t="shared" ref="L346:L351" si="112">IF($K346=0,0,$K346 / SUMIFS($K:$K,$A:$A,$A346,$D:$D,"Gadget"))</f>
        <v>0</v>
      </c>
    </row>
    <row r="347" spans="1:12" ht="15" customHeight="1" x14ac:dyDescent="0.25">
      <c r="A347" s="42" t="str" cm="1">
        <f t="array" ref="A347">IFERROR(INDEX(_xlfn._xlws.FILTER(Class_Players!A:A,Class_Players!B:B="Recon"),QUOTIENT(ROW()-ROW($A$2),8)+1),"")</f>
        <v>Xeo_TV | YT</v>
      </c>
      <c r="B347" s="42" t="str">
        <f>_xlfn.XLOOKUP(A347,Class_Players!$A:$A,Class_Players!$B:$B,"")</f>
        <v>Recon</v>
      </c>
      <c r="C347" s="38" t="str" cm="1">
        <f t="array" ref="C347">INDEX(Lookups!$C$2:$C$9,MOD(ROW()-ROW($B$2),ROWS(Lookups!$C$2:$C$9))+1)</f>
        <v>Recon Drone</v>
      </c>
      <c r="D347" s="38" t="str">
        <f>_xlfn.XLOOKUP(C347,Analysis_Gadgets!$C:$C,Analysis_Gadgets!$B:$B)</f>
        <v>Gadget</v>
      </c>
      <c r="E347" s="43">
        <v>74</v>
      </c>
      <c r="F347" s="43">
        <f>_xlfn.XLOOKUP(A347,Class_Players!A:A,Class_Players!G:G)</f>
        <v>140</v>
      </c>
      <c r="G347" s="43">
        <f t="shared" si="96"/>
        <v>0.52857142857142858</v>
      </c>
      <c r="H347" s="43">
        <f>_xlfn.XLOOKUP(A347,Class_Players!$A:$A,Class_Players!$F:$F,"")</f>
        <v>7378</v>
      </c>
      <c r="I347" s="44">
        <f t="shared" si="97"/>
        <v>1.0029818378964489E-2</v>
      </c>
      <c r="J347" s="43">
        <f t="shared" si="98"/>
        <v>0</v>
      </c>
      <c r="K347" s="44" cm="1">
        <f t="array" ref="K347">IF(D347="Gadget",_xlfn.IFS(I347&gt;=0.2,0.5,I347&gt;=0.1,0.35,I347&gt;=0.05,0.2,TRUE,0),IF(D347="Grenade",_xlfn.IFS(I347&gt;=0.2,1,I347&gt;=0.1,0.7,I347&gt;=0.05,0.4,TRUE,0),0))</f>
        <v>0</v>
      </c>
      <c r="L347" s="57">
        <f t="shared" si="112"/>
        <v>0</v>
      </c>
    </row>
    <row r="348" spans="1:12" ht="15" customHeight="1" x14ac:dyDescent="0.25">
      <c r="A348" s="42" t="str" cm="1">
        <f t="array" ref="A348">IFERROR(INDEX(_xlfn._xlws.FILTER(Class_Players!A:A,Class_Players!B:B="Recon"),QUOTIENT(ROW()-ROW($A$2),8)+1),"")</f>
        <v>Xeo_TV | YT</v>
      </c>
      <c r="B348" s="42" t="str">
        <f>_xlfn.XLOOKUP(A348,Class_Players!$A:$A,Class_Players!$B:$B,"")</f>
        <v>Recon</v>
      </c>
      <c r="C348" s="38" t="str" cm="1">
        <f t="array" ref="C348">INDEX(Lookups!$C$2:$C$9,MOD(ROW()-ROW($B$2),ROWS(Lookups!$C$2:$C$9))+1)</f>
        <v>Tracer Dart</v>
      </c>
      <c r="D348" s="38" t="str">
        <f>_xlfn.XLOOKUP(C348,Analysis_Gadgets!$C:$C,Analysis_Gadgets!$B:$B)</f>
        <v>Gadget</v>
      </c>
      <c r="E348" s="43">
        <v>58</v>
      </c>
      <c r="F348" s="43">
        <f>_xlfn.XLOOKUP(A348,Class_Players!A:A,Class_Players!G:G)</f>
        <v>140</v>
      </c>
      <c r="G348" s="43">
        <f t="shared" si="96"/>
        <v>0.41428571428571431</v>
      </c>
      <c r="H348" s="43">
        <f>_xlfn.XLOOKUP(A348,Class_Players!$A:$A,Class_Players!$F:$F,"")</f>
        <v>7378</v>
      </c>
      <c r="I348" s="44">
        <f t="shared" si="97"/>
        <v>7.8612089997289244E-3</v>
      </c>
      <c r="J348" s="43">
        <f t="shared" si="98"/>
        <v>0</v>
      </c>
      <c r="K348" s="44" cm="1">
        <f t="array" ref="K348">IF(D348="Gadget",_xlfn.IFS(I348&gt;=0.2,0.5,I348&gt;=0.1,0.35,I348&gt;=0.05,0.2,TRUE,0),IF(D348="Grenade",_xlfn.IFS(I348&gt;=0.2,1,I348&gt;=0.1,0.7,I348&gt;=0.05,0.4,TRUE,0),0))</f>
        <v>0</v>
      </c>
      <c r="L348" s="57">
        <f t="shared" si="112"/>
        <v>0</v>
      </c>
    </row>
    <row r="349" spans="1:12" ht="15" customHeight="1" x14ac:dyDescent="0.25">
      <c r="A349" s="42" t="str" cm="1">
        <f t="array" ref="A349">IFERROR(INDEX(_xlfn._xlws.FILTER(Class_Players!A:A,Class_Players!B:B="Recon"),QUOTIENT(ROW()-ROW($A$2),8)+1),"")</f>
        <v>Xeo_TV | YT</v>
      </c>
      <c r="B349" s="42" t="str">
        <f>_xlfn.XLOOKUP(A349,Class_Players!$A:$A,Class_Players!$B:$B,"")</f>
        <v>Recon</v>
      </c>
      <c r="C349" s="38" t="str" cm="1">
        <f t="array" ref="C349">INDEX(Lookups!$C$2:$C$9,MOD(ROW()-ROW($B$2),ROWS(Lookups!$C$2:$C$9))+1)</f>
        <v>M18A1 (Claymore)</v>
      </c>
      <c r="D349" s="38" t="str">
        <f>_xlfn.XLOOKUP(C349,Analysis_Gadgets!$C:$C,Analysis_Gadgets!$B:$B)</f>
        <v>Gadget</v>
      </c>
      <c r="E349" s="43">
        <v>1925</v>
      </c>
      <c r="F349" s="43">
        <f>_xlfn.XLOOKUP(A349,Class_Players!A:A,Class_Players!G:G)</f>
        <v>140</v>
      </c>
      <c r="G349" s="43">
        <f t="shared" si="96"/>
        <v>13.75</v>
      </c>
      <c r="H349" s="43">
        <f>_xlfn.XLOOKUP(A349,Class_Players!$A:$A,Class_Players!$F:$F,"")</f>
        <v>7378</v>
      </c>
      <c r="I349" s="44">
        <f t="shared" si="97"/>
        <v>0.26091081593927895</v>
      </c>
      <c r="J349" s="43">
        <f t="shared" si="98"/>
        <v>1</v>
      </c>
      <c r="K349" s="44" cm="1">
        <f t="array" ref="K349">IF(D349="Gadget",_xlfn.IFS(I349&gt;=0.2,0.5,I349&gt;=0.1,0.35,I349&gt;=0.05,0.2,TRUE,0),IF(D349="Grenade",_xlfn.IFS(I349&gt;=0.2,1,I349&gt;=0.1,0.7,I349&gt;=0.05,0.4,TRUE,0),0))</f>
        <v>0.5</v>
      </c>
      <c r="L349" s="57">
        <f t="shared" si="112"/>
        <v>0.41666666666666669</v>
      </c>
    </row>
    <row r="350" spans="1:12" ht="15" customHeight="1" x14ac:dyDescent="0.25">
      <c r="A350" s="42" t="str" cm="1">
        <f t="array" ref="A350">IFERROR(INDEX(_xlfn._xlws.FILTER(Class_Players!A:A,Class_Players!B:B="Recon"),QUOTIENT(ROW()-ROW($A$2),8)+1),"")</f>
        <v>Xeo_TV | YT</v>
      </c>
      <c r="B350" s="42" t="str">
        <f>_xlfn.XLOOKUP(A350,Class_Players!$A:$A,Class_Players!$B:$B,"")</f>
        <v>Recon</v>
      </c>
      <c r="C350" s="38" t="str" cm="1">
        <f t="array" ref="C350">INDEX(Lookups!$C$2:$C$9,MOD(ROW()-ROW($B$2),ROWS(Lookups!$C$2:$C$9))+1)</f>
        <v>Sniper Decoy</v>
      </c>
      <c r="D350" s="38" t="str">
        <f>_xlfn.XLOOKUP(C350,Analysis_Gadgets!$C:$C,Analysis_Gadgets!$B:$B)</f>
        <v>Gadget</v>
      </c>
      <c r="E350" s="43">
        <v>548</v>
      </c>
      <c r="F350" s="43">
        <f>_xlfn.XLOOKUP(A350,Class_Players!A:A,Class_Players!G:G)</f>
        <v>140</v>
      </c>
      <c r="G350" s="43">
        <f t="shared" si="96"/>
        <v>3.9142857142857141</v>
      </c>
      <c r="H350" s="43">
        <f>_xlfn.XLOOKUP(A350,Class_Players!$A:$A,Class_Players!$F:$F,"")</f>
        <v>7378</v>
      </c>
      <c r="I350" s="44">
        <f t="shared" si="97"/>
        <v>7.427487123881811E-2</v>
      </c>
      <c r="J350" s="43">
        <f t="shared" si="98"/>
        <v>0</v>
      </c>
      <c r="K350" s="44" cm="1">
        <f t="array" ref="K350">IF(D350="Gadget",_xlfn.IFS(I350&gt;=0.2,0.5,I350&gt;=0.1,0.35,I350&gt;=0.05,0.2,TRUE,0),IF(D350="Grenade",_xlfn.IFS(I350&gt;=0.2,1,I350&gt;=0.1,0.7,I350&gt;=0.05,0.4,TRUE,0),0))</f>
        <v>0.2</v>
      </c>
      <c r="L350" s="57">
        <f t="shared" si="112"/>
        <v>0.16666666666666669</v>
      </c>
    </row>
    <row r="351" spans="1:12" ht="15" customHeight="1" x14ac:dyDescent="0.25">
      <c r="A351" s="42" t="str" cm="1">
        <f t="array" ref="A351">IFERROR(INDEX(_xlfn._xlws.FILTER(Class_Players!A:A,Class_Players!B:B="Recon"),QUOTIENT(ROW()-ROW($A$2),8)+1),"")</f>
        <v>Xeo_TV | YT</v>
      </c>
      <c r="B351" s="42" t="str">
        <f>_xlfn.XLOOKUP(A351,Class_Players!$A:$A,Class_Players!$B:$B,"")</f>
        <v>Recon</v>
      </c>
      <c r="C351" s="38" t="str" cm="1">
        <f t="array" ref="C351">INDEX(Lookups!$C$2:$C$9,MOD(ROW()-ROW($B$2),ROWS(Lookups!$C$2:$C$9))+1)</f>
        <v>C-4 Explosives</v>
      </c>
      <c r="D351" s="38" t="str">
        <f>_xlfn.XLOOKUP(C351,Analysis_Gadgets!$C:$C,Analysis_Gadgets!$B:$B)</f>
        <v>Gadget</v>
      </c>
      <c r="E351" s="43">
        <v>4314</v>
      </c>
      <c r="F351" s="43">
        <f>_xlfn.XLOOKUP(A351,Class_Players!A:A,Class_Players!G:G)</f>
        <v>140</v>
      </c>
      <c r="G351" s="43">
        <f t="shared" si="96"/>
        <v>30.814285714285713</v>
      </c>
      <c r="H351" s="43">
        <f>_xlfn.XLOOKUP(A351,Class_Players!$A:$A,Class_Players!$F:$F,"")</f>
        <v>7378</v>
      </c>
      <c r="I351" s="44">
        <f t="shared" si="97"/>
        <v>0.58471130387638925</v>
      </c>
      <c r="J351" s="43">
        <f t="shared" si="98"/>
        <v>1</v>
      </c>
      <c r="K351" s="44" cm="1">
        <f t="array" ref="K351">IF(D351="Gadget",_xlfn.IFS(I351&gt;=0.2,0.5,I351&gt;=0.1,0.35,I351&gt;=0.05,0.2,TRUE,0),IF(D351="Grenade",_xlfn.IFS(I351&gt;=0.2,1,I351&gt;=0.1,0.7,I351&gt;=0.05,0.4,TRUE,0),0))</f>
        <v>0.5</v>
      </c>
      <c r="L351" s="57">
        <f t="shared" si="112"/>
        <v>0.41666666666666669</v>
      </c>
    </row>
    <row r="352" spans="1:12" ht="15" customHeight="1" x14ac:dyDescent="0.25">
      <c r="A352" s="42" t="str" cm="1">
        <f t="array" ref="A352">IFERROR(INDEX(_xlfn._xlws.FILTER(Class_Players!A:A,Class_Players!B:B="Recon"),QUOTIENT(ROW()-ROW($A$2),8)+1),"")</f>
        <v>Xeo_TV | YT</v>
      </c>
      <c r="B352" s="42" t="str">
        <f>_xlfn.XLOOKUP(A352,Class_Players!$A:$A,Class_Players!$B:$B,"")</f>
        <v>Recon</v>
      </c>
      <c r="C352" s="38" t="str" cm="1">
        <f t="array" ref="C352">INDEX(Lookups!$C$2:$C$9,MOD(ROW()-ROW($B$2),ROWS(Lookups!$C$2:$C$9))+1)</f>
        <v>Proximity Detector</v>
      </c>
      <c r="D352" s="38" t="str">
        <f>_xlfn.XLOOKUP(C352,Analysis_Gadgets!$C:$C,Analysis_Gadgets!$B:$B)</f>
        <v>Grenade</v>
      </c>
      <c r="E352" s="43">
        <v>4247</v>
      </c>
      <c r="F352" s="43">
        <f>_xlfn.XLOOKUP(A352,Class_Players!A:A,Class_Players!G:G)</f>
        <v>140</v>
      </c>
      <c r="G352" s="43">
        <f t="shared" si="96"/>
        <v>30.335714285714285</v>
      </c>
      <c r="H352" s="43">
        <f>_xlfn.XLOOKUP(A352,Class_Players!$A:$A,Class_Players!$F:$F,"")</f>
        <v>7378</v>
      </c>
      <c r="I352" s="44">
        <f t="shared" si="97"/>
        <v>0.57563025210084029</v>
      </c>
      <c r="J352" s="43">
        <f t="shared" si="98"/>
        <v>1</v>
      </c>
      <c r="K352" s="44" cm="1">
        <f t="array" ref="K352">IF(D352="Gadget",_xlfn.IFS(I352&gt;=0.2,0.5,I352&gt;=0.1,0.35,I352&gt;=0.05,0.2,TRUE,0),IF(D352="Grenade",_xlfn.IFS(I352&gt;=0.2,1,I352&gt;=0.1,0.7,I352&gt;=0.05,0.4,TRUE,0),0))</f>
        <v>1</v>
      </c>
      <c r="L352" s="57">
        <f t="shared" ref="L352:L353" si="113">IF($K352=0,0,$K352 / SUMIFS($K:$K,$A:$A,$A352,$D:$D,"Grenade"))</f>
        <v>1</v>
      </c>
    </row>
    <row r="353" spans="1:12" ht="15" customHeight="1" x14ac:dyDescent="0.25">
      <c r="A353" s="42" t="str" cm="1">
        <f t="array" ref="A353">IFERROR(INDEX(_xlfn._xlws.FILTER(Class_Players!A:A,Class_Players!B:B="Recon"),QUOTIENT(ROW()-ROW($A$2),8)+1),"")</f>
        <v>Xeo_TV | YT</v>
      </c>
      <c r="B353" s="42" t="str">
        <f>_xlfn.XLOOKUP(A353,Class_Players!$A:$A,Class_Players!$B:$B,"")</f>
        <v>Recon</v>
      </c>
      <c r="C353" s="38" t="str" cm="1">
        <f t="array" ref="C353">INDEX(Lookups!$C$2:$C$9,MOD(ROW()-ROW($B$2),ROWS(Lookups!$C$2:$C$9))+1)</f>
        <v>Throwing Knife</v>
      </c>
      <c r="D353" s="38" t="str">
        <f>_xlfn.XLOOKUP(C353,Analysis_Gadgets!$C:$C,Analysis_Gadgets!$B:$B)</f>
        <v>Grenade</v>
      </c>
      <c r="E353" s="43">
        <v>0</v>
      </c>
      <c r="F353" s="43">
        <f>_xlfn.XLOOKUP(A353,Class_Players!A:A,Class_Players!G:G)</f>
        <v>140</v>
      </c>
      <c r="G353" s="43">
        <f t="shared" si="96"/>
        <v>0</v>
      </c>
      <c r="H353" s="43">
        <f>_xlfn.XLOOKUP(A353,Class_Players!$A:$A,Class_Players!$F:$F,"")</f>
        <v>7378</v>
      </c>
      <c r="I353" s="44">
        <f t="shared" si="97"/>
        <v>0</v>
      </c>
      <c r="J353" s="43">
        <f t="shared" si="98"/>
        <v>0</v>
      </c>
      <c r="K353" s="44" cm="1">
        <f t="array" ref="K353">IF(D353="Gadget",_xlfn.IFS(I353&gt;=0.2,0.5,I353&gt;=0.1,0.35,I353&gt;=0.05,0.2,TRUE,0),IF(D353="Grenade",_xlfn.IFS(I353&gt;=0.2,1,I353&gt;=0.1,0.7,I353&gt;=0.05,0.4,TRUE,0),0))</f>
        <v>0</v>
      </c>
      <c r="L353" s="57">
        <f t="shared" si="113"/>
        <v>0</v>
      </c>
    </row>
    <row r="354" spans="1:12" ht="15" customHeight="1" x14ac:dyDescent="0.25">
      <c r="A354" s="42" t="str" cm="1">
        <f t="array" ref="A354">IFERROR(INDEX(_xlfn._xlws.FILTER(Class_Players!A:A,Class_Players!B:B="Recon"),QUOTIENT(ROW()-ROW($A$2),8)+1),"")</f>
        <v>Silenko</v>
      </c>
      <c r="B354" s="42" t="str">
        <f>_xlfn.XLOOKUP(A354,Class_Players!$A:$A,Class_Players!$B:$B,"")</f>
        <v>Recon</v>
      </c>
      <c r="C354" s="38" t="str" cm="1">
        <f t="array" ref="C354">INDEX(Lookups!$C$2:$C$9,MOD(ROW()-ROW($B$2),ROWS(Lookups!$C$2:$C$9))+1)</f>
        <v>Laser Designator</v>
      </c>
      <c r="D354" s="38" t="str">
        <f>_xlfn.XLOOKUP(C354,Analysis_Gadgets!$C:$C,Analysis_Gadgets!$B:$B)</f>
        <v>Gadget</v>
      </c>
      <c r="E354" s="43">
        <v>631</v>
      </c>
      <c r="F354" s="43">
        <f>_xlfn.XLOOKUP(A354,Class_Players!A:A,Class_Players!G:G)</f>
        <v>208</v>
      </c>
      <c r="G354" s="43">
        <f t="shared" ref="G354:G417" si="114">IF(F354=0,"",E354/(F354))</f>
        <v>3.0336538461538463</v>
      </c>
      <c r="H354" s="43">
        <f>_xlfn.XLOOKUP(A354,Class_Players!$A:$A,Class_Players!$F:$F,"")</f>
        <v>7547</v>
      </c>
      <c r="I354" s="44">
        <f t="shared" ref="I354:I417" si="115">IF(H354=0,"",E354/H354)</f>
        <v>8.3609381211077249E-2</v>
      </c>
      <c r="J354" s="43">
        <f t="shared" ref="J354:J417" si="116">IF(I354&gt;=0.1,1,0)</f>
        <v>0</v>
      </c>
      <c r="K354" s="44" cm="1">
        <f t="array" ref="K354">IF(D354="Gadget",_xlfn.IFS(I354&gt;=0.2,0.5,I354&gt;=0.1,0.35,I354&gt;=0.05,0.2,TRUE,0),IF(D354="Grenade",_xlfn.IFS(I354&gt;=0.2,1,I354&gt;=0.1,0.7,I354&gt;=0.05,0.4,TRUE,0),0))</f>
        <v>0.2</v>
      </c>
      <c r="L354" s="57">
        <f t="shared" ref="L354:L359" si="117">IF($K354=0,0,$K354 / SUMIFS($K:$K,$A:$A,$A354,$D:$D,"Gadget"))</f>
        <v>0.14285714285714288</v>
      </c>
    </row>
    <row r="355" spans="1:12" ht="15" customHeight="1" x14ac:dyDescent="0.25">
      <c r="A355" s="42" t="str" cm="1">
        <f t="array" ref="A355">IFERROR(INDEX(_xlfn._xlws.FILTER(Class_Players!A:A,Class_Players!B:B="Recon"),QUOTIENT(ROW()-ROW($A$2),8)+1),"")</f>
        <v>Silenko</v>
      </c>
      <c r="B355" s="42" t="str">
        <f>_xlfn.XLOOKUP(A355,Class_Players!$A:$A,Class_Players!$B:$B,"")</f>
        <v>Recon</v>
      </c>
      <c r="C355" s="38" t="str" cm="1">
        <f t="array" ref="C355">INDEX(Lookups!$C$2:$C$9,MOD(ROW()-ROW($B$2),ROWS(Lookups!$C$2:$C$9))+1)</f>
        <v>Recon Drone</v>
      </c>
      <c r="D355" s="38" t="str">
        <f>_xlfn.XLOOKUP(C355,Analysis_Gadgets!$C:$C,Analysis_Gadgets!$B:$B)</f>
        <v>Gadget</v>
      </c>
      <c r="E355" s="43">
        <v>721</v>
      </c>
      <c r="F355" s="43">
        <f>_xlfn.XLOOKUP(A355,Class_Players!A:A,Class_Players!G:G)</f>
        <v>208</v>
      </c>
      <c r="G355" s="43">
        <f t="shared" si="114"/>
        <v>3.4663461538461537</v>
      </c>
      <c r="H355" s="43">
        <f>_xlfn.XLOOKUP(A355,Class_Players!$A:$A,Class_Players!$F:$F,"")</f>
        <v>7547</v>
      </c>
      <c r="I355" s="44">
        <f t="shared" si="115"/>
        <v>9.5534649529614421E-2</v>
      </c>
      <c r="J355" s="43">
        <f t="shared" si="116"/>
        <v>0</v>
      </c>
      <c r="K355" s="44" cm="1">
        <f t="array" ref="K355">IF(D355="Gadget",_xlfn.IFS(I355&gt;=0.2,0.5,I355&gt;=0.1,0.35,I355&gt;=0.05,0.2,TRUE,0),IF(D355="Grenade",_xlfn.IFS(I355&gt;=0.2,1,I355&gt;=0.1,0.7,I355&gt;=0.05,0.4,TRUE,0),0))</f>
        <v>0.2</v>
      </c>
      <c r="L355" s="57">
        <f t="shared" si="117"/>
        <v>0.14285714285714288</v>
      </c>
    </row>
    <row r="356" spans="1:12" ht="15" customHeight="1" x14ac:dyDescent="0.25">
      <c r="A356" s="42" t="str" cm="1">
        <f t="array" ref="A356">IFERROR(INDEX(_xlfn._xlws.FILTER(Class_Players!A:A,Class_Players!B:B="Recon"),QUOTIENT(ROW()-ROW($A$2),8)+1),"")</f>
        <v>Silenko</v>
      </c>
      <c r="B356" s="42" t="str">
        <f>_xlfn.XLOOKUP(A356,Class_Players!$A:$A,Class_Players!$B:$B,"")</f>
        <v>Recon</v>
      </c>
      <c r="C356" s="38" t="str" cm="1">
        <f t="array" ref="C356">INDEX(Lookups!$C$2:$C$9,MOD(ROW()-ROW($B$2),ROWS(Lookups!$C$2:$C$9))+1)</f>
        <v>Tracer Dart</v>
      </c>
      <c r="D356" s="38" t="str">
        <f>_xlfn.XLOOKUP(C356,Analysis_Gadgets!$C:$C,Analysis_Gadgets!$B:$B)</f>
        <v>Gadget</v>
      </c>
      <c r="E356" s="43">
        <v>47</v>
      </c>
      <c r="F356" s="43">
        <f>_xlfn.XLOOKUP(A356,Class_Players!A:A,Class_Players!G:G)</f>
        <v>208</v>
      </c>
      <c r="G356" s="43">
        <f t="shared" si="114"/>
        <v>0.22596153846153846</v>
      </c>
      <c r="H356" s="43">
        <f>_xlfn.XLOOKUP(A356,Class_Players!$A:$A,Class_Players!$F:$F,"")</f>
        <v>7547</v>
      </c>
      <c r="I356" s="44">
        <f t="shared" si="115"/>
        <v>6.2276401219027427E-3</v>
      </c>
      <c r="J356" s="43">
        <f t="shared" si="116"/>
        <v>0</v>
      </c>
      <c r="K356" s="44" cm="1">
        <f t="array" ref="K356">IF(D356="Gadget",_xlfn.IFS(I356&gt;=0.2,0.5,I356&gt;=0.1,0.35,I356&gt;=0.05,0.2,TRUE,0),IF(D356="Grenade",_xlfn.IFS(I356&gt;=0.2,1,I356&gt;=0.1,0.7,I356&gt;=0.05,0.4,TRUE,0),0))</f>
        <v>0</v>
      </c>
      <c r="L356" s="57">
        <f t="shared" si="117"/>
        <v>0</v>
      </c>
    </row>
    <row r="357" spans="1:12" ht="15" customHeight="1" x14ac:dyDescent="0.25">
      <c r="A357" s="42" t="str" cm="1">
        <f t="array" ref="A357">IFERROR(INDEX(_xlfn._xlws.FILTER(Class_Players!A:A,Class_Players!B:B="Recon"),QUOTIENT(ROW()-ROW($A$2),8)+1),"")</f>
        <v>Silenko</v>
      </c>
      <c r="B357" s="42" t="str">
        <f>_xlfn.XLOOKUP(A357,Class_Players!$A:$A,Class_Players!$B:$B,"")</f>
        <v>Recon</v>
      </c>
      <c r="C357" s="38" t="str" cm="1">
        <f t="array" ref="C357">INDEX(Lookups!$C$2:$C$9,MOD(ROW()-ROW($B$2),ROWS(Lookups!$C$2:$C$9))+1)</f>
        <v>M18A1 (Claymore)</v>
      </c>
      <c r="D357" s="38" t="str">
        <f>_xlfn.XLOOKUP(C357,Analysis_Gadgets!$C:$C,Analysis_Gadgets!$B:$B)</f>
        <v>Gadget</v>
      </c>
      <c r="E357" s="43">
        <v>2302</v>
      </c>
      <c r="F357" s="43">
        <f>_xlfn.XLOOKUP(A357,Class_Players!A:A,Class_Players!G:G)</f>
        <v>208</v>
      </c>
      <c r="G357" s="43">
        <f t="shared" si="114"/>
        <v>11.067307692307692</v>
      </c>
      <c r="H357" s="43">
        <f>_xlfn.XLOOKUP(A357,Class_Players!$A:$A,Class_Players!$F:$F,"")</f>
        <v>7547</v>
      </c>
      <c r="I357" s="44">
        <f t="shared" si="115"/>
        <v>0.3050218629919173</v>
      </c>
      <c r="J357" s="43">
        <f t="shared" si="116"/>
        <v>1</v>
      </c>
      <c r="K357" s="44" cm="1">
        <f t="array" ref="K357">IF(D357="Gadget",_xlfn.IFS(I357&gt;=0.2,0.5,I357&gt;=0.1,0.35,I357&gt;=0.05,0.2,TRUE,0),IF(D357="Grenade",_xlfn.IFS(I357&gt;=0.2,1,I357&gt;=0.1,0.7,I357&gt;=0.05,0.4,TRUE,0),0))</f>
        <v>0.5</v>
      </c>
      <c r="L357" s="57">
        <f t="shared" si="117"/>
        <v>0.35714285714285715</v>
      </c>
    </row>
    <row r="358" spans="1:12" ht="15" customHeight="1" x14ac:dyDescent="0.25">
      <c r="A358" s="42" t="str" cm="1">
        <f t="array" ref="A358">IFERROR(INDEX(_xlfn._xlws.FILTER(Class_Players!A:A,Class_Players!B:B="Recon"),QUOTIENT(ROW()-ROW($A$2),8)+1),"")</f>
        <v>Silenko</v>
      </c>
      <c r="B358" s="42" t="str">
        <f>_xlfn.XLOOKUP(A358,Class_Players!$A:$A,Class_Players!$B:$B,"")</f>
        <v>Recon</v>
      </c>
      <c r="C358" s="38" t="str" cm="1">
        <f t="array" ref="C358">INDEX(Lookups!$C$2:$C$9,MOD(ROW()-ROW($B$2),ROWS(Lookups!$C$2:$C$9))+1)</f>
        <v>Sniper Decoy</v>
      </c>
      <c r="D358" s="38" t="str">
        <f>_xlfn.XLOOKUP(C358,Analysis_Gadgets!$C:$C,Analysis_Gadgets!$B:$B)</f>
        <v>Gadget</v>
      </c>
      <c r="E358" s="43">
        <v>156</v>
      </c>
      <c r="F358" s="43">
        <f>_xlfn.XLOOKUP(A358,Class_Players!A:A,Class_Players!G:G)</f>
        <v>208</v>
      </c>
      <c r="G358" s="43">
        <f t="shared" si="114"/>
        <v>0.75</v>
      </c>
      <c r="H358" s="43">
        <f>_xlfn.XLOOKUP(A358,Class_Players!$A:$A,Class_Players!$F:$F,"")</f>
        <v>7547</v>
      </c>
      <c r="I358" s="44">
        <f t="shared" si="115"/>
        <v>2.0670465085464423E-2</v>
      </c>
      <c r="J358" s="43">
        <f t="shared" si="116"/>
        <v>0</v>
      </c>
      <c r="K358" s="44" cm="1">
        <f t="array" ref="K358">IF(D358="Gadget",_xlfn.IFS(I358&gt;=0.2,0.5,I358&gt;=0.1,0.35,I358&gt;=0.05,0.2,TRUE,0),IF(D358="Grenade",_xlfn.IFS(I358&gt;=0.2,1,I358&gt;=0.1,0.7,I358&gt;=0.05,0.4,TRUE,0),0))</f>
        <v>0</v>
      </c>
      <c r="L358" s="57">
        <f t="shared" si="117"/>
        <v>0</v>
      </c>
    </row>
    <row r="359" spans="1:12" ht="15" customHeight="1" x14ac:dyDescent="0.25">
      <c r="A359" s="42" t="str" cm="1">
        <f t="array" ref="A359">IFERROR(INDEX(_xlfn._xlws.FILTER(Class_Players!A:A,Class_Players!B:B="Recon"),QUOTIENT(ROW()-ROW($A$2),8)+1),"")</f>
        <v>Silenko</v>
      </c>
      <c r="B359" s="42" t="str">
        <f>_xlfn.XLOOKUP(A359,Class_Players!$A:$A,Class_Players!$B:$B,"")</f>
        <v>Recon</v>
      </c>
      <c r="C359" s="38" t="str" cm="1">
        <f t="array" ref="C359">INDEX(Lookups!$C$2:$C$9,MOD(ROW()-ROW($B$2),ROWS(Lookups!$C$2:$C$9))+1)</f>
        <v>C-4 Explosives</v>
      </c>
      <c r="D359" s="38" t="str">
        <f>_xlfn.XLOOKUP(C359,Analysis_Gadgets!$C:$C,Analysis_Gadgets!$B:$B)</f>
        <v>Gadget</v>
      </c>
      <c r="E359" s="43">
        <v>2450</v>
      </c>
      <c r="F359" s="43">
        <f>_xlfn.XLOOKUP(A359,Class_Players!A:A,Class_Players!G:G)</f>
        <v>208</v>
      </c>
      <c r="G359" s="43">
        <f t="shared" si="114"/>
        <v>11.778846153846153</v>
      </c>
      <c r="H359" s="43">
        <f>_xlfn.XLOOKUP(A359,Class_Players!$A:$A,Class_Players!$F:$F,"")</f>
        <v>7547</v>
      </c>
      <c r="I359" s="44">
        <f t="shared" si="115"/>
        <v>0.32463230422684508</v>
      </c>
      <c r="J359" s="43">
        <f t="shared" si="116"/>
        <v>1</v>
      </c>
      <c r="K359" s="44" cm="1">
        <f t="array" ref="K359">IF(D359="Gadget",_xlfn.IFS(I359&gt;=0.2,0.5,I359&gt;=0.1,0.35,I359&gt;=0.05,0.2,TRUE,0),IF(D359="Grenade",_xlfn.IFS(I359&gt;=0.2,1,I359&gt;=0.1,0.7,I359&gt;=0.05,0.4,TRUE,0),0))</f>
        <v>0.5</v>
      </c>
      <c r="L359" s="57">
        <f t="shared" si="117"/>
        <v>0.35714285714285715</v>
      </c>
    </row>
    <row r="360" spans="1:12" ht="15" customHeight="1" x14ac:dyDescent="0.25">
      <c r="A360" s="42" t="str" cm="1">
        <f t="array" ref="A360">IFERROR(INDEX(_xlfn._xlws.FILTER(Class_Players!A:A,Class_Players!B:B="Recon"),QUOTIENT(ROW()-ROW($A$2),8)+1),"")</f>
        <v>Silenko</v>
      </c>
      <c r="B360" s="42" t="str">
        <f>_xlfn.XLOOKUP(A360,Class_Players!$A:$A,Class_Players!$B:$B,"")</f>
        <v>Recon</v>
      </c>
      <c r="C360" s="38" t="str" cm="1">
        <f t="array" ref="C360">INDEX(Lookups!$C$2:$C$9,MOD(ROW()-ROW($B$2),ROWS(Lookups!$C$2:$C$9))+1)</f>
        <v>Proximity Detector</v>
      </c>
      <c r="D360" s="38" t="str">
        <f>_xlfn.XLOOKUP(C360,Analysis_Gadgets!$C:$C,Analysis_Gadgets!$B:$B)</f>
        <v>Grenade</v>
      </c>
      <c r="E360" s="43">
        <v>75</v>
      </c>
      <c r="F360" s="43">
        <f>_xlfn.XLOOKUP(A360,Class_Players!A:A,Class_Players!G:G)</f>
        <v>208</v>
      </c>
      <c r="G360" s="43">
        <f t="shared" si="114"/>
        <v>0.36057692307692307</v>
      </c>
      <c r="H360" s="43">
        <f>_xlfn.XLOOKUP(A360,Class_Players!$A:$A,Class_Players!$F:$F,"")</f>
        <v>7547</v>
      </c>
      <c r="I360" s="44">
        <f t="shared" si="115"/>
        <v>9.9377235987809717E-3</v>
      </c>
      <c r="J360" s="43">
        <f t="shared" si="116"/>
        <v>0</v>
      </c>
      <c r="K360" s="44" cm="1">
        <f t="array" ref="K360">IF(D360="Gadget",_xlfn.IFS(I360&gt;=0.2,0.5,I360&gt;=0.1,0.35,I360&gt;=0.05,0.2,TRUE,0),IF(D360="Grenade",_xlfn.IFS(I360&gt;=0.2,1,I360&gt;=0.1,0.7,I360&gt;=0.05,0.4,TRUE,0),0))</f>
        <v>0</v>
      </c>
      <c r="L360" s="57">
        <f t="shared" ref="L360:L361" si="118">IF($K360=0,0,$K360 / SUMIFS($K:$K,$A:$A,$A360,$D:$D,"Grenade"))</f>
        <v>0</v>
      </c>
    </row>
    <row r="361" spans="1:12" ht="15" customHeight="1" x14ac:dyDescent="0.25">
      <c r="A361" s="42" t="str" cm="1">
        <f t="array" ref="A361">IFERROR(INDEX(_xlfn._xlws.FILTER(Class_Players!A:A,Class_Players!B:B="Recon"),QUOTIENT(ROW()-ROW($A$2),8)+1),"")</f>
        <v>Silenko</v>
      </c>
      <c r="B361" s="42" t="str">
        <f>_xlfn.XLOOKUP(A361,Class_Players!$A:$A,Class_Players!$B:$B,"")</f>
        <v>Recon</v>
      </c>
      <c r="C361" s="38" t="str" cm="1">
        <f t="array" ref="C361">INDEX(Lookups!$C$2:$C$9,MOD(ROW()-ROW($B$2),ROWS(Lookups!$C$2:$C$9))+1)</f>
        <v>Throwing Knife</v>
      </c>
      <c r="D361" s="38" t="str">
        <f>_xlfn.XLOOKUP(C361,Analysis_Gadgets!$C:$C,Analysis_Gadgets!$B:$B)</f>
        <v>Grenade</v>
      </c>
      <c r="E361" s="43">
        <v>1</v>
      </c>
      <c r="F361" s="43">
        <f>_xlfn.XLOOKUP(A361,Class_Players!A:A,Class_Players!G:G)</f>
        <v>208</v>
      </c>
      <c r="G361" s="43">
        <f t="shared" si="114"/>
        <v>4.807692307692308E-3</v>
      </c>
      <c r="H361" s="43">
        <f>_xlfn.XLOOKUP(A361,Class_Players!$A:$A,Class_Players!$F:$F,"")</f>
        <v>7547</v>
      </c>
      <c r="I361" s="44">
        <f t="shared" si="115"/>
        <v>1.3250298131707962E-4</v>
      </c>
      <c r="J361" s="43">
        <f t="shared" si="116"/>
        <v>0</v>
      </c>
      <c r="K361" s="44" cm="1">
        <f t="array" ref="K361">IF(D361="Gadget",_xlfn.IFS(I361&gt;=0.2,0.5,I361&gt;=0.1,0.35,I361&gt;=0.05,0.2,TRUE,0),IF(D361="Grenade",_xlfn.IFS(I361&gt;=0.2,1,I361&gt;=0.1,0.7,I361&gt;=0.05,0.4,TRUE,0),0))</f>
        <v>0</v>
      </c>
      <c r="L361" s="57">
        <f t="shared" si="118"/>
        <v>0</v>
      </c>
    </row>
    <row r="362" spans="1:12" ht="15" customHeight="1" x14ac:dyDescent="0.25">
      <c r="A362" s="42" t="str" cm="1">
        <f t="array" ref="A362">IFERROR(INDEX(_xlfn._xlws.FILTER(Class_Players!A:A,Class_Players!B:B="Recon"),QUOTIENT(ROW()-ROW($A$2),8)+1),"")</f>
        <v>THE_CLEANER-VIP-</v>
      </c>
      <c r="B362" s="42" t="str">
        <f>_xlfn.XLOOKUP(A362,Class_Players!$A:$A,Class_Players!$B:$B,"")</f>
        <v>Recon</v>
      </c>
      <c r="C362" s="38" t="str" cm="1">
        <f t="array" ref="C362">INDEX(Lookups!$C$2:$C$9,MOD(ROW()-ROW($B$2),ROWS(Lookups!$C$2:$C$9))+1)</f>
        <v>Laser Designator</v>
      </c>
      <c r="D362" s="38" t="str">
        <f>_xlfn.XLOOKUP(C362,Analysis_Gadgets!$C:$C,Analysis_Gadgets!$B:$B)</f>
        <v>Gadget</v>
      </c>
      <c r="E362" s="43">
        <v>92</v>
      </c>
      <c r="F362" s="43">
        <f>_xlfn.XLOOKUP(A362,Class_Players!A:A,Class_Players!G:G)</f>
        <v>111</v>
      </c>
      <c r="G362" s="43">
        <f t="shared" si="114"/>
        <v>0.8288288288288288</v>
      </c>
      <c r="H362" s="43">
        <f>_xlfn.XLOOKUP(A362,Class_Players!$A:$A,Class_Players!$F:$F,"")</f>
        <v>7507</v>
      </c>
      <c r="I362" s="44">
        <f t="shared" si="115"/>
        <v>1.2255228453443453E-2</v>
      </c>
      <c r="J362" s="43">
        <f t="shared" si="116"/>
        <v>0</v>
      </c>
      <c r="K362" s="44" cm="1">
        <f t="array" ref="K362">IF(D362="Gadget",_xlfn.IFS(I362&gt;=0.2,0.5,I362&gt;=0.1,0.35,I362&gt;=0.05,0.2,TRUE,0),IF(D362="Grenade",_xlfn.IFS(I362&gt;=0.2,1,I362&gt;=0.1,0.7,I362&gt;=0.05,0.4,TRUE,0),0))</f>
        <v>0</v>
      </c>
      <c r="L362" s="57">
        <f t="shared" ref="L362:L367" si="119">IF($K362=0,0,$K362 / SUMIFS($K:$K,$A:$A,$A362,$D:$D,"Gadget"))</f>
        <v>0</v>
      </c>
    </row>
    <row r="363" spans="1:12" ht="15" customHeight="1" x14ac:dyDescent="0.25">
      <c r="A363" s="42" t="str" cm="1">
        <f t="array" ref="A363">IFERROR(INDEX(_xlfn._xlws.FILTER(Class_Players!A:A,Class_Players!B:B="Recon"),QUOTIENT(ROW()-ROW($A$2),8)+1),"")</f>
        <v>THE_CLEANER-VIP-</v>
      </c>
      <c r="B363" s="42" t="str">
        <f>_xlfn.XLOOKUP(A363,Class_Players!$A:$A,Class_Players!$B:$B,"")</f>
        <v>Recon</v>
      </c>
      <c r="C363" s="38" t="str" cm="1">
        <f t="array" ref="C363">INDEX(Lookups!$C$2:$C$9,MOD(ROW()-ROW($B$2),ROWS(Lookups!$C$2:$C$9))+1)</f>
        <v>Recon Drone</v>
      </c>
      <c r="D363" s="38" t="str">
        <f>_xlfn.XLOOKUP(C363,Analysis_Gadgets!$C:$C,Analysis_Gadgets!$B:$B)</f>
        <v>Gadget</v>
      </c>
      <c r="E363" s="43">
        <v>73</v>
      </c>
      <c r="F363" s="43">
        <f>_xlfn.XLOOKUP(A363,Class_Players!A:A,Class_Players!G:G)</f>
        <v>111</v>
      </c>
      <c r="G363" s="43">
        <f t="shared" si="114"/>
        <v>0.65765765765765771</v>
      </c>
      <c r="H363" s="43">
        <f>_xlfn.XLOOKUP(A363,Class_Players!$A:$A,Class_Players!$F:$F,"")</f>
        <v>7507</v>
      </c>
      <c r="I363" s="44">
        <f t="shared" si="115"/>
        <v>9.7242573597975217E-3</v>
      </c>
      <c r="J363" s="43">
        <f t="shared" si="116"/>
        <v>0</v>
      </c>
      <c r="K363" s="44" cm="1">
        <f t="array" ref="K363">IF(D363="Gadget",_xlfn.IFS(I363&gt;=0.2,0.5,I363&gt;=0.1,0.35,I363&gt;=0.05,0.2,TRUE,0),IF(D363="Grenade",_xlfn.IFS(I363&gt;=0.2,1,I363&gt;=0.1,0.7,I363&gt;=0.05,0.4,TRUE,0),0))</f>
        <v>0</v>
      </c>
      <c r="L363" s="57">
        <f t="shared" si="119"/>
        <v>0</v>
      </c>
    </row>
    <row r="364" spans="1:12" ht="15" customHeight="1" x14ac:dyDescent="0.25">
      <c r="A364" s="42" t="str" cm="1">
        <f t="array" ref="A364">IFERROR(INDEX(_xlfn._xlws.FILTER(Class_Players!A:A,Class_Players!B:B="Recon"),QUOTIENT(ROW()-ROW($A$2),8)+1),"")</f>
        <v>THE_CLEANER-VIP-</v>
      </c>
      <c r="B364" s="42" t="str">
        <f>_xlfn.XLOOKUP(A364,Class_Players!$A:$A,Class_Players!$B:$B,"")</f>
        <v>Recon</v>
      </c>
      <c r="C364" s="38" t="str" cm="1">
        <f t="array" ref="C364">INDEX(Lookups!$C$2:$C$9,MOD(ROW()-ROW($B$2),ROWS(Lookups!$C$2:$C$9))+1)</f>
        <v>Tracer Dart</v>
      </c>
      <c r="D364" s="38" t="str">
        <f>_xlfn.XLOOKUP(C364,Analysis_Gadgets!$C:$C,Analysis_Gadgets!$B:$B)</f>
        <v>Gadget</v>
      </c>
      <c r="E364" s="43">
        <v>123</v>
      </c>
      <c r="F364" s="43">
        <f>_xlfn.XLOOKUP(A364,Class_Players!A:A,Class_Players!G:G)</f>
        <v>111</v>
      </c>
      <c r="G364" s="43">
        <f t="shared" si="114"/>
        <v>1.1081081081081081</v>
      </c>
      <c r="H364" s="43">
        <f>_xlfn.XLOOKUP(A364,Class_Players!$A:$A,Class_Players!$F:$F,"")</f>
        <v>7507</v>
      </c>
      <c r="I364" s="44">
        <f t="shared" si="115"/>
        <v>1.6384707606234183E-2</v>
      </c>
      <c r="J364" s="43">
        <f t="shared" si="116"/>
        <v>0</v>
      </c>
      <c r="K364" s="44" cm="1">
        <f t="array" ref="K364">IF(D364="Gadget",_xlfn.IFS(I364&gt;=0.2,0.5,I364&gt;=0.1,0.35,I364&gt;=0.05,0.2,TRUE,0),IF(D364="Grenade",_xlfn.IFS(I364&gt;=0.2,1,I364&gt;=0.1,0.7,I364&gt;=0.05,0.4,TRUE,0),0))</f>
        <v>0</v>
      </c>
      <c r="L364" s="57">
        <f t="shared" si="119"/>
        <v>0</v>
      </c>
    </row>
    <row r="365" spans="1:12" ht="15" customHeight="1" x14ac:dyDescent="0.25">
      <c r="A365" s="42" t="str" cm="1">
        <f t="array" ref="A365">IFERROR(INDEX(_xlfn._xlws.FILTER(Class_Players!A:A,Class_Players!B:B="Recon"),QUOTIENT(ROW()-ROW($A$2),8)+1),"")</f>
        <v>THE_CLEANER-VIP-</v>
      </c>
      <c r="B365" s="42" t="str">
        <f>_xlfn.XLOOKUP(A365,Class_Players!$A:$A,Class_Players!$B:$B,"")</f>
        <v>Recon</v>
      </c>
      <c r="C365" s="38" t="str" cm="1">
        <f t="array" ref="C365">INDEX(Lookups!$C$2:$C$9,MOD(ROW()-ROW($B$2),ROWS(Lookups!$C$2:$C$9))+1)</f>
        <v>M18A1 (Claymore)</v>
      </c>
      <c r="D365" s="38" t="str">
        <f>_xlfn.XLOOKUP(C365,Analysis_Gadgets!$C:$C,Analysis_Gadgets!$B:$B)</f>
        <v>Gadget</v>
      </c>
      <c r="E365" s="43">
        <v>1139</v>
      </c>
      <c r="F365" s="43">
        <f>_xlfn.XLOOKUP(A365,Class_Players!A:A,Class_Players!G:G)</f>
        <v>111</v>
      </c>
      <c r="G365" s="43">
        <f t="shared" si="114"/>
        <v>10.261261261261261</v>
      </c>
      <c r="H365" s="43">
        <f>_xlfn.XLOOKUP(A365,Class_Players!$A:$A,Class_Players!$F:$F,"")</f>
        <v>7507</v>
      </c>
      <c r="I365" s="44">
        <f t="shared" si="115"/>
        <v>0.1517250566138271</v>
      </c>
      <c r="J365" s="43">
        <f t="shared" si="116"/>
        <v>1</v>
      </c>
      <c r="K365" s="44" cm="1">
        <f t="array" ref="K365">IF(D365="Gadget",_xlfn.IFS(I365&gt;=0.2,0.5,I365&gt;=0.1,0.35,I365&gt;=0.05,0.2,TRUE,0),IF(D365="Grenade",_xlfn.IFS(I365&gt;=0.2,1,I365&gt;=0.1,0.7,I365&gt;=0.05,0.4,TRUE,0),0))</f>
        <v>0.35</v>
      </c>
      <c r="L365" s="57">
        <f t="shared" si="119"/>
        <v>0.5</v>
      </c>
    </row>
    <row r="366" spans="1:12" ht="15" customHeight="1" x14ac:dyDescent="0.25">
      <c r="A366" s="42" t="str" cm="1">
        <f t="array" ref="A366">IFERROR(INDEX(_xlfn._xlws.FILTER(Class_Players!A:A,Class_Players!B:B="Recon"),QUOTIENT(ROW()-ROW($A$2),8)+1),"")</f>
        <v>THE_CLEANER-VIP-</v>
      </c>
      <c r="B366" s="42" t="str">
        <f>_xlfn.XLOOKUP(A366,Class_Players!$A:$A,Class_Players!$B:$B,"")</f>
        <v>Recon</v>
      </c>
      <c r="C366" s="38" t="str" cm="1">
        <f t="array" ref="C366">INDEX(Lookups!$C$2:$C$9,MOD(ROW()-ROW($B$2),ROWS(Lookups!$C$2:$C$9))+1)</f>
        <v>Sniper Decoy</v>
      </c>
      <c r="D366" s="38" t="str">
        <f>_xlfn.XLOOKUP(C366,Analysis_Gadgets!$C:$C,Analysis_Gadgets!$B:$B)</f>
        <v>Gadget</v>
      </c>
      <c r="E366" s="43">
        <v>24</v>
      </c>
      <c r="F366" s="43">
        <f>_xlfn.XLOOKUP(A366,Class_Players!A:A,Class_Players!G:G)</f>
        <v>111</v>
      </c>
      <c r="G366" s="43">
        <f t="shared" si="114"/>
        <v>0.21621621621621623</v>
      </c>
      <c r="H366" s="43">
        <f>_xlfn.XLOOKUP(A366,Class_Players!$A:$A,Class_Players!$F:$F,"")</f>
        <v>7507</v>
      </c>
      <c r="I366" s="44">
        <f t="shared" si="115"/>
        <v>3.1970161182895964E-3</v>
      </c>
      <c r="J366" s="43">
        <f t="shared" si="116"/>
        <v>0</v>
      </c>
      <c r="K366" s="44" cm="1">
        <f t="array" ref="K366">IF(D366="Gadget",_xlfn.IFS(I366&gt;=0.2,0.5,I366&gt;=0.1,0.35,I366&gt;=0.05,0.2,TRUE,0),IF(D366="Grenade",_xlfn.IFS(I366&gt;=0.2,1,I366&gt;=0.1,0.7,I366&gt;=0.05,0.4,TRUE,0),0))</f>
        <v>0</v>
      </c>
      <c r="L366" s="57">
        <f t="shared" si="119"/>
        <v>0</v>
      </c>
    </row>
    <row r="367" spans="1:12" ht="15" customHeight="1" x14ac:dyDescent="0.25">
      <c r="A367" s="42" t="str" cm="1">
        <f t="array" ref="A367">IFERROR(INDEX(_xlfn._xlws.FILTER(Class_Players!A:A,Class_Players!B:B="Recon"),QUOTIENT(ROW()-ROW($A$2),8)+1),"")</f>
        <v>THE_CLEANER-VIP-</v>
      </c>
      <c r="B367" s="42" t="str">
        <f>_xlfn.XLOOKUP(A367,Class_Players!$A:$A,Class_Players!$B:$B,"")</f>
        <v>Recon</v>
      </c>
      <c r="C367" s="38" t="str" cm="1">
        <f t="array" ref="C367">INDEX(Lookups!$C$2:$C$9,MOD(ROW()-ROW($B$2),ROWS(Lookups!$C$2:$C$9))+1)</f>
        <v>C-4 Explosives</v>
      </c>
      <c r="D367" s="38" t="str">
        <f>_xlfn.XLOOKUP(C367,Analysis_Gadgets!$C:$C,Analysis_Gadgets!$B:$B)</f>
        <v>Gadget</v>
      </c>
      <c r="E367" s="43">
        <v>1322</v>
      </c>
      <c r="F367" s="43">
        <f>_xlfn.XLOOKUP(A367,Class_Players!A:A,Class_Players!G:G)</f>
        <v>111</v>
      </c>
      <c r="G367" s="43">
        <f t="shared" si="114"/>
        <v>11.90990990990991</v>
      </c>
      <c r="H367" s="43">
        <f>_xlfn.XLOOKUP(A367,Class_Players!$A:$A,Class_Players!$F:$F,"")</f>
        <v>7507</v>
      </c>
      <c r="I367" s="44">
        <f t="shared" si="115"/>
        <v>0.17610230451578526</v>
      </c>
      <c r="J367" s="43">
        <f t="shared" si="116"/>
        <v>1</v>
      </c>
      <c r="K367" s="44" cm="1">
        <f t="array" ref="K367">IF(D367="Gadget",_xlfn.IFS(I367&gt;=0.2,0.5,I367&gt;=0.1,0.35,I367&gt;=0.05,0.2,TRUE,0),IF(D367="Grenade",_xlfn.IFS(I367&gt;=0.2,1,I367&gt;=0.1,0.7,I367&gt;=0.05,0.4,TRUE,0),0))</f>
        <v>0.35</v>
      </c>
      <c r="L367" s="57">
        <f t="shared" si="119"/>
        <v>0.5</v>
      </c>
    </row>
    <row r="368" spans="1:12" ht="15" customHeight="1" x14ac:dyDescent="0.25">
      <c r="A368" s="42" t="str" cm="1">
        <f t="array" ref="A368">IFERROR(INDEX(_xlfn._xlws.FILTER(Class_Players!A:A,Class_Players!B:B="Recon"),QUOTIENT(ROW()-ROW($A$2),8)+1),"")</f>
        <v>THE_CLEANER-VIP-</v>
      </c>
      <c r="B368" s="42" t="str">
        <f>_xlfn.XLOOKUP(A368,Class_Players!$A:$A,Class_Players!$B:$B,"")</f>
        <v>Recon</v>
      </c>
      <c r="C368" s="38" t="str" cm="1">
        <f t="array" ref="C368">INDEX(Lookups!$C$2:$C$9,MOD(ROW()-ROW($B$2),ROWS(Lookups!$C$2:$C$9))+1)</f>
        <v>Proximity Detector</v>
      </c>
      <c r="D368" s="38" t="str">
        <f>_xlfn.XLOOKUP(C368,Analysis_Gadgets!$C:$C,Analysis_Gadgets!$B:$B)</f>
        <v>Grenade</v>
      </c>
      <c r="E368" s="43">
        <v>1191</v>
      </c>
      <c r="F368" s="43">
        <f>_xlfn.XLOOKUP(A368,Class_Players!A:A,Class_Players!G:G)</f>
        <v>111</v>
      </c>
      <c r="G368" s="43">
        <f t="shared" si="114"/>
        <v>10.72972972972973</v>
      </c>
      <c r="H368" s="43">
        <f>_xlfn.XLOOKUP(A368,Class_Players!$A:$A,Class_Players!$F:$F,"")</f>
        <v>7507</v>
      </c>
      <c r="I368" s="44">
        <f t="shared" si="115"/>
        <v>0.15865192487012122</v>
      </c>
      <c r="J368" s="43">
        <f t="shared" si="116"/>
        <v>1</v>
      </c>
      <c r="K368" s="44" cm="1">
        <f t="array" ref="K368">IF(D368="Gadget",_xlfn.IFS(I368&gt;=0.2,0.5,I368&gt;=0.1,0.35,I368&gt;=0.05,0.2,TRUE,0),IF(D368="Grenade",_xlfn.IFS(I368&gt;=0.2,1,I368&gt;=0.1,0.7,I368&gt;=0.05,0.4,TRUE,0),0))</f>
        <v>0.7</v>
      </c>
      <c r="L368" s="57">
        <f t="shared" ref="L368:L369" si="120">IF($K368=0,0,$K368 / SUMIFS($K:$K,$A:$A,$A368,$D:$D,"Grenade"))</f>
        <v>1</v>
      </c>
    </row>
    <row r="369" spans="1:12" ht="15" customHeight="1" x14ac:dyDescent="0.25">
      <c r="A369" s="42" t="str" cm="1">
        <f t="array" ref="A369">IFERROR(INDEX(_xlfn._xlws.FILTER(Class_Players!A:A,Class_Players!B:B="Recon"),QUOTIENT(ROW()-ROW($A$2),8)+1),"")</f>
        <v>THE_CLEANER-VIP-</v>
      </c>
      <c r="B369" s="42" t="str">
        <f>_xlfn.XLOOKUP(A369,Class_Players!$A:$A,Class_Players!$B:$B,"")</f>
        <v>Recon</v>
      </c>
      <c r="C369" s="38" t="str" cm="1">
        <f t="array" ref="C369">INDEX(Lookups!$C$2:$C$9,MOD(ROW()-ROW($B$2),ROWS(Lookups!$C$2:$C$9))+1)</f>
        <v>Throwing Knife</v>
      </c>
      <c r="D369" s="38" t="str">
        <f>_xlfn.XLOOKUP(C369,Analysis_Gadgets!$C:$C,Analysis_Gadgets!$B:$B)</f>
        <v>Grenade</v>
      </c>
      <c r="E369" s="43">
        <v>54</v>
      </c>
      <c r="F369" s="43">
        <f>_xlfn.XLOOKUP(A369,Class_Players!A:A,Class_Players!G:G)</f>
        <v>111</v>
      </c>
      <c r="G369" s="43">
        <f t="shared" si="114"/>
        <v>0.48648648648648651</v>
      </c>
      <c r="H369" s="43">
        <f>_xlfn.XLOOKUP(A369,Class_Players!$A:$A,Class_Players!$F:$F,"")</f>
        <v>7507</v>
      </c>
      <c r="I369" s="44">
        <f t="shared" si="115"/>
        <v>7.1932862661515922E-3</v>
      </c>
      <c r="J369" s="43">
        <f t="shared" si="116"/>
        <v>0</v>
      </c>
      <c r="K369" s="44" cm="1">
        <f t="array" ref="K369">IF(D369="Gadget",_xlfn.IFS(I369&gt;=0.2,0.5,I369&gt;=0.1,0.35,I369&gt;=0.05,0.2,TRUE,0),IF(D369="Grenade",_xlfn.IFS(I369&gt;=0.2,1,I369&gt;=0.1,0.7,I369&gt;=0.05,0.4,TRUE,0),0))</f>
        <v>0</v>
      </c>
      <c r="L369" s="57">
        <f t="shared" si="120"/>
        <v>0</v>
      </c>
    </row>
    <row r="370" spans="1:12" ht="15" customHeight="1" x14ac:dyDescent="0.25">
      <c r="A370" s="42" t="str" cm="1">
        <f t="array" ref="A370">IFERROR(INDEX(_xlfn._xlws.FILTER(Class_Players!A:A,Class_Players!B:B="Recon"),QUOTIENT(ROW()-ROW($A$2),8)+1),"")</f>
        <v>Mxyu</v>
      </c>
      <c r="B370" s="42" t="str">
        <f>_xlfn.XLOOKUP(A370,Class_Players!$A:$A,Class_Players!$B:$B,"")</f>
        <v>Recon</v>
      </c>
      <c r="C370" s="38" t="str" cm="1">
        <f t="array" ref="C370">INDEX(Lookups!$C$2:$C$9,MOD(ROW()-ROW($B$2),ROWS(Lookups!$C$2:$C$9))+1)</f>
        <v>Laser Designator</v>
      </c>
      <c r="D370" s="38" t="str">
        <f>_xlfn.XLOOKUP(C370,Analysis_Gadgets!$C:$C,Analysis_Gadgets!$B:$B)</f>
        <v>Gadget</v>
      </c>
      <c r="E370" s="43">
        <v>33</v>
      </c>
      <c r="F370" s="43">
        <f>_xlfn.XLOOKUP(A370,Class_Players!A:A,Class_Players!G:G)</f>
        <v>139</v>
      </c>
      <c r="G370" s="43">
        <f t="shared" si="114"/>
        <v>0.23741007194244604</v>
      </c>
      <c r="H370" s="43">
        <f>_xlfn.XLOOKUP(A370,Class_Players!$A:$A,Class_Players!$F:$F,"")</f>
        <v>7939</v>
      </c>
      <c r="I370" s="44">
        <f t="shared" si="115"/>
        <v>4.1566947978334805E-3</v>
      </c>
      <c r="J370" s="43">
        <f t="shared" si="116"/>
        <v>0</v>
      </c>
      <c r="K370" s="44" cm="1">
        <f t="array" ref="K370">IF(D370="Gadget",_xlfn.IFS(I370&gt;=0.2,0.5,I370&gt;=0.1,0.35,I370&gt;=0.05,0.2,TRUE,0),IF(D370="Grenade",_xlfn.IFS(I370&gt;=0.2,1,I370&gt;=0.1,0.7,I370&gt;=0.05,0.4,TRUE,0),0))</f>
        <v>0</v>
      </c>
      <c r="L370" s="57">
        <f t="shared" ref="L370:L375" si="121">IF($K370=0,0,$K370 / SUMIFS($K:$K,$A:$A,$A370,$D:$D,"Gadget"))</f>
        <v>0</v>
      </c>
    </row>
    <row r="371" spans="1:12" ht="15" customHeight="1" x14ac:dyDescent="0.25">
      <c r="A371" s="42" t="str" cm="1">
        <f t="array" ref="A371">IFERROR(INDEX(_xlfn._xlws.FILTER(Class_Players!A:A,Class_Players!B:B="Recon"),QUOTIENT(ROW()-ROW($A$2),8)+1),"")</f>
        <v>Mxyu</v>
      </c>
      <c r="B371" s="42" t="str">
        <f>_xlfn.XLOOKUP(A371,Class_Players!$A:$A,Class_Players!$B:$B,"")</f>
        <v>Recon</v>
      </c>
      <c r="C371" s="38" t="str" cm="1">
        <f t="array" ref="C371">INDEX(Lookups!$C$2:$C$9,MOD(ROW()-ROW($B$2),ROWS(Lookups!$C$2:$C$9))+1)</f>
        <v>Recon Drone</v>
      </c>
      <c r="D371" s="38" t="str">
        <f>_xlfn.XLOOKUP(C371,Analysis_Gadgets!$C:$C,Analysis_Gadgets!$B:$B)</f>
        <v>Gadget</v>
      </c>
      <c r="E371" s="43">
        <v>238</v>
      </c>
      <c r="F371" s="43">
        <f>_xlfn.XLOOKUP(A371,Class_Players!A:A,Class_Players!G:G)</f>
        <v>139</v>
      </c>
      <c r="G371" s="43">
        <f t="shared" si="114"/>
        <v>1.7122302158273381</v>
      </c>
      <c r="H371" s="43">
        <f>_xlfn.XLOOKUP(A371,Class_Players!$A:$A,Class_Players!$F:$F,"")</f>
        <v>7939</v>
      </c>
      <c r="I371" s="44">
        <f t="shared" si="115"/>
        <v>2.9978586723768737E-2</v>
      </c>
      <c r="J371" s="43">
        <f t="shared" si="116"/>
        <v>0</v>
      </c>
      <c r="K371" s="44" cm="1">
        <f t="array" ref="K371">IF(D371="Gadget",_xlfn.IFS(I371&gt;=0.2,0.5,I371&gt;=0.1,0.35,I371&gt;=0.05,0.2,TRUE,0),IF(D371="Grenade",_xlfn.IFS(I371&gt;=0.2,1,I371&gt;=0.1,0.7,I371&gt;=0.05,0.4,TRUE,0),0))</f>
        <v>0</v>
      </c>
      <c r="L371" s="57">
        <f t="shared" si="121"/>
        <v>0</v>
      </c>
    </row>
    <row r="372" spans="1:12" ht="15" customHeight="1" x14ac:dyDescent="0.25">
      <c r="A372" s="42" t="str" cm="1">
        <f t="array" ref="A372">IFERROR(INDEX(_xlfn._xlws.FILTER(Class_Players!A:A,Class_Players!B:B="Recon"),QUOTIENT(ROW()-ROW($A$2),8)+1),"")</f>
        <v>Mxyu</v>
      </c>
      <c r="B372" s="42" t="str">
        <f>_xlfn.XLOOKUP(A372,Class_Players!$A:$A,Class_Players!$B:$B,"")</f>
        <v>Recon</v>
      </c>
      <c r="C372" s="38" t="str" cm="1">
        <f t="array" ref="C372">INDEX(Lookups!$C$2:$C$9,MOD(ROW()-ROW($B$2),ROWS(Lookups!$C$2:$C$9))+1)</f>
        <v>Tracer Dart</v>
      </c>
      <c r="D372" s="38" t="str">
        <f>_xlfn.XLOOKUP(C372,Analysis_Gadgets!$C:$C,Analysis_Gadgets!$B:$B)</f>
        <v>Gadget</v>
      </c>
      <c r="E372" s="43">
        <v>6</v>
      </c>
      <c r="F372" s="43">
        <f>_xlfn.XLOOKUP(A372,Class_Players!A:A,Class_Players!G:G)</f>
        <v>139</v>
      </c>
      <c r="G372" s="43">
        <f t="shared" si="114"/>
        <v>4.3165467625899283E-2</v>
      </c>
      <c r="H372" s="43">
        <f>_xlfn.XLOOKUP(A372,Class_Players!$A:$A,Class_Players!$F:$F,"")</f>
        <v>7939</v>
      </c>
      <c r="I372" s="44">
        <f t="shared" si="115"/>
        <v>7.5576269051517823E-4</v>
      </c>
      <c r="J372" s="43">
        <f t="shared" si="116"/>
        <v>0</v>
      </c>
      <c r="K372" s="44" cm="1">
        <f t="array" ref="K372">IF(D372="Gadget",_xlfn.IFS(I372&gt;=0.2,0.5,I372&gt;=0.1,0.35,I372&gt;=0.05,0.2,TRUE,0),IF(D372="Grenade",_xlfn.IFS(I372&gt;=0.2,1,I372&gt;=0.1,0.7,I372&gt;=0.05,0.4,TRUE,0),0))</f>
        <v>0</v>
      </c>
      <c r="L372" s="57">
        <f t="shared" si="121"/>
        <v>0</v>
      </c>
    </row>
    <row r="373" spans="1:12" ht="15" customHeight="1" x14ac:dyDescent="0.25">
      <c r="A373" s="42" t="str" cm="1">
        <f t="array" ref="A373">IFERROR(INDEX(_xlfn._xlws.FILTER(Class_Players!A:A,Class_Players!B:B="Recon"),QUOTIENT(ROW()-ROW($A$2),8)+1),"")</f>
        <v>Mxyu</v>
      </c>
      <c r="B373" s="42" t="str">
        <f>_xlfn.XLOOKUP(A373,Class_Players!$A:$A,Class_Players!$B:$B,"")</f>
        <v>Recon</v>
      </c>
      <c r="C373" s="38" t="str" cm="1">
        <f t="array" ref="C373">INDEX(Lookups!$C$2:$C$9,MOD(ROW()-ROW($B$2),ROWS(Lookups!$C$2:$C$9))+1)</f>
        <v>M18A1 (Claymore)</v>
      </c>
      <c r="D373" s="38" t="str">
        <f>_xlfn.XLOOKUP(C373,Analysis_Gadgets!$C:$C,Analysis_Gadgets!$B:$B)</f>
        <v>Gadget</v>
      </c>
      <c r="E373" s="43">
        <v>405</v>
      </c>
      <c r="F373" s="43">
        <f>_xlfn.XLOOKUP(A373,Class_Players!A:A,Class_Players!G:G)</f>
        <v>139</v>
      </c>
      <c r="G373" s="43">
        <f t="shared" si="114"/>
        <v>2.9136690647482015</v>
      </c>
      <c r="H373" s="43">
        <f>_xlfn.XLOOKUP(A373,Class_Players!$A:$A,Class_Players!$F:$F,"")</f>
        <v>7939</v>
      </c>
      <c r="I373" s="44">
        <f t="shared" si="115"/>
        <v>5.1013981609774529E-2</v>
      </c>
      <c r="J373" s="43">
        <f t="shared" si="116"/>
        <v>0</v>
      </c>
      <c r="K373" s="44" cm="1">
        <f t="array" ref="K373">IF(D373="Gadget",_xlfn.IFS(I373&gt;=0.2,0.5,I373&gt;=0.1,0.35,I373&gt;=0.05,0.2,TRUE,0),IF(D373="Grenade",_xlfn.IFS(I373&gt;=0.2,1,I373&gt;=0.1,0.7,I373&gt;=0.05,0.4,TRUE,0),0))</f>
        <v>0.2</v>
      </c>
      <c r="L373" s="57">
        <f t="shared" si="121"/>
        <v>0.26666666666666666</v>
      </c>
    </row>
    <row r="374" spans="1:12" ht="15" customHeight="1" x14ac:dyDescent="0.25">
      <c r="A374" s="42" t="str" cm="1">
        <f t="array" ref="A374">IFERROR(INDEX(_xlfn._xlws.FILTER(Class_Players!A:A,Class_Players!B:B="Recon"),QUOTIENT(ROW()-ROW($A$2),8)+1),"")</f>
        <v>Mxyu</v>
      </c>
      <c r="B374" s="42" t="str">
        <f>_xlfn.XLOOKUP(A374,Class_Players!$A:$A,Class_Players!$B:$B,"")</f>
        <v>Recon</v>
      </c>
      <c r="C374" s="38" t="str" cm="1">
        <f t="array" ref="C374">INDEX(Lookups!$C$2:$C$9,MOD(ROW()-ROW($B$2),ROWS(Lookups!$C$2:$C$9))+1)</f>
        <v>Sniper Decoy</v>
      </c>
      <c r="D374" s="38" t="str">
        <f>_xlfn.XLOOKUP(C374,Analysis_Gadgets!$C:$C,Analysis_Gadgets!$B:$B)</f>
        <v>Gadget</v>
      </c>
      <c r="E374" s="43">
        <v>467</v>
      </c>
      <c r="F374" s="43">
        <f>_xlfn.XLOOKUP(A374,Class_Players!A:A,Class_Players!G:G)</f>
        <v>139</v>
      </c>
      <c r="G374" s="43">
        <f t="shared" si="114"/>
        <v>3.3597122302158273</v>
      </c>
      <c r="H374" s="43">
        <f>_xlfn.XLOOKUP(A374,Class_Players!$A:$A,Class_Players!$F:$F,"")</f>
        <v>7939</v>
      </c>
      <c r="I374" s="44">
        <f t="shared" si="115"/>
        <v>5.8823529411764705E-2</v>
      </c>
      <c r="J374" s="43">
        <f t="shared" si="116"/>
        <v>0</v>
      </c>
      <c r="K374" s="44" cm="1">
        <f t="array" ref="K374">IF(D374="Gadget",_xlfn.IFS(I374&gt;=0.2,0.5,I374&gt;=0.1,0.35,I374&gt;=0.05,0.2,TRUE,0),IF(D374="Grenade",_xlfn.IFS(I374&gt;=0.2,1,I374&gt;=0.1,0.7,I374&gt;=0.05,0.4,TRUE,0),0))</f>
        <v>0.2</v>
      </c>
      <c r="L374" s="57">
        <f t="shared" si="121"/>
        <v>0.26666666666666666</v>
      </c>
    </row>
    <row r="375" spans="1:12" ht="15" customHeight="1" x14ac:dyDescent="0.25">
      <c r="A375" s="42" t="str" cm="1">
        <f t="array" ref="A375">IFERROR(INDEX(_xlfn._xlws.FILTER(Class_Players!A:A,Class_Players!B:B="Recon"),QUOTIENT(ROW()-ROW($A$2),8)+1),"")</f>
        <v>Mxyu</v>
      </c>
      <c r="B375" s="42" t="str">
        <f>_xlfn.XLOOKUP(A375,Class_Players!$A:$A,Class_Players!$B:$B,"")</f>
        <v>Recon</v>
      </c>
      <c r="C375" s="38" t="str" cm="1">
        <f t="array" ref="C375">INDEX(Lookups!$C$2:$C$9,MOD(ROW()-ROW($B$2),ROWS(Lookups!$C$2:$C$9))+1)</f>
        <v>C-4 Explosives</v>
      </c>
      <c r="D375" s="38" t="str">
        <f>_xlfn.XLOOKUP(C375,Analysis_Gadgets!$C:$C,Analysis_Gadgets!$B:$B)</f>
        <v>Gadget</v>
      </c>
      <c r="E375" s="43">
        <v>1395</v>
      </c>
      <c r="F375" s="43">
        <f>_xlfn.XLOOKUP(A375,Class_Players!A:A,Class_Players!G:G)</f>
        <v>139</v>
      </c>
      <c r="G375" s="43">
        <f t="shared" si="114"/>
        <v>10.035971223021583</v>
      </c>
      <c r="H375" s="43">
        <f>_xlfn.XLOOKUP(A375,Class_Players!$A:$A,Class_Players!$F:$F,"")</f>
        <v>7939</v>
      </c>
      <c r="I375" s="44">
        <f t="shared" si="115"/>
        <v>0.17571482554477894</v>
      </c>
      <c r="J375" s="43">
        <f t="shared" si="116"/>
        <v>1</v>
      </c>
      <c r="K375" s="44" cm="1">
        <f t="array" ref="K375">IF(D375="Gadget",_xlfn.IFS(I375&gt;=0.2,0.5,I375&gt;=0.1,0.35,I375&gt;=0.05,0.2,TRUE,0),IF(D375="Grenade",_xlfn.IFS(I375&gt;=0.2,1,I375&gt;=0.1,0.7,I375&gt;=0.05,0.4,TRUE,0),0))</f>
        <v>0.35</v>
      </c>
      <c r="L375" s="57">
        <f t="shared" si="121"/>
        <v>0.46666666666666662</v>
      </c>
    </row>
    <row r="376" spans="1:12" ht="15" customHeight="1" x14ac:dyDescent="0.25">
      <c r="A376" s="42" t="str" cm="1">
        <f t="array" ref="A376">IFERROR(INDEX(_xlfn._xlws.FILTER(Class_Players!A:A,Class_Players!B:B="Recon"),QUOTIENT(ROW()-ROW($A$2),8)+1),"")</f>
        <v>Mxyu</v>
      </c>
      <c r="B376" s="42" t="str">
        <f>_xlfn.XLOOKUP(A376,Class_Players!$A:$A,Class_Players!$B:$B,"")</f>
        <v>Recon</v>
      </c>
      <c r="C376" s="38" t="str" cm="1">
        <f t="array" ref="C376">INDEX(Lookups!$C$2:$C$9,MOD(ROW()-ROW($B$2),ROWS(Lookups!$C$2:$C$9))+1)</f>
        <v>Proximity Detector</v>
      </c>
      <c r="D376" s="38" t="str">
        <f>_xlfn.XLOOKUP(C376,Analysis_Gadgets!$C:$C,Analysis_Gadgets!$B:$B)</f>
        <v>Grenade</v>
      </c>
      <c r="E376" s="43">
        <v>68</v>
      </c>
      <c r="F376" s="43">
        <f>_xlfn.XLOOKUP(A376,Class_Players!A:A,Class_Players!G:G)</f>
        <v>139</v>
      </c>
      <c r="G376" s="43">
        <f t="shared" si="114"/>
        <v>0.48920863309352519</v>
      </c>
      <c r="H376" s="43">
        <f>_xlfn.XLOOKUP(A376,Class_Players!$A:$A,Class_Players!$F:$F,"")</f>
        <v>7939</v>
      </c>
      <c r="I376" s="44">
        <f t="shared" si="115"/>
        <v>8.5653104925053538E-3</v>
      </c>
      <c r="J376" s="43">
        <f t="shared" si="116"/>
        <v>0</v>
      </c>
      <c r="K376" s="44" cm="1">
        <f t="array" ref="K376">IF(D376="Gadget",_xlfn.IFS(I376&gt;=0.2,0.5,I376&gt;=0.1,0.35,I376&gt;=0.05,0.2,TRUE,0),IF(D376="Grenade",_xlfn.IFS(I376&gt;=0.2,1,I376&gt;=0.1,0.7,I376&gt;=0.05,0.4,TRUE,0),0))</f>
        <v>0</v>
      </c>
      <c r="L376" s="57">
        <f t="shared" ref="L376:L377" si="122">IF($K376=0,0,$K376 / SUMIFS($K:$K,$A:$A,$A376,$D:$D,"Grenade"))</f>
        <v>0</v>
      </c>
    </row>
    <row r="377" spans="1:12" ht="15" customHeight="1" x14ac:dyDescent="0.25">
      <c r="A377" s="42" t="str" cm="1">
        <f t="array" ref="A377">IFERROR(INDEX(_xlfn._xlws.FILTER(Class_Players!A:A,Class_Players!B:B="Recon"),QUOTIENT(ROW()-ROW($A$2),8)+1),"")</f>
        <v>Mxyu</v>
      </c>
      <c r="B377" s="42" t="str">
        <f>_xlfn.XLOOKUP(A377,Class_Players!$A:$A,Class_Players!$B:$B,"")</f>
        <v>Recon</v>
      </c>
      <c r="C377" s="38" t="str" cm="1">
        <f t="array" ref="C377">INDEX(Lookups!$C$2:$C$9,MOD(ROW()-ROW($B$2),ROWS(Lookups!$C$2:$C$9))+1)</f>
        <v>Throwing Knife</v>
      </c>
      <c r="D377" s="38" t="str">
        <f>_xlfn.XLOOKUP(C377,Analysis_Gadgets!$C:$C,Analysis_Gadgets!$B:$B)</f>
        <v>Grenade</v>
      </c>
      <c r="E377" s="43">
        <v>12</v>
      </c>
      <c r="F377" s="43">
        <f>_xlfn.XLOOKUP(A377,Class_Players!A:A,Class_Players!G:G)</f>
        <v>139</v>
      </c>
      <c r="G377" s="43">
        <f t="shared" si="114"/>
        <v>8.6330935251798566E-2</v>
      </c>
      <c r="H377" s="43">
        <f>_xlfn.XLOOKUP(A377,Class_Players!$A:$A,Class_Players!$F:$F,"")</f>
        <v>7939</v>
      </c>
      <c r="I377" s="44">
        <f t="shared" si="115"/>
        <v>1.5115253810303565E-3</v>
      </c>
      <c r="J377" s="43">
        <f t="shared" si="116"/>
        <v>0</v>
      </c>
      <c r="K377" s="44" cm="1">
        <f t="array" ref="K377">IF(D377="Gadget",_xlfn.IFS(I377&gt;=0.2,0.5,I377&gt;=0.1,0.35,I377&gt;=0.05,0.2,TRUE,0),IF(D377="Grenade",_xlfn.IFS(I377&gt;=0.2,1,I377&gt;=0.1,0.7,I377&gt;=0.05,0.4,TRUE,0),0))</f>
        <v>0</v>
      </c>
      <c r="L377" s="57">
        <f t="shared" si="122"/>
        <v>0</v>
      </c>
    </row>
    <row r="378" spans="1:12" ht="15" customHeight="1" x14ac:dyDescent="0.25">
      <c r="A378" s="42" t="str" cm="1">
        <f t="array" ref="A378">IFERROR(INDEX(_xlfn._xlws.FILTER(Class_Players!A:A,Class_Players!B:B="Recon"),QUOTIENT(ROW()-ROW($A$2),8)+1),"")</f>
        <v>zekim21TTV</v>
      </c>
      <c r="B378" s="42" t="str">
        <f>_xlfn.XLOOKUP(A378,Class_Players!$A:$A,Class_Players!$B:$B,"")</f>
        <v>Recon</v>
      </c>
      <c r="C378" s="38" t="str" cm="1">
        <f t="array" ref="C378">INDEX(Lookups!$C$2:$C$9,MOD(ROW()-ROW($B$2),ROWS(Lookups!$C$2:$C$9))+1)</f>
        <v>Laser Designator</v>
      </c>
      <c r="D378" s="38" t="str">
        <f>_xlfn.XLOOKUP(C378,Analysis_Gadgets!$C:$C,Analysis_Gadgets!$B:$B)</f>
        <v>Gadget</v>
      </c>
      <c r="E378" s="43">
        <v>144</v>
      </c>
      <c r="F378" s="43">
        <f>_xlfn.XLOOKUP(A378,Class_Players!A:A,Class_Players!G:G)</f>
        <v>183</v>
      </c>
      <c r="G378" s="43">
        <f t="shared" si="114"/>
        <v>0.78688524590163933</v>
      </c>
      <c r="H378" s="43">
        <f>_xlfn.XLOOKUP(A378,Class_Players!$A:$A,Class_Players!$F:$F,"")</f>
        <v>7231</v>
      </c>
      <c r="I378" s="44">
        <f t="shared" si="115"/>
        <v>1.9914258055593971E-2</v>
      </c>
      <c r="J378" s="43">
        <f t="shared" si="116"/>
        <v>0</v>
      </c>
      <c r="K378" s="44" cm="1">
        <f t="array" ref="K378">IF(D378="Gadget",_xlfn.IFS(I378&gt;=0.2,0.5,I378&gt;=0.1,0.35,I378&gt;=0.05,0.2,TRUE,0),IF(D378="Grenade",_xlfn.IFS(I378&gt;=0.2,1,I378&gt;=0.1,0.7,I378&gt;=0.05,0.4,TRUE,0),0))</f>
        <v>0</v>
      </c>
      <c r="L378" s="57">
        <f t="shared" ref="L378:L383" si="123">IF($K378=0,0,$K378 / SUMIFS($K:$K,$A:$A,$A378,$D:$D,"Gadget"))</f>
        <v>0</v>
      </c>
    </row>
    <row r="379" spans="1:12" ht="15" customHeight="1" x14ac:dyDescent="0.25">
      <c r="A379" s="42" t="str" cm="1">
        <f t="array" ref="A379">IFERROR(INDEX(_xlfn._xlws.FILTER(Class_Players!A:A,Class_Players!B:B="Recon"),QUOTIENT(ROW()-ROW($A$2),8)+1),"")</f>
        <v>zekim21TTV</v>
      </c>
      <c r="B379" s="42" t="str">
        <f>_xlfn.XLOOKUP(A379,Class_Players!$A:$A,Class_Players!$B:$B,"")</f>
        <v>Recon</v>
      </c>
      <c r="C379" s="38" t="str" cm="1">
        <f t="array" ref="C379">INDEX(Lookups!$C$2:$C$9,MOD(ROW()-ROW($B$2),ROWS(Lookups!$C$2:$C$9))+1)</f>
        <v>Recon Drone</v>
      </c>
      <c r="D379" s="38" t="str">
        <f>_xlfn.XLOOKUP(C379,Analysis_Gadgets!$C:$C,Analysis_Gadgets!$B:$B)</f>
        <v>Gadget</v>
      </c>
      <c r="E379" s="43">
        <v>82</v>
      </c>
      <c r="F379" s="43">
        <f>_xlfn.XLOOKUP(A379,Class_Players!A:A,Class_Players!G:G)</f>
        <v>183</v>
      </c>
      <c r="G379" s="43">
        <f t="shared" si="114"/>
        <v>0.44808743169398907</v>
      </c>
      <c r="H379" s="43">
        <f>_xlfn.XLOOKUP(A379,Class_Players!$A:$A,Class_Players!$F:$F,"")</f>
        <v>7231</v>
      </c>
      <c r="I379" s="44">
        <f t="shared" si="115"/>
        <v>1.134006361499101E-2</v>
      </c>
      <c r="J379" s="43">
        <f t="shared" si="116"/>
        <v>0</v>
      </c>
      <c r="K379" s="44" cm="1">
        <f t="array" ref="K379">IF(D379="Gadget",_xlfn.IFS(I379&gt;=0.2,0.5,I379&gt;=0.1,0.35,I379&gt;=0.05,0.2,TRUE,0),IF(D379="Grenade",_xlfn.IFS(I379&gt;=0.2,1,I379&gt;=0.1,0.7,I379&gt;=0.05,0.4,TRUE,0),0))</f>
        <v>0</v>
      </c>
      <c r="L379" s="57">
        <f t="shared" si="123"/>
        <v>0</v>
      </c>
    </row>
    <row r="380" spans="1:12" ht="15" customHeight="1" x14ac:dyDescent="0.25">
      <c r="A380" s="42" t="str" cm="1">
        <f t="array" ref="A380">IFERROR(INDEX(_xlfn._xlws.FILTER(Class_Players!A:A,Class_Players!B:B="Recon"),QUOTIENT(ROW()-ROW($A$2),8)+1),"")</f>
        <v>zekim21TTV</v>
      </c>
      <c r="B380" s="42" t="str">
        <f>_xlfn.XLOOKUP(A380,Class_Players!$A:$A,Class_Players!$B:$B,"")</f>
        <v>Recon</v>
      </c>
      <c r="C380" s="38" t="str" cm="1">
        <f t="array" ref="C380">INDEX(Lookups!$C$2:$C$9,MOD(ROW()-ROW($B$2),ROWS(Lookups!$C$2:$C$9))+1)</f>
        <v>Tracer Dart</v>
      </c>
      <c r="D380" s="38" t="str">
        <f>_xlfn.XLOOKUP(C380,Analysis_Gadgets!$C:$C,Analysis_Gadgets!$B:$B)</f>
        <v>Gadget</v>
      </c>
      <c r="E380" s="43">
        <v>15</v>
      </c>
      <c r="F380" s="43">
        <f>_xlfn.XLOOKUP(A380,Class_Players!A:A,Class_Players!G:G)</f>
        <v>183</v>
      </c>
      <c r="G380" s="43">
        <f t="shared" si="114"/>
        <v>8.1967213114754092E-2</v>
      </c>
      <c r="H380" s="43">
        <f>_xlfn.XLOOKUP(A380,Class_Players!$A:$A,Class_Players!$F:$F,"")</f>
        <v>7231</v>
      </c>
      <c r="I380" s="44">
        <f t="shared" si="115"/>
        <v>2.0744018807910387E-3</v>
      </c>
      <c r="J380" s="43">
        <f t="shared" si="116"/>
        <v>0</v>
      </c>
      <c r="K380" s="44" cm="1">
        <f t="array" ref="K380">IF(D380="Gadget",_xlfn.IFS(I380&gt;=0.2,0.5,I380&gt;=0.1,0.35,I380&gt;=0.05,0.2,TRUE,0),IF(D380="Grenade",_xlfn.IFS(I380&gt;=0.2,1,I380&gt;=0.1,0.7,I380&gt;=0.05,0.4,TRUE,0),0))</f>
        <v>0</v>
      </c>
      <c r="L380" s="57">
        <f t="shared" si="123"/>
        <v>0</v>
      </c>
    </row>
    <row r="381" spans="1:12" ht="15" customHeight="1" x14ac:dyDescent="0.25">
      <c r="A381" s="42" t="str" cm="1">
        <f t="array" ref="A381">IFERROR(INDEX(_xlfn._xlws.FILTER(Class_Players!A:A,Class_Players!B:B="Recon"),QUOTIENT(ROW()-ROW($A$2),8)+1),"")</f>
        <v>zekim21TTV</v>
      </c>
      <c r="B381" s="42" t="str">
        <f>_xlfn.XLOOKUP(A381,Class_Players!$A:$A,Class_Players!$B:$B,"")</f>
        <v>Recon</v>
      </c>
      <c r="C381" s="38" t="str" cm="1">
        <f t="array" ref="C381">INDEX(Lookups!$C$2:$C$9,MOD(ROW()-ROW($B$2),ROWS(Lookups!$C$2:$C$9))+1)</f>
        <v>M18A1 (Claymore)</v>
      </c>
      <c r="D381" s="38" t="str">
        <f>_xlfn.XLOOKUP(C381,Analysis_Gadgets!$C:$C,Analysis_Gadgets!$B:$B)</f>
        <v>Gadget</v>
      </c>
      <c r="E381" s="43">
        <v>372</v>
      </c>
      <c r="F381" s="43">
        <f>_xlfn.XLOOKUP(A381,Class_Players!A:A,Class_Players!G:G)</f>
        <v>183</v>
      </c>
      <c r="G381" s="43">
        <f t="shared" si="114"/>
        <v>2.0327868852459017</v>
      </c>
      <c r="H381" s="43">
        <f>_xlfn.XLOOKUP(A381,Class_Players!$A:$A,Class_Players!$F:$F,"")</f>
        <v>7231</v>
      </c>
      <c r="I381" s="44">
        <f t="shared" si="115"/>
        <v>5.1445166643617757E-2</v>
      </c>
      <c r="J381" s="43">
        <f t="shared" si="116"/>
        <v>0</v>
      </c>
      <c r="K381" s="44" cm="1">
        <f t="array" ref="K381">IF(D381="Gadget",_xlfn.IFS(I381&gt;=0.2,0.5,I381&gt;=0.1,0.35,I381&gt;=0.05,0.2,TRUE,0),IF(D381="Grenade",_xlfn.IFS(I381&gt;=0.2,1,I381&gt;=0.1,0.7,I381&gt;=0.05,0.4,TRUE,0),0))</f>
        <v>0.2</v>
      </c>
      <c r="L381" s="57">
        <f t="shared" si="123"/>
        <v>0.28571428571428575</v>
      </c>
    </row>
    <row r="382" spans="1:12" ht="15" customHeight="1" x14ac:dyDescent="0.25">
      <c r="A382" s="42" t="str" cm="1">
        <f t="array" ref="A382">IFERROR(INDEX(_xlfn._xlws.FILTER(Class_Players!A:A,Class_Players!B:B="Recon"),QUOTIENT(ROW()-ROW($A$2),8)+1),"")</f>
        <v>zekim21TTV</v>
      </c>
      <c r="B382" s="42" t="str">
        <f>_xlfn.XLOOKUP(A382,Class_Players!$A:$A,Class_Players!$B:$B,"")</f>
        <v>Recon</v>
      </c>
      <c r="C382" s="38" t="str" cm="1">
        <f t="array" ref="C382">INDEX(Lookups!$C$2:$C$9,MOD(ROW()-ROW($B$2),ROWS(Lookups!$C$2:$C$9))+1)</f>
        <v>Sniper Decoy</v>
      </c>
      <c r="D382" s="38" t="str">
        <f>_xlfn.XLOOKUP(C382,Analysis_Gadgets!$C:$C,Analysis_Gadgets!$B:$B)</f>
        <v>Gadget</v>
      </c>
      <c r="E382" s="43">
        <v>20</v>
      </c>
      <c r="F382" s="43">
        <f>_xlfn.XLOOKUP(A382,Class_Players!A:A,Class_Players!G:G)</f>
        <v>183</v>
      </c>
      <c r="G382" s="43">
        <f t="shared" si="114"/>
        <v>0.10928961748633879</v>
      </c>
      <c r="H382" s="43">
        <f>_xlfn.XLOOKUP(A382,Class_Players!$A:$A,Class_Players!$F:$F,"")</f>
        <v>7231</v>
      </c>
      <c r="I382" s="44">
        <f t="shared" si="115"/>
        <v>2.7658691743880515E-3</v>
      </c>
      <c r="J382" s="43">
        <f t="shared" si="116"/>
        <v>0</v>
      </c>
      <c r="K382" s="44" cm="1">
        <f t="array" ref="K382">IF(D382="Gadget",_xlfn.IFS(I382&gt;=0.2,0.5,I382&gt;=0.1,0.35,I382&gt;=0.05,0.2,TRUE,0),IF(D382="Grenade",_xlfn.IFS(I382&gt;=0.2,1,I382&gt;=0.1,0.7,I382&gt;=0.05,0.4,TRUE,0),0))</f>
        <v>0</v>
      </c>
      <c r="L382" s="57">
        <f t="shared" si="123"/>
        <v>0</v>
      </c>
    </row>
    <row r="383" spans="1:12" ht="15" customHeight="1" x14ac:dyDescent="0.25">
      <c r="A383" s="42" t="str" cm="1">
        <f t="array" ref="A383">IFERROR(INDEX(_xlfn._xlws.FILTER(Class_Players!A:A,Class_Players!B:B="Recon"),QUOTIENT(ROW()-ROW($A$2),8)+1),"")</f>
        <v>zekim21TTV</v>
      </c>
      <c r="B383" s="42" t="str">
        <f>_xlfn.XLOOKUP(A383,Class_Players!$A:$A,Class_Players!$B:$B,"")</f>
        <v>Recon</v>
      </c>
      <c r="C383" s="38" t="str" cm="1">
        <f t="array" ref="C383">INDEX(Lookups!$C$2:$C$9,MOD(ROW()-ROW($B$2),ROWS(Lookups!$C$2:$C$9))+1)</f>
        <v>C-4 Explosives</v>
      </c>
      <c r="D383" s="38" t="str">
        <f>_xlfn.XLOOKUP(C383,Analysis_Gadgets!$C:$C,Analysis_Gadgets!$B:$B)</f>
        <v>Gadget</v>
      </c>
      <c r="E383" s="43">
        <v>2691</v>
      </c>
      <c r="F383" s="43">
        <f>_xlfn.XLOOKUP(A383,Class_Players!A:A,Class_Players!G:G)</f>
        <v>183</v>
      </c>
      <c r="G383" s="43">
        <f t="shared" si="114"/>
        <v>14.704918032786885</v>
      </c>
      <c r="H383" s="43">
        <f>_xlfn.XLOOKUP(A383,Class_Players!$A:$A,Class_Players!$F:$F,"")</f>
        <v>7231</v>
      </c>
      <c r="I383" s="44">
        <f t="shared" si="115"/>
        <v>0.37214769741391235</v>
      </c>
      <c r="J383" s="43">
        <f t="shared" si="116"/>
        <v>1</v>
      </c>
      <c r="K383" s="44" cm="1">
        <f t="array" ref="K383">IF(D383="Gadget",_xlfn.IFS(I383&gt;=0.2,0.5,I383&gt;=0.1,0.35,I383&gt;=0.05,0.2,TRUE,0),IF(D383="Grenade",_xlfn.IFS(I383&gt;=0.2,1,I383&gt;=0.1,0.7,I383&gt;=0.05,0.4,TRUE,0),0))</f>
        <v>0.5</v>
      </c>
      <c r="L383" s="57">
        <f t="shared" si="123"/>
        <v>0.7142857142857143</v>
      </c>
    </row>
    <row r="384" spans="1:12" ht="15" customHeight="1" x14ac:dyDescent="0.25">
      <c r="A384" s="42" t="str" cm="1">
        <f t="array" ref="A384">IFERROR(INDEX(_xlfn._xlws.FILTER(Class_Players!A:A,Class_Players!B:B="Recon"),QUOTIENT(ROW()-ROW($A$2),8)+1),"")</f>
        <v>zekim21TTV</v>
      </c>
      <c r="B384" s="42" t="str">
        <f>_xlfn.XLOOKUP(A384,Class_Players!$A:$A,Class_Players!$B:$B,"")</f>
        <v>Recon</v>
      </c>
      <c r="C384" s="38" t="str" cm="1">
        <f t="array" ref="C384">INDEX(Lookups!$C$2:$C$9,MOD(ROW()-ROW($B$2),ROWS(Lookups!$C$2:$C$9))+1)</f>
        <v>Proximity Detector</v>
      </c>
      <c r="D384" s="38" t="str">
        <f>_xlfn.XLOOKUP(C384,Analysis_Gadgets!$C:$C,Analysis_Gadgets!$B:$B)</f>
        <v>Grenade</v>
      </c>
      <c r="E384" s="43">
        <v>0</v>
      </c>
      <c r="F384" s="43">
        <f>_xlfn.XLOOKUP(A384,Class_Players!A:A,Class_Players!G:G)</f>
        <v>183</v>
      </c>
      <c r="G384" s="43">
        <f t="shared" si="114"/>
        <v>0</v>
      </c>
      <c r="H384" s="43">
        <f>_xlfn.XLOOKUP(A384,Class_Players!$A:$A,Class_Players!$F:$F,"")</f>
        <v>7231</v>
      </c>
      <c r="I384" s="44">
        <f t="shared" si="115"/>
        <v>0</v>
      </c>
      <c r="J384" s="43">
        <f t="shared" si="116"/>
        <v>0</v>
      </c>
      <c r="K384" s="44" cm="1">
        <f t="array" ref="K384">IF(D384="Gadget",_xlfn.IFS(I384&gt;=0.2,0.5,I384&gt;=0.1,0.35,I384&gt;=0.05,0.2,TRUE,0),IF(D384="Grenade",_xlfn.IFS(I384&gt;=0.2,1,I384&gt;=0.1,0.7,I384&gt;=0.05,0.4,TRUE,0),0))</f>
        <v>0</v>
      </c>
      <c r="L384" s="57">
        <f t="shared" ref="L384:L385" si="124">IF($K384=0,0,$K384 / SUMIFS($K:$K,$A:$A,$A384,$D:$D,"Grenade"))</f>
        <v>0</v>
      </c>
    </row>
    <row r="385" spans="1:12" ht="15" customHeight="1" x14ac:dyDescent="0.25">
      <c r="A385" s="42" t="str" cm="1">
        <f t="array" ref="A385">IFERROR(INDEX(_xlfn._xlws.FILTER(Class_Players!A:A,Class_Players!B:B="Recon"),QUOTIENT(ROW()-ROW($A$2),8)+1),"")</f>
        <v>zekim21TTV</v>
      </c>
      <c r="B385" s="42" t="str">
        <f>_xlfn.XLOOKUP(A385,Class_Players!$A:$A,Class_Players!$B:$B,"")</f>
        <v>Recon</v>
      </c>
      <c r="C385" s="38" t="str" cm="1">
        <f t="array" ref="C385">INDEX(Lookups!$C$2:$C$9,MOD(ROW()-ROW($B$2),ROWS(Lookups!$C$2:$C$9))+1)</f>
        <v>Throwing Knife</v>
      </c>
      <c r="D385" s="38" t="str">
        <f>_xlfn.XLOOKUP(C385,Analysis_Gadgets!$C:$C,Analysis_Gadgets!$B:$B)</f>
        <v>Grenade</v>
      </c>
      <c r="E385" s="43">
        <v>36</v>
      </c>
      <c r="F385" s="43">
        <f>_xlfn.XLOOKUP(A385,Class_Players!A:A,Class_Players!G:G)</f>
        <v>183</v>
      </c>
      <c r="G385" s="43">
        <f t="shared" si="114"/>
        <v>0.19672131147540983</v>
      </c>
      <c r="H385" s="43">
        <f>_xlfn.XLOOKUP(A385,Class_Players!$A:$A,Class_Players!$F:$F,"")</f>
        <v>7231</v>
      </c>
      <c r="I385" s="44">
        <f t="shared" si="115"/>
        <v>4.9785645138984928E-3</v>
      </c>
      <c r="J385" s="43">
        <f t="shared" si="116"/>
        <v>0</v>
      </c>
      <c r="K385" s="44" cm="1">
        <f t="array" ref="K385">IF(D385="Gadget",_xlfn.IFS(I385&gt;=0.2,0.5,I385&gt;=0.1,0.35,I385&gt;=0.05,0.2,TRUE,0),IF(D385="Grenade",_xlfn.IFS(I385&gt;=0.2,1,I385&gt;=0.1,0.7,I385&gt;=0.05,0.4,TRUE,0),0))</f>
        <v>0</v>
      </c>
      <c r="L385" s="57">
        <f t="shared" si="124"/>
        <v>0</v>
      </c>
    </row>
    <row r="386" spans="1:12" ht="15" customHeight="1" x14ac:dyDescent="0.25">
      <c r="A386" s="42" t="str" cm="1">
        <f t="array" ref="A386">IFERROR(INDEX(_xlfn._xlws.FILTER(Class_Players!A:A,Class_Players!B:B="Recon"),QUOTIENT(ROW()-ROW($A$2),8)+1),"")</f>
        <v>paid actor</v>
      </c>
      <c r="B386" s="42" t="str">
        <f>_xlfn.XLOOKUP(A386,Class_Players!$A:$A,Class_Players!$B:$B,"")</f>
        <v>Recon</v>
      </c>
      <c r="C386" s="38" t="str" cm="1">
        <f t="array" ref="C386">INDEX(Lookups!$C$2:$C$9,MOD(ROW()-ROW($B$2),ROWS(Lookups!$C$2:$C$9))+1)</f>
        <v>Laser Designator</v>
      </c>
      <c r="D386" s="38" t="str">
        <f>_xlfn.XLOOKUP(C386,Analysis_Gadgets!$C:$C,Analysis_Gadgets!$B:$B)</f>
        <v>Gadget</v>
      </c>
      <c r="E386" s="43">
        <v>222</v>
      </c>
      <c r="F386" s="43">
        <f>_xlfn.XLOOKUP(A386,Class_Players!A:A,Class_Players!G:G)</f>
        <v>231</v>
      </c>
      <c r="G386" s="43">
        <f t="shared" si="114"/>
        <v>0.96103896103896103</v>
      </c>
      <c r="H386" s="43">
        <f>_xlfn.XLOOKUP(A386,Class_Players!$A:$A,Class_Players!$F:$F,"")</f>
        <v>7219</v>
      </c>
      <c r="I386" s="44">
        <f t="shared" si="115"/>
        <v>3.0752181742623633E-2</v>
      </c>
      <c r="J386" s="43">
        <f t="shared" si="116"/>
        <v>0</v>
      </c>
      <c r="K386" s="44" cm="1">
        <f t="array" ref="K386">IF(D386="Gadget",_xlfn.IFS(I386&gt;=0.2,0.5,I386&gt;=0.1,0.35,I386&gt;=0.05,0.2,TRUE,0),IF(D386="Grenade",_xlfn.IFS(I386&gt;=0.2,1,I386&gt;=0.1,0.7,I386&gt;=0.05,0.4,TRUE,0),0))</f>
        <v>0</v>
      </c>
      <c r="L386" s="57">
        <f t="shared" ref="L386:L391" si="125">IF($K386=0,0,$K386 / SUMIFS($K:$K,$A:$A,$A386,$D:$D,"Gadget"))</f>
        <v>0</v>
      </c>
    </row>
    <row r="387" spans="1:12" ht="15" customHeight="1" x14ac:dyDescent="0.25">
      <c r="A387" s="42" t="str" cm="1">
        <f t="array" ref="A387">IFERROR(INDEX(_xlfn._xlws.FILTER(Class_Players!A:A,Class_Players!B:B="Recon"),QUOTIENT(ROW()-ROW($A$2),8)+1),"")</f>
        <v>paid actor</v>
      </c>
      <c r="B387" s="42" t="str">
        <f>_xlfn.XLOOKUP(A387,Class_Players!$A:$A,Class_Players!$B:$B,"")</f>
        <v>Recon</v>
      </c>
      <c r="C387" s="38" t="str" cm="1">
        <f t="array" ref="C387">INDEX(Lookups!$C$2:$C$9,MOD(ROW()-ROW($B$2),ROWS(Lookups!$C$2:$C$9))+1)</f>
        <v>Recon Drone</v>
      </c>
      <c r="D387" s="38" t="str">
        <f>_xlfn.XLOOKUP(C387,Analysis_Gadgets!$C:$C,Analysis_Gadgets!$B:$B)</f>
        <v>Gadget</v>
      </c>
      <c r="E387" s="43">
        <v>140</v>
      </c>
      <c r="F387" s="43">
        <f>_xlfn.XLOOKUP(A387,Class_Players!A:A,Class_Players!G:G)</f>
        <v>231</v>
      </c>
      <c r="G387" s="43">
        <f t="shared" si="114"/>
        <v>0.60606060606060608</v>
      </c>
      <c r="H387" s="43">
        <f>_xlfn.XLOOKUP(A387,Class_Players!$A:$A,Class_Players!$F:$F,"")</f>
        <v>7219</v>
      </c>
      <c r="I387" s="44">
        <f t="shared" si="115"/>
        <v>1.9393267765618508E-2</v>
      </c>
      <c r="J387" s="43">
        <f t="shared" si="116"/>
        <v>0</v>
      </c>
      <c r="K387" s="44" cm="1">
        <f t="array" ref="K387">IF(D387="Gadget",_xlfn.IFS(I387&gt;=0.2,0.5,I387&gt;=0.1,0.35,I387&gt;=0.05,0.2,TRUE,0),IF(D387="Grenade",_xlfn.IFS(I387&gt;=0.2,1,I387&gt;=0.1,0.7,I387&gt;=0.05,0.4,TRUE,0),0))</f>
        <v>0</v>
      </c>
      <c r="L387" s="57">
        <f t="shared" si="125"/>
        <v>0</v>
      </c>
    </row>
    <row r="388" spans="1:12" ht="15" customHeight="1" x14ac:dyDescent="0.25">
      <c r="A388" s="42" t="str" cm="1">
        <f t="array" ref="A388">IFERROR(INDEX(_xlfn._xlws.FILTER(Class_Players!A:A,Class_Players!B:B="Recon"),QUOTIENT(ROW()-ROW($A$2),8)+1),"")</f>
        <v>paid actor</v>
      </c>
      <c r="B388" s="42" t="str">
        <f>_xlfn.XLOOKUP(A388,Class_Players!$A:$A,Class_Players!$B:$B,"")</f>
        <v>Recon</v>
      </c>
      <c r="C388" s="38" t="str" cm="1">
        <f t="array" ref="C388">INDEX(Lookups!$C$2:$C$9,MOD(ROW()-ROW($B$2),ROWS(Lookups!$C$2:$C$9))+1)</f>
        <v>Tracer Dart</v>
      </c>
      <c r="D388" s="38" t="str">
        <f>_xlfn.XLOOKUP(C388,Analysis_Gadgets!$C:$C,Analysis_Gadgets!$B:$B)</f>
        <v>Gadget</v>
      </c>
      <c r="E388" s="43">
        <v>58</v>
      </c>
      <c r="F388" s="43">
        <f>_xlfn.XLOOKUP(A388,Class_Players!A:A,Class_Players!G:G)</f>
        <v>231</v>
      </c>
      <c r="G388" s="43">
        <f t="shared" si="114"/>
        <v>0.25108225108225107</v>
      </c>
      <c r="H388" s="43">
        <f>_xlfn.XLOOKUP(A388,Class_Players!$A:$A,Class_Players!$F:$F,"")</f>
        <v>7219</v>
      </c>
      <c r="I388" s="44">
        <f t="shared" si="115"/>
        <v>8.0343537886133822E-3</v>
      </c>
      <c r="J388" s="43">
        <f t="shared" si="116"/>
        <v>0</v>
      </c>
      <c r="K388" s="44" cm="1">
        <f t="array" ref="K388">IF(D388="Gadget",_xlfn.IFS(I388&gt;=0.2,0.5,I388&gt;=0.1,0.35,I388&gt;=0.05,0.2,TRUE,0),IF(D388="Grenade",_xlfn.IFS(I388&gt;=0.2,1,I388&gt;=0.1,0.7,I388&gt;=0.05,0.4,TRUE,0),0))</f>
        <v>0</v>
      </c>
      <c r="L388" s="57">
        <f t="shared" si="125"/>
        <v>0</v>
      </c>
    </row>
    <row r="389" spans="1:12" ht="15" customHeight="1" x14ac:dyDescent="0.25">
      <c r="A389" s="42" t="str" cm="1">
        <f t="array" ref="A389">IFERROR(INDEX(_xlfn._xlws.FILTER(Class_Players!A:A,Class_Players!B:B="Recon"),QUOTIENT(ROW()-ROW($A$2),8)+1),"")</f>
        <v>paid actor</v>
      </c>
      <c r="B389" s="42" t="str">
        <f>_xlfn.XLOOKUP(A389,Class_Players!$A:$A,Class_Players!$B:$B,"")</f>
        <v>Recon</v>
      </c>
      <c r="C389" s="38" t="str" cm="1">
        <f t="array" ref="C389">INDEX(Lookups!$C$2:$C$9,MOD(ROW()-ROW($B$2),ROWS(Lookups!$C$2:$C$9))+1)</f>
        <v>M18A1 (Claymore)</v>
      </c>
      <c r="D389" s="38" t="str">
        <f>_xlfn.XLOOKUP(C389,Analysis_Gadgets!$C:$C,Analysis_Gadgets!$B:$B)</f>
        <v>Gadget</v>
      </c>
      <c r="E389" s="43">
        <v>2061</v>
      </c>
      <c r="F389" s="43">
        <f>_xlfn.XLOOKUP(A389,Class_Players!A:A,Class_Players!G:G)</f>
        <v>231</v>
      </c>
      <c r="G389" s="43">
        <f t="shared" si="114"/>
        <v>8.9220779220779214</v>
      </c>
      <c r="H389" s="43">
        <f>_xlfn.XLOOKUP(A389,Class_Players!$A:$A,Class_Players!$F:$F,"")</f>
        <v>7219</v>
      </c>
      <c r="I389" s="44">
        <f t="shared" si="115"/>
        <v>0.28549660617814104</v>
      </c>
      <c r="J389" s="43">
        <f t="shared" si="116"/>
        <v>1</v>
      </c>
      <c r="K389" s="44" cm="1">
        <f t="array" ref="K389">IF(D389="Gadget",_xlfn.IFS(I389&gt;=0.2,0.5,I389&gt;=0.1,0.35,I389&gt;=0.05,0.2,TRUE,0),IF(D389="Grenade",_xlfn.IFS(I389&gt;=0.2,1,I389&gt;=0.1,0.7,I389&gt;=0.05,0.4,TRUE,0),0))</f>
        <v>0.5</v>
      </c>
      <c r="L389" s="57">
        <f t="shared" si="125"/>
        <v>0.5</v>
      </c>
    </row>
    <row r="390" spans="1:12" ht="15" customHeight="1" x14ac:dyDescent="0.25">
      <c r="A390" s="42" t="str" cm="1">
        <f t="array" ref="A390">IFERROR(INDEX(_xlfn._xlws.FILTER(Class_Players!A:A,Class_Players!B:B="Recon"),QUOTIENT(ROW()-ROW($A$2),8)+1),"")</f>
        <v>paid actor</v>
      </c>
      <c r="B390" s="42" t="str">
        <f>_xlfn.XLOOKUP(A390,Class_Players!$A:$A,Class_Players!$B:$B,"")</f>
        <v>Recon</v>
      </c>
      <c r="C390" s="38" t="str" cm="1">
        <f t="array" ref="C390">INDEX(Lookups!$C$2:$C$9,MOD(ROW()-ROW($B$2),ROWS(Lookups!$C$2:$C$9))+1)</f>
        <v>Sniper Decoy</v>
      </c>
      <c r="D390" s="38" t="str">
        <f>_xlfn.XLOOKUP(C390,Analysis_Gadgets!$C:$C,Analysis_Gadgets!$B:$B)</f>
        <v>Gadget</v>
      </c>
      <c r="E390" s="43">
        <v>49</v>
      </c>
      <c r="F390" s="43">
        <f>_xlfn.XLOOKUP(A390,Class_Players!A:A,Class_Players!G:G)</f>
        <v>231</v>
      </c>
      <c r="G390" s="43">
        <f t="shared" si="114"/>
        <v>0.21212121212121213</v>
      </c>
      <c r="H390" s="43">
        <f>_xlfn.XLOOKUP(A390,Class_Players!$A:$A,Class_Players!$F:$F,"")</f>
        <v>7219</v>
      </c>
      <c r="I390" s="44">
        <f t="shared" si="115"/>
        <v>6.7876437179664774E-3</v>
      </c>
      <c r="J390" s="43">
        <f t="shared" si="116"/>
        <v>0</v>
      </c>
      <c r="K390" s="44" cm="1">
        <f t="array" ref="K390">IF(D390="Gadget",_xlfn.IFS(I390&gt;=0.2,0.5,I390&gt;=0.1,0.35,I390&gt;=0.05,0.2,TRUE,0),IF(D390="Grenade",_xlfn.IFS(I390&gt;=0.2,1,I390&gt;=0.1,0.7,I390&gt;=0.05,0.4,TRUE,0),0))</f>
        <v>0</v>
      </c>
      <c r="L390" s="57">
        <f t="shared" si="125"/>
        <v>0</v>
      </c>
    </row>
    <row r="391" spans="1:12" ht="15" customHeight="1" x14ac:dyDescent="0.25">
      <c r="A391" s="42" t="str" cm="1">
        <f t="array" ref="A391">IFERROR(INDEX(_xlfn._xlws.FILTER(Class_Players!A:A,Class_Players!B:B="Recon"),QUOTIENT(ROW()-ROW($A$2),8)+1),"")</f>
        <v>paid actor</v>
      </c>
      <c r="B391" s="42" t="str">
        <f>_xlfn.XLOOKUP(A391,Class_Players!$A:$A,Class_Players!$B:$B,"")</f>
        <v>Recon</v>
      </c>
      <c r="C391" s="38" t="str" cm="1">
        <f t="array" ref="C391">INDEX(Lookups!$C$2:$C$9,MOD(ROW()-ROW($B$2),ROWS(Lookups!$C$2:$C$9))+1)</f>
        <v>C-4 Explosives</v>
      </c>
      <c r="D391" s="38" t="str">
        <f>_xlfn.XLOOKUP(C391,Analysis_Gadgets!$C:$C,Analysis_Gadgets!$B:$B)</f>
        <v>Gadget</v>
      </c>
      <c r="E391" s="43">
        <v>5588</v>
      </c>
      <c r="F391" s="43">
        <f>_xlfn.XLOOKUP(A391,Class_Players!A:A,Class_Players!G:G)</f>
        <v>231</v>
      </c>
      <c r="G391" s="43">
        <f t="shared" si="114"/>
        <v>24.19047619047619</v>
      </c>
      <c r="H391" s="43">
        <f>_xlfn.XLOOKUP(A391,Class_Players!$A:$A,Class_Players!$F:$F,"")</f>
        <v>7219</v>
      </c>
      <c r="I391" s="44">
        <f t="shared" si="115"/>
        <v>0.77406843053054442</v>
      </c>
      <c r="J391" s="43">
        <f t="shared" si="116"/>
        <v>1</v>
      </c>
      <c r="K391" s="44" cm="1">
        <f t="array" ref="K391">IF(D391="Gadget",_xlfn.IFS(I391&gt;=0.2,0.5,I391&gt;=0.1,0.35,I391&gt;=0.05,0.2,TRUE,0),IF(D391="Grenade",_xlfn.IFS(I391&gt;=0.2,1,I391&gt;=0.1,0.7,I391&gt;=0.05,0.4,TRUE,0),0))</f>
        <v>0.5</v>
      </c>
      <c r="L391" s="57">
        <f t="shared" si="125"/>
        <v>0.5</v>
      </c>
    </row>
    <row r="392" spans="1:12" ht="15" customHeight="1" x14ac:dyDescent="0.25">
      <c r="A392" s="42" t="str" cm="1">
        <f t="array" ref="A392">IFERROR(INDEX(_xlfn._xlws.FILTER(Class_Players!A:A,Class_Players!B:B="Recon"),QUOTIENT(ROW()-ROW($A$2),8)+1),"")</f>
        <v>paid actor</v>
      </c>
      <c r="B392" s="42" t="str">
        <f>_xlfn.XLOOKUP(A392,Class_Players!$A:$A,Class_Players!$B:$B,"")</f>
        <v>Recon</v>
      </c>
      <c r="C392" s="38" t="str" cm="1">
        <f t="array" ref="C392">INDEX(Lookups!$C$2:$C$9,MOD(ROW()-ROW($B$2),ROWS(Lookups!$C$2:$C$9))+1)</f>
        <v>Proximity Detector</v>
      </c>
      <c r="D392" s="38" t="str">
        <f>_xlfn.XLOOKUP(C392,Analysis_Gadgets!$C:$C,Analysis_Gadgets!$B:$B)</f>
        <v>Grenade</v>
      </c>
      <c r="E392" s="43">
        <v>70</v>
      </c>
      <c r="F392" s="43">
        <f>_xlfn.XLOOKUP(A392,Class_Players!A:A,Class_Players!G:G)</f>
        <v>231</v>
      </c>
      <c r="G392" s="43">
        <f t="shared" si="114"/>
        <v>0.30303030303030304</v>
      </c>
      <c r="H392" s="43">
        <f>_xlfn.XLOOKUP(A392,Class_Players!$A:$A,Class_Players!$F:$F,"")</f>
        <v>7219</v>
      </c>
      <c r="I392" s="44">
        <f t="shared" si="115"/>
        <v>9.6966338828092542E-3</v>
      </c>
      <c r="J392" s="43">
        <f t="shared" si="116"/>
        <v>0</v>
      </c>
      <c r="K392" s="44" cm="1">
        <f t="array" ref="K392">IF(D392="Gadget",_xlfn.IFS(I392&gt;=0.2,0.5,I392&gt;=0.1,0.35,I392&gt;=0.05,0.2,TRUE,0),IF(D392="Grenade",_xlfn.IFS(I392&gt;=0.2,1,I392&gt;=0.1,0.7,I392&gt;=0.05,0.4,TRUE,0),0))</f>
        <v>0</v>
      </c>
      <c r="L392" s="57">
        <f t="shared" ref="L392:L393" si="126">IF($K392=0,0,$K392 / SUMIFS($K:$K,$A:$A,$A392,$D:$D,"Grenade"))</f>
        <v>0</v>
      </c>
    </row>
    <row r="393" spans="1:12" ht="15" customHeight="1" x14ac:dyDescent="0.25">
      <c r="A393" s="42" t="str" cm="1">
        <f t="array" ref="A393">IFERROR(INDEX(_xlfn._xlws.FILTER(Class_Players!A:A,Class_Players!B:B="Recon"),QUOTIENT(ROW()-ROW($A$2),8)+1),"")</f>
        <v>paid actor</v>
      </c>
      <c r="B393" s="42" t="str">
        <f>_xlfn.XLOOKUP(A393,Class_Players!$A:$A,Class_Players!$B:$B,"")</f>
        <v>Recon</v>
      </c>
      <c r="C393" s="38" t="str" cm="1">
        <f t="array" ref="C393">INDEX(Lookups!$C$2:$C$9,MOD(ROW()-ROW($B$2),ROWS(Lookups!$C$2:$C$9))+1)</f>
        <v>Throwing Knife</v>
      </c>
      <c r="D393" s="38" t="str">
        <f>_xlfn.XLOOKUP(C393,Analysis_Gadgets!$C:$C,Analysis_Gadgets!$B:$B)</f>
        <v>Grenade</v>
      </c>
      <c r="E393" s="43">
        <v>0</v>
      </c>
      <c r="F393" s="43">
        <f>_xlfn.XLOOKUP(A393,Class_Players!A:A,Class_Players!G:G)</f>
        <v>231</v>
      </c>
      <c r="G393" s="43">
        <f t="shared" si="114"/>
        <v>0</v>
      </c>
      <c r="H393" s="43">
        <f>_xlfn.XLOOKUP(A393,Class_Players!$A:$A,Class_Players!$F:$F,"")</f>
        <v>7219</v>
      </c>
      <c r="I393" s="44">
        <f t="shared" si="115"/>
        <v>0</v>
      </c>
      <c r="J393" s="43">
        <f t="shared" si="116"/>
        <v>0</v>
      </c>
      <c r="K393" s="44" cm="1">
        <f t="array" ref="K393">IF(D393="Gadget",_xlfn.IFS(I393&gt;=0.2,0.5,I393&gt;=0.1,0.35,I393&gt;=0.05,0.2,TRUE,0),IF(D393="Grenade",_xlfn.IFS(I393&gt;=0.2,1,I393&gt;=0.1,0.7,I393&gt;=0.05,0.4,TRUE,0),0))</f>
        <v>0</v>
      </c>
      <c r="L393" s="57">
        <f t="shared" si="126"/>
        <v>0</v>
      </c>
    </row>
    <row r="394" spans="1:12" ht="15" customHeight="1" x14ac:dyDescent="0.25">
      <c r="A394" s="42" t="str" cm="1">
        <f t="array" ref="A394">IFERROR(INDEX(_xlfn._xlws.FILTER(Class_Players!A:A,Class_Players!B:B="Recon"),QUOTIENT(ROW()-ROW($A$2),8)+1),"")</f>
        <v>Too_Shiko</v>
      </c>
      <c r="B394" s="42" t="str">
        <f>_xlfn.XLOOKUP(A394,Class_Players!$A:$A,Class_Players!$B:$B,"")</f>
        <v>Recon</v>
      </c>
      <c r="C394" s="38" t="str" cm="1">
        <f t="array" ref="C394">INDEX(Lookups!$C$2:$C$9,MOD(ROW()-ROW($B$2),ROWS(Lookups!$C$2:$C$9))+1)</f>
        <v>Laser Designator</v>
      </c>
      <c r="D394" s="38" t="str">
        <f>_xlfn.XLOOKUP(C394,Analysis_Gadgets!$C:$C,Analysis_Gadgets!$B:$B)</f>
        <v>Gadget</v>
      </c>
      <c r="E394" s="43">
        <v>4</v>
      </c>
      <c r="F394" s="43">
        <f>_xlfn.XLOOKUP(A394,Class_Players!A:A,Class_Players!G:G)</f>
        <v>87</v>
      </c>
      <c r="G394" s="43">
        <f t="shared" si="114"/>
        <v>4.5977011494252873E-2</v>
      </c>
      <c r="H394" s="43">
        <f>_xlfn.XLOOKUP(A394,Class_Players!$A:$A,Class_Players!$F:$F,"")</f>
        <v>7118</v>
      </c>
      <c r="I394" s="44">
        <f t="shared" si="115"/>
        <v>5.6195560550716497E-4</v>
      </c>
      <c r="J394" s="43">
        <f t="shared" si="116"/>
        <v>0</v>
      </c>
      <c r="K394" s="44" cm="1">
        <f t="array" ref="K394">IF(D394="Gadget",_xlfn.IFS(I394&gt;=0.2,0.5,I394&gt;=0.1,0.35,I394&gt;=0.05,0.2,TRUE,0),IF(D394="Grenade",_xlfn.IFS(I394&gt;=0.2,1,I394&gt;=0.1,0.7,I394&gt;=0.05,0.4,TRUE,0),0))</f>
        <v>0</v>
      </c>
      <c r="L394" s="57">
        <f t="shared" ref="L394:L399" si="127">IF($K394=0,0,$K394 / SUMIFS($K:$K,$A:$A,$A394,$D:$D,"Gadget"))</f>
        <v>0</v>
      </c>
    </row>
    <row r="395" spans="1:12" ht="15" customHeight="1" x14ac:dyDescent="0.25">
      <c r="A395" s="42" t="str" cm="1">
        <f t="array" ref="A395">IFERROR(INDEX(_xlfn._xlws.FILTER(Class_Players!A:A,Class_Players!B:B="Recon"),QUOTIENT(ROW()-ROW($A$2),8)+1),"")</f>
        <v>Too_Shiko</v>
      </c>
      <c r="B395" s="42" t="str">
        <f>_xlfn.XLOOKUP(A395,Class_Players!$A:$A,Class_Players!$B:$B,"")</f>
        <v>Recon</v>
      </c>
      <c r="C395" s="38" t="str" cm="1">
        <f t="array" ref="C395">INDEX(Lookups!$C$2:$C$9,MOD(ROW()-ROW($B$2),ROWS(Lookups!$C$2:$C$9))+1)</f>
        <v>Recon Drone</v>
      </c>
      <c r="D395" s="38" t="str">
        <f>_xlfn.XLOOKUP(C395,Analysis_Gadgets!$C:$C,Analysis_Gadgets!$B:$B)</f>
        <v>Gadget</v>
      </c>
      <c r="E395" s="43">
        <v>35</v>
      </c>
      <c r="F395" s="43">
        <f>_xlfn.XLOOKUP(A395,Class_Players!A:A,Class_Players!G:G)</f>
        <v>87</v>
      </c>
      <c r="G395" s="43">
        <f t="shared" si="114"/>
        <v>0.40229885057471265</v>
      </c>
      <c r="H395" s="43">
        <f>_xlfn.XLOOKUP(A395,Class_Players!$A:$A,Class_Players!$F:$F,"")</f>
        <v>7118</v>
      </c>
      <c r="I395" s="44">
        <f t="shared" si="115"/>
        <v>4.9171115481876932E-3</v>
      </c>
      <c r="J395" s="43">
        <f t="shared" si="116"/>
        <v>0</v>
      </c>
      <c r="K395" s="44" cm="1">
        <f t="array" ref="K395">IF(D395="Gadget",_xlfn.IFS(I395&gt;=0.2,0.5,I395&gt;=0.1,0.35,I395&gt;=0.05,0.2,TRUE,0),IF(D395="Grenade",_xlfn.IFS(I395&gt;=0.2,1,I395&gt;=0.1,0.7,I395&gt;=0.05,0.4,TRUE,0),0))</f>
        <v>0</v>
      </c>
      <c r="L395" s="57">
        <f t="shared" si="127"/>
        <v>0</v>
      </c>
    </row>
    <row r="396" spans="1:12" ht="15" customHeight="1" x14ac:dyDescent="0.25">
      <c r="A396" s="42" t="str" cm="1">
        <f t="array" ref="A396">IFERROR(INDEX(_xlfn._xlws.FILTER(Class_Players!A:A,Class_Players!B:B="Recon"),QUOTIENT(ROW()-ROW($A$2),8)+1),"")</f>
        <v>Too_Shiko</v>
      </c>
      <c r="B396" s="42" t="str">
        <f>_xlfn.XLOOKUP(A396,Class_Players!$A:$A,Class_Players!$B:$B,"")</f>
        <v>Recon</v>
      </c>
      <c r="C396" s="38" t="str" cm="1">
        <f t="array" ref="C396">INDEX(Lookups!$C$2:$C$9,MOD(ROW()-ROW($B$2),ROWS(Lookups!$C$2:$C$9))+1)</f>
        <v>Tracer Dart</v>
      </c>
      <c r="D396" s="38" t="str">
        <f>_xlfn.XLOOKUP(C396,Analysis_Gadgets!$C:$C,Analysis_Gadgets!$B:$B)</f>
        <v>Gadget</v>
      </c>
      <c r="E396" s="43">
        <v>0</v>
      </c>
      <c r="F396" s="43">
        <f>_xlfn.XLOOKUP(A396,Class_Players!A:A,Class_Players!G:G)</f>
        <v>87</v>
      </c>
      <c r="G396" s="43">
        <f t="shared" si="114"/>
        <v>0</v>
      </c>
      <c r="H396" s="43">
        <f>_xlfn.XLOOKUP(A396,Class_Players!$A:$A,Class_Players!$F:$F,"")</f>
        <v>7118</v>
      </c>
      <c r="I396" s="44">
        <f t="shared" si="115"/>
        <v>0</v>
      </c>
      <c r="J396" s="43">
        <f t="shared" si="116"/>
        <v>0</v>
      </c>
      <c r="K396" s="44" cm="1">
        <f t="array" ref="K396">IF(D396="Gadget",_xlfn.IFS(I396&gt;=0.2,0.5,I396&gt;=0.1,0.35,I396&gt;=0.05,0.2,TRUE,0),IF(D396="Grenade",_xlfn.IFS(I396&gt;=0.2,1,I396&gt;=0.1,0.7,I396&gt;=0.05,0.4,TRUE,0),0))</f>
        <v>0</v>
      </c>
      <c r="L396" s="57">
        <f t="shared" si="127"/>
        <v>0</v>
      </c>
    </row>
    <row r="397" spans="1:12" ht="15" customHeight="1" x14ac:dyDescent="0.25">
      <c r="A397" s="42" t="str" cm="1">
        <f t="array" ref="A397">IFERROR(INDEX(_xlfn._xlws.FILTER(Class_Players!A:A,Class_Players!B:B="Recon"),QUOTIENT(ROW()-ROW($A$2),8)+1),"")</f>
        <v>Too_Shiko</v>
      </c>
      <c r="B397" s="42" t="str">
        <f>_xlfn.XLOOKUP(A397,Class_Players!$A:$A,Class_Players!$B:$B,"")</f>
        <v>Recon</v>
      </c>
      <c r="C397" s="38" t="str" cm="1">
        <f t="array" ref="C397">INDEX(Lookups!$C$2:$C$9,MOD(ROW()-ROW($B$2),ROWS(Lookups!$C$2:$C$9))+1)</f>
        <v>M18A1 (Claymore)</v>
      </c>
      <c r="D397" s="38" t="str">
        <f>_xlfn.XLOOKUP(C397,Analysis_Gadgets!$C:$C,Analysis_Gadgets!$B:$B)</f>
        <v>Gadget</v>
      </c>
      <c r="E397" s="43">
        <v>72</v>
      </c>
      <c r="F397" s="43">
        <f>_xlfn.XLOOKUP(A397,Class_Players!A:A,Class_Players!G:G)</f>
        <v>87</v>
      </c>
      <c r="G397" s="43">
        <f t="shared" si="114"/>
        <v>0.82758620689655171</v>
      </c>
      <c r="H397" s="43">
        <f>_xlfn.XLOOKUP(A397,Class_Players!$A:$A,Class_Players!$F:$F,"")</f>
        <v>7118</v>
      </c>
      <c r="I397" s="44">
        <f t="shared" si="115"/>
        <v>1.0115200899128969E-2</v>
      </c>
      <c r="J397" s="43">
        <f t="shared" si="116"/>
        <v>0</v>
      </c>
      <c r="K397" s="44" cm="1">
        <f t="array" ref="K397">IF(D397="Gadget",_xlfn.IFS(I397&gt;=0.2,0.5,I397&gt;=0.1,0.35,I397&gt;=0.05,0.2,TRUE,0),IF(D397="Grenade",_xlfn.IFS(I397&gt;=0.2,1,I397&gt;=0.1,0.7,I397&gt;=0.05,0.4,TRUE,0),0))</f>
        <v>0</v>
      </c>
      <c r="L397" s="57">
        <f t="shared" si="127"/>
        <v>0</v>
      </c>
    </row>
    <row r="398" spans="1:12" ht="15" customHeight="1" x14ac:dyDescent="0.25">
      <c r="A398" s="42" t="str" cm="1">
        <f t="array" ref="A398">IFERROR(INDEX(_xlfn._xlws.FILTER(Class_Players!A:A,Class_Players!B:B="Recon"),QUOTIENT(ROW()-ROW($A$2),8)+1),"")</f>
        <v>Too_Shiko</v>
      </c>
      <c r="B398" s="42" t="str">
        <f>_xlfn.XLOOKUP(A398,Class_Players!$A:$A,Class_Players!$B:$B,"")</f>
        <v>Recon</v>
      </c>
      <c r="C398" s="38" t="str" cm="1">
        <f t="array" ref="C398">INDEX(Lookups!$C$2:$C$9,MOD(ROW()-ROW($B$2),ROWS(Lookups!$C$2:$C$9))+1)</f>
        <v>Sniper Decoy</v>
      </c>
      <c r="D398" s="38" t="str">
        <f>_xlfn.XLOOKUP(C398,Analysis_Gadgets!$C:$C,Analysis_Gadgets!$B:$B)</f>
        <v>Gadget</v>
      </c>
      <c r="E398" s="43">
        <v>320</v>
      </c>
      <c r="F398" s="43">
        <f>_xlfn.XLOOKUP(A398,Class_Players!A:A,Class_Players!G:G)</f>
        <v>87</v>
      </c>
      <c r="G398" s="43">
        <f t="shared" si="114"/>
        <v>3.6781609195402298</v>
      </c>
      <c r="H398" s="43">
        <f>_xlfn.XLOOKUP(A398,Class_Players!$A:$A,Class_Players!$F:$F,"")</f>
        <v>7118</v>
      </c>
      <c r="I398" s="44">
        <f t="shared" si="115"/>
        <v>4.4956448440573192E-2</v>
      </c>
      <c r="J398" s="43">
        <f t="shared" si="116"/>
        <v>0</v>
      </c>
      <c r="K398" s="44" cm="1">
        <f t="array" ref="K398">IF(D398="Gadget",_xlfn.IFS(I398&gt;=0.2,0.5,I398&gt;=0.1,0.35,I398&gt;=0.05,0.2,TRUE,0),IF(D398="Grenade",_xlfn.IFS(I398&gt;=0.2,1,I398&gt;=0.1,0.7,I398&gt;=0.05,0.4,TRUE,0),0))</f>
        <v>0</v>
      </c>
      <c r="L398" s="57">
        <f t="shared" si="127"/>
        <v>0</v>
      </c>
    </row>
    <row r="399" spans="1:12" ht="15" customHeight="1" x14ac:dyDescent="0.25">
      <c r="A399" s="42" t="str" cm="1">
        <f t="array" ref="A399">IFERROR(INDEX(_xlfn._xlws.FILTER(Class_Players!A:A,Class_Players!B:B="Recon"),QUOTIENT(ROW()-ROW($A$2),8)+1),"")</f>
        <v>Too_Shiko</v>
      </c>
      <c r="B399" s="42" t="str">
        <f>_xlfn.XLOOKUP(A399,Class_Players!$A:$A,Class_Players!$B:$B,"")</f>
        <v>Recon</v>
      </c>
      <c r="C399" s="38" t="str" cm="1">
        <f t="array" ref="C399">INDEX(Lookups!$C$2:$C$9,MOD(ROW()-ROW($B$2),ROWS(Lookups!$C$2:$C$9))+1)</f>
        <v>C-4 Explosives</v>
      </c>
      <c r="D399" s="38" t="str">
        <f>_xlfn.XLOOKUP(C399,Analysis_Gadgets!$C:$C,Analysis_Gadgets!$B:$B)</f>
        <v>Gadget</v>
      </c>
      <c r="E399" s="43">
        <v>2217</v>
      </c>
      <c r="F399" s="43">
        <f>_xlfn.XLOOKUP(A399,Class_Players!A:A,Class_Players!G:G)</f>
        <v>87</v>
      </c>
      <c r="G399" s="43">
        <f t="shared" si="114"/>
        <v>25.482758620689655</v>
      </c>
      <c r="H399" s="43">
        <f>_xlfn.XLOOKUP(A399,Class_Players!$A:$A,Class_Players!$F:$F,"")</f>
        <v>7118</v>
      </c>
      <c r="I399" s="44">
        <f t="shared" si="115"/>
        <v>0.31146389435234617</v>
      </c>
      <c r="J399" s="43">
        <f t="shared" si="116"/>
        <v>1</v>
      </c>
      <c r="K399" s="44" cm="1">
        <f t="array" ref="K399">IF(D399="Gadget",_xlfn.IFS(I399&gt;=0.2,0.5,I399&gt;=0.1,0.35,I399&gt;=0.05,0.2,TRUE,0),IF(D399="Grenade",_xlfn.IFS(I399&gt;=0.2,1,I399&gt;=0.1,0.7,I399&gt;=0.05,0.4,TRUE,0),0))</f>
        <v>0.5</v>
      </c>
      <c r="L399" s="57">
        <f t="shared" si="127"/>
        <v>1</v>
      </c>
    </row>
    <row r="400" spans="1:12" ht="15" customHeight="1" x14ac:dyDescent="0.25">
      <c r="A400" s="42" t="str" cm="1">
        <f t="array" ref="A400">IFERROR(INDEX(_xlfn._xlws.FILTER(Class_Players!A:A,Class_Players!B:B="Recon"),QUOTIENT(ROW()-ROW($A$2),8)+1),"")</f>
        <v>Too_Shiko</v>
      </c>
      <c r="B400" s="42" t="str">
        <f>_xlfn.XLOOKUP(A400,Class_Players!$A:$A,Class_Players!$B:$B,"")</f>
        <v>Recon</v>
      </c>
      <c r="C400" s="38" t="str" cm="1">
        <f t="array" ref="C400">INDEX(Lookups!$C$2:$C$9,MOD(ROW()-ROW($B$2),ROWS(Lookups!$C$2:$C$9))+1)</f>
        <v>Proximity Detector</v>
      </c>
      <c r="D400" s="38" t="str">
        <f>_xlfn.XLOOKUP(C400,Analysis_Gadgets!$C:$C,Analysis_Gadgets!$B:$B)</f>
        <v>Grenade</v>
      </c>
      <c r="E400" s="43">
        <v>1429</v>
      </c>
      <c r="F400" s="43">
        <f>_xlfn.XLOOKUP(A400,Class_Players!A:A,Class_Players!G:G)</f>
        <v>87</v>
      </c>
      <c r="G400" s="43">
        <f t="shared" si="114"/>
        <v>16.425287356321839</v>
      </c>
      <c r="H400" s="43">
        <f>_xlfn.XLOOKUP(A400,Class_Players!$A:$A,Class_Players!$F:$F,"")</f>
        <v>7118</v>
      </c>
      <c r="I400" s="44">
        <f t="shared" si="115"/>
        <v>0.20075864006743468</v>
      </c>
      <c r="J400" s="43">
        <f t="shared" si="116"/>
        <v>1</v>
      </c>
      <c r="K400" s="44" cm="1">
        <f t="array" ref="K400">IF(D400="Gadget",_xlfn.IFS(I400&gt;=0.2,0.5,I400&gt;=0.1,0.35,I400&gt;=0.05,0.2,TRUE,0),IF(D400="Grenade",_xlfn.IFS(I400&gt;=0.2,1,I400&gt;=0.1,0.7,I400&gt;=0.05,0.4,TRUE,0),0))</f>
        <v>1</v>
      </c>
      <c r="L400" s="57">
        <f t="shared" ref="L400:L401" si="128">IF($K400=0,0,$K400 / SUMIFS($K:$K,$A:$A,$A400,$D:$D,"Grenade"))</f>
        <v>1</v>
      </c>
    </row>
    <row r="401" spans="1:12" ht="15" customHeight="1" x14ac:dyDescent="0.25">
      <c r="A401" s="42" t="str" cm="1">
        <f t="array" ref="A401">IFERROR(INDEX(_xlfn._xlws.FILTER(Class_Players!A:A,Class_Players!B:B="Recon"),QUOTIENT(ROW()-ROW($A$2),8)+1),"")</f>
        <v>Too_Shiko</v>
      </c>
      <c r="B401" s="42" t="str">
        <f>_xlfn.XLOOKUP(A401,Class_Players!$A:$A,Class_Players!$B:$B,"")</f>
        <v>Recon</v>
      </c>
      <c r="C401" s="38" t="str" cm="1">
        <f t="array" ref="C401">INDEX(Lookups!$C$2:$C$9,MOD(ROW()-ROW($B$2),ROWS(Lookups!$C$2:$C$9))+1)</f>
        <v>Throwing Knife</v>
      </c>
      <c r="D401" s="38" t="str">
        <f>_xlfn.XLOOKUP(C401,Analysis_Gadgets!$C:$C,Analysis_Gadgets!$B:$B)</f>
        <v>Grenade</v>
      </c>
      <c r="E401" s="43">
        <v>0</v>
      </c>
      <c r="F401" s="43">
        <f>_xlfn.XLOOKUP(A401,Class_Players!A:A,Class_Players!G:G)</f>
        <v>87</v>
      </c>
      <c r="G401" s="43">
        <f t="shared" si="114"/>
        <v>0</v>
      </c>
      <c r="H401" s="43">
        <f>_xlfn.XLOOKUP(A401,Class_Players!$A:$A,Class_Players!$F:$F,"")</f>
        <v>7118</v>
      </c>
      <c r="I401" s="44">
        <f t="shared" si="115"/>
        <v>0</v>
      </c>
      <c r="J401" s="43">
        <f t="shared" si="116"/>
        <v>0</v>
      </c>
      <c r="K401" s="44" cm="1">
        <f t="array" ref="K401">IF(D401="Gadget",_xlfn.IFS(I401&gt;=0.2,0.5,I401&gt;=0.1,0.35,I401&gt;=0.05,0.2,TRUE,0),IF(D401="Grenade",_xlfn.IFS(I401&gt;=0.2,1,I401&gt;=0.1,0.7,I401&gt;=0.05,0.4,TRUE,0),0))</f>
        <v>0</v>
      </c>
      <c r="L401" s="57">
        <f t="shared" si="128"/>
        <v>0</v>
      </c>
    </row>
    <row r="402" spans="1:12" ht="15" customHeight="1" x14ac:dyDescent="0.25">
      <c r="A402" s="42" t="str" cm="1">
        <f t="array" ref="A402">IFERROR(INDEX(_xlfn._xlws.FILTER(Class_Players!A:A,Class_Players!B:B="Recon"),QUOTIENT(ROW()-ROW($A$2),8)+1),"")</f>
        <v>AkudamaX</v>
      </c>
      <c r="B402" s="42" t="str">
        <f>_xlfn.XLOOKUP(A402,Class_Players!$A:$A,Class_Players!$B:$B,"")</f>
        <v>Recon</v>
      </c>
      <c r="C402" s="38" t="str" cm="1">
        <f t="array" ref="C402">INDEX(Lookups!$C$2:$C$9,MOD(ROW()-ROW($B$2),ROWS(Lookups!$C$2:$C$9))+1)</f>
        <v>Laser Designator</v>
      </c>
      <c r="D402" s="38" t="str">
        <f>_xlfn.XLOOKUP(C402,Analysis_Gadgets!$C:$C,Analysis_Gadgets!$B:$B)</f>
        <v>Gadget</v>
      </c>
      <c r="E402" s="43">
        <v>18</v>
      </c>
      <c r="F402" s="43">
        <f>_xlfn.XLOOKUP(A402,Class_Players!A:A,Class_Players!G:G)</f>
        <v>82</v>
      </c>
      <c r="G402" s="43">
        <f t="shared" si="114"/>
        <v>0.21951219512195122</v>
      </c>
      <c r="H402" s="43">
        <f>_xlfn.XLOOKUP(A402,Class_Players!$A:$A,Class_Players!$F:$F,"")</f>
        <v>7189</v>
      </c>
      <c r="I402" s="44">
        <f t="shared" si="115"/>
        <v>2.5038252886354154E-3</v>
      </c>
      <c r="J402" s="43">
        <f t="shared" si="116"/>
        <v>0</v>
      </c>
      <c r="K402" s="44" cm="1">
        <f t="array" ref="K402">IF(D402="Gadget",_xlfn.IFS(I402&gt;=0.2,0.5,I402&gt;=0.1,0.35,I402&gt;=0.05,0.2,TRUE,0),IF(D402="Grenade",_xlfn.IFS(I402&gt;=0.2,1,I402&gt;=0.1,0.7,I402&gt;=0.05,0.4,TRUE,0),0))</f>
        <v>0</v>
      </c>
      <c r="L402" s="57">
        <f t="shared" ref="L402:L407" si="129">IF($K402=0,0,$K402 / SUMIFS($K:$K,$A:$A,$A402,$D:$D,"Gadget"))</f>
        <v>0</v>
      </c>
    </row>
    <row r="403" spans="1:12" ht="15" customHeight="1" x14ac:dyDescent="0.25">
      <c r="A403" s="42" t="str" cm="1">
        <f t="array" ref="A403">IFERROR(INDEX(_xlfn._xlws.FILTER(Class_Players!A:A,Class_Players!B:B="Recon"),QUOTIENT(ROW()-ROW($A$2),8)+1),"")</f>
        <v>AkudamaX</v>
      </c>
      <c r="B403" s="42" t="str">
        <f>_xlfn.XLOOKUP(A403,Class_Players!$A:$A,Class_Players!$B:$B,"")</f>
        <v>Recon</v>
      </c>
      <c r="C403" s="38" t="str" cm="1">
        <f t="array" ref="C403">INDEX(Lookups!$C$2:$C$9,MOD(ROW()-ROW($B$2),ROWS(Lookups!$C$2:$C$9))+1)</f>
        <v>Recon Drone</v>
      </c>
      <c r="D403" s="38" t="str">
        <f>_xlfn.XLOOKUP(C403,Analysis_Gadgets!$C:$C,Analysis_Gadgets!$B:$B)</f>
        <v>Gadget</v>
      </c>
      <c r="E403" s="43">
        <v>0</v>
      </c>
      <c r="F403" s="43">
        <f>_xlfn.XLOOKUP(A403,Class_Players!A:A,Class_Players!G:G)</f>
        <v>82</v>
      </c>
      <c r="G403" s="43">
        <f t="shared" si="114"/>
        <v>0</v>
      </c>
      <c r="H403" s="43">
        <f>_xlfn.XLOOKUP(A403,Class_Players!$A:$A,Class_Players!$F:$F,"")</f>
        <v>7189</v>
      </c>
      <c r="I403" s="44">
        <f t="shared" si="115"/>
        <v>0</v>
      </c>
      <c r="J403" s="43">
        <f t="shared" si="116"/>
        <v>0</v>
      </c>
      <c r="K403" s="44" cm="1">
        <f t="array" ref="K403">IF(D403="Gadget",_xlfn.IFS(I403&gt;=0.2,0.5,I403&gt;=0.1,0.35,I403&gt;=0.05,0.2,TRUE,0),IF(D403="Grenade",_xlfn.IFS(I403&gt;=0.2,1,I403&gt;=0.1,0.7,I403&gt;=0.05,0.4,TRUE,0),0))</f>
        <v>0</v>
      </c>
      <c r="L403" s="57">
        <f t="shared" si="129"/>
        <v>0</v>
      </c>
    </row>
    <row r="404" spans="1:12" ht="15" customHeight="1" x14ac:dyDescent="0.25">
      <c r="A404" s="42" t="str" cm="1">
        <f t="array" ref="A404">IFERROR(INDEX(_xlfn._xlws.FILTER(Class_Players!A:A,Class_Players!B:B="Recon"),QUOTIENT(ROW()-ROW($A$2),8)+1),"")</f>
        <v>AkudamaX</v>
      </c>
      <c r="B404" s="42" t="str">
        <f>_xlfn.XLOOKUP(A404,Class_Players!$A:$A,Class_Players!$B:$B,"")</f>
        <v>Recon</v>
      </c>
      <c r="C404" s="38" t="str" cm="1">
        <f t="array" ref="C404">INDEX(Lookups!$C$2:$C$9,MOD(ROW()-ROW($B$2),ROWS(Lookups!$C$2:$C$9))+1)</f>
        <v>Tracer Dart</v>
      </c>
      <c r="D404" s="38" t="str">
        <f>_xlfn.XLOOKUP(C404,Analysis_Gadgets!$C:$C,Analysis_Gadgets!$B:$B)</f>
        <v>Gadget</v>
      </c>
      <c r="E404" s="43">
        <v>0</v>
      </c>
      <c r="F404" s="43">
        <f>_xlfn.XLOOKUP(A404,Class_Players!A:A,Class_Players!G:G)</f>
        <v>82</v>
      </c>
      <c r="G404" s="43">
        <f t="shared" si="114"/>
        <v>0</v>
      </c>
      <c r="H404" s="43">
        <f>_xlfn.XLOOKUP(A404,Class_Players!$A:$A,Class_Players!$F:$F,"")</f>
        <v>7189</v>
      </c>
      <c r="I404" s="44">
        <f t="shared" si="115"/>
        <v>0</v>
      </c>
      <c r="J404" s="43">
        <f t="shared" si="116"/>
        <v>0</v>
      </c>
      <c r="K404" s="44" cm="1">
        <f t="array" ref="K404">IF(D404="Gadget",_xlfn.IFS(I404&gt;=0.2,0.5,I404&gt;=0.1,0.35,I404&gt;=0.05,0.2,TRUE,0),IF(D404="Grenade",_xlfn.IFS(I404&gt;=0.2,1,I404&gt;=0.1,0.7,I404&gt;=0.05,0.4,TRUE,0),0))</f>
        <v>0</v>
      </c>
      <c r="L404" s="57">
        <f t="shared" si="129"/>
        <v>0</v>
      </c>
    </row>
    <row r="405" spans="1:12" ht="15" customHeight="1" x14ac:dyDescent="0.25">
      <c r="A405" s="42" t="str" cm="1">
        <f t="array" ref="A405">IFERROR(INDEX(_xlfn._xlws.FILTER(Class_Players!A:A,Class_Players!B:B="Recon"),QUOTIENT(ROW()-ROW($A$2),8)+1),"")</f>
        <v>AkudamaX</v>
      </c>
      <c r="B405" s="42" t="str">
        <f>_xlfn.XLOOKUP(A405,Class_Players!$A:$A,Class_Players!$B:$B,"")</f>
        <v>Recon</v>
      </c>
      <c r="C405" s="38" t="str" cm="1">
        <f t="array" ref="C405">INDEX(Lookups!$C$2:$C$9,MOD(ROW()-ROW($B$2),ROWS(Lookups!$C$2:$C$9))+1)</f>
        <v>M18A1 (Claymore)</v>
      </c>
      <c r="D405" s="38" t="str">
        <f>_xlfn.XLOOKUP(C405,Analysis_Gadgets!$C:$C,Analysis_Gadgets!$B:$B)</f>
        <v>Gadget</v>
      </c>
      <c r="E405" s="43">
        <v>2293</v>
      </c>
      <c r="F405" s="43">
        <f>_xlfn.XLOOKUP(A405,Class_Players!A:A,Class_Players!G:G)</f>
        <v>82</v>
      </c>
      <c r="G405" s="43">
        <f t="shared" si="114"/>
        <v>27.963414634146343</v>
      </c>
      <c r="H405" s="43">
        <f>_xlfn.XLOOKUP(A405,Class_Players!$A:$A,Class_Players!$F:$F,"")</f>
        <v>7189</v>
      </c>
      <c r="I405" s="44">
        <f t="shared" si="115"/>
        <v>0.31895952149116708</v>
      </c>
      <c r="J405" s="43">
        <f t="shared" si="116"/>
        <v>1</v>
      </c>
      <c r="K405" s="44" cm="1">
        <f t="array" ref="K405">IF(D405="Gadget",_xlfn.IFS(I405&gt;=0.2,0.5,I405&gt;=0.1,0.35,I405&gt;=0.05,0.2,TRUE,0),IF(D405="Grenade",_xlfn.IFS(I405&gt;=0.2,1,I405&gt;=0.1,0.7,I405&gt;=0.05,0.4,TRUE,0),0))</f>
        <v>0.5</v>
      </c>
      <c r="L405" s="57">
        <f t="shared" si="129"/>
        <v>0.5</v>
      </c>
    </row>
    <row r="406" spans="1:12" ht="15" customHeight="1" x14ac:dyDescent="0.25">
      <c r="A406" s="42" t="str" cm="1">
        <f t="array" ref="A406">IFERROR(INDEX(_xlfn._xlws.FILTER(Class_Players!A:A,Class_Players!B:B="Recon"),QUOTIENT(ROW()-ROW($A$2),8)+1),"")</f>
        <v>AkudamaX</v>
      </c>
      <c r="B406" s="42" t="str">
        <f>_xlfn.XLOOKUP(A406,Class_Players!$A:$A,Class_Players!$B:$B,"")</f>
        <v>Recon</v>
      </c>
      <c r="C406" s="38" t="str" cm="1">
        <f t="array" ref="C406">INDEX(Lookups!$C$2:$C$9,MOD(ROW()-ROW($B$2),ROWS(Lookups!$C$2:$C$9))+1)</f>
        <v>Sniper Decoy</v>
      </c>
      <c r="D406" s="38" t="str">
        <f>_xlfn.XLOOKUP(C406,Analysis_Gadgets!$C:$C,Analysis_Gadgets!$B:$B)</f>
        <v>Gadget</v>
      </c>
      <c r="E406" s="43">
        <v>0</v>
      </c>
      <c r="F406" s="43">
        <f>_xlfn.XLOOKUP(A406,Class_Players!A:A,Class_Players!G:G)</f>
        <v>82</v>
      </c>
      <c r="G406" s="43">
        <f t="shared" si="114"/>
        <v>0</v>
      </c>
      <c r="H406" s="43">
        <f>_xlfn.XLOOKUP(A406,Class_Players!$A:$A,Class_Players!$F:$F,"")</f>
        <v>7189</v>
      </c>
      <c r="I406" s="44">
        <f t="shared" si="115"/>
        <v>0</v>
      </c>
      <c r="J406" s="43">
        <f t="shared" si="116"/>
        <v>0</v>
      </c>
      <c r="K406" s="44" cm="1">
        <f t="array" ref="K406">IF(D406="Gadget",_xlfn.IFS(I406&gt;=0.2,0.5,I406&gt;=0.1,0.35,I406&gt;=0.05,0.2,TRUE,0),IF(D406="Grenade",_xlfn.IFS(I406&gt;=0.2,1,I406&gt;=0.1,0.7,I406&gt;=0.05,0.4,TRUE,0),0))</f>
        <v>0</v>
      </c>
      <c r="L406" s="57">
        <f t="shared" si="129"/>
        <v>0</v>
      </c>
    </row>
    <row r="407" spans="1:12" ht="15" customHeight="1" x14ac:dyDescent="0.25">
      <c r="A407" s="42" t="str" cm="1">
        <f t="array" ref="A407">IFERROR(INDEX(_xlfn._xlws.FILTER(Class_Players!A:A,Class_Players!B:B="Recon"),QUOTIENT(ROW()-ROW($A$2),8)+1),"")</f>
        <v>AkudamaX</v>
      </c>
      <c r="B407" s="42" t="str">
        <f>_xlfn.XLOOKUP(A407,Class_Players!$A:$A,Class_Players!$B:$B,"")</f>
        <v>Recon</v>
      </c>
      <c r="C407" s="38" t="str" cm="1">
        <f t="array" ref="C407">INDEX(Lookups!$C$2:$C$9,MOD(ROW()-ROW($B$2),ROWS(Lookups!$C$2:$C$9))+1)</f>
        <v>C-4 Explosives</v>
      </c>
      <c r="D407" s="38" t="str">
        <f>_xlfn.XLOOKUP(C407,Analysis_Gadgets!$C:$C,Analysis_Gadgets!$B:$B)</f>
        <v>Gadget</v>
      </c>
      <c r="E407" s="43">
        <v>2819</v>
      </c>
      <c r="F407" s="43">
        <f>_xlfn.XLOOKUP(A407,Class_Players!A:A,Class_Players!G:G)</f>
        <v>82</v>
      </c>
      <c r="G407" s="43">
        <f t="shared" si="114"/>
        <v>34.378048780487802</v>
      </c>
      <c r="H407" s="43">
        <f>_xlfn.XLOOKUP(A407,Class_Players!$A:$A,Class_Players!$F:$F,"")</f>
        <v>7189</v>
      </c>
      <c r="I407" s="44">
        <f t="shared" si="115"/>
        <v>0.39212686048129086</v>
      </c>
      <c r="J407" s="43">
        <f t="shared" si="116"/>
        <v>1</v>
      </c>
      <c r="K407" s="44" cm="1">
        <f t="array" ref="K407">IF(D407="Gadget",_xlfn.IFS(I407&gt;=0.2,0.5,I407&gt;=0.1,0.35,I407&gt;=0.05,0.2,TRUE,0),IF(D407="Grenade",_xlfn.IFS(I407&gt;=0.2,1,I407&gt;=0.1,0.7,I407&gt;=0.05,0.4,TRUE,0),0))</f>
        <v>0.5</v>
      </c>
      <c r="L407" s="57">
        <f t="shared" si="129"/>
        <v>0.5</v>
      </c>
    </row>
    <row r="408" spans="1:12" ht="15" customHeight="1" x14ac:dyDescent="0.25">
      <c r="A408" s="42" t="str" cm="1">
        <f t="array" ref="A408">IFERROR(INDEX(_xlfn._xlws.FILTER(Class_Players!A:A,Class_Players!B:B="Recon"),QUOTIENT(ROW()-ROW($A$2),8)+1),"")</f>
        <v>AkudamaX</v>
      </c>
      <c r="B408" s="42" t="str">
        <f>_xlfn.XLOOKUP(A408,Class_Players!$A:$A,Class_Players!$B:$B,"")</f>
        <v>Recon</v>
      </c>
      <c r="C408" s="38" t="str" cm="1">
        <f t="array" ref="C408">INDEX(Lookups!$C$2:$C$9,MOD(ROW()-ROW($B$2),ROWS(Lookups!$C$2:$C$9))+1)</f>
        <v>Proximity Detector</v>
      </c>
      <c r="D408" s="38" t="str">
        <f>_xlfn.XLOOKUP(C408,Analysis_Gadgets!$C:$C,Analysis_Gadgets!$B:$B)</f>
        <v>Grenade</v>
      </c>
      <c r="E408" s="43">
        <v>7</v>
      </c>
      <c r="F408" s="43">
        <f>_xlfn.XLOOKUP(A408,Class_Players!A:A,Class_Players!G:G)</f>
        <v>82</v>
      </c>
      <c r="G408" s="43">
        <f t="shared" si="114"/>
        <v>8.5365853658536592E-2</v>
      </c>
      <c r="H408" s="43">
        <f>_xlfn.XLOOKUP(A408,Class_Players!$A:$A,Class_Players!$F:$F,"")</f>
        <v>7189</v>
      </c>
      <c r="I408" s="44">
        <f t="shared" si="115"/>
        <v>9.7370983446932818E-4</v>
      </c>
      <c r="J408" s="43">
        <f t="shared" si="116"/>
        <v>0</v>
      </c>
      <c r="K408" s="44" cm="1">
        <f t="array" ref="K408">IF(D408="Gadget",_xlfn.IFS(I408&gt;=0.2,0.5,I408&gt;=0.1,0.35,I408&gt;=0.05,0.2,TRUE,0),IF(D408="Grenade",_xlfn.IFS(I408&gt;=0.2,1,I408&gt;=0.1,0.7,I408&gt;=0.05,0.4,TRUE,0),0))</f>
        <v>0</v>
      </c>
      <c r="L408" s="57">
        <f t="shared" ref="L408:L409" si="130">IF($K408=0,0,$K408 / SUMIFS($K:$K,$A:$A,$A408,$D:$D,"Grenade"))</f>
        <v>0</v>
      </c>
    </row>
    <row r="409" spans="1:12" ht="15" customHeight="1" x14ac:dyDescent="0.25">
      <c r="A409" s="42" t="str" cm="1">
        <f t="array" ref="A409">IFERROR(INDEX(_xlfn._xlws.FILTER(Class_Players!A:A,Class_Players!B:B="Recon"),QUOTIENT(ROW()-ROW($A$2),8)+1),"")</f>
        <v>AkudamaX</v>
      </c>
      <c r="B409" s="42" t="str">
        <f>_xlfn.XLOOKUP(A409,Class_Players!$A:$A,Class_Players!$B:$B,"")</f>
        <v>Recon</v>
      </c>
      <c r="C409" s="38" t="str" cm="1">
        <f t="array" ref="C409">INDEX(Lookups!$C$2:$C$9,MOD(ROW()-ROW($B$2),ROWS(Lookups!$C$2:$C$9))+1)</f>
        <v>Throwing Knife</v>
      </c>
      <c r="D409" s="38" t="str">
        <f>_xlfn.XLOOKUP(C409,Analysis_Gadgets!$C:$C,Analysis_Gadgets!$B:$B)</f>
        <v>Grenade</v>
      </c>
      <c r="E409" s="43">
        <v>0</v>
      </c>
      <c r="F409" s="43">
        <f>_xlfn.XLOOKUP(A409,Class_Players!A:A,Class_Players!G:G)</f>
        <v>82</v>
      </c>
      <c r="G409" s="43">
        <f t="shared" si="114"/>
        <v>0</v>
      </c>
      <c r="H409" s="43">
        <f>_xlfn.XLOOKUP(A409,Class_Players!$A:$A,Class_Players!$F:$F,"")</f>
        <v>7189</v>
      </c>
      <c r="I409" s="44">
        <f t="shared" si="115"/>
        <v>0</v>
      </c>
      <c r="J409" s="43">
        <f t="shared" si="116"/>
        <v>0</v>
      </c>
      <c r="K409" s="44" cm="1">
        <f t="array" ref="K409">IF(D409="Gadget",_xlfn.IFS(I409&gt;=0.2,0.5,I409&gt;=0.1,0.35,I409&gt;=0.05,0.2,TRUE,0),IF(D409="Grenade",_xlfn.IFS(I409&gt;=0.2,1,I409&gt;=0.1,0.7,I409&gt;=0.05,0.4,TRUE,0),0))</f>
        <v>0</v>
      </c>
      <c r="L409" s="57">
        <f t="shared" si="130"/>
        <v>0</v>
      </c>
    </row>
    <row r="410" spans="1:12" ht="15" customHeight="1" x14ac:dyDescent="0.25">
      <c r="A410" s="42" t="str" cm="1">
        <f t="array" ref="A410">IFERROR(INDEX(_xlfn._xlws.FILTER(Class_Players!A:A,Class_Players!B:B="Recon"),QUOTIENT(ROW()-ROW($A$2),8)+1),"")</f>
        <v>Spark</v>
      </c>
      <c r="B410" s="42" t="str">
        <f>_xlfn.XLOOKUP(A410,Class_Players!$A:$A,Class_Players!$B:$B,"")</f>
        <v>Recon</v>
      </c>
      <c r="C410" s="38" t="str" cm="1">
        <f t="array" ref="C410">INDEX(Lookups!$C$2:$C$9,MOD(ROW()-ROW($B$2),ROWS(Lookups!$C$2:$C$9))+1)</f>
        <v>Laser Designator</v>
      </c>
      <c r="D410" s="38" t="str">
        <f>_xlfn.XLOOKUP(C410,Analysis_Gadgets!$C:$C,Analysis_Gadgets!$B:$B)</f>
        <v>Gadget</v>
      </c>
      <c r="E410" s="43">
        <v>286</v>
      </c>
      <c r="F410" s="43">
        <f>_xlfn.XLOOKUP(A410,Class_Players!A:A,Class_Players!G:G)</f>
        <v>145</v>
      </c>
      <c r="G410" s="43">
        <f t="shared" si="114"/>
        <v>1.9724137931034482</v>
      </c>
      <c r="H410" s="43">
        <f>_xlfn.XLOOKUP(A410,Class_Players!$A:$A,Class_Players!$F:$F,"")</f>
        <v>7288</v>
      </c>
      <c r="I410" s="44">
        <f t="shared" si="115"/>
        <v>3.9242590559824368E-2</v>
      </c>
      <c r="J410" s="43">
        <f t="shared" si="116"/>
        <v>0</v>
      </c>
      <c r="K410" s="44" cm="1">
        <f t="array" ref="K410">IF(D410="Gadget",_xlfn.IFS(I410&gt;=0.2,0.5,I410&gt;=0.1,0.35,I410&gt;=0.05,0.2,TRUE,0),IF(D410="Grenade",_xlfn.IFS(I410&gt;=0.2,1,I410&gt;=0.1,0.7,I410&gt;=0.05,0.4,TRUE,0),0))</f>
        <v>0</v>
      </c>
      <c r="L410" s="57">
        <f t="shared" ref="L410:L415" si="131">IF($K410=0,0,$K410 / SUMIFS($K:$K,$A:$A,$A410,$D:$D,"Gadget"))</f>
        <v>0</v>
      </c>
    </row>
    <row r="411" spans="1:12" ht="15" customHeight="1" x14ac:dyDescent="0.25">
      <c r="A411" s="42" t="str" cm="1">
        <f t="array" ref="A411">IFERROR(INDEX(_xlfn._xlws.FILTER(Class_Players!A:A,Class_Players!B:B="Recon"),QUOTIENT(ROW()-ROW($A$2),8)+1),"")</f>
        <v>Spark</v>
      </c>
      <c r="B411" s="42" t="str">
        <f>_xlfn.XLOOKUP(A411,Class_Players!$A:$A,Class_Players!$B:$B,"")</f>
        <v>Recon</v>
      </c>
      <c r="C411" s="38" t="str" cm="1">
        <f t="array" ref="C411">INDEX(Lookups!$C$2:$C$9,MOD(ROW()-ROW($B$2),ROWS(Lookups!$C$2:$C$9))+1)</f>
        <v>Recon Drone</v>
      </c>
      <c r="D411" s="38" t="str">
        <f>_xlfn.XLOOKUP(C411,Analysis_Gadgets!$C:$C,Analysis_Gadgets!$B:$B)</f>
        <v>Gadget</v>
      </c>
      <c r="E411" s="43">
        <v>265</v>
      </c>
      <c r="F411" s="43">
        <f>_xlfn.XLOOKUP(A411,Class_Players!A:A,Class_Players!G:G)</f>
        <v>145</v>
      </c>
      <c r="G411" s="43">
        <f t="shared" si="114"/>
        <v>1.8275862068965518</v>
      </c>
      <c r="H411" s="43">
        <f>_xlfn.XLOOKUP(A411,Class_Players!$A:$A,Class_Players!$F:$F,"")</f>
        <v>7288</v>
      </c>
      <c r="I411" s="44">
        <f t="shared" si="115"/>
        <v>3.636114160263447E-2</v>
      </c>
      <c r="J411" s="43">
        <f t="shared" si="116"/>
        <v>0</v>
      </c>
      <c r="K411" s="44" cm="1">
        <f t="array" ref="K411">IF(D411="Gadget",_xlfn.IFS(I411&gt;=0.2,0.5,I411&gt;=0.1,0.35,I411&gt;=0.05,0.2,TRUE,0),IF(D411="Grenade",_xlfn.IFS(I411&gt;=0.2,1,I411&gt;=0.1,0.7,I411&gt;=0.05,0.4,TRUE,0),0))</f>
        <v>0</v>
      </c>
      <c r="L411" s="57">
        <f t="shared" si="131"/>
        <v>0</v>
      </c>
    </row>
    <row r="412" spans="1:12" ht="15" customHeight="1" x14ac:dyDescent="0.25">
      <c r="A412" s="42" t="str" cm="1">
        <f t="array" ref="A412">IFERROR(INDEX(_xlfn._xlws.FILTER(Class_Players!A:A,Class_Players!B:B="Recon"),QUOTIENT(ROW()-ROW($A$2),8)+1),"")</f>
        <v>Spark</v>
      </c>
      <c r="B412" s="42" t="str">
        <f>_xlfn.XLOOKUP(A412,Class_Players!$A:$A,Class_Players!$B:$B,"")</f>
        <v>Recon</v>
      </c>
      <c r="C412" s="38" t="str" cm="1">
        <f t="array" ref="C412">INDEX(Lookups!$C$2:$C$9,MOD(ROW()-ROW($B$2),ROWS(Lookups!$C$2:$C$9))+1)</f>
        <v>Tracer Dart</v>
      </c>
      <c r="D412" s="38" t="str">
        <f>_xlfn.XLOOKUP(C412,Analysis_Gadgets!$C:$C,Analysis_Gadgets!$B:$B)</f>
        <v>Gadget</v>
      </c>
      <c r="E412" s="43">
        <v>0</v>
      </c>
      <c r="F412" s="43">
        <f>_xlfn.XLOOKUP(A412,Class_Players!A:A,Class_Players!G:G)</f>
        <v>145</v>
      </c>
      <c r="G412" s="43">
        <f t="shared" si="114"/>
        <v>0</v>
      </c>
      <c r="H412" s="43">
        <f>_xlfn.XLOOKUP(A412,Class_Players!$A:$A,Class_Players!$F:$F,"")</f>
        <v>7288</v>
      </c>
      <c r="I412" s="44">
        <f t="shared" si="115"/>
        <v>0</v>
      </c>
      <c r="J412" s="43">
        <f t="shared" si="116"/>
        <v>0</v>
      </c>
      <c r="K412" s="44" cm="1">
        <f t="array" ref="K412">IF(D412="Gadget",_xlfn.IFS(I412&gt;=0.2,0.5,I412&gt;=0.1,0.35,I412&gt;=0.05,0.2,TRUE,0),IF(D412="Grenade",_xlfn.IFS(I412&gt;=0.2,1,I412&gt;=0.1,0.7,I412&gt;=0.05,0.4,TRUE,0),0))</f>
        <v>0</v>
      </c>
      <c r="L412" s="57">
        <f t="shared" si="131"/>
        <v>0</v>
      </c>
    </row>
    <row r="413" spans="1:12" ht="15" customHeight="1" x14ac:dyDescent="0.25">
      <c r="A413" s="42" t="str" cm="1">
        <f t="array" ref="A413">IFERROR(INDEX(_xlfn._xlws.FILTER(Class_Players!A:A,Class_Players!B:B="Recon"),QUOTIENT(ROW()-ROW($A$2),8)+1),"")</f>
        <v>Spark</v>
      </c>
      <c r="B413" s="42" t="str">
        <f>_xlfn.XLOOKUP(A413,Class_Players!$A:$A,Class_Players!$B:$B,"")</f>
        <v>Recon</v>
      </c>
      <c r="C413" s="38" t="str" cm="1">
        <f t="array" ref="C413">INDEX(Lookups!$C$2:$C$9,MOD(ROW()-ROW($B$2),ROWS(Lookups!$C$2:$C$9))+1)</f>
        <v>M18A1 (Claymore)</v>
      </c>
      <c r="D413" s="38" t="str">
        <f>_xlfn.XLOOKUP(C413,Analysis_Gadgets!$C:$C,Analysis_Gadgets!$B:$B)</f>
        <v>Gadget</v>
      </c>
      <c r="E413" s="43">
        <v>3760</v>
      </c>
      <c r="F413" s="43">
        <f>_xlfn.XLOOKUP(A413,Class_Players!A:A,Class_Players!G:G)</f>
        <v>145</v>
      </c>
      <c r="G413" s="43">
        <f t="shared" si="114"/>
        <v>25.931034482758619</v>
      </c>
      <c r="H413" s="43">
        <f>_xlfn.XLOOKUP(A413,Class_Players!$A:$A,Class_Players!$F:$F,"")</f>
        <v>7288</v>
      </c>
      <c r="I413" s="44">
        <f t="shared" si="115"/>
        <v>0.51591657519209655</v>
      </c>
      <c r="J413" s="43">
        <f t="shared" si="116"/>
        <v>1</v>
      </c>
      <c r="K413" s="44" cm="1">
        <f t="array" ref="K413">IF(D413="Gadget",_xlfn.IFS(I413&gt;=0.2,0.5,I413&gt;=0.1,0.35,I413&gt;=0.05,0.2,TRUE,0),IF(D413="Grenade",_xlfn.IFS(I413&gt;=0.2,1,I413&gt;=0.1,0.7,I413&gt;=0.05,0.4,TRUE,0),0))</f>
        <v>0.5</v>
      </c>
      <c r="L413" s="57">
        <f t="shared" si="131"/>
        <v>0.5</v>
      </c>
    </row>
    <row r="414" spans="1:12" ht="15" customHeight="1" x14ac:dyDescent="0.25">
      <c r="A414" s="42" t="str" cm="1">
        <f t="array" ref="A414">IFERROR(INDEX(_xlfn._xlws.FILTER(Class_Players!A:A,Class_Players!B:B="Recon"),QUOTIENT(ROW()-ROW($A$2),8)+1),"")</f>
        <v>Spark</v>
      </c>
      <c r="B414" s="42" t="str">
        <f>_xlfn.XLOOKUP(A414,Class_Players!$A:$A,Class_Players!$B:$B,"")</f>
        <v>Recon</v>
      </c>
      <c r="C414" s="38" t="str" cm="1">
        <f t="array" ref="C414">INDEX(Lookups!$C$2:$C$9,MOD(ROW()-ROW($B$2),ROWS(Lookups!$C$2:$C$9))+1)</f>
        <v>Sniper Decoy</v>
      </c>
      <c r="D414" s="38" t="str">
        <f>_xlfn.XLOOKUP(C414,Analysis_Gadgets!$C:$C,Analysis_Gadgets!$B:$B)</f>
        <v>Gadget</v>
      </c>
      <c r="E414" s="43">
        <v>78</v>
      </c>
      <c r="F414" s="43">
        <f>_xlfn.XLOOKUP(A414,Class_Players!A:A,Class_Players!G:G)</f>
        <v>145</v>
      </c>
      <c r="G414" s="43">
        <f t="shared" si="114"/>
        <v>0.53793103448275859</v>
      </c>
      <c r="H414" s="43">
        <f>_xlfn.XLOOKUP(A414,Class_Players!$A:$A,Class_Players!$F:$F,"")</f>
        <v>7288</v>
      </c>
      <c r="I414" s="44">
        <f t="shared" si="115"/>
        <v>1.0702524698133918E-2</v>
      </c>
      <c r="J414" s="43">
        <f t="shared" si="116"/>
        <v>0</v>
      </c>
      <c r="K414" s="44" cm="1">
        <f t="array" ref="K414">IF(D414="Gadget",_xlfn.IFS(I414&gt;=0.2,0.5,I414&gt;=0.1,0.35,I414&gt;=0.05,0.2,TRUE,0),IF(D414="Grenade",_xlfn.IFS(I414&gt;=0.2,1,I414&gt;=0.1,0.7,I414&gt;=0.05,0.4,TRUE,0),0))</f>
        <v>0</v>
      </c>
      <c r="L414" s="57">
        <f t="shared" si="131"/>
        <v>0</v>
      </c>
    </row>
    <row r="415" spans="1:12" ht="15" customHeight="1" x14ac:dyDescent="0.25">
      <c r="A415" s="42" t="str" cm="1">
        <f t="array" ref="A415">IFERROR(INDEX(_xlfn._xlws.FILTER(Class_Players!A:A,Class_Players!B:B="Recon"),QUOTIENT(ROW()-ROW($A$2),8)+1),"")</f>
        <v>Spark</v>
      </c>
      <c r="B415" s="42" t="str">
        <f>_xlfn.XLOOKUP(A415,Class_Players!$A:$A,Class_Players!$B:$B,"")</f>
        <v>Recon</v>
      </c>
      <c r="C415" s="38" t="str" cm="1">
        <f t="array" ref="C415">INDEX(Lookups!$C$2:$C$9,MOD(ROW()-ROW($B$2),ROWS(Lookups!$C$2:$C$9))+1)</f>
        <v>C-4 Explosives</v>
      </c>
      <c r="D415" s="38" t="str">
        <f>_xlfn.XLOOKUP(C415,Analysis_Gadgets!$C:$C,Analysis_Gadgets!$B:$B)</f>
        <v>Gadget</v>
      </c>
      <c r="E415" s="43">
        <v>5580</v>
      </c>
      <c r="F415" s="43">
        <f>_xlfn.XLOOKUP(A415,Class_Players!A:A,Class_Players!G:G)</f>
        <v>145</v>
      </c>
      <c r="G415" s="43">
        <f t="shared" si="114"/>
        <v>38.482758620689658</v>
      </c>
      <c r="H415" s="43">
        <f>_xlfn.XLOOKUP(A415,Class_Players!$A:$A,Class_Players!$F:$F,"")</f>
        <v>7288</v>
      </c>
      <c r="I415" s="44">
        <f t="shared" si="115"/>
        <v>0.76564215148188808</v>
      </c>
      <c r="J415" s="43">
        <f t="shared" si="116"/>
        <v>1</v>
      </c>
      <c r="K415" s="44" cm="1">
        <f t="array" ref="K415">IF(D415="Gadget",_xlfn.IFS(I415&gt;=0.2,0.5,I415&gt;=0.1,0.35,I415&gt;=0.05,0.2,TRUE,0),IF(D415="Grenade",_xlfn.IFS(I415&gt;=0.2,1,I415&gt;=0.1,0.7,I415&gt;=0.05,0.4,TRUE,0),0))</f>
        <v>0.5</v>
      </c>
      <c r="L415" s="57">
        <f t="shared" si="131"/>
        <v>0.5</v>
      </c>
    </row>
    <row r="416" spans="1:12" ht="15" customHeight="1" x14ac:dyDescent="0.25">
      <c r="A416" s="42" t="str" cm="1">
        <f t="array" ref="A416">IFERROR(INDEX(_xlfn._xlws.FILTER(Class_Players!A:A,Class_Players!B:B="Recon"),QUOTIENT(ROW()-ROW($A$2),8)+1),"")</f>
        <v>Spark</v>
      </c>
      <c r="B416" s="42" t="str">
        <f>_xlfn.XLOOKUP(A416,Class_Players!$A:$A,Class_Players!$B:$B,"")</f>
        <v>Recon</v>
      </c>
      <c r="C416" s="38" t="str" cm="1">
        <f t="array" ref="C416">INDEX(Lookups!$C$2:$C$9,MOD(ROW()-ROW($B$2),ROWS(Lookups!$C$2:$C$9))+1)</f>
        <v>Proximity Detector</v>
      </c>
      <c r="D416" s="38" t="str">
        <f>_xlfn.XLOOKUP(C416,Analysis_Gadgets!$C:$C,Analysis_Gadgets!$B:$B)</f>
        <v>Grenade</v>
      </c>
      <c r="E416" s="43">
        <v>62</v>
      </c>
      <c r="F416" s="43">
        <f>_xlfn.XLOOKUP(A416,Class_Players!A:A,Class_Players!G:G)</f>
        <v>145</v>
      </c>
      <c r="G416" s="43">
        <f t="shared" si="114"/>
        <v>0.42758620689655175</v>
      </c>
      <c r="H416" s="43">
        <f>_xlfn.XLOOKUP(A416,Class_Players!$A:$A,Class_Players!$F:$F,"")</f>
        <v>7288</v>
      </c>
      <c r="I416" s="44">
        <f t="shared" si="115"/>
        <v>8.5071350164654218E-3</v>
      </c>
      <c r="J416" s="43">
        <f t="shared" si="116"/>
        <v>0</v>
      </c>
      <c r="K416" s="44" cm="1">
        <f t="array" ref="K416">IF(D416="Gadget",_xlfn.IFS(I416&gt;=0.2,0.5,I416&gt;=0.1,0.35,I416&gt;=0.05,0.2,TRUE,0),IF(D416="Grenade",_xlfn.IFS(I416&gt;=0.2,1,I416&gt;=0.1,0.7,I416&gt;=0.05,0.4,TRUE,0),0))</f>
        <v>0</v>
      </c>
      <c r="L416" s="57">
        <f t="shared" ref="L416:L417" si="132">IF($K416=0,0,$K416 / SUMIFS($K:$K,$A:$A,$A416,$D:$D,"Grenade"))</f>
        <v>0</v>
      </c>
    </row>
    <row r="417" spans="1:12" ht="15" customHeight="1" x14ac:dyDescent="0.25">
      <c r="A417" s="42" t="str" cm="1">
        <f t="array" ref="A417">IFERROR(INDEX(_xlfn._xlws.FILTER(Class_Players!A:A,Class_Players!B:B="Recon"),QUOTIENT(ROW()-ROW($A$2),8)+1),"")</f>
        <v>Spark</v>
      </c>
      <c r="B417" s="42" t="str">
        <f>_xlfn.XLOOKUP(A417,Class_Players!$A:$A,Class_Players!$B:$B,"")</f>
        <v>Recon</v>
      </c>
      <c r="C417" s="38" t="str" cm="1">
        <f t="array" ref="C417">INDEX(Lookups!$C$2:$C$9,MOD(ROW()-ROW($B$2),ROWS(Lookups!$C$2:$C$9))+1)</f>
        <v>Throwing Knife</v>
      </c>
      <c r="D417" s="38" t="str">
        <f>_xlfn.XLOOKUP(C417,Analysis_Gadgets!$C:$C,Analysis_Gadgets!$B:$B)</f>
        <v>Grenade</v>
      </c>
      <c r="E417" s="43">
        <v>68</v>
      </c>
      <c r="F417" s="43">
        <f>_xlfn.XLOOKUP(A417,Class_Players!A:A,Class_Players!G:G)</f>
        <v>145</v>
      </c>
      <c r="G417" s="43">
        <f t="shared" si="114"/>
        <v>0.4689655172413793</v>
      </c>
      <c r="H417" s="43">
        <f>_xlfn.XLOOKUP(A417,Class_Players!$A:$A,Class_Players!$F:$F,"")</f>
        <v>7288</v>
      </c>
      <c r="I417" s="44">
        <f t="shared" si="115"/>
        <v>9.3304061470911078E-3</v>
      </c>
      <c r="J417" s="43">
        <f t="shared" si="116"/>
        <v>0</v>
      </c>
      <c r="K417" s="44" cm="1">
        <f t="array" ref="K417">IF(D417="Gadget",_xlfn.IFS(I417&gt;=0.2,0.5,I417&gt;=0.1,0.35,I417&gt;=0.05,0.2,TRUE,0),IF(D417="Grenade",_xlfn.IFS(I417&gt;=0.2,1,I417&gt;=0.1,0.7,I417&gt;=0.05,0.4,TRUE,0),0))</f>
        <v>0</v>
      </c>
      <c r="L417" s="57">
        <f t="shared" si="132"/>
        <v>0</v>
      </c>
    </row>
    <row r="418" spans="1:12" ht="15" customHeight="1" x14ac:dyDescent="0.25">
      <c r="A418" s="42" t="str" cm="1">
        <f t="array" ref="A418">IFERROR(INDEX(_xlfn._xlws.FILTER(Class_Players!A:A,Class_Players!B:B="Recon"),QUOTIENT(ROW()-ROW($A$2),8)+1),"")</f>
        <v>Curtron</v>
      </c>
      <c r="B418" s="42" t="str">
        <f>_xlfn.XLOOKUP(A418,Class_Players!$A:$A,Class_Players!$B:$B,"")</f>
        <v>Recon</v>
      </c>
      <c r="C418" s="38" t="str" cm="1">
        <f t="array" ref="C418">INDEX(Lookups!$C$2:$C$9,MOD(ROW()-ROW($B$2),ROWS(Lookups!$C$2:$C$9))+1)</f>
        <v>Laser Designator</v>
      </c>
      <c r="D418" s="38" t="str">
        <f>_xlfn.XLOOKUP(C418,Analysis_Gadgets!$C:$C,Analysis_Gadgets!$B:$B)</f>
        <v>Gadget</v>
      </c>
      <c r="E418" s="43">
        <v>122</v>
      </c>
      <c r="F418" s="43">
        <f>_xlfn.XLOOKUP(A418,Class_Players!A:A,Class_Players!G:G)</f>
        <v>106</v>
      </c>
      <c r="G418" s="43">
        <f t="shared" ref="G418:G465" si="133">IF(F418=0,"",E418/(F418))</f>
        <v>1.1509433962264151</v>
      </c>
      <c r="H418" s="43">
        <f>_xlfn.XLOOKUP(A418,Class_Players!$A:$A,Class_Players!$F:$F,"")</f>
        <v>7029</v>
      </c>
      <c r="I418" s="44">
        <f t="shared" ref="I418:I465" si="134">IF(H418=0,"",E418/H418)</f>
        <v>1.7356665243989187E-2</v>
      </c>
      <c r="J418" s="43">
        <f t="shared" ref="J418:J465" si="135">IF(I418&gt;=0.1,1,0)</f>
        <v>0</v>
      </c>
      <c r="K418" s="44" cm="1">
        <f t="array" ref="K418">IF(D418="Gadget",_xlfn.IFS(I418&gt;=0.2,0.5,I418&gt;=0.1,0.35,I418&gt;=0.05,0.2,TRUE,0),IF(D418="Grenade",_xlfn.IFS(I418&gt;=0.2,1,I418&gt;=0.1,0.7,I418&gt;=0.05,0.4,TRUE,0),0))</f>
        <v>0</v>
      </c>
      <c r="L418" s="57">
        <f t="shared" ref="L418:L423" si="136">IF($K418=0,0,$K418 / SUMIFS($K:$K,$A:$A,$A418,$D:$D,"Gadget"))</f>
        <v>0</v>
      </c>
    </row>
    <row r="419" spans="1:12" ht="15" customHeight="1" x14ac:dyDescent="0.25">
      <c r="A419" s="42" t="str" cm="1">
        <f t="array" ref="A419">IFERROR(INDEX(_xlfn._xlws.FILTER(Class_Players!A:A,Class_Players!B:B="Recon"),QUOTIENT(ROW()-ROW($A$2),8)+1),"")</f>
        <v>Curtron</v>
      </c>
      <c r="B419" s="42" t="str">
        <f>_xlfn.XLOOKUP(A419,Class_Players!$A:$A,Class_Players!$B:$B,"")</f>
        <v>Recon</v>
      </c>
      <c r="C419" s="38" t="str" cm="1">
        <f t="array" ref="C419">INDEX(Lookups!$C$2:$C$9,MOD(ROW()-ROW($B$2),ROWS(Lookups!$C$2:$C$9))+1)</f>
        <v>Recon Drone</v>
      </c>
      <c r="D419" s="38" t="str">
        <f>_xlfn.XLOOKUP(C419,Analysis_Gadgets!$C:$C,Analysis_Gadgets!$B:$B)</f>
        <v>Gadget</v>
      </c>
      <c r="E419" s="43">
        <v>318</v>
      </c>
      <c r="F419" s="43">
        <f>_xlfn.XLOOKUP(A419,Class_Players!A:A,Class_Players!G:G)</f>
        <v>106</v>
      </c>
      <c r="G419" s="43">
        <f t="shared" si="133"/>
        <v>3</v>
      </c>
      <c r="H419" s="43">
        <f>_xlfn.XLOOKUP(A419,Class_Players!$A:$A,Class_Players!$F:$F,"")</f>
        <v>7029</v>
      </c>
      <c r="I419" s="44">
        <f t="shared" si="134"/>
        <v>4.5241143832693127E-2</v>
      </c>
      <c r="J419" s="43">
        <f t="shared" si="135"/>
        <v>0</v>
      </c>
      <c r="K419" s="44" cm="1">
        <f t="array" ref="K419">IF(D419="Gadget",_xlfn.IFS(I419&gt;=0.2,0.5,I419&gt;=0.1,0.35,I419&gt;=0.05,0.2,TRUE,0),IF(D419="Grenade",_xlfn.IFS(I419&gt;=0.2,1,I419&gt;=0.1,0.7,I419&gt;=0.05,0.4,TRUE,0),0))</f>
        <v>0</v>
      </c>
      <c r="L419" s="57">
        <f t="shared" si="136"/>
        <v>0</v>
      </c>
    </row>
    <row r="420" spans="1:12" ht="15" customHeight="1" x14ac:dyDescent="0.25">
      <c r="A420" s="42" t="str" cm="1">
        <f t="array" ref="A420">IFERROR(INDEX(_xlfn._xlws.FILTER(Class_Players!A:A,Class_Players!B:B="Recon"),QUOTIENT(ROW()-ROW($A$2),8)+1),"")</f>
        <v>Curtron</v>
      </c>
      <c r="B420" s="42" t="str">
        <f>_xlfn.XLOOKUP(A420,Class_Players!$A:$A,Class_Players!$B:$B,"")</f>
        <v>Recon</v>
      </c>
      <c r="C420" s="38" t="str" cm="1">
        <f t="array" ref="C420">INDEX(Lookups!$C$2:$C$9,MOD(ROW()-ROW($B$2),ROWS(Lookups!$C$2:$C$9))+1)</f>
        <v>Tracer Dart</v>
      </c>
      <c r="D420" s="38" t="str">
        <f>_xlfn.XLOOKUP(C420,Analysis_Gadgets!$C:$C,Analysis_Gadgets!$B:$B)</f>
        <v>Gadget</v>
      </c>
      <c r="E420" s="43">
        <v>54</v>
      </c>
      <c r="F420" s="43">
        <f>_xlfn.XLOOKUP(A420,Class_Players!A:A,Class_Players!G:G)</f>
        <v>106</v>
      </c>
      <c r="G420" s="43">
        <f t="shared" si="133"/>
        <v>0.50943396226415094</v>
      </c>
      <c r="H420" s="43">
        <f>_xlfn.XLOOKUP(A420,Class_Players!$A:$A,Class_Players!$F:$F,"")</f>
        <v>7029</v>
      </c>
      <c r="I420" s="44">
        <f t="shared" si="134"/>
        <v>7.6824583866837385E-3</v>
      </c>
      <c r="J420" s="43">
        <f t="shared" si="135"/>
        <v>0</v>
      </c>
      <c r="K420" s="44" cm="1">
        <f t="array" ref="K420">IF(D420="Gadget",_xlfn.IFS(I420&gt;=0.2,0.5,I420&gt;=0.1,0.35,I420&gt;=0.05,0.2,TRUE,0),IF(D420="Grenade",_xlfn.IFS(I420&gt;=0.2,1,I420&gt;=0.1,0.7,I420&gt;=0.05,0.4,TRUE,0),0))</f>
        <v>0</v>
      </c>
      <c r="L420" s="57">
        <f t="shared" si="136"/>
        <v>0</v>
      </c>
    </row>
    <row r="421" spans="1:12" ht="15" customHeight="1" x14ac:dyDescent="0.25">
      <c r="A421" s="42" t="str" cm="1">
        <f t="array" ref="A421">IFERROR(INDEX(_xlfn._xlws.FILTER(Class_Players!A:A,Class_Players!B:B="Recon"),QUOTIENT(ROW()-ROW($A$2),8)+1),"")</f>
        <v>Curtron</v>
      </c>
      <c r="B421" s="42" t="str">
        <f>_xlfn.XLOOKUP(A421,Class_Players!$A:$A,Class_Players!$B:$B,"")</f>
        <v>Recon</v>
      </c>
      <c r="C421" s="38" t="str" cm="1">
        <f t="array" ref="C421">INDEX(Lookups!$C$2:$C$9,MOD(ROW()-ROW($B$2),ROWS(Lookups!$C$2:$C$9))+1)</f>
        <v>M18A1 (Claymore)</v>
      </c>
      <c r="D421" s="38" t="str">
        <f>_xlfn.XLOOKUP(C421,Analysis_Gadgets!$C:$C,Analysis_Gadgets!$B:$B)</f>
        <v>Gadget</v>
      </c>
      <c r="E421" s="43">
        <v>3690</v>
      </c>
      <c r="F421" s="43">
        <f>_xlfn.XLOOKUP(A421,Class_Players!A:A,Class_Players!G:G)</f>
        <v>106</v>
      </c>
      <c r="G421" s="43">
        <f t="shared" si="133"/>
        <v>34.811320754716981</v>
      </c>
      <c r="H421" s="43">
        <f>_xlfn.XLOOKUP(A421,Class_Players!$A:$A,Class_Players!$F:$F,"")</f>
        <v>7029</v>
      </c>
      <c r="I421" s="44">
        <f t="shared" si="134"/>
        <v>0.5249679897567221</v>
      </c>
      <c r="J421" s="43">
        <f t="shared" si="135"/>
        <v>1</v>
      </c>
      <c r="K421" s="44" cm="1">
        <f t="array" ref="K421">IF(D421="Gadget",_xlfn.IFS(I421&gt;=0.2,0.5,I421&gt;=0.1,0.35,I421&gt;=0.05,0.2,TRUE,0),IF(D421="Grenade",_xlfn.IFS(I421&gt;=0.2,1,I421&gt;=0.1,0.7,I421&gt;=0.05,0.4,TRUE,0),0))</f>
        <v>0.5</v>
      </c>
      <c r="L421" s="57">
        <f t="shared" si="136"/>
        <v>0.5</v>
      </c>
    </row>
    <row r="422" spans="1:12" ht="15" customHeight="1" x14ac:dyDescent="0.25">
      <c r="A422" s="42" t="str" cm="1">
        <f t="array" ref="A422">IFERROR(INDEX(_xlfn._xlws.FILTER(Class_Players!A:A,Class_Players!B:B="Recon"),QUOTIENT(ROW()-ROW($A$2),8)+1),"")</f>
        <v>Curtron</v>
      </c>
      <c r="B422" s="42" t="str">
        <f>_xlfn.XLOOKUP(A422,Class_Players!$A:$A,Class_Players!$B:$B,"")</f>
        <v>Recon</v>
      </c>
      <c r="C422" s="38" t="str" cm="1">
        <f t="array" ref="C422">INDEX(Lookups!$C$2:$C$9,MOD(ROW()-ROW($B$2),ROWS(Lookups!$C$2:$C$9))+1)</f>
        <v>Sniper Decoy</v>
      </c>
      <c r="D422" s="38" t="str">
        <f>_xlfn.XLOOKUP(C422,Analysis_Gadgets!$C:$C,Analysis_Gadgets!$B:$B)</f>
        <v>Gadget</v>
      </c>
      <c r="E422" s="43">
        <v>8</v>
      </c>
      <c r="F422" s="43">
        <f>_xlfn.XLOOKUP(A422,Class_Players!A:A,Class_Players!G:G)</f>
        <v>106</v>
      </c>
      <c r="G422" s="43">
        <f t="shared" si="133"/>
        <v>7.5471698113207544E-2</v>
      </c>
      <c r="H422" s="43">
        <f>_xlfn.XLOOKUP(A422,Class_Players!$A:$A,Class_Players!$F:$F,"")</f>
        <v>7029</v>
      </c>
      <c r="I422" s="44">
        <f t="shared" si="134"/>
        <v>1.1381419832124057E-3</v>
      </c>
      <c r="J422" s="43">
        <f t="shared" si="135"/>
        <v>0</v>
      </c>
      <c r="K422" s="44" cm="1">
        <f t="array" ref="K422">IF(D422="Gadget",_xlfn.IFS(I422&gt;=0.2,0.5,I422&gt;=0.1,0.35,I422&gt;=0.05,0.2,TRUE,0),IF(D422="Grenade",_xlfn.IFS(I422&gt;=0.2,1,I422&gt;=0.1,0.7,I422&gt;=0.05,0.4,TRUE,0),0))</f>
        <v>0</v>
      </c>
      <c r="L422" s="57">
        <f t="shared" si="136"/>
        <v>0</v>
      </c>
    </row>
    <row r="423" spans="1:12" ht="15" customHeight="1" x14ac:dyDescent="0.25">
      <c r="A423" s="42" t="str" cm="1">
        <f t="array" ref="A423">IFERROR(INDEX(_xlfn._xlws.FILTER(Class_Players!A:A,Class_Players!B:B="Recon"),QUOTIENT(ROW()-ROW($A$2),8)+1),"")</f>
        <v>Curtron</v>
      </c>
      <c r="B423" s="42" t="str">
        <f>_xlfn.XLOOKUP(A423,Class_Players!$A:$A,Class_Players!$B:$B,"")</f>
        <v>Recon</v>
      </c>
      <c r="C423" s="38" t="str" cm="1">
        <f t="array" ref="C423">INDEX(Lookups!$C$2:$C$9,MOD(ROW()-ROW($B$2),ROWS(Lookups!$C$2:$C$9))+1)</f>
        <v>C-4 Explosives</v>
      </c>
      <c r="D423" s="38" t="str">
        <f>_xlfn.XLOOKUP(C423,Analysis_Gadgets!$C:$C,Analysis_Gadgets!$B:$B)</f>
        <v>Gadget</v>
      </c>
      <c r="E423" s="43">
        <v>1428</v>
      </c>
      <c r="F423" s="43">
        <f>_xlfn.XLOOKUP(A423,Class_Players!A:A,Class_Players!G:G)</f>
        <v>106</v>
      </c>
      <c r="G423" s="43">
        <f t="shared" si="133"/>
        <v>13.471698113207546</v>
      </c>
      <c r="H423" s="43">
        <f>_xlfn.XLOOKUP(A423,Class_Players!$A:$A,Class_Players!$F:$F,"")</f>
        <v>7029</v>
      </c>
      <c r="I423" s="44">
        <f t="shared" si="134"/>
        <v>0.20315834400341443</v>
      </c>
      <c r="J423" s="43">
        <f t="shared" si="135"/>
        <v>1</v>
      </c>
      <c r="K423" s="44" cm="1">
        <f t="array" ref="K423">IF(D423="Gadget",_xlfn.IFS(I423&gt;=0.2,0.5,I423&gt;=0.1,0.35,I423&gt;=0.05,0.2,TRUE,0),IF(D423="Grenade",_xlfn.IFS(I423&gt;=0.2,1,I423&gt;=0.1,0.7,I423&gt;=0.05,0.4,TRUE,0),0))</f>
        <v>0.5</v>
      </c>
      <c r="L423" s="57">
        <f t="shared" si="136"/>
        <v>0.5</v>
      </c>
    </row>
    <row r="424" spans="1:12" ht="15" customHeight="1" x14ac:dyDescent="0.25">
      <c r="A424" s="42" t="str" cm="1">
        <f t="array" ref="A424">IFERROR(INDEX(_xlfn._xlws.FILTER(Class_Players!A:A,Class_Players!B:B="Recon"),QUOTIENT(ROW()-ROW($A$2),8)+1),"")</f>
        <v>Curtron</v>
      </c>
      <c r="B424" s="42" t="str">
        <f>_xlfn.XLOOKUP(A424,Class_Players!$A:$A,Class_Players!$B:$B,"")</f>
        <v>Recon</v>
      </c>
      <c r="C424" s="38" t="str" cm="1">
        <f t="array" ref="C424">INDEX(Lookups!$C$2:$C$9,MOD(ROW()-ROW($B$2),ROWS(Lookups!$C$2:$C$9))+1)</f>
        <v>Proximity Detector</v>
      </c>
      <c r="D424" s="38" t="str">
        <f>_xlfn.XLOOKUP(C424,Analysis_Gadgets!$C:$C,Analysis_Gadgets!$B:$B)</f>
        <v>Grenade</v>
      </c>
      <c r="E424" s="43">
        <v>0</v>
      </c>
      <c r="F424" s="43">
        <f>_xlfn.XLOOKUP(A424,Class_Players!A:A,Class_Players!G:G)</f>
        <v>106</v>
      </c>
      <c r="G424" s="43">
        <f t="shared" si="133"/>
        <v>0</v>
      </c>
      <c r="H424" s="43">
        <f>_xlfn.XLOOKUP(A424,Class_Players!$A:$A,Class_Players!$F:$F,"")</f>
        <v>7029</v>
      </c>
      <c r="I424" s="44">
        <f t="shared" si="134"/>
        <v>0</v>
      </c>
      <c r="J424" s="43">
        <f t="shared" si="135"/>
        <v>0</v>
      </c>
      <c r="K424" s="44" cm="1">
        <f t="array" ref="K424">IF(D424="Gadget",_xlfn.IFS(I424&gt;=0.2,0.5,I424&gt;=0.1,0.35,I424&gt;=0.05,0.2,TRUE,0),IF(D424="Grenade",_xlfn.IFS(I424&gt;=0.2,1,I424&gt;=0.1,0.7,I424&gt;=0.05,0.4,TRUE,0),0))</f>
        <v>0</v>
      </c>
      <c r="L424" s="57">
        <f t="shared" ref="L424:L425" si="137">IF($K424=0,0,$K424 / SUMIFS($K:$K,$A:$A,$A424,$D:$D,"Grenade"))</f>
        <v>0</v>
      </c>
    </row>
    <row r="425" spans="1:12" ht="15" customHeight="1" x14ac:dyDescent="0.25">
      <c r="A425" s="42" t="str" cm="1">
        <f t="array" ref="A425">IFERROR(INDEX(_xlfn._xlws.FILTER(Class_Players!A:A,Class_Players!B:B="Recon"),QUOTIENT(ROW()-ROW($A$2),8)+1),"")</f>
        <v>Curtron</v>
      </c>
      <c r="B425" s="42" t="str">
        <f>_xlfn.XLOOKUP(A425,Class_Players!$A:$A,Class_Players!$B:$B,"")</f>
        <v>Recon</v>
      </c>
      <c r="C425" s="38" t="str" cm="1">
        <f t="array" ref="C425">INDEX(Lookups!$C$2:$C$9,MOD(ROW()-ROW($B$2),ROWS(Lookups!$C$2:$C$9))+1)</f>
        <v>Throwing Knife</v>
      </c>
      <c r="D425" s="38" t="str">
        <f>_xlfn.XLOOKUP(C425,Analysis_Gadgets!$C:$C,Analysis_Gadgets!$B:$B)</f>
        <v>Grenade</v>
      </c>
      <c r="E425" s="43">
        <v>0</v>
      </c>
      <c r="F425" s="43">
        <f>_xlfn.XLOOKUP(A425,Class_Players!A:A,Class_Players!G:G)</f>
        <v>106</v>
      </c>
      <c r="G425" s="43">
        <f t="shared" si="133"/>
        <v>0</v>
      </c>
      <c r="H425" s="43">
        <f>_xlfn.XLOOKUP(A425,Class_Players!$A:$A,Class_Players!$F:$F,"")</f>
        <v>7029</v>
      </c>
      <c r="I425" s="44">
        <f t="shared" si="134"/>
        <v>0</v>
      </c>
      <c r="J425" s="43">
        <f t="shared" si="135"/>
        <v>0</v>
      </c>
      <c r="K425" s="44" cm="1">
        <f t="array" ref="K425">IF(D425="Gadget",_xlfn.IFS(I425&gt;=0.2,0.5,I425&gt;=0.1,0.35,I425&gt;=0.05,0.2,TRUE,0),IF(D425="Grenade",_xlfn.IFS(I425&gt;=0.2,1,I425&gt;=0.1,0.7,I425&gt;=0.05,0.4,TRUE,0),0))</f>
        <v>0</v>
      </c>
      <c r="L425" s="57">
        <f t="shared" si="137"/>
        <v>0</v>
      </c>
    </row>
    <row r="426" spans="1:12" ht="15" customHeight="1" x14ac:dyDescent="0.25">
      <c r="A426" s="42" t="str" cm="1">
        <f t="array" ref="A426">IFERROR(INDEX(_xlfn._xlws.FILTER(Class_Players!A:A,Class_Players!B:B="Recon"),QUOTIENT(ROW()-ROW($A$2),8)+1),"")</f>
        <v>maverickman23=MM=</v>
      </c>
      <c r="B426" s="42" t="str">
        <f>_xlfn.XLOOKUP(A426,Class_Players!$A:$A,Class_Players!$B:$B,"")</f>
        <v>Recon</v>
      </c>
      <c r="C426" s="38" t="str" cm="1">
        <f t="array" ref="C426">INDEX(Lookups!$C$2:$C$9,MOD(ROW()-ROW($B$2),ROWS(Lookups!$C$2:$C$9))+1)</f>
        <v>Laser Designator</v>
      </c>
      <c r="D426" s="38" t="str">
        <f>_xlfn.XLOOKUP(C426,Analysis_Gadgets!$C:$C,Analysis_Gadgets!$B:$B)</f>
        <v>Gadget</v>
      </c>
      <c r="E426" s="43">
        <v>606</v>
      </c>
      <c r="F426" s="43">
        <f>_xlfn.XLOOKUP(A426,Class_Players!A:A,Class_Players!G:G)</f>
        <v>325</v>
      </c>
      <c r="G426" s="43">
        <f t="shared" si="133"/>
        <v>1.8646153846153846</v>
      </c>
      <c r="H426" s="43">
        <f>_xlfn.XLOOKUP(A426,Class_Players!$A:$A,Class_Players!$F:$F,"")</f>
        <v>6763</v>
      </c>
      <c r="I426" s="44">
        <f t="shared" si="134"/>
        <v>8.960520479077333E-2</v>
      </c>
      <c r="J426" s="43">
        <f t="shared" si="135"/>
        <v>0</v>
      </c>
      <c r="K426" s="44" cm="1">
        <f t="array" ref="K426">IF(D426="Gadget",_xlfn.IFS(I426&gt;=0.2,0.5,I426&gt;=0.1,0.35,I426&gt;=0.05,0.2,TRUE,0),IF(D426="Grenade",_xlfn.IFS(I426&gt;=0.2,1,I426&gt;=0.1,0.7,I426&gt;=0.05,0.4,TRUE,0),0))</f>
        <v>0.2</v>
      </c>
      <c r="L426" s="57">
        <f t="shared" ref="L426:L431" si="138">IF($K426=0,0,$K426 / SUMIFS($K:$K,$A:$A,$A426,$D:$D,"Gadget"))</f>
        <v>0.16666666666666669</v>
      </c>
    </row>
    <row r="427" spans="1:12" ht="15" customHeight="1" x14ac:dyDescent="0.25">
      <c r="A427" s="42" t="str" cm="1">
        <f t="array" ref="A427">IFERROR(INDEX(_xlfn._xlws.FILTER(Class_Players!A:A,Class_Players!B:B="Recon"),QUOTIENT(ROW()-ROW($A$2),8)+1),"")</f>
        <v>maverickman23=MM=</v>
      </c>
      <c r="B427" s="42" t="str">
        <f>_xlfn.XLOOKUP(A427,Class_Players!$A:$A,Class_Players!$B:$B,"")</f>
        <v>Recon</v>
      </c>
      <c r="C427" s="38" t="str" cm="1">
        <f t="array" ref="C427">INDEX(Lookups!$C$2:$C$9,MOD(ROW()-ROW($B$2),ROWS(Lookups!$C$2:$C$9))+1)</f>
        <v>Recon Drone</v>
      </c>
      <c r="D427" s="38" t="str">
        <f>_xlfn.XLOOKUP(C427,Analysis_Gadgets!$C:$C,Analysis_Gadgets!$B:$B)</f>
        <v>Gadget</v>
      </c>
      <c r="E427" s="43">
        <v>92</v>
      </c>
      <c r="F427" s="43">
        <f>_xlfn.XLOOKUP(A427,Class_Players!A:A,Class_Players!G:G)</f>
        <v>325</v>
      </c>
      <c r="G427" s="43">
        <f t="shared" si="133"/>
        <v>0.28307692307692306</v>
      </c>
      <c r="H427" s="43">
        <f>_xlfn.XLOOKUP(A427,Class_Players!$A:$A,Class_Players!$F:$F,"")</f>
        <v>6763</v>
      </c>
      <c r="I427" s="44">
        <f t="shared" si="134"/>
        <v>1.3603430430282419E-2</v>
      </c>
      <c r="J427" s="43">
        <f t="shared" si="135"/>
        <v>0</v>
      </c>
      <c r="K427" s="44" cm="1">
        <f t="array" ref="K427">IF(D427="Gadget",_xlfn.IFS(I427&gt;=0.2,0.5,I427&gt;=0.1,0.35,I427&gt;=0.05,0.2,TRUE,0),IF(D427="Grenade",_xlfn.IFS(I427&gt;=0.2,1,I427&gt;=0.1,0.7,I427&gt;=0.05,0.4,TRUE,0),0))</f>
        <v>0</v>
      </c>
      <c r="L427" s="57">
        <f t="shared" si="138"/>
        <v>0</v>
      </c>
    </row>
    <row r="428" spans="1:12" ht="15" customHeight="1" x14ac:dyDescent="0.25">
      <c r="A428" s="42" t="str" cm="1">
        <f t="array" ref="A428">IFERROR(INDEX(_xlfn._xlws.FILTER(Class_Players!A:A,Class_Players!B:B="Recon"),QUOTIENT(ROW()-ROW($A$2),8)+1),"")</f>
        <v>maverickman23=MM=</v>
      </c>
      <c r="B428" s="42" t="str">
        <f>_xlfn.XLOOKUP(A428,Class_Players!$A:$A,Class_Players!$B:$B,"")</f>
        <v>Recon</v>
      </c>
      <c r="C428" s="38" t="str" cm="1">
        <f t="array" ref="C428">INDEX(Lookups!$C$2:$C$9,MOD(ROW()-ROW($B$2),ROWS(Lookups!$C$2:$C$9))+1)</f>
        <v>Tracer Dart</v>
      </c>
      <c r="D428" s="38" t="str">
        <f>_xlfn.XLOOKUP(C428,Analysis_Gadgets!$C:$C,Analysis_Gadgets!$B:$B)</f>
        <v>Gadget</v>
      </c>
      <c r="E428" s="43">
        <v>0</v>
      </c>
      <c r="F428" s="43">
        <f>_xlfn.XLOOKUP(A428,Class_Players!A:A,Class_Players!G:G)</f>
        <v>325</v>
      </c>
      <c r="G428" s="43">
        <f t="shared" si="133"/>
        <v>0</v>
      </c>
      <c r="H428" s="43">
        <f>_xlfn.XLOOKUP(A428,Class_Players!$A:$A,Class_Players!$F:$F,"")</f>
        <v>6763</v>
      </c>
      <c r="I428" s="44">
        <f t="shared" si="134"/>
        <v>0</v>
      </c>
      <c r="J428" s="43">
        <f t="shared" si="135"/>
        <v>0</v>
      </c>
      <c r="K428" s="44" cm="1">
        <f t="array" ref="K428">IF(D428="Gadget",_xlfn.IFS(I428&gt;=0.2,0.5,I428&gt;=0.1,0.35,I428&gt;=0.05,0.2,TRUE,0),IF(D428="Grenade",_xlfn.IFS(I428&gt;=0.2,1,I428&gt;=0.1,0.7,I428&gt;=0.05,0.4,TRUE,0),0))</f>
        <v>0</v>
      </c>
      <c r="L428" s="57">
        <f t="shared" si="138"/>
        <v>0</v>
      </c>
    </row>
    <row r="429" spans="1:12" ht="15" customHeight="1" x14ac:dyDescent="0.25">
      <c r="A429" s="42" t="str" cm="1">
        <f t="array" ref="A429">IFERROR(INDEX(_xlfn._xlws.FILTER(Class_Players!A:A,Class_Players!B:B="Recon"),QUOTIENT(ROW()-ROW($A$2),8)+1),"")</f>
        <v>maverickman23=MM=</v>
      </c>
      <c r="B429" s="42" t="str">
        <f>_xlfn.XLOOKUP(A429,Class_Players!$A:$A,Class_Players!$B:$B,"")</f>
        <v>Recon</v>
      </c>
      <c r="C429" s="38" t="str" cm="1">
        <f t="array" ref="C429">INDEX(Lookups!$C$2:$C$9,MOD(ROW()-ROW($B$2),ROWS(Lookups!$C$2:$C$9))+1)</f>
        <v>M18A1 (Claymore)</v>
      </c>
      <c r="D429" s="38" t="str">
        <f>_xlfn.XLOOKUP(C429,Analysis_Gadgets!$C:$C,Analysis_Gadgets!$B:$B)</f>
        <v>Gadget</v>
      </c>
      <c r="E429" s="43">
        <v>2637</v>
      </c>
      <c r="F429" s="43">
        <f>_xlfn.XLOOKUP(A429,Class_Players!A:A,Class_Players!G:G)</f>
        <v>325</v>
      </c>
      <c r="G429" s="43">
        <f t="shared" si="133"/>
        <v>8.1138461538461542</v>
      </c>
      <c r="H429" s="43">
        <f>_xlfn.XLOOKUP(A429,Class_Players!$A:$A,Class_Players!$F:$F,"")</f>
        <v>6763</v>
      </c>
      <c r="I429" s="44">
        <f t="shared" si="134"/>
        <v>0.38991571787668194</v>
      </c>
      <c r="J429" s="43">
        <f t="shared" si="135"/>
        <v>1</v>
      </c>
      <c r="K429" s="44" cm="1">
        <f t="array" ref="K429">IF(D429="Gadget",_xlfn.IFS(I429&gt;=0.2,0.5,I429&gt;=0.1,0.35,I429&gt;=0.05,0.2,TRUE,0),IF(D429="Grenade",_xlfn.IFS(I429&gt;=0.2,1,I429&gt;=0.1,0.7,I429&gt;=0.05,0.4,TRUE,0),0))</f>
        <v>0.5</v>
      </c>
      <c r="L429" s="57">
        <f t="shared" si="138"/>
        <v>0.41666666666666669</v>
      </c>
    </row>
    <row r="430" spans="1:12" ht="15" customHeight="1" x14ac:dyDescent="0.25">
      <c r="A430" s="42" t="str" cm="1">
        <f t="array" ref="A430">IFERROR(INDEX(_xlfn._xlws.FILTER(Class_Players!A:A,Class_Players!B:B="Recon"),QUOTIENT(ROW()-ROW($A$2),8)+1),"")</f>
        <v>maverickman23=MM=</v>
      </c>
      <c r="B430" s="42" t="str">
        <f>_xlfn.XLOOKUP(A430,Class_Players!$A:$A,Class_Players!$B:$B,"")</f>
        <v>Recon</v>
      </c>
      <c r="C430" s="38" t="str" cm="1">
        <f t="array" ref="C430">INDEX(Lookups!$C$2:$C$9,MOD(ROW()-ROW($B$2),ROWS(Lookups!$C$2:$C$9))+1)</f>
        <v>Sniper Decoy</v>
      </c>
      <c r="D430" s="38" t="str">
        <f>_xlfn.XLOOKUP(C430,Analysis_Gadgets!$C:$C,Analysis_Gadgets!$B:$B)</f>
        <v>Gadget</v>
      </c>
      <c r="E430" s="43">
        <v>213</v>
      </c>
      <c r="F430" s="43">
        <f>_xlfn.XLOOKUP(A430,Class_Players!A:A,Class_Players!G:G)</f>
        <v>325</v>
      </c>
      <c r="G430" s="43">
        <f t="shared" si="133"/>
        <v>0.65538461538461534</v>
      </c>
      <c r="H430" s="43">
        <f>_xlfn.XLOOKUP(A430,Class_Players!$A:$A,Class_Players!$F:$F,"")</f>
        <v>6763</v>
      </c>
      <c r="I430" s="44">
        <f t="shared" si="134"/>
        <v>3.1494898713588647E-2</v>
      </c>
      <c r="J430" s="43">
        <f t="shared" si="135"/>
        <v>0</v>
      </c>
      <c r="K430" s="44" cm="1">
        <f t="array" ref="K430">IF(D430="Gadget",_xlfn.IFS(I430&gt;=0.2,0.5,I430&gt;=0.1,0.35,I430&gt;=0.05,0.2,TRUE,0),IF(D430="Grenade",_xlfn.IFS(I430&gt;=0.2,1,I430&gt;=0.1,0.7,I430&gt;=0.05,0.4,TRUE,0),0))</f>
        <v>0</v>
      </c>
      <c r="L430" s="57">
        <f t="shared" si="138"/>
        <v>0</v>
      </c>
    </row>
    <row r="431" spans="1:12" ht="15" customHeight="1" x14ac:dyDescent="0.25">
      <c r="A431" s="42" t="str" cm="1">
        <f t="array" ref="A431">IFERROR(INDEX(_xlfn._xlws.FILTER(Class_Players!A:A,Class_Players!B:B="Recon"),QUOTIENT(ROW()-ROW($A$2),8)+1),"")</f>
        <v>maverickman23=MM=</v>
      </c>
      <c r="B431" s="42" t="str">
        <f>_xlfn.XLOOKUP(A431,Class_Players!$A:$A,Class_Players!$B:$B,"")</f>
        <v>Recon</v>
      </c>
      <c r="C431" s="38" t="str" cm="1">
        <f t="array" ref="C431">INDEX(Lookups!$C$2:$C$9,MOD(ROW()-ROW($B$2),ROWS(Lookups!$C$2:$C$9))+1)</f>
        <v>C-4 Explosives</v>
      </c>
      <c r="D431" s="38" t="str">
        <f>_xlfn.XLOOKUP(C431,Analysis_Gadgets!$C:$C,Analysis_Gadgets!$B:$B)</f>
        <v>Gadget</v>
      </c>
      <c r="E431" s="43">
        <v>6415</v>
      </c>
      <c r="F431" s="43">
        <f>_xlfn.XLOOKUP(A431,Class_Players!A:A,Class_Players!G:G)</f>
        <v>325</v>
      </c>
      <c r="G431" s="43">
        <f t="shared" si="133"/>
        <v>19.738461538461539</v>
      </c>
      <c r="H431" s="43">
        <f>_xlfn.XLOOKUP(A431,Class_Players!$A:$A,Class_Players!$F:$F,"")</f>
        <v>6763</v>
      </c>
      <c r="I431" s="44">
        <f t="shared" si="134"/>
        <v>0.94854354576371436</v>
      </c>
      <c r="J431" s="43">
        <f t="shared" si="135"/>
        <v>1</v>
      </c>
      <c r="K431" s="44" cm="1">
        <f t="array" ref="K431">IF(D431="Gadget",_xlfn.IFS(I431&gt;=0.2,0.5,I431&gt;=0.1,0.35,I431&gt;=0.05,0.2,TRUE,0),IF(D431="Grenade",_xlfn.IFS(I431&gt;=0.2,1,I431&gt;=0.1,0.7,I431&gt;=0.05,0.4,TRUE,0),0))</f>
        <v>0.5</v>
      </c>
      <c r="L431" s="57">
        <f t="shared" si="138"/>
        <v>0.41666666666666669</v>
      </c>
    </row>
    <row r="432" spans="1:12" ht="15" customHeight="1" x14ac:dyDescent="0.25">
      <c r="A432" s="42" t="str" cm="1">
        <f t="array" ref="A432">IFERROR(INDEX(_xlfn._xlws.FILTER(Class_Players!A:A,Class_Players!B:B="Recon"),QUOTIENT(ROW()-ROW($A$2),8)+1),"")</f>
        <v>maverickman23=MM=</v>
      </c>
      <c r="B432" s="42" t="str">
        <f>_xlfn.XLOOKUP(A432,Class_Players!$A:$A,Class_Players!$B:$B,"")</f>
        <v>Recon</v>
      </c>
      <c r="C432" s="38" t="str" cm="1">
        <f t="array" ref="C432">INDEX(Lookups!$C$2:$C$9,MOD(ROW()-ROW($B$2),ROWS(Lookups!$C$2:$C$9))+1)</f>
        <v>Proximity Detector</v>
      </c>
      <c r="D432" s="38" t="str">
        <f>_xlfn.XLOOKUP(C432,Analysis_Gadgets!$C:$C,Analysis_Gadgets!$B:$B)</f>
        <v>Grenade</v>
      </c>
      <c r="E432" s="43">
        <v>249</v>
      </c>
      <c r="F432" s="43">
        <f>_xlfn.XLOOKUP(A432,Class_Players!A:A,Class_Players!G:G)</f>
        <v>325</v>
      </c>
      <c r="G432" s="43">
        <f t="shared" si="133"/>
        <v>0.76615384615384619</v>
      </c>
      <c r="H432" s="43">
        <f>_xlfn.XLOOKUP(A432,Class_Players!$A:$A,Class_Players!$F:$F,"")</f>
        <v>6763</v>
      </c>
      <c r="I432" s="44">
        <f t="shared" si="134"/>
        <v>3.6817980186307851E-2</v>
      </c>
      <c r="J432" s="43">
        <f t="shared" si="135"/>
        <v>0</v>
      </c>
      <c r="K432" s="44" cm="1">
        <f t="array" ref="K432">IF(D432="Gadget",_xlfn.IFS(I432&gt;=0.2,0.5,I432&gt;=0.1,0.35,I432&gt;=0.05,0.2,TRUE,0),IF(D432="Grenade",_xlfn.IFS(I432&gt;=0.2,1,I432&gt;=0.1,0.7,I432&gt;=0.05,0.4,TRUE,0),0))</f>
        <v>0</v>
      </c>
      <c r="L432" s="57">
        <f t="shared" ref="L432:L433" si="139">IF($K432=0,0,$K432 / SUMIFS($K:$K,$A:$A,$A432,$D:$D,"Grenade"))</f>
        <v>0</v>
      </c>
    </row>
    <row r="433" spans="1:12" ht="15" customHeight="1" x14ac:dyDescent="0.25">
      <c r="A433" s="42" t="str" cm="1">
        <f t="array" ref="A433">IFERROR(INDEX(_xlfn._xlws.FILTER(Class_Players!A:A,Class_Players!B:B="Recon"),QUOTIENT(ROW()-ROW($A$2),8)+1),"")</f>
        <v>maverickman23=MM=</v>
      </c>
      <c r="B433" s="42" t="str">
        <f>_xlfn.XLOOKUP(A433,Class_Players!$A:$A,Class_Players!$B:$B,"")</f>
        <v>Recon</v>
      </c>
      <c r="C433" s="38" t="str" cm="1">
        <f t="array" ref="C433">INDEX(Lookups!$C$2:$C$9,MOD(ROW()-ROW($B$2),ROWS(Lookups!$C$2:$C$9))+1)</f>
        <v>Throwing Knife</v>
      </c>
      <c r="D433" s="38" t="str">
        <f>_xlfn.XLOOKUP(C433,Analysis_Gadgets!$C:$C,Analysis_Gadgets!$B:$B)</f>
        <v>Grenade</v>
      </c>
      <c r="E433" s="43">
        <v>1</v>
      </c>
      <c r="F433" s="43">
        <f>_xlfn.XLOOKUP(A433,Class_Players!A:A,Class_Players!G:G)</f>
        <v>325</v>
      </c>
      <c r="G433" s="43">
        <f t="shared" si="133"/>
        <v>3.0769230769230769E-3</v>
      </c>
      <c r="H433" s="43">
        <f>_xlfn.XLOOKUP(A433,Class_Players!$A:$A,Class_Players!$F:$F,"")</f>
        <v>6763</v>
      </c>
      <c r="I433" s="44">
        <f t="shared" si="134"/>
        <v>1.4786337424220019E-4</v>
      </c>
      <c r="J433" s="43">
        <f t="shared" si="135"/>
        <v>0</v>
      </c>
      <c r="K433" s="44" cm="1">
        <f t="array" ref="K433">IF(D433="Gadget",_xlfn.IFS(I433&gt;=0.2,0.5,I433&gt;=0.1,0.35,I433&gt;=0.05,0.2,TRUE,0),IF(D433="Grenade",_xlfn.IFS(I433&gt;=0.2,1,I433&gt;=0.1,0.7,I433&gt;=0.05,0.4,TRUE,0),0))</f>
        <v>0</v>
      </c>
      <c r="L433" s="57">
        <f t="shared" si="139"/>
        <v>0</v>
      </c>
    </row>
    <row r="434" spans="1:12" ht="15" customHeight="1" x14ac:dyDescent="0.25">
      <c r="A434" s="42" t="str" cm="1">
        <f t="array" ref="A434">IFERROR(INDEX(_xlfn._xlws.FILTER(Class_Players!A:A,Class_Players!B:B="Recon"),QUOTIENT(ROW()-ROW($A$2),8)+1),"")</f>
        <v>Mr. Todello</v>
      </c>
      <c r="B434" s="42" t="str">
        <f>_xlfn.XLOOKUP(A434,Class_Players!$A:$A,Class_Players!$B:$B,"")</f>
        <v>Recon</v>
      </c>
      <c r="C434" s="38" t="str" cm="1">
        <f t="array" ref="C434">INDEX(Lookups!$C$2:$C$9,MOD(ROW()-ROW($B$2),ROWS(Lookups!$C$2:$C$9))+1)</f>
        <v>Laser Designator</v>
      </c>
      <c r="D434" s="38" t="str">
        <f>_xlfn.XLOOKUP(C434,Analysis_Gadgets!$C:$C,Analysis_Gadgets!$B:$B)</f>
        <v>Gadget</v>
      </c>
      <c r="E434" s="43">
        <v>27</v>
      </c>
      <c r="F434" s="43">
        <f>_xlfn.XLOOKUP(A434,Class_Players!A:A,Class_Players!G:G)</f>
        <v>100</v>
      </c>
      <c r="G434" s="43">
        <f t="shared" si="133"/>
        <v>0.27</v>
      </c>
      <c r="H434" s="43">
        <f>_xlfn.XLOOKUP(A434,Class_Players!$A:$A,Class_Players!$F:$F,"")</f>
        <v>6681</v>
      </c>
      <c r="I434" s="44">
        <f t="shared" si="134"/>
        <v>4.0413111809609343E-3</v>
      </c>
      <c r="J434" s="43">
        <f t="shared" si="135"/>
        <v>0</v>
      </c>
      <c r="K434" s="44" cm="1">
        <f t="array" ref="K434">IF(D434="Gadget",_xlfn.IFS(I434&gt;=0.2,0.5,I434&gt;=0.1,0.35,I434&gt;=0.05,0.2,TRUE,0),IF(D434="Grenade",_xlfn.IFS(I434&gt;=0.2,1,I434&gt;=0.1,0.7,I434&gt;=0.05,0.4,TRUE,0),0))</f>
        <v>0</v>
      </c>
      <c r="L434" s="57">
        <f t="shared" ref="L434:L439" si="140">IF($K434=0,0,$K434 / SUMIFS($K:$K,$A:$A,$A434,$D:$D,"Gadget"))</f>
        <v>0</v>
      </c>
    </row>
    <row r="435" spans="1:12" ht="15" customHeight="1" x14ac:dyDescent="0.25">
      <c r="A435" s="42" t="str" cm="1">
        <f t="array" ref="A435">IFERROR(INDEX(_xlfn._xlws.FILTER(Class_Players!A:A,Class_Players!B:B="Recon"),QUOTIENT(ROW()-ROW($A$2),8)+1),"")</f>
        <v>Mr. Todello</v>
      </c>
      <c r="B435" s="42" t="str">
        <f>_xlfn.XLOOKUP(A435,Class_Players!$A:$A,Class_Players!$B:$B,"")</f>
        <v>Recon</v>
      </c>
      <c r="C435" s="38" t="str" cm="1">
        <f t="array" ref="C435">INDEX(Lookups!$C$2:$C$9,MOD(ROW()-ROW($B$2),ROWS(Lookups!$C$2:$C$9))+1)</f>
        <v>Recon Drone</v>
      </c>
      <c r="D435" s="38" t="str">
        <f>_xlfn.XLOOKUP(C435,Analysis_Gadgets!$C:$C,Analysis_Gadgets!$B:$B)</f>
        <v>Gadget</v>
      </c>
      <c r="E435" s="43">
        <v>227</v>
      </c>
      <c r="F435" s="43">
        <f>_xlfn.XLOOKUP(A435,Class_Players!A:A,Class_Players!G:G)</f>
        <v>100</v>
      </c>
      <c r="G435" s="43">
        <f t="shared" si="133"/>
        <v>2.27</v>
      </c>
      <c r="H435" s="43">
        <f>_xlfn.XLOOKUP(A435,Class_Players!$A:$A,Class_Players!$F:$F,"")</f>
        <v>6681</v>
      </c>
      <c r="I435" s="44">
        <f t="shared" si="134"/>
        <v>3.3976949558449335E-2</v>
      </c>
      <c r="J435" s="43">
        <f t="shared" si="135"/>
        <v>0</v>
      </c>
      <c r="K435" s="44" cm="1">
        <f t="array" ref="K435">IF(D435="Gadget",_xlfn.IFS(I435&gt;=0.2,0.5,I435&gt;=0.1,0.35,I435&gt;=0.05,0.2,TRUE,0),IF(D435="Grenade",_xlfn.IFS(I435&gt;=0.2,1,I435&gt;=0.1,0.7,I435&gt;=0.05,0.4,TRUE,0),0))</f>
        <v>0</v>
      </c>
      <c r="L435" s="57">
        <f t="shared" si="140"/>
        <v>0</v>
      </c>
    </row>
    <row r="436" spans="1:12" ht="15" customHeight="1" x14ac:dyDescent="0.25">
      <c r="A436" s="42" t="str" cm="1">
        <f t="array" ref="A436">IFERROR(INDEX(_xlfn._xlws.FILTER(Class_Players!A:A,Class_Players!B:B="Recon"),QUOTIENT(ROW()-ROW($A$2),8)+1),"")</f>
        <v>Mr. Todello</v>
      </c>
      <c r="B436" s="42" t="str">
        <f>_xlfn.XLOOKUP(A436,Class_Players!$A:$A,Class_Players!$B:$B,"")</f>
        <v>Recon</v>
      </c>
      <c r="C436" s="38" t="str" cm="1">
        <f t="array" ref="C436">INDEX(Lookups!$C$2:$C$9,MOD(ROW()-ROW($B$2),ROWS(Lookups!$C$2:$C$9))+1)</f>
        <v>Tracer Dart</v>
      </c>
      <c r="D436" s="38" t="str">
        <f>_xlfn.XLOOKUP(C436,Analysis_Gadgets!$C:$C,Analysis_Gadgets!$B:$B)</f>
        <v>Gadget</v>
      </c>
      <c r="E436" s="43">
        <v>0</v>
      </c>
      <c r="F436" s="43">
        <f>_xlfn.XLOOKUP(A436,Class_Players!A:A,Class_Players!G:G)</f>
        <v>100</v>
      </c>
      <c r="G436" s="43">
        <f t="shared" si="133"/>
        <v>0</v>
      </c>
      <c r="H436" s="43">
        <f>_xlfn.XLOOKUP(A436,Class_Players!$A:$A,Class_Players!$F:$F,"")</f>
        <v>6681</v>
      </c>
      <c r="I436" s="44">
        <f t="shared" si="134"/>
        <v>0</v>
      </c>
      <c r="J436" s="43">
        <f t="shared" si="135"/>
        <v>0</v>
      </c>
      <c r="K436" s="44" cm="1">
        <f t="array" ref="K436">IF(D436="Gadget",_xlfn.IFS(I436&gt;=0.2,0.5,I436&gt;=0.1,0.35,I436&gt;=0.05,0.2,TRUE,0),IF(D436="Grenade",_xlfn.IFS(I436&gt;=0.2,1,I436&gt;=0.1,0.7,I436&gt;=0.05,0.4,TRUE,0),0))</f>
        <v>0</v>
      </c>
      <c r="L436" s="57">
        <f t="shared" si="140"/>
        <v>0</v>
      </c>
    </row>
    <row r="437" spans="1:12" ht="15" customHeight="1" x14ac:dyDescent="0.25">
      <c r="A437" s="42" t="str" cm="1">
        <f t="array" ref="A437">IFERROR(INDEX(_xlfn._xlws.FILTER(Class_Players!A:A,Class_Players!B:B="Recon"),QUOTIENT(ROW()-ROW($A$2),8)+1),"")</f>
        <v>Mr. Todello</v>
      </c>
      <c r="B437" s="42" t="str">
        <f>_xlfn.XLOOKUP(A437,Class_Players!$A:$A,Class_Players!$B:$B,"")</f>
        <v>Recon</v>
      </c>
      <c r="C437" s="38" t="str" cm="1">
        <f t="array" ref="C437">INDEX(Lookups!$C$2:$C$9,MOD(ROW()-ROW($B$2),ROWS(Lookups!$C$2:$C$9))+1)</f>
        <v>M18A1 (Claymore)</v>
      </c>
      <c r="D437" s="38" t="str">
        <f>_xlfn.XLOOKUP(C437,Analysis_Gadgets!$C:$C,Analysis_Gadgets!$B:$B)</f>
        <v>Gadget</v>
      </c>
      <c r="E437" s="43">
        <v>121</v>
      </c>
      <c r="F437" s="43">
        <f>_xlfn.XLOOKUP(A437,Class_Players!A:A,Class_Players!G:G)</f>
        <v>100</v>
      </c>
      <c r="G437" s="43">
        <f t="shared" si="133"/>
        <v>1.21</v>
      </c>
      <c r="H437" s="43">
        <f>_xlfn.XLOOKUP(A437,Class_Players!$A:$A,Class_Players!$F:$F,"")</f>
        <v>6681</v>
      </c>
      <c r="I437" s="44">
        <f t="shared" si="134"/>
        <v>1.8111061218380482E-2</v>
      </c>
      <c r="J437" s="43">
        <f t="shared" si="135"/>
        <v>0</v>
      </c>
      <c r="K437" s="44" cm="1">
        <f t="array" ref="K437">IF(D437="Gadget",_xlfn.IFS(I437&gt;=0.2,0.5,I437&gt;=0.1,0.35,I437&gt;=0.05,0.2,TRUE,0),IF(D437="Grenade",_xlfn.IFS(I437&gt;=0.2,1,I437&gt;=0.1,0.7,I437&gt;=0.05,0.4,TRUE,0),0))</f>
        <v>0</v>
      </c>
      <c r="L437" s="57">
        <f t="shared" si="140"/>
        <v>0</v>
      </c>
    </row>
    <row r="438" spans="1:12" ht="15" customHeight="1" x14ac:dyDescent="0.25">
      <c r="A438" s="42" t="str" cm="1">
        <f t="array" ref="A438">IFERROR(INDEX(_xlfn._xlws.FILTER(Class_Players!A:A,Class_Players!B:B="Recon"),QUOTIENT(ROW()-ROW($A$2),8)+1),"")</f>
        <v>Mr. Todello</v>
      </c>
      <c r="B438" s="42" t="str">
        <f>_xlfn.XLOOKUP(A438,Class_Players!$A:$A,Class_Players!$B:$B,"")</f>
        <v>Recon</v>
      </c>
      <c r="C438" s="38" t="str" cm="1">
        <f t="array" ref="C438">INDEX(Lookups!$C$2:$C$9,MOD(ROW()-ROW($B$2),ROWS(Lookups!$C$2:$C$9))+1)</f>
        <v>Sniper Decoy</v>
      </c>
      <c r="D438" s="38" t="str">
        <f>_xlfn.XLOOKUP(C438,Analysis_Gadgets!$C:$C,Analysis_Gadgets!$B:$B)</f>
        <v>Gadget</v>
      </c>
      <c r="E438" s="43">
        <v>12</v>
      </c>
      <c r="F438" s="43">
        <f>_xlfn.XLOOKUP(A438,Class_Players!A:A,Class_Players!G:G)</f>
        <v>100</v>
      </c>
      <c r="G438" s="43">
        <f t="shared" si="133"/>
        <v>0.12</v>
      </c>
      <c r="H438" s="43">
        <f>_xlfn.XLOOKUP(A438,Class_Players!$A:$A,Class_Players!$F:$F,"")</f>
        <v>6681</v>
      </c>
      <c r="I438" s="44">
        <f t="shared" si="134"/>
        <v>1.7961383026493039E-3</v>
      </c>
      <c r="J438" s="43">
        <f t="shared" si="135"/>
        <v>0</v>
      </c>
      <c r="K438" s="44" cm="1">
        <f t="array" ref="K438">IF(D438="Gadget",_xlfn.IFS(I438&gt;=0.2,0.5,I438&gt;=0.1,0.35,I438&gt;=0.05,0.2,TRUE,0),IF(D438="Grenade",_xlfn.IFS(I438&gt;=0.2,1,I438&gt;=0.1,0.7,I438&gt;=0.05,0.4,TRUE,0),0))</f>
        <v>0</v>
      </c>
      <c r="L438" s="57">
        <f t="shared" si="140"/>
        <v>0</v>
      </c>
    </row>
    <row r="439" spans="1:12" ht="15" customHeight="1" x14ac:dyDescent="0.25">
      <c r="A439" s="42" t="str" cm="1">
        <f t="array" ref="A439">IFERROR(INDEX(_xlfn._xlws.FILTER(Class_Players!A:A,Class_Players!B:B="Recon"),QUOTIENT(ROW()-ROW($A$2),8)+1),"")</f>
        <v>Mr. Todello</v>
      </c>
      <c r="B439" s="42" t="str">
        <f>_xlfn.XLOOKUP(A439,Class_Players!$A:$A,Class_Players!$B:$B,"")</f>
        <v>Recon</v>
      </c>
      <c r="C439" s="38" t="str" cm="1">
        <f t="array" ref="C439">INDEX(Lookups!$C$2:$C$9,MOD(ROW()-ROW($B$2),ROWS(Lookups!$C$2:$C$9))+1)</f>
        <v>C-4 Explosives</v>
      </c>
      <c r="D439" s="38" t="str">
        <f>_xlfn.XLOOKUP(C439,Analysis_Gadgets!$C:$C,Analysis_Gadgets!$B:$B)</f>
        <v>Gadget</v>
      </c>
      <c r="E439" s="43">
        <v>1204</v>
      </c>
      <c r="F439" s="43">
        <f>_xlfn.XLOOKUP(A439,Class_Players!A:A,Class_Players!G:G)</f>
        <v>100</v>
      </c>
      <c r="G439" s="43">
        <f t="shared" si="133"/>
        <v>12.04</v>
      </c>
      <c r="H439" s="43">
        <f>_xlfn.XLOOKUP(A439,Class_Players!$A:$A,Class_Players!$F:$F,"")</f>
        <v>6681</v>
      </c>
      <c r="I439" s="44">
        <f t="shared" si="134"/>
        <v>0.18021254303248016</v>
      </c>
      <c r="J439" s="43">
        <f t="shared" si="135"/>
        <v>1</v>
      </c>
      <c r="K439" s="44" cm="1">
        <f t="array" ref="K439">IF(D439="Gadget",_xlfn.IFS(I439&gt;=0.2,0.5,I439&gt;=0.1,0.35,I439&gt;=0.05,0.2,TRUE,0),IF(D439="Grenade",_xlfn.IFS(I439&gt;=0.2,1,I439&gt;=0.1,0.7,I439&gt;=0.05,0.4,TRUE,0),0))</f>
        <v>0.35</v>
      </c>
      <c r="L439" s="57">
        <f t="shared" si="140"/>
        <v>1</v>
      </c>
    </row>
    <row r="440" spans="1:12" ht="15" customHeight="1" x14ac:dyDescent="0.25">
      <c r="A440" s="42" t="str" cm="1">
        <f t="array" ref="A440">IFERROR(INDEX(_xlfn._xlws.FILTER(Class_Players!A:A,Class_Players!B:B="Recon"),QUOTIENT(ROW()-ROW($A$2),8)+1),"")</f>
        <v>Mr. Todello</v>
      </c>
      <c r="B440" s="42" t="str">
        <f>_xlfn.XLOOKUP(A440,Class_Players!$A:$A,Class_Players!$B:$B,"")</f>
        <v>Recon</v>
      </c>
      <c r="C440" s="38" t="str" cm="1">
        <f t="array" ref="C440">INDEX(Lookups!$C$2:$C$9,MOD(ROW()-ROW($B$2),ROWS(Lookups!$C$2:$C$9))+1)</f>
        <v>Proximity Detector</v>
      </c>
      <c r="D440" s="38" t="str">
        <f>_xlfn.XLOOKUP(C440,Analysis_Gadgets!$C:$C,Analysis_Gadgets!$B:$B)</f>
        <v>Grenade</v>
      </c>
      <c r="E440" s="43">
        <v>3</v>
      </c>
      <c r="F440" s="43">
        <f>_xlfn.XLOOKUP(A440,Class_Players!A:A,Class_Players!G:G)</f>
        <v>100</v>
      </c>
      <c r="G440" s="43">
        <f t="shared" si="133"/>
        <v>0.03</v>
      </c>
      <c r="H440" s="43">
        <f>_xlfn.XLOOKUP(A440,Class_Players!$A:$A,Class_Players!$F:$F,"")</f>
        <v>6681</v>
      </c>
      <c r="I440" s="44">
        <f t="shared" si="134"/>
        <v>4.4903457566232598E-4</v>
      </c>
      <c r="J440" s="43">
        <f t="shared" si="135"/>
        <v>0</v>
      </c>
      <c r="K440" s="44" cm="1">
        <f t="array" ref="K440">IF(D440="Gadget",_xlfn.IFS(I440&gt;=0.2,0.5,I440&gt;=0.1,0.35,I440&gt;=0.05,0.2,TRUE,0),IF(D440="Grenade",_xlfn.IFS(I440&gt;=0.2,1,I440&gt;=0.1,0.7,I440&gt;=0.05,0.4,TRUE,0),0))</f>
        <v>0</v>
      </c>
      <c r="L440" s="57">
        <f t="shared" ref="L440:L441" si="141">IF($K440=0,0,$K440 / SUMIFS($K:$K,$A:$A,$A440,$D:$D,"Grenade"))</f>
        <v>0</v>
      </c>
    </row>
    <row r="441" spans="1:12" ht="15" customHeight="1" x14ac:dyDescent="0.25">
      <c r="A441" s="42" t="str" cm="1">
        <f t="array" ref="A441">IFERROR(INDEX(_xlfn._xlws.FILTER(Class_Players!A:A,Class_Players!B:B="Recon"),QUOTIENT(ROW()-ROW($A$2),8)+1),"")</f>
        <v>Mr. Todello</v>
      </c>
      <c r="B441" s="42" t="str">
        <f>_xlfn.XLOOKUP(A441,Class_Players!$A:$A,Class_Players!$B:$B,"")</f>
        <v>Recon</v>
      </c>
      <c r="C441" s="38" t="str" cm="1">
        <f t="array" ref="C441">INDEX(Lookups!$C$2:$C$9,MOD(ROW()-ROW($B$2),ROWS(Lookups!$C$2:$C$9))+1)</f>
        <v>Throwing Knife</v>
      </c>
      <c r="D441" s="38" t="str">
        <f>_xlfn.XLOOKUP(C441,Analysis_Gadgets!$C:$C,Analysis_Gadgets!$B:$B)</f>
        <v>Grenade</v>
      </c>
      <c r="E441" s="43">
        <v>11</v>
      </c>
      <c r="F441" s="43">
        <f>_xlfn.XLOOKUP(A441,Class_Players!A:A,Class_Players!G:G)</f>
        <v>100</v>
      </c>
      <c r="G441" s="43">
        <f t="shared" si="133"/>
        <v>0.11</v>
      </c>
      <c r="H441" s="43">
        <f>_xlfn.XLOOKUP(A441,Class_Players!$A:$A,Class_Players!$F:$F,"")</f>
        <v>6681</v>
      </c>
      <c r="I441" s="44">
        <f t="shared" si="134"/>
        <v>1.6464601107618619E-3</v>
      </c>
      <c r="J441" s="43">
        <f t="shared" si="135"/>
        <v>0</v>
      </c>
      <c r="K441" s="44" cm="1">
        <f t="array" ref="K441">IF(D441="Gadget",_xlfn.IFS(I441&gt;=0.2,0.5,I441&gt;=0.1,0.35,I441&gt;=0.05,0.2,TRUE,0),IF(D441="Grenade",_xlfn.IFS(I441&gt;=0.2,1,I441&gt;=0.1,0.7,I441&gt;=0.05,0.4,TRUE,0),0))</f>
        <v>0</v>
      </c>
      <c r="L441" s="57">
        <f t="shared" si="141"/>
        <v>0</v>
      </c>
    </row>
    <row r="442" spans="1:12" ht="15" customHeight="1" x14ac:dyDescent="0.25">
      <c r="A442" s="42" t="str" cm="1">
        <f t="array" ref="A442">IFERROR(INDEX(_xlfn._xlws.FILTER(Class_Players!A:A,Class_Players!B:B="Recon"),QUOTIENT(ROW()-ROW($A$2),8)+1),"")</f>
        <v>Stoned10thMtnVet</v>
      </c>
      <c r="B442" s="42" t="str">
        <f>_xlfn.XLOOKUP(A442,Class_Players!$A:$A,Class_Players!$B:$B,"")</f>
        <v>Recon</v>
      </c>
      <c r="C442" s="38" t="str" cm="1">
        <f t="array" ref="C442">INDEX(Lookups!$C$2:$C$9,MOD(ROW()-ROW($B$2),ROWS(Lookups!$C$2:$C$9))+1)</f>
        <v>Laser Designator</v>
      </c>
      <c r="D442" s="38" t="str">
        <f>_xlfn.XLOOKUP(C442,Analysis_Gadgets!$C:$C,Analysis_Gadgets!$B:$B)</f>
        <v>Gadget</v>
      </c>
      <c r="E442" s="43">
        <v>273</v>
      </c>
      <c r="F442" s="43">
        <f>_xlfn.XLOOKUP(A442,Class_Players!A:A,Class_Players!G:G)</f>
        <v>276</v>
      </c>
      <c r="G442" s="43">
        <f t="shared" si="133"/>
        <v>0.98913043478260865</v>
      </c>
      <c r="H442" s="43">
        <f>_xlfn.XLOOKUP(A442,Class_Players!$A:$A,Class_Players!$F:$F,"")</f>
        <v>6882</v>
      </c>
      <c r="I442" s="44">
        <f t="shared" si="134"/>
        <v>3.9668700959023542E-2</v>
      </c>
      <c r="J442" s="43">
        <f t="shared" si="135"/>
        <v>0</v>
      </c>
      <c r="K442" s="44" cm="1">
        <f t="array" ref="K442">IF(D442="Gadget",_xlfn.IFS(I442&gt;=0.2,0.5,I442&gt;=0.1,0.35,I442&gt;=0.05,0.2,TRUE,0),IF(D442="Grenade",_xlfn.IFS(I442&gt;=0.2,1,I442&gt;=0.1,0.7,I442&gt;=0.05,0.4,TRUE,0),0))</f>
        <v>0</v>
      </c>
      <c r="L442" s="57">
        <f t="shared" ref="L442:L447" si="142">IF($K442=0,0,$K442 / SUMIFS($K:$K,$A:$A,$A442,$D:$D,"Gadget"))</f>
        <v>0</v>
      </c>
    </row>
    <row r="443" spans="1:12" ht="15" customHeight="1" x14ac:dyDescent="0.25">
      <c r="A443" s="42" t="str" cm="1">
        <f t="array" ref="A443">IFERROR(INDEX(_xlfn._xlws.FILTER(Class_Players!A:A,Class_Players!B:B="Recon"),QUOTIENT(ROW()-ROW($A$2),8)+1),"")</f>
        <v>Stoned10thMtnVet</v>
      </c>
      <c r="B443" s="42" t="str">
        <f>_xlfn.XLOOKUP(A443,Class_Players!$A:$A,Class_Players!$B:$B,"")</f>
        <v>Recon</v>
      </c>
      <c r="C443" s="38" t="str" cm="1">
        <f t="array" ref="C443">INDEX(Lookups!$C$2:$C$9,MOD(ROW()-ROW($B$2),ROWS(Lookups!$C$2:$C$9))+1)</f>
        <v>Recon Drone</v>
      </c>
      <c r="D443" s="38" t="str">
        <f>_xlfn.XLOOKUP(C443,Analysis_Gadgets!$C:$C,Analysis_Gadgets!$B:$B)</f>
        <v>Gadget</v>
      </c>
      <c r="E443" s="43">
        <v>440</v>
      </c>
      <c r="F443" s="43">
        <f>_xlfn.XLOOKUP(A443,Class_Players!A:A,Class_Players!G:G)</f>
        <v>276</v>
      </c>
      <c r="G443" s="43">
        <f t="shared" si="133"/>
        <v>1.5942028985507246</v>
      </c>
      <c r="H443" s="43">
        <f>_xlfn.XLOOKUP(A443,Class_Players!$A:$A,Class_Players!$F:$F,"")</f>
        <v>6882</v>
      </c>
      <c r="I443" s="44">
        <f t="shared" si="134"/>
        <v>6.3934902644580058E-2</v>
      </c>
      <c r="J443" s="43">
        <f t="shared" si="135"/>
        <v>0</v>
      </c>
      <c r="K443" s="44" cm="1">
        <f t="array" ref="K443">IF(D443="Gadget",_xlfn.IFS(I443&gt;=0.2,0.5,I443&gt;=0.1,0.35,I443&gt;=0.05,0.2,TRUE,0),IF(D443="Grenade",_xlfn.IFS(I443&gt;=0.2,1,I443&gt;=0.1,0.7,I443&gt;=0.05,0.4,TRUE,0),0))</f>
        <v>0.2</v>
      </c>
      <c r="L443" s="57">
        <f t="shared" si="142"/>
        <v>0.36363636363636365</v>
      </c>
    </row>
    <row r="444" spans="1:12" ht="15" customHeight="1" x14ac:dyDescent="0.25">
      <c r="A444" s="42" t="str" cm="1">
        <f t="array" ref="A444">IFERROR(INDEX(_xlfn._xlws.FILTER(Class_Players!A:A,Class_Players!B:B="Recon"),QUOTIENT(ROW()-ROW($A$2),8)+1),"")</f>
        <v>Stoned10thMtnVet</v>
      </c>
      <c r="B444" s="42" t="str">
        <f>_xlfn.XLOOKUP(A444,Class_Players!$A:$A,Class_Players!$B:$B,"")</f>
        <v>Recon</v>
      </c>
      <c r="C444" s="38" t="str" cm="1">
        <f t="array" ref="C444">INDEX(Lookups!$C$2:$C$9,MOD(ROW()-ROW($B$2),ROWS(Lookups!$C$2:$C$9))+1)</f>
        <v>Tracer Dart</v>
      </c>
      <c r="D444" s="38" t="str">
        <f>_xlfn.XLOOKUP(C444,Analysis_Gadgets!$C:$C,Analysis_Gadgets!$B:$B)</f>
        <v>Gadget</v>
      </c>
      <c r="E444" s="43">
        <v>11</v>
      </c>
      <c r="F444" s="43">
        <f>_xlfn.XLOOKUP(A444,Class_Players!A:A,Class_Players!G:G)</f>
        <v>276</v>
      </c>
      <c r="G444" s="43">
        <f t="shared" si="133"/>
        <v>3.9855072463768113E-2</v>
      </c>
      <c r="H444" s="43">
        <f>_xlfn.XLOOKUP(A444,Class_Players!$A:$A,Class_Players!$F:$F,"")</f>
        <v>6882</v>
      </c>
      <c r="I444" s="44">
        <f t="shared" si="134"/>
        <v>1.5983725661145017E-3</v>
      </c>
      <c r="J444" s="43">
        <f t="shared" si="135"/>
        <v>0</v>
      </c>
      <c r="K444" s="44" cm="1">
        <f t="array" ref="K444">IF(D444="Gadget",_xlfn.IFS(I444&gt;=0.2,0.5,I444&gt;=0.1,0.35,I444&gt;=0.05,0.2,TRUE,0),IF(D444="Grenade",_xlfn.IFS(I444&gt;=0.2,1,I444&gt;=0.1,0.7,I444&gt;=0.05,0.4,TRUE,0),0))</f>
        <v>0</v>
      </c>
      <c r="L444" s="57">
        <f t="shared" si="142"/>
        <v>0</v>
      </c>
    </row>
    <row r="445" spans="1:12" ht="15" customHeight="1" x14ac:dyDescent="0.25">
      <c r="A445" s="42" t="str" cm="1">
        <f t="array" ref="A445">IFERROR(INDEX(_xlfn._xlws.FILTER(Class_Players!A:A,Class_Players!B:B="Recon"),QUOTIENT(ROW()-ROW($A$2),8)+1),"")</f>
        <v>Stoned10thMtnVet</v>
      </c>
      <c r="B445" s="42" t="str">
        <f>_xlfn.XLOOKUP(A445,Class_Players!$A:$A,Class_Players!$B:$B,"")</f>
        <v>Recon</v>
      </c>
      <c r="C445" s="38" t="str" cm="1">
        <f t="array" ref="C445">INDEX(Lookups!$C$2:$C$9,MOD(ROW()-ROW($B$2),ROWS(Lookups!$C$2:$C$9))+1)</f>
        <v>M18A1 (Claymore)</v>
      </c>
      <c r="D445" s="38" t="str">
        <f>_xlfn.XLOOKUP(C445,Analysis_Gadgets!$C:$C,Analysis_Gadgets!$B:$B)</f>
        <v>Gadget</v>
      </c>
      <c r="E445" s="43">
        <v>267</v>
      </c>
      <c r="F445" s="43">
        <f>_xlfn.XLOOKUP(A445,Class_Players!A:A,Class_Players!G:G)</f>
        <v>276</v>
      </c>
      <c r="G445" s="43">
        <f t="shared" si="133"/>
        <v>0.96739130434782605</v>
      </c>
      <c r="H445" s="43">
        <f>_xlfn.XLOOKUP(A445,Class_Players!$A:$A,Class_Players!$F:$F,"")</f>
        <v>6882</v>
      </c>
      <c r="I445" s="44">
        <f t="shared" si="134"/>
        <v>3.8796861377506542E-2</v>
      </c>
      <c r="J445" s="43">
        <f t="shared" si="135"/>
        <v>0</v>
      </c>
      <c r="K445" s="44" cm="1">
        <f t="array" ref="K445">IF(D445="Gadget",_xlfn.IFS(I445&gt;=0.2,0.5,I445&gt;=0.1,0.35,I445&gt;=0.05,0.2,TRUE,0),IF(D445="Grenade",_xlfn.IFS(I445&gt;=0.2,1,I445&gt;=0.1,0.7,I445&gt;=0.05,0.4,TRUE,0),0))</f>
        <v>0</v>
      </c>
      <c r="L445" s="57">
        <f t="shared" si="142"/>
        <v>0</v>
      </c>
    </row>
    <row r="446" spans="1:12" ht="15" customHeight="1" x14ac:dyDescent="0.25">
      <c r="A446" s="42" t="str" cm="1">
        <f t="array" ref="A446">IFERROR(INDEX(_xlfn._xlws.FILTER(Class_Players!A:A,Class_Players!B:B="Recon"),QUOTIENT(ROW()-ROW($A$2),8)+1),"")</f>
        <v>Stoned10thMtnVet</v>
      </c>
      <c r="B446" s="42" t="str">
        <f>_xlfn.XLOOKUP(A446,Class_Players!$A:$A,Class_Players!$B:$B,"")</f>
        <v>Recon</v>
      </c>
      <c r="C446" s="38" t="str" cm="1">
        <f t="array" ref="C446">INDEX(Lookups!$C$2:$C$9,MOD(ROW()-ROW($B$2),ROWS(Lookups!$C$2:$C$9))+1)</f>
        <v>Sniper Decoy</v>
      </c>
      <c r="D446" s="38" t="str">
        <f>_xlfn.XLOOKUP(C446,Analysis_Gadgets!$C:$C,Analysis_Gadgets!$B:$B)</f>
        <v>Gadget</v>
      </c>
      <c r="E446" s="43">
        <v>140</v>
      </c>
      <c r="F446" s="43">
        <f>_xlfn.XLOOKUP(A446,Class_Players!A:A,Class_Players!G:G)</f>
        <v>276</v>
      </c>
      <c r="G446" s="43">
        <f t="shared" si="133"/>
        <v>0.50724637681159424</v>
      </c>
      <c r="H446" s="43">
        <f>_xlfn.XLOOKUP(A446,Class_Players!$A:$A,Class_Players!$F:$F,"")</f>
        <v>6882</v>
      </c>
      <c r="I446" s="44">
        <f t="shared" si="134"/>
        <v>2.034292356873002E-2</v>
      </c>
      <c r="J446" s="43">
        <f t="shared" si="135"/>
        <v>0</v>
      </c>
      <c r="K446" s="44" cm="1">
        <f t="array" ref="K446">IF(D446="Gadget",_xlfn.IFS(I446&gt;=0.2,0.5,I446&gt;=0.1,0.35,I446&gt;=0.05,0.2,TRUE,0),IF(D446="Grenade",_xlfn.IFS(I446&gt;=0.2,1,I446&gt;=0.1,0.7,I446&gt;=0.05,0.4,TRUE,0),0))</f>
        <v>0</v>
      </c>
      <c r="L446" s="57">
        <f t="shared" si="142"/>
        <v>0</v>
      </c>
    </row>
    <row r="447" spans="1:12" ht="15" customHeight="1" x14ac:dyDescent="0.25">
      <c r="A447" s="42" t="str" cm="1">
        <f t="array" ref="A447">IFERROR(INDEX(_xlfn._xlws.FILTER(Class_Players!A:A,Class_Players!B:B="Recon"),QUOTIENT(ROW()-ROW($A$2),8)+1),"")</f>
        <v>Stoned10thMtnVet</v>
      </c>
      <c r="B447" s="42" t="str">
        <f>_xlfn.XLOOKUP(A447,Class_Players!$A:$A,Class_Players!$B:$B,"")</f>
        <v>Recon</v>
      </c>
      <c r="C447" s="38" t="str" cm="1">
        <f t="array" ref="C447">INDEX(Lookups!$C$2:$C$9,MOD(ROW()-ROW($B$2),ROWS(Lookups!$C$2:$C$9))+1)</f>
        <v>C-4 Explosives</v>
      </c>
      <c r="D447" s="38" t="str">
        <f>_xlfn.XLOOKUP(C447,Analysis_Gadgets!$C:$C,Analysis_Gadgets!$B:$B)</f>
        <v>Gadget</v>
      </c>
      <c r="E447" s="43">
        <v>951</v>
      </c>
      <c r="F447" s="43">
        <f>_xlfn.XLOOKUP(A447,Class_Players!A:A,Class_Players!G:G)</f>
        <v>276</v>
      </c>
      <c r="G447" s="43">
        <f t="shared" si="133"/>
        <v>3.4456521739130435</v>
      </c>
      <c r="H447" s="43">
        <f>_xlfn.XLOOKUP(A447,Class_Players!$A:$A,Class_Players!$F:$F,"")</f>
        <v>6882</v>
      </c>
      <c r="I447" s="44">
        <f t="shared" si="134"/>
        <v>0.13818657367044465</v>
      </c>
      <c r="J447" s="43">
        <f t="shared" si="135"/>
        <v>1</v>
      </c>
      <c r="K447" s="44" cm="1">
        <f t="array" ref="K447">IF(D447="Gadget",_xlfn.IFS(I447&gt;=0.2,0.5,I447&gt;=0.1,0.35,I447&gt;=0.05,0.2,TRUE,0),IF(D447="Grenade",_xlfn.IFS(I447&gt;=0.2,1,I447&gt;=0.1,0.7,I447&gt;=0.05,0.4,TRUE,0),0))</f>
        <v>0.35</v>
      </c>
      <c r="L447" s="57">
        <f t="shared" si="142"/>
        <v>0.63636363636363624</v>
      </c>
    </row>
    <row r="448" spans="1:12" ht="15" customHeight="1" x14ac:dyDescent="0.25">
      <c r="A448" s="42" t="str" cm="1">
        <f t="array" ref="A448">IFERROR(INDEX(_xlfn._xlws.FILTER(Class_Players!A:A,Class_Players!B:B="Recon"),QUOTIENT(ROW()-ROW($A$2),8)+1),"")</f>
        <v>Stoned10thMtnVet</v>
      </c>
      <c r="B448" s="42" t="str">
        <f>_xlfn.XLOOKUP(A448,Class_Players!$A:$A,Class_Players!$B:$B,"")</f>
        <v>Recon</v>
      </c>
      <c r="C448" s="38" t="str" cm="1">
        <f t="array" ref="C448">INDEX(Lookups!$C$2:$C$9,MOD(ROW()-ROW($B$2),ROWS(Lookups!$C$2:$C$9))+1)</f>
        <v>Proximity Detector</v>
      </c>
      <c r="D448" s="38" t="str">
        <f>_xlfn.XLOOKUP(C448,Analysis_Gadgets!$C:$C,Analysis_Gadgets!$B:$B)</f>
        <v>Grenade</v>
      </c>
      <c r="E448" s="43">
        <v>12</v>
      </c>
      <c r="F448" s="43">
        <f>_xlfn.XLOOKUP(A448,Class_Players!A:A,Class_Players!G:G)</f>
        <v>276</v>
      </c>
      <c r="G448" s="43">
        <f t="shared" si="133"/>
        <v>4.3478260869565216E-2</v>
      </c>
      <c r="H448" s="43">
        <f>_xlfn.XLOOKUP(A448,Class_Players!$A:$A,Class_Players!$F:$F,"")</f>
        <v>6882</v>
      </c>
      <c r="I448" s="44">
        <f t="shared" si="134"/>
        <v>1.7436791630340018E-3</v>
      </c>
      <c r="J448" s="43">
        <f t="shared" si="135"/>
        <v>0</v>
      </c>
      <c r="K448" s="44" cm="1">
        <f t="array" ref="K448">IF(D448="Gadget",_xlfn.IFS(I448&gt;=0.2,0.5,I448&gt;=0.1,0.35,I448&gt;=0.05,0.2,TRUE,0),IF(D448="Grenade",_xlfn.IFS(I448&gt;=0.2,1,I448&gt;=0.1,0.7,I448&gt;=0.05,0.4,TRUE,0),0))</f>
        <v>0</v>
      </c>
      <c r="L448" s="57">
        <f t="shared" ref="L448:L449" si="143">IF($K448=0,0,$K448 / SUMIFS($K:$K,$A:$A,$A448,$D:$D,"Grenade"))</f>
        <v>0</v>
      </c>
    </row>
    <row r="449" spans="1:12" ht="15" customHeight="1" x14ac:dyDescent="0.25">
      <c r="A449" s="42" t="str" cm="1">
        <f t="array" ref="A449">IFERROR(INDEX(_xlfn._xlws.FILTER(Class_Players!A:A,Class_Players!B:B="Recon"),QUOTIENT(ROW()-ROW($A$2),8)+1),"")</f>
        <v>Stoned10thMtnVet</v>
      </c>
      <c r="B449" s="42" t="str">
        <f>_xlfn.XLOOKUP(A449,Class_Players!$A:$A,Class_Players!$B:$B,"")</f>
        <v>Recon</v>
      </c>
      <c r="C449" s="38" t="str" cm="1">
        <f t="array" ref="C449">INDEX(Lookups!$C$2:$C$9,MOD(ROW()-ROW($B$2),ROWS(Lookups!$C$2:$C$9))+1)</f>
        <v>Throwing Knife</v>
      </c>
      <c r="D449" s="38" t="str">
        <f>_xlfn.XLOOKUP(C449,Analysis_Gadgets!$C:$C,Analysis_Gadgets!$B:$B)</f>
        <v>Grenade</v>
      </c>
      <c r="E449" s="43">
        <v>1</v>
      </c>
      <c r="F449" s="43">
        <f>_xlfn.XLOOKUP(A449,Class_Players!A:A,Class_Players!G:G)</f>
        <v>276</v>
      </c>
      <c r="G449" s="43">
        <f t="shared" si="133"/>
        <v>3.6231884057971015E-3</v>
      </c>
      <c r="H449" s="43">
        <f>_xlfn.XLOOKUP(A449,Class_Players!$A:$A,Class_Players!$F:$F,"")</f>
        <v>6882</v>
      </c>
      <c r="I449" s="44">
        <f t="shared" si="134"/>
        <v>1.4530659691950015E-4</v>
      </c>
      <c r="J449" s="43">
        <f t="shared" si="135"/>
        <v>0</v>
      </c>
      <c r="K449" s="44" cm="1">
        <f t="array" ref="K449">IF(D449="Gadget",_xlfn.IFS(I449&gt;=0.2,0.5,I449&gt;=0.1,0.35,I449&gt;=0.05,0.2,TRUE,0),IF(D449="Grenade",_xlfn.IFS(I449&gt;=0.2,1,I449&gt;=0.1,0.7,I449&gt;=0.05,0.4,TRUE,0),0))</f>
        <v>0</v>
      </c>
      <c r="L449" s="57">
        <f t="shared" si="143"/>
        <v>0</v>
      </c>
    </row>
    <row r="450" spans="1:12" ht="15" customHeight="1" x14ac:dyDescent="0.25">
      <c r="A450" s="42" t="str" cm="1">
        <f t="array" ref="A450">IFERROR(INDEX(_xlfn._xlws.FILTER(Class_Players!A:A,Class_Players!B:B="Recon"),QUOTIENT(ROW()-ROW($A$2),8)+1),"")</f>
        <v>Dark_Drunick is Free-ABH</v>
      </c>
      <c r="B450" s="42" t="str">
        <f>_xlfn.XLOOKUP(A450,Class_Players!$A:$A,Class_Players!$B:$B,"")</f>
        <v>Recon</v>
      </c>
      <c r="C450" s="38" t="str" cm="1">
        <f t="array" ref="C450">INDEX(Lookups!$C$2:$C$9,MOD(ROW()-ROW($B$2),ROWS(Lookups!$C$2:$C$9))+1)</f>
        <v>Laser Designator</v>
      </c>
      <c r="D450" s="38" t="str">
        <f>_xlfn.XLOOKUP(C450,Analysis_Gadgets!$C:$C,Analysis_Gadgets!$B:$B)</f>
        <v>Gadget</v>
      </c>
      <c r="E450" s="43">
        <v>1764</v>
      </c>
      <c r="F450" s="43">
        <f>_xlfn.XLOOKUP(A450,Class_Players!A:A,Class_Players!G:G)</f>
        <v>203</v>
      </c>
      <c r="G450" s="43">
        <f t="shared" si="133"/>
        <v>8.6896551724137936</v>
      </c>
      <c r="H450" s="43">
        <f>_xlfn.XLOOKUP(A450,Class_Players!$A:$A,Class_Players!$F:$F,"")</f>
        <v>6577</v>
      </c>
      <c r="I450" s="44">
        <f t="shared" si="134"/>
        <v>0.26820738938725863</v>
      </c>
      <c r="J450" s="43">
        <f t="shared" si="135"/>
        <v>1</v>
      </c>
      <c r="K450" s="44" cm="1">
        <f t="array" ref="K450">IF(D450="Gadget",_xlfn.IFS(I450&gt;=0.2,0.5,I450&gt;=0.1,0.35,I450&gt;=0.05,0.2,TRUE,0),IF(D450="Grenade",_xlfn.IFS(I450&gt;=0.2,1,I450&gt;=0.1,0.7,I450&gt;=0.05,0.4,TRUE,0),0))</f>
        <v>0.5</v>
      </c>
      <c r="L450" s="57">
        <f t="shared" ref="L450:L455" si="144">IF($K450=0,0,$K450 / SUMIFS($K:$K,$A:$A,$A450,$D:$D,"Gadget"))</f>
        <v>0.21276595744680851</v>
      </c>
    </row>
    <row r="451" spans="1:12" ht="15" customHeight="1" x14ac:dyDescent="0.25">
      <c r="A451" s="42" t="str" cm="1">
        <f t="array" ref="A451">IFERROR(INDEX(_xlfn._xlws.FILTER(Class_Players!A:A,Class_Players!B:B="Recon"),QUOTIENT(ROW()-ROW($A$2),8)+1),"")</f>
        <v>Dark_Drunick is Free-ABH</v>
      </c>
      <c r="B451" s="42" t="str">
        <f>_xlfn.XLOOKUP(A451,Class_Players!$A:$A,Class_Players!$B:$B,"")</f>
        <v>Recon</v>
      </c>
      <c r="C451" s="38" t="str" cm="1">
        <f t="array" ref="C451">INDEX(Lookups!$C$2:$C$9,MOD(ROW()-ROW($B$2),ROWS(Lookups!$C$2:$C$9))+1)</f>
        <v>Recon Drone</v>
      </c>
      <c r="D451" s="38" t="str">
        <f>_xlfn.XLOOKUP(C451,Analysis_Gadgets!$C:$C,Analysis_Gadgets!$B:$B)</f>
        <v>Gadget</v>
      </c>
      <c r="E451" s="43">
        <v>2294</v>
      </c>
      <c r="F451" s="43">
        <f>_xlfn.XLOOKUP(A451,Class_Players!A:A,Class_Players!G:G)</f>
        <v>203</v>
      </c>
      <c r="G451" s="43">
        <f t="shared" si="133"/>
        <v>11.300492610837438</v>
      </c>
      <c r="H451" s="43">
        <f>_xlfn.XLOOKUP(A451,Class_Players!$A:$A,Class_Players!$F:$F,"")</f>
        <v>6577</v>
      </c>
      <c r="I451" s="44">
        <f t="shared" si="134"/>
        <v>0.34879124220769347</v>
      </c>
      <c r="J451" s="43">
        <f t="shared" si="135"/>
        <v>1</v>
      </c>
      <c r="K451" s="44" cm="1">
        <f t="array" ref="K451">IF(D451="Gadget",_xlfn.IFS(I451&gt;=0.2,0.5,I451&gt;=0.1,0.35,I451&gt;=0.05,0.2,TRUE,0),IF(D451="Grenade",_xlfn.IFS(I451&gt;=0.2,1,I451&gt;=0.1,0.7,I451&gt;=0.05,0.4,TRUE,0),0))</f>
        <v>0.5</v>
      </c>
      <c r="L451" s="57">
        <f t="shared" si="144"/>
        <v>0.21276595744680851</v>
      </c>
    </row>
    <row r="452" spans="1:12" ht="15" customHeight="1" x14ac:dyDescent="0.25">
      <c r="A452" s="42" t="str" cm="1">
        <f t="array" ref="A452">IFERROR(INDEX(_xlfn._xlws.FILTER(Class_Players!A:A,Class_Players!B:B="Recon"),QUOTIENT(ROW()-ROW($A$2),8)+1),"")</f>
        <v>Dark_Drunick is Free-ABH</v>
      </c>
      <c r="B452" s="42" t="str">
        <f>_xlfn.XLOOKUP(A452,Class_Players!$A:$A,Class_Players!$B:$B,"")</f>
        <v>Recon</v>
      </c>
      <c r="C452" s="38" t="str" cm="1">
        <f t="array" ref="C452">INDEX(Lookups!$C$2:$C$9,MOD(ROW()-ROW($B$2),ROWS(Lookups!$C$2:$C$9))+1)</f>
        <v>Tracer Dart</v>
      </c>
      <c r="D452" s="38" t="str">
        <f>_xlfn.XLOOKUP(C452,Analysis_Gadgets!$C:$C,Analysis_Gadgets!$B:$B)</f>
        <v>Gadget</v>
      </c>
      <c r="E452" s="43">
        <v>69</v>
      </c>
      <c r="F452" s="43">
        <f>_xlfn.XLOOKUP(A452,Class_Players!A:A,Class_Players!G:G)</f>
        <v>203</v>
      </c>
      <c r="G452" s="43">
        <f t="shared" si="133"/>
        <v>0.33990147783251229</v>
      </c>
      <c r="H452" s="43">
        <f>_xlfn.XLOOKUP(A452,Class_Players!$A:$A,Class_Players!$F:$F,"")</f>
        <v>6577</v>
      </c>
      <c r="I452" s="44">
        <f t="shared" si="134"/>
        <v>1.0491105367188688E-2</v>
      </c>
      <c r="J452" s="43">
        <f t="shared" si="135"/>
        <v>0</v>
      </c>
      <c r="K452" s="44" cm="1">
        <f t="array" ref="K452">IF(D452="Gadget",_xlfn.IFS(I452&gt;=0.2,0.5,I452&gt;=0.1,0.35,I452&gt;=0.05,0.2,TRUE,0),IF(D452="Grenade",_xlfn.IFS(I452&gt;=0.2,1,I452&gt;=0.1,0.7,I452&gt;=0.05,0.4,TRUE,0),0))</f>
        <v>0</v>
      </c>
      <c r="L452" s="57">
        <f t="shared" si="144"/>
        <v>0</v>
      </c>
    </row>
    <row r="453" spans="1:12" ht="15" customHeight="1" x14ac:dyDescent="0.25">
      <c r="A453" s="42" t="str" cm="1">
        <f t="array" ref="A453">IFERROR(INDEX(_xlfn._xlws.FILTER(Class_Players!A:A,Class_Players!B:B="Recon"),QUOTIENT(ROW()-ROW($A$2),8)+1),"")</f>
        <v>Dark_Drunick is Free-ABH</v>
      </c>
      <c r="B453" s="42" t="str">
        <f>_xlfn.XLOOKUP(A453,Class_Players!$A:$A,Class_Players!$B:$B,"")</f>
        <v>Recon</v>
      </c>
      <c r="C453" s="38" t="str" cm="1">
        <f t="array" ref="C453">INDEX(Lookups!$C$2:$C$9,MOD(ROW()-ROW($B$2),ROWS(Lookups!$C$2:$C$9))+1)</f>
        <v>M18A1 (Claymore)</v>
      </c>
      <c r="D453" s="38" t="str">
        <f>_xlfn.XLOOKUP(C453,Analysis_Gadgets!$C:$C,Analysis_Gadgets!$B:$B)</f>
        <v>Gadget</v>
      </c>
      <c r="E453" s="43">
        <v>1461</v>
      </c>
      <c r="F453" s="43">
        <f>_xlfn.XLOOKUP(A453,Class_Players!A:A,Class_Players!G:G)</f>
        <v>203</v>
      </c>
      <c r="G453" s="43">
        <f t="shared" si="133"/>
        <v>7.1970443349753692</v>
      </c>
      <c r="H453" s="43">
        <f>_xlfn.XLOOKUP(A453,Class_Players!$A:$A,Class_Players!$F:$F,"")</f>
        <v>6577</v>
      </c>
      <c r="I453" s="44">
        <f t="shared" si="134"/>
        <v>0.22213775277482134</v>
      </c>
      <c r="J453" s="43">
        <f t="shared" si="135"/>
        <v>1</v>
      </c>
      <c r="K453" s="44" cm="1">
        <f t="array" ref="K453">IF(D453="Gadget",_xlfn.IFS(I453&gt;=0.2,0.5,I453&gt;=0.1,0.35,I453&gt;=0.05,0.2,TRUE,0),IF(D453="Grenade",_xlfn.IFS(I453&gt;=0.2,1,I453&gt;=0.1,0.7,I453&gt;=0.05,0.4,TRUE,0),0))</f>
        <v>0.5</v>
      </c>
      <c r="L453" s="57">
        <f t="shared" si="144"/>
        <v>0.21276595744680851</v>
      </c>
    </row>
    <row r="454" spans="1:12" ht="15" customHeight="1" x14ac:dyDescent="0.25">
      <c r="A454" s="42" t="str" cm="1">
        <f t="array" ref="A454">IFERROR(INDEX(_xlfn._xlws.FILTER(Class_Players!A:A,Class_Players!B:B="Recon"),QUOTIENT(ROW()-ROW($A$2),8)+1),"")</f>
        <v>Dark_Drunick is Free-ABH</v>
      </c>
      <c r="B454" s="42" t="str">
        <f>_xlfn.XLOOKUP(A454,Class_Players!$A:$A,Class_Players!$B:$B,"")</f>
        <v>Recon</v>
      </c>
      <c r="C454" s="38" t="str" cm="1">
        <f t="array" ref="C454">INDEX(Lookups!$C$2:$C$9,MOD(ROW()-ROW($B$2),ROWS(Lookups!$C$2:$C$9))+1)</f>
        <v>Sniper Decoy</v>
      </c>
      <c r="D454" s="38" t="str">
        <f>_xlfn.XLOOKUP(C454,Analysis_Gadgets!$C:$C,Analysis_Gadgets!$B:$B)</f>
        <v>Gadget</v>
      </c>
      <c r="E454" s="43">
        <v>8391</v>
      </c>
      <c r="F454" s="43">
        <f>_xlfn.XLOOKUP(A454,Class_Players!A:A,Class_Players!G:G)</f>
        <v>203</v>
      </c>
      <c r="G454" s="43">
        <f t="shared" si="133"/>
        <v>41.334975369458128</v>
      </c>
      <c r="H454" s="43">
        <f>_xlfn.XLOOKUP(A454,Class_Players!$A:$A,Class_Players!$F:$F,"")</f>
        <v>6577</v>
      </c>
      <c r="I454" s="44">
        <f t="shared" si="134"/>
        <v>1.2758096396533374</v>
      </c>
      <c r="J454" s="43">
        <f t="shared" si="135"/>
        <v>1</v>
      </c>
      <c r="K454" s="44" cm="1">
        <f t="array" ref="K454">IF(D454="Gadget",_xlfn.IFS(I454&gt;=0.2,0.5,I454&gt;=0.1,0.35,I454&gt;=0.05,0.2,TRUE,0),IF(D454="Grenade",_xlfn.IFS(I454&gt;=0.2,1,I454&gt;=0.1,0.7,I454&gt;=0.05,0.4,TRUE,0),0))</f>
        <v>0.5</v>
      </c>
      <c r="L454" s="57">
        <f t="shared" si="144"/>
        <v>0.21276595744680851</v>
      </c>
    </row>
    <row r="455" spans="1:12" ht="15" customHeight="1" x14ac:dyDescent="0.25">
      <c r="A455" s="42" t="str" cm="1">
        <f t="array" ref="A455">IFERROR(INDEX(_xlfn._xlws.FILTER(Class_Players!A:A,Class_Players!B:B="Recon"),QUOTIENT(ROW()-ROW($A$2),8)+1),"")</f>
        <v>Dark_Drunick is Free-ABH</v>
      </c>
      <c r="B455" s="42" t="str">
        <f>_xlfn.XLOOKUP(A455,Class_Players!$A:$A,Class_Players!$B:$B,"")</f>
        <v>Recon</v>
      </c>
      <c r="C455" s="38" t="str" cm="1">
        <f t="array" ref="C455">INDEX(Lookups!$C$2:$C$9,MOD(ROW()-ROW($B$2),ROWS(Lookups!$C$2:$C$9))+1)</f>
        <v>C-4 Explosives</v>
      </c>
      <c r="D455" s="38" t="str">
        <f>_xlfn.XLOOKUP(C455,Analysis_Gadgets!$C:$C,Analysis_Gadgets!$B:$B)</f>
        <v>Gadget</v>
      </c>
      <c r="E455" s="43">
        <v>1149</v>
      </c>
      <c r="F455" s="43">
        <f>_xlfn.XLOOKUP(A455,Class_Players!A:A,Class_Players!G:G)</f>
        <v>203</v>
      </c>
      <c r="G455" s="43">
        <f t="shared" si="133"/>
        <v>5.6600985221674875</v>
      </c>
      <c r="H455" s="43">
        <f>_xlfn.XLOOKUP(A455,Class_Players!$A:$A,Class_Players!$F:$F,"")</f>
        <v>6577</v>
      </c>
      <c r="I455" s="44">
        <f t="shared" si="134"/>
        <v>0.1746997111144899</v>
      </c>
      <c r="J455" s="43">
        <f t="shared" si="135"/>
        <v>1</v>
      </c>
      <c r="K455" s="44" cm="1">
        <f t="array" ref="K455">IF(D455="Gadget",_xlfn.IFS(I455&gt;=0.2,0.5,I455&gt;=0.1,0.35,I455&gt;=0.05,0.2,TRUE,0),IF(D455="Grenade",_xlfn.IFS(I455&gt;=0.2,1,I455&gt;=0.1,0.7,I455&gt;=0.05,0.4,TRUE,0),0))</f>
        <v>0.35</v>
      </c>
      <c r="L455" s="57">
        <f t="shared" si="144"/>
        <v>0.14893617021276595</v>
      </c>
    </row>
    <row r="456" spans="1:12" ht="15" customHeight="1" x14ac:dyDescent="0.25">
      <c r="A456" s="42" t="str" cm="1">
        <f t="array" ref="A456">IFERROR(INDEX(_xlfn._xlws.FILTER(Class_Players!A:A,Class_Players!B:B="Recon"),QUOTIENT(ROW()-ROW($A$2),8)+1),"")</f>
        <v>Dark_Drunick is Free-ABH</v>
      </c>
      <c r="B456" s="42" t="str">
        <f>_xlfn.XLOOKUP(A456,Class_Players!$A:$A,Class_Players!$B:$B,"")</f>
        <v>Recon</v>
      </c>
      <c r="C456" s="38" t="str" cm="1">
        <f t="array" ref="C456">INDEX(Lookups!$C$2:$C$9,MOD(ROW()-ROW($B$2),ROWS(Lookups!$C$2:$C$9))+1)</f>
        <v>Proximity Detector</v>
      </c>
      <c r="D456" s="38" t="str">
        <f>_xlfn.XLOOKUP(C456,Analysis_Gadgets!$C:$C,Analysis_Gadgets!$B:$B)</f>
        <v>Grenade</v>
      </c>
      <c r="E456" s="43">
        <v>8</v>
      </c>
      <c r="F456" s="43">
        <f>_xlfn.XLOOKUP(A456,Class_Players!A:A,Class_Players!G:G)</f>
        <v>203</v>
      </c>
      <c r="G456" s="43">
        <f t="shared" si="133"/>
        <v>3.9408866995073892E-2</v>
      </c>
      <c r="H456" s="43">
        <f>_xlfn.XLOOKUP(A456,Class_Players!$A:$A,Class_Players!$F:$F,"")</f>
        <v>6577</v>
      </c>
      <c r="I456" s="44">
        <f t="shared" si="134"/>
        <v>1.2163600425726016E-3</v>
      </c>
      <c r="J456" s="43">
        <f t="shared" si="135"/>
        <v>0</v>
      </c>
      <c r="K456" s="44" cm="1">
        <f t="array" ref="K456">IF(D456="Gadget",_xlfn.IFS(I456&gt;=0.2,0.5,I456&gt;=0.1,0.35,I456&gt;=0.05,0.2,TRUE,0),IF(D456="Grenade",_xlfn.IFS(I456&gt;=0.2,1,I456&gt;=0.1,0.7,I456&gt;=0.05,0.4,TRUE,0),0))</f>
        <v>0</v>
      </c>
      <c r="L456" s="57">
        <f t="shared" ref="L456:L457" si="145">IF($K456=0,0,$K456 / SUMIFS($K:$K,$A:$A,$A456,$D:$D,"Grenade"))</f>
        <v>0</v>
      </c>
    </row>
    <row r="457" spans="1:12" ht="15" customHeight="1" x14ac:dyDescent="0.25">
      <c r="A457" s="42" t="str" cm="1">
        <f t="array" ref="A457">IFERROR(INDEX(_xlfn._xlws.FILTER(Class_Players!A:A,Class_Players!B:B="Recon"),QUOTIENT(ROW()-ROW($A$2),8)+1),"")</f>
        <v>Dark_Drunick is Free-ABH</v>
      </c>
      <c r="B457" s="42" t="str">
        <f>_xlfn.XLOOKUP(A457,Class_Players!$A:$A,Class_Players!$B:$B,"")</f>
        <v>Recon</v>
      </c>
      <c r="C457" s="38" t="str" cm="1">
        <f t="array" ref="C457">INDEX(Lookups!$C$2:$C$9,MOD(ROW()-ROW($B$2),ROWS(Lookups!$C$2:$C$9))+1)</f>
        <v>Throwing Knife</v>
      </c>
      <c r="D457" s="38" t="str">
        <f>_xlfn.XLOOKUP(C457,Analysis_Gadgets!$C:$C,Analysis_Gadgets!$B:$B)</f>
        <v>Grenade</v>
      </c>
      <c r="E457" s="43">
        <v>1</v>
      </c>
      <c r="F457" s="43">
        <f>_xlfn.XLOOKUP(A457,Class_Players!A:A,Class_Players!G:G)</f>
        <v>203</v>
      </c>
      <c r="G457" s="43">
        <f t="shared" si="133"/>
        <v>4.9261083743842365E-3</v>
      </c>
      <c r="H457" s="43">
        <f>_xlfn.XLOOKUP(A457,Class_Players!$A:$A,Class_Players!$F:$F,"")</f>
        <v>6577</v>
      </c>
      <c r="I457" s="44">
        <f t="shared" si="134"/>
        <v>1.520450053215752E-4</v>
      </c>
      <c r="J457" s="43">
        <f t="shared" si="135"/>
        <v>0</v>
      </c>
      <c r="K457" s="44" cm="1">
        <f t="array" ref="K457">IF(D457="Gadget",_xlfn.IFS(I457&gt;=0.2,0.5,I457&gt;=0.1,0.35,I457&gt;=0.05,0.2,TRUE,0),IF(D457="Grenade",_xlfn.IFS(I457&gt;=0.2,1,I457&gt;=0.1,0.7,I457&gt;=0.05,0.4,TRUE,0),0))</f>
        <v>0</v>
      </c>
      <c r="L457" s="57">
        <f t="shared" si="145"/>
        <v>0</v>
      </c>
    </row>
    <row r="458" spans="1:12" ht="15" customHeight="1" x14ac:dyDescent="0.25">
      <c r="A458" s="42" t="str" cm="1">
        <f t="array" ref="A458">IFERROR(INDEX(_xlfn._xlws.FILTER(Class_Players!A:A,Class_Players!B:B="Recon"),QUOTIENT(ROW()-ROW($A$2),8)+1),"")</f>
        <v>THE_MAJESTIC_PTERODACTYL</v>
      </c>
      <c r="B458" s="42" t="str">
        <f>_xlfn.XLOOKUP(A458,Class_Players!$A:$A,Class_Players!$B:$B,"")</f>
        <v>Recon</v>
      </c>
      <c r="C458" s="38" t="str" cm="1">
        <f t="array" ref="C458">INDEX(Lookups!$C$2:$C$9,MOD(ROW()-ROW($B$2),ROWS(Lookups!$C$2:$C$9))+1)</f>
        <v>Laser Designator</v>
      </c>
      <c r="D458" s="38" t="str">
        <f>_xlfn.XLOOKUP(C458,Analysis_Gadgets!$C:$C,Analysis_Gadgets!$B:$B)</f>
        <v>Gadget</v>
      </c>
      <c r="E458" s="43">
        <v>155</v>
      </c>
      <c r="F458" s="43">
        <f>_xlfn.XLOOKUP(A458,Class_Players!A:A,Class_Players!G:G)</f>
        <v>248</v>
      </c>
      <c r="G458" s="43">
        <f t="shared" si="133"/>
        <v>0.625</v>
      </c>
      <c r="H458" s="43">
        <f>_xlfn.XLOOKUP(A458,Class_Players!$A:$A,Class_Players!$F:$F,"")</f>
        <v>7871</v>
      </c>
      <c r="I458" s="44">
        <f t="shared" si="134"/>
        <v>1.9692542243679331E-2</v>
      </c>
      <c r="J458" s="43">
        <f t="shared" si="135"/>
        <v>0</v>
      </c>
      <c r="K458" s="44" cm="1">
        <f t="array" ref="K458">IF(D458="Gadget",_xlfn.IFS(I458&gt;=0.2,0.5,I458&gt;=0.1,0.35,I458&gt;=0.05,0.2,TRUE,0),IF(D458="Grenade",_xlfn.IFS(I458&gt;=0.2,1,I458&gt;=0.1,0.7,I458&gt;=0.05,0.4,TRUE,0),0))</f>
        <v>0</v>
      </c>
      <c r="L458" s="57">
        <f t="shared" ref="L458:L495" si="146">IF($K458=0,0,$K458 / SUMIFS($K:$K,$A:$A,$A458,$D:$D,"Gadget"))</f>
        <v>0</v>
      </c>
    </row>
    <row r="459" spans="1:12" ht="15" customHeight="1" x14ac:dyDescent="0.25">
      <c r="A459" s="42" t="str" cm="1">
        <f t="array" ref="A459">IFERROR(INDEX(_xlfn._xlws.FILTER(Class_Players!A:A,Class_Players!B:B="Recon"),QUOTIENT(ROW()-ROW($A$2),8)+1),"")</f>
        <v>THE_MAJESTIC_PTERODACTYL</v>
      </c>
      <c r="B459" s="42" t="str">
        <f>_xlfn.XLOOKUP(A459,Class_Players!$A:$A,Class_Players!$B:$B,"")</f>
        <v>Recon</v>
      </c>
      <c r="C459" s="38" t="str" cm="1">
        <f t="array" ref="C459">INDEX(Lookups!$C$2:$C$9,MOD(ROW()-ROW($B$2),ROWS(Lookups!$C$2:$C$9))+1)</f>
        <v>Recon Drone</v>
      </c>
      <c r="D459" s="38" t="str">
        <f>_xlfn.XLOOKUP(C459,Analysis_Gadgets!$C:$C,Analysis_Gadgets!$B:$B)</f>
        <v>Gadget</v>
      </c>
      <c r="E459" s="43">
        <v>253</v>
      </c>
      <c r="F459" s="43">
        <f>_xlfn.XLOOKUP(A459,Class_Players!A:A,Class_Players!G:G)</f>
        <v>248</v>
      </c>
      <c r="G459" s="43">
        <f t="shared" si="133"/>
        <v>1.0201612903225807</v>
      </c>
      <c r="H459" s="43">
        <f>_xlfn.XLOOKUP(A459,Class_Players!$A:$A,Class_Players!$F:$F,"")</f>
        <v>7871</v>
      </c>
      <c r="I459" s="44">
        <f t="shared" si="134"/>
        <v>3.2143310888070133E-2</v>
      </c>
      <c r="J459" s="43">
        <f t="shared" si="135"/>
        <v>0</v>
      </c>
      <c r="K459" s="44" cm="1">
        <f t="array" ref="K459">IF(D459="Gadget",_xlfn.IFS(I459&gt;=0.2,0.5,I459&gt;=0.1,0.35,I459&gt;=0.05,0.2,TRUE,0),IF(D459="Grenade",_xlfn.IFS(I459&gt;=0.2,1,I459&gt;=0.1,0.7,I459&gt;=0.05,0.4,TRUE,0),0))</f>
        <v>0</v>
      </c>
      <c r="L459" s="57">
        <f t="shared" si="146"/>
        <v>0</v>
      </c>
    </row>
    <row r="460" spans="1:12" ht="15" customHeight="1" x14ac:dyDescent="0.25">
      <c r="A460" s="42" t="str" cm="1">
        <f t="array" ref="A460">IFERROR(INDEX(_xlfn._xlws.FILTER(Class_Players!A:A,Class_Players!B:B="Recon"),QUOTIENT(ROW()-ROW($A$2),8)+1),"")</f>
        <v>THE_MAJESTIC_PTERODACTYL</v>
      </c>
      <c r="B460" s="42" t="str">
        <f>_xlfn.XLOOKUP(A460,Class_Players!$A:$A,Class_Players!$B:$B,"")</f>
        <v>Recon</v>
      </c>
      <c r="C460" s="38" t="str" cm="1">
        <f t="array" ref="C460">INDEX(Lookups!$C$2:$C$9,MOD(ROW()-ROW($B$2),ROWS(Lookups!$C$2:$C$9))+1)</f>
        <v>Tracer Dart</v>
      </c>
      <c r="D460" s="38" t="str">
        <f>_xlfn.XLOOKUP(C460,Analysis_Gadgets!$C:$C,Analysis_Gadgets!$B:$B)</f>
        <v>Gadget</v>
      </c>
      <c r="E460" s="43">
        <v>90</v>
      </c>
      <c r="F460" s="43">
        <f>_xlfn.XLOOKUP(A460,Class_Players!A:A,Class_Players!G:G)</f>
        <v>248</v>
      </c>
      <c r="G460" s="43">
        <f t="shared" si="133"/>
        <v>0.36290322580645162</v>
      </c>
      <c r="H460" s="43">
        <f>_xlfn.XLOOKUP(A460,Class_Players!$A:$A,Class_Players!$F:$F,"")</f>
        <v>7871</v>
      </c>
      <c r="I460" s="44">
        <f t="shared" si="134"/>
        <v>1.1434379367297675E-2</v>
      </c>
      <c r="J460" s="43">
        <f t="shared" si="135"/>
        <v>0</v>
      </c>
      <c r="K460" s="44" cm="1">
        <f t="array" ref="K460">IF(D460="Gadget",_xlfn.IFS(I460&gt;=0.2,0.5,I460&gt;=0.1,0.35,I460&gt;=0.05,0.2,TRUE,0),IF(D460="Grenade",_xlfn.IFS(I460&gt;=0.2,1,I460&gt;=0.1,0.7,I460&gt;=0.05,0.4,TRUE,0),0))</f>
        <v>0</v>
      </c>
      <c r="L460" s="57">
        <f t="shared" si="146"/>
        <v>0</v>
      </c>
    </row>
    <row r="461" spans="1:12" ht="15" customHeight="1" x14ac:dyDescent="0.25">
      <c r="A461" s="42" t="str" cm="1">
        <f t="array" ref="A461">IFERROR(INDEX(_xlfn._xlws.FILTER(Class_Players!A:A,Class_Players!B:B="Recon"),QUOTIENT(ROW()-ROW($A$2),8)+1),"")</f>
        <v>THE_MAJESTIC_PTERODACTYL</v>
      </c>
      <c r="B461" s="42" t="str">
        <f>_xlfn.XLOOKUP(A461,Class_Players!$A:$A,Class_Players!$B:$B,"")</f>
        <v>Recon</v>
      </c>
      <c r="C461" s="38" t="str" cm="1">
        <f t="array" ref="C461">INDEX(Lookups!$C$2:$C$9,MOD(ROW()-ROW($B$2),ROWS(Lookups!$C$2:$C$9))+1)</f>
        <v>M18A1 (Claymore)</v>
      </c>
      <c r="D461" s="38" t="str">
        <f>_xlfn.XLOOKUP(C461,Analysis_Gadgets!$C:$C,Analysis_Gadgets!$B:$B)</f>
        <v>Gadget</v>
      </c>
      <c r="E461" s="43">
        <v>1151</v>
      </c>
      <c r="F461" s="43">
        <f>_xlfn.XLOOKUP(A461,Class_Players!A:A,Class_Players!G:G)</f>
        <v>248</v>
      </c>
      <c r="G461" s="43">
        <f t="shared" si="133"/>
        <v>4.6411290322580649</v>
      </c>
      <c r="H461" s="43">
        <f>_xlfn.XLOOKUP(A461,Class_Players!$A:$A,Class_Players!$F:$F,"")</f>
        <v>7871</v>
      </c>
      <c r="I461" s="44">
        <f t="shared" si="134"/>
        <v>0.1462330072417736</v>
      </c>
      <c r="J461" s="43">
        <f t="shared" si="135"/>
        <v>1</v>
      </c>
      <c r="K461" s="44" cm="1">
        <f t="array" ref="K461">IF(D461="Gadget",_xlfn.IFS(I461&gt;=0.2,0.5,I461&gt;=0.1,0.35,I461&gt;=0.05,0.2,TRUE,0),IF(D461="Grenade",_xlfn.IFS(I461&gt;=0.2,1,I461&gt;=0.1,0.7,I461&gt;=0.05,0.4,TRUE,0),0))</f>
        <v>0.35</v>
      </c>
      <c r="L461" s="57">
        <f t="shared" si="146"/>
        <v>0.41176470588235292</v>
      </c>
    </row>
    <row r="462" spans="1:12" ht="15" customHeight="1" x14ac:dyDescent="0.25">
      <c r="A462" s="42" t="str" cm="1">
        <f t="array" ref="A462">IFERROR(INDEX(_xlfn._xlws.FILTER(Class_Players!A:A,Class_Players!B:B="Recon"),QUOTIENT(ROW()-ROW($A$2),8)+1),"")</f>
        <v>THE_MAJESTIC_PTERODACTYL</v>
      </c>
      <c r="B462" s="42" t="str">
        <f>_xlfn.XLOOKUP(A462,Class_Players!$A:$A,Class_Players!$B:$B,"")</f>
        <v>Recon</v>
      </c>
      <c r="C462" s="38" t="str" cm="1">
        <f t="array" ref="C462">INDEX(Lookups!$C$2:$C$9,MOD(ROW()-ROW($B$2),ROWS(Lookups!$C$2:$C$9))+1)</f>
        <v>Sniper Decoy</v>
      </c>
      <c r="D462" s="38" t="str">
        <f>_xlfn.XLOOKUP(C462,Analysis_Gadgets!$C:$C,Analysis_Gadgets!$B:$B)</f>
        <v>Gadget</v>
      </c>
      <c r="E462" s="43">
        <v>89</v>
      </c>
      <c r="F462" s="43">
        <f>_xlfn.XLOOKUP(A462,Class_Players!A:A,Class_Players!G:G)</f>
        <v>248</v>
      </c>
      <c r="G462" s="43">
        <f t="shared" si="133"/>
        <v>0.3588709677419355</v>
      </c>
      <c r="H462" s="43">
        <f>_xlfn.XLOOKUP(A462,Class_Players!$A:$A,Class_Players!$F:$F,"")</f>
        <v>7871</v>
      </c>
      <c r="I462" s="44">
        <f t="shared" si="134"/>
        <v>1.1307330707661035E-2</v>
      </c>
      <c r="J462" s="43">
        <f t="shared" si="135"/>
        <v>0</v>
      </c>
      <c r="K462" s="44" cm="1">
        <f t="array" ref="K462">IF(D462="Gadget",_xlfn.IFS(I462&gt;=0.2,0.5,I462&gt;=0.1,0.35,I462&gt;=0.05,0.2,TRUE,0),IF(D462="Grenade",_xlfn.IFS(I462&gt;=0.2,1,I462&gt;=0.1,0.7,I462&gt;=0.05,0.4,TRUE,0),0))</f>
        <v>0</v>
      </c>
      <c r="L462" s="57">
        <f t="shared" si="146"/>
        <v>0</v>
      </c>
    </row>
    <row r="463" spans="1:12" ht="15" customHeight="1" x14ac:dyDescent="0.25">
      <c r="A463" s="42" t="str" cm="1">
        <f t="array" ref="A463">IFERROR(INDEX(_xlfn._xlws.FILTER(Class_Players!A:A,Class_Players!B:B="Recon"),QUOTIENT(ROW()-ROW($A$2),8)+1),"")</f>
        <v>THE_MAJESTIC_PTERODACTYL</v>
      </c>
      <c r="B463" s="42" t="str">
        <f>_xlfn.XLOOKUP(A463,Class_Players!$A:$A,Class_Players!$B:$B,"")</f>
        <v>Recon</v>
      </c>
      <c r="C463" s="38" t="str" cm="1">
        <f t="array" ref="C463">INDEX(Lookups!$C$2:$C$9,MOD(ROW()-ROW($B$2),ROWS(Lookups!$C$2:$C$9))+1)</f>
        <v>C-4 Explosives</v>
      </c>
      <c r="D463" s="38" t="str">
        <f>_xlfn.XLOOKUP(C463,Analysis_Gadgets!$C:$C,Analysis_Gadgets!$B:$B)</f>
        <v>Gadget</v>
      </c>
      <c r="E463" s="43">
        <v>3143</v>
      </c>
      <c r="F463" s="43">
        <f>_xlfn.XLOOKUP(A463,Class_Players!A:A,Class_Players!G:G)</f>
        <v>248</v>
      </c>
      <c r="G463" s="43">
        <f t="shared" si="133"/>
        <v>12.673387096774194</v>
      </c>
      <c r="H463" s="43">
        <f>_xlfn.XLOOKUP(A463,Class_Players!$A:$A,Class_Players!$F:$F,"")</f>
        <v>7871</v>
      </c>
      <c r="I463" s="44">
        <f t="shared" si="134"/>
        <v>0.39931393723796216</v>
      </c>
      <c r="J463" s="43">
        <f t="shared" si="135"/>
        <v>1</v>
      </c>
      <c r="K463" s="44" cm="1">
        <f t="array" ref="K463">IF(D463="Gadget",_xlfn.IFS(I463&gt;=0.2,0.5,I463&gt;=0.1,0.35,I463&gt;=0.05,0.2,TRUE,0),IF(D463="Grenade",_xlfn.IFS(I463&gt;=0.2,1,I463&gt;=0.1,0.7,I463&gt;=0.05,0.4,TRUE,0),0))</f>
        <v>0.5</v>
      </c>
      <c r="L463" s="57">
        <f t="shared" si="146"/>
        <v>0.58823529411764708</v>
      </c>
    </row>
    <row r="464" spans="1:12" ht="15" customHeight="1" x14ac:dyDescent="0.25">
      <c r="A464" s="42" t="str" cm="1">
        <f t="array" ref="A464">IFERROR(INDEX(_xlfn._xlws.FILTER(Class_Players!A:A,Class_Players!B:B="Recon"),QUOTIENT(ROW()-ROW($A$2),8)+1),"")</f>
        <v>THE_MAJESTIC_PTERODACTYL</v>
      </c>
      <c r="B464" s="42" t="str">
        <f>_xlfn.XLOOKUP(A464,Class_Players!$A:$A,Class_Players!$B:$B,"")</f>
        <v>Recon</v>
      </c>
      <c r="C464" s="38" t="str" cm="1">
        <f t="array" ref="C464">INDEX(Lookups!$C$2:$C$9,MOD(ROW()-ROW($B$2),ROWS(Lookups!$C$2:$C$9))+1)</f>
        <v>Proximity Detector</v>
      </c>
      <c r="D464" s="38" t="str">
        <f>_xlfn.XLOOKUP(C464,Analysis_Gadgets!$C:$C,Analysis_Gadgets!$B:$B)</f>
        <v>Grenade</v>
      </c>
      <c r="E464" s="43">
        <v>77</v>
      </c>
      <c r="F464" s="43">
        <f>_xlfn.XLOOKUP(A464,Class_Players!A:A,Class_Players!G:G)</f>
        <v>248</v>
      </c>
      <c r="G464" s="43">
        <f t="shared" si="133"/>
        <v>0.31048387096774194</v>
      </c>
      <c r="H464" s="43">
        <f>_xlfn.XLOOKUP(A464,Class_Players!$A:$A,Class_Players!$F:$F,"")</f>
        <v>7871</v>
      </c>
      <c r="I464" s="44">
        <f t="shared" si="134"/>
        <v>9.7827467920213445E-3</v>
      </c>
      <c r="J464" s="43">
        <f t="shared" si="135"/>
        <v>0</v>
      </c>
      <c r="K464" s="44" cm="1">
        <f t="array" ref="K464">IF(D464="Gadget",_xlfn.IFS(I464&gt;=0.2,0.5,I464&gt;=0.1,0.35,I464&gt;=0.05,0.2,TRUE,0),IF(D464="Grenade",_xlfn.IFS(I464&gt;=0.2,1,I464&gt;=0.1,0.7,I464&gt;=0.05,0.4,TRUE,0),0))</f>
        <v>0</v>
      </c>
      <c r="L464" s="57">
        <f t="shared" ref="L464:L489" si="147">IF($K464=0,0,$K464 / SUMIFS($K:$K,$A:$A,$A464,$D:$D,"Grenade"))</f>
        <v>0</v>
      </c>
    </row>
    <row r="465" spans="1:12" ht="15" customHeight="1" x14ac:dyDescent="0.25">
      <c r="A465" s="42" t="str" cm="1">
        <f t="array" ref="A465">IFERROR(INDEX(_xlfn._xlws.FILTER(Class_Players!A:A,Class_Players!B:B="Recon"),QUOTIENT(ROW()-ROW($A$2),8)+1),"")</f>
        <v>THE_MAJESTIC_PTERODACTYL</v>
      </c>
      <c r="B465" s="42" t="str">
        <f>_xlfn.XLOOKUP(A465,Class_Players!$A:$A,Class_Players!$B:$B,"")</f>
        <v>Recon</v>
      </c>
      <c r="C465" s="38" t="str" cm="1">
        <f t="array" ref="C465">INDEX(Lookups!$C$2:$C$9,MOD(ROW()-ROW($B$2),ROWS(Lookups!$C$2:$C$9))+1)</f>
        <v>Throwing Knife</v>
      </c>
      <c r="D465" s="38" t="str">
        <f>_xlfn.XLOOKUP(C465,Analysis_Gadgets!$C:$C,Analysis_Gadgets!$B:$B)</f>
        <v>Grenade</v>
      </c>
      <c r="E465" s="43">
        <v>376</v>
      </c>
      <c r="F465" s="43">
        <f>_xlfn.XLOOKUP(A465,Class_Players!A:A,Class_Players!G:G)</f>
        <v>248</v>
      </c>
      <c r="G465" s="43">
        <f t="shared" si="133"/>
        <v>1.5161290322580645</v>
      </c>
      <c r="H465" s="43">
        <f>_xlfn.XLOOKUP(A465,Class_Players!$A:$A,Class_Players!$F:$F,"")</f>
        <v>7871</v>
      </c>
      <c r="I465" s="44">
        <f t="shared" si="134"/>
        <v>4.777029602337695E-2</v>
      </c>
      <c r="J465" s="43">
        <f t="shared" si="135"/>
        <v>0</v>
      </c>
      <c r="K465" s="44" cm="1">
        <f t="array" ref="K465">IF(D465="Gadget",_xlfn.IFS(I465&gt;=0.2,0.5,I465&gt;=0.1,0.35,I465&gt;=0.05,0.2,TRUE,0),IF(D465="Grenade",_xlfn.IFS(I465&gt;=0.2,1,I465&gt;=0.1,0.7,I465&gt;=0.05,0.4,TRUE,0),0))</f>
        <v>0</v>
      </c>
      <c r="L465" s="57">
        <f t="shared" si="147"/>
        <v>0</v>
      </c>
    </row>
    <row r="466" spans="1:12" ht="15" customHeight="1" x14ac:dyDescent="0.25">
      <c r="A466" s="42" t="str" cm="1">
        <f t="array" ref="A466">IFERROR(INDEX(_xlfn._xlws.FILTER(Class_Players!A:A,Class_Players!B:B="Recon"),QUOTIENT(ROW()-ROW($A$2),8)+1),"")</f>
        <v>miecugow</v>
      </c>
      <c r="B466" s="42" t="str">
        <f>_xlfn.XLOOKUP(A466,Class_Players!$A:$A,Class_Players!$B:$B,"")</f>
        <v>Recon</v>
      </c>
      <c r="C466" s="38" t="str" cm="1">
        <f t="array" ref="C466">INDEX(Lookups!$C$2:$C$9,MOD(ROW()-ROW($B$2),ROWS(Lookups!$C$2:$C$9))+1)</f>
        <v>Laser Designator</v>
      </c>
      <c r="D466" s="38" t="str">
        <f>_xlfn.XLOOKUP(C466,Analysis_Gadgets!$C:$C,Analysis_Gadgets!$B:$B)</f>
        <v>Gadget</v>
      </c>
      <c r="E466" s="43">
        <v>1773</v>
      </c>
      <c r="F466" s="43">
        <f>_xlfn.XLOOKUP(A466,Class_Players!A:A,Class_Players!G:G)</f>
        <v>110</v>
      </c>
      <c r="G466" s="43">
        <f t="shared" ref="G466:G473" si="148">IF(F466=0,"",E466/(F466))</f>
        <v>16.118181818181817</v>
      </c>
      <c r="H466" s="43">
        <f>_xlfn.XLOOKUP(A466,Class_Players!$A:$A,Class_Players!$F:$F,"")</f>
        <v>6499</v>
      </c>
      <c r="I466" s="44">
        <f t="shared" ref="I466:I473" si="149">IF(H466=0,"",E466/H466)</f>
        <v>0.27281120172334206</v>
      </c>
      <c r="J466" s="43">
        <f t="shared" ref="J466:J473" si="150">IF(I466&gt;=0.1,1,0)</f>
        <v>1</v>
      </c>
      <c r="K466" s="44" cm="1">
        <f t="array" ref="K466">IF(D466="Gadget",_xlfn.IFS(I466&gt;=0.2,0.5,I466&gt;=0.1,0.35,I466&gt;=0.05,0.2,TRUE,0),IF(D466="Grenade",_xlfn.IFS(I466&gt;=0.2,1,I466&gt;=0.1,0.7,I466&gt;=0.05,0.4,TRUE,0),0))</f>
        <v>0.5</v>
      </c>
      <c r="L466" s="57">
        <f t="shared" si="146"/>
        <v>0.27027027027027023</v>
      </c>
    </row>
    <row r="467" spans="1:12" ht="15" customHeight="1" x14ac:dyDescent="0.25">
      <c r="A467" s="42" t="str" cm="1">
        <f t="array" ref="A467">IFERROR(INDEX(_xlfn._xlws.FILTER(Class_Players!A:A,Class_Players!B:B="Recon"),QUOTIENT(ROW()-ROW($A$2),8)+1),"")</f>
        <v>miecugow</v>
      </c>
      <c r="B467" s="42" t="str">
        <f>_xlfn.XLOOKUP(A467,Class_Players!$A:$A,Class_Players!$B:$B,"")</f>
        <v>Recon</v>
      </c>
      <c r="C467" s="38" t="str" cm="1">
        <f t="array" ref="C467">INDEX(Lookups!$C$2:$C$9,MOD(ROW()-ROW($B$2),ROWS(Lookups!$C$2:$C$9))+1)</f>
        <v>Recon Drone</v>
      </c>
      <c r="D467" s="38" t="str">
        <f>_xlfn.XLOOKUP(C467,Analysis_Gadgets!$C:$C,Analysis_Gadgets!$B:$B)</f>
        <v>Gadget</v>
      </c>
      <c r="E467" s="43">
        <v>938</v>
      </c>
      <c r="F467" s="43">
        <f>_xlfn.XLOOKUP(A467,Class_Players!A:A,Class_Players!G:G)</f>
        <v>110</v>
      </c>
      <c r="G467" s="43">
        <f t="shared" si="148"/>
        <v>8.5272727272727273</v>
      </c>
      <c r="H467" s="43">
        <f>_xlfn.XLOOKUP(A467,Class_Players!$A:$A,Class_Players!$F:$F,"")</f>
        <v>6499</v>
      </c>
      <c r="I467" s="44">
        <f t="shared" si="149"/>
        <v>0.14432989690721648</v>
      </c>
      <c r="J467" s="43">
        <f t="shared" si="150"/>
        <v>1</v>
      </c>
      <c r="K467" s="44" cm="1">
        <f t="array" ref="K467">IF(D467="Gadget",_xlfn.IFS(I467&gt;=0.2,0.5,I467&gt;=0.1,0.35,I467&gt;=0.05,0.2,TRUE,0),IF(D467="Grenade",_xlfn.IFS(I467&gt;=0.2,1,I467&gt;=0.1,0.7,I467&gt;=0.05,0.4,TRUE,0),0))</f>
        <v>0.35</v>
      </c>
      <c r="L467" s="57">
        <f t="shared" si="146"/>
        <v>0.18918918918918917</v>
      </c>
    </row>
    <row r="468" spans="1:12" ht="15" customHeight="1" x14ac:dyDescent="0.25">
      <c r="A468" s="42" t="str" cm="1">
        <f t="array" ref="A468">IFERROR(INDEX(_xlfn._xlws.FILTER(Class_Players!A:A,Class_Players!B:B="Recon"),QUOTIENT(ROW()-ROW($A$2),8)+1),"")</f>
        <v>miecugow</v>
      </c>
      <c r="B468" s="42" t="str">
        <f>_xlfn.XLOOKUP(A468,Class_Players!$A:$A,Class_Players!$B:$B,"")</f>
        <v>Recon</v>
      </c>
      <c r="C468" s="38" t="str" cm="1">
        <f t="array" ref="C468">INDEX(Lookups!$C$2:$C$9,MOD(ROW()-ROW($B$2),ROWS(Lookups!$C$2:$C$9))+1)</f>
        <v>Tracer Dart</v>
      </c>
      <c r="D468" s="38" t="str">
        <f>_xlfn.XLOOKUP(C468,Analysis_Gadgets!$C:$C,Analysis_Gadgets!$B:$B)</f>
        <v>Gadget</v>
      </c>
      <c r="E468" s="43">
        <v>0</v>
      </c>
      <c r="F468" s="43">
        <f>_xlfn.XLOOKUP(A468,Class_Players!A:A,Class_Players!G:G)</f>
        <v>110</v>
      </c>
      <c r="G468" s="43">
        <f t="shared" si="148"/>
        <v>0</v>
      </c>
      <c r="H468" s="43">
        <f>_xlfn.XLOOKUP(A468,Class_Players!$A:$A,Class_Players!$F:$F,"")</f>
        <v>6499</v>
      </c>
      <c r="I468" s="44">
        <f t="shared" si="149"/>
        <v>0</v>
      </c>
      <c r="J468" s="43">
        <f t="shared" si="150"/>
        <v>0</v>
      </c>
      <c r="K468" s="44" cm="1">
        <f t="array" ref="K468">IF(D468="Gadget",_xlfn.IFS(I468&gt;=0.2,0.5,I468&gt;=0.1,0.35,I468&gt;=0.05,0.2,TRUE,0),IF(D468="Grenade",_xlfn.IFS(I468&gt;=0.2,1,I468&gt;=0.1,0.7,I468&gt;=0.05,0.4,TRUE,0),0))</f>
        <v>0</v>
      </c>
      <c r="L468" s="57">
        <f t="shared" si="146"/>
        <v>0</v>
      </c>
    </row>
    <row r="469" spans="1:12" ht="15" customHeight="1" x14ac:dyDescent="0.25">
      <c r="A469" s="42" t="str" cm="1">
        <f t="array" ref="A469">IFERROR(INDEX(_xlfn._xlws.FILTER(Class_Players!A:A,Class_Players!B:B="Recon"),QUOTIENT(ROW()-ROW($A$2),8)+1),"")</f>
        <v>miecugow</v>
      </c>
      <c r="B469" s="42" t="str">
        <f>_xlfn.XLOOKUP(A469,Class_Players!$A:$A,Class_Players!$B:$B,"")</f>
        <v>Recon</v>
      </c>
      <c r="C469" s="38" t="str" cm="1">
        <f t="array" ref="C469">INDEX(Lookups!$C$2:$C$9,MOD(ROW()-ROW($B$2),ROWS(Lookups!$C$2:$C$9))+1)</f>
        <v>M18A1 (Claymore)</v>
      </c>
      <c r="D469" s="38" t="str">
        <f>_xlfn.XLOOKUP(C469,Analysis_Gadgets!$C:$C,Analysis_Gadgets!$B:$B)</f>
        <v>Gadget</v>
      </c>
      <c r="E469" s="43">
        <v>2180</v>
      </c>
      <c r="F469" s="43">
        <f>_xlfn.XLOOKUP(A469,Class_Players!A:A,Class_Players!G:G)</f>
        <v>110</v>
      </c>
      <c r="G469" s="43">
        <f t="shared" si="148"/>
        <v>19.818181818181817</v>
      </c>
      <c r="H469" s="43">
        <f>_xlfn.XLOOKUP(A469,Class_Players!$A:$A,Class_Players!$F:$F,"")</f>
        <v>6499</v>
      </c>
      <c r="I469" s="44">
        <f t="shared" si="149"/>
        <v>0.33543622095707032</v>
      </c>
      <c r="J469" s="43">
        <f t="shared" si="150"/>
        <v>1</v>
      </c>
      <c r="K469" s="44" cm="1">
        <f t="array" ref="K469">IF(D469="Gadget",_xlfn.IFS(I469&gt;=0.2,0.5,I469&gt;=0.1,0.35,I469&gt;=0.05,0.2,TRUE,0),IF(D469="Grenade",_xlfn.IFS(I469&gt;=0.2,1,I469&gt;=0.1,0.7,I469&gt;=0.05,0.4,TRUE,0),0))</f>
        <v>0.5</v>
      </c>
      <c r="L469" s="57">
        <f t="shared" si="146"/>
        <v>0.27027027027027023</v>
      </c>
    </row>
    <row r="470" spans="1:12" ht="15" customHeight="1" x14ac:dyDescent="0.25">
      <c r="A470" s="42" t="str" cm="1">
        <f t="array" ref="A470">IFERROR(INDEX(_xlfn._xlws.FILTER(Class_Players!A:A,Class_Players!B:B="Recon"),QUOTIENT(ROW()-ROW($A$2),8)+1),"")</f>
        <v>miecugow</v>
      </c>
      <c r="B470" s="42" t="str">
        <f>_xlfn.XLOOKUP(A470,Class_Players!$A:$A,Class_Players!$B:$B,"")</f>
        <v>Recon</v>
      </c>
      <c r="C470" s="38" t="str" cm="1">
        <f t="array" ref="C470">INDEX(Lookups!$C$2:$C$9,MOD(ROW()-ROW($B$2),ROWS(Lookups!$C$2:$C$9))+1)</f>
        <v>Sniper Decoy</v>
      </c>
      <c r="D470" s="38" t="str">
        <f>_xlfn.XLOOKUP(C470,Analysis_Gadgets!$C:$C,Analysis_Gadgets!$B:$B)</f>
        <v>Gadget</v>
      </c>
      <c r="E470" s="43">
        <v>0</v>
      </c>
      <c r="F470" s="43">
        <f>_xlfn.XLOOKUP(A470,Class_Players!A:A,Class_Players!G:G)</f>
        <v>110</v>
      </c>
      <c r="G470" s="43">
        <f t="shared" si="148"/>
        <v>0</v>
      </c>
      <c r="H470" s="43">
        <f>_xlfn.XLOOKUP(A470,Class_Players!$A:$A,Class_Players!$F:$F,"")</f>
        <v>6499</v>
      </c>
      <c r="I470" s="44">
        <f t="shared" si="149"/>
        <v>0</v>
      </c>
      <c r="J470" s="43">
        <f t="shared" si="150"/>
        <v>0</v>
      </c>
      <c r="K470" s="44" cm="1">
        <f t="array" ref="K470">IF(D470="Gadget",_xlfn.IFS(I470&gt;=0.2,0.5,I470&gt;=0.1,0.35,I470&gt;=0.05,0.2,TRUE,0),IF(D470="Grenade",_xlfn.IFS(I470&gt;=0.2,1,I470&gt;=0.1,0.7,I470&gt;=0.05,0.4,TRUE,0),0))</f>
        <v>0</v>
      </c>
      <c r="L470" s="57">
        <f t="shared" si="146"/>
        <v>0</v>
      </c>
    </row>
    <row r="471" spans="1:12" ht="15" customHeight="1" x14ac:dyDescent="0.25">
      <c r="A471" s="42" t="str" cm="1">
        <f t="array" ref="A471">IFERROR(INDEX(_xlfn._xlws.FILTER(Class_Players!A:A,Class_Players!B:B="Recon"),QUOTIENT(ROW()-ROW($A$2),8)+1),"")</f>
        <v>miecugow</v>
      </c>
      <c r="B471" s="42" t="str">
        <f>_xlfn.XLOOKUP(A471,Class_Players!$A:$A,Class_Players!$B:$B,"")</f>
        <v>Recon</v>
      </c>
      <c r="C471" s="38" t="str" cm="1">
        <f t="array" ref="C471">INDEX(Lookups!$C$2:$C$9,MOD(ROW()-ROW($B$2),ROWS(Lookups!$C$2:$C$9))+1)</f>
        <v>C-4 Explosives</v>
      </c>
      <c r="D471" s="38" t="str">
        <f>_xlfn.XLOOKUP(C471,Analysis_Gadgets!$C:$C,Analysis_Gadgets!$B:$B)</f>
        <v>Gadget</v>
      </c>
      <c r="E471" s="43">
        <v>5763</v>
      </c>
      <c r="F471" s="43">
        <f>_xlfn.XLOOKUP(A471,Class_Players!A:A,Class_Players!G:G)</f>
        <v>110</v>
      </c>
      <c r="G471" s="43">
        <f t="shared" si="148"/>
        <v>52.390909090909091</v>
      </c>
      <c r="H471" s="43">
        <f>_xlfn.XLOOKUP(A471,Class_Players!$A:$A,Class_Players!$F:$F,"")</f>
        <v>6499</v>
      </c>
      <c r="I471" s="44">
        <f t="shared" si="149"/>
        <v>0.88675180797045694</v>
      </c>
      <c r="J471" s="43">
        <f t="shared" si="150"/>
        <v>1</v>
      </c>
      <c r="K471" s="44" cm="1">
        <f t="array" ref="K471">IF(D471="Gadget",_xlfn.IFS(I471&gt;=0.2,0.5,I471&gt;=0.1,0.35,I471&gt;=0.05,0.2,TRUE,0),IF(D471="Grenade",_xlfn.IFS(I471&gt;=0.2,1,I471&gt;=0.1,0.7,I471&gt;=0.05,0.4,TRUE,0),0))</f>
        <v>0.5</v>
      </c>
      <c r="L471" s="57">
        <f t="shared" si="146"/>
        <v>0.27027027027027023</v>
      </c>
    </row>
    <row r="472" spans="1:12" ht="15" customHeight="1" x14ac:dyDescent="0.25">
      <c r="A472" s="42" t="str" cm="1">
        <f t="array" ref="A472">IFERROR(INDEX(_xlfn._xlws.FILTER(Class_Players!A:A,Class_Players!B:B="Recon"),QUOTIENT(ROW()-ROW($A$2),8)+1),"")</f>
        <v>miecugow</v>
      </c>
      <c r="B472" s="42" t="str">
        <f>_xlfn.XLOOKUP(A472,Class_Players!$A:$A,Class_Players!$B:$B,"")</f>
        <v>Recon</v>
      </c>
      <c r="C472" s="38" t="str" cm="1">
        <f t="array" ref="C472">INDEX(Lookups!$C$2:$C$9,MOD(ROW()-ROW($B$2),ROWS(Lookups!$C$2:$C$9))+1)</f>
        <v>Proximity Detector</v>
      </c>
      <c r="D472" s="38" t="str">
        <f>_xlfn.XLOOKUP(C472,Analysis_Gadgets!$C:$C,Analysis_Gadgets!$B:$B)</f>
        <v>Grenade</v>
      </c>
      <c r="E472" s="43">
        <v>0</v>
      </c>
      <c r="F472" s="43">
        <f>_xlfn.XLOOKUP(A472,Class_Players!A:A,Class_Players!G:G)</f>
        <v>110</v>
      </c>
      <c r="G472" s="43">
        <f t="shared" si="148"/>
        <v>0</v>
      </c>
      <c r="H472" s="43">
        <f>_xlfn.XLOOKUP(A472,Class_Players!$A:$A,Class_Players!$F:$F,"")</f>
        <v>6499</v>
      </c>
      <c r="I472" s="44">
        <f t="shared" si="149"/>
        <v>0</v>
      </c>
      <c r="J472" s="43">
        <f t="shared" si="150"/>
        <v>0</v>
      </c>
      <c r="K472" s="44" cm="1">
        <f t="array" ref="K472">IF(D472="Gadget",_xlfn.IFS(I472&gt;=0.2,0.5,I472&gt;=0.1,0.35,I472&gt;=0.05,0.2,TRUE,0),IF(D472="Grenade",_xlfn.IFS(I472&gt;=0.2,1,I472&gt;=0.1,0.7,I472&gt;=0.05,0.4,TRUE,0),0))</f>
        <v>0</v>
      </c>
      <c r="L472" s="57">
        <f t="shared" si="147"/>
        <v>0</v>
      </c>
    </row>
    <row r="473" spans="1:12" ht="15" customHeight="1" x14ac:dyDescent="0.25">
      <c r="A473" s="42" t="str" cm="1">
        <f t="array" ref="A473">IFERROR(INDEX(_xlfn._xlws.FILTER(Class_Players!A:A,Class_Players!B:B="Recon"),QUOTIENT(ROW()-ROW($A$2),8)+1),"")</f>
        <v>miecugow</v>
      </c>
      <c r="B473" s="42" t="str">
        <f>_xlfn.XLOOKUP(A473,Class_Players!$A:$A,Class_Players!$B:$B,"")</f>
        <v>Recon</v>
      </c>
      <c r="C473" s="38" t="str" cm="1">
        <f t="array" ref="C473">INDEX(Lookups!$C$2:$C$9,MOD(ROW()-ROW($B$2),ROWS(Lookups!$C$2:$C$9))+1)</f>
        <v>Throwing Knife</v>
      </c>
      <c r="D473" s="38" t="str">
        <f>_xlfn.XLOOKUP(C473,Analysis_Gadgets!$C:$C,Analysis_Gadgets!$B:$B)</f>
        <v>Grenade</v>
      </c>
      <c r="E473" s="43">
        <v>0</v>
      </c>
      <c r="F473" s="43">
        <f>_xlfn.XLOOKUP(A473,Class_Players!A:A,Class_Players!G:G)</f>
        <v>110</v>
      </c>
      <c r="G473" s="43">
        <f t="shared" si="148"/>
        <v>0</v>
      </c>
      <c r="H473" s="43">
        <f>_xlfn.XLOOKUP(A473,Class_Players!$A:$A,Class_Players!$F:$F,"")</f>
        <v>6499</v>
      </c>
      <c r="I473" s="44">
        <f t="shared" si="149"/>
        <v>0</v>
      </c>
      <c r="J473" s="43">
        <f t="shared" si="150"/>
        <v>0</v>
      </c>
      <c r="K473" s="44" cm="1">
        <f t="array" ref="K473">IF(D473="Gadget",_xlfn.IFS(I473&gt;=0.2,0.5,I473&gt;=0.1,0.35,I473&gt;=0.05,0.2,TRUE,0),IF(D473="Grenade",_xlfn.IFS(I473&gt;=0.2,1,I473&gt;=0.1,0.7,I473&gt;=0.05,0.4,TRUE,0),0))</f>
        <v>0</v>
      </c>
      <c r="L473" s="57">
        <f t="shared" si="147"/>
        <v>0</v>
      </c>
    </row>
    <row r="474" spans="1:12" ht="15" customHeight="1" x14ac:dyDescent="0.25">
      <c r="A474" s="42" t="str" cm="1">
        <f t="array" ref="A474">IFERROR(INDEX(_xlfn._xlws.FILTER(Class_Players!A:A,Class_Players!B:B="Recon"),QUOTIENT(ROW()-ROW($A$2),8)+1),"")</f>
        <v>Valdise</v>
      </c>
      <c r="B474" s="42" t="str">
        <f>_xlfn.XLOOKUP(A474,Class_Players!$A:$A,Class_Players!$B:$B,"")</f>
        <v>Recon</v>
      </c>
      <c r="C474" s="38" t="str" cm="1">
        <f t="array" ref="C474">INDEX(Lookups!$C$2:$C$9,MOD(ROW()-ROW($B$2),ROWS(Lookups!$C$2:$C$9))+1)</f>
        <v>Laser Designator</v>
      </c>
      <c r="D474" s="38" t="str">
        <f>_xlfn.XLOOKUP(C474,Analysis_Gadgets!$C:$C,Analysis_Gadgets!$B:$B)</f>
        <v>Gadget</v>
      </c>
      <c r="E474" s="43">
        <v>56</v>
      </c>
      <c r="F474" s="43">
        <f>_xlfn.XLOOKUP(A474,Class_Players!A:A,Class_Players!G:G)</f>
        <v>132</v>
      </c>
      <c r="G474" s="43">
        <f t="shared" ref="G474:G537" si="151">IF(F474=0,"",E474/(F474))</f>
        <v>0.42424242424242425</v>
      </c>
      <c r="H474" s="43">
        <f>_xlfn.XLOOKUP(A474,Class_Players!$A:$A,Class_Players!$F:$F,"")</f>
        <v>6304</v>
      </c>
      <c r="I474" s="44">
        <f t="shared" ref="I474:I537" si="152">IF(H474=0,"",E474/H474)</f>
        <v>8.8832487309644676E-3</v>
      </c>
      <c r="J474" s="43">
        <f t="shared" ref="J474:J537" si="153">IF(I474&gt;=0.1,1,0)</f>
        <v>0</v>
      </c>
      <c r="K474" s="44" cm="1">
        <f t="array" ref="K474">IF(D474="Gadget",_xlfn.IFS(I474&gt;=0.2,0.5,I474&gt;=0.1,0.35,I474&gt;=0.05,0.2,TRUE,0),IF(D474="Grenade",_xlfn.IFS(I474&gt;=0.2,1,I474&gt;=0.1,0.7,I474&gt;=0.05,0.4,TRUE,0),0))</f>
        <v>0</v>
      </c>
      <c r="L474" s="57">
        <f t="shared" si="146"/>
        <v>0</v>
      </c>
    </row>
    <row r="475" spans="1:12" ht="15" customHeight="1" x14ac:dyDescent="0.25">
      <c r="A475" s="42" t="str" cm="1">
        <f t="array" ref="A475">IFERROR(INDEX(_xlfn._xlws.FILTER(Class_Players!A:A,Class_Players!B:B="Recon"),QUOTIENT(ROW()-ROW($A$2),8)+1),"")</f>
        <v>Valdise</v>
      </c>
      <c r="B475" s="42" t="str">
        <f>_xlfn.XLOOKUP(A475,Class_Players!$A:$A,Class_Players!$B:$B,"")</f>
        <v>Recon</v>
      </c>
      <c r="C475" s="38" t="str" cm="1">
        <f t="array" ref="C475">INDEX(Lookups!$C$2:$C$9,MOD(ROW()-ROW($B$2),ROWS(Lookups!$C$2:$C$9))+1)</f>
        <v>Recon Drone</v>
      </c>
      <c r="D475" s="38" t="str">
        <f>_xlfn.XLOOKUP(C475,Analysis_Gadgets!$C:$C,Analysis_Gadgets!$B:$B)</f>
        <v>Gadget</v>
      </c>
      <c r="E475" s="43">
        <v>172</v>
      </c>
      <c r="F475" s="43">
        <f>_xlfn.XLOOKUP(A475,Class_Players!A:A,Class_Players!G:G)</f>
        <v>132</v>
      </c>
      <c r="G475" s="43">
        <f t="shared" si="151"/>
        <v>1.303030303030303</v>
      </c>
      <c r="H475" s="43">
        <f>_xlfn.XLOOKUP(A475,Class_Players!$A:$A,Class_Players!$F:$F,"")</f>
        <v>6304</v>
      </c>
      <c r="I475" s="44">
        <f t="shared" si="152"/>
        <v>2.7284263959390861E-2</v>
      </c>
      <c r="J475" s="43">
        <f t="shared" si="153"/>
        <v>0</v>
      </c>
      <c r="K475" s="44" cm="1">
        <f t="array" ref="K475">IF(D475="Gadget",_xlfn.IFS(I475&gt;=0.2,0.5,I475&gt;=0.1,0.35,I475&gt;=0.05,0.2,TRUE,0),IF(D475="Grenade",_xlfn.IFS(I475&gt;=0.2,1,I475&gt;=0.1,0.7,I475&gt;=0.05,0.4,TRUE,0),0))</f>
        <v>0</v>
      </c>
      <c r="L475" s="57">
        <f t="shared" si="146"/>
        <v>0</v>
      </c>
    </row>
    <row r="476" spans="1:12" ht="15" customHeight="1" x14ac:dyDescent="0.25">
      <c r="A476" s="42" t="str" cm="1">
        <f t="array" ref="A476">IFERROR(INDEX(_xlfn._xlws.FILTER(Class_Players!A:A,Class_Players!B:B="Recon"),QUOTIENT(ROW()-ROW($A$2),8)+1),"")</f>
        <v>Valdise</v>
      </c>
      <c r="B476" s="42" t="str">
        <f>_xlfn.XLOOKUP(A476,Class_Players!$A:$A,Class_Players!$B:$B,"")</f>
        <v>Recon</v>
      </c>
      <c r="C476" s="38" t="str" cm="1">
        <f t="array" ref="C476">INDEX(Lookups!$C$2:$C$9,MOD(ROW()-ROW($B$2),ROWS(Lookups!$C$2:$C$9))+1)</f>
        <v>Tracer Dart</v>
      </c>
      <c r="D476" s="38" t="str">
        <f>_xlfn.XLOOKUP(C476,Analysis_Gadgets!$C:$C,Analysis_Gadgets!$B:$B)</f>
        <v>Gadget</v>
      </c>
      <c r="E476" s="43">
        <v>44</v>
      </c>
      <c r="F476" s="43">
        <f>_xlfn.XLOOKUP(A476,Class_Players!A:A,Class_Players!G:G)</f>
        <v>132</v>
      </c>
      <c r="G476" s="43">
        <f t="shared" si="151"/>
        <v>0.33333333333333331</v>
      </c>
      <c r="H476" s="43">
        <f>_xlfn.XLOOKUP(A476,Class_Players!$A:$A,Class_Players!$F:$F,"")</f>
        <v>6304</v>
      </c>
      <c r="I476" s="44">
        <f t="shared" si="152"/>
        <v>6.9796954314720813E-3</v>
      </c>
      <c r="J476" s="43">
        <f t="shared" si="153"/>
        <v>0</v>
      </c>
      <c r="K476" s="44" cm="1">
        <f t="array" ref="K476">IF(D476="Gadget",_xlfn.IFS(I476&gt;=0.2,0.5,I476&gt;=0.1,0.35,I476&gt;=0.05,0.2,TRUE,0),IF(D476="Grenade",_xlfn.IFS(I476&gt;=0.2,1,I476&gt;=0.1,0.7,I476&gt;=0.05,0.4,TRUE,0),0))</f>
        <v>0</v>
      </c>
      <c r="L476" s="57">
        <f t="shared" si="146"/>
        <v>0</v>
      </c>
    </row>
    <row r="477" spans="1:12" ht="15" customHeight="1" x14ac:dyDescent="0.25">
      <c r="A477" s="42" t="str" cm="1">
        <f t="array" ref="A477">IFERROR(INDEX(_xlfn._xlws.FILTER(Class_Players!A:A,Class_Players!B:B="Recon"),QUOTIENT(ROW()-ROW($A$2),8)+1),"")</f>
        <v>Valdise</v>
      </c>
      <c r="B477" s="42" t="str">
        <f>_xlfn.XLOOKUP(A477,Class_Players!$A:$A,Class_Players!$B:$B,"")</f>
        <v>Recon</v>
      </c>
      <c r="C477" s="38" t="str" cm="1">
        <f t="array" ref="C477">INDEX(Lookups!$C$2:$C$9,MOD(ROW()-ROW($B$2),ROWS(Lookups!$C$2:$C$9))+1)</f>
        <v>M18A1 (Claymore)</v>
      </c>
      <c r="D477" s="38" t="str">
        <f>_xlfn.XLOOKUP(C477,Analysis_Gadgets!$C:$C,Analysis_Gadgets!$B:$B)</f>
        <v>Gadget</v>
      </c>
      <c r="E477" s="43">
        <v>1199</v>
      </c>
      <c r="F477" s="43">
        <f>_xlfn.XLOOKUP(A477,Class_Players!A:A,Class_Players!G:G)</f>
        <v>132</v>
      </c>
      <c r="G477" s="43">
        <f t="shared" si="151"/>
        <v>9.0833333333333339</v>
      </c>
      <c r="H477" s="43">
        <f>_xlfn.XLOOKUP(A477,Class_Players!$A:$A,Class_Players!$F:$F,"")</f>
        <v>6304</v>
      </c>
      <c r="I477" s="44">
        <f t="shared" si="152"/>
        <v>0.19019670050761422</v>
      </c>
      <c r="J477" s="43">
        <f t="shared" si="153"/>
        <v>1</v>
      </c>
      <c r="K477" s="44" cm="1">
        <f t="array" ref="K477">IF(D477="Gadget",_xlfn.IFS(I477&gt;=0.2,0.5,I477&gt;=0.1,0.35,I477&gt;=0.05,0.2,TRUE,0),IF(D477="Grenade",_xlfn.IFS(I477&gt;=0.2,1,I477&gt;=0.1,0.7,I477&gt;=0.05,0.4,TRUE,0),0))</f>
        <v>0.35</v>
      </c>
      <c r="L477" s="57">
        <f t="shared" si="146"/>
        <v>0.41176470588235292</v>
      </c>
    </row>
    <row r="478" spans="1:12" ht="15" customHeight="1" x14ac:dyDescent="0.25">
      <c r="A478" s="42" t="str" cm="1">
        <f t="array" ref="A478">IFERROR(INDEX(_xlfn._xlws.FILTER(Class_Players!A:A,Class_Players!B:B="Recon"),QUOTIENT(ROW()-ROW($A$2),8)+1),"")</f>
        <v>Valdise</v>
      </c>
      <c r="B478" s="42" t="str">
        <f>_xlfn.XLOOKUP(A478,Class_Players!$A:$A,Class_Players!$B:$B,"")</f>
        <v>Recon</v>
      </c>
      <c r="C478" s="38" t="str" cm="1">
        <f t="array" ref="C478">INDEX(Lookups!$C$2:$C$9,MOD(ROW()-ROW($B$2),ROWS(Lookups!$C$2:$C$9))+1)</f>
        <v>Sniper Decoy</v>
      </c>
      <c r="D478" s="38" t="str">
        <f>_xlfn.XLOOKUP(C478,Analysis_Gadgets!$C:$C,Analysis_Gadgets!$B:$B)</f>
        <v>Gadget</v>
      </c>
      <c r="E478" s="43">
        <v>95</v>
      </c>
      <c r="F478" s="43">
        <f>_xlfn.XLOOKUP(A478,Class_Players!A:A,Class_Players!G:G)</f>
        <v>132</v>
      </c>
      <c r="G478" s="43">
        <f t="shared" si="151"/>
        <v>0.71969696969696972</v>
      </c>
      <c r="H478" s="43">
        <f>_xlfn.XLOOKUP(A478,Class_Players!$A:$A,Class_Players!$F:$F,"")</f>
        <v>6304</v>
      </c>
      <c r="I478" s="44">
        <f t="shared" si="152"/>
        <v>1.5069796954314721E-2</v>
      </c>
      <c r="J478" s="43">
        <f t="shared" si="153"/>
        <v>0</v>
      </c>
      <c r="K478" s="44" cm="1">
        <f t="array" ref="K478">IF(D478="Gadget",_xlfn.IFS(I478&gt;=0.2,0.5,I478&gt;=0.1,0.35,I478&gt;=0.05,0.2,TRUE,0),IF(D478="Grenade",_xlfn.IFS(I478&gt;=0.2,1,I478&gt;=0.1,0.7,I478&gt;=0.05,0.4,TRUE,0),0))</f>
        <v>0</v>
      </c>
      <c r="L478" s="57">
        <f t="shared" si="146"/>
        <v>0</v>
      </c>
    </row>
    <row r="479" spans="1:12" ht="15" customHeight="1" x14ac:dyDescent="0.25">
      <c r="A479" s="42" t="str" cm="1">
        <f t="array" ref="A479">IFERROR(INDEX(_xlfn._xlws.FILTER(Class_Players!A:A,Class_Players!B:B="Recon"),QUOTIENT(ROW()-ROW($A$2),8)+1),"")</f>
        <v>Valdise</v>
      </c>
      <c r="B479" s="42" t="str">
        <f>_xlfn.XLOOKUP(A479,Class_Players!$A:$A,Class_Players!$B:$B,"")</f>
        <v>Recon</v>
      </c>
      <c r="C479" s="38" t="str" cm="1">
        <f t="array" ref="C479">INDEX(Lookups!$C$2:$C$9,MOD(ROW()-ROW($B$2),ROWS(Lookups!$C$2:$C$9))+1)</f>
        <v>C-4 Explosives</v>
      </c>
      <c r="D479" s="38" t="str">
        <f>_xlfn.XLOOKUP(C479,Analysis_Gadgets!$C:$C,Analysis_Gadgets!$B:$B)</f>
        <v>Gadget</v>
      </c>
      <c r="E479" s="43">
        <v>1698</v>
      </c>
      <c r="F479" s="43">
        <f>_xlfn.XLOOKUP(A479,Class_Players!A:A,Class_Players!G:G)</f>
        <v>132</v>
      </c>
      <c r="G479" s="43">
        <f t="shared" si="151"/>
        <v>12.863636363636363</v>
      </c>
      <c r="H479" s="43">
        <f>_xlfn.XLOOKUP(A479,Class_Players!$A:$A,Class_Players!$F:$F,"")</f>
        <v>6304</v>
      </c>
      <c r="I479" s="44">
        <f t="shared" si="152"/>
        <v>0.26935279187817257</v>
      </c>
      <c r="J479" s="43">
        <f t="shared" si="153"/>
        <v>1</v>
      </c>
      <c r="K479" s="44" cm="1">
        <f t="array" ref="K479">IF(D479="Gadget",_xlfn.IFS(I479&gt;=0.2,0.5,I479&gt;=0.1,0.35,I479&gt;=0.05,0.2,TRUE,0),IF(D479="Grenade",_xlfn.IFS(I479&gt;=0.2,1,I479&gt;=0.1,0.7,I479&gt;=0.05,0.4,TRUE,0),0))</f>
        <v>0.5</v>
      </c>
      <c r="L479" s="57">
        <f t="shared" si="146"/>
        <v>0.58823529411764708</v>
      </c>
    </row>
    <row r="480" spans="1:12" ht="15" customHeight="1" x14ac:dyDescent="0.25">
      <c r="A480" s="42" t="str" cm="1">
        <f t="array" ref="A480">IFERROR(INDEX(_xlfn._xlws.FILTER(Class_Players!A:A,Class_Players!B:B="Recon"),QUOTIENT(ROW()-ROW($A$2),8)+1),"")</f>
        <v>Valdise</v>
      </c>
      <c r="B480" s="42" t="str">
        <f>_xlfn.XLOOKUP(A480,Class_Players!$A:$A,Class_Players!$B:$B,"")</f>
        <v>Recon</v>
      </c>
      <c r="C480" s="38" t="str" cm="1">
        <f t="array" ref="C480">INDEX(Lookups!$C$2:$C$9,MOD(ROW()-ROW($B$2),ROWS(Lookups!$C$2:$C$9))+1)</f>
        <v>Proximity Detector</v>
      </c>
      <c r="D480" s="38" t="str">
        <f>_xlfn.XLOOKUP(C480,Analysis_Gadgets!$C:$C,Analysis_Gadgets!$B:$B)</f>
        <v>Grenade</v>
      </c>
      <c r="E480" s="43">
        <v>21</v>
      </c>
      <c r="F480" s="43">
        <f>_xlfn.XLOOKUP(A480,Class_Players!A:A,Class_Players!G:G)</f>
        <v>132</v>
      </c>
      <c r="G480" s="43">
        <f t="shared" si="151"/>
        <v>0.15909090909090909</v>
      </c>
      <c r="H480" s="43">
        <f>_xlfn.XLOOKUP(A480,Class_Players!$A:$A,Class_Players!$F:$F,"")</f>
        <v>6304</v>
      </c>
      <c r="I480" s="44">
        <f t="shared" si="152"/>
        <v>3.3312182741116751E-3</v>
      </c>
      <c r="J480" s="43">
        <f t="shared" si="153"/>
        <v>0</v>
      </c>
      <c r="K480" s="44" cm="1">
        <f t="array" ref="K480">IF(D480="Gadget",_xlfn.IFS(I480&gt;=0.2,0.5,I480&gt;=0.1,0.35,I480&gt;=0.05,0.2,TRUE,0),IF(D480="Grenade",_xlfn.IFS(I480&gt;=0.2,1,I480&gt;=0.1,0.7,I480&gt;=0.05,0.4,TRUE,0),0))</f>
        <v>0</v>
      </c>
      <c r="L480" s="57">
        <f t="shared" si="147"/>
        <v>0</v>
      </c>
    </row>
    <row r="481" spans="1:12" ht="15" customHeight="1" x14ac:dyDescent="0.25">
      <c r="A481" s="42" t="str" cm="1">
        <f t="array" ref="A481">IFERROR(INDEX(_xlfn._xlws.FILTER(Class_Players!A:A,Class_Players!B:B="Recon"),QUOTIENT(ROW()-ROW($A$2),8)+1),"")</f>
        <v>Valdise</v>
      </c>
      <c r="B481" s="42" t="str">
        <f>_xlfn.XLOOKUP(A481,Class_Players!$A:$A,Class_Players!$B:$B,"")</f>
        <v>Recon</v>
      </c>
      <c r="C481" s="38" t="str" cm="1">
        <f t="array" ref="C481">INDEX(Lookups!$C$2:$C$9,MOD(ROW()-ROW($B$2),ROWS(Lookups!$C$2:$C$9))+1)</f>
        <v>Throwing Knife</v>
      </c>
      <c r="D481" s="38" t="str">
        <f>_xlfn.XLOOKUP(C481,Analysis_Gadgets!$C:$C,Analysis_Gadgets!$B:$B)</f>
        <v>Grenade</v>
      </c>
      <c r="E481" s="43">
        <v>2</v>
      </c>
      <c r="F481" s="43">
        <f>_xlfn.XLOOKUP(A481,Class_Players!A:A,Class_Players!G:G)</f>
        <v>132</v>
      </c>
      <c r="G481" s="43">
        <f t="shared" si="151"/>
        <v>1.5151515151515152E-2</v>
      </c>
      <c r="H481" s="43">
        <f>_xlfn.XLOOKUP(A481,Class_Players!$A:$A,Class_Players!$F:$F,"")</f>
        <v>6304</v>
      </c>
      <c r="I481" s="44">
        <f t="shared" si="152"/>
        <v>3.1725888324873094E-4</v>
      </c>
      <c r="J481" s="43">
        <f t="shared" si="153"/>
        <v>0</v>
      </c>
      <c r="K481" s="44" cm="1">
        <f t="array" ref="K481">IF(D481="Gadget",_xlfn.IFS(I481&gt;=0.2,0.5,I481&gt;=0.1,0.35,I481&gt;=0.05,0.2,TRUE,0),IF(D481="Grenade",_xlfn.IFS(I481&gt;=0.2,1,I481&gt;=0.1,0.7,I481&gt;=0.05,0.4,TRUE,0),0))</f>
        <v>0</v>
      </c>
      <c r="L481" s="57">
        <f t="shared" si="147"/>
        <v>0</v>
      </c>
    </row>
    <row r="482" spans="1:12" ht="15" customHeight="1" x14ac:dyDescent="0.25">
      <c r="A482" s="42" t="str" cm="1">
        <f t="array" ref="A482">IFERROR(INDEX(_xlfn._xlws.FILTER(Class_Players!A:A,Class_Players!B:B="Recon"),QUOTIENT(ROW()-ROW($A$2),8)+1),"")</f>
        <v>Duvdevan-1</v>
      </c>
      <c r="B482" s="42" t="str">
        <f>_xlfn.XLOOKUP(A482,Class_Players!$A:$A,Class_Players!$B:$B,"")</f>
        <v>Recon</v>
      </c>
      <c r="C482" s="38" t="str" cm="1">
        <f t="array" ref="C482">INDEX(Lookups!$C$2:$C$9,MOD(ROW()-ROW($B$2),ROWS(Lookups!$C$2:$C$9))+1)</f>
        <v>Laser Designator</v>
      </c>
      <c r="D482" s="38" t="str">
        <f>_xlfn.XLOOKUP(C482,Analysis_Gadgets!$C:$C,Analysis_Gadgets!$B:$B)</f>
        <v>Gadget</v>
      </c>
      <c r="E482" s="43">
        <v>73</v>
      </c>
      <c r="F482" s="43">
        <f>_xlfn.XLOOKUP(A482,Class_Players!A:A,Class_Players!G:G)</f>
        <v>120</v>
      </c>
      <c r="G482" s="43">
        <f t="shared" si="151"/>
        <v>0.60833333333333328</v>
      </c>
      <c r="H482" s="43">
        <f>_xlfn.XLOOKUP(A482,Class_Players!$A:$A,Class_Players!$F:$F,"")</f>
        <v>10480</v>
      </c>
      <c r="I482" s="44">
        <f t="shared" si="152"/>
        <v>6.9656488549618319E-3</v>
      </c>
      <c r="J482" s="43">
        <f t="shared" si="153"/>
        <v>0</v>
      </c>
      <c r="K482" s="44" cm="1">
        <f t="array" ref="K482">IF(D482="Gadget",_xlfn.IFS(I482&gt;=0.2,0.5,I482&gt;=0.1,0.35,I482&gt;=0.05,0.2,TRUE,0),IF(D482="Grenade",_xlfn.IFS(I482&gt;=0.2,1,I482&gt;=0.1,0.7,I482&gt;=0.05,0.4,TRUE,0),0))</f>
        <v>0</v>
      </c>
      <c r="L482" s="57">
        <f t="shared" si="146"/>
        <v>0</v>
      </c>
    </row>
    <row r="483" spans="1:12" ht="15" customHeight="1" x14ac:dyDescent="0.25">
      <c r="A483" s="42" t="str" cm="1">
        <f t="array" ref="A483">IFERROR(INDEX(_xlfn._xlws.FILTER(Class_Players!A:A,Class_Players!B:B="Recon"),QUOTIENT(ROW()-ROW($A$2),8)+1),"")</f>
        <v>Duvdevan-1</v>
      </c>
      <c r="B483" s="42" t="str">
        <f>_xlfn.XLOOKUP(A483,Class_Players!$A:$A,Class_Players!$B:$B,"")</f>
        <v>Recon</v>
      </c>
      <c r="C483" s="38" t="str" cm="1">
        <f t="array" ref="C483">INDEX(Lookups!$C$2:$C$9,MOD(ROW()-ROW($B$2),ROWS(Lookups!$C$2:$C$9))+1)</f>
        <v>Recon Drone</v>
      </c>
      <c r="D483" s="38" t="str">
        <f>_xlfn.XLOOKUP(C483,Analysis_Gadgets!$C:$C,Analysis_Gadgets!$B:$B)</f>
        <v>Gadget</v>
      </c>
      <c r="E483" s="43">
        <v>62</v>
      </c>
      <c r="F483" s="43">
        <f>_xlfn.XLOOKUP(A483,Class_Players!A:A,Class_Players!G:G)</f>
        <v>120</v>
      </c>
      <c r="G483" s="43">
        <f t="shared" si="151"/>
        <v>0.51666666666666672</v>
      </c>
      <c r="H483" s="43">
        <f>_xlfn.XLOOKUP(A483,Class_Players!$A:$A,Class_Players!$F:$F,"")</f>
        <v>10480</v>
      </c>
      <c r="I483" s="44">
        <f t="shared" si="152"/>
        <v>5.916030534351145E-3</v>
      </c>
      <c r="J483" s="43">
        <f t="shared" si="153"/>
        <v>0</v>
      </c>
      <c r="K483" s="44" cm="1">
        <f t="array" ref="K483">IF(D483="Gadget",_xlfn.IFS(I483&gt;=0.2,0.5,I483&gt;=0.1,0.35,I483&gt;=0.05,0.2,TRUE,0),IF(D483="Grenade",_xlfn.IFS(I483&gt;=0.2,1,I483&gt;=0.1,0.7,I483&gt;=0.05,0.4,TRUE,0),0))</f>
        <v>0</v>
      </c>
      <c r="L483" s="57">
        <f t="shared" si="146"/>
        <v>0</v>
      </c>
    </row>
    <row r="484" spans="1:12" ht="15" customHeight="1" x14ac:dyDescent="0.25">
      <c r="A484" s="42" t="str" cm="1">
        <f t="array" ref="A484">IFERROR(INDEX(_xlfn._xlws.FILTER(Class_Players!A:A,Class_Players!B:B="Recon"),QUOTIENT(ROW()-ROW($A$2),8)+1),"")</f>
        <v>Duvdevan-1</v>
      </c>
      <c r="B484" s="42" t="str">
        <f>_xlfn.XLOOKUP(A484,Class_Players!$A:$A,Class_Players!$B:$B,"")</f>
        <v>Recon</v>
      </c>
      <c r="C484" s="38" t="str" cm="1">
        <f t="array" ref="C484">INDEX(Lookups!$C$2:$C$9,MOD(ROW()-ROW($B$2),ROWS(Lookups!$C$2:$C$9))+1)</f>
        <v>Tracer Dart</v>
      </c>
      <c r="D484" s="38" t="str">
        <f>_xlfn.XLOOKUP(C484,Analysis_Gadgets!$C:$C,Analysis_Gadgets!$B:$B)</f>
        <v>Gadget</v>
      </c>
      <c r="E484" s="43">
        <v>45</v>
      </c>
      <c r="F484" s="43">
        <f>_xlfn.XLOOKUP(A484,Class_Players!A:A,Class_Players!G:G)</f>
        <v>120</v>
      </c>
      <c r="G484" s="43">
        <f t="shared" si="151"/>
        <v>0.375</v>
      </c>
      <c r="H484" s="43">
        <f>_xlfn.XLOOKUP(A484,Class_Players!$A:$A,Class_Players!$F:$F,"")</f>
        <v>10480</v>
      </c>
      <c r="I484" s="44">
        <f t="shared" si="152"/>
        <v>4.2938931297709926E-3</v>
      </c>
      <c r="J484" s="43">
        <f t="shared" si="153"/>
        <v>0</v>
      </c>
      <c r="K484" s="44" cm="1">
        <f t="array" ref="K484">IF(D484="Gadget",_xlfn.IFS(I484&gt;=0.2,0.5,I484&gt;=0.1,0.35,I484&gt;=0.05,0.2,TRUE,0),IF(D484="Grenade",_xlfn.IFS(I484&gt;=0.2,1,I484&gt;=0.1,0.7,I484&gt;=0.05,0.4,TRUE,0),0))</f>
        <v>0</v>
      </c>
      <c r="L484" s="57">
        <f t="shared" si="146"/>
        <v>0</v>
      </c>
    </row>
    <row r="485" spans="1:12" ht="15" customHeight="1" x14ac:dyDescent="0.25">
      <c r="A485" s="42" t="str" cm="1">
        <f t="array" ref="A485">IFERROR(INDEX(_xlfn._xlws.FILTER(Class_Players!A:A,Class_Players!B:B="Recon"),QUOTIENT(ROW()-ROW($A$2),8)+1),"")</f>
        <v>Duvdevan-1</v>
      </c>
      <c r="B485" s="42" t="str">
        <f>_xlfn.XLOOKUP(A485,Class_Players!$A:$A,Class_Players!$B:$B,"")</f>
        <v>Recon</v>
      </c>
      <c r="C485" s="38" t="str" cm="1">
        <f t="array" ref="C485">INDEX(Lookups!$C$2:$C$9,MOD(ROW()-ROW($B$2),ROWS(Lookups!$C$2:$C$9))+1)</f>
        <v>M18A1 (Claymore)</v>
      </c>
      <c r="D485" s="38" t="str">
        <f>_xlfn.XLOOKUP(C485,Analysis_Gadgets!$C:$C,Analysis_Gadgets!$B:$B)</f>
        <v>Gadget</v>
      </c>
      <c r="E485" s="43">
        <v>3081</v>
      </c>
      <c r="F485" s="43">
        <f>_xlfn.XLOOKUP(A485,Class_Players!A:A,Class_Players!G:G)</f>
        <v>120</v>
      </c>
      <c r="G485" s="43">
        <f t="shared" si="151"/>
        <v>25.675000000000001</v>
      </c>
      <c r="H485" s="43">
        <f>_xlfn.XLOOKUP(A485,Class_Players!$A:$A,Class_Players!$F:$F,"")</f>
        <v>10480</v>
      </c>
      <c r="I485" s="44">
        <f t="shared" si="152"/>
        <v>0.2939885496183206</v>
      </c>
      <c r="J485" s="43">
        <f t="shared" si="153"/>
        <v>1</v>
      </c>
      <c r="K485" s="44" cm="1">
        <f t="array" ref="K485">IF(D485="Gadget",_xlfn.IFS(I485&gt;=0.2,0.5,I485&gt;=0.1,0.35,I485&gt;=0.05,0.2,TRUE,0),IF(D485="Grenade",_xlfn.IFS(I485&gt;=0.2,1,I485&gt;=0.1,0.7,I485&gt;=0.05,0.4,TRUE,0),0))</f>
        <v>0.5</v>
      </c>
      <c r="L485" s="57">
        <f t="shared" si="146"/>
        <v>0.5</v>
      </c>
    </row>
    <row r="486" spans="1:12" ht="15" customHeight="1" x14ac:dyDescent="0.25">
      <c r="A486" s="42" t="str" cm="1">
        <f t="array" ref="A486">IFERROR(INDEX(_xlfn._xlws.FILTER(Class_Players!A:A,Class_Players!B:B="Recon"),QUOTIENT(ROW()-ROW($A$2),8)+1),"")</f>
        <v>Duvdevan-1</v>
      </c>
      <c r="B486" s="42" t="str">
        <f>_xlfn.XLOOKUP(A486,Class_Players!$A:$A,Class_Players!$B:$B,"")</f>
        <v>Recon</v>
      </c>
      <c r="C486" s="38" t="str" cm="1">
        <f t="array" ref="C486">INDEX(Lookups!$C$2:$C$9,MOD(ROW()-ROW($B$2),ROWS(Lookups!$C$2:$C$9))+1)</f>
        <v>Sniper Decoy</v>
      </c>
      <c r="D486" s="38" t="str">
        <f>_xlfn.XLOOKUP(C486,Analysis_Gadgets!$C:$C,Analysis_Gadgets!$B:$B)</f>
        <v>Gadget</v>
      </c>
      <c r="E486" s="43">
        <v>8</v>
      </c>
      <c r="F486" s="43">
        <f>_xlfn.XLOOKUP(A486,Class_Players!A:A,Class_Players!G:G)</f>
        <v>120</v>
      </c>
      <c r="G486" s="43">
        <f t="shared" si="151"/>
        <v>6.6666666666666666E-2</v>
      </c>
      <c r="H486" s="43">
        <f>_xlfn.XLOOKUP(A486,Class_Players!$A:$A,Class_Players!$F:$F,"")</f>
        <v>10480</v>
      </c>
      <c r="I486" s="44">
        <f t="shared" si="152"/>
        <v>7.6335877862595419E-4</v>
      </c>
      <c r="J486" s="43">
        <f t="shared" si="153"/>
        <v>0</v>
      </c>
      <c r="K486" s="44" cm="1">
        <f t="array" ref="K486">IF(D486="Gadget",_xlfn.IFS(I486&gt;=0.2,0.5,I486&gt;=0.1,0.35,I486&gt;=0.05,0.2,TRUE,0),IF(D486="Grenade",_xlfn.IFS(I486&gt;=0.2,1,I486&gt;=0.1,0.7,I486&gt;=0.05,0.4,TRUE,0),0))</f>
        <v>0</v>
      </c>
      <c r="L486" s="57">
        <f t="shared" si="146"/>
        <v>0</v>
      </c>
    </row>
    <row r="487" spans="1:12" ht="15" customHeight="1" x14ac:dyDescent="0.25">
      <c r="A487" s="42" t="str" cm="1">
        <f t="array" ref="A487">IFERROR(INDEX(_xlfn._xlws.FILTER(Class_Players!A:A,Class_Players!B:B="Recon"),QUOTIENT(ROW()-ROW($A$2),8)+1),"")</f>
        <v>Duvdevan-1</v>
      </c>
      <c r="B487" s="42" t="str">
        <f>_xlfn.XLOOKUP(A487,Class_Players!$A:$A,Class_Players!$B:$B,"")</f>
        <v>Recon</v>
      </c>
      <c r="C487" s="38" t="str" cm="1">
        <f t="array" ref="C487">INDEX(Lookups!$C$2:$C$9,MOD(ROW()-ROW($B$2),ROWS(Lookups!$C$2:$C$9))+1)</f>
        <v>C-4 Explosives</v>
      </c>
      <c r="D487" s="38" t="str">
        <f>_xlfn.XLOOKUP(C487,Analysis_Gadgets!$C:$C,Analysis_Gadgets!$B:$B)</f>
        <v>Gadget</v>
      </c>
      <c r="E487" s="43">
        <v>4254</v>
      </c>
      <c r="F487" s="43">
        <f>_xlfn.XLOOKUP(A487,Class_Players!A:A,Class_Players!G:G)</f>
        <v>120</v>
      </c>
      <c r="G487" s="43">
        <f t="shared" si="151"/>
        <v>35.450000000000003</v>
      </c>
      <c r="H487" s="43">
        <f>_xlfn.XLOOKUP(A487,Class_Players!$A:$A,Class_Players!$F:$F,"")</f>
        <v>10480</v>
      </c>
      <c r="I487" s="44">
        <f t="shared" si="152"/>
        <v>0.40591603053435116</v>
      </c>
      <c r="J487" s="43">
        <f t="shared" si="153"/>
        <v>1</v>
      </c>
      <c r="K487" s="44" cm="1">
        <f t="array" ref="K487">IF(D487="Gadget",_xlfn.IFS(I487&gt;=0.2,0.5,I487&gt;=0.1,0.35,I487&gt;=0.05,0.2,TRUE,0),IF(D487="Grenade",_xlfn.IFS(I487&gt;=0.2,1,I487&gt;=0.1,0.7,I487&gt;=0.05,0.4,TRUE,0),0))</f>
        <v>0.5</v>
      </c>
      <c r="L487" s="57">
        <f t="shared" si="146"/>
        <v>0.5</v>
      </c>
    </row>
    <row r="488" spans="1:12" ht="15" customHeight="1" x14ac:dyDescent="0.25">
      <c r="A488" s="42" t="str" cm="1">
        <f t="array" ref="A488">IFERROR(INDEX(_xlfn._xlws.FILTER(Class_Players!A:A,Class_Players!B:B="Recon"),QUOTIENT(ROW()-ROW($A$2),8)+1),"")</f>
        <v>Duvdevan-1</v>
      </c>
      <c r="B488" s="42" t="str">
        <f>_xlfn.XLOOKUP(A488,Class_Players!$A:$A,Class_Players!$B:$B,"")</f>
        <v>Recon</v>
      </c>
      <c r="C488" s="38" t="str" cm="1">
        <f t="array" ref="C488">INDEX(Lookups!$C$2:$C$9,MOD(ROW()-ROW($B$2),ROWS(Lookups!$C$2:$C$9))+1)</f>
        <v>Proximity Detector</v>
      </c>
      <c r="D488" s="38" t="str">
        <f>_xlfn.XLOOKUP(C488,Analysis_Gadgets!$C:$C,Analysis_Gadgets!$B:$B)</f>
        <v>Grenade</v>
      </c>
      <c r="E488" s="43">
        <v>71</v>
      </c>
      <c r="F488" s="43">
        <f>_xlfn.XLOOKUP(A488,Class_Players!A:A,Class_Players!G:G)</f>
        <v>120</v>
      </c>
      <c r="G488" s="43">
        <f t="shared" si="151"/>
        <v>0.59166666666666667</v>
      </c>
      <c r="H488" s="43">
        <f>_xlfn.XLOOKUP(A488,Class_Players!$A:$A,Class_Players!$F:$F,"")</f>
        <v>10480</v>
      </c>
      <c r="I488" s="44">
        <f t="shared" si="152"/>
        <v>6.7748091603053433E-3</v>
      </c>
      <c r="J488" s="43">
        <f t="shared" si="153"/>
        <v>0</v>
      </c>
      <c r="K488" s="44" cm="1">
        <f t="array" ref="K488">IF(D488="Gadget",_xlfn.IFS(I488&gt;=0.2,0.5,I488&gt;=0.1,0.35,I488&gt;=0.05,0.2,TRUE,0),IF(D488="Grenade",_xlfn.IFS(I488&gt;=0.2,1,I488&gt;=0.1,0.7,I488&gt;=0.05,0.4,TRUE,0),0))</f>
        <v>0</v>
      </c>
      <c r="L488" s="57">
        <f t="shared" si="147"/>
        <v>0</v>
      </c>
    </row>
    <row r="489" spans="1:12" ht="15" customHeight="1" x14ac:dyDescent="0.25">
      <c r="A489" s="42" t="str" cm="1">
        <f t="array" ref="A489">IFERROR(INDEX(_xlfn._xlws.FILTER(Class_Players!A:A,Class_Players!B:B="Recon"),QUOTIENT(ROW()-ROW($A$2),8)+1),"")</f>
        <v>Duvdevan-1</v>
      </c>
      <c r="B489" s="42" t="str">
        <f>_xlfn.XLOOKUP(A489,Class_Players!$A:$A,Class_Players!$B:$B,"")</f>
        <v>Recon</v>
      </c>
      <c r="C489" s="38" t="str" cm="1">
        <f t="array" ref="C489">INDEX(Lookups!$C$2:$C$9,MOD(ROW()-ROW($B$2),ROWS(Lookups!$C$2:$C$9))+1)</f>
        <v>Throwing Knife</v>
      </c>
      <c r="D489" s="38" t="str">
        <f>_xlfn.XLOOKUP(C489,Analysis_Gadgets!$C:$C,Analysis_Gadgets!$B:$B)</f>
        <v>Grenade</v>
      </c>
      <c r="E489" s="43">
        <v>0</v>
      </c>
      <c r="F489" s="43">
        <f>_xlfn.XLOOKUP(A489,Class_Players!A:A,Class_Players!G:G)</f>
        <v>120</v>
      </c>
      <c r="G489" s="43">
        <f t="shared" si="151"/>
        <v>0</v>
      </c>
      <c r="H489" s="43">
        <f>_xlfn.XLOOKUP(A489,Class_Players!$A:$A,Class_Players!$F:$F,"")</f>
        <v>10480</v>
      </c>
      <c r="I489" s="44">
        <f t="shared" si="152"/>
        <v>0</v>
      </c>
      <c r="J489" s="43">
        <f t="shared" si="153"/>
        <v>0</v>
      </c>
      <c r="K489" s="44" cm="1">
        <f t="array" ref="K489">IF(D489="Gadget",_xlfn.IFS(I489&gt;=0.2,0.5,I489&gt;=0.1,0.35,I489&gt;=0.05,0.2,TRUE,0),IF(D489="Grenade",_xlfn.IFS(I489&gt;=0.2,1,I489&gt;=0.1,0.7,I489&gt;=0.05,0.4,TRUE,0),0))</f>
        <v>0</v>
      </c>
      <c r="L489" s="57">
        <f t="shared" si="147"/>
        <v>0</v>
      </c>
    </row>
    <row r="490" spans="1:12" ht="15" customHeight="1" x14ac:dyDescent="0.25">
      <c r="A490" s="42" t="str" cm="1">
        <f t="array" ref="A490">IFERROR(INDEX(_xlfn._xlws.FILTER(Class_Players!A:A,Class_Players!B:B="Recon"),QUOTIENT(ROW()-ROW($A$2),8)+1),"")</f>
        <v>Taojie-117</v>
      </c>
      <c r="B490" s="42" t="str">
        <f>_xlfn.XLOOKUP(A490,Class_Players!$A:$A,Class_Players!$B:$B,"")</f>
        <v>Recon</v>
      </c>
      <c r="C490" s="38" t="str" cm="1">
        <f t="array" ref="C490">INDEX(Lookups!$C$2:$C$9,MOD(ROW()-ROW($B$2),ROWS(Lookups!$C$2:$C$9))+1)</f>
        <v>Laser Designator</v>
      </c>
      <c r="D490" s="38" t="str">
        <f>_xlfn.XLOOKUP(C490,Analysis_Gadgets!$C:$C,Analysis_Gadgets!$B:$B)</f>
        <v>Gadget</v>
      </c>
      <c r="E490" s="43">
        <v>189</v>
      </c>
      <c r="F490" s="43">
        <f>_xlfn.XLOOKUP(A490,Class_Players!A:A,Class_Players!G:G)</f>
        <v>111</v>
      </c>
      <c r="G490" s="43">
        <f t="shared" si="151"/>
        <v>1.7027027027027026</v>
      </c>
      <c r="H490" s="43">
        <f>_xlfn.XLOOKUP(A490,Class_Players!$A:$A,Class_Players!$F:$F,"")</f>
        <v>6681</v>
      </c>
      <c r="I490" s="44">
        <f t="shared" si="152"/>
        <v>2.8289178266726538E-2</v>
      </c>
      <c r="J490" s="43">
        <f t="shared" si="153"/>
        <v>0</v>
      </c>
      <c r="K490" s="44" cm="1">
        <f t="array" ref="K490">IF(D490="Gadget",_xlfn.IFS(I490&gt;=0.2,0.5,I490&gt;=0.1,0.35,I490&gt;=0.05,0.2,TRUE,0),IF(D490="Grenade",_xlfn.IFS(I490&gt;=0.2,1,I490&gt;=0.1,0.7,I490&gt;=0.05,0.4,TRUE,0),0))</f>
        <v>0</v>
      </c>
      <c r="L490" s="57">
        <f t="shared" si="146"/>
        <v>0</v>
      </c>
    </row>
    <row r="491" spans="1:12" ht="15" customHeight="1" x14ac:dyDescent="0.25">
      <c r="A491" s="42" t="str" cm="1">
        <f t="array" ref="A491">IFERROR(INDEX(_xlfn._xlws.FILTER(Class_Players!A:A,Class_Players!B:B="Recon"),QUOTIENT(ROW()-ROW($A$2),8)+1),"")</f>
        <v>Taojie-117</v>
      </c>
      <c r="B491" s="42" t="str">
        <f>_xlfn.XLOOKUP(A491,Class_Players!$A:$A,Class_Players!$B:$B,"")</f>
        <v>Recon</v>
      </c>
      <c r="C491" s="38" t="str" cm="1">
        <f t="array" ref="C491">INDEX(Lookups!$C$2:$C$9,MOD(ROW()-ROW($B$2),ROWS(Lookups!$C$2:$C$9))+1)</f>
        <v>Recon Drone</v>
      </c>
      <c r="D491" s="38" t="str">
        <f>_xlfn.XLOOKUP(C491,Analysis_Gadgets!$C:$C,Analysis_Gadgets!$B:$B)</f>
        <v>Gadget</v>
      </c>
      <c r="E491" s="43">
        <v>199</v>
      </c>
      <c r="F491" s="43">
        <f>_xlfn.XLOOKUP(A491,Class_Players!A:A,Class_Players!G:G)</f>
        <v>111</v>
      </c>
      <c r="G491" s="43">
        <f t="shared" si="151"/>
        <v>1.7927927927927927</v>
      </c>
      <c r="H491" s="43">
        <f>_xlfn.XLOOKUP(A491,Class_Players!$A:$A,Class_Players!$F:$F,"")</f>
        <v>6681</v>
      </c>
      <c r="I491" s="44">
        <f t="shared" si="152"/>
        <v>2.9785960185600958E-2</v>
      </c>
      <c r="J491" s="43">
        <f t="shared" si="153"/>
        <v>0</v>
      </c>
      <c r="K491" s="44" cm="1">
        <f t="array" ref="K491">IF(D491="Gadget",_xlfn.IFS(I491&gt;=0.2,0.5,I491&gt;=0.1,0.35,I491&gt;=0.05,0.2,TRUE,0),IF(D491="Grenade",_xlfn.IFS(I491&gt;=0.2,1,I491&gt;=0.1,0.7,I491&gt;=0.05,0.4,TRUE,0),0))</f>
        <v>0</v>
      </c>
      <c r="L491" s="57">
        <f t="shared" si="146"/>
        <v>0</v>
      </c>
    </row>
    <row r="492" spans="1:12" ht="15" customHeight="1" x14ac:dyDescent="0.25">
      <c r="A492" s="42" t="str" cm="1">
        <f t="array" ref="A492">IFERROR(INDEX(_xlfn._xlws.FILTER(Class_Players!A:A,Class_Players!B:B="Recon"),QUOTIENT(ROW()-ROW($A$2),8)+1),"")</f>
        <v>Taojie-117</v>
      </c>
      <c r="B492" s="42" t="str">
        <f>_xlfn.XLOOKUP(A492,Class_Players!$A:$A,Class_Players!$B:$B,"")</f>
        <v>Recon</v>
      </c>
      <c r="C492" s="38" t="str" cm="1">
        <f t="array" ref="C492">INDEX(Lookups!$C$2:$C$9,MOD(ROW()-ROW($B$2),ROWS(Lookups!$C$2:$C$9))+1)</f>
        <v>Tracer Dart</v>
      </c>
      <c r="D492" s="38" t="str">
        <f>_xlfn.XLOOKUP(C492,Analysis_Gadgets!$C:$C,Analysis_Gadgets!$B:$B)</f>
        <v>Gadget</v>
      </c>
      <c r="E492" s="43">
        <v>0</v>
      </c>
      <c r="F492" s="43">
        <f>_xlfn.XLOOKUP(A492,Class_Players!A:A,Class_Players!G:G)</f>
        <v>111</v>
      </c>
      <c r="G492" s="43">
        <f t="shared" si="151"/>
        <v>0</v>
      </c>
      <c r="H492" s="43">
        <f>_xlfn.XLOOKUP(A492,Class_Players!$A:$A,Class_Players!$F:$F,"")</f>
        <v>6681</v>
      </c>
      <c r="I492" s="44">
        <f t="shared" si="152"/>
        <v>0</v>
      </c>
      <c r="J492" s="43">
        <f t="shared" si="153"/>
        <v>0</v>
      </c>
      <c r="K492" s="44" cm="1">
        <f t="array" ref="K492">IF(D492="Gadget",_xlfn.IFS(I492&gt;=0.2,0.5,I492&gt;=0.1,0.35,I492&gt;=0.05,0.2,TRUE,0),IF(D492="Grenade",_xlfn.IFS(I492&gt;=0.2,1,I492&gt;=0.1,0.7,I492&gt;=0.05,0.4,TRUE,0),0))</f>
        <v>0</v>
      </c>
      <c r="L492" s="57">
        <f t="shared" si="146"/>
        <v>0</v>
      </c>
    </row>
    <row r="493" spans="1:12" ht="15" customHeight="1" x14ac:dyDescent="0.25">
      <c r="A493" s="42" t="str" cm="1">
        <f t="array" ref="A493">IFERROR(INDEX(_xlfn._xlws.FILTER(Class_Players!A:A,Class_Players!B:B="Recon"),QUOTIENT(ROW()-ROW($A$2),8)+1),"")</f>
        <v>Taojie-117</v>
      </c>
      <c r="B493" s="42" t="str">
        <f>_xlfn.XLOOKUP(A493,Class_Players!$A:$A,Class_Players!$B:$B,"")</f>
        <v>Recon</v>
      </c>
      <c r="C493" s="38" t="str" cm="1">
        <f t="array" ref="C493">INDEX(Lookups!$C$2:$C$9,MOD(ROW()-ROW($B$2),ROWS(Lookups!$C$2:$C$9))+1)</f>
        <v>M18A1 (Claymore)</v>
      </c>
      <c r="D493" s="38" t="str">
        <f>_xlfn.XLOOKUP(C493,Analysis_Gadgets!$C:$C,Analysis_Gadgets!$B:$B)</f>
        <v>Gadget</v>
      </c>
      <c r="E493" s="43">
        <v>3658</v>
      </c>
      <c r="F493" s="43">
        <f>_xlfn.XLOOKUP(A493,Class_Players!A:A,Class_Players!G:G)</f>
        <v>111</v>
      </c>
      <c r="G493" s="43">
        <f t="shared" si="151"/>
        <v>32.954954954954957</v>
      </c>
      <c r="H493" s="43">
        <f>_xlfn.XLOOKUP(A493,Class_Players!$A:$A,Class_Players!$F:$F,"")</f>
        <v>6681</v>
      </c>
      <c r="I493" s="44">
        <f t="shared" si="152"/>
        <v>0.54752282592426282</v>
      </c>
      <c r="J493" s="43">
        <f t="shared" si="153"/>
        <v>1</v>
      </c>
      <c r="K493" s="44" cm="1">
        <f t="array" ref="K493">IF(D493="Gadget",_xlfn.IFS(I493&gt;=0.2,0.5,I493&gt;=0.1,0.35,I493&gt;=0.05,0.2,TRUE,0),IF(D493="Grenade",_xlfn.IFS(I493&gt;=0.2,1,I493&gt;=0.1,0.7,I493&gt;=0.05,0.4,TRUE,0),0))</f>
        <v>0.5</v>
      </c>
      <c r="L493" s="57">
        <f t="shared" si="146"/>
        <v>0.58823529411764708</v>
      </c>
    </row>
    <row r="494" spans="1:12" ht="15" customHeight="1" x14ac:dyDescent="0.25">
      <c r="A494" s="42" t="str" cm="1">
        <f t="array" ref="A494">IFERROR(INDEX(_xlfn._xlws.FILTER(Class_Players!A:A,Class_Players!B:B="Recon"),QUOTIENT(ROW()-ROW($A$2),8)+1),"")</f>
        <v>Taojie-117</v>
      </c>
      <c r="B494" s="42" t="str">
        <f>_xlfn.XLOOKUP(A494,Class_Players!$A:$A,Class_Players!$B:$B,"")</f>
        <v>Recon</v>
      </c>
      <c r="C494" s="38" t="str" cm="1">
        <f t="array" ref="C494">INDEX(Lookups!$C$2:$C$9,MOD(ROW()-ROW($B$2),ROWS(Lookups!$C$2:$C$9))+1)</f>
        <v>Sniper Decoy</v>
      </c>
      <c r="D494" s="38" t="str">
        <f>_xlfn.XLOOKUP(C494,Analysis_Gadgets!$C:$C,Analysis_Gadgets!$B:$B)</f>
        <v>Gadget</v>
      </c>
      <c r="E494" s="43">
        <v>30</v>
      </c>
      <c r="F494" s="43">
        <f>_xlfn.XLOOKUP(A494,Class_Players!A:A,Class_Players!G:G)</f>
        <v>111</v>
      </c>
      <c r="G494" s="43">
        <f t="shared" si="151"/>
        <v>0.27027027027027029</v>
      </c>
      <c r="H494" s="43">
        <f>_xlfn.XLOOKUP(A494,Class_Players!$A:$A,Class_Players!$F:$F,"")</f>
        <v>6681</v>
      </c>
      <c r="I494" s="44">
        <f t="shared" si="152"/>
        <v>4.4903457566232603E-3</v>
      </c>
      <c r="J494" s="43">
        <f t="shared" si="153"/>
        <v>0</v>
      </c>
      <c r="K494" s="44" cm="1">
        <f t="array" ref="K494">IF(D494="Gadget",_xlfn.IFS(I494&gt;=0.2,0.5,I494&gt;=0.1,0.35,I494&gt;=0.05,0.2,TRUE,0),IF(D494="Grenade",_xlfn.IFS(I494&gt;=0.2,1,I494&gt;=0.1,0.7,I494&gt;=0.05,0.4,TRUE,0),0))</f>
        <v>0</v>
      </c>
      <c r="L494" s="57">
        <f t="shared" si="146"/>
        <v>0</v>
      </c>
    </row>
    <row r="495" spans="1:12" ht="15" customHeight="1" x14ac:dyDescent="0.25">
      <c r="A495" s="42" t="str" cm="1">
        <f t="array" ref="A495">IFERROR(INDEX(_xlfn._xlws.FILTER(Class_Players!A:A,Class_Players!B:B="Recon"),QUOTIENT(ROW()-ROW($A$2),8)+1),"")</f>
        <v>Taojie-117</v>
      </c>
      <c r="B495" s="42" t="str">
        <f>_xlfn.XLOOKUP(A495,Class_Players!$A:$A,Class_Players!$B:$B,"")</f>
        <v>Recon</v>
      </c>
      <c r="C495" s="38" t="str" cm="1">
        <f t="array" ref="C495">INDEX(Lookups!$C$2:$C$9,MOD(ROW()-ROW($B$2),ROWS(Lookups!$C$2:$C$9))+1)</f>
        <v>C-4 Explosives</v>
      </c>
      <c r="D495" s="38" t="str">
        <f>_xlfn.XLOOKUP(C495,Analysis_Gadgets!$C:$C,Analysis_Gadgets!$B:$B)</f>
        <v>Gadget</v>
      </c>
      <c r="E495" s="43">
        <v>1253</v>
      </c>
      <c r="F495" s="43">
        <f>_xlfn.XLOOKUP(A495,Class_Players!A:A,Class_Players!G:G)</f>
        <v>111</v>
      </c>
      <c r="G495" s="43">
        <f t="shared" si="151"/>
        <v>11.288288288288289</v>
      </c>
      <c r="H495" s="43">
        <f>_xlfn.XLOOKUP(A495,Class_Players!$A:$A,Class_Players!$F:$F,"")</f>
        <v>6681</v>
      </c>
      <c r="I495" s="44">
        <f t="shared" si="152"/>
        <v>0.18754677443496481</v>
      </c>
      <c r="J495" s="43">
        <f t="shared" si="153"/>
        <v>1</v>
      </c>
      <c r="K495" s="44" cm="1">
        <f t="array" ref="K495">IF(D495="Gadget",_xlfn.IFS(I495&gt;=0.2,0.5,I495&gt;=0.1,0.35,I495&gt;=0.05,0.2,TRUE,0),IF(D495="Grenade",_xlfn.IFS(I495&gt;=0.2,1,I495&gt;=0.1,0.7,I495&gt;=0.05,0.4,TRUE,0),0))</f>
        <v>0.35</v>
      </c>
      <c r="L495" s="57">
        <f t="shared" si="146"/>
        <v>0.41176470588235292</v>
      </c>
    </row>
    <row r="496" spans="1:12" ht="15" customHeight="1" x14ac:dyDescent="0.25">
      <c r="A496" s="42" t="str" cm="1">
        <f t="array" ref="A496">IFERROR(INDEX(_xlfn._xlws.FILTER(Class_Players!A:A,Class_Players!B:B="Recon"),QUOTIENT(ROW()-ROW($A$2),8)+1),"")</f>
        <v>Taojie-117</v>
      </c>
      <c r="B496" s="42" t="str">
        <f>_xlfn.XLOOKUP(A496,Class_Players!$A:$A,Class_Players!$B:$B,"")</f>
        <v>Recon</v>
      </c>
      <c r="C496" s="38" t="str" cm="1">
        <f t="array" ref="C496">INDEX(Lookups!$C$2:$C$9,MOD(ROW()-ROW($B$2),ROWS(Lookups!$C$2:$C$9))+1)</f>
        <v>Proximity Detector</v>
      </c>
      <c r="D496" s="38" t="str">
        <f>_xlfn.XLOOKUP(C496,Analysis_Gadgets!$C:$C,Analysis_Gadgets!$B:$B)</f>
        <v>Grenade</v>
      </c>
      <c r="E496" s="43">
        <v>24</v>
      </c>
      <c r="F496" s="43">
        <f>_xlfn.XLOOKUP(A496,Class_Players!A:A,Class_Players!G:G)</f>
        <v>111</v>
      </c>
      <c r="G496" s="43">
        <f t="shared" si="151"/>
        <v>0.21621621621621623</v>
      </c>
      <c r="H496" s="43">
        <f>_xlfn.XLOOKUP(A496,Class_Players!$A:$A,Class_Players!$F:$F,"")</f>
        <v>6681</v>
      </c>
      <c r="I496" s="44">
        <f t="shared" si="152"/>
        <v>3.5922766052986078E-3</v>
      </c>
      <c r="J496" s="43">
        <f t="shared" si="153"/>
        <v>0</v>
      </c>
      <c r="K496" s="44" cm="1">
        <f t="array" ref="K496">IF(D496="Gadget",_xlfn.IFS(I496&gt;=0.2,0.5,I496&gt;=0.1,0.35,I496&gt;=0.05,0.2,TRUE,0),IF(D496="Grenade",_xlfn.IFS(I496&gt;=0.2,1,I496&gt;=0.1,0.7,I496&gt;=0.05,0.4,TRUE,0),0))</f>
        <v>0</v>
      </c>
      <c r="L496" s="57">
        <f t="shared" ref="L496:L497" si="154">IF($K496=0,0,$K496 / SUMIFS($K:$K,$A:$A,$A496,$D:$D,"Grenade"))</f>
        <v>0</v>
      </c>
    </row>
    <row r="497" spans="1:12" ht="15" customHeight="1" x14ac:dyDescent="0.25">
      <c r="A497" s="42" t="str" cm="1">
        <f t="array" ref="A497">IFERROR(INDEX(_xlfn._xlws.FILTER(Class_Players!A:A,Class_Players!B:B="Recon"),QUOTIENT(ROW()-ROW($A$2),8)+1),"")</f>
        <v>Taojie-117</v>
      </c>
      <c r="B497" s="42" t="str">
        <f>_xlfn.XLOOKUP(A497,Class_Players!$A:$A,Class_Players!$B:$B,"")</f>
        <v>Recon</v>
      </c>
      <c r="C497" s="38" t="str" cm="1">
        <f t="array" ref="C497">INDEX(Lookups!$C$2:$C$9,MOD(ROW()-ROW($B$2),ROWS(Lookups!$C$2:$C$9))+1)</f>
        <v>Throwing Knife</v>
      </c>
      <c r="D497" s="38" t="str">
        <f>_xlfn.XLOOKUP(C497,Analysis_Gadgets!$C:$C,Analysis_Gadgets!$B:$B)</f>
        <v>Grenade</v>
      </c>
      <c r="E497" s="43">
        <v>0</v>
      </c>
      <c r="F497" s="43">
        <f>_xlfn.XLOOKUP(A497,Class_Players!A:A,Class_Players!G:G)</f>
        <v>111</v>
      </c>
      <c r="G497" s="43">
        <f t="shared" si="151"/>
        <v>0</v>
      </c>
      <c r="H497" s="43">
        <f>_xlfn.XLOOKUP(A497,Class_Players!$A:$A,Class_Players!$F:$F,"")</f>
        <v>6681</v>
      </c>
      <c r="I497" s="44">
        <f t="shared" si="152"/>
        <v>0</v>
      </c>
      <c r="J497" s="43">
        <f t="shared" si="153"/>
        <v>0</v>
      </c>
      <c r="K497" s="44" cm="1">
        <f t="array" ref="K497">IF(D497="Gadget",_xlfn.IFS(I497&gt;=0.2,0.5,I497&gt;=0.1,0.35,I497&gt;=0.05,0.2,TRUE,0),IF(D497="Grenade",_xlfn.IFS(I497&gt;=0.2,1,I497&gt;=0.1,0.7,I497&gt;=0.05,0.4,TRUE,0),0))</f>
        <v>0</v>
      </c>
      <c r="L497" s="57">
        <f t="shared" si="154"/>
        <v>0</v>
      </c>
    </row>
    <row r="498" spans="1:12" ht="15" customHeight="1" x14ac:dyDescent="0.25">
      <c r="A498" s="42" t="str" cm="1">
        <f t="array" ref="A498">IFERROR(INDEX(_xlfn._xlws.FILTER(Class_Players!A:A,Class_Players!B:B="Recon"),QUOTIENT(ROW()-ROW($A$2),8)+1),"")</f>
        <v>LandingSupport</v>
      </c>
      <c r="B498" s="42" t="str">
        <f>_xlfn.XLOOKUP(A498,Class_Players!$A:$A,Class_Players!$B:$B,"")</f>
        <v>Recon</v>
      </c>
      <c r="C498" s="38" t="str" cm="1">
        <f t="array" ref="C498">INDEX(Lookups!$C$2:$C$9,MOD(ROW()-ROW($B$2),ROWS(Lookups!$C$2:$C$9))+1)</f>
        <v>Laser Designator</v>
      </c>
      <c r="D498" s="38" t="str">
        <f>_xlfn.XLOOKUP(C498,Analysis_Gadgets!$C:$C,Analysis_Gadgets!$B:$B)</f>
        <v>Gadget</v>
      </c>
      <c r="E498" s="43">
        <v>364</v>
      </c>
      <c r="F498" s="43">
        <f>_xlfn.XLOOKUP(A498,Class_Players!A:A,Class_Players!G:G)</f>
        <v>154</v>
      </c>
      <c r="G498" s="43">
        <f t="shared" si="151"/>
        <v>2.3636363636363638</v>
      </c>
      <c r="H498" s="43">
        <f>_xlfn.XLOOKUP(A498,Class_Players!$A:$A,Class_Players!$F:$F,"")</f>
        <v>7180</v>
      </c>
      <c r="I498" s="44">
        <f t="shared" si="152"/>
        <v>5.0696378830083565E-2</v>
      </c>
      <c r="J498" s="43">
        <f t="shared" si="153"/>
        <v>0</v>
      </c>
      <c r="K498" s="44" cm="1">
        <f t="array" ref="K498">IF(D498="Gadget",_xlfn.IFS(I498&gt;=0.2,0.5,I498&gt;=0.1,0.35,I498&gt;=0.05,0.2,TRUE,0),IF(D498="Grenade",_xlfn.IFS(I498&gt;=0.2,1,I498&gt;=0.1,0.7,I498&gt;=0.05,0.4,TRUE,0),0))</f>
        <v>0.2</v>
      </c>
      <c r="L498" s="57">
        <f t="shared" ref="L498:L503" si="155">IF($K498=0,0,$K498 / SUMIFS($K:$K,$A:$A,$A498,$D:$D,"Gadget"))</f>
        <v>0.19047619047619052</v>
      </c>
    </row>
    <row r="499" spans="1:12" ht="15" customHeight="1" x14ac:dyDescent="0.25">
      <c r="A499" s="42" t="str" cm="1">
        <f t="array" ref="A499">IFERROR(INDEX(_xlfn._xlws.FILTER(Class_Players!A:A,Class_Players!B:B="Recon"),QUOTIENT(ROW()-ROW($A$2),8)+1),"")</f>
        <v>LandingSupport</v>
      </c>
      <c r="B499" s="42" t="str">
        <f>_xlfn.XLOOKUP(A499,Class_Players!$A:$A,Class_Players!$B:$B,"")</f>
        <v>Recon</v>
      </c>
      <c r="C499" s="38" t="str" cm="1">
        <f t="array" ref="C499">INDEX(Lookups!$C$2:$C$9,MOD(ROW()-ROW($B$2),ROWS(Lookups!$C$2:$C$9))+1)</f>
        <v>Recon Drone</v>
      </c>
      <c r="D499" s="38" t="str">
        <f>_xlfn.XLOOKUP(C499,Analysis_Gadgets!$C:$C,Analysis_Gadgets!$B:$B)</f>
        <v>Gadget</v>
      </c>
      <c r="E499" s="43">
        <v>138</v>
      </c>
      <c r="F499" s="43">
        <f>_xlfn.XLOOKUP(A499,Class_Players!A:A,Class_Players!G:G)</f>
        <v>154</v>
      </c>
      <c r="G499" s="43">
        <f t="shared" si="151"/>
        <v>0.89610389610389607</v>
      </c>
      <c r="H499" s="43">
        <f>_xlfn.XLOOKUP(A499,Class_Players!$A:$A,Class_Players!$F:$F,"")</f>
        <v>7180</v>
      </c>
      <c r="I499" s="44">
        <f t="shared" si="152"/>
        <v>1.9220055710306407E-2</v>
      </c>
      <c r="J499" s="43">
        <f t="shared" si="153"/>
        <v>0</v>
      </c>
      <c r="K499" s="44" cm="1">
        <f t="array" ref="K499">IF(D499="Gadget",_xlfn.IFS(I499&gt;=0.2,0.5,I499&gt;=0.1,0.35,I499&gt;=0.05,0.2,TRUE,0),IF(D499="Grenade",_xlfn.IFS(I499&gt;=0.2,1,I499&gt;=0.1,0.7,I499&gt;=0.05,0.4,TRUE,0),0))</f>
        <v>0</v>
      </c>
      <c r="L499" s="57">
        <f t="shared" si="155"/>
        <v>0</v>
      </c>
    </row>
    <row r="500" spans="1:12" ht="15" customHeight="1" x14ac:dyDescent="0.25">
      <c r="A500" s="42" t="str" cm="1">
        <f t="array" ref="A500">IFERROR(INDEX(_xlfn._xlws.FILTER(Class_Players!A:A,Class_Players!B:B="Recon"),QUOTIENT(ROW()-ROW($A$2),8)+1),"")</f>
        <v>LandingSupport</v>
      </c>
      <c r="B500" s="42" t="str">
        <f>_xlfn.XLOOKUP(A500,Class_Players!$A:$A,Class_Players!$B:$B,"")</f>
        <v>Recon</v>
      </c>
      <c r="C500" s="38" t="str" cm="1">
        <f t="array" ref="C500">INDEX(Lookups!$C$2:$C$9,MOD(ROW()-ROW($B$2),ROWS(Lookups!$C$2:$C$9))+1)</f>
        <v>Tracer Dart</v>
      </c>
      <c r="D500" s="38" t="str">
        <f>_xlfn.XLOOKUP(C500,Analysis_Gadgets!$C:$C,Analysis_Gadgets!$B:$B)</f>
        <v>Gadget</v>
      </c>
      <c r="E500" s="43">
        <v>30</v>
      </c>
      <c r="F500" s="43">
        <f>_xlfn.XLOOKUP(A500,Class_Players!A:A,Class_Players!G:G)</f>
        <v>154</v>
      </c>
      <c r="G500" s="43">
        <f t="shared" si="151"/>
        <v>0.19480519480519481</v>
      </c>
      <c r="H500" s="43">
        <f>_xlfn.XLOOKUP(A500,Class_Players!$A:$A,Class_Players!$F:$F,"")</f>
        <v>7180</v>
      </c>
      <c r="I500" s="44">
        <f t="shared" si="152"/>
        <v>4.178272980501393E-3</v>
      </c>
      <c r="J500" s="43">
        <f t="shared" si="153"/>
        <v>0</v>
      </c>
      <c r="K500" s="44" cm="1">
        <f t="array" ref="K500">IF(D500="Gadget",_xlfn.IFS(I500&gt;=0.2,0.5,I500&gt;=0.1,0.35,I500&gt;=0.05,0.2,TRUE,0),IF(D500="Grenade",_xlfn.IFS(I500&gt;=0.2,1,I500&gt;=0.1,0.7,I500&gt;=0.05,0.4,TRUE,0),0))</f>
        <v>0</v>
      </c>
      <c r="L500" s="57">
        <f t="shared" si="155"/>
        <v>0</v>
      </c>
    </row>
    <row r="501" spans="1:12" ht="15" customHeight="1" x14ac:dyDescent="0.25">
      <c r="A501" s="42" t="str" cm="1">
        <f t="array" ref="A501">IFERROR(INDEX(_xlfn._xlws.FILTER(Class_Players!A:A,Class_Players!B:B="Recon"),QUOTIENT(ROW()-ROW($A$2),8)+1),"")</f>
        <v>LandingSupport</v>
      </c>
      <c r="B501" s="42" t="str">
        <f>_xlfn.XLOOKUP(A501,Class_Players!$A:$A,Class_Players!$B:$B,"")</f>
        <v>Recon</v>
      </c>
      <c r="C501" s="38" t="str" cm="1">
        <f t="array" ref="C501">INDEX(Lookups!$C$2:$C$9,MOD(ROW()-ROW($B$2),ROWS(Lookups!$C$2:$C$9))+1)</f>
        <v>M18A1 (Claymore)</v>
      </c>
      <c r="D501" s="38" t="str">
        <f>_xlfn.XLOOKUP(C501,Analysis_Gadgets!$C:$C,Analysis_Gadgets!$B:$B)</f>
        <v>Gadget</v>
      </c>
      <c r="E501" s="43">
        <v>1491</v>
      </c>
      <c r="F501" s="43">
        <f>_xlfn.XLOOKUP(A501,Class_Players!A:A,Class_Players!G:G)</f>
        <v>154</v>
      </c>
      <c r="G501" s="43">
        <f t="shared" si="151"/>
        <v>9.6818181818181817</v>
      </c>
      <c r="H501" s="43">
        <f>_xlfn.XLOOKUP(A501,Class_Players!$A:$A,Class_Players!$F:$F,"")</f>
        <v>7180</v>
      </c>
      <c r="I501" s="44">
        <f t="shared" si="152"/>
        <v>0.20766016713091923</v>
      </c>
      <c r="J501" s="43">
        <f t="shared" si="153"/>
        <v>1</v>
      </c>
      <c r="K501" s="44" cm="1">
        <f t="array" ref="K501">IF(D501="Gadget",_xlfn.IFS(I501&gt;=0.2,0.5,I501&gt;=0.1,0.35,I501&gt;=0.05,0.2,TRUE,0),IF(D501="Grenade",_xlfn.IFS(I501&gt;=0.2,1,I501&gt;=0.1,0.7,I501&gt;=0.05,0.4,TRUE,0),0))</f>
        <v>0.5</v>
      </c>
      <c r="L501" s="57">
        <f t="shared" si="155"/>
        <v>0.47619047619047628</v>
      </c>
    </row>
    <row r="502" spans="1:12" ht="15" customHeight="1" x14ac:dyDescent="0.25">
      <c r="A502" s="42" t="str" cm="1">
        <f t="array" ref="A502">IFERROR(INDEX(_xlfn._xlws.FILTER(Class_Players!A:A,Class_Players!B:B="Recon"),QUOTIENT(ROW()-ROW($A$2),8)+1),"")</f>
        <v>LandingSupport</v>
      </c>
      <c r="B502" s="42" t="str">
        <f>_xlfn.XLOOKUP(A502,Class_Players!$A:$A,Class_Players!$B:$B,"")</f>
        <v>Recon</v>
      </c>
      <c r="C502" s="38" t="str" cm="1">
        <f t="array" ref="C502">INDEX(Lookups!$C$2:$C$9,MOD(ROW()-ROW($B$2),ROWS(Lookups!$C$2:$C$9))+1)</f>
        <v>Sniper Decoy</v>
      </c>
      <c r="D502" s="38" t="str">
        <f>_xlfn.XLOOKUP(C502,Analysis_Gadgets!$C:$C,Analysis_Gadgets!$B:$B)</f>
        <v>Gadget</v>
      </c>
      <c r="E502" s="43">
        <v>15</v>
      </c>
      <c r="F502" s="43">
        <f>_xlfn.XLOOKUP(A502,Class_Players!A:A,Class_Players!G:G)</f>
        <v>154</v>
      </c>
      <c r="G502" s="43">
        <f t="shared" si="151"/>
        <v>9.7402597402597407E-2</v>
      </c>
      <c r="H502" s="43">
        <f>_xlfn.XLOOKUP(A502,Class_Players!$A:$A,Class_Players!$F:$F,"")</f>
        <v>7180</v>
      </c>
      <c r="I502" s="44">
        <f t="shared" si="152"/>
        <v>2.0891364902506965E-3</v>
      </c>
      <c r="J502" s="43">
        <f t="shared" si="153"/>
        <v>0</v>
      </c>
      <c r="K502" s="44" cm="1">
        <f t="array" ref="K502">IF(D502="Gadget",_xlfn.IFS(I502&gt;=0.2,0.5,I502&gt;=0.1,0.35,I502&gt;=0.05,0.2,TRUE,0),IF(D502="Grenade",_xlfn.IFS(I502&gt;=0.2,1,I502&gt;=0.1,0.7,I502&gt;=0.05,0.4,TRUE,0),0))</f>
        <v>0</v>
      </c>
      <c r="L502" s="57">
        <f t="shared" si="155"/>
        <v>0</v>
      </c>
    </row>
    <row r="503" spans="1:12" ht="15" customHeight="1" x14ac:dyDescent="0.25">
      <c r="A503" s="42" t="str" cm="1">
        <f t="array" ref="A503">IFERROR(INDEX(_xlfn._xlws.FILTER(Class_Players!A:A,Class_Players!B:B="Recon"),QUOTIENT(ROW()-ROW($A$2),8)+1),"")</f>
        <v>LandingSupport</v>
      </c>
      <c r="B503" s="42" t="str">
        <f>_xlfn.XLOOKUP(A503,Class_Players!$A:$A,Class_Players!$B:$B,"")</f>
        <v>Recon</v>
      </c>
      <c r="C503" s="38" t="str" cm="1">
        <f t="array" ref="C503">INDEX(Lookups!$C$2:$C$9,MOD(ROW()-ROW($B$2),ROWS(Lookups!$C$2:$C$9))+1)</f>
        <v>C-4 Explosives</v>
      </c>
      <c r="D503" s="38" t="str">
        <f>_xlfn.XLOOKUP(C503,Analysis_Gadgets!$C:$C,Analysis_Gadgets!$B:$B)</f>
        <v>Gadget</v>
      </c>
      <c r="E503" s="43">
        <v>855</v>
      </c>
      <c r="F503" s="43">
        <f>_xlfn.XLOOKUP(A503,Class_Players!A:A,Class_Players!G:G)</f>
        <v>154</v>
      </c>
      <c r="G503" s="43">
        <f t="shared" si="151"/>
        <v>5.5519480519480515</v>
      </c>
      <c r="H503" s="43">
        <f>_xlfn.XLOOKUP(A503,Class_Players!$A:$A,Class_Players!$F:$F,"")</f>
        <v>7180</v>
      </c>
      <c r="I503" s="44">
        <f t="shared" si="152"/>
        <v>0.1190807799442897</v>
      </c>
      <c r="J503" s="43">
        <f t="shared" si="153"/>
        <v>1</v>
      </c>
      <c r="K503" s="44" cm="1">
        <f t="array" ref="K503">IF(D503="Gadget",_xlfn.IFS(I503&gt;=0.2,0.5,I503&gt;=0.1,0.35,I503&gt;=0.05,0.2,TRUE,0),IF(D503="Grenade",_xlfn.IFS(I503&gt;=0.2,1,I503&gt;=0.1,0.7,I503&gt;=0.05,0.4,TRUE,0),0))</f>
        <v>0.35</v>
      </c>
      <c r="L503" s="57">
        <f t="shared" si="155"/>
        <v>0.33333333333333337</v>
      </c>
    </row>
    <row r="504" spans="1:12" ht="15" customHeight="1" x14ac:dyDescent="0.25">
      <c r="A504" s="42" t="str" cm="1">
        <f t="array" ref="A504">IFERROR(INDEX(_xlfn._xlws.FILTER(Class_Players!A:A,Class_Players!B:B="Recon"),QUOTIENT(ROW()-ROW($A$2),8)+1),"")</f>
        <v>LandingSupport</v>
      </c>
      <c r="B504" s="42" t="str">
        <f>_xlfn.XLOOKUP(A504,Class_Players!$A:$A,Class_Players!$B:$B,"")</f>
        <v>Recon</v>
      </c>
      <c r="C504" s="38" t="str" cm="1">
        <f t="array" ref="C504">INDEX(Lookups!$C$2:$C$9,MOD(ROW()-ROW($B$2),ROWS(Lookups!$C$2:$C$9))+1)</f>
        <v>Proximity Detector</v>
      </c>
      <c r="D504" s="38" t="str">
        <f>_xlfn.XLOOKUP(C504,Analysis_Gadgets!$C:$C,Analysis_Gadgets!$B:$B)</f>
        <v>Grenade</v>
      </c>
      <c r="E504" s="43">
        <v>8</v>
      </c>
      <c r="F504" s="43">
        <f>_xlfn.XLOOKUP(A504,Class_Players!A:A,Class_Players!G:G)</f>
        <v>154</v>
      </c>
      <c r="G504" s="43">
        <f t="shared" si="151"/>
        <v>5.1948051948051951E-2</v>
      </c>
      <c r="H504" s="43">
        <f>_xlfn.XLOOKUP(A504,Class_Players!$A:$A,Class_Players!$F:$F,"")</f>
        <v>7180</v>
      </c>
      <c r="I504" s="44">
        <f t="shared" si="152"/>
        <v>1.1142061281337048E-3</v>
      </c>
      <c r="J504" s="43">
        <f t="shared" si="153"/>
        <v>0</v>
      </c>
      <c r="K504" s="44" cm="1">
        <f t="array" ref="K504">IF(D504="Gadget",_xlfn.IFS(I504&gt;=0.2,0.5,I504&gt;=0.1,0.35,I504&gt;=0.05,0.2,TRUE,0),IF(D504="Grenade",_xlfn.IFS(I504&gt;=0.2,1,I504&gt;=0.1,0.7,I504&gt;=0.05,0.4,TRUE,0),0))</f>
        <v>0</v>
      </c>
      <c r="L504" s="57">
        <f t="shared" ref="L504:L505" si="156">IF($K504=0,0,$K504 / SUMIFS($K:$K,$A:$A,$A504,$D:$D,"Grenade"))</f>
        <v>0</v>
      </c>
    </row>
    <row r="505" spans="1:12" ht="15" customHeight="1" x14ac:dyDescent="0.25">
      <c r="A505" s="42" t="str" cm="1">
        <f t="array" ref="A505">IFERROR(INDEX(_xlfn._xlws.FILTER(Class_Players!A:A,Class_Players!B:B="Recon"),QUOTIENT(ROW()-ROW($A$2),8)+1),"")</f>
        <v>LandingSupport</v>
      </c>
      <c r="B505" s="42" t="str">
        <f>_xlfn.XLOOKUP(A505,Class_Players!$A:$A,Class_Players!$B:$B,"")</f>
        <v>Recon</v>
      </c>
      <c r="C505" s="38" t="str" cm="1">
        <f t="array" ref="C505">INDEX(Lookups!$C$2:$C$9,MOD(ROW()-ROW($B$2),ROWS(Lookups!$C$2:$C$9))+1)</f>
        <v>Throwing Knife</v>
      </c>
      <c r="D505" s="38" t="str">
        <f>_xlfn.XLOOKUP(C505,Analysis_Gadgets!$C:$C,Analysis_Gadgets!$B:$B)</f>
        <v>Grenade</v>
      </c>
      <c r="E505" s="43">
        <v>0</v>
      </c>
      <c r="F505" s="43">
        <f>_xlfn.XLOOKUP(A505,Class_Players!A:A,Class_Players!G:G)</f>
        <v>154</v>
      </c>
      <c r="G505" s="43">
        <f t="shared" si="151"/>
        <v>0</v>
      </c>
      <c r="H505" s="43">
        <f>_xlfn.XLOOKUP(A505,Class_Players!$A:$A,Class_Players!$F:$F,"")</f>
        <v>7180</v>
      </c>
      <c r="I505" s="44">
        <f t="shared" si="152"/>
        <v>0</v>
      </c>
      <c r="J505" s="43">
        <f t="shared" si="153"/>
        <v>0</v>
      </c>
      <c r="K505" s="44" cm="1">
        <f t="array" ref="K505">IF(D505="Gadget",_xlfn.IFS(I505&gt;=0.2,0.5,I505&gt;=0.1,0.35,I505&gt;=0.05,0.2,TRUE,0),IF(D505="Grenade",_xlfn.IFS(I505&gt;=0.2,1,I505&gt;=0.1,0.7,I505&gt;=0.05,0.4,TRUE,0),0))</f>
        <v>0</v>
      </c>
      <c r="L505" s="57">
        <f t="shared" si="156"/>
        <v>0</v>
      </c>
    </row>
    <row r="506" spans="1:12" ht="15" customHeight="1" x14ac:dyDescent="0.25">
      <c r="A506" s="42" t="str" cm="1">
        <f t="array" ref="A506">IFERROR(INDEX(_xlfn._xlws.FILTER(Class_Players!A:A,Class_Players!B:B="Recon"),QUOTIENT(ROW()-ROW($A$2),8)+1),"")</f>
        <v>t-money360</v>
      </c>
      <c r="B506" s="42" t="str">
        <f>_xlfn.XLOOKUP(A506,Class_Players!$A:$A,Class_Players!$B:$B,"")</f>
        <v>Recon</v>
      </c>
      <c r="C506" s="38" t="str" cm="1">
        <f t="array" ref="C506">INDEX(Lookups!$C$2:$C$9,MOD(ROW()-ROW($B$2),ROWS(Lookups!$C$2:$C$9))+1)</f>
        <v>Laser Designator</v>
      </c>
      <c r="D506" s="38" t="str">
        <f>_xlfn.XLOOKUP(C506,Analysis_Gadgets!$C:$C,Analysis_Gadgets!$B:$B)</f>
        <v>Gadget</v>
      </c>
      <c r="E506" s="43">
        <v>16</v>
      </c>
      <c r="F506" s="43">
        <f>_xlfn.XLOOKUP(A506,Class_Players!A:A,Class_Players!G:G)</f>
        <v>132</v>
      </c>
      <c r="G506" s="43">
        <f t="shared" si="151"/>
        <v>0.12121212121212122</v>
      </c>
      <c r="H506" s="43">
        <f>_xlfn.XLOOKUP(A506,Class_Players!$A:$A,Class_Players!$F:$F,"")</f>
        <v>6057</v>
      </c>
      <c r="I506" s="44">
        <f t="shared" si="152"/>
        <v>2.6415717351824337E-3</v>
      </c>
      <c r="J506" s="43">
        <f t="shared" si="153"/>
        <v>0</v>
      </c>
      <c r="K506" s="44" cm="1">
        <f t="array" ref="K506">IF(D506="Gadget",_xlfn.IFS(I506&gt;=0.2,0.5,I506&gt;=0.1,0.35,I506&gt;=0.05,0.2,TRUE,0),IF(D506="Grenade",_xlfn.IFS(I506&gt;=0.2,1,I506&gt;=0.1,0.7,I506&gt;=0.05,0.4,TRUE,0),0))</f>
        <v>0</v>
      </c>
      <c r="L506" s="57">
        <f t="shared" ref="L506:L511" si="157">IF($K506=0,0,$K506 / SUMIFS($K:$K,$A:$A,$A506,$D:$D,"Gadget"))</f>
        <v>0</v>
      </c>
    </row>
    <row r="507" spans="1:12" ht="15" customHeight="1" x14ac:dyDescent="0.25">
      <c r="A507" s="42" t="str" cm="1">
        <f t="array" ref="A507">IFERROR(INDEX(_xlfn._xlws.FILTER(Class_Players!A:A,Class_Players!B:B="Recon"),QUOTIENT(ROW()-ROW($A$2),8)+1),"")</f>
        <v>t-money360</v>
      </c>
      <c r="B507" s="42" t="str">
        <f>_xlfn.XLOOKUP(A507,Class_Players!$A:$A,Class_Players!$B:$B,"")</f>
        <v>Recon</v>
      </c>
      <c r="C507" s="38" t="str" cm="1">
        <f t="array" ref="C507">INDEX(Lookups!$C$2:$C$9,MOD(ROW()-ROW($B$2),ROWS(Lookups!$C$2:$C$9))+1)</f>
        <v>Recon Drone</v>
      </c>
      <c r="D507" s="38" t="str">
        <f>_xlfn.XLOOKUP(C507,Analysis_Gadgets!$C:$C,Analysis_Gadgets!$B:$B)</f>
        <v>Gadget</v>
      </c>
      <c r="E507" s="43">
        <v>152</v>
      </c>
      <c r="F507" s="43">
        <f>_xlfn.XLOOKUP(A507,Class_Players!A:A,Class_Players!G:G)</f>
        <v>132</v>
      </c>
      <c r="G507" s="43">
        <f t="shared" si="151"/>
        <v>1.1515151515151516</v>
      </c>
      <c r="H507" s="43">
        <f>_xlfn.XLOOKUP(A507,Class_Players!$A:$A,Class_Players!$F:$F,"")</f>
        <v>6057</v>
      </c>
      <c r="I507" s="44">
        <f t="shared" si="152"/>
        <v>2.509493148423312E-2</v>
      </c>
      <c r="J507" s="43">
        <f t="shared" si="153"/>
        <v>0</v>
      </c>
      <c r="K507" s="44" cm="1">
        <f t="array" ref="K507">IF(D507="Gadget",_xlfn.IFS(I507&gt;=0.2,0.5,I507&gt;=0.1,0.35,I507&gt;=0.05,0.2,TRUE,0),IF(D507="Grenade",_xlfn.IFS(I507&gt;=0.2,1,I507&gt;=0.1,0.7,I507&gt;=0.05,0.4,TRUE,0),0))</f>
        <v>0</v>
      </c>
      <c r="L507" s="57">
        <f t="shared" si="157"/>
        <v>0</v>
      </c>
    </row>
    <row r="508" spans="1:12" ht="15" customHeight="1" x14ac:dyDescent="0.25">
      <c r="A508" s="42" t="str" cm="1">
        <f t="array" ref="A508">IFERROR(INDEX(_xlfn._xlws.FILTER(Class_Players!A:A,Class_Players!B:B="Recon"),QUOTIENT(ROW()-ROW($A$2),8)+1),"")</f>
        <v>t-money360</v>
      </c>
      <c r="B508" s="42" t="str">
        <f>_xlfn.XLOOKUP(A508,Class_Players!$A:$A,Class_Players!$B:$B,"")</f>
        <v>Recon</v>
      </c>
      <c r="C508" s="38" t="str" cm="1">
        <f t="array" ref="C508">INDEX(Lookups!$C$2:$C$9,MOD(ROW()-ROW($B$2),ROWS(Lookups!$C$2:$C$9))+1)</f>
        <v>Tracer Dart</v>
      </c>
      <c r="D508" s="38" t="str">
        <f>_xlfn.XLOOKUP(C508,Analysis_Gadgets!$C:$C,Analysis_Gadgets!$B:$B)</f>
        <v>Gadget</v>
      </c>
      <c r="E508" s="43">
        <v>8</v>
      </c>
      <c r="F508" s="43">
        <f>_xlfn.XLOOKUP(A508,Class_Players!A:A,Class_Players!G:G)</f>
        <v>132</v>
      </c>
      <c r="G508" s="43">
        <f t="shared" si="151"/>
        <v>6.0606060606060608E-2</v>
      </c>
      <c r="H508" s="43">
        <f>_xlfn.XLOOKUP(A508,Class_Players!$A:$A,Class_Players!$F:$F,"")</f>
        <v>6057</v>
      </c>
      <c r="I508" s="44">
        <f t="shared" si="152"/>
        <v>1.3207858675912169E-3</v>
      </c>
      <c r="J508" s="43">
        <f t="shared" si="153"/>
        <v>0</v>
      </c>
      <c r="K508" s="44" cm="1">
        <f t="array" ref="K508">IF(D508="Gadget",_xlfn.IFS(I508&gt;=0.2,0.5,I508&gt;=0.1,0.35,I508&gt;=0.05,0.2,TRUE,0),IF(D508="Grenade",_xlfn.IFS(I508&gt;=0.2,1,I508&gt;=0.1,0.7,I508&gt;=0.05,0.4,TRUE,0),0))</f>
        <v>0</v>
      </c>
      <c r="L508" s="57">
        <f t="shared" si="157"/>
        <v>0</v>
      </c>
    </row>
    <row r="509" spans="1:12" ht="15" customHeight="1" x14ac:dyDescent="0.25">
      <c r="A509" s="42" t="str" cm="1">
        <f t="array" ref="A509">IFERROR(INDEX(_xlfn._xlws.FILTER(Class_Players!A:A,Class_Players!B:B="Recon"),QUOTIENT(ROW()-ROW($A$2),8)+1),"")</f>
        <v>t-money360</v>
      </c>
      <c r="B509" s="42" t="str">
        <f>_xlfn.XLOOKUP(A509,Class_Players!$A:$A,Class_Players!$B:$B,"")</f>
        <v>Recon</v>
      </c>
      <c r="C509" s="38" t="str" cm="1">
        <f t="array" ref="C509">INDEX(Lookups!$C$2:$C$9,MOD(ROW()-ROW($B$2),ROWS(Lookups!$C$2:$C$9))+1)</f>
        <v>M18A1 (Claymore)</v>
      </c>
      <c r="D509" s="38" t="str">
        <f>_xlfn.XLOOKUP(C509,Analysis_Gadgets!$C:$C,Analysis_Gadgets!$B:$B)</f>
        <v>Gadget</v>
      </c>
      <c r="E509" s="43">
        <v>1568</v>
      </c>
      <c r="F509" s="43">
        <f>_xlfn.XLOOKUP(A509,Class_Players!A:A,Class_Players!G:G)</f>
        <v>132</v>
      </c>
      <c r="G509" s="43">
        <f t="shared" si="151"/>
        <v>11.878787878787879</v>
      </c>
      <c r="H509" s="43">
        <f>_xlfn.XLOOKUP(A509,Class_Players!$A:$A,Class_Players!$F:$F,"")</f>
        <v>6057</v>
      </c>
      <c r="I509" s="44">
        <f t="shared" si="152"/>
        <v>0.25887403004787851</v>
      </c>
      <c r="J509" s="43">
        <f t="shared" si="153"/>
        <v>1</v>
      </c>
      <c r="K509" s="44" cm="1">
        <f t="array" ref="K509">IF(D509="Gadget",_xlfn.IFS(I509&gt;=0.2,0.5,I509&gt;=0.1,0.35,I509&gt;=0.05,0.2,TRUE,0),IF(D509="Grenade",_xlfn.IFS(I509&gt;=0.2,1,I509&gt;=0.1,0.7,I509&gt;=0.05,0.4,TRUE,0),0))</f>
        <v>0.5</v>
      </c>
      <c r="L509" s="57">
        <f t="shared" si="157"/>
        <v>0.58823529411764708</v>
      </c>
    </row>
    <row r="510" spans="1:12" ht="15" customHeight="1" x14ac:dyDescent="0.25">
      <c r="A510" s="42" t="str" cm="1">
        <f t="array" ref="A510">IFERROR(INDEX(_xlfn._xlws.FILTER(Class_Players!A:A,Class_Players!B:B="Recon"),QUOTIENT(ROW()-ROW($A$2),8)+1),"")</f>
        <v>t-money360</v>
      </c>
      <c r="B510" s="42" t="str">
        <f>_xlfn.XLOOKUP(A510,Class_Players!$A:$A,Class_Players!$B:$B,"")</f>
        <v>Recon</v>
      </c>
      <c r="C510" s="38" t="str" cm="1">
        <f t="array" ref="C510">INDEX(Lookups!$C$2:$C$9,MOD(ROW()-ROW($B$2),ROWS(Lookups!$C$2:$C$9))+1)</f>
        <v>Sniper Decoy</v>
      </c>
      <c r="D510" s="38" t="str">
        <f>_xlfn.XLOOKUP(C510,Analysis_Gadgets!$C:$C,Analysis_Gadgets!$B:$B)</f>
        <v>Gadget</v>
      </c>
      <c r="E510" s="43">
        <v>35</v>
      </c>
      <c r="F510" s="43">
        <f>_xlfn.XLOOKUP(A510,Class_Players!A:A,Class_Players!G:G)</f>
        <v>132</v>
      </c>
      <c r="G510" s="43">
        <f t="shared" si="151"/>
        <v>0.26515151515151514</v>
      </c>
      <c r="H510" s="43">
        <f>_xlfn.XLOOKUP(A510,Class_Players!$A:$A,Class_Players!$F:$F,"")</f>
        <v>6057</v>
      </c>
      <c r="I510" s="44">
        <f t="shared" si="152"/>
        <v>5.7784381707115737E-3</v>
      </c>
      <c r="J510" s="43">
        <f t="shared" si="153"/>
        <v>0</v>
      </c>
      <c r="K510" s="44" cm="1">
        <f t="array" ref="K510">IF(D510="Gadget",_xlfn.IFS(I510&gt;=0.2,0.5,I510&gt;=0.1,0.35,I510&gt;=0.05,0.2,TRUE,0),IF(D510="Grenade",_xlfn.IFS(I510&gt;=0.2,1,I510&gt;=0.1,0.7,I510&gt;=0.05,0.4,TRUE,0),0))</f>
        <v>0</v>
      </c>
      <c r="L510" s="57">
        <f t="shared" si="157"/>
        <v>0</v>
      </c>
    </row>
    <row r="511" spans="1:12" ht="15" customHeight="1" x14ac:dyDescent="0.25">
      <c r="A511" s="42" t="str" cm="1">
        <f t="array" ref="A511">IFERROR(INDEX(_xlfn._xlws.FILTER(Class_Players!A:A,Class_Players!B:B="Recon"),QUOTIENT(ROW()-ROW($A$2),8)+1),"")</f>
        <v>t-money360</v>
      </c>
      <c r="B511" s="42" t="str">
        <f>_xlfn.XLOOKUP(A511,Class_Players!$A:$A,Class_Players!$B:$B,"")</f>
        <v>Recon</v>
      </c>
      <c r="C511" s="38" t="str" cm="1">
        <f t="array" ref="C511">INDEX(Lookups!$C$2:$C$9,MOD(ROW()-ROW($B$2),ROWS(Lookups!$C$2:$C$9))+1)</f>
        <v>C-4 Explosives</v>
      </c>
      <c r="D511" s="38" t="str">
        <f>_xlfn.XLOOKUP(C511,Analysis_Gadgets!$C:$C,Analysis_Gadgets!$B:$B)</f>
        <v>Gadget</v>
      </c>
      <c r="E511" s="43">
        <v>805</v>
      </c>
      <c r="F511" s="43">
        <f>_xlfn.XLOOKUP(A511,Class_Players!A:A,Class_Players!G:G)</f>
        <v>132</v>
      </c>
      <c r="G511" s="43">
        <f t="shared" si="151"/>
        <v>6.0984848484848486</v>
      </c>
      <c r="H511" s="43">
        <f>_xlfn.XLOOKUP(A511,Class_Players!$A:$A,Class_Players!$F:$F,"")</f>
        <v>6057</v>
      </c>
      <c r="I511" s="44">
        <f t="shared" si="152"/>
        <v>0.13290407792636619</v>
      </c>
      <c r="J511" s="43">
        <f t="shared" si="153"/>
        <v>1</v>
      </c>
      <c r="K511" s="44" cm="1">
        <f t="array" ref="K511">IF(D511="Gadget",_xlfn.IFS(I511&gt;=0.2,0.5,I511&gt;=0.1,0.35,I511&gt;=0.05,0.2,TRUE,0),IF(D511="Grenade",_xlfn.IFS(I511&gt;=0.2,1,I511&gt;=0.1,0.7,I511&gt;=0.05,0.4,TRUE,0),0))</f>
        <v>0.35</v>
      </c>
      <c r="L511" s="57">
        <f t="shared" si="157"/>
        <v>0.41176470588235292</v>
      </c>
    </row>
    <row r="512" spans="1:12" ht="15" customHeight="1" x14ac:dyDescent="0.25">
      <c r="A512" s="42" t="str" cm="1">
        <f t="array" ref="A512">IFERROR(INDEX(_xlfn._xlws.FILTER(Class_Players!A:A,Class_Players!B:B="Recon"),QUOTIENT(ROW()-ROW($A$2),8)+1),"")</f>
        <v>t-money360</v>
      </c>
      <c r="B512" s="42" t="str">
        <f>_xlfn.XLOOKUP(A512,Class_Players!$A:$A,Class_Players!$B:$B,"")</f>
        <v>Recon</v>
      </c>
      <c r="C512" s="38" t="str" cm="1">
        <f t="array" ref="C512">INDEX(Lookups!$C$2:$C$9,MOD(ROW()-ROW($B$2),ROWS(Lookups!$C$2:$C$9))+1)</f>
        <v>Proximity Detector</v>
      </c>
      <c r="D512" s="38" t="str">
        <f>_xlfn.XLOOKUP(C512,Analysis_Gadgets!$C:$C,Analysis_Gadgets!$B:$B)</f>
        <v>Grenade</v>
      </c>
      <c r="E512" s="43">
        <v>1870</v>
      </c>
      <c r="F512" s="43">
        <f>_xlfn.XLOOKUP(A512,Class_Players!A:A,Class_Players!G:G)</f>
        <v>132</v>
      </c>
      <c r="G512" s="43">
        <f t="shared" si="151"/>
        <v>14.166666666666666</v>
      </c>
      <c r="H512" s="43">
        <f>_xlfn.XLOOKUP(A512,Class_Players!$A:$A,Class_Players!$F:$F,"")</f>
        <v>6057</v>
      </c>
      <c r="I512" s="44">
        <f t="shared" si="152"/>
        <v>0.30873369654944693</v>
      </c>
      <c r="J512" s="43">
        <f t="shared" si="153"/>
        <v>1</v>
      </c>
      <c r="K512" s="44" cm="1">
        <f t="array" ref="K512">IF(D512="Gadget",_xlfn.IFS(I512&gt;=0.2,0.5,I512&gt;=0.1,0.35,I512&gt;=0.05,0.2,TRUE,0),IF(D512="Grenade",_xlfn.IFS(I512&gt;=0.2,1,I512&gt;=0.1,0.7,I512&gt;=0.05,0.4,TRUE,0),0))</f>
        <v>1</v>
      </c>
      <c r="L512" s="57">
        <f t="shared" ref="L512:L513" si="158">IF($K512=0,0,$K512 / SUMIFS($K:$K,$A:$A,$A512,$D:$D,"Grenade"))</f>
        <v>1</v>
      </c>
    </row>
    <row r="513" spans="1:12" ht="15" customHeight="1" x14ac:dyDescent="0.25">
      <c r="A513" s="42" t="str" cm="1">
        <f t="array" ref="A513">IFERROR(INDEX(_xlfn._xlws.FILTER(Class_Players!A:A,Class_Players!B:B="Recon"),QUOTIENT(ROW()-ROW($A$2),8)+1),"")</f>
        <v>t-money360</v>
      </c>
      <c r="B513" s="42" t="str">
        <f>_xlfn.XLOOKUP(A513,Class_Players!$A:$A,Class_Players!$B:$B,"")</f>
        <v>Recon</v>
      </c>
      <c r="C513" s="38" t="str" cm="1">
        <f t="array" ref="C513">INDEX(Lookups!$C$2:$C$9,MOD(ROW()-ROW($B$2),ROWS(Lookups!$C$2:$C$9))+1)</f>
        <v>Throwing Knife</v>
      </c>
      <c r="D513" s="38" t="str">
        <f>_xlfn.XLOOKUP(C513,Analysis_Gadgets!$C:$C,Analysis_Gadgets!$B:$B)</f>
        <v>Grenade</v>
      </c>
      <c r="E513" s="43">
        <v>0</v>
      </c>
      <c r="F513" s="43">
        <f>_xlfn.XLOOKUP(A513,Class_Players!A:A,Class_Players!G:G)</f>
        <v>132</v>
      </c>
      <c r="G513" s="43">
        <f t="shared" si="151"/>
        <v>0</v>
      </c>
      <c r="H513" s="43">
        <f>_xlfn.XLOOKUP(A513,Class_Players!$A:$A,Class_Players!$F:$F,"")</f>
        <v>6057</v>
      </c>
      <c r="I513" s="44">
        <f t="shared" si="152"/>
        <v>0</v>
      </c>
      <c r="J513" s="43">
        <f t="shared" si="153"/>
        <v>0</v>
      </c>
      <c r="K513" s="44" cm="1">
        <f t="array" ref="K513">IF(D513="Gadget",_xlfn.IFS(I513&gt;=0.2,0.5,I513&gt;=0.1,0.35,I513&gt;=0.05,0.2,TRUE,0),IF(D513="Grenade",_xlfn.IFS(I513&gt;=0.2,1,I513&gt;=0.1,0.7,I513&gt;=0.05,0.4,TRUE,0),0))</f>
        <v>0</v>
      </c>
      <c r="L513" s="57">
        <f t="shared" si="158"/>
        <v>0</v>
      </c>
    </row>
    <row r="514" spans="1:12" ht="15" customHeight="1" x14ac:dyDescent="0.25">
      <c r="A514" s="42" t="str" cm="1">
        <f t="array" ref="A514">IFERROR(INDEX(_xlfn._xlws.FILTER(Class_Players!A:A,Class_Players!B:B="Recon"),QUOTIENT(ROW()-ROW($A$2),8)+1),"")</f>
        <v>alexolibaz</v>
      </c>
      <c r="B514" s="42" t="str">
        <f>_xlfn.XLOOKUP(A514,Class_Players!$A:$A,Class_Players!$B:$B,"")</f>
        <v>Recon</v>
      </c>
      <c r="C514" s="38" t="str" cm="1">
        <f t="array" ref="C514">INDEX(Lookups!$C$2:$C$9,MOD(ROW()-ROW($B$2),ROWS(Lookups!$C$2:$C$9))+1)</f>
        <v>Laser Designator</v>
      </c>
      <c r="D514" s="38" t="str">
        <f>_xlfn.XLOOKUP(C514,Analysis_Gadgets!$C:$C,Analysis_Gadgets!$B:$B)</f>
        <v>Gadget</v>
      </c>
      <c r="E514" s="43">
        <v>12</v>
      </c>
      <c r="F514" s="43">
        <f>_xlfn.XLOOKUP(A514,Class_Players!A:A,Class_Players!G:G)</f>
        <v>89</v>
      </c>
      <c r="G514" s="43">
        <f t="shared" si="151"/>
        <v>0.1348314606741573</v>
      </c>
      <c r="H514" s="43">
        <f>_xlfn.XLOOKUP(A514,Class_Players!$A:$A,Class_Players!$F:$F,"")</f>
        <v>6929</v>
      </c>
      <c r="I514" s="44">
        <f t="shared" si="152"/>
        <v>1.7318516380430077E-3</v>
      </c>
      <c r="J514" s="43">
        <f t="shared" si="153"/>
        <v>0</v>
      </c>
      <c r="K514" s="44" cm="1">
        <f t="array" ref="K514">IF(D514="Gadget",_xlfn.IFS(I514&gt;=0.2,0.5,I514&gt;=0.1,0.35,I514&gt;=0.05,0.2,TRUE,0),IF(D514="Grenade",_xlfn.IFS(I514&gt;=0.2,1,I514&gt;=0.1,0.7,I514&gt;=0.05,0.4,TRUE,0),0))</f>
        <v>0</v>
      </c>
      <c r="L514" s="57">
        <f t="shared" ref="L514:L519" si="159">IF($K514=0,0,$K514 / SUMIFS($K:$K,$A:$A,$A514,$D:$D,"Gadget"))</f>
        <v>0</v>
      </c>
    </row>
    <row r="515" spans="1:12" ht="15" customHeight="1" x14ac:dyDescent="0.25">
      <c r="A515" s="42" t="str" cm="1">
        <f t="array" ref="A515">IFERROR(INDEX(_xlfn._xlws.FILTER(Class_Players!A:A,Class_Players!B:B="Recon"),QUOTIENT(ROW()-ROW($A$2),8)+1),"")</f>
        <v>alexolibaz</v>
      </c>
      <c r="B515" s="42" t="str">
        <f>_xlfn.XLOOKUP(A515,Class_Players!$A:$A,Class_Players!$B:$B,"")</f>
        <v>Recon</v>
      </c>
      <c r="C515" s="38" t="str" cm="1">
        <f t="array" ref="C515">INDEX(Lookups!$C$2:$C$9,MOD(ROW()-ROW($B$2),ROWS(Lookups!$C$2:$C$9))+1)</f>
        <v>Recon Drone</v>
      </c>
      <c r="D515" s="38" t="str">
        <f>_xlfn.XLOOKUP(C515,Analysis_Gadgets!$C:$C,Analysis_Gadgets!$B:$B)</f>
        <v>Gadget</v>
      </c>
      <c r="E515" s="43">
        <v>139</v>
      </c>
      <c r="F515" s="43">
        <f>_xlfn.XLOOKUP(A515,Class_Players!A:A,Class_Players!G:G)</f>
        <v>89</v>
      </c>
      <c r="G515" s="43">
        <f t="shared" si="151"/>
        <v>1.5617977528089888</v>
      </c>
      <c r="H515" s="43">
        <f>_xlfn.XLOOKUP(A515,Class_Players!$A:$A,Class_Players!$F:$F,"")</f>
        <v>6929</v>
      </c>
      <c r="I515" s="44">
        <f t="shared" si="152"/>
        <v>2.0060614807331505E-2</v>
      </c>
      <c r="J515" s="43">
        <f t="shared" si="153"/>
        <v>0</v>
      </c>
      <c r="K515" s="44" cm="1">
        <f t="array" ref="K515">IF(D515="Gadget",_xlfn.IFS(I515&gt;=0.2,0.5,I515&gt;=0.1,0.35,I515&gt;=0.05,0.2,TRUE,0),IF(D515="Grenade",_xlfn.IFS(I515&gt;=0.2,1,I515&gt;=0.1,0.7,I515&gt;=0.05,0.4,TRUE,0),0))</f>
        <v>0</v>
      </c>
      <c r="L515" s="57">
        <f t="shared" si="159"/>
        <v>0</v>
      </c>
    </row>
    <row r="516" spans="1:12" ht="15" customHeight="1" x14ac:dyDescent="0.25">
      <c r="A516" s="42" t="str" cm="1">
        <f t="array" ref="A516">IFERROR(INDEX(_xlfn._xlws.FILTER(Class_Players!A:A,Class_Players!B:B="Recon"),QUOTIENT(ROW()-ROW($A$2),8)+1),"")</f>
        <v>alexolibaz</v>
      </c>
      <c r="B516" s="42" t="str">
        <f>_xlfn.XLOOKUP(A516,Class_Players!$A:$A,Class_Players!$B:$B,"")</f>
        <v>Recon</v>
      </c>
      <c r="C516" s="38" t="str" cm="1">
        <f t="array" ref="C516">INDEX(Lookups!$C$2:$C$9,MOD(ROW()-ROW($B$2),ROWS(Lookups!$C$2:$C$9))+1)</f>
        <v>Tracer Dart</v>
      </c>
      <c r="D516" s="38" t="str">
        <f>_xlfn.XLOOKUP(C516,Analysis_Gadgets!$C:$C,Analysis_Gadgets!$B:$B)</f>
        <v>Gadget</v>
      </c>
      <c r="E516" s="43">
        <v>0</v>
      </c>
      <c r="F516" s="43">
        <f>_xlfn.XLOOKUP(A516,Class_Players!A:A,Class_Players!G:G)</f>
        <v>89</v>
      </c>
      <c r="G516" s="43">
        <f t="shared" si="151"/>
        <v>0</v>
      </c>
      <c r="H516" s="43">
        <f>_xlfn.XLOOKUP(A516,Class_Players!$A:$A,Class_Players!$F:$F,"")</f>
        <v>6929</v>
      </c>
      <c r="I516" s="44">
        <f t="shared" si="152"/>
        <v>0</v>
      </c>
      <c r="J516" s="43">
        <f t="shared" si="153"/>
        <v>0</v>
      </c>
      <c r="K516" s="44" cm="1">
        <f t="array" ref="K516">IF(D516="Gadget",_xlfn.IFS(I516&gt;=0.2,0.5,I516&gt;=0.1,0.35,I516&gt;=0.05,0.2,TRUE,0),IF(D516="Grenade",_xlfn.IFS(I516&gt;=0.2,1,I516&gt;=0.1,0.7,I516&gt;=0.05,0.4,TRUE,0),0))</f>
        <v>0</v>
      </c>
      <c r="L516" s="57">
        <f t="shared" si="159"/>
        <v>0</v>
      </c>
    </row>
    <row r="517" spans="1:12" ht="15" customHeight="1" x14ac:dyDescent="0.25">
      <c r="A517" s="42" t="str" cm="1">
        <f t="array" ref="A517">IFERROR(INDEX(_xlfn._xlws.FILTER(Class_Players!A:A,Class_Players!B:B="Recon"),QUOTIENT(ROW()-ROW($A$2),8)+1),"")</f>
        <v>alexolibaz</v>
      </c>
      <c r="B517" s="42" t="str">
        <f>_xlfn.XLOOKUP(A517,Class_Players!$A:$A,Class_Players!$B:$B,"")</f>
        <v>Recon</v>
      </c>
      <c r="C517" s="38" t="str" cm="1">
        <f t="array" ref="C517">INDEX(Lookups!$C$2:$C$9,MOD(ROW()-ROW($B$2),ROWS(Lookups!$C$2:$C$9))+1)</f>
        <v>M18A1 (Claymore)</v>
      </c>
      <c r="D517" s="38" t="str">
        <f>_xlfn.XLOOKUP(C517,Analysis_Gadgets!$C:$C,Analysis_Gadgets!$B:$B)</f>
        <v>Gadget</v>
      </c>
      <c r="E517" s="43">
        <v>3789</v>
      </c>
      <c r="F517" s="43">
        <f>_xlfn.XLOOKUP(A517,Class_Players!A:A,Class_Players!G:G)</f>
        <v>89</v>
      </c>
      <c r="G517" s="43">
        <f t="shared" si="151"/>
        <v>42.573033707865171</v>
      </c>
      <c r="H517" s="43">
        <f>_xlfn.XLOOKUP(A517,Class_Players!$A:$A,Class_Players!$F:$F,"")</f>
        <v>6929</v>
      </c>
      <c r="I517" s="44">
        <f t="shared" si="152"/>
        <v>0.54683215471207969</v>
      </c>
      <c r="J517" s="43">
        <f t="shared" si="153"/>
        <v>1</v>
      </c>
      <c r="K517" s="44" cm="1">
        <f t="array" ref="K517">IF(D517="Gadget",_xlfn.IFS(I517&gt;=0.2,0.5,I517&gt;=0.1,0.35,I517&gt;=0.05,0.2,TRUE,0),IF(D517="Grenade",_xlfn.IFS(I517&gt;=0.2,1,I517&gt;=0.1,0.7,I517&gt;=0.05,0.4,TRUE,0),0))</f>
        <v>0.5</v>
      </c>
      <c r="L517" s="57">
        <f t="shared" si="159"/>
        <v>0.5</v>
      </c>
    </row>
    <row r="518" spans="1:12" ht="15" customHeight="1" x14ac:dyDescent="0.25">
      <c r="A518" s="42" t="str" cm="1">
        <f t="array" ref="A518">IFERROR(INDEX(_xlfn._xlws.FILTER(Class_Players!A:A,Class_Players!B:B="Recon"),QUOTIENT(ROW()-ROW($A$2),8)+1),"")</f>
        <v>alexolibaz</v>
      </c>
      <c r="B518" s="42" t="str">
        <f>_xlfn.XLOOKUP(A518,Class_Players!$A:$A,Class_Players!$B:$B,"")</f>
        <v>Recon</v>
      </c>
      <c r="C518" s="38" t="str" cm="1">
        <f t="array" ref="C518">INDEX(Lookups!$C$2:$C$9,MOD(ROW()-ROW($B$2),ROWS(Lookups!$C$2:$C$9))+1)</f>
        <v>Sniper Decoy</v>
      </c>
      <c r="D518" s="38" t="str">
        <f>_xlfn.XLOOKUP(C518,Analysis_Gadgets!$C:$C,Analysis_Gadgets!$B:$B)</f>
        <v>Gadget</v>
      </c>
      <c r="E518" s="43">
        <v>47</v>
      </c>
      <c r="F518" s="43">
        <f>_xlfn.XLOOKUP(A518,Class_Players!A:A,Class_Players!G:G)</f>
        <v>89</v>
      </c>
      <c r="G518" s="43">
        <f t="shared" si="151"/>
        <v>0.5280898876404494</v>
      </c>
      <c r="H518" s="43">
        <f>_xlfn.XLOOKUP(A518,Class_Players!$A:$A,Class_Players!$F:$F,"")</f>
        <v>6929</v>
      </c>
      <c r="I518" s="44">
        <f t="shared" si="152"/>
        <v>6.7830855823351136E-3</v>
      </c>
      <c r="J518" s="43">
        <f t="shared" si="153"/>
        <v>0</v>
      </c>
      <c r="K518" s="44" cm="1">
        <f t="array" ref="K518">IF(D518="Gadget",_xlfn.IFS(I518&gt;=0.2,0.5,I518&gt;=0.1,0.35,I518&gt;=0.05,0.2,TRUE,0),IF(D518="Grenade",_xlfn.IFS(I518&gt;=0.2,1,I518&gt;=0.1,0.7,I518&gt;=0.05,0.4,TRUE,0),0))</f>
        <v>0</v>
      </c>
      <c r="L518" s="57">
        <f t="shared" si="159"/>
        <v>0</v>
      </c>
    </row>
    <row r="519" spans="1:12" ht="15" customHeight="1" x14ac:dyDescent="0.25">
      <c r="A519" s="42" t="str" cm="1">
        <f t="array" ref="A519">IFERROR(INDEX(_xlfn._xlws.FILTER(Class_Players!A:A,Class_Players!B:B="Recon"),QUOTIENT(ROW()-ROW($A$2),8)+1),"")</f>
        <v>alexolibaz</v>
      </c>
      <c r="B519" s="42" t="str">
        <f>_xlfn.XLOOKUP(A519,Class_Players!$A:$A,Class_Players!$B:$B,"")</f>
        <v>Recon</v>
      </c>
      <c r="C519" s="38" t="str" cm="1">
        <f t="array" ref="C519">INDEX(Lookups!$C$2:$C$9,MOD(ROW()-ROW($B$2),ROWS(Lookups!$C$2:$C$9))+1)</f>
        <v>C-4 Explosives</v>
      </c>
      <c r="D519" s="38" t="str">
        <f>_xlfn.XLOOKUP(C519,Analysis_Gadgets!$C:$C,Analysis_Gadgets!$B:$B)</f>
        <v>Gadget</v>
      </c>
      <c r="E519" s="43">
        <v>3675</v>
      </c>
      <c r="F519" s="43">
        <f>_xlfn.XLOOKUP(A519,Class_Players!A:A,Class_Players!G:G)</f>
        <v>89</v>
      </c>
      <c r="G519" s="43">
        <f t="shared" si="151"/>
        <v>41.292134831460672</v>
      </c>
      <c r="H519" s="43">
        <f>_xlfn.XLOOKUP(A519,Class_Players!$A:$A,Class_Players!$F:$F,"")</f>
        <v>6929</v>
      </c>
      <c r="I519" s="44">
        <f t="shared" si="152"/>
        <v>0.53037956415067111</v>
      </c>
      <c r="J519" s="43">
        <f t="shared" si="153"/>
        <v>1</v>
      </c>
      <c r="K519" s="44" cm="1">
        <f t="array" ref="K519">IF(D519="Gadget",_xlfn.IFS(I519&gt;=0.2,0.5,I519&gt;=0.1,0.35,I519&gt;=0.05,0.2,TRUE,0),IF(D519="Grenade",_xlfn.IFS(I519&gt;=0.2,1,I519&gt;=0.1,0.7,I519&gt;=0.05,0.4,TRUE,0),0))</f>
        <v>0.5</v>
      </c>
      <c r="L519" s="57">
        <f t="shared" si="159"/>
        <v>0.5</v>
      </c>
    </row>
    <row r="520" spans="1:12" ht="15" customHeight="1" x14ac:dyDescent="0.25">
      <c r="A520" s="42" t="str" cm="1">
        <f t="array" ref="A520">IFERROR(INDEX(_xlfn._xlws.FILTER(Class_Players!A:A,Class_Players!B:B="Recon"),QUOTIENT(ROW()-ROW($A$2),8)+1),"")</f>
        <v>alexolibaz</v>
      </c>
      <c r="B520" s="42" t="str">
        <f>_xlfn.XLOOKUP(A520,Class_Players!$A:$A,Class_Players!$B:$B,"")</f>
        <v>Recon</v>
      </c>
      <c r="C520" s="38" t="str" cm="1">
        <f t="array" ref="C520">INDEX(Lookups!$C$2:$C$9,MOD(ROW()-ROW($B$2),ROWS(Lookups!$C$2:$C$9))+1)</f>
        <v>Proximity Detector</v>
      </c>
      <c r="D520" s="38" t="str">
        <f>_xlfn.XLOOKUP(C520,Analysis_Gadgets!$C:$C,Analysis_Gadgets!$B:$B)</f>
        <v>Grenade</v>
      </c>
      <c r="E520" s="43">
        <v>31</v>
      </c>
      <c r="F520" s="43">
        <f>_xlfn.XLOOKUP(A520,Class_Players!A:A,Class_Players!G:G)</f>
        <v>89</v>
      </c>
      <c r="G520" s="43">
        <f t="shared" si="151"/>
        <v>0.34831460674157305</v>
      </c>
      <c r="H520" s="43">
        <f>_xlfn.XLOOKUP(A520,Class_Players!$A:$A,Class_Players!$F:$F,"")</f>
        <v>6929</v>
      </c>
      <c r="I520" s="44">
        <f t="shared" si="152"/>
        <v>4.4739500649444361E-3</v>
      </c>
      <c r="J520" s="43">
        <f t="shared" si="153"/>
        <v>0</v>
      </c>
      <c r="K520" s="44" cm="1">
        <f t="array" ref="K520">IF(D520="Gadget",_xlfn.IFS(I520&gt;=0.2,0.5,I520&gt;=0.1,0.35,I520&gt;=0.05,0.2,TRUE,0),IF(D520="Grenade",_xlfn.IFS(I520&gt;=0.2,1,I520&gt;=0.1,0.7,I520&gt;=0.05,0.4,TRUE,0),0))</f>
        <v>0</v>
      </c>
      <c r="L520" s="57">
        <f t="shared" ref="L520:L521" si="160">IF($K520=0,0,$K520 / SUMIFS($K:$K,$A:$A,$A520,$D:$D,"Grenade"))</f>
        <v>0</v>
      </c>
    </row>
    <row r="521" spans="1:12" ht="15" customHeight="1" x14ac:dyDescent="0.25">
      <c r="A521" s="42" t="str" cm="1">
        <f t="array" ref="A521">IFERROR(INDEX(_xlfn._xlws.FILTER(Class_Players!A:A,Class_Players!B:B="Recon"),QUOTIENT(ROW()-ROW($A$2),8)+1),"")</f>
        <v>alexolibaz</v>
      </c>
      <c r="B521" s="42" t="str">
        <f>_xlfn.XLOOKUP(A521,Class_Players!$A:$A,Class_Players!$B:$B,"")</f>
        <v>Recon</v>
      </c>
      <c r="C521" s="38" t="str" cm="1">
        <f t="array" ref="C521">INDEX(Lookups!$C$2:$C$9,MOD(ROW()-ROW($B$2),ROWS(Lookups!$C$2:$C$9))+1)</f>
        <v>Throwing Knife</v>
      </c>
      <c r="D521" s="38" t="str">
        <f>_xlfn.XLOOKUP(C521,Analysis_Gadgets!$C:$C,Analysis_Gadgets!$B:$B)</f>
        <v>Grenade</v>
      </c>
      <c r="E521" s="43">
        <v>0</v>
      </c>
      <c r="F521" s="43">
        <f>_xlfn.XLOOKUP(A521,Class_Players!A:A,Class_Players!G:G)</f>
        <v>89</v>
      </c>
      <c r="G521" s="43">
        <f t="shared" si="151"/>
        <v>0</v>
      </c>
      <c r="H521" s="43">
        <f>_xlfn.XLOOKUP(A521,Class_Players!$A:$A,Class_Players!$F:$F,"")</f>
        <v>6929</v>
      </c>
      <c r="I521" s="44">
        <f t="shared" si="152"/>
        <v>0</v>
      </c>
      <c r="J521" s="43">
        <f t="shared" si="153"/>
        <v>0</v>
      </c>
      <c r="K521" s="44" cm="1">
        <f t="array" ref="K521">IF(D521="Gadget",_xlfn.IFS(I521&gt;=0.2,0.5,I521&gt;=0.1,0.35,I521&gt;=0.05,0.2,TRUE,0),IF(D521="Grenade",_xlfn.IFS(I521&gt;=0.2,1,I521&gt;=0.1,0.7,I521&gt;=0.05,0.4,TRUE,0),0))</f>
        <v>0</v>
      </c>
      <c r="L521" s="57">
        <f t="shared" si="160"/>
        <v>0</v>
      </c>
    </row>
    <row r="522" spans="1:12" ht="15" customHeight="1" x14ac:dyDescent="0.25">
      <c r="A522" s="42" t="str" cm="1">
        <f t="array" ref="A522">IFERROR(INDEX(_xlfn._xlws.FILTER(Class_Players!A:A,Class_Players!B:B="Recon"),QUOTIENT(ROW()-ROW($A$2),8)+1),"")</f>
        <v>XND-RAZIEL</v>
      </c>
      <c r="B522" s="42" t="str">
        <f>_xlfn.XLOOKUP(A522,Class_Players!$A:$A,Class_Players!$B:$B,"")</f>
        <v>Recon</v>
      </c>
      <c r="C522" s="38" t="str" cm="1">
        <f t="array" ref="C522">INDEX(Lookups!$C$2:$C$9,MOD(ROW()-ROW($B$2),ROWS(Lookups!$C$2:$C$9))+1)</f>
        <v>Laser Designator</v>
      </c>
      <c r="D522" s="38" t="str">
        <f>_xlfn.XLOOKUP(C522,Analysis_Gadgets!$C:$C,Analysis_Gadgets!$B:$B)</f>
        <v>Gadget</v>
      </c>
      <c r="E522" s="43">
        <v>171</v>
      </c>
      <c r="F522" s="43">
        <f>_xlfn.XLOOKUP(A522,Class_Players!A:A,Class_Players!G:G)</f>
        <v>159</v>
      </c>
      <c r="G522" s="43">
        <f t="shared" si="151"/>
        <v>1.0754716981132075</v>
      </c>
      <c r="H522" s="43">
        <f>_xlfn.XLOOKUP(A522,Class_Players!$A:$A,Class_Players!$F:$F,"")</f>
        <v>6185</v>
      </c>
      <c r="I522" s="44">
        <f t="shared" si="152"/>
        <v>2.7647534357316088E-2</v>
      </c>
      <c r="J522" s="43">
        <f t="shared" si="153"/>
        <v>0</v>
      </c>
      <c r="K522" s="44" cm="1">
        <f t="array" ref="K522">IF(D522="Gadget",_xlfn.IFS(I522&gt;=0.2,0.5,I522&gt;=0.1,0.35,I522&gt;=0.05,0.2,TRUE,0),IF(D522="Grenade",_xlfn.IFS(I522&gt;=0.2,1,I522&gt;=0.1,0.7,I522&gt;=0.05,0.4,TRUE,0),0))</f>
        <v>0</v>
      </c>
      <c r="L522" s="57">
        <f t="shared" ref="L522:L527" si="161">IF($K522=0,0,$K522 / SUMIFS($K:$K,$A:$A,$A522,$D:$D,"Gadget"))</f>
        <v>0</v>
      </c>
    </row>
    <row r="523" spans="1:12" ht="15" customHeight="1" x14ac:dyDescent="0.25">
      <c r="A523" s="42" t="str" cm="1">
        <f t="array" ref="A523">IFERROR(INDEX(_xlfn._xlws.FILTER(Class_Players!A:A,Class_Players!B:B="Recon"),QUOTIENT(ROW()-ROW($A$2),8)+1),"")</f>
        <v>XND-RAZIEL</v>
      </c>
      <c r="B523" s="42" t="str">
        <f>_xlfn.XLOOKUP(A523,Class_Players!$A:$A,Class_Players!$B:$B,"")</f>
        <v>Recon</v>
      </c>
      <c r="C523" s="38" t="str" cm="1">
        <f t="array" ref="C523">INDEX(Lookups!$C$2:$C$9,MOD(ROW()-ROW($B$2),ROWS(Lookups!$C$2:$C$9))+1)</f>
        <v>Recon Drone</v>
      </c>
      <c r="D523" s="38" t="str">
        <f>_xlfn.XLOOKUP(C523,Analysis_Gadgets!$C:$C,Analysis_Gadgets!$B:$B)</f>
        <v>Gadget</v>
      </c>
      <c r="E523" s="43">
        <v>137</v>
      </c>
      <c r="F523" s="43">
        <f>_xlfn.XLOOKUP(A523,Class_Players!A:A,Class_Players!G:G)</f>
        <v>159</v>
      </c>
      <c r="G523" s="43">
        <f t="shared" si="151"/>
        <v>0.86163522012578619</v>
      </c>
      <c r="H523" s="43">
        <f>_xlfn.XLOOKUP(A523,Class_Players!$A:$A,Class_Players!$F:$F,"")</f>
        <v>6185</v>
      </c>
      <c r="I523" s="44">
        <f t="shared" si="152"/>
        <v>2.2150363783346807E-2</v>
      </c>
      <c r="J523" s="43">
        <f t="shared" si="153"/>
        <v>0</v>
      </c>
      <c r="K523" s="44" cm="1">
        <f t="array" ref="K523">IF(D523="Gadget",_xlfn.IFS(I523&gt;=0.2,0.5,I523&gt;=0.1,0.35,I523&gt;=0.05,0.2,TRUE,0),IF(D523="Grenade",_xlfn.IFS(I523&gt;=0.2,1,I523&gt;=0.1,0.7,I523&gt;=0.05,0.4,TRUE,0),0))</f>
        <v>0</v>
      </c>
      <c r="L523" s="57">
        <f t="shared" si="161"/>
        <v>0</v>
      </c>
    </row>
    <row r="524" spans="1:12" ht="15" customHeight="1" x14ac:dyDescent="0.25">
      <c r="A524" s="42" t="str" cm="1">
        <f t="array" ref="A524">IFERROR(INDEX(_xlfn._xlws.FILTER(Class_Players!A:A,Class_Players!B:B="Recon"),QUOTIENT(ROW()-ROW($A$2),8)+1),"")</f>
        <v>XND-RAZIEL</v>
      </c>
      <c r="B524" s="42" t="str">
        <f>_xlfn.XLOOKUP(A524,Class_Players!$A:$A,Class_Players!$B:$B,"")</f>
        <v>Recon</v>
      </c>
      <c r="C524" s="38" t="str" cm="1">
        <f t="array" ref="C524">INDEX(Lookups!$C$2:$C$9,MOD(ROW()-ROW($B$2),ROWS(Lookups!$C$2:$C$9))+1)</f>
        <v>Tracer Dart</v>
      </c>
      <c r="D524" s="38" t="str">
        <f>_xlfn.XLOOKUP(C524,Analysis_Gadgets!$C:$C,Analysis_Gadgets!$B:$B)</f>
        <v>Gadget</v>
      </c>
      <c r="E524" s="43">
        <v>33</v>
      </c>
      <c r="F524" s="43">
        <f>_xlfn.XLOOKUP(A524,Class_Players!A:A,Class_Players!G:G)</f>
        <v>159</v>
      </c>
      <c r="G524" s="43">
        <f t="shared" si="151"/>
        <v>0.20754716981132076</v>
      </c>
      <c r="H524" s="43">
        <f>_xlfn.XLOOKUP(A524,Class_Players!$A:$A,Class_Players!$F:$F,"")</f>
        <v>6185</v>
      </c>
      <c r="I524" s="44">
        <f t="shared" si="152"/>
        <v>5.3354890864995954E-3</v>
      </c>
      <c r="J524" s="43">
        <f t="shared" si="153"/>
        <v>0</v>
      </c>
      <c r="K524" s="44" cm="1">
        <f t="array" ref="K524">IF(D524="Gadget",_xlfn.IFS(I524&gt;=0.2,0.5,I524&gt;=0.1,0.35,I524&gt;=0.05,0.2,TRUE,0),IF(D524="Grenade",_xlfn.IFS(I524&gt;=0.2,1,I524&gt;=0.1,0.7,I524&gt;=0.05,0.4,TRUE,0),0))</f>
        <v>0</v>
      </c>
      <c r="L524" s="57">
        <f t="shared" si="161"/>
        <v>0</v>
      </c>
    </row>
    <row r="525" spans="1:12" ht="15" customHeight="1" x14ac:dyDescent="0.25">
      <c r="A525" s="42" t="str" cm="1">
        <f t="array" ref="A525">IFERROR(INDEX(_xlfn._xlws.FILTER(Class_Players!A:A,Class_Players!B:B="Recon"),QUOTIENT(ROW()-ROW($A$2),8)+1),"")</f>
        <v>XND-RAZIEL</v>
      </c>
      <c r="B525" s="42" t="str">
        <f>_xlfn.XLOOKUP(A525,Class_Players!$A:$A,Class_Players!$B:$B,"")</f>
        <v>Recon</v>
      </c>
      <c r="C525" s="38" t="str" cm="1">
        <f t="array" ref="C525">INDEX(Lookups!$C$2:$C$9,MOD(ROW()-ROW($B$2),ROWS(Lookups!$C$2:$C$9))+1)</f>
        <v>M18A1 (Claymore)</v>
      </c>
      <c r="D525" s="38" t="str">
        <f>_xlfn.XLOOKUP(C525,Analysis_Gadgets!$C:$C,Analysis_Gadgets!$B:$B)</f>
        <v>Gadget</v>
      </c>
      <c r="E525" s="43">
        <v>21</v>
      </c>
      <c r="F525" s="43">
        <f>_xlfn.XLOOKUP(A525,Class_Players!A:A,Class_Players!G:G)</f>
        <v>159</v>
      </c>
      <c r="G525" s="43">
        <f t="shared" si="151"/>
        <v>0.13207547169811321</v>
      </c>
      <c r="H525" s="43">
        <f>_xlfn.XLOOKUP(A525,Class_Players!$A:$A,Class_Players!$F:$F,"")</f>
        <v>6185</v>
      </c>
      <c r="I525" s="44">
        <f t="shared" si="152"/>
        <v>3.395311236863379E-3</v>
      </c>
      <c r="J525" s="43">
        <f t="shared" si="153"/>
        <v>0</v>
      </c>
      <c r="K525" s="44" cm="1">
        <f t="array" ref="K525">IF(D525="Gadget",_xlfn.IFS(I525&gt;=0.2,0.5,I525&gt;=0.1,0.35,I525&gt;=0.05,0.2,TRUE,0),IF(D525="Grenade",_xlfn.IFS(I525&gt;=0.2,1,I525&gt;=0.1,0.7,I525&gt;=0.05,0.4,TRUE,0),0))</f>
        <v>0</v>
      </c>
      <c r="L525" s="57">
        <f t="shared" si="161"/>
        <v>0</v>
      </c>
    </row>
    <row r="526" spans="1:12" ht="15" customHeight="1" x14ac:dyDescent="0.25">
      <c r="A526" s="42" t="str" cm="1">
        <f t="array" ref="A526">IFERROR(INDEX(_xlfn._xlws.FILTER(Class_Players!A:A,Class_Players!B:B="Recon"),QUOTIENT(ROW()-ROW($A$2),8)+1),"")</f>
        <v>XND-RAZIEL</v>
      </c>
      <c r="B526" s="42" t="str">
        <f>_xlfn.XLOOKUP(A526,Class_Players!$A:$A,Class_Players!$B:$B,"")</f>
        <v>Recon</v>
      </c>
      <c r="C526" s="38" t="str" cm="1">
        <f t="array" ref="C526">INDEX(Lookups!$C$2:$C$9,MOD(ROW()-ROW($B$2),ROWS(Lookups!$C$2:$C$9))+1)</f>
        <v>Sniper Decoy</v>
      </c>
      <c r="D526" s="38" t="str">
        <f>_xlfn.XLOOKUP(C526,Analysis_Gadgets!$C:$C,Analysis_Gadgets!$B:$B)</f>
        <v>Gadget</v>
      </c>
      <c r="E526" s="43">
        <v>35</v>
      </c>
      <c r="F526" s="43">
        <f>_xlfn.XLOOKUP(A526,Class_Players!A:A,Class_Players!G:G)</f>
        <v>159</v>
      </c>
      <c r="G526" s="43">
        <f t="shared" si="151"/>
        <v>0.22012578616352202</v>
      </c>
      <c r="H526" s="43">
        <f>_xlfn.XLOOKUP(A526,Class_Players!$A:$A,Class_Players!$F:$F,"")</f>
        <v>6185</v>
      </c>
      <c r="I526" s="44">
        <f t="shared" si="152"/>
        <v>5.6588520614389648E-3</v>
      </c>
      <c r="J526" s="43">
        <f t="shared" si="153"/>
        <v>0</v>
      </c>
      <c r="K526" s="44" cm="1">
        <f t="array" ref="K526">IF(D526="Gadget",_xlfn.IFS(I526&gt;=0.2,0.5,I526&gt;=0.1,0.35,I526&gt;=0.05,0.2,TRUE,0),IF(D526="Grenade",_xlfn.IFS(I526&gt;=0.2,1,I526&gt;=0.1,0.7,I526&gt;=0.05,0.4,TRUE,0),0))</f>
        <v>0</v>
      </c>
      <c r="L526" s="57">
        <f t="shared" si="161"/>
        <v>0</v>
      </c>
    </row>
    <row r="527" spans="1:12" ht="15" customHeight="1" x14ac:dyDescent="0.25">
      <c r="A527" s="42" t="str" cm="1">
        <f t="array" ref="A527">IFERROR(INDEX(_xlfn._xlws.FILTER(Class_Players!A:A,Class_Players!B:B="Recon"),QUOTIENT(ROW()-ROW($A$2),8)+1),"")</f>
        <v>XND-RAZIEL</v>
      </c>
      <c r="B527" s="42" t="str">
        <f>_xlfn.XLOOKUP(A527,Class_Players!$A:$A,Class_Players!$B:$B,"")</f>
        <v>Recon</v>
      </c>
      <c r="C527" s="38" t="str" cm="1">
        <f t="array" ref="C527">INDEX(Lookups!$C$2:$C$9,MOD(ROW()-ROW($B$2),ROWS(Lookups!$C$2:$C$9))+1)</f>
        <v>C-4 Explosives</v>
      </c>
      <c r="D527" s="38" t="str">
        <f>_xlfn.XLOOKUP(C527,Analysis_Gadgets!$C:$C,Analysis_Gadgets!$B:$B)</f>
        <v>Gadget</v>
      </c>
      <c r="E527" s="43">
        <v>393</v>
      </c>
      <c r="F527" s="43">
        <f>_xlfn.XLOOKUP(A527,Class_Players!A:A,Class_Players!G:G)</f>
        <v>159</v>
      </c>
      <c r="G527" s="43">
        <f t="shared" si="151"/>
        <v>2.4716981132075473</v>
      </c>
      <c r="H527" s="43">
        <f>_xlfn.XLOOKUP(A527,Class_Players!$A:$A,Class_Players!$F:$F,"")</f>
        <v>6185</v>
      </c>
      <c r="I527" s="44">
        <f t="shared" si="152"/>
        <v>6.3540824575586102E-2</v>
      </c>
      <c r="J527" s="43">
        <f t="shared" si="153"/>
        <v>0</v>
      </c>
      <c r="K527" s="44" cm="1">
        <f t="array" ref="K527">IF(D527="Gadget",_xlfn.IFS(I527&gt;=0.2,0.5,I527&gt;=0.1,0.35,I527&gt;=0.05,0.2,TRUE,0),IF(D527="Grenade",_xlfn.IFS(I527&gt;=0.2,1,I527&gt;=0.1,0.7,I527&gt;=0.05,0.4,TRUE,0),0))</f>
        <v>0.2</v>
      </c>
      <c r="L527" s="57">
        <f t="shared" si="161"/>
        <v>1</v>
      </c>
    </row>
    <row r="528" spans="1:12" ht="15" customHeight="1" x14ac:dyDescent="0.25">
      <c r="A528" s="42" t="str" cm="1">
        <f t="array" ref="A528">IFERROR(INDEX(_xlfn._xlws.FILTER(Class_Players!A:A,Class_Players!B:B="Recon"),QUOTIENT(ROW()-ROW($A$2),8)+1),"")</f>
        <v>XND-RAZIEL</v>
      </c>
      <c r="B528" s="42" t="str">
        <f>_xlfn.XLOOKUP(A528,Class_Players!$A:$A,Class_Players!$B:$B,"")</f>
        <v>Recon</v>
      </c>
      <c r="C528" s="38" t="str" cm="1">
        <f t="array" ref="C528">INDEX(Lookups!$C$2:$C$9,MOD(ROW()-ROW($B$2),ROWS(Lookups!$C$2:$C$9))+1)</f>
        <v>Proximity Detector</v>
      </c>
      <c r="D528" s="38" t="str">
        <f>_xlfn.XLOOKUP(C528,Analysis_Gadgets!$C:$C,Analysis_Gadgets!$B:$B)</f>
        <v>Grenade</v>
      </c>
      <c r="E528" s="43">
        <v>1</v>
      </c>
      <c r="F528" s="43">
        <f>_xlfn.XLOOKUP(A528,Class_Players!A:A,Class_Players!G:G)</f>
        <v>159</v>
      </c>
      <c r="G528" s="43">
        <f t="shared" si="151"/>
        <v>6.2893081761006293E-3</v>
      </c>
      <c r="H528" s="43">
        <f>_xlfn.XLOOKUP(A528,Class_Players!$A:$A,Class_Players!$F:$F,"")</f>
        <v>6185</v>
      </c>
      <c r="I528" s="44">
        <f t="shared" si="152"/>
        <v>1.6168148746968473E-4</v>
      </c>
      <c r="J528" s="43">
        <f t="shared" si="153"/>
        <v>0</v>
      </c>
      <c r="K528" s="44" cm="1">
        <f t="array" ref="K528">IF(D528="Gadget",_xlfn.IFS(I528&gt;=0.2,0.5,I528&gt;=0.1,0.35,I528&gt;=0.05,0.2,TRUE,0),IF(D528="Grenade",_xlfn.IFS(I528&gt;=0.2,1,I528&gt;=0.1,0.7,I528&gt;=0.05,0.4,TRUE,0),0))</f>
        <v>0</v>
      </c>
      <c r="L528" s="57">
        <f t="shared" ref="L528:L529" si="162">IF($K528=0,0,$K528 / SUMIFS($K:$K,$A:$A,$A528,$D:$D,"Grenade"))</f>
        <v>0</v>
      </c>
    </row>
    <row r="529" spans="1:12" ht="15" customHeight="1" x14ac:dyDescent="0.25">
      <c r="A529" s="42" t="str" cm="1">
        <f t="array" ref="A529">IFERROR(INDEX(_xlfn._xlws.FILTER(Class_Players!A:A,Class_Players!B:B="Recon"),QUOTIENT(ROW()-ROW($A$2),8)+1),"")</f>
        <v>XND-RAZIEL</v>
      </c>
      <c r="B529" s="42" t="str">
        <f>_xlfn.XLOOKUP(A529,Class_Players!$A:$A,Class_Players!$B:$B,"")</f>
        <v>Recon</v>
      </c>
      <c r="C529" s="38" t="str" cm="1">
        <f t="array" ref="C529">INDEX(Lookups!$C$2:$C$9,MOD(ROW()-ROW($B$2),ROWS(Lookups!$C$2:$C$9))+1)</f>
        <v>Throwing Knife</v>
      </c>
      <c r="D529" s="38" t="str">
        <f>_xlfn.XLOOKUP(C529,Analysis_Gadgets!$C:$C,Analysis_Gadgets!$B:$B)</f>
        <v>Grenade</v>
      </c>
      <c r="E529" s="43">
        <v>0</v>
      </c>
      <c r="F529" s="43">
        <f>_xlfn.XLOOKUP(A529,Class_Players!A:A,Class_Players!G:G)</f>
        <v>159</v>
      </c>
      <c r="G529" s="43">
        <f t="shared" si="151"/>
        <v>0</v>
      </c>
      <c r="H529" s="43">
        <f>_xlfn.XLOOKUP(A529,Class_Players!$A:$A,Class_Players!$F:$F,"")</f>
        <v>6185</v>
      </c>
      <c r="I529" s="44">
        <f t="shared" si="152"/>
        <v>0</v>
      </c>
      <c r="J529" s="43">
        <f t="shared" si="153"/>
        <v>0</v>
      </c>
      <c r="K529" s="44" cm="1">
        <f t="array" ref="K529">IF(D529="Gadget",_xlfn.IFS(I529&gt;=0.2,0.5,I529&gt;=0.1,0.35,I529&gt;=0.05,0.2,TRUE,0),IF(D529="Grenade",_xlfn.IFS(I529&gt;=0.2,1,I529&gt;=0.1,0.7,I529&gt;=0.05,0.4,TRUE,0),0))</f>
        <v>0</v>
      </c>
      <c r="L529" s="57">
        <f t="shared" si="162"/>
        <v>0</v>
      </c>
    </row>
    <row r="530" spans="1:12" ht="15" customHeight="1" x14ac:dyDescent="0.25">
      <c r="A530" s="42" t="str" cm="1">
        <f t="array" ref="A530">IFERROR(INDEX(_xlfn._xlws.FILTER(Class_Players!A:A,Class_Players!B:B="Recon"),QUOTIENT(ROW()-ROW($A$2),8)+1),"")</f>
        <v>MMMDOGSOLDIER13</v>
      </c>
      <c r="B530" s="42" t="str">
        <f>_xlfn.XLOOKUP(A530,Class_Players!$A:$A,Class_Players!$B:$B,"")</f>
        <v>Recon</v>
      </c>
      <c r="C530" s="38" t="str" cm="1">
        <f t="array" ref="C530">INDEX(Lookups!$C$2:$C$9,MOD(ROW()-ROW($B$2),ROWS(Lookups!$C$2:$C$9))+1)</f>
        <v>Laser Designator</v>
      </c>
      <c r="D530" s="38" t="str">
        <f>_xlfn.XLOOKUP(C530,Analysis_Gadgets!$C:$C,Analysis_Gadgets!$B:$B)</f>
        <v>Gadget</v>
      </c>
      <c r="E530" s="43">
        <v>566</v>
      </c>
      <c r="F530" s="43">
        <f>_xlfn.XLOOKUP(A530,Class_Players!A:A,Class_Players!G:G)</f>
        <v>306</v>
      </c>
      <c r="G530" s="43">
        <f t="shared" si="151"/>
        <v>1.8496732026143792</v>
      </c>
      <c r="H530" s="43">
        <f>_xlfn.XLOOKUP(A530,Class_Players!$A:$A,Class_Players!$F:$F,"")</f>
        <v>5865</v>
      </c>
      <c r="I530" s="44">
        <f t="shared" si="152"/>
        <v>9.6504688832054555E-2</v>
      </c>
      <c r="J530" s="43">
        <f t="shared" si="153"/>
        <v>0</v>
      </c>
      <c r="K530" s="44" cm="1">
        <f t="array" ref="K530">IF(D530="Gadget",_xlfn.IFS(I530&gt;=0.2,0.5,I530&gt;=0.1,0.35,I530&gt;=0.05,0.2,TRUE,0),IF(D530="Grenade",_xlfn.IFS(I530&gt;=0.2,1,I530&gt;=0.1,0.7,I530&gt;=0.05,0.4,TRUE,0),0))</f>
        <v>0.2</v>
      </c>
      <c r="L530" s="57">
        <f t="shared" ref="L530:L535" si="163">IF($K530=0,0,$K530 / SUMIFS($K:$K,$A:$A,$A530,$D:$D,"Gadget"))</f>
        <v>0.12903225806451613</v>
      </c>
    </row>
    <row r="531" spans="1:12" ht="15" customHeight="1" x14ac:dyDescent="0.25">
      <c r="A531" s="42" t="str" cm="1">
        <f t="array" ref="A531">IFERROR(INDEX(_xlfn._xlws.FILTER(Class_Players!A:A,Class_Players!B:B="Recon"),QUOTIENT(ROW()-ROW($A$2),8)+1),"")</f>
        <v>MMMDOGSOLDIER13</v>
      </c>
      <c r="B531" s="42" t="str">
        <f>_xlfn.XLOOKUP(A531,Class_Players!$A:$A,Class_Players!$B:$B,"")</f>
        <v>Recon</v>
      </c>
      <c r="C531" s="38" t="str" cm="1">
        <f t="array" ref="C531">INDEX(Lookups!$C$2:$C$9,MOD(ROW()-ROW($B$2),ROWS(Lookups!$C$2:$C$9))+1)</f>
        <v>Recon Drone</v>
      </c>
      <c r="D531" s="38" t="str">
        <f>_xlfn.XLOOKUP(C531,Analysis_Gadgets!$C:$C,Analysis_Gadgets!$B:$B)</f>
        <v>Gadget</v>
      </c>
      <c r="E531" s="43">
        <v>1014</v>
      </c>
      <c r="F531" s="43">
        <f>_xlfn.XLOOKUP(A531,Class_Players!A:A,Class_Players!G:G)</f>
        <v>306</v>
      </c>
      <c r="G531" s="43">
        <f t="shared" si="151"/>
        <v>3.3137254901960786</v>
      </c>
      <c r="H531" s="43">
        <f>_xlfn.XLOOKUP(A531,Class_Players!$A:$A,Class_Players!$F:$F,"")</f>
        <v>5865</v>
      </c>
      <c r="I531" s="44">
        <f t="shared" si="152"/>
        <v>0.17289002557544758</v>
      </c>
      <c r="J531" s="43">
        <f t="shared" si="153"/>
        <v>1</v>
      </c>
      <c r="K531" s="44" cm="1">
        <f t="array" ref="K531">IF(D531="Gadget",_xlfn.IFS(I531&gt;=0.2,0.5,I531&gt;=0.1,0.35,I531&gt;=0.05,0.2,TRUE,0),IF(D531="Grenade",_xlfn.IFS(I531&gt;=0.2,1,I531&gt;=0.1,0.7,I531&gt;=0.05,0.4,TRUE,0),0))</f>
        <v>0.35</v>
      </c>
      <c r="L531" s="57">
        <f t="shared" si="163"/>
        <v>0.22580645161290319</v>
      </c>
    </row>
    <row r="532" spans="1:12" ht="15" customHeight="1" x14ac:dyDescent="0.25">
      <c r="A532" s="42" t="str" cm="1">
        <f t="array" ref="A532">IFERROR(INDEX(_xlfn._xlws.FILTER(Class_Players!A:A,Class_Players!B:B="Recon"),QUOTIENT(ROW()-ROW($A$2),8)+1),"")</f>
        <v>MMMDOGSOLDIER13</v>
      </c>
      <c r="B532" s="42" t="str">
        <f>_xlfn.XLOOKUP(A532,Class_Players!$A:$A,Class_Players!$B:$B,"")</f>
        <v>Recon</v>
      </c>
      <c r="C532" s="38" t="str" cm="1">
        <f t="array" ref="C532">INDEX(Lookups!$C$2:$C$9,MOD(ROW()-ROW($B$2),ROWS(Lookups!$C$2:$C$9))+1)</f>
        <v>Tracer Dart</v>
      </c>
      <c r="D532" s="38" t="str">
        <f>_xlfn.XLOOKUP(C532,Analysis_Gadgets!$C:$C,Analysis_Gadgets!$B:$B)</f>
        <v>Gadget</v>
      </c>
      <c r="E532" s="43">
        <v>67</v>
      </c>
      <c r="F532" s="43">
        <f>_xlfn.XLOOKUP(A532,Class_Players!A:A,Class_Players!G:G)</f>
        <v>306</v>
      </c>
      <c r="G532" s="43">
        <f t="shared" si="151"/>
        <v>0.21895424836601307</v>
      </c>
      <c r="H532" s="43">
        <f>_xlfn.XLOOKUP(A532,Class_Players!$A:$A,Class_Players!$F:$F,"")</f>
        <v>5865</v>
      </c>
      <c r="I532" s="44">
        <f t="shared" si="152"/>
        <v>1.1423699914748509E-2</v>
      </c>
      <c r="J532" s="43">
        <f t="shared" si="153"/>
        <v>0</v>
      </c>
      <c r="K532" s="44" cm="1">
        <f t="array" ref="K532">IF(D532="Gadget",_xlfn.IFS(I532&gt;=0.2,0.5,I532&gt;=0.1,0.35,I532&gt;=0.05,0.2,TRUE,0),IF(D532="Grenade",_xlfn.IFS(I532&gt;=0.2,1,I532&gt;=0.1,0.7,I532&gt;=0.05,0.4,TRUE,0),0))</f>
        <v>0</v>
      </c>
      <c r="L532" s="57">
        <f t="shared" si="163"/>
        <v>0</v>
      </c>
    </row>
    <row r="533" spans="1:12" ht="15" customHeight="1" x14ac:dyDescent="0.25">
      <c r="A533" s="42" t="str" cm="1">
        <f t="array" ref="A533">IFERROR(INDEX(_xlfn._xlws.FILTER(Class_Players!A:A,Class_Players!B:B="Recon"),QUOTIENT(ROW()-ROW($A$2),8)+1),"")</f>
        <v>MMMDOGSOLDIER13</v>
      </c>
      <c r="B533" s="42" t="str">
        <f>_xlfn.XLOOKUP(A533,Class_Players!$A:$A,Class_Players!$B:$B,"")</f>
        <v>Recon</v>
      </c>
      <c r="C533" s="38" t="str" cm="1">
        <f t="array" ref="C533">INDEX(Lookups!$C$2:$C$9,MOD(ROW()-ROW($B$2),ROWS(Lookups!$C$2:$C$9))+1)</f>
        <v>M18A1 (Claymore)</v>
      </c>
      <c r="D533" s="38" t="str">
        <f>_xlfn.XLOOKUP(C533,Analysis_Gadgets!$C:$C,Analysis_Gadgets!$B:$B)</f>
        <v>Gadget</v>
      </c>
      <c r="E533" s="43">
        <v>3895</v>
      </c>
      <c r="F533" s="43">
        <f>_xlfn.XLOOKUP(A533,Class_Players!A:A,Class_Players!G:G)</f>
        <v>306</v>
      </c>
      <c r="G533" s="43">
        <f t="shared" si="151"/>
        <v>12.72875816993464</v>
      </c>
      <c r="H533" s="43">
        <f>_xlfn.XLOOKUP(A533,Class_Players!$A:$A,Class_Players!$F:$F,"")</f>
        <v>5865</v>
      </c>
      <c r="I533" s="44">
        <f t="shared" si="152"/>
        <v>0.66410912190963345</v>
      </c>
      <c r="J533" s="43">
        <f t="shared" si="153"/>
        <v>1</v>
      </c>
      <c r="K533" s="44" cm="1">
        <f t="array" ref="K533">IF(D533="Gadget",_xlfn.IFS(I533&gt;=0.2,0.5,I533&gt;=0.1,0.35,I533&gt;=0.05,0.2,TRUE,0),IF(D533="Grenade",_xlfn.IFS(I533&gt;=0.2,1,I533&gt;=0.1,0.7,I533&gt;=0.05,0.4,TRUE,0),0))</f>
        <v>0.5</v>
      </c>
      <c r="L533" s="57">
        <f t="shared" si="163"/>
        <v>0.32258064516129031</v>
      </c>
    </row>
    <row r="534" spans="1:12" ht="15" customHeight="1" x14ac:dyDescent="0.25">
      <c r="A534" s="42" t="str" cm="1">
        <f t="array" ref="A534">IFERROR(INDEX(_xlfn._xlws.FILTER(Class_Players!A:A,Class_Players!B:B="Recon"),QUOTIENT(ROW()-ROW($A$2),8)+1),"")</f>
        <v>MMMDOGSOLDIER13</v>
      </c>
      <c r="B534" s="42" t="str">
        <f>_xlfn.XLOOKUP(A534,Class_Players!$A:$A,Class_Players!$B:$B,"")</f>
        <v>Recon</v>
      </c>
      <c r="C534" s="38" t="str" cm="1">
        <f t="array" ref="C534">INDEX(Lookups!$C$2:$C$9,MOD(ROW()-ROW($B$2),ROWS(Lookups!$C$2:$C$9))+1)</f>
        <v>Sniper Decoy</v>
      </c>
      <c r="D534" s="38" t="str">
        <f>_xlfn.XLOOKUP(C534,Analysis_Gadgets!$C:$C,Analysis_Gadgets!$B:$B)</f>
        <v>Gadget</v>
      </c>
      <c r="E534" s="43">
        <v>157</v>
      </c>
      <c r="F534" s="43">
        <f>_xlfn.XLOOKUP(A534,Class_Players!A:A,Class_Players!G:G)</f>
        <v>306</v>
      </c>
      <c r="G534" s="43">
        <f t="shared" si="151"/>
        <v>0.51307189542483655</v>
      </c>
      <c r="H534" s="43">
        <f>_xlfn.XLOOKUP(A534,Class_Players!$A:$A,Class_Players!$F:$F,"")</f>
        <v>5865</v>
      </c>
      <c r="I534" s="44">
        <f t="shared" si="152"/>
        <v>2.6768968456947997E-2</v>
      </c>
      <c r="J534" s="43">
        <f t="shared" si="153"/>
        <v>0</v>
      </c>
      <c r="K534" s="44" cm="1">
        <f t="array" ref="K534">IF(D534="Gadget",_xlfn.IFS(I534&gt;=0.2,0.5,I534&gt;=0.1,0.35,I534&gt;=0.05,0.2,TRUE,0),IF(D534="Grenade",_xlfn.IFS(I534&gt;=0.2,1,I534&gt;=0.1,0.7,I534&gt;=0.05,0.4,TRUE,0),0))</f>
        <v>0</v>
      </c>
      <c r="L534" s="57">
        <f t="shared" si="163"/>
        <v>0</v>
      </c>
    </row>
    <row r="535" spans="1:12" ht="15" customHeight="1" x14ac:dyDescent="0.25">
      <c r="A535" s="42" t="str" cm="1">
        <f t="array" ref="A535">IFERROR(INDEX(_xlfn._xlws.FILTER(Class_Players!A:A,Class_Players!B:B="Recon"),QUOTIENT(ROW()-ROW($A$2),8)+1),"")</f>
        <v>MMMDOGSOLDIER13</v>
      </c>
      <c r="B535" s="42" t="str">
        <f>_xlfn.XLOOKUP(A535,Class_Players!$A:$A,Class_Players!$B:$B,"")</f>
        <v>Recon</v>
      </c>
      <c r="C535" s="38" t="str" cm="1">
        <f t="array" ref="C535">INDEX(Lookups!$C$2:$C$9,MOD(ROW()-ROW($B$2),ROWS(Lookups!$C$2:$C$9))+1)</f>
        <v>C-4 Explosives</v>
      </c>
      <c r="D535" s="38" t="str">
        <f>_xlfn.XLOOKUP(C535,Analysis_Gadgets!$C:$C,Analysis_Gadgets!$B:$B)</f>
        <v>Gadget</v>
      </c>
      <c r="E535" s="43">
        <v>5596</v>
      </c>
      <c r="F535" s="43">
        <f>_xlfn.XLOOKUP(A535,Class_Players!A:A,Class_Players!G:G)</f>
        <v>306</v>
      </c>
      <c r="G535" s="43">
        <f t="shared" si="151"/>
        <v>18.287581699346404</v>
      </c>
      <c r="H535" s="43">
        <f>_xlfn.XLOOKUP(A535,Class_Players!$A:$A,Class_Players!$F:$F,"")</f>
        <v>5865</v>
      </c>
      <c r="I535" s="44">
        <f t="shared" si="152"/>
        <v>0.9541346973572038</v>
      </c>
      <c r="J535" s="43">
        <f t="shared" si="153"/>
        <v>1</v>
      </c>
      <c r="K535" s="44" cm="1">
        <f t="array" ref="K535">IF(D535="Gadget",_xlfn.IFS(I535&gt;=0.2,0.5,I535&gt;=0.1,0.35,I535&gt;=0.05,0.2,TRUE,0),IF(D535="Grenade",_xlfn.IFS(I535&gt;=0.2,1,I535&gt;=0.1,0.7,I535&gt;=0.05,0.4,TRUE,0),0))</f>
        <v>0.5</v>
      </c>
      <c r="L535" s="57">
        <f t="shared" si="163"/>
        <v>0.32258064516129031</v>
      </c>
    </row>
    <row r="536" spans="1:12" ht="15" customHeight="1" x14ac:dyDescent="0.25">
      <c r="A536" s="42" t="str" cm="1">
        <f t="array" ref="A536">IFERROR(INDEX(_xlfn._xlws.FILTER(Class_Players!A:A,Class_Players!B:B="Recon"),QUOTIENT(ROW()-ROW($A$2),8)+1),"")</f>
        <v>MMMDOGSOLDIER13</v>
      </c>
      <c r="B536" s="42" t="str">
        <f>_xlfn.XLOOKUP(A536,Class_Players!$A:$A,Class_Players!$B:$B,"")</f>
        <v>Recon</v>
      </c>
      <c r="C536" s="38" t="str" cm="1">
        <f t="array" ref="C536">INDEX(Lookups!$C$2:$C$9,MOD(ROW()-ROW($B$2),ROWS(Lookups!$C$2:$C$9))+1)</f>
        <v>Proximity Detector</v>
      </c>
      <c r="D536" s="38" t="str">
        <f>_xlfn.XLOOKUP(C536,Analysis_Gadgets!$C:$C,Analysis_Gadgets!$B:$B)</f>
        <v>Grenade</v>
      </c>
      <c r="E536" s="43">
        <v>154</v>
      </c>
      <c r="F536" s="43">
        <f>_xlfn.XLOOKUP(A536,Class_Players!A:A,Class_Players!G:G)</f>
        <v>306</v>
      </c>
      <c r="G536" s="43">
        <f t="shared" si="151"/>
        <v>0.50326797385620914</v>
      </c>
      <c r="H536" s="43">
        <f>_xlfn.XLOOKUP(A536,Class_Players!$A:$A,Class_Players!$F:$F,"")</f>
        <v>5865</v>
      </c>
      <c r="I536" s="44">
        <f t="shared" si="152"/>
        <v>2.6257459505541345E-2</v>
      </c>
      <c r="J536" s="43">
        <f t="shared" si="153"/>
        <v>0</v>
      </c>
      <c r="K536" s="44" cm="1">
        <f t="array" ref="K536">IF(D536="Gadget",_xlfn.IFS(I536&gt;=0.2,0.5,I536&gt;=0.1,0.35,I536&gt;=0.05,0.2,TRUE,0),IF(D536="Grenade",_xlfn.IFS(I536&gt;=0.2,1,I536&gt;=0.1,0.7,I536&gt;=0.05,0.4,TRUE,0),0))</f>
        <v>0</v>
      </c>
      <c r="L536" s="57">
        <f t="shared" ref="L536:L537" si="164">IF($K536=0,0,$K536 / SUMIFS($K:$K,$A:$A,$A536,$D:$D,"Grenade"))</f>
        <v>0</v>
      </c>
    </row>
    <row r="537" spans="1:12" ht="15" customHeight="1" x14ac:dyDescent="0.25">
      <c r="A537" s="42" t="str" cm="1">
        <f t="array" ref="A537">IFERROR(INDEX(_xlfn._xlws.FILTER(Class_Players!A:A,Class_Players!B:B="Recon"),QUOTIENT(ROW()-ROW($A$2),8)+1),"")</f>
        <v>MMMDOGSOLDIER13</v>
      </c>
      <c r="B537" s="42" t="str">
        <f>_xlfn.XLOOKUP(A537,Class_Players!$A:$A,Class_Players!$B:$B,"")</f>
        <v>Recon</v>
      </c>
      <c r="C537" s="38" t="str" cm="1">
        <f t="array" ref="C537">INDEX(Lookups!$C$2:$C$9,MOD(ROW()-ROW($B$2),ROWS(Lookups!$C$2:$C$9))+1)</f>
        <v>Throwing Knife</v>
      </c>
      <c r="D537" s="38" t="str">
        <f>_xlfn.XLOOKUP(C537,Analysis_Gadgets!$C:$C,Analysis_Gadgets!$B:$B)</f>
        <v>Grenade</v>
      </c>
      <c r="E537" s="43">
        <v>78</v>
      </c>
      <c r="F537" s="43">
        <f>_xlfn.XLOOKUP(A537,Class_Players!A:A,Class_Players!G:G)</f>
        <v>306</v>
      </c>
      <c r="G537" s="43">
        <f t="shared" si="151"/>
        <v>0.25490196078431371</v>
      </c>
      <c r="H537" s="43">
        <f>_xlfn.XLOOKUP(A537,Class_Players!$A:$A,Class_Players!$F:$F,"")</f>
        <v>5865</v>
      </c>
      <c r="I537" s="44">
        <f t="shared" si="152"/>
        <v>1.3299232736572891E-2</v>
      </c>
      <c r="J537" s="43">
        <f t="shared" si="153"/>
        <v>0</v>
      </c>
      <c r="K537" s="44" cm="1">
        <f t="array" ref="K537">IF(D537="Gadget",_xlfn.IFS(I537&gt;=0.2,0.5,I537&gt;=0.1,0.35,I537&gt;=0.05,0.2,TRUE,0),IF(D537="Grenade",_xlfn.IFS(I537&gt;=0.2,1,I537&gt;=0.1,0.7,I537&gt;=0.05,0.4,TRUE,0),0))</f>
        <v>0</v>
      </c>
      <c r="L537" s="57">
        <f t="shared" si="164"/>
        <v>0</v>
      </c>
    </row>
    <row r="538" spans="1:12" ht="15" customHeight="1" x14ac:dyDescent="0.25">
      <c r="A538" s="42" t="str" cm="1">
        <f t="array" ref="A538">IFERROR(INDEX(_xlfn._xlws.FILTER(Class_Players!A:A,Class_Players!B:B="Recon"),QUOTIENT(ROW()-ROW($A$2),8)+1),"")</f>
        <v>BilibiLi-iDSGDAi</v>
      </c>
      <c r="B538" s="42" t="str">
        <f>_xlfn.XLOOKUP(A538,Class_Players!$A:$A,Class_Players!$B:$B,"")</f>
        <v>Recon</v>
      </c>
      <c r="C538" s="38" t="str" cm="1">
        <f t="array" ref="C538">INDEX(Lookups!$C$2:$C$9,MOD(ROW()-ROW($B$2),ROWS(Lookups!$C$2:$C$9))+1)</f>
        <v>Laser Designator</v>
      </c>
      <c r="D538" s="38" t="str">
        <f>_xlfn.XLOOKUP(C538,Analysis_Gadgets!$C:$C,Analysis_Gadgets!$B:$B)</f>
        <v>Gadget</v>
      </c>
      <c r="E538" s="43">
        <v>354</v>
      </c>
      <c r="F538" s="43">
        <f>_xlfn.XLOOKUP(A538,Class_Players!A:A,Class_Players!G:G)</f>
        <v>409</v>
      </c>
      <c r="G538" s="43">
        <f t="shared" ref="G538:G601" si="165">IF(F538=0,"",E538/(F538))</f>
        <v>0.86552567237163813</v>
      </c>
      <c r="H538" s="43">
        <f>_xlfn.XLOOKUP(A538,Class_Players!$A:$A,Class_Players!$F:$F,"")</f>
        <v>5825</v>
      </c>
      <c r="I538" s="44">
        <f t="shared" ref="I538:I601" si="166">IF(H538=0,"",E538/H538)</f>
        <v>6.0772532188841204E-2</v>
      </c>
      <c r="J538" s="43">
        <f t="shared" ref="J538:J601" si="167">IF(I538&gt;=0.1,1,0)</f>
        <v>0</v>
      </c>
      <c r="K538" s="44" cm="1">
        <f t="array" ref="K538">IF(D538="Gadget",_xlfn.IFS(I538&gt;=0.2,0.5,I538&gt;=0.1,0.35,I538&gt;=0.05,0.2,TRUE,0),IF(D538="Grenade",_xlfn.IFS(I538&gt;=0.2,1,I538&gt;=0.1,0.7,I538&gt;=0.05,0.4,TRUE,0),0))</f>
        <v>0.2</v>
      </c>
      <c r="L538" s="57">
        <f t="shared" ref="L538:L543" si="168">IF($K538=0,0,$K538 / SUMIFS($K:$K,$A:$A,$A538,$D:$D,"Gadget"))</f>
        <v>0.14285714285714288</v>
      </c>
    </row>
    <row r="539" spans="1:12" ht="15" customHeight="1" x14ac:dyDescent="0.25">
      <c r="A539" s="42" t="str" cm="1">
        <f t="array" ref="A539">IFERROR(INDEX(_xlfn._xlws.FILTER(Class_Players!A:A,Class_Players!B:B="Recon"),QUOTIENT(ROW()-ROW($A$2),8)+1),"")</f>
        <v>BilibiLi-iDSGDAi</v>
      </c>
      <c r="B539" s="42" t="str">
        <f>_xlfn.XLOOKUP(A539,Class_Players!$A:$A,Class_Players!$B:$B,"")</f>
        <v>Recon</v>
      </c>
      <c r="C539" s="38" t="str" cm="1">
        <f t="array" ref="C539">INDEX(Lookups!$C$2:$C$9,MOD(ROW()-ROW($B$2),ROWS(Lookups!$C$2:$C$9))+1)</f>
        <v>Recon Drone</v>
      </c>
      <c r="D539" s="38" t="str">
        <f>_xlfn.XLOOKUP(C539,Analysis_Gadgets!$C:$C,Analysis_Gadgets!$B:$B)</f>
        <v>Gadget</v>
      </c>
      <c r="E539" s="43">
        <v>349</v>
      </c>
      <c r="F539" s="43">
        <f>_xlfn.XLOOKUP(A539,Class_Players!A:A,Class_Players!G:G)</f>
        <v>409</v>
      </c>
      <c r="G539" s="43">
        <f t="shared" si="165"/>
        <v>0.85330073349633251</v>
      </c>
      <c r="H539" s="43">
        <f>_xlfn.XLOOKUP(A539,Class_Players!$A:$A,Class_Players!$F:$F,"")</f>
        <v>5825</v>
      </c>
      <c r="I539" s="44">
        <f t="shared" si="166"/>
        <v>5.9914163090128758E-2</v>
      </c>
      <c r="J539" s="43">
        <f t="shared" si="167"/>
        <v>0</v>
      </c>
      <c r="K539" s="44" cm="1">
        <f t="array" ref="K539">IF(D539="Gadget",_xlfn.IFS(I539&gt;=0.2,0.5,I539&gt;=0.1,0.35,I539&gt;=0.05,0.2,TRUE,0),IF(D539="Grenade",_xlfn.IFS(I539&gt;=0.2,1,I539&gt;=0.1,0.7,I539&gt;=0.05,0.4,TRUE,0),0))</f>
        <v>0.2</v>
      </c>
      <c r="L539" s="57">
        <f t="shared" si="168"/>
        <v>0.14285714285714288</v>
      </c>
    </row>
    <row r="540" spans="1:12" ht="15" customHeight="1" x14ac:dyDescent="0.25">
      <c r="A540" s="42" t="str" cm="1">
        <f t="array" ref="A540">IFERROR(INDEX(_xlfn._xlws.FILTER(Class_Players!A:A,Class_Players!B:B="Recon"),QUOTIENT(ROW()-ROW($A$2),8)+1),"")</f>
        <v>BilibiLi-iDSGDAi</v>
      </c>
      <c r="B540" s="42" t="str">
        <f>_xlfn.XLOOKUP(A540,Class_Players!$A:$A,Class_Players!$B:$B,"")</f>
        <v>Recon</v>
      </c>
      <c r="C540" s="38" t="str" cm="1">
        <f t="array" ref="C540">INDEX(Lookups!$C$2:$C$9,MOD(ROW()-ROW($B$2),ROWS(Lookups!$C$2:$C$9))+1)</f>
        <v>Tracer Dart</v>
      </c>
      <c r="D540" s="38" t="str">
        <f>_xlfn.XLOOKUP(C540,Analysis_Gadgets!$C:$C,Analysis_Gadgets!$B:$B)</f>
        <v>Gadget</v>
      </c>
      <c r="E540" s="43">
        <v>3332</v>
      </c>
      <c r="F540" s="43">
        <f>_xlfn.XLOOKUP(A540,Class_Players!A:A,Class_Players!G:G)</f>
        <v>409</v>
      </c>
      <c r="G540" s="43">
        <f t="shared" si="165"/>
        <v>8.146699266503667</v>
      </c>
      <c r="H540" s="43">
        <f>_xlfn.XLOOKUP(A540,Class_Players!$A:$A,Class_Players!$F:$F,"")</f>
        <v>5825</v>
      </c>
      <c r="I540" s="44">
        <f t="shared" si="166"/>
        <v>0.57201716738197428</v>
      </c>
      <c r="J540" s="43">
        <f t="shared" si="167"/>
        <v>1</v>
      </c>
      <c r="K540" s="44" cm="1">
        <f t="array" ref="K540">IF(D540="Gadget",_xlfn.IFS(I540&gt;=0.2,0.5,I540&gt;=0.1,0.35,I540&gt;=0.05,0.2,TRUE,0),IF(D540="Grenade",_xlfn.IFS(I540&gt;=0.2,1,I540&gt;=0.1,0.7,I540&gt;=0.05,0.4,TRUE,0),0))</f>
        <v>0.5</v>
      </c>
      <c r="L540" s="57">
        <f t="shared" si="168"/>
        <v>0.35714285714285715</v>
      </c>
    </row>
    <row r="541" spans="1:12" ht="15" customHeight="1" x14ac:dyDescent="0.25">
      <c r="A541" s="42" t="str" cm="1">
        <f t="array" ref="A541">IFERROR(INDEX(_xlfn._xlws.FILTER(Class_Players!A:A,Class_Players!B:B="Recon"),QUOTIENT(ROW()-ROW($A$2),8)+1),"")</f>
        <v>BilibiLi-iDSGDAi</v>
      </c>
      <c r="B541" s="42" t="str">
        <f>_xlfn.XLOOKUP(A541,Class_Players!$A:$A,Class_Players!$B:$B,"")</f>
        <v>Recon</v>
      </c>
      <c r="C541" s="38" t="str" cm="1">
        <f t="array" ref="C541">INDEX(Lookups!$C$2:$C$9,MOD(ROW()-ROW($B$2),ROWS(Lookups!$C$2:$C$9))+1)</f>
        <v>M18A1 (Claymore)</v>
      </c>
      <c r="D541" s="38" t="str">
        <f>_xlfn.XLOOKUP(C541,Analysis_Gadgets!$C:$C,Analysis_Gadgets!$B:$B)</f>
        <v>Gadget</v>
      </c>
      <c r="E541" s="43">
        <v>242</v>
      </c>
      <c r="F541" s="43">
        <f>_xlfn.XLOOKUP(A541,Class_Players!A:A,Class_Players!G:G)</f>
        <v>409</v>
      </c>
      <c r="G541" s="43">
        <f t="shared" si="165"/>
        <v>0.59168704156479213</v>
      </c>
      <c r="H541" s="43">
        <f>_xlfn.XLOOKUP(A541,Class_Players!$A:$A,Class_Players!$F:$F,"")</f>
        <v>5825</v>
      </c>
      <c r="I541" s="44">
        <f t="shared" si="166"/>
        <v>4.1545064377682406E-2</v>
      </c>
      <c r="J541" s="43">
        <f t="shared" si="167"/>
        <v>0</v>
      </c>
      <c r="K541" s="44" cm="1">
        <f t="array" ref="K541">IF(D541="Gadget",_xlfn.IFS(I541&gt;=0.2,0.5,I541&gt;=0.1,0.35,I541&gt;=0.05,0.2,TRUE,0),IF(D541="Grenade",_xlfn.IFS(I541&gt;=0.2,1,I541&gt;=0.1,0.7,I541&gt;=0.05,0.4,TRUE,0),0))</f>
        <v>0</v>
      </c>
      <c r="L541" s="57">
        <f t="shared" si="168"/>
        <v>0</v>
      </c>
    </row>
    <row r="542" spans="1:12" ht="15" customHeight="1" x14ac:dyDescent="0.25">
      <c r="A542" s="42" t="str" cm="1">
        <f t="array" ref="A542">IFERROR(INDEX(_xlfn._xlws.FILTER(Class_Players!A:A,Class_Players!B:B="Recon"),QUOTIENT(ROW()-ROW($A$2),8)+1),"")</f>
        <v>BilibiLi-iDSGDAi</v>
      </c>
      <c r="B542" s="42" t="str">
        <f>_xlfn.XLOOKUP(A542,Class_Players!$A:$A,Class_Players!$B:$B,"")</f>
        <v>Recon</v>
      </c>
      <c r="C542" s="38" t="str" cm="1">
        <f t="array" ref="C542">INDEX(Lookups!$C$2:$C$9,MOD(ROW()-ROW($B$2),ROWS(Lookups!$C$2:$C$9))+1)</f>
        <v>Sniper Decoy</v>
      </c>
      <c r="D542" s="38" t="str">
        <f>_xlfn.XLOOKUP(C542,Analysis_Gadgets!$C:$C,Analysis_Gadgets!$B:$B)</f>
        <v>Gadget</v>
      </c>
      <c r="E542" s="43">
        <v>50</v>
      </c>
      <c r="F542" s="43">
        <f>_xlfn.XLOOKUP(A542,Class_Players!A:A,Class_Players!G:G)</f>
        <v>409</v>
      </c>
      <c r="G542" s="43">
        <f t="shared" si="165"/>
        <v>0.12224938875305623</v>
      </c>
      <c r="H542" s="43">
        <f>_xlfn.XLOOKUP(A542,Class_Players!$A:$A,Class_Players!$F:$F,"")</f>
        <v>5825</v>
      </c>
      <c r="I542" s="44">
        <f t="shared" si="166"/>
        <v>8.5836909871244635E-3</v>
      </c>
      <c r="J542" s="43">
        <f t="shared" si="167"/>
        <v>0</v>
      </c>
      <c r="K542" s="44" cm="1">
        <f t="array" ref="K542">IF(D542="Gadget",_xlfn.IFS(I542&gt;=0.2,0.5,I542&gt;=0.1,0.35,I542&gt;=0.05,0.2,TRUE,0),IF(D542="Grenade",_xlfn.IFS(I542&gt;=0.2,1,I542&gt;=0.1,0.7,I542&gt;=0.05,0.4,TRUE,0),0))</f>
        <v>0</v>
      </c>
      <c r="L542" s="57">
        <f t="shared" si="168"/>
        <v>0</v>
      </c>
    </row>
    <row r="543" spans="1:12" ht="15" customHeight="1" x14ac:dyDescent="0.25">
      <c r="A543" s="42" t="str" cm="1">
        <f t="array" ref="A543">IFERROR(INDEX(_xlfn._xlws.FILTER(Class_Players!A:A,Class_Players!B:B="Recon"),QUOTIENT(ROW()-ROW($A$2),8)+1),"")</f>
        <v>BilibiLi-iDSGDAi</v>
      </c>
      <c r="B543" s="42" t="str">
        <f>_xlfn.XLOOKUP(A543,Class_Players!$A:$A,Class_Players!$B:$B,"")</f>
        <v>Recon</v>
      </c>
      <c r="C543" s="38" t="str" cm="1">
        <f t="array" ref="C543">INDEX(Lookups!$C$2:$C$9,MOD(ROW()-ROW($B$2),ROWS(Lookups!$C$2:$C$9))+1)</f>
        <v>C-4 Explosives</v>
      </c>
      <c r="D543" s="38" t="str">
        <f>_xlfn.XLOOKUP(C543,Analysis_Gadgets!$C:$C,Analysis_Gadgets!$B:$B)</f>
        <v>Gadget</v>
      </c>
      <c r="E543" s="43">
        <v>3184</v>
      </c>
      <c r="F543" s="43">
        <f>_xlfn.XLOOKUP(A543,Class_Players!A:A,Class_Players!G:G)</f>
        <v>409</v>
      </c>
      <c r="G543" s="43">
        <f t="shared" si="165"/>
        <v>7.7848410757946214</v>
      </c>
      <c r="H543" s="43">
        <f>_xlfn.XLOOKUP(A543,Class_Players!$A:$A,Class_Players!$F:$F,"")</f>
        <v>5825</v>
      </c>
      <c r="I543" s="44">
        <f t="shared" si="166"/>
        <v>0.54660944206008588</v>
      </c>
      <c r="J543" s="43">
        <f t="shared" si="167"/>
        <v>1</v>
      </c>
      <c r="K543" s="44" cm="1">
        <f t="array" ref="K543">IF(D543="Gadget",_xlfn.IFS(I543&gt;=0.2,0.5,I543&gt;=0.1,0.35,I543&gt;=0.05,0.2,TRUE,0),IF(D543="Grenade",_xlfn.IFS(I543&gt;=0.2,1,I543&gt;=0.1,0.7,I543&gt;=0.05,0.4,TRUE,0),0))</f>
        <v>0.5</v>
      </c>
      <c r="L543" s="57">
        <f t="shared" si="168"/>
        <v>0.35714285714285715</v>
      </c>
    </row>
    <row r="544" spans="1:12" ht="15" customHeight="1" x14ac:dyDescent="0.25">
      <c r="A544" s="42" t="str" cm="1">
        <f t="array" ref="A544">IFERROR(INDEX(_xlfn._xlws.FILTER(Class_Players!A:A,Class_Players!B:B="Recon"),QUOTIENT(ROW()-ROW($A$2),8)+1),"")</f>
        <v>BilibiLi-iDSGDAi</v>
      </c>
      <c r="B544" s="42" t="str">
        <f>_xlfn.XLOOKUP(A544,Class_Players!$A:$A,Class_Players!$B:$B,"")</f>
        <v>Recon</v>
      </c>
      <c r="C544" s="38" t="str" cm="1">
        <f t="array" ref="C544">INDEX(Lookups!$C$2:$C$9,MOD(ROW()-ROW($B$2),ROWS(Lookups!$C$2:$C$9))+1)</f>
        <v>Proximity Detector</v>
      </c>
      <c r="D544" s="38" t="str">
        <f>_xlfn.XLOOKUP(C544,Analysis_Gadgets!$C:$C,Analysis_Gadgets!$B:$B)</f>
        <v>Grenade</v>
      </c>
      <c r="E544" s="43">
        <v>0</v>
      </c>
      <c r="F544" s="43">
        <f>_xlfn.XLOOKUP(A544,Class_Players!A:A,Class_Players!G:G)</f>
        <v>409</v>
      </c>
      <c r="G544" s="43">
        <f t="shared" si="165"/>
        <v>0</v>
      </c>
      <c r="H544" s="43">
        <f>_xlfn.XLOOKUP(A544,Class_Players!$A:$A,Class_Players!$F:$F,"")</f>
        <v>5825</v>
      </c>
      <c r="I544" s="44">
        <f t="shared" si="166"/>
        <v>0</v>
      </c>
      <c r="J544" s="43">
        <f t="shared" si="167"/>
        <v>0</v>
      </c>
      <c r="K544" s="44" cm="1">
        <f t="array" ref="K544">IF(D544="Gadget",_xlfn.IFS(I544&gt;=0.2,0.5,I544&gt;=0.1,0.35,I544&gt;=0.05,0.2,TRUE,0),IF(D544="Grenade",_xlfn.IFS(I544&gt;=0.2,1,I544&gt;=0.1,0.7,I544&gt;=0.05,0.4,TRUE,0),0))</f>
        <v>0</v>
      </c>
      <c r="L544" s="57">
        <f t="shared" ref="L544:L545" si="169">IF($K544=0,0,$K544 / SUMIFS($K:$K,$A:$A,$A544,$D:$D,"Grenade"))</f>
        <v>0</v>
      </c>
    </row>
    <row r="545" spans="1:12" ht="15" customHeight="1" x14ac:dyDescent="0.25">
      <c r="A545" s="42" t="str" cm="1">
        <f t="array" ref="A545">IFERROR(INDEX(_xlfn._xlws.FILTER(Class_Players!A:A,Class_Players!B:B="Recon"),QUOTIENT(ROW()-ROW($A$2),8)+1),"")</f>
        <v>BilibiLi-iDSGDAi</v>
      </c>
      <c r="B545" s="42" t="str">
        <f>_xlfn.XLOOKUP(A545,Class_Players!$A:$A,Class_Players!$B:$B,"")</f>
        <v>Recon</v>
      </c>
      <c r="C545" s="38" t="str" cm="1">
        <f t="array" ref="C545">INDEX(Lookups!$C$2:$C$9,MOD(ROW()-ROW($B$2),ROWS(Lookups!$C$2:$C$9))+1)</f>
        <v>Throwing Knife</v>
      </c>
      <c r="D545" s="38" t="str">
        <f>_xlfn.XLOOKUP(C545,Analysis_Gadgets!$C:$C,Analysis_Gadgets!$B:$B)</f>
        <v>Grenade</v>
      </c>
      <c r="E545" s="43">
        <v>332</v>
      </c>
      <c r="F545" s="43">
        <f>_xlfn.XLOOKUP(A545,Class_Players!A:A,Class_Players!G:G)</f>
        <v>409</v>
      </c>
      <c r="G545" s="43">
        <f t="shared" si="165"/>
        <v>0.81173594132029336</v>
      </c>
      <c r="H545" s="43">
        <f>_xlfn.XLOOKUP(A545,Class_Players!$A:$A,Class_Players!$F:$F,"")</f>
        <v>5825</v>
      </c>
      <c r="I545" s="44">
        <f t="shared" si="166"/>
        <v>5.6995708154506435E-2</v>
      </c>
      <c r="J545" s="43">
        <f t="shared" si="167"/>
        <v>0</v>
      </c>
      <c r="K545" s="44" cm="1">
        <f t="array" ref="K545">IF(D545="Gadget",_xlfn.IFS(I545&gt;=0.2,0.5,I545&gt;=0.1,0.35,I545&gt;=0.05,0.2,TRUE,0),IF(D545="Grenade",_xlfn.IFS(I545&gt;=0.2,1,I545&gt;=0.1,0.7,I545&gt;=0.05,0.4,TRUE,0),0))</f>
        <v>0.4</v>
      </c>
      <c r="L545" s="57">
        <f t="shared" si="169"/>
        <v>1</v>
      </c>
    </row>
    <row r="546" spans="1:12" ht="15" customHeight="1" x14ac:dyDescent="0.25">
      <c r="A546" s="42" t="str" cm="1">
        <f t="array" ref="A546">IFERROR(INDEX(_xlfn._xlws.FILTER(Class_Players!A:A,Class_Players!B:B="Recon"),QUOTIENT(ROW()-ROW($A$2),8)+1),"")</f>
        <v>性感蛤P在线打枪</v>
      </c>
      <c r="B546" s="42" t="str">
        <f>_xlfn.XLOOKUP(A546,Class_Players!$A:$A,Class_Players!$B:$B,"")</f>
        <v>Recon</v>
      </c>
      <c r="C546" s="38" t="str" cm="1">
        <f t="array" ref="C546">INDEX(Lookups!$C$2:$C$9,MOD(ROW()-ROW($B$2),ROWS(Lookups!$C$2:$C$9))+1)</f>
        <v>Laser Designator</v>
      </c>
      <c r="D546" s="38" t="str">
        <f>_xlfn.XLOOKUP(C546,Analysis_Gadgets!$C:$C,Analysis_Gadgets!$B:$B)</f>
        <v>Gadget</v>
      </c>
      <c r="E546" s="43">
        <v>71</v>
      </c>
      <c r="F546" s="43">
        <f>_xlfn.XLOOKUP(A546,Class_Players!A:A,Class_Players!G:G)</f>
        <v>64</v>
      </c>
      <c r="G546" s="43">
        <f t="shared" si="165"/>
        <v>1.109375</v>
      </c>
      <c r="H546" s="43">
        <f>_xlfn.XLOOKUP(A546,Class_Players!$A:$A,Class_Players!$F:$F,"")</f>
        <v>5766</v>
      </c>
      <c r="I546" s="44">
        <f t="shared" si="166"/>
        <v>1.2313562261533125E-2</v>
      </c>
      <c r="J546" s="43">
        <f t="shared" si="167"/>
        <v>0</v>
      </c>
      <c r="K546" s="44" cm="1">
        <f t="array" ref="K546">IF(D546="Gadget",_xlfn.IFS(I546&gt;=0.2,0.5,I546&gt;=0.1,0.35,I546&gt;=0.05,0.2,TRUE,0),IF(D546="Grenade",_xlfn.IFS(I546&gt;=0.2,1,I546&gt;=0.1,0.7,I546&gt;=0.05,0.4,TRUE,0),0))</f>
        <v>0</v>
      </c>
      <c r="L546" s="57">
        <f t="shared" ref="L546:L551" si="170">IF($K546=0,0,$K546 / SUMIFS($K:$K,$A:$A,$A546,$D:$D,"Gadget"))</f>
        <v>0</v>
      </c>
    </row>
    <row r="547" spans="1:12" ht="15" customHeight="1" x14ac:dyDescent="0.25">
      <c r="A547" s="42" t="str" cm="1">
        <f t="array" ref="A547">IFERROR(INDEX(_xlfn._xlws.FILTER(Class_Players!A:A,Class_Players!B:B="Recon"),QUOTIENT(ROW()-ROW($A$2),8)+1),"")</f>
        <v>性感蛤P在线打枪</v>
      </c>
      <c r="B547" s="42" t="str">
        <f>_xlfn.XLOOKUP(A547,Class_Players!$A:$A,Class_Players!$B:$B,"")</f>
        <v>Recon</v>
      </c>
      <c r="C547" s="38" t="str" cm="1">
        <f t="array" ref="C547">INDEX(Lookups!$C$2:$C$9,MOD(ROW()-ROW($B$2),ROWS(Lookups!$C$2:$C$9))+1)</f>
        <v>Recon Drone</v>
      </c>
      <c r="D547" s="38" t="str">
        <f>_xlfn.XLOOKUP(C547,Analysis_Gadgets!$C:$C,Analysis_Gadgets!$B:$B)</f>
        <v>Gadget</v>
      </c>
      <c r="E547" s="43">
        <v>90</v>
      </c>
      <c r="F547" s="43">
        <f>_xlfn.XLOOKUP(A547,Class_Players!A:A,Class_Players!G:G)</f>
        <v>64</v>
      </c>
      <c r="G547" s="43">
        <f t="shared" si="165"/>
        <v>1.40625</v>
      </c>
      <c r="H547" s="43">
        <f>_xlfn.XLOOKUP(A547,Class_Players!$A:$A,Class_Players!$F:$F,"")</f>
        <v>5766</v>
      </c>
      <c r="I547" s="44">
        <f t="shared" si="166"/>
        <v>1.5608740894901144E-2</v>
      </c>
      <c r="J547" s="43">
        <f t="shared" si="167"/>
        <v>0</v>
      </c>
      <c r="K547" s="44" cm="1">
        <f t="array" ref="K547">IF(D547="Gadget",_xlfn.IFS(I547&gt;=0.2,0.5,I547&gt;=0.1,0.35,I547&gt;=0.05,0.2,TRUE,0),IF(D547="Grenade",_xlfn.IFS(I547&gt;=0.2,1,I547&gt;=0.1,0.7,I547&gt;=0.05,0.4,TRUE,0),0))</f>
        <v>0</v>
      </c>
      <c r="L547" s="57">
        <f t="shared" si="170"/>
        <v>0</v>
      </c>
    </row>
    <row r="548" spans="1:12" ht="15" customHeight="1" x14ac:dyDescent="0.25">
      <c r="A548" s="42" t="str" cm="1">
        <f t="array" ref="A548">IFERROR(INDEX(_xlfn._xlws.FILTER(Class_Players!A:A,Class_Players!B:B="Recon"),QUOTIENT(ROW()-ROW($A$2),8)+1),"")</f>
        <v>性感蛤P在线打枪</v>
      </c>
      <c r="B548" s="42" t="str">
        <f>_xlfn.XLOOKUP(A548,Class_Players!$A:$A,Class_Players!$B:$B,"")</f>
        <v>Recon</v>
      </c>
      <c r="C548" s="38" t="str" cm="1">
        <f t="array" ref="C548">INDEX(Lookups!$C$2:$C$9,MOD(ROW()-ROW($B$2),ROWS(Lookups!$C$2:$C$9))+1)</f>
        <v>Tracer Dart</v>
      </c>
      <c r="D548" s="38" t="str">
        <f>_xlfn.XLOOKUP(C548,Analysis_Gadgets!$C:$C,Analysis_Gadgets!$B:$B)</f>
        <v>Gadget</v>
      </c>
      <c r="E548" s="43">
        <v>22</v>
      </c>
      <c r="F548" s="43">
        <f>_xlfn.XLOOKUP(A548,Class_Players!A:A,Class_Players!G:G)</f>
        <v>64</v>
      </c>
      <c r="G548" s="43">
        <f t="shared" si="165"/>
        <v>0.34375</v>
      </c>
      <c r="H548" s="43">
        <f>_xlfn.XLOOKUP(A548,Class_Players!$A:$A,Class_Players!$F:$F,"")</f>
        <v>5766</v>
      </c>
      <c r="I548" s="44">
        <f t="shared" si="166"/>
        <v>3.815469996531391E-3</v>
      </c>
      <c r="J548" s="43">
        <f t="shared" si="167"/>
        <v>0</v>
      </c>
      <c r="K548" s="44" cm="1">
        <f t="array" ref="K548">IF(D548="Gadget",_xlfn.IFS(I548&gt;=0.2,0.5,I548&gt;=0.1,0.35,I548&gt;=0.05,0.2,TRUE,0),IF(D548="Grenade",_xlfn.IFS(I548&gt;=0.2,1,I548&gt;=0.1,0.7,I548&gt;=0.05,0.4,TRUE,0),0))</f>
        <v>0</v>
      </c>
      <c r="L548" s="57">
        <f t="shared" si="170"/>
        <v>0</v>
      </c>
    </row>
    <row r="549" spans="1:12" ht="15" customHeight="1" x14ac:dyDescent="0.25">
      <c r="A549" s="42" t="str" cm="1">
        <f t="array" ref="A549">IFERROR(INDEX(_xlfn._xlws.FILTER(Class_Players!A:A,Class_Players!B:B="Recon"),QUOTIENT(ROW()-ROW($A$2),8)+1),"")</f>
        <v>性感蛤P在线打枪</v>
      </c>
      <c r="B549" s="42" t="str">
        <f>_xlfn.XLOOKUP(A549,Class_Players!$A:$A,Class_Players!$B:$B,"")</f>
        <v>Recon</v>
      </c>
      <c r="C549" s="38" t="str" cm="1">
        <f t="array" ref="C549">INDEX(Lookups!$C$2:$C$9,MOD(ROW()-ROW($B$2),ROWS(Lookups!$C$2:$C$9))+1)</f>
        <v>M18A1 (Claymore)</v>
      </c>
      <c r="D549" s="38" t="str">
        <f>_xlfn.XLOOKUP(C549,Analysis_Gadgets!$C:$C,Analysis_Gadgets!$B:$B)</f>
        <v>Gadget</v>
      </c>
      <c r="E549" s="43">
        <v>1034</v>
      </c>
      <c r="F549" s="43">
        <f>_xlfn.XLOOKUP(A549,Class_Players!A:A,Class_Players!G:G)</f>
        <v>64</v>
      </c>
      <c r="G549" s="43">
        <f t="shared" si="165"/>
        <v>16.15625</v>
      </c>
      <c r="H549" s="43">
        <f>_xlfn.XLOOKUP(A549,Class_Players!$A:$A,Class_Players!$F:$F,"")</f>
        <v>5766</v>
      </c>
      <c r="I549" s="44">
        <f t="shared" si="166"/>
        <v>0.17932708983697537</v>
      </c>
      <c r="J549" s="43">
        <f t="shared" si="167"/>
        <v>1</v>
      </c>
      <c r="K549" s="44" cm="1">
        <f t="array" ref="K549">IF(D549="Gadget",_xlfn.IFS(I549&gt;=0.2,0.5,I549&gt;=0.1,0.35,I549&gt;=0.05,0.2,TRUE,0),IF(D549="Grenade",_xlfn.IFS(I549&gt;=0.2,1,I549&gt;=0.1,0.7,I549&gt;=0.05,0.4,TRUE,0),0))</f>
        <v>0.35</v>
      </c>
      <c r="L549" s="57">
        <f t="shared" si="170"/>
        <v>0.41176470588235292</v>
      </c>
    </row>
    <row r="550" spans="1:12" ht="15" customHeight="1" x14ac:dyDescent="0.25">
      <c r="A550" s="42" t="str" cm="1">
        <f t="array" ref="A550">IFERROR(INDEX(_xlfn._xlws.FILTER(Class_Players!A:A,Class_Players!B:B="Recon"),QUOTIENT(ROW()-ROW($A$2),8)+1),"")</f>
        <v>性感蛤P在线打枪</v>
      </c>
      <c r="B550" s="42" t="str">
        <f>_xlfn.XLOOKUP(A550,Class_Players!$A:$A,Class_Players!$B:$B,"")</f>
        <v>Recon</v>
      </c>
      <c r="C550" s="38" t="str" cm="1">
        <f t="array" ref="C550">INDEX(Lookups!$C$2:$C$9,MOD(ROW()-ROW($B$2),ROWS(Lookups!$C$2:$C$9))+1)</f>
        <v>Sniper Decoy</v>
      </c>
      <c r="D550" s="38" t="str">
        <f>_xlfn.XLOOKUP(C550,Analysis_Gadgets!$C:$C,Analysis_Gadgets!$B:$B)</f>
        <v>Gadget</v>
      </c>
      <c r="E550" s="43">
        <v>40</v>
      </c>
      <c r="F550" s="43">
        <f>_xlfn.XLOOKUP(A550,Class_Players!A:A,Class_Players!G:G)</f>
        <v>64</v>
      </c>
      <c r="G550" s="43">
        <f t="shared" si="165"/>
        <v>0.625</v>
      </c>
      <c r="H550" s="43">
        <f>_xlfn.XLOOKUP(A550,Class_Players!$A:$A,Class_Players!$F:$F,"")</f>
        <v>5766</v>
      </c>
      <c r="I550" s="44">
        <f t="shared" si="166"/>
        <v>6.9372181755116202E-3</v>
      </c>
      <c r="J550" s="43">
        <f t="shared" si="167"/>
        <v>0</v>
      </c>
      <c r="K550" s="44" cm="1">
        <f t="array" ref="K550">IF(D550="Gadget",_xlfn.IFS(I550&gt;=0.2,0.5,I550&gt;=0.1,0.35,I550&gt;=0.05,0.2,TRUE,0),IF(D550="Grenade",_xlfn.IFS(I550&gt;=0.2,1,I550&gt;=0.1,0.7,I550&gt;=0.05,0.4,TRUE,0),0))</f>
        <v>0</v>
      </c>
      <c r="L550" s="57">
        <f t="shared" si="170"/>
        <v>0</v>
      </c>
    </row>
    <row r="551" spans="1:12" ht="15" customHeight="1" x14ac:dyDescent="0.25">
      <c r="A551" s="42" t="str" cm="1">
        <f t="array" ref="A551">IFERROR(INDEX(_xlfn._xlws.FILTER(Class_Players!A:A,Class_Players!B:B="Recon"),QUOTIENT(ROW()-ROW($A$2),8)+1),"")</f>
        <v>性感蛤P在线打枪</v>
      </c>
      <c r="B551" s="42" t="str">
        <f>_xlfn.XLOOKUP(A551,Class_Players!$A:$A,Class_Players!$B:$B,"")</f>
        <v>Recon</v>
      </c>
      <c r="C551" s="38" t="str" cm="1">
        <f t="array" ref="C551">INDEX(Lookups!$C$2:$C$9,MOD(ROW()-ROW($B$2),ROWS(Lookups!$C$2:$C$9))+1)</f>
        <v>C-4 Explosives</v>
      </c>
      <c r="D551" s="38" t="str">
        <f>_xlfn.XLOOKUP(C551,Analysis_Gadgets!$C:$C,Analysis_Gadgets!$B:$B)</f>
        <v>Gadget</v>
      </c>
      <c r="E551" s="43">
        <v>1742</v>
      </c>
      <c r="F551" s="43">
        <f>_xlfn.XLOOKUP(A551,Class_Players!A:A,Class_Players!G:G)</f>
        <v>64</v>
      </c>
      <c r="G551" s="43">
        <f t="shared" si="165"/>
        <v>27.21875</v>
      </c>
      <c r="H551" s="43">
        <f>_xlfn.XLOOKUP(A551,Class_Players!$A:$A,Class_Players!$F:$F,"")</f>
        <v>5766</v>
      </c>
      <c r="I551" s="44">
        <f t="shared" si="166"/>
        <v>0.30211585154353104</v>
      </c>
      <c r="J551" s="43">
        <f t="shared" si="167"/>
        <v>1</v>
      </c>
      <c r="K551" s="44" cm="1">
        <f t="array" ref="K551">IF(D551="Gadget",_xlfn.IFS(I551&gt;=0.2,0.5,I551&gt;=0.1,0.35,I551&gt;=0.05,0.2,TRUE,0),IF(D551="Grenade",_xlfn.IFS(I551&gt;=0.2,1,I551&gt;=0.1,0.7,I551&gt;=0.05,0.4,TRUE,0),0))</f>
        <v>0.5</v>
      </c>
      <c r="L551" s="57">
        <f t="shared" si="170"/>
        <v>0.58823529411764708</v>
      </c>
    </row>
    <row r="552" spans="1:12" ht="15" customHeight="1" x14ac:dyDescent="0.25">
      <c r="A552" s="42" t="str" cm="1">
        <f t="array" ref="A552">IFERROR(INDEX(_xlfn._xlws.FILTER(Class_Players!A:A,Class_Players!B:B="Recon"),QUOTIENT(ROW()-ROW($A$2),8)+1),"")</f>
        <v>性感蛤P在线打枪</v>
      </c>
      <c r="B552" s="42" t="str">
        <f>_xlfn.XLOOKUP(A552,Class_Players!$A:$A,Class_Players!$B:$B,"")</f>
        <v>Recon</v>
      </c>
      <c r="C552" s="38" t="str" cm="1">
        <f t="array" ref="C552">INDEX(Lookups!$C$2:$C$9,MOD(ROW()-ROW($B$2),ROWS(Lookups!$C$2:$C$9))+1)</f>
        <v>Proximity Detector</v>
      </c>
      <c r="D552" s="38" t="str">
        <f>_xlfn.XLOOKUP(C552,Analysis_Gadgets!$C:$C,Analysis_Gadgets!$B:$B)</f>
        <v>Grenade</v>
      </c>
      <c r="E552" s="43">
        <v>118</v>
      </c>
      <c r="F552" s="43">
        <f>_xlfn.XLOOKUP(A552,Class_Players!A:A,Class_Players!G:G)</f>
        <v>64</v>
      </c>
      <c r="G552" s="43">
        <f t="shared" si="165"/>
        <v>1.84375</v>
      </c>
      <c r="H552" s="43">
        <f>_xlfn.XLOOKUP(A552,Class_Players!$A:$A,Class_Players!$F:$F,"")</f>
        <v>5766</v>
      </c>
      <c r="I552" s="44">
        <f t="shared" si="166"/>
        <v>2.046479361775928E-2</v>
      </c>
      <c r="J552" s="43">
        <f t="shared" si="167"/>
        <v>0</v>
      </c>
      <c r="K552" s="44" cm="1">
        <f t="array" ref="K552">IF(D552="Gadget",_xlfn.IFS(I552&gt;=0.2,0.5,I552&gt;=0.1,0.35,I552&gt;=0.05,0.2,TRUE,0),IF(D552="Grenade",_xlfn.IFS(I552&gt;=0.2,1,I552&gt;=0.1,0.7,I552&gt;=0.05,0.4,TRUE,0),0))</f>
        <v>0</v>
      </c>
      <c r="L552" s="57">
        <f t="shared" ref="L552:L553" si="171">IF($K552=0,0,$K552 / SUMIFS($K:$K,$A:$A,$A552,$D:$D,"Grenade"))</f>
        <v>0</v>
      </c>
    </row>
    <row r="553" spans="1:12" ht="15" customHeight="1" x14ac:dyDescent="0.25">
      <c r="A553" s="42" t="str" cm="1">
        <f t="array" ref="A553">IFERROR(INDEX(_xlfn._xlws.FILTER(Class_Players!A:A,Class_Players!B:B="Recon"),QUOTIENT(ROW()-ROW($A$2),8)+1),"")</f>
        <v>性感蛤P在线打枪</v>
      </c>
      <c r="B553" s="42" t="str">
        <f>_xlfn.XLOOKUP(A553,Class_Players!$A:$A,Class_Players!$B:$B,"")</f>
        <v>Recon</v>
      </c>
      <c r="C553" s="38" t="str" cm="1">
        <f t="array" ref="C553">INDEX(Lookups!$C$2:$C$9,MOD(ROW()-ROW($B$2),ROWS(Lookups!$C$2:$C$9))+1)</f>
        <v>Throwing Knife</v>
      </c>
      <c r="D553" s="38" t="str">
        <f>_xlfn.XLOOKUP(C553,Analysis_Gadgets!$C:$C,Analysis_Gadgets!$B:$B)</f>
        <v>Grenade</v>
      </c>
      <c r="E553" s="43">
        <v>0</v>
      </c>
      <c r="F553" s="43">
        <f>_xlfn.XLOOKUP(A553,Class_Players!A:A,Class_Players!G:G)</f>
        <v>64</v>
      </c>
      <c r="G553" s="43">
        <f t="shared" si="165"/>
        <v>0</v>
      </c>
      <c r="H553" s="43">
        <f>_xlfn.XLOOKUP(A553,Class_Players!$A:$A,Class_Players!$F:$F,"")</f>
        <v>5766</v>
      </c>
      <c r="I553" s="44">
        <f t="shared" si="166"/>
        <v>0</v>
      </c>
      <c r="J553" s="43">
        <f t="shared" si="167"/>
        <v>0</v>
      </c>
      <c r="K553" s="44" cm="1">
        <f t="array" ref="K553">IF(D553="Gadget",_xlfn.IFS(I553&gt;=0.2,0.5,I553&gt;=0.1,0.35,I553&gt;=0.05,0.2,TRUE,0),IF(D553="Grenade",_xlfn.IFS(I553&gt;=0.2,1,I553&gt;=0.1,0.7,I553&gt;=0.05,0.4,TRUE,0),0))</f>
        <v>0</v>
      </c>
      <c r="L553" s="57">
        <f t="shared" si="171"/>
        <v>0</v>
      </c>
    </row>
    <row r="554" spans="1:12" ht="15" customHeight="1" x14ac:dyDescent="0.25">
      <c r="A554" s="42" t="str" cm="1">
        <f t="array" ref="A554">IFERROR(INDEX(_xlfn._xlws.FILTER(Class_Players!A:A,Class_Players!B:B="Recon"),QUOTIENT(ROW()-ROW($A$2),8)+1),"")</f>
        <v>louco_007-YT_T</v>
      </c>
      <c r="B554" s="42" t="str">
        <f>_xlfn.XLOOKUP(A554,Class_Players!$A:$A,Class_Players!$B:$B,"")</f>
        <v>Recon</v>
      </c>
      <c r="C554" s="38" t="str" cm="1">
        <f t="array" ref="C554">INDEX(Lookups!$C$2:$C$9,MOD(ROW()-ROW($B$2),ROWS(Lookups!$C$2:$C$9))+1)</f>
        <v>Laser Designator</v>
      </c>
      <c r="D554" s="38" t="str">
        <f>_xlfn.XLOOKUP(C554,Analysis_Gadgets!$C:$C,Analysis_Gadgets!$B:$B)</f>
        <v>Gadget</v>
      </c>
      <c r="E554" s="43">
        <v>205</v>
      </c>
      <c r="F554" s="43">
        <f>_xlfn.XLOOKUP(A554,Class_Players!A:A,Class_Players!G:G)</f>
        <v>225</v>
      </c>
      <c r="G554" s="43">
        <f t="shared" si="165"/>
        <v>0.91111111111111109</v>
      </c>
      <c r="H554" s="43">
        <f>_xlfn.XLOOKUP(A554,Class_Players!$A:$A,Class_Players!$F:$F,"")</f>
        <v>6580</v>
      </c>
      <c r="I554" s="44">
        <f t="shared" si="166"/>
        <v>3.115501519756839E-2</v>
      </c>
      <c r="J554" s="43">
        <f t="shared" si="167"/>
        <v>0</v>
      </c>
      <c r="K554" s="44" cm="1">
        <f t="array" ref="K554">IF(D554="Gadget",_xlfn.IFS(I554&gt;=0.2,0.5,I554&gt;=0.1,0.35,I554&gt;=0.05,0.2,TRUE,0),IF(D554="Grenade",_xlfn.IFS(I554&gt;=0.2,1,I554&gt;=0.1,0.7,I554&gt;=0.05,0.4,TRUE,0),0))</f>
        <v>0</v>
      </c>
      <c r="L554" s="57">
        <f t="shared" ref="L554:L559" si="172">IF($K554=0,0,$K554 / SUMIFS($K:$K,$A:$A,$A554,$D:$D,"Gadget"))</f>
        <v>0</v>
      </c>
    </row>
    <row r="555" spans="1:12" ht="15" customHeight="1" x14ac:dyDescent="0.25">
      <c r="A555" s="42" t="str" cm="1">
        <f t="array" ref="A555">IFERROR(INDEX(_xlfn._xlws.FILTER(Class_Players!A:A,Class_Players!B:B="Recon"),QUOTIENT(ROW()-ROW($A$2),8)+1),"")</f>
        <v>louco_007-YT_T</v>
      </c>
      <c r="B555" s="42" t="str">
        <f>_xlfn.XLOOKUP(A555,Class_Players!$A:$A,Class_Players!$B:$B,"")</f>
        <v>Recon</v>
      </c>
      <c r="C555" s="38" t="str" cm="1">
        <f t="array" ref="C555">INDEX(Lookups!$C$2:$C$9,MOD(ROW()-ROW($B$2),ROWS(Lookups!$C$2:$C$9))+1)</f>
        <v>Recon Drone</v>
      </c>
      <c r="D555" s="38" t="str">
        <f>_xlfn.XLOOKUP(C555,Analysis_Gadgets!$C:$C,Analysis_Gadgets!$B:$B)</f>
        <v>Gadget</v>
      </c>
      <c r="E555" s="43">
        <v>351</v>
      </c>
      <c r="F555" s="43">
        <f>_xlfn.XLOOKUP(A555,Class_Players!A:A,Class_Players!G:G)</f>
        <v>225</v>
      </c>
      <c r="G555" s="43">
        <f t="shared" si="165"/>
        <v>1.56</v>
      </c>
      <c r="H555" s="43">
        <f>_xlfn.XLOOKUP(A555,Class_Players!$A:$A,Class_Players!$F:$F,"")</f>
        <v>6580</v>
      </c>
      <c r="I555" s="44">
        <f t="shared" si="166"/>
        <v>5.3343465045592703E-2</v>
      </c>
      <c r="J555" s="43">
        <f t="shared" si="167"/>
        <v>0</v>
      </c>
      <c r="K555" s="44" cm="1">
        <f t="array" ref="K555">IF(D555="Gadget",_xlfn.IFS(I555&gt;=0.2,0.5,I555&gt;=0.1,0.35,I555&gt;=0.05,0.2,TRUE,0),IF(D555="Grenade",_xlfn.IFS(I555&gt;=0.2,1,I555&gt;=0.1,0.7,I555&gt;=0.05,0.4,TRUE,0),0))</f>
        <v>0.2</v>
      </c>
      <c r="L555" s="57">
        <f t="shared" si="172"/>
        <v>0.28571428571428575</v>
      </c>
    </row>
    <row r="556" spans="1:12" ht="15" customHeight="1" x14ac:dyDescent="0.25">
      <c r="A556" s="42" t="str" cm="1">
        <f t="array" ref="A556">IFERROR(INDEX(_xlfn._xlws.FILTER(Class_Players!A:A,Class_Players!B:B="Recon"),QUOTIENT(ROW()-ROW($A$2),8)+1),"")</f>
        <v>louco_007-YT_T</v>
      </c>
      <c r="B556" s="42" t="str">
        <f>_xlfn.XLOOKUP(A556,Class_Players!$A:$A,Class_Players!$B:$B,"")</f>
        <v>Recon</v>
      </c>
      <c r="C556" s="38" t="str" cm="1">
        <f t="array" ref="C556">INDEX(Lookups!$C$2:$C$9,MOD(ROW()-ROW($B$2),ROWS(Lookups!$C$2:$C$9))+1)</f>
        <v>Tracer Dart</v>
      </c>
      <c r="D556" s="38" t="str">
        <f>_xlfn.XLOOKUP(C556,Analysis_Gadgets!$C:$C,Analysis_Gadgets!$B:$B)</f>
        <v>Gadget</v>
      </c>
      <c r="E556" s="43">
        <v>26</v>
      </c>
      <c r="F556" s="43">
        <f>_xlfn.XLOOKUP(A556,Class_Players!A:A,Class_Players!G:G)</f>
        <v>225</v>
      </c>
      <c r="G556" s="43">
        <f t="shared" si="165"/>
        <v>0.11555555555555555</v>
      </c>
      <c r="H556" s="43">
        <f>_xlfn.XLOOKUP(A556,Class_Players!$A:$A,Class_Players!$F:$F,"")</f>
        <v>6580</v>
      </c>
      <c r="I556" s="44">
        <f t="shared" si="166"/>
        <v>3.9513677811550156E-3</v>
      </c>
      <c r="J556" s="43">
        <f t="shared" si="167"/>
        <v>0</v>
      </c>
      <c r="K556" s="44" cm="1">
        <f t="array" ref="K556">IF(D556="Gadget",_xlfn.IFS(I556&gt;=0.2,0.5,I556&gt;=0.1,0.35,I556&gt;=0.05,0.2,TRUE,0),IF(D556="Grenade",_xlfn.IFS(I556&gt;=0.2,1,I556&gt;=0.1,0.7,I556&gt;=0.05,0.4,TRUE,0),0))</f>
        <v>0</v>
      </c>
      <c r="L556" s="57">
        <f t="shared" si="172"/>
        <v>0</v>
      </c>
    </row>
    <row r="557" spans="1:12" ht="15" customHeight="1" x14ac:dyDescent="0.25">
      <c r="A557" s="42" t="str" cm="1">
        <f t="array" ref="A557">IFERROR(INDEX(_xlfn._xlws.FILTER(Class_Players!A:A,Class_Players!B:B="Recon"),QUOTIENT(ROW()-ROW($A$2),8)+1),"")</f>
        <v>louco_007-YT_T</v>
      </c>
      <c r="B557" s="42" t="str">
        <f>_xlfn.XLOOKUP(A557,Class_Players!$A:$A,Class_Players!$B:$B,"")</f>
        <v>Recon</v>
      </c>
      <c r="C557" s="38" t="str" cm="1">
        <f t="array" ref="C557">INDEX(Lookups!$C$2:$C$9,MOD(ROW()-ROW($B$2),ROWS(Lookups!$C$2:$C$9))+1)</f>
        <v>M18A1 (Claymore)</v>
      </c>
      <c r="D557" s="38" t="str">
        <f>_xlfn.XLOOKUP(C557,Analysis_Gadgets!$C:$C,Analysis_Gadgets!$B:$B)</f>
        <v>Gadget</v>
      </c>
      <c r="E557" s="43">
        <v>86</v>
      </c>
      <c r="F557" s="43">
        <f>_xlfn.XLOOKUP(A557,Class_Players!A:A,Class_Players!G:G)</f>
        <v>225</v>
      </c>
      <c r="G557" s="43">
        <f t="shared" si="165"/>
        <v>0.38222222222222224</v>
      </c>
      <c r="H557" s="43">
        <f>_xlfn.XLOOKUP(A557,Class_Players!$A:$A,Class_Players!$F:$F,"")</f>
        <v>6580</v>
      </c>
      <c r="I557" s="44">
        <f t="shared" si="166"/>
        <v>1.3069908814589666E-2</v>
      </c>
      <c r="J557" s="43">
        <f t="shared" si="167"/>
        <v>0</v>
      </c>
      <c r="K557" s="44" cm="1">
        <f t="array" ref="K557">IF(D557="Gadget",_xlfn.IFS(I557&gt;=0.2,0.5,I557&gt;=0.1,0.35,I557&gt;=0.05,0.2,TRUE,0),IF(D557="Grenade",_xlfn.IFS(I557&gt;=0.2,1,I557&gt;=0.1,0.7,I557&gt;=0.05,0.4,TRUE,0),0))</f>
        <v>0</v>
      </c>
      <c r="L557" s="57">
        <f t="shared" si="172"/>
        <v>0</v>
      </c>
    </row>
    <row r="558" spans="1:12" ht="15" customHeight="1" x14ac:dyDescent="0.25">
      <c r="A558" s="42" t="str" cm="1">
        <f t="array" ref="A558">IFERROR(INDEX(_xlfn._xlws.FILTER(Class_Players!A:A,Class_Players!B:B="Recon"),QUOTIENT(ROW()-ROW($A$2),8)+1),"")</f>
        <v>louco_007-YT_T</v>
      </c>
      <c r="B558" s="42" t="str">
        <f>_xlfn.XLOOKUP(A558,Class_Players!$A:$A,Class_Players!$B:$B,"")</f>
        <v>Recon</v>
      </c>
      <c r="C558" s="38" t="str" cm="1">
        <f t="array" ref="C558">INDEX(Lookups!$C$2:$C$9,MOD(ROW()-ROW($B$2),ROWS(Lookups!$C$2:$C$9))+1)</f>
        <v>Sniper Decoy</v>
      </c>
      <c r="D558" s="38" t="str">
        <f>_xlfn.XLOOKUP(C558,Analysis_Gadgets!$C:$C,Analysis_Gadgets!$B:$B)</f>
        <v>Gadget</v>
      </c>
      <c r="E558" s="43">
        <v>159</v>
      </c>
      <c r="F558" s="43">
        <f>_xlfn.XLOOKUP(A558,Class_Players!A:A,Class_Players!G:G)</f>
        <v>225</v>
      </c>
      <c r="G558" s="43">
        <f t="shared" si="165"/>
        <v>0.70666666666666667</v>
      </c>
      <c r="H558" s="43">
        <f>_xlfn.XLOOKUP(A558,Class_Players!$A:$A,Class_Players!$F:$F,"")</f>
        <v>6580</v>
      </c>
      <c r="I558" s="44">
        <f t="shared" si="166"/>
        <v>2.4164133738601823E-2</v>
      </c>
      <c r="J558" s="43">
        <f t="shared" si="167"/>
        <v>0</v>
      </c>
      <c r="K558" s="44" cm="1">
        <f t="array" ref="K558">IF(D558="Gadget",_xlfn.IFS(I558&gt;=0.2,0.5,I558&gt;=0.1,0.35,I558&gt;=0.05,0.2,TRUE,0),IF(D558="Grenade",_xlfn.IFS(I558&gt;=0.2,1,I558&gt;=0.1,0.7,I558&gt;=0.05,0.4,TRUE,0),0))</f>
        <v>0</v>
      </c>
      <c r="L558" s="57">
        <f t="shared" si="172"/>
        <v>0</v>
      </c>
    </row>
    <row r="559" spans="1:12" ht="15" customHeight="1" x14ac:dyDescent="0.25">
      <c r="A559" s="42" t="str" cm="1">
        <f t="array" ref="A559">IFERROR(INDEX(_xlfn._xlws.FILTER(Class_Players!A:A,Class_Players!B:B="Recon"),QUOTIENT(ROW()-ROW($A$2),8)+1),"")</f>
        <v>louco_007-YT_T</v>
      </c>
      <c r="B559" s="42" t="str">
        <f>_xlfn.XLOOKUP(A559,Class_Players!$A:$A,Class_Players!$B:$B,"")</f>
        <v>Recon</v>
      </c>
      <c r="C559" s="38" t="str" cm="1">
        <f t="array" ref="C559">INDEX(Lookups!$C$2:$C$9,MOD(ROW()-ROW($B$2),ROWS(Lookups!$C$2:$C$9))+1)</f>
        <v>C-4 Explosives</v>
      </c>
      <c r="D559" s="38" t="str">
        <f>_xlfn.XLOOKUP(C559,Analysis_Gadgets!$C:$C,Analysis_Gadgets!$B:$B)</f>
        <v>Gadget</v>
      </c>
      <c r="E559" s="43">
        <v>3830</v>
      </c>
      <c r="F559" s="43">
        <f>_xlfn.XLOOKUP(A559,Class_Players!A:A,Class_Players!G:G)</f>
        <v>225</v>
      </c>
      <c r="G559" s="43">
        <f t="shared" si="165"/>
        <v>17.022222222222222</v>
      </c>
      <c r="H559" s="43">
        <f>_xlfn.XLOOKUP(A559,Class_Players!$A:$A,Class_Players!$F:$F,"")</f>
        <v>6580</v>
      </c>
      <c r="I559" s="44">
        <f t="shared" si="166"/>
        <v>0.58206686930091189</v>
      </c>
      <c r="J559" s="43">
        <f t="shared" si="167"/>
        <v>1</v>
      </c>
      <c r="K559" s="44" cm="1">
        <f t="array" ref="K559">IF(D559="Gadget",_xlfn.IFS(I559&gt;=0.2,0.5,I559&gt;=0.1,0.35,I559&gt;=0.05,0.2,TRUE,0),IF(D559="Grenade",_xlfn.IFS(I559&gt;=0.2,1,I559&gt;=0.1,0.7,I559&gt;=0.05,0.4,TRUE,0),0))</f>
        <v>0.5</v>
      </c>
      <c r="L559" s="57">
        <f t="shared" si="172"/>
        <v>0.7142857142857143</v>
      </c>
    </row>
    <row r="560" spans="1:12" ht="15" customHeight="1" x14ac:dyDescent="0.25">
      <c r="A560" s="42" t="str" cm="1">
        <f t="array" ref="A560">IFERROR(INDEX(_xlfn._xlws.FILTER(Class_Players!A:A,Class_Players!B:B="Recon"),QUOTIENT(ROW()-ROW($A$2),8)+1),"")</f>
        <v>louco_007-YT_T</v>
      </c>
      <c r="B560" s="42" t="str">
        <f>_xlfn.XLOOKUP(A560,Class_Players!$A:$A,Class_Players!$B:$B,"")</f>
        <v>Recon</v>
      </c>
      <c r="C560" s="38" t="str" cm="1">
        <f t="array" ref="C560">INDEX(Lookups!$C$2:$C$9,MOD(ROW()-ROW($B$2),ROWS(Lookups!$C$2:$C$9))+1)</f>
        <v>Proximity Detector</v>
      </c>
      <c r="D560" s="38" t="str">
        <f>_xlfn.XLOOKUP(C560,Analysis_Gadgets!$C:$C,Analysis_Gadgets!$B:$B)</f>
        <v>Grenade</v>
      </c>
      <c r="E560" s="43">
        <v>44</v>
      </c>
      <c r="F560" s="43">
        <f>_xlfn.XLOOKUP(A560,Class_Players!A:A,Class_Players!G:G)</f>
        <v>225</v>
      </c>
      <c r="G560" s="43">
        <f t="shared" si="165"/>
        <v>0.19555555555555557</v>
      </c>
      <c r="H560" s="43">
        <f>_xlfn.XLOOKUP(A560,Class_Players!$A:$A,Class_Players!$F:$F,"")</f>
        <v>6580</v>
      </c>
      <c r="I560" s="44">
        <f t="shared" si="166"/>
        <v>6.6869300911854106E-3</v>
      </c>
      <c r="J560" s="43">
        <f t="shared" si="167"/>
        <v>0</v>
      </c>
      <c r="K560" s="44" cm="1">
        <f t="array" ref="K560">IF(D560="Gadget",_xlfn.IFS(I560&gt;=0.2,0.5,I560&gt;=0.1,0.35,I560&gt;=0.05,0.2,TRUE,0),IF(D560="Grenade",_xlfn.IFS(I560&gt;=0.2,1,I560&gt;=0.1,0.7,I560&gt;=0.05,0.4,TRUE,0),0))</f>
        <v>0</v>
      </c>
      <c r="L560" s="57">
        <f t="shared" ref="L560:L561" si="173">IF($K560=0,0,$K560 / SUMIFS($K:$K,$A:$A,$A560,$D:$D,"Grenade"))</f>
        <v>0</v>
      </c>
    </row>
    <row r="561" spans="1:12" ht="15" customHeight="1" x14ac:dyDescent="0.25">
      <c r="A561" s="42" t="str" cm="1">
        <f t="array" ref="A561">IFERROR(INDEX(_xlfn._xlws.FILTER(Class_Players!A:A,Class_Players!B:B="Recon"),QUOTIENT(ROW()-ROW($A$2),8)+1),"")</f>
        <v>louco_007-YT_T</v>
      </c>
      <c r="B561" s="42" t="str">
        <f>_xlfn.XLOOKUP(A561,Class_Players!$A:$A,Class_Players!$B:$B,"")</f>
        <v>Recon</v>
      </c>
      <c r="C561" s="38" t="str" cm="1">
        <f t="array" ref="C561">INDEX(Lookups!$C$2:$C$9,MOD(ROW()-ROW($B$2),ROWS(Lookups!$C$2:$C$9))+1)</f>
        <v>Throwing Knife</v>
      </c>
      <c r="D561" s="38" t="str">
        <f>_xlfn.XLOOKUP(C561,Analysis_Gadgets!$C:$C,Analysis_Gadgets!$B:$B)</f>
        <v>Grenade</v>
      </c>
      <c r="E561" s="43">
        <v>3</v>
      </c>
      <c r="F561" s="43">
        <f>_xlfn.XLOOKUP(A561,Class_Players!A:A,Class_Players!G:G)</f>
        <v>225</v>
      </c>
      <c r="G561" s="43">
        <f t="shared" si="165"/>
        <v>1.3333333333333334E-2</v>
      </c>
      <c r="H561" s="43">
        <f>_xlfn.XLOOKUP(A561,Class_Players!$A:$A,Class_Players!$F:$F,"")</f>
        <v>6580</v>
      </c>
      <c r="I561" s="44">
        <f t="shared" si="166"/>
        <v>4.559270516717325E-4</v>
      </c>
      <c r="J561" s="43">
        <f t="shared" si="167"/>
        <v>0</v>
      </c>
      <c r="K561" s="44" cm="1">
        <f t="array" ref="K561">IF(D561="Gadget",_xlfn.IFS(I561&gt;=0.2,0.5,I561&gt;=0.1,0.35,I561&gt;=0.05,0.2,TRUE,0),IF(D561="Grenade",_xlfn.IFS(I561&gt;=0.2,1,I561&gt;=0.1,0.7,I561&gt;=0.05,0.4,TRUE,0),0))</f>
        <v>0</v>
      </c>
      <c r="L561" s="57">
        <f t="shared" si="173"/>
        <v>0</v>
      </c>
    </row>
    <row r="562" spans="1:12" ht="15" customHeight="1" x14ac:dyDescent="0.25">
      <c r="A562" s="42" t="str" cm="1">
        <f t="array" ref="A562">IFERROR(INDEX(_xlfn._xlws.FILTER(Class_Players!A:A,Class_Players!B:B="Recon"),QUOTIENT(ROW()-ROW($A$2),8)+1),"")</f>
        <v>ade_do</v>
      </c>
      <c r="B562" s="42" t="str">
        <f>_xlfn.XLOOKUP(A562,Class_Players!$A:$A,Class_Players!$B:$B,"")</f>
        <v>Recon</v>
      </c>
      <c r="C562" s="38" t="str" cm="1">
        <f t="array" ref="C562">INDEX(Lookups!$C$2:$C$9,MOD(ROW()-ROW($B$2),ROWS(Lookups!$C$2:$C$9))+1)</f>
        <v>Laser Designator</v>
      </c>
      <c r="D562" s="38" t="str">
        <f>_xlfn.XLOOKUP(C562,Analysis_Gadgets!$C:$C,Analysis_Gadgets!$B:$B)</f>
        <v>Gadget</v>
      </c>
      <c r="E562" s="43">
        <v>0</v>
      </c>
      <c r="F562" s="43">
        <f>_xlfn.XLOOKUP(A562,Class_Players!A:A,Class_Players!G:G)</f>
        <v>132</v>
      </c>
      <c r="G562" s="43">
        <f t="shared" si="165"/>
        <v>0</v>
      </c>
      <c r="H562" s="43">
        <f>_xlfn.XLOOKUP(A562,Class_Players!$A:$A,Class_Players!$F:$F,"")</f>
        <v>5649</v>
      </c>
      <c r="I562" s="44">
        <f t="shared" si="166"/>
        <v>0</v>
      </c>
      <c r="J562" s="43">
        <f t="shared" si="167"/>
        <v>0</v>
      </c>
      <c r="K562" s="44" cm="1">
        <f t="array" ref="K562">IF(D562="Gadget",_xlfn.IFS(I562&gt;=0.2,0.5,I562&gt;=0.1,0.35,I562&gt;=0.05,0.2,TRUE,0),IF(D562="Grenade",_xlfn.IFS(I562&gt;=0.2,1,I562&gt;=0.1,0.7,I562&gt;=0.05,0.4,TRUE,0),0))</f>
        <v>0</v>
      </c>
      <c r="L562" s="57">
        <f t="shared" ref="L562:L567" si="174">IF($K562=0,0,$K562 / SUMIFS($K:$K,$A:$A,$A562,$D:$D,"Gadget"))</f>
        <v>0</v>
      </c>
    </row>
    <row r="563" spans="1:12" ht="15" customHeight="1" x14ac:dyDescent="0.25">
      <c r="A563" s="42" t="str" cm="1">
        <f t="array" ref="A563">IFERROR(INDEX(_xlfn._xlws.FILTER(Class_Players!A:A,Class_Players!B:B="Recon"),QUOTIENT(ROW()-ROW($A$2),8)+1),"")</f>
        <v>ade_do</v>
      </c>
      <c r="B563" s="42" t="str">
        <f>_xlfn.XLOOKUP(A563,Class_Players!$A:$A,Class_Players!$B:$B,"")</f>
        <v>Recon</v>
      </c>
      <c r="C563" s="38" t="str" cm="1">
        <f t="array" ref="C563">INDEX(Lookups!$C$2:$C$9,MOD(ROW()-ROW($B$2),ROWS(Lookups!$C$2:$C$9))+1)</f>
        <v>Recon Drone</v>
      </c>
      <c r="D563" s="38" t="str">
        <f>_xlfn.XLOOKUP(C563,Analysis_Gadgets!$C:$C,Analysis_Gadgets!$B:$B)</f>
        <v>Gadget</v>
      </c>
      <c r="E563" s="43">
        <v>0</v>
      </c>
      <c r="F563" s="43">
        <f>_xlfn.XLOOKUP(A563,Class_Players!A:A,Class_Players!G:G)</f>
        <v>132</v>
      </c>
      <c r="G563" s="43">
        <f t="shared" si="165"/>
        <v>0</v>
      </c>
      <c r="H563" s="43">
        <f>_xlfn.XLOOKUP(A563,Class_Players!$A:$A,Class_Players!$F:$F,"")</f>
        <v>5649</v>
      </c>
      <c r="I563" s="44">
        <f t="shared" si="166"/>
        <v>0</v>
      </c>
      <c r="J563" s="43">
        <f t="shared" si="167"/>
        <v>0</v>
      </c>
      <c r="K563" s="44" cm="1">
        <f t="array" ref="K563">IF(D563="Gadget",_xlfn.IFS(I563&gt;=0.2,0.5,I563&gt;=0.1,0.35,I563&gt;=0.05,0.2,TRUE,0),IF(D563="Grenade",_xlfn.IFS(I563&gt;=0.2,1,I563&gt;=0.1,0.7,I563&gt;=0.05,0.4,TRUE,0),0))</f>
        <v>0</v>
      </c>
      <c r="L563" s="57">
        <f t="shared" si="174"/>
        <v>0</v>
      </c>
    </row>
    <row r="564" spans="1:12" ht="15" customHeight="1" x14ac:dyDescent="0.25">
      <c r="A564" s="42" t="str" cm="1">
        <f t="array" ref="A564">IFERROR(INDEX(_xlfn._xlws.FILTER(Class_Players!A:A,Class_Players!B:B="Recon"),QUOTIENT(ROW()-ROW($A$2),8)+1),"")</f>
        <v>ade_do</v>
      </c>
      <c r="B564" s="42" t="str">
        <f>_xlfn.XLOOKUP(A564,Class_Players!$A:$A,Class_Players!$B:$B,"")</f>
        <v>Recon</v>
      </c>
      <c r="C564" s="38" t="str" cm="1">
        <f t="array" ref="C564">INDEX(Lookups!$C$2:$C$9,MOD(ROW()-ROW($B$2),ROWS(Lookups!$C$2:$C$9))+1)</f>
        <v>Tracer Dart</v>
      </c>
      <c r="D564" s="38" t="str">
        <f>_xlfn.XLOOKUP(C564,Analysis_Gadgets!$C:$C,Analysis_Gadgets!$B:$B)</f>
        <v>Gadget</v>
      </c>
      <c r="E564" s="43">
        <v>0</v>
      </c>
      <c r="F564" s="43">
        <f>_xlfn.XLOOKUP(A564,Class_Players!A:A,Class_Players!G:G)</f>
        <v>132</v>
      </c>
      <c r="G564" s="43">
        <f t="shared" si="165"/>
        <v>0</v>
      </c>
      <c r="H564" s="43">
        <f>_xlfn.XLOOKUP(A564,Class_Players!$A:$A,Class_Players!$F:$F,"")</f>
        <v>5649</v>
      </c>
      <c r="I564" s="44">
        <f t="shared" si="166"/>
        <v>0</v>
      </c>
      <c r="J564" s="43">
        <f t="shared" si="167"/>
        <v>0</v>
      </c>
      <c r="K564" s="44" cm="1">
        <f t="array" ref="K564">IF(D564="Gadget",_xlfn.IFS(I564&gt;=0.2,0.5,I564&gt;=0.1,0.35,I564&gt;=0.05,0.2,TRUE,0),IF(D564="Grenade",_xlfn.IFS(I564&gt;=0.2,1,I564&gt;=0.1,0.7,I564&gt;=0.05,0.4,TRUE,0),0))</f>
        <v>0</v>
      </c>
      <c r="L564" s="57">
        <f t="shared" si="174"/>
        <v>0</v>
      </c>
    </row>
    <row r="565" spans="1:12" ht="15" customHeight="1" x14ac:dyDescent="0.25">
      <c r="A565" s="42" t="str" cm="1">
        <f t="array" ref="A565">IFERROR(INDEX(_xlfn._xlws.FILTER(Class_Players!A:A,Class_Players!B:B="Recon"),QUOTIENT(ROW()-ROW($A$2),8)+1),"")</f>
        <v>ade_do</v>
      </c>
      <c r="B565" s="42" t="str">
        <f>_xlfn.XLOOKUP(A565,Class_Players!$A:$A,Class_Players!$B:$B,"")</f>
        <v>Recon</v>
      </c>
      <c r="C565" s="38" t="str" cm="1">
        <f t="array" ref="C565">INDEX(Lookups!$C$2:$C$9,MOD(ROW()-ROW($B$2),ROWS(Lookups!$C$2:$C$9))+1)</f>
        <v>M18A1 (Claymore)</v>
      </c>
      <c r="D565" s="38" t="str">
        <f>_xlfn.XLOOKUP(C565,Analysis_Gadgets!$C:$C,Analysis_Gadgets!$B:$B)</f>
        <v>Gadget</v>
      </c>
      <c r="E565" s="43">
        <v>3313</v>
      </c>
      <c r="F565" s="43">
        <f>_xlfn.XLOOKUP(A565,Class_Players!A:A,Class_Players!G:G)</f>
        <v>132</v>
      </c>
      <c r="G565" s="43">
        <f t="shared" si="165"/>
        <v>25.098484848484848</v>
      </c>
      <c r="H565" s="43">
        <f>_xlfn.XLOOKUP(A565,Class_Players!$A:$A,Class_Players!$F:$F,"")</f>
        <v>5649</v>
      </c>
      <c r="I565" s="44">
        <f t="shared" si="166"/>
        <v>0.58647548238626301</v>
      </c>
      <c r="J565" s="43">
        <f t="shared" si="167"/>
        <v>1</v>
      </c>
      <c r="K565" s="44" cm="1">
        <f t="array" ref="K565">IF(D565="Gadget",_xlfn.IFS(I565&gt;=0.2,0.5,I565&gt;=0.1,0.35,I565&gt;=0.05,0.2,TRUE,0),IF(D565="Grenade",_xlfn.IFS(I565&gt;=0.2,1,I565&gt;=0.1,0.7,I565&gt;=0.05,0.4,TRUE,0),0))</f>
        <v>0.5</v>
      </c>
      <c r="L565" s="57">
        <f t="shared" si="174"/>
        <v>0.5</v>
      </c>
    </row>
    <row r="566" spans="1:12" ht="15" customHeight="1" x14ac:dyDescent="0.25">
      <c r="A566" s="42" t="str" cm="1">
        <f t="array" ref="A566">IFERROR(INDEX(_xlfn._xlws.FILTER(Class_Players!A:A,Class_Players!B:B="Recon"),QUOTIENT(ROW()-ROW($A$2),8)+1),"")</f>
        <v>ade_do</v>
      </c>
      <c r="B566" s="42" t="str">
        <f>_xlfn.XLOOKUP(A566,Class_Players!$A:$A,Class_Players!$B:$B,"")</f>
        <v>Recon</v>
      </c>
      <c r="C566" s="38" t="str" cm="1">
        <f t="array" ref="C566">INDEX(Lookups!$C$2:$C$9,MOD(ROW()-ROW($B$2),ROWS(Lookups!$C$2:$C$9))+1)</f>
        <v>Sniper Decoy</v>
      </c>
      <c r="D566" s="38" t="str">
        <f>_xlfn.XLOOKUP(C566,Analysis_Gadgets!$C:$C,Analysis_Gadgets!$B:$B)</f>
        <v>Gadget</v>
      </c>
      <c r="E566" s="43">
        <v>3</v>
      </c>
      <c r="F566" s="43">
        <f>_xlfn.XLOOKUP(A566,Class_Players!A:A,Class_Players!G:G)</f>
        <v>132</v>
      </c>
      <c r="G566" s="43">
        <f t="shared" si="165"/>
        <v>2.2727272727272728E-2</v>
      </c>
      <c r="H566" s="43">
        <f>_xlfn.XLOOKUP(A566,Class_Players!$A:$A,Class_Players!$F:$F,"")</f>
        <v>5649</v>
      </c>
      <c r="I566" s="44">
        <f t="shared" si="166"/>
        <v>5.3106744556558679E-4</v>
      </c>
      <c r="J566" s="43">
        <f t="shared" si="167"/>
        <v>0</v>
      </c>
      <c r="K566" s="44" cm="1">
        <f t="array" ref="K566">IF(D566="Gadget",_xlfn.IFS(I566&gt;=0.2,0.5,I566&gt;=0.1,0.35,I566&gt;=0.05,0.2,TRUE,0),IF(D566="Grenade",_xlfn.IFS(I566&gt;=0.2,1,I566&gt;=0.1,0.7,I566&gt;=0.05,0.4,TRUE,0),0))</f>
        <v>0</v>
      </c>
      <c r="L566" s="57">
        <f t="shared" si="174"/>
        <v>0</v>
      </c>
    </row>
    <row r="567" spans="1:12" ht="15" customHeight="1" x14ac:dyDescent="0.25">
      <c r="A567" s="42" t="str" cm="1">
        <f t="array" ref="A567">IFERROR(INDEX(_xlfn._xlws.FILTER(Class_Players!A:A,Class_Players!B:B="Recon"),QUOTIENT(ROW()-ROW($A$2),8)+1),"")</f>
        <v>ade_do</v>
      </c>
      <c r="B567" s="42" t="str">
        <f>_xlfn.XLOOKUP(A567,Class_Players!$A:$A,Class_Players!$B:$B,"")</f>
        <v>Recon</v>
      </c>
      <c r="C567" s="38" t="str" cm="1">
        <f t="array" ref="C567">INDEX(Lookups!$C$2:$C$9,MOD(ROW()-ROW($B$2),ROWS(Lookups!$C$2:$C$9))+1)</f>
        <v>C-4 Explosives</v>
      </c>
      <c r="D567" s="38" t="str">
        <f>_xlfn.XLOOKUP(C567,Analysis_Gadgets!$C:$C,Analysis_Gadgets!$B:$B)</f>
        <v>Gadget</v>
      </c>
      <c r="E567" s="43">
        <v>2272</v>
      </c>
      <c r="F567" s="43">
        <f>_xlfn.XLOOKUP(A567,Class_Players!A:A,Class_Players!G:G)</f>
        <v>132</v>
      </c>
      <c r="G567" s="43">
        <f t="shared" si="165"/>
        <v>17.212121212121211</v>
      </c>
      <c r="H567" s="43">
        <f>_xlfn.XLOOKUP(A567,Class_Players!$A:$A,Class_Players!$F:$F,"")</f>
        <v>5649</v>
      </c>
      <c r="I567" s="44">
        <f t="shared" si="166"/>
        <v>0.40219507877500443</v>
      </c>
      <c r="J567" s="43">
        <f t="shared" si="167"/>
        <v>1</v>
      </c>
      <c r="K567" s="44" cm="1">
        <f t="array" ref="K567">IF(D567="Gadget",_xlfn.IFS(I567&gt;=0.2,0.5,I567&gt;=0.1,0.35,I567&gt;=0.05,0.2,TRUE,0),IF(D567="Grenade",_xlfn.IFS(I567&gt;=0.2,1,I567&gt;=0.1,0.7,I567&gt;=0.05,0.4,TRUE,0),0))</f>
        <v>0.5</v>
      </c>
      <c r="L567" s="57">
        <f t="shared" si="174"/>
        <v>0.5</v>
      </c>
    </row>
    <row r="568" spans="1:12" ht="15" customHeight="1" x14ac:dyDescent="0.25">
      <c r="A568" s="42" t="str" cm="1">
        <f t="array" ref="A568">IFERROR(INDEX(_xlfn._xlws.FILTER(Class_Players!A:A,Class_Players!B:B="Recon"),QUOTIENT(ROW()-ROW($A$2),8)+1),"")</f>
        <v>ade_do</v>
      </c>
      <c r="B568" s="42" t="str">
        <f>_xlfn.XLOOKUP(A568,Class_Players!$A:$A,Class_Players!$B:$B,"")</f>
        <v>Recon</v>
      </c>
      <c r="C568" s="38" t="str" cm="1">
        <f t="array" ref="C568">INDEX(Lookups!$C$2:$C$9,MOD(ROW()-ROW($B$2),ROWS(Lookups!$C$2:$C$9))+1)</f>
        <v>Proximity Detector</v>
      </c>
      <c r="D568" s="38" t="str">
        <f>_xlfn.XLOOKUP(C568,Analysis_Gadgets!$C:$C,Analysis_Gadgets!$B:$B)</f>
        <v>Grenade</v>
      </c>
      <c r="E568" s="43">
        <v>0</v>
      </c>
      <c r="F568" s="43">
        <f>_xlfn.XLOOKUP(A568,Class_Players!A:A,Class_Players!G:G)</f>
        <v>132</v>
      </c>
      <c r="G568" s="43">
        <f t="shared" si="165"/>
        <v>0</v>
      </c>
      <c r="H568" s="43">
        <f>_xlfn.XLOOKUP(A568,Class_Players!$A:$A,Class_Players!$F:$F,"")</f>
        <v>5649</v>
      </c>
      <c r="I568" s="44">
        <f t="shared" si="166"/>
        <v>0</v>
      </c>
      <c r="J568" s="43">
        <f t="shared" si="167"/>
        <v>0</v>
      </c>
      <c r="K568" s="44" cm="1">
        <f t="array" ref="K568">IF(D568="Gadget",_xlfn.IFS(I568&gt;=0.2,0.5,I568&gt;=0.1,0.35,I568&gt;=0.05,0.2,TRUE,0),IF(D568="Grenade",_xlfn.IFS(I568&gt;=0.2,1,I568&gt;=0.1,0.7,I568&gt;=0.05,0.4,TRUE,0),0))</f>
        <v>0</v>
      </c>
      <c r="L568" s="57">
        <f t="shared" ref="L568:L569" si="175">IF($K568=0,0,$K568 / SUMIFS($K:$K,$A:$A,$A568,$D:$D,"Grenade"))</f>
        <v>0</v>
      </c>
    </row>
    <row r="569" spans="1:12" ht="15" customHeight="1" x14ac:dyDescent="0.25">
      <c r="A569" s="42" t="str" cm="1">
        <f t="array" ref="A569">IFERROR(INDEX(_xlfn._xlws.FILTER(Class_Players!A:A,Class_Players!B:B="Recon"),QUOTIENT(ROW()-ROW($A$2),8)+1),"")</f>
        <v>ade_do</v>
      </c>
      <c r="B569" s="42" t="str">
        <f>_xlfn.XLOOKUP(A569,Class_Players!$A:$A,Class_Players!$B:$B,"")</f>
        <v>Recon</v>
      </c>
      <c r="C569" s="38" t="str" cm="1">
        <f t="array" ref="C569">INDEX(Lookups!$C$2:$C$9,MOD(ROW()-ROW($B$2),ROWS(Lookups!$C$2:$C$9))+1)</f>
        <v>Throwing Knife</v>
      </c>
      <c r="D569" s="38" t="str">
        <f>_xlfn.XLOOKUP(C569,Analysis_Gadgets!$C:$C,Analysis_Gadgets!$B:$B)</f>
        <v>Grenade</v>
      </c>
      <c r="E569" s="43">
        <v>0</v>
      </c>
      <c r="F569" s="43">
        <f>_xlfn.XLOOKUP(A569,Class_Players!A:A,Class_Players!G:G)</f>
        <v>132</v>
      </c>
      <c r="G569" s="43">
        <f t="shared" si="165"/>
        <v>0</v>
      </c>
      <c r="H569" s="43">
        <f>_xlfn.XLOOKUP(A569,Class_Players!$A:$A,Class_Players!$F:$F,"")</f>
        <v>5649</v>
      </c>
      <c r="I569" s="44">
        <f t="shared" si="166"/>
        <v>0</v>
      </c>
      <c r="J569" s="43">
        <f t="shared" si="167"/>
        <v>0</v>
      </c>
      <c r="K569" s="44" cm="1">
        <f t="array" ref="K569">IF(D569="Gadget",_xlfn.IFS(I569&gt;=0.2,0.5,I569&gt;=0.1,0.35,I569&gt;=0.05,0.2,TRUE,0),IF(D569="Grenade",_xlfn.IFS(I569&gt;=0.2,1,I569&gt;=0.1,0.7,I569&gt;=0.05,0.4,TRUE,0),0))</f>
        <v>0</v>
      </c>
      <c r="L569" s="57">
        <f t="shared" si="175"/>
        <v>0</v>
      </c>
    </row>
    <row r="570" spans="1:12" ht="15" customHeight="1" x14ac:dyDescent="0.25">
      <c r="A570" s="42" t="str" cm="1">
        <f t="array" ref="A570">IFERROR(INDEX(_xlfn._xlws.FILTER(Class_Players!A:A,Class_Players!B:B="Recon"),QUOTIENT(ROW()-ROW($A$2),8)+1),"")</f>
        <v>showgunkid</v>
      </c>
      <c r="B570" s="42" t="str">
        <f>_xlfn.XLOOKUP(A570,Class_Players!$A:$A,Class_Players!$B:$B,"")</f>
        <v>Recon</v>
      </c>
      <c r="C570" s="38" t="str" cm="1">
        <f t="array" ref="C570">INDEX(Lookups!$C$2:$C$9,MOD(ROW()-ROW($B$2),ROWS(Lookups!$C$2:$C$9))+1)</f>
        <v>Laser Designator</v>
      </c>
      <c r="D570" s="38" t="str">
        <f>_xlfn.XLOOKUP(C570,Analysis_Gadgets!$C:$C,Analysis_Gadgets!$B:$B)</f>
        <v>Gadget</v>
      </c>
      <c r="E570" s="43">
        <v>376</v>
      </c>
      <c r="F570" s="43">
        <f>_xlfn.XLOOKUP(A570,Class_Players!A:A,Class_Players!G:G)</f>
        <v>208</v>
      </c>
      <c r="G570" s="43">
        <f t="shared" si="165"/>
        <v>1.8076923076923077</v>
      </c>
      <c r="H570" s="43">
        <f>_xlfn.XLOOKUP(A570,Class_Players!$A:$A,Class_Players!$F:$F,"")</f>
        <v>7736</v>
      </c>
      <c r="I570" s="44">
        <f t="shared" si="166"/>
        <v>4.8603929679420892E-2</v>
      </c>
      <c r="J570" s="43">
        <f t="shared" si="167"/>
        <v>0</v>
      </c>
      <c r="K570" s="44" cm="1">
        <f t="array" ref="K570">IF(D570="Gadget",_xlfn.IFS(I570&gt;=0.2,0.5,I570&gt;=0.1,0.35,I570&gt;=0.05,0.2,TRUE,0),IF(D570="Grenade",_xlfn.IFS(I570&gt;=0.2,1,I570&gt;=0.1,0.7,I570&gt;=0.05,0.4,TRUE,0),0))</f>
        <v>0</v>
      </c>
      <c r="L570" s="57">
        <f t="shared" ref="L570:L575" si="176">IF($K570=0,0,$K570 / SUMIFS($K:$K,$A:$A,$A570,$D:$D,"Gadget"))</f>
        <v>0</v>
      </c>
    </row>
    <row r="571" spans="1:12" ht="15" customHeight="1" x14ac:dyDescent="0.25">
      <c r="A571" s="42" t="str" cm="1">
        <f t="array" ref="A571">IFERROR(INDEX(_xlfn._xlws.FILTER(Class_Players!A:A,Class_Players!B:B="Recon"),QUOTIENT(ROW()-ROW($A$2),8)+1),"")</f>
        <v>showgunkid</v>
      </c>
      <c r="B571" s="42" t="str">
        <f>_xlfn.XLOOKUP(A571,Class_Players!$A:$A,Class_Players!$B:$B,"")</f>
        <v>Recon</v>
      </c>
      <c r="C571" s="38" t="str" cm="1">
        <f t="array" ref="C571">INDEX(Lookups!$C$2:$C$9,MOD(ROW()-ROW($B$2),ROWS(Lookups!$C$2:$C$9))+1)</f>
        <v>Recon Drone</v>
      </c>
      <c r="D571" s="38" t="str">
        <f>_xlfn.XLOOKUP(C571,Analysis_Gadgets!$C:$C,Analysis_Gadgets!$B:$B)</f>
        <v>Gadget</v>
      </c>
      <c r="E571" s="43">
        <v>4233</v>
      </c>
      <c r="F571" s="43">
        <f>_xlfn.XLOOKUP(A571,Class_Players!A:A,Class_Players!G:G)</f>
        <v>208</v>
      </c>
      <c r="G571" s="43">
        <f t="shared" si="165"/>
        <v>20.35096153846154</v>
      </c>
      <c r="H571" s="43">
        <f>_xlfn.XLOOKUP(A571,Class_Players!$A:$A,Class_Players!$F:$F,"")</f>
        <v>7736</v>
      </c>
      <c r="I571" s="44">
        <f t="shared" si="166"/>
        <v>0.54718200620475699</v>
      </c>
      <c r="J571" s="43">
        <f t="shared" si="167"/>
        <v>1</v>
      </c>
      <c r="K571" s="44" cm="1">
        <f t="array" ref="K571">IF(D571="Gadget",_xlfn.IFS(I571&gt;=0.2,0.5,I571&gt;=0.1,0.35,I571&gt;=0.05,0.2,TRUE,0),IF(D571="Grenade",_xlfn.IFS(I571&gt;=0.2,1,I571&gt;=0.1,0.7,I571&gt;=0.05,0.4,TRUE,0),0))</f>
        <v>0.5</v>
      </c>
      <c r="L571" s="57">
        <f t="shared" si="176"/>
        <v>0.7142857142857143</v>
      </c>
    </row>
    <row r="572" spans="1:12" ht="15" customHeight="1" x14ac:dyDescent="0.25">
      <c r="A572" s="42" t="str" cm="1">
        <f t="array" ref="A572">IFERROR(INDEX(_xlfn._xlws.FILTER(Class_Players!A:A,Class_Players!B:B="Recon"),QUOTIENT(ROW()-ROW($A$2),8)+1),"")</f>
        <v>showgunkid</v>
      </c>
      <c r="B572" s="42" t="str">
        <f>_xlfn.XLOOKUP(A572,Class_Players!$A:$A,Class_Players!$B:$B,"")</f>
        <v>Recon</v>
      </c>
      <c r="C572" s="38" t="str" cm="1">
        <f t="array" ref="C572">INDEX(Lookups!$C$2:$C$9,MOD(ROW()-ROW($B$2),ROWS(Lookups!$C$2:$C$9))+1)</f>
        <v>Tracer Dart</v>
      </c>
      <c r="D572" s="38" t="str">
        <f>_xlfn.XLOOKUP(C572,Analysis_Gadgets!$C:$C,Analysis_Gadgets!$B:$B)</f>
        <v>Gadget</v>
      </c>
      <c r="E572" s="43">
        <v>0</v>
      </c>
      <c r="F572" s="43">
        <f>_xlfn.XLOOKUP(A572,Class_Players!A:A,Class_Players!G:G)</f>
        <v>208</v>
      </c>
      <c r="G572" s="43">
        <f t="shared" si="165"/>
        <v>0</v>
      </c>
      <c r="H572" s="43">
        <f>_xlfn.XLOOKUP(A572,Class_Players!$A:$A,Class_Players!$F:$F,"")</f>
        <v>7736</v>
      </c>
      <c r="I572" s="44">
        <f t="shared" si="166"/>
        <v>0</v>
      </c>
      <c r="J572" s="43">
        <f t="shared" si="167"/>
        <v>0</v>
      </c>
      <c r="K572" s="44" cm="1">
        <f t="array" ref="K572">IF(D572="Gadget",_xlfn.IFS(I572&gt;=0.2,0.5,I572&gt;=0.1,0.35,I572&gt;=0.05,0.2,TRUE,0),IF(D572="Grenade",_xlfn.IFS(I572&gt;=0.2,1,I572&gt;=0.1,0.7,I572&gt;=0.05,0.4,TRUE,0),0))</f>
        <v>0</v>
      </c>
      <c r="L572" s="57">
        <f t="shared" si="176"/>
        <v>0</v>
      </c>
    </row>
    <row r="573" spans="1:12" ht="15" customHeight="1" x14ac:dyDescent="0.25">
      <c r="A573" s="42" t="str" cm="1">
        <f t="array" ref="A573">IFERROR(INDEX(_xlfn._xlws.FILTER(Class_Players!A:A,Class_Players!B:B="Recon"),QUOTIENT(ROW()-ROW($A$2),8)+1),"")</f>
        <v>showgunkid</v>
      </c>
      <c r="B573" s="42" t="str">
        <f>_xlfn.XLOOKUP(A573,Class_Players!$A:$A,Class_Players!$B:$B,"")</f>
        <v>Recon</v>
      </c>
      <c r="C573" s="38" t="str" cm="1">
        <f t="array" ref="C573">INDEX(Lookups!$C$2:$C$9,MOD(ROW()-ROW($B$2),ROWS(Lookups!$C$2:$C$9))+1)</f>
        <v>M18A1 (Claymore)</v>
      </c>
      <c r="D573" s="38" t="str">
        <f>_xlfn.XLOOKUP(C573,Analysis_Gadgets!$C:$C,Analysis_Gadgets!$B:$B)</f>
        <v>Gadget</v>
      </c>
      <c r="E573" s="43">
        <v>9</v>
      </c>
      <c r="F573" s="43">
        <f>_xlfn.XLOOKUP(A573,Class_Players!A:A,Class_Players!G:G)</f>
        <v>208</v>
      </c>
      <c r="G573" s="43">
        <f t="shared" si="165"/>
        <v>4.3269230769230768E-2</v>
      </c>
      <c r="H573" s="43">
        <f>_xlfn.XLOOKUP(A573,Class_Players!$A:$A,Class_Players!$F:$F,"")</f>
        <v>7736</v>
      </c>
      <c r="I573" s="44">
        <f t="shared" si="166"/>
        <v>1.1633919338159256E-3</v>
      </c>
      <c r="J573" s="43">
        <f t="shared" si="167"/>
        <v>0</v>
      </c>
      <c r="K573" s="44" cm="1">
        <f t="array" ref="K573">IF(D573="Gadget",_xlfn.IFS(I573&gt;=0.2,0.5,I573&gt;=0.1,0.35,I573&gt;=0.05,0.2,TRUE,0),IF(D573="Grenade",_xlfn.IFS(I573&gt;=0.2,1,I573&gt;=0.1,0.7,I573&gt;=0.05,0.4,TRUE,0),0))</f>
        <v>0</v>
      </c>
      <c r="L573" s="57">
        <f t="shared" si="176"/>
        <v>0</v>
      </c>
    </row>
    <row r="574" spans="1:12" ht="15" customHeight="1" x14ac:dyDescent="0.25">
      <c r="A574" s="42" t="str" cm="1">
        <f t="array" ref="A574">IFERROR(INDEX(_xlfn._xlws.FILTER(Class_Players!A:A,Class_Players!B:B="Recon"),QUOTIENT(ROW()-ROW($A$2),8)+1),"")</f>
        <v>showgunkid</v>
      </c>
      <c r="B574" s="42" t="str">
        <f>_xlfn.XLOOKUP(A574,Class_Players!$A:$A,Class_Players!$B:$B,"")</f>
        <v>Recon</v>
      </c>
      <c r="C574" s="38" t="str" cm="1">
        <f t="array" ref="C574">INDEX(Lookups!$C$2:$C$9,MOD(ROW()-ROW($B$2),ROWS(Lookups!$C$2:$C$9))+1)</f>
        <v>Sniper Decoy</v>
      </c>
      <c r="D574" s="38" t="str">
        <f>_xlfn.XLOOKUP(C574,Analysis_Gadgets!$C:$C,Analysis_Gadgets!$B:$B)</f>
        <v>Gadget</v>
      </c>
      <c r="E574" s="43">
        <v>1</v>
      </c>
      <c r="F574" s="43">
        <f>_xlfn.XLOOKUP(A574,Class_Players!A:A,Class_Players!G:G)</f>
        <v>208</v>
      </c>
      <c r="G574" s="43">
        <f t="shared" si="165"/>
        <v>4.807692307692308E-3</v>
      </c>
      <c r="H574" s="43">
        <f>_xlfn.XLOOKUP(A574,Class_Players!$A:$A,Class_Players!$F:$F,"")</f>
        <v>7736</v>
      </c>
      <c r="I574" s="44">
        <f t="shared" si="166"/>
        <v>1.2926577042399174E-4</v>
      </c>
      <c r="J574" s="43">
        <f t="shared" si="167"/>
        <v>0</v>
      </c>
      <c r="K574" s="44" cm="1">
        <f t="array" ref="K574">IF(D574="Gadget",_xlfn.IFS(I574&gt;=0.2,0.5,I574&gt;=0.1,0.35,I574&gt;=0.05,0.2,TRUE,0),IF(D574="Grenade",_xlfn.IFS(I574&gt;=0.2,1,I574&gt;=0.1,0.7,I574&gt;=0.05,0.4,TRUE,0),0))</f>
        <v>0</v>
      </c>
      <c r="L574" s="57">
        <f t="shared" si="176"/>
        <v>0</v>
      </c>
    </row>
    <row r="575" spans="1:12" ht="15" customHeight="1" x14ac:dyDescent="0.25">
      <c r="A575" s="42" t="str" cm="1">
        <f t="array" ref="A575">IFERROR(INDEX(_xlfn._xlws.FILTER(Class_Players!A:A,Class_Players!B:B="Recon"),QUOTIENT(ROW()-ROW($A$2),8)+1),"")</f>
        <v>showgunkid</v>
      </c>
      <c r="B575" s="42" t="str">
        <f>_xlfn.XLOOKUP(A575,Class_Players!$A:$A,Class_Players!$B:$B,"")</f>
        <v>Recon</v>
      </c>
      <c r="C575" s="38" t="str" cm="1">
        <f t="array" ref="C575">INDEX(Lookups!$C$2:$C$9,MOD(ROW()-ROW($B$2),ROWS(Lookups!$C$2:$C$9))+1)</f>
        <v>C-4 Explosives</v>
      </c>
      <c r="D575" s="38" t="str">
        <f>_xlfn.XLOOKUP(C575,Analysis_Gadgets!$C:$C,Analysis_Gadgets!$B:$B)</f>
        <v>Gadget</v>
      </c>
      <c r="E575" s="43">
        <v>726</v>
      </c>
      <c r="F575" s="43">
        <f>_xlfn.XLOOKUP(A575,Class_Players!A:A,Class_Players!G:G)</f>
        <v>208</v>
      </c>
      <c r="G575" s="43">
        <f t="shared" si="165"/>
        <v>3.4903846153846154</v>
      </c>
      <c r="H575" s="43">
        <f>_xlfn.XLOOKUP(A575,Class_Players!$A:$A,Class_Players!$F:$F,"")</f>
        <v>7736</v>
      </c>
      <c r="I575" s="44">
        <f t="shared" si="166"/>
        <v>9.3846949327817994E-2</v>
      </c>
      <c r="J575" s="43">
        <f t="shared" si="167"/>
        <v>0</v>
      </c>
      <c r="K575" s="44" cm="1">
        <f t="array" ref="K575">IF(D575="Gadget",_xlfn.IFS(I575&gt;=0.2,0.5,I575&gt;=0.1,0.35,I575&gt;=0.05,0.2,TRUE,0),IF(D575="Grenade",_xlfn.IFS(I575&gt;=0.2,1,I575&gt;=0.1,0.7,I575&gt;=0.05,0.4,TRUE,0),0))</f>
        <v>0.2</v>
      </c>
      <c r="L575" s="57">
        <f t="shared" si="176"/>
        <v>0.28571428571428575</v>
      </c>
    </row>
    <row r="576" spans="1:12" ht="15" customHeight="1" x14ac:dyDescent="0.25">
      <c r="A576" s="42" t="str" cm="1">
        <f t="array" ref="A576">IFERROR(INDEX(_xlfn._xlws.FILTER(Class_Players!A:A,Class_Players!B:B="Recon"),QUOTIENT(ROW()-ROW($A$2),8)+1),"")</f>
        <v>showgunkid</v>
      </c>
      <c r="B576" s="42" t="str">
        <f>_xlfn.XLOOKUP(A576,Class_Players!$A:$A,Class_Players!$B:$B,"")</f>
        <v>Recon</v>
      </c>
      <c r="C576" s="38" t="str" cm="1">
        <f t="array" ref="C576">INDEX(Lookups!$C$2:$C$9,MOD(ROW()-ROW($B$2),ROWS(Lookups!$C$2:$C$9))+1)</f>
        <v>Proximity Detector</v>
      </c>
      <c r="D576" s="38" t="str">
        <f>_xlfn.XLOOKUP(C576,Analysis_Gadgets!$C:$C,Analysis_Gadgets!$B:$B)</f>
        <v>Grenade</v>
      </c>
      <c r="E576" s="43">
        <v>9</v>
      </c>
      <c r="F576" s="43">
        <f>_xlfn.XLOOKUP(A576,Class_Players!A:A,Class_Players!G:G)</f>
        <v>208</v>
      </c>
      <c r="G576" s="43">
        <f t="shared" si="165"/>
        <v>4.3269230769230768E-2</v>
      </c>
      <c r="H576" s="43">
        <f>_xlfn.XLOOKUP(A576,Class_Players!$A:$A,Class_Players!$F:$F,"")</f>
        <v>7736</v>
      </c>
      <c r="I576" s="44">
        <f t="shared" si="166"/>
        <v>1.1633919338159256E-3</v>
      </c>
      <c r="J576" s="43">
        <f t="shared" si="167"/>
        <v>0</v>
      </c>
      <c r="K576" s="44" cm="1">
        <f t="array" ref="K576">IF(D576="Gadget",_xlfn.IFS(I576&gt;=0.2,0.5,I576&gt;=0.1,0.35,I576&gt;=0.05,0.2,TRUE,0),IF(D576="Grenade",_xlfn.IFS(I576&gt;=0.2,1,I576&gt;=0.1,0.7,I576&gt;=0.05,0.4,TRUE,0),0))</f>
        <v>0</v>
      </c>
      <c r="L576" s="57">
        <f t="shared" ref="L576:L577" si="177">IF($K576=0,0,$K576 / SUMIFS($K:$K,$A:$A,$A576,$D:$D,"Grenade"))</f>
        <v>0</v>
      </c>
    </row>
    <row r="577" spans="1:12" ht="15" customHeight="1" x14ac:dyDescent="0.25">
      <c r="A577" s="42" t="str" cm="1">
        <f t="array" ref="A577">IFERROR(INDEX(_xlfn._xlws.FILTER(Class_Players!A:A,Class_Players!B:B="Recon"),QUOTIENT(ROW()-ROW($A$2),8)+1),"")</f>
        <v>showgunkid</v>
      </c>
      <c r="B577" s="42" t="str">
        <f>_xlfn.XLOOKUP(A577,Class_Players!$A:$A,Class_Players!$B:$B,"")</f>
        <v>Recon</v>
      </c>
      <c r="C577" s="38" t="str" cm="1">
        <f t="array" ref="C577">INDEX(Lookups!$C$2:$C$9,MOD(ROW()-ROW($B$2),ROWS(Lookups!$C$2:$C$9))+1)</f>
        <v>Throwing Knife</v>
      </c>
      <c r="D577" s="38" t="str">
        <f>_xlfn.XLOOKUP(C577,Analysis_Gadgets!$C:$C,Analysis_Gadgets!$B:$B)</f>
        <v>Grenade</v>
      </c>
      <c r="E577" s="43">
        <v>13</v>
      </c>
      <c r="F577" s="43">
        <f>_xlfn.XLOOKUP(A577,Class_Players!A:A,Class_Players!G:G)</f>
        <v>208</v>
      </c>
      <c r="G577" s="43">
        <f t="shared" si="165"/>
        <v>6.25E-2</v>
      </c>
      <c r="H577" s="43">
        <f>_xlfn.XLOOKUP(A577,Class_Players!$A:$A,Class_Players!$F:$F,"")</f>
        <v>7736</v>
      </c>
      <c r="I577" s="44">
        <f t="shared" si="166"/>
        <v>1.6804550155118925E-3</v>
      </c>
      <c r="J577" s="43">
        <f t="shared" si="167"/>
        <v>0</v>
      </c>
      <c r="K577" s="44" cm="1">
        <f t="array" ref="K577">IF(D577="Gadget",_xlfn.IFS(I577&gt;=0.2,0.5,I577&gt;=0.1,0.35,I577&gt;=0.05,0.2,TRUE,0),IF(D577="Grenade",_xlfn.IFS(I577&gt;=0.2,1,I577&gt;=0.1,0.7,I577&gt;=0.05,0.4,TRUE,0),0))</f>
        <v>0</v>
      </c>
      <c r="L577" s="57">
        <f t="shared" si="177"/>
        <v>0</v>
      </c>
    </row>
    <row r="578" spans="1:12" ht="15" customHeight="1" x14ac:dyDescent="0.25">
      <c r="A578" s="42" t="str" cm="1">
        <f t="array" ref="A578">IFERROR(INDEX(_xlfn._xlws.FILTER(Class_Players!A:A,Class_Players!B:B="Recon"),QUOTIENT(ROW()-ROW($A$2),8)+1),"")</f>
        <v>PrimalX23</v>
      </c>
      <c r="B578" s="42" t="str">
        <f>_xlfn.XLOOKUP(A578,Class_Players!$A:$A,Class_Players!$B:$B,"")</f>
        <v>Recon</v>
      </c>
      <c r="C578" s="38" t="str" cm="1">
        <f t="array" ref="C578">INDEX(Lookups!$C$2:$C$9,MOD(ROW()-ROW($B$2),ROWS(Lookups!$C$2:$C$9))+1)</f>
        <v>Laser Designator</v>
      </c>
      <c r="D578" s="38" t="str">
        <f>_xlfn.XLOOKUP(C578,Analysis_Gadgets!$C:$C,Analysis_Gadgets!$B:$B)</f>
        <v>Gadget</v>
      </c>
      <c r="E578" s="43">
        <v>215</v>
      </c>
      <c r="F578" s="43">
        <f>_xlfn.XLOOKUP(A578,Class_Players!A:A,Class_Players!G:G)</f>
        <v>122</v>
      </c>
      <c r="G578" s="43">
        <f t="shared" si="165"/>
        <v>1.7622950819672132</v>
      </c>
      <c r="H578" s="43">
        <f>_xlfn.XLOOKUP(A578,Class_Players!$A:$A,Class_Players!$F:$F,"")</f>
        <v>5570</v>
      </c>
      <c r="I578" s="44">
        <f t="shared" si="166"/>
        <v>3.859964093357271E-2</v>
      </c>
      <c r="J578" s="43">
        <f t="shared" si="167"/>
        <v>0</v>
      </c>
      <c r="K578" s="44" cm="1">
        <f t="array" ref="K578">IF(D578="Gadget",_xlfn.IFS(I578&gt;=0.2,0.5,I578&gt;=0.1,0.35,I578&gt;=0.05,0.2,TRUE,0),IF(D578="Grenade",_xlfn.IFS(I578&gt;=0.2,1,I578&gt;=0.1,0.7,I578&gt;=0.05,0.4,TRUE,0),0))</f>
        <v>0</v>
      </c>
      <c r="L578" s="57">
        <f t="shared" ref="L578:L583" si="178">IF($K578=0,0,$K578 / SUMIFS($K:$K,$A:$A,$A578,$D:$D,"Gadget"))</f>
        <v>0</v>
      </c>
    </row>
    <row r="579" spans="1:12" ht="15" customHeight="1" x14ac:dyDescent="0.25">
      <c r="A579" s="42" t="str" cm="1">
        <f t="array" ref="A579">IFERROR(INDEX(_xlfn._xlws.FILTER(Class_Players!A:A,Class_Players!B:B="Recon"),QUOTIENT(ROW()-ROW($A$2),8)+1),"")</f>
        <v>PrimalX23</v>
      </c>
      <c r="B579" s="42" t="str">
        <f>_xlfn.XLOOKUP(A579,Class_Players!$A:$A,Class_Players!$B:$B,"")</f>
        <v>Recon</v>
      </c>
      <c r="C579" s="38" t="str" cm="1">
        <f t="array" ref="C579">INDEX(Lookups!$C$2:$C$9,MOD(ROW()-ROW($B$2),ROWS(Lookups!$C$2:$C$9))+1)</f>
        <v>Recon Drone</v>
      </c>
      <c r="D579" s="38" t="str">
        <f>_xlfn.XLOOKUP(C579,Analysis_Gadgets!$C:$C,Analysis_Gadgets!$B:$B)</f>
        <v>Gadget</v>
      </c>
      <c r="E579" s="43">
        <v>385</v>
      </c>
      <c r="F579" s="43">
        <f>_xlfn.XLOOKUP(A579,Class_Players!A:A,Class_Players!G:G)</f>
        <v>122</v>
      </c>
      <c r="G579" s="43">
        <f t="shared" si="165"/>
        <v>3.1557377049180326</v>
      </c>
      <c r="H579" s="43">
        <f>_xlfn.XLOOKUP(A579,Class_Players!$A:$A,Class_Players!$F:$F,"")</f>
        <v>5570</v>
      </c>
      <c r="I579" s="44">
        <f t="shared" si="166"/>
        <v>6.9120287253141829E-2</v>
      </c>
      <c r="J579" s="43">
        <f t="shared" si="167"/>
        <v>0</v>
      </c>
      <c r="K579" s="44" cm="1">
        <f t="array" ref="K579">IF(D579="Gadget",_xlfn.IFS(I579&gt;=0.2,0.5,I579&gt;=0.1,0.35,I579&gt;=0.05,0.2,TRUE,0),IF(D579="Grenade",_xlfn.IFS(I579&gt;=0.2,1,I579&gt;=0.1,0.7,I579&gt;=0.05,0.4,TRUE,0),0))</f>
        <v>0.2</v>
      </c>
      <c r="L579" s="57">
        <f t="shared" si="178"/>
        <v>0.28571428571428575</v>
      </c>
    </row>
    <row r="580" spans="1:12" ht="15" customHeight="1" x14ac:dyDescent="0.25">
      <c r="A580" s="42" t="str" cm="1">
        <f t="array" ref="A580">IFERROR(INDEX(_xlfn._xlws.FILTER(Class_Players!A:A,Class_Players!B:B="Recon"),QUOTIENT(ROW()-ROW($A$2),8)+1),"")</f>
        <v>PrimalX23</v>
      </c>
      <c r="B580" s="42" t="str">
        <f>_xlfn.XLOOKUP(A580,Class_Players!$A:$A,Class_Players!$B:$B,"")</f>
        <v>Recon</v>
      </c>
      <c r="C580" s="38" t="str" cm="1">
        <f t="array" ref="C580">INDEX(Lookups!$C$2:$C$9,MOD(ROW()-ROW($B$2),ROWS(Lookups!$C$2:$C$9))+1)</f>
        <v>Tracer Dart</v>
      </c>
      <c r="D580" s="38" t="str">
        <f>_xlfn.XLOOKUP(C580,Analysis_Gadgets!$C:$C,Analysis_Gadgets!$B:$B)</f>
        <v>Gadget</v>
      </c>
      <c r="E580" s="43">
        <v>24</v>
      </c>
      <c r="F580" s="43">
        <f>_xlfn.XLOOKUP(A580,Class_Players!A:A,Class_Players!G:G)</f>
        <v>122</v>
      </c>
      <c r="G580" s="43">
        <f t="shared" si="165"/>
        <v>0.19672131147540983</v>
      </c>
      <c r="H580" s="43">
        <f>_xlfn.XLOOKUP(A580,Class_Players!$A:$A,Class_Players!$F:$F,"")</f>
        <v>5570</v>
      </c>
      <c r="I580" s="44">
        <f t="shared" si="166"/>
        <v>4.3087971274685813E-3</v>
      </c>
      <c r="J580" s="43">
        <f t="shared" si="167"/>
        <v>0</v>
      </c>
      <c r="K580" s="44" cm="1">
        <f t="array" ref="K580">IF(D580="Gadget",_xlfn.IFS(I580&gt;=0.2,0.5,I580&gt;=0.1,0.35,I580&gt;=0.05,0.2,TRUE,0),IF(D580="Grenade",_xlfn.IFS(I580&gt;=0.2,1,I580&gt;=0.1,0.7,I580&gt;=0.05,0.4,TRUE,0),0))</f>
        <v>0</v>
      </c>
      <c r="L580" s="57">
        <f t="shared" si="178"/>
        <v>0</v>
      </c>
    </row>
    <row r="581" spans="1:12" ht="15" customHeight="1" x14ac:dyDescent="0.25">
      <c r="A581" s="42" t="str" cm="1">
        <f t="array" ref="A581">IFERROR(INDEX(_xlfn._xlws.FILTER(Class_Players!A:A,Class_Players!B:B="Recon"),QUOTIENT(ROW()-ROW($A$2),8)+1),"")</f>
        <v>PrimalX23</v>
      </c>
      <c r="B581" s="42" t="str">
        <f>_xlfn.XLOOKUP(A581,Class_Players!$A:$A,Class_Players!$B:$B,"")</f>
        <v>Recon</v>
      </c>
      <c r="C581" s="38" t="str" cm="1">
        <f t="array" ref="C581">INDEX(Lookups!$C$2:$C$9,MOD(ROW()-ROW($B$2),ROWS(Lookups!$C$2:$C$9))+1)</f>
        <v>M18A1 (Claymore)</v>
      </c>
      <c r="D581" s="38" t="str">
        <f>_xlfn.XLOOKUP(C581,Analysis_Gadgets!$C:$C,Analysis_Gadgets!$B:$B)</f>
        <v>Gadget</v>
      </c>
      <c r="E581" s="43">
        <v>102</v>
      </c>
      <c r="F581" s="43">
        <f>_xlfn.XLOOKUP(A581,Class_Players!A:A,Class_Players!G:G)</f>
        <v>122</v>
      </c>
      <c r="G581" s="43">
        <f t="shared" si="165"/>
        <v>0.83606557377049184</v>
      </c>
      <c r="H581" s="43">
        <f>_xlfn.XLOOKUP(A581,Class_Players!$A:$A,Class_Players!$F:$F,"")</f>
        <v>5570</v>
      </c>
      <c r="I581" s="44">
        <f t="shared" si="166"/>
        <v>1.8312387791741474E-2</v>
      </c>
      <c r="J581" s="43">
        <f t="shared" si="167"/>
        <v>0</v>
      </c>
      <c r="K581" s="44" cm="1">
        <f t="array" ref="K581">IF(D581="Gadget",_xlfn.IFS(I581&gt;=0.2,0.5,I581&gt;=0.1,0.35,I581&gt;=0.05,0.2,TRUE,0),IF(D581="Grenade",_xlfn.IFS(I581&gt;=0.2,1,I581&gt;=0.1,0.7,I581&gt;=0.05,0.4,TRUE,0),0))</f>
        <v>0</v>
      </c>
      <c r="L581" s="57">
        <f t="shared" si="178"/>
        <v>0</v>
      </c>
    </row>
    <row r="582" spans="1:12" ht="15" customHeight="1" x14ac:dyDescent="0.25">
      <c r="A582" s="42" t="str" cm="1">
        <f t="array" ref="A582">IFERROR(INDEX(_xlfn._xlws.FILTER(Class_Players!A:A,Class_Players!B:B="Recon"),QUOTIENT(ROW()-ROW($A$2),8)+1),"")</f>
        <v>PrimalX23</v>
      </c>
      <c r="B582" s="42" t="str">
        <f>_xlfn.XLOOKUP(A582,Class_Players!$A:$A,Class_Players!$B:$B,"")</f>
        <v>Recon</v>
      </c>
      <c r="C582" s="38" t="str" cm="1">
        <f t="array" ref="C582">INDEX(Lookups!$C$2:$C$9,MOD(ROW()-ROW($B$2),ROWS(Lookups!$C$2:$C$9))+1)</f>
        <v>Sniper Decoy</v>
      </c>
      <c r="D582" s="38" t="str">
        <f>_xlfn.XLOOKUP(C582,Analysis_Gadgets!$C:$C,Analysis_Gadgets!$B:$B)</f>
        <v>Gadget</v>
      </c>
      <c r="E582" s="43">
        <v>1750</v>
      </c>
      <c r="F582" s="43">
        <f>_xlfn.XLOOKUP(A582,Class_Players!A:A,Class_Players!G:G)</f>
        <v>122</v>
      </c>
      <c r="G582" s="43">
        <f t="shared" si="165"/>
        <v>14.344262295081966</v>
      </c>
      <c r="H582" s="43">
        <f>_xlfn.XLOOKUP(A582,Class_Players!$A:$A,Class_Players!$F:$F,"")</f>
        <v>5570</v>
      </c>
      <c r="I582" s="44">
        <f t="shared" si="166"/>
        <v>0.31418312387791741</v>
      </c>
      <c r="J582" s="43">
        <f t="shared" si="167"/>
        <v>1</v>
      </c>
      <c r="K582" s="44" cm="1">
        <f t="array" ref="K582">IF(D582="Gadget",_xlfn.IFS(I582&gt;=0.2,0.5,I582&gt;=0.1,0.35,I582&gt;=0.05,0.2,TRUE,0),IF(D582="Grenade",_xlfn.IFS(I582&gt;=0.2,1,I582&gt;=0.1,0.7,I582&gt;=0.05,0.4,TRUE,0),0))</f>
        <v>0.5</v>
      </c>
      <c r="L582" s="57">
        <f t="shared" si="178"/>
        <v>0.7142857142857143</v>
      </c>
    </row>
    <row r="583" spans="1:12" ht="15" customHeight="1" x14ac:dyDescent="0.25">
      <c r="A583" s="42" t="str" cm="1">
        <f t="array" ref="A583">IFERROR(INDEX(_xlfn._xlws.FILTER(Class_Players!A:A,Class_Players!B:B="Recon"),QUOTIENT(ROW()-ROW($A$2),8)+1),"")</f>
        <v>PrimalX23</v>
      </c>
      <c r="B583" s="42" t="str">
        <f>_xlfn.XLOOKUP(A583,Class_Players!$A:$A,Class_Players!$B:$B,"")</f>
        <v>Recon</v>
      </c>
      <c r="C583" s="38" t="str" cm="1">
        <f t="array" ref="C583">INDEX(Lookups!$C$2:$C$9,MOD(ROW()-ROW($B$2),ROWS(Lookups!$C$2:$C$9))+1)</f>
        <v>C-4 Explosives</v>
      </c>
      <c r="D583" s="38" t="str">
        <f>_xlfn.XLOOKUP(C583,Analysis_Gadgets!$C:$C,Analysis_Gadgets!$B:$B)</f>
        <v>Gadget</v>
      </c>
      <c r="E583" s="43">
        <v>31</v>
      </c>
      <c r="F583" s="43">
        <f>_xlfn.XLOOKUP(A583,Class_Players!A:A,Class_Players!G:G)</f>
        <v>122</v>
      </c>
      <c r="G583" s="43">
        <f t="shared" si="165"/>
        <v>0.25409836065573771</v>
      </c>
      <c r="H583" s="43">
        <f>_xlfn.XLOOKUP(A583,Class_Players!$A:$A,Class_Players!$F:$F,"")</f>
        <v>5570</v>
      </c>
      <c r="I583" s="44">
        <f t="shared" si="166"/>
        <v>5.5655296229802512E-3</v>
      </c>
      <c r="J583" s="43">
        <f t="shared" si="167"/>
        <v>0</v>
      </c>
      <c r="K583" s="44" cm="1">
        <f t="array" ref="K583">IF(D583="Gadget",_xlfn.IFS(I583&gt;=0.2,0.5,I583&gt;=0.1,0.35,I583&gt;=0.05,0.2,TRUE,0),IF(D583="Grenade",_xlfn.IFS(I583&gt;=0.2,1,I583&gt;=0.1,0.7,I583&gt;=0.05,0.4,TRUE,0),0))</f>
        <v>0</v>
      </c>
      <c r="L583" s="57">
        <f t="shared" si="178"/>
        <v>0</v>
      </c>
    </row>
    <row r="584" spans="1:12" ht="15" customHeight="1" x14ac:dyDescent="0.25">
      <c r="A584" s="42" t="str" cm="1">
        <f t="array" ref="A584">IFERROR(INDEX(_xlfn._xlws.FILTER(Class_Players!A:A,Class_Players!B:B="Recon"),QUOTIENT(ROW()-ROW($A$2),8)+1),"")</f>
        <v>PrimalX23</v>
      </c>
      <c r="B584" s="42" t="str">
        <f>_xlfn.XLOOKUP(A584,Class_Players!$A:$A,Class_Players!$B:$B,"")</f>
        <v>Recon</v>
      </c>
      <c r="C584" s="38" t="str" cm="1">
        <f t="array" ref="C584">INDEX(Lookups!$C$2:$C$9,MOD(ROW()-ROW($B$2),ROWS(Lookups!$C$2:$C$9))+1)</f>
        <v>Proximity Detector</v>
      </c>
      <c r="D584" s="38" t="str">
        <f>_xlfn.XLOOKUP(C584,Analysis_Gadgets!$C:$C,Analysis_Gadgets!$B:$B)</f>
        <v>Grenade</v>
      </c>
      <c r="E584" s="43">
        <v>1034</v>
      </c>
      <c r="F584" s="43">
        <f>_xlfn.XLOOKUP(A584,Class_Players!A:A,Class_Players!G:G)</f>
        <v>122</v>
      </c>
      <c r="G584" s="43">
        <f t="shared" si="165"/>
        <v>8.4754098360655732</v>
      </c>
      <c r="H584" s="43">
        <f>_xlfn.XLOOKUP(A584,Class_Players!$A:$A,Class_Players!$F:$F,"")</f>
        <v>5570</v>
      </c>
      <c r="I584" s="44">
        <f t="shared" si="166"/>
        <v>0.18563734290843806</v>
      </c>
      <c r="J584" s="43">
        <f t="shared" si="167"/>
        <v>1</v>
      </c>
      <c r="K584" s="44" cm="1">
        <f t="array" ref="K584">IF(D584="Gadget",_xlfn.IFS(I584&gt;=0.2,0.5,I584&gt;=0.1,0.35,I584&gt;=0.05,0.2,TRUE,0),IF(D584="Grenade",_xlfn.IFS(I584&gt;=0.2,1,I584&gt;=0.1,0.7,I584&gt;=0.05,0.4,TRUE,0),0))</f>
        <v>0.7</v>
      </c>
      <c r="L584" s="57">
        <f t="shared" ref="L584:L585" si="179">IF($K584=0,0,$K584 / SUMIFS($K:$K,$A:$A,$A584,$D:$D,"Grenade"))</f>
        <v>1</v>
      </c>
    </row>
    <row r="585" spans="1:12" ht="15" customHeight="1" x14ac:dyDescent="0.25">
      <c r="A585" s="42" t="str" cm="1">
        <f t="array" ref="A585">IFERROR(INDEX(_xlfn._xlws.FILTER(Class_Players!A:A,Class_Players!B:B="Recon"),QUOTIENT(ROW()-ROW($A$2),8)+1),"")</f>
        <v>PrimalX23</v>
      </c>
      <c r="B585" s="42" t="str">
        <f>_xlfn.XLOOKUP(A585,Class_Players!$A:$A,Class_Players!$B:$B,"")</f>
        <v>Recon</v>
      </c>
      <c r="C585" s="38" t="str" cm="1">
        <f t="array" ref="C585">INDEX(Lookups!$C$2:$C$9,MOD(ROW()-ROW($B$2),ROWS(Lookups!$C$2:$C$9))+1)</f>
        <v>Throwing Knife</v>
      </c>
      <c r="D585" s="38" t="str">
        <f>_xlfn.XLOOKUP(C585,Analysis_Gadgets!$C:$C,Analysis_Gadgets!$B:$B)</f>
        <v>Grenade</v>
      </c>
      <c r="E585" s="43">
        <v>6</v>
      </c>
      <c r="F585" s="43">
        <f>_xlfn.XLOOKUP(A585,Class_Players!A:A,Class_Players!G:G)</f>
        <v>122</v>
      </c>
      <c r="G585" s="43">
        <f t="shared" si="165"/>
        <v>4.9180327868852458E-2</v>
      </c>
      <c r="H585" s="43">
        <f>_xlfn.XLOOKUP(A585,Class_Players!$A:$A,Class_Players!$F:$F,"")</f>
        <v>5570</v>
      </c>
      <c r="I585" s="44">
        <f t="shared" si="166"/>
        <v>1.0771992818671453E-3</v>
      </c>
      <c r="J585" s="43">
        <f t="shared" si="167"/>
        <v>0</v>
      </c>
      <c r="K585" s="44" cm="1">
        <f t="array" ref="K585">IF(D585="Gadget",_xlfn.IFS(I585&gt;=0.2,0.5,I585&gt;=0.1,0.35,I585&gt;=0.05,0.2,TRUE,0),IF(D585="Grenade",_xlfn.IFS(I585&gt;=0.2,1,I585&gt;=0.1,0.7,I585&gt;=0.05,0.4,TRUE,0),0))</f>
        <v>0</v>
      </c>
      <c r="L585" s="57">
        <f t="shared" si="179"/>
        <v>0</v>
      </c>
    </row>
    <row r="586" spans="1:12" ht="15" customHeight="1" x14ac:dyDescent="0.25">
      <c r="A586" s="42" t="str" cm="1">
        <f t="array" ref="A586">IFERROR(INDEX(_xlfn._xlws.FILTER(Class_Players!A:A,Class_Players!B:B="Recon"),QUOTIENT(ROW()-ROW($A$2),8)+1),"")</f>
        <v>K1ng999</v>
      </c>
      <c r="B586" s="42" t="str">
        <f>_xlfn.XLOOKUP(A586,Class_Players!$A:$A,Class_Players!$B:$B,"")</f>
        <v>Recon</v>
      </c>
      <c r="C586" s="38" t="str" cm="1">
        <f t="array" ref="C586">INDEX(Lookups!$C$2:$C$9,MOD(ROW()-ROW($B$2),ROWS(Lookups!$C$2:$C$9))+1)</f>
        <v>Laser Designator</v>
      </c>
      <c r="D586" s="38" t="str">
        <f>_xlfn.XLOOKUP(C586,Analysis_Gadgets!$C:$C,Analysis_Gadgets!$B:$B)</f>
        <v>Gadget</v>
      </c>
      <c r="E586" s="43">
        <v>0</v>
      </c>
      <c r="F586" s="43">
        <f>_xlfn.XLOOKUP(A586,Class_Players!A:A,Class_Players!G:G)</f>
        <v>116</v>
      </c>
      <c r="G586" s="43">
        <f t="shared" si="165"/>
        <v>0</v>
      </c>
      <c r="H586" s="43">
        <f>_xlfn.XLOOKUP(A586,Class_Players!$A:$A,Class_Players!$F:$F,"")</f>
        <v>6442</v>
      </c>
      <c r="I586" s="44">
        <f t="shared" si="166"/>
        <v>0</v>
      </c>
      <c r="J586" s="43">
        <f t="shared" si="167"/>
        <v>0</v>
      </c>
      <c r="K586" s="44" cm="1">
        <f t="array" ref="K586">IF(D586="Gadget",_xlfn.IFS(I586&gt;=0.2,0.5,I586&gt;=0.1,0.35,I586&gt;=0.05,0.2,TRUE,0),IF(D586="Grenade",_xlfn.IFS(I586&gt;=0.2,1,I586&gt;=0.1,0.7,I586&gt;=0.05,0.4,TRUE,0),0))</f>
        <v>0</v>
      </c>
      <c r="L586" s="57">
        <f t="shared" ref="L586:L591" si="180">IF($K586=0,0,$K586 / SUMIFS($K:$K,$A:$A,$A586,$D:$D,"Gadget"))</f>
        <v>0</v>
      </c>
    </row>
    <row r="587" spans="1:12" ht="15" customHeight="1" x14ac:dyDescent="0.25">
      <c r="A587" s="42" t="str" cm="1">
        <f t="array" ref="A587">IFERROR(INDEX(_xlfn._xlws.FILTER(Class_Players!A:A,Class_Players!B:B="Recon"),QUOTIENT(ROW()-ROW($A$2),8)+1),"")</f>
        <v>K1ng999</v>
      </c>
      <c r="B587" s="42" t="str">
        <f>_xlfn.XLOOKUP(A587,Class_Players!$A:$A,Class_Players!$B:$B,"")</f>
        <v>Recon</v>
      </c>
      <c r="C587" s="38" t="str" cm="1">
        <f t="array" ref="C587">INDEX(Lookups!$C$2:$C$9,MOD(ROW()-ROW($B$2),ROWS(Lookups!$C$2:$C$9))+1)</f>
        <v>Recon Drone</v>
      </c>
      <c r="D587" s="38" t="str">
        <f>_xlfn.XLOOKUP(C587,Analysis_Gadgets!$C:$C,Analysis_Gadgets!$B:$B)</f>
        <v>Gadget</v>
      </c>
      <c r="E587" s="43">
        <v>336</v>
      </c>
      <c r="F587" s="43">
        <f>_xlfn.XLOOKUP(A587,Class_Players!A:A,Class_Players!G:G)</f>
        <v>116</v>
      </c>
      <c r="G587" s="43">
        <f t="shared" si="165"/>
        <v>2.896551724137931</v>
      </c>
      <c r="H587" s="43">
        <f>_xlfn.XLOOKUP(A587,Class_Players!$A:$A,Class_Players!$F:$F,"")</f>
        <v>6442</v>
      </c>
      <c r="I587" s="44">
        <f t="shared" si="166"/>
        <v>5.2157714995343059E-2</v>
      </c>
      <c r="J587" s="43">
        <f t="shared" si="167"/>
        <v>0</v>
      </c>
      <c r="K587" s="44" cm="1">
        <f t="array" ref="K587">IF(D587="Gadget",_xlfn.IFS(I587&gt;=0.2,0.5,I587&gt;=0.1,0.35,I587&gt;=0.05,0.2,TRUE,0),IF(D587="Grenade",_xlfn.IFS(I587&gt;=0.2,1,I587&gt;=0.1,0.7,I587&gt;=0.05,0.4,TRUE,0),0))</f>
        <v>0.2</v>
      </c>
      <c r="L587" s="57">
        <f t="shared" si="180"/>
        <v>0.16666666666666669</v>
      </c>
    </row>
    <row r="588" spans="1:12" ht="15" customHeight="1" x14ac:dyDescent="0.25">
      <c r="A588" s="42" t="str" cm="1">
        <f t="array" ref="A588">IFERROR(INDEX(_xlfn._xlws.FILTER(Class_Players!A:A,Class_Players!B:B="Recon"),QUOTIENT(ROW()-ROW($A$2),8)+1),"")</f>
        <v>K1ng999</v>
      </c>
      <c r="B588" s="42" t="str">
        <f>_xlfn.XLOOKUP(A588,Class_Players!$A:$A,Class_Players!$B:$B,"")</f>
        <v>Recon</v>
      </c>
      <c r="C588" s="38" t="str" cm="1">
        <f t="array" ref="C588">INDEX(Lookups!$C$2:$C$9,MOD(ROW()-ROW($B$2),ROWS(Lookups!$C$2:$C$9))+1)</f>
        <v>Tracer Dart</v>
      </c>
      <c r="D588" s="38" t="str">
        <f>_xlfn.XLOOKUP(C588,Analysis_Gadgets!$C:$C,Analysis_Gadgets!$B:$B)</f>
        <v>Gadget</v>
      </c>
      <c r="E588" s="43">
        <v>0</v>
      </c>
      <c r="F588" s="43">
        <f>_xlfn.XLOOKUP(A588,Class_Players!A:A,Class_Players!G:G)</f>
        <v>116</v>
      </c>
      <c r="G588" s="43">
        <f t="shared" si="165"/>
        <v>0</v>
      </c>
      <c r="H588" s="43">
        <f>_xlfn.XLOOKUP(A588,Class_Players!$A:$A,Class_Players!$F:$F,"")</f>
        <v>6442</v>
      </c>
      <c r="I588" s="44">
        <f t="shared" si="166"/>
        <v>0</v>
      </c>
      <c r="J588" s="43">
        <f t="shared" si="167"/>
        <v>0</v>
      </c>
      <c r="K588" s="44" cm="1">
        <f t="array" ref="K588">IF(D588="Gadget",_xlfn.IFS(I588&gt;=0.2,0.5,I588&gt;=0.1,0.35,I588&gt;=0.05,0.2,TRUE,0),IF(D588="Grenade",_xlfn.IFS(I588&gt;=0.2,1,I588&gt;=0.1,0.7,I588&gt;=0.05,0.4,TRUE,0),0))</f>
        <v>0</v>
      </c>
      <c r="L588" s="57">
        <f t="shared" si="180"/>
        <v>0</v>
      </c>
    </row>
    <row r="589" spans="1:12" ht="15" customHeight="1" x14ac:dyDescent="0.25">
      <c r="A589" s="42" t="str" cm="1">
        <f t="array" ref="A589">IFERROR(INDEX(_xlfn._xlws.FILTER(Class_Players!A:A,Class_Players!B:B="Recon"),QUOTIENT(ROW()-ROW($A$2),8)+1),"")</f>
        <v>K1ng999</v>
      </c>
      <c r="B589" s="42" t="str">
        <f>_xlfn.XLOOKUP(A589,Class_Players!$A:$A,Class_Players!$B:$B,"")</f>
        <v>Recon</v>
      </c>
      <c r="C589" s="38" t="str" cm="1">
        <f t="array" ref="C589">INDEX(Lookups!$C$2:$C$9,MOD(ROW()-ROW($B$2),ROWS(Lookups!$C$2:$C$9))+1)</f>
        <v>M18A1 (Claymore)</v>
      </c>
      <c r="D589" s="38" t="str">
        <f>_xlfn.XLOOKUP(C589,Analysis_Gadgets!$C:$C,Analysis_Gadgets!$B:$B)</f>
        <v>Gadget</v>
      </c>
      <c r="E589" s="43">
        <v>3690</v>
      </c>
      <c r="F589" s="43">
        <f>_xlfn.XLOOKUP(A589,Class_Players!A:A,Class_Players!G:G)</f>
        <v>116</v>
      </c>
      <c r="G589" s="43">
        <f t="shared" si="165"/>
        <v>31.810344827586206</v>
      </c>
      <c r="H589" s="43">
        <f>_xlfn.XLOOKUP(A589,Class_Players!$A:$A,Class_Players!$F:$F,"")</f>
        <v>6442</v>
      </c>
      <c r="I589" s="44">
        <f t="shared" si="166"/>
        <v>0.57280347718099967</v>
      </c>
      <c r="J589" s="43">
        <f t="shared" si="167"/>
        <v>1</v>
      </c>
      <c r="K589" s="44" cm="1">
        <f t="array" ref="K589">IF(D589="Gadget",_xlfn.IFS(I589&gt;=0.2,0.5,I589&gt;=0.1,0.35,I589&gt;=0.05,0.2,TRUE,0),IF(D589="Grenade",_xlfn.IFS(I589&gt;=0.2,1,I589&gt;=0.1,0.7,I589&gt;=0.05,0.4,TRUE,0),0))</f>
        <v>0.5</v>
      </c>
      <c r="L589" s="57">
        <f t="shared" si="180"/>
        <v>0.41666666666666669</v>
      </c>
    </row>
    <row r="590" spans="1:12" ht="15" customHeight="1" x14ac:dyDescent="0.25">
      <c r="A590" s="42" t="str" cm="1">
        <f t="array" ref="A590">IFERROR(INDEX(_xlfn._xlws.FILTER(Class_Players!A:A,Class_Players!B:B="Recon"),QUOTIENT(ROW()-ROW($A$2),8)+1),"")</f>
        <v>K1ng999</v>
      </c>
      <c r="B590" s="42" t="str">
        <f>_xlfn.XLOOKUP(A590,Class_Players!$A:$A,Class_Players!$B:$B,"")</f>
        <v>Recon</v>
      </c>
      <c r="C590" s="38" t="str" cm="1">
        <f t="array" ref="C590">INDEX(Lookups!$C$2:$C$9,MOD(ROW()-ROW($B$2),ROWS(Lookups!$C$2:$C$9))+1)</f>
        <v>Sniper Decoy</v>
      </c>
      <c r="D590" s="38" t="str">
        <f>_xlfn.XLOOKUP(C590,Analysis_Gadgets!$C:$C,Analysis_Gadgets!$B:$B)</f>
        <v>Gadget</v>
      </c>
      <c r="E590" s="43">
        <v>25</v>
      </c>
      <c r="F590" s="43">
        <f>_xlfn.XLOOKUP(A590,Class_Players!A:A,Class_Players!G:G)</f>
        <v>116</v>
      </c>
      <c r="G590" s="43">
        <f t="shared" si="165"/>
        <v>0.21551724137931033</v>
      </c>
      <c r="H590" s="43">
        <f>_xlfn.XLOOKUP(A590,Class_Players!$A:$A,Class_Players!$F:$F,"")</f>
        <v>6442</v>
      </c>
      <c r="I590" s="44">
        <f t="shared" si="166"/>
        <v>3.8807823657249301E-3</v>
      </c>
      <c r="J590" s="43">
        <f t="shared" si="167"/>
        <v>0</v>
      </c>
      <c r="K590" s="44" cm="1">
        <f t="array" ref="K590">IF(D590="Gadget",_xlfn.IFS(I590&gt;=0.2,0.5,I590&gt;=0.1,0.35,I590&gt;=0.05,0.2,TRUE,0),IF(D590="Grenade",_xlfn.IFS(I590&gt;=0.2,1,I590&gt;=0.1,0.7,I590&gt;=0.05,0.4,TRUE,0),0))</f>
        <v>0</v>
      </c>
      <c r="L590" s="57">
        <f t="shared" si="180"/>
        <v>0</v>
      </c>
    </row>
    <row r="591" spans="1:12" ht="15" customHeight="1" x14ac:dyDescent="0.25">
      <c r="A591" s="42" t="str" cm="1">
        <f t="array" ref="A591">IFERROR(INDEX(_xlfn._xlws.FILTER(Class_Players!A:A,Class_Players!B:B="Recon"),QUOTIENT(ROW()-ROW($A$2),8)+1),"")</f>
        <v>K1ng999</v>
      </c>
      <c r="B591" s="42" t="str">
        <f>_xlfn.XLOOKUP(A591,Class_Players!$A:$A,Class_Players!$B:$B,"")</f>
        <v>Recon</v>
      </c>
      <c r="C591" s="38" t="str" cm="1">
        <f t="array" ref="C591">INDEX(Lookups!$C$2:$C$9,MOD(ROW()-ROW($B$2),ROWS(Lookups!$C$2:$C$9))+1)</f>
        <v>C-4 Explosives</v>
      </c>
      <c r="D591" s="38" t="str">
        <f>_xlfn.XLOOKUP(C591,Analysis_Gadgets!$C:$C,Analysis_Gadgets!$B:$B)</f>
        <v>Gadget</v>
      </c>
      <c r="E591" s="43">
        <v>3523</v>
      </c>
      <c r="F591" s="43">
        <f>_xlfn.XLOOKUP(A591,Class_Players!A:A,Class_Players!G:G)</f>
        <v>116</v>
      </c>
      <c r="G591" s="43">
        <f t="shared" si="165"/>
        <v>30.370689655172413</v>
      </c>
      <c r="H591" s="43">
        <f>_xlfn.XLOOKUP(A591,Class_Players!$A:$A,Class_Players!$F:$F,"")</f>
        <v>6442</v>
      </c>
      <c r="I591" s="44">
        <f t="shared" si="166"/>
        <v>0.5468798509779571</v>
      </c>
      <c r="J591" s="43">
        <f t="shared" si="167"/>
        <v>1</v>
      </c>
      <c r="K591" s="44" cm="1">
        <f t="array" ref="K591">IF(D591="Gadget",_xlfn.IFS(I591&gt;=0.2,0.5,I591&gt;=0.1,0.35,I591&gt;=0.05,0.2,TRUE,0),IF(D591="Grenade",_xlfn.IFS(I591&gt;=0.2,1,I591&gt;=0.1,0.7,I591&gt;=0.05,0.4,TRUE,0),0))</f>
        <v>0.5</v>
      </c>
      <c r="L591" s="57">
        <f t="shared" si="180"/>
        <v>0.41666666666666669</v>
      </c>
    </row>
    <row r="592" spans="1:12" ht="15" customHeight="1" x14ac:dyDescent="0.25">
      <c r="A592" s="42" t="str" cm="1">
        <f t="array" ref="A592">IFERROR(INDEX(_xlfn._xlws.FILTER(Class_Players!A:A,Class_Players!B:B="Recon"),QUOTIENT(ROW()-ROW($A$2),8)+1),"")</f>
        <v>K1ng999</v>
      </c>
      <c r="B592" s="42" t="str">
        <f>_xlfn.XLOOKUP(A592,Class_Players!$A:$A,Class_Players!$B:$B,"")</f>
        <v>Recon</v>
      </c>
      <c r="C592" s="38" t="str" cm="1">
        <f t="array" ref="C592">INDEX(Lookups!$C$2:$C$9,MOD(ROW()-ROW($B$2),ROWS(Lookups!$C$2:$C$9))+1)</f>
        <v>Proximity Detector</v>
      </c>
      <c r="D592" s="38" t="str">
        <f>_xlfn.XLOOKUP(C592,Analysis_Gadgets!$C:$C,Analysis_Gadgets!$B:$B)</f>
        <v>Grenade</v>
      </c>
      <c r="E592" s="43">
        <v>0</v>
      </c>
      <c r="F592" s="43">
        <f>_xlfn.XLOOKUP(A592,Class_Players!A:A,Class_Players!G:G)</f>
        <v>116</v>
      </c>
      <c r="G592" s="43">
        <f t="shared" si="165"/>
        <v>0</v>
      </c>
      <c r="H592" s="43">
        <f>_xlfn.XLOOKUP(A592,Class_Players!$A:$A,Class_Players!$F:$F,"")</f>
        <v>6442</v>
      </c>
      <c r="I592" s="44">
        <f t="shared" si="166"/>
        <v>0</v>
      </c>
      <c r="J592" s="43">
        <f t="shared" si="167"/>
        <v>0</v>
      </c>
      <c r="K592" s="44" cm="1">
        <f t="array" ref="K592">IF(D592="Gadget",_xlfn.IFS(I592&gt;=0.2,0.5,I592&gt;=0.1,0.35,I592&gt;=0.05,0.2,TRUE,0),IF(D592="Grenade",_xlfn.IFS(I592&gt;=0.2,1,I592&gt;=0.1,0.7,I592&gt;=0.05,0.4,TRUE,0),0))</f>
        <v>0</v>
      </c>
      <c r="L592" s="57">
        <f t="shared" ref="L592:L593" si="181">IF($K592=0,0,$K592 / SUMIFS($K:$K,$A:$A,$A592,$D:$D,"Grenade"))</f>
        <v>0</v>
      </c>
    </row>
    <row r="593" spans="1:12" ht="15" customHeight="1" x14ac:dyDescent="0.25">
      <c r="A593" s="42" t="str" cm="1">
        <f t="array" ref="A593">IFERROR(INDEX(_xlfn._xlws.FILTER(Class_Players!A:A,Class_Players!B:B="Recon"),QUOTIENT(ROW()-ROW($A$2),8)+1),"")</f>
        <v>K1ng999</v>
      </c>
      <c r="B593" s="42" t="str">
        <f>_xlfn.XLOOKUP(A593,Class_Players!$A:$A,Class_Players!$B:$B,"")</f>
        <v>Recon</v>
      </c>
      <c r="C593" s="38" t="str" cm="1">
        <f t="array" ref="C593">INDEX(Lookups!$C$2:$C$9,MOD(ROW()-ROW($B$2),ROWS(Lookups!$C$2:$C$9))+1)</f>
        <v>Throwing Knife</v>
      </c>
      <c r="D593" s="38" t="str">
        <f>_xlfn.XLOOKUP(C593,Analysis_Gadgets!$C:$C,Analysis_Gadgets!$B:$B)</f>
        <v>Grenade</v>
      </c>
      <c r="E593" s="43">
        <v>0</v>
      </c>
      <c r="F593" s="43">
        <f>_xlfn.XLOOKUP(A593,Class_Players!A:A,Class_Players!G:G)</f>
        <v>116</v>
      </c>
      <c r="G593" s="43">
        <f t="shared" si="165"/>
        <v>0</v>
      </c>
      <c r="H593" s="43">
        <f>_xlfn.XLOOKUP(A593,Class_Players!$A:$A,Class_Players!$F:$F,"")</f>
        <v>6442</v>
      </c>
      <c r="I593" s="44">
        <f t="shared" si="166"/>
        <v>0</v>
      </c>
      <c r="J593" s="43">
        <f t="shared" si="167"/>
        <v>0</v>
      </c>
      <c r="K593" s="44" cm="1">
        <f t="array" ref="K593">IF(D593="Gadget",_xlfn.IFS(I593&gt;=0.2,0.5,I593&gt;=0.1,0.35,I593&gt;=0.05,0.2,TRUE,0),IF(D593="Grenade",_xlfn.IFS(I593&gt;=0.2,1,I593&gt;=0.1,0.7,I593&gt;=0.05,0.4,TRUE,0),0))</f>
        <v>0</v>
      </c>
      <c r="L593" s="57">
        <f t="shared" si="181"/>
        <v>0</v>
      </c>
    </row>
    <row r="594" spans="1:12" ht="15" customHeight="1" x14ac:dyDescent="0.25">
      <c r="A594" s="42" t="str" cm="1">
        <f t="array" ref="A594">IFERROR(INDEX(_xlfn._xlws.FILTER(Class_Players!A:A,Class_Players!B:B="Recon"),QUOTIENT(ROW()-ROW($A$2),8)+1),"")</f>
        <v>macamarcos</v>
      </c>
      <c r="B594" s="42" t="str">
        <f>_xlfn.XLOOKUP(A594,Class_Players!$A:$A,Class_Players!$B:$B,"")</f>
        <v>Recon</v>
      </c>
      <c r="C594" s="38" t="str" cm="1">
        <f t="array" ref="C594">INDEX(Lookups!$C$2:$C$9,MOD(ROW()-ROW($B$2),ROWS(Lookups!$C$2:$C$9))+1)</f>
        <v>Laser Designator</v>
      </c>
      <c r="D594" s="38" t="str">
        <f>_xlfn.XLOOKUP(C594,Analysis_Gadgets!$C:$C,Analysis_Gadgets!$B:$B)</f>
        <v>Gadget</v>
      </c>
      <c r="E594" s="43">
        <v>79</v>
      </c>
      <c r="F594" s="43">
        <f>_xlfn.XLOOKUP(A594,Class_Players!A:A,Class_Players!G:G)</f>
        <v>168</v>
      </c>
      <c r="G594" s="43">
        <f t="shared" si="165"/>
        <v>0.47023809523809523</v>
      </c>
      <c r="H594" s="43">
        <f>_xlfn.XLOOKUP(A594,Class_Players!$A:$A,Class_Players!$F:$F,"")</f>
        <v>5555</v>
      </c>
      <c r="I594" s="44">
        <f t="shared" si="166"/>
        <v>1.4221422142214222E-2</v>
      </c>
      <c r="J594" s="43">
        <f t="shared" si="167"/>
        <v>0</v>
      </c>
      <c r="K594" s="44" cm="1">
        <f t="array" ref="K594">IF(D594="Gadget",_xlfn.IFS(I594&gt;=0.2,0.5,I594&gt;=0.1,0.35,I594&gt;=0.05,0.2,TRUE,0),IF(D594="Grenade",_xlfn.IFS(I594&gt;=0.2,1,I594&gt;=0.1,0.7,I594&gt;=0.05,0.4,TRUE,0),0))</f>
        <v>0</v>
      </c>
      <c r="L594" s="57">
        <f t="shared" ref="L594:L599" si="182">IF($K594=0,0,$K594 / SUMIFS($K:$K,$A:$A,$A594,$D:$D,"Gadget"))</f>
        <v>0</v>
      </c>
    </row>
    <row r="595" spans="1:12" ht="15" customHeight="1" x14ac:dyDescent="0.25">
      <c r="A595" s="42" t="str" cm="1">
        <f t="array" ref="A595">IFERROR(INDEX(_xlfn._xlws.FILTER(Class_Players!A:A,Class_Players!B:B="Recon"),QUOTIENT(ROW()-ROW($A$2),8)+1),"")</f>
        <v>macamarcos</v>
      </c>
      <c r="B595" s="42" t="str">
        <f>_xlfn.XLOOKUP(A595,Class_Players!$A:$A,Class_Players!$B:$B,"")</f>
        <v>Recon</v>
      </c>
      <c r="C595" s="38" t="str" cm="1">
        <f t="array" ref="C595">INDEX(Lookups!$C$2:$C$9,MOD(ROW()-ROW($B$2),ROWS(Lookups!$C$2:$C$9))+1)</f>
        <v>Recon Drone</v>
      </c>
      <c r="D595" s="38" t="str">
        <f>_xlfn.XLOOKUP(C595,Analysis_Gadgets!$C:$C,Analysis_Gadgets!$B:$B)</f>
        <v>Gadget</v>
      </c>
      <c r="E595" s="43">
        <v>83</v>
      </c>
      <c r="F595" s="43">
        <f>_xlfn.XLOOKUP(A595,Class_Players!A:A,Class_Players!G:G)</f>
        <v>168</v>
      </c>
      <c r="G595" s="43">
        <f t="shared" si="165"/>
        <v>0.49404761904761907</v>
      </c>
      <c r="H595" s="43">
        <f>_xlfn.XLOOKUP(A595,Class_Players!$A:$A,Class_Players!$F:$F,"")</f>
        <v>5555</v>
      </c>
      <c r="I595" s="44">
        <f t="shared" si="166"/>
        <v>1.4941494149414942E-2</v>
      </c>
      <c r="J595" s="43">
        <f t="shared" si="167"/>
        <v>0</v>
      </c>
      <c r="K595" s="44" cm="1">
        <f t="array" ref="K595">IF(D595="Gadget",_xlfn.IFS(I595&gt;=0.2,0.5,I595&gt;=0.1,0.35,I595&gt;=0.05,0.2,TRUE,0),IF(D595="Grenade",_xlfn.IFS(I595&gt;=0.2,1,I595&gt;=0.1,0.7,I595&gt;=0.05,0.4,TRUE,0),0))</f>
        <v>0</v>
      </c>
      <c r="L595" s="57">
        <f t="shared" si="182"/>
        <v>0</v>
      </c>
    </row>
    <row r="596" spans="1:12" ht="15" customHeight="1" x14ac:dyDescent="0.25">
      <c r="A596" s="42" t="str" cm="1">
        <f t="array" ref="A596">IFERROR(INDEX(_xlfn._xlws.FILTER(Class_Players!A:A,Class_Players!B:B="Recon"),QUOTIENT(ROW()-ROW($A$2),8)+1),"")</f>
        <v>macamarcos</v>
      </c>
      <c r="B596" s="42" t="str">
        <f>_xlfn.XLOOKUP(A596,Class_Players!$A:$A,Class_Players!$B:$B,"")</f>
        <v>Recon</v>
      </c>
      <c r="C596" s="38" t="str" cm="1">
        <f t="array" ref="C596">INDEX(Lookups!$C$2:$C$9,MOD(ROW()-ROW($B$2),ROWS(Lookups!$C$2:$C$9))+1)</f>
        <v>Tracer Dart</v>
      </c>
      <c r="D596" s="38" t="str">
        <f>_xlfn.XLOOKUP(C596,Analysis_Gadgets!$C:$C,Analysis_Gadgets!$B:$B)</f>
        <v>Gadget</v>
      </c>
      <c r="E596" s="43">
        <v>42</v>
      </c>
      <c r="F596" s="43">
        <f>_xlfn.XLOOKUP(A596,Class_Players!A:A,Class_Players!G:G)</f>
        <v>168</v>
      </c>
      <c r="G596" s="43">
        <f t="shared" si="165"/>
        <v>0.25</v>
      </c>
      <c r="H596" s="43">
        <f>_xlfn.XLOOKUP(A596,Class_Players!$A:$A,Class_Players!$F:$F,"")</f>
        <v>5555</v>
      </c>
      <c r="I596" s="44">
        <f t="shared" si="166"/>
        <v>7.5607560756075611E-3</v>
      </c>
      <c r="J596" s="43">
        <f t="shared" si="167"/>
        <v>0</v>
      </c>
      <c r="K596" s="44" cm="1">
        <f t="array" ref="K596">IF(D596="Gadget",_xlfn.IFS(I596&gt;=0.2,0.5,I596&gt;=0.1,0.35,I596&gt;=0.05,0.2,TRUE,0),IF(D596="Grenade",_xlfn.IFS(I596&gt;=0.2,1,I596&gt;=0.1,0.7,I596&gt;=0.05,0.4,TRUE,0),0))</f>
        <v>0</v>
      </c>
      <c r="L596" s="57">
        <f t="shared" si="182"/>
        <v>0</v>
      </c>
    </row>
    <row r="597" spans="1:12" ht="15" customHeight="1" x14ac:dyDescent="0.25">
      <c r="A597" s="42" t="str" cm="1">
        <f t="array" ref="A597">IFERROR(INDEX(_xlfn._xlws.FILTER(Class_Players!A:A,Class_Players!B:B="Recon"),QUOTIENT(ROW()-ROW($A$2),8)+1),"")</f>
        <v>macamarcos</v>
      </c>
      <c r="B597" s="42" t="str">
        <f>_xlfn.XLOOKUP(A597,Class_Players!$A:$A,Class_Players!$B:$B,"")</f>
        <v>Recon</v>
      </c>
      <c r="C597" s="38" t="str" cm="1">
        <f t="array" ref="C597">INDEX(Lookups!$C$2:$C$9,MOD(ROW()-ROW($B$2),ROWS(Lookups!$C$2:$C$9))+1)</f>
        <v>M18A1 (Claymore)</v>
      </c>
      <c r="D597" s="38" t="str">
        <f>_xlfn.XLOOKUP(C597,Analysis_Gadgets!$C:$C,Analysis_Gadgets!$B:$B)</f>
        <v>Gadget</v>
      </c>
      <c r="E597" s="43">
        <v>1237</v>
      </c>
      <c r="F597" s="43">
        <f>_xlfn.XLOOKUP(A597,Class_Players!A:A,Class_Players!G:G)</f>
        <v>168</v>
      </c>
      <c r="G597" s="43">
        <f t="shared" si="165"/>
        <v>7.3630952380952381</v>
      </c>
      <c r="H597" s="43">
        <f>_xlfn.XLOOKUP(A597,Class_Players!$A:$A,Class_Players!$F:$F,"")</f>
        <v>5555</v>
      </c>
      <c r="I597" s="44">
        <f t="shared" si="166"/>
        <v>0.22268226822682269</v>
      </c>
      <c r="J597" s="43">
        <f t="shared" si="167"/>
        <v>1</v>
      </c>
      <c r="K597" s="44" cm="1">
        <f t="array" ref="K597">IF(D597="Gadget",_xlfn.IFS(I597&gt;=0.2,0.5,I597&gt;=0.1,0.35,I597&gt;=0.05,0.2,TRUE,0),IF(D597="Grenade",_xlfn.IFS(I597&gt;=0.2,1,I597&gt;=0.1,0.7,I597&gt;=0.05,0.4,TRUE,0),0))</f>
        <v>0.5</v>
      </c>
      <c r="L597" s="57">
        <f t="shared" si="182"/>
        <v>0.5</v>
      </c>
    </row>
    <row r="598" spans="1:12" ht="15" customHeight="1" x14ac:dyDescent="0.25">
      <c r="A598" s="42" t="str" cm="1">
        <f t="array" ref="A598">IFERROR(INDEX(_xlfn._xlws.FILTER(Class_Players!A:A,Class_Players!B:B="Recon"),QUOTIENT(ROW()-ROW($A$2),8)+1),"")</f>
        <v>macamarcos</v>
      </c>
      <c r="B598" s="42" t="str">
        <f>_xlfn.XLOOKUP(A598,Class_Players!$A:$A,Class_Players!$B:$B,"")</f>
        <v>Recon</v>
      </c>
      <c r="C598" s="38" t="str" cm="1">
        <f t="array" ref="C598">INDEX(Lookups!$C$2:$C$9,MOD(ROW()-ROW($B$2),ROWS(Lookups!$C$2:$C$9))+1)</f>
        <v>Sniper Decoy</v>
      </c>
      <c r="D598" s="38" t="str">
        <f>_xlfn.XLOOKUP(C598,Analysis_Gadgets!$C:$C,Analysis_Gadgets!$B:$B)</f>
        <v>Gadget</v>
      </c>
      <c r="E598" s="43">
        <v>22</v>
      </c>
      <c r="F598" s="43">
        <f>_xlfn.XLOOKUP(A598,Class_Players!A:A,Class_Players!G:G)</f>
        <v>168</v>
      </c>
      <c r="G598" s="43">
        <f t="shared" si="165"/>
        <v>0.13095238095238096</v>
      </c>
      <c r="H598" s="43">
        <f>_xlfn.XLOOKUP(A598,Class_Players!$A:$A,Class_Players!$F:$F,"")</f>
        <v>5555</v>
      </c>
      <c r="I598" s="44">
        <f t="shared" si="166"/>
        <v>3.9603960396039604E-3</v>
      </c>
      <c r="J598" s="43">
        <f t="shared" si="167"/>
        <v>0</v>
      </c>
      <c r="K598" s="44" cm="1">
        <f t="array" ref="K598">IF(D598="Gadget",_xlfn.IFS(I598&gt;=0.2,0.5,I598&gt;=0.1,0.35,I598&gt;=0.05,0.2,TRUE,0),IF(D598="Grenade",_xlfn.IFS(I598&gt;=0.2,1,I598&gt;=0.1,0.7,I598&gt;=0.05,0.4,TRUE,0),0))</f>
        <v>0</v>
      </c>
      <c r="L598" s="57">
        <f t="shared" si="182"/>
        <v>0</v>
      </c>
    </row>
    <row r="599" spans="1:12" ht="15" customHeight="1" x14ac:dyDescent="0.25">
      <c r="A599" s="42" t="str" cm="1">
        <f t="array" ref="A599">IFERROR(INDEX(_xlfn._xlws.FILTER(Class_Players!A:A,Class_Players!B:B="Recon"),QUOTIENT(ROW()-ROW($A$2),8)+1),"")</f>
        <v>macamarcos</v>
      </c>
      <c r="B599" s="42" t="str">
        <f>_xlfn.XLOOKUP(A599,Class_Players!$A:$A,Class_Players!$B:$B,"")</f>
        <v>Recon</v>
      </c>
      <c r="C599" s="38" t="str" cm="1">
        <f t="array" ref="C599">INDEX(Lookups!$C$2:$C$9,MOD(ROW()-ROW($B$2),ROWS(Lookups!$C$2:$C$9))+1)</f>
        <v>C-4 Explosives</v>
      </c>
      <c r="D599" s="38" t="str">
        <f>_xlfn.XLOOKUP(C599,Analysis_Gadgets!$C:$C,Analysis_Gadgets!$B:$B)</f>
        <v>Gadget</v>
      </c>
      <c r="E599" s="43">
        <v>2071</v>
      </c>
      <c r="F599" s="43">
        <f>_xlfn.XLOOKUP(A599,Class_Players!A:A,Class_Players!G:G)</f>
        <v>168</v>
      </c>
      <c r="G599" s="43">
        <f t="shared" si="165"/>
        <v>12.327380952380953</v>
      </c>
      <c r="H599" s="43">
        <f>_xlfn.XLOOKUP(A599,Class_Players!$A:$A,Class_Players!$F:$F,"")</f>
        <v>5555</v>
      </c>
      <c r="I599" s="44">
        <f t="shared" si="166"/>
        <v>0.3728172817281728</v>
      </c>
      <c r="J599" s="43">
        <f t="shared" si="167"/>
        <v>1</v>
      </c>
      <c r="K599" s="44" cm="1">
        <f t="array" ref="K599">IF(D599="Gadget",_xlfn.IFS(I599&gt;=0.2,0.5,I599&gt;=0.1,0.35,I599&gt;=0.05,0.2,TRUE,0),IF(D599="Grenade",_xlfn.IFS(I599&gt;=0.2,1,I599&gt;=0.1,0.7,I599&gt;=0.05,0.4,TRUE,0),0))</f>
        <v>0.5</v>
      </c>
      <c r="L599" s="57">
        <f t="shared" si="182"/>
        <v>0.5</v>
      </c>
    </row>
    <row r="600" spans="1:12" ht="15" customHeight="1" x14ac:dyDescent="0.25">
      <c r="A600" s="42" t="str" cm="1">
        <f t="array" ref="A600">IFERROR(INDEX(_xlfn._xlws.FILTER(Class_Players!A:A,Class_Players!B:B="Recon"),QUOTIENT(ROW()-ROW($A$2),8)+1),"")</f>
        <v>macamarcos</v>
      </c>
      <c r="B600" s="42" t="str">
        <f>_xlfn.XLOOKUP(A600,Class_Players!$A:$A,Class_Players!$B:$B,"")</f>
        <v>Recon</v>
      </c>
      <c r="C600" s="38" t="str" cm="1">
        <f t="array" ref="C600">INDEX(Lookups!$C$2:$C$9,MOD(ROW()-ROW($B$2),ROWS(Lookups!$C$2:$C$9))+1)</f>
        <v>Proximity Detector</v>
      </c>
      <c r="D600" s="38" t="str">
        <f>_xlfn.XLOOKUP(C600,Analysis_Gadgets!$C:$C,Analysis_Gadgets!$B:$B)</f>
        <v>Grenade</v>
      </c>
      <c r="E600" s="43">
        <v>32</v>
      </c>
      <c r="F600" s="43">
        <f>_xlfn.XLOOKUP(A600,Class_Players!A:A,Class_Players!G:G)</f>
        <v>168</v>
      </c>
      <c r="G600" s="43">
        <f t="shared" si="165"/>
        <v>0.19047619047619047</v>
      </c>
      <c r="H600" s="43">
        <f>_xlfn.XLOOKUP(A600,Class_Players!$A:$A,Class_Players!$F:$F,"")</f>
        <v>5555</v>
      </c>
      <c r="I600" s="44">
        <f t="shared" si="166"/>
        <v>5.7605760576057603E-3</v>
      </c>
      <c r="J600" s="43">
        <f t="shared" si="167"/>
        <v>0</v>
      </c>
      <c r="K600" s="44" cm="1">
        <f t="array" ref="K600">IF(D600="Gadget",_xlfn.IFS(I600&gt;=0.2,0.5,I600&gt;=0.1,0.35,I600&gt;=0.05,0.2,TRUE,0),IF(D600="Grenade",_xlfn.IFS(I600&gt;=0.2,1,I600&gt;=0.1,0.7,I600&gt;=0.05,0.4,TRUE,0),0))</f>
        <v>0</v>
      </c>
      <c r="L600" s="57">
        <f t="shared" ref="L600:L601" si="183">IF($K600=0,0,$K600 / SUMIFS($K:$K,$A:$A,$A600,$D:$D,"Grenade"))</f>
        <v>0</v>
      </c>
    </row>
    <row r="601" spans="1:12" ht="15" customHeight="1" x14ac:dyDescent="0.25">
      <c r="A601" s="42" t="str" cm="1">
        <f t="array" ref="A601">IFERROR(INDEX(_xlfn._xlws.FILTER(Class_Players!A:A,Class_Players!B:B="Recon"),QUOTIENT(ROW()-ROW($A$2),8)+1),"")</f>
        <v>macamarcos</v>
      </c>
      <c r="B601" s="42" t="str">
        <f>_xlfn.XLOOKUP(A601,Class_Players!$A:$A,Class_Players!$B:$B,"")</f>
        <v>Recon</v>
      </c>
      <c r="C601" s="38" t="str" cm="1">
        <f t="array" ref="C601">INDEX(Lookups!$C$2:$C$9,MOD(ROW()-ROW($B$2),ROWS(Lookups!$C$2:$C$9))+1)</f>
        <v>Throwing Knife</v>
      </c>
      <c r="D601" s="38" t="str">
        <f>_xlfn.XLOOKUP(C601,Analysis_Gadgets!$C:$C,Analysis_Gadgets!$B:$B)</f>
        <v>Grenade</v>
      </c>
      <c r="E601" s="43">
        <v>14</v>
      </c>
      <c r="F601" s="43">
        <f>_xlfn.XLOOKUP(A601,Class_Players!A:A,Class_Players!G:G)</f>
        <v>168</v>
      </c>
      <c r="G601" s="43">
        <f t="shared" si="165"/>
        <v>8.3333333333333329E-2</v>
      </c>
      <c r="H601" s="43">
        <f>_xlfn.XLOOKUP(A601,Class_Players!$A:$A,Class_Players!$F:$F,"")</f>
        <v>5555</v>
      </c>
      <c r="I601" s="44">
        <f t="shared" si="166"/>
        <v>2.5202520252025204E-3</v>
      </c>
      <c r="J601" s="43">
        <f t="shared" si="167"/>
        <v>0</v>
      </c>
      <c r="K601" s="44" cm="1">
        <f t="array" ref="K601">IF(D601="Gadget",_xlfn.IFS(I601&gt;=0.2,0.5,I601&gt;=0.1,0.35,I601&gt;=0.05,0.2,TRUE,0),IF(D601="Grenade",_xlfn.IFS(I601&gt;=0.2,1,I601&gt;=0.1,0.7,I601&gt;=0.05,0.4,TRUE,0),0))</f>
        <v>0</v>
      </c>
      <c r="L601" s="57">
        <f t="shared" si="183"/>
        <v>0</v>
      </c>
    </row>
    <row r="602" spans="1:12" ht="15" customHeight="1" x14ac:dyDescent="0.25">
      <c r="A602" s="42" t="str" cm="1">
        <f t="array" ref="A602">IFERROR(INDEX(_xlfn._xlws.FILTER(Class_Players!A:A,Class_Players!B:B="Recon"),QUOTIENT(ROW()-ROW($A$2),8)+1),"")</f>
        <v>OneGekko</v>
      </c>
      <c r="B602" s="42" t="str">
        <f>_xlfn.XLOOKUP(A602,Class_Players!$A:$A,Class_Players!$B:$B,"")</f>
        <v>Recon</v>
      </c>
      <c r="C602" s="38" t="str" cm="1">
        <f t="array" ref="C602">INDEX(Lookups!$C$2:$C$9,MOD(ROW()-ROW($B$2),ROWS(Lookups!$C$2:$C$9))+1)</f>
        <v>Laser Designator</v>
      </c>
      <c r="D602" s="38" t="str">
        <f>_xlfn.XLOOKUP(C602,Analysis_Gadgets!$C:$C,Analysis_Gadgets!$B:$B)</f>
        <v>Gadget</v>
      </c>
      <c r="E602" s="43">
        <v>104</v>
      </c>
      <c r="F602" s="43">
        <f>_xlfn.XLOOKUP(A602,Class_Players!A:A,Class_Players!G:G)</f>
        <v>153</v>
      </c>
      <c r="G602" s="43">
        <f t="shared" ref="G602:G657" si="184">IF(F602=0,"",E602/(F602))</f>
        <v>0.6797385620915033</v>
      </c>
      <c r="H602" s="43">
        <f>_xlfn.XLOOKUP(A602,Class_Players!$A:$A,Class_Players!$F:$F,"")</f>
        <v>5513</v>
      </c>
      <c r="I602" s="44">
        <f t="shared" ref="I602:I657" si="185">IF(H602=0,"",E602/H602)</f>
        <v>1.8864502085978598E-2</v>
      </c>
      <c r="J602" s="43">
        <f t="shared" ref="J602:J657" si="186">IF(I602&gt;=0.1,1,0)</f>
        <v>0</v>
      </c>
      <c r="K602" s="44" cm="1">
        <f t="array" ref="K602">IF(D602="Gadget",_xlfn.IFS(I602&gt;=0.2,0.5,I602&gt;=0.1,0.35,I602&gt;=0.05,0.2,TRUE,0),IF(D602="Grenade",_xlfn.IFS(I602&gt;=0.2,1,I602&gt;=0.1,0.7,I602&gt;=0.05,0.4,TRUE,0),0))</f>
        <v>0</v>
      </c>
      <c r="L602" s="57">
        <f t="shared" ref="L602:L607" si="187">IF($K602=0,0,$K602 / SUMIFS($K:$K,$A:$A,$A602,$D:$D,"Gadget"))</f>
        <v>0</v>
      </c>
    </row>
    <row r="603" spans="1:12" ht="15" customHeight="1" x14ac:dyDescent="0.25">
      <c r="A603" s="42" t="str" cm="1">
        <f t="array" ref="A603">IFERROR(INDEX(_xlfn._xlws.FILTER(Class_Players!A:A,Class_Players!B:B="Recon"),QUOTIENT(ROW()-ROW($A$2),8)+1),"")</f>
        <v>OneGekko</v>
      </c>
      <c r="B603" s="42" t="str">
        <f>_xlfn.XLOOKUP(A603,Class_Players!$A:$A,Class_Players!$B:$B,"")</f>
        <v>Recon</v>
      </c>
      <c r="C603" s="38" t="str" cm="1">
        <f t="array" ref="C603">INDEX(Lookups!$C$2:$C$9,MOD(ROW()-ROW($B$2),ROWS(Lookups!$C$2:$C$9))+1)</f>
        <v>Recon Drone</v>
      </c>
      <c r="D603" s="38" t="str">
        <f>_xlfn.XLOOKUP(C603,Analysis_Gadgets!$C:$C,Analysis_Gadgets!$B:$B)</f>
        <v>Gadget</v>
      </c>
      <c r="E603" s="43">
        <v>54</v>
      </c>
      <c r="F603" s="43">
        <f>_xlfn.XLOOKUP(A603,Class_Players!A:A,Class_Players!G:G)</f>
        <v>153</v>
      </c>
      <c r="G603" s="43">
        <f t="shared" si="184"/>
        <v>0.35294117647058826</v>
      </c>
      <c r="H603" s="43">
        <f>_xlfn.XLOOKUP(A603,Class_Players!$A:$A,Class_Players!$F:$F,"")</f>
        <v>5513</v>
      </c>
      <c r="I603" s="44">
        <f t="shared" si="185"/>
        <v>9.7950299292581169E-3</v>
      </c>
      <c r="J603" s="43">
        <f t="shared" si="186"/>
        <v>0</v>
      </c>
      <c r="K603" s="44" cm="1">
        <f t="array" ref="K603">IF(D603="Gadget",_xlfn.IFS(I603&gt;=0.2,0.5,I603&gt;=0.1,0.35,I603&gt;=0.05,0.2,TRUE,0),IF(D603="Grenade",_xlfn.IFS(I603&gt;=0.2,1,I603&gt;=0.1,0.7,I603&gt;=0.05,0.4,TRUE,0),0))</f>
        <v>0</v>
      </c>
      <c r="L603" s="57">
        <f t="shared" si="187"/>
        <v>0</v>
      </c>
    </row>
    <row r="604" spans="1:12" ht="15" customHeight="1" x14ac:dyDescent="0.25">
      <c r="A604" s="42" t="str" cm="1">
        <f t="array" ref="A604">IFERROR(INDEX(_xlfn._xlws.FILTER(Class_Players!A:A,Class_Players!B:B="Recon"),QUOTIENT(ROW()-ROW($A$2),8)+1),"")</f>
        <v>OneGekko</v>
      </c>
      <c r="B604" s="42" t="str">
        <f>_xlfn.XLOOKUP(A604,Class_Players!$A:$A,Class_Players!$B:$B,"")</f>
        <v>Recon</v>
      </c>
      <c r="C604" s="38" t="str" cm="1">
        <f t="array" ref="C604">INDEX(Lookups!$C$2:$C$9,MOD(ROW()-ROW($B$2),ROWS(Lookups!$C$2:$C$9))+1)</f>
        <v>Tracer Dart</v>
      </c>
      <c r="D604" s="38" t="str">
        <f>_xlfn.XLOOKUP(C604,Analysis_Gadgets!$C:$C,Analysis_Gadgets!$B:$B)</f>
        <v>Gadget</v>
      </c>
      <c r="E604" s="43">
        <v>41</v>
      </c>
      <c r="F604" s="43">
        <f>_xlfn.XLOOKUP(A604,Class_Players!A:A,Class_Players!G:G)</f>
        <v>153</v>
      </c>
      <c r="G604" s="43">
        <f t="shared" si="184"/>
        <v>0.26797385620915032</v>
      </c>
      <c r="H604" s="43">
        <f>_xlfn.XLOOKUP(A604,Class_Players!$A:$A,Class_Players!$F:$F,"")</f>
        <v>5513</v>
      </c>
      <c r="I604" s="44">
        <f t="shared" si="185"/>
        <v>7.436967168510793E-3</v>
      </c>
      <c r="J604" s="43">
        <f t="shared" si="186"/>
        <v>0</v>
      </c>
      <c r="K604" s="44" cm="1">
        <f t="array" ref="K604">IF(D604="Gadget",_xlfn.IFS(I604&gt;=0.2,0.5,I604&gt;=0.1,0.35,I604&gt;=0.05,0.2,TRUE,0),IF(D604="Grenade",_xlfn.IFS(I604&gt;=0.2,1,I604&gt;=0.1,0.7,I604&gt;=0.05,0.4,TRUE,0),0))</f>
        <v>0</v>
      </c>
      <c r="L604" s="57">
        <f t="shared" si="187"/>
        <v>0</v>
      </c>
    </row>
    <row r="605" spans="1:12" ht="15" customHeight="1" x14ac:dyDescent="0.25">
      <c r="A605" s="42" t="str" cm="1">
        <f t="array" ref="A605">IFERROR(INDEX(_xlfn._xlws.FILTER(Class_Players!A:A,Class_Players!B:B="Recon"),QUOTIENT(ROW()-ROW($A$2),8)+1),"")</f>
        <v>OneGekko</v>
      </c>
      <c r="B605" s="42" t="str">
        <f>_xlfn.XLOOKUP(A605,Class_Players!$A:$A,Class_Players!$B:$B,"")</f>
        <v>Recon</v>
      </c>
      <c r="C605" s="38" t="str" cm="1">
        <f t="array" ref="C605">INDEX(Lookups!$C$2:$C$9,MOD(ROW()-ROW($B$2),ROWS(Lookups!$C$2:$C$9))+1)</f>
        <v>M18A1 (Claymore)</v>
      </c>
      <c r="D605" s="38" t="str">
        <f>_xlfn.XLOOKUP(C605,Analysis_Gadgets!$C:$C,Analysis_Gadgets!$B:$B)</f>
        <v>Gadget</v>
      </c>
      <c r="E605" s="43">
        <v>1184</v>
      </c>
      <c r="F605" s="43">
        <f>_xlfn.XLOOKUP(A605,Class_Players!A:A,Class_Players!G:G)</f>
        <v>153</v>
      </c>
      <c r="G605" s="43">
        <f t="shared" si="184"/>
        <v>7.738562091503268</v>
      </c>
      <c r="H605" s="43">
        <f>_xlfn.XLOOKUP(A605,Class_Players!$A:$A,Class_Players!$F:$F,"")</f>
        <v>5513</v>
      </c>
      <c r="I605" s="44">
        <f t="shared" si="185"/>
        <v>0.21476510067114093</v>
      </c>
      <c r="J605" s="43">
        <f t="shared" si="186"/>
        <v>1</v>
      </c>
      <c r="K605" s="44" cm="1">
        <f t="array" ref="K605">IF(D605="Gadget",_xlfn.IFS(I605&gt;=0.2,0.5,I605&gt;=0.1,0.35,I605&gt;=0.05,0.2,TRUE,0),IF(D605="Grenade",_xlfn.IFS(I605&gt;=0.2,1,I605&gt;=0.1,0.7,I605&gt;=0.05,0.4,TRUE,0),0))</f>
        <v>0.5</v>
      </c>
      <c r="L605" s="57">
        <f t="shared" si="187"/>
        <v>0.5</v>
      </c>
    </row>
    <row r="606" spans="1:12" ht="15" customHeight="1" x14ac:dyDescent="0.25">
      <c r="A606" s="42" t="str" cm="1">
        <f t="array" ref="A606">IFERROR(INDEX(_xlfn._xlws.FILTER(Class_Players!A:A,Class_Players!B:B="Recon"),QUOTIENT(ROW()-ROW($A$2),8)+1),"")</f>
        <v>OneGekko</v>
      </c>
      <c r="B606" s="42" t="str">
        <f>_xlfn.XLOOKUP(A606,Class_Players!$A:$A,Class_Players!$B:$B,"")</f>
        <v>Recon</v>
      </c>
      <c r="C606" s="38" t="str" cm="1">
        <f t="array" ref="C606">INDEX(Lookups!$C$2:$C$9,MOD(ROW()-ROW($B$2),ROWS(Lookups!$C$2:$C$9))+1)</f>
        <v>Sniper Decoy</v>
      </c>
      <c r="D606" s="38" t="str">
        <f>_xlfn.XLOOKUP(C606,Analysis_Gadgets!$C:$C,Analysis_Gadgets!$B:$B)</f>
        <v>Gadget</v>
      </c>
      <c r="E606" s="43">
        <v>106</v>
      </c>
      <c r="F606" s="43">
        <f>_xlfn.XLOOKUP(A606,Class_Players!A:A,Class_Players!G:G)</f>
        <v>153</v>
      </c>
      <c r="G606" s="43">
        <f t="shared" si="184"/>
        <v>0.69281045751633985</v>
      </c>
      <c r="H606" s="43">
        <f>_xlfn.XLOOKUP(A606,Class_Players!$A:$A,Class_Players!$F:$F,"")</f>
        <v>5513</v>
      </c>
      <c r="I606" s="44">
        <f t="shared" si="185"/>
        <v>1.9227280972247414E-2</v>
      </c>
      <c r="J606" s="43">
        <f t="shared" si="186"/>
        <v>0</v>
      </c>
      <c r="K606" s="44" cm="1">
        <f t="array" ref="K606">IF(D606="Gadget",_xlfn.IFS(I606&gt;=0.2,0.5,I606&gt;=0.1,0.35,I606&gt;=0.05,0.2,TRUE,0),IF(D606="Grenade",_xlfn.IFS(I606&gt;=0.2,1,I606&gt;=0.1,0.7,I606&gt;=0.05,0.4,TRUE,0),0))</f>
        <v>0</v>
      </c>
      <c r="L606" s="57">
        <f t="shared" si="187"/>
        <v>0</v>
      </c>
    </row>
    <row r="607" spans="1:12" ht="15" customHeight="1" x14ac:dyDescent="0.25">
      <c r="A607" s="42" t="str" cm="1">
        <f t="array" ref="A607">IFERROR(INDEX(_xlfn._xlws.FILTER(Class_Players!A:A,Class_Players!B:B="Recon"),QUOTIENT(ROW()-ROW($A$2),8)+1),"")</f>
        <v>OneGekko</v>
      </c>
      <c r="B607" s="42" t="str">
        <f>_xlfn.XLOOKUP(A607,Class_Players!$A:$A,Class_Players!$B:$B,"")</f>
        <v>Recon</v>
      </c>
      <c r="C607" s="38" t="str" cm="1">
        <f t="array" ref="C607">INDEX(Lookups!$C$2:$C$9,MOD(ROW()-ROW($B$2),ROWS(Lookups!$C$2:$C$9))+1)</f>
        <v>C-4 Explosives</v>
      </c>
      <c r="D607" s="38" t="str">
        <f>_xlfn.XLOOKUP(C607,Analysis_Gadgets!$C:$C,Analysis_Gadgets!$B:$B)</f>
        <v>Gadget</v>
      </c>
      <c r="E607" s="43">
        <v>1584</v>
      </c>
      <c r="F607" s="43">
        <f>_xlfn.XLOOKUP(A607,Class_Players!A:A,Class_Players!G:G)</f>
        <v>153</v>
      </c>
      <c r="G607" s="43">
        <f t="shared" si="184"/>
        <v>10.352941176470589</v>
      </c>
      <c r="H607" s="43">
        <f>_xlfn.XLOOKUP(A607,Class_Players!$A:$A,Class_Players!$F:$F,"")</f>
        <v>5513</v>
      </c>
      <c r="I607" s="44">
        <f t="shared" si="185"/>
        <v>0.28732087792490479</v>
      </c>
      <c r="J607" s="43">
        <f t="shared" si="186"/>
        <v>1</v>
      </c>
      <c r="K607" s="44" cm="1">
        <f t="array" ref="K607">IF(D607="Gadget",_xlfn.IFS(I607&gt;=0.2,0.5,I607&gt;=0.1,0.35,I607&gt;=0.05,0.2,TRUE,0),IF(D607="Grenade",_xlfn.IFS(I607&gt;=0.2,1,I607&gt;=0.1,0.7,I607&gt;=0.05,0.4,TRUE,0),0))</f>
        <v>0.5</v>
      </c>
      <c r="L607" s="57">
        <f t="shared" si="187"/>
        <v>0.5</v>
      </c>
    </row>
    <row r="608" spans="1:12" ht="15" customHeight="1" x14ac:dyDescent="0.25">
      <c r="A608" s="42" t="str" cm="1">
        <f t="array" ref="A608">IFERROR(INDEX(_xlfn._xlws.FILTER(Class_Players!A:A,Class_Players!B:B="Recon"),QUOTIENT(ROW()-ROW($A$2),8)+1),"")</f>
        <v>OneGekko</v>
      </c>
      <c r="B608" s="42" t="str">
        <f>_xlfn.XLOOKUP(A608,Class_Players!$A:$A,Class_Players!$B:$B,"")</f>
        <v>Recon</v>
      </c>
      <c r="C608" s="38" t="str" cm="1">
        <f t="array" ref="C608">INDEX(Lookups!$C$2:$C$9,MOD(ROW()-ROW($B$2),ROWS(Lookups!$C$2:$C$9))+1)</f>
        <v>Proximity Detector</v>
      </c>
      <c r="D608" s="38" t="str">
        <f>_xlfn.XLOOKUP(C608,Analysis_Gadgets!$C:$C,Analysis_Gadgets!$B:$B)</f>
        <v>Grenade</v>
      </c>
      <c r="E608" s="43">
        <v>18</v>
      </c>
      <c r="F608" s="43">
        <f>_xlfn.XLOOKUP(A608,Class_Players!A:A,Class_Players!G:G)</f>
        <v>153</v>
      </c>
      <c r="G608" s="43">
        <f t="shared" si="184"/>
        <v>0.11764705882352941</v>
      </c>
      <c r="H608" s="43">
        <f>_xlfn.XLOOKUP(A608,Class_Players!$A:$A,Class_Players!$F:$F,"")</f>
        <v>5513</v>
      </c>
      <c r="I608" s="44">
        <f t="shared" si="185"/>
        <v>3.2650099764193726E-3</v>
      </c>
      <c r="J608" s="43">
        <f t="shared" si="186"/>
        <v>0</v>
      </c>
      <c r="K608" s="44" cm="1">
        <f t="array" ref="K608">IF(D608="Gadget",_xlfn.IFS(I608&gt;=0.2,0.5,I608&gt;=0.1,0.35,I608&gt;=0.05,0.2,TRUE,0),IF(D608="Grenade",_xlfn.IFS(I608&gt;=0.2,1,I608&gt;=0.1,0.7,I608&gt;=0.05,0.4,TRUE,0),0))</f>
        <v>0</v>
      </c>
      <c r="L608" s="57">
        <f t="shared" ref="L608:L609" si="188">IF($K608=0,0,$K608 / SUMIFS($K:$K,$A:$A,$A608,$D:$D,"Grenade"))</f>
        <v>0</v>
      </c>
    </row>
    <row r="609" spans="1:12" ht="15" customHeight="1" x14ac:dyDescent="0.25">
      <c r="A609" s="42" t="str" cm="1">
        <f t="array" ref="A609">IFERROR(INDEX(_xlfn._xlws.FILTER(Class_Players!A:A,Class_Players!B:B="Recon"),QUOTIENT(ROW()-ROW($A$2),8)+1),"")</f>
        <v>OneGekko</v>
      </c>
      <c r="B609" s="42" t="str">
        <f>_xlfn.XLOOKUP(A609,Class_Players!$A:$A,Class_Players!$B:$B,"")</f>
        <v>Recon</v>
      </c>
      <c r="C609" s="38" t="str" cm="1">
        <f t="array" ref="C609">INDEX(Lookups!$C$2:$C$9,MOD(ROW()-ROW($B$2),ROWS(Lookups!$C$2:$C$9))+1)</f>
        <v>Throwing Knife</v>
      </c>
      <c r="D609" s="38" t="str">
        <f>_xlfn.XLOOKUP(C609,Analysis_Gadgets!$C:$C,Analysis_Gadgets!$B:$B)</f>
        <v>Grenade</v>
      </c>
      <c r="E609" s="43">
        <v>5</v>
      </c>
      <c r="F609" s="43">
        <f>_xlfn.XLOOKUP(A609,Class_Players!A:A,Class_Players!G:G)</f>
        <v>153</v>
      </c>
      <c r="G609" s="43">
        <f t="shared" si="184"/>
        <v>3.2679738562091505E-2</v>
      </c>
      <c r="H609" s="43">
        <f>_xlfn.XLOOKUP(A609,Class_Players!$A:$A,Class_Players!$F:$F,"")</f>
        <v>5513</v>
      </c>
      <c r="I609" s="44">
        <f t="shared" si="185"/>
        <v>9.0694721567204789E-4</v>
      </c>
      <c r="J609" s="43">
        <f t="shared" si="186"/>
        <v>0</v>
      </c>
      <c r="K609" s="44" cm="1">
        <f t="array" ref="K609">IF(D609="Gadget",_xlfn.IFS(I609&gt;=0.2,0.5,I609&gt;=0.1,0.35,I609&gt;=0.05,0.2,TRUE,0),IF(D609="Grenade",_xlfn.IFS(I609&gt;=0.2,1,I609&gt;=0.1,0.7,I609&gt;=0.05,0.4,TRUE,0),0))</f>
        <v>0</v>
      </c>
      <c r="L609" s="57">
        <f t="shared" si="188"/>
        <v>0</v>
      </c>
    </row>
    <row r="610" spans="1:12" ht="15" customHeight="1" x14ac:dyDescent="0.25">
      <c r="A610" s="42" t="str" cm="1">
        <f t="array" ref="A610">IFERROR(INDEX(_xlfn._xlws.FILTER(Class_Players!A:A,Class_Players!B:B="Recon"),QUOTIENT(ROW()-ROW($A$2),8)+1),"")</f>
        <v>Toobbee00</v>
      </c>
      <c r="B610" s="42" t="str">
        <f>_xlfn.XLOOKUP(A610,Class_Players!$A:$A,Class_Players!$B:$B,"")</f>
        <v>Recon</v>
      </c>
      <c r="C610" s="38" t="str" cm="1">
        <f t="array" ref="C610">INDEX(Lookups!$C$2:$C$9,MOD(ROW()-ROW($B$2),ROWS(Lookups!$C$2:$C$9))+1)</f>
        <v>Laser Designator</v>
      </c>
      <c r="D610" s="38" t="str">
        <f>_xlfn.XLOOKUP(C610,Analysis_Gadgets!$C:$C,Analysis_Gadgets!$B:$B)</f>
        <v>Gadget</v>
      </c>
      <c r="E610" s="43">
        <v>343</v>
      </c>
      <c r="F610" s="43">
        <f>_xlfn.XLOOKUP(A610,Class_Players!A:A,Class_Players!G:G)</f>
        <v>222</v>
      </c>
      <c r="G610" s="43">
        <f t="shared" si="184"/>
        <v>1.545045045045045</v>
      </c>
      <c r="H610" s="43">
        <f>_xlfn.XLOOKUP(A610,Class_Players!$A:$A,Class_Players!$F:$F,"")</f>
        <v>5386</v>
      </c>
      <c r="I610" s="44">
        <f t="shared" si="185"/>
        <v>6.3683624210917195E-2</v>
      </c>
      <c r="J610" s="43">
        <f t="shared" si="186"/>
        <v>0</v>
      </c>
      <c r="K610" s="44" cm="1">
        <f t="array" ref="K610">IF(D610="Gadget",_xlfn.IFS(I610&gt;=0.2,0.5,I610&gt;=0.1,0.35,I610&gt;=0.05,0.2,TRUE,0),IF(D610="Grenade",_xlfn.IFS(I610&gt;=0.2,1,I610&gt;=0.1,0.7,I610&gt;=0.05,0.4,TRUE,0),0))</f>
        <v>0.2</v>
      </c>
      <c r="L610" s="57">
        <f t="shared" ref="L610:L615" si="189">IF($K610=0,0,$K610 / SUMIFS($K:$K,$A:$A,$A610,$D:$D,"Gadget"))</f>
        <v>0.19047619047619047</v>
      </c>
    </row>
    <row r="611" spans="1:12" ht="15" customHeight="1" x14ac:dyDescent="0.25">
      <c r="A611" s="42" t="str" cm="1">
        <f t="array" ref="A611">IFERROR(INDEX(_xlfn._xlws.FILTER(Class_Players!A:A,Class_Players!B:B="Recon"),QUOTIENT(ROW()-ROW($A$2),8)+1),"")</f>
        <v>Toobbee00</v>
      </c>
      <c r="B611" s="42" t="str">
        <f>_xlfn.XLOOKUP(A611,Class_Players!$A:$A,Class_Players!$B:$B,"")</f>
        <v>Recon</v>
      </c>
      <c r="C611" s="38" t="str" cm="1">
        <f t="array" ref="C611">INDEX(Lookups!$C$2:$C$9,MOD(ROW()-ROW($B$2),ROWS(Lookups!$C$2:$C$9))+1)</f>
        <v>Recon Drone</v>
      </c>
      <c r="D611" s="38" t="str">
        <f>_xlfn.XLOOKUP(C611,Analysis_Gadgets!$C:$C,Analysis_Gadgets!$B:$B)</f>
        <v>Gadget</v>
      </c>
      <c r="E611" s="43">
        <v>241</v>
      </c>
      <c r="F611" s="43">
        <f>_xlfn.XLOOKUP(A611,Class_Players!A:A,Class_Players!G:G)</f>
        <v>222</v>
      </c>
      <c r="G611" s="43">
        <f t="shared" si="184"/>
        <v>1.0855855855855856</v>
      </c>
      <c r="H611" s="43">
        <f>_xlfn.XLOOKUP(A611,Class_Players!$A:$A,Class_Players!$F:$F,"")</f>
        <v>5386</v>
      </c>
      <c r="I611" s="44">
        <f t="shared" si="185"/>
        <v>4.4745636836242109E-2</v>
      </c>
      <c r="J611" s="43">
        <f t="shared" si="186"/>
        <v>0</v>
      </c>
      <c r="K611" s="44" cm="1">
        <f t="array" ref="K611">IF(D611="Gadget",_xlfn.IFS(I611&gt;=0.2,0.5,I611&gt;=0.1,0.35,I611&gt;=0.05,0.2,TRUE,0),IF(D611="Grenade",_xlfn.IFS(I611&gt;=0.2,1,I611&gt;=0.1,0.7,I611&gt;=0.05,0.4,TRUE,0),0))</f>
        <v>0</v>
      </c>
      <c r="L611" s="57">
        <f t="shared" si="189"/>
        <v>0</v>
      </c>
    </row>
    <row r="612" spans="1:12" ht="15" customHeight="1" x14ac:dyDescent="0.25">
      <c r="A612" s="42" t="str" cm="1">
        <f t="array" ref="A612">IFERROR(INDEX(_xlfn._xlws.FILTER(Class_Players!A:A,Class_Players!B:B="Recon"),QUOTIENT(ROW()-ROW($A$2),8)+1),"")</f>
        <v>Toobbee00</v>
      </c>
      <c r="B612" s="42" t="str">
        <f>_xlfn.XLOOKUP(A612,Class_Players!$A:$A,Class_Players!$B:$B,"")</f>
        <v>Recon</v>
      </c>
      <c r="C612" s="38" t="str" cm="1">
        <f t="array" ref="C612">INDEX(Lookups!$C$2:$C$9,MOD(ROW()-ROW($B$2),ROWS(Lookups!$C$2:$C$9))+1)</f>
        <v>Tracer Dart</v>
      </c>
      <c r="D612" s="38" t="str">
        <f>_xlfn.XLOOKUP(C612,Analysis_Gadgets!$C:$C,Analysis_Gadgets!$B:$B)</f>
        <v>Gadget</v>
      </c>
      <c r="E612" s="43">
        <v>31</v>
      </c>
      <c r="F612" s="43">
        <f>_xlfn.XLOOKUP(A612,Class_Players!A:A,Class_Players!G:G)</f>
        <v>222</v>
      </c>
      <c r="G612" s="43">
        <f t="shared" si="184"/>
        <v>0.13963963963963963</v>
      </c>
      <c r="H612" s="43">
        <f>_xlfn.XLOOKUP(A612,Class_Players!$A:$A,Class_Players!$F:$F,"")</f>
        <v>5386</v>
      </c>
      <c r="I612" s="44">
        <f t="shared" si="185"/>
        <v>5.755662829558114E-3</v>
      </c>
      <c r="J612" s="43">
        <f t="shared" si="186"/>
        <v>0</v>
      </c>
      <c r="K612" s="44" cm="1">
        <f t="array" ref="K612">IF(D612="Gadget",_xlfn.IFS(I612&gt;=0.2,0.5,I612&gt;=0.1,0.35,I612&gt;=0.05,0.2,TRUE,0),IF(D612="Grenade",_xlfn.IFS(I612&gt;=0.2,1,I612&gt;=0.1,0.7,I612&gt;=0.05,0.4,TRUE,0),0))</f>
        <v>0</v>
      </c>
      <c r="L612" s="57">
        <f t="shared" si="189"/>
        <v>0</v>
      </c>
    </row>
    <row r="613" spans="1:12" ht="15" customHeight="1" x14ac:dyDescent="0.25">
      <c r="A613" s="42" t="str" cm="1">
        <f t="array" ref="A613">IFERROR(INDEX(_xlfn._xlws.FILTER(Class_Players!A:A,Class_Players!B:B="Recon"),QUOTIENT(ROW()-ROW($A$2),8)+1),"")</f>
        <v>Toobbee00</v>
      </c>
      <c r="B613" s="42" t="str">
        <f>_xlfn.XLOOKUP(A613,Class_Players!$A:$A,Class_Players!$B:$B,"")</f>
        <v>Recon</v>
      </c>
      <c r="C613" s="38" t="str" cm="1">
        <f t="array" ref="C613">INDEX(Lookups!$C$2:$C$9,MOD(ROW()-ROW($B$2),ROWS(Lookups!$C$2:$C$9))+1)</f>
        <v>M18A1 (Claymore)</v>
      </c>
      <c r="D613" s="38" t="str">
        <f>_xlfn.XLOOKUP(C613,Analysis_Gadgets!$C:$C,Analysis_Gadgets!$B:$B)</f>
        <v>Gadget</v>
      </c>
      <c r="E613" s="43">
        <v>816</v>
      </c>
      <c r="F613" s="43">
        <f>_xlfn.XLOOKUP(A613,Class_Players!A:A,Class_Players!G:G)</f>
        <v>222</v>
      </c>
      <c r="G613" s="43">
        <f t="shared" si="184"/>
        <v>3.6756756756756759</v>
      </c>
      <c r="H613" s="43">
        <f>_xlfn.XLOOKUP(A613,Class_Players!$A:$A,Class_Players!$F:$F,"")</f>
        <v>5386</v>
      </c>
      <c r="I613" s="44">
        <f t="shared" si="185"/>
        <v>0.15150389899740066</v>
      </c>
      <c r="J613" s="43">
        <f t="shared" si="186"/>
        <v>1</v>
      </c>
      <c r="K613" s="44" cm="1">
        <f t="array" ref="K613">IF(D613="Gadget",_xlfn.IFS(I613&gt;=0.2,0.5,I613&gt;=0.1,0.35,I613&gt;=0.05,0.2,TRUE,0),IF(D613="Grenade",_xlfn.IFS(I613&gt;=0.2,1,I613&gt;=0.1,0.7,I613&gt;=0.05,0.4,TRUE,0),0))</f>
        <v>0.35</v>
      </c>
      <c r="L613" s="57">
        <f t="shared" si="189"/>
        <v>0.33333333333333331</v>
      </c>
    </row>
    <row r="614" spans="1:12" ht="15" customHeight="1" x14ac:dyDescent="0.25">
      <c r="A614" s="42" t="str" cm="1">
        <f t="array" ref="A614">IFERROR(INDEX(_xlfn._xlws.FILTER(Class_Players!A:A,Class_Players!B:B="Recon"),QUOTIENT(ROW()-ROW($A$2),8)+1),"")</f>
        <v>Toobbee00</v>
      </c>
      <c r="B614" s="42" t="str">
        <f>_xlfn.XLOOKUP(A614,Class_Players!$A:$A,Class_Players!$B:$B,"")</f>
        <v>Recon</v>
      </c>
      <c r="C614" s="38" t="str" cm="1">
        <f t="array" ref="C614">INDEX(Lookups!$C$2:$C$9,MOD(ROW()-ROW($B$2),ROWS(Lookups!$C$2:$C$9))+1)</f>
        <v>Sniper Decoy</v>
      </c>
      <c r="D614" s="38" t="str">
        <f>_xlfn.XLOOKUP(C614,Analysis_Gadgets!$C:$C,Analysis_Gadgets!$B:$B)</f>
        <v>Gadget</v>
      </c>
      <c r="E614" s="43">
        <v>65</v>
      </c>
      <c r="F614" s="43">
        <f>_xlfn.XLOOKUP(A614,Class_Players!A:A,Class_Players!G:G)</f>
        <v>222</v>
      </c>
      <c r="G614" s="43">
        <f t="shared" si="184"/>
        <v>0.2927927927927928</v>
      </c>
      <c r="H614" s="43">
        <f>_xlfn.XLOOKUP(A614,Class_Players!$A:$A,Class_Players!$F:$F,"")</f>
        <v>5386</v>
      </c>
      <c r="I614" s="44">
        <f t="shared" si="185"/>
        <v>1.2068325287783142E-2</v>
      </c>
      <c r="J614" s="43">
        <f t="shared" si="186"/>
        <v>0</v>
      </c>
      <c r="K614" s="44" cm="1">
        <f t="array" ref="K614">IF(D614="Gadget",_xlfn.IFS(I614&gt;=0.2,0.5,I614&gt;=0.1,0.35,I614&gt;=0.05,0.2,TRUE,0),IF(D614="Grenade",_xlfn.IFS(I614&gt;=0.2,1,I614&gt;=0.1,0.7,I614&gt;=0.05,0.4,TRUE,0),0))</f>
        <v>0</v>
      </c>
      <c r="L614" s="57">
        <f t="shared" si="189"/>
        <v>0</v>
      </c>
    </row>
    <row r="615" spans="1:12" ht="15" customHeight="1" x14ac:dyDescent="0.25">
      <c r="A615" s="42" t="str" cm="1">
        <f t="array" ref="A615">IFERROR(INDEX(_xlfn._xlws.FILTER(Class_Players!A:A,Class_Players!B:B="Recon"),QUOTIENT(ROW()-ROW($A$2),8)+1),"")</f>
        <v>Toobbee00</v>
      </c>
      <c r="B615" s="42" t="str">
        <f>_xlfn.XLOOKUP(A615,Class_Players!$A:$A,Class_Players!$B:$B,"")</f>
        <v>Recon</v>
      </c>
      <c r="C615" s="38" t="str" cm="1">
        <f t="array" ref="C615">INDEX(Lookups!$C$2:$C$9,MOD(ROW()-ROW($B$2),ROWS(Lookups!$C$2:$C$9))+1)</f>
        <v>C-4 Explosives</v>
      </c>
      <c r="D615" s="38" t="str">
        <f>_xlfn.XLOOKUP(C615,Analysis_Gadgets!$C:$C,Analysis_Gadgets!$B:$B)</f>
        <v>Gadget</v>
      </c>
      <c r="E615" s="43">
        <v>2577</v>
      </c>
      <c r="F615" s="43">
        <f>_xlfn.XLOOKUP(A615,Class_Players!A:A,Class_Players!G:G)</f>
        <v>222</v>
      </c>
      <c r="G615" s="43">
        <f t="shared" si="184"/>
        <v>11.608108108108109</v>
      </c>
      <c r="H615" s="43">
        <f>_xlfn.XLOOKUP(A615,Class_Players!$A:$A,Class_Players!$F:$F,"")</f>
        <v>5386</v>
      </c>
      <c r="I615" s="44">
        <f t="shared" si="185"/>
        <v>0.47846268102487932</v>
      </c>
      <c r="J615" s="43">
        <f t="shared" si="186"/>
        <v>1</v>
      </c>
      <c r="K615" s="44" cm="1">
        <f t="array" ref="K615">IF(D615="Gadget",_xlfn.IFS(I615&gt;=0.2,0.5,I615&gt;=0.1,0.35,I615&gt;=0.05,0.2,TRUE,0),IF(D615="Grenade",_xlfn.IFS(I615&gt;=0.2,1,I615&gt;=0.1,0.7,I615&gt;=0.05,0.4,TRUE,0),0))</f>
        <v>0.5</v>
      </c>
      <c r="L615" s="57">
        <f t="shared" si="189"/>
        <v>0.47619047619047616</v>
      </c>
    </row>
    <row r="616" spans="1:12" ht="15" customHeight="1" x14ac:dyDescent="0.25">
      <c r="A616" s="42" t="str" cm="1">
        <f t="array" ref="A616">IFERROR(INDEX(_xlfn._xlws.FILTER(Class_Players!A:A,Class_Players!B:B="Recon"),QUOTIENT(ROW()-ROW($A$2),8)+1),"")</f>
        <v>Toobbee00</v>
      </c>
      <c r="B616" s="42" t="str">
        <f>_xlfn.XLOOKUP(A616,Class_Players!$A:$A,Class_Players!$B:$B,"")</f>
        <v>Recon</v>
      </c>
      <c r="C616" s="38" t="str" cm="1">
        <f t="array" ref="C616">INDEX(Lookups!$C$2:$C$9,MOD(ROW()-ROW($B$2),ROWS(Lookups!$C$2:$C$9))+1)</f>
        <v>Proximity Detector</v>
      </c>
      <c r="D616" s="38" t="str">
        <f>_xlfn.XLOOKUP(C616,Analysis_Gadgets!$C:$C,Analysis_Gadgets!$B:$B)</f>
        <v>Grenade</v>
      </c>
      <c r="E616" s="43">
        <v>201</v>
      </c>
      <c r="F616" s="43">
        <f>_xlfn.XLOOKUP(A616,Class_Players!A:A,Class_Players!G:G)</f>
        <v>222</v>
      </c>
      <c r="G616" s="43">
        <f t="shared" si="184"/>
        <v>0.90540540540540537</v>
      </c>
      <c r="H616" s="43">
        <f>_xlfn.XLOOKUP(A616,Class_Players!$A:$A,Class_Players!$F:$F,"")</f>
        <v>5386</v>
      </c>
      <c r="I616" s="44">
        <f t="shared" si="185"/>
        <v>3.7318975120683252E-2</v>
      </c>
      <c r="J616" s="43">
        <f t="shared" si="186"/>
        <v>0</v>
      </c>
      <c r="K616" s="44" cm="1">
        <f t="array" ref="K616">IF(D616="Gadget",_xlfn.IFS(I616&gt;=0.2,0.5,I616&gt;=0.1,0.35,I616&gt;=0.05,0.2,TRUE,0),IF(D616="Grenade",_xlfn.IFS(I616&gt;=0.2,1,I616&gt;=0.1,0.7,I616&gt;=0.05,0.4,TRUE,0),0))</f>
        <v>0</v>
      </c>
      <c r="L616" s="57">
        <f t="shared" ref="L616:L617" si="190">IF($K616=0,0,$K616 / SUMIFS($K:$K,$A:$A,$A616,$D:$D,"Grenade"))</f>
        <v>0</v>
      </c>
    </row>
    <row r="617" spans="1:12" ht="15" customHeight="1" x14ac:dyDescent="0.25">
      <c r="A617" s="42" t="str" cm="1">
        <f t="array" ref="A617">IFERROR(INDEX(_xlfn._xlws.FILTER(Class_Players!A:A,Class_Players!B:B="Recon"),QUOTIENT(ROW()-ROW($A$2),8)+1),"")</f>
        <v>Toobbee00</v>
      </c>
      <c r="B617" s="42" t="str">
        <f>_xlfn.XLOOKUP(A617,Class_Players!$A:$A,Class_Players!$B:$B,"")</f>
        <v>Recon</v>
      </c>
      <c r="C617" s="38" t="str" cm="1">
        <f t="array" ref="C617">INDEX(Lookups!$C$2:$C$9,MOD(ROW()-ROW($B$2),ROWS(Lookups!$C$2:$C$9))+1)</f>
        <v>Throwing Knife</v>
      </c>
      <c r="D617" s="38" t="str">
        <f>_xlfn.XLOOKUP(C617,Analysis_Gadgets!$C:$C,Analysis_Gadgets!$B:$B)</f>
        <v>Grenade</v>
      </c>
      <c r="E617" s="43">
        <v>42</v>
      </c>
      <c r="F617" s="43">
        <f>_xlfn.XLOOKUP(A617,Class_Players!A:A,Class_Players!G:G)</f>
        <v>222</v>
      </c>
      <c r="G617" s="43">
        <f t="shared" si="184"/>
        <v>0.1891891891891892</v>
      </c>
      <c r="H617" s="43">
        <f>_xlfn.XLOOKUP(A617,Class_Players!$A:$A,Class_Players!$F:$F,"")</f>
        <v>5386</v>
      </c>
      <c r="I617" s="44">
        <f t="shared" si="185"/>
        <v>7.7979948013367989E-3</v>
      </c>
      <c r="J617" s="43">
        <f t="shared" si="186"/>
        <v>0</v>
      </c>
      <c r="K617" s="44" cm="1">
        <f t="array" ref="K617">IF(D617="Gadget",_xlfn.IFS(I617&gt;=0.2,0.5,I617&gt;=0.1,0.35,I617&gt;=0.05,0.2,TRUE,0),IF(D617="Grenade",_xlfn.IFS(I617&gt;=0.2,1,I617&gt;=0.1,0.7,I617&gt;=0.05,0.4,TRUE,0),0))</f>
        <v>0</v>
      </c>
      <c r="L617" s="57">
        <f t="shared" si="190"/>
        <v>0</v>
      </c>
    </row>
    <row r="618" spans="1:12" ht="15" customHeight="1" x14ac:dyDescent="0.25">
      <c r="A618" s="42" t="str" cm="1">
        <f t="array" ref="A618">IFERROR(INDEX(_xlfn._xlws.FILTER(Class_Players!A:A,Class_Players!B:B="Recon"),QUOTIENT(ROW()-ROW($A$2),8)+1),"")</f>
        <v>Bombardier</v>
      </c>
      <c r="B618" s="42" t="str">
        <f>_xlfn.XLOOKUP(A618,Class_Players!$A:$A,Class_Players!$B:$B,"")</f>
        <v>Recon</v>
      </c>
      <c r="C618" s="38" t="str" cm="1">
        <f t="array" ref="C618">INDEX(Lookups!$C$2:$C$9,MOD(ROW()-ROW($B$2),ROWS(Lookups!$C$2:$C$9))+1)</f>
        <v>Laser Designator</v>
      </c>
      <c r="D618" s="38" t="str">
        <f>_xlfn.XLOOKUP(C618,Analysis_Gadgets!$C:$C,Analysis_Gadgets!$B:$B)</f>
        <v>Gadget</v>
      </c>
      <c r="E618" s="43">
        <v>60</v>
      </c>
      <c r="F618" s="43">
        <f>_xlfn.XLOOKUP(A618,Class_Players!A:A,Class_Players!G:G)</f>
        <v>227</v>
      </c>
      <c r="G618" s="43">
        <f t="shared" si="184"/>
        <v>0.26431718061674009</v>
      </c>
      <c r="H618" s="43">
        <f>_xlfn.XLOOKUP(A618,Class_Players!$A:$A,Class_Players!$F:$F,"")</f>
        <v>5508</v>
      </c>
      <c r="I618" s="44">
        <f t="shared" si="185"/>
        <v>1.0893246187363835E-2</v>
      </c>
      <c r="J618" s="43">
        <f t="shared" si="186"/>
        <v>0</v>
      </c>
      <c r="K618" s="44" cm="1">
        <f t="array" ref="K618">IF(D618="Gadget",_xlfn.IFS(I618&gt;=0.2,0.5,I618&gt;=0.1,0.35,I618&gt;=0.05,0.2,TRUE,0),IF(D618="Grenade",_xlfn.IFS(I618&gt;=0.2,1,I618&gt;=0.1,0.7,I618&gt;=0.05,0.4,TRUE,0),0))</f>
        <v>0</v>
      </c>
      <c r="L618" s="57">
        <f t="shared" ref="L618:L623" si="191">IF($K618=0,0,$K618 / SUMIFS($K:$K,$A:$A,$A618,$D:$D,"Gadget"))</f>
        <v>0</v>
      </c>
    </row>
    <row r="619" spans="1:12" ht="15" customHeight="1" x14ac:dyDescent="0.25">
      <c r="A619" s="42" t="str" cm="1">
        <f t="array" ref="A619">IFERROR(INDEX(_xlfn._xlws.FILTER(Class_Players!A:A,Class_Players!B:B="Recon"),QUOTIENT(ROW()-ROW($A$2),8)+1),"")</f>
        <v>Bombardier</v>
      </c>
      <c r="B619" s="42" t="str">
        <f>_xlfn.XLOOKUP(A619,Class_Players!$A:$A,Class_Players!$B:$B,"")</f>
        <v>Recon</v>
      </c>
      <c r="C619" s="38" t="str" cm="1">
        <f t="array" ref="C619">INDEX(Lookups!$C$2:$C$9,MOD(ROW()-ROW($B$2),ROWS(Lookups!$C$2:$C$9))+1)</f>
        <v>Recon Drone</v>
      </c>
      <c r="D619" s="38" t="str">
        <f>_xlfn.XLOOKUP(C619,Analysis_Gadgets!$C:$C,Analysis_Gadgets!$B:$B)</f>
        <v>Gadget</v>
      </c>
      <c r="E619" s="43">
        <v>4038</v>
      </c>
      <c r="F619" s="43">
        <f>_xlfn.XLOOKUP(A619,Class_Players!A:A,Class_Players!G:G)</f>
        <v>227</v>
      </c>
      <c r="G619" s="43">
        <f t="shared" si="184"/>
        <v>17.788546255506606</v>
      </c>
      <c r="H619" s="43">
        <f>_xlfn.XLOOKUP(A619,Class_Players!$A:$A,Class_Players!$F:$F,"")</f>
        <v>5508</v>
      </c>
      <c r="I619" s="44">
        <f t="shared" si="185"/>
        <v>0.73311546840958608</v>
      </c>
      <c r="J619" s="43">
        <f t="shared" si="186"/>
        <v>1</v>
      </c>
      <c r="K619" s="44" cm="1">
        <f t="array" ref="K619">IF(D619="Gadget",_xlfn.IFS(I619&gt;=0.2,0.5,I619&gt;=0.1,0.35,I619&gt;=0.05,0.2,TRUE,0),IF(D619="Grenade",_xlfn.IFS(I619&gt;=0.2,1,I619&gt;=0.1,0.7,I619&gt;=0.05,0.4,TRUE,0),0))</f>
        <v>0.5</v>
      </c>
      <c r="L619" s="57">
        <f t="shared" si="191"/>
        <v>0.33333333333333331</v>
      </c>
    </row>
    <row r="620" spans="1:12" ht="15" customHeight="1" x14ac:dyDescent="0.25">
      <c r="A620" s="42" t="str" cm="1">
        <f t="array" ref="A620">IFERROR(INDEX(_xlfn._xlws.FILTER(Class_Players!A:A,Class_Players!B:B="Recon"),QUOTIENT(ROW()-ROW($A$2),8)+1),"")</f>
        <v>Bombardier</v>
      </c>
      <c r="B620" s="42" t="str">
        <f>_xlfn.XLOOKUP(A620,Class_Players!$A:$A,Class_Players!$B:$B,"")</f>
        <v>Recon</v>
      </c>
      <c r="C620" s="38" t="str" cm="1">
        <f t="array" ref="C620">INDEX(Lookups!$C$2:$C$9,MOD(ROW()-ROW($B$2),ROWS(Lookups!$C$2:$C$9))+1)</f>
        <v>Tracer Dart</v>
      </c>
      <c r="D620" s="38" t="str">
        <f>_xlfn.XLOOKUP(C620,Analysis_Gadgets!$C:$C,Analysis_Gadgets!$B:$B)</f>
        <v>Gadget</v>
      </c>
      <c r="E620" s="43">
        <v>37</v>
      </c>
      <c r="F620" s="43">
        <f>_xlfn.XLOOKUP(A620,Class_Players!A:A,Class_Players!G:G)</f>
        <v>227</v>
      </c>
      <c r="G620" s="43">
        <f t="shared" si="184"/>
        <v>0.16299559471365638</v>
      </c>
      <c r="H620" s="43">
        <f>_xlfn.XLOOKUP(A620,Class_Players!$A:$A,Class_Players!$F:$F,"")</f>
        <v>5508</v>
      </c>
      <c r="I620" s="44">
        <f t="shared" si="185"/>
        <v>6.7175018155410313E-3</v>
      </c>
      <c r="J620" s="43">
        <f t="shared" si="186"/>
        <v>0</v>
      </c>
      <c r="K620" s="44" cm="1">
        <f t="array" ref="K620">IF(D620="Gadget",_xlfn.IFS(I620&gt;=0.2,0.5,I620&gt;=0.1,0.35,I620&gt;=0.05,0.2,TRUE,0),IF(D620="Grenade",_xlfn.IFS(I620&gt;=0.2,1,I620&gt;=0.1,0.7,I620&gt;=0.05,0.4,TRUE,0),0))</f>
        <v>0</v>
      </c>
      <c r="L620" s="57">
        <f t="shared" si="191"/>
        <v>0</v>
      </c>
    </row>
    <row r="621" spans="1:12" ht="15" customHeight="1" x14ac:dyDescent="0.25">
      <c r="A621" s="42" t="str" cm="1">
        <f t="array" ref="A621">IFERROR(INDEX(_xlfn._xlws.FILTER(Class_Players!A:A,Class_Players!B:B="Recon"),QUOTIENT(ROW()-ROW($A$2),8)+1),"")</f>
        <v>Bombardier</v>
      </c>
      <c r="B621" s="42" t="str">
        <f>_xlfn.XLOOKUP(A621,Class_Players!$A:$A,Class_Players!$B:$B,"")</f>
        <v>Recon</v>
      </c>
      <c r="C621" s="38" t="str" cm="1">
        <f t="array" ref="C621">INDEX(Lookups!$C$2:$C$9,MOD(ROW()-ROW($B$2),ROWS(Lookups!$C$2:$C$9))+1)</f>
        <v>M18A1 (Claymore)</v>
      </c>
      <c r="D621" s="38" t="str">
        <f>_xlfn.XLOOKUP(C621,Analysis_Gadgets!$C:$C,Analysis_Gadgets!$B:$B)</f>
        <v>Gadget</v>
      </c>
      <c r="E621" s="43">
        <v>2847</v>
      </c>
      <c r="F621" s="43">
        <f>_xlfn.XLOOKUP(A621,Class_Players!A:A,Class_Players!G:G)</f>
        <v>227</v>
      </c>
      <c r="G621" s="43">
        <f t="shared" si="184"/>
        <v>12.541850220264317</v>
      </c>
      <c r="H621" s="43">
        <f>_xlfn.XLOOKUP(A621,Class_Players!$A:$A,Class_Players!$F:$F,"")</f>
        <v>5508</v>
      </c>
      <c r="I621" s="44">
        <f t="shared" si="185"/>
        <v>0.51688453159041392</v>
      </c>
      <c r="J621" s="43">
        <f t="shared" si="186"/>
        <v>1</v>
      </c>
      <c r="K621" s="44" cm="1">
        <f t="array" ref="K621">IF(D621="Gadget",_xlfn.IFS(I621&gt;=0.2,0.5,I621&gt;=0.1,0.35,I621&gt;=0.05,0.2,TRUE,0),IF(D621="Grenade",_xlfn.IFS(I621&gt;=0.2,1,I621&gt;=0.1,0.7,I621&gt;=0.05,0.4,TRUE,0),0))</f>
        <v>0.5</v>
      </c>
      <c r="L621" s="57">
        <f t="shared" si="191"/>
        <v>0.33333333333333331</v>
      </c>
    </row>
    <row r="622" spans="1:12" ht="15" customHeight="1" x14ac:dyDescent="0.25">
      <c r="A622" s="42" t="str" cm="1">
        <f t="array" ref="A622">IFERROR(INDEX(_xlfn._xlws.FILTER(Class_Players!A:A,Class_Players!B:B="Recon"),QUOTIENT(ROW()-ROW($A$2),8)+1),"")</f>
        <v>Bombardier</v>
      </c>
      <c r="B622" s="42" t="str">
        <f>_xlfn.XLOOKUP(A622,Class_Players!$A:$A,Class_Players!$B:$B,"")</f>
        <v>Recon</v>
      </c>
      <c r="C622" s="38" t="str" cm="1">
        <f t="array" ref="C622">INDEX(Lookups!$C$2:$C$9,MOD(ROW()-ROW($B$2),ROWS(Lookups!$C$2:$C$9))+1)</f>
        <v>Sniper Decoy</v>
      </c>
      <c r="D622" s="38" t="str">
        <f>_xlfn.XLOOKUP(C622,Analysis_Gadgets!$C:$C,Analysis_Gadgets!$B:$B)</f>
        <v>Gadget</v>
      </c>
      <c r="E622" s="43">
        <v>80</v>
      </c>
      <c r="F622" s="43">
        <f>_xlfn.XLOOKUP(A622,Class_Players!A:A,Class_Players!G:G)</f>
        <v>227</v>
      </c>
      <c r="G622" s="43">
        <f t="shared" si="184"/>
        <v>0.3524229074889868</v>
      </c>
      <c r="H622" s="43">
        <f>_xlfn.XLOOKUP(A622,Class_Players!$A:$A,Class_Players!$F:$F,"")</f>
        <v>5508</v>
      </c>
      <c r="I622" s="44">
        <f t="shared" si="185"/>
        <v>1.4524328249818447E-2</v>
      </c>
      <c r="J622" s="43">
        <f t="shared" si="186"/>
        <v>0</v>
      </c>
      <c r="K622" s="44" cm="1">
        <f t="array" ref="K622">IF(D622="Gadget",_xlfn.IFS(I622&gt;=0.2,0.5,I622&gt;=0.1,0.35,I622&gt;=0.05,0.2,TRUE,0),IF(D622="Grenade",_xlfn.IFS(I622&gt;=0.2,1,I622&gt;=0.1,0.7,I622&gt;=0.05,0.4,TRUE,0),0))</f>
        <v>0</v>
      </c>
      <c r="L622" s="57">
        <f t="shared" si="191"/>
        <v>0</v>
      </c>
    </row>
    <row r="623" spans="1:12" ht="15" customHeight="1" x14ac:dyDescent="0.25">
      <c r="A623" s="42" t="str" cm="1">
        <f t="array" ref="A623">IFERROR(INDEX(_xlfn._xlws.FILTER(Class_Players!A:A,Class_Players!B:B="Recon"),QUOTIENT(ROW()-ROW($A$2),8)+1),"")</f>
        <v>Bombardier</v>
      </c>
      <c r="B623" s="42" t="str">
        <f>_xlfn.XLOOKUP(A623,Class_Players!$A:$A,Class_Players!$B:$B,"")</f>
        <v>Recon</v>
      </c>
      <c r="C623" s="38" t="str" cm="1">
        <f t="array" ref="C623">INDEX(Lookups!$C$2:$C$9,MOD(ROW()-ROW($B$2),ROWS(Lookups!$C$2:$C$9))+1)</f>
        <v>C-4 Explosives</v>
      </c>
      <c r="D623" s="38" t="str">
        <f>_xlfn.XLOOKUP(C623,Analysis_Gadgets!$C:$C,Analysis_Gadgets!$B:$B)</f>
        <v>Gadget</v>
      </c>
      <c r="E623" s="43">
        <v>2713</v>
      </c>
      <c r="F623" s="43">
        <f>_xlfn.XLOOKUP(A623,Class_Players!A:A,Class_Players!G:G)</f>
        <v>227</v>
      </c>
      <c r="G623" s="43">
        <f t="shared" si="184"/>
        <v>11.951541850220265</v>
      </c>
      <c r="H623" s="43">
        <f>_xlfn.XLOOKUP(A623,Class_Players!$A:$A,Class_Players!$F:$F,"")</f>
        <v>5508</v>
      </c>
      <c r="I623" s="44">
        <f t="shared" si="185"/>
        <v>0.49255628177196803</v>
      </c>
      <c r="J623" s="43">
        <f t="shared" si="186"/>
        <v>1</v>
      </c>
      <c r="K623" s="44" cm="1">
        <f t="array" ref="K623">IF(D623="Gadget",_xlfn.IFS(I623&gt;=0.2,0.5,I623&gt;=0.1,0.35,I623&gt;=0.05,0.2,TRUE,0),IF(D623="Grenade",_xlfn.IFS(I623&gt;=0.2,1,I623&gt;=0.1,0.7,I623&gt;=0.05,0.4,TRUE,0),0))</f>
        <v>0.5</v>
      </c>
      <c r="L623" s="57">
        <f t="shared" si="191"/>
        <v>0.33333333333333331</v>
      </c>
    </row>
    <row r="624" spans="1:12" ht="15" customHeight="1" x14ac:dyDescent="0.25">
      <c r="A624" s="42" t="str" cm="1">
        <f t="array" ref="A624">IFERROR(INDEX(_xlfn._xlws.FILTER(Class_Players!A:A,Class_Players!B:B="Recon"),QUOTIENT(ROW()-ROW($A$2),8)+1),"")</f>
        <v>Bombardier</v>
      </c>
      <c r="B624" s="42" t="str">
        <f>_xlfn.XLOOKUP(A624,Class_Players!$A:$A,Class_Players!$B:$B,"")</f>
        <v>Recon</v>
      </c>
      <c r="C624" s="38" t="str" cm="1">
        <f t="array" ref="C624">INDEX(Lookups!$C$2:$C$9,MOD(ROW()-ROW($B$2),ROWS(Lookups!$C$2:$C$9))+1)</f>
        <v>Proximity Detector</v>
      </c>
      <c r="D624" s="38" t="str">
        <f>_xlfn.XLOOKUP(C624,Analysis_Gadgets!$C:$C,Analysis_Gadgets!$B:$B)</f>
        <v>Grenade</v>
      </c>
      <c r="E624" s="43">
        <v>0</v>
      </c>
      <c r="F624" s="43">
        <f>_xlfn.XLOOKUP(A624,Class_Players!A:A,Class_Players!G:G)</f>
        <v>227</v>
      </c>
      <c r="G624" s="43">
        <f t="shared" si="184"/>
        <v>0</v>
      </c>
      <c r="H624" s="43">
        <f>_xlfn.XLOOKUP(A624,Class_Players!$A:$A,Class_Players!$F:$F,"")</f>
        <v>5508</v>
      </c>
      <c r="I624" s="44">
        <f t="shared" si="185"/>
        <v>0</v>
      </c>
      <c r="J624" s="43">
        <f t="shared" si="186"/>
        <v>0</v>
      </c>
      <c r="K624" s="44" cm="1">
        <f t="array" ref="K624">IF(D624="Gadget",_xlfn.IFS(I624&gt;=0.2,0.5,I624&gt;=0.1,0.35,I624&gt;=0.05,0.2,TRUE,0),IF(D624="Grenade",_xlfn.IFS(I624&gt;=0.2,1,I624&gt;=0.1,0.7,I624&gt;=0.05,0.4,TRUE,0),0))</f>
        <v>0</v>
      </c>
      <c r="L624" s="57">
        <f t="shared" ref="L624:L625" si="192">IF($K624=0,0,$K624 / SUMIFS($K:$K,$A:$A,$A624,$D:$D,"Grenade"))</f>
        <v>0</v>
      </c>
    </row>
    <row r="625" spans="1:12" ht="15" customHeight="1" x14ac:dyDescent="0.25">
      <c r="A625" s="42" t="str" cm="1">
        <f t="array" ref="A625">IFERROR(INDEX(_xlfn._xlws.FILTER(Class_Players!A:A,Class_Players!B:B="Recon"),QUOTIENT(ROW()-ROW($A$2),8)+1),"")</f>
        <v>Bombardier</v>
      </c>
      <c r="B625" s="42" t="str">
        <f>_xlfn.XLOOKUP(A625,Class_Players!$A:$A,Class_Players!$B:$B,"")</f>
        <v>Recon</v>
      </c>
      <c r="C625" s="38" t="str" cm="1">
        <f t="array" ref="C625">INDEX(Lookups!$C$2:$C$9,MOD(ROW()-ROW($B$2),ROWS(Lookups!$C$2:$C$9))+1)</f>
        <v>Throwing Knife</v>
      </c>
      <c r="D625" s="38" t="str">
        <f>_xlfn.XLOOKUP(C625,Analysis_Gadgets!$C:$C,Analysis_Gadgets!$B:$B)</f>
        <v>Grenade</v>
      </c>
      <c r="E625" s="43">
        <v>23</v>
      </c>
      <c r="F625" s="43">
        <f>_xlfn.XLOOKUP(A625,Class_Players!A:A,Class_Players!G:G)</f>
        <v>227</v>
      </c>
      <c r="G625" s="43">
        <f t="shared" si="184"/>
        <v>0.1013215859030837</v>
      </c>
      <c r="H625" s="43">
        <f>_xlfn.XLOOKUP(A625,Class_Players!$A:$A,Class_Players!$F:$F,"")</f>
        <v>5508</v>
      </c>
      <c r="I625" s="44">
        <f t="shared" si="185"/>
        <v>4.1757443718228029E-3</v>
      </c>
      <c r="J625" s="43">
        <f t="shared" si="186"/>
        <v>0</v>
      </c>
      <c r="K625" s="44" cm="1">
        <f t="array" ref="K625">IF(D625="Gadget",_xlfn.IFS(I625&gt;=0.2,0.5,I625&gt;=0.1,0.35,I625&gt;=0.05,0.2,TRUE,0),IF(D625="Grenade",_xlfn.IFS(I625&gt;=0.2,1,I625&gt;=0.1,0.7,I625&gt;=0.05,0.4,TRUE,0),0))</f>
        <v>0</v>
      </c>
      <c r="L625" s="57">
        <f t="shared" si="192"/>
        <v>0</v>
      </c>
    </row>
    <row r="626" spans="1:12" ht="15" customHeight="1" x14ac:dyDescent="0.25">
      <c r="A626" s="42" t="str" cm="1">
        <f t="array" ref="A626">IFERROR(INDEX(_xlfn._xlws.FILTER(Class_Players!A:A,Class_Players!B:B="Recon"),QUOTIENT(ROW()-ROW($A$2),8)+1),"")</f>
        <v>x Noxious Goat</v>
      </c>
      <c r="B626" s="42" t="str">
        <f>_xlfn.XLOOKUP(A626,Class_Players!$A:$A,Class_Players!$B:$B,"")</f>
        <v>Recon</v>
      </c>
      <c r="C626" s="38" t="str" cm="1">
        <f t="array" ref="C626">INDEX(Lookups!$C$2:$C$9,MOD(ROW()-ROW($B$2),ROWS(Lookups!$C$2:$C$9))+1)</f>
        <v>Laser Designator</v>
      </c>
      <c r="D626" s="38" t="str">
        <f>_xlfn.XLOOKUP(C626,Analysis_Gadgets!$C:$C,Analysis_Gadgets!$B:$B)</f>
        <v>Gadget</v>
      </c>
      <c r="E626" s="43">
        <v>5</v>
      </c>
      <c r="F626" s="43">
        <f>_xlfn.XLOOKUP(A626,Class_Players!A:A,Class_Players!G:G)</f>
        <v>121</v>
      </c>
      <c r="G626" s="43">
        <f t="shared" si="184"/>
        <v>4.1322314049586778E-2</v>
      </c>
      <c r="H626" s="43">
        <f>_xlfn.XLOOKUP(A626,Class_Players!$A:$A,Class_Players!$F:$F,"")</f>
        <v>5559</v>
      </c>
      <c r="I626" s="44">
        <f t="shared" si="185"/>
        <v>8.9944234574563771E-4</v>
      </c>
      <c r="J626" s="43">
        <f t="shared" si="186"/>
        <v>0</v>
      </c>
      <c r="K626" s="44" cm="1">
        <f t="array" ref="K626">IF(D626="Gadget",_xlfn.IFS(I626&gt;=0.2,0.5,I626&gt;=0.1,0.35,I626&gt;=0.05,0.2,TRUE,0),IF(D626="Grenade",_xlfn.IFS(I626&gt;=0.2,1,I626&gt;=0.1,0.7,I626&gt;=0.05,0.4,TRUE,0),0))</f>
        <v>0</v>
      </c>
      <c r="L626" s="57">
        <f t="shared" ref="L626:L631" si="193">IF($K626=0,0,$K626 / SUMIFS($K:$K,$A:$A,$A626,$D:$D,"Gadget"))</f>
        <v>0</v>
      </c>
    </row>
    <row r="627" spans="1:12" ht="15" customHeight="1" x14ac:dyDescent="0.25">
      <c r="A627" s="42" t="str" cm="1">
        <f t="array" ref="A627">IFERROR(INDEX(_xlfn._xlws.FILTER(Class_Players!A:A,Class_Players!B:B="Recon"),QUOTIENT(ROW()-ROW($A$2),8)+1),"")</f>
        <v>x Noxious Goat</v>
      </c>
      <c r="B627" s="42" t="str">
        <f>_xlfn.XLOOKUP(A627,Class_Players!$A:$A,Class_Players!$B:$B,"")</f>
        <v>Recon</v>
      </c>
      <c r="C627" s="38" t="str" cm="1">
        <f t="array" ref="C627">INDEX(Lookups!$C$2:$C$9,MOD(ROW()-ROW($B$2),ROWS(Lookups!$C$2:$C$9))+1)</f>
        <v>Recon Drone</v>
      </c>
      <c r="D627" s="38" t="str">
        <f>_xlfn.XLOOKUP(C627,Analysis_Gadgets!$C:$C,Analysis_Gadgets!$B:$B)</f>
        <v>Gadget</v>
      </c>
      <c r="E627" s="43">
        <v>135</v>
      </c>
      <c r="F627" s="43">
        <f>_xlfn.XLOOKUP(A627,Class_Players!A:A,Class_Players!G:G)</f>
        <v>121</v>
      </c>
      <c r="G627" s="43">
        <f t="shared" si="184"/>
        <v>1.115702479338843</v>
      </c>
      <c r="H627" s="43">
        <f>_xlfn.XLOOKUP(A627,Class_Players!$A:$A,Class_Players!$F:$F,"")</f>
        <v>5559</v>
      </c>
      <c r="I627" s="44">
        <f t="shared" si="185"/>
        <v>2.4284943335132217E-2</v>
      </c>
      <c r="J627" s="43">
        <f t="shared" si="186"/>
        <v>0</v>
      </c>
      <c r="K627" s="44" cm="1">
        <f t="array" ref="K627">IF(D627="Gadget",_xlfn.IFS(I627&gt;=0.2,0.5,I627&gt;=0.1,0.35,I627&gt;=0.05,0.2,TRUE,0),IF(D627="Grenade",_xlfn.IFS(I627&gt;=0.2,1,I627&gt;=0.1,0.7,I627&gt;=0.05,0.4,TRUE,0),0))</f>
        <v>0</v>
      </c>
      <c r="L627" s="57">
        <f t="shared" si="193"/>
        <v>0</v>
      </c>
    </row>
    <row r="628" spans="1:12" ht="15" customHeight="1" x14ac:dyDescent="0.25">
      <c r="A628" s="42" t="str" cm="1">
        <f t="array" ref="A628">IFERROR(INDEX(_xlfn._xlws.FILTER(Class_Players!A:A,Class_Players!B:B="Recon"),QUOTIENT(ROW()-ROW($A$2),8)+1),"")</f>
        <v>x Noxious Goat</v>
      </c>
      <c r="B628" s="42" t="str">
        <f>_xlfn.XLOOKUP(A628,Class_Players!$A:$A,Class_Players!$B:$B,"")</f>
        <v>Recon</v>
      </c>
      <c r="C628" s="38" t="str" cm="1">
        <f t="array" ref="C628">INDEX(Lookups!$C$2:$C$9,MOD(ROW()-ROW($B$2),ROWS(Lookups!$C$2:$C$9))+1)</f>
        <v>Tracer Dart</v>
      </c>
      <c r="D628" s="38" t="str">
        <f>_xlfn.XLOOKUP(C628,Analysis_Gadgets!$C:$C,Analysis_Gadgets!$B:$B)</f>
        <v>Gadget</v>
      </c>
      <c r="E628" s="43">
        <v>0</v>
      </c>
      <c r="F628" s="43">
        <f>_xlfn.XLOOKUP(A628,Class_Players!A:A,Class_Players!G:G)</f>
        <v>121</v>
      </c>
      <c r="G628" s="43">
        <f t="shared" si="184"/>
        <v>0</v>
      </c>
      <c r="H628" s="43">
        <f>_xlfn.XLOOKUP(A628,Class_Players!$A:$A,Class_Players!$F:$F,"")</f>
        <v>5559</v>
      </c>
      <c r="I628" s="44">
        <f t="shared" si="185"/>
        <v>0</v>
      </c>
      <c r="J628" s="43">
        <f t="shared" si="186"/>
        <v>0</v>
      </c>
      <c r="K628" s="44" cm="1">
        <f t="array" ref="K628">IF(D628="Gadget",_xlfn.IFS(I628&gt;=0.2,0.5,I628&gt;=0.1,0.35,I628&gt;=0.05,0.2,TRUE,0),IF(D628="Grenade",_xlfn.IFS(I628&gt;=0.2,1,I628&gt;=0.1,0.7,I628&gt;=0.05,0.4,TRUE,0),0))</f>
        <v>0</v>
      </c>
      <c r="L628" s="57">
        <f t="shared" si="193"/>
        <v>0</v>
      </c>
    </row>
    <row r="629" spans="1:12" ht="15" customHeight="1" x14ac:dyDescent="0.25">
      <c r="A629" s="42" t="str" cm="1">
        <f t="array" ref="A629">IFERROR(INDEX(_xlfn._xlws.FILTER(Class_Players!A:A,Class_Players!B:B="Recon"),QUOTIENT(ROW()-ROW($A$2),8)+1),"")</f>
        <v>x Noxious Goat</v>
      </c>
      <c r="B629" s="42" t="str">
        <f>_xlfn.XLOOKUP(A629,Class_Players!$A:$A,Class_Players!$B:$B,"")</f>
        <v>Recon</v>
      </c>
      <c r="C629" s="38" t="str" cm="1">
        <f t="array" ref="C629">INDEX(Lookups!$C$2:$C$9,MOD(ROW()-ROW($B$2),ROWS(Lookups!$C$2:$C$9))+1)</f>
        <v>M18A1 (Claymore)</v>
      </c>
      <c r="D629" s="38" t="str">
        <f>_xlfn.XLOOKUP(C629,Analysis_Gadgets!$C:$C,Analysis_Gadgets!$B:$B)</f>
        <v>Gadget</v>
      </c>
      <c r="E629" s="43">
        <v>4090</v>
      </c>
      <c r="F629" s="43">
        <f>_xlfn.XLOOKUP(A629,Class_Players!A:A,Class_Players!G:G)</f>
        <v>121</v>
      </c>
      <c r="G629" s="43">
        <f t="shared" si="184"/>
        <v>33.801652892561982</v>
      </c>
      <c r="H629" s="43">
        <f>_xlfn.XLOOKUP(A629,Class_Players!$A:$A,Class_Players!$F:$F,"")</f>
        <v>5559</v>
      </c>
      <c r="I629" s="44">
        <f t="shared" si="185"/>
        <v>0.73574383881993166</v>
      </c>
      <c r="J629" s="43">
        <f t="shared" si="186"/>
        <v>1</v>
      </c>
      <c r="K629" s="44" cm="1">
        <f t="array" ref="K629">IF(D629="Gadget",_xlfn.IFS(I629&gt;=0.2,0.5,I629&gt;=0.1,0.35,I629&gt;=0.05,0.2,TRUE,0),IF(D629="Grenade",_xlfn.IFS(I629&gt;=0.2,1,I629&gt;=0.1,0.7,I629&gt;=0.05,0.4,TRUE,0),0))</f>
        <v>0.5</v>
      </c>
      <c r="L629" s="57">
        <f t="shared" si="193"/>
        <v>0.5</v>
      </c>
    </row>
    <row r="630" spans="1:12" ht="15" customHeight="1" x14ac:dyDescent="0.25">
      <c r="A630" s="42" t="str" cm="1">
        <f t="array" ref="A630">IFERROR(INDEX(_xlfn._xlws.FILTER(Class_Players!A:A,Class_Players!B:B="Recon"),QUOTIENT(ROW()-ROW($A$2),8)+1),"")</f>
        <v>x Noxious Goat</v>
      </c>
      <c r="B630" s="42" t="str">
        <f>_xlfn.XLOOKUP(A630,Class_Players!$A:$A,Class_Players!$B:$B,"")</f>
        <v>Recon</v>
      </c>
      <c r="C630" s="38" t="str" cm="1">
        <f t="array" ref="C630">INDEX(Lookups!$C$2:$C$9,MOD(ROW()-ROW($B$2),ROWS(Lookups!$C$2:$C$9))+1)</f>
        <v>Sniper Decoy</v>
      </c>
      <c r="D630" s="38" t="str">
        <f>_xlfn.XLOOKUP(C630,Analysis_Gadgets!$C:$C,Analysis_Gadgets!$B:$B)</f>
        <v>Gadget</v>
      </c>
      <c r="E630" s="43">
        <v>265</v>
      </c>
      <c r="F630" s="43">
        <f>_xlfn.XLOOKUP(A630,Class_Players!A:A,Class_Players!G:G)</f>
        <v>121</v>
      </c>
      <c r="G630" s="43">
        <f t="shared" si="184"/>
        <v>2.1900826446280992</v>
      </c>
      <c r="H630" s="43">
        <f>_xlfn.XLOOKUP(A630,Class_Players!$A:$A,Class_Players!$F:$F,"")</f>
        <v>5559</v>
      </c>
      <c r="I630" s="44">
        <f t="shared" si="185"/>
        <v>4.76704443245188E-2</v>
      </c>
      <c r="J630" s="43">
        <f t="shared" si="186"/>
        <v>0</v>
      </c>
      <c r="K630" s="44" cm="1">
        <f t="array" ref="K630">IF(D630="Gadget",_xlfn.IFS(I630&gt;=0.2,0.5,I630&gt;=0.1,0.35,I630&gt;=0.05,0.2,TRUE,0),IF(D630="Grenade",_xlfn.IFS(I630&gt;=0.2,1,I630&gt;=0.1,0.7,I630&gt;=0.05,0.4,TRUE,0),0))</f>
        <v>0</v>
      </c>
      <c r="L630" s="57">
        <f t="shared" si="193"/>
        <v>0</v>
      </c>
    </row>
    <row r="631" spans="1:12" ht="15" customHeight="1" x14ac:dyDescent="0.25">
      <c r="A631" s="42" t="str" cm="1">
        <f t="array" ref="A631">IFERROR(INDEX(_xlfn._xlws.FILTER(Class_Players!A:A,Class_Players!B:B="Recon"),QUOTIENT(ROW()-ROW($A$2),8)+1),"")</f>
        <v>x Noxious Goat</v>
      </c>
      <c r="B631" s="42" t="str">
        <f>_xlfn.XLOOKUP(A631,Class_Players!$A:$A,Class_Players!$B:$B,"")</f>
        <v>Recon</v>
      </c>
      <c r="C631" s="38" t="str" cm="1">
        <f t="array" ref="C631">INDEX(Lookups!$C$2:$C$9,MOD(ROW()-ROW($B$2),ROWS(Lookups!$C$2:$C$9))+1)</f>
        <v>C-4 Explosives</v>
      </c>
      <c r="D631" s="38" t="str">
        <f>_xlfn.XLOOKUP(C631,Analysis_Gadgets!$C:$C,Analysis_Gadgets!$B:$B)</f>
        <v>Gadget</v>
      </c>
      <c r="E631" s="43">
        <v>7326</v>
      </c>
      <c r="F631" s="43">
        <f>_xlfn.XLOOKUP(A631,Class_Players!A:A,Class_Players!G:G)</f>
        <v>121</v>
      </c>
      <c r="G631" s="43">
        <f t="shared" si="184"/>
        <v>60.545454545454547</v>
      </c>
      <c r="H631" s="43">
        <f>_xlfn.XLOOKUP(A631,Class_Players!$A:$A,Class_Players!$F:$F,"")</f>
        <v>5559</v>
      </c>
      <c r="I631" s="44">
        <f t="shared" si="185"/>
        <v>1.3178629249865084</v>
      </c>
      <c r="J631" s="43">
        <f t="shared" si="186"/>
        <v>1</v>
      </c>
      <c r="K631" s="44" cm="1">
        <f t="array" ref="K631">IF(D631="Gadget",_xlfn.IFS(I631&gt;=0.2,0.5,I631&gt;=0.1,0.35,I631&gt;=0.05,0.2,TRUE,0),IF(D631="Grenade",_xlfn.IFS(I631&gt;=0.2,1,I631&gt;=0.1,0.7,I631&gt;=0.05,0.4,TRUE,0),0))</f>
        <v>0.5</v>
      </c>
      <c r="L631" s="57">
        <f t="shared" si="193"/>
        <v>0.5</v>
      </c>
    </row>
    <row r="632" spans="1:12" ht="15" customHeight="1" x14ac:dyDescent="0.25">
      <c r="A632" s="42" t="str" cm="1">
        <f t="array" ref="A632">IFERROR(INDEX(_xlfn._xlws.FILTER(Class_Players!A:A,Class_Players!B:B="Recon"),QUOTIENT(ROW()-ROW($A$2),8)+1),"")</f>
        <v>x Noxious Goat</v>
      </c>
      <c r="B632" s="42" t="str">
        <f>_xlfn.XLOOKUP(A632,Class_Players!$A:$A,Class_Players!$B:$B,"")</f>
        <v>Recon</v>
      </c>
      <c r="C632" s="38" t="str" cm="1">
        <f t="array" ref="C632">INDEX(Lookups!$C$2:$C$9,MOD(ROW()-ROW($B$2),ROWS(Lookups!$C$2:$C$9))+1)</f>
        <v>Proximity Detector</v>
      </c>
      <c r="D632" s="38" t="str">
        <f>_xlfn.XLOOKUP(C632,Analysis_Gadgets!$C:$C,Analysis_Gadgets!$B:$B)</f>
        <v>Grenade</v>
      </c>
      <c r="E632" s="43">
        <v>30</v>
      </c>
      <c r="F632" s="43">
        <f>_xlfn.XLOOKUP(A632,Class_Players!A:A,Class_Players!G:G)</f>
        <v>121</v>
      </c>
      <c r="G632" s="43">
        <f t="shared" si="184"/>
        <v>0.24793388429752067</v>
      </c>
      <c r="H632" s="43">
        <f>_xlfn.XLOOKUP(A632,Class_Players!$A:$A,Class_Players!$F:$F,"")</f>
        <v>5559</v>
      </c>
      <c r="I632" s="44">
        <f t="shared" si="185"/>
        <v>5.3966540744738263E-3</v>
      </c>
      <c r="J632" s="43">
        <f t="shared" si="186"/>
        <v>0</v>
      </c>
      <c r="K632" s="44" cm="1">
        <f t="array" ref="K632">IF(D632="Gadget",_xlfn.IFS(I632&gt;=0.2,0.5,I632&gt;=0.1,0.35,I632&gt;=0.05,0.2,TRUE,0),IF(D632="Grenade",_xlfn.IFS(I632&gt;=0.2,1,I632&gt;=0.1,0.7,I632&gt;=0.05,0.4,TRUE,0),0))</f>
        <v>0</v>
      </c>
      <c r="L632" s="57">
        <f t="shared" ref="L632:L633" si="194">IF($K632=0,0,$K632 / SUMIFS($K:$K,$A:$A,$A632,$D:$D,"Grenade"))</f>
        <v>0</v>
      </c>
    </row>
    <row r="633" spans="1:12" ht="15" customHeight="1" x14ac:dyDescent="0.25">
      <c r="A633" s="42" t="str" cm="1">
        <f t="array" ref="A633">IFERROR(INDEX(_xlfn._xlws.FILTER(Class_Players!A:A,Class_Players!B:B="Recon"),QUOTIENT(ROW()-ROW($A$2),8)+1),"")</f>
        <v>x Noxious Goat</v>
      </c>
      <c r="B633" s="42" t="str">
        <f>_xlfn.XLOOKUP(A633,Class_Players!$A:$A,Class_Players!$B:$B,"")</f>
        <v>Recon</v>
      </c>
      <c r="C633" s="38" t="str" cm="1">
        <f t="array" ref="C633">INDEX(Lookups!$C$2:$C$9,MOD(ROW()-ROW($B$2),ROWS(Lookups!$C$2:$C$9))+1)</f>
        <v>Throwing Knife</v>
      </c>
      <c r="D633" s="38" t="str">
        <f>_xlfn.XLOOKUP(C633,Analysis_Gadgets!$C:$C,Analysis_Gadgets!$B:$B)</f>
        <v>Grenade</v>
      </c>
      <c r="E633" s="43">
        <v>18</v>
      </c>
      <c r="F633" s="43">
        <f>_xlfn.XLOOKUP(A633,Class_Players!A:A,Class_Players!G:G)</f>
        <v>121</v>
      </c>
      <c r="G633" s="43">
        <f t="shared" si="184"/>
        <v>0.1487603305785124</v>
      </c>
      <c r="H633" s="43">
        <f>_xlfn.XLOOKUP(A633,Class_Players!$A:$A,Class_Players!$F:$F,"")</f>
        <v>5559</v>
      </c>
      <c r="I633" s="44">
        <f t="shared" si="185"/>
        <v>3.2379924446842958E-3</v>
      </c>
      <c r="J633" s="43">
        <f t="shared" si="186"/>
        <v>0</v>
      </c>
      <c r="K633" s="44" cm="1">
        <f t="array" ref="K633">IF(D633="Gadget",_xlfn.IFS(I633&gt;=0.2,0.5,I633&gt;=0.1,0.35,I633&gt;=0.05,0.2,TRUE,0),IF(D633="Grenade",_xlfn.IFS(I633&gt;=0.2,1,I633&gt;=0.1,0.7,I633&gt;=0.05,0.4,TRUE,0),0))</f>
        <v>0</v>
      </c>
      <c r="L633" s="57">
        <f t="shared" si="194"/>
        <v>0</v>
      </c>
    </row>
    <row r="634" spans="1:12" ht="15" customHeight="1" x14ac:dyDescent="0.25">
      <c r="A634" s="42" t="str" cm="1">
        <f t="array" ref="A634">IFERROR(INDEX(_xlfn._xlws.FILTER(Class_Players!A:A,Class_Players!B:B="Recon"),QUOTIENT(ROW()-ROW($A$2),8)+1),"")</f>
        <v>eln2</v>
      </c>
      <c r="B634" s="42" t="str">
        <f>_xlfn.XLOOKUP(A634,Class_Players!$A:$A,Class_Players!$B:$B,"")</f>
        <v>Recon</v>
      </c>
      <c r="C634" s="38" t="str" cm="1">
        <f t="array" ref="C634">INDEX(Lookups!$C$2:$C$9,MOD(ROW()-ROW($B$2),ROWS(Lookups!$C$2:$C$9))+1)</f>
        <v>Laser Designator</v>
      </c>
      <c r="D634" s="38" t="str">
        <f>_xlfn.XLOOKUP(C634,Analysis_Gadgets!$C:$C,Analysis_Gadgets!$B:$B)</f>
        <v>Gadget</v>
      </c>
      <c r="E634" s="43">
        <v>0</v>
      </c>
      <c r="F634" s="43">
        <f>_xlfn.XLOOKUP(A634,Class_Players!A:A,Class_Players!G:G)</f>
        <v>169</v>
      </c>
      <c r="G634" s="43">
        <f t="shared" si="184"/>
        <v>0</v>
      </c>
      <c r="H634" s="43">
        <f>_xlfn.XLOOKUP(A634,Class_Players!$A:$A,Class_Players!$F:$F,"")</f>
        <v>5267</v>
      </c>
      <c r="I634" s="44">
        <f t="shared" si="185"/>
        <v>0</v>
      </c>
      <c r="J634" s="43">
        <f t="shared" si="186"/>
        <v>0</v>
      </c>
      <c r="K634" s="44" cm="1">
        <f t="array" ref="K634">IF(D634="Gadget",_xlfn.IFS(I634&gt;=0.2,0.5,I634&gt;=0.1,0.35,I634&gt;=0.05,0.2,TRUE,0),IF(D634="Grenade",_xlfn.IFS(I634&gt;=0.2,1,I634&gt;=0.1,0.7,I634&gt;=0.05,0.4,TRUE,0),0))</f>
        <v>0</v>
      </c>
      <c r="L634" s="57">
        <f t="shared" ref="L634:L639" si="195">IF($K634=0,0,$K634 / SUMIFS($K:$K,$A:$A,$A634,$D:$D,"Gadget"))</f>
        <v>0</v>
      </c>
    </row>
    <row r="635" spans="1:12" ht="15" customHeight="1" x14ac:dyDescent="0.25">
      <c r="A635" s="42" t="str" cm="1">
        <f t="array" ref="A635">IFERROR(INDEX(_xlfn._xlws.FILTER(Class_Players!A:A,Class_Players!B:B="Recon"),QUOTIENT(ROW()-ROW($A$2),8)+1),"")</f>
        <v>eln2</v>
      </c>
      <c r="B635" s="42" t="str">
        <f>_xlfn.XLOOKUP(A635,Class_Players!$A:$A,Class_Players!$B:$B,"")</f>
        <v>Recon</v>
      </c>
      <c r="C635" s="38" t="str" cm="1">
        <f t="array" ref="C635">INDEX(Lookups!$C$2:$C$9,MOD(ROW()-ROW($B$2),ROWS(Lookups!$C$2:$C$9))+1)</f>
        <v>Recon Drone</v>
      </c>
      <c r="D635" s="38" t="str">
        <f>_xlfn.XLOOKUP(C635,Analysis_Gadgets!$C:$C,Analysis_Gadgets!$B:$B)</f>
        <v>Gadget</v>
      </c>
      <c r="E635" s="43">
        <v>109</v>
      </c>
      <c r="F635" s="43">
        <f>_xlfn.XLOOKUP(A635,Class_Players!A:A,Class_Players!G:G)</f>
        <v>169</v>
      </c>
      <c r="G635" s="43">
        <f t="shared" si="184"/>
        <v>0.6449704142011834</v>
      </c>
      <c r="H635" s="43">
        <f>_xlfn.XLOOKUP(A635,Class_Players!$A:$A,Class_Players!$F:$F,"")</f>
        <v>5267</v>
      </c>
      <c r="I635" s="44">
        <f t="shared" si="185"/>
        <v>2.0694892728308333E-2</v>
      </c>
      <c r="J635" s="43">
        <f t="shared" si="186"/>
        <v>0</v>
      </c>
      <c r="K635" s="44" cm="1">
        <f t="array" ref="K635">IF(D635="Gadget",_xlfn.IFS(I635&gt;=0.2,0.5,I635&gt;=0.1,0.35,I635&gt;=0.05,0.2,TRUE,0),IF(D635="Grenade",_xlfn.IFS(I635&gt;=0.2,1,I635&gt;=0.1,0.7,I635&gt;=0.05,0.4,TRUE,0),0))</f>
        <v>0</v>
      </c>
      <c r="L635" s="57">
        <f t="shared" si="195"/>
        <v>0</v>
      </c>
    </row>
    <row r="636" spans="1:12" ht="15" customHeight="1" x14ac:dyDescent="0.25">
      <c r="A636" s="42" t="str" cm="1">
        <f t="array" ref="A636">IFERROR(INDEX(_xlfn._xlws.FILTER(Class_Players!A:A,Class_Players!B:B="Recon"),QUOTIENT(ROW()-ROW($A$2),8)+1),"")</f>
        <v>eln2</v>
      </c>
      <c r="B636" s="42" t="str">
        <f>_xlfn.XLOOKUP(A636,Class_Players!$A:$A,Class_Players!$B:$B,"")</f>
        <v>Recon</v>
      </c>
      <c r="C636" s="38" t="str" cm="1">
        <f t="array" ref="C636">INDEX(Lookups!$C$2:$C$9,MOD(ROW()-ROW($B$2),ROWS(Lookups!$C$2:$C$9))+1)</f>
        <v>Tracer Dart</v>
      </c>
      <c r="D636" s="38" t="str">
        <f>_xlfn.XLOOKUP(C636,Analysis_Gadgets!$C:$C,Analysis_Gadgets!$B:$B)</f>
        <v>Gadget</v>
      </c>
      <c r="E636" s="43">
        <v>0</v>
      </c>
      <c r="F636" s="43">
        <f>_xlfn.XLOOKUP(A636,Class_Players!A:A,Class_Players!G:G)</f>
        <v>169</v>
      </c>
      <c r="G636" s="43">
        <f t="shared" si="184"/>
        <v>0</v>
      </c>
      <c r="H636" s="43">
        <f>_xlfn.XLOOKUP(A636,Class_Players!$A:$A,Class_Players!$F:$F,"")</f>
        <v>5267</v>
      </c>
      <c r="I636" s="44">
        <f t="shared" si="185"/>
        <v>0</v>
      </c>
      <c r="J636" s="43">
        <f t="shared" si="186"/>
        <v>0</v>
      </c>
      <c r="K636" s="44" cm="1">
        <f t="array" ref="K636">IF(D636="Gadget",_xlfn.IFS(I636&gt;=0.2,0.5,I636&gt;=0.1,0.35,I636&gt;=0.05,0.2,TRUE,0),IF(D636="Grenade",_xlfn.IFS(I636&gt;=0.2,1,I636&gt;=0.1,0.7,I636&gt;=0.05,0.4,TRUE,0),0))</f>
        <v>0</v>
      </c>
      <c r="L636" s="57">
        <f t="shared" si="195"/>
        <v>0</v>
      </c>
    </row>
    <row r="637" spans="1:12" ht="15" customHeight="1" x14ac:dyDescent="0.25">
      <c r="A637" s="42" t="str" cm="1">
        <f t="array" ref="A637">IFERROR(INDEX(_xlfn._xlws.FILTER(Class_Players!A:A,Class_Players!B:B="Recon"),QUOTIENT(ROW()-ROW($A$2),8)+1),"")</f>
        <v>eln2</v>
      </c>
      <c r="B637" s="42" t="str">
        <f>_xlfn.XLOOKUP(A637,Class_Players!$A:$A,Class_Players!$B:$B,"")</f>
        <v>Recon</v>
      </c>
      <c r="C637" s="38" t="str" cm="1">
        <f t="array" ref="C637">INDEX(Lookups!$C$2:$C$9,MOD(ROW()-ROW($B$2),ROWS(Lookups!$C$2:$C$9))+1)</f>
        <v>M18A1 (Claymore)</v>
      </c>
      <c r="D637" s="38" t="str">
        <f>_xlfn.XLOOKUP(C637,Analysis_Gadgets!$C:$C,Analysis_Gadgets!$B:$B)</f>
        <v>Gadget</v>
      </c>
      <c r="E637" s="43">
        <v>74</v>
      </c>
      <c r="F637" s="43">
        <f>_xlfn.XLOOKUP(A637,Class_Players!A:A,Class_Players!G:G)</f>
        <v>169</v>
      </c>
      <c r="G637" s="43">
        <f t="shared" si="184"/>
        <v>0.43786982248520712</v>
      </c>
      <c r="H637" s="43">
        <f>_xlfn.XLOOKUP(A637,Class_Players!$A:$A,Class_Players!$F:$F,"")</f>
        <v>5267</v>
      </c>
      <c r="I637" s="44">
        <f t="shared" si="185"/>
        <v>1.404974368710841E-2</v>
      </c>
      <c r="J637" s="43">
        <f t="shared" si="186"/>
        <v>0</v>
      </c>
      <c r="K637" s="44" cm="1">
        <f t="array" ref="K637">IF(D637="Gadget",_xlfn.IFS(I637&gt;=0.2,0.5,I637&gt;=0.1,0.35,I637&gt;=0.05,0.2,TRUE,0),IF(D637="Grenade",_xlfn.IFS(I637&gt;=0.2,1,I637&gt;=0.1,0.7,I637&gt;=0.05,0.4,TRUE,0),0))</f>
        <v>0</v>
      </c>
      <c r="L637" s="57">
        <f t="shared" si="195"/>
        <v>0</v>
      </c>
    </row>
    <row r="638" spans="1:12" ht="15" customHeight="1" x14ac:dyDescent="0.25">
      <c r="A638" s="42" t="str" cm="1">
        <f t="array" ref="A638">IFERROR(INDEX(_xlfn._xlws.FILTER(Class_Players!A:A,Class_Players!B:B="Recon"),QUOTIENT(ROW()-ROW($A$2),8)+1),"")</f>
        <v>eln2</v>
      </c>
      <c r="B638" s="42" t="str">
        <f>_xlfn.XLOOKUP(A638,Class_Players!$A:$A,Class_Players!$B:$B,"")</f>
        <v>Recon</v>
      </c>
      <c r="C638" s="38" t="str" cm="1">
        <f t="array" ref="C638">INDEX(Lookups!$C$2:$C$9,MOD(ROW()-ROW($B$2),ROWS(Lookups!$C$2:$C$9))+1)</f>
        <v>Sniper Decoy</v>
      </c>
      <c r="D638" s="38" t="str">
        <f>_xlfn.XLOOKUP(C638,Analysis_Gadgets!$C:$C,Analysis_Gadgets!$B:$B)</f>
        <v>Gadget</v>
      </c>
      <c r="E638" s="43">
        <v>14</v>
      </c>
      <c r="F638" s="43">
        <f>_xlfn.XLOOKUP(A638,Class_Players!A:A,Class_Players!G:G)</f>
        <v>169</v>
      </c>
      <c r="G638" s="43">
        <f t="shared" si="184"/>
        <v>8.2840236686390539E-2</v>
      </c>
      <c r="H638" s="43">
        <f>_xlfn.XLOOKUP(A638,Class_Players!$A:$A,Class_Players!$F:$F,"")</f>
        <v>5267</v>
      </c>
      <c r="I638" s="44">
        <f t="shared" si="185"/>
        <v>2.6580596164799694E-3</v>
      </c>
      <c r="J638" s="43">
        <f t="shared" si="186"/>
        <v>0</v>
      </c>
      <c r="K638" s="44" cm="1">
        <f t="array" ref="K638">IF(D638="Gadget",_xlfn.IFS(I638&gt;=0.2,0.5,I638&gt;=0.1,0.35,I638&gt;=0.05,0.2,TRUE,0),IF(D638="Grenade",_xlfn.IFS(I638&gt;=0.2,1,I638&gt;=0.1,0.7,I638&gt;=0.05,0.4,TRUE,0),0))</f>
        <v>0</v>
      </c>
      <c r="L638" s="57">
        <f t="shared" si="195"/>
        <v>0</v>
      </c>
    </row>
    <row r="639" spans="1:12" ht="15" customHeight="1" x14ac:dyDescent="0.25">
      <c r="A639" s="42" t="str" cm="1">
        <f t="array" ref="A639">IFERROR(INDEX(_xlfn._xlws.FILTER(Class_Players!A:A,Class_Players!B:B="Recon"),QUOTIENT(ROW()-ROW($A$2),8)+1),"")</f>
        <v>eln2</v>
      </c>
      <c r="B639" s="42" t="str">
        <f>_xlfn.XLOOKUP(A639,Class_Players!$A:$A,Class_Players!$B:$B,"")</f>
        <v>Recon</v>
      </c>
      <c r="C639" s="38" t="str" cm="1">
        <f t="array" ref="C639">INDEX(Lookups!$C$2:$C$9,MOD(ROW()-ROW($B$2),ROWS(Lookups!$C$2:$C$9))+1)</f>
        <v>C-4 Explosives</v>
      </c>
      <c r="D639" s="38" t="str">
        <f>_xlfn.XLOOKUP(C639,Analysis_Gadgets!$C:$C,Analysis_Gadgets!$B:$B)</f>
        <v>Gadget</v>
      </c>
      <c r="E639" s="43">
        <v>401</v>
      </c>
      <c r="F639" s="43">
        <f>_xlfn.XLOOKUP(A639,Class_Players!A:A,Class_Players!G:G)</f>
        <v>169</v>
      </c>
      <c r="G639" s="43">
        <f t="shared" si="184"/>
        <v>2.3727810650887573</v>
      </c>
      <c r="H639" s="43">
        <f>_xlfn.XLOOKUP(A639,Class_Players!$A:$A,Class_Players!$F:$F,"")</f>
        <v>5267</v>
      </c>
      <c r="I639" s="44">
        <f t="shared" si="185"/>
        <v>7.6134421872033411E-2</v>
      </c>
      <c r="J639" s="43">
        <f t="shared" si="186"/>
        <v>0</v>
      </c>
      <c r="K639" s="44" cm="1">
        <f t="array" ref="K639">IF(D639="Gadget",_xlfn.IFS(I639&gt;=0.2,0.5,I639&gt;=0.1,0.35,I639&gt;=0.05,0.2,TRUE,0),IF(D639="Grenade",_xlfn.IFS(I639&gt;=0.2,1,I639&gt;=0.1,0.7,I639&gt;=0.05,0.4,TRUE,0),0))</f>
        <v>0.2</v>
      </c>
      <c r="L639" s="57">
        <f t="shared" si="195"/>
        <v>1</v>
      </c>
    </row>
    <row r="640" spans="1:12" ht="15" customHeight="1" x14ac:dyDescent="0.25">
      <c r="A640" s="42" t="str" cm="1">
        <f t="array" ref="A640">IFERROR(INDEX(_xlfn._xlws.FILTER(Class_Players!A:A,Class_Players!B:B="Recon"),QUOTIENT(ROW()-ROW($A$2),8)+1),"")</f>
        <v>eln2</v>
      </c>
      <c r="B640" s="42" t="str">
        <f>_xlfn.XLOOKUP(A640,Class_Players!$A:$A,Class_Players!$B:$B,"")</f>
        <v>Recon</v>
      </c>
      <c r="C640" s="38" t="str" cm="1">
        <f t="array" ref="C640">INDEX(Lookups!$C$2:$C$9,MOD(ROW()-ROW($B$2),ROWS(Lookups!$C$2:$C$9))+1)</f>
        <v>Proximity Detector</v>
      </c>
      <c r="D640" s="38" t="str">
        <f>_xlfn.XLOOKUP(C640,Analysis_Gadgets!$C:$C,Analysis_Gadgets!$B:$B)</f>
        <v>Grenade</v>
      </c>
      <c r="E640" s="43">
        <v>0</v>
      </c>
      <c r="F640" s="43">
        <f>_xlfn.XLOOKUP(A640,Class_Players!A:A,Class_Players!G:G)</f>
        <v>169</v>
      </c>
      <c r="G640" s="43">
        <f t="shared" si="184"/>
        <v>0</v>
      </c>
      <c r="H640" s="43">
        <f>_xlfn.XLOOKUP(A640,Class_Players!$A:$A,Class_Players!$F:$F,"")</f>
        <v>5267</v>
      </c>
      <c r="I640" s="44">
        <f t="shared" si="185"/>
        <v>0</v>
      </c>
      <c r="J640" s="43">
        <f t="shared" si="186"/>
        <v>0</v>
      </c>
      <c r="K640" s="44" cm="1">
        <f t="array" ref="K640">IF(D640="Gadget",_xlfn.IFS(I640&gt;=0.2,0.5,I640&gt;=0.1,0.35,I640&gt;=0.05,0.2,TRUE,0),IF(D640="Grenade",_xlfn.IFS(I640&gt;=0.2,1,I640&gt;=0.1,0.7,I640&gt;=0.05,0.4,TRUE,0),0))</f>
        <v>0</v>
      </c>
      <c r="L640" s="57">
        <f t="shared" ref="L640:L641" si="196">IF($K640=0,0,$K640 / SUMIFS($K:$K,$A:$A,$A640,$D:$D,"Grenade"))</f>
        <v>0</v>
      </c>
    </row>
    <row r="641" spans="1:12" ht="15" customHeight="1" x14ac:dyDescent="0.25">
      <c r="A641" s="42" t="str" cm="1">
        <f t="array" ref="A641">IFERROR(INDEX(_xlfn._xlws.FILTER(Class_Players!A:A,Class_Players!B:B="Recon"),QUOTIENT(ROW()-ROW($A$2),8)+1),"")</f>
        <v>eln2</v>
      </c>
      <c r="B641" s="42" t="str">
        <f>_xlfn.XLOOKUP(A641,Class_Players!$A:$A,Class_Players!$B:$B,"")</f>
        <v>Recon</v>
      </c>
      <c r="C641" s="38" t="str" cm="1">
        <f t="array" ref="C641">INDEX(Lookups!$C$2:$C$9,MOD(ROW()-ROW($B$2),ROWS(Lookups!$C$2:$C$9))+1)</f>
        <v>Throwing Knife</v>
      </c>
      <c r="D641" s="38" t="str">
        <f>_xlfn.XLOOKUP(C641,Analysis_Gadgets!$C:$C,Analysis_Gadgets!$B:$B)</f>
        <v>Grenade</v>
      </c>
      <c r="E641" s="43">
        <v>0</v>
      </c>
      <c r="F641" s="43">
        <f>_xlfn.XLOOKUP(A641,Class_Players!A:A,Class_Players!G:G)</f>
        <v>169</v>
      </c>
      <c r="G641" s="43">
        <f t="shared" si="184"/>
        <v>0</v>
      </c>
      <c r="H641" s="43">
        <f>_xlfn.XLOOKUP(A641,Class_Players!$A:$A,Class_Players!$F:$F,"")</f>
        <v>5267</v>
      </c>
      <c r="I641" s="44">
        <f t="shared" si="185"/>
        <v>0</v>
      </c>
      <c r="J641" s="43">
        <f t="shared" si="186"/>
        <v>0</v>
      </c>
      <c r="K641" s="44" cm="1">
        <f t="array" ref="K641">IF(D641="Gadget",_xlfn.IFS(I641&gt;=0.2,0.5,I641&gt;=0.1,0.35,I641&gt;=0.05,0.2,TRUE,0),IF(D641="Grenade",_xlfn.IFS(I641&gt;=0.2,1,I641&gt;=0.1,0.7,I641&gt;=0.05,0.4,TRUE,0),0))</f>
        <v>0</v>
      </c>
      <c r="L641" s="57">
        <f t="shared" si="196"/>
        <v>0</v>
      </c>
    </row>
    <row r="642" spans="1:12" ht="15" customHeight="1" x14ac:dyDescent="0.25">
      <c r="A642" s="42" t="str" cm="1">
        <f t="array" ref="A642">IFERROR(INDEX(_xlfn._xlws.FILTER(Class_Players!A:A,Class_Players!B:B="Recon"),QUOTIENT(ROW()-ROW($A$2),8)+1),"")</f>
        <v>xTempe</v>
      </c>
      <c r="B642" s="42" t="str">
        <f>_xlfn.XLOOKUP(A642,Class_Players!$A:$A,Class_Players!$B:$B,"")</f>
        <v>Recon</v>
      </c>
      <c r="C642" s="38" t="str" cm="1">
        <f t="array" ref="C642">INDEX(Lookups!$C$2:$C$9,MOD(ROW()-ROW($B$2),ROWS(Lookups!$C$2:$C$9))+1)</f>
        <v>Laser Designator</v>
      </c>
      <c r="D642" s="38" t="str">
        <f>_xlfn.XLOOKUP(C642,Analysis_Gadgets!$C:$C,Analysis_Gadgets!$B:$B)</f>
        <v>Gadget</v>
      </c>
      <c r="E642" s="43">
        <v>32</v>
      </c>
      <c r="F642" s="43">
        <f>_xlfn.XLOOKUP(A642,Class_Players!A:A,Class_Players!G:G)</f>
        <v>238</v>
      </c>
      <c r="G642" s="43">
        <f t="shared" si="184"/>
        <v>0.13445378151260504</v>
      </c>
      <c r="H642" s="43">
        <f>_xlfn.XLOOKUP(A642,Class_Players!$A:$A,Class_Players!$F:$F,"")</f>
        <v>5318</v>
      </c>
      <c r="I642" s="44">
        <f t="shared" si="185"/>
        <v>6.0172997367431364E-3</v>
      </c>
      <c r="J642" s="43">
        <f t="shared" si="186"/>
        <v>0</v>
      </c>
      <c r="K642" s="44" cm="1">
        <f t="array" ref="K642">IF(D642="Gadget",_xlfn.IFS(I642&gt;=0.2,0.5,I642&gt;=0.1,0.35,I642&gt;=0.05,0.2,TRUE,0),IF(D642="Grenade",_xlfn.IFS(I642&gt;=0.2,1,I642&gt;=0.1,0.7,I642&gt;=0.05,0.4,TRUE,0),0))</f>
        <v>0</v>
      </c>
      <c r="L642" s="57">
        <f t="shared" ref="L642:L647" si="197">IF($K642=0,0,$K642 / SUMIFS($K:$K,$A:$A,$A642,$D:$D,"Gadget"))</f>
        <v>0</v>
      </c>
    </row>
    <row r="643" spans="1:12" ht="15" customHeight="1" x14ac:dyDescent="0.25">
      <c r="A643" s="42" t="str" cm="1">
        <f t="array" ref="A643">IFERROR(INDEX(_xlfn._xlws.FILTER(Class_Players!A:A,Class_Players!B:B="Recon"),QUOTIENT(ROW()-ROW($A$2),8)+1),"")</f>
        <v>xTempe</v>
      </c>
      <c r="B643" s="42" t="str">
        <f>_xlfn.XLOOKUP(A643,Class_Players!$A:$A,Class_Players!$B:$B,"")</f>
        <v>Recon</v>
      </c>
      <c r="C643" s="38" t="str" cm="1">
        <f t="array" ref="C643">INDEX(Lookups!$C$2:$C$9,MOD(ROW()-ROW($B$2),ROWS(Lookups!$C$2:$C$9))+1)</f>
        <v>Recon Drone</v>
      </c>
      <c r="D643" s="38" t="str">
        <f>_xlfn.XLOOKUP(C643,Analysis_Gadgets!$C:$C,Analysis_Gadgets!$B:$B)</f>
        <v>Gadget</v>
      </c>
      <c r="E643" s="43">
        <v>2740</v>
      </c>
      <c r="F643" s="43">
        <f>_xlfn.XLOOKUP(A643,Class_Players!A:A,Class_Players!G:G)</f>
        <v>238</v>
      </c>
      <c r="G643" s="43">
        <f t="shared" si="184"/>
        <v>11.512605042016807</v>
      </c>
      <c r="H643" s="43">
        <f>_xlfn.XLOOKUP(A643,Class_Players!$A:$A,Class_Players!$F:$F,"")</f>
        <v>5318</v>
      </c>
      <c r="I643" s="44">
        <f t="shared" si="185"/>
        <v>0.5152312899586311</v>
      </c>
      <c r="J643" s="43">
        <f t="shared" si="186"/>
        <v>1</v>
      </c>
      <c r="K643" s="44" cm="1">
        <f t="array" ref="K643">IF(D643="Gadget",_xlfn.IFS(I643&gt;=0.2,0.5,I643&gt;=0.1,0.35,I643&gt;=0.05,0.2,TRUE,0),IF(D643="Grenade",_xlfn.IFS(I643&gt;=0.2,1,I643&gt;=0.1,0.7,I643&gt;=0.05,0.4,TRUE,0),0))</f>
        <v>0.5</v>
      </c>
      <c r="L643" s="57">
        <f t="shared" si="197"/>
        <v>0.7142857142857143</v>
      </c>
    </row>
    <row r="644" spans="1:12" ht="15" customHeight="1" x14ac:dyDescent="0.25">
      <c r="A644" s="42" t="str" cm="1">
        <f t="array" ref="A644">IFERROR(INDEX(_xlfn._xlws.FILTER(Class_Players!A:A,Class_Players!B:B="Recon"),QUOTIENT(ROW()-ROW($A$2),8)+1),"")</f>
        <v>xTempe</v>
      </c>
      <c r="B644" s="42" t="str">
        <f>_xlfn.XLOOKUP(A644,Class_Players!$A:$A,Class_Players!$B:$B,"")</f>
        <v>Recon</v>
      </c>
      <c r="C644" s="38" t="str" cm="1">
        <f t="array" ref="C644">INDEX(Lookups!$C$2:$C$9,MOD(ROW()-ROW($B$2),ROWS(Lookups!$C$2:$C$9))+1)</f>
        <v>Tracer Dart</v>
      </c>
      <c r="D644" s="38" t="str">
        <f>_xlfn.XLOOKUP(C644,Analysis_Gadgets!$C:$C,Analysis_Gadgets!$B:$B)</f>
        <v>Gadget</v>
      </c>
      <c r="E644" s="43">
        <v>0</v>
      </c>
      <c r="F644" s="43">
        <f>_xlfn.XLOOKUP(A644,Class_Players!A:A,Class_Players!G:G)</f>
        <v>238</v>
      </c>
      <c r="G644" s="43">
        <f t="shared" si="184"/>
        <v>0</v>
      </c>
      <c r="H644" s="43">
        <f>_xlfn.XLOOKUP(A644,Class_Players!$A:$A,Class_Players!$F:$F,"")</f>
        <v>5318</v>
      </c>
      <c r="I644" s="44">
        <f t="shared" si="185"/>
        <v>0</v>
      </c>
      <c r="J644" s="43">
        <f t="shared" si="186"/>
        <v>0</v>
      </c>
      <c r="K644" s="44" cm="1">
        <f t="array" ref="K644">IF(D644="Gadget",_xlfn.IFS(I644&gt;=0.2,0.5,I644&gt;=0.1,0.35,I644&gt;=0.05,0.2,TRUE,0),IF(D644="Grenade",_xlfn.IFS(I644&gt;=0.2,1,I644&gt;=0.1,0.7,I644&gt;=0.05,0.4,TRUE,0),0))</f>
        <v>0</v>
      </c>
      <c r="L644" s="57">
        <f t="shared" si="197"/>
        <v>0</v>
      </c>
    </row>
    <row r="645" spans="1:12" ht="15" customHeight="1" x14ac:dyDescent="0.25">
      <c r="A645" s="42" t="str" cm="1">
        <f t="array" ref="A645">IFERROR(INDEX(_xlfn._xlws.FILTER(Class_Players!A:A,Class_Players!B:B="Recon"),QUOTIENT(ROW()-ROW($A$2),8)+1),"")</f>
        <v>xTempe</v>
      </c>
      <c r="B645" s="42" t="str">
        <f>_xlfn.XLOOKUP(A645,Class_Players!$A:$A,Class_Players!$B:$B,"")</f>
        <v>Recon</v>
      </c>
      <c r="C645" s="38" t="str" cm="1">
        <f t="array" ref="C645">INDEX(Lookups!$C$2:$C$9,MOD(ROW()-ROW($B$2),ROWS(Lookups!$C$2:$C$9))+1)</f>
        <v>M18A1 (Claymore)</v>
      </c>
      <c r="D645" s="38" t="str">
        <f>_xlfn.XLOOKUP(C645,Analysis_Gadgets!$C:$C,Analysis_Gadgets!$B:$B)</f>
        <v>Gadget</v>
      </c>
      <c r="E645" s="43">
        <v>309</v>
      </c>
      <c r="F645" s="43">
        <f>_xlfn.XLOOKUP(A645,Class_Players!A:A,Class_Players!G:G)</f>
        <v>238</v>
      </c>
      <c r="G645" s="43">
        <f t="shared" si="184"/>
        <v>1.2983193277310925</v>
      </c>
      <c r="H645" s="43">
        <f>_xlfn.XLOOKUP(A645,Class_Players!$A:$A,Class_Players!$F:$F,"")</f>
        <v>5318</v>
      </c>
      <c r="I645" s="44">
        <f t="shared" si="185"/>
        <v>5.8104550582925914E-2</v>
      </c>
      <c r="J645" s="43">
        <f t="shared" si="186"/>
        <v>0</v>
      </c>
      <c r="K645" s="44" cm="1">
        <f t="array" ref="K645">IF(D645="Gadget",_xlfn.IFS(I645&gt;=0.2,0.5,I645&gt;=0.1,0.35,I645&gt;=0.05,0.2,TRUE,0),IF(D645="Grenade",_xlfn.IFS(I645&gt;=0.2,1,I645&gt;=0.1,0.7,I645&gt;=0.05,0.4,TRUE,0),0))</f>
        <v>0.2</v>
      </c>
      <c r="L645" s="57">
        <f t="shared" si="197"/>
        <v>0.28571428571428575</v>
      </c>
    </row>
    <row r="646" spans="1:12" ht="15" customHeight="1" x14ac:dyDescent="0.25">
      <c r="A646" s="42" t="str" cm="1">
        <f t="array" ref="A646">IFERROR(INDEX(_xlfn._xlws.FILTER(Class_Players!A:A,Class_Players!B:B="Recon"),QUOTIENT(ROW()-ROW($A$2),8)+1),"")</f>
        <v>xTempe</v>
      </c>
      <c r="B646" s="42" t="str">
        <f>_xlfn.XLOOKUP(A646,Class_Players!$A:$A,Class_Players!$B:$B,"")</f>
        <v>Recon</v>
      </c>
      <c r="C646" s="38" t="str" cm="1">
        <f t="array" ref="C646">INDEX(Lookups!$C$2:$C$9,MOD(ROW()-ROW($B$2),ROWS(Lookups!$C$2:$C$9))+1)</f>
        <v>Sniper Decoy</v>
      </c>
      <c r="D646" s="38" t="str">
        <f>_xlfn.XLOOKUP(C646,Analysis_Gadgets!$C:$C,Analysis_Gadgets!$B:$B)</f>
        <v>Gadget</v>
      </c>
      <c r="E646" s="43">
        <v>76</v>
      </c>
      <c r="F646" s="43">
        <f>_xlfn.XLOOKUP(A646,Class_Players!A:A,Class_Players!G:G)</f>
        <v>238</v>
      </c>
      <c r="G646" s="43">
        <f t="shared" si="184"/>
        <v>0.31932773109243695</v>
      </c>
      <c r="H646" s="43">
        <f>_xlfn.XLOOKUP(A646,Class_Players!$A:$A,Class_Players!$F:$F,"")</f>
        <v>5318</v>
      </c>
      <c r="I646" s="44">
        <f t="shared" si="185"/>
        <v>1.4291086874764949E-2</v>
      </c>
      <c r="J646" s="43">
        <f t="shared" si="186"/>
        <v>0</v>
      </c>
      <c r="K646" s="44" cm="1">
        <f t="array" ref="K646">IF(D646="Gadget",_xlfn.IFS(I646&gt;=0.2,0.5,I646&gt;=0.1,0.35,I646&gt;=0.05,0.2,TRUE,0),IF(D646="Grenade",_xlfn.IFS(I646&gt;=0.2,1,I646&gt;=0.1,0.7,I646&gt;=0.05,0.4,TRUE,0),0))</f>
        <v>0</v>
      </c>
      <c r="L646" s="57">
        <f t="shared" si="197"/>
        <v>0</v>
      </c>
    </row>
    <row r="647" spans="1:12" ht="15" customHeight="1" x14ac:dyDescent="0.25">
      <c r="A647" s="42" t="str" cm="1">
        <f t="array" ref="A647">IFERROR(INDEX(_xlfn._xlws.FILTER(Class_Players!A:A,Class_Players!B:B="Recon"),QUOTIENT(ROW()-ROW($A$2),8)+1),"")</f>
        <v>xTempe</v>
      </c>
      <c r="B647" s="42" t="str">
        <f>_xlfn.XLOOKUP(A647,Class_Players!$A:$A,Class_Players!$B:$B,"")</f>
        <v>Recon</v>
      </c>
      <c r="C647" s="38" t="str" cm="1">
        <f t="array" ref="C647">INDEX(Lookups!$C$2:$C$9,MOD(ROW()-ROW($B$2),ROWS(Lookups!$C$2:$C$9))+1)</f>
        <v>C-4 Explosives</v>
      </c>
      <c r="D647" s="38" t="str">
        <f>_xlfn.XLOOKUP(C647,Analysis_Gadgets!$C:$C,Analysis_Gadgets!$B:$B)</f>
        <v>Gadget</v>
      </c>
      <c r="E647" s="43">
        <v>112</v>
      </c>
      <c r="F647" s="43">
        <f>_xlfn.XLOOKUP(A647,Class_Players!A:A,Class_Players!G:G)</f>
        <v>238</v>
      </c>
      <c r="G647" s="43">
        <f t="shared" si="184"/>
        <v>0.47058823529411764</v>
      </c>
      <c r="H647" s="43">
        <f>_xlfn.XLOOKUP(A647,Class_Players!$A:$A,Class_Players!$F:$F,"")</f>
        <v>5318</v>
      </c>
      <c r="I647" s="44">
        <f t="shared" si="185"/>
        <v>2.1060549078600978E-2</v>
      </c>
      <c r="J647" s="43">
        <f t="shared" si="186"/>
        <v>0</v>
      </c>
      <c r="K647" s="44" cm="1">
        <f t="array" ref="K647">IF(D647="Gadget",_xlfn.IFS(I647&gt;=0.2,0.5,I647&gt;=0.1,0.35,I647&gt;=0.05,0.2,TRUE,0),IF(D647="Grenade",_xlfn.IFS(I647&gt;=0.2,1,I647&gt;=0.1,0.7,I647&gt;=0.05,0.4,TRUE,0),0))</f>
        <v>0</v>
      </c>
      <c r="L647" s="57">
        <f t="shared" si="197"/>
        <v>0</v>
      </c>
    </row>
    <row r="648" spans="1:12" ht="15" customHeight="1" x14ac:dyDescent="0.25">
      <c r="A648" s="42" t="str" cm="1">
        <f t="array" ref="A648">IFERROR(INDEX(_xlfn._xlws.FILTER(Class_Players!A:A,Class_Players!B:B="Recon"),QUOTIENT(ROW()-ROW($A$2),8)+1),"")</f>
        <v>xTempe</v>
      </c>
      <c r="B648" s="42" t="str">
        <f>_xlfn.XLOOKUP(A648,Class_Players!$A:$A,Class_Players!$B:$B,"")</f>
        <v>Recon</v>
      </c>
      <c r="C648" s="38" t="str" cm="1">
        <f t="array" ref="C648">INDEX(Lookups!$C$2:$C$9,MOD(ROW()-ROW($B$2),ROWS(Lookups!$C$2:$C$9))+1)</f>
        <v>Proximity Detector</v>
      </c>
      <c r="D648" s="38" t="str">
        <f>_xlfn.XLOOKUP(C648,Analysis_Gadgets!$C:$C,Analysis_Gadgets!$B:$B)</f>
        <v>Grenade</v>
      </c>
      <c r="E648" s="43">
        <v>141</v>
      </c>
      <c r="F648" s="43">
        <f>_xlfn.XLOOKUP(A648,Class_Players!A:A,Class_Players!G:G)</f>
        <v>238</v>
      </c>
      <c r="G648" s="43">
        <f t="shared" si="184"/>
        <v>0.59243697478991597</v>
      </c>
      <c r="H648" s="43">
        <f>_xlfn.XLOOKUP(A648,Class_Players!$A:$A,Class_Players!$F:$F,"")</f>
        <v>5318</v>
      </c>
      <c r="I648" s="44">
        <f t="shared" si="185"/>
        <v>2.6513726965024444E-2</v>
      </c>
      <c r="J648" s="43">
        <f t="shared" si="186"/>
        <v>0</v>
      </c>
      <c r="K648" s="44" cm="1">
        <f t="array" ref="K648">IF(D648="Gadget",_xlfn.IFS(I648&gt;=0.2,0.5,I648&gt;=0.1,0.35,I648&gt;=0.05,0.2,TRUE,0),IF(D648="Grenade",_xlfn.IFS(I648&gt;=0.2,1,I648&gt;=0.1,0.7,I648&gt;=0.05,0.4,TRUE,0),0))</f>
        <v>0</v>
      </c>
      <c r="L648" s="57">
        <f t="shared" ref="L648:L649" si="198">IF($K648=0,0,$K648 / SUMIFS($K:$K,$A:$A,$A648,$D:$D,"Grenade"))</f>
        <v>0</v>
      </c>
    </row>
    <row r="649" spans="1:12" ht="15" customHeight="1" x14ac:dyDescent="0.25">
      <c r="A649" s="42" t="str" cm="1">
        <f t="array" ref="A649">IFERROR(INDEX(_xlfn._xlws.FILTER(Class_Players!A:A,Class_Players!B:B="Recon"),QUOTIENT(ROW()-ROW($A$2),8)+1),"")</f>
        <v>xTempe</v>
      </c>
      <c r="B649" s="42" t="str">
        <f>_xlfn.XLOOKUP(A649,Class_Players!$A:$A,Class_Players!$B:$B,"")</f>
        <v>Recon</v>
      </c>
      <c r="C649" s="38" t="str" cm="1">
        <f t="array" ref="C649">INDEX(Lookups!$C$2:$C$9,MOD(ROW()-ROW($B$2),ROWS(Lookups!$C$2:$C$9))+1)</f>
        <v>Throwing Knife</v>
      </c>
      <c r="D649" s="38" t="str">
        <f>_xlfn.XLOOKUP(C649,Analysis_Gadgets!$C:$C,Analysis_Gadgets!$B:$B)</f>
        <v>Grenade</v>
      </c>
      <c r="E649" s="43">
        <v>78</v>
      </c>
      <c r="F649" s="43">
        <f>_xlfn.XLOOKUP(A649,Class_Players!A:A,Class_Players!G:G)</f>
        <v>238</v>
      </c>
      <c r="G649" s="43">
        <f t="shared" si="184"/>
        <v>0.32773109243697479</v>
      </c>
      <c r="H649" s="43">
        <f>_xlfn.XLOOKUP(A649,Class_Players!$A:$A,Class_Players!$F:$F,"")</f>
        <v>5318</v>
      </c>
      <c r="I649" s="44">
        <f t="shared" si="185"/>
        <v>1.4667168108311396E-2</v>
      </c>
      <c r="J649" s="43">
        <f t="shared" si="186"/>
        <v>0</v>
      </c>
      <c r="K649" s="44" cm="1">
        <f t="array" ref="K649">IF(D649="Gadget",_xlfn.IFS(I649&gt;=0.2,0.5,I649&gt;=0.1,0.35,I649&gt;=0.05,0.2,TRUE,0),IF(D649="Grenade",_xlfn.IFS(I649&gt;=0.2,1,I649&gt;=0.1,0.7,I649&gt;=0.05,0.4,TRUE,0),0))</f>
        <v>0</v>
      </c>
      <c r="L649" s="57">
        <f t="shared" si="198"/>
        <v>0</v>
      </c>
    </row>
    <row r="650" spans="1:12" ht="15" customHeight="1" x14ac:dyDescent="0.25">
      <c r="A650" s="42" t="str" cm="1">
        <f t="array" ref="A650">IFERROR(INDEX(_xlfn._xlws.FILTER(Class_Players!A:A,Class_Players!B:B="Recon"),QUOTIENT(ROW()-ROW($A$2),8)+1),"")</f>
        <v>ZokaloneLGRX</v>
      </c>
      <c r="B650" s="42" t="str">
        <f>_xlfn.XLOOKUP(A650,Class_Players!$A:$A,Class_Players!$B:$B,"")</f>
        <v>Recon</v>
      </c>
      <c r="C650" s="38" t="str" cm="1">
        <f t="array" ref="C650">INDEX(Lookups!$C$2:$C$9,MOD(ROW()-ROW($B$2),ROWS(Lookups!$C$2:$C$9))+1)</f>
        <v>Laser Designator</v>
      </c>
      <c r="D650" s="38" t="str">
        <f>_xlfn.XLOOKUP(C650,Analysis_Gadgets!$C:$C,Analysis_Gadgets!$B:$B)</f>
        <v>Gadget</v>
      </c>
      <c r="E650" s="43">
        <v>62</v>
      </c>
      <c r="F650" s="43">
        <f>_xlfn.XLOOKUP(A650,Class_Players!A:A,Class_Players!G:G)</f>
        <v>71</v>
      </c>
      <c r="G650" s="43">
        <f t="shared" si="184"/>
        <v>0.87323943661971826</v>
      </c>
      <c r="H650" s="43">
        <f>_xlfn.XLOOKUP(A650,Class_Players!$A:$A,Class_Players!$F:$F,"")</f>
        <v>5382</v>
      </c>
      <c r="I650" s="44">
        <f t="shared" si="185"/>
        <v>1.1519881085098476E-2</v>
      </c>
      <c r="J650" s="43">
        <f t="shared" si="186"/>
        <v>0</v>
      </c>
      <c r="K650" s="44" cm="1">
        <f t="array" ref="K650">IF(D650="Gadget",_xlfn.IFS(I650&gt;=0.2,0.5,I650&gt;=0.1,0.35,I650&gt;=0.05,0.2,TRUE,0),IF(D650="Grenade",_xlfn.IFS(I650&gt;=0.2,1,I650&gt;=0.1,0.7,I650&gt;=0.05,0.4,TRUE,0),0))</f>
        <v>0</v>
      </c>
      <c r="L650" s="57">
        <f t="shared" ref="L650:L663" si="199">IF($K650=0,0,$K650 / SUMIFS($K:$K,$A:$A,$A650,$D:$D,"Gadget"))</f>
        <v>0</v>
      </c>
    </row>
    <row r="651" spans="1:12" ht="15" customHeight="1" x14ac:dyDescent="0.25">
      <c r="A651" s="42" t="str" cm="1">
        <f t="array" ref="A651">IFERROR(INDEX(_xlfn._xlws.FILTER(Class_Players!A:A,Class_Players!B:B="Recon"),QUOTIENT(ROW()-ROW($A$2),8)+1),"")</f>
        <v>ZokaloneLGRX</v>
      </c>
      <c r="B651" s="42" t="str">
        <f>_xlfn.XLOOKUP(A651,Class_Players!$A:$A,Class_Players!$B:$B,"")</f>
        <v>Recon</v>
      </c>
      <c r="C651" s="38" t="str" cm="1">
        <f t="array" ref="C651">INDEX(Lookups!$C$2:$C$9,MOD(ROW()-ROW($B$2),ROWS(Lookups!$C$2:$C$9))+1)</f>
        <v>Recon Drone</v>
      </c>
      <c r="D651" s="38" t="str">
        <f>_xlfn.XLOOKUP(C651,Analysis_Gadgets!$C:$C,Analysis_Gadgets!$B:$B)</f>
        <v>Gadget</v>
      </c>
      <c r="E651" s="43">
        <v>191</v>
      </c>
      <c r="F651" s="43">
        <f>_xlfn.XLOOKUP(A651,Class_Players!A:A,Class_Players!G:G)</f>
        <v>71</v>
      </c>
      <c r="G651" s="43">
        <f t="shared" si="184"/>
        <v>2.6901408450704225</v>
      </c>
      <c r="H651" s="43">
        <f>_xlfn.XLOOKUP(A651,Class_Players!$A:$A,Class_Players!$F:$F,"")</f>
        <v>5382</v>
      </c>
      <c r="I651" s="44">
        <f t="shared" si="185"/>
        <v>3.5488665923448535E-2</v>
      </c>
      <c r="J651" s="43">
        <f t="shared" si="186"/>
        <v>0</v>
      </c>
      <c r="K651" s="44" cm="1">
        <f t="array" ref="K651">IF(D651="Gadget",_xlfn.IFS(I651&gt;=0.2,0.5,I651&gt;=0.1,0.35,I651&gt;=0.05,0.2,TRUE,0),IF(D651="Grenade",_xlfn.IFS(I651&gt;=0.2,1,I651&gt;=0.1,0.7,I651&gt;=0.05,0.4,TRUE,0),0))</f>
        <v>0</v>
      </c>
      <c r="L651" s="57">
        <f t="shared" si="199"/>
        <v>0</v>
      </c>
    </row>
    <row r="652" spans="1:12" ht="15" customHeight="1" x14ac:dyDescent="0.25">
      <c r="A652" s="42" t="str" cm="1">
        <f t="array" ref="A652">IFERROR(INDEX(_xlfn._xlws.FILTER(Class_Players!A:A,Class_Players!B:B="Recon"),QUOTIENT(ROW()-ROW($A$2),8)+1),"")</f>
        <v>ZokaloneLGRX</v>
      </c>
      <c r="B652" s="42" t="str">
        <f>_xlfn.XLOOKUP(A652,Class_Players!$A:$A,Class_Players!$B:$B,"")</f>
        <v>Recon</v>
      </c>
      <c r="C652" s="38" t="str" cm="1">
        <f t="array" ref="C652">INDEX(Lookups!$C$2:$C$9,MOD(ROW()-ROW($B$2),ROWS(Lookups!$C$2:$C$9))+1)</f>
        <v>Tracer Dart</v>
      </c>
      <c r="D652" s="38" t="str">
        <f>_xlfn.XLOOKUP(C652,Analysis_Gadgets!$C:$C,Analysis_Gadgets!$B:$B)</f>
        <v>Gadget</v>
      </c>
      <c r="E652" s="43">
        <v>4</v>
      </c>
      <c r="F652" s="43">
        <f>_xlfn.XLOOKUP(A652,Class_Players!A:A,Class_Players!G:G)</f>
        <v>71</v>
      </c>
      <c r="G652" s="43">
        <f t="shared" si="184"/>
        <v>5.6338028169014086E-2</v>
      </c>
      <c r="H652" s="43">
        <f>_xlfn.XLOOKUP(A652,Class_Players!$A:$A,Class_Players!$F:$F,"")</f>
        <v>5382</v>
      </c>
      <c r="I652" s="44">
        <f t="shared" si="185"/>
        <v>7.4321813452248237E-4</v>
      </c>
      <c r="J652" s="43">
        <f t="shared" si="186"/>
        <v>0</v>
      </c>
      <c r="K652" s="44" cm="1">
        <f t="array" ref="K652">IF(D652="Gadget",_xlfn.IFS(I652&gt;=0.2,0.5,I652&gt;=0.1,0.35,I652&gt;=0.05,0.2,TRUE,0),IF(D652="Grenade",_xlfn.IFS(I652&gt;=0.2,1,I652&gt;=0.1,0.7,I652&gt;=0.05,0.4,TRUE,0),0))</f>
        <v>0</v>
      </c>
      <c r="L652" s="57">
        <f t="shared" si="199"/>
        <v>0</v>
      </c>
    </row>
    <row r="653" spans="1:12" ht="15" customHeight="1" x14ac:dyDescent="0.25">
      <c r="A653" s="42" t="str" cm="1">
        <f t="array" ref="A653">IFERROR(INDEX(_xlfn._xlws.FILTER(Class_Players!A:A,Class_Players!B:B="Recon"),QUOTIENT(ROW()-ROW($A$2),8)+1),"")</f>
        <v>ZokaloneLGRX</v>
      </c>
      <c r="B653" s="42" t="str">
        <f>_xlfn.XLOOKUP(A653,Class_Players!$A:$A,Class_Players!$B:$B,"")</f>
        <v>Recon</v>
      </c>
      <c r="C653" s="38" t="str" cm="1">
        <f t="array" ref="C653">INDEX(Lookups!$C$2:$C$9,MOD(ROW()-ROW($B$2),ROWS(Lookups!$C$2:$C$9))+1)</f>
        <v>M18A1 (Claymore)</v>
      </c>
      <c r="D653" s="38" t="str">
        <f>_xlfn.XLOOKUP(C653,Analysis_Gadgets!$C:$C,Analysis_Gadgets!$B:$B)</f>
        <v>Gadget</v>
      </c>
      <c r="E653" s="43">
        <v>1033</v>
      </c>
      <c r="F653" s="43">
        <f>_xlfn.XLOOKUP(A653,Class_Players!A:A,Class_Players!G:G)</f>
        <v>71</v>
      </c>
      <c r="G653" s="43">
        <f t="shared" si="184"/>
        <v>14.549295774647888</v>
      </c>
      <c r="H653" s="43">
        <f>_xlfn.XLOOKUP(A653,Class_Players!$A:$A,Class_Players!$F:$F,"")</f>
        <v>5382</v>
      </c>
      <c r="I653" s="44">
        <f t="shared" si="185"/>
        <v>0.19193608324043107</v>
      </c>
      <c r="J653" s="43">
        <f t="shared" si="186"/>
        <v>1</v>
      </c>
      <c r="K653" s="44" cm="1">
        <f t="array" ref="K653">IF(D653="Gadget",_xlfn.IFS(I653&gt;=0.2,0.5,I653&gt;=0.1,0.35,I653&gt;=0.05,0.2,TRUE,0),IF(D653="Grenade",_xlfn.IFS(I653&gt;=0.2,1,I653&gt;=0.1,0.7,I653&gt;=0.05,0.4,TRUE,0),0))</f>
        <v>0.35</v>
      </c>
      <c r="L653" s="57">
        <f t="shared" si="199"/>
        <v>0.41176470588235292</v>
      </c>
    </row>
    <row r="654" spans="1:12" ht="15" customHeight="1" x14ac:dyDescent="0.25">
      <c r="A654" s="42" t="str" cm="1">
        <f t="array" ref="A654">IFERROR(INDEX(_xlfn._xlws.FILTER(Class_Players!A:A,Class_Players!B:B="Recon"),QUOTIENT(ROW()-ROW($A$2),8)+1),"")</f>
        <v>ZokaloneLGRX</v>
      </c>
      <c r="B654" s="42" t="str">
        <f>_xlfn.XLOOKUP(A654,Class_Players!$A:$A,Class_Players!$B:$B,"")</f>
        <v>Recon</v>
      </c>
      <c r="C654" s="38" t="str" cm="1">
        <f t="array" ref="C654">INDEX(Lookups!$C$2:$C$9,MOD(ROW()-ROW($B$2),ROWS(Lookups!$C$2:$C$9))+1)</f>
        <v>Sniper Decoy</v>
      </c>
      <c r="D654" s="38" t="str">
        <f>_xlfn.XLOOKUP(C654,Analysis_Gadgets!$C:$C,Analysis_Gadgets!$B:$B)</f>
        <v>Gadget</v>
      </c>
      <c r="E654" s="43">
        <v>47</v>
      </c>
      <c r="F654" s="43">
        <f>_xlfn.XLOOKUP(A654,Class_Players!A:A,Class_Players!G:G)</f>
        <v>71</v>
      </c>
      <c r="G654" s="43">
        <f t="shared" si="184"/>
        <v>0.6619718309859155</v>
      </c>
      <c r="H654" s="43">
        <f>_xlfn.XLOOKUP(A654,Class_Players!$A:$A,Class_Players!$F:$F,"")</f>
        <v>5382</v>
      </c>
      <c r="I654" s="44">
        <f t="shared" si="185"/>
        <v>8.7328130806391679E-3</v>
      </c>
      <c r="J654" s="43">
        <f t="shared" si="186"/>
        <v>0</v>
      </c>
      <c r="K654" s="44" cm="1">
        <f t="array" ref="K654">IF(D654="Gadget",_xlfn.IFS(I654&gt;=0.2,0.5,I654&gt;=0.1,0.35,I654&gt;=0.05,0.2,TRUE,0),IF(D654="Grenade",_xlfn.IFS(I654&gt;=0.2,1,I654&gt;=0.1,0.7,I654&gt;=0.05,0.4,TRUE,0),0))</f>
        <v>0</v>
      </c>
      <c r="L654" s="57">
        <f t="shared" si="199"/>
        <v>0</v>
      </c>
    </row>
    <row r="655" spans="1:12" ht="15" customHeight="1" x14ac:dyDescent="0.25">
      <c r="A655" s="42" t="str" cm="1">
        <f t="array" ref="A655">IFERROR(INDEX(_xlfn._xlws.FILTER(Class_Players!A:A,Class_Players!B:B="Recon"),QUOTIENT(ROW()-ROW($A$2),8)+1),"")</f>
        <v>ZokaloneLGRX</v>
      </c>
      <c r="B655" s="42" t="str">
        <f>_xlfn.XLOOKUP(A655,Class_Players!$A:$A,Class_Players!$B:$B,"")</f>
        <v>Recon</v>
      </c>
      <c r="C655" s="38" t="str" cm="1">
        <f t="array" ref="C655">INDEX(Lookups!$C$2:$C$9,MOD(ROW()-ROW($B$2),ROWS(Lookups!$C$2:$C$9))+1)</f>
        <v>C-4 Explosives</v>
      </c>
      <c r="D655" s="38" t="str">
        <f>_xlfn.XLOOKUP(C655,Analysis_Gadgets!$C:$C,Analysis_Gadgets!$B:$B)</f>
        <v>Gadget</v>
      </c>
      <c r="E655" s="43">
        <v>2442</v>
      </c>
      <c r="F655" s="43">
        <f>_xlfn.XLOOKUP(A655,Class_Players!A:A,Class_Players!G:G)</f>
        <v>71</v>
      </c>
      <c r="G655" s="43">
        <f t="shared" si="184"/>
        <v>34.394366197183096</v>
      </c>
      <c r="H655" s="43">
        <f>_xlfn.XLOOKUP(A655,Class_Players!$A:$A,Class_Players!$F:$F,"")</f>
        <v>5382</v>
      </c>
      <c r="I655" s="44">
        <f t="shared" si="185"/>
        <v>0.45373467112597549</v>
      </c>
      <c r="J655" s="43">
        <f t="shared" si="186"/>
        <v>1</v>
      </c>
      <c r="K655" s="44" cm="1">
        <f t="array" ref="K655">IF(D655="Gadget",_xlfn.IFS(I655&gt;=0.2,0.5,I655&gt;=0.1,0.35,I655&gt;=0.05,0.2,TRUE,0),IF(D655="Grenade",_xlfn.IFS(I655&gt;=0.2,1,I655&gt;=0.1,0.7,I655&gt;=0.05,0.4,TRUE,0),0))</f>
        <v>0.5</v>
      </c>
      <c r="L655" s="57">
        <f t="shared" si="199"/>
        <v>0.58823529411764708</v>
      </c>
    </row>
    <row r="656" spans="1:12" ht="15" customHeight="1" x14ac:dyDescent="0.25">
      <c r="A656" s="42" t="str" cm="1">
        <f t="array" ref="A656">IFERROR(INDEX(_xlfn._xlws.FILTER(Class_Players!A:A,Class_Players!B:B="Recon"),QUOTIENT(ROW()-ROW($A$2),8)+1),"")</f>
        <v>ZokaloneLGRX</v>
      </c>
      <c r="B656" s="42" t="str">
        <f>_xlfn.XLOOKUP(A656,Class_Players!$A:$A,Class_Players!$B:$B,"")</f>
        <v>Recon</v>
      </c>
      <c r="C656" s="38" t="str" cm="1">
        <f t="array" ref="C656">INDEX(Lookups!$C$2:$C$9,MOD(ROW()-ROW($B$2),ROWS(Lookups!$C$2:$C$9))+1)</f>
        <v>Proximity Detector</v>
      </c>
      <c r="D656" s="38" t="str">
        <f>_xlfn.XLOOKUP(C656,Analysis_Gadgets!$C:$C,Analysis_Gadgets!$B:$B)</f>
        <v>Grenade</v>
      </c>
      <c r="E656" s="43">
        <v>316</v>
      </c>
      <c r="F656" s="43">
        <f>_xlfn.XLOOKUP(A656,Class_Players!A:A,Class_Players!G:G)</f>
        <v>71</v>
      </c>
      <c r="G656" s="43">
        <f t="shared" si="184"/>
        <v>4.450704225352113</v>
      </c>
      <c r="H656" s="43">
        <f>_xlfn.XLOOKUP(A656,Class_Players!$A:$A,Class_Players!$F:$F,"")</f>
        <v>5382</v>
      </c>
      <c r="I656" s="44">
        <f t="shared" si="185"/>
        <v>5.8714232627276104E-2</v>
      </c>
      <c r="J656" s="43">
        <f t="shared" si="186"/>
        <v>0</v>
      </c>
      <c r="K656" s="44" cm="1">
        <f t="array" ref="K656">IF(D656="Gadget",_xlfn.IFS(I656&gt;=0.2,0.5,I656&gt;=0.1,0.35,I656&gt;=0.05,0.2,TRUE,0),IF(D656="Grenade",_xlfn.IFS(I656&gt;=0.2,1,I656&gt;=0.1,0.7,I656&gt;=0.05,0.4,TRUE,0),0))</f>
        <v>0.4</v>
      </c>
      <c r="L656" s="57">
        <f t="shared" ref="L656:L657" si="200">IF($K656=0,0,$K656 / SUMIFS($K:$K,$A:$A,$A656,$D:$D,"Grenade"))</f>
        <v>1</v>
      </c>
    </row>
    <row r="657" spans="1:12" ht="15" customHeight="1" x14ac:dyDescent="0.25">
      <c r="A657" s="42" t="str" cm="1">
        <f t="array" ref="A657">IFERROR(INDEX(_xlfn._xlws.FILTER(Class_Players!A:A,Class_Players!B:B="Recon"),QUOTIENT(ROW()-ROW($A$2),8)+1),"")</f>
        <v>ZokaloneLGRX</v>
      </c>
      <c r="B657" s="42" t="str">
        <f>_xlfn.XLOOKUP(A657,Class_Players!$A:$A,Class_Players!$B:$B,"")</f>
        <v>Recon</v>
      </c>
      <c r="C657" s="38" t="str" cm="1">
        <f t="array" ref="C657">INDEX(Lookups!$C$2:$C$9,MOD(ROW()-ROW($B$2),ROWS(Lookups!$C$2:$C$9))+1)</f>
        <v>Throwing Knife</v>
      </c>
      <c r="D657" s="38" t="str">
        <f>_xlfn.XLOOKUP(C657,Analysis_Gadgets!$C:$C,Analysis_Gadgets!$B:$B)</f>
        <v>Grenade</v>
      </c>
      <c r="E657" s="43">
        <v>10</v>
      </c>
      <c r="F657" s="43">
        <f>_xlfn.XLOOKUP(A657,Class_Players!A:A,Class_Players!G:G)</f>
        <v>71</v>
      </c>
      <c r="G657" s="43">
        <f t="shared" si="184"/>
        <v>0.14084507042253522</v>
      </c>
      <c r="H657" s="43">
        <f>_xlfn.XLOOKUP(A657,Class_Players!$A:$A,Class_Players!$F:$F,"")</f>
        <v>5382</v>
      </c>
      <c r="I657" s="44">
        <f t="shared" si="185"/>
        <v>1.8580453363062058E-3</v>
      </c>
      <c r="J657" s="43">
        <f t="shared" si="186"/>
        <v>0</v>
      </c>
      <c r="K657" s="44" cm="1">
        <f t="array" ref="K657">IF(D657="Gadget",_xlfn.IFS(I657&gt;=0.2,0.5,I657&gt;=0.1,0.35,I657&gt;=0.05,0.2,TRUE,0),IF(D657="Grenade",_xlfn.IFS(I657&gt;=0.2,1,I657&gt;=0.1,0.7,I657&gt;=0.05,0.4,TRUE,0),0))</f>
        <v>0</v>
      </c>
      <c r="L657" s="57">
        <f t="shared" si="200"/>
        <v>0</v>
      </c>
    </row>
    <row r="658" spans="1:12" ht="15" customHeight="1" x14ac:dyDescent="0.25">
      <c r="A658" s="42" t="str" cm="1">
        <f t="array" ref="A658">IFERROR(INDEX(_xlfn._xlws.FILTER(Class_Players!A:A,Class_Players!B:B="Recon"),QUOTIENT(ROW()-ROW($A$2),8)+1),"")</f>
        <v>BigYum</v>
      </c>
      <c r="B658" s="42" t="str">
        <f>_xlfn.XLOOKUP(A658,Class_Players!$A:$A,Class_Players!$B:$B,"")</f>
        <v>Recon</v>
      </c>
      <c r="C658" s="38" t="str" cm="1">
        <f t="array" ref="C658">INDEX(Lookups!$C$2:$C$9,MOD(ROW()-ROW($B$2),ROWS(Lookups!$C$2:$C$9))+1)</f>
        <v>Laser Designator</v>
      </c>
      <c r="D658" s="38" t="str">
        <f>_xlfn.XLOOKUP(C658,Analysis_Gadgets!$C:$C,Analysis_Gadgets!$B:$B)</f>
        <v>Gadget</v>
      </c>
      <c r="E658" s="43">
        <v>224</v>
      </c>
      <c r="F658" s="43">
        <f>_xlfn.XLOOKUP(A658,Class_Players!A:A,Class_Players!G:G)</f>
        <v>113</v>
      </c>
      <c r="G658" s="43">
        <f t="shared" ref="G658:G665" si="201">IF(F658=0,"",E658/(F658))</f>
        <v>1.9823008849557522</v>
      </c>
      <c r="H658" s="43">
        <f>_xlfn.XLOOKUP(A658,Class_Players!$A:$A,Class_Players!$F:$F,"")</f>
        <v>5270</v>
      </c>
      <c r="I658" s="44">
        <f t="shared" ref="I658:I665" si="202">IF(H658=0,"",E658/H658)</f>
        <v>4.2504743833017077E-2</v>
      </c>
      <c r="J658" s="43">
        <f t="shared" ref="J658:J665" si="203">IF(I658&gt;=0.1,1,0)</f>
        <v>0</v>
      </c>
      <c r="K658" s="44" cm="1">
        <f t="array" ref="K658">IF(D658="Gadget",_xlfn.IFS(I658&gt;=0.2,0.5,I658&gt;=0.1,0.35,I658&gt;=0.05,0.2,TRUE,0),IF(D658="Grenade",_xlfn.IFS(I658&gt;=0.2,1,I658&gt;=0.1,0.7,I658&gt;=0.05,0.4,TRUE,0),0))</f>
        <v>0</v>
      </c>
      <c r="L658" s="57">
        <f t="shared" si="199"/>
        <v>0</v>
      </c>
    </row>
    <row r="659" spans="1:12" ht="15" customHeight="1" x14ac:dyDescent="0.25">
      <c r="A659" s="42" t="str" cm="1">
        <f t="array" ref="A659">IFERROR(INDEX(_xlfn._xlws.FILTER(Class_Players!A:A,Class_Players!B:B="Recon"),QUOTIENT(ROW()-ROW($A$2),8)+1),"")</f>
        <v>BigYum</v>
      </c>
      <c r="B659" s="42" t="str">
        <f>_xlfn.XLOOKUP(A659,Class_Players!$A:$A,Class_Players!$B:$B,"")</f>
        <v>Recon</v>
      </c>
      <c r="C659" s="38" t="str" cm="1">
        <f t="array" ref="C659">INDEX(Lookups!$C$2:$C$9,MOD(ROW()-ROW($B$2),ROWS(Lookups!$C$2:$C$9))+1)</f>
        <v>Recon Drone</v>
      </c>
      <c r="D659" s="38" t="str">
        <f>_xlfn.XLOOKUP(C659,Analysis_Gadgets!$C:$C,Analysis_Gadgets!$B:$B)</f>
        <v>Gadget</v>
      </c>
      <c r="E659" s="43">
        <v>1550</v>
      </c>
      <c r="F659" s="43">
        <f>_xlfn.XLOOKUP(A659,Class_Players!A:A,Class_Players!G:G)</f>
        <v>113</v>
      </c>
      <c r="G659" s="43">
        <f t="shared" si="201"/>
        <v>13.716814159292035</v>
      </c>
      <c r="H659" s="43">
        <f>_xlfn.XLOOKUP(A659,Class_Players!$A:$A,Class_Players!$F:$F,"")</f>
        <v>5270</v>
      </c>
      <c r="I659" s="44">
        <f t="shared" si="202"/>
        <v>0.29411764705882354</v>
      </c>
      <c r="J659" s="43">
        <f t="shared" si="203"/>
        <v>1</v>
      </c>
      <c r="K659" s="44" cm="1">
        <f t="array" ref="K659">IF(D659="Gadget",_xlfn.IFS(I659&gt;=0.2,0.5,I659&gt;=0.1,0.35,I659&gt;=0.05,0.2,TRUE,0),IF(D659="Grenade",_xlfn.IFS(I659&gt;=0.2,1,I659&gt;=0.1,0.7,I659&gt;=0.05,0.4,TRUE,0),0))</f>
        <v>0.5</v>
      </c>
      <c r="L659" s="57">
        <f t="shared" si="199"/>
        <v>0.58823529411764708</v>
      </c>
    </row>
    <row r="660" spans="1:12" ht="15" customHeight="1" x14ac:dyDescent="0.25">
      <c r="A660" s="42" t="str" cm="1">
        <f t="array" ref="A660">IFERROR(INDEX(_xlfn._xlws.FILTER(Class_Players!A:A,Class_Players!B:B="Recon"),QUOTIENT(ROW()-ROW($A$2),8)+1),"")</f>
        <v>BigYum</v>
      </c>
      <c r="B660" s="42" t="str">
        <f>_xlfn.XLOOKUP(A660,Class_Players!$A:$A,Class_Players!$B:$B,"")</f>
        <v>Recon</v>
      </c>
      <c r="C660" s="38" t="str" cm="1">
        <f t="array" ref="C660">INDEX(Lookups!$C$2:$C$9,MOD(ROW()-ROW($B$2),ROWS(Lookups!$C$2:$C$9))+1)</f>
        <v>Tracer Dart</v>
      </c>
      <c r="D660" s="38" t="str">
        <f>_xlfn.XLOOKUP(C660,Analysis_Gadgets!$C:$C,Analysis_Gadgets!$B:$B)</f>
        <v>Gadget</v>
      </c>
      <c r="E660" s="43">
        <v>0</v>
      </c>
      <c r="F660" s="43">
        <f>_xlfn.XLOOKUP(A660,Class_Players!A:A,Class_Players!G:G)</f>
        <v>113</v>
      </c>
      <c r="G660" s="43">
        <f t="shared" si="201"/>
        <v>0</v>
      </c>
      <c r="H660" s="43">
        <f>_xlfn.XLOOKUP(A660,Class_Players!$A:$A,Class_Players!$F:$F,"")</f>
        <v>5270</v>
      </c>
      <c r="I660" s="44">
        <f t="shared" si="202"/>
        <v>0</v>
      </c>
      <c r="J660" s="43">
        <f t="shared" si="203"/>
        <v>0</v>
      </c>
      <c r="K660" s="44" cm="1">
        <f t="array" ref="K660">IF(D660="Gadget",_xlfn.IFS(I660&gt;=0.2,0.5,I660&gt;=0.1,0.35,I660&gt;=0.05,0.2,TRUE,0),IF(D660="Grenade",_xlfn.IFS(I660&gt;=0.2,1,I660&gt;=0.1,0.7,I660&gt;=0.05,0.4,TRUE,0),0))</f>
        <v>0</v>
      </c>
      <c r="L660" s="57">
        <f t="shared" si="199"/>
        <v>0</v>
      </c>
    </row>
    <row r="661" spans="1:12" ht="15" customHeight="1" x14ac:dyDescent="0.25">
      <c r="A661" s="42" t="str" cm="1">
        <f t="array" ref="A661">IFERROR(INDEX(_xlfn._xlws.FILTER(Class_Players!A:A,Class_Players!B:B="Recon"),QUOTIENT(ROW()-ROW($A$2),8)+1),"")</f>
        <v>BigYum</v>
      </c>
      <c r="B661" s="42" t="str">
        <f>_xlfn.XLOOKUP(A661,Class_Players!$A:$A,Class_Players!$B:$B,"")</f>
        <v>Recon</v>
      </c>
      <c r="C661" s="38" t="str" cm="1">
        <f t="array" ref="C661">INDEX(Lookups!$C$2:$C$9,MOD(ROW()-ROW($B$2),ROWS(Lookups!$C$2:$C$9))+1)</f>
        <v>M18A1 (Claymore)</v>
      </c>
      <c r="D661" s="38" t="str">
        <f>_xlfn.XLOOKUP(C661,Analysis_Gadgets!$C:$C,Analysis_Gadgets!$B:$B)</f>
        <v>Gadget</v>
      </c>
      <c r="E661" s="43">
        <v>812</v>
      </c>
      <c r="F661" s="43">
        <f>_xlfn.XLOOKUP(A661,Class_Players!A:A,Class_Players!G:G)</f>
        <v>113</v>
      </c>
      <c r="G661" s="43">
        <f t="shared" si="201"/>
        <v>7.1858407079646014</v>
      </c>
      <c r="H661" s="43">
        <f>_xlfn.XLOOKUP(A661,Class_Players!$A:$A,Class_Players!$F:$F,"")</f>
        <v>5270</v>
      </c>
      <c r="I661" s="44">
        <f t="shared" si="202"/>
        <v>0.15407969639468691</v>
      </c>
      <c r="J661" s="43">
        <f t="shared" si="203"/>
        <v>1</v>
      </c>
      <c r="K661" s="44" cm="1">
        <f t="array" ref="K661">IF(D661="Gadget",_xlfn.IFS(I661&gt;=0.2,0.5,I661&gt;=0.1,0.35,I661&gt;=0.05,0.2,TRUE,0),IF(D661="Grenade",_xlfn.IFS(I661&gt;=0.2,1,I661&gt;=0.1,0.7,I661&gt;=0.05,0.4,TRUE,0),0))</f>
        <v>0.35</v>
      </c>
      <c r="L661" s="57">
        <f t="shared" si="199"/>
        <v>0.41176470588235292</v>
      </c>
    </row>
    <row r="662" spans="1:12" ht="15" customHeight="1" x14ac:dyDescent="0.25">
      <c r="A662" s="42" t="str" cm="1">
        <f t="array" ref="A662">IFERROR(INDEX(_xlfn._xlws.FILTER(Class_Players!A:A,Class_Players!B:B="Recon"),QUOTIENT(ROW()-ROW($A$2),8)+1),"")</f>
        <v>BigYum</v>
      </c>
      <c r="B662" s="42" t="str">
        <f>_xlfn.XLOOKUP(A662,Class_Players!$A:$A,Class_Players!$B:$B,"")</f>
        <v>Recon</v>
      </c>
      <c r="C662" s="38" t="str" cm="1">
        <f t="array" ref="C662">INDEX(Lookups!$C$2:$C$9,MOD(ROW()-ROW($B$2),ROWS(Lookups!$C$2:$C$9))+1)</f>
        <v>Sniper Decoy</v>
      </c>
      <c r="D662" s="38" t="str">
        <f>_xlfn.XLOOKUP(C662,Analysis_Gadgets!$C:$C,Analysis_Gadgets!$B:$B)</f>
        <v>Gadget</v>
      </c>
      <c r="E662" s="43">
        <v>0</v>
      </c>
      <c r="F662" s="43">
        <f>_xlfn.XLOOKUP(A662,Class_Players!A:A,Class_Players!G:G)</f>
        <v>113</v>
      </c>
      <c r="G662" s="43">
        <f t="shared" si="201"/>
        <v>0</v>
      </c>
      <c r="H662" s="43">
        <f>_xlfn.XLOOKUP(A662,Class_Players!$A:$A,Class_Players!$F:$F,"")</f>
        <v>5270</v>
      </c>
      <c r="I662" s="44">
        <f t="shared" si="202"/>
        <v>0</v>
      </c>
      <c r="J662" s="43">
        <f t="shared" si="203"/>
        <v>0</v>
      </c>
      <c r="K662" s="44" cm="1">
        <f t="array" ref="K662">IF(D662="Gadget",_xlfn.IFS(I662&gt;=0.2,0.5,I662&gt;=0.1,0.35,I662&gt;=0.05,0.2,TRUE,0),IF(D662="Grenade",_xlfn.IFS(I662&gt;=0.2,1,I662&gt;=0.1,0.7,I662&gt;=0.05,0.4,TRUE,0),0))</f>
        <v>0</v>
      </c>
      <c r="L662" s="57">
        <f t="shared" si="199"/>
        <v>0</v>
      </c>
    </row>
    <row r="663" spans="1:12" ht="15" customHeight="1" x14ac:dyDescent="0.25">
      <c r="A663" s="42" t="str" cm="1">
        <f t="array" ref="A663">IFERROR(INDEX(_xlfn._xlws.FILTER(Class_Players!A:A,Class_Players!B:B="Recon"),QUOTIENT(ROW()-ROW($A$2),8)+1),"")</f>
        <v>BigYum</v>
      </c>
      <c r="B663" s="42" t="str">
        <f>_xlfn.XLOOKUP(A663,Class_Players!$A:$A,Class_Players!$B:$B,"")</f>
        <v>Recon</v>
      </c>
      <c r="C663" s="38" t="str" cm="1">
        <f t="array" ref="C663">INDEX(Lookups!$C$2:$C$9,MOD(ROW()-ROW($B$2),ROWS(Lookups!$C$2:$C$9))+1)</f>
        <v>C-4 Explosives</v>
      </c>
      <c r="D663" s="38" t="str">
        <f>_xlfn.XLOOKUP(C663,Analysis_Gadgets!$C:$C,Analysis_Gadgets!$B:$B)</f>
        <v>Gadget</v>
      </c>
      <c r="E663" s="43">
        <v>23</v>
      </c>
      <c r="F663" s="43">
        <f>_xlfn.XLOOKUP(A663,Class_Players!A:A,Class_Players!G:G)</f>
        <v>113</v>
      </c>
      <c r="G663" s="43">
        <f t="shared" si="201"/>
        <v>0.20353982300884957</v>
      </c>
      <c r="H663" s="43">
        <f>_xlfn.XLOOKUP(A663,Class_Players!$A:$A,Class_Players!$F:$F,"")</f>
        <v>5270</v>
      </c>
      <c r="I663" s="44">
        <f t="shared" si="202"/>
        <v>4.3643263757115747E-3</v>
      </c>
      <c r="J663" s="43">
        <f t="shared" si="203"/>
        <v>0</v>
      </c>
      <c r="K663" s="44" cm="1">
        <f t="array" ref="K663">IF(D663="Gadget",_xlfn.IFS(I663&gt;=0.2,0.5,I663&gt;=0.1,0.35,I663&gt;=0.05,0.2,TRUE,0),IF(D663="Grenade",_xlfn.IFS(I663&gt;=0.2,1,I663&gt;=0.1,0.7,I663&gt;=0.05,0.4,TRUE,0),0))</f>
        <v>0</v>
      </c>
      <c r="L663" s="57">
        <f t="shared" si="199"/>
        <v>0</v>
      </c>
    </row>
    <row r="664" spans="1:12" ht="15" customHeight="1" x14ac:dyDescent="0.25">
      <c r="A664" s="42" t="str" cm="1">
        <f t="array" ref="A664">IFERROR(INDEX(_xlfn._xlws.FILTER(Class_Players!A:A,Class_Players!B:B="Recon"),QUOTIENT(ROW()-ROW($A$2),8)+1),"")</f>
        <v>BigYum</v>
      </c>
      <c r="B664" s="42" t="str">
        <f>_xlfn.XLOOKUP(A664,Class_Players!$A:$A,Class_Players!$B:$B,"")</f>
        <v>Recon</v>
      </c>
      <c r="C664" s="38" t="str" cm="1">
        <f t="array" ref="C664">INDEX(Lookups!$C$2:$C$9,MOD(ROW()-ROW($B$2),ROWS(Lookups!$C$2:$C$9))+1)</f>
        <v>Proximity Detector</v>
      </c>
      <c r="D664" s="38" t="str">
        <f>_xlfn.XLOOKUP(C664,Analysis_Gadgets!$C:$C,Analysis_Gadgets!$B:$B)</f>
        <v>Grenade</v>
      </c>
      <c r="E664" s="43">
        <v>138</v>
      </c>
      <c r="F664" s="43">
        <f>_xlfn.XLOOKUP(A664,Class_Players!A:A,Class_Players!G:G)</f>
        <v>113</v>
      </c>
      <c r="G664" s="43">
        <f t="shared" si="201"/>
        <v>1.2212389380530972</v>
      </c>
      <c r="H664" s="43">
        <f>_xlfn.XLOOKUP(A664,Class_Players!$A:$A,Class_Players!$F:$F,"")</f>
        <v>5270</v>
      </c>
      <c r="I664" s="44">
        <f t="shared" si="202"/>
        <v>2.6185958254269448E-2</v>
      </c>
      <c r="J664" s="43">
        <f t="shared" si="203"/>
        <v>0</v>
      </c>
      <c r="K664" s="44" cm="1">
        <f t="array" ref="K664">IF(D664="Gadget",_xlfn.IFS(I664&gt;=0.2,0.5,I664&gt;=0.1,0.35,I664&gt;=0.05,0.2,TRUE,0),IF(D664="Grenade",_xlfn.IFS(I664&gt;=0.2,1,I664&gt;=0.1,0.7,I664&gt;=0.05,0.4,TRUE,0),0))</f>
        <v>0</v>
      </c>
      <c r="L664" s="57">
        <f t="shared" ref="L664:L665" si="204">IF($K664=0,0,$K664 / SUMIFS($K:$K,$A:$A,$A664,$D:$D,"Grenade"))</f>
        <v>0</v>
      </c>
    </row>
    <row r="665" spans="1:12" ht="15" customHeight="1" x14ac:dyDescent="0.25">
      <c r="A665" s="42" t="str" cm="1">
        <f t="array" ref="A665">IFERROR(INDEX(_xlfn._xlws.FILTER(Class_Players!A:A,Class_Players!B:B="Recon"),QUOTIENT(ROW()-ROW($A$2),8)+1),"")</f>
        <v>BigYum</v>
      </c>
      <c r="B665" s="42" t="str">
        <f>_xlfn.XLOOKUP(A665,Class_Players!$A:$A,Class_Players!$B:$B,"")</f>
        <v>Recon</v>
      </c>
      <c r="C665" s="38" t="str" cm="1">
        <f t="array" ref="C665">INDEX(Lookups!$C$2:$C$9,MOD(ROW()-ROW($B$2),ROWS(Lookups!$C$2:$C$9))+1)</f>
        <v>Throwing Knife</v>
      </c>
      <c r="D665" s="38" t="str">
        <f>_xlfn.XLOOKUP(C665,Analysis_Gadgets!$C:$C,Analysis_Gadgets!$B:$B)</f>
        <v>Grenade</v>
      </c>
      <c r="E665" s="43">
        <v>3</v>
      </c>
      <c r="F665" s="43">
        <f>_xlfn.XLOOKUP(A665,Class_Players!A:A,Class_Players!G:G)</f>
        <v>113</v>
      </c>
      <c r="G665" s="43">
        <f t="shared" si="201"/>
        <v>2.6548672566371681E-2</v>
      </c>
      <c r="H665" s="43">
        <f>_xlfn.XLOOKUP(A665,Class_Players!$A:$A,Class_Players!$F:$F,"")</f>
        <v>5270</v>
      </c>
      <c r="I665" s="44">
        <f t="shared" si="202"/>
        <v>5.6925996204933583E-4</v>
      </c>
      <c r="J665" s="43">
        <f t="shared" si="203"/>
        <v>0</v>
      </c>
      <c r="K665" s="44" cm="1">
        <f t="array" ref="K665">IF(D665="Gadget",_xlfn.IFS(I665&gt;=0.2,0.5,I665&gt;=0.1,0.35,I665&gt;=0.05,0.2,TRUE,0),IF(D665="Grenade",_xlfn.IFS(I665&gt;=0.2,1,I665&gt;=0.1,0.7,I665&gt;=0.05,0.4,TRUE,0),0))</f>
        <v>0</v>
      </c>
      <c r="L665" s="57">
        <f t="shared" si="204"/>
        <v>0</v>
      </c>
    </row>
    <row r="666" spans="1:12" ht="15" customHeight="1" x14ac:dyDescent="0.25">
      <c r="A666" s="42" t="str" cm="1">
        <f t="array" ref="A666">IFERROR(INDEX(_xlfn._xlws.FILTER(Class_Players!A:A,Class_Players!B:B="Recon"),QUOTIENT(ROW()-ROW($A$2),8)+1),"")</f>
        <v>El-Cuco1</v>
      </c>
      <c r="B666" s="42" t="str">
        <f>_xlfn.XLOOKUP(A666,Class_Players!$A:$A,Class_Players!$B:$B,"")</f>
        <v>Recon</v>
      </c>
      <c r="C666" s="38" t="str" cm="1">
        <f t="array" ref="C666">INDEX(Lookups!$C$2:$C$9,MOD(ROW()-ROW($B$2),ROWS(Lookups!$C$2:$C$9))+1)</f>
        <v>Laser Designator</v>
      </c>
      <c r="D666" s="38" t="str">
        <f>_xlfn.XLOOKUP(C666,Analysis_Gadgets!$C:$C,Analysis_Gadgets!$B:$B)</f>
        <v>Gadget</v>
      </c>
      <c r="E666" s="43">
        <v>204</v>
      </c>
      <c r="F666" s="43">
        <f>_xlfn.XLOOKUP(A666,Class_Players!A:A,Class_Players!G:G)</f>
        <v>94</v>
      </c>
      <c r="G666" s="43">
        <f t="shared" ref="G666:G729" si="205">IF(F666=0,"",E666/(F666))</f>
        <v>2.1702127659574466</v>
      </c>
      <c r="H666" s="43">
        <f>_xlfn.XLOOKUP(A666,Class_Players!$A:$A,Class_Players!$F:$F,"")</f>
        <v>5290</v>
      </c>
      <c r="I666" s="44">
        <f t="shared" ref="I666:I729" si="206">IF(H666=0,"",E666/H666)</f>
        <v>3.8563327032136108E-2</v>
      </c>
      <c r="J666" s="43">
        <f t="shared" ref="J666:J729" si="207">IF(I666&gt;=0.1,1,0)</f>
        <v>0</v>
      </c>
      <c r="K666" s="44" cm="1">
        <f t="array" ref="K666">IF(D666="Gadget",_xlfn.IFS(I666&gt;=0.2,0.5,I666&gt;=0.1,0.35,I666&gt;=0.05,0.2,TRUE,0),IF(D666="Grenade",_xlfn.IFS(I666&gt;=0.2,1,I666&gt;=0.1,0.7,I666&gt;=0.05,0.4,TRUE,0),0))</f>
        <v>0</v>
      </c>
      <c r="L666" s="57">
        <f t="shared" ref="L666:L671" si="208">IF($K666=0,0,$K666 / SUMIFS($K:$K,$A:$A,$A666,$D:$D,"Gadget"))</f>
        <v>0</v>
      </c>
    </row>
    <row r="667" spans="1:12" ht="15" customHeight="1" x14ac:dyDescent="0.25">
      <c r="A667" s="42" t="str" cm="1">
        <f t="array" ref="A667">IFERROR(INDEX(_xlfn._xlws.FILTER(Class_Players!A:A,Class_Players!B:B="Recon"),QUOTIENT(ROW()-ROW($A$2),8)+1),"")</f>
        <v>El-Cuco1</v>
      </c>
      <c r="B667" s="42" t="str">
        <f>_xlfn.XLOOKUP(A667,Class_Players!$A:$A,Class_Players!$B:$B,"")</f>
        <v>Recon</v>
      </c>
      <c r="C667" s="38" t="str" cm="1">
        <f t="array" ref="C667">INDEX(Lookups!$C$2:$C$9,MOD(ROW()-ROW($B$2),ROWS(Lookups!$C$2:$C$9))+1)</f>
        <v>Recon Drone</v>
      </c>
      <c r="D667" s="38" t="str">
        <f>_xlfn.XLOOKUP(C667,Analysis_Gadgets!$C:$C,Analysis_Gadgets!$B:$B)</f>
        <v>Gadget</v>
      </c>
      <c r="E667" s="43">
        <v>567</v>
      </c>
      <c r="F667" s="43">
        <f>_xlfn.XLOOKUP(A667,Class_Players!A:A,Class_Players!G:G)</f>
        <v>94</v>
      </c>
      <c r="G667" s="43">
        <f t="shared" si="205"/>
        <v>6.0319148936170217</v>
      </c>
      <c r="H667" s="43">
        <f>_xlfn.XLOOKUP(A667,Class_Players!$A:$A,Class_Players!$F:$F,"")</f>
        <v>5290</v>
      </c>
      <c r="I667" s="44">
        <f t="shared" si="206"/>
        <v>0.10718336483931946</v>
      </c>
      <c r="J667" s="43">
        <f t="shared" si="207"/>
        <v>1</v>
      </c>
      <c r="K667" s="44" cm="1">
        <f t="array" ref="K667">IF(D667="Gadget",_xlfn.IFS(I667&gt;=0.2,0.5,I667&gt;=0.1,0.35,I667&gt;=0.05,0.2,TRUE,0),IF(D667="Grenade",_xlfn.IFS(I667&gt;=0.2,1,I667&gt;=0.1,0.7,I667&gt;=0.05,0.4,TRUE,0),0))</f>
        <v>0.35</v>
      </c>
      <c r="L667" s="57">
        <f t="shared" si="208"/>
        <v>0.25925925925925924</v>
      </c>
    </row>
    <row r="668" spans="1:12" ht="15" customHeight="1" x14ac:dyDescent="0.25">
      <c r="A668" s="42" t="str" cm="1">
        <f t="array" ref="A668">IFERROR(INDEX(_xlfn._xlws.FILTER(Class_Players!A:A,Class_Players!B:B="Recon"),QUOTIENT(ROW()-ROW($A$2),8)+1),"")</f>
        <v>El-Cuco1</v>
      </c>
      <c r="B668" s="42" t="str">
        <f>_xlfn.XLOOKUP(A668,Class_Players!$A:$A,Class_Players!$B:$B,"")</f>
        <v>Recon</v>
      </c>
      <c r="C668" s="38" t="str" cm="1">
        <f t="array" ref="C668">INDEX(Lookups!$C$2:$C$9,MOD(ROW()-ROW($B$2),ROWS(Lookups!$C$2:$C$9))+1)</f>
        <v>Tracer Dart</v>
      </c>
      <c r="D668" s="38" t="str">
        <f>_xlfn.XLOOKUP(C668,Analysis_Gadgets!$C:$C,Analysis_Gadgets!$B:$B)</f>
        <v>Gadget</v>
      </c>
      <c r="E668" s="43">
        <v>46</v>
      </c>
      <c r="F668" s="43">
        <f>_xlfn.XLOOKUP(A668,Class_Players!A:A,Class_Players!G:G)</f>
        <v>94</v>
      </c>
      <c r="G668" s="43">
        <f t="shared" si="205"/>
        <v>0.48936170212765956</v>
      </c>
      <c r="H668" s="43">
        <f>_xlfn.XLOOKUP(A668,Class_Players!$A:$A,Class_Players!$F:$F,"")</f>
        <v>5290</v>
      </c>
      <c r="I668" s="44">
        <f t="shared" si="206"/>
        <v>8.6956521739130436E-3</v>
      </c>
      <c r="J668" s="43">
        <f t="shared" si="207"/>
        <v>0</v>
      </c>
      <c r="K668" s="44" cm="1">
        <f t="array" ref="K668">IF(D668="Gadget",_xlfn.IFS(I668&gt;=0.2,0.5,I668&gt;=0.1,0.35,I668&gt;=0.05,0.2,TRUE,0),IF(D668="Grenade",_xlfn.IFS(I668&gt;=0.2,1,I668&gt;=0.1,0.7,I668&gt;=0.05,0.4,TRUE,0),0))</f>
        <v>0</v>
      </c>
      <c r="L668" s="57">
        <f t="shared" si="208"/>
        <v>0</v>
      </c>
    </row>
    <row r="669" spans="1:12" ht="15" customHeight="1" x14ac:dyDescent="0.25">
      <c r="A669" s="42" t="str" cm="1">
        <f t="array" ref="A669">IFERROR(INDEX(_xlfn._xlws.FILTER(Class_Players!A:A,Class_Players!B:B="Recon"),QUOTIENT(ROW()-ROW($A$2),8)+1),"")</f>
        <v>El-Cuco1</v>
      </c>
      <c r="B669" s="42" t="str">
        <f>_xlfn.XLOOKUP(A669,Class_Players!$A:$A,Class_Players!$B:$B,"")</f>
        <v>Recon</v>
      </c>
      <c r="C669" s="38" t="str" cm="1">
        <f t="array" ref="C669">INDEX(Lookups!$C$2:$C$9,MOD(ROW()-ROW($B$2),ROWS(Lookups!$C$2:$C$9))+1)</f>
        <v>M18A1 (Claymore)</v>
      </c>
      <c r="D669" s="38" t="str">
        <f>_xlfn.XLOOKUP(C669,Analysis_Gadgets!$C:$C,Analysis_Gadgets!$B:$B)</f>
        <v>Gadget</v>
      </c>
      <c r="E669" s="43">
        <v>2290</v>
      </c>
      <c r="F669" s="43">
        <f>_xlfn.XLOOKUP(A669,Class_Players!A:A,Class_Players!G:G)</f>
        <v>94</v>
      </c>
      <c r="G669" s="43">
        <f t="shared" si="205"/>
        <v>24.361702127659573</v>
      </c>
      <c r="H669" s="43">
        <f>_xlfn.XLOOKUP(A669,Class_Players!$A:$A,Class_Players!$F:$F,"")</f>
        <v>5290</v>
      </c>
      <c r="I669" s="44">
        <f t="shared" si="206"/>
        <v>0.43289224952741023</v>
      </c>
      <c r="J669" s="43">
        <f t="shared" si="207"/>
        <v>1</v>
      </c>
      <c r="K669" s="44" cm="1">
        <f t="array" ref="K669">IF(D669="Gadget",_xlfn.IFS(I669&gt;=0.2,0.5,I669&gt;=0.1,0.35,I669&gt;=0.05,0.2,TRUE,0),IF(D669="Grenade",_xlfn.IFS(I669&gt;=0.2,1,I669&gt;=0.1,0.7,I669&gt;=0.05,0.4,TRUE,0),0))</f>
        <v>0.5</v>
      </c>
      <c r="L669" s="57">
        <f t="shared" si="208"/>
        <v>0.37037037037037035</v>
      </c>
    </row>
    <row r="670" spans="1:12" ht="15" customHeight="1" x14ac:dyDescent="0.25">
      <c r="A670" s="42" t="str" cm="1">
        <f t="array" ref="A670">IFERROR(INDEX(_xlfn._xlws.FILTER(Class_Players!A:A,Class_Players!B:B="Recon"),QUOTIENT(ROW()-ROW($A$2),8)+1),"")</f>
        <v>El-Cuco1</v>
      </c>
      <c r="B670" s="42" t="str">
        <f>_xlfn.XLOOKUP(A670,Class_Players!$A:$A,Class_Players!$B:$B,"")</f>
        <v>Recon</v>
      </c>
      <c r="C670" s="38" t="str" cm="1">
        <f t="array" ref="C670">INDEX(Lookups!$C$2:$C$9,MOD(ROW()-ROW($B$2),ROWS(Lookups!$C$2:$C$9))+1)</f>
        <v>Sniper Decoy</v>
      </c>
      <c r="D670" s="38" t="str">
        <f>_xlfn.XLOOKUP(C670,Analysis_Gadgets!$C:$C,Analysis_Gadgets!$B:$B)</f>
        <v>Gadget</v>
      </c>
      <c r="E670" s="43">
        <v>21</v>
      </c>
      <c r="F670" s="43">
        <f>_xlfn.XLOOKUP(A670,Class_Players!A:A,Class_Players!G:G)</f>
        <v>94</v>
      </c>
      <c r="G670" s="43">
        <f t="shared" si="205"/>
        <v>0.22340425531914893</v>
      </c>
      <c r="H670" s="43">
        <f>_xlfn.XLOOKUP(A670,Class_Players!$A:$A,Class_Players!$F:$F,"")</f>
        <v>5290</v>
      </c>
      <c r="I670" s="44">
        <f t="shared" si="206"/>
        <v>3.9697542533081286E-3</v>
      </c>
      <c r="J670" s="43">
        <f t="shared" si="207"/>
        <v>0</v>
      </c>
      <c r="K670" s="44" cm="1">
        <f t="array" ref="K670">IF(D670="Gadget",_xlfn.IFS(I670&gt;=0.2,0.5,I670&gt;=0.1,0.35,I670&gt;=0.05,0.2,TRUE,0),IF(D670="Grenade",_xlfn.IFS(I670&gt;=0.2,1,I670&gt;=0.1,0.7,I670&gt;=0.05,0.4,TRUE,0),0))</f>
        <v>0</v>
      </c>
      <c r="L670" s="57">
        <f t="shared" si="208"/>
        <v>0</v>
      </c>
    </row>
    <row r="671" spans="1:12" ht="15" customHeight="1" x14ac:dyDescent="0.25">
      <c r="A671" s="42" t="str" cm="1">
        <f t="array" ref="A671">IFERROR(INDEX(_xlfn._xlws.FILTER(Class_Players!A:A,Class_Players!B:B="Recon"),QUOTIENT(ROW()-ROW($A$2),8)+1),"")</f>
        <v>El-Cuco1</v>
      </c>
      <c r="B671" s="42" t="str">
        <f>_xlfn.XLOOKUP(A671,Class_Players!$A:$A,Class_Players!$B:$B,"")</f>
        <v>Recon</v>
      </c>
      <c r="C671" s="38" t="str" cm="1">
        <f t="array" ref="C671">INDEX(Lookups!$C$2:$C$9,MOD(ROW()-ROW($B$2),ROWS(Lookups!$C$2:$C$9))+1)</f>
        <v>C-4 Explosives</v>
      </c>
      <c r="D671" s="38" t="str">
        <f>_xlfn.XLOOKUP(C671,Analysis_Gadgets!$C:$C,Analysis_Gadgets!$B:$B)</f>
        <v>Gadget</v>
      </c>
      <c r="E671" s="43">
        <v>1773</v>
      </c>
      <c r="F671" s="43">
        <f>_xlfn.XLOOKUP(A671,Class_Players!A:A,Class_Players!G:G)</f>
        <v>94</v>
      </c>
      <c r="G671" s="43">
        <f t="shared" si="205"/>
        <v>18.861702127659573</v>
      </c>
      <c r="H671" s="43">
        <f>_xlfn.XLOOKUP(A671,Class_Players!$A:$A,Class_Players!$F:$F,"")</f>
        <v>5290</v>
      </c>
      <c r="I671" s="44">
        <f t="shared" si="206"/>
        <v>0.33516068052930059</v>
      </c>
      <c r="J671" s="43">
        <f t="shared" si="207"/>
        <v>1</v>
      </c>
      <c r="K671" s="44" cm="1">
        <f t="array" ref="K671">IF(D671="Gadget",_xlfn.IFS(I671&gt;=0.2,0.5,I671&gt;=0.1,0.35,I671&gt;=0.05,0.2,TRUE,0),IF(D671="Grenade",_xlfn.IFS(I671&gt;=0.2,1,I671&gt;=0.1,0.7,I671&gt;=0.05,0.4,TRUE,0),0))</f>
        <v>0.5</v>
      </c>
      <c r="L671" s="57">
        <f t="shared" si="208"/>
        <v>0.37037037037037035</v>
      </c>
    </row>
    <row r="672" spans="1:12" ht="15" customHeight="1" x14ac:dyDescent="0.25">
      <c r="A672" s="42" t="str" cm="1">
        <f t="array" ref="A672">IFERROR(INDEX(_xlfn._xlws.FILTER(Class_Players!A:A,Class_Players!B:B="Recon"),QUOTIENT(ROW()-ROW($A$2),8)+1),"")</f>
        <v>El-Cuco1</v>
      </c>
      <c r="B672" s="42" t="str">
        <f>_xlfn.XLOOKUP(A672,Class_Players!$A:$A,Class_Players!$B:$B,"")</f>
        <v>Recon</v>
      </c>
      <c r="C672" s="38" t="str" cm="1">
        <f t="array" ref="C672">INDEX(Lookups!$C$2:$C$9,MOD(ROW()-ROW($B$2),ROWS(Lookups!$C$2:$C$9))+1)</f>
        <v>Proximity Detector</v>
      </c>
      <c r="D672" s="38" t="str">
        <f>_xlfn.XLOOKUP(C672,Analysis_Gadgets!$C:$C,Analysis_Gadgets!$B:$B)</f>
        <v>Grenade</v>
      </c>
      <c r="E672" s="43">
        <v>79</v>
      </c>
      <c r="F672" s="43">
        <f>_xlfn.XLOOKUP(A672,Class_Players!A:A,Class_Players!G:G)</f>
        <v>94</v>
      </c>
      <c r="G672" s="43">
        <f t="shared" si="205"/>
        <v>0.84042553191489366</v>
      </c>
      <c r="H672" s="43">
        <f>_xlfn.XLOOKUP(A672,Class_Players!$A:$A,Class_Players!$F:$F,"")</f>
        <v>5290</v>
      </c>
      <c r="I672" s="44">
        <f t="shared" si="206"/>
        <v>1.4933837429111531E-2</v>
      </c>
      <c r="J672" s="43">
        <f t="shared" si="207"/>
        <v>0</v>
      </c>
      <c r="K672" s="44" cm="1">
        <f t="array" ref="K672">IF(D672="Gadget",_xlfn.IFS(I672&gt;=0.2,0.5,I672&gt;=0.1,0.35,I672&gt;=0.05,0.2,TRUE,0),IF(D672="Grenade",_xlfn.IFS(I672&gt;=0.2,1,I672&gt;=0.1,0.7,I672&gt;=0.05,0.4,TRUE,0),0))</f>
        <v>0</v>
      </c>
      <c r="L672" s="57">
        <f t="shared" ref="L672:L673" si="209">IF($K672=0,0,$K672 / SUMIFS($K:$K,$A:$A,$A672,$D:$D,"Grenade"))</f>
        <v>0</v>
      </c>
    </row>
    <row r="673" spans="1:12" ht="15" customHeight="1" x14ac:dyDescent="0.25">
      <c r="A673" s="42" t="str" cm="1">
        <f t="array" ref="A673">IFERROR(INDEX(_xlfn._xlws.FILTER(Class_Players!A:A,Class_Players!B:B="Recon"),QUOTIENT(ROW()-ROW($A$2),8)+1),"")</f>
        <v>El-Cuco1</v>
      </c>
      <c r="B673" s="42" t="str">
        <f>_xlfn.XLOOKUP(A673,Class_Players!$A:$A,Class_Players!$B:$B,"")</f>
        <v>Recon</v>
      </c>
      <c r="C673" s="38" t="str" cm="1">
        <f t="array" ref="C673">INDEX(Lookups!$C$2:$C$9,MOD(ROW()-ROW($B$2),ROWS(Lookups!$C$2:$C$9))+1)</f>
        <v>Throwing Knife</v>
      </c>
      <c r="D673" s="38" t="str">
        <f>_xlfn.XLOOKUP(C673,Analysis_Gadgets!$C:$C,Analysis_Gadgets!$B:$B)</f>
        <v>Grenade</v>
      </c>
      <c r="E673" s="43">
        <v>44</v>
      </c>
      <c r="F673" s="43">
        <f>_xlfn.XLOOKUP(A673,Class_Players!A:A,Class_Players!G:G)</f>
        <v>94</v>
      </c>
      <c r="G673" s="43">
        <f t="shared" si="205"/>
        <v>0.46808510638297873</v>
      </c>
      <c r="H673" s="43">
        <f>_xlfn.XLOOKUP(A673,Class_Players!$A:$A,Class_Players!$F:$F,"")</f>
        <v>5290</v>
      </c>
      <c r="I673" s="44">
        <f t="shared" si="206"/>
        <v>8.3175803402646496E-3</v>
      </c>
      <c r="J673" s="43">
        <f t="shared" si="207"/>
        <v>0</v>
      </c>
      <c r="K673" s="44" cm="1">
        <f t="array" ref="K673">IF(D673="Gadget",_xlfn.IFS(I673&gt;=0.2,0.5,I673&gt;=0.1,0.35,I673&gt;=0.05,0.2,TRUE,0),IF(D673="Grenade",_xlfn.IFS(I673&gt;=0.2,1,I673&gt;=0.1,0.7,I673&gt;=0.05,0.4,TRUE,0),0))</f>
        <v>0</v>
      </c>
      <c r="L673" s="57">
        <f t="shared" si="209"/>
        <v>0</v>
      </c>
    </row>
    <row r="674" spans="1:12" ht="15" customHeight="1" x14ac:dyDescent="0.25">
      <c r="A674" s="42" t="str" cm="1">
        <f t="array" ref="A674">IFERROR(INDEX(_xlfn._xlws.FILTER(Class_Players!A:A,Class_Players!B:B="Recon"),QUOTIENT(ROW()-ROW($A$2),8)+1),"")</f>
        <v>newrulesjkl</v>
      </c>
      <c r="B674" s="42" t="str">
        <f>_xlfn.XLOOKUP(A674,Class_Players!$A:$A,Class_Players!$B:$B,"")</f>
        <v>Recon</v>
      </c>
      <c r="C674" s="38" t="str" cm="1">
        <f t="array" ref="C674">INDEX(Lookups!$C$2:$C$9,MOD(ROW()-ROW($B$2),ROWS(Lookups!$C$2:$C$9))+1)</f>
        <v>Laser Designator</v>
      </c>
      <c r="D674" s="38" t="str">
        <f>_xlfn.XLOOKUP(C674,Analysis_Gadgets!$C:$C,Analysis_Gadgets!$B:$B)</f>
        <v>Gadget</v>
      </c>
      <c r="E674" s="43">
        <v>10</v>
      </c>
      <c r="F674" s="43">
        <f>_xlfn.XLOOKUP(A674,Class_Players!A:A,Class_Players!G:G)</f>
        <v>84</v>
      </c>
      <c r="G674" s="43">
        <f t="shared" si="205"/>
        <v>0.11904761904761904</v>
      </c>
      <c r="H674" s="43">
        <f>_xlfn.XLOOKUP(A674,Class_Players!$A:$A,Class_Players!$F:$F,"")</f>
        <v>5323</v>
      </c>
      <c r="I674" s="44">
        <f t="shared" si="206"/>
        <v>1.8786398647379298E-3</v>
      </c>
      <c r="J674" s="43">
        <f t="shared" si="207"/>
        <v>0</v>
      </c>
      <c r="K674" s="44" cm="1">
        <f t="array" ref="K674">IF(D674="Gadget",_xlfn.IFS(I674&gt;=0.2,0.5,I674&gt;=0.1,0.35,I674&gt;=0.05,0.2,TRUE,0),IF(D674="Grenade",_xlfn.IFS(I674&gt;=0.2,1,I674&gt;=0.1,0.7,I674&gt;=0.05,0.4,TRUE,0),0))</f>
        <v>0</v>
      </c>
      <c r="L674" s="57">
        <f t="shared" ref="L674:L679" si="210">IF($K674=0,0,$K674 / SUMIFS($K:$K,$A:$A,$A674,$D:$D,"Gadget"))</f>
        <v>0</v>
      </c>
    </row>
    <row r="675" spans="1:12" ht="15" customHeight="1" x14ac:dyDescent="0.25">
      <c r="A675" s="42" t="str" cm="1">
        <f t="array" ref="A675">IFERROR(INDEX(_xlfn._xlws.FILTER(Class_Players!A:A,Class_Players!B:B="Recon"),QUOTIENT(ROW()-ROW($A$2),8)+1),"")</f>
        <v>newrulesjkl</v>
      </c>
      <c r="B675" s="42" t="str">
        <f>_xlfn.XLOOKUP(A675,Class_Players!$A:$A,Class_Players!$B:$B,"")</f>
        <v>Recon</v>
      </c>
      <c r="C675" s="38" t="str" cm="1">
        <f t="array" ref="C675">INDEX(Lookups!$C$2:$C$9,MOD(ROW()-ROW($B$2),ROWS(Lookups!$C$2:$C$9))+1)</f>
        <v>Recon Drone</v>
      </c>
      <c r="D675" s="38" t="str">
        <f>_xlfn.XLOOKUP(C675,Analysis_Gadgets!$C:$C,Analysis_Gadgets!$B:$B)</f>
        <v>Gadget</v>
      </c>
      <c r="E675" s="43">
        <v>260</v>
      </c>
      <c r="F675" s="43">
        <f>_xlfn.XLOOKUP(A675,Class_Players!A:A,Class_Players!G:G)</f>
        <v>84</v>
      </c>
      <c r="G675" s="43">
        <f t="shared" si="205"/>
        <v>3.0952380952380953</v>
      </c>
      <c r="H675" s="43">
        <f>_xlfn.XLOOKUP(A675,Class_Players!$A:$A,Class_Players!$F:$F,"")</f>
        <v>5323</v>
      </c>
      <c r="I675" s="44">
        <f t="shared" si="206"/>
        <v>4.8844636483186175E-2</v>
      </c>
      <c r="J675" s="43">
        <f t="shared" si="207"/>
        <v>0</v>
      </c>
      <c r="K675" s="44" cm="1">
        <f t="array" ref="K675">IF(D675="Gadget",_xlfn.IFS(I675&gt;=0.2,0.5,I675&gt;=0.1,0.35,I675&gt;=0.05,0.2,TRUE,0),IF(D675="Grenade",_xlfn.IFS(I675&gt;=0.2,1,I675&gt;=0.1,0.7,I675&gt;=0.05,0.4,TRUE,0),0))</f>
        <v>0</v>
      </c>
      <c r="L675" s="57">
        <f t="shared" si="210"/>
        <v>0</v>
      </c>
    </row>
    <row r="676" spans="1:12" ht="15" customHeight="1" x14ac:dyDescent="0.25">
      <c r="A676" s="42" t="str" cm="1">
        <f t="array" ref="A676">IFERROR(INDEX(_xlfn._xlws.FILTER(Class_Players!A:A,Class_Players!B:B="Recon"),QUOTIENT(ROW()-ROW($A$2),8)+1),"")</f>
        <v>newrulesjkl</v>
      </c>
      <c r="B676" s="42" t="str">
        <f>_xlfn.XLOOKUP(A676,Class_Players!$A:$A,Class_Players!$B:$B,"")</f>
        <v>Recon</v>
      </c>
      <c r="C676" s="38" t="str" cm="1">
        <f t="array" ref="C676">INDEX(Lookups!$C$2:$C$9,MOD(ROW()-ROW($B$2),ROWS(Lookups!$C$2:$C$9))+1)</f>
        <v>Tracer Dart</v>
      </c>
      <c r="D676" s="38" t="str">
        <f>_xlfn.XLOOKUP(C676,Analysis_Gadgets!$C:$C,Analysis_Gadgets!$B:$B)</f>
        <v>Gadget</v>
      </c>
      <c r="E676" s="43">
        <v>11</v>
      </c>
      <c r="F676" s="43">
        <f>_xlfn.XLOOKUP(A676,Class_Players!A:A,Class_Players!G:G)</f>
        <v>84</v>
      </c>
      <c r="G676" s="43">
        <f t="shared" si="205"/>
        <v>0.13095238095238096</v>
      </c>
      <c r="H676" s="43">
        <f>_xlfn.XLOOKUP(A676,Class_Players!$A:$A,Class_Players!$F:$F,"")</f>
        <v>5323</v>
      </c>
      <c r="I676" s="44">
        <f t="shared" si="206"/>
        <v>2.0665038512117226E-3</v>
      </c>
      <c r="J676" s="43">
        <f t="shared" si="207"/>
        <v>0</v>
      </c>
      <c r="K676" s="44" cm="1">
        <f t="array" ref="K676">IF(D676="Gadget",_xlfn.IFS(I676&gt;=0.2,0.5,I676&gt;=0.1,0.35,I676&gt;=0.05,0.2,TRUE,0),IF(D676="Grenade",_xlfn.IFS(I676&gt;=0.2,1,I676&gt;=0.1,0.7,I676&gt;=0.05,0.4,TRUE,0),0))</f>
        <v>0</v>
      </c>
      <c r="L676" s="57">
        <f t="shared" si="210"/>
        <v>0</v>
      </c>
    </row>
    <row r="677" spans="1:12" ht="15" customHeight="1" x14ac:dyDescent="0.25">
      <c r="A677" s="42" t="str" cm="1">
        <f t="array" ref="A677">IFERROR(INDEX(_xlfn._xlws.FILTER(Class_Players!A:A,Class_Players!B:B="Recon"),QUOTIENT(ROW()-ROW($A$2),8)+1),"")</f>
        <v>newrulesjkl</v>
      </c>
      <c r="B677" s="42" t="str">
        <f>_xlfn.XLOOKUP(A677,Class_Players!$A:$A,Class_Players!$B:$B,"")</f>
        <v>Recon</v>
      </c>
      <c r="C677" s="38" t="str" cm="1">
        <f t="array" ref="C677">INDEX(Lookups!$C$2:$C$9,MOD(ROW()-ROW($B$2),ROWS(Lookups!$C$2:$C$9))+1)</f>
        <v>M18A1 (Claymore)</v>
      </c>
      <c r="D677" s="38" t="str">
        <f>_xlfn.XLOOKUP(C677,Analysis_Gadgets!$C:$C,Analysis_Gadgets!$B:$B)</f>
        <v>Gadget</v>
      </c>
      <c r="E677" s="43">
        <v>2433</v>
      </c>
      <c r="F677" s="43">
        <f>_xlfn.XLOOKUP(A677,Class_Players!A:A,Class_Players!G:G)</f>
        <v>84</v>
      </c>
      <c r="G677" s="43">
        <f t="shared" si="205"/>
        <v>28.964285714285715</v>
      </c>
      <c r="H677" s="43">
        <f>_xlfn.XLOOKUP(A677,Class_Players!$A:$A,Class_Players!$F:$F,"")</f>
        <v>5323</v>
      </c>
      <c r="I677" s="44">
        <f t="shared" si="206"/>
        <v>0.4570730790907383</v>
      </c>
      <c r="J677" s="43">
        <f t="shared" si="207"/>
        <v>1</v>
      </c>
      <c r="K677" s="44" cm="1">
        <f t="array" ref="K677">IF(D677="Gadget",_xlfn.IFS(I677&gt;=0.2,0.5,I677&gt;=0.1,0.35,I677&gt;=0.05,0.2,TRUE,0),IF(D677="Grenade",_xlfn.IFS(I677&gt;=0.2,1,I677&gt;=0.1,0.7,I677&gt;=0.05,0.4,TRUE,0),0))</f>
        <v>0.5</v>
      </c>
      <c r="L677" s="57">
        <f t="shared" si="210"/>
        <v>0.41666666666666669</v>
      </c>
    </row>
    <row r="678" spans="1:12" ht="15" customHeight="1" x14ac:dyDescent="0.25">
      <c r="A678" s="42" t="str" cm="1">
        <f t="array" ref="A678">IFERROR(INDEX(_xlfn._xlws.FILTER(Class_Players!A:A,Class_Players!B:B="Recon"),QUOTIENT(ROW()-ROW($A$2),8)+1),"")</f>
        <v>newrulesjkl</v>
      </c>
      <c r="B678" s="42" t="str">
        <f>_xlfn.XLOOKUP(A678,Class_Players!$A:$A,Class_Players!$B:$B,"")</f>
        <v>Recon</v>
      </c>
      <c r="C678" s="38" t="str" cm="1">
        <f t="array" ref="C678">INDEX(Lookups!$C$2:$C$9,MOD(ROW()-ROW($B$2),ROWS(Lookups!$C$2:$C$9))+1)</f>
        <v>Sniper Decoy</v>
      </c>
      <c r="D678" s="38" t="str">
        <f>_xlfn.XLOOKUP(C678,Analysis_Gadgets!$C:$C,Analysis_Gadgets!$B:$B)</f>
        <v>Gadget</v>
      </c>
      <c r="E678" s="43">
        <v>585</v>
      </c>
      <c r="F678" s="43">
        <f>_xlfn.XLOOKUP(A678,Class_Players!A:A,Class_Players!G:G)</f>
        <v>84</v>
      </c>
      <c r="G678" s="43">
        <f t="shared" si="205"/>
        <v>6.9642857142857144</v>
      </c>
      <c r="H678" s="43">
        <f>_xlfn.XLOOKUP(A678,Class_Players!$A:$A,Class_Players!$F:$F,"")</f>
        <v>5323</v>
      </c>
      <c r="I678" s="44">
        <f t="shared" si="206"/>
        <v>0.10990043208716889</v>
      </c>
      <c r="J678" s="43">
        <f t="shared" si="207"/>
        <v>1</v>
      </c>
      <c r="K678" s="44" cm="1">
        <f t="array" ref="K678">IF(D678="Gadget",_xlfn.IFS(I678&gt;=0.2,0.5,I678&gt;=0.1,0.35,I678&gt;=0.05,0.2,TRUE,0),IF(D678="Grenade",_xlfn.IFS(I678&gt;=0.2,1,I678&gt;=0.1,0.7,I678&gt;=0.05,0.4,TRUE,0),0))</f>
        <v>0.35</v>
      </c>
      <c r="L678" s="57">
        <f t="shared" si="210"/>
        <v>0.29166666666666669</v>
      </c>
    </row>
    <row r="679" spans="1:12" ht="15" customHeight="1" x14ac:dyDescent="0.25">
      <c r="A679" s="42" t="str" cm="1">
        <f t="array" ref="A679">IFERROR(INDEX(_xlfn._xlws.FILTER(Class_Players!A:A,Class_Players!B:B="Recon"),QUOTIENT(ROW()-ROW($A$2),8)+1),"")</f>
        <v>newrulesjkl</v>
      </c>
      <c r="B679" s="42" t="str">
        <f>_xlfn.XLOOKUP(A679,Class_Players!$A:$A,Class_Players!$B:$B,"")</f>
        <v>Recon</v>
      </c>
      <c r="C679" s="38" t="str" cm="1">
        <f t="array" ref="C679">INDEX(Lookups!$C$2:$C$9,MOD(ROW()-ROW($B$2),ROWS(Lookups!$C$2:$C$9))+1)</f>
        <v>C-4 Explosives</v>
      </c>
      <c r="D679" s="38" t="str">
        <f>_xlfn.XLOOKUP(C679,Analysis_Gadgets!$C:$C,Analysis_Gadgets!$B:$B)</f>
        <v>Gadget</v>
      </c>
      <c r="E679" s="43">
        <v>748</v>
      </c>
      <c r="F679" s="43">
        <f>_xlfn.XLOOKUP(A679,Class_Players!A:A,Class_Players!G:G)</f>
        <v>84</v>
      </c>
      <c r="G679" s="43">
        <f t="shared" si="205"/>
        <v>8.9047619047619051</v>
      </c>
      <c r="H679" s="43">
        <f>_xlfn.XLOOKUP(A679,Class_Players!$A:$A,Class_Players!$F:$F,"")</f>
        <v>5323</v>
      </c>
      <c r="I679" s="44">
        <f t="shared" si="206"/>
        <v>0.14052226188239714</v>
      </c>
      <c r="J679" s="43">
        <f t="shared" si="207"/>
        <v>1</v>
      </c>
      <c r="K679" s="44" cm="1">
        <f t="array" ref="K679">IF(D679="Gadget",_xlfn.IFS(I679&gt;=0.2,0.5,I679&gt;=0.1,0.35,I679&gt;=0.05,0.2,TRUE,0),IF(D679="Grenade",_xlfn.IFS(I679&gt;=0.2,1,I679&gt;=0.1,0.7,I679&gt;=0.05,0.4,TRUE,0),0))</f>
        <v>0.35</v>
      </c>
      <c r="L679" s="57">
        <f t="shared" si="210"/>
        <v>0.29166666666666669</v>
      </c>
    </row>
    <row r="680" spans="1:12" ht="15" customHeight="1" x14ac:dyDescent="0.25">
      <c r="A680" s="42" t="str" cm="1">
        <f t="array" ref="A680">IFERROR(INDEX(_xlfn._xlws.FILTER(Class_Players!A:A,Class_Players!B:B="Recon"),QUOTIENT(ROW()-ROW($A$2),8)+1),"")</f>
        <v>newrulesjkl</v>
      </c>
      <c r="B680" s="42" t="str">
        <f>_xlfn.XLOOKUP(A680,Class_Players!$A:$A,Class_Players!$B:$B,"")</f>
        <v>Recon</v>
      </c>
      <c r="C680" s="38" t="str" cm="1">
        <f t="array" ref="C680">INDEX(Lookups!$C$2:$C$9,MOD(ROW()-ROW($B$2),ROWS(Lookups!$C$2:$C$9))+1)</f>
        <v>Proximity Detector</v>
      </c>
      <c r="D680" s="38" t="str">
        <f>_xlfn.XLOOKUP(C680,Analysis_Gadgets!$C:$C,Analysis_Gadgets!$B:$B)</f>
        <v>Grenade</v>
      </c>
      <c r="E680" s="43">
        <v>135</v>
      </c>
      <c r="F680" s="43">
        <f>_xlfn.XLOOKUP(A680,Class_Players!A:A,Class_Players!G:G)</f>
        <v>84</v>
      </c>
      <c r="G680" s="43">
        <f t="shared" si="205"/>
        <v>1.6071428571428572</v>
      </c>
      <c r="H680" s="43">
        <f>_xlfn.XLOOKUP(A680,Class_Players!$A:$A,Class_Players!$F:$F,"")</f>
        <v>5323</v>
      </c>
      <c r="I680" s="44">
        <f t="shared" si="206"/>
        <v>2.5361638173962052E-2</v>
      </c>
      <c r="J680" s="43">
        <f t="shared" si="207"/>
        <v>0</v>
      </c>
      <c r="K680" s="44" cm="1">
        <f t="array" ref="K680">IF(D680="Gadget",_xlfn.IFS(I680&gt;=0.2,0.5,I680&gt;=0.1,0.35,I680&gt;=0.05,0.2,TRUE,0),IF(D680="Grenade",_xlfn.IFS(I680&gt;=0.2,1,I680&gt;=0.1,0.7,I680&gt;=0.05,0.4,TRUE,0),0))</f>
        <v>0</v>
      </c>
      <c r="L680" s="57">
        <f t="shared" ref="L680:L681" si="211">IF($K680=0,0,$K680 / SUMIFS($K:$K,$A:$A,$A680,$D:$D,"Grenade"))</f>
        <v>0</v>
      </c>
    </row>
    <row r="681" spans="1:12" ht="15" customHeight="1" x14ac:dyDescent="0.25">
      <c r="A681" s="42" t="str" cm="1">
        <f t="array" ref="A681">IFERROR(INDEX(_xlfn._xlws.FILTER(Class_Players!A:A,Class_Players!B:B="Recon"),QUOTIENT(ROW()-ROW($A$2),8)+1),"")</f>
        <v>newrulesjkl</v>
      </c>
      <c r="B681" s="42" t="str">
        <f>_xlfn.XLOOKUP(A681,Class_Players!$A:$A,Class_Players!$B:$B,"")</f>
        <v>Recon</v>
      </c>
      <c r="C681" s="38" t="str" cm="1">
        <f t="array" ref="C681">INDEX(Lookups!$C$2:$C$9,MOD(ROW()-ROW($B$2),ROWS(Lookups!$C$2:$C$9))+1)</f>
        <v>Throwing Knife</v>
      </c>
      <c r="D681" s="38" t="str">
        <f>_xlfn.XLOOKUP(C681,Analysis_Gadgets!$C:$C,Analysis_Gadgets!$B:$B)</f>
        <v>Grenade</v>
      </c>
      <c r="E681" s="43">
        <v>0</v>
      </c>
      <c r="F681" s="43">
        <f>_xlfn.XLOOKUP(A681,Class_Players!A:A,Class_Players!G:G)</f>
        <v>84</v>
      </c>
      <c r="G681" s="43">
        <f t="shared" si="205"/>
        <v>0</v>
      </c>
      <c r="H681" s="43">
        <f>_xlfn.XLOOKUP(A681,Class_Players!$A:$A,Class_Players!$F:$F,"")</f>
        <v>5323</v>
      </c>
      <c r="I681" s="44">
        <f t="shared" si="206"/>
        <v>0</v>
      </c>
      <c r="J681" s="43">
        <f t="shared" si="207"/>
        <v>0</v>
      </c>
      <c r="K681" s="44" cm="1">
        <f t="array" ref="K681">IF(D681="Gadget",_xlfn.IFS(I681&gt;=0.2,0.5,I681&gt;=0.1,0.35,I681&gt;=0.05,0.2,TRUE,0),IF(D681="Grenade",_xlfn.IFS(I681&gt;=0.2,1,I681&gt;=0.1,0.7,I681&gt;=0.05,0.4,TRUE,0),0))</f>
        <v>0</v>
      </c>
      <c r="L681" s="57">
        <f t="shared" si="211"/>
        <v>0</v>
      </c>
    </row>
    <row r="682" spans="1:12" ht="15" customHeight="1" x14ac:dyDescent="0.25">
      <c r="A682" s="42" t="str" cm="1">
        <f t="array" ref="A682">IFERROR(INDEX(_xlfn._xlws.FILTER(Class_Players!A:A,Class_Players!B:B="Recon"),QUOTIENT(ROW()-ROW($A$2),8)+1),"")</f>
        <v>MoXie_Br0</v>
      </c>
      <c r="B682" s="42" t="str">
        <f>_xlfn.XLOOKUP(A682,Class_Players!$A:$A,Class_Players!$B:$B,"")</f>
        <v>Recon</v>
      </c>
      <c r="C682" s="38" t="str" cm="1">
        <f t="array" ref="C682">INDEX(Lookups!$C$2:$C$9,MOD(ROW()-ROW($B$2),ROWS(Lookups!$C$2:$C$9))+1)</f>
        <v>Laser Designator</v>
      </c>
      <c r="D682" s="38" t="str">
        <f>_xlfn.XLOOKUP(C682,Analysis_Gadgets!$C:$C,Analysis_Gadgets!$B:$B)</f>
        <v>Gadget</v>
      </c>
      <c r="E682" s="43">
        <v>0</v>
      </c>
      <c r="F682" s="43">
        <f>_xlfn.XLOOKUP(A682,Class_Players!A:A,Class_Players!G:G)</f>
        <v>45</v>
      </c>
      <c r="G682" s="43">
        <f t="shared" si="205"/>
        <v>0</v>
      </c>
      <c r="H682" s="43">
        <f>_xlfn.XLOOKUP(A682,Class_Players!$A:$A,Class_Players!$F:$F,"")</f>
        <v>5076</v>
      </c>
      <c r="I682" s="44">
        <f t="shared" si="206"/>
        <v>0</v>
      </c>
      <c r="J682" s="43">
        <f t="shared" si="207"/>
        <v>0</v>
      </c>
      <c r="K682" s="44" cm="1">
        <f t="array" ref="K682">IF(D682="Gadget",_xlfn.IFS(I682&gt;=0.2,0.5,I682&gt;=0.1,0.35,I682&gt;=0.05,0.2,TRUE,0),IF(D682="Grenade",_xlfn.IFS(I682&gt;=0.2,1,I682&gt;=0.1,0.7,I682&gt;=0.05,0.4,TRUE,0),0))</f>
        <v>0</v>
      </c>
      <c r="L682" s="57">
        <f t="shared" ref="L682:L687" si="212">IF($K682=0,0,$K682 / SUMIFS($K:$K,$A:$A,$A682,$D:$D,"Gadget"))</f>
        <v>0</v>
      </c>
    </row>
    <row r="683" spans="1:12" ht="15" customHeight="1" x14ac:dyDescent="0.25">
      <c r="A683" s="42" t="str" cm="1">
        <f t="array" ref="A683">IFERROR(INDEX(_xlfn._xlws.FILTER(Class_Players!A:A,Class_Players!B:B="Recon"),QUOTIENT(ROW()-ROW($A$2),8)+1),"")</f>
        <v>MoXie_Br0</v>
      </c>
      <c r="B683" s="42" t="str">
        <f>_xlfn.XLOOKUP(A683,Class_Players!$A:$A,Class_Players!$B:$B,"")</f>
        <v>Recon</v>
      </c>
      <c r="C683" s="38" t="str" cm="1">
        <f t="array" ref="C683">INDEX(Lookups!$C$2:$C$9,MOD(ROW()-ROW($B$2),ROWS(Lookups!$C$2:$C$9))+1)</f>
        <v>Recon Drone</v>
      </c>
      <c r="D683" s="38" t="str">
        <f>_xlfn.XLOOKUP(C683,Analysis_Gadgets!$C:$C,Analysis_Gadgets!$B:$B)</f>
        <v>Gadget</v>
      </c>
      <c r="E683" s="43">
        <v>5</v>
      </c>
      <c r="F683" s="43">
        <f>_xlfn.XLOOKUP(A683,Class_Players!A:A,Class_Players!G:G)</f>
        <v>45</v>
      </c>
      <c r="G683" s="43">
        <f t="shared" si="205"/>
        <v>0.1111111111111111</v>
      </c>
      <c r="H683" s="43">
        <f>_xlfn.XLOOKUP(A683,Class_Players!$A:$A,Class_Players!$F:$F,"")</f>
        <v>5076</v>
      </c>
      <c r="I683" s="44">
        <f t="shared" si="206"/>
        <v>9.8502758077226153E-4</v>
      </c>
      <c r="J683" s="43">
        <f t="shared" si="207"/>
        <v>0</v>
      </c>
      <c r="K683" s="44" cm="1">
        <f t="array" ref="K683">IF(D683="Gadget",_xlfn.IFS(I683&gt;=0.2,0.5,I683&gt;=0.1,0.35,I683&gt;=0.05,0.2,TRUE,0),IF(D683="Grenade",_xlfn.IFS(I683&gt;=0.2,1,I683&gt;=0.1,0.7,I683&gt;=0.05,0.4,TRUE,0),0))</f>
        <v>0</v>
      </c>
      <c r="L683" s="57">
        <f t="shared" si="212"/>
        <v>0</v>
      </c>
    </row>
    <row r="684" spans="1:12" ht="15" customHeight="1" x14ac:dyDescent="0.25">
      <c r="A684" s="42" t="str" cm="1">
        <f t="array" ref="A684">IFERROR(INDEX(_xlfn._xlws.FILTER(Class_Players!A:A,Class_Players!B:B="Recon"),QUOTIENT(ROW()-ROW($A$2),8)+1),"")</f>
        <v>MoXie_Br0</v>
      </c>
      <c r="B684" s="42" t="str">
        <f>_xlfn.XLOOKUP(A684,Class_Players!$A:$A,Class_Players!$B:$B,"")</f>
        <v>Recon</v>
      </c>
      <c r="C684" s="38" t="str" cm="1">
        <f t="array" ref="C684">INDEX(Lookups!$C$2:$C$9,MOD(ROW()-ROW($B$2),ROWS(Lookups!$C$2:$C$9))+1)</f>
        <v>Tracer Dart</v>
      </c>
      <c r="D684" s="38" t="str">
        <f>_xlfn.XLOOKUP(C684,Analysis_Gadgets!$C:$C,Analysis_Gadgets!$B:$B)</f>
        <v>Gadget</v>
      </c>
      <c r="E684" s="43">
        <v>0</v>
      </c>
      <c r="F684" s="43">
        <f>_xlfn.XLOOKUP(A684,Class_Players!A:A,Class_Players!G:G)</f>
        <v>45</v>
      </c>
      <c r="G684" s="43">
        <f t="shared" si="205"/>
        <v>0</v>
      </c>
      <c r="H684" s="43">
        <f>_xlfn.XLOOKUP(A684,Class_Players!$A:$A,Class_Players!$F:$F,"")</f>
        <v>5076</v>
      </c>
      <c r="I684" s="44">
        <f t="shared" si="206"/>
        <v>0</v>
      </c>
      <c r="J684" s="43">
        <f t="shared" si="207"/>
        <v>0</v>
      </c>
      <c r="K684" s="44" cm="1">
        <f t="array" ref="K684">IF(D684="Gadget",_xlfn.IFS(I684&gt;=0.2,0.5,I684&gt;=0.1,0.35,I684&gt;=0.05,0.2,TRUE,0),IF(D684="Grenade",_xlfn.IFS(I684&gt;=0.2,1,I684&gt;=0.1,0.7,I684&gt;=0.05,0.4,TRUE,0),0))</f>
        <v>0</v>
      </c>
      <c r="L684" s="57">
        <f t="shared" si="212"/>
        <v>0</v>
      </c>
    </row>
    <row r="685" spans="1:12" ht="15" customHeight="1" x14ac:dyDescent="0.25">
      <c r="A685" s="42" t="str" cm="1">
        <f t="array" ref="A685">IFERROR(INDEX(_xlfn._xlws.FILTER(Class_Players!A:A,Class_Players!B:B="Recon"),QUOTIENT(ROW()-ROW($A$2),8)+1),"")</f>
        <v>MoXie_Br0</v>
      </c>
      <c r="B685" s="42" t="str">
        <f>_xlfn.XLOOKUP(A685,Class_Players!$A:$A,Class_Players!$B:$B,"")</f>
        <v>Recon</v>
      </c>
      <c r="C685" s="38" t="str" cm="1">
        <f t="array" ref="C685">INDEX(Lookups!$C$2:$C$9,MOD(ROW()-ROW($B$2),ROWS(Lookups!$C$2:$C$9))+1)</f>
        <v>M18A1 (Claymore)</v>
      </c>
      <c r="D685" s="38" t="str">
        <f>_xlfn.XLOOKUP(C685,Analysis_Gadgets!$C:$C,Analysis_Gadgets!$B:$B)</f>
        <v>Gadget</v>
      </c>
      <c r="E685" s="43">
        <v>2</v>
      </c>
      <c r="F685" s="43">
        <f>_xlfn.XLOOKUP(A685,Class_Players!A:A,Class_Players!G:G)</f>
        <v>45</v>
      </c>
      <c r="G685" s="43">
        <f t="shared" si="205"/>
        <v>4.4444444444444446E-2</v>
      </c>
      <c r="H685" s="43">
        <f>_xlfn.XLOOKUP(A685,Class_Players!$A:$A,Class_Players!$F:$F,"")</f>
        <v>5076</v>
      </c>
      <c r="I685" s="44">
        <f t="shared" si="206"/>
        <v>3.9401103230890468E-4</v>
      </c>
      <c r="J685" s="43">
        <f t="shared" si="207"/>
        <v>0</v>
      </c>
      <c r="K685" s="44" cm="1">
        <f t="array" ref="K685">IF(D685="Gadget",_xlfn.IFS(I685&gt;=0.2,0.5,I685&gt;=0.1,0.35,I685&gt;=0.05,0.2,TRUE,0),IF(D685="Grenade",_xlfn.IFS(I685&gt;=0.2,1,I685&gt;=0.1,0.7,I685&gt;=0.05,0.4,TRUE,0),0))</f>
        <v>0</v>
      </c>
      <c r="L685" s="57">
        <f t="shared" si="212"/>
        <v>0</v>
      </c>
    </row>
    <row r="686" spans="1:12" ht="15" customHeight="1" x14ac:dyDescent="0.25">
      <c r="A686" s="42" t="str" cm="1">
        <f t="array" ref="A686">IFERROR(INDEX(_xlfn._xlws.FILTER(Class_Players!A:A,Class_Players!B:B="Recon"),QUOTIENT(ROW()-ROW($A$2),8)+1),"")</f>
        <v>MoXie_Br0</v>
      </c>
      <c r="B686" s="42" t="str">
        <f>_xlfn.XLOOKUP(A686,Class_Players!$A:$A,Class_Players!$B:$B,"")</f>
        <v>Recon</v>
      </c>
      <c r="C686" s="38" t="str" cm="1">
        <f t="array" ref="C686">INDEX(Lookups!$C$2:$C$9,MOD(ROW()-ROW($B$2),ROWS(Lookups!$C$2:$C$9))+1)</f>
        <v>Sniper Decoy</v>
      </c>
      <c r="D686" s="38" t="str">
        <f>_xlfn.XLOOKUP(C686,Analysis_Gadgets!$C:$C,Analysis_Gadgets!$B:$B)</f>
        <v>Gadget</v>
      </c>
      <c r="E686" s="43">
        <v>0</v>
      </c>
      <c r="F686" s="43">
        <f>_xlfn.XLOOKUP(A686,Class_Players!A:A,Class_Players!G:G)</f>
        <v>45</v>
      </c>
      <c r="G686" s="43">
        <f t="shared" si="205"/>
        <v>0</v>
      </c>
      <c r="H686" s="43">
        <f>_xlfn.XLOOKUP(A686,Class_Players!$A:$A,Class_Players!$F:$F,"")</f>
        <v>5076</v>
      </c>
      <c r="I686" s="44">
        <f t="shared" si="206"/>
        <v>0</v>
      </c>
      <c r="J686" s="43">
        <f t="shared" si="207"/>
        <v>0</v>
      </c>
      <c r="K686" s="44" cm="1">
        <f t="array" ref="K686">IF(D686="Gadget",_xlfn.IFS(I686&gt;=0.2,0.5,I686&gt;=0.1,0.35,I686&gt;=0.05,0.2,TRUE,0),IF(D686="Grenade",_xlfn.IFS(I686&gt;=0.2,1,I686&gt;=0.1,0.7,I686&gt;=0.05,0.4,TRUE,0),0))</f>
        <v>0</v>
      </c>
      <c r="L686" s="57">
        <f t="shared" si="212"/>
        <v>0</v>
      </c>
    </row>
    <row r="687" spans="1:12" ht="15" customHeight="1" x14ac:dyDescent="0.25">
      <c r="A687" s="42" t="str" cm="1">
        <f t="array" ref="A687">IFERROR(INDEX(_xlfn._xlws.FILTER(Class_Players!A:A,Class_Players!B:B="Recon"),QUOTIENT(ROW()-ROW($A$2),8)+1),"")</f>
        <v>MoXie_Br0</v>
      </c>
      <c r="B687" s="42" t="str">
        <f>_xlfn.XLOOKUP(A687,Class_Players!$A:$A,Class_Players!$B:$B,"")</f>
        <v>Recon</v>
      </c>
      <c r="C687" s="38" t="str" cm="1">
        <f t="array" ref="C687">INDEX(Lookups!$C$2:$C$9,MOD(ROW()-ROW($B$2),ROWS(Lookups!$C$2:$C$9))+1)</f>
        <v>C-4 Explosives</v>
      </c>
      <c r="D687" s="38" t="str">
        <f>_xlfn.XLOOKUP(C687,Analysis_Gadgets!$C:$C,Analysis_Gadgets!$B:$B)</f>
        <v>Gadget</v>
      </c>
      <c r="E687" s="43">
        <v>0</v>
      </c>
      <c r="F687" s="43">
        <f>_xlfn.XLOOKUP(A687,Class_Players!A:A,Class_Players!G:G)</f>
        <v>45</v>
      </c>
      <c r="G687" s="43">
        <f t="shared" si="205"/>
        <v>0</v>
      </c>
      <c r="H687" s="43">
        <f>_xlfn.XLOOKUP(A687,Class_Players!$A:$A,Class_Players!$F:$F,"")</f>
        <v>5076</v>
      </c>
      <c r="I687" s="44">
        <f t="shared" si="206"/>
        <v>0</v>
      </c>
      <c r="J687" s="43">
        <f t="shared" si="207"/>
        <v>0</v>
      </c>
      <c r="K687" s="44" cm="1">
        <f t="array" ref="K687">IF(D687="Gadget",_xlfn.IFS(I687&gt;=0.2,0.5,I687&gt;=0.1,0.35,I687&gt;=0.05,0.2,TRUE,0),IF(D687="Grenade",_xlfn.IFS(I687&gt;=0.2,1,I687&gt;=0.1,0.7,I687&gt;=0.05,0.4,TRUE,0),0))</f>
        <v>0</v>
      </c>
      <c r="L687" s="57">
        <f t="shared" si="212"/>
        <v>0</v>
      </c>
    </row>
    <row r="688" spans="1:12" ht="15" customHeight="1" x14ac:dyDescent="0.25">
      <c r="A688" s="42" t="str" cm="1">
        <f t="array" ref="A688">IFERROR(INDEX(_xlfn._xlws.FILTER(Class_Players!A:A,Class_Players!B:B="Recon"),QUOTIENT(ROW()-ROW($A$2),8)+1),"")</f>
        <v>MoXie_Br0</v>
      </c>
      <c r="B688" s="42" t="str">
        <f>_xlfn.XLOOKUP(A688,Class_Players!$A:$A,Class_Players!$B:$B,"")</f>
        <v>Recon</v>
      </c>
      <c r="C688" s="38" t="str" cm="1">
        <f t="array" ref="C688">INDEX(Lookups!$C$2:$C$9,MOD(ROW()-ROW($B$2),ROWS(Lookups!$C$2:$C$9))+1)</f>
        <v>Proximity Detector</v>
      </c>
      <c r="D688" s="38" t="str">
        <f>_xlfn.XLOOKUP(C688,Analysis_Gadgets!$C:$C,Analysis_Gadgets!$B:$B)</f>
        <v>Grenade</v>
      </c>
      <c r="E688" s="43">
        <v>23</v>
      </c>
      <c r="F688" s="43">
        <f>_xlfn.XLOOKUP(A688,Class_Players!A:A,Class_Players!G:G)</f>
        <v>45</v>
      </c>
      <c r="G688" s="43">
        <f t="shared" si="205"/>
        <v>0.51111111111111107</v>
      </c>
      <c r="H688" s="43">
        <f>_xlfn.XLOOKUP(A688,Class_Players!$A:$A,Class_Players!$F:$F,"")</f>
        <v>5076</v>
      </c>
      <c r="I688" s="44">
        <f t="shared" si="206"/>
        <v>4.5311268715524031E-3</v>
      </c>
      <c r="J688" s="43">
        <f t="shared" si="207"/>
        <v>0</v>
      </c>
      <c r="K688" s="44" cm="1">
        <f t="array" ref="K688">IF(D688="Gadget",_xlfn.IFS(I688&gt;=0.2,0.5,I688&gt;=0.1,0.35,I688&gt;=0.05,0.2,TRUE,0),IF(D688="Grenade",_xlfn.IFS(I688&gt;=0.2,1,I688&gt;=0.1,0.7,I688&gt;=0.05,0.4,TRUE,0),0))</f>
        <v>0</v>
      </c>
      <c r="L688" s="57">
        <f t="shared" ref="L688:L689" si="213">IF($K688=0,0,$K688 / SUMIFS($K:$K,$A:$A,$A688,$D:$D,"Grenade"))</f>
        <v>0</v>
      </c>
    </row>
    <row r="689" spans="1:12" ht="15" customHeight="1" x14ac:dyDescent="0.25">
      <c r="A689" s="42" t="str" cm="1">
        <f t="array" ref="A689">IFERROR(INDEX(_xlfn._xlws.FILTER(Class_Players!A:A,Class_Players!B:B="Recon"),QUOTIENT(ROW()-ROW($A$2),8)+1),"")</f>
        <v>MoXie_Br0</v>
      </c>
      <c r="B689" s="42" t="str">
        <f>_xlfn.XLOOKUP(A689,Class_Players!$A:$A,Class_Players!$B:$B,"")</f>
        <v>Recon</v>
      </c>
      <c r="C689" s="38" t="str" cm="1">
        <f t="array" ref="C689">INDEX(Lookups!$C$2:$C$9,MOD(ROW()-ROW($B$2),ROWS(Lookups!$C$2:$C$9))+1)</f>
        <v>Throwing Knife</v>
      </c>
      <c r="D689" s="38" t="str">
        <f>_xlfn.XLOOKUP(C689,Analysis_Gadgets!$C:$C,Analysis_Gadgets!$B:$B)</f>
        <v>Grenade</v>
      </c>
      <c r="E689" s="43">
        <v>0</v>
      </c>
      <c r="F689" s="43">
        <f>_xlfn.XLOOKUP(A689,Class_Players!A:A,Class_Players!G:G)</f>
        <v>45</v>
      </c>
      <c r="G689" s="43">
        <f t="shared" si="205"/>
        <v>0</v>
      </c>
      <c r="H689" s="43">
        <f>_xlfn.XLOOKUP(A689,Class_Players!$A:$A,Class_Players!$F:$F,"")</f>
        <v>5076</v>
      </c>
      <c r="I689" s="44">
        <f t="shared" si="206"/>
        <v>0</v>
      </c>
      <c r="J689" s="43">
        <f t="shared" si="207"/>
        <v>0</v>
      </c>
      <c r="K689" s="44" cm="1">
        <f t="array" ref="K689">IF(D689="Gadget",_xlfn.IFS(I689&gt;=0.2,0.5,I689&gt;=0.1,0.35,I689&gt;=0.05,0.2,TRUE,0),IF(D689="Grenade",_xlfn.IFS(I689&gt;=0.2,1,I689&gt;=0.1,0.7,I689&gt;=0.05,0.4,TRUE,0),0))</f>
        <v>0</v>
      </c>
      <c r="L689" s="57">
        <f t="shared" si="213"/>
        <v>0</v>
      </c>
    </row>
    <row r="690" spans="1:12" ht="15" customHeight="1" x14ac:dyDescent="0.25">
      <c r="A690" s="42" t="str" cm="1">
        <f t="array" ref="A690">IFERROR(INDEX(_xlfn._xlws.FILTER(Class_Players!A:A,Class_Players!B:B="Recon"),QUOTIENT(ROW()-ROW($A$2),8)+1),"")</f>
        <v>Lightrift</v>
      </c>
      <c r="B690" s="42" t="str">
        <f>_xlfn.XLOOKUP(A690,Class_Players!$A:$A,Class_Players!$B:$B,"")</f>
        <v>Recon</v>
      </c>
      <c r="C690" s="38" t="str" cm="1">
        <f t="array" ref="C690">INDEX(Lookups!$C$2:$C$9,MOD(ROW()-ROW($B$2),ROWS(Lookups!$C$2:$C$9))+1)</f>
        <v>Laser Designator</v>
      </c>
      <c r="D690" s="38" t="str">
        <f>_xlfn.XLOOKUP(C690,Analysis_Gadgets!$C:$C,Analysis_Gadgets!$B:$B)</f>
        <v>Gadget</v>
      </c>
      <c r="E690" s="43">
        <v>76</v>
      </c>
      <c r="F690" s="43">
        <f>_xlfn.XLOOKUP(A690,Class_Players!A:A,Class_Players!G:G)</f>
        <v>107</v>
      </c>
      <c r="G690" s="43">
        <f t="shared" si="205"/>
        <v>0.71028037383177567</v>
      </c>
      <c r="H690" s="43">
        <f>_xlfn.XLOOKUP(A690,Class_Players!$A:$A,Class_Players!$F:$F,"")</f>
        <v>5551</v>
      </c>
      <c r="I690" s="44">
        <f t="shared" si="206"/>
        <v>1.3691226805980904E-2</v>
      </c>
      <c r="J690" s="43">
        <f t="shared" si="207"/>
        <v>0</v>
      </c>
      <c r="K690" s="44" cm="1">
        <f t="array" ref="K690">IF(D690="Gadget",_xlfn.IFS(I690&gt;=0.2,0.5,I690&gt;=0.1,0.35,I690&gt;=0.05,0.2,TRUE,0),IF(D690="Grenade",_xlfn.IFS(I690&gt;=0.2,1,I690&gt;=0.1,0.7,I690&gt;=0.05,0.4,TRUE,0),0))</f>
        <v>0</v>
      </c>
      <c r="L690" s="57">
        <f t="shared" ref="L690:L695" si="214">IF($K690=0,0,$K690 / SUMIFS($K:$K,$A:$A,$A690,$D:$D,"Gadget"))</f>
        <v>0</v>
      </c>
    </row>
    <row r="691" spans="1:12" ht="15" customHeight="1" x14ac:dyDescent="0.25">
      <c r="A691" s="42" t="str" cm="1">
        <f t="array" ref="A691">IFERROR(INDEX(_xlfn._xlws.FILTER(Class_Players!A:A,Class_Players!B:B="Recon"),QUOTIENT(ROW()-ROW($A$2),8)+1),"")</f>
        <v>Lightrift</v>
      </c>
      <c r="B691" s="42" t="str">
        <f>_xlfn.XLOOKUP(A691,Class_Players!$A:$A,Class_Players!$B:$B,"")</f>
        <v>Recon</v>
      </c>
      <c r="C691" s="38" t="str" cm="1">
        <f t="array" ref="C691">INDEX(Lookups!$C$2:$C$9,MOD(ROW()-ROW($B$2),ROWS(Lookups!$C$2:$C$9))+1)</f>
        <v>Recon Drone</v>
      </c>
      <c r="D691" s="38" t="str">
        <f>_xlfn.XLOOKUP(C691,Analysis_Gadgets!$C:$C,Analysis_Gadgets!$B:$B)</f>
        <v>Gadget</v>
      </c>
      <c r="E691" s="43">
        <v>165</v>
      </c>
      <c r="F691" s="43">
        <f>_xlfn.XLOOKUP(A691,Class_Players!A:A,Class_Players!G:G)</f>
        <v>107</v>
      </c>
      <c r="G691" s="43">
        <f t="shared" si="205"/>
        <v>1.5420560747663552</v>
      </c>
      <c r="H691" s="43">
        <f>_xlfn.XLOOKUP(A691,Class_Players!$A:$A,Class_Players!$F:$F,"")</f>
        <v>5551</v>
      </c>
      <c r="I691" s="44">
        <f t="shared" si="206"/>
        <v>2.9724373986669068E-2</v>
      </c>
      <c r="J691" s="43">
        <f t="shared" si="207"/>
        <v>0</v>
      </c>
      <c r="K691" s="44" cm="1">
        <f t="array" ref="K691">IF(D691="Gadget",_xlfn.IFS(I691&gt;=0.2,0.5,I691&gt;=0.1,0.35,I691&gt;=0.05,0.2,TRUE,0),IF(D691="Grenade",_xlfn.IFS(I691&gt;=0.2,1,I691&gt;=0.1,0.7,I691&gt;=0.05,0.4,TRUE,0),0))</f>
        <v>0</v>
      </c>
      <c r="L691" s="57">
        <f t="shared" si="214"/>
        <v>0</v>
      </c>
    </row>
    <row r="692" spans="1:12" ht="15" customHeight="1" x14ac:dyDescent="0.25">
      <c r="A692" s="42" t="str" cm="1">
        <f t="array" ref="A692">IFERROR(INDEX(_xlfn._xlws.FILTER(Class_Players!A:A,Class_Players!B:B="Recon"),QUOTIENT(ROW()-ROW($A$2),8)+1),"")</f>
        <v>Lightrift</v>
      </c>
      <c r="B692" s="42" t="str">
        <f>_xlfn.XLOOKUP(A692,Class_Players!$A:$A,Class_Players!$B:$B,"")</f>
        <v>Recon</v>
      </c>
      <c r="C692" s="38" t="str" cm="1">
        <f t="array" ref="C692">INDEX(Lookups!$C$2:$C$9,MOD(ROW()-ROW($B$2),ROWS(Lookups!$C$2:$C$9))+1)</f>
        <v>Tracer Dart</v>
      </c>
      <c r="D692" s="38" t="str">
        <f>_xlfn.XLOOKUP(C692,Analysis_Gadgets!$C:$C,Analysis_Gadgets!$B:$B)</f>
        <v>Gadget</v>
      </c>
      <c r="E692" s="43">
        <v>223</v>
      </c>
      <c r="F692" s="43">
        <f>_xlfn.XLOOKUP(A692,Class_Players!A:A,Class_Players!G:G)</f>
        <v>107</v>
      </c>
      <c r="G692" s="43">
        <f t="shared" si="205"/>
        <v>2.0841121495327104</v>
      </c>
      <c r="H692" s="43">
        <f>_xlfn.XLOOKUP(A692,Class_Players!$A:$A,Class_Players!$F:$F,"")</f>
        <v>5551</v>
      </c>
      <c r="I692" s="44">
        <f t="shared" si="206"/>
        <v>4.0172941812286075E-2</v>
      </c>
      <c r="J692" s="43">
        <f t="shared" si="207"/>
        <v>0</v>
      </c>
      <c r="K692" s="44" cm="1">
        <f t="array" ref="K692">IF(D692="Gadget",_xlfn.IFS(I692&gt;=0.2,0.5,I692&gt;=0.1,0.35,I692&gt;=0.05,0.2,TRUE,0),IF(D692="Grenade",_xlfn.IFS(I692&gt;=0.2,1,I692&gt;=0.1,0.7,I692&gt;=0.05,0.4,TRUE,0),0))</f>
        <v>0</v>
      </c>
      <c r="L692" s="57">
        <f t="shared" si="214"/>
        <v>0</v>
      </c>
    </row>
    <row r="693" spans="1:12" ht="15" customHeight="1" x14ac:dyDescent="0.25">
      <c r="A693" s="42" t="str" cm="1">
        <f t="array" ref="A693">IFERROR(INDEX(_xlfn._xlws.FILTER(Class_Players!A:A,Class_Players!B:B="Recon"),QUOTIENT(ROW()-ROW($A$2),8)+1),"")</f>
        <v>Lightrift</v>
      </c>
      <c r="B693" s="42" t="str">
        <f>_xlfn.XLOOKUP(A693,Class_Players!$A:$A,Class_Players!$B:$B,"")</f>
        <v>Recon</v>
      </c>
      <c r="C693" s="38" t="str" cm="1">
        <f t="array" ref="C693">INDEX(Lookups!$C$2:$C$9,MOD(ROW()-ROW($B$2),ROWS(Lookups!$C$2:$C$9))+1)</f>
        <v>M18A1 (Claymore)</v>
      </c>
      <c r="D693" s="38" t="str">
        <f>_xlfn.XLOOKUP(C693,Analysis_Gadgets!$C:$C,Analysis_Gadgets!$B:$B)</f>
        <v>Gadget</v>
      </c>
      <c r="E693" s="43">
        <v>2753</v>
      </c>
      <c r="F693" s="43">
        <f>_xlfn.XLOOKUP(A693,Class_Players!A:A,Class_Players!G:G)</f>
        <v>107</v>
      </c>
      <c r="G693" s="43">
        <f t="shared" si="205"/>
        <v>25.728971962616821</v>
      </c>
      <c r="H693" s="43">
        <f>_xlfn.XLOOKUP(A693,Class_Players!$A:$A,Class_Players!$F:$F,"")</f>
        <v>5551</v>
      </c>
      <c r="I693" s="44">
        <f t="shared" si="206"/>
        <v>0.49594667627454514</v>
      </c>
      <c r="J693" s="43">
        <f t="shared" si="207"/>
        <v>1</v>
      </c>
      <c r="K693" s="44" cm="1">
        <f t="array" ref="K693">IF(D693="Gadget",_xlfn.IFS(I693&gt;=0.2,0.5,I693&gt;=0.1,0.35,I693&gt;=0.05,0.2,TRUE,0),IF(D693="Grenade",_xlfn.IFS(I693&gt;=0.2,1,I693&gt;=0.1,0.7,I693&gt;=0.05,0.4,TRUE,0),0))</f>
        <v>0.5</v>
      </c>
      <c r="L693" s="57">
        <f t="shared" si="214"/>
        <v>0.5</v>
      </c>
    </row>
    <row r="694" spans="1:12" ht="15" customHeight="1" x14ac:dyDescent="0.25">
      <c r="A694" s="42" t="str" cm="1">
        <f t="array" ref="A694">IFERROR(INDEX(_xlfn._xlws.FILTER(Class_Players!A:A,Class_Players!B:B="Recon"),QUOTIENT(ROW()-ROW($A$2),8)+1),"")</f>
        <v>Lightrift</v>
      </c>
      <c r="B694" s="42" t="str">
        <f>_xlfn.XLOOKUP(A694,Class_Players!$A:$A,Class_Players!$B:$B,"")</f>
        <v>Recon</v>
      </c>
      <c r="C694" s="38" t="str" cm="1">
        <f t="array" ref="C694">INDEX(Lookups!$C$2:$C$9,MOD(ROW()-ROW($B$2),ROWS(Lookups!$C$2:$C$9))+1)</f>
        <v>Sniper Decoy</v>
      </c>
      <c r="D694" s="38" t="str">
        <f>_xlfn.XLOOKUP(C694,Analysis_Gadgets!$C:$C,Analysis_Gadgets!$B:$B)</f>
        <v>Gadget</v>
      </c>
      <c r="E694" s="43">
        <v>5</v>
      </c>
      <c r="F694" s="43">
        <f>_xlfn.XLOOKUP(A694,Class_Players!A:A,Class_Players!G:G)</f>
        <v>107</v>
      </c>
      <c r="G694" s="43">
        <f t="shared" si="205"/>
        <v>4.6728971962616821E-2</v>
      </c>
      <c r="H694" s="43">
        <f>_xlfn.XLOOKUP(A694,Class_Players!$A:$A,Class_Players!$F:$F,"")</f>
        <v>5551</v>
      </c>
      <c r="I694" s="44">
        <f t="shared" si="206"/>
        <v>9.0073860565663844E-4</v>
      </c>
      <c r="J694" s="43">
        <f t="shared" si="207"/>
        <v>0</v>
      </c>
      <c r="K694" s="44" cm="1">
        <f t="array" ref="K694">IF(D694="Gadget",_xlfn.IFS(I694&gt;=0.2,0.5,I694&gt;=0.1,0.35,I694&gt;=0.05,0.2,TRUE,0),IF(D694="Grenade",_xlfn.IFS(I694&gt;=0.2,1,I694&gt;=0.1,0.7,I694&gt;=0.05,0.4,TRUE,0),0))</f>
        <v>0</v>
      </c>
      <c r="L694" s="57">
        <f t="shared" si="214"/>
        <v>0</v>
      </c>
    </row>
    <row r="695" spans="1:12" ht="15" customHeight="1" x14ac:dyDescent="0.25">
      <c r="A695" s="42" t="str" cm="1">
        <f t="array" ref="A695">IFERROR(INDEX(_xlfn._xlws.FILTER(Class_Players!A:A,Class_Players!B:B="Recon"),QUOTIENT(ROW()-ROW($A$2),8)+1),"")</f>
        <v>Lightrift</v>
      </c>
      <c r="B695" s="42" t="str">
        <f>_xlfn.XLOOKUP(A695,Class_Players!$A:$A,Class_Players!$B:$B,"")</f>
        <v>Recon</v>
      </c>
      <c r="C695" s="38" t="str" cm="1">
        <f t="array" ref="C695">INDEX(Lookups!$C$2:$C$9,MOD(ROW()-ROW($B$2),ROWS(Lookups!$C$2:$C$9))+1)</f>
        <v>C-4 Explosives</v>
      </c>
      <c r="D695" s="38" t="str">
        <f>_xlfn.XLOOKUP(C695,Analysis_Gadgets!$C:$C,Analysis_Gadgets!$B:$B)</f>
        <v>Gadget</v>
      </c>
      <c r="E695" s="43">
        <v>5118</v>
      </c>
      <c r="F695" s="43">
        <f>_xlfn.XLOOKUP(A695,Class_Players!A:A,Class_Players!G:G)</f>
        <v>107</v>
      </c>
      <c r="G695" s="43">
        <f t="shared" si="205"/>
        <v>47.831775700934578</v>
      </c>
      <c r="H695" s="43">
        <f>_xlfn.XLOOKUP(A695,Class_Players!$A:$A,Class_Players!$F:$F,"")</f>
        <v>5551</v>
      </c>
      <c r="I695" s="44">
        <f t="shared" si="206"/>
        <v>0.92199603675013508</v>
      </c>
      <c r="J695" s="43">
        <f t="shared" si="207"/>
        <v>1</v>
      </c>
      <c r="K695" s="44" cm="1">
        <f t="array" ref="K695">IF(D695="Gadget",_xlfn.IFS(I695&gt;=0.2,0.5,I695&gt;=0.1,0.35,I695&gt;=0.05,0.2,TRUE,0),IF(D695="Grenade",_xlfn.IFS(I695&gt;=0.2,1,I695&gt;=0.1,0.7,I695&gt;=0.05,0.4,TRUE,0),0))</f>
        <v>0.5</v>
      </c>
      <c r="L695" s="57">
        <f t="shared" si="214"/>
        <v>0.5</v>
      </c>
    </row>
    <row r="696" spans="1:12" ht="15" customHeight="1" x14ac:dyDescent="0.25">
      <c r="A696" s="42" t="str" cm="1">
        <f t="array" ref="A696">IFERROR(INDEX(_xlfn._xlws.FILTER(Class_Players!A:A,Class_Players!B:B="Recon"),QUOTIENT(ROW()-ROW($A$2),8)+1),"")</f>
        <v>Lightrift</v>
      </c>
      <c r="B696" s="42" t="str">
        <f>_xlfn.XLOOKUP(A696,Class_Players!$A:$A,Class_Players!$B:$B,"")</f>
        <v>Recon</v>
      </c>
      <c r="C696" s="38" t="str" cm="1">
        <f t="array" ref="C696">INDEX(Lookups!$C$2:$C$9,MOD(ROW()-ROW($B$2),ROWS(Lookups!$C$2:$C$9))+1)</f>
        <v>Proximity Detector</v>
      </c>
      <c r="D696" s="38" t="str">
        <f>_xlfn.XLOOKUP(C696,Analysis_Gadgets!$C:$C,Analysis_Gadgets!$B:$B)</f>
        <v>Grenade</v>
      </c>
      <c r="E696" s="43">
        <v>2823</v>
      </c>
      <c r="F696" s="43">
        <f>_xlfn.XLOOKUP(A696,Class_Players!A:A,Class_Players!G:G)</f>
        <v>107</v>
      </c>
      <c r="G696" s="43">
        <f t="shared" si="205"/>
        <v>26.383177570093459</v>
      </c>
      <c r="H696" s="43">
        <f>_xlfn.XLOOKUP(A696,Class_Players!$A:$A,Class_Players!$F:$F,"")</f>
        <v>5551</v>
      </c>
      <c r="I696" s="44">
        <f t="shared" si="206"/>
        <v>0.5085570167537381</v>
      </c>
      <c r="J696" s="43">
        <f t="shared" si="207"/>
        <v>1</v>
      </c>
      <c r="K696" s="44" cm="1">
        <f t="array" ref="K696">IF(D696="Gadget",_xlfn.IFS(I696&gt;=0.2,0.5,I696&gt;=0.1,0.35,I696&gt;=0.05,0.2,TRUE,0),IF(D696="Grenade",_xlfn.IFS(I696&gt;=0.2,1,I696&gt;=0.1,0.7,I696&gt;=0.05,0.4,TRUE,0),0))</f>
        <v>1</v>
      </c>
      <c r="L696" s="57">
        <f t="shared" ref="L696:L697" si="215">IF($K696=0,0,$K696 / SUMIFS($K:$K,$A:$A,$A696,$D:$D,"Grenade"))</f>
        <v>1</v>
      </c>
    </row>
    <row r="697" spans="1:12" ht="15" customHeight="1" x14ac:dyDescent="0.25">
      <c r="A697" s="42" t="str" cm="1">
        <f t="array" ref="A697">IFERROR(INDEX(_xlfn._xlws.FILTER(Class_Players!A:A,Class_Players!B:B="Recon"),QUOTIENT(ROW()-ROW($A$2),8)+1),"")</f>
        <v>Lightrift</v>
      </c>
      <c r="B697" s="42" t="str">
        <f>_xlfn.XLOOKUP(A697,Class_Players!$A:$A,Class_Players!$B:$B,"")</f>
        <v>Recon</v>
      </c>
      <c r="C697" s="38" t="str" cm="1">
        <f t="array" ref="C697">INDEX(Lookups!$C$2:$C$9,MOD(ROW()-ROW($B$2),ROWS(Lookups!$C$2:$C$9))+1)</f>
        <v>Throwing Knife</v>
      </c>
      <c r="D697" s="38" t="str">
        <f>_xlfn.XLOOKUP(C697,Analysis_Gadgets!$C:$C,Analysis_Gadgets!$B:$B)</f>
        <v>Grenade</v>
      </c>
      <c r="E697" s="43">
        <v>0</v>
      </c>
      <c r="F697" s="43">
        <f>_xlfn.XLOOKUP(A697,Class_Players!A:A,Class_Players!G:G)</f>
        <v>107</v>
      </c>
      <c r="G697" s="43">
        <f t="shared" si="205"/>
        <v>0</v>
      </c>
      <c r="H697" s="43">
        <f>_xlfn.XLOOKUP(A697,Class_Players!$A:$A,Class_Players!$F:$F,"")</f>
        <v>5551</v>
      </c>
      <c r="I697" s="44">
        <f t="shared" si="206"/>
        <v>0</v>
      </c>
      <c r="J697" s="43">
        <f t="shared" si="207"/>
        <v>0</v>
      </c>
      <c r="K697" s="44" cm="1">
        <f t="array" ref="K697">IF(D697="Gadget",_xlfn.IFS(I697&gt;=0.2,0.5,I697&gt;=0.1,0.35,I697&gt;=0.05,0.2,TRUE,0),IF(D697="Grenade",_xlfn.IFS(I697&gt;=0.2,1,I697&gt;=0.1,0.7,I697&gt;=0.05,0.4,TRUE,0),0))</f>
        <v>0</v>
      </c>
      <c r="L697" s="57">
        <f t="shared" si="215"/>
        <v>0</v>
      </c>
    </row>
    <row r="698" spans="1:12" ht="15" customHeight="1" x14ac:dyDescent="0.25">
      <c r="A698" s="42" t="str" cm="1">
        <f t="array" ref="A698">IFERROR(INDEX(_xlfn._xlws.FILTER(Class_Players!A:A,Class_Players!B:B="Recon"),QUOTIENT(ROW()-ROW($A$2),8)+1),"")</f>
        <v>siiderilehma</v>
      </c>
      <c r="B698" s="42" t="str">
        <f>_xlfn.XLOOKUP(A698,Class_Players!$A:$A,Class_Players!$B:$B,"")</f>
        <v>Recon</v>
      </c>
      <c r="C698" s="38" t="str" cm="1">
        <f t="array" ref="C698">INDEX(Lookups!$C$2:$C$9,MOD(ROW()-ROW($B$2),ROWS(Lookups!$C$2:$C$9))+1)</f>
        <v>Laser Designator</v>
      </c>
      <c r="D698" s="38" t="str">
        <f>_xlfn.XLOOKUP(C698,Analysis_Gadgets!$C:$C,Analysis_Gadgets!$B:$B)</f>
        <v>Gadget</v>
      </c>
      <c r="E698" s="43">
        <v>1601</v>
      </c>
      <c r="F698" s="43">
        <f>_xlfn.XLOOKUP(A698,Class_Players!A:A,Class_Players!G:G)</f>
        <v>223</v>
      </c>
      <c r="G698" s="43">
        <f t="shared" si="205"/>
        <v>7.1793721973094167</v>
      </c>
      <c r="H698" s="43">
        <f>_xlfn.XLOOKUP(A698,Class_Players!$A:$A,Class_Players!$F:$F,"")</f>
        <v>5035</v>
      </c>
      <c r="I698" s="44">
        <f t="shared" si="206"/>
        <v>0.317974180734856</v>
      </c>
      <c r="J698" s="43">
        <f t="shared" si="207"/>
        <v>1</v>
      </c>
      <c r="K698" s="44" cm="1">
        <f t="array" ref="K698">IF(D698="Gadget",_xlfn.IFS(I698&gt;=0.2,0.5,I698&gt;=0.1,0.35,I698&gt;=0.05,0.2,TRUE,0),IF(D698="Grenade",_xlfn.IFS(I698&gt;=0.2,1,I698&gt;=0.1,0.7,I698&gt;=0.05,0.4,TRUE,0),0))</f>
        <v>0.5</v>
      </c>
      <c r="L698" s="57">
        <f t="shared" ref="L698:L703" si="216">IF($K698=0,0,$K698 / SUMIFS($K:$K,$A:$A,$A698,$D:$D,"Gadget"))</f>
        <v>0.32258064516129031</v>
      </c>
    </row>
    <row r="699" spans="1:12" ht="15" customHeight="1" x14ac:dyDescent="0.25">
      <c r="A699" s="42" t="str" cm="1">
        <f t="array" ref="A699">IFERROR(INDEX(_xlfn._xlws.FILTER(Class_Players!A:A,Class_Players!B:B="Recon"),QUOTIENT(ROW()-ROW($A$2),8)+1),"")</f>
        <v>siiderilehma</v>
      </c>
      <c r="B699" s="42" t="str">
        <f>_xlfn.XLOOKUP(A699,Class_Players!$A:$A,Class_Players!$B:$B,"")</f>
        <v>Recon</v>
      </c>
      <c r="C699" s="38" t="str" cm="1">
        <f t="array" ref="C699">INDEX(Lookups!$C$2:$C$9,MOD(ROW()-ROW($B$2),ROWS(Lookups!$C$2:$C$9))+1)</f>
        <v>Recon Drone</v>
      </c>
      <c r="D699" s="38" t="str">
        <f>_xlfn.XLOOKUP(C699,Analysis_Gadgets!$C:$C,Analysis_Gadgets!$B:$B)</f>
        <v>Gadget</v>
      </c>
      <c r="E699" s="43">
        <v>1681</v>
      </c>
      <c r="F699" s="43">
        <f>_xlfn.XLOOKUP(A699,Class_Players!A:A,Class_Players!G:G)</f>
        <v>223</v>
      </c>
      <c r="G699" s="43">
        <f t="shared" si="205"/>
        <v>7.5381165919282509</v>
      </c>
      <c r="H699" s="43">
        <f>_xlfn.XLOOKUP(A699,Class_Players!$A:$A,Class_Players!$F:$F,"")</f>
        <v>5035</v>
      </c>
      <c r="I699" s="44">
        <f t="shared" si="206"/>
        <v>0.33386295928500498</v>
      </c>
      <c r="J699" s="43">
        <f t="shared" si="207"/>
        <v>1</v>
      </c>
      <c r="K699" s="44" cm="1">
        <f t="array" ref="K699">IF(D699="Gadget",_xlfn.IFS(I699&gt;=0.2,0.5,I699&gt;=0.1,0.35,I699&gt;=0.05,0.2,TRUE,0),IF(D699="Grenade",_xlfn.IFS(I699&gt;=0.2,1,I699&gt;=0.1,0.7,I699&gt;=0.05,0.4,TRUE,0),0))</f>
        <v>0.5</v>
      </c>
      <c r="L699" s="57">
        <f t="shared" si="216"/>
        <v>0.32258064516129031</v>
      </c>
    </row>
    <row r="700" spans="1:12" ht="15" customHeight="1" x14ac:dyDescent="0.25">
      <c r="A700" s="42" t="str" cm="1">
        <f t="array" ref="A700">IFERROR(INDEX(_xlfn._xlws.FILTER(Class_Players!A:A,Class_Players!B:B="Recon"),QUOTIENT(ROW()-ROW($A$2),8)+1),"")</f>
        <v>siiderilehma</v>
      </c>
      <c r="B700" s="42" t="str">
        <f>_xlfn.XLOOKUP(A700,Class_Players!$A:$A,Class_Players!$B:$B,"")</f>
        <v>Recon</v>
      </c>
      <c r="C700" s="38" t="str" cm="1">
        <f t="array" ref="C700">INDEX(Lookups!$C$2:$C$9,MOD(ROW()-ROW($B$2),ROWS(Lookups!$C$2:$C$9))+1)</f>
        <v>Tracer Dart</v>
      </c>
      <c r="D700" s="38" t="str">
        <f>_xlfn.XLOOKUP(C700,Analysis_Gadgets!$C:$C,Analysis_Gadgets!$B:$B)</f>
        <v>Gadget</v>
      </c>
      <c r="E700" s="43">
        <v>600</v>
      </c>
      <c r="F700" s="43">
        <f>_xlfn.XLOOKUP(A700,Class_Players!A:A,Class_Players!G:G)</f>
        <v>223</v>
      </c>
      <c r="G700" s="43">
        <f t="shared" si="205"/>
        <v>2.6905829596412558</v>
      </c>
      <c r="H700" s="43">
        <f>_xlfn.XLOOKUP(A700,Class_Players!$A:$A,Class_Players!$F:$F,"")</f>
        <v>5035</v>
      </c>
      <c r="I700" s="44">
        <f t="shared" si="206"/>
        <v>0.11916583912611718</v>
      </c>
      <c r="J700" s="43">
        <f t="shared" si="207"/>
        <v>1</v>
      </c>
      <c r="K700" s="44" cm="1">
        <f t="array" ref="K700">IF(D700="Gadget",_xlfn.IFS(I700&gt;=0.2,0.5,I700&gt;=0.1,0.35,I700&gt;=0.05,0.2,TRUE,0),IF(D700="Grenade",_xlfn.IFS(I700&gt;=0.2,1,I700&gt;=0.1,0.7,I700&gt;=0.05,0.4,TRUE,0),0))</f>
        <v>0.35</v>
      </c>
      <c r="L700" s="57">
        <f t="shared" si="216"/>
        <v>0.22580645161290319</v>
      </c>
    </row>
    <row r="701" spans="1:12" ht="15" customHeight="1" x14ac:dyDescent="0.25">
      <c r="A701" s="42" t="str" cm="1">
        <f t="array" ref="A701">IFERROR(INDEX(_xlfn._xlws.FILTER(Class_Players!A:A,Class_Players!B:B="Recon"),QUOTIENT(ROW()-ROW($A$2),8)+1),"")</f>
        <v>siiderilehma</v>
      </c>
      <c r="B701" s="42" t="str">
        <f>_xlfn.XLOOKUP(A701,Class_Players!$A:$A,Class_Players!$B:$B,"")</f>
        <v>Recon</v>
      </c>
      <c r="C701" s="38" t="str" cm="1">
        <f t="array" ref="C701">INDEX(Lookups!$C$2:$C$9,MOD(ROW()-ROW($B$2),ROWS(Lookups!$C$2:$C$9))+1)</f>
        <v>M18A1 (Claymore)</v>
      </c>
      <c r="D701" s="38" t="str">
        <f>_xlfn.XLOOKUP(C701,Analysis_Gadgets!$C:$C,Analysis_Gadgets!$B:$B)</f>
        <v>Gadget</v>
      </c>
      <c r="E701" s="43">
        <v>49</v>
      </c>
      <c r="F701" s="43">
        <f>_xlfn.XLOOKUP(A701,Class_Players!A:A,Class_Players!G:G)</f>
        <v>223</v>
      </c>
      <c r="G701" s="43">
        <f t="shared" si="205"/>
        <v>0.21973094170403587</v>
      </c>
      <c r="H701" s="43">
        <f>_xlfn.XLOOKUP(A701,Class_Players!$A:$A,Class_Players!$F:$F,"")</f>
        <v>5035</v>
      </c>
      <c r="I701" s="44">
        <f t="shared" si="206"/>
        <v>9.7318768619662366E-3</v>
      </c>
      <c r="J701" s="43">
        <f t="shared" si="207"/>
        <v>0</v>
      </c>
      <c r="K701" s="44" cm="1">
        <f t="array" ref="K701">IF(D701="Gadget",_xlfn.IFS(I701&gt;=0.2,0.5,I701&gt;=0.1,0.35,I701&gt;=0.05,0.2,TRUE,0),IF(D701="Grenade",_xlfn.IFS(I701&gt;=0.2,1,I701&gt;=0.1,0.7,I701&gt;=0.05,0.4,TRUE,0),0))</f>
        <v>0</v>
      </c>
      <c r="L701" s="57">
        <f t="shared" si="216"/>
        <v>0</v>
      </c>
    </row>
    <row r="702" spans="1:12" ht="15" customHeight="1" x14ac:dyDescent="0.25">
      <c r="A702" s="42" t="str" cm="1">
        <f t="array" ref="A702">IFERROR(INDEX(_xlfn._xlws.FILTER(Class_Players!A:A,Class_Players!B:B="Recon"),QUOTIENT(ROW()-ROW($A$2),8)+1),"")</f>
        <v>siiderilehma</v>
      </c>
      <c r="B702" s="42" t="str">
        <f>_xlfn.XLOOKUP(A702,Class_Players!$A:$A,Class_Players!$B:$B,"")</f>
        <v>Recon</v>
      </c>
      <c r="C702" s="38" t="str" cm="1">
        <f t="array" ref="C702">INDEX(Lookups!$C$2:$C$9,MOD(ROW()-ROW($B$2),ROWS(Lookups!$C$2:$C$9))+1)</f>
        <v>Sniper Decoy</v>
      </c>
      <c r="D702" s="38" t="str">
        <f>_xlfn.XLOOKUP(C702,Analysis_Gadgets!$C:$C,Analysis_Gadgets!$B:$B)</f>
        <v>Gadget</v>
      </c>
      <c r="E702" s="43">
        <v>113</v>
      </c>
      <c r="F702" s="43">
        <f>_xlfn.XLOOKUP(A702,Class_Players!A:A,Class_Players!G:G)</f>
        <v>223</v>
      </c>
      <c r="G702" s="43">
        <f t="shared" si="205"/>
        <v>0.50672645739910316</v>
      </c>
      <c r="H702" s="43">
        <f>_xlfn.XLOOKUP(A702,Class_Players!$A:$A,Class_Players!$F:$F,"")</f>
        <v>5035</v>
      </c>
      <c r="I702" s="44">
        <f t="shared" si="206"/>
        <v>2.2442899702085402E-2</v>
      </c>
      <c r="J702" s="43">
        <f t="shared" si="207"/>
        <v>0</v>
      </c>
      <c r="K702" s="44" cm="1">
        <f t="array" ref="K702">IF(D702="Gadget",_xlfn.IFS(I702&gt;=0.2,0.5,I702&gt;=0.1,0.35,I702&gt;=0.05,0.2,TRUE,0),IF(D702="Grenade",_xlfn.IFS(I702&gt;=0.2,1,I702&gt;=0.1,0.7,I702&gt;=0.05,0.4,TRUE,0),0))</f>
        <v>0</v>
      </c>
      <c r="L702" s="57">
        <f t="shared" si="216"/>
        <v>0</v>
      </c>
    </row>
    <row r="703" spans="1:12" ht="15" customHeight="1" x14ac:dyDescent="0.25">
      <c r="A703" s="42" t="str" cm="1">
        <f t="array" ref="A703">IFERROR(INDEX(_xlfn._xlws.FILTER(Class_Players!A:A,Class_Players!B:B="Recon"),QUOTIENT(ROW()-ROW($A$2),8)+1),"")</f>
        <v>siiderilehma</v>
      </c>
      <c r="B703" s="42" t="str">
        <f>_xlfn.XLOOKUP(A703,Class_Players!$A:$A,Class_Players!$B:$B,"")</f>
        <v>Recon</v>
      </c>
      <c r="C703" s="38" t="str" cm="1">
        <f t="array" ref="C703">INDEX(Lookups!$C$2:$C$9,MOD(ROW()-ROW($B$2),ROWS(Lookups!$C$2:$C$9))+1)</f>
        <v>C-4 Explosives</v>
      </c>
      <c r="D703" s="38" t="str">
        <f>_xlfn.XLOOKUP(C703,Analysis_Gadgets!$C:$C,Analysis_Gadgets!$B:$B)</f>
        <v>Gadget</v>
      </c>
      <c r="E703" s="43">
        <v>309</v>
      </c>
      <c r="F703" s="43">
        <f>_xlfn.XLOOKUP(A703,Class_Players!A:A,Class_Players!G:G)</f>
        <v>223</v>
      </c>
      <c r="G703" s="43">
        <f t="shared" si="205"/>
        <v>1.3856502242152466</v>
      </c>
      <c r="H703" s="43">
        <f>_xlfn.XLOOKUP(A703,Class_Players!$A:$A,Class_Players!$F:$F,"")</f>
        <v>5035</v>
      </c>
      <c r="I703" s="44">
        <f t="shared" si="206"/>
        <v>6.1370407149950346E-2</v>
      </c>
      <c r="J703" s="43">
        <f t="shared" si="207"/>
        <v>0</v>
      </c>
      <c r="K703" s="44" cm="1">
        <f t="array" ref="K703">IF(D703="Gadget",_xlfn.IFS(I703&gt;=0.2,0.5,I703&gt;=0.1,0.35,I703&gt;=0.05,0.2,TRUE,0),IF(D703="Grenade",_xlfn.IFS(I703&gt;=0.2,1,I703&gt;=0.1,0.7,I703&gt;=0.05,0.4,TRUE,0),0))</f>
        <v>0.2</v>
      </c>
      <c r="L703" s="57">
        <f t="shared" si="216"/>
        <v>0.12903225806451613</v>
      </c>
    </row>
    <row r="704" spans="1:12" ht="15" customHeight="1" x14ac:dyDescent="0.25">
      <c r="A704" s="42" t="str" cm="1">
        <f t="array" ref="A704">IFERROR(INDEX(_xlfn._xlws.FILTER(Class_Players!A:A,Class_Players!B:B="Recon"),QUOTIENT(ROW()-ROW($A$2),8)+1),"")</f>
        <v>siiderilehma</v>
      </c>
      <c r="B704" s="42" t="str">
        <f>_xlfn.XLOOKUP(A704,Class_Players!$A:$A,Class_Players!$B:$B,"")</f>
        <v>Recon</v>
      </c>
      <c r="C704" s="38" t="str" cm="1">
        <f t="array" ref="C704">INDEX(Lookups!$C$2:$C$9,MOD(ROW()-ROW($B$2),ROWS(Lookups!$C$2:$C$9))+1)</f>
        <v>Proximity Detector</v>
      </c>
      <c r="D704" s="38" t="str">
        <f>_xlfn.XLOOKUP(C704,Analysis_Gadgets!$C:$C,Analysis_Gadgets!$B:$B)</f>
        <v>Grenade</v>
      </c>
      <c r="E704" s="43">
        <v>25</v>
      </c>
      <c r="F704" s="43">
        <f>_xlfn.XLOOKUP(A704,Class_Players!A:A,Class_Players!G:G)</f>
        <v>223</v>
      </c>
      <c r="G704" s="43">
        <f t="shared" si="205"/>
        <v>0.11210762331838565</v>
      </c>
      <c r="H704" s="43">
        <f>_xlfn.XLOOKUP(A704,Class_Players!$A:$A,Class_Players!$F:$F,"")</f>
        <v>5035</v>
      </c>
      <c r="I704" s="44">
        <f t="shared" si="206"/>
        <v>4.9652432969215492E-3</v>
      </c>
      <c r="J704" s="43">
        <f t="shared" si="207"/>
        <v>0</v>
      </c>
      <c r="K704" s="44" cm="1">
        <f t="array" ref="K704">IF(D704="Gadget",_xlfn.IFS(I704&gt;=0.2,0.5,I704&gt;=0.1,0.35,I704&gt;=0.05,0.2,TRUE,0),IF(D704="Grenade",_xlfn.IFS(I704&gt;=0.2,1,I704&gt;=0.1,0.7,I704&gt;=0.05,0.4,TRUE,0),0))</f>
        <v>0</v>
      </c>
      <c r="L704" s="57">
        <f t="shared" ref="L704:L705" si="217">IF($K704=0,0,$K704 / SUMIFS($K:$K,$A:$A,$A704,$D:$D,"Grenade"))</f>
        <v>0</v>
      </c>
    </row>
    <row r="705" spans="1:12" ht="15" customHeight="1" x14ac:dyDescent="0.25">
      <c r="A705" s="42" t="str" cm="1">
        <f t="array" ref="A705">IFERROR(INDEX(_xlfn._xlws.FILTER(Class_Players!A:A,Class_Players!B:B="Recon"),QUOTIENT(ROW()-ROW($A$2),8)+1),"")</f>
        <v>siiderilehma</v>
      </c>
      <c r="B705" s="42" t="str">
        <f>_xlfn.XLOOKUP(A705,Class_Players!$A:$A,Class_Players!$B:$B,"")</f>
        <v>Recon</v>
      </c>
      <c r="C705" s="38" t="str" cm="1">
        <f t="array" ref="C705">INDEX(Lookups!$C$2:$C$9,MOD(ROW()-ROW($B$2),ROWS(Lookups!$C$2:$C$9))+1)</f>
        <v>Throwing Knife</v>
      </c>
      <c r="D705" s="38" t="str">
        <f>_xlfn.XLOOKUP(C705,Analysis_Gadgets!$C:$C,Analysis_Gadgets!$B:$B)</f>
        <v>Grenade</v>
      </c>
      <c r="E705" s="43">
        <v>0</v>
      </c>
      <c r="F705" s="43">
        <f>_xlfn.XLOOKUP(A705,Class_Players!A:A,Class_Players!G:G)</f>
        <v>223</v>
      </c>
      <c r="G705" s="43">
        <f t="shared" si="205"/>
        <v>0</v>
      </c>
      <c r="H705" s="43">
        <f>_xlfn.XLOOKUP(A705,Class_Players!$A:$A,Class_Players!$F:$F,"")</f>
        <v>5035</v>
      </c>
      <c r="I705" s="44">
        <f t="shared" si="206"/>
        <v>0</v>
      </c>
      <c r="J705" s="43">
        <f t="shared" si="207"/>
        <v>0</v>
      </c>
      <c r="K705" s="44" cm="1">
        <f t="array" ref="K705">IF(D705="Gadget",_xlfn.IFS(I705&gt;=0.2,0.5,I705&gt;=0.1,0.35,I705&gt;=0.05,0.2,TRUE,0),IF(D705="Grenade",_xlfn.IFS(I705&gt;=0.2,1,I705&gt;=0.1,0.7,I705&gt;=0.05,0.4,TRUE,0),0))</f>
        <v>0</v>
      </c>
      <c r="L705" s="57">
        <f t="shared" si="217"/>
        <v>0</v>
      </c>
    </row>
    <row r="706" spans="1:12" ht="15" customHeight="1" x14ac:dyDescent="0.25">
      <c r="A706" s="42" t="str" cm="1">
        <f t="array" ref="A706">IFERROR(INDEX(_xlfn._xlws.FILTER(Class_Players!A:A,Class_Players!B:B="Recon"),QUOTIENT(ROW()-ROW($A$2),8)+1),"")</f>
        <v>Alialy</v>
      </c>
      <c r="B706" s="42" t="str">
        <f>_xlfn.XLOOKUP(A706,Class_Players!$A:$A,Class_Players!$B:$B,"")</f>
        <v>Recon</v>
      </c>
      <c r="C706" s="38" t="str" cm="1">
        <f t="array" ref="C706">INDEX(Lookups!$C$2:$C$9,MOD(ROW()-ROW($B$2),ROWS(Lookups!$C$2:$C$9))+1)</f>
        <v>Laser Designator</v>
      </c>
      <c r="D706" s="38" t="str">
        <f>_xlfn.XLOOKUP(C706,Analysis_Gadgets!$C:$C,Analysis_Gadgets!$B:$B)</f>
        <v>Gadget</v>
      </c>
      <c r="E706" s="43">
        <v>119</v>
      </c>
      <c r="F706" s="43">
        <f>_xlfn.XLOOKUP(A706,Class_Players!A:A,Class_Players!G:G)</f>
        <v>134</v>
      </c>
      <c r="G706" s="43">
        <f t="shared" si="205"/>
        <v>0.88805970149253732</v>
      </c>
      <c r="H706" s="43">
        <f>_xlfn.XLOOKUP(A706,Class_Players!$A:$A,Class_Players!$F:$F,"")</f>
        <v>6078</v>
      </c>
      <c r="I706" s="44">
        <f t="shared" si="206"/>
        <v>1.9578808818690358E-2</v>
      </c>
      <c r="J706" s="43">
        <f t="shared" si="207"/>
        <v>0</v>
      </c>
      <c r="K706" s="44" cm="1">
        <f t="array" ref="K706">IF(D706="Gadget",_xlfn.IFS(I706&gt;=0.2,0.5,I706&gt;=0.1,0.35,I706&gt;=0.05,0.2,TRUE,0),IF(D706="Grenade",_xlfn.IFS(I706&gt;=0.2,1,I706&gt;=0.1,0.7,I706&gt;=0.05,0.4,TRUE,0),0))</f>
        <v>0</v>
      </c>
      <c r="L706" s="57">
        <f t="shared" ref="L706:L711" si="218">IF($K706=0,0,$K706 / SUMIFS($K:$K,$A:$A,$A706,$D:$D,"Gadget"))</f>
        <v>0</v>
      </c>
    </row>
    <row r="707" spans="1:12" ht="15" customHeight="1" x14ac:dyDescent="0.25">
      <c r="A707" s="42" t="str" cm="1">
        <f t="array" ref="A707">IFERROR(INDEX(_xlfn._xlws.FILTER(Class_Players!A:A,Class_Players!B:B="Recon"),QUOTIENT(ROW()-ROW($A$2),8)+1),"")</f>
        <v>Alialy</v>
      </c>
      <c r="B707" s="42" t="str">
        <f>_xlfn.XLOOKUP(A707,Class_Players!$A:$A,Class_Players!$B:$B,"")</f>
        <v>Recon</v>
      </c>
      <c r="C707" s="38" t="str" cm="1">
        <f t="array" ref="C707">INDEX(Lookups!$C$2:$C$9,MOD(ROW()-ROW($B$2),ROWS(Lookups!$C$2:$C$9))+1)</f>
        <v>Recon Drone</v>
      </c>
      <c r="D707" s="38" t="str">
        <f>_xlfn.XLOOKUP(C707,Analysis_Gadgets!$C:$C,Analysis_Gadgets!$B:$B)</f>
        <v>Gadget</v>
      </c>
      <c r="E707" s="43">
        <v>62</v>
      </c>
      <c r="F707" s="43">
        <f>_xlfn.XLOOKUP(A707,Class_Players!A:A,Class_Players!G:G)</f>
        <v>134</v>
      </c>
      <c r="G707" s="43">
        <f t="shared" si="205"/>
        <v>0.46268656716417911</v>
      </c>
      <c r="H707" s="43">
        <f>_xlfn.XLOOKUP(A707,Class_Players!$A:$A,Class_Players!$F:$F,"")</f>
        <v>6078</v>
      </c>
      <c r="I707" s="44">
        <f t="shared" si="206"/>
        <v>1.0200723922342876E-2</v>
      </c>
      <c r="J707" s="43">
        <f t="shared" si="207"/>
        <v>0</v>
      </c>
      <c r="K707" s="44" cm="1">
        <f t="array" ref="K707">IF(D707="Gadget",_xlfn.IFS(I707&gt;=0.2,0.5,I707&gt;=0.1,0.35,I707&gt;=0.05,0.2,TRUE,0),IF(D707="Grenade",_xlfn.IFS(I707&gt;=0.2,1,I707&gt;=0.1,0.7,I707&gt;=0.05,0.4,TRUE,0),0))</f>
        <v>0</v>
      </c>
      <c r="L707" s="57">
        <f t="shared" si="218"/>
        <v>0</v>
      </c>
    </row>
    <row r="708" spans="1:12" ht="15" customHeight="1" x14ac:dyDescent="0.25">
      <c r="A708" s="42" t="str" cm="1">
        <f t="array" ref="A708">IFERROR(INDEX(_xlfn._xlws.FILTER(Class_Players!A:A,Class_Players!B:B="Recon"),QUOTIENT(ROW()-ROW($A$2),8)+1),"")</f>
        <v>Alialy</v>
      </c>
      <c r="B708" s="42" t="str">
        <f>_xlfn.XLOOKUP(A708,Class_Players!$A:$A,Class_Players!$B:$B,"")</f>
        <v>Recon</v>
      </c>
      <c r="C708" s="38" t="str" cm="1">
        <f t="array" ref="C708">INDEX(Lookups!$C$2:$C$9,MOD(ROW()-ROW($B$2),ROWS(Lookups!$C$2:$C$9))+1)</f>
        <v>Tracer Dart</v>
      </c>
      <c r="D708" s="38" t="str">
        <f>_xlfn.XLOOKUP(C708,Analysis_Gadgets!$C:$C,Analysis_Gadgets!$B:$B)</f>
        <v>Gadget</v>
      </c>
      <c r="E708" s="43">
        <v>0</v>
      </c>
      <c r="F708" s="43">
        <f>_xlfn.XLOOKUP(A708,Class_Players!A:A,Class_Players!G:G)</f>
        <v>134</v>
      </c>
      <c r="G708" s="43">
        <f t="shared" si="205"/>
        <v>0</v>
      </c>
      <c r="H708" s="43">
        <f>_xlfn.XLOOKUP(A708,Class_Players!$A:$A,Class_Players!$F:$F,"")</f>
        <v>6078</v>
      </c>
      <c r="I708" s="44">
        <f t="shared" si="206"/>
        <v>0</v>
      </c>
      <c r="J708" s="43">
        <f t="shared" si="207"/>
        <v>0</v>
      </c>
      <c r="K708" s="44" cm="1">
        <f t="array" ref="K708">IF(D708="Gadget",_xlfn.IFS(I708&gt;=0.2,0.5,I708&gt;=0.1,0.35,I708&gt;=0.05,0.2,TRUE,0),IF(D708="Grenade",_xlfn.IFS(I708&gt;=0.2,1,I708&gt;=0.1,0.7,I708&gt;=0.05,0.4,TRUE,0),0))</f>
        <v>0</v>
      </c>
      <c r="L708" s="57">
        <f t="shared" si="218"/>
        <v>0</v>
      </c>
    </row>
    <row r="709" spans="1:12" ht="15" customHeight="1" x14ac:dyDescent="0.25">
      <c r="A709" s="42" t="str" cm="1">
        <f t="array" ref="A709">IFERROR(INDEX(_xlfn._xlws.FILTER(Class_Players!A:A,Class_Players!B:B="Recon"),QUOTIENT(ROW()-ROW($A$2),8)+1),"")</f>
        <v>Alialy</v>
      </c>
      <c r="B709" s="42" t="str">
        <f>_xlfn.XLOOKUP(A709,Class_Players!$A:$A,Class_Players!$B:$B,"")</f>
        <v>Recon</v>
      </c>
      <c r="C709" s="38" t="str" cm="1">
        <f t="array" ref="C709">INDEX(Lookups!$C$2:$C$9,MOD(ROW()-ROW($B$2),ROWS(Lookups!$C$2:$C$9))+1)</f>
        <v>M18A1 (Claymore)</v>
      </c>
      <c r="D709" s="38" t="str">
        <f>_xlfn.XLOOKUP(C709,Analysis_Gadgets!$C:$C,Analysis_Gadgets!$B:$B)</f>
        <v>Gadget</v>
      </c>
      <c r="E709" s="43">
        <v>93</v>
      </c>
      <c r="F709" s="43">
        <f>_xlfn.XLOOKUP(A709,Class_Players!A:A,Class_Players!G:G)</f>
        <v>134</v>
      </c>
      <c r="G709" s="43">
        <f t="shared" si="205"/>
        <v>0.69402985074626866</v>
      </c>
      <c r="H709" s="43">
        <f>_xlfn.XLOOKUP(A709,Class_Players!$A:$A,Class_Players!$F:$F,"")</f>
        <v>6078</v>
      </c>
      <c r="I709" s="44">
        <f t="shared" si="206"/>
        <v>1.5301085883514315E-2</v>
      </c>
      <c r="J709" s="43">
        <f t="shared" si="207"/>
        <v>0</v>
      </c>
      <c r="K709" s="44" cm="1">
        <f t="array" ref="K709">IF(D709="Gadget",_xlfn.IFS(I709&gt;=0.2,0.5,I709&gt;=0.1,0.35,I709&gt;=0.05,0.2,TRUE,0),IF(D709="Grenade",_xlfn.IFS(I709&gt;=0.2,1,I709&gt;=0.1,0.7,I709&gt;=0.05,0.4,TRUE,0),0))</f>
        <v>0</v>
      </c>
      <c r="L709" s="57">
        <f t="shared" si="218"/>
        <v>0</v>
      </c>
    </row>
    <row r="710" spans="1:12" ht="15" customHeight="1" x14ac:dyDescent="0.25">
      <c r="A710" s="42" t="str" cm="1">
        <f t="array" ref="A710">IFERROR(INDEX(_xlfn._xlws.FILTER(Class_Players!A:A,Class_Players!B:B="Recon"),QUOTIENT(ROW()-ROW($A$2),8)+1),"")</f>
        <v>Alialy</v>
      </c>
      <c r="B710" s="42" t="str">
        <f>_xlfn.XLOOKUP(A710,Class_Players!$A:$A,Class_Players!$B:$B,"")</f>
        <v>Recon</v>
      </c>
      <c r="C710" s="38" t="str" cm="1">
        <f t="array" ref="C710">INDEX(Lookups!$C$2:$C$9,MOD(ROW()-ROW($B$2),ROWS(Lookups!$C$2:$C$9))+1)</f>
        <v>Sniper Decoy</v>
      </c>
      <c r="D710" s="38" t="str">
        <f>_xlfn.XLOOKUP(C710,Analysis_Gadgets!$C:$C,Analysis_Gadgets!$B:$B)</f>
        <v>Gadget</v>
      </c>
      <c r="E710" s="43">
        <v>4</v>
      </c>
      <c r="F710" s="43">
        <f>_xlfn.XLOOKUP(A710,Class_Players!A:A,Class_Players!G:G)</f>
        <v>134</v>
      </c>
      <c r="G710" s="43">
        <f t="shared" si="205"/>
        <v>2.9850746268656716E-2</v>
      </c>
      <c r="H710" s="43">
        <f>_xlfn.XLOOKUP(A710,Class_Players!$A:$A,Class_Players!$F:$F,"")</f>
        <v>6078</v>
      </c>
      <c r="I710" s="44">
        <f t="shared" si="206"/>
        <v>6.5811122079631457E-4</v>
      </c>
      <c r="J710" s="43">
        <f t="shared" si="207"/>
        <v>0</v>
      </c>
      <c r="K710" s="44" cm="1">
        <f t="array" ref="K710">IF(D710="Gadget",_xlfn.IFS(I710&gt;=0.2,0.5,I710&gt;=0.1,0.35,I710&gt;=0.05,0.2,TRUE,0),IF(D710="Grenade",_xlfn.IFS(I710&gt;=0.2,1,I710&gt;=0.1,0.7,I710&gt;=0.05,0.4,TRUE,0),0))</f>
        <v>0</v>
      </c>
      <c r="L710" s="57">
        <f t="shared" si="218"/>
        <v>0</v>
      </c>
    </row>
    <row r="711" spans="1:12" ht="15" customHeight="1" x14ac:dyDescent="0.25">
      <c r="A711" s="42" t="str" cm="1">
        <f t="array" ref="A711">IFERROR(INDEX(_xlfn._xlws.FILTER(Class_Players!A:A,Class_Players!B:B="Recon"),QUOTIENT(ROW()-ROW($A$2),8)+1),"")</f>
        <v>Alialy</v>
      </c>
      <c r="B711" s="42" t="str">
        <f>_xlfn.XLOOKUP(A711,Class_Players!$A:$A,Class_Players!$B:$B,"")</f>
        <v>Recon</v>
      </c>
      <c r="C711" s="38" t="str" cm="1">
        <f t="array" ref="C711">INDEX(Lookups!$C$2:$C$9,MOD(ROW()-ROW($B$2),ROWS(Lookups!$C$2:$C$9))+1)</f>
        <v>C-4 Explosives</v>
      </c>
      <c r="D711" s="38" t="str">
        <f>_xlfn.XLOOKUP(C711,Analysis_Gadgets!$C:$C,Analysis_Gadgets!$B:$B)</f>
        <v>Gadget</v>
      </c>
      <c r="E711" s="43">
        <v>667</v>
      </c>
      <c r="F711" s="43">
        <f>_xlfn.XLOOKUP(A711,Class_Players!A:A,Class_Players!G:G)</f>
        <v>134</v>
      </c>
      <c r="G711" s="43">
        <f t="shared" si="205"/>
        <v>4.9776119402985071</v>
      </c>
      <c r="H711" s="43">
        <f>_xlfn.XLOOKUP(A711,Class_Players!$A:$A,Class_Players!$F:$F,"")</f>
        <v>6078</v>
      </c>
      <c r="I711" s="44">
        <f t="shared" si="206"/>
        <v>0.10974004606778545</v>
      </c>
      <c r="J711" s="43">
        <f t="shared" si="207"/>
        <v>1</v>
      </c>
      <c r="K711" s="44" cm="1">
        <f t="array" ref="K711">IF(D711="Gadget",_xlfn.IFS(I711&gt;=0.2,0.5,I711&gt;=0.1,0.35,I711&gt;=0.05,0.2,TRUE,0),IF(D711="Grenade",_xlfn.IFS(I711&gt;=0.2,1,I711&gt;=0.1,0.7,I711&gt;=0.05,0.4,TRUE,0),0))</f>
        <v>0.35</v>
      </c>
      <c r="L711" s="57">
        <f t="shared" si="218"/>
        <v>1</v>
      </c>
    </row>
    <row r="712" spans="1:12" ht="15" customHeight="1" x14ac:dyDescent="0.25">
      <c r="A712" s="42" t="str" cm="1">
        <f t="array" ref="A712">IFERROR(INDEX(_xlfn._xlws.FILTER(Class_Players!A:A,Class_Players!B:B="Recon"),QUOTIENT(ROW()-ROW($A$2),8)+1),"")</f>
        <v>Alialy</v>
      </c>
      <c r="B712" s="42" t="str">
        <f>_xlfn.XLOOKUP(A712,Class_Players!$A:$A,Class_Players!$B:$B,"")</f>
        <v>Recon</v>
      </c>
      <c r="C712" s="38" t="str" cm="1">
        <f t="array" ref="C712">INDEX(Lookups!$C$2:$C$9,MOD(ROW()-ROW($B$2),ROWS(Lookups!$C$2:$C$9))+1)</f>
        <v>Proximity Detector</v>
      </c>
      <c r="D712" s="38" t="str">
        <f>_xlfn.XLOOKUP(C712,Analysis_Gadgets!$C:$C,Analysis_Gadgets!$B:$B)</f>
        <v>Grenade</v>
      </c>
      <c r="E712" s="43">
        <v>3</v>
      </c>
      <c r="F712" s="43">
        <f>_xlfn.XLOOKUP(A712,Class_Players!A:A,Class_Players!G:G)</f>
        <v>134</v>
      </c>
      <c r="G712" s="43">
        <f t="shared" si="205"/>
        <v>2.2388059701492536E-2</v>
      </c>
      <c r="H712" s="43">
        <f>_xlfn.XLOOKUP(A712,Class_Players!$A:$A,Class_Players!$F:$F,"")</f>
        <v>6078</v>
      </c>
      <c r="I712" s="44">
        <f t="shared" si="206"/>
        <v>4.935834155972359E-4</v>
      </c>
      <c r="J712" s="43">
        <f t="shared" si="207"/>
        <v>0</v>
      </c>
      <c r="K712" s="44" cm="1">
        <f t="array" ref="K712">IF(D712="Gadget",_xlfn.IFS(I712&gt;=0.2,0.5,I712&gt;=0.1,0.35,I712&gt;=0.05,0.2,TRUE,0),IF(D712="Grenade",_xlfn.IFS(I712&gt;=0.2,1,I712&gt;=0.1,0.7,I712&gt;=0.05,0.4,TRUE,0),0))</f>
        <v>0</v>
      </c>
      <c r="L712" s="57">
        <f t="shared" ref="L712:L713" si="219">IF($K712=0,0,$K712 / SUMIFS($K:$K,$A:$A,$A712,$D:$D,"Grenade"))</f>
        <v>0</v>
      </c>
    </row>
    <row r="713" spans="1:12" ht="15" customHeight="1" x14ac:dyDescent="0.25">
      <c r="A713" s="42" t="str" cm="1">
        <f t="array" ref="A713">IFERROR(INDEX(_xlfn._xlws.FILTER(Class_Players!A:A,Class_Players!B:B="Recon"),QUOTIENT(ROW()-ROW($A$2),8)+1),"")</f>
        <v>Alialy</v>
      </c>
      <c r="B713" s="42" t="str">
        <f>_xlfn.XLOOKUP(A713,Class_Players!$A:$A,Class_Players!$B:$B,"")</f>
        <v>Recon</v>
      </c>
      <c r="C713" s="38" t="str" cm="1">
        <f t="array" ref="C713">INDEX(Lookups!$C$2:$C$9,MOD(ROW()-ROW($B$2),ROWS(Lookups!$C$2:$C$9))+1)</f>
        <v>Throwing Knife</v>
      </c>
      <c r="D713" s="38" t="str">
        <f>_xlfn.XLOOKUP(C713,Analysis_Gadgets!$C:$C,Analysis_Gadgets!$B:$B)</f>
        <v>Grenade</v>
      </c>
      <c r="E713" s="43">
        <v>0</v>
      </c>
      <c r="F713" s="43">
        <f>_xlfn.XLOOKUP(A713,Class_Players!A:A,Class_Players!G:G)</f>
        <v>134</v>
      </c>
      <c r="G713" s="43">
        <f t="shared" si="205"/>
        <v>0</v>
      </c>
      <c r="H713" s="43">
        <f>_xlfn.XLOOKUP(A713,Class_Players!$A:$A,Class_Players!$F:$F,"")</f>
        <v>6078</v>
      </c>
      <c r="I713" s="44">
        <f t="shared" si="206"/>
        <v>0</v>
      </c>
      <c r="J713" s="43">
        <f t="shared" si="207"/>
        <v>0</v>
      </c>
      <c r="K713" s="44" cm="1">
        <f t="array" ref="K713">IF(D713="Gadget",_xlfn.IFS(I713&gt;=0.2,0.5,I713&gt;=0.1,0.35,I713&gt;=0.05,0.2,TRUE,0),IF(D713="Grenade",_xlfn.IFS(I713&gt;=0.2,1,I713&gt;=0.1,0.7,I713&gt;=0.05,0.4,TRUE,0),0))</f>
        <v>0</v>
      </c>
      <c r="L713" s="57">
        <f t="shared" si="219"/>
        <v>0</v>
      </c>
    </row>
    <row r="714" spans="1:12" ht="15" customHeight="1" x14ac:dyDescent="0.25">
      <c r="A714" s="42" t="str" cm="1">
        <f t="array" ref="A714">IFERROR(INDEX(_xlfn._xlws.FILTER(Class_Players!A:A,Class_Players!B:B="Recon"),QUOTIENT(ROW()-ROW($A$2),8)+1),"")</f>
        <v>teddy-juliana</v>
      </c>
      <c r="B714" s="42" t="str">
        <f>_xlfn.XLOOKUP(A714,Class_Players!$A:$A,Class_Players!$B:$B,"")</f>
        <v>Recon</v>
      </c>
      <c r="C714" s="38" t="str" cm="1">
        <f t="array" ref="C714">INDEX(Lookups!$C$2:$C$9,MOD(ROW()-ROW($B$2),ROWS(Lookups!$C$2:$C$9))+1)</f>
        <v>Laser Designator</v>
      </c>
      <c r="D714" s="38" t="str">
        <f>_xlfn.XLOOKUP(C714,Analysis_Gadgets!$C:$C,Analysis_Gadgets!$B:$B)</f>
        <v>Gadget</v>
      </c>
      <c r="E714" s="43">
        <v>2</v>
      </c>
      <c r="F714" s="43">
        <f>_xlfn.XLOOKUP(A714,Class_Players!A:A,Class_Players!G:G)</f>
        <v>84</v>
      </c>
      <c r="G714" s="43">
        <f t="shared" si="205"/>
        <v>2.3809523809523808E-2</v>
      </c>
      <c r="H714" s="43">
        <f>_xlfn.XLOOKUP(A714,Class_Players!$A:$A,Class_Players!$F:$F,"")</f>
        <v>5141</v>
      </c>
      <c r="I714" s="44">
        <f t="shared" si="206"/>
        <v>3.8902937171756465E-4</v>
      </c>
      <c r="J714" s="43">
        <f t="shared" si="207"/>
        <v>0</v>
      </c>
      <c r="K714" s="44" cm="1">
        <f t="array" ref="K714">IF(D714="Gadget",_xlfn.IFS(I714&gt;=0.2,0.5,I714&gt;=0.1,0.35,I714&gt;=0.05,0.2,TRUE,0),IF(D714="Grenade",_xlfn.IFS(I714&gt;=0.2,1,I714&gt;=0.1,0.7,I714&gt;=0.05,0.4,TRUE,0),0))</f>
        <v>0</v>
      </c>
      <c r="L714" s="57">
        <f t="shared" ref="L714:L719" si="220">IF($K714=0,0,$K714 / SUMIFS($K:$K,$A:$A,$A714,$D:$D,"Gadget"))</f>
        <v>0</v>
      </c>
    </row>
    <row r="715" spans="1:12" ht="15" customHeight="1" x14ac:dyDescent="0.25">
      <c r="A715" s="42" t="str" cm="1">
        <f t="array" ref="A715">IFERROR(INDEX(_xlfn._xlws.FILTER(Class_Players!A:A,Class_Players!B:B="Recon"),QUOTIENT(ROW()-ROW($A$2),8)+1),"")</f>
        <v>teddy-juliana</v>
      </c>
      <c r="B715" s="42" t="str">
        <f>_xlfn.XLOOKUP(A715,Class_Players!$A:$A,Class_Players!$B:$B,"")</f>
        <v>Recon</v>
      </c>
      <c r="C715" s="38" t="str" cm="1">
        <f t="array" ref="C715">INDEX(Lookups!$C$2:$C$9,MOD(ROW()-ROW($B$2),ROWS(Lookups!$C$2:$C$9))+1)</f>
        <v>Recon Drone</v>
      </c>
      <c r="D715" s="38" t="str">
        <f>_xlfn.XLOOKUP(C715,Analysis_Gadgets!$C:$C,Analysis_Gadgets!$B:$B)</f>
        <v>Gadget</v>
      </c>
      <c r="E715" s="43">
        <v>32</v>
      </c>
      <c r="F715" s="43">
        <f>_xlfn.XLOOKUP(A715,Class_Players!A:A,Class_Players!G:G)</f>
        <v>84</v>
      </c>
      <c r="G715" s="43">
        <f t="shared" si="205"/>
        <v>0.38095238095238093</v>
      </c>
      <c r="H715" s="43">
        <f>_xlfn.XLOOKUP(A715,Class_Players!$A:$A,Class_Players!$F:$F,"")</f>
        <v>5141</v>
      </c>
      <c r="I715" s="44">
        <f t="shared" si="206"/>
        <v>6.2244699474810344E-3</v>
      </c>
      <c r="J715" s="43">
        <f t="shared" si="207"/>
        <v>0</v>
      </c>
      <c r="K715" s="44" cm="1">
        <f t="array" ref="K715">IF(D715="Gadget",_xlfn.IFS(I715&gt;=0.2,0.5,I715&gt;=0.1,0.35,I715&gt;=0.05,0.2,TRUE,0),IF(D715="Grenade",_xlfn.IFS(I715&gt;=0.2,1,I715&gt;=0.1,0.7,I715&gt;=0.05,0.4,TRUE,0),0))</f>
        <v>0</v>
      </c>
      <c r="L715" s="57">
        <f t="shared" si="220"/>
        <v>0</v>
      </c>
    </row>
    <row r="716" spans="1:12" ht="15" customHeight="1" x14ac:dyDescent="0.25">
      <c r="A716" s="42" t="str" cm="1">
        <f t="array" ref="A716">IFERROR(INDEX(_xlfn._xlws.FILTER(Class_Players!A:A,Class_Players!B:B="Recon"),QUOTIENT(ROW()-ROW($A$2),8)+1),"")</f>
        <v>teddy-juliana</v>
      </c>
      <c r="B716" s="42" t="str">
        <f>_xlfn.XLOOKUP(A716,Class_Players!$A:$A,Class_Players!$B:$B,"")</f>
        <v>Recon</v>
      </c>
      <c r="C716" s="38" t="str" cm="1">
        <f t="array" ref="C716">INDEX(Lookups!$C$2:$C$9,MOD(ROW()-ROW($B$2),ROWS(Lookups!$C$2:$C$9))+1)</f>
        <v>Tracer Dart</v>
      </c>
      <c r="D716" s="38" t="str">
        <f>_xlfn.XLOOKUP(C716,Analysis_Gadgets!$C:$C,Analysis_Gadgets!$B:$B)</f>
        <v>Gadget</v>
      </c>
      <c r="E716" s="43">
        <v>0</v>
      </c>
      <c r="F716" s="43">
        <f>_xlfn.XLOOKUP(A716,Class_Players!A:A,Class_Players!G:G)</f>
        <v>84</v>
      </c>
      <c r="G716" s="43">
        <f t="shared" si="205"/>
        <v>0</v>
      </c>
      <c r="H716" s="43">
        <f>_xlfn.XLOOKUP(A716,Class_Players!$A:$A,Class_Players!$F:$F,"")</f>
        <v>5141</v>
      </c>
      <c r="I716" s="44">
        <f t="shared" si="206"/>
        <v>0</v>
      </c>
      <c r="J716" s="43">
        <f t="shared" si="207"/>
        <v>0</v>
      </c>
      <c r="K716" s="44" cm="1">
        <f t="array" ref="K716">IF(D716="Gadget",_xlfn.IFS(I716&gt;=0.2,0.5,I716&gt;=0.1,0.35,I716&gt;=0.05,0.2,TRUE,0),IF(D716="Grenade",_xlfn.IFS(I716&gt;=0.2,1,I716&gt;=0.1,0.7,I716&gt;=0.05,0.4,TRUE,0),0))</f>
        <v>0</v>
      </c>
      <c r="L716" s="57">
        <f t="shared" si="220"/>
        <v>0</v>
      </c>
    </row>
    <row r="717" spans="1:12" ht="15" customHeight="1" x14ac:dyDescent="0.25">
      <c r="A717" s="42" t="str" cm="1">
        <f t="array" ref="A717">IFERROR(INDEX(_xlfn._xlws.FILTER(Class_Players!A:A,Class_Players!B:B="Recon"),QUOTIENT(ROW()-ROW($A$2),8)+1),"")</f>
        <v>teddy-juliana</v>
      </c>
      <c r="B717" s="42" t="str">
        <f>_xlfn.XLOOKUP(A717,Class_Players!$A:$A,Class_Players!$B:$B,"")</f>
        <v>Recon</v>
      </c>
      <c r="C717" s="38" t="str" cm="1">
        <f t="array" ref="C717">INDEX(Lookups!$C$2:$C$9,MOD(ROW()-ROW($B$2),ROWS(Lookups!$C$2:$C$9))+1)</f>
        <v>M18A1 (Claymore)</v>
      </c>
      <c r="D717" s="38" t="str">
        <f>_xlfn.XLOOKUP(C717,Analysis_Gadgets!$C:$C,Analysis_Gadgets!$B:$B)</f>
        <v>Gadget</v>
      </c>
      <c r="E717" s="43">
        <v>2589</v>
      </c>
      <c r="F717" s="43">
        <f>_xlfn.XLOOKUP(A717,Class_Players!A:A,Class_Players!G:G)</f>
        <v>84</v>
      </c>
      <c r="G717" s="43">
        <f t="shared" si="205"/>
        <v>30.821428571428573</v>
      </c>
      <c r="H717" s="43">
        <f>_xlfn.XLOOKUP(A717,Class_Players!$A:$A,Class_Players!$F:$F,"")</f>
        <v>5141</v>
      </c>
      <c r="I717" s="44">
        <f t="shared" si="206"/>
        <v>0.50359852168838748</v>
      </c>
      <c r="J717" s="43">
        <f t="shared" si="207"/>
        <v>1</v>
      </c>
      <c r="K717" s="44" cm="1">
        <f t="array" ref="K717">IF(D717="Gadget",_xlfn.IFS(I717&gt;=0.2,0.5,I717&gt;=0.1,0.35,I717&gt;=0.05,0.2,TRUE,0),IF(D717="Grenade",_xlfn.IFS(I717&gt;=0.2,1,I717&gt;=0.1,0.7,I717&gt;=0.05,0.4,TRUE,0),0))</f>
        <v>0.5</v>
      </c>
      <c r="L717" s="57">
        <f t="shared" si="220"/>
        <v>0.58823529411764708</v>
      </c>
    </row>
    <row r="718" spans="1:12" ht="15" customHeight="1" x14ac:dyDescent="0.25">
      <c r="A718" s="42" t="str" cm="1">
        <f t="array" ref="A718">IFERROR(INDEX(_xlfn._xlws.FILTER(Class_Players!A:A,Class_Players!B:B="Recon"),QUOTIENT(ROW()-ROW($A$2),8)+1),"")</f>
        <v>teddy-juliana</v>
      </c>
      <c r="B718" s="42" t="str">
        <f>_xlfn.XLOOKUP(A718,Class_Players!$A:$A,Class_Players!$B:$B,"")</f>
        <v>Recon</v>
      </c>
      <c r="C718" s="38" t="str" cm="1">
        <f t="array" ref="C718">INDEX(Lookups!$C$2:$C$9,MOD(ROW()-ROW($B$2),ROWS(Lookups!$C$2:$C$9))+1)</f>
        <v>Sniper Decoy</v>
      </c>
      <c r="D718" s="38" t="str">
        <f>_xlfn.XLOOKUP(C718,Analysis_Gadgets!$C:$C,Analysis_Gadgets!$B:$B)</f>
        <v>Gadget</v>
      </c>
      <c r="E718" s="43">
        <v>51</v>
      </c>
      <c r="F718" s="43">
        <f>_xlfn.XLOOKUP(A718,Class_Players!A:A,Class_Players!G:G)</f>
        <v>84</v>
      </c>
      <c r="G718" s="43">
        <f t="shared" si="205"/>
        <v>0.6071428571428571</v>
      </c>
      <c r="H718" s="43">
        <f>_xlfn.XLOOKUP(A718,Class_Players!$A:$A,Class_Players!$F:$F,"")</f>
        <v>5141</v>
      </c>
      <c r="I718" s="44">
        <f t="shared" si="206"/>
        <v>9.9202489787978999E-3</v>
      </c>
      <c r="J718" s="43">
        <f t="shared" si="207"/>
        <v>0</v>
      </c>
      <c r="K718" s="44" cm="1">
        <f t="array" ref="K718">IF(D718="Gadget",_xlfn.IFS(I718&gt;=0.2,0.5,I718&gt;=0.1,0.35,I718&gt;=0.05,0.2,TRUE,0),IF(D718="Grenade",_xlfn.IFS(I718&gt;=0.2,1,I718&gt;=0.1,0.7,I718&gt;=0.05,0.4,TRUE,0),0))</f>
        <v>0</v>
      </c>
      <c r="L718" s="57">
        <f t="shared" si="220"/>
        <v>0</v>
      </c>
    </row>
    <row r="719" spans="1:12" ht="15" customHeight="1" x14ac:dyDescent="0.25">
      <c r="A719" s="42" t="str" cm="1">
        <f t="array" ref="A719">IFERROR(INDEX(_xlfn._xlws.FILTER(Class_Players!A:A,Class_Players!B:B="Recon"),QUOTIENT(ROW()-ROW($A$2),8)+1),"")</f>
        <v>teddy-juliana</v>
      </c>
      <c r="B719" s="42" t="str">
        <f>_xlfn.XLOOKUP(A719,Class_Players!$A:$A,Class_Players!$B:$B,"")</f>
        <v>Recon</v>
      </c>
      <c r="C719" s="38" t="str" cm="1">
        <f t="array" ref="C719">INDEX(Lookups!$C$2:$C$9,MOD(ROW()-ROW($B$2),ROWS(Lookups!$C$2:$C$9))+1)</f>
        <v>C-4 Explosives</v>
      </c>
      <c r="D719" s="38" t="str">
        <f>_xlfn.XLOOKUP(C719,Analysis_Gadgets!$C:$C,Analysis_Gadgets!$B:$B)</f>
        <v>Gadget</v>
      </c>
      <c r="E719" s="43">
        <v>537</v>
      </c>
      <c r="F719" s="43">
        <f>_xlfn.XLOOKUP(A719,Class_Players!A:A,Class_Players!G:G)</f>
        <v>84</v>
      </c>
      <c r="G719" s="43">
        <f t="shared" si="205"/>
        <v>6.3928571428571432</v>
      </c>
      <c r="H719" s="43">
        <f>_xlfn.XLOOKUP(A719,Class_Players!$A:$A,Class_Players!$F:$F,"")</f>
        <v>5141</v>
      </c>
      <c r="I719" s="44">
        <f t="shared" si="206"/>
        <v>0.10445438630616612</v>
      </c>
      <c r="J719" s="43">
        <f t="shared" si="207"/>
        <v>1</v>
      </c>
      <c r="K719" s="44" cm="1">
        <f t="array" ref="K719">IF(D719="Gadget",_xlfn.IFS(I719&gt;=0.2,0.5,I719&gt;=0.1,0.35,I719&gt;=0.05,0.2,TRUE,0),IF(D719="Grenade",_xlfn.IFS(I719&gt;=0.2,1,I719&gt;=0.1,0.7,I719&gt;=0.05,0.4,TRUE,0),0))</f>
        <v>0.35</v>
      </c>
      <c r="L719" s="57">
        <f t="shared" si="220"/>
        <v>0.41176470588235292</v>
      </c>
    </row>
    <row r="720" spans="1:12" ht="15" customHeight="1" x14ac:dyDescent="0.25">
      <c r="A720" s="42" t="str" cm="1">
        <f t="array" ref="A720">IFERROR(INDEX(_xlfn._xlws.FILTER(Class_Players!A:A,Class_Players!B:B="Recon"),QUOTIENT(ROW()-ROW($A$2),8)+1),"")</f>
        <v>teddy-juliana</v>
      </c>
      <c r="B720" s="42" t="str">
        <f>_xlfn.XLOOKUP(A720,Class_Players!$A:$A,Class_Players!$B:$B,"")</f>
        <v>Recon</v>
      </c>
      <c r="C720" s="38" t="str" cm="1">
        <f t="array" ref="C720">INDEX(Lookups!$C$2:$C$9,MOD(ROW()-ROW($B$2),ROWS(Lookups!$C$2:$C$9))+1)</f>
        <v>Proximity Detector</v>
      </c>
      <c r="D720" s="38" t="str">
        <f>_xlfn.XLOOKUP(C720,Analysis_Gadgets!$C:$C,Analysis_Gadgets!$B:$B)</f>
        <v>Grenade</v>
      </c>
      <c r="E720" s="43">
        <v>2</v>
      </c>
      <c r="F720" s="43">
        <f>_xlfn.XLOOKUP(A720,Class_Players!A:A,Class_Players!G:G)</f>
        <v>84</v>
      </c>
      <c r="G720" s="43">
        <f t="shared" si="205"/>
        <v>2.3809523809523808E-2</v>
      </c>
      <c r="H720" s="43">
        <f>_xlfn.XLOOKUP(A720,Class_Players!$A:$A,Class_Players!$F:$F,"")</f>
        <v>5141</v>
      </c>
      <c r="I720" s="44">
        <f t="shared" si="206"/>
        <v>3.8902937171756465E-4</v>
      </c>
      <c r="J720" s="43">
        <f t="shared" si="207"/>
        <v>0</v>
      </c>
      <c r="K720" s="44" cm="1">
        <f t="array" ref="K720">IF(D720="Gadget",_xlfn.IFS(I720&gt;=0.2,0.5,I720&gt;=0.1,0.35,I720&gt;=0.05,0.2,TRUE,0),IF(D720="Grenade",_xlfn.IFS(I720&gt;=0.2,1,I720&gt;=0.1,0.7,I720&gt;=0.05,0.4,TRUE,0),0))</f>
        <v>0</v>
      </c>
      <c r="L720" s="57">
        <f t="shared" ref="L720:L721" si="221">IF($K720=0,0,$K720 / SUMIFS($K:$K,$A:$A,$A720,$D:$D,"Grenade"))</f>
        <v>0</v>
      </c>
    </row>
    <row r="721" spans="1:12" ht="15" customHeight="1" x14ac:dyDescent="0.25">
      <c r="A721" s="42" t="str" cm="1">
        <f t="array" ref="A721">IFERROR(INDEX(_xlfn._xlws.FILTER(Class_Players!A:A,Class_Players!B:B="Recon"),QUOTIENT(ROW()-ROW($A$2),8)+1),"")</f>
        <v>teddy-juliana</v>
      </c>
      <c r="B721" s="42" t="str">
        <f>_xlfn.XLOOKUP(A721,Class_Players!$A:$A,Class_Players!$B:$B,"")</f>
        <v>Recon</v>
      </c>
      <c r="C721" s="38" t="str" cm="1">
        <f t="array" ref="C721">INDEX(Lookups!$C$2:$C$9,MOD(ROW()-ROW($B$2),ROWS(Lookups!$C$2:$C$9))+1)</f>
        <v>Throwing Knife</v>
      </c>
      <c r="D721" s="38" t="str">
        <f>_xlfn.XLOOKUP(C721,Analysis_Gadgets!$C:$C,Analysis_Gadgets!$B:$B)</f>
        <v>Grenade</v>
      </c>
      <c r="E721" s="43">
        <v>0</v>
      </c>
      <c r="F721" s="43">
        <f>_xlfn.XLOOKUP(A721,Class_Players!A:A,Class_Players!G:G)</f>
        <v>84</v>
      </c>
      <c r="G721" s="43">
        <f t="shared" si="205"/>
        <v>0</v>
      </c>
      <c r="H721" s="43">
        <f>_xlfn.XLOOKUP(A721,Class_Players!$A:$A,Class_Players!$F:$F,"")</f>
        <v>5141</v>
      </c>
      <c r="I721" s="44">
        <f t="shared" si="206"/>
        <v>0</v>
      </c>
      <c r="J721" s="43">
        <f t="shared" si="207"/>
        <v>0</v>
      </c>
      <c r="K721" s="44" cm="1">
        <f t="array" ref="K721">IF(D721="Gadget",_xlfn.IFS(I721&gt;=0.2,0.5,I721&gt;=0.1,0.35,I721&gt;=0.05,0.2,TRUE,0),IF(D721="Grenade",_xlfn.IFS(I721&gt;=0.2,1,I721&gt;=0.1,0.7,I721&gt;=0.05,0.4,TRUE,0),0))</f>
        <v>0</v>
      </c>
      <c r="L721" s="57">
        <f t="shared" si="221"/>
        <v>0</v>
      </c>
    </row>
    <row r="722" spans="1:12" ht="15" customHeight="1" x14ac:dyDescent="0.25">
      <c r="A722" s="42" t="str" cm="1">
        <f t="array" ref="A722">IFERROR(INDEX(_xlfn._xlws.FILTER(Class_Players!A:A,Class_Players!B:B="Recon"),QUOTIENT(ROW()-ROW($A$2),8)+1),"")</f>
        <v>tomaAR</v>
      </c>
      <c r="B722" s="42" t="str">
        <f>_xlfn.XLOOKUP(A722,Class_Players!$A:$A,Class_Players!$B:$B,"")</f>
        <v>Recon</v>
      </c>
      <c r="C722" s="38" t="str" cm="1">
        <f t="array" ref="C722">INDEX(Lookups!$C$2:$C$9,MOD(ROW()-ROW($B$2),ROWS(Lookups!$C$2:$C$9))+1)</f>
        <v>Laser Designator</v>
      </c>
      <c r="D722" s="38" t="str">
        <f>_xlfn.XLOOKUP(C722,Analysis_Gadgets!$C:$C,Analysis_Gadgets!$B:$B)</f>
        <v>Gadget</v>
      </c>
      <c r="E722" s="43">
        <v>20</v>
      </c>
      <c r="F722" s="43">
        <f>_xlfn.XLOOKUP(A722,Class_Players!A:A,Class_Players!G:G)</f>
        <v>155</v>
      </c>
      <c r="G722" s="43">
        <f t="shared" si="205"/>
        <v>0.12903225806451613</v>
      </c>
      <c r="H722" s="43">
        <f>_xlfn.XLOOKUP(A722,Class_Players!$A:$A,Class_Players!$F:$F,"")</f>
        <v>4949</v>
      </c>
      <c r="I722" s="44">
        <f t="shared" si="206"/>
        <v>4.0412204485754701E-3</v>
      </c>
      <c r="J722" s="43">
        <f t="shared" si="207"/>
        <v>0</v>
      </c>
      <c r="K722" s="44" cm="1">
        <f t="array" ref="K722">IF(D722="Gadget",_xlfn.IFS(I722&gt;=0.2,0.5,I722&gt;=0.1,0.35,I722&gt;=0.05,0.2,TRUE,0),IF(D722="Grenade",_xlfn.IFS(I722&gt;=0.2,1,I722&gt;=0.1,0.7,I722&gt;=0.05,0.4,TRUE,0),0))</f>
        <v>0</v>
      </c>
      <c r="L722" s="57">
        <f t="shared" ref="L722:L727" si="222">IF($K722=0,0,$K722 / SUMIFS($K:$K,$A:$A,$A722,$D:$D,"Gadget"))</f>
        <v>0</v>
      </c>
    </row>
    <row r="723" spans="1:12" ht="15" customHeight="1" x14ac:dyDescent="0.25">
      <c r="A723" s="42" t="str" cm="1">
        <f t="array" ref="A723">IFERROR(INDEX(_xlfn._xlws.FILTER(Class_Players!A:A,Class_Players!B:B="Recon"),QUOTIENT(ROW()-ROW($A$2),8)+1),"")</f>
        <v>tomaAR</v>
      </c>
      <c r="B723" s="42" t="str">
        <f>_xlfn.XLOOKUP(A723,Class_Players!$A:$A,Class_Players!$B:$B,"")</f>
        <v>Recon</v>
      </c>
      <c r="C723" s="38" t="str" cm="1">
        <f t="array" ref="C723">INDEX(Lookups!$C$2:$C$9,MOD(ROW()-ROW($B$2),ROWS(Lookups!$C$2:$C$9))+1)</f>
        <v>Recon Drone</v>
      </c>
      <c r="D723" s="38" t="str">
        <f>_xlfn.XLOOKUP(C723,Analysis_Gadgets!$C:$C,Analysis_Gadgets!$B:$B)</f>
        <v>Gadget</v>
      </c>
      <c r="E723" s="43">
        <v>58</v>
      </c>
      <c r="F723" s="43">
        <f>_xlfn.XLOOKUP(A723,Class_Players!A:A,Class_Players!G:G)</f>
        <v>155</v>
      </c>
      <c r="G723" s="43">
        <f t="shared" si="205"/>
        <v>0.37419354838709679</v>
      </c>
      <c r="H723" s="43">
        <f>_xlfn.XLOOKUP(A723,Class_Players!$A:$A,Class_Players!$F:$F,"")</f>
        <v>4949</v>
      </c>
      <c r="I723" s="44">
        <f t="shared" si="206"/>
        <v>1.1719539300868862E-2</v>
      </c>
      <c r="J723" s="43">
        <f t="shared" si="207"/>
        <v>0</v>
      </c>
      <c r="K723" s="44" cm="1">
        <f t="array" ref="K723">IF(D723="Gadget",_xlfn.IFS(I723&gt;=0.2,0.5,I723&gt;=0.1,0.35,I723&gt;=0.05,0.2,TRUE,0),IF(D723="Grenade",_xlfn.IFS(I723&gt;=0.2,1,I723&gt;=0.1,0.7,I723&gt;=0.05,0.4,TRUE,0),0))</f>
        <v>0</v>
      </c>
      <c r="L723" s="57">
        <f t="shared" si="222"/>
        <v>0</v>
      </c>
    </row>
    <row r="724" spans="1:12" ht="15" customHeight="1" x14ac:dyDescent="0.25">
      <c r="A724" s="42" t="str" cm="1">
        <f t="array" ref="A724">IFERROR(INDEX(_xlfn._xlws.FILTER(Class_Players!A:A,Class_Players!B:B="Recon"),QUOTIENT(ROW()-ROW($A$2),8)+1),"")</f>
        <v>tomaAR</v>
      </c>
      <c r="B724" s="42" t="str">
        <f>_xlfn.XLOOKUP(A724,Class_Players!$A:$A,Class_Players!$B:$B,"")</f>
        <v>Recon</v>
      </c>
      <c r="C724" s="38" t="str" cm="1">
        <f t="array" ref="C724">INDEX(Lookups!$C$2:$C$9,MOD(ROW()-ROW($B$2),ROWS(Lookups!$C$2:$C$9))+1)</f>
        <v>Tracer Dart</v>
      </c>
      <c r="D724" s="38" t="str">
        <f>_xlfn.XLOOKUP(C724,Analysis_Gadgets!$C:$C,Analysis_Gadgets!$B:$B)</f>
        <v>Gadget</v>
      </c>
      <c r="E724" s="43">
        <v>98</v>
      </c>
      <c r="F724" s="43">
        <f>_xlfn.XLOOKUP(A724,Class_Players!A:A,Class_Players!G:G)</f>
        <v>155</v>
      </c>
      <c r="G724" s="43">
        <f t="shared" si="205"/>
        <v>0.63225806451612898</v>
      </c>
      <c r="H724" s="43">
        <f>_xlfn.XLOOKUP(A724,Class_Players!$A:$A,Class_Players!$F:$F,"")</f>
        <v>4949</v>
      </c>
      <c r="I724" s="44">
        <f t="shared" si="206"/>
        <v>1.9801980198019802E-2</v>
      </c>
      <c r="J724" s="43">
        <f t="shared" si="207"/>
        <v>0</v>
      </c>
      <c r="K724" s="44" cm="1">
        <f t="array" ref="K724">IF(D724="Gadget",_xlfn.IFS(I724&gt;=0.2,0.5,I724&gt;=0.1,0.35,I724&gt;=0.05,0.2,TRUE,0),IF(D724="Grenade",_xlfn.IFS(I724&gt;=0.2,1,I724&gt;=0.1,0.7,I724&gt;=0.05,0.4,TRUE,0),0))</f>
        <v>0</v>
      </c>
      <c r="L724" s="57">
        <f t="shared" si="222"/>
        <v>0</v>
      </c>
    </row>
    <row r="725" spans="1:12" ht="15" customHeight="1" x14ac:dyDescent="0.25">
      <c r="A725" s="42" t="str" cm="1">
        <f t="array" ref="A725">IFERROR(INDEX(_xlfn._xlws.FILTER(Class_Players!A:A,Class_Players!B:B="Recon"),QUOTIENT(ROW()-ROW($A$2),8)+1),"")</f>
        <v>tomaAR</v>
      </c>
      <c r="B725" s="42" t="str">
        <f>_xlfn.XLOOKUP(A725,Class_Players!$A:$A,Class_Players!$B:$B,"")</f>
        <v>Recon</v>
      </c>
      <c r="C725" s="38" t="str" cm="1">
        <f t="array" ref="C725">INDEX(Lookups!$C$2:$C$9,MOD(ROW()-ROW($B$2),ROWS(Lookups!$C$2:$C$9))+1)</f>
        <v>M18A1 (Claymore)</v>
      </c>
      <c r="D725" s="38" t="str">
        <f>_xlfn.XLOOKUP(C725,Analysis_Gadgets!$C:$C,Analysis_Gadgets!$B:$B)</f>
        <v>Gadget</v>
      </c>
      <c r="E725" s="43">
        <v>1900</v>
      </c>
      <c r="F725" s="43">
        <f>_xlfn.XLOOKUP(A725,Class_Players!A:A,Class_Players!G:G)</f>
        <v>155</v>
      </c>
      <c r="G725" s="43">
        <f t="shared" si="205"/>
        <v>12.258064516129032</v>
      </c>
      <c r="H725" s="43">
        <f>_xlfn.XLOOKUP(A725,Class_Players!$A:$A,Class_Players!$F:$F,"")</f>
        <v>4949</v>
      </c>
      <c r="I725" s="44">
        <f t="shared" si="206"/>
        <v>0.3839159426146696</v>
      </c>
      <c r="J725" s="43">
        <f t="shared" si="207"/>
        <v>1</v>
      </c>
      <c r="K725" s="44" cm="1">
        <f t="array" ref="K725">IF(D725="Gadget",_xlfn.IFS(I725&gt;=0.2,0.5,I725&gt;=0.1,0.35,I725&gt;=0.05,0.2,TRUE,0),IF(D725="Grenade",_xlfn.IFS(I725&gt;=0.2,1,I725&gt;=0.1,0.7,I725&gt;=0.05,0.4,TRUE,0),0))</f>
        <v>0.5</v>
      </c>
      <c r="L725" s="57">
        <f t="shared" si="222"/>
        <v>0.5</v>
      </c>
    </row>
    <row r="726" spans="1:12" ht="15" customHeight="1" x14ac:dyDescent="0.25">
      <c r="A726" s="42" t="str" cm="1">
        <f t="array" ref="A726">IFERROR(INDEX(_xlfn._xlws.FILTER(Class_Players!A:A,Class_Players!B:B="Recon"),QUOTIENT(ROW()-ROW($A$2),8)+1),"")</f>
        <v>tomaAR</v>
      </c>
      <c r="B726" s="42" t="str">
        <f>_xlfn.XLOOKUP(A726,Class_Players!$A:$A,Class_Players!$B:$B,"")</f>
        <v>Recon</v>
      </c>
      <c r="C726" s="38" t="str" cm="1">
        <f t="array" ref="C726">INDEX(Lookups!$C$2:$C$9,MOD(ROW()-ROW($B$2),ROWS(Lookups!$C$2:$C$9))+1)</f>
        <v>Sniper Decoy</v>
      </c>
      <c r="D726" s="38" t="str">
        <f>_xlfn.XLOOKUP(C726,Analysis_Gadgets!$C:$C,Analysis_Gadgets!$B:$B)</f>
        <v>Gadget</v>
      </c>
      <c r="E726" s="43">
        <v>33</v>
      </c>
      <c r="F726" s="43">
        <f>_xlfn.XLOOKUP(A726,Class_Players!A:A,Class_Players!G:G)</f>
        <v>155</v>
      </c>
      <c r="G726" s="43">
        <f t="shared" si="205"/>
        <v>0.2129032258064516</v>
      </c>
      <c r="H726" s="43">
        <f>_xlfn.XLOOKUP(A726,Class_Players!$A:$A,Class_Players!$F:$F,"")</f>
        <v>4949</v>
      </c>
      <c r="I726" s="44">
        <f t="shared" si="206"/>
        <v>6.6680137401495254E-3</v>
      </c>
      <c r="J726" s="43">
        <f t="shared" si="207"/>
        <v>0</v>
      </c>
      <c r="K726" s="44" cm="1">
        <f t="array" ref="K726">IF(D726="Gadget",_xlfn.IFS(I726&gt;=0.2,0.5,I726&gt;=0.1,0.35,I726&gt;=0.05,0.2,TRUE,0),IF(D726="Grenade",_xlfn.IFS(I726&gt;=0.2,1,I726&gt;=0.1,0.7,I726&gt;=0.05,0.4,TRUE,0),0))</f>
        <v>0</v>
      </c>
      <c r="L726" s="57">
        <f t="shared" si="222"/>
        <v>0</v>
      </c>
    </row>
    <row r="727" spans="1:12" ht="15" customHeight="1" x14ac:dyDescent="0.25">
      <c r="A727" s="42" t="str" cm="1">
        <f t="array" ref="A727">IFERROR(INDEX(_xlfn._xlws.FILTER(Class_Players!A:A,Class_Players!B:B="Recon"),QUOTIENT(ROW()-ROW($A$2),8)+1),"")</f>
        <v>tomaAR</v>
      </c>
      <c r="B727" s="42" t="str">
        <f>_xlfn.XLOOKUP(A727,Class_Players!$A:$A,Class_Players!$B:$B,"")</f>
        <v>Recon</v>
      </c>
      <c r="C727" s="38" t="str" cm="1">
        <f t="array" ref="C727">INDEX(Lookups!$C$2:$C$9,MOD(ROW()-ROW($B$2),ROWS(Lookups!$C$2:$C$9))+1)</f>
        <v>C-4 Explosives</v>
      </c>
      <c r="D727" s="38" t="str">
        <f>_xlfn.XLOOKUP(C727,Analysis_Gadgets!$C:$C,Analysis_Gadgets!$B:$B)</f>
        <v>Gadget</v>
      </c>
      <c r="E727" s="43">
        <v>2983</v>
      </c>
      <c r="F727" s="43">
        <f>_xlfn.XLOOKUP(A727,Class_Players!A:A,Class_Players!G:G)</f>
        <v>155</v>
      </c>
      <c r="G727" s="43">
        <f t="shared" si="205"/>
        <v>19.245161290322581</v>
      </c>
      <c r="H727" s="43">
        <f>_xlfn.XLOOKUP(A727,Class_Players!$A:$A,Class_Players!$F:$F,"")</f>
        <v>4949</v>
      </c>
      <c r="I727" s="44">
        <f t="shared" si="206"/>
        <v>0.60274802990503129</v>
      </c>
      <c r="J727" s="43">
        <f t="shared" si="207"/>
        <v>1</v>
      </c>
      <c r="K727" s="44" cm="1">
        <f t="array" ref="K727">IF(D727="Gadget",_xlfn.IFS(I727&gt;=0.2,0.5,I727&gt;=0.1,0.35,I727&gt;=0.05,0.2,TRUE,0),IF(D727="Grenade",_xlfn.IFS(I727&gt;=0.2,1,I727&gt;=0.1,0.7,I727&gt;=0.05,0.4,TRUE,0),0))</f>
        <v>0.5</v>
      </c>
      <c r="L727" s="57">
        <f t="shared" si="222"/>
        <v>0.5</v>
      </c>
    </row>
    <row r="728" spans="1:12" ht="15" customHeight="1" x14ac:dyDescent="0.25">
      <c r="A728" s="42" t="str" cm="1">
        <f t="array" ref="A728">IFERROR(INDEX(_xlfn._xlws.FILTER(Class_Players!A:A,Class_Players!B:B="Recon"),QUOTIENT(ROW()-ROW($A$2),8)+1),"")</f>
        <v>tomaAR</v>
      </c>
      <c r="B728" s="42" t="str">
        <f>_xlfn.XLOOKUP(A728,Class_Players!$A:$A,Class_Players!$B:$B,"")</f>
        <v>Recon</v>
      </c>
      <c r="C728" s="38" t="str" cm="1">
        <f t="array" ref="C728">INDEX(Lookups!$C$2:$C$9,MOD(ROW()-ROW($B$2),ROWS(Lookups!$C$2:$C$9))+1)</f>
        <v>Proximity Detector</v>
      </c>
      <c r="D728" s="38" t="str">
        <f>_xlfn.XLOOKUP(C728,Analysis_Gadgets!$C:$C,Analysis_Gadgets!$B:$B)</f>
        <v>Grenade</v>
      </c>
      <c r="E728" s="43">
        <v>0</v>
      </c>
      <c r="F728" s="43">
        <f>_xlfn.XLOOKUP(A728,Class_Players!A:A,Class_Players!G:G)</f>
        <v>155</v>
      </c>
      <c r="G728" s="43">
        <f t="shared" si="205"/>
        <v>0</v>
      </c>
      <c r="H728" s="43">
        <f>_xlfn.XLOOKUP(A728,Class_Players!$A:$A,Class_Players!$F:$F,"")</f>
        <v>4949</v>
      </c>
      <c r="I728" s="44">
        <f t="shared" si="206"/>
        <v>0</v>
      </c>
      <c r="J728" s="43">
        <f t="shared" si="207"/>
        <v>0</v>
      </c>
      <c r="K728" s="44" cm="1">
        <f t="array" ref="K728">IF(D728="Gadget",_xlfn.IFS(I728&gt;=0.2,0.5,I728&gt;=0.1,0.35,I728&gt;=0.05,0.2,TRUE,0),IF(D728="Grenade",_xlfn.IFS(I728&gt;=0.2,1,I728&gt;=0.1,0.7,I728&gt;=0.05,0.4,TRUE,0),0))</f>
        <v>0</v>
      </c>
      <c r="L728" s="57">
        <f t="shared" ref="L728:L729" si="223">IF($K728=0,0,$K728 / SUMIFS($K:$K,$A:$A,$A728,$D:$D,"Grenade"))</f>
        <v>0</v>
      </c>
    </row>
    <row r="729" spans="1:12" ht="15" customHeight="1" x14ac:dyDescent="0.25">
      <c r="A729" s="42" t="str" cm="1">
        <f t="array" ref="A729">IFERROR(INDEX(_xlfn._xlws.FILTER(Class_Players!A:A,Class_Players!B:B="Recon"),QUOTIENT(ROW()-ROW($A$2),8)+1),"")</f>
        <v>tomaAR</v>
      </c>
      <c r="B729" s="42" t="str">
        <f>_xlfn.XLOOKUP(A729,Class_Players!$A:$A,Class_Players!$B:$B,"")</f>
        <v>Recon</v>
      </c>
      <c r="C729" s="38" t="str" cm="1">
        <f t="array" ref="C729">INDEX(Lookups!$C$2:$C$9,MOD(ROW()-ROW($B$2),ROWS(Lookups!$C$2:$C$9))+1)</f>
        <v>Throwing Knife</v>
      </c>
      <c r="D729" s="38" t="str">
        <f>_xlfn.XLOOKUP(C729,Analysis_Gadgets!$C:$C,Analysis_Gadgets!$B:$B)</f>
        <v>Grenade</v>
      </c>
      <c r="E729" s="43">
        <v>0</v>
      </c>
      <c r="F729" s="43">
        <f>_xlfn.XLOOKUP(A729,Class_Players!A:A,Class_Players!G:G)</f>
        <v>155</v>
      </c>
      <c r="G729" s="43">
        <f t="shared" si="205"/>
        <v>0</v>
      </c>
      <c r="H729" s="43">
        <f>_xlfn.XLOOKUP(A729,Class_Players!$A:$A,Class_Players!$F:$F,"")</f>
        <v>4949</v>
      </c>
      <c r="I729" s="44">
        <f t="shared" si="206"/>
        <v>0</v>
      </c>
      <c r="J729" s="43">
        <f t="shared" si="207"/>
        <v>0</v>
      </c>
      <c r="K729" s="44" cm="1">
        <f t="array" ref="K729">IF(D729="Gadget",_xlfn.IFS(I729&gt;=0.2,0.5,I729&gt;=0.1,0.35,I729&gt;=0.05,0.2,TRUE,0),IF(D729="Grenade",_xlfn.IFS(I729&gt;=0.2,1,I729&gt;=0.1,0.7,I729&gt;=0.05,0.4,TRUE,0),0))</f>
        <v>0</v>
      </c>
      <c r="L729" s="57">
        <f t="shared" si="223"/>
        <v>0</v>
      </c>
    </row>
    <row r="730" spans="1:12" ht="15" customHeight="1" x14ac:dyDescent="0.25">
      <c r="A730" s="42" t="str" cm="1">
        <f t="array" ref="A730">IFERROR(INDEX(_xlfn._xlws.FILTER(Class_Players!A:A,Class_Players!B:B="Recon"),QUOTIENT(ROW()-ROW($A$2),8)+1),"")</f>
        <v>SCZ</v>
      </c>
      <c r="B730" s="42" t="str">
        <f>_xlfn.XLOOKUP(A730,Class_Players!$A:$A,Class_Players!$B:$B,"")</f>
        <v>Recon</v>
      </c>
      <c r="C730" s="38" t="str" cm="1">
        <f t="array" ref="C730">INDEX(Lookups!$C$2:$C$9,MOD(ROW()-ROW($B$2),ROWS(Lookups!$C$2:$C$9))+1)</f>
        <v>Laser Designator</v>
      </c>
      <c r="D730" s="38" t="str">
        <f>_xlfn.XLOOKUP(C730,Analysis_Gadgets!$C:$C,Analysis_Gadgets!$B:$B)</f>
        <v>Gadget</v>
      </c>
      <c r="E730" s="43">
        <v>13</v>
      </c>
      <c r="F730" s="43">
        <f>_xlfn.XLOOKUP(A730,Class_Players!A:A,Class_Players!G:G)</f>
        <v>99</v>
      </c>
      <c r="G730" s="43">
        <f t="shared" ref="G730:G793" si="224">IF(F730=0,"",E730/(F730))</f>
        <v>0.13131313131313133</v>
      </c>
      <c r="H730" s="43">
        <f>_xlfn.XLOOKUP(A730,Class_Players!$A:$A,Class_Players!$F:$F,"")</f>
        <v>4952</v>
      </c>
      <c r="I730" s="44">
        <f t="shared" ref="I730:I793" si="225">IF(H730=0,"",E730/H730)</f>
        <v>2.6252019386106625E-3</v>
      </c>
      <c r="J730" s="43">
        <f t="shared" ref="J730:J793" si="226">IF(I730&gt;=0.1,1,0)</f>
        <v>0</v>
      </c>
      <c r="K730" s="44" cm="1">
        <f t="array" ref="K730">IF(D730="Gadget",_xlfn.IFS(I730&gt;=0.2,0.5,I730&gt;=0.1,0.35,I730&gt;=0.05,0.2,TRUE,0),IF(D730="Grenade",_xlfn.IFS(I730&gt;=0.2,1,I730&gt;=0.1,0.7,I730&gt;=0.05,0.4,TRUE,0),0))</f>
        <v>0</v>
      </c>
      <c r="L730" s="57">
        <f t="shared" ref="L730:L735" si="227">IF($K730=0,0,$K730 / SUMIFS($K:$K,$A:$A,$A730,$D:$D,"Gadget"))</f>
        <v>0</v>
      </c>
    </row>
    <row r="731" spans="1:12" ht="15" customHeight="1" x14ac:dyDescent="0.25">
      <c r="A731" s="42" t="str" cm="1">
        <f t="array" ref="A731">IFERROR(INDEX(_xlfn._xlws.FILTER(Class_Players!A:A,Class_Players!B:B="Recon"),QUOTIENT(ROW()-ROW($A$2),8)+1),"")</f>
        <v>SCZ</v>
      </c>
      <c r="B731" s="42" t="str">
        <f>_xlfn.XLOOKUP(A731,Class_Players!$A:$A,Class_Players!$B:$B,"")</f>
        <v>Recon</v>
      </c>
      <c r="C731" s="38" t="str" cm="1">
        <f t="array" ref="C731">INDEX(Lookups!$C$2:$C$9,MOD(ROW()-ROW($B$2),ROWS(Lookups!$C$2:$C$9))+1)</f>
        <v>Recon Drone</v>
      </c>
      <c r="D731" s="38" t="str">
        <f>_xlfn.XLOOKUP(C731,Analysis_Gadgets!$C:$C,Analysis_Gadgets!$B:$B)</f>
        <v>Gadget</v>
      </c>
      <c r="E731" s="43">
        <v>53</v>
      </c>
      <c r="F731" s="43">
        <f>_xlfn.XLOOKUP(A731,Class_Players!A:A,Class_Players!G:G)</f>
        <v>99</v>
      </c>
      <c r="G731" s="43">
        <f t="shared" si="224"/>
        <v>0.53535353535353536</v>
      </c>
      <c r="H731" s="43">
        <f>_xlfn.XLOOKUP(A731,Class_Players!$A:$A,Class_Players!$F:$F,"")</f>
        <v>4952</v>
      </c>
      <c r="I731" s="44">
        <f t="shared" si="225"/>
        <v>1.0702746365105008E-2</v>
      </c>
      <c r="J731" s="43">
        <f t="shared" si="226"/>
        <v>0</v>
      </c>
      <c r="K731" s="44" cm="1">
        <f t="array" ref="K731">IF(D731="Gadget",_xlfn.IFS(I731&gt;=0.2,0.5,I731&gt;=0.1,0.35,I731&gt;=0.05,0.2,TRUE,0),IF(D731="Grenade",_xlfn.IFS(I731&gt;=0.2,1,I731&gt;=0.1,0.7,I731&gt;=0.05,0.4,TRUE,0),0))</f>
        <v>0</v>
      </c>
      <c r="L731" s="57">
        <f t="shared" si="227"/>
        <v>0</v>
      </c>
    </row>
    <row r="732" spans="1:12" ht="15" customHeight="1" x14ac:dyDescent="0.25">
      <c r="A732" s="42" t="str" cm="1">
        <f t="array" ref="A732">IFERROR(INDEX(_xlfn._xlws.FILTER(Class_Players!A:A,Class_Players!B:B="Recon"),QUOTIENT(ROW()-ROW($A$2),8)+1),"")</f>
        <v>SCZ</v>
      </c>
      <c r="B732" s="42" t="str">
        <f>_xlfn.XLOOKUP(A732,Class_Players!$A:$A,Class_Players!$B:$B,"")</f>
        <v>Recon</v>
      </c>
      <c r="C732" s="38" t="str" cm="1">
        <f t="array" ref="C732">INDEX(Lookups!$C$2:$C$9,MOD(ROW()-ROW($B$2),ROWS(Lookups!$C$2:$C$9))+1)</f>
        <v>Tracer Dart</v>
      </c>
      <c r="D732" s="38" t="str">
        <f>_xlfn.XLOOKUP(C732,Analysis_Gadgets!$C:$C,Analysis_Gadgets!$B:$B)</f>
        <v>Gadget</v>
      </c>
      <c r="E732" s="43">
        <v>0</v>
      </c>
      <c r="F732" s="43">
        <f>_xlfn.XLOOKUP(A732,Class_Players!A:A,Class_Players!G:G)</f>
        <v>99</v>
      </c>
      <c r="G732" s="43">
        <f t="shared" si="224"/>
        <v>0</v>
      </c>
      <c r="H732" s="43">
        <f>_xlfn.XLOOKUP(A732,Class_Players!$A:$A,Class_Players!$F:$F,"")</f>
        <v>4952</v>
      </c>
      <c r="I732" s="44">
        <f t="shared" si="225"/>
        <v>0</v>
      </c>
      <c r="J732" s="43">
        <f t="shared" si="226"/>
        <v>0</v>
      </c>
      <c r="K732" s="44" cm="1">
        <f t="array" ref="K732">IF(D732="Gadget",_xlfn.IFS(I732&gt;=0.2,0.5,I732&gt;=0.1,0.35,I732&gt;=0.05,0.2,TRUE,0),IF(D732="Grenade",_xlfn.IFS(I732&gt;=0.2,1,I732&gt;=0.1,0.7,I732&gt;=0.05,0.4,TRUE,0),0))</f>
        <v>0</v>
      </c>
      <c r="L732" s="57">
        <f t="shared" si="227"/>
        <v>0</v>
      </c>
    </row>
    <row r="733" spans="1:12" ht="15" customHeight="1" x14ac:dyDescent="0.25">
      <c r="A733" s="42" t="str" cm="1">
        <f t="array" ref="A733">IFERROR(INDEX(_xlfn._xlws.FILTER(Class_Players!A:A,Class_Players!B:B="Recon"),QUOTIENT(ROW()-ROW($A$2),8)+1),"")</f>
        <v>SCZ</v>
      </c>
      <c r="B733" s="42" t="str">
        <f>_xlfn.XLOOKUP(A733,Class_Players!$A:$A,Class_Players!$B:$B,"")</f>
        <v>Recon</v>
      </c>
      <c r="C733" s="38" t="str" cm="1">
        <f t="array" ref="C733">INDEX(Lookups!$C$2:$C$9,MOD(ROW()-ROW($B$2),ROWS(Lookups!$C$2:$C$9))+1)</f>
        <v>M18A1 (Claymore)</v>
      </c>
      <c r="D733" s="38" t="str">
        <f>_xlfn.XLOOKUP(C733,Analysis_Gadgets!$C:$C,Analysis_Gadgets!$B:$B)</f>
        <v>Gadget</v>
      </c>
      <c r="E733" s="43">
        <v>3407</v>
      </c>
      <c r="F733" s="43">
        <f>_xlfn.XLOOKUP(A733,Class_Players!A:A,Class_Players!G:G)</f>
        <v>99</v>
      </c>
      <c r="G733" s="43">
        <f t="shared" si="224"/>
        <v>34.414141414141412</v>
      </c>
      <c r="H733" s="43">
        <f>_xlfn.XLOOKUP(A733,Class_Players!$A:$A,Class_Players!$F:$F,"")</f>
        <v>4952</v>
      </c>
      <c r="I733" s="44">
        <f t="shared" si="225"/>
        <v>0.68800484652665594</v>
      </c>
      <c r="J733" s="43">
        <f t="shared" si="226"/>
        <v>1</v>
      </c>
      <c r="K733" s="44" cm="1">
        <f t="array" ref="K733">IF(D733="Gadget",_xlfn.IFS(I733&gt;=0.2,0.5,I733&gt;=0.1,0.35,I733&gt;=0.05,0.2,TRUE,0),IF(D733="Grenade",_xlfn.IFS(I733&gt;=0.2,1,I733&gt;=0.1,0.7,I733&gt;=0.05,0.4,TRUE,0),0))</f>
        <v>0.5</v>
      </c>
      <c r="L733" s="57">
        <f t="shared" si="227"/>
        <v>0.5</v>
      </c>
    </row>
    <row r="734" spans="1:12" ht="15" customHeight="1" x14ac:dyDescent="0.25">
      <c r="A734" s="42" t="str" cm="1">
        <f t="array" ref="A734">IFERROR(INDEX(_xlfn._xlws.FILTER(Class_Players!A:A,Class_Players!B:B="Recon"),QUOTIENT(ROW()-ROW($A$2),8)+1),"")</f>
        <v>SCZ</v>
      </c>
      <c r="B734" s="42" t="str">
        <f>_xlfn.XLOOKUP(A734,Class_Players!$A:$A,Class_Players!$B:$B,"")</f>
        <v>Recon</v>
      </c>
      <c r="C734" s="38" t="str" cm="1">
        <f t="array" ref="C734">INDEX(Lookups!$C$2:$C$9,MOD(ROW()-ROW($B$2),ROWS(Lookups!$C$2:$C$9))+1)</f>
        <v>Sniper Decoy</v>
      </c>
      <c r="D734" s="38" t="str">
        <f>_xlfn.XLOOKUP(C734,Analysis_Gadgets!$C:$C,Analysis_Gadgets!$B:$B)</f>
        <v>Gadget</v>
      </c>
      <c r="E734" s="43">
        <v>22</v>
      </c>
      <c r="F734" s="43">
        <f>_xlfn.XLOOKUP(A734,Class_Players!A:A,Class_Players!G:G)</f>
        <v>99</v>
      </c>
      <c r="G734" s="43">
        <f t="shared" si="224"/>
        <v>0.22222222222222221</v>
      </c>
      <c r="H734" s="43">
        <f>_xlfn.XLOOKUP(A734,Class_Players!$A:$A,Class_Players!$F:$F,"")</f>
        <v>4952</v>
      </c>
      <c r="I734" s="44">
        <f t="shared" si="225"/>
        <v>4.4426494345718905E-3</v>
      </c>
      <c r="J734" s="43">
        <f t="shared" si="226"/>
        <v>0</v>
      </c>
      <c r="K734" s="44" cm="1">
        <f t="array" ref="K734">IF(D734="Gadget",_xlfn.IFS(I734&gt;=0.2,0.5,I734&gt;=0.1,0.35,I734&gt;=0.05,0.2,TRUE,0),IF(D734="Grenade",_xlfn.IFS(I734&gt;=0.2,1,I734&gt;=0.1,0.7,I734&gt;=0.05,0.4,TRUE,0),0))</f>
        <v>0</v>
      </c>
      <c r="L734" s="57">
        <f t="shared" si="227"/>
        <v>0</v>
      </c>
    </row>
    <row r="735" spans="1:12" ht="15" customHeight="1" x14ac:dyDescent="0.25">
      <c r="A735" s="42" t="str" cm="1">
        <f t="array" ref="A735">IFERROR(INDEX(_xlfn._xlws.FILTER(Class_Players!A:A,Class_Players!B:B="Recon"),QUOTIENT(ROW()-ROW($A$2),8)+1),"")</f>
        <v>SCZ</v>
      </c>
      <c r="B735" s="42" t="str">
        <f>_xlfn.XLOOKUP(A735,Class_Players!$A:$A,Class_Players!$B:$B,"")</f>
        <v>Recon</v>
      </c>
      <c r="C735" s="38" t="str" cm="1">
        <f t="array" ref="C735">INDEX(Lookups!$C$2:$C$9,MOD(ROW()-ROW($B$2),ROWS(Lookups!$C$2:$C$9))+1)</f>
        <v>C-4 Explosives</v>
      </c>
      <c r="D735" s="38" t="str">
        <f>_xlfn.XLOOKUP(C735,Analysis_Gadgets!$C:$C,Analysis_Gadgets!$B:$B)</f>
        <v>Gadget</v>
      </c>
      <c r="E735" s="43">
        <v>8519</v>
      </c>
      <c r="F735" s="43">
        <f>_xlfn.XLOOKUP(A735,Class_Players!A:A,Class_Players!G:G)</f>
        <v>99</v>
      </c>
      <c r="G735" s="43">
        <f t="shared" si="224"/>
        <v>86.050505050505052</v>
      </c>
      <c r="H735" s="43">
        <f>_xlfn.XLOOKUP(A735,Class_Players!$A:$A,Class_Players!$F:$F,"")</f>
        <v>4952</v>
      </c>
      <c r="I735" s="44">
        <f t="shared" si="225"/>
        <v>1.7203150242326333</v>
      </c>
      <c r="J735" s="43">
        <f t="shared" si="226"/>
        <v>1</v>
      </c>
      <c r="K735" s="44" cm="1">
        <f t="array" ref="K735">IF(D735="Gadget",_xlfn.IFS(I735&gt;=0.2,0.5,I735&gt;=0.1,0.35,I735&gt;=0.05,0.2,TRUE,0),IF(D735="Grenade",_xlfn.IFS(I735&gt;=0.2,1,I735&gt;=0.1,0.7,I735&gt;=0.05,0.4,TRUE,0),0))</f>
        <v>0.5</v>
      </c>
      <c r="L735" s="57">
        <f t="shared" si="227"/>
        <v>0.5</v>
      </c>
    </row>
    <row r="736" spans="1:12" ht="15" customHeight="1" x14ac:dyDescent="0.25">
      <c r="A736" s="42" t="str" cm="1">
        <f t="array" ref="A736">IFERROR(INDEX(_xlfn._xlws.FILTER(Class_Players!A:A,Class_Players!B:B="Recon"),QUOTIENT(ROW()-ROW($A$2),8)+1),"")</f>
        <v>SCZ</v>
      </c>
      <c r="B736" s="42" t="str">
        <f>_xlfn.XLOOKUP(A736,Class_Players!$A:$A,Class_Players!$B:$B,"")</f>
        <v>Recon</v>
      </c>
      <c r="C736" s="38" t="str" cm="1">
        <f t="array" ref="C736">INDEX(Lookups!$C$2:$C$9,MOD(ROW()-ROW($B$2),ROWS(Lookups!$C$2:$C$9))+1)</f>
        <v>Proximity Detector</v>
      </c>
      <c r="D736" s="38" t="str">
        <f>_xlfn.XLOOKUP(C736,Analysis_Gadgets!$C:$C,Analysis_Gadgets!$B:$B)</f>
        <v>Grenade</v>
      </c>
      <c r="E736" s="43">
        <v>64</v>
      </c>
      <c r="F736" s="43">
        <f>_xlfn.XLOOKUP(A736,Class_Players!A:A,Class_Players!G:G)</f>
        <v>99</v>
      </c>
      <c r="G736" s="43">
        <f t="shared" si="224"/>
        <v>0.64646464646464652</v>
      </c>
      <c r="H736" s="43">
        <f>_xlfn.XLOOKUP(A736,Class_Players!$A:$A,Class_Players!$F:$F,"")</f>
        <v>4952</v>
      </c>
      <c r="I736" s="44">
        <f t="shared" si="225"/>
        <v>1.2924071082390954E-2</v>
      </c>
      <c r="J736" s="43">
        <f t="shared" si="226"/>
        <v>0</v>
      </c>
      <c r="K736" s="44" cm="1">
        <f t="array" ref="K736">IF(D736="Gadget",_xlfn.IFS(I736&gt;=0.2,0.5,I736&gt;=0.1,0.35,I736&gt;=0.05,0.2,TRUE,0),IF(D736="Grenade",_xlfn.IFS(I736&gt;=0.2,1,I736&gt;=0.1,0.7,I736&gt;=0.05,0.4,TRUE,0),0))</f>
        <v>0</v>
      </c>
      <c r="L736" s="57">
        <f t="shared" ref="L736:L737" si="228">IF($K736=0,0,$K736 / SUMIFS($K:$K,$A:$A,$A736,$D:$D,"Grenade"))</f>
        <v>0</v>
      </c>
    </row>
    <row r="737" spans="1:12" ht="15" customHeight="1" x14ac:dyDescent="0.25">
      <c r="A737" s="42" t="str" cm="1">
        <f t="array" ref="A737">IFERROR(INDEX(_xlfn._xlws.FILTER(Class_Players!A:A,Class_Players!B:B="Recon"),QUOTIENT(ROW()-ROW($A$2),8)+1),"")</f>
        <v>SCZ</v>
      </c>
      <c r="B737" s="42" t="str">
        <f>_xlfn.XLOOKUP(A737,Class_Players!$A:$A,Class_Players!$B:$B,"")</f>
        <v>Recon</v>
      </c>
      <c r="C737" s="38" t="str" cm="1">
        <f t="array" ref="C737">INDEX(Lookups!$C$2:$C$9,MOD(ROW()-ROW($B$2),ROWS(Lookups!$C$2:$C$9))+1)</f>
        <v>Throwing Knife</v>
      </c>
      <c r="D737" s="38" t="str">
        <f>_xlfn.XLOOKUP(C737,Analysis_Gadgets!$C:$C,Analysis_Gadgets!$B:$B)</f>
        <v>Grenade</v>
      </c>
      <c r="E737" s="43">
        <v>3</v>
      </c>
      <c r="F737" s="43">
        <f>_xlfn.XLOOKUP(A737,Class_Players!A:A,Class_Players!G:G)</f>
        <v>99</v>
      </c>
      <c r="G737" s="43">
        <f t="shared" si="224"/>
        <v>3.0303030303030304E-2</v>
      </c>
      <c r="H737" s="43">
        <f>_xlfn.XLOOKUP(A737,Class_Players!$A:$A,Class_Players!$F:$F,"")</f>
        <v>4952</v>
      </c>
      <c r="I737" s="44">
        <f t="shared" si="225"/>
        <v>6.0581583198707591E-4</v>
      </c>
      <c r="J737" s="43">
        <f t="shared" si="226"/>
        <v>0</v>
      </c>
      <c r="K737" s="44" cm="1">
        <f t="array" ref="K737">IF(D737="Gadget",_xlfn.IFS(I737&gt;=0.2,0.5,I737&gt;=0.1,0.35,I737&gt;=0.05,0.2,TRUE,0),IF(D737="Grenade",_xlfn.IFS(I737&gt;=0.2,1,I737&gt;=0.1,0.7,I737&gt;=0.05,0.4,TRUE,0),0))</f>
        <v>0</v>
      </c>
      <c r="L737" s="57">
        <f t="shared" si="228"/>
        <v>0</v>
      </c>
    </row>
    <row r="738" spans="1:12" ht="15" customHeight="1" x14ac:dyDescent="0.25">
      <c r="A738" s="42" t="str" cm="1">
        <f t="array" ref="A738">IFERROR(INDEX(_xlfn._xlws.FILTER(Class_Players!A:A,Class_Players!B:B="Recon"),QUOTIENT(ROW()-ROW($A$2),8)+1),"")</f>
        <v>уволень</v>
      </c>
      <c r="B738" s="42" t="str">
        <f>_xlfn.XLOOKUP(A738,Class_Players!$A:$A,Class_Players!$B:$B,"")</f>
        <v>Recon</v>
      </c>
      <c r="C738" s="38" t="str" cm="1">
        <f t="array" ref="C738">INDEX(Lookups!$C$2:$C$9,MOD(ROW()-ROW($B$2),ROWS(Lookups!$C$2:$C$9))+1)</f>
        <v>Laser Designator</v>
      </c>
      <c r="D738" s="38" t="str">
        <f>_xlfn.XLOOKUP(C738,Analysis_Gadgets!$C:$C,Analysis_Gadgets!$B:$B)</f>
        <v>Gadget</v>
      </c>
      <c r="E738" s="43">
        <v>29</v>
      </c>
      <c r="F738" s="43">
        <f>_xlfn.XLOOKUP(A738,Class_Players!A:A,Class_Players!G:G)</f>
        <v>95</v>
      </c>
      <c r="G738" s="43">
        <f t="shared" si="224"/>
        <v>0.30526315789473685</v>
      </c>
      <c r="H738" s="43">
        <f>_xlfn.XLOOKUP(A738,Class_Players!$A:$A,Class_Players!$F:$F,"")</f>
        <v>5167</v>
      </c>
      <c r="I738" s="44">
        <f t="shared" si="225"/>
        <v>5.6125411263789433E-3</v>
      </c>
      <c r="J738" s="43">
        <f t="shared" si="226"/>
        <v>0</v>
      </c>
      <c r="K738" s="44" cm="1">
        <f t="array" ref="K738">IF(D738="Gadget",_xlfn.IFS(I738&gt;=0.2,0.5,I738&gt;=0.1,0.35,I738&gt;=0.05,0.2,TRUE,0),IF(D738="Grenade",_xlfn.IFS(I738&gt;=0.2,1,I738&gt;=0.1,0.7,I738&gt;=0.05,0.4,TRUE,0),0))</f>
        <v>0</v>
      </c>
      <c r="L738" s="57">
        <f t="shared" ref="L738:L743" si="229">IF($K738=0,0,$K738 / SUMIFS($K:$K,$A:$A,$A738,$D:$D,"Gadget"))</f>
        <v>0</v>
      </c>
    </row>
    <row r="739" spans="1:12" ht="15" customHeight="1" x14ac:dyDescent="0.25">
      <c r="A739" s="42" t="str" cm="1">
        <f t="array" ref="A739">IFERROR(INDEX(_xlfn._xlws.FILTER(Class_Players!A:A,Class_Players!B:B="Recon"),QUOTIENT(ROW()-ROW($A$2),8)+1),"")</f>
        <v>уволень</v>
      </c>
      <c r="B739" s="42" t="str">
        <f>_xlfn.XLOOKUP(A739,Class_Players!$A:$A,Class_Players!$B:$B,"")</f>
        <v>Recon</v>
      </c>
      <c r="C739" s="38" t="str" cm="1">
        <f t="array" ref="C739">INDEX(Lookups!$C$2:$C$9,MOD(ROW()-ROW($B$2),ROWS(Lookups!$C$2:$C$9))+1)</f>
        <v>Recon Drone</v>
      </c>
      <c r="D739" s="38" t="str">
        <f>_xlfn.XLOOKUP(C739,Analysis_Gadgets!$C:$C,Analysis_Gadgets!$B:$B)</f>
        <v>Gadget</v>
      </c>
      <c r="E739" s="43">
        <v>68</v>
      </c>
      <c r="F739" s="43">
        <f>_xlfn.XLOOKUP(A739,Class_Players!A:A,Class_Players!G:G)</f>
        <v>95</v>
      </c>
      <c r="G739" s="43">
        <f t="shared" si="224"/>
        <v>0.71578947368421053</v>
      </c>
      <c r="H739" s="43">
        <f>_xlfn.XLOOKUP(A739,Class_Players!$A:$A,Class_Players!$F:$F,"")</f>
        <v>5167</v>
      </c>
      <c r="I739" s="44">
        <f t="shared" si="225"/>
        <v>1.3160441261854073E-2</v>
      </c>
      <c r="J739" s="43">
        <f t="shared" si="226"/>
        <v>0</v>
      </c>
      <c r="K739" s="44" cm="1">
        <f t="array" ref="K739">IF(D739="Gadget",_xlfn.IFS(I739&gt;=0.2,0.5,I739&gt;=0.1,0.35,I739&gt;=0.05,0.2,TRUE,0),IF(D739="Grenade",_xlfn.IFS(I739&gt;=0.2,1,I739&gt;=0.1,0.7,I739&gt;=0.05,0.4,TRUE,0),0))</f>
        <v>0</v>
      </c>
      <c r="L739" s="57">
        <f t="shared" si="229"/>
        <v>0</v>
      </c>
    </row>
    <row r="740" spans="1:12" ht="15" customHeight="1" x14ac:dyDescent="0.25">
      <c r="A740" s="42" t="str" cm="1">
        <f t="array" ref="A740">IFERROR(INDEX(_xlfn._xlws.FILTER(Class_Players!A:A,Class_Players!B:B="Recon"),QUOTIENT(ROW()-ROW($A$2),8)+1),"")</f>
        <v>уволень</v>
      </c>
      <c r="B740" s="42" t="str">
        <f>_xlfn.XLOOKUP(A740,Class_Players!$A:$A,Class_Players!$B:$B,"")</f>
        <v>Recon</v>
      </c>
      <c r="C740" s="38" t="str" cm="1">
        <f t="array" ref="C740">INDEX(Lookups!$C$2:$C$9,MOD(ROW()-ROW($B$2),ROWS(Lookups!$C$2:$C$9))+1)</f>
        <v>Tracer Dart</v>
      </c>
      <c r="D740" s="38" t="str">
        <f>_xlfn.XLOOKUP(C740,Analysis_Gadgets!$C:$C,Analysis_Gadgets!$B:$B)</f>
        <v>Gadget</v>
      </c>
      <c r="E740" s="43">
        <v>0</v>
      </c>
      <c r="F740" s="43">
        <f>_xlfn.XLOOKUP(A740,Class_Players!A:A,Class_Players!G:G)</f>
        <v>95</v>
      </c>
      <c r="G740" s="43">
        <f t="shared" si="224"/>
        <v>0</v>
      </c>
      <c r="H740" s="43">
        <f>_xlfn.XLOOKUP(A740,Class_Players!$A:$A,Class_Players!$F:$F,"")</f>
        <v>5167</v>
      </c>
      <c r="I740" s="44">
        <f t="shared" si="225"/>
        <v>0</v>
      </c>
      <c r="J740" s="43">
        <f t="shared" si="226"/>
        <v>0</v>
      </c>
      <c r="K740" s="44" cm="1">
        <f t="array" ref="K740">IF(D740="Gadget",_xlfn.IFS(I740&gt;=0.2,0.5,I740&gt;=0.1,0.35,I740&gt;=0.05,0.2,TRUE,0),IF(D740="Grenade",_xlfn.IFS(I740&gt;=0.2,1,I740&gt;=0.1,0.7,I740&gt;=0.05,0.4,TRUE,0),0))</f>
        <v>0</v>
      </c>
      <c r="L740" s="57">
        <f t="shared" si="229"/>
        <v>0</v>
      </c>
    </row>
    <row r="741" spans="1:12" ht="15" customHeight="1" x14ac:dyDescent="0.25">
      <c r="A741" s="42" t="str" cm="1">
        <f t="array" ref="A741">IFERROR(INDEX(_xlfn._xlws.FILTER(Class_Players!A:A,Class_Players!B:B="Recon"),QUOTIENT(ROW()-ROW($A$2),8)+1),"")</f>
        <v>уволень</v>
      </c>
      <c r="B741" s="42" t="str">
        <f>_xlfn.XLOOKUP(A741,Class_Players!$A:$A,Class_Players!$B:$B,"")</f>
        <v>Recon</v>
      </c>
      <c r="C741" s="38" t="str" cm="1">
        <f t="array" ref="C741">INDEX(Lookups!$C$2:$C$9,MOD(ROW()-ROW($B$2),ROWS(Lookups!$C$2:$C$9))+1)</f>
        <v>M18A1 (Claymore)</v>
      </c>
      <c r="D741" s="38" t="str">
        <f>_xlfn.XLOOKUP(C741,Analysis_Gadgets!$C:$C,Analysis_Gadgets!$B:$B)</f>
        <v>Gadget</v>
      </c>
      <c r="E741" s="43">
        <v>2208</v>
      </c>
      <c r="F741" s="43">
        <f>_xlfn.XLOOKUP(A741,Class_Players!A:A,Class_Players!G:G)</f>
        <v>95</v>
      </c>
      <c r="G741" s="43">
        <f t="shared" si="224"/>
        <v>23.242105263157896</v>
      </c>
      <c r="H741" s="43">
        <f>_xlfn.XLOOKUP(A741,Class_Players!$A:$A,Class_Players!$F:$F,"")</f>
        <v>5167</v>
      </c>
      <c r="I741" s="44">
        <f t="shared" si="225"/>
        <v>0.42732726920843817</v>
      </c>
      <c r="J741" s="43">
        <f t="shared" si="226"/>
        <v>1</v>
      </c>
      <c r="K741" s="44" cm="1">
        <f t="array" ref="K741">IF(D741="Gadget",_xlfn.IFS(I741&gt;=0.2,0.5,I741&gt;=0.1,0.35,I741&gt;=0.05,0.2,TRUE,0),IF(D741="Grenade",_xlfn.IFS(I741&gt;=0.2,1,I741&gt;=0.1,0.7,I741&gt;=0.05,0.4,TRUE,0),0))</f>
        <v>0.5</v>
      </c>
      <c r="L741" s="57">
        <f t="shared" si="229"/>
        <v>0.58823529411764708</v>
      </c>
    </row>
    <row r="742" spans="1:12" ht="15" customHeight="1" x14ac:dyDescent="0.25">
      <c r="A742" s="42" t="str" cm="1">
        <f t="array" ref="A742">IFERROR(INDEX(_xlfn._xlws.FILTER(Class_Players!A:A,Class_Players!B:B="Recon"),QUOTIENT(ROW()-ROW($A$2),8)+1),"")</f>
        <v>уволень</v>
      </c>
      <c r="B742" s="42" t="str">
        <f>_xlfn.XLOOKUP(A742,Class_Players!$A:$A,Class_Players!$B:$B,"")</f>
        <v>Recon</v>
      </c>
      <c r="C742" s="38" t="str" cm="1">
        <f t="array" ref="C742">INDEX(Lookups!$C$2:$C$9,MOD(ROW()-ROW($B$2),ROWS(Lookups!$C$2:$C$9))+1)</f>
        <v>Sniper Decoy</v>
      </c>
      <c r="D742" s="38" t="str">
        <f>_xlfn.XLOOKUP(C742,Analysis_Gadgets!$C:$C,Analysis_Gadgets!$B:$B)</f>
        <v>Gadget</v>
      </c>
      <c r="E742" s="43">
        <v>11</v>
      </c>
      <c r="F742" s="43">
        <f>_xlfn.XLOOKUP(A742,Class_Players!A:A,Class_Players!G:G)</f>
        <v>95</v>
      </c>
      <c r="G742" s="43">
        <f t="shared" si="224"/>
        <v>0.11578947368421053</v>
      </c>
      <c r="H742" s="43">
        <f>_xlfn.XLOOKUP(A742,Class_Players!$A:$A,Class_Players!$F:$F,"")</f>
        <v>5167</v>
      </c>
      <c r="I742" s="44">
        <f t="shared" si="225"/>
        <v>2.1288949100058061E-3</v>
      </c>
      <c r="J742" s="43">
        <f t="shared" si="226"/>
        <v>0</v>
      </c>
      <c r="K742" s="44" cm="1">
        <f t="array" ref="K742">IF(D742="Gadget",_xlfn.IFS(I742&gt;=0.2,0.5,I742&gt;=0.1,0.35,I742&gt;=0.05,0.2,TRUE,0),IF(D742="Grenade",_xlfn.IFS(I742&gt;=0.2,1,I742&gt;=0.1,0.7,I742&gt;=0.05,0.4,TRUE,0),0))</f>
        <v>0</v>
      </c>
      <c r="L742" s="57">
        <f t="shared" si="229"/>
        <v>0</v>
      </c>
    </row>
    <row r="743" spans="1:12" ht="15" customHeight="1" x14ac:dyDescent="0.25">
      <c r="A743" s="42" t="str" cm="1">
        <f t="array" ref="A743">IFERROR(INDEX(_xlfn._xlws.FILTER(Class_Players!A:A,Class_Players!B:B="Recon"),QUOTIENT(ROW()-ROW($A$2),8)+1),"")</f>
        <v>уволень</v>
      </c>
      <c r="B743" s="42" t="str">
        <f>_xlfn.XLOOKUP(A743,Class_Players!$A:$A,Class_Players!$B:$B,"")</f>
        <v>Recon</v>
      </c>
      <c r="C743" s="38" t="str" cm="1">
        <f t="array" ref="C743">INDEX(Lookups!$C$2:$C$9,MOD(ROW()-ROW($B$2),ROWS(Lookups!$C$2:$C$9))+1)</f>
        <v>C-4 Explosives</v>
      </c>
      <c r="D743" s="38" t="str">
        <f>_xlfn.XLOOKUP(C743,Analysis_Gadgets!$C:$C,Analysis_Gadgets!$B:$B)</f>
        <v>Gadget</v>
      </c>
      <c r="E743" s="43">
        <v>960</v>
      </c>
      <c r="F743" s="43">
        <f>_xlfn.XLOOKUP(A743,Class_Players!A:A,Class_Players!G:G)</f>
        <v>95</v>
      </c>
      <c r="G743" s="43">
        <f t="shared" si="224"/>
        <v>10.105263157894736</v>
      </c>
      <c r="H743" s="43">
        <f>_xlfn.XLOOKUP(A743,Class_Players!$A:$A,Class_Players!$F:$F,"")</f>
        <v>5167</v>
      </c>
      <c r="I743" s="44">
        <f t="shared" si="225"/>
        <v>0.18579446487323398</v>
      </c>
      <c r="J743" s="43">
        <f t="shared" si="226"/>
        <v>1</v>
      </c>
      <c r="K743" s="44" cm="1">
        <f t="array" ref="K743">IF(D743="Gadget",_xlfn.IFS(I743&gt;=0.2,0.5,I743&gt;=0.1,0.35,I743&gt;=0.05,0.2,TRUE,0),IF(D743="Grenade",_xlfn.IFS(I743&gt;=0.2,1,I743&gt;=0.1,0.7,I743&gt;=0.05,0.4,TRUE,0),0))</f>
        <v>0.35</v>
      </c>
      <c r="L743" s="57">
        <f t="shared" si="229"/>
        <v>0.41176470588235292</v>
      </c>
    </row>
    <row r="744" spans="1:12" ht="15" customHeight="1" x14ac:dyDescent="0.25">
      <c r="A744" s="42" t="str" cm="1">
        <f t="array" ref="A744">IFERROR(INDEX(_xlfn._xlws.FILTER(Class_Players!A:A,Class_Players!B:B="Recon"),QUOTIENT(ROW()-ROW($A$2),8)+1),"")</f>
        <v>уволень</v>
      </c>
      <c r="B744" s="42" t="str">
        <f>_xlfn.XLOOKUP(A744,Class_Players!$A:$A,Class_Players!$B:$B,"")</f>
        <v>Recon</v>
      </c>
      <c r="C744" s="38" t="str" cm="1">
        <f t="array" ref="C744">INDEX(Lookups!$C$2:$C$9,MOD(ROW()-ROW($B$2),ROWS(Lookups!$C$2:$C$9))+1)</f>
        <v>Proximity Detector</v>
      </c>
      <c r="D744" s="38" t="str">
        <f>_xlfn.XLOOKUP(C744,Analysis_Gadgets!$C:$C,Analysis_Gadgets!$B:$B)</f>
        <v>Grenade</v>
      </c>
      <c r="E744" s="43">
        <v>2</v>
      </c>
      <c r="F744" s="43">
        <f>_xlfn.XLOOKUP(A744,Class_Players!A:A,Class_Players!G:G)</f>
        <v>95</v>
      </c>
      <c r="G744" s="43">
        <f t="shared" si="224"/>
        <v>2.1052631578947368E-2</v>
      </c>
      <c r="H744" s="43">
        <f>_xlfn.XLOOKUP(A744,Class_Players!$A:$A,Class_Players!$F:$F,"")</f>
        <v>5167</v>
      </c>
      <c r="I744" s="44">
        <f t="shared" si="225"/>
        <v>3.8707180181923748E-4</v>
      </c>
      <c r="J744" s="43">
        <f t="shared" si="226"/>
        <v>0</v>
      </c>
      <c r="K744" s="44" cm="1">
        <f t="array" ref="K744">IF(D744="Gadget",_xlfn.IFS(I744&gt;=0.2,0.5,I744&gt;=0.1,0.35,I744&gt;=0.05,0.2,TRUE,0),IF(D744="Grenade",_xlfn.IFS(I744&gt;=0.2,1,I744&gt;=0.1,0.7,I744&gt;=0.05,0.4,TRUE,0),0))</f>
        <v>0</v>
      </c>
      <c r="L744" s="57">
        <f t="shared" ref="L744:L745" si="230">IF($K744=0,0,$K744 / SUMIFS($K:$K,$A:$A,$A744,$D:$D,"Grenade"))</f>
        <v>0</v>
      </c>
    </row>
    <row r="745" spans="1:12" ht="15" customHeight="1" x14ac:dyDescent="0.25">
      <c r="A745" s="42" t="str" cm="1">
        <f t="array" ref="A745">IFERROR(INDEX(_xlfn._xlws.FILTER(Class_Players!A:A,Class_Players!B:B="Recon"),QUOTIENT(ROW()-ROW($A$2),8)+1),"")</f>
        <v>уволень</v>
      </c>
      <c r="B745" s="42" t="str">
        <f>_xlfn.XLOOKUP(A745,Class_Players!$A:$A,Class_Players!$B:$B,"")</f>
        <v>Recon</v>
      </c>
      <c r="C745" s="38" t="str" cm="1">
        <f t="array" ref="C745">INDEX(Lookups!$C$2:$C$9,MOD(ROW()-ROW($B$2),ROWS(Lookups!$C$2:$C$9))+1)</f>
        <v>Throwing Knife</v>
      </c>
      <c r="D745" s="38" t="str">
        <f>_xlfn.XLOOKUP(C745,Analysis_Gadgets!$C:$C,Analysis_Gadgets!$B:$B)</f>
        <v>Grenade</v>
      </c>
      <c r="E745" s="43">
        <v>0</v>
      </c>
      <c r="F745" s="43">
        <f>_xlfn.XLOOKUP(A745,Class_Players!A:A,Class_Players!G:G)</f>
        <v>95</v>
      </c>
      <c r="G745" s="43">
        <f t="shared" si="224"/>
        <v>0</v>
      </c>
      <c r="H745" s="43">
        <f>_xlfn.XLOOKUP(A745,Class_Players!$A:$A,Class_Players!$F:$F,"")</f>
        <v>5167</v>
      </c>
      <c r="I745" s="44">
        <f t="shared" si="225"/>
        <v>0</v>
      </c>
      <c r="J745" s="43">
        <f t="shared" si="226"/>
        <v>0</v>
      </c>
      <c r="K745" s="44" cm="1">
        <f t="array" ref="K745">IF(D745="Gadget",_xlfn.IFS(I745&gt;=0.2,0.5,I745&gt;=0.1,0.35,I745&gt;=0.05,0.2,TRUE,0),IF(D745="Grenade",_xlfn.IFS(I745&gt;=0.2,1,I745&gt;=0.1,0.7,I745&gt;=0.05,0.4,TRUE,0),0))</f>
        <v>0</v>
      </c>
      <c r="L745" s="57">
        <f t="shared" si="230"/>
        <v>0</v>
      </c>
    </row>
    <row r="746" spans="1:12" ht="15" customHeight="1" x14ac:dyDescent="0.25">
      <c r="A746" s="42" t="str" cm="1">
        <f t="array" ref="A746">IFERROR(INDEX(_xlfn._xlws.FILTER(Class_Players!A:A,Class_Players!B:B="Recon"),QUOTIENT(ROW()-ROW($A$2),8)+1),"")</f>
        <v>-F-Skelion</v>
      </c>
      <c r="B746" s="42" t="str">
        <f>_xlfn.XLOOKUP(A746,Class_Players!$A:$A,Class_Players!$B:$B,"")</f>
        <v>Recon</v>
      </c>
      <c r="C746" s="38" t="str" cm="1">
        <f t="array" ref="C746">INDEX(Lookups!$C$2:$C$9,MOD(ROW()-ROW($B$2),ROWS(Lookups!$C$2:$C$9))+1)</f>
        <v>Laser Designator</v>
      </c>
      <c r="D746" s="38" t="str">
        <f>_xlfn.XLOOKUP(C746,Analysis_Gadgets!$C:$C,Analysis_Gadgets!$B:$B)</f>
        <v>Gadget</v>
      </c>
      <c r="E746" s="43">
        <v>4</v>
      </c>
      <c r="F746" s="43">
        <f>_xlfn.XLOOKUP(A746,Class_Players!A:A,Class_Players!G:G)</f>
        <v>154</v>
      </c>
      <c r="G746" s="43">
        <f t="shared" si="224"/>
        <v>2.5974025974025976E-2</v>
      </c>
      <c r="H746" s="43">
        <f>_xlfn.XLOOKUP(A746,Class_Players!$A:$A,Class_Players!$F:$F,"")</f>
        <v>4866</v>
      </c>
      <c r="I746" s="44">
        <f t="shared" si="225"/>
        <v>8.2203041512535961E-4</v>
      </c>
      <c r="J746" s="43">
        <f t="shared" si="226"/>
        <v>0</v>
      </c>
      <c r="K746" s="44" cm="1">
        <f t="array" ref="K746">IF(D746="Gadget",_xlfn.IFS(I746&gt;=0.2,0.5,I746&gt;=0.1,0.35,I746&gt;=0.05,0.2,TRUE,0),IF(D746="Grenade",_xlfn.IFS(I746&gt;=0.2,1,I746&gt;=0.1,0.7,I746&gt;=0.05,0.4,TRUE,0),0))</f>
        <v>0</v>
      </c>
      <c r="L746" s="57">
        <f t="shared" ref="L746:L751" si="231">IF($K746=0,0,$K746 / SUMIFS($K:$K,$A:$A,$A746,$D:$D,"Gadget"))</f>
        <v>0</v>
      </c>
    </row>
    <row r="747" spans="1:12" ht="15" customHeight="1" x14ac:dyDescent="0.25">
      <c r="A747" s="42" t="str" cm="1">
        <f t="array" ref="A747">IFERROR(INDEX(_xlfn._xlws.FILTER(Class_Players!A:A,Class_Players!B:B="Recon"),QUOTIENT(ROW()-ROW($A$2),8)+1),"")</f>
        <v>-F-Skelion</v>
      </c>
      <c r="B747" s="42" t="str">
        <f>_xlfn.XLOOKUP(A747,Class_Players!$A:$A,Class_Players!$B:$B,"")</f>
        <v>Recon</v>
      </c>
      <c r="C747" s="38" t="str" cm="1">
        <f t="array" ref="C747">INDEX(Lookups!$C$2:$C$9,MOD(ROW()-ROW($B$2),ROWS(Lookups!$C$2:$C$9))+1)</f>
        <v>Recon Drone</v>
      </c>
      <c r="D747" s="38" t="str">
        <f>_xlfn.XLOOKUP(C747,Analysis_Gadgets!$C:$C,Analysis_Gadgets!$B:$B)</f>
        <v>Gadget</v>
      </c>
      <c r="E747" s="43">
        <v>1763</v>
      </c>
      <c r="F747" s="43">
        <f>_xlfn.XLOOKUP(A747,Class_Players!A:A,Class_Players!G:G)</f>
        <v>154</v>
      </c>
      <c r="G747" s="43">
        <f t="shared" si="224"/>
        <v>11.448051948051948</v>
      </c>
      <c r="H747" s="43">
        <f>_xlfn.XLOOKUP(A747,Class_Players!$A:$A,Class_Players!$F:$F,"")</f>
        <v>4866</v>
      </c>
      <c r="I747" s="44">
        <f t="shared" si="225"/>
        <v>0.36230990546650227</v>
      </c>
      <c r="J747" s="43">
        <f t="shared" si="226"/>
        <v>1</v>
      </c>
      <c r="K747" s="44" cm="1">
        <f t="array" ref="K747">IF(D747="Gadget",_xlfn.IFS(I747&gt;=0.2,0.5,I747&gt;=0.1,0.35,I747&gt;=0.05,0.2,TRUE,0),IF(D747="Grenade",_xlfn.IFS(I747&gt;=0.2,1,I747&gt;=0.1,0.7,I747&gt;=0.05,0.4,TRUE,0),0))</f>
        <v>0.5</v>
      </c>
      <c r="L747" s="57">
        <f t="shared" si="231"/>
        <v>0.37037037037037035</v>
      </c>
    </row>
    <row r="748" spans="1:12" ht="15" customHeight="1" x14ac:dyDescent="0.25">
      <c r="A748" s="42" t="str" cm="1">
        <f t="array" ref="A748">IFERROR(INDEX(_xlfn._xlws.FILTER(Class_Players!A:A,Class_Players!B:B="Recon"),QUOTIENT(ROW()-ROW($A$2),8)+1),"")</f>
        <v>-F-Skelion</v>
      </c>
      <c r="B748" s="42" t="str">
        <f>_xlfn.XLOOKUP(A748,Class_Players!$A:$A,Class_Players!$B:$B,"")</f>
        <v>Recon</v>
      </c>
      <c r="C748" s="38" t="str" cm="1">
        <f t="array" ref="C748">INDEX(Lookups!$C$2:$C$9,MOD(ROW()-ROW($B$2),ROWS(Lookups!$C$2:$C$9))+1)</f>
        <v>Tracer Dart</v>
      </c>
      <c r="D748" s="38" t="str">
        <f>_xlfn.XLOOKUP(C748,Analysis_Gadgets!$C:$C,Analysis_Gadgets!$B:$B)</f>
        <v>Gadget</v>
      </c>
      <c r="E748" s="43">
        <v>50</v>
      </c>
      <c r="F748" s="43">
        <f>_xlfn.XLOOKUP(A748,Class_Players!A:A,Class_Players!G:G)</f>
        <v>154</v>
      </c>
      <c r="G748" s="43">
        <f t="shared" si="224"/>
        <v>0.32467532467532467</v>
      </c>
      <c r="H748" s="43">
        <f>_xlfn.XLOOKUP(A748,Class_Players!$A:$A,Class_Players!$F:$F,"")</f>
        <v>4866</v>
      </c>
      <c r="I748" s="44">
        <f t="shared" si="225"/>
        <v>1.0275380189066995E-2</v>
      </c>
      <c r="J748" s="43">
        <f t="shared" si="226"/>
        <v>0</v>
      </c>
      <c r="K748" s="44" cm="1">
        <f t="array" ref="K748">IF(D748="Gadget",_xlfn.IFS(I748&gt;=0.2,0.5,I748&gt;=0.1,0.35,I748&gt;=0.05,0.2,TRUE,0),IF(D748="Grenade",_xlfn.IFS(I748&gt;=0.2,1,I748&gt;=0.1,0.7,I748&gt;=0.05,0.4,TRUE,0),0))</f>
        <v>0</v>
      </c>
      <c r="L748" s="57">
        <f t="shared" si="231"/>
        <v>0</v>
      </c>
    </row>
    <row r="749" spans="1:12" ht="15" customHeight="1" x14ac:dyDescent="0.25">
      <c r="A749" s="42" t="str" cm="1">
        <f t="array" ref="A749">IFERROR(INDEX(_xlfn._xlws.FILTER(Class_Players!A:A,Class_Players!B:B="Recon"),QUOTIENT(ROW()-ROW($A$2),8)+1),"")</f>
        <v>-F-Skelion</v>
      </c>
      <c r="B749" s="42" t="str">
        <f>_xlfn.XLOOKUP(A749,Class_Players!$A:$A,Class_Players!$B:$B,"")</f>
        <v>Recon</v>
      </c>
      <c r="C749" s="38" t="str" cm="1">
        <f t="array" ref="C749">INDEX(Lookups!$C$2:$C$9,MOD(ROW()-ROW($B$2),ROWS(Lookups!$C$2:$C$9))+1)</f>
        <v>M18A1 (Claymore)</v>
      </c>
      <c r="D749" s="38" t="str">
        <f>_xlfn.XLOOKUP(C749,Analysis_Gadgets!$C:$C,Analysis_Gadgets!$B:$B)</f>
        <v>Gadget</v>
      </c>
      <c r="E749" s="43">
        <v>578</v>
      </c>
      <c r="F749" s="43">
        <f>_xlfn.XLOOKUP(A749,Class_Players!A:A,Class_Players!G:G)</f>
        <v>154</v>
      </c>
      <c r="G749" s="43">
        <f t="shared" si="224"/>
        <v>3.7532467532467533</v>
      </c>
      <c r="H749" s="43">
        <f>_xlfn.XLOOKUP(A749,Class_Players!$A:$A,Class_Players!$F:$F,"")</f>
        <v>4866</v>
      </c>
      <c r="I749" s="44">
        <f t="shared" si="225"/>
        <v>0.11878339498561447</v>
      </c>
      <c r="J749" s="43">
        <f t="shared" si="226"/>
        <v>1</v>
      </c>
      <c r="K749" s="44" cm="1">
        <f t="array" ref="K749">IF(D749="Gadget",_xlfn.IFS(I749&gt;=0.2,0.5,I749&gt;=0.1,0.35,I749&gt;=0.05,0.2,TRUE,0),IF(D749="Grenade",_xlfn.IFS(I749&gt;=0.2,1,I749&gt;=0.1,0.7,I749&gt;=0.05,0.4,TRUE,0),0))</f>
        <v>0.35</v>
      </c>
      <c r="L749" s="57">
        <f t="shared" si="231"/>
        <v>0.25925925925925924</v>
      </c>
    </row>
    <row r="750" spans="1:12" ht="15" customHeight="1" x14ac:dyDescent="0.25">
      <c r="A750" s="42" t="str" cm="1">
        <f t="array" ref="A750">IFERROR(INDEX(_xlfn._xlws.FILTER(Class_Players!A:A,Class_Players!B:B="Recon"),QUOTIENT(ROW()-ROW($A$2),8)+1),"")</f>
        <v>-F-Skelion</v>
      </c>
      <c r="B750" s="42" t="str">
        <f>_xlfn.XLOOKUP(A750,Class_Players!$A:$A,Class_Players!$B:$B,"")</f>
        <v>Recon</v>
      </c>
      <c r="C750" s="38" t="str" cm="1">
        <f t="array" ref="C750">INDEX(Lookups!$C$2:$C$9,MOD(ROW()-ROW($B$2),ROWS(Lookups!$C$2:$C$9))+1)</f>
        <v>Sniper Decoy</v>
      </c>
      <c r="D750" s="38" t="str">
        <f>_xlfn.XLOOKUP(C750,Analysis_Gadgets!$C:$C,Analysis_Gadgets!$B:$B)</f>
        <v>Gadget</v>
      </c>
      <c r="E750" s="43">
        <v>63</v>
      </c>
      <c r="F750" s="43">
        <f>_xlfn.XLOOKUP(A750,Class_Players!A:A,Class_Players!G:G)</f>
        <v>154</v>
      </c>
      <c r="G750" s="43">
        <f t="shared" si="224"/>
        <v>0.40909090909090912</v>
      </c>
      <c r="H750" s="43">
        <f>_xlfn.XLOOKUP(A750,Class_Players!$A:$A,Class_Players!$F:$F,"")</f>
        <v>4866</v>
      </c>
      <c r="I750" s="44">
        <f t="shared" si="225"/>
        <v>1.2946979038224414E-2</v>
      </c>
      <c r="J750" s="43">
        <f t="shared" si="226"/>
        <v>0</v>
      </c>
      <c r="K750" s="44" cm="1">
        <f t="array" ref="K750">IF(D750="Gadget",_xlfn.IFS(I750&gt;=0.2,0.5,I750&gt;=0.1,0.35,I750&gt;=0.05,0.2,TRUE,0),IF(D750="Grenade",_xlfn.IFS(I750&gt;=0.2,1,I750&gt;=0.1,0.7,I750&gt;=0.05,0.4,TRUE,0),0))</f>
        <v>0</v>
      </c>
      <c r="L750" s="57">
        <f t="shared" si="231"/>
        <v>0</v>
      </c>
    </row>
    <row r="751" spans="1:12" ht="15" customHeight="1" x14ac:dyDescent="0.25">
      <c r="A751" s="42" t="str" cm="1">
        <f t="array" ref="A751">IFERROR(INDEX(_xlfn._xlws.FILTER(Class_Players!A:A,Class_Players!B:B="Recon"),QUOTIENT(ROW()-ROW($A$2),8)+1),"")</f>
        <v>-F-Skelion</v>
      </c>
      <c r="B751" s="42" t="str">
        <f>_xlfn.XLOOKUP(A751,Class_Players!$A:$A,Class_Players!$B:$B,"")</f>
        <v>Recon</v>
      </c>
      <c r="C751" s="38" t="str" cm="1">
        <f t="array" ref="C751">INDEX(Lookups!$C$2:$C$9,MOD(ROW()-ROW($B$2),ROWS(Lookups!$C$2:$C$9))+1)</f>
        <v>C-4 Explosives</v>
      </c>
      <c r="D751" s="38" t="str">
        <f>_xlfn.XLOOKUP(C751,Analysis_Gadgets!$C:$C,Analysis_Gadgets!$B:$B)</f>
        <v>Gadget</v>
      </c>
      <c r="E751" s="43">
        <v>2854</v>
      </c>
      <c r="F751" s="43">
        <f>_xlfn.XLOOKUP(A751,Class_Players!A:A,Class_Players!G:G)</f>
        <v>154</v>
      </c>
      <c r="G751" s="43">
        <f t="shared" si="224"/>
        <v>18.532467532467532</v>
      </c>
      <c r="H751" s="43">
        <f>_xlfn.XLOOKUP(A751,Class_Players!$A:$A,Class_Players!$F:$F,"")</f>
        <v>4866</v>
      </c>
      <c r="I751" s="44">
        <f t="shared" si="225"/>
        <v>0.58651870119194405</v>
      </c>
      <c r="J751" s="43">
        <f t="shared" si="226"/>
        <v>1</v>
      </c>
      <c r="K751" s="44" cm="1">
        <f t="array" ref="K751">IF(D751="Gadget",_xlfn.IFS(I751&gt;=0.2,0.5,I751&gt;=0.1,0.35,I751&gt;=0.05,0.2,TRUE,0),IF(D751="Grenade",_xlfn.IFS(I751&gt;=0.2,1,I751&gt;=0.1,0.7,I751&gt;=0.05,0.4,TRUE,0),0))</f>
        <v>0.5</v>
      </c>
      <c r="L751" s="57">
        <f t="shared" si="231"/>
        <v>0.37037037037037035</v>
      </c>
    </row>
    <row r="752" spans="1:12" ht="15" customHeight="1" x14ac:dyDescent="0.25">
      <c r="A752" s="42" t="str" cm="1">
        <f t="array" ref="A752">IFERROR(INDEX(_xlfn._xlws.FILTER(Class_Players!A:A,Class_Players!B:B="Recon"),QUOTIENT(ROW()-ROW($A$2),8)+1),"")</f>
        <v>-F-Skelion</v>
      </c>
      <c r="B752" s="42" t="str">
        <f>_xlfn.XLOOKUP(A752,Class_Players!$A:$A,Class_Players!$B:$B,"")</f>
        <v>Recon</v>
      </c>
      <c r="C752" s="38" t="str" cm="1">
        <f t="array" ref="C752">INDEX(Lookups!$C$2:$C$9,MOD(ROW()-ROW($B$2),ROWS(Lookups!$C$2:$C$9))+1)</f>
        <v>Proximity Detector</v>
      </c>
      <c r="D752" s="38" t="str">
        <f>_xlfn.XLOOKUP(C752,Analysis_Gadgets!$C:$C,Analysis_Gadgets!$B:$B)</f>
        <v>Grenade</v>
      </c>
      <c r="E752" s="43">
        <v>3268</v>
      </c>
      <c r="F752" s="43">
        <f>_xlfn.XLOOKUP(A752,Class_Players!A:A,Class_Players!G:G)</f>
        <v>154</v>
      </c>
      <c r="G752" s="43">
        <f t="shared" si="224"/>
        <v>21.220779220779221</v>
      </c>
      <c r="H752" s="43">
        <f>_xlfn.XLOOKUP(A752,Class_Players!$A:$A,Class_Players!$F:$F,"")</f>
        <v>4866</v>
      </c>
      <c r="I752" s="44">
        <f t="shared" si="225"/>
        <v>0.67159884915741885</v>
      </c>
      <c r="J752" s="43">
        <f t="shared" si="226"/>
        <v>1</v>
      </c>
      <c r="K752" s="44" cm="1">
        <f t="array" ref="K752">IF(D752="Gadget",_xlfn.IFS(I752&gt;=0.2,0.5,I752&gt;=0.1,0.35,I752&gt;=0.05,0.2,TRUE,0),IF(D752="Grenade",_xlfn.IFS(I752&gt;=0.2,1,I752&gt;=0.1,0.7,I752&gt;=0.05,0.4,TRUE,0),0))</f>
        <v>1</v>
      </c>
      <c r="L752" s="57">
        <f t="shared" ref="L752:L753" si="232">IF($K752=0,0,$K752 / SUMIFS($K:$K,$A:$A,$A752,$D:$D,"Grenade"))</f>
        <v>1</v>
      </c>
    </row>
    <row r="753" spans="1:12" ht="15" customHeight="1" x14ac:dyDescent="0.25">
      <c r="A753" s="42" t="str" cm="1">
        <f t="array" ref="A753">IFERROR(INDEX(_xlfn._xlws.FILTER(Class_Players!A:A,Class_Players!B:B="Recon"),QUOTIENT(ROW()-ROW($A$2),8)+1),"")</f>
        <v>-F-Skelion</v>
      </c>
      <c r="B753" s="42" t="str">
        <f>_xlfn.XLOOKUP(A753,Class_Players!$A:$A,Class_Players!$B:$B,"")</f>
        <v>Recon</v>
      </c>
      <c r="C753" s="38" t="str" cm="1">
        <f t="array" ref="C753">INDEX(Lookups!$C$2:$C$9,MOD(ROW()-ROW($B$2),ROWS(Lookups!$C$2:$C$9))+1)</f>
        <v>Throwing Knife</v>
      </c>
      <c r="D753" s="38" t="str">
        <f>_xlfn.XLOOKUP(C753,Analysis_Gadgets!$C:$C,Analysis_Gadgets!$B:$B)</f>
        <v>Grenade</v>
      </c>
      <c r="E753" s="43">
        <v>0</v>
      </c>
      <c r="F753" s="43">
        <f>_xlfn.XLOOKUP(A753,Class_Players!A:A,Class_Players!G:G)</f>
        <v>154</v>
      </c>
      <c r="G753" s="43">
        <f t="shared" si="224"/>
        <v>0</v>
      </c>
      <c r="H753" s="43">
        <f>_xlfn.XLOOKUP(A753,Class_Players!$A:$A,Class_Players!$F:$F,"")</f>
        <v>4866</v>
      </c>
      <c r="I753" s="44">
        <f t="shared" si="225"/>
        <v>0</v>
      </c>
      <c r="J753" s="43">
        <f t="shared" si="226"/>
        <v>0</v>
      </c>
      <c r="K753" s="44" cm="1">
        <f t="array" ref="K753">IF(D753="Gadget",_xlfn.IFS(I753&gt;=0.2,0.5,I753&gt;=0.1,0.35,I753&gt;=0.05,0.2,TRUE,0),IF(D753="Grenade",_xlfn.IFS(I753&gt;=0.2,1,I753&gt;=0.1,0.7,I753&gt;=0.05,0.4,TRUE,0),0))</f>
        <v>0</v>
      </c>
      <c r="L753" s="57">
        <f t="shared" si="232"/>
        <v>0</v>
      </c>
    </row>
    <row r="754" spans="1:12" ht="15" customHeight="1" x14ac:dyDescent="0.25">
      <c r="A754" s="42" t="str" cm="1">
        <f t="array" ref="A754">IFERROR(INDEX(_xlfn._xlws.FILTER(Class_Players!A:A,Class_Players!B:B="Recon"),QUOTIENT(ROW()-ROW($A$2),8)+1),"")</f>
        <v>secondtoughestuk</v>
      </c>
      <c r="B754" s="42" t="str">
        <f>_xlfn.XLOOKUP(A754,Class_Players!$A:$A,Class_Players!$B:$B,"")</f>
        <v>Recon</v>
      </c>
      <c r="C754" s="38" t="str" cm="1">
        <f t="array" ref="C754">INDEX(Lookups!$C$2:$C$9,MOD(ROW()-ROW($B$2),ROWS(Lookups!$C$2:$C$9))+1)</f>
        <v>Laser Designator</v>
      </c>
      <c r="D754" s="38" t="str">
        <f>_xlfn.XLOOKUP(C754,Analysis_Gadgets!$C:$C,Analysis_Gadgets!$B:$B)</f>
        <v>Gadget</v>
      </c>
      <c r="E754" s="43">
        <v>41</v>
      </c>
      <c r="F754" s="43">
        <f>_xlfn.XLOOKUP(A754,Class_Players!A:A,Class_Players!G:G)</f>
        <v>123</v>
      </c>
      <c r="G754" s="43">
        <f t="shared" si="224"/>
        <v>0.33333333333333331</v>
      </c>
      <c r="H754" s="43">
        <f>_xlfn.XLOOKUP(A754,Class_Players!$A:$A,Class_Players!$F:$F,"")</f>
        <v>4984</v>
      </c>
      <c r="I754" s="44">
        <f t="shared" si="225"/>
        <v>8.2263242375601921E-3</v>
      </c>
      <c r="J754" s="43">
        <f t="shared" si="226"/>
        <v>0</v>
      </c>
      <c r="K754" s="44" cm="1">
        <f t="array" ref="K754">IF(D754="Gadget",_xlfn.IFS(I754&gt;=0.2,0.5,I754&gt;=0.1,0.35,I754&gt;=0.05,0.2,TRUE,0),IF(D754="Grenade",_xlfn.IFS(I754&gt;=0.2,1,I754&gt;=0.1,0.7,I754&gt;=0.05,0.4,TRUE,0),0))</f>
        <v>0</v>
      </c>
      <c r="L754" s="57">
        <f t="shared" ref="L754:L759" si="233">IF($K754=0,0,$K754 / SUMIFS($K:$K,$A:$A,$A754,$D:$D,"Gadget"))</f>
        <v>0</v>
      </c>
    </row>
    <row r="755" spans="1:12" ht="15" customHeight="1" x14ac:dyDescent="0.25">
      <c r="A755" s="42" t="str" cm="1">
        <f t="array" ref="A755">IFERROR(INDEX(_xlfn._xlws.FILTER(Class_Players!A:A,Class_Players!B:B="Recon"),QUOTIENT(ROW()-ROW($A$2),8)+1),"")</f>
        <v>secondtoughestuk</v>
      </c>
      <c r="B755" s="42" t="str">
        <f>_xlfn.XLOOKUP(A755,Class_Players!$A:$A,Class_Players!$B:$B,"")</f>
        <v>Recon</v>
      </c>
      <c r="C755" s="38" t="str" cm="1">
        <f t="array" ref="C755">INDEX(Lookups!$C$2:$C$9,MOD(ROW()-ROW($B$2),ROWS(Lookups!$C$2:$C$9))+1)</f>
        <v>Recon Drone</v>
      </c>
      <c r="D755" s="38" t="str">
        <f>_xlfn.XLOOKUP(C755,Analysis_Gadgets!$C:$C,Analysis_Gadgets!$B:$B)</f>
        <v>Gadget</v>
      </c>
      <c r="E755" s="43">
        <v>878</v>
      </c>
      <c r="F755" s="43">
        <f>_xlfn.XLOOKUP(A755,Class_Players!A:A,Class_Players!G:G)</f>
        <v>123</v>
      </c>
      <c r="G755" s="43">
        <f t="shared" si="224"/>
        <v>7.1382113821138216</v>
      </c>
      <c r="H755" s="43">
        <f>_xlfn.XLOOKUP(A755,Class_Players!$A:$A,Class_Players!$F:$F,"")</f>
        <v>4984</v>
      </c>
      <c r="I755" s="44">
        <f t="shared" si="225"/>
        <v>0.1761637239165329</v>
      </c>
      <c r="J755" s="43">
        <f t="shared" si="226"/>
        <v>1</v>
      </c>
      <c r="K755" s="44" cm="1">
        <f t="array" ref="K755">IF(D755="Gadget",_xlfn.IFS(I755&gt;=0.2,0.5,I755&gt;=0.1,0.35,I755&gt;=0.05,0.2,TRUE,0),IF(D755="Grenade",_xlfn.IFS(I755&gt;=0.2,1,I755&gt;=0.1,0.7,I755&gt;=0.05,0.4,TRUE,0),0))</f>
        <v>0.35</v>
      </c>
      <c r="L755" s="57">
        <f t="shared" si="233"/>
        <v>0.5</v>
      </c>
    </row>
    <row r="756" spans="1:12" ht="15" customHeight="1" x14ac:dyDescent="0.25">
      <c r="A756" s="42" t="str" cm="1">
        <f t="array" ref="A756">IFERROR(INDEX(_xlfn._xlws.FILTER(Class_Players!A:A,Class_Players!B:B="Recon"),QUOTIENT(ROW()-ROW($A$2),8)+1),"")</f>
        <v>secondtoughestuk</v>
      </c>
      <c r="B756" s="42" t="str">
        <f>_xlfn.XLOOKUP(A756,Class_Players!$A:$A,Class_Players!$B:$B,"")</f>
        <v>Recon</v>
      </c>
      <c r="C756" s="38" t="str" cm="1">
        <f t="array" ref="C756">INDEX(Lookups!$C$2:$C$9,MOD(ROW()-ROW($B$2),ROWS(Lookups!$C$2:$C$9))+1)</f>
        <v>Tracer Dart</v>
      </c>
      <c r="D756" s="38" t="str">
        <f>_xlfn.XLOOKUP(C756,Analysis_Gadgets!$C:$C,Analysis_Gadgets!$B:$B)</f>
        <v>Gadget</v>
      </c>
      <c r="E756" s="43">
        <v>0</v>
      </c>
      <c r="F756" s="43">
        <f>_xlfn.XLOOKUP(A756,Class_Players!A:A,Class_Players!G:G)</f>
        <v>123</v>
      </c>
      <c r="G756" s="43">
        <f t="shared" si="224"/>
        <v>0</v>
      </c>
      <c r="H756" s="43">
        <f>_xlfn.XLOOKUP(A756,Class_Players!$A:$A,Class_Players!$F:$F,"")</f>
        <v>4984</v>
      </c>
      <c r="I756" s="44">
        <f t="shared" si="225"/>
        <v>0</v>
      </c>
      <c r="J756" s="43">
        <f t="shared" si="226"/>
        <v>0</v>
      </c>
      <c r="K756" s="44" cm="1">
        <f t="array" ref="K756">IF(D756="Gadget",_xlfn.IFS(I756&gt;=0.2,0.5,I756&gt;=0.1,0.35,I756&gt;=0.05,0.2,TRUE,0),IF(D756="Grenade",_xlfn.IFS(I756&gt;=0.2,1,I756&gt;=0.1,0.7,I756&gt;=0.05,0.4,TRUE,0),0))</f>
        <v>0</v>
      </c>
      <c r="L756" s="57">
        <f t="shared" si="233"/>
        <v>0</v>
      </c>
    </row>
    <row r="757" spans="1:12" ht="15" customHeight="1" x14ac:dyDescent="0.25">
      <c r="A757" s="42" t="str" cm="1">
        <f t="array" ref="A757">IFERROR(INDEX(_xlfn._xlws.FILTER(Class_Players!A:A,Class_Players!B:B="Recon"),QUOTIENT(ROW()-ROW($A$2),8)+1),"")</f>
        <v>secondtoughestuk</v>
      </c>
      <c r="B757" s="42" t="str">
        <f>_xlfn.XLOOKUP(A757,Class_Players!$A:$A,Class_Players!$B:$B,"")</f>
        <v>Recon</v>
      </c>
      <c r="C757" s="38" t="str" cm="1">
        <f t="array" ref="C757">INDEX(Lookups!$C$2:$C$9,MOD(ROW()-ROW($B$2),ROWS(Lookups!$C$2:$C$9))+1)</f>
        <v>M18A1 (Claymore)</v>
      </c>
      <c r="D757" s="38" t="str">
        <f>_xlfn.XLOOKUP(C757,Analysis_Gadgets!$C:$C,Analysis_Gadgets!$B:$B)</f>
        <v>Gadget</v>
      </c>
      <c r="E757" s="43">
        <v>11</v>
      </c>
      <c r="F757" s="43">
        <f>_xlfn.XLOOKUP(A757,Class_Players!A:A,Class_Players!G:G)</f>
        <v>123</v>
      </c>
      <c r="G757" s="43">
        <f t="shared" si="224"/>
        <v>8.943089430894309E-2</v>
      </c>
      <c r="H757" s="43">
        <f>_xlfn.XLOOKUP(A757,Class_Players!$A:$A,Class_Players!$F:$F,"")</f>
        <v>4984</v>
      </c>
      <c r="I757" s="44">
        <f t="shared" si="225"/>
        <v>2.2070626003210273E-3</v>
      </c>
      <c r="J757" s="43">
        <f t="shared" si="226"/>
        <v>0</v>
      </c>
      <c r="K757" s="44" cm="1">
        <f t="array" ref="K757">IF(D757="Gadget",_xlfn.IFS(I757&gt;=0.2,0.5,I757&gt;=0.1,0.35,I757&gt;=0.05,0.2,TRUE,0),IF(D757="Grenade",_xlfn.IFS(I757&gt;=0.2,1,I757&gt;=0.1,0.7,I757&gt;=0.05,0.4,TRUE,0),0))</f>
        <v>0</v>
      </c>
      <c r="L757" s="57">
        <f t="shared" si="233"/>
        <v>0</v>
      </c>
    </row>
    <row r="758" spans="1:12" ht="15" customHeight="1" x14ac:dyDescent="0.25">
      <c r="A758" s="42" t="str" cm="1">
        <f t="array" ref="A758">IFERROR(INDEX(_xlfn._xlws.FILTER(Class_Players!A:A,Class_Players!B:B="Recon"),QUOTIENT(ROW()-ROW($A$2),8)+1),"")</f>
        <v>secondtoughestuk</v>
      </c>
      <c r="B758" s="42" t="str">
        <f>_xlfn.XLOOKUP(A758,Class_Players!$A:$A,Class_Players!$B:$B,"")</f>
        <v>Recon</v>
      </c>
      <c r="C758" s="38" t="str" cm="1">
        <f t="array" ref="C758">INDEX(Lookups!$C$2:$C$9,MOD(ROW()-ROW($B$2),ROWS(Lookups!$C$2:$C$9))+1)</f>
        <v>Sniper Decoy</v>
      </c>
      <c r="D758" s="38" t="str">
        <f>_xlfn.XLOOKUP(C758,Analysis_Gadgets!$C:$C,Analysis_Gadgets!$B:$B)</f>
        <v>Gadget</v>
      </c>
      <c r="E758" s="43">
        <v>0</v>
      </c>
      <c r="F758" s="43">
        <f>_xlfn.XLOOKUP(A758,Class_Players!A:A,Class_Players!G:G)</f>
        <v>123</v>
      </c>
      <c r="G758" s="43">
        <f t="shared" si="224"/>
        <v>0</v>
      </c>
      <c r="H758" s="43">
        <f>_xlfn.XLOOKUP(A758,Class_Players!$A:$A,Class_Players!$F:$F,"")</f>
        <v>4984</v>
      </c>
      <c r="I758" s="44">
        <f t="shared" si="225"/>
        <v>0</v>
      </c>
      <c r="J758" s="43">
        <f t="shared" si="226"/>
        <v>0</v>
      </c>
      <c r="K758" s="44" cm="1">
        <f t="array" ref="K758">IF(D758="Gadget",_xlfn.IFS(I758&gt;=0.2,0.5,I758&gt;=0.1,0.35,I758&gt;=0.05,0.2,TRUE,0),IF(D758="Grenade",_xlfn.IFS(I758&gt;=0.2,1,I758&gt;=0.1,0.7,I758&gt;=0.05,0.4,TRUE,0),0))</f>
        <v>0</v>
      </c>
      <c r="L758" s="57">
        <f t="shared" si="233"/>
        <v>0</v>
      </c>
    </row>
    <row r="759" spans="1:12" ht="15" customHeight="1" x14ac:dyDescent="0.25">
      <c r="A759" s="42" t="str" cm="1">
        <f t="array" ref="A759">IFERROR(INDEX(_xlfn._xlws.FILTER(Class_Players!A:A,Class_Players!B:B="Recon"),QUOTIENT(ROW()-ROW($A$2),8)+1),"")</f>
        <v>secondtoughestuk</v>
      </c>
      <c r="B759" s="42" t="str">
        <f>_xlfn.XLOOKUP(A759,Class_Players!$A:$A,Class_Players!$B:$B,"")</f>
        <v>Recon</v>
      </c>
      <c r="C759" s="38" t="str" cm="1">
        <f t="array" ref="C759">INDEX(Lookups!$C$2:$C$9,MOD(ROW()-ROW($B$2),ROWS(Lookups!$C$2:$C$9))+1)</f>
        <v>C-4 Explosives</v>
      </c>
      <c r="D759" s="38" t="str">
        <f>_xlfn.XLOOKUP(C759,Analysis_Gadgets!$C:$C,Analysis_Gadgets!$B:$B)</f>
        <v>Gadget</v>
      </c>
      <c r="E759" s="43">
        <v>582</v>
      </c>
      <c r="F759" s="43">
        <f>_xlfn.XLOOKUP(A759,Class_Players!A:A,Class_Players!G:G)</f>
        <v>123</v>
      </c>
      <c r="G759" s="43">
        <f t="shared" si="224"/>
        <v>4.7317073170731705</v>
      </c>
      <c r="H759" s="43">
        <f>_xlfn.XLOOKUP(A759,Class_Players!$A:$A,Class_Players!$F:$F,"")</f>
        <v>4984</v>
      </c>
      <c r="I759" s="44">
        <f t="shared" si="225"/>
        <v>0.11677367576243981</v>
      </c>
      <c r="J759" s="43">
        <f t="shared" si="226"/>
        <v>1</v>
      </c>
      <c r="K759" s="44" cm="1">
        <f t="array" ref="K759">IF(D759="Gadget",_xlfn.IFS(I759&gt;=0.2,0.5,I759&gt;=0.1,0.35,I759&gt;=0.05,0.2,TRUE,0),IF(D759="Grenade",_xlfn.IFS(I759&gt;=0.2,1,I759&gt;=0.1,0.7,I759&gt;=0.05,0.4,TRUE,0),0))</f>
        <v>0.35</v>
      </c>
      <c r="L759" s="57">
        <f t="shared" si="233"/>
        <v>0.5</v>
      </c>
    </row>
    <row r="760" spans="1:12" ht="15" customHeight="1" x14ac:dyDescent="0.25">
      <c r="A760" s="42" t="str" cm="1">
        <f t="array" ref="A760">IFERROR(INDEX(_xlfn._xlws.FILTER(Class_Players!A:A,Class_Players!B:B="Recon"),QUOTIENT(ROW()-ROW($A$2),8)+1),"")</f>
        <v>secondtoughestuk</v>
      </c>
      <c r="B760" s="42" t="str">
        <f>_xlfn.XLOOKUP(A760,Class_Players!$A:$A,Class_Players!$B:$B,"")</f>
        <v>Recon</v>
      </c>
      <c r="C760" s="38" t="str" cm="1">
        <f t="array" ref="C760">INDEX(Lookups!$C$2:$C$9,MOD(ROW()-ROW($B$2),ROWS(Lookups!$C$2:$C$9))+1)</f>
        <v>Proximity Detector</v>
      </c>
      <c r="D760" s="38" t="str">
        <f>_xlfn.XLOOKUP(C760,Analysis_Gadgets!$C:$C,Analysis_Gadgets!$B:$B)</f>
        <v>Grenade</v>
      </c>
      <c r="E760" s="43">
        <v>19</v>
      </c>
      <c r="F760" s="43">
        <f>_xlfn.XLOOKUP(A760,Class_Players!A:A,Class_Players!G:G)</f>
        <v>123</v>
      </c>
      <c r="G760" s="43">
        <f t="shared" si="224"/>
        <v>0.15447154471544716</v>
      </c>
      <c r="H760" s="43">
        <f>_xlfn.XLOOKUP(A760,Class_Players!$A:$A,Class_Players!$F:$F,"")</f>
        <v>4984</v>
      </c>
      <c r="I760" s="44">
        <f t="shared" si="225"/>
        <v>3.8121990369181379E-3</v>
      </c>
      <c r="J760" s="43">
        <f t="shared" si="226"/>
        <v>0</v>
      </c>
      <c r="K760" s="44" cm="1">
        <f t="array" ref="K760">IF(D760="Gadget",_xlfn.IFS(I760&gt;=0.2,0.5,I760&gt;=0.1,0.35,I760&gt;=0.05,0.2,TRUE,0),IF(D760="Grenade",_xlfn.IFS(I760&gt;=0.2,1,I760&gt;=0.1,0.7,I760&gt;=0.05,0.4,TRUE,0),0))</f>
        <v>0</v>
      </c>
      <c r="L760" s="57">
        <f t="shared" ref="L760:L761" si="234">IF($K760=0,0,$K760 / SUMIFS($K:$K,$A:$A,$A760,$D:$D,"Grenade"))</f>
        <v>0</v>
      </c>
    </row>
    <row r="761" spans="1:12" ht="15" customHeight="1" x14ac:dyDescent="0.25">
      <c r="A761" s="42" t="str" cm="1">
        <f t="array" ref="A761">IFERROR(INDEX(_xlfn._xlws.FILTER(Class_Players!A:A,Class_Players!B:B="Recon"),QUOTIENT(ROW()-ROW($A$2),8)+1),"")</f>
        <v>secondtoughestuk</v>
      </c>
      <c r="B761" s="42" t="str">
        <f>_xlfn.XLOOKUP(A761,Class_Players!$A:$A,Class_Players!$B:$B,"")</f>
        <v>Recon</v>
      </c>
      <c r="C761" s="38" t="str" cm="1">
        <f t="array" ref="C761">INDEX(Lookups!$C$2:$C$9,MOD(ROW()-ROW($B$2),ROWS(Lookups!$C$2:$C$9))+1)</f>
        <v>Throwing Knife</v>
      </c>
      <c r="D761" s="38" t="str">
        <f>_xlfn.XLOOKUP(C761,Analysis_Gadgets!$C:$C,Analysis_Gadgets!$B:$B)</f>
        <v>Grenade</v>
      </c>
      <c r="E761" s="43">
        <v>5</v>
      </c>
      <c r="F761" s="43">
        <f>_xlfn.XLOOKUP(A761,Class_Players!A:A,Class_Players!G:G)</f>
        <v>123</v>
      </c>
      <c r="G761" s="43">
        <f t="shared" si="224"/>
        <v>4.065040650406504E-2</v>
      </c>
      <c r="H761" s="43">
        <f>_xlfn.XLOOKUP(A761,Class_Players!$A:$A,Class_Players!$F:$F,"")</f>
        <v>4984</v>
      </c>
      <c r="I761" s="44">
        <f t="shared" si="225"/>
        <v>1.0032102728731941E-3</v>
      </c>
      <c r="J761" s="43">
        <f t="shared" si="226"/>
        <v>0</v>
      </c>
      <c r="K761" s="44" cm="1">
        <f t="array" ref="K761">IF(D761="Gadget",_xlfn.IFS(I761&gt;=0.2,0.5,I761&gt;=0.1,0.35,I761&gt;=0.05,0.2,TRUE,0),IF(D761="Grenade",_xlfn.IFS(I761&gt;=0.2,1,I761&gt;=0.1,0.7,I761&gt;=0.05,0.4,TRUE,0),0))</f>
        <v>0</v>
      </c>
      <c r="L761" s="57">
        <f t="shared" si="234"/>
        <v>0</v>
      </c>
    </row>
    <row r="762" spans="1:12" ht="15" customHeight="1" x14ac:dyDescent="0.25">
      <c r="A762" s="42" t="str" cm="1">
        <f t="array" ref="A762">IFERROR(INDEX(_xlfn._xlws.FILTER(Class_Players!A:A,Class_Players!B:B="Recon"),QUOTIENT(ROW()-ROW($A$2),8)+1),"")</f>
        <v>Max White AT</v>
      </c>
      <c r="B762" s="42" t="str">
        <f>_xlfn.XLOOKUP(A762,Class_Players!$A:$A,Class_Players!$B:$B,"")</f>
        <v>Recon</v>
      </c>
      <c r="C762" s="38" t="str" cm="1">
        <f t="array" ref="C762">INDEX(Lookups!$C$2:$C$9,MOD(ROW()-ROW($B$2),ROWS(Lookups!$C$2:$C$9))+1)</f>
        <v>Laser Designator</v>
      </c>
      <c r="D762" s="38" t="str">
        <f>_xlfn.XLOOKUP(C762,Analysis_Gadgets!$C:$C,Analysis_Gadgets!$B:$B)</f>
        <v>Gadget</v>
      </c>
      <c r="E762" s="43">
        <v>183</v>
      </c>
      <c r="F762" s="43">
        <f>_xlfn.XLOOKUP(A762,Class_Players!A:A,Class_Players!G:G)</f>
        <v>134</v>
      </c>
      <c r="G762" s="43">
        <f t="shared" si="224"/>
        <v>1.3656716417910448</v>
      </c>
      <c r="H762" s="43">
        <f>_xlfn.XLOOKUP(A762,Class_Players!$A:$A,Class_Players!$F:$F,"")</f>
        <v>4983</v>
      </c>
      <c r="I762" s="44">
        <f t="shared" si="225"/>
        <v>3.6724864539434077E-2</v>
      </c>
      <c r="J762" s="43">
        <f t="shared" si="226"/>
        <v>0</v>
      </c>
      <c r="K762" s="44" cm="1">
        <f t="array" ref="K762">IF(D762="Gadget",_xlfn.IFS(I762&gt;=0.2,0.5,I762&gt;=0.1,0.35,I762&gt;=0.05,0.2,TRUE,0),IF(D762="Grenade",_xlfn.IFS(I762&gt;=0.2,1,I762&gt;=0.1,0.7,I762&gt;=0.05,0.4,TRUE,0),0))</f>
        <v>0</v>
      </c>
      <c r="L762" s="57">
        <f t="shared" ref="L762:L767" si="235">IF($K762=0,0,$K762 / SUMIFS($K:$K,$A:$A,$A762,$D:$D,"Gadget"))</f>
        <v>0</v>
      </c>
    </row>
    <row r="763" spans="1:12" ht="15" customHeight="1" x14ac:dyDescent="0.25">
      <c r="A763" s="42" t="str" cm="1">
        <f t="array" ref="A763">IFERROR(INDEX(_xlfn._xlws.FILTER(Class_Players!A:A,Class_Players!B:B="Recon"),QUOTIENT(ROW()-ROW($A$2),8)+1),"")</f>
        <v>Max White AT</v>
      </c>
      <c r="B763" s="42" t="str">
        <f>_xlfn.XLOOKUP(A763,Class_Players!$A:$A,Class_Players!$B:$B,"")</f>
        <v>Recon</v>
      </c>
      <c r="C763" s="38" t="str" cm="1">
        <f t="array" ref="C763">INDEX(Lookups!$C$2:$C$9,MOD(ROW()-ROW($B$2),ROWS(Lookups!$C$2:$C$9))+1)</f>
        <v>Recon Drone</v>
      </c>
      <c r="D763" s="38" t="str">
        <f>_xlfn.XLOOKUP(C763,Analysis_Gadgets!$C:$C,Analysis_Gadgets!$B:$B)</f>
        <v>Gadget</v>
      </c>
      <c r="E763" s="43">
        <v>303</v>
      </c>
      <c r="F763" s="43">
        <f>_xlfn.XLOOKUP(A763,Class_Players!A:A,Class_Players!G:G)</f>
        <v>134</v>
      </c>
      <c r="G763" s="43">
        <f t="shared" si="224"/>
        <v>2.2611940298507465</v>
      </c>
      <c r="H763" s="43">
        <f>_xlfn.XLOOKUP(A763,Class_Players!$A:$A,Class_Players!$F:$F,"")</f>
        <v>4983</v>
      </c>
      <c r="I763" s="44">
        <f t="shared" si="225"/>
        <v>6.0806742925948225E-2</v>
      </c>
      <c r="J763" s="43">
        <f t="shared" si="226"/>
        <v>0</v>
      </c>
      <c r="K763" s="44" cm="1">
        <f t="array" ref="K763">IF(D763="Gadget",_xlfn.IFS(I763&gt;=0.2,0.5,I763&gt;=0.1,0.35,I763&gt;=0.05,0.2,TRUE,0),IF(D763="Grenade",_xlfn.IFS(I763&gt;=0.2,1,I763&gt;=0.1,0.7,I763&gt;=0.05,0.4,TRUE,0),0))</f>
        <v>0.2</v>
      </c>
      <c r="L763" s="57">
        <f t="shared" si="235"/>
        <v>0.22222222222222227</v>
      </c>
    </row>
    <row r="764" spans="1:12" ht="15" customHeight="1" x14ac:dyDescent="0.25">
      <c r="A764" s="42" t="str" cm="1">
        <f t="array" ref="A764">IFERROR(INDEX(_xlfn._xlws.FILTER(Class_Players!A:A,Class_Players!B:B="Recon"),QUOTIENT(ROW()-ROW($A$2),8)+1),"")</f>
        <v>Max White AT</v>
      </c>
      <c r="B764" s="42" t="str">
        <f>_xlfn.XLOOKUP(A764,Class_Players!$A:$A,Class_Players!$B:$B,"")</f>
        <v>Recon</v>
      </c>
      <c r="C764" s="38" t="str" cm="1">
        <f t="array" ref="C764">INDEX(Lookups!$C$2:$C$9,MOD(ROW()-ROW($B$2),ROWS(Lookups!$C$2:$C$9))+1)</f>
        <v>Tracer Dart</v>
      </c>
      <c r="D764" s="38" t="str">
        <f>_xlfn.XLOOKUP(C764,Analysis_Gadgets!$C:$C,Analysis_Gadgets!$B:$B)</f>
        <v>Gadget</v>
      </c>
      <c r="E764" s="43">
        <v>51</v>
      </c>
      <c r="F764" s="43">
        <f>_xlfn.XLOOKUP(A764,Class_Players!A:A,Class_Players!G:G)</f>
        <v>134</v>
      </c>
      <c r="G764" s="43">
        <f t="shared" si="224"/>
        <v>0.38059701492537312</v>
      </c>
      <c r="H764" s="43">
        <f>_xlfn.XLOOKUP(A764,Class_Players!$A:$A,Class_Players!$F:$F,"")</f>
        <v>4983</v>
      </c>
      <c r="I764" s="44">
        <f t="shared" si="225"/>
        <v>1.0234798314268514E-2</v>
      </c>
      <c r="J764" s="43">
        <f t="shared" si="226"/>
        <v>0</v>
      </c>
      <c r="K764" s="44" cm="1">
        <f t="array" ref="K764">IF(D764="Gadget",_xlfn.IFS(I764&gt;=0.2,0.5,I764&gt;=0.1,0.35,I764&gt;=0.05,0.2,TRUE,0),IF(D764="Grenade",_xlfn.IFS(I764&gt;=0.2,1,I764&gt;=0.1,0.7,I764&gt;=0.05,0.4,TRUE,0),0))</f>
        <v>0</v>
      </c>
      <c r="L764" s="57">
        <f t="shared" si="235"/>
        <v>0</v>
      </c>
    </row>
    <row r="765" spans="1:12" ht="15" customHeight="1" x14ac:dyDescent="0.25">
      <c r="A765" s="42" t="str" cm="1">
        <f t="array" ref="A765">IFERROR(INDEX(_xlfn._xlws.FILTER(Class_Players!A:A,Class_Players!B:B="Recon"),QUOTIENT(ROW()-ROW($A$2),8)+1),"")</f>
        <v>Max White AT</v>
      </c>
      <c r="B765" s="42" t="str">
        <f>_xlfn.XLOOKUP(A765,Class_Players!$A:$A,Class_Players!$B:$B,"")</f>
        <v>Recon</v>
      </c>
      <c r="C765" s="38" t="str" cm="1">
        <f t="array" ref="C765">INDEX(Lookups!$C$2:$C$9,MOD(ROW()-ROW($B$2),ROWS(Lookups!$C$2:$C$9))+1)</f>
        <v>M18A1 (Claymore)</v>
      </c>
      <c r="D765" s="38" t="str">
        <f>_xlfn.XLOOKUP(C765,Analysis_Gadgets!$C:$C,Analysis_Gadgets!$B:$B)</f>
        <v>Gadget</v>
      </c>
      <c r="E765" s="43">
        <v>1247</v>
      </c>
      <c r="F765" s="43">
        <f>_xlfn.XLOOKUP(A765,Class_Players!A:A,Class_Players!G:G)</f>
        <v>134</v>
      </c>
      <c r="G765" s="43">
        <f t="shared" si="224"/>
        <v>9.3059701492537314</v>
      </c>
      <c r="H765" s="43">
        <f>_xlfn.XLOOKUP(A765,Class_Players!$A:$A,Class_Players!$F:$F,"")</f>
        <v>4983</v>
      </c>
      <c r="I765" s="44">
        <f t="shared" si="225"/>
        <v>0.25025085289985954</v>
      </c>
      <c r="J765" s="43">
        <f t="shared" si="226"/>
        <v>1</v>
      </c>
      <c r="K765" s="44" cm="1">
        <f t="array" ref="K765">IF(D765="Gadget",_xlfn.IFS(I765&gt;=0.2,0.5,I765&gt;=0.1,0.35,I765&gt;=0.05,0.2,TRUE,0),IF(D765="Grenade",_xlfn.IFS(I765&gt;=0.2,1,I765&gt;=0.1,0.7,I765&gt;=0.05,0.4,TRUE,0),0))</f>
        <v>0.5</v>
      </c>
      <c r="L765" s="57">
        <f t="shared" si="235"/>
        <v>0.55555555555555558</v>
      </c>
    </row>
    <row r="766" spans="1:12" ht="15" customHeight="1" x14ac:dyDescent="0.25">
      <c r="A766" s="42" t="str" cm="1">
        <f t="array" ref="A766">IFERROR(INDEX(_xlfn._xlws.FILTER(Class_Players!A:A,Class_Players!B:B="Recon"),QUOTIENT(ROW()-ROW($A$2),8)+1),"")</f>
        <v>Max White AT</v>
      </c>
      <c r="B766" s="42" t="str">
        <f>_xlfn.XLOOKUP(A766,Class_Players!$A:$A,Class_Players!$B:$B,"")</f>
        <v>Recon</v>
      </c>
      <c r="C766" s="38" t="str" cm="1">
        <f t="array" ref="C766">INDEX(Lookups!$C$2:$C$9,MOD(ROW()-ROW($B$2),ROWS(Lookups!$C$2:$C$9))+1)</f>
        <v>Sniper Decoy</v>
      </c>
      <c r="D766" s="38" t="str">
        <f>_xlfn.XLOOKUP(C766,Analysis_Gadgets!$C:$C,Analysis_Gadgets!$B:$B)</f>
        <v>Gadget</v>
      </c>
      <c r="E766" s="43">
        <v>52</v>
      </c>
      <c r="F766" s="43">
        <f>_xlfn.XLOOKUP(A766,Class_Players!A:A,Class_Players!G:G)</f>
        <v>134</v>
      </c>
      <c r="G766" s="43">
        <f t="shared" si="224"/>
        <v>0.38805970149253732</v>
      </c>
      <c r="H766" s="43">
        <f>_xlfn.XLOOKUP(A766,Class_Players!$A:$A,Class_Players!$F:$F,"")</f>
        <v>4983</v>
      </c>
      <c r="I766" s="44">
        <f t="shared" si="225"/>
        <v>1.0435480634156131E-2</v>
      </c>
      <c r="J766" s="43">
        <f t="shared" si="226"/>
        <v>0</v>
      </c>
      <c r="K766" s="44" cm="1">
        <f t="array" ref="K766">IF(D766="Gadget",_xlfn.IFS(I766&gt;=0.2,0.5,I766&gt;=0.1,0.35,I766&gt;=0.05,0.2,TRUE,0),IF(D766="Grenade",_xlfn.IFS(I766&gt;=0.2,1,I766&gt;=0.1,0.7,I766&gt;=0.05,0.4,TRUE,0),0))</f>
        <v>0</v>
      </c>
      <c r="L766" s="57">
        <f t="shared" si="235"/>
        <v>0</v>
      </c>
    </row>
    <row r="767" spans="1:12" ht="15" customHeight="1" x14ac:dyDescent="0.25">
      <c r="A767" s="42" t="str" cm="1">
        <f t="array" ref="A767">IFERROR(INDEX(_xlfn._xlws.FILTER(Class_Players!A:A,Class_Players!B:B="Recon"),QUOTIENT(ROW()-ROW($A$2),8)+1),"")</f>
        <v>Max White AT</v>
      </c>
      <c r="B767" s="42" t="str">
        <f>_xlfn.XLOOKUP(A767,Class_Players!$A:$A,Class_Players!$B:$B,"")</f>
        <v>Recon</v>
      </c>
      <c r="C767" s="38" t="str" cm="1">
        <f t="array" ref="C767">INDEX(Lookups!$C$2:$C$9,MOD(ROW()-ROW($B$2),ROWS(Lookups!$C$2:$C$9))+1)</f>
        <v>C-4 Explosives</v>
      </c>
      <c r="D767" s="38" t="str">
        <f>_xlfn.XLOOKUP(C767,Analysis_Gadgets!$C:$C,Analysis_Gadgets!$B:$B)</f>
        <v>Gadget</v>
      </c>
      <c r="E767" s="43">
        <v>441</v>
      </c>
      <c r="F767" s="43">
        <f>_xlfn.XLOOKUP(A767,Class_Players!A:A,Class_Players!G:G)</f>
        <v>134</v>
      </c>
      <c r="G767" s="43">
        <f t="shared" si="224"/>
        <v>3.2910447761194028</v>
      </c>
      <c r="H767" s="43">
        <f>_xlfn.XLOOKUP(A767,Class_Players!$A:$A,Class_Players!$F:$F,"")</f>
        <v>4983</v>
      </c>
      <c r="I767" s="44">
        <f t="shared" si="225"/>
        <v>8.8500903070439493E-2</v>
      </c>
      <c r="J767" s="43">
        <f t="shared" si="226"/>
        <v>0</v>
      </c>
      <c r="K767" s="44" cm="1">
        <f t="array" ref="K767">IF(D767="Gadget",_xlfn.IFS(I767&gt;=0.2,0.5,I767&gt;=0.1,0.35,I767&gt;=0.05,0.2,TRUE,0),IF(D767="Grenade",_xlfn.IFS(I767&gt;=0.2,1,I767&gt;=0.1,0.7,I767&gt;=0.05,0.4,TRUE,0),0))</f>
        <v>0.2</v>
      </c>
      <c r="L767" s="57">
        <f t="shared" si="235"/>
        <v>0.22222222222222227</v>
      </c>
    </row>
    <row r="768" spans="1:12" ht="15" customHeight="1" x14ac:dyDescent="0.25">
      <c r="A768" s="42" t="str" cm="1">
        <f t="array" ref="A768">IFERROR(INDEX(_xlfn._xlws.FILTER(Class_Players!A:A,Class_Players!B:B="Recon"),QUOTIENT(ROW()-ROW($A$2),8)+1),"")</f>
        <v>Max White AT</v>
      </c>
      <c r="B768" s="42" t="str">
        <f>_xlfn.XLOOKUP(A768,Class_Players!$A:$A,Class_Players!$B:$B,"")</f>
        <v>Recon</v>
      </c>
      <c r="C768" s="38" t="str" cm="1">
        <f t="array" ref="C768">INDEX(Lookups!$C$2:$C$9,MOD(ROW()-ROW($B$2),ROWS(Lookups!$C$2:$C$9))+1)</f>
        <v>Proximity Detector</v>
      </c>
      <c r="D768" s="38" t="str">
        <f>_xlfn.XLOOKUP(C768,Analysis_Gadgets!$C:$C,Analysis_Gadgets!$B:$B)</f>
        <v>Grenade</v>
      </c>
      <c r="E768" s="43">
        <v>7</v>
      </c>
      <c r="F768" s="43">
        <f>_xlfn.XLOOKUP(A768,Class_Players!A:A,Class_Players!G:G)</f>
        <v>134</v>
      </c>
      <c r="G768" s="43">
        <f t="shared" si="224"/>
        <v>5.2238805970149252E-2</v>
      </c>
      <c r="H768" s="43">
        <f>_xlfn.XLOOKUP(A768,Class_Players!$A:$A,Class_Players!$F:$F,"")</f>
        <v>4983</v>
      </c>
      <c r="I768" s="44">
        <f t="shared" si="225"/>
        <v>1.4047762392133253E-3</v>
      </c>
      <c r="J768" s="43">
        <f t="shared" si="226"/>
        <v>0</v>
      </c>
      <c r="K768" s="44" cm="1">
        <f t="array" ref="K768">IF(D768="Gadget",_xlfn.IFS(I768&gt;=0.2,0.5,I768&gt;=0.1,0.35,I768&gt;=0.05,0.2,TRUE,0),IF(D768="Grenade",_xlfn.IFS(I768&gt;=0.2,1,I768&gt;=0.1,0.7,I768&gt;=0.05,0.4,TRUE,0),0))</f>
        <v>0</v>
      </c>
      <c r="L768" s="57">
        <f t="shared" ref="L768:L769" si="236">IF($K768=0,0,$K768 / SUMIFS($K:$K,$A:$A,$A768,$D:$D,"Grenade"))</f>
        <v>0</v>
      </c>
    </row>
    <row r="769" spans="1:12" ht="15" customHeight="1" x14ac:dyDescent="0.25">
      <c r="A769" s="42" t="str" cm="1">
        <f t="array" ref="A769">IFERROR(INDEX(_xlfn._xlws.FILTER(Class_Players!A:A,Class_Players!B:B="Recon"),QUOTIENT(ROW()-ROW($A$2),8)+1),"")</f>
        <v>Max White AT</v>
      </c>
      <c r="B769" s="42" t="str">
        <f>_xlfn.XLOOKUP(A769,Class_Players!$A:$A,Class_Players!$B:$B,"")</f>
        <v>Recon</v>
      </c>
      <c r="C769" s="38" t="str" cm="1">
        <f t="array" ref="C769">INDEX(Lookups!$C$2:$C$9,MOD(ROW()-ROW($B$2),ROWS(Lookups!$C$2:$C$9))+1)</f>
        <v>Throwing Knife</v>
      </c>
      <c r="D769" s="38" t="str">
        <f>_xlfn.XLOOKUP(C769,Analysis_Gadgets!$C:$C,Analysis_Gadgets!$B:$B)</f>
        <v>Grenade</v>
      </c>
      <c r="E769" s="43">
        <v>9</v>
      </c>
      <c r="F769" s="43">
        <f>_xlfn.XLOOKUP(A769,Class_Players!A:A,Class_Players!G:G)</f>
        <v>134</v>
      </c>
      <c r="G769" s="43">
        <f t="shared" si="224"/>
        <v>6.7164179104477612E-2</v>
      </c>
      <c r="H769" s="43">
        <f>_xlfn.XLOOKUP(A769,Class_Players!$A:$A,Class_Players!$F:$F,"")</f>
        <v>4983</v>
      </c>
      <c r="I769" s="44">
        <f t="shared" si="225"/>
        <v>1.8061408789885611E-3</v>
      </c>
      <c r="J769" s="43">
        <f t="shared" si="226"/>
        <v>0</v>
      </c>
      <c r="K769" s="44" cm="1">
        <f t="array" ref="K769">IF(D769="Gadget",_xlfn.IFS(I769&gt;=0.2,0.5,I769&gt;=0.1,0.35,I769&gt;=0.05,0.2,TRUE,0),IF(D769="Grenade",_xlfn.IFS(I769&gt;=0.2,1,I769&gt;=0.1,0.7,I769&gt;=0.05,0.4,TRUE,0),0))</f>
        <v>0</v>
      </c>
      <c r="L769" s="57">
        <f t="shared" si="236"/>
        <v>0</v>
      </c>
    </row>
    <row r="770" spans="1:12" ht="15" customHeight="1" x14ac:dyDescent="0.25">
      <c r="A770" s="42" t="str" cm="1">
        <f t="array" ref="A770">IFERROR(INDEX(_xlfn._xlws.FILTER(Class_Players!A:A,Class_Players!B:B="Recon"),QUOTIENT(ROW()-ROW($A$2),8)+1),"")</f>
        <v>imorimax-_-JET</v>
      </c>
      <c r="B770" s="42" t="str">
        <f>_xlfn.XLOOKUP(A770,Class_Players!$A:$A,Class_Players!$B:$B,"")</f>
        <v>Recon</v>
      </c>
      <c r="C770" s="38" t="str" cm="1">
        <f t="array" ref="C770">INDEX(Lookups!$C$2:$C$9,MOD(ROW()-ROW($B$2),ROWS(Lookups!$C$2:$C$9))+1)</f>
        <v>Laser Designator</v>
      </c>
      <c r="D770" s="38" t="str">
        <f>_xlfn.XLOOKUP(C770,Analysis_Gadgets!$C:$C,Analysis_Gadgets!$B:$B)</f>
        <v>Gadget</v>
      </c>
      <c r="E770" s="43">
        <v>149</v>
      </c>
      <c r="F770" s="43">
        <f>_xlfn.XLOOKUP(A770,Class_Players!A:A,Class_Players!G:G)</f>
        <v>138</v>
      </c>
      <c r="G770" s="43">
        <f t="shared" si="224"/>
        <v>1.0797101449275361</v>
      </c>
      <c r="H770" s="43">
        <f>_xlfn.XLOOKUP(A770,Class_Players!$A:$A,Class_Players!$F:$F,"")</f>
        <v>4804</v>
      </c>
      <c r="I770" s="44">
        <f t="shared" si="225"/>
        <v>3.1015820149875105E-2</v>
      </c>
      <c r="J770" s="43">
        <f t="shared" si="226"/>
        <v>0</v>
      </c>
      <c r="K770" s="44" cm="1">
        <f t="array" ref="K770">IF(D770="Gadget",_xlfn.IFS(I770&gt;=0.2,0.5,I770&gt;=0.1,0.35,I770&gt;=0.05,0.2,TRUE,0),IF(D770="Grenade",_xlfn.IFS(I770&gt;=0.2,1,I770&gt;=0.1,0.7,I770&gt;=0.05,0.4,TRUE,0),0))</f>
        <v>0</v>
      </c>
      <c r="L770" s="57">
        <f t="shared" ref="L770:L775" si="237">IF($K770=0,0,$K770 / SUMIFS($K:$K,$A:$A,$A770,$D:$D,"Gadget"))</f>
        <v>0</v>
      </c>
    </row>
    <row r="771" spans="1:12" ht="15" customHeight="1" x14ac:dyDescent="0.25">
      <c r="A771" s="42" t="str" cm="1">
        <f t="array" ref="A771">IFERROR(INDEX(_xlfn._xlws.FILTER(Class_Players!A:A,Class_Players!B:B="Recon"),QUOTIENT(ROW()-ROW($A$2),8)+1),"")</f>
        <v>imorimax-_-JET</v>
      </c>
      <c r="B771" s="42" t="str">
        <f>_xlfn.XLOOKUP(A771,Class_Players!$A:$A,Class_Players!$B:$B,"")</f>
        <v>Recon</v>
      </c>
      <c r="C771" s="38" t="str" cm="1">
        <f t="array" ref="C771">INDEX(Lookups!$C$2:$C$9,MOD(ROW()-ROW($B$2),ROWS(Lookups!$C$2:$C$9))+1)</f>
        <v>Recon Drone</v>
      </c>
      <c r="D771" s="38" t="str">
        <f>_xlfn.XLOOKUP(C771,Analysis_Gadgets!$C:$C,Analysis_Gadgets!$B:$B)</f>
        <v>Gadget</v>
      </c>
      <c r="E771" s="43">
        <v>173</v>
      </c>
      <c r="F771" s="43">
        <f>_xlfn.XLOOKUP(A771,Class_Players!A:A,Class_Players!G:G)</f>
        <v>138</v>
      </c>
      <c r="G771" s="43">
        <f t="shared" si="224"/>
        <v>1.2536231884057971</v>
      </c>
      <c r="H771" s="43">
        <f>_xlfn.XLOOKUP(A771,Class_Players!$A:$A,Class_Players!$F:$F,"")</f>
        <v>4804</v>
      </c>
      <c r="I771" s="44">
        <f t="shared" si="225"/>
        <v>3.601165695253955E-2</v>
      </c>
      <c r="J771" s="43">
        <f t="shared" si="226"/>
        <v>0</v>
      </c>
      <c r="K771" s="44" cm="1">
        <f t="array" ref="K771">IF(D771="Gadget",_xlfn.IFS(I771&gt;=0.2,0.5,I771&gt;=0.1,0.35,I771&gt;=0.05,0.2,TRUE,0),IF(D771="Grenade",_xlfn.IFS(I771&gt;=0.2,1,I771&gt;=0.1,0.7,I771&gt;=0.05,0.4,TRUE,0),0))</f>
        <v>0</v>
      </c>
      <c r="L771" s="57">
        <f t="shared" si="237"/>
        <v>0</v>
      </c>
    </row>
    <row r="772" spans="1:12" ht="15" customHeight="1" x14ac:dyDescent="0.25">
      <c r="A772" s="42" t="str" cm="1">
        <f t="array" ref="A772">IFERROR(INDEX(_xlfn._xlws.FILTER(Class_Players!A:A,Class_Players!B:B="Recon"),QUOTIENT(ROW()-ROW($A$2),8)+1),"")</f>
        <v>imorimax-_-JET</v>
      </c>
      <c r="B772" s="42" t="str">
        <f>_xlfn.XLOOKUP(A772,Class_Players!$A:$A,Class_Players!$B:$B,"")</f>
        <v>Recon</v>
      </c>
      <c r="C772" s="38" t="str" cm="1">
        <f t="array" ref="C772">INDEX(Lookups!$C$2:$C$9,MOD(ROW()-ROW($B$2),ROWS(Lookups!$C$2:$C$9))+1)</f>
        <v>Tracer Dart</v>
      </c>
      <c r="D772" s="38" t="str">
        <f>_xlfn.XLOOKUP(C772,Analysis_Gadgets!$C:$C,Analysis_Gadgets!$B:$B)</f>
        <v>Gadget</v>
      </c>
      <c r="E772" s="43">
        <v>2</v>
      </c>
      <c r="F772" s="43">
        <f>_xlfn.XLOOKUP(A772,Class_Players!A:A,Class_Players!G:G)</f>
        <v>138</v>
      </c>
      <c r="G772" s="43">
        <f t="shared" si="224"/>
        <v>1.4492753623188406E-2</v>
      </c>
      <c r="H772" s="43">
        <f>_xlfn.XLOOKUP(A772,Class_Players!$A:$A,Class_Players!$F:$F,"")</f>
        <v>4804</v>
      </c>
      <c r="I772" s="44">
        <f t="shared" si="225"/>
        <v>4.1631973355537054E-4</v>
      </c>
      <c r="J772" s="43">
        <f t="shared" si="226"/>
        <v>0</v>
      </c>
      <c r="K772" s="44" cm="1">
        <f t="array" ref="K772">IF(D772="Gadget",_xlfn.IFS(I772&gt;=0.2,0.5,I772&gt;=0.1,0.35,I772&gt;=0.05,0.2,TRUE,0),IF(D772="Grenade",_xlfn.IFS(I772&gt;=0.2,1,I772&gt;=0.1,0.7,I772&gt;=0.05,0.4,TRUE,0),0))</f>
        <v>0</v>
      </c>
      <c r="L772" s="57">
        <f t="shared" si="237"/>
        <v>0</v>
      </c>
    </row>
    <row r="773" spans="1:12" ht="15" customHeight="1" x14ac:dyDescent="0.25">
      <c r="A773" s="42" t="str" cm="1">
        <f t="array" ref="A773">IFERROR(INDEX(_xlfn._xlws.FILTER(Class_Players!A:A,Class_Players!B:B="Recon"),QUOTIENT(ROW()-ROW($A$2),8)+1),"")</f>
        <v>imorimax-_-JET</v>
      </c>
      <c r="B773" s="42" t="str">
        <f>_xlfn.XLOOKUP(A773,Class_Players!$A:$A,Class_Players!$B:$B,"")</f>
        <v>Recon</v>
      </c>
      <c r="C773" s="38" t="str" cm="1">
        <f t="array" ref="C773">INDEX(Lookups!$C$2:$C$9,MOD(ROW()-ROW($B$2),ROWS(Lookups!$C$2:$C$9))+1)</f>
        <v>M18A1 (Claymore)</v>
      </c>
      <c r="D773" s="38" t="str">
        <f>_xlfn.XLOOKUP(C773,Analysis_Gadgets!$C:$C,Analysis_Gadgets!$B:$B)</f>
        <v>Gadget</v>
      </c>
      <c r="E773" s="43">
        <v>81</v>
      </c>
      <c r="F773" s="43">
        <f>_xlfn.XLOOKUP(A773,Class_Players!A:A,Class_Players!G:G)</f>
        <v>138</v>
      </c>
      <c r="G773" s="43">
        <f t="shared" si="224"/>
        <v>0.58695652173913049</v>
      </c>
      <c r="H773" s="43">
        <f>_xlfn.XLOOKUP(A773,Class_Players!$A:$A,Class_Players!$F:$F,"")</f>
        <v>4804</v>
      </c>
      <c r="I773" s="44">
        <f t="shared" si="225"/>
        <v>1.6860949208992507E-2</v>
      </c>
      <c r="J773" s="43">
        <f t="shared" si="226"/>
        <v>0</v>
      </c>
      <c r="K773" s="44" cm="1">
        <f t="array" ref="K773">IF(D773="Gadget",_xlfn.IFS(I773&gt;=0.2,0.5,I773&gt;=0.1,0.35,I773&gt;=0.05,0.2,TRUE,0),IF(D773="Grenade",_xlfn.IFS(I773&gt;=0.2,1,I773&gt;=0.1,0.7,I773&gt;=0.05,0.4,TRUE,0),0))</f>
        <v>0</v>
      </c>
      <c r="L773" s="57">
        <f t="shared" si="237"/>
        <v>0</v>
      </c>
    </row>
    <row r="774" spans="1:12" ht="15" customHeight="1" x14ac:dyDescent="0.25">
      <c r="A774" s="42" t="str" cm="1">
        <f t="array" ref="A774">IFERROR(INDEX(_xlfn._xlws.FILTER(Class_Players!A:A,Class_Players!B:B="Recon"),QUOTIENT(ROW()-ROW($A$2),8)+1),"")</f>
        <v>imorimax-_-JET</v>
      </c>
      <c r="B774" s="42" t="str">
        <f>_xlfn.XLOOKUP(A774,Class_Players!$A:$A,Class_Players!$B:$B,"")</f>
        <v>Recon</v>
      </c>
      <c r="C774" s="38" t="str" cm="1">
        <f t="array" ref="C774">INDEX(Lookups!$C$2:$C$9,MOD(ROW()-ROW($B$2),ROWS(Lookups!$C$2:$C$9))+1)</f>
        <v>Sniper Decoy</v>
      </c>
      <c r="D774" s="38" t="str">
        <f>_xlfn.XLOOKUP(C774,Analysis_Gadgets!$C:$C,Analysis_Gadgets!$B:$B)</f>
        <v>Gadget</v>
      </c>
      <c r="E774" s="43">
        <v>196</v>
      </c>
      <c r="F774" s="43">
        <f>_xlfn.XLOOKUP(A774,Class_Players!A:A,Class_Players!G:G)</f>
        <v>138</v>
      </c>
      <c r="G774" s="43">
        <f t="shared" si="224"/>
        <v>1.4202898550724639</v>
      </c>
      <c r="H774" s="43">
        <f>_xlfn.XLOOKUP(A774,Class_Players!$A:$A,Class_Players!$F:$F,"")</f>
        <v>4804</v>
      </c>
      <c r="I774" s="44">
        <f t="shared" si="225"/>
        <v>4.0799333888426312E-2</v>
      </c>
      <c r="J774" s="43">
        <f t="shared" si="226"/>
        <v>0</v>
      </c>
      <c r="K774" s="44" cm="1">
        <f t="array" ref="K774">IF(D774="Gadget",_xlfn.IFS(I774&gt;=0.2,0.5,I774&gt;=0.1,0.35,I774&gt;=0.05,0.2,TRUE,0),IF(D774="Grenade",_xlfn.IFS(I774&gt;=0.2,1,I774&gt;=0.1,0.7,I774&gt;=0.05,0.4,TRUE,0),0))</f>
        <v>0</v>
      </c>
      <c r="L774" s="57">
        <f t="shared" si="237"/>
        <v>0</v>
      </c>
    </row>
    <row r="775" spans="1:12" ht="15" customHeight="1" x14ac:dyDescent="0.25">
      <c r="A775" s="42" t="str" cm="1">
        <f t="array" ref="A775">IFERROR(INDEX(_xlfn._xlws.FILTER(Class_Players!A:A,Class_Players!B:B="Recon"),QUOTIENT(ROW()-ROW($A$2),8)+1),"")</f>
        <v>imorimax-_-JET</v>
      </c>
      <c r="B775" s="42" t="str">
        <f>_xlfn.XLOOKUP(A775,Class_Players!$A:$A,Class_Players!$B:$B,"")</f>
        <v>Recon</v>
      </c>
      <c r="C775" s="38" t="str" cm="1">
        <f t="array" ref="C775">INDEX(Lookups!$C$2:$C$9,MOD(ROW()-ROW($B$2),ROWS(Lookups!$C$2:$C$9))+1)</f>
        <v>C-4 Explosives</v>
      </c>
      <c r="D775" s="38" t="str">
        <f>_xlfn.XLOOKUP(C775,Analysis_Gadgets!$C:$C,Analysis_Gadgets!$B:$B)</f>
        <v>Gadget</v>
      </c>
      <c r="E775" s="43">
        <v>1890</v>
      </c>
      <c r="F775" s="43">
        <f>_xlfn.XLOOKUP(A775,Class_Players!A:A,Class_Players!G:G)</f>
        <v>138</v>
      </c>
      <c r="G775" s="43">
        <f t="shared" si="224"/>
        <v>13.695652173913043</v>
      </c>
      <c r="H775" s="43">
        <f>_xlfn.XLOOKUP(A775,Class_Players!$A:$A,Class_Players!$F:$F,"")</f>
        <v>4804</v>
      </c>
      <c r="I775" s="44">
        <f t="shared" si="225"/>
        <v>0.39342214820982513</v>
      </c>
      <c r="J775" s="43">
        <f t="shared" si="226"/>
        <v>1</v>
      </c>
      <c r="K775" s="44" cm="1">
        <f t="array" ref="K775">IF(D775="Gadget",_xlfn.IFS(I775&gt;=0.2,0.5,I775&gt;=0.1,0.35,I775&gt;=0.05,0.2,TRUE,0),IF(D775="Grenade",_xlfn.IFS(I775&gt;=0.2,1,I775&gt;=0.1,0.7,I775&gt;=0.05,0.4,TRUE,0),0))</f>
        <v>0.5</v>
      </c>
      <c r="L775" s="57">
        <f t="shared" si="237"/>
        <v>1</v>
      </c>
    </row>
    <row r="776" spans="1:12" ht="15" customHeight="1" x14ac:dyDescent="0.25">
      <c r="A776" s="42" t="str" cm="1">
        <f t="array" ref="A776">IFERROR(INDEX(_xlfn._xlws.FILTER(Class_Players!A:A,Class_Players!B:B="Recon"),QUOTIENT(ROW()-ROW($A$2),8)+1),"")</f>
        <v>imorimax-_-JET</v>
      </c>
      <c r="B776" s="42" t="str">
        <f>_xlfn.XLOOKUP(A776,Class_Players!$A:$A,Class_Players!$B:$B,"")</f>
        <v>Recon</v>
      </c>
      <c r="C776" s="38" t="str" cm="1">
        <f t="array" ref="C776">INDEX(Lookups!$C$2:$C$9,MOD(ROW()-ROW($B$2),ROWS(Lookups!$C$2:$C$9))+1)</f>
        <v>Proximity Detector</v>
      </c>
      <c r="D776" s="38" t="str">
        <f>_xlfn.XLOOKUP(C776,Analysis_Gadgets!$C:$C,Analysis_Gadgets!$B:$B)</f>
        <v>Grenade</v>
      </c>
      <c r="E776" s="43">
        <v>25</v>
      </c>
      <c r="F776" s="43">
        <f>_xlfn.XLOOKUP(A776,Class_Players!A:A,Class_Players!G:G)</f>
        <v>138</v>
      </c>
      <c r="G776" s="43">
        <f t="shared" si="224"/>
        <v>0.18115942028985507</v>
      </c>
      <c r="H776" s="43">
        <f>_xlfn.XLOOKUP(A776,Class_Players!$A:$A,Class_Players!$F:$F,"")</f>
        <v>4804</v>
      </c>
      <c r="I776" s="44">
        <f t="shared" si="225"/>
        <v>5.2039966694421317E-3</v>
      </c>
      <c r="J776" s="43">
        <f t="shared" si="226"/>
        <v>0</v>
      </c>
      <c r="K776" s="44" cm="1">
        <f t="array" ref="K776">IF(D776="Gadget",_xlfn.IFS(I776&gt;=0.2,0.5,I776&gt;=0.1,0.35,I776&gt;=0.05,0.2,TRUE,0),IF(D776="Grenade",_xlfn.IFS(I776&gt;=0.2,1,I776&gt;=0.1,0.7,I776&gt;=0.05,0.4,TRUE,0),0))</f>
        <v>0</v>
      </c>
      <c r="L776" s="57">
        <f t="shared" ref="L776:L777" si="238">IF($K776=0,0,$K776 / SUMIFS($K:$K,$A:$A,$A776,$D:$D,"Grenade"))</f>
        <v>0</v>
      </c>
    </row>
    <row r="777" spans="1:12" ht="15" customHeight="1" x14ac:dyDescent="0.25">
      <c r="A777" s="42" t="str" cm="1">
        <f t="array" ref="A777">IFERROR(INDEX(_xlfn._xlws.FILTER(Class_Players!A:A,Class_Players!B:B="Recon"),QUOTIENT(ROW()-ROW($A$2),8)+1),"")</f>
        <v>imorimax-_-JET</v>
      </c>
      <c r="B777" s="42" t="str">
        <f>_xlfn.XLOOKUP(A777,Class_Players!$A:$A,Class_Players!$B:$B,"")</f>
        <v>Recon</v>
      </c>
      <c r="C777" s="38" t="str" cm="1">
        <f t="array" ref="C777">INDEX(Lookups!$C$2:$C$9,MOD(ROW()-ROW($B$2),ROWS(Lookups!$C$2:$C$9))+1)</f>
        <v>Throwing Knife</v>
      </c>
      <c r="D777" s="38" t="str">
        <f>_xlfn.XLOOKUP(C777,Analysis_Gadgets!$C:$C,Analysis_Gadgets!$B:$B)</f>
        <v>Grenade</v>
      </c>
      <c r="E777" s="43">
        <v>182</v>
      </c>
      <c r="F777" s="43">
        <f>_xlfn.XLOOKUP(A777,Class_Players!A:A,Class_Players!G:G)</f>
        <v>138</v>
      </c>
      <c r="G777" s="43">
        <f t="shared" si="224"/>
        <v>1.318840579710145</v>
      </c>
      <c r="H777" s="43">
        <f>_xlfn.XLOOKUP(A777,Class_Players!$A:$A,Class_Players!$F:$F,"")</f>
        <v>4804</v>
      </c>
      <c r="I777" s="44">
        <f t="shared" si="225"/>
        <v>3.7885095753538718E-2</v>
      </c>
      <c r="J777" s="43">
        <f t="shared" si="226"/>
        <v>0</v>
      </c>
      <c r="K777" s="44" cm="1">
        <f t="array" ref="K777">IF(D777="Gadget",_xlfn.IFS(I777&gt;=0.2,0.5,I777&gt;=0.1,0.35,I777&gt;=0.05,0.2,TRUE,0),IF(D777="Grenade",_xlfn.IFS(I777&gt;=0.2,1,I777&gt;=0.1,0.7,I777&gt;=0.05,0.4,TRUE,0),0))</f>
        <v>0</v>
      </c>
      <c r="L777" s="57">
        <f t="shared" si="238"/>
        <v>0</v>
      </c>
    </row>
    <row r="778" spans="1:12" ht="15" customHeight="1" x14ac:dyDescent="0.25">
      <c r="A778" s="42" t="str" cm="1">
        <f t="array" ref="A778">IFERROR(INDEX(_xlfn._xlws.FILTER(Class_Players!A:A,Class_Players!B:B="Recon"),QUOTIENT(ROW()-ROW($A$2),8)+1),"")</f>
        <v>WillhelmTheWise</v>
      </c>
      <c r="B778" s="42" t="str">
        <f>_xlfn.XLOOKUP(A778,Class_Players!$A:$A,Class_Players!$B:$B,"")</f>
        <v>Recon</v>
      </c>
      <c r="C778" s="38" t="str" cm="1">
        <f t="array" ref="C778">INDEX(Lookups!$C$2:$C$9,MOD(ROW()-ROW($B$2),ROWS(Lookups!$C$2:$C$9))+1)</f>
        <v>Laser Designator</v>
      </c>
      <c r="D778" s="38" t="str">
        <f>_xlfn.XLOOKUP(C778,Analysis_Gadgets!$C:$C,Analysis_Gadgets!$B:$B)</f>
        <v>Gadget</v>
      </c>
      <c r="E778" s="43">
        <v>71</v>
      </c>
      <c r="F778" s="43">
        <f>_xlfn.XLOOKUP(A778,Class_Players!A:A,Class_Players!G:G)</f>
        <v>62</v>
      </c>
      <c r="G778" s="43">
        <f t="shared" si="224"/>
        <v>1.1451612903225807</v>
      </c>
      <c r="H778" s="43">
        <f>_xlfn.XLOOKUP(A778,Class_Players!$A:$A,Class_Players!$F:$F,"")</f>
        <v>4922</v>
      </c>
      <c r="I778" s="44">
        <f t="shared" si="225"/>
        <v>1.4425030475416498E-2</v>
      </c>
      <c r="J778" s="43">
        <f t="shared" si="226"/>
        <v>0</v>
      </c>
      <c r="K778" s="44" cm="1">
        <f t="array" ref="K778">IF(D778="Gadget",_xlfn.IFS(I778&gt;=0.2,0.5,I778&gt;=0.1,0.35,I778&gt;=0.05,0.2,TRUE,0),IF(D778="Grenade",_xlfn.IFS(I778&gt;=0.2,1,I778&gt;=0.1,0.7,I778&gt;=0.05,0.4,TRUE,0),0))</f>
        <v>0</v>
      </c>
      <c r="L778" s="57">
        <f t="shared" ref="L778:L783" si="239">IF($K778=0,0,$K778 / SUMIFS($K:$K,$A:$A,$A778,$D:$D,"Gadget"))</f>
        <v>0</v>
      </c>
    </row>
    <row r="779" spans="1:12" ht="15" customHeight="1" x14ac:dyDescent="0.25">
      <c r="A779" s="42" t="str" cm="1">
        <f t="array" ref="A779">IFERROR(INDEX(_xlfn._xlws.FILTER(Class_Players!A:A,Class_Players!B:B="Recon"),QUOTIENT(ROW()-ROW($A$2),8)+1),"")</f>
        <v>WillhelmTheWise</v>
      </c>
      <c r="B779" s="42" t="str">
        <f>_xlfn.XLOOKUP(A779,Class_Players!$A:$A,Class_Players!$B:$B,"")</f>
        <v>Recon</v>
      </c>
      <c r="C779" s="38" t="str" cm="1">
        <f t="array" ref="C779">INDEX(Lookups!$C$2:$C$9,MOD(ROW()-ROW($B$2),ROWS(Lookups!$C$2:$C$9))+1)</f>
        <v>Recon Drone</v>
      </c>
      <c r="D779" s="38" t="str">
        <f>_xlfn.XLOOKUP(C779,Analysis_Gadgets!$C:$C,Analysis_Gadgets!$B:$B)</f>
        <v>Gadget</v>
      </c>
      <c r="E779" s="43">
        <v>75</v>
      </c>
      <c r="F779" s="43">
        <f>_xlfn.XLOOKUP(A779,Class_Players!A:A,Class_Players!G:G)</f>
        <v>62</v>
      </c>
      <c r="G779" s="43">
        <f t="shared" si="224"/>
        <v>1.2096774193548387</v>
      </c>
      <c r="H779" s="43">
        <f>_xlfn.XLOOKUP(A779,Class_Players!$A:$A,Class_Players!$F:$F,"")</f>
        <v>4922</v>
      </c>
      <c r="I779" s="44">
        <f t="shared" si="225"/>
        <v>1.5237708248679399E-2</v>
      </c>
      <c r="J779" s="43">
        <f t="shared" si="226"/>
        <v>0</v>
      </c>
      <c r="K779" s="44" cm="1">
        <f t="array" ref="K779">IF(D779="Gadget",_xlfn.IFS(I779&gt;=0.2,0.5,I779&gt;=0.1,0.35,I779&gt;=0.05,0.2,TRUE,0),IF(D779="Grenade",_xlfn.IFS(I779&gt;=0.2,1,I779&gt;=0.1,0.7,I779&gt;=0.05,0.4,TRUE,0),0))</f>
        <v>0</v>
      </c>
      <c r="L779" s="57">
        <f t="shared" si="239"/>
        <v>0</v>
      </c>
    </row>
    <row r="780" spans="1:12" ht="15" customHeight="1" x14ac:dyDescent="0.25">
      <c r="A780" s="42" t="str" cm="1">
        <f t="array" ref="A780">IFERROR(INDEX(_xlfn._xlws.FILTER(Class_Players!A:A,Class_Players!B:B="Recon"),QUOTIENT(ROW()-ROW($A$2),8)+1),"")</f>
        <v>WillhelmTheWise</v>
      </c>
      <c r="B780" s="42" t="str">
        <f>_xlfn.XLOOKUP(A780,Class_Players!$A:$A,Class_Players!$B:$B,"")</f>
        <v>Recon</v>
      </c>
      <c r="C780" s="38" t="str" cm="1">
        <f t="array" ref="C780">INDEX(Lookups!$C$2:$C$9,MOD(ROW()-ROW($B$2),ROWS(Lookups!$C$2:$C$9))+1)</f>
        <v>Tracer Dart</v>
      </c>
      <c r="D780" s="38" t="str">
        <f>_xlfn.XLOOKUP(C780,Analysis_Gadgets!$C:$C,Analysis_Gadgets!$B:$B)</f>
        <v>Gadget</v>
      </c>
      <c r="E780" s="43">
        <v>171</v>
      </c>
      <c r="F780" s="43">
        <f>_xlfn.XLOOKUP(A780,Class_Players!A:A,Class_Players!G:G)</f>
        <v>62</v>
      </c>
      <c r="G780" s="43">
        <f t="shared" si="224"/>
        <v>2.7580645161290325</v>
      </c>
      <c r="H780" s="43">
        <f>_xlfn.XLOOKUP(A780,Class_Players!$A:$A,Class_Players!$F:$F,"")</f>
        <v>4922</v>
      </c>
      <c r="I780" s="44">
        <f t="shared" si="225"/>
        <v>3.4741974806989026E-2</v>
      </c>
      <c r="J780" s="43">
        <f t="shared" si="226"/>
        <v>0</v>
      </c>
      <c r="K780" s="44" cm="1">
        <f t="array" ref="K780">IF(D780="Gadget",_xlfn.IFS(I780&gt;=0.2,0.5,I780&gt;=0.1,0.35,I780&gt;=0.05,0.2,TRUE,0),IF(D780="Grenade",_xlfn.IFS(I780&gt;=0.2,1,I780&gt;=0.1,0.7,I780&gt;=0.05,0.4,TRUE,0),0))</f>
        <v>0</v>
      </c>
      <c r="L780" s="57">
        <f t="shared" si="239"/>
        <v>0</v>
      </c>
    </row>
    <row r="781" spans="1:12" ht="15" customHeight="1" x14ac:dyDescent="0.25">
      <c r="A781" s="42" t="str" cm="1">
        <f t="array" ref="A781">IFERROR(INDEX(_xlfn._xlws.FILTER(Class_Players!A:A,Class_Players!B:B="Recon"),QUOTIENT(ROW()-ROW($A$2),8)+1),"")</f>
        <v>WillhelmTheWise</v>
      </c>
      <c r="B781" s="42" t="str">
        <f>_xlfn.XLOOKUP(A781,Class_Players!$A:$A,Class_Players!$B:$B,"")</f>
        <v>Recon</v>
      </c>
      <c r="C781" s="38" t="str" cm="1">
        <f t="array" ref="C781">INDEX(Lookups!$C$2:$C$9,MOD(ROW()-ROW($B$2),ROWS(Lookups!$C$2:$C$9))+1)</f>
        <v>M18A1 (Claymore)</v>
      </c>
      <c r="D781" s="38" t="str">
        <f>_xlfn.XLOOKUP(C781,Analysis_Gadgets!$C:$C,Analysis_Gadgets!$B:$B)</f>
        <v>Gadget</v>
      </c>
      <c r="E781" s="43">
        <v>27</v>
      </c>
      <c r="F781" s="43">
        <f>_xlfn.XLOOKUP(A781,Class_Players!A:A,Class_Players!G:G)</f>
        <v>62</v>
      </c>
      <c r="G781" s="43">
        <f t="shared" si="224"/>
        <v>0.43548387096774194</v>
      </c>
      <c r="H781" s="43">
        <f>_xlfn.XLOOKUP(A781,Class_Players!$A:$A,Class_Players!$F:$F,"")</f>
        <v>4922</v>
      </c>
      <c r="I781" s="44">
        <f t="shared" si="225"/>
        <v>5.4855749695245839E-3</v>
      </c>
      <c r="J781" s="43">
        <f t="shared" si="226"/>
        <v>0</v>
      </c>
      <c r="K781" s="44" cm="1">
        <f t="array" ref="K781">IF(D781="Gadget",_xlfn.IFS(I781&gt;=0.2,0.5,I781&gt;=0.1,0.35,I781&gt;=0.05,0.2,TRUE,0),IF(D781="Grenade",_xlfn.IFS(I781&gt;=0.2,1,I781&gt;=0.1,0.7,I781&gt;=0.05,0.4,TRUE,0),0))</f>
        <v>0</v>
      </c>
      <c r="L781" s="57">
        <f t="shared" si="239"/>
        <v>0</v>
      </c>
    </row>
    <row r="782" spans="1:12" ht="15" customHeight="1" x14ac:dyDescent="0.25">
      <c r="A782" s="42" t="str" cm="1">
        <f t="array" ref="A782">IFERROR(INDEX(_xlfn._xlws.FILTER(Class_Players!A:A,Class_Players!B:B="Recon"),QUOTIENT(ROW()-ROW($A$2),8)+1),"")</f>
        <v>WillhelmTheWise</v>
      </c>
      <c r="B782" s="42" t="str">
        <f>_xlfn.XLOOKUP(A782,Class_Players!$A:$A,Class_Players!$B:$B,"")</f>
        <v>Recon</v>
      </c>
      <c r="C782" s="38" t="str" cm="1">
        <f t="array" ref="C782">INDEX(Lookups!$C$2:$C$9,MOD(ROW()-ROW($B$2),ROWS(Lookups!$C$2:$C$9))+1)</f>
        <v>Sniper Decoy</v>
      </c>
      <c r="D782" s="38" t="str">
        <f>_xlfn.XLOOKUP(C782,Analysis_Gadgets!$C:$C,Analysis_Gadgets!$B:$B)</f>
        <v>Gadget</v>
      </c>
      <c r="E782" s="43">
        <v>40</v>
      </c>
      <c r="F782" s="43">
        <f>_xlfn.XLOOKUP(A782,Class_Players!A:A,Class_Players!G:G)</f>
        <v>62</v>
      </c>
      <c r="G782" s="43">
        <f t="shared" si="224"/>
        <v>0.64516129032258063</v>
      </c>
      <c r="H782" s="43">
        <f>_xlfn.XLOOKUP(A782,Class_Players!$A:$A,Class_Players!$F:$F,"")</f>
        <v>4922</v>
      </c>
      <c r="I782" s="44">
        <f t="shared" si="225"/>
        <v>8.126777732629013E-3</v>
      </c>
      <c r="J782" s="43">
        <f t="shared" si="226"/>
        <v>0</v>
      </c>
      <c r="K782" s="44" cm="1">
        <f t="array" ref="K782">IF(D782="Gadget",_xlfn.IFS(I782&gt;=0.2,0.5,I782&gt;=0.1,0.35,I782&gt;=0.05,0.2,TRUE,0),IF(D782="Grenade",_xlfn.IFS(I782&gt;=0.2,1,I782&gt;=0.1,0.7,I782&gt;=0.05,0.4,TRUE,0),0))</f>
        <v>0</v>
      </c>
      <c r="L782" s="57">
        <f t="shared" si="239"/>
        <v>0</v>
      </c>
    </row>
    <row r="783" spans="1:12" ht="15" customHeight="1" x14ac:dyDescent="0.25">
      <c r="A783" s="42" t="str" cm="1">
        <f t="array" ref="A783">IFERROR(INDEX(_xlfn._xlws.FILTER(Class_Players!A:A,Class_Players!B:B="Recon"),QUOTIENT(ROW()-ROW($A$2),8)+1),"")</f>
        <v>WillhelmTheWise</v>
      </c>
      <c r="B783" s="42" t="str">
        <f>_xlfn.XLOOKUP(A783,Class_Players!$A:$A,Class_Players!$B:$B,"")</f>
        <v>Recon</v>
      </c>
      <c r="C783" s="38" t="str" cm="1">
        <f t="array" ref="C783">INDEX(Lookups!$C$2:$C$9,MOD(ROW()-ROW($B$2),ROWS(Lookups!$C$2:$C$9))+1)</f>
        <v>C-4 Explosives</v>
      </c>
      <c r="D783" s="38" t="str">
        <f>_xlfn.XLOOKUP(C783,Analysis_Gadgets!$C:$C,Analysis_Gadgets!$B:$B)</f>
        <v>Gadget</v>
      </c>
      <c r="E783" s="43">
        <v>915</v>
      </c>
      <c r="F783" s="43">
        <f>_xlfn.XLOOKUP(A783,Class_Players!A:A,Class_Players!G:G)</f>
        <v>62</v>
      </c>
      <c r="G783" s="43">
        <f t="shared" si="224"/>
        <v>14.758064516129032</v>
      </c>
      <c r="H783" s="43">
        <f>_xlfn.XLOOKUP(A783,Class_Players!$A:$A,Class_Players!$F:$F,"")</f>
        <v>4922</v>
      </c>
      <c r="I783" s="44">
        <f t="shared" si="225"/>
        <v>0.18590004063388865</v>
      </c>
      <c r="J783" s="43">
        <f t="shared" si="226"/>
        <v>1</v>
      </c>
      <c r="K783" s="44" cm="1">
        <f t="array" ref="K783">IF(D783="Gadget",_xlfn.IFS(I783&gt;=0.2,0.5,I783&gt;=0.1,0.35,I783&gt;=0.05,0.2,TRUE,0),IF(D783="Grenade",_xlfn.IFS(I783&gt;=0.2,1,I783&gt;=0.1,0.7,I783&gt;=0.05,0.4,TRUE,0),0))</f>
        <v>0.35</v>
      </c>
      <c r="L783" s="57">
        <f t="shared" si="239"/>
        <v>1</v>
      </c>
    </row>
    <row r="784" spans="1:12" ht="15" customHeight="1" x14ac:dyDescent="0.25">
      <c r="A784" s="42" t="str" cm="1">
        <f t="array" ref="A784">IFERROR(INDEX(_xlfn._xlws.FILTER(Class_Players!A:A,Class_Players!B:B="Recon"),QUOTIENT(ROW()-ROW($A$2),8)+1),"")</f>
        <v>WillhelmTheWise</v>
      </c>
      <c r="B784" s="42" t="str">
        <f>_xlfn.XLOOKUP(A784,Class_Players!$A:$A,Class_Players!$B:$B,"")</f>
        <v>Recon</v>
      </c>
      <c r="C784" s="38" t="str" cm="1">
        <f t="array" ref="C784">INDEX(Lookups!$C$2:$C$9,MOD(ROW()-ROW($B$2),ROWS(Lookups!$C$2:$C$9))+1)</f>
        <v>Proximity Detector</v>
      </c>
      <c r="D784" s="38" t="str">
        <f>_xlfn.XLOOKUP(C784,Analysis_Gadgets!$C:$C,Analysis_Gadgets!$B:$B)</f>
        <v>Grenade</v>
      </c>
      <c r="E784" s="43">
        <v>513</v>
      </c>
      <c r="F784" s="43">
        <f>_xlfn.XLOOKUP(A784,Class_Players!A:A,Class_Players!G:G)</f>
        <v>62</v>
      </c>
      <c r="G784" s="43">
        <f t="shared" si="224"/>
        <v>8.2741935483870961</v>
      </c>
      <c r="H784" s="43">
        <f>_xlfn.XLOOKUP(A784,Class_Players!$A:$A,Class_Players!$F:$F,"")</f>
        <v>4922</v>
      </c>
      <c r="I784" s="44">
        <f t="shared" si="225"/>
        <v>0.10422592442096709</v>
      </c>
      <c r="J784" s="43">
        <f t="shared" si="226"/>
        <v>1</v>
      </c>
      <c r="K784" s="44" cm="1">
        <f t="array" ref="K784">IF(D784="Gadget",_xlfn.IFS(I784&gt;=0.2,0.5,I784&gt;=0.1,0.35,I784&gt;=0.05,0.2,TRUE,0),IF(D784="Grenade",_xlfn.IFS(I784&gt;=0.2,1,I784&gt;=0.1,0.7,I784&gt;=0.05,0.4,TRUE,0),0))</f>
        <v>0.7</v>
      </c>
      <c r="L784" s="57">
        <f t="shared" ref="L784:L785" si="240">IF($K784=0,0,$K784 / SUMIFS($K:$K,$A:$A,$A784,$D:$D,"Grenade"))</f>
        <v>1</v>
      </c>
    </row>
    <row r="785" spans="1:12" ht="15" customHeight="1" x14ac:dyDescent="0.25">
      <c r="A785" s="42" t="str" cm="1">
        <f t="array" ref="A785">IFERROR(INDEX(_xlfn._xlws.FILTER(Class_Players!A:A,Class_Players!B:B="Recon"),QUOTIENT(ROW()-ROW($A$2),8)+1),"")</f>
        <v>WillhelmTheWise</v>
      </c>
      <c r="B785" s="42" t="str">
        <f>_xlfn.XLOOKUP(A785,Class_Players!$A:$A,Class_Players!$B:$B,"")</f>
        <v>Recon</v>
      </c>
      <c r="C785" s="38" t="str" cm="1">
        <f t="array" ref="C785">INDEX(Lookups!$C$2:$C$9,MOD(ROW()-ROW($B$2),ROWS(Lookups!$C$2:$C$9))+1)</f>
        <v>Throwing Knife</v>
      </c>
      <c r="D785" s="38" t="str">
        <f>_xlfn.XLOOKUP(C785,Analysis_Gadgets!$C:$C,Analysis_Gadgets!$B:$B)</f>
        <v>Grenade</v>
      </c>
      <c r="E785" s="43">
        <v>22</v>
      </c>
      <c r="F785" s="43">
        <f>_xlfn.XLOOKUP(A785,Class_Players!A:A,Class_Players!G:G)</f>
        <v>62</v>
      </c>
      <c r="G785" s="43">
        <f t="shared" si="224"/>
        <v>0.35483870967741937</v>
      </c>
      <c r="H785" s="43">
        <f>_xlfn.XLOOKUP(A785,Class_Players!$A:$A,Class_Players!$F:$F,"")</f>
        <v>4922</v>
      </c>
      <c r="I785" s="44">
        <f t="shared" si="225"/>
        <v>4.469727752945957E-3</v>
      </c>
      <c r="J785" s="43">
        <f t="shared" si="226"/>
        <v>0</v>
      </c>
      <c r="K785" s="44" cm="1">
        <f t="array" ref="K785">IF(D785="Gadget",_xlfn.IFS(I785&gt;=0.2,0.5,I785&gt;=0.1,0.35,I785&gt;=0.05,0.2,TRUE,0),IF(D785="Grenade",_xlfn.IFS(I785&gt;=0.2,1,I785&gt;=0.1,0.7,I785&gt;=0.05,0.4,TRUE,0),0))</f>
        <v>0</v>
      </c>
      <c r="L785" s="57">
        <f t="shared" si="240"/>
        <v>0</v>
      </c>
    </row>
    <row r="786" spans="1:12" ht="15" customHeight="1" x14ac:dyDescent="0.25">
      <c r="A786" s="42" t="str" cm="1">
        <f t="array" ref="A786">IFERROR(INDEX(_xlfn._xlws.FILTER(Class_Players!A:A,Class_Players!B:B="Recon"),QUOTIENT(ROW()-ROW($A$2),8)+1),"")</f>
        <v>slayerbear8</v>
      </c>
      <c r="B786" s="42" t="str">
        <f>_xlfn.XLOOKUP(A786,Class_Players!$A:$A,Class_Players!$B:$B,"")</f>
        <v>Recon</v>
      </c>
      <c r="C786" s="38" t="str" cm="1">
        <f t="array" ref="C786">INDEX(Lookups!$C$2:$C$9,MOD(ROW()-ROW($B$2),ROWS(Lookups!$C$2:$C$9))+1)</f>
        <v>Laser Designator</v>
      </c>
      <c r="D786" s="38" t="str">
        <f>_xlfn.XLOOKUP(C786,Analysis_Gadgets!$C:$C,Analysis_Gadgets!$B:$B)</f>
        <v>Gadget</v>
      </c>
      <c r="E786" s="43">
        <v>356</v>
      </c>
      <c r="F786" s="43">
        <f>_xlfn.XLOOKUP(A786,Class_Players!A:A,Class_Players!G:G)</f>
        <v>112</v>
      </c>
      <c r="G786" s="43">
        <f t="shared" si="224"/>
        <v>3.1785714285714284</v>
      </c>
      <c r="H786" s="43">
        <f>_xlfn.XLOOKUP(A786,Class_Players!$A:$A,Class_Players!$F:$F,"")</f>
        <v>4831</v>
      </c>
      <c r="I786" s="44">
        <f t="shared" si="225"/>
        <v>7.3690747257296629E-2</v>
      </c>
      <c r="J786" s="43">
        <f t="shared" si="226"/>
        <v>0</v>
      </c>
      <c r="K786" s="44" cm="1">
        <f t="array" ref="K786">IF(D786="Gadget",_xlfn.IFS(I786&gt;=0.2,0.5,I786&gt;=0.1,0.35,I786&gt;=0.05,0.2,TRUE,0),IF(D786="Grenade",_xlfn.IFS(I786&gt;=0.2,1,I786&gt;=0.1,0.7,I786&gt;=0.05,0.4,TRUE,0),0))</f>
        <v>0.2</v>
      </c>
      <c r="L786" s="57">
        <f t="shared" ref="L786:L791" si="241">IF($K786=0,0,$K786 / SUMIFS($K:$K,$A:$A,$A786,$D:$D,"Gadget"))</f>
        <v>0.22222222222222224</v>
      </c>
    </row>
    <row r="787" spans="1:12" ht="15" customHeight="1" x14ac:dyDescent="0.25">
      <c r="A787" s="42" t="str" cm="1">
        <f t="array" ref="A787">IFERROR(INDEX(_xlfn._xlws.FILTER(Class_Players!A:A,Class_Players!B:B="Recon"),QUOTIENT(ROW()-ROW($A$2),8)+1),"")</f>
        <v>slayerbear8</v>
      </c>
      <c r="B787" s="42" t="str">
        <f>_xlfn.XLOOKUP(A787,Class_Players!$A:$A,Class_Players!$B:$B,"")</f>
        <v>Recon</v>
      </c>
      <c r="C787" s="38" t="str" cm="1">
        <f t="array" ref="C787">INDEX(Lookups!$C$2:$C$9,MOD(ROW()-ROW($B$2),ROWS(Lookups!$C$2:$C$9))+1)</f>
        <v>Recon Drone</v>
      </c>
      <c r="D787" s="38" t="str">
        <f>_xlfn.XLOOKUP(C787,Analysis_Gadgets!$C:$C,Analysis_Gadgets!$B:$B)</f>
        <v>Gadget</v>
      </c>
      <c r="E787" s="43">
        <v>268</v>
      </c>
      <c r="F787" s="43">
        <f>_xlfn.XLOOKUP(A787,Class_Players!A:A,Class_Players!G:G)</f>
        <v>112</v>
      </c>
      <c r="G787" s="43">
        <f t="shared" si="224"/>
        <v>2.3928571428571428</v>
      </c>
      <c r="H787" s="43">
        <f>_xlfn.XLOOKUP(A787,Class_Players!$A:$A,Class_Players!$F:$F,"")</f>
        <v>4831</v>
      </c>
      <c r="I787" s="44">
        <f t="shared" si="225"/>
        <v>5.547505692403229E-2</v>
      </c>
      <c r="J787" s="43">
        <f t="shared" si="226"/>
        <v>0</v>
      </c>
      <c r="K787" s="44" cm="1">
        <f t="array" ref="K787">IF(D787="Gadget",_xlfn.IFS(I787&gt;=0.2,0.5,I787&gt;=0.1,0.35,I787&gt;=0.05,0.2,TRUE,0),IF(D787="Grenade",_xlfn.IFS(I787&gt;=0.2,1,I787&gt;=0.1,0.7,I787&gt;=0.05,0.4,TRUE,0),0))</f>
        <v>0.2</v>
      </c>
      <c r="L787" s="57">
        <f t="shared" si="241"/>
        <v>0.22222222222222224</v>
      </c>
    </row>
    <row r="788" spans="1:12" ht="15" customHeight="1" x14ac:dyDescent="0.25">
      <c r="A788" s="42" t="str" cm="1">
        <f t="array" ref="A788">IFERROR(INDEX(_xlfn._xlws.FILTER(Class_Players!A:A,Class_Players!B:B="Recon"),QUOTIENT(ROW()-ROW($A$2),8)+1),"")</f>
        <v>slayerbear8</v>
      </c>
      <c r="B788" s="42" t="str">
        <f>_xlfn.XLOOKUP(A788,Class_Players!$A:$A,Class_Players!$B:$B,"")</f>
        <v>Recon</v>
      </c>
      <c r="C788" s="38" t="str" cm="1">
        <f t="array" ref="C788">INDEX(Lookups!$C$2:$C$9,MOD(ROW()-ROW($B$2),ROWS(Lookups!$C$2:$C$9))+1)</f>
        <v>Tracer Dart</v>
      </c>
      <c r="D788" s="38" t="str">
        <f>_xlfn.XLOOKUP(C788,Analysis_Gadgets!$C:$C,Analysis_Gadgets!$B:$B)</f>
        <v>Gadget</v>
      </c>
      <c r="E788" s="43">
        <v>28</v>
      </c>
      <c r="F788" s="43">
        <f>_xlfn.XLOOKUP(A788,Class_Players!A:A,Class_Players!G:G)</f>
        <v>112</v>
      </c>
      <c r="G788" s="43">
        <f t="shared" si="224"/>
        <v>0.25</v>
      </c>
      <c r="H788" s="43">
        <f>_xlfn.XLOOKUP(A788,Class_Players!$A:$A,Class_Players!$F:$F,"")</f>
        <v>4831</v>
      </c>
      <c r="I788" s="44">
        <f t="shared" si="225"/>
        <v>5.7959014696750159E-3</v>
      </c>
      <c r="J788" s="43">
        <f t="shared" si="226"/>
        <v>0</v>
      </c>
      <c r="K788" s="44" cm="1">
        <f t="array" ref="K788">IF(D788="Gadget",_xlfn.IFS(I788&gt;=0.2,0.5,I788&gt;=0.1,0.35,I788&gt;=0.05,0.2,TRUE,0),IF(D788="Grenade",_xlfn.IFS(I788&gt;=0.2,1,I788&gt;=0.1,0.7,I788&gt;=0.05,0.4,TRUE,0),0))</f>
        <v>0</v>
      </c>
      <c r="L788" s="57">
        <f t="shared" si="241"/>
        <v>0</v>
      </c>
    </row>
    <row r="789" spans="1:12" ht="15" customHeight="1" x14ac:dyDescent="0.25">
      <c r="A789" s="42" t="str" cm="1">
        <f t="array" ref="A789">IFERROR(INDEX(_xlfn._xlws.FILTER(Class_Players!A:A,Class_Players!B:B="Recon"),QUOTIENT(ROW()-ROW($A$2),8)+1),"")</f>
        <v>slayerbear8</v>
      </c>
      <c r="B789" s="42" t="str">
        <f>_xlfn.XLOOKUP(A789,Class_Players!$A:$A,Class_Players!$B:$B,"")</f>
        <v>Recon</v>
      </c>
      <c r="C789" s="38" t="str" cm="1">
        <f t="array" ref="C789">INDEX(Lookups!$C$2:$C$9,MOD(ROW()-ROW($B$2),ROWS(Lookups!$C$2:$C$9))+1)</f>
        <v>M18A1 (Claymore)</v>
      </c>
      <c r="D789" s="38" t="str">
        <f>_xlfn.XLOOKUP(C789,Analysis_Gadgets!$C:$C,Analysis_Gadgets!$B:$B)</f>
        <v>Gadget</v>
      </c>
      <c r="E789" s="43">
        <v>142</v>
      </c>
      <c r="F789" s="43">
        <f>_xlfn.XLOOKUP(A789,Class_Players!A:A,Class_Players!G:G)</f>
        <v>112</v>
      </c>
      <c r="G789" s="43">
        <f t="shared" si="224"/>
        <v>1.2678571428571428</v>
      </c>
      <c r="H789" s="43">
        <f>_xlfn.XLOOKUP(A789,Class_Players!$A:$A,Class_Players!$F:$F,"")</f>
        <v>4831</v>
      </c>
      <c r="I789" s="44">
        <f t="shared" si="225"/>
        <v>2.9393500310494723E-2</v>
      </c>
      <c r="J789" s="43">
        <f t="shared" si="226"/>
        <v>0</v>
      </c>
      <c r="K789" s="44" cm="1">
        <f t="array" ref="K789">IF(D789="Gadget",_xlfn.IFS(I789&gt;=0.2,0.5,I789&gt;=0.1,0.35,I789&gt;=0.05,0.2,TRUE,0),IF(D789="Grenade",_xlfn.IFS(I789&gt;=0.2,1,I789&gt;=0.1,0.7,I789&gt;=0.05,0.4,TRUE,0),0))</f>
        <v>0</v>
      </c>
      <c r="L789" s="57">
        <f t="shared" si="241"/>
        <v>0</v>
      </c>
    </row>
    <row r="790" spans="1:12" ht="15" customHeight="1" x14ac:dyDescent="0.25">
      <c r="A790" s="42" t="str" cm="1">
        <f t="array" ref="A790">IFERROR(INDEX(_xlfn._xlws.FILTER(Class_Players!A:A,Class_Players!B:B="Recon"),QUOTIENT(ROW()-ROW($A$2),8)+1),"")</f>
        <v>slayerbear8</v>
      </c>
      <c r="B790" s="42" t="str">
        <f>_xlfn.XLOOKUP(A790,Class_Players!$A:$A,Class_Players!$B:$B,"")</f>
        <v>Recon</v>
      </c>
      <c r="C790" s="38" t="str" cm="1">
        <f t="array" ref="C790">INDEX(Lookups!$C$2:$C$9,MOD(ROW()-ROW($B$2),ROWS(Lookups!$C$2:$C$9))+1)</f>
        <v>Sniper Decoy</v>
      </c>
      <c r="D790" s="38" t="str">
        <f>_xlfn.XLOOKUP(C790,Analysis_Gadgets!$C:$C,Analysis_Gadgets!$B:$B)</f>
        <v>Gadget</v>
      </c>
      <c r="E790" s="43">
        <v>77</v>
      </c>
      <c r="F790" s="43">
        <f>_xlfn.XLOOKUP(A790,Class_Players!A:A,Class_Players!G:G)</f>
        <v>112</v>
      </c>
      <c r="G790" s="43">
        <f t="shared" si="224"/>
        <v>0.6875</v>
      </c>
      <c r="H790" s="43">
        <f>_xlfn.XLOOKUP(A790,Class_Players!$A:$A,Class_Players!$F:$F,"")</f>
        <v>4831</v>
      </c>
      <c r="I790" s="44">
        <f t="shared" si="225"/>
        <v>1.5938729041606294E-2</v>
      </c>
      <c r="J790" s="43">
        <f t="shared" si="226"/>
        <v>0</v>
      </c>
      <c r="K790" s="44" cm="1">
        <f t="array" ref="K790">IF(D790="Gadget",_xlfn.IFS(I790&gt;=0.2,0.5,I790&gt;=0.1,0.35,I790&gt;=0.05,0.2,TRUE,0),IF(D790="Grenade",_xlfn.IFS(I790&gt;=0.2,1,I790&gt;=0.1,0.7,I790&gt;=0.05,0.4,TRUE,0),0))</f>
        <v>0</v>
      </c>
      <c r="L790" s="57">
        <f t="shared" si="241"/>
        <v>0</v>
      </c>
    </row>
    <row r="791" spans="1:12" ht="15" customHeight="1" x14ac:dyDescent="0.25">
      <c r="A791" s="42" t="str" cm="1">
        <f t="array" ref="A791">IFERROR(INDEX(_xlfn._xlws.FILTER(Class_Players!A:A,Class_Players!B:B="Recon"),QUOTIENT(ROW()-ROW($A$2),8)+1),"")</f>
        <v>slayerbear8</v>
      </c>
      <c r="B791" s="42" t="str">
        <f>_xlfn.XLOOKUP(A791,Class_Players!$A:$A,Class_Players!$B:$B,"")</f>
        <v>Recon</v>
      </c>
      <c r="C791" s="38" t="str" cm="1">
        <f t="array" ref="C791">INDEX(Lookups!$C$2:$C$9,MOD(ROW()-ROW($B$2),ROWS(Lookups!$C$2:$C$9))+1)</f>
        <v>C-4 Explosives</v>
      </c>
      <c r="D791" s="38" t="str">
        <f>_xlfn.XLOOKUP(C791,Analysis_Gadgets!$C:$C,Analysis_Gadgets!$B:$B)</f>
        <v>Gadget</v>
      </c>
      <c r="E791" s="43">
        <v>1989</v>
      </c>
      <c r="F791" s="43">
        <f>_xlfn.XLOOKUP(A791,Class_Players!A:A,Class_Players!G:G)</f>
        <v>112</v>
      </c>
      <c r="G791" s="43">
        <f t="shared" si="224"/>
        <v>17.758928571428573</v>
      </c>
      <c r="H791" s="43">
        <f>_xlfn.XLOOKUP(A791,Class_Players!$A:$A,Class_Players!$F:$F,"")</f>
        <v>4831</v>
      </c>
      <c r="I791" s="44">
        <f t="shared" si="225"/>
        <v>0.41171600082798593</v>
      </c>
      <c r="J791" s="43">
        <f t="shared" si="226"/>
        <v>1</v>
      </c>
      <c r="K791" s="44" cm="1">
        <f t="array" ref="K791">IF(D791="Gadget",_xlfn.IFS(I791&gt;=0.2,0.5,I791&gt;=0.1,0.35,I791&gt;=0.05,0.2,TRUE,0),IF(D791="Grenade",_xlfn.IFS(I791&gt;=0.2,1,I791&gt;=0.1,0.7,I791&gt;=0.05,0.4,TRUE,0),0))</f>
        <v>0.5</v>
      </c>
      <c r="L791" s="57">
        <f t="shared" si="241"/>
        <v>0.55555555555555558</v>
      </c>
    </row>
    <row r="792" spans="1:12" ht="15" customHeight="1" x14ac:dyDescent="0.25">
      <c r="A792" s="42" t="str" cm="1">
        <f t="array" ref="A792">IFERROR(INDEX(_xlfn._xlws.FILTER(Class_Players!A:A,Class_Players!B:B="Recon"),QUOTIENT(ROW()-ROW($A$2),8)+1),"")</f>
        <v>slayerbear8</v>
      </c>
      <c r="B792" s="42" t="str">
        <f>_xlfn.XLOOKUP(A792,Class_Players!$A:$A,Class_Players!$B:$B,"")</f>
        <v>Recon</v>
      </c>
      <c r="C792" s="38" t="str" cm="1">
        <f t="array" ref="C792">INDEX(Lookups!$C$2:$C$9,MOD(ROW()-ROW($B$2),ROWS(Lookups!$C$2:$C$9))+1)</f>
        <v>Proximity Detector</v>
      </c>
      <c r="D792" s="38" t="str">
        <f>_xlfn.XLOOKUP(C792,Analysis_Gadgets!$C:$C,Analysis_Gadgets!$B:$B)</f>
        <v>Grenade</v>
      </c>
      <c r="E792" s="43">
        <v>7</v>
      </c>
      <c r="F792" s="43">
        <f>_xlfn.XLOOKUP(A792,Class_Players!A:A,Class_Players!G:G)</f>
        <v>112</v>
      </c>
      <c r="G792" s="43">
        <f t="shared" si="224"/>
        <v>6.25E-2</v>
      </c>
      <c r="H792" s="43">
        <f>_xlfn.XLOOKUP(A792,Class_Players!$A:$A,Class_Players!$F:$F,"")</f>
        <v>4831</v>
      </c>
      <c r="I792" s="44">
        <f t="shared" si="225"/>
        <v>1.448975367418754E-3</v>
      </c>
      <c r="J792" s="43">
        <f t="shared" si="226"/>
        <v>0</v>
      </c>
      <c r="K792" s="44" cm="1">
        <f t="array" ref="K792">IF(D792="Gadget",_xlfn.IFS(I792&gt;=0.2,0.5,I792&gt;=0.1,0.35,I792&gt;=0.05,0.2,TRUE,0),IF(D792="Grenade",_xlfn.IFS(I792&gt;=0.2,1,I792&gt;=0.1,0.7,I792&gt;=0.05,0.4,TRUE,0),0))</f>
        <v>0</v>
      </c>
      <c r="L792" s="57">
        <f t="shared" ref="L792:L793" si="242">IF($K792=0,0,$K792 / SUMIFS($K:$K,$A:$A,$A792,$D:$D,"Grenade"))</f>
        <v>0</v>
      </c>
    </row>
    <row r="793" spans="1:12" ht="15" customHeight="1" x14ac:dyDescent="0.25">
      <c r="A793" s="42" t="str" cm="1">
        <f t="array" ref="A793">IFERROR(INDEX(_xlfn._xlws.FILTER(Class_Players!A:A,Class_Players!B:B="Recon"),QUOTIENT(ROW()-ROW($A$2),8)+1),"")</f>
        <v>slayerbear8</v>
      </c>
      <c r="B793" s="42" t="str">
        <f>_xlfn.XLOOKUP(A793,Class_Players!$A:$A,Class_Players!$B:$B,"")</f>
        <v>Recon</v>
      </c>
      <c r="C793" s="38" t="str" cm="1">
        <f t="array" ref="C793">INDEX(Lookups!$C$2:$C$9,MOD(ROW()-ROW($B$2),ROWS(Lookups!$C$2:$C$9))+1)</f>
        <v>Throwing Knife</v>
      </c>
      <c r="D793" s="38" t="str">
        <f>_xlfn.XLOOKUP(C793,Analysis_Gadgets!$C:$C,Analysis_Gadgets!$B:$B)</f>
        <v>Grenade</v>
      </c>
      <c r="E793" s="43">
        <v>32</v>
      </c>
      <c r="F793" s="43">
        <f>_xlfn.XLOOKUP(A793,Class_Players!A:A,Class_Players!G:G)</f>
        <v>112</v>
      </c>
      <c r="G793" s="43">
        <f t="shared" si="224"/>
        <v>0.2857142857142857</v>
      </c>
      <c r="H793" s="43">
        <f>_xlfn.XLOOKUP(A793,Class_Players!$A:$A,Class_Players!$F:$F,"")</f>
        <v>4831</v>
      </c>
      <c r="I793" s="44">
        <f t="shared" si="225"/>
        <v>6.6238873939143033E-3</v>
      </c>
      <c r="J793" s="43">
        <f t="shared" si="226"/>
        <v>0</v>
      </c>
      <c r="K793" s="44" cm="1">
        <f t="array" ref="K793">IF(D793="Gadget",_xlfn.IFS(I793&gt;=0.2,0.5,I793&gt;=0.1,0.35,I793&gt;=0.05,0.2,TRUE,0),IF(D793="Grenade",_xlfn.IFS(I793&gt;=0.2,1,I793&gt;=0.1,0.7,I793&gt;=0.05,0.4,TRUE,0),0))</f>
        <v>0</v>
      </c>
      <c r="L793" s="57">
        <f t="shared" si="242"/>
        <v>0</v>
      </c>
    </row>
    <row r="794" spans="1:12" ht="15" customHeight="1" x14ac:dyDescent="0.25">
      <c r="A794" s="42" t="str" cm="1">
        <f t="array" ref="A794">IFERROR(INDEX(_xlfn._xlws.FILTER(Class_Players!A:A,Class_Players!B:B="Recon"),QUOTIENT(ROW()-ROW($A$2),8)+1),"")</f>
        <v>Kiu8</v>
      </c>
      <c r="B794" s="42" t="str">
        <f>_xlfn.XLOOKUP(A794,Class_Players!$A:$A,Class_Players!$B:$B,"")</f>
        <v>Recon</v>
      </c>
      <c r="C794" s="38" t="str" cm="1">
        <f t="array" ref="C794">INDEX(Lookups!$C$2:$C$9,MOD(ROW()-ROW($B$2),ROWS(Lookups!$C$2:$C$9))+1)</f>
        <v>Laser Designator</v>
      </c>
      <c r="D794" s="38" t="str">
        <f>_xlfn.XLOOKUP(C794,Analysis_Gadgets!$C:$C,Analysis_Gadgets!$B:$B)</f>
        <v>Gadget</v>
      </c>
      <c r="E794" s="43">
        <v>17</v>
      </c>
      <c r="F794" s="43">
        <f>_xlfn.XLOOKUP(A794,Class_Players!A:A,Class_Players!G:G)</f>
        <v>150</v>
      </c>
      <c r="G794" s="43">
        <f t="shared" ref="G794:G801" si="243">IF(F794=0,"",E794/(F794))</f>
        <v>0.11333333333333333</v>
      </c>
      <c r="H794" s="43">
        <f>_xlfn.XLOOKUP(A794,Class_Players!$A:$A,Class_Players!$F:$F,"")</f>
        <v>5821</v>
      </c>
      <c r="I794" s="44">
        <f t="shared" ref="I794:I801" si="244">IF(H794=0,"",E794/H794)</f>
        <v>2.9204604019927847E-3</v>
      </c>
      <c r="J794" s="43">
        <f t="shared" ref="J794:J801" si="245">IF(I794&gt;=0.1,1,0)</f>
        <v>0</v>
      </c>
      <c r="K794" s="44" cm="1">
        <f t="array" ref="K794">IF(D794="Gadget",_xlfn.IFS(I794&gt;=0.2,0.5,I794&gt;=0.1,0.35,I794&gt;=0.05,0.2,TRUE,0),IF(D794="Grenade",_xlfn.IFS(I794&gt;=0.2,1,I794&gt;=0.1,0.7,I794&gt;=0.05,0.4,TRUE,0),0))</f>
        <v>0</v>
      </c>
      <c r="L794" s="57">
        <f t="shared" ref="L794:L799" si="246">IF($K794=0,0,$K794 / SUMIFS($K:$K,$A:$A,$A794,$D:$D,"Gadget"))</f>
        <v>0</v>
      </c>
    </row>
    <row r="795" spans="1:12" ht="15" customHeight="1" x14ac:dyDescent="0.25">
      <c r="A795" s="42" t="str" cm="1">
        <f t="array" ref="A795">IFERROR(INDEX(_xlfn._xlws.FILTER(Class_Players!A:A,Class_Players!B:B="Recon"),QUOTIENT(ROW()-ROW($A$2),8)+1),"")</f>
        <v>Kiu8</v>
      </c>
      <c r="B795" s="42" t="str">
        <f>_xlfn.XLOOKUP(A795,Class_Players!$A:$A,Class_Players!$B:$B,"")</f>
        <v>Recon</v>
      </c>
      <c r="C795" s="38" t="str" cm="1">
        <f t="array" ref="C795">INDEX(Lookups!$C$2:$C$9,MOD(ROW()-ROW($B$2),ROWS(Lookups!$C$2:$C$9))+1)</f>
        <v>Recon Drone</v>
      </c>
      <c r="D795" s="38" t="str">
        <f>_xlfn.XLOOKUP(C795,Analysis_Gadgets!$C:$C,Analysis_Gadgets!$B:$B)</f>
        <v>Gadget</v>
      </c>
      <c r="E795" s="43">
        <v>1728</v>
      </c>
      <c r="F795" s="43">
        <f>_xlfn.XLOOKUP(A795,Class_Players!A:A,Class_Players!G:G)</f>
        <v>150</v>
      </c>
      <c r="G795" s="43">
        <f t="shared" si="243"/>
        <v>11.52</v>
      </c>
      <c r="H795" s="43">
        <f>_xlfn.XLOOKUP(A795,Class_Players!$A:$A,Class_Players!$F:$F,"")</f>
        <v>5821</v>
      </c>
      <c r="I795" s="44">
        <f t="shared" si="244"/>
        <v>0.29685621027314896</v>
      </c>
      <c r="J795" s="43">
        <f t="shared" si="245"/>
        <v>1</v>
      </c>
      <c r="K795" s="44" cm="1">
        <f t="array" ref="K795">IF(D795="Gadget",_xlfn.IFS(I795&gt;=0.2,0.5,I795&gt;=0.1,0.35,I795&gt;=0.05,0.2,TRUE,0),IF(D795="Grenade",_xlfn.IFS(I795&gt;=0.2,1,I795&gt;=0.1,0.7,I795&gt;=0.05,0.4,TRUE,0),0))</f>
        <v>0.5</v>
      </c>
      <c r="L795" s="57">
        <f t="shared" si="246"/>
        <v>0.35714285714285715</v>
      </c>
    </row>
    <row r="796" spans="1:12" ht="15" customHeight="1" x14ac:dyDescent="0.25">
      <c r="A796" s="42" t="str" cm="1">
        <f t="array" ref="A796">IFERROR(INDEX(_xlfn._xlws.FILTER(Class_Players!A:A,Class_Players!B:B="Recon"),QUOTIENT(ROW()-ROW($A$2),8)+1),"")</f>
        <v>Kiu8</v>
      </c>
      <c r="B796" s="42" t="str">
        <f>_xlfn.XLOOKUP(A796,Class_Players!$A:$A,Class_Players!$B:$B,"")</f>
        <v>Recon</v>
      </c>
      <c r="C796" s="38" t="str" cm="1">
        <f t="array" ref="C796">INDEX(Lookups!$C$2:$C$9,MOD(ROW()-ROW($B$2),ROWS(Lookups!$C$2:$C$9))+1)</f>
        <v>Tracer Dart</v>
      </c>
      <c r="D796" s="38" t="str">
        <f>_xlfn.XLOOKUP(C796,Analysis_Gadgets!$C:$C,Analysis_Gadgets!$B:$B)</f>
        <v>Gadget</v>
      </c>
      <c r="E796" s="43">
        <v>114</v>
      </c>
      <c r="F796" s="43">
        <f>_xlfn.XLOOKUP(A796,Class_Players!A:A,Class_Players!G:G)</f>
        <v>150</v>
      </c>
      <c r="G796" s="43">
        <f t="shared" si="243"/>
        <v>0.76</v>
      </c>
      <c r="H796" s="43">
        <f>_xlfn.XLOOKUP(A796,Class_Players!$A:$A,Class_Players!$F:$F,"")</f>
        <v>5821</v>
      </c>
      <c r="I796" s="44">
        <f t="shared" si="244"/>
        <v>1.9584263872186911E-2</v>
      </c>
      <c r="J796" s="43">
        <f t="shared" si="245"/>
        <v>0</v>
      </c>
      <c r="K796" s="44" cm="1">
        <f t="array" ref="K796">IF(D796="Gadget",_xlfn.IFS(I796&gt;=0.2,0.5,I796&gt;=0.1,0.35,I796&gt;=0.05,0.2,TRUE,0),IF(D796="Grenade",_xlfn.IFS(I796&gt;=0.2,1,I796&gt;=0.1,0.7,I796&gt;=0.05,0.4,TRUE,0),0))</f>
        <v>0</v>
      </c>
      <c r="L796" s="57">
        <f t="shared" si="246"/>
        <v>0</v>
      </c>
    </row>
    <row r="797" spans="1:12" ht="15" customHeight="1" x14ac:dyDescent="0.25">
      <c r="A797" s="42" t="str" cm="1">
        <f t="array" ref="A797">IFERROR(INDEX(_xlfn._xlws.FILTER(Class_Players!A:A,Class_Players!B:B="Recon"),QUOTIENT(ROW()-ROW($A$2),8)+1),"")</f>
        <v>Kiu8</v>
      </c>
      <c r="B797" s="42" t="str">
        <f>_xlfn.XLOOKUP(A797,Class_Players!$A:$A,Class_Players!$B:$B,"")</f>
        <v>Recon</v>
      </c>
      <c r="C797" s="38" t="str" cm="1">
        <f t="array" ref="C797">INDEX(Lookups!$C$2:$C$9,MOD(ROW()-ROW($B$2),ROWS(Lookups!$C$2:$C$9))+1)</f>
        <v>M18A1 (Claymore)</v>
      </c>
      <c r="D797" s="38" t="str">
        <f>_xlfn.XLOOKUP(C797,Analysis_Gadgets!$C:$C,Analysis_Gadgets!$B:$B)</f>
        <v>Gadget</v>
      </c>
      <c r="E797" s="43">
        <v>4011</v>
      </c>
      <c r="F797" s="43">
        <f>_xlfn.XLOOKUP(A797,Class_Players!A:A,Class_Players!G:G)</f>
        <v>150</v>
      </c>
      <c r="G797" s="43">
        <f t="shared" si="243"/>
        <v>26.74</v>
      </c>
      <c r="H797" s="43">
        <f>_xlfn.XLOOKUP(A797,Class_Players!$A:$A,Class_Players!$F:$F,"")</f>
        <v>5821</v>
      </c>
      <c r="I797" s="44">
        <f t="shared" si="244"/>
        <v>0.68905686308194469</v>
      </c>
      <c r="J797" s="43">
        <f t="shared" si="245"/>
        <v>1</v>
      </c>
      <c r="K797" s="44" cm="1">
        <f t="array" ref="K797">IF(D797="Gadget",_xlfn.IFS(I797&gt;=0.2,0.5,I797&gt;=0.1,0.35,I797&gt;=0.05,0.2,TRUE,0),IF(D797="Grenade",_xlfn.IFS(I797&gt;=0.2,1,I797&gt;=0.1,0.7,I797&gt;=0.05,0.4,TRUE,0),0))</f>
        <v>0.5</v>
      </c>
      <c r="L797" s="57">
        <f t="shared" si="246"/>
        <v>0.35714285714285715</v>
      </c>
    </row>
    <row r="798" spans="1:12" ht="15" customHeight="1" x14ac:dyDescent="0.25">
      <c r="A798" s="42" t="str" cm="1">
        <f t="array" ref="A798">IFERROR(INDEX(_xlfn._xlws.FILTER(Class_Players!A:A,Class_Players!B:B="Recon"),QUOTIENT(ROW()-ROW($A$2),8)+1),"")</f>
        <v>Kiu8</v>
      </c>
      <c r="B798" s="42" t="str">
        <f>_xlfn.XLOOKUP(A798,Class_Players!$A:$A,Class_Players!$B:$B,"")</f>
        <v>Recon</v>
      </c>
      <c r="C798" s="38" t="str" cm="1">
        <f t="array" ref="C798">INDEX(Lookups!$C$2:$C$9,MOD(ROW()-ROW($B$2),ROWS(Lookups!$C$2:$C$9))+1)</f>
        <v>Sniper Decoy</v>
      </c>
      <c r="D798" s="38" t="str">
        <f>_xlfn.XLOOKUP(C798,Analysis_Gadgets!$C:$C,Analysis_Gadgets!$B:$B)</f>
        <v>Gadget</v>
      </c>
      <c r="E798" s="43">
        <v>339</v>
      </c>
      <c r="F798" s="43">
        <f>_xlfn.XLOOKUP(A798,Class_Players!A:A,Class_Players!G:G)</f>
        <v>150</v>
      </c>
      <c r="G798" s="43">
        <f t="shared" si="243"/>
        <v>2.2599999999999998</v>
      </c>
      <c r="H798" s="43">
        <f>_xlfn.XLOOKUP(A798,Class_Players!$A:$A,Class_Players!$F:$F,"")</f>
        <v>5821</v>
      </c>
      <c r="I798" s="44">
        <f t="shared" si="244"/>
        <v>5.823741625150318E-2</v>
      </c>
      <c r="J798" s="43">
        <f t="shared" si="245"/>
        <v>0</v>
      </c>
      <c r="K798" s="44" cm="1">
        <f t="array" ref="K798">IF(D798="Gadget",_xlfn.IFS(I798&gt;=0.2,0.5,I798&gt;=0.1,0.35,I798&gt;=0.05,0.2,TRUE,0),IF(D798="Grenade",_xlfn.IFS(I798&gt;=0.2,1,I798&gt;=0.1,0.7,I798&gt;=0.05,0.4,TRUE,0),0))</f>
        <v>0.2</v>
      </c>
      <c r="L798" s="57">
        <f t="shared" si="246"/>
        <v>0.14285714285714288</v>
      </c>
    </row>
    <row r="799" spans="1:12" ht="15" customHeight="1" x14ac:dyDescent="0.25">
      <c r="A799" s="42" t="str" cm="1">
        <f t="array" ref="A799">IFERROR(INDEX(_xlfn._xlws.FILTER(Class_Players!A:A,Class_Players!B:B="Recon"),QUOTIENT(ROW()-ROW($A$2),8)+1),"")</f>
        <v>Kiu8</v>
      </c>
      <c r="B799" s="42" t="str">
        <f>_xlfn.XLOOKUP(A799,Class_Players!$A:$A,Class_Players!$B:$B,"")</f>
        <v>Recon</v>
      </c>
      <c r="C799" s="38" t="str" cm="1">
        <f t="array" ref="C799">INDEX(Lookups!$C$2:$C$9,MOD(ROW()-ROW($B$2),ROWS(Lookups!$C$2:$C$9))+1)</f>
        <v>C-4 Explosives</v>
      </c>
      <c r="D799" s="38" t="str">
        <f>_xlfn.XLOOKUP(C799,Analysis_Gadgets!$C:$C,Analysis_Gadgets!$B:$B)</f>
        <v>Gadget</v>
      </c>
      <c r="E799" s="43">
        <v>461</v>
      </c>
      <c r="F799" s="43">
        <f>_xlfn.XLOOKUP(A799,Class_Players!A:A,Class_Players!G:G)</f>
        <v>150</v>
      </c>
      <c r="G799" s="43">
        <f t="shared" si="243"/>
        <v>3.0733333333333333</v>
      </c>
      <c r="H799" s="43">
        <f>_xlfn.XLOOKUP(A799,Class_Players!$A:$A,Class_Players!$F:$F,"")</f>
        <v>5821</v>
      </c>
      <c r="I799" s="44">
        <f t="shared" si="244"/>
        <v>7.919601443051022E-2</v>
      </c>
      <c r="J799" s="43">
        <f t="shared" si="245"/>
        <v>0</v>
      </c>
      <c r="K799" s="44" cm="1">
        <f t="array" ref="K799">IF(D799="Gadget",_xlfn.IFS(I799&gt;=0.2,0.5,I799&gt;=0.1,0.35,I799&gt;=0.05,0.2,TRUE,0),IF(D799="Grenade",_xlfn.IFS(I799&gt;=0.2,1,I799&gt;=0.1,0.7,I799&gt;=0.05,0.4,TRUE,0),0))</f>
        <v>0.2</v>
      </c>
      <c r="L799" s="57">
        <f t="shared" si="246"/>
        <v>0.14285714285714288</v>
      </c>
    </row>
    <row r="800" spans="1:12" ht="15" customHeight="1" x14ac:dyDescent="0.25">
      <c r="A800" s="42" t="str" cm="1">
        <f t="array" ref="A800">IFERROR(INDEX(_xlfn._xlws.FILTER(Class_Players!A:A,Class_Players!B:B="Recon"),QUOTIENT(ROW()-ROW($A$2),8)+1),"")</f>
        <v>Kiu8</v>
      </c>
      <c r="B800" s="42" t="str">
        <f>_xlfn.XLOOKUP(A800,Class_Players!$A:$A,Class_Players!$B:$B,"")</f>
        <v>Recon</v>
      </c>
      <c r="C800" s="38" t="str" cm="1">
        <f t="array" ref="C800">INDEX(Lookups!$C$2:$C$9,MOD(ROW()-ROW($B$2),ROWS(Lookups!$C$2:$C$9))+1)</f>
        <v>Proximity Detector</v>
      </c>
      <c r="D800" s="38" t="str">
        <f>_xlfn.XLOOKUP(C800,Analysis_Gadgets!$C:$C,Analysis_Gadgets!$B:$B)</f>
        <v>Grenade</v>
      </c>
      <c r="E800" s="43">
        <v>429</v>
      </c>
      <c r="F800" s="43">
        <f>_xlfn.XLOOKUP(A800,Class_Players!A:A,Class_Players!G:G)</f>
        <v>150</v>
      </c>
      <c r="G800" s="43">
        <f t="shared" si="243"/>
        <v>2.86</v>
      </c>
      <c r="H800" s="43">
        <f>_xlfn.XLOOKUP(A800,Class_Players!$A:$A,Class_Players!$F:$F,"")</f>
        <v>5821</v>
      </c>
      <c r="I800" s="44">
        <f t="shared" si="244"/>
        <v>7.3698677203229687E-2</v>
      </c>
      <c r="J800" s="43">
        <f t="shared" si="245"/>
        <v>0</v>
      </c>
      <c r="K800" s="44" cm="1">
        <f t="array" ref="K800">IF(D800="Gadget",_xlfn.IFS(I800&gt;=0.2,0.5,I800&gt;=0.1,0.35,I800&gt;=0.05,0.2,TRUE,0),IF(D800="Grenade",_xlfn.IFS(I800&gt;=0.2,1,I800&gt;=0.1,0.7,I800&gt;=0.05,0.4,TRUE,0),0))</f>
        <v>0.4</v>
      </c>
      <c r="L800" s="57">
        <f t="shared" ref="L800:L801" si="247">IF($K800=0,0,$K800 / SUMIFS($K:$K,$A:$A,$A800,$D:$D,"Grenade"))</f>
        <v>1</v>
      </c>
    </row>
    <row r="801" spans="1:12" ht="15" customHeight="1" x14ac:dyDescent="0.25">
      <c r="A801" s="42" t="str" cm="1">
        <f t="array" ref="A801">IFERROR(INDEX(_xlfn._xlws.FILTER(Class_Players!A:A,Class_Players!B:B="Recon"),QUOTIENT(ROW()-ROW($A$2),8)+1),"")</f>
        <v>Kiu8</v>
      </c>
      <c r="B801" s="42" t="str">
        <f>_xlfn.XLOOKUP(A801,Class_Players!$A:$A,Class_Players!$B:$B,"")</f>
        <v>Recon</v>
      </c>
      <c r="C801" s="38" t="str" cm="1">
        <f t="array" ref="C801">INDEX(Lookups!$C$2:$C$9,MOD(ROW()-ROW($B$2),ROWS(Lookups!$C$2:$C$9))+1)</f>
        <v>Throwing Knife</v>
      </c>
      <c r="D801" s="38" t="str">
        <f>_xlfn.XLOOKUP(C801,Analysis_Gadgets!$C:$C,Analysis_Gadgets!$B:$B)</f>
        <v>Grenade</v>
      </c>
      <c r="E801" s="43">
        <v>34</v>
      </c>
      <c r="F801" s="43">
        <f>_xlfn.XLOOKUP(A801,Class_Players!A:A,Class_Players!G:G)</f>
        <v>150</v>
      </c>
      <c r="G801" s="43">
        <f t="shared" si="243"/>
        <v>0.22666666666666666</v>
      </c>
      <c r="H801" s="43">
        <f>_xlfn.XLOOKUP(A801,Class_Players!$A:$A,Class_Players!$F:$F,"")</f>
        <v>5821</v>
      </c>
      <c r="I801" s="44">
        <f t="shared" si="244"/>
        <v>5.8409208039855694E-3</v>
      </c>
      <c r="J801" s="43">
        <f t="shared" si="245"/>
        <v>0</v>
      </c>
      <c r="K801" s="44" cm="1">
        <f t="array" ref="K801">IF(D801="Gadget",_xlfn.IFS(I801&gt;=0.2,0.5,I801&gt;=0.1,0.35,I801&gt;=0.05,0.2,TRUE,0),IF(D801="Grenade",_xlfn.IFS(I801&gt;=0.2,1,I801&gt;=0.1,0.7,I801&gt;=0.05,0.4,TRUE,0),0))</f>
        <v>0</v>
      </c>
      <c r="L801" s="57">
        <f t="shared" si="247"/>
        <v>0</v>
      </c>
    </row>
    <row r="802" spans="1:12" ht="15" customHeight="1" x14ac:dyDescent="0.25">
      <c r="C802" s="38"/>
      <c r="D802" s="38"/>
      <c r="K802" s="44"/>
      <c r="L802" s="57"/>
    </row>
    <row r="803" spans="1:12" ht="15" customHeight="1" x14ac:dyDescent="0.25">
      <c r="C803" s="38"/>
      <c r="D803" s="38"/>
      <c r="K803" s="44"/>
      <c r="L803" s="57"/>
    </row>
    <row r="804" spans="1:12" ht="15" customHeight="1" x14ac:dyDescent="0.25">
      <c r="C804" s="38"/>
      <c r="D804" s="38"/>
      <c r="K804" s="44"/>
      <c r="L804" s="57"/>
    </row>
    <row r="805" spans="1:12" ht="15" customHeight="1" x14ac:dyDescent="0.25">
      <c r="C805" s="38"/>
      <c r="D805" s="38"/>
      <c r="K805" s="44"/>
      <c r="L805" s="57"/>
    </row>
    <row r="806" spans="1:12" ht="15" customHeight="1" x14ac:dyDescent="0.25">
      <c r="C806" s="38"/>
      <c r="D806" s="38"/>
      <c r="K806" s="44"/>
      <c r="L806" s="57"/>
    </row>
    <row r="807" spans="1:12" ht="15" customHeight="1" x14ac:dyDescent="0.25">
      <c r="C807" s="38"/>
      <c r="D807" s="38"/>
      <c r="K807" s="44"/>
      <c r="L807" s="57"/>
    </row>
    <row r="808" spans="1:12" ht="15" customHeight="1" x14ac:dyDescent="0.25">
      <c r="C808" s="38"/>
      <c r="D808" s="38"/>
      <c r="K808" s="44"/>
      <c r="L808" s="57"/>
    </row>
    <row r="809" spans="1:12" ht="15" customHeight="1" x14ac:dyDescent="0.25">
      <c r="C809" s="38"/>
      <c r="D809" s="38"/>
      <c r="K809" s="44"/>
      <c r="L809" s="57"/>
    </row>
    <row r="810" spans="1:12" ht="15" customHeight="1" x14ac:dyDescent="0.25">
      <c r="C810" s="38"/>
      <c r="D810" s="38"/>
      <c r="K810" s="44"/>
      <c r="L810" s="57"/>
    </row>
    <row r="811" spans="1:12" ht="15" customHeight="1" x14ac:dyDescent="0.25">
      <c r="C811" s="38"/>
      <c r="D811" s="38"/>
      <c r="K811" s="44"/>
      <c r="L811" s="57"/>
    </row>
    <row r="812" spans="1:12" ht="15" customHeight="1" x14ac:dyDescent="0.25">
      <c r="C812" s="38"/>
      <c r="D812" s="38"/>
      <c r="K812" s="44"/>
      <c r="L812" s="57"/>
    </row>
    <row r="813" spans="1:12" ht="15" customHeight="1" x14ac:dyDescent="0.25">
      <c r="C813" s="38"/>
      <c r="D813" s="38"/>
      <c r="K813" s="44"/>
      <c r="L813" s="57"/>
    </row>
    <row r="814" spans="1:12" ht="15" customHeight="1" x14ac:dyDescent="0.25">
      <c r="C814" s="38"/>
      <c r="D814" s="38"/>
      <c r="K814" s="44"/>
      <c r="L814" s="57"/>
    </row>
    <row r="815" spans="1:12" ht="15" customHeight="1" x14ac:dyDescent="0.25">
      <c r="C815" s="38"/>
      <c r="D815" s="38"/>
      <c r="K815" s="44"/>
      <c r="L815" s="57"/>
    </row>
    <row r="816" spans="1:12" ht="15" customHeight="1" x14ac:dyDescent="0.25">
      <c r="C816" s="38"/>
      <c r="D816" s="38"/>
      <c r="K816" s="44"/>
      <c r="L816" s="57"/>
    </row>
    <row r="817" spans="3:12" ht="15" customHeight="1" x14ac:dyDescent="0.25">
      <c r="C817" s="38"/>
      <c r="D817" s="38"/>
      <c r="K817" s="44"/>
      <c r="L817" s="57"/>
    </row>
    <row r="818" spans="3:12" ht="15" customHeight="1" x14ac:dyDescent="0.25">
      <c r="C818" s="38"/>
      <c r="D818" s="38"/>
      <c r="K818" s="44"/>
      <c r="L818" s="57"/>
    </row>
    <row r="819" spans="3:12" ht="15" customHeight="1" x14ac:dyDescent="0.25">
      <c r="C819" s="38"/>
      <c r="D819" s="38"/>
      <c r="K819" s="44"/>
      <c r="L819" s="57"/>
    </row>
    <row r="820" spans="3:12" ht="15" customHeight="1" x14ac:dyDescent="0.25">
      <c r="C820" s="38"/>
      <c r="D820" s="38"/>
      <c r="K820" s="44"/>
      <c r="L820" s="57"/>
    </row>
    <row r="821" spans="3:12" ht="15" customHeight="1" x14ac:dyDescent="0.25">
      <c r="C821" s="38"/>
      <c r="D821" s="38"/>
      <c r="K821" s="44"/>
      <c r="L821" s="57"/>
    </row>
    <row r="822" spans="3:12" ht="15" customHeight="1" x14ac:dyDescent="0.25">
      <c r="C822" s="38"/>
      <c r="D822" s="38"/>
      <c r="K822" s="44"/>
      <c r="L822" s="57"/>
    </row>
    <row r="823" spans="3:12" ht="15" customHeight="1" x14ac:dyDescent="0.25">
      <c r="C823" s="38"/>
      <c r="D823" s="38"/>
      <c r="K823" s="44"/>
      <c r="L823" s="57"/>
    </row>
    <row r="824" spans="3:12" ht="15" customHeight="1" x14ac:dyDescent="0.25">
      <c r="C824" s="38"/>
      <c r="D824" s="38"/>
      <c r="K824" s="44"/>
      <c r="L824" s="57"/>
    </row>
    <row r="825" spans="3:12" ht="15" customHeight="1" x14ac:dyDescent="0.25">
      <c r="C825" s="38"/>
      <c r="D825" s="38"/>
      <c r="K825" s="44"/>
      <c r="L825" s="57"/>
    </row>
    <row r="826" spans="3:12" ht="15" customHeight="1" x14ac:dyDescent="0.25">
      <c r="C826" s="38"/>
      <c r="D826" s="38"/>
      <c r="K826" s="44"/>
      <c r="L826" s="57"/>
    </row>
    <row r="827" spans="3:12" ht="15" customHeight="1" x14ac:dyDescent="0.25">
      <c r="C827" s="38"/>
      <c r="D827" s="38"/>
      <c r="K827" s="44"/>
      <c r="L827" s="57"/>
    </row>
    <row r="828" spans="3:12" ht="15" customHeight="1" x14ac:dyDescent="0.25">
      <c r="C828" s="38"/>
      <c r="D828" s="38"/>
      <c r="K828" s="44"/>
      <c r="L828" s="57"/>
    </row>
    <row r="829" spans="3:12" ht="15" customHeight="1" x14ac:dyDescent="0.25">
      <c r="C829" s="38"/>
      <c r="D829" s="38"/>
      <c r="K829" s="44"/>
      <c r="L829" s="57"/>
    </row>
    <row r="830" spans="3:12" ht="15" customHeight="1" x14ac:dyDescent="0.25">
      <c r="C830" s="38"/>
      <c r="D830" s="38"/>
      <c r="K830" s="44"/>
      <c r="L830" s="57"/>
    </row>
    <row r="831" spans="3:12" ht="15" customHeight="1" x14ac:dyDescent="0.25">
      <c r="C831" s="38"/>
      <c r="D831" s="38"/>
      <c r="K831" s="44"/>
      <c r="L831" s="57"/>
    </row>
    <row r="832" spans="3:12" ht="15" customHeight="1" x14ac:dyDescent="0.25">
      <c r="C832" s="38"/>
      <c r="D832" s="38"/>
      <c r="K832" s="44"/>
      <c r="L832" s="57"/>
    </row>
    <row r="833" spans="3:12" ht="15" customHeight="1" x14ac:dyDescent="0.25">
      <c r="C833" s="38"/>
      <c r="D833" s="38"/>
      <c r="K833" s="44"/>
      <c r="L833" s="57"/>
    </row>
    <row r="834" spans="3:12" ht="15" customHeight="1" x14ac:dyDescent="0.25">
      <c r="C834" s="38"/>
      <c r="D834" s="38"/>
      <c r="K834" s="44"/>
      <c r="L834" s="57"/>
    </row>
    <row r="835" spans="3:12" ht="15" customHeight="1" x14ac:dyDescent="0.25">
      <c r="C835" s="38"/>
      <c r="D835" s="38"/>
      <c r="K835" s="44"/>
      <c r="L835" s="57"/>
    </row>
    <row r="836" spans="3:12" ht="15" customHeight="1" x14ac:dyDescent="0.25">
      <c r="C836" s="38"/>
      <c r="D836" s="38"/>
      <c r="K836" s="44"/>
      <c r="L836" s="57"/>
    </row>
    <row r="837" spans="3:12" ht="15" customHeight="1" x14ac:dyDescent="0.25">
      <c r="C837" s="38"/>
      <c r="D837" s="38"/>
      <c r="K837" s="44"/>
      <c r="L837" s="57"/>
    </row>
    <row r="838" spans="3:12" ht="15" customHeight="1" x14ac:dyDescent="0.25">
      <c r="C838" s="38"/>
      <c r="D838" s="38"/>
      <c r="K838" s="44"/>
      <c r="L838" s="57"/>
    </row>
    <row r="839" spans="3:12" ht="15" customHeight="1" x14ac:dyDescent="0.25">
      <c r="C839" s="38"/>
      <c r="D839" s="38"/>
      <c r="K839" s="44"/>
      <c r="L839" s="57"/>
    </row>
    <row r="840" spans="3:12" ht="15" customHeight="1" x14ac:dyDescent="0.25">
      <c r="C840" s="38"/>
      <c r="D840" s="38"/>
      <c r="K840" s="44"/>
      <c r="L840" s="57"/>
    </row>
    <row r="841" spans="3:12" ht="15" customHeight="1" x14ac:dyDescent="0.25">
      <c r="C841" s="38"/>
      <c r="D841" s="38"/>
      <c r="K841" s="44"/>
      <c r="L841" s="57"/>
    </row>
    <row r="842" spans="3:12" ht="15" customHeight="1" x14ac:dyDescent="0.25">
      <c r="C842" s="38"/>
      <c r="D842" s="38"/>
      <c r="K842" s="44"/>
      <c r="L842" s="57"/>
    </row>
    <row r="843" spans="3:12" ht="15" customHeight="1" x14ac:dyDescent="0.25">
      <c r="C843" s="38"/>
      <c r="D843" s="38"/>
      <c r="K843" s="44"/>
      <c r="L843" s="57"/>
    </row>
    <row r="844" spans="3:12" ht="15" customHeight="1" x14ac:dyDescent="0.25">
      <c r="C844" s="38"/>
      <c r="D844" s="38"/>
      <c r="K844" s="44"/>
      <c r="L844" s="57"/>
    </row>
    <row r="845" spans="3:12" ht="15" customHeight="1" x14ac:dyDescent="0.25">
      <c r="C845" s="38"/>
      <c r="D845" s="38"/>
      <c r="K845" s="44"/>
      <c r="L845" s="57"/>
    </row>
    <row r="846" spans="3:12" ht="15" customHeight="1" x14ac:dyDescent="0.25">
      <c r="C846" s="38"/>
      <c r="D846" s="38"/>
      <c r="K846" s="44"/>
      <c r="L846" s="57"/>
    </row>
    <row r="847" spans="3:12" ht="15" customHeight="1" x14ac:dyDescent="0.25">
      <c r="C847" s="38"/>
      <c r="D847" s="38"/>
      <c r="K847" s="44"/>
      <c r="L847" s="57"/>
    </row>
    <row r="848" spans="3:12" ht="15" customHeight="1" x14ac:dyDescent="0.25">
      <c r="C848" s="38"/>
      <c r="D848" s="38"/>
      <c r="K848" s="44"/>
      <c r="L848" s="57"/>
    </row>
    <row r="849" spans="3:12" ht="15" customHeight="1" x14ac:dyDescent="0.25">
      <c r="C849" s="38"/>
      <c r="D849" s="38"/>
      <c r="K849" s="44"/>
      <c r="L849" s="57"/>
    </row>
    <row r="850" spans="3:12" ht="15" customHeight="1" x14ac:dyDescent="0.25">
      <c r="C850" s="38"/>
      <c r="D850" s="38"/>
      <c r="K850" s="44"/>
      <c r="L850" s="57"/>
    </row>
    <row r="851" spans="3:12" ht="15" customHeight="1" x14ac:dyDescent="0.25">
      <c r="C851" s="38"/>
      <c r="D851" s="38"/>
      <c r="K851" s="44"/>
      <c r="L851" s="57"/>
    </row>
    <row r="852" spans="3:12" ht="15" customHeight="1" x14ac:dyDescent="0.25">
      <c r="C852" s="38"/>
      <c r="D852" s="38"/>
      <c r="K852" s="44"/>
      <c r="L852" s="57"/>
    </row>
    <row r="853" spans="3:12" ht="15" customHeight="1" x14ac:dyDescent="0.25">
      <c r="C853" s="38"/>
      <c r="D853" s="38"/>
      <c r="K853" s="44"/>
      <c r="L853" s="57"/>
    </row>
    <row r="854" spans="3:12" ht="15" customHeight="1" x14ac:dyDescent="0.25">
      <c r="C854" s="38"/>
      <c r="D854" s="38"/>
      <c r="K854" s="44"/>
      <c r="L854" s="57"/>
    </row>
    <row r="855" spans="3:12" ht="15" customHeight="1" x14ac:dyDescent="0.25">
      <c r="C855" s="38"/>
      <c r="D855" s="38"/>
      <c r="K855" s="44"/>
      <c r="L855" s="57"/>
    </row>
    <row r="856" spans="3:12" ht="15" customHeight="1" x14ac:dyDescent="0.25">
      <c r="C856" s="38"/>
      <c r="D856" s="38"/>
      <c r="K856" s="44"/>
      <c r="L856" s="57"/>
    </row>
    <row r="857" spans="3:12" ht="15" customHeight="1" x14ac:dyDescent="0.25">
      <c r="C857" s="38"/>
      <c r="D857" s="38"/>
      <c r="K857" s="44"/>
      <c r="L857" s="57"/>
    </row>
    <row r="858" spans="3:12" ht="15" customHeight="1" x14ac:dyDescent="0.25">
      <c r="C858" s="38"/>
      <c r="D858" s="38"/>
      <c r="K858" s="44"/>
      <c r="L858" s="57"/>
    </row>
    <row r="859" spans="3:12" ht="15" customHeight="1" x14ac:dyDescent="0.25">
      <c r="C859" s="38"/>
      <c r="D859" s="38"/>
      <c r="K859" s="44"/>
      <c r="L859" s="57"/>
    </row>
    <row r="860" spans="3:12" ht="15" customHeight="1" x14ac:dyDescent="0.25">
      <c r="C860" s="38"/>
      <c r="D860" s="38"/>
      <c r="K860" s="44"/>
      <c r="L860" s="57"/>
    </row>
    <row r="861" spans="3:12" ht="15" customHeight="1" x14ac:dyDescent="0.25">
      <c r="C861" s="38"/>
      <c r="D861" s="38"/>
      <c r="K861" s="44"/>
      <c r="L861" s="57"/>
    </row>
    <row r="862" spans="3:12" ht="15" customHeight="1" x14ac:dyDescent="0.25">
      <c r="C862" s="38"/>
      <c r="D862" s="38"/>
      <c r="K862" s="44"/>
      <c r="L862" s="57"/>
    </row>
    <row r="863" spans="3:12" ht="15" customHeight="1" x14ac:dyDescent="0.25">
      <c r="C863" s="38"/>
      <c r="D863" s="38"/>
      <c r="K863" s="44"/>
      <c r="L863" s="57"/>
    </row>
    <row r="864" spans="3:12" ht="15" customHeight="1" x14ac:dyDescent="0.25">
      <c r="C864" s="38"/>
      <c r="D864" s="38"/>
      <c r="K864" s="44"/>
      <c r="L864" s="57"/>
    </row>
    <row r="865" spans="3:12" ht="15" customHeight="1" x14ac:dyDescent="0.25">
      <c r="C865" s="38"/>
      <c r="D865" s="38"/>
      <c r="K865" s="44"/>
      <c r="L865" s="57"/>
    </row>
    <row r="866" spans="3:12" ht="15" customHeight="1" x14ac:dyDescent="0.25">
      <c r="C866" s="38"/>
      <c r="D866" s="38"/>
      <c r="K866" s="44"/>
      <c r="L866" s="57"/>
    </row>
    <row r="867" spans="3:12" ht="15" customHeight="1" x14ac:dyDescent="0.25">
      <c r="C867" s="38"/>
      <c r="D867" s="38"/>
      <c r="K867" s="44"/>
      <c r="L867" s="57"/>
    </row>
    <row r="868" spans="3:12" ht="15" customHeight="1" x14ac:dyDescent="0.25">
      <c r="C868" s="38"/>
      <c r="D868" s="38"/>
      <c r="K868" s="44"/>
      <c r="L868" s="57"/>
    </row>
    <row r="869" spans="3:12" ht="15" customHeight="1" x14ac:dyDescent="0.25">
      <c r="C869" s="38"/>
      <c r="D869" s="38"/>
      <c r="K869" s="44"/>
      <c r="L869" s="57"/>
    </row>
    <row r="870" spans="3:12" ht="15" customHeight="1" x14ac:dyDescent="0.25">
      <c r="C870" s="38"/>
      <c r="D870" s="38"/>
      <c r="K870" s="44"/>
      <c r="L870" s="57"/>
    </row>
    <row r="871" spans="3:12" ht="15" customHeight="1" x14ac:dyDescent="0.25">
      <c r="C871" s="38"/>
      <c r="D871" s="38"/>
      <c r="K871" s="44"/>
      <c r="L871" s="57"/>
    </row>
    <row r="872" spans="3:12" ht="15" customHeight="1" x14ac:dyDescent="0.25">
      <c r="C872" s="38"/>
      <c r="D872" s="38"/>
      <c r="K872" s="44"/>
      <c r="L872" s="57"/>
    </row>
    <row r="873" spans="3:12" ht="15" customHeight="1" x14ac:dyDescent="0.25">
      <c r="C873" s="38"/>
      <c r="D873" s="38"/>
      <c r="K873" s="44"/>
      <c r="L873" s="57"/>
    </row>
  </sheetData>
  <conditionalFormatting sqref="A1:C1 E1:J1 A2:L1048576">
    <cfRule type="expression" dxfId="11" priority="11">
      <formula>MOD(ROW()-9,8)=0</formula>
    </cfRule>
  </conditionalFormatting>
  <conditionalFormatting sqref="J1:J1048576">
    <cfRule type="colorScale" priority="12">
      <colorScale>
        <cfvo type="min"/>
        <cfvo type="max"/>
        <color rgb="FFFCFCFF"/>
        <color rgb="FF63BE7B"/>
      </colorScale>
    </cfRule>
  </conditionalFormatting>
  <conditionalFormatting sqref="K1:L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25E6-7A58-4C92-8E1E-CD720877A7BE}">
  <dimension ref="A1:L928"/>
  <sheetViews>
    <sheetView zoomScaleNormal="100" workbookViewId="0">
      <pane ySplit="1" topLeftCell="A2" activePane="bottomLeft" state="frozen"/>
      <selection pane="bottomLeft" activeCell="P2" sqref="P2"/>
    </sheetView>
  </sheetViews>
  <sheetFormatPr defaultRowHeight="15" customHeight="1" x14ac:dyDescent="0.25"/>
  <cols>
    <col min="1" max="1" width="16" style="42" bestFit="1" customWidth="1"/>
    <col min="2" max="2" width="7.85546875" style="42" bestFit="1" customWidth="1"/>
    <col min="3" max="3" width="29.5703125" style="47" customWidth="1"/>
    <col min="4" max="4" width="16.140625" style="47" bestFit="1" customWidth="1"/>
    <col min="5" max="5" width="12.85546875" style="43" bestFit="1" customWidth="1"/>
    <col min="6" max="6" width="16.7109375" style="43" bestFit="1" customWidth="1"/>
    <col min="7" max="7" width="14.7109375" style="43" bestFit="1" customWidth="1"/>
    <col min="8" max="8" width="19.28515625" style="43" bestFit="1" customWidth="1"/>
    <col min="9" max="9" width="21.7109375" style="44" bestFit="1" customWidth="1"/>
    <col min="10" max="10" width="11.140625" style="43" bestFit="1" customWidth="1"/>
    <col min="11" max="11" width="25" style="42" customWidth="1"/>
    <col min="12" max="12" width="13.5703125" style="57" bestFit="1" customWidth="1"/>
    <col min="13" max="16384" width="9.140625" style="42"/>
  </cols>
  <sheetData>
    <row r="1" spans="1:12" s="41" customFormat="1" ht="15" customHeight="1" thickBot="1" x14ac:dyDescent="0.3">
      <c r="A1" s="9" t="s">
        <v>0</v>
      </c>
      <c r="B1" s="9" t="s">
        <v>2</v>
      </c>
      <c r="C1" s="46" t="s">
        <v>5</v>
      </c>
      <c r="D1" s="9" t="s">
        <v>190</v>
      </c>
      <c r="E1" s="11" t="s">
        <v>6</v>
      </c>
      <c r="F1" s="11" t="s">
        <v>178</v>
      </c>
      <c r="G1" s="11" t="s">
        <v>7</v>
      </c>
      <c r="H1" s="11" t="s">
        <v>3</v>
      </c>
      <c r="I1" s="10" t="s">
        <v>124</v>
      </c>
      <c r="J1" s="11" t="s">
        <v>125</v>
      </c>
      <c r="K1" s="11" t="s">
        <v>234</v>
      </c>
      <c r="L1" s="27" t="s">
        <v>235</v>
      </c>
    </row>
    <row r="2" spans="1:12" ht="15" customHeight="1" x14ac:dyDescent="0.25">
      <c r="A2" s="42" t="str" cm="1">
        <f t="array" ref="A2">IFERROR(INDEX(_xlfn._xlws.FILTER(Class_Players!A:A,Class_Players!B:B="Support"),QUOTIENT(ROW()-ROW($A$2),9)+1),"")</f>
        <v>R3NAULT125</v>
      </c>
      <c r="B2" s="42" t="str">
        <f>_xlfn.XLOOKUP(A2,Class_Players!$A:$A,Class_Players!$B:$B,"")</f>
        <v>Support</v>
      </c>
      <c r="C2" s="38" t="str" cm="1">
        <f t="array" ref="C2">INDEX(Lookups!$D$2:$D$10,MOD(ROW()-ROW($B$2),ROWS(Lookups!$D$2:$D$10))+1)</f>
        <v>GPDIS (Grenade intercept system)</v>
      </c>
      <c r="D2" s="38" t="str">
        <f>_xlfn.XLOOKUP(C2,Analysis_Gadgets!$C:$C,Analysis_Gadgets!$B:$B)</f>
        <v>Gadget</v>
      </c>
      <c r="E2" s="43">
        <v>112</v>
      </c>
      <c r="F2" s="43">
        <f>_xlfn.XLOOKUP(A2,Class_Players!A:A,Class_Players!G:G)</f>
        <v>391</v>
      </c>
      <c r="G2" s="43">
        <f>IF(F2=0,"",E2/(F2))</f>
        <v>0.28644501278772377</v>
      </c>
      <c r="H2" s="43">
        <f>_xlfn.XLOOKUP(A2,Class_Players!$A:$A,Class_Players!$F:$F,"")</f>
        <v>27265</v>
      </c>
      <c r="I2" s="44">
        <f>IF(H2=0,"",E2/H2)</f>
        <v>4.1078305519897306E-3</v>
      </c>
      <c r="J2" s="43">
        <f xml:space="preserve"> PERCENTILE(I:I, 0.6)</f>
        <v>1.7930862422652332E-2</v>
      </c>
      <c r="K2" s="44" cm="1">
        <f t="array" ref="K2">IF(D2="Gadget",_xlfn.IFS(I2&gt;=0.2,0.5,I2&gt;=0.1,0.35,I2&gt;=0.05,0.2,TRUE,0),IF(D2="Grenade",_xlfn.IFS(I2&gt;=0.2,1,I2&gt;=0.1,0.7,I2&gt;=0.05,0.4,TRUE,0),0))</f>
        <v>0</v>
      </c>
      <c r="L2" s="57">
        <f>IF($K2=0,0,$K2 / SUMIFS($K:$K,$A:$A,$A2,$D:$D,"Gadget"))</f>
        <v>0</v>
      </c>
    </row>
    <row r="3" spans="1:12" ht="15" customHeight="1" x14ac:dyDescent="0.25">
      <c r="A3" s="42" t="str" cm="1">
        <f t="array" ref="A3">IFERROR(INDEX(_xlfn._xlws.FILTER(Class_Players!A:A,Class_Players!B:B="Support"),QUOTIENT(ROW()-ROW($A$2),9)+1),"")</f>
        <v>R3NAULT125</v>
      </c>
      <c r="B3" s="42" t="str">
        <f>_xlfn.XLOOKUP(A3,Class_Players!$A:$A,Class_Players!$B:$B,"")</f>
        <v>Support</v>
      </c>
      <c r="C3" s="38" t="str" cm="1">
        <f t="array" ref="C3">INDEX(Lookups!$D$2:$D$10,MOD(ROW()-ROW($B$2),ROWS(Lookups!$D$2:$D$10))+1)</f>
        <v>MP-APS (Missile intercept system)</v>
      </c>
      <c r="D3" s="38" t="str">
        <f>_xlfn.XLOOKUP(C3,Analysis_Gadgets!$C:$C,Analysis_Gadgets!$B:$B)</f>
        <v>Gadget</v>
      </c>
      <c r="E3" s="43">
        <v>0</v>
      </c>
      <c r="F3" s="43">
        <f>_xlfn.XLOOKUP(A3,Class_Players!A:A,Class_Players!G:G)</f>
        <v>391</v>
      </c>
      <c r="G3" s="43">
        <f t="shared" ref="G3:G66" si="0">IF(F3=0,"",E3/(F3))</f>
        <v>0</v>
      </c>
      <c r="H3" s="43">
        <f>_xlfn.XLOOKUP(A3,Class_Players!$A:$A,Class_Players!$F:$F,"")</f>
        <v>27265</v>
      </c>
      <c r="I3" s="44">
        <f>IF(H3=0,"",E3/H3)</f>
        <v>0</v>
      </c>
      <c r="J3" s="43">
        <f t="shared" ref="J3:J66" si="1">IF(I3&gt;=0.1,1,0)</f>
        <v>0</v>
      </c>
      <c r="K3" s="44" cm="1">
        <f t="array" ref="K3">IF(D3="Gadget",_xlfn.IFS(I3&gt;=0.2,0.5,I3&gt;=0.1,0.35,I3&gt;=0.05,0.2,TRUE,0),IF(D3="Grenade",_xlfn.IFS(I3&gt;=0.2,1,I3&gt;=0.1,0.7,I3&gt;=0.05,0.4,TRUE,0),0))</f>
        <v>0</v>
      </c>
      <c r="L3" s="57">
        <f t="shared" ref="L3:L17" si="2">IF($K3=0,0,$K3 / SUMIFS($K:$K,$A:$A,$A3,$D:$D,"Gadget"))</f>
        <v>0</v>
      </c>
    </row>
    <row r="4" spans="1:12" ht="15" customHeight="1" x14ac:dyDescent="0.25">
      <c r="A4" s="42" t="str" cm="1">
        <f t="array" ref="A4">IFERROR(INDEX(_xlfn._xlws.FILTER(Class_Players!A:A,Class_Players!B:B="Support"),QUOTIENT(ROW()-ROW($A$2),9)+1),"")</f>
        <v>R3NAULT125</v>
      </c>
      <c r="B4" s="42" t="str">
        <f>_xlfn.XLOOKUP(A4,Class_Players!$A:$A,Class_Players!$B:$B,"")</f>
        <v>Support</v>
      </c>
      <c r="C4" s="38" t="str" cm="1">
        <f t="array" ref="C4">INDEX(Lookups!$D$2:$D$10,MOD(ROW()-ROW($B$2),ROWS(Lookups!$D$2:$D$10))+1)</f>
        <v>LWCMS (Mortar)</v>
      </c>
      <c r="D4" s="38" t="str">
        <f>_xlfn.XLOOKUP(C4,Analysis_Gadgets!$C:$C,Analysis_Gadgets!$B:$B)</f>
        <v>Gadget</v>
      </c>
      <c r="E4" s="43">
        <v>0</v>
      </c>
      <c r="F4" s="43">
        <f>_xlfn.XLOOKUP(A4,Class_Players!A:A,Class_Players!G:G)</f>
        <v>391</v>
      </c>
      <c r="G4" s="43">
        <f t="shared" si="0"/>
        <v>0</v>
      </c>
      <c r="H4" s="43">
        <f>_xlfn.XLOOKUP(A4,Class_Players!$A:$A,Class_Players!$F:$F,"")</f>
        <v>27265</v>
      </c>
      <c r="I4" s="44">
        <f>IF(H4=0,"",E4/H4)</f>
        <v>0</v>
      </c>
      <c r="J4" s="43">
        <f t="shared" si="1"/>
        <v>0</v>
      </c>
      <c r="K4" s="44" cm="1">
        <f t="array" ref="K4">IF(D4="Gadget",_xlfn.IFS(I4&gt;=0.2,0.5,I4&gt;=0.1,0.35,I4&gt;=0.05,0.2,TRUE,0),IF(D4="Grenade",_xlfn.IFS(I4&gt;=0.2,1,I4&gt;=0.1,0.7,I4&gt;=0.05,0.4,TRUE,0),0))</f>
        <v>0</v>
      </c>
      <c r="L4" s="57">
        <f t="shared" si="2"/>
        <v>0</v>
      </c>
    </row>
    <row r="5" spans="1:12" ht="15" customHeight="1" x14ac:dyDescent="0.25">
      <c r="A5" s="42" t="str" cm="1">
        <f t="array" ref="A5">IFERROR(INDEX(_xlfn._xlws.FILTER(Class_Players!A:A,Class_Players!B:B="Support"),QUOTIENT(ROW()-ROW($A$2),9)+1),"")</f>
        <v>R3NAULT125</v>
      </c>
      <c r="B5" s="42" t="str">
        <f>_xlfn.XLOOKUP(A5,Class_Players!$A:$A,Class_Players!$B:$B,"")</f>
        <v>Support</v>
      </c>
      <c r="C5" s="38" t="str" cm="1">
        <f t="array" ref="C5">INDEX(Lookups!$D$2:$D$10,MOD(ROW()-ROW($B$2),ROWS(Lookups!$D$2:$D$10))+1)</f>
        <v>M320A1 SMK (Smoke Grenade Launcher)</v>
      </c>
      <c r="D5" s="38" t="str">
        <f>_xlfn.XLOOKUP(C5,Analysis_Gadgets!$C:$C,Analysis_Gadgets!$B:$B)</f>
        <v>Gadget</v>
      </c>
      <c r="E5" s="43">
        <v>77</v>
      </c>
      <c r="F5" s="43">
        <f>_xlfn.XLOOKUP(A5,Class_Players!A:A,Class_Players!G:G)</f>
        <v>391</v>
      </c>
      <c r="G5" s="43">
        <f t="shared" si="0"/>
        <v>0.1969309462915601</v>
      </c>
      <c r="H5" s="43">
        <f>_xlfn.XLOOKUP(A5,Class_Players!$A:$A,Class_Players!$F:$F,"")</f>
        <v>27265</v>
      </c>
      <c r="I5" s="44">
        <f t="shared" ref="I5:I7" si="3">IF(H5=0,"",E5/H5)</f>
        <v>2.8241335044929395E-3</v>
      </c>
      <c r="J5" s="43">
        <f t="shared" si="1"/>
        <v>0</v>
      </c>
      <c r="K5" s="44" cm="1">
        <f t="array" ref="K5">IF(D5="Gadget",_xlfn.IFS(I5&gt;=0.2,0.5,I5&gt;=0.1,0.35,I5&gt;=0.05,0.2,TRUE,0),IF(D5="Grenade",_xlfn.IFS(I5&gt;=0.2,1,I5&gt;=0.1,0.7,I5&gt;=0.05,0.4,TRUE,0),0))</f>
        <v>0</v>
      </c>
      <c r="L5" s="57">
        <f t="shared" si="2"/>
        <v>0</v>
      </c>
    </row>
    <row r="6" spans="1:12" ht="15" customHeight="1" x14ac:dyDescent="0.25">
      <c r="A6" s="42" t="str" cm="1">
        <f t="array" ref="A6">IFERROR(INDEX(_xlfn._xlws.FILTER(Class_Players!A:A,Class_Players!B:B="Support"),QUOTIENT(ROW()-ROW($A$2),9)+1),"")</f>
        <v>R3NAULT125</v>
      </c>
      <c r="B6" s="42" t="str">
        <f>_xlfn.XLOOKUP(A6,Class_Players!$A:$A,Class_Players!$B:$B,"")</f>
        <v>Support</v>
      </c>
      <c r="C6" s="38" t="str" cm="1">
        <f t="array" ref="C6">INDEX(Lookups!$D$2:$D$10,MOD(ROW()-ROW($B$2),ROWS(Lookups!$D$2:$D$10))+1)</f>
        <v>SICH G1 WP (Incendiary Airburst Launcher)</v>
      </c>
      <c r="D6" s="38" t="str">
        <f>_xlfn.XLOOKUP(C6,Analysis_Gadgets!$C:$C,Analysis_Gadgets!$B:$B)</f>
        <v>Gadget</v>
      </c>
      <c r="E6" s="43">
        <v>0</v>
      </c>
      <c r="F6" s="43">
        <f>_xlfn.XLOOKUP(A6,Class_Players!A:A,Class_Players!G:G)</f>
        <v>391</v>
      </c>
      <c r="G6" s="43">
        <f t="shared" si="0"/>
        <v>0</v>
      </c>
      <c r="H6" s="43">
        <f>_xlfn.XLOOKUP(A6,Class_Players!$A:$A,Class_Players!$F:$F,"")</f>
        <v>27265</v>
      </c>
      <c r="I6" s="44">
        <f t="shared" si="3"/>
        <v>0</v>
      </c>
      <c r="J6" s="43">
        <f t="shared" si="1"/>
        <v>0</v>
      </c>
      <c r="K6" s="44" cm="1">
        <f t="array" ref="K6">IF(D6="Gadget",_xlfn.IFS(I6&gt;=0.2,0.5,I6&gt;=0.1,0.35,I6&gt;=0.05,0.2,TRUE,0),IF(D6="Grenade",_xlfn.IFS(I6&gt;=0.2,1,I6&gt;=0.1,0.7,I6&gt;=0.05,0.4,TRUE,0),0))</f>
        <v>0</v>
      </c>
      <c r="L6" s="57">
        <f t="shared" si="2"/>
        <v>0</v>
      </c>
    </row>
    <row r="7" spans="1:12" ht="15" customHeight="1" x14ac:dyDescent="0.25">
      <c r="A7" s="42" t="str" cm="1">
        <f t="array" ref="A7">IFERROR(INDEX(_xlfn._xlws.FILTER(Class_Players!A:A,Class_Players!B:B="Support"),QUOTIENT(ROW()-ROW($A$2),9)+1),"")</f>
        <v>R3NAULT125</v>
      </c>
      <c r="B7" s="42" t="str">
        <f>_xlfn.XLOOKUP(A7,Class_Players!$A:$A,Class_Players!$B:$B,"")</f>
        <v>Support</v>
      </c>
      <c r="C7" s="38" t="str" cm="1">
        <f t="array" ref="C7">INDEX(Lookups!$D$2:$D$10,MOD(ROW()-ROW($B$2),ROWS(Lookups!$D$2:$D$10))+1)</f>
        <v>Deployable Cover</v>
      </c>
      <c r="D7" s="38" t="str">
        <f>_xlfn.XLOOKUP(C7,Analysis_Gadgets!$C:$C,Analysis_Gadgets!$B:$B)</f>
        <v>Gadget</v>
      </c>
      <c r="E7" s="43">
        <v>163</v>
      </c>
      <c r="F7" s="43">
        <f>_xlfn.XLOOKUP(A7,Class_Players!A:A,Class_Players!G:G)</f>
        <v>391</v>
      </c>
      <c r="G7" s="43">
        <f t="shared" si="0"/>
        <v>0.41687979539641945</v>
      </c>
      <c r="H7" s="43">
        <f>_xlfn.XLOOKUP(A7,Class_Players!$A:$A,Class_Players!$F:$F,"")</f>
        <v>27265</v>
      </c>
      <c r="I7" s="44">
        <f t="shared" si="3"/>
        <v>5.9783605354850541E-3</v>
      </c>
      <c r="J7" s="43">
        <f t="shared" si="1"/>
        <v>0</v>
      </c>
      <c r="K7" s="44" cm="1">
        <f t="array" ref="K7">IF(D7="Gadget",_xlfn.IFS(I7&gt;=0.2,0.5,I7&gt;=0.1,0.35,I7&gt;=0.05,0.2,TRUE,0),IF(D7="Grenade",_xlfn.IFS(I7&gt;=0.2,1,I7&gt;=0.1,0.7,I7&gt;=0.05,0.4,TRUE,0),0))</f>
        <v>0</v>
      </c>
      <c r="L7" s="57">
        <f t="shared" si="2"/>
        <v>0</v>
      </c>
    </row>
    <row r="8" spans="1:12" ht="15" customHeight="1" x14ac:dyDescent="0.25">
      <c r="A8" s="42" t="str" cm="1">
        <f t="array" ref="A8">IFERROR(INDEX(_xlfn._xlws.FILTER(Class_Players!A:A,Class_Players!B:B="Support"),QUOTIENT(ROW()-ROW($A$2),9)+1),"")</f>
        <v>R3NAULT125</v>
      </c>
      <c r="B8" s="42" t="str">
        <f>_xlfn.XLOOKUP(A8,Class_Players!$A:$A,Class_Players!$B:$B,"")</f>
        <v>Support</v>
      </c>
      <c r="C8" s="38" t="str" cm="1">
        <f t="array" ref="C8">INDEX(Lookups!$D$2:$D$10,MOD(ROW()-ROW($B$2),ROWS(Lookups!$D$2:$D$10))+1)</f>
        <v>Supply Pouch</v>
      </c>
      <c r="D8" s="38" t="str">
        <f>_xlfn.XLOOKUP(C8,Analysis_Gadgets!$C:$C,Analysis_Gadgets!$B:$B)</f>
        <v>Gadget</v>
      </c>
      <c r="E8" s="43">
        <v>24289</v>
      </c>
      <c r="F8" s="43">
        <f>_xlfn.XLOOKUP(A8,Class_Players!A:A,Class_Players!G:G)</f>
        <v>391</v>
      </c>
      <c r="G8" s="43">
        <f t="shared" si="0"/>
        <v>62.120204603580561</v>
      </c>
      <c r="H8" s="43">
        <f>_xlfn.XLOOKUP(A8,Class_Players!$A:$A,Class_Players!$F:$F,"")</f>
        <v>27265</v>
      </c>
      <c r="I8" s="44">
        <f>IF(H8=0,"",E8/H8)</f>
        <v>0.89084907390427293</v>
      </c>
      <c r="J8" s="43">
        <f t="shared" si="1"/>
        <v>1</v>
      </c>
      <c r="K8" s="44" cm="1">
        <f t="array" ref="K8">IF(D8="Gadget",_xlfn.IFS(I8&gt;=0.2,0.5,I8&gt;=0.1,0.35,I8&gt;=0.05,0.2,TRUE,0),IF(D8="Grenade",_xlfn.IFS(I8&gt;=0.2,1,I8&gt;=0.1,0.7,I8&gt;=0.05,0.4,TRUE,0),0))</f>
        <v>0.5</v>
      </c>
      <c r="L8" s="57">
        <f t="shared" si="2"/>
        <v>1</v>
      </c>
    </row>
    <row r="9" spans="1:12" ht="15" customHeight="1" x14ac:dyDescent="0.25">
      <c r="A9" s="42" t="str" cm="1">
        <f t="array" ref="A9">IFERROR(INDEX(_xlfn._xlws.FILTER(Class_Players!A:A,Class_Players!B:B="Support"),QUOTIENT(ROW()-ROW($A$2),9)+1),"")</f>
        <v>R3NAULT125</v>
      </c>
      <c r="B9" s="42" t="str">
        <f>_xlfn.XLOOKUP(A9,Class_Players!$A:$A,Class_Players!$B:$B,"")</f>
        <v>Support</v>
      </c>
      <c r="C9" s="38" t="str" cm="1">
        <f t="array" ref="C9">INDEX(Lookups!$D$2:$D$10,MOD(ROW()-ROW($B$2),ROWS(Lookups!$D$2:$D$10))+1)</f>
        <v>Smoke Grenade</v>
      </c>
      <c r="D9" s="38" t="str">
        <f>_xlfn.XLOOKUP(C9,Analysis_Gadgets!$C:$C,Analysis_Gadgets!$B:$B)</f>
        <v>Grenade</v>
      </c>
      <c r="E9" s="43">
        <v>10523</v>
      </c>
      <c r="F9" s="43">
        <f>_xlfn.XLOOKUP(A9,Class_Players!A:A,Class_Players!G:G)</f>
        <v>391</v>
      </c>
      <c r="G9" s="43">
        <f t="shared" si="0"/>
        <v>26.913043478260871</v>
      </c>
      <c r="H9" s="43">
        <f>_xlfn.XLOOKUP(A9,Class_Players!$A:$A,Class_Players!$F:$F,"")</f>
        <v>27265</v>
      </c>
      <c r="I9" s="44">
        <f t="shared" ref="I9:I13" si="4">IF(H9=0,"",E9/H9)</f>
        <v>0.38595268659453513</v>
      </c>
      <c r="J9" s="43">
        <f t="shared" si="1"/>
        <v>1</v>
      </c>
      <c r="K9" s="44" cm="1">
        <f t="array" ref="K9">IF(D9="Gadget",_xlfn.IFS(I9&gt;=0.2,0.5,I9&gt;=0.1,0.35,I9&gt;=0.05,0.2,TRUE,0),IF(D9="Grenade",_xlfn.IFS(I9&gt;=0.2,1,I9&gt;=0.1,0.7,I9&gt;=0.05,0.4,TRUE,0),0))</f>
        <v>1</v>
      </c>
      <c r="L9" s="57">
        <f>IF($K9=0,0,$K9 / SUMIFS($K:$K,$A:$A,$A9,$D:$D,"Grenade"))</f>
        <v>1</v>
      </c>
    </row>
    <row r="10" spans="1:12" ht="15" customHeight="1" x14ac:dyDescent="0.25">
      <c r="A10" s="42" t="str" cm="1">
        <f t="array" ref="A10">IFERROR(INDEX(_xlfn._xlws.FILTER(Class_Players!A:A,Class_Players!B:B="Support"),QUOTIENT(ROW()-ROW($A$2),9)+1),"")</f>
        <v>R3NAULT125</v>
      </c>
      <c r="B10" s="42" t="str">
        <f>_xlfn.XLOOKUP(A10,Class_Players!$A:$A,Class_Players!$B:$B,"")</f>
        <v>Support</v>
      </c>
      <c r="C10" s="38" t="str" cm="1">
        <f t="array" ref="C10">INDEX(Lookups!$D$2:$D$10,MOD(ROW()-ROW($B$2),ROWS(Lookups!$D$2:$D$10))+1)</f>
        <v>Incendiary Grenade</v>
      </c>
      <c r="D10" s="38" t="str">
        <f>_xlfn.XLOOKUP(C10,Analysis_Gadgets!$C:$C,Analysis_Gadgets!$B:$B)</f>
        <v>Grenade</v>
      </c>
      <c r="E10" s="43">
        <v>0</v>
      </c>
      <c r="F10" s="43">
        <f>_xlfn.XLOOKUP(A10,Class_Players!A:A,Class_Players!G:G)</f>
        <v>391</v>
      </c>
      <c r="G10" s="43">
        <f t="shared" si="0"/>
        <v>0</v>
      </c>
      <c r="H10" s="43">
        <f>_xlfn.XLOOKUP(A10,Class_Players!$A:$A,Class_Players!$F:$F,"")</f>
        <v>27265</v>
      </c>
      <c r="I10" s="44">
        <f t="shared" si="4"/>
        <v>0</v>
      </c>
      <c r="J10" s="43">
        <f t="shared" si="1"/>
        <v>0</v>
      </c>
      <c r="K10" s="44" cm="1">
        <f t="array" ref="K10">IF(D10="Gadget",_xlfn.IFS(I10&gt;=0.2,0.5,I10&gt;=0.1,0.35,I10&gt;=0.05,0.2,TRUE,0),IF(D10="Grenade",_xlfn.IFS(I10&gt;=0.2,1,I10&gt;=0.1,0.7,I10&gt;=0.05,0.4,TRUE,0),0))</f>
        <v>0</v>
      </c>
      <c r="L10" s="57">
        <f>IF($K10=0,0,$K10 / SUMIFS($K:$K,$A:$A,$A10,$D:$D,"Grenade"))</f>
        <v>0</v>
      </c>
    </row>
    <row r="11" spans="1:12" ht="15" customHeight="1" x14ac:dyDescent="0.25">
      <c r="A11" s="42" t="str" cm="1">
        <f t="array" ref="A11">IFERROR(INDEX(_xlfn._xlws.FILTER(Class_Players!A:A,Class_Players!B:B="Support"),QUOTIENT(ROW()-ROW($A$2),9)+1),"")</f>
        <v>HerEmpathy</v>
      </c>
      <c r="B11" s="42" t="str">
        <f>_xlfn.XLOOKUP(A11,Class_Players!$A:$A,Class_Players!$B:$B,"")</f>
        <v>Support</v>
      </c>
      <c r="C11" s="38" t="str" cm="1">
        <f t="array" ref="C11">INDEX(Lookups!$D$2:$D$10,MOD(ROW()-ROW($B$2),ROWS(Lookups!$D$2:$D$10))+1)</f>
        <v>GPDIS (Grenade intercept system)</v>
      </c>
      <c r="D11" s="38" t="str">
        <f>_xlfn.XLOOKUP(C11,Analysis_Gadgets!$C:$C,Analysis_Gadgets!$B:$B)</f>
        <v>Gadget</v>
      </c>
      <c r="E11" s="43">
        <v>144</v>
      </c>
      <c r="F11" s="43">
        <f>_xlfn.XLOOKUP(A11,Class_Players!A:A,Class_Players!G:G)</f>
        <v>616</v>
      </c>
      <c r="G11" s="43">
        <f t="shared" si="0"/>
        <v>0.23376623376623376</v>
      </c>
      <c r="H11" s="43">
        <f>_xlfn.XLOOKUP(A11,Class_Players!$A:$A,Class_Players!$F:$F,"")</f>
        <v>24034</v>
      </c>
      <c r="I11" s="44">
        <f t="shared" si="4"/>
        <v>5.9915120246317715E-3</v>
      </c>
      <c r="J11" s="43">
        <f t="shared" si="1"/>
        <v>0</v>
      </c>
      <c r="K11" s="44" cm="1">
        <f t="array" ref="K11">IF(D11="Gadget",_xlfn.IFS(I11&gt;=0.2,0.5,I11&gt;=0.1,0.35,I11&gt;=0.05,0.2,TRUE,0),IF(D11="Grenade",_xlfn.IFS(I11&gt;=0.2,1,I11&gt;=0.1,0.7,I11&gt;=0.05,0.4,TRUE,0),0))</f>
        <v>0</v>
      </c>
      <c r="L11" s="57">
        <f>IF($K11=0,0,$K11 / SUMIFS($K:$K,$A:$A,$A11,$D:$D,"Gadget"))</f>
        <v>0</v>
      </c>
    </row>
    <row r="12" spans="1:12" ht="15" customHeight="1" x14ac:dyDescent="0.25">
      <c r="A12" s="42" t="str" cm="1">
        <f t="array" ref="A12">IFERROR(INDEX(_xlfn._xlws.FILTER(Class_Players!A:A,Class_Players!B:B="Support"),QUOTIENT(ROW()-ROW($A$2),9)+1),"")</f>
        <v>HerEmpathy</v>
      </c>
      <c r="B12" s="42" t="str">
        <f>_xlfn.XLOOKUP(A12,Class_Players!$A:$A,Class_Players!$B:$B,"")</f>
        <v>Support</v>
      </c>
      <c r="C12" s="38" t="str" cm="1">
        <f t="array" ref="C12">INDEX(Lookups!$D$2:$D$10,MOD(ROW()-ROW($B$2),ROWS(Lookups!$D$2:$D$10))+1)</f>
        <v>MP-APS (Missile intercept system)</v>
      </c>
      <c r="D12" s="38" t="str">
        <f>_xlfn.XLOOKUP(C12,Analysis_Gadgets!$C:$C,Analysis_Gadgets!$B:$B)</f>
        <v>Gadget</v>
      </c>
      <c r="E12" s="43">
        <v>0</v>
      </c>
      <c r="F12" s="43">
        <f>_xlfn.XLOOKUP(A12,Class_Players!A:A,Class_Players!G:G)</f>
        <v>616</v>
      </c>
      <c r="G12" s="43">
        <f t="shared" si="0"/>
        <v>0</v>
      </c>
      <c r="H12" s="43">
        <f>_xlfn.XLOOKUP(A12,Class_Players!$A:$A,Class_Players!$F:$F,"")</f>
        <v>24034</v>
      </c>
      <c r="I12" s="44">
        <f t="shared" si="4"/>
        <v>0</v>
      </c>
      <c r="J12" s="43">
        <f t="shared" si="1"/>
        <v>0</v>
      </c>
      <c r="K12" s="44" cm="1">
        <f t="array" ref="K12">IF(D12="Gadget",_xlfn.IFS(I12&gt;=0.2,0.5,I12&gt;=0.1,0.35,I12&gt;=0.05,0.2,TRUE,0),IF(D12="Grenade",_xlfn.IFS(I12&gt;=0.2,1,I12&gt;=0.1,0.7,I12&gt;=0.05,0.4,TRUE,0),0))</f>
        <v>0</v>
      </c>
      <c r="L12" s="57">
        <f t="shared" si="2"/>
        <v>0</v>
      </c>
    </row>
    <row r="13" spans="1:12" ht="15" customHeight="1" x14ac:dyDescent="0.25">
      <c r="A13" s="42" t="str" cm="1">
        <f t="array" ref="A13">IFERROR(INDEX(_xlfn._xlws.FILTER(Class_Players!A:A,Class_Players!B:B="Support"),QUOTIENT(ROW()-ROW($A$2),9)+1),"")</f>
        <v>HerEmpathy</v>
      </c>
      <c r="B13" s="42" t="str">
        <f>_xlfn.XLOOKUP(A13,Class_Players!$A:$A,Class_Players!$B:$B,"")</f>
        <v>Support</v>
      </c>
      <c r="C13" s="38" t="str" cm="1">
        <f t="array" ref="C13">INDEX(Lookups!$D$2:$D$10,MOD(ROW()-ROW($B$2),ROWS(Lookups!$D$2:$D$10))+1)</f>
        <v>LWCMS (Mortar)</v>
      </c>
      <c r="D13" s="38" t="str">
        <f>_xlfn.XLOOKUP(C13,Analysis_Gadgets!$C:$C,Analysis_Gadgets!$B:$B)</f>
        <v>Gadget</v>
      </c>
      <c r="E13" s="43">
        <v>21</v>
      </c>
      <c r="F13" s="43">
        <f>_xlfn.XLOOKUP(A13,Class_Players!A:A,Class_Players!G:G)</f>
        <v>616</v>
      </c>
      <c r="G13" s="43">
        <f t="shared" si="0"/>
        <v>3.4090909090909088E-2</v>
      </c>
      <c r="H13" s="43">
        <f>_xlfn.XLOOKUP(A13,Class_Players!$A:$A,Class_Players!$F:$F,"")</f>
        <v>24034</v>
      </c>
      <c r="I13" s="44">
        <f t="shared" si="4"/>
        <v>8.7376217025880005E-4</v>
      </c>
      <c r="J13" s="43">
        <f t="shared" si="1"/>
        <v>0</v>
      </c>
      <c r="K13" s="44" cm="1">
        <f t="array" ref="K13">IF(D13="Gadget",_xlfn.IFS(I13&gt;=0.2,0.5,I13&gt;=0.1,0.35,I13&gt;=0.05,0.2,TRUE,0),IF(D13="Grenade",_xlfn.IFS(I13&gt;=0.2,1,I13&gt;=0.1,0.7,I13&gt;=0.05,0.4,TRUE,0),0))</f>
        <v>0</v>
      </c>
      <c r="L13" s="57">
        <f t="shared" si="2"/>
        <v>0</v>
      </c>
    </row>
    <row r="14" spans="1:12" ht="15" customHeight="1" x14ac:dyDescent="0.25">
      <c r="A14" s="42" t="str" cm="1">
        <f t="array" ref="A14">IFERROR(INDEX(_xlfn._xlws.FILTER(Class_Players!A:A,Class_Players!B:B="Support"),QUOTIENT(ROW()-ROW($A$2),9)+1),"")</f>
        <v>HerEmpathy</v>
      </c>
      <c r="B14" s="42" t="str">
        <f>_xlfn.XLOOKUP(A14,Class_Players!$A:$A,Class_Players!$B:$B,"")</f>
        <v>Support</v>
      </c>
      <c r="C14" s="38" t="str" cm="1">
        <f t="array" ref="C14">INDEX(Lookups!$D$2:$D$10,MOD(ROW()-ROW($B$2),ROWS(Lookups!$D$2:$D$10))+1)</f>
        <v>M320A1 SMK (Smoke Grenade Launcher)</v>
      </c>
      <c r="D14" s="38" t="str">
        <f>_xlfn.XLOOKUP(C14,Analysis_Gadgets!$C:$C,Analysis_Gadgets!$B:$B)</f>
        <v>Gadget</v>
      </c>
      <c r="E14" s="43">
        <v>94</v>
      </c>
      <c r="F14" s="43">
        <f>_xlfn.XLOOKUP(A14,Class_Players!A:A,Class_Players!G:G)</f>
        <v>616</v>
      </c>
      <c r="G14" s="43">
        <f t="shared" si="0"/>
        <v>0.15259740259740259</v>
      </c>
      <c r="H14" s="43">
        <f>_xlfn.XLOOKUP(A14,Class_Players!$A:$A,Class_Players!$F:$F,"")</f>
        <v>24034</v>
      </c>
      <c r="I14" s="44">
        <f>IF(H14=0,"",E14/H14)</f>
        <v>3.9111259049679622E-3</v>
      </c>
      <c r="J14" s="43">
        <f t="shared" si="1"/>
        <v>0</v>
      </c>
      <c r="K14" s="44" cm="1">
        <f t="array" ref="K14">IF(D14="Gadget",_xlfn.IFS(I14&gt;=0.2,0.5,I14&gt;=0.1,0.35,I14&gt;=0.05,0.2,TRUE,0),IF(D14="Grenade",_xlfn.IFS(I14&gt;=0.2,1,I14&gt;=0.1,0.7,I14&gt;=0.05,0.4,TRUE,0),0))</f>
        <v>0</v>
      </c>
      <c r="L14" s="57">
        <f t="shared" si="2"/>
        <v>0</v>
      </c>
    </row>
    <row r="15" spans="1:12" ht="15" customHeight="1" x14ac:dyDescent="0.25">
      <c r="A15" s="42" t="str" cm="1">
        <f t="array" ref="A15">IFERROR(INDEX(_xlfn._xlws.FILTER(Class_Players!A:A,Class_Players!B:B="Support"),QUOTIENT(ROW()-ROW($A$2),9)+1),"")</f>
        <v>HerEmpathy</v>
      </c>
      <c r="B15" s="42" t="str">
        <f>_xlfn.XLOOKUP(A15,Class_Players!$A:$A,Class_Players!$B:$B,"")</f>
        <v>Support</v>
      </c>
      <c r="C15" s="38" t="str" cm="1">
        <f t="array" ref="C15">INDEX(Lookups!$D$2:$D$10,MOD(ROW()-ROW($B$2),ROWS(Lookups!$D$2:$D$10))+1)</f>
        <v>SICH G1 WP (Incendiary Airburst Launcher)</v>
      </c>
      <c r="D15" s="38" t="str">
        <f>_xlfn.XLOOKUP(C15,Analysis_Gadgets!$C:$C,Analysis_Gadgets!$B:$B)</f>
        <v>Gadget</v>
      </c>
      <c r="E15" s="43">
        <v>11557</v>
      </c>
      <c r="F15" s="43">
        <f>_xlfn.XLOOKUP(A15,Class_Players!A:A,Class_Players!G:G)</f>
        <v>616</v>
      </c>
      <c r="G15" s="43">
        <f t="shared" si="0"/>
        <v>18.761363636363637</v>
      </c>
      <c r="H15" s="43">
        <f>_xlfn.XLOOKUP(A15,Class_Players!$A:$A,Class_Players!$F:$F,"")</f>
        <v>24034</v>
      </c>
      <c r="I15" s="44">
        <f>IF(H15=0,"",E15/H15)</f>
        <v>0.48086044769909297</v>
      </c>
      <c r="J15" s="43">
        <f t="shared" si="1"/>
        <v>1</v>
      </c>
      <c r="K15" s="44" cm="1">
        <f t="array" ref="K15">IF(D15="Gadget",_xlfn.IFS(I15&gt;=0.2,0.5,I15&gt;=0.1,0.35,I15&gt;=0.05,0.2,TRUE,0),IF(D15="Grenade",_xlfn.IFS(I15&gt;=0.2,1,I15&gt;=0.1,0.7,I15&gt;=0.05,0.4,TRUE,0),0))</f>
        <v>0.5</v>
      </c>
      <c r="L15" s="57">
        <f t="shared" si="2"/>
        <v>0.37037037037037035</v>
      </c>
    </row>
    <row r="16" spans="1:12" ht="15" customHeight="1" x14ac:dyDescent="0.25">
      <c r="A16" s="42" t="str" cm="1">
        <f t="array" ref="A16">IFERROR(INDEX(_xlfn._xlws.FILTER(Class_Players!A:A,Class_Players!B:B="Support"),QUOTIENT(ROW()-ROW($A$2),9)+1),"")</f>
        <v>HerEmpathy</v>
      </c>
      <c r="B16" s="42" t="str">
        <f>_xlfn.XLOOKUP(A16,Class_Players!$A:$A,Class_Players!$B:$B,"")</f>
        <v>Support</v>
      </c>
      <c r="C16" s="38" t="str" cm="1">
        <f t="array" ref="C16">INDEX(Lookups!$D$2:$D$10,MOD(ROW()-ROW($B$2),ROWS(Lookups!$D$2:$D$10))+1)</f>
        <v>Deployable Cover</v>
      </c>
      <c r="D16" s="38" t="str">
        <f>_xlfn.XLOOKUP(C16,Analysis_Gadgets!$C:$C,Analysis_Gadgets!$B:$B)</f>
        <v>Gadget</v>
      </c>
      <c r="E16" s="43">
        <v>4599</v>
      </c>
      <c r="F16" s="43">
        <f>_xlfn.XLOOKUP(A16,Class_Players!A:A,Class_Players!G:G)</f>
        <v>616</v>
      </c>
      <c r="G16" s="43">
        <f t="shared" si="0"/>
        <v>7.4659090909090908</v>
      </c>
      <c r="H16" s="43">
        <f>_xlfn.XLOOKUP(A16,Class_Players!$A:$A,Class_Players!$F:$F,"")</f>
        <v>24034</v>
      </c>
      <c r="I16" s="44">
        <f>IF(H16=0,"",E16/H16)</f>
        <v>0.1913539152866772</v>
      </c>
      <c r="J16" s="43">
        <f t="shared" si="1"/>
        <v>1</v>
      </c>
      <c r="K16" s="44" cm="1">
        <f t="array" ref="K16">IF(D16="Gadget",_xlfn.IFS(I16&gt;=0.2,0.5,I16&gt;=0.1,0.35,I16&gt;=0.05,0.2,TRUE,0),IF(D16="Grenade",_xlfn.IFS(I16&gt;=0.2,1,I16&gt;=0.1,0.7,I16&gt;=0.05,0.4,TRUE,0),0))</f>
        <v>0.35</v>
      </c>
      <c r="L16" s="57">
        <f t="shared" si="2"/>
        <v>0.25925925925925924</v>
      </c>
    </row>
    <row r="17" spans="1:12" ht="15" customHeight="1" x14ac:dyDescent="0.25">
      <c r="A17" s="42" t="str" cm="1">
        <f t="array" ref="A17">IFERROR(INDEX(_xlfn._xlws.FILTER(Class_Players!A:A,Class_Players!B:B="Support"),QUOTIENT(ROW()-ROW($A$2),9)+1),"")</f>
        <v>HerEmpathy</v>
      </c>
      <c r="B17" s="42" t="str">
        <f>_xlfn.XLOOKUP(A17,Class_Players!$A:$A,Class_Players!$B:$B,"")</f>
        <v>Support</v>
      </c>
      <c r="C17" s="38" t="str" cm="1">
        <f t="array" ref="C17">INDEX(Lookups!$D$2:$D$10,MOD(ROW()-ROW($B$2),ROWS(Lookups!$D$2:$D$10))+1)</f>
        <v>Supply Pouch</v>
      </c>
      <c r="D17" s="38" t="str">
        <f>_xlfn.XLOOKUP(C17,Analysis_Gadgets!$C:$C,Analysis_Gadgets!$B:$B)</f>
        <v>Gadget</v>
      </c>
      <c r="E17" s="43">
        <v>17256</v>
      </c>
      <c r="F17" s="43">
        <f>_xlfn.XLOOKUP(A17,Class_Players!A:A,Class_Players!G:G)</f>
        <v>616</v>
      </c>
      <c r="G17" s="43">
        <f t="shared" si="0"/>
        <v>28.012987012987011</v>
      </c>
      <c r="H17" s="43">
        <f>_xlfn.XLOOKUP(A17,Class_Players!$A:$A,Class_Players!$F:$F,"")</f>
        <v>24034</v>
      </c>
      <c r="I17" s="44">
        <f t="shared" ref="I17:I80" si="5">IF(H17=0,"",E17/H17)</f>
        <v>0.71798285761837399</v>
      </c>
      <c r="J17" s="43">
        <f t="shared" si="1"/>
        <v>1</v>
      </c>
      <c r="K17" s="44" cm="1">
        <f t="array" ref="K17">IF(D17="Gadget",_xlfn.IFS(I17&gt;=0.2,0.5,I17&gt;=0.1,0.35,I17&gt;=0.05,0.2,TRUE,0),IF(D17="Grenade",_xlfn.IFS(I17&gt;=0.2,1,I17&gt;=0.1,0.7,I17&gt;=0.05,0.4,TRUE,0),0))</f>
        <v>0.5</v>
      </c>
      <c r="L17" s="57">
        <f t="shared" si="2"/>
        <v>0.37037037037037035</v>
      </c>
    </row>
    <row r="18" spans="1:12" ht="15" customHeight="1" x14ac:dyDescent="0.25">
      <c r="A18" s="42" t="str" cm="1">
        <f t="array" ref="A18">IFERROR(INDEX(_xlfn._xlws.FILTER(Class_Players!A:A,Class_Players!B:B="Support"),QUOTIENT(ROW()-ROW($A$2),9)+1),"")</f>
        <v>HerEmpathy</v>
      </c>
      <c r="B18" s="42" t="str">
        <f>_xlfn.XLOOKUP(A18,Class_Players!$A:$A,Class_Players!$B:$B,"")</f>
        <v>Support</v>
      </c>
      <c r="C18" s="38" t="str" cm="1">
        <f t="array" ref="C18">INDEX(Lookups!$D$2:$D$10,MOD(ROW()-ROW($B$2),ROWS(Lookups!$D$2:$D$10))+1)</f>
        <v>Smoke Grenade</v>
      </c>
      <c r="D18" s="38" t="str">
        <f>_xlfn.XLOOKUP(C18,Analysis_Gadgets!$C:$C,Analysis_Gadgets!$B:$B)</f>
        <v>Grenade</v>
      </c>
      <c r="E18" s="43">
        <v>16511</v>
      </c>
      <c r="F18" s="43">
        <f>_xlfn.XLOOKUP(A18,Class_Players!A:A,Class_Players!G:G)</f>
        <v>616</v>
      </c>
      <c r="G18" s="43">
        <f t="shared" si="0"/>
        <v>26.803571428571427</v>
      </c>
      <c r="H18" s="43">
        <f>_xlfn.XLOOKUP(A18,Class_Players!$A:$A,Class_Players!$F:$F,"")</f>
        <v>24034</v>
      </c>
      <c r="I18" s="44">
        <f t="shared" si="5"/>
        <v>0.68698510443538319</v>
      </c>
      <c r="J18" s="43">
        <f t="shared" si="1"/>
        <v>1</v>
      </c>
      <c r="K18" s="44" cm="1">
        <f t="array" ref="K18">IF(D18="Gadget",_xlfn.IFS(I18&gt;=0.2,0.5,I18&gt;=0.1,0.35,I18&gt;=0.05,0.2,TRUE,0),IF(D18="Grenade",_xlfn.IFS(I18&gt;=0.2,1,I18&gt;=0.1,0.7,I18&gt;=0.05,0.4,TRUE,0),0))</f>
        <v>1</v>
      </c>
      <c r="L18" s="57">
        <f>IF($K18=0,0,$K18 / SUMIFS($K:$K,$A:$A,$A18,$D:$D,"Grenade"))</f>
        <v>0.5</v>
      </c>
    </row>
    <row r="19" spans="1:12" ht="15" customHeight="1" x14ac:dyDescent="0.25">
      <c r="A19" s="42" t="str" cm="1">
        <f t="array" ref="A19">IFERROR(INDEX(_xlfn._xlws.FILTER(Class_Players!A:A,Class_Players!B:B="Support"),QUOTIENT(ROW()-ROW($A$2),9)+1),"")</f>
        <v>HerEmpathy</v>
      </c>
      <c r="B19" s="42" t="str">
        <f>_xlfn.XLOOKUP(A19,Class_Players!$A:$A,Class_Players!$B:$B,"")</f>
        <v>Support</v>
      </c>
      <c r="C19" s="38" t="str" cm="1">
        <f t="array" ref="C19">INDEX(Lookups!$D$2:$D$10,MOD(ROW()-ROW($B$2),ROWS(Lookups!$D$2:$D$10))+1)</f>
        <v>Incendiary Grenade</v>
      </c>
      <c r="D19" s="38" t="str">
        <f>_xlfn.XLOOKUP(C19,Analysis_Gadgets!$C:$C,Analysis_Gadgets!$B:$B)</f>
        <v>Grenade</v>
      </c>
      <c r="E19" s="43">
        <v>31742</v>
      </c>
      <c r="F19" s="43">
        <f>_xlfn.XLOOKUP(A19,Class_Players!A:A,Class_Players!G:G)</f>
        <v>616</v>
      </c>
      <c r="G19" s="43">
        <f t="shared" si="0"/>
        <v>51.529220779220779</v>
      </c>
      <c r="H19" s="43">
        <f>_xlfn.XLOOKUP(A19,Class_Players!$A:$A,Class_Players!$F:$F,"")</f>
        <v>24034</v>
      </c>
      <c r="I19" s="44">
        <f t="shared" si="5"/>
        <v>1.3207123242073728</v>
      </c>
      <c r="J19" s="43">
        <f t="shared" si="1"/>
        <v>1</v>
      </c>
      <c r="K19" s="44" cm="1">
        <f t="array" ref="K19">IF(D19="Gadget",_xlfn.IFS(I19&gt;=0.2,0.5,I19&gt;=0.1,0.35,I19&gt;=0.05,0.2,TRUE,0),IF(D19="Grenade",_xlfn.IFS(I19&gt;=0.2,1,I19&gt;=0.1,0.7,I19&gt;=0.05,0.4,TRUE,0),0))</f>
        <v>1</v>
      </c>
      <c r="L19" s="57">
        <f>IF($K19=0,0,$K19 / SUMIFS($K:$K,$A:$A,$A19,$D:$D,"Grenade"))</f>
        <v>0.5</v>
      </c>
    </row>
    <row r="20" spans="1:12" ht="15" customHeight="1" x14ac:dyDescent="0.25">
      <c r="A20" s="42" t="str" cm="1">
        <f t="array" ref="A20">IFERROR(INDEX(_xlfn._xlws.FILTER(Class_Players!A:A,Class_Players!B:B="Support"),QUOTIENT(ROW()-ROW($A$2),9)+1),"")</f>
        <v>TricksterX21</v>
      </c>
      <c r="B20" s="42" t="str">
        <f>_xlfn.XLOOKUP(A20,Class_Players!$A:$A,Class_Players!$B:$B,"")</f>
        <v>Support</v>
      </c>
      <c r="C20" s="38" t="str" cm="1">
        <f t="array" ref="C20">INDEX(Lookups!$D$2:$D$10,MOD(ROW()-ROW($B$2),ROWS(Lookups!$D$2:$D$10))+1)</f>
        <v>GPDIS (Grenade intercept system)</v>
      </c>
      <c r="D20" s="38" t="str">
        <f>_xlfn.XLOOKUP(C20,Analysis_Gadgets!$C:$C,Analysis_Gadgets!$B:$B)</f>
        <v>Gadget</v>
      </c>
      <c r="E20" s="43">
        <v>3257</v>
      </c>
      <c r="F20" s="43">
        <f>_xlfn.XLOOKUP(A20,Class_Players!A:A,Class_Players!G:G)</f>
        <v>314</v>
      </c>
      <c r="G20" s="43">
        <f t="shared" si="0"/>
        <v>10.372611464968152</v>
      </c>
      <c r="H20" s="43">
        <f>_xlfn.XLOOKUP(A20,Class_Players!$A:$A,Class_Players!$F:$F,"")</f>
        <v>21976</v>
      </c>
      <c r="I20" s="44">
        <f t="shared" si="5"/>
        <v>0.14820713505642519</v>
      </c>
      <c r="J20" s="43">
        <f t="shared" si="1"/>
        <v>1</v>
      </c>
      <c r="K20" s="44" cm="1">
        <f t="array" ref="K20">IF(D20="Gadget",_xlfn.IFS(I20&gt;=0.2,0.5,I20&gt;=0.1,0.35,I20&gt;=0.05,0.2,TRUE,0),IF(D20="Grenade",_xlfn.IFS(I20&gt;=0.2,1,I20&gt;=0.1,0.7,I20&gt;=0.05,0.4,TRUE,0),0))</f>
        <v>0.35</v>
      </c>
      <c r="L20" s="57">
        <f>IF($K20=0,0,$K20 / SUMIFS($K:$K,$A:$A,$A20,$D:$D,"Gadget"))</f>
        <v>0.5</v>
      </c>
    </row>
    <row r="21" spans="1:12" ht="15" customHeight="1" x14ac:dyDescent="0.25">
      <c r="A21" s="42" t="str" cm="1">
        <f t="array" ref="A21">IFERROR(INDEX(_xlfn._xlws.FILTER(Class_Players!A:A,Class_Players!B:B="Support"),QUOTIENT(ROW()-ROW($A$2),9)+1),"")</f>
        <v>TricksterX21</v>
      </c>
      <c r="B21" s="42" t="str">
        <f>_xlfn.XLOOKUP(A21,Class_Players!$A:$A,Class_Players!$B:$B,"")</f>
        <v>Support</v>
      </c>
      <c r="C21" s="38" t="str" cm="1">
        <f t="array" ref="C21">INDEX(Lookups!$D$2:$D$10,MOD(ROW()-ROW($B$2),ROWS(Lookups!$D$2:$D$10))+1)</f>
        <v>MP-APS (Missile intercept system)</v>
      </c>
      <c r="D21" s="38" t="str">
        <f>_xlfn.XLOOKUP(C21,Analysis_Gadgets!$C:$C,Analysis_Gadgets!$B:$B)</f>
        <v>Gadget</v>
      </c>
      <c r="E21" s="43">
        <v>12</v>
      </c>
      <c r="F21" s="43">
        <f>_xlfn.XLOOKUP(A21,Class_Players!A:A,Class_Players!G:G)</f>
        <v>314</v>
      </c>
      <c r="G21" s="43">
        <f t="shared" si="0"/>
        <v>3.8216560509554139E-2</v>
      </c>
      <c r="H21" s="43">
        <f>_xlfn.XLOOKUP(A21,Class_Players!$A:$A,Class_Players!$F:$F,"")</f>
        <v>21976</v>
      </c>
      <c r="I21" s="44">
        <f t="shared" si="5"/>
        <v>5.4605023662176923E-4</v>
      </c>
      <c r="J21" s="43">
        <f t="shared" si="1"/>
        <v>0</v>
      </c>
      <c r="K21" s="44" cm="1">
        <f t="array" ref="K21">IF(D21="Gadget",_xlfn.IFS(I21&gt;=0.2,0.5,I21&gt;=0.1,0.35,I21&gt;=0.05,0.2,TRUE,0),IF(D21="Grenade",_xlfn.IFS(I21&gt;=0.2,1,I21&gt;=0.1,0.7,I21&gt;=0.05,0.4,TRUE,0),0))</f>
        <v>0</v>
      </c>
      <c r="L21" s="57">
        <f t="shared" ref="L21:L26" si="6">IF($K21=0,0,$K21 / SUMIFS($K:$K,$A:$A,$A21,$D:$D,"Gadget"))</f>
        <v>0</v>
      </c>
    </row>
    <row r="22" spans="1:12" ht="15" customHeight="1" x14ac:dyDescent="0.25">
      <c r="A22" s="42" t="str" cm="1">
        <f t="array" ref="A22">IFERROR(INDEX(_xlfn._xlws.FILTER(Class_Players!A:A,Class_Players!B:B="Support"),QUOTIENT(ROW()-ROW($A$2),9)+1),"")</f>
        <v>TricksterX21</v>
      </c>
      <c r="B22" s="42" t="str">
        <f>_xlfn.XLOOKUP(A22,Class_Players!$A:$A,Class_Players!$B:$B,"")</f>
        <v>Support</v>
      </c>
      <c r="C22" s="38" t="str" cm="1">
        <f t="array" ref="C22">INDEX(Lookups!$D$2:$D$10,MOD(ROW()-ROW($B$2),ROWS(Lookups!$D$2:$D$10))+1)</f>
        <v>LWCMS (Mortar)</v>
      </c>
      <c r="D22" s="38" t="str">
        <f>_xlfn.XLOOKUP(C22,Analysis_Gadgets!$C:$C,Analysis_Gadgets!$B:$B)</f>
        <v>Gadget</v>
      </c>
      <c r="E22" s="43">
        <v>28</v>
      </c>
      <c r="F22" s="43">
        <f>_xlfn.XLOOKUP(A22,Class_Players!A:A,Class_Players!G:G)</f>
        <v>314</v>
      </c>
      <c r="G22" s="43">
        <f t="shared" si="0"/>
        <v>8.9171974522292988E-2</v>
      </c>
      <c r="H22" s="43">
        <f>_xlfn.XLOOKUP(A22,Class_Players!$A:$A,Class_Players!$F:$F,"")</f>
        <v>21976</v>
      </c>
      <c r="I22" s="44">
        <f t="shared" si="5"/>
        <v>1.2741172187841281E-3</v>
      </c>
      <c r="J22" s="43">
        <f t="shared" si="1"/>
        <v>0</v>
      </c>
      <c r="K22" s="44" cm="1">
        <f t="array" ref="K22">IF(D22="Gadget",_xlfn.IFS(I22&gt;=0.2,0.5,I22&gt;=0.1,0.35,I22&gt;=0.05,0.2,TRUE,0),IF(D22="Grenade",_xlfn.IFS(I22&gt;=0.2,1,I22&gt;=0.1,0.7,I22&gt;=0.05,0.4,TRUE,0),0))</f>
        <v>0</v>
      </c>
      <c r="L22" s="57">
        <f t="shared" si="6"/>
        <v>0</v>
      </c>
    </row>
    <row r="23" spans="1:12" ht="15" customHeight="1" x14ac:dyDescent="0.25">
      <c r="A23" s="42" t="str" cm="1">
        <f t="array" ref="A23">IFERROR(INDEX(_xlfn._xlws.FILTER(Class_Players!A:A,Class_Players!B:B="Support"),QUOTIENT(ROW()-ROW($A$2),9)+1),"")</f>
        <v>TricksterX21</v>
      </c>
      <c r="B23" s="42" t="str">
        <f>_xlfn.XLOOKUP(A23,Class_Players!$A:$A,Class_Players!$B:$B,"")</f>
        <v>Support</v>
      </c>
      <c r="C23" s="38" t="str" cm="1">
        <f t="array" ref="C23">INDEX(Lookups!$D$2:$D$10,MOD(ROW()-ROW($B$2),ROWS(Lookups!$D$2:$D$10))+1)</f>
        <v>M320A1 SMK (Smoke Grenade Launcher)</v>
      </c>
      <c r="D23" s="38" t="str">
        <f>_xlfn.XLOOKUP(C23,Analysis_Gadgets!$C:$C,Analysis_Gadgets!$B:$B)</f>
        <v>Gadget</v>
      </c>
      <c r="E23" s="43">
        <v>42</v>
      </c>
      <c r="F23" s="43">
        <f>_xlfn.XLOOKUP(A23,Class_Players!A:A,Class_Players!G:G)</f>
        <v>314</v>
      </c>
      <c r="G23" s="43">
        <f t="shared" si="0"/>
        <v>0.13375796178343949</v>
      </c>
      <c r="H23" s="43">
        <f>_xlfn.XLOOKUP(A23,Class_Players!$A:$A,Class_Players!$F:$F,"")</f>
        <v>21976</v>
      </c>
      <c r="I23" s="44">
        <f t="shared" si="5"/>
        <v>1.9111758281761921E-3</v>
      </c>
      <c r="J23" s="43">
        <f t="shared" si="1"/>
        <v>0</v>
      </c>
      <c r="K23" s="44" cm="1">
        <f t="array" ref="K23">IF(D23="Gadget",_xlfn.IFS(I23&gt;=0.2,0.5,I23&gt;=0.1,0.35,I23&gt;=0.05,0.2,TRUE,0),IF(D23="Grenade",_xlfn.IFS(I23&gt;=0.2,1,I23&gt;=0.1,0.7,I23&gt;=0.05,0.4,TRUE,0),0))</f>
        <v>0</v>
      </c>
      <c r="L23" s="57">
        <f t="shared" si="6"/>
        <v>0</v>
      </c>
    </row>
    <row r="24" spans="1:12" ht="15" customHeight="1" x14ac:dyDescent="0.25">
      <c r="A24" s="42" t="str" cm="1">
        <f t="array" ref="A24">IFERROR(INDEX(_xlfn._xlws.FILTER(Class_Players!A:A,Class_Players!B:B="Support"),QUOTIENT(ROW()-ROW($A$2),9)+1),"")</f>
        <v>TricksterX21</v>
      </c>
      <c r="B24" s="42" t="str">
        <f>_xlfn.XLOOKUP(A24,Class_Players!$A:$A,Class_Players!$B:$B,"")</f>
        <v>Support</v>
      </c>
      <c r="C24" s="38" t="str" cm="1">
        <f t="array" ref="C24">INDEX(Lookups!$D$2:$D$10,MOD(ROW()-ROW($B$2),ROWS(Lookups!$D$2:$D$10))+1)</f>
        <v>SICH G1 WP (Incendiary Airburst Launcher)</v>
      </c>
      <c r="D24" s="38" t="str">
        <f>_xlfn.XLOOKUP(C24,Analysis_Gadgets!$C:$C,Analysis_Gadgets!$B:$B)</f>
        <v>Gadget</v>
      </c>
      <c r="E24" s="43">
        <v>278</v>
      </c>
      <c r="F24" s="43">
        <f>_xlfn.XLOOKUP(A24,Class_Players!A:A,Class_Players!G:G)</f>
        <v>314</v>
      </c>
      <c r="G24" s="43">
        <f t="shared" si="0"/>
        <v>0.88535031847133761</v>
      </c>
      <c r="H24" s="43">
        <f>_xlfn.XLOOKUP(A24,Class_Players!$A:$A,Class_Players!$F:$F,"")</f>
        <v>21976</v>
      </c>
      <c r="I24" s="44">
        <f t="shared" si="5"/>
        <v>1.2650163815070987E-2</v>
      </c>
      <c r="J24" s="43">
        <f t="shared" si="1"/>
        <v>0</v>
      </c>
      <c r="K24" s="44" cm="1">
        <f t="array" ref="K24">IF(D24="Gadget",_xlfn.IFS(I24&gt;=0.2,0.5,I24&gt;=0.1,0.35,I24&gt;=0.05,0.2,TRUE,0),IF(D24="Grenade",_xlfn.IFS(I24&gt;=0.2,1,I24&gt;=0.1,0.7,I24&gt;=0.05,0.4,TRUE,0),0))</f>
        <v>0</v>
      </c>
      <c r="L24" s="57">
        <f t="shared" si="6"/>
        <v>0</v>
      </c>
    </row>
    <row r="25" spans="1:12" ht="15" customHeight="1" x14ac:dyDescent="0.25">
      <c r="A25" s="42" t="str" cm="1">
        <f t="array" ref="A25">IFERROR(INDEX(_xlfn._xlws.FILTER(Class_Players!A:A,Class_Players!B:B="Support"),QUOTIENT(ROW()-ROW($A$2),9)+1),"")</f>
        <v>TricksterX21</v>
      </c>
      <c r="B25" s="42" t="str">
        <f>_xlfn.XLOOKUP(A25,Class_Players!$A:$A,Class_Players!$B:$B,"")</f>
        <v>Support</v>
      </c>
      <c r="C25" s="38" t="str" cm="1">
        <f t="array" ref="C25">INDEX(Lookups!$D$2:$D$10,MOD(ROW()-ROW($B$2),ROWS(Lookups!$D$2:$D$10))+1)</f>
        <v>Deployable Cover</v>
      </c>
      <c r="D25" s="38" t="str">
        <f>_xlfn.XLOOKUP(C25,Analysis_Gadgets!$C:$C,Analysis_Gadgets!$B:$B)</f>
        <v>Gadget</v>
      </c>
      <c r="E25" s="43">
        <v>3255</v>
      </c>
      <c r="F25" s="43">
        <f>_xlfn.XLOOKUP(A25,Class_Players!A:A,Class_Players!G:G)</f>
        <v>314</v>
      </c>
      <c r="G25" s="43">
        <f t="shared" si="0"/>
        <v>10.36624203821656</v>
      </c>
      <c r="H25" s="43">
        <f>_xlfn.XLOOKUP(A25,Class_Players!$A:$A,Class_Players!$F:$F,"")</f>
        <v>21976</v>
      </c>
      <c r="I25" s="44">
        <f t="shared" si="5"/>
        <v>0.1481161266836549</v>
      </c>
      <c r="J25" s="43">
        <f t="shared" si="1"/>
        <v>1</v>
      </c>
      <c r="K25" s="44" cm="1">
        <f t="array" ref="K25">IF(D25="Gadget",_xlfn.IFS(I25&gt;=0.2,0.5,I25&gt;=0.1,0.35,I25&gt;=0.05,0.2,TRUE,0),IF(D25="Grenade",_xlfn.IFS(I25&gt;=0.2,1,I25&gt;=0.1,0.7,I25&gt;=0.05,0.4,TRUE,0),0))</f>
        <v>0.35</v>
      </c>
      <c r="L25" s="57">
        <f t="shared" si="6"/>
        <v>0.5</v>
      </c>
    </row>
    <row r="26" spans="1:12" ht="15" customHeight="1" x14ac:dyDescent="0.25">
      <c r="A26" s="42" t="str" cm="1">
        <f t="array" ref="A26">IFERROR(INDEX(_xlfn._xlws.FILTER(Class_Players!A:A,Class_Players!B:B="Support"),QUOTIENT(ROW()-ROW($A$2),9)+1),"")</f>
        <v>TricksterX21</v>
      </c>
      <c r="B26" s="42" t="str">
        <f>_xlfn.XLOOKUP(A26,Class_Players!$A:$A,Class_Players!$B:$B,"")</f>
        <v>Support</v>
      </c>
      <c r="C26" s="38" t="str" cm="1">
        <f t="array" ref="C26">INDEX(Lookups!$D$2:$D$10,MOD(ROW()-ROW($B$2),ROWS(Lookups!$D$2:$D$10))+1)</f>
        <v>Supply Pouch</v>
      </c>
      <c r="D26" s="38" t="str">
        <f>_xlfn.XLOOKUP(C26,Analysis_Gadgets!$C:$C,Analysis_Gadgets!$B:$B)</f>
        <v>Gadget</v>
      </c>
      <c r="E26" s="43">
        <v>168</v>
      </c>
      <c r="F26" s="43">
        <f>_xlfn.XLOOKUP(A26,Class_Players!A:A,Class_Players!G:G)</f>
        <v>314</v>
      </c>
      <c r="G26" s="43">
        <f t="shared" si="0"/>
        <v>0.53503184713375795</v>
      </c>
      <c r="H26" s="43">
        <f>_xlfn.XLOOKUP(A26,Class_Players!$A:$A,Class_Players!$F:$F,"")</f>
        <v>21976</v>
      </c>
      <c r="I26" s="44">
        <f t="shared" si="5"/>
        <v>7.6447033127047684E-3</v>
      </c>
      <c r="J26" s="43">
        <f t="shared" si="1"/>
        <v>0</v>
      </c>
      <c r="K26" s="44" cm="1">
        <f t="array" ref="K26">IF(D26="Gadget",_xlfn.IFS(I26&gt;=0.2,0.5,I26&gt;=0.1,0.35,I26&gt;=0.05,0.2,TRUE,0),IF(D26="Grenade",_xlfn.IFS(I26&gt;=0.2,1,I26&gt;=0.1,0.7,I26&gt;=0.05,0.4,TRUE,0),0))</f>
        <v>0</v>
      </c>
      <c r="L26" s="57">
        <f t="shared" si="6"/>
        <v>0</v>
      </c>
    </row>
    <row r="27" spans="1:12" ht="15" customHeight="1" x14ac:dyDescent="0.25">
      <c r="A27" s="42" t="str" cm="1">
        <f t="array" ref="A27">IFERROR(INDEX(_xlfn._xlws.FILTER(Class_Players!A:A,Class_Players!B:B="Support"),QUOTIENT(ROW()-ROW($A$2),9)+1),"")</f>
        <v>TricksterX21</v>
      </c>
      <c r="B27" s="42" t="str">
        <f>_xlfn.XLOOKUP(A27,Class_Players!$A:$A,Class_Players!$B:$B,"")</f>
        <v>Support</v>
      </c>
      <c r="C27" s="38" t="str" cm="1">
        <f t="array" ref="C27">INDEX(Lookups!$D$2:$D$10,MOD(ROW()-ROW($B$2),ROWS(Lookups!$D$2:$D$10))+1)</f>
        <v>Smoke Grenade</v>
      </c>
      <c r="D27" s="38" t="str">
        <f>_xlfn.XLOOKUP(C27,Analysis_Gadgets!$C:$C,Analysis_Gadgets!$B:$B)</f>
        <v>Grenade</v>
      </c>
      <c r="E27" s="43">
        <v>2022</v>
      </c>
      <c r="F27" s="43">
        <f>_xlfn.XLOOKUP(A27,Class_Players!A:A,Class_Players!G:G)</f>
        <v>314</v>
      </c>
      <c r="G27" s="43">
        <f t="shared" si="0"/>
        <v>6.4394904458598727</v>
      </c>
      <c r="H27" s="43">
        <f>_xlfn.XLOOKUP(A27,Class_Players!$A:$A,Class_Players!$F:$F,"")</f>
        <v>21976</v>
      </c>
      <c r="I27" s="44">
        <f t="shared" si="5"/>
        <v>9.200946487076811E-2</v>
      </c>
      <c r="J27" s="43">
        <f t="shared" si="1"/>
        <v>0</v>
      </c>
      <c r="K27" s="44" cm="1">
        <f t="array" ref="K27">IF(D27="Gadget",_xlfn.IFS(I27&gt;=0.2,0.5,I27&gt;=0.1,0.35,I27&gt;=0.05,0.2,TRUE,0),IF(D27="Grenade",_xlfn.IFS(I27&gt;=0.2,1,I27&gt;=0.1,0.7,I27&gt;=0.05,0.4,TRUE,0),0))</f>
        <v>0.4</v>
      </c>
      <c r="L27" s="57">
        <f>IF($K27=0,0,$K27 / SUMIFS($K:$K,$A:$A,$A27,$D:$D,"Grenade"))</f>
        <v>0.36363636363636365</v>
      </c>
    </row>
    <row r="28" spans="1:12" ht="15" customHeight="1" x14ac:dyDescent="0.25">
      <c r="A28" s="42" t="str" cm="1">
        <f t="array" ref="A28">IFERROR(INDEX(_xlfn._xlws.FILTER(Class_Players!A:A,Class_Players!B:B="Support"),QUOTIENT(ROW()-ROW($A$2),9)+1),"")</f>
        <v>TricksterX21</v>
      </c>
      <c r="B28" s="42" t="str">
        <f>_xlfn.XLOOKUP(A28,Class_Players!$A:$A,Class_Players!$B:$B,"")</f>
        <v>Support</v>
      </c>
      <c r="C28" s="38" t="str" cm="1">
        <f t="array" ref="C28">INDEX(Lookups!$D$2:$D$10,MOD(ROW()-ROW($B$2),ROWS(Lookups!$D$2:$D$10))+1)</f>
        <v>Incendiary Grenade</v>
      </c>
      <c r="D28" s="38" t="str">
        <f>_xlfn.XLOOKUP(C28,Analysis_Gadgets!$C:$C,Analysis_Gadgets!$B:$B)</f>
        <v>Grenade</v>
      </c>
      <c r="E28" s="43">
        <v>3258</v>
      </c>
      <c r="F28" s="43">
        <f>_xlfn.XLOOKUP(A28,Class_Players!A:A,Class_Players!G:G)</f>
        <v>314</v>
      </c>
      <c r="G28" s="43">
        <f t="shared" si="0"/>
        <v>10.375796178343949</v>
      </c>
      <c r="H28" s="43">
        <f>_xlfn.XLOOKUP(A28,Class_Players!$A:$A,Class_Players!$F:$F,"")</f>
        <v>21976</v>
      </c>
      <c r="I28" s="44">
        <f t="shared" si="5"/>
        <v>0.14825263924281035</v>
      </c>
      <c r="J28" s="43">
        <f t="shared" si="1"/>
        <v>1</v>
      </c>
      <c r="K28" s="44" cm="1">
        <f t="array" ref="K28">IF(D28="Gadget",_xlfn.IFS(I28&gt;=0.2,0.5,I28&gt;=0.1,0.35,I28&gt;=0.05,0.2,TRUE,0),IF(D28="Grenade",_xlfn.IFS(I28&gt;=0.2,1,I28&gt;=0.1,0.7,I28&gt;=0.05,0.4,TRUE,0),0))</f>
        <v>0.7</v>
      </c>
      <c r="L28" s="57">
        <f>IF($K28=0,0,$K28 / SUMIFS($K:$K,$A:$A,$A28,$D:$D,"Grenade"))</f>
        <v>0.63636363636363624</v>
      </c>
    </row>
    <row r="29" spans="1:12" ht="15" customHeight="1" x14ac:dyDescent="0.25">
      <c r="A29" s="42" t="str" cm="1">
        <f t="array" ref="A29">IFERROR(INDEX(_xlfn._xlws.FILTER(Class_Players!A:A,Class_Players!B:B="Support"),QUOTIENT(ROW()-ROW($A$2),9)+1),"")</f>
        <v>BREOGAN89</v>
      </c>
      <c r="B29" s="42" t="str">
        <f>_xlfn.XLOOKUP(A29,Class_Players!$A:$A,Class_Players!$B:$B,"")</f>
        <v>Support</v>
      </c>
      <c r="C29" s="38" t="str" cm="1">
        <f t="array" ref="C29">INDEX(Lookups!$D$2:$D$10,MOD(ROW()-ROW($B$2),ROWS(Lookups!$D$2:$D$10))+1)</f>
        <v>GPDIS (Grenade intercept system)</v>
      </c>
      <c r="D29" s="38" t="str">
        <f>_xlfn.XLOOKUP(C29,Analysis_Gadgets!$C:$C,Analysis_Gadgets!$B:$B)</f>
        <v>Gadget</v>
      </c>
      <c r="E29" s="43">
        <v>2</v>
      </c>
      <c r="F29" s="43">
        <f>_xlfn.XLOOKUP(A29,Class_Players!A:A,Class_Players!G:G)</f>
        <v>524</v>
      </c>
      <c r="G29" s="43">
        <f t="shared" si="0"/>
        <v>3.8167938931297708E-3</v>
      </c>
      <c r="H29" s="43">
        <f>_xlfn.XLOOKUP(A29,Class_Players!$A:$A,Class_Players!$F:$F,"")</f>
        <v>20442</v>
      </c>
      <c r="I29" s="44">
        <f>IF(H29=0,"",E29/H29)</f>
        <v>9.7837784952548671E-5</v>
      </c>
      <c r="J29" s="43">
        <f t="shared" si="1"/>
        <v>0</v>
      </c>
      <c r="K29" s="44" cm="1">
        <f t="array" ref="K29">IF(D29="Gadget",_xlfn.IFS(I29&gt;=0.2,0.5,I29&gt;=0.1,0.35,I29&gt;=0.05,0.2,TRUE,0),IF(D29="Grenade",_xlfn.IFS(I29&gt;=0.2,1,I29&gt;=0.1,0.7,I29&gt;=0.05,0.4,TRUE,0),0))</f>
        <v>0</v>
      </c>
      <c r="L29" s="57">
        <f>IF($K29=0,0,$K29 / SUMIFS($K:$K,$A:$A,$A29,$D:$D,"Gadget"))</f>
        <v>0</v>
      </c>
    </row>
    <row r="30" spans="1:12" ht="15" customHeight="1" x14ac:dyDescent="0.25">
      <c r="A30" s="42" t="str" cm="1">
        <f t="array" ref="A30">IFERROR(INDEX(_xlfn._xlws.FILTER(Class_Players!A:A,Class_Players!B:B="Support"),QUOTIENT(ROW()-ROW($A$2),9)+1),"")</f>
        <v>BREOGAN89</v>
      </c>
      <c r="B30" s="42" t="str">
        <f>_xlfn.XLOOKUP(A30,Class_Players!$A:$A,Class_Players!$B:$B,"")</f>
        <v>Support</v>
      </c>
      <c r="C30" s="38" t="str" cm="1">
        <f t="array" ref="C30">INDEX(Lookups!$D$2:$D$10,MOD(ROW()-ROW($B$2),ROWS(Lookups!$D$2:$D$10))+1)</f>
        <v>MP-APS (Missile intercept system)</v>
      </c>
      <c r="D30" s="38" t="str">
        <f>_xlfn.XLOOKUP(C30,Analysis_Gadgets!$C:$C,Analysis_Gadgets!$B:$B)</f>
        <v>Gadget</v>
      </c>
      <c r="E30" s="43">
        <v>0</v>
      </c>
      <c r="F30" s="43">
        <f>_xlfn.XLOOKUP(A30,Class_Players!A:A,Class_Players!G:G)</f>
        <v>524</v>
      </c>
      <c r="G30" s="43">
        <f t="shared" si="0"/>
        <v>0</v>
      </c>
      <c r="H30" s="43">
        <f>_xlfn.XLOOKUP(A30,Class_Players!$A:$A,Class_Players!$F:$F,"")</f>
        <v>20442</v>
      </c>
      <c r="I30" s="44">
        <f t="shared" si="5"/>
        <v>0</v>
      </c>
      <c r="J30" s="43">
        <f t="shared" si="1"/>
        <v>0</v>
      </c>
      <c r="K30" s="44" cm="1">
        <f t="array" ref="K30">IF(D30="Gadget",_xlfn.IFS(I30&gt;=0.2,0.5,I30&gt;=0.1,0.35,I30&gt;=0.05,0.2,TRUE,0),IF(D30="Grenade",_xlfn.IFS(I30&gt;=0.2,1,I30&gt;=0.1,0.7,I30&gt;=0.05,0.4,TRUE,0),0))</f>
        <v>0</v>
      </c>
      <c r="L30" s="57">
        <f t="shared" ref="L30:L35" si="7">IF($K30=0,0,$K30 / SUMIFS($K:$K,$A:$A,$A30,$D:$D,"Gadget"))</f>
        <v>0</v>
      </c>
    </row>
    <row r="31" spans="1:12" ht="15" customHeight="1" x14ac:dyDescent="0.25">
      <c r="A31" s="42" t="str" cm="1">
        <f t="array" ref="A31">IFERROR(INDEX(_xlfn._xlws.FILTER(Class_Players!A:A,Class_Players!B:B="Support"),QUOTIENT(ROW()-ROW($A$2),9)+1),"")</f>
        <v>BREOGAN89</v>
      </c>
      <c r="B31" s="42" t="str">
        <f>_xlfn.XLOOKUP(A31,Class_Players!$A:$A,Class_Players!$B:$B,"")</f>
        <v>Support</v>
      </c>
      <c r="C31" s="38" t="str" cm="1">
        <f t="array" ref="C31">INDEX(Lookups!$D$2:$D$10,MOD(ROW()-ROW($B$2),ROWS(Lookups!$D$2:$D$10))+1)</f>
        <v>LWCMS (Mortar)</v>
      </c>
      <c r="D31" s="38" t="str">
        <f>_xlfn.XLOOKUP(C31,Analysis_Gadgets!$C:$C,Analysis_Gadgets!$B:$B)</f>
        <v>Gadget</v>
      </c>
      <c r="E31" s="43">
        <v>2</v>
      </c>
      <c r="F31" s="43">
        <f>_xlfn.XLOOKUP(A31,Class_Players!A:A,Class_Players!G:G)</f>
        <v>524</v>
      </c>
      <c r="G31" s="43">
        <f t="shared" si="0"/>
        <v>3.8167938931297708E-3</v>
      </c>
      <c r="H31" s="43">
        <f>_xlfn.XLOOKUP(A31,Class_Players!$A:$A,Class_Players!$F:$F,"")</f>
        <v>20442</v>
      </c>
      <c r="I31" s="44">
        <f t="shared" si="5"/>
        <v>9.7837784952548671E-5</v>
      </c>
      <c r="J31" s="43">
        <f t="shared" si="1"/>
        <v>0</v>
      </c>
      <c r="K31" s="44" cm="1">
        <f t="array" ref="K31">IF(D31="Gadget",_xlfn.IFS(I31&gt;=0.2,0.5,I31&gt;=0.1,0.35,I31&gt;=0.05,0.2,TRUE,0),IF(D31="Grenade",_xlfn.IFS(I31&gt;=0.2,1,I31&gt;=0.1,0.7,I31&gt;=0.05,0.4,TRUE,0),0))</f>
        <v>0</v>
      </c>
      <c r="L31" s="57">
        <f t="shared" si="7"/>
        <v>0</v>
      </c>
    </row>
    <row r="32" spans="1:12" ht="15" customHeight="1" x14ac:dyDescent="0.25">
      <c r="A32" s="42" t="str" cm="1">
        <f t="array" ref="A32">IFERROR(INDEX(_xlfn._xlws.FILTER(Class_Players!A:A,Class_Players!B:B="Support"),QUOTIENT(ROW()-ROW($A$2),9)+1),"")</f>
        <v>BREOGAN89</v>
      </c>
      <c r="B32" s="42" t="str">
        <f>_xlfn.XLOOKUP(A32,Class_Players!$A:$A,Class_Players!$B:$B,"")</f>
        <v>Support</v>
      </c>
      <c r="C32" s="38" t="str" cm="1">
        <f t="array" ref="C32">INDEX(Lookups!$D$2:$D$10,MOD(ROW()-ROW($B$2),ROWS(Lookups!$D$2:$D$10))+1)</f>
        <v>M320A1 SMK (Smoke Grenade Launcher)</v>
      </c>
      <c r="D32" s="38" t="str">
        <f>_xlfn.XLOOKUP(C32,Analysis_Gadgets!$C:$C,Analysis_Gadgets!$B:$B)</f>
        <v>Gadget</v>
      </c>
      <c r="E32" s="43">
        <v>44</v>
      </c>
      <c r="F32" s="43">
        <f>_xlfn.XLOOKUP(A32,Class_Players!A:A,Class_Players!G:G)</f>
        <v>524</v>
      </c>
      <c r="G32" s="43">
        <f t="shared" si="0"/>
        <v>8.3969465648854963E-2</v>
      </c>
      <c r="H32" s="43">
        <f>_xlfn.XLOOKUP(A32,Class_Players!$A:$A,Class_Players!$F:$F,"")</f>
        <v>20442</v>
      </c>
      <c r="I32" s="44">
        <f t="shared" si="5"/>
        <v>2.1524312689560707E-3</v>
      </c>
      <c r="J32" s="43">
        <f t="shared" si="1"/>
        <v>0</v>
      </c>
      <c r="K32" s="44" cm="1">
        <f t="array" ref="K32">IF(D32="Gadget",_xlfn.IFS(I32&gt;=0.2,0.5,I32&gt;=0.1,0.35,I32&gt;=0.05,0.2,TRUE,0),IF(D32="Grenade",_xlfn.IFS(I32&gt;=0.2,1,I32&gt;=0.1,0.7,I32&gt;=0.05,0.4,TRUE,0),0))</f>
        <v>0</v>
      </c>
      <c r="L32" s="57">
        <f t="shared" si="7"/>
        <v>0</v>
      </c>
    </row>
    <row r="33" spans="1:12" ht="15" customHeight="1" x14ac:dyDescent="0.25">
      <c r="A33" s="42" t="str" cm="1">
        <f t="array" ref="A33">IFERROR(INDEX(_xlfn._xlws.FILTER(Class_Players!A:A,Class_Players!B:B="Support"),QUOTIENT(ROW()-ROW($A$2),9)+1),"")</f>
        <v>BREOGAN89</v>
      </c>
      <c r="B33" s="42" t="str">
        <f>_xlfn.XLOOKUP(A33,Class_Players!$A:$A,Class_Players!$B:$B,"")</f>
        <v>Support</v>
      </c>
      <c r="C33" s="38" t="str" cm="1">
        <f t="array" ref="C33">INDEX(Lookups!$D$2:$D$10,MOD(ROW()-ROW($B$2),ROWS(Lookups!$D$2:$D$10))+1)</f>
        <v>SICH G1 WP (Incendiary Airburst Launcher)</v>
      </c>
      <c r="D33" s="38" t="str">
        <f>_xlfn.XLOOKUP(C33,Analysis_Gadgets!$C:$C,Analysis_Gadgets!$B:$B)</f>
        <v>Gadget</v>
      </c>
      <c r="E33" s="43">
        <v>0</v>
      </c>
      <c r="F33" s="43">
        <f>_xlfn.XLOOKUP(A33,Class_Players!A:A,Class_Players!G:G)</f>
        <v>524</v>
      </c>
      <c r="G33" s="43">
        <f t="shared" si="0"/>
        <v>0</v>
      </c>
      <c r="H33" s="43">
        <f>_xlfn.XLOOKUP(A33,Class_Players!$A:$A,Class_Players!$F:$F,"")</f>
        <v>20442</v>
      </c>
      <c r="I33" s="44">
        <f t="shared" si="5"/>
        <v>0</v>
      </c>
      <c r="J33" s="43">
        <f t="shared" si="1"/>
        <v>0</v>
      </c>
      <c r="K33" s="44" cm="1">
        <f t="array" ref="K33">IF(D33="Gadget",_xlfn.IFS(I33&gt;=0.2,0.5,I33&gt;=0.1,0.35,I33&gt;=0.05,0.2,TRUE,0),IF(D33="Grenade",_xlfn.IFS(I33&gt;=0.2,1,I33&gt;=0.1,0.7,I33&gt;=0.05,0.4,TRUE,0),0))</f>
        <v>0</v>
      </c>
      <c r="L33" s="57">
        <f t="shared" si="7"/>
        <v>0</v>
      </c>
    </row>
    <row r="34" spans="1:12" ht="15" customHeight="1" x14ac:dyDescent="0.25">
      <c r="A34" s="42" t="str" cm="1">
        <f t="array" ref="A34">IFERROR(INDEX(_xlfn._xlws.FILTER(Class_Players!A:A,Class_Players!B:B="Support"),QUOTIENT(ROW()-ROW($A$2),9)+1),"")</f>
        <v>BREOGAN89</v>
      </c>
      <c r="B34" s="42" t="str">
        <f>_xlfn.XLOOKUP(A34,Class_Players!$A:$A,Class_Players!$B:$B,"")</f>
        <v>Support</v>
      </c>
      <c r="C34" s="38" t="str" cm="1">
        <f t="array" ref="C34">INDEX(Lookups!$D$2:$D$10,MOD(ROW()-ROW($B$2),ROWS(Lookups!$D$2:$D$10))+1)</f>
        <v>Deployable Cover</v>
      </c>
      <c r="D34" s="38" t="str">
        <f>_xlfn.XLOOKUP(C34,Analysis_Gadgets!$C:$C,Analysis_Gadgets!$B:$B)</f>
        <v>Gadget</v>
      </c>
      <c r="E34" s="43">
        <v>976</v>
      </c>
      <c r="F34" s="43">
        <f>_xlfn.XLOOKUP(A34,Class_Players!A:A,Class_Players!G:G)</f>
        <v>524</v>
      </c>
      <c r="G34" s="43">
        <f t="shared" si="0"/>
        <v>1.8625954198473282</v>
      </c>
      <c r="H34" s="43">
        <f>_xlfn.XLOOKUP(A34,Class_Players!$A:$A,Class_Players!$F:$F,"")</f>
        <v>20442</v>
      </c>
      <c r="I34" s="44">
        <f t="shared" si="5"/>
        <v>4.7744839056843756E-2</v>
      </c>
      <c r="J34" s="43">
        <f t="shared" si="1"/>
        <v>0</v>
      </c>
      <c r="K34" s="44" cm="1">
        <f t="array" ref="K34">IF(D34="Gadget",_xlfn.IFS(I34&gt;=0.2,0.5,I34&gt;=0.1,0.35,I34&gt;=0.05,0.2,TRUE,0),IF(D34="Grenade",_xlfn.IFS(I34&gt;=0.2,1,I34&gt;=0.1,0.7,I34&gt;=0.05,0.4,TRUE,0),0))</f>
        <v>0</v>
      </c>
      <c r="L34" s="57">
        <f t="shared" si="7"/>
        <v>0</v>
      </c>
    </row>
    <row r="35" spans="1:12" ht="15" customHeight="1" x14ac:dyDescent="0.25">
      <c r="A35" s="42" t="str" cm="1">
        <f t="array" ref="A35">IFERROR(INDEX(_xlfn._xlws.FILTER(Class_Players!A:A,Class_Players!B:B="Support"),QUOTIENT(ROW()-ROW($A$2),9)+1),"")</f>
        <v>BREOGAN89</v>
      </c>
      <c r="B35" s="42" t="str">
        <f>_xlfn.XLOOKUP(A35,Class_Players!$A:$A,Class_Players!$B:$B,"")</f>
        <v>Support</v>
      </c>
      <c r="C35" s="38" t="str" cm="1">
        <f t="array" ref="C35">INDEX(Lookups!$D$2:$D$10,MOD(ROW()-ROW($B$2),ROWS(Lookups!$D$2:$D$10))+1)</f>
        <v>Supply Pouch</v>
      </c>
      <c r="D35" s="38" t="str">
        <f>_xlfn.XLOOKUP(C35,Analysis_Gadgets!$C:$C,Analysis_Gadgets!$B:$B)</f>
        <v>Gadget</v>
      </c>
      <c r="E35" s="43">
        <v>3</v>
      </c>
      <c r="F35" s="43">
        <f>_xlfn.XLOOKUP(A35,Class_Players!A:A,Class_Players!G:G)</f>
        <v>524</v>
      </c>
      <c r="G35" s="43">
        <f t="shared" si="0"/>
        <v>5.7251908396946565E-3</v>
      </c>
      <c r="H35" s="43">
        <f>_xlfn.XLOOKUP(A35,Class_Players!$A:$A,Class_Players!$F:$F,"")</f>
        <v>20442</v>
      </c>
      <c r="I35" s="44">
        <f t="shared" si="5"/>
        <v>1.46756677428823E-4</v>
      </c>
      <c r="J35" s="43">
        <f t="shared" si="1"/>
        <v>0</v>
      </c>
      <c r="K35" s="44" cm="1">
        <f t="array" ref="K35">IF(D35="Gadget",_xlfn.IFS(I35&gt;=0.2,0.5,I35&gt;=0.1,0.35,I35&gt;=0.05,0.2,TRUE,0),IF(D35="Grenade",_xlfn.IFS(I35&gt;=0.2,1,I35&gt;=0.1,0.7,I35&gt;=0.05,0.4,TRUE,0),0))</f>
        <v>0</v>
      </c>
      <c r="L35" s="57">
        <f t="shared" si="7"/>
        <v>0</v>
      </c>
    </row>
    <row r="36" spans="1:12" ht="15" customHeight="1" x14ac:dyDescent="0.25">
      <c r="A36" s="42" t="str" cm="1">
        <f t="array" ref="A36">IFERROR(INDEX(_xlfn._xlws.FILTER(Class_Players!A:A,Class_Players!B:B="Support"),QUOTIENT(ROW()-ROW($A$2),9)+1),"")</f>
        <v>BREOGAN89</v>
      </c>
      <c r="B36" s="42" t="str">
        <f>_xlfn.XLOOKUP(A36,Class_Players!$A:$A,Class_Players!$B:$B,"")</f>
        <v>Support</v>
      </c>
      <c r="C36" s="38" t="str" cm="1">
        <f t="array" ref="C36">INDEX(Lookups!$D$2:$D$10,MOD(ROW()-ROW($B$2),ROWS(Lookups!$D$2:$D$10))+1)</f>
        <v>Smoke Grenade</v>
      </c>
      <c r="D36" s="38" t="str">
        <f>_xlfn.XLOOKUP(C36,Analysis_Gadgets!$C:$C,Analysis_Gadgets!$B:$B)</f>
        <v>Grenade</v>
      </c>
      <c r="E36" s="43">
        <v>841</v>
      </c>
      <c r="F36" s="43">
        <f>_xlfn.XLOOKUP(A36,Class_Players!A:A,Class_Players!G:G)</f>
        <v>524</v>
      </c>
      <c r="G36" s="43">
        <f t="shared" si="0"/>
        <v>1.6049618320610688</v>
      </c>
      <c r="H36" s="43">
        <f>_xlfn.XLOOKUP(A36,Class_Players!$A:$A,Class_Players!$F:$F,"")</f>
        <v>20442</v>
      </c>
      <c r="I36" s="44">
        <f t="shared" si="5"/>
        <v>4.1140788572546716E-2</v>
      </c>
      <c r="J36" s="43">
        <f t="shared" si="1"/>
        <v>0</v>
      </c>
      <c r="K36" s="44" cm="1">
        <f t="array" ref="K36">IF(D36="Gadget",_xlfn.IFS(I36&gt;=0.2,0.5,I36&gt;=0.1,0.35,I36&gt;=0.05,0.2,TRUE,0),IF(D36="Grenade",_xlfn.IFS(I36&gt;=0.2,1,I36&gt;=0.1,0.7,I36&gt;=0.05,0.4,TRUE,0),0))</f>
        <v>0</v>
      </c>
      <c r="L36" s="57">
        <f>IF($K36=0,0,$K36 / SUMIFS($K:$K,$A:$A,$A36,$D:$D,"Grenade"))</f>
        <v>0</v>
      </c>
    </row>
    <row r="37" spans="1:12" ht="15" customHeight="1" x14ac:dyDescent="0.25">
      <c r="A37" s="42" t="str" cm="1">
        <f t="array" ref="A37">IFERROR(INDEX(_xlfn._xlws.FILTER(Class_Players!A:A,Class_Players!B:B="Support"),QUOTIENT(ROW()-ROW($A$2),9)+1),"")</f>
        <v>BREOGAN89</v>
      </c>
      <c r="B37" s="42" t="str">
        <f>_xlfn.XLOOKUP(A37,Class_Players!$A:$A,Class_Players!$B:$B,"")</f>
        <v>Support</v>
      </c>
      <c r="C37" s="38" t="str" cm="1">
        <f t="array" ref="C37">INDEX(Lookups!$D$2:$D$10,MOD(ROW()-ROW($B$2),ROWS(Lookups!$D$2:$D$10))+1)</f>
        <v>Incendiary Grenade</v>
      </c>
      <c r="D37" s="38" t="str">
        <f>_xlfn.XLOOKUP(C37,Analysis_Gadgets!$C:$C,Analysis_Gadgets!$B:$B)</f>
        <v>Grenade</v>
      </c>
      <c r="E37" s="43">
        <v>7319</v>
      </c>
      <c r="F37" s="43">
        <f>_xlfn.XLOOKUP(A37,Class_Players!A:A,Class_Players!G:G)</f>
        <v>524</v>
      </c>
      <c r="G37" s="43">
        <f t="shared" si="0"/>
        <v>13.967557251908397</v>
      </c>
      <c r="H37" s="43">
        <f>_xlfn.XLOOKUP(A37,Class_Players!$A:$A,Class_Players!$F:$F,"")</f>
        <v>20442</v>
      </c>
      <c r="I37" s="44">
        <f t="shared" si="5"/>
        <v>0.35803737403385189</v>
      </c>
      <c r="J37" s="43">
        <f t="shared" si="1"/>
        <v>1</v>
      </c>
      <c r="K37" s="44" cm="1">
        <f t="array" ref="K37">IF(D37="Gadget",_xlfn.IFS(I37&gt;=0.2,0.5,I37&gt;=0.1,0.35,I37&gt;=0.05,0.2,TRUE,0),IF(D37="Grenade",_xlfn.IFS(I37&gt;=0.2,1,I37&gt;=0.1,0.7,I37&gt;=0.05,0.4,TRUE,0),0))</f>
        <v>1</v>
      </c>
      <c r="L37" s="57">
        <f>IF($K37=0,0,$K37 / SUMIFS($K:$K,$A:$A,$A37,$D:$D,"Grenade"))</f>
        <v>1</v>
      </c>
    </row>
    <row r="38" spans="1:12" ht="15" customHeight="1" x14ac:dyDescent="0.25">
      <c r="A38" s="42" t="str" cm="1">
        <f t="array" ref="A38">IFERROR(INDEX(_xlfn._xlws.FILTER(Class_Players!A:A,Class_Players!B:B="Support"),QUOTIENT(ROW()-ROW($A$2),9)+1),"")</f>
        <v>CTGxCBLostSoulx</v>
      </c>
      <c r="B38" s="42" t="str">
        <f>_xlfn.XLOOKUP(A38,Class_Players!$A:$A,Class_Players!$B:$B,"")</f>
        <v>Support</v>
      </c>
      <c r="C38" s="38" t="str" cm="1">
        <f t="array" ref="C38">INDEX(Lookups!$D$2:$D$10,MOD(ROW()-ROW($B$2),ROWS(Lookups!$D$2:$D$10))+1)</f>
        <v>GPDIS (Grenade intercept system)</v>
      </c>
      <c r="D38" s="38" t="str">
        <f>_xlfn.XLOOKUP(C38,Analysis_Gadgets!$C:$C,Analysis_Gadgets!$B:$B)</f>
        <v>Gadget</v>
      </c>
      <c r="E38" s="43">
        <v>149</v>
      </c>
      <c r="F38" s="43">
        <f>_xlfn.XLOOKUP(A38,Class_Players!A:A,Class_Players!G:G)</f>
        <v>421</v>
      </c>
      <c r="G38" s="43">
        <f t="shared" si="0"/>
        <v>0.35391923990498814</v>
      </c>
      <c r="H38" s="43">
        <f>_xlfn.XLOOKUP(A38,Class_Players!$A:$A,Class_Players!$F:$F,"")</f>
        <v>19357</v>
      </c>
      <c r="I38" s="44">
        <f t="shared" si="5"/>
        <v>7.6974737820943327E-3</v>
      </c>
      <c r="J38" s="43">
        <f t="shared" si="1"/>
        <v>0</v>
      </c>
      <c r="K38" s="44" cm="1">
        <f t="array" ref="K38">IF(D38="Gadget",_xlfn.IFS(I38&gt;=0.2,0.5,I38&gt;=0.1,0.35,I38&gt;=0.05,0.2,TRUE,0),IF(D38="Grenade",_xlfn.IFS(I38&gt;=0.2,1,I38&gt;=0.1,0.7,I38&gt;=0.05,0.4,TRUE,0),0))</f>
        <v>0</v>
      </c>
      <c r="L38" s="57">
        <f>IF($K38=0,0,$K38 / SUMIFS($K:$K,$A:$A,$A38,$D:$D,"Gadget"))</f>
        <v>0</v>
      </c>
    </row>
    <row r="39" spans="1:12" ht="15" customHeight="1" x14ac:dyDescent="0.25">
      <c r="A39" s="42" t="str" cm="1">
        <f t="array" ref="A39">IFERROR(INDEX(_xlfn._xlws.FILTER(Class_Players!A:A,Class_Players!B:B="Support"),QUOTIENT(ROW()-ROW($A$2),9)+1),"")</f>
        <v>CTGxCBLostSoulx</v>
      </c>
      <c r="B39" s="42" t="str">
        <f>_xlfn.XLOOKUP(A39,Class_Players!$A:$A,Class_Players!$B:$B,"")</f>
        <v>Support</v>
      </c>
      <c r="C39" s="38" t="str" cm="1">
        <f t="array" ref="C39">INDEX(Lookups!$D$2:$D$10,MOD(ROW()-ROW($B$2),ROWS(Lookups!$D$2:$D$10))+1)</f>
        <v>MP-APS (Missile intercept system)</v>
      </c>
      <c r="D39" s="38" t="str">
        <f>_xlfn.XLOOKUP(C39,Analysis_Gadgets!$C:$C,Analysis_Gadgets!$B:$B)</f>
        <v>Gadget</v>
      </c>
      <c r="E39" s="43">
        <v>0</v>
      </c>
      <c r="F39" s="43">
        <f>_xlfn.XLOOKUP(A39,Class_Players!A:A,Class_Players!G:G)</f>
        <v>421</v>
      </c>
      <c r="G39" s="43">
        <f t="shared" si="0"/>
        <v>0</v>
      </c>
      <c r="H39" s="43">
        <f>_xlfn.XLOOKUP(A39,Class_Players!$A:$A,Class_Players!$F:$F,"")</f>
        <v>19357</v>
      </c>
      <c r="I39" s="44">
        <f t="shared" si="5"/>
        <v>0</v>
      </c>
      <c r="J39" s="43">
        <f t="shared" si="1"/>
        <v>0</v>
      </c>
      <c r="K39" s="44" cm="1">
        <f t="array" ref="K39">IF(D39="Gadget",_xlfn.IFS(I39&gt;=0.2,0.5,I39&gt;=0.1,0.35,I39&gt;=0.05,0.2,TRUE,0),IF(D39="Grenade",_xlfn.IFS(I39&gt;=0.2,1,I39&gt;=0.1,0.7,I39&gt;=0.05,0.4,TRUE,0),0))</f>
        <v>0</v>
      </c>
      <c r="L39" s="57">
        <f t="shared" ref="L39:L44" si="8">IF($K39=0,0,$K39 / SUMIFS($K:$K,$A:$A,$A39,$D:$D,"Gadget"))</f>
        <v>0</v>
      </c>
    </row>
    <row r="40" spans="1:12" ht="15" customHeight="1" x14ac:dyDescent="0.25">
      <c r="A40" s="42" t="str" cm="1">
        <f t="array" ref="A40">IFERROR(INDEX(_xlfn._xlws.FILTER(Class_Players!A:A,Class_Players!B:B="Support"),QUOTIENT(ROW()-ROW($A$2),9)+1),"")</f>
        <v>CTGxCBLostSoulx</v>
      </c>
      <c r="B40" s="42" t="str">
        <f>_xlfn.XLOOKUP(A40,Class_Players!$A:$A,Class_Players!$B:$B,"")</f>
        <v>Support</v>
      </c>
      <c r="C40" s="38" t="str" cm="1">
        <f t="array" ref="C40">INDEX(Lookups!$D$2:$D$10,MOD(ROW()-ROW($B$2),ROWS(Lookups!$D$2:$D$10))+1)</f>
        <v>LWCMS (Mortar)</v>
      </c>
      <c r="D40" s="38" t="str">
        <f>_xlfn.XLOOKUP(C40,Analysis_Gadgets!$C:$C,Analysis_Gadgets!$B:$B)</f>
        <v>Gadget</v>
      </c>
      <c r="E40" s="43">
        <v>16</v>
      </c>
      <c r="F40" s="43">
        <f>_xlfn.XLOOKUP(A40,Class_Players!A:A,Class_Players!G:G)</f>
        <v>421</v>
      </c>
      <c r="G40" s="43">
        <f t="shared" si="0"/>
        <v>3.800475059382423E-2</v>
      </c>
      <c r="H40" s="43">
        <f>_xlfn.XLOOKUP(A40,Class_Players!$A:$A,Class_Players!$F:$F,"")</f>
        <v>19357</v>
      </c>
      <c r="I40" s="44">
        <f t="shared" si="5"/>
        <v>8.2657436586247872E-4</v>
      </c>
      <c r="J40" s="43">
        <f t="shared" si="1"/>
        <v>0</v>
      </c>
      <c r="K40" s="44" cm="1">
        <f t="array" ref="K40">IF(D40="Gadget",_xlfn.IFS(I40&gt;=0.2,0.5,I40&gt;=0.1,0.35,I40&gt;=0.05,0.2,TRUE,0),IF(D40="Grenade",_xlfn.IFS(I40&gt;=0.2,1,I40&gt;=0.1,0.7,I40&gt;=0.05,0.4,TRUE,0),0))</f>
        <v>0</v>
      </c>
      <c r="L40" s="57">
        <f t="shared" si="8"/>
        <v>0</v>
      </c>
    </row>
    <row r="41" spans="1:12" ht="15" customHeight="1" x14ac:dyDescent="0.25">
      <c r="A41" s="42" t="str" cm="1">
        <f t="array" ref="A41">IFERROR(INDEX(_xlfn._xlws.FILTER(Class_Players!A:A,Class_Players!B:B="Support"),QUOTIENT(ROW()-ROW($A$2),9)+1),"")</f>
        <v>CTGxCBLostSoulx</v>
      </c>
      <c r="B41" s="42" t="str">
        <f>_xlfn.XLOOKUP(A41,Class_Players!$A:$A,Class_Players!$B:$B,"")</f>
        <v>Support</v>
      </c>
      <c r="C41" s="38" t="str" cm="1">
        <f t="array" ref="C41">INDEX(Lookups!$D$2:$D$10,MOD(ROW()-ROW($B$2),ROWS(Lookups!$D$2:$D$10))+1)</f>
        <v>M320A1 SMK (Smoke Grenade Launcher)</v>
      </c>
      <c r="D41" s="38" t="str">
        <f>_xlfn.XLOOKUP(C41,Analysis_Gadgets!$C:$C,Analysis_Gadgets!$B:$B)</f>
        <v>Gadget</v>
      </c>
      <c r="E41" s="43">
        <v>418</v>
      </c>
      <c r="F41" s="43">
        <f>_xlfn.XLOOKUP(A41,Class_Players!A:A,Class_Players!G:G)</f>
        <v>421</v>
      </c>
      <c r="G41" s="43">
        <f t="shared" si="0"/>
        <v>0.99287410926365793</v>
      </c>
      <c r="H41" s="43">
        <f>_xlfn.XLOOKUP(A41,Class_Players!$A:$A,Class_Players!$F:$F,"")</f>
        <v>19357</v>
      </c>
      <c r="I41" s="44">
        <f t="shared" si="5"/>
        <v>2.1594255308157256E-2</v>
      </c>
      <c r="J41" s="43">
        <f t="shared" si="1"/>
        <v>0</v>
      </c>
      <c r="K41" s="44" cm="1">
        <f t="array" ref="K41">IF(D41="Gadget",_xlfn.IFS(I41&gt;=0.2,0.5,I41&gt;=0.1,0.35,I41&gt;=0.05,0.2,TRUE,0),IF(D41="Grenade",_xlfn.IFS(I41&gt;=0.2,1,I41&gt;=0.1,0.7,I41&gt;=0.05,0.4,TRUE,0),0))</f>
        <v>0</v>
      </c>
      <c r="L41" s="57">
        <f t="shared" si="8"/>
        <v>0</v>
      </c>
    </row>
    <row r="42" spans="1:12" ht="15" customHeight="1" x14ac:dyDescent="0.25">
      <c r="A42" s="42" t="str" cm="1">
        <f t="array" ref="A42">IFERROR(INDEX(_xlfn._xlws.FILTER(Class_Players!A:A,Class_Players!B:B="Support"),QUOTIENT(ROW()-ROW($A$2),9)+1),"")</f>
        <v>CTGxCBLostSoulx</v>
      </c>
      <c r="B42" s="42" t="str">
        <f>_xlfn.XLOOKUP(A42,Class_Players!$A:$A,Class_Players!$B:$B,"")</f>
        <v>Support</v>
      </c>
      <c r="C42" s="38" t="str" cm="1">
        <f t="array" ref="C42">INDEX(Lookups!$D$2:$D$10,MOD(ROW()-ROW($B$2),ROWS(Lookups!$D$2:$D$10))+1)</f>
        <v>SICH G1 WP (Incendiary Airburst Launcher)</v>
      </c>
      <c r="D42" s="38" t="str">
        <f>_xlfn.XLOOKUP(C42,Analysis_Gadgets!$C:$C,Analysis_Gadgets!$B:$B)</f>
        <v>Gadget</v>
      </c>
      <c r="E42" s="43">
        <v>384</v>
      </c>
      <c r="F42" s="43">
        <f>_xlfn.XLOOKUP(A42,Class_Players!A:A,Class_Players!G:G)</f>
        <v>421</v>
      </c>
      <c r="G42" s="43">
        <f t="shared" si="0"/>
        <v>0.91211401425178151</v>
      </c>
      <c r="H42" s="43">
        <f>_xlfn.XLOOKUP(A42,Class_Players!$A:$A,Class_Players!$F:$F,"")</f>
        <v>19357</v>
      </c>
      <c r="I42" s="44">
        <f t="shared" si="5"/>
        <v>1.9837784780699488E-2</v>
      </c>
      <c r="J42" s="43">
        <f t="shared" si="1"/>
        <v>0</v>
      </c>
      <c r="K42" s="44" cm="1">
        <f t="array" ref="K42">IF(D42="Gadget",_xlfn.IFS(I42&gt;=0.2,0.5,I42&gt;=0.1,0.35,I42&gt;=0.05,0.2,TRUE,0),IF(D42="Grenade",_xlfn.IFS(I42&gt;=0.2,1,I42&gt;=0.1,0.7,I42&gt;=0.05,0.4,TRUE,0),0))</f>
        <v>0</v>
      </c>
      <c r="L42" s="57">
        <f t="shared" si="8"/>
        <v>0</v>
      </c>
    </row>
    <row r="43" spans="1:12" ht="15" customHeight="1" x14ac:dyDescent="0.25">
      <c r="A43" s="42" t="str" cm="1">
        <f t="array" ref="A43">IFERROR(INDEX(_xlfn._xlws.FILTER(Class_Players!A:A,Class_Players!B:B="Support"),QUOTIENT(ROW()-ROW($A$2),9)+1),"")</f>
        <v>CTGxCBLostSoulx</v>
      </c>
      <c r="B43" s="42" t="str">
        <f>_xlfn.XLOOKUP(A43,Class_Players!$A:$A,Class_Players!$B:$B,"")</f>
        <v>Support</v>
      </c>
      <c r="C43" s="38" t="str" cm="1">
        <f t="array" ref="C43">INDEX(Lookups!$D$2:$D$10,MOD(ROW()-ROW($B$2),ROWS(Lookups!$D$2:$D$10))+1)</f>
        <v>Deployable Cover</v>
      </c>
      <c r="D43" s="38" t="str">
        <f>_xlfn.XLOOKUP(C43,Analysis_Gadgets!$C:$C,Analysis_Gadgets!$B:$B)</f>
        <v>Gadget</v>
      </c>
      <c r="E43" s="43">
        <v>280</v>
      </c>
      <c r="F43" s="43">
        <f>_xlfn.XLOOKUP(A43,Class_Players!A:A,Class_Players!G:G)</f>
        <v>421</v>
      </c>
      <c r="G43" s="43">
        <f t="shared" si="0"/>
        <v>0.66508313539192399</v>
      </c>
      <c r="H43" s="43">
        <f>_xlfn.XLOOKUP(A43,Class_Players!$A:$A,Class_Players!$F:$F,"")</f>
        <v>19357</v>
      </c>
      <c r="I43" s="44">
        <f t="shared" si="5"/>
        <v>1.4465051402593377E-2</v>
      </c>
      <c r="J43" s="43">
        <f t="shared" si="1"/>
        <v>0</v>
      </c>
      <c r="K43" s="44" cm="1">
        <f t="array" ref="K43">IF(D43="Gadget",_xlfn.IFS(I43&gt;=0.2,0.5,I43&gt;=0.1,0.35,I43&gt;=0.05,0.2,TRUE,0),IF(D43="Grenade",_xlfn.IFS(I43&gt;=0.2,1,I43&gt;=0.1,0.7,I43&gt;=0.05,0.4,TRUE,0),0))</f>
        <v>0</v>
      </c>
      <c r="L43" s="57">
        <f t="shared" si="8"/>
        <v>0</v>
      </c>
    </row>
    <row r="44" spans="1:12" ht="15" customHeight="1" x14ac:dyDescent="0.25">
      <c r="A44" s="42" t="str" cm="1">
        <f t="array" ref="A44">IFERROR(INDEX(_xlfn._xlws.FILTER(Class_Players!A:A,Class_Players!B:B="Support"),QUOTIENT(ROW()-ROW($A$2),9)+1),"")</f>
        <v>CTGxCBLostSoulx</v>
      </c>
      <c r="B44" s="42" t="str">
        <f>_xlfn.XLOOKUP(A44,Class_Players!$A:$A,Class_Players!$B:$B,"")</f>
        <v>Support</v>
      </c>
      <c r="C44" s="38" t="str" cm="1">
        <f t="array" ref="C44">INDEX(Lookups!$D$2:$D$10,MOD(ROW()-ROW($B$2),ROWS(Lookups!$D$2:$D$10))+1)</f>
        <v>Supply Pouch</v>
      </c>
      <c r="D44" s="38" t="str">
        <f>_xlfn.XLOOKUP(C44,Analysis_Gadgets!$C:$C,Analysis_Gadgets!$B:$B)</f>
        <v>Gadget</v>
      </c>
      <c r="E44" s="43">
        <v>16620</v>
      </c>
      <c r="F44" s="43">
        <f>_xlfn.XLOOKUP(A44,Class_Players!A:A,Class_Players!G:G)</f>
        <v>421</v>
      </c>
      <c r="G44" s="43">
        <f t="shared" si="0"/>
        <v>39.47743467933492</v>
      </c>
      <c r="H44" s="43">
        <f>_xlfn.XLOOKUP(A44,Class_Players!$A:$A,Class_Players!$F:$F,"")</f>
        <v>19357</v>
      </c>
      <c r="I44" s="44">
        <f t="shared" si="5"/>
        <v>0.85860412253964979</v>
      </c>
      <c r="J44" s="43">
        <f t="shared" si="1"/>
        <v>1</v>
      </c>
      <c r="K44" s="44" cm="1">
        <f t="array" ref="K44">IF(D44="Gadget",_xlfn.IFS(I44&gt;=0.2,0.5,I44&gt;=0.1,0.35,I44&gt;=0.05,0.2,TRUE,0),IF(D44="Grenade",_xlfn.IFS(I44&gt;=0.2,1,I44&gt;=0.1,0.7,I44&gt;=0.05,0.4,TRUE,0),0))</f>
        <v>0.5</v>
      </c>
      <c r="L44" s="57">
        <f t="shared" si="8"/>
        <v>1</v>
      </c>
    </row>
    <row r="45" spans="1:12" ht="15" customHeight="1" x14ac:dyDescent="0.25">
      <c r="A45" s="42" t="str" cm="1">
        <f t="array" ref="A45">IFERROR(INDEX(_xlfn._xlws.FILTER(Class_Players!A:A,Class_Players!B:B="Support"),QUOTIENT(ROW()-ROW($A$2),9)+1),"")</f>
        <v>CTGxCBLostSoulx</v>
      </c>
      <c r="B45" s="42" t="str">
        <f>_xlfn.XLOOKUP(A45,Class_Players!$A:$A,Class_Players!$B:$B,"")</f>
        <v>Support</v>
      </c>
      <c r="C45" s="38" t="str" cm="1">
        <f t="array" ref="C45">INDEX(Lookups!$D$2:$D$10,MOD(ROW()-ROW($B$2),ROWS(Lookups!$D$2:$D$10))+1)</f>
        <v>Smoke Grenade</v>
      </c>
      <c r="D45" s="38" t="str">
        <f>_xlfn.XLOOKUP(C45,Analysis_Gadgets!$C:$C,Analysis_Gadgets!$B:$B)</f>
        <v>Grenade</v>
      </c>
      <c r="E45" s="43">
        <v>15715</v>
      </c>
      <c r="F45" s="43">
        <f>_xlfn.XLOOKUP(A45,Class_Players!A:A,Class_Players!G:G)</f>
        <v>421</v>
      </c>
      <c r="G45" s="43">
        <f t="shared" si="0"/>
        <v>37.327790973871736</v>
      </c>
      <c r="H45" s="43">
        <f>_xlfn.XLOOKUP(A45,Class_Players!$A:$A,Class_Players!$F:$F,"")</f>
        <v>19357</v>
      </c>
      <c r="I45" s="44">
        <f t="shared" si="5"/>
        <v>0.81185100997055326</v>
      </c>
      <c r="J45" s="43">
        <f t="shared" si="1"/>
        <v>1</v>
      </c>
      <c r="K45" s="44" cm="1">
        <f t="array" ref="K45">IF(D45="Gadget",_xlfn.IFS(I45&gt;=0.2,0.5,I45&gt;=0.1,0.35,I45&gt;=0.05,0.2,TRUE,0),IF(D45="Grenade",_xlfn.IFS(I45&gt;=0.2,1,I45&gt;=0.1,0.7,I45&gt;=0.05,0.4,TRUE,0),0))</f>
        <v>1</v>
      </c>
      <c r="L45" s="57">
        <f>IF($K45=0,0,$K45 / SUMIFS($K:$K,$A:$A,$A45,$D:$D,"Grenade"))</f>
        <v>1</v>
      </c>
    </row>
    <row r="46" spans="1:12" ht="15" customHeight="1" x14ac:dyDescent="0.25">
      <c r="A46" s="42" t="str" cm="1">
        <f t="array" ref="A46">IFERROR(INDEX(_xlfn._xlws.FILTER(Class_Players!A:A,Class_Players!B:B="Support"),QUOTIENT(ROW()-ROW($A$2),9)+1),"")</f>
        <v>CTGxCBLostSoulx</v>
      </c>
      <c r="B46" s="42" t="str">
        <f>_xlfn.XLOOKUP(A46,Class_Players!$A:$A,Class_Players!$B:$B,"")</f>
        <v>Support</v>
      </c>
      <c r="C46" s="38" t="str" cm="1">
        <f t="array" ref="C46">INDEX(Lookups!$D$2:$D$10,MOD(ROW()-ROW($B$2),ROWS(Lookups!$D$2:$D$10))+1)</f>
        <v>Incendiary Grenade</v>
      </c>
      <c r="D46" s="38" t="str">
        <f>_xlfn.XLOOKUP(C46,Analysis_Gadgets!$C:$C,Analysis_Gadgets!$B:$B)</f>
        <v>Grenade</v>
      </c>
      <c r="E46" s="43">
        <v>33</v>
      </c>
      <c r="F46" s="43">
        <f>_xlfn.XLOOKUP(A46,Class_Players!A:A,Class_Players!G:G)</f>
        <v>421</v>
      </c>
      <c r="G46" s="43">
        <f t="shared" si="0"/>
        <v>7.8384798099762468E-2</v>
      </c>
      <c r="H46" s="43">
        <f>_xlfn.XLOOKUP(A46,Class_Players!$A:$A,Class_Players!$F:$F,"")</f>
        <v>19357</v>
      </c>
      <c r="I46" s="44">
        <f t="shared" si="5"/>
        <v>1.7048096295913624E-3</v>
      </c>
      <c r="J46" s="43">
        <f t="shared" si="1"/>
        <v>0</v>
      </c>
      <c r="K46" s="44" cm="1">
        <f t="array" ref="K46">IF(D46="Gadget",_xlfn.IFS(I46&gt;=0.2,0.5,I46&gt;=0.1,0.35,I46&gt;=0.05,0.2,TRUE,0),IF(D46="Grenade",_xlfn.IFS(I46&gt;=0.2,1,I46&gt;=0.1,0.7,I46&gt;=0.05,0.4,TRUE,0),0))</f>
        <v>0</v>
      </c>
      <c r="L46" s="57">
        <f>IF($K46=0,0,$K46 / SUMIFS($K:$K,$A:$A,$A46,$D:$D,"Grenade"))</f>
        <v>0</v>
      </c>
    </row>
    <row r="47" spans="1:12" ht="15" customHeight="1" x14ac:dyDescent="0.25">
      <c r="A47" s="42" t="str" cm="1">
        <f t="array" ref="A47">IFERROR(INDEX(_xlfn._xlws.FILTER(Class_Players!A:A,Class_Players!B:B="Support"),QUOTIENT(ROW()-ROW($A$2),9)+1),"")</f>
        <v>1st-GrimReaper</v>
      </c>
      <c r="B47" s="42" t="str">
        <f>_xlfn.XLOOKUP(A47,Class_Players!$A:$A,Class_Players!$B:$B,"")</f>
        <v>Support</v>
      </c>
      <c r="C47" s="38" t="str" cm="1">
        <f t="array" ref="C47">INDEX(Lookups!$D$2:$D$10,MOD(ROW()-ROW($B$2),ROWS(Lookups!$D$2:$D$10))+1)</f>
        <v>GPDIS (Grenade intercept system)</v>
      </c>
      <c r="D47" s="38" t="str">
        <f>_xlfn.XLOOKUP(C47,Analysis_Gadgets!$C:$C,Analysis_Gadgets!$B:$B)</f>
        <v>Gadget</v>
      </c>
      <c r="E47" s="43">
        <v>133</v>
      </c>
      <c r="F47" s="43">
        <f>_xlfn.XLOOKUP(A47,Class_Players!A:A,Class_Players!G:G)</f>
        <v>387</v>
      </c>
      <c r="G47" s="43">
        <f t="shared" si="0"/>
        <v>0.34366925064599485</v>
      </c>
      <c r="H47" s="43">
        <f>_xlfn.XLOOKUP(A47,Class_Players!$A:$A,Class_Players!$F:$F,"")</f>
        <v>18470</v>
      </c>
      <c r="I47" s="44">
        <f t="shared" si="5"/>
        <v>7.2008662696264212E-3</v>
      </c>
      <c r="J47" s="43">
        <f t="shared" si="1"/>
        <v>0</v>
      </c>
      <c r="K47" s="44" cm="1">
        <f t="array" ref="K47">IF(D47="Gadget",_xlfn.IFS(I47&gt;=0.2,0.5,I47&gt;=0.1,0.35,I47&gt;=0.05,0.2,TRUE,0),IF(D47="Grenade",_xlfn.IFS(I47&gt;=0.2,1,I47&gt;=0.1,0.7,I47&gt;=0.05,0.4,TRUE,0),0))</f>
        <v>0</v>
      </c>
      <c r="L47" s="57">
        <f>IF($K47=0,0,$K47 / SUMIFS($K:$K,$A:$A,$A47,$D:$D,"Gadget"))</f>
        <v>0</v>
      </c>
    </row>
    <row r="48" spans="1:12" ht="15" customHeight="1" x14ac:dyDescent="0.25">
      <c r="A48" s="42" t="str" cm="1">
        <f t="array" ref="A48">IFERROR(INDEX(_xlfn._xlws.FILTER(Class_Players!A:A,Class_Players!B:B="Support"),QUOTIENT(ROW()-ROW($A$2),9)+1),"")</f>
        <v>1st-GrimReaper</v>
      </c>
      <c r="B48" s="42" t="str">
        <f>_xlfn.XLOOKUP(A48,Class_Players!$A:$A,Class_Players!$B:$B,"")</f>
        <v>Support</v>
      </c>
      <c r="C48" s="38" t="str" cm="1">
        <f t="array" ref="C48">INDEX(Lookups!$D$2:$D$10,MOD(ROW()-ROW($B$2),ROWS(Lookups!$D$2:$D$10))+1)</f>
        <v>MP-APS (Missile intercept system)</v>
      </c>
      <c r="D48" s="38" t="str">
        <f>_xlfn.XLOOKUP(C48,Analysis_Gadgets!$C:$C,Analysis_Gadgets!$B:$B)</f>
        <v>Gadget</v>
      </c>
      <c r="E48" s="43">
        <v>12</v>
      </c>
      <c r="F48" s="43">
        <f>_xlfn.XLOOKUP(A48,Class_Players!A:A,Class_Players!G:G)</f>
        <v>387</v>
      </c>
      <c r="G48" s="43">
        <f t="shared" si="0"/>
        <v>3.1007751937984496E-2</v>
      </c>
      <c r="H48" s="43">
        <f>_xlfn.XLOOKUP(A48,Class_Players!$A:$A,Class_Players!$F:$F,"")</f>
        <v>18470</v>
      </c>
      <c r="I48" s="44">
        <f t="shared" si="5"/>
        <v>6.4970221981591769E-4</v>
      </c>
      <c r="J48" s="43">
        <f t="shared" si="1"/>
        <v>0</v>
      </c>
      <c r="K48" s="44" cm="1">
        <f t="array" ref="K48">IF(D48="Gadget",_xlfn.IFS(I48&gt;=0.2,0.5,I48&gt;=0.1,0.35,I48&gt;=0.05,0.2,TRUE,0),IF(D48="Grenade",_xlfn.IFS(I48&gt;=0.2,1,I48&gt;=0.1,0.7,I48&gt;=0.05,0.4,TRUE,0),0))</f>
        <v>0</v>
      </c>
      <c r="L48" s="57">
        <f t="shared" ref="L48:L53" si="9">IF($K48=0,0,$K48 / SUMIFS($K:$K,$A:$A,$A48,$D:$D,"Gadget"))</f>
        <v>0</v>
      </c>
    </row>
    <row r="49" spans="1:12" ht="15" customHeight="1" x14ac:dyDescent="0.25">
      <c r="A49" s="42" t="str" cm="1">
        <f t="array" ref="A49">IFERROR(INDEX(_xlfn._xlws.FILTER(Class_Players!A:A,Class_Players!B:B="Support"),QUOTIENT(ROW()-ROW($A$2),9)+1),"")</f>
        <v>1st-GrimReaper</v>
      </c>
      <c r="B49" s="42" t="str">
        <f>_xlfn.XLOOKUP(A49,Class_Players!$A:$A,Class_Players!$B:$B,"")</f>
        <v>Support</v>
      </c>
      <c r="C49" s="38" t="str" cm="1">
        <f t="array" ref="C49">INDEX(Lookups!$D$2:$D$10,MOD(ROW()-ROW($B$2),ROWS(Lookups!$D$2:$D$10))+1)</f>
        <v>LWCMS (Mortar)</v>
      </c>
      <c r="D49" s="38" t="str">
        <f>_xlfn.XLOOKUP(C49,Analysis_Gadgets!$C:$C,Analysis_Gadgets!$B:$B)</f>
        <v>Gadget</v>
      </c>
      <c r="E49" s="43">
        <v>5</v>
      </c>
      <c r="F49" s="43">
        <f>_xlfn.XLOOKUP(A49,Class_Players!A:A,Class_Players!G:G)</f>
        <v>387</v>
      </c>
      <c r="G49" s="43">
        <f t="shared" si="0"/>
        <v>1.2919896640826873E-2</v>
      </c>
      <c r="H49" s="43">
        <f>_xlfn.XLOOKUP(A49,Class_Players!$A:$A,Class_Players!$F:$F,"")</f>
        <v>18470</v>
      </c>
      <c r="I49" s="44">
        <f t="shared" si="5"/>
        <v>2.7070925825663239E-4</v>
      </c>
      <c r="J49" s="43">
        <f t="shared" si="1"/>
        <v>0</v>
      </c>
      <c r="K49" s="44" cm="1">
        <f t="array" ref="K49">IF(D49="Gadget",_xlfn.IFS(I49&gt;=0.2,0.5,I49&gt;=0.1,0.35,I49&gt;=0.05,0.2,TRUE,0),IF(D49="Grenade",_xlfn.IFS(I49&gt;=0.2,1,I49&gt;=0.1,0.7,I49&gt;=0.05,0.4,TRUE,0),0))</f>
        <v>0</v>
      </c>
      <c r="L49" s="57">
        <f t="shared" si="9"/>
        <v>0</v>
      </c>
    </row>
    <row r="50" spans="1:12" ht="15" customHeight="1" x14ac:dyDescent="0.25">
      <c r="A50" s="42" t="str" cm="1">
        <f t="array" ref="A50">IFERROR(INDEX(_xlfn._xlws.FILTER(Class_Players!A:A,Class_Players!B:B="Support"),QUOTIENT(ROW()-ROW($A$2),9)+1),"")</f>
        <v>1st-GrimReaper</v>
      </c>
      <c r="B50" s="42" t="str">
        <f>_xlfn.XLOOKUP(A50,Class_Players!$A:$A,Class_Players!$B:$B,"")</f>
        <v>Support</v>
      </c>
      <c r="C50" s="38" t="str" cm="1">
        <f t="array" ref="C50">INDEX(Lookups!$D$2:$D$10,MOD(ROW()-ROW($B$2),ROWS(Lookups!$D$2:$D$10))+1)</f>
        <v>M320A1 SMK (Smoke Grenade Launcher)</v>
      </c>
      <c r="D50" s="38" t="str">
        <f>_xlfn.XLOOKUP(C50,Analysis_Gadgets!$C:$C,Analysis_Gadgets!$B:$B)</f>
        <v>Gadget</v>
      </c>
      <c r="E50" s="43">
        <v>19</v>
      </c>
      <c r="F50" s="43">
        <f>_xlfn.XLOOKUP(A50,Class_Players!A:A,Class_Players!G:G)</f>
        <v>387</v>
      </c>
      <c r="G50" s="43">
        <f t="shared" si="0"/>
        <v>4.909560723514212E-2</v>
      </c>
      <c r="H50" s="43">
        <f>_xlfn.XLOOKUP(A50,Class_Players!$A:$A,Class_Players!$F:$F,"")</f>
        <v>18470</v>
      </c>
      <c r="I50" s="44">
        <f t="shared" si="5"/>
        <v>1.0286951813752031E-3</v>
      </c>
      <c r="J50" s="43">
        <f t="shared" si="1"/>
        <v>0</v>
      </c>
      <c r="K50" s="44" cm="1">
        <f t="array" ref="K50">IF(D50="Gadget",_xlfn.IFS(I50&gt;=0.2,0.5,I50&gt;=0.1,0.35,I50&gt;=0.05,0.2,TRUE,0),IF(D50="Grenade",_xlfn.IFS(I50&gt;=0.2,1,I50&gt;=0.1,0.7,I50&gt;=0.05,0.4,TRUE,0),0))</f>
        <v>0</v>
      </c>
      <c r="L50" s="57">
        <f t="shared" si="9"/>
        <v>0</v>
      </c>
    </row>
    <row r="51" spans="1:12" ht="15" customHeight="1" x14ac:dyDescent="0.25">
      <c r="A51" s="42" t="str" cm="1">
        <f t="array" ref="A51">IFERROR(INDEX(_xlfn._xlws.FILTER(Class_Players!A:A,Class_Players!B:B="Support"),QUOTIENT(ROW()-ROW($A$2),9)+1),"")</f>
        <v>1st-GrimReaper</v>
      </c>
      <c r="B51" s="42" t="str">
        <f>_xlfn.XLOOKUP(A51,Class_Players!$A:$A,Class_Players!$B:$B,"")</f>
        <v>Support</v>
      </c>
      <c r="C51" s="38" t="str" cm="1">
        <f t="array" ref="C51">INDEX(Lookups!$D$2:$D$10,MOD(ROW()-ROW($B$2),ROWS(Lookups!$D$2:$D$10))+1)</f>
        <v>SICH G1 WP (Incendiary Airburst Launcher)</v>
      </c>
      <c r="D51" s="38" t="str">
        <f>_xlfn.XLOOKUP(C51,Analysis_Gadgets!$C:$C,Analysis_Gadgets!$B:$B)</f>
        <v>Gadget</v>
      </c>
      <c r="E51" s="43">
        <v>21</v>
      </c>
      <c r="F51" s="43">
        <f>_xlfn.XLOOKUP(A51,Class_Players!A:A,Class_Players!G:G)</f>
        <v>387</v>
      </c>
      <c r="G51" s="43">
        <f t="shared" si="0"/>
        <v>5.4263565891472867E-2</v>
      </c>
      <c r="H51" s="43">
        <f>_xlfn.XLOOKUP(A51,Class_Players!$A:$A,Class_Players!$F:$F,"")</f>
        <v>18470</v>
      </c>
      <c r="I51" s="44">
        <f t="shared" si="5"/>
        <v>1.136978884677856E-3</v>
      </c>
      <c r="J51" s="43">
        <f t="shared" si="1"/>
        <v>0</v>
      </c>
      <c r="K51" s="44" cm="1">
        <f t="array" ref="K51">IF(D51="Gadget",_xlfn.IFS(I51&gt;=0.2,0.5,I51&gt;=0.1,0.35,I51&gt;=0.05,0.2,TRUE,0),IF(D51="Grenade",_xlfn.IFS(I51&gt;=0.2,1,I51&gt;=0.1,0.7,I51&gt;=0.05,0.4,TRUE,0),0))</f>
        <v>0</v>
      </c>
      <c r="L51" s="57">
        <f t="shared" si="9"/>
        <v>0</v>
      </c>
    </row>
    <row r="52" spans="1:12" ht="15" customHeight="1" x14ac:dyDescent="0.25">
      <c r="A52" s="42" t="str" cm="1">
        <f t="array" ref="A52">IFERROR(INDEX(_xlfn._xlws.FILTER(Class_Players!A:A,Class_Players!B:B="Support"),QUOTIENT(ROW()-ROW($A$2),9)+1),"")</f>
        <v>1st-GrimReaper</v>
      </c>
      <c r="B52" s="42" t="str">
        <f>_xlfn.XLOOKUP(A52,Class_Players!$A:$A,Class_Players!$B:$B,"")</f>
        <v>Support</v>
      </c>
      <c r="C52" s="38" t="str" cm="1">
        <f t="array" ref="C52">INDEX(Lookups!$D$2:$D$10,MOD(ROW()-ROW($B$2),ROWS(Lookups!$D$2:$D$10))+1)</f>
        <v>Deployable Cover</v>
      </c>
      <c r="D52" s="38" t="str">
        <f>_xlfn.XLOOKUP(C52,Analysis_Gadgets!$C:$C,Analysis_Gadgets!$B:$B)</f>
        <v>Gadget</v>
      </c>
      <c r="E52" s="43">
        <v>1599</v>
      </c>
      <c r="F52" s="43">
        <f>_xlfn.XLOOKUP(A52,Class_Players!A:A,Class_Players!G:G)</f>
        <v>387</v>
      </c>
      <c r="G52" s="43">
        <f t="shared" si="0"/>
        <v>4.1317829457364343</v>
      </c>
      <c r="H52" s="43">
        <f>_xlfn.XLOOKUP(A52,Class_Players!$A:$A,Class_Players!$F:$F,"")</f>
        <v>18470</v>
      </c>
      <c r="I52" s="44">
        <f t="shared" si="5"/>
        <v>8.6572820790471031E-2</v>
      </c>
      <c r="J52" s="43">
        <f t="shared" si="1"/>
        <v>0</v>
      </c>
      <c r="K52" s="44" cm="1">
        <f t="array" ref="K52">IF(D52="Gadget",_xlfn.IFS(I52&gt;=0.2,0.5,I52&gt;=0.1,0.35,I52&gt;=0.05,0.2,TRUE,0),IF(D52="Grenade",_xlfn.IFS(I52&gt;=0.2,1,I52&gt;=0.1,0.7,I52&gt;=0.05,0.4,TRUE,0),0))</f>
        <v>0.2</v>
      </c>
      <c r="L52" s="57">
        <f t="shared" si="9"/>
        <v>0.36363636363636365</v>
      </c>
    </row>
    <row r="53" spans="1:12" ht="15" customHeight="1" x14ac:dyDescent="0.25">
      <c r="A53" s="42" t="str" cm="1">
        <f t="array" ref="A53">IFERROR(INDEX(_xlfn._xlws.FILTER(Class_Players!A:A,Class_Players!B:B="Support"),QUOTIENT(ROW()-ROW($A$2),9)+1),"")</f>
        <v>1st-GrimReaper</v>
      </c>
      <c r="B53" s="42" t="str">
        <f>_xlfn.XLOOKUP(A53,Class_Players!$A:$A,Class_Players!$B:$B,"")</f>
        <v>Support</v>
      </c>
      <c r="C53" s="38" t="str" cm="1">
        <f t="array" ref="C53">INDEX(Lookups!$D$2:$D$10,MOD(ROW()-ROW($B$2),ROWS(Lookups!$D$2:$D$10))+1)</f>
        <v>Supply Pouch</v>
      </c>
      <c r="D53" s="38" t="str">
        <f>_xlfn.XLOOKUP(C53,Analysis_Gadgets!$C:$C,Analysis_Gadgets!$B:$B)</f>
        <v>Gadget</v>
      </c>
      <c r="E53" s="43">
        <v>3032</v>
      </c>
      <c r="F53" s="43">
        <f>_xlfn.XLOOKUP(A53,Class_Players!A:A,Class_Players!G:G)</f>
        <v>387</v>
      </c>
      <c r="G53" s="43">
        <f t="shared" si="0"/>
        <v>7.8346253229974163</v>
      </c>
      <c r="H53" s="43">
        <f>_xlfn.XLOOKUP(A53,Class_Players!$A:$A,Class_Players!$F:$F,"")</f>
        <v>18470</v>
      </c>
      <c r="I53" s="44">
        <f t="shared" si="5"/>
        <v>0.16415809420682187</v>
      </c>
      <c r="J53" s="43">
        <f t="shared" si="1"/>
        <v>1</v>
      </c>
      <c r="K53" s="44" cm="1">
        <f t="array" ref="K53">IF(D53="Gadget",_xlfn.IFS(I53&gt;=0.2,0.5,I53&gt;=0.1,0.35,I53&gt;=0.05,0.2,TRUE,0),IF(D53="Grenade",_xlfn.IFS(I53&gt;=0.2,1,I53&gt;=0.1,0.7,I53&gt;=0.05,0.4,TRUE,0),0))</f>
        <v>0.35</v>
      </c>
      <c r="L53" s="57">
        <f t="shared" si="9"/>
        <v>0.63636363636363624</v>
      </c>
    </row>
    <row r="54" spans="1:12" ht="15" customHeight="1" x14ac:dyDescent="0.25">
      <c r="A54" s="42" t="str" cm="1">
        <f t="array" ref="A54">IFERROR(INDEX(_xlfn._xlws.FILTER(Class_Players!A:A,Class_Players!B:B="Support"),QUOTIENT(ROW()-ROW($A$2),9)+1),"")</f>
        <v>1st-GrimReaper</v>
      </c>
      <c r="B54" s="42" t="str">
        <f>_xlfn.XLOOKUP(A54,Class_Players!$A:$A,Class_Players!$B:$B,"")</f>
        <v>Support</v>
      </c>
      <c r="C54" s="38" t="str" cm="1">
        <f t="array" ref="C54">INDEX(Lookups!$D$2:$D$10,MOD(ROW()-ROW($B$2),ROWS(Lookups!$D$2:$D$10))+1)</f>
        <v>Smoke Grenade</v>
      </c>
      <c r="D54" s="38" t="str">
        <f>_xlfn.XLOOKUP(C54,Analysis_Gadgets!$C:$C,Analysis_Gadgets!$B:$B)</f>
        <v>Grenade</v>
      </c>
      <c r="E54" s="43">
        <v>3903</v>
      </c>
      <c r="F54" s="43">
        <f>_xlfn.XLOOKUP(A54,Class_Players!A:A,Class_Players!G:G)</f>
        <v>387</v>
      </c>
      <c r="G54" s="43">
        <f t="shared" si="0"/>
        <v>10.085271317829458</v>
      </c>
      <c r="H54" s="43">
        <f>_xlfn.XLOOKUP(A54,Class_Players!$A:$A,Class_Players!$F:$F,"")</f>
        <v>18470</v>
      </c>
      <c r="I54" s="44">
        <f t="shared" si="5"/>
        <v>0.21131564699512723</v>
      </c>
      <c r="J54" s="43">
        <f t="shared" si="1"/>
        <v>1</v>
      </c>
      <c r="K54" s="44" cm="1">
        <f t="array" ref="K54">IF(D54="Gadget",_xlfn.IFS(I54&gt;=0.2,0.5,I54&gt;=0.1,0.35,I54&gt;=0.05,0.2,TRUE,0),IF(D54="Grenade",_xlfn.IFS(I54&gt;=0.2,1,I54&gt;=0.1,0.7,I54&gt;=0.05,0.4,TRUE,0),0))</f>
        <v>1</v>
      </c>
      <c r="L54" s="57">
        <f>IF($K54=0,0,$K54 / SUMIFS($K:$K,$A:$A,$A54,$D:$D,"Grenade"))</f>
        <v>1</v>
      </c>
    </row>
    <row r="55" spans="1:12" ht="15" customHeight="1" x14ac:dyDescent="0.25">
      <c r="A55" s="42" t="str" cm="1">
        <f t="array" ref="A55">IFERROR(INDEX(_xlfn._xlws.FILTER(Class_Players!A:A,Class_Players!B:B="Support"),QUOTIENT(ROW()-ROW($A$2),9)+1),"")</f>
        <v>1st-GrimReaper</v>
      </c>
      <c r="B55" s="42" t="str">
        <f>_xlfn.XLOOKUP(A55,Class_Players!$A:$A,Class_Players!$B:$B,"")</f>
        <v>Support</v>
      </c>
      <c r="C55" s="38" t="str" cm="1">
        <f t="array" ref="C55">INDEX(Lookups!$D$2:$D$10,MOD(ROW()-ROW($B$2),ROWS(Lookups!$D$2:$D$10))+1)</f>
        <v>Incendiary Grenade</v>
      </c>
      <c r="D55" s="38" t="str">
        <f>_xlfn.XLOOKUP(C55,Analysis_Gadgets!$C:$C,Analysis_Gadgets!$B:$B)</f>
        <v>Grenade</v>
      </c>
      <c r="E55" s="43">
        <v>0</v>
      </c>
      <c r="F55" s="43">
        <f>_xlfn.XLOOKUP(A55,Class_Players!A:A,Class_Players!G:G)</f>
        <v>387</v>
      </c>
      <c r="G55" s="43">
        <f t="shared" si="0"/>
        <v>0</v>
      </c>
      <c r="H55" s="43">
        <f>_xlfn.XLOOKUP(A55,Class_Players!$A:$A,Class_Players!$F:$F,"")</f>
        <v>18470</v>
      </c>
      <c r="I55" s="44">
        <f t="shared" si="5"/>
        <v>0</v>
      </c>
      <c r="J55" s="43">
        <f t="shared" si="1"/>
        <v>0</v>
      </c>
      <c r="K55" s="44" cm="1">
        <f t="array" ref="K55">IF(D55="Gadget",_xlfn.IFS(I55&gt;=0.2,0.5,I55&gt;=0.1,0.35,I55&gt;=0.05,0.2,TRUE,0),IF(D55="Grenade",_xlfn.IFS(I55&gt;=0.2,1,I55&gt;=0.1,0.7,I55&gt;=0.05,0.4,TRUE,0),0))</f>
        <v>0</v>
      </c>
      <c r="L55" s="57">
        <f>IF($K55=0,0,$K55 / SUMIFS($K:$K,$A:$A,$A55,$D:$D,"Grenade"))</f>
        <v>0</v>
      </c>
    </row>
    <row r="56" spans="1:12" ht="15" customHeight="1" x14ac:dyDescent="0.25">
      <c r="A56" s="42" t="str" cm="1">
        <f t="array" ref="A56">IFERROR(INDEX(_xlfn._xlws.FILTER(Class_Players!A:A,Class_Players!B:B="Support"),QUOTIENT(ROW()-ROW($A$2),9)+1),"")</f>
        <v>Clay-_-x</v>
      </c>
      <c r="B56" s="42" t="str">
        <f>_xlfn.XLOOKUP(A56,Class_Players!$A:$A,Class_Players!$B:$B,"")</f>
        <v>Support</v>
      </c>
      <c r="C56" s="38" t="str" cm="1">
        <f t="array" ref="C56">INDEX(Lookups!$D$2:$D$10,MOD(ROW()-ROW($B$2),ROWS(Lookups!$D$2:$D$10))+1)</f>
        <v>GPDIS (Grenade intercept system)</v>
      </c>
      <c r="D56" s="38" t="str">
        <f>_xlfn.XLOOKUP(C56,Analysis_Gadgets!$C:$C,Analysis_Gadgets!$B:$B)</f>
        <v>Gadget</v>
      </c>
      <c r="E56" s="43">
        <v>13587</v>
      </c>
      <c r="F56" s="43">
        <f>_xlfn.XLOOKUP(A56,Class_Players!A:A,Class_Players!G:G)</f>
        <v>231</v>
      </c>
      <c r="G56" s="43">
        <f t="shared" si="0"/>
        <v>58.81818181818182</v>
      </c>
      <c r="H56" s="43">
        <f>_xlfn.XLOOKUP(A56,Class_Players!$A:$A,Class_Players!$F:$F,"")</f>
        <v>18210</v>
      </c>
      <c r="I56" s="44">
        <f t="shared" si="5"/>
        <v>0.74612850082372328</v>
      </c>
      <c r="J56" s="43">
        <f t="shared" si="1"/>
        <v>1</v>
      </c>
      <c r="K56" s="44" cm="1">
        <f t="array" ref="K56">IF(D56="Gadget",_xlfn.IFS(I56&gt;=0.2,0.5,I56&gt;=0.1,0.35,I56&gt;=0.05,0.2,TRUE,0),IF(D56="Grenade",_xlfn.IFS(I56&gt;=0.2,1,I56&gt;=0.1,0.7,I56&gt;=0.05,0.4,TRUE,0),0))</f>
        <v>0.5</v>
      </c>
      <c r="L56" s="57">
        <f>IF($K56=0,0,$K56 / SUMIFS($K:$K,$A:$A,$A56,$D:$D,"Gadget"))</f>
        <v>0.5</v>
      </c>
    </row>
    <row r="57" spans="1:12" ht="15" customHeight="1" x14ac:dyDescent="0.25">
      <c r="A57" s="42" t="str" cm="1">
        <f t="array" ref="A57">IFERROR(INDEX(_xlfn._xlws.FILTER(Class_Players!A:A,Class_Players!B:B="Support"),QUOTIENT(ROW()-ROW($A$2),9)+1),"")</f>
        <v>Clay-_-x</v>
      </c>
      <c r="B57" s="42" t="str">
        <f>_xlfn.XLOOKUP(A57,Class_Players!$A:$A,Class_Players!$B:$B,"")</f>
        <v>Support</v>
      </c>
      <c r="C57" s="38" t="str" cm="1">
        <f t="array" ref="C57">INDEX(Lookups!$D$2:$D$10,MOD(ROW()-ROW($B$2),ROWS(Lookups!$D$2:$D$10))+1)</f>
        <v>MP-APS (Missile intercept system)</v>
      </c>
      <c r="D57" s="38" t="str">
        <f>_xlfn.XLOOKUP(C57,Analysis_Gadgets!$C:$C,Analysis_Gadgets!$B:$B)</f>
        <v>Gadget</v>
      </c>
      <c r="E57" s="43">
        <v>0</v>
      </c>
      <c r="F57" s="43">
        <f>_xlfn.XLOOKUP(A57,Class_Players!A:A,Class_Players!G:G)</f>
        <v>231</v>
      </c>
      <c r="G57" s="43">
        <f t="shared" si="0"/>
        <v>0</v>
      </c>
      <c r="H57" s="43">
        <f>_xlfn.XLOOKUP(A57,Class_Players!$A:$A,Class_Players!$F:$F,"")</f>
        <v>18210</v>
      </c>
      <c r="I57" s="44">
        <f t="shared" si="5"/>
        <v>0</v>
      </c>
      <c r="J57" s="43">
        <f t="shared" si="1"/>
        <v>0</v>
      </c>
      <c r="K57" s="44" cm="1">
        <f t="array" ref="K57">IF(D57="Gadget",_xlfn.IFS(I57&gt;=0.2,0.5,I57&gt;=0.1,0.35,I57&gt;=0.05,0.2,TRUE,0),IF(D57="Grenade",_xlfn.IFS(I57&gt;=0.2,1,I57&gt;=0.1,0.7,I57&gt;=0.05,0.4,TRUE,0),0))</f>
        <v>0</v>
      </c>
      <c r="L57" s="57">
        <f t="shared" ref="L57:L62" si="10">IF($K57=0,0,$K57 / SUMIFS($K:$K,$A:$A,$A57,$D:$D,"Gadget"))</f>
        <v>0</v>
      </c>
    </row>
    <row r="58" spans="1:12" ht="15" customHeight="1" x14ac:dyDescent="0.25">
      <c r="A58" s="42" t="str" cm="1">
        <f t="array" ref="A58">IFERROR(INDEX(_xlfn._xlws.FILTER(Class_Players!A:A,Class_Players!B:B="Support"),QUOTIENT(ROW()-ROW($A$2),9)+1),"")</f>
        <v>Clay-_-x</v>
      </c>
      <c r="B58" s="42" t="str">
        <f>_xlfn.XLOOKUP(A58,Class_Players!$A:$A,Class_Players!$B:$B,"")</f>
        <v>Support</v>
      </c>
      <c r="C58" s="38" t="str" cm="1">
        <f t="array" ref="C58">INDEX(Lookups!$D$2:$D$10,MOD(ROW()-ROW($B$2),ROWS(Lookups!$D$2:$D$10))+1)</f>
        <v>LWCMS (Mortar)</v>
      </c>
      <c r="D58" s="38" t="str">
        <f>_xlfn.XLOOKUP(C58,Analysis_Gadgets!$C:$C,Analysis_Gadgets!$B:$B)</f>
        <v>Gadget</v>
      </c>
      <c r="E58" s="43">
        <v>0</v>
      </c>
      <c r="F58" s="43">
        <f>_xlfn.XLOOKUP(A58,Class_Players!A:A,Class_Players!G:G)</f>
        <v>231</v>
      </c>
      <c r="G58" s="43">
        <f t="shared" si="0"/>
        <v>0</v>
      </c>
      <c r="H58" s="43">
        <f>_xlfn.XLOOKUP(A58,Class_Players!$A:$A,Class_Players!$F:$F,"")</f>
        <v>18210</v>
      </c>
      <c r="I58" s="44">
        <f t="shared" si="5"/>
        <v>0</v>
      </c>
      <c r="J58" s="43">
        <f t="shared" si="1"/>
        <v>0</v>
      </c>
      <c r="K58" s="44" cm="1">
        <f t="array" ref="K58">IF(D58="Gadget",_xlfn.IFS(I58&gt;=0.2,0.5,I58&gt;=0.1,0.35,I58&gt;=0.05,0.2,TRUE,0),IF(D58="Grenade",_xlfn.IFS(I58&gt;=0.2,1,I58&gt;=0.1,0.7,I58&gt;=0.05,0.4,TRUE,0),0))</f>
        <v>0</v>
      </c>
      <c r="L58" s="57">
        <f t="shared" si="10"/>
        <v>0</v>
      </c>
    </row>
    <row r="59" spans="1:12" ht="15" customHeight="1" x14ac:dyDescent="0.25">
      <c r="A59" s="42" t="str" cm="1">
        <f t="array" ref="A59">IFERROR(INDEX(_xlfn._xlws.FILTER(Class_Players!A:A,Class_Players!B:B="Support"),QUOTIENT(ROW()-ROW($A$2),9)+1),"")</f>
        <v>Clay-_-x</v>
      </c>
      <c r="B59" s="42" t="str">
        <f>_xlfn.XLOOKUP(A59,Class_Players!$A:$A,Class_Players!$B:$B,"")</f>
        <v>Support</v>
      </c>
      <c r="C59" s="38" t="str" cm="1">
        <f t="array" ref="C59">INDEX(Lookups!$D$2:$D$10,MOD(ROW()-ROW($B$2),ROWS(Lookups!$D$2:$D$10))+1)</f>
        <v>M320A1 SMK (Smoke Grenade Launcher)</v>
      </c>
      <c r="D59" s="38" t="str">
        <f>_xlfn.XLOOKUP(C59,Analysis_Gadgets!$C:$C,Analysis_Gadgets!$B:$B)</f>
        <v>Gadget</v>
      </c>
      <c r="E59" s="43">
        <v>219</v>
      </c>
      <c r="F59" s="43">
        <f>_xlfn.XLOOKUP(A59,Class_Players!A:A,Class_Players!G:G)</f>
        <v>231</v>
      </c>
      <c r="G59" s="43">
        <f t="shared" si="0"/>
        <v>0.94805194805194803</v>
      </c>
      <c r="H59" s="43">
        <f>_xlfn.XLOOKUP(A59,Class_Players!$A:$A,Class_Players!$F:$F,"")</f>
        <v>18210</v>
      </c>
      <c r="I59" s="44">
        <f t="shared" si="5"/>
        <v>1.2026359143327841E-2</v>
      </c>
      <c r="J59" s="43">
        <f t="shared" si="1"/>
        <v>0</v>
      </c>
      <c r="K59" s="44" cm="1">
        <f t="array" ref="K59">IF(D59="Gadget",_xlfn.IFS(I59&gt;=0.2,0.5,I59&gt;=0.1,0.35,I59&gt;=0.05,0.2,TRUE,0),IF(D59="Grenade",_xlfn.IFS(I59&gt;=0.2,1,I59&gt;=0.1,0.7,I59&gt;=0.05,0.4,TRUE,0),0))</f>
        <v>0</v>
      </c>
      <c r="L59" s="57">
        <f t="shared" si="10"/>
        <v>0</v>
      </c>
    </row>
    <row r="60" spans="1:12" ht="15" customHeight="1" x14ac:dyDescent="0.25">
      <c r="A60" s="42" t="str" cm="1">
        <f t="array" ref="A60">IFERROR(INDEX(_xlfn._xlws.FILTER(Class_Players!A:A,Class_Players!B:B="Support"),QUOTIENT(ROW()-ROW($A$2),9)+1),"")</f>
        <v>Clay-_-x</v>
      </c>
      <c r="B60" s="42" t="str">
        <f>_xlfn.XLOOKUP(A60,Class_Players!$A:$A,Class_Players!$B:$B,"")</f>
        <v>Support</v>
      </c>
      <c r="C60" s="38" t="str" cm="1">
        <f t="array" ref="C60">INDEX(Lookups!$D$2:$D$10,MOD(ROW()-ROW($B$2),ROWS(Lookups!$D$2:$D$10))+1)</f>
        <v>SICH G1 WP (Incendiary Airburst Launcher)</v>
      </c>
      <c r="D60" s="38" t="str">
        <f>_xlfn.XLOOKUP(C60,Analysis_Gadgets!$C:$C,Analysis_Gadgets!$B:$B)</f>
        <v>Gadget</v>
      </c>
      <c r="E60" s="43">
        <v>206</v>
      </c>
      <c r="F60" s="43">
        <f>_xlfn.XLOOKUP(A60,Class_Players!A:A,Class_Players!G:G)</f>
        <v>231</v>
      </c>
      <c r="G60" s="43">
        <f t="shared" si="0"/>
        <v>0.89177489177489178</v>
      </c>
      <c r="H60" s="43">
        <f>_xlfn.XLOOKUP(A60,Class_Players!$A:$A,Class_Players!$F:$F,"")</f>
        <v>18210</v>
      </c>
      <c r="I60" s="44">
        <f t="shared" si="5"/>
        <v>1.1312465678198791E-2</v>
      </c>
      <c r="J60" s="43">
        <f t="shared" si="1"/>
        <v>0</v>
      </c>
      <c r="K60" s="44" cm="1">
        <f t="array" ref="K60">IF(D60="Gadget",_xlfn.IFS(I60&gt;=0.2,0.5,I60&gt;=0.1,0.35,I60&gt;=0.05,0.2,TRUE,0),IF(D60="Grenade",_xlfn.IFS(I60&gt;=0.2,1,I60&gt;=0.1,0.7,I60&gt;=0.05,0.4,TRUE,0),0))</f>
        <v>0</v>
      </c>
      <c r="L60" s="57">
        <f t="shared" si="10"/>
        <v>0</v>
      </c>
    </row>
    <row r="61" spans="1:12" ht="15" customHeight="1" x14ac:dyDescent="0.25">
      <c r="A61" s="42" t="str" cm="1">
        <f t="array" ref="A61">IFERROR(INDEX(_xlfn._xlws.FILTER(Class_Players!A:A,Class_Players!B:B="Support"),QUOTIENT(ROW()-ROW($A$2),9)+1),"")</f>
        <v>Clay-_-x</v>
      </c>
      <c r="B61" s="42" t="str">
        <f>_xlfn.XLOOKUP(A61,Class_Players!$A:$A,Class_Players!$B:$B,"")</f>
        <v>Support</v>
      </c>
      <c r="C61" s="38" t="str" cm="1">
        <f t="array" ref="C61">INDEX(Lookups!$D$2:$D$10,MOD(ROW()-ROW($B$2),ROWS(Lookups!$D$2:$D$10))+1)</f>
        <v>Deployable Cover</v>
      </c>
      <c r="D61" s="38" t="str">
        <f>_xlfn.XLOOKUP(C61,Analysis_Gadgets!$C:$C,Analysis_Gadgets!$B:$B)</f>
        <v>Gadget</v>
      </c>
      <c r="E61" s="43">
        <v>12158</v>
      </c>
      <c r="F61" s="43">
        <f>_xlfn.XLOOKUP(A61,Class_Players!A:A,Class_Players!G:G)</f>
        <v>231</v>
      </c>
      <c r="G61" s="43">
        <f t="shared" si="0"/>
        <v>52.632034632034632</v>
      </c>
      <c r="H61" s="43">
        <f>_xlfn.XLOOKUP(A61,Class_Players!$A:$A,Class_Players!$F:$F,"")</f>
        <v>18210</v>
      </c>
      <c r="I61" s="44">
        <f t="shared" si="5"/>
        <v>0.66765513454146075</v>
      </c>
      <c r="J61" s="43">
        <f t="shared" si="1"/>
        <v>1</v>
      </c>
      <c r="K61" s="44" cm="1">
        <f t="array" ref="K61">IF(D61="Gadget",_xlfn.IFS(I61&gt;=0.2,0.5,I61&gt;=0.1,0.35,I61&gt;=0.05,0.2,TRUE,0),IF(D61="Grenade",_xlfn.IFS(I61&gt;=0.2,1,I61&gt;=0.1,0.7,I61&gt;=0.05,0.4,TRUE,0),0))</f>
        <v>0.5</v>
      </c>
      <c r="L61" s="57">
        <f t="shared" si="10"/>
        <v>0.5</v>
      </c>
    </row>
    <row r="62" spans="1:12" ht="15" customHeight="1" x14ac:dyDescent="0.25">
      <c r="A62" s="42" t="str" cm="1">
        <f t="array" ref="A62">IFERROR(INDEX(_xlfn._xlws.FILTER(Class_Players!A:A,Class_Players!B:B="Support"),QUOTIENT(ROW()-ROW($A$2),9)+1),"")</f>
        <v>Clay-_-x</v>
      </c>
      <c r="B62" s="42" t="str">
        <f>_xlfn.XLOOKUP(A62,Class_Players!$A:$A,Class_Players!$B:$B,"")</f>
        <v>Support</v>
      </c>
      <c r="C62" s="38" t="str" cm="1">
        <f t="array" ref="C62">INDEX(Lookups!$D$2:$D$10,MOD(ROW()-ROW($B$2),ROWS(Lookups!$D$2:$D$10))+1)</f>
        <v>Supply Pouch</v>
      </c>
      <c r="D62" s="38" t="str">
        <f>_xlfn.XLOOKUP(C62,Analysis_Gadgets!$C:$C,Analysis_Gadgets!$B:$B)</f>
        <v>Gadget</v>
      </c>
      <c r="E62" s="43">
        <v>98</v>
      </c>
      <c r="F62" s="43">
        <f>_xlfn.XLOOKUP(A62,Class_Players!A:A,Class_Players!G:G)</f>
        <v>231</v>
      </c>
      <c r="G62" s="43">
        <f t="shared" si="0"/>
        <v>0.42424242424242425</v>
      </c>
      <c r="H62" s="43">
        <f>_xlfn.XLOOKUP(A62,Class_Players!$A:$A,Class_Players!$F:$F,"")</f>
        <v>18210</v>
      </c>
      <c r="I62" s="44">
        <f t="shared" si="5"/>
        <v>5.381658429434377E-3</v>
      </c>
      <c r="J62" s="43">
        <f t="shared" si="1"/>
        <v>0</v>
      </c>
      <c r="K62" s="44" cm="1">
        <f t="array" ref="K62">IF(D62="Gadget",_xlfn.IFS(I62&gt;=0.2,0.5,I62&gt;=0.1,0.35,I62&gt;=0.05,0.2,TRUE,0),IF(D62="Grenade",_xlfn.IFS(I62&gt;=0.2,1,I62&gt;=0.1,0.7,I62&gt;=0.05,0.4,TRUE,0),0))</f>
        <v>0</v>
      </c>
      <c r="L62" s="57">
        <f t="shared" si="10"/>
        <v>0</v>
      </c>
    </row>
    <row r="63" spans="1:12" ht="15" customHeight="1" x14ac:dyDescent="0.25">
      <c r="A63" s="42" t="str" cm="1">
        <f t="array" ref="A63">IFERROR(INDEX(_xlfn._xlws.FILTER(Class_Players!A:A,Class_Players!B:B="Support"),QUOTIENT(ROW()-ROW($A$2),9)+1),"")</f>
        <v>Clay-_-x</v>
      </c>
      <c r="B63" s="42" t="str">
        <f>_xlfn.XLOOKUP(A63,Class_Players!$A:$A,Class_Players!$B:$B,"")</f>
        <v>Support</v>
      </c>
      <c r="C63" s="38" t="str" cm="1">
        <f t="array" ref="C63">INDEX(Lookups!$D$2:$D$10,MOD(ROW()-ROW($B$2),ROWS(Lookups!$D$2:$D$10))+1)</f>
        <v>Smoke Grenade</v>
      </c>
      <c r="D63" s="38" t="str">
        <f>_xlfn.XLOOKUP(C63,Analysis_Gadgets!$C:$C,Analysis_Gadgets!$B:$B)</f>
        <v>Grenade</v>
      </c>
      <c r="E63" s="43">
        <v>627</v>
      </c>
      <c r="F63" s="43">
        <f>_xlfn.XLOOKUP(A63,Class_Players!A:A,Class_Players!G:G)</f>
        <v>231</v>
      </c>
      <c r="G63" s="43">
        <f t="shared" si="0"/>
        <v>2.7142857142857144</v>
      </c>
      <c r="H63" s="43">
        <f>_xlfn.XLOOKUP(A63,Class_Players!$A:$A,Class_Players!$F:$F,"")</f>
        <v>18210</v>
      </c>
      <c r="I63" s="44">
        <f t="shared" si="5"/>
        <v>3.4431630971993407E-2</v>
      </c>
      <c r="J63" s="43">
        <f t="shared" si="1"/>
        <v>0</v>
      </c>
      <c r="K63" s="44" cm="1">
        <f t="array" ref="K63">IF(D63="Gadget",_xlfn.IFS(I63&gt;=0.2,0.5,I63&gt;=0.1,0.35,I63&gt;=0.05,0.2,TRUE,0),IF(D63="Grenade",_xlfn.IFS(I63&gt;=0.2,1,I63&gt;=0.1,0.7,I63&gt;=0.05,0.4,TRUE,0),0))</f>
        <v>0</v>
      </c>
      <c r="L63" s="57">
        <f>IF($K63=0,0,$K63 / SUMIFS($K:$K,$A:$A,$A63,$D:$D,"Grenade"))</f>
        <v>0</v>
      </c>
    </row>
    <row r="64" spans="1:12" ht="15" customHeight="1" x14ac:dyDescent="0.25">
      <c r="A64" s="42" t="str" cm="1">
        <f t="array" ref="A64">IFERROR(INDEX(_xlfn._xlws.FILTER(Class_Players!A:A,Class_Players!B:B="Support"),QUOTIENT(ROW()-ROW($A$2),9)+1),"")</f>
        <v>Clay-_-x</v>
      </c>
      <c r="B64" s="42" t="str">
        <f>_xlfn.XLOOKUP(A64,Class_Players!$A:$A,Class_Players!$B:$B,"")</f>
        <v>Support</v>
      </c>
      <c r="C64" s="38" t="str" cm="1">
        <f t="array" ref="C64">INDEX(Lookups!$D$2:$D$10,MOD(ROW()-ROW($B$2),ROWS(Lookups!$D$2:$D$10))+1)</f>
        <v>Incendiary Grenade</v>
      </c>
      <c r="D64" s="38" t="str">
        <f>_xlfn.XLOOKUP(C64,Analysis_Gadgets!$C:$C,Analysis_Gadgets!$B:$B)</f>
        <v>Grenade</v>
      </c>
      <c r="E64" s="43">
        <v>22336</v>
      </c>
      <c r="F64" s="43">
        <f>_xlfn.XLOOKUP(A64,Class_Players!A:A,Class_Players!G:G)</f>
        <v>231</v>
      </c>
      <c r="G64" s="43">
        <f t="shared" si="0"/>
        <v>96.692640692640694</v>
      </c>
      <c r="H64" s="43">
        <f>_xlfn.XLOOKUP(A64,Class_Players!$A:$A,Class_Players!$F:$F,"")</f>
        <v>18210</v>
      </c>
      <c r="I64" s="44">
        <f t="shared" si="5"/>
        <v>1.226578802855574</v>
      </c>
      <c r="J64" s="43">
        <f t="shared" si="1"/>
        <v>1</v>
      </c>
      <c r="K64" s="44" cm="1">
        <f t="array" ref="K64">IF(D64="Gadget",_xlfn.IFS(I64&gt;=0.2,0.5,I64&gt;=0.1,0.35,I64&gt;=0.05,0.2,TRUE,0),IF(D64="Grenade",_xlfn.IFS(I64&gt;=0.2,1,I64&gt;=0.1,0.7,I64&gt;=0.05,0.4,TRUE,0),0))</f>
        <v>1</v>
      </c>
      <c r="L64" s="57">
        <f>IF($K64=0,0,$K64 / SUMIFS($K:$K,$A:$A,$A64,$D:$D,"Grenade"))</f>
        <v>1</v>
      </c>
    </row>
    <row r="65" spans="1:12" ht="15" customHeight="1" x14ac:dyDescent="0.25">
      <c r="A65" s="42" t="str" cm="1">
        <f t="array" ref="A65">IFERROR(INDEX(_xlfn._xlws.FILTER(Class_Players!A:A,Class_Players!B:B="Support"),QUOTIENT(ROW()-ROW($A$2),9)+1),"")</f>
        <v>o3koga</v>
      </c>
      <c r="B65" s="42" t="str">
        <f>_xlfn.XLOOKUP(A65,Class_Players!$A:$A,Class_Players!$B:$B,"")</f>
        <v>Support</v>
      </c>
      <c r="C65" s="38" t="str" cm="1">
        <f t="array" ref="C65">INDEX(Lookups!$D$2:$D$10,MOD(ROW()-ROW($B$2),ROWS(Lookups!$D$2:$D$10))+1)</f>
        <v>GPDIS (Grenade intercept system)</v>
      </c>
      <c r="D65" s="38" t="str">
        <f>_xlfn.XLOOKUP(C65,Analysis_Gadgets!$C:$C,Analysis_Gadgets!$B:$B)</f>
        <v>Gadget</v>
      </c>
      <c r="E65" s="43">
        <v>27</v>
      </c>
      <c r="F65" s="43">
        <f>_xlfn.XLOOKUP(A65,Class_Players!A:A,Class_Players!G:G)</f>
        <v>322</v>
      </c>
      <c r="G65" s="43">
        <f t="shared" si="0"/>
        <v>8.3850931677018639E-2</v>
      </c>
      <c r="H65" s="43">
        <f>_xlfn.XLOOKUP(A65,Class_Players!$A:$A,Class_Players!$F:$F,"")</f>
        <v>17752</v>
      </c>
      <c r="I65" s="44">
        <f t="shared" si="5"/>
        <v>1.5209553853086975E-3</v>
      </c>
      <c r="J65" s="43">
        <f t="shared" si="1"/>
        <v>0</v>
      </c>
      <c r="K65" s="44" cm="1">
        <f t="array" ref="K65">IF(D65="Gadget",_xlfn.IFS(I65&gt;=0.2,0.5,I65&gt;=0.1,0.35,I65&gt;=0.05,0.2,TRUE,0),IF(D65="Grenade",_xlfn.IFS(I65&gt;=0.2,1,I65&gt;=0.1,0.7,I65&gt;=0.05,0.4,TRUE,0),0))</f>
        <v>0</v>
      </c>
      <c r="L65" s="57">
        <f>IF($K65=0,0,$K65 / SUMIFS($K:$K,$A:$A,$A65,$D:$D,"Gadget"))</f>
        <v>0</v>
      </c>
    </row>
    <row r="66" spans="1:12" ht="15" customHeight="1" x14ac:dyDescent="0.25">
      <c r="A66" s="42" t="str" cm="1">
        <f t="array" ref="A66">IFERROR(INDEX(_xlfn._xlws.FILTER(Class_Players!A:A,Class_Players!B:B="Support"),QUOTIENT(ROW()-ROW($A$2),9)+1),"")</f>
        <v>o3koga</v>
      </c>
      <c r="B66" s="42" t="str">
        <f>_xlfn.XLOOKUP(A66,Class_Players!$A:$A,Class_Players!$B:$B,"")</f>
        <v>Support</v>
      </c>
      <c r="C66" s="38" t="str" cm="1">
        <f t="array" ref="C66">INDEX(Lookups!$D$2:$D$10,MOD(ROW()-ROW($B$2),ROWS(Lookups!$D$2:$D$10))+1)</f>
        <v>MP-APS (Missile intercept system)</v>
      </c>
      <c r="D66" s="38" t="str">
        <f>_xlfn.XLOOKUP(C66,Analysis_Gadgets!$C:$C,Analysis_Gadgets!$B:$B)</f>
        <v>Gadget</v>
      </c>
      <c r="E66" s="43">
        <v>0</v>
      </c>
      <c r="F66" s="43">
        <f>_xlfn.XLOOKUP(A66,Class_Players!A:A,Class_Players!G:G)</f>
        <v>322</v>
      </c>
      <c r="G66" s="43">
        <f t="shared" si="0"/>
        <v>0</v>
      </c>
      <c r="H66" s="43">
        <f>_xlfn.XLOOKUP(A66,Class_Players!$A:$A,Class_Players!$F:$F,"")</f>
        <v>17752</v>
      </c>
      <c r="I66" s="44">
        <f t="shared" si="5"/>
        <v>0</v>
      </c>
      <c r="J66" s="43">
        <f t="shared" si="1"/>
        <v>0</v>
      </c>
      <c r="K66" s="44" cm="1">
        <f t="array" ref="K66">IF(D66="Gadget",_xlfn.IFS(I66&gt;=0.2,0.5,I66&gt;=0.1,0.35,I66&gt;=0.05,0.2,TRUE,0),IF(D66="Grenade",_xlfn.IFS(I66&gt;=0.2,1,I66&gt;=0.1,0.7,I66&gt;=0.05,0.4,TRUE,0),0))</f>
        <v>0</v>
      </c>
      <c r="L66" s="57">
        <f t="shared" ref="L66:L71" si="11">IF($K66=0,0,$K66 / SUMIFS($K:$K,$A:$A,$A66,$D:$D,"Gadget"))</f>
        <v>0</v>
      </c>
    </row>
    <row r="67" spans="1:12" ht="15" customHeight="1" x14ac:dyDescent="0.25">
      <c r="A67" s="42" t="str" cm="1">
        <f t="array" ref="A67">IFERROR(INDEX(_xlfn._xlws.FILTER(Class_Players!A:A,Class_Players!B:B="Support"),QUOTIENT(ROW()-ROW($A$2),9)+1),"")</f>
        <v>o3koga</v>
      </c>
      <c r="B67" s="42" t="str">
        <f>_xlfn.XLOOKUP(A67,Class_Players!$A:$A,Class_Players!$B:$B,"")</f>
        <v>Support</v>
      </c>
      <c r="C67" s="38" t="str" cm="1">
        <f t="array" ref="C67">INDEX(Lookups!$D$2:$D$10,MOD(ROW()-ROW($B$2),ROWS(Lookups!$D$2:$D$10))+1)</f>
        <v>LWCMS (Mortar)</v>
      </c>
      <c r="D67" s="38" t="str">
        <f>_xlfn.XLOOKUP(C67,Analysis_Gadgets!$C:$C,Analysis_Gadgets!$B:$B)</f>
        <v>Gadget</v>
      </c>
      <c r="E67" s="43">
        <v>1</v>
      </c>
      <c r="F67" s="43">
        <f>_xlfn.XLOOKUP(A67,Class_Players!A:A,Class_Players!G:G)</f>
        <v>322</v>
      </c>
      <c r="G67" s="43">
        <f t="shared" ref="G67:G91" si="12">IF(F67=0,"",E67/(F67))</f>
        <v>3.105590062111801E-3</v>
      </c>
      <c r="H67" s="43">
        <f>_xlfn.XLOOKUP(A67,Class_Players!$A:$A,Class_Players!$F:$F,"")</f>
        <v>17752</v>
      </c>
      <c r="I67" s="44">
        <f t="shared" si="5"/>
        <v>5.6331680937359172E-5</v>
      </c>
      <c r="J67" s="43">
        <f t="shared" ref="J67:J136" si="13">IF(I67&gt;=0.1,1,0)</f>
        <v>0</v>
      </c>
      <c r="K67" s="44" cm="1">
        <f t="array" ref="K67">IF(D67="Gadget",_xlfn.IFS(I67&gt;=0.2,0.5,I67&gt;=0.1,0.35,I67&gt;=0.05,0.2,TRUE,0),IF(D67="Grenade",_xlfn.IFS(I67&gt;=0.2,1,I67&gt;=0.1,0.7,I67&gt;=0.05,0.4,TRUE,0),0))</f>
        <v>0</v>
      </c>
      <c r="L67" s="57">
        <f t="shared" si="11"/>
        <v>0</v>
      </c>
    </row>
    <row r="68" spans="1:12" ht="15" customHeight="1" x14ac:dyDescent="0.25">
      <c r="A68" s="42" t="str" cm="1">
        <f t="array" ref="A68">IFERROR(INDEX(_xlfn._xlws.FILTER(Class_Players!A:A,Class_Players!B:B="Support"),QUOTIENT(ROW()-ROW($A$2),9)+1),"")</f>
        <v>o3koga</v>
      </c>
      <c r="B68" s="42" t="str">
        <f>_xlfn.XLOOKUP(A68,Class_Players!$A:$A,Class_Players!$B:$B,"")</f>
        <v>Support</v>
      </c>
      <c r="C68" s="38" t="str" cm="1">
        <f t="array" ref="C68">INDEX(Lookups!$D$2:$D$10,MOD(ROW()-ROW($B$2),ROWS(Lookups!$D$2:$D$10))+1)</f>
        <v>M320A1 SMK (Smoke Grenade Launcher)</v>
      </c>
      <c r="D68" s="38" t="str">
        <f>_xlfn.XLOOKUP(C68,Analysis_Gadgets!$C:$C,Analysis_Gadgets!$B:$B)</f>
        <v>Gadget</v>
      </c>
      <c r="E68" s="43">
        <v>69</v>
      </c>
      <c r="F68" s="43">
        <f>_xlfn.XLOOKUP(A68,Class_Players!A:A,Class_Players!G:G)</f>
        <v>322</v>
      </c>
      <c r="G68" s="43">
        <f t="shared" si="12"/>
        <v>0.21428571428571427</v>
      </c>
      <c r="H68" s="43">
        <f>_xlfn.XLOOKUP(A68,Class_Players!$A:$A,Class_Players!$F:$F,"")</f>
        <v>17752</v>
      </c>
      <c r="I68" s="44">
        <f t="shared" si="5"/>
        <v>3.886885984677783E-3</v>
      </c>
      <c r="J68" s="43">
        <f t="shared" si="13"/>
        <v>0</v>
      </c>
      <c r="K68" s="44" cm="1">
        <f t="array" ref="K68">IF(D68="Gadget",_xlfn.IFS(I68&gt;=0.2,0.5,I68&gt;=0.1,0.35,I68&gt;=0.05,0.2,TRUE,0),IF(D68="Grenade",_xlfn.IFS(I68&gt;=0.2,1,I68&gt;=0.1,0.7,I68&gt;=0.05,0.4,TRUE,0),0))</f>
        <v>0</v>
      </c>
      <c r="L68" s="57">
        <f t="shared" si="11"/>
        <v>0</v>
      </c>
    </row>
    <row r="69" spans="1:12" ht="15" customHeight="1" x14ac:dyDescent="0.25">
      <c r="A69" s="42" t="str" cm="1">
        <f t="array" ref="A69">IFERROR(INDEX(_xlfn._xlws.FILTER(Class_Players!A:A,Class_Players!B:B="Support"),QUOTIENT(ROW()-ROW($A$2),9)+1),"")</f>
        <v>o3koga</v>
      </c>
      <c r="B69" s="42" t="str">
        <f>_xlfn.XLOOKUP(A69,Class_Players!$A:$A,Class_Players!$B:$B,"")</f>
        <v>Support</v>
      </c>
      <c r="C69" s="38" t="str" cm="1">
        <f t="array" ref="C69">INDEX(Lookups!$D$2:$D$10,MOD(ROW()-ROW($B$2),ROWS(Lookups!$D$2:$D$10))+1)</f>
        <v>SICH G1 WP (Incendiary Airburst Launcher)</v>
      </c>
      <c r="D69" s="38" t="str">
        <f>_xlfn.XLOOKUP(C69,Analysis_Gadgets!$C:$C,Analysis_Gadgets!$B:$B)</f>
        <v>Gadget</v>
      </c>
      <c r="E69" s="43">
        <v>315</v>
      </c>
      <c r="F69" s="43">
        <f>_xlfn.XLOOKUP(A69,Class_Players!A:A,Class_Players!G:G)</f>
        <v>322</v>
      </c>
      <c r="G69" s="43">
        <f t="shared" si="12"/>
        <v>0.97826086956521741</v>
      </c>
      <c r="H69" s="43">
        <f>_xlfn.XLOOKUP(A69,Class_Players!$A:$A,Class_Players!$F:$F,"")</f>
        <v>17752</v>
      </c>
      <c r="I69" s="44">
        <f t="shared" si="5"/>
        <v>1.774447949526814E-2</v>
      </c>
      <c r="J69" s="43">
        <f t="shared" si="13"/>
        <v>0</v>
      </c>
      <c r="K69" s="44" cm="1">
        <f t="array" ref="K69">IF(D69="Gadget",_xlfn.IFS(I69&gt;=0.2,0.5,I69&gt;=0.1,0.35,I69&gt;=0.05,0.2,TRUE,0),IF(D69="Grenade",_xlfn.IFS(I69&gt;=0.2,1,I69&gt;=0.1,0.7,I69&gt;=0.05,0.4,TRUE,0),0))</f>
        <v>0</v>
      </c>
      <c r="L69" s="57">
        <f t="shared" si="11"/>
        <v>0</v>
      </c>
    </row>
    <row r="70" spans="1:12" ht="15" customHeight="1" x14ac:dyDescent="0.25">
      <c r="A70" s="42" t="str" cm="1">
        <f t="array" ref="A70">IFERROR(INDEX(_xlfn._xlws.FILTER(Class_Players!A:A,Class_Players!B:B="Support"),QUOTIENT(ROW()-ROW($A$2),9)+1),"")</f>
        <v>o3koga</v>
      </c>
      <c r="B70" s="42" t="str">
        <f>_xlfn.XLOOKUP(A70,Class_Players!$A:$A,Class_Players!$B:$B,"")</f>
        <v>Support</v>
      </c>
      <c r="C70" s="38" t="str" cm="1">
        <f t="array" ref="C70">INDEX(Lookups!$D$2:$D$10,MOD(ROW()-ROW($B$2),ROWS(Lookups!$D$2:$D$10))+1)</f>
        <v>Deployable Cover</v>
      </c>
      <c r="D70" s="38" t="str">
        <f>_xlfn.XLOOKUP(C70,Analysis_Gadgets!$C:$C,Analysis_Gadgets!$B:$B)</f>
        <v>Gadget</v>
      </c>
      <c r="E70" s="43">
        <v>559</v>
      </c>
      <c r="F70" s="43">
        <f>_xlfn.XLOOKUP(A70,Class_Players!A:A,Class_Players!G:G)</f>
        <v>322</v>
      </c>
      <c r="G70" s="43">
        <f t="shared" si="12"/>
        <v>1.7360248447204969</v>
      </c>
      <c r="H70" s="43">
        <f>_xlfn.XLOOKUP(A70,Class_Players!$A:$A,Class_Players!$F:$F,"")</f>
        <v>17752</v>
      </c>
      <c r="I70" s="44">
        <f t="shared" si="5"/>
        <v>3.1489409643983779E-2</v>
      </c>
      <c r="J70" s="43">
        <f t="shared" si="13"/>
        <v>0</v>
      </c>
      <c r="K70" s="44" cm="1">
        <f t="array" ref="K70">IF(D70="Gadget",_xlfn.IFS(I70&gt;=0.2,0.5,I70&gt;=0.1,0.35,I70&gt;=0.05,0.2,TRUE,0),IF(D70="Grenade",_xlfn.IFS(I70&gt;=0.2,1,I70&gt;=0.1,0.7,I70&gt;=0.05,0.4,TRUE,0),0))</f>
        <v>0</v>
      </c>
      <c r="L70" s="57">
        <f t="shared" si="11"/>
        <v>0</v>
      </c>
    </row>
    <row r="71" spans="1:12" ht="15" customHeight="1" x14ac:dyDescent="0.25">
      <c r="A71" s="42" t="str" cm="1">
        <f t="array" ref="A71">IFERROR(INDEX(_xlfn._xlws.FILTER(Class_Players!A:A,Class_Players!B:B="Support"),QUOTIENT(ROW()-ROW($A$2),9)+1),"")</f>
        <v>o3koga</v>
      </c>
      <c r="B71" s="42" t="str">
        <f>_xlfn.XLOOKUP(A71,Class_Players!$A:$A,Class_Players!$B:$B,"")</f>
        <v>Support</v>
      </c>
      <c r="C71" s="38" t="str" cm="1">
        <f t="array" ref="C71">INDEX(Lookups!$D$2:$D$10,MOD(ROW()-ROW($B$2),ROWS(Lookups!$D$2:$D$10))+1)</f>
        <v>Supply Pouch</v>
      </c>
      <c r="D71" s="38" t="str">
        <f>_xlfn.XLOOKUP(C71,Analysis_Gadgets!$C:$C,Analysis_Gadgets!$B:$B)</f>
        <v>Gadget</v>
      </c>
      <c r="E71" s="43">
        <v>1167</v>
      </c>
      <c r="F71" s="43">
        <f>_xlfn.XLOOKUP(A71,Class_Players!A:A,Class_Players!G:G)</f>
        <v>322</v>
      </c>
      <c r="G71" s="43">
        <f t="shared" si="12"/>
        <v>3.6242236024844718</v>
      </c>
      <c r="H71" s="43">
        <f>_xlfn.XLOOKUP(A71,Class_Players!$A:$A,Class_Players!$F:$F,"")</f>
        <v>17752</v>
      </c>
      <c r="I71" s="44">
        <f t="shared" si="5"/>
        <v>6.5739071653898154E-2</v>
      </c>
      <c r="J71" s="43">
        <f t="shared" si="13"/>
        <v>0</v>
      </c>
      <c r="K71" s="44" cm="1">
        <f t="array" ref="K71">IF(D71="Gadget",_xlfn.IFS(I71&gt;=0.2,0.5,I71&gt;=0.1,0.35,I71&gt;=0.05,0.2,TRUE,0),IF(D71="Grenade",_xlfn.IFS(I71&gt;=0.2,1,I71&gt;=0.1,0.7,I71&gt;=0.05,0.4,TRUE,0),0))</f>
        <v>0.2</v>
      </c>
      <c r="L71" s="57">
        <f t="shared" si="11"/>
        <v>1</v>
      </c>
    </row>
    <row r="72" spans="1:12" ht="15" customHeight="1" x14ac:dyDescent="0.25">
      <c r="A72" s="42" t="str" cm="1">
        <f t="array" ref="A72">IFERROR(INDEX(_xlfn._xlws.FILTER(Class_Players!A:A,Class_Players!B:B="Support"),QUOTIENT(ROW()-ROW($A$2),9)+1),"")</f>
        <v>o3koga</v>
      </c>
      <c r="B72" s="42" t="str">
        <f>_xlfn.XLOOKUP(A72,Class_Players!$A:$A,Class_Players!$B:$B,"")</f>
        <v>Support</v>
      </c>
      <c r="C72" s="38" t="str" cm="1">
        <f t="array" ref="C72">INDEX(Lookups!$D$2:$D$10,MOD(ROW()-ROW($B$2),ROWS(Lookups!$D$2:$D$10))+1)</f>
        <v>Smoke Grenade</v>
      </c>
      <c r="D72" s="38" t="str">
        <f>_xlfn.XLOOKUP(C72,Analysis_Gadgets!$C:$C,Analysis_Gadgets!$B:$B)</f>
        <v>Grenade</v>
      </c>
      <c r="E72" s="43">
        <v>1986</v>
      </c>
      <c r="F72" s="43">
        <f>_xlfn.XLOOKUP(A72,Class_Players!A:A,Class_Players!G:G)</f>
        <v>322</v>
      </c>
      <c r="G72" s="43">
        <f t="shared" si="12"/>
        <v>6.1677018633540373</v>
      </c>
      <c r="H72" s="43">
        <f>_xlfn.XLOOKUP(A72,Class_Players!$A:$A,Class_Players!$F:$F,"")</f>
        <v>17752</v>
      </c>
      <c r="I72" s="44">
        <f t="shared" si="5"/>
        <v>0.11187471834159532</v>
      </c>
      <c r="J72" s="43">
        <f t="shared" si="13"/>
        <v>1</v>
      </c>
      <c r="K72" s="44" cm="1">
        <f t="array" ref="K72">IF(D72="Gadget",_xlfn.IFS(I72&gt;=0.2,0.5,I72&gt;=0.1,0.35,I72&gt;=0.05,0.2,TRUE,0),IF(D72="Grenade",_xlfn.IFS(I72&gt;=0.2,1,I72&gt;=0.1,0.7,I72&gt;=0.05,0.4,TRUE,0),0))</f>
        <v>0.7</v>
      </c>
      <c r="L72" s="57">
        <f>IF($K72=0,0,$K72 / SUMIFS($K:$K,$A:$A,$A72,$D:$D,"Grenade"))</f>
        <v>1</v>
      </c>
    </row>
    <row r="73" spans="1:12" ht="15" customHeight="1" x14ac:dyDescent="0.25">
      <c r="A73" s="42" t="str" cm="1">
        <f t="array" ref="A73">IFERROR(INDEX(_xlfn._xlws.FILTER(Class_Players!A:A,Class_Players!B:B="Support"),QUOTIENT(ROW()-ROW($A$2),9)+1),"")</f>
        <v>o3koga</v>
      </c>
      <c r="B73" s="42" t="str">
        <f>_xlfn.XLOOKUP(A73,Class_Players!$A:$A,Class_Players!$B:$B,"")</f>
        <v>Support</v>
      </c>
      <c r="C73" s="38" t="str" cm="1">
        <f t="array" ref="C73">INDEX(Lookups!$D$2:$D$10,MOD(ROW()-ROW($B$2),ROWS(Lookups!$D$2:$D$10))+1)</f>
        <v>Incendiary Grenade</v>
      </c>
      <c r="D73" s="38" t="str">
        <f>_xlfn.XLOOKUP(C73,Analysis_Gadgets!$C:$C,Analysis_Gadgets!$B:$B)</f>
        <v>Grenade</v>
      </c>
      <c r="E73" s="43">
        <v>221</v>
      </c>
      <c r="F73" s="43">
        <f>_xlfn.XLOOKUP(A73,Class_Players!A:A,Class_Players!G:G)</f>
        <v>322</v>
      </c>
      <c r="G73" s="43">
        <f t="shared" si="12"/>
        <v>0.68633540372670809</v>
      </c>
      <c r="H73" s="43">
        <f>_xlfn.XLOOKUP(A73,Class_Players!$A:$A,Class_Players!$F:$F,"")</f>
        <v>17752</v>
      </c>
      <c r="I73" s="44">
        <f t="shared" si="5"/>
        <v>1.2449301487156377E-2</v>
      </c>
      <c r="J73" s="43">
        <f t="shared" si="13"/>
        <v>0</v>
      </c>
      <c r="K73" s="44" cm="1">
        <f t="array" ref="K73">IF(D73="Gadget",_xlfn.IFS(I73&gt;=0.2,0.5,I73&gt;=0.1,0.35,I73&gt;=0.05,0.2,TRUE,0),IF(D73="Grenade",_xlfn.IFS(I73&gt;=0.2,1,I73&gt;=0.1,0.7,I73&gt;=0.05,0.4,TRUE,0),0))</f>
        <v>0</v>
      </c>
      <c r="L73" s="57">
        <f>IF($K73=0,0,$K73 / SUMIFS($K:$K,$A:$A,$A73,$D:$D,"Grenade"))</f>
        <v>0</v>
      </c>
    </row>
    <row r="74" spans="1:12" ht="15" customHeight="1" x14ac:dyDescent="0.25">
      <c r="A74" s="42" t="str" cm="1">
        <f t="array" ref="A74">IFERROR(INDEX(_xlfn._xlws.FILTER(Class_Players!A:A,Class_Players!B:B="Support"),QUOTIENT(ROW()-ROW($A$2),9)+1),"")</f>
        <v>Veh</v>
      </c>
      <c r="B74" s="42" t="str">
        <f>_xlfn.XLOOKUP(A74,Class_Players!$A:$A,Class_Players!$B:$B,"")</f>
        <v>Support</v>
      </c>
      <c r="C74" s="38" t="str" cm="1">
        <f t="array" ref="C74">INDEX(Lookups!$D$2:$D$10,MOD(ROW()-ROW($B$2),ROWS(Lookups!$D$2:$D$10))+1)</f>
        <v>GPDIS (Grenade intercept system)</v>
      </c>
      <c r="D74" s="38" t="str">
        <f>_xlfn.XLOOKUP(C74,Analysis_Gadgets!$C:$C,Analysis_Gadgets!$B:$B)</f>
        <v>Gadget</v>
      </c>
      <c r="E74" s="43">
        <v>159</v>
      </c>
      <c r="F74" s="43">
        <f>_xlfn.XLOOKUP(A74,Class_Players!A:A,Class_Players!G:G)</f>
        <v>107</v>
      </c>
      <c r="G74" s="43">
        <f t="shared" si="12"/>
        <v>1.485981308411215</v>
      </c>
      <c r="H74" s="43">
        <f>_xlfn.XLOOKUP(A74,Class_Players!$A:$A,Class_Players!$F:$F,"")</f>
        <v>17081</v>
      </c>
      <c r="I74" s="44">
        <f t="shared" si="5"/>
        <v>9.3085884901352375E-3</v>
      </c>
      <c r="J74" s="43">
        <f t="shared" si="13"/>
        <v>0</v>
      </c>
      <c r="K74" s="44" cm="1">
        <f t="array" ref="K74">IF(D74="Gadget",_xlfn.IFS(I74&gt;=0.2,0.5,I74&gt;=0.1,0.35,I74&gt;=0.05,0.2,TRUE,0),IF(D74="Grenade",_xlfn.IFS(I74&gt;=0.2,1,I74&gt;=0.1,0.7,I74&gt;=0.05,0.4,TRUE,0),0))</f>
        <v>0</v>
      </c>
      <c r="L74" s="57">
        <f>IF($K74=0,0,$K74 / SUMIFS($K:$K,$A:$A,$A74,$D:$D,"Gadget"))</f>
        <v>0</v>
      </c>
    </row>
    <row r="75" spans="1:12" ht="15" customHeight="1" x14ac:dyDescent="0.25">
      <c r="A75" s="42" t="str" cm="1">
        <f t="array" ref="A75">IFERROR(INDEX(_xlfn._xlws.FILTER(Class_Players!A:A,Class_Players!B:B="Support"),QUOTIENT(ROW()-ROW($A$2),9)+1),"")</f>
        <v>Veh</v>
      </c>
      <c r="B75" s="42" t="str">
        <f>_xlfn.XLOOKUP(A75,Class_Players!$A:$A,Class_Players!$B:$B,"")</f>
        <v>Support</v>
      </c>
      <c r="C75" s="38" t="str" cm="1">
        <f t="array" ref="C75">INDEX(Lookups!$D$2:$D$10,MOD(ROW()-ROW($B$2),ROWS(Lookups!$D$2:$D$10))+1)</f>
        <v>MP-APS (Missile intercept system)</v>
      </c>
      <c r="D75" s="38" t="str">
        <f>_xlfn.XLOOKUP(C75,Analysis_Gadgets!$C:$C,Analysis_Gadgets!$B:$B)</f>
        <v>Gadget</v>
      </c>
      <c r="E75" s="43">
        <v>0</v>
      </c>
      <c r="F75" s="43">
        <f>_xlfn.XLOOKUP(A75,Class_Players!A:A,Class_Players!G:G)</f>
        <v>107</v>
      </c>
      <c r="G75" s="43">
        <f t="shared" si="12"/>
        <v>0</v>
      </c>
      <c r="H75" s="43">
        <f>_xlfn.XLOOKUP(A75,Class_Players!$A:$A,Class_Players!$F:$F,"")</f>
        <v>17081</v>
      </c>
      <c r="I75" s="44">
        <f t="shared" si="5"/>
        <v>0</v>
      </c>
      <c r="J75" s="43">
        <f t="shared" si="13"/>
        <v>0</v>
      </c>
      <c r="K75" s="44" cm="1">
        <f t="array" ref="K75">IF(D75="Gadget",_xlfn.IFS(I75&gt;=0.2,0.5,I75&gt;=0.1,0.35,I75&gt;=0.05,0.2,TRUE,0),IF(D75="Grenade",_xlfn.IFS(I75&gt;=0.2,1,I75&gt;=0.1,0.7,I75&gt;=0.05,0.4,TRUE,0),0))</f>
        <v>0</v>
      </c>
      <c r="L75" s="57">
        <f t="shared" ref="L75:L80" si="14">IF($K75=0,0,$K75 / SUMIFS($K:$K,$A:$A,$A75,$D:$D,"Gadget"))</f>
        <v>0</v>
      </c>
    </row>
    <row r="76" spans="1:12" ht="15" customHeight="1" x14ac:dyDescent="0.25">
      <c r="A76" s="42" t="str" cm="1">
        <f t="array" ref="A76">IFERROR(INDEX(_xlfn._xlws.FILTER(Class_Players!A:A,Class_Players!B:B="Support"),QUOTIENT(ROW()-ROW($A$2),9)+1),"")</f>
        <v>Veh</v>
      </c>
      <c r="B76" s="42" t="str">
        <f>_xlfn.XLOOKUP(A76,Class_Players!$A:$A,Class_Players!$B:$B,"")</f>
        <v>Support</v>
      </c>
      <c r="C76" s="38" t="str" cm="1">
        <f t="array" ref="C76">INDEX(Lookups!$D$2:$D$10,MOD(ROW()-ROW($B$2),ROWS(Lookups!$D$2:$D$10))+1)</f>
        <v>LWCMS (Mortar)</v>
      </c>
      <c r="D76" s="38" t="str">
        <f>_xlfn.XLOOKUP(C76,Analysis_Gadgets!$C:$C,Analysis_Gadgets!$B:$B)</f>
        <v>Gadget</v>
      </c>
      <c r="E76" s="43">
        <v>48</v>
      </c>
      <c r="F76" s="43">
        <f>_xlfn.XLOOKUP(A76,Class_Players!A:A,Class_Players!G:G)</f>
        <v>107</v>
      </c>
      <c r="G76" s="43">
        <f t="shared" si="12"/>
        <v>0.44859813084112149</v>
      </c>
      <c r="H76" s="43">
        <f>_xlfn.XLOOKUP(A76,Class_Players!$A:$A,Class_Players!$F:$F,"")</f>
        <v>17081</v>
      </c>
      <c r="I76" s="44">
        <f t="shared" si="5"/>
        <v>2.8101399215502607E-3</v>
      </c>
      <c r="J76" s="43">
        <f t="shared" si="13"/>
        <v>0</v>
      </c>
      <c r="K76" s="44" cm="1">
        <f t="array" ref="K76">IF(D76="Gadget",_xlfn.IFS(I76&gt;=0.2,0.5,I76&gt;=0.1,0.35,I76&gt;=0.05,0.2,TRUE,0),IF(D76="Grenade",_xlfn.IFS(I76&gt;=0.2,1,I76&gt;=0.1,0.7,I76&gt;=0.05,0.4,TRUE,0),0))</f>
        <v>0</v>
      </c>
      <c r="L76" s="57">
        <f t="shared" si="14"/>
        <v>0</v>
      </c>
    </row>
    <row r="77" spans="1:12" ht="15" customHeight="1" x14ac:dyDescent="0.25">
      <c r="A77" s="42" t="str" cm="1">
        <f t="array" ref="A77">IFERROR(INDEX(_xlfn._xlws.FILTER(Class_Players!A:A,Class_Players!B:B="Support"),QUOTIENT(ROW()-ROW($A$2),9)+1),"")</f>
        <v>Veh</v>
      </c>
      <c r="B77" s="42" t="str">
        <f>_xlfn.XLOOKUP(A77,Class_Players!$A:$A,Class_Players!$B:$B,"")</f>
        <v>Support</v>
      </c>
      <c r="C77" s="38" t="str" cm="1">
        <f t="array" ref="C77">INDEX(Lookups!$D$2:$D$10,MOD(ROW()-ROW($B$2),ROWS(Lookups!$D$2:$D$10))+1)</f>
        <v>M320A1 SMK (Smoke Grenade Launcher)</v>
      </c>
      <c r="D77" s="38" t="str">
        <f>_xlfn.XLOOKUP(C77,Analysis_Gadgets!$C:$C,Analysis_Gadgets!$B:$B)</f>
        <v>Gadget</v>
      </c>
      <c r="E77" s="43">
        <v>284</v>
      </c>
      <c r="F77" s="43">
        <f>_xlfn.XLOOKUP(A77,Class_Players!A:A,Class_Players!G:G)</f>
        <v>107</v>
      </c>
      <c r="G77" s="43">
        <f t="shared" si="12"/>
        <v>2.6542056074766354</v>
      </c>
      <c r="H77" s="43">
        <f>_xlfn.XLOOKUP(A77,Class_Players!$A:$A,Class_Players!$F:$F,"")</f>
        <v>17081</v>
      </c>
      <c r="I77" s="44">
        <f t="shared" si="5"/>
        <v>1.6626661202505708E-2</v>
      </c>
      <c r="J77" s="43">
        <f t="shared" si="13"/>
        <v>0</v>
      </c>
      <c r="K77" s="44" cm="1">
        <f t="array" ref="K77">IF(D77="Gadget",_xlfn.IFS(I77&gt;=0.2,0.5,I77&gt;=0.1,0.35,I77&gt;=0.05,0.2,TRUE,0),IF(D77="Grenade",_xlfn.IFS(I77&gt;=0.2,1,I77&gt;=0.1,0.7,I77&gt;=0.05,0.4,TRUE,0),0))</f>
        <v>0</v>
      </c>
      <c r="L77" s="57">
        <f t="shared" si="14"/>
        <v>0</v>
      </c>
    </row>
    <row r="78" spans="1:12" ht="15" customHeight="1" x14ac:dyDescent="0.25">
      <c r="A78" s="42" t="str" cm="1">
        <f t="array" ref="A78">IFERROR(INDEX(_xlfn._xlws.FILTER(Class_Players!A:A,Class_Players!B:B="Support"),QUOTIENT(ROW()-ROW($A$2),9)+1),"")</f>
        <v>Veh</v>
      </c>
      <c r="B78" s="42" t="str">
        <f>_xlfn.XLOOKUP(A78,Class_Players!$A:$A,Class_Players!$B:$B,"")</f>
        <v>Support</v>
      </c>
      <c r="C78" s="38" t="str" cm="1">
        <f t="array" ref="C78">INDEX(Lookups!$D$2:$D$10,MOD(ROW()-ROW($B$2),ROWS(Lookups!$D$2:$D$10))+1)</f>
        <v>SICH G1 WP (Incendiary Airburst Launcher)</v>
      </c>
      <c r="D78" s="38" t="str">
        <f>_xlfn.XLOOKUP(C78,Analysis_Gadgets!$C:$C,Analysis_Gadgets!$B:$B)</f>
        <v>Gadget</v>
      </c>
      <c r="E78" s="43">
        <v>227</v>
      </c>
      <c r="F78" s="43">
        <f>_xlfn.XLOOKUP(A78,Class_Players!A:A,Class_Players!G:G)</f>
        <v>107</v>
      </c>
      <c r="G78" s="43">
        <f t="shared" si="12"/>
        <v>2.1214953271028039</v>
      </c>
      <c r="H78" s="43">
        <f>_xlfn.XLOOKUP(A78,Class_Players!$A:$A,Class_Players!$F:$F,"")</f>
        <v>17081</v>
      </c>
      <c r="I78" s="44">
        <f t="shared" si="5"/>
        <v>1.3289620045664774E-2</v>
      </c>
      <c r="J78" s="43">
        <f t="shared" si="13"/>
        <v>0</v>
      </c>
      <c r="K78" s="44" cm="1">
        <f t="array" ref="K78">IF(D78="Gadget",_xlfn.IFS(I78&gt;=0.2,0.5,I78&gt;=0.1,0.35,I78&gt;=0.05,0.2,TRUE,0),IF(D78="Grenade",_xlfn.IFS(I78&gt;=0.2,1,I78&gt;=0.1,0.7,I78&gt;=0.05,0.4,TRUE,0),0))</f>
        <v>0</v>
      </c>
      <c r="L78" s="57">
        <f t="shared" si="14"/>
        <v>0</v>
      </c>
    </row>
    <row r="79" spans="1:12" ht="15" customHeight="1" x14ac:dyDescent="0.25">
      <c r="A79" s="42" t="str" cm="1">
        <f t="array" ref="A79">IFERROR(INDEX(_xlfn._xlws.FILTER(Class_Players!A:A,Class_Players!B:B="Support"),QUOTIENT(ROW()-ROW($A$2),9)+1),"")</f>
        <v>Veh</v>
      </c>
      <c r="B79" s="42" t="str">
        <f>_xlfn.XLOOKUP(A79,Class_Players!$A:$A,Class_Players!$B:$B,"")</f>
        <v>Support</v>
      </c>
      <c r="C79" s="38" t="str" cm="1">
        <f t="array" ref="C79">INDEX(Lookups!$D$2:$D$10,MOD(ROW()-ROW($B$2),ROWS(Lookups!$D$2:$D$10))+1)</f>
        <v>Deployable Cover</v>
      </c>
      <c r="D79" s="38" t="str">
        <f>_xlfn.XLOOKUP(C79,Analysis_Gadgets!$C:$C,Analysis_Gadgets!$B:$B)</f>
        <v>Gadget</v>
      </c>
      <c r="E79" s="43">
        <v>142</v>
      </c>
      <c r="F79" s="43">
        <f>_xlfn.XLOOKUP(A79,Class_Players!A:A,Class_Players!G:G)</f>
        <v>107</v>
      </c>
      <c r="G79" s="43">
        <f t="shared" si="12"/>
        <v>1.3271028037383177</v>
      </c>
      <c r="H79" s="43">
        <f>_xlfn.XLOOKUP(A79,Class_Players!$A:$A,Class_Players!$F:$F,"")</f>
        <v>17081</v>
      </c>
      <c r="I79" s="44">
        <f t="shared" si="5"/>
        <v>8.3133306012528538E-3</v>
      </c>
      <c r="J79" s="43">
        <f t="shared" si="13"/>
        <v>0</v>
      </c>
      <c r="K79" s="44" cm="1">
        <f t="array" ref="K79">IF(D79="Gadget",_xlfn.IFS(I79&gt;=0.2,0.5,I79&gt;=0.1,0.35,I79&gt;=0.05,0.2,TRUE,0),IF(D79="Grenade",_xlfn.IFS(I79&gt;=0.2,1,I79&gt;=0.1,0.7,I79&gt;=0.05,0.4,TRUE,0),0))</f>
        <v>0</v>
      </c>
      <c r="L79" s="57">
        <f t="shared" si="14"/>
        <v>0</v>
      </c>
    </row>
    <row r="80" spans="1:12" ht="15" customHeight="1" x14ac:dyDescent="0.25">
      <c r="A80" s="42" t="str" cm="1">
        <f t="array" ref="A80">IFERROR(INDEX(_xlfn._xlws.FILTER(Class_Players!A:A,Class_Players!B:B="Support"),QUOTIENT(ROW()-ROW($A$2),9)+1),"")</f>
        <v>Veh</v>
      </c>
      <c r="B80" s="42" t="str">
        <f>_xlfn.XLOOKUP(A80,Class_Players!$A:$A,Class_Players!$B:$B,"")</f>
        <v>Support</v>
      </c>
      <c r="C80" s="38" t="str" cm="1">
        <f t="array" ref="C80">INDEX(Lookups!$D$2:$D$10,MOD(ROW()-ROW($B$2),ROWS(Lookups!$D$2:$D$10))+1)</f>
        <v>Supply Pouch</v>
      </c>
      <c r="D80" s="38" t="str">
        <f>_xlfn.XLOOKUP(C80,Analysis_Gadgets!$C:$C,Analysis_Gadgets!$B:$B)</f>
        <v>Gadget</v>
      </c>
      <c r="E80" s="43">
        <v>2</v>
      </c>
      <c r="F80" s="43">
        <f>_xlfn.XLOOKUP(A80,Class_Players!A:A,Class_Players!G:G)</f>
        <v>107</v>
      </c>
      <c r="G80" s="43">
        <f t="shared" si="12"/>
        <v>1.8691588785046728E-2</v>
      </c>
      <c r="H80" s="43">
        <f>_xlfn.XLOOKUP(A80,Class_Players!$A:$A,Class_Players!$F:$F,"")</f>
        <v>17081</v>
      </c>
      <c r="I80" s="44">
        <f t="shared" si="5"/>
        <v>1.1708916339792752E-4</v>
      </c>
      <c r="J80" s="43">
        <f t="shared" si="13"/>
        <v>0</v>
      </c>
      <c r="K80" s="44" cm="1">
        <f t="array" ref="K80">IF(D80="Gadget",_xlfn.IFS(I80&gt;=0.2,0.5,I80&gt;=0.1,0.35,I80&gt;=0.05,0.2,TRUE,0),IF(D80="Grenade",_xlfn.IFS(I80&gt;=0.2,1,I80&gt;=0.1,0.7,I80&gt;=0.05,0.4,TRUE,0),0))</f>
        <v>0</v>
      </c>
      <c r="L80" s="57">
        <f t="shared" si="14"/>
        <v>0</v>
      </c>
    </row>
    <row r="81" spans="1:12" ht="15" customHeight="1" x14ac:dyDescent="0.25">
      <c r="A81" s="42" t="str" cm="1">
        <f t="array" ref="A81">IFERROR(INDEX(_xlfn._xlws.FILTER(Class_Players!A:A,Class_Players!B:B="Support"),QUOTIENT(ROW()-ROW($A$2),9)+1),"")</f>
        <v>Veh</v>
      </c>
      <c r="B81" s="42" t="str">
        <f>_xlfn.XLOOKUP(A81,Class_Players!$A:$A,Class_Players!$B:$B,"")</f>
        <v>Support</v>
      </c>
      <c r="C81" s="38" t="str" cm="1">
        <f t="array" ref="C81">INDEX(Lookups!$D$2:$D$10,MOD(ROW()-ROW($B$2),ROWS(Lookups!$D$2:$D$10))+1)</f>
        <v>Smoke Grenade</v>
      </c>
      <c r="D81" s="38" t="str">
        <f>_xlfn.XLOOKUP(C81,Analysis_Gadgets!$C:$C,Analysis_Gadgets!$B:$B)</f>
        <v>Grenade</v>
      </c>
      <c r="E81" s="43">
        <v>2460</v>
      </c>
      <c r="F81" s="43">
        <f>_xlfn.XLOOKUP(A81,Class_Players!A:A,Class_Players!G:G)</f>
        <v>107</v>
      </c>
      <c r="G81" s="43">
        <f t="shared" si="12"/>
        <v>22.990654205607477</v>
      </c>
      <c r="H81" s="43">
        <f>_xlfn.XLOOKUP(A81,Class_Players!$A:$A,Class_Players!$F:$F,"")</f>
        <v>17081</v>
      </c>
      <c r="I81" s="44">
        <f t="shared" ref="I81:I91" si="15">IF(H81=0,"",E81/H81)</f>
        <v>0.14401967097945084</v>
      </c>
      <c r="J81" s="43">
        <f t="shared" si="13"/>
        <v>1</v>
      </c>
      <c r="K81" s="44" cm="1">
        <f t="array" ref="K81">IF(D81="Gadget",_xlfn.IFS(I81&gt;=0.2,0.5,I81&gt;=0.1,0.35,I81&gt;=0.05,0.2,TRUE,0),IF(D81="Grenade",_xlfn.IFS(I81&gt;=0.2,1,I81&gt;=0.1,0.7,I81&gt;=0.05,0.4,TRUE,0),0))</f>
        <v>0.7</v>
      </c>
      <c r="L81" s="57">
        <f>IF($K81=0,0,$K81 / SUMIFS($K:$K,$A:$A,$A81,$D:$D,"Grenade"))</f>
        <v>1</v>
      </c>
    </row>
    <row r="82" spans="1:12" ht="15" customHeight="1" x14ac:dyDescent="0.25">
      <c r="A82" s="42" t="str" cm="1">
        <f t="array" ref="A82">IFERROR(INDEX(_xlfn._xlws.FILTER(Class_Players!A:A,Class_Players!B:B="Support"),QUOTIENT(ROW()-ROW($A$2),9)+1),"")</f>
        <v>Veh</v>
      </c>
      <c r="B82" s="42" t="str">
        <f>_xlfn.XLOOKUP(A82,Class_Players!$A:$A,Class_Players!$B:$B,"")</f>
        <v>Support</v>
      </c>
      <c r="C82" s="38" t="str" cm="1">
        <f t="array" ref="C82">INDEX(Lookups!$D$2:$D$10,MOD(ROW()-ROW($B$2),ROWS(Lookups!$D$2:$D$10))+1)</f>
        <v>Incendiary Grenade</v>
      </c>
      <c r="D82" s="38" t="str">
        <f>_xlfn.XLOOKUP(C82,Analysis_Gadgets!$C:$C,Analysis_Gadgets!$B:$B)</f>
        <v>Grenade</v>
      </c>
      <c r="E82" s="43">
        <v>91</v>
      </c>
      <c r="F82" s="43">
        <f>_xlfn.XLOOKUP(A82,Class_Players!A:A,Class_Players!G:G)</f>
        <v>107</v>
      </c>
      <c r="G82" s="43">
        <f t="shared" si="12"/>
        <v>0.85046728971962615</v>
      </c>
      <c r="H82" s="43">
        <f>_xlfn.XLOOKUP(A82,Class_Players!$A:$A,Class_Players!$F:$F,"")</f>
        <v>17081</v>
      </c>
      <c r="I82" s="44">
        <f t="shared" si="15"/>
        <v>5.3275569346057025E-3</v>
      </c>
      <c r="J82" s="43">
        <f t="shared" si="13"/>
        <v>0</v>
      </c>
      <c r="K82" s="44" cm="1">
        <f t="array" ref="K82">IF(D82="Gadget",_xlfn.IFS(I82&gt;=0.2,0.5,I82&gt;=0.1,0.35,I82&gt;=0.05,0.2,TRUE,0),IF(D82="Grenade",_xlfn.IFS(I82&gt;=0.2,1,I82&gt;=0.1,0.7,I82&gt;=0.05,0.4,TRUE,0),0))</f>
        <v>0</v>
      </c>
      <c r="L82" s="57">
        <f>IF($K82=0,0,$K82 / SUMIFS($K:$K,$A:$A,$A82,$D:$D,"Grenade"))</f>
        <v>0</v>
      </c>
    </row>
    <row r="83" spans="1:12" ht="15" customHeight="1" x14ac:dyDescent="0.25">
      <c r="A83" s="42" t="str" cm="1">
        <f t="array" ref="A83">IFERROR(INDEX(_xlfn._xlws.FILTER(Class_Players!A:A,Class_Players!B:B="Support"),QUOTIENT(ROW()-ROW($A$2),9)+1),"")</f>
        <v>l_0NeaL_l</v>
      </c>
      <c r="B83" s="42" t="str">
        <f>_xlfn.XLOOKUP(A83,Class_Players!$A:$A,Class_Players!$B:$B,"")</f>
        <v>Support</v>
      </c>
      <c r="C83" s="38" t="str" cm="1">
        <f t="array" ref="C83">INDEX(Lookups!$D$2:$D$10,MOD(ROW()-ROW($B$2),ROWS(Lookups!$D$2:$D$10))+1)</f>
        <v>GPDIS (Grenade intercept system)</v>
      </c>
      <c r="D83" s="38" t="str">
        <f>_xlfn.XLOOKUP(C83,Analysis_Gadgets!$C:$C,Analysis_Gadgets!$B:$B)</f>
        <v>Gadget</v>
      </c>
      <c r="E83" s="43">
        <v>144</v>
      </c>
      <c r="F83" s="43">
        <f>_xlfn.XLOOKUP(A83,Class_Players!A:A,Class_Players!G:G)</f>
        <v>234</v>
      </c>
      <c r="G83" s="43">
        <f t="shared" si="12"/>
        <v>0.61538461538461542</v>
      </c>
      <c r="H83" s="43">
        <f>_xlfn.XLOOKUP(A83,Class_Players!$A:$A,Class_Players!$F:$F,"")</f>
        <v>17048</v>
      </c>
      <c r="I83" s="44">
        <f t="shared" si="15"/>
        <v>8.4467386203660247E-3</v>
      </c>
      <c r="J83" s="43">
        <f t="shared" si="13"/>
        <v>0</v>
      </c>
      <c r="K83" s="44" cm="1">
        <f t="array" ref="K83">IF(D83="Gadget",_xlfn.IFS(I83&gt;=0.2,0.5,I83&gt;=0.1,0.35,I83&gt;=0.05,0.2,TRUE,0),IF(D83="Grenade",_xlfn.IFS(I83&gt;=0.2,1,I83&gt;=0.1,0.7,I83&gt;=0.05,0.4,TRUE,0),0))</f>
        <v>0</v>
      </c>
      <c r="L83" s="57">
        <f>IF($K83=0,0,$K83 / SUMIFS($K:$K,$A:$A,$A83,$D:$D,"Gadget"))</f>
        <v>0</v>
      </c>
    </row>
    <row r="84" spans="1:12" ht="15" customHeight="1" x14ac:dyDescent="0.25">
      <c r="A84" s="42" t="str" cm="1">
        <f t="array" ref="A84">IFERROR(INDEX(_xlfn._xlws.FILTER(Class_Players!A:A,Class_Players!B:B="Support"),QUOTIENT(ROW()-ROW($A$2),9)+1),"")</f>
        <v>l_0NeaL_l</v>
      </c>
      <c r="B84" s="42" t="str">
        <f>_xlfn.XLOOKUP(A84,Class_Players!$A:$A,Class_Players!$B:$B,"")</f>
        <v>Support</v>
      </c>
      <c r="C84" s="38" t="str" cm="1">
        <f t="array" ref="C84">INDEX(Lookups!$D$2:$D$10,MOD(ROW()-ROW($B$2),ROWS(Lookups!$D$2:$D$10))+1)</f>
        <v>MP-APS (Missile intercept system)</v>
      </c>
      <c r="D84" s="38" t="str">
        <f>_xlfn.XLOOKUP(C84,Analysis_Gadgets!$C:$C,Analysis_Gadgets!$B:$B)</f>
        <v>Gadget</v>
      </c>
      <c r="E84" s="43">
        <v>1</v>
      </c>
      <c r="F84" s="43">
        <f>_xlfn.XLOOKUP(A84,Class_Players!A:A,Class_Players!G:G)</f>
        <v>234</v>
      </c>
      <c r="G84" s="43">
        <f t="shared" si="12"/>
        <v>4.2735042735042739E-3</v>
      </c>
      <c r="H84" s="43">
        <f>_xlfn.XLOOKUP(A84,Class_Players!$A:$A,Class_Players!$F:$F,"")</f>
        <v>17048</v>
      </c>
      <c r="I84" s="44">
        <f t="shared" si="15"/>
        <v>5.8657907085875174E-5</v>
      </c>
      <c r="J84" s="43">
        <f t="shared" si="13"/>
        <v>0</v>
      </c>
      <c r="K84" s="44" cm="1">
        <f t="array" ref="K84">IF(D84="Gadget",_xlfn.IFS(I84&gt;=0.2,0.5,I84&gt;=0.1,0.35,I84&gt;=0.05,0.2,TRUE,0),IF(D84="Grenade",_xlfn.IFS(I84&gt;=0.2,1,I84&gt;=0.1,0.7,I84&gt;=0.05,0.4,TRUE,0),0))</f>
        <v>0</v>
      </c>
      <c r="L84" s="57">
        <f t="shared" ref="L84:L89" si="16">IF($K84=0,0,$K84 / SUMIFS($K:$K,$A:$A,$A84,$D:$D,"Gadget"))</f>
        <v>0</v>
      </c>
    </row>
    <row r="85" spans="1:12" ht="15" customHeight="1" x14ac:dyDescent="0.25">
      <c r="A85" s="42" t="str" cm="1">
        <f t="array" ref="A85">IFERROR(INDEX(_xlfn._xlws.FILTER(Class_Players!A:A,Class_Players!B:B="Support"),QUOTIENT(ROW()-ROW($A$2),9)+1),"")</f>
        <v>l_0NeaL_l</v>
      </c>
      <c r="B85" s="42" t="str">
        <f>_xlfn.XLOOKUP(A85,Class_Players!$A:$A,Class_Players!$B:$B,"")</f>
        <v>Support</v>
      </c>
      <c r="C85" s="38" t="str" cm="1">
        <f t="array" ref="C85">INDEX(Lookups!$D$2:$D$10,MOD(ROW()-ROW($B$2),ROWS(Lookups!$D$2:$D$10))+1)</f>
        <v>LWCMS (Mortar)</v>
      </c>
      <c r="D85" s="38" t="str">
        <f>_xlfn.XLOOKUP(C85,Analysis_Gadgets!$C:$C,Analysis_Gadgets!$B:$B)</f>
        <v>Gadget</v>
      </c>
      <c r="E85" s="43">
        <v>1</v>
      </c>
      <c r="F85" s="43">
        <f>_xlfn.XLOOKUP(A85,Class_Players!A:A,Class_Players!G:G)</f>
        <v>234</v>
      </c>
      <c r="G85" s="43">
        <f t="shared" si="12"/>
        <v>4.2735042735042739E-3</v>
      </c>
      <c r="H85" s="43">
        <f>_xlfn.XLOOKUP(A85,Class_Players!$A:$A,Class_Players!$F:$F,"")</f>
        <v>17048</v>
      </c>
      <c r="I85" s="44">
        <f t="shared" si="15"/>
        <v>5.8657907085875174E-5</v>
      </c>
      <c r="J85" s="43">
        <f t="shared" si="13"/>
        <v>0</v>
      </c>
      <c r="K85" s="44" cm="1">
        <f t="array" ref="K85">IF(D85="Gadget",_xlfn.IFS(I85&gt;=0.2,0.5,I85&gt;=0.1,0.35,I85&gt;=0.05,0.2,TRUE,0),IF(D85="Grenade",_xlfn.IFS(I85&gt;=0.2,1,I85&gt;=0.1,0.7,I85&gt;=0.05,0.4,TRUE,0),0))</f>
        <v>0</v>
      </c>
      <c r="L85" s="57">
        <f t="shared" si="16"/>
        <v>0</v>
      </c>
    </row>
    <row r="86" spans="1:12" ht="15" customHeight="1" x14ac:dyDescent="0.25">
      <c r="A86" s="42" t="str" cm="1">
        <f t="array" ref="A86">IFERROR(INDEX(_xlfn._xlws.FILTER(Class_Players!A:A,Class_Players!B:B="Support"),QUOTIENT(ROW()-ROW($A$2),9)+1),"")</f>
        <v>l_0NeaL_l</v>
      </c>
      <c r="B86" s="42" t="str">
        <f>_xlfn.XLOOKUP(A86,Class_Players!$A:$A,Class_Players!$B:$B,"")</f>
        <v>Support</v>
      </c>
      <c r="C86" s="38" t="str" cm="1">
        <f t="array" ref="C86">INDEX(Lookups!$D$2:$D$10,MOD(ROW()-ROW($B$2),ROWS(Lookups!$D$2:$D$10))+1)</f>
        <v>M320A1 SMK (Smoke Grenade Launcher)</v>
      </c>
      <c r="D86" s="38" t="str">
        <f>_xlfn.XLOOKUP(C86,Analysis_Gadgets!$C:$C,Analysis_Gadgets!$B:$B)</f>
        <v>Gadget</v>
      </c>
      <c r="E86" s="43">
        <v>322</v>
      </c>
      <c r="F86" s="43">
        <f>_xlfn.XLOOKUP(A86,Class_Players!A:A,Class_Players!G:G)</f>
        <v>234</v>
      </c>
      <c r="G86" s="43">
        <f t="shared" si="12"/>
        <v>1.3760683760683761</v>
      </c>
      <c r="H86" s="43">
        <f>_xlfn.XLOOKUP(A86,Class_Players!$A:$A,Class_Players!$F:$F,"")</f>
        <v>17048</v>
      </c>
      <c r="I86" s="44">
        <f t="shared" si="15"/>
        <v>1.8887846081651807E-2</v>
      </c>
      <c r="J86" s="43">
        <f t="shared" si="13"/>
        <v>0</v>
      </c>
      <c r="K86" s="44" cm="1">
        <f t="array" ref="K86">IF(D86="Gadget",_xlfn.IFS(I86&gt;=0.2,0.5,I86&gt;=0.1,0.35,I86&gt;=0.05,0.2,TRUE,0),IF(D86="Grenade",_xlfn.IFS(I86&gt;=0.2,1,I86&gt;=0.1,0.7,I86&gt;=0.05,0.4,TRUE,0),0))</f>
        <v>0</v>
      </c>
      <c r="L86" s="57">
        <f t="shared" si="16"/>
        <v>0</v>
      </c>
    </row>
    <row r="87" spans="1:12" ht="15" customHeight="1" x14ac:dyDescent="0.25">
      <c r="A87" s="42" t="str" cm="1">
        <f t="array" ref="A87">IFERROR(INDEX(_xlfn._xlws.FILTER(Class_Players!A:A,Class_Players!B:B="Support"),QUOTIENT(ROW()-ROW($A$2),9)+1),"")</f>
        <v>l_0NeaL_l</v>
      </c>
      <c r="B87" s="42" t="str">
        <f>_xlfn.XLOOKUP(A87,Class_Players!$A:$A,Class_Players!$B:$B,"")</f>
        <v>Support</v>
      </c>
      <c r="C87" s="38" t="str" cm="1">
        <f t="array" ref="C87">INDEX(Lookups!$D$2:$D$10,MOD(ROW()-ROW($B$2),ROWS(Lookups!$D$2:$D$10))+1)</f>
        <v>SICH G1 WP (Incendiary Airburst Launcher)</v>
      </c>
      <c r="D87" s="38" t="str">
        <f>_xlfn.XLOOKUP(C87,Analysis_Gadgets!$C:$C,Analysis_Gadgets!$B:$B)</f>
        <v>Gadget</v>
      </c>
      <c r="E87" s="43">
        <v>0</v>
      </c>
      <c r="F87" s="43">
        <f>_xlfn.XLOOKUP(A87,Class_Players!A:A,Class_Players!G:G)</f>
        <v>234</v>
      </c>
      <c r="G87" s="43">
        <f t="shared" si="12"/>
        <v>0</v>
      </c>
      <c r="H87" s="43">
        <f>_xlfn.XLOOKUP(A87,Class_Players!$A:$A,Class_Players!$F:$F,"")</f>
        <v>17048</v>
      </c>
      <c r="I87" s="44">
        <f t="shared" si="15"/>
        <v>0</v>
      </c>
      <c r="J87" s="43">
        <f t="shared" si="13"/>
        <v>0</v>
      </c>
      <c r="K87" s="44" cm="1">
        <f t="array" ref="K87">IF(D87="Gadget",_xlfn.IFS(I87&gt;=0.2,0.5,I87&gt;=0.1,0.35,I87&gt;=0.05,0.2,TRUE,0),IF(D87="Grenade",_xlfn.IFS(I87&gt;=0.2,1,I87&gt;=0.1,0.7,I87&gt;=0.05,0.4,TRUE,0),0))</f>
        <v>0</v>
      </c>
      <c r="L87" s="57">
        <f t="shared" si="16"/>
        <v>0</v>
      </c>
    </row>
    <row r="88" spans="1:12" ht="15" customHeight="1" x14ac:dyDescent="0.25">
      <c r="A88" s="42" t="str" cm="1">
        <f t="array" ref="A88">IFERROR(INDEX(_xlfn._xlws.FILTER(Class_Players!A:A,Class_Players!B:B="Support"),QUOTIENT(ROW()-ROW($A$2),9)+1),"")</f>
        <v>l_0NeaL_l</v>
      </c>
      <c r="B88" s="42" t="str">
        <f>_xlfn.XLOOKUP(A88,Class_Players!$A:$A,Class_Players!$B:$B,"")</f>
        <v>Support</v>
      </c>
      <c r="C88" s="38" t="str" cm="1">
        <f t="array" ref="C88">INDEX(Lookups!$D$2:$D$10,MOD(ROW()-ROW($B$2),ROWS(Lookups!$D$2:$D$10))+1)</f>
        <v>Deployable Cover</v>
      </c>
      <c r="D88" s="38" t="str">
        <f>_xlfn.XLOOKUP(C88,Analysis_Gadgets!$C:$C,Analysis_Gadgets!$B:$B)</f>
        <v>Gadget</v>
      </c>
      <c r="E88" s="43">
        <v>208</v>
      </c>
      <c r="F88" s="43">
        <f>_xlfn.XLOOKUP(A88,Class_Players!A:A,Class_Players!G:G)</f>
        <v>234</v>
      </c>
      <c r="G88" s="43">
        <f t="shared" si="12"/>
        <v>0.88888888888888884</v>
      </c>
      <c r="H88" s="43">
        <f>_xlfn.XLOOKUP(A88,Class_Players!$A:$A,Class_Players!$F:$F,"")</f>
        <v>17048</v>
      </c>
      <c r="I88" s="44">
        <f t="shared" si="15"/>
        <v>1.2200844673862036E-2</v>
      </c>
      <c r="J88" s="43">
        <f t="shared" si="13"/>
        <v>0</v>
      </c>
      <c r="K88" s="44" cm="1">
        <f t="array" ref="K88">IF(D88="Gadget",_xlfn.IFS(I88&gt;=0.2,0.5,I88&gt;=0.1,0.35,I88&gt;=0.05,0.2,TRUE,0),IF(D88="Grenade",_xlfn.IFS(I88&gt;=0.2,1,I88&gt;=0.1,0.7,I88&gt;=0.05,0.4,TRUE,0),0))</f>
        <v>0</v>
      </c>
      <c r="L88" s="57">
        <f t="shared" si="16"/>
        <v>0</v>
      </c>
    </row>
    <row r="89" spans="1:12" ht="15" customHeight="1" x14ac:dyDescent="0.25">
      <c r="A89" s="42" t="str" cm="1">
        <f t="array" ref="A89">IFERROR(INDEX(_xlfn._xlws.FILTER(Class_Players!A:A,Class_Players!B:B="Support"),QUOTIENT(ROW()-ROW($A$2),9)+1),"")</f>
        <v>l_0NeaL_l</v>
      </c>
      <c r="B89" s="42" t="str">
        <f>_xlfn.XLOOKUP(A89,Class_Players!$A:$A,Class_Players!$B:$B,"")</f>
        <v>Support</v>
      </c>
      <c r="C89" s="38" t="str" cm="1">
        <f t="array" ref="C89">INDEX(Lookups!$D$2:$D$10,MOD(ROW()-ROW($B$2),ROWS(Lookups!$D$2:$D$10))+1)</f>
        <v>Supply Pouch</v>
      </c>
      <c r="D89" s="38" t="str">
        <f>_xlfn.XLOOKUP(C89,Analysis_Gadgets!$C:$C,Analysis_Gadgets!$B:$B)</f>
        <v>Gadget</v>
      </c>
      <c r="E89" s="43">
        <v>6281</v>
      </c>
      <c r="F89" s="43">
        <f>_xlfn.XLOOKUP(A89,Class_Players!A:A,Class_Players!G:G)</f>
        <v>234</v>
      </c>
      <c r="G89" s="43">
        <f t="shared" si="12"/>
        <v>26.841880341880341</v>
      </c>
      <c r="H89" s="43">
        <f>_xlfn.XLOOKUP(A89,Class_Players!$A:$A,Class_Players!$F:$F,"")</f>
        <v>17048</v>
      </c>
      <c r="I89" s="44">
        <f t="shared" si="15"/>
        <v>0.36843031440638196</v>
      </c>
      <c r="J89" s="43">
        <f t="shared" si="13"/>
        <v>1</v>
      </c>
      <c r="K89" s="44" cm="1">
        <f t="array" ref="K89">IF(D89="Gadget",_xlfn.IFS(I89&gt;=0.2,0.5,I89&gt;=0.1,0.35,I89&gt;=0.05,0.2,TRUE,0),IF(D89="Grenade",_xlfn.IFS(I89&gt;=0.2,1,I89&gt;=0.1,0.7,I89&gt;=0.05,0.4,TRUE,0),0))</f>
        <v>0.5</v>
      </c>
      <c r="L89" s="57">
        <f t="shared" si="16"/>
        <v>1</v>
      </c>
    </row>
    <row r="90" spans="1:12" ht="15" customHeight="1" x14ac:dyDescent="0.25">
      <c r="A90" s="42" t="str" cm="1">
        <f t="array" ref="A90">IFERROR(INDEX(_xlfn._xlws.FILTER(Class_Players!A:A,Class_Players!B:B="Support"),QUOTIENT(ROW()-ROW($A$2),9)+1),"")</f>
        <v>l_0NeaL_l</v>
      </c>
      <c r="B90" s="42" t="str">
        <f>_xlfn.XLOOKUP(A90,Class_Players!$A:$A,Class_Players!$B:$B,"")</f>
        <v>Support</v>
      </c>
      <c r="C90" s="38" t="str" cm="1">
        <f t="array" ref="C90">INDEX(Lookups!$D$2:$D$10,MOD(ROW()-ROW($B$2),ROWS(Lookups!$D$2:$D$10))+1)</f>
        <v>Smoke Grenade</v>
      </c>
      <c r="D90" s="38" t="str">
        <f>_xlfn.XLOOKUP(C90,Analysis_Gadgets!$C:$C,Analysis_Gadgets!$B:$B)</f>
        <v>Grenade</v>
      </c>
      <c r="E90" s="43">
        <v>2341</v>
      </c>
      <c r="F90" s="43">
        <f>_xlfn.XLOOKUP(A90,Class_Players!A:A,Class_Players!G:G)</f>
        <v>234</v>
      </c>
      <c r="G90" s="43">
        <f t="shared" si="12"/>
        <v>10.004273504273504</v>
      </c>
      <c r="H90" s="43">
        <f>_xlfn.XLOOKUP(A90,Class_Players!$A:$A,Class_Players!$F:$F,"")</f>
        <v>17048</v>
      </c>
      <c r="I90" s="44">
        <f t="shared" si="15"/>
        <v>0.13731816048803377</v>
      </c>
      <c r="J90" s="43">
        <f t="shared" si="13"/>
        <v>1</v>
      </c>
      <c r="K90" s="44" cm="1">
        <f t="array" ref="K90">IF(D90="Gadget",_xlfn.IFS(I90&gt;=0.2,0.5,I90&gt;=0.1,0.35,I90&gt;=0.05,0.2,TRUE,0),IF(D90="Grenade",_xlfn.IFS(I90&gt;=0.2,1,I90&gt;=0.1,0.7,I90&gt;=0.05,0.4,TRUE,0),0))</f>
        <v>0.7</v>
      </c>
      <c r="L90" s="57">
        <f>IF($K90=0,0,$K90 / SUMIFS($K:$K,$A:$A,$A90,$D:$D,"Grenade"))</f>
        <v>0.41176470588235292</v>
      </c>
    </row>
    <row r="91" spans="1:12" ht="15" customHeight="1" x14ac:dyDescent="0.25">
      <c r="A91" s="42" t="str" cm="1">
        <f t="array" ref="A91">IFERROR(INDEX(_xlfn._xlws.FILTER(Class_Players!A:A,Class_Players!B:B="Support"),QUOTIENT(ROW()-ROW($A$2),9)+1),"")</f>
        <v>l_0NeaL_l</v>
      </c>
      <c r="B91" s="42" t="str">
        <f>_xlfn.XLOOKUP(A91,Class_Players!$A:$A,Class_Players!$B:$B,"")</f>
        <v>Support</v>
      </c>
      <c r="C91" s="38" t="str" cm="1">
        <f t="array" ref="C91">INDEX(Lookups!$D$2:$D$10,MOD(ROW()-ROW($B$2),ROWS(Lookups!$D$2:$D$10))+1)</f>
        <v>Incendiary Grenade</v>
      </c>
      <c r="D91" s="38" t="str">
        <f>_xlfn.XLOOKUP(C91,Analysis_Gadgets!$C:$C,Analysis_Gadgets!$B:$B)</f>
        <v>Grenade</v>
      </c>
      <c r="E91" s="43">
        <v>4440</v>
      </c>
      <c r="F91" s="43">
        <f>_xlfn.XLOOKUP(A91,Class_Players!A:A,Class_Players!G:G)</f>
        <v>234</v>
      </c>
      <c r="G91" s="43">
        <f t="shared" si="12"/>
        <v>18.974358974358974</v>
      </c>
      <c r="H91" s="43">
        <f>_xlfn.XLOOKUP(A91,Class_Players!$A:$A,Class_Players!$F:$F,"")</f>
        <v>17048</v>
      </c>
      <c r="I91" s="44">
        <f t="shared" si="15"/>
        <v>0.26044110746128579</v>
      </c>
      <c r="J91" s="43">
        <f t="shared" si="13"/>
        <v>1</v>
      </c>
      <c r="K91" s="44" cm="1">
        <f t="array" ref="K91">IF(D91="Gadget",_xlfn.IFS(I91&gt;=0.2,0.5,I91&gt;=0.1,0.35,I91&gt;=0.05,0.2,TRUE,0),IF(D91="Grenade",_xlfn.IFS(I91&gt;=0.2,1,I91&gt;=0.1,0.7,I91&gt;=0.05,0.4,TRUE,0),0))</f>
        <v>1</v>
      </c>
      <c r="L91" s="57">
        <f>IF($K91=0,0,$K91 / SUMIFS($K:$K,$A:$A,$A91,$D:$D,"Grenade"))</f>
        <v>0.58823529411764708</v>
      </c>
    </row>
    <row r="92" spans="1:12" ht="15" customHeight="1" x14ac:dyDescent="0.25">
      <c r="A92" s="42" t="str" cm="1">
        <f t="array" ref="A92">IFERROR(INDEX(_xlfn._xlws.FILTER(Class_Players!A:A,Class_Players!B:B="Support"),QUOTIENT(ROW()-ROW($A$2),9)+1),"")</f>
        <v>CptShoook</v>
      </c>
      <c r="B92" s="42" t="str">
        <f>_xlfn.XLOOKUP(A92,Class_Players!$A:$A,Class_Players!$B:$B,"")</f>
        <v>Support</v>
      </c>
      <c r="C92" s="38" t="str" cm="1">
        <f t="array" ref="C92">INDEX(Lookups!$D$2:$D$10,MOD(ROW()-ROW($B$2),ROWS(Lookups!$D$2:$D$10))+1)</f>
        <v>GPDIS (Grenade intercept system)</v>
      </c>
      <c r="D92" s="38" t="str">
        <f>_xlfn.XLOOKUP(C92,Analysis_Gadgets!$C:$C,Analysis_Gadgets!$B:$B)</f>
        <v>Gadget</v>
      </c>
      <c r="E92" s="43">
        <v>122</v>
      </c>
      <c r="F92" s="43">
        <f>_xlfn.XLOOKUP(A92,Class_Players!A:A,Class_Players!G:G)</f>
        <v>376</v>
      </c>
      <c r="G92" s="43">
        <f t="shared" ref="G92:G136" si="17">IF(F92=0,"",E92/(F92))</f>
        <v>0.32446808510638298</v>
      </c>
      <c r="H92" s="43">
        <f>_xlfn.XLOOKUP(A92,Class_Players!$A:$A,Class_Players!$F:$F,"")</f>
        <v>17213</v>
      </c>
      <c r="I92" s="44">
        <f t="shared" ref="I92:I136" si="18">IF(H92=0,"",E92/H92)</f>
        <v>7.087666298727706E-3</v>
      </c>
      <c r="J92" s="43">
        <f t="shared" si="13"/>
        <v>0</v>
      </c>
      <c r="K92" s="44" cm="1">
        <f t="array" ref="K92">IF(D92="Gadget",_xlfn.IFS(I92&gt;=0.2,0.5,I92&gt;=0.1,0.35,I92&gt;=0.05,0.2,TRUE,0),IF(D92="Grenade",_xlfn.IFS(I92&gt;=0.2,1,I92&gt;=0.1,0.7,I92&gt;=0.05,0.4,TRUE,0),0))</f>
        <v>0</v>
      </c>
      <c r="L92" s="57">
        <f>IF($K92=0,0,$K92 / SUMIFS($K:$K,$A:$A,$A92,$D:$D,"Gadget"))</f>
        <v>0</v>
      </c>
    </row>
    <row r="93" spans="1:12" ht="15" customHeight="1" x14ac:dyDescent="0.25">
      <c r="A93" s="42" t="str" cm="1">
        <f t="array" ref="A93">IFERROR(INDEX(_xlfn._xlws.FILTER(Class_Players!A:A,Class_Players!B:B="Support"),QUOTIENT(ROW()-ROW($A$2),9)+1),"")</f>
        <v>CptShoook</v>
      </c>
      <c r="B93" s="42" t="str">
        <f>_xlfn.XLOOKUP(A93,Class_Players!$A:$A,Class_Players!$B:$B,"")</f>
        <v>Support</v>
      </c>
      <c r="C93" s="38" t="str" cm="1">
        <f t="array" ref="C93">INDEX(Lookups!$D$2:$D$10,MOD(ROW()-ROW($B$2),ROWS(Lookups!$D$2:$D$10))+1)</f>
        <v>MP-APS (Missile intercept system)</v>
      </c>
      <c r="D93" s="38" t="str">
        <f>_xlfn.XLOOKUP(C93,Analysis_Gadgets!$C:$C,Analysis_Gadgets!$B:$B)</f>
        <v>Gadget</v>
      </c>
      <c r="E93" s="43">
        <v>6</v>
      </c>
      <c r="F93" s="43">
        <f>_xlfn.XLOOKUP(A93,Class_Players!A:A,Class_Players!G:G)</f>
        <v>376</v>
      </c>
      <c r="G93" s="43">
        <f t="shared" si="17"/>
        <v>1.5957446808510637E-2</v>
      </c>
      <c r="H93" s="43">
        <f>_xlfn.XLOOKUP(A93,Class_Players!$A:$A,Class_Players!$F:$F,"")</f>
        <v>17213</v>
      </c>
      <c r="I93" s="44">
        <f t="shared" si="18"/>
        <v>3.4857375239644454E-4</v>
      </c>
      <c r="J93" s="43">
        <f t="shared" si="13"/>
        <v>0</v>
      </c>
      <c r="K93" s="44" cm="1">
        <f t="array" ref="K93">IF(D93="Gadget",_xlfn.IFS(I93&gt;=0.2,0.5,I93&gt;=0.1,0.35,I93&gt;=0.05,0.2,TRUE,0),IF(D93="Grenade",_xlfn.IFS(I93&gt;=0.2,1,I93&gt;=0.1,0.7,I93&gt;=0.05,0.4,TRUE,0),0))</f>
        <v>0</v>
      </c>
      <c r="L93" s="57">
        <f t="shared" ref="L93:L98" si="19">IF($K93=0,0,$K93 / SUMIFS($K:$K,$A:$A,$A93,$D:$D,"Gadget"))</f>
        <v>0</v>
      </c>
    </row>
    <row r="94" spans="1:12" ht="15" customHeight="1" x14ac:dyDescent="0.25">
      <c r="A94" s="42" t="str" cm="1">
        <f t="array" ref="A94">IFERROR(INDEX(_xlfn._xlws.FILTER(Class_Players!A:A,Class_Players!B:B="Support"),QUOTIENT(ROW()-ROW($A$2),9)+1),"")</f>
        <v>CptShoook</v>
      </c>
      <c r="B94" s="42" t="str">
        <f>_xlfn.XLOOKUP(A94,Class_Players!$A:$A,Class_Players!$B:$B,"")</f>
        <v>Support</v>
      </c>
      <c r="C94" s="38" t="str" cm="1">
        <f t="array" ref="C94">INDEX(Lookups!$D$2:$D$10,MOD(ROW()-ROW($B$2),ROWS(Lookups!$D$2:$D$10))+1)</f>
        <v>LWCMS (Mortar)</v>
      </c>
      <c r="D94" s="38" t="str">
        <f>_xlfn.XLOOKUP(C94,Analysis_Gadgets!$C:$C,Analysis_Gadgets!$B:$B)</f>
        <v>Gadget</v>
      </c>
      <c r="E94" s="43">
        <v>17</v>
      </c>
      <c r="F94" s="43">
        <f>_xlfn.XLOOKUP(A94,Class_Players!A:A,Class_Players!G:G)</f>
        <v>376</v>
      </c>
      <c r="G94" s="43">
        <f t="shared" si="17"/>
        <v>4.5212765957446811E-2</v>
      </c>
      <c r="H94" s="43">
        <f>_xlfn.XLOOKUP(A94,Class_Players!$A:$A,Class_Players!$F:$F,"")</f>
        <v>17213</v>
      </c>
      <c r="I94" s="44">
        <f t="shared" si="18"/>
        <v>9.8762563178992615E-4</v>
      </c>
      <c r="J94" s="43">
        <f t="shared" si="13"/>
        <v>0</v>
      </c>
      <c r="K94" s="44" cm="1">
        <f t="array" ref="K94">IF(D94="Gadget",_xlfn.IFS(I94&gt;=0.2,0.5,I94&gt;=0.1,0.35,I94&gt;=0.05,0.2,TRUE,0),IF(D94="Grenade",_xlfn.IFS(I94&gt;=0.2,1,I94&gt;=0.1,0.7,I94&gt;=0.05,0.4,TRUE,0),0))</f>
        <v>0</v>
      </c>
      <c r="L94" s="57">
        <f t="shared" si="19"/>
        <v>0</v>
      </c>
    </row>
    <row r="95" spans="1:12" ht="15" customHeight="1" x14ac:dyDescent="0.25">
      <c r="A95" s="42" t="str" cm="1">
        <f t="array" ref="A95">IFERROR(INDEX(_xlfn._xlws.FILTER(Class_Players!A:A,Class_Players!B:B="Support"),QUOTIENT(ROW()-ROW($A$2),9)+1),"")</f>
        <v>CptShoook</v>
      </c>
      <c r="B95" s="42" t="str">
        <f>_xlfn.XLOOKUP(A95,Class_Players!$A:$A,Class_Players!$B:$B,"")</f>
        <v>Support</v>
      </c>
      <c r="C95" s="38" t="str" cm="1">
        <f t="array" ref="C95">INDEX(Lookups!$D$2:$D$10,MOD(ROW()-ROW($B$2),ROWS(Lookups!$D$2:$D$10))+1)</f>
        <v>M320A1 SMK (Smoke Grenade Launcher)</v>
      </c>
      <c r="D95" s="38" t="str">
        <f>_xlfn.XLOOKUP(C95,Analysis_Gadgets!$C:$C,Analysis_Gadgets!$B:$B)</f>
        <v>Gadget</v>
      </c>
      <c r="E95" s="43">
        <v>216</v>
      </c>
      <c r="F95" s="43">
        <f>_xlfn.XLOOKUP(A95,Class_Players!A:A,Class_Players!G:G)</f>
        <v>376</v>
      </c>
      <c r="G95" s="43">
        <f t="shared" si="17"/>
        <v>0.57446808510638303</v>
      </c>
      <c r="H95" s="43">
        <f>_xlfn.XLOOKUP(A95,Class_Players!$A:$A,Class_Players!$F:$F,"")</f>
        <v>17213</v>
      </c>
      <c r="I95" s="44">
        <f t="shared" si="18"/>
        <v>1.2548655086272004E-2</v>
      </c>
      <c r="J95" s="43">
        <f t="shared" si="13"/>
        <v>0</v>
      </c>
      <c r="K95" s="44" cm="1">
        <f t="array" ref="K95">IF(D95="Gadget",_xlfn.IFS(I95&gt;=0.2,0.5,I95&gt;=0.1,0.35,I95&gt;=0.05,0.2,TRUE,0),IF(D95="Grenade",_xlfn.IFS(I95&gt;=0.2,1,I95&gt;=0.1,0.7,I95&gt;=0.05,0.4,TRUE,0),0))</f>
        <v>0</v>
      </c>
      <c r="L95" s="57">
        <f t="shared" si="19"/>
        <v>0</v>
      </c>
    </row>
    <row r="96" spans="1:12" ht="15" customHeight="1" x14ac:dyDescent="0.25">
      <c r="A96" s="42" t="str" cm="1">
        <f t="array" ref="A96">IFERROR(INDEX(_xlfn._xlws.FILTER(Class_Players!A:A,Class_Players!B:B="Support"),QUOTIENT(ROW()-ROW($A$2),9)+1),"")</f>
        <v>CptShoook</v>
      </c>
      <c r="B96" s="42" t="str">
        <f>_xlfn.XLOOKUP(A96,Class_Players!$A:$A,Class_Players!$B:$B,"")</f>
        <v>Support</v>
      </c>
      <c r="C96" s="38" t="str" cm="1">
        <f t="array" ref="C96">INDEX(Lookups!$D$2:$D$10,MOD(ROW()-ROW($B$2),ROWS(Lookups!$D$2:$D$10))+1)</f>
        <v>SICH G1 WP (Incendiary Airburst Launcher)</v>
      </c>
      <c r="D96" s="38" t="str">
        <f>_xlfn.XLOOKUP(C96,Analysis_Gadgets!$C:$C,Analysis_Gadgets!$B:$B)</f>
        <v>Gadget</v>
      </c>
      <c r="E96" s="43">
        <v>26</v>
      </c>
      <c r="F96" s="43">
        <f>_xlfn.XLOOKUP(A96,Class_Players!A:A,Class_Players!G:G)</f>
        <v>376</v>
      </c>
      <c r="G96" s="43">
        <f t="shared" si="17"/>
        <v>6.9148936170212769E-2</v>
      </c>
      <c r="H96" s="43">
        <f>_xlfn.XLOOKUP(A96,Class_Players!$A:$A,Class_Players!$F:$F,"")</f>
        <v>17213</v>
      </c>
      <c r="I96" s="44">
        <f t="shared" si="18"/>
        <v>1.5104862603845931E-3</v>
      </c>
      <c r="J96" s="43">
        <f t="shared" si="13"/>
        <v>0</v>
      </c>
      <c r="K96" s="44" cm="1">
        <f t="array" ref="K96">IF(D96="Gadget",_xlfn.IFS(I96&gt;=0.2,0.5,I96&gt;=0.1,0.35,I96&gt;=0.05,0.2,TRUE,0),IF(D96="Grenade",_xlfn.IFS(I96&gt;=0.2,1,I96&gt;=0.1,0.7,I96&gt;=0.05,0.4,TRUE,0),0))</f>
        <v>0</v>
      </c>
      <c r="L96" s="57">
        <f t="shared" si="19"/>
        <v>0</v>
      </c>
    </row>
    <row r="97" spans="1:12" ht="15" customHeight="1" x14ac:dyDescent="0.25">
      <c r="A97" s="42" t="str" cm="1">
        <f t="array" ref="A97">IFERROR(INDEX(_xlfn._xlws.FILTER(Class_Players!A:A,Class_Players!B:B="Support"),QUOTIENT(ROW()-ROW($A$2),9)+1),"")</f>
        <v>CptShoook</v>
      </c>
      <c r="B97" s="42" t="str">
        <f>_xlfn.XLOOKUP(A97,Class_Players!$A:$A,Class_Players!$B:$B,"")</f>
        <v>Support</v>
      </c>
      <c r="C97" s="38" t="str" cm="1">
        <f t="array" ref="C97">INDEX(Lookups!$D$2:$D$10,MOD(ROW()-ROW($B$2),ROWS(Lookups!$D$2:$D$10))+1)</f>
        <v>Deployable Cover</v>
      </c>
      <c r="D97" s="38" t="str">
        <f>_xlfn.XLOOKUP(C97,Analysis_Gadgets!$C:$C,Analysis_Gadgets!$B:$B)</f>
        <v>Gadget</v>
      </c>
      <c r="E97" s="43">
        <v>955</v>
      </c>
      <c r="F97" s="43">
        <f>_xlfn.XLOOKUP(A97,Class_Players!A:A,Class_Players!G:G)</f>
        <v>376</v>
      </c>
      <c r="G97" s="43">
        <f t="shared" si="17"/>
        <v>2.5398936170212765</v>
      </c>
      <c r="H97" s="43">
        <f>_xlfn.XLOOKUP(A97,Class_Players!$A:$A,Class_Players!$F:$F,"")</f>
        <v>17213</v>
      </c>
      <c r="I97" s="44">
        <f t="shared" si="18"/>
        <v>5.5481322256434089E-2</v>
      </c>
      <c r="J97" s="43">
        <f t="shared" si="13"/>
        <v>0</v>
      </c>
      <c r="K97" s="44" cm="1">
        <f t="array" ref="K97">IF(D97="Gadget",_xlfn.IFS(I97&gt;=0.2,0.5,I97&gt;=0.1,0.35,I97&gt;=0.05,0.2,TRUE,0),IF(D97="Grenade",_xlfn.IFS(I97&gt;=0.2,1,I97&gt;=0.1,0.7,I97&gt;=0.05,0.4,TRUE,0),0))</f>
        <v>0.2</v>
      </c>
      <c r="L97" s="57">
        <f t="shared" si="19"/>
        <v>1</v>
      </c>
    </row>
    <row r="98" spans="1:12" ht="15" customHeight="1" x14ac:dyDescent="0.25">
      <c r="A98" s="42" t="str" cm="1">
        <f t="array" ref="A98">IFERROR(INDEX(_xlfn._xlws.FILTER(Class_Players!A:A,Class_Players!B:B="Support"),QUOTIENT(ROW()-ROW($A$2),9)+1),"")</f>
        <v>CptShoook</v>
      </c>
      <c r="B98" s="42" t="str">
        <f>_xlfn.XLOOKUP(A98,Class_Players!$A:$A,Class_Players!$B:$B,"")</f>
        <v>Support</v>
      </c>
      <c r="C98" s="38" t="str" cm="1">
        <f t="array" ref="C98">INDEX(Lookups!$D$2:$D$10,MOD(ROW()-ROW($B$2),ROWS(Lookups!$D$2:$D$10))+1)</f>
        <v>Supply Pouch</v>
      </c>
      <c r="D98" s="38" t="str">
        <f>_xlfn.XLOOKUP(C98,Analysis_Gadgets!$C:$C,Analysis_Gadgets!$B:$B)</f>
        <v>Gadget</v>
      </c>
      <c r="E98" s="43">
        <v>2</v>
      </c>
      <c r="F98" s="43">
        <f>_xlfn.XLOOKUP(A98,Class_Players!A:A,Class_Players!G:G)</f>
        <v>376</v>
      </c>
      <c r="G98" s="43">
        <f t="shared" si="17"/>
        <v>5.3191489361702126E-3</v>
      </c>
      <c r="H98" s="43">
        <f>_xlfn.XLOOKUP(A98,Class_Players!$A:$A,Class_Players!$F:$F,"")</f>
        <v>17213</v>
      </c>
      <c r="I98" s="44">
        <f t="shared" si="18"/>
        <v>1.1619125079881485E-4</v>
      </c>
      <c r="J98" s="43">
        <f t="shared" si="13"/>
        <v>0</v>
      </c>
      <c r="K98" s="44" cm="1">
        <f t="array" ref="K98">IF(D98="Gadget",_xlfn.IFS(I98&gt;=0.2,0.5,I98&gt;=0.1,0.35,I98&gt;=0.05,0.2,TRUE,0),IF(D98="Grenade",_xlfn.IFS(I98&gt;=0.2,1,I98&gt;=0.1,0.7,I98&gt;=0.05,0.4,TRUE,0),0))</f>
        <v>0</v>
      </c>
      <c r="L98" s="57">
        <f t="shared" si="19"/>
        <v>0</v>
      </c>
    </row>
    <row r="99" spans="1:12" ht="15" customHeight="1" x14ac:dyDescent="0.25">
      <c r="A99" s="42" t="str" cm="1">
        <f t="array" ref="A99">IFERROR(INDEX(_xlfn._xlws.FILTER(Class_Players!A:A,Class_Players!B:B="Support"),QUOTIENT(ROW()-ROW($A$2),9)+1),"")</f>
        <v>CptShoook</v>
      </c>
      <c r="B99" s="42" t="str">
        <f>_xlfn.XLOOKUP(A99,Class_Players!$A:$A,Class_Players!$B:$B,"")</f>
        <v>Support</v>
      </c>
      <c r="C99" s="38" t="str" cm="1">
        <f t="array" ref="C99">INDEX(Lookups!$D$2:$D$10,MOD(ROW()-ROW($B$2),ROWS(Lookups!$D$2:$D$10))+1)</f>
        <v>Smoke Grenade</v>
      </c>
      <c r="D99" s="38" t="str">
        <f>_xlfn.XLOOKUP(C99,Analysis_Gadgets!$C:$C,Analysis_Gadgets!$B:$B)</f>
        <v>Grenade</v>
      </c>
      <c r="E99" s="43">
        <v>434</v>
      </c>
      <c r="F99" s="43">
        <f>_xlfn.XLOOKUP(A99,Class_Players!A:A,Class_Players!G:G)</f>
        <v>376</v>
      </c>
      <c r="G99" s="43">
        <f>IF(F99=0,"",E99/(F99))</f>
        <v>1.1542553191489362</v>
      </c>
      <c r="H99" s="43">
        <f>_xlfn.XLOOKUP(A99,Class_Players!$A:$A,Class_Players!$F:$F,"")</f>
        <v>17213</v>
      </c>
      <c r="I99" s="44">
        <f>IF(H99=0,"",E99/H99)</f>
        <v>2.5213501423342822E-2</v>
      </c>
      <c r="J99" s="43">
        <f t="shared" si="13"/>
        <v>0</v>
      </c>
      <c r="K99" s="44" cm="1">
        <f t="array" ref="K99">IF(D99="Gadget",_xlfn.IFS(I99&gt;=0.2,0.5,I99&gt;=0.1,0.35,I99&gt;=0.05,0.2,TRUE,0),IF(D99="Grenade",_xlfn.IFS(I99&gt;=0.2,1,I99&gt;=0.1,0.7,I99&gt;=0.05,0.4,TRUE,0),0))</f>
        <v>0</v>
      </c>
      <c r="L99" s="57">
        <f>IF($K99=0,0,$K99 / SUMIFS($K:$K,$A:$A,$A99,$D:$D,"Grenade"))</f>
        <v>0</v>
      </c>
    </row>
    <row r="100" spans="1:12" ht="15" customHeight="1" x14ac:dyDescent="0.25">
      <c r="A100" s="42" t="str" cm="1">
        <f t="array" ref="A100">IFERROR(INDEX(_xlfn._xlws.FILTER(Class_Players!A:A,Class_Players!B:B="Support"),QUOTIENT(ROW()-ROW($A$2),9)+1),"")</f>
        <v>CptShoook</v>
      </c>
      <c r="B100" s="42" t="str">
        <f>_xlfn.XLOOKUP(A100,Class_Players!$A:$A,Class_Players!$B:$B,"")</f>
        <v>Support</v>
      </c>
      <c r="C100" s="38" t="str" cm="1">
        <f t="array" ref="C100">INDEX(Lookups!$D$2:$D$10,MOD(ROW()-ROW($B$2),ROWS(Lookups!$D$2:$D$10))+1)</f>
        <v>Incendiary Grenade</v>
      </c>
      <c r="D100" s="38" t="str">
        <f>_xlfn.XLOOKUP(C100,Analysis_Gadgets!$C:$C,Analysis_Gadgets!$B:$B)</f>
        <v>Grenade</v>
      </c>
      <c r="E100" s="43">
        <v>74</v>
      </c>
      <c r="F100" s="43">
        <f>_xlfn.XLOOKUP(A100,Class_Players!A:A,Class_Players!G:G)</f>
        <v>376</v>
      </c>
      <c r="G100" s="43">
        <f>IF(F100=0,"",E100/(F100))</f>
        <v>0.19680851063829788</v>
      </c>
      <c r="H100" s="43">
        <f>_xlfn.XLOOKUP(A100,Class_Players!$A:$A,Class_Players!$F:$F,"")</f>
        <v>17213</v>
      </c>
      <c r="I100" s="44">
        <f>IF(H100=0,"",E100/H100)</f>
        <v>4.2990762795561497E-3</v>
      </c>
      <c r="J100" s="43">
        <f t="shared" si="13"/>
        <v>0</v>
      </c>
      <c r="K100" s="44" cm="1">
        <f t="array" ref="K100">IF(D100="Gadget",_xlfn.IFS(I100&gt;=0.2,0.5,I100&gt;=0.1,0.35,I100&gt;=0.05,0.2,TRUE,0),IF(D100="Grenade",_xlfn.IFS(I100&gt;=0.2,1,I100&gt;=0.1,0.7,I100&gt;=0.05,0.4,TRUE,0),0))</f>
        <v>0</v>
      </c>
      <c r="L100" s="57">
        <f>IF($K100=0,0,$K100 / SUMIFS($K:$K,$A:$A,$A100,$D:$D,"Grenade"))</f>
        <v>0</v>
      </c>
    </row>
    <row r="101" spans="1:12" ht="15" customHeight="1" x14ac:dyDescent="0.25">
      <c r="A101" s="42" t="str" cm="1">
        <f t="array" ref="A101">IFERROR(INDEX(_xlfn._xlws.FILTER(Class_Players!A:A,Class_Players!B:B="Support"),QUOTIENT(ROW()-ROW($A$2),9)+1),"")</f>
        <v>soju</v>
      </c>
      <c r="B101" s="42" t="str">
        <f>_xlfn.XLOOKUP(A101,Class_Players!$A:$A,Class_Players!$B:$B,"")</f>
        <v>Support</v>
      </c>
      <c r="C101" s="38" t="str" cm="1">
        <f t="array" ref="C101">INDEX(Lookups!$D$2:$D$10,MOD(ROW()-ROW($B$2),ROWS(Lookups!$D$2:$D$10))+1)</f>
        <v>GPDIS (Grenade intercept system)</v>
      </c>
      <c r="D101" s="38" t="str">
        <f>_xlfn.XLOOKUP(C101,Analysis_Gadgets!$C:$C,Analysis_Gadgets!$B:$B)</f>
        <v>Gadget</v>
      </c>
      <c r="E101" s="43">
        <v>259</v>
      </c>
      <c r="F101" s="43">
        <f>_xlfn.XLOOKUP(A101,Class_Players!A:A,Class_Players!G:G)</f>
        <v>311</v>
      </c>
      <c r="G101" s="43">
        <f t="shared" si="17"/>
        <v>0.83279742765273312</v>
      </c>
      <c r="H101" s="43">
        <f>_xlfn.XLOOKUP(A101,Class_Players!$A:$A,Class_Players!$F:$F,"")</f>
        <v>16249</v>
      </c>
      <c r="I101" s="44">
        <f t="shared" si="18"/>
        <v>1.5939442427226291E-2</v>
      </c>
      <c r="J101" s="43">
        <f t="shared" si="13"/>
        <v>0</v>
      </c>
      <c r="K101" s="44" cm="1">
        <f t="array" ref="K101">IF(D101="Gadget",_xlfn.IFS(I101&gt;=0.2,0.5,I101&gt;=0.1,0.35,I101&gt;=0.05,0.2,TRUE,0),IF(D101="Grenade",_xlfn.IFS(I101&gt;=0.2,1,I101&gt;=0.1,0.7,I101&gt;=0.05,0.4,TRUE,0),0))</f>
        <v>0</v>
      </c>
      <c r="L101" s="57">
        <f>IF($K101=0,0,$K101 / SUMIFS($K:$K,$A:$A,$A101,$D:$D,"Gadget"))</f>
        <v>0</v>
      </c>
    </row>
    <row r="102" spans="1:12" ht="15" customHeight="1" x14ac:dyDescent="0.25">
      <c r="A102" s="42" t="str" cm="1">
        <f t="array" ref="A102">IFERROR(INDEX(_xlfn._xlws.FILTER(Class_Players!A:A,Class_Players!B:B="Support"),QUOTIENT(ROW()-ROW($A$2),9)+1),"")</f>
        <v>soju</v>
      </c>
      <c r="B102" s="42" t="str">
        <f>_xlfn.XLOOKUP(A102,Class_Players!$A:$A,Class_Players!$B:$B,"")</f>
        <v>Support</v>
      </c>
      <c r="C102" s="38" t="str" cm="1">
        <f t="array" ref="C102">INDEX(Lookups!$D$2:$D$10,MOD(ROW()-ROW($B$2),ROWS(Lookups!$D$2:$D$10))+1)</f>
        <v>MP-APS (Missile intercept system)</v>
      </c>
      <c r="D102" s="38" t="str">
        <f>_xlfn.XLOOKUP(C102,Analysis_Gadgets!$C:$C,Analysis_Gadgets!$B:$B)</f>
        <v>Gadget</v>
      </c>
      <c r="E102" s="43">
        <v>3</v>
      </c>
      <c r="F102" s="43">
        <f>_xlfn.XLOOKUP(A102,Class_Players!A:A,Class_Players!G:G)</f>
        <v>311</v>
      </c>
      <c r="G102" s="43">
        <f t="shared" si="17"/>
        <v>9.6463022508038593E-3</v>
      </c>
      <c r="H102" s="43">
        <f>_xlfn.XLOOKUP(A102,Class_Players!$A:$A,Class_Players!$F:$F,"")</f>
        <v>16249</v>
      </c>
      <c r="I102" s="44">
        <f t="shared" si="18"/>
        <v>1.8462674626130838E-4</v>
      </c>
      <c r="J102" s="43">
        <f t="shared" si="13"/>
        <v>0</v>
      </c>
      <c r="K102" s="44" cm="1">
        <f t="array" ref="K102">IF(D102="Gadget",_xlfn.IFS(I102&gt;=0.2,0.5,I102&gt;=0.1,0.35,I102&gt;=0.05,0.2,TRUE,0),IF(D102="Grenade",_xlfn.IFS(I102&gt;=0.2,1,I102&gt;=0.1,0.7,I102&gt;=0.05,0.4,TRUE,0),0))</f>
        <v>0</v>
      </c>
      <c r="L102" s="57">
        <f t="shared" ref="L102:L107" si="20">IF($K102=0,0,$K102 / SUMIFS($K:$K,$A:$A,$A102,$D:$D,"Gadget"))</f>
        <v>0</v>
      </c>
    </row>
    <row r="103" spans="1:12" ht="15" customHeight="1" x14ac:dyDescent="0.25">
      <c r="A103" s="42" t="str" cm="1">
        <f t="array" ref="A103">IFERROR(INDEX(_xlfn._xlws.FILTER(Class_Players!A:A,Class_Players!B:B="Support"),QUOTIENT(ROW()-ROW($A$2),9)+1),"")</f>
        <v>soju</v>
      </c>
      <c r="B103" s="42" t="str">
        <f>_xlfn.XLOOKUP(A103,Class_Players!$A:$A,Class_Players!$B:$B,"")</f>
        <v>Support</v>
      </c>
      <c r="C103" s="38" t="str" cm="1">
        <f t="array" ref="C103">INDEX(Lookups!$D$2:$D$10,MOD(ROW()-ROW($B$2),ROWS(Lookups!$D$2:$D$10))+1)</f>
        <v>LWCMS (Mortar)</v>
      </c>
      <c r="D103" s="38" t="str">
        <f>_xlfn.XLOOKUP(C103,Analysis_Gadgets!$C:$C,Analysis_Gadgets!$B:$B)</f>
        <v>Gadget</v>
      </c>
      <c r="E103" s="43">
        <v>5</v>
      </c>
      <c r="F103" s="43">
        <f>_xlfn.XLOOKUP(A103,Class_Players!A:A,Class_Players!G:G)</f>
        <v>311</v>
      </c>
      <c r="G103" s="43">
        <f t="shared" si="17"/>
        <v>1.607717041800643E-2</v>
      </c>
      <c r="H103" s="43">
        <f>_xlfn.XLOOKUP(A103,Class_Players!$A:$A,Class_Players!$F:$F,"")</f>
        <v>16249</v>
      </c>
      <c r="I103" s="44">
        <f t="shared" si="18"/>
        <v>3.0771124376884729E-4</v>
      </c>
      <c r="J103" s="43">
        <f t="shared" si="13"/>
        <v>0</v>
      </c>
      <c r="K103" s="44" cm="1">
        <f t="array" ref="K103">IF(D103="Gadget",_xlfn.IFS(I103&gt;=0.2,0.5,I103&gt;=0.1,0.35,I103&gt;=0.05,0.2,TRUE,0),IF(D103="Grenade",_xlfn.IFS(I103&gt;=0.2,1,I103&gt;=0.1,0.7,I103&gt;=0.05,0.4,TRUE,0),0))</f>
        <v>0</v>
      </c>
      <c r="L103" s="57">
        <f t="shared" si="20"/>
        <v>0</v>
      </c>
    </row>
    <row r="104" spans="1:12" ht="15" customHeight="1" x14ac:dyDescent="0.25">
      <c r="A104" s="42" t="str" cm="1">
        <f t="array" ref="A104">IFERROR(INDEX(_xlfn._xlws.FILTER(Class_Players!A:A,Class_Players!B:B="Support"),QUOTIENT(ROW()-ROW($A$2),9)+1),"")</f>
        <v>soju</v>
      </c>
      <c r="B104" s="42" t="str">
        <f>_xlfn.XLOOKUP(A104,Class_Players!$A:$A,Class_Players!$B:$B,"")</f>
        <v>Support</v>
      </c>
      <c r="C104" s="38" t="str" cm="1">
        <f t="array" ref="C104">INDEX(Lookups!$D$2:$D$10,MOD(ROW()-ROW($B$2),ROWS(Lookups!$D$2:$D$10))+1)</f>
        <v>M320A1 SMK (Smoke Grenade Launcher)</v>
      </c>
      <c r="D104" s="38" t="str">
        <f>_xlfn.XLOOKUP(C104,Analysis_Gadgets!$C:$C,Analysis_Gadgets!$B:$B)</f>
        <v>Gadget</v>
      </c>
      <c r="E104" s="43">
        <v>2955</v>
      </c>
      <c r="F104" s="43">
        <f>_xlfn.XLOOKUP(A104,Class_Players!A:A,Class_Players!G:G)</f>
        <v>311</v>
      </c>
      <c r="G104" s="43">
        <f t="shared" si="17"/>
        <v>9.5016077170418001</v>
      </c>
      <c r="H104" s="43">
        <f>_xlfn.XLOOKUP(A104,Class_Players!$A:$A,Class_Players!$F:$F,"")</f>
        <v>16249</v>
      </c>
      <c r="I104" s="44">
        <f t="shared" si="18"/>
        <v>0.18185734506738876</v>
      </c>
      <c r="J104" s="43">
        <f t="shared" si="13"/>
        <v>1</v>
      </c>
      <c r="K104" s="44" cm="1">
        <f t="array" ref="K104">IF(D104="Gadget",_xlfn.IFS(I104&gt;=0.2,0.5,I104&gt;=0.1,0.35,I104&gt;=0.05,0.2,TRUE,0),IF(D104="Grenade",_xlfn.IFS(I104&gt;=0.2,1,I104&gt;=0.1,0.7,I104&gt;=0.05,0.4,TRUE,0),0))</f>
        <v>0.35</v>
      </c>
      <c r="L104" s="57">
        <f t="shared" si="20"/>
        <v>0.38888888888888884</v>
      </c>
    </row>
    <row r="105" spans="1:12" ht="15" customHeight="1" x14ac:dyDescent="0.25">
      <c r="A105" s="42" t="str" cm="1">
        <f t="array" ref="A105">IFERROR(INDEX(_xlfn._xlws.FILTER(Class_Players!A:A,Class_Players!B:B="Support"),QUOTIENT(ROW()-ROW($A$2),9)+1),"")</f>
        <v>soju</v>
      </c>
      <c r="B105" s="42" t="str">
        <f>_xlfn.XLOOKUP(A105,Class_Players!$A:$A,Class_Players!$B:$B,"")</f>
        <v>Support</v>
      </c>
      <c r="C105" s="38" t="str" cm="1">
        <f t="array" ref="C105">INDEX(Lookups!$D$2:$D$10,MOD(ROW()-ROW($B$2),ROWS(Lookups!$D$2:$D$10))+1)</f>
        <v>SICH G1 WP (Incendiary Airburst Launcher)</v>
      </c>
      <c r="D105" s="38" t="str">
        <f>_xlfn.XLOOKUP(C105,Analysis_Gadgets!$C:$C,Analysis_Gadgets!$B:$B)</f>
        <v>Gadget</v>
      </c>
      <c r="E105" s="43">
        <v>1204</v>
      </c>
      <c r="F105" s="43">
        <f>_xlfn.XLOOKUP(A105,Class_Players!A:A,Class_Players!G:G)</f>
        <v>311</v>
      </c>
      <c r="G105" s="43">
        <f t="shared" si="17"/>
        <v>3.8713826366559485</v>
      </c>
      <c r="H105" s="43">
        <f>_xlfn.XLOOKUP(A105,Class_Players!$A:$A,Class_Players!$F:$F,"")</f>
        <v>16249</v>
      </c>
      <c r="I105" s="44">
        <f t="shared" si="18"/>
        <v>7.4096867499538435E-2</v>
      </c>
      <c r="J105" s="43">
        <f t="shared" si="13"/>
        <v>0</v>
      </c>
      <c r="K105" s="44" cm="1">
        <f t="array" ref="K105">IF(D105="Gadget",_xlfn.IFS(I105&gt;=0.2,0.5,I105&gt;=0.1,0.35,I105&gt;=0.05,0.2,TRUE,0),IF(D105="Grenade",_xlfn.IFS(I105&gt;=0.2,1,I105&gt;=0.1,0.7,I105&gt;=0.05,0.4,TRUE,0),0))</f>
        <v>0.2</v>
      </c>
      <c r="L105" s="57">
        <f t="shared" si="20"/>
        <v>0.22222222222222224</v>
      </c>
    </row>
    <row r="106" spans="1:12" ht="15" customHeight="1" x14ac:dyDescent="0.25">
      <c r="A106" s="42" t="str" cm="1">
        <f t="array" ref="A106">IFERROR(INDEX(_xlfn._xlws.FILTER(Class_Players!A:A,Class_Players!B:B="Support"),QUOTIENT(ROW()-ROW($A$2),9)+1),"")</f>
        <v>soju</v>
      </c>
      <c r="B106" s="42" t="str">
        <f>_xlfn.XLOOKUP(A106,Class_Players!$A:$A,Class_Players!$B:$B,"")</f>
        <v>Support</v>
      </c>
      <c r="C106" s="38" t="str" cm="1">
        <f t="array" ref="C106">INDEX(Lookups!$D$2:$D$10,MOD(ROW()-ROW($B$2),ROWS(Lookups!$D$2:$D$10))+1)</f>
        <v>Deployable Cover</v>
      </c>
      <c r="D106" s="38" t="str">
        <f>_xlfn.XLOOKUP(C106,Analysis_Gadgets!$C:$C,Analysis_Gadgets!$B:$B)</f>
        <v>Gadget</v>
      </c>
      <c r="E106" s="43">
        <v>59</v>
      </c>
      <c r="F106" s="43">
        <f>_xlfn.XLOOKUP(A106,Class_Players!A:A,Class_Players!G:G)</f>
        <v>311</v>
      </c>
      <c r="G106" s="43">
        <f t="shared" si="17"/>
        <v>0.18971061093247588</v>
      </c>
      <c r="H106" s="43">
        <f>_xlfn.XLOOKUP(A106,Class_Players!$A:$A,Class_Players!$F:$F,"")</f>
        <v>16249</v>
      </c>
      <c r="I106" s="44">
        <f t="shared" si="18"/>
        <v>3.6309926764723985E-3</v>
      </c>
      <c r="J106" s="43">
        <f t="shared" si="13"/>
        <v>0</v>
      </c>
      <c r="K106" s="44" cm="1">
        <f t="array" ref="K106">IF(D106="Gadget",_xlfn.IFS(I106&gt;=0.2,0.5,I106&gt;=0.1,0.35,I106&gt;=0.05,0.2,TRUE,0),IF(D106="Grenade",_xlfn.IFS(I106&gt;=0.2,1,I106&gt;=0.1,0.7,I106&gt;=0.05,0.4,TRUE,0),0))</f>
        <v>0</v>
      </c>
      <c r="L106" s="57">
        <f t="shared" si="20"/>
        <v>0</v>
      </c>
    </row>
    <row r="107" spans="1:12" ht="15" customHeight="1" x14ac:dyDescent="0.25">
      <c r="A107" s="42" t="str" cm="1">
        <f t="array" ref="A107">IFERROR(INDEX(_xlfn._xlws.FILTER(Class_Players!A:A,Class_Players!B:B="Support"),QUOTIENT(ROW()-ROW($A$2),9)+1),"")</f>
        <v>soju</v>
      </c>
      <c r="B107" s="42" t="str">
        <f>_xlfn.XLOOKUP(A107,Class_Players!$A:$A,Class_Players!$B:$B,"")</f>
        <v>Support</v>
      </c>
      <c r="C107" s="38" t="str" cm="1">
        <f t="array" ref="C107">INDEX(Lookups!$D$2:$D$10,MOD(ROW()-ROW($B$2),ROWS(Lookups!$D$2:$D$10))+1)</f>
        <v>Supply Pouch</v>
      </c>
      <c r="D107" s="38" t="str">
        <f>_xlfn.XLOOKUP(C107,Analysis_Gadgets!$C:$C,Analysis_Gadgets!$B:$B)</f>
        <v>Gadget</v>
      </c>
      <c r="E107" s="43">
        <v>2988</v>
      </c>
      <c r="F107" s="43">
        <f>_xlfn.XLOOKUP(A107,Class_Players!A:A,Class_Players!G:G)</f>
        <v>311</v>
      </c>
      <c r="G107" s="43">
        <f t="shared" si="17"/>
        <v>9.6077170418006439</v>
      </c>
      <c r="H107" s="43">
        <f>_xlfn.XLOOKUP(A107,Class_Players!$A:$A,Class_Players!$F:$F,"")</f>
        <v>16249</v>
      </c>
      <c r="I107" s="44">
        <f t="shared" si="18"/>
        <v>0.18388823927626316</v>
      </c>
      <c r="J107" s="43">
        <f t="shared" si="13"/>
        <v>1</v>
      </c>
      <c r="K107" s="44" cm="1">
        <f t="array" ref="K107">IF(D107="Gadget",_xlfn.IFS(I107&gt;=0.2,0.5,I107&gt;=0.1,0.35,I107&gt;=0.05,0.2,TRUE,0),IF(D107="Grenade",_xlfn.IFS(I107&gt;=0.2,1,I107&gt;=0.1,0.7,I107&gt;=0.05,0.4,TRUE,0),0))</f>
        <v>0.35</v>
      </c>
      <c r="L107" s="57">
        <f t="shared" si="20"/>
        <v>0.38888888888888884</v>
      </c>
    </row>
    <row r="108" spans="1:12" ht="15" customHeight="1" x14ac:dyDescent="0.25">
      <c r="A108" s="42" t="str" cm="1">
        <f t="array" ref="A108">IFERROR(INDEX(_xlfn._xlws.FILTER(Class_Players!A:A,Class_Players!B:B="Support"),QUOTIENT(ROW()-ROW($A$2),9)+1),"")</f>
        <v>soju</v>
      </c>
      <c r="B108" s="42" t="str">
        <f>_xlfn.XLOOKUP(A108,Class_Players!$A:$A,Class_Players!$B:$B,"")</f>
        <v>Support</v>
      </c>
      <c r="C108" s="38" t="str" cm="1">
        <f t="array" ref="C108">INDEX(Lookups!$D$2:$D$10,MOD(ROW()-ROW($B$2),ROWS(Lookups!$D$2:$D$10))+1)</f>
        <v>Smoke Grenade</v>
      </c>
      <c r="D108" s="38" t="str">
        <f>_xlfn.XLOOKUP(C108,Analysis_Gadgets!$C:$C,Analysis_Gadgets!$B:$B)</f>
        <v>Grenade</v>
      </c>
      <c r="E108" s="43">
        <v>8763</v>
      </c>
      <c r="F108" s="43">
        <f>_xlfn.XLOOKUP(A108,Class_Players!A:A,Class_Players!G:G)</f>
        <v>311</v>
      </c>
      <c r="G108" s="43">
        <f t="shared" si="17"/>
        <v>28.176848874598072</v>
      </c>
      <c r="H108" s="43">
        <f>_xlfn.XLOOKUP(A108,Class_Players!$A:$A,Class_Players!$F:$F,"")</f>
        <v>16249</v>
      </c>
      <c r="I108" s="44">
        <f t="shared" si="18"/>
        <v>0.53929472582928184</v>
      </c>
      <c r="J108" s="43">
        <f t="shared" si="13"/>
        <v>1</v>
      </c>
      <c r="K108" s="44" cm="1">
        <f t="array" ref="K108">IF(D108="Gadget",_xlfn.IFS(I108&gt;=0.2,0.5,I108&gt;=0.1,0.35,I108&gt;=0.05,0.2,TRUE,0),IF(D108="Grenade",_xlfn.IFS(I108&gt;=0.2,1,I108&gt;=0.1,0.7,I108&gt;=0.05,0.4,TRUE,0),0))</f>
        <v>1</v>
      </c>
      <c r="L108" s="57">
        <f>IF($K108=0,0,$K108 / SUMIFS($K:$K,$A:$A,$A108,$D:$D,"Grenade"))</f>
        <v>1</v>
      </c>
    </row>
    <row r="109" spans="1:12" ht="15" customHeight="1" x14ac:dyDescent="0.25">
      <c r="A109" s="42" t="str" cm="1">
        <f t="array" ref="A109">IFERROR(INDEX(_xlfn._xlws.FILTER(Class_Players!A:A,Class_Players!B:B="Support"),QUOTIENT(ROW()-ROW($A$2),9)+1),"")</f>
        <v>soju</v>
      </c>
      <c r="B109" s="42" t="str">
        <f>_xlfn.XLOOKUP(A109,Class_Players!$A:$A,Class_Players!$B:$B,"")</f>
        <v>Support</v>
      </c>
      <c r="C109" s="38" t="str" cm="1">
        <f t="array" ref="C109">INDEX(Lookups!$D$2:$D$10,MOD(ROW()-ROW($B$2),ROWS(Lookups!$D$2:$D$10))+1)</f>
        <v>Incendiary Grenade</v>
      </c>
      <c r="D109" s="38" t="str">
        <f>_xlfn.XLOOKUP(C109,Analysis_Gadgets!$C:$C,Analysis_Gadgets!$B:$B)</f>
        <v>Grenade</v>
      </c>
      <c r="E109" s="43">
        <v>14</v>
      </c>
      <c r="F109" s="43">
        <f>_xlfn.XLOOKUP(A109,Class_Players!A:A,Class_Players!G:G)</f>
        <v>311</v>
      </c>
      <c r="G109" s="43">
        <f t="shared" si="17"/>
        <v>4.5016077170418008E-2</v>
      </c>
      <c r="H109" s="43">
        <f>_xlfn.XLOOKUP(A109,Class_Players!$A:$A,Class_Players!$F:$F,"")</f>
        <v>16249</v>
      </c>
      <c r="I109" s="44">
        <f t="shared" si="18"/>
        <v>8.6159148255277246E-4</v>
      </c>
      <c r="J109" s="43">
        <f t="shared" si="13"/>
        <v>0</v>
      </c>
      <c r="K109" s="44" cm="1">
        <f t="array" ref="K109">IF(D109="Gadget",_xlfn.IFS(I109&gt;=0.2,0.5,I109&gt;=0.1,0.35,I109&gt;=0.05,0.2,TRUE,0),IF(D109="Grenade",_xlfn.IFS(I109&gt;=0.2,1,I109&gt;=0.1,0.7,I109&gt;=0.05,0.4,TRUE,0),0))</f>
        <v>0</v>
      </c>
      <c r="L109" s="57">
        <f>IF($K109=0,0,$K109 / SUMIFS($K:$K,$A:$A,$A109,$D:$D,"Grenade"))</f>
        <v>0</v>
      </c>
    </row>
    <row r="110" spans="1:12" ht="15" customHeight="1" x14ac:dyDescent="0.25">
      <c r="A110" s="42" t="str" cm="1">
        <f t="array" ref="A110">IFERROR(INDEX(_xlfn._xlws.FILTER(Class_Players!A:A,Class_Players!B:B="Support"),QUOTIENT(ROW()-ROW($A$2),9)+1),"")</f>
        <v>PEB ZeneK</v>
      </c>
      <c r="B110" s="42" t="str">
        <f>_xlfn.XLOOKUP(A110,Class_Players!$A:$A,Class_Players!$B:$B,"")</f>
        <v>Support</v>
      </c>
      <c r="C110" s="38" t="str" cm="1">
        <f t="array" ref="C110">INDEX(Lookups!$D$2:$D$10,MOD(ROW()-ROW($B$2),ROWS(Lookups!$D$2:$D$10))+1)</f>
        <v>GPDIS (Grenade intercept system)</v>
      </c>
      <c r="D110" s="38" t="str">
        <f>_xlfn.XLOOKUP(C110,Analysis_Gadgets!$C:$C,Analysis_Gadgets!$B:$B)</f>
        <v>Gadget</v>
      </c>
      <c r="E110" s="43">
        <v>106</v>
      </c>
      <c r="F110" s="43">
        <f>_xlfn.XLOOKUP(A110,Class_Players!A:A,Class_Players!G:G)</f>
        <v>231</v>
      </c>
      <c r="G110" s="43">
        <f t="shared" si="17"/>
        <v>0.45887445887445888</v>
      </c>
      <c r="H110" s="43">
        <f>_xlfn.XLOOKUP(A110,Class_Players!$A:$A,Class_Players!$F:$F,"")</f>
        <v>16184</v>
      </c>
      <c r="I110" s="44">
        <f t="shared" si="18"/>
        <v>6.5496786950074151E-3</v>
      </c>
      <c r="J110" s="43">
        <f t="shared" si="13"/>
        <v>0</v>
      </c>
      <c r="K110" s="44" cm="1">
        <f t="array" ref="K110">IF(D110="Gadget",_xlfn.IFS(I110&gt;=0.2,0.5,I110&gt;=0.1,0.35,I110&gt;=0.05,0.2,TRUE,0),IF(D110="Grenade",_xlfn.IFS(I110&gt;=0.2,1,I110&gt;=0.1,0.7,I110&gt;=0.05,0.4,TRUE,0),0))</f>
        <v>0</v>
      </c>
      <c r="L110" s="57">
        <f>IF($K110=0,0,$K110 / SUMIFS($K:$K,$A:$A,$A110,$D:$D,"Gadget"))</f>
        <v>0</v>
      </c>
    </row>
    <row r="111" spans="1:12" ht="15" customHeight="1" x14ac:dyDescent="0.25">
      <c r="A111" s="42" t="str" cm="1">
        <f t="array" ref="A111">IFERROR(INDEX(_xlfn._xlws.FILTER(Class_Players!A:A,Class_Players!B:B="Support"),QUOTIENT(ROW()-ROW($A$2),9)+1),"")</f>
        <v>PEB ZeneK</v>
      </c>
      <c r="B111" s="42" t="str">
        <f>_xlfn.XLOOKUP(A111,Class_Players!$A:$A,Class_Players!$B:$B,"")</f>
        <v>Support</v>
      </c>
      <c r="C111" s="38" t="str" cm="1">
        <f t="array" ref="C111">INDEX(Lookups!$D$2:$D$10,MOD(ROW()-ROW($B$2),ROWS(Lookups!$D$2:$D$10))+1)</f>
        <v>MP-APS (Missile intercept system)</v>
      </c>
      <c r="D111" s="38" t="str">
        <f>_xlfn.XLOOKUP(C111,Analysis_Gadgets!$C:$C,Analysis_Gadgets!$B:$B)</f>
        <v>Gadget</v>
      </c>
      <c r="E111" s="43">
        <v>0</v>
      </c>
      <c r="F111" s="43">
        <f>_xlfn.XLOOKUP(A111,Class_Players!A:A,Class_Players!G:G)</f>
        <v>231</v>
      </c>
      <c r="G111" s="43">
        <f t="shared" si="17"/>
        <v>0</v>
      </c>
      <c r="H111" s="43">
        <f>_xlfn.XLOOKUP(A111,Class_Players!$A:$A,Class_Players!$F:$F,"")</f>
        <v>16184</v>
      </c>
      <c r="I111" s="44">
        <f t="shared" si="18"/>
        <v>0</v>
      </c>
      <c r="J111" s="43">
        <f t="shared" si="13"/>
        <v>0</v>
      </c>
      <c r="K111" s="44" cm="1">
        <f t="array" ref="K111">IF(D111="Gadget",_xlfn.IFS(I111&gt;=0.2,0.5,I111&gt;=0.1,0.35,I111&gt;=0.05,0.2,TRUE,0),IF(D111="Grenade",_xlfn.IFS(I111&gt;=0.2,1,I111&gt;=0.1,0.7,I111&gt;=0.05,0.4,TRUE,0),0))</f>
        <v>0</v>
      </c>
      <c r="L111" s="57">
        <f t="shared" ref="L111:L116" si="21">IF($K111=0,0,$K111 / SUMIFS($K:$K,$A:$A,$A111,$D:$D,"Gadget"))</f>
        <v>0</v>
      </c>
    </row>
    <row r="112" spans="1:12" ht="15" customHeight="1" x14ac:dyDescent="0.25">
      <c r="A112" s="42" t="str" cm="1">
        <f t="array" ref="A112">IFERROR(INDEX(_xlfn._xlws.FILTER(Class_Players!A:A,Class_Players!B:B="Support"),QUOTIENT(ROW()-ROW($A$2),9)+1),"")</f>
        <v>PEB ZeneK</v>
      </c>
      <c r="B112" s="42" t="str">
        <f>_xlfn.XLOOKUP(A112,Class_Players!$A:$A,Class_Players!$B:$B,"")</f>
        <v>Support</v>
      </c>
      <c r="C112" s="38" t="str" cm="1">
        <f t="array" ref="C112">INDEX(Lookups!$D$2:$D$10,MOD(ROW()-ROW($B$2),ROWS(Lookups!$D$2:$D$10))+1)</f>
        <v>LWCMS (Mortar)</v>
      </c>
      <c r="D112" s="38" t="str">
        <f>_xlfn.XLOOKUP(C112,Analysis_Gadgets!$C:$C,Analysis_Gadgets!$B:$B)</f>
        <v>Gadget</v>
      </c>
      <c r="E112" s="43">
        <v>0</v>
      </c>
      <c r="F112" s="43">
        <f>_xlfn.XLOOKUP(A112,Class_Players!A:A,Class_Players!G:G)</f>
        <v>231</v>
      </c>
      <c r="G112" s="43">
        <f t="shared" si="17"/>
        <v>0</v>
      </c>
      <c r="H112" s="43">
        <f>_xlfn.XLOOKUP(A112,Class_Players!$A:$A,Class_Players!$F:$F,"")</f>
        <v>16184</v>
      </c>
      <c r="I112" s="44">
        <f t="shared" si="18"/>
        <v>0</v>
      </c>
      <c r="J112" s="43">
        <f t="shared" si="13"/>
        <v>0</v>
      </c>
      <c r="K112" s="44" cm="1">
        <f t="array" ref="K112">IF(D112="Gadget",_xlfn.IFS(I112&gt;=0.2,0.5,I112&gt;=0.1,0.35,I112&gt;=0.05,0.2,TRUE,0),IF(D112="Grenade",_xlfn.IFS(I112&gt;=0.2,1,I112&gt;=0.1,0.7,I112&gt;=0.05,0.4,TRUE,0),0))</f>
        <v>0</v>
      </c>
      <c r="L112" s="57">
        <f t="shared" si="21"/>
        <v>0</v>
      </c>
    </row>
    <row r="113" spans="1:12" ht="15" customHeight="1" x14ac:dyDescent="0.25">
      <c r="A113" s="42" t="str" cm="1">
        <f t="array" ref="A113">IFERROR(INDEX(_xlfn._xlws.FILTER(Class_Players!A:A,Class_Players!B:B="Support"),QUOTIENT(ROW()-ROW($A$2),9)+1),"")</f>
        <v>PEB ZeneK</v>
      </c>
      <c r="B113" s="42" t="str">
        <f>_xlfn.XLOOKUP(A113,Class_Players!$A:$A,Class_Players!$B:$B,"")</f>
        <v>Support</v>
      </c>
      <c r="C113" s="38" t="str" cm="1">
        <f t="array" ref="C113">INDEX(Lookups!$D$2:$D$10,MOD(ROW()-ROW($B$2),ROWS(Lookups!$D$2:$D$10))+1)</f>
        <v>M320A1 SMK (Smoke Grenade Launcher)</v>
      </c>
      <c r="D113" s="38" t="str">
        <f>_xlfn.XLOOKUP(C113,Analysis_Gadgets!$C:$C,Analysis_Gadgets!$B:$B)</f>
        <v>Gadget</v>
      </c>
      <c r="E113" s="43">
        <v>820</v>
      </c>
      <c r="F113" s="43">
        <f>_xlfn.XLOOKUP(A113,Class_Players!A:A,Class_Players!G:G)</f>
        <v>231</v>
      </c>
      <c r="G113" s="43">
        <f t="shared" si="17"/>
        <v>3.5497835497835499</v>
      </c>
      <c r="H113" s="43">
        <f>_xlfn.XLOOKUP(A113,Class_Players!$A:$A,Class_Players!$F:$F,"")</f>
        <v>16184</v>
      </c>
      <c r="I113" s="44">
        <f t="shared" si="18"/>
        <v>5.0667325753830941E-2</v>
      </c>
      <c r="J113" s="43">
        <f t="shared" si="13"/>
        <v>0</v>
      </c>
      <c r="K113" s="44" cm="1">
        <f t="array" ref="K113">IF(D113="Gadget",_xlfn.IFS(I113&gt;=0.2,0.5,I113&gt;=0.1,0.35,I113&gt;=0.05,0.2,TRUE,0),IF(D113="Grenade",_xlfn.IFS(I113&gt;=0.2,1,I113&gt;=0.1,0.7,I113&gt;=0.05,0.4,TRUE,0),0))</f>
        <v>0.2</v>
      </c>
      <c r="L113" s="57">
        <f t="shared" si="21"/>
        <v>1</v>
      </c>
    </row>
    <row r="114" spans="1:12" ht="15" customHeight="1" x14ac:dyDescent="0.25">
      <c r="A114" s="42" t="str" cm="1">
        <f t="array" ref="A114">IFERROR(INDEX(_xlfn._xlws.FILTER(Class_Players!A:A,Class_Players!B:B="Support"),QUOTIENT(ROW()-ROW($A$2),9)+1),"")</f>
        <v>PEB ZeneK</v>
      </c>
      <c r="B114" s="42" t="str">
        <f>_xlfn.XLOOKUP(A114,Class_Players!$A:$A,Class_Players!$B:$B,"")</f>
        <v>Support</v>
      </c>
      <c r="C114" s="38" t="str" cm="1">
        <f t="array" ref="C114">INDEX(Lookups!$D$2:$D$10,MOD(ROW()-ROW($B$2),ROWS(Lookups!$D$2:$D$10))+1)</f>
        <v>SICH G1 WP (Incendiary Airburst Launcher)</v>
      </c>
      <c r="D114" s="38" t="str">
        <f>_xlfn.XLOOKUP(C114,Analysis_Gadgets!$C:$C,Analysis_Gadgets!$B:$B)</f>
        <v>Gadget</v>
      </c>
      <c r="E114" s="43">
        <v>563</v>
      </c>
      <c r="F114" s="43">
        <f>_xlfn.XLOOKUP(A114,Class_Players!A:A,Class_Players!G:G)</f>
        <v>231</v>
      </c>
      <c r="G114" s="43">
        <f t="shared" si="17"/>
        <v>2.4372294372294374</v>
      </c>
      <c r="H114" s="43">
        <f>_xlfn.XLOOKUP(A114,Class_Players!$A:$A,Class_Players!$F:$F,"")</f>
        <v>16184</v>
      </c>
      <c r="I114" s="44">
        <f t="shared" si="18"/>
        <v>3.4787444389520514E-2</v>
      </c>
      <c r="J114" s="43">
        <f t="shared" si="13"/>
        <v>0</v>
      </c>
      <c r="K114" s="44" cm="1">
        <f t="array" ref="K114">IF(D114="Gadget",_xlfn.IFS(I114&gt;=0.2,0.5,I114&gt;=0.1,0.35,I114&gt;=0.05,0.2,TRUE,0),IF(D114="Grenade",_xlfn.IFS(I114&gt;=0.2,1,I114&gt;=0.1,0.7,I114&gt;=0.05,0.4,TRUE,0),0))</f>
        <v>0</v>
      </c>
      <c r="L114" s="57">
        <f t="shared" si="21"/>
        <v>0</v>
      </c>
    </row>
    <row r="115" spans="1:12" ht="15" customHeight="1" x14ac:dyDescent="0.25">
      <c r="A115" s="42" t="str" cm="1">
        <f t="array" ref="A115">IFERROR(INDEX(_xlfn._xlws.FILTER(Class_Players!A:A,Class_Players!B:B="Support"),QUOTIENT(ROW()-ROW($A$2),9)+1),"")</f>
        <v>PEB ZeneK</v>
      </c>
      <c r="B115" s="42" t="str">
        <f>_xlfn.XLOOKUP(A115,Class_Players!$A:$A,Class_Players!$B:$B,"")</f>
        <v>Support</v>
      </c>
      <c r="C115" s="38" t="str" cm="1">
        <f t="array" ref="C115">INDEX(Lookups!$D$2:$D$10,MOD(ROW()-ROW($B$2),ROWS(Lookups!$D$2:$D$10))+1)</f>
        <v>Deployable Cover</v>
      </c>
      <c r="D115" s="38" t="str">
        <f>_xlfn.XLOOKUP(C115,Analysis_Gadgets!$C:$C,Analysis_Gadgets!$B:$B)</f>
        <v>Gadget</v>
      </c>
      <c r="E115" s="43">
        <v>476</v>
      </c>
      <c r="F115" s="43">
        <f>_xlfn.XLOOKUP(A115,Class_Players!A:A,Class_Players!G:G)</f>
        <v>231</v>
      </c>
      <c r="G115" s="43">
        <f t="shared" si="17"/>
        <v>2.0606060606060606</v>
      </c>
      <c r="H115" s="43">
        <f>_xlfn.XLOOKUP(A115,Class_Players!$A:$A,Class_Players!$F:$F,"")</f>
        <v>16184</v>
      </c>
      <c r="I115" s="44">
        <f t="shared" si="18"/>
        <v>2.9411764705882353E-2</v>
      </c>
      <c r="J115" s="43">
        <f t="shared" si="13"/>
        <v>0</v>
      </c>
      <c r="K115" s="44" cm="1">
        <f t="array" ref="K115">IF(D115="Gadget",_xlfn.IFS(I115&gt;=0.2,0.5,I115&gt;=0.1,0.35,I115&gt;=0.05,0.2,TRUE,0),IF(D115="Grenade",_xlfn.IFS(I115&gt;=0.2,1,I115&gt;=0.1,0.7,I115&gt;=0.05,0.4,TRUE,0),0))</f>
        <v>0</v>
      </c>
      <c r="L115" s="57">
        <f t="shared" si="21"/>
        <v>0</v>
      </c>
    </row>
    <row r="116" spans="1:12" ht="15" customHeight="1" x14ac:dyDescent="0.25">
      <c r="A116" s="42" t="str" cm="1">
        <f t="array" ref="A116">IFERROR(INDEX(_xlfn._xlws.FILTER(Class_Players!A:A,Class_Players!B:B="Support"),QUOTIENT(ROW()-ROW($A$2),9)+1),"")</f>
        <v>PEB ZeneK</v>
      </c>
      <c r="B116" s="42" t="str">
        <f>_xlfn.XLOOKUP(A116,Class_Players!$A:$A,Class_Players!$B:$B,"")</f>
        <v>Support</v>
      </c>
      <c r="C116" s="38" t="str" cm="1">
        <f t="array" ref="C116">INDEX(Lookups!$D$2:$D$10,MOD(ROW()-ROW($B$2),ROWS(Lookups!$D$2:$D$10))+1)</f>
        <v>Supply Pouch</v>
      </c>
      <c r="D116" s="38" t="str">
        <f>_xlfn.XLOOKUP(C116,Analysis_Gadgets!$C:$C,Analysis_Gadgets!$B:$B)</f>
        <v>Gadget</v>
      </c>
      <c r="E116" s="43">
        <v>77</v>
      </c>
      <c r="F116" s="43">
        <f>_xlfn.XLOOKUP(A116,Class_Players!A:A,Class_Players!G:G)</f>
        <v>231</v>
      </c>
      <c r="G116" s="43">
        <f t="shared" si="17"/>
        <v>0.33333333333333331</v>
      </c>
      <c r="H116" s="43">
        <f>_xlfn.XLOOKUP(A116,Class_Players!$A:$A,Class_Players!$F:$F,"")</f>
        <v>16184</v>
      </c>
      <c r="I116" s="44">
        <f t="shared" si="18"/>
        <v>4.7577854671280277E-3</v>
      </c>
      <c r="J116" s="43">
        <f t="shared" si="13"/>
        <v>0</v>
      </c>
      <c r="K116" s="44" cm="1">
        <f t="array" ref="K116">IF(D116="Gadget",_xlfn.IFS(I116&gt;=0.2,0.5,I116&gt;=0.1,0.35,I116&gt;=0.05,0.2,TRUE,0),IF(D116="Grenade",_xlfn.IFS(I116&gt;=0.2,1,I116&gt;=0.1,0.7,I116&gt;=0.05,0.4,TRUE,0),0))</f>
        <v>0</v>
      </c>
      <c r="L116" s="57">
        <f t="shared" si="21"/>
        <v>0</v>
      </c>
    </row>
    <row r="117" spans="1:12" ht="15" customHeight="1" x14ac:dyDescent="0.25">
      <c r="A117" s="42" t="str" cm="1">
        <f t="array" ref="A117">IFERROR(INDEX(_xlfn._xlws.FILTER(Class_Players!A:A,Class_Players!B:B="Support"),QUOTIENT(ROW()-ROW($A$2),9)+1),"")</f>
        <v>PEB ZeneK</v>
      </c>
      <c r="B117" s="42" t="str">
        <f>_xlfn.XLOOKUP(A117,Class_Players!$A:$A,Class_Players!$B:$B,"")</f>
        <v>Support</v>
      </c>
      <c r="C117" s="38" t="str" cm="1">
        <f t="array" ref="C117">INDEX(Lookups!$D$2:$D$10,MOD(ROW()-ROW($B$2),ROWS(Lookups!$D$2:$D$10))+1)</f>
        <v>Smoke Grenade</v>
      </c>
      <c r="D117" s="38" t="str">
        <f>_xlfn.XLOOKUP(C117,Analysis_Gadgets!$C:$C,Analysis_Gadgets!$B:$B)</f>
        <v>Grenade</v>
      </c>
      <c r="E117" s="43">
        <v>5427</v>
      </c>
      <c r="F117" s="43">
        <f>_xlfn.XLOOKUP(A117,Class_Players!A:A,Class_Players!G:G)</f>
        <v>231</v>
      </c>
      <c r="G117" s="43">
        <f t="shared" si="17"/>
        <v>23.493506493506494</v>
      </c>
      <c r="H117" s="43">
        <f>_xlfn.XLOOKUP(A117,Class_Players!$A:$A,Class_Players!$F:$F,"")</f>
        <v>16184</v>
      </c>
      <c r="I117" s="44">
        <f t="shared" si="18"/>
        <v>0.33533119130004946</v>
      </c>
      <c r="J117" s="43">
        <f t="shared" si="13"/>
        <v>1</v>
      </c>
      <c r="K117" s="44" cm="1">
        <f t="array" ref="K117">IF(D117="Gadget",_xlfn.IFS(I117&gt;=0.2,0.5,I117&gt;=0.1,0.35,I117&gt;=0.05,0.2,TRUE,0),IF(D117="Grenade",_xlfn.IFS(I117&gt;=0.2,1,I117&gt;=0.1,0.7,I117&gt;=0.05,0.4,TRUE,0),0))</f>
        <v>1</v>
      </c>
      <c r="L117" s="57">
        <f>IF($K117=0,0,$K117 / SUMIFS($K:$K,$A:$A,$A117,$D:$D,"Grenade"))</f>
        <v>0.7142857142857143</v>
      </c>
    </row>
    <row r="118" spans="1:12" ht="15" customHeight="1" x14ac:dyDescent="0.25">
      <c r="A118" s="42" t="str" cm="1">
        <f t="array" ref="A118">IFERROR(INDEX(_xlfn._xlws.FILTER(Class_Players!A:A,Class_Players!B:B="Support"),QUOTIENT(ROW()-ROW($A$2),9)+1),"")</f>
        <v>PEB ZeneK</v>
      </c>
      <c r="B118" s="42" t="str">
        <f>_xlfn.XLOOKUP(A118,Class_Players!$A:$A,Class_Players!$B:$B,"")</f>
        <v>Support</v>
      </c>
      <c r="C118" s="38" t="str" cm="1">
        <f t="array" ref="C118">INDEX(Lookups!$D$2:$D$10,MOD(ROW()-ROW($B$2),ROWS(Lookups!$D$2:$D$10))+1)</f>
        <v>Incendiary Grenade</v>
      </c>
      <c r="D118" s="38" t="str">
        <f>_xlfn.XLOOKUP(C118,Analysis_Gadgets!$C:$C,Analysis_Gadgets!$B:$B)</f>
        <v>Grenade</v>
      </c>
      <c r="E118" s="43">
        <v>1354</v>
      </c>
      <c r="F118" s="43">
        <f>_xlfn.XLOOKUP(A118,Class_Players!A:A,Class_Players!G:G)</f>
        <v>231</v>
      </c>
      <c r="G118" s="43">
        <f t="shared" si="17"/>
        <v>5.8614718614718617</v>
      </c>
      <c r="H118" s="43">
        <f>_xlfn.XLOOKUP(A118,Class_Players!$A:$A,Class_Players!$F:$F,"")</f>
        <v>16184</v>
      </c>
      <c r="I118" s="44">
        <f t="shared" si="18"/>
        <v>8.366287691547207E-2</v>
      </c>
      <c r="J118" s="43">
        <f t="shared" si="13"/>
        <v>0</v>
      </c>
      <c r="K118" s="44" cm="1">
        <f t="array" ref="K118">IF(D118="Gadget",_xlfn.IFS(I118&gt;=0.2,0.5,I118&gt;=0.1,0.35,I118&gt;=0.05,0.2,TRUE,0),IF(D118="Grenade",_xlfn.IFS(I118&gt;=0.2,1,I118&gt;=0.1,0.7,I118&gt;=0.05,0.4,TRUE,0),0))</f>
        <v>0.4</v>
      </c>
      <c r="L118" s="57">
        <f>IF($K118=0,0,$K118 / SUMIFS($K:$K,$A:$A,$A118,$D:$D,"Grenade"))</f>
        <v>0.28571428571428575</v>
      </c>
    </row>
    <row r="119" spans="1:12" ht="15" customHeight="1" x14ac:dyDescent="0.25">
      <c r="A119" s="42" t="str" cm="1">
        <f t="array" ref="A119">IFERROR(INDEX(_xlfn._xlws.FILTER(Class_Players!A:A,Class_Players!B:B="Support"),QUOTIENT(ROW()-ROW($A$2),9)+1),"")</f>
        <v>&lt;3 KANRA___TTV &lt;3</v>
      </c>
      <c r="B119" s="42" t="str">
        <f>_xlfn.XLOOKUP(A119,Class_Players!$A:$A,Class_Players!$B:$B,"")</f>
        <v>Support</v>
      </c>
      <c r="C119" s="38" t="str" cm="1">
        <f t="array" ref="C119">INDEX(Lookups!$D$2:$D$10,MOD(ROW()-ROW($B$2),ROWS(Lookups!$D$2:$D$10))+1)</f>
        <v>GPDIS (Grenade intercept system)</v>
      </c>
      <c r="D119" s="38" t="str">
        <f>_xlfn.XLOOKUP(C119,Analysis_Gadgets!$C:$C,Analysis_Gadgets!$B:$B)</f>
        <v>Gadget</v>
      </c>
      <c r="E119" s="43">
        <v>178</v>
      </c>
      <c r="F119" s="43">
        <f>_xlfn.XLOOKUP(A119,Class_Players!A:A,Class_Players!G:G)</f>
        <v>225</v>
      </c>
      <c r="G119" s="43">
        <f t="shared" si="17"/>
        <v>0.7911111111111111</v>
      </c>
      <c r="H119" s="43">
        <f>_xlfn.XLOOKUP(A119,Class_Players!$A:$A,Class_Players!$F:$F,"")</f>
        <v>15907</v>
      </c>
      <c r="I119" s="44">
        <f t="shared" si="18"/>
        <v>1.1190042119821463E-2</v>
      </c>
      <c r="J119" s="43">
        <f t="shared" si="13"/>
        <v>0</v>
      </c>
      <c r="K119" s="44" cm="1">
        <f t="array" ref="K119">IF(D119="Gadget",_xlfn.IFS(I119&gt;=0.2,0.5,I119&gt;=0.1,0.35,I119&gt;=0.05,0.2,TRUE,0),IF(D119="Grenade",_xlfn.IFS(I119&gt;=0.2,1,I119&gt;=0.1,0.7,I119&gt;=0.05,0.4,TRUE,0),0))</f>
        <v>0</v>
      </c>
      <c r="L119" s="57">
        <f>IF($K119=0,0,$K119 / SUMIFS($K:$K,$A:$A,$A119,$D:$D,"Gadget"))</f>
        <v>0</v>
      </c>
    </row>
    <row r="120" spans="1:12" ht="15" customHeight="1" x14ac:dyDescent="0.25">
      <c r="A120" s="42" t="str" cm="1">
        <f t="array" ref="A120">IFERROR(INDEX(_xlfn._xlws.FILTER(Class_Players!A:A,Class_Players!B:B="Support"),QUOTIENT(ROW()-ROW($A$2),9)+1),"")</f>
        <v>&lt;3 KANRA___TTV &lt;3</v>
      </c>
      <c r="B120" s="42" t="str">
        <f>_xlfn.XLOOKUP(A120,Class_Players!$A:$A,Class_Players!$B:$B,"")</f>
        <v>Support</v>
      </c>
      <c r="C120" s="38" t="str" cm="1">
        <f t="array" ref="C120">INDEX(Lookups!$D$2:$D$10,MOD(ROW()-ROW($B$2),ROWS(Lookups!$D$2:$D$10))+1)</f>
        <v>MP-APS (Missile intercept system)</v>
      </c>
      <c r="D120" s="38" t="str">
        <f>_xlfn.XLOOKUP(C120,Analysis_Gadgets!$C:$C,Analysis_Gadgets!$B:$B)</f>
        <v>Gadget</v>
      </c>
      <c r="E120" s="43">
        <v>0</v>
      </c>
      <c r="F120" s="43">
        <f>_xlfn.XLOOKUP(A120,Class_Players!A:A,Class_Players!G:G)</f>
        <v>225</v>
      </c>
      <c r="G120" s="43">
        <f t="shared" si="17"/>
        <v>0</v>
      </c>
      <c r="H120" s="43">
        <f>_xlfn.XLOOKUP(A120,Class_Players!$A:$A,Class_Players!$F:$F,"")</f>
        <v>15907</v>
      </c>
      <c r="I120" s="44">
        <f t="shared" si="18"/>
        <v>0</v>
      </c>
      <c r="J120" s="43">
        <f t="shared" si="13"/>
        <v>0</v>
      </c>
      <c r="K120" s="44" cm="1">
        <f t="array" ref="K120">IF(D120="Gadget",_xlfn.IFS(I120&gt;=0.2,0.5,I120&gt;=0.1,0.35,I120&gt;=0.05,0.2,TRUE,0),IF(D120="Grenade",_xlfn.IFS(I120&gt;=0.2,1,I120&gt;=0.1,0.7,I120&gt;=0.05,0.4,TRUE,0),0))</f>
        <v>0</v>
      </c>
      <c r="L120" s="57">
        <f t="shared" ref="L120:L125" si="22">IF($K120=0,0,$K120 / SUMIFS($K:$K,$A:$A,$A120,$D:$D,"Gadget"))</f>
        <v>0</v>
      </c>
    </row>
    <row r="121" spans="1:12" ht="15" customHeight="1" x14ac:dyDescent="0.25">
      <c r="A121" s="42" t="str" cm="1">
        <f t="array" ref="A121">IFERROR(INDEX(_xlfn._xlws.FILTER(Class_Players!A:A,Class_Players!B:B="Support"),QUOTIENT(ROW()-ROW($A$2),9)+1),"")</f>
        <v>&lt;3 KANRA___TTV &lt;3</v>
      </c>
      <c r="B121" s="42" t="str">
        <f>_xlfn.XLOOKUP(A121,Class_Players!$A:$A,Class_Players!$B:$B,"")</f>
        <v>Support</v>
      </c>
      <c r="C121" s="38" t="str" cm="1">
        <f t="array" ref="C121">INDEX(Lookups!$D$2:$D$10,MOD(ROW()-ROW($B$2),ROWS(Lookups!$D$2:$D$10))+1)</f>
        <v>LWCMS (Mortar)</v>
      </c>
      <c r="D121" s="38" t="str">
        <f>_xlfn.XLOOKUP(C121,Analysis_Gadgets!$C:$C,Analysis_Gadgets!$B:$B)</f>
        <v>Gadget</v>
      </c>
      <c r="E121" s="43">
        <v>0</v>
      </c>
      <c r="F121" s="43">
        <f>_xlfn.XLOOKUP(A121,Class_Players!A:A,Class_Players!G:G)</f>
        <v>225</v>
      </c>
      <c r="G121" s="43">
        <f t="shared" si="17"/>
        <v>0</v>
      </c>
      <c r="H121" s="43">
        <f>_xlfn.XLOOKUP(A121,Class_Players!$A:$A,Class_Players!$F:$F,"")</f>
        <v>15907</v>
      </c>
      <c r="I121" s="44">
        <f t="shared" si="18"/>
        <v>0</v>
      </c>
      <c r="J121" s="43">
        <f t="shared" si="13"/>
        <v>0</v>
      </c>
      <c r="K121" s="44" cm="1">
        <f t="array" ref="K121">IF(D121="Gadget",_xlfn.IFS(I121&gt;=0.2,0.5,I121&gt;=0.1,0.35,I121&gt;=0.05,0.2,TRUE,0),IF(D121="Grenade",_xlfn.IFS(I121&gt;=0.2,1,I121&gt;=0.1,0.7,I121&gt;=0.05,0.4,TRUE,0),0))</f>
        <v>0</v>
      </c>
      <c r="L121" s="57">
        <f t="shared" si="22"/>
        <v>0</v>
      </c>
    </row>
    <row r="122" spans="1:12" ht="15" customHeight="1" x14ac:dyDescent="0.25">
      <c r="A122" s="42" t="str" cm="1">
        <f t="array" ref="A122">IFERROR(INDEX(_xlfn._xlws.FILTER(Class_Players!A:A,Class_Players!B:B="Support"),QUOTIENT(ROW()-ROW($A$2),9)+1),"")</f>
        <v>&lt;3 KANRA___TTV &lt;3</v>
      </c>
      <c r="B122" s="42" t="str">
        <f>_xlfn.XLOOKUP(A122,Class_Players!$A:$A,Class_Players!$B:$B,"")</f>
        <v>Support</v>
      </c>
      <c r="C122" s="38" t="str" cm="1">
        <f t="array" ref="C122">INDEX(Lookups!$D$2:$D$10,MOD(ROW()-ROW($B$2),ROWS(Lookups!$D$2:$D$10))+1)</f>
        <v>M320A1 SMK (Smoke Grenade Launcher)</v>
      </c>
      <c r="D122" s="38" t="str">
        <f>_xlfn.XLOOKUP(C122,Analysis_Gadgets!$C:$C,Analysis_Gadgets!$B:$B)</f>
        <v>Gadget</v>
      </c>
      <c r="E122" s="43">
        <v>1336</v>
      </c>
      <c r="F122" s="43">
        <f>_xlfn.XLOOKUP(A122,Class_Players!A:A,Class_Players!G:G)</f>
        <v>225</v>
      </c>
      <c r="G122" s="43">
        <f t="shared" si="17"/>
        <v>5.9377777777777778</v>
      </c>
      <c r="H122" s="43">
        <f>_xlfn.XLOOKUP(A122,Class_Players!$A:$A,Class_Players!$F:$F,"")</f>
        <v>15907</v>
      </c>
      <c r="I122" s="44">
        <f t="shared" si="18"/>
        <v>8.3988181303828499E-2</v>
      </c>
      <c r="J122" s="43">
        <f t="shared" si="13"/>
        <v>0</v>
      </c>
      <c r="K122" s="44" cm="1">
        <f t="array" ref="K122">IF(D122="Gadget",_xlfn.IFS(I122&gt;=0.2,0.5,I122&gt;=0.1,0.35,I122&gt;=0.05,0.2,TRUE,0),IF(D122="Grenade",_xlfn.IFS(I122&gt;=0.2,1,I122&gt;=0.1,0.7,I122&gt;=0.05,0.4,TRUE,0),0))</f>
        <v>0.2</v>
      </c>
      <c r="L122" s="57">
        <f t="shared" si="22"/>
        <v>0.16</v>
      </c>
    </row>
    <row r="123" spans="1:12" ht="15" customHeight="1" x14ac:dyDescent="0.25">
      <c r="A123" s="42" t="str" cm="1">
        <f t="array" ref="A123">IFERROR(INDEX(_xlfn._xlws.FILTER(Class_Players!A:A,Class_Players!B:B="Support"),QUOTIENT(ROW()-ROW($A$2),9)+1),"")</f>
        <v>&lt;3 KANRA___TTV &lt;3</v>
      </c>
      <c r="B123" s="42" t="str">
        <f>_xlfn.XLOOKUP(A123,Class_Players!$A:$A,Class_Players!$B:$B,"")</f>
        <v>Support</v>
      </c>
      <c r="C123" s="38" t="str" cm="1">
        <f t="array" ref="C123">INDEX(Lookups!$D$2:$D$10,MOD(ROW()-ROW($B$2),ROWS(Lookups!$D$2:$D$10))+1)</f>
        <v>SICH G1 WP (Incendiary Airburst Launcher)</v>
      </c>
      <c r="D123" s="38" t="str">
        <f>_xlfn.XLOOKUP(C123,Analysis_Gadgets!$C:$C,Analysis_Gadgets!$B:$B)</f>
        <v>Gadget</v>
      </c>
      <c r="E123" s="43">
        <v>34</v>
      </c>
      <c r="F123" s="43">
        <f>_xlfn.XLOOKUP(A123,Class_Players!A:A,Class_Players!G:G)</f>
        <v>225</v>
      </c>
      <c r="G123" s="43">
        <f t="shared" si="17"/>
        <v>0.15111111111111111</v>
      </c>
      <c r="H123" s="43">
        <f>_xlfn.XLOOKUP(A123,Class_Players!$A:$A,Class_Players!$F:$F,"")</f>
        <v>15907</v>
      </c>
      <c r="I123" s="44">
        <f t="shared" si="18"/>
        <v>2.1374237756962345E-3</v>
      </c>
      <c r="J123" s="43">
        <f t="shared" si="13"/>
        <v>0</v>
      </c>
      <c r="K123" s="44" cm="1">
        <f t="array" ref="K123">IF(D123="Gadget",_xlfn.IFS(I123&gt;=0.2,0.5,I123&gt;=0.1,0.35,I123&gt;=0.05,0.2,TRUE,0),IF(D123="Grenade",_xlfn.IFS(I123&gt;=0.2,1,I123&gt;=0.1,0.7,I123&gt;=0.05,0.4,TRUE,0),0))</f>
        <v>0</v>
      </c>
      <c r="L123" s="57">
        <f t="shared" si="22"/>
        <v>0</v>
      </c>
    </row>
    <row r="124" spans="1:12" ht="15" customHeight="1" x14ac:dyDescent="0.25">
      <c r="A124" s="42" t="str" cm="1">
        <f t="array" ref="A124">IFERROR(INDEX(_xlfn._xlws.FILTER(Class_Players!A:A,Class_Players!B:B="Support"),QUOTIENT(ROW()-ROW($A$2),9)+1),"")</f>
        <v>&lt;3 KANRA___TTV &lt;3</v>
      </c>
      <c r="B124" s="42" t="str">
        <f>_xlfn.XLOOKUP(A124,Class_Players!$A:$A,Class_Players!$B:$B,"")</f>
        <v>Support</v>
      </c>
      <c r="C124" s="38" t="str" cm="1">
        <f t="array" ref="C124">INDEX(Lookups!$D$2:$D$10,MOD(ROW()-ROW($B$2),ROWS(Lookups!$D$2:$D$10))+1)</f>
        <v>Deployable Cover</v>
      </c>
      <c r="D124" s="38" t="str">
        <f>_xlfn.XLOOKUP(C124,Analysis_Gadgets!$C:$C,Analysis_Gadgets!$B:$B)</f>
        <v>Gadget</v>
      </c>
      <c r="E124" s="43">
        <v>424</v>
      </c>
      <c r="F124" s="43">
        <f>_xlfn.XLOOKUP(A124,Class_Players!A:A,Class_Players!G:G)</f>
        <v>225</v>
      </c>
      <c r="G124" s="43">
        <f t="shared" si="17"/>
        <v>1.8844444444444444</v>
      </c>
      <c r="H124" s="43">
        <f>_xlfn.XLOOKUP(A124,Class_Players!$A:$A,Class_Players!$F:$F,"")</f>
        <v>15907</v>
      </c>
      <c r="I124" s="44">
        <f t="shared" si="18"/>
        <v>2.6654931791035393E-2</v>
      </c>
      <c r="J124" s="43">
        <f t="shared" si="13"/>
        <v>0</v>
      </c>
      <c r="K124" s="44" cm="1">
        <f t="array" ref="K124">IF(D124="Gadget",_xlfn.IFS(I124&gt;=0.2,0.5,I124&gt;=0.1,0.35,I124&gt;=0.05,0.2,TRUE,0),IF(D124="Grenade",_xlfn.IFS(I124&gt;=0.2,1,I124&gt;=0.1,0.7,I124&gt;=0.05,0.4,TRUE,0),0))</f>
        <v>0</v>
      </c>
      <c r="L124" s="57">
        <f t="shared" si="22"/>
        <v>0</v>
      </c>
    </row>
    <row r="125" spans="1:12" ht="15" customHeight="1" x14ac:dyDescent="0.25">
      <c r="A125" s="42" t="str" cm="1">
        <f t="array" ref="A125">IFERROR(INDEX(_xlfn._xlws.FILTER(Class_Players!A:A,Class_Players!B:B="Support"),QUOTIENT(ROW()-ROW($A$2),9)+1),"")</f>
        <v>&lt;3 KANRA___TTV &lt;3</v>
      </c>
      <c r="B125" s="42" t="str">
        <f>_xlfn.XLOOKUP(A125,Class_Players!$A:$A,Class_Players!$B:$B,"")</f>
        <v>Support</v>
      </c>
      <c r="C125" s="38" t="str" cm="1">
        <f t="array" ref="C125">INDEX(Lookups!$D$2:$D$10,MOD(ROW()-ROW($B$2),ROWS(Lookups!$D$2:$D$10))+1)</f>
        <v>Supply Pouch</v>
      </c>
      <c r="D125" s="38" t="str">
        <f>_xlfn.XLOOKUP(C125,Analysis_Gadgets!$C:$C,Analysis_Gadgets!$B:$B)</f>
        <v>Gadget</v>
      </c>
      <c r="E125" s="43">
        <v>6464</v>
      </c>
      <c r="F125" s="43">
        <f>_xlfn.XLOOKUP(A125,Class_Players!A:A,Class_Players!G:G)</f>
        <v>225</v>
      </c>
      <c r="G125" s="43">
        <f t="shared" si="17"/>
        <v>28.728888888888889</v>
      </c>
      <c r="H125" s="43">
        <f>_xlfn.XLOOKUP(A125,Class_Players!$A:$A,Class_Players!$F:$F,"")</f>
        <v>15907</v>
      </c>
      <c r="I125" s="44">
        <f t="shared" si="18"/>
        <v>0.40636197900295468</v>
      </c>
      <c r="J125" s="43">
        <f t="shared" si="13"/>
        <v>1</v>
      </c>
      <c r="K125" s="44" cm="1">
        <f t="array" ref="K125">IF(D125="Gadget",_xlfn.IFS(I125&gt;=0.2,0.5,I125&gt;=0.1,0.35,I125&gt;=0.05,0.2,TRUE,0),IF(D125="Grenade",_xlfn.IFS(I125&gt;=0.2,1,I125&gt;=0.1,0.7,I125&gt;=0.05,0.4,TRUE,0),0))</f>
        <v>0.5</v>
      </c>
      <c r="L125" s="57">
        <f t="shared" si="22"/>
        <v>0.4</v>
      </c>
    </row>
    <row r="126" spans="1:12" ht="15" customHeight="1" x14ac:dyDescent="0.25">
      <c r="A126" s="42" t="str" cm="1">
        <f t="array" ref="A126">IFERROR(INDEX(_xlfn._xlws.FILTER(Class_Players!A:A,Class_Players!B:B="Support"),QUOTIENT(ROW()-ROW($A$2),9)+1),"")</f>
        <v>&lt;3 KANRA___TTV &lt;3</v>
      </c>
      <c r="B126" s="42" t="str">
        <f>_xlfn.XLOOKUP(A126,Class_Players!$A:$A,Class_Players!$B:$B,"")</f>
        <v>Support</v>
      </c>
      <c r="C126" s="38" t="str" cm="1">
        <f t="array" ref="C126">INDEX(Lookups!$D$2:$D$10,MOD(ROW()-ROW($B$2),ROWS(Lookups!$D$2:$D$10))+1)</f>
        <v>Smoke Grenade</v>
      </c>
      <c r="D126" s="38" t="str">
        <f>_xlfn.XLOOKUP(C126,Analysis_Gadgets!$C:$C,Analysis_Gadgets!$B:$B)</f>
        <v>Grenade</v>
      </c>
      <c r="E126" s="43">
        <v>8745</v>
      </c>
      <c r="F126" s="43">
        <f>_xlfn.XLOOKUP(A126,Class_Players!A:A,Class_Players!G:G)</f>
        <v>225</v>
      </c>
      <c r="G126" s="43">
        <f t="shared" si="17"/>
        <v>38.866666666666667</v>
      </c>
      <c r="H126" s="43">
        <f>_xlfn.XLOOKUP(A126,Class_Players!$A:$A,Class_Players!$F:$F,"")</f>
        <v>15907</v>
      </c>
      <c r="I126" s="44">
        <f t="shared" si="18"/>
        <v>0.54975796819010503</v>
      </c>
      <c r="J126" s="43">
        <f t="shared" si="13"/>
        <v>1</v>
      </c>
      <c r="K126" s="44" cm="1">
        <f t="array" ref="K126">IF(D126="Gadget",_xlfn.IFS(I126&gt;=0.2,0.5,I126&gt;=0.1,0.35,I126&gt;=0.05,0.2,TRUE,0),IF(D126="Grenade",_xlfn.IFS(I126&gt;=0.2,1,I126&gt;=0.1,0.7,I126&gt;=0.05,0.4,TRUE,0),0))</f>
        <v>1</v>
      </c>
      <c r="L126" s="57">
        <f>IF($K126=0,0,$K126 / SUMIFS($K:$K,$A:$A,$A126,$D:$D,"Grenade"))</f>
        <v>0.5</v>
      </c>
    </row>
    <row r="127" spans="1:12" ht="15" customHeight="1" x14ac:dyDescent="0.25">
      <c r="A127" s="42" t="str" cm="1">
        <f t="array" ref="A127">IFERROR(INDEX(_xlfn._xlws.FILTER(Class_Players!A:A,Class_Players!B:B="Support"),QUOTIENT(ROW()-ROW($A$2),9)+1),"")</f>
        <v>&lt;3 KANRA___TTV &lt;3</v>
      </c>
      <c r="B127" s="42" t="str">
        <f>_xlfn.XLOOKUP(A127,Class_Players!$A:$A,Class_Players!$B:$B,"")</f>
        <v>Support</v>
      </c>
      <c r="C127" s="38" t="str" cm="1">
        <f t="array" ref="C127">INDEX(Lookups!$D$2:$D$10,MOD(ROW()-ROW($B$2),ROWS(Lookups!$D$2:$D$10))+1)</f>
        <v>Incendiary Grenade</v>
      </c>
      <c r="D127" s="38" t="str">
        <f>_xlfn.XLOOKUP(C127,Analysis_Gadgets!$C:$C,Analysis_Gadgets!$B:$B)</f>
        <v>Grenade</v>
      </c>
      <c r="E127" s="43">
        <v>1</v>
      </c>
      <c r="F127" s="43">
        <f>_xlfn.XLOOKUP(A127,Class_Players!A:A,Class_Players!G:G)</f>
        <v>225</v>
      </c>
      <c r="G127" s="43">
        <f t="shared" si="17"/>
        <v>4.4444444444444444E-3</v>
      </c>
      <c r="H127" s="43">
        <f>_xlfn.XLOOKUP(A127,Class_Players!$A:$A,Class_Players!$F:$F,"")</f>
        <v>15907</v>
      </c>
      <c r="I127" s="44">
        <f t="shared" si="18"/>
        <v>6.286540516753631E-5</v>
      </c>
      <c r="J127" s="43">
        <f t="shared" si="13"/>
        <v>0</v>
      </c>
      <c r="K127" s="44" cm="1">
        <f t="array" ref="K127">IF(D127="Gadget",_xlfn.IFS(I127&gt;=0.2,0.5,I127&gt;=0.1,0.35,I127&gt;=0.05,0.2,TRUE,0),IF(D127="Grenade",_xlfn.IFS(I127&gt;=0.2,1,I127&gt;=0.1,0.7,I127&gt;=0.05,0.4,TRUE,0),0))</f>
        <v>0</v>
      </c>
      <c r="L127" s="57">
        <f>IF($K127=0,0,$K127 / SUMIFS($K:$K,$A:$A,$A127,$D:$D,"Grenade"))</f>
        <v>0</v>
      </c>
    </row>
    <row r="128" spans="1:12" ht="15" customHeight="1" x14ac:dyDescent="0.25">
      <c r="A128" s="42" t="str" cm="1">
        <f t="array" ref="A128">IFERROR(INDEX(_xlfn._xlws.FILTER(Class_Players!A:A,Class_Players!B:B="Support"),QUOTIENT(ROW()-ROW($A$2),9)+1),"")</f>
        <v>Nezmooo--</v>
      </c>
      <c r="B128" s="42" t="str">
        <f>_xlfn.XLOOKUP(A128,Class_Players!$A:$A,Class_Players!$B:$B,"")</f>
        <v>Support</v>
      </c>
      <c r="C128" s="38" t="str" cm="1">
        <f t="array" ref="C128">INDEX(Lookups!$D$2:$D$10,MOD(ROW()-ROW($B$2),ROWS(Lookups!$D$2:$D$10))+1)</f>
        <v>GPDIS (Grenade intercept system)</v>
      </c>
      <c r="D128" s="38" t="str">
        <f>_xlfn.XLOOKUP(C128,Analysis_Gadgets!$C:$C,Analysis_Gadgets!$B:$B)</f>
        <v>Gadget</v>
      </c>
      <c r="E128" s="43">
        <v>6219</v>
      </c>
      <c r="F128" s="43">
        <f>_xlfn.XLOOKUP(A128,Class_Players!A:A,Class_Players!G:G)</f>
        <v>254</v>
      </c>
      <c r="G128" s="43">
        <f t="shared" si="17"/>
        <v>24.484251968503937</v>
      </c>
      <c r="H128" s="43">
        <f>_xlfn.XLOOKUP(A128,Class_Players!$A:$A,Class_Players!$F:$F,"")</f>
        <v>15701</v>
      </c>
      <c r="I128" s="44">
        <f t="shared" si="18"/>
        <v>0.39608942105598371</v>
      </c>
      <c r="J128" s="43">
        <f t="shared" si="13"/>
        <v>1</v>
      </c>
      <c r="K128" s="44" cm="1">
        <f t="array" ref="K128">IF(D128="Gadget",_xlfn.IFS(I128&gt;=0.2,0.5,I128&gt;=0.1,0.35,I128&gt;=0.05,0.2,TRUE,0),IF(D128="Grenade",_xlfn.IFS(I128&gt;=0.2,1,I128&gt;=0.1,0.7,I128&gt;=0.05,0.4,TRUE,0),0))</f>
        <v>0.5</v>
      </c>
      <c r="L128" s="57">
        <f>IF($K128=0,0,$K128 / SUMIFS($K:$K,$A:$A,$A128,$D:$D,"Gadget"))</f>
        <v>1</v>
      </c>
    </row>
    <row r="129" spans="1:12" ht="15" customHeight="1" x14ac:dyDescent="0.25">
      <c r="A129" s="42" t="str" cm="1">
        <f t="array" ref="A129">IFERROR(INDEX(_xlfn._xlws.FILTER(Class_Players!A:A,Class_Players!B:B="Support"),QUOTIENT(ROW()-ROW($A$2),9)+1),"")</f>
        <v>Nezmooo--</v>
      </c>
      <c r="B129" s="42" t="str">
        <f>_xlfn.XLOOKUP(A129,Class_Players!$A:$A,Class_Players!$B:$B,"")</f>
        <v>Support</v>
      </c>
      <c r="C129" s="38" t="str" cm="1">
        <f t="array" ref="C129">INDEX(Lookups!$D$2:$D$10,MOD(ROW()-ROW($B$2),ROWS(Lookups!$D$2:$D$10))+1)</f>
        <v>MP-APS (Missile intercept system)</v>
      </c>
      <c r="D129" s="38" t="str">
        <f>_xlfn.XLOOKUP(C129,Analysis_Gadgets!$C:$C,Analysis_Gadgets!$B:$B)</f>
        <v>Gadget</v>
      </c>
      <c r="E129" s="43">
        <v>147</v>
      </c>
      <c r="F129" s="43">
        <f>_xlfn.XLOOKUP(A129,Class_Players!A:A,Class_Players!G:G)</f>
        <v>254</v>
      </c>
      <c r="G129" s="43">
        <f t="shared" si="17"/>
        <v>0.57874015748031493</v>
      </c>
      <c r="H129" s="43">
        <f>_xlfn.XLOOKUP(A129,Class_Players!$A:$A,Class_Players!$F:$F,"")</f>
        <v>15701</v>
      </c>
      <c r="I129" s="44">
        <f t="shared" si="18"/>
        <v>9.3624609897458768E-3</v>
      </c>
      <c r="J129" s="43">
        <f t="shared" si="13"/>
        <v>0</v>
      </c>
      <c r="K129" s="44" cm="1">
        <f t="array" ref="K129">IF(D129="Gadget",_xlfn.IFS(I129&gt;=0.2,0.5,I129&gt;=0.1,0.35,I129&gt;=0.05,0.2,TRUE,0),IF(D129="Grenade",_xlfn.IFS(I129&gt;=0.2,1,I129&gt;=0.1,0.7,I129&gt;=0.05,0.4,TRUE,0),0))</f>
        <v>0</v>
      </c>
      <c r="L129" s="57">
        <f t="shared" ref="L129:L134" si="23">IF($K129=0,0,$K129 / SUMIFS($K:$K,$A:$A,$A129,$D:$D,"Gadget"))</f>
        <v>0</v>
      </c>
    </row>
    <row r="130" spans="1:12" ht="15" customHeight="1" x14ac:dyDescent="0.25">
      <c r="A130" s="42" t="str" cm="1">
        <f t="array" ref="A130">IFERROR(INDEX(_xlfn._xlws.FILTER(Class_Players!A:A,Class_Players!B:B="Support"),QUOTIENT(ROW()-ROW($A$2),9)+1),"")</f>
        <v>Nezmooo--</v>
      </c>
      <c r="B130" s="42" t="str">
        <f>_xlfn.XLOOKUP(A130,Class_Players!$A:$A,Class_Players!$B:$B,"")</f>
        <v>Support</v>
      </c>
      <c r="C130" s="38" t="str" cm="1">
        <f t="array" ref="C130">INDEX(Lookups!$D$2:$D$10,MOD(ROW()-ROW($B$2),ROWS(Lookups!$D$2:$D$10))+1)</f>
        <v>LWCMS (Mortar)</v>
      </c>
      <c r="D130" s="38" t="str">
        <f>_xlfn.XLOOKUP(C130,Analysis_Gadgets!$C:$C,Analysis_Gadgets!$B:$B)</f>
        <v>Gadget</v>
      </c>
      <c r="E130" s="43">
        <v>2</v>
      </c>
      <c r="F130" s="43">
        <f>_xlfn.XLOOKUP(A130,Class_Players!A:A,Class_Players!G:G)</f>
        <v>254</v>
      </c>
      <c r="G130" s="43">
        <f t="shared" si="17"/>
        <v>7.874015748031496E-3</v>
      </c>
      <c r="H130" s="43">
        <f>_xlfn.XLOOKUP(A130,Class_Players!$A:$A,Class_Players!$F:$F,"")</f>
        <v>15701</v>
      </c>
      <c r="I130" s="44">
        <f t="shared" si="18"/>
        <v>1.273804216291956E-4</v>
      </c>
      <c r="J130" s="43">
        <f t="shared" si="13"/>
        <v>0</v>
      </c>
      <c r="K130" s="44" cm="1">
        <f t="array" ref="K130">IF(D130="Gadget",_xlfn.IFS(I130&gt;=0.2,0.5,I130&gt;=0.1,0.35,I130&gt;=0.05,0.2,TRUE,0),IF(D130="Grenade",_xlfn.IFS(I130&gt;=0.2,1,I130&gt;=0.1,0.7,I130&gt;=0.05,0.4,TRUE,0),0))</f>
        <v>0</v>
      </c>
      <c r="L130" s="57">
        <f t="shared" si="23"/>
        <v>0</v>
      </c>
    </row>
    <row r="131" spans="1:12" ht="15" customHeight="1" x14ac:dyDescent="0.25">
      <c r="A131" s="42" t="str" cm="1">
        <f t="array" ref="A131">IFERROR(INDEX(_xlfn._xlws.FILTER(Class_Players!A:A,Class_Players!B:B="Support"),QUOTIENT(ROW()-ROW($A$2),9)+1),"")</f>
        <v>Nezmooo--</v>
      </c>
      <c r="B131" s="42" t="str">
        <f>_xlfn.XLOOKUP(A131,Class_Players!$A:$A,Class_Players!$B:$B,"")</f>
        <v>Support</v>
      </c>
      <c r="C131" s="38" t="str" cm="1">
        <f t="array" ref="C131">INDEX(Lookups!$D$2:$D$10,MOD(ROW()-ROW($B$2),ROWS(Lookups!$D$2:$D$10))+1)</f>
        <v>M320A1 SMK (Smoke Grenade Launcher)</v>
      </c>
      <c r="D131" s="38" t="str">
        <f>_xlfn.XLOOKUP(C131,Analysis_Gadgets!$C:$C,Analysis_Gadgets!$B:$B)</f>
        <v>Gadget</v>
      </c>
      <c r="E131" s="43">
        <v>146</v>
      </c>
      <c r="F131" s="43">
        <f>_xlfn.XLOOKUP(A131,Class_Players!A:A,Class_Players!G:G)</f>
        <v>254</v>
      </c>
      <c r="G131" s="43">
        <f t="shared" si="17"/>
        <v>0.57480314960629919</v>
      </c>
      <c r="H131" s="43">
        <f>_xlfn.XLOOKUP(A131,Class_Players!$A:$A,Class_Players!$F:$F,"")</f>
        <v>15701</v>
      </c>
      <c r="I131" s="44">
        <f t="shared" si="18"/>
        <v>9.2987707789312785E-3</v>
      </c>
      <c r="J131" s="43">
        <f t="shared" si="13"/>
        <v>0</v>
      </c>
      <c r="K131" s="44" cm="1">
        <f t="array" ref="K131">IF(D131="Gadget",_xlfn.IFS(I131&gt;=0.2,0.5,I131&gt;=0.1,0.35,I131&gt;=0.05,0.2,TRUE,0),IF(D131="Grenade",_xlfn.IFS(I131&gt;=0.2,1,I131&gt;=0.1,0.7,I131&gt;=0.05,0.4,TRUE,0),0))</f>
        <v>0</v>
      </c>
      <c r="L131" s="57">
        <f t="shared" si="23"/>
        <v>0</v>
      </c>
    </row>
    <row r="132" spans="1:12" ht="15" customHeight="1" x14ac:dyDescent="0.25">
      <c r="A132" s="42" t="str" cm="1">
        <f t="array" ref="A132">IFERROR(INDEX(_xlfn._xlws.FILTER(Class_Players!A:A,Class_Players!B:B="Support"),QUOTIENT(ROW()-ROW($A$2),9)+1),"")</f>
        <v>Nezmooo--</v>
      </c>
      <c r="B132" s="42" t="str">
        <f>_xlfn.XLOOKUP(A132,Class_Players!$A:$A,Class_Players!$B:$B,"")</f>
        <v>Support</v>
      </c>
      <c r="C132" s="38" t="str" cm="1">
        <f t="array" ref="C132">INDEX(Lookups!$D$2:$D$10,MOD(ROW()-ROW($B$2),ROWS(Lookups!$D$2:$D$10))+1)</f>
        <v>SICH G1 WP (Incendiary Airburst Launcher)</v>
      </c>
      <c r="D132" s="38" t="str">
        <f>_xlfn.XLOOKUP(C132,Analysis_Gadgets!$C:$C,Analysis_Gadgets!$B:$B)</f>
        <v>Gadget</v>
      </c>
      <c r="E132" s="43">
        <v>402</v>
      </c>
      <c r="F132" s="43">
        <f>_xlfn.XLOOKUP(A132,Class_Players!A:A,Class_Players!G:G)</f>
        <v>254</v>
      </c>
      <c r="G132" s="43">
        <f t="shared" si="17"/>
        <v>1.5826771653543308</v>
      </c>
      <c r="H132" s="43">
        <f>_xlfn.XLOOKUP(A132,Class_Players!$A:$A,Class_Players!$F:$F,"")</f>
        <v>15701</v>
      </c>
      <c r="I132" s="44">
        <f t="shared" si="18"/>
        <v>2.5603464747468316E-2</v>
      </c>
      <c r="J132" s="43">
        <f t="shared" si="13"/>
        <v>0</v>
      </c>
      <c r="K132" s="44" cm="1">
        <f t="array" ref="K132">IF(D132="Gadget",_xlfn.IFS(I132&gt;=0.2,0.5,I132&gt;=0.1,0.35,I132&gt;=0.05,0.2,TRUE,0),IF(D132="Grenade",_xlfn.IFS(I132&gt;=0.2,1,I132&gt;=0.1,0.7,I132&gt;=0.05,0.4,TRUE,0),0))</f>
        <v>0</v>
      </c>
      <c r="L132" s="57">
        <f t="shared" si="23"/>
        <v>0</v>
      </c>
    </row>
    <row r="133" spans="1:12" ht="15" customHeight="1" x14ac:dyDescent="0.25">
      <c r="A133" s="42" t="str" cm="1">
        <f t="array" ref="A133">IFERROR(INDEX(_xlfn._xlws.FILTER(Class_Players!A:A,Class_Players!B:B="Support"),QUOTIENT(ROW()-ROW($A$2),9)+1),"")</f>
        <v>Nezmooo--</v>
      </c>
      <c r="B133" s="42" t="str">
        <f>_xlfn.XLOOKUP(A133,Class_Players!$A:$A,Class_Players!$B:$B,"")</f>
        <v>Support</v>
      </c>
      <c r="C133" s="38" t="str" cm="1">
        <f t="array" ref="C133">INDEX(Lookups!$D$2:$D$10,MOD(ROW()-ROW($B$2),ROWS(Lookups!$D$2:$D$10))+1)</f>
        <v>Deployable Cover</v>
      </c>
      <c r="D133" s="38" t="str">
        <f>_xlfn.XLOOKUP(C133,Analysis_Gadgets!$C:$C,Analysis_Gadgets!$B:$B)</f>
        <v>Gadget</v>
      </c>
      <c r="E133" s="43">
        <v>78</v>
      </c>
      <c r="F133" s="43">
        <f>_xlfn.XLOOKUP(A133,Class_Players!A:A,Class_Players!G:G)</f>
        <v>254</v>
      </c>
      <c r="G133" s="43">
        <f t="shared" si="17"/>
        <v>0.30708661417322836</v>
      </c>
      <c r="H133" s="43">
        <f>_xlfn.XLOOKUP(A133,Class_Players!$A:$A,Class_Players!$F:$F,"")</f>
        <v>15701</v>
      </c>
      <c r="I133" s="44">
        <f t="shared" si="18"/>
        <v>4.9678364435386283E-3</v>
      </c>
      <c r="J133" s="43">
        <f t="shared" si="13"/>
        <v>0</v>
      </c>
      <c r="K133" s="44" cm="1">
        <f t="array" ref="K133">IF(D133="Gadget",_xlfn.IFS(I133&gt;=0.2,0.5,I133&gt;=0.1,0.35,I133&gt;=0.05,0.2,TRUE,0),IF(D133="Grenade",_xlfn.IFS(I133&gt;=0.2,1,I133&gt;=0.1,0.7,I133&gt;=0.05,0.4,TRUE,0),0))</f>
        <v>0</v>
      </c>
      <c r="L133" s="57">
        <f t="shared" si="23"/>
        <v>0</v>
      </c>
    </row>
    <row r="134" spans="1:12" ht="15" customHeight="1" x14ac:dyDescent="0.25">
      <c r="A134" s="42" t="str" cm="1">
        <f t="array" ref="A134">IFERROR(INDEX(_xlfn._xlws.FILTER(Class_Players!A:A,Class_Players!B:B="Support"),QUOTIENT(ROW()-ROW($A$2),9)+1),"")</f>
        <v>Nezmooo--</v>
      </c>
      <c r="B134" s="42" t="str">
        <f>_xlfn.XLOOKUP(A134,Class_Players!$A:$A,Class_Players!$B:$B,"")</f>
        <v>Support</v>
      </c>
      <c r="C134" s="38" t="str" cm="1">
        <f t="array" ref="C134">INDEX(Lookups!$D$2:$D$10,MOD(ROW()-ROW($B$2),ROWS(Lookups!$D$2:$D$10))+1)</f>
        <v>Supply Pouch</v>
      </c>
      <c r="D134" s="38" t="str">
        <f>_xlfn.XLOOKUP(C134,Analysis_Gadgets!$C:$C,Analysis_Gadgets!$B:$B)</f>
        <v>Gadget</v>
      </c>
      <c r="E134" s="43">
        <v>5</v>
      </c>
      <c r="F134" s="43">
        <f>_xlfn.XLOOKUP(A134,Class_Players!A:A,Class_Players!G:G)</f>
        <v>254</v>
      </c>
      <c r="G134" s="43">
        <f t="shared" si="17"/>
        <v>1.968503937007874E-2</v>
      </c>
      <c r="H134" s="43">
        <f>_xlfn.XLOOKUP(A134,Class_Players!$A:$A,Class_Players!$F:$F,"")</f>
        <v>15701</v>
      </c>
      <c r="I134" s="44">
        <f t="shared" si="18"/>
        <v>3.1845105407298896E-4</v>
      </c>
      <c r="J134" s="43">
        <f t="shared" si="13"/>
        <v>0</v>
      </c>
      <c r="K134" s="44" cm="1">
        <f t="array" ref="K134">IF(D134="Gadget",_xlfn.IFS(I134&gt;=0.2,0.5,I134&gt;=0.1,0.35,I134&gt;=0.05,0.2,TRUE,0),IF(D134="Grenade",_xlfn.IFS(I134&gt;=0.2,1,I134&gt;=0.1,0.7,I134&gt;=0.05,0.4,TRUE,0),0))</f>
        <v>0</v>
      </c>
      <c r="L134" s="57">
        <f t="shared" si="23"/>
        <v>0</v>
      </c>
    </row>
    <row r="135" spans="1:12" ht="15" customHeight="1" x14ac:dyDescent="0.25">
      <c r="A135" s="42" t="str" cm="1">
        <f t="array" ref="A135">IFERROR(INDEX(_xlfn._xlws.FILTER(Class_Players!A:A,Class_Players!B:B="Support"),QUOTIENT(ROW()-ROW($A$2),9)+1),"")</f>
        <v>Nezmooo--</v>
      </c>
      <c r="B135" s="42" t="str">
        <f>_xlfn.XLOOKUP(A135,Class_Players!$A:$A,Class_Players!$B:$B,"")</f>
        <v>Support</v>
      </c>
      <c r="C135" s="38" t="str" cm="1">
        <f t="array" ref="C135">INDEX(Lookups!$D$2:$D$10,MOD(ROW()-ROW($B$2),ROWS(Lookups!$D$2:$D$10))+1)</f>
        <v>Smoke Grenade</v>
      </c>
      <c r="D135" s="38" t="str">
        <f>_xlfn.XLOOKUP(C135,Analysis_Gadgets!$C:$C,Analysis_Gadgets!$B:$B)</f>
        <v>Grenade</v>
      </c>
      <c r="E135" s="43">
        <v>7901</v>
      </c>
      <c r="F135" s="43">
        <f>_xlfn.XLOOKUP(A135,Class_Players!A:A,Class_Players!G:G)</f>
        <v>254</v>
      </c>
      <c r="G135" s="43">
        <f t="shared" si="17"/>
        <v>31.106299212598426</v>
      </c>
      <c r="H135" s="43">
        <f>_xlfn.XLOOKUP(A135,Class_Players!$A:$A,Class_Players!$F:$F,"")</f>
        <v>15701</v>
      </c>
      <c r="I135" s="44">
        <f t="shared" si="18"/>
        <v>0.5032163556461372</v>
      </c>
      <c r="J135" s="43">
        <f t="shared" si="13"/>
        <v>1</v>
      </c>
      <c r="K135" s="44" cm="1">
        <f t="array" ref="K135">IF(D135="Gadget",_xlfn.IFS(I135&gt;=0.2,0.5,I135&gt;=0.1,0.35,I135&gt;=0.05,0.2,TRUE,0),IF(D135="Grenade",_xlfn.IFS(I135&gt;=0.2,1,I135&gt;=0.1,0.7,I135&gt;=0.05,0.4,TRUE,0),0))</f>
        <v>1</v>
      </c>
      <c r="L135" s="57">
        <f>IF($K135=0,0,$K135 / SUMIFS($K:$K,$A:$A,$A135,$D:$D,"Grenade"))</f>
        <v>0.5</v>
      </c>
    </row>
    <row r="136" spans="1:12" ht="15" customHeight="1" x14ac:dyDescent="0.25">
      <c r="A136" s="42" t="str" cm="1">
        <f t="array" ref="A136">IFERROR(INDEX(_xlfn._xlws.FILTER(Class_Players!A:A,Class_Players!B:B="Support"),QUOTIENT(ROW()-ROW($A$2),9)+1),"")</f>
        <v>Nezmooo--</v>
      </c>
      <c r="B136" s="42" t="str">
        <f>_xlfn.XLOOKUP(A136,Class_Players!$A:$A,Class_Players!$B:$B,"")</f>
        <v>Support</v>
      </c>
      <c r="C136" s="38" t="str" cm="1">
        <f t="array" ref="C136">INDEX(Lookups!$D$2:$D$10,MOD(ROW()-ROW($B$2),ROWS(Lookups!$D$2:$D$10))+1)</f>
        <v>Incendiary Grenade</v>
      </c>
      <c r="D136" s="38" t="str">
        <f>_xlfn.XLOOKUP(C136,Analysis_Gadgets!$C:$C,Analysis_Gadgets!$B:$B)</f>
        <v>Grenade</v>
      </c>
      <c r="E136" s="43">
        <v>3442</v>
      </c>
      <c r="F136" s="43">
        <f>_xlfn.XLOOKUP(A136,Class_Players!A:A,Class_Players!G:G)</f>
        <v>254</v>
      </c>
      <c r="G136" s="43">
        <f t="shared" si="17"/>
        <v>13.551181102362206</v>
      </c>
      <c r="H136" s="43">
        <f>_xlfn.XLOOKUP(A136,Class_Players!$A:$A,Class_Players!$F:$F,"")</f>
        <v>15701</v>
      </c>
      <c r="I136" s="44">
        <f t="shared" si="18"/>
        <v>0.2192217056238456</v>
      </c>
      <c r="J136" s="43">
        <f t="shared" si="13"/>
        <v>1</v>
      </c>
      <c r="K136" s="44" cm="1">
        <f t="array" ref="K136">IF(D136="Gadget",_xlfn.IFS(I136&gt;=0.2,0.5,I136&gt;=0.1,0.35,I136&gt;=0.05,0.2,TRUE,0),IF(D136="Grenade",_xlfn.IFS(I136&gt;=0.2,1,I136&gt;=0.1,0.7,I136&gt;=0.05,0.4,TRUE,0),0))</f>
        <v>1</v>
      </c>
      <c r="L136" s="57">
        <f>IF($K136=0,0,$K136 / SUMIFS($K:$K,$A:$A,$A136,$D:$D,"Grenade"))</f>
        <v>0.5</v>
      </c>
    </row>
    <row r="137" spans="1:12" ht="15" customHeight="1" x14ac:dyDescent="0.25">
      <c r="A137" s="42" t="str" cm="1">
        <f t="array" ref="A137">IFERROR(INDEX(_xlfn._xlws.FILTER(Class_Players!A:A,Class_Players!B:B="Support"),QUOTIENT(ROW()-ROW($A$2),9)+1),"")</f>
        <v>GreatAlaskan_907</v>
      </c>
      <c r="B137" s="42" t="str">
        <f>_xlfn.XLOOKUP(A137,Class_Players!$A:$A,Class_Players!$B:$B,"")</f>
        <v>Support</v>
      </c>
      <c r="C137" s="38" t="str" cm="1">
        <f t="array" ref="C137">INDEX(Lookups!$D$2:$D$10,MOD(ROW()-ROW($B$2),ROWS(Lookups!$D$2:$D$10))+1)</f>
        <v>GPDIS (Grenade intercept system)</v>
      </c>
      <c r="D137" s="38" t="str">
        <f>_xlfn.XLOOKUP(C137,Analysis_Gadgets!$C:$C,Analysis_Gadgets!$B:$B)</f>
        <v>Gadget</v>
      </c>
      <c r="E137" s="43">
        <v>3445</v>
      </c>
      <c r="F137" s="43">
        <f>_xlfn.XLOOKUP(A137,Class_Players!A:A,Class_Players!G:G)</f>
        <v>540</v>
      </c>
      <c r="G137" s="43">
        <f t="shared" ref="G137:G200" si="24">IF(F137=0,"",E137/(F137))</f>
        <v>6.3796296296296298</v>
      </c>
      <c r="H137" s="43">
        <f>_xlfn.XLOOKUP(A137,Class_Players!$A:$A,Class_Players!$F:$F,"")</f>
        <v>15991</v>
      </c>
      <c r="I137" s="44">
        <f t="shared" ref="I137:I200" si="25">IF(H137=0,"",E137/H137)</f>
        <v>0.21543368144581326</v>
      </c>
      <c r="J137" s="43">
        <f t="shared" ref="J137:J200" si="26">IF(I137&gt;=0.1,1,0)</f>
        <v>1</v>
      </c>
      <c r="K137" s="44" cm="1">
        <f t="array" ref="K137">IF(D137="Gadget",_xlfn.IFS(I137&gt;=0.2,0.5,I137&gt;=0.1,0.35,I137&gt;=0.05,0.2,TRUE,0),IF(D137="Grenade",_xlfn.IFS(I137&gt;=0.2,1,I137&gt;=0.1,0.7,I137&gt;=0.05,0.4,TRUE,0),0))</f>
        <v>0.5</v>
      </c>
      <c r="L137" s="57">
        <f t="shared" ref="L137:L143" si="27">IF($K137=0,0,$K137 / SUMIFS($K:$K,$A:$A,$A137,$D:$D,"Gadget"))</f>
        <v>0.47619047619047616</v>
      </c>
    </row>
    <row r="138" spans="1:12" ht="15" customHeight="1" x14ac:dyDescent="0.25">
      <c r="A138" s="42" t="str" cm="1">
        <f t="array" ref="A138">IFERROR(INDEX(_xlfn._xlws.FILTER(Class_Players!A:A,Class_Players!B:B="Support"),QUOTIENT(ROW()-ROW($A$2),9)+1),"")</f>
        <v>GreatAlaskan_907</v>
      </c>
      <c r="B138" s="42" t="str">
        <f>_xlfn.XLOOKUP(A138,Class_Players!$A:$A,Class_Players!$B:$B,"")</f>
        <v>Support</v>
      </c>
      <c r="C138" s="38" t="str" cm="1">
        <f t="array" ref="C138">INDEX(Lookups!$D$2:$D$10,MOD(ROW()-ROW($B$2),ROWS(Lookups!$D$2:$D$10))+1)</f>
        <v>MP-APS (Missile intercept system)</v>
      </c>
      <c r="D138" s="38" t="str">
        <f>_xlfn.XLOOKUP(C138,Analysis_Gadgets!$C:$C,Analysis_Gadgets!$B:$B)</f>
        <v>Gadget</v>
      </c>
      <c r="E138" s="43">
        <v>346</v>
      </c>
      <c r="F138" s="43">
        <f>_xlfn.XLOOKUP(A138,Class_Players!A:A,Class_Players!G:G)</f>
        <v>540</v>
      </c>
      <c r="G138" s="43">
        <f t="shared" si="24"/>
        <v>0.64074074074074072</v>
      </c>
      <c r="H138" s="43">
        <f>_xlfn.XLOOKUP(A138,Class_Players!$A:$A,Class_Players!$F:$F,"")</f>
        <v>15991</v>
      </c>
      <c r="I138" s="44">
        <f t="shared" si="25"/>
        <v>2.1637170908636108E-2</v>
      </c>
      <c r="J138" s="43">
        <f t="shared" si="26"/>
        <v>0</v>
      </c>
      <c r="K138" s="44" cm="1">
        <f t="array" ref="K138">IF(D138="Gadget",_xlfn.IFS(I138&gt;=0.2,0.5,I138&gt;=0.1,0.35,I138&gt;=0.05,0.2,TRUE,0),IF(D138="Grenade",_xlfn.IFS(I138&gt;=0.2,1,I138&gt;=0.1,0.7,I138&gt;=0.05,0.4,TRUE,0),0))</f>
        <v>0</v>
      </c>
      <c r="L138" s="57">
        <f t="shared" si="27"/>
        <v>0</v>
      </c>
    </row>
    <row r="139" spans="1:12" ht="15" customHeight="1" x14ac:dyDescent="0.25">
      <c r="A139" s="42" t="str" cm="1">
        <f t="array" ref="A139">IFERROR(INDEX(_xlfn._xlws.FILTER(Class_Players!A:A,Class_Players!B:B="Support"),QUOTIENT(ROW()-ROW($A$2),9)+1),"")</f>
        <v>GreatAlaskan_907</v>
      </c>
      <c r="B139" s="42" t="str">
        <f>_xlfn.XLOOKUP(A139,Class_Players!$A:$A,Class_Players!$B:$B,"")</f>
        <v>Support</v>
      </c>
      <c r="C139" s="38" t="str" cm="1">
        <f t="array" ref="C139">INDEX(Lookups!$D$2:$D$10,MOD(ROW()-ROW($B$2),ROWS(Lookups!$D$2:$D$10))+1)</f>
        <v>LWCMS (Mortar)</v>
      </c>
      <c r="D139" s="38" t="str">
        <f>_xlfn.XLOOKUP(C139,Analysis_Gadgets!$C:$C,Analysis_Gadgets!$B:$B)</f>
        <v>Gadget</v>
      </c>
      <c r="E139" s="43">
        <v>7</v>
      </c>
      <c r="F139" s="43">
        <f>_xlfn.XLOOKUP(A139,Class_Players!A:A,Class_Players!G:G)</f>
        <v>540</v>
      </c>
      <c r="G139" s="43">
        <f t="shared" si="24"/>
        <v>1.2962962962962963E-2</v>
      </c>
      <c r="H139" s="43">
        <f>_xlfn.XLOOKUP(A139,Class_Players!$A:$A,Class_Players!$F:$F,"")</f>
        <v>15991</v>
      </c>
      <c r="I139" s="44">
        <f t="shared" si="25"/>
        <v>4.3774623225564379E-4</v>
      </c>
      <c r="J139" s="43">
        <f t="shared" si="26"/>
        <v>0</v>
      </c>
      <c r="K139" s="44" cm="1">
        <f t="array" ref="K139">IF(D139="Gadget",_xlfn.IFS(I139&gt;=0.2,0.5,I139&gt;=0.1,0.35,I139&gt;=0.05,0.2,TRUE,0),IF(D139="Grenade",_xlfn.IFS(I139&gt;=0.2,1,I139&gt;=0.1,0.7,I139&gt;=0.05,0.4,TRUE,0),0))</f>
        <v>0</v>
      </c>
      <c r="L139" s="57">
        <f t="shared" si="27"/>
        <v>0</v>
      </c>
    </row>
    <row r="140" spans="1:12" ht="15" customHeight="1" x14ac:dyDescent="0.25">
      <c r="A140" s="42" t="str" cm="1">
        <f t="array" ref="A140">IFERROR(INDEX(_xlfn._xlws.FILTER(Class_Players!A:A,Class_Players!B:B="Support"),QUOTIENT(ROW()-ROW($A$2),9)+1),"")</f>
        <v>GreatAlaskan_907</v>
      </c>
      <c r="B140" s="42" t="str">
        <f>_xlfn.XLOOKUP(A140,Class_Players!$A:$A,Class_Players!$B:$B,"")</f>
        <v>Support</v>
      </c>
      <c r="C140" s="38" t="str" cm="1">
        <f t="array" ref="C140">INDEX(Lookups!$D$2:$D$10,MOD(ROW()-ROW($B$2),ROWS(Lookups!$D$2:$D$10))+1)</f>
        <v>M320A1 SMK (Smoke Grenade Launcher)</v>
      </c>
      <c r="D140" s="38" t="str">
        <f>_xlfn.XLOOKUP(C140,Analysis_Gadgets!$C:$C,Analysis_Gadgets!$B:$B)</f>
        <v>Gadget</v>
      </c>
      <c r="E140" s="43">
        <v>2284</v>
      </c>
      <c r="F140" s="43">
        <f>_xlfn.XLOOKUP(A140,Class_Players!A:A,Class_Players!G:G)</f>
        <v>540</v>
      </c>
      <c r="G140" s="43">
        <f t="shared" si="24"/>
        <v>4.2296296296296294</v>
      </c>
      <c r="H140" s="43">
        <f>_xlfn.XLOOKUP(A140,Class_Players!$A:$A,Class_Players!$F:$F,"")</f>
        <v>15991</v>
      </c>
      <c r="I140" s="44">
        <f t="shared" si="25"/>
        <v>0.14283034206741291</v>
      </c>
      <c r="J140" s="43">
        <f t="shared" si="26"/>
        <v>1</v>
      </c>
      <c r="K140" s="44" cm="1">
        <f t="array" ref="K140">IF(D140="Gadget",_xlfn.IFS(I140&gt;=0.2,0.5,I140&gt;=0.1,0.35,I140&gt;=0.05,0.2,TRUE,0),IF(D140="Grenade",_xlfn.IFS(I140&gt;=0.2,1,I140&gt;=0.1,0.7,I140&gt;=0.05,0.4,TRUE,0),0))</f>
        <v>0.35</v>
      </c>
      <c r="L140" s="57">
        <f t="shared" si="27"/>
        <v>0.33333333333333331</v>
      </c>
    </row>
    <row r="141" spans="1:12" ht="15" customHeight="1" x14ac:dyDescent="0.25">
      <c r="A141" s="42" t="str" cm="1">
        <f t="array" ref="A141">IFERROR(INDEX(_xlfn._xlws.FILTER(Class_Players!A:A,Class_Players!B:B="Support"),QUOTIENT(ROW()-ROW($A$2),9)+1),"")</f>
        <v>GreatAlaskan_907</v>
      </c>
      <c r="B141" s="42" t="str">
        <f>_xlfn.XLOOKUP(A141,Class_Players!$A:$A,Class_Players!$B:$B,"")</f>
        <v>Support</v>
      </c>
      <c r="C141" s="38" t="str" cm="1">
        <f t="array" ref="C141">INDEX(Lookups!$D$2:$D$10,MOD(ROW()-ROW($B$2),ROWS(Lookups!$D$2:$D$10))+1)</f>
        <v>SICH G1 WP (Incendiary Airburst Launcher)</v>
      </c>
      <c r="D141" s="38" t="str">
        <f>_xlfn.XLOOKUP(C141,Analysis_Gadgets!$C:$C,Analysis_Gadgets!$B:$B)</f>
        <v>Gadget</v>
      </c>
      <c r="E141" s="43">
        <v>1482</v>
      </c>
      <c r="F141" s="43">
        <f>_xlfn.XLOOKUP(A141,Class_Players!A:A,Class_Players!G:G)</f>
        <v>540</v>
      </c>
      <c r="G141" s="43">
        <f t="shared" si="24"/>
        <v>2.7444444444444445</v>
      </c>
      <c r="H141" s="43">
        <f>_xlfn.XLOOKUP(A141,Class_Players!$A:$A,Class_Players!$F:$F,"")</f>
        <v>15991</v>
      </c>
      <c r="I141" s="44">
        <f t="shared" si="25"/>
        <v>9.2677130886123449E-2</v>
      </c>
      <c r="J141" s="43">
        <f t="shared" si="26"/>
        <v>0</v>
      </c>
      <c r="K141" s="44" cm="1">
        <f t="array" ref="K141">IF(D141="Gadget",_xlfn.IFS(I141&gt;=0.2,0.5,I141&gt;=0.1,0.35,I141&gt;=0.05,0.2,TRUE,0),IF(D141="Grenade",_xlfn.IFS(I141&gt;=0.2,1,I141&gt;=0.1,0.7,I141&gt;=0.05,0.4,TRUE,0),0))</f>
        <v>0.2</v>
      </c>
      <c r="L141" s="57">
        <f t="shared" si="27"/>
        <v>0.19047619047619047</v>
      </c>
    </row>
    <row r="142" spans="1:12" ht="15" customHeight="1" x14ac:dyDescent="0.25">
      <c r="A142" s="42" t="str" cm="1">
        <f t="array" ref="A142">IFERROR(INDEX(_xlfn._xlws.FILTER(Class_Players!A:A,Class_Players!B:B="Support"),QUOTIENT(ROW()-ROW($A$2),9)+1),"")</f>
        <v>GreatAlaskan_907</v>
      </c>
      <c r="B142" s="42" t="str">
        <f>_xlfn.XLOOKUP(A142,Class_Players!$A:$A,Class_Players!$B:$B,"")</f>
        <v>Support</v>
      </c>
      <c r="C142" s="38" t="str" cm="1">
        <f t="array" ref="C142">INDEX(Lookups!$D$2:$D$10,MOD(ROW()-ROW($B$2),ROWS(Lookups!$D$2:$D$10))+1)</f>
        <v>Deployable Cover</v>
      </c>
      <c r="D142" s="38" t="str">
        <f>_xlfn.XLOOKUP(C142,Analysis_Gadgets!$C:$C,Analysis_Gadgets!$B:$B)</f>
        <v>Gadget</v>
      </c>
      <c r="E142" s="43">
        <v>611</v>
      </c>
      <c r="F142" s="43">
        <f>_xlfn.XLOOKUP(A142,Class_Players!A:A,Class_Players!G:G)</f>
        <v>540</v>
      </c>
      <c r="G142" s="43">
        <f t="shared" si="24"/>
        <v>1.1314814814814815</v>
      </c>
      <c r="H142" s="43">
        <f>_xlfn.XLOOKUP(A142,Class_Players!$A:$A,Class_Players!$F:$F,"")</f>
        <v>15991</v>
      </c>
      <c r="I142" s="44">
        <f t="shared" si="25"/>
        <v>3.8208992558314052E-2</v>
      </c>
      <c r="J142" s="43">
        <f t="shared" si="26"/>
        <v>0</v>
      </c>
      <c r="K142" s="44" cm="1">
        <f t="array" ref="K142">IF(D142="Gadget",_xlfn.IFS(I142&gt;=0.2,0.5,I142&gt;=0.1,0.35,I142&gt;=0.05,0.2,TRUE,0),IF(D142="Grenade",_xlfn.IFS(I142&gt;=0.2,1,I142&gt;=0.1,0.7,I142&gt;=0.05,0.4,TRUE,0),0))</f>
        <v>0</v>
      </c>
      <c r="L142" s="57">
        <f t="shared" si="27"/>
        <v>0</v>
      </c>
    </row>
    <row r="143" spans="1:12" ht="15" customHeight="1" x14ac:dyDescent="0.25">
      <c r="A143" s="42" t="str" cm="1">
        <f t="array" ref="A143">IFERROR(INDEX(_xlfn._xlws.FILTER(Class_Players!A:A,Class_Players!B:B="Support"),QUOTIENT(ROW()-ROW($A$2),9)+1),"")</f>
        <v>GreatAlaskan_907</v>
      </c>
      <c r="B143" s="42" t="str">
        <f>_xlfn.XLOOKUP(A143,Class_Players!$A:$A,Class_Players!$B:$B,"")</f>
        <v>Support</v>
      </c>
      <c r="C143" s="38" t="str" cm="1">
        <f t="array" ref="C143">INDEX(Lookups!$D$2:$D$10,MOD(ROW()-ROW($B$2),ROWS(Lookups!$D$2:$D$10))+1)</f>
        <v>Supply Pouch</v>
      </c>
      <c r="D143" s="38" t="str">
        <f>_xlfn.XLOOKUP(C143,Analysis_Gadgets!$C:$C,Analysis_Gadgets!$B:$B)</f>
        <v>Gadget</v>
      </c>
      <c r="E143" s="43">
        <v>0</v>
      </c>
      <c r="F143" s="43">
        <f>_xlfn.XLOOKUP(A143,Class_Players!A:A,Class_Players!G:G)</f>
        <v>540</v>
      </c>
      <c r="G143" s="43">
        <f t="shared" si="24"/>
        <v>0</v>
      </c>
      <c r="H143" s="43">
        <f>_xlfn.XLOOKUP(A143,Class_Players!$A:$A,Class_Players!$F:$F,"")</f>
        <v>15991</v>
      </c>
      <c r="I143" s="44">
        <f t="shared" si="25"/>
        <v>0</v>
      </c>
      <c r="J143" s="43">
        <f t="shared" si="26"/>
        <v>0</v>
      </c>
      <c r="K143" s="44" cm="1">
        <f t="array" ref="K143">IF(D143="Gadget",_xlfn.IFS(I143&gt;=0.2,0.5,I143&gt;=0.1,0.35,I143&gt;=0.05,0.2,TRUE,0),IF(D143="Grenade",_xlfn.IFS(I143&gt;=0.2,1,I143&gt;=0.1,0.7,I143&gt;=0.05,0.4,TRUE,0),0))</f>
        <v>0</v>
      </c>
      <c r="L143" s="57">
        <f t="shared" si="27"/>
        <v>0</v>
      </c>
    </row>
    <row r="144" spans="1:12" ht="15" customHeight="1" x14ac:dyDescent="0.25">
      <c r="A144" s="42" t="str" cm="1">
        <f t="array" ref="A144">IFERROR(INDEX(_xlfn._xlws.FILTER(Class_Players!A:A,Class_Players!B:B="Support"),QUOTIENT(ROW()-ROW($A$2),9)+1),"")</f>
        <v>GreatAlaskan_907</v>
      </c>
      <c r="B144" s="42" t="str">
        <f>_xlfn.XLOOKUP(A144,Class_Players!$A:$A,Class_Players!$B:$B,"")</f>
        <v>Support</v>
      </c>
      <c r="C144" s="38" t="str" cm="1">
        <f t="array" ref="C144">INDEX(Lookups!$D$2:$D$10,MOD(ROW()-ROW($B$2),ROWS(Lookups!$D$2:$D$10))+1)</f>
        <v>Smoke Grenade</v>
      </c>
      <c r="D144" s="38" t="str">
        <f>_xlfn.XLOOKUP(C144,Analysis_Gadgets!$C:$C,Analysis_Gadgets!$B:$B)</f>
        <v>Grenade</v>
      </c>
      <c r="E144" s="43">
        <v>711</v>
      </c>
      <c r="F144" s="43">
        <f>_xlfn.XLOOKUP(A144,Class_Players!A:A,Class_Players!G:G)</f>
        <v>540</v>
      </c>
      <c r="G144" s="43">
        <f t="shared" si="24"/>
        <v>1.3166666666666667</v>
      </c>
      <c r="H144" s="43">
        <f>_xlfn.XLOOKUP(A144,Class_Players!$A:$A,Class_Players!$F:$F,"")</f>
        <v>15991</v>
      </c>
      <c r="I144" s="44">
        <f t="shared" si="25"/>
        <v>4.4462510161966104E-2</v>
      </c>
      <c r="J144" s="43">
        <f t="shared" si="26"/>
        <v>0</v>
      </c>
      <c r="K144" s="44" cm="1">
        <f t="array" ref="K144">IF(D144="Gadget",_xlfn.IFS(I144&gt;=0.2,0.5,I144&gt;=0.1,0.35,I144&gt;=0.05,0.2,TRUE,0),IF(D144="Grenade",_xlfn.IFS(I144&gt;=0.2,1,I144&gt;=0.1,0.7,I144&gt;=0.05,0.4,TRUE,0),0))</f>
        <v>0</v>
      </c>
      <c r="L144" s="57">
        <f t="shared" ref="L144:L145" si="28">IF($K144=0,0,$K144 / SUMIFS($K:$K,$A:$A,$A144,$D:$D,"Grenade"))</f>
        <v>0</v>
      </c>
    </row>
    <row r="145" spans="1:12" ht="15" customHeight="1" x14ac:dyDescent="0.25">
      <c r="A145" s="42" t="str" cm="1">
        <f t="array" ref="A145">IFERROR(INDEX(_xlfn._xlws.FILTER(Class_Players!A:A,Class_Players!B:B="Support"),QUOTIENT(ROW()-ROW($A$2),9)+1),"")</f>
        <v>GreatAlaskan_907</v>
      </c>
      <c r="B145" s="42" t="str">
        <f>_xlfn.XLOOKUP(A145,Class_Players!$A:$A,Class_Players!$B:$B,"")</f>
        <v>Support</v>
      </c>
      <c r="C145" s="38" t="str" cm="1">
        <f t="array" ref="C145">INDEX(Lookups!$D$2:$D$10,MOD(ROW()-ROW($B$2),ROWS(Lookups!$D$2:$D$10))+1)</f>
        <v>Incendiary Grenade</v>
      </c>
      <c r="D145" s="38" t="str">
        <f>_xlfn.XLOOKUP(C145,Analysis_Gadgets!$C:$C,Analysis_Gadgets!$B:$B)</f>
        <v>Grenade</v>
      </c>
      <c r="E145" s="43">
        <v>517</v>
      </c>
      <c r="F145" s="43">
        <f>_xlfn.XLOOKUP(A145,Class_Players!A:A,Class_Players!G:G)</f>
        <v>540</v>
      </c>
      <c r="G145" s="43">
        <f t="shared" si="24"/>
        <v>0.95740740740740737</v>
      </c>
      <c r="H145" s="43">
        <f>_xlfn.XLOOKUP(A145,Class_Players!$A:$A,Class_Players!$F:$F,"")</f>
        <v>15991</v>
      </c>
      <c r="I145" s="44">
        <f t="shared" si="25"/>
        <v>3.233068601088112E-2</v>
      </c>
      <c r="J145" s="43">
        <f t="shared" si="26"/>
        <v>0</v>
      </c>
      <c r="K145" s="44" cm="1">
        <f t="array" ref="K145">IF(D145="Gadget",_xlfn.IFS(I145&gt;=0.2,0.5,I145&gt;=0.1,0.35,I145&gt;=0.05,0.2,TRUE,0),IF(D145="Grenade",_xlfn.IFS(I145&gt;=0.2,1,I145&gt;=0.1,0.7,I145&gt;=0.05,0.4,TRUE,0),0))</f>
        <v>0</v>
      </c>
      <c r="L145" s="57">
        <f t="shared" si="28"/>
        <v>0</v>
      </c>
    </row>
    <row r="146" spans="1:12" ht="15" customHeight="1" x14ac:dyDescent="0.25">
      <c r="A146" s="42" t="str" cm="1">
        <f t="array" ref="A146">IFERROR(INDEX(_xlfn._xlws.FILTER(Class_Players!A:A,Class_Players!B:B="Support"),QUOTIENT(ROW()-ROW($A$2),9)+1),"")</f>
        <v>TrapShotzTV</v>
      </c>
      <c r="B146" s="42" t="str">
        <f>_xlfn.XLOOKUP(A146,Class_Players!$A:$A,Class_Players!$B:$B,"")</f>
        <v>Support</v>
      </c>
      <c r="C146" s="38" t="str" cm="1">
        <f t="array" ref="C146">INDEX(Lookups!$D$2:$D$10,MOD(ROW()-ROW($B$2),ROWS(Lookups!$D$2:$D$10))+1)</f>
        <v>GPDIS (Grenade intercept system)</v>
      </c>
      <c r="D146" s="38" t="str">
        <f>_xlfn.XLOOKUP(C146,Analysis_Gadgets!$C:$C,Analysis_Gadgets!$B:$B)</f>
        <v>Gadget</v>
      </c>
      <c r="E146" s="43">
        <v>118</v>
      </c>
      <c r="F146" s="43">
        <f>_xlfn.XLOOKUP(A146,Class_Players!A:A,Class_Players!G:G)</f>
        <v>310</v>
      </c>
      <c r="G146" s="43">
        <f t="shared" si="24"/>
        <v>0.38064516129032255</v>
      </c>
      <c r="H146" s="43">
        <f>_xlfn.XLOOKUP(A146,Class_Players!$A:$A,Class_Players!$F:$F,"")</f>
        <v>15761</v>
      </c>
      <c r="I146" s="44">
        <f t="shared" si="25"/>
        <v>7.4868345917137235E-3</v>
      </c>
      <c r="J146" s="43">
        <f t="shared" si="26"/>
        <v>0</v>
      </c>
      <c r="K146" s="44" cm="1">
        <f t="array" ref="K146">IF(D146="Gadget",_xlfn.IFS(I146&gt;=0.2,0.5,I146&gt;=0.1,0.35,I146&gt;=0.05,0.2,TRUE,0),IF(D146="Grenade",_xlfn.IFS(I146&gt;=0.2,1,I146&gt;=0.1,0.7,I146&gt;=0.05,0.4,TRUE,0),0))</f>
        <v>0</v>
      </c>
      <c r="L146" s="57">
        <f t="shared" ref="L146:L152" si="29">IF($K146=0,0,$K146 / SUMIFS($K:$K,$A:$A,$A146,$D:$D,"Gadget"))</f>
        <v>0</v>
      </c>
    </row>
    <row r="147" spans="1:12" ht="15" customHeight="1" x14ac:dyDescent="0.25">
      <c r="A147" s="42" t="str" cm="1">
        <f t="array" ref="A147">IFERROR(INDEX(_xlfn._xlws.FILTER(Class_Players!A:A,Class_Players!B:B="Support"),QUOTIENT(ROW()-ROW($A$2),9)+1),"")</f>
        <v>TrapShotzTV</v>
      </c>
      <c r="B147" s="42" t="str">
        <f>_xlfn.XLOOKUP(A147,Class_Players!$A:$A,Class_Players!$B:$B,"")</f>
        <v>Support</v>
      </c>
      <c r="C147" s="38" t="str" cm="1">
        <f t="array" ref="C147">INDEX(Lookups!$D$2:$D$10,MOD(ROW()-ROW($B$2),ROWS(Lookups!$D$2:$D$10))+1)</f>
        <v>MP-APS (Missile intercept system)</v>
      </c>
      <c r="D147" s="38" t="str">
        <f>_xlfn.XLOOKUP(C147,Analysis_Gadgets!$C:$C,Analysis_Gadgets!$B:$B)</f>
        <v>Gadget</v>
      </c>
      <c r="E147" s="43">
        <v>0</v>
      </c>
      <c r="F147" s="43">
        <f>_xlfn.XLOOKUP(A147,Class_Players!A:A,Class_Players!G:G)</f>
        <v>310</v>
      </c>
      <c r="G147" s="43">
        <f t="shared" si="24"/>
        <v>0</v>
      </c>
      <c r="H147" s="43">
        <f>_xlfn.XLOOKUP(A147,Class_Players!$A:$A,Class_Players!$F:$F,"")</f>
        <v>15761</v>
      </c>
      <c r="I147" s="44">
        <f t="shared" si="25"/>
        <v>0</v>
      </c>
      <c r="J147" s="43">
        <f t="shared" si="26"/>
        <v>0</v>
      </c>
      <c r="K147" s="44" cm="1">
        <f t="array" ref="K147">IF(D147="Gadget",_xlfn.IFS(I147&gt;=0.2,0.5,I147&gt;=0.1,0.35,I147&gt;=0.05,0.2,TRUE,0),IF(D147="Grenade",_xlfn.IFS(I147&gt;=0.2,1,I147&gt;=0.1,0.7,I147&gt;=0.05,0.4,TRUE,0),0))</f>
        <v>0</v>
      </c>
      <c r="L147" s="57">
        <f t="shared" si="29"/>
        <v>0</v>
      </c>
    </row>
    <row r="148" spans="1:12" ht="15" customHeight="1" x14ac:dyDescent="0.25">
      <c r="A148" s="42" t="str" cm="1">
        <f t="array" ref="A148">IFERROR(INDEX(_xlfn._xlws.FILTER(Class_Players!A:A,Class_Players!B:B="Support"),QUOTIENT(ROW()-ROW($A$2),9)+1),"")</f>
        <v>TrapShotzTV</v>
      </c>
      <c r="B148" s="42" t="str">
        <f>_xlfn.XLOOKUP(A148,Class_Players!$A:$A,Class_Players!$B:$B,"")</f>
        <v>Support</v>
      </c>
      <c r="C148" s="38" t="str" cm="1">
        <f t="array" ref="C148">INDEX(Lookups!$D$2:$D$10,MOD(ROW()-ROW($B$2),ROWS(Lookups!$D$2:$D$10))+1)</f>
        <v>LWCMS (Mortar)</v>
      </c>
      <c r="D148" s="38" t="str">
        <f>_xlfn.XLOOKUP(C148,Analysis_Gadgets!$C:$C,Analysis_Gadgets!$B:$B)</f>
        <v>Gadget</v>
      </c>
      <c r="E148" s="43">
        <v>1</v>
      </c>
      <c r="F148" s="43">
        <f>_xlfn.XLOOKUP(A148,Class_Players!A:A,Class_Players!G:G)</f>
        <v>310</v>
      </c>
      <c r="G148" s="43">
        <f t="shared" si="24"/>
        <v>3.2258064516129032E-3</v>
      </c>
      <c r="H148" s="43">
        <f>_xlfn.XLOOKUP(A148,Class_Players!$A:$A,Class_Players!$F:$F,"")</f>
        <v>15761</v>
      </c>
      <c r="I148" s="44">
        <f t="shared" si="25"/>
        <v>6.3447750777234941E-5</v>
      </c>
      <c r="J148" s="43">
        <f t="shared" si="26"/>
        <v>0</v>
      </c>
      <c r="K148" s="44" cm="1">
        <f t="array" ref="K148">IF(D148="Gadget",_xlfn.IFS(I148&gt;=0.2,0.5,I148&gt;=0.1,0.35,I148&gt;=0.05,0.2,TRUE,0),IF(D148="Grenade",_xlfn.IFS(I148&gt;=0.2,1,I148&gt;=0.1,0.7,I148&gt;=0.05,0.4,TRUE,0),0))</f>
        <v>0</v>
      </c>
      <c r="L148" s="57">
        <f t="shared" si="29"/>
        <v>0</v>
      </c>
    </row>
    <row r="149" spans="1:12" ht="15" customHeight="1" x14ac:dyDescent="0.25">
      <c r="A149" s="42" t="str" cm="1">
        <f t="array" ref="A149">IFERROR(INDEX(_xlfn._xlws.FILTER(Class_Players!A:A,Class_Players!B:B="Support"),QUOTIENT(ROW()-ROW($A$2),9)+1),"")</f>
        <v>TrapShotzTV</v>
      </c>
      <c r="B149" s="42" t="str">
        <f>_xlfn.XLOOKUP(A149,Class_Players!$A:$A,Class_Players!$B:$B,"")</f>
        <v>Support</v>
      </c>
      <c r="C149" s="38" t="str" cm="1">
        <f t="array" ref="C149">INDEX(Lookups!$D$2:$D$10,MOD(ROW()-ROW($B$2),ROWS(Lookups!$D$2:$D$10))+1)</f>
        <v>M320A1 SMK (Smoke Grenade Launcher)</v>
      </c>
      <c r="D149" s="38" t="str">
        <f>_xlfn.XLOOKUP(C149,Analysis_Gadgets!$C:$C,Analysis_Gadgets!$B:$B)</f>
        <v>Gadget</v>
      </c>
      <c r="E149" s="43">
        <v>104</v>
      </c>
      <c r="F149" s="43">
        <f>_xlfn.XLOOKUP(A149,Class_Players!A:A,Class_Players!G:G)</f>
        <v>310</v>
      </c>
      <c r="G149" s="43">
        <f t="shared" si="24"/>
        <v>0.33548387096774196</v>
      </c>
      <c r="H149" s="43">
        <f>_xlfn.XLOOKUP(A149,Class_Players!$A:$A,Class_Players!$F:$F,"")</f>
        <v>15761</v>
      </c>
      <c r="I149" s="44">
        <f t="shared" si="25"/>
        <v>6.5985660808324346E-3</v>
      </c>
      <c r="J149" s="43">
        <f t="shared" si="26"/>
        <v>0</v>
      </c>
      <c r="K149" s="44" cm="1">
        <f t="array" ref="K149">IF(D149="Gadget",_xlfn.IFS(I149&gt;=0.2,0.5,I149&gt;=0.1,0.35,I149&gt;=0.05,0.2,TRUE,0),IF(D149="Grenade",_xlfn.IFS(I149&gt;=0.2,1,I149&gt;=0.1,0.7,I149&gt;=0.05,0.4,TRUE,0),0))</f>
        <v>0</v>
      </c>
      <c r="L149" s="57">
        <f t="shared" si="29"/>
        <v>0</v>
      </c>
    </row>
    <row r="150" spans="1:12" ht="15" customHeight="1" x14ac:dyDescent="0.25">
      <c r="A150" s="42" t="str" cm="1">
        <f t="array" ref="A150">IFERROR(INDEX(_xlfn._xlws.FILTER(Class_Players!A:A,Class_Players!B:B="Support"),QUOTIENT(ROW()-ROW($A$2),9)+1),"")</f>
        <v>TrapShotzTV</v>
      </c>
      <c r="B150" s="42" t="str">
        <f>_xlfn.XLOOKUP(A150,Class_Players!$A:$A,Class_Players!$B:$B,"")</f>
        <v>Support</v>
      </c>
      <c r="C150" s="38" t="str" cm="1">
        <f t="array" ref="C150">INDEX(Lookups!$D$2:$D$10,MOD(ROW()-ROW($B$2),ROWS(Lookups!$D$2:$D$10))+1)</f>
        <v>SICH G1 WP (Incendiary Airburst Launcher)</v>
      </c>
      <c r="D150" s="38" t="str">
        <f>_xlfn.XLOOKUP(C150,Analysis_Gadgets!$C:$C,Analysis_Gadgets!$B:$B)</f>
        <v>Gadget</v>
      </c>
      <c r="E150" s="43">
        <v>22</v>
      </c>
      <c r="F150" s="43">
        <f>_xlfn.XLOOKUP(A150,Class_Players!A:A,Class_Players!G:G)</f>
        <v>310</v>
      </c>
      <c r="G150" s="43">
        <f t="shared" si="24"/>
        <v>7.0967741935483872E-2</v>
      </c>
      <c r="H150" s="43">
        <f>_xlfn.XLOOKUP(A150,Class_Players!$A:$A,Class_Players!$F:$F,"")</f>
        <v>15761</v>
      </c>
      <c r="I150" s="44">
        <f t="shared" si="25"/>
        <v>1.3958505170991687E-3</v>
      </c>
      <c r="J150" s="43">
        <f t="shared" si="26"/>
        <v>0</v>
      </c>
      <c r="K150" s="44" cm="1">
        <f t="array" ref="K150">IF(D150="Gadget",_xlfn.IFS(I150&gt;=0.2,0.5,I150&gt;=0.1,0.35,I150&gt;=0.05,0.2,TRUE,0),IF(D150="Grenade",_xlfn.IFS(I150&gt;=0.2,1,I150&gt;=0.1,0.7,I150&gt;=0.05,0.4,TRUE,0),0))</f>
        <v>0</v>
      </c>
      <c r="L150" s="57">
        <f t="shared" si="29"/>
        <v>0</v>
      </c>
    </row>
    <row r="151" spans="1:12" ht="15" customHeight="1" x14ac:dyDescent="0.25">
      <c r="A151" s="42" t="str" cm="1">
        <f t="array" ref="A151">IFERROR(INDEX(_xlfn._xlws.FILTER(Class_Players!A:A,Class_Players!B:B="Support"),QUOTIENT(ROW()-ROW($A$2),9)+1),"")</f>
        <v>TrapShotzTV</v>
      </c>
      <c r="B151" s="42" t="str">
        <f>_xlfn.XLOOKUP(A151,Class_Players!$A:$A,Class_Players!$B:$B,"")</f>
        <v>Support</v>
      </c>
      <c r="C151" s="38" t="str" cm="1">
        <f t="array" ref="C151">INDEX(Lookups!$D$2:$D$10,MOD(ROW()-ROW($B$2),ROWS(Lookups!$D$2:$D$10))+1)</f>
        <v>Deployable Cover</v>
      </c>
      <c r="D151" s="38" t="str">
        <f>_xlfn.XLOOKUP(C151,Analysis_Gadgets!$C:$C,Analysis_Gadgets!$B:$B)</f>
        <v>Gadget</v>
      </c>
      <c r="E151" s="43">
        <v>1649</v>
      </c>
      <c r="F151" s="43">
        <f>_xlfn.XLOOKUP(A151,Class_Players!A:A,Class_Players!G:G)</f>
        <v>310</v>
      </c>
      <c r="G151" s="43">
        <f t="shared" si="24"/>
        <v>5.3193548387096774</v>
      </c>
      <c r="H151" s="43">
        <f>_xlfn.XLOOKUP(A151,Class_Players!$A:$A,Class_Players!$F:$F,"")</f>
        <v>15761</v>
      </c>
      <c r="I151" s="44">
        <f t="shared" si="25"/>
        <v>0.10462534103166042</v>
      </c>
      <c r="J151" s="43">
        <f t="shared" si="26"/>
        <v>1</v>
      </c>
      <c r="K151" s="44" cm="1">
        <f t="array" ref="K151">IF(D151="Gadget",_xlfn.IFS(I151&gt;=0.2,0.5,I151&gt;=0.1,0.35,I151&gt;=0.05,0.2,TRUE,0),IF(D151="Grenade",_xlfn.IFS(I151&gt;=0.2,1,I151&gt;=0.1,0.7,I151&gt;=0.05,0.4,TRUE,0),0))</f>
        <v>0.35</v>
      </c>
      <c r="L151" s="57">
        <f t="shared" si="29"/>
        <v>1</v>
      </c>
    </row>
    <row r="152" spans="1:12" ht="15" customHeight="1" x14ac:dyDescent="0.25">
      <c r="A152" s="42" t="str" cm="1">
        <f t="array" ref="A152">IFERROR(INDEX(_xlfn._xlws.FILTER(Class_Players!A:A,Class_Players!B:B="Support"),QUOTIENT(ROW()-ROW($A$2),9)+1),"")</f>
        <v>TrapShotzTV</v>
      </c>
      <c r="B152" s="42" t="str">
        <f>_xlfn.XLOOKUP(A152,Class_Players!$A:$A,Class_Players!$B:$B,"")</f>
        <v>Support</v>
      </c>
      <c r="C152" s="38" t="str" cm="1">
        <f t="array" ref="C152">INDEX(Lookups!$D$2:$D$10,MOD(ROW()-ROW($B$2),ROWS(Lookups!$D$2:$D$10))+1)</f>
        <v>Supply Pouch</v>
      </c>
      <c r="D152" s="38" t="str">
        <f>_xlfn.XLOOKUP(C152,Analysis_Gadgets!$C:$C,Analysis_Gadgets!$B:$B)</f>
        <v>Gadget</v>
      </c>
      <c r="E152" s="43">
        <v>116</v>
      </c>
      <c r="F152" s="43">
        <f>_xlfn.XLOOKUP(A152,Class_Players!A:A,Class_Players!G:G)</f>
        <v>310</v>
      </c>
      <c r="G152" s="43">
        <f t="shared" si="24"/>
        <v>0.37419354838709679</v>
      </c>
      <c r="H152" s="43">
        <f>_xlfn.XLOOKUP(A152,Class_Players!$A:$A,Class_Players!$F:$F,"")</f>
        <v>15761</v>
      </c>
      <c r="I152" s="44">
        <f t="shared" si="25"/>
        <v>7.3599390901592536E-3</v>
      </c>
      <c r="J152" s="43">
        <f t="shared" si="26"/>
        <v>0</v>
      </c>
      <c r="K152" s="44" cm="1">
        <f t="array" ref="K152">IF(D152="Gadget",_xlfn.IFS(I152&gt;=0.2,0.5,I152&gt;=0.1,0.35,I152&gt;=0.05,0.2,TRUE,0),IF(D152="Grenade",_xlfn.IFS(I152&gt;=0.2,1,I152&gt;=0.1,0.7,I152&gt;=0.05,0.4,TRUE,0),0))</f>
        <v>0</v>
      </c>
      <c r="L152" s="57">
        <f t="shared" si="29"/>
        <v>0</v>
      </c>
    </row>
    <row r="153" spans="1:12" ht="15" customHeight="1" x14ac:dyDescent="0.25">
      <c r="A153" s="42" t="str" cm="1">
        <f t="array" ref="A153">IFERROR(INDEX(_xlfn._xlws.FILTER(Class_Players!A:A,Class_Players!B:B="Support"),QUOTIENT(ROW()-ROW($A$2),9)+1),"")</f>
        <v>TrapShotzTV</v>
      </c>
      <c r="B153" s="42" t="str">
        <f>_xlfn.XLOOKUP(A153,Class_Players!$A:$A,Class_Players!$B:$B,"")</f>
        <v>Support</v>
      </c>
      <c r="C153" s="38" t="str" cm="1">
        <f t="array" ref="C153">INDEX(Lookups!$D$2:$D$10,MOD(ROW()-ROW($B$2),ROWS(Lookups!$D$2:$D$10))+1)</f>
        <v>Smoke Grenade</v>
      </c>
      <c r="D153" s="38" t="str">
        <f>_xlfn.XLOOKUP(C153,Analysis_Gadgets!$C:$C,Analysis_Gadgets!$B:$B)</f>
        <v>Grenade</v>
      </c>
      <c r="E153" s="43">
        <v>3265</v>
      </c>
      <c r="F153" s="43">
        <f>_xlfn.XLOOKUP(A153,Class_Players!A:A,Class_Players!G:G)</f>
        <v>310</v>
      </c>
      <c r="G153" s="43">
        <f t="shared" si="24"/>
        <v>10.53225806451613</v>
      </c>
      <c r="H153" s="43">
        <f>_xlfn.XLOOKUP(A153,Class_Players!$A:$A,Class_Players!$F:$F,"")</f>
        <v>15761</v>
      </c>
      <c r="I153" s="44">
        <f t="shared" si="25"/>
        <v>0.20715690628767211</v>
      </c>
      <c r="J153" s="43">
        <f t="shared" si="26"/>
        <v>1</v>
      </c>
      <c r="K153" s="44" cm="1">
        <f t="array" ref="K153">IF(D153="Gadget",_xlfn.IFS(I153&gt;=0.2,0.5,I153&gt;=0.1,0.35,I153&gt;=0.05,0.2,TRUE,0),IF(D153="Grenade",_xlfn.IFS(I153&gt;=0.2,1,I153&gt;=0.1,0.7,I153&gt;=0.05,0.4,TRUE,0),0))</f>
        <v>1</v>
      </c>
      <c r="L153" s="57">
        <f t="shared" ref="L153:L154" si="30">IF($K153=0,0,$K153 / SUMIFS($K:$K,$A:$A,$A153,$D:$D,"Grenade"))</f>
        <v>1</v>
      </c>
    </row>
    <row r="154" spans="1:12" ht="15" customHeight="1" x14ac:dyDescent="0.25">
      <c r="A154" s="42" t="str" cm="1">
        <f t="array" ref="A154">IFERROR(INDEX(_xlfn._xlws.FILTER(Class_Players!A:A,Class_Players!B:B="Support"),QUOTIENT(ROW()-ROW($A$2),9)+1),"")</f>
        <v>TrapShotzTV</v>
      </c>
      <c r="B154" s="42" t="str">
        <f>_xlfn.XLOOKUP(A154,Class_Players!$A:$A,Class_Players!$B:$B,"")</f>
        <v>Support</v>
      </c>
      <c r="C154" s="38" t="str" cm="1">
        <f t="array" ref="C154">INDEX(Lookups!$D$2:$D$10,MOD(ROW()-ROW($B$2),ROWS(Lookups!$D$2:$D$10))+1)</f>
        <v>Incendiary Grenade</v>
      </c>
      <c r="D154" s="38" t="str">
        <f>_xlfn.XLOOKUP(C154,Analysis_Gadgets!$C:$C,Analysis_Gadgets!$B:$B)</f>
        <v>Grenade</v>
      </c>
      <c r="E154" s="43">
        <v>24</v>
      </c>
      <c r="F154" s="43">
        <f>_xlfn.XLOOKUP(A154,Class_Players!A:A,Class_Players!G:G)</f>
        <v>310</v>
      </c>
      <c r="G154" s="43">
        <f t="shared" si="24"/>
        <v>7.7419354838709681E-2</v>
      </c>
      <c r="H154" s="43">
        <f>_xlfn.XLOOKUP(A154,Class_Players!$A:$A,Class_Players!$F:$F,"")</f>
        <v>15761</v>
      </c>
      <c r="I154" s="44">
        <f t="shared" si="25"/>
        <v>1.5227460186536387E-3</v>
      </c>
      <c r="J154" s="43">
        <f t="shared" si="26"/>
        <v>0</v>
      </c>
      <c r="K154" s="44" cm="1">
        <f t="array" ref="K154">IF(D154="Gadget",_xlfn.IFS(I154&gt;=0.2,0.5,I154&gt;=0.1,0.35,I154&gt;=0.05,0.2,TRUE,0),IF(D154="Grenade",_xlfn.IFS(I154&gt;=0.2,1,I154&gt;=0.1,0.7,I154&gt;=0.05,0.4,TRUE,0),0))</f>
        <v>0</v>
      </c>
      <c r="L154" s="57">
        <f t="shared" si="30"/>
        <v>0</v>
      </c>
    </row>
    <row r="155" spans="1:12" ht="15" customHeight="1" x14ac:dyDescent="0.25">
      <c r="A155" s="42" t="str" cm="1">
        <f t="array" ref="A155">IFERROR(INDEX(_xlfn._xlws.FILTER(Class_Players!A:A,Class_Players!B:B="Support"),QUOTIENT(ROW()-ROW($A$2),9)+1),"")</f>
        <v>Barylak.</v>
      </c>
      <c r="B155" s="42" t="str">
        <f>_xlfn.XLOOKUP(A155,Class_Players!$A:$A,Class_Players!$B:$B,"")</f>
        <v>Support</v>
      </c>
      <c r="C155" s="38" t="str" cm="1">
        <f t="array" ref="C155">INDEX(Lookups!$D$2:$D$10,MOD(ROW()-ROW($B$2),ROWS(Lookups!$D$2:$D$10))+1)</f>
        <v>GPDIS (Grenade intercept system)</v>
      </c>
      <c r="D155" s="38" t="str">
        <f>_xlfn.XLOOKUP(C155,Analysis_Gadgets!$C:$C,Analysis_Gadgets!$B:$B)</f>
        <v>Gadget</v>
      </c>
      <c r="E155" s="43">
        <v>852</v>
      </c>
      <c r="F155" s="43">
        <f>_xlfn.XLOOKUP(A155,Class_Players!A:A,Class_Players!G:G)</f>
        <v>355</v>
      </c>
      <c r="G155" s="43">
        <f t="shared" si="24"/>
        <v>2.4</v>
      </c>
      <c r="H155" s="43">
        <f>_xlfn.XLOOKUP(A155,Class_Players!$A:$A,Class_Players!$F:$F,"")</f>
        <v>15536</v>
      </c>
      <c r="I155" s="44">
        <f t="shared" si="25"/>
        <v>5.4840370751802266E-2</v>
      </c>
      <c r="J155" s="43">
        <f t="shared" si="26"/>
        <v>0</v>
      </c>
      <c r="K155" s="44" cm="1">
        <f t="array" ref="K155">IF(D155="Gadget",_xlfn.IFS(I155&gt;=0.2,0.5,I155&gt;=0.1,0.35,I155&gt;=0.05,0.2,TRUE,0),IF(D155="Grenade",_xlfn.IFS(I155&gt;=0.2,1,I155&gt;=0.1,0.7,I155&gt;=0.05,0.4,TRUE,0),0))</f>
        <v>0.2</v>
      </c>
      <c r="L155" s="57">
        <f t="shared" ref="L155:L161" si="31">IF($K155=0,0,$K155 / SUMIFS($K:$K,$A:$A,$A155,$D:$D,"Gadget"))</f>
        <v>0.19047619047619047</v>
      </c>
    </row>
    <row r="156" spans="1:12" ht="15" customHeight="1" x14ac:dyDescent="0.25">
      <c r="A156" s="42" t="str" cm="1">
        <f t="array" ref="A156">IFERROR(INDEX(_xlfn._xlws.FILTER(Class_Players!A:A,Class_Players!B:B="Support"),QUOTIENT(ROW()-ROW($A$2),9)+1),"")</f>
        <v>Barylak.</v>
      </c>
      <c r="B156" s="42" t="str">
        <f>_xlfn.XLOOKUP(A156,Class_Players!$A:$A,Class_Players!$B:$B,"")</f>
        <v>Support</v>
      </c>
      <c r="C156" s="38" t="str" cm="1">
        <f t="array" ref="C156">INDEX(Lookups!$D$2:$D$10,MOD(ROW()-ROW($B$2),ROWS(Lookups!$D$2:$D$10))+1)</f>
        <v>MP-APS (Missile intercept system)</v>
      </c>
      <c r="D156" s="38" t="str">
        <f>_xlfn.XLOOKUP(C156,Analysis_Gadgets!$C:$C,Analysis_Gadgets!$B:$B)</f>
        <v>Gadget</v>
      </c>
      <c r="E156" s="43">
        <v>100</v>
      </c>
      <c r="F156" s="43">
        <f>_xlfn.XLOOKUP(A156,Class_Players!A:A,Class_Players!G:G)</f>
        <v>355</v>
      </c>
      <c r="G156" s="43">
        <f t="shared" si="24"/>
        <v>0.28169014084507044</v>
      </c>
      <c r="H156" s="43">
        <f>_xlfn.XLOOKUP(A156,Class_Players!$A:$A,Class_Players!$F:$F,"")</f>
        <v>15536</v>
      </c>
      <c r="I156" s="44">
        <f t="shared" si="25"/>
        <v>6.436663233779609E-3</v>
      </c>
      <c r="J156" s="43">
        <f t="shared" si="26"/>
        <v>0</v>
      </c>
      <c r="K156" s="44" cm="1">
        <f t="array" ref="K156">IF(D156="Gadget",_xlfn.IFS(I156&gt;=0.2,0.5,I156&gt;=0.1,0.35,I156&gt;=0.05,0.2,TRUE,0),IF(D156="Grenade",_xlfn.IFS(I156&gt;=0.2,1,I156&gt;=0.1,0.7,I156&gt;=0.05,0.4,TRUE,0),0))</f>
        <v>0</v>
      </c>
      <c r="L156" s="57">
        <f t="shared" si="31"/>
        <v>0</v>
      </c>
    </row>
    <row r="157" spans="1:12" ht="15" customHeight="1" x14ac:dyDescent="0.25">
      <c r="A157" s="42" t="str" cm="1">
        <f t="array" ref="A157">IFERROR(INDEX(_xlfn._xlws.FILTER(Class_Players!A:A,Class_Players!B:B="Support"),QUOTIENT(ROW()-ROW($A$2),9)+1),"")</f>
        <v>Barylak.</v>
      </c>
      <c r="B157" s="42" t="str">
        <f>_xlfn.XLOOKUP(A157,Class_Players!$A:$A,Class_Players!$B:$B,"")</f>
        <v>Support</v>
      </c>
      <c r="C157" s="38" t="str" cm="1">
        <f t="array" ref="C157">INDEX(Lookups!$D$2:$D$10,MOD(ROW()-ROW($B$2),ROWS(Lookups!$D$2:$D$10))+1)</f>
        <v>LWCMS (Mortar)</v>
      </c>
      <c r="D157" s="38" t="str">
        <f>_xlfn.XLOOKUP(C157,Analysis_Gadgets!$C:$C,Analysis_Gadgets!$B:$B)</f>
        <v>Gadget</v>
      </c>
      <c r="E157" s="43">
        <v>32</v>
      </c>
      <c r="F157" s="43">
        <f>_xlfn.XLOOKUP(A157,Class_Players!A:A,Class_Players!G:G)</f>
        <v>355</v>
      </c>
      <c r="G157" s="43">
        <f t="shared" si="24"/>
        <v>9.014084507042254E-2</v>
      </c>
      <c r="H157" s="43">
        <f>_xlfn.XLOOKUP(A157,Class_Players!$A:$A,Class_Players!$F:$F,"")</f>
        <v>15536</v>
      </c>
      <c r="I157" s="44">
        <f t="shared" si="25"/>
        <v>2.0597322348094747E-3</v>
      </c>
      <c r="J157" s="43">
        <f t="shared" si="26"/>
        <v>0</v>
      </c>
      <c r="K157" s="44" cm="1">
        <f t="array" ref="K157">IF(D157="Gadget",_xlfn.IFS(I157&gt;=0.2,0.5,I157&gt;=0.1,0.35,I157&gt;=0.05,0.2,TRUE,0),IF(D157="Grenade",_xlfn.IFS(I157&gt;=0.2,1,I157&gt;=0.1,0.7,I157&gt;=0.05,0.4,TRUE,0),0))</f>
        <v>0</v>
      </c>
      <c r="L157" s="57">
        <f t="shared" si="31"/>
        <v>0</v>
      </c>
    </row>
    <row r="158" spans="1:12" ht="15" customHeight="1" x14ac:dyDescent="0.25">
      <c r="A158" s="42" t="str" cm="1">
        <f t="array" ref="A158">IFERROR(INDEX(_xlfn._xlws.FILTER(Class_Players!A:A,Class_Players!B:B="Support"),QUOTIENT(ROW()-ROW($A$2),9)+1),"")</f>
        <v>Barylak.</v>
      </c>
      <c r="B158" s="42" t="str">
        <f>_xlfn.XLOOKUP(A158,Class_Players!$A:$A,Class_Players!$B:$B,"")</f>
        <v>Support</v>
      </c>
      <c r="C158" s="38" t="str" cm="1">
        <f t="array" ref="C158">INDEX(Lookups!$D$2:$D$10,MOD(ROW()-ROW($B$2),ROWS(Lookups!$D$2:$D$10))+1)</f>
        <v>M320A1 SMK (Smoke Grenade Launcher)</v>
      </c>
      <c r="D158" s="38" t="str">
        <f>_xlfn.XLOOKUP(C158,Analysis_Gadgets!$C:$C,Analysis_Gadgets!$B:$B)</f>
        <v>Gadget</v>
      </c>
      <c r="E158" s="43">
        <v>332</v>
      </c>
      <c r="F158" s="43">
        <f>_xlfn.XLOOKUP(A158,Class_Players!A:A,Class_Players!G:G)</f>
        <v>355</v>
      </c>
      <c r="G158" s="43">
        <f t="shared" si="24"/>
        <v>0.93521126760563378</v>
      </c>
      <c r="H158" s="43">
        <f>_xlfn.XLOOKUP(A158,Class_Players!$A:$A,Class_Players!$F:$F,"")</f>
        <v>15536</v>
      </c>
      <c r="I158" s="44">
        <f t="shared" si="25"/>
        <v>2.1369721936148299E-2</v>
      </c>
      <c r="J158" s="43">
        <f t="shared" si="26"/>
        <v>0</v>
      </c>
      <c r="K158" s="44" cm="1">
        <f t="array" ref="K158">IF(D158="Gadget",_xlfn.IFS(I158&gt;=0.2,0.5,I158&gt;=0.1,0.35,I158&gt;=0.05,0.2,TRUE,0),IF(D158="Grenade",_xlfn.IFS(I158&gt;=0.2,1,I158&gt;=0.1,0.7,I158&gt;=0.05,0.4,TRUE,0),0))</f>
        <v>0</v>
      </c>
      <c r="L158" s="57">
        <f t="shared" si="31"/>
        <v>0</v>
      </c>
    </row>
    <row r="159" spans="1:12" ht="15" customHeight="1" x14ac:dyDescent="0.25">
      <c r="A159" s="42" t="str" cm="1">
        <f t="array" ref="A159">IFERROR(INDEX(_xlfn._xlws.FILTER(Class_Players!A:A,Class_Players!B:B="Support"),QUOTIENT(ROW()-ROW($A$2),9)+1),"")</f>
        <v>Barylak.</v>
      </c>
      <c r="B159" s="42" t="str">
        <f>_xlfn.XLOOKUP(A159,Class_Players!$A:$A,Class_Players!$B:$B,"")</f>
        <v>Support</v>
      </c>
      <c r="C159" s="38" t="str" cm="1">
        <f t="array" ref="C159">INDEX(Lookups!$D$2:$D$10,MOD(ROW()-ROW($B$2),ROWS(Lookups!$D$2:$D$10))+1)</f>
        <v>SICH G1 WP (Incendiary Airburst Launcher)</v>
      </c>
      <c r="D159" s="38" t="str">
        <f>_xlfn.XLOOKUP(C159,Analysis_Gadgets!$C:$C,Analysis_Gadgets!$B:$B)</f>
        <v>Gadget</v>
      </c>
      <c r="E159" s="43">
        <v>465</v>
      </c>
      <c r="F159" s="43">
        <f>_xlfn.XLOOKUP(A159,Class_Players!A:A,Class_Players!G:G)</f>
        <v>355</v>
      </c>
      <c r="G159" s="43">
        <f t="shared" si="24"/>
        <v>1.3098591549295775</v>
      </c>
      <c r="H159" s="43">
        <f>_xlfn.XLOOKUP(A159,Class_Players!$A:$A,Class_Players!$F:$F,"")</f>
        <v>15536</v>
      </c>
      <c r="I159" s="44">
        <f t="shared" si="25"/>
        <v>2.993048403707518E-2</v>
      </c>
      <c r="J159" s="43">
        <f t="shared" si="26"/>
        <v>0</v>
      </c>
      <c r="K159" s="44" cm="1">
        <f t="array" ref="K159">IF(D159="Gadget",_xlfn.IFS(I159&gt;=0.2,0.5,I159&gt;=0.1,0.35,I159&gt;=0.05,0.2,TRUE,0),IF(D159="Grenade",_xlfn.IFS(I159&gt;=0.2,1,I159&gt;=0.1,0.7,I159&gt;=0.05,0.4,TRUE,0),0))</f>
        <v>0</v>
      </c>
      <c r="L159" s="57">
        <f t="shared" si="31"/>
        <v>0</v>
      </c>
    </row>
    <row r="160" spans="1:12" ht="15" customHeight="1" x14ac:dyDescent="0.25">
      <c r="A160" s="42" t="str" cm="1">
        <f t="array" ref="A160">IFERROR(INDEX(_xlfn._xlws.FILTER(Class_Players!A:A,Class_Players!B:B="Support"),QUOTIENT(ROW()-ROW($A$2),9)+1),"")</f>
        <v>Barylak.</v>
      </c>
      <c r="B160" s="42" t="str">
        <f>_xlfn.XLOOKUP(A160,Class_Players!$A:$A,Class_Players!$B:$B,"")</f>
        <v>Support</v>
      </c>
      <c r="C160" s="38" t="str" cm="1">
        <f t="array" ref="C160">INDEX(Lookups!$D$2:$D$10,MOD(ROW()-ROW($B$2),ROWS(Lookups!$D$2:$D$10))+1)</f>
        <v>Deployable Cover</v>
      </c>
      <c r="D160" s="38" t="str">
        <f>_xlfn.XLOOKUP(C160,Analysis_Gadgets!$C:$C,Analysis_Gadgets!$B:$B)</f>
        <v>Gadget</v>
      </c>
      <c r="E160" s="43">
        <v>1652</v>
      </c>
      <c r="F160" s="43">
        <f>_xlfn.XLOOKUP(A160,Class_Players!A:A,Class_Players!G:G)</f>
        <v>355</v>
      </c>
      <c r="G160" s="43">
        <f t="shared" si="24"/>
        <v>4.6535211267605634</v>
      </c>
      <c r="H160" s="43">
        <f>_xlfn.XLOOKUP(A160,Class_Players!$A:$A,Class_Players!$F:$F,"")</f>
        <v>15536</v>
      </c>
      <c r="I160" s="44">
        <f t="shared" si="25"/>
        <v>0.10633367662203913</v>
      </c>
      <c r="J160" s="43">
        <f t="shared" si="26"/>
        <v>1</v>
      </c>
      <c r="K160" s="44" cm="1">
        <f t="array" ref="K160">IF(D160="Gadget",_xlfn.IFS(I160&gt;=0.2,0.5,I160&gt;=0.1,0.35,I160&gt;=0.05,0.2,TRUE,0),IF(D160="Grenade",_xlfn.IFS(I160&gt;=0.2,1,I160&gt;=0.1,0.7,I160&gt;=0.05,0.4,TRUE,0),0))</f>
        <v>0.35</v>
      </c>
      <c r="L160" s="57">
        <f t="shared" si="31"/>
        <v>0.33333333333333331</v>
      </c>
    </row>
    <row r="161" spans="1:12" ht="15" customHeight="1" x14ac:dyDescent="0.25">
      <c r="A161" s="42" t="str" cm="1">
        <f t="array" ref="A161">IFERROR(INDEX(_xlfn._xlws.FILTER(Class_Players!A:A,Class_Players!B:B="Support"),QUOTIENT(ROW()-ROW($A$2),9)+1),"")</f>
        <v>Barylak.</v>
      </c>
      <c r="B161" s="42" t="str">
        <f>_xlfn.XLOOKUP(A161,Class_Players!$A:$A,Class_Players!$B:$B,"")</f>
        <v>Support</v>
      </c>
      <c r="C161" s="38" t="str" cm="1">
        <f t="array" ref="C161">INDEX(Lookups!$D$2:$D$10,MOD(ROW()-ROW($B$2),ROWS(Lookups!$D$2:$D$10))+1)</f>
        <v>Supply Pouch</v>
      </c>
      <c r="D161" s="38" t="str">
        <f>_xlfn.XLOOKUP(C161,Analysis_Gadgets!$C:$C,Analysis_Gadgets!$B:$B)</f>
        <v>Gadget</v>
      </c>
      <c r="E161" s="43">
        <v>4804</v>
      </c>
      <c r="F161" s="43">
        <f>_xlfn.XLOOKUP(A161,Class_Players!A:A,Class_Players!G:G)</f>
        <v>355</v>
      </c>
      <c r="G161" s="43">
        <f t="shared" si="24"/>
        <v>13.532394366197183</v>
      </c>
      <c r="H161" s="43">
        <f>_xlfn.XLOOKUP(A161,Class_Players!$A:$A,Class_Players!$F:$F,"")</f>
        <v>15536</v>
      </c>
      <c r="I161" s="44">
        <f t="shared" si="25"/>
        <v>0.30921730175077239</v>
      </c>
      <c r="J161" s="43">
        <f t="shared" si="26"/>
        <v>1</v>
      </c>
      <c r="K161" s="44" cm="1">
        <f t="array" ref="K161">IF(D161="Gadget",_xlfn.IFS(I161&gt;=0.2,0.5,I161&gt;=0.1,0.35,I161&gt;=0.05,0.2,TRUE,0),IF(D161="Grenade",_xlfn.IFS(I161&gt;=0.2,1,I161&gt;=0.1,0.7,I161&gt;=0.05,0.4,TRUE,0),0))</f>
        <v>0.5</v>
      </c>
      <c r="L161" s="57">
        <f t="shared" si="31"/>
        <v>0.47619047619047616</v>
      </c>
    </row>
    <row r="162" spans="1:12" ht="15" customHeight="1" x14ac:dyDescent="0.25">
      <c r="A162" s="42" t="str" cm="1">
        <f t="array" ref="A162">IFERROR(INDEX(_xlfn._xlws.FILTER(Class_Players!A:A,Class_Players!B:B="Support"),QUOTIENT(ROW()-ROW($A$2),9)+1),"")</f>
        <v>Barylak.</v>
      </c>
      <c r="B162" s="42" t="str">
        <f>_xlfn.XLOOKUP(A162,Class_Players!$A:$A,Class_Players!$B:$B,"")</f>
        <v>Support</v>
      </c>
      <c r="C162" s="38" t="str" cm="1">
        <f t="array" ref="C162">INDEX(Lookups!$D$2:$D$10,MOD(ROW()-ROW($B$2),ROWS(Lookups!$D$2:$D$10))+1)</f>
        <v>Smoke Grenade</v>
      </c>
      <c r="D162" s="38" t="str">
        <f>_xlfn.XLOOKUP(C162,Analysis_Gadgets!$C:$C,Analysis_Gadgets!$B:$B)</f>
        <v>Grenade</v>
      </c>
      <c r="E162" s="43">
        <v>3284</v>
      </c>
      <c r="F162" s="43">
        <f>_xlfn.XLOOKUP(A162,Class_Players!A:A,Class_Players!G:G)</f>
        <v>355</v>
      </c>
      <c r="G162" s="43">
        <f t="shared" si="24"/>
        <v>9.2507042253521128</v>
      </c>
      <c r="H162" s="43">
        <f>_xlfn.XLOOKUP(A162,Class_Players!$A:$A,Class_Players!$F:$F,"")</f>
        <v>15536</v>
      </c>
      <c r="I162" s="44">
        <f t="shared" si="25"/>
        <v>0.21138002059732236</v>
      </c>
      <c r="J162" s="43">
        <f t="shared" si="26"/>
        <v>1</v>
      </c>
      <c r="K162" s="44" cm="1">
        <f t="array" ref="K162">IF(D162="Gadget",_xlfn.IFS(I162&gt;=0.2,0.5,I162&gt;=0.1,0.35,I162&gt;=0.05,0.2,TRUE,0),IF(D162="Grenade",_xlfn.IFS(I162&gt;=0.2,1,I162&gt;=0.1,0.7,I162&gt;=0.05,0.4,TRUE,0),0))</f>
        <v>1</v>
      </c>
      <c r="L162" s="57">
        <f t="shared" ref="L162:L163" si="32">IF($K162=0,0,$K162 / SUMIFS($K:$K,$A:$A,$A162,$D:$D,"Grenade"))</f>
        <v>0.5</v>
      </c>
    </row>
    <row r="163" spans="1:12" ht="15" customHeight="1" x14ac:dyDescent="0.25">
      <c r="A163" s="42" t="str" cm="1">
        <f t="array" ref="A163">IFERROR(INDEX(_xlfn._xlws.FILTER(Class_Players!A:A,Class_Players!B:B="Support"),QUOTIENT(ROW()-ROW($A$2),9)+1),"")</f>
        <v>Barylak.</v>
      </c>
      <c r="B163" s="42" t="str">
        <f>_xlfn.XLOOKUP(A163,Class_Players!$A:$A,Class_Players!$B:$B,"")</f>
        <v>Support</v>
      </c>
      <c r="C163" s="38" t="str" cm="1">
        <f t="array" ref="C163">INDEX(Lookups!$D$2:$D$10,MOD(ROW()-ROW($B$2),ROWS(Lookups!$D$2:$D$10))+1)</f>
        <v>Incendiary Grenade</v>
      </c>
      <c r="D163" s="38" t="str">
        <f>_xlfn.XLOOKUP(C163,Analysis_Gadgets!$C:$C,Analysis_Gadgets!$B:$B)</f>
        <v>Grenade</v>
      </c>
      <c r="E163" s="43">
        <v>8775</v>
      </c>
      <c r="F163" s="43">
        <f>_xlfn.XLOOKUP(A163,Class_Players!A:A,Class_Players!G:G)</f>
        <v>355</v>
      </c>
      <c r="G163" s="43">
        <f t="shared" si="24"/>
        <v>24.718309859154928</v>
      </c>
      <c r="H163" s="43">
        <f>_xlfn.XLOOKUP(A163,Class_Players!$A:$A,Class_Players!$F:$F,"")</f>
        <v>15536</v>
      </c>
      <c r="I163" s="44">
        <f t="shared" si="25"/>
        <v>0.5648171987641607</v>
      </c>
      <c r="J163" s="43">
        <f t="shared" si="26"/>
        <v>1</v>
      </c>
      <c r="K163" s="44" cm="1">
        <f t="array" ref="K163">IF(D163="Gadget",_xlfn.IFS(I163&gt;=0.2,0.5,I163&gt;=0.1,0.35,I163&gt;=0.05,0.2,TRUE,0),IF(D163="Grenade",_xlfn.IFS(I163&gt;=0.2,1,I163&gt;=0.1,0.7,I163&gt;=0.05,0.4,TRUE,0),0))</f>
        <v>1</v>
      </c>
      <c r="L163" s="57">
        <f t="shared" si="32"/>
        <v>0.5</v>
      </c>
    </row>
    <row r="164" spans="1:12" ht="15" customHeight="1" x14ac:dyDescent="0.25">
      <c r="A164" s="42" t="str" cm="1">
        <f t="array" ref="A164">IFERROR(INDEX(_xlfn._xlws.FILTER(Class_Players!A:A,Class_Players!B:B="Support"),QUOTIENT(ROW()-ROW($A$2),9)+1),"")</f>
        <v>XX_Kichon_IV</v>
      </c>
      <c r="B164" s="42" t="str">
        <f>_xlfn.XLOOKUP(A164,Class_Players!$A:$A,Class_Players!$B:$B,"")</f>
        <v>Support</v>
      </c>
      <c r="C164" s="38" t="str" cm="1">
        <f t="array" ref="C164">INDEX(Lookups!$D$2:$D$10,MOD(ROW()-ROW($B$2),ROWS(Lookups!$D$2:$D$10))+1)</f>
        <v>GPDIS (Grenade intercept system)</v>
      </c>
      <c r="D164" s="38" t="str">
        <f>_xlfn.XLOOKUP(C164,Analysis_Gadgets!$C:$C,Analysis_Gadgets!$B:$B)</f>
        <v>Gadget</v>
      </c>
      <c r="E164" s="43">
        <v>123</v>
      </c>
      <c r="F164" s="43">
        <f>_xlfn.XLOOKUP(A164,Class_Players!A:A,Class_Players!G:G)</f>
        <v>285</v>
      </c>
      <c r="G164" s="43">
        <f t="shared" si="24"/>
        <v>0.43157894736842106</v>
      </c>
      <c r="H164" s="43">
        <f>_xlfn.XLOOKUP(A164,Class_Players!$A:$A,Class_Players!$F:$F,"")</f>
        <v>15657</v>
      </c>
      <c r="I164" s="44">
        <f t="shared" si="25"/>
        <v>7.8559110940793261E-3</v>
      </c>
      <c r="J164" s="43">
        <f t="shared" si="26"/>
        <v>0</v>
      </c>
      <c r="K164" s="44" cm="1">
        <f t="array" ref="K164">IF(D164="Gadget",_xlfn.IFS(I164&gt;=0.2,0.5,I164&gt;=0.1,0.35,I164&gt;=0.05,0.2,TRUE,0),IF(D164="Grenade",_xlfn.IFS(I164&gt;=0.2,1,I164&gt;=0.1,0.7,I164&gt;=0.05,0.4,TRUE,0),0))</f>
        <v>0</v>
      </c>
      <c r="L164" s="57">
        <f t="shared" ref="L164:L170" si="33">IF($K164=0,0,$K164 / SUMIFS($K:$K,$A:$A,$A164,$D:$D,"Gadget"))</f>
        <v>0</v>
      </c>
    </row>
    <row r="165" spans="1:12" ht="15" customHeight="1" x14ac:dyDescent="0.25">
      <c r="A165" s="42" t="str" cm="1">
        <f t="array" ref="A165">IFERROR(INDEX(_xlfn._xlws.FILTER(Class_Players!A:A,Class_Players!B:B="Support"),QUOTIENT(ROW()-ROW($A$2),9)+1),"")</f>
        <v>XX_Kichon_IV</v>
      </c>
      <c r="B165" s="42" t="str">
        <f>_xlfn.XLOOKUP(A165,Class_Players!$A:$A,Class_Players!$B:$B,"")</f>
        <v>Support</v>
      </c>
      <c r="C165" s="38" t="str" cm="1">
        <f t="array" ref="C165">INDEX(Lookups!$D$2:$D$10,MOD(ROW()-ROW($B$2),ROWS(Lookups!$D$2:$D$10))+1)</f>
        <v>MP-APS (Missile intercept system)</v>
      </c>
      <c r="D165" s="38" t="str">
        <f>_xlfn.XLOOKUP(C165,Analysis_Gadgets!$C:$C,Analysis_Gadgets!$B:$B)</f>
        <v>Gadget</v>
      </c>
      <c r="E165" s="43">
        <v>0</v>
      </c>
      <c r="F165" s="43">
        <f>_xlfn.XLOOKUP(A165,Class_Players!A:A,Class_Players!G:G)</f>
        <v>285</v>
      </c>
      <c r="G165" s="43">
        <f t="shared" si="24"/>
        <v>0</v>
      </c>
      <c r="H165" s="43">
        <f>_xlfn.XLOOKUP(A165,Class_Players!$A:$A,Class_Players!$F:$F,"")</f>
        <v>15657</v>
      </c>
      <c r="I165" s="44">
        <f t="shared" si="25"/>
        <v>0</v>
      </c>
      <c r="J165" s="43">
        <f t="shared" si="26"/>
        <v>0</v>
      </c>
      <c r="K165" s="44" cm="1">
        <f t="array" ref="K165">IF(D165="Gadget",_xlfn.IFS(I165&gt;=0.2,0.5,I165&gt;=0.1,0.35,I165&gt;=0.05,0.2,TRUE,0),IF(D165="Grenade",_xlfn.IFS(I165&gt;=0.2,1,I165&gt;=0.1,0.7,I165&gt;=0.05,0.4,TRUE,0),0))</f>
        <v>0</v>
      </c>
      <c r="L165" s="57">
        <f t="shared" si="33"/>
        <v>0</v>
      </c>
    </row>
    <row r="166" spans="1:12" ht="15" customHeight="1" x14ac:dyDescent="0.25">
      <c r="A166" s="42" t="str" cm="1">
        <f t="array" ref="A166">IFERROR(INDEX(_xlfn._xlws.FILTER(Class_Players!A:A,Class_Players!B:B="Support"),QUOTIENT(ROW()-ROW($A$2),9)+1),"")</f>
        <v>XX_Kichon_IV</v>
      </c>
      <c r="B166" s="42" t="str">
        <f>_xlfn.XLOOKUP(A166,Class_Players!$A:$A,Class_Players!$B:$B,"")</f>
        <v>Support</v>
      </c>
      <c r="C166" s="38" t="str" cm="1">
        <f t="array" ref="C166">INDEX(Lookups!$D$2:$D$10,MOD(ROW()-ROW($B$2),ROWS(Lookups!$D$2:$D$10))+1)</f>
        <v>LWCMS (Mortar)</v>
      </c>
      <c r="D166" s="38" t="str">
        <f>_xlfn.XLOOKUP(C166,Analysis_Gadgets!$C:$C,Analysis_Gadgets!$B:$B)</f>
        <v>Gadget</v>
      </c>
      <c r="E166" s="43">
        <v>0</v>
      </c>
      <c r="F166" s="43">
        <f>_xlfn.XLOOKUP(A166,Class_Players!A:A,Class_Players!G:G)</f>
        <v>285</v>
      </c>
      <c r="G166" s="43">
        <f t="shared" si="24"/>
        <v>0</v>
      </c>
      <c r="H166" s="43">
        <f>_xlfn.XLOOKUP(A166,Class_Players!$A:$A,Class_Players!$F:$F,"")</f>
        <v>15657</v>
      </c>
      <c r="I166" s="44">
        <f t="shared" si="25"/>
        <v>0</v>
      </c>
      <c r="J166" s="43">
        <f t="shared" si="26"/>
        <v>0</v>
      </c>
      <c r="K166" s="44" cm="1">
        <f t="array" ref="K166">IF(D166="Gadget",_xlfn.IFS(I166&gt;=0.2,0.5,I166&gt;=0.1,0.35,I166&gt;=0.05,0.2,TRUE,0),IF(D166="Grenade",_xlfn.IFS(I166&gt;=0.2,1,I166&gt;=0.1,0.7,I166&gt;=0.05,0.4,TRUE,0),0))</f>
        <v>0</v>
      </c>
      <c r="L166" s="57">
        <f t="shared" si="33"/>
        <v>0</v>
      </c>
    </row>
    <row r="167" spans="1:12" ht="15" customHeight="1" x14ac:dyDescent="0.25">
      <c r="A167" s="42" t="str" cm="1">
        <f t="array" ref="A167">IFERROR(INDEX(_xlfn._xlws.FILTER(Class_Players!A:A,Class_Players!B:B="Support"),QUOTIENT(ROW()-ROW($A$2),9)+1),"")</f>
        <v>XX_Kichon_IV</v>
      </c>
      <c r="B167" s="42" t="str">
        <f>_xlfn.XLOOKUP(A167,Class_Players!$A:$A,Class_Players!$B:$B,"")</f>
        <v>Support</v>
      </c>
      <c r="C167" s="38" t="str" cm="1">
        <f t="array" ref="C167">INDEX(Lookups!$D$2:$D$10,MOD(ROW()-ROW($B$2),ROWS(Lookups!$D$2:$D$10))+1)</f>
        <v>M320A1 SMK (Smoke Grenade Launcher)</v>
      </c>
      <c r="D167" s="38" t="str">
        <f>_xlfn.XLOOKUP(C167,Analysis_Gadgets!$C:$C,Analysis_Gadgets!$B:$B)</f>
        <v>Gadget</v>
      </c>
      <c r="E167" s="43">
        <v>35</v>
      </c>
      <c r="F167" s="43">
        <f>_xlfn.XLOOKUP(A167,Class_Players!A:A,Class_Players!G:G)</f>
        <v>285</v>
      </c>
      <c r="G167" s="43">
        <f t="shared" si="24"/>
        <v>0.12280701754385964</v>
      </c>
      <c r="H167" s="43">
        <f>_xlfn.XLOOKUP(A167,Class_Players!$A:$A,Class_Players!$F:$F,"")</f>
        <v>15657</v>
      </c>
      <c r="I167" s="44">
        <f t="shared" si="25"/>
        <v>2.2354218560388323E-3</v>
      </c>
      <c r="J167" s="43">
        <f t="shared" si="26"/>
        <v>0</v>
      </c>
      <c r="K167" s="44" cm="1">
        <f t="array" ref="K167">IF(D167="Gadget",_xlfn.IFS(I167&gt;=0.2,0.5,I167&gt;=0.1,0.35,I167&gt;=0.05,0.2,TRUE,0),IF(D167="Grenade",_xlfn.IFS(I167&gt;=0.2,1,I167&gt;=0.1,0.7,I167&gt;=0.05,0.4,TRUE,0),0))</f>
        <v>0</v>
      </c>
      <c r="L167" s="57">
        <f t="shared" si="33"/>
        <v>0</v>
      </c>
    </row>
    <row r="168" spans="1:12" ht="15" customHeight="1" x14ac:dyDescent="0.25">
      <c r="A168" s="42" t="str" cm="1">
        <f t="array" ref="A168">IFERROR(INDEX(_xlfn._xlws.FILTER(Class_Players!A:A,Class_Players!B:B="Support"),QUOTIENT(ROW()-ROW($A$2),9)+1),"")</f>
        <v>XX_Kichon_IV</v>
      </c>
      <c r="B168" s="42" t="str">
        <f>_xlfn.XLOOKUP(A168,Class_Players!$A:$A,Class_Players!$B:$B,"")</f>
        <v>Support</v>
      </c>
      <c r="C168" s="38" t="str" cm="1">
        <f t="array" ref="C168">INDEX(Lookups!$D$2:$D$10,MOD(ROW()-ROW($B$2),ROWS(Lookups!$D$2:$D$10))+1)</f>
        <v>SICH G1 WP (Incendiary Airburst Launcher)</v>
      </c>
      <c r="D168" s="38" t="str">
        <f>_xlfn.XLOOKUP(C168,Analysis_Gadgets!$C:$C,Analysis_Gadgets!$B:$B)</f>
        <v>Gadget</v>
      </c>
      <c r="E168" s="43">
        <v>0</v>
      </c>
      <c r="F168" s="43">
        <f>_xlfn.XLOOKUP(A168,Class_Players!A:A,Class_Players!G:G)</f>
        <v>285</v>
      </c>
      <c r="G168" s="43">
        <f t="shared" si="24"/>
        <v>0</v>
      </c>
      <c r="H168" s="43">
        <f>_xlfn.XLOOKUP(A168,Class_Players!$A:$A,Class_Players!$F:$F,"")</f>
        <v>15657</v>
      </c>
      <c r="I168" s="44">
        <f t="shared" si="25"/>
        <v>0</v>
      </c>
      <c r="J168" s="43">
        <f t="shared" si="26"/>
        <v>0</v>
      </c>
      <c r="K168" s="44" cm="1">
        <f t="array" ref="K168">IF(D168="Gadget",_xlfn.IFS(I168&gt;=0.2,0.5,I168&gt;=0.1,0.35,I168&gt;=0.05,0.2,TRUE,0),IF(D168="Grenade",_xlfn.IFS(I168&gt;=0.2,1,I168&gt;=0.1,0.7,I168&gt;=0.05,0.4,TRUE,0),0))</f>
        <v>0</v>
      </c>
      <c r="L168" s="57">
        <f t="shared" si="33"/>
        <v>0</v>
      </c>
    </row>
    <row r="169" spans="1:12" ht="15" customHeight="1" x14ac:dyDescent="0.25">
      <c r="A169" s="42" t="str" cm="1">
        <f t="array" ref="A169">IFERROR(INDEX(_xlfn._xlws.FILTER(Class_Players!A:A,Class_Players!B:B="Support"),QUOTIENT(ROW()-ROW($A$2),9)+1),"")</f>
        <v>XX_Kichon_IV</v>
      </c>
      <c r="B169" s="42" t="str">
        <f>_xlfn.XLOOKUP(A169,Class_Players!$A:$A,Class_Players!$B:$B,"")</f>
        <v>Support</v>
      </c>
      <c r="C169" s="38" t="str" cm="1">
        <f t="array" ref="C169">INDEX(Lookups!$D$2:$D$10,MOD(ROW()-ROW($B$2),ROWS(Lookups!$D$2:$D$10))+1)</f>
        <v>Deployable Cover</v>
      </c>
      <c r="D169" s="38" t="str">
        <f>_xlfn.XLOOKUP(C169,Analysis_Gadgets!$C:$C,Analysis_Gadgets!$B:$B)</f>
        <v>Gadget</v>
      </c>
      <c r="E169" s="43">
        <v>1653</v>
      </c>
      <c r="F169" s="43">
        <f>_xlfn.XLOOKUP(A169,Class_Players!A:A,Class_Players!G:G)</f>
        <v>285</v>
      </c>
      <c r="G169" s="43">
        <f t="shared" si="24"/>
        <v>5.8</v>
      </c>
      <c r="H169" s="43">
        <f>_xlfn.XLOOKUP(A169,Class_Players!$A:$A,Class_Players!$F:$F,"")</f>
        <v>15657</v>
      </c>
      <c r="I169" s="44">
        <f t="shared" si="25"/>
        <v>0.10557578080091971</v>
      </c>
      <c r="J169" s="43">
        <f t="shared" si="26"/>
        <v>1</v>
      </c>
      <c r="K169" s="44" cm="1">
        <f t="array" ref="K169">IF(D169="Gadget",_xlfn.IFS(I169&gt;=0.2,0.5,I169&gt;=0.1,0.35,I169&gt;=0.05,0.2,TRUE,0),IF(D169="Grenade",_xlfn.IFS(I169&gt;=0.2,1,I169&gt;=0.1,0.7,I169&gt;=0.05,0.4,TRUE,0),0))</f>
        <v>0.35</v>
      </c>
      <c r="L169" s="57">
        <f t="shared" si="33"/>
        <v>0.41176470588235292</v>
      </c>
    </row>
    <row r="170" spans="1:12" ht="15" customHeight="1" x14ac:dyDescent="0.25">
      <c r="A170" s="42" t="str" cm="1">
        <f t="array" ref="A170">IFERROR(INDEX(_xlfn._xlws.FILTER(Class_Players!A:A,Class_Players!B:B="Support"),QUOTIENT(ROW()-ROW($A$2),9)+1),"")</f>
        <v>XX_Kichon_IV</v>
      </c>
      <c r="B170" s="42" t="str">
        <f>_xlfn.XLOOKUP(A170,Class_Players!$A:$A,Class_Players!$B:$B,"")</f>
        <v>Support</v>
      </c>
      <c r="C170" s="38" t="str" cm="1">
        <f t="array" ref="C170">INDEX(Lookups!$D$2:$D$10,MOD(ROW()-ROW($B$2),ROWS(Lookups!$D$2:$D$10))+1)</f>
        <v>Supply Pouch</v>
      </c>
      <c r="D170" s="38" t="str">
        <f>_xlfn.XLOOKUP(C170,Analysis_Gadgets!$C:$C,Analysis_Gadgets!$B:$B)</f>
        <v>Gadget</v>
      </c>
      <c r="E170" s="43">
        <v>6466</v>
      </c>
      <c r="F170" s="43">
        <f>_xlfn.XLOOKUP(A170,Class_Players!A:A,Class_Players!G:G)</f>
        <v>285</v>
      </c>
      <c r="G170" s="43">
        <f t="shared" si="24"/>
        <v>22.687719298245614</v>
      </c>
      <c r="H170" s="43">
        <f>_xlfn.XLOOKUP(A170,Class_Players!$A:$A,Class_Players!$F:$F,"")</f>
        <v>15657</v>
      </c>
      <c r="I170" s="44">
        <f t="shared" si="25"/>
        <v>0.41297822060420258</v>
      </c>
      <c r="J170" s="43">
        <f t="shared" si="26"/>
        <v>1</v>
      </c>
      <c r="K170" s="44" cm="1">
        <f t="array" ref="K170">IF(D170="Gadget",_xlfn.IFS(I170&gt;=0.2,0.5,I170&gt;=0.1,0.35,I170&gt;=0.05,0.2,TRUE,0),IF(D170="Grenade",_xlfn.IFS(I170&gt;=0.2,1,I170&gt;=0.1,0.7,I170&gt;=0.05,0.4,TRUE,0),0))</f>
        <v>0.5</v>
      </c>
      <c r="L170" s="57">
        <f t="shared" si="33"/>
        <v>0.58823529411764708</v>
      </c>
    </row>
    <row r="171" spans="1:12" ht="15" customHeight="1" x14ac:dyDescent="0.25">
      <c r="A171" s="42" t="str" cm="1">
        <f t="array" ref="A171">IFERROR(INDEX(_xlfn._xlws.FILTER(Class_Players!A:A,Class_Players!B:B="Support"),QUOTIENT(ROW()-ROW($A$2),9)+1),"")</f>
        <v>XX_Kichon_IV</v>
      </c>
      <c r="B171" s="42" t="str">
        <f>_xlfn.XLOOKUP(A171,Class_Players!$A:$A,Class_Players!$B:$B,"")</f>
        <v>Support</v>
      </c>
      <c r="C171" s="38" t="str" cm="1">
        <f t="array" ref="C171">INDEX(Lookups!$D$2:$D$10,MOD(ROW()-ROW($B$2),ROWS(Lookups!$D$2:$D$10))+1)</f>
        <v>Smoke Grenade</v>
      </c>
      <c r="D171" s="38" t="str">
        <f>_xlfn.XLOOKUP(C171,Analysis_Gadgets!$C:$C,Analysis_Gadgets!$B:$B)</f>
        <v>Grenade</v>
      </c>
      <c r="E171" s="43">
        <v>10281</v>
      </c>
      <c r="F171" s="43">
        <f>_xlfn.XLOOKUP(A171,Class_Players!A:A,Class_Players!G:G)</f>
        <v>285</v>
      </c>
      <c r="G171" s="43">
        <f t="shared" si="24"/>
        <v>36.073684210526316</v>
      </c>
      <c r="H171" s="43">
        <f>_xlfn.XLOOKUP(A171,Class_Players!$A:$A,Class_Players!$F:$F,"")</f>
        <v>15657</v>
      </c>
      <c r="I171" s="44">
        <f t="shared" si="25"/>
        <v>0.65663920291243538</v>
      </c>
      <c r="J171" s="43">
        <f t="shared" si="26"/>
        <v>1</v>
      </c>
      <c r="K171" s="44" cm="1">
        <f t="array" ref="K171">IF(D171="Gadget",_xlfn.IFS(I171&gt;=0.2,0.5,I171&gt;=0.1,0.35,I171&gt;=0.05,0.2,TRUE,0),IF(D171="Grenade",_xlfn.IFS(I171&gt;=0.2,1,I171&gt;=0.1,0.7,I171&gt;=0.05,0.4,TRUE,0),0))</f>
        <v>1</v>
      </c>
      <c r="L171" s="57">
        <f t="shared" ref="L171:L172" si="34">IF($K171=0,0,$K171 / SUMIFS($K:$K,$A:$A,$A171,$D:$D,"Grenade"))</f>
        <v>1</v>
      </c>
    </row>
    <row r="172" spans="1:12" ht="15" customHeight="1" x14ac:dyDescent="0.25">
      <c r="A172" s="42" t="str" cm="1">
        <f t="array" ref="A172">IFERROR(INDEX(_xlfn._xlws.FILTER(Class_Players!A:A,Class_Players!B:B="Support"),QUOTIENT(ROW()-ROW($A$2),9)+1),"")</f>
        <v>XX_Kichon_IV</v>
      </c>
      <c r="B172" s="42" t="str">
        <f>_xlfn.XLOOKUP(A172,Class_Players!$A:$A,Class_Players!$B:$B,"")</f>
        <v>Support</v>
      </c>
      <c r="C172" s="38" t="str" cm="1">
        <f t="array" ref="C172">INDEX(Lookups!$D$2:$D$10,MOD(ROW()-ROW($B$2),ROWS(Lookups!$D$2:$D$10))+1)</f>
        <v>Incendiary Grenade</v>
      </c>
      <c r="D172" s="38" t="str">
        <f>_xlfn.XLOOKUP(C172,Analysis_Gadgets!$C:$C,Analysis_Gadgets!$B:$B)</f>
        <v>Grenade</v>
      </c>
      <c r="E172" s="43">
        <v>30</v>
      </c>
      <c r="F172" s="43">
        <f>_xlfn.XLOOKUP(A172,Class_Players!A:A,Class_Players!G:G)</f>
        <v>285</v>
      </c>
      <c r="G172" s="43">
        <f t="shared" si="24"/>
        <v>0.10526315789473684</v>
      </c>
      <c r="H172" s="43">
        <f>_xlfn.XLOOKUP(A172,Class_Players!$A:$A,Class_Players!$F:$F,"")</f>
        <v>15657</v>
      </c>
      <c r="I172" s="44">
        <f t="shared" si="25"/>
        <v>1.9160758766047135E-3</v>
      </c>
      <c r="J172" s="43">
        <f t="shared" si="26"/>
        <v>0</v>
      </c>
      <c r="K172" s="44" cm="1">
        <f t="array" ref="K172">IF(D172="Gadget",_xlfn.IFS(I172&gt;=0.2,0.5,I172&gt;=0.1,0.35,I172&gt;=0.05,0.2,TRUE,0),IF(D172="Grenade",_xlfn.IFS(I172&gt;=0.2,1,I172&gt;=0.1,0.7,I172&gt;=0.05,0.4,TRUE,0),0))</f>
        <v>0</v>
      </c>
      <c r="L172" s="57">
        <f t="shared" si="34"/>
        <v>0</v>
      </c>
    </row>
    <row r="173" spans="1:12" ht="15" customHeight="1" x14ac:dyDescent="0.25">
      <c r="A173" s="42" t="str" cm="1">
        <f t="array" ref="A173">IFERROR(INDEX(_xlfn._xlws.FILTER(Class_Players!A:A,Class_Players!B:B="Support"),QUOTIENT(ROW()-ROW($A$2),9)+1),"")</f>
        <v>SadControllerPlayerOnPC</v>
      </c>
      <c r="B173" s="42" t="str">
        <f>_xlfn.XLOOKUP(A173,Class_Players!$A:$A,Class_Players!$B:$B,"")</f>
        <v>Support</v>
      </c>
      <c r="C173" s="38" t="str" cm="1">
        <f t="array" ref="C173">INDEX(Lookups!$D$2:$D$10,MOD(ROW()-ROW($B$2),ROWS(Lookups!$D$2:$D$10))+1)</f>
        <v>GPDIS (Grenade intercept system)</v>
      </c>
      <c r="D173" s="38" t="str">
        <f>_xlfn.XLOOKUP(C173,Analysis_Gadgets!$C:$C,Analysis_Gadgets!$B:$B)</f>
        <v>Gadget</v>
      </c>
      <c r="E173" s="43">
        <v>1</v>
      </c>
      <c r="F173" s="43">
        <f>_xlfn.XLOOKUP(A173,Class_Players!A:A,Class_Players!G:G)</f>
        <v>233</v>
      </c>
      <c r="G173" s="43">
        <f t="shared" si="24"/>
        <v>4.2918454935622317E-3</v>
      </c>
      <c r="H173" s="43">
        <f>_xlfn.XLOOKUP(A173,Class_Players!$A:$A,Class_Players!$F:$F,"")</f>
        <v>18427</v>
      </c>
      <c r="I173" s="44">
        <f t="shared" si="25"/>
        <v>5.4268193411841321E-5</v>
      </c>
      <c r="J173" s="43">
        <f t="shared" si="26"/>
        <v>0</v>
      </c>
      <c r="K173" s="44" cm="1">
        <f t="array" ref="K173">IF(D173="Gadget",_xlfn.IFS(I173&gt;=0.2,0.5,I173&gt;=0.1,0.35,I173&gt;=0.05,0.2,TRUE,0),IF(D173="Grenade",_xlfn.IFS(I173&gt;=0.2,1,I173&gt;=0.1,0.7,I173&gt;=0.05,0.4,TRUE,0),0))</f>
        <v>0</v>
      </c>
      <c r="L173" s="57">
        <f t="shared" ref="L173:L179" si="35">IF($K173=0,0,$K173 / SUMIFS($K:$K,$A:$A,$A173,$D:$D,"Gadget"))</f>
        <v>0</v>
      </c>
    </row>
    <row r="174" spans="1:12" ht="15" customHeight="1" x14ac:dyDescent="0.25">
      <c r="A174" s="42" t="str" cm="1">
        <f t="array" ref="A174">IFERROR(INDEX(_xlfn._xlws.FILTER(Class_Players!A:A,Class_Players!B:B="Support"),QUOTIENT(ROW()-ROW($A$2),9)+1),"")</f>
        <v>SadControllerPlayerOnPC</v>
      </c>
      <c r="B174" s="42" t="str">
        <f>_xlfn.XLOOKUP(A174,Class_Players!$A:$A,Class_Players!$B:$B,"")</f>
        <v>Support</v>
      </c>
      <c r="C174" s="38" t="str" cm="1">
        <f t="array" ref="C174">INDEX(Lookups!$D$2:$D$10,MOD(ROW()-ROW($B$2),ROWS(Lookups!$D$2:$D$10))+1)</f>
        <v>MP-APS (Missile intercept system)</v>
      </c>
      <c r="D174" s="38" t="str">
        <f>_xlfn.XLOOKUP(C174,Analysis_Gadgets!$C:$C,Analysis_Gadgets!$B:$B)</f>
        <v>Gadget</v>
      </c>
      <c r="E174" s="43">
        <v>0</v>
      </c>
      <c r="F174" s="43">
        <f>_xlfn.XLOOKUP(A174,Class_Players!A:A,Class_Players!G:G)</f>
        <v>233</v>
      </c>
      <c r="G174" s="43">
        <f t="shared" si="24"/>
        <v>0</v>
      </c>
      <c r="H174" s="43">
        <f>_xlfn.XLOOKUP(A174,Class_Players!$A:$A,Class_Players!$F:$F,"")</f>
        <v>18427</v>
      </c>
      <c r="I174" s="44">
        <f t="shared" si="25"/>
        <v>0</v>
      </c>
      <c r="J174" s="43">
        <f t="shared" si="26"/>
        <v>0</v>
      </c>
      <c r="K174" s="44" cm="1">
        <f t="array" ref="K174">IF(D174="Gadget",_xlfn.IFS(I174&gt;=0.2,0.5,I174&gt;=0.1,0.35,I174&gt;=0.05,0.2,TRUE,0),IF(D174="Grenade",_xlfn.IFS(I174&gt;=0.2,1,I174&gt;=0.1,0.7,I174&gt;=0.05,0.4,TRUE,0),0))</f>
        <v>0</v>
      </c>
      <c r="L174" s="57">
        <f t="shared" si="35"/>
        <v>0</v>
      </c>
    </row>
    <row r="175" spans="1:12" ht="15" customHeight="1" x14ac:dyDescent="0.25">
      <c r="A175" s="42" t="str" cm="1">
        <f t="array" ref="A175">IFERROR(INDEX(_xlfn._xlws.FILTER(Class_Players!A:A,Class_Players!B:B="Support"),QUOTIENT(ROW()-ROW($A$2),9)+1),"")</f>
        <v>SadControllerPlayerOnPC</v>
      </c>
      <c r="B175" s="42" t="str">
        <f>_xlfn.XLOOKUP(A175,Class_Players!$A:$A,Class_Players!$B:$B,"")</f>
        <v>Support</v>
      </c>
      <c r="C175" s="38" t="str" cm="1">
        <f t="array" ref="C175">INDEX(Lookups!$D$2:$D$10,MOD(ROW()-ROW($B$2),ROWS(Lookups!$D$2:$D$10))+1)</f>
        <v>LWCMS (Mortar)</v>
      </c>
      <c r="D175" s="38" t="str">
        <f>_xlfn.XLOOKUP(C175,Analysis_Gadgets!$C:$C,Analysis_Gadgets!$B:$B)</f>
        <v>Gadget</v>
      </c>
      <c r="E175" s="43">
        <v>0</v>
      </c>
      <c r="F175" s="43">
        <f>_xlfn.XLOOKUP(A175,Class_Players!A:A,Class_Players!G:G)</f>
        <v>233</v>
      </c>
      <c r="G175" s="43">
        <f t="shared" si="24"/>
        <v>0</v>
      </c>
      <c r="H175" s="43">
        <f>_xlfn.XLOOKUP(A175,Class_Players!$A:$A,Class_Players!$F:$F,"")</f>
        <v>18427</v>
      </c>
      <c r="I175" s="44">
        <f t="shared" si="25"/>
        <v>0</v>
      </c>
      <c r="J175" s="43">
        <f t="shared" si="26"/>
        <v>0</v>
      </c>
      <c r="K175" s="44" cm="1">
        <f t="array" ref="K175">IF(D175="Gadget",_xlfn.IFS(I175&gt;=0.2,0.5,I175&gt;=0.1,0.35,I175&gt;=0.05,0.2,TRUE,0),IF(D175="Grenade",_xlfn.IFS(I175&gt;=0.2,1,I175&gt;=0.1,0.7,I175&gt;=0.05,0.4,TRUE,0),0))</f>
        <v>0</v>
      </c>
      <c r="L175" s="57">
        <f t="shared" si="35"/>
        <v>0</v>
      </c>
    </row>
    <row r="176" spans="1:12" ht="15" customHeight="1" x14ac:dyDescent="0.25">
      <c r="A176" s="42" t="str" cm="1">
        <f t="array" ref="A176">IFERROR(INDEX(_xlfn._xlws.FILTER(Class_Players!A:A,Class_Players!B:B="Support"),QUOTIENT(ROW()-ROW($A$2),9)+1),"")</f>
        <v>SadControllerPlayerOnPC</v>
      </c>
      <c r="B176" s="42" t="str">
        <f>_xlfn.XLOOKUP(A176,Class_Players!$A:$A,Class_Players!$B:$B,"")</f>
        <v>Support</v>
      </c>
      <c r="C176" s="38" t="str" cm="1">
        <f t="array" ref="C176">INDEX(Lookups!$D$2:$D$10,MOD(ROW()-ROW($B$2),ROWS(Lookups!$D$2:$D$10))+1)</f>
        <v>M320A1 SMK (Smoke Grenade Launcher)</v>
      </c>
      <c r="D176" s="38" t="str">
        <f>_xlfn.XLOOKUP(C176,Analysis_Gadgets!$C:$C,Analysis_Gadgets!$B:$B)</f>
        <v>Gadget</v>
      </c>
      <c r="E176" s="43">
        <v>3249</v>
      </c>
      <c r="F176" s="43">
        <f>_xlfn.XLOOKUP(A176,Class_Players!A:A,Class_Players!G:G)</f>
        <v>233</v>
      </c>
      <c r="G176" s="43">
        <f t="shared" si="24"/>
        <v>13.944206008583691</v>
      </c>
      <c r="H176" s="43">
        <f>_xlfn.XLOOKUP(A176,Class_Players!$A:$A,Class_Players!$F:$F,"")</f>
        <v>18427</v>
      </c>
      <c r="I176" s="44">
        <f t="shared" si="25"/>
        <v>0.17631736039507245</v>
      </c>
      <c r="J176" s="43">
        <f t="shared" si="26"/>
        <v>1</v>
      </c>
      <c r="K176" s="44" cm="1">
        <f t="array" ref="K176">IF(D176="Gadget",_xlfn.IFS(I176&gt;=0.2,0.5,I176&gt;=0.1,0.35,I176&gt;=0.05,0.2,TRUE,0),IF(D176="Grenade",_xlfn.IFS(I176&gt;=0.2,1,I176&gt;=0.1,0.7,I176&gt;=0.05,0.4,TRUE,0),0))</f>
        <v>0.35</v>
      </c>
      <c r="L176" s="57">
        <f t="shared" si="35"/>
        <v>1</v>
      </c>
    </row>
    <row r="177" spans="1:12" ht="15" customHeight="1" x14ac:dyDescent="0.25">
      <c r="A177" s="42" t="str" cm="1">
        <f t="array" ref="A177">IFERROR(INDEX(_xlfn._xlws.FILTER(Class_Players!A:A,Class_Players!B:B="Support"),QUOTIENT(ROW()-ROW($A$2),9)+1),"")</f>
        <v>SadControllerPlayerOnPC</v>
      </c>
      <c r="B177" s="42" t="str">
        <f>_xlfn.XLOOKUP(A177,Class_Players!$A:$A,Class_Players!$B:$B,"")</f>
        <v>Support</v>
      </c>
      <c r="C177" s="38" t="str" cm="1">
        <f t="array" ref="C177">INDEX(Lookups!$D$2:$D$10,MOD(ROW()-ROW($B$2),ROWS(Lookups!$D$2:$D$10))+1)</f>
        <v>SICH G1 WP (Incendiary Airburst Launcher)</v>
      </c>
      <c r="D177" s="38" t="str">
        <f>_xlfn.XLOOKUP(C177,Analysis_Gadgets!$C:$C,Analysis_Gadgets!$B:$B)</f>
        <v>Gadget</v>
      </c>
      <c r="E177" s="43">
        <v>0</v>
      </c>
      <c r="F177" s="43">
        <f>_xlfn.XLOOKUP(A177,Class_Players!A:A,Class_Players!G:G)</f>
        <v>233</v>
      </c>
      <c r="G177" s="43">
        <f t="shared" si="24"/>
        <v>0</v>
      </c>
      <c r="H177" s="43">
        <f>_xlfn.XLOOKUP(A177,Class_Players!$A:$A,Class_Players!$F:$F,"")</f>
        <v>18427</v>
      </c>
      <c r="I177" s="44">
        <f t="shared" si="25"/>
        <v>0</v>
      </c>
      <c r="J177" s="43">
        <f t="shared" si="26"/>
        <v>0</v>
      </c>
      <c r="K177" s="44" cm="1">
        <f t="array" ref="K177">IF(D177="Gadget",_xlfn.IFS(I177&gt;=0.2,0.5,I177&gt;=0.1,0.35,I177&gt;=0.05,0.2,TRUE,0),IF(D177="Grenade",_xlfn.IFS(I177&gt;=0.2,1,I177&gt;=0.1,0.7,I177&gt;=0.05,0.4,TRUE,0),0))</f>
        <v>0</v>
      </c>
      <c r="L177" s="57">
        <f t="shared" si="35"/>
        <v>0</v>
      </c>
    </row>
    <row r="178" spans="1:12" ht="15" customHeight="1" x14ac:dyDescent="0.25">
      <c r="A178" s="42" t="str" cm="1">
        <f t="array" ref="A178">IFERROR(INDEX(_xlfn._xlws.FILTER(Class_Players!A:A,Class_Players!B:B="Support"),QUOTIENT(ROW()-ROW($A$2),9)+1),"")</f>
        <v>SadControllerPlayerOnPC</v>
      </c>
      <c r="B178" s="42" t="str">
        <f>_xlfn.XLOOKUP(A178,Class_Players!$A:$A,Class_Players!$B:$B,"")</f>
        <v>Support</v>
      </c>
      <c r="C178" s="38" t="str" cm="1">
        <f t="array" ref="C178">INDEX(Lookups!$D$2:$D$10,MOD(ROW()-ROW($B$2),ROWS(Lookups!$D$2:$D$10))+1)</f>
        <v>Deployable Cover</v>
      </c>
      <c r="D178" s="38" t="str">
        <f>_xlfn.XLOOKUP(C178,Analysis_Gadgets!$C:$C,Analysis_Gadgets!$B:$B)</f>
        <v>Gadget</v>
      </c>
      <c r="E178" s="43">
        <v>550</v>
      </c>
      <c r="F178" s="43">
        <f>_xlfn.XLOOKUP(A178,Class_Players!A:A,Class_Players!G:G)</f>
        <v>233</v>
      </c>
      <c r="G178" s="43">
        <f t="shared" si="24"/>
        <v>2.3605150214592276</v>
      </c>
      <c r="H178" s="43">
        <f>_xlfn.XLOOKUP(A178,Class_Players!$A:$A,Class_Players!$F:$F,"")</f>
        <v>18427</v>
      </c>
      <c r="I178" s="44">
        <f t="shared" si="25"/>
        <v>2.9847506376512727E-2</v>
      </c>
      <c r="J178" s="43">
        <f t="shared" si="26"/>
        <v>0</v>
      </c>
      <c r="K178" s="44" cm="1">
        <f t="array" ref="K178">IF(D178="Gadget",_xlfn.IFS(I178&gt;=0.2,0.5,I178&gt;=0.1,0.35,I178&gt;=0.05,0.2,TRUE,0),IF(D178="Grenade",_xlfn.IFS(I178&gt;=0.2,1,I178&gt;=0.1,0.7,I178&gt;=0.05,0.4,TRUE,0),0))</f>
        <v>0</v>
      </c>
      <c r="L178" s="57">
        <f t="shared" si="35"/>
        <v>0</v>
      </c>
    </row>
    <row r="179" spans="1:12" ht="15" customHeight="1" x14ac:dyDescent="0.25">
      <c r="A179" s="42" t="str" cm="1">
        <f t="array" ref="A179">IFERROR(INDEX(_xlfn._xlws.FILTER(Class_Players!A:A,Class_Players!B:B="Support"),QUOTIENT(ROW()-ROW($A$2),9)+1),"")</f>
        <v>SadControllerPlayerOnPC</v>
      </c>
      <c r="B179" s="42" t="str">
        <f>_xlfn.XLOOKUP(A179,Class_Players!$A:$A,Class_Players!$B:$B,"")</f>
        <v>Support</v>
      </c>
      <c r="C179" s="38" t="str" cm="1">
        <f t="array" ref="C179">INDEX(Lookups!$D$2:$D$10,MOD(ROW()-ROW($B$2),ROWS(Lookups!$D$2:$D$10))+1)</f>
        <v>Supply Pouch</v>
      </c>
      <c r="D179" s="38" t="str">
        <f>_xlfn.XLOOKUP(C179,Analysis_Gadgets!$C:$C,Analysis_Gadgets!$B:$B)</f>
        <v>Gadget</v>
      </c>
      <c r="E179" s="43">
        <v>0</v>
      </c>
      <c r="F179" s="43">
        <f>_xlfn.XLOOKUP(A179,Class_Players!A:A,Class_Players!G:G)</f>
        <v>233</v>
      </c>
      <c r="G179" s="43">
        <f t="shared" si="24"/>
        <v>0</v>
      </c>
      <c r="H179" s="43">
        <f>_xlfn.XLOOKUP(A179,Class_Players!$A:$A,Class_Players!$F:$F,"")</f>
        <v>18427</v>
      </c>
      <c r="I179" s="44">
        <f t="shared" si="25"/>
        <v>0</v>
      </c>
      <c r="J179" s="43">
        <f t="shared" si="26"/>
        <v>0</v>
      </c>
      <c r="K179" s="44" cm="1">
        <f t="array" ref="K179">IF(D179="Gadget",_xlfn.IFS(I179&gt;=0.2,0.5,I179&gt;=0.1,0.35,I179&gt;=0.05,0.2,TRUE,0),IF(D179="Grenade",_xlfn.IFS(I179&gt;=0.2,1,I179&gt;=0.1,0.7,I179&gt;=0.05,0.4,TRUE,0),0))</f>
        <v>0</v>
      </c>
      <c r="L179" s="57">
        <f t="shared" si="35"/>
        <v>0</v>
      </c>
    </row>
    <row r="180" spans="1:12" ht="15" customHeight="1" x14ac:dyDescent="0.25">
      <c r="A180" s="42" t="str" cm="1">
        <f t="array" ref="A180">IFERROR(INDEX(_xlfn._xlws.FILTER(Class_Players!A:A,Class_Players!B:B="Support"),QUOTIENT(ROW()-ROW($A$2),9)+1),"")</f>
        <v>SadControllerPlayerOnPC</v>
      </c>
      <c r="B180" s="42" t="str">
        <f>_xlfn.XLOOKUP(A180,Class_Players!$A:$A,Class_Players!$B:$B,"")</f>
        <v>Support</v>
      </c>
      <c r="C180" s="38" t="str" cm="1">
        <f t="array" ref="C180">INDEX(Lookups!$D$2:$D$10,MOD(ROW()-ROW($B$2),ROWS(Lookups!$D$2:$D$10))+1)</f>
        <v>Smoke Grenade</v>
      </c>
      <c r="D180" s="38" t="str">
        <f>_xlfn.XLOOKUP(C180,Analysis_Gadgets!$C:$C,Analysis_Gadgets!$B:$B)</f>
        <v>Grenade</v>
      </c>
      <c r="E180" s="43">
        <v>114</v>
      </c>
      <c r="F180" s="43">
        <f>_xlfn.XLOOKUP(A180,Class_Players!A:A,Class_Players!G:G)</f>
        <v>233</v>
      </c>
      <c r="G180" s="43">
        <f t="shared" si="24"/>
        <v>0.48927038626609443</v>
      </c>
      <c r="H180" s="43">
        <f>_xlfn.XLOOKUP(A180,Class_Players!$A:$A,Class_Players!$F:$F,"")</f>
        <v>18427</v>
      </c>
      <c r="I180" s="44">
        <f t="shared" si="25"/>
        <v>6.1865740489499103E-3</v>
      </c>
      <c r="J180" s="43">
        <f t="shared" si="26"/>
        <v>0</v>
      </c>
      <c r="K180" s="44" cm="1">
        <f t="array" ref="K180">IF(D180="Gadget",_xlfn.IFS(I180&gt;=0.2,0.5,I180&gt;=0.1,0.35,I180&gt;=0.05,0.2,TRUE,0),IF(D180="Grenade",_xlfn.IFS(I180&gt;=0.2,1,I180&gt;=0.1,0.7,I180&gt;=0.05,0.4,TRUE,0),0))</f>
        <v>0</v>
      </c>
      <c r="L180" s="57">
        <f t="shared" ref="L180:L181" si="36">IF($K180=0,0,$K180 / SUMIFS($K:$K,$A:$A,$A180,$D:$D,"Grenade"))</f>
        <v>0</v>
      </c>
    </row>
    <row r="181" spans="1:12" ht="15" customHeight="1" x14ac:dyDescent="0.25">
      <c r="A181" s="42" t="str" cm="1">
        <f t="array" ref="A181">IFERROR(INDEX(_xlfn._xlws.FILTER(Class_Players!A:A,Class_Players!B:B="Support"),QUOTIENT(ROW()-ROW($A$2),9)+1),"")</f>
        <v>SadControllerPlayerOnPC</v>
      </c>
      <c r="B181" s="42" t="str">
        <f>_xlfn.XLOOKUP(A181,Class_Players!$A:$A,Class_Players!$B:$B,"")</f>
        <v>Support</v>
      </c>
      <c r="C181" s="38" t="str" cm="1">
        <f t="array" ref="C181">INDEX(Lookups!$D$2:$D$10,MOD(ROW()-ROW($B$2),ROWS(Lookups!$D$2:$D$10))+1)</f>
        <v>Incendiary Grenade</v>
      </c>
      <c r="D181" s="38" t="str">
        <f>_xlfn.XLOOKUP(C181,Analysis_Gadgets!$C:$C,Analysis_Gadgets!$B:$B)</f>
        <v>Grenade</v>
      </c>
      <c r="E181" s="43">
        <v>8660</v>
      </c>
      <c r="F181" s="43">
        <f>_xlfn.XLOOKUP(A181,Class_Players!A:A,Class_Players!G:G)</f>
        <v>233</v>
      </c>
      <c r="G181" s="43">
        <f t="shared" si="24"/>
        <v>37.167381974248926</v>
      </c>
      <c r="H181" s="43">
        <f>_xlfn.XLOOKUP(A181,Class_Players!$A:$A,Class_Players!$F:$F,"")</f>
        <v>18427</v>
      </c>
      <c r="I181" s="44">
        <f t="shared" si="25"/>
        <v>0.46996255494654582</v>
      </c>
      <c r="J181" s="43">
        <f t="shared" si="26"/>
        <v>1</v>
      </c>
      <c r="K181" s="44" cm="1">
        <f t="array" ref="K181">IF(D181="Gadget",_xlfn.IFS(I181&gt;=0.2,0.5,I181&gt;=0.1,0.35,I181&gt;=0.05,0.2,TRUE,0),IF(D181="Grenade",_xlfn.IFS(I181&gt;=0.2,1,I181&gt;=0.1,0.7,I181&gt;=0.05,0.4,TRUE,0),0))</f>
        <v>1</v>
      </c>
      <c r="L181" s="57">
        <f t="shared" si="36"/>
        <v>1</v>
      </c>
    </row>
    <row r="182" spans="1:12" ht="15" customHeight="1" x14ac:dyDescent="0.25">
      <c r="A182" s="42" t="str" cm="1">
        <f t="array" ref="A182">IFERROR(INDEX(_xlfn._xlws.FILTER(Class_Players!A:A,Class_Players!B:B="Support"),QUOTIENT(ROW()-ROW($A$2),9)+1),"")</f>
        <v>SGT_KHALIL</v>
      </c>
      <c r="B182" s="42" t="str">
        <f>_xlfn.XLOOKUP(A182,Class_Players!$A:$A,Class_Players!$B:$B,"")</f>
        <v>Support</v>
      </c>
      <c r="C182" s="38" t="str" cm="1">
        <f t="array" ref="C182">INDEX(Lookups!$D$2:$D$10,MOD(ROW()-ROW($B$2),ROWS(Lookups!$D$2:$D$10))+1)</f>
        <v>GPDIS (Grenade intercept system)</v>
      </c>
      <c r="D182" s="38" t="str">
        <f>_xlfn.XLOOKUP(C182,Analysis_Gadgets!$C:$C,Analysis_Gadgets!$B:$B)</f>
        <v>Gadget</v>
      </c>
      <c r="E182" s="43">
        <v>134</v>
      </c>
      <c r="F182" s="43">
        <f>_xlfn.XLOOKUP(A182,Class_Players!A:A,Class_Players!G:G)</f>
        <v>314</v>
      </c>
      <c r="G182" s="43">
        <f t="shared" si="24"/>
        <v>0.42675159235668791</v>
      </c>
      <c r="H182" s="43">
        <f>_xlfn.XLOOKUP(A182,Class_Players!$A:$A,Class_Players!$F:$F,"")</f>
        <v>15753</v>
      </c>
      <c r="I182" s="44">
        <f t="shared" si="25"/>
        <v>8.5063162572208469E-3</v>
      </c>
      <c r="J182" s="43">
        <f t="shared" si="26"/>
        <v>0</v>
      </c>
      <c r="K182" s="44" cm="1">
        <f t="array" ref="K182">IF(D182="Gadget",_xlfn.IFS(I182&gt;=0.2,0.5,I182&gt;=0.1,0.35,I182&gt;=0.05,0.2,TRUE,0),IF(D182="Grenade",_xlfn.IFS(I182&gt;=0.2,1,I182&gt;=0.1,0.7,I182&gt;=0.05,0.4,TRUE,0),0))</f>
        <v>0</v>
      </c>
      <c r="L182" s="57">
        <f t="shared" ref="L182:L188" si="37">IF($K182=0,0,$K182 / SUMIFS($K:$K,$A:$A,$A182,$D:$D,"Gadget"))</f>
        <v>0</v>
      </c>
    </row>
    <row r="183" spans="1:12" ht="15" customHeight="1" x14ac:dyDescent="0.25">
      <c r="A183" s="42" t="str" cm="1">
        <f t="array" ref="A183">IFERROR(INDEX(_xlfn._xlws.FILTER(Class_Players!A:A,Class_Players!B:B="Support"),QUOTIENT(ROW()-ROW($A$2),9)+1),"")</f>
        <v>SGT_KHALIL</v>
      </c>
      <c r="B183" s="42" t="str">
        <f>_xlfn.XLOOKUP(A183,Class_Players!$A:$A,Class_Players!$B:$B,"")</f>
        <v>Support</v>
      </c>
      <c r="C183" s="38" t="str" cm="1">
        <f t="array" ref="C183">INDEX(Lookups!$D$2:$D$10,MOD(ROW()-ROW($B$2),ROWS(Lookups!$D$2:$D$10))+1)</f>
        <v>MP-APS (Missile intercept system)</v>
      </c>
      <c r="D183" s="38" t="str">
        <f>_xlfn.XLOOKUP(C183,Analysis_Gadgets!$C:$C,Analysis_Gadgets!$B:$B)</f>
        <v>Gadget</v>
      </c>
      <c r="E183" s="43">
        <v>0</v>
      </c>
      <c r="F183" s="43">
        <f>_xlfn.XLOOKUP(A183,Class_Players!A:A,Class_Players!G:G)</f>
        <v>314</v>
      </c>
      <c r="G183" s="43">
        <f t="shared" si="24"/>
        <v>0</v>
      </c>
      <c r="H183" s="43">
        <f>_xlfn.XLOOKUP(A183,Class_Players!$A:$A,Class_Players!$F:$F,"")</f>
        <v>15753</v>
      </c>
      <c r="I183" s="44">
        <f t="shared" si="25"/>
        <v>0</v>
      </c>
      <c r="J183" s="43">
        <f t="shared" si="26"/>
        <v>0</v>
      </c>
      <c r="K183" s="44" cm="1">
        <f t="array" ref="K183">IF(D183="Gadget",_xlfn.IFS(I183&gt;=0.2,0.5,I183&gt;=0.1,0.35,I183&gt;=0.05,0.2,TRUE,0),IF(D183="Grenade",_xlfn.IFS(I183&gt;=0.2,1,I183&gt;=0.1,0.7,I183&gt;=0.05,0.4,TRUE,0),0))</f>
        <v>0</v>
      </c>
      <c r="L183" s="57">
        <f t="shared" si="37"/>
        <v>0</v>
      </c>
    </row>
    <row r="184" spans="1:12" ht="15" customHeight="1" x14ac:dyDescent="0.25">
      <c r="A184" s="42" t="str" cm="1">
        <f t="array" ref="A184">IFERROR(INDEX(_xlfn._xlws.FILTER(Class_Players!A:A,Class_Players!B:B="Support"),QUOTIENT(ROW()-ROW($A$2),9)+1),"")</f>
        <v>SGT_KHALIL</v>
      </c>
      <c r="B184" s="42" t="str">
        <f>_xlfn.XLOOKUP(A184,Class_Players!$A:$A,Class_Players!$B:$B,"")</f>
        <v>Support</v>
      </c>
      <c r="C184" s="38" t="str" cm="1">
        <f t="array" ref="C184">INDEX(Lookups!$D$2:$D$10,MOD(ROW()-ROW($B$2),ROWS(Lookups!$D$2:$D$10))+1)</f>
        <v>LWCMS (Mortar)</v>
      </c>
      <c r="D184" s="38" t="str">
        <f>_xlfn.XLOOKUP(C184,Analysis_Gadgets!$C:$C,Analysis_Gadgets!$B:$B)</f>
        <v>Gadget</v>
      </c>
      <c r="E184" s="43">
        <v>13</v>
      </c>
      <c r="F184" s="43">
        <f>_xlfn.XLOOKUP(A184,Class_Players!A:A,Class_Players!G:G)</f>
        <v>314</v>
      </c>
      <c r="G184" s="43">
        <f t="shared" si="24"/>
        <v>4.1401273885350316E-2</v>
      </c>
      <c r="H184" s="43">
        <f>_xlfn.XLOOKUP(A184,Class_Players!$A:$A,Class_Players!$F:$F,"")</f>
        <v>15753</v>
      </c>
      <c r="I184" s="44">
        <f t="shared" si="25"/>
        <v>8.2523963689455973E-4</v>
      </c>
      <c r="J184" s="43">
        <f t="shared" si="26"/>
        <v>0</v>
      </c>
      <c r="K184" s="44" cm="1">
        <f t="array" ref="K184">IF(D184="Gadget",_xlfn.IFS(I184&gt;=0.2,0.5,I184&gt;=0.1,0.35,I184&gt;=0.05,0.2,TRUE,0),IF(D184="Grenade",_xlfn.IFS(I184&gt;=0.2,1,I184&gt;=0.1,0.7,I184&gt;=0.05,0.4,TRUE,0),0))</f>
        <v>0</v>
      </c>
      <c r="L184" s="57">
        <f t="shared" si="37"/>
        <v>0</v>
      </c>
    </row>
    <row r="185" spans="1:12" ht="15" customHeight="1" x14ac:dyDescent="0.25">
      <c r="A185" s="42" t="str" cm="1">
        <f t="array" ref="A185">IFERROR(INDEX(_xlfn._xlws.FILTER(Class_Players!A:A,Class_Players!B:B="Support"),QUOTIENT(ROW()-ROW($A$2),9)+1),"")</f>
        <v>SGT_KHALIL</v>
      </c>
      <c r="B185" s="42" t="str">
        <f>_xlfn.XLOOKUP(A185,Class_Players!$A:$A,Class_Players!$B:$B,"")</f>
        <v>Support</v>
      </c>
      <c r="C185" s="38" t="str" cm="1">
        <f t="array" ref="C185">INDEX(Lookups!$D$2:$D$10,MOD(ROW()-ROW($B$2),ROWS(Lookups!$D$2:$D$10))+1)</f>
        <v>M320A1 SMK (Smoke Grenade Launcher)</v>
      </c>
      <c r="D185" s="38" t="str">
        <f>_xlfn.XLOOKUP(C185,Analysis_Gadgets!$C:$C,Analysis_Gadgets!$B:$B)</f>
        <v>Gadget</v>
      </c>
      <c r="E185" s="43">
        <v>0</v>
      </c>
      <c r="F185" s="43">
        <f>_xlfn.XLOOKUP(A185,Class_Players!A:A,Class_Players!G:G)</f>
        <v>314</v>
      </c>
      <c r="G185" s="43">
        <f t="shared" si="24"/>
        <v>0</v>
      </c>
      <c r="H185" s="43">
        <f>_xlfn.XLOOKUP(A185,Class_Players!$A:$A,Class_Players!$F:$F,"")</f>
        <v>15753</v>
      </c>
      <c r="I185" s="44">
        <f t="shared" si="25"/>
        <v>0</v>
      </c>
      <c r="J185" s="43">
        <f t="shared" si="26"/>
        <v>0</v>
      </c>
      <c r="K185" s="44" cm="1">
        <f t="array" ref="K185">IF(D185="Gadget",_xlfn.IFS(I185&gt;=0.2,0.5,I185&gt;=0.1,0.35,I185&gt;=0.05,0.2,TRUE,0),IF(D185="Grenade",_xlfn.IFS(I185&gt;=0.2,1,I185&gt;=0.1,0.7,I185&gt;=0.05,0.4,TRUE,0),0))</f>
        <v>0</v>
      </c>
      <c r="L185" s="57">
        <f t="shared" si="37"/>
        <v>0</v>
      </c>
    </row>
    <row r="186" spans="1:12" ht="15" customHeight="1" x14ac:dyDescent="0.25">
      <c r="A186" s="42" t="str" cm="1">
        <f t="array" ref="A186">IFERROR(INDEX(_xlfn._xlws.FILTER(Class_Players!A:A,Class_Players!B:B="Support"),QUOTIENT(ROW()-ROW($A$2),9)+1),"")</f>
        <v>SGT_KHALIL</v>
      </c>
      <c r="B186" s="42" t="str">
        <f>_xlfn.XLOOKUP(A186,Class_Players!$A:$A,Class_Players!$B:$B,"")</f>
        <v>Support</v>
      </c>
      <c r="C186" s="38" t="str" cm="1">
        <f t="array" ref="C186">INDEX(Lookups!$D$2:$D$10,MOD(ROW()-ROW($B$2),ROWS(Lookups!$D$2:$D$10))+1)</f>
        <v>SICH G1 WP (Incendiary Airburst Launcher)</v>
      </c>
      <c r="D186" s="38" t="str">
        <f>_xlfn.XLOOKUP(C186,Analysis_Gadgets!$C:$C,Analysis_Gadgets!$B:$B)</f>
        <v>Gadget</v>
      </c>
      <c r="E186" s="43">
        <v>93</v>
      </c>
      <c r="F186" s="43">
        <f>_xlfn.XLOOKUP(A186,Class_Players!A:A,Class_Players!G:G)</f>
        <v>314</v>
      </c>
      <c r="G186" s="43">
        <f t="shared" si="24"/>
        <v>0.29617834394904458</v>
      </c>
      <c r="H186" s="43">
        <f>_xlfn.XLOOKUP(A186,Class_Players!$A:$A,Class_Players!$F:$F,"")</f>
        <v>15753</v>
      </c>
      <c r="I186" s="44">
        <f t="shared" si="25"/>
        <v>5.9036374023995431E-3</v>
      </c>
      <c r="J186" s="43">
        <f t="shared" si="26"/>
        <v>0</v>
      </c>
      <c r="K186" s="44" cm="1">
        <f t="array" ref="K186">IF(D186="Gadget",_xlfn.IFS(I186&gt;=0.2,0.5,I186&gt;=0.1,0.35,I186&gt;=0.05,0.2,TRUE,0),IF(D186="Grenade",_xlfn.IFS(I186&gt;=0.2,1,I186&gt;=0.1,0.7,I186&gt;=0.05,0.4,TRUE,0),0))</f>
        <v>0</v>
      </c>
      <c r="L186" s="57">
        <f t="shared" si="37"/>
        <v>0</v>
      </c>
    </row>
    <row r="187" spans="1:12" ht="15" customHeight="1" x14ac:dyDescent="0.25">
      <c r="A187" s="42" t="str" cm="1">
        <f t="array" ref="A187">IFERROR(INDEX(_xlfn._xlws.FILTER(Class_Players!A:A,Class_Players!B:B="Support"),QUOTIENT(ROW()-ROW($A$2),9)+1),"")</f>
        <v>SGT_KHALIL</v>
      </c>
      <c r="B187" s="42" t="str">
        <f>_xlfn.XLOOKUP(A187,Class_Players!$A:$A,Class_Players!$B:$B,"")</f>
        <v>Support</v>
      </c>
      <c r="C187" s="38" t="str" cm="1">
        <f t="array" ref="C187">INDEX(Lookups!$D$2:$D$10,MOD(ROW()-ROW($B$2),ROWS(Lookups!$D$2:$D$10))+1)</f>
        <v>Deployable Cover</v>
      </c>
      <c r="D187" s="38" t="str">
        <f>_xlfn.XLOOKUP(C187,Analysis_Gadgets!$C:$C,Analysis_Gadgets!$B:$B)</f>
        <v>Gadget</v>
      </c>
      <c r="E187" s="43">
        <v>792</v>
      </c>
      <c r="F187" s="43">
        <f>_xlfn.XLOOKUP(A187,Class_Players!A:A,Class_Players!G:G)</f>
        <v>314</v>
      </c>
      <c r="G187" s="43">
        <f t="shared" si="24"/>
        <v>2.5222929936305731</v>
      </c>
      <c r="H187" s="43">
        <f>_xlfn.XLOOKUP(A187,Class_Players!$A:$A,Class_Players!$F:$F,"")</f>
        <v>15753</v>
      </c>
      <c r="I187" s="44">
        <f t="shared" si="25"/>
        <v>5.0276137878499334E-2</v>
      </c>
      <c r="J187" s="43">
        <f t="shared" si="26"/>
        <v>0</v>
      </c>
      <c r="K187" s="44" cm="1">
        <f t="array" ref="K187">IF(D187="Gadget",_xlfn.IFS(I187&gt;=0.2,0.5,I187&gt;=0.1,0.35,I187&gt;=0.05,0.2,TRUE,0),IF(D187="Grenade",_xlfn.IFS(I187&gt;=0.2,1,I187&gt;=0.1,0.7,I187&gt;=0.05,0.4,TRUE,0),0))</f>
        <v>0.2</v>
      </c>
      <c r="L187" s="57">
        <f t="shared" si="37"/>
        <v>1</v>
      </c>
    </row>
    <row r="188" spans="1:12" ht="15" customHeight="1" x14ac:dyDescent="0.25">
      <c r="A188" s="42" t="str" cm="1">
        <f t="array" ref="A188">IFERROR(INDEX(_xlfn._xlws.FILTER(Class_Players!A:A,Class_Players!B:B="Support"),QUOTIENT(ROW()-ROW($A$2),9)+1),"")</f>
        <v>SGT_KHALIL</v>
      </c>
      <c r="B188" s="42" t="str">
        <f>_xlfn.XLOOKUP(A188,Class_Players!$A:$A,Class_Players!$B:$B,"")</f>
        <v>Support</v>
      </c>
      <c r="C188" s="38" t="str" cm="1">
        <f t="array" ref="C188">INDEX(Lookups!$D$2:$D$10,MOD(ROW()-ROW($B$2),ROWS(Lookups!$D$2:$D$10))+1)</f>
        <v>Supply Pouch</v>
      </c>
      <c r="D188" s="38" t="str">
        <f>_xlfn.XLOOKUP(C188,Analysis_Gadgets!$C:$C,Analysis_Gadgets!$B:$B)</f>
        <v>Gadget</v>
      </c>
      <c r="E188" s="43">
        <v>34</v>
      </c>
      <c r="F188" s="43">
        <f>_xlfn.XLOOKUP(A188,Class_Players!A:A,Class_Players!G:G)</f>
        <v>314</v>
      </c>
      <c r="G188" s="43">
        <f t="shared" si="24"/>
        <v>0.10828025477707007</v>
      </c>
      <c r="H188" s="43">
        <f>_xlfn.XLOOKUP(A188,Class_Players!$A:$A,Class_Players!$F:$F,"")</f>
        <v>15753</v>
      </c>
      <c r="I188" s="44">
        <f t="shared" si="25"/>
        <v>2.158319050339618E-3</v>
      </c>
      <c r="J188" s="43">
        <f t="shared" si="26"/>
        <v>0</v>
      </c>
      <c r="K188" s="44" cm="1">
        <f t="array" ref="K188">IF(D188="Gadget",_xlfn.IFS(I188&gt;=0.2,0.5,I188&gt;=0.1,0.35,I188&gt;=0.05,0.2,TRUE,0),IF(D188="Grenade",_xlfn.IFS(I188&gt;=0.2,1,I188&gt;=0.1,0.7,I188&gt;=0.05,0.4,TRUE,0),0))</f>
        <v>0</v>
      </c>
      <c r="L188" s="57">
        <f t="shared" si="37"/>
        <v>0</v>
      </c>
    </row>
    <row r="189" spans="1:12" ht="15" customHeight="1" x14ac:dyDescent="0.25">
      <c r="A189" s="42" t="str" cm="1">
        <f t="array" ref="A189">IFERROR(INDEX(_xlfn._xlws.FILTER(Class_Players!A:A,Class_Players!B:B="Support"),QUOTIENT(ROW()-ROW($A$2),9)+1),"")</f>
        <v>SGT_KHALIL</v>
      </c>
      <c r="B189" s="42" t="str">
        <f>_xlfn.XLOOKUP(A189,Class_Players!$A:$A,Class_Players!$B:$B,"")</f>
        <v>Support</v>
      </c>
      <c r="C189" s="38" t="str" cm="1">
        <f t="array" ref="C189">INDEX(Lookups!$D$2:$D$10,MOD(ROW()-ROW($B$2),ROWS(Lookups!$D$2:$D$10))+1)</f>
        <v>Smoke Grenade</v>
      </c>
      <c r="D189" s="38" t="str">
        <f>_xlfn.XLOOKUP(C189,Analysis_Gadgets!$C:$C,Analysis_Gadgets!$B:$B)</f>
        <v>Grenade</v>
      </c>
      <c r="E189" s="43">
        <v>3641</v>
      </c>
      <c r="F189" s="43">
        <f>_xlfn.XLOOKUP(A189,Class_Players!A:A,Class_Players!G:G)</f>
        <v>314</v>
      </c>
      <c r="G189" s="43">
        <f t="shared" si="24"/>
        <v>11.595541401273886</v>
      </c>
      <c r="H189" s="43">
        <f>_xlfn.XLOOKUP(A189,Class_Players!$A:$A,Class_Players!$F:$F,"")</f>
        <v>15753</v>
      </c>
      <c r="I189" s="44">
        <f t="shared" si="25"/>
        <v>0.23113057830254555</v>
      </c>
      <c r="J189" s="43">
        <f t="shared" si="26"/>
        <v>1</v>
      </c>
      <c r="K189" s="44" cm="1">
        <f t="array" ref="K189">IF(D189="Gadget",_xlfn.IFS(I189&gt;=0.2,0.5,I189&gt;=0.1,0.35,I189&gt;=0.05,0.2,TRUE,0),IF(D189="Grenade",_xlfn.IFS(I189&gt;=0.2,1,I189&gt;=0.1,0.7,I189&gt;=0.05,0.4,TRUE,0),0))</f>
        <v>1</v>
      </c>
      <c r="L189" s="57">
        <f t="shared" ref="L189:L190" si="38">IF($K189=0,0,$K189 / SUMIFS($K:$K,$A:$A,$A189,$D:$D,"Grenade"))</f>
        <v>1</v>
      </c>
    </row>
    <row r="190" spans="1:12" ht="15" customHeight="1" x14ac:dyDescent="0.25">
      <c r="A190" s="42" t="str" cm="1">
        <f t="array" ref="A190">IFERROR(INDEX(_xlfn._xlws.FILTER(Class_Players!A:A,Class_Players!B:B="Support"),QUOTIENT(ROW()-ROW($A$2),9)+1),"")</f>
        <v>SGT_KHALIL</v>
      </c>
      <c r="B190" s="42" t="str">
        <f>_xlfn.XLOOKUP(A190,Class_Players!$A:$A,Class_Players!$B:$B,"")</f>
        <v>Support</v>
      </c>
      <c r="C190" s="38" t="str" cm="1">
        <f t="array" ref="C190">INDEX(Lookups!$D$2:$D$10,MOD(ROW()-ROW($B$2),ROWS(Lookups!$D$2:$D$10))+1)</f>
        <v>Incendiary Grenade</v>
      </c>
      <c r="D190" s="38" t="str">
        <f>_xlfn.XLOOKUP(C190,Analysis_Gadgets!$C:$C,Analysis_Gadgets!$B:$B)</f>
        <v>Grenade</v>
      </c>
      <c r="E190" s="43">
        <v>0</v>
      </c>
      <c r="F190" s="43">
        <f>_xlfn.XLOOKUP(A190,Class_Players!A:A,Class_Players!G:G)</f>
        <v>314</v>
      </c>
      <c r="G190" s="43">
        <f t="shared" si="24"/>
        <v>0</v>
      </c>
      <c r="H190" s="43">
        <f>_xlfn.XLOOKUP(A190,Class_Players!$A:$A,Class_Players!$F:$F,"")</f>
        <v>15753</v>
      </c>
      <c r="I190" s="44">
        <f t="shared" si="25"/>
        <v>0</v>
      </c>
      <c r="J190" s="43">
        <f t="shared" si="26"/>
        <v>0</v>
      </c>
      <c r="K190" s="44" cm="1">
        <f t="array" ref="K190">IF(D190="Gadget",_xlfn.IFS(I190&gt;=0.2,0.5,I190&gt;=0.1,0.35,I190&gt;=0.05,0.2,TRUE,0),IF(D190="Grenade",_xlfn.IFS(I190&gt;=0.2,1,I190&gt;=0.1,0.7,I190&gt;=0.05,0.4,TRUE,0),0))</f>
        <v>0</v>
      </c>
      <c r="L190" s="57">
        <f t="shared" si="38"/>
        <v>0</v>
      </c>
    </row>
    <row r="191" spans="1:12" ht="15" customHeight="1" x14ac:dyDescent="0.25">
      <c r="A191" s="42" t="str" cm="1">
        <f t="array" ref="A191">IFERROR(INDEX(_xlfn._xlws.FILTER(Class_Players!A:A,Class_Players!B:B="Support"),QUOTIENT(ROW()-ROW($A$2),9)+1),"")</f>
        <v>OCTOGUE</v>
      </c>
      <c r="B191" s="42" t="str">
        <f>_xlfn.XLOOKUP(A191,Class_Players!$A:$A,Class_Players!$B:$B,"")</f>
        <v>Support</v>
      </c>
      <c r="C191" s="38" t="str" cm="1">
        <f t="array" ref="C191">INDEX(Lookups!$D$2:$D$10,MOD(ROW()-ROW($B$2),ROWS(Lookups!$D$2:$D$10))+1)</f>
        <v>GPDIS (Grenade intercept system)</v>
      </c>
      <c r="D191" s="38" t="str">
        <f>_xlfn.XLOOKUP(C191,Analysis_Gadgets!$C:$C,Analysis_Gadgets!$B:$B)</f>
        <v>Gadget</v>
      </c>
      <c r="E191" s="43">
        <v>13</v>
      </c>
      <c r="F191" s="43">
        <f>_xlfn.XLOOKUP(A191,Class_Players!A:A,Class_Players!G:G)</f>
        <v>242</v>
      </c>
      <c r="G191" s="43">
        <f t="shared" si="24"/>
        <v>5.3719008264462811E-2</v>
      </c>
      <c r="H191" s="43">
        <f>_xlfn.XLOOKUP(A191,Class_Players!$A:$A,Class_Players!$F:$F,"")</f>
        <v>14828</v>
      </c>
      <c r="I191" s="44">
        <f t="shared" si="25"/>
        <v>8.767197194496898E-4</v>
      </c>
      <c r="J191" s="43">
        <f t="shared" si="26"/>
        <v>0</v>
      </c>
      <c r="K191" s="44" cm="1">
        <f t="array" ref="K191">IF(D191="Gadget",_xlfn.IFS(I191&gt;=0.2,0.5,I191&gt;=0.1,0.35,I191&gt;=0.05,0.2,TRUE,0),IF(D191="Grenade",_xlfn.IFS(I191&gt;=0.2,1,I191&gt;=0.1,0.7,I191&gt;=0.05,0.4,TRUE,0),0))</f>
        <v>0</v>
      </c>
      <c r="L191" s="57">
        <f t="shared" ref="L191:L197" si="39">IF($K191=0,0,$K191 / SUMIFS($K:$K,$A:$A,$A191,$D:$D,"Gadget"))</f>
        <v>0</v>
      </c>
    </row>
    <row r="192" spans="1:12" ht="15" customHeight="1" x14ac:dyDescent="0.25">
      <c r="A192" s="42" t="str" cm="1">
        <f t="array" ref="A192">IFERROR(INDEX(_xlfn._xlws.FILTER(Class_Players!A:A,Class_Players!B:B="Support"),QUOTIENT(ROW()-ROW($A$2),9)+1),"")</f>
        <v>OCTOGUE</v>
      </c>
      <c r="B192" s="42" t="str">
        <f>_xlfn.XLOOKUP(A192,Class_Players!$A:$A,Class_Players!$B:$B,"")</f>
        <v>Support</v>
      </c>
      <c r="C192" s="38" t="str" cm="1">
        <f t="array" ref="C192">INDEX(Lookups!$D$2:$D$10,MOD(ROW()-ROW($B$2),ROWS(Lookups!$D$2:$D$10))+1)</f>
        <v>MP-APS (Missile intercept system)</v>
      </c>
      <c r="D192" s="38" t="str">
        <f>_xlfn.XLOOKUP(C192,Analysis_Gadgets!$C:$C,Analysis_Gadgets!$B:$B)</f>
        <v>Gadget</v>
      </c>
      <c r="E192" s="43">
        <v>0</v>
      </c>
      <c r="F192" s="43">
        <f>_xlfn.XLOOKUP(A192,Class_Players!A:A,Class_Players!G:G)</f>
        <v>242</v>
      </c>
      <c r="G192" s="43">
        <f t="shared" si="24"/>
        <v>0</v>
      </c>
      <c r="H192" s="43">
        <f>_xlfn.XLOOKUP(A192,Class_Players!$A:$A,Class_Players!$F:$F,"")</f>
        <v>14828</v>
      </c>
      <c r="I192" s="44">
        <f t="shared" si="25"/>
        <v>0</v>
      </c>
      <c r="J192" s="43">
        <f t="shared" si="26"/>
        <v>0</v>
      </c>
      <c r="K192" s="44" cm="1">
        <f t="array" ref="K192">IF(D192="Gadget",_xlfn.IFS(I192&gt;=0.2,0.5,I192&gt;=0.1,0.35,I192&gt;=0.05,0.2,TRUE,0),IF(D192="Grenade",_xlfn.IFS(I192&gt;=0.2,1,I192&gt;=0.1,0.7,I192&gt;=0.05,0.4,TRUE,0),0))</f>
        <v>0</v>
      </c>
      <c r="L192" s="57">
        <f t="shared" si="39"/>
        <v>0</v>
      </c>
    </row>
    <row r="193" spans="1:12" ht="15" customHeight="1" x14ac:dyDescent="0.25">
      <c r="A193" s="42" t="str" cm="1">
        <f t="array" ref="A193">IFERROR(INDEX(_xlfn._xlws.FILTER(Class_Players!A:A,Class_Players!B:B="Support"),QUOTIENT(ROW()-ROW($A$2),9)+1),"")</f>
        <v>OCTOGUE</v>
      </c>
      <c r="B193" s="42" t="str">
        <f>_xlfn.XLOOKUP(A193,Class_Players!$A:$A,Class_Players!$B:$B,"")</f>
        <v>Support</v>
      </c>
      <c r="C193" s="38" t="str" cm="1">
        <f t="array" ref="C193">INDEX(Lookups!$D$2:$D$10,MOD(ROW()-ROW($B$2),ROWS(Lookups!$D$2:$D$10))+1)</f>
        <v>LWCMS (Mortar)</v>
      </c>
      <c r="D193" s="38" t="str">
        <f>_xlfn.XLOOKUP(C193,Analysis_Gadgets!$C:$C,Analysis_Gadgets!$B:$B)</f>
        <v>Gadget</v>
      </c>
      <c r="E193" s="43">
        <v>23</v>
      </c>
      <c r="F193" s="43">
        <f>_xlfn.XLOOKUP(A193,Class_Players!A:A,Class_Players!G:G)</f>
        <v>242</v>
      </c>
      <c r="G193" s="43">
        <f t="shared" si="24"/>
        <v>9.5041322314049589E-2</v>
      </c>
      <c r="H193" s="43">
        <f>_xlfn.XLOOKUP(A193,Class_Players!$A:$A,Class_Players!$F:$F,"")</f>
        <v>14828</v>
      </c>
      <c r="I193" s="44">
        <f t="shared" si="25"/>
        <v>1.5511195036417588E-3</v>
      </c>
      <c r="J193" s="43">
        <f t="shared" si="26"/>
        <v>0</v>
      </c>
      <c r="K193" s="44" cm="1">
        <f t="array" ref="K193">IF(D193="Gadget",_xlfn.IFS(I193&gt;=0.2,0.5,I193&gt;=0.1,0.35,I193&gt;=0.05,0.2,TRUE,0),IF(D193="Grenade",_xlfn.IFS(I193&gt;=0.2,1,I193&gt;=0.1,0.7,I193&gt;=0.05,0.4,TRUE,0),0))</f>
        <v>0</v>
      </c>
      <c r="L193" s="57">
        <f t="shared" si="39"/>
        <v>0</v>
      </c>
    </row>
    <row r="194" spans="1:12" ht="15" customHeight="1" x14ac:dyDescent="0.25">
      <c r="A194" s="42" t="str" cm="1">
        <f t="array" ref="A194">IFERROR(INDEX(_xlfn._xlws.FILTER(Class_Players!A:A,Class_Players!B:B="Support"),QUOTIENT(ROW()-ROW($A$2),9)+1),"")</f>
        <v>OCTOGUE</v>
      </c>
      <c r="B194" s="42" t="str">
        <f>_xlfn.XLOOKUP(A194,Class_Players!$A:$A,Class_Players!$B:$B,"")</f>
        <v>Support</v>
      </c>
      <c r="C194" s="38" t="str" cm="1">
        <f t="array" ref="C194">INDEX(Lookups!$D$2:$D$10,MOD(ROW()-ROW($B$2),ROWS(Lookups!$D$2:$D$10))+1)</f>
        <v>M320A1 SMK (Smoke Grenade Launcher)</v>
      </c>
      <c r="D194" s="38" t="str">
        <f>_xlfn.XLOOKUP(C194,Analysis_Gadgets!$C:$C,Analysis_Gadgets!$B:$B)</f>
        <v>Gadget</v>
      </c>
      <c r="E194" s="43">
        <v>6208</v>
      </c>
      <c r="F194" s="43">
        <f>_xlfn.XLOOKUP(A194,Class_Players!A:A,Class_Players!G:G)</f>
        <v>242</v>
      </c>
      <c r="G194" s="43">
        <f t="shared" si="24"/>
        <v>25.652892561983471</v>
      </c>
      <c r="H194" s="43">
        <f>_xlfn.XLOOKUP(A194,Class_Players!$A:$A,Class_Players!$F:$F,"")</f>
        <v>14828</v>
      </c>
      <c r="I194" s="44">
        <f t="shared" si="25"/>
        <v>0.41866738602643649</v>
      </c>
      <c r="J194" s="43">
        <f t="shared" si="26"/>
        <v>1</v>
      </c>
      <c r="K194" s="44" cm="1">
        <f t="array" ref="K194">IF(D194="Gadget",_xlfn.IFS(I194&gt;=0.2,0.5,I194&gt;=0.1,0.35,I194&gt;=0.05,0.2,TRUE,0),IF(D194="Grenade",_xlfn.IFS(I194&gt;=0.2,1,I194&gt;=0.1,0.7,I194&gt;=0.05,0.4,TRUE,0),0))</f>
        <v>0.5</v>
      </c>
      <c r="L194" s="57">
        <f t="shared" si="39"/>
        <v>1</v>
      </c>
    </row>
    <row r="195" spans="1:12" ht="15" customHeight="1" x14ac:dyDescent="0.25">
      <c r="A195" s="42" t="str" cm="1">
        <f t="array" ref="A195">IFERROR(INDEX(_xlfn._xlws.FILTER(Class_Players!A:A,Class_Players!B:B="Support"),QUOTIENT(ROW()-ROW($A$2),9)+1),"")</f>
        <v>OCTOGUE</v>
      </c>
      <c r="B195" s="42" t="str">
        <f>_xlfn.XLOOKUP(A195,Class_Players!$A:$A,Class_Players!$B:$B,"")</f>
        <v>Support</v>
      </c>
      <c r="C195" s="38" t="str" cm="1">
        <f t="array" ref="C195">INDEX(Lookups!$D$2:$D$10,MOD(ROW()-ROW($B$2),ROWS(Lookups!$D$2:$D$10))+1)</f>
        <v>SICH G1 WP (Incendiary Airburst Launcher)</v>
      </c>
      <c r="D195" s="38" t="str">
        <f>_xlfn.XLOOKUP(C195,Analysis_Gadgets!$C:$C,Analysis_Gadgets!$B:$B)</f>
        <v>Gadget</v>
      </c>
      <c r="E195" s="43">
        <v>0</v>
      </c>
      <c r="F195" s="43">
        <f>_xlfn.XLOOKUP(A195,Class_Players!A:A,Class_Players!G:G)</f>
        <v>242</v>
      </c>
      <c r="G195" s="43">
        <f t="shared" si="24"/>
        <v>0</v>
      </c>
      <c r="H195" s="43">
        <f>_xlfn.XLOOKUP(A195,Class_Players!$A:$A,Class_Players!$F:$F,"")</f>
        <v>14828</v>
      </c>
      <c r="I195" s="44">
        <f t="shared" si="25"/>
        <v>0</v>
      </c>
      <c r="J195" s="43">
        <f t="shared" si="26"/>
        <v>0</v>
      </c>
      <c r="K195" s="44" cm="1">
        <f t="array" ref="K195">IF(D195="Gadget",_xlfn.IFS(I195&gt;=0.2,0.5,I195&gt;=0.1,0.35,I195&gt;=0.05,0.2,TRUE,0),IF(D195="Grenade",_xlfn.IFS(I195&gt;=0.2,1,I195&gt;=0.1,0.7,I195&gt;=0.05,0.4,TRUE,0),0))</f>
        <v>0</v>
      </c>
      <c r="L195" s="57">
        <f t="shared" si="39"/>
        <v>0</v>
      </c>
    </row>
    <row r="196" spans="1:12" ht="15" customHeight="1" x14ac:dyDescent="0.25">
      <c r="A196" s="42" t="str" cm="1">
        <f t="array" ref="A196">IFERROR(INDEX(_xlfn._xlws.FILTER(Class_Players!A:A,Class_Players!B:B="Support"),QUOTIENT(ROW()-ROW($A$2),9)+1),"")</f>
        <v>OCTOGUE</v>
      </c>
      <c r="B196" s="42" t="str">
        <f>_xlfn.XLOOKUP(A196,Class_Players!$A:$A,Class_Players!$B:$B,"")</f>
        <v>Support</v>
      </c>
      <c r="C196" s="38" t="str" cm="1">
        <f t="array" ref="C196">INDEX(Lookups!$D$2:$D$10,MOD(ROW()-ROW($B$2),ROWS(Lookups!$D$2:$D$10))+1)</f>
        <v>Deployable Cover</v>
      </c>
      <c r="D196" s="38" t="str">
        <f>_xlfn.XLOOKUP(C196,Analysis_Gadgets!$C:$C,Analysis_Gadgets!$B:$B)</f>
        <v>Gadget</v>
      </c>
      <c r="E196" s="43">
        <v>233</v>
      </c>
      <c r="F196" s="43">
        <f>_xlfn.XLOOKUP(A196,Class_Players!A:A,Class_Players!G:G)</f>
        <v>242</v>
      </c>
      <c r="G196" s="43">
        <f t="shared" si="24"/>
        <v>0.96280991735537191</v>
      </c>
      <c r="H196" s="43">
        <f>_xlfn.XLOOKUP(A196,Class_Players!$A:$A,Class_Players!$F:$F,"")</f>
        <v>14828</v>
      </c>
      <c r="I196" s="44">
        <f t="shared" si="25"/>
        <v>1.571351497167521E-2</v>
      </c>
      <c r="J196" s="43">
        <f t="shared" si="26"/>
        <v>0</v>
      </c>
      <c r="K196" s="44" cm="1">
        <f t="array" ref="K196">IF(D196="Gadget",_xlfn.IFS(I196&gt;=0.2,0.5,I196&gt;=0.1,0.35,I196&gt;=0.05,0.2,TRUE,0),IF(D196="Grenade",_xlfn.IFS(I196&gt;=0.2,1,I196&gt;=0.1,0.7,I196&gt;=0.05,0.4,TRUE,0),0))</f>
        <v>0</v>
      </c>
      <c r="L196" s="57">
        <f t="shared" si="39"/>
        <v>0</v>
      </c>
    </row>
    <row r="197" spans="1:12" ht="15" customHeight="1" x14ac:dyDescent="0.25">
      <c r="A197" s="42" t="str" cm="1">
        <f t="array" ref="A197">IFERROR(INDEX(_xlfn._xlws.FILTER(Class_Players!A:A,Class_Players!B:B="Support"),QUOTIENT(ROW()-ROW($A$2),9)+1),"")</f>
        <v>OCTOGUE</v>
      </c>
      <c r="B197" s="42" t="str">
        <f>_xlfn.XLOOKUP(A197,Class_Players!$A:$A,Class_Players!$B:$B,"")</f>
        <v>Support</v>
      </c>
      <c r="C197" s="38" t="str" cm="1">
        <f t="array" ref="C197">INDEX(Lookups!$D$2:$D$10,MOD(ROW()-ROW($B$2),ROWS(Lookups!$D$2:$D$10))+1)</f>
        <v>Supply Pouch</v>
      </c>
      <c r="D197" s="38" t="str">
        <f>_xlfn.XLOOKUP(C197,Analysis_Gadgets!$C:$C,Analysis_Gadgets!$B:$B)</f>
        <v>Gadget</v>
      </c>
      <c r="E197" s="43">
        <v>0</v>
      </c>
      <c r="F197" s="43">
        <f>_xlfn.XLOOKUP(A197,Class_Players!A:A,Class_Players!G:G)</f>
        <v>242</v>
      </c>
      <c r="G197" s="43">
        <f t="shared" si="24"/>
        <v>0</v>
      </c>
      <c r="H197" s="43">
        <f>_xlfn.XLOOKUP(A197,Class_Players!$A:$A,Class_Players!$F:$F,"")</f>
        <v>14828</v>
      </c>
      <c r="I197" s="44">
        <f t="shared" si="25"/>
        <v>0</v>
      </c>
      <c r="J197" s="43">
        <f t="shared" si="26"/>
        <v>0</v>
      </c>
      <c r="K197" s="44" cm="1">
        <f t="array" ref="K197">IF(D197="Gadget",_xlfn.IFS(I197&gt;=0.2,0.5,I197&gt;=0.1,0.35,I197&gt;=0.05,0.2,TRUE,0),IF(D197="Grenade",_xlfn.IFS(I197&gt;=0.2,1,I197&gt;=0.1,0.7,I197&gt;=0.05,0.4,TRUE,0),0))</f>
        <v>0</v>
      </c>
      <c r="L197" s="57">
        <f t="shared" si="39"/>
        <v>0</v>
      </c>
    </row>
    <row r="198" spans="1:12" ht="15" customHeight="1" x14ac:dyDescent="0.25">
      <c r="A198" s="42" t="str" cm="1">
        <f t="array" ref="A198">IFERROR(INDEX(_xlfn._xlws.FILTER(Class_Players!A:A,Class_Players!B:B="Support"),QUOTIENT(ROW()-ROW($A$2),9)+1),"")</f>
        <v>OCTOGUE</v>
      </c>
      <c r="B198" s="42" t="str">
        <f>_xlfn.XLOOKUP(A198,Class_Players!$A:$A,Class_Players!$B:$B,"")</f>
        <v>Support</v>
      </c>
      <c r="C198" s="38" t="str" cm="1">
        <f t="array" ref="C198">INDEX(Lookups!$D$2:$D$10,MOD(ROW()-ROW($B$2),ROWS(Lookups!$D$2:$D$10))+1)</f>
        <v>Smoke Grenade</v>
      </c>
      <c r="D198" s="38" t="str">
        <f>_xlfn.XLOOKUP(C198,Analysis_Gadgets!$C:$C,Analysis_Gadgets!$B:$B)</f>
        <v>Grenade</v>
      </c>
      <c r="E198" s="43">
        <v>440</v>
      </c>
      <c r="F198" s="43">
        <f>_xlfn.XLOOKUP(A198,Class_Players!A:A,Class_Players!G:G)</f>
        <v>242</v>
      </c>
      <c r="G198" s="43">
        <f t="shared" si="24"/>
        <v>1.8181818181818181</v>
      </c>
      <c r="H198" s="43">
        <f>_xlfn.XLOOKUP(A198,Class_Players!$A:$A,Class_Players!$F:$F,"")</f>
        <v>14828</v>
      </c>
      <c r="I198" s="44">
        <f t="shared" si="25"/>
        <v>2.967359050445104E-2</v>
      </c>
      <c r="J198" s="43">
        <f t="shared" si="26"/>
        <v>0</v>
      </c>
      <c r="K198" s="44" cm="1">
        <f t="array" ref="K198">IF(D198="Gadget",_xlfn.IFS(I198&gt;=0.2,0.5,I198&gt;=0.1,0.35,I198&gt;=0.05,0.2,TRUE,0),IF(D198="Grenade",_xlfn.IFS(I198&gt;=0.2,1,I198&gt;=0.1,0.7,I198&gt;=0.05,0.4,TRUE,0),0))</f>
        <v>0</v>
      </c>
      <c r="L198" s="57">
        <f t="shared" ref="L198:L199" si="40">IF($K198=0,0,$K198 / SUMIFS($K:$K,$A:$A,$A198,$D:$D,"Grenade"))</f>
        <v>0</v>
      </c>
    </row>
    <row r="199" spans="1:12" ht="15" customHeight="1" x14ac:dyDescent="0.25">
      <c r="A199" s="42" t="str" cm="1">
        <f t="array" ref="A199">IFERROR(INDEX(_xlfn._xlws.FILTER(Class_Players!A:A,Class_Players!B:B="Support"),QUOTIENT(ROW()-ROW($A$2),9)+1),"")</f>
        <v>OCTOGUE</v>
      </c>
      <c r="B199" s="42" t="str">
        <f>_xlfn.XLOOKUP(A199,Class_Players!$A:$A,Class_Players!$B:$B,"")</f>
        <v>Support</v>
      </c>
      <c r="C199" s="38" t="str" cm="1">
        <f t="array" ref="C199">INDEX(Lookups!$D$2:$D$10,MOD(ROW()-ROW($B$2),ROWS(Lookups!$D$2:$D$10))+1)</f>
        <v>Incendiary Grenade</v>
      </c>
      <c r="D199" s="38" t="str">
        <f>_xlfn.XLOOKUP(C199,Analysis_Gadgets!$C:$C,Analysis_Gadgets!$B:$B)</f>
        <v>Grenade</v>
      </c>
      <c r="E199" s="43">
        <v>5270</v>
      </c>
      <c r="F199" s="43">
        <f>_xlfn.XLOOKUP(A199,Class_Players!A:A,Class_Players!G:G)</f>
        <v>242</v>
      </c>
      <c r="G199" s="43">
        <f t="shared" si="24"/>
        <v>21.776859504132233</v>
      </c>
      <c r="H199" s="43">
        <f>_xlfn.XLOOKUP(A199,Class_Players!$A:$A,Class_Players!$F:$F,"")</f>
        <v>14828</v>
      </c>
      <c r="I199" s="44">
        <f t="shared" si="25"/>
        <v>0.3554086862692204</v>
      </c>
      <c r="J199" s="43">
        <f t="shared" si="26"/>
        <v>1</v>
      </c>
      <c r="K199" s="44" cm="1">
        <f t="array" ref="K199">IF(D199="Gadget",_xlfn.IFS(I199&gt;=0.2,0.5,I199&gt;=0.1,0.35,I199&gt;=0.05,0.2,TRUE,0),IF(D199="Grenade",_xlfn.IFS(I199&gt;=0.2,1,I199&gt;=0.1,0.7,I199&gt;=0.05,0.4,TRUE,0),0))</f>
        <v>1</v>
      </c>
      <c r="L199" s="57">
        <f t="shared" si="40"/>
        <v>1</v>
      </c>
    </row>
    <row r="200" spans="1:12" ht="15" customHeight="1" x14ac:dyDescent="0.25">
      <c r="A200" s="42" t="str" cm="1">
        <f t="array" ref="A200">IFERROR(INDEX(_xlfn._xlws.FILTER(Class_Players!A:A,Class_Players!B:B="Support"),QUOTIENT(ROW()-ROW($A$2),9)+1),"")</f>
        <v>Akrokaiser</v>
      </c>
      <c r="B200" s="42" t="str">
        <f>_xlfn.XLOOKUP(A200,Class_Players!$A:$A,Class_Players!$B:$B,"")</f>
        <v>Support</v>
      </c>
      <c r="C200" s="38" t="str" cm="1">
        <f t="array" ref="C200">INDEX(Lookups!$D$2:$D$10,MOD(ROW()-ROW($B$2),ROWS(Lookups!$D$2:$D$10))+1)</f>
        <v>GPDIS (Grenade intercept system)</v>
      </c>
      <c r="D200" s="38" t="str">
        <f>_xlfn.XLOOKUP(C200,Analysis_Gadgets!$C:$C,Analysis_Gadgets!$B:$B)</f>
        <v>Gadget</v>
      </c>
      <c r="E200" s="43">
        <v>4104</v>
      </c>
      <c r="F200" s="43">
        <f>_xlfn.XLOOKUP(A200,Class_Players!A:A,Class_Players!G:G)</f>
        <v>234</v>
      </c>
      <c r="G200" s="43">
        <f t="shared" si="24"/>
        <v>17.53846153846154</v>
      </c>
      <c r="H200" s="43">
        <f>_xlfn.XLOOKUP(A200,Class_Players!$A:$A,Class_Players!$F:$F,"")</f>
        <v>144649</v>
      </c>
      <c r="I200" s="44">
        <f t="shared" si="25"/>
        <v>2.8372128393559581E-2</v>
      </c>
      <c r="J200" s="43">
        <f t="shared" si="26"/>
        <v>0</v>
      </c>
      <c r="K200" s="44" cm="1">
        <f t="array" ref="K200">IF(D200="Gadget",_xlfn.IFS(I200&gt;=0.2,0.5,I200&gt;=0.1,0.35,I200&gt;=0.05,0.2,TRUE,0),IF(D200="Grenade",_xlfn.IFS(I200&gt;=0.2,1,I200&gt;=0.1,0.7,I200&gt;=0.05,0.4,TRUE,0),0))</f>
        <v>0</v>
      </c>
      <c r="L200" s="57">
        <f t="shared" ref="L200:L206" si="41">IF($K200=0,0,$K200 / SUMIFS($K:$K,$A:$A,$A200,$D:$D,"Gadget"))</f>
        <v>0</v>
      </c>
    </row>
    <row r="201" spans="1:12" ht="15" customHeight="1" x14ac:dyDescent="0.25">
      <c r="A201" s="42" t="str" cm="1">
        <f t="array" ref="A201">IFERROR(INDEX(_xlfn._xlws.FILTER(Class_Players!A:A,Class_Players!B:B="Support"),QUOTIENT(ROW()-ROW($A$2),9)+1),"")</f>
        <v>Akrokaiser</v>
      </c>
      <c r="B201" s="42" t="str">
        <f>_xlfn.XLOOKUP(A201,Class_Players!$A:$A,Class_Players!$B:$B,"")</f>
        <v>Support</v>
      </c>
      <c r="C201" s="38" t="str" cm="1">
        <f t="array" ref="C201">INDEX(Lookups!$D$2:$D$10,MOD(ROW()-ROW($B$2),ROWS(Lookups!$D$2:$D$10))+1)</f>
        <v>MP-APS (Missile intercept system)</v>
      </c>
      <c r="D201" s="38" t="str">
        <f>_xlfn.XLOOKUP(C201,Analysis_Gadgets!$C:$C,Analysis_Gadgets!$B:$B)</f>
        <v>Gadget</v>
      </c>
      <c r="E201" s="43">
        <v>0</v>
      </c>
      <c r="F201" s="43">
        <f>_xlfn.XLOOKUP(A201,Class_Players!A:A,Class_Players!G:G)</f>
        <v>234</v>
      </c>
      <c r="G201" s="43">
        <f t="shared" ref="G201:G264" si="42">IF(F201=0,"",E201/(F201))</f>
        <v>0</v>
      </c>
      <c r="H201" s="43">
        <f>_xlfn.XLOOKUP(A201,Class_Players!$A:$A,Class_Players!$F:$F,"")</f>
        <v>144649</v>
      </c>
      <c r="I201" s="44">
        <f t="shared" ref="I201:I264" si="43">IF(H201=0,"",E201/H201)</f>
        <v>0</v>
      </c>
      <c r="J201" s="43">
        <f t="shared" ref="J201:J264" si="44">IF(I201&gt;=0.1,1,0)</f>
        <v>0</v>
      </c>
      <c r="K201" s="44" cm="1">
        <f t="array" ref="K201">IF(D201="Gadget",_xlfn.IFS(I201&gt;=0.2,0.5,I201&gt;=0.1,0.35,I201&gt;=0.05,0.2,TRUE,0),IF(D201="Grenade",_xlfn.IFS(I201&gt;=0.2,1,I201&gt;=0.1,0.7,I201&gt;=0.05,0.4,TRUE,0),0))</f>
        <v>0</v>
      </c>
      <c r="L201" s="57">
        <f t="shared" si="41"/>
        <v>0</v>
      </c>
    </row>
    <row r="202" spans="1:12" ht="15" customHeight="1" x14ac:dyDescent="0.25">
      <c r="A202" s="42" t="str" cm="1">
        <f t="array" ref="A202">IFERROR(INDEX(_xlfn._xlws.FILTER(Class_Players!A:A,Class_Players!B:B="Support"),QUOTIENT(ROW()-ROW($A$2),9)+1),"")</f>
        <v>Akrokaiser</v>
      </c>
      <c r="B202" s="42" t="str">
        <f>_xlfn.XLOOKUP(A202,Class_Players!$A:$A,Class_Players!$B:$B,"")</f>
        <v>Support</v>
      </c>
      <c r="C202" s="38" t="str" cm="1">
        <f t="array" ref="C202">INDEX(Lookups!$D$2:$D$10,MOD(ROW()-ROW($B$2),ROWS(Lookups!$D$2:$D$10))+1)</f>
        <v>LWCMS (Mortar)</v>
      </c>
      <c r="D202" s="38" t="str">
        <f>_xlfn.XLOOKUP(C202,Analysis_Gadgets!$C:$C,Analysis_Gadgets!$B:$B)</f>
        <v>Gadget</v>
      </c>
      <c r="E202" s="43">
        <v>0</v>
      </c>
      <c r="F202" s="43">
        <f>_xlfn.XLOOKUP(A202,Class_Players!A:A,Class_Players!G:G)</f>
        <v>234</v>
      </c>
      <c r="G202" s="43">
        <f t="shared" si="42"/>
        <v>0</v>
      </c>
      <c r="H202" s="43">
        <f>_xlfn.XLOOKUP(A202,Class_Players!$A:$A,Class_Players!$F:$F,"")</f>
        <v>144649</v>
      </c>
      <c r="I202" s="44">
        <f t="shared" si="43"/>
        <v>0</v>
      </c>
      <c r="J202" s="43">
        <f t="shared" si="44"/>
        <v>0</v>
      </c>
      <c r="K202" s="44" cm="1">
        <f t="array" ref="K202">IF(D202="Gadget",_xlfn.IFS(I202&gt;=0.2,0.5,I202&gt;=0.1,0.35,I202&gt;=0.05,0.2,TRUE,0),IF(D202="Grenade",_xlfn.IFS(I202&gt;=0.2,1,I202&gt;=0.1,0.7,I202&gt;=0.05,0.4,TRUE,0),0))</f>
        <v>0</v>
      </c>
      <c r="L202" s="57">
        <f t="shared" si="41"/>
        <v>0</v>
      </c>
    </row>
    <row r="203" spans="1:12" ht="15" customHeight="1" x14ac:dyDescent="0.25">
      <c r="A203" s="42" t="str" cm="1">
        <f t="array" ref="A203">IFERROR(INDEX(_xlfn._xlws.FILTER(Class_Players!A:A,Class_Players!B:B="Support"),QUOTIENT(ROW()-ROW($A$2),9)+1),"")</f>
        <v>Akrokaiser</v>
      </c>
      <c r="B203" s="42" t="str">
        <f>_xlfn.XLOOKUP(A203,Class_Players!$A:$A,Class_Players!$B:$B,"")</f>
        <v>Support</v>
      </c>
      <c r="C203" s="38" t="str" cm="1">
        <f t="array" ref="C203">INDEX(Lookups!$D$2:$D$10,MOD(ROW()-ROW($B$2),ROWS(Lookups!$D$2:$D$10))+1)</f>
        <v>M320A1 SMK (Smoke Grenade Launcher)</v>
      </c>
      <c r="D203" s="38" t="str">
        <f>_xlfn.XLOOKUP(C203,Analysis_Gadgets!$C:$C,Analysis_Gadgets!$B:$B)</f>
        <v>Gadget</v>
      </c>
      <c r="E203" s="43">
        <v>9</v>
      </c>
      <c r="F203" s="43">
        <f>_xlfn.XLOOKUP(A203,Class_Players!A:A,Class_Players!G:G)</f>
        <v>234</v>
      </c>
      <c r="G203" s="43">
        <f t="shared" si="42"/>
        <v>3.8461538461538464E-2</v>
      </c>
      <c r="H203" s="43">
        <f>_xlfn.XLOOKUP(A203,Class_Players!$A:$A,Class_Players!$F:$F,"")</f>
        <v>144649</v>
      </c>
      <c r="I203" s="44">
        <f t="shared" si="43"/>
        <v>6.2219579810437681E-5</v>
      </c>
      <c r="J203" s="43">
        <f t="shared" si="44"/>
        <v>0</v>
      </c>
      <c r="K203" s="44" cm="1">
        <f t="array" ref="K203">IF(D203="Gadget",_xlfn.IFS(I203&gt;=0.2,0.5,I203&gt;=0.1,0.35,I203&gt;=0.05,0.2,TRUE,0),IF(D203="Grenade",_xlfn.IFS(I203&gt;=0.2,1,I203&gt;=0.1,0.7,I203&gt;=0.05,0.4,TRUE,0),0))</f>
        <v>0</v>
      </c>
      <c r="L203" s="57">
        <f t="shared" si="41"/>
        <v>0</v>
      </c>
    </row>
    <row r="204" spans="1:12" ht="15" customHeight="1" x14ac:dyDescent="0.25">
      <c r="A204" s="42" t="str" cm="1">
        <f t="array" ref="A204">IFERROR(INDEX(_xlfn._xlws.FILTER(Class_Players!A:A,Class_Players!B:B="Support"),QUOTIENT(ROW()-ROW($A$2),9)+1),"")</f>
        <v>Akrokaiser</v>
      </c>
      <c r="B204" s="42" t="str">
        <f>_xlfn.XLOOKUP(A204,Class_Players!$A:$A,Class_Players!$B:$B,"")</f>
        <v>Support</v>
      </c>
      <c r="C204" s="38" t="str" cm="1">
        <f t="array" ref="C204">INDEX(Lookups!$D$2:$D$10,MOD(ROW()-ROW($B$2),ROWS(Lookups!$D$2:$D$10))+1)</f>
        <v>SICH G1 WP (Incendiary Airburst Launcher)</v>
      </c>
      <c r="D204" s="38" t="str">
        <f>_xlfn.XLOOKUP(C204,Analysis_Gadgets!$C:$C,Analysis_Gadgets!$B:$B)</f>
        <v>Gadget</v>
      </c>
      <c r="E204" s="43">
        <v>614</v>
      </c>
      <c r="F204" s="43">
        <f>_xlfn.XLOOKUP(A204,Class_Players!A:A,Class_Players!G:G)</f>
        <v>234</v>
      </c>
      <c r="G204" s="43">
        <f t="shared" si="42"/>
        <v>2.6239316239316239</v>
      </c>
      <c r="H204" s="43">
        <f>_xlfn.XLOOKUP(A204,Class_Players!$A:$A,Class_Players!$F:$F,"")</f>
        <v>144649</v>
      </c>
      <c r="I204" s="44">
        <f t="shared" si="43"/>
        <v>4.2447580004009704E-3</v>
      </c>
      <c r="J204" s="43">
        <f t="shared" si="44"/>
        <v>0</v>
      </c>
      <c r="K204" s="44" cm="1">
        <f t="array" ref="K204">IF(D204="Gadget",_xlfn.IFS(I204&gt;=0.2,0.5,I204&gt;=0.1,0.35,I204&gt;=0.05,0.2,TRUE,0),IF(D204="Grenade",_xlfn.IFS(I204&gt;=0.2,1,I204&gt;=0.1,0.7,I204&gt;=0.05,0.4,TRUE,0),0))</f>
        <v>0</v>
      </c>
      <c r="L204" s="57">
        <f t="shared" si="41"/>
        <v>0</v>
      </c>
    </row>
    <row r="205" spans="1:12" ht="15" customHeight="1" x14ac:dyDescent="0.25">
      <c r="A205" s="42" t="str" cm="1">
        <f t="array" ref="A205">IFERROR(INDEX(_xlfn._xlws.FILTER(Class_Players!A:A,Class_Players!B:B="Support"),QUOTIENT(ROW()-ROW($A$2),9)+1),"")</f>
        <v>Akrokaiser</v>
      </c>
      <c r="B205" s="42" t="str">
        <f>_xlfn.XLOOKUP(A205,Class_Players!$A:$A,Class_Players!$B:$B,"")</f>
        <v>Support</v>
      </c>
      <c r="C205" s="38" t="str" cm="1">
        <f t="array" ref="C205">INDEX(Lookups!$D$2:$D$10,MOD(ROW()-ROW($B$2),ROWS(Lookups!$D$2:$D$10))+1)</f>
        <v>Deployable Cover</v>
      </c>
      <c r="D205" s="38" t="str">
        <f>_xlfn.XLOOKUP(C205,Analysis_Gadgets!$C:$C,Analysis_Gadgets!$B:$B)</f>
        <v>Gadget</v>
      </c>
      <c r="E205" s="43">
        <v>1385</v>
      </c>
      <c r="F205" s="43">
        <f>_xlfn.XLOOKUP(A205,Class_Players!A:A,Class_Players!G:G)</f>
        <v>234</v>
      </c>
      <c r="G205" s="43">
        <f t="shared" si="42"/>
        <v>5.9188034188034191</v>
      </c>
      <c r="H205" s="43">
        <f>_xlfn.XLOOKUP(A205,Class_Players!$A:$A,Class_Players!$F:$F,"")</f>
        <v>144649</v>
      </c>
      <c r="I205" s="44">
        <f t="shared" si="43"/>
        <v>9.5749020041617991E-3</v>
      </c>
      <c r="J205" s="43">
        <f t="shared" si="44"/>
        <v>0</v>
      </c>
      <c r="K205" s="44" cm="1">
        <f t="array" ref="K205">IF(D205="Gadget",_xlfn.IFS(I205&gt;=0.2,0.5,I205&gt;=0.1,0.35,I205&gt;=0.05,0.2,TRUE,0),IF(D205="Grenade",_xlfn.IFS(I205&gt;=0.2,1,I205&gt;=0.1,0.7,I205&gt;=0.05,0.4,TRUE,0),0))</f>
        <v>0</v>
      </c>
      <c r="L205" s="57">
        <f t="shared" si="41"/>
        <v>0</v>
      </c>
    </row>
    <row r="206" spans="1:12" ht="15" customHeight="1" x14ac:dyDescent="0.25">
      <c r="A206" s="42" t="str" cm="1">
        <f t="array" ref="A206">IFERROR(INDEX(_xlfn._xlws.FILTER(Class_Players!A:A,Class_Players!B:B="Support"),QUOTIENT(ROW()-ROW($A$2),9)+1),"")</f>
        <v>Akrokaiser</v>
      </c>
      <c r="B206" s="42" t="str">
        <f>_xlfn.XLOOKUP(A206,Class_Players!$A:$A,Class_Players!$B:$B,"")</f>
        <v>Support</v>
      </c>
      <c r="C206" s="38" t="str" cm="1">
        <f t="array" ref="C206">INDEX(Lookups!$D$2:$D$10,MOD(ROW()-ROW($B$2),ROWS(Lookups!$D$2:$D$10))+1)</f>
        <v>Supply Pouch</v>
      </c>
      <c r="D206" s="38" t="str">
        <f>_xlfn.XLOOKUP(C206,Analysis_Gadgets!$C:$C,Analysis_Gadgets!$B:$B)</f>
        <v>Gadget</v>
      </c>
      <c r="E206" s="43">
        <v>2752</v>
      </c>
      <c r="F206" s="43">
        <f>_xlfn.XLOOKUP(A206,Class_Players!A:A,Class_Players!G:G)</f>
        <v>234</v>
      </c>
      <c r="G206" s="43">
        <f t="shared" si="42"/>
        <v>11.760683760683762</v>
      </c>
      <c r="H206" s="43">
        <f>_xlfn.XLOOKUP(A206,Class_Players!$A:$A,Class_Players!$F:$F,"")</f>
        <v>144649</v>
      </c>
      <c r="I206" s="44">
        <f t="shared" si="43"/>
        <v>1.9025364848702722E-2</v>
      </c>
      <c r="J206" s="43">
        <f t="shared" si="44"/>
        <v>0</v>
      </c>
      <c r="K206" s="44" cm="1">
        <f t="array" ref="K206">IF(D206="Gadget",_xlfn.IFS(I206&gt;=0.2,0.5,I206&gt;=0.1,0.35,I206&gt;=0.05,0.2,TRUE,0),IF(D206="Grenade",_xlfn.IFS(I206&gt;=0.2,1,I206&gt;=0.1,0.7,I206&gt;=0.05,0.4,TRUE,0),0))</f>
        <v>0</v>
      </c>
      <c r="L206" s="57">
        <f t="shared" si="41"/>
        <v>0</v>
      </c>
    </row>
    <row r="207" spans="1:12" ht="15" customHeight="1" x14ac:dyDescent="0.25">
      <c r="A207" s="42" t="str" cm="1">
        <f t="array" ref="A207">IFERROR(INDEX(_xlfn._xlws.FILTER(Class_Players!A:A,Class_Players!B:B="Support"),QUOTIENT(ROW()-ROW($A$2),9)+1),"")</f>
        <v>Akrokaiser</v>
      </c>
      <c r="B207" s="42" t="str">
        <f>_xlfn.XLOOKUP(A207,Class_Players!$A:$A,Class_Players!$B:$B,"")</f>
        <v>Support</v>
      </c>
      <c r="C207" s="38" t="str" cm="1">
        <f t="array" ref="C207">INDEX(Lookups!$D$2:$D$10,MOD(ROW()-ROW($B$2),ROWS(Lookups!$D$2:$D$10))+1)</f>
        <v>Smoke Grenade</v>
      </c>
      <c r="D207" s="38" t="str">
        <f>_xlfn.XLOOKUP(C207,Analysis_Gadgets!$C:$C,Analysis_Gadgets!$B:$B)</f>
        <v>Grenade</v>
      </c>
      <c r="E207" s="43">
        <v>4258</v>
      </c>
      <c r="F207" s="43">
        <f>_xlfn.XLOOKUP(A207,Class_Players!A:A,Class_Players!G:G)</f>
        <v>234</v>
      </c>
      <c r="G207" s="43">
        <f t="shared" si="42"/>
        <v>18.196581196581196</v>
      </c>
      <c r="H207" s="43">
        <f>_xlfn.XLOOKUP(A207,Class_Players!$A:$A,Class_Players!$F:$F,"")</f>
        <v>144649</v>
      </c>
      <c r="I207" s="44">
        <f t="shared" si="43"/>
        <v>2.9436774536982627E-2</v>
      </c>
      <c r="J207" s="43">
        <f t="shared" si="44"/>
        <v>0</v>
      </c>
      <c r="K207" s="44" cm="1">
        <f t="array" ref="K207">IF(D207="Gadget",_xlfn.IFS(I207&gt;=0.2,0.5,I207&gt;=0.1,0.35,I207&gt;=0.05,0.2,TRUE,0),IF(D207="Grenade",_xlfn.IFS(I207&gt;=0.2,1,I207&gt;=0.1,0.7,I207&gt;=0.05,0.4,TRUE,0),0))</f>
        <v>0</v>
      </c>
      <c r="L207" s="57">
        <f t="shared" ref="L207:L208" si="45">IF($K207=0,0,$K207 / SUMIFS($K:$K,$A:$A,$A207,$D:$D,"Grenade"))</f>
        <v>0</v>
      </c>
    </row>
    <row r="208" spans="1:12" ht="15" customHeight="1" x14ac:dyDescent="0.25">
      <c r="A208" s="42" t="str" cm="1">
        <f t="array" ref="A208">IFERROR(INDEX(_xlfn._xlws.FILTER(Class_Players!A:A,Class_Players!B:B="Support"),QUOTIENT(ROW()-ROW($A$2),9)+1),"")</f>
        <v>Akrokaiser</v>
      </c>
      <c r="B208" s="42" t="str">
        <f>_xlfn.XLOOKUP(A208,Class_Players!$A:$A,Class_Players!$B:$B,"")</f>
        <v>Support</v>
      </c>
      <c r="C208" s="38" t="str" cm="1">
        <f t="array" ref="C208">INDEX(Lookups!$D$2:$D$10,MOD(ROW()-ROW($B$2),ROWS(Lookups!$D$2:$D$10))+1)</f>
        <v>Incendiary Grenade</v>
      </c>
      <c r="D208" s="38" t="str">
        <f>_xlfn.XLOOKUP(C208,Analysis_Gadgets!$C:$C,Analysis_Gadgets!$B:$B)</f>
        <v>Grenade</v>
      </c>
      <c r="E208" s="43">
        <v>705</v>
      </c>
      <c r="F208" s="43">
        <f>_xlfn.XLOOKUP(A208,Class_Players!A:A,Class_Players!G:G)</f>
        <v>234</v>
      </c>
      <c r="G208" s="43">
        <f t="shared" si="42"/>
        <v>3.0128205128205128</v>
      </c>
      <c r="H208" s="43">
        <f>_xlfn.XLOOKUP(A208,Class_Players!$A:$A,Class_Players!$F:$F,"")</f>
        <v>144649</v>
      </c>
      <c r="I208" s="44">
        <f t="shared" si="43"/>
        <v>4.8738670851509519E-3</v>
      </c>
      <c r="J208" s="43">
        <f t="shared" si="44"/>
        <v>0</v>
      </c>
      <c r="K208" s="44" cm="1">
        <f t="array" ref="K208">IF(D208="Gadget",_xlfn.IFS(I208&gt;=0.2,0.5,I208&gt;=0.1,0.35,I208&gt;=0.05,0.2,TRUE,0),IF(D208="Grenade",_xlfn.IFS(I208&gt;=0.2,1,I208&gt;=0.1,0.7,I208&gt;=0.05,0.4,TRUE,0),0))</f>
        <v>0</v>
      </c>
      <c r="L208" s="57">
        <f t="shared" si="45"/>
        <v>0</v>
      </c>
    </row>
    <row r="209" spans="1:12" ht="15" customHeight="1" x14ac:dyDescent="0.25">
      <c r="A209" s="42" t="str" cm="1">
        <f t="array" ref="A209">IFERROR(INDEX(_xlfn._xlws.FILTER(Class_Players!A:A,Class_Players!B:B="Support"),QUOTIENT(ROW()-ROW($A$2),9)+1),"")</f>
        <v>DEMONIO1988</v>
      </c>
      <c r="B209" s="42" t="str">
        <f>_xlfn.XLOOKUP(A209,Class_Players!$A:$A,Class_Players!$B:$B,"")</f>
        <v>Support</v>
      </c>
      <c r="C209" s="38" t="str" cm="1">
        <f t="array" ref="C209">INDEX(Lookups!$D$2:$D$10,MOD(ROW()-ROW($B$2),ROWS(Lookups!$D$2:$D$10))+1)</f>
        <v>GPDIS (Grenade intercept system)</v>
      </c>
      <c r="D209" s="38" t="str">
        <f>_xlfn.XLOOKUP(C209,Analysis_Gadgets!$C:$C,Analysis_Gadgets!$B:$B)</f>
        <v>Gadget</v>
      </c>
      <c r="E209" s="43">
        <v>2</v>
      </c>
      <c r="F209" s="43">
        <f>_xlfn.XLOOKUP(A209,Class_Players!A:A,Class_Players!G:G)</f>
        <v>298</v>
      </c>
      <c r="G209" s="43">
        <f t="shared" si="42"/>
        <v>6.7114093959731542E-3</v>
      </c>
      <c r="H209" s="43">
        <f>_xlfn.XLOOKUP(A209,Class_Players!$A:$A,Class_Players!$F:$F,"")</f>
        <v>20152</v>
      </c>
      <c r="I209" s="44">
        <f t="shared" si="43"/>
        <v>9.9245732433505355E-5</v>
      </c>
      <c r="J209" s="43">
        <f t="shared" si="44"/>
        <v>0</v>
      </c>
      <c r="K209" s="44" cm="1">
        <f t="array" ref="K209">IF(D209="Gadget",_xlfn.IFS(I209&gt;=0.2,0.5,I209&gt;=0.1,0.35,I209&gt;=0.05,0.2,TRUE,0),IF(D209="Grenade",_xlfn.IFS(I209&gt;=0.2,1,I209&gt;=0.1,0.7,I209&gt;=0.05,0.4,TRUE,0),0))</f>
        <v>0</v>
      </c>
      <c r="L209" s="57">
        <f t="shared" ref="L209:L215" si="46">IF($K209=0,0,$K209 / SUMIFS($K:$K,$A:$A,$A209,$D:$D,"Gadget"))</f>
        <v>0</v>
      </c>
    </row>
    <row r="210" spans="1:12" ht="15" customHeight="1" x14ac:dyDescent="0.25">
      <c r="A210" s="42" t="str" cm="1">
        <f t="array" ref="A210">IFERROR(INDEX(_xlfn._xlws.FILTER(Class_Players!A:A,Class_Players!B:B="Support"),QUOTIENT(ROW()-ROW($A$2),9)+1),"")</f>
        <v>DEMONIO1988</v>
      </c>
      <c r="B210" s="42" t="str">
        <f>_xlfn.XLOOKUP(A210,Class_Players!$A:$A,Class_Players!$B:$B,"")</f>
        <v>Support</v>
      </c>
      <c r="C210" s="38" t="str" cm="1">
        <f t="array" ref="C210">INDEX(Lookups!$D$2:$D$10,MOD(ROW()-ROW($B$2),ROWS(Lookups!$D$2:$D$10))+1)</f>
        <v>MP-APS (Missile intercept system)</v>
      </c>
      <c r="D210" s="38" t="str">
        <f>_xlfn.XLOOKUP(C210,Analysis_Gadgets!$C:$C,Analysis_Gadgets!$B:$B)</f>
        <v>Gadget</v>
      </c>
      <c r="E210" s="43">
        <v>0</v>
      </c>
      <c r="F210" s="43">
        <f>_xlfn.XLOOKUP(A210,Class_Players!A:A,Class_Players!G:G)</f>
        <v>298</v>
      </c>
      <c r="G210" s="43">
        <f t="shared" si="42"/>
        <v>0</v>
      </c>
      <c r="H210" s="43">
        <f>_xlfn.XLOOKUP(A210,Class_Players!$A:$A,Class_Players!$F:$F,"")</f>
        <v>20152</v>
      </c>
      <c r="I210" s="44">
        <f t="shared" si="43"/>
        <v>0</v>
      </c>
      <c r="J210" s="43">
        <f t="shared" si="44"/>
        <v>0</v>
      </c>
      <c r="K210" s="44" cm="1">
        <f t="array" ref="K210">IF(D210="Gadget",_xlfn.IFS(I210&gt;=0.2,0.5,I210&gt;=0.1,0.35,I210&gt;=0.05,0.2,TRUE,0),IF(D210="Grenade",_xlfn.IFS(I210&gt;=0.2,1,I210&gt;=0.1,0.7,I210&gt;=0.05,0.4,TRUE,0),0))</f>
        <v>0</v>
      </c>
      <c r="L210" s="57">
        <f t="shared" si="46"/>
        <v>0</v>
      </c>
    </row>
    <row r="211" spans="1:12" ht="15" customHeight="1" x14ac:dyDescent="0.25">
      <c r="A211" s="42" t="str" cm="1">
        <f t="array" ref="A211">IFERROR(INDEX(_xlfn._xlws.FILTER(Class_Players!A:A,Class_Players!B:B="Support"),QUOTIENT(ROW()-ROW($A$2),9)+1),"")</f>
        <v>DEMONIO1988</v>
      </c>
      <c r="B211" s="42" t="str">
        <f>_xlfn.XLOOKUP(A211,Class_Players!$A:$A,Class_Players!$B:$B,"")</f>
        <v>Support</v>
      </c>
      <c r="C211" s="38" t="str" cm="1">
        <f t="array" ref="C211">INDEX(Lookups!$D$2:$D$10,MOD(ROW()-ROW($B$2),ROWS(Lookups!$D$2:$D$10))+1)</f>
        <v>LWCMS (Mortar)</v>
      </c>
      <c r="D211" s="38" t="str">
        <f>_xlfn.XLOOKUP(C211,Analysis_Gadgets!$C:$C,Analysis_Gadgets!$B:$B)</f>
        <v>Gadget</v>
      </c>
      <c r="E211" s="43">
        <v>3</v>
      </c>
      <c r="F211" s="43">
        <f>_xlfn.XLOOKUP(A211,Class_Players!A:A,Class_Players!G:G)</f>
        <v>298</v>
      </c>
      <c r="G211" s="43">
        <f t="shared" si="42"/>
        <v>1.0067114093959731E-2</v>
      </c>
      <c r="H211" s="43">
        <f>_xlfn.XLOOKUP(A211,Class_Players!$A:$A,Class_Players!$F:$F,"")</f>
        <v>20152</v>
      </c>
      <c r="I211" s="44">
        <f t="shared" si="43"/>
        <v>1.4886859865025803E-4</v>
      </c>
      <c r="J211" s="43">
        <f t="shared" si="44"/>
        <v>0</v>
      </c>
      <c r="K211" s="44" cm="1">
        <f t="array" ref="K211">IF(D211="Gadget",_xlfn.IFS(I211&gt;=0.2,0.5,I211&gt;=0.1,0.35,I211&gt;=0.05,0.2,TRUE,0),IF(D211="Grenade",_xlfn.IFS(I211&gt;=0.2,1,I211&gt;=0.1,0.7,I211&gt;=0.05,0.4,TRUE,0),0))</f>
        <v>0</v>
      </c>
      <c r="L211" s="57">
        <f t="shared" si="46"/>
        <v>0</v>
      </c>
    </row>
    <row r="212" spans="1:12" ht="15" customHeight="1" x14ac:dyDescent="0.25">
      <c r="A212" s="42" t="str" cm="1">
        <f t="array" ref="A212">IFERROR(INDEX(_xlfn._xlws.FILTER(Class_Players!A:A,Class_Players!B:B="Support"),QUOTIENT(ROW()-ROW($A$2),9)+1),"")</f>
        <v>DEMONIO1988</v>
      </c>
      <c r="B212" s="42" t="str">
        <f>_xlfn.XLOOKUP(A212,Class_Players!$A:$A,Class_Players!$B:$B,"")</f>
        <v>Support</v>
      </c>
      <c r="C212" s="38" t="str" cm="1">
        <f t="array" ref="C212">INDEX(Lookups!$D$2:$D$10,MOD(ROW()-ROW($B$2),ROWS(Lookups!$D$2:$D$10))+1)</f>
        <v>M320A1 SMK (Smoke Grenade Launcher)</v>
      </c>
      <c r="D212" s="38" t="str">
        <f>_xlfn.XLOOKUP(C212,Analysis_Gadgets!$C:$C,Analysis_Gadgets!$B:$B)</f>
        <v>Gadget</v>
      </c>
      <c r="E212" s="43">
        <v>63</v>
      </c>
      <c r="F212" s="43">
        <f>_xlfn.XLOOKUP(A212,Class_Players!A:A,Class_Players!G:G)</f>
        <v>298</v>
      </c>
      <c r="G212" s="43">
        <f t="shared" si="42"/>
        <v>0.21140939597315436</v>
      </c>
      <c r="H212" s="43">
        <f>_xlfn.XLOOKUP(A212,Class_Players!$A:$A,Class_Players!$F:$F,"")</f>
        <v>20152</v>
      </c>
      <c r="I212" s="44">
        <f t="shared" si="43"/>
        <v>3.1262405716554189E-3</v>
      </c>
      <c r="J212" s="43">
        <f t="shared" si="44"/>
        <v>0</v>
      </c>
      <c r="K212" s="44" cm="1">
        <f t="array" ref="K212">IF(D212="Gadget",_xlfn.IFS(I212&gt;=0.2,0.5,I212&gt;=0.1,0.35,I212&gt;=0.05,0.2,TRUE,0),IF(D212="Grenade",_xlfn.IFS(I212&gt;=0.2,1,I212&gt;=0.1,0.7,I212&gt;=0.05,0.4,TRUE,0),0))</f>
        <v>0</v>
      </c>
      <c r="L212" s="57">
        <f t="shared" si="46"/>
        <v>0</v>
      </c>
    </row>
    <row r="213" spans="1:12" ht="15" customHeight="1" x14ac:dyDescent="0.25">
      <c r="A213" s="42" t="str" cm="1">
        <f t="array" ref="A213">IFERROR(INDEX(_xlfn._xlws.FILTER(Class_Players!A:A,Class_Players!B:B="Support"),QUOTIENT(ROW()-ROW($A$2),9)+1),"")</f>
        <v>DEMONIO1988</v>
      </c>
      <c r="B213" s="42" t="str">
        <f>_xlfn.XLOOKUP(A213,Class_Players!$A:$A,Class_Players!$B:$B,"")</f>
        <v>Support</v>
      </c>
      <c r="C213" s="38" t="str" cm="1">
        <f t="array" ref="C213">INDEX(Lookups!$D$2:$D$10,MOD(ROW()-ROW($B$2),ROWS(Lookups!$D$2:$D$10))+1)</f>
        <v>SICH G1 WP (Incendiary Airburst Launcher)</v>
      </c>
      <c r="D213" s="38" t="str">
        <f>_xlfn.XLOOKUP(C213,Analysis_Gadgets!$C:$C,Analysis_Gadgets!$B:$B)</f>
        <v>Gadget</v>
      </c>
      <c r="E213" s="43">
        <v>2</v>
      </c>
      <c r="F213" s="43">
        <f>_xlfn.XLOOKUP(A213,Class_Players!A:A,Class_Players!G:G)</f>
        <v>298</v>
      </c>
      <c r="G213" s="43">
        <f t="shared" si="42"/>
        <v>6.7114093959731542E-3</v>
      </c>
      <c r="H213" s="43">
        <f>_xlfn.XLOOKUP(A213,Class_Players!$A:$A,Class_Players!$F:$F,"")</f>
        <v>20152</v>
      </c>
      <c r="I213" s="44">
        <f t="shared" si="43"/>
        <v>9.9245732433505355E-5</v>
      </c>
      <c r="J213" s="43">
        <f t="shared" si="44"/>
        <v>0</v>
      </c>
      <c r="K213" s="44" cm="1">
        <f t="array" ref="K213">IF(D213="Gadget",_xlfn.IFS(I213&gt;=0.2,0.5,I213&gt;=0.1,0.35,I213&gt;=0.05,0.2,TRUE,0),IF(D213="Grenade",_xlfn.IFS(I213&gt;=0.2,1,I213&gt;=0.1,0.7,I213&gt;=0.05,0.4,TRUE,0),0))</f>
        <v>0</v>
      </c>
      <c r="L213" s="57">
        <f t="shared" si="46"/>
        <v>0</v>
      </c>
    </row>
    <row r="214" spans="1:12" ht="15" customHeight="1" x14ac:dyDescent="0.25">
      <c r="A214" s="42" t="str" cm="1">
        <f t="array" ref="A214">IFERROR(INDEX(_xlfn._xlws.FILTER(Class_Players!A:A,Class_Players!B:B="Support"),QUOTIENT(ROW()-ROW($A$2),9)+1),"")</f>
        <v>DEMONIO1988</v>
      </c>
      <c r="B214" s="42" t="str">
        <f>_xlfn.XLOOKUP(A214,Class_Players!$A:$A,Class_Players!$B:$B,"")</f>
        <v>Support</v>
      </c>
      <c r="C214" s="38" t="str" cm="1">
        <f t="array" ref="C214">INDEX(Lookups!$D$2:$D$10,MOD(ROW()-ROW($B$2),ROWS(Lookups!$D$2:$D$10))+1)</f>
        <v>Deployable Cover</v>
      </c>
      <c r="D214" s="38" t="str">
        <f>_xlfn.XLOOKUP(C214,Analysis_Gadgets!$C:$C,Analysis_Gadgets!$B:$B)</f>
        <v>Gadget</v>
      </c>
      <c r="E214" s="43">
        <v>181</v>
      </c>
      <c r="F214" s="43">
        <f>_xlfn.XLOOKUP(A214,Class_Players!A:A,Class_Players!G:G)</f>
        <v>298</v>
      </c>
      <c r="G214" s="43">
        <f t="shared" si="42"/>
        <v>0.60738255033557043</v>
      </c>
      <c r="H214" s="43">
        <f>_xlfn.XLOOKUP(A214,Class_Players!$A:$A,Class_Players!$F:$F,"")</f>
        <v>20152</v>
      </c>
      <c r="I214" s="44">
        <f t="shared" si="43"/>
        <v>8.9817387852322347E-3</v>
      </c>
      <c r="J214" s="43">
        <f t="shared" si="44"/>
        <v>0</v>
      </c>
      <c r="K214" s="44" cm="1">
        <f t="array" ref="K214">IF(D214="Gadget",_xlfn.IFS(I214&gt;=0.2,0.5,I214&gt;=0.1,0.35,I214&gt;=0.05,0.2,TRUE,0),IF(D214="Grenade",_xlfn.IFS(I214&gt;=0.2,1,I214&gt;=0.1,0.7,I214&gt;=0.05,0.4,TRUE,0),0))</f>
        <v>0</v>
      </c>
      <c r="L214" s="57">
        <f t="shared" si="46"/>
        <v>0</v>
      </c>
    </row>
    <row r="215" spans="1:12" ht="15" customHeight="1" x14ac:dyDescent="0.25">
      <c r="A215" s="42" t="str" cm="1">
        <f t="array" ref="A215">IFERROR(INDEX(_xlfn._xlws.FILTER(Class_Players!A:A,Class_Players!B:B="Support"),QUOTIENT(ROW()-ROW($A$2),9)+1),"")</f>
        <v>DEMONIO1988</v>
      </c>
      <c r="B215" s="42" t="str">
        <f>_xlfn.XLOOKUP(A215,Class_Players!$A:$A,Class_Players!$B:$B,"")</f>
        <v>Support</v>
      </c>
      <c r="C215" s="38" t="str" cm="1">
        <f t="array" ref="C215">INDEX(Lookups!$D$2:$D$10,MOD(ROW()-ROW($B$2),ROWS(Lookups!$D$2:$D$10))+1)</f>
        <v>Supply Pouch</v>
      </c>
      <c r="D215" s="38" t="str">
        <f>_xlfn.XLOOKUP(C215,Analysis_Gadgets!$C:$C,Analysis_Gadgets!$B:$B)</f>
        <v>Gadget</v>
      </c>
      <c r="E215" s="43">
        <v>0</v>
      </c>
      <c r="F215" s="43">
        <f>_xlfn.XLOOKUP(A215,Class_Players!A:A,Class_Players!G:G)</f>
        <v>298</v>
      </c>
      <c r="G215" s="43">
        <f t="shared" si="42"/>
        <v>0</v>
      </c>
      <c r="H215" s="43">
        <f>_xlfn.XLOOKUP(A215,Class_Players!$A:$A,Class_Players!$F:$F,"")</f>
        <v>20152</v>
      </c>
      <c r="I215" s="44">
        <f t="shared" si="43"/>
        <v>0</v>
      </c>
      <c r="J215" s="43">
        <f t="shared" si="44"/>
        <v>0</v>
      </c>
      <c r="K215" s="44" cm="1">
        <f t="array" ref="K215">IF(D215="Gadget",_xlfn.IFS(I215&gt;=0.2,0.5,I215&gt;=0.1,0.35,I215&gt;=0.05,0.2,TRUE,0),IF(D215="Grenade",_xlfn.IFS(I215&gt;=0.2,1,I215&gt;=0.1,0.7,I215&gt;=0.05,0.4,TRUE,0),0))</f>
        <v>0</v>
      </c>
      <c r="L215" s="57">
        <f t="shared" si="46"/>
        <v>0</v>
      </c>
    </row>
    <row r="216" spans="1:12" ht="15" customHeight="1" x14ac:dyDescent="0.25">
      <c r="A216" s="42" t="str" cm="1">
        <f t="array" ref="A216">IFERROR(INDEX(_xlfn._xlws.FILTER(Class_Players!A:A,Class_Players!B:B="Support"),QUOTIENT(ROW()-ROW($A$2),9)+1),"")</f>
        <v>DEMONIO1988</v>
      </c>
      <c r="B216" s="42" t="str">
        <f>_xlfn.XLOOKUP(A216,Class_Players!$A:$A,Class_Players!$B:$B,"")</f>
        <v>Support</v>
      </c>
      <c r="C216" s="38" t="str" cm="1">
        <f t="array" ref="C216">INDEX(Lookups!$D$2:$D$10,MOD(ROW()-ROW($B$2),ROWS(Lookups!$D$2:$D$10))+1)</f>
        <v>Smoke Grenade</v>
      </c>
      <c r="D216" s="38" t="str">
        <f>_xlfn.XLOOKUP(C216,Analysis_Gadgets!$C:$C,Analysis_Gadgets!$B:$B)</f>
        <v>Grenade</v>
      </c>
      <c r="E216" s="43">
        <v>765</v>
      </c>
      <c r="F216" s="43">
        <f>_xlfn.XLOOKUP(A216,Class_Players!A:A,Class_Players!G:G)</f>
        <v>298</v>
      </c>
      <c r="G216" s="43">
        <f t="shared" si="42"/>
        <v>2.5671140939597317</v>
      </c>
      <c r="H216" s="43">
        <f>_xlfn.XLOOKUP(A216,Class_Players!$A:$A,Class_Players!$F:$F,"")</f>
        <v>20152</v>
      </c>
      <c r="I216" s="44">
        <f t="shared" si="43"/>
        <v>3.7961492655815797E-2</v>
      </c>
      <c r="J216" s="43">
        <f t="shared" si="44"/>
        <v>0</v>
      </c>
      <c r="K216" s="44" cm="1">
        <f t="array" ref="K216">IF(D216="Gadget",_xlfn.IFS(I216&gt;=0.2,0.5,I216&gt;=0.1,0.35,I216&gt;=0.05,0.2,TRUE,0),IF(D216="Grenade",_xlfn.IFS(I216&gt;=0.2,1,I216&gt;=0.1,0.7,I216&gt;=0.05,0.4,TRUE,0),0))</f>
        <v>0</v>
      </c>
      <c r="L216" s="57">
        <f t="shared" ref="L216:L217" si="47">IF($K216=0,0,$K216 / SUMIFS($K:$K,$A:$A,$A216,$D:$D,"Grenade"))</f>
        <v>0</v>
      </c>
    </row>
    <row r="217" spans="1:12" ht="15" customHeight="1" x14ac:dyDescent="0.25">
      <c r="A217" s="42" t="str" cm="1">
        <f t="array" ref="A217">IFERROR(INDEX(_xlfn._xlws.FILTER(Class_Players!A:A,Class_Players!B:B="Support"),QUOTIENT(ROW()-ROW($A$2),9)+1),"")</f>
        <v>DEMONIO1988</v>
      </c>
      <c r="B217" s="42" t="str">
        <f>_xlfn.XLOOKUP(A217,Class_Players!$A:$A,Class_Players!$B:$B,"")</f>
        <v>Support</v>
      </c>
      <c r="C217" s="38" t="str" cm="1">
        <f t="array" ref="C217">INDEX(Lookups!$D$2:$D$10,MOD(ROW()-ROW($B$2),ROWS(Lookups!$D$2:$D$10))+1)</f>
        <v>Incendiary Grenade</v>
      </c>
      <c r="D217" s="38" t="str">
        <f>_xlfn.XLOOKUP(C217,Analysis_Gadgets!$C:$C,Analysis_Gadgets!$B:$B)</f>
        <v>Grenade</v>
      </c>
      <c r="E217" s="43">
        <v>1552</v>
      </c>
      <c r="F217" s="43">
        <f>_xlfn.XLOOKUP(A217,Class_Players!A:A,Class_Players!G:G)</f>
        <v>298</v>
      </c>
      <c r="G217" s="43">
        <f t="shared" si="42"/>
        <v>5.2080536912751674</v>
      </c>
      <c r="H217" s="43">
        <f>_xlfn.XLOOKUP(A217,Class_Players!$A:$A,Class_Players!$F:$F,"")</f>
        <v>20152</v>
      </c>
      <c r="I217" s="44">
        <f t="shared" si="43"/>
        <v>7.7014688368400155E-2</v>
      </c>
      <c r="J217" s="43">
        <f t="shared" si="44"/>
        <v>0</v>
      </c>
      <c r="K217" s="44" cm="1">
        <f t="array" ref="K217">IF(D217="Gadget",_xlfn.IFS(I217&gt;=0.2,0.5,I217&gt;=0.1,0.35,I217&gt;=0.05,0.2,TRUE,0),IF(D217="Grenade",_xlfn.IFS(I217&gt;=0.2,1,I217&gt;=0.1,0.7,I217&gt;=0.05,0.4,TRUE,0),0))</f>
        <v>0.4</v>
      </c>
      <c r="L217" s="57">
        <f t="shared" si="47"/>
        <v>1</v>
      </c>
    </row>
    <row r="218" spans="1:12" ht="15" customHeight="1" x14ac:dyDescent="0.25">
      <c r="A218" s="42" t="str" cm="1">
        <f t="array" ref="A218">IFERROR(INDEX(_xlfn._xlws.FILTER(Class_Players!A:A,Class_Players!B:B="Support"),QUOTIENT(ROW()-ROW($A$2),9)+1),"")</f>
        <v>R3V0LUTION</v>
      </c>
      <c r="B218" s="42" t="str">
        <f>_xlfn.XLOOKUP(A218,Class_Players!$A:$A,Class_Players!$B:$B,"")</f>
        <v>Support</v>
      </c>
      <c r="C218" s="38" t="str" cm="1">
        <f t="array" ref="C218">INDEX(Lookups!$D$2:$D$10,MOD(ROW()-ROW($B$2),ROWS(Lookups!$D$2:$D$10))+1)</f>
        <v>GPDIS (Grenade intercept system)</v>
      </c>
      <c r="D218" s="38" t="str">
        <f>_xlfn.XLOOKUP(C218,Analysis_Gadgets!$C:$C,Analysis_Gadgets!$B:$B)</f>
        <v>Gadget</v>
      </c>
      <c r="E218" s="43">
        <v>15434</v>
      </c>
      <c r="F218" s="43">
        <f>_xlfn.XLOOKUP(A218,Class_Players!A:A,Class_Players!G:G)</f>
        <v>252</v>
      </c>
      <c r="G218" s="43">
        <f t="shared" si="42"/>
        <v>61.246031746031747</v>
      </c>
      <c r="H218" s="43">
        <f>_xlfn.XLOOKUP(A218,Class_Players!$A:$A,Class_Players!$F:$F,"")</f>
        <v>14521</v>
      </c>
      <c r="I218" s="44">
        <f t="shared" si="43"/>
        <v>1.0628744576819777</v>
      </c>
      <c r="J218" s="43">
        <f t="shared" si="44"/>
        <v>1</v>
      </c>
      <c r="K218" s="44" cm="1">
        <f t="array" ref="K218">IF(D218="Gadget",_xlfn.IFS(I218&gt;=0.2,0.5,I218&gt;=0.1,0.35,I218&gt;=0.05,0.2,TRUE,0),IF(D218="Grenade",_xlfn.IFS(I218&gt;=0.2,1,I218&gt;=0.1,0.7,I218&gt;=0.05,0.4,TRUE,0),0))</f>
        <v>0.5</v>
      </c>
      <c r="L218" s="57">
        <f t="shared" ref="L218:L224" si="48">IF($K218=0,0,$K218 / SUMIFS($K:$K,$A:$A,$A218,$D:$D,"Gadget"))</f>
        <v>1</v>
      </c>
    </row>
    <row r="219" spans="1:12" ht="15" customHeight="1" x14ac:dyDescent="0.25">
      <c r="A219" s="42" t="str" cm="1">
        <f t="array" ref="A219">IFERROR(INDEX(_xlfn._xlws.FILTER(Class_Players!A:A,Class_Players!B:B="Support"),QUOTIENT(ROW()-ROW($A$2),9)+1),"")</f>
        <v>R3V0LUTION</v>
      </c>
      <c r="B219" s="42" t="str">
        <f>_xlfn.XLOOKUP(A219,Class_Players!$A:$A,Class_Players!$B:$B,"")</f>
        <v>Support</v>
      </c>
      <c r="C219" s="38" t="str" cm="1">
        <f t="array" ref="C219">INDEX(Lookups!$D$2:$D$10,MOD(ROW()-ROW($B$2),ROWS(Lookups!$D$2:$D$10))+1)</f>
        <v>MP-APS (Missile intercept system)</v>
      </c>
      <c r="D219" s="38" t="str">
        <f>_xlfn.XLOOKUP(C219,Analysis_Gadgets!$C:$C,Analysis_Gadgets!$B:$B)</f>
        <v>Gadget</v>
      </c>
      <c r="E219" s="43">
        <v>1</v>
      </c>
      <c r="F219" s="43">
        <f>_xlfn.XLOOKUP(A219,Class_Players!A:A,Class_Players!G:G)</f>
        <v>252</v>
      </c>
      <c r="G219" s="43">
        <f t="shared" si="42"/>
        <v>3.968253968253968E-3</v>
      </c>
      <c r="H219" s="43">
        <f>_xlfn.XLOOKUP(A219,Class_Players!$A:$A,Class_Players!$F:$F,"")</f>
        <v>14521</v>
      </c>
      <c r="I219" s="44">
        <f t="shared" si="43"/>
        <v>6.8865780593623023E-5</v>
      </c>
      <c r="J219" s="43">
        <f t="shared" si="44"/>
        <v>0</v>
      </c>
      <c r="K219" s="44" cm="1">
        <f t="array" ref="K219">IF(D219="Gadget",_xlfn.IFS(I219&gt;=0.2,0.5,I219&gt;=0.1,0.35,I219&gt;=0.05,0.2,TRUE,0),IF(D219="Grenade",_xlfn.IFS(I219&gt;=0.2,1,I219&gt;=0.1,0.7,I219&gt;=0.05,0.4,TRUE,0),0))</f>
        <v>0</v>
      </c>
      <c r="L219" s="57">
        <f t="shared" si="48"/>
        <v>0</v>
      </c>
    </row>
    <row r="220" spans="1:12" ht="15" customHeight="1" x14ac:dyDescent="0.25">
      <c r="A220" s="42" t="str" cm="1">
        <f t="array" ref="A220">IFERROR(INDEX(_xlfn._xlws.FILTER(Class_Players!A:A,Class_Players!B:B="Support"),QUOTIENT(ROW()-ROW($A$2),9)+1),"")</f>
        <v>R3V0LUTION</v>
      </c>
      <c r="B220" s="42" t="str">
        <f>_xlfn.XLOOKUP(A220,Class_Players!$A:$A,Class_Players!$B:$B,"")</f>
        <v>Support</v>
      </c>
      <c r="C220" s="38" t="str" cm="1">
        <f t="array" ref="C220">INDEX(Lookups!$D$2:$D$10,MOD(ROW()-ROW($B$2),ROWS(Lookups!$D$2:$D$10))+1)</f>
        <v>LWCMS (Mortar)</v>
      </c>
      <c r="D220" s="38" t="str">
        <f>_xlfn.XLOOKUP(C220,Analysis_Gadgets!$C:$C,Analysis_Gadgets!$B:$B)</f>
        <v>Gadget</v>
      </c>
      <c r="E220" s="43">
        <v>4</v>
      </c>
      <c r="F220" s="43">
        <f>_xlfn.XLOOKUP(A220,Class_Players!A:A,Class_Players!G:G)</f>
        <v>252</v>
      </c>
      <c r="G220" s="43">
        <f t="shared" si="42"/>
        <v>1.5873015873015872E-2</v>
      </c>
      <c r="H220" s="43">
        <f>_xlfn.XLOOKUP(A220,Class_Players!$A:$A,Class_Players!$F:$F,"")</f>
        <v>14521</v>
      </c>
      <c r="I220" s="44">
        <f t="shared" si="43"/>
        <v>2.7546312237449209E-4</v>
      </c>
      <c r="J220" s="43">
        <f t="shared" si="44"/>
        <v>0</v>
      </c>
      <c r="K220" s="44" cm="1">
        <f t="array" ref="K220">IF(D220="Gadget",_xlfn.IFS(I220&gt;=0.2,0.5,I220&gt;=0.1,0.35,I220&gt;=0.05,0.2,TRUE,0),IF(D220="Grenade",_xlfn.IFS(I220&gt;=0.2,1,I220&gt;=0.1,0.7,I220&gt;=0.05,0.4,TRUE,0),0))</f>
        <v>0</v>
      </c>
      <c r="L220" s="57">
        <f t="shared" si="48"/>
        <v>0</v>
      </c>
    </row>
    <row r="221" spans="1:12" ht="15" customHeight="1" x14ac:dyDescent="0.25">
      <c r="A221" s="42" t="str" cm="1">
        <f t="array" ref="A221">IFERROR(INDEX(_xlfn._xlws.FILTER(Class_Players!A:A,Class_Players!B:B="Support"),QUOTIENT(ROW()-ROW($A$2),9)+1),"")</f>
        <v>R3V0LUTION</v>
      </c>
      <c r="B221" s="42" t="str">
        <f>_xlfn.XLOOKUP(A221,Class_Players!$A:$A,Class_Players!$B:$B,"")</f>
        <v>Support</v>
      </c>
      <c r="C221" s="38" t="str" cm="1">
        <f t="array" ref="C221">INDEX(Lookups!$D$2:$D$10,MOD(ROW()-ROW($B$2),ROWS(Lookups!$D$2:$D$10))+1)</f>
        <v>M320A1 SMK (Smoke Grenade Launcher)</v>
      </c>
      <c r="D221" s="38" t="str">
        <f>_xlfn.XLOOKUP(C221,Analysis_Gadgets!$C:$C,Analysis_Gadgets!$B:$B)</f>
        <v>Gadget</v>
      </c>
      <c r="E221" s="43">
        <v>27</v>
      </c>
      <c r="F221" s="43">
        <f>_xlfn.XLOOKUP(A221,Class_Players!A:A,Class_Players!G:G)</f>
        <v>252</v>
      </c>
      <c r="G221" s="43">
        <f t="shared" si="42"/>
        <v>0.10714285714285714</v>
      </c>
      <c r="H221" s="43">
        <f>_xlfn.XLOOKUP(A221,Class_Players!$A:$A,Class_Players!$F:$F,"")</f>
        <v>14521</v>
      </c>
      <c r="I221" s="44">
        <f t="shared" si="43"/>
        <v>1.8593760760278219E-3</v>
      </c>
      <c r="J221" s="43">
        <f t="shared" si="44"/>
        <v>0</v>
      </c>
      <c r="K221" s="44" cm="1">
        <f t="array" ref="K221">IF(D221="Gadget",_xlfn.IFS(I221&gt;=0.2,0.5,I221&gt;=0.1,0.35,I221&gt;=0.05,0.2,TRUE,0),IF(D221="Grenade",_xlfn.IFS(I221&gt;=0.2,1,I221&gt;=0.1,0.7,I221&gt;=0.05,0.4,TRUE,0),0))</f>
        <v>0</v>
      </c>
      <c r="L221" s="57">
        <f t="shared" si="48"/>
        <v>0</v>
      </c>
    </row>
    <row r="222" spans="1:12" ht="15" customHeight="1" x14ac:dyDescent="0.25">
      <c r="A222" s="42" t="str" cm="1">
        <f t="array" ref="A222">IFERROR(INDEX(_xlfn._xlws.FILTER(Class_Players!A:A,Class_Players!B:B="Support"),QUOTIENT(ROW()-ROW($A$2),9)+1),"")</f>
        <v>R3V0LUTION</v>
      </c>
      <c r="B222" s="42" t="str">
        <f>_xlfn.XLOOKUP(A222,Class_Players!$A:$A,Class_Players!$B:$B,"")</f>
        <v>Support</v>
      </c>
      <c r="C222" s="38" t="str" cm="1">
        <f t="array" ref="C222">INDEX(Lookups!$D$2:$D$10,MOD(ROW()-ROW($B$2),ROWS(Lookups!$D$2:$D$10))+1)</f>
        <v>SICH G1 WP (Incendiary Airburst Launcher)</v>
      </c>
      <c r="D222" s="38" t="str">
        <f>_xlfn.XLOOKUP(C222,Analysis_Gadgets!$C:$C,Analysis_Gadgets!$B:$B)</f>
        <v>Gadget</v>
      </c>
      <c r="E222" s="43">
        <v>373</v>
      </c>
      <c r="F222" s="43">
        <f>_xlfn.XLOOKUP(A222,Class_Players!A:A,Class_Players!G:G)</f>
        <v>252</v>
      </c>
      <c r="G222" s="43">
        <f t="shared" si="42"/>
        <v>1.4801587301587302</v>
      </c>
      <c r="H222" s="43">
        <f>_xlfn.XLOOKUP(A222,Class_Players!$A:$A,Class_Players!$F:$F,"")</f>
        <v>14521</v>
      </c>
      <c r="I222" s="44">
        <f t="shared" si="43"/>
        <v>2.5686936161421391E-2</v>
      </c>
      <c r="J222" s="43">
        <f t="shared" si="44"/>
        <v>0</v>
      </c>
      <c r="K222" s="44" cm="1">
        <f t="array" ref="K222">IF(D222="Gadget",_xlfn.IFS(I222&gt;=0.2,0.5,I222&gt;=0.1,0.35,I222&gt;=0.05,0.2,TRUE,0),IF(D222="Grenade",_xlfn.IFS(I222&gt;=0.2,1,I222&gt;=0.1,0.7,I222&gt;=0.05,0.4,TRUE,0),0))</f>
        <v>0</v>
      </c>
      <c r="L222" s="57">
        <f t="shared" si="48"/>
        <v>0</v>
      </c>
    </row>
    <row r="223" spans="1:12" ht="15" customHeight="1" x14ac:dyDescent="0.25">
      <c r="A223" s="42" t="str" cm="1">
        <f t="array" ref="A223">IFERROR(INDEX(_xlfn._xlws.FILTER(Class_Players!A:A,Class_Players!B:B="Support"),QUOTIENT(ROW()-ROW($A$2),9)+1),"")</f>
        <v>R3V0LUTION</v>
      </c>
      <c r="B223" s="42" t="str">
        <f>_xlfn.XLOOKUP(A223,Class_Players!$A:$A,Class_Players!$B:$B,"")</f>
        <v>Support</v>
      </c>
      <c r="C223" s="38" t="str" cm="1">
        <f t="array" ref="C223">INDEX(Lookups!$D$2:$D$10,MOD(ROW()-ROW($B$2),ROWS(Lookups!$D$2:$D$10))+1)</f>
        <v>Deployable Cover</v>
      </c>
      <c r="D223" s="38" t="str">
        <f>_xlfn.XLOOKUP(C223,Analysis_Gadgets!$C:$C,Analysis_Gadgets!$B:$B)</f>
        <v>Gadget</v>
      </c>
      <c r="E223" s="43">
        <v>50</v>
      </c>
      <c r="F223" s="43">
        <f>_xlfn.XLOOKUP(A223,Class_Players!A:A,Class_Players!G:G)</f>
        <v>252</v>
      </c>
      <c r="G223" s="43">
        <f t="shared" si="42"/>
        <v>0.1984126984126984</v>
      </c>
      <c r="H223" s="43">
        <f>_xlfn.XLOOKUP(A223,Class_Players!$A:$A,Class_Players!$F:$F,"")</f>
        <v>14521</v>
      </c>
      <c r="I223" s="44">
        <f t="shared" si="43"/>
        <v>3.4432890296811516E-3</v>
      </c>
      <c r="J223" s="43">
        <f t="shared" si="44"/>
        <v>0</v>
      </c>
      <c r="K223" s="44" cm="1">
        <f t="array" ref="K223">IF(D223="Gadget",_xlfn.IFS(I223&gt;=0.2,0.5,I223&gt;=0.1,0.35,I223&gt;=0.05,0.2,TRUE,0),IF(D223="Grenade",_xlfn.IFS(I223&gt;=0.2,1,I223&gt;=0.1,0.7,I223&gt;=0.05,0.4,TRUE,0),0))</f>
        <v>0</v>
      </c>
      <c r="L223" s="57">
        <f t="shared" si="48"/>
        <v>0</v>
      </c>
    </row>
    <row r="224" spans="1:12" ht="15" customHeight="1" x14ac:dyDescent="0.25">
      <c r="A224" s="42" t="str" cm="1">
        <f t="array" ref="A224">IFERROR(INDEX(_xlfn._xlws.FILTER(Class_Players!A:A,Class_Players!B:B="Support"),QUOTIENT(ROW()-ROW($A$2),9)+1),"")</f>
        <v>R3V0LUTION</v>
      </c>
      <c r="B224" s="42" t="str">
        <f>_xlfn.XLOOKUP(A224,Class_Players!$A:$A,Class_Players!$B:$B,"")</f>
        <v>Support</v>
      </c>
      <c r="C224" s="38" t="str" cm="1">
        <f t="array" ref="C224">INDEX(Lookups!$D$2:$D$10,MOD(ROW()-ROW($B$2),ROWS(Lookups!$D$2:$D$10))+1)</f>
        <v>Supply Pouch</v>
      </c>
      <c r="D224" s="38" t="str">
        <f>_xlfn.XLOOKUP(C224,Analysis_Gadgets!$C:$C,Analysis_Gadgets!$B:$B)</f>
        <v>Gadget</v>
      </c>
      <c r="E224" s="43">
        <v>0</v>
      </c>
      <c r="F224" s="43">
        <f>_xlfn.XLOOKUP(A224,Class_Players!A:A,Class_Players!G:G)</f>
        <v>252</v>
      </c>
      <c r="G224" s="43">
        <f t="shared" si="42"/>
        <v>0</v>
      </c>
      <c r="H224" s="43">
        <f>_xlfn.XLOOKUP(A224,Class_Players!$A:$A,Class_Players!$F:$F,"")</f>
        <v>14521</v>
      </c>
      <c r="I224" s="44">
        <f t="shared" si="43"/>
        <v>0</v>
      </c>
      <c r="J224" s="43">
        <f t="shared" si="44"/>
        <v>0</v>
      </c>
      <c r="K224" s="44" cm="1">
        <f t="array" ref="K224">IF(D224="Gadget",_xlfn.IFS(I224&gt;=0.2,0.5,I224&gt;=0.1,0.35,I224&gt;=0.05,0.2,TRUE,0),IF(D224="Grenade",_xlfn.IFS(I224&gt;=0.2,1,I224&gt;=0.1,0.7,I224&gt;=0.05,0.4,TRUE,0),0))</f>
        <v>0</v>
      </c>
      <c r="L224" s="57">
        <f t="shared" si="48"/>
        <v>0</v>
      </c>
    </row>
    <row r="225" spans="1:12" ht="15" customHeight="1" x14ac:dyDescent="0.25">
      <c r="A225" s="42" t="str" cm="1">
        <f t="array" ref="A225">IFERROR(INDEX(_xlfn._xlws.FILTER(Class_Players!A:A,Class_Players!B:B="Support"),QUOTIENT(ROW()-ROW($A$2),9)+1),"")</f>
        <v>R3V0LUTION</v>
      </c>
      <c r="B225" s="42" t="str">
        <f>_xlfn.XLOOKUP(A225,Class_Players!$A:$A,Class_Players!$B:$B,"")</f>
        <v>Support</v>
      </c>
      <c r="C225" s="38" t="str" cm="1">
        <f t="array" ref="C225">INDEX(Lookups!$D$2:$D$10,MOD(ROW()-ROW($B$2),ROWS(Lookups!$D$2:$D$10))+1)</f>
        <v>Smoke Grenade</v>
      </c>
      <c r="D225" s="38" t="str">
        <f>_xlfn.XLOOKUP(C225,Analysis_Gadgets!$C:$C,Analysis_Gadgets!$B:$B)</f>
        <v>Grenade</v>
      </c>
      <c r="E225" s="43">
        <v>30946</v>
      </c>
      <c r="F225" s="43">
        <f>_xlfn.XLOOKUP(A225,Class_Players!A:A,Class_Players!G:G)</f>
        <v>252</v>
      </c>
      <c r="G225" s="43">
        <f t="shared" si="42"/>
        <v>122.8015873015873</v>
      </c>
      <c r="H225" s="43">
        <f>_xlfn.XLOOKUP(A225,Class_Players!$A:$A,Class_Players!$F:$F,"")</f>
        <v>14521</v>
      </c>
      <c r="I225" s="44">
        <f t="shared" si="43"/>
        <v>2.1311204462502582</v>
      </c>
      <c r="J225" s="43">
        <f t="shared" si="44"/>
        <v>1</v>
      </c>
      <c r="K225" s="44" cm="1">
        <f t="array" ref="K225">IF(D225="Gadget",_xlfn.IFS(I225&gt;=0.2,0.5,I225&gt;=0.1,0.35,I225&gt;=0.05,0.2,TRUE,0),IF(D225="Grenade",_xlfn.IFS(I225&gt;=0.2,1,I225&gt;=0.1,0.7,I225&gt;=0.05,0.4,TRUE,0),0))</f>
        <v>1</v>
      </c>
      <c r="L225" s="57">
        <f t="shared" ref="L225:L226" si="49">IF($K225=0,0,$K225 / SUMIFS($K:$K,$A:$A,$A225,$D:$D,"Grenade"))</f>
        <v>1</v>
      </c>
    </row>
    <row r="226" spans="1:12" ht="15" customHeight="1" x14ac:dyDescent="0.25">
      <c r="A226" s="42" t="str" cm="1">
        <f t="array" ref="A226">IFERROR(INDEX(_xlfn._xlws.FILTER(Class_Players!A:A,Class_Players!B:B="Support"),QUOTIENT(ROW()-ROW($A$2),9)+1),"")</f>
        <v>R3V0LUTION</v>
      </c>
      <c r="B226" s="42" t="str">
        <f>_xlfn.XLOOKUP(A226,Class_Players!$A:$A,Class_Players!$B:$B,"")</f>
        <v>Support</v>
      </c>
      <c r="C226" s="38" t="str" cm="1">
        <f t="array" ref="C226">INDEX(Lookups!$D$2:$D$10,MOD(ROW()-ROW($B$2),ROWS(Lookups!$D$2:$D$10))+1)</f>
        <v>Incendiary Grenade</v>
      </c>
      <c r="D226" s="38" t="str">
        <f>_xlfn.XLOOKUP(C226,Analysis_Gadgets!$C:$C,Analysis_Gadgets!$B:$B)</f>
        <v>Grenade</v>
      </c>
      <c r="E226" s="43">
        <v>103</v>
      </c>
      <c r="F226" s="43">
        <f>_xlfn.XLOOKUP(A226,Class_Players!A:A,Class_Players!G:G)</f>
        <v>252</v>
      </c>
      <c r="G226" s="43">
        <f t="shared" si="42"/>
        <v>0.40873015873015872</v>
      </c>
      <c r="H226" s="43">
        <f>_xlfn.XLOOKUP(A226,Class_Players!$A:$A,Class_Players!$F:$F,"")</f>
        <v>14521</v>
      </c>
      <c r="I226" s="44">
        <f t="shared" si="43"/>
        <v>7.0931754011431718E-3</v>
      </c>
      <c r="J226" s="43">
        <f t="shared" si="44"/>
        <v>0</v>
      </c>
      <c r="K226" s="44" cm="1">
        <f t="array" ref="K226">IF(D226="Gadget",_xlfn.IFS(I226&gt;=0.2,0.5,I226&gt;=0.1,0.35,I226&gt;=0.05,0.2,TRUE,0),IF(D226="Grenade",_xlfn.IFS(I226&gt;=0.2,1,I226&gt;=0.1,0.7,I226&gt;=0.05,0.4,TRUE,0),0))</f>
        <v>0</v>
      </c>
      <c r="L226" s="57">
        <f t="shared" si="49"/>
        <v>0</v>
      </c>
    </row>
    <row r="227" spans="1:12" ht="15" customHeight="1" x14ac:dyDescent="0.25">
      <c r="A227" s="42" t="str" cm="1">
        <f t="array" ref="A227">IFERROR(INDEX(_xlfn._xlws.FILTER(Class_Players!A:A,Class_Players!B:B="Support"),QUOTIENT(ROW()-ROW($A$2),9)+1),"")</f>
        <v>Major-Quimby-5th</v>
      </c>
      <c r="B227" s="42" t="str">
        <f>_xlfn.XLOOKUP(A227,Class_Players!$A:$A,Class_Players!$B:$B,"")</f>
        <v>Support</v>
      </c>
      <c r="C227" s="38" t="str" cm="1">
        <f t="array" ref="C227">INDEX(Lookups!$D$2:$D$10,MOD(ROW()-ROW($B$2),ROWS(Lookups!$D$2:$D$10))+1)</f>
        <v>GPDIS (Grenade intercept system)</v>
      </c>
      <c r="D227" s="38" t="str">
        <f>_xlfn.XLOOKUP(C227,Analysis_Gadgets!$C:$C,Analysis_Gadgets!$B:$B)</f>
        <v>Gadget</v>
      </c>
      <c r="E227" s="43">
        <v>572</v>
      </c>
      <c r="F227" s="43">
        <f>_xlfn.XLOOKUP(A227,Class_Players!A:A,Class_Players!G:G)</f>
        <v>232</v>
      </c>
      <c r="G227" s="43">
        <f t="shared" si="42"/>
        <v>2.4655172413793105</v>
      </c>
      <c r="H227" s="43">
        <f>_xlfn.XLOOKUP(A227,Class_Players!$A:$A,Class_Players!$F:$F,"")</f>
        <v>14278</v>
      </c>
      <c r="I227" s="44">
        <f t="shared" si="43"/>
        <v>4.0061633281972264E-2</v>
      </c>
      <c r="J227" s="43">
        <f t="shared" si="44"/>
        <v>0</v>
      </c>
      <c r="K227" s="44" cm="1">
        <f t="array" ref="K227">IF(D227="Gadget",_xlfn.IFS(I227&gt;=0.2,0.5,I227&gt;=0.1,0.35,I227&gt;=0.05,0.2,TRUE,0),IF(D227="Grenade",_xlfn.IFS(I227&gt;=0.2,1,I227&gt;=0.1,0.7,I227&gt;=0.05,0.4,TRUE,0),0))</f>
        <v>0</v>
      </c>
      <c r="L227" s="57">
        <f t="shared" ref="L227:L233" si="50">IF($K227=0,0,$K227 / SUMIFS($K:$K,$A:$A,$A227,$D:$D,"Gadget"))</f>
        <v>0</v>
      </c>
    </row>
    <row r="228" spans="1:12" ht="15" customHeight="1" x14ac:dyDescent="0.25">
      <c r="A228" s="42" t="str" cm="1">
        <f t="array" ref="A228">IFERROR(INDEX(_xlfn._xlws.FILTER(Class_Players!A:A,Class_Players!B:B="Support"),QUOTIENT(ROW()-ROW($A$2),9)+1),"")</f>
        <v>Major-Quimby-5th</v>
      </c>
      <c r="B228" s="42" t="str">
        <f>_xlfn.XLOOKUP(A228,Class_Players!$A:$A,Class_Players!$B:$B,"")</f>
        <v>Support</v>
      </c>
      <c r="C228" s="38" t="str" cm="1">
        <f t="array" ref="C228">INDEX(Lookups!$D$2:$D$10,MOD(ROW()-ROW($B$2),ROWS(Lookups!$D$2:$D$10))+1)</f>
        <v>MP-APS (Missile intercept system)</v>
      </c>
      <c r="D228" s="38" t="str">
        <f>_xlfn.XLOOKUP(C228,Analysis_Gadgets!$C:$C,Analysis_Gadgets!$B:$B)</f>
        <v>Gadget</v>
      </c>
      <c r="E228" s="43">
        <v>0</v>
      </c>
      <c r="F228" s="43">
        <f>_xlfn.XLOOKUP(A228,Class_Players!A:A,Class_Players!G:G)</f>
        <v>232</v>
      </c>
      <c r="G228" s="43">
        <f t="shared" si="42"/>
        <v>0</v>
      </c>
      <c r="H228" s="43">
        <f>_xlfn.XLOOKUP(A228,Class_Players!$A:$A,Class_Players!$F:$F,"")</f>
        <v>14278</v>
      </c>
      <c r="I228" s="44">
        <f t="shared" si="43"/>
        <v>0</v>
      </c>
      <c r="J228" s="43">
        <f t="shared" si="44"/>
        <v>0</v>
      </c>
      <c r="K228" s="44" cm="1">
        <f t="array" ref="K228">IF(D228="Gadget",_xlfn.IFS(I228&gt;=0.2,0.5,I228&gt;=0.1,0.35,I228&gt;=0.05,0.2,TRUE,0),IF(D228="Grenade",_xlfn.IFS(I228&gt;=0.2,1,I228&gt;=0.1,0.7,I228&gt;=0.05,0.4,TRUE,0),0))</f>
        <v>0</v>
      </c>
      <c r="L228" s="57">
        <f t="shared" si="50"/>
        <v>0</v>
      </c>
    </row>
    <row r="229" spans="1:12" ht="15" customHeight="1" x14ac:dyDescent="0.25">
      <c r="A229" s="42" t="str" cm="1">
        <f t="array" ref="A229">IFERROR(INDEX(_xlfn._xlws.FILTER(Class_Players!A:A,Class_Players!B:B="Support"),QUOTIENT(ROW()-ROW($A$2),9)+1),"")</f>
        <v>Major-Quimby-5th</v>
      </c>
      <c r="B229" s="42" t="str">
        <f>_xlfn.XLOOKUP(A229,Class_Players!$A:$A,Class_Players!$B:$B,"")</f>
        <v>Support</v>
      </c>
      <c r="C229" s="38" t="str" cm="1">
        <f t="array" ref="C229">INDEX(Lookups!$D$2:$D$10,MOD(ROW()-ROW($B$2),ROWS(Lookups!$D$2:$D$10))+1)</f>
        <v>LWCMS (Mortar)</v>
      </c>
      <c r="D229" s="38" t="str">
        <f>_xlfn.XLOOKUP(C229,Analysis_Gadgets!$C:$C,Analysis_Gadgets!$B:$B)</f>
        <v>Gadget</v>
      </c>
      <c r="E229" s="43">
        <v>5</v>
      </c>
      <c r="F229" s="43">
        <f>_xlfn.XLOOKUP(A229,Class_Players!A:A,Class_Players!G:G)</f>
        <v>232</v>
      </c>
      <c r="G229" s="43">
        <f t="shared" si="42"/>
        <v>2.1551724137931036E-2</v>
      </c>
      <c r="H229" s="43">
        <f>_xlfn.XLOOKUP(A229,Class_Players!$A:$A,Class_Players!$F:$F,"")</f>
        <v>14278</v>
      </c>
      <c r="I229" s="44">
        <f t="shared" si="43"/>
        <v>3.5018910211514218E-4</v>
      </c>
      <c r="J229" s="43">
        <f t="shared" si="44"/>
        <v>0</v>
      </c>
      <c r="K229" s="44" cm="1">
        <f t="array" ref="K229">IF(D229="Gadget",_xlfn.IFS(I229&gt;=0.2,0.5,I229&gt;=0.1,0.35,I229&gt;=0.05,0.2,TRUE,0),IF(D229="Grenade",_xlfn.IFS(I229&gt;=0.2,1,I229&gt;=0.1,0.7,I229&gt;=0.05,0.4,TRUE,0),0))</f>
        <v>0</v>
      </c>
      <c r="L229" s="57">
        <f t="shared" si="50"/>
        <v>0</v>
      </c>
    </row>
    <row r="230" spans="1:12" ht="15" customHeight="1" x14ac:dyDescent="0.25">
      <c r="A230" s="42" t="str" cm="1">
        <f t="array" ref="A230">IFERROR(INDEX(_xlfn._xlws.FILTER(Class_Players!A:A,Class_Players!B:B="Support"),QUOTIENT(ROW()-ROW($A$2),9)+1),"")</f>
        <v>Major-Quimby-5th</v>
      </c>
      <c r="B230" s="42" t="str">
        <f>_xlfn.XLOOKUP(A230,Class_Players!$A:$A,Class_Players!$B:$B,"")</f>
        <v>Support</v>
      </c>
      <c r="C230" s="38" t="str" cm="1">
        <f t="array" ref="C230">INDEX(Lookups!$D$2:$D$10,MOD(ROW()-ROW($B$2),ROWS(Lookups!$D$2:$D$10))+1)</f>
        <v>M320A1 SMK (Smoke Grenade Launcher)</v>
      </c>
      <c r="D230" s="38" t="str">
        <f>_xlfn.XLOOKUP(C230,Analysis_Gadgets!$C:$C,Analysis_Gadgets!$B:$B)</f>
        <v>Gadget</v>
      </c>
      <c r="E230" s="43">
        <v>181</v>
      </c>
      <c r="F230" s="43">
        <f>_xlfn.XLOOKUP(A230,Class_Players!A:A,Class_Players!G:G)</f>
        <v>232</v>
      </c>
      <c r="G230" s="43">
        <f t="shared" si="42"/>
        <v>0.78017241379310343</v>
      </c>
      <c r="H230" s="43">
        <f>_xlfn.XLOOKUP(A230,Class_Players!$A:$A,Class_Players!$F:$F,"")</f>
        <v>14278</v>
      </c>
      <c r="I230" s="44">
        <f t="shared" si="43"/>
        <v>1.2676845496568147E-2</v>
      </c>
      <c r="J230" s="43">
        <f t="shared" si="44"/>
        <v>0</v>
      </c>
      <c r="K230" s="44" cm="1">
        <f t="array" ref="K230">IF(D230="Gadget",_xlfn.IFS(I230&gt;=0.2,0.5,I230&gt;=0.1,0.35,I230&gt;=0.05,0.2,TRUE,0),IF(D230="Grenade",_xlfn.IFS(I230&gt;=0.2,1,I230&gt;=0.1,0.7,I230&gt;=0.05,0.4,TRUE,0),0))</f>
        <v>0</v>
      </c>
      <c r="L230" s="57">
        <f t="shared" si="50"/>
        <v>0</v>
      </c>
    </row>
    <row r="231" spans="1:12" ht="15" customHeight="1" x14ac:dyDescent="0.25">
      <c r="A231" s="42" t="str" cm="1">
        <f t="array" ref="A231">IFERROR(INDEX(_xlfn._xlws.FILTER(Class_Players!A:A,Class_Players!B:B="Support"),QUOTIENT(ROW()-ROW($A$2),9)+1),"")</f>
        <v>Major-Quimby-5th</v>
      </c>
      <c r="B231" s="42" t="str">
        <f>_xlfn.XLOOKUP(A231,Class_Players!$A:$A,Class_Players!$B:$B,"")</f>
        <v>Support</v>
      </c>
      <c r="C231" s="38" t="str" cm="1">
        <f t="array" ref="C231">INDEX(Lookups!$D$2:$D$10,MOD(ROW()-ROW($B$2),ROWS(Lookups!$D$2:$D$10))+1)</f>
        <v>SICH G1 WP (Incendiary Airburst Launcher)</v>
      </c>
      <c r="D231" s="38" t="str">
        <f>_xlfn.XLOOKUP(C231,Analysis_Gadgets!$C:$C,Analysis_Gadgets!$B:$B)</f>
        <v>Gadget</v>
      </c>
      <c r="E231" s="43">
        <v>1092</v>
      </c>
      <c r="F231" s="43">
        <f>_xlfn.XLOOKUP(A231,Class_Players!A:A,Class_Players!G:G)</f>
        <v>232</v>
      </c>
      <c r="G231" s="43">
        <f t="shared" si="42"/>
        <v>4.7068965517241379</v>
      </c>
      <c r="H231" s="43">
        <f>_xlfn.XLOOKUP(A231,Class_Players!$A:$A,Class_Players!$F:$F,"")</f>
        <v>14278</v>
      </c>
      <c r="I231" s="44">
        <f t="shared" si="43"/>
        <v>7.6481299901947047E-2</v>
      </c>
      <c r="J231" s="43">
        <f t="shared" si="44"/>
        <v>0</v>
      </c>
      <c r="K231" s="44" cm="1">
        <f t="array" ref="K231">IF(D231="Gadget",_xlfn.IFS(I231&gt;=0.2,0.5,I231&gt;=0.1,0.35,I231&gt;=0.05,0.2,TRUE,0),IF(D231="Grenade",_xlfn.IFS(I231&gt;=0.2,1,I231&gt;=0.1,0.7,I231&gt;=0.05,0.4,TRUE,0),0))</f>
        <v>0.2</v>
      </c>
      <c r="L231" s="57">
        <f t="shared" si="50"/>
        <v>0.28571428571428575</v>
      </c>
    </row>
    <row r="232" spans="1:12" ht="15" customHeight="1" x14ac:dyDescent="0.25">
      <c r="A232" s="42" t="str" cm="1">
        <f t="array" ref="A232">IFERROR(INDEX(_xlfn._xlws.FILTER(Class_Players!A:A,Class_Players!B:B="Support"),QUOTIENT(ROW()-ROW($A$2),9)+1),"")</f>
        <v>Major-Quimby-5th</v>
      </c>
      <c r="B232" s="42" t="str">
        <f>_xlfn.XLOOKUP(A232,Class_Players!$A:$A,Class_Players!$B:$B,"")</f>
        <v>Support</v>
      </c>
      <c r="C232" s="38" t="str" cm="1">
        <f t="array" ref="C232">INDEX(Lookups!$D$2:$D$10,MOD(ROW()-ROW($B$2),ROWS(Lookups!$D$2:$D$10))+1)</f>
        <v>Deployable Cover</v>
      </c>
      <c r="D232" s="38" t="str">
        <f>_xlfn.XLOOKUP(C232,Analysis_Gadgets!$C:$C,Analysis_Gadgets!$B:$B)</f>
        <v>Gadget</v>
      </c>
      <c r="E232" s="43">
        <v>317</v>
      </c>
      <c r="F232" s="43">
        <f>_xlfn.XLOOKUP(A232,Class_Players!A:A,Class_Players!G:G)</f>
        <v>232</v>
      </c>
      <c r="G232" s="43">
        <f t="shared" si="42"/>
        <v>1.3663793103448276</v>
      </c>
      <c r="H232" s="43">
        <f>_xlfn.XLOOKUP(A232,Class_Players!$A:$A,Class_Players!$F:$F,"")</f>
        <v>14278</v>
      </c>
      <c r="I232" s="44">
        <f t="shared" si="43"/>
        <v>2.2201989074100013E-2</v>
      </c>
      <c r="J232" s="43">
        <f t="shared" si="44"/>
        <v>0</v>
      </c>
      <c r="K232" s="44" cm="1">
        <f t="array" ref="K232">IF(D232="Gadget",_xlfn.IFS(I232&gt;=0.2,0.5,I232&gt;=0.1,0.35,I232&gt;=0.05,0.2,TRUE,0),IF(D232="Grenade",_xlfn.IFS(I232&gt;=0.2,1,I232&gt;=0.1,0.7,I232&gt;=0.05,0.4,TRUE,0),0))</f>
        <v>0</v>
      </c>
      <c r="L232" s="57">
        <f t="shared" si="50"/>
        <v>0</v>
      </c>
    </row>
    <row r="233" spans="1:12" ht="15" customHeight="1" x14ac:dyDescent="0.25">
      <c r="A233" s="42" t="str" cm="1">
        <f t="array" ref="A233">IFERROR(INDEX(_xlfn._xlws.FILTER(Class_Players!A:A,Class_Players!B:B="Support"),QUOTIENT(ROW()-ROW($A$2),9)+1),"")</f>
        <v>Major-Quimby-5th</v>
      </c>
      <c r="B233" s="42" t="str">
        <f>_xlfn.XLOOKUP(A233,Class_Players!$A:$A,Class_Players!$B:$B,"")</f>
        <v>Support</v>
      </c>
      <c r="C233" s="38" t="str" cm="1">
        <f t="array" ref="C233">INDEX(Lookups!$D$2:$D$10,MOD(ROW()-ROW($B$2),ROWS(Lookups!$D$2:$D$10))+1)</f>
        <v>Supply Pouch</v>
      </c>
      <c r="D233" s="38" t="str">
        <f>_xlfn.XLOOKUP(C233,Analysis_Gadgets!$C:$C,Analysis_Gadgets!$B:$B)</f>
        <v>Gadget</v>
      </c>
      <c r="E233" s="43">
        <v>7480</v>
      </c>
      <c r="F233" s="43">
        <f>_xlfn.XLOOKUP(A233,Class_Players!A:A,Class_Players!G:G)</f>
        <v>232</v>
      </c>
      <c r="G233" s="43">
        <f t="shared" si="42"/>
        <v>32.241379310344826</v>
      </c>
      <c r="H233" s="43">
        <f>_xlfn.XLOOKUP(A233,Class_Players!$A:$A,Class_Players!$F:$F,"")</f>
        <v>14278</v>
      </c>
      <c r="I233" s="44">
        <f t="shared" si="43"/>
        <v>0.5238828967642527</v>
      </c>
      <c r="J233" s="43">
        <f t="shared" si="44"/>
        <v>1</v>
      </c>
      <c r="K233" s="44" cm="1">
        <f t="array" ref="K233">IF(D233="Gadget",_xlfn.IFS(I233&gt;=0.2,0.5,I233&gt;=0.1,0.35,I233&gt;=0.05,0.2,TRUE,0),IF(D233="Grenade",_xlfn.IFS(I233&gt;=0.2,1,I233&gt;=0.1,0.7,I233&gt;=0.05,0.4,TRUE,0),0))</f>
        <v>0.5</v>
      </c>
      <c r="L233" s="57">
        <f t="shared" si="50"/>
        <v>0.7142857142857143</v>
      </c>
    </row>
    <row r="234" spans="1:12" ht="15" customHeight="1" x14ac:dyDescent="0.25">
      <c r="A234" s="42" t="str" cm="1">
        <f t="array" ref="A234">IFERROR(INDEX(_xlfn._xlws.FILTER(Class_Players!A:A,Class_Players!B:B="Support"),QUOTIENT(ROW()-ROW($A$2),9)+1),"")</f>
        <v>Major-Quimby-5th</v>
      </c>
      <c r="B234" s="42" t="str">
        <f>_xlfn.XLOOKUP(A234,Class_Players!$A:$A,Class_Players!$B:$B,"")</f>
        <v>Support</v>
      </c>
      <c r="C234" s="38" t="str" cm="1">
        <f t="array" ref="C234">INDEX(Lookups!$D$2:$D$10,MOD(ROW()-ROW($B$2),ROWS(Lookups!$D$2:$D$10))+1)</f>
        <v>Smoke Grenade</v>
      </c>
      <c r="D234" s="38" t="str">
        <f>_xlfn.XLOOKUP(C234,Analysis_Gadgets!$C:$C,Analysis_Gadgets!$B:$B)</f>
        <v>Grenade</v>
      </c>
      <c r="E234" s="43">
        <v>293</v>
      </c>
      <c r="F234" s="43">
        <f>_xlfn.XLOOKUP(A234,Class_Players!A:A,Class_Players!G:G)</f>
        <v>232</v>
      </c>
      <c r="G234" s="43">
        <f t="shared" si="42"/>
        <v>1.2629310344827587</v>
      </c>
      <c r="H234" s="43">
        <f>_xlfn.XLOOKUP(A234,Class_Players!$A:$A,Class_Players!$F:$F,"")</f>
        <v>14278</v>
      </c>
      <c r="I234" s="44">
        <f t="shared" si="43"/>
        <v>2.0521081383947332E-2</v>
      </c>
      <c r="J234" s="43">
        <f t="shared" si="44"/>
        <v>0</v>
      </c>
      <c r="K234" s="44" cm="1">
        <f t="array" ref="K234">IF(D234="Gadget",_xlfn.IFS(I234&gt;=0.2,0.5,I234&gt;=0.1,0.35,I234&gt;=0.05,0.2,TRUE,0),IF(D234="Grenade",_xlfn.IFS(I234&gt;=0.2,1,I234&gt;=0.1,0.7,I234&gt;=0.05,0.4,TRUE,0),0))</f>
        <v>0</v>
      </c>
      <c r="L234" s="57">
        <f t="shared" ref="L234:L235" si="51">IF($K234=0,0,$K234 / SUMIFS($K:$K,$A:$A,$A234,$D:$D,"Grenade"))</f>
        <v>0</v>
      </c>
    </row>
    <row r="235" spans="1:12" ht="15" customHeight="1" x14ac:dyDescent="0.25">
      <c r="A235" s="42" t="str" cm="1">
        <f t="array" ref="A235">IFERROR(INDEX(_xlfn._xlws.FILTER(Class_Players!A:A,Class_Players!B:B="Support"),QUOTIENT(ROW()-ROW($A$2),9)+1),"")</f>
        <v>Major-Quimby-5th</v>
      </c>
      <c r="B235" s="42" t="str">
        <f>_xlfn.XLOOKUP(A235,Class_Players!$A:$A,Class_Players!$B:$B,"")</f>
        <v>Support</v>
      </c>
      <c r="C235" s="38" t="str" cm="1">
        <f t="array" ref="C235">INDEX(Lookups!$D$2:$D$10,MOD(ROW()-ROW($B$2),ROWS(Lookups!$D$2:$D$10))+1)</f>
        <v>Incendiary Grenade</v>
      </c>
      <c r="D235" s="38" t="str">
        <f>_xlfn.XLOOKUP(C235,Analysis_Gadgets!$C:$C,Analysis_Gadgets!$B:$B)</f>
        <v>Grenade</v>
      </c>
      <c r="E235" s="43">
        <v>4284</v>
      </c>
      <c r="F235" s="43">
        <f>_xlfn.XLOOKUP(A235,Class_Players!A:A,Class_Players!G:G)</f>
        <v>232</v>
      </c>
      <c r="G235" s="43">
        <f t="shared" si="42"/>
        <v>18.46551724137931</v>
      </c>
      <c r="H235" s="43">
        <f>_xlfn.XLOOKUP(A235,Class_Players!$A:$A,Class_Players!$F:$F,"")</f>
        <v>14278</v>
      </c>
      <c r="I235" s="44">
        <f t="shared" si="43"/>
        <v>0.30004202269225383</v>
      </c>
      <c r="J235" s="43">
        <f t="shared" si="44"/>
        <v>1</v>
      </c>
      <c r="K235" s="44" cm="1">
        <f t="array" ref="K235">IF(D235="Gadget",_xlfn.IFS(I235&gt;=0.2,0.5,I235&gt;=0.1,0.35,I235&gt;=0.05,0.2,TRUE,0),IF(D235="Grenade",_xlfn.IFS(I235&gt;=0.2,1,I235&gt;=0.1,0.7,I235&gt;=0.05,0.4,TRUE,0),0))</f>
        <v>1</v>
      </c>
      <c r="L235" s="57">
        <f t="shared" si="51"/>
        <v>1</v>
      </c>
    </row>
    <row r="236" spans="1:12" ht="15" customHeight="1" x14ac:dyDescent="0.25">
      <c r="A236" s="42" t="str" cm="1">
        <f t="array" ref="A236">IFERROR(INDEX(_xlfn._xlws.FILTER(Class_Players!A:A,Class_Players!B:B="Support"),QUOTIENT(ROW()-ROW($A$2),9)+1),"")</f>
        <v>Dezz</v>
      </c>
      <c r="B236" s="42" t="str">
        <f>_xlfn.XLOOKUP(A236,Class_Players!$A:$A,Class_Players!$B:$B,"")</f>
        <v>Support</v>
      </c>
      <c r="C236" s="38" t="str" cm="1">
        <f t="array" ref="C236">INDEX(Lookups!$D$2:$D$10,MOD(ROW()-ROW($B$2),ROWS(Lookups!$D$2:$D$10))+1)</f>
        <v>GPDIS (Grenade intercept system)</v>
      </c>
      <c r="D236" s="38" t="str">
        <f>_xlfn.XLOOKUP(C236,Analysis_Gadgets!$C:$C,Analysis_Gadgets!$B:$B)</f>
        <v>Gadget</v>
      </c>
      <c r="E236" s="43">
        <v>168</v>
      </c>
      <c r="F236" s="43">
        <f>_xlfn.XLOOKUP(A236,Class_Players!A:A,Class_Players!G:G)</f>
        <v>355</v>
      </c>
      <c r="G236" s="43">
        <f t="shared" si="42"/>
        <v>0.47323943661971829</v>
      </c>
      <c r="H236" s="43">
        <f>_xlfn.XLOOKUP(A236,Class_Players!$A:$A,Class_Players!$F:$F,"")</f>
        <v>14192</v>
      </c>
      <c r="I236" s="44">
        <f t="shared" si="43"/>
        <v>1.1837655016910935E-2</v>
      </c>
      <c r="J236" s="43">
        <f t="shared" si="44"/>
        <v>0</v>
      </c>
      <c r="K236" s="44" cm="1">
        <f t="array" ref="K236">IF(D236="Gadget",_xlfn.IFS(I236&gt;=0.2,0.5,I236&gt;=0.1,0.35,I236&gt;=0.05,0.2,TRUE,0),IF(D236="Grenade",_xlfn.IFS(I236&gt;=0.2,1,I236&gt;=0.1,0.7,I236&gt;=0.05,0.4,TRUE,0),0))</f>
        <v>0</v>
      </c>
      <c r="L236" s="57">
        <f t="shared" ref="L236:L242" si="52">IF($K236=0,0,$K236 / SUMIFS($K:$K,$A:$A,$A236,$D:$D,"Gadget"))</f>
        <v>0</v>
      </c>
    </row>
    <row r="237" spans="1:12" ht="15" customHeight="1" x14ac:dyDescent="0.25">
      <c r="A237" s="42" t="str" cm="1">
        <f t="array" ref="A237">IFERROR(INDEX(_xlfn._xlws.FILTER(Class_Players!A:A,Class_Players!B:B="Support"),QUOTIENT(ROW()-ROW($A$2),9)+1),"")</f>
        <v>Dezz</v>
      </c>
      <c r="B237" s="42" t="str">
        <f>_xlfn.XLOOKUP(A237,Class_Players!$A:$A,Class_Players!$B:$B,"")</f>
        <v>Support</v>
      </c>
      <c r="C237" s="38" t="str" cm="1">
        <f t="array" ref="C237">INDEX(Lookups!$D$2:$D$10,MOD(ROW()-ROW($B$2),ROWS(Lookups!$D$2:$D$10))+1)</f>
        <v>MP-APS (Missile intercept system)</v>
      </c>
      <c r="D237" s="38" t="str">
        <f>_xlfn.XLOOKUP(C237,Analysis_Gadgets!$C:$C,Analysis_Gadgets!$B:$B)</f>
        <v>Gadget</v>
      </c>
      <c r="E237" s="43">
        <v>13</v>
      </c>
      <c r="F237" s="43">
        <f>_xlfn.XLOOKUP(A237,Class_Players!A:A,Class_Players!G:G)</f>
        <v>355</v>
      </c>
      <c r="G237" s="43">
        <f t="shared" si="42"/>
        <v>3.6619718309859155E-2</v>
      </c>
      <c r="H237" s="43">
        <f>_xlfn.XLOOKUP(A237,Class_Players!$A:$A,Class_Players!$F:$F,"")</f>
        <v>14192</v>
      </c>
      <c r="I237" s="44">
        <f t="shared" si="43"/>
        <v>9.1600901916572713E-4</v>
      </c>
      <c r="J237" s="43">
        <f t="shared" si="44"/>
        <v>0</v>
      </c>
      <c r="K237" s="44" cm="1">
        <f t="array" ref="K237">IF(D237="Gadget",_xlfn.IFS(I237&gt;=0.2,0.5,I237&gt;=0.1,0.35,I237&gt;=0.05,0.2,TRUE,0),IF(D237="Grenade",_xlfn.IFS(I237&gt;=0.2,1,I237&gt;=0.1,0.7,I237&gt;=0.05,0.4,TRUE,0),0))</f>
        <v>0</v>
      </c>
      <c r="L237" s="57">
        <f t="shared" si="52"/>
        <v>0</v>
      </c>
    </row>
    <row r="238" spans="1:12" ht="15" customHeight="1" x14ac:dyDescent="0.25">
      <c r="A238" s="42" t="str" cm="1">
        <f t="array" ref="A238">IFERROR(INDEX(_xlfn._xlws.FILTER(Class_Players!A:A,Class_Players!B:B="Support"),QUOTIENT(ROW()-ROW($A$2),9)+1),"")</f>
        <v>Dezz</v>
      </c>
      <c r="B238" s="42" t="str">
        <f>_xlfn.XLOOKUP(A238,Class_Players!$A:$A,Class_Players!$B:$B,"")</f>
        <v>Support</v>
      </c>
      <c r="C238" s="38" t="str" cm="1">
        <f t="array" ref="C238">INDEX(Lookups!$D$2:$D$10,MOD(ROW()-ROW($B$2),ROWS(Lookups!$D$2:$D$10))+1)</f>
        <v>LWCMS (Mortar)</v>
      </c>
      <c r="D238" s="38" t="str">
        <f>_xlfn.XLOOKUP(C238,Analysis_Gadgets!$C:$C,Analysis_Gadgets!$B:$B)</f>
        <v>Gadget</v>
      </c>
      <c r="E238" s="43">
        <v>11</v>
      </c>
      <c r="F238" s="43">
        <f>_xlfn.XLOOKUP(A238,Class_Players!A:A,Class_Players!G:G)</f>
        <v>355</v>
      </c>
      <c r="G238" s="43">
        <f t="shared" si="42"/>
        <v>3.0985915492957747E-2</v>
      </c>
      <c r="H238" s="43">
        <f>_xlfn.XLOOKUP(A238,Class_Players!$A:$A,Class_Players!$F:$F,"")</f>
        <v>14192</v>
      </c>
      <c r="I238" s="44">
        <f t="shared" si="43"/>
        <v>7.7508455467869219E-4</v>
      </c>
      <c r="J238" s="43">
        <f t="shared" si="44"/>
        <v>0</v>
      </c>
      <c r="K238" s="44" cm="1">
        <f t="array" ref="K238">IF(D238="Gadget",_xlfn.IFS(I238&gt;=0.2,0.5,I238&gt;=0.1,0.35,I238&gt;=0.05,0.2,TRUE,0),IF(D238="Grenade",_xlfn.IFS(I238&gt;=0.2,1,I238&gt;=0.1,0.7,I238&gt;=0.05,0.4,TRUE,0),0))</f>
        <v>0</v>
      </c>
      <c r="L238" s="57">
        <f t="shared" si="52"/>
        <v>0</v>
      </c>
    </row>
    <row r="239" spans="1:12" ht="15" customHeight="1" x14ac:dyDescent="0.25">
      <c r="A239" s="42" t="str" cm="1">
        <f t="array" ref="A239">IFERROR(INDEX(_xlfn._xlws.FILTER(Class_Players!A:A,Class_Players!B:B="Support"),QUOTIENT(ROW()-ROW($A$2),9)+1),"")</f>
        <v>Dezz</v>
      </c>
      <c r="B239" s="42" t="str">
        <f>_xlfn.XLOOKUP(A239,Class_Players!$A:$A,Class_Players!$B:$B,"")</f>
        <v>Support</v>
      </c>
      <c r="C239" s="38" t="str" cm="1">
        <f t="array" ref="C239">INDEX(Lookups!$D$2:$D$10,MOD(ROW()-ROW($B$2),ROWS(Lookups!$D$2:$D$10))+1)</f>
        <v>M320A1 SMK (Smoke Grenade Launcher)</v>
      </c>
      <c r="D239" s="38" t="str">
        <f>_xlfn.XLOOKUP(C239,Analysis_Gadgets!$C:$C,Analysis_Gadgets!$B:$B)</f>
        <v>Gadget</v>
      </c>
      <c r="E239" s="43">
        <v>22</v>
      </c>
      <c r="F239" s="43">
        <f>_xlfn.XLOOKUP(A239,Class_Players!A:A,Class_Players!G:G)</f>
        <v>355</v>
      </c>
      <c r="G239" s="43">
        <f t="shared" si="42"/>
        <v>6.1971830985915494E-2</v>
      </c>
      <c r="H239" s="43">
        <f>_xlfn.XLOOKUP(A239,Class_Players!$A:$A,Class_Players!$F:$F,"")</f>
        <v>14192</v>
      </c>
      <c r="I239" s="44">
        <f t="shared" si="43"/>
        <v>1.5501691093573844E-3</v>
      </c>
      <c r="J239" s="43">
        <f t="shared" si="44"/>
        <v>0</v>
      </c>
      <c r="K239" s="44" cm="1">
        <f t="array" ref="K239">IF(D239="Gadget",_xlfn.IFS(I239&gt;=0.2,0.5,I239&gt;=0.1,0.35,I239&gt;=0.05,0.2,TRUE,0),IF(D239="Grenade",_xlfn.IFS(I239&gt;=0.2,1,I239&gt;=0.1,0.7,I239&gt;=0.05,0.4,TRUE,0),0))</f>
        <v>0</v>
      </c>
      <c r="L239" s="57">
        <f t="shared" si="52"/>
        <v>0</v>
      </c>
    </row>
    <row r="240" spans="1:12" ht="15" customHeight="1" x14ac:dyDescent="0.25">
      <c r="A240" s="42" t="str" cm="1">
        <f t="array" ref="A240">IFERROR(INDEX(_xlfn._xlws.FILTER(Class_Players!A:A,Class_Players!B:B="Support"),QUOTIENT(ROW()-ROW($A$2),9)+1),"")</f>
        <v>Dezz</v>
      </c>
      <c r="B240" s="42" t="str">
        <f>_xlfn.XLOOKUP(A240,Class_Players!$A:$A,Class_Players!$B:$B,"")</f>
        <v>Support</v>
      </c>
      <c r="C240" s="38" t="str" cm="1">
        <f t="array" ref="C240">INDEX(Lookups!$D$2:$D$10,MOD(ROW()-ROW($B$2),ROWS(Lookups!$D$2:$D$10))+1)</f>
        <v>SICH G1 WP (Incendiary Airburst Launcher)</v>
      </c>
      <c r="D240" s="38" t="str">
        <f>_xlfn.XLOOKUP(C240,Analysis_Gadgets!$C:$C,Analysis_Gadgets!$B:$B)</f>
        <v>Gadget</v>
      </c>
      <c r="E240" s="43">
        <v>1</v>
      </c>
      <c r="F240" s="43">
        <f>_xlfn.XLOOKUP(A240,Class_Players!A:A,Class_Players!G:G)</f>
        <v>355</v>
      </c>
      <c r="G240" s="43">
        <f t="shared" si="42"/>
        <v>2.8169014084507044E-3</v>
      </c>
      <c r="H240" s="43">
        <f>_xlfn.XLOOKUP(A240,Class_Players!$A:$A,Class_Players!$F:$F,"")</f>
        <v>14192</v>
      </c>
      <c r="I240" s="44">
        <f t="shared" si="43"/>
        <v>7.0462232243517471E-5</v>
      </c>
      <c r="J240" s="43">
        <f t="shared" si="44"/>
        <v>0</v>
      </c>
      <c r="K240" s="44" cm="1">
        <f t="array" ref="K240">IF(D240="Gadget",_xlfn.IFS(I240&gt;=0.2,0.5,I240&gt;=0.1,0.35,I240&gt;=0.05,0.2,TRUE,0),IF(D240="Grenade",_xlfn.IFS(I240&gt;=0.2,1,I240&gt;=0.1,0.7,I240&gt;=0.05,0.4,TRUE,0),0))</f>
        <v>0</v>
      </c>
      <c r="L240" s="57">
        <f t="shared" si="52"/>
        <v>0</v>
      </c>
    </row>
    <row r="241" spans="1:12" ht="15" customHeight="1" x14ac:dyDescent="0.25">
      <c r="A241" s="42" t="str" cm="1">
        <f t="array" ref="A241">IFERROR(INDEX(_xlfn._xlws.FILTER(Class_Players!A:A,Class_Players!B:B="Support"),QUOTIENT(ROW()-ROW($A$2),9)+1),"")</f>
        <v>Dezz</v>
      </c>
      <c r="B241" s="42" t="str">
        <f>_xlfn.XLOOKUP(A241,Class_Players!$A:$A,Class_Players!$B:$B,"")</f>
        <v>Support</v>
      </c>
      <c r="C241" s="38" t="str" cm="1">
        <f t="array" ref="C241">INDEX(Lookups!$D$2:$D$10,MOD(ROW()-ROW($B$2),ROWS(Lookups!$D$2:$D$10))+1)</f>
        <v>Deployable Cover</v>
      </c>
      <c r="D241" s="38" t="str">
        <f>_xlfn.XLOOKUP(C241,Analysis_Gadgets!$C:$C,Analysis_Gadgets!$B:$B)</f>
        <v>Gadget</v>
      </c>
      <c r="E241" s="43">
        <v>377</v>
      </c>
      <c r="F241" s="43">
        <f>_xlfn.XLOOKUP(A241,Class_Players!A:A,Class_Players!G:G)</f>
        <v>355</v>
      </c>
      <c r="G241" s="43">
        <f t="shared" si="42"/>
        <v>1.0619718309859154</v>
      </c>
      <c r="H241" s="43">
        <f>_xlfn.XLOOKUP(A241,Class_Players!$A:$A,Class_Players!$F:$F,"")</f>
        <v>14192</v>
      </c>
      <c r="I241" s="44">
        <f t="shared" si="43"/>
        <v>2.6564261555806087E-2</v>
      </c>
      <c r="J241" s="43">
        <f t="shared" si="44"/>
        <v>0</v>
      </c>
      <c r="K241" s="44" cm="1">
        <f t="array" ref="K241">IF(D241="Gadget",_xlfn.IFS(I241&gt;=0.2,0.5,I241&gt;=0.1,0.35,I241&gt;=0.05,0.2,TRUE,0),IF(D241="Grenade",_xlfn.IFS(I241&gt;=0.2,1,I241&gt;=0.1,0.7,I241&gt;=0.05,0.4,TRUE,0),0))</f>
        <v>0</v>
      </c>
      <c r="L241" s="57">
        <f t="shared" si="52"/>
        <v>0</v>
      </c>
    </row>
    <row r="242" spans="1:12" ht="15" customHeight="1" x14ac:dyDescent="0.25">
      <c r="A242" s="42" t="str" cm="1">
        <f t="array" ref="A242">IFERROR(INDEX(_xlfn._xlws.FILTER(Class_Players!A:A,Class_Players!B:B="Support"),QUOTIENT(ROW()-ROW($A$2),9)+1),"")</f>
        <v>Dezz</v>
      </c>
      <c r="B242" s="42" t="str">
        <f>_xlfn.XLOOKUP(A242,Class_Players!$A:$A,Class_Players!$B:$B,"")</f>
        <v>Support</v>
      </c>
      <c r="C242" s="38" t="str" cm="1">
        <f t="array" ref="C242">INDEX(Lookups!$D$2:$D$10,MOD(ROW()-ROW($B$2),ROWS(Lookups!$D$2:$D$10))+1)</f>
        <v>Supply Pouch</v>
      </c>
      <c r="D242" s="38" t="str">
        <f>_xlfn.XLOOKUP(C242,Analysis_Gadgets!$C:$C,Analysis_Gadgets!$B:$B)</f>
        <v>Gadget</v>
      </c>
      <c r="E242" s="43">
        <v>8992</v>
      </c>
      <c r="F242" s="43">
        <f>_xlfn.XLOOKUP(A242,Class_Players!A:A,Class_Players!G:G)</f>
        <v>355</v>
      </c>
      <c r="G242" s="43">
        <f t="shared" si="42"/>
        <v>25.329577464788731</v>
      </c>
      <c r="H242" s="43">
        <f>_xlfn.XLOOKUP(A242,Class_Players!$A:$A,Class_Players!$F:$F,"")</f>
        <v>14192</v>
      </c>
      <c r="I242" s="44">
        <f t="shared" si="43"/>
        <v>0.63359639233370912</v>
      </c>
      <c r="J242" s="43">
        <f t="shared" si="44"/>
        <v>1</v>
      </c>
      <c r="K242" s="44" cm="1">
        <f t="array" ref="K242">IF(D242="Gadget",_xlfn.IFS(I242&gt;=0.2,0.5,I242&gt;=0.1,0.35,I242&gt;=0.05,0.2,TRUE,0),IF(D242="Grenade",_xlfn.IFS(I242&gt;=0.2,1,I242&gt;=0.1,0.7,I242&gt;=0.05,0.4,TRUE,0),0))</f>
        <v>0.5</v>
      </c>
      <c r="L242" s="57">
        <f t="shared" si="52"/>
        <v>1</v>
      </c>
    </row>
    <row r="243" spans="1:12" ht="15" customHeight="1" x14ac:dyDescent="0.25">
      <c r="A243" s="42" t="str" cm="1">
        <f t="array" ref="A243">IFERROR(INDEX(_xlfn._xlws.FILTER(Class_Players!A:A,Class_Players!B:B="Support"),QUOTIENT(ROW()-ROW($A$2),9)+1),"")</f>
        <v>Dezz</v>
      </c>
      <c r="B243" s="42" t="str">
        <f>_xlfn.XLOOKUP(A243,Class_Players!$A:$A,Class_Players!$B:$B,"")</f>
        <v>Support</v>
      </c>
      <c r="C243" s="38" t="str" cm="1">
        <f t="array" ref="C243">INDEX(Lookups!$D$2:$D$10,MOD(ROW()-ROW($B$2),ROWS(Lookups!$D$2:$D$10))+1)</f>
        <v>Smoke Grenade</v>
      </c>
      <c r="D243" s="38" t="str">
        <f>_xlfn.XLOOKUP(C243,Analysis_Gadgets!$C:$C,Analysis_Gadgets!$B:$B)</f>
        <v>Grenade</v>
      </c>
      <c r="E243" s="43">
        <v>3232</v>
      </c>
      <c r="F243" s="43">
        <f>_xlfn.XLOOKUP(A243,Class_Players!A:A,Class_Players!G:G)</f>
        <v>355</v>
      </c>
      <c r="G243" s="43">
        <f t="shared" si="42"/>
        <v>9.1042253521126764</v>
      </c>
      <c r="H243" s="43">
        <f>_xlfn.XLOOKUP(A243,Class_Players!$A:$A,Class_Players!$F:$F,"")</f>
        <v>14192</v>
      </c>
      <c r="I243" s="44">
        <f t="shared" si="43"/>
        <v>0.22773393461104849</v>
      </c>
      <c r="J243" s="43">
        <f t="shared" si="44"/>
        <v>1</v>
      </c>
      <c r="K243" s="44" cm="1">
        <f t="array" ref="K243">IF(D243="Gadget",_xlfn.IFS(I243&gt;=0.2,0.5,I243&gt;=0.1,0.35,I243&gt;=0.05,0.2,TRUE,0),IF(D243="Grenade",_xlfn.IFS(I243&gt;=0.2,1,I243&gt;=0.1,0.7,I243&gt;=0.05,0.4,TRUE,0),0))</f>
        <v>1</v>
      </c>
      <c r="L243" s="57">
        <f t="shared" ref="L243:L244" si="53">IF($K243=0,0,$K243 / SUMIFS($K:$K,$A:$A,$A243,$D:$D,"Grenade"))</f>
        <v>1</v>
      </c>
    </row>
    <row r="244" spans="1:12" ht="15" customHeight="1" x14ac:dyDescent="0.25">
      <c r="A244" s="42" t="str" cm="1">
        <f t="array" ref="A244">IFERROR(INDEX(_xlfn._xlws.FILTER(Class_Players!A:A,Class_Players!B:B="Support"),QUOTIENT(ROW()-ROW($A$2),9)+1),"")</f>
        <v>Dezz</v>
      </c>
      <c r="B244" s="42" t="str">
        <f>_xlfn.XLOOKUP(A244,Class_Players!$A:$A,Class_Players!$B:$B,"")</f>
        <v>Support</v>
      </c>
      <c r="C244" s="38" t="str" cm="1">
        <f t="array" ref="C244">INDEX(Lookups!$D$2:$D$10,MOD(ROW()-ROW($B$2),ROWS(Lookups!$D$2:$D$10))+1)</f>
        <v>Incendiary Grenade</v>
      </c>
      <c r="D244" s="38" t="str">
        <f>_xlfn.XLOOKUP(C244,Analysis_Gadgets!$C:$C,Analysis_Gadgets!$B:$B)</f>
        <v>Grenade</v>
      </c>
      <c r="E244" s="43">
        <v>3</v>
      </c>
      <c r="F244" s="43">
        <f>_xlfn.XLOOKUP(A244,Class_Players!A:A,Class_Players!G:G)</f>
        <v>355</v>
      </c>
      <c r="G244" s="43">
        <f t="shared" si="42"/>
        <v>8.4507042253521118E-3</v>
      </c>
      <c r="H244" s="43">
        <f>_xlfn.XLOOKUP(A244,Class_Players!$A:$A,Class_Players!$F:$F,"")</f>
        <v>14192</v>
      </c>
      <c r="I244" s="44">
        <f t="shared" si="43"/>
        <v>2.1138669673055241E-4</v>
      </c>
      <c r="J244" s="43">
        <f t="shared" si="44"/>
        <v>0</v>
      </c>
      <c r="K244" s="44" cm="1">
        <f t="array" ref="K244">IF(D244="Gadget",_xlfn.IFS(I244&gt;=0.2,0.5,I244&gt;=0.1,0.35,I244&gt;=0.05,0.2,TRUE,0),IF(D244="Grenade",_xlfn.IFS(I244&gt;=0.2,1,I244&gt;=0.1,0.7,I244&gt;=0.05,0.4,TRUE,0),0))</f>
        <v>0</v>
      </c>
      <c r="L244" s="57">
        <f t="shared" si="53"/>
        <v>0</v>
      </c>
    </row>
    <row r="245" spans="1:12" ht="15" customHeight="1" x14ac:dyDescent="0.25">
      <c r="A245" s="42" t="str" cm="1">
        <f t="array" ref="A245">IFERROR(INDEX(_xlfn._xlws.FILTER(Class_Players!A:A,Class_Players!B:B="Support"),QUOTIENT(ROW()-ROW($A$2),9)+1),"")</f>
        <v>sguglio</v>
      </c>
      <c r="B245" s="42" t="str">
        <f>_xlfn.XLOOKUP(A245,Class_Players!$A:$A,Class_Players!$B:$B,"")</f>
        <v>Support</v>
      </c>
      <c r="C245" s="38" t="str" cm="1">
        <f t="array" ref="C245">INDEX(Lookups!$D$2:$D$10,MOD(ROW()-ROW($B$2),ROWS(Lookups!$D$2:$D$10))+1)</f>
        <v>GPDIS (Grenade intercept system)</v>
      </c>
      <c r="D245" s="38" t="str">
        <f>_xlfn.XLOOKUP(C245,Analysis_Gadgets!$C:$C,Analysis_Gadgets!$B:$B)</f>
        <v>Gadget</v>
      </c>
      <c r="E245" s="43">
        <v>102</v>
      </c>
      <c r="F245" s="43">
        <f>_xlfn.XLOOKUP(A245,Class_Players!A:A,Class_Players!G:G)</f>
        <v>346</v>
      </c>
      <c r="G245" s="43">
        <f t="shared" si="42"/>
        <v>0.2947976878612717</v>
      </c>
      <c r="H245" s="43">
        <f>_xlfn.XLOOKUP(A245,Class_Players!$A:$A,Class_Players!$F:$F,"")</f>
        <v>14080</v>
      </c>
      <c r="I245" s="44">
        <f t="shared" si="43"/>
        <v>7.2443181818181816E-3</v>
      </c>
      <c r="J245" s="43">
        <f t="shared" si="44"/>
        <v>0</v>
      </c>
      <c r="K245" s="44" cm="1">
        <f t="array" ref="K245">IF(D245="Gadget",_xlfn.IFS(I245&gt;=0.2,0.5,I245&gt;=0.1,0.35,I245&gt;=0.05,0.2,TRUE,0),IF(D245="Grenade",_xlfn.IFS(I245&gt;=0.2,1,I245&gt;=0.1,0.7,I245&gt;=0.05,0.4,TRUE,0),0))</f>
        <v>0</v>
      </c>
      <c r="L245" s="57">
        <f t="shared" ref="L245:L251" si="54">IF($K245=0,0,$K245 / SUMIFS($K:$K,$A:$A,$A245,$D:$D,"Gadget"))</f>
        <v>0</v>
      </c>
    </row>
    <row r="246" spans="1:12" ht="15" customHeight="1" x14ac:dyDescent="0.25">
      <c r="A246" s="42" t="str" cm="1">
        <f t="array" ref="A246">IFERROR(INDEX(_xlfn._xlws.FILTER(Class_Players!A:A,Class_Players!B:B="Support"),QUOTIENT(ROW()-ROW($A$2),9)+1),"")</f>
        <v>sguglio</v>
      </c>
      <c r="B246" s="42" t="str">
        <f>_xlfn.XLOOKUP(A246,Class_Players!$A:$A,Class_Players!$B:$B,"")</f>
        <v>Support</v>
      </c>
      <c r="C246" s="38" t="str" cm="1">
        <f t="array" ref="C246">INDEX(Lookups!$D$2:$D$10,MOD(ROW()-ROW($B$2),ROWS(Lookups!$D$2:$D$10))+1)</f>
        <v>MP-APS (Missile intercept system)</v>
      </c>
      <c r="D246" s="38" t="str">
        <f>_xlfn.XLOOKUP(C246,Analysis_Gadgets!$C:$C,Analysis_Gadgets!$B:$B)</f>
        <v>Gadget</v>
      </c>
      <c r="E246" s="43">
        <v>0</v>
      </c>
      <c r="F246" s="43">
        <f>_xlfn.XLOOKUP(A246,Class_Players!A:A,Class_Players!G:G)</f>
        <v>346</v>
      </c>
      <c r="G246" s="43">
        <f t="shared" si="42"/>
        <v>0</v>
      </c>
      <c r="H246" s="43">
        <f>_xlfn.XLOOKUP(A246,Class_Players!$A:$A,Class_Players!$F:$F,"")</f>
        <v>14080</v>
      </c>
      <c r="I246" s="44">
        <f t="shared" si="43"/>
        <v>0</v>
      </c>
      <c r="J246" s="43">
        <f t="shared" si="44"/>
        <v>0</v>
      </c>
      <c r="K246" s="44" cm="1">
        <f t="array" ref="K246">IF(D246="Gadget",_xlfn.IFS(I246&gt;=0.2,0.5,I246&gt;=0.1,0.35,I246&gt;=0.05,0.2,TRUE,0),IF(D246="Grenade",_xlfn.IFS(I246&gt;=0.2,1,I246&gt;=0.1,0.7,I246&gt;=0.05,0.4,TRUE,0),0))</f>
        <v>0</v>
      </c>
      <c r="L246" s="57">
        <f t="shared" si="54"/>
        <v>0</v>
      </c>
    </row>
    <row r="247" spans="1:12" ht="15" customHeight="1" x14ac:dyDescent="0.25">
      <c r="A247" s="42" t="str" cm="1">
        <f t="array" ref="A247">IFERROR(INDEX(_xlfn._xlws.FILTER(Class_Players!A:A,Class_Players!B:B="Support"),QUOTIENT(ROW()-ROW($A$2),9)+1),"")</f>
        <v>sguglio</v>
      </c>
      <c r="B247" s="42" t="str">
        <f>_xlfn.XLOOKUP(A247,Class_Players!$A:$A,Class_Players!$B:$B,"")</f>
        <v>Support</v>
      </c>
      <c r="C247" s="38" t="str" cm="1">
        <f t="array" ref="C247">INDEX(Lookups!$D$2:$D$10,MOD(ROW()-ROW($B$2),ROWS(Lookups!$D$2:$D$10))+1)</f>
        <v>LWCMS (Mortar)</v>
      </c>
      <c r="D247" s="38" t="str">
        <f>_xlfn.XLOOKUP(C247,Analysis_Gadgets!$C:$C,Analysis_Gadgets!$B:$B)</f>
        <v>Gadget</v>
      </c>
      <c r="E247" s="43">
        <v>23</v>
      </c>
      <c r="F247" s="43">
        <f>_xlfn.XLOOKUP(A247,Class_Players!A:A,Class_Players!G:G)</f>
        <v>346</v>
      </c>
      <c r="G247" s="43">
        <f t="shared" si="42"/>
        <v>6.6473988439306353E-2</v>
      </c>
      <c r="H247" s="43">
        <f>_xlfn.XLOOKUP(A247,Class_Players!$A:$A,Class_Players!$F:$F,"")</f>
        <v>14080</v>
      </c>
      <c r="I247" s="44">
        <f t="shared" si="43"/>
        <v>1.6335227272727272E-3</v>
      </c>
      <c r="J247" s="43">
        <f t="shared" si="44"/>
        <v>0</v>
      </c>
      <c r="K247" s="44" cm="1">
        <f t="array" ref="K247">IF(D247="Gadget",_xlfn.IFS(I247&gt;=0.2,0.5,I247&gt;=0.1,0.35,I247&gt;=0.05,0.2,TRUE,0),IF(D247="Grenade",_xlfn.IFS(I247&gt;=0.2,1,I247&gt;=0.1,0.7,I247&gt;=0.05,0.4,TRUE,0),0))</f>
        <v>0</v>
      </c>
      <c r="L247" s="57">
        <f t="shared" si="54"/>
        <v>0</v>
      </c>
    </row>
    <row r="248" spans="1:12" ht="15" customHeight="1" x14ac:dyDescent="0.25">
      <c r="A248" s="42" t="str" cm="1">
        <f t="array" ref="A248">IFERROR(INDEX(_xlfn._xlws.FILTER(Class_Players!A:A,Class_Players!B:B="Support"),QUOTIENT(ROW()-ROW($A$2),9)+1),"")</f>
        <v>sguglio</v>
      </c>
      <c r="B248" s="42" t="str">
        <f>_xlfn.XLOOKUP(A248,Class_Players!$A:$A,Class_Players!$B:$B,"")</f>
        <v>Support</v>
      </c>
      <c r="C248" s="38" t="str" cm="1">
        <f t="array" ref="C248">INDEX(Lookups!$D$2:$D$10,MOD(ROW()-ROW($B$2),ROWS(Lookups!$D$2:$D$10))+1)</f>
        <v>M320A1 SMK (Smoke Grenade Launcher)</v>
      </c>
      <c r="D248" s="38" t="str">
        <f>_xlfn.XLOOKUP(C248,Analysis_Gadgets!$C:$C,Analysis_Gadgets!$B:$B)</f>
        <v>Gadget</v>
      </c>
      <c r="E248" s="43">
        <v>13</v>
      </c>
      <c r="F248" s="43">
        <f>_xlfn.XLOOKUP(A248,Class_Players!A:A,Class_Players!G:G)</f>
        <v>346</v>
      </c>
      <c r="G248" s="43">
        <f t="shared" si="42"/>
        <v>3.7572254335260118E-2</v>
      </c>
      <c r="H248" s="43">
        <f>_xlfn.XLOOKUP(A248,Class_Players!$A:$A,Class_Players!$F:$F,"")</f>
        <v>14080</v>
      </c>
      <c r="I248" s="44">
        <f t="shared" si="43"/>
        <v>9.2329545454545453E-4</v>
      </c>
      <c r="J248" s="43">
        <f t="shared" si="44"/>
        <v>0</v>
      </c>
      <c r="K248" s="44" cm="1">
        <f t="array" ref="K248">IF(D248="Gadget",_xlfn.IFS(I248&gt;=0.2,0.5,I248&gt;=0.1,0.35,I248&gt;=0.05,0.2,TRUE,0),IF(D248="Grenade",_xlfn.IFS(I248&gt;=0.2,1,I248&gt;=0.1,0.7,I248&gt;=0.05,0.4,TRUE,0),0))</f>
        <v>0</v>
      </c>
      <c r="L248" s="57">
        <f t="shared" si="54"/>
        <v>0</v>
      </c>
    </row>
    <row r="249" spans="1:12" ht="15" customHeight="1" x14ac:dyDescent="0.25">
      <c r="A249" s="42" t="str" cm="1">
        <f t="array" ref="A249">IFERROR(INDEX(_xlfn._xlws.FILTER(Class_Players!A:A,Class_Players!B:B="Support"),QUOTIENT(ROW()-ROW($A$2),9)+1),"")</f>
        <v>sguglio</v>
      </c>
      <c r="B249" s="42" t="str">
        <f>_xlfn.XLOOKUP(A249,Class_Players!$A:$A,Class_Players!$B:$B,"")</f>
        <v>Support</v>
      </c>
      <c r="C249" s="38" t="str" cm="1">
        <f t="array" ref="C249">INDEX(Lookups!$D$2:$D$10,MOD(ROW()-ROW($B$2),ROWS(Lookups!$D$2:$D$10))+1)</f>
        <v>SICH G1 WP (Incendiary Airburst Launcher)</v>
      </c>
      <c r="D249" s="38" t="str">
        <f>_xlfn.XLOOKUP(C249,Analysis_Gadgets!$C:$C,Analysis_Gadgets!$B:$B)</f>
        <v>Gadget</v>
      </c>
      <c r="E249" s="43">
        <v>619</v>
      </c>
      <c r="F249" s="43">
        <f>_xlfn.XLOOKUP(A249,Class_Players!A:A,Class_Players!G:G)</f>
        <v>346</v>
      </c>
      <c r="G249" s="43">
        <f t="shared" si="42"/>
        <v>1.7890173410404624</v>
      </c>
      <c r="H249" s="43">
        <f>_xlfn.XLOOKUP(A249,Class_Players!$A:$A,Class_Players!$F:$F,"")</f>
        <v>14080</v>
      </c>
      <c r="I249" s="44">
        <f t="shared" si="43"/>
        <v>4.396306818181818E-2</v>
      </c>
      <c r="J249" s="43">
        <f t="shared" si="44"/>
        <v>0</v>
      </c>
      <c r="K249" s="44" cm="1">
        <f t="array" ref="K249">IF(D249="Gadget",_xlfn.IFS(I249&gt;=0.2,0.5,I249&gt;=0.1,0.35,I249&gt;=0.05,0.2,TRUE,0),IF(D249="Grenade",_xlfn.IFS(I249&gt;=0.2,1,I249&gt;=0.1,0.7,I249&gt;=0.05,0.4,TRUE,0),0))</f>
        <v>0</v>
      </c>
      <c r="L249" s="57">
        <f t="shared" si="54"/>
        <v>0</v>
      </c>
    </row>
    <row r="250" spans="1:12" ht="15" customHeight="1" x14ac:dyDescent="0.25">
      <c r="A250" s="42" t="str" cm="1">
        <f t="array" ref="A250">IFERROR(INDEX(_xlfn._xlws.FILTER(Class_Players!A:A,Class_Players!B:B="Support"),QUOTIENT(ROW()-ROW($A$2),9)+1),"")</f>
        <v>sguglio</v>
      </c>
      <c r="B250" s="42" t="str">
        <f>_xlfn.XLOOKUP(A250,Class_Players!$A:$A,Class_Players!$B:$B,"")</f>
        <v>Support</v>
      </c>
      <c r="C250" s="38" t="str" cm="1">
        <f t="array" ref="C250">INDEX(Lookups!$D$2:$D$10,MOD(ROW()-ROW($B$2),ROWS(Lookups!$D$2:$D$10))+1)</f>
        <v>Deployable Cover</v>
      </c>
      <c r="D250" s="38" t="str">
        <f>_xlfn.XLOOKUP(C250,Analysis_Gadgets!$C:$C,Analysis_Gadgets!$B:$B)</f>
        <v>Gadget</v>
      </c>
      <c r="E250" s="43">
        <v>1781</v>
      </c>
      <c r="F250" s="43">
        <f>_xlfn.XLOOKUP(A250,Class_Players!A:A,Class_Players!G:G)</f>
        <v>346</v>
      </c>
      <c r="G250" s="43">
        <f t="shared" si="42"/>
        <v>5.1473988439306355</v>
      </c>
      <c r="H250" s="43">
        <f>_xlfn.XLOOKUP(A250,Class_Players!$A:$A,Class_Players!$F:$F,"")</f>
        <v>14080</v>
      </c>
      <c r="I250" s="44">
        <f t="shared" si="43"/>
        <v>0.12649147727272728</v>
      </c>
      <c r="J250" s="43">
        <f t="shared" si="44"/>
        <v>1</v>
      </c>
      <c r="K250" s="44" cm="1">
        <f t="array" ref="K250">IF(D250="Gadget",_xlfn.IFS(I250&gt;=0.2,0.5,I250&gt;=0.1,0.35,I250&gt;=0.05,0.2,TRUE,0),IF(D250="Grenade",_xlfn.IFS(I250&gt;=0.2,1,I250&gt;=0.1,0.7,I250&gt;=0.05,0.4,TRUE,0),0))</f>
        <v>0.35</v>
      </c>
      <c r="L250" s="57">
        <f t="shared" si="54"/>
        <v>1</v>
      </c>
    </row>
    <row r="251" spans="1:12" ht="15" customHeight="1" x14ac:dyDescent="0.25">
      <c r="A251" s="42" t="str" cm="1">
        <f t="array" ref="A251">IFERROR(INDEX(_xlfn._xlws.FILTER(Class_Players!A:A,Class_Players!B:B="Support"),QUOTIENT(ROW()-ROW($A$2),9)+1),"")</f>
        <v>sguglio</v>
      </c>
      <c r="B251" s="42" t="str">
        <f>_xlfn.XLOOKUP(A251,Class_Players!$A:$A,Class_Players!$B:$B,"")</f>
        <v>Support</v>
      </c>
      <c r="C251" s="38" t="str" cm="1">
        <f t="array" ref="C251">INDEX(Lookups!$D$2:$D$10,MOD(ROW()-ROW($B$2),ROWS(Lookups!$D$2:$D$10))+1)</f>
        <v>Supply Pouch</v>
      </c>
      <c r="D251" s="38" t="str">
        <f>_xlfn.XLOOKUP(C251,Analysis_Gadgets!$C:$C,Analysis_Gadgets!$B:$B)</f>
        <v>Gadget</v>
      </c>
      <c r="E251" s="43">
        <v>187</v>
      </c>
      <c r="F251" s="43">
        <f>_xlfn.XLOOKUP(A251,Class_Players!A:A,Class_Players!G:G)</f>
        <v>346</v>
      </c>
      <c r="G251" s="43">
        <f t="shared" si="42"/>
        <v>0.54046242774566478</v>
      </c>
      <c r="H251" s="43">
        <f>_xlfn.XLOOKUP(A251,Class_Players!$A:$A,Class_Players!$F:$F,"")</f>
        <v>14080</v>
      </c>
      <c r="I251" s="44">
        <f t="shared" si="43"/>
        <v>1.328125E-2</v>
      </c>
      <c r="J251" s="43">
        <f t="shared" si="44"/>
        <v>0</v>
      </c>
      <c r="K251" s="44" cm="1">
        <f t="array" ref="K251">IF(D251="Gadget",_xlfn.IFS(I251&gt;=0.2,0.5,I251&gt;=0.1,0.35,I251&gt;=0.05,0.2,TRUE,0),IF(D251="Grenade",_xlfn.IFS(I251&gt;=0.2,1,I251&gt;=0.1,0.7,I251&gt;=0.05,0.4,TRUE,0),0))</f>
        <v>0</v>
      </c>
      <c r="L251" s="57">
        <f t="shared" si="54"/>
        <v>0</v>
      </c>
    </row>
    <row r="252" spans="1:12" ht="15" customHeight="1" x14ac:dyDescent="0.25">
      <c r="A252" s="42" t="str" cm="1">
        <f t="array" ref="A252">IFERROR(INDEX(_xlfn._xlws.FILTER(Class_Players!A:A,Class_Players!B:B="Support"),QUOTIENT(ROW()-ROW($A$2),9)+1),"")</f>
        <v>sguglio</v>
      </c>
      <c r="B252" s="42" t="str">
        <f>_xlfn.XLOOKUP(A252,Class_Players!$A:$A,Class_Players!$B:$B,"")</f>
        <v>Support</v>
      </c>
      <c r="C252" s="38" t="str" cm="1">
        <f t="array" ref="C252">INDEX(Lookups!$D$2:$D$10,MOD(ROW()-ROW($B$2),ROWS(Lookups!$D$2:$D$10))+1)</f>
        <v>Smoke Grenade</v>
      </c>
      <c r="D252" s="38" t="str">
        <f>_xlfn.XLOOKUP(C252,Analysis_Gadgets!$C:$C,Analysis_Gadgets!$B:$B)</f>
        <v>Grenade</v>
      </c>
      <c r="E252" s="43">
        <v>6911</v>
      </c>
      <c r="F252" s="43">
        <f>_xlfn.XLOOKUP(A252,Class_Players!A:A,Class_Players!G:G)</f>
        <v>346</v>
      </c>
      <c r="G252" s="43">
        <f t="shared" si="42"/>
        <v>19.973988439306357</v>
      </c>
      <c r="H252" s="43">
        <f>_xlfn.XLOOKUP(A252,Class_Players!$A:$A,Class_Players!$F:$F,"")</f>
        <v>14080</v>
      </c>
      <c r="I252" s="44">
        <f t="shared" si="43"/>
        <v>0.49083806818181819</v>
      </c>
      <c r="J252" s="43">
        <f t="shared" si="44"/>
        <v>1</v>
      </c>
      <c r="K252" s="44" cm="1">
        <f t="array" ref="K252">IF(D252="Gadget",_xlfn.IFS(I252&gt;=0.2,0.5,I252&gt;=0.1,0.35,I252&gt;=0.05,0.2,TRUE,0),IF(D252="Grenade",_xlfn.IFS(I252&gt;=0.2,1,I252&gt;=0.1,0.7,I252&gt;=0.05,0.4,TRUE,0),0))</f>
        <v>1</v>
      </c>
      <c r="L252" s="57">
        <f t="shared" ref="L252:L253" si="55">IF($K252=0,0,$K252 / SUMIFS($K:$K,$A:$A,$A252,$D:$D,"Grenade"))</f>
        <v>1</v>
      </c>
    </row>
    <row r="253" spans="1:12" ht="15" customHeight="1" x14ac:dyDescent="0.25">
      <c r="A253" s="42" t="str" cm="1">
        <f t="array" ref="A253">IFERROR(INDEX(_xlfn._xlws.FILTER(Class_Players!A:A,Class_Players!B:B="Support"),QUOTIENT(ROW()-ROW($A$2),9)+1),"")</f>
        <v>sguglio</v>
      </c>
      <c r="B253" s="42" t="str">
        <f>_xlfn.XLOOKUP(A253,Class_Players!$A:$A,Class_Players!$B:$B,"")</f>
        <v>Support</v>
      </c>
      <c r="C253" s="38" t="str" cm="1">
        <f t="array" ref="C253">INDEX(Lookups!$D$2:$D$10,MOD(ROW()-ROW($B$2),ROWS(Lookups!$D$2:$D$10))+1)</f>
        <v>Incendiary Grenade</v>
      </c>
      <c r="D253" s="38" t="str">
        <f>_xlfn.XLOOKUP(C253,Analysis_Gadgets!$C:$C,Analysis_Gadgets!$B:$B)</f>
        <v>Grenade</v>
      </c>
      <c r="E253" s="43">
        <v>315</v>
      </c>
      <c r="F253" s="43">
        <f>_xlfn.XLOOKUP(A253,Class_Players!A:A,Class_Players!G:G)</f>
        <v>346</v>
      </c>
      <c r="G253" s="43">
        <f t="shared" si="42"/>
        <v>0.91040462427745661</v>
      </c>
      <c r="H253" s="43">
        <f>_xlfn.XLOOKUP(A253,Class_Players!$A:$A,Class_Players!$F:$F,"")</f>
        <v>14080</v>
      </c>
      <c r="I253" s="44">
        <f t="shared" si="43"/>
        <v>2.2372159090909092E-2</v>
      </c>
      <c r="J253" s="43">
        <f t="shared" si="44"/>
        <v>0</v>
      </c>
      <c r="K253" s="44" cm="1">
        <f t="array" ref="K253">IF(D253="Gadget",_xlfn.IFS(I253&gt;=0.2,0.5,I253&gt;=0.1,0.35,I253&gt;=0.05,0.2,TRUE,0),IF(D253="Grenade",_xlfn.IFS(I253&gt;=0.2,1,I253&gt;=0.1,0.7,I253&gt;=0.05,0.4,TRUE,0),0))</f>
        <v>0</v>
      </c>
      <c r="L253" s="57">
        <f t="shared" si="55"/>
        <v>0</v>
      </c>
    </row>
    <row r="254" spans="1:12" ht="15" customHeight="1" x14ac:dyDescent="0.25">
      <c r="A254" s="42" t="str" cm="1">
        <f t="array" ref="A254">IFERROR(INDEX(_xlfn._xlws.FILTER(Class_Players!A:A,Class_Players!B:B="Support"),QUOTIENT(ROW()-ROW($A$2),9)+1),"")</f>
        <v>Dodeyx</v>
      </c>
      <c r="B254" s="42" t="str">
        <f>_xlfn.XLOOKUP(A254,Class_Players!$A:$A,Class_Players!$B:$B,"")</f>
        <v>Support</v>
      </c>
      <c r="C254" s="38" t="str" cm="1">
        <f t="array" ref="C254">INDEX(Lookups!$D$2:$D$10,MOD(ROW()-ROW($B$2),ROWS(Lookups!$D$2:$D$10))+1)</f>
        <v>GPDIS (Grenade intercept system)</v>
      </c>
      <c r="D254" s="38" t="str">
        <f>_xlfn.XLOOKUP(C254,Analysis_Gadgets!$C:$C,Analysis_Gadgets!$B:$B)</f>
        <v>Gadget</v>
      </c>
      <c r="E254" s="43">
        <v>297</v>
      </c>
      <c r="F254" s="43">
        <f>_xlfn.XLOOKUP(A254,Class_Players!A:A,Class_Players!G:G)</f>
        <v>322</v>
      </c>
      <c r="G254" s="43">
        <f t="shared" si="42"/>
        <v>0.92236024844720499</v>
      </c>
      <c r="H254" s="43">
        <f>_xlfn.XLOOKUP(A254,Class_Players!$A:$A,Class_Players!$F:$F,"")</f>
        <v>14157</v>
      </c>
      <c r="I254" s="44">
        <f t="shared" si="43"/>
        <v>2.097902097902098E-2</v>
      </c>
      <c r="J254" s="43">
        <f t="shared" si="44"/>
        <v>0</v>
      </c>
      <c r="K254" s="44" cm="1">
        <f t="array" ref="K254">IF(D254="Gadget",_xlfn.IFS(I254&gt;=0.2,0.5,I254&gt;=0.1,0.35,I254&gt;=0.05,0.2,TRUE,0),IF(D254="Grenade",_xlfn.IFS(I254&gt;=0.2,1,I254&gt;=0.1,0.7,I254&gt;=0.05,0.4,TRUE,0),0))</f>
        <v>0</v>
      </c>
      <c r="L254" s="57">
        <f t="shared" ref="L254:L260" si="56">IF($K254=0,0,$K254 / SUMIFS($K:$K,$A:$A,$A254,$D:$D,"Gadget"))</f>
        <v>0</v>
      </c>
    </row>
    <row r="255" spans="1:12" ht="15" customHeight="1" x14ac:dyDescent="0.25">
      <c r="A255" s="42" t="str" cm="1">
        <f t="array" ref="A255">IFERROR(INDEX(_xlfn._xlws.FILTER(Class_Players!A:A,Class_Players!B:B="Support"),QUOTIENT(ROW()-ROW($A$2),9)+1),"")</f>
        <v>Dodeyx</v>
      </c>
      <c r="B255" s="42" t="str">
        <f>_xlfn.XLOOKUP(A255,Class_Players!$A:$A,Class_Players!$B:$B,"")</f>
        <v>Support</v>
      </c>
      <c r="C255" s="38" t="str" cm="1">
        <f t="array" ref="C255">INDEX(Lookups!$D$2:$D$10,MOD(ROW()-ROW($B$2),ROWS(Lookups!$D$2:$D$10))+1)</f>
        <v>MP-APS (Missile intercept system)</v>
      </c>
      <c r="D255" s="38" t="str">
        <f>_xlfn.XLOOKUP(C255,Analysis_Gadgets!$C:$C,Analysis_Gadgets!$B:$B)</f>
        <v>Gadget</v>
      </c>
      <c r="E255" s="43">
        <v>10</v>
      </c>
      <c r="F255" s="43">
        <f>_xlfn.XLOOKUP(A255,Class_Players!A:A,Class_Players!G:G)</f>
        <v>322</v>
      </c>
      <c r="G255" s="43">
        <f t="shared" si="42"/>
        <v>3.1055900621118012E-2</v>
      </c>
      <c r="H255" s="43">
        <f>_xlfn.XLOOKUP(A255,Class_Players!$A:$A,Class_Players!$F:$F,"")</f>
        <v>14157</v>
      </c>
      <c r="I255" s="44">
        <f t="shared" si="43"/>
        <v>7.0636434272797904E-4</v>
      </c>
      <c r="J255" s="43">
        <f t="shared" si="44"/>
        <v>0</v>
      </c>
      <c r="K255" s="44" cm="1">
        <f t="array" ref="K255">IF(D255="Gadget",_xlfn.IFS(I255&gt;=0.2,0.5,I255&gt;=0.1,0.35,I255&gt;=0.05,0.2,TRUE,0),IF(D255="Grenade",_xlfn.IFS(I255&gt;=0.2,1,I255&gt;=0.1,0.7,I255&gt;=0.05,0.4,TRUE,0),0))</f>
        <v>0</v>
      </c>
      <c r="L255" s="57">
        <f t="shared" si="56"/>
        <v>0</v>
      </c>
    </row>
    <row r="256" spans="1:12" ht="15" customHeight="1" x14ac:dyDescent="0.25">
      <c r="A256" s="42" t="str" cm="1">
        <f t="array" ref="A256">IFERROR(INDEX(_xlfn._xlws.FILTER(Class_Players!A:A,Class_Players!B:B="Support"),QUOTIENT(ROW()-ROW($A$2),9)+1),"")</f>
        <v>Dodeyx</v>
      </c>
      <c r="B256" s="42" t="str">
        <f>_xlfn.XLOOKUP(A256,Class_Players!$A:$A,Class_Players!$B:$B,"")</f>
        <v>Support</v>
      </c>
      <c r="C256" s="38" t="str" cm="1">
        <f t="array" ref="C256">INDEX(Lookups!$D$2:$D$10,MOD(ROW()-ROW($B$2),ROWS(Lookups!$D$2:$D$10))+1)</f>
        <v>LWCMS (Mortar)</v>
      </c>
      <c r="D256" s="38" t="str">
        <f>_xlfn.XLOOKUP(C256,Analysis_Gadgets!$C:$C,Analysis_Gadgets!$B:$B)</f>
        <v>Gadget</v>
      </c>
      <c r="E256" s="43">
        <v>44</v>
      </c>
      <c r="F256" s="43">
        <f>_xlfn.XLOOKUP(A256,Class_Players!A:A,Class_Players!G:G)</f>
        <v>322</v>
      </c>
      <c r="G256" s="43">
        <f t="shared" si="42"/>
        <v>0.13664596273291926</v>
      </c>
      <c r="H256" s="43">
        <f>_xlfn.XLOOKUP(A256,Class_Players!$A:$A,Class_Players!$F:$F,"")</f>
        <v>14157</v>
      </c>
      <c r="I256" s="44">
        <f t="shared" si="43"/>
        <v>3.108003108003108E-3</v>
      </c>
      <c r="J256" s="43">
        <f t="shared" si="44"/>
        <v>0</v>
      </c>
      <c r="K256" s="44" cm="1">
        <f t="array" ref="K256">IF(D256="Gadget",_xlfn.IFS(I256&gt;=0.2,0.5,I256&gt;=0.1,0.35,I256&gt;=0.05,0.2,TRUE,0),IF(D256="Grenade",_xlfn.IFS(I256&gt;=0.2,1,I256&gt;=0.1,0.7,I256&gt;=0.05,0.4,TRUE,0),0))</f>
        <v>0</v>
      </c>
      <c r="L256" s="57">
        <f t="shared" si="56"/>
        <v>0</v>
      </c>
    </row>
    <row r="257" spans="1:12" ht="15" customHeight="1" x14ac:dyDescent="0.25">
      <c r="A257" s="42" t="str" cm="1">
        <f t="array" ref="A257">IFERROR(INDEX(_xlfn._xlws.FILTER(Class_Players!A:A,Class_Players!B:B="Support"),QUOTIENT(ROW()-ROW($A$2),9)+1),"")</f>
        <v>Dodeyx</v>
      </c>
      <c r="B257" s="42" t="str">
        <f>_xlfn.XLOOKUP(A257,Class_Players!$A:$A,Class_Players!$B:$B,"")</f>
        <v>Support</v>
      </c>
      <c r="C257" s="38" t="str" cm="1">
        <f t="array" ref="C257">INDEX(Lookups!$D$2:$D$10,MOD(ROW()-ROW($B$2),ROWS(Lookups!$D$2:$D$10))+1)</f>
        <v>M320A1 SMK (Smoke Grenade Launcher)</v>
      </c>
      <c r="D257" s="38" t="str">
        <f>_xlfn.XLOOKUP(C257,Analysis_Gadgets!$C:$C,Analysis_Gadgets!$B:$B)</f>
        <v>Gadget</v>
      </c>
      <c r="E257" s="43">
        <v>2198</v>
      </c>
      <c r="F257" s="43">
        <f>_xlfn.XLOOKUP(A257,Class_Players!A:A,Class_Players!G:G)</f>
        <v>322</v>
      </c>
      <c r="G257" s="43">
        <f t="shared" si="42"/>
        <v>6.8260869565217392</v>
      </c>
      <c r="H257" s="43">
        <f>_xlfn.XLOOKUP(A257,Class_Players!$A:$A,Class_Players!$F:$F,"")</f>
        <v>14157</v>
      </c>
      <c r="I257" s="44">
        <f t="shared" si="43"/>
        <v>0.1552588825316098</v>
      </c>
      <c r="J257" s="43">
        <f t="shared" si="44"/>
        <v>1</v>
      </c>
      <c r="K257" s="44" cm="1">
        <f t="array" ref="K257">IF(D257="Gadget",_xlfn.IFS(I257&gt;=0.2,0.5,I257&gt;=0.1,0.35,I257&gt;=0.05,0.2,TRUE,0),IF(D257="Grenade",_xlfn.IFS(I257&gt;=0.2,1,I257&gt;=0.1,0.7,I257&gt;=0.05,0.4,TRUE,0),0))</f>
        <v>0.35</v>
      </c>
      <c r="L257" s="57">
        <f t="shared" si="56"/>
        <v>0.25925925925925924</v>
      </c>
    </row>
    <row r="258" spans="1:12" ht="15" customHeight="1" x14ac:dyDescent="0.25">
      <c r="A258" s="42" t="str" cm="1">
        <f t="array" ref="A258">IFERROR(INDEX(_xlfn._xlws.FILTER(Class_Players!A:A,Class_Players!B:B="Support"),QUOTIENT(ROW()-ROW($A$2),9)+1),"")</f>
        <v>Dodeyx</v>
      </c>
      <c r="B258" s="42" t="str">
        <f>_xlfn.XLOOKUP(A258,Class_Players!$A:$A,Class_Players!$B:$B,"")</f>
        <v>Support</v>
      </c>
      <c r="C258" s="38" t="str" cm="1">
        <f t="array" ref="C258">INDEX(Lookups!$D$2:$D$10,MOD(ROW()-ROW($B$2),ROWS(Lookups!$D$2:$D$10))+1)</f>
        <v>SICH G1 WP (Incendiary Airburst Launcher)</v>
      </c>
      <c r="D258" s="38" t="str">
        <f>_xlfn.XLOOKUP(C258,Analysis_Gadgets!$C:$C,Analysis_Gadgets!$B:$B)</f>
        <v>Gadget</v>
      </c>
      <c r="E258" s="43">
        <v>4291</v>
      </c>
      <c r="F258" s="43">
        <f>_xlfn.XLOOKUP(A258,Class_Players!A:A,Class_Players!G:G)</f>
        <v>322</v>
      </c>
      <c r="G258" s="43">
        <f t="shared" si="42"/>
        <v>13.326086956521738</v>
      </c>
      <c r="H258" s="43">
        <f>_xlfn.XLOOKUP(A258,Class_Players!$A:$A,Class_Players!$F:$F,"")</f>
        <v>14157</v>
      </c>
      <c r="I258" s="44">
        <f t="shared" si="43"/>
        <v>0.30310093946457584</v>
      </c>
      <c r="J258" s="43">
        <f t="shared" si="44"/>
        <v>1</v>
      </c>
      <c r="K258" s="44" cm="1">
        <f t="array" ref="K258">IF(D258="Gadget",_xlfn.IFS(I258&gt;=0.2,0.5,I258&gt;=0.1,0.35,I258&gt;=0.05,0.2,TRUE,0),IF(D258="Grenade",_xlfn.IFS(I258&gt;=0.2,1,I258&gt;=0.1,0.7,I258&gt;=0.05,0.4,TRUE,0),0))</f>
        <v>0.5</v>
      </c>
      <c r="L258" s="57">
        <f t="shared" si="56"/>
        <v>0.37037037037037035</v>
      </c>
    </row>
    <row r="259" spans="1:12" ht="15" customHeight="1" x14ac:dyDescent="0.25">
      <c r="A259" s="42" t="str" cm="1">
        <f t="array" ref="A259">IFERROR(INDEX(_xlfn._xlws.FILTER(Class_Players!A:A,Class_Players!B:B="Support"),QUOTIENT(ROW()-ROW($A$2),9)+1),"")</f>
        <v>Dodeyx</v>
      </c>
      <c r="B259" s="42" t="str">
        <f>_xlfn.XLOOKUP(A259,Class_Players!$A:$A,Class_Players!$B:$B,"")</f>
        <v>Support</v>
      </c>
      <c r="C259" s="38" t="str" cm="1">
        <f t="array" ref="C259">INDEX(Lookups!$D$2:$D$10,MOD(ROW()-ROW($B$2),ROWS(Lookups!$D$2:$D$10))+1)</f>
        <v>Deployable Cover</v>
      </c>
      <c r="D259" s="38" t="str">
        <f>_xlfn.XLOOKUP(C259,Analysis_Gadgets!$C:$C,Analysis_Gadgets!$B:$B)</f>
        <v>Gadget</v>
      </c>
      <c r="E259" s="43">
        <v>3770</v>
      </c>
      <c r="F259" s="43">
        <f>_xlfn.XLOOKUP(A259,Class_Players!A:A,Class_Players!G:G)</f>
        <v>322</v>
      </c>
      <c r="G259" s="43">
        <f t="shared" si="42"/>
        <v>11.70807453416149</v>
      </c>
      <c r="H259" s="43">
        <f>_xlfn.XLOOKUP(A259,Class_Players!$A:$A,Class_Players!$F:$F,"")</f>
        <v>14157</v>
      </c>
      <c r="I259" s="44">
        <f t="shared" si="43"/>
        <v>0.26629935720844811</v>
      </c>
      <c r="J259" s="43">
        <f t="shared" si="44"/>
        <v>1</v>
      </c>
      <c r="K259" s="44" cm="1">
        <f t="array" ref="K259">IF(D259="Gadget",_xlfn.IFS(I259&gt;=0.2,0.5,I259&gt;=0.1,0.35,I259&gt;=0.05,0.2,TRUE,0),IF(D259="Grenade",_xlfn.IFS(I259&gt;=0.2,1,I259&gt;=0.1,0.7,I259&gt;=0.05,0.4,TRUE,0),0))</f>
        <v>0.5</v>
      </c>
      <c r="L259" s="57">
        <f t="shared" si="56"/>
        <v>0.37037037037037035</v>
      </c>
    </row>
    <row r="260" spans="1:12" ht="15" customHeight="1" x14ac:dyDescent="0.25">
      <c r="A260" s="42" t="str" cm="1">
        <f t="array" ref="A260">IFERROR(INDEX(_xlfn._xlws.FILTER(Class_Players!A:A,Class_Players!B:B="Support"),QUOTIENT(ROW()-ROW($A$2),9)+1),"")</f>
        <v>Dodeyx</v>
      </c>
      <c r="B260" s="42" t="str">
        <f>_xlfn.XLOOKUP(A260,Class_Players!$A:$A,Class_Players!$B:$B,"")</f>
        <v>Support</v>
      </c>
      <c r="C260" s="38" t="str" cm="1">
        <f t="array" ref="C260">INDEX(Lookups!$D$2:$D$10,MOD(ROW()-ROW($B$2),ROWS(Lookups!$D$2:$D$10))+1)</f>
        <v>Supply Pouch</v>
      </c>
      <c r="D260" s="38" t="str">
        <f>_xlfn.XLOOKUP(C260,Analysis_Gadgets!$C:$C,Analysis_Gadgets!$B:$B)</f>
        <v>Gadget</v>
      </c>
      <c r="E260" s="43">
        <v>614</v>
      </c>
      <c r="F260" s="43">
        <f>_xlfn.XLOOKUP(A260,Class_Players!A:A,Class_Players!G:G)</f>
        <v>322</v>
      </c>
      <c r="G260" s="43">
        <f t="shared" si="42"/>
        <v>1.9068322981366459</v>
      </c>
      <c r="H260" s="43">
        <f>_xlfn.XLOOKUP(A260,Class_Players!$A:$A,Class_Players!$F:$F,"")</f>
        <v>14157</v>
      </c>
      <c r="I260" s="44">
        <f t="shared" si="43"/>
        <v>4.3370770643497918E-2</v>
      </c>
      <c r="J260" s="43">
        <f t="shared" si="44"/>
        <v>0</v>
      </c>
      <c r="K260" s="44" cm="1">
        <f t="array" ref="K260">IF(D260="Gadget",_xlfn.IFS(I260&gt;=0.2,0.5,I260&gt;=0.1,0.35,I260&gt;=0.05,0.2,TRUE,0),IF(D260="Grenade",_xlfn.IFS(I260&gt;=0.2,1,I260&gt;=0.1,0.7,I260&gt;=0.05,0.4,TRUE,0),0))</f>
        <v>0</v>
      </c>
      <c r="L260" s="57">
        <f t="shared" si="56"/>
        <v>0</v>
      </c>
    </row>
    <row r="261" spans="1:12" ht="15" customHeight="1" x14ac:dyDescent="0.25">
      <c r="A261" s="42" t="str" cm="1">
        <f t="array" ref="A261">IFERROR(INDEX(_xlfn._xlws.FILTER(Class_Players!A:A,Class_Players!B:B="Support"),QUOTIENT(ROW()-ROW($A$2),9)+1),"")</f>
        <v>Dodeyx</v>
      </c>
      <c r="B261" s="42" t="str">
        <f>_xlfn.XLOOKUP(A261,Class_Players!$A:$A,Class_Players!$B:$B,"")</f>
        <v>Support</v>
      </c>
      <c r="C261" s="38" t="str" cm="1">
        <f t="array" ref="C261">INDEX(Lookups!$D$2:$D$10,MOD(ROW()-ROW($B$2),ROWS(Lookups!$D$2:$D$10))+1)</f>
        <v>Smoke Grenade</v>
      </c>
      <c r="D261" s="38" t="str">
        <f>_xlfn.XLOOKUP(C261,Analysis_Gadgets!$C:$C,Analysis_Gadgets!$B:$B)</f>
        <v>Grenade</v>
      </c>
      <c r="E261" s="43">
        <v>7162</v>
      </c>
      <c r="F261" s="43">
        <f>_xlfn.XLOOKUP(A261,Class_Players!A:A,Class_Players!G:G)</f>
        <v>322</v>
      </c>
      <c r="G261" s="43">
        <f t="shared" si="42"/>
        <v>22.242236024844722</v>
      </c>
      <c r="H261" s="43">
        <f>_xlfn.XLOOKUP(A261,Class_Players!$A:$A,Class_Players!$F:$F,"")</f>
        <v>14157</v>
      </c>
      <c r="I261" s="44">
        <f t="shared" si="43"/>
        <v>0.50589814226177865</v>
      </c>
      <c r="J261" s="43">
        <f t="shared" si="44"/>
        <v>1</v>
      </c>
      <c r="K261" s="44" cm="1">
        <f t="array" ref="K261">IF(D261="Gadget",_xlfn.IFS(I261&gt;=0.2,0.5,I261&gt;=0.1,0.35,I261&gt;=0.05,0.2,TRUE,0),IF(D261="Grenade",_xlfn.IFS(I261&gt;=0.2,1,I261&gt;=0.1,0.7,I261&gt;=0.05,0.4,TRUE,0),0))</f>
        <v>1</v>
      </c>
      <c r="L261" s="57">
        <f t="shared" ref="L261:L262" si="57">IF($K261=0,0,$K261 / SUMIFS($K:$K,$A:$A,$A261,$D:$D,"Grenade"))</f>
        <v>0.58823529411764708</v>
      </c>
    </row>
    <row r="262" spans="1:12" ht="15" customHeight="1" x14ac:dyDescent="0.25">
      <c r="A262" s="42" t="str" cm="1">
        <f t="array" ref="A262">IFERROR(INDEX(_xlfn._xlws.FILTER(Class_Players!A:A,Class_Players!B:B="Support"),QUOTIENT(ROW()-ROW($A$2),9)+1),"")</f>
        <v>Dodeyx</v>
      </c>
      <c r="B262" s="42" t="str">
        <f>_xlfn.XLOOKUP(A262,Class_Players!$A:$A,Class_Players!$B:$B,"")</f>
        <v>Support</v>
      </c>
      <c r="C262" s="38" t="str" cm="1">
        <f t="array" ref="C262">INDEX(Lookups!$D$2:$D$10,MOD(ROW()-ROW($B$2),ROWS(Lookups!$D$2:$D$10))+1)</f>
        <v>Incendiary Grenade</v>
      </c>
      <c r="D262" s="38" t="str">
        <f>_xlfn.XLOOKUP(C262,Analysis_Gadgets!$C:$C,Analysis_Gadgets!$B:$B)</f>
        <v>Grenade</v>
      </c>
      <c r="E262" s="43">
        <v>1767</v>
      </c>
      <c r="F262" s="43">
        <f>_xlfn.XLOOKUP(A262,Class_Players!A:A,Class_Players!G:G)</f>
        <v>322</v>
      </c>
      <c r="G262" s="43">
        <f t="shared" si="42"/>
        <v>5.487577639751553</v>
      </c>
      <c r="H262" s="43">
        <f>_xlfn.XLOOKUP(A262,Class_Players!$A:$A,Class_Players!$F:$F,"")</f>
        <v>14157</v>
      </c>
      <c r="I262" s="44">
        <f t="shared" si="43"/>
        <v>0.1248145793600339</v>
      </c>
      <c r="J262" s="43">
        <f t="shared" si="44"/>
        <v>1</v>
      </c>
      <c r="K262" s="44" cm="1">
        <f t="array" ref="K262">IF(D262="Gadget",_xlfn.IFS(I262&gt;=0.2,0.5,I262&gt;=0.1,0.35,I262&gt;=0.05,0.2,TRUE,0),IF(D262="Grenade",_xlfn.IFS(I262&gt;=0.2,1,I262&gt;=0.1,0.7,I262&gt;=0.05,0.4,TRUE,0),0))</f>
        <v>0.7</v>
      </c>
      <c r="L262" s="57">
        <f t="shared" si="57"/>
        <v>0.41176470588235292</v>
      </c>
    </row>
    <row r="263" spans="1:12" ht="15" customHeight="1" x14ac:dyDescent="0.25">
      <c r="A263" s="42" t="str" cm="1">
        <f t="array" ref="A263">IFERROR(INDEX(_xlfn._xlws.FILTER(Class_Players!A:A,Class_Players!B:B="Support"),QUOTIENT(ROW()-ROW($A$2),9)+1),"")</f>
        <v>ramikingx1</v>
      </c>
      <c r="B263" s="42" t="str">
        <f>_xlfn.XLOOKUP(A263,Class_Players!$A:$A,Class_Players!$B:$B,"")</f>
        <v>Support</v>
      </c>
      <c r="C263" s="38" t="str" cm="1">
        <f t="array" ref="C263">INDEX(Lookups!$D$2:$D$10,MOD(ROW()-ROW($B$2),ROWS(Lookups!$D$2:$D$10))+1)</f>
        <v>GPDIS (Grenade intercept system)</v>
      </c>
      <c r="D263" s="38" t="str">
        <f>_xlfn.XLOOKUP(C263,Analysis_Gadgets!$C:$C,Analysis_Gadgets!$B:$B)</f>
        <v>Gadget</v>
      </c>
      <c r="E263" s="43">
        <v>3</v>
      </c>
      <c r="F263" s="43">
        <f>_xlfn.XLOOKUP(A263,Class_Players!A:A,Class_Players!G:G)</f>
        <v>332</v>
      </c>
      <c r="G263" s="43">
        <f t="shared" si="42"/>
        <v>9.0361445783132526E-3</v>
      </c>
      <c r="H263" s="43">
        <f>_xlfn.XLOOKUP(A263,Class_Players!$A:$A,Class_Players!$F:$F,"")</f>
        <v>14760</v>
      </c>
      <c r="I263" s="44">
        <f t="shared" si="43"/>
        <v>2.032520325203252E-4</v>
      </c>
      <c r="J263" s="43">
        <f t="shared" si="44"/>
        <v>0</v>
      </c>
      <c r="K263" s="44" cm="1">
        <f t="array" ref="K263">IF(D263="Gadget",_xlfn.IFS(I263&gt;=0.2,0.5,I263&gt;=0.1,0.35,I263&gt;=0.05,0.2,TRUE,0),IF(D263="Grenade",_xlfn.IFS(I263&gt;=0.2,1,I263&gt;=0.1,0.7,I263&gt;=0.05,0.4,TRUE,0),0))</f>
        <v>0</v>
      </c>
      <c r="L263" s="57">
        <f>IF($K263=0,0,$K263 / SUMIFS($K:$K,$A:$A,$A263,$D:$D,"Gadget"))</f>
        <v>0</v>
      </c>
    </row>
    <row r="264" spans="1:12" ht="15" customHeight="1" x14ac:dyDescent="0.25">
      <c r="A264" s="42" t="str" cm="1">
        <f t="array" ref="A264">IFERROR(INDEX(_xlfn._xlws.FILTER(Class_Players!A:A,Class_Players!B:B="Support"),QUOTIENT(ROW()-ROW($A$2),9)+1),"")</f>
        <v>ramikingx1</v>
      </c>
      <c r="B264" s="42" t="str">
        <f>_xlfn.XLOOKUP(A264,Class_Players!$A:$A,Class_Players!$B:$B,"")</f>
        <v>Support</v>
      </c>
      <c r="C264" s="38" t="str" cm="1">
        <f t="array" ref="C264">INDEX(Lookups!$D$2:$D$10,MOD(ROW()-ROW($B$2),ROWS(Lookups!$D$2:$D$10))+1)</f>
        <v>MP-APS (Missile intercept system)</v>
      </c>
      <c r="D264" s="38" t="str">
        <f>_xlfn.XLOOKUP(C264,Analysis_Gadgets!$C:$C,Analysis_Gadgets!$B:$B)</f>
        <v>Gadget</v>
      </c>
      <c r="E264" s="43">
        <v>0</v>
      </c>
      <c r="F264" s="43">
        <f>_xlfn.XLOOKUP(A264,Class_Players!A:A,Class_Players!G:G)</f>
        <v>332</v>
      </c>
      <c r="G264" s="43">
        <f t="shared" si="42"/>
        <v>0</v>
      </c>
      <c r="H264" s="43">
        <f>_xlfn.XLOOKUP(A264,Class_Players!$A:$A,Class_Players!$F:$F,"")</f>
        <v>14760</v>
      </c>
      <c r="I264" s="44">
        <f t="shared" si="43"/>
        <v>0</v>
      </c>
      <c r="J264" s="43">
        <f t="shared" si="44"/>
        <v>0</v>
      </c>
      <c r="K264" s="44" cm="1">
        <f t="array" ref="K264">IF(D264="Gadget",_xlfn.IFS(I264&gt;=0.2,0.5,I264&gt;=0.1,0.35,I264&gt;=0.05,0.2,TRUE,0),IF(D264="Grenade",_xlfn.IFS(I264&gt;=0.2,1,I264&gt;=0.1,0.7,I264&gt;=0.05,0.4,TRUE,0),0))</f>
        <v>0</v>
      </c>
      <c r="L264" s="57">
        <f t="shared" ref="L264:L269" si="58">IF($K264=0,0,$K264 / SUMIFS($K:$K,$A:$A,$A264,$D:$D,"Gadget"))</f>
        <v>0</v>
      </c>
    </row>
    <row r="265" spans="1:12" ht="15" customHeight="1" x14ac:dyDescent="0.25">
      <c r="A265" s="42" t="str" cm="1">
        <f t="array" ref="A265">IFERROR(INDEX(_xlfn._xlws.FILTER(Class_Players!A:A,Class_Players!B:B="Support"),QUOTIENT(ROW()-ROW($A$2),9)+1),"")</f>
        <v>ramikingx1</v>
      </c>
      <c r="B265" s="42" t="str">
        <f>_xlfn.XLOOKUP(A265,Class_Players!$A:$A,Class_Players!$B:$B,"")</f>
        <v>Support</v>
      </c>
      <c r="C265" s="38" t="str" cm="1">
        <f t="array" ref="C265">INDEX(Lookups!$D$2:$D$10,MOD(ROW()-ROW($B$2),ROWS(Lookups!$D$2:$D$10))+1)</f>
        <v>LWCMS (Mortar)</v>
      </c>
      <c r="D265" s="38" t="str">
        <f>_xlfn.XLOOKUP(C265,Analysis_Gadgets!$C:$C,Analysis_Gadgets!$B:$B)</f>
        <v>Gadget</v>
      </c>
      <c r="E265" s="43">
        <v>0</v>
      </c>
      <c r="F265" s="43">
        <f>_xlfn.XLOOKUP(A265,Class_Players!A:A,Class_Players!G:G)</f>
        <v>332</v>
      </c>
      <c r="G265" s="43">
        <f t="shared" ref="G265:G328" si="59">IF(F265=0,"",E265/(F265))</f>
        <v>0</v>
      </c>
      <c r="H265" s="43">
        <f>_xlfn.XLOOKUP(A265,Class_Players!$A:$A,Class_Players!$F:$F,"")</f>
        <v>14760</v>
      </c>
      <c r="I265" s="44">
        <f t="shared" ref="I265:I328" si="60">IF(H265=0,"",E265/H265)</f>
        <v>0</v>
      </c>
      <c r="J265" s="43">
        <f t="shared" ref="J265:J328" si="61">IF(I265&gt;=0.1,1,0)</f>
        <v>0</v>
      </c>
      <c r="K265" s="44" cm="1">
        <f t="array" ref="K265">IF(D265="Gadget",_xlfn.IFS(I265&gt;=0.2,0.5,I265&gt;=0.1,0.35,I265&gt;=0.05,0.2,TRUE,0),IF(D265="Grenade",_xlfn.IFS(I265&gt;=0.2,1,I265&gt;=0.1,0.7,I265&gt;=0.05,0.4,TRUE,0),0))</f>
        <v>0</v>
      </c>
      <c r="L265" s="57">
        <f t="shared" si="58"/>
        <v>0</v>
      </c>
    </row>
    <row r="266" spans="1:12" ht="15" customHeight="1" x14ac:dyDescent="0.25">
      <c r="A266" s="42" t="str" cm="1">
        <f t="array" ref="A266">IFERROR(INDEX(_xlfn._xlws.FILTER(Class_Players!A:A,Class_Players!B:B="Support"),QUOTIENT(ROW()-ROW($A$2),9)+1),"")</f>
        <v>ramikingx1</v>
      </c>
      <c r="B266" s="42" t="str">
        <f>_xlfn.XLOOKUP(A266,Class_Players!$A:$A,Class_Players!$B:$B,"")</f>
        <v>Support</v>
      </c>
      <c r="C266" s="38" t="str" cm="1">
        <f t="array" ref="C266">INDEX(Lookups!$D$2:$D$10,MOD(ROW()-ROW($B$2),ROWS(Lookups!$D$2:$D$10))+1)</f>
        <v>M320A1 SMK (Smoke Grenade Launcher)</v>
      </c>
      <c r="D266" s="38" t="str">
        <f>_xlfn.XLOOKUP(C266,Analysis_Gadgets!$C:$C,Analysis_Gadgets!$B:$B)</f>
        <v>Gadget</v>
      </c>
      <c r="E266" s="43">
        <v>3</v>
      </c>
      <c r="F266" s="43">
        <f>_xlfn.XLOOKUP(A266,Class_Players!A:A,Class_Players!G:G)</f>
        <v>332</v>
      </c>
      <c r="G266" s="43">
        <f t="shared" si="59"/>
        <v>9.0361445783132526E-3</v>
      </c>
      <c r="H266" s="43">
        <f>_xlfn.XLOOKUP(A266,Class_Players!$A:$A,Class_Players!$F:$F,"")</f>
        <v>14760</v>
      </c>
      <c r="I266" s="44">
        <f t="shared" si="60"/>
        <v>2.032520325203252E-4</v>
      </c>
      <c r="J266" s="43">
        <f t="shared" si="61"/>
        <v>0</v>
      </c>
      <c r="K266" s="44" cm="1">
        <f t="array" ref="K266">IF(D266="Gadget",_xlfn.IFS(I266&gt;=0.2,0.5,I266&gt;=0.1,0.35,I266&gt;=0.05,0.2,TRUE,0),IF(D266="Grenade",_xlfn.IFS(I266&gt;=0.2,1,I266&gt;=0.1,0.7,I266&gt;=0.05,0.4,TRUE,0),0))</f>
        <v>0</v>
      </c>
      <c r="L266" s="57">
        <f t="shared" si="58"/>
        <v>0</v>
      </c>
    </row>
    <row r="267" spans="1:12" ht="15" customHeight="1" x14ac:dyDescent="0.25">
      <c r="A267" s="42" t="str" cm="1">
        <f t="array" ref="A267">IFERROR(INDEX(_xlfn._xlws.FILTER(Class_Players!A:A,Class_Players!B:B="Support"),QUOTIENT(ROW()-ROW($A$2),9)+1),"")</f>
        <v>ramikingx1</v>
      </c>
      <c r="B267" s="42" t="str">
        <f>_xlfn.XLOOKUP(A267,Class_Players!$A:$A,Class_Players!$B:$B,"")</f>
        <v>Support</v>
      </c>
      <c r="C267" s="38" t="str" cm="1">
        <f t="array" ref="C267">INDEX(Lookups!$D$2:$D$10,MOD(ROW()-ROW($B$2),ROWS(Lookups!$D$2:$D$10))+1)</f>
        <v>SICH G1 WP (Incendiary Airburst Launcher)</v>
      </c>
      <c r="D267" s="38" t="str">
        <f>_xlfn.XLOOKUP(C267,Analysis_Gadgets!$C:$C,Analysis_Gadgets!$B:$B)</f>
        <v>Gadget</v>
      </c>
      <c r="E267" s="43">
        <v>7</v>
      </c>
      <c r="F267" s="43">
        <f>_xlfn.XLOOKUP(A267,Class_Players!A:A,Class_Players!G:G)</f>
        <v>332</v>
      </c>
      <c r="G267" s="43">
        <f t="shared" si="59"/>
        <v>2.1084337349397589E-2</v>
      </c>
      <c r="H267" s="43">
        <f>_xlfn.XLOOKUP(A267,Class_Players!$A:$A,Class_Players!$F:$F,"")</f>
        <v>14760</v>
      </c>
      <c r="I267" s="44">
        <f t="shared" si="60"/>
        <v>4.7425474254742547E-4</v>
      </c>
      <c r="J267" s="43">
        <f t="shared" si="61"/>
        <v>0</v>
      </c>
      <c r="K267" s="44" cm="1">
        <f t="array" ref="K267">IF(D267="Gadget",_xlfn.IFS(I267&gt;=0.2,0.5,I267&gt;=0.1,0.35,I267&gt;=0.05,0.2,TRUE,0),IF(D267="Grenade",_xlfn.IFS(I267&gt;=0.2,1,I267&gt;=0.1,0.7,I267&gt;=0.05,0.4,TRUE,0),0))</f>
        <v>0</v>
      </c>
      <c r="L267" s="57">
        <f t="shared" si="58"/>
        <v>0</v>
      </c>
    </row>
    <row r="268" spans="1:12" ht="15" customHeight="1" x14ac:dyDescent="0.25">
      <c r="A268" s="42" t="str" cm="1">
        <f t="array" ref="A268">IFERROR(INDEX(_xlfn._xlws.FILTER(Class_Players!A:A,Class_Players!B:B="Support"),QUOTIENT(ROW()-ROW($A$2),9)+1),"")</f>
        <v>ramikingx1</v>
      </c>
      <c r="B268" s="42" t="str">
        <f>_xlfn.XLOOKUP(A268,Class_Players!$A:$A,Class_Players!$B:$B,"")</f>
        <v>Support</v>
      </c>
      <c r="C268" s="38" t="str" cm="1">
        <f t="array" ref="C268">INDEX(Lookups!$D$2:$D$10,MOD(ROW()-ROW($B$2),ROWS(Lookups!$D$2:$D$10))+1)</f>
        <v>Deployable Cover</v>
      </c>
      <c r="D268" s="38" t="str">
        <f>_xlfn.XLOOKUP(C268,Analysis_Gadgets!$C:$C,Analysis_Gadgets!$B:$B)</f>
        <v>Gadget</v>
      </c>
      <c r="E268" s="43">
        <v>4111</v>
      </c>
      <c r="F268" s="43">
        <f>_xlfn.XLOOKUP(A268,Class_Players!A:A,Class_Players!G:G)</f>
        <v>332</v>
      </c>
      <c r="G268" s="43">
        <f t="shared" si="59"/>
        <v>12.382530120481928</v>
      </c>
      <c r="H268" s="43">
        <f>_xlfn.XLOOKUP(A268,Class_Players!$A:$A,Class_Players!$F:$F,"")</f>
        <v>14760</v>
      </c>
      <c r="I268" s="44">
        <f t="shared" si="60"/>
        <v>0.27852303523035232</v>
      </c>
      <c r="J268" s="43">
        <f t="shared" si="61"/>
        <v>1</v>
      </c>
      <c r="K268" s="44" cm="1">
        <f t="array" ref="K268">IF(D268="Gadget",_xlfn.IFS(I268&gt;=0.2,0.5,I268&gt;=0.1,0.35,I268&gt;=0.05,0.2,TRUE,0),IF(D268="Grenade",_xlfn.IFS(I268&gt;=0.2,1,I268&gt;=0.1,0.7,I268&gt;=0.05,0.4,TRUE,0),0))</f>
        <v>0.5</v>
      </c>
      <c r="L268" s="57">
        <f t="shared" si="58"/>
        <v>1</v>
      </c>
    </row>
    <row r="269" spans="1:12" ht="15" customHeight="1" x14ac:dyDescent="0.25">
      <c r="A269" s="42" t="str" cm="1">
        <f t="array" ref="A269">IFERROR(INDEX(_xlfn._xlws.FILTER(Class_Players!A:A,Class_Players!B:B="Support"),QUOTIENT(ROW()-ROW($A$2),9)+1),"")</f>
        <v>ramikingx1</v>
      </c>
      <c r="B269" s="42" t="str">
        <f>_xlfn.XLOOKUP(A269,Class_Players!$A:$A,Class_Players!$B:$B,"")</f>
        <v>Support</v>
      </c>
      <c r="C269" s="38" t="str" cm="1">
        <f t="array" ref="C269">INDEX(Lookups!$D$2:$D$10,MOD(ROW()-ROW($B$2),ROWS(Lookups!$D$2:$D$10))+1)</f>
        <v>Supply Pouch</v>
      </c>
      <c r="D269" s="38" t="str">
        <f>_xlfn.XLOOKUP(C269,Analysis_Gadgets!$C:$C,Analysis_Gadgets!$B:$B)</f>
        <v>Gadget</v>
      </c>
      <c r="E269" s="43">
        <v>7</v>
      </c>
      <c r="F269" s="43">
        <f>_xlfn.XLOOKUP(A269,Class_Players!A:A,Class_Players!G:G)</f>
        <v>332</v>
      </c>
      <c r="G269" s="43">
        <f t="shared" si="59"/>
        <v>2.1084337349397589E-2</v>
      </c>
      <c r="H269" s="43">
        <f>_xlfn.XLOOKUP(A269,Class_Players!$A:$A,Class_Players!$F:$F,"")</f>
        <v>14760</v>
      </c>
      <c r="I269" s="44">
        <f t="shared" si="60"/>
        <v>4.7425474254742547E-4</v>
      </c>
      <c r="J269" s="43">
        <f t="shared" si="61"/>
        <v>0</v>
      </c>
      <c r="K269" s="44" cm="1">
        <f t="array" ref="K269">IF(D269="Gadget",_xlfn.IFS(I269&gt;=0.2,0.5,I269&gt;=0.1,0.35,I269&gt;=0.05,0.2,TRUE,0),IF(D269="Grenade",_xlfn.IFS(I269&gt;=0.2,1,I269&gt;=0.1,0.7,I269&gt;=0.05,0.4,TRUE,0),0))</f>
        <v>0</v>
      </c>
      <c r="L269" s="57">
        <f t="shared" si="58"/>
        <v>0</v>
      </c>
    </row>
    <row r="270" spans="1:12" ht="15" customHeight="1" x14ac:dyDescent="0.25">
      <c r="A270" s="42" t="str" cm="1">
        <f t="array" ref="A270">IFERROR(INDEX(_xlfn._xlws.FILTER(Class_Players!A:A,Class_Players!B:B="Support"),QUOTIENT(ROW()-ROW($A$2),9)+1),"")</f>
        <v>ramikingx1</v>
      </c>
      <c r="B270" s="42" t="str">
        <f>_xlfn.XLOOKUP(A270,Class_Players!$A:$A,Class_Players!$B:$B,"")</f>
        <v>Support</v>
      </c>
      <c r="C270" s="38" t="str" cm="1">
        <f t="array" ref="C270">INDEX(Lookups!$D$2:$D$10,MOD(ROW()-ROW($B$2),ROWS(Lookups!$D$2:$D$10))+1)</f>
        <v>Smoke Grenade</v>
      </c>
      <c r="D270" s="38" t="str">
        <f>_xlfn.XLOOKUP(C270,Analysis_Gadgets!$C:$C,Analysis_Gadgets!$B:$B)</f>
        <v>Grenade</v>
      </c>
      <c r="E270" s="43">
        <v>5572</v>
      </c>
      <c r="F270" s="43">
        <f>_xlfn.XLOOKUP(A270,Class_Players!A:A,Class_Players!G:G)</f>
        <v>332</v>
      </c>
      <c r="G270" s="43">
        <f t="shared" si="59"/>
        <v>16.783132530120483</v>
      </c>
      <c r="H270" s="43">
        <f>_xlfn.XLOOKUP(A270,Class_Players!$A:$A,Class_Players!$F:$F,"")</f>
        <v>14760</v>
      </c>
      <c r="I270" s="44">
        <f t="shared" si="60"/>
        <v>0.37750677506775066</v>
      </c>
      <c r="J270" s="43">
        <f t="shared" si="61"/>
        <v>1</v>
      </c>
      <c r="K270" s="44" cm="1">
        <f t="array" ref="K270">IF(D270="Gadget",_xlfn.IFS(I270&gt;=0.2,0.5,I270&gt;=0.1,0.35,I270&gt;=0.05,0.2,TRUE,0),IF(D270="Grenade",_xlfn.IFS(I270&gt;=0.2,1,I270&gt;=0.1,0.7,I270&gt;=0.05,0.4,TRUE,0),0))</f>
        <v>1</v>
      </c>
      <c r="L270" s="57">
        <f>IF($K270=0,0,$K270 / SUMIFS($K:$K,$A:$A,$A270,$D:$D,"Grenade"))</f>
        <v>0.5</v>
      </c>
    </row>
    <row r="271" spans="1:12" ht="15" customHeight="1" x14ac:dyDescent="0.25">
      <c r="A271" s="42" t="str" cm="1">
        <f t="array" ref="A271">IFERROR(INDEX(_xlfn._xlws.FILTER(Class_Players!A:A,Class_Players!B:B="Support"),QUOTIENT(ROW()-ROW($A$2),9)+1),"")</f>
        <v>ramikingx1</v>
      </c>
      <c r="B271" s="42" t="str">
        <f>_xlfn.XLOOKUP(A271,Class_Players!$A:$A,Class_Players!$B:$B,"")</f>
        <v>Support</v>
      </c>
      <c r="C271" s="38" t="str" cm="1">
        <f t="array" ref="C271">INDEX(Lookups!$D$2:$D$10,MOD(ROW()-ROW($B$2),ROWS(Lookups!$D$2:$D$10))+1)</f>
        <v>Incendiary Grenade</v>
      </c>
      <c r="D271" s="38" t="str">
        <f>_xlfn.XLOOKUP(C271,Analysis_Gadgets!$C:$C,Analysis_Gadgets!$B:$B)</f>
        <v>Grenade</v>
      </c>
      <c r="E271" s="43">
        <v>4442</v>
      </c>
      <c r="F271" s="43">
        <f>_xlfn.XLOOKUP(A271,Class_Players!A:A,Class_Players!G:G)</f>
        <v>332</v>
      </c>
      <c r="G271" s="43">
        <f t="shared" si="59"/>
        <v>13.379518072289157</v>
      </c>
      <c r="H271" s="43">
        <f>_xlfn.XLOOKUP(A271,Class_Players!$A:$A,Class_Players!$F:$F,"")</f>
        <v>14760</v>
      </c>
      <c r="I271" s="44">
        <f t="shared" si="60"/>
        <v>0.30094850948509483</v>
      </c>
      <c r="J271" s="43">
        <f t="shared" si="61"/>
        <v>1</v>
      </c>
      <c r="K271" s="44" cm="1">
        <f t="array" ref="K271">IF(D271="Gadget",_xlfn.IFS(I271&gt;=0.2,0.5,I271&gt;=0.1,0.35,I271&gt;=0.05,0.2,TRUE,0),IF(D271="Grenade",_xlfn.IFS(I271&gt;=0.2,1,I271&gt;=0.1,0.7,I271&gt;=0.05,0.4,TRUE,0),0))</f>
        <v>1</v>
      </c>
      <c r="L271" s="57">
        <f>IF($K271=0,0,$K271 / SUMIFS($K:$K,$A:$A,$A271,$D:$D,"Grenade"))</f>
        <v>0.5</v>
      </c>
    </row>
    <row r="272" spans="1:12" ht="15" customHeight="1" x14ac:dyDescent="0.25">
      <c r="A272" s="42" t="str" cm="1">
        <f t="array" ref="A272">IFERROR(INDEX(_xlfn._xlws.FILTER(Class_Players!A:A,Class_Players!B:B="Support"),QUOTIENT(ROW()-ROW($A$2),9)+1),"")</f>
        <v>ARMSQUADNYPD-TTV</v>
      </c>
      <c r="B272" s="42" t="str">
        <f>_xlfn.XLOOKUP(A272,Class_Players!$A:$A,Class_Players!$B:$B,"")</f>
        <v>Support</v>
      </c>
      <c r="C272" s="38" t="str" cm="1">
        <f t="array" ref="C272">INDEX(Lookups!$D$2:$D$10,MOD(ROW()-ROW($B$2),ROWS(Lookups!$D$2:$D$10))+1)</f>
        <v>GPDIS (Grenade intercept system)</v>
      </c>
      <c r="D272" s="38" t="str">
        <f>_xlfn.XLOOKUP(C272,Analysis_Gadgets!$C:$C,Analysis_Gadgets!$B:$B)</f>
        <v>Gadget</v>
      </c>
      <c r="E272" s="43">
        <v>29</v>
      </c>
      <c r="F272" s="43">
        <f>_xlfn.XLOOKUP(A272,Class_Players!A:A,Class_Players!G:G)</f>
        <v>685</v>
      </c>
      <c r="G272" s="43">
        <f t="shared" si="59"/>
        <v>4.2335766423357665E-2</v>
      </c>
      <c r="H272" s="43">
        <f>_xlfn.XLOOKUP(A272,Class_Players!$A:$A,Class_Players!$F:$F,"")</f>
        <v>13827</v>
      </c>
      <c r="I272" s="44">
        <f t="shared" si="60"/>
        <v>2.097345772763434E-3</v>
      </c>
      <c r="J272" s="43">
        <f t="shared" si="61"/>
        <v>0</v>
      </c>
      <c r="K272" s="44" cm="1">
        <f t="array" ref="K272">IF(D272="Gadget",_xlfn.IFS(I272&gt;=0.2,0.5,I272&gt;=0.1,0.35,I272&gt;=0.05,0.2,TRUE,0),IF(D272="Grenade",_xlfn.IFS(I272&gt;=0.2,1,I272&gt;=0.1,0.7,I272&gt;=0.05,0.4,TRUE,0),0))</f>
        <v>0</v>
      </c>
      <c r="L272" s="57">
        <f t="shared" ref="L272:L278" si="62">IF($K272=0,0,$K272 / SUMIFS($K:$K,$A:$A,$A272,$D:$D,"Gadget"))</f>
        <v>0</v>
      </c>
    </row>
    <row r="273" spans="1:12" ht="15" customHeight="1" x14ac:dyDescent="0.25">
      <c r="A273" s="42" t="str" cm="1">
        <f t="array" ref="A273">IFERROR(INDEX(_xlfn._xlws.FILTER(Class_Players!A:A,Class_Players!B:B="Support"),QUOTIENT(ROW()-ROW($A$2),9)+1),"")</f>
        <v>ARMSQUADNYPD-TTV</v>
      </c>
      <c r="B273" s="42" t="str">
        <f>_xlfn.XLOOKUP(A273,Class_Players!$A:$A,Class_Players!$B:$B,"")</f>
        <v>Support</v>
      </c>
      <c r="C273" s="38" t="str" cm="1">
        <f t="array" ref="C273">INDEX(Lookups!$D$2:$D$10,MOD(ROW()-ROW($B$2),ROWS(Lookups!$D$2:$D$10))+1)</f>
        <v>MP-APS (Missile intercept system)</v>
      </c>
      <c r="D273" s="38" t="str">
        <f>_xlfn.XLOOKUP(C273,Analysis_Gadgets!$C:$C,Analysis_Gadgets!$B:$B)</f>
        <v>Gadget</v>
      </c>
      <c r="E273" s="43">
        <v>227</v>
      </c>
      <c r="F273" s="43">
        <f>_xlfn.XLOOKUP(A273,Class_Players!A:A,Class_Players!G:G)</f>
        <v>685</v>
      </c>
      <c r="G273" s="43">
        <f t="shared" si="59"/>
        <v>0.33138686131386863</v>
      </c>
      <c r="H273" s="43">
        <f>_xlfn.XLOOKUP(A273,Class_Players!$A:$A,Class_Players!$F:$F,"")</f>
        <v>13827</v>
      </c>
      <c r="I273" s="44">
        <f t="shared" si="60"/>
        <v>1.6417154841975843E-2</v>
      </c>
      <c r="J273" s="43">
        <f t="shared" si="61"/>
        <v>0</v>
      </c>
      <c r="K273" s="44" cm="1">
        <f t="array" ref="K273">IF(D273="Gadget",_xlfn.IFS(I273&gt;=0.2,0.5,I273&gt;=0.1,0.35,I273&gt;=0.05,0.2,TRUE,0),IF(D273="Grenade",_xlfn.IFS(I273&gt;=0.2,1,I273&gt;=0.1,0.7,I273&gt;=0.05,0.4,TRUE,0),0))</f>
        <v>0</v>
      </c>
      <c r="L273" s="57">
        <f t="shared" si="62"/>
        <v>0</v>
      </c>
    </row>
    <row r="274" spans="1:12" ht="15" customHeight="1" x14ac:dyDescent="0.25">
      <c r="A274" s="42" t="str" cm="1">
        <f t="array" ref="A274">IFERROR(INDEX(_xlfn._xlws.FILTER(Class_Players!A:A,Class_Players!B:B="Support"),QUOTIENT(ROW()-ROW($A$2),9)+1),"")</f>
        <v>ARMSQUADNYPD-TTV</v>
      </c>
      <c r="B274" s="42" t="str">
        <f>_xlfn.XLOOKUP(A274,Class_Players!$A:$A,Class_Players!$B:$B,"")</f>
        <v>Support</v>
      </c>
      <c r="C274" s="38" t="str" cm="1">
        <f t="array" ref="C274">INDEX(Lookups!$D$2:$D$10,MOD(ROW()-ROW($B$2),ROWS(Lookups!$D$2:$D$10))+1)</f>
        <v>LWCMS (Mortar)</v>
      </c>
      <c r="D274" s="38" t="str">
        <f>_xlfn.XLOOKUP(C274,Analysis_Gadgets!$C:$C,Analysis_Gadgets!$B:$B)</f>
        <v>Gadget</v>
      </c>
      <c r="E274" s="43">
        <v>36</v>
      </c>
      <c r="F274" s="43">
        <f>_xlfn.XLOOKUP(A274,Class_Players!A:A,Class_Players!G:G)</f>
        <v>685</v>
      </c>
      <c r="G274" s="43">
        <f t="shared" si="59"/>
        <v>5.2554744525547446E-2</v>
      </c>
      <c r="H274" s="43">
        <f>_xlfn.XLOOKUP(A274,Class_Players!$A:$A,Class_Players!$F:$F,"")</f>
        <v>13827</v>
      </c>
      <c r="I274" s="44">
        <f t="shared" si="60"/>
        <v>2.6036016489477112E-3</v>
      </c>
      <c r="J274" s="43">
        <f t="shared" si="61"/>
        <v>0</v>
      </c>
      <c r="K274" s="44" cm="1">
        <f t="array" ref="K274">IF(D274="Gadget",_xlfn.IFS(I274&gt;=0.2,0.5,I274&gt;=0.1,0.35,I274&gt;=0.05,0.2,TRUE,0),IF(D274="Grenade",_xlfn.IFS(I274&gt;=0.2,1,I274&gt;=0.1,0.7,I274&gt;=0.05,0.4,TRUE,0),0))</f>
        <v>0</v>
      </c>
      <c r="L274" s="57">
        <f t="shared" si="62"/>
        <v>0</v>
      </c>
    </row>
    <row r="275" spans="1:12" ht="15" customHeight="1" x14ac:dyDescent="0.25">
      <c r="A275" s="42" t="str" cm="1">
        <f t="array" ref="A275">IFERROR(INDEX(_xlfn._xlws.FILTER(Class_Players!A:A,Class_Players!B:B="Support"),QUOTIENT(ROW()-ROW($A$2),9)+1),"")</f>
        <v>ARMSQUADNYPD-TTV</v>
      </c>
      <c r="B275" s="42" t="str">
        <f>_xlfn.XLOOKUP(A275,Class_Players!$A:$A,Class_Players!$B:$B,"")</f>
        <v>Support</v>
      </c>
      <c r="C275" s="38" t="str" cm="1">
        <f t="array" ref="C275">INDEX(Lookups!$D$2:$D$10,MOD(ROW()-ROW($B$2),ROWS(Lookups!$D$2:$D$10))+1)</f>
        <v>M320A1 SMK (Smoke Grenade Launcher)</v>
      </c>
      <c r="D275" s="38" t="str">
        <f>_xlfn.XLOOKUP(C275,Analysis_Gadgets!$C:$C,Analysis_Gadgets!$B:$B)</f>
        <v>Gadget</v>
      </c>
      <c r="E275" s="43">
        <v>3</v>
      </c>
      <c r="F275" s="43">
        <f>_xlfn.XLOOKUP(A275,Class_Players!A:A,Class_Players!G:G)</f>
        <v>685</v>
      </c>
      <c r="G275" s="43">
        <f t="shared" si="59"/>
        <v>4.3795620437956208E-3</v>
      </c>
      <c r="H275" s="43">
        <f>_xlfn.XLOOKUP(A275,Class_Players!$A:$A,Class_Players!$F:$F,"")</f>
        <v>13827</v>
      </c>
      <c r="I275" s="44">
        <f t="shared" si="60"/>
        <v>2.1696680407897592E-4</v>
      </c>
      <c r="J275" s="43">
        <f t="shared" si="61"/>
        <v>0</v>
      </c>
      <c r="K275" s="44" cm="1">
        <f t="array" ref="K275">IF(D275="Gadget",_xlfn.IFS(I275&gt;=0.2,0.5,I275&gt;=0.1,0.35,I275&gt;=0.05,0.2,TRUE,0),IF(D275="Grenade",_xlfn.IFS(I275&gt;=0.2,1,I275&gt;=0.1,0.7,I275&gt;=0.05,0.4,TRUE,0),0))</f>
        <v>0</v>
      </c>
      <c r="L275" s="57">
        <f t="shared" si="62"/>
        <v>0</v>
      </c>
    </row>
    <row r="276" spans="1:12" ht="15" customHeight="1" x14ac:dyDescent="0.25">
      <c r="A276" s="42" t="str" cm="1">
        <f t="array" ref="A276">IFERROR(INDEX(_xlfn._xlws.FILTER(Class_Players!A:A,Class_Players!B:B="Support"),QUOTIENT(ROW()-ROW($A$2),9)+1),"")</f>
        <v>ARMSQUADNYPD-TTV</v>
      </c>
      <c r="B276" s="42" t="str">
        <f>_xlfn.XLOOKUP(A276,Class_Players!$A:$A,Class_Players!$B:$B,"")</f>
        <v>Support</v>
      </c>
      <c r="C276" s="38" t="str" cm="1">
        <f t="array" ref="C276">INDEX(Lookups!$D$2:$D$10,MOD(ROW()-ROW($B$2),ROWS(Lookups!$D$2:$D$10))+1)</f>
        <v>SICH G1 WP (Incendiary Airburst Launcher)</v>
      </c>
      <c r="D276" s="38" t="str">
        <f>_xlfn.XLOOKUP(C276,Analysis_Gadgets!$C:$C,Analysis_Gadgets!$B:$B)</f>
        <v>Gadget</v>
      </c>
      <c r="E276" s="43">
        <v>148</v>
      </c>
      <c r="F276" s="43">
        <f>_xlfn.XLOOKUP(A276,Class_Players!A:A,Class_Players!G:G)</f>
        <v>685</v>
      </c>
      <c r="G276" s="43">
        <f t="shared" si="59"/>
        <v>0.21605839416058395</v>
      </c>
      <c r="H276" s="43">
        <f>_xlfn.XLOOKUP(A276,Class_Players!$A:$A,Class_Players!$F:$F,"")</f>
        <v>13827</v>
      </c>
      <c r="I276" s="44">
        <f t="shared" si="60"/>
        <v>1.0703695667896146E-2</v>
      </c>
      <c r="J276" s="43">
        <f t="shared" si="61"/>
        <v>0</v>
      </c>
      <c r="K276" s="44" cm="1">
        <f t="array" ref="K276">IF(D276="Gadget",_xlfn.IFS(I276&gt;=0.2,0.5,I276&gt;=0.1,0.35,I276&gt;=0.05,0.2,TRUE,0),IF(D276="Grenade",_xlfn.IFS(I276&gt;=0.2,1,I276&gt;=0.1,0.7,I276&gt;=0.05,0.4,TRUE,0),0))</f>
        <v>0</v>
      </c>
      <c r="L276" s="57">
        <f t="shared" si="62"/>
        <v>0</v>
      </c>
    </row>
    <row r="277" spans="1:12" ht="15" customHeight="1" x14ac:dyDescent="0.25">
      <c r="A277" s="42" t="str" cm="1">
        <f t="array" ref="A277">IFERROR(INDEX(_xlfn._xlws.FILTER(Class_Players!A:A,Class_Players!B:B="Support"),QUOTIENT(ROW()-ROW($A$2),9)+1),"")</f>
        <v>ARMSQUADNYPD-TTV</v>
      </c>
      <c r="B277" s="42" t="str">
        <f>_xlfn.XLOOKUP(A277,Class_Players!$A:$A,Class_Players!$B:$B,"")</f>
        <v>Support</v>
      </c>
      <c r="C277" s="38" t="str" cm="1">
        <f t="array" ref="C277">INDEX(Lookups!$D$2:$D$10,MOD(ROW()-ROW($B$2),ROWS(Lookups!$D$2:$D$10))+1)</f>
        <v>Deployable Cover</v>
      </c>
      <c r="D277" s="38" t="str">
        <f>_xlfn.XLOOKUP(C277,Analysis_Gadgets!$C:$C,Analysis_Gadgets!$B:$B)</f>
        <v>Gadget</v>
      </c>
      <c r="E277" s="43">
        <v>6268</v>
      </c>
      <c r="F277" s="43">
        <f>_xlfn.XLOOKUP(A277,Class_Players!A:A,Class_Players!G:G)</f>
        <v>685</v>
      </c>
      <c r="G277" s="43">
        <f t="shared" si="59"/>
        <v>9.1503649635036499</v>
      </c>
      <c r="H277" s="43">
        <f>_xlfn.XLOOKUP(A277,Class_Players!$A:$A,Class_Players!$F:$F,"")</f>
        <v>13827</v>
      </c>
      <c r="I277" s="44">
        <f t="shared" si="60"/>
        <v>0.45331597598900703</v>
      </c>
      <c r="J277" s="43">
        <f t="shared" si="61"/>
        <v>1</v>
      </c>
      <c r="K277" s="44" cm="1">
        <f t="array" ref="K277">IF(D277="Gadget",_xlfn.IFS(I277&gt;=0.2,0.5,I277&gt;=0.1,0.35,I277&gt;=0.05,0.2,TRUE,0),IF(D277="Grenade",_xlfn.IFS(I277&gt;=0.2,1,I277&gt;=0.1,0.7,I277&gt;=0.05,0.4,TRUE,0),0))</f>
        <v>0.5</v>
      </c>
      <c r="L277" s="57">
        <f t="shared" si="62"/>
        <v>1</v>
      </c>
    </row>
    <row r="278" spans="1:12" ht="15" customHeight="1" x14ac:dyDescent="0.25">
      <c r="A278" s="42" t="str" cm="1">
        <f t="array" ref="A278">IFERROR(INDEX(_xlfn._xlws.FILTER(Class_Players!A:A,Class_Players!B:B="Support"),QUOTIENT(ROW()-ROW($A$2),9)+1),"")</f>
        <v>ARMSQUADNYPD-TTV</v>
      </c>
      <c r="B278" s="42" t="str">
        <f>_xlfn.XLOOKUP(A278,Class_Players!$A:$A,Class_Players!$B:$B,"")</f>
        <v>Support</v>
      </c>
      <c r="C278" s="38" t="str" cm="1">
        <f t="array" ref="C278">INDEX(Lookups!$D$2:$D$10,MOD(ROW()-ROW($B$2),ROWS(Lookups!$D$2:$D$10))+1)</f>
        <v>Supply Pouch</v>
      </c>
      <c r="D278" s="38" t="str">
        <f>_xlfn.XLOOKUP(C278,Analysis_Gadgets!$C:$C,Analysis_Gadgets!$B:$B)</f>
        <v>Gadget</v>
      </c>
      <c r="E278" s="43">
        <v>91</v>
      </c>
      <c r="F278" s="43">
        <f>_xlfn.XLOOKUP(A278,Class_Players!A:A,Class_Players!G:G)</f>
        <v>685</v>
      </c>
      <c r="G278" s="43">
        <f t="shared" si="59"/>
        <v>0.13284671532846715</v>
      </c>
      <c r="H278" s="43">
        <f>_xlfn.XLOOKUP(A278,Class_Players!$A:$A,Class_Players!$F:$F,"")</f>
        <v>13827</v>
      </c>
      <c r="I278" s="44">
        <f t="shared" si="60"/>
        <v>6.5813263903956032E-3</v>
      </c>
      <c r="J278" s="43">
        <f t="shared" si="61"/>
        <v>0</v>
      </c>
      <c r="K278" s="44" cm="1">
        <f t="array" ref="K278">IF(D278="Gadget",_xlfn.IFS(I278&gt;=0.2,0.5,I278&gt;=0.1,0.35,I278&gt;=0.05,0.2,TRUE,0),IF(D278="Grenade",_xlfn.IFS(I278&gt;=0.2,1,I278&gt;=0.1,0.7,I278&gt;=0.05,0.4,TRUE,0),0))</f>
        <v>0</v>
      </c>
      <c r="L278" s="57">
        <f t="shared" si="62"/>
        <v>0</v>
      </c>
    </row>
    <row r="279" spans="1:12" ht="15" customHeight="1" x14ac:dyDescent="0.25">
      <c r="A279" s="42" t="str" cm="1">
        <f t="array" ref="A279">IFERROR(INDEX(_xlfn._xlws.FILTER(Class_Players!A:A,Class_Players!B:B="Support"),QUOTIENT(ROW()-ROW($A$2),9)+1),"")</f>
        <v>ARMSQUADNYPD-TTV</v>
      </c>
      <c r="B279" s="42" t="str">
        <f>_xlfn.XLOOKUP(A279,Class_Players!$A:$A,Class_Players!$B:$B,"")</f>
        <v>Support</v>
      </c>
      <c r="C279" s="38" t="str" cm="1">
        <f t="array" ref="C279">INDEX(Lookups!$D$2:$D$10,MOD(ROW()-ROW($B$2),ROWS(Lookups!$D$2:$D$10))+1)</f>
        <v>Smoke Grenade</v>
      </c>
      <c r="D279" s="38" t="str">
        <f>_xlfn.XLOOKUP(C279,Analysis_Gadgets!$C:$C,Analysis_Gadgets!$B:$B)</f>
        <v>Grenade</v>
      </c>
      <c r="E279" s="43">
        <v>5532</v>
      </c>
      <c r="F279" s="43">
        <f>_xlfn.XLOOKUP(A279,Class_Players!A:A,Class_Players!G:G)</f>
        <v>685</v>
      </c>
      <c r="G279" s="43">
        <f t="shared" si="59"/>
        <v>8.075912408759125</v>
      </c>
      <c r="H279" s="43">
        <f>_xlfn.XLOOKUP(A279,Class_Players!$A:$A,Class_Players!$F:$F,"")</f>
        <v>13827</v>
      </c>
      <c r="I279" s="44">
        <f t="shared" si="60"/>
        <v>0.40008678672163162</v>
      </c>
      <c r="J279" s="43">
        <f t="shared" si="61"/>
        <v>1</v>
      </c>
      <c r="K279" s="44" cm="1">
        <f t="array" ref="K279">IF(D279="Gadget",_xlfn.IFS(I279&gt;=0.2,0.5,I279&gt;=0.1,0.35,I279&gt;=0.05,0.2,TRUE,0),IF(D279="Grenade",_xlfn.IFS(I279&gt;=0.2,1,I279&gt;=0.1,0.7,I279&gt;=0.05,0.4,TRUE,0),0))</f>
        <v>1</v>
      </c>
      <c r="L279" s="57">
        <f t="shared" ref="L279:L280" si="63">IF($K279=0,0,$K279 / SUMIFS($K:$K,$A:$A,$A279,$D:$D,"Grenade"))</f>
        <v>0.5</v>
      </c>
    </row>
    <row r="280" spans="1:12" ht="15" customHeight="1" x14ac:dyDescent="0.25">
      <c r="A280" s="42" t="str" cm="1">
        <f t="array" ref="A280">IFERROR(INDEX(_xlfn._xlws.FILTER(Class_Players!A:A,Class_Players!B:B="Support"),QUOTIENT(ROW()-ROW($A$2),9)+1),"")</f>
        <v>ARMSQUADNYPD-TTV</v>
      </c>
      <c r="B280" s="42" t="str">
        <f>_xlfn.XLOOKUP(A280,Class_Players!$A:$A,Class_Players!$B:$B,"")</f>
        <v>Support</v>
      </c>
      <c r="C280" s="38" t="str" cm="1">
        <f t="array" ref="C280">INDEX(Lookups!$D$2:$D$10,MOD(ROW()-ROW($B$2),ROWS(Lookups!$D$2:$D$10))+1)</f>
        <v>Incendiary Grenade</v>
      </c>
      <c r="D280" s="38" t="str">
        <f>_xlfn.XLOOKUP(C280,Analysis_Gadgets!$C:$C,Analysis_Gadgets!$B:$B)</f>
        <v>Grenade</v>
      </c>
      <c r="E280" s="43">
        <v>14183</v>
      </c>
      <c r="F280" s="43">
        <f>_xlfn.XLOOKUP(A280,Class_Players!A:A,Class_Players!G:G)</f>
        <v>685</v>
      </c>
      <c r="G280" s="43">
        <f t="shared" si="59"/>
        <v>20.705109489051093</v>
      </c>
      <c r="H280" s="43">
        <f>_xlfn.XLOOKUP(A280,Class_Players!$A:$A,Class_Players!$F:$F,"")</f>
        <v>13827</v>
      </c>
      <c r="I280" s="44">
        <f t="shared" si="60"/>
        <v>1.0257467274173717</v>
      </c>
      <c r="J280" s="43">
        <f t="shared" si="61"/>
        <v>1</v>
      </c>
      <c r="K280" s="44" cm="1">
        <f t="array" ref="K280">IF(D280="Gadget",_xlfn.IFS(I280&gt;=0.2,0.5,I280&gt;=0.1,0.35,I280&gt;=0.05,0.2,TRUE,0),IF(D280="Grenade",_xlfn.IFS(I280&gt;=0.2,1,I280&gt;=0.1,0.7,I280&gt;=0.05,0.4,TRUE,0),0))</f>
        <v>1</v>
      </c>
      <c r="L280" s="57">
        <f t="shared" si="63"/>
        <v>0.5</v>
      </c>
    </row>
    <row r="281" spans="1:12" ht="15" customHeight="1" x14ac:dyDescent="0.25">
      <c r="A281" s="42" t="str" cm="1">
        <f t="array" ref="A281">IFERROR(INDEX(_xlfn._xlws.FILTER(Class_Players!A:A,Class_Players!B:B="Support"),QUOTIENT(ROW()-ROW($A$2),9)+1),"")</f>
        <v>Tsumarai</v>
      </c>
      <c r="B281" s="42" t="str">
        <f>_xlfn.XLOOKUP(A281,Class_Players!$A:$A,Class_Players!$B:$B,"")</f>
        <v>Support</v>
      </c>
      <c r="C281" s="38" t="str" cm="1">
        <f t="array" ref="C281">INDEX(Lookups!$D$2:$D$10,MOD(ROW()-ROW($B$2),ROWS(Lookups!$D$2:$D$10))+1)</f>
        <v>GPDIS (Grenade intercept system)</v>
      </c>
      <c r="D281" s="38" t="str">
        <f>_xlfn.XLOOKUP(C281,Analysis_Gadgets!$C:$C,Analysis_Gadgets!$B:$B)</f>
        <v>Gadget</v>
      </c>
      <c r="E281" s="43">
        <v>128</v>
      </c>
      <c r="F281" s="43">
        <f>_xlfn.XLOOKUP(A281,Class_Players!A:A,Class_Players!G:G)</f>
        <v>277</v>
      </c>
      <c r="G281" s="43">
        <f t="shared" si="59"/>
        <v>0.46209386281588449</v>
      </c>
      <c r="H281" s="43">
        <f>_xlfn.XLOOKUP(A281,Class_Players!$A:$A,Class_Players!$F:$F,"")</f>
        <v>13839</v>
      </c>
      <c r="I281" s="44">
        <f t="shared" si="60"/>
        <v>9.2492232097694926E-3</v>
      </c>
      <c r="J281" s="43">
        <f t="shared" si="61"/>
        <v>0</v>
      </c>
      <c r="K281" s="44" cm="1">
        <f t="array" ref="K281">IF(D281="Gadget",_xlfn.IFS(I281&gt;=0.2,0.5,I281&gt;=0.1,0.35,I281&gt;=0.05,0.2,TRUE,0),IF(D281="Grenade",_xlfn.IFS(I281&gt;=0.2,1,I281&gt;=0.1,0.7,I281&gt;=0.05,0.4,TRUE,0),0))</f>
        <v>0</v>
      </c>
      <c r="L281" s="57">
        <f t="shared" ref="L281:L287" si="64">IF($K281=0,0,$K281 / SUMIFS($K:$K,$A:$A,$A281,$D:$D,"Gadget"))</f>
        <v>0</v>
      </c>
    </row>
    <row r="282" spans="1:12" ht="15" customHeight="1" x14ac:dyDescent="0.25">
      <c r="A282" s="42" t="str" cm="1">
        <f t="array" ref="A282">IFERROR(INDEX(_xlfn._xlws.FILTER(Class_Players!A:A,Class_Players!B:B="Support"),QUOTIENT(ROW()-ROW($A$2),9)+1),"")</f>
        <v>Tsumarai</v>
      </c>
      <c r="B282" s="42" t="str">
        <f>_xlfn.XLOOKUP(A282,Class_Players!$A:$A,Class_Players!$B:$B,"")</f>
        <v>Support</v>
      </c>
      <c r="C282" s="38" t="str" cm="1">
        <f t="array" ref="C282">INDEX(Lookups!$D$2:$D$10,MOD(ROW()-ROW($B$2),ROWS(Lookups!$D$2:$D$10))+1)</f>
        <v>MP-APS (Missile intercept system)</v>
      </c>
      <c r="D282" s="38" t="str">
        <f>_xlfn.XLOOKUP(C282,Analysis_Gadgets!$C:$C,Analysis_Gadgets!$B:$B)</f>
        <v>Gadget</v>
      </c>
      <c r="E282" s="43">
        <v>6</v>
      </c>
      <c r="F282" s="43">
        <f>_xlfn.XLOOKUP(A282,Class_Players!A:A,Class_Players!G:G)</f>
        <v>277</v>
      </c>
      <c r="G282" s="43">
        <f t="shared" si="59"/>
        <v>2.1660649819494584E-2</v>
      </c>
      <c r="H282" s="43">
        <f>_xlfn.XLOOKUP(A282,Class_Players!$A:$A,Class_Players!$F:$F,"")</f>
        <v>13839</v>
      </c>
      <c r="I282" s="44">
        <f t="shared" si="60"/>
        <v>4.3355733795794494E-4</v>
      </c>
      <c r="J282" s="43">
        <f t="shared" si="61"/>
        <v>0</v>
      </c>
      <c r="K282" s="44" cm="1">
        <f t="array" ref="K282">IF(D282="Gadget",_xlfn.IFS(I282&gt;=0.2,0.5,I282&gt;=0.1,0.35,I282&gt;=0.05,0.2,TRUE,0),IF(D282="Grenade",_xlfn.IFS(I282&gt;=0.2,1,I282&gt;=0.1,0.7,I282&gt;=0.05,0.4,TRUE,0),0))</f>
        <v>0</v>
      </c>
      <c r="L282" s="57">
        <f t="shared" si="64"/>
        <v>0</v>
      </c>
    </row>
    <row r="283" spans="1:12" ht="15" customHeight="1" x14ac:dyDescent="0.25">
      <c r="A283" s="42" t="str" cm="1">
        <f t="array" ref="A283">IFERROR(INDEX(_xlfn._xlws.FILTER(Class_Players!A:A,Class_Players!B:B="Support"),QUOTIENT(ROW()-ROW($A$2),9)+1),"")</f>
        <v>Tsumarai</v>
      </c>
      <c r="B283" s="42" t="str">
        <f>_xlfn.XLOOKUP(A283,Class_Players!$A:$A,Class_Players!$B:$B,"")</f>
        <v>Support</v>
      </c>
      <c r="C283" s="38" t="str" cm="1">
        <f t="array" ref="C283">INDEX(Lookups!$D$2:$D$10,MOD(ROW()-ROW($B$2),ROWS(Lookups!$D$2:$D$10))+1)</f>
        <v>LWCMS (Mortar)</v>
      </c>
      <c r="D283" s="38" t="str">
        <f>_xlfn.XLOOKUP(C283,Analysis_Gadgets!$C:$C,Analysis_Gadgets!$B:$B)</f>
        <v>Gadget</v>
      </c>
      <c r="E283" s="43">
        <v>49</v>
      </c>
      <c r="F283" s="43">
        <f>_xlfn.XLOOKUP(A283,Class_Players!A:A,Class_Players!G:G)</f>
        <v>277</v>
      </c>
      <c r="G283" s="43">
        <f t="shared" si="59"/>
        <v>0.17689530685920576</v>
      </c>
      <c r="H283" s="43">
        <f>_xlfn.XLOOKUP(A283,Class_Players!$A:$A,Class_Players!$F:$F,"")</f>
        <v>13839</v>
      </c>
      <c r="I283" s="44">
        <f t="shared" si="60"/>
        <v>3.5407182599898838E-3</v>
      </c>
      <c r="J283" s="43">
        <f t="shared" si="61"/>
        <v>0</v>
      </c>
      <c r="K283" s="44" cm="1">
        <f t="array" ref="K283">IF(D283="Gadget",_xlfn.IFS(I283&gt;=0.2,0.5,I283&gt;=0.1,0.35,I283&gt;=0.05,0.2,TRUE,0),IF(D283="Grenade",_xlfn.IFS(I283&gt;=0.2,1,I283&gt;=0.1,0.7,I283&gt;=0.05,0.4,TRUE,0),0))</f>
        <v>0</v>
      </c>
      <c r="L283" s="57">
        <f t="shared" si="64"/>
        <v>0</v>
      </c>
    </row>
    <row r="284" spans="1:12" ht="15" customHeight="1" x14ac:dyDescent="0.25">
      <c r="A284" s="42" t="str" cm="1">
        <f t="array" ref="A284">IFERROR(INDEX(_xlfn._xlws.FILTER(Class_Players!A:A,Class_Players!B:B="Support"),QUOTIENT(ROW()-ROW($A$2),9)+1),"")</f>
        <v>Tsumarai</v>
      </c>
      <c r="B284" s="42" t="str">
        <f>_xlfn.XLOOKUP(A284,Class_Players!$A:$A,Class_Players!$B:$B,"")</f>
        <v>Support</v>
      </c>
      <c r="C284" s="38" t="str" cm="1">
        <f t="array" ref="C284">INDEX(Lookups!$D$2:$D$10,MOD(ROW()-ROW($B$2),ROWS(Lookups!$D$2:$D$10))+1)</f>
        <v>M320A1 SMK (Smoke Grenade Launcher)</v>
      </c>
      <c r="D284" s="38" t="str">
        <f>_xlfn.XLOOKUP(C284,Analysis_Gadgets!$C:$C,Analysis_Gadgets!$B:$B)</f>
        <v>Gadget</v>
      </c>
      <c r="E284" s="43">
        <v>19</v>
      </c>
      <c r="F284" s="43">
        <f>_xlfn.XLOOKUP(A284,Class_Players!A:A,Class_Players!G:G)</f>
        <v>277</v>
      </c>
      <c r="G284" s="43">
        <f t="shared" si="59"/>
        <v>6.8592057761732855E-2</v>
      </c>
      <c r="H284" s="43">
        <f>_xlfn.XLOOKUP(A284,Class_Players!$A:$A,Class_Players!$F:$F,"")</f>
        <v>13839</v>
      </c>
      <c r="I284" s="44">
        <f t="shared" si="60"/>
        <v>1.372931570200159E-3</v>
      </c>
      <c r="J284" s="43">
        <f t="shared" si="61"/>
        <v>0</v>
      </c>
      <c r="K284" s="44" cm="1">
        <f t="array" ref="K284">IF(D284="Gadget",_xlfn.IFS(I284&gt;=0.2,0.5,I284&gt;=0.1,0.35,I284&gt;=0.05,0.2,TRUE,0),IF(D284="Grenade",_xlfn.IFS(I284&gt;=0.2,1,I284&gt;=0.1,0.7,I284&gt;=0.05,0.4,TRUE,0),0))</f>
        <v>0</v>
      </c>
      <c r="L284" s="57">
        <f t="shared" si="64"/>
        <v>0</v>
      </c>
    </row>
    <row r="285" spans="1:12" ht="15" customHeight="1" x14ac:dyDescent="0.25">
      <c r="A285" s="42" t="str" cm="1">
        <f t="array" ref="A285">IFERROR(INDEX(_xlfn._xlws.FILTER(Class_Players!A:A,Class_Players!B:B="Support"),QUOTIENT(ROW()-ROW($A$2),9)+1),"")</f>
        <v>Tsumarai</v>
      </c>
      <c r="B285" s="42" t="str">
        <f>_xlfn.XLOOKUP(A285,Class_Players!$A:$A,Class_Players!$B:$B,"")</f>
        <v>Support</v>
      </c>
      <c r="C285" s="38" t="str" cm="1">
        <f t="array" ref="C285">INDEX(Lookups!$D$2:$D$10,MOD(ROW()-ROW($B$2),ROWS(Lookups!$D$2:$D$10))+1)</f>
        <v>SICH G1 WP (Incendiary Airburst Launcher)</v>
      </c>
      <c r="D285" s="38" t="str">
        <f>_xlfn.XLOOKUP(C285,Analysis_Gadgets!$C:$C,Analysis_Gadgets!$B:$B)</f>
        <v>Gadget</v>
      </c>
      <c r="E285" s="43">
        <v>2761</v>
      </c>
      <c r="F285" s="43">
        <f>_xlfn.XLOOKUP(A285,Class_Players!A:A,Class_Players!G:G)</f>
        <v>277</v>
      </c>
      <c r="G285" s="43">
        <f t="shared" si="59"/>
        <v>9.9675090252707577</v>
      </c>
      <c r="H285" s="43">
        <f>_xlfn.XLOOKUP(A285,Class_Players!$A:$A,Class_Players!$F:$F,"")</f>
        <v>13839</v>
      </c>
      <c r="I285" s="44">
        <f t="shared" si="60"/>
        <v>0.19950863501698099</v>
      </c>
      <c r="J285" s="43">
        <f t="shared" si="61"/>
        <v>1</v>
      </c>
      <c r="K285" s="44" cm="1">
        <f t="array" ref="K285">IF(D285="Gadget",_xlfn.IFS(I285&gt;=0.2,0.5,I285&gt;=0.1,0.35,I285&gt;=0.05,0.2,TRUE,0),IF(D285="Grenade",_xlfn.IFS(I285&gt;=0.2,1,I285&gt;=0.1,0.7,I285&gt;=0.05,0.4,TRUE,0),0))</f>
        <v>0.35</v>
      </c>
      <c r="L285" s="57">
        <f t="shared" si="64"/>
        <v>1</v>
      </c>
    </row>
    <row r="286" spans="1:12" ht="15" customHeight="1" x14ac:dyDescent="0.25">
      <c r="A286" s="42" t="str" cm="1">
        <f t="array" ref="A286">IFERROR(INDEX(_xlfn._xlws.FILTER(Class_Players!A:A,Class_Players!B:B="Support"),QUOTIENT(ROW()-ROW($A$2),9)+1),"")</f>
        <v>Tsumarai</v>
      </c>
      <c r="B286" s="42" t="str">
        <f>_xlfn.XLOOKUP(A286,Class_Players!$A:$A,Class_Players!$B:$B,"")</f>
        <v>Support</v>
      </c>
      <c r="C286" s="38" t="str" cm="1">
        <f t="array" ref="C286">INDEX(Lookups!$D$2:$D$10,MOD(ROW()-ROW($B$2),ROWS(Lookups!$D$2:$D$10))+1)</f>
        <v>Deployable Cover</v>
      </c>
      <c r="D286" s="38" t="str">
        <f>_xlfn.XLOOKUP(C286,Analysis_Gadgets!$C:$C,Analysis_Gadgets!$B:$B)</f>
        <v>Gadget</v>
      </c>
      <c r="E286" s="43">
        <v>139</v>
      </c>
      <c r="F286" s="43">
        <f>_xlfn.XLOOKUP(A286,Class_Players!A:A,Class_Players!G:G)</f>
        <v>277</v>
      </c>
      <c r="G286" s="43">
        <f t="shared" si="59"/>
        <v>0.50180505415162457</v>
      </c>
      <c r="H286" s="43">
        <f>_xlfn.XLOOKUP(A286,Class_Players!$A:$A,Class_Players!$F:$F,"")</f>
        <v>13839</v>
      </c>
      <c r="I286" s="44">
        <f t="shared" si="60"/>
        <v>1.0044078329359057E-2</v>
      </c>
      <c r="J286" s="43">
        <f t="shared" si="61"/>
        <v>0</v>
      </c>
      <c r="K286" s="44" cm="1">
        <f t="array" ref="K286">IF(D286="Gadget",_xlfn.IFS(I286&gt;=0.2,0.5,I286&gt;=0.1,0.35,I286&gt;=0.05,0.2,TRUE,0),IF(D286="Grenade",_xlfn.IFS(I286&gt;=0.2,1,I286&gt;=0.1,0.7,I286&gt;=0.05,0.4,TRUE,0),0))</f>
        <v>0</v>
      </c>
      <c r="L286" s="57">
        <f t="shared" si="64"/>
        <v>0</v>
      </c>
    </row>
    <row r="287" spans="1:12" ht="15" customHeight="1" x14ac:dyDescent="0.25">
      <c r="A287" s="42" t="str" cm="1">
        <f t="array" ref="A287">IFERROR(INDEX(_xlfn._xlws.FILTER(Class_Players!A:A,Class_Players!B:B="Support"),QUOTIENT(ROW()-ROW($A$2),9)+1),"")</f>
        <v>Tsumarai</v>
      </c>
      <c r="B287" s="42" t="str">
        <f>_xlfn.XLOOKUP(A287,Class_Players!$A:$A,Class_Players!$B:$B,"")</f>
        <v>Support</v>
      </c>
      <c r="C287" s="38" t="str" cm="1">
        <f t="array" ref="C287">INDEX(Lookups!$D$2:$D$10,MOD(ROW()-ROW($B$2),ROWS(Lookups!$D$2:$D$10))+1)</f>
        <v>Supply Pouch</v>
      </c>
      <c r="D287" s="38" t="str">
        <f>_xlfn.XLOOKUP(C287,Analysis_Gadgets!$C:$C,Analysis_Gadgets!$B:$B)</f>
        <v>Gadget</v>
      </c>
      <c r="E287" s="43">
        <v>57</v>
      </c>
      <c r="F287" s="43">
        <f>_xlfn.XLOOKUP(A287,Class_Players!A:A,Class_Players!G:G)</f>
        <v>277</v>
      </c>
      <c r="G287" s="43">
        <f t="shared" si="59"/>
        <v>0.20577617328519857</v>
      </c>
      <c r="H287" s="43">
        <f>_xlfn.XLOOKUP(A287,Class_Players!$A:$A,Class_Players!$F:$F,"")</f>
        <v>13839</v>
      </c>
      <c r="I287" s="44">
        <f t="shared" si="60"/>
        <v>4.1187947106004772E-3</v>
      </c>
      <c r="J287" s="43">
        <f t="shared" si="61"/>
        <v>0</v>
      </c>
      <c r="K287" s="44" cm="1">
        <f t="array" ref="K287">IF(D287="Gadget",_xlfn.IFS(I287&gt;=0.2,0.5,I287&gt;=0.1,0.35,I287&gt;=0.05,0.2,TRUE,0),IF(D287="Grenade",_xlfn.IFS(I287&gt;=0.2,1,I287&gt;=0.1,0.7,I287&gt;=0.05,0.4,TRUE,0),0))</f>
        <v>0</v>
      </c>
      <c r="L287" s="57">
        <f t="shared" si="64"/>
        <v>0</v>
      </c>
    </row>
    <row r="288" spans="1:12" ht="15" customHeight="1" x14ac:dyDescent="0.25">
      <c r="A288" s="42" t="str" cm="1">
        <f t="array" ref="A288">IFERROR(INDEX(_xlfn._xlws.FILTER(Class_Players!A:A,Class_Players!B:B="Support"),QUOTIENT(ROW()-ROW($A$2),9)+1),"")</f>
        <v>Tsumarai</v>
      </c>
      <c r="B288" s="42" t="str">
        <f>_xlfn.XLOOKUP(A288,Class_Players!$A:$A,Class_Players!$B:$B,"")</f>
        <v>Support</v>
      </c>
      <c r="C288" s="38" t="str" cm="1">
        <f t="array" ref="C288">INDEX(Lookups!$D$2:$D$10,MOD(ROW()-ROW($B$2),ROWS(Lookups!$D$2:$D$10))+1)</f>
        <v>Smoke Grenade</v>
      </c>
      <c r="D288" s="38" t="str">
        <f>_xlfn.XLOOKUP(C288,Analysis_Gadgets!$C:$C,Analysis_Gadgets!$B:$B)</f>
        <v>Grenade</v>
      </c>
      <c r="E288" s="43">
        <v>3775</v>
      </c>
      <c r="F288" s="43">
        <f>_xlfn.XLOOKUP(A288,Class_Players!A:A,Class_Players!G:G)</f>
        <v>277</v>
      </c>
      <c r="G288" s="43">
        <f t="shared" si="59"/>
        <v>13.628158844765343</v>
      </c>
      <c r="H288" s="43">
        <f>_xlfn.XLOOKUP(A288,Class_Players!$A:$A,Class_Players!$F:$F,"")</f>
        <v>13839</v>
      </c>
      <c r="I288" s="44">
        <f t="shared" si="60"/>
        <v>0.27277982513187371</v>
      </c>
      <c r="J288" s="43">
        <f t="shared" si="61"/>
        <v>1</v>
      </c>
      <c r="K288" s="44" cm="1">
        <f t="array" ref="K288">IF(D288="Gadget",_xlfn.IFS(I288&gt;=0.2,0.5,I288&gt;=0.1,0.35,I288&gt;=0.05,0.2,TRUE,0),IF(D288="Grenade",_xlfn.IFS(I288&gt;=0.2,1,I288&gt;=0.1,0.7,I288&gt;=0.05,0.4,TRUE,0),0))</f>
        <v>1</v>
      </c>
      <c r="L288" s="57">
        <f t="shared" ref="L288:L289" si="65">IF($K288=0,0,$K288 / SUMIFS($K:$K,$A:$A,$A288,$D:$D,"Grenade"))</f>
        <v>1</v>
      </c>
    </row>
    <row r="289" spans="1:12" ht="15" customHeight="1" x14ac:dyDescent="0.25">
      <c r="A289" s="42" t="str" cm="1">
        <f t="array" ref="A289">IFERROR(INDEX(_xlfn._xlws.FILTER(Class_Players!A:A,Class_Players!B:B="Support"),QUOTIENT(ROW()-ROW($A$2),9)+1),"")</f>
        <v>Tsumarai</v>
      </c>
      <c r="B289" s="42" t="str">
        <f>_xlfn.XLOOKUP(A289,Class_Players!$A:$A,Class_Players!$B:$B,"")</f>
        <v>Support</v>
      </c>
      <c r="C289" s="38" t="str" cm="1">
        <f t="array" ref="C289">INDEX(Lookups!$D$2:$D$10,MOD(ROW()-ROW($B$2),ROWS(Lookups!$D$2:$D$10))+1)</f>
        <v>Incendiary Grenade</v>
      </c>
      <c r="D289" s="38" t="str">
        <f>_xlfn.XLOOKUP(C289,Analysis_Gadgets!$C:$C,Analysis_Gadgets!$B:$B)</f>
        <v>Grenade</v>
      </c>
      <c r="E289" s="43">
        <v>20</v>
      </c>
      <c r="F289" s="43">
        <f>_xlfn.XLOOKUP(A289,Class_Players!A:A,Class_Players!G:G)</f>
        <v>277</v>
      </c>
      <c r="G289" s="43">
        <f t="shared" si="59"/>
        <v>7.2202166064981949E-2</v>
      </c>
      <c r="H289" s="43">
        <f>_xlfn.XLOOKUP(A289,Class_Players!$A:$A,Class_Players!$F:$F,"")</f>
        <v>13839</v>
      </c>
      <c r="I289" s="44">
        <f t="shared" si="60"/>
        <v>1.4451911265264831E-3</v>
      </c>
      <c r="J289" s="43">
        <f t="shared" si="61"/>
        <v>0</v>
      </c>
      <c r="K289" s="44" cm="1">
        <f t="array" ref="K289">IF(D289="Gadget",_xlfn.IFS(I289&gt;=0.2,0.5,I289&gt;=0.1,0.35,I289&gt;=0.05,0.2,TRUE,0),IF(D289="Grenade",_xlfn.IFS(I289&gt;=0.2,1,I289&gt;=0.1,0.7,I289&gt;=0.05,0.4,TRUE,0),0))</f>
        <v>0</v>
      </c>
      <c r="L289" s="57">
        <f t="shared" si="65"/>
        <v>0</v>
      </c>
    </row>
    <row r="290" spans="1:12" ht="15" customHeight="1" x14ac:dyDescent="0.25">
      <c r="A290" s="42" t="str" cm="1">
        <f t="array" ref="A290">IFERROR(INDEX(_xlfn._xlws.FILTER(Class_Players!A:A,Class_Players!B:B="Support"),QUOTIENT(ROW()-ROW($A$2),9)+1),"")</f>
        <v>lB-A-G-D-A-lD</v>
      </c>
      <c r="B290" s="42" t="str">
        <f>_xlfn.XLOOKUP(A290,Class_Players!$A:$A,Class_Players!$B:$B,"")</f>
        <v>Support</v>
      </c>
      <c r="C290" s="38" t="str" cm="1">
        <f t="array" ref="C290">INDEX(Lookups!$D$2:$D$10,MOD(ROW()-ROW($B$2),ROWS(Lookups!$D$2:$D$10))+1)</f>
        <v>GPDIS (Grenade intercept system)</v>
      </c>
      <c r="D290" s="38" t="str">
        <f>_xlfn.XLOOKUP(C290,Analysis_Gadgets!$C:$C,Analysis_Gadgets!$B:$B)</f>
        <v>Gadget</v>
      </c>
      <c r="E290" s="43">
        <v>180</v>
      </c>
      <c r="F290" s="43">
        <f>_xlfn.XLOOKUP(A290,Class_Players!A:A,Class_Players!G:G)</f>
        <v>299</v>
      </c>
      <c r="G290" s="43">
        <f t="shared" si="59"/>
        <v>0.60200668896321075</v>
      </c>
      <c r="H290" s="43">
        <f>_xlfn.XLOOKUP(A290,Class_Players!$A:$A,Class_Players!$F:$F,"")</f>
        <v>13554</v>
      </c>
      <c r="I290" s="44">
        <f t="shared" si="60"/>
        <v>1.3280212483399735E-2</v>
      </c>
      <c r="J290" s="43">
        <f t="shared" si="61"/>
        <v>0</v>
      </c>
      <c r="K290" s="44" cm="1">
        <f t="array" ref="K290">IF(D290="Gadget",_xlfn.IFS(I290&gt;=0.2,0.5,I290&gt;=0.1,0.35,I290&gt;=0.05,0.2,TRUE,0),IF(D290="Grenade",_xlfn.IFS(I290&gt;=0.2,1,I290&gt;=0.1,0.7,I290&gt;=0.05,0.4,TRUE,0),0))</f>
        <v>0</v>
      </c>
      <c r="L290" s="57">
        <f t="shared" ref="L290:L296" si="66">IF($K290=0,0,$K290 / SUMIFS($K:$K,$A:$A,$A290,$D:$D,"Gadget"))</f>
        <v>0</v>
      </c>
    </row>
    <row r="291" spans="1:12" ht="15" customHeight="1" x14ac:dyDescent="0.25">
      <c r="A291" s="42" t="str" cm="1">
        <f t="array" ref="A291">IFERROR(INDEX(_xlfn._xlws.FILTER(Class_Players!A:A,Class_Players!B:B="Support"),QUOTIENT(ROW()-ROW($A$2),9)+1),"")</f>
        <v>lB-A-G-D-A-lD</v>
      </c>
      <c r="B291" s="42" t="str">
        <f>_xlfn.XLOOKUP(A291,Class_Players!$A:$A,Class_Players!$B:$B,"")</f>
        <v>Support</v>
      </c>
      <c r="C291" s="38" t="str" cm="1">
        <f t="array" ref="C291">INDEX(Lookups!$D$2:$D$10,MOD(ROW()-ROW($B$2),ROWS(Lookups!$D$2:$D$10))+1)</f>
        <v>MP-APS (Missile intercept system)</v>
      </c>
      <c r="D291" s="38" t="str">
        <f>_xlfn.XLOOKUP(C291,Analysis_Gadgets!$C:$C,Analysis_Gadgets!$B:$B)</f>
        <v>Gadget</v>
      </c>
      <c r="E291" s="43">
        <v>4</v>
      </c>
      <c r="F291" s="43">
        <f>_xlfn.XLOOKUP(A291,Class_Players!A:A,Class_Players!G:G)</f>
        <v>299</v>
      </c>
      <c r="G291" s="43">
        <f t="shared" si="59"/>
        <v>1.3377926421404682E-2</v>
      </c>
      <c r="H291" s="43">
        <f>_xlfn.XLOOKUP(A291,Class_Players!$A:$A,Class_Players!$F:$F,"")</f>
        <v>13554</v>
      </c>
      <c r="I291" s="44">
        <f t="shared" si="60"/>
        <v>2.9511583296443856E-4</v>
      </c>
      <c r="J291" s="43">
        <f t="shared" si="61"/>
        <v>0</v>
      </c>
      <c r="K291" s="44" cm="1">
        <f t="array" ref="K291">IF(D291="Gadget",_xlfn.IFS(I291&gt;=0.2,0.5,I291&gt;=0.1,0.35,I291&gt;=0.05,0.2,TRUE,0),IF(D291="Grenade",_xlfn.IFS(I291&gt;=0.2,1,I291&gt;=0.1,0.7,I291&gt;=0.05,0.4,TRUE,0),0))</f>
        <v>0</v>
      </c>
      <c r="L291" s="57">
        <f t="shared" si="66"/>
        <v>0</v>
      </c>
    </row>
    <row r="292" spans="1:12" ht="15" customHeight="1" x14ac:dyDescent="0.25">
      <c r="A292" s="42" t="str" cm="1">
        <f t="array" ref="A292">IFERROR(INDEX(_xlfn._xlws.FILTER(Class_Players!A:A,Class_Players!B:B="Support"),QUOTIENT(ROW()-ROW($A$2),9)+1),"")</f>
        <v>lB-A-G-D-A-lD</v>
      </c>
      <c r="B292" s="42" t="str">
        <f>_xlfn.XLOOKUP(A292,Class_Players!$A:$A,Class_Players!$B:$B,"")</f>
        <v>Support</v>
      </c>
      <c r="C292" s="38" t="str" cm="1">
        <f t="array" ref="C292">INDEX(Lookups!$D$2:$D$10,MOD(ROW()-ROW($B$2),ROWS(Lookups!$D$2:$D$10))+1)</f>
        <v>LWCMS (Mortar)</v>
      </c>
      <c r="D292" s="38" t="str">
        <f>_xlfn.XLOOKUP(C292,Analysis_Gadgets!$C:$C,Analysis_Gadgets!$B:$B)</f>
        <v>Gadget</v>
      </c>
      <c r="E292" s="43">
        <v>15</v>
      </c>
      <c r="F292" s="43">
        <f>_xlfn.XLOOKUP(A292,Class_Players!A:A,Class_Players!G:G)</f>
        <v>299</v>
      </c>
      <c r="G292" s="43">
        <f t="shared" si="59"/>
        <v>5.016722408026756E-2</v>
      </c>
      <c r="H292" s="43">
        <f>_xlfn.XLOOKUP(A292,Class_Players!$A:$A,Class_Players!$F:$F,"")</f>
        <v>13554</v>
      </c>
      <c r="I292" s="44">
        <f t="shared" si="60"/>
        <v>1.1066843736166445E-3</v>
      </c>
      <c r="J292" s="43">
        <f t="shared" si="61"/>
        <v>0</v>
      </c>
      <c r="K292" s="44" cm="1">
        <f t="array" ref="K292">IF(D292="Gadget",_xlfn.IFS(I292&gt;=0.2,0.5,I292&gt;=0.1,0.35,I292&gt;=0.05,0.2,TRUE,0),IF(D292="Grenade",_xlfn.IFS(I292&gt;=0.2,1,I292&gt;=0.1,0.7,I292&gt;=0.05,0.4,TRUE,0),0))</f>
        <v>0</v>
      </c>
      <c r="L292" s="57">
        <f t="shared" si="66"/>
        <v>0</v>
      </c>
    </row>
    <row r="293" spans="1:12" ht="15" customHeight="1" x14ac:dyDescent="0.25">
      <c r="A293" s="42" t="str" cm="1">
        <f t="array" ref="A293">IFERROR(INDEX(_xlfn._xlws.FILTER(Class_Players!A:A,Class_Players!B:B="Support"),QUOTIENT(ROW()-ROW($A$2),9)+1),"")</f>
        <v>lB-A-G-D-A-lD</v>
      </c>
      <c r="B293" s="42" t="str">
        <f>_xlfn.XLOOKUP(A293,Class_Players!$A:$A,Class_Players!$B:$B,"")</f>
        <v>Support</v>
      </c>
      <c r="C293" s="38" t="str" cm="1">
        <f t="array" ref="C293">INDEX(Lookups!$D$2:$D$10,MOD(ROW()-ROW($B$2),ROWS(Lookups!$D$2:$D$10))+1)</f>
        <v>M320A1 SMK (Smoke Grenade Launcher)</v>
      </c>
      <c r="D293" s="38" t="str">
        <f>_xlfn.XLOOKUP(C293,Analysis_Gadgets!$C:$C,Analysis_Gadgets!$B:$B)</f>
        <v>Gadget</v>
      </c>
      <c r="E293" s="43">
        <v>7</v>
      </c>
      <c r="F293" s="43">
        <f>_xlfn.XLOOKUP(A293,Class_Players!A:A,Class_Players!G:G)</f>
        <v>299</v>
      </c>
      <c r="G293" s="43">
        <f t="shared" si="59"/>
        <v>2.3411371237458192E-2</v>
      </c>
      <c r="H293" s="43">
        <f>_xlfn.XLOOKUP(A293,Class_Players!$A:$A,Class_Players!$F:$F,"")</f>
        <v>13554</v>
      </c>
      <c r="I293" s="44">
        <f t="shared" si="60"/>
        <v>5.1645270768776747E-4</v>
      </c>
      <c r="J293" s="43">
        <f t="shared" si="61"/>
        <v>0</v>
      </c>
      <c r="K293" s="44" cm="1">
        <f t="array" ref="K293">IF(D293="Gadget",_xlfn.IFS(I293&gt;=0.2,0.5,I293&gt;=0.1,0.35,I293&gt;=0.05,0.2,TRUE,0),IF(D293="Grenade",_xlfn.IFS(I293&gt;=0.2,1,I293&gt;=0.1,0.7,I293&gt;=0.05,0.4,TRUE,0),0))</f>
        <v>0</v>
      </c>
      <c r="L293" s="57">
        <f t="shared" si="66"/>
        <v>0</v>
      </c>
    </row>
    <row r="294" spans="1:12" ht="15" customHeight="1" x14ac:dyDescent="0.25">
      <c r="A294" s="42" t="str" cm="1">
        <f t="array" ref="A294">IFERROR(INDEX(_xlfn._xlws.FILTER(Class_Players!A:A,Class_Players!B:B="Support"),QUOTIENT(ROW()-ROW($A$2),9)+1),"")</f>
        <v>lB-A-G-D-A-lD</v>
      </c>
      <c r="B294" s="42" t="str">
        <f>_xlfn.XLOOKUP(A294,Class_Players!$A:$A,Class_Players!$B:$B,"")</f>
        <v>Support</v>
      </c>
      <c r="C294" s="38" t="str" cm="1">
        <f t="array" ref="C294">INDEX(Lookups!$D$2:$D$10,MOD(ROW()-ROW($B$2),ROWS(Lookups!$D$2:$D$10))+1)</f>
        <v>SICH G1 WP (Incendiary Airburst Launcher)</v>
      </c>
      <c r="D294" s="38" t="str">
        <f>_xlfn.XLOOKUP(C294,Analysis_Gadgets!$C:$C,Analysis_Gadgets!$B:$B)</f>
        <v>Gadget</v>
      </c>
      <c r="E294" s="43">
        <v>1689</v>
      </c>
      <c r="F294" s="43">
        <f>_xlfn.XLOOKUP(A294,Class_Players!A:A,Class_Players!G:G)</f>
        <v>299</v>
      </c>
      <c r="G294" s="43">
        <f t="shared" si="59"/>
        <v>5.6488294314381271</v>
      </c>
      <c r="H294" s="43">
        <f>_xlfn.XLOOKUP(A294,Class_Players!$A:$A,Class_Players!$F:$F,"")</f>
        <v>13554</v>
      </c>
      <c r="I294" s="44">
        <f t="shared" si="60"/>
        <v>0.12461266046923418</v>
      </c>
      <c r="J294" s="43">
        <f t="shared" si="61"/>
        <v>1</v>
      </c>
      <c r="K294" s="44" cm="1">
        <f t="array" ref="K294">IF(D294="Gadget",_xlfn.IFS(I294&gt;=0.2,0.5,I294&gt;=0.1,0.35,I294&gt;=0.05,0.2,TRUE,0),IF(D294="Grenade",_xlfn.IFS(I294&gt;=0.2,1,I294&gt;=0.1,0.7,I294&gt;=0.05,0.4,TRUE,0),0))</f>
        <v>0.35</v>
      </c>
      <c r="L294" s="57">
        <f t="shared" si="66"/>
        <v>0.29166666666666669</v>
      </c>
    </row>
    <row r="295" spans="1:12" ht="15" customHeight="1" x14ac:dyDescent="0.25">
      <c r="A295" s="42" t="str" cm="1">
        <f t="array" ref="A295">IFERROR(INDEX(_xlfn._xlws.FILTER(Class_Players!A:A,Class_Players!B:B="Support"),QUOTIENT(ROW()-ROW($A$2),9)+1),"")</f>
        <v>lB-A-G-D-A-lD</v>
      </c>
      <c r="B295" s="42" t="str">
        <f>_xlfn.XLOOKUP(A295,Class_Players!$A:$A,Class_Players!$B:$B,"")</f>
        <v>Support</v>
      </c>
      <c r="C295" s="38" t="str" cm="1">
        <f t="array" ref="C295">INDEX(Lookups!$D$2:$D$10,MOD(ROW()-ROW($B$2),ROWS(Lookups!$D$2:$D$10))+1)</f>
        <v>Deployable Cover</v>
      </c>
      <c r="D295" s="38" t="str">
        <f>_xlfn.XLOOKUP(C295,Analysis_Gadgets!$C:$C,Analysis_Gadgets!$B:$B)</f>
        <v>Gadget</v>
      </c>
      <c r="E295" s="43">
        <v>3428</v>
      </c>
      <c r="F295" s="43">
        <f>_xlfn.XLOOKUP(A295,Class_Players!A:A,Class_Players!G:G)</f>
        <v>299</v>
      </c>
      <c r="G295" s="43">
        <f t="shared" si="59"/>
        <v>11.464882943143813</v>
      </c>
      <c r="H295" s="43">
        <f>_xlfn.XLOOKUP(A295,Class_Players!$A:$A,Class_Players!$F:$F,"")</f>
        <v>13554</v>
      </c>
      <c r="I295" s="44">
        <f t="shared" si="60"/>
        <v>0.25291426885052382</v>
      </c>
      <c r="J295" s="43">
        <f t="shared" si="61"/>
        <v>1</v>
      </c>
      <c r="K295" s="44" cm="1">
        <f t="array" ref="K295">IF(D295="Gadget",_xlfn.IFS(I295&gt;=0.2,0.5,I295&gt;=0.1,0.35,I295&gt;=0.05,0.2,TRUE,0),IF(D295="Grenade",_xlfn.IFS(I295&gt;=0.2,1,I295&gt;=0.1,0.7,I295&gt;=0.05,0.4,TRUE,0),0))</f>
        <v>0.5</v>
      </c>
      <c r="L295" s="57">
        <f t="shared" si="66"/>
        <v>0.41666666666666669</v>
      </c>
    </row>
    <row r="296" spans="1:12" ht="15" customHeight="1" x14ac:dyDescent="0.25">
      <c r="A296" s="42" t="str" cm="1">
        <f t="array" ref="A296">IFERROR(INDEX(_xlfn._xlws.FILTER(Class_Players!A:A,Class_Players!B:B="Support"),QUOTIENT(ROW()-ROW($A$2),9)+1),"")</f>
        <v>lB-A-G-D-A-lD</v>
      </c>
      <c r="B296" s="42" t="str">
        <f>_xlfn.XLOOKUP(A296,Class_Players!$A:$A,Class_Players!$B:$B,"")</f>
        <v>Support</v>
      </c>
      <c r="C296" s="38" t="str" cm="1">
        <f t="array" ref="C296">INDEX(Lookups!$D$2:$D$10,MOD(ROW()-ROW($B$2),ROWS(Lookups!$D$2:$D$10))+1)</f>
        <v>Supply Pouch</v>
      </c>
      <c r="D296" s="38" t="str">
        <f>_xlfn.XLOOKUP(C296,Analysis_Gadgets!$C:$C,Analysis_Gadgets!$B:$B)</f>
        <v>Gadget</v>
      </c>
      <c r="E296" s="43">
        <v>1646</v>
      </c>
      <c r="F296" s="43">
        <f>_xlfn.XLOOKUP(A296,Class_Players!A:A,Class_Players!G:G)</f>
        <v>299</v>
      </c>
      <c r="G296" s="43">
        <f t="shared" si="59"/>
        <v>5.5050167224080271</v>
      </c>
      <c r="H296" s="43">
        <f>_xlfn.XLOOKUP(A296,Class_Players!$A:$A,Class_Players!$F:$F,"")</f>
        <v>13554</v>
      </c>
      <c r="I296" s="44">
        <f t="shared" si="60"/>
        <v>0.12144016526486646</v>
      </c>
      <c r="J296" s="43">
        <f t="shared" si="61"/>
        <v>1</v>
      </c>
      <c r="K296" s="44" cm="1">
        <f t="array" ref="K296">IF(D296="Gadget",_xlfn.IFS(I296&gt;=0.2,0.5,I296&gt;=0.1,0.35,I296&gt;=0.05,0.2,TRUE,0),IF(D296="Grenade",_xlfn.IFS(I296&gt;=0.2,1,I296&gt;=0.1,0.7,I296&gt;=0.05,0.4,TRUE,0),0))</f>
        <v>0.35</v>
      </c>
      <c r="L296" s="57">
        <f t="shared" si="66"/>
        <v>0.29166666666666669</v>
      </c>
    </row>
    <row r="297" spans="1:12" ht="15" customHeight="1" x14ac:dyDescent="0.25">
      <c r="A297" s="42" t="str" cm="1">
        <f t="array" ref="A297">IFERROR(INDEX(_xlfn._xlws.FILTER(Class_Players!A:A,Class_Players!B:B="Support"),QUOTIENT(ROW()-ROW($A$2),9)+1),"")</f>
        <v>lB-A-G-D-A-lD</v>
      </c>
      <c r="B297" s="42" t="str">
        <f>_xlfn.XLOOKUP(A297,Class_Players!$A:$A,Class_Players!$B:$B,"")</f>
        <v>Support</v>
      </c>
      <c r="C297" s="38" t="str" cm="1">
        <f t="array" ref="C297">INDEX(Lookups!$D$2:$D$10,MOD(ROW()-ROW($B$2),ROWS(Lookups!$D$2:$D$10))+1)</f>
        <v>Smoke Grenade</v>
      </c>
      <c r="D297" s="38" t="str">
        <f>_xlfn.XLOOKUP(C297,Analysis_Gadgets!$C:$C,Analysis_Gadgets!$B:$B)</f>
        <v>Grenade</v>
      </c>
      <c r="E297" s="43">
        <v>4801</v>
      </c>
      <c r="F297" s="43">
        <f>_xlfn.XLOOKUP(A297,Class_Players!A:A,Class_Players!G:G)</f>
        <v>299</v>
      </c>
      <c r="G297" s="43">
        <f t="shared" si="59"/>
        <v>16.056856187290968</v>
      </c>
      <c r="H297" s="43">
        <f>_xlfn.XLOOKUP(A297,Class_Players!$A:$A,Class_Players!$F:$F,"")</f>
        <v>13554</v>
      </c>
      <c r="I297" s="44">
        <f t="shared" si="60"/>
        <v>0.35421277851556737</v>
      </c>
      <c r="J297" s="43">
        <f t="shared" si="61"/>
        <v>1</v>
      </c>
      <c r="K297" s="44" cm="1">
        <f t="array" ref="K297">IF(D297="Gadget",_xlfn.IFS(I297&gt;=0.2,0.5,I297&gt;=0.1,0.35,I297&gt;=0.05,0.2,TRUE,0),IF(D297="Grenade",_xlfn.IFS(I297&gt;=0.2,1,I297&gt;=0.1,0.7,I297&gt;=0.05,0.4,TRUE,0),0))</f>
        <v>1</v>
      </c>
      <c r="L297" s="57">
        <f t="shared" ref="L297:L298" si="67">IF($K297=0,0,$K297 / SUMIFS($K:$K,$A:$A,$A297,$D:$D,"Grenade"))</f>
        <v>0.5</v>
      </c>
    </row>
    <row r="298" spans="1:12" ht="15" customHeight="1" x14ac:dyDescent="0.25">
      <c r="A298" s="42" t="str" cm="1">
        <f t="array" ref="A298">IFERROR(INDEX(_xlfn._xlws.FILTER(Class_Players!A:A,Class_Players!B:B="Support"),QUOTIENT(ROW()-ROW($A$2),9)+1),"")</f>
        <v>lB-A-G-D-A-lD</v>
      </c>
      <c r="B298" s="42" t="str">
        <f>_xlfn.XLOOKUP(A298,Class_Players!$A:$A,Class_Players!$B:$B,"")</f>
        <v>Support</v>
      </c>
      <c r="C298" s="38" t="str" cm="1">
        <f t="array" ref="C298">INDEX(Lookups!$D$2:$D$10,MOD(ROW()-ROW($B$2),ROWS(Lookups!$D$2:$D$10))+1)</f>
        <v>Incendiary Grenade</v>
      </c>
      <c r="D298" s="38" t="str">
        <f>_xlfn.XLOOKUP(C298,Analysis_Gadgets!$C:$C,Analysis_Gadgets!$B:$B)</f>
        <v>Grenade</v>
      </c>
      <c r="E298" s="43">
        <v>4477</v>
      </c>
      <c r="F298" s="43">
        <f>_xlfn.XLOOKUP(A298,Class_Players!A:A,Class_Players!G:G)</f>
        <v>299</v>
      </c>
      <c r="G298" s="43">
        <f t="shared" si="59"/>
        <v>14.973244147157191</v>
      </c>
      <c r="H298" s="43">
        <f>_xlfn.XLOOKUP(A298,Class_Players!$A:$A,Class_Players!$F:$F,"")</f>
        <v>13554</v>
      </c>
      <c r="I298" s="44">
        <f t="shared" si="60"/>
        <v>0.33030839604544782</v>
      </c>
      <c r="J298" s="43">
        <f t="shared" si="61"/>
        <v>1</v>
      </c>
      <c r="K298" s="44" cm="1">
        <f t="array" ref="K298">IF(D298="Gadget",_xlfn.IFS(I298&gt;=0.2,0.5,I298&gt;=0.1,0.35,I298&gt;=0.05,0.2,TRUE,0),IF(D298="Grenade",_xlfn.IFS(I298&gt;=0.2,1,I298&gt;=0.1,0.7,I298&gt;=0.05,0.4,TRUE,0),0))</f>
        <v>1</v>
      </c>
      <c r="L298" s="57">
        <f t="shared" si="67"/>
        <v>0.5</v>
      </c>
    </row>
    <row r="299" spans="1:12" ht="15" customHeight="1" x14ac:dyDescent="0.25">
      <c r="A299" s="42" t="str" cm="1">
        <f t="array" ref="A299">IFERROR(INDEX(_xlfn._xlws.FILTER(Class_Players!A:A,Class_Players!B:B="Support"),QUOTIENT(ROW()-ROW($A$2),9)+1),"")</f>
        <v>超威蓝猫Tom</v>
      </c>
      <c r="B299" s="42" t="str">
        <f>_xlfn.XLOOKUP(A299,Class_Players!$A:$A,Class_Players!$B:$B,"")</f>
        <v>Support</v>
      </c>
      <c r="C299" s="38" t="str" cm="1">
        <f t="array" ref="C299">INDEX(Lookups!$D$2:$D$10,MOD(ROW()-ROW($B$2),ROWS(Lookups!$D$2:$D$10))+1)</f>
        <v>GPDIS (Grenade intercept system)</v>
      </c>
      <c r="D299" s="38" t="str">
        <f>_xlfn.XLOOKUP(C299,Analysis_Gadgets!$C:$C,Analysis_Gadgets!$B:$B)</f>
        <v>Gadget</v>
      </c>
      <c r="E299" s="43">
        <v>114</v>
      </c>
      <c r="F299" s="43">
        <f>_xlfn.XLOOKUP(A299,Class_Players!A:A,Class_Players!G:G)</f>
        <v>249</v>
      </c>
      <c r="G299" s="43">
        <f t="shared" si="59"/>
        <v>0.45783132530120479</v>
      </c>
      <c r="H299" s="43">
        <f>_xlfn.XLOOKUP(A299,Class_Players!$A:$A,Class_Players!$F:$F,"")</f>
        <v>15028</v>
      </c>
      <c r="I299" s="44">
        <f t="shared" si="60"/>
        <v>7.585839765770562E-3</v>
      </c>
      <c r="J299" s="43">
        <f t="shared" si="61"/>
        <v>0</v>
      </c>
      <c r="K299" s="44" cm="1">
        <f t="array" ref="K299">IF(D299="Gadget",_xlfn.IFS(I299&gt;=0.2,0.5,I299&gt;=0.1,0.35,I299&gt;=0.05,0.2,TRUE,0),IF(D299="Grenade",_xlfn.IFS(I299&gt;=0.2,1,I299&gt;=0.1,0.7,I299&gt;=0.05,0.4,TRUE,0),0))</f>
        <v>0</v>
      </c>
      <c r="L299" s="57">
        <f t="shared" ref="L299:L305" si="68">IF($K299=0,0,$K299 / SUMIFS($K:$K,$A:$A,$A299,$D:$D,"Gadget"))</f>
        <v>0</v>
      </c>
    </row>
    <row r="300" spans="1:12" ht="15" customHeight="1" x14ac:dyDescent="0.25">
      <c r="A300" s="42" t="str" cm="1">
        <f t="array" ref="A300">IFERROR(INDEX(_xlfn._xlws.FILTER(Class_Players!A:A,Class_Players!B:B="Support"),QUOTIENT(ROW()-ROW($A$2),9)+1),"")</f>
        <v>超威蓝猫Tom</v>
      </c>
      <c r="B300" s="42" t="str">
        <f>_xlfn.XLOOKUP(A300,Class_Players!$A:$A,Class_Players!$B:$B,"")</f>
        <v>Support</v>
      </c>
      <c r="C300" s="38" t="str" cm="1">
        <f t="array" ref="C300">INDEX(Lookups!$D$2:$D$10,MOD(ROW()-ROW($B$2),ROWS(Lookups!$D$2:$D$10))+1)</f>
        <v>MP-APS (Missile intercept system)</v>
      </c>
      <c r="D300" s="38" t="str">
        <f>_xlfn.XLOOKUP(C300,Analysis_Gadgets!$C:$C,Analysis_Gadgets!$B:$B)</f>
        <v>Gadget</v>
      </c>
      <c r="E300" s="43">
        <v>0</v>
      </c>
      <c r="F300" s="43">
        <f>_xlfn.XLOOKUP(A300,Class_Players!A:A,Class_Players!G:G)</f>
        <v>249</v>
      </c>
      <c r="G300" s="43">
        <f t="shared" si="59"/>
        <v>0</v>
      </c>
      <c r="H300" s="43">
        <f>_xlfn.XLOOKUP(A300,Class_Players!$A:$A,Class_Players!$F:$F,"")</f>
        <v>15028</v>
      </c>
      <c r="I300" s="44">
        <f t="shared" si="60"/>
        <v>0</v>
      </c>
      <c r="J300" s="43">
        <f t="shared" si="61"/>
        <v>0</v>
      </c>
      <c r="K300" s="44" cm="1">
        <f t="array" ref="K300">IF(D300="Gadget",_xlfn.IFS(I300&gt;=0.2,0.5,I300&gt;=0.1,0.35,I300&gt;=0.05,0.2,TRUE,0),IF(D300="Grenade",_xlfn.IFS(I300&gt;=0.2,1,I300&gt;=0.1,0.7,I300&gt;=0.05,0.4,TRUE,0),0))</f>
        <v>0</v>
      </c>
      <c r="L300" s="57">
        <f t="shared" si="68"/>
        <v>0</v>
      </c>
    </row>
    <row r="301" spans="1:12" ht="15" customHeight="1" x14ac:dyDescent="0.25">
      <c r="A301" s="42" t="str" cm="1">
        <f t="array" ref="A301">IFERROR(INDEX(_xlfn._xlws.FILTER(Class_Players!A:A,Class_Players!B:B="Support"),QUOTIENT(ROW()-ROW($A$2),9)+1),"")</f>
        <v>超威蓝猫Tom</v>
      </c>
      <c r="B301" s="42" t="str">
        <f>_xlfn.XLOOKUP(A301,Class_Players!$A:$A,Class_Players!$B:$B,"")</f>
        <v>Support</v>
      </c>
      <c r="C301" s="38" t="str" cm="1">
        <f t="array" ref="C301">INDEX(Lookups!$D$2:$D$10,MOD(ROW()-ROW($B$2),ROWS(Lookups!$D$2:$D$10))+1)</f>
        <v>LWCMS (Mortar)</v>
      </c>
      <c r="D301" s="38" t="str">
        <f>_xlfn.XLOOKUP(C301,Analysis_Gadgets!$C:$C,Analysis_Gadgets!$B:$B)</f>
        <v>Gadget</v>
      </c>
      <c r="E301" s="43">
        <v>1</v>
      </c>
      <c r="F301" s="43">
        <f>_xlfn.XLOOKUP(A301,Class_Players!A:A,Class_Players!G:G)</f>
        <v>249</v>
      </c>
      <c r="G301" s="43">
        <f t="shared" si="59"/>
        <v>4.0160642570281121E-3</v>
      </c>
      <c r="H301" s="43">
        <f>_xlfn.XLOOKUP(A301,Class_Players!$A:$A,Class_Players!$F:$F,"")</f>
        <v>15028</v>
      </c>
      <c r="I301" s="44">
        <f t="shared" si="60"/>
        <v>6.6542454085706686E-5</v>
      </c>
      <c r="J301" s="43">
        <f t="shared" si="61"/>
        <v>0</v>
      </c>
      <c r="K301" s="44" cm="1">
        <f t="array" ref="K301">IF(D301="Gadget",_xlfn.IFS(I301&gt;=0.2,0.5,I301&gt;=0.1,0.35,I301&gt;=0.05,0.2,TRUE,0),IF(D301="Grenade",_xlfn.IFS(I301&gt;=0.2,1,I301&gt;=0.1,0.7,I301&gt;=0.05,0.4,TRUE,0),0))</f>
        <v>0</v>
      </c>
      <c r="L301" s="57">
        <f t="shared" si="68"/>
        <v>0</v>
      </c>
    </row>
    <row r="302" spans="1:12" ht="15" customHeight="1" x14ac:dyDescent="0.25">
      <c r="A302" s="42" t="str" cm="1">
        <f t="array" ref="A302">IFERROR(INDEX(_xlfn._xlws.FILTER(Class_Players!A:A,Class_Players!B:B="Support"),QUOTIENT(ROW()-ROW($A$2),9)+1),"")</f>
        <v>超威蓝猫Tom</v>
      </c>
      <c r="B302" s="42" t="str">
        <f>_xlfn.XLOOKUP(A302,Class_Players!$A:$A,Class_Players!$B:$B,"")</f>
        <v>Support</v>
      </c>
      <c r="C302" s="38" t="str" cm="1">
        <f t="array" ref="C302">INDEX(Lookups!$D$2:$D$10,MOD(ROW()-ROW($B$2),ROWS(Lookups!$D$2:$D$10))+1)</f>
        <v>M320A1 SMK (Smoke Grenade Launcher)</v>
      </c>
      <c r="D302" s="38" t="str">
        <f>_xlfn.XLOOKUP(C302,Analysis_Gadgets!$C:$C,Analysis_Gadgets!$B:$B)</f>
        <v>Gadget</v>
      </c>
      <c r="E302" s="43">
        <v>1117</v>
      </c>
      <c r="F302" s="43">
        <f>_xlfn.XLOOKUP(A302,Class_Players!A:A,Class_Players!G:G)</f>
        <v>249</v>
      </c>
      <c r="G302" s="43">
        <f t="shared" si="59"/>
        <v>4.4859437751004014</v>
      </c>
      <c r="H302" s="43">
        <f>_xlfn.XLOOKUP(A302,Class_Players!$A:$A,Class_Players!$F:$F,"")</f>
        <v>15028</v>
      </c>
      <c r="I302" s="44">
        <f t="shared" si="60"/>
        <v>7.4327921213734369E-2</v>
      </c>
      <c r="J302" s="43">
        <f t="shared" si="61"/>
        <v>0</v>
      </c>
      <c r="K302" s="44" cm="1">
        <f t="array" ref="K302">IF(D302="Gadget",_xlfn.IFS(I302&gt;=0.2,0.5,I302&gt;=0.1,0.35,I302&gt;=0.05,0.2,TRUE,0),IF(D302="Grenade",_xlfn.IFS(I302&gt;=0.2,1,I302&gt;=0.1,0.7,I302&gt;=0.05,0.4,TRUE,0),0))</f>
        <v>0.2</v>
      </c>
      <c r="L302" s="57">
        <f t="shared" si="68"/>
        <v>0.28571428571428575</v>
      </c>
    </row>
    <row r="303" spans="1:12" ht="15" customHeight="1" x14ac:dyDescent="0.25">
      <c r="A303" s="42" t="str" cm="1">
        <f t="array" ref="A303">IFERROR(INDEX(_xlfn._xlws.FILTER(Class_Players!A:A,Class_Players!B:B="Support"),QUOTIENT(ROW()-ROW($A$2),9)+1),"")</f>
        <v>超威蓝猫Tom</v>
      </c>
      <c r="B303" s="42" t="str">
        <f>_xlfn.XLOOKUP(A303,Class_Players!$A:$A,Class_Players!$B:$B,"")</f>
        <v>Support</v>
      </c>
      <c r="C303" s="38" t="str" cm="1">
        <f t="array" ref="C303">INDEX(Lookups!$D$2:$D$10,MOD(ROW()-ROW($B$2),ROWS(Lookups!$D$2:$D$10))+1)</f>
        <v>SICH G1 WP (Incendiary Airburst Launcher)</v>
      </c>
      <c r="D303" s="38" t="str">
        <f>_xlfn.XLOOKUP(C303,Analysis_Gadgets!$C:$C,Analysis_Gadgets!$B:$B)</f>
        <v>Gadget</v>
      </c>
      <c r="E303" s="43">
        <v>43</v>
      </c>
      <c r="F303" s="43">
        <f>_xlfn.XLOOKUP(A303,Class_Players!A:A,Class_Players!G:G)</f>
        <v>249</v>
      </c>
      <c r="G303" s="43">
        <f t="shared" si="59"/>
        <v>0.17269076305220885</v>
      </c>
      <c r="H303" s="43">
        <f>_xlfn.XLOOKUP(A303,Class_Players!$A:$A,Class_Players!$F:$F,"")</f>
        <v>15028</v>
      </c>
      <c r="I303" s="44">
        <f t="shared" si="60"/>
        <v>2.8613255256853872E-3</v>
      </c>
      <c r="J303" s="43">
        <f t="shared" si="61"/>
        <v>0</v>
      </c>
      <c r="K303" s="44" cm="1">
        <f t="array" ref="K303">IF(D303="Gadget",_xlfn.IFS(I303&gt;=0.2,0.5,I303&gt;=0.1,0.35,I303&gt;=0.05,0.2,TRUE,0),IF(D303="Grenade",_xlfn.IFS(I303&gt;=0.2,1,I303&gt;=0.1,0.7,I303&gt;=0.05,0.4,TRUE,0),0))</f>
        <v>0</v>
      </c>
      <c r="L303" s="57">
        <f t="shared" si="68"/>
        <v>0</v>
      </c>
    </row>
    <row r="304" spans="1:12" ht="15" customHeight="1" x14ac:dyDescent="0.25">
      <c r="A304" s="42" t="str" cm="1">
        <f t="array" ref="A304">IFERROR(INDEX(_xlfn._xlws.FILTER(Class_Players!A:A,Class_Players!B:B="Support"),QUOTIENT(ROW()-ROW($A$2),9)+1),"")</f>
        <v>超威蓝猫Tom</v>
      </c>
      <c r="B304" s="42" t="str">
        <f>_xlfn.XLOOKUP(A304,Class_Players!$A:$A,Class_Players!$B:$B,"")</f>
        <v>Support</v>
      </c>
      <c r="C304" s="38" t="str" cm="1">
        <f t="array" ref="C304">INDEX(Lookups!$D$2:$D$10,MOD(ROW()-ROW($B$2),ROWS(Lookups!$D$2:$D$10))+1)</f>
        <v>Deployable Cover</v>
      </c>
      <c r="D304" s="38" t="str">
        <f>_xlfn.XLOOKUP(C304,Analysis_Gadgets!$C:$C,Analysis_Gadgets!$B:$B)</f>
        <v>Gadget</v>
      </c>
      <c r="E304" s="43">
        <v>619</v>
      </c>
      <c r="F304" s="43">
        <f>_xlfn.XLOOKUP(A304,Class_Players!A:A,Class_Players!G:G)</f>
        <v>249</v>
      </c>
      <c r="G304" s="43">
        <f t="shared" si="59"/>
        <v>2.4859437751004014</v>
      </c>
      <c r="H304" s="43">
        <f>_xlfn.XLOOKUP(A304,Class_Players!$A:$A,Class_Players!$F:$F,"")</f>
        <v>15028</v>
      </c>
      <c r="I304" s="44">
        <f t="shared" si="60"/>
        <v>4.1189779079052434E-2</v>
      </c>
      <c r="J304" s="43">
        <f t="shared" si="61"/>
        <v>0</v>
      </c>
      <c r="K304" s="44" cm="1">
        <f t="array" ref="K304">IF(D304="Gadget",_xlfn.IFS(I304&gt;=0.2,0.5,I304&gt;=0.1,0.35,I304&gt;=0.05,0.2,TRUE,0),IF(D304="Grenade",_xlfn.IFS(I304&gt;=0.2,1,I304&gt;=0.1,0.7,I304&gt;=0.05,0.4,TRUE,0),0))</f>
        <v>0</v>
      </c>
      <c r="L304" s="57">
        <f t="shared" si="68"/>
        <v>0</v>
      </c>
    </row>
    <row r="305" spans="1:12" ht="15" customHeight="1" x14ac:dyDescent="0.25">
      <c r="A305" s="42" t="str" cm="1">
        <f t="array" ref="A305">IFERROR(INDEX(_xlfn._xlws.FILTER(Class_Players!A:A,Class_Players!B:B="Support"),QUOTIENT(ROW()-ROW($A$2),9)+1),"")</f>
        <v>超威蓝猫Tom</v>
      </c>
      <c r="B305" s="42" t="str">
        <f>_xlfn.XLOOKUP(A305,Class_Players!$A:$A,Class_Players!$B:$B,"")</f>
        <v>Support</v>
      </c>
      <c r="C305" s="38" t="str" cm="1">
        <f t="array" ref="C305">INDEX(Lookups!$D$2:$D$10,MOD(ROW()-ROW($B$2),ROWS(Lookups!$D$2:$D$10))+1)</f>
        <v>Supply Pouch</v>
      </c>
      <c r="D305" s="38" t="str">
        <f>_xlfn.XLOOKUP(C305,Analysis_Gadgets!$C:$C,Analysis_Gadgets!$B:$B)</f>
        <v>Gadget</v>
      </c>
      <c r="E305" s="43">
        <v>11313</v>
      </c>
      <c r="F305" s="43">
        <f>_xlfn.XLOOKUP(A305,Class_Players!A:A,Class_Players!G:G)</f>
        <v>249</v>
      </c>
      <c r="G305" s="43">
        <f t="shared" si="59"/>
        <v>45.433734939759034</v>
      </c>
      <c r="H305" s="43">
        <f>_xlfn.XLOOKUP(A305,Class_Players!$A:$A,Class_Players!$F:$F,"")</f>
        <v>15028</v>
      </c>
      <c r="I305" s="44">
        <f t="shared" si="60"/>
        <v>0.75279478307159964</v>
      </c>
      <c r="J305" s="43">
        <f t="shared" si="61"/>
        <v>1</v>
      </c>
      <c r="K305" s="44" cm="1">
        <f t="array" ref="K305">IF(D305="Gadget",_xlfn.IFS(I305&gt;=0.2,0.5,I305&gt;=0.1,0.35,I305&gt;=0.05,0.2,TRUE,0),IF(D305="Grenade",_xlfn.IFS(I305&gt;=0.2,1,I305&gt;=0.1,0.7,I305&gt;=0.05,0.4,TRUE,0),0))</f>
        <v>0.5</v>
      </c>
      <c r="L305" s="57">
        <f t="shared" si="68"/>
        <v>0.7142857142857143</v>
      </c>
    </row>
    <row r="306" spans="1:12" ht="15" customHeight="1" x14ac:dyDescent="0.25">
      <c r="A306" s="42" t="str" cm="1">
        <f t="array" ref="A306">IFERROR(INDEX(_xlfn._xlws.FILTER(Class_Players!A:A,Class_Players!B:B="Support"),QUOTIENT(ROW()-ROW($A$2),9)+1),"")</f>
        <v>超威蓝猫Tom</v>
      </c>
      <c r="B306" s="42" t="str">
        <f>_xlfn.XLOOKUP(A306,Class_Players!$A:$A,Class_Players!$B:$B,"")</f>
        <v>Support</v>
      </c>
      <c r="C306" s="38" t="str" cm="1">
        <f t="array" ref="C306">INDEX(Lookups!$D$2:$D$10,MOD(ROW()-ROW($B$2),ROWS(Lookups!$D$2:$D$10))+1)</f>
        <v>Smoke Grenade</v>
      </c>
      <c r="D306" s="38" t="str">
        <f>_xlfn.XLOOKUP(C306,Analysis_Gadgets!$C:$C,Analysis_Gadgets!$B:$B)</f>
        <v>Grenade</v>
      </c>
      <c r="E306" s="43">
        <v>7750</v>
      </c>
      <c r="F306" s="43">
        <f>_xlfn.XLOOKUP(A306,Class_Players!A:A,Class_Players!G:G)</f>
        <v>249</v>
      </c>
      <c r="G306" s="43">
        <f t="shared" si="59"/>
        <v>31.124497991967871</v>
      </c>
      <c r="H306" s="43">
        <f>_xlfn.XLOOKUP(A306,Class_Players!$A:$A,Class_Players!$F:$F,"")</f>
        <v>15028</v>
      </c>
      <c r="I306" s="44">
        <f t="shared" si="60"/>
        <v>0.51570401916422681</v>
      </c>
      <c r="J306" s="43">
        <f t="shared" si="61"/>
        <v>1</v>
      </c>
      <c r="K306" s="44" cm="1">
        <f t="array" ref="K306">IF(D306="Gadget",_xlfn.IFS(I306&gt;=0.2,0.5,I306&gt;=0.1,0.35,I306&gt;=0.05,0.2,TRUE,0),IF(D306="Grenade",_xlfn.IFS(I306&gt;=0.2,1,I306&gt;=0.1,0.7,I306&gt;=0.05,0.4,TRUE,0),0))</f>
        <v>1</v>
      </c>
      <c r="L306" s="57">
        <f t="shared" ref="L306:L307" si="69">IF($K306=0,0,$K306 / SUMIFS($K:$K,$A:$A,$A306,$D:$D,"Grenade"))</f>
        <v>0.7142857142857143</v>
      </c>
    </row>
    <row r="307" spans="1:12" ht="15" customHeight="1" x14ac:dyDescent="0.25">
      <c r="A307" s="42" t="str" cm="1">
        <f t="array" ref="A307">IFERROR(INDEX(_xlfn._xlws.FILTER(Class_Players!A:A,Class_Players!B:B="Support"),QUOTIENT(ROW()-ROW($A$2),9)+1),"")</f>
        <v>超威蓝猫Tom</v>
      </c>
      <c r="B307" s="42" t="str">
        <f>_xlfn.XLOOKUP(A307,Class_Players!$A:$A,Class_Players!$B:$B,"")</f>
        <v>Support</v>
      </c>
      <c r="C307" s="38" t="str" cm="1">
        <f t="array" ref="C307">INDEX(Lookups!$D$2:$D$10,MOD(ROW()-ROW($B$2),ROWS(Lookups!$D$2:$D$10))+1)</f>
        <v>Incendiary Grenade</v>
      </c>
      <c r="D307" s="38" t="str">
        <f>_xlfn.XLOOKUP(C307,Analysis_Gadgets!$C:$C,Analysis_Gadgets!$B:$B)</f>
        <v>Grenade</v>
      </c>
      <c r="E307" s="43">
        <v>1132</v>
      </c>
      <c r="F307" s="43">
        <f>_xlfn.XLOOKUP(A307,Class_Players!A:A,Class_Players!G:G)</f>
        <v>249</v>
      </c>
      <c r="G307" s="43">
        <f t="shared" si="59"/>
        <v>4.546184738955823</v>
      </c>
      <c r="H307" s="43">
        <f>_xlfn.XLOOKUP(A307,Class_Players!$A:$A,Class_Players!$F:$F,"")</f>
        <v>15028</v>
      </c>
      <c r="I307" s="44">
        <f t="shared" si="60"/>
        <v>7.532605802501996E-2</v>
      </c>
      <c r="J307" s="43">
        <f t="shared" si="61"/>
        <v>0</v>
      </c>
      <c r="K307" s="44" cm="1">
        <f t="array" ref="K307">IF(D307="Gadget",_xlfn.IFS(I307&gt;=0.2,0.5,I307&gt;=0.1,0.35,I307&gt;=0.05,0.2,TRUE,0),IF(D307="Grenade",_xlfn.IFS(I307&gt;=0.2,1,I307&gt;=0.1,0.7,I307&gt;=0.05,0.4,TRUE,0),0))</f>
        <v>0.4</v>
      </c>
      <c r="L307" s="57">
        <f t="shared" si="69"/>
        <v>0.28571428571428575</v>
      </c>
    </row>
    <row r="308" spans="1:12" ht="15" customHeight="1" x14ac:dyDescent="0.25">
      <c r="A308" s="42" t="str" cm="1">
        <f t="array" ref="A308">IFERROR(INDEX(_xlfn._xlws.FILTER(Class_Players!A:A,Class_Players!B:B="Support"),QUOTIENT(ROW()-ROW($A$2),9)+1),"")</f>
        <v>-VCOR-Akagami</v>
      </c>
      <c r="B308" s="42" t="str">
        <f>_xlfn.XLOOKUP(A308,Class_Players!$A:$A,Class_Players!$B:$B,"")</f>
        <v>Support</v>
      </c>
      <c r="C308" s="38" t="str" cm="1">
        <f t="array" ref="C308">INDEX(Lookups!$D$2:$D$10,MOD(ROW()-ROW($B$2),ROWS(Lookups!$D$2:$D$10))+1)</f>
        <v>GPDIS (Grenade intercept system)</v>
      </c>
      <c r="D308" s="38" t="str">
        <f>_xlfn.XLOOKUP(C308,Analysis_Gadgets!$C:$C,Analysis_Gadgets!$B:$B)</f>
        <v>Gadget</v>
      </c>
      <c r="E308" s="43">
        <v>126</v>
      </c>
      <c r="F308" s="43">
        <f>_xlfn.XLOOKUP(A308,Class_Players!A:A,Class_Players!G:G)</f>
        <v>246</v>
      </c>
      <c r="G308" s="43">
        <f t="shared" si="59"/>
        <v>0.51219512195121952</v>
      </c>
      <c r="H308" s="43">
        <f>_xlfn.XLOOKUP(A308,Class_Players!$A:$A,Class_Players!$F:$F,"")</f>
        <v>13393</v>
      </c>
      <c r="I308" s="44">
        <f t="shared" si="60"/>
        <v>9.4078996490704093E-3</v>
      </c>
      <c r="J308" s="43">
        <f t="shared" si="61"/>
        <v>0</v>
      </c>
      <c r="K308" s="44" cm="1">
        <f t="array" ref="K308">IF(D308="Gadget",_xlfn.IFS(I308&gt;=0.2,0.5,I308&gt;=0.1,0.35,I308&gt;=0.05,0.2,TRUE,0),IF(D308="Grenade",_xlfn.IFS(I308&gt;=0.2,1,I308&gt;=0.1,0.7,I308&gt;=0.05,0.4,TRUE,0),0))</f>
        <v>0</v>
      </c>
      <c r="L308" s="57">
        <f>IF($K308=0,0,$K308 / SUMIFS($K:$K,$A:$A,$A308,$D:$D,"Gadget"))</f>
        <v>0</v>
      </c>
    </row>
    <row r="309" spans="1:12" ht="15" customHeight="1" x14ac:dyDescent="0.25">
      <c r="A309" s="42" t="str" cm="1">
        <f t="array" ref="A309">IFERROR(INDEX(_xlfn._xlws.FILTER(Class_Players!A:A,Class_Players!B:B="Support"),QUOTIENT(ROW()-ROW($A$2),9)+1),"")</f>
        <v>-VCOR-Akagami</v>
      </c>
      <c r="B309" s="42" t="str">
        <f>_xlfn.XLOOKUP(A309,Class_Players!$A:$A,Class_Players!$B:$B,"")</f>
        <v>Support</v>
      </c>
      <c r="C309" s="38" t="str" cm="1">
        <f t="array" ref="C309">INDEX(Lookups!$D$2:$D$10,MOD(ROW()-ROW($B$2),ROWS(Lookups!$D$2:$D$10))+1)</f>
        <v>MP-APS (Missile intercept system)</v>
      </c>
      <c r="D309" s="38" t="str">
        <f>_xlfn.XLOOKUP(C309,Analysis_Gadgets!$C:$C,Analysis_Gadgets!$B:$B)</f>
        <v>Gadget</v>
      </c>
      <c r="E309" s="43">
        <v>1</v>
      </c>
      <c r="F309" s="43">
        <f>_xlfn.XLOOKUP(A309,Class_Players!A:A,Class_Players!G:G)</f>
        <v>246</v>
      </c>
      <c r="G309" s="43">
        <f t="shared" si="59"/>
        <v>4.0650406504065045E-3</v>
      </c>
      <c r="H309" s="43">
        <f>_xlfn.XLOOKUP(A309,Class_Players!$A:$A,Class_Players!$F:$F,"")</f>
        <v>13393</v>
      </c>
      <c r="I309" s="44">
        <f t="shared" si="60"/>
        <v>7.4665870230717542E-5</v>
      </c>
      <c r="J309" s="43">
        <f t="shared" si="61"/>
        <v>0</v>
      </c>
      <c r="K309" s="44" cm="1">
        <f t="array" ref="K309">IF(D309="Gadget",_xlfn.IFS(I309&gt;=0.2,0.5,I309&gt;=0.1,0.35,I309&gt;=0.05,0.2,TRUE,0),IF(D309="Grenade",_xlfn.IFS(I309&gt;=0.2,1,I309&gt;=0.1,0.7,I309&gt;=0.05,0.4,TRUE,0),0))</f>
        <v>0</v>
      </c>
      <c r="L309" s="57">
        <f t="shared" ref="L309:L314" si="70">IF($K309=0,0,$K309 / SUMIFS($K:$K,$A:$A,$A309,$D:$D,"Gadget"))</f>
        <v>0</v>
      </c>
    </row>
    <row r="310" spans="1:12" ht="15" customHeight="1" x14ac:dyDescent="0.25">
      <c r="A310" s="42" t="str" cm="1">
        <f t="array" ref="A310">IFERROR(INDEX(_xlfn._xlws.FILTER(Class_Players!A:A,Class_Players!B:B="Support"),QUOTIENT(ROW()-ROW($A$2),9)+1),"")</f>
        <v>-VCOR-Akagami</v>
      </c>
      <c r="B310" s="42" t="str">
        <f>_xlfn.XLOOKUP(A310,Class_Players!$A:$A,Class_Players!$B:$B,"")</f>
        <v>Support</v>
      </c>
      <c r="C310" s="38" t="str" cm="1">
        <f t="array" ref="C310">INDEX(Lookups!$D$2:$D$10,MOD(ROW()-ROW($B$2),ROWS(Lookups!$D$2:$D$10))+1)</f>
        <v>LWCMS (Mortar)</v>
      </c>
      <c r="D310" s="38" t="str">
        <f>_xlfn.XLOOKUP(C310,Analysis_Gadgets!$C:$C,Analysis_Gadgets!$B:$B)</f>
        <v>Gadget</v>
      </c>
      <c r="E310" s="43">
        <v>3</v>
      </c>
      <c r="F310" s="43">
        <f>_xlfn.XLOOKUP(A310,Class_Players!A:A,Class_Players!G:G)</f>
        <v>246</v>
      </c>
      <c r="G310" s="43">
        <f t="shared" si="59"/>
        <v>1.2195121951219513E-2</v>
      </c>
      <c r="H310" s="43">
        <f>_xlfn.XLOOKUP(A310,Class_Players!$A:$A,Class_Players!$F:$F,"")</f>
        <v>13393</v>
      </c>
      <c r="I310" s="44">
        <f t="shared" si="60"/>
        <v>2.2399761069215261E-4</v>
      </c>
      <c r="J310" s="43">
        <f t="shared" si="61"/>
        <v>0</v>
      </c>
      <c r="K310" s="44" cm="1">
        <f t="array" ref="K310">IF(D310="Gadget",_xlfn.IFS(I310&gt;=0.2,0.5,I310&gt;=0.1,0.35,I310&gt;=0.05,0.2,TRUE,0),IF(D310="Grenade",_xlfn.IFS(I310&gt;=0.2,1,I310&gt;=0.1,0.7,I310&gt;=0.05,0.4,TRUE,0),0))</f>
        <v>0</v>
      </c>
      <c r="L310" s="57">
        <f t="shared" si="70"/>
        <v>0</v>
      </c>
    </row>
    <row r="311" spans="1:12" ht="15" customHeight="1" x14ac:dyDescent="0.25">
      <c r="A311" s="42" t="str" cm="1">
        <f t="array" ref="A311">IFERROR(INDEX(_xlfn._xlws.FILTER(Class_Players!A:A,Class_Players!B:B="Support"),QUOTIENT(ROW()-ROW($A$2),9)+1),"")</f>
        <v>-VCOR-Akagami</v>
      </c>
      <c r="B311" s="42" t="str">
        <f>_xlfn.XLOOKUP(A311,Class_Players!$A:$A,Class_Players!$B:$B,"")</f>
        <v>Support</v>
      </c>
      <c r="C311" s="38" t="str" cm="1">
        <f t="array" ref="C311">INDEX(Lookups!$D$2:$D$10,MOD(ROW()-ROW($B$2),ROWS(Lookups!$D$2:$D$10))+1)</f>
        <v>M320A1 SMK (Smoke Grenade Launcher)</v>
      </c>
      <c r="D311" s="38" t="str">
        <f>_xlfn.XLOOKUP(C311,Analysis_Gadgets!$C:$C,Analysis_Gadgets!$B:$B)</f>
        <v>Gadget</v>
      </c>
      <c r="E311" s="43">
        <v>177</v>
      </c>
      <c r="F311" s="43">
        <f>_xlfn.XLOOKUP(A311,Class_Players!A:A,Class_Players!G:G)</f>
        <v>246</v>
      </c>
      <c r="G311" s="43">
        <f t="shared" si="59"/>
        <v>0.71951219512195119</v>
      </c>
      <c r="H311" s="43">
        <f>_xlfn.XLOOKUP(A311,Class_Players!$A:$A,Class_Players!$F:$F,"")</f>
        <v>13393</v>
      </c>
      <c r="I311" s="44">
        <f t="shared" si="60"/>
        <v>1.3215859030837005E-2</v>
      </c>
      <c r="J311" s="43">
        <f t="shared" si="61"/>
        <v>0</v>
      </c>
      <c r="K311" s="44" cm="1">
        <f t="array" ref="K311">IF(D311="Gadget",_xlfn.IFS(I311&gt;=0.2,0.5,I311&gt;=0.1,0.35,I311&gt;=0.05,0.2,TRUE,0),IF(D311="Grenade",_xlfn.IFS(I311&gt;=0.2,1,I311&gt;=0.1,0.7,I311&gt;=0.05,0.4,TRUE,0),0))</f>
        <v>0</v>
      </c>
      <c r="L311" s="57">
        <f t="shared" si="70"/>
        <v>0</v>
      </c>
    </row>
    <row r="312" spans="1:12" ht="15" customHeight="1" x14ac:dyDescent="0.25">
      <c r="A312" s="42" t="str" cm="1">
        <f t="array" ref="A312">IFERROR(INDEX(_xlfn._xlws.FILTER(Class_Players!A:A,Class_Players!B:B="Support"),QUOTIENT(ROW()-ROW($A$2),9)+1),"")</f>
        <v>-VCOR-Akagami</v>
      </c>
      <c r="B312" s="42" t="str">
        <f>_xlfn.XLOOKUP(A312,Class_Players!$A:$A,Class_Players!$B:$B,"")</f>
        <v>Support</v>
      </c>
      <c r="C312" s="38" t="str" cm="1">
        <f t="array" ref="C312">INDEX(Lookups!$D$2:$D$10,MOD(ROW()-ROW($B$2),ROWS(Lookups!$D$2:$D$10))+1)</f>
        <v>SICH G1 WP (Incendiary Airburst Launcher)</v>
      </c>
      <c r="D312" s="38" t="str">
        <f>_xlfn.XLOOKUP(C312,Analysis_Gadgets!$C:$C,Analysis_Gadgets!$B:$B)</f>
        <v>Gadget</v>
      </c>
      <c r="E312" s="43">
        <v>213</v>
      </c>
      <c r="F312" s="43">
        <f>_xlfn.XLOOKUP(A312,Class_Players!A:A,Class_Players!G:G)</f>
        <v>246</v>
      </c>
      <c r="G312" s="43">
        <f t="shared" si="59"/>
        <v>0.86585365853658536</v>
      </c>
      <c r="H312" s="43">
        <f>_xlfn.XLOOKUP(A312,Class_Players!$A:$A,Class_Players!$F:$F,"")</f>
        <v>13393</v>
      </c>
      <c r="I312" s="44">
        <f t="shared" si="60"/>
        <v>1.5903830359142834E-2</v>
      </c>
      <c r="J312" s="43">
        <f t="shared" si="61"/>
        <v>0</v>
      </c>
      <c r="K312" s="44" cm="1">
        <f t="array" ref="K312">IF(D312="Gadget",_xlfn.IFS(I312&gt;=0.2,0.5,I312&gt;=0.1,0.35,I312&gt;=0.05,0.2,TRUE,0),IF(D312="Grenade",_xlfn.IFS(I312&gt;=0.2,1,I312&gt;=0.1,0.7,I312&gt;=0.05,0.4,TRUE,0),0))</f>
        <v>0</v>
      </c>
      <c r="L312" s="57">
        <f t="shared" si="70"/>
        <v>0</v>
      </c>
    </row>
    <row r="313" spans="1:12" ht="15" customHeight="1" x14ac:dyDescent="0.25">
      <c r="A313" s="42" t="str" cm="1">
        <f t="array" ref="A313">IFERROR(INDEX(_xlfn._xlws.FILTER(Class_Players!A:A,Class_Players!B:B="Support"),QUOTIENT(ROW()-ROW($A$2),9)+1),"")</f>
        <v>-VCOR-Akagami</v>
      </c>
      <c r="B313" s="42" t="str">
        <f>_xlfn.XLOOKUP(A313,Class_Players!$A:$A,Class_Players!$B:$B,"")</f>
        <v>Support</v>
      </c>
      <c r="C313" s="38" t="str" cm="1">
        <f t="array" ref="C313">INDEX(Lookups!$D$2:$D$10,MOD(ROW()-ROW($B$2),ROWS(Lookups!$D$2:$D$10))+1)</f>
        <v>Deployable Cover</v>
      </c>
      <c r="D313" s="38" t="str">
        <f>_xlfn.XLOOKUP(C313,Analysis_Gadgets!$C:$C,Analysis_Gadgets!$B:$B)</f>
        <v>Gadget</v>
      </c>
      <c r="E313" s="43">
        <v>190</v>
      </c>
      <c r="F313" s="43">
        <f>_xlfn.XLOOKUP(A313,Class_Players!A:A,Class_Players!G:G)</f>
        <v>246</v>
      </c>
      <c r="G313" s="43">
        <f t="shared" si="59"/>
        <v>0.77235772357723576</v>
      </c>
      <c r="H313" s="43">
        <f>_xlfn.XLOOKUP(A313,Class_Players!$A:$A,Class_Players!$F:$F,"")</f>
        <v>13393</v>
      </c>
      <c r="I313" s="44">
        <f t="shared" si="60"/>
        <v>1.4186515343836333E-2</v>
      </c>
      <c r="J313" s="43">
        <f t="shared" si="61"/>
        <v>0</v>
      </c>
      <c r="K313" s="44" cm="1">
        <f t="array" ref="K313">IF(D313="Gadget",_xlfn.IFS(I313&gt;=0.2,0.5,I313&gt;=0.1,0.35,I313&gt;=0.05,0.2,TRUE,0),IF(D313="Grenade",_xlfn.IFS(I313&gt;=0.2,1,I313&gt;=0.1,0.7,I313&gt;=0.05,0.4,TRUE,0),0))</f>
        <v>0</v>
      </c>
      <c r="L313" s="57">
        <f t="shared" si="70"/>
        <v>0</v>
      </c>
    </row>
    <row r="314" spans="1:12" ht="15" customHeight="1" x14ac:dyDescent="0.25">
      <c r="A314" s="42" t="str" cm="1">
        <f t="array" ref="A314">IFERROR(INDEX(_xlfn._xlws.FILTER(Class_Players!A:A,Class_Players!B:B="Support"),QUOTIENT(ROW()-ROW($A$2),9)+1),"")</f>
        <v>-VCOR-Akagami</v>
      </c>
      <c r="B314" s="42" t="str">
        <f>_xlfn.XLOOKUP(A314,Class_Players!$A:$A,Class_Players!$B:$B,"")</f>
        <v>Support</v>
      </c>
      <c r="C314" s="38" t="str" cm="1">
        <f t="array" ref="C314">INDEX(Lookups!$D$2:$D$10,MOD(ROW()-ROW($B$2),ROWS(Lookups!$D$2:$D$10))+1)</f>
        <v>Supply Pouch</v>
      </c>
      <c r="D314" s="38" t="str">
        <f>_xlfn.XLOOKUP(C314,Analysis_Gadgets!$C:$C,Analysis_Gadgets!$B:$B)</f>
        <v>Gadget</v>
      </c>
      <c r="E314" s="43">
        <v>9320</v>
      </c>
      <c r="F314" s="43">
        <f>_xlfn.XLOOKUP(A314,Class_Players!A:A,Class_Players!G:G)</f>
        <v>246</v>
      </c>
      <c r="G314" s="43">
        <f t="shared" si="59"/>
        <v>37.886178861788615</v>
      </c>
      <c r="H314" s="43">
        <f>_xlfn.XLOOKUP(A314,Class_Players!$A:$A,Class_Players!$F:$F,"")</f>
        <v>13393</v>
      </c>
      <c r="I314" s="44">
        <f t="shared" si="60"/>
        <v>0.69588591055028748</v>
      </c>
      <c r="J314" s="43">
        <f t="shared" si="61"/>
        <v>1</v>
      </c>
      <c r="K314" s="44" cm="1">
        <f t="array" ref="K314">IF(D314="Gadget",_xlfn.IFS(I314&gt;=0.2,0.5,I314&gt;=0.1,0.35,I314&gt;=0.05,0.2,TRUE,0),IF(D314="Grenade",_xlfn.IFS(I314&gt;=0.2,1,I314&gt;=0.1,0.7,I314&gt;=0.05,0.4,TRUE,0),0))</f>
        <v>0.5</v>
      </c>
      <c r="L314" s="57">
        <f t="shared" si="70"/>
        <v>1</v>
      </c>
    </row>
    <row r="315" spans="1:12" ht="15" customHeight="1" x14ac:dyDescent="0.25">
      <c r="A315" s="42" t="str" cm="1">
        <f t="array" ref="A315">IFERROR(INDEX(_xlfn._xlws.FILTER(Class_Players!A:A,Class_Players!B:B="Support"),QUOTIENT(ROW()-ROW($A$2),9)+1),"")</f>
        <v>-VCOR-Akagami</v>
      </c>
      <c r="B315" s="42" t="str">
        <f>_xlfn.XLOOKUP(A315,Class_Players!$A:$A,Class_Players!$B:$B,"")</f>
        <v>Support</v>
      </c>
      <c r="C315" s="38" t="str" cm="1">
        <f t="array" ref="C315">INDEX(Lookups!$D$2:$D$10,MOD(ROW()-ROW($B$2),ROWS(Lookups!$D$2:$D$10))+1)</f>
        <v>Smoke Grenade</v>
      </c>
      <c r="D315" s="38" t="str">
        <f>_xlfn.XLOOKUP(C315,Analysis_Gadgets!$C:$C,Analysis_Gadgets!$B:$B)</f>
        <v>Grenade</v>
      </c>
      <c r="E315" s="43">
        <v>801</v>
      </c>
      <c r="F315" s="43">
        <f>_xlfn.XLOOKUP(A315,Class_Players!A:A,Class_Players!G:G)</f>
        <v>246</v>
      </c>
      <c r="G315" s="43">
        <f t="shared" si="59"/>
        <v>3.2560975609756095</v>
      </c>
      <c r="H315" s="43">
        <f>_xlfn.XLOOKUP(A315,Class_Players!$A:$A,Class_Players!$F:$F,"")</f>
        <v>13393</v>
      </c>
      <c r="I315" s="44">
        <f t="shared" si="60"/>
        <v>5.9807362054804747E-2</v>
      </c>
      <c r="J315" s="43">
        <f t="shared" si="61"/>
        <v>0</v>
      </c>
      <c r="K315" s="44" cm="1">
        <f t="array" ref="K315">IF(D315="Gadget",_xlfn.IFS(I315&gt;=0.2,0.5,I315&gt;=0.1,0.35,I315&gt;=0.05,0.2,TRUE,0),IF(D315="Grenade",_xlfn.IFS(I315&gt;=0.2,1,I315&gt;=0.1,0.7,I315&gt;=0.05,0.4,TRUE,0),0))</f>
        <v>0.4</v>
      </c>
      <c r="L315" s="57">
        <f>IF($K315=0,0,$K315 / SUMIFS($K:$K,$A:$A,$A315,$D:$D,"Grenade"))</f>
        <v>0.28571428571428575</v>
      </c>
    </row>
    <row r="316" spans="1:12" ht="15" customHeight="1" x14ac:dyDescent="0.25">
      <c r="A316" s="42" t="str" cm="1">
        <f t="array" ref="A316">IFERROR(INDEX(_xlfn._xlws.FILTER(Class_Players!A:A,Class_Players!B:B="Support"),QUOTIENT(ROW()-ROW($A$2),9)+1),"")</f>
        <v>-VCOR-Akagami</v>
      </c>
      <c r="B316" s="42" t="str">
        <f>_xlfn.XLOOKUP(A316,Class_Players!$A:$A,Class_Players!$B:$B,"")</f>
        <v>Support</v>
      </c>
      <c r="C316" s="38" t="str" cm="1">
        <f t="array" ref="C316">INDEX(Lookups!$D$2:$D$10,MOD(ROW()-ROW($B$2),ROWS(Lookups!$D$2:$D$10))+1)</f>
        <v>Incendiary Grenade</v>
      </c>
      <c r="D316" s="38" t="str">
        <f>_xlfn.XLOOKUP(C316,Analysis_Gadgets!$C:$C,Analysis_Gadgets!$B:$B)</f>
        <v>Grenade</v>
      </c>
      <c r="E316" s="43">
        <v>4283</v>
      </c>
      <c r="F316" s="43">
        <f>_xlfn.XLOOKUP(A316,Class_Players!A:A,Class_Players!G:G)</f>
        <v>246</v>
      </c>
      <c r="G316" s="43">
        <f t="shared" si="59"/>
        <v>17.410569105691057</v>
      </c>
      <c r="H316" s="43">
        <f>_xlfn.XLOOKUP(A316,Class_Players!$A:$A,Class_Players!$F:$F,"")</f>
        <v>13393</v>
      </c>
      <c r="I316" s="44">
        <f t="shared" si="60"/>
        <v>0.31979392219816322</v>
      </c>
      <c r="J316" s="43">
        <f t="shared" si="61"/>
        <v>1</v>
      </c>
      <c r="K316" s="44" cm="1">
        <f t="array" ref="K316">IF(D316="Gadget",_xlfn.IFS(I316&gt;=0.2,0.5,I316&gt;=0.1,0.35,I316&gt;=0.05,0.2,TRUE,0),IF(D316="Grenade",_xlfn.IFS(I316&gt;=0.2,1,I316&gt;=0.1,0.7,I316&gt;=0.05,0.4,TRUE,0),0))</f>
        <v>1</v>
      </c>
      <c r="L316" s="57">
        <f>IF($K316=0,0,$K316 / SUMIFS($K:$K,$A:$A,$A316,$D:$D,"Grenade"))</f>
        <v>0.7142857142857143</v>
      </c>
    </row>
    <row r="317" spans="1:12" ht="15" customHeight="1" x14ac:dyDescent="0.25">
      <c r="A317" s="42" t="str" cm="1">
        <f t="array" ref="A317">IFERROR(INDEX(_xlfn._xlws.FILTER(Class_Players!A:A,Class_Players!B:B="Support"),QUOTIENT(ROW()-ROW($A$2),9)+1),"")</f>
        <v>ego9__</v>
      </c>
      <c r="B317" s="42" t="str">
        <f>_xlfn.XLOOKUP(A317,Class_Players!$A:$A,Class_Players!$B:$B,"")</f>
        <v>Support</v>
      </c>
      <c r="C317" s="38" t="str" cm="1">
        <f t="array" ref="C317">INDEX(Lookups!$D$2:$D$10,MOD(ROW()-ROW($B$2),ROWS(Lookups!$D$2:$D$10))+1)</f>
        <v>GPDIS (Grenade intercept system)</v>
      </c>
      <c r="D317" s="38" t="str">
        <f>_xlfn.XLOOKUP(C317,Analysis_Gadgets!$C:$C,Analysis_Gadgets!$B:$B)</f>
        <v>Gadget</v>
      </c>
      <c r="E317" s="43">
        <v>2142</v>
      </c>
      <c r="F317" s="43">
        <f>_xlfn.XLOOKUP(A317,Class_Players!A:A,Class_Players!G:G)</f>
        <v>316</v>
      </c>
      <c r="G317" s="43">
        <f t="shared" si="59"/>
        <v>6.7784810126582276</v>
      </c>
      <c r="H317" s="43">
        <f>_xlfn.XLOOKUP(A317,Class_Players!$A:$A,Class_Players!$F:$F,"")</f>
        <v>13402</v>
      </c>
      <c r="I317" s="44">
        <f t="shared" si="60"/>
        <v>0.15982689150873003</v>
      </c>
      <c r="J317" s="43">
        <f t="shared" si="61"/>
        <v>1</v>
      </c>
      <c r="K317" s="44" cm="1">
        <f t="array" ref="K317">IF(D317="Gadget",_xlfn.IFS(I317&gt;=0.2,0.5,I317&gt;=0.1,0.35,I317&gt;=0.05,0.2,TRUE,0),IF(D317="Grenade",_xlfn.IFS(I317&gt;=0.2,1,I317&gt;=0.1,0.7,I317&gt;=0.05,0.4,TRUE,0),0))</f>
        <v>0.35</v>
      </c>
      <c r="L317" s="57">
        <f t="shared" ref="L317:L323" si="71">IF($K317=0,0,$K317 / SUMIFS($K:$K,$A:$A,$A317,$D:$D,"Gadget"))</f>
        <v>1</v>
      </c>
    </row>
    <row r="318" spans="1:12" ht="15" customHeight="1" x14ac:dyDescent="0.25">
      <c r="A318" s="42" t="str" cm="1">
        <f t="array" ref="A318">IFERROR(INDEX(_xlfn._xlws.FILTER(Class_Players!A:A,Class_Players!B:B="Support"),QUOTIENT(ROW()-ROW($A$2),9)+1),"")</f>
        <v>ego9__</v>
      </c>
      <c r="B318" s="42" t="str">
        <f>_xlfn.XLOOKUP(A318,Class_Players!$A:$A,Class_Players!$B:$B,"")</f>
        <v>Support</v>
      </c>
      <c r="C318" s="38" t="str" cm="1">
        <f t="array" ref="C318">INDEX(Lookups!$D$2:$D$10,MOD(ROW()-ROW($B$2),ROWS(Lookups!$D$2:$D$10))+1)</f>
        <v>MP-APS (Missile intercept system)</v>
      </c>
      <c r="D318" s="38" t="str">
        <f>_xlfn.XLOOKUP(C318,Analysis_Gadgets!$C:$C,Analysis_Gadgets!$B:$B)</f>
        <v>Gadget</v>
      </c>
      <c r="E318" s="43">
        <v>196</v>
      </c>
      <c r="F318" s="43">
        <f>_xlfn.XLOOKUP(A318,Class_Players!A:A,Class_Players!G:G)</f>
        <v>316</v>
      </c>
      <c r="G318" s="43">
        <f t="shared" si="59"/>
        <v>0.620253164556962</v>
      </c>
      <c r="H318" s="43">
        <f>_xlfn.XLOOKUP(A318,Class_Players!$A:$A,Class_Players!$F:$F,"")</f>
        <v>13402</v>
      </c>
      <c r="I318" s="44">
        <f t="shared" si="60"/>
        <v>1.4624682883151769E-2</v>
      </c>
      <c r="J318" s="43">
        <f t="shared" si="61"/>
        <v>0</v>
      </c>
      <c r="K318" s="44" cm="1">
        <f t="array" ref="K318">IF(D318="Gadget",_xlfn.IFS(I318&gt;=0.2,0.5,I318&gt;=0.1,0.35,I318&gt;=0.05,0.2,TRUE,0),IF(D318="Grenade",_xlfn.IFS(I318&gt;=0.2,1,I318&gt;=0.1,0.7,I318&gt;=0.05,0.4,TRUE,0),0))</f>
        <v>0</v>
      </c>
      <c r="L318" s="57">
        <f t="shared" si="71"/>
        <v>0</v>
      </c>
    </row>
    <row r="319" spans="1:12" ht="15" customHeight="1" x14ac:dyDescent="0.25">
      <c r="A319" s="42" t="str" cm="1">
        <f t="array" ref="A319">IFERROR(INDEX(_xlfn._xlws.FILTER(Class_Players!A:A,Class_Players!B:B="Support"),QUOTIENT(ROW()-ROW($A$2),9)+1),"")</f>
        <v>ego9__</v>
      </c>
      <c r="B319" s="42" t="str">
        <f>_xlfn.XLOOKUP(A319,Class_Players!$A:$A,Class_Players!$B:$B,"")</f>
        <v>Support</v>
      </c>
      <c r="C319" s="38" t="str" cm="1">
        <f t="array" ref="C319">INDEX(Lookups!$D$2:$D$10,MOD(ROW()-ROW($B$2),ROWS(Lookups!$D$2:$D$10))+1)</f>
        <v>LWCMS (Mortar)</v>
      </c>
      <c r="D319" s="38" t="str">
        <f>_xlfn.XLOOKUP(C319,Analysis_Gadgets!$C:$C,Analysis_Gadgets!$B:$B)</f>
        <v>Gadget</v>
      </c>
      <c r="E319" s="43">
        <v>16</v>
      </c>
      <c r="F319" s="43">
        <f>_xlfn.XLOOKUP(A319,Class_Players!A:A,Class_Players!G:G)</f>
        <v>316</v>
      </c>
      <c r="G319" s="43">
        <f t="shared" si="59"/>
        <v>5.0632911392405063E-2</v>
      </c>
      <c r="H319" s="43">
        <f>_xlfn.XLOOKUP(A319,Class_Players!$A:$A,Class_Players!$F:$F,"")</f>
        <v>13402</v>
      </c>
      <c r="I319" s="44">
        <f t="shared" si="60"/>
        <v>1.1938516639307566E-3</v>
      </c>
      <c r="J319" s="43">
        <f t="shared" si="61"/>
        <v>0</v>
      </c>
      <c r="K319" s="44" cm="1">
        <f t="array" ref="K319">IF(D319="Gadget",_xlfn.IFS(I319&gt;=0.2,0.5,I319&gt;=0.1,0.35,I319&gt;=0.05,0.2,TRUE,0),IF(D319="Grenade",_xlfn.IFS(I319&gt;=0.2,1,I319&gt;=0.1,0.7,I319&gt;=0.05,0.4,TRUE,0),0))</f>
        <v>0</v>
      </c>
      <c r="L319" s="57">
        <f t="shared" si="71"/>
        <v>0</v>
      </c>
    </row>
    <row r="320" spans="1:12" ht="15" customHeight="1" x14ac:dyDescent="0.25">
      <c r="A320" s="42" t="str" cm="1">
        <f t="array" ref="A320">IFERROR(INDEX(_xlfn._xlws.FILTER(Class_Players!A:A,Class_Players!B:B="Support"),QUOTIENT(ROW()-ROW($A$2),9)+1),"")</f>
        <v>ego9__</v>
      </c>
      <c r="B320" s="42" t="str">
        <f>_xlfn.XLOOKUP(A320,Class_Players!$A:$A,Class_Players!$B:$B,"")</f>
        <v>Support</v>
      </c>
      <c r="C320" s="38" t="str" cm="1">
        <f t="array" ref="C320">INDEX(Lookups!$D$2:$D$10,MOD(ROW()-ROW($B$2),ROWS(Lookups!$D$2:$D$10))+1)</f>
        <v>M320A1 SMK (Smoke Grenade Launcher)</v>
      </c>
      <c r="D320" s="38" t="str">
        <f>_xlfn.XLOOKUP(C320,Analysis_Gadgets!$C:$C,Analysis_Gadgets!$B:$B)</f>
        <v>Gadget</v>
      </c>
      <c r="E320" s="43">
        <v>58</v>
      </c>
      <c r="F320" s="43">
        <f>_xlfn.XLOOKUP(A320,Class_Players!A:A,Class_Players!G:G)</f>
        <v>316</v>
      </c>
      <c r="G320" s="43">
        <f t="shared" si="59"/>
        <v>0.18354430379746836</v>
      </c>
      <c r="H320" s="43">
        <f>_xlfn.XLOOKUP(A320,Class_Players!$A:$A,Class_Players!$F:$F,"")</f>
        <v>13402</v>
      </c>
      <c r="I320" s="44">
        <f t="shared" si="60"/>
        <v>4.3277122817489931E-3</v>
      </c>
      <c r="J320" s="43">
        <f t="shared" si="61"/>
        <v>0</v>
      </c>
      <c r="K320" s="44" cm="1">
        <f t="array" ref="K320">IF(D320="Gadget",_xlfn.IFS(I320&gt;=0.2,0.5,I320&gt;=0.1,0.35,I320&gt;=0.05,0.2,TRUE,0),IF(D320="Grenade",_xlfn.IFS(I320&gt;=0.2,1,I320&gt;=0.1,0.7,I320&gt;=0.05,0.4,TRUE,0),0))</f>
        <v>0</v>
      </c>
      <c r="L320" s="57">
        <f t="shared" si="71"/>
        <v>0</v>
      </c>
    </row>
    <row r="321" spans="1:12" ht="15" customHeight="1" x14ac:dyDescent="0.25">
      <c r="A321" s="42" t="str" cm="1">
        <f t="array" ref="A321">IFERROR(INDEX(_xlfn._xlws.FILTER(Class_Players!A:A,Class_Players!B:B="Support"),QUOTIENT(ROW()-ROW($A$2),9)+1),"")</f>
        <v>ego9__</v>
      </c>
      <c r="B321" s="42" t="str">
        <f>_xlfn.XLOOKUP(A321,Class_Players!$A:$A,Class_Players!$B:$B,"")</f>
        <v>Support</v>
      </c>
      <c r="C321" s="38" t="str" cm="1">
        <f t="array" ref="C321">INDEX(Lookups!$D$2:$D$10,MOD(ROW()-ROW($B$2),ROWS(Lookups!$D$2:$D$10))+1)</f>
        <v>SICH G1 WP (Incendiary Airburst Launcher)</v>
      </c>
      <c r="D321" s="38" t="str">
        <f>_xlfn.XLOOKUP(C321,Analysis_Gadgets!$C:$C,Analysis_Gadgets!$B:$B)</f>
        <v>Gadget</v>
      </c>
      <c r="E321" s="43">
        <v>608</v>
      </c>
      <c r="F321" s="43">
        <f>_xlfn.XLOOKUP(A321,Class_Players!A:A,Class_Players!G:G)</f>
        <v>316</v>
      </c>
      <c r="G321" s="43">
        <f t="shared" si="59"/>
        <v>1.9240506329113924</v>
      </c>
      <c r="H321" s="43">
        <f>_xlfn.XLOOKUP(A321,Class_Players!$A:$A,Class_Players!$F:$F,"")</f>
        <v>13402</v>
      </c>
      <c r="I321" s="44">
        <f t="shared" si="60"/>
        <v>4.5366363229368753E-2</v>
      </c>
      <c r="J321" s="43">
        <f t="shared" si="61"/>
        <v>0</v>
      </c>
      <c r="K321" s="44" cm="1">
        <f t="array" ref="K321">IF(D321="Gadget",_xlfn.IFS(I321&gt;=0.2,0.5,I321&gt;=0.1,0.35,I321&gt;=0.05,0.2,TRUE,0),IF(D321="Grenade",_xlfn.IFS(I321&gt;=0.2,1,I321&gt;=0.1,0.7,I321&gt;=0.05,0.4,TRUE,0),0))</f>
        <v>0</v>
      </c>
      <c r="L321" s="57">
        <f t="shared" si="71"/>
        <v>0</v>
      </c>
    </row>
    <row r="322" spans="1:12" ht="15" customHeight="1" x14ac:dyDescent="0.25">
      <c r="A322" s="42" t="str" cm="1">
        <f t="array" ref="A322">IFERROR(INDEX(_xlfn._xlws.FILTER(Class_Players!A:A,Class_Players!B:B="Support"),QUOTIENT(ROW()-ROW($A$2),9)+1),"")</f>
        <v>ego9__</v>
      </c>
      <c r="B322" s="42" t="str">
        <f>_xlfn.XLOOKUP(A322,Class_Players!$A:$A,Class_Players!$B:$B,"")</f>
        <v>Support</v>
      </c>
      <c r="C322" s="38" t="str" cm="1">
        <f t="array" ref="C322">INDEX(Lookups!$D$2:$D$10,MOD(ROW()-ROW($B$2),ROWS(Lookups!$D$2:$D$10))+1)</f>
        <v>Deployable Cover</v>
      </c>
      <c r="D322" s="38" t="str">
        <f>_xlfn.XLOOKUP(C322,Analysis_Gadgets!$C:$C,Analysis_Gadgets!$B:$B)</f>
        <v>Gadget</v>
      </c>
      <c r="E322" s="43">
        <v>469</v>
      </c>
      <c r="F322" s="43">
        <f>_xlfn.XLOOKUP(A322,Class_Players!A:A,Class_Players!G:G)</f>
        <v>316</v>
      </c>
      <c r="G322" s="43">
        <f t="shared" si="59"/>
        <v>1.4841772151898733</v>
      </c>
      <c r="H322" s="43">
        <f>_xlfn.XLOOKUP(A322,Class_Players!$A:$A,Class_Players!$F:$F,"")</f>
        <v>13402</v>
      </c>
      <c r="I322" s="44">
        <f t="shared" si="60"/>
        <v>3.4994776898970306E-2</v>
      </c>
      <c r="J322" s="43">
        <f t="shared" si="61"/>
        <v>0</v>
      </c>
      <c r="K322" s="44" cm="1">
        <f t="array" ref="K322">IF(D322="Gadget",_xlfn.IFS(I322&gt;=0.2,0.5,I322&gt;=0.1,0.35,I322&gt;=0.05,0.2,TRUE,0),IF(D322="Grenade",_xlfn.IFS(I322&gt;=0.2,1,I322&gt;=0.1,0.7,I322&gt;=0.05,0.4,TRUE,0),0))</f>
        <v>0</v>
      </c>
      <c r="L322" s="57">
        <f t="shared" si="71"/>
        <v>0</v>
      </c>
    </row>
    <row r="323" spans="1:12" ht="15" customHeight="1" x14ac:dyDescent="0.25">
      <c r="A323" s="42" t="str" cm="1">
        <f t="array" ref="A323">IFERROR(INDEX(_xlfn._xlws.FILTER(Class_Players!A:A,Class_Players!B:B="Support"),QUOTIENT(ROW()-ROW($A$2),9)+1),"")</f>
        <v>ego9__</v>
      </c>
      <c r="B323" s="42" t="str">
        <f>_xlfn.XLOOKUP(A323,Class_Players!$A:$A,Class_Players!$B:$B,"")</f>
        <v>Support</v>
      </c>
      <c r="C323" s="38" t="str" cm="1">
        <f t="array" ref="C323">INDEX(Lookups!$D$2:$D$10,MOD(ROW()-ROW($B$2),ROWS(Lookups!$D$2:$D$10))+1)</f>
        <v>Supply Pouch</v>
      </c>
      <c r="D323" s="38" t="str">
        <f>_xlfn.XLOOKUP(C323,Analysis_Gadgets!$C:$C,Analysis_Gadgets!$B:$B)</f>
        <v>Gadget</v>
      </c>
      <c r="E323" s="43">
        <v>202</v>
      </c>
      <c r="F323" s="43">
        <f>_xlfn.XLOOKUP(A323,Class_Players!A:A,Class_Players!G:G)</f>
        <v>316</v>
      </c>
      <c r="G323" s="43">
        <f t="shared" si="59"/>
        <v>0.63924050632911389</v>
      </c>
      <c r="H323" s="43">
        <f>_xlfn.XLOOKUP(A323,Class_Players!$A:$A,Class_Players!$F:$F,"")</f>
        <v>13402</v>
      </c>
      <c r="I323" s="44">
        <f t="shared" si="60"/>
        <v>1.5072377257125803E-2</v>
      </c>
      <c r="J323" s="43">
        <f t="shared" si="61"/>
        <v>0</v>
      </c>
      <c r="K323" s="44" cm="1">
        <f t="array" ref="K323">IF(D323="Gadget",_xlfn.IFS(I323&gt;=0.2,0.5,I323&gt;=0.1,0.35,I323&gt;=0.05,0.2,TRUE,0),IF(D323="Grenade",_xlfn.IFS(I323&gt;=0.2,1,I323&gt;=0.1,0.7,I323&gt;=0.05,0.4,TRUE,0),0))</f>
        <v>0</v>
      </c>
      <c r="L323" s="57">
        <f t="shared" si="71"/>
        <v>0</v>
      </c>
    </row>
    <row r="324" spans="1:12" ht="15" customHeight="1" x14ac:dyDescent="0.25">
      <c r="A324" s="42" t="str" cm="1">
        <f t="array" ref="A324">IFERROR(INDEX(_xlfn._xlws.FILTER(Class_Players!A:A,Class_Players!B:B="Support"),QUOTIENT(ROW()-ROW($A$2),9)+1),"")</f>
        <v>ego9__</v>
      </c>
      <c r="B324" s="42" t="str">
        <f>_xlfn.XLOOKUP(A324,Class_Players!$A:$A,Class_Players!$B:$B,"")</f>
        <v>Support</v>
      </c>
      <c r="C324" s="38" t="str" cm="1">
        <f t="array" ref="C324">INDEX(Lookups!$D$2:$D$10,MOD(ROW()-ROW($B$2),ROWS(Lookups!$D$2:$D$10))+1)</f>
        <v>Smoke Grenade</v>
      </c>
      <c r="D324" s="38" t="str">
        <f>_xlfn.XLOOKUP(C324,Analysis_Gadgets!$C:$C,Analysis_Gadgets!$B:$B)</f>
        <v>Grenade</v>
      </c>
      <c r="E324" s="43">
        <v>4656</v>
      </c>
      <c r="F324" s="43">
        <f>_xlfn.XLOOKUP(A324,Class_Players!A:A,Class_Players!G:G)</f>
        <v>316</v>
      </c>
      <c r="G324" s="43">
        <f t="shared" si="59"/>
        <v>14.734177215189874</v>
      </c>
      <c r="H324" s="43">
        <f>_xlfn.XLOOKUP(A324,Class_Players!$A:$A,Class_Players!$F:$F,"")</f>
        <v>13402</v>
      </c>
      <c r="I324" s="44">
        <f t="shared" si="60"/>
        <v>0.34741083420385016</v>
      </c>
      <c r="J324" s="43">
        <f t="shared" si="61"/>
        <v>1</v>
      </c>
      <c r="K324" s="44" cm="1">
        <f t="array" ref="K324">IF(D324="Gadget",_xlfn.IFS(I324&gt;=0.2,0.5,I324&gt;=0.1,0.35,I324&gt;=0.05,0.2,TRUE,0),IF(D324="Grenade",_xlfn.IFS(I324&gt;=0.2,1,I324&gt;=0.1,0.7,I324&gt;=0.05,0.4,TRUE,0),0))</f>
        <v>1</v>
      </c>
      <c r="L324" s="57">
        <f t="shared" ref="L324:L325" si="72">IF($K324=0,0,$K324 / SUMIFS($K:$K,$A:$A,$A324,$D:$D,"Grenade"))</f>
        <v>1</v>
      </c>
    </row>
    <row r="325" spans="1:12" ht="15" customHeight="1" x14ac:dyDescent="0.25">
      <c r="A325" s="42" t="str" cm="1">
        <f t="array" ref="A325">IFERROR(INDEX(_xlfn._xlws.FILTER(Class_Players!A:A,Class_Players!B:B="Support"),QUOTIENT(ROW()-ROW($A$2),9)+1),"")</f>
        <v>ego9__</v>
      </c>
      <c r="B325" s="42" t="str">
        <f>_xlfn.XLOOKUP(A325,Class_Players!$A:$A,Class_Players!$B:$B,"")</f>
        <v>Support</v>
      </c>
      <c r="C325" s="38" t="str" cm="1">
        <f t="array" ref="C325">INDEX(Lookups!$D$2:$D$10,MOD(ROW()-ROW($B$2),ROWS(Lookups!$D$2:$D$10))+1)</f>
        <v>Incendiary Grenade</v>
      </c>
      <c r="D325" s="38" t="str">
        <f>_xlfn.XLOOKUP(C325,Analysis_Gadgets!$C:$C,Analysis_Gadgets!$B:$B)</f>
        <v>Grenade</v>
      </c>
      <c r="E325" s="43">
        <v>46</v>
      </c>
      <c r="F325" s="43">
        <f>_xlfn.XLOOKUP(A325,Class_Players!A:A,Class_Players!G:G)</f>
        <v>316</v>
      </c>
      <c r="G325" s="43">
        <f t="shared" si="59"/>
        <v>0.14556962025316456</v>
      </c>
      <c r="H325" s="43">
        <f>_xlfn.XLOOKUP(A325,Class_Players!$A:$A,Class_Players!$F:$F,"")</f>
        <v>13402</v>
      </c>
      <c r="I325" s="44">
        <f t="shared" si="60"/>
        <v>3.432323533800925E-3</v>
      </c>
      <c r="J325" s="43">
        <f t="shared" si="61"/>
        <v>0</v>
      </c>
      <c r="K325" s="44" cm="1">
        <f t="array" ref="K325">IF(D325="Gadget",_xlfn.IFS(I325&gt;=0.2,0.5,I325&gt;=0.1,0.35,I325&gt;=0.05,0.2,TRUE,0),IF(D325="Grenade",_xlfn.IFS(I325&gt;=0.2,1,I325&gt;=0.1,0.7,I325&gt;=0.05,0.4,TRUE,0),0))</f>
        <v>0</v>
      </c>
      <c r="L325" s="57">
        <f t="shared" si="72"/>
        <v>0</v>
      </c>
    </row>
    <row r="326" spans="1:12" ht="15" customHeight="1" x14ac:dyDescent="0.25">
      <c r="A326" s="42" t="str" cm="1">
        <f t="array" ref="A326">IFERROR(INDEX(_xlfn._xlws.FILTER(Class_Players!A:A,Class_Players!B:B="Support"),QUOTIENT(ROW()-ROW($A$2),9)+1),"")</f>
        <v>Man_of_SteeI_93</v>
      </c>
      <c r="B326" s="42" t="str">
        <f>_xlfn.XLOOKUP(A326,Class_Players!$A:$A,Class_Players!$B:$B,"")</f>
        <v>Support</v>
      </c>
      <c r="C326" s="38" t="str" cm="1">
        <f t="array" ref="C326">INDEX(Lookups!$D$2:$D$10,MOD(ROW()-ROW($B$2),ROWS(Lookups!$D$2:$D$10))+1)</f>
        <v>GPDIS (Grenade intercept system)</v>
      </c>
      <c r="D326" s="38" t="str">
        <f>_xlfn.XLOOKUP(C326,Analysis_Gadgets!$C:$C,Analysis_Gadgets!$B:$B)</f>
        <v>Gadget</v>
      </c>
      <c r="E326" s="43">
        <v>44</v>
      </c>
      <c r="F326" s="43">
        <f>_xlfn.XLOOKUP(A326,Class_Players!A:A,Class_Players!G:G)</f>
        <v>340</v>
      </c>
      <c r="G326" s="43">
        <f t="shared" si="59"/>
        <v>0.12941176470588237</v>
      </c>
      <c r="H326" s="43">
        <f>_xlfn.XLOOKUP(A326,Class_Players!$A:$A,Class_Players!$F:$F,"")</f>
        <v>13233</v>
      </c>
      <c r="I326" s="44">
        <f t="shared" si="60"/>
        <v>3.3250207813798837E-3</v>
      </c>
      <c r="J326" s="43">
        <f t="shared" si="61"/>
        <v>0</v>
      </c>
      <c r="K326" s="44" cm="1">
        <f t="array" ref="K326">IF(D326="Gadget",_xlfn.IFS(I326&gt;=0.2,0.5,I326&gt;=0.1,0.35,I326&gt;=0.05,0.2,TRUE,0),IF(D326="Grenade",_xlfn.IFS(I326&gt;=0.2,1,I326&gt;=0.1,0.7,I326&gt;=0.05,0.4,TRUE,0),0))</f>
        <v>0</v>
      </c>
      <c r="L326" s="57">
        <f t="shared" ref="L326:L332" si="73">IF($K326=0,0,$K326 / SUMIFS($K:$K,$A:$A,$A326,$D:$D,"Gadget"))</f>
        <v>0</v>
      </c>
    </row>
    <row r="327" spans="1:12" ht="15" customHeight="1" x14ac:dyDescent="0.25">
      <c r="A327" s="42" t="str" cm="1">
        <f t="array" ref="A327">IFERROR(INDEX(_xlfn._xlws.FILTER(Class_Players!A:A,Class_Players!B:B="Support"),QUOTIENT(ROW()-ROW($A$2),9)+1),"")</f>
        <v>Man_of_SteeI_93</v>
      </c>
      <c r="B327" s="42" t="str">
        <f>_xlfn.XLOOKUP(A327,Class_Players!$A:$A,Class_Players!$B:$B,"")</f>
        <v>Support</v>
      </c>
      <c r="C327" s="38" t="str" cm="1">
        <f t="array" ref="C327">INDEX(Lookups!$D$2:$D$10,MOD(ROW()-ROW($B$2),ROWS(Lookups!$D$2:$D$10))+1)</f>
        <v>MP-APS (Missile intercept system)</v>
      </c>
      <c r="D327" s="38" t="str">
        <f>_xlfn.XLOOKUP(C327,Analysis_Gadgets!$C:$C,Analysis_Gadgets!$B:$B)</f>
        <v>Gadget</v>
      </c>
      <c r="E327" s="43">
        <v>0</v>
      </c>
      <c r="F327" s="43">
        <f>_xlfn.XLOOKUP(A327,Class_Players!A:A,Class_Players!G:G)</f>
        <v>340</v>
      </c>
      <c r="G327" s="43">
        <f t="shared" si="59"/>
        <v>0</v>
      </c>
      <c r="H327" s="43">
        <f>_xlfn.XLOOKUP(A327,Class_Players!$A:$A,Class_Players!$F:$F,"")</f>
        <v>13233</v>
      </c>
      <c r="I327" s="44">
        <f t="shared" si="60"/>
        <v>0</v>
      </c>
      <c r="J327" s="43">
        <f t="shared" si="61"/>
        <v>0</v>
      </c>
      <c r="K327" s="44" cm="1">
        <f t="array" ref="K327">IF(D327="Gadget",_xlfn.IFS(I327&gt;=0.2,0.5,I327&gt;=0.1,0.35,I327&gt;=0.05,0.2,TRUE,0),IF(D327="Grenade",_xlfn.IFS(I327&gt;=0.2,1,I327&gt;=0.1,0.7,I327&gt;=0.05,0.4,TRUE,0),0))</f>
        <v>0</v>
      </c>
      <c r="L327" s="57">
        <f t="shared" si="73"/>
        <v>0</v>
      </c>
    </row>
    <row r="328" spans="1:12" ht="15" customHeight="1" x14ac:dyDescent="0.25">
      <c r="A328" s="42" t="str" cm="1">
        <f t="array" ref="A328">IFERROR(INDEX(_xlfn._xlws.FILTER(Class_Players!A:A,Class_Players!B:B="Support"),QUOTIENT(ROW()-ROW($A$2),9)+1),"")</f>
        <v>Man_of_SteeI_93</v>
      </c>
      <c r="B328" s="42" t="str">
        <f>_xlfn.XLOOKUP(A328,Class_Players!$A:$A,Class_Players!$B:$B,"")</f>
        <v>Support</v>
      </c>
      <c r="C328" s="38" t="str" cm="1">
        <f t="array" ref="C328">INDEX(Lookups!$D$2:$D$10,MOD(ROW()-ROW($B$2),ROWS(Lookups!$D$2:$D$10))+1)</f>
        <v>LWCMS (Mortar)</v>
      </c>
      <c r="D328" s="38" t="str">
        <f>_xlfn.XLOOKUP(C328,Analysis_Gadgets!$C:$C,Analysis_Gadgets!$B:$B)</f>
        <v>Gadget</v>
      </c>
      <c r="E328" s="43">
        <v>1</v>
      </c>
      <c r="F328" s="43">
        <f>_xlfn.XLOOKUP(A328,Class_Players!A:A,Class_Players!G:G)</f>
        <v>340</v>
      </c>
      <c r="G328" s="43">
        <f t="shared" si="59"/>
        <v>2.9411764705882353E-3</v>
      </c>
      <c r="H328" s="43">
        <f>_xlfn.XLOOKUP(A328,Class_Players!$A:$A,Class_Players!$F:$F,"")</f>
        <v>13233</v>
      </c>
      <c r="I328" s="44">
        <f t="shared" si="60"/>
        <v>7.5568654122270081E-5</v>
      </c>
      <c r="J328" s="43">
        <f t="shared" si="61"/>
        <v>0</v>
      </c>
      <c r="K328" s="44" cm="1">
        <f t="array" ref="K328">IF(D328="Gadget",_xlfn.IFS(I328&gt;=0.2,0.5,I328&gt;=0.1,0.35,I328&gt;=0.05,0.2,TRUE,0),IF(D328="Grenade",_xlfn.IFS(I328&gt;=0.2,1,I328&gt;=0.1,0.7,I328&gt;=0.05,0.4,TRUE,0),0))</f>
        <v>0</v>
      </c>
      <c r="L328" s="57">
        <f t="shared" si="73"/>
        <v>0</v>
      </c>
    </row>
    <row r="329" spans="1:12" ht="15" customHeight="1" x14ac:dyDescent="0.25">
      <c r="A329" s="42" t="str" cm="1">
        <f t="array" ref="A329">IFERROR(INDEX(_xlfn._xlws.FILTER(Class_Players!A:A,Class_Players!B:B="Support"),QUOTIENT(ROW()-ROW($A$2),9)+1),"")</f>
        <v>Man_of_SteeI_93</v>
      </c>
      <c r="B329" s="42" t="str">
        <f>_xlfn.XLOOKUP(A329,Class_Players!$A:$A,Class_Players!$B:$B,"")</f>
        <v>Support</v>
      </c>
      <c r="C329" s="38" t="str" cm="1">
        <f t="array" ref="C329">INDEX(Lookups!$D$2:$D$10,MOD(ROW()-ROW($B$2),ROWS(Lookups!$D$2:$D$10))+1)</f>
        <v>M320A1 SMK (Smoke Grenade Launcher)</v>
      </c>
      <c r="D329" s="38" t="str">
        <f>_xlfn.XLOOKUP(C329,Analysis_Gadgets!$C:$C,Analysis_Gadgets!$B:$B)</f>
        <v>Gadget</v>
      </c>
      <c r="E329" s="43">
        <v>0</v>
      </c>
      <c r="F329" s="43">
        <f>_xlfn.XLOOKUP(A329,Class_Players!A:A,Class_Players!G:G)</f>
        <v>340</v>
      </c>
      <c r="G329" s="43">
        <f t="shared" ref="G329:G361" si="74">IF(F329=0,"",E329/(F329))</f>
        <v>0</v>
      </c>
      <c r="H329" s="43">
        <f>_xlfn.XLOOKUP(A329,Class_Players!$A:$A,Class_Players!$F:$F,"")</f>
        <v>13233</v>
      </c>
      <c r="I329" s="44">
        <f t="shared" ref="I329:I361" si="75">IF(H329=0,"",E329/H329)</f>
        <v>0</v>
      </c>
      <c r="J329" s="43">
        <f t="shared" ref="J329:J361" si="76">IF(I329&gt;=0.1,1,0)</f>
        <v>0</v>
      </c>
      <c r="K329" s="44" cm="1">
        <f t="array" ref="K329">IF(D329="Gadget",_xlfn.IFS(I329&gt;=0.2,0.5,I329&gt;=0.1,0.35,I329&gt;=0.05,0.2,TRUE,0),IF(D329="Grenade",_xlfn.IFS(I329&gt;=0.2,1,I329&gt;=0.1,0.7,I329&gt;=0.05,0.4,TRUE,0),0))</f>
        <v>0</v>
      </c>
      <c r="L329" s="57">
        <f t="shared" si="73"/>
        <v>0</v>
      </c>
    </row>
    <row r="330" spans="1:12" ht="15" customHeight="1" x14ac:dyDescent="0.25">
      <c r="A330" s="42" t="str" cm="1">
        <f t="array" ref="A330">IFERROR(INDEX(_xlfn._xlws.FILTER(Class_Players!A:A,Class_Players!B:B="Support"),QUOTIENT(ROW()-ROW($A$2),9)+1),"")</f>
        <v>Man_of_SteeI_93</v>
      </c>
      <c r="B330" s="42" t="str">
        <f>_xlfn.XLOOKUP(A330,Class_Players!$A:$A,Class_Players!$B:$B,"")</f>
        <v>Support</v>
      </c>
      <c r="C330" s="38" t="str" cm="1">
        <f t="array" ref="C330">INDEX(Lookups!$D$2:$D$10,MOD(ROW()-ROW($B$2),ROWS(Lookups!$D$2:$D$10))+1)</f>
        <v>SICH G1 WP (Incendiary Airburst Launcher)</v>
      </c>
      <c r="D330" s="38" t="str">
        <f>_xlfn.XLOOKUP(C330,Analysis_Gadgets!$C:$C,Analysis_Gadgets!$B:$B)</f>
        <v>Gadget</v>
      </c>
      <c r="E330" s="43">
        <v>397</v>
      </c>
      <c r="F330" s="43">
        <f>_xlfn.XLOOKUP(A330,Class_Players!A:A,Class_Players!G:G)</f>
        <v>340</v>
      </c>
      <c r="G330" s="43">
        <f t="shared" si="74"/>
        <v>1.1676470588235295</v>
      </c>
      <c r="H330" s="43">
        <f>_xlfn.XLOOKUP(A330,Class_Players!$A:$A,Class_Players!$F:$F,"")</f>
        <v>13233</v>
      </c>
      <c r="I330" s="44">
        <f t="shared" si="75"/>
        <v>3.0000755686541224E-2</v>
      </c>
      <c r="J330" s="43">
        <f t="shared" si="76"/>
        <v>0</v>
      </c>
      <c r="K330" s="44" cm="1">
        <f t="array" ref="K330">IF(D330="Gadget",_xlfn.IFS(I330&gt;=0.2,0.5,I330&gt;=0.1,0.35,I330&gt;=0.05,0.2,TRUE,0),IF(D330="Grenade",_xlfn.IFS(I330&gt;=0.2,1,I330&gt;=0.1,0.7,I330&gt;=0.05,0.4,TRUE,0),0))</f>
        <v>0</v>
      </c>
      <c r="L330" s="57">
        <f t="shared" si="73"/>
        <v>0</v>
      </c>
    </row>
    <row r="331" spans="1:12" ht="15" customHeight="1" x14ac:dyDescent="0.25">
      <c r="A331" s="42" t="str" cm="1">
        <f t="array" ref="A331">IFERROR(INDEX(_xlfn._xlws.FILTER(Class_Players!A:A,Class_Players!B:B="Support"),QUOTIENT(ROW()-ROW($A$2),9)+1),"")</f>
        <v>Man_of_SteeI_93</v>
      </c>
      <c r="B331" s="42" t="str">
        <f>_xlfn.XLOOKUP(A331,Class_Players!$A:$A,Class_Players!$B:$B,"")</f>
        <v>Support</v>
      </c>
      <c r="C331" s="38" t="str" cm="1">
        <f t="array" ref="C331">INDEX(Lookups!$D$2:$D$10,MOD(ROW()-ROW($B$2),ROWS(Lookups!$D$2:$D$10))+1)</f>
        <v>Deployable Cover</v>
      </c>
      <c r="D331" s="38" t="str">
        <f>_xlfn.XLOOKUP(C331,Analysis_Gadgets!$C:$C,Analysis_Gadgets!$B:$B)</f>
        <v>Gadget</v>
      </c>
      <c r="E331" s="43">
        <v>2855</v>
      </c>
      <c r="F331" s="43">
        <f>_xlfn.XLOOKUP(A331,Class_Players!A:A,Class_Players!G:G)</f>
        <v>340</v>
      </c>
      <c r="G331" s="43">
        <f t="shared" si="74"/>
        <v>8.3970588235294112</v>
      </c>
      <c r="H331" s="43">
        <f>_xlfn.XLOOKUP(A331,Class_Players!$A:$A,Class_Players!$F:$F,"")</f>
        <v>13233</v>
      </c>
      <c r="I331" s="44">
        <f t="shared" si="75"/>
        <v>0.21574850751908109</v>
      </c>
      <c r="J331" s="43">
        <f t="shared" si="76"/>
        <v>1</v>
      </c>
      <c r="K331" s="44" cm="1">
        <f t="array" ref="K331">IF(D331="Gadget",_xlfn.IFS(I331&gt;=0.2,0.5,I331&gt;=0.1,0.35,I331&gt;=0.05,0.2,TRUE,0),IF(D331="Grenade",_xlfn.IFS(I331&gt;=0.2,1,I331&gt;=0.1,0.7,I331&gt;=0.05,0.4,TRUE,0),0))</f>
        <v>0.5</v>
      </c>
      <c r="L331" s="57">
        <f t="shared" si="73"/>
        <v>1</v>
      </c>
    </row>
    <row r="332" spans="1:12" ht="15" customHeight="1" x14ac:dyDescent="0.25">
      <c r="A332" s="42" t="str" cm="1">
        <f t="array" ref="A332">IFERROR(INDEX(_xlfn._xlws.FILTER(Class_Players!A:A,Class_Players!B:B="Support"),QUOTIENT(ROW()-ROW($A$2),9)+1),"")</f>
        <v>Man_of_SteeI_93</v>
      </c>
      <c r="B332" s="42" t="str">
        <f>_xlfn.XLOOKUP(A332,Class_Players!$A:$A,Class_Players!$B:$B,"")</f>
        <v>Support</v>
      </c>
      <c r="C332" s="38" t="str" cm="1">
        <f t="array" ref="C332">INDEX(Lookups!$D$2:$D$10,MOD(ROW()-ROW($B$2),ROWS(Lookups!$D$2:$D$10))+1)</f>
        <v>Supply Pouch</v>
      </c>
      <c r="D332" s="38" t="str">
        <f>_xlfn.XLOOKUP(C332,Analysis_Gadgets!$C:$C,Analysis_Gadgets!$B:$B)</f>
        <v>Gadget</v>
      </c>
      <c r="E332" s="43">
        <v>0</v>
      </c>
      <c r="F332" s="43">
        <f>_xlfn.XLOOKUP(A332,Class_Players!A:A,Class_Players!G:G)</f>
        <v>340</v>
      </c>
      <c r="G332" s="43">
        <f t="shared" si="74"/>
        <v>0</v>
      </c>
      <c r="H332" s="43">
        <f>_xlfn.XLOOKUP(A332,Class_Players!$A:$A,Class_Players!$F:$F,"")</f>
        <v>13233</v>
      </c>
      <c r="I332" s="44">
        <f t="shared" si="75"/>
        <v>0</v>
      </c>
      <c r="J332" s="43">
        <f t="shared" si="76"/>
        <v>0</v>
      </c>
      <c r="K332" s="44" cm="1">
        <f t="array" ref="K332">IF(D332="Gadget",_xlfn.IFS(I332&gt;=0.2,0.5,I332&gt;=0.1,0.35,I332&gt;=0.05,0.2,TRUE,0),IF(D332="Grenade",_xlfn.IFS(I332&gt;=0.2,1,I332&gt;=0.1,0.7,I332&gt;=0.05,0.4,TRUE,0),0))</f>
        <v>0</v>
      </c>
      <c r="L332" s="57">
        <f t="shared" si="73"/>
        <v>0</v>
      </c>
    </row>
    <row r="333" spans="1:12" ht="15" customHeight="1" x14ac:dyDescent="0.25">
      <c r="A333" s="42" t="str" cm="1">
        <f t="array" ref="A333">IFERROR(INDEX(_xlfn._xlws.FILTER(Class_Players!A:A,Class_Players!B:B="Support"),QUOTIENT(ROW()-ROW($A$2),9)+1),"")</f>
        <v>Man_of_SteeI_93</v>
      </c>
      <c r="B333" s="42" t="str">
        <f>_xlfn.XLOOKUP(A333,Class_Players!$A:$A,Class_Players!$B:$B,"")</f>
        <v>Support</v>
      </c>
      <c r="C333" s="38" t="str" cm="1">
        <f t="array" ref="C333">INDEX(Lookups!$D$2:$D$10,MOD(ROW()-ROW($B$2),ROWS(Lookups!$D$2:$D$10))+1)</f>
        <v>Smoke Grenade</v>
      </c>
      <c r="D333" s="38" t="str">
        <f>_xlfn.XLOOKUP(C333,Analysis_Gadgets!$C:$C,Analysis_Gadgets!$B:$B)</f>
        <v>Grenade</v>
      </c>
      <c r="E333" s="43">
        <v>9203</v>
      </c>
      <c r="F333" s="43">
        <f>_xlfn.XLOOKUP(A333,Class_Players!A:A,Class_Players!G:G)</f>
        <v>340</v>
      </c>
      <c r="G333" s="43">
        <f t="shared" si="74"/>
        <v>27.067647058823528</v>
      </c>
      <c r="H333" s="43">
        <f>_xlfn.XLOOKUP(A333,Class_Players!$A:$A,Class_Players!$F:$F,"")</f>
        <v>13233</v>
      </c>
      <c r="I333" s="44">
        <f t="shared" si="75"/>
        <v>0.69545832388725159</v>
      </c>
      <c r="J333" s="43">
        <f t="shared" si="76"/>
        <v>1</v>
      </c>
      <c r="K333" s="44" cm="1">
        <f t="array" ref="K333">IF(D333="Gadget",_xlfn.IFS(I333&gt;=0.2,0.5,I333&gt;=0.1,0.35,I333&gt;=0.05,0.2,TRUE,0),IF(D333="Grenade",_xlfn.IFS(I333&gt;=0.2,1,I333&gt;=0.1,0.7,I333&gt;=0.05,0.4,TRUE,0),0))</f>
        <v>1</v>
      </c>
      <c r="L333" s="57">
        <f t="shared" ref="L333:L334" si="77">IF($K333=0,0,$K333 / SUMIFS($K:$K,$A:$A,$A333,$D:$D,"Grenade"))</f>
        <v>1</v>
      </c>
    </row>
    <row r="334" spans="1:12" ht="15" customHeight="1" x14ac:dyDescent="0.25">
      <c r="A334" s="42" t="str" cm="1">
        <f t="array" ref="A334">IFERROR(INDEX(_xlfn._xlws.FILTER(Class_Players!A:A,Class_Players!B:B="Support"),QUOTIENT(ROW()-ROW($A$2),9)+1),"")</f>
        <v>Man_of_SteeI_93</v>
      </c>
      <c r="B334" s="42" t="str">
        <f>_xlfn.XLOOKUP(A334,Class_Players!$A:$A,Class_Players!$B:$B,"")</f>
        <v>Support</v>
      </c>
      <c r="C334" s="38" t="str" cm="1">
        <f t="array" ref="C334">INDEX(Lookups!$D$2:$D$10,MOD(ROW()-ROW($B$2),ROWS(Lookups!$D$2:$D$10))+1)</f>
        <v>Incendiary Grenade</v>
      </c>
      <c r="D334" s="38" t="str">
        <f>_xlfn.XLOOKUP(C334,Analysis_Gadgets!$C:$C,Analysis_Gadgets!$B:$B)</f>
        <v>Grenade</v>
      </c>
      <c r="E334" s="43">
        <v>3</v>
      </c>
      <c r="F334" s="43">
        <f>_xlfn.XLOOKUP(A334,Class_Players!A:A,Class_Players!G:G)</f>
        <v>340</v>
      </c>
      <c r="G334" s="43">
        <f t="shared" si="74"/>
        <v>8.8235294117647058E-3</v>
      </c>
      <c r="H334" s="43">
        <f>_xlfn.XLOOKUP(A334,Class_Players!$A:$A,Class_Players!$F:$F,"")</f>
        <v>13233</v>
      </c>
      <c r="I334" s="44">
        <f t="shared" si="75"/>
        <v>2.2670596236681024E-4</v>
      </c>
      <c r="J334" s="43">
        <f t="shared" si="76"/>
        <v>0</v>
      </c>
      <c r="K334" s="44" cm="1">
        <f t="array" ref="K334">IF(D334="Gadget",_xlfn.IFS(I334&gt;=0.2,0.5,I334&gt;=0.1,0.35,I334&gt;=0.05,0.2,TRUE,0),IF(D334="Grenade",_xlfn.IFS(I334&gt;=0.2,1,I334&gt;=0.1,0.7,I334&gt;=0.05,0.4,TRUE,0),0))</f>
        <v>0</v>
      </c>
      <c r="L334" s="57">
        <f t="shared" si="77"/>
        <v>0</v>
      </c>
    </row>
    <row r="335" spans="1:12" ht="15" customHeight="1" x14ac:dyDescent="0.25">
      <c r="A335" s="42" t="str" cm="1">
        <f t="array" ref="A335">IFERROR(INDEX(_xlfn._xlws.FILTER(Class_Players!A:A,Class_Players!B:B="Support"),QUOTIENT(ROW()-ROW($A$2),9)+1),"")</f>
        <v>invincibleKORE</v>
      </c>
      <c r="B335" s="42" t="str">
        <f>_xlfn.XLOOKUP(A335,Class_Players!$A:$A,Class_Players!$B:$B,"")</f>
        <v>Support</v>
      </c>
      <c r="C335" s="38" t="str" cm="1">
        <f t="array" ref="C335">INDEX(Lookups!$D$2:$D$10,MOD(ROW()-ROW($B$2),ROWS(Lookups!$D$2:$D$10))+1)</f>
        <v>GPDIS (Grenade intercept system)</v>
      </c>
      <c r="D335" s="38" t="str">
        <f>_xlfn.XLOOKUP(C335,Analysis_Gadgets!$C:$C,Analysis_Gadgets!$B:$B)</f>
        <v>Gadget</v>
      </c>
      <c r="E335" s="43">
        <v>122</v>
      </c>
      <c r="F335" s="43">
        <f>_xlfn.XLOOKUP(A335,Class_Players!A:A,Class_Players!G:G)</f>
        <v>174</v>
      </c>
      <c r="G335" s="43">
        <f t="shared" si="74"/>
        <v>0.70114942528735635</v>
      </c>
      <c r="H335" s="43">
        <f>_xlfn.XLOOKUP(A335,Class_Players!$A:$A,Class_Players!$F:$F,"")</f>
        <v>14833</v>
      </c>
      <c r="I335" s="44">
        <f t="shared" si="75"/>
        <v>8.2249039304254021E-3</v>
      </c>
      <c r="J335" s="43">
        <f t="shared" si="76"/>
        <v>0</v>
      </c>
      <c r="K335" s="44" cm="1">
        <f t="array" ref="K335">IF(D335="Gadget",_xlfn.IFS(I335&gt;=0.2,0.5,I335&gt;=0.1,0.35,I335&gt;=0.05,0.2,TRUE,0),IF(D335="Grenade",_xlfn.IFS(I335&gt;=0.2,1,I335&gt;=0.1,0.7,I335&gt;=0.05,0.4,TRUE,0),0))</f>
        <v>0</v>
      </c>
      <c r="L335" s="57">
        <f t="shared" ref="L335:L341" si="78">IF($K335=0,0,$K335 / SUMIFS($K:$K,$A:$A,$A335,$D:$D,"Gadget"))</f>
        <v>0</v>
      </c>
    </row>
    <row r="336" spans="1:12" ht="15" customHeight="1" x14ac:dyDescent="0.25">
      <c r="A336" s="42" t="str" cm="1">
        <f t="array" ref="A336">IFERROR(INDEX(_xlfn._xlws.FILTER(Class_Players!A:A,Class_Players!B:B="Support"),QUOTIENT(ROW()-ROW($A$2),9)+1),"")</f>
        <v>invincibleKORE</v>
      </c>
      <c r="B336" s="42" t="str">
        <f>_xlfn.XLOOKUP(A336,Class_Players!$A:$A,Class_Players!$B:$B,"")</f>
        <v>Support</v>
      </c>
      <c r="C336" s="38" t="str" cm="1">
        <f t="array" ref="C336">INDEX(Lookups!$D$2:$D$10,MOD(ROW()-ROW($B$2),ROWS(Lookups!$D$2:$D$10))+1)</f>
        <v>MP-APS (Missile intercept system)</v>
      </c>
      <c r="D336" s="38" t="str">
        <f>_xlfn.XLOOKUP(C336,Analysis_Gadgets!$C:$C,Analysis_Gadgets!$B:$B)</f>
        <v>Gadget</v>
      </c>
      <c r="E336" s="43">
        <v>0</v>
      </c>
      <c r="F336" s="43">
        <f>_xlfn.XLOOKUP(A336,Class_Players!A:A,Class_Players!G:G)</f>
        <v>174</v>
      </c>
      <c r="G336" s="43">
        <f t="shared" si="74"/>
        <v>0</v>
      </c>
      <c r="H336" s="43">
        <f>_xlfn.XLOOKUP(A336,Class_Players!$A:$A,Class_Players!$F:$F,"")</f>
        <v>14833</v>
      </c>
      <c r="I336" s="44">
        <f t="shared" si="75"/>
        <v>0</v>
      </c>
      <c r="J336" s="43">
        <f t="shared" si="76"/>
        <v>0</v>
      </c>
      <c r="K336" s="44" cm="1">
        <f t="array" ref="K336">IF(D336="Gadget",_xlfn.IFS(I336&gt;=0.2,0.5,I336&gt;=0.1,0.35,I336&gt;=0.05,0.2,TRUE,0),IF(D336="Grenade",_xlfn.IFS(I336&gt;=0.2,1,I336&gt;=0.1,0.7,I336&gt;=0.05,0.4,TRUE,0),0))</f>
        <v>0</v>
      </c>
      <c r="L336" s="57">
        <f t="shared" si="78"/>
        <v>0</v>
      </c>
    </row>
    <row r="337" spans="1:12" ht="15" customHeight="1" x14ac:dyDescent="0.25">
      <c r="A337" s="42" t="str" cm="1">
        <f t="array" ref="A337">IFERROR(INDEX(_xlfn._xlws.FILTER(Class_Players!A:A,Class_Players!B:B="Support"),QUOTIENT(ROW()-ROW($A$2),9)+1),"")</f>
        <v>invincibleKORE</v>
      </c>
      <c r="B337" s="42" t="str">
        <f>_xlfn.XLOOKUP(A337,Class_Players!$A:$A,Class_Players!$B:$B,"")</f>
        <v>Support</v>
      </c>
      <c r="C337" s="38" t="str" cm="1">
        <f t="array" ref="C337">INDEX(Lookups!$D$2:$D$10,MOD(ROW()-ROW($B$2),ROWS(Lookups!$D$2:$D$10))+1)</f>
        <v>LWCMS (Mortar)</v>
      </c>
      <c r="D337" s="38" t="str">
        <f>_xlfn.XLOOKUP(C337,Analysis_Gadgets!$C:$C,Analysis_Gadgets!$B:$B)</f>
        <v>Gadget</v>
      </c>
      <c r="E337" s="43">
        <v>0</v>
      </c>
      <c r="F337" s="43">
        <f>_xlfn.XLOOKUP(A337,Class_Players!A:A,Class_Players!G:G)</f>
        <v>174</v>
      </c>
      <c r="G337" s="43">
        <f t="shared" si="74"/>
        <v>0</v>
      </c>
      <c r="H337" s="43">
        <f>_xlfn.XLOOKUP(A337,Class_Players!$A:$A,Class_Players!$F:$F,"")</f>
        <v>14833</v>
      </c>
      <c r="I337" s="44">
        <f t="shared" si="75"/>
        <v>0</v>
      </c>
      <c r="J337" s="43">
        <f t="shared" si="76"/>
        <v>0</v>
      </c>
      <c r="K337" s="44" cm="1">
        <f t="array" ref="K337">IF(D337="Gadget",_xlfn.IFS(I337&gt;=0.2,0.5,I337&gt;=0.1,0.35,I337&gt;=0.05,0.2,TRUE,0),IF(D337="Grenade",_xlfn.IFS(I337&gt;=0.2,1,I337&gt;=0.1,0.7,I337&gt;=0.05,0.4,TRUE,0),0))</f>
        <v>0</v>
      </c>
      <c r="L337" s="57">
        <f t="shared" si="78"/>
        <v>0</v>
      </c>
    </row>
    <row r="338" spans="1:12" ht="15" customHeight="1" x14ac:dyDescent="0.25">
      <c r="A338" s="42" t="str" cm="1">
        <f t="array" ref="A338">IFERROR(INDEX(_xlfn._xlws.FILTER(Class_Players!A:A,Class_Players!B:B="Support"),QUOTIENT(ROW()-ROW($A$2),9)+1),"")</f>
        <v>invincibleKORE</v>
      </c>
      <c r="B338" s="42" t="str">
        <f>_xlfn.XLOOKUP(A338,Class_Players!$A:$A,Class_Players!$B:$B,"")</f>
        <v>Support</v>
      </c>
      <c r="C338" s="38" t="str" cm="1">
        <f t="array" ref="C338">INDEX(Lookups!$D$2:$D$10,MOD(ROW()-ROW($B$2),ROWS(Lookups!$D$2:$D$10))+1)</f>
        <v>M320A1 SMK (Smoke Grenade Launcher)</v>
      </c>
      <c r="D338" s="38" t="str">
        <f>_xlfn.XLOOKUP(C338,Analysis_Gadgets!$C:$C,Analysis_Gadgets!$B:$B)</f>
        <v>Gadget</v>
      </c>
      <c r="E338" s="43">
        <v>15</v>
      </c>
      <c r="F338" s="43">
        <f>_xlfn.XLOOKUP(A338,Class_Players!A:A,Class_Players!G:G)</f>
        <v>174</v>
      </c>
      <c r="G338" s="43">
        <f t="shared" si="74"/>
        <v>8.6206896551724144E-2</v>
      </c>
      <c r="H338" s="43">
        <f>_xlfn.XLOOKUP(A338,Class_Players!$A:$A,Class_Players!$F:$F,"")</f>
        <v>14833</v>
      </c>
      <c r="I338" s="44">
        <f t="shared" si="75"/>
        <v>1.0112586799703365E-3</v>
      </c>
      <c r="J338" s="43">
        <f t="shared" si="76"/>
        <v>0</v>
      </c>
      <c r="K338" s="44" cm="1">
        <f t="array" ref="K338">IF(D338="Gadget",_xlfn.IFS(I338&gt;=0.2,0.5,I338&gt;=0.1,0.35,I338&gt;=0.05,0.2,TRUE,0),IF(D338="Grenade",_xlfn.IFS(I338&gt;=0.2,1,I338&gt;=0.1,0.7,I338&gt;=0.05,0.4,TRUE,0),0))</f>
        <v>0</v>
      </c>
      <c r="L338" s="57">
        <f t="shared" si="78"/>
        <v>0</v>
      </c>
    </row>
    <row r="339" spans="1:12" ht="15" customHeight="1" x14ac:dyDescent="0.25">
      <c r="A339" s="42" t="str" cm="1">
        <f t="array" ref="A339">IFERROR(INDEX(_xlfn._xlws.FILTER(Class_Players!A:A,Class_Players!B:B="Support"),QUOTIENT(ROW()-ROW($A$2),9)+1),"")</f>
        <v>invincibleKORE</v>
      </c>
      <c r="B339" s="42" t="str">
        <f>_xlfn.XLOOKUP(A339,Class_Players!$A:$A,Class_Players!$B:$B,"")</f>
        <v>Support</v>
      </c>
      <c r="C339" s="38" t="str" cm="1">
        <f t="array" ref="C339">INDEX(Lookups!$D$2:$D$10,MOD(ROW()-ROW($B$2),ROWS(Lookups!$D$2:$D$10))+1)</f>
        <v>SICH G1 WP (Incendiary Airburst Launcher)</v>
      </c>
      <c r="D339" s="38" t="str">
        <f>_xlfn.XLOOKUP(C339,Analysis_Gadgets!$C:$C,Analysis_Gadgets!$B:$B)</f>
        <v>Gadget</v>
      </c>
      <c r="E339" s="43">
        <v>287</v>
      </c>
      <c r="F339" s="43">
        <f>_xlfn.XLOOKUP(A339,Class_Players!A:A,Class_Players!G:G)</f>
        <v>174</v>
      </c>
      <c r="G339" s="43">
        <f t="shared" si="74"/>
        <v>1.6494252873563218</v>
      </c>
      <c r="H339" s="43">
        <f>_xlfn.XLOOKUP(A339,Class_Players!$A:$A,Class_Players!$F:$F,"")</f>
        <v>14833</v>
      </c>
      <c r="I339" s="44">
        <f t="shared" si="75"/>
        <v>1.9348749410099102E-2</v>
      </c>
      <c r="J339" s="43">
        <f t="shared" si="76"/>
        <v>0</v>
      </c>
      <c r="K339" s="44" cm="1">
        <f t="array" ref="K339">IF(D339="Gadget",_xlfn.IFS(I339&gt;=0.2,0.5,I339&gt;=0.1,0.35,I339&gt;=0.05,0.2,TRUE,0),IF(D339="Grenade",_xlfn.IFS(I339&gt;=0.2,1,I339&gt;=0.1,0.7,I339&gt;=0.05,0.4,TRUE,0),0))</f>
        <v>0</v>
      </c>
      <c r="L339" s="57">
        <f t="shared" si="78"/>
        <v>0</v>
      </c>
    </row>
    <row r="340" spans="1:12" ht="15" customHeight="1" x14ac:dyDescent="0.25">
      <c r="A340" s="42" t="str" cm="1">
        <f t="array" ref="A340">IFERROR(INDEX(_xlfn._xlws.FILTER(Class_Players!A:A,Class_Players!B:B="Support"),QUOTIENT(ROW()-ROW($A$2),9)+1),"")</f>
        <v>invincibleKORE</v>
      </c>
      <c r="B340" s="42" t="str">
        <f>_xlfn.XLOOKUP(A340,Class_Players!$A:$A,Class_Players!$B:$B,"")</f>
        <v>Support</v>
      </c>
      <c r="C340" s="38" t="str" cm="1">
        <f t="array" ref="C340">INDEX(Lookups!$D$2:$D$10,MOD(ROW()-ROW($B$2),ROWS(Lookups!$D$2:$D$10))+1)</f>
        <v>Deployable Cover</v>
      </c>
      <c r="D340" s="38" t="str">
        <f>_xlfn.XLOOKUP(C340,Analysis_Gadgets!$C:$C,Analysis_Gadgets!$B:$B)</f>
        <v>Gadget</v>
      </c>
      <c r="E340" s="43">
        <v>8</v>
      </c>
      <c r="F340" s="43">
        <f>_xlfn.XLOOKUP(A340,Class_Players!A:A,Class_Players!G:G)</f>
        <v>174</v>
      </c>
      <c r="G340" s="43">
        <f t="shared" si="74"/>
        <v>4.5977011494252873E-2</v>
      </c>
      <c r="H340" s="43">
        <f>_xlfn.XLOOKUP(A340,Class_Players!$A:$A,Class_Players!$F:$F,"")</f>
        <v>14833</v>
      </c>
      <c r="I340" s="44">
        <f t="shared" si="75"/>
        <v>5.3933796265084606E-4</v>
      </c>
      <c r="J340" s="43">
        <f t="shared" si="76"/>
        <v>0</v>
      </c>
      <c r="K340" s="44" cm="1">
        <f t="array" ref="K340">IF(D340="Gadget",_xlfn.IFS(I340&gt;=0.2,0.5,I340&gt;=0.1,0.35,I340&gt;=0.05,0.2,TRUE,0),IF(D340="Grenade",_xlfn.IFS(I340&gt;=0.2,1,I340&gt;=0.1,0.7,I340&gt;=0.05,0.4,TRUE,0),0))</f>
        <v>0</v>
      </c>
      <c r="L340" s="57">
        <f t="shared" si="78"/>
        <v>0</v>
      </c>
    </row>
    <row r="341" spans="1:12" ht="15" customHeight="1" x14ac:dyDescent="0.25">
      <c r="A341" s="42" t="str" cm="1">
        <f t="array" ref="A341">IFERROR(INDEX(_xlfn._xlws.FILTER(Class_Players!A:A,Class_Players!B:B="Support"),QUOTIENT(ROW()-ROW($A$2),9)+1),"")</f>
        <v>invincibleKORE</v>
      </c>
      <c r="B341" s="42" t="str">
        <f>_xlfn.XLOOKUP(A341,Class_Players!$A:$A,Class_Players!$B:$B,"")</f>
        <v>Support</v>
      </c>
      <c r="C341" s="38" t="str" cm="1">
        <f t="array" ref="C341">INDEX(Lookups!$D$2:$D$10,MOD(ROW()-ROW($B$2),ROWS(Lookups!$D$2:$D$10))+1)</f>
        <v>Supply Pouch</v>
      </c>
      <c r="D341" s="38" t="str">
        <f>_xlfn.XLOOKUP(C341,Analysis_Gadgets!$C:$C,Analysis_Gadgets!$B:$B)</f>
        <v>Gadget</v>
      </c>
      <c r="E341" s="43">
        <v>905</v>
      </c>
      <c r="F341" s="43">
        <f>_xlfn.XLOOKUP(A341,Class_Players!A:A,Class_Players!G:G)</f>
        <v>174</v>
      </c>
      <c r="G341" s="43">
        <f t="shared" si="74"/>
        <v>5.2011494252873565</v>
      </c>
      <c r="H341" s="43">
        <f>_xlfn.XLOOKUP(A341,Class_Players!$A:$A,Class_Players!$F:$F,"")</f>
        <v>14833</v>
      </c>
      <c r="I341" s="44">
        <f t="shared" si="75"/>
        <v>6.1012607024876965E-2</v>
      </c>
      <c r="J341" s="43">
        <f t="shared" si="76"/>
        <v>0</v>
      </c>
      <c r="K341" s="44" cm="1">
        <f t="array" ref="K341">IF(D341="Gadget",_xlfn.IFS(I341&gt;=0.2,0.5,I341&gt;=0.1,0.35,I341&gt;=0.05,0.2,TRUE,0),IF(D341="Grenade",_xlfn.IFS(I341&gt;=0.2,1,I341&gt;=0.1,0.7,I341&gt;=0.05,0.4,TRUE,0),0))</f>
        <v>0.2</v>
      </c>
      <c r="L341" s="57">
        <f t="shared" si="78"/>
        <v>1</v>
      </c>
    </row>
    <row r="342" spans="1:12" ht="15" customHeight="1" x14ac:dyDescent="0.25">
      <c r="A342" s="42" t="str" cm="1">
        <f t="array" ref="A342">IFERROR(INDEX(_xlfn._xlws.FILTER(Class_Players!A:A,Class_Players!B:B="Support"),QUOTIENT(ROW()-ROW($A$2),9)+1),"")</f>
        <v>invincibleKORE</v>
      </c>
      <c r="B342" s="42" t="str">
        <f>_xlfn.XLOOKUP(A342,Class_Players!$A:$A,Class_Players!$B:$B,"")</f>
        <v>Support</v>
      </c>
      <c r="C342" s="38" t="str" cm="1">
        <f t="array" ref="C342">INDEX(Lookups!$D$2:$D$10,MOD(ROW()-ROW($B$2),ROWS(Lookups!$D$2:$D$10))+1)</f>
        <v>Smoke Grenade</v>
      </c>
      <c r="D342" s="38" t="str">
        <f>_xlfn.XLOOKUP(C342,Analysis_Gadgets!$C:$C,Analysis_Gadgets!$B:$B)</f>
        <v>Grenade</v>
      </c>
      <c r="E342" s="43">
        <v>891</v>
      </c>
      <c r="F342" s="43">
        <f>_xlfn.XLOOKUP(A342,Class_Players!A:A,Class_Players!G:G)</f>
        <v>174</v>
      </c>
      <c r="G342" s="43">
        <f t="shared" si="74"/>
        <v>5.1206896551724137</v>
      </c>
      <c r="H342" s="43">
        <f>_xlfn.XLOOKUP(A342,Class_Players!$A:$A,Class_Players!$F:$F,"")</f>
        <v>14833</v>
      </c>
      <c r="I342" s="44">
        <f t="shared" si="75"/>
        <v>6.006876559023798E-2</v>
      </c>
      <c r="J342" s="43">
        <f t="shared" si="76"/>
        <v>0</v>
      </c>
      <c r="K342" s="44" cm="1">
        <f t="array" ref="K342">IF(D342="Gadget",_xlfn.IFS(I342&gt;=0.2,0.5,I342&gt;=0.1,0.35,I342&gt;=0.05,0.2,TRUE,0),IF(D342="Grenade",_xlfn.IFS(I342&gt;=0.2,1,I342&gt;=0.1,0.7,I342&gt;=0.05,0.4,TRUE,0),0))</f>
        <v>0.4</v>
      </c>
      <c r="L342" s="57">
        <f t="shared" ref="L342:L343" si="79">IF($K342=0,0,$K342 / SUMIFS($K:$K,$A:$A,$A342,$D:$D,"Grenade"))</f>
        <v>0.36363636363636365</v>
      </c>
    </row>
    <row r="343" spans="1:12" ht="15" customHeight="1" x14ac:dyDescent="0.25">
      <c r="A343" s="42" t="str" cm="1">
        <f t="array" ref="A343">IFERROR(INDEX(_xlfn._xlws.FILTER(Class_Players!A:A,Class_Players!B:B="Support"),QUOTIENT(ROW()-ROW($A$2),9)+1),"")</f>
        <v>invincibleKORE</v>
      </c>
      <c r="B343" s="42" t="str">
        <f>_xlfn.XLOOKUP(A343,Class_Players!$A:$A,Class_Players!$B:$B,"")</f>
        <v>Support</v>
      </c>
      <c r="C343" s="38" t="str" cm="1">
        <f t="array" ref="C343">INDEX(Lookups!$D$2:$D$10,MOD(ROW()-ROW($B$2),ROWS(Lookups!$D$2:$D$10))+1)</f>
        <v>Incendiary Grenade</v>
      </c>
      <c r="D343" s="38" t="str">
        <f>_xlfn.XLOOKUP(C343,Analysis_Gadgets!$C:$C,Analysis_Gadgets!$B:$B)</f>
        <v>Grenade</v>
      </c>
      <c r="E343" s="43">
        <v>2393</v>
      </c>
      <c r="F343" s="43">
        <f>_xlfn.XLOOKUP(A343,Class_Players!A:A,Class_Players!G:G)</f>
        <v>174</v>
      </c>
      <c r="G343" s="43">
        <f t="shared" si="74"/>
        <v>13.75287356321839</v>
      </c>
      <c r="H343" s="43">
        <f>_xlfn.XLOOKUP(A343,Class_Players!$A:$A,Class_Players!$F:$F,"")</f>
        <v>14833</v>
      </c>
      <c r="I343" s="44">
        <f t="shared" si="75"/>
        <v>0.16132946807793433</v>
      </c>
      <c r="J343" s="43">
        <f t="shared" si="76"/>
        <v>1</v>
      </c>
      <c r="K343" s="44" cm="1">
        <f t="array" ref="K343">IF(D343="Gadget",_xlfn.IFS(I343&gt;=0.2,0.5,I343&gt;=0.1,0.35,I343&gt;=0.05,0.2,TRUE,0),IF(D343="Grenade",_xlfn.IFS(I343&gt;=0.2,1,I343&gt;=0.1,0.7,I343&gt;=0.05,0.4,TRUE,0),0))</f>
        <v>0.7</v>
      </c>
      <c r="L343" s="57">
        <f t="shared" si="79"/>
        <v>0.63636363636363624</v>
      </c>
    </row>
    <row r="344" spans="1:12" ht="15" customHeight="1" x14ac:dyDescent="0.25">
      <c r="A344" s="42" t="str" cm="1">
        <f t="array" ref="A344">IFERROR(INDEX(_xlfn._xlws.FILTER(Class_Players!A:A,Class_Players!B:B="Support"),QUOTIENT(ROW()-ROW($A$2),9)+1),"")</f>
        <v>NinjaDark34</v>
      </c>
      <c r="B344" s="42" t="str">
        <f>_xlfn.XLOOKUP(A344,Class_Players!$A:$A,Class_Players!$B:$B,"")</f>
        <v>Support</v>
      </c>
      <c r="C344" s="38" t="str" cm="1">
        <f t="array" ref="C344">INDEX(Lookups!$D$2:$D$10,MOD(ROW()-ROW($B$2),ROWS(Lookups!$D$2:$D$10))+1)</f>
        <v>GPDIS (Grenade intercept system)</v>
      </c>
      <c r="D344" s="38" t="str">
        <f>_xlfn.XLOOKUP(C344,Analysis_Gadgets!$C:$C,Analysis_Gadgets!$B:$B)</f>
        <v>Gadget</v>
      </c>
      <c r="E344" s="43">
        <v>87</v>
      </c>
      <c r="F344" s="43">
        <f>_xlfn.XLOOKUP(A344,Class_Players!A:A,Class_Players!G:G)</f>
        <v>334</v>
      </c>
      <c r="G344" s="43">
        <f t="shared" si="74"/>
        <v>0.26047904191616766</v>
      </c>
      <c r="H344" s="43">
        <f>_xlfn.XLOOKUP(A344,Class_Players!$A:$A,Class_Players!$F:$F,"")</f>
        <v>13091</v>
      </c>
      <c r="I344" s="44">
        <f t="shared" si="75"/>
        <v>6.645787182033458E-3</v>
      </c>
      <c r="J344" s="43">
        <f t="shared" si="76"/>
        <v>0</v>
      </c>
      <c r="K344" s="44" cm="1">
        <f t="array" ref="K344">IF(D344="Gadget",_xlfn.IFS(I344&gt;=0.2,0.5,I344&gt;=0.1,0.35,I344&gt;=0.05,0.2,TRUE,0),IF(D344="Grenade",_xlfn.IFS(I344&gt;=0.2,1,I344&gt;=0.1,0.7,I344&gt;=0.05,0.4,TRUE,0),0))</f>
        <v>0</v>
      </c>
      <c r="L344" s="57">
        <f t="shared" ref="L344:L350" si="80">IF($K344=0,0,$K344 / SUMIFS($K:$K,$A:$A,$A344,$D:$D,"Gadget"))</f>
        <v>0</v>
      </c>
    </row>
    <row r="345" spans="1:12" ht="15" customHeight="1" x14ac:dyDescent="0.25">
      <c r="A345" s="42" t="str" cm="1">
        <f t="array" ref="A345">IFERROR(INDEX(_xlfn._xlws.FILTER(Class_Players!A:A,Class_Players!B:B="Support"),QUOTIENT(ROW()-ROW($A$2),9)+1),"")</f>
        <v>NinjaDark34</v>
      </c>
      <c r="B345" s="42" t="str">
        <f>_xlfn.XLOOKUP(A345,Class_Players!$A:$A,Class_Players!$B:$B,"")</f>
        <v>Support</v>
      </c>
      <c r="C345" s="38" t="str" cm="1">
        <f t="array" ref="C345">INDEX(Lookups!$D$2:$D$10,MOD(ROW()-ROW($B$2),ROWS(Lookups!$D$2:$D$10))+1)</f>
        <v>MP-APS (Missile intercept system)</v>
      </c>
      <c r="D345" s="38" t="str">
        <f>_xlfn.XLOOKUP(C345,Analysis_Gadgets!$C:$C,Analysis_Gadgets!$B:$B)</f>
        <v>Gadget</v>
      </c>
      <c r="E345" s="43">
        <v>15</v>
      </c>
      <c r="F345" s="43">
        <f>_xlfn.XLOOKUP(A345,Class_Players!A:A,Class_Players!G:G)</f>
        <v>334</v>
      </c>
      <c r="G345" s="43">
        <f t="shared" si="74"/>
        <v>4.4910179640718563E-2</v>
      </c>
      <c r="H345" s="43">
        <f>_xlfn.XLOOKUP(A345,Class_Players!$A:$A,Class_Players!$F:$F,"")</f>
        <v>13091</v>
      </c>
      <c r="I345" s="44">
        <f t="shared" si="75"/>
        <v>1.1458253762126652E-3</v>
      </c>
      <c r="J345" s="43">
        <f t="shared" si="76"/>
        <v>0</v>
      </c>
      <c r="K345" s="44" cm="1">
        <f t="array" ref="K345">IF(D345="Gadget",_xlfn.IFS(I345&gt;=0.2,0.5,I345&gt;=0.1,0.35,I345&gt;=0.05,0.2,TRUE,0),IF(D345="Grenade",_xlfn.IFS(I345&gt;=0.2,1,I345&gt;=0.1,0.7,I345&gt;=0.05,0.4,TRUE,0),0))</f>
        <v>0</v>
      </c>
      <c r="L345" s="57">
        <f t="shared" si="80"/>
        <v>0</v>
      </c>
    </row>
    <row r="346" spans="1:12" ht="15" customHeight="1" x14ac:dyDescent="0.25">
      <c r="A346" s="42" t="str" cm="1">
        <f t="array" ref="A346">IFERROR(INDEX(_xlfn._xlws.FILTER(Class_Players!A:A,Class_Players!B:B="Support"),QUOTIENT(ROW()-ROW($A$2),9)+1),"")</f>
        <v>NinjaDark34</v>
      </c>
      <c r="B346" s="42" t="str">
        <f>_xlfn.XLOOKUP(A346,Class_Players!$A:$A,Class_Players!$B:$B,"")</f>
        <v>Support</v>
      </c>
      <c r="C346" s="38" t="str" cm="1">
        <f t="array" ref="C346">INDEX(Lookups!$D$2:$D$10,MOD(ROW()-ROW($B$2),ROWS(Lookups!$D$2:$D$10))+1)</f>
        <v>LWCMS (Mortar)</v>
      </c>
      <c r="D346" s="38" t="str">
        <f>_xlfn.XLOOKUP(C346,Analysis_Gadgets!$C:$C,Analysis_Gadgets!$B:$B)</f>
        <v>Gadget</v>
      </c>
      <c r="E346" s="43">
        <v>12</v>
      </c>
      <c r="F346" s="43">
        <f>_xlfn.XLOOKUP(A346,Class_Players!A:A,Class_Players!G:G)</f>
        <v>334</v>
      </c>
      <c r="G346" s="43">
        <f t="shared" si="74"/>
        <v>3.5928143712574849E-2</v>
      </c>
      <c r="H346" s="43">
        <f>_xlfn.XLOOKUP(A346,Class_Players!$A:$A,Class_Players!$F:$F,"")</f>
        <v>13091</v>
      </c>
      <c r="I346" s="44">
        <f t="shared" si="75"/>
        <v>9.1666030097013219E-4</v>
      </c>
      <c r="J346" s="43">
        <f t="shared" si="76"/>
        <v>0</v>
      </c>
      <c r="K346" s="44" cm="1">
        <f t="array" ref="K346">IF(D346="Gadget",_xlfn.IFS(I346&gt;=0.2,0.5,I346&gt;=0.1,0.35,I346&gt;=0.05,0.2,TRUE,0),IF(D346="Grenade",_xlfn.IFS(I346&gt;=0.2,1,I346&gt;=0.1,0.7,I346&gt;=0.05,0.4,TRUE,0),0))</f>
        <v>0</v>
      </c>
      <c r="L346" s="57">
        <f t="shared" si="80"/>
        <v>0</v>
      </c>
    </row>
    <row r="347" spans="1:12" ht="15" customHeight="1" x14ac:dyDescent="0.25">
      <c r="A347" s="42" t="str" cm="1">
        <f t="array" ref="A347">IFERROR(INDEX(_xlfn._xlws.FILTER(Class_Players!A:A,Class_Players!B:B="Support"),QUOTIENT(ROW()-ROW($A$2),9)+1),"")</f>
        <v>NinjaDark34</v>
      </c>
      <c r="B347" s="42" t="str">
        <f>_xlfn.XLOOKUP(A347,Class_Players!$A:$A,Class_Players!$B:$B,"")</f>
        <v>Support</v>
      </c>
      <c r="C347" s="38" t="str" cm="1">
        <f t="array" ref="C347">INDEX(Lookups!$D$2:$D$10,MOD(ROW()-ROW($B$2),ROWS(Lookups!$D$2:$D$10))+1)</f>
        <v>M320A1 SMK (Smoke Grenade Launcher)</v>
      </c>
      <c r="D347" s="38" t="str">
        <f>_xlfn.XLOOKUP(C347,Analysis_Gadgets!$C:$C,Analysis_Gadgets!$B:$B)</f>
        <v>Gadget</v>
      </c>
      <c r="E347" s="43">
        <v>117</v>
      </c>
      <c r="F347" s="43">
        <f>_xlfn.XLOOKUP(A347,Class_Players!A:A,Class_Players!G:G)</f>
        <v>334</v>
      </c>
      <c r="G347" s="43">
        <f t="shared" si="74"/>
        <v>0.35029940119760478</v>
      </c>
      <c r="H347" s="43">
        <f>_xlfn.XLOOKUP(A347,Class_Players!$A:$A,Class_Players!$F:$F,"")</f>
        <v>13091</v>
      </c>
      <c r="I347" s="44">
        <f t="shared" si="75"/>
        <v>8.9374379344587893E-3</v>
      </c>
      <c r="J347" s="43">
        <f t="shared" si="76"/>
        <v>0</v>
      </c>
      <c r="K347" s="44" cm="1">
        <f t="array" ref="K347">IF(D347="Gadget",_xlfn.IFS(I347&gt;=0.2,0.5,I347&gt;=0.1,0.35,I347&gt;=0.05,0.2,TRUE,0),IF(D347="Grenade",_xlfn.IFS(I347&gt;=0.2,1,I347&gt;=0.1,0.7,I347&gt;=0.05,0.4,TRUE,0),0))</f>
        <v>0</v>
      </c>
      <c r="L347" s="57">
        <f t="shared" si="80"/>
        <v>0</v>
      </c>
    </row>
    <row r="348" spans="1:12" ht="15" customHeight="1" x14ac:dyDescent="0.25">
      <c r="A348" s="42" t="str" cm="1">
        <f t="array" ref="A348">IFERROR(INDEX(_xlfn._xlws.FILTER(Class_Players!A:A,Class_Players!B:B="Support"),QUOTIENT(ROW()-ROW($A$2),9)+1),"")</f>
        <v>NinjaDark34</v>
      </c>
      <c r="B348" s="42" t="str">
        <f>_xlfn.XLOOKUP(A348,Class_Players!$A:$A,Class_Players!$B:$B,"")</f>
        <v>Support</v>
      </c>
      <c r="C348" s="38" t="str" cm="1">
        <f t="array" ref="C348">INDEX(Lookups!$D$2:$D$10,MOD(ROW()-ROW($B$2),ROWS(Lookups!$D$2:$D$10))+1)</f>
        <v>SICH G1 WP (Incendiary Airburst Launcher)</v>
      </c>
      <c r="D348" s="38" t="str">
        <f>_xlfn.XLOOKUP(C348,Analysis_Gadgets!$C:$C,Analysis_Gadgets!$B:$B)</f>
        <v>Gadget</v>
      </c>
      <c r="E348" s="43">
        <v>82</v>
      </c>
      <c r="F348" s="43">
        <f>_xlfn.XLOOKUP(A348,Class_Players!A:A,Class_Players!G:G)</f>
        <v>334</v>
      </c>
      <c r="G348" s="43">
        <f t="shared" si="74"/>
        <v>0.24550898203592814</v>
      </c>
      <c r="H348" s="43">
        <f>_xlfn.XLOOKUP(A348,Class_Players!$A:$A,Class_Players!$F:$F,"")</f>
        <v>13091</v>
      </c>
      <c r="I348" s="44">
        <f t="shared" si="75"/>
        <v>6.2638453899625697E-3</v>
      </c>
      <c r="J348" s="43">
        <f t="shared" si="76"/>
        <v>0</v>
      </c>
      <c r="K348" s="44" cm="1">
        <f t="array" ref="K348">IF(D348="Gadget",_xlfn.IFS(I348&gt;=0.2,0.5,I348&gt;=0.1,0.35,I348&gt;=0.05,0.2,TRUE,0),IF(D348="Grenade",_xlfn.IFS(I348&gt;=0.2,1,I348&gt;=0.1,0.7,I348&gt;=0.05,0.4,TRUE,0),0))</f>
        <v>0</v>
      </c>
      <c r="L348" s="57">
        <f t="shared" si="80"/>
        <v>0</v>
      </c>
    </row>
    <row r="349" spans="1:12" ht="15" customHeight="1" x14ac:dyDescent="0.25">
      <c r="A349" s="42" t="str" cm="1">
        <f t="array" ref="A349">IFERROR(INDEX(_xlfn._xlws.FILTER(Class_Players!A:A,Class_Players!B:B="Support"),QUOTIENT(ROW()-ROW($A$2),9)+1),"")</f>
        <v>NinjaDark34</v>
      </c>
      <c r="B349" s="42" t="str">
        <f>_xlfn.XLOOKUP(A349,Class_Players!$A:$A,Class_Players!$B:$B,"")</f>
        <v>Support</v>
      </c>
      <c r="C349" s="38" t="str" cm="1">
        <f t="array" ref="C349">INDEX(Lookups!$D$2:$D$10,MOD(ROW()-ROW($B$2),ROWS(Lookups!$D$2:$D$10))+1)</f>
        <v>Deployable Cover</v>
      </c>
      <c r="D349" s="38" t="str">
        <f>_xlfn.XLOOKUP(C349,Analysis_Gadgets!$C:$C,Analysis_Gadgets!$B:$B)</f>
        <v>Gadget</v>
      </c>
      <c r="E349" s="43">
        <v>1989</v>
      </c>
      <c r="F349" s="43">
        <f>_xlfn.XLOOKUP(A349,Class_Players!A:A,Class_Players!G:G)</f>
        <v>334</v>
      </c>
      <c r="G349" s="43">
        <f t="shared" si="74"/>
        <v>5.955089820359281</v>
      </c>
      <c r="H349" s="43">
        <f>_xlfn.XLOOKUP(A349,Class_Players!$A:$A,Class_Players!$F:$F,"")</f>
        <v>13091</v>
      </c>
      <c r="I349" s="44">
        <f t="shared" si="75"/>
        <v>0.15193644488579941</v>
      </c>
      <c r="J349" s="43">
        <f t="shared" si="76"/>
        <v>1</v>
      </c>
      <c r="K349" s="44" cm="1">
        <f t="array" ref="K349">IF(D349="Gadget",_xlfn.IFS(I349&gt;=0.2,0.5,I349&gt;=0.1,0.35,I349&gt;=0.05,0.2,TRUE,0),IF(D349="Grenade",_xlfn.IFS(I349&gt;=0.2,1,I349&gt;=0.1,0.7,I349&gt;=0.05,0.4,TRUE,0),0))</f>
        <v>0.35</v>
      </c>
      <c r="L349" s="57">
        <f t="shared" si="80"/>
        <v>0.41176470588235292</v>
      </c>
    </row>
    <row r="350" spans="1:12" ht="15" customHeight="1" x14ac:dyDescent="0.25">
      <c r="A350" s="42" t="str" cm="1">
        <f t="array" ref="A350">IFERROR(INDEX(_xlfn._xlws.FILTER(Class_Players!A:A,Class_Players!B:B="Support"),QUOTIENT(ROW()-ROW($A$2),9)+1),"")</f>
        <v>NinjaDark34</v>
      </c>
      <c r="B350" s="42" t="str">
        <f>_xlfn.XLOOKUP(A350,Class_Players!$A:$A,Class_Players!$B:$B,"")</f>
        <v>Support</v>
      </c>
      <c r="C350" s="38" t="str" cm="1">
        <f t="array" ref="C350">INDEX(Lookups!$D$2:$D$10,MOD(ROW()-ROW($B$2),ROWS(Lookups!$D$2:$D$10))+1)</f>
        <v>Supply Pouch</v>
      </c>
      <c r="D350" s="38" t="str">
        <f>_xlfn.XLOOKUP(C350,Analysis_Gadgets!$C:$C,Analysis_Gadgets!$B:$B)</f>
        <v>Gadget</v>
      </c>
      <c r="E350" s="43">
        <v>16889</v>
      </c>
      <c r="F350" s="43">
        <f>_xlfn.XLOOKUP(A350,Class_Players!A:A,Class_Players!G:G)</f>
        <v>334</v>
      </c>
      <c r="G350" s="43">
        <f t="shared" si="74"/>
        <v>50.565868263473057</v>
      </c>
      <c r="H350" s="43">
        <f>_xlfn.XLOOKUP(A350,Class_Players!$A:$A,Class_Players!$F:$F,"")</f>
        <v>13091</v>
      </c>
      <c r="I350" s="44">
        <f t="shared" si="75"/>
        <v>1.2901229852570468</v>
      </c>
      <c r="J350" s="43">
        <f t="shared" si="76"/>
        <v>1</v>
      </c>
      <c r="K350" s="44" cm="1">
        <f t="array" ref="K350">IF(D350="Gadget",_xlfn.IFS(I350&gt;=0.2,0.5,I350&gt;=0.1,0.35,I350&gt;=0.05,0.2,TRUE,0),IF(D350="Grenade",_xlfn.IFS(I350&gt;=0.2,1,I350&gt;=0.1,0.7,I350&gt;=0.05,0.4,TRUE,0),0))</f>
        <v>0.5</v>
      </c>
      <c r="L350" s="57">
        <f t="shared" si="80"/>
        <v>0.58823529411764708</v>
      </c>
    </row>
    <row r="351" spans="1:12" ht="15" customHeight="1" x14ac:dyDescent="0.25">
      <c r="A351" s="42" t="str" cm="1">
        <f t="array" ref="A351">IFERROR(INDEX(_xlfn._xlws.FILTER(Class_Players!A:A,Class_Players!B:B="Support"),QUOTIENT(ROW()-ROW($A$2),9)+1),"")</f>
        <v>NinjaDark34</v>
      </c>
      <c r="B351" s="42" t="str">
        <f>_xlfn.XLOOKUP(A351,Class_Players!$A:$A,Class_Players!$B:$B,"")</f>
        <v>Support</v>
      </c>
      <c r="C351" s="38" t="str" cm="1">
        <f t="array" ref="C351">INDEX(Lookups!$D$2:$D$10,MOD(ROW()-ROW($B$2),ROWS(Lookups!$D$2:$D$10))+1)</f>
        <v>Smoke Grenade</v>
      </c>
      <c r="D351" s="38" t="str">
        <f>_xlfn.XLOOKUP(C351,Analysis_Gadgets!$C:$C,Analysis_Gadgets!$B:$B)</f>
        <v>Grenade</v>
      </c>
      <c r="E351" s="43">
        <v>18921</v>
      </c>
      <c r="F351" s="43">
        <f>_xlfn.XLOOKUP(A351,Class_Players!A:A,Class_Players!G:G)</f>
        <v>334</v>
      </c>
      <c r="G351" s="43">
        <f t="shared" si="74"/>
        <v>56.649700598802397</v>
      </c>
      <c r="H351" s="43">
        <f>_xlfn.XLOOKUP(A351,Class_Players!$A:$A,Class_Players!$F:$F,"")</f>
        <v>13091</v>
      </c>
      <c r="I351" s="44">
        <f t="shared" si="75"/>
        <v>1.4453441295546559</v>
      </c>
      <c r="J351" s="43">
        <f t="shared" si="76"/>
        <v>1</v>
      </c>
      <c r="K351" s="44" cm="1">
        <f t="array" ref="K351">IF(D351="Gadget",_xlfn.IFS(I351&gt;=0.2,0.5,I351&gt;=0.1,0.35,I351&gt;=0.05,0.2,TRUE,0),IF(D351="Grenade",_xlfn.IFS(I351&gt;=0.2,1,I351&gt;=0.1,0.7,I351&gt;=0.05,0.4,TRUE,0),0))</f>
        <v>1</v>
      </c>
      <c r="L351" s="57">
        <f t="shared" ref="L351:L352" si="81">IF($K351=0,0,$K351 / SUMIFS($K:$K,$A:$A,$A351,$D:$D,"Grenade"))</f>
        <v>1</v>
      </c>
    </row>
    <row r="352" spans="1:12" ht="15" customHeight="1" x14ac:dyDescent="0.25">
      <c r="A352" s="42" t="str" cm="1">
        <f t="array" ref="A352">IFERROR(INDEX(_xlfn._xlws.FILTER(Class_Players!A:A,Class_Players!B:B="Support"),QUOTIENT(ROW()-ROW($A$2),9)+1),"")</f>
        <v>NinjaDark34</v>
      </c>
      <c r="B352" s="42" t="str">
        <f>_xlfn.XLOOKUP(A352,Class_Players!$A:$A,Class_Players!$B:$B,"")</f>
        <v>Support</v>
      </c>
      <c r="C352" s="38" t="str" cm="1">
        <f t="array" ref="C352">INDEX(Lookups!$D$2:$D$10,MOD(ROW()-ROW($B$2),ROWS(Lookups!$D$2:$D$10))+1)</f>
        <v>Incendiary Grenade</v>
      </c>
      <c r="D352" s="38" t="str">
        <f>_xlfn.XLOOKUP(C352,Analysis_Gadgets!$C:$C,Analysis_Gadgets!$B:$B)</f>
        <v>Grenade</v>
      </c>
      <c r="E352" s="43">
        <v>172</v>
      </c>
      <c r="F352" s="43">
        <f>_xlfn.XLOOKUP(A352,Class_Players!A:A,Class_Players!G:G)</f>
        <v>334</v>
      </c>
      <c r="G352" s="43">
        <f t="shared" si="74"/>
        <v>0.51497005988023947</v>
      </c>
      <c r="H352" s="43">
        <f>_xlfn.XLOOKUP(A352,Class_Players!$A:$A,Class_Players!$F:$F,"")</f>
        <v>13091</v>
      </c>
      <c r="I352" s="44">
        <f t="shared" si="75"/>
        <v>1.313879764723856E-2</v>
      </c>
      <c r="J352" s="43">
        <f t="shared" si="76"/>
        <v>0</v>
      </c>
      <c r="K352" s="44" cm="1">
        <f t="array" ref="K352">IF(D352="Gadget",_xlfn.IFS(I352&gt;=0.2,0.5,I352&gt;=0.1,0.35,I352&gt;=0.05,0.2,TRUE,0),IF(D352="Grenade",_xlfn.IFS(I352&gt;=0.2,1,I352&gt;=0.1,0.7,I352&gt;=0.05,0.4,TRUE,0),0))</f>
        <v>0</v>
      </c>
      <c r="L352" s="57">
        <f t="shared" si="81"/>
        <v>0</v>
      </c>
    </row>
    <row r="353" spans="1:12" ht="15" customHeight="1" x14ac:dyDescent="0.25">
      <c r="A353" s="42" t="str" cm="1">
        <f t="array" ref="A353">IFERROR(INDEX(_xlfn._xlws.FILTER(Class_Players!A:A,Class_Players!B:B="Support"),QUOTIENT(ROW()-ROW($A$2),9)+1),"")</f>
        <v>FinsWishes</v>
      </c>
      <c r="B353" s="42" t="str">
        <f>_xlfn.XLOOKUP(A353,Class_Players!$A:$A,Class_Players!$B:$B,"")</f>
        <v>Support</v>
      </c>
      <c r="C353" s="38" t="str" cm="1">
        <f t="array" ref="C353">INDEX(Lookups!$D$2:$D$10,MOD(ROW()-ROW($B$2),ROWS(Lookups!$D$2:$D$10))+1)</f>
        <v>GPDIS (Grenade intercept system)</v>
      </c>
      <c r="D353" s="38" t="str">
        <f>_xlfn.XLOOKUP(C353,Analysis_Gadgets!$C:$C,Analysis_Gadgets!$B:$B)</f>
        <v>Gadget</v>
      </c>
      <c r="E353" s="43">
        <v>58</v>
      </c>
      <c r="F353" s="43">
        <f>_xlfn.XLOOKUP(A353,Class_Players!A:A,Class_Players!G:G)</f>
        <v>150</v>
      </c>
      <c r="G353" s="43">
        <f t="shared" si="74"/>
        <v>0.38666666666666666</v>
      </c>
      <c r="H353" s="43">
        <f>_xlfn.XLOOKUP(A353,Class_Players!$A:$A,Class_Players!$F:$F,"")</f>
        <v>13076</v>
      </c>
      <c r="I353" s="44">
        <f t="shared" si="75"/>
        <v>4.4356072193331292E-3</v>
      </c>
      <c r="J353" s="43">
        <f t="shared" si="76"/>
        <v>0</v>
      </c>
      <c r="K353" s="44" cm="1">
        <f t="array" ref="K353">IF(D353="Gadget",_xlfn.IFS(I353&gt;=0.2,0.5,I353&gt;=0.1,0.35,I353&gt;=0.05,0.2,TRUE,0),IF(D353="Grenade",_xlfn.IFS(I353&gt;=0.2,1,I353&gt;=0.1,0.7,I353&gt;=0.05,0.4,TRUE,0),0))</f>
        <v>0</v>
      </c>
      <c r="L353" s="57">
        <f t="shared" ref="L353:L368" si="82">IF($K353=0,0,$K353 / SUMIFS($K:$K,$A:$A,$A353,$D:$D,"Gadget"))</f>
        <v>0</v>
      </c>
    </row>
    <row r="354" spans="1:12" ht="15" customHeight="1" x14ac:dyDescent="0.25">
      <c r="A354" s="42" t="str" cm="1">
        <f t="array" ref="A354">IFERROR(INDEX(_xlfn._xlws.FILTER(Class_Players!A:A,Class_Players!B:B="Support"),QUOTIENT(ROW()-ROW($A$2),9)+1),"")</f>
        <v>FinsWishes</v>
      </c>
      <c r="B354" s="42" t="str">
        <f>_xlfn.XLOOKUP(A354,Class_Players!$A:$A,Class_Players!$B:$B,"")</f>
        <v>Support</v>
      </c>
      <c r="C354" s="38" t="str" cm="1">
        <f t="array" ref="C354">INDEX(Lookups!$D$2:$D$10,MOD(ROW()-ROW($B$2),ROWS(Lookups!$D$2:$D$10))+1)</f>
        <v>MP-APS (Missile intercept system)</v>
      </c>
      <c r="D354" s="38" t="str">
        <f>_xlfn.XLOOKUP(C354,Analysis_Gadgets!$C:$C,Analysis_Gadgets!$B:$B)</f>
        <v>Gadget</v>
      </c>
      <c r="E354" s="43">
        <v>0</v>
      </c>
      <c r="F354" s="43">
        <f>_xlfn.XLOOKUP(A354,Class_Players!A:A,Class_Players!G:G)</f>
        <v>150</v>
      </c>
      <c r="G354" s="43">
        <f t="shared" si="74"/>
        <v>0</v>
      </c>
      <c r="H354" s="43">
        <f>_xlfn.XLOOKUP(A354,Class_Players!$A:$A,Class_Players!$F:$F,"")</f>
        <v>13076</v>
      </c>
      <c r="I354" s="44">
        <f t="shared" si="75"/>
        <v>0</v>
      </c>
      <c r="J354" s="43">
        <f t="shared" si="76"/>
        <v>0</v>
      </c>
      <c r="K354" s="44" cm="1">
        <f t="array" ref="K354">IF(D354="Gadget",_xlfn.IFS(I354&gt;=0.2,0.5,I354&gt;=0.1,0.35,I354&gt;=0.05,0.2,TRUE,0),IF(D354="Grenade",_xlfn.IFS(I354&gt;=0.2,1,I354&gt;=0.1,0.7,I354&gt;=0.05,0.4,TRUE,0),0))</f>
        <v>0</v>
      </c>
      <c r="L354" s="57">
        <f t="shared" si="82"/>
        <v>0</v>
      </c>
    </row>
    <row r="355" spans="1:12" ht="15" customHeight="1" x14ac:dyDescent="0.25">
      <c r="A355" s="42" t="str" cm="1">
        <f t="array" ref="A355">IFERROR(INDEX(_xlfn._xlws.FILTER(Class_Players!A:A,Class_Players!B:B="Support"),QUOTIENT(ROW()-ROW($A$2),9)+1),"")</f>
        <v>FinsWishes</v>
      </c>
      <c r="B355" s="42" t="str">
        <f>_xlfn.XLOOKUP(A355,Class_Players!$A:$A,Class_Players!$B:$B,"")</f>
        <v>Support</v>
      </c>
      <c r="C355" s="38" t="str" cm="1">
        <f t="array" ref="C355">INDEX(Lookups!$D$2:$D$10,MOD(ROW()-ROW($B$2),ROWS(Lookups!$D$2:$D$10))+1)</f>
        <v>LWCMS (Mortar)</v>
      </c>
      <c r="D355" s="38" t="str">
        <f>_xlfn.XLOOKUP(C355,Analysis_Gadgets!$C:$C,Analysis_Gadgets!$B:$B)</f>
        <v>Gadget</v>
      </c>
      <c r="E355" s="43">
        <v>0</v>
      </c>
      <c r="F355" s="43">
        <f>_xlfn.XLOOKUP(A355,Class_Players!A:A,Class_Players!G:G)</f>
        <v>150</v>
      </c>
      <c r="G355" s="43">
        <f t="shared" si="74"/>
        <v>0</v>
      </c>
      <c r="H355" s="43">
        <f>_xlfn.XLOOKUP(A355,Class_Players!$A:$A,Class_Players!$F:$F,"")</f>
        <v>13076</v>
      </c>
      <c r="I355" s="44">
        <f t="shared" si="75"/>
        <v>0</v>
      </c>
      <c r="J355" s="43">
        <f t="shared" si="76"/>
        <v>0</v>
      </c>
      <c r="K355" s="44" cm="1">
        <f t="array" ref="K355">IF(D355="Gadget",_xlfn.IFS(I355&gt;=0.2,0.5,I355&gt;=0.1,0.35,I355&gt;=0.05,0.2,TRUE,0),IF(D355="Grenade",_xlfn.IFS(I355&gt;=0.2,1,I355&gt;=0.1,0.7,I355&gt;=0.05,0.4,TRUE,0),0))</f>
        <v>0</v>
      </c>
      <c r="L355" s="57">
        <f t="shared" si="82"/>
        <v>0</v>
      </c>
    </row>
    <row r="356" spans="1:12" ht="15" customHeight="1" x14ac:dyDescent="0.25">
      <c r="A356" s="42" t="str" cm="1">
        <f t="array" ref="A356">IFERROR(INDEX(_xlfn._xlws.FILTER(Class_Players!A:A,Class_Players!B:B="Support"),QUOTIENT(ROW()-ROW($A$2),9)+1),"")</f>
        <v>FinsWishes</v>
      </c>
      <c r="B356" s="42" t="str">
        <f>_xlfn.XLOOKUP(A356,Class_Players!$A:$A,Class_Players!$B:$B,"")</f>
        <v>Support</v>
      </c>
      <c r="C356" s="38" t="str" cm="1">
        <f t="array" ref="C356">INDEX(Lookups!$D$2:$D$10,MOD(ROW()-ROW($B$2),ROWS(Lookups!$D$2:$D$10))+1)</f>
        <v>M320A1 SMK (Smoke Grenade Launcher)</v>
      </c>
      <c r="D356" s="38" t="str">
        <f>_xlfn.XLOOKUP(C356,Analysis_Gadgets!$C:$C,Analysis_Gadgets!$B:$B)</f>
        <v>Gadget</v>
      </c>
      <c r="E356" s="43">
        <v>105</v>
      </c>
      <c r="F356" s="43">
        <f>_xlfn.XLOOKUP(A356,Class_Players!A:A,Class_Players!G:G)</f>
        <v>150</v>
      </c>
      <c r="G356" s="43">
        <f t="shared" si="74"/>
        <v>0.7</v>
      </c>
      <c r="H356" s="43">
        <f>_xlfn.XLOOKUP(A356,Class_Players!$A:$A,Class_Players!$F:$F,"")</f>
        <v>13076</v>
      </c>
      <c r="I356" s="44">
        <f t="shared" si="75"/>
        <v>8.0299785867237686E-3</v>
      </c>
      <c r="J356" s="43">
        <f t="shared" si="76"/>
        <v>0</v>
      </c>
      <c r="K356" s="44" cm="1">
        <f t="array" ref="K356">IF(D356="Gadget",_xlfn.IFS(I356&gt;=0.2,0.5,I356&gt;=0.1,0.35,I356&gt;=0.05,0.2,TRUE,0),IF(D356="Grenade",_xlfn.IFS(I356&gt;=0.2,1,I356&gt;=0.1,0.7,I356&gt;=0.05,0.4,TRUE,0),0))</f>
        <v>0</v>
      </c>
      <c r="L356" s="57">
        <f t="shared" si="82"/>
        <v>0</v>
      </c>
    </row>
    <row r="357" spans="1:12" ht="15" customHeight="1" x14ac:dyDescent="0.25">
      <c r="A357" s="42" t="str" cm="1">
        <f t="array" ref="A357">IFERROR(INDEX(_xlfn._xlws.FILTER(Class_Players!A:A,Class_Players!B:B="Support"),QUOTIENT(ROW()-ROW($A$2),9)+1),"")</f>
        <v>FinsWishes</v>
      </c>
      <c r="B357" s="42" t="str">
        <f>_xlfn.XLOOKUP(A357,Class_Players!$A:$A,Class_Players!$B:$B,"")</f>
        <v>Support</v>
      </c>
      <c r="C357" s="38" t="str" cm="1">
        <f t="array" ref="C357">INDEX(Lookups!$D$2:$D$10,MOD(ROW()-ROW($B$2),ROWS(Lookups!$D$2:$D$10))+1)</f>
        <v>SICH G1 WP (Incendiary Airburst Launcher)</v>
      </c>
      <c r="D357" s="38" t="str">
        <f>_xlfn.XLOOKUP(C357,Analysis_Gadgets!$C:$C,Analysis_Gadgets!$B:$B)</f>
        <v>Gadget</v>
      </c>
      <c r="E357" s="43">
        <v>0</v>
      </c>
      <c r="F357" s="43">
        <f>_xlfn.XLOOKUP(A357,Class_Players!A:A,Class_Players!G:G)</f>
        <v>150</v>
      </c>
      <c r="G357" s="43">
        <f t="shared" si="74"/>
        <v>0</v>
      </c>
      <c r="H357" s="43">
        <f>_xlfn.XLOOKUP(A357,Class_Players!$A:$A,Class_Players!$F:$F,"")</f>
        <v>13076</v>
      </c>
      <c r="I357" s="44">
        <f t="shared" si="75"/>
        <v>0</v>
      </c>
      <c r="J357" s="43">
        <f t="shared" si="76"/>
        <v>0</v>
      </c>
      <c r="K357" s="44" cm="1">
        <f t="array" ref="K357">IF(D357="Gadget",_xlfn.IFS(I357&gt;=0.2,0.5,I357&gt;=0.1,0.35,I357&gt;=0.05,0.2,TRUE,0),IF(D357="Grenade",_xlfn.IFS(I357&gt;=0.2,1,I357&gt;=0.1,0.7,I357&gt;=0.05,0.4,TRUE,0),0))</f>
        <v>0</v>
      </c>
      <c r="L357" s="57">
        <f t="shared" si="82"/>
        <v>0</v>
      </c>
    </row>
    <row r="358" spans="1:12" ht="15" customHeight="1" x14ac:dyDescent="0.25">
      <c r="A358" s="42" t="str" cm="1">
        <f t="array" ref="A358">IFERROR(INDEX(_xlfn._xlws.FILTER(Class_Players!A:A,Class_Players!B:B="Support"),QUOTIENT(ROW()-ROW($A$2),9)+1),"")</f>
        <v>FinsWishes</v>
      </c>
      <c r="B358" s="42" t="str">
        <f>_xlfn.XLOOKUP(A358,Class_Players!$A:$A,Class_Players!$B:$B,"")</f>
        <v>Support</v>
      </c>
      <c r="C358" s="38" t="str" cm="1">
        <f t="array" ref="C358">INDEX(Lookups!$D$2:$D$10,MOD(ROW()-ROW($B$2),ROWS(Lookups!$D$2:$D$10))+1)</f>
        <v>Deployable Cover</v>
      </c>
      <c r="D358" s="38" t="str">
        <f>_xlfn.XLOOKUP(C358,Analysis_Gadgets!$C:$C,Analysis_Gadgets!$B:$B)</f>
        <v>Gadget</v>
      </c>
      <c r="E358" s="43">
        <v>581</v>
      </c>
      <c r="F358" s="43">
        <f>_xlfn.XLOOKUP(A358,Class_Players!A:A,Class_Players!G:G)</f>
        <v>150</v>
      </c>
      <c r="G358" s="43">
        <f t="shared" si="74"/>
        <v>3.8733333333333335</v>
      </c>
      <c r="H358" s="43">
        <f>_xlfn.XLOOKUP(A358,Class_Players!$A:$A,Class_Players!$F:$F,"")</f>
        <v>13076</v>
      </c>
      <c r="I358" s="44">
        <f t="shared" si="75"/>
        <v>4.4432548179871523E-2</v>
      </c>
      <c r="J358" s="43">
        <f t="shared" si="76"/>
        <v>0</v>
      </c>
      <c r="K358" s="44" cm="1">
        <f t="array" ref="K358">IF(D358="Gadget",_xlfn.IFS(I358&gt;=0.2,0.5,I358&gt;=0.1,0.35,I358&gt;=0.05,0.2,TRUE,0),IF(D358="Grenade",_xlfn.IFS(I358&gt;=0.2,1,I358&gt;=0.1,0.7,I358&gt;=0.05,0.4,TRUE,0),0))</f>
        <v>0</v>
      </c>
      <c r="L358" s="57">
        <f t="shared" si="82"/>
        <v>0</v>
      </c>
    </row>
    <row r="359" spans="1:12" ht="15" customHeight="1" x14ac:dyDescent="0.25">
      <c r="A359" s="42" t="str" cm="1">
        <f t="array" ref="A359">IFERROR(INDEX(_xlfn._xlws.FILTER(Class_Players!A:A,Class_Players!B:B="Support"),QUOTIENT(ROW()-ROW($A$2),9)+1),"")</f>
        <v>FinsWishes</v>
      </c>
      <c r="B359" s="42" t="str">
        <f>_xlfn.XLOOKUP(A359,Class_Players!$A:$A,Class_Players!$B:$B,"")</f>
        <v>Support</v>
      </c>
      <c r="C359" s="38" t="str" cm="1">
        <f t="array" ref="C359">INDEX(Lookups!$D$2:$D$10,MOD(ROW()-ROW($B$2),ROWS(Lookups!$D$2:$D$10))+1)</f>
        <v>Supply Pouch</v>
      </c>
      <c r="D359" s="38" t="str">
        <f>_xlfn.XLOOKUP(C359,Analysis_Gadgets!$C:$C,Analysis_Gadgets!$B:$B)</f>
        <v>Gadget</v>
      </c>
      <c r="E359" s="43">
        <v>4051</v>
      </c>
      <c r="F359" s="43">
        <f>_xlfn.XLOOKUP(A359,Class_Players!A:A,Class_Players!G:G)</f>
        <v>150</v>
      </c>
      <c r="G359" s="43">
        <f t="shared" si="74"/>
        <v>27.006666666666668</v>
      </c>
      <c r="H359" s="43">
        <f>_xlfn.XLOOKUP(A359,Class_Players!$A:$A,Class_Players!$F:$F,"")</f>
        <v>13076</v>
      </c>
      <c r="I359" s="44">
        <f t="shared" si="75"/>
        <v>0.30980422147445702</v>
      </c>
      <c r="J359" s="43">
        <f t="shared" si="76"/>
        <v>1</v>
      </c>
      <c r="K359" s="44" cm="1">
        <f t="array" ref="K359">IF(D359="Gadget",_xlfn.IFS(I359&gt;=0.2,0.5,I359&gt;=0.1,0.35,I359&gt;=0.05,0.2,TRUE,0),IF(D359="Grenade",_xlfn.IFS(I359&gt;=0.2,1,I359&gt;=0.1,0.7,I359&gt;=0.05,0.4,TRUE,0),0))</f>
        <v>0.5</v>
      </c>
      <c r="L359" s="57">
        <f t="shared" si="82"/>
        <v>1</v>
      </c>
    </row>
    <row r="360" spans="1:12" ht="15" customHeight="1" x14ac:dyDescent="0.25">
      <c r="A360" s="42" t="str" cm="1">
        <f t="array" ref="A360">IFERROR(INDEX(_xlfn._xlws.FILTER(Class_Players!A:A,Class_Players!B:B="Support"),QUOTIENT(ROW()-ROW($A$2),9)+1),"")</f>
        <v>FinsWishes</v>
      </c>
      <c r="B360" s="42" t="str">
        <f>_xlfn.XLOOKUP(A360,Class_Players!$A:$A,Class_Players!$B:$B,"")</f>
        <v>Support</v>
      </c>
      <c r="C360" s="38" t="str" cm="1">
        <f t="array" ref="C360">INDEX(Lookups!$D$2:$D$10,MOD(ROW()-ROW($B$2),ROWS(Lookups!$D$2:$D$10))+1)</f>
        <v>Smoke Grenade</v>
      </c>
      <c r="D360" s="38" t="str">
        <f>_xlfn.XLOOKUP(C360,Analysis_Gadgets!$C:$C,Analysis_Gadgets!$B:$B)</f>
        <v>Grenade</v>
      </c>
      <c r="E360" s="43">
        <v>5279</v>
      </c>
      <c r="F360" s="43">
        <f>_xlfn.XLOOKUP(A360,Class_Players!A:A,Class_Players!G:G)</f>
        <v>150</v>
      </c>
      <c r="G360" s="43">
        <f t="shared" si="74"/>
        <v>35.193333333333335</v>
      </c>
      <c r="H360" s="43">
        <f>_xlfn.XLOOKUP(A360,Class_Players!$A:$A,Class_Players!$F:$F,"")</f>
        <v>13076</v>
      </c>
      <c r="I360" s="44">
        <f t="shared" si="75"/>
        <v>0.40371673294585503</v>
      </c>
      <c r="J360" s="43">
        <f t="shared" si="76"/>
        <v>1</v>
      </c>
      <c r="K360" s="44" cm="1">
        <f t="array" ref="K360">IF(D360="Gadget",_xlfn.IFS(I360&gt;=0.2,0.5,I360&gt;=0.1,0.35,I360&gt;=0.05,0.2,TRUE,0),IF(D360="Grenade",_xlfn.IFS(I360&gt;=0.2,1,I360&gt;=0.1,0.7,I360&gt;=0.05,0.4,TRUE,0),0))</f>
        <v>1</v>
      </c>
      <c r="L360" s="57">
        <f t="shared" ref="L360:L361" si="83">IF($K360=0,0,$K360 / SUMIFS($K:$K,$A:$A,$A360,$D:$D,"Grenade"))</f>
        <v>1</v>
      </c>
    </row>
    <row r="361" spans="1:12" ht="15" customHeight="1" x14ac:dyDescent="0.25">
      <c r="A361" s="42" t="str" cm="1">
        <f t="array" ref="A361">IFERROR(INDEX(_xlfn._xlws.FILTER(Class_Players!A:A,Class_Players!B:B="Support"),QUOTIENT(ROW()-ROW($A$2),9)+1),"")</f>
        <v>FinsWishes</v>
      </c>
      <c r="B361" s="42" t="str">
        <f>_xlfn.XLOOKUP(A361,Class_Players!$A:$A,Class_Players!$B:$B,"")</f>
        <v>Support</v>
      </c>
      <c r="C361" s="38" t="str" cm="1">
        <f t="array" ref="C361">INDEX(Lookups!$D$2:$D$10,MOD(ROW()-ROW($B$2),ROWS(Lookups!$D$2:$D$10))+1)</f>
        <v>Incendiary Grenade</v>
      </c>
      <c r="D361" s="38" t="str">
        <f>_xlfn.XLOOKUP(C361,Analysis_Gadgets!$C:$C,Analysis_Gadgets!$B:$B)</f>
        <v>Grenade</v>
      </c>
      <c r="E361" s="43">
        <v>84</v>
      </c>
      <c r="F361" s="43">
        <f>_xlfn.XLOOKUP(A361,Class_Players!A:A,Class_Players!G:G)</f>
        <v>150</v>
      </c>
      <c r="G361" s="43">
        <f t="shared" si="74"/>
        <v>0.56000000000000005</v>
      </c>
      <c r="H361" s="43">
        <f>_xlfn.XLOOKUP(A361,Class_Players!$A:$A,Class_Players!$F:$F,"")</f>
        <v>13076</v>
      </c>
      <c r="I361" s="44">
        <f t="shared" si="75"/>
        <v>6.4239828693790149E-3</v>
      </c>
      <c r="J361" s="43">
        <f t="shared" si="76"/>
        <v>0</v>
      </c>
      <c r="K361" s="44" cm="1">
        <f t="array" ref="K361">IF(D361="Gadget",_xlfn.IFS(I361&gt;=0.2,0.5,I361&gt;=0.1,0.35,I361&gt;=0.05,0.2,TRUE,0),IF(D361="Grenade",_xlfn.IFS(I361&gt;=0.2,1,I361&gt;=0.1,0.7,I361&gt;=0.05,0.4,TRUE,0),0))</f>
        <v>0</v>
      </c>
      <c r="L361" s="57">
        <f t="shared" si="83"/>
        <v>0</v>
      </c>
    </row>
    <row r="362" spans="1:12" ht="15" customHeight="1" x14ac:dyDescent="0.25">
      <c r="A362" s="42" t="str" cm="1">
        <f t="array" ref="A362">IFERROR(INDEX(_xlfn._xlws.FILTER(Class_Players!A:A,Class_Players!B:B="Support"),QUOTIENT(ROW()-ROW($A$2),9)+1),"")</f>
        <v>SaltyMtDew77</v>
      </c>
      <c r="B362" s="42" t="str">
        <f>_xlfn.XLOOKUP(A362,Class_Players!$A:$A,Class_Players!$B:$B,"")</f>
        <v>Support</v>
      </c>
      <c r="C362" s="38" t="str" cm="1">
        <f t="array" ref="C362">INDEX(Lookups!$D$2:$D$10,MOD(ROW()-ROW($B$2),ROWS(Lookups!$D$2:$D$10))+1)</f>
        <v>GPDIS (Grenade intercept system)</v>
      </c>
      <c r="D362" s="38" t="str">
        <f>_xlfn.XLOOKUP(C362,Analysis_Gadgets!$C:$C,Analysis_Gadgets!$B:$B)</f>
        <v>Gadget</v>
      </c>
      <c r="E362" s="43">
        <v>1</v>
      </c>
      <c r="F362" s="43">
        <f>_xlfn.XLOOKUP(A362,Class_Players!A:A,Class_Players!G:G)</f>
        <v>464</v>
      </c>
      <c r="G362" s="43">
        <f t="shared" ref="G362:G370" si="84">IF(F362=0,"",E362/(F362))</f>
        <v>2.1551724137931034E-3</v>
      </c>
      <c r="H362" s="43">
        <f>_xlfn.XLOOKUP(A362,Class_Players!$A:$A,Class_Players!$F:$F,"")</f>
        <v>13041</v>
      </c>
      <c r="I362" s="44">
        <f t="shared" ref="I362:I370" si="85">IF(H362=0,"",E362/H362)</f>
        <v>7.6681236101525951E-5</v>
      </c>
      <c r="J362" s="43">
        <f t="shared" ref="J362:J370" si="86">IF(I362&gt;=0.1,1,0)</f>
        <v>0</v>
      </c>
      <c r="K362" s="44" cm="1">
        <f t="array" ref="K362">IF(D362="Gadget",_xlfn.IFS(I362&gt;=0.2,0.5,I362&gt;=0.1,0.35,I362&gt;=0.05,0.2,TRUE,0),IF(D362="Grenade",_xlfn.IFS(I362&gt;=0.2,1,I362&gt;=0.1,0.7,I362&gt;=0.05,0.4,TRUE,0),0))</f>
        <v>0</v>
      </c>
      <c r="L362" s="57">
        <f t="shared" si="82"/>
        <v>0</v>
      </c>
    </row>
    <row r="363" spans="1:12" ht="15" customHeight="1" x14ac:dyDescent="0.25">
      <c r="A363" s="42" t="str" cm="1">
        <f t="array" ref="A363">IFERROR(INDEX(_xlfn._xlws.FILTER(Class_Players!A:A,Class_Players!B:B="Support"),QUOTIENT(ROW()-ROW($A$2),9)+1),"")</f>
        <v>SaltyMtDew77</v>
      </c>
      <c r="B363" s="42" t="str">
        <f>_xlfn.XLOOKUP(A363,Class_Players!$A:$A,Class_Players!$B:$B,"")</f>
        <v>Support</v>
      </c>
      <c r="C363" s="38" t="str" cm="1">
        <f t="array" ref="C363">INDEX(Lookups!$D$2:$D$10,MOD(ROW()-ROW($B$2),ROWS(Lookups!$D$2:$D$10))+1)</f>
        <v>MP-APS (Missile intercept system)</v>
      </c>
      <c r="D363" s="38" t="str">
        <f>_xlfn.XLOOKUP(C363,Analysis_Gadgets!$C:$C,Analysis_Gadgets!$B:$B)</f>
        <v>Gadget</v>
      </c>
      <c r="E363" s="43">
        <v>3</v>
      </c>
      <c r="F363" s="43">
        <f>_xlfn.XLOOKUP(A363,Class_Players!A:A,Class_Players!G:G)</f>
        <v>464</v>
      </c>
      <c r="G363" s="43">
        <f t="shared" si="84"/>
        <v>6.4655172413793103E-3</v>
      </c>
      <c r="H363" s="43">
        <f>_xlfn.XLOOKUP(A363,Class_Players!$A:$A,Class_Players!$F:$F,"")</f>
        <v>13041</v>
      </c>
      <c r="I363" s="44">
        <f t="shared" si="85"/>
        <v>2.3004370830457787E-4</v>
      </c>
      <c r="J363" s="43">
        <f t="shared" si="86"/>
        <v>0</v>
      </c>
      <c r="K363" s="44" cm="1">
        <f t="array" ref="K363">IF(D363="Gadget",_xlfn.IFS(I363&gt;=0.2,0.5,I363&gt;=0.1,0.35,I363&gt;=0.05,0.2,TRUE,0),IF(D363="Grenade",_xlfn.IFS(I363&gt;=0.2,1,I363&gt;=0.1,0.7,I363&gt;=0.05,0.4,TRUE,0),0))</f>
        <v>0</v>
      </c>
      <c r="L363" s="57">
        <f t="shared" si="82"/>
        <v>0</v>
      </c>
    </row>
    <row r="364" spans="1:12" ht="15" customHeight="1" x14ac:dyDescent="0.25">
      <c r="A364" s="42" t="str" cm="1">
        <f t="array" ref="A364">IFERROR(INDEX(_xlfn._xlws.FILTER(Class_Players!A:A,Class_Players!B:B="Support"),QUOTIENT(ROW()-ROW($A$2),9)+1),"")</f>
        <v>SaltyMtDew77</v>
      </c>
      <c r="B364" s="42" t="str">
        <f>_xlfn.XLOOKUP(A364,Class_Players!$A:$A,Class_Players!$B:$B,"")</f>
        <v>Support</v>
      </c>
      <c r="C364" s="38" t="str" cm="1">
        <f t="array" ref="C364">INDEX(Lookups!$D$2:$D$10,MOD(ROW()-ROW($B$2),ROWS(Lookups!$D$2:$D$10))+1)</f>
        <v>LWCMS (Mortar)</v>
      </c>
      <c r="D364" s="38" t="str">
        <f>_xlfn.XLOOKUP(C364,Analysis_Gadgets!$C:$C,Analysis_Gadgets!$B:$B)</f>
        <v>Gadget</v>
      </c>
      <c r="E364" s="43">
        <v>19</v>
      </c>
      <c r="F364" s="43">
        <f>_xlfn.XLOOKUP(A364,Class_Players!A:A,Class_Players!G:G)</f>
        <v>464</v>
      </c>
      <c r="G364" s="43">
        <f t="shared" si="84"/>
        <v>4.0948275862068964E-2</v>
      </c>
      <c r="H364" s="43">
        <f>_xlfn.XLOOKUP(A364,Class_Players!$A:$A,Class_Players!$F:$F,"")</f>
        <v>13041</v>
      </c>
      <c r="I364" s="44">
        <f t="shared" si="85"/>
        <v>1.4569434859289933E-3</v>
      </c>
      <c r="J364" s="43">
        <f t="shared" si="86"/>
        <v>0</v>
      </c>
      <c r="K364" s="44" cm="1">
        <f t="array" ref="K364">IF(D364="Gadget",_xlfn.IFS(I364&gt;=0.2,0.5,I364&gt;=0.1,0.35,I364&gt;=0.05,0.2,TRUE,0),IF(D364="Grenade",_xlfn.IFS(I364&gt;=0.2,1,I364&gt;=0.1,0.7,I364&gt;=0.05,0.4,TRUE,0),0))</f>
        <v>0</v>
      </c>
      <c r="L364" s="57">
        <f t="shared" si="82"/>
        <v>0</v>
      </c>
    </row>
    <row r="365" spans="1:12" ht="15" customHeight="1" x14ac:dyDescent="0.25">
      <c r="A365" s="42" t="str" cm="1">
        <f t="array" ref="A365">IFERROR(INDEX(_xlfn._xlws.FILTER(Class_Players!A:A,Class_Players!B:B="Support"),QUOTIENT(ROW()-ROW($A$2),9)+1),"")</f>
        <v>SaltyMtDew77</v>
      </c>
      <c r="B365" s="42" t="str">
        <f>_xlfn.XLOOKUP(A365,Class_Players!$A:$A,Class_Players!$B:$B,"")</f>
        <v>Support</v>
      </c>
      <c r="C365" s="38" t="str" cm="1">
        <f t="array" ref="C365">INDEX(Lookups!$D$2:$D$10,MOD(ROW()-ROW($B$2),ROWS(Lookups!$D$2:$D$10))+1)</f>
        <v>M320A1 SMK (Smoke Grenade Launcher)</v>
      </c>
      <c r="D365" s="38" t="str">
        <f>_xlfn.XLOOKUP(C365,Analysis_Gadgets!$C:$C,Analysis_Gadgets!$B:$B)</f>
        <v>Gadget</v>
      </c>
      <c r="E365" s="43">
        <v>2058</v>
      </c>
      <c r="F365" s="43">
        <f>_xlfn.XLOOKUP(A365,Class_Players!A:A,Class_Players!G:G)</f>
        <v>464</v>
      </c>
      <c r="G365" s="43">
        <f t="shared" si="84"/>
        <v>4.4353448275862073</v>
      </c>
      <c r="H365" s="43">
        <f>_xlfn.XLOOKUP(A365,Class_Players!$A:$A,Class_Players!$F:$F,"")</f>
        <v>13041</v>
      </c>
      <c r="I365" s="44">
        <f t="shared" si="85"/>
        <v>0.15780998389694043</v>
      </c>
      <c r="J365" s="43">
        <f t="shared" si="86"/>
        <v>1</v>
      </c>
      <c r="K365" s="44" cm="1">
        <f t="array" ref="K365">IF(D365="Gadget",_xlfn.IFS(I365&gt;=0.2,0.5,I365&gt;=0.1,0.35,I365&gt;=0.05,0.2,TRUE,0),IF(D365="Grenade",_xlfn.IFS(I365&gt;=0.2,1,I365&gt;=0.1,0.7,I365&gt;=0.05,0.4,TRUE,0),0))</f>
        <v>0.35</v>
      </c>
      <c r="L365" s="57">
        <f t="shared" si="82"/>
        <v>1</v>
      </c>
    </row>
    <row r="366" spans="1:12" ht="15" customHeight="1" x14ac:dyDescent="0.25">
      <c r="A366" s="42" t="str" cm="1">
        <f t="array" ref="A366">IFERROR(INDEX(_xlfn._xlws.FILTER(Class_Players!A:A,Class_Players!B:B="Support"),QUOTIENT(ROW()-ROW($A$2),9)+1),"")</f>
        <v>SaltyMtDew77</v>
      </c>
      <c r="B366" s="42" t="str">
        <f>_xlfn.XLOOKUP(A366,Class_Players!$A:$A,Class_Players!$B:$B,"")</f>
        <v>Support</v>
      </c>
      <c r="C366" s="38" t="str" cm="1">
        <f t="array" ref="C366">INDEX(Lookups!$D$2:$D$10,MOD(ROW()-ROW($B$2),ROWS(Lookups!$D$2:$D$10))+1)</f>
        <v>SICH G1 WP (Incendiary Airburst Launcher)</v>
      </c>
      <c r="D366" s="38" t="str">
        <f>_xlfn.XLOOKUP(C366,Analysis_Gadgets!$C:$C,Analysis_Gadgets!$B:$B)</f>
        <v>Gadget</v>
      </c>
      <c r="E366" s="43">
        <v>4</v>
      </c>
      <c r="F366" s="43">
        <f>_xlfn.XLOOKUP(A366,Class_Players!A:A,Class_Players!G:G)</f>
        <v>464</v>
      </c>
      <c r="G366" s="43">
        <f t="shared" si="84"/>
        <v>8.6206896551724137E-3</v>
      </c>
      <c r="H366" s="43">
        <f>_xlfn.XLOOKUP(A366,Class_Players!$A:$A,Class_Players!$F:$F,"")</f>
        <v>13041</v>
      </c>
      <c r="I366" s="44">
        <f t="shared" si="85"/>
        <v>3.067249444061038E-4</v>
      </c>
      <c r="J366" s="43">
        <f t="shared" si="86"/>
        <v>0</v>
      </c>
      <c r="K366" s="44" cm="1">
        <f t="array" ref="K366">IF(D366="Gadget",_xlfn.IFS(I366&gt;=0.2,0.5,I366&gt;=0.1,0.35,I366&gt;=0.05,0.2,TRUE,0),IF(D366="Grenade",_xlfn.IFS(I366&gt;=0.2,1,I366&gt;=0.1,0.7,I366&gt;=0.05,0.4,TRUE,0),0))</f>
        <v>0</v>
      </c>
      <c r="L366" s="57">
        <f t="shared" si="82"/>
        <v>0</v>
      </c>
    </row>
    <row r="367" spans="1:12" ht="15" customHeight="1" x14ac:dyDescent="0.25">
      <c r="A367" s="42" t="str" cm="1">
        <f t="array" ref="A367">IFERROR(INDEX(_xlfn._xlws.FILTER(Class_Players!A:A,Class_Players!B:B="Support"),QUOTIENT(ROW()-ROW($A$2),9)+1),"")</f>
        <v>SaltyMtDew77</v>
      </c>
      <c r="B367" s="42" t="str">
        <f>_xlfn.XLOOKUP(A367,Class_Players!$A:$A,Class_Players!$B:$B,"")</f>
        <v>Support</v>
      </c>
      <c r="C367" s="38" t="str" cm="1">
        <f t="array" ref="C367">INDEX(Lookups!$D$2:$D$10,MOD(ROW()-ROW($B$2),ROWS(Lookups!$D$2:$D$10))+1)</f>
        <v>Deployable Cover</v>
      </c>
      <c r="D367" s="38" t="str">
        <f>_xlfn.XLOOKUP(C367,Analysis_Gadgets!$C:$C,Analysis_Gadgets!$B:$B)</f>
        <v>Gadget</v>
      </c>
      <c r="E367" s="43">
        <v>6</v>
      </c>
      <c r="F367" s="43">
        <f>_xlfn.XLOOKUP(A367,Class_Players!A:A,Class_Players!G:G)</f>
        <v>464</v>
      </c>
      <c r="G367" s="43">
        <f t="shared" si="84"/>
        <v>1.2931034482758621E-2</v>
      </c>
      <c r="H367" s="43">
        <f>_xlfn.XLOOKUP(A367,Class_Players!$A:$A,Class_Players!$F:$F,"")</f>
        <v>13041</v>
      </c>
      <c r="I367" s="44">
        <f t="shared" si="85"/>
        <v>4.6008741660915573E-4</v>
      </c>
      <c r="J367" s="43">
        <f t="shared" si="86"/>
        <v>0</v>
      </c>
      <c r="K367" s="44" cm="1">
        <f t="array" ref="K367">IF(D367="Gadget",_xlfn.IFS(I367&gt;=0.2,0.5,I367&gt;=0.1,0.35,I367&gt;=0.05,0.2,TRUE,0),IF(D367="Grenade",_xlfn.IFS(I367&gt;=0.2,1,I367&gt;=0.1,0.7,I367&gt;=0.05,0.4,TRUE,0),0))</f>
        <v>0</v>
      </c>
      <c r="L367" s="57">
        <f t="shared" si="82"/>
        <v>0</v>
      </c>
    </row>
    <row r="368" spans="1:12" ht="15" customHeight="1" x14ac:dyDescent="0.25">
      <c r="A368" s="42" t="str" cm="1">
        <f t="array" ref="A368">IFERROR(INDEX(_xlfn._xlws.FILTER(Class_Players!A:A,Class_Players!B:B="Support"),QUOTIENT(ROW()-ROW($A$2),9)+1),"")</f>
        <v>SaltyMtDew77</v>
      </c>
      <c r="B368" s="42" t="str">
        <f>_xlfn.XLOOKUP(A368,Class_Players!$A:$A,Class_Players!$B:$B,"")</f>
        <v>Support</v>
      </c>
      <c r="C368" s="38" t="str" cm="1">
        <f t="array" ref="C368">INDEX(Lookups!$D$2:$D$10,MOD(ROW()-ROW($B$2),ROWS(Lookups!$D$2:$D$10))+1)</f>
        <v>Supply Pouch</v>
      </c>
      <c r="D368" s="38" t="str">
        <f>_xlfn.XLOOKUP(C368,Analysis_Gadgets!$C:$C,Analysis_Gadgets!$B:$B)</f>
        <v>Gadget</v>
      </c>
      <c r="E368" s="43">
        <v>0</v>
      </c>
      <c r="F368" s="43">
        <f>_xlfn.XLOOKUP(A368,Class_Players!A:A,Class_Players!G:G)</f>
        <v>464</v>
      </c>
      <c r="G368" s="43">
        <f t="shared" si="84"/>
        <v>0</v>
      </c>
      <c r="H368" s="43">
        <f>_xlfn.XLOOKUP(A368,Class_Players!$A:$A,Class_Players!$F:$F,"")</f>
        <v>13041</v>
      </c>
      <c r="I368" s="44">
        <f t="shared" si="85"/>
        <v>0</v>
      </c>
      <c r="J368" s="43">
        <f t="shared" si="86"/>
        <v>0</v>
      </c>
      <c r="K368" s="44" cm="1">
        <f t="array" ref="K368">IF(D368="Gadget",_xlfn.IFS(I368&gt;=0.2,0.5,I368&gt;=0.1,0.35,I368&gt;=0.05,0.2,TRUE,0),IF(D368="Grenade",_xlfn.IFS(I368&gt;=0.2,1,I368&gt;=0.1,0.7,I368&gt;=0.05,0.4,TRUE,0),0))</f>
        <v>0</v>
      </c>
      <c r="L368" s="57">
        <f t="shared" si="82"/>
        <v>0</v>
      </c>
    </row>
    <row r="369" spans="1:12" ht="15" customHeight="1" x14ac:dyDescent="0.25">
      <c r="A369" s="42" t="str" cm="1">
        <f t="array" ref="A369">IFERROR(INDEX(_xlfn._xlws.FILTER(Class_Players!A:A,Class_Players!B:B="Support"),QUOTIENT(ROW()-ROW($A$2),9)+1),"")</f>
        <v>SaltyMtDew77</v>
      </c>
      <c r="B369" s="42" t="str">
        <f>_xlfn.XLOOKUP(A369,Class_Players!$A:$A,Class_Players!$B:$B,"")</f>
        <v>Support</v>
      </c>
      <c r="C369" s="38" t="str" cm="1">
        <f t="array" ref="C369">INDEX(Lookups!$D$2:$D$10,MOD(ROW()-ROW($B$2),ROWS(Lookups!$D$2:$D$10))+1)</f>
        <v>Smoke Grenade</v>
      </c>
      <c r="D369" s="38" t="str">
        <f>_xlfn.XLOOKUP(C369,Analysis_Gadgets!$C:$C,Analysis_Gadgets!$B:$B)</f>
        <v>Grenade</v>
      </c>
      <c r="E369" s="43">
        <v>3325</v>
      </c>
      <c r="F369" s="43">
        <f>_xlfn.XLOOKUP(A369,Class_Players!A:A,Class_Players!G:G)</f>
        <v>464</v>
      </c>
      <c r="G369" s="43">
        <f t="shared" si="84"/>
        <v>7.1659482758620694</v>
      </c>
      <c r="H369" s="43">
        <f>_xlfn.XLOOKUP(A369,Class_Players!$A:$A,Class_Players!$F:$F,"")</f>
        <v>13041</v>
      </c>
      <c r="I369" s="44">
        <f t="shared" si="85"/>
        <v>0.25496511003757383</v>
      </c>
      <c r="J369" s="43">
        <f t="shared" si="86"/>
        <v>1</v>
      </c>
      <c r="K369" s="44" cm="1">
        <f t="array" ref="K369">IF(D369="Gadget",_xlfn.IFS(I369&gt;=0.2,0.5,I369&gt;=0.1,0.35,I369&gt;=0.05,0.2,TRUE,0),IF(D369="Grenade",_xlfn.IFS(I369&gt;=0.2,1,I369&gt;=0.1,0.7,I369&gt;=0.05,0.4,TRUE,0),0))</f>
        <v>1</v>
      </c>
      <c r="L369" s="57">
        <f t="shared" ref="L369:L370" si="87">IF($K369=0,0,$K369 / SUMIFS($K:$K,$A:$A,$A369,$D:$D,"Grenade"))</f>
        <v>1</v>
      </c>
    </row>
    <row r="370" spans="1:12" ht="15" customHeight="1" x14ac:dyDescent="0.25">
      <c r="A370" s="42" t="str" cm="1">
        <f t="array" ref="A370">IFERROR(INDEX(_xlfn._xlws.FILTER(Class_Players!A:A,Class_Players!B:B="Support"),QUOTIENT(ROW()-ROW($A$2),9)+1),"")</f>
        <v>SaltyMtDew77</v>
      </c>
      <c r="B370" s="42" t="str">
        <f>_xlfn.XLOOKUP(A370,Class_Players!$A:$A,Class_Players!$B:$B,"")</f>
        <v>Support</v>
      </c>
      <c r="C370" s="38" t="str" cm="1">
        <f t="array" ref="C370">INDEX(Lookups!$D$2:$D$10,MOD(ROW()-ROW($B$2),ROWS(Lookups!$D$2:$D$10))+1)</f>
        <v>Incendiary Grenade</v>
      </c>
      <c r="D370" s="38" t="str">
        <f>_xlfn.XLOOKUP(C370,Analysis_Gadgets!$C:$C,Analysis_Gadgets!$B:$B)</f>
        <v>Grenade</v>
      </c>
      <c r="E370" s="43">
        <v>85</v>
      </c>
      <c r="F370" s="43">
        <f>_xlfn.XLOOKUP(A370,Class_Players!A:A,Class_Players!G:G)</f>
        <v>464</v>
      </c>
      <c r="G370" s="43">
        <f t="shared" si="84"/>
        <v>0.18318965517241378</v>
      </c>
      <c r="H370" s="43">
        <f>_xlfn.XLOOKUP(A370,Class_Players!$A:$A,Class_Players!$F:$F,"")</f>
        <v>13041</v>
      </c>
      <c r="I370" s="44">
        <f t="shared" si="85"/>
        <v>6.5179050686297061E-3</v>
      </c>
      <c r="J370" s="43">
        <f t="shared" si="86"/>
        <v>0</v>
      </c>
      <c r="K370" s="44" cm="1">
        <f t="array" ref="K370">IF(D370="Gadget",_xlfn.IFS(I370&gt;=0.2,0.5,I370&gt;=0.1,0.35,I370&gt;=0.05,0.2,TRUE,0),IF(D370="Grenade",_xlfn.IFS(I370&gt;=0.2,1,I370&gt;=0.1,0.7,I370&gt;=0.05,0.4,TRUE,0),0))</f>
        <v>0</v>
      </c>
      <c r="L370" s="57">
        <f t="shared" si="87"/>
        <v>0</v>
      </c>
    </row>
    <row r="371" spans="1:12" ht="15" customHeight="1" x14ac:dyDescent="0.25">
      <c r="A371" s="42" t="str" cm="1">
        <f t="array" ref="A371">IFERROR(INDEX(_xlfn._xlws.FILTER(Class_Players!A:A,Class_Players!B:B="Support"),QUOTIENT(ROW()-ROW($A$2),9)+1),"")</f>
        <v>AG3NTHauser</v>
      </c>
      <c r="B371" s="42" t="str">
        <f>_xlfn.XLOOKUP(A371,Class_Players!$A:$A,Class_Players!$B:$B,"")</f>
        <v>Support</v>
      </c>
      <c r="C371" s="38" t="str" cm="1">
        <f t="array" ref="C371">INDEX(Lookups!$D$2:$D$10,MOD(ROW()-ROW($B$2),ROWS(Lookups!$D$2:$D$10))+1)</f>
        <v>GPDIS (Grenade intercept system)</v>
      </c>
      <c r="D371" s="38" t="str">
        <f>_xlfn.XLOOKUP(C371,Analysis_Gadgets!$C:$C,Analysis_Gadgets!$B:$B)</f>
        <v>Gadget</v>
      </c>
      <c r="E371" s="43">
        <v>144</v>
      </c>
      <c r="F371" s="43">
        <f>_xlfn.XLOOKUP(A371,Class_Players!A:A,Class_Players!G:G)</f>
        <v>222</v>
      </c>
      <c r="G371" s="43">
        <f t="shared" ref="G371:G434" si="88">IF(F371=0,"",E371/(F371))</f>
        <v>0.64864864864864868</v>
      </c>
      <c r="H371" s="43">
        <f>_xlfn.XLOOKUP(A371,Class_Players!$A:$A,Class_Players!$F:$F,"")</f>
        <v>13082</v>
      </c>
      <c r="I371" s="44">
        <f t="shared" ref="I371:I434" si="89">IF(H371=0,"",E371/H371)</f>
        <v>1.1007491209295214E-2</v>
      </c>
      <c r="J371" s="43">
        <f t="shared" ref="J371:J434" si="90">IF(I371&gt;=0.1,1,0)</f>
        <v>0</v>
      </c>
      <c r="K371" s="44" cm="1">
        <f t="array" ref="K371">IF(D371="Gadget",_xlfn.IFS(I371&gt;=0.2,0.5,I371&gt;=0.1,0.35,I371&gt;=0.05,0.2,TRUE,0),IF(D371="Grenade",_xlfn.IFS(I371&gt;=0.2,1,I371&gt;=0.1,0.7,I371&gt;=0.05,0.4,TRUE,0),0))</f>
        <v>0</v>
      </c>
      <c r="L371" s="57">
        <f t="shared" ref="L371:L377" si="91">IF($K371=0,0,$K371 / SUMIFS($K:$K,$A:$A,$A371,$D:$D,"Gadget"))</f>
        <v>0</v>
      </c>
    </row>
    <row r="372" spans="1:12" ht="15" customHeight="1" x14ac:dyDescent="0.25">
      <c r="A372" s="42" t="str" cm="1">
        <f t="array" ref="A372">IFERROR(INDEX(_xlfn._xlws.FILTER(Class_Players!A:A,Class_Players!B:B="Support"),QUOTIENT(ROW()-ROW($A$2),9)+1),"")</f>
        <v>AG3NTHauser</v>
      </c>
      <c r="B372" s="42" t="str">
        <f>_xlfn.XLOOKUP(A372,Class_Players!$A:$A,Class_Players!$B:$B,"")</f>
        <v>Support</v>
      </c>
      <c r="C372" s="38" t="str" cm="1">
        <f t="array" ref="C372">INDEX(Lookups!$D$2:$D$10,MOD(ROW()-ROW($B$2),ROWS(Lookups!$D$2:$D$10))+1)</f>
        <v>MP-APS (Missile intercept system)</v>
      </c>
      <c r="D372" s="38" t="str">
        <f>_xlfn.XLOOKUP(C372,Analysis_Gadgets!$C:$C,Analysis_Gadgets!$B:$B)</f>
        <v>Gadget</v>
      </c>
      <c r="E372" s="43">
        <v>39</v>
      </c>
      <c r="F372" s="43">
        <f>_xlfn.XLOOKUP(A372,Class_Players!A:A,Class_Players!G:G)</f>
        <v>222</v>
      </c>
      <c r="G372" s="43">
        <f t="shared" si="88"/>
        <v>0.17567567567567569</v>
      </c>
      <c r="H372" s="43">
        <f>_xlfn.XLOOKUP(A372,Class_Players!$A:$A,Class_Players!$F:$F,"")</f>
        <v>13082</v>
      </c>
      <c r="I372" s="44">
        <f t="shared" si="89"/>
        <v>2.9811955358507872E-3</v>
      </c>
      <c r="J372" s="43">
        <f t="shared" si="90"/>
        <v>0</v>
      </c>
      <c r="K372" s="44" cm="1">
        <f t="array" ref="K372">IF(D372="Gadget",_xlfn.IFS(I372&gt;=0.2,0.5,I372&gt;=0.1,0.35,I372&gt;=0.05,0.2,TRUE,0),IF(D372="Grenade",_xlfn.IFS(I372&gt;=0.2,1,I372&gt;=0.1,0.7,I372&gt;=0.05,0.4,TRUE,0),0))</f>
        <v>0</v>
      </c>
      <c r="L372" s="57">
        <f t="shared" si="91"/>
        <v>0</v>
      </c>
    </row>
    <row r="373" spans="1:12" ht="15" customHeight="1" x14ac:dyDescent="0.25">
      <c r="A373" s="42" t="str" cm="1">
        <f t="array" ref="A373">IFERROR(INDEX(_xlfn._xlws.FILTER(Class_Players!A:A,Class_Players!B:B="Support"),QUOTIENT(ROW()-ROW($A$2),9)+1),"")</f>
        <v>AG3NTHauser</v>
      </c>
      <c r="B373" s="42" t="str">
        <f>_xlfn.XLOOKUP(A373,Class_Players!$A:$A,Class_Players!$B:$B,"")</f>
        <v>Support</v>
      </c>
      <c r="C373" s="38" t="str" cm="1">
        <f t="array" ref="C373">INDEX(Lookups!$D$2:$D$10,MOD(ROW()-ROW($B$2),ROWS(Lookups!$D$2:$D$10))+1)</f>
        <v>LWCMS (Mortar)</v>
      </c>
      <c r="D373" s="38" t="str">
        <f>_xlfn.XLOOKUP(C373,Analysis_Gadgets!$C:$C,Analysis_Gadgets!$B:$B)</f>
        <v>Gadget</v>
      </c>
      <c r="E373" s="43">
        <v>0</v>
      </c>
      <c r="F373" s="43">
        <f>_xlfn.XLOOKUP(A373,Class_Players!A:A,Class_Players!G:G)</f>
        <v>222</v>
      </c>
      <c r="G373" s="43">
        <f t="shared" si="88"/>
        <v>0</v>
      </c>
      <c r="H373" s="43">
        <f>_xlfn.XLOOKUP(A373,Class_Players!$A:$A,Class_Players!$F:$F,"")</f>
        <v>13082</v>
      </c>
      <c r="I373" s="44">
        <f t="shared" si="89"/>
        <v>0</v>
      </c>
      <c r="J373" s="43">
        <f t="shared" si="90"/>
        <v>0</v>
      </c>
      <c r="K373" s="44" cm="1">
        <f t="array" ref="K373">IF(D373="Gadget",_xlfn.IFS(I373&gt;=0.2,0.5,I373&gt;=0.1,0.35,I373&gt;=0.05,0.2,TRUE,0),IF(D373="Grenade",_xlfn.IFS(I373&gt;=0.2,1,I373&gt;=0.1,0.7,I373&gt;=0.05,0.4,TRUE,0),0))</f>
        <v>0</v>
      </c>
      <c r="L373" s="57">
        <f t="shared" si="91"/>
        <v>0</v>
      </c>
    </row>
    <row r="374" spans="1:12" ht="15" customHeight="1" x14ac:dyDescent="0.25">
      <c r="A374" s="42" t="str" cm="1">
        <f t="array" ref="A374">IFERROR(INDEX(_xlfn._xlws.FILTER(Class_Players!A:A,Class_Players!B:B="Support"),QUOTIENT(ROW()-ROW($A$2),9)+1),"")</f>
        <v>AG3NTHauser</v>
      </c>
      <c r="B374" s="42" t="str">
        <f>_xlfn.XLOOKUP(A374,Class_Players!$A:$A,Class_Players!$B:$B,"")</f>
        <v>Support</v>
      </c>
      <c r="C374" s="38" t="str" cm="1">
        <f t="array" ref="C374">INDEX(Lookups!$D$2:$D$10,MOD(ROW()-ROW($B$2),ROWS(Lookups!$D$2:$D$10))+1)</f>
        <v>M320A1 SMK (Smoke Grenade Launcher)</v>
      </c>
      <c r="D374" s="38" t="str">
        <f>_xlfn.XLOOKUP(C374,Analysis_Gadgets!$C:$C,Analysis_Gadgets!$B:$B)</f>
        <v>Gadget</v>
      </c>
      <c r="E374" s="43">
        <v>1166</v>
      </c>
      <c r="F374" s="43">
        <f>_xlfn.XLOOKUP(A374,Class_Players!A:A,Class_Players!G:G)</f>
        <v>222</v>
      </c>
      <c r="G374" s="43">
        <f t="shared" si="88"/>
        <v>5.2522522522522523</v>
      </c>
      <c r="H374" s="43">
        <f>_xlfn.XLOOKUP(A374,Class_Players!$A:$A,Class_Players!$F:$F,"")</f>
        <v>13082</v>
      </c>
      <c r="I374" s="44">
        <f t="shared" si="89"/>
        <v>8.9130102430820979E-2</v>
      </c>
      <c r="J374" s="43">
        <f t="shared" si="90"/>
        <v>0</v>
      </c>
      <c r="K374" s="44" cm="1">
        <f t="array" ref="K374">IF(D374="Gadget",_xlfn.IFS(I374&gt;=0.2,0.5,I374&gt;=0.1,0.35,I374&gt;=0.05,0.2,TRUE,0),IF(D374="Grenade",_xlfn.IFS(I374&gt;=0.2,1,I374&gt;=0.1,0.7,I374&gt;=0.05,0.4,TRUE,0),0))</f>
        <v>0.2</v>
      </c>
      <c r="L374" s="57">
        <f t="shared" si="91"/>
        <v>1</v>
      </c>
    </row>
    <row r="375" spans="1:12" ht="15" customHeight="1" x14ac:dyDescent="0.25">
      <c r="A375" s="42" t="str" cm="1">
        <f t="array" ref="A375">IFERROR(INDEX(_xlfn._xlws.FILTER(Class_Players!A:A,Class_Players!B:B="Support"),QUOTIENT(ROW()-ROW($A$2),9)+1),"")</f>
        <v>AG3NTHauser</v>
      </c>
      <c r="B375" s="42" t="str">
        <f>_xlfn.XLOOKUP(A375,Class_Players!$A:$A,Class_Players!$B:$B,"")</f>
        <v>Support</v>
      </c>
      <c r="C375" s="38" t="str" cm="1">
        <f t="array" ref="C375">INDEX(Lookups!$D$2:$D$10,MOD(ROW()-ROW($B$2),ROWS(Lookups!$D$2:$D$10))+1)</f>
        <v>SICH G1 WP (Incendiary Airburst Launcher)</v>
      </c>
      <c r="D375" s="38" t="str">
        <f>_xlfn.XLOOKUP(C375,Analysis_Gadgets!$C:$C,Analysis_Gadgets!$B:$B)</f>
        <v>Gadget</v>
      </c>
      <c r="E375" s="43">
        <v>287</v>
      </c>
      <c r="F375" s="43">
        <f>_xlfn.XLOOKUP(A375,Class_Players!A:A,Class_Players!G:G)</f>
        <v>222</v>
      </c>
      <c r="G375" s="43">
        <f t="shared" si="88"/>
        <v>1.2927927927927927</v>
      </c>
      <c r="H375" s="43">
        <f>_xlfn.XLOOKUP(A375,Class_Players!$A:$A,Class_Players!$F:$F,"")</f>
        <v>13082</v>
      </c>
      <c r="I375" s="44">
        <f t="shared" si="89"/>
        <v>2.1938541507414769E-2</v>
      </c>
      <c r="J375" s="43">
        <f t="shared" si="90"/>
        <v>0</v>
      </c>
      <c r="K375" s="44" cm="1">
        <f t="array" ref="K375">IF(D375="Gadget",_xlfn.IFS(I375&gt;=0.2,0.5,I375&gt;=0.1,0.35,I375&gt;=0.05,0.2,TRUE,0),IF(D375="Grenade",_xlfn.IFS(I375&gt;=0.2,1,I375&gt;=0.1,0.7,I375&gt;=0.05,0.4,TRUE,0),0))</f>
        <v>0</v>
      </c>
      <c r="L375" s="57">
        <f t="shared" si="91"/>
        <v>0</v>
      </c>
    </row>
    <row r="376" spans="1:12" ht="15" customHeight="1" x14ac:dyDescent="0.25">
      <c r="A376" s="42" t="str" cm="1">
        <f t="array" ref="A376">IFERROR(INDEX(_xlfn._xlws.FILTER(Class_Players!A:A,Class_Players!B:B="Support"),QUOTIENT(ROW()-ROW($A$2),9)+1),"")</f>
        <v>AG3NTHauser</v>
      </c>
      <c r="B376" s="42" t="str">
        <f>_xlfn.XLOOKUP(A376,Class_Players!$A:$A,Class_Players!$B:$B,"")</f>
        <v>Support</v>
      </c>
      <c r="C376" s="38" t="str" cm="1">
        <f t="array" ref="C376">INDEX(Lookups!$D$2:$D$10,MOD(ROW()-ROW($B$2),ROWS(Lookups!$D$2:$D$10))+1)</f>
        <v>Deployable Cover</v>
      </c>
      <c r="D376" s="38" t="str">
        <f>_xlfn.XLOOKUP(C376,Analysis_Gadgets!$C:$C,Analysis_Gadgets!$B:$B)</f>
        <v>Gadget</v>
      </c>
      <c r="E376" s="43">
        <v>78</v>
      </c>
      <c r="F376" s="43">
        <f>_xlfn.XLOOKUP(A376,Class_Players!A:A,Class_Players!G:G)</f>
        <v>222</v>
      </c>
      <c r="G376" s="43">
        <f t="shared" si="88"/>
        <v>0.35135135135135137</v>
      </c>
      <c r="H376" s="43">
        <f>_xlfn.XLOOKUP(A376,Class_Players!$A:$A,Class_Players!$F:$F,"")</f>
        <v>13082</v>
      </c>
      <c r="I376" s="44">
        <f t="shared" si="89"/>
        <v>5.9623910717015744E-3</v>
      </c>
      <c r="J376" s="43">
        <f t="shared" si="90"/>
        <v>0</v>
      </c>
      <c r="K376" s="44" cm="1">
        <f t="array" ref="K376">IF(D376="Gadget",_xlfn.IFS(I376&gt;=0.2,0.5,I376&gt;=0.1,0.35,I376&gt;=0.05,0.2,TRUE,0),IF(D376="Grenade",_xlfn.IFS(I376&gt;=0.2,1,I376&gt;=0.1,0.7,I376&gt;=0.05,0.4,TRUE,0),0))</f>
        <v>0</v>
      </c>
      <c r="L376" s="57">
        <f t="shared" si="91"/>
        <v>0</v>
      </c>
    </row>
    <row r="377" spans="1:12" ht="15" customHeight="1" x14ac:dyDescent="0.25">
      <c r="A377" s="42" t="str" cm="1">
        <f t="array" ref="A377">IFERROR(INDEX(_xlfn._xlws.FILTER(Class_Players!A:A,Class_Players!B:B="Support"),QUOTIENT(ROW()-ROW($A$2),9)+1),"")</f>
        <v>AG3NTHauser</v>
      </c>
      <c r="B377" s="42" t="str">
        <f>_xlfn.XLOOKUP(A377,Class_Players!$A:$A,Class_Players!$B:$B,"")</f>
        <v>Support</v>
      </c>
      <c r="C377" s="38" t="str" cm="1">
        <f t="array" ref="C377">INDEX(Lookups!$D$2:$D$10,MOD(ROW()-ROW($B$2),ROWS(Lookups!$D$2:$D$10))+1)</f>
        <v>Supply Pouch</v>
      </c>
      <c r="D377" s="38" t="str">
        <f>_xlfn.XLOOKUP(C377,Analysis_Gadgets!$C:$C,Analysis_Gadgets!$B:$B)</f>
        <v>Gadget</v>
      </c>
      <c r="E377" s="43">
        <v>4</v>
      </c>
      <c r="F377" s="43">
        <f>_xlfn.XLOOKUP(A377,Class_Players!A:A,Class_Players!G:G)</f>
        <v>222</v>
      </c>
      <c r="G377" s="43">
        <f t="shared" si="88"/>
        <v>1.8018018018018018E-2</v>
      </c>
      <c r="H377" s="43">
        <f>_xlfn.XLOOKUP(A377,Class_Players!$A:$A,Class_Players!$F:$F,"")</f>
        <v>13082</v>
      </c>
      <c r="I377" s="44">
        <f t="shared" si="89"/>
        <v>3.0576364470264486E-4</v>
      </c>
      <c r="J377" s="43">
        <f t="shared" si="90"/>
        <v>0</v>
      </c>
      <c r="K377" s="44" cm="1">
        <f t="array" ref="K377">IF(D377="Gadget",_xlfn.IFS(I377&gt;=0.2,0.5,I377&gt;=0.1,0.35,I377&gt;=0.05,0.2,TRUE,0),IF(D377="Grenade",_xlfn.IFS(I377&gt;=0.2,1,I377&gt;=0.1,0.7,I377&gt;=0.05,0.4,TRUE,0),0))</f>
        <v>0</v>
      </c>
      <c r="L377" s="57">
        <f t="shared" si="91"/>
        <v>0</v>
      </c>
    </row>
    <row r="378" spans="1:12" ht="15" customHeight="1" x14ac:dyDescent="0.25">
      <c r="A378" s="42" t="str" cm="1">
        <f t="array" ref="A378">IFERROR(INDEX(_xlfn._xlws.FILTER(Class_Players!A:A,Class_Players!B:B="Support"),QUOTIENT(ROW()-ROW($A$2),9)+1),"")</f>
        <v>AG3NTHauser</v>
      </c>
      <c r="B378" s="42" t="str">
        <f>_xlfn.XLOOKUP(A378,Class_Players!$A:$A,Class_Players!$B:$B,"")</f>
        <v>Support</v>
      </c>
      <c r="C378" s="38" t="str" cm="1">
        <f t="array" ref="C378">INDEX(Lookups!$D$2:$D$10,MOD(ROW()-ROW($B$2),ROWS(Lookups!$D$2:$D$10))+1)</f>
        <v>Smoke Grenade</v>
      </c>
      <c r="D378" s="38" t="str">
        <f>_xlfn.XLOOKUP(C378,Analysis_Gadgets!$C:$C,Analysis_Gadgets!$B:$B)</f>
        <v>Grenade</v>
      </c>
      <c r="E378" s="43">
        <v>50</v>
      </c>
      <c r="F378" s="43">
        <f>_xlfn.XLOOKUP(A378,Class_Players!A:A,Class_Players!G:G)</f>
        <v>222</v>
      </c>
      <c r="G378" s="43">
        <f t="shared" si="88"/>
        <v>0.22522522522522523</v>
      </c>
      <c r="H378" s="43">
        <f>_xlfn.XLOOKUP(A378,Class_Players!$A:$A,Class_Players!$F:$F,"")</f>
        <v>13082</v>
      </c>
      <c r="I378" s="44">
        <f t="shared" si="89"/>
        <v>3.8220455587830607E-3</v>
      </c>
      <c r="J378" s="43">
        <f t="shared" si="90"/>
        <v>0</v>
      </c>
      <c r="K378" s="44" cm="1">
        <f t="array" ref="K378">IF(D378="Gadget",_xlfn.IFS(I378&gt;=0.2,0.5,I378&gt;=0.1,0.35,I378&gt;=0.05,0.2,TRUE,0),IF(D378="Grenade",_xlfn.IFS(I378&gt;=0.2,1,I378&gt;=0.1,0.7,I378&gt;=0.05,0.4,TRUE,0),0))</f>
        <v>0</v>
      </c>
      <c r="L378" s="57">
        <f t="shared" ref="L378:L379" si="92">IF($K378=0,0,$K378 / SUMIFS($K:$K,$A:$A,$A378,$D:$D,"Grenade"))</f>
        <v>0</v>
      </c>
    </row>
    <row r="379" spans="1:12" ht="15" customHeight="1" x14ac:dyDescent="0.25">
      <c r="A379" s="42" t="str" cm="1">
        <f t="array" ref="A379">IFERROR(INDEX(_xlfn._xlws.FILTER(Class_Players!A:A,Class_Players!B:B="Support"),QUOTIENT(ROW()-ROW($A$2),9)+1),"")</f>
        <v>AG3NTHauser</v>
      </c>
      <c r="B379" s="42" t="str">
        <f>_xlfn.XLOOKUP(A379,Class_Players!$A:$A,Class_Players!$B:$B,"")</f>
        <v>Support</v>
      </c>
      <c r="C379" s="38" t="str" cm="1">
        <f t="array" ref="C379">INDEX(Lookups!$D$2:$D$10,MOD(ROW()-ROW($B$2),ROWS(Lookups!$D$2:$D$10))+1)</f>
        <v>Incendiary Grenade</v>
      </c>
      <c r="D379" s="38" t="str">
        <f>_xlfn.XLOOKUP(C379,Analysis_Gadgets!$C:$C,Analysis_Gadgets!$B:$B)</f>
        <v>Grenade</v>
      </c>
      <c r="E379" s="43">
        <v>874</v>
      </c>
      <c r="F379" s="43">
        <f>_xlfn.XLOOKUP(A379,Class_Players!A:A,Class_Players!G:G)</f>
        <v>222</v>
      </c>
      <c r="G379" s="43">
        <f t="shared" si="88"/>
        <v>3.9369369369369371</v>
      </c>
      <c r="H379" s="43">
        <f>_xlfn.XLOOKUP(A379,Class_Players!$A:$A,Class_Players!$F:$F,"")</f>
        <v>13082</v>
      </c>
      <c r="I379" s="44">
        <f t="shared" si="89"/>
        <v>6.6809356367527897E-2</v>
      </c>
      <c r="J379" s="43">
        <f t="shared" si="90"/>
        <v>0</v>
      </c>
      <c r="K379" s="44" cm="1">
        <f t="array" ref="K379">IF(D379="Gadget",_xlfn.IFS(I379&gt;=0.2,0.5,I379&gt;=0.1,0.35,I379&gt;=0.05,0.2,TRUE,0),IF(D379="Grenade",_xlfn.IFS(I379&gt;=0.2,1,I379&gt;=0.1,0.7,I379&gt;=0.05,0.4,TRUE,0),0))</f>
        <v>0.4</v>
      </c>
      <c r="L379" s="57">
        <f t="shared" si="92"/>
        <v>1</v>
      </c>
    </row>
    <row r="380" spans="1:12" ht="15" customHeight="1" x14ac:dyDescent="0.25">
      <c r="A380" s="42" t="str" cm="1">
        <f t="array" ref="A380">IFERROR(INDEX(_xlfn._xlws.FILTER(Class_Players!A:A,Class_Players!B:B="Support"),QUOTIENT(ROW()-ROW($A$2),9)+1),"")</f>
        <v>YUZURU</v>
      </c>
      <c r="B380" s="42" t="str">
        <f>_xlfn.XLOOKUP(A380,Class_Players!$A:$A,Class_Players!$B:$B,"")</f>
        <v>Support</v>
      </c>
      <c r="C380" s="38" t="str" cm="1">
        <f t="array" ref="C380">INDEX(Lookups!$D$2:$D$10,MOD(ROW()-ROW($B$2),ROWS(Lookups!$D$2:$D$10))+1)</f>
        <v>GPDIS (Grenade intercept system)</v>
      </c>
      <c r="D380" s="38" t="str">
        <f>_xlfn.XLOOKUP(C380,Analysis_Gadgets!$C:$C,Analysis_Gadgets!$B:$B)</f>
        <v>Gadget</v>
      </c>
      <c r="E380" s="43">
        <v>164</v>
      </c>
      <c r="F380" s="43">
        <f>_xlfn.XLOOKUP(A380,Class_Players!A:A,Class_Players!G:G)</f>
        <v>301</v>
      </c>
      <c r="G380" s="43">
        <f t="shared" si="88"/>
        <v>0.54485049833887045</v>
      </c>
      <c r="H380" s="43">
        <f>_xlfn.XLOOKUP(A380,Class_Players!$A:$A,Class_Players!$F:$F,"")</f>
        <v>12911</v>
      </c>
      <c r="I380" s="44">
        <f t="shared" si="89"/>
        <v>1.2702346836031291E-2</v>
      </c>
      <c r="J380" s="43">
        <f t="shared" si="90"/>
        <v>0</v>
      </c>
      <c r="K380" s="44" cm="1">
        <f t="array" ref="K380">IF(D380="Gadget",_xlfn.IFS(I380&gt;=0.2,0.5,I380&gt;=0.1,0.35,I380&gt;=0.05,0.2,TRUE,0),IF(D380="Grenade",_xlfn.IFS(I380&gt;=0.2,1,I380&gt;=0.1,0.7,I380&gt;=0.05,0.4,TRUE,0),0))</f>
        <v>0</v>
      </c>
      <c r="L380" s="57">
        <f t="shared" ref="L380:L386" si="93">IF($K380=0,0,$K380 / SUMIFS($K:$K,$A:$A,$A380,$D:$D,"Gadget"))</f>
        <v>0</v>
      </c>
    </row>
    <row r="381" spans="1:12" ht="15" customHeight="1" x14ac:dyDescent="0.25">
      <c r="A381" s="42" t="str" cm="1">
        <f t="array" ref="A381">IFERROR(INDEX(_xlfn._xlws.FILTER(Class_Players!A:A,Class_Players!B:B="Support"),QUOTIENT(ROW()-ROW($A$2),9)+1),"")</f>
        <v>YUZURU</v>
      </c>
      <c r="B381" s="42" t="str">
        <f>_xlfn.XLOOKUP(A381,Class_Players!$A:$A,Class_Players!$B:$B,"")</f>
        <v>Support</v>
      </c>
      <c r="C381" s="38" t="str" cm="1">
        <f t="array" ref="C381">INDEX(Lookups!$D$2:$D$10,MOD(ROW()-ROW($B$2),ROWS(Lookups!$D$2:$D$10))+1)</f>
        <v>MP-APS (Missile intercept system)</v>
      </c>
      <c r="D381" s="38" t="str">
        <f>_xlfn.XLOOKUP(C381,Analysis_Gadgets!$C:$C,Analysis_Gadgets!$B:$B)</f>
        <v>Gadget</v>
      </c>
      <c r="E381" s="43">
        <v>16</v>
      </c>
      <c r="F381" s="43">
        <f>_xlfn.XLOOKUP(A381,Class_Players!A:A,Class_Players!G:G)</f>
        <v>301</v>
      </c>
      <c r="G381" s="43">
        <f t="shared" si="88"/>
        <v>5.3156146179401995E-2</v>
      </c>
      <c r="H381" s="43">
        <f>_xlfn.XLOOKUP(A381,Class_Players!$A:$A,Class_Players!$F:$F,"")</f>
        <v>12911</v>
      </c>
      <c r="I381" s="44">
        <f t="shared" si="89"/>
        <v>1.2392533498567114E-3</v>
      </c>
      <c r="J381" s="43">
        <f t="shared" si="90"/>
        <v>0</v>
      </c>
      <c r="K381" s="44" cm="1">
        <f t="array" ref="K381">IF(D381="Gadget",_xlfn.IFS(I381&gt;=0.2,0.5,I381&gt;=0.1,0.35,I381&gt;=0.05,0.2,TRUE,0),IF(D381="Grenade",_xlfn.IFS(I381&gt;=0.2,1,I381&gt;=0.1,0.7,I381&gt;=0.05,0.4,TRUE,0),0))</f>
        <v>0</v>
      </c>
      <c r="L381" s="57">
        <f t="shared" si="93"/>
        <v>0</v>
      </c>
    </row>
    <row r="382" spans="1:12" ht="15" customHeight="1" x14ac:dyDescent="0.25">
      <c r="A382" s="42" t="str" cm="1">
        <f t="array" ref="A382">IFERROR(INDEX(_xlfn._xlws.FILTER(Class_Players!A:A,Class_Players!B:B="Support"),QUOTIENT(ROW()-ROW($A$2),9)+1),"")</f>
        <v>YUZURU</v>
      </c>
      <c r="B382" s="42" t="str">
        <f>_xlfn.XLOOKUP(A382,Class_Players!$A:$A,Class_Players!$B:$B,"")</f>
        <v>Support</v>
      </c>
      <c r="C382" s="38" t="str" cm="1">
        <f t="array" ref="C382">INDEX(Lookups!$D$2:$D$10,MOD(ROW()-ROW($B$2),ROWS(Lookups!$D$2:$D$10))+1)</f>
        <v>LWCMS (Mortar)</v>
      </c>
      <c r="D382" s="38" t="str">
        <f>_xlfn.XLOOKUP(C382,Analysis_Gadgets!$C:$C,Analysis_Gadgets!$B:$B)</f>
        <v>Gadget</v>
      </c>
      <c r="E382" s="43">
        <v>6</v>
      </c>
      <c r="F382" s="43">
        <f>_xlfn.XLOOKUP(A382,Class_Players!A:A,Class_Players!G:G)</f>
        <v>301</v>
      </c>
      <c r="G382" s="43">
        <f t="shared" si="88"/>
        <v>1.9933554817275746E-2</v>
      </c>
      <c r="H382" s="43">
        <f>_xlfn.XLOOKUP(A382,Class_Players!$A:$A,Class_Players!$F:$F,"")</f>
        <v>12911</v>
      </c>
      <c r="I382" s="44">
        <f t="shared" si="89"/>
        <v>4.6472000619626676E-4</v>
      </c>
      <c r="J382" s="43">
        <f t="shared" si="90"/>
        <v>0</v>
      </c>
      <c r="K382" s="44" cm="1">
        <f t="array" ref="K382">IF(D382="Gadget",_xlfn.IFS(I382&gt;=0.2,0.5,I382&gt;=0.1,0.35,I382&gt;=0.05,0.2,TRUE,0),IF(D382="Grenade",_xlfn.IFS(I382&gt;=0.2,1,I382&gt;=0.1,0.7,I382&gt;=0.05,0.4,TRUE,0),0))</f>
        <v>0</v>
      </c>
      <c r="L382" s="57">
        <f t="shared" si="93"/>
        <v>0</v>
      </c>
    </row>
    <row r="383" spans="1:12" ht="15" customHeight="1" x14ac:dyDescent="0.25">
      <c r="A383" s="42" t="str" cm="1">
        <f t="array" ref="A383">IFERROR(INDEX(_xlfn._xlws.FILTER(Class_Players!A:A,Class_Players!B:B="Support"),QUOTIENT(ROW()-ROW($A$2),9)+1),"")</f>
        <v>YUZURU</v>
      </c>
      <c r="B383" s="42" t="str">
        <f>_xlfn.XLOOKUP(A383,Class_Players!$A:$A,Class_Players!$B:$B,"")</f>
        <v>Support</v>
      </c>
      <c r="C383" s="38" t="str" cm="1">
        <f t="array" ref="C383">INDEX(Lookups!$D$2:$D$10,MOD(ROW()-ROW($B$2),ROWS(Lookups!$D$2:$D$10))+1)</f>
        <v>M320A1 SMK (Smoke Grenade Launcher)</v>
      </c>
      <c r="D383" s="38" t="str">
        <f>_xlfn.XLOOKUP(C383,Analysis_Gadgets!$C:$C,Analysis_Gadgets!$B:$B)</f>
        <v>Gadget</v>
      </c>
      <c r="E383" s="43">
        <v>4028</v>
      </c>
      <c r="F383" s="43">
        <f>_xlfn.XLOOKUP(A383,Class_Players!A:A,Class_Players!G:G)</f>
        <v>301</v>
      </c>
      <c r="G383" s="43">
        <f t="shared" si="88"/>
        <v>13.382059800664452</v>
      </c>
      <c r="H383" s="43">
        <f>_xlfn.XLOOKUP(A383,Class_Players!$A:$A,Class_Players!$F:$F,"")</f>
        <v>12911</v>
      </c>
      <c r="I383" s="44">
        <f t="shared" si="89"/>
        <v>0.31198203082642706</v>
      </c>
      <c r="J383" s="43">
        <f t="shared" si="90"/>
        <v>1</v>
      </c>
      <c r="K383" s="44" cm="1">
        <f t="array" ref="K383">IF(D383="Gadget",_xlfn.IFS(I383&gt;=0.2,0.5,I383&gt;=0.1,0.35,I383&gt;=0.05,0.2,TRUE,0),IF(D383="Grenade",_xlfn.IFS(I383&gt;=0.2,1,I383&gt;=0.1,0.7,I383&gt;=0.05,0.4,TRUE,0),0))</f>
        <v>0.5</v>
      </c>
      <c r="L383" s="57">
        <f t="shared" si="93"/>
        <v>0.37037037037037035</v>
      </c>
    </row>
    <row r="384" spans="1:12" ht="15" customHeight="1" x14ac:dyDescent="0.25">
      <c r="A384" s="42" t="str" cm="1">
        <f t="array" ref="A384">IFERROR(INDEX(_xlfn._xlws.FILTER(Class_Players!A:A,Class_Players!B:B="Support"),QUOTIENT(ROW()-ROW($A$2),9)+1),"")</f>
        <v>YUZURU</v>
      </c>
      <c r="B384" s="42" t="str">
        <f>_xlfn.XLOOKUP(A384,Class_Players!$A:$A,Class_Players!$B:$B,"")</f>
        <v>Support</v>
      </c>
      <c r="C384" s="38" t="str" cm="1">
        <f t="array" ref="C384">INDEX(Lookups!$D$2:$D$10,MOD(ROW()-ROW($B$2),ROWS(Lookups!$D$2:$D$10))+1)</f>
        <v>SICH G1 WP (Incendiary Airburst Launcher)</v>
      </c>
      <c r="D384" s="38" t="str">
        <f>_xlfn.XLOOKUP(C384,Analysis_Gadgets!$C:$C,Analysis_Gadgets!$B:$B)</f>
        <v>Gadget</v>
      </c>
      <c r="E384" s="43">
        <v>494</v>
      </c>
      <c r="F384" s="43">
        <f>_xlfn.XLOOKUP(A384,Class_Players!A:A,Class_Players!G:G)</f>
        <v>301</v>
      </c>
      <c r="G384" s="43">
        <f t="shared" si="88"/>
        <v>1.6411960132890366</v>
      </c>
      <c r="H384" s="43">
        <f>_xlfn.XLOOKUP(A384,Class_Players!$A:$A,Class_Players!$F:$F,"")</f>
        <v>12911</v>
      </c>
      <c r="I384" s="44">
        <f t="shared" si="89"/>
        <v>3.8261947176825961E-2</v>
      </c>
      <c r="J384" s="43">
        <f t="shared" si="90"/>
        <v>0</v>
      </c>
      <c r="K384" s="44" cm="1">
        <f t="array" ref="K384">IF(D384="Gadget",_xlfn.IFS(I384&gt;=0.2,0.5,I384&gt;=0.1,0.35,I384&gt;=0.05,0.2,TRUE,0),IF(D384="Grenade",_xlfn.IFS(I384&gt;=0.2,1,I384&gt;=0.1,0.7,I384&gt;=0.05,0.4,TRUE,0),0))</f>
        <v>0</v>
      </c>
      <c r="L384" s="57">
        <f t="shared" si="93"/>
        <v>0</v>
      </c>
    </row>
    <row r="385" spans="1:12" ht="15" customHeight="1" x14ac:dyDescent="0.25">
      <c r="A385" s="42" t="str" cm="1">
        <f t="array" ref="A385">IFERROR(INDEX(_xlfn._xlws.FILTER(Class_Players!A:A,Class_Players!B:B="Support"),QUOTIENT(ROW()-ROW($A$2),9)+1),"")</f>
        <v>YUZURU</v>
      </c>
      <c r="B385" s="42" t="str">
        <f>_xlfn.XLOOKUP(A385,Class_Players!$A:$A,Class_Players!$B:$B,"")</f>
        <v>Support</v>
      </c>
      <c r="C385" s="38" t="str" cm="1">
        <f t="array" ref="C385">INDEX(Lookups!$D$2:$D$10,MOD(ROW()-ROW($B$2),ROWS(Lookups!$D$2:$D$10))+1)</f>
        <v>Deployable Cover</v>
      </c>
      <c r="D385" s="38" t="str">
        <f>_xlfn.XLOOKUP(C385,Analysis_Gadgets!$C:$C,Analysis_Gadgets!$B:$B)</f>
        <v>Gadget</v>
      </c>
      <c r="E385" s="43">
        <v>2508</v>
      </c>
      <c r="F385" s="43">
        <f>_xlfn.XLOOKUP(A385,Class_Players!A:A,Class_Players!G:G)</f>
        <v>301</v>
      </c>
      <c r="G385" s="43">
        <f t="shared" si="88"/>
        <v>8.3322259136212633</v>
      </c>
      <c r="H385" s="43">
        <f>_xlfn.XLOOKUP(A385,Class_Players!$A:$A,Class_Players!$F:$F,"")</f>
        <v>12911</v>
      </c>
      <c r="I385" s="44">
        <f t="shared" si="89"/>
        <v>0.19425296259003949</v>
      </c>
      <c r="J385" s="43">
        <f t="shared" si="90"/>
        <v>1</v>
      </c>
      <c r="K385" s="44" cm="1">
        <f t="array" ref="K385">IF(D385="Gadget",_xlfn.IFS(I385&gt;=0.2,0.5,I385&gt;=0.1,0.35,I385&gt;=0.05,0.2,TRUE,0),IF(D385="Grenade",_xlfn.IFS(I385&gt;=0.2,1,I385&gt;=0.1,0.7,I385&gt;=0.05,0.4,TRUE,0),0))</f>
        <v>0.35</v>
      </c>
      <c r="L385" s="57">
        <f t="shared" si="93"/>
        <v>0.25925925925925924</v>
      </c>
    </row>
    <row r="386" spans="1:12" ht="15" customHeight="1" x14ac:dyDescent="0.25">
      <c r="A386" s="42" t="str" cm="1">
        <f t="array" ref="A386">IFERROR(INDEX(_xlfn._xlws.FILTER(Class_Players!A:A,Class_Players!B:B="Support"),QUOTIENT(ROW()-ROW($A$2),9)+1),"")</f>
        <v>YUZURU</v>
      </c>
      <c r="B386" s="42" t="str">
        <f>_xlfn.XLOOKUP(A386,Class_Players!$A:$A,Class_Players!$B:$B,"")</f>
        <v>Support</v>
      </c>
      <c r="C386" s="38" t="str" cm="1">
        <f t="array" ref="C386">INDEX(Lookups!$D$2:$D$10,MOD(ROW()-ROW($B$2),ROWS(Lookups!$D$2:$D$10))+1)</f>
        <v>Supply Pouch</v>
      </c>
      <c r="D386" s="38" t="str">
        <f>_xlfn.XLOOKUP(C386,Analysis_Gadgets!$C:$C,Analysis_Gadgets!$B:$B)</f>
        <v>Gadget</v>
      </c>
      <c r="E386" s="43">
        <v>12018</v>
      </c>
      <c r="F386" s="43">
        <f>_xlfn.XLOOKUP(A386,Class_Players!A:A,Class_Players!G:G)</f>
        <v>301</v>
      </c>
      <c r="G386" s="43">
        <f t="shared" si="88"/>
        <v>39.926910299003325</v>
      </c>
      <c r="H386" s="43">
        <f>_xlfn.XLOOKUP(A386,Class_Players!$A:$A,Class_Players!$F:$F,"")</f>
        <v>12911</v>
      </c>
      <c r="I386" s="44">
        <f t="shared" si="89"/>
        <v>0.93083417241112232</v>
      </c>
      <c r="J386" s="43">
        <f t="shared" si="90"/>
        <v>1</v>
      </c>
      <c r="K386" s="44" cm="1">
        <f t="array" ref="K386">IF(D386="Gadget",_xlfn.IFS(I386&gt;=0.2,0.5,I386&gt;=0.1,0.35,I386&gt;=0.05,0.2,TRUE,0),IF(D386="Grenade",_xlfn.IFS(I386&gt;=0.2,1,I386&gt;=0.1,0.7,I386&gt;=0.05,0.4,TRUE,0),0))</f>
        <v>0.5</v>
      </c>
      <c r="L386" s="57">
        <f t="shared" si="93"/>
        <v>0.37037037037037035</v>
      </c>
    </row>
    <row r="387" spans="1:12" ht="15" customHeight="1" x14ac:dyDescent="0.25">
      <c r="A387" s="42" t="str" cm="1">
        <f t="array" ref="A387">IFERROR(INDEX(_xlfn._xlws.FILTER(Class_Players!A:A,Class_Players!B:B="Support"),QUOTIENT(ROW()-ROW($A$2),9)+1),"")</f>
        <v>YUZURU</v>
      </c>
      <c r="B387" s="42" t="str">
        <f>_xlfn.XLOOKUP(A387,Class_Players!$A:$A,Class_Players!$B:$B,"")</f>
        <v>Support</v>
      </c>
      <c r="C387" s="38" t="str" cm="1">
        <f t="array" ref="C387">INDEX(Lookups!$D$2:$D$10,MOD(ROW()-ROW($B$2),ROWS(Lookups!$D$2:$D$10))+1)</f>
        <v>Smoke Grenade</v>
      </c>
      <c r="D387" s="38" t="str">
        <f>_xlfn.XLOOKUP(C387,Analysis_Gadgets!$C:$C,Analysis_Gadgets!$B:$B)</f>
        <v>Grenade</v>
      </c>
      <c r="E387" s="43">
        <v>7001</v>
      </c>
      <c r="F387" s="43">
        <f>_xlfn.XLOOKUP(A387,Class_Players!A:A,Class_Players!G:G)</f>
        <v>301</v>
      </c>
      <c r="G387" s="43">
        <f t="shared" si="88"/>
        <v>23.259136212624586</v>
      </c>
      <c r="H387" s="43">
        <f>_xlfn.XLOOKUP(A387,Class_Players!$A:$A,Class_Players!$F:$F,"")</f>
        <v>12911</v>
      </c>
      <c r="I387" s="44">
        <f t="shared" si="89"/>
        <v>0.5422507938966773</v>
      </c>
      <c r="J387" s="43">
        <f t="shared" si="90"/>
        <v>1</v>
      </c>
      <c r="K387" s="44" cm="1">
        <f t="array" ref="K387">IF(D387="Gadget",_xlfn.IFS(I387&gt;=0.2,0.5,I387&gt;=0.1,0.35,I387&gt;=0.05,0.2,TRUE,0),IF(D387="Grenade",_xlfn.IFS(I387&gt;=0.2,1,I387&gt;=0.1,0.7,I387&gt;=0.05,0.4,TRUE,0),0))</f>
        <v>1</v>
      </c>
      <c r="L387" s="57">
        <f t="shared" ref="L387:L388" si="94">IF($K387=0,0,$K387 / SUMIFS($K:$K,$A:$A,$A387,$D:$D,"Grenade"))</f>
        <v>0.5</v>
      </c>
    </row>
    <row r="388" spans="1:12" ht="15" customHeight="1" x14ac:dyDescent="0.25">
      <c r="A388" s="42" t="str" cm="1">
        <f t="array" ref="A388">IFERROR(INDEX(_xlfn._xlws.FILTER(Class_Players!A:A,Class_Players!B:B="Support"),QUOTIENT(ROW()-ROW($A$2),9)+1),"")</f>
        <v>YUZURU</v>
      </c>
      <c r="B388" s="42" t="str">
        <f>_xlfn.XLOOKUP(A388,Class_Players!$A:$A,Class_Players!$B:$B,"")</f>
        <v>Support</v>
      </c>
      <c r="C388" s="38" t="str" cm="1">
        <f t="array" ref="C388">INDEX(Lookups!$D$2:$D$10,MOD(ROW()-ROW($B$2),ROWS(Lookups!$D$2:$D$10))+1)</f>
        <v>Incendiary Grenade</v>
      </c>
      <c r="D388" s="38" t="str">
        <f>_xlfn.XLOOKUP(C388,Analysis_Gadgets!$C:$C,Analysis_Gadgets!$B:$B)</f>
        <v>Grenade</v>
      </c>
      <c r="E388" s="43">
        <v>3250</v>
      </c>
      <c r="F388" s="43">
        <f>_xlfn.XLOOKUP(A388,Class_Players!A:A,Class_Players!G:G)</f>
        <v>301</v>
      </c>
      <c r="G388" s="43">
        <f t="shared" si="88"/>
        <v>10.79734219269103</v>
      </c>
      <c r="H388" s="43">
        <f>_xlfn.XLOOKUP(A388,Class_Players!$A:$A,Class_Players!$F:$F,"")</f>
        <v>12911</v>
      </c>
      <c r="I388" s="44">
        <f t="shared" si="89"/>
        <v>0.25172333668964447</v>
      </c>
      <c r="J388" s="43">
        <f t="shared" si="90"/>
        <v>1</v>
      </c>
      <c r="K388" s="44" cm="1">
        <f t="array" ref="K388">IF(D388="Gadget",_xlfn.IFS(I388&gt;=0.2,0.5,I388&gt;=0.1,0.35,I388&gt;=0.05,0.2,TRUE,0),IF(D388="Grenade",_xlfn.IFS(I388&gt;=0.2,1,I388&gt;=0.1,0.7,I388&gt;=0.05,0.4,TRUE,0),0))</f>
        <v>1</v>
      </c>
      <c r="L388" s="57">
        <f t="shared" si="94"/>
        <v>0.5</v>
      </c>
    </row>
    <row r="389" spans="1:12" ht="15" customHeight="1" x14ac:dyDescent="0.25">
      <c r="A389" s="42" t="str" cm="1">
        <f t="array" ref="A389">IFERROR(INDEX(_xlfn._xlws.FILTER(Class_Players!A:A,Class_Players!B:B="Support"),QUOTIENT(ROW()-ROW($A$2),9)+1),"")</f>
        <v>sasquatchseesu</v>
      </c>
      <c r="B389" s="42" t="str">
        <f>_xlfn.XLOOKUP(A389,Class_Players!$A:$A,Class_Players!$B:$B,"")</f>
        <v>Support</v>
      </c>
      <c r="C389" s="38" t="str" cm="1">
        <f t="array" ref="C389">INDEX(Lookups!$D$2:$D$10,MOD(ROW()-ROW($B$2),ROWS(Lookups!$D$2:$D$10))+1)</f>
        <v>GPDIS (Grenade intercept system)</v>
      </c>
      <c r="D389" s="38" t="str">
        <f>_xlfn.XLOOKUP(C389,Analysis_Gadgets!$C:$C,Analysis_Gadgets!$B:$B)</f>
        <v>Gadget</v>
      </c>
      <c r="E389" s="43">
        <v>156</v>
      </c>
      <c r="F389" s="43">
        <f>_xlfn.XLOOKUP(A389,Class_Players!A:A,Class_Players!G:G)</f>
        <v>581</v>
      </c>
      <c r="G389" s="43">
        <f t="shared" si="88"/>
        <v>0.26850258175559383</v>
      </c>
      <c r="H389" s="43">
        <f>_xlfn.XLOOKUP(A389,Class_Players!$A:$A,Class_Players!$F:$F,"")</f>
        <v>12875</v>
      </c>
      <c r="I389" s="44">
        <f t="shared" si="89"/>
        <v>1.2116504854368932E-2</v>
      </c>
      <c r="J389" s="43">
        <f t="shared" si="90"/>
        <v>0</v>
      </c>
      <c r="K389" s="44" cm="1">
        <f t="array" ref="K389">IF(D389="Gadget",_xlfn.IFS(I389&gt;=0.2,0.5,I389&gt;=0.1,0.35,I389&gt;=0.05,0.2,TRUE,0),IF(D389="Grenade",_xlfn.IFS(I389&gt;=0.2,1,I389&gt;=0.1,0.7,I389&gt;=0.05,0.4,TRUE,0),0))</f>
        <v>0</v>
      </c>
      <c r="L389" s="57">
        <f t="shared" ref="L389:L395" si="95">IF($K389=0,0,$K389 / SUMIFS($K:$K,$A:$A,$A389,$D:$D,"Gadget"))</f>
        <v>0</v>
      </c>
    </row>
    <row r="390" spans="1:12" ht="15" customHeight="1" x14ac:dyDescent="0.25">
      <c r="A390" s="42" t="str" cm="1">
        <f t="array" ref="A390">IFERROR(INDEX(_xlfn._xlws.FILTER(Class_Players!A:A,Class_Players!B:B="Support"),QUOTIENT(ROW()-ROW($A$2),9)+1),"")</f>
        <v>sasquatchseesu</v>
      </c>
      <c r="B390" s="42" t="str">
        <f>_xlfn.XLOOKUP(A390,Class_Players!$A:$A,Class_Players!$B:$B,"")</f>
        <v>Support</v>
      </c>
      <c r="C390" s="38" t="str" cm="1">
        <f t="array" ref="C390">INDEX(Lookups!$D$2:$D$10,MOD(ROW()-ROW($B$2),ROWS(Lookups!$D$2:$D$10))+1)</f>
        <v>MP-APS (Missile intercept system)</v>
      </c>
      <c r="D390" s="38" t="str">
        <f>_xlfn.XLOOKUP(C390,Analysis_Gadgets!$C:$C,Analysis_Gadgets!$B:$B)</f>
        <v>Gadget</v>
      </c>
      <c r="E390" s="43">
        <v>0</v>
      </c>
      <c r="F390" s="43">
        <f>_xlfn.XLOOKUP(A390,Class_Players!A:A,Class_Players!G:G)</f>
        <v>581</v>
      </c>
      <c r="G390" s="43">
        <f t="shared" si="88"/>
        <v>0</v>
      </c>
      <c r="H390" s="43">
        <f>_xlfn.XLOOKUP(A390,Class_Players!$A:$A,Class_Players!$F:$F,"")</f>
        <v>12875</v>
      </c>
      <c r="I390" s="44">
        <f t="shared" si="89"/>
        <v>0</v>
      </c>
      <c r="J390" s="43">
        <f t="shared" si="90"/>
        <v>0</v>
      </c>
      <c r="K390" s="44" cm="1">
        <f t="array" ref="K390">IF(D390="Gadget",_xlfn.IFS(I390&gt;=0.2,0.5,I390&gt;=0.1,0.35,I390&gt;=0.05,0.2,TRUE,0),IF(D390="Grenade",_xlfn.IFS(I390&gt;=0.2,1,I390&gt;=0.1,0.7,I390&gt;=0.05,0.4,TRUE,0),0))</f>
        <v>0</v>
      </c>
      <c r="L390" s="57">
        <f t="shared" si="95"/>
        <v>0</v>
      </c>
    </row>
    <row r="391" spans="1:12" ht="15" customHeight="1" x14ac:dyDescent="0.25">
      <c r="A391" s="42" t="str" cm="1">
        <f t="array" ref="A391">IFERROR(INDEX(_xlfn._xlws.FILTER(Class_Players!A:A,Class_Players!B:B="Support"),QUOTIENT(ROW()-ROW($A$2),9)+1),"")</f>
        <v>sasquatchseesu</v>
      </c>
      <c r="B391" s="42" t="str">
        <f>_xlfn.XLOOKUP(A391,Class_Players!$A:$A,Class_Players!$B:$B,"")</f>
        <v>Support</v>
      </c>
      <c r="C391" s="38" t="str" cm="1">
        <f t="array" ref="C391">INDEX(Lookups!$D$2:$D$10,MOD(ROW()-ROW($B$2),ROWS(Lookups!$D$2:$D$10))+1)</f>
        <v>LWCMS (Mortar)</v>
      </c>
      <c r="D391" s="38" t="str">
        <f>_xlfn.XLOOKUP(C391,Analysis_Gadgets!$C:$C,Analysis_Gadgets!$B:$B)</f>
        <v>Gadget</v>
      </c>
      <c r="E391" s="43">
        <v>45</v>
      </c>
      <c r="F391" s="43">
        <f>_xlfn.XLOOKUP(A391,Class_Players!A:A,Class_Players!G:G)</f>
        <v>581</v>
      </c>
      <c r="G391" s="43">
        <f t="shared" si="88"/>
        <v>7.7452667814113599E-2</v>
      </c>
      <c r="H391" s="43">
        <f>_xlfn.XLOOKUP(A391,Class_Players!$A:$A,Class_Players!$F:$F,"")</f>
        <v>12875</v>
      </c>
      <c r="I391" s="44">
        <f t="shared" si="89"/>
        <v>3.4951456310679612E-3</v>
      </c>
      <c r="J391" s="43">
        <f t="shared" si="90"/>
        <v>0</v>
      </c>
      <c r="K391" s="44" cm="1">
        <f t="array" ref="K391">IF(D391="Gadget",_xlfn.IFS(I391&gt;=0.2,0.5,I391&gt;=0.1,0.35,I391&gt;=0.05,0.2,TRUE,0),IF(D391="Grenade",_xlfn.IFS(I391&gt;=0.2,1,I391&gt;=0.1,0.7,I391&gt;=0.05,0.4,TRUE,0),0))</f>
        <v>0</v>
      </c>
      <c r="L391" s="57">
        <f t="shared" si="95"/>
        <v>0</v>
      </c>
    </row>
    <row r="392" spans="1:12" ht="15" customHeight="1" x14ac:dyDescent="0.25">
      <c r="A392" s="42" t="str" cm="1">
        <f t="array" ref="A392">IFERROR(INDEX(_xlfn._xlws.FILTER(Class_Players!A:A,Class_Players!B:B="Support"),QUOTIENT(ROW()-ROW($A$2),9)+1),"")</f>
        <v>sasquatchseesu</v>
      </c>
      <c r="B392" s="42" t="str">
        <f>_xlfn.XLOOKUP(A392,Class_Players!$A:$A,Class_Players!$B:$B,"")</f>
        <v>Support</v>
      </c>
      <c r="C392" s="38" t="str" cm="1">
        <f t="array" ref="C392">INDEX(Lookups!$D$2:$D$10,MOD(ROW()-ROW($B$2),ROWS(Lookups!$D$2:$D$10))+1)</f>
        <v>M320A1 SMK (Smoke Grenade Launcher)</v>
      </c>
      <c r="D392" s="38" t="str">
        <f>_xlfn.XLOOKUP(C392,Analysis_Gadgets!$C:$C,Analysis_Gadgets!$B:$B)</f>
        <v>Gadget</v>
      </c>
      <c r="E392" s="43">
        <v>4018</v>
      </c>
      <c r="F392" s="43">
        <f>_xlfn.XLOOKUP(A392,Class_Players!A:A,Class_Players!G:G)</f>
        <v>581</v>
      </c>
      <c r="G392" s="43">
        <f t="shared" si="88"/>
        <v>6.9156626506024095</v>
      </c>
      <c r="H392" s="43">
        <f>_xlfn.XLOOKUP(A392,Class_Players!$A:$A,Class_Players!$F:$F,"")</f>
        <v>12875</v>
      </c>
      <c r="I392" s="44">
        <f t="shared" si="89"/>
        <v>0.31207766990291264</v>
      </c>
      <c r="J392" s="43">
        <f t="shared" si="90"/>
        <v>1</v>
      </c>
      <c r="K392" s="44" cm="1">
        <f t="array" ref="K392">IF(D392="Gadget",_xlfn.IFS(I392&gt;=0.2,0.5,I392&gt;=0.1,0.35,I392&gt;=0.05,0.2,TRUE,0),IF(D392="Grenade",_xlfn.IFS(I392&gt;=0.2,1,I392&gt;=0.1,0.7,I392&gt;=0.05,0.4,TRUE,0),0))</f>
        <v>0.5</v>
      </c>
      <c r="L392" s="57">
        <f t="shared" si="95"/>
        <v>0.58823529411764708</v>
      </c>
    </row>
    <row r="393" spans="1:12" ht="15" customHeight="1" x14ac:dyDescent="0.25">
      <c r="A393" s="42" t="str" cm="1">
        <f t="array" ref="A393">IFERROR(INDEX(_xlfn._xlws.FILTER(Class_Players!A:A,Class_Players!B:B="Support"),QUOTIENT(ROW()-ROW($A$2),9)+1),"")</f>
        <v>sasquatchseesu</v>
      </c>
      <c r="B393" s="42" t="str">
        <f>_xlfn.XLOOKUP(A393,Class_Players!$A:$A,Class_Players!$B:$B,"")</f>
        <v>Support</v>
      </c>
      <c r="C393" s="38" t="str" cm="1">
        <f t="array" ref="C393">INDEX(Lookups!$D$2:$D$10,MOD(ROW()-ROW($B$2),ROWS(Lookups!$D$2:$D$10))+1)</f>
        <v>SICH G1 WP (Incendiary Airburst Launcher)</v>
      </c>
      <c r="D393" s="38" t="str">
        <f>_xlfn.XLOOKUP(C393,Analysis_Gadgets!$C:$C,Analysis_Gadgets!$B:$B)</f>
        <v>Gadget</v>
      </c>
      <c r="E393" s="43">
        <v>1501</v>
      </c>
      <c r="F393" s="43">
        <f>_xlfn.XLOOKUP(A393,Class_Players!A:A,Class_Players!G:G)</f>
        <v>581</v>
      </c>
      <c r="G393" s="43">
        <f t="shared" si="88"/>
        <v>2.5834767641996557</v>
      </c>
      <c r="H393" s="43">
        <f>_xlfn.XLOOKUP(A393,Class_Players!$A:$A,Class_Players!$F:$F,"")</f>
        <v>12875</v>
      </c>
      <c r="I393" s="44">
        <f t="shared" si="89"/>
        <v>0.11658252427184466</v>
      </c>
      <c r="J393" s="43">
        <f t="shared" si="90"/>
        <v>1</v>
      </c>
      <c r="K393" s="44" cm="1">
        <f t="array" ref="K393">IF(D393="Gadget",_xlfn.IFS(I393&gt;=0.2,0.5,I393&gt;=0.1,0.35,I393&gt;=0.05,0.2,TRUE,0),IF(D393="Grenade",_xlfn.IFS(I393&gt;=0.2,1,I393&gt;=0.1,0.7,I393&gt;=0.05,0.4,TRUE,0),0))</f>
        <v>0.35</v>
      </c>
      <c r="L393" s="57">
        <f t="shared" si="95"/>
        <v>0.41176470588235292</v>
      </c>
    </row>
    <row r="394" spans="1:12" ht="15" customHeight="1" x14ac:dyDescent="0.25">
      <c r="A394" s="42" t="str" cm="1">
        <f t="array" ref="A394">IFERROR(INDEX(_xlfn._xlws.FILTER(Class_Players!A:A,Class_Players!B:B="Support"),QUOTIENT(ROW()-ROW($A$2),9)+1),"")</f>
        <v>sasquatchseesu</v>
      </c>
      <c r="B394" s="42" t="str">
        <f>_xlfn.XLOOKUP(A394,Class_Players!$A:$A,Class_Players!$B:$B,"")</f>
        <v>Support</v>
      </c>
      <c r="C394" s="38" t="str" cm="1">
        <f t="array" ref="C394">INDEX(Lookups!$D$2:$D$10,MOD(ROW()-ROW($B$2),ROWS(Lookups!$D$2:$D$10))+1)</f>
        <v>Deployable Cover</v>
      </c>
      <c r="D394" s="38" t="str">
        <f>_xlfn.XLOOKUP(C394,Analysis_Gadgets!$C:$C,Analysis_Gadgets!$B:$B)</f>
        <v>Gadget</v>
      </c>
      <c r="E394" s="43">
        <v>333</v>
      </c>
      <c r="F394" s="43">
        <f>_xlfn.XLOOKUP(A394,Class_Players!A:A,Class_Players!G:G)</f>
        <v>581</v>
      </c>
      <c r="G394" s="43">
        <f t="shared" si="88"/>
        <v>0.57314974182444067</v>
      </c>
      <c r="H394" s="43">
        <f>_xlfn.XLOOKUP(A394,Class_Players!$A:$A,Class_Players!$F:$F,"")</f>
        <v>12875</v>
      </c>
      <c r="I394" s="44">
        <f t="shared" si="89"/>
        <v>2.5864077669902914E-2</v>
      </c>
      <c r="J394" s="43">
        <f t="shared" si="90"/>
        <v>0</v>
      </c>
      <c r="K394" s="44" cm="1">
        <f t="array" ref="K394">IF(D394="Gadget",_xlfn.IFS(I394&gt;=0.2,0.5,I394&gt;=0.1,0.35,I394&gt;=0.05,0.2,TRUE,0),IF(D394="Grenade",_xlfn.IFS(I394&gt;=0.2,1,I394&gt;=0.1,0.7,I394&gt;=0.05,0.4,TRUE,0),0))</f>
        <v>0</v>
      </c>
      <c r="L394" s="57">
        <f t="shared" si="95"/>
        <v>0</v>
      </c>
    </row>
    <row r="395" spans="1:12" ht="15" customHeight="1" x14ac:dyDescent="0.25">
      <c r="A395" s="42" t="str" cm="1">
        <f t="array" ref="A395">IFERROR(INDEX(_xlfn._xlws.FILTER(Class_Players!A:A,Class_Players!B:B="Support"),QUOTIENT(ROW()-ROW($A$2),9)+1),"")</f>
        <v>sasquatchseesu</v>
      </c>
      <c r="B395" s="42" t="str">
        <f>_xlfn.XLOOKUP(A395,Class_Players!$A:$A,Class_Players!$B:$B,"")</f>
        <v>Support</v>
      </c>
      <c r="C395" s="38" t="str" cm="1">
        <f t="array" ref="C395">INDEX(Lookups!$D$2:$D$10,MOD(ROW()-ROW($B$2),ROWS(Lookups!$D$2:$D$10))+1)</f>
        <v>Supply Pouch</v>
      </c>
      <c r="D395" s="38" t="str">
        <f>_xlfn.XLOOKUP(C395,Analysis_Gadgets!$C:$C,Analysis_Gadgets!$B:$B)</f>
        <v>Gadget</v>
      </c>
      <c r="E395" s="43">
        <v>162</v>
      </c>
      <c r="F395" s="43">
        <f>_xlfn.XLOOKUP(A395,Class_Players!A:A,Class_Players!G:G)</f>
        <v>581</v>
      </c>
      <c r="G395" s="43">
        <f t="shared" si="88"/>
        <v>0.27882960413080893</v>
      </c>
      <c r="H395" s="43">
        <f>_xlfn.XLOOKUP(A395,Class_Players!$A:$A,Class_Players!$F:$F,"")</f>
        <v>12875</v>
      </c>
      <c r="I395" s="44">
        <f t="shared" si="89"/>
        <v>1.2582524271844661E-2</v>
      </c>
      <c r="J395" s="43">
        <f t="shared" si="90"/>
        <v>0</v>
      </c>
      <c r="K395" s="44" cm="1">
        <f t="array" ref="K395">IF(D395="Gadget",_xlfn.IFS(I395&gt;=0.2,0.5,I395&gt;=0.1,0.35,I395&gt;=0.05,0.2,TRUE,0),IF(D395="Grenade",_xlfn.IFS(I395&gt;=0.2,1,I395&gt;=0.1,0.7,I395&gt;=0.05,0.4,TRUE,0),0))</f>
        <v>0</v>
      </c>
      <c r="L395" s="57">
        <f t="shared" si="95"/>
        <v>0</v>
      </c>
    </row>
    <row r="396" spans="1:12" ht="15" customHeight="1" x14ac:dyDescent="0.25">
      <c r="A396" s="42" t="str" cm="1">
        <f t="array" ref="A396">IFERROR(INDEX(_xlfn._xlws.FILTER(Class_Players!A:A,Class_Players!B:B="Support"),QUOTIENT(ROW()-ROW($A$2),9)+1),"")</f>
        <v>sasquatchseesu</v>
      </c>
      <c r="B396" s="42" t="str">
        <f>_xlfn.XLOOKUP(A396,Class_Players!$A:$A,Class_Players!$B:$B,"")</f>
        <v>Support</v>
      </c>
      <c r="C396" s="38" t="str" cm="1">
        <f t="array" ref="C396">INDEX(Lookups!$D$2:$D$10,MOD(ROW()-ROW($B$2),ROWS(Lookups!$D$2:$D$10))+1)</f>
        <v>Smoke Grenade</v>
      </c>
      <c r="D396" s="38" t="str">
        <f>_xlfn.XLOOKUP(C396,Analysis_Gadgets!$C:$C,Analysis_Gadgets!$B:$B)</f>
        <v>Grenade</v>
      </c>
      <c r="E396" s="43">
        <v>722</v>
      </c>
      <c r="F396" s="43">
        <f>_xlfn.XLOOKUP(A396,Class_Players!A:A,Class_Players!G:G)</f>
        <v>581</v>
      </c>
      <c r="G396" s="43">
        <f t="shared" si="88"/>
        <v>1.2426850258175559</v>
      </c>
      <c r="H396" s="43">
        <f>_xlfn.XLOOKUP(A396,Class_Players!$A:$A,Class_Players!$F:$F,"")</f>
        <v>12875</v>
      </c>
      <c r="I396" s="44">
        <f t="shared" si="89"/>
        <v>5.6077669902912623E-2</v>
      </c>
      <c r="J396" s="43">
        <f t="shared" si="90"/>
        <v>0</v>
      </c>
      <c r="K396" s="44" cm="1">
        <f t="array" ref="K396">IF(D396="Gadget",_xlfn.IFS(I396&gt;=0.2,0.5,I396&gt;=0.1,0.35,I396&gt;=0.05,0.2,TRUE,0),IF(D396="Grenade",_xlfn.IFS(I396&gt;=0.2,1,I396&gt;=0.1,0.7,I396&gt;=0.05,0.4,TRUE,0),0))</f>
        <v>0.4</v>
      </c>
      <c r="L396" s="57">
        <f t="shared" ref="L396:L397" si="96">IF($K396=0,0,$K396 / SUMIFS($K:$K,$A:$A,$A396,$D:$D,"Grenade"))</f>
        <v>0.28571428571428575</v>
      </c>
    </row>
    <row r="397" spans="1:12" ht="15" customHeight="1" x14ac:dyDescent="0.25">
      <c r="A397" s="42" t="str" cm="1">
        <f t="array" ref="A397">IFERROR(INDEX(_xlfn._xlws.FILTER(Class_Players!A:A,Class_Players!B:B="Support"),QUOTIENT(ROW()-ROW($A$2),9)+1),"")</f>
        <v>sasquatchseesu</v>
      </c>
      <c r="B397" s="42" t="str">
        <f>_xlfn.XLOOKUP(A397,Class_Players!$A:$A,Class_Players!$B:$B,"")</f>
        <v>Support</v>
      </c>
      <c r="C397" s="38" t="str" cm="1">
        <f t="array" ref="C397">INDEX(Lookups!$D$2:$D$10,MOD(ROW()-ROW($B$2),ROWS(Lookups!$D$2:$D$10))+1)</f>
        <v>Incendiary Grenade</v>
      </c>
      <c r="D397" s="38" t="str">
        <f>_xlfn.XLOOKUP(C397,Analysis_Gadgets!$C:$C,Analysis_Gadgets!$B:$B)</f>
        <v>Grenade</v>
      </c>
      <c r="E397" s="43">
        <v>2776</v>
      </c>
      <c r="F397" s="43">
        <f>_xlfn.XLOOKUP(A397,Class_Players!A:A,Class_Players!G:G)</f>
        <v>581</v>
      </c>
      <c r="G397" s="43">
        <f t="shared" si="88"/>
        <v>4.7779690189328745</v>
      </c>
      <c r="H397" s="43">
        <f>_xlfn.XLOOKUP(A397,Class_Players!$A:$A,Class_Players!$F:$F,"")</f>
        <v>12875</v>
      </c>
      <c r="I397" s="44">
        <f t="shared" si="89"/>
        <v>0.2156116504854369</v>
      </c>
      <c r="J397" s="43">
        <f t="shared" si="90"/>
        <v>1</v>
      </c>
      <c r="K397" s="44" cm="1">
        <f t="array" ref="K397">IF(D397="Gadget",_xlfn.IFS(I397&gt;=0.2,0.5,I397&gt;=0.1,0.35,I397&gt;=0.05,0.2,TRUE,0),IF(D397="Grenade",_xlfn.IFS(I397&gt;=0.2,1,I397&gt;=0.1,0.7,I397&gt;=0.05,0.4,TRUE,0),0))</f>
        <v>1</v>
      </c>
      <c r="L397" s="57">
        <f t="shared" si="96"/>
        <v>0.7142857142857143</v>
      </c>
    </row>
    <row r="398" spans="1:12" ht="15" customHeight="1" x14ac:dyDescent="0.25">
      <c r="A398" s="42" t="str" cm="1">
        <f t="array" ref="A398">IFERROR(INDEX(_xlfn._xlws.FILTER(Class_Players!A:A,Class_Players!B:B="Support"),QUOTIENT(ROW()-ROW($A$2),9)+1),"")</f>
        <v>Unreal_Insanity</v>
      </c>
      <c r="B398" s="42" t="str">
        <f>_xlfn.XLOOKUP(A398,Class_Players!$A:$A,Class_Players!$B:$B,"")</f>
        <v>Support</v>
      </c>
      <c r="C398" s="38" t="str" cm="1">
        <f t="array" ref="C398">INDEX(Lookups!$D$2:$D$10,MOD(ROW()-ROW($B$2),ROWS(Lookups!$D$2:$D$10))+1)</f>
        <v>GPDIS (Grenade intercept system)</v>
      </c>
      <c r="D398" s="38" t="str">
        <f>_xlfn.XLOOKUP(C398,Analysis_Gadgets!$C:$C,Analysis_Gadgets!$B:$B)</f>
        <v>Gadget</v>
      </c>
      <c r="E398" s="43">
        <v>172</v>
      </c>
      <c r="F398" s="43">
        <f>_xlfn.XLOOKUP(A398,Class_Players!A:A,Class_Players!G:G)</f>
        <v>416</v>
      </c>
      <c r="G398" s="43">
        <f t="shared" si="88"/>
        <v>0.41346153846153844</v>
      </c>
      <c r="H398" s="43">
        <f>_xlfn.XLOOKUP(A398,Class_Players!$A:$A,Class_Players!$F:$F,"")</f>
        <v>12791</v>
      </c>
      <c r="I398" s="44">
        <f t="shared" si="89"/>
        <v>1.3446954890157141E-2</v>
      </c>
      <c r="J398" s="43">
        <f t="shared" si="90"/>
        <v>0</v>
      </c>
      <c r="K398" s="44" cm="1">
        <f t="array" ref="K398">IF(D398="Gadget",_xlfn.IFS(I398&gt;=0.2,0.5,I398&gt;=0.1,0.35,I398&gt;=0.05,0.2,TRUE,0),IF(D398="Grenade",_xlfn.IFS(I398&gt;=0.2,1,I398&gt;=0.1,0.7,I398&gt;=0.05,0.4,TRUE,0),0))</f>
        <v>0</v>
      </c>
      <c r="L398" s="57">
        <f t="shared" ref="L398:L404" si="97">IF($K398=0,0,$K398 / SUMIFS($K:$K,$A:$A,$A398,$D:$D,"Gadget"))</f>
        <v>0</v>
      </c>
    </row>
    <row r="399" spans="1:12" ht="15" customHeight="1" x14ac:dyDescent="0.25">
      <c r="A399" s="42" t="str" cm="1">
        <f t="array" ref="A399">IFERROR(INDEX(_xlfn._xlws.FILTER(Class_Players!A:A,Class_Players!B:B="Support"),QUOTIENT(ROW()-ROW($A$2),9)+1),"")</f>
        <v>Unreal_Insanity</v>
      </c>
      <c r="B399" s="42" t="str">
        <f>_xlfn.XLOOKUP(A399,Class_Players!$A:$A,Class_Players!$B:$B,"")</f>
        <v>Support</v>
      </c>
      <c r="C399" s="38" t="str" cm="1">
        <f t="array" ref="C399">INDEX(Lookups!$D$2:$D$10,MOD(ROW()-ROW($B$2),ROWS(Lookups!$D$2:$D$10))+1)</f>
        <v>MP-APS (Missile intercept system)</v>
      </c>
      <c r="D399" s="38" t="str">
        <f>_xlfn.XLOOKUP(C399,Analysis_Gadgets!$C:$C,Analysis_Gadgets!$B:$B)</f>
        <v>Gadget</v>
      </c>
      <c r="E399" s="43">
        <v>0</v>
      </c>
      <c r="F399" s="43">
        <f>_xlfn.XLOOKUP(A399,Class_Players!A:A,Class_Players!G:G)</f>
        <v>416</v>
      </c>
      <c r="G399" s="43">
        <f t="shared" si="88"/>
        <v>0</v>
      </c>
      <c r="H399" s="43">
        <f>_xlfn.XLOOKUP(A399,Class_Players!$A:$A,Class_Players!$F:$F,"")</f>
        <v>12791</v>
      </c>
      <c r="I399" s="44">
        <f t="shared" si="89"/>
        <v>0</v>
      </c>
      <c r="J399" s="43">
        <f t="shared" si="90"/>
        <v>0</v>
      </c>
      <c r="K399" s="44" cm="1">
        <f t="array" ref="K399">IF(D399="Gadget",_xlfn.IFS(I399&gt;=0.2,0.5,I399&gt;=0.1,0.35,I399&gt;=0.05,0.2,TRUE,0),IF(D399="Grenade",_xlfn.IFS(I399&gt;=0.2,1,I399&gt;=0.1,0.7,I399&gt;=0.05,0.4,TRUE,0),0))</f>
        <v>0</v>
      </c>
      <c r="L399" s="57">
        <f t="shared" si="97"/>
        <v>0</v>
      </c>
    </row>
    <row r="400" spans="1:12" ht="15" customHeight="1" x14ac:dyDescent="0.25">
      <c r="A400" s="42" t="str" cm="1">
        <f t="array" ref="A400">IFERROR(INDEX(_xlfn._xlws.FILTER(Class_Players!A:A,Class_Players!B:B="Support"),QUOTIENT(ROW()-ROW($A$2),9)+1),"")</f>
        <v>Unreal_Insanity</v>
      </c>
      <c r="B400" s="42" t="str">
        <f>_xlfn.XLOOKUP(A400,Class_Players!$A:$A,Class_Players!$B:$B,"")</f>
        <v>Support</v>
      </c>
      <c r="C400" s="38" t="str" cm="1">
        <f t="array" ref="C400">INDEX(Lookups!$D$2:$D$10,MOD(ROW()-ROW($B$2),ROWS(Lookups!$D$2:$D$10))+1)</f>
        <v>LWCMS (Mortar)</v>
      </c>
      <c r="D400" s="38" t="str">
        <f>_xlfn.XLOOKUP(C400,Analysis_Gadgets!$C:$C,Analysis_Gadgets!$B:$B)</f>
        <v>Gadget</v>
      </c>
      <c r="E400" s="43">
        <v>8</v>
      </c>
      <c r="F400" s="43">
        <f>_xlfn.XLOOKUP(A400,Class_Players!A:A,Class_Players!G:G)</f>
        <v>416</v>
      </c>
      <c r="G400" s="43">
        <f t="shared" si="88"/>
        <v>1.9230769230769232E-2</v>
      </c>
      <c r="H400" s="43">
        <f>_xlfn.XLOOKUP(A400,Class_Players!$A:$A,Class_Players!$F:$F,"")</f>
        <v>12791</v>
      </c>
      <c r="I400" s="44">
        <f t="shared" si="89"/>
        <v>6.2543976233289027E-4</v>
      </c>
      <c r="J400" s="43">
        <f t="shared" si="90"/>
        <v>0</v>
      </c>
      <c r="K400" s="44" cm="1">
        <f t="array" ref="K400">IF(D400="Gadget",_xlfn.IFS(I400&gt;=0.2,0.5,I400&gt;=0.1,0.35,I400&gt;=0.05,0.2,TRUE,0),IF(D400="Grenade",_xlfn.IFS(I400&gt;=0.2,1,I400&gt;=0.1,0.7,I400&gt;=0.05,0.4,TRUE,0),0))</f>
        <v>0</v>
      </c>
      <c r="L400" s="57">
        <f t="shared" si="97"/>
        <v>0</v>
      </c>
    </row>
    <row r="401" spans="1:12" ht="15" customHeight="1" x14ac:dyDescent="0.25">
      <c r="A401" s="42" t="str" cm="1">
        <f t="array" ref="A401">IFERROR(INDEX(_xlfn._xlws.FILTER(Class_Players!A:A,Class_Players!B:B="Support"),QUOTIENT(ROW()-ROW($A$2),9)+1),"")</f>
        <v>Unreal_Insanity</v>
      </c>
      <c r="B401" s="42" t="str">
        <f>_xlfn.XLOOKUP(A401,Class_Players!$A:$A,Class_Players!$B:$B,"")</f>
        <v>Support</v>
      </c>
      <c r="C401" s="38" t="str" cm="1">
        <f t="array" ref="C401">INDEX(Lookups!$D$2:$D$10,MOD(ROW()-ROW($B$2),ROWS(Lookups!$D$2:$D$10))+1)</f>
        <v>M320A1 SMK (Smoke Grenade Launcher)</v>
      </c>
      <c r="D401" s="38" t="str">
        <f>_xlfn.XLOOKUP(C401,Analysis_Gadgets!$C:$C,Analysis_Gadgets!$B:$B)</f>
        <v>Gadget</v>
      </c>
      <c r="E401" s="43">
        <v>132</v>
      </c>
      <c r="F401" s="43">
        <f>_xlfn.XLOOKUP(A401,Class_Players!A:A,Class_Players!G:G)</f>
        <v>416</v>
      </c>
      <c r="G401" s="43">
        <f t="shared" si="88"/>
        <v>0.31730769230769229</v>
      </c>
      <c r="H401" s="43">
        <f>_xlfn.XLOOKUP(A401,Class_Players!$A:$A,Class_Players!$F:$F,"")</f>
        <v>12791</v>
      </c>
      <c r="I401" s="44">
        <f t="shared" si="89"/>
        <v>1.0319756078492691E-2</v>
      </c>
      <c r="J401" s="43">
        <f t="shared" si="90"/>
        <v>0</v>
      </c>
      <c r="K401" s="44" cm="1">
        <f t="array" ref="K401">IF(D401="Gadget",_xlfn.IFS(I401&gt;=0.2,0.5,I401&gt;=0.1,0.35,I401&gt;=0.05,0.2,TRUE,0),IF(D401="Grenade",_xlfn.IFS(I401&gt;=0.2,1,I401&gt;=0.1,0.7,I401&gt;=0.05,0.4,TRUE,0),0))</f>
        <v>0</v>
      </c>
      <c r="L401" s="57">
        <f t="shared" si="97"/>
        <v>0</v>
      </c>
    </row>
    <row r="402" spans="1:12" ht="15" customHeight="1" x14ac:dyDescent="0.25">
      <c r="A402" s="42" t="str" cm="1">
        <f t="array" ref="A402">IFERROR(INDEX(_xlfn._xlws.FILTER(Class_Players!A:A,Class_Players!B:B="Support"),QUOTIENT(ROW()-ROW($A$2),9)+1),"")</f>
        <v>Unreal_Insanity</v>
      </c>
      <c r="B402" s="42" t="str">
        <f>_xlfn.XLOOKUP(A402,Class_Players!$A:$A,Class_Players!$B:$B,"")</f>
        <v>Support</v>
      </c>
      <c r="C402" s="38" t="str" cm="1">
        <f t="array" ref="C402">INDEX(Lookups!$D$2:$D$10,MOD(ROW()-ROW($B$2),ROWS(Lookups!$D$2:$D$10))+1)</f>
        <v>SICH G1 WP (Incendiary Airburst Launcher)</v>
      </c>
      <c r="D402" s="38" t="str">
        <f>_xlfn.XLOOKUP(C402,Analysis_Gadgets!$C:$C,Analysis_Gadgets!$B:$B)</f>
        <v>Gadget</v>
      </c>
      <c r="E402" s="43">
        <v>17</v>
      </c>
      <c r="F402" s="43">
        <f>_xlfn.XLOOKUP(A402,Class_Players!A:A,Class_Players!G:G)</f>
        <v>416</v>
      </c>
      <c r="G402" s="43">
        <f t="shared" si="88"/>
        <v>4.0865384615384616E-2</v>
      </c>
      <c r="H402" s="43">
        <f>_xlfn.XLOOKUP(A402,Class_Players!$A:$A,Class_Players!$F:$F,"")</f>
        <v>12791</v>
      </c>
      <c r="I402" s="44">
        <f t="shared" si="89"/>
        <v>1.329059494957392E-3</v>
      </c>
      <c r="J402" s="43">
        <f t="shared" si="90"/>
        <v>0</v>
      </c>
      <c r="K402" s="44" cm="1">
        <f t="array" ref="K402">IF(D402="Gadget",_xlfn.IFS(I402&gt;=0.2,0.5,I402&gt;=0.1,0.35,I402&gt;=0.05,0.2,TRUE,0),IF(D402="Grenade",_xlfn.IFS(I402&gt;=0.2,1,I402&gt;=0.1,0.7,I402&gt;=0.05,0.4,TRUE,0),0))</f>
        <v>0</v>
      </c>
      <c r="L402" s="57">
        <f t="shared" si="97"/>
        <v>0</v>
      </c>
    </row>
    <row r="403" spans="1:12" ht="15" customHeight="1" x14ac:dyDescent="0.25">
      <c r="A403" s="42" t="str" cm="1">
        <f t="array" ref="A403">IFERROR(INDEX(_xlfn._xlws.FILTER(Class_Players!A:A,Class_Players!B:B="Support"),QUOTIENT(ROW()-ROW($A$2),9)+1),"")</f>
        <v>Unreal_Insanity</v>
      </c>
      <c r="B403" s="42" t="str">
        <f>_xlfn.XLOOKUP(A403,Class_Players!$A:$A,Class_Players!$B:$B,"")</f>
        <v>Support</v>
      </c>
      <c r="C403" s="38" t="str" cm="1">
        <f t="array" ref="C403">INDEX(Lookups!$D$2:$D$10,MOD(ROW()-ROW($B$2),ROWS(Lookups!$D$2:$D$10))+1)</f>
        <v>Deployable Cover</v>
      </c>
      <c r="D403" s="38" t="str">
        <f>_xlfn.XLOOKUP(C403,Analysis_Gadgets!$C:$C,Analysis_Gadgets!$B:$B)</f>
        <v>Gadget</v>
      </c>
      <c r="E403" s="43">
        <v>848</v>
      </c>
      <c r="F403" s="43">
        <f>_xlfn.XLOOKUP(A403,Class_Players!A:A,Class_Players!G:G)</f>
        <v>416</v>
      </c>
      <c r="G403" s="43">
        <f t="shared" si="88"/>
        <v>2.0384615384615383</v>
      </c>
      <c r="H403" s="43">
        <f>_xlfn.XLOOKUP(A403,Class_Players!$A:$A,Class_Players!$F:$F,"")</f>
        <v>12791</v>
      </c>
      <c r="I403" s="44">
        <f t="shared" si="89"/>
        <v>6.6296614807286366E-2</v>
      </c>
      <c r="J403" s="43">
        <f t="shared" si="90"/>
        <v>0</v>
      </c>
      <c r="K403" s="44" cm="1">
        <f t="array" ref="K403">IF(D403="Gadget",_xlfn.IFS(I403&gt;=0.2,0.5,I403&gt;=0.1,0.35,I403&gt;=0.05,0.2,TRUE,0),IF(D403="Grenade",_xlfn.IFS(I403&gt;=0.2,1,I403&gt;=0.1,0.7,I403&gt;=0.05,0.4,TRUE,0),0))</f>
        <v>0.2</v>
      </c>
      <c r="L403" s="57">
        <f t="shared" si="97"/>
        <v>0.28571428571428575</v>
      </c>
    </row>
    <row r="404" spans="1:12" ht="15" customHeight="1" x14ac:dyDescent="0.25">
      <c r="A404" s="42" t="str" cm="1">
        <f t="array" ref="A404">IFERROR(INDEX(_xlfn._xlws.FILTER(Class_Players!A:A,Class_Players!B:B="Support"),QUOTIENT(ROW()-ROW($A$2),9)+1),"")</f>
        <v>Unreal_Insanity</v>
      </c>
      <c r="B404" s="42" t="str">
        <f>_xlfn.XLOOKUP(A404,Class_Players!$A:$A,Class_Players!$B:$B,"")</f>
        <v>Support</v>
      </c>
      <c r="C404" s="38" t="str" cm="1">
        <f t="array" ref="C404">INDEX(Lookups!$D$2:$D$10,MOD(ROW()-ROW($B$2),ROWS(Lookups!$D$2:$D$10))+1)</f>
        <v>Supply Pouch</v>
      </c>
      <c r="D404" s="38" t="str">
        <f>_xlfn.XLOOKUP(C404,Analysis_Gadgets!$C:$C,Analysis_Gadgets!$B:$B)</f>
        <v>Gadget</v>
      </c>
      <c r="E404" s="43">
        <v>7047</v>
      </c>
      <c r="F404" s="43">
        <f>_xlfn.XLOOKUP(A404,Class_Players!A:A,Class_Players!G:G)</f>
        <v>416</v>
      </c>
      <c r="G404" s="43">
        <f t="shared" si="88"/>
        <v>16.939903846153847</v>
      </c>
      <c r="H404" s="43">
        <f>_xlfn.XLOOKUP(A404,Class_Players!$A:$A,Class_Players!$F:$F,"")</f>
        <v>12791</v>
      </c>
      <c r="I404" s="44">
        <f t="shared" si="89"/>
        <v>0.5509342506449848</v>
      </c>
      <c r="J404" s="43">
        <f t="shared" si="90"/>
        <v>1</v>
      </c>
      <c r="K404" s="44" cm="1">
        <f t="array" ref="K404">IF(D404="Gadget",_xlfn.IFS(I404&gt;=0.2,0.5,I404&gt;=0.1,0.35,I404&gt;=0.05,0.2,TRUE,0),IF(D404="Grenade",_xlfn.IFS(I404&gt;=0.2,1,I404&gt;=0.1,0.7,I404&gt;=0.05,0.4,TRUE,0),0))</f>
        <v>0.5</v>
      </c>
      <c r="L404" s="57">
        <f t="shared" si="97"/>
        <v>0.7142857142857143</v>
      </c>
    </row>
    <row r="405" spans="1:12" ht="15" customHeight="1" x14ac:dyDescent="0.25">
      <c r="A405" s="42" t="str" cm="1">
        <f t="array" ref="A405">IFERROR(INDEX(_xlfn._xlws.FILTER(Class_Players!A:A,Class_Players!B:B="Support"),QUOTIENT(ROW()-ROW($A$2),9)+1),"")</f>
        <v>Unreal_Insanity</v>
      </c>
      <c r="B405" s="42" t="str">
        <f>_xlfn.XLOOKUP(A405,Class_Players!$A:$A,Class_Players!$B:$B,"")</f>
        <v>Support</v>
      </c>
      <c r="C405" s="38" t="str" cm="1">
        <f t="array" ref="C405">INDEX(Lookups!$D$2:$D$10,MOD(ROW()-ROW($B$2),ROWS(Lookups!$D$2:$D$10))+1)</f>
        <v>Smoke Grenade</v>
      </c>
      <c r="D405" s="38" t="str">
        <f>_xlfn.XLOOKUP(C405,Analysis_Gadgets!$C:$C,Analysis_Gadgets!$B:$B)</f>
        <v>Grenade</v>
      </c>
      <c r="E405" s="43">
        <v>2842</v>
      </c>
      <c r="F405" s="43">
        <f>_xlfn.XLOOKUP(A405,Class_Players!A:A,Class_Players!G:G)</f>
        <v>416</v>
      </c>
      <c r="G405" s="43">
        <f t="shared" si="88"/>
        <v>6.8317307692307692</v>
      </c>
      <c r="H405" s="43">
        <f>_xlfn.XLOOKUP(A405,Class_Players!$A:$A,Class_Players!$F:$F,"")</f>
        <v>12791</v>
      </c>
      <c r="I405" s="44">
        <f t="shared" si="89"/>
        <v>0.22218747556875929</v>
      </c>
      <c r="J405" s="43">
        <f t="shared" si="90"/>
        <v>1</v>
      </c>
      <c r="K405" s="44" cm="1">
        <f t="array" ref="K405">IF(D405="Gadget",_xlfn.IFS(I405&gt;=0.2,0.5,I405&gt;=0.1,0.35,I405&gt;=0.05,0.2,TRUE,0),IF(D405="Grenade",_xlfn.IFS(I405&gt;=0.2,1,I405&gt;=0.1,0.7,I405&gt;=0.05,0.4,TRUE,0),0))</f>
        <v>1</v>
      </c>
      <c r="L405" s="57">
        <f t="shared" ref="L405:L406" si="98">IF($K405=0,0,$K405 / SUMIFS($K:$K,$A:$A,$A405,$D:$D,"Grenade"))</f>
        <v>1</v>
      </c>
    </row>
    <row r="406" spans="1:12" ht="15" customHeight="1" x14ac:dyDescent="0.25">
      <c r="A406" s="42" t="str" cm="1">
        <f t="array" ref="A406">IFERROR(INDEX(_xlfn._xlws.FILTER(Class_Players!A:A,Class_Players!B:B="Support"),QUOTIENT(ROW()-ROW($A$2),9)+1),"")</f>
        <v>Unreal_Insanity</v>
      </c>
      <c r="B406" s="42" t="str">
        <f>_xlfn.XLOOKUP(A406,Class_Players!$A:$A,Class_Players!$B:$B,"")</f>
        <v>Support</v>
      </c>
      <c r="C406" s="38" t="str" cm="1">
        <f t="array" ref="C406">INDEX(Lookups!$D$2:$D$10,MOD(ROW()-ROW($B$2),ROWS(Lookups!$D$2:$D$10))+1)</f>
        <v>Incendiary Grenade</v>
      </c>
      <c r="D406" s="38" t="str">
        <f>_xlfn.XLOOKUP(C406,Analysis_Gadgets!$C:$C,Analysis_Gadgets!$B:$B)</f>
        <v>Grenade</v>
      </c>
      <c r="E406" s="43">
        <v>471</v>
      </c>
      <c r="F406" s="43">
        <f>_xlfn.XLOOKUP(A406,Class_Players!A:A,Class_Players!G:G)</f>
        <v>416</v>
      </c>
      <c r="G406" s="43">
        <f t="shared" si="88"/>
        <v>1.1322115384615385</v>
      </c>
      <c r="H406" s="43">
        <f>_xlfn.XLOOKUP(A406,Class_Players!$A:$A,Class_Players!$F:$F,"")</f>
        <v>12791</v>
      </c>
      <c r="I406" s="44">
        <f t="shared" si="89"/>
        <v>3.682276600734892E-2</v>
      </c>
      <c r="J406" s="43">
        <f t="shared" si="90"/>
        <v>0</v>
      </c>
      <c r="K406" s="44" cm="1">
        <f t="array" ref="K406">IF(D406="Gadget",_xlfn.IFS(I406&gt;=0.2,0.5,I406&gt;=0.1,0.35,I406&gt;=0.05,0.2,TRUE,0),IF(D406="Grenade",_xlfn.IFS(I406&gt;=0.2,1,I406&gt;=0.1,0.7,I406&gt;=0.05,0.4,TRUE,0),0))</f>
        <v>0</v>
      </c>
      <c r="L406" s="57">
        <f t="shared" si="98"/>
        <v>0</v>
      </c>
    </row>
    <row r="407" spans="1:12" ht="15" customHeight="1" x14ac:dyDescent="0.25">
      <c r="A407" s="42" t="str" cm="1">
        <f t="array" ref="A407">IFERROR(INDEX(_xlfn._xlws.FILTER(Class_Players!A:A,Class_Players!B:B="Support"),QUOTIENT(ROW()-ROW($A$2),9)+1),"")</f>
        <v>danix1999x</v>
      </c>
      <c r="B407" s="42" t="str">
        <f>_xlfn.XLOOKUP(A407,Class_Players!$A:$A,Class_Players!$B:$B,"")</f>
        <v>Support</v>
      </c>
      <c r="C407" s="38" t="str" cm="1">
        <f t="array" ref="C407">INDEX(Lookups!$D$2:$D$10,MOD(ROW()-ROW($B$2),ROWS(Lookups!$D$2:$D$10))+1)</f>
        <v>GPDIS (Grenade intercept system)</v>
      </c>
      <c r="D407" s="38" t="str">
        <f>_xlfn.XLOOKUP(C407,Analysis_Gadgets!$C:$C,Analysis_Gadgets!$B:$B)</f>
        <v>Gadget</v>
      </c>
      <c r="E407" s="43">
        <v>76</v>
      </c>
      <c r="F407" s="43">
        <f>_xlfn.XLOOKUP(A407,Class_Players!A:A,Class_Players!G:G)</f>
        <v>249</v>
      </c>
      <c r="G407" s="43">
        <f t="shared" si="88"/>
        <v>0.30522088353413657</v>
      </c>
      <c r="H407" s="43">
        <f>_xlfn.XLOOKUP(A407,Class_Players!$A:$A,Class_Players!$F:$F,"")</f>
        <v>12742</v>
      </c>
      <c r="I407" s="44">
        <f t="shared" si="89"/>
        <v>5.9645267618898129E-3</v>
      </c>
      <c r="J407" s="43">
        <f t="shared" si="90"/>
        <v>0</v>
      </c>
      <c r="K407" s="44" cm="1">
        <f t="array" ref="K407">IF(D407="Gadget",_xlfn.IFS(I407&gt;=0.2,0.5,I407&gt;=0.1,0.35,I407&gt;=0.05,0.2,TRUE,0),IF(D407="Grenade",_xlfn.IFS(I407&gt;=0.2,1,I407&gt;=0.1,0.7,I407&gt;=0.05,0.4,TRUE,0),0))</f>
        <v>0</v>
      </c>
      <c r="L407" s="57">
        <f t="shared" ref="L407:L413" si="99">IF($K407=0,0,$K407 / SUMIFS($K:$K,$A:$A,$A407,$D:$D,"Gadget"))</f>
        <v>0</v>
      </c>
    </row>
    <row r="408" spans="1:12" ht="15" customHeight="1" x14ac:dyDescent="0.25">
      <c r="A408" s="42" t="str" cm="1">
        <f t="array" ref="A408">IFERROR(INDEX(_xlfn._xlws.FILTER(Class_Players!A:A,Class_Players!B:B="Support"),QUOTIENT(ROW()-ROW($A$2),9)+1),"")</f>
        <v>danix1999x</v>
      </c>
      <c r="B408" s="42" t="str">
        <f>_xlfn.XLOOKUP(A408,Class_Players!$A:$A,Class_Players!$B:$B,"")</f>
        <v>Support</v>
      </c>
      <c r="C408" s="38" t="str" cm="1">
        <f t="array" ref="C408">INDEX(Lookups!$D$2:$D$10,MOD(ROW()-ROW($B$2),ROWS(Lookups!$D$2:$D$10))+1)</f>
        <v>MP-APS (Missile intercept system)</v>
      </c>
      <c r="D408" s="38" t="str">
        <f>_xlfn.XLOOKUP(C408,Analysis_Gadgets!$C:$C,Analysis_Gadgets!$B:$B)</f>
        <v>Gadget</v>
      </c>
      <c r="E408" s="43">
        <v>0</v>
      </c>
      <c r="F408" s="43">
        <f>_xlfn.XLOOKUP(A408,Class_Players!A:A,Class_Players!G:G)</f>
        <v>249</v>
      </c>
      <c r="G408" s="43">
        <f t="shared" si="88"/>
        <v>0</v>
      </c>
      <c r="H408" s="43">
        <f>_xlfn.XLOOKUP(A408,Class_Players!$A:$A,Class_Players!$F:$F,"")</f>
        <v>12742</v>
      </c>
      <c r="I408" s="44">
        <f t="shared" si="89"/>
        <v>0</v>
      </c>
      <c r="J408" s="43">
        <f t="shared" si="90"/>
        <v>0</v>
      </c>
      <c r="K408" s="44" cm="1">
        <f t="array" ref="K408">IF(D408="Gadget",_xlfn.IFS(I408&gt;=0.2,0.5,I408&gt;=0.1,0.35,I408&gt;=0.05,0.2,TRUE,0),IF(D408="Grenade",_xlfn.IFS(I408&gt;=0.2,1,I408&gt;=0.1,0.7,I408&gt;=0.05,0.4,TRUE,0),0))</f>
        <v>0</v>
      </c>
      <c r="L408" s="57">
        <f t="shared" si="99"/>
        <v>0</v>
      </c>
    </row>
    <row r="409" spans="1:12" ht="15" customHeight="1" x14ac:dyDescent="0.25">
      <c r="A409" s="42" t="str" cm="1">
        <f t="array" ref="A409">IFERROR(INDEX(_xlfn._xlws.FILTER(Class_Players!A:A,Class_Players!B:B="Support"),QUOTIENT(ROW()-ROW($A$2),9)+1),"")</f>
        <v>danix1999x</v>
      </c>
      <c r="B409" s="42" t="str">
        <f>_xlfn.XLOOKUP(A409,Class_Players!$A:$A,Class_Players!$B:$B,"")</f>
        <v>Support</v>
      </c>
      <c r="C409" s="38" t="str" cm="1">
        <f t="array" ref="C409">INDEX(Lookups!$D$2:$D$10,MOD(ROW()-ROW($B$2),ROWS(Lookups!$D$2:$D$10))+1)</f>
        <v>LWCMS (Mortar)</v>
      </c>
      <c r="D409" s="38" t="str">
        <f>_xlfn.XLOOKUP(C409,Analysis_Gadgets!$C:$C,Analysis_Gadgets!$B:$B)</f>
        <v>Gadget</v>
      </c>
      <c r="E409" s="43">
        <v>62</v>
      </c>
      <c r="F409" s="43">
        <f>_xlfn.XLOOKUP(A409,Class_Players!A:A,Class_Players!G:G)</f>
        <v>249</v>
      </c>
      <c r="G409" s="43">
        <f t="shared" si="88"/>
        <v>0.24899598393574296</v>
      </c>
      <c r="H409" s="43">
        <f>_xlfn.XLOOKUP(A409,Class_Players!$A:$A,Class_Players!$F:$F,"")</f>
        <v>12742</v>
      </c>
      <c r="I409" s="44">
        <f t="shared" si="89"/>
        <v>4.865798147857479E-3</v>
      </c>
      <c r="J409" s="43">
        <f t="shared" si="90"/>
        <v>0</v>
      </c>
      <c r="K409" s="44" cm="1">
        <f t="array" ref="K409">IF(D409="Gadget",_xlfn.IFS(I409&gt;=0.2,0.5,I409&gt;=0.1,0.35,I409&gt;=0.05,0.2,TRUE,0),IF(D409="Grenade",_xlfn.IFS(I409&gt;=0.2,1,I409&gt;=0.1,0.7,I409&gt;=0.05,0.4,TRUE,0),0))</f>
        <v>0</v>
      </c>
      <c r="L409" s="57">
        <f t="shared" si="99"/>
        <v>0</v>
      </c>
    </row>
    <row r="410" spans="1:12" ht="15" customHeight="1" x14ac:dyDescent="0.25">
      <c r="A410" s="42" t="str" cm="1">
        <f t="array" ref="A410">IFERROR(INDEX(_xlfn._xlws.FILTER(Class_Players!A:A,Class_Players!B:B="Support"),QUOTIENT(ROW()-ROW($A$2),9)+1),"")</f>
        <v>danix1999x</v>
      </c>
      <c r="B410" s="42" t="str">
        <f>_xlfn.XLOOKUP(A410,Class_Players!$A:$A,Class_Players!$B:$B,"")</f>
        <v>Support</v>
      </c>
      <c r="C410" s="38" t="str" cm="1">
        <f t="array" ref="C410">INDEX(Lookups!$D$2:$D$10,MOD(ROW()-ROW($B$2),ROWS(Lookups!$D$2:$D$10))+1)</f>
        <v>M320A1 SMK (Smoke Grenade Launcher)</v>
      </c>
      <c r="D410" s="38" t="str">
        <f>_xlfn.XLOOKUP(C410,Analysis_Gadgets!$C:$C,Analysis_Gadgets!$B:$B)</f>
        <v>Gadget</v>
      </c>
      <c r="E410" s="43">
        <v>236</v>
      </c>
      <c r="F410" s="43">
        <f>_xlfn.XLOOKUP(A410,Class_Players!A:A,Class_Players!G:G)</f>
        <v>249</v>
      </c>
      <c r="G410" s="43">
        <f t="shared" si="88"/>
        <v>0.94779116465863456</v>
      </c>
      <c r="H410" s="43">
        <f>_xlfn.XLOOKUP(A410,Class_Players!$A:$A,Class_Players!$F:$F,"")</f>
        <v>12742</v>
      </c>
      <c r="I410" s="44">
        <f t="shared" si="89"/>
        <v>1.8521425207973629E-2</v>
      </c>
      <c r="J410" s="43">
        <f t="shared" si="90"/>
        <v>0</v>
      </c>
      <c r="K410" s="44" cm="1">
        <f t="array" ref="K410">IF(D410="Gadget",_xlfn.IFS(I410&gt;=0.2,0.5,I410&gt;=0.1,0.35,I410&gt;=0.05,0.2,TRUE,0),IF(D410="Grenade",_xlfn.IFS(I410&gt;=0.2,1,I410&gt;=0.1,0.7,I410&gt;=0.05,0.4,TRUE,0),0))</f>
        <v>0</v>
      </c>
      <c r="L410" s="57">
        <f t="shared" si="99"/>
        <v>0</v>
      </c>
    </row>
    <row r="411" spans="1:12" ht="15" customHeight="1" x14ac:dyDescent="0.25">
      <c r="A411" s="42" t="str" cm="1">
        <f t="array" ref="A411">IFERROR(INDEX(_xlfn._xlws.FILTER(Class_Players!A:A,Class_Players!B:B="Support"),QUOTIENT(ROW()-ROW($A$2),9)+1),"")</f>
        <v>danix1999x</v>
      </c>
      <c r="B411" s="42" t="str">
        <f>_xlfn.XLOOKUP(A411,Class_Players!$A:$A,Class_Players!$B:$B,"")</f>
        <v>Support</v>
      </c>
      <c r="C411" s="38" t="str" cm="1">
        <f t="array" ref="C411">INDEX(Lookups!$D$2:$D$10,MOD(ROW()-ROW($B$2),ROWS(Lookups!$D$2:$D$10))+1)</f>
        <v>SICH G1 WP (Incendiary Airburst Launcher)</v>
      </c>
      <c r="D411" s="38" t="str">
        <f>_xlfn.XLOOKUP(C411,Analysis_Gadgets!$C:$C,Analysis_Gadgets!$B:$B)</f>
        <v>Gadget</v>
      </c>
      <c r="E411" s="43">
        <v>225</v>
      </c>
      <c r="F411" s="43">
        <f>_xlfn.XLOOKUP(A411,Class_Players!A:A,Class_Players!G:G)</f>
        <v>249</v>
      </c>
      <c r="G411" s="43">
        <f t="shared" si="88"/>
        <v>0.90361445783132532</v>
      </c>
      <c r="H411" s="43">
        <f>_xlfn.XLOOKUP(A411,Class_Players!$A:$A,Class_Players!$F:$F,"")</f>
        <v>12742</v>
      </c>
      <c r="I411" s="44">
        <f t="shared" si="89"/>
        <v>1.765813843980537E-2</v>
      </c>
      <c r="J411" s="43">
        <f t="shared" si="90"/>
        <v>0</v>
      </c>
      <c r="K411" s="44" cm="1">
        <f t="array" ref="K411">IF(D411="Gadget",_xlfn.IFS(I411&gt;=0.2,0.5,I411&gt;=0.1,0.35,I411&gt;=0.05,0.2,TRUE,0),IF(D411="Grenade",_xlfn.IFS(I411&gt;=0.2,1,I411&gt;=0.1,0.7,I411&gt;=0.05,0.4,TRUE,0),0))</f>
        <v>0</v>
      </c>
      <c r="L411" s="57">
        <f t="shared" si="99"/>
        <v>0</v>
      </c>
    </row>
    <row r="412" spans="1:12" ht="15" customHeight="1" x14ac:dyDescent="0.25">
      <c r="A412" s="42" t="str" cm="1">
        <f t="array" ref="A412">IFERROR(INDEX(_xlfn._xlws.FILTER(Class_Players!A:A,Class_Players!B:B="Support"),QUOTIENT(ROW()-ROW($A$2),9)+1),"")</f>
        <v>danix1999x</v>
      </c>
      <c r="B412" s="42" t="str">
        <f>_xlfn.XLOOKUP(A412,Class_Players!$A:$A,Class_Players!$B:$B,"")</f>
        <v>Support</v>
      </c>
      <c r="C412" s="38" t="str" cm="1">
        <f t="array" ref="C412">INDEX(Lookups!$D$2:$D$10,MOD(ROW()-ROW($B$2),ROWS(Lookups!$D$2:$D$10))+1)</f>
        <v>Deployable Cover</v>
      </c>
      <c r="D412" s="38" t="str">
        <f>_xlfn.XLOOKUP(C412,Analysis_Gadgets!$C:$C,Analysis_Gadgets!$B:$B)</f>
        <v>Gadget</v>
      </c>
      <c r="E412" s="43">
        <v>1039</v>
      </c>
      <c r="F412" s="43">
        <f>_xlfn.XLOOKUP(A412,Class_Players!A:A,Class_Players!G:G)</f>
        <v>249</v>
      </c>
      <c r="G412" s="43">
        <f t="shared" si="88"/>
        <v>4.1726907630522092</v>
      </c>
      <c r="H412" s="43">
        <f>_xlfn.XLOOKUP(A412,Class_Players!$A:$A,Class_Players!$F:$F,"")</f>
        <v>12742</v>
      </c>
      <c r="I412" s="44">
        <f t="shared" si="89"/>
        <v>8.1541359284256792E-2</v>
      </c>
      <c r="J412" s="43">
        <f t="shared" si="90"/>
        <v>0</v>
      </c>
      <c r="K412" s="44" cm="1">
        <f t="array" ref="K412">IF(D412="Gadget",_xlfn.IFS(I412&gt;=0.2,0.5,I412&gt;=0.1,0.35,I412&gt;=0.05,0.2,TRUE,0),IF(D412="Grenade",_xlfn.IFS(I412&gt;=0.2,1,I412&gt;=0.1,0.7,I412&gt;=0.05,0.4,TRUE,0),0))</f>
        <v>0.2</v>
      </c>
      <c r="L412" s="57">
        <f t="shared" si="99"/>
        <v>1</v>
      </c>
    </row>
    <row r="413" spans="1:12" ht="15" customHeight="1" x14ac:dyDescent="0.25">
      <c r="A413" s="42" t="str" cm="1">
        <f t="array" ref="A413">IFERROR(INDEX(_xlfn._xlws.FILTER(Class_Players!A:A,Class_Players!B:B="Support"),QUOTIENT(ROW()-ROW($A$2),9)+1),"")</f>
        <v>danix1999x</v>
      </c>
      <c r="B413" s="42" t="str">
        <f>_xlfn.XLOOKUP(A413,Class_Players!$A:$A,Class_Players!$B:$B,"")</f>
        <v>Support</v>
      </c>
      <c r="C413" s="38" t="str" cm="1">
        <f t="array" ref="C413">INDEX(Lookups!$D$2:$D$10,MOD(ROW()-ROW($B$2),ROWS(Lookups!$D$2:$D$10))+1)</f>
        <v>Supply Pouch</v>
      </c>
      <c r="D413" s="38" t="str">
        <f>_xlfn.XLOOKUP(C413,Analysis_Gadgets!$C:$C,Analysis_Gadgets!$B:$B)</f>
        <v>Gadget</v>
      </c>
      <c r="E413" s="43">
        <v>312</v>
      </c>
      <c r="F413" s="43">
        <f>_xlfn.XLOOKUP(A413,Class_Players!A:A,Class_Players!G:G)</f>
        <v>249</v>
      </c>
      <c r="G413" s="43">
        <f t="shared" si="88"/>
        <v>1.2530120481927711</v>
      </c>
      <c r="H413" s="43">
        <f>_xlfn.XLOOKUP(A413,Class_Players!$A:$A,Class_Players!$F:$F,"")</f>
        <v>12742</v>
      </c>
      <c r="I413" s="44">
        <f t="shared" si="89"/>
        <v>2.4485951969863445E-2</v>
      </c>
      <c r="J413" s="43">
        <f t="shared" si="90"/>
        <v>0</v>
      </c>
      <c r="K413" s="44" cm="1">
        <f t="array" ref="K413">IF(D413="Gadget",_xlfn.IFS(I413&gt;=0.2,0.5,I413&gt;=0.1,0.35,I413&gt;=0.05,0.2,TRUE,0),IF(D413="Grenade",_xlfn.IFS(I413&gt;=0.2,1,I413&gt;=0.1,0.7,I413&gt;=0.05,0.4,TRUE,0),0))</f>
        <v>0</v>
      </c>
      <c r="L413" s="57">
        <f t="shared" si="99"/>
        <v>0</v>
      </c>
    </row>
    <row r="414" spans="1:12" ht="15" customHeight="1" x14ac:dyDescent="0.25">
      <c r="A414" s="42" t="str" cm="1">
        <f t="array" ref="A414">IFERROR(INDEX(_xlfn._xlws.FILTER(Class_Players!A:A,Class_Players!B:B="Support"),QUOTIENT(ROW()-ROW($A$2),9)+1),"")</f>
        <v>danix1999x</v>
      </c>
      <c r="B414" s="42" t="str">
        <f>_xlfn.XLOOKUP(A414,Class_Players!$A:$A,Class_Players!$B:$B,"")</f>
        <v>Support</v>
      </c>
      <c r="C414" s="38" t="str" cm="1">
        <f t="array" ref="C414">INDEX(Lookups!$D$2:$D$10,MOD(ROW()-ROW($B$2),ROWS(Lookups!$D$2:$D$10))+1)</f>
        <v>Smoke Grenade</v>
      </c>
      <c r="D414" s="38" t="str">
        <f>_xlfn.XLOOKUP(C414,Analysis_Gadgets!$C:$C,Analysis_Gadgets!$B:$B)</f>
        <v>Grenade</v>
      </c>
      <c r="E414" s="43">
        <v>4167</v>
      </c>
      <c r="F414" s="43">
        <f>_xlfn.XLOOKUP(A414,Class_Players!A:A,Class_Players!G:G)</f>
        <v>249</v>
      </c>
      <c r="G414" s="43">
        <f t="shared" si="88"/>
        <v>16.734939759036145</v>
      </c>
      <c r="H414" s="43">
        <f>_xlfn.XLOOKUP(A414,Class_Players!$A:$A,Class_Players!$F:$F,"")</f>
        <v>12742</v>
      </c>
      <c r="I414" s="44">
        <f t="shared" si="89"/>
        <v>0.32702872390519544</v>
      </c>
      <c r="J414" s="43">
        <f t="shared" si="90"/>
        <v>1</v>
      </c>
      <c r="K414" s="44" cm="1">
        <f t="array" ref="K414">IF(D414="Gadget",_xlfn.IFS(I414&gt;=0.2,0.5,I414&gt;=0.1,0.35,I414&gt;=0.05,0.2,TRUE,0),IF(D414="Grenade",_xlfn.IFS(I414&gt;=0.2,1,I414&gt;=0.1,0.7,I414&gt;=0.05,0.4,TRUE,0),0))</f>
        <v>1</v>
      </c>
      <c r="L414" s="57">
        <f t="shared" ref="L414:L415" si="100">IF($K414=0,0,$K414 / SUMIFS($K:$K,$A:$A,$A414,$D:$D,"Grenade"))</f>
        <v>0.7142857142857143</v>
      </c>
    </row>
    <row r="415" spans="1:12" ht="15" customHeight="1" x14ac:dyDescent="0.25">
      <c r="A415" s="42" t="str" cm="1">
        <f t="array" ref="A415">IFERROR(INDEX(_xlfn._xlws.FILTER(Class_Players!A:A,Class_Players!B:B="Support"),QUOTIENT(ROW()-ROW($A$2),9)+1),"")</f>
        <v>danix1999x</v>
      </c>
      <c r="B415" s="42" t="str">
        <f>_xlfn.XLOOKUP(A415,Class_Players!$A:$A,Class_Players!$B:$B,"")</f>
        <v>Support</v>
      </c>
      <c r="C415" s="38" t="str" cm="1">
        <f t="array" ref="C415">INDEX(Lookups!$D$2:$D$10,MOD(ROW()-ROW($B$2),ROWS(Lookups!$D$2:$D$10))+1)</f>
        <v>Incendiary Grenade</v>
      </c>
      <c r="D415" s="38" t="str">
        <f>_xlfn.XLOOKUP(C415,Analysis_Gadgets!$C:$C,Analysis_Gadgets!$B:$B)</f>
        <v>Grenade</v>
      </c>
      <c r="E415" s="43">
        <v>825</v>
      </c>
      <c r="F415" s="43">
        <f>_xlfn.XLOOKUP(A415,Class_Players!A:A,Class_Players!G:G)</f>
        <v>249</v>
      </c>
      <c r="G415" s="43">
        <f t="shared" si="88"/>
        <v>3.3132530120481927</v>
      </c>
      <c r="H415" s="43">
        <f>_xlfn.XLOOKUP(A415,Class_Players!$A:$A,Class_Players!$F:$F,"")</f>
        <v>12742</v>
      </c>
      <c r="I415" s="44">
        <f t="shared" si="89"/>
        <v>6.4746507612619686E-2</v>
      </c>
      <c r="J415" s="43">
        <f t="shared" si="90"/>
        <v>0</v>
      </c>
      <c r="K415" s="44" cm="1">
        <f t="array" ref="K415">IF(D415="Gadget",_xlfn.IFS(I415&gt;=0.2,0.5,I415&gt;=0.1,0.35,I415&gt;=0.05,0.2,TRUE,0),IF(D415="Grenade",_xlfn.IFS(I415&gt;=0.2,1,I415&gt;=0.1,0.7,I415&gt;=0.05,0.4,TRUE,0),0))</f>
        <v>0.4</v>
      </c>
      <c r="L415" s="57">
        <f t="shared" si="100"/>
        <v>0.28571428571428575</v>
      </c>
    </row>
    <row r="416" spans="1:12" ht="15" customHeight="1" x14ac:dyDescent="0.25">
      <c r="A416" s="42" t="str" cm="1">
        <f t="array" ref="A416">IFERROR(INDEX(_xlfn._xlws.FILTER(Class_Players!A:A,Class_Players!B:B="Support"),QUOTIENT(ROW()-ROW($A$2),9)+1),"")</f>
        <v>SMALLS1984XB</v>
      </c>
      <c r="B416" s="42" t="str">
        <f>_xlfn.XLOOKUP(A416,Class_Players!$A:$A,Class_Players!$B:$B,"")</f>
        <v>Support</v>
      </c>
      <c r="C416" s="38" t="str" cm="1">
        <f t="array" ref="C416">INDEX(Lookups!$D$2:$D$10,MOD(ROW()-ROW($B$2),ROWS(Lookups!$D$2:$D$10))+1)</f>
        <v>GPDIS (Grenade intercept system)</v>
      </c>
      <c r="D416" s="38" t="str">
        <f>_xlfn.XLOOKUP(C416,Analysis_Gadgets!$C:$C,Analysis_Gadgets!$B:$B)</f>
        <v>Gadget</v>
      </c>
      <c r="E416" s="43">
        <v>505</v>
      </c>
      <c r="F416" s="43">
        <f>_xlfn.XLOOKUP(A416,Class_Players!A:A,Class_Players!G:G)</f>
        <v>253</v>
      </c>
      <c r="G416" s="43">
        <f t="shared" si="88"/>
        <v>1.9960474308300395</v>
      </c>
      <c r="H416" s="43">
        <f>_xlfn.XLOOKUP(A416,Class_Players!$A:$A,Class_Players!$F:$F,"")</f>
        <v>12717</v>
      </c>
      <c r="I416" s="44">
        <f t="shared" si="89"/>
        <v>3.9710623574742469E-2</v>
      </c>
      <c r="J416" s="43">
        <f t="shared" si="90"/>
        <v>0</v>
      </c>
      <c r="K416" s="44" cm="1">
        <f t="array" ref="K416">IF(D416="Gadget",_xlfn.IFS(I416&gt;=0.2,0.5,I416&gt;=0.1,0.35,I416&gt;=0.05,0.2,TRUE,0),IF(D416="Grenade",_xlfn.IFS(I416&gt;=0.2,1,I416&gt;=0.1,0.7,I416&gt;=0.05,0.4,TRUE,0),0))</f>
        <v>0</v>
      </c>
      <c r="L416" s="57">
        <f t="shared" ref="L416:L422" si="101">IF($K416=0,0,$K416 / SUMIFS($K:$K,$A:$A,$A416,$D:$D,"Gadget"))</f>
        <v>0</v>
      </c>
    </row>
    <row r="417" spans="1:12" ht="15" customHeight="1" x14ac:dyDescent="0.25">
      <c r="A417" s="42" t="str" cm="1">
        <f t="array" ref="A417">IFERROR(INDEX(_xlfn._xlws.FILTER(Class_Players!A:A,Class_Players!B:B="Support"),QUOTIENT(ROW()-ROW($A$2),9)+1),"")</f>
        <v>SMALLS1984XB</v>
      </c>
      <c r="B417" s="42" t="str">
        <f>_xlfn.XLOOKUP(A417,Class_Players!$A:$A,Class_Players!$B:$B,"")</f>
        <v>Support</v>
      </c>
      <c r="C417" s="38" t="str" cm="1">
        <f t="array" ref="C417">INDEX(Lookups!$D$2:$D$10,MOD(ROW()-ROW($B$2),ROWS(Lookups!$D$2:$D$10))+1)</f>
        <v>MP-APS (Missile intercept system)</v>
      </c>
      <c r="D417" s="38" t="str">
        <f>_xlfn.XLOOKUP(C417,Analysis_Gadgets!$C:$C,Analysis_Gadgets!$B:$B)</f>
        <v>Gadget</v>
      </c>
      <c r="E417" s="43">
        <v>140</v>
      </c>
      <c r="F417" s="43">
        <f>_xlfn.XLOOKUP(A417,Class_Players!A:A,Class_Players!G:G)</f>
        <v>253</v>
      </c>
      <c r="G417" s="43">
        <f t="shared" si="88"/>
        <v>0.55335968379446643</v>
      </c>
      <c r="H417" s="43">
        <f>_xlfn.XLOOKUP(A417,Class_Players!$A:$A,Class_Players!$F:$F,"")</f>
        <v>12717</v>
      </c>
      <c r="I417" s="44">
        <f t="shared" si="89"/>
        <v>1.1008885743492963E-2</v>
      </c>
      <c r="J417" s="43">
        <f t="shared" si="90"/>
        <v>0</v>
      </c>
      <c r="K417" s="44" cm="1">
        <f t="array" ref="K417">IF(D417="Gadget",_xlfn.IFS(I417&gt;=0.2,0.5,I417&gt;=0.1,0.35,I417&gt;=0.05,0.2,TRUE,0),IF(D417="Grenade",_xlfn.IFS(I417&gt;=0.2,1,I417&gt;=0.1,0.7,I417&gt;=0.05,0.4,TRUE,0),0))</f>
        <v>0</v>
      </c>
      <c r="L417" s="57">
        <f t="shared" si="101"/>
        <v>0</v>
      </c>
    </row>
    <row r="418" spans="1:12" ht="15" customHeight="1" x14ac:dyDescent="0.25">
      <c r="A418" s="42" t="str" cm="1">
        <f t="array" ref="A418">IFERROR(INDEX(_xlfn._xlws.FILTER(Class_Players!A:A,Class_Players!B:B="Support"),QUOTIENT(ROW()-ROW($A$2),9)+1),"")</f>
        <v>SMALLS1984XB</v>
      </c>
      <c r="B418" s="42" t="str">
        <f>_xlfn.XLOOKUP(A418,Class_Players!$A:$A,Class_Players!$B:$B,"")</f>
        <v>Support</v>
      </c>
      <c r="C418" s="38" t="str" cm="1">
        <f t="array" ref="C418">INDEX(Lookups!$D$2:$D$10,MOD(ROW()-ROW($B$2),ROWS(Lookups!$D$2:$D$10))+1)</f>
        <v>LWCMS (Mortar)</v>
      </c>
      <c r="D418" s="38" t="str">
        <f>_xlfn.XLOOKUP(C418,Analysis_Gadgets!$C:$C,Analysis_Gadgets!$B:$B)</f>
        <v>Gadget</v>
      </c>
      <c r="E418" s="43">
        <v>11</v>
      </c>
      <c r="F418" s="43">
        <f>_xlfn.XLOOKUP(A418,Class_Players!A:A,Class_Players!G:G)</f>
        <v>253</v>
      </c>
      <c r="G418" s="43">
        <f t="shared" si="88"/>
        <v>4.3478260869565216E-2</v>
      </c>
      <c r="H418" s="43">
        <f>_xlfn.XLOOKUP(A418,Class_Players!$A:$A,Class_Players!$F:$F,"")</f>
        <v>12717</v>
      </c>
      <c r="I418" s="44">
        <f t="shared" si="89"/>
        <v>8.6498387984587557E-4</v>
      </c>
      <c r="J418" s="43">
        <f t="shared" si="90"/>
        <v>0</v>
      </c>
      <c r="K418" s="44" cm="1">
        <f t="array" ref="K418">IF(D418="Gadget",_xlfn.IFS(I418&gt;=0.2,0.5,I418&gt;=0.1,0.35,I418&gt;=0.05,0.2,TRUE,0),IF(D418="Grenade",_xlfn.IFS(I418&gt;=0.2,1,I418&gt;=0.1,0.7,I418&gt;=0.05,0.4,TRUE,0),0))</f>
        <v>0</v>
      </c>
      <c r="L418" s="57">
        <f t="shared" si="101"/>
        <v>0</v>
      </c>
    </row>
    <row r="419" spans="1:12" ht="15" customHeight="1" x14ac:dyDescent="0.25">
      <c r="A419" s="42" t="str" cm="1">
        <f t="array" ref="A419">IFERROR(INDEX(_xlfn._xlws.FILTER(Class_Players!A:A,Class_Players!B:B="Support"),QUOTIENT(ROW()-ROW($A$2),9)+1),"")</f>
        <v>SMALLS1984XB</v>
      </c>
      <c r="B419" s="42" t="str">
        <f>_xlfn.XLOOKUP(A419,Class_Players!$A:$A,Class_Players!$B:$B,"")</f>
        <v>Support</v>
      </c>
      <c r="C419" s="38" t="str" cm="1">
        <f t="array" ref="C419">INDEX(Lookups!$D$2:$D$10,MOD(ROW()-ROW($B$2),ROWS(Lookups!$D$2:$D$10))+1)</f>
        <v>M320A1 SMK (Smoke Grenade Launcher)</v>
      </c>
      <c r="D419" s="38" t="str">
        <f>_xlfn.XLOOKUP(C419,Analysis_Gadgets!$C:$C,Analysis_Gadgets!$B:$B)</f>
        <v>Gadget</v>
      </c>
      <c r="E419" s="43">
        <v>3293</v>
      </c>
      <c r="F419" s="43">
        <f>_xlfn.XLOOKUP(A419,Class_Players!A:A,Class_Players!G:G)</f>
        <v>253</v>
      </c>
      <c r="G419" s="43">
        <f t="shared" si="88"/>
        <v>13.015810276679842</v>
      </c>
      <c r="H419" s="43">
        <f>_xlfn.XLOOKUP(A419,Class_Players!$A:$A,Class_Players!$F:$F,"")</f>
        <v>12717</v>
      </c>
      <c r="I419" s="44">
        <f t="shared" si="89"/>
        <v>0.25894471966658805</v>
      </c>
      <c r="J419" s="43">
        <f t="shared" si="90"/>
        <v>1</v>
      </c>
      <c r="K419" s="44" cm="1">
        <f t="array" ref="K419">IF(D419="Gadget",_xlfn.IFS(I419&gt;=0.2,0.5,I419&gt;=0.1,0.35,I419&gt;=0.05,0.2,TRUE,0),IF(D419="Grenade",_xlfn.IFS(I419&gt;=0.2,1,I419&gt;=0.1,0.7,I419&gt;=0.05,0.4,TRUE,0),0))</f>
        <v>0.5</v>
      </c>
      <c r="L419" s="57">
        <f t="shared" si="101"/>
        <v>0.37037037037037035</v>
      </c>
    </row>
    <row r="420" spans="1:12" ht="15" customHeight="1" x14ac:dyDescent="0.25">
      <c r="A420" s="42" t="str" cm="1">
        <f t="array" ref="A420">IFERROR(INDEX(_xlfn._xlws.FILTER(Class_Players!A:A,Class_Players!B:B="Support"),QUOTIENT(ROW()-ROW($A$2),9)+1),"")</f>
        <v>SMALLS1984XB</v>
      </c>
      <c r="B420" s="42" t="str">
        <f>_xlfn.XLOOKUP(A420,Class_Players!$A:$A,Class_Players!$B:$B,"")</f>
        <v>Support</v>
      </c>
      <c r="C420" s="38" t="str" cm="1">
        <f t="array" ref="C420">INDEX(Lookups!$D$2:$D$10,MOD(ROW()-ROW($B$2),ROWS(Lookups!$D$2:$D$10))+1)</f>
        <v>SICH G1 WP (Incendiary Airburst Launcher)</v>
      </c>
      <c r="D420" s="38" t="str">
        <f>_xlfn.XLOOKUP(C420,Analysis_Gadgets!$C:$C,Analysis_Gadgets!$B:$B)</f>
        <v>Gadget</v>
      </c>
      <c r="E420" s="43">
        <v>2335</v>
      </c>
      <c r="F420" s="43">
        <f>_xlfn.XLOOKUP(A420,Class_Players!A:A,Class_Players!G:G)</f>
        <v>253</v>
      </c>
      <c r="G420" s="43">
        <f t="shared" si="88"/>
        <v>9.2292490118577071</v>
      </c>
      <c r="H420" s="43">
        <f>_xlfn.XLOOKUP(A420,Class_Players!$A:$A,Class_Players!$F:$F,"")</f>
        <v>12717</v>
      </c>
      <c r="I420" s="44">
        <f t="shared" si="89"/>
        <v>0.18361248722182905</v>
      </c>
      <c r="J420" s="43">
        <f t="shared" si="90"/>
        <v>1</v>
      </c>
      <c r="K420" s="44" cm="1">
        <f t="array" ref="K420">IF(D420="Gadget",_xlfn.IFS(I420&gt;=0.2,0.5,I420&gt;=0.1,0.35,I420&gt;=0.05,0.2,TRUE,0),IF(D420="Grenade",_xlfn.IFS(I420&gt;=0.2,1,I420&gt;=0.1,0.7,I420&gt;=0.05,0.4,TRUE,0),0))</f>
        <v>0.35</v>
      </c>
      <c r="L420" s="57">
        <f t="shared" si="101"/>
        <v>0.25925925925925924</v>
      </c>
    </row>
    <row r="421" spans="1:12" ht="15" customHeight="1" x14ac:dyDescent="0.25">
      <c r="A421" s="42" t="str" cm="1">
        <f t="array" ref="A421">IFERROR(INDEX(_xlfn._xlws.FILTER(Class_Players!A:A,Class_Players!B:B="Support"),QUOTIENT(ROW()-ROW($A$2),9)+1),"")</f>
        <v>SMALLS1984XB</v>
      </c>
      <c r="B421" s="42" t="str">
        <f>_xlfn.XLOOKUP(A421,Class_Players!$A:$A,Class_Players!$B:$B,"")</f>
        <v>Support</v>
      </c>
      <c r="C421" s="38" t="str" cm="1">
        <f t="array" ref="C421">INDEX(Lookups!$D$2:$D$10,MOD(ROW()-ROW($B$2),ROWS(Lookups!$D$2:$D$10))+1)</f>
        <v>Deployable Cover</v>
      </c>
      <c r="D421" s="38" t="str">
        <f>_xlfn.XLOOKUP(C421,Analysis_Gadgets!$C:$C,Analysis_Gadgets!$B:$B)</f>
        <v>Gadget</v>
      </c>
      <c r="E421" s="43">
        <v>301</v>
      </c>
      <c r="F421" s="43">
        <f>_xlfn.XLOOKUP(A421,Class_Players!A:A,Class_Players!G:G)</f>
        <v>253</v>
      </c>
      <c r="G421" s="43">
        <f t="shared" si="88"/>
        <v>1.1897233201581028</v>
      </c>
      <c r="H421" s="43">
        <f>_xlfn.XLOOKUP(A421,Class_Players!$A:$A,Class_Players!$F:$F,"")</f>
        <v>12717</v>
      </c>
      <c r="I421" s="44">
        <f t="shared" si="89"/>
        <v>2.366910434850987E-2</v>
      </c>
      <c r="J421" s="43">
        <f t="shared" si="90"/>
        <v>0</v>
      </c>
      <c r="K421" s="44" cm="1">
        <f t="array" ref="K421">IF(D421="Gadget",_xlfn.IFS(I421&gt;=0.2,0.5,I421&gt;=0.1,0.35,I421&gt;=0.05,0.2,TRUE,0),IF(D421="Grenade",_xlfn.IFS(I421&gt;=0.2,1,I421&gt;=0.1,0.7,I421&gt;=0.05,0.4,TRUE,0),0))</f>
        <v>0</v>
      </c>
      <c r="L421" s="57">
        <f t="shared" si="101"/>
        <v>0</v>
      </c>
    </row>
    <row r="422" spans="1:12" ht="15" customHeight="1" x14ac:dyDescent="0.25">
      <c r="A422" s="42" t="str" cm="1">
        <f t="array" ref="A422">IFERROR(INDEX(_xlfn._xlws.FILTER(Class_Players!A:A,Class_Players!B:B="Support"),QUOTIENT(ROW()-ROW($A$2),9)+1),"")</f>
        <v>SMALLS1984XB</v>
      </c>
      <c r="B422" s="42" t="str">
        <f>_xlfn.XLOOKUP(A422,Class_Players!$A:$A,Class_Players!$B:$B,"")</f>
        <v>Support</v>
      </c>
      <c r="C422" s="38" t="str" cm="1">
        <f t="array" ref="C422">INDEX(Lookups!$D$2:$D$10,MOD(ROW()-ROW($B$2),ROWS(Lookups!$D$2:$D$10))+1)</f>
        <v>Supply Pouch</v>
      </c>
      <c r="D422" s="38" t="str">
        <f>_xlfn.XLOOKUP(C422,Analysis_Gadgets!$C:$C,Analysis_Gadgets!$B:$B)</f>
        <v>Gadget</v>
      </c>
      <c r="E422" s="43">
        <v>8073</v>
      </c>
      <c r="F422" s="43">
        <f>_xlfn.XLOOKUP(A422,Class_Players!A:A,Class_Players!G:G)</f>
        <v>253</v>
      </c>
      <c r="G422" s="43">
        <f t="shared" si="88"/>
        <v>31.90909090909091</v>
      </c>
      <c r="H422" s="43">
        <f>_xlfn.XLOOKUP(A422,Class_Players!$A:$A,Class_Players!$F:$F,"")</f>
        <v>12717</v>
      </c>
      <c r="I422" s="44">
        <f t="shared" si="89"/>
        <v>0.63481953290870485</v>
      </c>
      <c r="J422" s="43">
        <f t="shared" si="90"/>
        <v>1</v>
      </c>
      <c r="K422" s="44" cm="1">
        <f t="array" ref="K422">IF(D422="Gadget",_xlfn.IFS(I422&gt;=0.2,0.5,I422&gt;=0.1,0.35,I422&gt;=0.05,0.2,TRUE,0),IF(D422="Grenade",_xlfn.IFS(I422&gt;=0.2,1,I422&gt;=0.1,0.7,I422&gt;=0.05,0.4,TRUE,0),0))</f>
        <v>0.5</v>
      </c>
      <c r="L422" s="57">
        <f t="shared" si="101"/>
        <v>0.37037037037037035</v>
      </c>
    </row>
    <row r="423" spans="1:12" ht="15" customHeight="1" x14ac:dyDescent="0.25">
      <c r="A423" s="42" t="str" cm="1">
        <f t="array" ref="A423">IFERROR(INDEX(_xlfn._xlws.FILTER(Class_Players!A:A,Class_Players!B:B="Support"),QUOTIENT(ROW()-ROW($A$2),9)+1),"")</f>
        <v>SMALLS1984XB</v>
      </c>
      <c r="B423" s="42" t="str">
        <f>_xlfn.XLOOKUP(A423,Class_Players!$A:$A,Class_Players!$B:$B,"")</f>
        <v>Support</v>
      </c>
      <c r="C423" s="38" t="str" cm="1">
        <f t="array" ref="C423">INDEX(Lookups!$D$2:$D$10,MOD(ROW()-ROW($B$2),ROWS(Lookups!$D$2:$D$10))+1)</f>
        <v>Smoke Grenade</v>
      </c>
      <c r="D423" s="38" t="str">
        <f>_xlfn.XLOOKUP(C423,Analysis_Gadgets!$C:$C,Analysis_Gadgets!$B:$B)</f>
        <v>Grenade</v>
      </c>
      <c r="E423" s="43">
        <v>19388</v>
      </c>
      <c r="F423" s="43">
        <f>_xlfn.XLOOKUP(A423,Class_Players!A:A,Class_Players!G:G)</f>
        <v>253</v>
      </c>
      <c r="G423" s="43">
        <f t="shared" si="88"/>
        <v>76.632411067193672</v>
      </c>
      <c r="H423" s="43">
        <f>_xlfn.XLOOKUP(A423,Class_Players!$A:$A,Class_Players!$F:$F,"")</f>
        <v>12717</v>
      </c>
      <c r="I423" s="44">
        <f t="shared" si="89"/>
        <v>1.5245734056774396</v>
      </c>
      <c r="J423" s="43">
        <f t="shared" si="90"/>
        <v>1</v>
      </c>
      <c r="K423" s="44" cm="1">
        <f t="array" ref="K423">IF(D423="Gadget",_xlfn.IFS(I423&gt;=0.2,0.5,I423&gt;=0.1,0.35,I423&gt;=0.05,0.2,TRUE,0),IF(D423="Grenade",_xlfn.IFS(I423&gt;=0.2,1,I423&gt;=0.1,0.7,I423&gt;=0.05,0.4,TRUE,0),0))</f>
        <v>1</v>
      </c>
      <c r="L423" s="57">
        <f t="shared" ref="L423:L424" si="102">IF($K423=0,0,$K423 / SUMIFS($K:$K,$A:$A,$A423,$D:$D,"Grenade"))</f>
        <v>0.7142857142857143</v>
      </c>
    </row>
    <row r="424" spans="1:12" ht="15" customHeight="1" x14ac:dyDescent="0.25">
      <c r="A424" s="42" t="str" cm="1">
        <f t="array" ref="A424">IFERROR(INDEX(_xlfn._xlws.FILTER(Class_Players!A:A,Class_Players!B:B="Support"),QUOTIENT(ROW()-ROW($A$2),9)+1),"")</f>
        <v>SMALLS1984XB</v>
      </c>
      <c r="B424" s="42" t="str">
        <f>_xlfn.XLOOKUP(A424,Class_Players!$A:$A,Class_Players!$B:$B,"")</f>
        <v>Support</v>
      </c>
      <c r="C424" s="38" t="str" cm="1">
        <f t="array" ref="C424">INDEX(Lookups!$D$2:$D$10,MOD(ROW()-ROW($B$2),ROWS(Lookups!$D$2:$D$10))+1)</f>
        <v>Incendiary Grenade</v>
      </c>
      <c r="D424" s="38" t="str">
        <f>_xlfn.XLOOKUP(C424,Analysis_Gadgets!$C:$C,Analysis_Gadgets!$B:$B)</f>
        <v>Grenade</v>
      </c>
      <c r="E424" s="43">
        <v>948</v>
      </c>
      <c r="F424" s="43">
        <f>_xlfn.XLOOKUP(A424,Class_Players!A:A,Class_Players!G:G)</f>
        <v>253</v>
      </c>
      <c r="G424" s="43">
        <f t="shared" si="88"/>
        <v>3.7470355731225298</v>
      </c>
      <c r="H424" s="43">
        <f>_xlfn.XLOOKUP(A424,Class_Players!$A:$A,Class_Players!$F:$F,"")</f>
        <v>12717</v>
      </c>
      <c r="I424" s="44">
        <f t="shared" si="89"/>
        <v>7.4545883463080914E-2</v>
      </c>
      <c r="J424" s="43">
        <f t="shared" si="90"/>
        <v>0</v>
      </c>
      <c r="K424" s="44" cm="1">
        <f t="array" ref="K424">IF(D424="Gadget",_xlfn.IFS(I424&gt;=0.2,0.5,I424&gt;=0.1,0.35,I424&gt;=0.05,0.2,TRUE,0),IF(D424="Grenade",_xlfn.IFS(I424&gt;=0.2,1,I424&gt;=0.1,0.7,I424&gt;=0.05,0.4,TRUE,0),0))</f>
        <v>0.4</v>
      </c>
      <c r="L424" s="57">
        <f t="shared" si="102"/>
        <v>0.28571428571428575</v>
      </c>
    </row>
    <row r="425" spans="1:12" ht="15" customHeight="1" x14ac:dyDescent="0.25">
      <c r="A425" s="42" t="str" cm="1">
        <f t="array" ref="A425">IFERROR(INDEX(_xlfn._xlws.FILTER(Class_Players!A:A,Class_Players!B:B="Support"),QUOTIENT(ROW()-ROW($A$2),9)+1),"")</f>
        <v>IKISUGIA1M</v>
      </c>
      <c r="B425" s="42" t="str">
        <f>_xlfn.XLOOKUP(A425,Class_Players!$A:$A,Class_Players!$B:$B,"")</f>
        <v>Support</v>
      </c>
      <c r="C425" s="38" t="str" cm="1">
        <f t="array" ref="C425">INDEX(Lookups!$D$2:$D$10,MOD(ROW()-ROW($B$2),ROWS(Lookups!$D$2:$D$10))+1)</f>
        <v>GPDIS (Grenade intercept system)</v>
      </c>
      <c r="D425" s="38" t="str">
        <f>_xlfn.XLOOKUP(C425,Analysis_Gadgets!$C:$C,Analysis_Gadgets!$B:$B)</f>
        <v>Gadget</v>
      </c>
      <c r="E425" s="43">
        <v>7338</v>
      </c>
      <c r="F425" s="43">
        <f>_xlfn.XLOOKUP(A425,Class_Players!A:A,Class_Players!G:G)</f>
        <v>325</v>
      </c>
      <c r="G425" s="43">
        <f t="shared" si="88"/>
        <v>22.578461538461539</v>
      </c>
      <c r="H425" s="43">
        <f>_xlfn.XLOOKUP(A425,Class_Players!$A:$A,Class_Players!$F:$F,"")</f>
        <v>12651</v>
      </c>
      <c r="I425" s="44">
        <f t="shared" si="89"/>
        <v>0.58003319895660421</v>
      </c>
      <c r="J425" s="43">
        <f t="shared" si="90"/>
        <v>1</v>
      </c>
      <c r="K425" s="44" cm="1">
        <f t="array" ref="K425">IF(D425="Gadget",_xlfn.IFS(I425&gt;=0.2,0.5,I425&gt;=0.1,0.35,I425&gt;=0.05,0.2,TRUE,0),IF(D425="Grenade",_xlfn.IFS(I425&gt;=0.2,1,I425&gt;=0.1,0.7,I425&gt;=0.05,0.4,TRUE,0),0))</f>
        <v>0.5</v>
      </c>
      <c r="L425" s="57">
        <f t="shared" ref="L425:L431" si="103">IF($K425=0,0,$K425 / SUMIFS($K:$K,$A:$A,$A425,$D:$D,"Gadget"))</f>
        <v>1</v>
      </c>
    </row>
    <row r="426" spans="1:12" ht="15" customHeight="1" x14ac:dyDescent="0.25">
      <c r="A426" s="42" t="str" cm="1">
        <f t="array" ref="A426">IFERROR(INDEX(_xlfn._xlws.FILTER(Class_Players!A:A,Class_Players!B:B="Support"),QUOTIENT(ROW()-ROW($A$2),9)+1),"")</f>
        <v>IKISUGIA1M</v>
      </c>
      <c r="B426" s="42" t="str">
        <f>_xlfn.XLOOKUP(A426,Class_Players!$A:$A,Class_Players!$B:$B,"")</f>
        <v>Support</v>
      </c>
      <c r="C426" s="38" t="str" cm="1">
        <f t="array" ref="C426">INDEX(Lookups!$D$2:$D$10,MOD(ROW()-ROW($B$2),ROWS(Lookups!$D$2:$D$10))+1)</f>
        <v>MP-APS (Missile intercept system)</v>
      </c>
      <c r="D426" s="38" t="str">
        <f>_xlfn.XLOOKUP(C426,Analysis_Gadgets!$C:$C,Analysis_Gadgets!$B:$B)</f>
        <v>Gadget</v>
      </c>
      <c r="E426" s="43">
        <v>48</v>
      </c>
      <c r="F426" s="43">
        <f>_xlfn.XLOOKUP(A426,Class_Players!A:A,Class_Players!G:G)</f>
        <v>325</v>
      </c>
      <c r="G426" s="43">
        <f t="shared" si="88"/>
        <v>0.14769230769230771</v>
      </c>
      <c r="H426" s="43">
        <f>_xlfn.XLOOKUP(A426,Class_Players!$A:$A,Class_Players!$F:$F,"")</f>
        <v>12651</v>
      </c>
      <c r="I426" s="44">
        <f t="shared" si="89"/>
        <v>3.7941664690538299E-3</v>
      </c>
      <c r="J426" s="43">
        <f t="shared" si="90"/>
        <v>0</v>
      </c>
      <c r="K426" s="44" cm="1">
        <f t="array" ref="K426">IF(D426="Gadget",_xlfn.IFS(I426&gt;=0.2,0.5,I426&gt;=0.1,0.35,I426&gt;=0.05,0.2,TRUE,0),IF(D426="Grenade",_xlfn.IFS(I426&gt;=0.2,1,I426&gt;=0.1,0.7,I426&gt;=0.05,0.4,TRUE,0),0))</f>
        <v>0</v>
      </c>
      <c r="L426" s="57">
        <f t="shared" si="103"/>
        <v>0</v>
      </c>
    </row>
    <row r="427" spans="1:12" ht="15" customHeight="1" x14ac:dyDescent="0.25">
      <c r="A427" s="42" t="str" cm="1">
        <f t="array" ref="A427">IFERROR(INDEX(_xlfn._xlws.FILTER(Class_Players!A:A,Class_Players!B:B="Support"),QUOTIENT(ROW()-ROW($A$2),9)+1),"")</f>
        <v>IKISUGIA1M</v>
      </c>
      <c r="B427" s="42" t="str">
        <f>_xlfn.XLOOKUP(A427,Class_Players!$A:$A,Class_Players!$B:$B,"")</f>
        <v>Support</v>
      </c>
      <c r="C427" s="38" t="str" cm="1">
        <f t="array" ref="C427">INDEX(Lookups!$D$2:$D$10,MOD(ROW()-ROW($B$2),ROWS(Lookups!$D$2:$D$10))+1)</f>
        <v>LWCMS (Mortar)</v>
      </c>
      <c r="D427" s="38" t="str">
        <f>_xlfn.XLOOKUP(C427,Analysis_Gadgets!$C:$C,Analysis_Gadgets!$B:$B)</f>
        <v>Gadget</v>
      </c>
      <c r="E427" s="43">
        <v>0</v>
      </c>
      <c r="F427" s="43">
        <f>_xlfn.XLOOKUP(A427,Class_Players!A:A,Class_Players!G:G)</f>
        <v>325</v>
      </c>
      <c r="G427" s="43">
        <f t="shared" si="88"/>
        <v>0</v>
      </c>
      <c r="H427" s="43">
        <f>_xlfn.XLOOKUP(A427,Class_Players!$A:$A,Class_Players!$F:$F,"")</f>
        <v>12651</v>
      </c>
      <c r="I427" s="44">
        <f t="shared" si="89"/>
        <v>0</v>
      </c>
      <c r="J427" s="43">
        <f t="shared" si="90"/>
        <v>0</v>
      </c>
      <c r="K427" s="44" cm="1">
        <f t="array" ref="K427">IF(D427="Gadget",_xlfn.IFS(I427&gt;=0.2,0.5,I427&gt;=0.1,0.35,I427&gt;=0.05,0.2,TRUE,0),IF(D427="Grenade",_xlfn.IFS(I427&gt;=0.2,1,I427&gt;=0.1,0.7,I427&gt;=0.05,0.4,TRUE,0),0))</f>
        <v>0</v>
      </c>
      <c r="L427" s="57">
        <f t="shared" si="103"/>
        <v>0</v>
      </c>
    </row>
    <row r="428" spans="1:12" ht="15" customHeight="1" x14ac:dyDescent="0.25">
      <c r="A428" s="42" t="str" cm="1">
        <f t="array" ref="A428">IFERROR(INDEX(_xlfn._xlws.FILTER(Class_Players!A:A,Class_Players!B:B="Support"),QUOTIENT(ROW()-ROW($A$2),9)+1),"")</f>
        <v>IKISUGIA1M</v>
      </c>
      <c r="B428" s="42" t="str">
        <f>_xlfn.XLOOKUP(A428,Class_Players!$A:$A,Class_Players!$B:$B,"")</f>
        <v>Support</v>
      </c>
      <c r="C428" s="38" t="str" cm="1">
        <f t="array" ref="C428">INDEX(Lookups!$D$2:$D$10,MOD(ROW()-ROW($B$2),ROWS(Lookups!$D$2:$D$10))+1)</f>
        <v>M320A1 SMK (Smoke Grenade Launcher)</v>
      </c>
      <c r="D428" s="38" t="str">
        <f>_xlfn.XLOOKUP(C428,Analysis_Gadgets!$C:$C,Analysis_Gadgets!$B:$B)</f>
        <v>Gadget</v>
      </c>
      <c r="E428" s="43">
        <v>4</v>
      </c>
      <c r="F428" s="43">
        <f>_xlfn.XLOOKUP(A428,Class_Players!A:A,Class_Players!G:G)</f>
        <v>325</v>
      </c>
      <c r="G428" s="43">
        <f t="shared" si="88"/>
        <v>1.2307692307692308E-2</v>
      </c>
      <c r="H428" s="43">
        <f>_xlfn.XLOOKUP(A428,Class_Players!$A:$A,Class_Players!$F:$F,"")</f>
        <v>12651</v>
      </c>
      <c r="I428" s="44">
        <f t="shared" si="89"/>
        <v>3.1618053908781914E-4</v>
      </c>
      <c r="J428" s="43">
        <f t="shared" si="90"/>
        <v>0</v>
      </c>
      <c r="K428" s="44" cm="1">
        <f t="array" ref="K428">IF(D428="Gadget",_xlfn.IFS(I428&gt;=0.2,0.5,I428&gt;=0.1,0.35,I428&gt;=0.05,0.2,TRUE,0),IF(D428="Grenade",_xlfn.IFS(I428&gt;=0.2,1,I428&gt;=0.1,0.7,I428&gt;=0.05,0.4,TRUE,0),0))</f>
        <v>0</v>
      </c>
      <c r="L428" s="57">
        <f t="shared" si="103"/>
        <v>0</v>
      </c>
    </row>
    <row r="429" spans="1:12" ht="15" customHeight="1" x14ac:dyDescent="0.25">
      <c r="A429" s="42" t="str" cm="1">
        <f t="array" ref="A429">IFERROR(INDEX(_xlfn._xlws.FILTER(Class_Players!A:A,Class_Players!B:B="Support"),QUOTIENT(ROW()-ROW($A$2),9)+1),"")</f>
        <v>IKISUGIA1M</v>
      </c>
      <c r="B429" s="42" t="str">
        <f>_xlfn.XLOOKUP(A429,Class_Players!$A:$A,Class_Players!$B:$B,"")</f>
        <v>Support</v>
      </c>
      <c r="C429" s="38" t="str" cm="1">
        <f t="array" ref="C429">INDEX(Lookups!$D$2:$D$10,MOD(ROW()-ROW($B$2),ROWS(Lookups!$D$2:$D$10))+1)</f>
        <v>SICH G1 WP (Incendiary Airburst Launcher)</v>
      </c>
      <c r="D429" s="38" t="str">
        <f>_xlfn.XLOOKUP(C429,Analysis_Gadgets!$C:$C,Analysis_Gadgets!$B:$B)</f>
        <v>Gadget</v>
      </c>
      <c r="E429" s="43">
        <v>0</v>
      </c>
      <c r="F429" s="43">
        <f>_xlfn.XLOOKUP(A429,Class_Players!A:A,Class_Players!G:G)</f>
        <v>325</v>
      </c>
      <c r="G429" s="43">
        <f t="shared" si="88"/>
        <v>0</v>
      </c>
      <c r="H429" s="43">
        <f>_xlfn.XLOOKUP(A429,Class_Players!$A:$A,Class_Players!$F:$F,"")</f>
        <v>12651</v>
      </c>
      <c r="I429" s="44">
        <f t="shared" si="89"/>
        <v>0</v>
      </c>
      <c r="J429" s="43">
        <f t="shared" si="90"/>
        <v>0</v>
      </c>
      <c r="K429" s="44" cm="1">
        <f t="array" ref="K429">IF(D429="Gadget",_xlfn.IFS(I429&gt;=0.2,0.5,I429&gt;=0.1,0.35,I429&gt;=0.05,0.2,TRUE,0),IF(D429="Grenade",_xlfn.IFS(I429&gt;=0.2,1,I429&gt;=0.1,0.7,I429&gt;=0.05,0.4,TRUE,0),0))</f>
        <v>0</v>
      </c>
      <c r="L429" s="57">
        <f t="shared" si="103"/>
        <v>0</v>
      </c>
    </row>
    <row r="430" spans="1:12" ht="15" customHeight="1" x14ac:dyDescent="0.25">
      <c r="A430" s="42" t="str" cm="1">
        <f t="array" ref="A430">IFERROR(INDEX(_xlfn._xlws.FILTER(Class_Players!A:A,Class_Players!B:B="Support"),QUOTIENT(ROW()-ROW($A$2),9)+1),"")</f>
        <v>IKISUGIA1M</v>
      </c>
      <c r="B430" s="42" t="str">
        <f>_xlfn.XLOOKUP(A430,Class_Players!$A:$A,Class_Players!$B:$B,"")</f>
        <v>Support</v>
      </c>
      <c r="C430" s="38" t="str" cm="1">
        <f t="array" ref="C430">INDEX(Lookups!$D$2:$D$10,MOD(ROW()-ROW($B$2),ROWS(Lookups!$D$2:$D$10))+1)</f>
        <v>Deployable Cover</v>
      </c>
      <c r="D430" s="38" t="str">
        <f>_xlfn.XLOOKUP(C430,Analysis_Gadgets!$C:$C,Analysis_Gadgets!$B:$B)</f>
        <v>Gadget</v>
      </c>
      <c r="E430" s="43">
        <v>124</v>
      </c>
      <c r="F430" s="43">
        <f>_xlfn.XLOOKUP(A430,Class_Players!A:A,Class_Players!G:G)</f>
        <v>325</v>
      </c>
      <c r="G430" s="43">
        <f t="shared" si="88"/>
        <v>0.38153846153846155</v>
      </c>
      <c r="H430" s="43">
        <f>_xlfn.XLOOKUP(A430,Class_Players!$A:$A,Class_Players!$F:$F,"")</f>
        <v>12651</v>
      </c>
      <c r="I430" s="44">
        <f t="shared" si="89"/>
        <v>9.8015967117223938E-3</v>
      </c>
      <c r="J430" s="43">
        <f t="shared" si="90"/>
        <v>0</v>
      </c>
      <c r="K430" s="44" cm="1">
        <f t="array" ref="K430">IF(D430="Gadget",_xlfn.IFS(I430&gt;=0.2,0.5,I430&gt;=0.1,0.35,I430&gt;=0.05,0.2,TRUE,0),IF(D430="Grenade",_xlfn.IFS(I430&gt;=0.2,1,I430&gt;=0.1,0.7,I430&gt;=0.05,0.4,TRUE,0),0))</f>
        <v>0</v>
      </c>
      <c r="L430" s="57">
        <f t="shared" si="103"/>
        <v>0</v>
      </c>
    </row>
    <row r="431" spans="1:12" ht="15" customHeight="1" x14ac:dyDescent="0.25">
      <c r="A431" s="42" t="str" cm="1">
        <f t="array" ref="A431">IFERROR(INDEX(_xlfn._xlws.FILTER(Class_Players!A:A,Class_Players!B:B="Support"),QUOTIENT(ROW()-ROW($A$2),9)+1),"")</f>
        <v>IKISUGIA1M</v>
      </c>
      <c r="B431" s="42" t="str">
        <f>_xlfn.XLOOKUP(A431,Class_Players!$A:$A,Class_Players!$B:$B,"")</f>
        <v>Support</v>
      </c>
      <c r="C431" s="38" t="str" cm="1">
        <f t="array" ref="C431">INDEX(Lookups!$D$2:$D$10,MOD(ROW()-ROW($B$2),ROWS(Lookups!$D$2:$D$10))+1)</f>
        <v>Supply Pouch</v>
      </c>
      <c r="D431" s="38" t="str">
        <f>_xlfn.XLOOKUP(C431,Analysis_Gadgets!$C:$C,Analysis_Gadgets!$B:$B)</f>
        <v>Gadget</v>
      </c>
      <c r="E431" s="43">
        <v>38</v>
      </c>
      <c r="F431" s="43">
        <f>_xlfn.XLOOKUP(A431,Class_Players!A:A,Class_Players!G:G)</f>
        <v>325</v>
      </c>
      <c r="G431" s="43">
        <f t="shared" si="88"/>
        <v>0.11692307692307692</v>
      </c>
      <c r="H431" s="43">
        <f>_xlfn.XLOOKUP(A431,Class_Players!$A:$A,Class_Players!$F:$F,"")</f>
        <v>12651</v>
      </c>
      <c r="I431" s="44">
        <f t="shared" si="89"/>
        <v>3.0037151213342817E-3</v>
      </c>
      <c r="J431" s="43">
        <f t="shared" si="90"/>
        <v>0</v>
      </c>
      <c r="K431" s="44" cm="1">
        <f t="array" ref="K431">IF(D431="Gadget",_xlfn.IFS(I431&gt;=0.2,0.5,I431&gt;=0.1,0.35,I431&gt;=0.05,0.2,TRUE,0),IF(D431="Grenade",_xlfn.IFS(I431&gt;=0.2,1,I431&gt;=0.1,0.7,I431&gt;=0.05,0.4,TRUE,0),0))</f>
        <v>0</v>
      </c>
      <c r="L431" s="57">
        <f t="shared" si="103"/>
        <v>0</v>
      </c>
    </row>
    <row r="432" spans="1:12" ht="15" customHeight="1" x14ac:dyDescent="0.25">
      <c r="A432" s="42" t="str" cm="1">
        <f t="array" ref="A432">IFERROR(INDEX(_xlfn._xlws.FILTER(Class_Players!A:A,Class_Players!B:B="Support"),QUOTIENT(ROW()-ROW($A$2),9)+1),"")</f>
        <v>IKISUGIA1M</v>
      </c>
      <c r="B432" s="42" t="str">
        <f>_xlfn.XLOOKUP(A432,Class_Players!$A:$A,Class_Players!$B:$B,"")</f>
        <v>Support</v>
      </c>
      <c r="C432" s="38" t="str" cm="1">
        <f t="array" ref="C432">INDEX(Lookups!$D$2:$D$10,MOD(ROW()-ROW($B$2),ROWS(Lookups!$D$2:$D$10))+1)</f>
        <v>Smoke Grenade</v>
      </c>
      <c r="D432" s="38" t="str">
        <f>_xlfn.XLOOKUP(C432,Analysis_Gadgets!$C:$C,Analysis_Gadgets!$B:$B)</f>
        <v>Grenade</v>
      </c>
      <c r="E432" s="43">
        <v>127</v>
      </c>
      <c r="F432" s="43">
        <f>_xlfn.XLOOKUP(A432,Class_Players!A:A,Class_Players!G:G)</f>
        <v>325</v>
      </c>
      <c r="G432" s="43">
        <f t="shared" si="88"/>
        <v>0.39076923076923076</v>
      </c>
      <c r="H432" s="43">
        <f>_xlfn.XLOOKUP(A432,Class_Players!$A:$A,Class_Players!$F:$F,"")</f>
        <v>12651</v>
      </c>
      <c r="I432" s="44">
        <f t="shared" si="89"/>
        <v>1.0038732116038257E-2</v>
      </c>
      <c r="J432" s="43">
        <f t="shared" si="90"/>
        <v>0</v>
      </c>
      <c r="K432" s="44" cm="1">
        <f t="array" ref="K432">IF(D432="Gadget",_xlfn.IFS(I432&gt;=0.2,0.5,I432&gt;=0.1,0.35,I432&gt;=0.05,0.2,TRUE,0),IF(D432="Grenade",_xlfn.IFS(I432&gt;=0.2,1,I432&gt;=0.1,0.7,I432&gt;=0.05,0.4,TRUE,0),0))</f>
        <v>0</v>
      </c>
      <c r="L432" s="57">
        <f t="shared" ref="L432:L433" si="104">IF($K432=0,0,$K432 / SUMIFS($K:$K,$A:$A,$A432,$D:$D,"Grenade"))</f>
        <v>0</v>
      </c>
    </row>
    <row r="433" spans="1:12" ht="15" customHeight="1" x14ac:dyDescent="0.25">
      <c r="A433" s="42" t="str" cm="1">
        <f t="array" ref="A433">IFERROR(INDEX(_xlfn._xlws.FILTER(Class_Players!A:A,Class_Players!B:B="Support"),QUOTIENT(ROW()-ROW($A$2),9)+1),"")</f>
        <v>IKISUGIA1M</v>
      </c>
      <c r="B433" s="42" t="str">
        <f>_xlfn.XLOOKUP(A433,Class_Players!$A:$A,Class_Players!$B:$B,"")</f>
        <v>Support</v>
      </c>
      <c r="C433" s="38" t="str" cm="1">
        <f t="array" ref="C433">INDEX(Lookups!$D$2:$D$10,MOD(ROW()-ROW($B$2),ROWS(Lookups!$D$2:$D$10))+1)</f>
        <v>Incendiary Grenade</v>
      </c>
      <c r="D433" s="38" t="str">
        <f>_xlfn.XLOOKUP(C433,Analysis_Gadgets!$C:$C,Analysis_Gadgets!$B:$B)</f>
        <v>Grenade</v>
      </c>
      <c r="E433" s="43">
        <v>4</v>
      </c>
      <c r="F433" s="43">
        <f>_xlfn.XLOOKUP(A433,Class_Players!A:A,Class_Players!G:G)</f>
        <v>325</v>
      </c>
      <c r="G433" s="43">
        <f t="shared" si="88"/>
        <v>1.2307692307692308E-2</v>
      </c>
      <c r="H433" s="43">
        <f>_xlfn.XLOOKUP(A433,Class_Players!$A:$A,Class_Players!$F:$F,"")</f>
        <v>12651</v>
      </c>
      <c r="I433" s="44">
        <f t="shared" si="89"/>
        <v>3.1618053908781914E-4</v>
      </c>
      <c r="J433" s="43">
        <f t="shared" si="90"/>
        <v>0</v>
      </c>
      <c r="K433" s="44" cm="1">
        <f t="array" ref="K433">IF(D433="Gadget",_xlfn.IFS(I433&gt;=0.2,0.5,I433&gt;=0.1,0.35,I433&gt;=0.05,0.2,TRUE,0),IF(D433="Grenade",_xlfn.IFS(I433&gt;=0.2,1,I433&gt;=0.1,0.7,I433&gt;=0.05,0.4,TRUE,0),0))</f>
        <v>0</v>
      </c>
      <c r="L433" s="57">
        <f t="shared" si="104"/>
        <v>0</v>
      </c>
    </row>
    <row r="434" spans="1:12" ht="15" customHeight="1" x14ac:dyDescent="0.25">
      <c r="A434" s="42" t="str" cm="1">
        <f t="array" ref="A434">IFERROR(INDEX(_xlfn._xlws.FILTER(Class_Players!A:A,Class_Players!B:B="Support"),QUOTIENT(ROW()-ROW($A$2),9)+1),"")</f>
        <v>BeEatinU7533</v>
      </c>
      <c r="B434" s="42" t="str">
        <f>_xlfn.XLOOKUP(A434,Class_Players!$A:$A,Class_Players!$B:$B,"")</f>
        <v>Support</v>
      </c>
      <c r="C434" s="38" t="str" cm="1">
        <f t="array" ref="C434">INDEX(Lookups!$D$2:$D$10,MOD(ROW()-ROW($B$2),ROWS(Lookups!$D$2:$D$10))+1)</f>
        <v>GPDIS (Grenade intercept system)</v>
      </c>
      <c r="D434" s="38" t="str">
        <f>_xlfn.XLOOKUP(C434,Analysis_Gadgets!$C:$C,Analysis_Gadgets!$B:$B)</f>
        <v>Gadget</v>
      </c>
      <c r="E434" s="43">
        <v>101</v>
      </c>
      <c r="F434" s="43">
        <f>_xlfn.XLOOKUP(A434,Class_Players!A:A,Class_Players!G:G)</f>
        <v>183</v>
      </c>
      <c r="G434" s="43">
        <f t="shared" si="88"/>
        <v>0.55191256830601088</v>
      </c>
      <c r="H434" s="43">
        <f>_xlfn.XLOOKUP(A434,Class_Players!$A:$A,Class_Players!$F:$F,"")</f>
        <v>12565</v>
      </c>
      <c r="I434" s="44">
        <f t="shared" si="89"/>
        <v>8.0382013529645847E-3</v>
      </c>
      <c r="J434" s="43">
        <f t="shared" si="90"/>
        <v>0</v>
      </c>
      <c r="K434" s="44" cm="1">
        <f t="array" ref="K434">IF(D434="Gadget",_xlfn.IFS(I434&gt;=0.2,0.5,I434&gt;=0.1,0.35,I434&gt;=0.05,0.2,TRUE,0),IF(D434="Grenade",_xlfn.IFS(I434&gt;=0.2,1,I434&gt;=0.1,0.7,I434&gt;=0.05,0.4,TRUE,0),0))</f>
        <v>0</v>
      </c>
      <c r="L434" s="57">
        <f t="shared" ref="L434:L440" si="105">IF($K434=0,0,$K434 / SUMIFS($K:$K,$A:$A,$A434,$D:$D,"Gadget"))</f>
        <v>0</v>
      </c>
    </row>
    <row r="435" spans="1:12" ht="15" customHeight="1" x14ac:dyDescent="0.25">
      <c r="A435" s="42" t="str" cm="1">
        <f t="array" ref="A435">IFERROR(INDEX(_xlfn._xlws.FILTER(Class_Players!A:A,Class_Players!B:B="Support"),QUOTIENT(ROW()-ROW($A$2),9)+1),"")</f>
        <v>BeEatinU7533</v>
      </c>
      <c r="B435" s="42" t="str">
        <f>_xlfn.XLOOKUP(A435,Class_Players!$A:$A,Class_Players!$B:$B,"")</f>
        <v>Support</v>
      </c>
      <c r="C435" s="38" t="str" cm="1">
        <f t="array" ref="C435">INDEX(Lookups!$D$2:$D$10,MOD(ROW()-ROW($B$2),ROWS(Lookups!$D$2:$D$10))+1)</f>
        <v>MP-APS (Missile intercept system)</v>
      </c>
      <c r="D435" s="38" t="str">
        <f>_xlfn.XLOOKUP(C435,Analysis_Gadgets!$C:$C,Analysis_Gadgets!$B:$B)</f>
        <v>Gadget</v>
      </c>
      <c r="E435" s="43">
        <v>29</v>
      </c>
      <c r="F435" s="43">
        <f>_xlfn.XLOOKUP(A435,Class_Players!A:A,Class_Players!G:G)</f>
        <v>183</v>
      </c>
      <c r="G435" s="43">
        <f t="shared" ref="G435:G442" si="106">IF(F435=0,"",E435/(F435))</f>
        <v>0.15846994535519127</v>
      </c>
      <c r="H435" s="43">
        <f>_xlfn.XLOOKUP(A435,Class_Players!$A:$A,Class_Players!$F:$F,"")</f>
        <v>12565</v>
      </c>
      <c r="I435" s="44">
        <f t="shared" ref="I435:I442" si="107">IF(H435=0,"",E435/H435)</f>
        <v>2.3079984082769599E-3</v>
      </c>
      <c r="J435" s="43">
        <f t="shared" ref="J435:J442" si="108">IF(I435&gt;=0.1,1,0)</f>
        <v>0</v>
      </c>
      <c r="K435" s="44" cm="1">
        <f t="array" ref="K435">IF(D435="Gadget",_xlfn.IFS(I435&gt;=0.2,0.5,I435&gt;=0.1,0.35,I435&gt;=0.05,0.2,TRUE,0),IF(D435="Grenade",_xlfn.IFS(I435&gt;=0.2,1,I435&gt;=0.1,0.7,I435&gt;=0.05,0.4,TRUE,0),0))</f>
        <v>0</v>
      </c>
      <c r="L435" s="57">
        <f t="shared" si="105"/>
        <v>0</v>
      </c>
    </row>
    <row r="436" spans="1:12" ht="15" customHeight="1" x14ac:dyDescent="0.25">
      <c r="A436" s="42" t="str" cm="1">
        <f t="array" ref="A436">IFERROR(INDEX(_xlfn._xlws.FILTER(Class_Players!A:A,Class_Players!B:B="Support"),QUOTIENT(ROW()-ROW($A$2),9)+1),"")</f>
        <v>BeEatinU7533</v>
      </c>
      <c r="B436" s="42" t="str">
        <f>_xlfn.XLOOKUP(A436,Class_Players!$A:$A,Class_Players!$B:$B,"")</f>
        <v>Support</v>
      </c>
      <c r="C436" s="38" t="str" cm="1">
        <f t="array" ref="C436">INDEX(Lookups!$D$2:$D$10,MOD(ROW()-ROW($B$2),ROWS(Lookups!$D$2:$D$10))+1)</f>
        <v>LWCMS (Mortar)</v>
      </c>
      <c r="D436" s="38" t="str">
        <f>_xlfn.XLOOKUP(C436,Analysis_Gadgets!$C:$C,Analysis_Gadgets!$B:$B)</f>
        <v>Gadget</v>
      </c>
      <c r="E436" s="43">
        <v>27</v>
      </c>
      <c r="F436" s="43">
        <f>_xlfn.XLOOKUP(A436,Class_Players!A:A,Class_Players!G:G)</f>
        <v>183</v>
      </c>
      <c r="G436" s="43">
        <f t="shared" si="106"/>
        <v>0.14754098360655737</v>
      </c>
      <c r="H436" s="43">
        <f>_xlfn.XLOOKUP(A436,Class_Players!$A:$A,Class_Players!$F:$F,"")</f>
        <v>12565</v>
      </c>
      <c r="I436" s="44">
        <f t="shared" si="107"/>
        <v>2.1488261042578592E-3</v>
      </c>
      <c r="J436" s="43">
        <f t="shared" si="108"/>
        <v>0</v>
      </c>
      <c r="K436" s="44" cm="1">
        <f t="array" ref="K436">IF(D436="Gadget",_xlfn.IFS(I436&gt;=0.2,0.5,I436&gt;=0.1,0.35,I436&gt;=0.05,0.2,TRUE,0),IF(D436="Grenade",_xlfn.IFS(I436&gt;=0.2,1,I436&gt;=0.1,0.7,I436&gt;=0.05,0.4,TRUE,0),0))</f>
        <v>0</v>
      </c>
      <c r="L436" s="57">
        <f t="shared" si="105"/>
        <v>0</v>
      </c>
    </row>
    <row r="437" spans="1:12" ht="15" customHeight="1" x14ac:dyDescent="0.25">
      <c r="A437" s="42" t="str" cm="1">
        <f t="array" ref="A437">IFERROR(INDEX(_xlfn._xlws.FILTER(Class_Players!A:A,Class_Players!B:B="Support"),QUOTIENT(ROW()-ROW($A$2),9)+1),"")</f>
        <v>BeEatinU7533</v>
      </c>
      <c r="B437" s="42" t="str">
        <f>_xlfn.XLOOKUP(A437,Class_Players!$A:$A,Class_Players!$B:$B,"")</f>
        <v>Support</v>
      </c>
      <c r="C437" s="38" t="str" cm="1">
        <f t="array" ref="C437">INDEX(Lookups!$D$2:$D$10,MOD(ROW()-ROW($B$2),ROWS(Lookups!$D$2:$D$10))+1)</f>
        <v>M320A1 SMK (Smoke Grenade Launcher)</v>
      </c>
      <c r="D437" s="38" t="str">
        <f>_xlfn.XLOOKUP(C437,Analysis_Gadgets!$C:$C,Analysis_Gadgets!$B:$B)</f>
        <v>Gadget</v>
      </c>
      <c r="E437" s="43">
        <v>129</v>
      </c>
      <c r="F437" s="43">
        <f>_xlfn.XLOOKUP(A437,Class_Players!A:A,Class_Players!G:G)</f>
        <v>183</v>
      </c>
      <c r="G437" s="43">
        <f t="shared" si="106"/>
        <v>0.70491803278688525</v>
      </c>
      <c r="H437" s="43">
        <f>_xlfn.XLOOKUP(A437,Class_Players!$A:$A,Class_Players!$F:$F,"")</f>
        <v>12565</v>
      </c>
      <c r="I437" s="44">
        <f t="shared" si="107"/>
        <v>1.0266613609231994E-2</v>
      </c>
      <c r="J437" s="43">
        <f t="shared" si="108"/>
        <v>0</v>
      </c>
      <c r="K437" s="44" cm="1">
        <f t="array" ref="K437">IF(D437="Gadget",_xlfn.IFS(I437&gt;=0.2,0.5,I437&gt;=0.1,0.35,I437&gt;=0.05,0.2,TRUE,0),IF(D437="Grenade",_xlfn.IFS(I437&gt;=0.2,1,I437&gt;=0.1,0.7,I437&gt;=0.05,0.4,TRUE,0),0))</f>
        <v>0</v>
      </c>
      <c r="L437" s="57">
        <f t="shared" si="105"/>
        <v>0</v>
      </c>
    </row>
    <row r="438" spans="1:12" ht="15" customHeight="1" x14ac:dyDescent="0.25">
      <c r="A438" s="42" t="str" cm="1">
        <f t="array" ref="A438">IFERROR(INDEX(_xlfn._xlws.FILTER(Class_Players!A:A,Class_Players!B:B="Support"),QUOTIENT(ROW()-ROW($A$2),9)+1),"")</f>
        <v>BeEatinU7533</v>
      </c>
      <c r="B438" s="42" t="str">
        <f>_xlfn.XLOOKUP(A438,Class_Players!$A:$A,Class_Players!$B:$B,"")</f>
        <v>Support</v>
      </c>
      <c r="C438" s="38" t="str" cm="1">
        <f t="array" ref="C438">INDEX(Lookups!$D$2:$D$10,MOD(ROW()-ROW($B$2),ROWS(Lookups!$D$2:$D$10))+1)</f>
        <v>SICH G1 WP (Incendiary Airburst Launcher)</v>
      </c>
      <c r="D438" s="38" t="str">
        <f>_xlfn.XLOOKUP(C438,Analysis_Gadgets!$C:$C,Analysis_Gadgets!$B:$B)</f>
        <v>Gadget</v>
      </c>
      <c r="E438" s="43">
        <v>151</v>
      </c>
      <c r="F438" s="43">
        <f>_xlfn.XLOOKUP(A438,Class_Players!A:A,Class_Players!G:G)</f>
        <v>183</v>
      </c>
      <c r="G438" s="43">
        <f t="shared" si="106"/>
        <v>0.82513661202185795</v>
      </c>
      <c r="H438" s="43">
        <f>_xlfn.XLOOKUP(A438,Class_Players!$A:$A,Class_Players!$F:$F,"")</f>
        <v>12565</v>
      </c>
      <c r="I438" s="44">
        <f t="shared" si="107"/>
        <v>1.2017508953442101E-2</v>
      </c>
      <c r="J438" s="43">
        <f t="shared" si="108"/>
        <v>0</v>
      </c>
      <c r="K438" s="44" cm="1">
        <f t="array" ref="K438">IF(D438="Gadget",_xlfn.IFS(I438&gt;=0.2,0.5,I438&gt;=0.1,0.35,I438&gt;=0.05,0.2,TRUE,0),IF(D438="Grenade",_xlfn.IFS(I438&gt;=0.2,1,I438&gt;=0.1,0.7,I438&gt;=0.05,0.4,TRUE,0),0))</f>
        <v>0</v>
      </c>
      <c r="L438" s="57">
        <f t="shared" si="105"/>
        <v>0</v>
      </c>
    </row>
    <row r="439" spans="1:12" ht="15" customHeight="1" x14ac:dyDescent="0.25">
      <c r="A439" s="42" t="str" cm="1">
        <f t="array" ref="A439">IFERROR(INDEX(_xlfn._xlws.FILTER(Class_Players!A:A,Class_Players!B:B="Support"),QUOTIENT(ROW()-ROW($A$2),9)+1),"")</f>
        <v>BeEatinU7533</v>
      </c>
      <c r="B439" s="42" t="str">
        <f>_xlfn.XLOOKUP(A439,Class_Players!$A:$A,Class_Players!$B:$B,"")</f>
        <v>Support</v>
      </c>
      <c r="C439" s="38" t="str" cm="1">
        <f t="array" ref="C439">INDEX(Lookups!$D$2:$D$10,MOD(ROW()-ROW($B$2),ROWS(Lookups!$D$2:$D$10))+1)</f>
        <v>Deployable Cover</v>
      </c>
      <c r="D439" s="38" t="str">
        <f>_xlfn.XLOOKUP(C439,Analysis_Gadgets!$C:$C,Analysis_Gadgets!$B:$B)</f>
        <v>Gadget</v>
      </c>
      <c r="E439" s="43">
        <v>2171</v>
      </c>
      <c r="F439" s="43">
        <f>_xlfn.XLOOKUP(A439,Class_Players!A:A,Class_Players!G:G)</f>
        <v>183</v>
      </c>
      <c r="G439" s="43">
        <f t="shared" si="106"/>
        <v>11.863387978142077</v>
      </c>
      <c r="H439" s="43">
        <f>_xlfn.XLOOKUP(A439,Class_Players!$A:$A,Class_Players!$F:$F,"")</f>
        <v>12565</v>
      </c>
      <c r="I439" s="44">
        <f t="shared" si="107"/>
        <v>0.17278153601273377</v>
      </c>
      <c r="J439" s="43">
        <f t="shared" si="108"/>
        <v>1</v>
      </c>
      <c r="K439" s="44" cm="1">
        <f t="array" ref="K439">IF(D439="Gadget",_xlfn.IFS(I439&gt;=0.2,0.5,I439&gt;=0.1,0.35,I439&gt;=0.05,0.2,TRUE,0),IF(D439="Grenade",_xlfn.IFS(I439&gt;=0.2,1,I439&gt;=0.1,0.7,I439&gt;=0.05,0.4,TRUE,0),0))</f>
        <v>0.35</v>
      </c>
      <c r="L439" s="57">
        <f t="shared" si="105"/>
        <v>1</v>
      </c>
    </row>
    <row r="440" spans="1:12" ht="15" customHeight="1" x14ac:dyDescent="0.25">
      <c r="A440" s="42" t="str" cm="1">
        <f t="array" ref="A440">IFERROR(INDEX(_xlfn._xlws.FILTER(Class_Players!A:A,Class_Players!B:B="Support"),QUOTIENT(ROW()-ROW($A$2),9)+1),"")</f>
        <v>BeEatinU7533</v>
      </c>
      <c r="B440" s="42" t="str">
        <f>_xlfn.XLOOKUP(A440,Class_Players!$A:$A,Class_Players!$B:$B,"")</f>
        <v>Support</v>
      </c>
      <c r="C440" s="38" t="str" cm="1">
        <f t="array" ref="C440">INDEX(Lookups!$D$2:$D$10,MOD(ROW()-ROW($B$2),ROWS(Lookups!$D$2:$D$10))+1)</f>
        <v>Supply Pouch</v>
      </c>
      <c r="D440" s="38" t="str">
        <f>_xlfn.XLOOKUP(C440,Analysis_Gadgets!$C:$C,Analysis_Gadgets!$B:$B)</f>
        <v>Gadget</v>
      </c>
      <c r="E440" s="43">
        <v>224</v>
      </c>
      <c r="F440" s="43">
        <f>_xlfn.XLOOKUP(A440,Class_Players!A:A,Class_Players!G:G)</f>
        <v>183</v>
      </c>
      <c r="G440" s="43">
        <f t="shared" si="106"/>
        <v>1.2240437158469946</v>
      </c>
      <c r="H440" s="43">
        <f>_xlfn.XLOOKUP(A440,Class_Players!$A:$A,Class_Players!$F:$F,"")</f>
        <v>12565</v>
      </c>
      <c r="I440" s="44">
        <f t="shared" si="107"/>
        <v>1.7827298050139277E-2</v>
      </c>
      <c r="J440" s="43">
        <f t="shared" si="108"/>
        <v>0</v>
      </c>
      <c r="K440" s="44" cm="1">
        <f t="array" ref="K440">IF(D440="Gadget",_xlfn.IFS(I440&gt;=0.2,0.5,I440&gt;=0.1,0.35,I440&gt;=0.05,0.2,TRUE,0),IF(D440="Grenade",_xlfn.IFS(I440&gt;=0.2,1,I440&gt;=0.1,0.7,I440&gt;=0.05,0.4,TRUE,0),0))</f>
        <v>0</v>
      </c>
      <c r="L440" s="57">
        <f t="shared" si="105"/>
        <v>0</v>
      </c>
    </row>
    <row r="441" spans="1:12" ht="15" customHeight="1" x14ac:dyDescent="0.25">
      <c r="A441" s="42" t="str" cm="1">
        <f t="array" ref="A441">IFERROR(INDEX(_xlfn._xlws.FILTER(Class_Players!A:A,Class_Players!B:B="Support"),QUOTIENT(ROW()-ROW($A$2),9)+1),"")</f>
        <v>BeEatinU7533</v>
      </c>
      <c r="B441" s="42" t="str">
        <f>_xlfn.XLOOKUP(A441,Class_Players!$A:$A,Class_Players!$B:$B,"")</f>
        <v>Support</v>
      </c>
      <c r="C441" s="38" t="str" cm="1">
        <f t="array" ref="C441">INDEX(Lookups!$D$2:$D$10,MOD(ROW()-ROW($B$2),ROWS(Lookups!$D$2:$D$10))+1)</f>
        <v>Smoke Grenade</v>
      </c>
      <c r="D441" s="38" t="str">
        <f>_xlfn.XLOOKUP(C441,Analysis_Gadgets!$C:$C,Analysis_Gadgets!$B:$B)</f>
        <v>Grenade</v>
      </c>
      <c r="E441" s="43">
        <v>2300</v>
      </c>
      <c r="F441" s="43">
        <f>_xlfn.XLOOKUP(A441,Class_Players!A:A,Class_Players!G:G)</f>
        <v>183</v>
      </c>
      <c r="G441" s="43">
        <f t="shared" si="106"/>
        <v>12.568306010928962</v>
      </c>
      <c r="H441" s="43">
        <f>_xlfn.XLOOKUP(A441,Class_Players!$A:$A,Class_Players!$F:$F,"")</f>
        <v>12565</v>
      </c>
      <c r="I441" s="44">
        <f t="shared" si="107"/>
        <v>0.18304814962196578</v>
      </c>
      <c r="J441" s="43">
        <f t="shared" si="108"/>
        <v>1</v>
      </c>
      <c r="K441" s="44" cm="1">
        <f t="array" ref="K441">IF(D441="Gadget",_xlfn.IFS(I441&gt;=0.2,0.5,I441&gt;=0.1,0.35,I441&gt;=0.05,0.2,TRUE,0),IF(D441="Grenade",_xlfn.IFS(I441&gt;=0.2,1,I441&gt;=0.1,0.7,I441&gt;=0.05,0.4,TRUE,0),0))</f>
        <v>0.7</v>
      </c>
      <c r="L441" s="57">
        <f t="shared" ref="L441:L442" si="109">IF($K441=0,0,$K441 / SUMIFS($K:$K,$A:$A,$A441,$D:$D,"Grenade"))</f>
        <v>0.63636363636363624</v>
      </c>
    </row>
    <row r="442" spans="1:12" ht="15" customHeight="1" x14ac:dyDescent="0.25">
      <c r="A442" s="42" t="str" cm="1">
        <f t="array" ref="A442">IFERROR(INDEX(_xlfn._xlws.FILTER(Class_Players!A:A,Class_Players!B:B="Support"),QUOTIENT(ROW()-ROW($A$2),9)+1),"")</f>
        <v>BeEatinU7533</v>
      </c>
      <c r="B442" s="42" t="str">
        <f>_xlfn.XLOOKUP(A442,Class_Players!$A:$A,Class_Players!$B:$B,"")</f>
        <v>Support</v>
      </c>
      <c r="C442" s="38" t="str" cm="1">
        <f t="array" ref="C442">INDEX(Lookups!$D$2:$D$10,MOD(ROW()-ROW($B$2),ROWS(Lookups!$D$2:$D$10))+1)</f>
        <v>Incendiary Grenade</v>
      </c>
      <c r="D442" s="38" t="str">
        <f>_xlfn.XLOOKUP(C442,Analysis_Gadgets!$C:$C,Analysis_Gadgets!$B:$B)</f>
        <v>Grenade</v>
      </c>
      <c r="E442" s="43">
        <v>633</v>
      </c>
      <c r="F442" s="43">
        <f>_xlfn.XLOOKUP(A442,Class_Players!A:A,Class_Players!G:G)</f>
        <v>183</v>
      </c>
      <c r="G442" s="43">
        <f t="shared" si="106"/>
        <v>3.459016393442623</v>
      </c>
      <c r="H442" s="43">
        <f>_xlfn.XLOOKUP(A442,Class_Players!$A:$A,Class_Players!$F:$F,"")</f>
        <v>12565</v>
      </c>
      <c r="I442" s="44">
        <f t="shared" si="107"/>
        <v>5.0378034222045363E-2</v>
      </c>
      <c r="J442" s="43">
        <f t="shared" si="108"/>
        <v>0</v>
      </c>
      <c r="K442" s="44" cm="1">
        <f t="array" ref="K442">IF(D442="Gadget",_xlfn.IFS(I442&gt;=0.2,0.5,I442&gt;=0.1,0.35,I442&gt;=0.05,0.2,TRUE,0),IF(D442="Grenade",_xlfn.IFS(I442&gt;=0.2,1,I442&gt;=0.1,0.7,I442&gt;=0.05,0.4,TRUE,0),0))</f>
        <v>0.4</v>
      </c>
      <c r="L442" s="57">
        <f t="shared" si="109"/>
        <v>0.36363636363636365</v>
      </c>
    </row>
    <row r="443" spans="1:12" ht="15" customHeight="1" x14ac:dyDescent="0.25">
      <c r="A443" s="42" t="str" cm="1">
        <f t="array" ref="A443">IFERROR(INDEX(_xlfn._xlws.FILTER(Class_Players!A:A,Class_Players!B:B="Support"),QUOTIENT(ROW()-ROW($A$2),9)+1),"")</f>
        <v>Ayye1985</v>
      </c>
      <c r="B443" s="42" t="str">
        <f>_xlfn.XLOOKUP(A443,Class_Players!$A:$A,Class_Players!$B:$B,"")</f>
        <v>Support</v>
      </c>
      <c r="C443" s="38" t="str" cm="1">
        <f t="array" ref="C443">INDEX(Lookups!$D$2:$D$10,MOD(ROW()-ROW($B$2),ROWS(Lookups!$D$2:$D$10))+1)</f>
        <v>GPDIS (Grenade intercept system)</v>
      </c>
      <c r="D443" s="38" t="str">
        <f>_xlfn.XLOOKUP(C443,Analysis_Gadgets!$C:$C,Analysis_Gadgets!$B:$B)</f>
        <v>Gadget</v>
      </c>
      <c r="E443" s="43">
        <v>122</v>
      </c>
      <c r="F443" s="43">
        <f>_xlfn.XLOOKUP(A443,Class_Players!A:A,Class_Players!G:G)</f>
        <v>161</v>
      </c>
      <c r="G443" s="43">
        <f t="shared" ref="G443:G460" si="110">IF(F443=0,"",E443/(F443))</f>
        <v>0.75776397515527949</v>
      </c>
      <c r="H443" s="43">
        <f>_xlfn.XLOOKUP(A443,Class_Players!$A:$A,Class_Players!$F:$F,"")</f>
        <v>13455</v>
      </c>
      <c r="I443" s="44">
        <f t="shared" ref="I443:I460" si="111">IF(H443=0,"",E443/H443)</f>
        <v>9.0672612411742855E-3</v>
      </c>
      <c r="J443" s="43">
        <f t="shared" ref="J443:J460" si="112">IF(I443&gt;=0.1,1,0)</f>
        <v>0</v>
      </c>
      <c r="K443" s="44" cm="1">
        <f t="array" ref="K443">IF(D443="Gadget",_xlfn.IFS(I443&gt;=0.2,0.5,I443&gt;=0.1,0.35,I443&gt;=0.05,0.2,TRUE,0),IF(D443="Grenade",_xlfn.IFS(I443&gt;=0.2,1,I443&gt;=0.1,0.7,I443&gt;=0.05,0.4,TRUE,0),0))</f>
        <v>0</v>
      </c>
      <c r="L443" s="57">
        <f t="shared" ref="L443:L449" si="113">IF($K443=0,0,$K443 / SUMIFS($K:$K,$A:$A,$A443,$D:$D,"Gadget"))</f>
        <v>0</v>
      </c>
    </row>
    <row r="444" spans="1:12" ht="15" customHeight="1" x14ac:dyDescent="0.25">
      <c r="A444" s="42" t="str" cm="1">
        <f t="array" ref="A444">IFERROR(INDEX(_xlfn._xlws.FILTER(Class_Players!A:A,Class_Players!B:B="Support"),QUOTIENT(ROW()-ROW($A$2),9)+1),"")</f>
        <v>Ayye1985</v>
      </c>
      <c r="B444" s="42" t="str">
        <f>_xlfn.XLOOKUP(A444,Class_Players!$A:$A,Class_Players!$B:$B,"")</f>
        <v>Support</v>
      </c>
      <c r="C444" s="38" t="str" cm="1">
        <f t="array" ref="C444">INDEX(Lookups!$D$2:$D$10,MOD(ROW()-ROW($B$2),ROWS(Lookups!$D$2:$D$10))+1)</f>
        <v>MP-APS (Missile intercept system)</v>
      </c>
      <c r="D444" s="38" t="str">
        <f>_xlfn.XLOOKUP(C444,Analysis_Gadgets!$C:$C,Analysis_Gadgets!$B:$B)</f>
        <v>Gadget</v>
      </c>
      <c r="E444" s="43">
        <v>7</v>
      </c>
      <c r="F444" s="43">
        <f>_xlfn.XLOOKUP(A444,Class_Players!A:A,Class_Players!G:G)</f>
        <v>161</v>
      </c>
      <c r="G444" s="43">
        <f t="shared" si="110"/>
        <v>4.3478260869565216E-2</v>
      </c>
      <c r="H444" s="43">
        <f>_xlfn.XLOOKUP(A444,Class_Players!$A:$A,Class_Players!$F:$F,"")</f>
        <v>13455</v>
      </c>
      <c r="I444" s="44">
        <f t="shared" si="111"/>
        <v>5.2025269416573761E-4</v>
      </c>
      <c r="J444" s="43">
        <f t="shared" si="112"/>
        <v>0</v>
      </c>
      <c r="K444" s="44" cm="1">
        <f t="array" ref="K444">IF(D444="Gadget",_xlfn.IFS(I444&gt;=0.2,0.5,I444&gt;=0.1,0.35,I444&gt;=0.05,0.2,TRUE,0),IF(D444="Grenade",_xlfn.IFS(I444&gt;=0.2,1,I444&gt;=0.1,0.7,I444&gt;=0.05,0.4,TRUE,0),0))</f>
        <v>0</v>
      </c>
      <c r="L444" s="57">
        <f t="shared" si="113"/>
        <v>0</v>
      </c>
    </row>
    <row r="445" spans="1:12" ht="15" customHeight="1" x14ac:dyDescent="0.25">
      <c r="A445" s="42" t="str" cm="1">
        <f t="array" ref="A445">IFERROR(INDEX(_xlfn._xlws.FILTER(Class_Players!A:A,Class_Players!B:B="Support"),QUOTIENT(ROW()-ROW($A$2),9)+1),"")</f>
        <v>Ayye1985</v>
      </c>
      <c r="B445" s="42" t="str">
        <f>_xlfn.XLOOKUP(A445,Class_Players!$A:$A,Class_Players!$B:$B,"")</f>
        <v>Support</v>
      </c>
      <c r="C445" s="38" t="str" cm="1">
        <f t="array" ref="C445">INDEX(Lookups!$D$2:$D$10,MOD(ROW()-ROW($B$2),ROWS(Lookups!$D$2:$D$10))+1)</f>
        <v>LWCMS (Mortar)</v>
      </c>
      <c r="D445" s="38" t="str">
        <f>_xlfn.XLOOKUP(C445,Analysis_Gadgets!$C:$C,Analysis_Gadgets!$B:$B)</f>
        <v>Gadget</v>
      </c>
      <c r="E445" s="43">
        <v>0</v>
      </c>
      <c r="F445" s="43">
        <f>_xlfn.XLOOKUP(A445,Class_Players!A:A,Class_Players!G:G)</f>
        <v>161</v>
      </c>
      <c r="G445" s="43">
        <f t="shared" si="110"/>
        <v>0</v>
      </c>
      <c r="H445" s="43">
        <f>_xlfn.XLOOKUP(A445,Class_Players!$A:$A,Class_Players!$F:$F,"")</f>
        <v>13455</v>
      </c>
      <c r="I445" s="44">
        <f t="shared" si="111"/>
        <v>0</v>
      </c>
      <c r="J445" s="43">
        <f t="shared" si="112"/>
        <v>0</v>
      </c>
      <c r="K445" s="44" cm="1">
        <f t="array" ref="K445">IF(D445="Gadget",_xlfn.IFS(I445&gt;=0.2,0.5,I445&gt;=0.1,0.35,I445&gt;=0.05,0.2,TRUE,0),IF(D445="Grenade",_xlfn.IFS(I445&gt;=0.2,1,I445&gt;=0.1,0.7,I445&gt;=0.05,0.4,TRUE,0),0))</f>
        <v>0</v>
      </c>
      <c r="L445" s="57">
        <f t="shared" si="113"/>
        <v>0</v>
      </c>
    </row>
    <row r="446" spans="1:12" ht="15" customHeight="1" x14ac:dyDescent="0.25">
      <c r="A446" s="42" t="str" cm="1">
        <f t="array" ref="A446">IFERROR(INDEX(_xlfn._xlws.FILTER(Class_Players!A:A,Class_Players!B:B="Support"),QUOTIENT(ROW()-ROW($A$2),9)+1),"")</f>
        <v>Ayye1985</v>
      </c>
      <c r="B446" s="42" t="str">
        <f>_xlfn.XLOOKUP(A446,Class_Players!$A:$A,Class_Players!$B:$B,"")</f>
        <v>Support</v>
      </c>
      <c r="C446" s="38" t="str" cm="1">
        <f t="array" ref="C446">INDEX(Lookups!$D$2:$D$10,MOD(ROW()-ROW($B$2),ROWS(Lookups!$D$2:$D$10))+1)</f>
        <v>M320A1 SMK (Smoke Grenade Launcher)</v>
      </c>
      <c r="D446" s="38" t="str">
        <f>_xlfn.XLOOKUP(C446,Analysis_Gadgets!$C:$C,Analysis_Gadgets!$B:$B)</f>
        <v>Gadget</v>
      </c>
      <c r="E446" s="43">
        <v>164</v>
      </c>
      <c r="F446" s="43">
        <f>_xlfn.XLOOKUP(A446,Class_Players!A:A,Class_Players!G:G)</f>
        <v>161</v>
      </c>
      <c r="G446" s="43">
        <f t="shared" si="110"/>
        <v>1.0186335403726707</v>
      </c>
      <c r="H446" s="43">
        <f>_xlfn.XLOOKUP(A446,Class_Players!$A:$A,Class_Players!$F:$F,"")</f>
        <v>13455</v>
      </c>
      <c r="I446" s="44">
        <f t="shared" si="111"/>
        <v>1.2188777406168711E-2</v>
      </c>
      <c r="J446" s="43">
        <f t="shared" si="112"/>
        <v>0</v>
      </c>
      <c r="K446" s="44" cm="1">
        <f t="array" ref="K446">IF(D446="Gadget",_xlfn.IFS(I446&gt;=0.2,0.5,I446&gt;=0.1,0.35,I446&gt;=0.05,0.2,TRUE,0),IF(D446="Grenade",_xlfn.IFS(I446&gt;=0.2,1,I446&gt;=0.1,0.7,I446&gt;=0.05,0.4,TRUE,0),0))</f>
        <v>0</v>
      </c>
      <c r="L446" s="57">
        <f t="shared" si="113"/>
        <v>0</v>
      </c>
    </row>
    <row r="447" spans="1:12" ht="15" customHeight="1" x14ac:dyDescent="0.25">
      <c r="A447" s="42" t="str" cm="1">
        <f t="array" ref="A447">IFERROR(INDEX(_xlfn._xlws.FILTER(Class_Players!A:A,Class_Players!B:B="Support"),QUOTIENT(ROW()-ROW($A$2),9)+1),"")</f>
        <v>Ayye1985</v>
      </c>
      <c r="B447" s="42" t="str">
        <f>_xlfn.XLOOKUP(A447,Class_Players!$A:$A,Class_Players!$B:$B,"")</f>
        <v>Support</v>
      </c>
      <c r="C447" s="38" t="str" cm="1">
        <f t="array" ref="C447">INDEX(Lookups!$D$2:$D$10,MOD(ROW()-ROW($B$2),ROWS(Lookups!$D$2:$D$10))+1)</f>
        <v>SICH G1 WP (Incendiary Airburst Launcher)</v>
      </c>
      <c r="D447" s="38" t="str">
        <f>_xlfn.XLOOKUP(C447,Analysis_Gadgets!$C:$C,Analysis_Gadgets!$B:$B)</f>
        <v>Gadget</v>
      </c>
      <c r="E447" s="43">
        <v>886</v>
      </c>
      <c r="F447" s="43">
        <f>_xlfn.XLOOKUP(A447,Class_Players!A:A,Class_Players!G:G)</f>
        <v>161</v>
      </c>
      <c r="G447" s="43">
        <f t="shared" si="110"/>
        <v>5.5031055900621118</v>
      </c>
      <c r="H447" s="43">
        <f>_xlfn.XLOOKUP(A447,Class_Players!$A:$A,Class_Players!$F:$F,"")</f>
        <v>13455</v>
      </c>
      <c r="I447" s="44">
        <f t="shared" si="111"/>
        <v>6.5849126718691933E-2</v>
      </c>
      <c r="J447" s="43">
        <f t="shared" si="112"/>
        <v>0</v>
      </c>
      <c r="K447" s="44" cm="1">
        <f t="array" ref="K447">IF(D447="Gadget",_xlfn.IFS(I447&gt;=0.2,0.5,I447&gt;=0.1,0.35,I447&gt;=0.05,0.2,TRUE,0),IF(D447="Grenade",_xlfn.IFS(I447&gt;=0.2,1,I447&gt;=0.1,0.7,I447&gt;=0.05,0.4,TRUE,0),0))</f>
        <v>0.2</v>
      </c>
      <c r="L447" s="57">
        <f t="shared" si="113"/>
        <v>1</v>
      </c>
    </row>
    <row r="448" spans="1:12" ht="15" customHeight="1" x14ac:dyDescent="0.25">
      <c r="A448" s="42" t="str" cm="1">
        <f t="array" ref="A448">IFERROR(INDEX(_xlfn._xlws.FILTER(Class_Players!A:A,Class_Players!B:B="Support"),QUOTIENT(ROW()-ROW($A$2),9)+1),"")</f>
        <v>Ayye1985</v>
      </c>
      <c r="B448" s="42" t="str">
        <f>_xlfn.XLOOKUP(A448,Class_Players!$A:$A,Class_Players!$B:$B,"")</f>
        <v>Support</v>
      </c>
      <c r="C448" s="38" t="str" cm="1">
        <f t="array" ref="C448">INDEX(Lookups!$D$2:$D$10,MOD(ROW()-ROW($B$2),ROWS(Lookups!$D$2:$D$10))+1)</f>
        <v>Deployable Cover</v>
      </c>
      <c r="D448" s="38" t="str">
        <f>_xlfn.XLOOKUP(C448,Analysis_Gadgets!$C:$C,Analysis_Gadgets!$B:$B)</f>
        <v>Gadget</v>
      </c>
      <c r="E448" s="43">
        <v>314</v>
      </c>
      <c r="F448" s="43">
        <f>_xlfn.XLOOKUP(A448,Class_Players!A:A,Class_Players!G:G)</f>
        <v>161</v>
      </c>
      <c r="G448" s="43">
        <f t="shared" si="110"/>
        <v>1.9503105590062111</v>
      </c>
      <c r="H448" s="43">
        <f>_xlfn.XLOOKUP(A448,Class_Players!$A:$A,Class_Players!$F:$F,"")</f>
        <v>13455</v>
      </c>
      <c r="I448" s="44">
        <f t="shared" si="111"/>
        <v>2.3337049424005947E-2</v>
      </c>
      <c r="J448" s="43">
        <f t="shared" si="112"/>
        <v>0</v>
      </c>
      <c r="K448" s="44" cm="1">
        <f t="array" ref="K448">IF(D448="Gadget",_xlfn.IFS(I448&gt;=0.2,0.5,I448&gt;=0.1,0.35,I448&gt;=0.05,0.2,TRUE,0),IF(D448="Grenade",_xlfn.IFS(I448&gt;=0.2,1,I448&gt;=0.1,0.7,I448&gt;=0.05,0.4,TRUE,0),0))</f>
        <v>0</v>
      </c>
      <c r="L448" s="57">
        <f t="shared" si="113"/>
        <v>0</v>
      </c>
    </row>
    <row r="449" spans="1:12" ht="15" customHeight="1" x14ac:dyDescent="0.25">
      <c r="A449" s="42" t="str" cm="1">
        <f t="array" ref="A449">IFERROR(INDEX(_xlfn._xlws.FILTER(Class_Players!A:A,Class_Players!B:B="Support"),QUOTIENT(ROW()-ROW($A$2),9)+1),"")</f>
        <v>Ayye1985</v>
      </c>
      <c r="B449" s="42" t="str">
        <f>_xlfn.XLOOKUP(A449,Class_Players!$A:$A,Class_Players!$B:$B,"")</f>
        <v>Support</v>
      </c>
      <c r="C449" s="38" t="str" cm="1">
        <f t="array" ref="C449">INDEX(Lookups!$D$2:$D$10,MOD(ROW()-ROW($B$2),ROWS(Lookups!$D$2:$D$10))+1)</f>
        <v>Supply Pouch</v>
      </c>
      <c r="D449" s="38" t="str">
        <f>_xlfn.XLOOKUP(C449,Analysis_Gadgets!$C:$C,Analysis_Gadgets!$B:$B)</f>
        <v>Gadget</v>
      </c>
      <c r="E449" s="43">
        <v>168</v>
      </c>
      <c r="F449" s="43">
        <f>_xlfn.XLOOKUP(A449,Class_Players!A:A,Class_Players!G:G)</f>
        <v>161</v>
      </c>
      <c r="G449" s="43">
        <f t="shared" si="110"/>
        <v>1.0434782608695652</v>
      </c>
      <c r="H449" s="43">
        <f>_xlfn.XLOOKUP(A449,Class_Players!$A:$A,Class_Players!$F:$F,"")</f>
        <v>13455</v>
      </c>
      <c r="I449" s="44">
        <f t="shared" si="111"/>
        <v>1.2486064659977704E-2</v>
      </c>
      <c r="J449" s="43">
        <f t="shared" si="112"/>
        <v>0</v>
      </c>
      <c r="K449" s="44" cm="1">
        <f t="array" ref="K449">IF(D449="Gadget",_xlfn.IFS(I449&gt;=0.2,0.5,I449&gt;=0.1,0.35,I449&gt;=0.05,0.2,TRUE,0),IF(D449="Grenade",_xlfn.IFS(I449&gt;=0.2,1,I449&gt;=0.1,0.7,I449&gt;=0.05,0.4,TRUE,0),0))</f>
        <v>0</v>
      </c>
      <c r="L449" s="57">
        <f t="shared" si="113"/>
        <v>0</v>
      </c>
    </row>
    <row r="450" spans="1:12" ht="15" customHeight="1" x14ac:dyDescent="0.25">
      <c r="A450" s="42" t="str" cm="1">
        <f t="array" ref="A450">IFERROR(INDEX(_xlfn._xlws.FILTER(Class_Players!A:A,Class_Players!B:B="Support"),QUOTIENT(ROW()-ROW($A$2),9)+1),"")</f>
        <v>Ayye1985</v>
      </c>
      <c r="B450" s="42" t="str">
        <f>_xlfn.XLOOKUP(A450,Class_Players!$A:$A,Class_Players!$B:$B,"")</f>
        <v>Support</v>
      </c>
      <c r="C450" s="38" t="str" cm="1">
        <f t="array" ref="C450">INDEX(Lookups!$D$2:$D$10,MOD(ROW()-ROW($B$2),ROWS(Lookups!$D$2:$D$10))+1)</f>
        <v>Smoke Grenade</v>
      </c>
      <c r="D450" s="38" t="str">
        <f>_xlfn.XLOOKUP(C450,Analysis_Gadgets!$C:$C,Analysis_Gadgets!$B:$B)</f>
        <v>Grenade</v>
      </c>
      <c r="E450" s="43">
        <v>191</v>
      </c>
      <c r="F450" s="43">
        <f>_xlfn.XLOOKUP(A450,Class_Players!A:A,Class_Players!G:G)</f>
        <v>161</v>
      </c>
      <c r="G450" s="43">
        <f t="shared" si="110"/>
        <v>1.186335403726708</v>
      </c>
      <c r="H450" s="43">
        <f>_xlfn.XLOOKUP(A450,Class_Players!$A:$A,Class_Players!$F:$F,"")</f>
        <v>13455</v>
      </c>
      <c r="I450" s="44">
        <f t="shared" si="111"/>
        <v>1.4195466369379413E-2</v>
      </c>
      <c r="J450" s="43">
        <f t="shared" si="112"/>
        <v>0</v>
      </c>
      <c r="K450" s="44" cm="1">
        <f t="array" ref="K450">IF(D450="Gadget",_xlfn.IFS(I450&gt;=0.2,0.5,I450&gt;=0.1,0.35,I450&gt;=0.05,0.2,TRUE,0),IF(D450="Grenade",_xlfn.IFS(I450&gt;=0.2,1,I450&gt;=0.1,0.7,I450&gt;=0.05,0.4,TRUE,0),0))</f>
        <v>0</v>
      </c>
      <c r="L450" s="57">
        <f>IF($K450=0,0,$K450 / SUMIFS($K:$K,$A:$A,$A450,$D:$D,"Grenade"))</f>
        <v>0</v>
      </c>
    </row>
    <row r="451" spans="1:12" ht="15" customHeight="1" x14ac:dyDescent="0.25">
      <c r="A451" s="42" t="str" cm="1">
        <f t="array" ref="A451">IFERROR(INDEX(_xlfn._xlws.FILTER(Class_Players!A:A,Class_Players!B:B="Support"),QUOTIENT(ROW()-ROW($A$2),9)+1),"")</f>
        <v>Ayye1985</v>
      </c>
      <c r="B451" s="42" t="str">
        <f>_xlfn.XLOOKUP(A451,Class_Players!$A:$A,Class_Players!$B:$B,"")</f>
        <v>Support</v>
      </c>
      <c r="C451" s="38" t="str" cm="1">
        <f t="array" ref="C451">INDEX(Lookups!$D$2:$D$10,MOD(ROW()-ROW($B$2),ROWS(Lookups!$D$2:$D$10))+1)</f>
        <v>Incendiary Grenade</v>
      </c>
      <c r="D451" s="38" t="str">
        <f>_xlfn.XLOOKUP(C451,Analysis_Gadgets!$C:$C,Analysis_Gadgets!$B:$B)</f>
        <v>Grenade</v>
      </c>
      <c r="E451" s="43">
        <v>10</v>
      </c>
      <c r="F451" s="43">
        <f>_xlfn.XLOOKUP(A451,Class_Players!A:A,Class_Players!G:G)</f>
        <v>161</v>
      </c>
      <c r="G451" s="43">
        <f t="shared" si="110"/>
        <v>6.2111801242236024E-2</v>
      </c>
      <c r="H451" s="43">
        <f>_xlfn.XLOOKUP(A451,Class_Players!$A:$A,Class_Players!$F:$F,"")</f>
        <v>13455</v>
      </c>
      <c r="I451" s="44">
        <f t="shared" si="111"/>
        <v>7.4321813452248237E-4</v>
      </c>
      <c r="J451" s="43">
        <f t="shared" si="112"/>
        <v>0</v>
      </c>
      <c r="K451" s="44" cm="1">
        <f t="array" ref="K451">IF(D451="Gadget",_xlfn.IFS(I451&gt;=0.2,0.5,I451&gt;=0.1,0.35,I451&gt;=0.05,0.2,TRUE,0),IF(D451="Grenade",_xlfn.IFS(I451&gt;=0.2,1,I451&gt;=0.1,0.7,I451&gt;=0.05,0.4,TRUE,0),0))</f>
        <v>0</v>
      </c>
      <c r="L451" s="57">
        <f>IF($K451=0,0,$K451 / SUMIFS($K:$K,$A:$A,$A451,$D:$D,"Grenade"))</f>
        <v>0</v>
      </c>
    </row>
    <row r="452" spans="1:12" ht="15" customHeight="1" x14ac:dyDescent="0.25">
      <c r="A452" s="42" t="str" cm="1">
        <f t="array" ref="A452">IFERROR(INDEX(_xlfn._xlws.FILTER(Class_Players!A:A,Class_Players!B:B="Support"),QUOTIENT(ROW()-ROW($A$2),9)+1),"")</f>
        <v>Mbalmer</v>
      </c>
      <c r="B452" s="42" t="str">
        <f>_xlfn.XLOOKUP(A452,Class_Players!$A:$A,Class_Players!$B:$B,"")</f>
        <v>Support</v>
      </c>
      <c r="C452" s="38" t="str" cm="1">
        <f t="array" ref="C452">INDEX(Lookups!$D$2:$D$10,MOD(ROW()-ROW($B$2),ROWS(Lookups!$D$2:$D$10))+1)</f>
        <v>GPDIS (Grenade intercept system)</v>
      </c>
      <c r="D452" s="38" t="str">
        <f>_xlfn.XLOOKUP(C452,Analysis_Gadgets!$C:$C,Analysis_Gadgets!$B:$B)</f>
        <v>Gadget</v>
      </c>
      <c r="E452" s="43">
        <v>0</v>
      </c>
      <c r="F452" s="43">
        <f>_xlfn.XLOOKUP(A452,Class_Players!A:A,Class_Players!G:G)</f>
        <v>276</v>
      </c>
      <c r="G452" s="43">
        <f t="shared" si="110"/>
        <v>0</v>
      </c>
      <c r="H452" s="43">
        <f>_xlfn.XLOOKUP(A452,Class_Players!$A:$A,Class_Players!$F:$F,"")</f>
        <v>13501</v>
      </c>
      <c r="I452" s="44">
        <f t="shared" si="111"/>
        <v>0</v>
      </c>
      <c r="J452" s="43">
        <f t="shared" si="112"/>
        <v>0</v>
      </c>
      <c r="K452" s="44" cm="1">
        <f t="array" ref="K452">IF(D452="Gadget",_xlfn.IFS(I452&gt;=0.2,0.5,I452&gt;=0.1,0.35,I452&gt;=0.05,0.2,TRUE,0),IF(D452="Grenade",_xlfn.IFS(I452&gt;=0.2,1,I452&gt;=0.1,0.7,I452&gt;=0.05,0.4,TRUE,0),0))</f>
        <v>0</v>
      </c>
      <c r="L452" s="57">
        <f t="shared" ref="L452:L458" si="114">IF($K452=0,0,$K452 / SUMIFS($K:$K,$A:$A,$A452,$D:$D,"Gadget"))</f>
        <v>0</v>
      </c>
    </row>
    <row r="453" spans="1:12" ht="15" customHeight="1" x14ac:dyDescent="0.25">
      <c r="A453" s="42" t="str" cm="1">
        <f t="array" ref="A453">IFERROR(INDEX(_xlfn._xlws.FILTER(Class_Players!A:A,Class_Players!B:B="Support"),QUOTIENT(ROW()-ROW($A$2),9)+1),"")</f>
        <v>Mbalmer</v>
      </c>
      <c r="B453" s="42" t="str">
        <f>_xlfn.XLOOKUP(A453,Class_Players!$A:$A,Class_Players!$B:$B,"")</f>
        <v>Support</v>
      </c>
      <c r="C453" s="38" t="str" cm="1">
        <f t="array" ref="C453">INDEX(Lookups!$D$2:$D$10,MOD(ROW()-ROW($B$2),ROWS(Lookups!$D$2:$D$10))+1)</f>
        <v>MP-APS (Missile intercept system)</v>
      </c>
      <c r="D453" s="38" t="str">
        <f>_xlfn.XLOOKUP(C453,Analysis_Gadgets!$C:$C,Analysis_Gadgets!$B:$B)</f>
        <v>Gadget</v>
      </c>
      <c r="E453" s="43">
        <v>0</v>
      </c>
      <c r="F453" s="43">
        <f>_xlfn.XLOOKUP(A453,Class_Players!A:A,Class_Players!G:G)</f>
        <v>276</v>
      </c>
      <c r="G453" s="43">
        <f t="shared" si="110"/>
        <v>0</v>
      </c>
      <c r="H453" s="43">
        <f>_xlfn.XLOOKUP(A453,Class_Players!$A:$A,Class_Players!$F:$F,"")</f>
        <v>13501</v>
      </c>
      <c r="I453" s="44">
        <f t="shared" si="111"/>
        <v>0</v>
      </c>
      <c r="J453" s="43">
        <f t="shared" si="112"/>
        <v>0</v>
      </c>
      <c r="K453" s="44" cm="1">
        <f t="array" ref="K453">IF(D453="Gadget",_xlfn.IFS(I453&gt;=0.2,0.5,I453&gt;=0.1,0.35,I453&gt;=0.05,0.2,TRUE,0),IF(D453="Grenade",_xlfn.IFS(I453&gt;=0.2,1,I453&gt;=0.1,0.7,I453&gt;=0.05,0.4,TRUE,0),0))</f>
        <v>0</v>
      </c>
      <c r="L453" s="57">
        <f t="shared" si="114"/>
        <v>0</v>
      </c>
    </row>
    <row r="454" spans="1:12" ht="15" customHeight="1" x14ac:dyDescent="0.25">
      <c r="A454" s="42" t="str" cm="1">
        <f t="array" ref="A454">IFERROR(INDEX(_xlfn._xlws.FILTER(Class_Players!A:A,Class_Players!B:B="Support"),QUOTIENT(ROW()-ROW($A$2),9)+1),"")</f>
        <v>Mbalmer</v>
      </c>
      <c r="B454" s="42" t="str">
        <f>_xlfn.XLOOKUP(A454,Class_Players!$A:$A,Class_Players!$B:$B,"")</f>
        <v>Support</v>
      </c>
      <c r="C454" s="38" t="str" cm="1">
        <f t="array" ref="C454">INDEX(Lookups!$D$2:$D$10,MOD(ROW()-ROW($B$2),ROWS(Lookups!$D$2:$D$10))+1)</f>
        <v>LWCMS (Mortar)</v>
      </c>
      <c r="D454" s="38" t="str">
        <f>_xlfn.XLOOKUP(C454,Analysis_Gadgets!$C:$C,Analysis_Gadgets!$B:$B)</f>
        <v>Gadget</v>
      </c>
      <c r="E454" s="43">
        <v>0</v>
      </c>
      <c r="F454" s="43">
        <f>_xlfn.XLOOKUP(A454,Class_Players!A:A,Class_Players!G:G)</f>
        <v>276</v>
      </c>
      <c r="G454" s="43">
        <f t="shared" si="110"/>
        <v>0</v>
      </c>
      <c r="H454" s="43">
        <f>_xlfn.XLOOKUP(A454,Class_Players!$A:$A,Class_Players!$F:$F,"")</f>
        <v>13501</v>
      </c>
      <c r="I454" s="44">
        <f t="shared" si="111"/>
        <v>0</v>
      </c>
      <c r="J454" s="43">
        <f t="shared" si="112"/>
        <v>0</v>
      </c>
      <c r="K454" s="44" cm="1">
        <f t="array" ref="K454">IF(D454="Gadget",_xlfn.IFS(I454&gt;=0.2,0.5,I454&gt;=0.1,0.35,I454&gt;=0.05,0.2,TRUE,0),IF(D454="Grenade",_xlfn.IFS(I454&gt;=0.2,1,I454&gt;=0.1,0.7,I454&gt;=0.05,0.4,TRUE,0),0))</f>
        <v>0</v>
      </c>
      <c r="L454" s="57">
        <f t="shared" si="114"/>
        <v>0</v>
      </c>
    </row>
    <row r="455" spans="1:12" ht="15" customHeight="1" x14ac:dyDescent="0.25">
      <c r="A455" s="42" t="str" cm="1">
        <f t="array" ref="A455">IFERROR(INDEX(_xlfn._xlws.FILTER(Class_Players!A:A,Class_Players!B:B="Support"),QUOTIENT(ROW()-ROW($A$2),9)+1),"")</f>
        <v>Mbalmer</v>
      </c>
      <c r="B455" s="42" t="str">
        <f>_xlfn.XLOOKUP(A455,Class_Players!$A:$A,Class_Players!$B:$B,"")</f>
        <v>Support</v>
      </c>
      <c r="C455" s="38" t="str" cm="1">
        <f t="array" ref="C455">INDEX(Lookups!$D$2:$D$10,MOD(ROW()-ROW($B$2),ROWS(Lookups!$D$2:$D$10))+1)</f>
        <v>M320A1 SMK (Smoke Grenade Launcher)</v>
      </c>
      <c r="D455" s="38" t="str">
        <f>_xlfn.XLOOKUP(C455,Analysis_Gadgets!$C:$C,Analysis_Gadgets!$B:$B)</f>
        <v>Gadget</v>
      </c>
      <c r="E455" s="43">
        <v>0</v>
      </c>
      <c r="F455" s="43">
        <f>_xlfn.XLOOKUP(A455,Class_Players!A:A,Class_Players!G:G)</f>
        <v>276</v>
      </c>
      <c r="G455" s="43">
        <f t="shared" si="110"/>
        <v>0</v>
      </c>
      <c r="H455" s="43">
        <f>_xlfn.XLOOKUP(A455,Class_Players!$A:$A,Class_Players!$F:$F,"")</f>
        <v>13501</v>
      </c>
      <c r="I455" s="44">
        <f t="shared" si="111"/>
        <v>0</v>
      </c>
      <c r="J455" s="43">
        <f t="shared" si="112"/>
        <v>0</v>
      </c>
      <c r="K455" s="44" cm="1">
        <f t="array" ref="K455">IF(D455="Gadget",_xlfn.IFS(I455&gt;=0.2,0.5,I455&gt;=0.1,0.35,I455&gt;=0.05,0.2,TRUE,0),IF(D455="Grenade",_xlfn.IFS(I455&gt;=0.2,1,I455&gt;=0.1,0.7,I455&gt;=0.05,0.4,TRUE,0),0))</f>
        <v>0</v>
      </c>
      <c r="L455" s="57">
        <f t="shared" si="114"/>
        <v>0</v>
      </c>
    </row>
    <row r="456" spans="1:12" ht="15" customHeight="1" x14ac:dyDescent="0.25">
      <c r="A456" s="42" t="str" cm="1">
        <f t="array" ref="A456">IFERROR(INDEX(_xlfn._xlws.FILTER(Class_Players!A:A,Class_Players!B:B="Support"),QUOTIENT(ROW()-ROW($A$2),9)+1),"")</f>
        <v>Mbalmer</v>
      </c>
      <c r="B456" s="42" t="str">
        <f>_xlfn.XLOOKUP(A456,Class_Players!$A:$A,Class_Players!$B:$B,"")</f>
        <v>Support</v>
      </c>
      <c r="C456" s="38" t="str" cm="1">
        <f t="array" ref="C456">INDEX(Lookups!$D$2:$D$10,MOD(ROW()-ROW($B$2),ROWS(Lookups!$D$2:$D$10))+1)</f>
        <v>SICH G1 WP (Incendiary Airburst Launcher)</v>
      </c>
      <c r="D456" s="38" t="str">
        <f>_xlfn.XLOOKUP(C456,Analysis_Gadgets!$C:$C,Analysis_Gadgets!$B:$B)</f>
        <v>Gadget</v>
      </c>
      <c r="E456" s="43">
        <v>0</v>
      </c>
      <c r="F456" s="43">
        <f>_xlfn.XLOOKUP(A456,Class_Players!A:A,Class_Players!G:G)</f>
        <v>276</v>
      </c>
      <c r="G456" s="43">
        <f t="shared" si="110"/>
        <v>0</v>
      </c>
      <c r="H456" s="43">
        <f>_xlfn.XLOOKUP(A456,Class_Players!$A:$A,Class_Players!$F:$F,"")</f>
        <v>13501</v>
      </c>
      <c r="I456" s="44">
        <f t="shared" si="111"/>
        <v>0</v>
      </c>
      <c r="J456" s="43">
        <f t="shared" si="112"/>
        <v>0</v>
      </c>
      <c r="K456" s="44" cm="1">
        <f t="array" ref="K456">IF(D456="Gadget",_xlfn.IFS(I456&gt;=0.2,0.5,I456&gt;=0.1,0.35,I456&gt;=0.05,0.2,TRUE,0),IF(D456="Grenade",_xlfn.IFS(I456&gt;=0.2,1,I456&gt;=0.1,0.7,I456&gt;=0.05,0.4,TRUE,0),0))</f>
        <v>0</v>
      </c>
      <c r="L456" s="57">
        <f t="shared" si="114"/>
        <v>0</v>
      </c>
    </row>
    <row r="457" spans="1:12" ht="15" customHeight="1" x14ac:dyDescent="0.25">
      <c r="A457" s="42" t="str" cm="1">
        <f t="array" ref="A457">IFERROR(INDEX(_xlfn._xlws.FILTER(Class_Players!A:A,Class_Players!B:B="Support"),QUOTIENT(ROW()-ROW($A$2),9)+1),"")</f>
        <v>Mbalmer</v>
      </c>
      <c r="B457" s="42" t="str">
        <f>_xlfn.XLOOKUP(A457,Class_Players!$A:$A,Class_Players!$B:$B,"")</f>
        <v>Support</v>
      </c>
      <c r="C457" s="38" t="str" cm="1">
        <f t="array" ref="C457">INDEX(Lookups!$D$2:$D$10,MOD(ROW()-ROW($B$2),ROWS(Lookups!$D$2:$D$10))+1)</f>
        <v>Deployable Cover</v>
      </c>
      <c r="D457" s="38" t="str">
        <f>_xlfn.XLOOKUP(C457,Analysis_Gadgets!$C:$C,Analysis_Gadgets!$B:$B)</f>
        <v>Gadget</v>
      </c>
      <c r="E457" s="43">
        <v>1620</v>
      </c>
      <c r="F457" s="43">
        <f>_xlfn.XLOOKUP(A457,Class_Players!A:A,Class_Players!G:G)</f>
        <v>276</v>
      </c>
      <c r="G457" s="43">
        <f t="shared" si="110"/>
        <v>5.8695652173913047</v>
      </c>
      <c r="H457" s="43">
        <f>_xlfn.XLOOKUP(A457,Class_Players!$A:$A,Class_Players!$F:$F,"")</f>
        <v>13501</v>
      </c>
      <c r="I457" s="44">
        <f t="shared" si="111"/>
        <v>0.11999111176949856</v>
      </c>
      <c r="J457" s="43">
        <f t="shared" si="112"/>
        <v>1</v>
      </c>
      <c r="K457" s="44" cm="1">
        <f t="array" ref="K457">IF(D457="Gadget",_xlfn.IFS(I457&gt;=0.2,0.5,I457&gt;=0.1,0.35,I457&gt;=0.05,0.2,TRUE,0),IF(D457="Grenade",_xlfn.IFS(I457&gt;=0.2,1,I457&gt;=0.1,0.7,I457&gt;=0.05,0.4,TRUE,0),0))</f>
        <v>0.35</v>
      </c>
      <c r="L457" s="57">
        <f t="shared" si="114"/>
        <v>1</v>
      </c>
    </row>
    <row r="458" spans="1:12" ht="15" customHeight="1" x14ac:dyDescent="0.25">
      <c r="A458" s="42" t="str" cm="1">
        <f t="array" ref="A458">IFERROR(INDEX(_xlfn._xlws.FILTER(Class_Players!A:A,Class_Players!B:B="Support"),QUOTIENT(ROW()-ROW($A$2),9)+1),"")</f>
        <v>Mbalmer</v>
      </c>
      <c r="B458" s="42" t="str">
        <f>_xlfn.XLOOKUP(A458,Class_Players!$A:$A,Class_Players!$B:$B,"")</f>
        <v>Support</v>
      </c>
      <c r="C458" s="38" t="str" cm="1">
        <f t="array" ref="C458">INDEX(Lookups!$D$2:$D$10,MOD(ROW()-ROW($B$2),ROWS(Lookups!$D$2:$D$10))+1)</f>
        <v>Supply Pouch</v>
      </c>
      <c r="D458" s="38" t="str">
        <f>_xlfn.XLOOKUP(C458,Analysis_Gadgets!$C:$C,Analysis_Gadgets!$B:$B)</f>
        <v>Gadget</v>
      </c>
      <c r="E458" s="43">
        <v>2</v>
      </c>
      <c r="F458" s="43">
        <f>_xlfn.XLOOKUP(A458,Class_Players!A:A,Class_Players!G:G)</f>
        <v>276</v>
      </c>
      <c r="G458" s="43">
        <f t="shared" si="110"/>
        <v>7.246376811594203E-3</v>
      </c>
      <c r="H458" s="43">
        <f>_xlfn.XLOOKUP(A458,Class_Players!$A:$A,Class_Players!$F:$F,"")</f>
        <v>13501</v>
      </c>
      <c r="I458" s="44">
        <f t="shared" si="111"/>
        <v>1.4813717502407228E-4</v>
      </c>
      <c r="J458" s="43">
        <f t="shared" si="112"/>
        <v>0</v>
      </c>
      <c r="K458" s="44" cm="1">
        <f t="array" ref="K458">IF(D458="Gadget",_xlfn.IFS(I458&gt;=0.2,0.5,I458&gt;=0.1,0.35,I458&gt;=0.05,0.2,TRUE,0),IF(D458="Grenade",_xlfn.IFS(I458&gt;=0.2,1,I458&gt;=0.1,0.7,I458&gt;=0.05,0.4,TRUE,0),0))</f>
        <v>0</v>
      </c>
      <c r="L458" s="57">
        <f t="shared" si="114"/>
        <v>0</v>
      </c>
    </row>
    <row r="459" spans="1:12" ht="15" customHeight="1" x14ac:dyDescent="0.25">
      <c r="A459" s="42" t="str" cm="1">
        <f t="array" ref="A459">IFERROR(INDEX(_xlfn._xlws.FILTER(Class_Players!A:A,Class_Players!B:B="Support"),QUOTIENT(ROW()-ROW($A$2),9)+1),"")</f>
        <v>Mbalmer</v>
      </c>
      <c r="B459" s="42" t="str">
        <f>_xlfn.XLOOKUP(A459,Class_Players!$A:$A,Class_Players!$B:$B,"")</f>
        <v>Support</v>
      </c>
      <c r="C459" s="38" t="str" cm="1">
        <f t="array" ref="C459">INDEX(Lookups!$D$2:$D$10,MOD(ROW()-ROW($B$2),ROWS(Lookups!$D$2:$D$10))+1)</f>
        <v>Smoke Grenade</v>
      </c>
      <c r="D459" s="38" t="str">
        <f>_xlfn.XLOOKUP(C459,Analysis_Gadgets!$C:$C,Analysis_Gadgets!$B:$B)</f>
        <v>Grenade</v>
      </c>
      <c r="E459" s="43">
        <v>51</v>
      </c>
      <c r="F459" s="43">
        <f>_xlfn.XLOOKUP(A459,Class_Players!A:A,Class_Players!G:G)</f>
        <v>276</v>
      </c>
      <c r="G459" s="43">
        <f t="shared" si="110"/>
        <v>0.18478260869565216</v>
      </c>
      <c r="H459" s="43">
        <f>_xlfn.XLOOKUP(A459,Class_Players!$A:$A,Class_Players!$F:$F,"")</f>
        <v>13501</v>
      </c>
      <c r="I459" s="44">
        <f t="shared" si="111"/>
        <v>3.7774979631138433E-3</v>
      </c>
      <c r="J459" s="43">
        <f t="shared" si="112"/>
        <v>0</v>
      </c>
      <c r="K459" s="44" cm="1">
        <f t="array" ref="K459">IF(D459="Gadget",_xlfn.IFS(I459&gt;=0.2,0.5,I459&gt;=0.1,0.35,I459&gt;=0.05,0.2,TRUE,0),IF(D459="Grenade",_xlfn.IFS(I459&gt;=0.2,1,I459&gt;=0.1,0.7,I459&gt;=0.05,0.4,TRUE,0),0))</f>
        <v>0</v>
      </c>
      <c r="L459" s="57">
        <f>IF($K459=0,0,$K459 / SUMIFS($K:$K,$A:$A,$A459,$D:$D,"Grenade"))</f>
        <v>0</v>
      </c>
    </row>
    <row r="460" spans="1:12" ht="15" customHeight="1" x14ac:dyDescent="0.25">
      <c r="A460" s="42" t="str" cm="1">
        <f t="array" ref="A460">IFERROR(INDEX(_xlfn._xlws.FILTER(Class_Players!A:A,Class_Players!B:B="Support"),QUOTIENT(ROW()-ROW($A$2),9)+1),"")</f>
        <v>Mbalmer</v>
      </c>
      <c r="B460" s="42" t="str">
        <f>_xlfn.XLOOKUP(A460,Class_Players!$A:$A,Class_Players!$B:$B,"")</f>
        <v>Support</v>
      </c>
      <c r="C460" s="38" t="str" cm="1">
        <f t="array" ref="C460">INDEX(Lookups!$D$2:$D$10,MOD(ROW()-ROW($B$2),ROWS(Lookups!$D$2:$D$10))+1)</f>
        <v>Incendiary Grenade</v>
      </c>
      <c r="D460" s="38" t="str">
        <f>_xlfn.XLOOKUP(C460,Analysis_Gadgets!$C:$C,Analysis_Gadgets!$B:$B)</f>
        <v>Grenade</v>
      </c>
      <c r="E460" s="43">
        <v>1054</v>
      </c>
      <c r="F460" s="43">
        <f>_xlfn.XLOOKUP(A460,Class_Players!A:A,Class_Players!G:G)</f>
        <v>276</v>
      </c>
      <c r="G460" s="43">
        <f t="shared" si="110"/>
        <v>3.818840579710145</v>
      </c>
      <c r="H460" s="43">
        <f>_xlfn.XLOOKUP(A460,Class_Players!$A:$A,Class_Players!$F:$F,"")</f>
        <v>13501</v>
      </c>
      <c r="I460" s="44">
        <f t="shared" si="111"/>
        <v>7.8068291237686091E-2</v>
      </c>
      <c r="J460" s="43">
        <f t="shared" si="112"/>
        <v>0</v>
      </c>
      <c r="K460" s="44" cm="1">
        <f t="array" ref="K460">IF(D460="Gadget",_xlfn.IFS(I460&gt;=0.2,0.5,I460&gt;=0.1,0.35,I460&gt;=0.05,0.2,TRUE,0),IF(D460="Grenade",_xlfn.IFS(I460&gt;=0.2,1,I460&gt;=0.1,0.7,I460&gt;=0.05,0.4,TRUE,0),0))</f>
        <v>0.4</v>
      </c>
      <c r="L460" s="57">
        <f>IF($K460=0,0,$K460 / SUMIFS($K:$K,$A:$A,$A460,$D:$D,"Grenade"))</f>
        <v>1</v>
      </c>
    </row>
    <row r="461" spans="1:12" ht="15" customHeight="1" x14ac:dyDescent="0.25">
      <c r="A461" s="42" t="str" cm="1">
        <f t="array" ref="A461">IFERROR(INDEX(_xlfn._xlws.FILTER(Class_Players!A:A,Class_Players!B:B="Support"),QUOTIENT(ROW()-ROW($A$2),9)+1),"")</f>
        <v>BabyFatherYC</v>
      </c>
      <c r="B461" s="42" t="str">
        <f>_xlfn.XLOOKUP(A461,Class_Players!$A:$A,Class_Players!$B:$B,"")</f>
        <v>Support</v>
      </c>
      <c r="C461" s="38" t="str" cm="1">
        <f t="array" ref="C461">INDEX(Lookups!$D$2:$D$10,MOD(ROW()-ROW($B$2),ROWS(Lookups!$D$2:$D$10))+1)</f>
        <v>GPDIS (Grenade intercept system)</v>
      </c>
      <c r="D461" s="38" t="str">
        <f>_xlfn.XLOOKUP(C461,Analysis_Gadgets!$C:$C,Analysis_Gadgets!$B:$B)</f>
        <v>Gadget</v>
      </c>
      <c r="E461" s="43">
        <v>135</v>
      </c>
      <c r="F461" s="43">
        <f>_xlfn.XLOOKUP(A461,Class_Players!A:A,Class_Players!G:G)</f>
        <v>225</v>
      </c>
      <c r="G461" s="43">
        <f t="shared" ref="G461:G524" si="115">IF(F461=0,"",E461/(F461))</f>
        <v>0.6</v>
      </c>
      <c r="H461" s="43">
        <f>_xlfn.XLOOKUP(A461,Class_Players!$A:$A,Class_Players!$F:$F,"")</f>
        <v>12349</v>
      </c>
      <c r="I461" s="44">
        <f t="shared" ref="I461:I524" si="116">IF(H461=0,"",E461/H461)</f>
        <v>1.0932059276054741E-2</v>
      </c>
      <c r="J461" s="43">
        <f t="shared" ref="J461:J524" si="117">IF(I461&gt;=0.1,1,0)</f>
        <v>0</v>
      </c>
      <c r="K461" s="44" cm="1">
        <f t="array" ref="K461">IF(D461="Gadget",_xlfn.IFS(I461&gt;=0.2,0.5,I461&gt;=0.1,0.35,I461&gt;=0.05,0.2,TRUE,0),IF(D461="Grenade",_xlfn.IFS(I461&gt;=0.2,1,I461&gt;=0.1,0.7,I461&gt;=0.05,0.4,TRUE,0),0))</f>
        <v>0</v>
      </c>
      <c r="L461" s="57">
        <f t="shared" ref="L461:L467" si="118">IF($K461=0,0,$K461 / SUMIFS($K:$K,$A:$A,$A461,$D:$D,"Gadget"))</f>
        <v>0</v>
      </c>
    </row>
    <row r="462" spans="1:12" ht="15" customHeight="1" x14ac:dyDescent="0.25">
      <c r="A462" s="42" t="str" cm="1">
        <f t="array" ref="A462">IFERROR(INDEX(_xlfn._xlws.FILTER(Class_Players!A:A,Class_Players!B:B="Support"),QUOTIENT(ROW()-ROW($A$2),9)+1),"")</f>
        <v>BabyFatherYC</v>
      </c>
      <c r="B462" s="42" t="str">
        <f>_xlfn.XLOOKUP(A462,Class_Players!$A:$A,Class_Players!$B:$B,"")</f>
        <v>Support</v>
      </c>
      <c r="C462" s="38" t="str" cm="1">
        <f t="array" ref="C462">INDEX(Lookups!$D$2:$D$10,MOD(ROW()-ROW($B$2),ROWS(Lookups!$D$2:$D$10))+1)</f>
        <v>MP-APS (Missile intercept system)</v>
      </c>
      <c r="D462" s="38" t="str">
        <f>_xlfn.XLOOKUP(C462,Analysis_Gadgets!$C:$C,Analysis_Gadgets!$B:$B)</f>
        <v>Gadget</v>
      </c>
      <c r="E462" s="43">
        <v>0</v>
      </c>
      <c r="F462" s="43">
        <f>_xlfn.XLOOKUP(A462,Class_Players!A:A,Class_Players!G:G)</f>
        <v>225</v>
      </c>
      <c r="G462" s="43">
        <f t="shared" si="115"/>
        <v>0</v>
      </c>
      <c r="H462" s="43">
        <f>_xlfn.XLOOKUP(A462,Class_Players!$A:$A,Class_Players!$F:$F,"")</f>
        <v>12349</v>
      </c>
      <c r="I462" s="44">
        <f t="shared" si="116"/>
        <v>0</v>
      </c>
      <c r="J462" s="43">
        <f t="shared" si="117"/>
        <v>0</v>
      </c>
      <c r="K462" s="44" cm="1">
        <f t="array" ref="K462">IF(D462="Gadget",_xlfn.IFS(I462&gt;=0.2,0.5,I462&gt;=0.1,0.35,I462&gt;=0.05,0.2,TRUE,0),IF(D462="Grenade",_xlfn.IFS(I462&gt;=0.2,1,I462&gt;=0.1,0.7,I462&gt;=0.05,0.4,TRUE,0),0))</f>
        <v>0</v>
      </c>
      <c r="L462" s="57">
        <f t="shared" si="118"/>
        <v>0</v>
      </c>
    </row>
    <row r="463" spans="1:12" ht="15" customHeight="1" x14ac:dyDescent="0.25">
      <c r="A463" s="42" t="str" cm="1">
        <f t="array" ref="A463">IFERROR(INDEX(_xlfn._xlws.FILTER(Class_Players!A:A,Class_Players!B:B="Support"),QUOTIENT(ROW()-ROW($A$2),9)+1),"")</f>
        <v>BabyFatherYC</v>
      </c>
      <c r="B463" s="42" t="str">
        <f>_xlfn.XLOOKUP(A463,Class_Players!$A:$A,Class_Players!$B:$B,"")</f>
        <v>Support</v>
      </c>
      <c r="C463" s="38" t="str" cm="1">
        <f t="array" ref="C463">INDEX(Lookups!$D$2:$D$10,MOD(ROW()-ROW($B$2),ROWS(Lookups!$D$2:$D$10))+1)</f>
        <v>LWCMS (Mortar)</v>
      </c>
      <c r="D463" s="38" t="str">
        <f>_xlfn.XLOOKUP(C463,Analysis_Gadgets!$C:$C,Analysis_Gadgets!$B:$B)</f>
        <v>Gadget</v>
      </c>
      <c r="E463" s="43">
        <v>3</v>
      </c>
      <c r="F463" s="43">
        <f>_xlfn.XLOOKUP(A463,Class_Players!A:A,Class_Players!G:G)</f>
        <v>225</v>
      </c>
      <c r="G463" s="43">
        <f t="shared" si="115"/>
        <v>1.3333333333333334E-2</v>
      </c>
      <c r="H463" s="43">
        <f>_xlfn.XLOOKUP(A463,Class_Players!$A:$A,Class_Players!$F:$F,"")</f>
        <v>12349</v>
      </c>
      <c r="I463" s="44">
        <f t="shared" si="116"/>
        <v>2.4293465057899426E-4</v>
      </c>
      <c r="J463" s="43">
        <f t="shared" si="117"/>
        <v>0</v>
      </c>
      <c r="K463" s="44" cm="1">
        <f t="array" ref="K463">IF(D463="Gadget",_xlfn.IFS(I463&gt;=0.2,0.5,I463&gt;=0.1,0.35,I463&gt;=0.05,0.2,TRUE,0),IF(D463="Grenade",_xlfn.IFS(I463&gt;=0.2,1,I463&gt;=0.1,0.7,I463&gt;=0.05,0.4,TRUE,0),0))</f>
        <v>0</v>
      </c>
      <c r="L463" s="57">
        <f t="shared" si="118"/>
        <v>0</v>
      </c>
    </row>
    <row r="464" spans="1:12" ht="15" customHeight="1" x14ac:dyDescent="0.25">
      <c r="A464" s="42" t="str" cm="1">
        <f t="array" ref="A464">IFERROR(INDEX(_xlfn._xlws.FILTER(Class_Players!A:A,Class_Players!B:B="Support"),QUOTIENT(ROW()-ROW($A$2),9)+1),"")</f>
        <v>BabyFatherYC</v>
      </c>
      <c r="B464" s="42" t="str">
        <f>_xlfn.XLOOKUP(A464,Class_Players!$A:$A,Class_Players!$B:$B,"")</f>
        <v>Support</v>
      </c>
      <c r="C464" s="38" t="str" cm="1">
        <f t="array" ref="C464">INDEX(Lookups!$D$2:$D$10,MOD(ROW()-ROW($B$2),ROWS(Lookups!$D$2:$D$10))+1)</f>
        <v>M320A1 SMK (Smoke Grenade Launcher)</v>
      </c>
      <c r="D464" s="38" t="str">
        <f>_xlfn.XLOOKUP(C464,Analysis_Gadgets!$C:$C,Analysis_Gadgets!$B:$B)</f>
        <v>Gadget</v>
      </c>
      <c r="E464" s="43">
        <v>0</v>
      </c>
      <c r="F464" s="43">
        <f>_xlfn.XLOOKUP(A464,Class_Players!A:A,Class_Players!G:G)</f>
        <v>225</v>
      </c>
      <c r="G464" s="43">
        <f t="shared" si="115"/>
        <v>0</v>
      </c>
      <c r="H464" s="43">
        <f>_xlfn.XLOOKUP(A464,Class_Players!$A:$A,Class_Players!$F:$F,"")</f>
        <v>12349</v>
      </c>
      <c r="I464" s="44">
        <f t="shared" si="116"/>
        <v>0</v>
      </c>
      <c r="J464" s="43">
        <f t="shared" si="117"/>
        <v>0</v>
      </c>
      <c r="K464" s="44" cm="1">
        <f t="array" ref="K464">IF(D464="Gadget",_xlfn.IFS(I464&gt;=0.2,0.5,I464&gt;=0.1,0.35,I464&gt;=0.05,0.2,TRUE,0),IF(D464="Grenade",_xlfn.IFS(I464&gt;=0.2,1,I464&gt;=0.1,0.7,I464&gt;=0.05,0.4,TRUE,0),0))</f>
        <v>0</v>
      </c>
      <c r="L464" s="57">
        <f t="shared" si="118"/>
        <v>0</v>
      </c>
    </row>
    <row r="465" spans="1:12" ht="15" customHeight="1" x14ac:dyDescent="0.25">
      <c r="A465" s="42" t="str" cm="1">
        <f t="array" ref="A465">IFERROR(INDEX(_xlfn._xlws.FILTER(Class_Players!A:A,Class_Players!B:B="Support"),QUOTIENT(ROW()-ROW($A$2),9)+1),"")</f>
        <v>BabyFatherYC</v>
      </c>
      <c r="B465" s="42" t="str">
        <f>_xlfn.XLOOKUP(A465,Class_Players!$A:$A,Class_Players!$B:$B,"")</f>
        <v>Support</v>
      </c>
      <c r="C465" s="38" t="str" cm="1">
        <f t="array" ref="C465">INDEX(Lookups!$D$2:$D$10,MOD(ROW()-ROW($B$2),ROWS(Lookups!$D$2:$D$10))+1)</f>
        <v>SICH G1 WP (Incendiary Airburst Launcher)</v>
      </c>
      <c r="D465" s="38" t="str">
        <f>_xlfn.XLOOKUP(C465,Analysis_Gadgets!$C:$C,Analysis_Gadgets!$B:$B)</f>
        <v>Gadget</v>
      </c>
      <c r="E465" s="43">
        <v>9</v>
      </c>
      <c r="F465" s="43">
        <f>_xlfn.XLOOKUP(A465,Class_Players!A:A,Class_Players!G:G)</f>
        <v>225</v>
      </c>
      <c r="G465" s="43">
        <f t="shared" si="115"/>
        <v>0.04</v>
      </c>
      <c r="H465" s="43">
        <f>_xlfn.XLOOKUP(A465,Class_Players!$A:$A,Class_Players!$F:$F,"")</f>
        <v>12349</v>
      </c>
      <c r="I465" s="44">
        <f t="shared" si="116"/>
        <v>7.2880395173698272E-4</v>
      </c>
      <c r="J465" s="43">
        <f t="shared" si="117"/>
        <v>0</v>
      </c>
      <c r="K465" s="44" cm="1">
        <f t="array" ref="K465">IF(D465="Gadget",_xlfn.IFS(I465&gt;=0.2,0.5,I465&gt;=0.1,0.35,I465&gt;=0.05,0.2,TRUE,0),IF(D465="Grenade",_xlfn.IFS(I465&gt;=0.2,1,I465&gt;=0.1,0.7,I465&gt;=0.05,0.4,TRUE,0),0))</f>
        <v>0</v>
      </c>
      <c r="L465" s="57">
        <f t="shared" si="118"/>
        <v>0</v>
      </c>
    </row>
    <row r="466" spans="1:12" ht="15" customHeight="1" x14ac:dyDescent="0.25">
      <c r="A466" s="42" t="str" cm="1">
        <f t="array" ref="A466">IFERROR(INDEX(_xlfn._xlws.FILTER(Class_Players!A:A,Class_Players!B:B="Support"),QUOTIENT(ROW()-ROW($A$2),9)+1),"")</f>
        <v>BabyFatherYC</v>
      </c>
      <c r="B466" s="42" t="str">
        <f>_xlfn.XLOOKUP(A466,Class_Players!$A:$A,Class_Players!$B:$B,"")</f>
        <v>Support</v>
      </c>
      <c r="C466" s="38" t="str" cm="1">
        <f t="array" ref="C466">INDEX(Lookups!$D$2:$D$10,MOD(ROW()-ROW($B$2),ROWS(Lookups!$D$2:$D$10))+1)</f>
        <v>Deployable Cover</v>
      </c>
      <c r="D466" s="38" t="str">
        <f>_xlfn.XLOOKUP(C466,Analysis_Gadgets!$C:$C,Analysis_Gadgets!$B:$B)</f>
        <v>Gadget</v>
      </c>
      <c r="E466" s="43">
        <v>171</v>
      </c>
      <c r="F466" s="43">
        <f>_xlfn.XLOOKUP(A466,Class_Players!A:A,Class_Players!G:G)</f>
        <v>225</v>
      </c>
      <c r="G466" s="43">
        <f t="shared" si="115"/>
        <v>0.76</v>
      </c>
      <c r="H466" s="43">
        <f>_xlfn.XLOOKUP(A466,Class_Players!$A:$A,Class_Players!$F:$F,"")</f>
        <v>12349</v>
      </c>
      <c r="I466" s="44">
        <f t="shared" si="116"/>
        <v>1.3847275083002672E-2</v>
      </c>
      <c r="J466" s="43">
        <f t="shared" si="117"/>
        <v>0</v>
      </c>
      <c r="K466" s="44" cm="1">
        <f t="array" ref="K466">IF(D466="Gadget",_xlfn.IFS(I466&gt;=0.2,0.5,I466&gt;=0.1,0.35,I466&gt;=0.05,0.2,TRUE,0),IF(D466="Grenade",_xlfn.IFS(I466&gt;=0.2,1,I466&gt;=0.1,0.7,I466&gt;=0.05,0.4,TRUE,0),0))</f>
        <v>0</v>
      </c>
      <c r="L466" s="57">
        <f t="shared" si="118"/>
        <v>0</v>
      </c>
    </row>
    <row r="467" spans="1:12" ht="15" customHeight="1" x14ac:dyDescent="0.25">
      <c r="A467" s="42" t="str" cm="1">
        <f t="array" ref="A467">IFERROR(INDEX(_xlfn._xlws.FILTER(Class_Players!A:A,Class_Players!B:B="Support"),QUOTIENT(ROW()-ROW($A$2),9)+1),"")</f>
        <v>BabyFatherYC</v>
      </c>
      <c r="B467" s="42" t="str">
        <f>_xlfn.XLOOKUP(A467,Class_Players!$A:$A,Class_Players!$B:$B,"")</f>
        <v>Support</v>
      </c>
      <c r="C467" s="38" t="str" cm="1">
        <f t="array" ref="C467">INDEX(Lookups!$D$2:$D$10,MOD(ROW()-ROW($B$2),ROWS(Lookups!$D$2:$D$10))+1)</f>
        <v>Supply Pouch</v>
      </c>
      <c r="D467" s="38" t="str">
        <f>_xlfn.XLOOKUP(C467,Analysis_Gadgets!$C:$C,Analysis_Gadgets!$B:$B)</f>
        <v>Gadget</v>
      </c>
      <c r="E467" s="43">
        <v>9108</v>
      </c>
      <c r="F467" s="43">
        <f>_xlfn.XLOOKUP(A467,Class_Players!A:A,Class_Players!G:G)</f>
        <v>225</v>
      </c>
      <c r="G467" s="43">
        <f t="shared" si="115"/>
        <v>40.479999999999997</v>
      </c>
      <c r="H467" s="43">
        <f>_xlfn.XLOOKUP(A467,Class_Players!$A:$A,Class_Players!$F:$F,"")</f>
        <v>12349</v>
      </c>
      <c r="I467" s="44">
        <f t="shared" si="116"/>
        <v>0.73754959915782659</v>
      </c>
      <c r="J467" s="43">
        <f t="shared" si="117"/>
        <v>1</v>
      </c>
      <c r="K467" s="44" cm="1">
        <f t="array" ref="K467">IF(D467="Gadget",_xlfn.IFS(I467&gt;=0.2,0.5,I467&gt;=0.1,0.35,I467&gt;=0.05,0.2,TRUE,0),IF(D467="Grenade",_xlfn.IFS(I467&gt;=0.2,1,I467&gt;=0.1,0.7,I467&gt;=0.05,0.4,TRUE,0),0))</f>
        <v>0.5</v>
      </c>
      <c r="L467" s="57">
        <f t="shared" si="118"/>
        <v>1</v>
      </c>
    </row>
    <row r="468" spans="1:12" ht="15" customHeight="1" x14ac:dyDescent="0.25">
      <c r="A468" s="42" t="str" cm="1">
        <f t="array" ref="A468">IFERROR(INDEX(_xlfn._xlws.FILTER(Class_Players!A:A,Class_Players!B:B="Support"),QUOTIENT(ROW()-ROW($A$2),9)+1),"")</f>
        <v>BabyFatherYC</v>
      </c>
      <c r="B468" s="42" t="str">
        <f>_xlfn.XLOOKUP(A468,Class_Players!$A:$A,Class_Players!$B:$B,"")</f>
        <v>Support</v>
      </c>
      <c r="C468" s="38" t="str" cm="1">
        <f t="array" ref="C468">INDEX(Lookups!$D$2:$D$10,MOD(ROW()-ROW($B$2),ROWS(Lookups!$D$2:$D$10))+1)</f>
        <v>Smoke Grenade</v>
      </c>
      <c r="D468" s="38" t="str">
        <f>_xlfn.XLOOKUP(C468,Analysis_Gadgets!$C:$C,Analysis_Gadgets!$B:$B)</f>
        <v>Grenade</v>
      </c>
      <c r="E468" s="43">
        <v>8287</v>
      </c>
      <c r="F468" s="43">
        <f>_xlfn.XLOOKUP(A468,Class_Players!A:A,Class_Players!G:G)</f>
        <v>225</v>
      </c>
      <c r="G468" s="43">
        <f t="shared" si="115"/>
        <v>36.831111111111113</v>
      </c>
      <c r="H468" s="43">
        <f>_xlfn.XLOOKUP(A468,Class_Players!$A:$A,Class_Players!$F:$F,"")</f>
        <v>12349</v>
      </c>
      <c r="I468" s="44">
        <f t="shared" si="116"/>
        <v>0.67106648311604178</v>
      </c>
      <c r="J468" s="43">
        <f t="shared" si="117"/>
        <v>1</v>
      </c>
      <c r="K468" s="44" cm="1">
        <f t="array" ref="K468">IF(D468="Gadget",_xlfn.IFS(I468&gt;=0.2,0.5,I468&gt;=0.1,0.35,I468&gt;=0.05,0.2,TRUE,0),IF(D468="Grenade",_xlfn.IFS(I468&gt;=0.2,1,I468&gt;=0.1,0.7,I468&gt;=0.05,0.4,TRUE,0),0))</f>
        <v>1</v>
      </c>
      <c r="L468" s="57">
        <f t="shared" ref="L468:L469" si="119">IF($K468=0,0,$K468 / SUMIFS($K:$K,$A:$A,$A468,$D:$D,"Grenade"))</f>
        <v>1</v>
      </c>
    </row>
    <row r="469" spans="1:12" ht="15" customHeight="1" x14ac:dyDescent="0.25">
      <c r="A469" s="42" t="str" cm="1">
        <f t="array" ref="A469">IFERROR(INDEX(_xlfn._xlws.FILTER(Class_Players!A:A,Class_Players!B:B="Support"),QUOTIENT(ROW()-ROW($A$2),9)+1),"")</f>
        <v>BabyFatherYC</v>
      </c>
      <c r="B469" s="42" t="str">
        <f>_xlfn.XLOOKUP(A469,Class_Players!$A:$A,Class_Players!$B:$B,"")</f>
        <v>Support</v>
      </c>
      <c r="C469" s="38" t="str" cm="1">
        <f t="array" ref="C469">INDEX(Lookups!$D$2:$D$10,MOD(ROW()-ROW($B$2),ROWS(Lookups!$D$2:$D$10))+1)</f>
        <v>Incendiary Grenade</v>
      </c>
      <c r="D469" s="38" t="str">
        <f>_xlfn.XLOOKUP(C469,Analysis_Gadgets!$C:$C,Analysis_Gadgets!$B:$B)</f>
        <v>Grenade</v>
      </c>
      <c r="E469" s="43">
        <v>2</v>
      </c>
      <c r="F469" s="43">
        <f>_xlfn.XLOOKUP(A469,Class_Players!A:A,Class_Players!G:G)</f>
        <v>225</v>
      </c>
      <c r="G469" s="43">
        <f t="shared" si="115"/>
        <v>8.8888888888888889E-3</v>
      </c>
      <c r="H469" s="43">
        <f>_xlfn.XLOOKUP(A469,Class_Players!$A:$A,Class_Players!$F:$F,"")</f>
        <v>12349</v>
      </c>
      <c r="I469" s="44">
        <f t="shared" si="116"/>
        <v>1.6195643371932951E-4</v>
      </c>
      <c r="J469" s="43">
        <f t="shared" si="117"/>
        <v>0</v>
      </c>
      <c r="K469" s="44" cm="1">
        <f t="array" ref="K469">IF(D469="Gadget",_xlfn.IFS(I469&gt;=0.2,0.5,I469&gt;=0.1,0.35,I469&gt;=0.05,0.2,TRUE,0),IF(D469="Grenade",_xlfn.IFS(I469&gt;=0.2,1,I469&gt;=0.1,0.7,I469&gt;=0.05,0.4,TRUE,0),0))</f>
        <v>0</v>
      </c>
      <c r="L469" s="57">
        <f t="shared" si="119"/>
        <v>0</v>
      </c>
    </row>
    <row r="470" spans="1:12" ht="15" customHeight="1" x14ac:dyDescent="0.25">
      <c r="A470" s="42" t="str" cm="1">
        <f t="array" ref="A470">IFERROR(INDEX(_xlfn._xlws.FILTER(Class_Players!A:A,Class_Players!B:B="Support"),QUOTIENT(ROW()-ROW($A$2),9)+1),"")</f>
        <v>Twofastforum8</v>
      </c>
      <c r="B470" s="42" t="str">
        <f>_xlfn.XLOOKUP(A470,Class_Players!$A:$A,Class_Players!$B:$B,"")</f>
        <v>Support</v>
      </c>
      <c r="C470" s="38" t="str" cm="1">
        <f t="array" ref="C470">INDEX(Lookups!$D$2:$D$10,MOD(ROW()-ROW($B$2),ROWS(Lookups!$D$2:$D$10))+1)</f>
        <v>GPDIS (Grenade intercept system)</v>
      </c>
      <c r="D470" s="38" t="str">
        <f>_xlfn.XLOOKUP(C470,Analysis_Gadgets!$C:$C,Analysis_Gadgets!$B:$B)</f>
        <v>Gadget</v>
      </c>
      <c r="E470" s="43">
        <v>85</v>
      </c>
      <c r="F470" s="43">
        <f>_xlfn.XLOOKUP(A470,Class_Players!A:A,Class_Players!G:G)</f>
        <v>346</v>
      </c>
      <c r="G470" s="43">
        <f t="shared" si="115"/>
        <v>0.24566473988439305</v>
      </c>
      <c r="H470" s="43">
        <f>_xlfn.XLOOKUP(A470,Class_Players!$A:$A,Class_Players!$F:$F,"")</f>
        <v>12286</v>
      </c>
      <c r="I470" s="44">
        <f t="shared" si="116"/>
        <v>6.9184437571219275E-3</v>
      </c>
      <c r="J470" s="43">
        <f t="shared" si="117"/>
        <v>0</v>
      </c>
      <c r="K470" s="44" cm="1">
        <f t="array" ref="K470">IF(D470="Gadget",_xlfn.IFS(I470&gt;=0.2,0.5,I470&gt;=0.1,0.35,I470&gt;=0.05,0.2,TRUE,0),IF(D470="Grenade",_xlfn.IFS(I470&gt;=0.2,1,I470&gt;=0.1,0.7,I470&gt;=0.05,0.4,TRUE,0),0))</f>
        <v>0</v>
      </c>
      <c r="L470" s="57">
        <f t="shared" ref="L470:L476" si="120">IF($K470=0,0,$K470 / SUMIFS($K:$K,$A:$A,$A470,$D:$D,"Gadget"))</f>
        <v>0</v>
      </c>
    </row>
    <row r="471" spans="1:12" ht="15" customHeight="1" x14ac:dyDescent="0.25">
      <c r="A471" s="42" t="str" cm="1">
        <f t="array" ref="A471">IFERROR(INDEX(_xlfn._xlws.FILTER(Class_Players!A:A,Class_Players!B:B="Support"),QUOTIENT(ROW()-ROW($A$2),9)+1),"")</f>
        <v>Twofastforum8</v>
      </c>
      <c r="B471" s="42" t="str">
        <f>_xlfn.XLOOKUP(A471,Class_Players!$A:$A,Class_Players!$B:$B,"")</f>
        <v>Support</v>
      </c>
      <c r="C471" s="38" t="str" cm="1">
        <f t="array" ref="C471">INDEX(Lookups!$D$2:$D$10,MOD(ROW()-ROW($B$2),ROWS(Lookups!$D$2:$D$10))+1)</f>
        <v>MP-APS (Missile intercept system)</v>
      </c>
      <c r="D471" s="38" t="str">
        <f>_xlfn.XLOOKUP(C471,Analysis_Gadgets!$C:$C,Analysis_Gadgets!$B:$B)</f>
        <v>Gadget</v>
      </c>
      <c r="E471" s="43">
        <v>25</v>
      </c>
      <c r="F471" s="43">
        <f>_xlfn.XLOOKUP(A471,Class_Players!A:A,Class_Players!G:G)</f>
        <v>346</v>
      </c>
      <c r="G471" s="43">
        <f t="shared" si="115"/>
        <v>7.2254335260115612E-2</v>
      </c>
      <c r="H471" s="43">
        <f>_xlfn.XLOOKUP(A471,Class_Players!$A:$A,Class_Players!$F:$F,"")</f>
        <v>12286</v>
      </c>
      <c r="I471" s="44">
        <f t="shared" si="116"/>
        <v>2.0348363991535079E-3</v>
      </c>
      <c r="J471" s="43">
        <f t="shared" si="117"/>
        <v>0</v>
      </c>
      <c r="K471" s="44" cm="1">
        <f t="array" ref="K471">IF(D471="Gadget",_xlfn.IFS(I471&gt;=0.2,0.5,I471&gt;=0.1,0.35,I471&gt;=0.05,0.2,TRUE,0),IF(D471="Grenade",_xlfn.IFS(I471&gt;=0.2,1,I471&gt;=0.1,0.7,I471&gt;=0.05,0.4,TRUE,0),0))</f>
        <v>0</v>
      </c>
      <c r="L471" s="57">
        <f t="shared" si="120"/>
        <v>0</v>
      </c>
    </row>
    <row r="472" spans="1:12" ht="15" customHeight="1" x14ac:dyDescent="0.25">
      <c r="A472" s="42" t="str" cm="1">
        <f t="array" ref="A472">IFERROR(INDEX(_xlfn._xlws.FILTER(Class_Players!A:A,Class_Players!B:B="Support"),QUOTIENT(ROW()-ROW($A$2),9)+1),"")</f>
        <v>Twofastforum8</v>
      </c>
      <c r="B472" s="42" t="str">
        <f>_xlfn.XLOOKUP(A472,Class_Players!$A:$A,Class_Players!$B:$B,"")</f>
        <v>Support</v>
      </c>
      <c r="C472" s="38" t="str" cm="1">
        <f t="array" ref="C472">INDEX(Lookups!$D$2:$D$10,MOD(ROW()-ROW($B$2),ROWS(Lookups!$D$2:$D$10))+1)</f>
        <v>LWCMS (Mortar)</v>
      </c>
      <c r="D472" s="38" t="str">
        <f>_xlfn.XLOOKUP(C472,Analysis_Gadgets!$C:$C,Analysis_Gadgets!$B:$B)</f>
        <v>Gadget</v>
      </c>
      <c r="E472" s="43">
        <v>12</v>
      </c>
      <c r="F472" s="43">
        <f>_xlfn.XLOOKUP(A472,Class_Players!A:A,Class_Players!G:G)</f>
        <v>346</v>
      </c>
      <c r="G472" s="43">
        <f t="shared" si="115"/>
        <v>3.4682080924855488E-2</v>
      </c>
      <c r="H472" s="43">
        <f>_xlfn.XLOOKUP(A472,Class_Players!$A:$A,Class_Players!$F:$F,"")</f>
        <v>12286</v>
      </c>
      <c r="I472" s="44">
        <f t="shared" si="116"/>
        <v>9.7672147159368387E-4</v>
      </c>
      <c r="J472" s="43">
        <f t="shared" si="117"/>
        <v>0</v>
      </c>
      <c r="K472" s="44" cm="1">
        <f t="array" ref="K472">IF(D472="Gadget",_xlfn.IFS(I472&gt;=0.2,0.5,I472&gt;=0.1,0.35,I472&gt;=0.05,0.2,TRUE,0),IF(D472="Grenade",_xlfn.IFS(I472&gt;=0.2,1,I472&gt;=0.1,0.7,I472&gt;=0.05,0.4,TRUE,0),0))</f>
        <v>0</v>
      </c>
      <c r="L472" s="57">
        <f t="shared" si="120"/>
        <v>0</v>
      </c>
    </row>
    <row r="473" spans="1:12" ht="15" customHeight="1" x14ac:dyDescent="0.25">
      <c r="A473" s="42" t="str" cm="1">
        <f t="array" ref="A473">IFERROR(INDEX(_xlfn._xlws.FILTER(Class_Players!A:A,Class_Players!B:B="Support"),QUOTIENT(ROW()-ROW($A$2),9)+1),"")</f>
        <v>Twofastforum8</v>
      </c>
      <c r="B473" s="42" t="str">
        <f>_xlfn.XLOOKUP(A473,Class_Players!$A:$A,Class_Players!$B:$B,"")</f>
        <v>Support</v>
      </c>
      <c r="C473" s="38" t="str" cm="1">
        <f t="array" ref="C473">INDEX(Lookups!$D$2:$D$10,MOD(ROW()-ROW($B$2),ROWS(Lookups!$D$2:$D$10))+1)</f>
        <v>M320A1 SMK (Smoke Grenade Launcher)</v>
      </c>
      <c r="D473" s="38" t="str">
        <f>_xlfn.XLOOKUP(C473,Analysis_Gadgets!$C:$C,Analysis_Gadgets!$B:$B)</f>
        <v>Gadget</v>
      </c>
      <c r="E473" s="43">
        <v>33</v>
      </c>
      <c r="F473" s="43">
        <f>_xlfn.XLOOKUP(A473,Class_Players!A:A,Class_Players!G:G)</f>
        <v>346</v>
      </c>
      <c r="G473" s="43">
        <f t="shared" si="115"/>
        <v>9.5375722543352595E-2</v>
      </c>
      <c r="H473" s="43">
        <f>_xlfn.XLOOKUP(A473,Class_Players!$A:$A,Class_Players!$F:$F,"")</f>
        <v>12286</v>
      </c>
      <c r="I473" s="44">
        <f t="shared" si="116"/>
        <v>2.6859840468826308E-3</v>
      </c>
      <c r="J473" s="43">
        <f t="shared" si="117"/>
        <v>0</v>
      </c>
      <c r="K473" s="44" cm="1">
        <f t="array" ref="K473">IF(D473="Gadget",_xlfn.IFS(I473&gt;=0.2,0.5,I473&gt;=0.1,0.35,I473&gt;=0.05,0.2,TRUE,0),IF(D473="Grenade",_xlfn.IFS(I473&gt;=0.2,1,I473&gt;=0.1,0.7,I473&gt;=0.05,0.4,TRUE,0),0))</f>
        <v>0</v>
      </c>
      <c r="L473" s="57">
        <f t="shared" si="120"/>
        <v>0</v>
      </c>
    </row>
    <row r="474" spans="1:12" ht="15" customHeight="1" x14ac:dyDescent="0.25">
      <c r="A474" s="42" t="str" cm="1">
        <f t="array" ref="A474">IFERROR(INDEX(_xlfn._xlws.FILTER(Class_Players!A:A,Class_Players!B:B="Support"),QUOTIENT(ROW()-ROW($A$2),9)+1),"")</f>
        <v>Twofastforum8</v>
      </c>
      <c r="B474" s="42" t="str">
        <f>_xlfn.XLOOKUP(A474,Class_Players!$A:$A,Class_Players!$B:$B,"")</f>
        <v>Support</v>
      </c>
      <c r="C474" s="38" t="str" cm="1">
        <f t="array" ref="C474">INDEX(Lookups!$D$2:$D$10,MOD(ROW()-ROW($B$2),ROWS(Lookups!$D$2:$D$10))+1)</f>
        <v>SICH G1 WP (Incendiary Airburst Launcher)</v>
      </c>
      <c r="D474" s="38" t="str">
        <f>_xlfn.XLOOKUP(C474,Analysis_Gadgets!$C:$C,Analysis_Gadgets!$B:$B)</f>
        <v>Gadget</v>
      </c>
      <c r="E474" s="43">
        <v>553</v>
      </c>
      <c r="F474" s="43">
        <f>_xlfn.XLOOKUP(A474,Class_Players!A:A,Class_Players!G:G)</f>
        <v>346</v>
      </c>
      <c r="G474" s="43">
        <f t="shared" si="115"/>
        <v>1.5982658959537572</v>
      </c>
      <c r="H474" s="43">
        <f>_xlfn.XLOOKUP(A474,Class_Players!$A:$A,Class_Players!$F:$F,"")</f>
        <v>12286</v>
      </c>
      <c r="I474" s="44">
        <f t="shared" si="116"/>
        <v>4.50105811492756E-2</v>
      </c>
      <c r="J474" s="43">
        <f t="shared" si="117"/>
        <v>0</v>
      </c>
      <c r="K474" s="44" cm="1">
        <f t="array" ref="K474">IF(D474="Gadget",_xlfn.IFS(I474&gt;=0.2,0.5,I474&gt;=0.1,0.35,I474&gt;=0.05,0.2,TRUE,0),IF(D474="Grenade",_xlfn.IFS(I474&gt;=0.2,1,I474&gt;=0.1,0.7,I474&gt;=0.05,0.4,TRUE,0),0))</f>
        <v>0</v>
      </c>
      <c r="L474" s="57">
        <f t="shared" si="120"/>
        <v>0</v>
      </c>
    </row>
    <row r="475" spans="1:12" ht="15" customHeight="1" x14ac:dyDescent="0.25">
      <c r="A475" s="42" t="str" cm="1">
        <f t="array" ref="A475">IFERROR(INDEX(_xlfn._xlws.FILTER(Class_Players!A:A,Class_Players!B:B="Support"),QUOTIENT(ROW()-ROW($A$2),9)+1),"")</f>
        <v>Twofastforum8</v>
      </c>
      <c r="B475" s="42" t="str">
        <f>_xlfn.XLOOKUP(A475,Class_Players!$A:$A,Class_Players!$B:$B,"")</f>
        <v>Support</v>
      </c>
      <c r="C475" s="38" t="str" cm="1">
        <f t="array" ref="C475">INDEX(Lookups!$D$2:$D$10,MOD(ROW()-ROW($B$2),ROWS(Lookups!$D$2:$D$10))+1)</f>
        <v>Deployable Cover</v>
      </c>
      <c r="D475" s="38" t="str">
        <f>_xlfn.XLOOKUP(C475,Analysis_Gadgets!$C:$C,Analysis_Gadgets!$B:$B)</f>
        <v>Gadget</v>
      </c>
      <c r="E475" s="43">
        <v>2777</v>
      </c>
      <c r="F475" s="43">
        <f>_xlfn.XLOOKUP(A475,Class_Players!A:A,Class_Players!G:G)</f>
        <v>346</v>
      </c>
      <c r="G475" s="43">
        <f t="shared" si="115"/>
        <v>8.0260115606936413</v>
      </c>
      <c r="H475" s="43">
        <f>_xlfn.XLOOKUP(A475,Class_Players!$A:$A,Class_Players!$F:$F,"")</f>
        <v>12286</v>
      </c>
      <c r="I475" s="44">
        <f t="shared" si="116"/>
        <v>0.22602962721797168</v>
      </c>
      <c r="J475" s="43">
        <f t="shared" si="117"/>
        <v>1</v>
      </c>
      <c r="K475" s="44" cm="1">
        <f t="array" ref="K475">IF(D475="Gadget",_xlfn.IFS(I475&gt;=0.2,0.5,I475&gt;=0.1,0.35,I475&gt;=0.05,0.2,TRUE,0),IF(D475="Grenade",_xlfn.IFS(I475&gt;=0.2,1,I475&gt;=0.1,0.7,I475&gt;=0.05,0.4,TRUE,0),0))</f>
        <v>0.5</v>
      </c>
      <c r="L475" s="57">
        <f t="shared" si="120"/>
        <v>0.58823529411764708</v>
      </c>
    </row>
    <row r="476" spans="1:12" ht="15" customHeight="1" x14ac:dyDescent="0.25">
      <c r="A476" s="42" t="str" cm="1">
        <f t="array" ref="A476">IFERROR(INDEX(_xlfn._xlws.FILTER(Class_Players!A:A,Class_Players!B:B="Support"),QUOTIENT(ROW()-ROW($A$2),9)+1),"")</f>
        <v>Twofastforum8</v>
      </c>
      <c r="B476" s="42" t="str">
        <f>_xlfn.XLOOKUP(A476,Class_Players!$A:$A,Class_Players!$B:$B,"")</f>
        <v>Support</v>
      </c>
      <c r="C476" s="38" t="str" cm="1">
        <f t="array" ref="C476">INDEX(Lookups!$D$2:$D$10,MOD(ROW()-ROW($B$2),ROWS(Lookups!$D$2:$D$10))+1)</f>
        <v>Supply Pouch</v>
      </c>
      <c r="D476" s="38" t="str">
        <f>_xlfn.XLOOKUP(C476,Analysis_Gadgets!$C:$C,Analysis_Gadgets!$B:$B)</f>
        <v>Gadget</v>
      </c>
      <c r="E476" s="43">
        <v>1925</v>
      </c>
      <c r="F476" s="43">
        <f>_xlfn.XLOOKUP(A476,Class_Players!A:A,Class_Players!G:G)</f>
        <v>346</v>
      </c>
      <c r="G476" s="43">
        <f t="shared" si="115"/>
        <v>5.5635838150289016</v>
      </c>
      <c r="H476" s="43">
        <f>_xlfn.XLOOKUP(A476,Class_Players!$A:$A,Class_Players!$F:$F,"")</f>
        <v>12286</v>
      </c>
      <c r="I476" s="44">
        <f t="shared" si="116"/>
        <v>0.15668240273482012</v>
      </c>
      <c r="J476" s="43">
        <f t="shared" si="117"/>
        <v>1</v>
      </c>
      <c r="K476" s="44" cm="1">
        <f t="array" ref="K476">IF(D476="Gadget",_xlfn.IFS(I476&gt;=0.2,0.5,I476&gt;=0.1,0.35,I476&gt;=0.05,0.2,TRUE,0),IF(D476="Grenade",_xlfn.IFS(I476&gt;=0.2,1,I476&gt;=0.1,0.7,I476&gt;=0.05,0.4,TRUE,0),0))</f>
        <v>0.35</v>
      </c>
      <c r="L476" s="57">
        <f t="shared" si="120"/>
        <v>0.41176470588235292</v>
      </c>
    </row>
    <row r="477" spans="1:12" ht="15" customHeight="1" x14ac:dyDescent="0.25">
      <c r="A477" s="42" t="str" cm="1">
        <f t="array" ref="A477">IFERROR(INDEX(_xlfn._xlws.FILTER(Class_Players!A:A,Class_Players!B:B="Support"),QUOTIENT(ROW()-ROW($A$2),9)+1),"")</f>
        <v>Twofastforum8</v>
      </c>
      <c r="B477" s="42" t="str">
        <f>_xlfn.XLOOKUP(A477,Class_Players!$A:$A,Class_Players!$B:$B,"")</f>
        <v>Support</v>
      </c>
      <c r="C477" s="38" t="str" cm="1">
        <f t="array" ref="C477">INDEX(Lookups!$D$2:$D$10,MOD(ROW()-ROW($B$2),ROWS(Lookups!$D$2:$D$10))+1)</f>
        <v>Smoke Grenade</v>
      </c>
      <c r="D477" s="38" t="str">
        <f>_xlfn.XLOOKUP(C477,Analysis_Gadgets!$C:$C,Analysis_Gadgets!$B:$B)</f>
        <v>Grenade</v>
      </c>
      <c r="E477" s="43">
        <v>12799</v>
      </c>
      <c r="F477" s="43">
        <f>_xlfn.XLOOKUP(A477,Class_Players!A:A,Class_Players!G:G)</f>
        <v>346</v>
      </c>
      <c r="G477" s="43">
        <f t="shared" si="115"/>
        <v>36.991329479768787</v>
      </c>
      <c r="H477" s="43">
        <f>_xlfn.XLOOKUP(A477,Class_Players!$A:$A,Class_Players!$F:$F,"")</f>
        <v>12286</v>
      </c>
      <c r="I477" s="44">
        <f t="shared" si="116"/>
        <v>1.04175484291063</v>
      </c>
      <c r="J477" s="43">
        <f t="shared" si="117"/>
        <v>1</v>
      </c>
      <c r="K477" s="44" cm="1">
        <f t="array" ref="K477">IF(D477="Gadget",_xlfn.IFS(I477&gt;=0.2,0.5,I477&gt;=0.1,0.35,I477&gt;=0.05,0.2,TRUE,0),IF(D477="Grenade",_xlfn.IFS(I477&gt;=0.2,1,I477&gt;=0.1,0.7,I477&gt;=0.05,0.4,TRUE,0),0))</f>
        <v>1</v>
      </c>
      <c r="L477" s="57">
        <f t="shared" ref="L477:L478" si="121">IF($K477=0,0,$K477 / SUMIFS($K:$K,$A:$A,$A477,$D:$D,"Grenade"))</f>
        <v>1</v>
      </c>
    </row>
    <row r="478" spans="1:12" ht="15" customHeight="1" x14ac:dyDescent="0.25">
      <c r="A478" s="42" t="str" cm="1">
        <f t="array" ref="A478">IFERROR(INDEX(_xlfn._xlws.FILTER(Class_Players!A:A,Class_Players!B:B="Support"),QUOTIENT(ROW()-ROW($A$2),9)+1),"")</f>
        <v>Twofastforum8</v>
      </c>
      <c r="B478" s="42" t="str">
        <f>_xlfn.XLOOKUP(A478,Class_Players!$A:$A,Class_Players!$B:$B,"")</f>
        <v>Support</v>
      </c>
      <c r="C478" s="38" t="str" cm="1">
        <f t="array" ref="C478">INDEX(Lookups!$D$2:$D$10,MOD(ROW()-ROW($B$2),ROWS(Lookups!$D$2:$D$10))+1)</f>
        <v>Incendiary Grenade</v>
      </c>
      <c r="D478" s="38" t="str">
        <f>_xlfn.XLOOKUP(C478,Analysis_Gadgets!$C:$C,Analysis_Gadgets!$B:$B)</f>
        <v>Grenade</v>
      </c>
      <c r="E478" s="43">
        <v>4</v>
      </c>
      <c r="F478" s="43">
        <f>_xlfn.XLOOKUP(A478,Class_Players!A:A,Class_Players!G:G)</f>
        <v>346</v>
      </c>
      <c r="G478" s="43">
        <f t="shared" si="115"/>
        <v>1.1560693641618497E-2</v>
      </c>
      <c r="H478" s="43">
        <f>_xlfn.XLOOKUP(A478,Class_Players!$A:$A,Class_Players!$F:$F,"")</f>
        <v>12286</v>
      </c>
      <c r="I478" s="44">
        <f t="shared" si="116"/>
        <v>3.2557382386456127E-4</v>
      </c>
      <c r="J478" s="43">
        <f t="shared" si="117"/>
        <v>0</v>
      </c>
      <c r="K478" s="44" cm="1">
        <f t="array" ref="K478">IF(D478="Gadget",_xlfn.IFS(I478&gt;=0.2,0.5,I478&gt;=0.1,0.35,I478&gt;=0.05,0.2,TRUE,0),IF(D478="Grenade",_xlfn.IFS(I478&gt;=0.2,1,I478&gt;=0.1,0.7,I478&gt;=0.05,0.4,TRUE,0),0))</f>
        <v>0</v>
      </c>
      <c r="L478" s="57">
        <f t="shared" si="121"/>
        <v>0</v>
      </c>
    </row>
    <row r="479" spans="1:12" ht="15" customHeight="1" x14ac:dyDescent="0.25">
      <c r="A479" s="42" t="str" cm="1">
        <f t="array" ref="A479">IFERROR(INDEX(_xlfn._xlws.FILTER(Class_Players!A:A,Class_Players!B:B="Support"),QUOTIENT(ROW()-ROW($A$2),9)+1),"")</f>
        <v>esojguy</v>
      </c>
      <c r="B479" s="42" t="str">
        <f>_xlfn.XLOOKUP(A479,Class_Players!$A:$A,Class_Players!$B:$B,"")</f>
        <v>Support</v>
      </c>
      <c r="C479" s="38" t="str" cm="1">
        <f t="array" ref="C479">INDEX(Lookups!$D$2:$D$10,MOD(ROW()-ROW($B$2),ROWS(Lookups!$D$2:$D$10))+1)</f>
        <v>GPDIS (Grenade intercept system)</v>
      </c>
      <c r="D479" s="38" t="str">
        <f>_xlfn.XLOOKUP(C479,Analysis_Gadgets!$C:$C,Analysis_Gadgets!$B:$B)</f>
        <v>Gadget</v>
      </c>
      <c r="E479" s="43">
        <v>1014</v>
      </c>
      <c r="F479" s="43">
        <f>_xlfn.XLOOKUP(A479,Class_Players!A:A,Class_Players!G:G)</f>
        <v>205</v>
      </c>
      <c r="G479" s="43">
        <f t="shared" si="115"/>
        <v>4.9463414634146341</v>
      </c>
      <c r="H479" s="43">
        <f>_xlfn.XLOOKUP(A479,Class_Players!$A:$A,Class_Players!$F:$F,"")</f>
        <v>12377</v>
      </c>
      <c r="I479" s="44">
        <f t="shared" si="116"/>
        <v>8.1926153348953701E-2</v>
      </c>
      <c r="J479" s="43">
        <f t="shared" si="117"/>
        <v>0</v>
      </c>
      <c r="K479" s="44" cm="1">
        <f t="array" ref="K479">IF(D479="Gadget",_xlfn.IFS(I479&gt;=0.2,0.5,I479&gt;=0.1,0.35,I479&gt;=0.05,0.2,TRUE,0),IF(D479="Grenade",_xlfn.IFS(I479&gt;=0.2,1,I479&gt;=0.1,0.7,I479&gt;=0.05,0.4,TRUE,0),0))</f>
        <v>0.2</v>
      </c>
      <c r="L479" s="57">
        <f t="shared" ref="L479:L485" si="122">IF($K479=0,0,$K479 / SUMIFS($K:$K,$A:$A,$A479,$D:$D,"Gadget"))</f>
        <v>0.5</v>
      </c>
    </row>
    <row r="480" spans="1:12" ht="15" customHeight="1" x14ac:dyDescent="0.25">
      <c r="A480" s="42" t="str" cm="1">
        <f t="array" ref="A480">IFERROR(INDEX(_xlfn._xlws.FILTER(Class_Players!A:A,Class_Players!B:B="Support"),QUOTIENT(ROW()-ROW($A$2),9)+1),"")</f>
        <v>esojguy</v>
      </c>
      <c r="B480" s="42" t="str">
        <f>_xlfn.XLOOKUP(A480,Class_Players!$A:$A,Class_Players!$B:$B,"")</f>
        <v>Support</v>
      </c>
      <c r="C480" s="38" t="str" cm="1">
        <f t="array" ref="C480">INDEX(Lookups!$D$2:$D$10,MOD(ROW()-ROW($B$2),ROWS(Lookups!$D$2:$D$10))+1)</f>
        <v>MP-APS (Missile intercept system)</v>
      </c>
      <c r="D480" s="38" t="str">
        <f>_xlfn.XLOOKUP(C480,Analysis_Gadgets!$C:$C,Analysis_Gadgets!$B:$B)</f>
        <v>Gadget</v>
      </c>
      <c r="E480" s="43">
        <v>59</v>
      </c>
      <c r="F480" s="43">
        <f>_xlfn.XLOOKUP(A480,Class_Players!A:A,Class_Players!G:G)</f>
        <v>205</v>
      </c>
      <c r="G480" s="43">
        <f t="shared" si="115"/>
        <v>0.28780487804878047</v>
      </c>
      <c r="H480" s="43">
        <f>_xlfn.XLOOKUP(A480,Class_Players!$A:$A,Class_Players!$F:$F,"")</f>
        <v>12377</v>
      </c>
      <c r="I480" s="44">
        <f t="shared" si="116"/>
        <v>4.7669063585683118E-3</v>
      </c>
      <c r="J480" s="43">
        <f t="shared" si="117"/>
        <v>0</v>
      </c>
      <c r="K480" s="44" cm="1">
        <f t="array" ref="K480">IF(D480="Gadget",_xlfn.IFS(I480&gt;=0.2,0.5,I480&gt;=0.1,0.35,I480&gt;=0.05,0.2,TRUE,0),IF(D480="Grenade",_xlfn.IFS(I480&gt;=0.2,1,I480&gt;=0.1,0.7,I480&gt;=0.05,0.4,TRUE,0),0))</f>
        <v>0</v>
      </c>
      <c r="L480" s="57">
        <f t="shared" si="122"/>
        <v>0</v>
      </c>
    </row>
    <row r="481" spans="1:12" ht="15" customHeight="1" x14ac:dyDescent="0.25">
      <c r="A481" s="42" t="str" cm="1">
        <f t="array" ref="A481">IFERROR(INDEX(_xlfn._xlws.FILTER(Class_Players!A:A,Class_Players!B:B="Support"),QUOTIENT(ROW()-ROW($A$2),9)+1),"")</f>
        <v>esojguy</v>
      </c>
      <c r="B481" s="42" t="str">
        <f>_xlfn.XLOOKUP(A481,Class_Players!$A:$A,Class_Players!$B:$B,"")</f>
        <v>Support</v>
      </c>
      <c r="C481" s="38" t="str" cm="1">
        <f t="array" ref="C481">INDEX(Lookups!$D$2:$D$10,MOD(ROW()-ROW($B$2),ROWS(Lookups!$D$2:$D$10))+1)</f>
        <v>LWCMS (Mortar)</v>
      </c>
      <c r="D481" s="38" t="str">
        <f>_xlfn.XLOOKUP(C481,Analysis_Gadgets!$C:$C,Analysis_Gadgets!$B:$B)</f>
        <v>Gadget</v>
      </c>
      <c r="E481" s="43">
        <v>0</v>
      </c>
      <c r="F481" s="43">
        <f>_xlfn.XLOOKUP(A481,Class_Players!A:A,Class_Players!G:G)</f>
        <v>205</v>
      </c>
      <c r="G481" s="43">
        <f t="shared" si="115"/>
        <v>0</v>
      </c>
      <c r="H481" s="43">
        <f>_xlfn.XLOOKUP(A481,Class_Players!$A:$A,Class_Players!$F:$F,"")</f>
        <v>12377</v>
      </c>
      <c r="I481" s="44">
        <f t="shared" si="116"/>
        <v>0</v>
      </c>
      <c r="J481" s="43">
        <f t="shared" si="117"/>
        <v>0</v>
      </c>
      <c r="K481" s="44" cm="1">
        <f t="array" ref="K481">IF(D481="Gadget",_xlfn.IFS(I481&gt;=0.2,0.5,I481&gt;=0.1,0.35,I481&gt;=0.05,0.2,TRUE,0),IF(D481="Grenade",_xlfn.IFS(I481&gt;=0.2,1,I481&gt;=0.1,0.7,I481&gt;=0.05,0.4,TRUE,0),0))</f>
        <v>0</v>
      </c>
      <c r="L481" s="57">
        <f t="shared" si="122"/>
        <v>0</v>
      </c>
    </row>
    <row r="482" spans="1:12" ht="15" customHeight="1" x14ac:dyDescent="0.25">
      <c r="A482" s="42" t="str" cm="1">
        <f t="array" ref="A482">IFERROR(INDEX(_xlfn._xlws.FILTER(Class_Players!A:A,Class_Players!B:B="Support"),QUOTIENT(ROW()-ROW($A$2),9)+1),"")</f>
        <v>esojguy</v>
      </c>
      <c r="B482" s="42" t="str">
        <f>_xlfn.XLOOKUP(A482,Class_Players!$A:$A,Class_Players!$B:$B,"")</f>
        <v>Support</v>
      </c>
      <c r="C482" s="38" t="str" cm="1">
        <f t="array" ref="C482">INDEX(Lookups!$D$2:$D$10,MOD(ROW()-ROW($B$2),ROWS(Lookups!$D$2:$D$10))+1)</f>
        <v>M320A1 SMK (Smoke Grenade Launcher)</v>
      </c>
      <c r="D482" s="38" t="str">
        <f>_xlfn.XLOOKUP(C482,Analysis_Gadgets!$C:$C,Analysis_Gadgets!$B:$B)</f>
        <v>Gadget</v>
      </c>
      <c r="E482" s="43">
        <v>5</v>
      </c>
      <c r="F482" s="43">
        <f>_xlfn.XLOOKUP(A482,Class_Players!A:A,Class_Players!G:G)</f>
        <v>205</v>
      </c>
      <c r="G482" s="43">
        <f t="shared" si="115"/>
        <v>2.4390243902439025E-2</v>
      </c>
      <c r="H482" s="43">
        <f>_xlfn.XLOOKUP(A482,Class_Players!$A:$A,Class_Players!$F:$F,"")</f>
        <v>12377</v>
      </c>
      <c r="I482" s="44">
        <f t="shared" si="116"/>
        <v>4.0397511513290781E-4</v>
      </c>
      <c r="J482" s="43">
        <f t="shared" si="117"/>
        <v>0</v>
      </c>
      <c r="K482" s="44" cm="1">
        <f t="array" ref="K482">IF(D482="Gadget",_xlfn.IFS(I482&gt;=0.2,0.5,I482&gt;=0.1,0.35,I482&gt;=0.05,0.2,TRUE,0),IF(D482="Grenade",_xlfn.IFS(I482&gt;=0.2,1,I482&gt;=0.1,0.7,I482&gt;=0.05,0.4,TRUE,0),0))</f>
        <v>0</v>
      </c>
      <c r="L482" s="57">
        <f t="shared" si="122"/>
        <v>0</v>
      </c>
    </row>
    <row r="483" spans="1:12" ht="15" customHeight="1" x14ac:dyDescent="0.25">
      <c r="A483" s="42" t="str" cm="1">
        <f t="array" ref="A483">IFERROR(INDEX(_xlfn._xlws.FILTER(Class_Players!A:A,Class_Players!B:B="Support"),QUOTIENT(ROW()-ROW($A$2),9)+1),"")</f>
        <v>esojguy</v>
      </c>
      <c r="B483" s="42" t="str">
        <f>_xlfn.XLOOKUP(A483,Class_Players!$A:$A,Class_Players!$B:$B,"")</f>
        <v>Support</v>
      </c>
      <c r="C483" s="38" t="str" cm="1">
        <f t="array" ref="C483">INDEX(Lookups!$D$2:$D$10,MOD(ROW()-ROW($B$2),ROWS(Lookups!$D$2:$D$10))+1)</f>
        <v>SICH G1 WP (Incendiary Airburst Launcher)</v>
      </c>
      <c r="D483" s="38" t="str">
        <f>_xlfn.XLOOKUP(C483,Analysis_Gadgets!$C:$C,Analysis_Gadgets!$B:$B)</f>
        <v>Gadget</v>
      </c>
      <c r="E483" s="43">
        <v>745</v>
      </c>
      <c r="F483" s="43">
        <f>_xlfn.XLOOKUP(A483,Class_Players!A:A,Class_Players!G:G)</f>
        <v>205</v>
      </c>
      <c r="G483" s="43">
        <f t="shared" si="115"/>
        <v>3.6341463414634148</v>
      </c>
      <c r="H483" s="43">
        <f>_xlfn.XLOOKUP(A483,Class_Players!$A:$A,Class_Players!$F:$F,"")</f>
        <v>12377</v>
      </c>
      <c r="I483" s="44">
        <f t="shared" si="116"/>
        <v>6.0192292154803262E-2</v>
      </c>
      <c r="J483" s="43">
        <f t="shared" si="117"/>
        <v>0</v>
      </c>
      <c r="K483" s="44" cm="1">
        <f t="array" ref="K483">IF(D483="Gadget",_xlfn.IFS(I483&gt;=0.2,0.5,I483&gt;=0.1,0.35,I483&gt;=0.05,0.2,TRUE,0),IF(D483="Grenade",_xlfn.IFS(I483&gt;=0.2,1,I483&gt;=0.1,0.7,I483&gt;=0.05,0.4,TRUE,0),0))</f>
        <v>0.2</v>
      </c>
      <c r="L483" s="57">
        <f t="shared" si="122"/>
        <v>0.5</v>
      </c>
    </row>
    <row r="484" spans="1:12" ht="15" customHeight="1" x14ac:dyDescent="0.25">
      <c r="A484" s="42" t="str" cm="1">
        <f t="array" ref="A484">IFERROR(INDEX(_xlfn._xlws.FILTER(Class_Players!A:A,Class_Players!B:B="Support"),QUOTIENT(ROW()-ROW($A$2),9)+1),"")</f>
        <v>esojguy</v>
      </c>
      <c r="B484" s="42" t="str">
        <f>_xlfn.XLOOKUP(A484,Class_Players!$A:$A,Class_Players!$B:$B,"")</f>
        <v>Support</v>
      </c>
      <c r="C484" s="38" t="str" cm="1">
        <f t="array" ref="C484">INDEX(Lookups!$D$2:$D$10,MOD(ROW()-ROW($B$2),ROWS(Lookups!$D$2:$D$10))+1)</f>
        <v>Deployable Cover</v>
      </c>
      <c r="D484" s="38" t="str">
        <f>_xlfn.XLOOKUP(C484,Analysis_Gadgets!$C:$C,Analysis_Gadgets!$B:$B)</f>
        <v>Gadget</v>
      </c>
      <c r="E484" s="43">
        <v>41</v>
      </c>
      <c r="F484" s="43">
        <f>_xlfn.XLOOKUP(A484,Class_Players!A:A,Class_Players!G:G)</f>
        <v>205</v>
      </c>
      <c r="G484" s="43">
        <f t="shared" si="115"/>
        <v>0.2</v>
      </c>
      <c r="H484" s="43">
        <f>_xlfn.XLOOKUP(A484,Class_Players!$A:$A,Class_Players!$F:$F,"")</f>
        <v>12377</v>
      </c>
      <c r="I484" s="44">
        <f t="shared" si="116"/>
        <v>3.3125959440898443E-3</v>
      </c>
      <c r="J484" s="43">
        <f t="shared" si="117"/>
        <v>0</v>
      </c>
      <c r="K484" s="44" cm="1">
        <f t="array" ref="K484">IF(D484="Gadget",_xlfn.IFS(I484&gt;=0.2,0.5,I484&gt;=0.1,0.35,I484&gt;=0.05,0.2,TRUE,0),IF(D484="Grenade",_xlfn.IFS(I484&gt;=0.2,1,I484&gt;=0.1,0.7,I484&gt;=0.05,0.4,TRUE,0),0))</f>
        <v>0</v>
      </c>
      <c r="L484" s="57">
        <f t="shared" si="122"/>
        <v>0</v>
      </c>
    </row>
    <row r="485" spans="1:12" ht="15" customHeight="1" x14ac:dyDescent="0.25">
      <c r="A485" s="42" t="str" cm="1">
        <f t="array" ref="A485">IFERROR(INDEX(_xlfn._xlws.FILTER(Class_Players!A:A,Class_Players!B:B="Support"),QUOTIENT(ROW()-ROW($A$2),9)+1),"")</f>
        <v>esojguy</v>
      </c>
      <c r="B485" s="42" t="str">
        <f>_xlfn.XLOOKUP(A485,Class_Players!$A:$A,Class_Players!$B:$B,"")</f>
        <v>Support</v>
      </c>
      <c r="C485" s="38" t="str" cm="1">
        <f t="array" ref="C485">INDEX(Lookups!$D$2:$D$10,MOD(ROW()-ROW($B$2),ROWS(Lookups!$D$2:$D$10))+1)</f>
        <v>Supply Pouch</v>
      </c>
      <c r="D485" s="38" t="str">
        <f>_xlfn.XLOOKUP(C485,Analysis_Gadgets!$C:$C,Analysis_Gadgets!$B:$B)</f>
        <v>Gadget</v>
      </c>
      <c r="E485" s="43">
        <v>16</v>
      </c>
      <c r="F485" s="43">
        <f>_xlfn.XLOOKUP(A485,Class_Players!A:A,Class_Players!G:G)</f>
        <v>205</v>
      </c>
      <c r="G485" s="43">
        <f t="shared" si="115"/>
        <v>7.8048780487804878E-2</v>
      </c>
      <c r="H485" s="43">
        <f>_xlfn.XLOOKUP(A485,Class_Players!$A:$A,Class_Players!$F:$F,"")</f>
        <v>12377</v>
      </c>
      <c r="I485" s="44">
        <f t="shared" si="116"/>
        <v>1.292720368425305E-3</v>
      </c>
      <c r="J485" s="43">
        <f t="shared" si="117"/>
        <v>0</v>
      </c>
      <c r="K485" s="44" cm="1">
        <f t="array" ref="K485">IF(D485="Gadget",_xlfn.IFS(I485&gt;=0.2,0.5,I485&gt;=0.1,0.35,I485&gt;=0.05,0.2,TRUE,0),IF(D485="Grenade",_xlfn.IFS(I485&gt;=0.2,1,I485&gt;=0.1,0.7,I485&gt;=0.05,0.4,TRUE,0),0))</f>
        <v>0</v>
      </c>
      <c r="L485" s="57">
        <f t="shared" si="122"/>
        <v>0</v>
      </c>
    </row>
    <row r="486" spans="1:12" ht="15" customHeight="1" x14ac:dyDescent="0.25">
      <c r="A486" s="42" t="str" cm="1">
        <f t="array" ref="A486">IFERROR(INDEX(_xlfn._xlws.FILTER(Class_Players!A:A,Class_Players!B:B="Support"),QUOTIENT(ROW()-ROW($A$2),9)+1),"")</f>
        <v>esojguy</v>
      </c>
      <c r="B486" s="42" t="str">
        <f>_xlfn.XLOOKUP(A486,Class_Players!$A:$A,Class_Players!$B:$B,"")</f>
        <v>Support</v>
      </c>
      <c r="C486" s="38" t="str" cm="1">
        <f t="array" ref="C486">INDEX(Lookups!$D$2:$D$10,MOD(ROW()-ROW($B$2),ROWS(Lookups!$D$2:$D$10))+1)</f>
        <v>Smoke Grenade</v>
      </c>
      <c r="D486" s="38" t="str">
        <f>_xlfn.XLOOKUP(C486,Analysis_Gadgets!$C:$C,Analysis_Gadgets!$B:$B)</f>
        <v>Grenade</v>
      </c>
      <c r="E486" s="43">
        <v>5849</v>
      </c>
      <c r="F486" s="43">
        <f>_xlfn.XLOOKUP(A486,Class_Players!A:A,Class_Players!G:G)</f>
        <v>205</v>
      </c>
      <c r="G486" s="43">
        <f t="shared" si="115"/>
        <v>28.53170731707317</v>
      </c>
      <c r="H486" s="43">
        <f>_xlfn.XLOOKUP(A486,Class_Players!$A:$A,Class_Players!$F:$F,"")</f>
        <v>12377</v>
      </c>
      <c r="I486" s="44">
        <f t="shared" si="116"/>
        <v>0.47257008968247555</v>
      </c>
      <c r="J486" s="43">
        <f t="shared" si="117"/>
        <v>1</v>
      </c>
      <c r="K486" s="44" cm="1">
        <f t="array" ref="K486">IF(D486="Gadget",_xlfn.IFS(I486&gt;=0.2,0.5,I486&gt;=0.1,0.35,I486&gt;=0.05,0.2,TRUE,0),IF(D486="Grenade",_xlfn.IFS(I486&gt;=0.2,1,I486&gt;=0.1,0.7,I486&gt;=0.05,0.4,TRUE,0),0))</f>
        <v>1</v>
      </c>
      <c r="L486" s="57">
        <f t="shared" ref="L486:L487" si="123">IF($K486=0,0,$K486 / SUMIFS($K:$K,$A:$A,$A486,$D:$D,"Grenade"))</f>
        <v>1</v>
      </c>
    </row>
    <row r="487" spans="1:12" ht="15" customHeight="1" x14ac:dyDescent="0.25">
      <c r="A487" s="42" t="str" cm="1">
        <f t="array" ref="A487">IFERROR(INDEX(_xlfn._xlws.FILTER(Class_Players!A:A,Class_Players!B:B="Support"),QUOTIENT(ROW()-ROW($A$2),9)+1),"")</f>
        <v>esojguy</v>
      </c>
      <c r="B487" s="42" t="str">
        <f>_xlfn.XLOOKUP(A487,Class_Players!$A:$A,Class_Players!$B:$B,"")</f>
        <v>Support</v>
      </c>
      <c r="C487" s="38" t="str" cm="1">
        <f t="array" ref="C487">INDEX(Lookups!$D$2:$D$10,MOD(ROW()-ROW($B$2),ROWS(Lookups!$D$2:$D$10))+1)</f>
        <v>Incendiary Grenade</v>
      </c>
      <c r="D487" s="38" t="str">
        <f>_xlfn.XLOOKUP(C487,Analysis_Gadgets!$C:$C,Analysis_Gadgets!$B:$B)</f>
        <v>Grenade</v>
      </c>
      <c r="E487" s="43">
        <v>3</v>
      </c>
      <c r="F487" s="43">
        <f>_xlfn.XLOOKUP(A487,Class_Players!A:A,Class_Players!G:G)</f>
        <v>205</v>
      </c>
      <c r="G487" s="43">
        <f t="shared" si="115"/>
        <v>1.4634146341463415E-2</v>
      </c>
      <c r="H487" s="43">
        <f>_xlfn.XLOOKUP(A487,Class_Players!$A:$A,Class_Players!$F:$F,"")</f>
        <v>12377</v>
      </c>
      <c r="I487" s="44">
        <f t="shared" si="116"/>
        <v>2.4238506907974468E-4</v>
      </c>
      <c r="J487" s="43">
        <f t="shared" si="117"/>
        <v>0</v>
      </c>
      <c r="K487" s="44" cm="1">
        <f t="array" ref="K487">IF(D487="Gadget",_xlfn.IFS(I487&gt;=0.2,0.5,I487&gt;=0.1,0.35,I487&gt;=0.05,0.2,TRUE,0),IF(D487="Grenade",_xlfn.IFS(I487&gt;=0.2,1,I487&gt;=0.1,0.7,I487&gt;=0.05,0.4,TRUE,0),0))</f>
        <v>0</v>
      </c>
      <c r="L487" s="57">
        <f t="shared" si="123"/>
        <v>0</v>
      </c>
    </row>
    <row r="488" spans="1:12" ht="15" customHeight="1" x14ac:dyDescent="0.25">
      <c r="A488" s="42" t="str" cm="1">
        <f t="array" ref="A488">IFERROR(INDEX(_xlfn._xlws.FILTER(Class_Players!A:A,Class_Players!B:B="Support"),QUOTIENT(ROW()-ROW($A$2),9)+1),"")</f>
        <v>ITyCE</v>
      </c>
      <c r="B488" s="42" t="str">
        <f>_xlfn.XLOOKUP(A488,Class_Players!$A:$A,Class_Players!$B:$B,"")</f>
        <v>Support</v>
      </c>
      <c r="C488" s="38" t="str" cm="1">
        <f t="array" ref="C488">INDEX(Lookups!$D$2:$D$10,MOD(ROW()-ROW($B$2),ROWS(Lookups!$D$2:$D$10))+1)</f>
        <v>GPDIS (Grenade intercept system)</v>
      </c>
      <c r="D488" s="38" t="str">
        <f>_xlfn.XLOOKUP(C488,Analysis_Gadgets!$C:$C,Analysis_Gadgets!$B:$B)</f>
        <v>Gadget</v>
      </c>
      <c r="E488" s="43">
        <v>110</v>
      </c>
      <c r="F488" s="43">
        <f>_xlfn.XLOOKUP(A488,Class_Players!A:A,Class_Players!G:G)</f>
        <v>216</v>
      </c>
      <c r="G488" s="43">
        <f t="shared" si="115"/>
        <v>0.5092592592592593</v>
      </c>
      <c r="H488" s="43">
        <f>_xlfn.XLOOKUP(A488,Class_Players!$A:$A,Class_Players!$F:$F,"")</f>
        <v>12015</v>
      </c>
      <c r="I488" s="44">
        <f t="shared" si="116"/>
        <v>9.1552226383687062E-3</v>
      </c>
      <c r="J488" s="43">
        <f t="shared" si="117"/>
        <v>0</v>
      </c>
      <c r="K488" s="44" cm="1">
        <f t="array" ref="K488">IF(D488="Gadget",_xlfn.IFS(I488&gt;=0.2,0.5,I488&gt;=0.1,0.35,I488&gt;=0.05,0.2,TRUE,0),IF(D488="Grenade",_xlfn.IFS(I488&gt;=0.2,1,I488&gt;=0.1,0.7,I488&gt;=0.05,0.4,TRUE,0),0))</f>
        <v>0</v>
      </c>
      <c r="L488" s="57">
        <f t="shared" ref="L488:L494" si="124">IF($K488=0,0,$K488 / SUMIFS($K:$K,$A:$A,$A488,$D:$D,"Gadget"))</f>
        <v>0</v>
      </c>
    </row>
    <row r="489" spans="1:12" ht="15" customHeight="1" x14ac:dyDescent="0.25">
      <c r="A489" s="42" t="str" cm="1">
        <f t="array" ref="A489">IFERROR(INDEX(_xlfn._xlws.FILTER(Class_Players!A:A,Class_Players!B:B="Support"),QUOTIENT(ROW()-ROW($A$2),9)+1),"")</f>
        <v>ITyCE</v>
      </c>
      <c r="B489" s="42" t="str">
        <f>_xlfn.XLOOKUP(A489,Class_Players!$A:$A,Class_Players!$B:$B,"")</f>
        <v>Support</v>
      </c>
      <c r="C489" s="38" t="str" cm="1">
        <f t="array" ref="C489">INDEX(Lookups!$D$2:$D$10,MOD(ROW()-ROW($B$2),ROWS(Lookups!$D$2:$D$10))+1)</f>
        <v>MP-APS (Missile intercept system)</v>
      </c>
      <c r="D489" s="38" t="str">
        <f>_xlfn.XLOOKUP(C489,Analysis_Gadgets!$C:$C,Analysis_Gadgets!$B:$B)</f>
        <v>Gadget</v>
      </c>
      <c r="E489" s="43">
        <v>0</v>
      </c>
      <c r="F489" s="43">
        <f>_xlfn.XLOOKUP(A489,Class_Players!A:A,Class_Players!G:G)</f>
        <v>216</v>
      </c>
      <c r="G489" s="43">
        <f t="shared" si="115"/>
        <v>0</v>
      </c>
      <c r="H489" s="43">
        <f>_xlfn.XLOOKUP(A489,Class_Players!$A:$A,Class_Players!$F:$F,"")</f>
        <v>12015</v>
      </c>
      <c r="I489" s="44">
        <f t="shared" si="116"/>
        <v>0</v>
      </c>
      <c r="J489" s="43">
        <f t="shared" si="117"/>
        <v>0</v>
      </c>
      <c r="K489" s="44" cm="1">
        <f t="array" ref="K489">IF(D489="Gadget",_xlfn.IFS(I489&gt;=0.2,0.5,I489&gt;=0.1,0.35,I489&gt;=0.05,0.2,TRUE,0),IF(D489="Grenade",_xlfn.IFS(I489&gt;=0.2,1,I489&gt;=0.1,0.7,I489&gt;=0.05,0.4,TRUE,0),0))</f>
        <v>0</v>
      </c>
      <c r="L489" s="57">
        <f t="shared" si="124"/>
        <v>0</v>
      </c>
    </row>
    <row r="490" spans="1:12" ht="15" customHeight="1" x14ac:dyDescent="0.25">
      <c r="A490" s="42" t="str" cm="1">
        <f t="array" ref="A490">IFERROR(INDEX(_xlfn._xlws.FILTER(Class_Players!A:A,Class_Players!B:B="Support"),QUOTIENT(ROW()-ROW($A$2),9)+1),"")</f>
        <v>ITyCE</v>
      </c>
      <c r="B490" s="42" t="str">
        <f>_xlfn.XLOOKUP(A490,Class_Players!$A:$A,Class_Players!$B:$B,"")</f>
        <v>Support</v>
      </c>
      <c r="C490" s="38" t="str" cm="1">
        <f t="array" ref="C490">INDEX(Lookups!$D$2:$D$10,MOD(ROW()-ROW($B$2),ROWS(Lookups!$D$2:$D$10))+1)</f>
        <v>LWCMS (Mortar)</v>
      </c>
      <c r="D490" s="38" t="str">
        <f>_xlfn.XLOOKUP(C490,Analysis_Gadgets!$C:$C,Analysis_Gadgets!$B:$B)</f>
        <v>Gadget</v>
      </c>
      <c r="E490" s="43">
        <v>0</v>
      </c>
      <c r="F490" s="43">
        <f>_xlfn.XLOOKUP(A490,Class_Players!A:A,Class_Players!G:G)</f>
        <v>216</v>
      </c>
      <c r="G490" s="43">
        <f t="shared" si="115"/>
        <v>0</v>
      </c>
      <c r="H490" s="43">
        <f>_xlfn.XLOOKUP(A490,Class_Players!$A:$A,Class_Players!$F:$F,"")</f>
        <v>12015</v>
      </c>
      <c r="I490" s="44">
        <f t="shared" si="116"/>
        <v>0</v>
      </c>
      <c r="J490" s="43">
        <f t="shared" si="117"/>
        <v>0</v>
      </c>
      <c r="K490" s="44" cm="1">
        <f t="array" ref="K490">IF(D490="Gadget",_xlfn.IFS(I490&gt;=0.2,0.5,I490&gt;=0.1,0.35,I490&gt;=0.05,0.2,TRUE,0),IF(D490="Grenade",_xlfn.IFS(I490&gt;=0.2,1,I490&gt;=0.1,0.7,I490&gt;=0.05,0.4,TRUE,0),0))</f>
        <v>0</v>
      </c>
      <c r="L490" s="57">
        <f t="shared" si="124"/>
        <v>0</v>
      </c>
    </row>
    <row r="491" spans="1:12" ht="15" customHeight="1" x14ac:dyDescent="0.25">
      <c r="A491" s="42" t="str" cm="1">
        <f t="array" ref="A491">IFERROR(INDEX(_xlfn._xlws.FILTER(Class_Players!A:A,Class_Players!B:B="Support"),QUOTIENT(ROW()-ROW($A$2),9)+1),"")</f>
        <v>ITyCE</v>
      </c>
      <c r="B491" s="42" t="str">
        <f>_xlfn.XLOOKUP(A491,Class_Players!$A:$A,Class_Players!$B:$B,"")</f>
        <v>Support</v>
      </c>
      <c r="C491" s="38" t="str" cm="1">
        <f t="array" ref="C491">INDEX(Lookups!$D$2:$D$10,MOD(ROW()-ROW($B$2),ROWS(Lookups!$D$2:$D$10))+1)</f>
        <v>M320A1 SMK (Smoke Grenade Launcher)</v>
      </c>
      <c r="D491" s="38" t="str">
        <f>_xlfn.XLOOKUP(C491,Analysis_Gadgets!$C:$C,Analysis_Gadgets!$B:$B)</f>
        <v>Gadget</v>
      </c>
      <c r="E491" s="43">
        <v>304</v>
      </c>
      <c r="F491" s="43">
        <f>_xlfn.XLOOKUP(A491,Class_Players!A:A,Class_Players!G:G)</f>
        <v>216</v>
      </c>
      <c r="G491" s="43">
        <f t="shared" si="115"/>
        <v>1.4074074074074074</v>
      </c>
      <c r="H491" s="43">
        <f>_xlfn.XLOOKUP(A491,Class_Players!$A:$A,Class_Players!$F:$F,"")</f>
        <v>12015</v>
      </c>
      <c r="I491" s="44">
        <f t="shared" si="116"/>
        <v>2.5301706200582606E-2</v>
      </c>
      <c r="J491" s="43">
        <f t="shared" si="117"/>
        <v>0</v>
      </c>
      <c r="K491" s="44" cm="1">
        <f t="array" ref="K491">IF(D491="Gadget",_xlfn.IFS(I491&gt;=0.2,0.5,I491&gt;=0.1,0.35,I491&gt;=0.05,0.2,TRUE,0),IF(D491="Grenade",_xlfn.IFS(I491&gt;=0.2,1,I491&gt;=0.1,0.7,I491&gt;=0.05,0.4,TRUE,0),0))</f>
        <v>0</v>
      </c>
      <c r="L491" s="57">
        <f t="shared" si="124"/>
        <v>0</v>
      </c>
    </row>
    <row r="492" spans="1:12" ht="15" customHeight="1" x14ac:dyDescent="0.25">
      <c r="A492" s="42" t="str" cm="1">
        <f t="array" ref="A492">IFERROR(INDEX(_xlfn._xlws.FILTER(Class_Players!A:A,Class_Players!B:B="Support"),QUOTIENT(ROW()-ROW($A$2),9)+1),"")</f>
        <v>ITyCE</v>
      </c>
      <c r="B492" s="42" t="str">
        <f>_xlfn.XLOOKUP(A492,Class_Players!$A:$A,Class_Players!$B:$B,"")</f>
        <v>Support</v>
      </c>
      <c r="C492" s="38" t="str" cm="1">
        <f t="array" ref="C492">INDEX(Lookups!$D$2:$D$10,MOD(ROW()-ROW($B$2),ROWS(Lookups!$D$2:$D$10))+1)</f>
        <v>SICH G1 WP (Incendiary Airburst Launcher)</v>
      </c>
      <c r="D492" s="38" t="str">
        <f>_xlfn.XLOOKUP(C492,Analysis_Gadgets!$C:$C,Analysis_Gadgets!$B:$B)</f>
        <v>Gadget</v>
      </c>
      <c r="E492" s="43">
        <v>14</v>
      </c>
      <c r="F492" s="43">
        <f>_xlfn.XLOOKUP(A492,Class_Players!A:A,Class_Players!G:G)</f>
        <v>216</v>
      </c>
      <c r="G492" s="43">
        <f t="shared" si="115"/>
        <v>6.4814814814814811E-2</v>
      </c>
      <c r="H492" s="43">
        <f>_xlfn.XLOOKUP(A492,Class_Players!$A:$A,Class_Players!$F:$F,"")</f>
        <v>12015</v>
      </c>
      <c r="I492" s="44">
        <f t="shared" si="116"/>
        <v>1.1652101539741989E-3</v>
      </c>
      <c r="J492" s="43">
        <f t="shared" si="117"/>
        <v>0</v>
      </c>
      <c r="K492" s="44" cm="1">
        <f t="array" ref="K492">IF(D492="Gadget",_xlfn.IFS(I492&gt;=0.2,0.5,I492&gt;=0.1,0.35,I492&gt;=0.05,0.2,TRUE,0),IF(D492="Grenade",_xlfn.IFS(I492&gt;=0.2,1,I492&gt;=0.1,0.7,I492&gt;=0.05,0.4,TRUE,0),0))</f>
        <v>0</v>
      </c>
      <c r="L492" s="57">
        <f t="shared" si="124"/>
        <v>0</v>
      </c>
    </row>
    <row r="493" spans="1:12" ht="15" customHeight="1" x14ac:dyDescent="0.25">
      <c r="A493" s="42" t="str" cm="1">
        <f t="array" ref="A493">IFERROR(INDEX(_xlfn._xlws.FILTER(Class_Players!A:A,Class_Players!B:B="Support"),QUOTIENT(ROW()-ROW($A$2),9)+1),"")</f>
        <v>ITyCE</v>
      </c>
      <c r="B493" s="42" t="str">
        <f>_xlfn.XLOOKUP(A493,Class_Players!$A:$A,Class_Players!$B:$B,"")</f>
        <v>Support</v>
      </c>
      <c r="C493" s="38" t="str" cm="1">
        <f t="array" ref="C493">INDEX(Lookups!$D$2:$D$10,MOD(ROW()-ROW($B$2),ROWS(Lookups!$D$2:$D$10))+1)</f>
        <v>Deployable Cover</v>
      </c>
      <c r="D493" s="38" t="str">
        <f>_xlfn.XLOOKUP(C493,Analysis_Gadgets!$C:$C,Analysis_Gadgets!$B:$B)</f>
        <v>Gadget</v>
      </c>
      <c r="E493" s="43">
        <v>1958</v>
      </c>
      <c r="F493" s="43">
        <f>_xlfn.XLOOKUP(A493,Class_Players!A:A,Class_Players!G:G)</f>
        <v>216</v>
      </c>
      <c r="G493" s="43">
        <f t="shared" si="115"/>
        <v>9.0648148148148149</v>
      </c>
      <c r="H493" s="43">
        <f>_xlfn.XLOOKUP(A493,Class_Players!$A:$A,Class_Players!$F:$F,"")</f>
        <v>12015</v>
      </c>
      <c r="I493" s="44">
        <f t="shared" si="116"/>
        <v>0.16296296296296298</v>
      </c>
      <c r="J493" s="43">
        <f t="shared" si="117"/>
        <v>1</v>
      </c>
      <c r="K493" s="44" cm="1">
        <f t="array" ref="K493">IF(D493="Gadget",_xlfn.IFS(I493&gt;=0.2,0.5,I493&gt;=0.1,0.35,I493&gt;=0.05,0.2,TRUE,0),IF(D493="Grenade",_xlfn.IFS(I493&gt;=0.2,1,I493&gt;=0.1,0.7,I493&gt;=0.05,0.4,TRUE,0),0))</f>
        <v>0.35</v>
      </c>
      <c r="L493" s="57">
        <f t="shared" si="124"/>
        <v>1</v>
      </c>
    </row>
    <row r="494" spans="1:12" ht="15" customHeight="1" x14ac:dyDescent="0.25">
      <c r="A494" s="42" t="str" cm="1">
        <f t="array" ref="A494">IFERROR(INDEX(_xlfn._xlws.FILTER(Class_Players!A:A,Class_Players!B:B="Support"),QUOTIENT(ROW()-ROW($A$2),9)+1),"")</f>
        <v>ITyCE</v>
      </c>
      <c r="B494" s="42" t="str">
        <f>_xlfn.XLOOKUP(A494,Class_Players!$A:$A,Class_Players!$B:$B,"")</f>
        <v>Support</v>
      </c>
      <c r="C494" s="38" t="str" cm="1">
        <f t="array" ref="C494">INDEX(Lookups!$D$2:$D$10,MOD(ROW()-ROW($B$2),ROWS(Lookups!$D$2:$D$10))+1)</f>
        <v>Supply Pouch</v>
      </c>
      <c r="D494" s="38" t="str">
        <f>_xlfn.XLOOKUP(C494,Analysis_Gadgets!$C:$C,Analysis_Gadgets!$B:$B)</f>
        <v>Gadget</v>
      </c>
      <c r="E494" s="43">
        <v>2</v>
      </c>
      <c r="F494" s="43">
        <f>_xlfn.XLOOKUP(A494,Class_Players!A:A,Class_Players!G:G)</f>
        <v>216</v>
      </c>
      <c r="G494" s="43">
        <f t="shared" si="115"/>
        <v>9.2592592592592587E-3</v>
      </c>
      <c r="H494" s="43">
        <f>_xlfn.XLOOKUP(A494,Class_Players!$A:$A,Class_Players!$F:$F,"")</f>
        <v>12015</v>
      </c>
      <c r="I494" s="44">
        <f t="shared" si="116"/>
        <v>1.6645859342488556E-4</v>
      </c>
      <c r="J494" s="43">
        <f t="shared" si="117"/>
        <v>0</v>
      </c>
      <c r="K494" s="44" cm="1">
        <f t="array" ref="K494">IF(D494="Gadget",_xlfn.IFS(I494&gt;=0.2,0.5,I494&gt;=0.1,0.35,I494&gt;=0.05,0.2,TRUE,0),IF(D494="Grenade",_xlfn.IFS(I494&gt;=0.2,1,I494&gt;=0.1,0.7,I494&gt;=0.05,0.4,TRUE,0),0))</f>
        <v>0</v>
      </c>
      <c r="L494" s="57">
        <f t="shared" si="124"/>
        <v>0</v>
      </c>
    </row>
    <row r="495" spans="1:12" ht="15" customHeight="1" x14ac:dyDescent="0.25">
      <c r="A495" s="42" t="str" cm="1">
        <f t="array" ref="A495">IFERROR(INDEX(_xlfn._xlws.FILTER(Class_Players!A:A,Class_Players!B:B="Support"),QUOTIENT(ROW()-ROW($A$2),9)+1),"")</f>
        <v>ITyCE</v>
      </c>
      <c r="B495" s="42" t="str">
        <f>_xlfn.XLOOKUP(A495,Class_Players!$A:$A,Class_Players!$B:$B,"")</f>
        <v>Support</v>
      </c>
      <c r="C495" s="38" t="str" cm="1">
        <f t="array" ref="C495">INDEX(Lookups!$D$2:$D$10,MOD(ROW()-ROW($B$2),ROWS(Lookups!$D$2:$D$10))+1)</f>
        <v>Smoke Grenade</v>
      </c>
      <c r="D495" s="38" t="str">
        <f>_xlfn.XLOOKUP(C495,Analysis_Gadgets!$C:$C,Analysis_Gadgets!$B:$B)</f>
        <v>Grenade</v>
      </c>
      <c r="E495" s="43">
        <v>3271</v>
      </c>
      <c r="F495" s="43">
        <f>_xlfn.XLOOKUP(A495,Class_Players!A:A,Class_Players!G:G)</f>
        <v>216</v>
      </c>
      <c r="G495" s="43">
        <f t="shared" si="115"/>
        <v>15.143518518518519</v>
      </c>
      <c r="H495" s="43">
        <f>_xlfn.XLOOKUP(A495,Class_Players!$A:$A,Class_Players!$F:$F,"")</f>
        <v>12015</v>
      </c>
      <c r="I495" s="44">
        <f t="shared" si="116"/>
        <v>0.27224302954640034</v>
      </c>
      <c r="J495" s="43">
        <f t="shared" si="117"/>
        <v>1</v>
      </c>
      <c r="K495" s="44" cm="1">
        <f t="array" ref="K495">IF(D495="Gadget",_xlfn.IFS(I495&gt;=0.2,0.5,I495&gt;=0.1,0.35,I495&gt;=0.05,0.2,TRUE,0),IF(D495="Grenade",_xlfn.IFS(I495&gt;=0.2,1,I495&gt;=0.1,0.7,I495&gt;=0.05,0.4,TRUE,0),0))</f>
        <v>1</v>
      </c>
      <c r="L495" s="57">
        <f t="shared" ref="L495:L496" si="125">IF($K495=0,0,$K495 / SUMIFS($K:$K,$A:$A,$A495,$D:$D,"Grenade"))</f>
        <v>1</v>
      </c>
    </row>
    <row r="496" spans="1:12" ht="15" customHeight="1" x14ac:dyDescent="0.25">
      <c r="A496" s="42" t="str" cm="1">
        <f t="array" ref="A496">IFERROR(INDEX(_xlfn._xlws.FILTER(Class_Players!A:A,Class_Players!B:B="Support"),QUOTIENT(ROW()-ROW($A$2),9)+1),"")</f>
        <v>ITyCE</v>
      </c>
      <c r="B496" s="42" t="str">
        <f>_xlfn.XLOOKUP(A496,Class_Players!$A:$A,Class_Players!$B:$B,"")</f>
        <v>Support</v>
      </c>
      <c r="C496" s="38" t="str" cm="1">
        <f t="array" ref="C496">INDEX(Lookups!$D$2:$D$10,MOD(ROW()-ROW($B$2),ROWS(Lookups!$D$2:$D$10))+1)</f>
        <v>Incendiary Grenade</v>
      </c>
      <c r="D496" s="38" t="str">
        <f>_xlfn.XLOOKUP(C496,Analysis_Gadgets!$C:$C,Analysis_Gadgets!$B:$B)</f>
        <v>Grenade</v>
      </c>
      <c r="E496" s="43">
        <v>0</v>
      </c>
      <c r="F496" s="43">
        <f>_xlfn.XLOOKUP(A496,Class_Players!A:A,Class_Players!G:G)</f>
        <v>216</v>
      </c>
      <c r="G496" s="43">
        <f t="shared" si="115"/>
        <v>0</v>
      </c>
      <c r="H496" s="43">
        <f>_xlfn.XLOOKUP(A496,Class_Players!$A:$A,Class_Players!$F:$F,"")</f>
        <v>12015</v>
      </c>
      <c r="I496" s="44">
        <f t="shared" si="116"/>
        <v>0</v>
      </c>
      <c r="J496" s="43">
        <f t="shared" si="117"/>
        <v>0</v>
      </c>
      <c r="K496" s="44" cm="1">
        <f t="array" ref="K496">IF(D496="Gadget",_xlfn.IFS(I496&gt;=0.2,0.5,I496&gt;=0.1,0.35,I496&gt;=0.05,0.2,TRUE,0),IF(D496="Grenade",_xlfn.IFS(I496&gt;=0.2,1,I496&gt;=0.1,0.7,I496&gt;=0.05,0.4,TRUE,0),0))</f>
        <v>0</v>
      </c>
      <c r="L496" s="57">
        <f t="shared" si="125"/>
        <v>0</v>
      </c>
    </row>
    <row r="497" spans="1:12" ht="15" customHeight="1" x14ac:dyDescent="0.25">
      <c r="A497" s="42" t="str" cm="1">
        <f t="array" ref="A497">IFERROR(INDEX(_xlfn._xlws.FILTER(Class_Players!A:A,Class_Players!B:B="Support"),QUOTIENT(ROW()-ROW($A$2),9)+1),"")</f>
        <v>Nardong Putik</v>
      </c>
      <c r="B497" s="42" t="str">
        <f>_xlfn.XLOOKUP(A497,Class_Players!$A:$A,Class_Players!$B:$B,"")</f>
        <v>Support</v>
      </c>
      <c r="C497" s="38" t="str" cm="1">
        <f t="array" ref="C497">INDEX(Lookups!$D$2:$D$10,MOD(ROW()-ROW($B$2),ROWS(Lookups!$D$2:$D$10))+1)</f>
        <v>GPDIS (Grenade intercept system)</v>
      </c>
      <c r="D497" s="38" t="str">
        <f>_xlfn.XLOOKUP(C497,Analysis_Gadgets!$C:$C,Analysis_Gadgets!$B:$B)</f>
        <v>Gadget</v>
      </c>
      <c r="E497" s="43">
        <v>61</v>
      </c>
      <c r="F497" s="43">
        <f>_xlfn.XLOOKUP(A497,Class_Players!A:A,Class_Players!G:G)</f>
        <v>244</v>
      </c>
      <c r="G497" s="43">
        <f t="shared" si="115"/>
        <v>0.25</v>
      </c>
      <c r="H497" s="43">
        <f>_xlfn.XLOOKUP(A497,Class_Players!$A:$A,Class_Players!$F:$F,"")</f>
        <v>11868</v>
      </c>
      <c r="I497" s="44">
        <f t="shared" si="116"/>
        <v>5.1398719245028647E-3</v>
      </c>
      <c r="J497" s="43">
        <f t="shared" si="117"/>
        <v>0</v>
      </c>
      <c r="K497" s="44" cm="1">
        <f t="array" ref="K497">IF(D497="Gadget",_xlfn.IFS(I497&gt;=0.2,0.5,I497&gt;=0.1,0.35,I497&gt;=0.05,0.2,TRUE,0),IF(D497="Grenade",_xlfn.IFS(I497&gt;=0.2,1,I497&gt;=0.1,0.7,I497&gt;=0.05,0.4,TRUE,0),0))</f>
        <v>0</v>
      </c>
      <c r="L497" s="57">
        <f t="shared" ref="L497:L503" si="126">IF($K497=0,0,$K497 / SUMIFS($K:$K,$A:$A,$A497,$D:$D,"Gadget"))</f>
        <v>0</v>
      </c>
    </row>
    <row r="498" spans="1:12" ht="15" customHeight="1" x14ac:dyDescent="0.25">
      <c r="A498" s="42" t="str" cm="1">
        <f t="array" ref="A498">IFERROR(INDEX(_xlfn._xlws.FILTER(Class_Players!A:A,Class_Players!B:B="Support"),QUOTIENT(ROW()-ROW($A$2),9)+1),"")</f>
        <v>Nardong Putik</v>
      </c>
      <c r="B498" s="42" t="str">
        <f>_xlfn.XLOOKUP(A498,Class_Players!$A:$A,Class_Players!$B:$B,"")</f>
        <v>Support</v>
      </c>
      <c r="C498" s="38" t="str" cm="1">
        <f t="array" ref="C498">INDEX(Lookups!$D$2:$D$10,MOD(ROW()-ROW($B$2),ROWS(Lookups!$D$2:$D$10))+1)</f>
        <v>MP-APS (Missile intercept system)</v>
      </c>
      <c r="D498" s="38" t="str">
        <f>_xlfn.XLOOKUP(C498,Analysis_Gadgets!$C:$C,Analysis_Gadgets!$B:$B)</f>
        <v>Gadget</v>
      </c>
      <c r="E498" s="43">
        <v>44</v>
      </c>
      <c r="F498" s="43">
        <f>_xlfn.XLOOKUP(A498,Class_Players!A:A,Class_Players!G:G)</f>
        <v>244</v>
      </c>
      <c r="G498" s="43">
        <f t="shared" si="115"/>
        <v>0.18032786885245902</v>
      </c>
      <c r="H498" s="43">
        <f>_xlfn.XLOOKUP(A498,Class_Players!$A:$A,Class_Players!$F:$F,"")</f>
        <v>11868</v>
      </c>
      <c r="I498" s="44">
        <f t="shared" si="116"/>
        <v>3.7074486012807551E-3</v>
      </c>
      <c r="J498" s="43">
        <f t="shared" si="117"/>
        <v>0</v>
      </c>
      <c r="K498" s="44" cm="1">
        <f t="array" ref="K498">IF(D498="Gadget",_xlfn.IFS(I498&gt;=0.2,0.5,I498&gt;=0.1,0.35,I498&gt;=0.05,0.2,TRUE,0),IF(D498="Grenade",_xlfn.IFS(I498&gt;=0.2,1,I498&gt;=0.1,0.7,I498&gt;=0.05,0.4,TRUE,0),0))</f>
        <v>0</v>
      </c>
      <c r="L498" s="57">
        <f t="shared" si="126"/>
        <v>0</v>
      </c>
    </row>
    <row r="499" spans="1:12" ht="15" customHeight="1" x14ac:dyDescent="0.25">
      <c r="A499" s="42" t="str" cm="1">
        <f t="array" ref="A499">IFERROR(INDEX(_xlfn._xlws.FILTER(Class_Players!A:A,Class_Players!B:B="Support"),QUOTIENT(ROW()-ROW($A$2),9)+1),"")</f>
        <v>Nardong Putik</v>
      </c>
      <c r="B499" s="42" t="str">
        <f>_xlfn.XLOOKUP(A499,Class_Players!$A:$A,Class_Players!$B:$B,"")</f>
        <v>Support</v>
      </c>
      <c r="C499" s="38" t="str" cm="1">
        <f t="array" ref="C499">INDEX(Lookups!$D$2:$D$10,MOD(ROW()-ROW($B$2),ROWS(Lookups!$D$2:$D$10))+1)</f>
        <v>LWCMS (Mortar)</v>
      </c>
      <c r="D499" s="38" t="str">
        <f>_xlfn.XLOOKUP(C499,Analysis_Gadgets!$C:$C,Analysis_Gadgets!$B:$B)</f>
        <v>Gadget</v>
      </c>
      <c r="E499" s="43">
        <v>4</v>
      </c>
      <c r="F499" s="43">
        <f>_xlfn.XLOOKUP(A499,Class_Players!A:A,Class_Players!G:G)</f>
        <v>244</v>
      </c>
      <c r="G499" s="43">
        <f t="shared" si="115"/>
        <v>1.6393442622950821E-2</v>
      </c>
      <c r="H499" s="43">
        <f>_xlfn.XLOOKUP(A499,Class_Players!$A:$A,Class_Players!$F:$F,"")</f>
        <v>11868</v>
      </c>
      <c r="I499" s="44">
        <f t="shared" si="116"/>
        <v>3.370407819346141E-4</v>
      </c>
      <c r="J499" s="43">
        <f t="shared" si="117"/>
        <v>0</v>
      </c>
      <c r="K499" s="44" cm="1">
        <f t="array" ref="K499">IF(D499="Gadget",_xlfn.IFS(I499&gt;=0.2,0.5,I499&gt;=0.1,0.35,I499&gt;=0.05,0.2,TRUE,0),IF(D499="Grenade",_xlfn.IFS(I499&gt;=0.2,1,I499&gt;=0.1,0.7,I499&gt;=0.05,0.4,TRUE,0),0))</f>
        <v>0</v>
      </c>
      <c r="L499" s="57">
        <f t="shared" si="126"/>
        <v>0</v>
      </c>
    </row>
    <row r="500" spans="1:12" ht="15" customHeight="1" x14ac:dyDescent="0.25">
      <c r="A500" s="42" t="str" cm="1">
        <f t="array" ref="A500">IFERROR(INDEX(_xlfn._xlws.FILTER(Class_Players!A:A,Class_Players!B:B="Support"),QUOTIENT(ROW()-ROW($A$2),9)+1),"")</f>
        <v>Nardong Putik</v>
      </c>
      <c r="B500" s="42" t="str">
        <f>_xlfn.XLOOKUP(A500,Class_Players!$A:$A,Class_Players!$B:$B,"")</f>
        <v>Support</v>
      </c>
      <c r="C500" s="38" t="str" cm="1">
        <f t="array" ref="C500">INDEX(Lookups!$D$2:$D$10,MOD(ROW()-ROW($B$2),ROWS(Lookups!$D$2:$D$10))+1)</f>
        <v>M320A1 SMK (Smoke Grenade Launcher)</v>
      </c>
      <c r="D500" s="38" t="str">
        <f>_xlfn.XLOOKUP(C500,Analysis_Gadgets!$C:$C,Analysis_Gadgets!$B:$B)</f>
        <v>Gadget</v>
      </c>
      <c r="E500" s="43">
        <v>318</v>
      </c>
      <c r="F500" s="43">
        <f>_xlfn.XLOOKUP(A500,Class_Players!A:A,Class_Players!G:G)</f>
        <v>244</v>
      </c>
      <c r="G500" s="43">
        <f t="shared" si="115"/>
        <v>1.3032786885245902</v>
      </c>
      <c r="H500" s="43">
        <f>_xlfn.XLOOKUP(A500,Class_Players!$A:$A,Class_Players!$F:$F,"")</f>
        <v>11868</v>
      </c>
      <c r="I500" s="44">
        <f t="shared" si="116"/>
        <v>2.6794742163801819E-2</v>
      </c>
      <c r="J500" s="43">
        <f t="shared" si="117"/>
        <v>0</v>
      </c>
      <c r="K500" s="44" cm="1">
        <f t="array" ref="K500">IF(D500="Gadget",_xlfn.IFS(I500&gt;=0.2,0.5,I500&gt;=0.1,0.35,I500&gt;=0.05,0.2,TRUE,0),IF(D500="Grenade",_xlfn.IFS(I500&gt;=0.2,1,I500&gt;=0.1,0.7,I500&gt;=0.05,0.4,TRUE,0),0))</f>
        <v>0</v>
      </c>
      <c r="L500" s="57">
        <f t="shared" si="126"/>
        <v>0</v>
      </c>
    </row>
    <row r="501" spans="1:12" ht="15" customHeight="1" x14ac:dyDescent="0.25">
      <c r="A501" s="42" t="str" cm="1">
        <f t="array" ref="A501">IFERROR(INDEX(_xlfn._xlws.FILTER(Class_Players!A:A,Class_Players!B:B="Support"),QUOTIENT(ROW()-ROW($A$2),9)+1),"")</f>
        <v>Nardong Putik</v>
      </c>
      <c r="B501" s="42" t="str">
        <f>_xlfn.XLOOKUP(A501,Class_Players!$A:$A,Class_Players!$B:$B,"")</f>
        <v>Support</v>
      </c>
      <c r="C501" s="38" t="str" cm="1">
        <f t="array" ref="C501">INDEX(Lookups!$D$2:$D$10,MOD(ROW()-ROW($B$2),ROWS(Lookups!$D$2:$D$10))+1)</f>
        <v>SICH G1 WP (Incendiary Airburst Launcher)</v>
      </c>
      <c r="D501" s="38" t="str">
        <f>_xlfn.XLOOKUP(C501,Analysis_Gadgets!$C:$C,Analysis_Gadgets!$B:$B)</f>
        <v>Gadget</v>
      </c>
      <c r="E501" s="43">
        <v>827</v>
      </c>
      <c r="F501" s="43">
        <f>_xlfn.XLOOKUP(A501,Class_Players!A:A,Class_Players!G:G)</f>
        <v>244</v>
      </c>
      <c r="G501" s="43">
        <f t="shared" si="115"/>
        <v>3.389344262295082</v>
      </c>
      <c r="H501" s="43">
        <f>_xlfn.XLOOKUP(A501,Class_Players!$A:$A,Class_Players!$F:$F,"")</f>
        <v>11868</v>
      </c>
      <c r="I501" s="44">
        <f t="shared" si="116"/>
        <v>6.9683181664981469E-2</v>
      </c>
      <c r="J501" s="43">
        <f t="shared" si="117"/>
        <v>0</v>
      </c>
      <c r="K501" s="44" cm="1">
        <f t="array" ref="K501">IF(D501="Gadget",_xlfn.IFS(I501&gt;=0.2,0.5,I501&gt;=0.1,0.35,I501&gt;=0.05,0.2,TRUE,0),IF(D501="Grenade",_xlfn.IFS(I501&gt;=0.2,1,I501&gt;=0.1,0.7,I501&gt;=0.05,0.4,TRUE,0),0))</f>
        <v>0.2</v>
      </c>
      <c r="L501" s="57">
        <f t="shared" si="126"/>
        <v>0.19047619047619052</v>
      </c>
    </row>
    <row r="502" spans="1:12" ht="15" customHeight="1" x14ac:dyDescent="0.25">
      <c r="A502" s="42" t="str" cm="1">
        <f t="array" ref="A502">IFERROR(INDEX(_xlfn._xlws.FILTER(Class_Players!A:A,Class_Players!B:B="Support"),QUOTIENT(ROW()-ROW($A$2),9)+1),"")</f>
        <v>Nardong Putik</v>
      </c>
      <c r="B502" s="42" t="str">
        <f>_xlfn.XLOOKUP(A502,Class_Players!$A:$A,Class_Players!$B:$B,"")</f>
        <v>Support</v>
      </c>
      <c r="C502" s="38" t="str" cm="1">
        <f t="array" ref="C502">INDEX(Lookups!$D$2:$D$10,MOD(ROW()-ROW($B$2),ROWS(Lookups!$D$2:$D$10))+1)</f>
        <v>Deployable Cover</v>
      </c>
      <c r="D502" s="38" t="str">
        <f>_xlfn.XLOOKUP(C502,Analysis_Gadgets!$C:$C,Analysis_Gadgets!$B:$B)</f>
        <v>Gadget</v>
      </c>
      <c r="E502" s="43">
        <v>2730</v>
      </c>
      <c r="F502" s="43">
        <f>_xlfn.XLOOKUP(A502,Class_Players!A:A,Class_Players!G:G)</f>
        <v>244</v>
      </c>
      <c r="G502" s="43">
        <f t="shared" si="115"/>
        <v>11.188524590163935</v>
      </c>
      <c r="H502" s="43">
        <f>_xlfn.XLOOKUP(A502,Class_Players!$A:$A,Class_Players!$F:$F,"")</f>
        <v>11868</v>
      </c>
      <c r="I502" s="44">
        <f t="shared" si="116"/>
        <v>0.23003033367037412</v>
      </c>
      <c r="J502" s="43">
        <f t="shared" si="117"/>
        <v>1</v>
      </c>
      <c r="K502" s="44" cm="1">
        <f t="array" ref="K502">IF(D502="Gadget",_xlfn.IFS(I502&gt;=0.2,0.5,I502&gt;=0.1,0.35,I502&gt;=0.05,0.2,TRUE,0),IF(D502="Grenade",_xlfn.IFS(I502&gt;=0.2,1,I502&gt;=0.1,0.7,I502&gt;=0.05,0.4,TRUE,0),0))</f>
        <v>0.5</v>
      </c>
      <c r="L502" s="57">
        <f t="shared" si="126"/>
        <v>0.47619047619047628</v>
      </c>
    </row>
    <row r="503" spans="1:12" ht="15" customHeight="1" x14ac:dyDescent="0.25">
      <c r="A503" s="42" t="str" cm="1">
        <f t="array" ref="A503">IFERROR(INDEX(_xlfn._xlws.FILTER(Class_Players!A:A,Class_Players!B:B="Support"),QUOTIENT(ROW()-ROW($A$2),9)+1),"")</f>
        <v>Nardong Putik</v>
      </c>
      <c r="B503" s="42" t="str">
        <f>_xlfn.XLOOKUP(A503,Class_Players!$A:$A,Class_Players!$B:$B,"")</f>
        <v>Support</v>
      </c>
      <c r="C503" s="38" t="str" cm="1">
        <f t="array" ref="C503">INDEX(Lookups!$D$2:$D$10,MOD(ROW()-ROW($B$2),ROWS(Lookups!$D$2:$D$10))+1)</f>
        <v>Supply Pouch</v>
      </c>
      <c r="D503" s="38" t="str">
        <f>_xlfn.XLOOKUP(C503,Analysis_Gadgets!$C:$C,Analysis_Gadgets!$B:$B)</f>
        <v>Gadget</v>
      </c>
      <c r="E503" s="43">
        <v>2364</v>
      </c>
      <c r="F503" s="43">
        <f>_xlfn.XLOOKUP(A503,Class_Players!A:A,Class_Players!G:G)</f>
        <v>244</v>
      </c>
      <c r="G503" s="43">
        <f t="shared" si="115"/>
        <v>9.6885245901639347</v>
      </c>
      <c r="H503" s="43">
        <f>_xlfn.XLOOKUP(A503,Class_Players!$A:$A,Class_Players!$F:$F,"")</f>
        <v>11868</v>
      </c>
      <c r="I503" s="44">
        <f t="shared" si="116"/>
        <v>0.19919110212335692</v>
      </c>
      <c r="J503" s="43">
        <f t="shared" si="117"/>
        <v>1</v>
      </c>
      <c r="K503" s="44" cm="1">
        <f t="array" ref="K503">IF(D503="Gadget",_xlfn.IFS(I503&gt;=0.2,0.5,I503&gt;=0.1,0.35,I503&gt;=0.05,0.2,TRUE,0),IF(D503="Grenade",_xlfn.IFS(I503&gt;=0.2,1,I503&gt;=0.1,0.7,I503&gt;=0.05,0.4,TRUE,0),0))</f>
        <v>0.35</v>
      </c>
      <c r="L503" s="57">
        <f t="shared" si="126"/>
        <v>0.33333333333333337</v>
      </c>
    </row>
    <row r="504" spans="1:12" ht="15" customHeight="1" x14ac:dyDescent="0.25">
      <c r="A504" s="42" t="str" cm="1">
        <f t="array" ref="A504">IFERROR(INDEX(_xlfn._xlws.FILTER(Class_Players!A:A,Class_Players!B:B="Support"),QUOTIENT(ROW()-ROW($A$2),9)+1),"")</f>
        <v>Nardong Putik</v>
      </c>
      <c r="B504" s="42" t="str">
        <f>_xlfn.XLOOKUP(A504,Class_Players!$A:$A,Class_Players!$B:$B,"")</f>
        <v>Support</v>
      </c>
      <c r="C504" s="38" t="str" cm="1">
        <f t="array" ref="C504">INDEX(Lookups!$D$2:$D$10,MOD(ROW()-ROW($B$2),ROWS(Lookups!$D$2:$D$10))+1)</f>
        <v>Smoke Grenade</v>
      </c>
      <c r="D504" s="38" t="str">
        <f>_xlfn.XLOOKUP(C504,Analysis_Gadgets!$C:$C,Analysis_Gadgets!$B:$B)</f>
        <v>Grenade</v>
      </c>
      <c r="E504" s="43">
        <v>14579</v>
      </c>
      <c r="F504" s="43">
        <f>_xlfn.XLOOKUP(A504,Class_Players!A:A,Class_Players!G:G)</f>
        <v>244</v>
      </c>
      <c r="G504" s="43">
        <f t="shared" si="115"/>
        <v>59.75</v>
      </c>
      <c r="H504" s="43">
        <f>_xlfn.XLOOKUP(A504,Class_Players!$A:$A,Class_Players!$F:$F,"")</f>
        <v>11868</v>
      </c>
      <c r="I504" s="44">
        <f t="shared" si="116"/>
        <v>1.2284293899561847</v>
      </c>
      <c r="J504" s="43">
        <f t="shared" si="117"/>
        <v>1</v>
      </c>
      <c r="K504" s="44" cm="1">
        <f t="array" ref="K504">IF(D504="Gadget",_xlfn.IFS(I504&gt;=0.2,0.5,I504&gt;=0.1,0.35,I504&gt;=0.05,0.2,TRUE,0),IF(D504="Grenade",_xlfn.IFS(I504&gt;=0.2,1,I504&gt;=0.1,0.7,I504&gt;=0.05,0.4,TRUE,0),0))</f>
        <v>1</v>
      </c>
      <c r="L504" s="57">
        <f t="shared" ref="L504:L505" si="127">IF($K504=0,0,$K504 / SUMIFS($K:$K,$A:$A,$A504,$D:$D,"Grenade"))</f>
        <v>0.58823529411764708</v>
      </c>
    </row>
    <row r="505" spans="1:12" ht="15" customHeight="1" x14ac:dyDescent="0.25">
      <c r="A505" s="42" t="str" cm="1">
        <f t="array" ref="A505">IFERROR(INDEX(_xlfn._xlws.FILTER(Class_Players!A:A,Class_Players!B:B="Support"),QUOTIENT(ROW()-ROW($A$2),9)+1),"")</f>
        <v>Nardong Putik</v>
      </c>
      <c r="B505" s="42" t="str">
        <f>_xlfn.XLOOKUP(A505,Class_Players!$A:$A,Class_Players!$B:$B,"")</f>
        <v>Support</v>
      </c>
      <c r="C505" s="38" t="str" cm="1">
        <f t="array" ref="C505">INDEX(Lookups!$D$2:$D$10,MOD(ROW()-ROW($B$2),ROWS(Lookups!$D$2:$D$10))+1)</f>
        <v>Incendiary Grenade</v>
      </c>
      <c r="D505" s="38" t="str">
        <f>_xlfn.XLOOKUP(C505,Analysis_Gadgets!$C:$C,Analysis_Gadgets!$B:$B)</f>
        <v>Grenade</v>
      </c>
      <c r="E505" s="43">
        <v>1656</v>
      </c>
      <c r="F505" s="43">
        <f>_xlfn.XLOOKUP(A505,Class_Players!A:A,Class_Players!G:G)</f>
        <v>244</v>
      </c>
      <c r="G505" s="43">
        <f t="shared" si="115"/>
        <v>6.7868852459016393</v>
      </c>
      <c r="H505" s="43">
        <f>_xlfn.XLOOKUP(A505,Class_Players!$A:$A,Class_Players!$F:$F,"")</f>
        <v>11868</v>
      </c>
      <c r="I505" s="44">
        <f t="shared" si="116"/>
        <v>0.13953488372093023</v>
      </c>
      <c r="J505" s="43">
        <f t="shared" si="117"/>
        <v>1</v>
      </c>
      <c r="K505" s="44" cm="1">
        <f t="array" ref="K505">IF(D505="Gadget",_xlfn.IFS(I505&gt;=0.2,0.5,I505&gt;=0.1,0.35,I505&gt;=0.05,0.2,TRUE,0),IF(D505="Grenade",_xlfn.IFS(I505&gt;=0.2,1,I505&gt;=0.1,0.7,I505&gt;=0.05,0.4,TRUE,0),0))</f>
        <v>0.7</v>
      </c>
      <c r="L505" s="57">
        <f t="shared" si="127"/>
        <v>0.41176470588235292</v>
      </c>
    </row>
    <row r="506" spans="1:12" ht="15" customHeight="1" x14ac:dyDescent="0.25">
      <c r="A506" s="42" t="str" cm="1">
        <f t="array" ref="A506">IFERROR(INDEX(_xlfn._xlws.FILTER(Class_Players!A:A,Class_Players!B:B="Support"),QUOTIENT(ROW()-ROW($A$2),9)+1),"")</f>
        <v>xDLoadingx-</v>
      </c>
      <c r="B506" s="42" t="str">
        <f>_xlfn.XLOOKUP(A506,Class_Players!$A:$A,Class_Players!$B:$B,"")</f>
        <v>Support</v>
      </c>
      <c r="C506" s="38" t="str" cm="1">
        <f t="array" ref="C506">INDEX(Lookups!$D$2:$D$10,MOD(ROW()-ROW($B$2),ROWS(Lookups!$D$2:$D$10))+1)</f>
        <v>GPDIS (Grenade intercept system)</v>
      </c>
      <c r="D506" s="38" t="str">
        <f>_xlfn.XLOOKUP(C506,Analysis_Gadgets!$C:$C,Analysis_Gadgets!$B:$B)</f>
        <v>Gadget</v>
      </c>
      <c r="E506" s="43">
        <v>42</v>
      </c>
      <c r="F506" s="43">
        <f>_xlfn.XLOOKUP(A506,Class_Players!A:A,Class_Players!G:G)</f>
        <v>232</v>
      </c>
      <c r="G506" s="43">
        <f t="shared" si="115"/>
        <v>0.18103448275862069</v>
      </c>
      <c r="H506" s="43">
        <f>_xlfn.XLOOKUP(A506,Class_Players!$A:$A,Class_Players!$F:$F,"")</f>
        <v>11754</v>
      </c>
      <c r="I506" s="44">
        <f t="shared" si="116"/>
        <v>3.5732516590096988E-3</v>
      </c>
      <c r="J506" s="43">
        <f t="shared" si="117"/>
        <v>0</v>
      </c>
      <c r="K506" s="44" cm="1">
        <f t="array" ref="K506">IF(D506="Gadget",_xlfn.IFS(I506&gt;=0.2,0.5,I506&gt;=0.1,0.35,I506&gt;=0.05,0.2,TRUE,0),IF(D506="Grenade",_xlfn.IFS(I506&gt;=0.2,1,I506&gt;=0.1,0.7,I506&gt;=0.05,0.4,TRUE,0),0))</f>
        <v>0</v>
      </c>
      <c r="L506" s="57">
        <f t="shared" ref="L506:L512" si="128">IF($K506=0,0,$K506 / SUMIFS($K:$K,$A:$A,$A506,$D:$D,"Gadget"))</f>
        <v>0</v>
      </c>
    </row>
    <row r="507" spans="1:12" ht="15" customHeight="1" x14ac:dyDescent="0.25">
      <c r="A507" s="42" t="str" cm="1">
        <f t="array" ref="A507">IFERROR(INDEX(_xlfn._xlws.FILTER(Class_Players!A:A,Class_Players!B:B="Support"),QUOTIENT(ROW()-ROW($A$2),9)+1),"")</f>
        <v>xDLoadingx-</v>
      </c>
      <c r="B507" s="42" t="str">
        <f>_xlfn.XLOOKUP(A507,Class_Players!$A:$A,Class_Players!$B:$B,"")</f>
        <v>Support</v>
      </c>
      <c r="C507" s="38" t="str" cm="1">
        <f t="array" ref="C507">INDEX(Lookups!$D$2:$D$10,MOD(ROW()-ROW($B$2),ROWS(Lookups!$D$2:$D$10))+1)</f>
        <v>MP-APS (Missile intercept system)</v>
      </c>
      <c r="D507" s="38" t="str">
        <f>_xlfn.XLOOKUP(C507,Analysis_Gadgets!$C:$C,Analysis_Gadgets!$B:$B)</f>
        <v>Gadget</v>
      </c>
      <c r="E507" s="43">
        <v>2</v>
      </c>
      <c r="F507" s="43">
        <f>_xlfn.XLOOKUP(A507,Class_Players!A:A,Class_Players!G:G)</f>
        <v>232</v>
      </c>
      <c r="G507" s="43">
        <f t="shared" si="115"/>
        <v>8.6206896551724137E-3</v>
      </c>
      <c r="H507" s="43">
        <f>_xlfn.XLOOKUP(A507,Class_Players!$A:$A,Class_Players!$F:$F,"")</f>
        <v>11754</v>
      </c>
      <c r="I507" s="44">
        <f t="shared" si="116"/>
        <v>1.7015484090522376E-4</v>
      </c>
      <c r="J507" s="43">
        <f t="shared" si="117"/>
        <v>0</v>
      </c>
      <c r="K507" s="44" cm="1">
        <f t="array" ref="K507">IF(D507="Gadget",_xlfn.IFS(I507&gt;=0.2,0.5,I507&gt;=0.1,0.35,I507&gt;=0.05,0.2,TRUE,0),IF(D507="Grenade",_xlfn.IFS(I507&gt;=0.2,1,I507&gt;=0.1,0.7,I507&gt;=0.05,0.4,TRUE,0),0))</f>
        <v>0</v>
      </c>
      <c r="L507" s="57">
        <f t="shared" si="128"/>
        <v>0</v>
      </c>
    </row>
    <row r="508" spans="1:12" ht="15" customHeight="1" x14ac:dyDescent="0.25">
      <c r="A508" s="42" t="str" cm="1">
        <f t="array" ref="A508">IFERROR(INDEX(_xlfn._xlws.FILTER(Class_Players!A:A,Class_Players!B:B="Support"),QUOTIENT(ROW()-ROW($A$2),9)+1),"")</f>
        <v>xDLoadingx-</v>
      </c>
      <c r="B508" s="42" t="str">
        <f>_xlfn.XLOOKUP(A508,Class_Players!$A:$A,Class_Players!$B:$B,"")</f>
        <v>Support</v>
      </c>
      <c r="C508" s="38" t="str" cm="1">
        <f t="array" ref="C508">INDEX(Lookups!$D$2:$D$10,MOD(ROW()-ROW($B$2),ROWS(Lookups!$D$2:$D$10))+1)</f>
        <v>LWCMS (Mortar)</v>
      </c>
      <c r="D508" s="38" t="str">
        <f>_xlfn.XLOOKUP(C508,Analysis_Gadgets!$C:$C,Analysis_Gadgets!$B:$B)</f>
        <v>Gadget</v>
      </c>
      <c r="E508" s="43">
        <v>0</v>
      </c>
      <c r="F508" s="43">
        <f>_xlfn.XLOOKUP(A508,Class_Players!A:A,Class_Players!G:G)</f>
        <v>232</v>
      </c>
      <c r="G508" s="43">
        <f t="shared" si="115"/>
        <v>0</v>
      </c>
      <c r="H508" s="43">
        <f>_xlfn.XLOOKUP(A508,Class_Players!$A:$A,Class_Players!$F:$F,"")</f>
        <v>11754</v>
      </c>
      <c r="I508" s="44">
        <f t="shared" si="116"/>
        <v>0</v>
      </c>
      <c r="J508" s="43">
        <f t="shared" si="117"/>
        <v>0</v>
      </c>
      <c r="K508" s="44" cm="1">
        <f t="array" ref="K508">IF(D508="Gadget",_xlfn.IFS(I508&gt;=0.2,0.5,I508&gt;=0.1,0.35,I508&gt;=0.05,0.2,TRUE,0),IF(D508="Grenade",_xlfn.IFS(I508&gt;=0.2,1,I508&gt;=0.1,0.7,I508&gt;=0.05,0.4,TRUE,0),0))</f>
        <v>0</v>
      </c>
      <c r="L508" s="57">
        <f t="shared" si="128"/>
        <v>0</v>
      </c>
    </row>
    <row r="509" spans="1:12" ht="15" customHeight="1" x14ac:dyDescent="0.25">
      <c r="A509" s="42" t="str" cm="1">
        <f t="array" ref="A509">IFERROR(INDEX(_xlfn._xlws.FILTER(Class_Players!A:A,Class_Players!B:B="Support"),QUOTIENT(ROW()-ROW($A$2),9)+1),"")</f>
        <v>xDLoadingx-</v>
      </c>
      <c r="B509" s="42" t="str">
        <f>_xlfn.XLOOKUP(A509,Class_Players!$A:$A,Class_Players!$B:$B,"")</f>
        <v>Support</v>
      </c>
      <c r="C509" s="38" t="str" cm="1">
        <f t="array" ref="C509">INDEX(Lookups!$D$2:$D$10,MOD(ROW()-ROW($B$2),ROWS(Lookups!$D$2:$D$10))+1)</f>
        <v>M320A1 SMK (Smoke Grenade Launcher)</v>
      </c>
      <c r="D509" s="38" t="str">
        <f>_xlfn.XLOOKUP(C509,Analysis_Gadgets!$C:$C,Analysis_Gadgets!$B:$B)</f>
        <v>Gadget</v>
      </c>
      <c r="E509" s="43">
        <v>393</v>
      </c>
      <c r="F509" s="43">
        <f>_xlfn.XLOOKUP(A509,Class_Players!A:A,Class_Players!G:G)</f>
        <v>232</v>
      </c>
      <c r="G509" s="43">
        <f t="shared" si="115"/>
        <v>1.6939655172413792</v>
      </c>
      <c r="H509" s="43">
        <f>_xlfn.XLOOKUP(A509,Class_Players!$A:$A,Class_Players!$F:$F,"")</f>
        <v>11754</v>
      </c>
      <c r="I509" s="44">
        <f t="shared" si="116"/>
        <v>3.3435426237876466E-2</v>
      </c>
      <c r="J509" s="43">
        <f t="shared" si="117"/>
        <v>0</v>
      </c>
      <c r="K509" s="44" cm="1">
        <f t="array" ref="K509">IF(D509="Gadget",_xlfn.IFS(I509&gt;=0.2,0.5,I509&gt;=0.1,0.35,I509&gt;=0.05,0.2,TRUE,0),IF(D509="Grenade",_xlfn.IFS(I509&gt;=0.2,1,I509&gt;=0.1,0.7,I509&gt;=0.05,0.4,TRUE,0),0))</f>
        <v>0</v>
      </c>
      <c r="L509" s="57">
        <f t="shared" si="128"/>
        <v>0</v>
      </c>
    </row>
    <row r="510" spans="1:12" ht="15" customHeight="1" x14ac:dyDescent="0.25">
      <c r="A510" s="42" t="str" cm="1">
        <f t="array" ref="A510">IFERROR(INDEX(_xlfn._xlws.FILTER(Class_Players!A:A,Class_Players!B:B="Support"),QUOTIENT(ROW()-ROW($A$2),9)+1),"")</f>
        <v>xDLoadingx-</v>
      </c>
      <c r="B510" s="42" t="str">
        <f>_xlfn.XLOOKUP(A510,Class_Players!$A:$A,Class_Players!$B:$B,"")</f>
        <v>Support</v>
      </c>
      <c r="C510" s="38" t="str" cm="1">
        <f t="array" ref="C510">INDEX(Lookups!$D$2:$D$10,MOD(ROW()-ROW($B$2),ROWS(Lookups!$D$2:$D$10))+1)</f>
        <v>SICH G1 WP (Incendiary Airburst Launcher)</v>
      </c>
      <c r="D510" s="38" t="str">
        <f>_xlfn.XLOOKUP(C510,Analysis_Gadgets!$C:$C,Analysis_Gadgets!$B:$B)</f>
        <v>Gadget</v>
      </c>
      <c r="E510" s="43">
        <v>225</v>
      </c>
      <c r="F510" s="43">
        <f>_xlfn.XLOOKUP(A510,Class_Players!A:A,Class_Players!G:G)</f>
        <v>232</v>
      </c>
      <c r="G510" s="43">
        <f t="shared" si="115"/>
        <v>0.96982758620689657</v>
      </c>
      <c r="H510" s="43">
        <f>_xlfn.XLOOKUP(A510,Class_Players!$A:$A,Class_Players!$F:$F,"")</f>
        <v>11754</v>
      </c>
      <c r="I510" s="44">
        <f t="shared" si="116"/>
        <v>1.9142419601837671E-2</v>
      </c>
      <c r="J510" s="43">
        <f t="shared" si="117"/>
        <v>0</v>
      </c>
      <c r="K510" s="44" cm="1">
        <f t="array" ref="K510">IF(D510="Gadget",_xlfn.IFS(I510&gt;=0.2,0.5,I510&gt;=0.1,0.35,I510&gt;=0.05,0.2,TRUE,0),IF(D510="Grenade",_xlfn.IFS(I510&gt;=0.2,1,I510&gt;=0.1,0.7,I510&gt;=0.05,0.4,TRUE,0),0))</f>
        <v>0</v>
      </c>
      <c r="L510" s="57">
        <f t="shared" si="128"/>
        <v>0</v>
      </c>
    </row>
    <row r="511" spans="1:12" ht="15" customHeight="1" x14ac:dyDescent="0.25">
      <c r="A511" s="42" t="str" cm="1">
        <f t="array" ref="A511">IFERROR(INDEX(_xlfn._xlws.FILTER(Class_Players!A:A,Class_Players!B:B="Support"),QUOTIENT(ROW()-ROW($A$2),9)+1),"")</f>
        <v>xDLoadingx-</v>
      </c>
      <c r="B511" s="42" t="str">
        <f>_xlfn.XLOOKUP(A511,Class_Players!$A:$A,Class_Players!$B:$B,"")</f>
        <v>Support</v>
      </c>
      <c r="C511" s="38" t="str" cm="1">
        <f t="array" ref="C511">INDEX(Lookups!$D$2:$D$10,MOD(ROW()-ROW($B$2),ROWS(Lookups!$D$2:$D$10))+1)</f>
        <v>Deployable Cover</v>
      </c>
      <c r="D511" s="38" t="str">
        <f>_xlfn.XLOOKUP(C511,Analysis_Gadgets!$C:$C,Analysis_Gadgets!$B:$B)</f>
        <v>Gadget</v>
      </c>
      <c r="E511" s="43">
        <v>0</v>
      </c>
      <c r="F511" s="43">
        <f>_xlfn.XLOOKUP(A511,Class_Players!A:A,Class_Players!G:G)</f>
        <v>232</v>
      </c>
      <c r="G511" s="43">
        <f t="shared" si="115"/>
        <v>0</v>
      </c>
      <c r="H511" s="43">
        <f>_xlfn.XLOOKUP(A511,Class_Players!$A:$A,Class_Players!$F:$F,"")</f>
        <v>11754</v>
      </c>
      <c r="I511" s="44">
        <f t="shared" si="116"/>
        <v>0</v>
      </c>
      <c r="J511" s="43">
        <f t="shared" si="117"/>
        <v>0</v>
      </c>
      <c r="K511" s="44" cm="1">
        <f t="array" ref="K511">IF(D511="Gadget",_xlfn.IFS(I511&gt;=0.2,0.5,I511&gt;=0.1,0.35,I511&gt;=0.05,0.2,TRUE,0),IF(D511="Grenade",_xlfn.IFS(I511&gt;=0.2,1,I511&gt;=0.1,0.7,I511&gt;=0.05,0.4,TRUE,0),0))</f>
        <v>0</v>
      </c>
      <c r="L511" s="57">
        <f t="shared" si="128"/>
        <v>0</v>
      </c>
    </row>
    <row r="512" spans="1:12" ht="15" customHeight="1" x14ac:dyDescent="0.25">
      <c r="A512" s="42" t="str" cm="1">
        <f t="array" ref="A512">IFERROR(INDEX(_xlfn._xlws.FILTER(Class_Players!A:A,Class_Players!B:B="Support"),QUOTIENT(ROW()-ROW($A$2),9)+1),"")</f>
        <v>xDLoadingx-</v>
      </c>
      <c r="B512" s="42" t="str">
        <f>_xlfn.XLOOKUP(A512,Class_Players!$A:$A,Class_Players!$B:$B,"")</f>
        <v>Support</v>
      </c>
      <c r="C512" s="38" t="str" cm="1">
        <f t="array" ref="C512">INDEX(Lookups!$D$2:$D$10,MOD(ROW()-ROW($B$2),ROWS(Lookups!$D$2:$D$10))+1)</f>
        <v>Supply Pouch</v>
      </c>
      <c r="D512" s="38" t="str">
        <f>_xlfn.XLOOKUP(C512,Analysis_Gadgets!$C:$C,Analysis_Gadgets!$B:$B)</f>
        <v>Gadget</v>
      </c>
      <c r="E512" s="43">
        <v>5509</v>
      </c>
      <c r="F512" s="43">
        <f>_xlfn.XLOOKUP(A512,Class_Players!A:A,Class_Players!G:G)</f>
        <v>232</v>
      </c>
      <c r="G512" s="43">
        <f t="shared" si="115"/>
        <v>23.745689655172413</v>
      </c>
      <c r="H512" s="43">
        <f>_xlfn.XLOOKUP(A512,Class_Players!$A:$A,Class_Players!$F:$F,"")</f>
        <v>11754</v>
      </c>
      <c r="I512" s="44">
        <f t="shared" si="116"/>
        <v>0.46869150927343883</v>
      </c>
      <c r="J512" s="43">
        <f t="shared" si="117"/>
        <v>1</v>
      </c>
      <c r="K512" s="44" cm="1">
        <f t="array" ref="K512">IF(D512="Gadget",_xlfn.IFS(I512&gt;=0.2,0.5,I512&gt;=0.1,0.35,I512&gt;=0.05,0.2,TRUE,0),IF(D512="Grenade",_xlfn.IFS(I512&gt;=0.2,1,I512&gt;=0.1,0.7,I512&gt;=0.05,0.4,TRUE,0),0))</f>
        <v>0.5</v>
      </c>
      <c r="L512" s="57">
        <f t="shared" si="128"/>
        <v>1</v>
      </c>
    </row>
    <row r="513" spans="1:12" ht="15" customHeight="1" x14ac:dyDescent="0.25">
      <c r="A513" s="42" t="str" cm="1">
        <f t="array" ref="A513">IFERROR(INDEX(_xlfn._xlws.FILTER(Class_Players!A:A,Class_Players!B:B="Support"),QUOTIENT(ROW()-ROW($A$2),9)+1),"")</f>
        <v>xDLoadingx-</v>
      </c>
      <c r="B513" s="42" t="str">
        <f>_xlfn.XLOOKUP(A513,Class_Players!$A:$A,Class_Players!$B:$B,"")</f>
        <v>Support</v>
      </c>
      <c r="C513" s="38" t="str" cm="1">
        <f t="array" ref="C513">INDEX(Lookups!$D$2:$D$10,MOD(ROW()-ROW($B$2),ROWS(Lookups!$D$2:$D$10))+1)</f>
        <v>Smoke Grenade</v>
      </c>
      <c r="D513" s="38" t="str">
        <f>_xlfn.XLOOKUP(C513,Analysis_Gadgets!$C:$C,Analysis_Gadgets!$B:$B)</f>
        <v>Grenade</v>
      </c>
      <c r="E513" s="43">
        <v>9</v>
      </c>
      <c r="F513" s="43">
        <f>_xlfn.XLOOKUP(A513,Class_Players!A:A,Class_Players!G:G)</f>
        <v>232</v>
      </c>
      <c r="G513" s="43">
        <f t="shared" si="115"/>
        <v>3.8793103448275863E-2</v>
      </c>
      <c r="H513" s="43">
        <f>_xlfn.XLOOKUP(A513,Class_Players!$A:$A,Class_Players!$F:$F,"")</f>
        <v>11754</v>
      </c>
      <c r="I513" s="44">
        <f t="shared" si="116"/>
        <v>7.6569678407350692E-4</v>
      </c>
      <c r="J513" s="43">
        <f t="shared" si="117"/>
        <v>0</v>
      </c>
      <c r="K513" s="44" cm="1">
        <f t="array" ref="K513">IF(D513="Gadget",_xlfn.IFS(I513&gt;=0.2,0.5,I513&gt;=0.1,0.35,I513&gt;=0.05,0.2,TRUE,0),IF(D513="Grenade",_xlfn.IFS(I513&gt;=0.2,1,I513&gt;=0.1,0.7,I513&gt;=0.05,0.4,TRUE,0),0))</f>
        <v>0</v>
      </c>
      <c r="L513" s="57">
        <f t="shared" ref="L513:L514" si="129">IF($K513=0,0,$K513 / SUMIFS($K:$K,$A:$A,$A513,$D:$D,"Grenade"))</f>
        <v>0</v>
      </c>
    </row>
    <row r="514" spans="1:12" ht="15" customHeight="1" x14ac:dyDescent="0.25">
      <c r="A514" s="42" t="str" cm="1">
        <f t="array" ref="A514">IFERROR(INDEX(_xlfn._xlws.FILTER(Class_Players!A:A,Class_Players!B:B="Support"),QUOTIENT(ROW()-ROW($A$2),9)+1),"")</f>
        <v>xDLoadingx-</v>
      </c>
      <c r="B514" s="42" t="str">
        <f>_xlfn.XLOOKUP(A514,Class_Players!$A:$A,Class_Players!$B:$B,"")</f>
        <v>Support</v>
      </c>
      <c r="C514" s="38" t="str" cm="1">
        <f t="array" ref="C514">INDEX(Lookups!$D$2:$D$10,MOD(ROW()-ROW($B$2),ROWS(Lookups!$D$2:$D$10))+1)</f>
        <v>Incendiary Grenade</v>
      </c>
      <c r="D514" s="38" t="str">
        <f>_xlfn.XLOOKUP(C514,Analysis_Gadgets!$C:$C,Analysis_Gadgets!$B:$B)</f>
        <v>Grenade</v>
      </c>
      <c r="E514" s="43">
        <v>71</v>
      </c>
      <c r="F514" s="43">
        <f>_xlfn.XLOOKUP(A514,Class_Players!A:A,Class_Players!G:G)</f>
        <v>232</v>
      </c>
      <c r="G514" s="43">
        <f t="shared" si="115"/>
        <v>0.30603448275862066</v>
      </c>
      <c r="H514" s="43">
        <f>_xlfn.XLOOKUP(A514,Class_Players!$A:$A,Class_Players!$F:$F,"")</f>
        <v>11754</v>
      </c>
      <c r="I514" s="44">
        <f t="shared" si="116"/>
        <v>6.0404968521354432E-3</v>
      </c>
      <c r="J514" s="43">
        <f t="shared" si="117"/>
        <v>0</v>
      </c>
      <c r="K514" s="44" cm="1">
        <f t="array" ref="K514">IF(D514="Gadget",_xlfn.IFS(I514&gt;=0.2,0.5,I514&gt;=0.1,0.35,I514&gt;=0.05,0.2,TRUE,0),IF(D514="Grenade",_xlfn.IFS(I514&gt;=0.2,1,I514&gt;=0.1,0.7,I514&gt;=0.05,0.4,TRUE,0),0))</f>
        <v>0</v>
      </c>
      <c r="L514" s="57">
        <f t="shared" si="129"/>
        <v>0</v>
      </c>
    </row>
    <row r="515" spans="1:12" ht="15" customHeight="1" x14ac:dyDescent="0.25">
      <c r="A515" s="42" t="str" cm="1">
        <f t="array" ref="A515">IFERROR(INDEX(_xlfn._xlws.FILTER(Class_Players!A:A,Class_Players!B:B="Support"),QUOTIENT(ROW()-ROW($A$2),9)+1),"")</f>
        <v>OnE-N-OnLy-GREEN</v>
      </c>
      <c r="B515" s="42" t="str">
        <f>_xlfn.XLOOKUP(A515,Class_Players!$A:$A,Class_Players!$B:$B,"")</f>
        <v>Support</v>
      </c>
      <c r="C515" s="38" t="str" cm="1">
        <f t="array" ref="C515">INDEX(Lookups!$D$2:$D$10,MOD(ROW()-ROW($B$2),ROWS(Lookups!$D$2:$D$10))+1)</f>
        <v>GPDIS (Grenade intercept system)</v>
      </c>
      <c r="D515" s="38" t="str">
        <f>_xlfn.XLOOKUP(C515,Analysis_Gadgets!$C:$C,Analysis_Gadgets!$B:$B)</f>
        <v>Gadget</v>
      </c>
      <c r="E515" s="43">
        <v>772</v>
      </c>
      <c r="F515" s="43">
        <f>_xlfn.XLOOKUP(A515,Class_Players!A:A,Class_Players!G:G)</f>
        <v>354</v>
      </c>
      <c r="G515" s="43">
        <f t="shared" si="115"/>
        <v>2.1807909604519775</v>
      </c>
      <c r="H515" s="43">
        <f>_xlfn.XLOOKUP(A515,Class_Players!$A:$A,Class_Players!$F:$F,"")</f>
        <v>11647</v>
      </c>
      <c r="I515" s="44">
        <f t="shared" si="116"/>
        <v>6.6283163046278015E-2</v>
      </c>
      <c r="J515" s="43">
        <f t="shared" si="117"/>
        <v>0</v>
      </c>
      <c r="K515" s="44" cm="1">
        <f t="array" ref="K515">IF(D515="Gadget",_xlfn.IFS(I515&gt;=0.2,0.5,I515&gt;=0.1,0.35,I515&gt;=0.05,0.2,TRUE,0),IF(D515="Grenade",_xlfn.IFS(I515&gt;=0.2,1,I515&gt;=0.1,0.7,I515&gt;=0.05,0.4,TRUE,0),0))</f>
        <v>0.2</v>
      </c>
      <c r="L515" s="57">
        <f t="shared" ref="L515:L521" si="130">IF($K515=0,0,$K515 / SUMIFS($K:$K,$A:$A,$A515,$D:$D,"Gadget"))</f>
        <v>0.36363636363636365</v>
      </c>
    </row>
    <row r="516" spans="1:12" ht="15" customHeight="1" x14ac:dyDescent="0.25">
      <c r="A516" s="42" t="str" cm="1">
        <f t="array" ref="A516">IFERROR(INDEX(_xlfn._xlws.FILTER(Class_Players!A:A,Class_Players!B:B="Support"),QUOTIENT(ROW()-ROW($A$2),9)+1),"")</f>
        <v>OnE-N-OnLy-GREEN</v>
      </c>
      <c r="B516" s="42" t="str">
        <f>_xlfn.XLOOKUP(A516,Class_Players!$A:$A,Class_Players!$B:$B,"")</f>
        <v>Support</v>
      </c>
      <c r="C516" s="38" t="str" cm="1">
        <f t="array" ref="C516">INDEX(Lookups!$D$2:$D$10,MOD(ROW()-ROW($B$2),ROWS(Lookups!$D$2:$D$10))+1)</f>
        <v>MP-APS (Missile intercept system)</v>
      </c>
      <c r="D516" s="38" t="str">
        <f>_xlfn.XLOOKUP(C516,Analysis_Gadgets!$C:$C,Analysis_Gadgets!$B:$B)</f>
        <v>Gadget</v>
      </c>
      <c r="E516" s="43">
        <v>3</v>
      </c>
      <c r="F516" s="43">
        <f>_xlfn.XLOOKUP(A516,Class_Players!A:A,Class_Players!G:G)</f>
        <v>354</v>
      </c>
      <c r="G516" s="43">
        <f t="shared" si="115"/>
        <v>8.4745762711864406E-3</v>
      </c>
      <c r="H516" s="43">
        <f>_xlfn.XLOOKUP(A516,Class_Players!$A:$A,Class_Players!$F:$F,"")</f>
        <v>11647</v>
      </c>
      <c r="I516" s="44">
        <f t="shared" si="116"/>
        <v>2.5757705846999229E-4</v>
      </c>
      <c r="J516" s="43">
        <f t="shared" si="117"/>
        <v>0</v>
      </c>
      <c r="K516" s="44" cm="1">
        <f t="array" ref="K516">IF(D516="Gadget",_xlfn.IFS(I516&gt;=0.2,0.5,I516&gt;=0.1,0.35,I516&gt;=0.05,0.2,TRUE,0),IF(D516="Grenade",_xlfn.IFS(I516&gt;=0.2,1,I516&gt;=0.1,0.7,I516&gt;=0.05,0.4,TRUE,0),0))</f>
        <v>0</v>
      </c>
      <c r="L516" s="57">
        <f t="shared" si="130"/>
        <v>0</v>
      </c>
    </row>
    <row r="517" spans="1:12" ht="15" customHeight="1" x14ac:dyDescent="0.25">
      <c r="A517" s="42" t="str" cm="1">
        <f t="array" ref="A517">IFERROR(INDEX(_xlfn._xlws.FILTER(Class_Players!A:A,Class_Players!B:B="Support"),QUOTIENT(ROW()-ROW($A$2),9)+1),"")</f>
        <v>OnE-N-OnLy-GREEN</v>
      </c>
      <c r="B517" s="42" t="str">
        <f>_xlfn.XLOOKUP(A517,Class_Players!$A:$A,Class_Players!$B:$B,"")</f>
        <v>Support</v>
      </c>
      <c r="C517" s="38" t="str" cm="1">
        <f t="array" ref="C517">INDEX(Lookups!$D$2:$D$10,MOD(ROW()-ROW($B$2),ROWS(Lookups!$D$2:$D$10))+1)</f>
        <v>LWCMS (Mortar)</v>
      </c>
      <c r="D517" s="38" t="str">
        <f>_xlfn.XLOOKUP(C517,Analysis_Gadgets!$C:$C,Analysis_Gadgets!$B:$B)</f>
        <v>Gadget</v>
      </c>
      <c r="E517" s="43">
        <v>3</v>
      </c>
      <c r="F517" s="43">
        <f>_xlfn.XLOOKUP(A517,Class_Players!A:A,Class_Players!G:G)</f>
        <v>354</v>
      </c>
      <c r="G517" s="43">
        <f t="shared" si="115"/>
        <v>8.4745762711864406E-3</v>
      </c>
      <c r="H517" s="43">
        <f>_xlfn.XLOOKUP(A517,Class_Players!$A:$A,Class_Players!$F:$F,"")</f>
        <v>11647</v>
      </c>
      <c r="I517" s="44">
        <f t="shared" si="116"/>
        <v>2.5757705846999229E-4</v>
      </c>
      <c r="J517" s="43">
        <f t="shared" si="117"/>
        <v>0</v>
      </c>
      <c r="K517" s="44" cm="1">
        <f t="array" ref="K517">IF(D517="Gadget",_xlfn.IFS(I517&gt;=0.2,0.5,I517&gt;=0.1,0.35,I517&gt;=0.05,0.2,TRUE,0),IF(D517="Grenade",_xlfn.IFS(I517&gt;=0.2,1,I517&gt;=0.1,0.7,I517&gt;=0.05,0.4,TRUE,0),0))</f>
        <v>0</v>
      </c>
      <c r="L517" s="57">
        <f t="shared" si="130"/>
        <v>0</v>
      </c>
    </row>
    <row r="518" spans="1:12" ht="15" customHeight="1" x14ac:dyDescent="0.25">
      <c r="A518" s="42" t="str" cm="1">
        <f t="array" ref="A518">IFERROR(INDEX(_xlfn._xlws.FILTER(Class_Players!A:A,Class_Players!B:B="Support"),QUOTIENT(ROW()-ROW($A$2),9)+1),"")</f>
        <v>OnE-N-OnLy-GREEN</v>
      </c>
      <c r="B518" s="42" t="str">
        <f>_xlfn.XLOOKUP(A518,Class_Players!$A:$A,Class_Players!$B:$B,"")</f>
        <v>Support</v>
      </c>
      <c r="C518" s="38" t="str" cm="1">
        <f t="array" ref="C518">INDEX(Lookups!$D$2:$D$10,MOD(ROW()-ROW($B$2),ROWS(Lookups!$D$2:$D$10))+1)</f>
        <v>M320A1 SMK (Smoke Grenade Launcher)</v>
      </c>
      <c r="D518" s="38" t="str">
        <f>_xlfn.XLOOKUP(C518,Analysis_Gadgets!$C:$C,Analysis_Gadgets!$B:$B)</f>
        <v>Gadget</v>
      </c>
      <c r="E518" s="43">
        <v>28</v>
      </c>
      <c r="F518" s="43">
        <f>_xlfn.XLOOKUP(A518,Class_Players!A:A,Class_Players!G:G)</f>
        <v>354</v>
      </c>
      <c r="G518" s="43">
        <f t="shared" si="115"/>
        <v>7.909604519774012E-2</v>
      </c>
      <c r="H518" s="43">
        <f>_xlfn.XLOOKUP(A518,Class_Players!$A:$A,Class_Players!$F:$F,"")</f>
        <v>11647</v>
      </c>
      <c r="I518" s="44">
        <f t="shared" si="116"/>
        <v>2.4040525457199279E-3</v>
      </c>
      <c r="J518" s="43">
        <f t="shared" si="117"/>
        <v>0</v>
      </c>
      <c r="K518" s="44" cm="1">
        <f t="array" ref="K518">IF(D518="Gadget",_xlfn.IFS(I518&gt;=0.2,0.5,I518&gt;=0.1,0.35,I518&gt;=0.05,0.2,TRUE,0),IF(D518="Grenade",_xlfn.IFS(I518&gt;=0.2,1,I518&gt;=0.1,0.7,I518&gt;=0.05,0.4,TRUE,0),0))</f>
        <v>0</v>
      </c>
      <c r="L518" s="57">
        <f t="shared" si="130"/>
        <v>0</v>
      </c>
    </row>
    <row r="519" spans="1:12" ht="15" customHeight="1" x14ac:dyDescent="0.25">
      <c r="A519" s="42" t="str" cm="1">
        <f t="array" ref="A519">IFERROR(INDEX(_xlfn._xlws.FILTER(Class_Players!A:A,Class_Players!B:B="Support"),QUOTIENT(ROW()-ROW($A$2),9)+1),"")</f>
        <v>OnE-N-OnLy-GREEN</v>
      </c>
      <c r="B519" s="42" t="str">
        <f>_xlfn.XLOOKUP(A519,Class_Players!$A:$A,Class_Players!$B:$B,"")</f>
        <v>Support</v>
      </c>
      <c r="C519" s="38" t="str" cm="1">
        <f t="array" ref="C519">INDEX(Lookups!$D$2:$D$10,MOD(ROW()-ROW($B$2),ROWS(Lookups!$D$2:$D$10))+1)</f>
        <v>SICH G1 WP (Incendiary Airburst Launcher)</v>
      </c>
      <c r="D519" s="38" t="str">
        <f>_xlfn.XLOOKUP(C519,Analysis_Gadgets!$C:$C,Analysis_Gadgets!$B:$B)</f>
        <v>Gadget</v>
      </c>
      <c r="E519" s="43">
        <v>506</v>
      </c>
      <c r="F519" s="43">
        <f>_xlfn.XLOOKUP(A519,Class_Players!A:A,Class_Players!G:G)</f>
        <v>354</v>
      </c>
      <c r="G519" s="43">
        <f t="shared" si="115"/>
        <v>1.4293785310734464</v>
      </c>
      <c r="H519" s="43">
        <f>_xlfn.XLOOKUP(A519,Class_Players!$A:$A,Class_Players!$F:$F,"")</f>
        <v>11647</v>
      </c>
      <c r="I519" s="44">
        <f t="shared" si="116"/>
        <v>4.3444663861938695E-2</v>
      </c>
      <c r="J519" s="43">
        <f t="shared" si="117"/>
        <v>0</v>
      </c>
      <c r="K519" s="44" cm="1">
        <f t="array" ref="K519">IF(D519="Gadget",_xlfn.IFS(I519&gt;=0.2,0.5,I519&gt;=0.1,0.35,I519&gt;=0.05,0.2,TRUE,0),IF(D519="Grenade",_xlfn.IFS(I519&gt;=0.2,1,I519&gt;=0.1,0.7,I519&gt;=0.05,0.4,TRUE,0),0))</f>
        <v>0</v>
      </c>
      <c r="L519" s="57">
        <f t="shared" si="130"/>
        <v>0</v>
      </c>
    </row>
    <row r="520" spans="1:12" ht="15" customHeight="1" x14ac:dyDescent="0.25">
      <c r="A520" s="42" t="str" cm="1">
        <f t="array" ref="A520">IFERROR(INDEX(_xlfn._xlws.FILTER(Class_Players!A:A,Class_Players!B:B="Support"),QUOTIENT(ROW()-ROW($A$2),9)+1),"")</f>
        <v>OnE-N-OnLy-GREEN</v>
      </c>
      <c r="B520" s="42" t="str">
        <f>_xlfn.XLOOKUP(A520,Class_Players!$A:$A,Class_Players!$B:$B,"")</f>
        <v>Support</v>
      </c>
      <c r="C520" s="38" t="str" cm="1">
        <f t="array" ref="C520">INDEX(Lookups!$D$2:$D$10,MOD(ROW()-ROW($B$2),ROWS(Lookups!$D$2:$D$10))+1)</f>
        <v>Deployable Cover</v>
      </c>
      <c r="D520" s="38" t="str">
        <f>_xlfn.XLOOKUP(C520,Analysis_Gadgets!$C:$C,Analysis_Gadgets!$B:$B)</f>
        <v>Gadget</v>
      </c>
      <c r="E520" s="43">
        <v>2266</v>
      </c>
      <c r="F520" s="43">
        <f>_xlfn.XLOOKUP(A520,Class_Players!A:A,Class_Players!G:G)</f>
        <v>354</v>
      </c>
      <c r="G520" s="43">
        <f t="shared" si="115"/>
        <v>6.4011299435028253</v>
      </c>
      <c r="H520" s="43">
        <f>_xlfn.XLOOKUP(A520,Class_Players!$A:$A,Class_Players!$F:$F,"")</f>
        <v>11647</v>
      </c>
      <c r="I520" s="44">
        <f t="shared" si="116"/>
        <v>0.19455653816433416</v>
      </c>
      <c r="J520" s="43">
        <f t="shared" si="117"/>
        <v>1</v>
      </c>
      <c r="K520" s="44" cm="1">
        <f t="array" ref="K520">IF(D520="Gadget",_xlfn.IFS(I520&gt;=0.2,0.5,I520&gt;=0.1,0.35,I520&gt;=0.05,0.2,TRUE,0),IF(D520="Grenade",_xlfn.IFS(I520&gt;=0.2,1,I520&gt;=0.1,0.7,I520&gt;=0.05,0.4,TRUE,0),0))</f>
        <v>0.35</v>
      </c>
      <c r="L520" s="57">
        <f t="shared" si="130"/>
        <v>0.63636363636363624</v>
      </c>
    </row>
    <row r="521" spans="1:12" ht="15" customHeight="1" x14ac:dyDescent="0.25">
      <c r="A521" s="42" t="str" cm="1">
        <f t="array" ref="A521">IFERROR(INDEX(_xlfn._xlws.FILTER(Class_Players!A:A,Class_Players!B:B="Support"),QUOTIENT(ROW()-ROW($A$2),9)+1),"")</f>
        <v>OnE-N-OnLy-GREEN</v>
      </c>
      <c r="B521" s="42" t="str">
        <f>_xlfn.XLOOKUP(A521,Class_Players!$A:$A,Class_Players!$B:$B,"")</f>
        <v>Support</v>
      </c>
      <c r="C521" s="38" t="str" cm="1">
        <f t="array" ref="C521">INDEX(Lookups!$D$2:$D$10,MOD(ROW()-ROW($B$2),ROWS(Lookups!$D$2:$D$10))+1)</f>
        <v>Supply Pouch</v>
      </c>
      <c r="D521" s="38" t="str">
        <f>_xlfn.XLOOKUP(C521,Analysis_Gadgets!$C:$C,Analysis_Gadgets!$B:$B)</f>
        <v>Gadget</v>
      </c>
      <c r="E521" s="43">
        <v>75</v>
      </c>
      <c r="F521" s="43">
        <f>_xlfn.XLOOKUP(A521,Class_Players!A:A,Class_Players!G:G)</f>
        <v>354</v>
      </c>
      <c r="G521" s="43">
        <f t="shared" si="115"/>
        <v>0.21186440677966101</v>
      </c>
      <c r="H521" s="43">
        <f>_xlfn.XLOOKUP(A521,Class_Players!$A:$A,Class_Players!$F:$F,"")</f>
        <v>11647</v>
      </c>
      <c r="I521" s="44">
        <f t="shared" si="116"/>
        <v>6.4394264617498066E-3</v>
      </c>
      <c r="J521" s="43">
        <f t="shared" si="117"/>
        <v>0</v>
      </c>
      <c r="K521" s="44" cm="1">
        <f t="array" ref="K521">IF(D521="Gadget",_xlfn.IFS(I521&gt;=0.2,0.5,I521&gt;=0.1,0.35,I521&gt;=0.05,0.2,TRUE,0),IF(D521="Grenade",_xlfn.IFS(I521&gt;=0.2,1,I521&gt;=0.1,0.7,I521&gt;=0.05,0.4,TRUE,0),0))</f>
        <v>0</v>
      </c>
      <c r="L521" s="57">
        <f t="shared" si="130"/>
        <v>0</v>
      </c>
    </row>
    <row r="522" spans="1:12" ht="15" customHeight="1" x14ac:dyDescent="0.25">
      <c r="A522" s="42" t="str" cm="1">
        <f t="array" ref="A522">IFERROR(INDEX(_xlfn._xlws.FILTER(Class_Players!A:A,Class_Players!B:B="Support"),QUOTIENT(ROW()-ROW($A$2),9)+1),"")</f>
        <v>OnE-N-OnLy-GREEN</v>
      </c>
      <c r="B522" s="42" t="str">
        <f>_xlfn.XLOOKUP(A522,Class_Players!$A:$A,Class_Players!$B:$B,"")</f>
        <v>Support</v>
      </c>
      <c r="C522" s="38" t="str" cm="1">
        <f t="array" ref="C522">INDEX(Lookups!$D$2:$D$10,MOD(ROW()-ROW($B$2),ROWS(Lookups!$D$2:$D$10))+1)</f>
        <v>Smoke Grenade</v>
      </c>
      <c r="D522" s="38" t="str">
        <f>_xlfn.XLOOKUP(C522,Analysis_Gadgets!$C:$C,Analysis_Gadgets!$B:$B)</f>
        <v>Grenade</v>
      </c>
      <c r="E522" s="43">
        <v>1301</v>
      </c>
      <c r="F522" s="43">
        <f>_xlfn.XLOOKUP(A522,Class_Players!A:A,Class_Players!G:G)</f>
        <v>354</v>
      </c>
      <c r="G522" s="43">
        <f t="shared" si="115"/>
        <v>3.6751412429378529</v>
      </c>
      <c r="H522" s="43">
        <f>_xlfn.XLOOKUP(A522,Class_Players!$A:$A,Class_Players!$F:$F,"")</f>
        <v>11647</v>
      </c>
      <c r="I522" s="44">
        <f t="shared" si="116"/>
        <v>0.11170258435648665</v>
      </c>
      <c r="J522" s="43">
        <f t="shared" si="117"/>
        <v>1</v>
      </c>
      <c r="K522" s="44" cm="1">
        <f t="array" ref="K522">IF(D522="Gadget",_xlfn.IFS(I522&gt;=0.2,0.5,I522&gt;=0.1,0.35,I522&gt;=0.05,0.2,TRUE,0),IF(D522="Grenade",_xlfn.IFS(I522&gt;=0.2,1,I522&gt;=0.1,0.7,I522&gt;=0.05,0.4,TRUE,0),0))</f>
        <v>0.7</v>
      </c>
      <c r="L522" s="57">
        <f t="shared" ref="L522:L523" si="131">IF($K522=0,0,$K522 / SUMIFS($K:$K,$A:$A,$A522,$D:$D,"Grenade"))</f>
        <v>0.63636363636363624</v>
      </c>
    </row>
    <row r="523" spans="1:12" ht="15" customHeight="1" x14ac:dyDescent="0.25">
      <c r="A523" s="42" t="str" cm="1">
        <f t="array" ref="A523">IFERROR(INDEX(_xlfn._xlws.FILTER(Class_Players!A:A,Class_Players!B:B="Support"),QUOTIENT(ROW()-ROW($A$2),9)+1),"")</f>
        <v>OnE-N-OnLy-GREEN</v>
      </c>
      <c r="B523" s="42" t="str">
        <f>_xlfn.XLOOKUP(A523,Class_Players!$A:$A,Class_Players!$B:$B,"")</f>
        <v>Support</v>
      </c>
      <c r="C523" s="38" t="str" cm="1">
        <f t="array" ref="C523">INDEX(Lookups!$D$2:$D$10,MOD(ROW()-ROW($B$2),ROWS(Lookups!$D$2:$D$10))+1)</f>
        <v>Incendiary Grenade</v>
      </c>
      <c r="D523" s="38" t="str">
        <f>_xlfn.XLOOKUP(C523,Analysis_Gadgets!$C:$C,Analysis_Gadgets!$B:$B)</f>
        <v>Grenade</v>
      </c>
      <c r="E523" s="43">
        <v>668</v>
      </c>
      <c r="F523" s="43">
        <f>_xlfn.XLOOKUP(A523,Class_Players!A:A,Class_Players!G:G)</f>
        <v>354</v>
      </c>
      <c r="G523" s="43">
        <f t="shared" si="115"/>
        <v>1.8870056497175141</v>
      </c>
      <c r="H523" s="43">
        <f>_xlfn.XLOOKUP(A523,Class_Players!$A:$A,Class_Players!$F:$F,"")</f>
        <v>11647</v>
      </c>
      <c r="I523" s="44">
        <f t="shared" si="116"/>
        <v>5.735382501931828E-2</v>
      </c>
      <c r="J523" s="43">
        <f t="shared" si="117"/>
        <v>0</v>
      </c>
      <c r="K523" s="44" cm="1">
        <f t="array" ref="K523">IF(D523="Gadget",_xlfn.IFS(I523&gt;=0.2,0.5,I523&gt;=0.1,0.35,I523&gt;=0.05,0.2,TRUE,0),IF(D523="Grenade",_xlfn.IFS(I523&gt;=0.2,1,I523&gt;=0.1,0.7,I523&gt;=0.05,0.4,TRUE,0),0))</f>
        <v>0.4</v>
      </c>
      <c r="L523" s="57">
        <f t="shared" si="131"/>
        <v>0.36363636363636365</v>
      </c>
    </row>
    <row r="524" spans="1:12" ht="15" customHeight="1" x14ac:dyDescent="0.25">
      <c r="A524" s="42" t="str" cm="1">
        <f t="array" ref="A524">IFERROR(INDEX(_xlfn._xlws.FILTER(Class_Players!A:A,Class_Players!B:B="Support"),QUOTIENT(ROW()-ROW($A$2),9)+1),"")</f>
        <v>macdo12</v>
      </c>
      <c r="B524" s="42" t="str">
        <f>_xlfn.XLOOKUP(A524,Class_Players!$A:$A,Class_Players!$B:$B,"")</f>
        <v>Support</v>
      </c>
      <c r="C524" s="38" t="str" cm="1">
        <f t="array" ref="C524">INDEX(Lookups!$D$2:$D$10,MOD(ROW()-ROW($B$2),ROWS(Lookups!$D$2:$D$10))+1)</f>
        <v>GPDIS (Grenade intercept system)</v>
      </c>
      <c r="D524" s="38" t="str">
        <f>_xlfn.XLOOKUP(C524,Analysis_Gadgets!$C:$C,Analysis_Gadgets!$B:$B)</f>
        <v>Gadget</v>
      </c>
      <c r="E524" s="43">
        <v>47</v>
      </c>
      <c r="F524" s="43">
        <f>_xlfn.XLOOKUP(A524,Class_Players!A:A,Class_Players!G:G)</f>
        <v>206</v>
      </c>
      <c r="G524" s="43">
        <f t="shared" si="115"/>
        <v>0.22815533980582525</v>
      </c>
      <c r="H524" s="43">
        <f>_xlfn.XLOOKUP(A524,Class_Players!$A:$A,Class_Players!$F:$F,"")</f>
        <v>11561</v>
      </c>
      <c r="I524" s="44">
        <f t="shared" si="116"/>
        <v>4.0653922671049217E-3</v>
      </c>
      <c r="J524" s="43">
        <f t="shared" si="117"/>
        <v>0</v>
      </c>
      <c r="K524" s="44" cm="1">
        <f t="array" ref="K524">IF(D524="Gadget",_xlfn.IFS(I524&gt;=0.2,0.5,I524&gt;=0.1,0.35,I524&gt;=0.05,0.2,TRUE,0),IF(D524="Grenade",_xlfn.IFS(I524&gt;=0.2,1,I524&gt;=0.1,0.7,I524&gt;=0.05,0.4,TRUE,0),0))</f>
        <v>0</v>
      </c>
      <c r="L524" s="57">
        <f t="shared" ref="L524:L530" si="132">IF($K524=0,0,$K524 / SUMIFS($K:$K,$A:$A,$A524,$D:$D,"Gadget"))</f>
        <v>0</v>
      </c>
    </row>
    <row r="525" spans="1:12" ht="15" customHeight="1" x14ac:dyDescent="0.25">
      <c r="A525" s="42" t="str" cm="1">
        <f t="array" ref="A525">IFERROR(INDEX(_xlfn._xlws.FILTER(Class_Players!A:A,Class_Players!B:B="Support"),QUOTIENT(ROW()-ROW($A$2),9)+1),"")</f>
        <v>macdo12</v>
      </c>
      <c r="B525" s="42" t="str">
        <f>_xlfn.XLOOKUP(A525,Class_Players!$A:$A,Class_Players!$B:$B,"")</f>
        <v>Support</v>
      </c>
      <c r="C525" s="38" t="str" cm="1">
        <f t="array" ref="C525">INDEX(Lookups!$D$2:$D$10,MOD(ROW()-ROW($B$2),ROWS(Lookups!$D$2:$D$10))+1)</f>
        <v>MP-APS (Missile intercept system)</v>
      </c>
      <c r="D525" s="38" t="str">
        <f>_xlfn.XLOOKUP(C525,Analysis_Gadgets!$C:$C,Analysis_Gadgets!$B:$B)</f>
        <v>Gadget</v>
      </c>
      <c r="E525" s="43">
        <v>0</v>
      </c>
      <c r="F525" s="43">
        <f>_xlfn.XLOOKUP(A525,Class_Players!A:A,Class_Players!G:G)</f>
        <v>206</v>
      </c>
      <c r="G525" s="43">
        <f t="shared" ref="G525:G541" si="133">IF(F525=0,"",E525/(F525))</f>
        <v>0</v>
      </c>
      <c r="H525" s="43">
        <f>_xlfn.XLOOKUP(A525,Class_Players!$A:$A,Class_Players!$F:$F,"")</f>
        <v>11561</v>
      </c>
      <c r="I525" s="44">
        <f t="shared" ref="I525:I541" si="134">IF(H525=0,"",E525/H525)</f>
        <v>0</v>
      </c>
      <c r="J525" s="43">
        <f t="shared" ref="J525:J541" si="135">IF(I525&gt;=0.1,1,0)</f>
        <v>0</v>
      </c>
      <c r="K525" s="44" cm="1">
        <f t="array" ref="K525">IF(D525="Gadget",_xlfn.IFS(I525&gt;=0.2,0.5,I525&gt;=0.1,0.35,I525&gt;=0.05,0.2,TRUE,0),IF(D525="Grenade",_xlfn.IFS(I525&gt;=0.2,1,I525&gt;=0.1,0.7,I525&gt;=0.05,0.4,TRUE,0),0))</f>
        <v>0</v>
      </c>
      <c r="L525" s="57">
        <f t="shared" si="132"/>
        <v>0</v>
      </c>
    </row>
    <row r="526" spans="1:12" ht="15" customHeight="1" x14ac:dyDescent="0.25">
      <c r="A526" s="42" t="str" cm="1">
        <f t="array" ref="A526">IFERROR(INDEX(_xlfn._xlws.FILTER(Class_Players!A:A,Class_Players!B:B="Support"),QUOTIENT(ROW()-ROW($A$2),9)+1),"")</f>
        <v>macdo12</v>
      </c>
      <c r="B526" s="42" t="str">
        <f>_xlfn.XLOOKUP(A526,Class_Players!$A:$A,Class_Players!$B:$B,"")</f>
        <v>Support</v>
      </c>
      <c r="C526" s="38" t="str" cm="1">
        <f t="array" ref="C526">INDEX(Lookups!$D$2:$D$10,MOD(ROW()-ROW($B$2),ROWS(Lookups!$D$2:$D$10))+1)</f>
        <v>LWCMS (Mortar)</v>
      </c>
      <c r="D526" s="38" t="str">
        <f>_xlfn.XLOOKUP(C526,Analysis_Gadgets!$C:$C,Analysis_Gadgets!$B:$B)</f>
        <v>Gadget</v>
      </c>
      <c r="E526" s="43">
        <v>0</v>
      </c>
      <c r="F526" s="43">
        <f>_xlfn.XLOOKUP(A526,Class_Players!A:A,Class_Players!G:G)</f>
        <v>206</v>
      </c>
      <c r="G526" s="43">
        <f t="shared" si="133"/>
        <v>0</v>
      </c>
      <c r="H526" s="43">
        <f>_xlfn.XLOOKUP(A526,Class_Players!$A:$A,Class_Players!$F:$F,"")</f>
        <v>11561</v>
      </c>
      <c r="I526" s="44">
        <f t="shared" si="134"/>
        <v>0</v>
      </c>
      <c r="J526" s="43">
        <f t="shared" si="135"/>
        <v>0</v>
      </c>
      <c r="K526" s="44" cm="1">
        <f t="array" ref="K526">IF(D526="Gadget",_xlfn.IFS(I526&gt;=0.2,0.5,I526&gt;=0.1,0.35,I526&gt;=0.05,0.2,TRUE,0),IF(D526="Grenade",_xlfn.IFS(I526&gt;=0.2,1,I526&gt;=0.1,0.7,I526&gt;=0.05,0.4,TRUE,0),0))</f>
        <v>0</v>
      </c>
      <c r="L526" s="57">
        <f t="shared" si="132"/>
        <v>0</v>
      </c>
    </row>
    <row r="527" spans="1:12" ht="15" customHeight="1" x14ac:dyDescent="0.25">
      <c r="A527" s="42" t="str" cm="1">
        <f t="array" ref="A527">IFERROR(INDEX(_xlfn._xlws.FILTER(Class_Players!A:A,Class_Players!B:B="Support"),QUOTIENT(ROW()-ROW($A$2),9)+1),"")</f>
        <v>macdo12</v>
      </c>
      <c r="B527" s="42" t="str">
        <f>_xlfn.XLOOKUP(A527,Class_Players!$A:$A,Class_Players!$B:$B,"")</f>
        <v>Support</v>
      </c>
      <c r="C527" s="38" t="str" cm="1">
        <f t="array" ref="C527">INDEX(Lookups!$D$2:$D$10,MOD(ROW()-ROW($B$2),ROWS(Lookups!$D$2:$D$10))+1)</f>
        <v>M320A1 SMK (Smoke Grenade Launcher)</v>
      </c>
      <c r="D527" s="38" t="str">
        <f>_xlfn.XLOOKUP(C527,Analysis_Gadgets!$C:$C,Analysis_Gadgets!$B:$B)</f>
        <v>Gadget</v>
      </c>
      <c r="E527" s="43">
        <v>546</v>
      </c>
      <c r="F527" s="43">
        <f>_xlfn.XLOOKUP(A527,Class_Players!A:A,Class_Players!G:G)</f>
        <v>206</v>
      </c>
      <c r="G527" s="43">
        <f t="shared" si="133"/>
        <v>2.650485436893204</v>
      </c>
      <c r="H527" s="43">
        <f>_xlfn.XLOOKUP(A527,Class_Players!$A:$A,Class_Players!$F:$F,"")</f>
        <v>11561</v>
      </c>
      <c r="I527" s="44">
        <f t="shared" si="134"/>
        <v>4.7227748464665688E-2</v>
      </c>
      <c r="J527" s="43">
        <f t="shared" si="135"/>
        <v>0</v>
      </c>
      <c r="K527" s="44" cm="1">
        <f t="array" ref="K527">IF(D527="Gadget",_xlfn.IFS(I527&gt;=0.2,0.5,I527&gt;=0.1,0.35,I527&gt;=0.05,0.2,TRUE,0),IF(D527="Grenade",_xlfn.IFS(I527&gt;=0.2,1,I527&gt;=0.1,0.7,I527&gt;=0.05,0.4,TRUE,0),0))</f>
        <v>0</v>
      </c>
      <c r="L527" s="57">
        <f t="shared" si="132"/>
        <v>0</v>
      </c>
    </row>
    <row r="528" spans="1:12" ht="15" customHeight="1" x14ac:dyDescent="0.25">
      <c r="A528" s="42" t="str" cm="1">
        <f t="array" ref="A528">IFERROR(INDEX(_xlfn._xlws.FILTER(Class_Players!A:A,Class_Players!B:B="Support"),QUOTIENT(ROW()-ROW($A$2),9)+1),"")</f>
        <v>macdo12</v>
      </c>
      <c r="B528" s="42" t="str">
        <f>_xlfn.XLOOKUP(A528,Class_Players!$A:$A,Class_Players!$B:$B,"")</f>
        <v>Support</v>
      </c>
      <c r="C528" s="38" t="str" cm="1">
        <f t="array" ref="C528">INDEX(Lookups!$D$2:$D$10,MOD(ROW()-ROW($B$2),ROWS(Lookups!$D$2:$D$10))+1)</f>
        <v>SICH G1 WP (Incendiary Airburst Launcher)</v>
      </c>
      <c r="D528" s="38" t="str">
        <f>_xlfn.XLOOKUP(C528,Analysis_Gadgets!$C:$C,Analysis_Gadgets!$B:$B)</f>
        <v>Gadget</v>
      </c>
      <c r="E528" s="43">
        <v>48</v>
      </c>
      <c r="F528" s="43">
        <f>_xlfn.XLOOKUP(A528,Class_Players!A:A,Class_Players!G:G)</f>
        <v>206</v>
      </c>
      <c r="G528" s="43">
        <f t="shared" si="133"/>
        <v>0.23300970873786409</v>
      </c>
      <c r="H528" s="43">
        <f>_xlfn.XLOOKUP(A528,Class_Players!$A:$A,Class_Players!$F:$F,"")</f>
        <v>11561</v>
      </c>
      <c r="I528" s="44">
        <f t="shared" si="134"/>
        <v>4.1518899749156644E-3</v>
      </c>
      <c r="J528" s="43">
        <f t="shared" si="135"/>
        <v>0</v>
      </c>
      <c r="K528" s="44" cm="1">
        <f t="array" ref="K528">IF(D528="Gadget",_xlfn.IFS(I528&gt;=0.2,0.5,I528&gt;=0.1,0.35,I528&gt;=0.05,0.2,TRUE,0),IF(D528="Grenade",_xlfn.IFS(I528&gt;=0.2,1,I528&gt;=0.1,0.7,I528&gt;=0.05,0.4,TRUE,0),0))</f>
        <v>0</v>
      </c>
      <c r="L528" s="57">
        <f t="shared" si="132"/>
        <v>0</v>
      </c>
    </row>
    <row r="529" spans="1:12" ht="15" customHeight="1" x14ac:dyDescent="0.25">
      <c r="A529" s="42" t="str" cm="1">
        <f t="array" ref="A529">IFERROR(INDEX(_xlfn._xlws.FILTER(Class_Players!A:A,Class_Players!B:B="Support"),QUOTIENT(ROW()-ROW($A$2),9)+1),"")</f>
        <v>macdo12</v>
      </c>
      <c r="B529" s="42" t="str">
        <f>_xlfn.XLOOKUP(A529,Class_Players!$A:$A,Class_Players!$B:$B,"")</f>
        <v>Support</v>
      </c>
      <c r="C529" s="38" t="str" cm="1">
        <f t="array" ref="C529">INDEX(Lookups!$D$2:$D$10,MOD(ROW()-ROW($B$2),ROWS(Lookups!$D$2:$D$10))+1)</f>
        <v>Deployable Cover</v>
      </c>
      <c r="D529" s="38" t="str">
        <f>_xlfn.XLOOKUP(C529,Analysis_Gadgets!$C:$C,Analysis_Gadgets!$B:$B)</f>
        <v>Gadget</v>
      </c>
      <c r="E529" s="43">
        <v>637</v>
      </c>
      <c r="F529" s="43">
        <f>_xlfn.XLOOKUP(A529,Class_Players!A:A,Class_Players!G:G)</f>
        <v>206</v>
      </c>
      <c r="G529" s="43">
        <f t="shared" si="133"/>
        <v>3.092233009708738</v>
      </c>
      <c r="H529" s="43">
        <f>_xlfn.XLOOKUP(A529,Class_Players!$A:$A,Class_Players!$F:$F,"")</f>
        <v>11561</v>
      </c>
      <c r="I529" s="44">
        <f t="shared" si="134"/>
        <v>5.5099039875443304E-2</v>
      </c>
      <c r="J529" s="43">
        <f t="shared" si="135"/>
        <v>0</v>
      </c>
      <c r="K529" s="44" cm="1">
        <f t="array" ref="K529">IF(D529="Gadget",_xlfn.IFS(I529&gt;=0.2,0.5,I529&gt;=0.1,0.35,I529&gt;=0.05,0.2,TRUE,0),IF(D529="Grenade",_xlfn.IFS(I529&gt;=0.2,1,I529&gt;=0.1,0.7,I529&gt;=0.05,0.4,TRUE,0),0))</f>
        <v>0.2</v>
      </c>
      <c r="L529" s="57">
        <f t="shared" si="132"/>
        <v>1</v>
      </c>
    </row>
    <row r="530" spans="1:12" ht="15" customHeight="1" x14ac:dyDescent="0.25">
      <c r="A530" s="42" t="str" cm="1">
        <f t="array" ref="A530">IFERROR(INDEX(_xlfn._xlws.FILTER(Class_Players!A:A,Class_Players!B:B="Support"),QUOTIENT(ROW()-ROW($A$2),9)+1),"")</f>
        <v>macdo12</v>
      </c>
      <c r="B530" s="42" t="str">
        <f>_xlfn.XLOOKUP(A530,Class_Players!$A:$A,Class_Players!$B:$B,"")</f>
        <v>Support</v>
      </c>
      <c r="C530" s="38" t="str" cm="1">
        <f t="array" ref="C530">INDEX(Lookups!$D$2:$D$10,MOD(ROW()-ROW($B$2),ROWS(Lookups!$D$2:$D$10))+1)</f>
        <v>Supply Pouch</v>
      </c>
      <c r="D530" s="38" t="str">
        <f>_xlfn.XLOOKUP(C530,Analysis_Gadgets!$C:$C,Analysis_Gadgets!$B:$B)</f>
        <v>Gadget</v>
      </c>
      <c r="E530" s="43">
        <v>17</v>
      </c>
      <c r="F530" s="43">
        <f>_xlfn.XLOOKUP(A530,Class_Players!A:A,Class_Players!G:G)</f>
        <v>206</v>
      </c>
      <c r="G530" s="43">
        <f t="shared" si="133"/>
        <v>8.2524271844660199E-2</v>
      </c>
      <c r="H530" s="43">
        <f>_xlfn.XLOOKUP(A530,Class_Players!$A:$A,Class_Players!$F:$F,"")</f>
        <v>11561</v>
      </c>
      <c r="I530" s="44">
        <f t="shared" si="134"/>
        <v>1.4704610327826312E-3</v>
      </c>
      <c r="J530" s="43">
        <f t="shared" si="135"/>
        <v>0</v>
      </c>
      <c r="K530" s="44" cm="1">
        <f t="array" ref="K530">IF(D530="Gadget",_xlfn.IFS(I530&gt;=0.2,0.5,I530&gt;=0.1,0.35,I530&gt;=0.05,0.2,TRUE,0),IF(D530="Grenade",_xlfn.IFS(I530&gt;=0.2,1,I530&gt;=0.1,0.7,I530&gt;=0.05,0.4,TRUE,0),0))</f>
        <v>0</v>
      </c>
      <c r="L530" s="57">
        <f t="shared" si="132"/>
        <v>0</v>
      </c>
    </row>
    <row r="531" spans="1:12" ht="15" customHeight="1" x14ac:dyDescent="0.25">
      <c r="A531" s="42" t="str" cm="1">
        <f t="array" ref="A531">IFERROR(INDEX(_xlfn._xlws.FILTER(Class_Players!A:A,Class_Players!B:B="Support"),QUOTIENT(ROW()-ROW($A$2),9)+1),"")</f>
        <v>macdo12</v>
      </c>
      <c r="B531" s="42" t="str">
        <f>_xlfn.XLOOKUP(A531,Class_Players!$A:$A,Class_Players!$B:$B,"")</f>
        <v>Support</v>
      </c>
      <c r="C531" s="38" t="str" cm="1">
        <f t="array" ref="C531">INDEX(Lookups!$D$2:$D$10,MOD(ROW()-ROW($B$2),ROWS(Lookups!$D$2:$D$10))+1)</f>
        <v>Smoke Grenade</v>
      </c>
      <c r="D531" s="38" t="str">
        <f>_xlfn.XLOOKUP(C531,Analysis_Gadgets!$C:$C,Analysis_Gadgets!$B:$B)</f>
        <v>Grenade</v>
      </c>
      <c r="E531" s="43">
        <v>99</v>
      </c>
      <c r="F531" s="43">
        <f>_xlfn.XLOOKUP(A531,Class_Players!A:A,Class_Players!G:G)</f>
        <v>206</v>
      </c>
      <c r="G531" s="43">
        <f t="shared" si="133"/>
        <v>0.48058252427184467</v>
      </c>
      <c r="H531" s="43">
        <f>_xlfn.XLOOKUP(A531,Class_Players!$A:$A,Class_Players!$F:$F,"")</f>
        <v>11561</v>
      </c>
      <c r="I531" s="44">
        <f t="shared" si="134"/>
        <v>8.5632730732635581E-3</v>
      </c>
      <c r="J531" s="43">
        <f t="shared" si="135"/>
        <v>0</v>
      </c>
      <c r="K531" s="44" cm="1">
        <f t="array" ref="K531">IF(D531="Gadget",_xlfn.IFS(I531&gt;=0.2,0.5,I531&gt;=0.1,0.35,I531&gt;=0.05,0.2,TRUE,0),IF(D531="Grenade",_xlfn.IFS(I531&gt;=0.2,1,I531&gt;=0.1,0.7,I531&gt;=0.05,0.4,TRUE,0),0))</f>
        <v>0</v>
      </c>
      <c r="L531" s="57">
        <f t="shared" ref="L531:L532" si="136">IF($K531=0,0,$K531 / SUMIFS($K:$K,$A:$A,$A531,$D:$D,"Grenade"))</f>
        <v>0</v>
      </c>
    </row>
    <row r="532" spans="1:12" ht="15" customHeight="1" x14ac:dyDescent="0.25">
      <c r="A532" s="42" t="str" cm="1">
        <f t="array" ref="A532">IFERROR(INDEX(_xlfn._xlws.FILTER(Class_Players!A:A,Class_Players!B:B="Support"),QUOTIENT(ROW()-ROW($A$2),9)+1),"")</f>
        <v>macdo12</v>
      </c>
      <c r="B532" s="42" t="str">
        <f>_xlfn.XLOOKUP(A532,Class_Players!$A:$A,Class_Players!$B:$B,"")</f>
        <v>Support</v>
      </c>
      <c r="C532" s="38" t="str" cm="1">
        <f t="array" ref="C532">INDEX(Lookups!$D$2:$D$10,MOD(ROW()-ROW($B$2),ROWS(Lookups!$D$2:$D$10))+1)</f>
        <v>Incendiary Grenade</v>
      </c>
      <c r="D532" s="38" t="str">
        <f>_xlfn.XLOOKUP(C532,Analysis_Gadgets!$C:$C,Analysis_Gadgets!$B:$B)</f>
        <v>Grenade</v>
      </c>
      <c r="E532" s="43">
        <v>1461</v>
      </c>
      <c r="F532" s="43">
        <f>_xlfn.XLOOKUP(A532,Class_Players!A:A,Class_Players!G:G)</f>
        <v>206</v>
      </c>
      <c r="G532" s="43">
        <f t="shared" si="133"/>
        <v>7.092233009708738</v>
      </c>
      <c r="H532" s="43">
        <f>_xlfn.XLOOKUP(A532,Class_Players!$A:$A,Class_Players!$F:$F,"")</f>
        <v>11561</v>
      </c>
      <c r="I532" s="44">
        <f t="shared" si="134"/>
        <v>0.12637315111149555</v>
      </c>
      <c r="J532" s="43">
        <f t="shared" si="135"/>
        <v>1</v>
      </c>
      <c r="K532" s="44" cm="1">
        <f t="array" ref="K532">IF(D532="Gadget",_xlfn.IFS(I532&gt;=0.2,0.5,I532&gt;=0.1,0.35,I532&gt;=0.05,0.2,TRUE,0),IF(D532="Grenade",_xlfn.IFS(I532&gt;=0.2,1,I532&gt;=0.1,0.7,I532&gt;=0.05,0.4,TRUE,0),0))</f>
        <v>0.7</v>
      </c>
      <c r="L532" s="57">
        <f t="shared" si="136"/>
        <v>1</v>
      </c>
    </row>
    <row r="533" spans="1:12" ht="15" customHeight="1" x14ac:dyDescent="0.25">
      <c r="A533" s="42" t="str" cm="1">
        <f t="array" ref="A533">IFERROR(INDEX(_xlfn._xlws.FILTER(Class_Players!A:A,Class_Players!B:B="Support"),QUOTIENT(ROW()-ROW($A$2),9)+1),"")</f>
        <v>VII-PHASZR</v>
      </c>
      <c r="B533" s="42" t="str">
        <f>_xlfn.XLOOKUP(A533,Class_Players!$A:$A,Class_Players!$B:$B,"")</f>
        <v>Support</v>
      </c>
      <c r="C533" s="38" t="str" cm="1">
        <f t="array" ref="C533">INDEX(Lookups!$D$2:$D$10,MOD(ROW()-ROW($B$2),ROWS(Lookups!$D$2:$D$10))+1)</f>
        <v>GPDIS (Grenade intercept system)</v>
      </c>
      <c r="D533" s="38" t="str">
        <f>_xlfn.XLOOKUP(C533,Analysis_Gadgets!$C:$C,Analysis_Gadgets!$B:$B)</f>
        <v>Gadget</v>
      </c>
      <c r="E533" s="43">
        <v>1450</v>
      </c>
      <c r="F533" s="43">
        <f>_xlfn.XLOOKUP(A533,Class_Players!A:A,Class_Players!G:G)</f>
        <v>409</v>
      </c>
      <c r="G533" s="43">
        <f t="shared" si="133"/>
        <v>3.5452322738386308</v>
      </c>
      <c r="H533" s="43">
        <f>_xlfn.XLOOKUP(A533,Class_Players!$A:$A,Class_Players!$F:$F,"")</f>
        <v>11417</v>
      </c>
      <c r="I533" s="44">
        <f t="shared" si="134"/>
        <v>0.12700359113602522</v>
      </c>
      <c r="J533" s="43">
        <f t="shared" si="135"/>
        <v>1</v>
      </c>
      <c r="K533" s="44" cm="1">
        <f t="array" ref="K533">IF(D533="Gadget",_xlfn.IFS(I533&gt;=0.2,0.5,I533&gt;=0.1,0.35,I533&gt;=0.05,0.2,TRUE,0),IF(D533="Grenade",_xlfn.IFS(I533&gt;=0.2,1,I533&gt;=0.1,0.7,I533&gt;=0.05,0.4,TRUE,0),0))</f>
        <v>0.35</v>
      </c>
      <c r="L533" s="57">
        <f t="shared" ref="L533:L539" si="137">IF($K533=0,0,$K533 / SUMIFS($K:$K,$A:$A,$A533,$D:$D,"Gadget"))</f>
        <v>0.29166666666666669</v>
      </c>
    </row>
    <row r="534" spans="1:12" ht="15" customHeight="1" x14ac:dyDescent="0.25">
      <c r="A534" s="42" t="str" cm="1">
        <f t="array" ref="A534">IFERROR(INDEX(_xlfn._xlws.FILTER(Class_Players!A:A,Class_Players!B:B="Support"),QUOTIENT(ROW()-ROW($A$2),9)+1),"")</f>
        <v>VII-PHASZR</v>
      </c>
      <c r="B534" s="42" t="str">
        <f>_xlfn.XLOOKUP(A534,Class_Players!$A:$A,Class_Players!$B:$B,"")</f>
        <v>Support</v>
      </c>
      <c r="C534" s="38" t="str" cm="1">
        <f t="array" ref="C534">INDEX(Lookups!$D$2:$D$10,MOD(ROW()-ROW($B$2),ROWS(Lookups!$D$2:$D$10))+1)</f>
        <v>MP-APS (Missile intercept system)</v>
      </c>
      <c r="D534" s="38" t="str">
        <f>_xlfn.XLOOKUP(C534,Analysis_Gadgets!$C:$C,Analysis_Gadgets!$B:$B)</f>
        <v>Gadget</v>
      </c>
      <c r="E534" s="43">
        <v>0</v>
      </c>
      <c r="F534" s="43">
        <f>_xlfn.XLOOKUP(A534,Class_Players!A:A,Class_Players!G:G)</f>
        <v>409</v>
      </c>
      <c r="G534" s="43">
        <f t="shared" si="133"/>
        <v>0</v>
      </c>
      <c r="H534" s="43">
        <f>_xlfn.XLOOKUP(A534,Class_Players!$A:$A,Class_Players!$F:$F,"")</f>
        <v>11417</v>
      </c>
      <c r="I534" s="44">
        <f t="shared" si="134"/>
        <v>0</v>
      </c>
      <c r="J534" s="43">
        <f t="shared" si="135"/>
        <v>0</v>
      </c>
      <c r="K534" s="44" cm="1">
        <f t="array" ref="K534">IF(D534="Gadget",_xlfn.IFS(I534&gt;=0.2,0.5,I534&gt;=0.1,0.35,I534&gt;=0.05,0.2,TRUE,0),IF(D534="Grenade",_xlfn.IFS(I534&gt;=0.2,1,I534&gt;=0.1,0.7,I534&gt;=0.05,0.4,TRUE,0),0))</f>
        <v>0</v>
      </c>
      <c r="L534" s="57">
        <f t="shared" si="137"/>
        <v>0</v>
      </c>
    </row>
    <row r="535" spans="1:12" ht="15" customHeight="1" x14ac:dyDescent="0.25">
      <c r="A535" s="42" t="str" cm="1">
        <f t="array" ref="A535">IFERROR(INDEX(_xlfn._xlws.FILTER(Class_Players!A:A,Class_Players!B:B="Support"),QUOTIENT(ROW()-ROW($A$2),9)+1),"")</f>
        <v>VII-PHASZR</v>
      </c>
      <c r="B535" s="42" t="str">
        <f>_xlfn.XLOOKUP(A535,Class_Players!$A:$A,Class_Players!$B:$B,"")</f>
        <v>Support</v>
      </c>
      <c r="C535" s="38" t="str" cm="1">
        <f t="array" ref="C535">INDEX(Lookups!$D$2:$D$10,MOD(ROW()-ROW($B$2),ROWS(Lookups!$D$2:$D$10))+1)</f>
        <v>LWCMS (Mortar)</v>
      </c>
      <c r="D535" s="38" t="str">
        <f>_xlfn.XLOOKUP(C535,Analysis_Gadgets!$C:$C,Analysis_Gadgets!$B:$B)</f>
        <v>Gadget</v>
      </c>
      <c r="E535" s="43">
        <v>1</v>
      </c>
      <c r="F535" s="43">
        <f>_xlfn.XLOOKUP(A535,Class_Players!A:A,Class_Players!G:G)</f>
        <v>409</v>
      </c>
      <c r="G535" s="43">
        <f t="shared" si="133"/>
        <v>2.4449877750611247E-3</v>
      </c>
      <c r="H535" s="43">
        <f>_xlfn.XLOOKUP(A535,Class_Players!$A:$A,Class_Players!$F:$F,"")</f>
        <v>11417</v>
      </c>
      <c r="I535" s="44">
        <f t="shared" si="134"/>
        <v>8.7588683542086365E-5</v>
      </c>
      <c r="J535" s="43">
        <f t="shared" si="135"/>
        <v>0</v>
      </c>
      <c r="K535" s="44" cm="1">
        <f t="array" ref="K535">IF(D535="Gadget",_xlfn.IFS(I535&gt;=0.2,0.5,I535&gt;=0.1,0.35,I535&gt;=0.05,0.2,TRUE,0),IF(D535="Grenade",_xlfn.IFS(I535&gt;=0.2,1,I535&gt;=0.1,0.7,I535&gt;=0.05,0.4,TRUE,0),0))</f>
        <v>0</v>
      </c>
      <c r="L535" s="57">
        <f t="shared" si="137"/>
        <v>0</v>
      </c>
    </row>
    <row r="536" spans="1:12" ht="15" customHeight="1" x14ac:dyDescent="0.25">
      <c r="A536" s="42" t="str" cm="1">
        <f t="array" ref="A536">IFERROR(INDEX(_xlfn._xlws.FILTER(Class_Players!A:A,Class_Players!B:B="Support"),QUOTIENT(ROW()-ROW($A$2),9)+1),"")</f>
        <v>VII-PHASZR</v>
      </c>
      <c r="B536" s="42" t="str">
        <f>_xlfn.XLOOKUP(A536,Class_Players!$A:$A,Class_Players!$B:$B,"")</f>
        <v>Support</v>
      </c>
      <c r="C536" s="38" t="str" cm="1">
        <f t="array" ref="C536">INDEX(Lookups!$D$2:$D$10,MOD(ROW()-ROW($B$2),ROWS(Lookups!$D$2:$D$10))+1)</f>
        <v>M320A1 SMK (Smoke Grenade Launcher)</v>
      </c>
      <c r="D536" s="38" t="str">
        <f>_xlfn.XLOOKUP(C536,Analysis_Gadgets!$C:$C,Analysis_Gadgets!$B:$B)</f>
        <v>Gadget</v>
      </c>
      <c r="E536" s="43">
        <v>4</v>
      </c>
      <c r="F536" s="43">
        <f>_xlfn.XLOOKUP(A536,Class_Players!A:A,Class_Players!G:G)</f>
        <v>409</v>
      </c>
      <c r="G536" s="43">
        <f t="shared" si="133"/>
        <v>9.7799511002444987E-3</v>
      </c>
      <c r="H536" s="43">
        <f>_xlfn.XLOOKUP(A536,Class_Players!$A:$A,Class_Players!$F:$F,"")</f>
        <v>11417</v>
      </c>
      <c r="I536" s="44">
        <f t="shared" si="134"/>
        <v>3.5035473416834546E-4</v>
      </c>
      <c r="J536" s="43">
        <f t="shared" si="135"/>
        <v>0</v>
      </c>
      <c r="K536" s="44" cm="1">
        <f t="array" ref="K536">IF(D536="Gadget",_xlfn.IFS(I536&gt;=0.2,0.5,I536&gt;=0.1,0.35,I536&gt;=0.05,0.2,TRUE,0),IF(D536="Grenade",_xlfn.IFS(I536&gt;=0.2,1,I536&gt;=0.1,0.7,I536&gt;=0.05,0.4,TRUE,0),0))</f>
        <v>0</v>
      </c>
      <c r="L536" s="57">
        <f t="shared" si="137"/>
        <v>0</v>
      </c>
    </row>
    <row r="537" spans="1:12" ht="15" customHeight="1" x14ac:dyDescent="0.25">
      <c r="A537" s="42" t="str" cm="1">
        <f t="array" ref="A537">IFERROR(INDEX(_xlfn._xlws.FILTER(Class_Players!A:A,Class_Players!B:B="Support"),QUOTIENT(ROW()-ROW($A$2),9)+1),"")</f>
        <v>VII-PHASZR</v>
      </c>
      <c r="B537" s="42" t="str">
        <f>_xlfn.XLOOKUP(A537,Class_Players!$A:$A,Class_Players!$B:$B,"")</f>
        <v>Support</v>
      </c>
      <c r="C537" s="38" t="str" cm="1">
        <f t="array" ref="C537">INDEX(Lookups!$D$2:$D$10,MOD(ROW()-ROW($B$2),ROWS(Lookups!$D$2:$D$10))+1)</f>
        <v>SICH G1 WP (Incendiary Airburst Launcher)</v>
      </c>
      <c r="D537" s="38" t="str">
        <f>_xlfn.XLOOKUP(C537,Analysis_Gadgets!$C:$C,Analysis_Gadgets!$B:$B)</f>
        <v>Gadget</v>
      </c>
      <c r="E537" s="43">
        <v>6772</v>
      </c>
      <c r="F537" s="43">
        <f>_xlfn.XLOOKUP(A537,Class_Players!A:A,Class_Players!G:G)</f>
        <v>409</v>
      </c>
      <c r="G537" s="43">
        <f t="shared" si="133"/>
        <v>16.557457212713935</v>
      </c>
      <c r="H537" s="43">
        <f>_xlfn.XLOOKUP(A537,Class_Players!$A:$A,Class_Players!$F:$F,"")</f>
        <v>11417</v>
      </c>
      <c r="I537" s="44">
        <f t="shared" si="134"/>
        <v>0.5931505649470088</v>
      </c>
      <c r="J537" s="43">
        <f t="shared" si="135"/>
        <v>1</v>
      </c>
      <c r="K537" s="44" cm="1">
        <f t="array" ref="K537">IF(D537="Gadget",_xlfn.IFS(I537&gt;=0.2,0.5,I537&gt;=0.1,0.35,I537&gt;=0.05,0.2,TRUE,0),IF(D537="Grenade",_xlfn.IFS(I537&gt;=0.2,1,I537&gt;=0.1,0.7,I537&gt;=0.05,0.4,TRUE,0),0))</f>
        <v>0.5</v>
      </c>
      <c r="L537" s="57">
        <f t="shared" si="137"/>
        <v>0.41666666666666669</v>
      </c>
    </row>
    <row r="538" spans="1:12" ht="15" customHeight="1" x14ac:dyDescent="0.25">
      <c r="A538" s="42" t="str" cm="1">
        <f t="array" ref="A538">IFERROR(INDEX(_xlfn._xlws.FILTER(Class_Players!A:A,Class_Players!B:B="Support"),QUOTIENT(ROW()-ROW($A$2),9)+1),"")</f>
        <v>VII-PHASZR</v>
      </c>
      <c r="B538" s="42" t="str">
        <f>_xlfn.XLOOKUP(A538,Class_Players!$A:$A,Class_Players!$B:$B,"")</f>
        <v>Support</v>
      </c>
      <c r="C538" s="38" t="str" cm="1">
        <f t="array" ref="C538">INDEX(Lookups!$D$2:$D$10,MOD(ROW()-ROW($B$2),ROWS(Lookups!$D$2:$D$10))+1)</f>
        <v>Deployable Cover</v>
      </c>
      <c r="D538" s="38" t="str">
        <f>_xlfn.XLOOKUP(C538,Analysis_Gadgets!$C:$C,Analysis_Gadgets!$B:$B)</f>
        <v>Gadget</v>
      </c>
      <c r="E538" s="43">
        <v>1409</v>
      </c>
      <c r="F538" s="43">
        <f>_xlfn.XLOOKUP(A538,Class_Players!A:A,Class_Players!G:G)</f>
        <v>409</v>
      </c>
      <c r="G538" s="43">
        <f t="shared" si="133"/>
        <v>3.4449877750611249</v>
      </c>
      <c r="H538" s="43">
        <f>_xlfn.XLOOKUP(A538,Class_Players!$A:$A,Class_Players!$F:$F,"")</f>
        <v>11417</v>
      </c>
      <c r="I538" s="44">
        <f t="shared" si="134"/>
        <v>0.12341245511079968</v>
      </c>
      <c r="J538" s="43">
        <f t="shared" si="135"/>
        <v>1</v>
      </c>
      <c r="K538" s="44" cm="1">
        <f t="array" ref="K538">IF(D538="Gadget",_xlfn.IFS(I538&gt;=0.2,0.5,I538&gt;=0.1,0.35,I538&gt;=0.05,0.2,TRUE,0),IF(D538="Grenade",_xlfn.IFS(I538&gt;=0.2,1,I538&gt;=0.1,0.7,I538&gt;=0.05,0.4,TRUE,0),0))</f>
        <v>0.35</v>
      </c>
      <c r="L538" s="57">
        <f t="shared" si="137"/>
        <v>0.29166666666666669</v>
      </c>
    </row>
    <row r="539" spans="1:12" ht="15" customHeight="1" x14ac:dyDescent="0.25">
      <c r="A539" s="42" t="str" cm="1">
        <f t="array" ref="A539">IFERROR(INDEX(_xlfn._xlws.FILTER(Class_Players!A:A,Class_Players!B:B="Support"),QUOTIENT(ROW()-ROW($A$2),9)+1),"")</f>
        <v>VII-PHASZR</v>
      </c>
      <c r="B539" s="42" t="str">
        <f>_xlfn.XLOOKUP(A539,Class_Players!$A:$A,Class_Players!$B:$B,"")</f>
        <v>Support</v>
      </c>
      <c r="C539" s="38" t="str" cm="1">
        <f t="array" ref="C539">INDEX(Lookups!$D$2:$D$10,MOD(ROW()-ROW($B$2),ROWS(Lookups!$D$2:$D$10))+1)</f>
        <v>Supply Pouch</v>
      </c>
      <c r="D539" s="38" t="str">
        <f>_xlfn.XLOOKUP(C539,Analysis_Gadgets!$C:$C,Analysis_Gadgets!$B:$B)</f>
        <v>Gadget</v>
      </c>
      <c r="E539" s="43">
        <v>118</v>
      </c>
      <c r="F539" s="43">
        <f>_xlfn.XLOOKUP(A539,Class_Players!A:A,Class_Players!G:G)</f>
        <v>409</v>
      </c>
      <c r="G539" s="43">
        <f t="shared" si="133"/>
        <v>0.28850855745721271</v>
      </c>
      <c r="H539" s="43">
        <f>_xlfn.XLOOKUP(A539,Class_Players!$A:$A,Class_Players!$F:$F,"")</f>
        <v>11417</v>
      </c>
      <c r="I539" s="44">
        <f t="shared" si="134"/>
        <v>1.0335464657966191E-2</v>
      </c>
      <c r="J539" s="43">
        <f t="shared" si="135"/>
        <v>0</v>
      </c>
      <c r="K539" s="44" cm="1">
        <f t="array" ref="K539">IF(D539="Gadget",_xlfn.IFS(I539&gt;=0.2,0.5,I539&gt;=0.1,0.35,I539&gt;=0.05,0.2,TRUE,0),IF(D539="Grenade",_xlfn.IFS(I539&gt;=0.2,1,I539&gt;=0.1,0.7,I539&gt;=0.05,0.4,TRUE,0),0))</f>
        <v>0</v>
      </c>
      <c r="L539" s="57">
        <f t="shared" si="137"/>
        <v>0</v>
      </c>
    </row>
    <row r="540" spans="1:12" ht="15" customHeight="1" x14ac:dyDescent="0.25">
      <c r="A540" s="42" t="str" cm="1">
        <f t="array" ref="A540">IFERROR(INDEX(_xlfn._xlws.FILTER(Class_Players!A:A,Class_Players!B:B="Support"),QUOTIENT(ROW()-ROW($A$2),9)+1),"")</f>
        <v>VII-PHASZR</v>
      </c>
      <c r="B540" s="42" t="str">
        <f>_xlfn.XLOOKUP(A540,Class_Players!$A:$A,Class_Players!$B:$B,"")</f>
        <v>Support</v>
      </c>
      <c r="C540" s="38" t="str" cm="1">
        <f t="array" ref="C540">INDEX(Lookups!$D$2:$D$10,MOD(ROW()-ROW($B$2),ROWS(Lookups!$D$2:$D$10))+1)</f>
        <v>Smoke Grenade</v>
      </c>
      <c r="D540" s="38" t="str">
        <f>_xlfn.XLOOKUP(C540,Analysis_Gadgets!$C:$C,Analysis_Gadgets!$B:$B)</f>
        <v>Grenade</v>
      </c>
      <c r="E540" s="43">
        <v>16162</v>
      </c>
      <c r="F540" s="43">
        <f>_xlfn.XLOOKUP(A540,Class_Players!A:A,Class_Players!G:G)</f>
        <v>409</v>
      </c>
      <c r="G540" s="43">
        <f t="shared" si="133"/>
        <v>39.515892420537895</v>
      </c>
      <c r="H540" s="43">
        <f>_xlfn.XLOOKUP(A540,Class_Players!$A:$A,Class_Players!$F:$F,"")</f>
        <v>11417</v>
      </c>
      <c r="I540" s="44">
        <f t="shared" si="134"/>
        <v>1.4156083034071998</v>
      </c>
      <c r="J540" s="43">
        <f t="shared" si="135"/>
        <v>1</v>
      </c>
      <c r="K540" s="44" cm="1">
        <f t="array" ref="K540">IF(D540="Gadget",_xlfn.IFS(I540&gt;=0.2,0.5,I540&gt;=0.1,0.35,I540&gt;=0.05,0.2,TRUE,0),IF(D540="Grenade",_xlfn.IFS(I540&gt;=0.2,1,I540&gt;=0.1,0.7,I540&gt;=0.05,0.4,TRUE,0),0))</f>
        <v>1</v>
      </c>
      <c r="L540" s="57">
        <f t="shared" ref="L540:L541" si="138">IF($K540=0,0,$K540 / SUMIFS($K:$K,$A:$A,$A540,$D:$D,"Grenade"))</f>
        <v>1</v>
      </c>
    </row>
    <row r="541" spans="1:12" ht="15" customHeight="1" x14ac:dyDescent="0.25">
      <c r="A541" s="42" t="str" cm="1">
        <f t="array" ref="A541">IFERROR(INDEX(_xlfn._xlws.FILTER(Class_Players!A:A,Class_Players!B:B="Support"),QUOTIENT(ROW()-ROW($A$2),9)+1),"")</f>
        <v>VII-PHASZR</v>
      </c>
      <c r="B541" s="42" t="str">
        <f>_xlfn.XLOOKUP(A541,Class_Players!$A:$A,Class_Players!$B:$B,"")</f>
        <v>Support</v>
      </c>
      <c r="C541" s="38" t="str" cm="1">
        <f t="array" ref="C541">INDEX(Lookups!$D$2:$D$10,MOD(ROW()-ROW($B$2),ROWS(Lookups!$D$2:$D$10))+1)</f>
        <v>Incendiary Grenade</v>
      </c>
      <c r="D541" s="38" t="str">
        <f>_xlfn.XLOOKUP(C541,Analysis_Gadgets!$C:$C,Analysis_Gadgets!$B:$B)</f>
        <v>Grenade</v>
      </c>
      <c r="E541" s="43">
        <v>8</v>
      </c>
      <c r="F541" s="43">
        <f>_xlfn.XLOOKUP(A541,Class_Players!A:A,Class_Players!G:G)</f>
        <v>409</v>
      </c>
      <c r="G541" s="43">
        <f t="shared" si="133"/>
        <v>1.9559902200488997E-2</v>
      </c>
      <c r="H541" s="43">
        <f>_xlfn.XLOOKUP(A541,Class_Players!$A:$A,Class_Players!$F:$F,"")</f>
        <v>11417</v>
      </c>
      <c r="I541" s="44">
        <f t="shared" si="134"/>
        <v>7.0070946833669092E-4</v>
      </c>
      <c r="J541" s="43">
        <f t="shared" si="135"/>
        <v>0</v>
      </c>
      <c r="K541" s="44" cm="1">
        <f t="array" ref="K541">IF(D541="Gadget",_xlfn.IFS(I541&gt;=0.2,0.5,I541&gt;=0.1,0.35,I541&gt;=0.05,0.2,TRUE,0),IF(D541="Grenade",_xlfn.IFS(I541&gt;=0.2,1,I541&gt;=0.1,0.7,I541&gt;=0.05,0.4,TRUE,0),0))</f>
        <v>0</v>
      </c>
      <c r="L541" s="57">
        <f t="shared" si="138"/>
        <v>0</v>
      </c>
    </row>
    <row r="542" spans="1:12" ht="15" customHeight="1" x14ac:dyDescent="0.25">
      <c r="A542" s="42" t="str" cm="1">
        <f t="array" ref="A542">IFERROR(INDEX(_xlfn._xlws.FILTER(Class_Players!A:A,Class_Players!B:B="Support"),QUOTIENT(ROW()-ROW($A$2),9)+1),"")</f>
        <v>Tuffmiester</v>
      </c>
      <c r="B542" s="42" t="str">
        <f>_xlfn.XLOOKUP(A542,Class_Players!$A:$A,Class_Players!$B:$B,"")</f>
        <v>Support</v>
      </c>
      <c r="C542" s="38" t="str" cm="1">
        <f t="array" ref="C542">INDEX(Lookups!$D$2:$D$10,MOD(ROW()-ROW($B$2),ROWS(Lookups!$D$2:$D$10))+1)</f>
        <v>GPDIS (Grenade intercept system)</v>
      </c>
      <c r="D542" s="38" t="str">
        <f>_xlfn.XLOOKUP(C542,Analysis_Gadgets!$C:$C,Analysis_Gadgets!$B:$B)</f>
        <v>Gadget</v>
      </c>
      <c r="E542" s="43">
        <v>255</v>
      </c>
      <c r="F542" s="43">
        <f>_xlfn.XLOOKUP(A542,Class_Players!A:A,Class_Players!G:G)</f>
        <v>138</v>
      </c>
      <c r="G542" s="43">
        <f t="shared" ref="G542:G550" si="139">IF(F542=0,"",E542/(F542))</f>
        <v>1.8478260869565217</v>
      </c>
      <c r="H542" s="43">
        <f>_xlfn.XLOOKUP(A542,Class_Players!$A:$A,Class_Players!$F:$F,"")</f>
        <v>11440</v>
      </c>
      <c r="I542" s="44">
        <f t="shared" ref="I542:I550" si="140">IF(H542=0,"",E542/H542)</f>
        <v>2.2290209790209792E-2</v>
      </c>
      <c r="J542" s="43">
        <f t="shared" ref="J542:J550" si="141">IF(I542&gt;=0.1,1,0)</f>
        <v>0</v>
      </c>
      <c r="K542" s="44" cm="1">
        <f t="array" ref="K542">IF(D542="Gadget",_xlfn.IFS(I542&gt;=0.2,0.5,I542&gt;=0.1,0.35,I542&gt;=0.05,0.2,TRUE,0),IF(D542="Grenade",_xlfn.IFS(I542&gt;=0.2,1,I542&gt;=0.1,0.7,I542&gt;=0.05,0.4,TRUE,0),0))</f>
        <v>0</v>
      </c>
      <c r="L542" s="57">
        <f t="shared" ref="L542:L548" si="142">IF($K542=0,0,$K542 / SUMIFS($K:$K,$A:$A,$A542,$D:$D,"Gadget"))</f>
        <v>0</v>
      </c>
    </row>
    <row r="543" spans="1:12" ht="15" customHeight="1" x14ac:dyDescent="0.25">
      <c r="A543" s="42" t="str" cm="1">
        <f t="array" ref="A543">IFERROR(INDEX(_xlfn._xlws.FILTER(Class_Players!A:A,Class_Players!B:B="Support"),QUOTIENT(ROW()-ROW($A$2),9)+1),"")</f>
        <v>Tuffmiester</v>
      </c>
      <c r="B543" s="42" t="str">
        <f>_xlfn.XLOOKUP(A543,Class_Players!$A:$A,Class_Players!$B:$B,"")</f>
        <v>Support</v>
      </c>
      <c r="C543" s="38" t="str" cm="1">
        <f t="array" ref="C543">INDEX(Lookups!$D$2:$D$10,MOD(ROW()-ROW($B$2),ROWS(Lookups!$D$2:$D$10))+1)</f>
        <v>MP-APS (Missile intercept system)</v>
      </c>
      <c r="D543" s="38" t="str">
        <f>_xlfn.XLOOKUP(C543,Analysis_Gadgets!$C:$C,Analysis_Gadgets!$B:$B)</f>
        <v>Gadget</v>
      </c>
      <c r="E543" s="43">
        <v>1</v>
      </c>
      <c r="F543" s="43">
        <f>_xlfn.XLOOKUP(A543,Class_Players!A:A,Class_Players!G:G)</f>
        <v>138</v>
      </c>
      <c r="G543" s="43">
        <f t="shared" si="139"/>
        <v>7.246376811594203E-3</v>
      </c>
      <c r="H543" s="43">
        <f>_xlfn.XLOOKUP(A543,Class_Players!$A:$A,Class_Players!$F:$F,"")</f>
        <v>11440</v>
      </c>
      <c r="I543" s="44">
        <f t="shared" si="140"/>
        <v>8.7412587412587413E-5</v>
      </c>
      <c r="J543" s="43">
        <f t="shared" si="141"/>
        <v>0</v>
      </c>
      <c r="K543" s="44" cm="1">
        <f t="array" ref="K543">IF(D543="Gadget",_xlfn.IFS(I543&gt;=0.2,0.5,I543&gt;=0.1,0.35,I543&gt;=0.05,0.2,TRUE,0),IF(D543="Grenade",_xlfn.IFS(I543&gt;=0.2,1,I543&gt;=0.1,0.7,I543&gt;=0.05,0.4,TRUE,0),0))</f>
        <v>0</v>
      </c>
      <c r="L543" s="57">
        <f t="shared" si="142"/>
        <v>0</v>
      </c>
    </row>
    <row r="544" spans="1:12" ht="15" customHeight="1" x14ac:dyDescent="0.25">
      <c r="A544" s="42" t="str" cm="1">
        <f t="array" ref="A544">IFERROR(INDEX(_xlfn._xlws.FILTER(Class_Players!A:A,Class_Players!B:B="Support"),QUOTIENT(ROW()-ROW($A$2),9)+1),"")</f>
        <v>Tuffmiester</v>
      </c>
      <c r="B544" s="42" t="str">
        <f>_xlfn.XLOOKUP(A544,Class_Players!$A:$A,Class_Players!$B:$B,"")</f>
        <v>Support</v>
      </c>
      <c r="C544" s="38" t="str" cm="1">
        <f t="array" ref="C544">INDEX(Lookups!$D$2:$D$10,MOD(ROW()-ROW($B$2),ROWS(Lookups!$D$2:$D$10))+1)</f>
        <v>LWCMS (Mortar)</v>
      </c>
      <c r="D544" s="38" t="str">
        <f>_xlfn.XLOOKUP(C544,Analysis_Gadgets!$C:$C,Analysis_Gadgets!$B:$B)</f>
        <v>Gadget</v>
      </c>
      <c r="E544" s="43">
        <v>2</v>
      </c>
      <c r="F544" s="43">
        <f>_xlfn.XLOOKUP(A544,Class_Players!A:A,Class_Players!G:G)</f>
        <v>138</v>
      </c>
      <c r="G544" s="43">
        <f t="shared" si="139"/>
        <v>1.4492753623188406E-2</v>
      </c>
      <c r="H544" s="43">
        <f>_xlfn.XLOOKUP(A544,Class_Players!$A:$A,Class_Players!$F:$F,"")</f>
        <v>11440</v>
      </c>
      <c r="I544" s="44">
        <f t="shared" si="140"/>
        <v>1.7482517482517483E-4</v>
      </c>
      <c r="J544" s="43">
        <f t="shared" si="141"/>
        <v>0</v>
      </c>
      <c r="K544" s="44" cm="1">
        <f t="array" ref="K544">IF(D544="Gadget",_xlfn.IFS(I544&gt;=0.2,0.5,I544&gt;=0.1,0.35,I544&gt;=0.05,0.2,TRUE,0),IF(D544="Grenade",_xlfn.IFS(I544&gt;=0.2,1,I544&gt;=0.1,0.7,I544&gt;=0.05,0.4,TRUE,0),0))</f>
        <v>0</v>
      </c>
      <c r="L544" s="57">
        <f t="shared" si="142"/>
        <v>0</v>
      </c>
    </row>
    <row r="545" spans="1:12" ht="15" customHeight="1" x14ac:dyDescent="0.25">
      <c r="A545" s="42" t="str" cm="1">
        <f t="array" ref="A545">IFERROR(INDEX(_xlfn._xlws.FILTER(Class_Players!A:A,Class_Players!B:B="Support"),QUOTIENT(ROW()-ROW($A$2),9)+1),"")</f>
        <v>Tuffmiester</v>
      </c>
      <c r="B545" s="42" t="str">
        <f>_xlfn.XLOOKUP(A545,Class_Players!$A:$A,Class_Players!$B:$B,"")</f>
        <v>Support</v>
      </c>
      <c r="C545" s="38" t="str" cm="1">
        <f t="array" ref="C545">INDEX(Lookups!$D$2:$D$10,MOD(ROW()-ROW($B$2),ROWS(Lookups!$D$2:$D$10))+1)</f>
        <v>M320A1 SMK (Smoke Grenade Launcher)</v>
      </c>
      <c r="D545" s="38" t="str">
        <f>_xlfn.XLOOKUP(C545,Analysis_Gadgets!$C:$C,Analysis_Gadgets!$B:$B)</f>
        <v>Gadget</v>
      </c>
      <c r="E545" s="43">
        <v>0</v>
      </c>
      <c r="F545" s="43">
        <f>_xlfn.XLOOKUP(A545,Class_Players!A:A,Class_Players!G:G)</f>
        <v>138</v>
      </c>
      <c r="G545" s="43">
        <f t="shared" si="139"/>
        <v>0</v>
      </c>
      <c r="H545" s="43">
        <f>_xlfn.XLOOKUP(A545,Class_Players!$A:$A,Class_Players!$F:$F,"")</f>
        <v>11440</v>
      </c>
      <c r="I545" s="44">
        <f t="shared" si="140"/>
        <v>0</v>
      </c>
      <c r="J545" s="43">
        <f t="shared" si="141"/>
        <v>0</v>
      </c>
      <c r="K545" s="44" cm="1">
        <f t="array" ref="K545">IF(D545="Gadget",_xlfn.IFS(I545&gt;=0.2,0.5,I545&gt;=0.1,0.35,I545&gt;=0.05,0.2,TRUE,0),IF(D545="Grenade",_xlfn.IFS(I545&gt;=0.2,1,I545&gt;=0.1,0.7,I545&gt;=0.05,0.4,TRUE,0),0))</f>
        <v>0</v>
      </c>
      <c r="L545" s="57">
        <f t="shared" si="142"/>
        <v>0</v>
      </c>
    </row>
    <row r="546" spans="1:12" ht="15" customHeight="1" x14ac:dyDescent="0.25">
      <c r="A546" s="42" t="str" cm="1">
        <f t="array" ref="A546">IFERROR(INDEX(_xlfn._xlws.FILTER(Class_Players!A:A,Class_Players!B:B="Support"),QUOTIENT(ROW()-ROW($A$2),9)+1),"")</f>
        <v>Tuffmiester</v>
      </c>
      <c r="B546" s="42" t="str">
        <f>_xlfn.XLOOKUP(A546,Class_Players!$A:$A,Class_Players!$B:$B,"")</f>
        <v>Support</v>
      </c>
      <c r="C546" s="38" t="str" cm="1">
        <f t="array" ref="C546">INDEX(Lookups!$D$2:$D$10,MOD(ROW()-ROW($B$2),ROWS(Lookups!$D$2:$D$10))+1)</f>
        <v>SICH G1 WP (Incendiary Airburst Launcher)</v>
      </c>
      <c r="D546" s="38" t="str">
        <f>_xlfn.XLOOKUP(C546,Analysis_Gadgets!$C:$C,Analysis_Gadgets!$B:$B)</f>
        <v>Gadget</v>
      </c>
      <c r="E546" s="43">
        <v>0</v>
      </c>
      <c r="F546" s="43">
        <f>_xlfn.XLOOKUP(A546,Class_Players!A:A,Class_Players!G:G)</f>
        <v>138</v>
      </c>
      <c r="G546" s="43">
        <f t="shared" si="139"/>
        <v>0</v>
      </c>
      <c r="H546" s="43">
        <f>_xlfn.XLOOKUP(A546,Class_Players!$A:$A,Class_Players!$F:$F,"")</f>
        <v>11440</v>
      </c>
      <c r="I546" s="44">
        <f t="shared" si="140"/>
        <v>0</v>
      </c>
      <c r="J546" s="43">
        <f t="shared" si="141"/>
        <v>0</v>
      </c>
      <c r="K546" s="44" cm="1">
        <f t="array" ref="K546">IF(D546="Gadget",_xlfn.IFS(I546&gt;=0.2,0.5,I546&gt;=0.1,0.35,I546&gt;=0.05,0.2,TRUE,0),IF(D546="Grenade",_xlfn.IFS(I546&gt;=0.2,1,I546&gt;=0.1,0.7,I546&gt;=0.05,0.4,TRUE,0),0))</f>
        <v>0</v>
      </c>
      <c r="L546" s="57">
        <f t="shared" si="142"/>
        <v>0</v>
      </c>
    </row>
    <row r="547" spans="1:12" ht="15" customHeight="1" x14ac:dyDescent="0.25">
      <c r="A547" s="42" t="str" cm="1">
        <f t="array" ref="A547">IFERROR(INDEX(_xlfn._xlws.FILTER(Class_Players!A:A,Class_Players!B:B="Support"),QUOTIENT(ROW()-ROW($A$2),9)+1),"")</f>
        <v>Tuffmiester</v>
      </c>
      <c r="B547" s="42" t="str">
        <f>_xlfn.XLOOKUP(A547,Class_Players!$A:$A,Class_Players!$B:$B,"")</f>
        <v>Support</v>
      </c>
      <c r="C547" s="38" t="str" cm="1">
        <f t="array" ref="C547">INDEX(Lookups!$D$2:$D$10,MOD(ROW()-ROW($B$2),ROWS(Lookups!$D$2:$D$10))+1)</f>
        <v>Deployable Cover</v>
      </c>
      <c r="D547" s="38" t="str">
        <f>_xlfn.XLOOKUP(C547,Analysis_Gadgets!$C:$C,Analysis_Gadgets!$B:$B)</f>
        <v>Gadget</v>
      </c>
      <c r="E547" s="43">
        <v>121</v>
      </c>
      <c r="F547" s="43">
        <f>_xlfn.XLOOKUP(A547,Class_Players!A:A,Class_Players!G:G)</f>
        <v>138</v>
      </c>
      <c r="G547" s="43">
        <f t="shared" si="139"/>
        <v>0.87681159420289856</v>
      </c>
      <c r="H547" s="43">
        <f>_xlfn.XLOOKUP(A547,Class_Players!$A:$A,Class_Players!$F:$F,"")</f>
        <v>11440</v>
      </c>
      <c r="I547" s="44">
        <f t="shared" si="140"/>
        <v>1.0576923076923078E-2</v>
      </c>
      <c r="J547" s="43">
        <f t="shared" si="141"/>
        <v>0</v>
      </c>
      <c r="K547" s="44" cm="1">
        <f t="array" ref="K547">IF(D547="Gadget",_xlfn.IFS(I547&gt;=0.2,0.5,I547&gt;=0.1,0.35,I547&gt;=0.05,0.2,TRUE,0),IF(D547="Grenade",_xlfn.IFS(I547&gt;=0.2,1,I547&gt;=0.1,0.7,I547&gt;=0.05,0.4,TRUE,0),0))</f>
        <v>0</v>
      </c>
      <c r="L547" s="57">
        <f t="shared" si="142"/>
        <v>0</v>
      </c>
    </row>
    <row r="548" spans="1:12" ht="15" customHeight="1" x14ac:dyDescent="0.25">
      <c r="A548" s="42" t="str" cm="1">
        <f t="array" ref="A548">IFERROR(INDEX(_xlfn._xlws.FILTER(Class_Players!A:A,Class_Players!B:B="Support"),QUOTIENT(ROW()-ROW($A$2),9)+1),"")</f>
        <v>Tuffmiester</v>
      </c>
      <c r="B548" s="42" t="str">
        <f>_xlfn.XLOOKUP(A548,Class_Players!$A:$A,Class_Players!$B:$B,"")</f>
        <v>Support</v>
      </c>
      <c r="C548" s="38" t="str" cm="1">
        <f t="array" ref="C548">INDEX(Lookups!$D$2:$D$10,MOD(ROW()-ROW($B$2),ROWS(Lookups!$D$2:$D$10))+1)</f>
        <v>Supply Pouch</v>
      </c>
      <c r="D548" s="38" t="str">
        <f>_xlfn.XLOOKUP(C548,Analysis_Gadgets!$C:$C,Analysis_Gadgets!$B:$B)</f>
        <v>Gadget</v>
      </c>
      <c r="E548" s="43">
        <v>0</v>
      </c>
      <c r="F548" s="43">
        <f>_xlfn.XLOOKUP(A548,Class_Players!A:A,Class_Players!G:G)</f>
        <v>138</v>
      </c>
      <c r="G548" s="43">
        <f t="shared" si="139"/>
        <v>0</v>
      </c>
      <c r="H548" s="43">
        <f>_xlfn.XLOOKUP(A548,Class_Players!$A:$A,Class_Players!$F:$F,"")</f>
        <v>11440</v>
      </c>
      <c r="I548" s="44">
        <f t="shared" si="140"/>
        <v>0</v>
      </c>
      <c r="J548" s="43">
        <f t="shared" si="141"/>
        <v>0</v>
      </c>
      <c r="K548" s="44" cm="1">
        <f t="array" ref="K548">IF(D548="Gadget",_xlfn.IFS(I548&gt;=0.2,0.5,I548&gt;=0.1,0.35,I548&gt;=0.05,0.2,TRUE,0),IF(D548="Grenade",_xlfn.IFS(I548&gt;=0.2,1,I548&gt;=0.1,0.7,I548&gt;=0.05,0.4,TRUE,0),0))</f>
        <v>0</v>
      </c>
      <c r="L548" s="57">
        <f t="shared" si="142"/>
        <v>0</v>
      </c>
    </row>
    <row r="549" spans="1:12" ht="15" customHeight="1" x14ac:dyDescent="0.25">
      <c r="A549" s="42" t="str" cm="1">
        <f t="array" ref="A549">IFERROR(INDEX(_xlfn._xlws.FILTER(Class_Players!A:A,Class_Players!B:B="Support"),QUOTIENT(ROW()-ROW($A$2),9)+1),"")</f>
        <v>Tuffmiester</v>
      </c>
      <c r="B549" s="42" t="str">
        <f>_xlfn.XLOOKUP(A549,Class_Players!$A:$A,Class_Players!$B:$B,"")</f>
        <v>Support</v>
      </c>
      <c r="C549" s="38" t="str" cm="1">
        <f t="array" ref="C549">INDEX(Lookups!$D$2:$D$10,MOD(ROW()-ROW($B$2),ROWS(Lookups!$D$2:$D$10))+1)</f>
        <v>Smoke Grenade</v>
      </c>
      <c r="D549" s="38" t="str">
        <f>_xlfn.XLOOKUP(C549,Analysis_Gadgets!$C:$C,Analysis_Gadgets!$B:$B)</f>
        <v>Grenade</v>
      </c>
      <c r="E549" s="43">
        <v>8</v>
      </c>
      <c r="F549" s="43">
        <f>_xlfn.XLOOKUP(A549,Class_Players!A:A,Class_Players!G:G)</f>
        <v>138</v>
      </c>
      <c r="G549" s="43">
        <f t="shared" si="139"/>
        <v>5.7971014492753624E-2</v>
      </c>
      <c r="H549" s="43">
        <f>_xlfn.XLOOKUP(A549,Class_Players!$A:$A,Class_Players!$F:$F,"")</f>
        <v>11440</v>
      </c>
      <c r="I549" s="44">
        <f t="shared" si="140"/>
        <v>6.993006993006993E-4</v>
      </c>
      <c r="J549" s="43">
        <f t="shared" si="141"/>
        <v>0</v>
      </c>
      <c r="K549" s="44" cm="1">
        <f t="array" ref="K549">IF(D549="Gadget",_xlfn.IFS(I549&gt;=0.2,0.5,I549&gt;=0.1,0.35,I549&gt;=0.05,0.2,TRUE,0),IF(D549="Grenade",_xlfn.IFS(I549&gt;=0.2,1,I549&gt;=0.1,0.7,I549&gt;=0.05,0.4,TRUE,0),0))</f>
        <v>0</v>
      </c>
      <c r="L549" s="57">
        <f>IF($K549=0,0,$K549 / SUMIFS($K:$K,$A:$A,$A549,$D:$D,"Grenade"))</f>
        <v>0</v>
      </c>
    </row>
    <row r="550" spans="1:12" ht="15" customHeight="1" x14ac:dyDescent="0.25">
      <c r="A550" s="42" t="str" cm="1">
        <f t="array" ref="A550">IFERROR(INDEX(_xlfn._xlws.FILTER(Class_Players!A:A,Class_Players!B:B="Support"),QUOTIENT(ROW()-ROW($A$2),9)+1),"")</f>
        <v>Tuffmiester</v>
      </c>
      <c r="B550" s="42" t="str">
        <f>_xlfn.XLOOKUP(A550,Class_Players!$A:$A,Class_Players!$B:$B,"")</f>
        <v>Support</v>
      </c>
      <c r="C550" s="38" t="str" cm="1">
        <f t="array" ref="C550">INDEX(Lookups!$D$2:$D$10,MOD(ROW()-ROW($B$2),ROWS(Lookups!$D$2:$D$10))+1)</f>
        <v>Incendiary Grenade</v>
      </c>
      <c r="D550" s="38" t="str">
        <f>_xlfn.XLOOKUP(C550,Analysis_Gadgets!$C:$C,Analysis_Gadgets!$B:$B)</f>
        <v>Grenade</v>
      </c>
      <c r="E550" s="43">
        <v>1036</v>
      </c>
      <c r="F550" s="43">
        <f>_xlfn.XLOOKUP(A550,Class_Players!A:A,Class_Players!G:G)</f>
        <v>138</v>
      </c>
      <c r="G550" s="43">
        <f t="shared" si="139"/>
        <v>7.5072463768115938</v>
      </c>
      <c r="H550" s="43">
        <f>_xlfn.XLOOKUP(A550,Class_Players!$A:$A,Class_Players!$F:$F,"")</f>
        <v>11440</v>
      </c>
      <c r="I550" s="44">
        <f t="shared" si="140"/>
        <v>9.0559440559440554E-2</v>
      </c>
      <c r="J550" s="43">
        <f t="shared" si="141"/>
        <v>0</v>
      </c>
      <c r="K550" s="44" cm="1">
        <f t="array" ref="K550">IF(D550="Gadget",_xlfn.IFS(I550&gt;=0.2,0.5,I550&gt;=0.1,0.35,I550&gt;=0.05,0.2,TRUE,0),IF(D550="Grenade",_xlfn.IFS(I550&gt;=0.2,1,I550&gt;=0.1,0.7,I550&gt;=0.05,0.4,TRUE,0),0))</f>
        <v>0.4</v>
      </c>
      <c r="L550" s="57">
        <f>IF($K550=0,0,$K550 / SUMIFS($K:$K,$A:$A,$A550,$D:$D,"Grenade"))</f>
        <v>1</v>
      </c>
    </row>
    <row r="551" spans="1:12" ht="15" customHeight="1" x14ac:dyDescent="0.25">
      <c r="A551" s="42" t="str" cm="1">
        <f t="array" ref="A551">IFERROR(INDEX(_xlfn._xlws.FILTER(Class_Players!A:A,Class_Players!B:B="Support"),QUOTIENT(ROW()-ROW($A$2),9)+1),"")</f>
        <v>I ain't gonna die today</v>
      </c>
      <c r="B551" s="42" t="str">
        <f>_xlfn.XLOOKUP(A551,Class_Players!$A:$A,Class_Players!$B:$B,"")</f>
        <v>Support</v>
      </c>
      <c r="C551" s="38" t="str" cm="1">
        <f t="array" ref="C551">INDEX(Lookups!$D$2:$D$10,MOD(ROW()-ROW($B$2),ROWS(Lookups!$D$2:$D$10))+1)</f>
        <v>GPDIS (Grenade intercept system)</v>
      </c>
      <c r="D551" s="38" t="str">
        <f>_xlfn.XLOOKUP(C551,Analysis_Gadgets!$C:$C,Analysis_Gadgets!$B:$B)</f>
        <v>Gadget</v>
      </c>
      <c r="E551" s="43">
        <v>4</v>
      </c>
      <c r="F551" s="43">
        <f>_xlfn.XLOOKUP(A551,Class_Players!A:A,Class_Players!G:G)</f>
        <v>159</v>
      </c>
      <c r="G551" s="43">
        <f t="shared" ref="G551:G586" si="143">IF(F551=0,"",E551/(F551))</f>
        <v>2.5157232704402517E-2</v>
      </c>
      <c r="H551" s="43">
        <f>_xlfn.XLOOKUP(A551,Class_Players!$A:$A,Class_Players!$F:$F,"")</f>
        <v>11934</v>
      </c>
      <c r="I551" s="44">
        <f t="shared" ref="I551:I586" si="144">IF(H551=0,"",E551/H551)</f>
        <v>3.3517680576504108E-4</v>
      </c>
      <c r="J551" s="43">
        <f t="shared" ref="J551:J586" si="145">IF(I551&gt;=0.1,1,0)</f>
        <v>0</v>
      </c>
      <c r="K551" s="44" cm="1">
        <f t="array" ref="K551">IF(D551="Gadget",_xlfn.IFS(I551&gt;=0.2,0.5,I551&gt;=0.1,0.35,I551&gt;=0.05,0.2,TRUE,0),IF(D551="Grenade",_xlfn.IFS(I551&gt;=0.2,1,I551&gt;=0.1,0.7,I551&gt;=0.05,0.4,TRUE,0),0))</f>
        <v>0</v>
      </c>
      <c r="L551" s="57">
        <f t="shared" ref="L551:L557" si="146">IF($K551=0,0,$K551 / SUMIFS($K:$K,$A:$A,$A551,$D:$D,"Gadget"))</f>
        <v>0</v>
      </c>
    </row>
    <row r="552" spans="1:12" ht="15" customHeight="1" x14ac:dyDescent="0.25">
      <c r="A552" s="42" t="str" cm="1">
        <f t="array" ref="A552">IFERROR(INDEX(_xlfn._xlws.FILTER(Class_Players!A:A,Class_Players!B:B="Support"),QUOTIENT(ROW()-ROW($A$2),9)+1),"")</f>
        <v>I ain't gonna die today</v>
      </c>
      <c r="B552" s="42" t="str">
        <f>_xlfn.XLOOKUP(A552,Class_Players!$A:$A,Class_Players!$B:$B,"")</f>
        <v>Support</v>
      </c>
      <c r="C552" s="38" t="str" cm="1">
        <f t="array" ref="C552">INDEX(Lookups!$D$2:$D$10,MOD(ROW()-ROW($B$2),ROWS(Lookups!$D$2:$D$10))+1)</f>
        <v>MP-APS (Missile intercept system)</v>
      </c>
      <c r="D552" s="38" t="str">
        <f>_xlfn.XLOOKUP(C552,Analysis_Gadgets!$C:$C,Analysis_Gadgets!$B:$B)</f>
        <v>Gadget</v>
      </c>
      <c r="E552" s="43">
        <v>0</v>
      </c>
      <c r="F552" s="43">
        <f>_xlfn.XLOOKUP(A552,Class_Players!A:A,Class_Players!G:G)</f>
        <v>159</v>
      </c>
      <c r="G552" s="43">
        <f t="shared" si="143"/>
        <v>0</v>
      </c>
      <c r="H552" s="43">
        <f>_xlfn.XLOOKUP(A552,Class_Players!$A:$A,Class_Players!$F:$F,"")</f>
        <v>11934</v>
      </c>
      <c r="I552" s="44">
        <f t="shared" si="144"/>
        <v>0</v>
      </c>
      <c r="J552" s="43">
        <f t="shared" si="145"/>
        <v>0</v>
      </c>
      <c r="K552" s="44" cm="1">
        <f t="array" ref="K552">IF(D552="Gadget",_xlfn.IFS(I552&gt;=0.2,0.5,I552&gt;=0.1,0.35,I552&gt;=0.05,0.2,TRUE,0),IF(D552="Grenade",_xlfn.IFS(I552&gt;=0.2,1,I552&gt;=0.1,0.7,I552&gt;=0.05,0.4,TRUE,0),0))</f>
        <v>0</v>
      </c>
      <c r="L552" s="57">
        <f t="shared" si="146"/>
        <v>0</v>
      </c>
    </row>
    <row r="553" spans="1:12" ht="15" customHeight="1" x14ac:dyDescent="0.25">
      <c r="A553" s="42" t="str" cm="1">
        <f t="array" ref="A553">IFERROR(INDEX(_xlfn._xlws.FILTER(Class_Players!A:A,Class_Players!B:B="Support"),QUOTIENT(ROW()-ROW($A$2),9)+1),"")</f>
        <v>I ain't gonna die today</v>
      </c>
      <c r="B553" s="42" t="str">
        <f>_xlfn.XLOOKUP(A553,Class_Players!$A:$A,Class_Players!$B:$B,"")</f>
        <v>Support</v>
      </c>
      <c r="C553" s="38" t="str" cm="1">
        <f t="array" ref="C553">INDEX(Lookups!$D$2:$D$10,MOD(ROW()-ROW($B$2),ROWS(Lookups!$D$2:$D$10))+1)</f>
        <v>LWCMS (Mortar)</v>
      </c>
      <c r="D553" s="38" t="str">
        <f>_xlfn.XLOOKUP(C553,Analysis_Gadgets!$C:$C,Analysis_Gadgets!$B:$B)</f>
        <v>Gadget</v>
      </c>
      <c r="E553" s="43">
        <v>0</v>
      </c>
      <c r="F553" s="43">
        <f>_xlfn.XLOOKUP(A553,Class_Players!A:A,Class_Players!G:G)</f>
        <v>159</v>
      </c>
      <c r="G553" s="43">
        <f t="shared" si="143"/>
        <v>0</v>
      </c>
      <c r="H553" s="43">
        <f>_xlfn.XLOOKUP(A553,Class_Players!$A:$A,Class_Players!$F:$F,"")</f>
        <v>11934</v>
      </c>
      <c r="I553" s="44">
        <f t="shared" si="144"/>
        <v>0</v>
      </c>
      <c r="J553" s="43">
        <f t="shared" si="145"/>
        <v>0</v>
      </c>
      <c r="K553" s="44" cm="1">
        <f t="array" ref="K553">IF(D553="Gadget",_xlfn.IFS(I553&gt;=0.2,0.5,I553&gt;=0.1,0.35,I553&gt;=0.05,0.2,TRUE,0),IF(D553="Grenade",_xlfn.IFS(I553&gt;=0.2,1,I553&gt;=0.1,0.7,I553&gt;=0.05,0.4,TRUE,0),0))</f>
        <v>0</v>
      </c>
      <c r="L553" s="57">
        <f t="shared" si="146"/>
        <v>0</v>
      </c>
    </row>
    <row r="554" spans="1:12" ht="15" customHeight="1" x14ac:dyDescent="0.25">
      <c r="A554" s="42" t="str" cm="1">
        <f t="array" ref="A554">IFERROR(INDEX(_xlfn._xlws.FILTER(Class_Players!A:A,Class_Players!B:B="Support"),QUOTIENT(ROW()-ROW($A$2),9)+1),"")</f>
        <v>I ain't gonna die today</v>
      </c>
      <c r="B554" s="42" t="str">
        <f>_xlfn.XLOOKUP(A554,Class_Players!$A:$A,Class_Players!$B:$B,"")</f>
        <v>Support</v>
      </c>
      <c r="C554" s="38" t="str" cm="1">
        <f t="array" ref="C554">INDEX(Lookups!$D$2:$D$10,MOD(ROW()-ROW($B$2),ROWS(Lookups!$D$2:$D$10))+1)</f>
        <v>M320A1 SMK (Smoke Grenade Launcher)</v>
      </c>
      <c r="D554" s="38" t="str">
        <f>_xlfn.XLOOKUP(C554,Analysis_Gadgets!$C:$C,Analysis_Gadgets!$B:$B)</f>
        <v>Gadget</v>
      </c>
      <c r="E554" s="43">
        <v>1</v>
      </c>
      <c r="F554" s="43">
        <f>_xlfn.XLOOKUP(A554,Class_Players!A:A,Class_Players!G:G)</f>
        <v>159</v>
      </c>
      <c r="G554" s="43">
        <f t="shared" si="143"/>
        <v>6.2893081761006293E-3</v>
      </c>
      <c r="H554" s="43">
        <f>_xlfn.XLOOKUP(A554,Class_Players!$A:$A,Class_Players!$F:$F,"")</f>
        <v>11934</v>
      </c>
      <c r="I554" s="44">
        <f t="shared" si="144"/>
        <v>8.379420144126027E-5</v>
      </c>
      <c r="J554" s="43">
        <f t="shared" si="145"/>
        <v>0</v>
      </c>
      <c r="K554" s="44" cm="1">
        <f t="array" ref="K554">IF(D554="Gadget",_xlfn.IFS(I554&gt;=0.2,0.5,I554&gt;=0.1,0.35,I554&gt;=0.05,0.2,TRUE,0),IF(D554="Grenade",_xlfn.IFS(I554&gt;=0.2,1,I554&gt;=0.1,0.7,I554&gt;=0.05,0.4,TRUE,0),0))</f>
        <v>0</v>
      </c>
      <c r="L554" s="57">
        <f t="shared" si="146"/>
        <v>0</v>
      </c>
    </row>
    <row r="555" spans="1:12" ht="15" customHeight="1" x14ac:dyDescent="0.25">
      <c r="A555" s="42" t="str" cm="1">
        <f t="array" ref="A555">IFERROR(INDEX(_xlfn._xlws.FILTER(Class_Players!A:A,Class_Players!B:B="Support"),QUOTIENT(ROW()-ROW($A$2),9)+1),"")</f>
        <v>I ain't gonna die today</v>
      </c>
      <c r="B555" s="42" t="str">
        <f>_xlfn.XLOOKUP(A555,Class_Players!$A:$A,Class_Players!$B:$B,"")</f>
        <v>Support</v>
      </c>
      <c r="C555" s="38" t="str" cm="1">
        <f t="array" ref="C555">INDEX(Lookups!$D$2:$D$10,MOD(ROW()-ROW($B$2),ROWS(Lookups!$D$2:$D$10))+1)</f>
        <v>SICH G1 WP (Incendiary Airburst Launcher)</v>
      </c>
      <c r="D555" s="38" t="str">
        <f>_xlfn.XLOOKUP(C555,Analysis_Gadgets!$C:$C,Analysis_Gadgets!$B:$B)</f>
        <v>Gadget</v>
      </c>
      <c r="E555" s="43">
        <v>11</v>
      </c>
      <c r="F555" s="43">
        <f>_xlfn.XLOOKUP(A555,Class_Players!A:A,Class_Players!G:G)</f>
        <v>159</v>
      </c>
      <c r="G555" s="43">
        <f t="shared" si="143"/>
        <v>6.9182389937106917E-2</v>
      </c>
      <c r="H555" s="43">
        <f>_xlfn.XLOOKUP(A555,Class_Players!$A:$A,Class_Players!$F:$F,"")</f>
        <v>11934</v>
      </c>
      <c r="I555" s="44">
        <f t="shared" si="144"/>
        <v>9.2173621585386293E-4</v>
      </c>
      <c r="J555" s="43">
        <f t="shared" si="145"/>
        <v>0</v>
      </c>
      <c r="K555" s="44" cm="1">
        <f t="array" ref="K555">IF(D555="Gadget",_xlfn.IFS(I555&gt;=0.2,0.5,I555&gt;=0.1,0.35,I555&gt;=0.05,0.2,TRUE,0),IF(D555="Grenade",_xlfn.IFS(I555&gt;=0.2,1,I555&gt;=0.1,0.7,I555&gt;=0.05,0.4,TRUE,0),0))</f>
        <v>0</v>
      </c>
      <c r="L555" s="57">
        <f t="shared" si="146"/>
        <v>0</v>
      </c>
    </row>
    <row r="556" spans="1:12" ht="15" customHeight="1" x14ac:dyDescent="0.25">
      <c r="A556" s="42" t="str" cm="1">
        <f t="array" ref="A556">IFERROR(INDEX(_xlfn._xlws.FILTER(Class_Players!A:A,Class_Players!B:B="Support"),QUOTIENT(ROW()-ROW($A$2),9)+1),"")</f>
        <v>I ain't gonna die today</v>
      </c>
      <c r="B556" s="42" t="str">
        <f>_xlfn.XLOOKUP(A556,Class_Players!$A:$A,Class_Players!$B:$B,"")</f>
        <v>Support</v>
      </c>
      <c r="C556" s="38" t="str" cm="1">
        <f t="array" ref="C556">INDEX(Lookups!$D$2:$D$10,MOD(ROW()-ROW($B$2),ROWS(Lookups!$D$2:$D$10))+1)</f>
        <v>Deployable Cover</v>
      </c>
      <c r="D556" s="38" t="str">
        <f>_xlfn.XLOOKUP(C556,Analysis_Gadgets!$C:$C,Analysis_Gadgets!$B:$B)</f>
        <v>Gadget</v>
      </c>
      <c r="E556" s="43">
        <v>871</v>
      </c>
      <c r="F556" s="43">
        <f>_xlfn.XLOOKUP(A556,Class_Players!A:A,Class_Players!G:G)</f>
        <v>159</v>
      </c>
      <c r="G556" s="43">
        <f t="shared" si="143"/>
        <v>5.4779874213836477</v>
      </c>
      <c r="H556" s="43">
        <f>_xlfn.XLOOKUP(A556,Class_Players!$A:$A,Class_Players!$F:$F,"")</f>
        <v>11934</v>
      </c>
      <c r="I556" s="44">
        <f t="shared" si="144"/>
        <v>7.2984749455337686E-2</v>
      </c>
      <c r="J556" s="43">
        <f t="shared" si="145"/>
        <v>0</v>
      </c>
      <c r="K556" s="44" cm="1">
        <f t="array" ref="K556">IF(D556="Gadget",_xlfn.IFS(I556&gt;=0.2,0.5,I556&gt;=0.1,0.35,I556&gt;=0.05,0.2,TRUE,0),IF(D556="Grenade",_xlfn.IFS(I556&gt;=0.2,1,I556&gt;=0.1,0.7,I556&gt;=0.05,0.4,TRUE,0),0))</f>
        <v>0.2</v>
      </c>
      <c r="L556" s="57">
        <f t="shared" si="146"/>
        <v>1</v>
      </c>
    </row>
    <row r="557" spans="1:12" ht="15" customHeight="1" x14ac:dyDescent="0.25">
      <c r="A557" s="42" t="str" cm="1">
        <f t="array" ref="A557">IFERROR(INDEX(_xlfn._xlws.FILTER(Class_Players!A:A,Class_Players!B:B="Support"),QUOTIENT(ROW()-ROW($A$2),9)+1),"")</f>
        <v>I ain't gonna die today</v>
      </c>
      <c r="B557" s="42" t="str">
        <f>_xlfn.XLOOKUP(A557,Class_Players!$A:$A,Class_Players!$B:$B,"")</f>
        <v>Support</v>
      </c>
      <c r="C557" s="38" t="str" cm="1">
        <f t="array" ref="C557">INDEX(Lookups!$D$2:$D$10,MOD(ROW()-ROW($B$2),ROWS(Lookups!$D$2:$D$10))+1)</f>
        <v>Supply Pouch</v>
      </c>
      <c r="D557" s="38" t="str">
        <f>_xlfn.XLOOKUP(C557,Analysis_Gadgets!$C:$C,Analysis_Gadgets!$B:$B)</f>
        <v>Gadget</v>
      </c>
      <c r="E557" s="43">
        <v>0</v>
      </c>
      <c r="F557" s="43">
        <f>_xlfn.XLOOKUP(A557,Class_Players!A:A,Class_Players!G:G)</f>
        <v>159</v>
      </c>
      <c r="G557" s="43">
        <f t="shared" si="143"/>
        <v>0</v>
      </c>
      <c r="H557" s="43">
        <f>_xlfn.XLOOKUP(A557,Class_Players!$A:$A,Class_Players!$F:$F,"")</f>
        <v>11934</v>
      </c>
      <c r="I557" s="44">
        <f t="shared" si="144"/>
        <v>0</v>
      </c>
      <c r="J557" s="43">
        <f t="shared" si="145"/>
        <v>0</v>
      </c>
      <c r="K557" s="44" cm="1">
        <f t="array" ref="K557">IF(D557="Gadget",_xlfn.IFS(I557&gt;=0.2,0.5,I557&gt;=0.1,0.35,I557&gt;=0.05,0.2,TRUE,0),IF(D557="Grenade",_xlfn.IFS(I557&gt;=0.2,1,I557&gt;=0.1,0.7,I557&gt;=0.05,0.4,TRUE,0),0))</f>
        <v>0</v>
      </c>
      <c r="L557" s="57">
        <f t="shared" si="146"/>
        <v>0</v>
      </c>
    </row>
    <row r="558" spans="1:12" ht="15" customHeight="1" x14ac:dyDescent="0.25">
      <c r="A558" s="42" t="str" cm="1">
        <f t="array" ref="A558">IFERROR(INDEX(_xlfn._xlws.FILTER(Class_Players!A:A,Class_Players!B:B="Support"),QUOTIENT(ROW()-ROW($A$2),9)+1),"")</f>
        <v>I ain't gonna die today</v>
      </c>
      <c r="B558" s="42" t="str">
        <f>_xlfn.XLOOKUP(A558,Class_Players!$A:$A,Class_Players!$B:$B,"")</f>
        <v>Support</v>
      </c>
      <c r="C558" s="38" t="str" cm="1">
        <f t="array" ref="C558">INDEX(Lookups!$D$2:$D$10,MOD(ROW()-ROW($B$2),ROWS(Lookups!$D$2:$D$10))+1)</f>
        <v>Smoke Grenade</v>
      </c>
      <c r="D558" s="38" t="str">
        <f>_xlfn.XLOOKUP(C558,Analysis_Gadgets!$C:$C,Analysis_Gadgets!$B:$B)</f>
        <v>Grenade</v>
      </c>
      <c r="E558" s="43">
        <v>14456</v>
      </c>
      <c r="F558" s="43">
        <f>_xlfn.XLOOKUP(A558,Class_Players!A:A,Class_Players!G:G)</f>
        <v>159</v>
      </c>
      <c r="G558" s="43">
        <f t="shared" si="143"/>
        <v>90.918238993710688</v>
      </c>
      <c r="H558" s="43">
        <f>_xlfn.XLOOKUP(A558,Class_Players!$A:$A,Class_Players!$F:$F,"")</f>
        <v>11934</v>
      </c>
      <c r="I558" s="44">
        <f t="shared" si="144"/>
        <v>1.2113289760348585</v>
      </c>
      <c r="J558" s="43">
        <f t="shared" si="145"/>
        <v>1</v>
      </c>
      <c r="K558" s="44" cm="1">
        <f t="array" ref="K558">IF(D558="Gadget",_xlfn.IFS(I558&gt;=0.2,0.5,I558&gt;=0.1,0.35,I558&gt;=0.05,0.2,TRUE,0),IF(D558="Grenade",_xlfn.IFS(I558&gt;=0.2,1,I558&gt;=0.1,0.7,I558&gt;=0.05,0.4,TRUE,0),0))</f>
        <v>1</v>
      </c>
      <c r="L558" s="57">
        <f t="shared" ref="L558:L559" si="147">IF($K558=0,0,$K558 / SUMIFS($K:$K,$A:$A,$A558,$D:$D,"Grenade"))</f>
        <v>1</v>
      </c>
    </row>
    <row r="559" spans="1:12" ht="15" customHeight="1" x14ac:dyDescent="0.25">
      <c r="A559" s="42" t="str" cm="1">
        <f t="array" ref="A559">IFERROR(INDEX(_xlfn._xlws.FILTER(Class_Players!A:A,Class_Players!B:B="Support"),QUOTIENT(ROW()-ROW($A$2),9)+1),"")</f>
        <v>I ain't gonna die today</v>
      </c>
      <c r="B559" s="42" t="str">
        <f>_xlfn.XLOOKUP(A559,Class_Players!$A:$A,Class_Players!$B:$B,"")</f>
        <v>Support</v>
      </c>
      <c r="C559" s="38" t="str" cm="1">
        <f t="array" ref="C559">INDEX(Lookups!$D$2:$D$10,MOD(ROW()-ROW($B$2),ROWS(Lookups!$D$2:$D$10))+1)</f>
        <v>Incendiary Grenade</v>
      </c>
      <c r="D559" s="38" t="str">
        <f>_xlfn.XLOOKUP(C559,Analysis_Gadgets!$C:$C,Analysis_Gadgets!$B:$B)</f>
        <v>Grenade</v>
      </c>
      <c r="E559" s="43">
        <v>2</v>
      </c>
      <c r="F559" s="43">
        <f>_xlfn.XLOOKUP(A559,Class_Players!A:A,Class_Players!G:G)</f>
        <v>159</v>
      </c>
      <c r="G559" s="43">
        <f t="shared" si="143"/>
        <v>1.2578616352201259E-2</v>
      </c>
      <c r="H559" s="43">
        <f>_xlfn.XLOOKUP(A559,Class_Players!$A:$A,Class_Players!$F:$F,"")</f>
        <v>11934</v>
      </c>
      <c r="I559" s="44">
        <f t="shared" si="144"/>
        <v>1.6758840288252054E-4</v>
      </c>
      <c r="J559" s="43">
        <f t="shared" si="145"/>
        <v>0</v>
      </c>
      <c r="K559" s="44" cm="1">
        <f t="array" ref="K559">IF(D559="Gadget",_xlfn.IFS(I559&gt;=0.2,0.5,I559&gt;=0.1,0.35,I559&gt;=0.05,0.2,TRUE,0),IF(D559="Grenade",_xlfn.IFS(I559&gt;=0.2,1,I559&gt;=0.1,0.7,I559&gt;=0.05,0.4,TRUE,0),0))</f>
        <v>0</v>
      </c>
      <c r="L559" s="57">
        <f t="shared" si="147"/>
        <v>0</v>
      </c>
    </row>
    <row r="560" spans="1:12" ht="15" customHeight="1" x14ac:dyDescent="0.25">
      <c r="A560" s="42" t="str" cm="1">
        <f t="array" ref="A560">IFERROR(INDEX(_xlfn._xlws.FILTER(Class_Players!A:A,Class_Players!B:B="Support"),QUOTIENT(ROW()-ROW($A$2),9)+1),"")</f>
        <v>oHuey-</v>
      </c>
      <c r="B560" s="42" t="str">
        <f>_xlfn.XLOOKUP(A560,Class_Players!$A:$A,Class_Players!$B:$B,"")</f>
        <v>Support</v>
      </c>
      <c r="C560" s="38" t="str" cm="1">
        <f t="array" ref="C560">INDEX(Lookups!$D$2:$D$10,MOD(ROW()-ROW($B$2),ROWS(Lookups!$D$2:$D$10))+1)</f>
        <v>GPDIS (Grenade intercept system)</v>
      </c>
      <c r="D560" s="38" t="str">
        <f>_xlfn.XLOOKUP(C560,Analysis_Gadgets!$C:$C,Analysis_Gadgets!$B:$B)</f>
        <v>Gadget</v>
      </c>
      <c r="E560" s="43">
        <v>307</v>
      </c>
      <c r="F560" s="43">
        <f>_xlfn.XLOOKUP(A560,Class_Players!A:A,Class_Players!G:G)</f>
        <v>450</v>
      </c>
      <c r="G560" s="43">
        <f t="shared" si="143"/>
        <v>0.68222222222222217</v>
      </c>
      <c r="H560" s="43">
        <f>_xlfn.XLOOKUP(A560,Class_Players!$A:$A,Class_Players!$F:$F,"")</f>
        <v>11138</v>
      </c>
      <c r="I560" s="44">
        <f t="shared" si="144"/>
        <v>2.7563296821691508E-2</v>
      </c>
      <c r="J560" s="43">
        <f t="shared" si="145"/>
        <v>0</v>
      </c>
      <c r="K560" s="44" cm="1">
        <f t="array" ref="K560">IF(D560="Gadget",_xlfn.IFS(I560&gt;=0.2,0.5,I560&gt;=0.1,0.35,I560&gt;=0.05,0.2,TRUE,0),IF(D560="Grenade",_xlfn.IFS(I560&gt;=0.2,1,I560&gt;=0.1,0.7,I560&gt;=0.05,0.4,TRUE,0),0))</f>
        <v>0</v>
      </c>
      <c r="L560" s="57">
        <f t="shared" ref="L560:L566" si="148">IF($K560=0,0,$K560 / SUMIFS($K:$K,$A:$A,$A560,$D:$D,"Gadget"))</f>
        <v>0</v>
      </c>
    </row>
    <row r="561" spans="1:12" ht="15" customHeight="1" x14ac:dyDescent="0.25">
      <c r="A561" s="42" t="str" cm="1">
        <f t="array" ref="A561">IFERROR(INDEX(_xlfn._xlws.FILTER(Class_Players!A:A,Class_Players!B:B="Support"),QUOTIENT(ROW()-ROW($A$2),9)+1),"")</f>
        <v>oHuey-</v>
      </c>
      <c r="B561" s="42" t="str">
        <f>_xlfn.XLOOKUP(A561,Class_Players!$A:$A,Class_Players!$B:$B,"")</f>
        <v>Support</v>
      </c>
      <c r="C561" s="38" t="str" cm="1">
        <f t="array" ref="C561">INDEX(Lookups!$D$2:$D$10,MOD(ROW()-ROW($B$2),ROWS(Lookups!$D$2:$D$10))+1)</f>
        <v>MP-APS (Missile intercept system)</v>
      </c>
      <c r="D561" s="38" t="str">
        <f>_xlfn.XLOOKUP(C561,Analysis_Gadgets!$C:$C,Analysis_Gadgets!$B:$B)</f>
        <v>Gadget</v>
      </c>
      <c r="E561" s="43">
        <v>3</v>
      </c>
      <c r="F561" s="43">
        <f>_xlfn.XLOOKUP(A561,Class_Players!A:A,Class_Players!G:G)</f>
        <v>450</v>
      </c>
      <c r="G561" s="43">
        <f t="shared" si="143"/>
        <v>6.6666666666666671E-3</v>
      </c>
      <c r="H561" s="43">
        <f>_xlfn.XLOOKUP(A561,Class_Players!$A:$A,Class_Players!$F:$F,"")</f>
        <v>11138</v>
      </c>
      <c r="I561" s="44">
        <f t="shared" si="144"/>
        <v>2.6934817741066616E-4</v>
      </c>
      <c r="J561" s="43">
        <f t="shared" si="145"/>
        <v>0</v>
      </c>
      <c r="K561" s="44" cm="1">
        <f t="array" ref="K561">IF(D561="Gadget",_xlfn.IFS(I561&gt;=0.2,0.5,I561&gt;=0.1,0.35,I561&gt;=0.05,0.2,TRUE,0),IF(D561="Grenade",_xlfn.IFS(I561&gt;=0.2,1,I561&gt;=0.1,0.7,I561&gt;=0.05,0.4,TRUE,0),0))</f>
        <v>0</v>
      </c>
      <c r="L561" s="57">
        <f t="shared" si="148"/>
        <v>0</v>
      </c>
    </row>
    <row r="562" spans="1:12" ht="15" customHeight="1" x14ac:dyDescent="0.25">
      <c r="A562" s="42" t="str" cm="1">
        <f t="array" ref="A562">IFERROR(INDEX(_xlfn._xlws.FILTER(Class_Players!A:A,Class_Players!B:B="Support"),QUOTIENT(ROW()-ROW($A$2),9)+1),"")</f>
        <v>oHuey-</v>
      </c>
      <c r="B562" s="42" t="str">
        <f>_xlfn.XLOOKUP(A562,Class_Players!$A:$A,Class_Players!$B:$B,"")</f>
        <v>Support</v>
      </c>
      <c r="C562" s="38" t="str" cm="1">
        <f t="array" ref="C562">INDEX(Lookups!$D$2:$D$10,MOD(ROW()-ROW($B$2),ROWS(Lookups!$D$2:$D$10))+1)</f>
        <v>LWCMS (Mortar)</v>
      </c>
      <c r="D562" s="38" t="str">
        <f>_xlfn.XLOOKUP(C562,Analysis_Gadgets!$C:$C,Analysis_Gadgets!$B:$B)</f>
        <v>Gadget</v>
      </c>
      <c r="E562" s="43">
        <v>4</v>
      </c>
      <c r="F562" s="43">
        <f>_xlfn.XLOOKUP(A562,Class_Players!A:A,Class_Players!G:G)</f>
        <v>450</v>
      </c>
      <c r="G562" s="43">
        <f t="shared" si="143"/>
        <v>8.8888888888888889E-3</v>
      </c>
      <c r="H562" s="43">
        <f>_xlfn.XLOOKUP(A562,Class_Players!$A:$A,Class_Players!$F:$F,"")</f>
        <v>11138</v>
      </c>
      <c r="I562" s="44">
        <f t="shared" si="144"/>
        <v>3.5913090321422161E-4</v>
      </c>
      <c r="J562" s="43">
        <f t="shared" si="145"/>
        <v>0</v>
      </c>
      <c r="K562" s="44" cm="1">
        <f t="array" ref="K562">IF(D562="Gadget",_xlfn.IFS(I562&gt;=0.2,0.5,I562&gt;=0.1,0.35,I562&gt;=0.05,0.2,TRUE,0),IF(D562="Grenade",_xlfn.IFS(I562&gt;=0.2,1,I562&gt;=0.1,0.7,I562&gt;=0.05,0.4,TRUE,0),0))</f>
        <v>0</v>
      </c>
      <c r="L562" s="57">
        <f t="shared" si="148"/>
        <v>0</v>
      </c>
    </row>
    <row r="563" spans="1:12" ht="15" customHeight="1" x14ac:dyDescent="0.25">
      <c r="A563" s="42" t="str" cm="1">
        <f t="array" ref="A563">IFERROR(INDEX(_xlfn._xlws.FILTER(Class_Players!A:A,Class_Players!B:B="Support"),QUOTIENT(ROW()-ROW($A$2),9)+1),"")</f>
        <v>oHuey-</v>
      </c>
      <c r="B563" s="42" t="str">
        <f>_xlfn.XLOOKUP(A563,Class_Players!$A:$A,Class_Players!$B:$B,"")</f>
        <v>Support</v>
      </c>
      <c r="C563" s="38" t="str" cm="1">
        <f t="array" ref="C563">INDEX(Lookups!$D$2:$D$10,MOD(ROW()-ROW($B$2),ROWS(Lookups!$D$2:$D$10))+1)</f>
        <v>M320A1 SMK (Smoke Grenade Launcher)</v>
      </c>
      <c r="D563" s="38" t="str">
        <f>_xlfn.XLOOKUP(C563,Analysis_Gadgets!$C:$C,Analysis_Gadgets!$B:$B)</f>
        <v>Gadget</v>
      </c>
      <c r="E563" s="43">
        <v>31</v>
      </c>
      <c r="F563" s="43">
        <f>_xlfn.XLOOKUP(A563,Class_Players!A:A,Class_Players!G:G)</f>
        <v>450</v>
      </c>
      <c r="G563" s="43">
        <f t="shared" si="143"/>
        <v>6.8888888888888888E-2</v>
      </c>
      <c r="H563" s="43">
        <f>_xlfn.XLOOKUP(A563,Class_Players!$A:$A,Class_Players!$F:$F,"")</f>
        <v>11138</v>
      </c>
      <c r="I563" s="44">
        <f t="shared" si="144"/>
        <v>2.7832644999102171E-3</v>
      </c>
      <c r="J563" s="43">
        <f t="shared" si="145"/>
        <v>0</v>
      </c>
      <c r="K563" s="44" cm="1">
        <f t="array" ref="K563">IF(D563="Gadget",_xlfn.IFS(I563&gt;=0.2,0.5,I563&gt;=0.1,0.35,I563&gt;=0.05,0.2,TRUE,0),IF(D563="Grenade",_xlfn.IFS(I563&gt;=0.2,1,I563&gt;=0.1,0.7,I563&gt;=0.05,0.4,TRUE,0),0))</f>
        <v>0</v>
      </c>
      <c r="L563" s="57">
        <f t="shared" si="148"/>
        <v>0</v>
      </c>
    </row>
    <row r="564" spans="1:12" ht="15" customHeight="1" x14ac:dyDescent="0.25">
      <c r="A564" s="42" t="str" cm="1">
        <f t="array" ref="A564">IFERROR(INDEX(_xlfn._xlws.FILTER(Class_Players!A:A,Class_Players!B:B="Support"),QUOTIENT(ROW()-ROW($A$2),9)+1),"")</f>
        <v>oHuey-</v>
      </c>
      <c r="B564" s="42" t="str">
        <f>_xlfn.XLOOKUP(A564,Class_Players!$A:$A,Class_Players!$B:$B,"")</f>
        <v>Support</v>
      </c>
      <c r="C564" s="38" t="str" cm="1">
        <f t="array" ref="C564">INDEX(Lookups!$D$2:$D$10,MOD(ROW()-ROW($B$2),ROWS(Lookups!$D$2:$D$10))+1)</f>
        <v>SICH G1 WP (Incendiary Airburst Launcher)</v>
      </c>
      <c r="D564" s="38" t="str">
        <f>_xlfn.XLOOKUP(C564,Analysis_Gadgets!$C:$C,Analysis_Gadgets!$B:$B)</f>
        <v>Gadget</v>
      </c>
      <c r="E564" s="43">
        <v>764</v>
      </c>
      <c r="F564" s="43">
        <f>_xlfn.XLOOKUP(A564,Class_Players!A:A,Class_Players!G:G)</f>
        <v>450</v>
      </c>
      <c r="G564" s="43">
        <f t="shared" si="143"/>
        <v>1.6977777777777778</v>
      </c>
      <c r="H564" s="43">
        <f>_xlfn.XLOOKUP(A564,Class_Players!$A:$A,Class_Players!$F:$F,"")</f>
        <v>11138</v>
      </c>
      <c r="I564" s="44">
        <f t="shared" si="144"/>
        <v>6.8594002513916327E-2</v>
      </c>
      <c r="J564" s="43">
        <f t="shared" si="145"/>
        <v>0</v>
      </c>
      <c r="K564" s="44" cm="1">
        <f t="array" ref="K564">IF(D564="Gadget",_xlfn.IFS(I564&gt;=0.2,0.5,I564&gt;=0.1,0.35,I564&gt;=0.05,0.2,TRUE,0),IF(D564="Grenade",_xlfn.IFS(I564&gt;=0.2,1,I564&gt;=0.1,0.7,I564&gt;=0.05,0.4,TRUE,0),0))</f>
        <v>0.2</v>
      </c>
      <c r="L564" s="57">
        <f t="shared" si="148"/>
        <v>0.28571428571428575</v>
      </c>
    </row>
    <row r="565" spans="1:12" ht="15" customHeight="1" x14ac:dyDescent="0.25">
      <c r="A565" s="42" t="str" cm="1">
        <f t="array" ref="A565">IFERROR(INDEX(_xlfn._xlws.FILTER(Class_Players!A:A,Class_Players!B:B="Support"),QUOTIENT(ROW()-ROW($A$2),9)+1),"")</f>
        <v>oHuey-</v>
      </c>
      <c r="B565" s="42" t="str">
        <f>_xlfn.XLOOKUP(A565,Class_Players!$A:$A,Class_Players!$B:$B,"")</f>
        <v>Support</v>
      </c>
      <c r="C565" s="38" t="str" cm="1">
        <f t="array" ref="C565">INDEX(Lookups!$D$2:$D$10,MOD(ROW()-ROW($B$2),ROWS(Lookups!$D$2:$D$10))+1)</f>
        <v>Deployable Cover</v>
      </c>
      <c r="D565" s="38" t="str">
        <f>_xlfn.XLOOKUP(C565,Analysis_Gadgets!$C:$C,Analysis_Gadgets!$B:$B)</f>
        <v>Gadget</v>
      </c>
      <c r="E565" s="43">
        <v>3692</v>
      </c>
      <c r="F565" s="43">
        <f>_xlfn.XLOOKUP(A565,Class_Players!A:A,Class_Players!G:G)</f>
        <v>450</v>
      </c>
      <c r="G565" s="43">
        <f t="shared" si="143"/>
        <v>8.2044444444444444</v>
      </c>
      <c r="H565" s="43">
        <f>_xlfn.XLOOKUP(A565,Class_Players!$A:$A,Class_Players!$F:$F,"")</f>
        <v>11138</v>
      </c>
      <c r="I565" s="44">
        <f t="shared" si="144"/>
        <v>0.33147782366672651</v>
      </c>
      <c r="J565" s="43">
        <f t="shared" si="145"/>
        <v>1</v>
      </c>
      <c r="K565" s="44" cm="1">
        <f t="array" ref="K565">IF(D565="Gadget",_xlfn.IFS(I565&gt;=0.2,0.5,I565&gt;=0.1,0.35,I565&gt;=0.05,0.2,TRUE,0),IF(D565="Grenade",_xlfn.IFS(I565&gt;=0.2,1,I565&gt;=0.1,0.7,I565&gt;=0.05,0.4,TRUE,0),0))</f>
        <v>0.5</v>
      </c>
      <c r="L565" s="57">
        <f t="shared" si="148"/>
        <v>0.7142857142857143</v>
      </c>
    </row>
    <row r="566" spans="1:12" ht="15" customHeight="1" x14ac:dyDescent="0.25">
      <c r="A566" s="42" t="str" cm="1">
        <f t="array" ref="A566">IFERROR(INDEX(_xlfn._xlws.FILTER(Class_Players!A:A,Class_Players!B:B="Support"),QUOTIENT(ROW()-ROW($A$2),9)+1),"")</f>
        <v>oHuey-</v>
      </c>
      <c r="B566" s="42" t="str">
        <f>_xlfn.XLOOKUP(A566,Class_Players!$A:$A,Class_Players!$B:$B,"")</f>
        <v>Support</v>
      </c>
      <c r="C566" s="38" t="str" cm="1">
        <f t="array" ref="C566">INDEX(Lookups!$D$2:$D$10,MOD(ROW()-ROW($B$2),ROWS(Lookups!$D$2:$D$10))+1)</f>
        <v>Supply Pouch</v>
      </c>
      <c r="D566" s="38" t="str">
        <f>_xlfn.XLOOKUP(C566,Analysis_Gadgets!$C:$C,Analysis_Gadgets!$B:$B)</f>
        <v>Gadget</v>
      </c>
      <c r="E566" s="43">
        <v>3</v>
      </c>
      <c r="F566" s="43">
        <f>_xlfn.XLOOKUP(A566,Class_Players!A:A,Class_Players!G:G)</f>
        <v>450</v>
      </c>
      <c r="G566" s="43">
        <f t="shared" si="143"/>
        <v>6.6666666666666671E-3</v>
      </c>
      <c r="H566" s="43">
        <f>_xlfn.XLOOKUP(A566,Class_Players!$A:$A,Class_Players!$F:$F,"")</f>
        <v>11138</v>
      </c>
      <c r="I566" s="44">
        <f t="shared" si="144"/>
        <v>2.6934817741066616E-4</v>
      </c>
      <c r="J566" s="43">
        <f t="shared" si="145"/>
        <v>0</v>
      </c>
      <c r="K566" s="44" cm="1">
        <f t="array" ref="K566">IF(D566="Gadget",_xlfn.IFS(I566&gt;=0.2,0.5,I566&gt;=0.1,0.35,I566&gt;=0.05,0.2,TRUE,0),IF(D566="Grenade",_xlfn.IFS(I566&gt;=0.2,1,I566&gt;=0.1,0.7,I566&gt;=0.05,0.4,TRUE,0),0))</f>
        <v>0</v>
      </c>
      <c r="L566" s="57">
        <f t="shared" si="148"/>
        <v>0</v>
      </c>
    </row>
    <row r="567" spans="1:12" ht="15" customHeight="1" x14ac:dyDescent="0.25">
      <c r="A567" s="42" t="str" cm="1">
        <f t="array" ref="A567">IFERROR(INDEX(_xlfn._xlws.FILTER(Class_Players!A:A,Class_Players!B:B="Support"),QUOTIENT(ROW()-ROW($A$2),9)+1),"")</f>
        <v>oHuey-</v>
      </c>
      <c r="B567" s="42" t="str">
        <f>_xlfn.XLOOKUP(A567,Class_Players!$A:$A,Class_Players!$B:$B,"")</f>
        <v>Support</v>
      </c>
      <c r="C567" s="38" t="str" cm="1">
        <f t="array" ref="C567">INDEX(Lookups!$D$2:$D$10,MOD(ROW()-ROW($B$2),ROWS(Lookups!$D$2:$D$10))+1)</f>
        <v>Smoke Grenade</v>
      </c>
      <c r="D567" s="38" t="str">
        <f>_xlfn.XLOOKUP(C567,Analysis_Gadgets!$C:$C,Analysis_Gadgets!$B:$B)</f>
        <v>Grenade</v>
      </c>
      <c r="E567" s="43">
        <v>3305</v>
      </c>
      <c r="F567" s="43">
        <f>_xlfn.XLOOKUP(A567,Class_Players!A:A,Class_Players!G:G)</f>
        <v>450</v>
      </c>
      <c r="G567" s="43">
        <f t="shared" si="143"/>
        <v>7.3444444444444441</v>
      </c>
      <c r="H567" s="43">
        <f>_xlfn.XLOOKUP(A567,Class_Players!$A:$A,Class_Players!$F:$F,"")</f>
        <v>11138</v>
      </c>
      <c r="I567" s="44">
        <f t="shared" si="144"/>
        <v>0.29673190878075056</v>
      </c>
      <c r="J567" s="43">
        <f t="shared" si="145"/>
        <v>1</v>
      </c>
      <c r="K567" s="44" cm="1">
        <f t="array" ref="K567">IF(D567="Gadget",_xlfn.IFS(I567&gt;=0.2,0.5,I567&gt;=0.1,0.35,I567&gt;=0.05,0.2,TRUE,0),IF(D567="Grenade",_xlfn.IFS(I567&gt;=0.2,1,I567&gt;=0.1,0.7,I567&gt;=0.05,0.4,TRUE,0),0))</f>
        <v>1</v>
      </c>
      <c r="L567" s="57">
        <f t="shared" ref="L567:L568" si="149">IF($K567=0,0,$K567 / SUMIFS($K:$K,$A:$A,$A567,$D:$D,"Grenade"))</f>
        <v>1</v>
      </c>
    </row>
    <row r="568" spans="1:12" ht="15" customHeight="1" x14ac:dyDescent="0.25">
      <c r="A568" s="42" t="str" cm="1">
        <f t="array" ref="A568">IFERROR(INDEX(_xlfn._xlws.FILTER(Class_Players!A:A,Class_Players!B:B="Support"),QUOTIENT(ROW()-ROW($A$2),9)+1),"")</f>
        <v>oHuey-</v>
      </c>
      <c r="B568" s="42" t="str">
        <f>_xlfn.XLOOKUP(A568,Class_Players!$A:$A,Class_Players!$B:$B,"")</f>
        <v>Support</v>
      </c>
      <c r="C568" s="38" t="str" cm="1">
        <f t="array" ref="C568">INDEX(Lookups!$D$2:$D$10,MOD(ROW()-ROW($B$2),ROWS(Lookups!$D$2:$D$10))+1)</f>
        <v>Incendiary Grenade</v>
      </c>
      <c r="D568" s="38" t="str">
        <f>_xlfn.XLOOKUP(C568,Analysis_Gadgets!$C:$C,Analysis_Gadgets!$B:$B)</f>
        <v>Grenade</v>
      </c>
      <c r="E568" s="43">
        <v>14</v>
      </c>
      <c r="F568" s="43">
        <f>_xlfn.XLOOKUP(A568,Class_Players!A:A,Class_Players!G:G)</f>
        <v>450</v>
      </c>
      <c r="G568" s="43">
        <f t="shared" si="143"/>
        <v>3.111111111111111E-2</v>
      </c>
      <c r="H568" s="43">
        <f>_xlfn.XLOOKUP(A568,Class_Players!$A:$A,Class_Players!$F:$F,"")</f>
        <v>11138</v>
      </c>
      <c r="I568" s="44">
        <f t="shared" si="144"/>
        <v>1.2569581612497755E-3</v>
      </c>
      <c r="J568" s="43">
        <f t="shared" si="145"/>
        <v>0</v>
      </c>
      <c r="K568" s="44" cm="1">
        <f t="array" ref="K568">IF(D568="Gadget",_xlfn.IFS(I568&gt;=0.2,0.5,I568&gt;=0.1,0.35,I568&gt;=0.05,0.2,TRUE,0),IF(D568="Grenade",_xlfn.IFS(I568&gt;=0.2,1,I568&gt;=0.1,0.7,I568&gt;=0.05,0.4,TRUE,0),0))</f>
        <v>0</v>
      </c>
      <c r="L568" s="57">
        <f t="shared" si="149"/>
        <v>0</v>
      </c>
    </row>
    <row r="569" spans="1:12" ht="15" customHeight="1" x14ac:dyDescent="0.25">
      <c r="A569" s="42" t="str" cm="1">
        <f t="array" ref="A569">IFERROR(INDEX(_xlfn._xlws.FILTER(Class_Players!A:A,Class_Players!B:B="Support"),QUOTIENT(ROW()-ROW($A$2),9)+1),"")</f>
        <v>PesoKNG</v>
      </c>
      <c r="B569" s="42" t="str">
        <f>_xlfn.XLOOKUP(A569,Class_Players!$A:$A,Class_Players!$B:$B,"")</f>
        <v>Support</v>
      </c>
      <c r="C569" s="38" t="str" cm="1">
        <f t="array" ref="C569">INDEX(Lookups!$D$2:$D$10,MOD(ROW()-ROW($B$2),ROWS(Lookups!$D$2:$D$10))+1)</f>
        <v>GPDIS (Grenade intercept system)</v>
      </c>
      <c r="D569" s="38" t="str">
        <f>_xlfn.XLOOKUP(C569,Analysis_Gadgets!$C:$C,Analysis_Gadgets!$B:$B)</f>
        <v>Gadget</v>
      </c>
      <c r="E569" s="43">
        <v>108</v>
      </c>
      <c r="F569" s="43">
        <f>_xlfn.XLOOKUP(A569,Class_Players!A:A,Class_Players!G:G)</f>
        <v>289</v>
      </c>
      <c r="G569" s="43">
        <f t="shared" si="143"/>
        <v>0.37370242214532873</v>
      </c>
      <c r="H569" s="43">
        <f>_xlfn.XLOOKUP(A569,Class_Players!$A:$A,Class_Players!$F:$F,"")</f>
        <v>11249</v>
      </c>
      <c r="I569" s="44">
        <f t="shared" si="144"/>
        <v>9.6008534091919281E-3</v>
      </c>
      <c r="J569" s="43">
        <f t="shared" si="145"/>
        <v>0</v>
      </c>
      <c r="K569" s="44" cm="1">
        <f t="array" ref="K569">IF(D569="Gadget",_xlfn.IFS(I569&gt;=0.2,0.5,I569&gt;=0.1,0.35,I569&gt;=0.05,0.2,TRUE,0),IF(D569="Grenade",_xlfn.IFS(I569&gt;=0.2,1,I569&gt;=0.1,0.7,I569&gt;=0.05,0.4,TRUE,0),0))</f>
        <v>0</v>
      </c>
      <c r="L569" s="57">
        <f t="shared" ref="L569:L575" si="150">IF($K569=0,0,$K569 / SUMIFS($K:$K,$A:$A,$A569,$D:$D,"Gadget"))</f>
        <v>0</v>
      </c>
    </row>
    <row r="570" spans="1:12" ht="15" customHeight="1" x14ac:dyDescent="0.25">
      <c r="A570" s="42" t="str" cm="1">
        <f t="array" ref="A570">IFERROR(INDEX(_xlfn._xlws.FILTER(Class_Players!A:A,Class_Players!B:B="Support"),QUOTIENT(ROW()-ROW($A$2),9)+1),"")</f>
        <v>PesoKNG</v>
      </c>
      <c r="B570" s="42" t="str">
        <f>_xlfn.XLOOKUP(A570,Class_Players!$A:$A,Class_Players!$B:$B,"")</f>
        <v>Support</v>
      </c>
      <c r="C570" s="38" t="str" cm="1">
        <f t="array" ref="C570">INDEX(Lookups!$D$2:$D$10,MOD(ROW()-ROW($B$2),ROWS(Lookups!$D$2:$D$10))+1)</f>
        <v>MP-APS (Missile intercept system)</v>
      </c>
      <c r="D570" s="38" t="str">
        <f>_xlfn.XLOOKUP(C570,Analysis_Gadgets!$C:$C,Analysis_Gadgets!$B:$B)</f>
        <v>Gadget</v>
      </c>
      <c r="E570" s="43">
        <v>1</v>
      </c>
      <c r="F570" s="43">
        <f>_xlfn.XLOOKUP(A570,Class_Players!A:A,Class_Players!G:G)</f>
        <v>289</v>
      </c>
      <c r="G570" s="43">
        <f t="shared" si="143"/>
        <v>3.4602076124567475E-3</v>
      </c>
      <c r="H570" s="43">
        <f>_xlfn.XLOOKUP(A570,Class_Players!$A:$A,Class_Players!$F:$F,"")</f>
        <v>11249</v>
      </c>
      <c r="I570" s="44">
        <f t="shared" si="144"/>
        <v>8.8896790825851186E-5</v>
      </c>
      <c r="J570" s="43">
        <f t="shared" si="145"/>
        <v>0</v>
      </c>
      <c r="K570" s="44" cm="1">
        <f t="array" ref="K570">IF(D570="Gadget",_xlfn.IFS(I570&gt;=0.2,0.5,I570&gt;=0.1,0.35,I570&gt;=0.05,0.2,TRUE,0),IF(D570="Grenade",_xlfn.IFS(I570&gt;=0.2,1,I570&gt;=0.1,0.7,I570&gt;=0.05,0.4,TRUE,0),0))</f>
        <v>0</v>
      </c>
      <c r="L570" s="57">
        <f t="shared" si="150"/>
        <v>0</v>
      </c>
    </row>
    <row r="571" spans="1:12" ht="15" customHeight="1" x14ac:dyDescent="0.25">
      <c r="A571" s="42" t="str" cm="1">
        <f t="array" ref="A571">IFERROR(INDEX(_xlfn._xlws.FILTER(Class_Players!A:A,Class_Players!B:B="Support"),QUOTIENT(ROW()-ROW($A$2),9)+1),"")</f>
        <v>PesoKNG</v>
      </c>
      <c r="B571" s="42" t="str">
        <f>_xlfn.XLOOKUP(A571,Class_Players!$A:$A,Class_Players!$B:$B,"")</f>
        <v>Support</v>
      </c>
      <c r="C571" s="38" t="str" cm="1">
        <f t="array" ref="C571">INDEX(Lookups!$D$2:$D$10,MOD(ROW()-ROW($B$2),ROWS(Lookups!$D$2:$D$10))+1)</f>
        <v>LWCMS (Mortar)</v>
      </c>
      <c r="D571" s="38" t="str">
        <f>_xlfn.XLOOKUP(C571,Analysis_Gadgets!$C:$C,Analysis_Gadgets!$B:$B)</f>
        <v>Gadget</v>
      </c>
      <c r="E571" s="43">
        <v>4</v>
      </c>
      <c r="F571" s="43">
        <f>_xlfn.XLOOKUP(A571,Class_Players!A:A,Class_Players!G:G)</f>
        <v>289</v>
      </c>
      <c r="G571" s="43">
        <f t="shared" si="143"/>
        <v>1.384083044982699E-2</v>
      </c>
      <c r="H571" s="43">
        <f>_xlfn.XLOOKUP(A571,Class_Players!$A:$A,Class_Players!$F:$F,"")</f>
        <v>11249</v>
      </c>
      <c r="I571" s="44">
        <f t="shared" si="144"/>
        <v>3.5558716330340474E-4</v>
      </c>
      <c r="J571" s="43">
        <f t="shared" si="145"/>
        <v>0</v>
      </c>
      <c r="K571" s="44" cm="1">
        <f t="array" ref="K571">IF(D571="Gadget",_xlfn.IFS(I571&gt;=0.2,0.5,I571&gt;=0.1,0.35,I571&gt;=0.05,0.2,TRUE,0),IF(D571="Grenade",_xlfn.IFS(I571&gt;=0.2,1,I571&gt;=0.1,0.7,I571&gt;=0.05,0.4,TRUE,0),0))</f>
        <v>0</v>
      </c>
      <c r="L571" s="57">
        <f t="shared" si="150"/>
        <v>0</v>
      </c>
    </row>
    <row r="572" spans="1:12" ht="15" customHeight="1" x14ac:dyDescent="0.25">
      <c r="A572" s="42" t="str" cm="1">
        <f t="array" ref="A572">IFERROR(INDEX(_xlfn._xlws.FILTER(Class_Players!A:A,Class_Players!B:B="Support"),QUOTIENT(ROW()-ROW($A$2),9)+1),"")</f>
        <v>PesoKNG</v>
      </c>
      <c r="B572" s="42" t="str">
        <f>_xlfn.XLOOKUP(A572,Class_Players!$A:$A,Class_Players!$B:$B,"")</f>
        <v>Support</v>
      </c>
      <c r="C572" s="38" t="str" cm="1">
        <f t="array" ref="C572">INDEX(Lookups!$D$2:$D$10,MOD(ROW()-ROW($B$2),ROWS(Lookups!$D$2:$D$10))+1)</f>
        <v>M320A1 SMK (Smoke Grenade Launcher)</v>
      </c>
      <c r="D572" s="38" t="str">
        <f>_xlfn.XLOOKUP(C572,Analysis_Gadgets!$C:$C,Analysis_Gadgets!$B:$B)</f>
        <v>Gadget</v>
      </c>
      <c r="E572" s="43">
        <v>252</v>
      </c>
      <c r="F572" s="43">
        <f>_xlfn.XLOOKUP(A572,Class_Players!A:A,Class_Players!G:G)</f>
        <v>289</v>
      </c>
      <c r="G572" s="43">
        <f t="shared" si="143"/>
        <v>0.87197231833910038</v>
      </c>
      <c r="H572" s="43">
        <f>_xlfn.XLOOKUP(A572,Class_Players!$A:$A,Class_Players!$F:$F,"")</f>
        <v>11249</v>
      </c>
      <c r="I572" s="44">
        <f t="shared" si="144"/>
        <v>2.2401991288114501E-2</v>
      </c>
      <c r="J572" s="43">
        <f t="shared" si="145"/>
        <v>0</v>
      </c>
      <c r="K572" s="44" cm="1">
        <f t="array" ref="K572">IF(D572="Gadget",_xlfn.IFS(I572&gt;=0.2,0.5,I572&gt;=0.1,0.35,I572&gt;=0.05,0.2,TRUE,0),IF(D572="Grenade",_xlfn.IFS(I572&gt;=0.2,1,I572&gt;=0.1,0.7,I572&gt;=0.05,0.4,TRUE,0),0))</f>
        <v>0</v>
      </c>
      <c r="L572" s="57">
        <f t="shared" si="150"/>
        <v>0</v>
      </c>
    </row>
    <row r="573" spans="1:12" ht="15" customHeight="1" x14ac:dyDescent="0.25">
      <c r="A573" s="42" t="str" cm="1">
        <f t="array" ref="A573">IFERROR(INDEX(_xlfn._xlws.FILTER(Class_Players!A:A,Class_Players!B:B="Support"),QUOTIENT(ROW()-ROW($A$2),9)+1),"")</f>
        <v>PesoKNG</v>
      </c>
      <c r="B573" s="42" t="str">
        <f>_xlfn.XLOOKUP(A573,Class_Players!$A:$A,Class_Players!$B:$B,"")</f>
        <v>Support</v>
      </c>
      <c r="C573" s="38" t="str" cm="1">
        <f t="array" ref="C573">INDEX(Lookups!$D$2:$D$10,MOD(ROW()-ROW($B$2),ROWS(Lookups!$D$2:$D$10))+1)</f>
        <v>SICH G1 WP (Incendiary Airburst Launcher)</v>
      </c>
      <c r="D573" s="38" t="str">
        <f>_xlfn.XLOOKUP(C573,Analysis_Gadgets!$C:$C,Analysis_Gadgets!$B:$B)</f>
        <v>Gadget</v>
      </c>
      <c r="E573" s="43">
        <v>1227</v>
      </c>
      <c r="F573" s="43">
        <f>_xlfn.XLOOKUP(A573,Class_Players!A:A,Class_Players!G:G)</f>
        <v>289</v>
      </c>
      <c r="G573" s="43">
        <f t="shared" si="143"/>
        <v>4.2456747404844295</v>
      </c>
      <c r="H573" s="43">
        <f>_xlfn.XLOOKUP(A573,Class_Players!$A:$A,Class_Players!$F:$F,"")</f>
        <v>11249</v>
      </c>
      <c r="I573" s="44">
        <f t="shared" si="144"/>
        <v>0.10907636234331941</v>
      </c>
      <c r="J573" s="43">
        <f t="shared" si="145"/>
        <v>1</v>
      </c>
      <c r="K573" s="44" cm="1">
        <f t="array" ref="K573">IF(D573="Gadget",_xlfn.IFS(I573&gt;=0.2,0.5,I573&gt;=0.1,0.35,I573&gt;=0.05,0.2,TRUE,0),IF(D573="Grenade",_xlfn.IFS(I573&gt;=0.2,1,I573&gt;=0.1,0.7,I573&gt;=0.05,0.4,TRUE,0),0))</f>
        <v>0.35</v>
      </c>
      <c r="L573" s="57">
        <f t="shared" si="150"/>
        <v>0.63636363636363624</v>
      </c>
    </row>
    <row r="574" spans="1:12" ht="15" customHeight="1" x14ac:dyDescent="0.25">
      <c r="A574" s="42" t="str" cm="1">
        <f t="array" ref="A574">IFERROR(INDEX(_xlfn._xlws.FILTER(Class_Players!A:A,Class_Players!B:B="Support"),QUOTIENT(ROW()-ROW($A$2),9)+1),"")</f>
        <v>PesoKNG</v>
      </c>
      <c r="B574" s="42" t="str">
        <f>_xlfn.XLOOKUP(A574,Class_Players!$A:$A,Class_Players!$B:$B,"")</f>
        <v>Support</v>
      </c>
      <c r="C574" s="38" t="str" cm="1">
        <f t="array" ref="C574">INDEX(Lookups!$D$2:$D$10,MOD(ROW()-ROW($B$2),ROWS(Lookups!$D$2:$D$10))+1)</f>
        <v>Deployable Cover</v>
      </c>
      <c r="D574" s="38" t="str">
        <f>_xlfn.XLOOKUP(C574,Analysis_Gadgets!$C:$C,Analysis_Gadgets!$B:$B)</f>
        <v>Gadget</v>
      </c>
      <c r="E574" s="43">
        <v>594</v>
      </c>
      <c r="F574" s="43">
        <f>_xlfn.XLOOKUP(A574,Class_Players!A:A,Class_Players!G:G)</f>
        <v>289</v>
      </c>
      <c r="G574" s="43">
        <f t="shared" si="143"/>
        <v>2.0553633217993079</v>
      </c>
      <c r="H574" s="43">
        <f>_xlfn.XLOOKUP(A574,Class_Players!$A:$A,Class_Players!$F:$F,"")</f>
        <v>11249</v>
      </c>
      <c r="I574" s="44">
        <f t="shared" si="144"/>
        <v>5.2804693750555604E-2</v>
      </c>
      <c r="J574" s="43">
        <f t="shared" si="145"/>
        <v>0</v>
      </c>
      <c r="K574" s="44" cm="1">
        <f t="array" ref="K574">IF(D574="Gadget",_xlfn.IFS(I574&gt;=0.2,0.5,I574&gt;=0.1,0.35,I574&gt;=0.05,0.2,TRUE,0),IF(D574="Grenade",_xlfn.IFS(I574&gt;=0.2,1,I574&gt;=0.1,0.7,I574&gt;=0.05,0.4,TRUE,0),0))</f>
        <v>0.2</v>
      </c>
      <c r="L574" s="57">
        <f t="shared" si="150"/>
        <v>0.36363636363636365</v>
      </c>
    </row>
    <row r="575" spans="1:12" ht="15" customHeight="1" x14ac:dyDescent="0.25">
      <c r="A575" s="42" t="str" cm="1">
        <f t="array" ref="A575">IFERROR(INDEX(_xlfn._xlws.FILTER(Class_Players!A:A,Class_Players!B:B="Support"),QUOTIENT(ROW()-ROW($A$2),9)+1),"")</f>
        <v>PesoKNG</v>
      </c>
      <c r="B575" s="42" t="str">
        <f>_xlfn.XLOOKUP(A575,Class_Players!$A:$A,Class_Players!$B:$B,"")</f>
        <v>Support</v>
      </c>
      <c r="C575" s="38" t="str" cm="1">
        <f t="array" ref="C575">INDEX(Lookups!$D$2:$D$10,MOD(ROW()-ROW($B$2),ROWS(Lookups!$D$2:$D$10))+1)</f>
        <v>Supply Pouch</v>
      </c>
      <c r="D575" s="38" t="str">
        <f>_xlfn.XLOOKUP(C575,Analysis_Gadgets!$C:$C,Analysis_Gadgets!$B:$B)</f>
        <v>Gadget</v>
      </c>
      <c r="E575" s="43">
        <v>410</v>
      </c>
      <c r="F575" s="43">
        <f>_xlfn.XLOOKUP(A575,Class_Players!A:A,Class_Players!G:G)</f>
        <v>289</v>
      </c>
      <c r="G575" s="43">
        <f t="shared" si="143"/>
        <v>1.4186851211072664</v>
      </c>
      <c r="H575" s="43">
        <f>_xlfn.XLOOKUP(A575,Class_Players!$A:$A,Class_Players!$F:$F,"")</f>
        <v>11249</v>
      </c>
      <c r="I575" s="44">
        <f t="shared" si="144"/>
        <v>3.6447684238598989E-2</v>
      </c>
      <c r="J575" s="43">
        <f t="shared" si="145"/>
        <v>0</v>
      </c>
      <c r="K575" s="44" cm="1">
        <f t="array" ref="K575">IF(D575="Gadget",_xlfn.IFS(I575&gt;=0.2,0.5,I575&gt;=0.1,0.35,I575&gt;=0.05,0.2,TRUE,0),IF(D575="Grenade",_xlfn.IFS(I575&gt;=0.2,1,I575&gt;=0.1,0.7,I575&gt;=0.05,0.4,TRUE,0),0))</f>
        <v>0</v>
      </c>
      <c r="L575" s="57">
        <f t="shared" si="150"/>
        <v>0</v>
      </c>
    </row>
    <row r="576" spans="1:12" ht="15" customHeight="1" x14ac:dyDescent="0.25">
      <c r="A576" s="42" t="str" cm="1">
        <f t="array" ref="A576">IFERROR(INDEX(_xlfn._xlws.FILTER(Class_Players!A:A,Class_Players!B:B="Support"),QUOTIENT(ROW()-ROW($A$2),9)+1),"")</f>
        <v>PesoKNG</v>
      </c>
      <c r="B576" s="42" t="str">
        <f>_xlfn.XLOOKUP(A576,Class_Players!$A:$A,Class_Players!$B:$B,"")</f>
        <v>Support</v>
      </c>
      <c r="C576" s="38" t="str" cm="1">
        <f t="array" ref="C576">INDEX(Lookups!$D$2:$D$10,MOD(ROW()-ROW($B$2),ROWS(Lookups!$D$2:$D$10))+1)</f>
        <v>Smoke Grenade</v>
      </c>
      <c r="D576" s="38" t="str">
        <f>_xlfn.XLOOKUP(C576,Analysis_Gadgets!$C:$C,Analysis_Gadgets!$B:$B)</f>
        <v>Grenade</v>
      </c>
      <c r="E576" s="43">
        <v>438</v>
      </c>
      <c r="F576" s="43">
        <f>_xlfn.XLOOKUP(A576,Class_Players!A:A,Class_Players!G:G)</f>
        <v>289</v>
      </c>
      <c r="G576" s="43">
        <f t="shared" si="143"/>
        <v>1.5155709342560553</v>
      </c>
      <c r="H576" s="43">
        <f>_xlfn.XLOOKUP(A576,Class_Players!$A:$A,Class_Players!$F:$F,"")</f>
        <v>11249</v>
      </c>
      <c r="I576" s="44">
        <f t="shared" si="144"/>
        <v>3.8936794381722817E-2</v>
      </c>
      <c r="J576" s="43">
        <f t="shared" si="145"/>
        <v>0</v>
      </c>
      <c r="K576" s="44" cm="1">
        <f t="array" ref="K576">IF(D576="Gadget",_xlfn.IFS(I576&gt;=0.2,0.5,I576&gt;=0.1,0.35,I576&gt;=0.05,0.2,TRUE,0),IF(D576="Grenade",_xlfn.IFS(I576&gt;=0.2,1,I576&gt;=0.1,0.7,I576&gt;=0.05,0.4,TRUE,0),0))</f>
        <v>0</v>
      </c>
      <c r="L576" s="57">
        <f t="shared" ref="L576:L577" si="151">IF($K576=0,0,$K576 / SUMIFS($K:$K,$A:$A,$A576,$D:$D,"Grenade"))</f>
        <v>0</v>
      </c>
    </row>
    <row r="577" spans="1:12" ht="15" customHeight="1" x14ac:dyDescent="0.25">
      <c r="A577" s="42" t="str" cm="1">
        <f t="array" ref="A577">IFERROR(INDEX(_xlfn._xlws.FILTER(Class_Players!A:A,Class_Players!B:B="Support"),QUOTIENT(ROW()-ROW($A$2),9)+1),"")</f>
        <v>PesoKNG</v>
      </c>
      <c r="B577" s="42" t="str">
        <f>_xlfn.XLOOKUP(A577,Class_Players!$A:$A,Class_Players!$B:$B,"")</f>
        <v>Support</v>
      </c>
      <c r="C577" s="38" t="str" cm="1">
        <f t="array" ref="C577">INDEX(Lookups!$D$2:$D$10,MOD(ROW()-ROW($B$2),ROWS(Lookups!$D$2:$D$10))+1)</f>
        <v>Incendiary Grenade</v>
      </c>
      <c r="D577" s="38" t="str">
        <f>_xlfn.XLOOKUP(C577,Analysis_Gadgets!$C:$C,Analysis_Gadgets!$B:$B)</f>
        <v>Grenade</v>
      </c>
      <c r="E577" s="43">
        <v>192</v>
      </c>
      <c r="F577" s="43">
        <f>_xlfn.XLOOKUP(A577,Class_Players!A:A,Class_Players!G:G)</f>
        <v>289</v>
      </c>
      <c r="G577" s="43">
        <f t="shared" si="143"/>
        <v>0.66435986159169547</v>
      </c>
      <c r="H577" s="43">
        <f>_xlfn.XLOOKUP(A577,Class_Players!$A:$A,Class_Players!$F:$F,"")</f>
        <v>11249</v>
      </c>
      <c r="I577" s="44">
        <f t="shared" si="144"/>
        <v>1.7068183838563428E-2</v>
      </c>
      <c r="J577" s="43">
        <f t="shared" si="145"/>
        <v>0</v>
      </c>
      <c r="K577" s="44" cm="1">
        <f t="array" ref="K577">IF(D577="Gadget",_xlfn.IFS(I577&gt;=0.2,0.5,I577&gt;=0.1,0.35,I577&gt;=0.05,0.2,TRUE,0),IF(D577="Grenade",_xlfn.IFS(I577&gt;=0.2,1,I577&gt;=0.1,0.7,I577&gt;=0.05,0.4,TRUE,0),0))</f>
        <v>0</v>
      </c>
      <c r="L577" s="57">
        <f t="shared" si="151"/>
        <v>0</v>
      </c>
    </row>
    <row r="578" spans="1:12" ht="15" customHeight="1" x14ac:dyDescent="0.25">
      <c r="A578" s="42" t="str" cm="1">
        <f t="array" ref="A578">IFERROR(INDEX(_xlfn._xlws.FILTER(Class_Players!A:A,Class_Players!B:B="Support"),QUOTIENT(ROW()-ROW($A$2),9)+1),"")</f>
        <v>etozhechase</v>
      </c>
      <c r="B578" s="42" t="str">
        <f>_xlfn.XLOOKUP(A578,Class_Players!$A:$A,Class_Players!$B:$B,"")</f>
        <v>Support</v>
      </c>
      <c r="C578" s="38" t="str" cm="1">
        <f t="array" ref="C578">INDEX(Lookups!$D$2:$D$10,MOD(ROW()-ROW($B$2),ROWS(Lookups!$D$2:$D$10))+1)</f>
        <v>GPDIS (Grenade intercept system)</v>
      </c>
      <c r="D578" s="38" t="str">
        <f>_xlfn.XLOOKUP(C578,Analysis_Gadgets!$C:$C,Analysis_Gadgets!$B:$B)</f>
        <v>Gadget</v>
      </c>
      <c r="E578" s="43">
        <v>158</v>
      </c>
      <c r="F578" s="43">
        <f>_xlfn.XLOOKUP(A578,Class_Players!A:A,Class_Players!G:G)</f>
        <v>203</v>
      </c>
      <c r="G578" s="43">
        <f t="shared" si="143"/>
        <v>0.77832512315270941</v>
      </c>
      <c r="H578" s="43">
        <f>_xlfn.XLOOKUP(A578,Class_Players!$A:$A,Class_Players!$F:$F,"")</f>
        <v>11078</v>
      </c>
      <c r="I578" s="44">
        <f t="shared" si="144"/>
        <v>1.426250225672504E-2</v>
      </c>
      <c r="J578" s="43">
        <f t="shared" si="145"/>
        <v>0</v>
      </c>
      <c r="K578" s="44" cm="1">
        <f t="array" ref="K578">IF(D578="Gadget",_xlfn.IFS(I578&gt;=0.2,0.5,I578&gt;=0.1,0.35,I578&gt;=0.05,0.2,TRUE,0),IF(D578="Grenade",_xlfn.IFS(I578&gt;=0.2,1,I578&gt;=0.1,0.7,I578&gt;=0.05,0.4,TRUE,0),0))</f>
        <v>0</v>
      </c>
      <c r="L578" s="57">
        <f t="shared" ref="L578:L584" si="152">IF($K578=0,0,$K578 / SUMIFS($K:$K,$A:$A,$A578,$D:$D,"Gadget"))</f>
        <v>0</v>
      </c>
    </row>
    <row r="579" spans="1:12" ht="15" customHeight="1" x14ac:dyDescent="0.25">
      <c r="A579" s="42" t="str" cm="1">
        <f t="array" ref="A579">IFERROR(INDEX(_xlfn._xlws.FILTER(Class_Players!A:A,Class_Players!B:B="Support"),QUOTIENT(ROW()-ROW($A$2),9)+1),"")</f>
        <v>etozhechase</v>
      </c>
      <c r="B579" s="42" t="str">
        <f>_xlfn.XLOOKUP(A579,Class_Players!$A:$A,Class_Players!$B:$B,"")</f>
        <v>Support</v>
      </c>
      <c r="C579" s="38" t="str" cm="1">
        <f t="array" ref="C579">INDEX(Lookups!$D$2:$D$10,MOD(ROW()-ROW($B$2),ROWS(Lookups!$D$2:$D$10))+1)</f>
        <v>MP-APS (Missile intercept system)</v>
      </c>
      <c r="D579" s="38" t="str">
        <f>_xlfn.XLOOKUP(C579,Analysis_Gadgets!$C:$C,Analysis_Gadgets!$B:$B)</f>
        <v>Gadget</v>
      </c>
      <c r="E579" s="43">
        <v>1</v>
      </c>
      <c r="F579" s="43">
        <f>_xlfn.XLOOKUP(A579,Class_Players!A:A,Class_Players!G:G)</f>
        <v>203</v>
      </c>
      <c r="G579" s="43">
        <f t="shared" si="143"/>
        <v>4.9261083743842365E-3</v>
      </c>
      <c r="H579" s="43">
        <f>_xlfn.XLOOKUP(A579,Class_Players!$A:$A,Class_Players!$F:$F,"")</f>
        <v>11078</v>
      </c>
      <c r="I579" s="44">
        <f t="shared" si="144"/>
        <v>9.0269001624842024E-5</v>
      </c>
      <c r="J579" s="43">
        <f t="shared" si="145"/>
        <v>0</v>
      </c>
      <c r="K579" s="44" cm="1">
        <f t="array" ref="K579">IF(D579="Gadget",_xlfn.IFS(I579&gt;=0.2,0.5,I579&gt;=0.1,0.35,I579&gt;=0.05,0.2,TRUE,0),IF(D579="Grenade",_xlfn.IFS(I579&gt;=0.2,1,I579&gt;=0.1,0.7,I579&gt;=0.05,0.4,TRUE,0),0))</f>
        <v>0</v>
      </c>
      <c r="L579" s="57">
        <f t="shared" si="152"/>
        <v>0</v>
      </c>
    </row>
    <row r="580" spans="1:12" ht="15" customHeight="1" x14ac:dyDescent="0.25">
      <c r="A580" s="42" t="str" cm="1">
        <f t="array" ref="A580">IFERROR(INDEX(_xlfn._xlws.FILTER(Class_Players!A:A,Class_Players!B:B="Support"),QUOTIENT(ROW()-ROW($A$2),9)+1),"")</f>
        <v>etozhechase</v>
      </c>
      <c r="B580" s="42" t="str">
        <f>_xlfn.XLOOKUP(A580,Class_Players!$A:$A,Class_Players!$B:$B,"")</f>
        <v>Support</v>
      </c>
      <c r="C580" s="38" t="str" cm="1">
        <f t="array" ref="C580">INDEX(Lookups!$D$2:$D$10,MOD(ROW()-ROW($B$2),ROWS(Lookups!$D$2:$D$10))+1)</f>
        <v>LWCMS (Mortar)</v>
      </c>
      <c r="D580" s="38" t="str">
        <f>_xlfn.XLOOKUP(C580,Analysis_Gadgets!$C:$C,Analysis_Gadgets!$B:$B)</f>
        <v>Gadget</v>
      </c>
      <c r="E580" s="43">
        <v>52</v>
      </c>
      <c r="F580" s="43">
        <f>_xlfn.XLOOKUP(A580,Class_Players!A:A,Class_Players!G:G)</f>
        <v>203</v>
      </c>
      <c r="G580" s="43">
        <f t="shared" si="143"/>
        <v>0.25615763546798032</v>
      </c>
      <c r="H580" s="43">
        <f>_xlfn.XLOOKUP(A580,Class_Players!$A:$A,Class_Players!$F:$F,"")</f>
        <v>11078</v>
      </c>
      <c r="I580" s="44">
        <f t="shared" si="144"/>
        <v>4.6939880844917856E-3</v>
      </c>
      <c r="J580" s="43">
        <f t="shared" si="145"/>
        <v>0</v>
      </c>
      <c r="K580" s="44" cm="1">
        <f t="array" ref="K580">IF(D580="Gadget",_xlfn.IFS(I580&gt;=0.2,0.5,I580&gt;=0.1,0.35,I580&gt;=0.05,0.2,TRUE,0),IF(D580="Grenade",_xlfn.IFS(I580&gt;=0.2,1,I580&gt;=0.1,0.7,I580&gt;=0.05,0.4,TRUE,0),0))</f>
        <v>0</v>
      </c>
      <c r="L580" s="57">
        <f t="shared" si="152"/>
        <v>0</v>
      </c>
    </row>
    <row r="581" spans="1:12" ht="15" customHeight="1" x14ac:dyDescent="0.25">
      <c r="A581" s="42" t="str" cm="1">
        <f t="array" ref="A581">IFERROR(INDEX(_xlfn._xlws.FILTER(Class_Players!A:A,Class_Players!B:B="Support"),QUOTIENT(ROW()-ROW($A$2),9)+1),"")</f>
        <v>etozhechase</v>
      </c>
      <c r="B581" s="42" t="str">
        <f>_xlfn.XLOOKUP(A581,Class_Players!$A:$A,Class_Players!$B:$B,"")</f>
        <v>Support</v>
      </c>
      <c r="C581" s="38" t="str" cm="1">
        <f t="array" ref="C581">INDEX(Lookups!$D$2:$D$10,MOD(ROW()-ROW($B$2),ROWS(Lookups!$D$2:$D$10))+1)</f>
        <v>M320A1 SMK (Smoke Grenade Launcher)</v>
      </c>
      <c r="D581" s="38" t="str">
        <f>_xlfn.XLOOKUP(C581,Analysis_Gadgets!$C:$C,Analysis_Gadgets!$B:$B)</f>
        <v>Gadget</v>
      </c>
      <c r="E581" s="43">
        <v>511</v>
      </c>
      <c r="F581" s="43">
        <f>_xlfn.XLOOKUP(A581,Class_Players!A:A,Class_Players!G:G)</f>
        <v>203</v>
      </c>
      <c r="G581" s="43">
        <f t="shared" si="143"/>
        <v>2.5172413793103448</v>
      </c>
      <c r="H581" s="43">
        <f>_xlfn.XLOOKUP(A581,Class_Players!$A:$A,Class_Players!$F:$F,"")</f>
        <v>11078</v>
      </c>
      <c r="I581" s="44">
        <f t="shared" si="144"/>
        <v>4.612745983029428E-2</v>
      </c>
      <c r="J581" s="43">
        <f t="shared" si="145"/>
        <v>0</v>
      </c>
      <c r="K581" s="44" cm="1">
        <f t="array" ref="K581">IF(D581="Gadget",_xlfn.IFS(I581&gt;=0.2,0.5,I581&gt;=0.1,0.35,I581&gt;=0.05,0.2,TRUE,0),IF(D581="Grenade",_xlfn.IFS(I581&gt;=0.2,1,I581&gt;=0.1,0.7,I581&gt;=0.05,0.4,TRUE,0),0))</f>
        <v>0</v>
      </c>
      <c r="L581" s="57">
        <f t="shared" si="152"/>
        <v>0</v>
      </c>
    </row>
    <row r="582" spans="1:12" ht="15" customHeight="1" x14ac:dyDescent="0.25">
      <c r="A582" s="42" t="str" cm="1">
        <f t="array" ref="A582">IFERROR(INDEX(_xlfn._xlws.FILTER(Class_Players!A:A,Class_Players!B:B="Support"),QUOTIENT(ROW()-ROW($A$2),9)+1),"")</f>
        <v>etozhechase</v>
      </c>
      <c r="B582" s="42" t="str">
        <f>_xlfn.XLOOKUP(A582,Class_Players!$A:$A,Class_Players!$B:$B,"")</f>
        <v>Support</v>
      </c>
      <c r="C582" s="38" t="str" cm="1">
        <f t="array" ref="C582">INDEX(Lookups!$D$2:$D$10,MOD(ROW()-ROW($B$2),ROWS(Lookups!$D$2:$D$10))+1)</f>
        <v>SICH G1 WP (Incendiary Airburst Launcher)</v>
      </c>
      <c r="D582" s="38" t="str">
        <f>_xlfn.XLOOKUP(C582,Analysis_Gadgets!$C:$C,Analysis_Gadgets!$B:$B)</f>
        <v>Gadget</v>
      </c>
      <c r="E582" s="43">
        <v>1287</v>
      </c>
      <c r="F582" s="43">
        <f>_xlfn.XLOOKUP(A582,Class_Players!A:A,Class_Players!G:G)</f>
        <v>203</v>
      </c>
      <c r="G582" s="43">
        <f t="shared" si="143"/>
        <v>6.3399014778325125</v>
      </c>
      <c r="H582" s="43">
        <f>_xlfn.XLOOKUP(A582,Class_Players!$A:$A,Class_Players!$F:$F,"")</f>
        <v>11078</v>
      </c>
      <c r="I582" s="44">
        <f t="shared" si="144"/>
        <v>0.11617620509117169</v>
      </c>
      <c r="J582" s="43">
        <f t="shared" si="145"/>
        <v>1</v>
      </c>
      <c r="K582" s="44" cm="1">
        <f t="array" ref="K582">IF(D582="Gadget",_xlfn.IFS(I582&gt;=0.2,0.5,I582&gt;=0.1,0.35,I582&gt;=0.05,0.2,TRUE,0),IF(D582="Grenade",_xlfn.IFS(I582&gt;=0.2,1,I582&gt;=0.1,0.7,I582&gt;=0.05,0.4,TRUE,0),0))</f>
        <v>0.35</v>
      </c>
      <c r="L582" s="57">
        <f t="shared" si="152"/>
        <v>0.5</v>
      </c>
    </row>
    <row r="583" spans="1:12" ht="15" customHeight="1" x14ac:dyDescent="0.25">
      <c r="A583" s="42" t="str" cm="1">
        <f t="array" ref="A583">IFERROR(INDEX(_xlfn._xlws.FILTER(Class_Players!A:A,Class_Players!B:B="Support"),QUOTIENT(ROW()-ROW($A$2),9)+1),"")</f>
        <v>etozhechase</v>
      </c>
      <c r="B583" s="42" t="str">
        <f>_xlfn.XLOOKUP(A583,Class_Players!$A:$A,Class_Players!$B:$B,"")</f>
        <v>Support</v>
      </c>
      <c r="C583" s="38" t="str" cm="1">
        <f t="array" ref="C583">INDEX(Lookups!$D$2:$D$10,MOD(ROW()-ROW($B$2),ROWS(Lookups!$D$2:$D$10))+1)</f>
        <v>Deployable Cover</v>
      </c>
      <c r="D583" s="38" t="str">
        <f>_xlfn.XLOOKUP(C583,Analysis_Gadgets!$C:$C,Analysis_Gadgets!$B:$B)</f>
        <v>Gadget</v>
      </c>
      <c r="E583" s="43">
        <v>180</v>
      </c>
      <c r="F583" s="43">
        <f>_xlfn.XLOOKUP(A583,Class_Players!A:A,Class_Players!G:G)</f>
        <v>203</v>
      </c>
      <c r="G583" s="43">
        <f t="shared" si="143"/>
        <v>0.88669950738916259</v>
      </c>
      <c r="H583" s="43">
        <f>_xlfn.XLOOKUP(A583,Class_Players!$A:$A,Class_Players!$F:$F,"")</f>
        <v>11078</v>
      </c>
      <c r="I583" s="44">
        <f t="shared" si="144"/>
        <v>1.6248420292471564E-2</v>
      </c>
      <c r="J583" s="43">
        <f t="shared" si="145"/>
        <v>0</v>
      </c>
      <c r="K583" s="44" cm="1">
        <f t="array" ref="K583">IF(D583="Gadget",_xlfn.IFS(I583&gt;=0.2,0.5,I583&gt;=0.1,0.35,I583&gt;=0.05,0.2,TRUE,0),IF(D583="Grenade",_xlfn.IFS(I583&gt;=0.2,1,I583&gt;=0.1,0.7,I583&gt;=0.05,0.4,TRUE,0),0))</f>
        <v>0</v>
      </c>
      <c r="L583" s="57">
        <f t="shared" si="152"/>
        <v>0</v>
      </c>
    </row>
    <row r="584" spans="1:12" ht="15" customHeight="1" x14ac:dyDescent="0.25">
      <c r="A584" s="42" t="str" cm="1">
        <f t="array" ref="A584">IFERROR(INDEX(_xlfn._xlws.FILTER(Class_Players!A:A,Class_Players!B:B="Support"),QUOTIENT(ROW()-ROW($A$2),9)+1),"")</f>
        <v>etozhechase</v>
      </c>
      <c r="B584" s="42" t="str">
        <f>_xlfn.XLOOKUP(A584,Class_Players!$A:$A,Class_Players!$B:$B,"")</f>
        <v>Support</v>
      </c>
      <c r="C584" s="38" t="str" cm="1">
        <f t="array" ref="C584">INDEX(Lookups!$D$2:$D$10,MOD(ROW()-ROW($B$2),ROWS(Lookups!$D$2:$D$10))+1)</f>
        <v>Supply Pouch</v>
      </c>
      <c r="D584" s="38" t="str">
        <f>_xlfn.XLOOKUP(C584,Analysis_Gadgets!$C:$C,Analysis_Gadgets!$B:$B)</f>
        <v>Gadget</v>
      </c>
      <c r="E584" s="43">
        <v>2206</v>
      </c>
      <c r="F584" s="43">
        <f>_xlfn.XLOOKUP(A584,Class_Players!A:A,Class_Players!G:G)</f>
        <v>203</v>
      </c>
      <c r="G584" s="43">
        <f t="shared" si="143"/>
        <v>10.866995073891626</v>
      </c>
      <c r="H584" s="43">
        <f>_xlfn.XLOOKUP(A584,Class_Players!$A:$A,Class_Players!$F:$F,"")</f>
        <v>11078</v>
      </c>
      <c r="I584" s="44">
        <f t="shared" si="144"/>
        <v>0.19913341758440151</v>
      </c>
      <c r="J584" s="43">
        <f t="shared" si="145"/>
        <v>1</v>
      </c>
      <c r="K584" s="44" cm="1">
        <f t="array" ref="K584">IF(D584="Gadget",_xlfn.IFS(I584&gt;=0.2,0.5,I584&gt;=0.1,0.35,I584&gt;=0.05,0.2,TRUE,0),IF(D584="Grenade",_xlfn.IFS(I584&gt;=0.2,1,I584&gt;=0.1,0.7,I584&gt;=0.05,0.4,TRUE,0),0))</f>
        <v>0.35</v>
      </c>
      <c r="L584" s="57">
        <f t="shared" si="152"/>
        <v>0.5</v>
      </c>
    </row>
    <row r="585" spans="1:12" ht="15" customHeight="1" x14ac:dyDescent="0.25">
      <c r="A585" s="42" t="str" cm="1">
        <f t="array" ref="A585">IFERROR(INDEX(_xlfn._xlws.FILTER(Class_Players!A:A,Class_Players!B:B="Support"),QUOTIENT(ROW()-ROW($A$2),9)+1),"")</f>
        <v>etozhechase</v>
      </c>
      <c r="B585" s="42" t="str">
        <f>_xlfn.XLOOKUP(A585,Class_Players!$A:$A,Class_Players!$B:$B,"")</f>
        <v>Support</v>
      </c>
      <c r="C585" s="38" t="str" cm="1">
        <f t="array" ref="C585">INDEX(Lookups!$D$2:$D$10,MOD(ROW()-ROW($B$2),ROWS(Lookups!$D$2:$D$10))+1)</f>
        <v>Smoke Grenade</v>
      </c>
      <c r="D585" s="38" t="str">
        <f>_xlfn.XLOOKUP(C585,Analysis_Gadgets!$C:$C,Analysis_Gadgets!$B:$B)</f>
        <v>Grenade</v>
      </c>
      <c r="E585" s="43">
        <v>2428</v>
      </c>
      <c r="F585" s="43">
        <f>_xlfn.XLOOKUP(A585,Class_Players!A:A,Class_Players!G:G)</f>
        <v>203</v>
      </c>
      <c r="G585" s="43">
        <f t="shared" si="143"/>
        <v>11.960591133004925</v>
      </c>
      <c r="H585" s="43">
        <f>_xlfn.XLOOKUP(A585,Class_Players!$A:$A,Class_Players!$F:$F,"")</f>
        <v>11078</v>
      </c>
      <c r="I585" s="44">
        <f t="shared" si="144"/>
        <v>0.21917313594511645</v>
      </c>
      <c r="J585" s="43">
        <f t="shared" si="145"/>
        <v>1</v>
      </c>
      <c r="K585" s="44" cm="1">
        <f t="array" ref="K585">IF(D585="Gadget",_xlfn.IFS(I585&gt;=0.2,0.5,I585&gt;=0.1,0.35,I585&gt;=0.05,0.2,TRUE,0),IF(D585="Grenade",_xlfn.IFS(I585&gt;=0.2,1,I585&gt;=0.1,0.7,I585&gt;=0.05,0.4,TRUE,0),0))</f>
        <v>1</v>
      </c>
      <c r="L585" s="57">
        <f t="shared" ref="L585:L586" si="153">IF($K585=0,0,$K585 / SUMIFS($K:$K,$A:$A,$A585,$D:$D,"Grenade"))</f>
        <v>0.7142857142857143</v>
      </c>
    </row>
    <row r="586" spans="1:12" ht="15" customHeight="1" x14ac:dyDescent="0.25">
      <c r="A586" s="42" t="str" cm="1">
        <f t="array" ref="A586">IFERROR(INDEX(_xlfn._xlws.FILTER(Class_Players!A:A,Class_Players!B:B="Support"),QUOTIENT(ROW()-ROW($A$2),9)+1),"")</f>
        <v>etozhechase</v>
      </c>
      <c r="B586" s="42" t="str">
        <f>_xlfn.XLOOKUP(A586,Class_Players!$A:$A,Class_Players!$B:$B,"")</f>
        <v>Support</v>
      </c>
      <c r="C586" s="38" t="str" cm="1">
        <f t="array" ref="C586">INDEX(Lookups!$D$2:$D$10,MOD(ROW()-ROW($B$2),ROWS(Lookups!$D$2:$D$10))+1)</f>
        <v>Incendiary Grenade</v>
      </c>
      <c r="D586" s="38" t="str">
        <f>_xlfn.XLOOKUP(C586,Analysis_Gadgets!$C:$C,Analysis_Gadgets!$B:$B)</f>
        <v>Grenade</v>
      </c>
      <c r="E586" s="43">
        <v>608</v>
      </c>
      <c r="F586" s="43">
        <f>_xlfn.XLOOKUP(A586,Class_Players!A:A,Class_Players!G:G)</f>
        <v>203</v>
      </c>
      <c r="G586" s="43">
        <f t="shared" si="143"/>
        <v>2.9950738916256157</v>
      </c>
      <c r="H586" s="43">
        <f>_xlfn.XLOOKUP(A586,Class_Players!$A:$A,Class_Players!$F:$F,"")</f>
        <v>11078</v>
      </c>
      <c r="I586" s="44">
        <f t="shared" si="144"/>
        <v>5.4883552987903955E-2</v>
      </c>
      <c r="J586" s="43">
        <f t="shared" si="145"/>
        <v>0</v>
      </c>
      <c r="K586" s="44" cm="1">
        <f t="array" ref="K586">IF(D586="Gadget",_xlfn.IFS(I586&gt;=0.2,0.5,I586&gt;=0.1,0.35,I586&gt;=0.05,0.2,TRUE,0),IF(D586="Grenade",_xlfn.IFS(I586&gt;=0.2,1,I586&gt;=0.1,0.7,I586&gt;=0.05,0.4,TRUE,0),0))</f>
        <v>0.4</v>
      </c>
      <c r="L586" s="57">
        <f t="shared" si="153"/>
        <v>0.28571428571428575</v>
      </c>
    </row>
    <row r="587" spans="1:12" ht="15" customHeight="1" x14ac:dyDescent="0.25">
      <c r="A587" s="42" t="str" cm="1">
        <f t="array" ref="A587">IFERROR(INDEX(_xlfn._xlws.FILTER(Class_Players!A:A,Class_Players!B:B="Support"),QUOTIENT(ROW()-ROW($A$2),9)+1),"")</f>
        <v>Buchanan008</v>
      </c>
      <c r="B587" s="42" t="str">
        <f>_xlfn.XLOOKUP(A587,Class_Players!$A:$A,Class_Players!$B:$B,"")</f>
        <v>Support</v>
      </c>
      <c r="C587" s="38" t="str" cm="1">
        <f t="array" ref="C587">INDEX(Lookups!$D$2:$D$10,MOD(ROW()-ROW($B$2),ROWS(Lookups!$D$2:$D$10))+1)</f>
        <v>GPDIS (Grenade intercept system)</v>
      </c>
      <c r="D587" s="38" t="str">
        <f>_xlfn.XLOOKUP(C587,Analysis_Gadgets!$C:$C,Analysis_Gadgets!$B:$B)</f>
        <v>Gadget</v>
      </c>
      <c r="E587" s="43">
        <v>44</v>
      </c>
      <c r="F587" s="43">
        <f>_xlfn.XLOOKUP(A587,Class_Players!A:A,Class_Players!G:G)</f>
        <v>296</v>
      </c>
      <c r="G587" s="43">
        <f t="shared" ref="G587:G595" si="154">IF(F587=0,"",E587/(F587))</f>
        <v>0.14864864864864866</v>
      </c>
      <c r="H587" s="43">
        <f>_xlfn.XLOOKUP(A587,Class_Players!$A:$A,Class_Players!$F:$F,"")</f>
        <v>10904</v>
      </c>
      <c r="I587" s="44">
        <f t="shared" ref="I587:I595" si="155">IF(H587=0,"",E587/H587)</f>
        <v>4.0352164343360232E-3</v>
      </c>
      <c r="J587" s="43">
        <f t="shared" ref="J587:J595" si="156">IF(I587&gt;=0.1,1,0)</f>
        <v>0</v>
      </c>
      <c r="K587" s="44" cm="1">
        <f t="array" ref="K587">IF(D587="Gadget",_xlfn.IFS(I587&gt;=0.2,0.5,I587&gt;=0.1,0.35,I587&gt;=0.05,0.2,TRUE,0),IF(D587="Grenade",_xlfn.IFS(I587&gt;=0.2,1,I587&gt;=0.1,0.7,I587&gt;=0.05,0.4,TRUE,0),0))</f>
        <v>0</v>
      </c>
      <c r="L587" s="57">
        <f t="shared" ref="L587:L593" si="157">IF($K587=0,0,$K587 / SUMIFS($K:$K,$A:$A,$A587,$D:$D,"Gadget"))</f>
        <v>0</v>
      </c>
    </row>
    <row r="588" spans="1:12" ht="15" customHeight="1" x14ac:dyDescent="0.25">
      <c r="A588" s="42" t="str" cm="1">
        <f t="array" ref="A588">IFERROR(INDEX(_xlfn._xlws.FILTER(Class_Players!A:A,Class_Players!B:B="Support"),QUOTIENT(ROW()-ROW($A$2),9)+1),"")</f>
        <v>Buchanan008</v>
      </c>
      <c r="B588" s="42" t="str">
        <f>_xlfn.XLOOKUP(A588,Class_Players!$A:$A,Class_Players!$B:$B,"")</f>
        <v>Support</v>
      </c>
      <c r="C588" s="38" t="str" cm="1">
        <f t="array" ref="C588">INDEX(Lookups!$D$2:$D$10,MOD(ROW()-ROW($B$2),ROWS(Lookups!$D$2:$D$10))+1)</f>
        <v>MP-APS (Missile intercept system)</v>
      </c>
      <c r="D588" s="38" t="str">
        <f>_xlfn.XLOOKUP(C588,Analysis_Gadgets!$C:$C,Analysis_Gadgets!$B:$B)</f>
        <v>Gadget</v>
      </c>
      <c r="E588" s="43">
        <v>0</v>
      </c>
      <c r="F588" s="43">
        <f>_xlfn.XLOOKUP(A588,Class_Players!A:A,Class_Players!G:G)</f>
        <v>296</v>
      </c>
      <c r="G588" s="43">
        <f t="shared" si="154"/>
        <v>0</v>
      </c>
      <c r="H588" s="43">
        <f>_xlfn.XLOOKUP(A588,Class_Players!$A:$A,Class_Players!$F:$F,"")</f>
        <v>10904</v>
      </c>
      <c r="I588" s="44">
        <f t="shared" si="155"/>
        <v>0</v>
      </c>
      <c r="J588" s="43">
        <f t="shared" si="156"/>
        <v>0</v>
      </c>
      <c r="K588" s="44" cm="1">
        <f t="array" ref="K588">IF(D588="Gadget",_xlfn.IFS(I588&gt;=0.2,0.5,I588&gt;=0.1,0.35,I588&gt;=0.05,0.2,TRUE,0),IF(D588="Grenade",_xlfn.IFS(I588&gt;=0.2,1,I588&gt;=0.1,0.7,I588&gt;=0.05,0.4,TRUE,0),0))</f>
        <v>0</v>
      </c>
      <c r="L588" s="57">
        <f t="shared" si="157"/>
        <v>0</v>
      </c>
    </row>
    <row r="589" spans="1:12" ht="15" customHeight="1" x14ac:dyDescent="0.25">
      <c r="A589" s="42" t="str" cm="1">
        <f t="array" ref="A589">IFERROR(INDEX(_xlfn._xlws.FILTER(Class_Players!A:A,Class_Players!B:B="Support"),QUOTIENT(ROW()-ROW($A$2),9)+1),"")</f>
        <v>Buchanan008</v>
      </c>
      <c r="B589" s="42" t="str">
        <f>_xlfn.XLOOKUP(A589,Class_Players!$A:$A,Class_Players!$B:$B,"")</f>
        <v>Support</v>
      </c>
      <c r="C589" s="38" t="str" cm="1">
        <f t="array" ref="C589">INDEX(Lookups!$D$2:$D$10,MOD(ROW()-ROW($B$2),ROWS(Lookups!$D$2:$D$10))+1)</f>
        <v>LWCMS (Mortar)</v>
      </c>
      <c r="D589" s="38" t="str">
        <f>_xlfn.XLOOKUP(C589,Analysis_Gadgets!$C:$C,Analysis_Gadgets!$B:$B)</f>
        <v>Gadget</v>
      </c>
      <c r="E589" s="43">
        <v>1</v>
      </c>
      <c r="F589" s="43">
        <f>_xlfn.XLOOKUP(A589,Class_Players!A:A,Class_Players!G:G)</f>
        <v>296</v>
      </c>
      <c r="G589" s="43">
        <f t="shared" si="154"/>
        <v>3.3783783783783786E-3</v>
      </c>
      <c r="H589" s="43">
        <f>_xlfn.XLOOKUP(A589,Class_Players!$A:$A,Class_Players!$F:$F,"")</f>
        <v>10904</v>
      </c>
      <c r="I589" s="44">
        <f t="shared" si="155"/>
        <v>9.1709464416727811E-5</v>
      </c>
      <c r="J589" s="43">
        <f t="shared" si="156"/>
        <v>0</v>
      </c>
      <c r="K589" s="44" cm="1">
        <f t="array" ref="K589">IF(D589="Gadget",_xlfn.IFS(I589&gt;=0.2,0.5,I589&gt;=0.1,0.35,I589&gt;=0.05,0.2,TRUE,0),IF(D589="Grenade",_xlfn.IFS(I589&gt;=0.2,1,I589&gt;=0.1,0.7,I589&gt;=0.05,0.4,TRUE,0),0))</f>
        <v>0</v>
      </c>
      <c r="L589" s="57">
        <f t="shared" si="157"/>
        <v>0</v>
      </c>
    </row>
    <row r="590" spans="1:12" ht="15" customHeight="1" x14ac:dyDescent="0.25">
      <c r="A590" s="42" t="str" cm="1">
        <f t="array" ref="A590">IFERROR(INDEX(_xlfn._xlws.FILTER(Class_Players!A:A,Class_Players!B:B="Support"),QUOTIENT(ROW()-ROW($A$2),9)+1),"")</f>
        <v>Buchanan008</v>
      </c>
      <c r="B590" s="42" t="str">
        <f>_xlfn.XLOOKUP(A590,Class_Players!$A:$A,Class_Players!$B:$B,"")</f>
        <v>Support</v>
      </c>
      <c r="C590" s="38" t="str" cm="1">
        <f t="array" ref="C590">INDEX(Lookups!$D$2:$D$10,MOD(ROW()-ROW($B$2),ROWS(Lookups!$D$2:$D$10))+1)</f>
        <v>M320A1 SMK (Smoke Grenade Launcher)</v>
      </c>
      <c r="D590" s="38" t="str">
        <f>_xlfn.XLOOKUP(C590,Analysis_Gadgets!$C:$C,Analysis_Gadgets!$B:$B)</f>
        <v>Gadget</v>
      </c>
      <c r="E590" s="43">
        <v>61</v>
      </c>
      <c r="F590" s="43">
        <f>_xlfn.XLOOKUP(A590,Class_Players!A:A,Class_Players!G:G)</f>
        <v>296</v>
      </c>
      <c r="G590" s="43">
        <f t="shared" si="154"/>
        <v>0.20608108108108109</v>
      </c>
      <c r="H590" s="43">
        <f>_xlfn.XLOOKUP(A590,Class_Players!$A:$A,Class_Players!$F:$F,"")</f>
        <v>10904</v>
      </c>
      <c r="I590" s="44">
        <f t="shared" si="155"/>
        <v>5.5942773294203963E-3</v>
      </c>
      <c r="J590" s="43">
        <f t="shared" si="156"/>
        <v>0</v>
      </c>
      <c r="K590" s="44" cm="1">
        <f t="array" ref="K590">IF(D590="Gadget",_xlfn.IFS(I590&gt;=0.2,0.5,I590&gt;=0.1,0.35,I590&gt;=0.05,0.2,TRUE,0),IF(D590="Grenade",_xlfn.IFS(I590&gt;=0.2,1,I590&gt;=0.1,0.7,I590&gt;=0.05,0.4,TRUE,0),0))</f>
        <v>0</v>
      </c>
      <c r="L590" s="57">
        <f t="shared" si="157"/>
        <v>0</v>
      </c>
    </row>
    <row r="591" spans="1:12" ht="15" customHeight="1" x14ac:dyDescent="0.25">
      <c r="A591" s="42" t="str" cm="1">
        <f t="array" ref="A591">IFERROR(INDEX(_xlfn._xlws.FILTER(Class_Players!A:A,Class_Players!B:B="Support"),QUOTIENT(ROW()-ROW($A$2),9)+1),"")</f>
        <v>Buchanan008</v>
      </c>
      <c r="B591" s="42" t="str">
        <f>_xlfn.XLOOKUP(A591,Class_Players!$A:$A,Class_Players!$B:$B,"")</f>
        <v>Support</v>
      </c>
      <c r="C591" s="38" t="str" cm="1">
        <f t="array" ref="C591">INDEX(Lookups!$D$2:$D$10,MOD(ROW()-ROW($B$2),ROWS(Lookups!$D$2:$D$10))+1)</f>
        <v>SICH G1 WP (Incendiary Airburst Launcher)</v>
      </c>
      <c r="D591" s="38" t="str">
        <f>_xlfn.XLOOKUP(C591,Analysis_Gadgets!$C:$C,Analysis_Gadgets!$B:$B)</f>
        <v>Gadget</v>
      </c>
      <c r="E591" s="43">
        <v>145</v>
      </c>
      <c r="F591" s="43">
        <f>_xlfn.XLOOKUP(A591,Class_Players!A:A,Class_Players!G:G)</f>
        <v>296</v>
      </c>
      <c r="G591" s="43">
        <f t="shared" si="154"/>
        <v>0.48986486486486486</v>
      </c>
      <c r="H591" s="43">
        <f>_xlfn.XLOOKUP(A591,Class_Players!$A:$A,Class_Players!$F:$F,"")</f>
        <v>10904</v>
      </c>
      <c r="I591" s="44">
        <f t="shared" si="155"/>
        <v>1.3297872340425532E-2</v>
      </c>
      <c r="J591" s="43">
        <f t="shared" si="156"/>
        <v>0</v>
      </c>
      <c r="K591" s="44" cm="1">
        <f t="array" ref="K591">IF(D591="Gadget",_xlfn.IFS(I591&gt;=0.2,0.5,I591&gt;=0.1,0.35,I591&gt;=0.05,0.2,TRUE,0),IF(D591="Grenade",_xlfn.IFS(I591&gt;=0.2,1,I591&gt;=0.1,0.7,I591&gt;=0.05,0.4,TRUE,0),0))</f>
        <v>0</v>
      </c>
      <c r="L591" s="57">
        <f t="shared" si="157"/>
        <v>0</v>
      </c>
    </row>
    <row r="592" spans="1:12" ht="15" customHeight="1" x14ac:dyDescent="0.25">
      <c r="A592" s="42" t="str" cm="1">
        <f t="array" ref="A592">IFERROR(INDEX(_xlfn._xlws.FILTER(Class_Players!A:A,Class_Players!B:B="Support"),QUOTIENT(ROW()-ROW($A$2),9)+1),"")</f>
        <v>Buchanan008</v>
      </c>
      <c r="B592" s="42" t="str">
        <f>_xlfn.XLOOKUP(A592,Class_Players!$A:$A,Class_Players!$B:$B,"")</f>
        <v>Support</v>
      </c>
      <c r="C592" s="38" t="str" cm="1">
        <f t="array" ref="C592">INDEX(Lookups!$D$2:$D$10,MOD(ROW()-ROW($B$2),ROWS(Lookups!$D$2:$D$10))+1)</f>
        <v>Deployable Cover</v>
      </c>
      <c r="D592" s="38" t="str">
        <f>_xlfn.XLOOKUP(C592,Analysis_Gadgets!$C:$C,Analysis_Gadgets!$B:$B)</f>
        <v>Gadget</v>
      </c>
      <c r="E592" s="43">
        <v>3034</v>
      </c>
      <c r="F592" s="43">
        <f>_xlfn.XLOOKUP(A592,Class_Players!A:A,Class_Players!G:G)</f>
        <v>296</v>
      </c>
      <c r="G592" s="43">
        <f t="shared" si="154"/>
        <v>10.25</v>
      </c>
      <c r="H592" s="43">
        <f>_xlfn.XLOOKUP(A592,Class_Players!$A:$A,Class_Players!$F:$F,"")</f>
        <v>10904</v>
      </c>
      <c r="I592" s="44">
        <f t="shared" si="155"/>
        <v>0.27824651504035214</v>
      </c>
      <c r="J592" s="43">
        <f t="shared" si="156"/>
        <v>1</v>
      </c>
      <c r="K592" s="44" cm="1">
        <f t="array" ref="K592">IF(D592="Gadget",_xlfn.IFS(I592&gt;=0.2,0.5,I592&gt;=0.1,0.35,I592&gt;=0.05,0.2,TRUE,0),IF(D592="Grenade",_xlfn.IFS(I592&gt;=0.2,1,I592&gt;=0.1,0.7,I592&gt;=0.05,0.4,TRUE,0),0))</f>
        <v>0.5</v>
      </c>
      <c r="L592" s="57">
        <f t="shared" si="157"/>
        <v>1</v>
      </c>
    </row>
    <row r="593" spans="1:12" ht="15" customHeight="1" x14ac:dyDescent="0.25">
      <c r="A593" s="42" t="str" cm="1">
        <f t="array" ref="A593">IFERROR(INDEX(_xlfn._xlws.FILTER(Class_Players!A:A,Class_Players!B:B="Support"),QUOTIENT(ROW()-ROW($A$2),9)+1),"")</f>
        <v>Buchanan008</v>
      </c>
      <c r="B593" s="42" t="str">
        <f>_xlfn.XLOOKUP(A593,Class_Players!$A:$A,Class_Players!$B:$B,"")</f>
        <v>Support</v>
      </c>
      <c r="C593" s="38" t="str" cm="1">
        <f t="array" ref="C593">INDEX(Lookups!$D$2:$D$10,MOD(ROW()-ROW($B$2),ROWS(Lookups!$D$2:$D$10))+1)</f>
        <v>Supply Pouch</v>
      </c>
      <c r="D593" s="38" t="str">
        <f>_xlfn.XLOOKUP(C593,Analysis_Gadgets!$C:$C,Analysis_Gadgets!$B:$B)</f>
        <v>Gadget</v>
      </c>
      <c r="E593" s="43">
        <v>1</v>
      </c>
      <c r="F593" s="43">
        <f>_xlfn.XLOOKUP(A593,Class_Players!A:A,Class_Players!G:G)</f>
        <v>296</v>
      </c>
      <c r="G593" s="43">
        <f t="shared" si="154"/>
        <v>3.3783783783783786E-3</v>
      </c>
      <c r="H593" s="43">
        <f>_xlfn.XLOOKUP(A593,Class_Players!$A:$A,Class_Players!$F:$F,"")</f>
        <v>10904</v>
      </c>
      <c r="I593" s="44">
        <f t="shared" si="155"/>
        <v>9.1709464416727811E-5</v>
      </c>
      <c r="J593" s="43">
        <f t="shared" si="156"/>
        <v>0</v>
      </c>
      <c r="K593" s="44" cm="1">
        <f t="array" ref="K593">IF(D593="Gadget",_xlfn.IFS(I593&gt;=0.2,0.5,I593&gt;=0.1,0.35,I593&gt;=0.05,0.2,TRUE,0),IF(D593="Grenade",_xlfn.IFS(I593&gt;=0.2,1,I593&gt;=0.1,0.7,I593&gt;=0.05,0.4,TRUE,0),0))</f>
        <v>0</v>
      </c>
      <c r="L593" s="57">
        <f t="shared" si="157"/>
        <v>0</v>
      </c>
    </row>
    <row r="594" spans="1:12" ht="15" customHeight="1" x14ac:dyDescent="0.25">
      <c r="A594" s="42" t="str" cm="1">
        <f t="array" ref="A594">IFERROR(INDEX(_xlfn._xlws.FILTER(Class_Players!A:A,Class_Players!B:B="Support"),QUOTIENT(ROW()-ROW($A$2),9)+1),"")</f>
        <v>Buchanan008</v>
      </c>
      <c r="B594" s="42" t="str">
        <f>_xlfn.XLOOKUP(A594,Class_Players!$A:$A,Class_Players!$B:$B,"")</f>
        <v>Support</v>
      </c>
      <c r="C594" s="38" t="str" cm="1">
        <f t="array" ref="C594">INDEX(Lookups!$D$2:$D$10,MOD(ROW()-ROW($B$2),ROWS(Lookups!$D$2:$D$10))+1)</f>
        <v>Smoke Grenade</v>
      </c>
      <c r="D594" s="38" t="str">
        <f>_xlfn.XLOOKUP(C594,Analysis_Gadgets!$C:$C,Analysis_Gadgets!$B:$B)</f>
        <v>Grenade</v>
      </c>
      <c r="E594" s="43">
        <v>171</v>
      </c>
      <c r="F594" s="43">
        <f>_xlfn.XLOOKUP(A594,Class_Players!A:A,Class_Players!G:G)</f>
        <v>296</v>
      </c>
      <c r="G594" s="43">
        <f t="shared" si="154"/>
        <v>0.57770270270270274</v>
      </c>
      <c r="H594" s="43">
        <f>_xlfn.XLOOKUP(A594,Class_Players!$A:$A,Class_Players!$F:$F,"")</f>
        <v>10904</v>
      </c>
      <c r="I594" s="44">
        <f t="shared" si="155"/>
        <v>1.5682318415260455E-2</v>
      </c>
      <c r="J594" s="43">
        <f t="shared" si="156"/>
        <v>0</v>
      </c>
      <c r="K594" s="44" cm="1">
        <f t="array" ref="K594">IF(D594="Gadget",_xlfn.IFS(I594&gt;=0.2,0.5,I594&gt;=0.1,0.35,I594&gt;=0.05,0.2,TRUE,0),IF(D594="Grenade",_xlfn.IFS(I594&gt;=0.2,1,I594&gt;=0.1,0.7,I594&gt;=0.05,0.4,TRUE,0),0))</f>
        <v>0</v>
      </c>
      <c r="L594" s="57">
        <f>IF($K594=0,0,$K594 / SUMIFS($K:$K,$A:$A,$A594,$D:$D,"Grenade"))</f>
        <v>0</v>
      </c>
    </row>
    <row r="595" spans="1:12" ht="15" customHeight="1" x14ac:dyDescent="0.25">
      <c r="A595" s="42" t="str" cm="1">
        <f t="array" ref="A595">IFERROR(INDEX(_xlfn._xlws.FILTER(Class_Players!A:A,Class_Players!B:B="Support"),QUOTIENT(ROW()-ROW($A$2),9)+1),"")</f>
        <v>Buchanan008</v>
      </c>
      <c r="B595" s="42" t="str">
        <f>_xlfn.XLOOKUP(A595,Class_Players!$A:$A,Class_Players!$B:$B,"")</f>
        <v>Support</v>
      </c>
      <c r="C595" s="38" t="str" cm="1">
        <f t="array" ref="C595">INDEX(Lookups!$D$2:$D$10,MOD(ROW()-ROW($B$2),ROWS(Lookups!$D$2:$D$10))+1)</f>
        <v>Incendiary Grenade</v>
      </c>
      <c r="D595" s="38" t="str">
        <f>_xlfn.XLOOKUP(C595,Analysis_Gadgets!$C:$C,Analysis_Gadgets!$B:$B)</f>
        <v>Grenade</v>
      </c>
      <c r="E595" s="43">
        <v>5</v>
      </c>
      <c r="F595" s="43">
        <f>_xlfn.XLOOKUP(A595,Class_Players!A:A,Class_Players!G:G)</f>
        <v>296</v>
      </c>
      <c r="G595" s="43">
        <f t="shared" si="154"/>
        <v>1.6891891891891893E-2</v>
      </c>
      <c r="H595" s="43">
        <f>_xlfn.XLOOKUP(A595,Class_Players!$A:$A,Class_Players!$F:$F,"")</f>
        <v>10904</v>
      </c>
      <c r="I595" s="44">
        <f t="shared" si="155"/>
        <v>4.5854732208363901E-4</v>
      </c>
      <c r="J595" s="43">
        <f t="shared" si="156"/>
        <v>0</v>
      </c>
      <c r="K595" s="44" cm="1">
        <f t="array" ref="K595">IF(D595="Gadget",_xlfn.IFS(I595&gt;=0.2,0.5,I595&gt;=0.1,0.35,I595&gt;=0.05,0.2,TRUE,0),IF(D595="Grenade",_xlfn.IFS(I595&gt;=0.2,1,I595&gt;=0.1,0.7,I595&gt;=0.05,0.4,TRUE,0),0))</f>
        <v>0</v>
      </c>
      <c r="L595" s="57">
        <f>IF($K595=0,0,$K595 / SUMIFS($K:$K,$A:$A,$A595,$D:$D,"Grenade"))</f>
        <v>0</v>
      </c>
    </row>
    <row r="596" spans="1:12" ht="15" customHeight="1" x14ac:dyDescent="0.25">
      <c r="A596" s="42" t="str" cm="1">
        <f t="array" ref="A596">IFERROR(INDEX(_xlfn._xlws.FILTER(Class_Players!A:A,Class_Players!B:B="Support"),QUOTIENT(ROW()-ROW($A$2),9)+1),"")</f>
        <v>I-FriTuly-I</v>
      </c>
      <c r="B596" s="42" t="str">
        <f>_xlfn.XLOOKUP(A596,Class_Players!$A:$A,Class_Players!$B:$B,"")</f>
        <v>Support</v>
      </c>
      <c r="C596" s="38" t="str" cm="1">
        <f t="array" ref="C596">INDEX(Lookups!$D$2:$D$10,MOD(ROW()-ROW($B$2),ROWS(Lookups!$D$2:$D$10))+1)</f>
        <v>GPDIS (Grenade intercept system)</v>
      </c>
      <c r="D596" s="38" t="str">
        <f>_xlfn.XLOOKUP(C596,Analysis_Gadgets!$C:$C,Analysis_Gadgets!$B:$B)</f>
        <v>Gadget</v>
      </c>
      <c r="E596" s="43">
        <v>125</v>
      </c>
      <c r="F596" s="43">
        <f>_xlfn.XLOOKUP(A596,Class_Players!A:A,Class_Players!G:G)</f>
        <v>366</v>
      </c>
      <c r="G596" s="43">
        <f t="shared" ref="G596:G622" si="158">IF(F596=0,"",E596/(F596))</f>
        <v>0.34153005464480873</v>
      </c>
      <c r="H596" s="43">
        <f>_xlfn.XLOOKUP(A596,Class_Players!$A:$A,Class_Players!$F:$F,"")</f>
        <v>10876</v>
      </c>
      <c r="I596" s="44">
        <f t="shared" ref="I596:I622" si="159">IF(H596=0,"",E596/H596)</f>
        <v>1.1493196027951453E-2</v>
      </c>
      <c r="J596" s="43">
        <f t="shared" ref="J596:J622" si="160">IF(I596&gt;=0.1,1,0)</f>
        <v>0</v>
      </c>
      <c r="K596" s="44" cm="1">
        <f t="array" ref="K596">IF(D596="Gadget",_xlfn.IFS(I596&gt;=0.2,0.5,I596&gt;=0.1,0.35,I596&gt;=0.05,0.2,TRUE,0),IF(D596="Grenade",_xlfn.IFS(I596&gt;=0.2,1,I596&gt;=0.1,0.7,I596&gt;=0.05,0.4,TRUE,0),0))</f>
        <v>0</v>
      </c>
      <c r="L596" s="57">
        <f t="shared" ref="L596:L602" si="161">IF($K596=0,0,$K596 / SUMIFS($K:$K,$A:$A,$A596,$D:$D,"Gadget"))</f>
        <v>0</v>
      </c>
    </row>
    <row r="597" spans="1:12" ht="15" customHeight="1" x14ac:dyDescent="0.25">
      <c r="A597" s="42" t="str" cm="1">
        <f t="array" ref="A597">IFERROR(INDEX(_xlfn._xlws.FILTER(Class_Players!A:A,Class_Players!B:B="Support"),QUOTIENT(ROW()-ROW($A$2),9)+1),"")</f>
        <v>I-FriTuly-I</v>
      </c>
      <c r="B597" s="42" t="str">
        <f>_xlfn.XLOOKUP(A597,Class_Players!$A:$A,Class_Players!$B:$B,"")</f>
        <v>Support</v>
      </c>
      <c r="C597" s="38" t="str" cm="1">
        <f t="array" ref="C597">INDEX(Lookups!$D$2:$D$10,MOD(ROW()-ROW($B$2),ROWS(Lookups!$D$2:$D$10))+1)</f>
        <v>MP-APS (Missile intercept system)</v>
      </c>
      <c r="D597" s="38" t="str">
        <f>_xlfn.XLOOKUP(C597,Analysis_Gadgets!$C:$C,Analysis_Gadgets!$B:$B)</f>
        <v>Gadget</v>
      </c>
      <c r="E597" s="43">
        <v>2</v>
      </c>
      <c r="F597" s="43">
        <f>_xlfn.XLOOKUP(A597,Class_Players!A:A,Class_Players!G:G)</f>
        <v>366</v>
      </c>
      <c r="G597" s="43">
        <f t="shared" si="158"/>
        <v>5.4644808743169399E-3</v>
      </c>
      <c r="H597" s="43">
        <f>_xlfn.XLOOKUP(A597,Class_Players!$A:$A,Class_Players!$F:$F,"")</f>
        <v>10876</v>
      </c>
      <c r="I597" s="44">
        <f t="shared" si="159"/>
        <v>1.8389113644722325E-4</v>
      </c>
      <c r="J597" s="43">
        <f t="shared" si="160"/>
        <v>0</v>
      </c>
      <c r="K597" s="44" cm="1">
        <f t="array" ref="K597">IF(D597="Gadget",_xlfn.IFS(I597&gt;=0.2,0.5,I597&gt;=0.1,0.35,I597&gt;=0.05,0.2,TRUE,0),IF(D597="Grenade",_xlfn.IFS(I597&gt;=0.2,1,I597&gt;=0.1,0.7,I597&gt;=0.05,0.4,TRUE,0),0))</f>
        <v>0</v>
      </c>
      <c r="L597" s="57">
        <f t="shared" si="161"/>
        <v>0</v>
      </c>
    </row>
    <row r="598" spans="1:12" ht="15" customHeight="1" x14ac:dyDescent="0.25">
      <c r="A598" s="42" t="str" cm="1">
        <f t="array" ref="A598">IFERROR(INDEX(_xlfn._xlws.FILTER(Class_Players!A:A,Class_Players!B:B="Support"),QUOTIENT(ROW()-ROW($A$2),9)+1),"")</f>
        <v>I-FriTuly-I</v>
      </c>
      <c r="B598" s="42" t="str">
        <f>_xlfn.XLOOKUP(A598,Class_Players!$A:$A,Class_Players!$B:$B,"")</f>
        <v>Support</v>
      </c>
      <c r="C598" s="38" t="str" cm="1">
        <f t="array" ref="C598">INDEX(Lookups!$D$2:$D$10,MOD(ROW()-ROW($B$2),ROWS(Lookups!$D$2:$D$10))+1)</f>
        <v>LWCMS (Mortar)</v>
      </c>
      <c r="D598" s="38" t="str">
        <f>_xlfn.XLOOKUP(C598,Analysis_Gadgets!$C:$C,Analysis_Gadgets!$B:$B)</f>
        <v>Gadget</v>
      </c>
      <c r="E598" s="43">
        <v>0</v>
      </c>
      <c r="F598" s="43">
        <f>_xlfn.XLOOKUP(A598,Class_Players!A:A,Class_Players!G:G)</f>
        <v>366</v>
      </c>
      <c r="G598" s="43">
        <f t="shared" si="158"/>
        <v>0</v>
      </c>
      <c r="H598" s="43">
        <f>_xlfn.XLOOKUP(A598,Class_Players!$A:$A,Class_Players!$F:$F,"")</f>
        <v>10876</v>
      </c>
      <c r="I598" s="44">
        <f t="shared" si="159"/>
        <v>0</v>
      </c>
      <c r="J598" s="43">
        <f t="shared" si="160"/>
        <v>0</v>
      </c>
      <c r="K598" s="44" cm="1">
        <f t="array" ref="K598">IF(D598="Gadget",_xlfn.IFS(I598&gt;=0.2,0.5,I598&gt;=0.1,0.35,I598&gt;=0.05,0.2,TRUE,0),IF(D598="Grenade",_xlfn.IFS(I598&gt;=0.2,1,I598&gt;=0.1,0.7,I598&gt;=0.05,0.4,TRUE,0),0))</f>
        <v>0</v>
      </c>
      <c r="L598" s="57">
        <f t="shared" si="161"/>
        <v>0</v>
      </c>
    </row>
    <row r="599" spans="1:12" ht="15" customHeight="1" x14ac:dyDescent="0.25">
      <c r="A599" s="42" t="str" cm="1">
        <f t="array" ref="A599">IFERROR(INDEX(_xlfn._xlws.FILTER(Class_Players!A:A,Class_Players!B:B="Support"),QUOTIENT(ROW()-ROW($A$2),9)+1),"")</f>
        <v>I-FriTuly-I</v>
      </c>
      <c r="B599" s="42" t="str">
        <f>_xlfn.XLOOKUP(A599,Class_Players!$A:$A,Class_Players!$B:$B,"")</f>
        <v>Support</v>
      </c>
      <c r="C599" s="38" t="str" cm="1">
        <f t="array" ref="C599">INDEX(Lookups!$D$2:$D$10,MOD(ROW()-ROW($B$2),ROWS(Lookups!$D$2:$D$10))+1)</f>
        <v>M320A1 SMK (Smoke Grenade Launcher)</v>
      </c>
      <c r="D599" s="38" t="str">
        <f>_xlfn.XLOOKUP(C599,Analysis_Gadgets!$C:$C,Analysis_Gadgets!$B:$B)</f>
        <v>Gadget</v>
      </c>
      <c r="E599" s="43">
        <v>1014</v>
      </c>
      <c r="F599" s="43">
        <f>_xlfn.XLOOKUP(A599,Class_Players!A:A,Class_Players!G:G)</f>
        <v>366</v>
      </c>
      <c r="G599" s="43">
        <f t="shared" si="158"/>
        <v>2.7704918032786887</v>
      </c>
      <c r="H599" s="43">
        <f>_xlfn.XLOOKUP(A599,Class_Players!$A:$A,Class_Players!$F:$F,"")</f>
        <v>10876</v>
      </c>
      <c r="I599" s="44">
        <f t="shared" si="159"/>
        <v>9.3232806178742189E-2</v>
      </c>
      <c r="J599" s="43">
        <f t="shared" si="160"/>
        <v>0</v>
      </c>
      <c r="K599" s="44" cm="1">
        <f t="array" ref="K599">IF(D599="Gadget",_xlfn.IFS(I599&gt;=0.2,0.5,I599&gt;=0.1,0.35,I599&gt;=0.05,0.2,TRUE,0),IF(D599="Grenade",_xlfn.IFS(I599&gt;=0.2,1,I599&gt;=0.1,0.7,I599&gt;=0.05,0.4,TRUE,0),0))</f>
        <v>0.2</v>
      </c>
      <c r="L599" s="57">
        <f t="shared" si="161"/>
        <v>0.28571428571428575</v>
      </c>
    </row>
    <row r="600" spans="1:12" ht="15" customHeight="1" x14ac:dyDescent="0.25">
      <c r="A600" s="42" t="str" cm="1">
        <f t="array" ref="A600">IFERROR(INDEX(_xlfn._xlws.FILTER(Class_Players!A:A,Class_Players!B:B="Support"),QUOTIENT(ROW()-ROW($A$2),9)+1),"")</f>
        <v>I-FriTuly-I</v>
      </c>
      <c r="B600" s="42" t="str">
        <f>_xlfn.XLOOKUP(A600,Class_Players!$A:$A,Class_Players!$B:$B,"")</f>
        <v>Support</v>
      </c>
      <c r="C600" s="38" t="str" cm="1">
        <f t="array" ref="C600">INDEX(Lookups!$D$2:$D$10,MOD(ROW()-ROW($B$2),ROWS(Lookups!$D$2:$D$10))+1)</f>
        <v>SICH G1 WP (Incendiary Airburst Launcher)</v>
      </c>
      <c r="D600" s="38" t="str">
        <f>_xlfn.XLOOKUP(C600,Analysis_Gadgets!$C:$C,Analysis_Gadgets!$B:$B)</f>
        <v>Gadget</v>
      </c>
      <c r="E600" s="43">
        <v>5</v>
      </c>
      <c r="F600" s="43">
        <f>_xlfn.XLOOKUP(A600,Class_Players!A:A,Class_Players!G:G)</f>
        <v>366</v>
      </c>
      <c r="G600" s="43">
        <f t="shared" si="158"/>
        <v>1.3661202185792349E-2</v>
      </c>
      <c r="H600" s="43">
        <f>_xlfn.XLOOKUP(A600,Class_Players!$A:$A,Class_Players!$F:$F,"")</f>
        <v>10876</v>
      </c>
      <c r="I600" s="44">
        <f t="shared" si="159"/>
        <v>4.5972784111805812E-4</v>
      </c>
      <c r="J600" s="43">
        <f t="shared" si="160"/>
        <v>0</v>
      </c>
      <c r="K600" s="44" cm="1">
        <f t="array" ref="K600">IF(D600="Gadget",_xlfn.IFS(I600&gt;=0.2,0.5,I600&gt;=0.1,0.35,I600&gt;=0.05,0.2,TRUE,0),IF(D600="Grenade",_xlfn.IFS(I600&gt;=0.2,1,I600&gt;=0.1,0.7,I600&gt;=0.05,0.4,TRUE,0),0))</f>
        <v>0</v>
      </c>
      <c r="L600" s="57">
        <f t="shared" si="161"/>
        <v>0</v>
      </c>
    </row>
    <row r="601" spans="1:12" ht="15" customHeight="1" x14ac:dyDescent="0.25">
      <c r="A601" s="42" t="str" cm="1">
        <f t="array" ref="A601">IFERROR(INDEX(_xlfn._xlws.FILTER(Class_Players!A:A,Class_Players!B:B="Support"),QUOTIENT(ROW()-ROW($A$2),9)+1),"")</f>
        <v>I-FriTuly-I</v>
      </c>
      <c r="B601" s="42" t="str">
        <f>_xlfn.XLOOKUP(A601,Class_Players!$A:$A,Class_Players!$B:$B,"")</f>
        <v>Support</v>
      </c>
      <c r="C601" s="38" t="str" cm="1">
        <f t="array" ref="C601">INDEX(Lookups!$D$2:$D$10,MOD(ROW()-ROW($B$2),ROWS(Lookups!$D$2:$D$10))+1)</f>
        <v>Deployable Cover</v>
      </c>
      <c r="D601" s="38" t="str">
        <f>_xlfn.XLOOKUP(C601,Analysis_Gadgets!$C:$C,Analysis_Gadgets!$B:$B)</f>
        <v>Gadget</v>
      </c>
      <c r="E601" s="43">
        <v>70</v>
      </c>
      <c r="F601" s="43">
        <f>_xlfn.XLOOKUP(A601,Class_Players!A:A,Class_Players!G:G)</f>
        <v>366</v>
      </c>
      <c r="G601" s="43">
        <f t="shared" si="158"/>
        <v>0.19125683060109289</v>
      </c>
      <c r="H601" s="43">
        <f>_xlfn.XLOOKUP(A601,Class_Players!$A:$A,Class_Players!$F:$F,"")</f>
        <v>10876</v>
      </c>
      <c r="I601" s="44">
        <f t="shared" si="159"/>
        <v>6.4361897756528138E-3</v>
      </c>
      <c r="J601" s="43">
        <f t="shared" si="160"/>
        <v>0</v>
      </c>
      <c r="K601" s="44" cm="1">
        <f t="array" ref="K601">IF(D601="Gadget",_xlfn.IFS(I601&gt;=0.2,0.5,I601&gt;=0.1,0.35,I601&gt;=0.05,0.2,TRUE,0),IF(D601="Grenade",_xlfn.IFS(I601&gt;=0.2,1,I601&gt;=0.1,0.7,I601&gt;=0.05,0.4,TRUE,0),0))</f>
        <v>0</v>
      </c>
      <c r="L601" s="57">
        <f t="shared" si="161"/>
        <v>0</v>
      </c>
    </row>
    <row r="602" spans="1:12" ht="15" customHeight="1" x14ac:dyDescent="0.25">
      <c r="A602" s="42" t="str" cm="1">
        <f t="array" ref="A602">IFERROR(INDEX(_xlfn._xlws.FILTER(Class_Players!A:A,Class_Players!B:B="Support"),QUOTIENT(ROW()-ROW($A$2),9)+1),"")</f>
        <v>I-FriTuly-I</v>
      </c>
      <c r="B602" s="42" t="str">
        <f>_xlfn.XLOOKUP(A602,Class_Players!$A:$A,Class_Players!$B:$B,"")</f>
        <v>Support</v>
      </c>
      <c r="C602" s="38" t="str" cm="1">
        <f t="array" ref="C602">INDEX(Lookups!$D$2:$D$10,MOD(ROW()-ROW($B$2),ROWS(Lookups!$D$2:$D$10))+1)</f>
        <v>Supply Pouch</v>
      </c>
      <c r="D602" s="38" t="str">
        <f>_xlfn.XLOOKUP(C602,Analysis_Gadgets!$C:$C,Analysis_Gadgets!$B:$B)</f>
        <v>Gadget</v>
      </c>
      <c r="E602" s="43">
        <v>6148</v>
      </c>
      <c r="F602" s="43">
        <f>_xlfn.XLOOKUP(A602,Class_Players!A:A,Class_Players!G:G)</f>
        <v>366</v>
      </c>
      <c r="G602" s="43">
        <f t="shared" si="158"/>
        <v>16.797814207650273</v>
      </c>
      <c r="H602" s="43">
        <f>_xlfn.XLOOKUP(A602,Class_Players!$A:$A,Class_Players!$F:$F,"")</f>
        <v>10876</v>
      </c>
      <c r="I602" s="44">
        <f t="shared" si="159"/>
        <v>0.56528135343876429</v>
      </c>
      <c r="J602" s="43">
        <f t="shared" si="160"/>
        <v>1</v>
      </c>
      <c r="K602" s="44" cm="1">
        <f t="array" ref="K602">IF(D602="Gadget",_xlfn.IFS(I602&gt;=0.2,0.5,I602&gt;=0.1,0.35,I602&gt;=0.05,0.2,TRUE,0),IF(D602="Grenade",_xlfn.IFS(I602&gt;=0.2,1,I602&gt;=0.1,0.7,I602&gt;=0.05,0.4,TRUE,0),0))</f>
        <v>0.5</v>
      </c>
      <c r="L602" s="57">
        <f t="shared" si="161"/>
        <v>0.7142857142857143</v>
      </c>
    </row>
    <row r="603" spans="1:12" ht="15" customHeight="1" x14ac:dyDescent="0.25">
      <c r="A603" s="42" t="str" cm="1">
        <f t="array" ref="A603">IFERROR(INDEX(_xlfn._xlws.FILTER(Class_Players!A:A,Class_Players!B:B="Support"),QUOTIENT(ROW()-ROW($A$2),9)+1),"")</f>
        <v>I-FriTuly-I</v>
      </c>
      <c r="B603" s="42" t="str">
        <f>_xlfn.XLOOKUP(A603,Class_Players!$A:$A,Class_Players!$B:$B,"")</f>
        <v>Support</v>
      </c>
      <c r="C603" s="38" t="str" cm="1">
        <f t="array" ref="C603">INDEX(Lookups!$D$2:$D$10,MOD(ROW()-ROW($B$2),ROWS(Lookups!$D$2:$D$10))+1)</f>
        <v>Smoke Grenade</v>
      </c>
      <c r="D603" s="38" t="str">
        <f>_xlfn.XLOOKUP(C603,Analysis_Gadgets!$C:$C,Analysis_Gadgets!$B:$B)</f>
        <v>Grenade</v>
      </c>
      <c r="E603" s="43">
        <v>7816</v>
      </c>
      <c r="F603" s="43">
        <f>_xlfn.XLOOKUP(A603,Class_Players!A:A,Class_Players!G:G)</f>
        <v>366</v>
      </c>
      <c r="G603" s="43">
        <f t="shared" si="158"/>
        <v>21.355191256830601</v>
      </c>
      <c r="H603" s="43">
        <f>_xlfn.XLOOKUP(A603,Class_Players!$A:$A,Class_Players!$F:$F,"")</f>
        <v>10876</v>
      </c>
      <c r="I603" s="44">
        <f t="shared" si="159"/>
        <v>0.71864656123574844</v>
      </c>
      <c r="J603" s="43">
        <f t="shared" si="160"/>
        <v>1</v>
      </c>
      <c r="K603" s="44" cm="1">
        <f t="array" ref="K603">IF(D603="Gadget",_xlfn.IFS(I603&gt;=0.2,0.5,I603&gt;=0.1,0.35,I603&gt;=0.05,0.2,TRUE,0),IF(D603="Grenade",_xlfn.IFS(I603&gt;=0.2,1,I603&gt;=0.1,0.7,I603&gt;=0.05,0.4,TRUE,0),0))</f>
        <v>1</v>
      </c>
      <c r="L603" s="57">
        <f t="shared" ref="L603:L604" si="162">IF($K603=0,0,$K603 / SUMIFS($K:$K,$A:$A,$A603,$D:$D,"Grenade"))</f>
        <v>1</v>
      </c>
    </row>
    <row r="604" spans="1:12" ht="15" customHeight="1" x14ac:dyDescent="0.25">
      <c r="A604" s="42" t="str" cm="1">
        <f t="array" ref="A604">IFERROR(INDEX(_xlfn._xlws.FILTER(Class_Players!A:A,Class_Players!B:B="Support"),QUOTIENT(ROW()-ROW($A$2),9)+1),"")</f>
        <v>I-FriTuly-I</v>
      </c>
      <c r="B604" s="42" t="str">
        <f>_xlfn.XLOOKUP(A604,Class_Players!$A:$A,Class_Players!$B:$B,"")</f>
        <v>Support</v>
      </c>
      <c r="C604" s="38" t="str" cm="1">
        <f t="array" ref="C604">INDEX(Lookups!$D$2:$D$10,MOD(ROW()-ROW($B$2),ROWS(Lookups!$D$2:$D$10))+1)</f>
        <v>Incendiary Grenade</v>
      </c>
      <c r="D604" s="38" t="str">
        <f>_xlfn.XLOOKUP(C604,Analysis_Gadgets!$C:$C,Analysis_Gadgets!$B:$B)</f>
        <v>Grenade</v>
      </c>
      <c r="E604" s="43">
        <v>96</v>
      </c>
      <c r="F604" s="43">
        <f>_xlfn.XLOOKUP(A604,Class_Players!A:A,Class_Players!G:G)</f>
        <v>366</v>
      </c>
      <c r="G604" s="43">
        <f t="shared" si="158"/>
        <v>0.26229508196721313</v>
      </c>
      <c r="H604" s="43">
        <f>_xlfn.XLOOKUP(A604,Class_Players!$A:$A,Class_Players!$F:$F,"")</f>
        <v>10876</v>
      </c>
      <c r="I604" s="44">
        <f t="shared" si="159"/>
        <v>8.826774549466716E-3</v>
      </c>
      <c r="J604" s="43">
        <f t="shared" si="160"/>
        <v>0</v>
      </c>
      <c r="K604" s="44" cm="1">
        <f t="array" ref="K604">IF(D604="Gadget",_xlfn.IFS(I604&gt;=0.2,0.5,I604&gt;=0.1,0.35,I604&gt;=0.05,0.2,TRUE,0),IF(D604="Grenade",_xlfn.IFS(I604&gt;=0.2,1,I604&gt;=0.1,0.7,I604&gt;=0.05,0.4,TRUE,0),0))</f>
        <v>0</v>
      </c>
      <c r="L604" s="57">
        <f t="shared" si="162"/>
        <v>0</v>
      </c>
    </row>
    <row r="605" spans="1:12" ht="15" customHeight="1" x14ac:dyDescent="0.25">
      <c r="A605" s="42" t="str" cm="1">
        <f t="array" ref="A605">IFERROR(INDEX(_xlfn._xlws.FILTER(Class_Players!A:A,Class_Players!B:B="Support"),QUOTIENT(ROW()-ROW($A$2),9)+1),"")</f>
        <v>A_S_H_L_E_Y__13</v>
      </c>
      <c r="B605" s="42" t="str">
        <f>_xlfn.XLOOKUP(A605,Class_Players!$A:$A,Class_Players!$B:$B,"")</f>
        <v>Support</v>
      </c>
      <c r="C605" s="38" t="str" cm="1">
        <f t="array" ref="C605">INDEX(Lookups!$D$2:$D$10,MOD(ROW()-ROW($B$2),ROWS(Lookups!$D$2:$D$10))+1)</f>
        <v>GPDIS (Grenade intercept system)</v>
      </c>
      <c r="D605" s="38" t="str">
        <f>_xlfn.XLOOKUP(C605,Analysis_Gadgets!$C:$C,Analysis_Gadgets!$B:$B)</f>
        <v>Gadget</v>
      </c>
      <c r="E605" s="43">
        <v>58</v>
      </c>
      <c r="F605" s="43">
        <f>_xlfn.XLOOKUP(A605,Class_Players!A:A,Class_Players!G:G)</f>
        <v>372</v>
      </c>
      <c r="G605" s="43">
        <f t="shared" si="158"/>
        <v>0.15591397849462366</v>
      </c>
      <c r="H605" s="43">
        <f>_xlfn.XLOOKUP(A605,Class_Players!$A:$A,Class_Players!$F:$F,"")</f>
        <v>10750</v>
      </c>
      <c r="I605" s="44">
        <f t="shared" si="159"/>
        <v>5.3953488372093022E-3</v>
      </c>
      <c r="J605" s="43">
        <f t="shared" si="160"/>
        <v>0</v>
      </c>
      <c r="K605" s="44" cm="1">
        <f t="array" ref="K605">IF(D605="Gadget",_xlfn.IFS(I605&gt;=0.2,0.5,I605&gt;=0.1,0.35,I605&gt;=0.05,0.2,TRUE,0),IF(D605="Grenade",_xlfn.IFS(I605&gt;=0.2,1,I605&gt;=0.1,0.7,I605&gt;=0.05,0.4,TRUE,0),0))</f>
        <v>0</v>
      </c>
      <c r="L605" s="57">
        <f t="shared" ref="L605:L611" si="163">IF($K605=0,0,$K605 / SUMIFS($K:$K,$A:$A,$A605,$D:$D,"Gadget"))</f>
        <v>0</v>
      </c>
    </row>
    <row r="606" spans="1:12" ht="15" customHeight="1" x14ac:dyDescent="0.25">
      <c r="A606" s="42" t="str" cm="1">
        <f t="array" ref="A606">IFERROR(INDEX(_xlfn._xlws.FILTER(Class_Players!A:A,Class_Players!B:B="Support"),QUOTIENT(ROW()-ROW($A$2),9)+1),"")</f>
        <v>A_S_H_L_E_Y__13</v>
      </c>
      <c r="B606" s="42" t="str">
        <f>_xlfn.XLOOKUP(A606,Class_Players!$A:$A,Class_Players!$B:$B,"")</f>
        <v>Support</v>
      </c>
      <c r="C606" s="38" t="str" cm="1">
        <f t="array" ref="C606">INDEX(Lookups!$D$2:$D$10,MOD(ROW()-ROW($B$2),ROWS(Lookups!$D$2:$D$10))+1)</f>
        <v>MP-APS (Missile intercept system)</v>
      </c>
      <c r="D606" s="38" t="str">
        <f>_xlfn.XLOOKUP(C606,Analysis_Gadgets!$C:$C,Analysis_Gadgets!$B:$B)</f>
        <v>Gadget</v>
      </c>
      <c r="E606" s="43">
        <v>0</v>
      </c>
      <c r="F606" s="43">
        <f>_xlfn.XLOOKUP(A606,Class_Players!A:A,Class_Players!G:G)</f>
        <v>372</v>
      </c>
      <c r="G606" s="43">
        <f t="shared" si="158"/>
        <v>0</v>
      </c>
      <c r="H606" s="43">
        <f>_xlfn.XLOOKUP(A606,Class_Players!$A:$A,Class_Players!$F:$F,"")</f>
        <v>10750</v>
      </c>
      <c r="I606" s="44">
        <f t="shared" si="159"/>
        <v>0</v>
      </c>
      <c r="J606" s="43">
        <f t="shared" si="160"/>
        <v>0</v>
      </c>
      <c r="K606" s="44" cm="1">
        <f t="array" ref="K606">IF(D606="Gadget",_xlfn.IFS(I606&gt;=0.2,0.5,I606&gt;=0.1,0.35,I606&gt;=0.05,0.2,TRUE,0),IF(D606="Grenade",_xlfn.IFS(I606&gt;=0.2,1,I606&gt;=0.1,0.7,I606&gt;=0.05,0.4,TRUE,0),0))</f>
        <v>0</v>
      </c>
      <c r="L606" s="57">
        <f t="shared" si="163"/>
        <v>0</v>
      </c>
    </row>
    <row r="607" spans="1:12" ht="15" customHeight="1" x14ac:dyDescent="0.25">
      <c r="A607" s="42" t="str" cm="1">
        <f t="array" ref="A607">IFERROR(INDEX(_xlfn._xlws.FILTER(Class_Players!A:A,Class_Players!B:B="Support"),QUOTIENT(ROW()-ROW($A$2),9)+1),"")</f>
        <v>A_S_H_L_E_Y__13</v>
      </c>
      <c r="B607" s="42" t="str">
        <f>_xlfn.XLOOKUP(A607,Class_Players!$A:$A,Class_Players!$B:$B,"")</f>
        <v>Support</v>
      </c>
      <c r="C607" s="38" t="str" cm="1">
        <f t="array" ref="C607">INDEX(Lookups!$D$2:$D$10,MOD(ROW()-ROW($B$2),ROWS(Lookups!$D$2:$D$10))+1)</f>
        <v>LWCMS (Mortar)</v>
      </c>
      <c r="D607" s="38" t="str">
        <f>_xlfn.XLOOKUP(C607,Analysis_Gadgets!$C:$C,Analysis_Gadgets!$B:$B)</f>
        <v>Gadget</v>
      </c>
      <c r="E607" s="43">
        <v>0</v>
      </c>
      <c r="F607" s="43">
        <f>_xlfn.XLOOKUP(A607,Class_Players!A:A,Class_Players!G:G)</f>
        <v>372</v>
      </c>
      <c r="G607" s="43">
        <f t="shared" si="158"/>
        <v>0</v>
      </c>
      <c r="H607" s="43">
        <f>_xlfn.XLOOKUP(A607,Class_Players!$A:$A,Class_Players!$F:$F,"")</f>
        <v>10750</v>
      </c>
      <c r="I607" s="44">
        <f t="shared" si="159"/>
        <v>0</v>
      </c>
      <c r="J607" s="43">
        <f t="shared" si="160"/>
        <v>0</v>
      </c>
      <c r="K607" s="44" cm="1">
        <f t="array" ref="K607">IF(D607="Gadget",_xlfn.IFS(I607&gt;=0.2,0.5,I607&gt;=0.1,0.35,I607&gt;=0.05,0.2,TRUE,0),IF(D607="Grenade",_xlfn.IFS(I607&gt;=0.2,1,I607&gt;=0.1,0.7,I607&gt;=0.05,0.4,TRUE,0),0))</f>
        <v>0</v>
      </c>
      <c r="L607" s="57">
        <f t="shared" si="163"/>
        <v>0</v>
      </c>
    </row>
    <row r="608" spans="1:12" ht="15" customHeight="1" x14ac:dyDescent="0.25">
      <c r="A608" s="42" t="str" cm="1">
        <f t="array" ref="A608">IFERROR(INDEX(_xlfn._xlws.FILTER(Class_Players!A:A,Class_Players!B:B="Support"),QUOTIENT(ROW()-ROW($A$2),9)+1),"")</f>
        <v>A_S_H_L_E_Y__13</v>
      </c>
      <c r="B608" s="42" t="str">
        <f>_xlfn.XLOOKUP(A608,Class_Players!$A:$A,Class_Players!$B:$B,"")</f>
        <v>Support</v>
      </c>
      <c r="C608" s="38" t="str" cm="1">
        <f t="array" ref="C608">INDEX(Lookups!$D$2:$D$10,MOD(ROW()-ROW($B$2),ROWS(Lookups!$D$2:$D$10))+1)</f>
        <v>M320A1 SMK (Smoke Grenade Launcher)</v>
      </c>
      <c r="D608" s="38" t="str">
        <f>_xlfn.XLOOKUP(C608,Analysis_Gadgets!$C:$C,Analysis_Gadgets!$B:$B)</f>
        <v>Gadget</v>
      </c>
      <c r="E608" s="43">
        <v>520</v>
      </c>
      <c r="F608" s="43">
        <f>_xlfn.XLOOKUP(A608,Class_Players!A:A,Class_Players!G:G)</f>
        <v>372</v>
      </c>
      <c r="G608" s="43">
        <f t="shared" si="158"/>
        <v>1.3978494623655915</v>
      </c>
      <c r="H608" s="43">
        <f>_xlfn.XLOOKUP(A608,Class_Players!$A:$A,Class_Players!$F:$F,"")</f>
        <v>10750</v>
      </c>
      <c r="I608" s="44">
        <f t="shared" si="159"/>
        <v>4.8372093023255812E-2</v>
      </c>
      <c r="J608" s="43">
        <f t="shared" si="160"/>
        <v>0</v>
      </c>
      <c r="K608" s="44" cm="1">
        <f t="array" ref="K608">IF(D608="Gadget",_xlfn.IFS(I608&gt;=0.2,0.5,I608&gt;=0.1,0.35,I608&gt;=0.05,0.2,TRUE,0),IF(D608="Grenade",_xlfn.IFS(I608&gt;=0.2,1,I608&gt;=0.1,0.7,I608&gt;=0.05,0.4,TRUE,0),0))</f>
        <v>0</v>
      </c>
      <c r="L608" s="57">
        <f t="shared" si="163"/>
        <v>0</v>
      </c>
    </row>
    <row r="609" spans="1:12" ht="15" customHeight="1" x14ac:dyDescent="0.25">
      <c r="A609" s="42" t="str" cm="1">
        <f t="array" ref="A609">IFERROR(INDEX(_xlfn._xlws.FILTER(Class_Players!A:A,Class_Players!B:B="Support"),QUOTIENT(ROW()-ROW($A$2),9)+1),"")</f>
        <v>A_S_H_L_E_Y__13</v>
      </c>
      <c r="B609" s="42" t="str">
        <f>_xlfn.XLOOKUP(A609,Class_Players!$A:$A,Class_Players!$B:$B,"")</f>
        <v>Support</v>
      </c>
      <c r="C609" s="38" t="str" cm="1">
        <f t="array" ref="C609">INDEX(Lookups!$D$2:$D$10,MOD(ROW()-ROW($B$2),ROWS(Lookups!$D$2:$D$10))+1)</f>
        <v>SICH G1 WP (Incendiary Airburst Launcher)</v>
      </c>
      <c r="D609" s="38" t="str">
        <f>_xlfn.XLOOKUP(C609,Analysis_Gadgets!$C:$C,Analysis_Gadgets!$B:$B)</f>
        <v>Gadget</v>
      </c>
      <c r="E609" s="43">
        <v>53</v>
      </c>
      <c r="F609" s="43">
        <f>_xlfn.XLOOKUP(A609,Class_Players!A:A,Class_Players!G:G)</f>
        <v>372</v>
      </c>
      <c r="G609" s="43">
        <f t="shared" si="158"/>
        <v>0.1424731182795699</v>
      </c>
      <c r="H609" s="43">
        <f>_xlfn.XLOOKUP(A609,Class_Players!$A:$A,Class_Players!$F:$F,"")</f>
        <v>10750</v>
      </c>
      <c r="I609" s="44">
        <f t="shared" si="159"/>
        <v>4.9302325581395351E-3</v>
      </c>
      <c r="J609" s="43">
        <f t="shared" si="160"/>
        <v>0</v>
      </c>
      <c r="K609" s="44" cm="1">
        <f t="array" ref="K609">IF(D609="Gadget",_xlfn.IFS(I609&gt;=0.2,0.5,I609&gt;=0.1,0.35,I609&gt;=0.05,0.2,TRUE,0),IF(D609="Grenade",_xlfn.IFS(I609&gt;=0.2,1,I609&gt;=0.1,0.7,I609&gt;=0.05,0.4,TRUE,0),0))</f>
        <v>0</v>
      </c>
      <c r="L609" s="57">
        <f t="shared" si="163"/>
        <v>0</v>
      </c>
    </row>
    <row r="610" spans="1:12" ht="15" customHeight="1" x14ac:dyDescent="0.25">
      <c r="A610" s="42" t="str" cm="1">
        <f t="array" ref="A610">IFERROR(INDEX(_xlfn._xlws.FILTER(Class_Players!A:A,Class_Players!B:B="Support"),QUOTIENT(ROW()-ROW($A$2),9)+1),"")</f>
        <v>A_S_H_L_E_Y__13</v>
      </c>
      <c r="B610" s="42" t="str">
        <f>_xlfn.XLOOKUP(A610,Class_Players!$A:$A,Class_Players!$B:$B,"")</f>
        <v>Support</v>
      </c>
      <c r="C610" s="38" t="str" cm="1">
        <f t="array" ref="C610">INDEX(Lookups!$D$2:$D$10,MOD(ROW()-ROW($B$2),ROWS(Lookups!$D$2:$D$10))+1)</f>
        <v>Deployable Cover</v>
      </c>
      <c r="D610" s="38" t="str">
        <f>_xlfn.XLOOKUP(C610,Analysis_Gadgets!$C:$C,Analysis_Gadgets!$B:$B)</f>
        <v>Gadget</v>
      </c>
      <c r="E610" s="43">
        <v>33</v>
      </c>
      <c r="F610" s="43">
        <f>_xlfn.XLOOKUP(A610,Class_Players!A:A,Class_Players!G:G)</f>
        <v>372</v>
      </c>
      <c r="G610" s="43">
        <f t="shared" si="158"/>
        <v>8.8709677419354843E-2</v>
      </c>
      <c r="H610" s="43">
        <f>_xlfn.XLOOKUP(A610,Class_Players!$A:$A,Class_Players!$F:$F,"")</f>
        <v>10750</v>
      </c>
      <c r="I610" s="44">
        <f t="shared" si="159"/>
        <v>3.069767441860465E-3</v>
      </c>
      <c r="J610" s="43">
        <f t="shared" si="160"/>
        <v>0</v>
      </c>
      <c r="K610" s="44" cm="1">
        <f t="array" ref="K610">IF(D610="Gadget",_xlfn.IFS(I610&gt;=0.2,0.5,I610&gt;=0.1,0.35,I610&gt;=0.05,0.2,TRUE,0),IF(D610="Grenade",_xlfn.IFS(I610&gt;=0.2,1,I610&gt;=0.1,0.7,I610&gt;=0.05,0.4,TRUE,0),0))</f>
        <v>0</v>
      </c>
      <c r="L610" s="57">
        <f t="shared" si="163"/>
        <v>0</v>
      </c>
    </row>
    <row r="611" spans="1:12" ht="15" customHeight="1" x14ac:dyDescent="0.25">
      <c r="A611" s="42" t="str" cm="1">
        <f t="array" ref="A611">IFERROR(INDEX(_xlfn._xlws.FILTER(Class_Players!A:A,Class_Players!B:B="Support"),QUOTIENT(ROW()-ROW($A$2),9)+1),"")</f>
        <v>A_S_H_L_E_Y__13</v>
      </c>
      <c r="B611" s="42" t="str">
        <f>_xlfn.XLOOKUP(A611,Class_Players!$A:$A,Class_Players!$B:$B,"")</f>
        <v>Support</v>
      </c>
      <c r="C611" s="38" t="str" cm="1">
        <f t="array" ref="C611">INDEX(Lookups!$D$2:$D$10,MOD(ROW()-ROW($B$2),ROWS(Lookups!$D$2:$D$10))+1)</f>
        <v>Supply Pouch</v>
      </c>
      <c r="D611" s="38" t="str">
        <f>_xlfn.XLOOKUP(C611,Analysis_Gadgets!$C:$C,Analysis_Gadgets!$B:$B)</f>
        <v>Gadget</v>
      </c>
      <c r="E611" s="43">
        <v>9480</v>
      </c>
      <c r="F611" s="43">
        <f>_xlfn.XLOOKUP(A611,Class_Players!A:A,Class_Players!G:G)</f>
        <v>372</v>
      </c>
      <c r="G611" s="43">
        <f t="shared" si="158"/>
        <v>25.483870967741936</v>
      </c>
      <c r="H611" s="43">
        <f>_xlfn.XLOOKUP(A611,Class_Players!$A:$A,Class_Players!$F:$F,"")</f>
        <v>10750</v>
      </c>
      <c r="I611" s="44">
        <f t="shared" si="159"/>
        <v>0.88186046511627902</v>
      </c>
      <c r="J611" s="43">
        <f t="shared" si="160"/>
        <v>1</v>
      </c>
      <c r="K611" s="44" cm="1">
        <f t="array" ref="K611">IF(D611="Gadget",_xlfn.IFS(I611&gt;=0.2,0.5,I611&gt;=0.1,0.35,I611&gt;=0.05,0.2,TRUE,0),IF(D611="Grenade",_xlfn.IFS(I611&gt;=0.2,1,I611&gt;=0.1,0.7,I611&gt;=0.05,0.4,TRUE,0),0))</f>
        <v>0.5</v>
      </c>
      <c r="L611" s="57">
        <f t="shared" si="163"/>
        <v>1</v>
      </c>
    </row>
    <row r="612" spans="1:12" ht="15" customHeight="1" x14ac:dyDescent="0.25">
      <c r="A612" s="42" t="str" cm="1">
        <f t="array" ref="A612">IFERROR(INDEX(_xlfn._xlws.FILTER(Class_Players!A:A,Class_Players!B:B="Support"),QUOTIENT(ROW()-ROW($A$2),9)+1),"")</f>
        <v>A_S_H_L_E_Y__13</v>
      </c>
      <c r="B612" s="42" t="str">
        <f>_xlfn.XLOOKUP(A612,Class_Players!$A:$A,Class_Players!$B:$B,"")</f>
        <v>Support</v>
      </c>
      <c r="C612" s="38" t="str" cm="1">
        <f t="array" ref="C612">INDEX(Lookups!$D$2:$D$10,MOD(ROW()-ROW($B$2),ROWS(Lookups!$D$2:$D$10))+1)</f>
        <v>Smoke Grenade</v>
      </c>
      <c r="D612" s="38" t="str">
        <f>_xlfn.XLOOKUP(C612,Analysis_Gadgets!$C:$C,Analysis_Gadgets!$B:$B)</f>
        <v>Grenade</v>
      </c>
      <c r="E612" s="43">
        <v>19483</v>
      </c>
      <c r="F612" s="43">
        <f>_xlfn.XLOOKUP(A612,Class_Players!A:A,Class_Players!G:G)</f>
        <v>372</v>
      </c>
      <c r="G612" s="43">
        <f t="shared" si="158"/>
        <v>52.373655913978496</v>
      </c>
      <c r="H612" s="43">
        <f>_xlfn.XLOOKUP(A612,Class_Players!$A:$A,Class_Players!$F:$F,"")</f>
        <v>10750</v>
      </c>
      <c r="I612" s="44">
        <f t="shared" si="159"/>
        <v>1.8123720930232559</v>
      </c>
      <c r="J612" s="43">
        <f t="shared" si="160"/>
        <v>1</v>
      </c>
      <c r="K612" s="44" cm="1">
        <f t="array" ref="K612">IF(D612="Gadget",_xlfn.IFS(I612&gt;=0.2,0.5,I612&gt;=0.1,0.35,I612&gt;=0.05,0.2,TRUE,0),IF(D612="Grenade",_xlfn.IFS(I612&gt;=0.2,1,I612&gt;=0.1,0.7,I612&gt;=0.05,0.4,TRUE,0),0))</f>
        <v>1</v>
      </c>
      <c r="L612" s="57">
        <f t="shared" ref="L612:L613" si="164">IF($K612=0,0,$K612 / SUMIFS($K:$K,$A:$A,$A612,$D:$D,"Grenade"))</f>
        <v>1</v>
      </c>
    </row>
    <row r="613" spans="1:12" ht="15" customHeight="1" x14ac:dyDescent="0.25">
      <c r="A613" s="42" t="str" cm="1">
        <f t="array" ref="A613">IFERROR(INDEX(_xlfn._xlws.FILTER(Class_Players!A:A,Class_Players!B:B="Support"),QUOTIENT(ROW()-ROW($A$2),9)+1),"")</f>
        <v>A_S_H_L_E_Y__13</v>
      </c>
      <c r="B613" s="42" t="str">
        <f>_xlfn.XLOOKUP(A613,Class_Players!$A:$A,Class_Players!$B:$B,"")</f>
        <v>Support</v>
      </c>
      <c r="C613" s="38" t="str" cm="1">
        <f t="array" ref="C613">INDEX(Lookups!$D$2:$D$10,MOD(ROW()-ROW($B$2),ROWS(Lookups!$D$2:$D$10))+1)</f>
        <v>Incendiary Grenade</v>
      </c>
      <c r="D613" s="38" t="str">
        <f>_xlfn.XLOOKUP(C613,Analysis_Gadgets!$C:$C,Analysis_Gadgets!$B:$B)</f>
        <v>Grenade</v>
      </c>
      <c r="E613" s="43">
        <v>13</v>
      </c>
      <c r="F613" s="43">
        <f>_xlfn.XLOOKUP(A613,Class_Players!A:A,Class_Players!G:G)</f>
        <v>372</v>
      </c>
      <c r="G613" s="43">
        <f t="shared" si="158"/>
        <v>3.4946236559139782E-2</v>
      </c>
      <c r="H613" s="43">
        <f>_xlfn.XLOOKUP(A613,Class_Players!$A:$A,Class_Players!$F:$F,"")</f>
        <v>10750</v>
      </c>
      <c r="I613" s="44">
        <f t="shared" si="159"/>
        <v>1.2093023255813954E-3</v>
      </c>
      <c r="J613" s="43">
        <f t="shared" si="160"/>
        <v>0</v>
      </c>
      <c r="K613" s="44" cm="1">
        <f t="array" ref="K613">IF(D613="Gadget",_xlfn.IFS(I613&gt;=0.2,0.5,I613&gt;=0.1,0.35,I613&gt;=0.05,0.2,TRUE,0),IF(D613="Grenade",_xlfn.IFS(I613&gt;=0.2,1,I613&gt;=0.1,0.7,I613&gt;=0.05,0.4,TRUE,0),0))</f>
        <v>0</v>
      </c>
      <c r="L613" s="57">
        <f t="shared" si="164"/>
        <v>0</v>
      </c>
    </row>
    <row r="614" spans="1:12" ht="15" customHeight="1" x14ac:dyDescent="0.25">
      <c r="A614" s="42" t="str" cm="1">
        <f t="array" ref="A614">IFERROR(INDEX(_xlfn._xlws.FILTER(Class_Players!A:A,Class_Players!B:B="Support"),QUOTIENT(ROW()-ROW($A$2),9)+1),"")</f>
        <v>AlpiMiami19</v>
      </c>
      <c r="B614" s="42" t="str">
        <f>_xlfn.XLOOKUP(A614,Class_Players!$A:$A,Class_Players!$B:$B,"")</f>
        <v>Support</v>
      </c>
      <c r="C614" s="38" t="str" cm="1">
        <f t="array" ref="C614">INDEX(Lookups!$D$2:$D$10,MOD(ROW()-ROW($B$2),ROWS(Lookups!$D$2:$D$10))+1)</f>
        <v>GPDIS (Grenade intercept system)</v>
      </c>
      <c r="D614" s="38" t="str">
        <f>_xlfn.XLOOKUP(C614,Analysis_Gadgets!$C:$C,Analysis_Gadgets!$B:$B)</f>
        <v>Gadget</v>
      </c>
      <c r="E614" s="43">
        <v>109</v>
      </c>
      <c r="F614" s="43">
        <f>_xlfn.XLOOKUP(A614,Class_Players!A:A,Class_Players!G:G)</f>
        <v>213</v>
      </c>
      <c r="G614" s="43">
        <f t="shared" si="158"/>
        <v>0.51173708920187788</v>
      </c>
      <c r="H614" s="43">
        <f>_xlfn.XLOOKUP(A614,Class_Players!$A:$A,Class_Players!$F:$F,"")</f>
        <v>10698</v>
      </c>
      <c r="I614" s="44">
        <f t="shared" si="159"/>
        <v>1.0188820340250515E-2</v>
      </c>
      <c r="J614" s="43">
        <f t="shared" si="160"/>
        <v>0</v>
      </c>
      <c r="K614" s="44" cm="1">
        <f t="array" ref="K614">IF(D614="Gadget",_xlfn.IFS(I614&gt;=0.2,0.5,I614&gt;=0.1,0.35,I614&gt;=0.05,0.2,TRUE,0),IF(D614="Grenade",_xlfn.IFS(I614&gt;=0.2,1,I614&gt;=0.1,0.7,I614&gt;=0.05,0.4,TRUE,0),0))</f>
        <v>0</v>
      </c>
      <c r="L614" s="57">
        <f t="shared" ref="L614:L620" si="165">IF($K614=0,0,$K614 / SUMIFS($K:$K,$A:$A,$A614,$D:$D,"Gadget"))</f>
        <v>0</v>
      </c>
    </row>
    <row r="615" spans="1:12" ht="15" customHeight="1" x14ac:dyDescent="0.25">
      <c r="A615" s="42" t="str" cm="1">
        <f t="array" ref="A615">IFERROR(INDEX(_xlfn._xlws.FILTER(Class_Players!A:A,Class_Players!B:B="Support"),QUOTIENT(ROW()-ROW($A$2),9)+1),"")</f>
        <v>AlpiMiami19</v>
      </c>
      <c r="B615" s="42" t="str">
        <f>_xlfn.XLOOKUP(A615,Class_Players!$A:$A,Class_Players!$B:$B,"")</f>
        <v>Support</v>
      </c>
      <c r="C615" s="38" t="str" cm="1">
        <f t="array" ref="C615">INDEX(Lookups!$D$2:$D$10,MOD(ROW()-ROW($B$2),ROWS(Lookups!$D$2:$D$10))+1)</f>
        <v>MP-APS (Missile intercept system)</v>
      </c>
      <c r="D615" s="38" t="str">
        <f>_xlfn.XLOOKUP(C615,Analysis_Gadgets!$C:$C,Analysis_Gadgets!$B:$B)</f>
        <v>Gadget</v>
      </c>
      <c r="E615" s="43">
        <v>0</v>
      </c>
      <c r="F615" s="43">
        <f>_xlfn.XLOOKUP(A615,Class_Players!A:A,Class_Players!G:G)</f>
        <v>213</v>
      </c>
      <c r="G615" s="43">
        <f t="shared" si="158"/>
        <v>0</v>
      </c>
      <c r="H615" s="43">
        <f>_xlfn.XLOOKUP(A615,Class_Players!$A:$A,Class_Players!$F:$F,"")</f>
        <v>10698</v>
      </c>
      <c r="I615" s="44">
        <f t="shared" si="159"/>
        <v>0</v>
      </c>
      <c r="J615" s="43">
        <f t="shared" si="160"/>
        <v>0</v>
      </c>
      <c r="K615" s="44" cm="1">
        <f t="array" ref="K615">IF(D615="Gadget",_xlfn.IFS(I615&gt;=0.2,0.5,I615&gt;=0.1,0.35,I615&gt;=0.05,0.2,TRUE,0),IF(D615="Grenade",_xlfn.IFS(I615&gt;=0.2,1,I615&gt;=0.1,0.7,I615&gt;=0.05,0.4,TRUE,0),0))</f>
        <v>0</v>
      </c>
      <c r="L615" s="57">
        <f t="shared" si="165"/>
        <v>0</v>
      </c>
    </row>
    <row r="616" spans="1:12" ht="15" customHeight="1" x14ac:dyDescent="0.25">
      <c r="A616" s="42" t="str" cm="1">
        <f t="array" ref="A616">IFERROR(INDEX(_xlfn._xlws.FILTER(Class_Players!A:A,Class_Players!B:B="Support"),QUOTIENT(ROW()-ROW($A$2),9)+1),"")</f>
        <v>AlpiMiami19</v>
      </c>
      <c r="B616" s="42" t="str">
        <f>_xlfn.XLOOKUP(A616,Class_Players!$A:$A,Class_Players!$B:$B,"")</f>
        <v>Support</v>
      </c>
      <c r="C616" s="38" t="str" cm="1">
        <f t="array" ref="C616">INDEX(Lookups!$D$2:$D$10,MOD(ROW()-ROW($B$2),ROWS(Lookups!$D$2:$D$10))+1)</f>
        <v>LWCMS (Mortar)</v>
      </c>
      <c r="D616" s="38" t="str">
        <f>_xlfn.XLOOKUP(C616,Analysis_Gadgets!$C:$C,Analysis_Gadgets!$B:$B)</f>
        <v>Gadget</v>
      </c>
      <c r="E616" s="43">
        <v>6</v>
      </c>
      <c r="F616" s="43">
        <f>_xlfn.XLOOKUP(A616,Class_Players!A:A,Class_Players!G:G)</f>
        <v>213</v>
      </c>
      <c r="G616" s="43">
        <f t="shared" si="158"/>
        <v>2.8169014084507043E-2</v>
      </c>
      <c r="H616" s="43">
        <f>_xlfn.XLOOKUP(A616,Class_Players!$A:$A,Class_Players!$F:$F,"")</f>
        <v>10698</v>
      </c>
      <c r="I616" s="44">
        <f t="shared" si="159"/>
        <v>5.6085249579360629E-4</v>
      </c>
      <c r="J616" s="43">
        <f t="shared" si="160"/>
        <v>0</v>
      </c>
      <c r="K616" s="44" cm="1">
        <f t="array" ref="K616">IF(D616="Gadget",_xlfn.IFS(I616&gt;=0.2,0.5,I616&gt;=0.1,0.35,I616&gt;=0.05,0.2,TRUE,0),IF(D616="Grenade",_xlfn.IFS(I616&gt;=0.2,1,I616&gt;=0.1,0.7,I616&gt;=0.05,0.4,TRUE,0),0))</f>
        <v>0</v>
      </c>
      <c r="L616" s="57">
        <f t="shared" si="165"/>
        <v>0</v>
      </c>
    </row>
    <row r="617" spans="1:12" ht="15" customHeight="1" x14ac:dyDescent="0.25">
      <c r="A617" s="42" t="str" cm="1">
        <f t="array" ref="A617">IFERROR(INDEX(_xlfn._xlws.FILTER(Class_Players!A:A,Class_Players!B:B="Support"),QUOTIENT(ROW()-ROW($A$2),9)+1),"")</f>
        <v>AlpiMiami19</v>
      </c>
      <c r="B617" s="42" t="str">
        <f>_xlfn.XLOOKUP(A617,Class_Players!$A:$A,Class_Players!$B:$B,"")</f>
        <v>Support</v>
      </c>
      <c r="C617" s="38" t="str" cm="1">
        <f t="array" ref="C617">INDEX(Lookups!$D$2:$D$10,MOD(ROW()-ROW($B$2),ROWS(Lookups!$D$2:$D$10))+1)</f>
        <v>M320A1 SMK (Smoke Grenade Launcher)</v>
      </c>
      <c r="D617" s="38" t="str">
        <f>_xlfn.XLOOKUP(C617,Analysis_Gadgets!$C:$C,Analysis_Gadgets!$B:$B)</f>
        <v>Gadget</v>
      </c>
      <c r="E617" s="43">
        <v>216</v>
      </c>
      <c r="F617" s="43">
        <f>_xlfn.XLOOKUP(A617,Class_Players!A:A,Class_Players!G:G)</f>
        <v>213</v>
      </c>
      <c r="G617" s="43">
        <f t="shared" si="158"/>
        <v>1.0140845070422535</v>
      </c>
      <c r="H617" s="43">
        <f>_xlfn.XLOOKUP(A617,Class_Players!$A:$A,Class_Players!$F:$F,"")</f>
        <v>10698</v>
      </c>
      <c r="I617" s="44">
        <f t="shared" si="159"/>
        <v>2.0190689848569827E-2</v>
      </c>
      <c r="J617" s="43">
        <f t="shared" si="160"/>
        <v>0</v>
      </c>
      <c r="K617" s="44" cm="1">
        <f t="array" ref="K617">IF(D617="Gadget",_xlfn.IFS(I617&gt;=0.2,0.5,I617&gt;=0.1,0.35,I617&gt;=0.05,0.2,TRUE,0),IF(D617="Grenade",_xlfn.IFS(I617&gt;=0.2,1,I617&gt;=0.1,0.7,I617&gt;=0.05,0.4,TRUE,0),0))</f>
        <v>0</v>
      </c>
      <c r="L617" s="57">
        <f t="shared" si="165"/>
        <v>0</v>
      </c>
    </row>
    <row r="618" spans="1:12" ht="15" customHeight="1" x14ac:dyDescent="0.25">
      <c r="A618" s="42" t="str" cm="1">
        <f t="array" ref="A618">IFERROR(INDEX(_xlfn._xlws.FILTER(Class_Players!A:A,Class_Players!B:B="Support"),QUOTIENT(ROW()-ROW($A$2),9)+1),"")</f>
        <v>AlpiMiami19</v>
      </c>
      <c r="B618" s="42" t="str">
        <f>_xlfn.XLOOKUP(A618,Class_Players!$A:$A,Class_Players!$B:$B,"")</f>
        <v>Support</v>
      </c>
      <c r="C618" s="38" t="str" cm="1">
        <f t="array" ref="C618">INDEX(Lookups!$D$2:$D$10,MOD(ROW()-ROW($B$2),ROWS(Lookups!$D$2:$D$10))+1)</f>
        <v>SICH G1 WP (Incendiary Airburst Launcher)</v>
      </c>
      <c r="D618" s="38" t="str">
        <f>_xlfn.XLOOKUP(C618,Analysis_Gadgets!$C:$C,Analysis_Gadgets!$B:$B)</f>
        <v>Gadget</v>
      </c>
      <c r="E618" s="43">
        <v>1277</v>
      </c>
      <c r="F618" s="43">
        <f>_xlfn.XLOOKUP(A618,Class_Players!A:A,Class_Players!G:G)</f>
        <v>213</v>
      </c>
      <c r="G618" s="43">
        <f t="shared" si="158"/>
        <v>5.995305164319249</v>
      </c>
      <c r="H618" s="43">
        <f>_xlfn.XLOOKUP(A618,Class_Players!$A:$A,Class_Players!$F:$F,"")</f>
        <v>10698</v>
      </c>
      <c r="I618" s="44">
        <f t="shared" si="159"/>
        <v>0.11936810618807253</v>
      </c>
      <c r="J618" s="43">
        <f t="shared" si="160"/>
        <v>1</v>
      </c>
      <c r="K618" s="44" cm="1">
        <f t="array" ref="K618">IF(D618="Gadget",_xlfn.IFS(I618&gt;=0.2,0.5,I618&gt;=0.1,0.35,I618&gt;=0.05,0.2,TRUE,0),IF(D618="Grenade",_xlfn.IFS(I618&gt;=0.2,1,I618&gt;=0.1,0.7,I618&gt;=0.05,0.4,TRUE,0),0))</f>
        <v>0.35</v>
      </c>
      <c r="L618" s="57">
        <f t="shared" si="165"/>
        <v>1</v>
      </c>
    </row>
    <row r="619" spans="1:12" ht="15" customHeight="1" x14ac:dyDescent="0.25">
      <c r="A619" s="42" t="str" cm="1">
        <f t="array" ref="A619">IFERROR(INDEX(_xlfn._xlws.FILTER(Class_Players!A:A,Class_Players!B:B="Support"),QUOTIENT(ROW()-ROW($A$2),9)+1),"")</f>
        <v>AlpiMiami19</v>
      </c>
      <c r="B619" s="42" t="str">
        <f>_xlfn.XLOOKUP(A619,Class_Players!$A:$A,Class_Players!$B:$B,"")</f>
        <v>Support</v>
      </c>
      <c r="C619" s="38" t="str" cm="1">
        <f t="array" ref="C619">INDEX(Lookups!$D$2:$D$10,MOD(ROW()-ROW($B$2),ROWS(Lookups!$D$2:$D$10))+1)</f>
        <v>Deployable Cover</v>
      </c>
      <c r="D619" s="38" t="str">
        <f>_xlfn.XLOOKUP(C619,Analysis_Gadgets!$C:$C,Analysis_Gadgets!$B:$B)</f>
        <v>Gadget</v>
      </c>
      <c r="E619" s="43">
        <v>44</v>
      </c>
      <c r="F619" s="43">
        <f>_xlfn.XLOOKUP(A619,Class_Players!A:A,Class_Players!G:G)</f>
        <v>213</v>
      </c>
      <c r="G619" s="43">
        <f t="shared" si="158"/>
        <v>0.20657276995305165</v>
      </c>
      <c r="H619" s="43">
        <f>_xlfn.XLOOKUP(A619,Class_Players!$A:$A,Class_Players!$F:$F,"")</f>
        <v>10698</v>
      </c>
      <c r="I619" s="44">
        <f t="shared" si="159"/>
        <v>4.1129183024864457E-3</v>
      </c>
      <c r="J619" s="43">
        <f t="shared" si="160"/>
        <v>0</v>
      </c>
      <c r="K619" s="44" cm="1">
        <f t="array" ref="K619">IF(D619="Gadget",_xlfn.IFS(I619&gt;=0.2,0.5,I619&gt;=0.1,0.35,I619&gt;=0.05,0.2,TRUE,0),IF(D619="Grenade",_xlfn.IFS(I619&gt;=0.2,1,I619&gt;=0.1,0.7,I619&gt;=0.05,0.4,TRUE,0),0))</f>
        <v>0</v>
      </c>
      <c r="L619" s="57">
        <f t="shared" si="165"/>
        <v>0</v>
      </c>
    </row>
    <row r="620" spans="1:12" ht="15" customHeight="1" x14ac:dyDescent="0.25">
      <c r="A620" s="42" t="str" cm="1">
        <f t="array" ref="A620">IFERROR(INDEX(_xlfn._xlws.FILTER(Class_Players!A:A,Class_Players!B:B="Support"),QUOTIENT(ROW()-ROW($A$2),9)+1),"")</f>
        <v>AlpiMiami19</v>
      </c>
      <c r="B620" s="42" t="str">
        <f>_xlfn.XLOOKUP(A620,Class_Players!$A:$A,Class_Players!$B:$B,"")</f>
        <v>Support</v>
      </c>
      <c r="C620" s="38" t="str" cm="1">
        <f t="array" ref="C620">INDEX(Lookups!$D$2:$D$10,MOD(ROW()-ROW($B$2),ROWS(Lookups!$D$2:$D$10))+1)</f>
        <v>Supply Pouch</v>
      </c>
      <c r="D620" s="38" t="str">
        <f>_xlfn.XLOOKUP(C620,Analysis_Gadgets!$C:$C,Analysis_Gadgets!$B:$B)</f>
        <v>Gadget</v>
      </c>
      <c r="E620" s="43">
        <v>3</v>
      </c>
      <c r="F620" s="43">
        <f>_xlfn.XLOOKUP(A620,Class_Players!A:A,Class_Players!G:G)</f>
        <v>213</v>
      </c>
      <c r="G620" s="43">
        <f t="shared" si="158"/>
        <v>1.4084507042253521E-2</v>
      </c>
      <c r="H620" s="43">
        <f>_xlfn.XLOOKUP(A620,Class_Players!$A:$A,Class_Players!$F:$F,"")</f>
        <v>10698</v>
      </c>
      <c r="I620" s="44">
        <f t="shared" si="159"/>
        <v>2.8042624789680314E-4</v>
      </c>
      <c r="J620" s="43">
        <f t="shared" si="160"/>
        <v>0</v>
      </c>
      <c r="K620" s="44" cm="1">
        <f t="array" ref="K620">IF(D620="Gadget",_xlfn.IFS(I620&gt;=0.2,0.5,I620&gt;=0.1,0.35,I620&gt;=0.05,0.2,TRUE,0),IF(D620="Grenade",_xlfn.IFS(I620&gt;=0.2,1,I620&gt;=0.1,0.7,I620&gt;=0.05,0.4,TRUE,0),0))</f>
        <v>0</v>
      </c>
      <c r="L620" s="57">
        <f t="shared" si="165"/>
        <v>0</v>
      </c>
    </row>
    <row r="621" spans="1:12" ht="15" customHeight="1" x14ac:dyDescent="0.25">
      <c r="A621" s="42" t="str" cm="1">
        <f t="array" ref="A621">IFERROR(INDEX(_xlfn._xlws.FILTER(Class_Players!A:A,Class_Players!B:B="Support"),QUOTIENT(ROW()-ROW($A$2),9)+1),"")</f>
        <v>AlpiMiami19</v>
      </c>
      <c r="B621" s="42" t="str">
        <f>_xlfn.XLOOKUP(A621,Class_Players!$A:$A,Class_Players!$B:$B,"")</f>
        <v>Support</v>
      </c>
      <c r="C621" s="38" t="str" cm="1">
        <f t="array" ref="C621">INDEX(Lookups!$D$2:$D$10,MOD(ROW()-ROW($B$2),ROWS(Lookups!$D$2:$D$10))+1)</f>
        <v>Smoke Grenade</v>
      </c>
      <c r="D621" s="38" t="str">
        <f>_xlfn.XLOOKUP(C621,Analysis_Gadgets!$C:$C,Analysis_Gadgets!$B:$B)</f>
        <v>Grenade</v>
      </c>
      <c r="E621" s="43">
        <v>2439</v>
      </c>
      <c r="F621" s="43">
        <f>_xlfn.XLOOKUP(A621,Class_Players!A:A,Class_Players!G:G)</f>
        <v>213</v>
      </c>
      <c r="G621" s="43">
        <f t="shared" si="158"/>
        <v>11.450704225352112</v>
      </c>
      <c r="H621" s="43">
        <f>_xlfn.XLOOKUP(A621,Class_Players!$A:$A,Class_Players!$F:$F,"")</f>
        <v>10698</v>
      </c>
      <c r="I621" s="44">
        <f t="shared" si="159"/>
        <v>0.22798653954010095</v>
      </c>
      <c r="J621" s="43">
        <f t="shared" si="160"/>
        <v>1</v>
      </c>
      <c r="K621" s="44" cm="1">
        <f t="array" ref="K621">IF(D621="Gadget",_xlfn.IFS(I621&gt;=0.2,0.5,I621&gt;=0.1,0.35,I621&gt;=0.05,0.2,TRUE,0),IF(D621="Grenade",_xlfn.IFS(I621&gt;=0.2,1,I621&gt;=0.1,0.7,I621&gt;=0.05,0.4,TRUE,0),0))</f>
        <v>1</v>
      </c>
      <c r="L621" s="57">
        <f t="shared" ref="L621:L622" si="166">IF($K621=0,0,$K621 / SUMIFS($K:$K,$A:$A,$A621,$D:$D,"Grenade"))</f>
        <v>1</v>
      </c>
    </row>
    <row r="622" spans="1:12" ht="15" customHeight="1" x14ac:dyDescent="0.25">
      <c r="A622" s="42" t="str" cm="1">
        <f t="array" ref="A622">IFERROR(INDEX(_xlfn._xlws.FILTER(Class_Players!A:A,Class_Players!B:B="Support"),QUOTIENT(ROW()-ROW($A$2),9)+1),"")</f>
        <v>AlpiMiami19</v>
      </c>
      <c r="B622" s="42" t="str">
        <f>_xlfn.XLOOKUP(A622,Class_Players!$A:$A,Class_Players!$B:$B,"")</f>
        <v>Support</v>
      </c>
      <c r="C622" s="38" t="str" cm="1">
        <f t="array" ref="C622">INDEX(Lookups!$D$2:$D$10,MOD(ROW()-ROW($B$2),ROWS(Lookups!$D$2:$D$10))+1)</f>
        <v>Incendiary Grenade</v>
      </c>
      <c r="D622" s="38" t="str">
        <f>_xlfn.XLOOKUP(C622,Analysis_Gadgets!$C:$C,Analysis_Gadgets!$B:$B)</f>
        <v>Grenade</v>
      </c>
      <c r="E622" s="43">
        <v>25</v>
      </c>
      <c r="F622" s="43">
        <f>_xlfn.XLOOKUP(A622,Class_Players!A:A,Class_Players!G:G)</f>
        <v>213</v>
      </c>
      <c r="G622" s="43">
        <f t="shared" si="158"/>
        <v>0.11737089201877934</v>
      </c>
      <c r="H622" s="43">
        <f>_xlfn.XLOOKUP(A622,Class_Players!$A:$A,Class_Players!$F:$F,"")</f>
        <v>10698</v>
      </c>
      <c r="I622" s="44">
        <f t="shared" si="159"/>
        <v>2.3368853991400261E-3</v>
      </c>
      <c r="J622" s="43">
        <f t="shared" si="160"/>
        <v>0</v>
      </c>
      <c r="K622" s="44" cm="1">
        <f t="array" ref="K622">IF(D622="Gadget",_xlfn.IFS(I622&gt;=0.2,0.5,I622&gt;=0.1,0.35,I622&gt;=0.05,0.2,TRUE,0),IF(D622="Grenade",_xlfn.IFS(I622&gt;=0.2,1,I622&gt;=0.1,0.7,I622&gt;=0.05,0.4,TRUE,0),0))</f>
        <v>0</v>
      </c>
      <c r="L622" s="57">
        <f t="shared" si="166"/>
        <v>0</v>
      </c>
    </row>
    <row r="623" spans="1:12" ht="15" customHeight="1" x14ac:dyDescent="0.25">
      <c r="A623" s="42" t="str" cm="1">
        <f t="array" ref="A623">IFERROR(INDEX(_xlfn._xlws.FILTER(Class_Players!A:A,Class_Players!B:B="Support"),QUOTIENT(ROW()-ROW($A$2),9)+1),"")</f>
        <v>xMirkax</v>
      </c>
      <c r="B623" s="42" t="str">
        <f>_xlfn.XLOOKUP(A623,Class_Players!$A:$A,Class_Players!$B:$B,"")</f>
        <v>Support</v>
      </c>
      <c r="C623" s="38" t="str" cm="1">
        <f t="array" ref="C623">INDEX(Lookups!$D$2:$D$10,MOD(ROW()-ROW($B$2),ROWS(Lookups!$D$2:$D$10))+1)</f>
        <v>GPDIS (Grenade intercept system)</v>
      </c>
      <c r="D623" s="38" t="str">
        <f>_xlfn.XLOOKUP(C623,Analysis_Gadgets!$C:$C,Analysis_Gadgets!$B:$B)</f>
        <v>Gadget</v>
      </c>
      <c r="E623" s="43">
        <v>200</v>
      </c>
      <c r="F623" s="43">
        <f>_xlfn.XLOOKUP(A623,Class_Players!A:A,Class_Players!G:G)</f>
        <v>269</v>
      </c>
      <c r="G623" s="43">
        <f t="shared" ref="G623:G640" si="167">IF(F623=0,"",E623/(F623))</f>
        <v>0.74349442379182151</v>
      </c>
      <c r="H623" s="43">
        <f>_xlfn.XLOOKUP(A623,Class_Players!$A:$A,Class_Players!$F:$F,"")</f>
        <v>11197</v>
      </c>
      <c r="I623" s="44">
        <f t="shared" ref="I623:I640" si="168">IF(H623=0,"",E623/H623)</f>
        <v>1.786192730195588E-2</v>
      </c>
      <c r="J623" s="43">
        <f t="shared" ref="J623:J640" si="169">IF(I623&gt;=0.1,1,0)</f>
        <v>0</v>
      </c>
      <c r="K623" s="44" cm="1">
        <f t="array" ref="K623">IF(D623="Gadget",_xlfn.IFS(I623&gt;=0.2,0.5,I623&gt;=0.1,0.35,I623&gt;=0.05,0.2,TRUE,0),IF(D623="Grenade",_xlfn.IFS(I623&gt;=0.2,1,I623&gt;=0.1,0.7,I623&gt;=0.05,0.4,TRUE,0),0))</f>
        <v>0</v>
      </c>
      <c r="L623" s="57">
        <f t="shared" ref="L623:L629" si="170">IF($K623=0,0,$K623 / SUMIFS($K:$K,$A:$A,$A623,$D:$D,"Gadget"))</f>
        <v>0</v>
      </c>
    </row>
    <row r="624" spans="1:12" ht="15" customHeight="1" x14ac:dyDescent="0.25">
      <c r="A624" s="42" t="str" cm="1">
        <f t="array" ref="A624">IFERROR(INDEX(_xlfn._xlws.FILTER(Class_Players!A:A,Class_Players!B:B="Support"),QUOTIENT(ROW()-ROW($A$2),9)+1),"")</f>
        <v>xMirkax</v>
      </c>
      <c r="B624" s="42" t="str">
        <f>_xlfn.XLOOKUP(A624,Class_Players!$A:$A,Class_Players!$B:$B,"")</f>
        <v>Support</v>
      </c>
      <c r="C624" s="38" t="str" cm="1">
        <f t="array" ref="C624">INDEX(Lookups!$D$2:$D$10,MOD(ROW()-ROW($B$2),ROWS(Lookups!$D$2:$D$10))+1)</f>
        <v>MP-APS (Missile intercept system)</v>
      </c>
      <c r="D624" s="38" t="str">
        <f>_xlfn.XLOOKUP(C624,Analysis_Gadgets!$C:$C,Analysis_Gadgets!$B:$B)</f>
        <v>Gadget</v>
      </c>
      <c r="E624" s="43">
        <v>6</v>
      </c>
      <c r="F624" s="43">
        <f>_xlfn.XLOOKUP(A624,Class_Players!A:A,Class_Players!G:G)</f>
        <v>269</v>
      </c>
      <c r="G624" s="43">
        <f t="shared" si="167"/>
        <v>2.2304832713754646E-2</v>
      </c>
      <c r="H624" s="43">
        <f>_xlfn.XLOOKUP(A624,Class_Players!$A:$A,Class_Players!$F:$F,"")</f>
        <v>11197</v>
      </c>
      <c r="I624" s="44">
        <f t="shared" si="168"/>
        <v>5.3585781905867639E-4</v>
      </c>
      <c r="J624" s="43">
        <f t="shared" si="169"/>
        <v>0</v>
      </c>
      <c r="K624" s="44" cm="1">
        <f t="array" ref="K624">IF(D624="Gadget",_xlfn.IFS(I624&gt;=0.2,0.5,I624&gt;=0.1,0.35,I624&gt;=0.05,0.2,TRUE,0),IF(D624="Grenade",_xlfn.IFS(I624&gt;=0.2,1,I624&gt;=0.1,0.7,I624&gt;=0.05,0.4,TRUE,0),0))</f>
        <v>0</v>
      </c>
      <c r="L624" s="57">
        <f t="shared" si="170"/>
        <v>0</v>
      </c>
    </row>
    <row r="625" spans="1:12" ht="15" customHeight="1" x14ac:dyDescent="0.25">
      <c r="A625" s="42" t="str" cm="1">
        <f t="array" ref="A625">IFERROR(INDEX(_xlfn._xlws.FILTER(Class_Players!A:A,Class_Players!B:B="Support"),QUOTIENT(ROW()-ROW($A$2),9)+1),"")</f>
        <v>xMirkax</v>
      </c>
      <c r="B625" s="42" t="str">
        <f>_xlfn.XLOOKUP(A625,Class_Players!$A:$A,Class_Players!$B:$B,"")</f>
        <v>Support</v>
      </c>
      <c r="C625" s="38" t="str" cm="1">
        <f t="array" ref="C625">INDEX(Lookups!$D$2:$D$10,MOD(ROW()-ROW($B$2),ROWS(Lookups!$D$2:$D$10))+1)</f>
        <v>LWCMS (Mortar)</v>
      </c>
      <c r="D625" s="38" t="str">
        <f>_xlfn.XLOOKUP(C625,Analysis_Gadgets!$C:$C,Analysis_Gadgets!$B:$B)</f>
        <v>Gadget</v>
      </c>
      <c r="E625" s="43">
        <v>0</v>
      </c>
      <c r="F625" s="43">
        <f>_xlfn.XLOOKUP(A625,Class_Players!A:A,Class_Players!G:G)</f>
        <v>269</v>
      </c>
      <c r="G625" s="43">
        <f t="shared" si="167"/>
        <v>0</v>
      </c>
      <c r="H625" s="43">
        <f>_xlfn.XLOOKUP(A625,Class_Players!$A:$A,Class_Players!$F:$F,"")</f>
        <v>11197</v>
      </c>
      <c r="I625" s="44">
        <f t="shared" si="168"/>
        <v>0</v>
      </c>
      <c r="J625" s="43">
        <f t="shared" si="169"/>
        <v>0</v>
      </c>
      <c r="K625" s="44" cm="1">
        <f t="array" ref="K625">IF(D625="Gadget",_xlfn.IFS(I625&gt;=0.2,0.5,I625&gt;=0.1,0.35,I625&gt;=0.05,0.2,TRUE,0),IF(D625="Grenade",_xlfn.IFS(I625&gt;=0.2,1,I625&gt;=0.1,0.7,I625&gt;=0.05,0.4,TRUE,0),0))</f>
        <v>0</v>
      </c>
      <c r="L625" s="57">
        <f t="shared" si="170"/>
        <v>0</v>
      </c>
    </row>
    <row r="626" spans="1:12" ht="15" customHeight="1" x14ac:dyDescent="0.25">
      <c r="A626" s="42" t="str" cm="1">
        <f t="array" ref="A626">IFERROR(INDEX(_xlfn._xlws.FILTER(Class_Players!A:A,Class_Players!B:B="Support"),QUOTIENT(ROW()-ROW($A$2),9)+1),"")</f>
        <v>xMirkax</v>
      </c>
      <c r="B626" s="42" t="str">
        <f>_xlfn.XLOOKUP(A626,Class_Players!$A:$A,Class_Players!$B:$B,"")</f>
        <v>Support</v>
      </c>
      <c r="C626" s="38" t="str" cm="1">
        <f t="array" ref="C626">INDEX(Lookups!$D$2:$D$10,MOD(ROW()-ROW($B$2),ROWS(Lookups!$D$2:$D$10))+1)</f>
        <v>M320A1 SMK (Smoke Grenade Launcher)</v>
      </c>
      <c r="D626" s="38" t="str">
        <f>_xlfn.XLOOKUP(C626,Analysis_Gadgets!$C:$C,Analysis_Gadgets!$B:$B)</f>
        <v>Gadget</v>
      </c>
      <c r="E626" s="43">
        <v>1683</v>
      </c>
      <c r="F626" s="43">
        <f>_xlfn.XLOOKUP(A626,Class_Players!A:A,Class_Players!G:G)</f>
        <v>269</v>
      </c>
      <c r="G626" s="43">
        <f t="shared" si="167"/>
        <v>6.2565055762081787</v>
      </c>
      <c r="H626" s="43">
        <f>_xlfn.XLOOKUP(A626,Class_Players!$A:$A,Class_Players!$F:$F,"")</f>
        <v>11197</v>
      </c>
      <c r="I626" s="44">
        <f t="shared" si="168"/>
        <v>0.15030811824595874</v>
      </c>
      <c r="J626" s="43">
        <f t="shared" si="169"/>
        <v>1</v>
      </c>
      <c r="K626" s="44" cm="1">
        <f t="array" ref="K626">IF(D626="Gadget",_xlfn.IFS(I626&gt;=0.2,0.5,I626&gt;=0.1,0.35,I626&gt;=0.05,0.2,TRUE,0),IF(D626="Grenade",_xlfn.IFS(I626&gt;=0.2,1,I626&gt;=0.1,0.7,I626&gt;=0.05,0.4,TRUE,0),0))</f>
        <v>0.35</v>
      </c>
      <c r="L626" s="57">
        <f t="shared" si="170"/>
        <v>1</v>
      </c>
    </row>
    <row r="627" spans="1:12" ht="15" customHeight="1" x14ac:dyDescent="0.25">
      <c r="A627" s="42" t="str" cm="1">
        <f t="array" ref="A627">IFERROR(INDEX(_xlfn._xlws.FILTER(Class_Players!A:A,Class_Players!B:B="Support"),QUOTIENT(ROW()-ROW($A$2),9)+1),"")</f>
        <v>xMirkax</v>
      </c>
      <c r="B627" s="42" t="str">
        <f>_xlfn.XLOOKUP(A627,Class_Players!$A:$A,Class_Players!$B:$B,"")</f>
        <v>Support</v>
      </c>
      <c r="C627" s="38" t="str" cm="1">
        <f t="array" ref="C627">INDEX(Lookups!$D$2:$D$10,MOD(ROW()-ROW($B$2),ROWS(Lookups!$D$2:$D$10))+1)</f>
        <v>SICH G1 WP (Incendiary Airburst Launcher)</v>
      </c>
      <c r="D627" s="38" t="str">
        <f>_xlfn.XLOOKUP(C627,Analysis_Gadgets!$C:$C,Analysis_Gadgets!$B:$B)</f>
        <v>Gadget</v>
      </c>
      <c r="E627" s="43">
        <v>0</v>
      </c>
      <c r="F627" s="43">
        <f>_xlfn.XLOOKUP(A627,Class_Players!A:A,Class_Players!G:G)</f>
        <v>269</v>
      </c>
      <c r="G627" s="43">
        <f t="shared" si="167"/>
        <v>0</v>
      </c>
      <c r="H627" s="43">
        <f>_xlfn.XLOOKUP(A627,Class_Players!$A:$A,Class_Players!$F:$F,"")</f>
        <v>11197</v>
      </c>
      <c r="I627" s="44">
        <f t="shared" si="168"/>
        <v>0</v>
      </c>
      <c r="J627" s="43">
        <f t="shared" si="169"/>
        <v>0</v>
      </c>
      <c r="K627" s="44" cm="1">
        <f t="array" ref="K627">IF(D627="Gadget",_xlfn.IFS(I627&gt;=0.2,0.5,I627&gt;=0.1,0.35,I627&gt;=0.05,0.2,TRUE,0),IF(D627="Grenade",_xlfn.IFS(I627&gt;=0.2,1,I627&gt;=0.1,0.7,I627&gt;=0.05,0.4,TRUE,0),0))</f>
        <v>0</v>
      </c>
      <c r="L627" s="57">
        <f t="shared" si="170"/>
        <v>0</v>
      </c>
    </row>
    <row r="628" spans="1:12" ht="15" customHeight="1" x14ac:dyDescent="0.25">
      <c r="A628" s="42" t="str" cm="1">
        <f t="array" ref="A628">IFERROR(INDEX(_xlfn._xlws.FILTER(Class_Players!A:A,Class_Players!B:B="Support"),QUOTIENT(ROW()-ROW($A$2),9)+1),"")</f>
        <v>xMirkax</v>
      </c>
      <c r="B628" s="42" t="str">
        <f>_xlfn.XLOOKUP(A628,Class_Players!$A:$A,Class_Players!$B:$B,"")</f>
        <v>Support</v>
      </c>
      <c r="C628" s="38" t="str" cm="1">
        <f t="array" ref="C628">INDEX(Lookups!$D$2:$D$10,MOD(ROW()-ROW($B$2),ROWS(Lookups!$D$2:$D$10))+1)</f>
        <v>Deployable Cover</v>
      </c>
      <c r="D628" s="38" t="str">
        <f>_xlfn.XLOOKUP(C628,Analysis_Gadgets!$C:$C,Analysis_Gadgets!$B:$B)</f>
        <v>Gadget</v>
      </c>
      <c r="E628" s="43">
        <v>153</v>
      </c>
      <c r="F628" s="43">
        <f>_xlfn.XLOOKUP(A628,Class_Players!A:A,Class_Players!G:G)</f>
        <v>269</v>
      </c>
      <c r="G628" s="43">
        <f t="shared" si="167"/>
        <v>0.56877323420074355</v>
      </c>
      <c r="H628" s="43">
        <f>_xlfn.XLOOKUP(A628,Class_Players!$A:$A,Class_Players!$F:$F,"")</f>
        <v>11197</v>
      </c>
      <c r="I628" s="44">
        <f t="shared" si="168"/>
        <v>1.3664374385996249E-2</v>
      </c>
      <c r="J628" s="43">
        <f t="shared" si="169"/>
        <v>0</v>
      </c>
      <c r="K628" s="44" cm="1">
        <f t="array" ref="K628">IF(D628="Gadget",_xlfn.IFS(I628&gt;=0.2,0.5,I628&gt;=0.1,0.35,I628&gt;=0.05,0.2,TRUE,0),IF(D628="Grenade",_xlfn.IFS(I628&gt;=0.2,1,I628&gt;=0.1,0.7,I628&gt;=0.05,0.4,TRUE,0),0))</f>
        <v>0</v>
      </c>
      <c r="L628" s="57">
        <f t="shared" si="170"/>
        <v>0</v>
      </c>
    </row>
    <row r="629" spans="1:12" ht="15" customHeight="1" x14ac:dyDescent="0.25">
      <c r="A629" s="42" t="str" cm="1">
        <f t="array" ref="A629">IFERROR(INDEX(_xlfn._xlws.FILTER(Class_Players!A:A,Class_Players!B:B="Support"),QUOTIENT(ROW()-ROW($A$2),9)+1),"")</f>
        <v>xMirkax</v>
      </c>
      <c r="B629" s="42" t="str">
        <f>_xlfn.XLOOKUP(A629,Class_Players!$A:$A,Class_Players!$B:$B,"")</f>
        <v>Support</v>
      </c>
      <c r="C629" s="38" t="str" cm="1">
        <f t="array" ref="C629">INDEX(Lookups!$D$2:$D$10,MOD(ROW()-ROW($B$2),ROWS(Lookups!$D$2:$D$10))+1)</f>
        <v>Supply Pouch</v>
      </c>
      <c r="D629" s="38" t="str">
        <f>_xlfn.XLOOKUP(C629,Analysis_Gadgets!$C:$C,Analysis_Gadgets!$B:$B)</f>
        <v>Gadget</v>
      </c>
      <c r="E629" s="43">
        <v>0</v>
      </c>
      <c r="F629" s="43">
        <f>_xlfn.XLOOKUP(A629,Class_Players!A:A,Class_Players!G:G)</f>
        <v>269</v>
      </c>
      <c r="G629" s="43">
        <f t="shared" si="167"/>
        <v>0</v>
      </c>
      <c r="H629" s="43">
        <f>_xlfn.XLOOKUP(A629,Class_Players!$A:$A,Class_Players!$F:$F,"")</f>
        <v>11197</v>
      </c>
      <c r="I629" s="44">
        <f t="shared" si="168"/>
        <v>0</v>
      </c>
      <c r="J629" s="43">
        <f t="shared" si="169"/>
        <v>0</v>
      </c>
      <c r="K629" s="44" cm="1">
        <f t="array" ref="K629">IF(D629="Gadget",_xlfn.IFS(I629&gt;=0.2,0.5,I629&gt;=0.1,0.35,I629&gt;=0.05,0.2,TRUE,0),IF(D629="Grenade",_xlfn.IFS(I629&gt;=0.2,1,I629&gt;=0.1,0.7,I629&gt;=0.05,0.4,TRUE,0),0))</f>
        <v>0</v>
      </c>
      <c r="L629" s="57">
        <f t="shared" si="170"/>
        <v>0</v>
      </c>
    </row>
    <row r="630" spans="1:12" ht="15" customHeight="1" x14ac:dyDescent="0.25">
      <c r="A630" s="42" t="str" cm="1">
        <f t="array" ref="A630">IFERROR(INDEX(_xlfn._xlws.FILTER(Class_Players!A:A,Class_Players!B:B="Support"),QUOTIENT(ROW()-ROW($A$2),9)+1),"")</f>
        <v>xMirkax</v>
      </c>
      <c r="B630" s="42" t="str">
        <f>_xlfn.XLOOKUP(A630,Class_Players!$A:$A,Class_Players!$B:$B,"")</f>
        <v>Support</v>
      </c>
      <c r="C630" s="38" t="str" cm="1">
        <f t="array" ref="C630">INDEX(Lookups!$D$2:$D$10,MOD(ROW()-ROW($B$2),ROWS(Lookups!$D$2:$D$10))+1)</f>
        <v>Smoke Grenade</v>
      </c>
      <c r="D630" s="38" t="str">
        <f>_xlfn.XLOOKUP(C630,Analysis_Gadgets!$C:$C,Analysis_Gadgets!$B:$B)</f>
        <v>Grenade</v>
      </c>
      <c r="E630" s="43">
        <v>1303</v>
      </c>
      <c r="F630" s="43">
        <f>_xlfn.XLOOKUP(A630,Class_Players!A:A,Class_Players!G:G)</f>
        <v>269</v>
      </c>
      <c r="G630" s="43">
        <f t="shared" si="167"/>
        <v>4.8438661710037172</v>
      </c>
      <c r="H630" s="43">
        <f>_xlfn.XLOOKUP(A630,Class_Players!$A:$A,Class_Players!$F:$F,"")</f>
        <v>11197</v>
      </c>
      <c r="I630" s="44">
        <f t="shared" si="168"/>
        <v>0.11637045637224257</v>
      </c>
      <c r="J630" s="43">
        <f t="shared" si="169"/>
        <v>1</v>
      </c>
      <c r="K630" s="44" cm="1">
        <f t="array" ref="K630">IF(D630="Gadget",_xlfn.IFS(I630&gt;=0.2,0.5,I630&gt;=0.1,0.35,I630&gt;=0.05,0.2,TRUE,0),IF(D630="Grenade",_xlfn.IFS(I630&gt;=0.2,1,I630&gt;=0.1,0.7,I630&gt;=0.05,0.4,TRUE,0),0))</f>
        <v>0.7</v>
      </c>
      <c r="L630" s="57">
        <f>IF($K630=0,0,$K630 / SUMIFS($K:$K,$A:$A,$A630,$D:$D,"Grenade"))</f>
        <v>0.41176470588235292</v>
      </c>
    </row>
    <row r="631" spans="1:12" ht="15" customHeight="1" x14ac:dyDescent="0.25">
      <c r="A631" s="42" t="str" cm="1">
        <f t="array" ref="A631">IFERROR(INDEX(_xlfn._xlws.FILTER(Class_Players!A:A,Class_Players!B:B="Support"),QUOTIENT(ROW()-ROW($A$2),9)+1),"")</f>
        <v>xMirkax</v>
      </c>
      <c r="B631" s="42" t="str">
        <f>_xlfn.XLOOKUP(A631,Class_Players!$A:$A,Class_Players!$B:$B,"")</f>
        <v>Support</v>
      </c>
      <c r="C631" s="38" t="str" cm="1">
        <f t="array" ref="C631">INDEX(Lookups!$D$2:$D$10,MOD(ROW()-ROW($B$2),ROWS(Lookups!$D$2:$D$10))+1)</f>
        <v>Incendiary Grenade</v>
      </c>
      <c r="D631" s="38" t="str">
        <f>_xlfn.XLOOKUP(C631,Analysis_Gadgets!$C:$C,Analysis_Gadgets!$B:$B)</f>
        <v>Grenade</v>
      </c>
      <c r="E631" s="43">
        <v>2431</v>
      </c>
      <c r="F631" s="43">
        <f>_xlfn.XLOOKUP(A631,Class_Players!A:A,Class_Players!G:G)</f>
        <v>269</v>
      </c>
      <c r="G631" s="43">
        <f t="shared" si="167"/>
        <v>9.0371747211895919</v>
      </c>
      <c r="H631" s="43">
        <f>_xlfn.XLOOKUP(A631,Class_Players!$A:$A,Class_Players!$F:$F,"")</f>
        <v>11197</v>
      </c>
      <c r="I631" s="44">
        <f t="shared" si="168"/>
        <v>0.21711172635527373</v>
      </c>
      <c r="J631" s="43">
        <f t="shared" si="169"/>
        <v>1</v>
      </c>
      <c r="K631" s="44" cm="1">
        <f t="array" ref="K631">IF(D631="Gadget",_xlfn.IFS(I631&gt;=0.2,0.5,I631&gt;=0.1,0.35,I631&gt;=0.05,0.2,TRUE,0),IF(D631="Grenade",_xlfn.IFS(I631&gt;=0.2,1,I631&gt;=0.1,0.7,I631&gt;=0.05,0.4,TRUE,0),0))</f>
        <v>1</v>
      </c>
      <c r="L631" s="57">
        <f>IF($K631=0,0,$K631 / SUMIFS($K:$K,$A:$A,$A631,$D:$D,"Grenade"))</f>
        <v>0.58823529411764708</v>
      </c>
    </row>
    <row r="632" spans="1:12" ht="15" customHeight="1" x14ac:dyDescent="0.25">
      <c r="A632" s="42" t="str" cm="1">
        <f t="array" ref="A632">IFERROR(INDEX(_xlfn._xlws.FILTER(Class_Players!A:A,Class_Players!B:B="Support"),QUOTIENT(ROW()-ROW($A$2),9)+1),"")</f>
        <v>reme!</v>
      </c>
      <c r="B632" s="42" t="str">
        <f>_xlfn.XLOOKUP(A632,Class_Players!$A:$A,Class_Players!$B:$B,"")</f>
        <v>Support</v>
      </c>
      <c r="C632" s="38" t="str" cm="1">
        <f t="array" ref="C632">INDEX(Lookups!$D$2:$D$10,MOD(ROW()-ROW($B$2),ROWS(Lookups!$D$2:$D$10))+1)</f>
        <v>GPDIS (Grenade intercept system)</v>
      </c>
      <c r="D632" s="38" t="str">
        <f>_xlfn.XLOOKUP(C632,Analysis_Gadgets!$C:$C,Analysis_Gadgets!$B:$B)</f>
        <v>Gadget</v>
      </c>
      <c r="E632" s="43">
        <v>43</v>
      </c>
      <c r="F632" s="43">
        <f>_xlfn.XLOOKUP(A632,Class_Players!A:A,Class_Players!G:G)</f>
        <v>305</v>
      </c>
      <c r="G632" s="43">
        <f t="shared" si="167"/>
        <v>0.14098360655737704</v>
      </c>
      <c r="H632" s="43">
        <f>_xlfn.XLOOKUP(A632,Class_Players!$A:$A,Class_Players!$F:$F,"")</f>
        <v>10567</v>
      </c>
      <c r="I632" s="44">
        <f t="shared" si="168"/>
        <v>4.0692722627046467E-3</v>
      </c>
      <c r="J632" s="43">
        <f t="shared" si="169"/>
        <v>0</v>
      </c>
      <c r="K632" s="44" cm="1">
        <f t="array" ref="K632">IF(D632="Gadget",_xlfn.IFS(I632&gt;=0.2,0.5,I632&gt;=0.1,0.35,I632&gt;=0.05,0.2,TRUE,0),IF(D632="Grenade",_xlfn.IFS(I632&gt;=0.2,1,I632&gt;=0.1,0.7,I632&gt;=0.05,0.4,TRUE,0),0))</f>
        <v>0</v>
      </c>
      <c r="L632" s="57">
        <f t="shared" ref="L632:L638" si="171">IF($K632=0,0,$K632 / SUMIFS($K:$K,$A:$A,$A632,$D:$D,"Gadget"))</f>
        <v>0</v>
      </c>
    </row>
    <row r="633" spans="1:12" ht="15" customHeight="1" x14ac:dyDescent="0.25">
      <c r="A633" s="42" t="str" cm="1">
        <f t="array" ref="A633">IFERROR(INDEX(_xlfn._xlws.FILTER(Class_Players!A:A,Class_Players!B:B="Support"),QUOTIENT(ROW()-ROW($A$2),9)+1),"")</f>
        <v>reme!</v>
      </c>
      <c r="B633" s="42" t="str">
        <f>_xlfn.XLOOKUP(A633,Class_Players!$A:$A,Class_Players!$B:$B,"")</f>
        <v>Support</v>
      </c>
      <c r="C633" s="38" t="str" cm="1">
        <f t="array" ref="C633">INDEX(Lookups!$D$2:$D$10,MOD(ROW()-ROW($B$2),ROWS(Lookups!$D$2:$D$10))+1)</f>
        <v>MP-APS (Missile intercept system)</v>
      </c>
      <c r="D633" s="38" t="str">
        <f>_xlfn.XLOOKUP(C633,Analysis_Gadgets!$C:$C,Analysis_Gadgets!$B:$B)</f>
        <v>Gadget</v>
      </c>
      <c r="E633" s="43">
        <v>0</v>
      </c>
      <c r="F633" s="43">
        <f>_xlfn.XLOOKUP(A633,Class_Players!A:A,Class_Players!G:G)</f>
        <v>305</v>
      </c>
      <c r="G633" s="43">
        <f t="shared" si="167"/>
        <v>0</v>
      </c>
      <c r="H633" s="43">
        <f>_xlfn.XLOOKUP(A633,Class_Players!$A:$A,Class_Players!$F:$F,"")</f>
        <v>10567</v>
      </c>
      <c r="I633" s="44">
        <f t="shared" si="168"/>
        <v>0</v>
      </c>
      <c r="J633" s="43">
        <f t="shared" si="169"/>
        <v>0</v>
      </c>
      <c r="K633" s="44" cm="1">
        <f t="array" ref="K633">IF(D633="Gadget",_xlfn.IFS(I633&gt;=0.2,0.5,I633&gt;=0.1,0.35,I633&gt;=0.05,0.2,TRUE,0),IF(D633="Grenade",_xlfn.IFS(I633&gt;=0.2,1,I633&gt;=0.1,0.7,I633&gt;=0.05,0.4,TRUE,0),0))</f>
        <v>0</v>
      </c>
      <c r="L633" s="57">
        <f t="shared" si="171"/>
        <v>0</v>
      </c>
    </row>
    <row r="634" spans="1:12" ht="15" customHeight="1" x14ac:dyDescent="0.25">
      <c r="A634" s="42" t="str" cm="1">
        <f t="array" ref="A634">IFERROR(INDEX(_xlfn._xlws.FILTER(Class_Players!A:A,Class_Players!B:B="Support"),QUOTIENT(ROW()-ROW($A$2),9)+1),"")</f>
        <v>reme!</v>
      </c>
      <c r="B634" s="42" t="str">
        <f>_xlfn.XLOOKUP(A634,Class_Players!$A:$A,Class_Players!$B:$B,"")</f>
        <v>Support</v>
      </c>
      <c r="C634" s="38" t="str" cm="1">
        <f t="array" ref="C634">INDEX(Lookups!$D$2:$D$10,MOD(ROW()-ROW($B$2),ROWS(Lookups!$D$2:$D$10))+1)</f>
        <v>LWCMS (Mortar)</v>
      </c>
      <c r="D634" s="38" t="str">
        <f>_xlfn.XLOOKUP(C634,Analysis_Gadgets!$C:$C,Analysis_Gadgets!$B:$B)</f>
        <v>Gadget</v>
      </c>
      <c r="E634" s="43">
        <v>0</v>
      </c>
      <c r="F634" s="43">
        <f>_xlfn.XLOOKUP(A634,Class_Players!A:A,Class_Players!G:G)</f>
        <v>305</v>
      </c>
      <c r="G634" s="43">
        <f t="shared" si="167"/>
        <v>0</v>
      </c>
      <c r="H634" s="43">
        <f>_xlfn.XLOOKUP(A634,Class_Players!$A:$A,Class_Players!$F:$F,"")</f>
        <v>10567</v>
      </c>
      <c r="I634" s="44">
        <f t="shared" si="168"/>
        <v>0</v>
      </c>
      <c r="J634" s="43">
        <f t="shared" si="169"/>
        <v>0</v>
      </c>
      <c r="K634" s="44" cm="1">
        <f t="array" ref="K634">IF(D634="Gadget",_xlfn.IFS(I634&gt;=0.2,0.5,I634&gt;=0.1,0.35,I634&gt;=0.05,0.2,TRUE,0),IF(D634="Grenade",_xlfn.IFS(I634&gt;=0.2,1,I634&gt;=0.1,0.7,I634&gt;=0.05,0.4,TRUE,0),0))</f>
        <v>0</v>
      </c>
      <c r="L634" s="57">
        <f t="shared" si="171"/>
        <v>0</v>
      </c>
    </row>
    <row r="635" spans="1:12" ht="15" customHeight="1" x14ac:dyDescent="0.25">
      <c r="A635" s="42" t="str" cm="1">
        <f t="array" ref="A635">IFERROR(INDEX(_xlfn._xlws.FILTER(Class_Players!A:A,Class_Players!B:B="Support"),QUOTIENT(ROW()-ROW($A$2),9)+1),"")</f>
        <v>reme!</v>
      </c>
      <c r="B635" s="42" t="str">
        <f>_xlfn.XLOOKUP(A635,Class_Players!$A:$A,Class_Players!$B:$B,"")</f>
        <v>Support</v>
      </c>
      <c r="C635" s="38" t="str" cm="1">
        <f t="array" ref="C635">INDEX(Lookups!$D$2:$D$10,MOD(ROW()-ROW($B$2),ROWS(Lookups!$D$2:$D$10))+1)</f>
        <v>M320A1 SMK (Smoke Grenade Launcher)</v>
      </c>
      <c r="D635" s="38" t="str">
        <f>_xlfn.XLOOKUP(C635,Analysis_Gadgets!$C:$C,Analysis_Gadgets!$B:$B)</f>
        <v>Gadget</v>
      </c>
      <c r="E635" s="43">
        <v>327</v>
      </c>
      <c r="F635" s="43">
        <f>_xlfn.XLOOKUP(A635,Class_Players!A:A,Class_Players!G:G)</f>
        <v>305</v>
      </c>
      <c r="G635" s="43">
        <f t="shared" si="167"/>
        <v>1.0721311475409836</v>
      </c>
      <c r="H635" s="43">
        <f>_xlfn.XLOOKUP(A635,Class_Players!$A:$A,Class_Players!$F:$F,"")</f>
        <v>10567</v>
      </c>
      <c r="I635" s="44">
        <f t="shared" si="168"/>
        <v>3.0945396044288823E-2</v>
      </c>
      <c r="J635" s="43">
        <f t="shared" si="169"/>
        <v>0</v>
      </c>
      <c r="K635" s="44" cm="1">
        <f t="array" ref="K635">IF(D635="Gadget",_xlfn.IFS(I635&gt;=0.2,0.5,I635&gt;=0.1,0.35,I635&gt;=0.05,0.2,TRUE,0),IF(D635="Grenade",_xlfn.IFS(I635&gt;=0.2,1,I635&gt;=0.1,0.7,I635&gt;=0.05,0.4,TRUE,0),0))</f>
        <v>0</v>
      </c>
      <c r="L635" s="57">
        <f t="shared" si="171"/>
        <v>0</v>
      </c>
    </row>
    <row r="636" spans="1:12" ht="15" customHeight="1" x14ac:dyDescent="0.25">
      <c r="A636" s="42" t="str" cm="1">
        <f t="array" ref="A636">IFERROR(INDEX(_xlfn._xlws.FILTER(Class_Players!A:A,Class_Players!B:B="Support"),QUOTIENT(ROW()-ROW($A$2),9)+1),"")</f>
        <v>reme!</v>
      </c>
      <c r="B636" s="42" t="str">
        <f>_xlfn.XLOOKUP(A636,Class_Players!$A:$A,Class_Players!$B:$B,"")</f>
        <v>Support</v>
      </c>
      <c r="C636" s="38" t="str" cm="1">
        <f t="array" ref="C636">INDEX(Lookups!$D$2:$D$10,MOD(ROW()-ROW($B$2),ROWS(Lookups!$D$2:$D$10))+1)</f>
        <v>SICH G1 WP (Incendiary Airburst Launcher)</v>
      </c>
      <c r="D636" s="38" t="str">
        <f>_xlfn.XLOOKUP(C636,Analysis_Gadgets!$C:$C,Analysis_Gadgets!$B:$B)</f>
        <v>Gadget</v>
      </c>
      <c r="E636" s="43">
        <v>17</v>
      </c>
      <c r="F636" s="43">
        <f>_xlfn.XLOOKUP(A636,Class_Players!A:A,Class_Players!G:G)</f>
        <v>305</v>
      </c>
      <c r="G636" s="43">
        <f t="shared" si="167"/>
        <v>5.5737704918032788E-2</v>
      </c>
      <c r="H636" s="43">
        <f>_xlfn.XLOOKUP(A636,Class_Players!$A:$A,Class_Players!$F:$F,"")</f>
        <v>10567</v>
      </c>
      <c r="I636" s="44">
        <f t="shared" si="168"/>
        <v>1.6087820573483487E-3</v>
      </c>
      <c r="J636" s="43">
        <f t="shared" si="169"/>
        <v>0</v>
      </c>
      <c r="K636" s="44" cm="1">
        <f t="array" ref="K636">IF(D636="Gadget",_xlfn.IFS(I636&gt;=0.2,0.5,I636&gt;=0.1,0.35,I636&gt;=0.05,0.2,TRUE,0),IF(D636="Grenade",_xlfn.IFS(I636&gt;=0.2,1,I636&gt;=0.1,0.7,I636&gt;=0.05,0.4,TRUE,0),0))</f>
        <v>0</v>
      </c>
      <c r="L636" s="57">
        <f t="shared" si="171"/>
        <v>0</v>
      </c>
    </row>
    <row r="637" spans="1:12" ht="15" customHeight="1" x14ac:dyDescent="0.25">
      <c r="A637" s="42" t="str" cm="1">
        <f t="array" ref="A637">IFERROR(INDEX(_xlfn._xlws.FILTER(Class_Players!A:A,Class_Players!B:B="Support"),QUOTIENT(ROW()-ROW($A$2),9)+1),"")</f>
        <v>reme!</v>
      </c>
      <c r="B637" s="42" t="str">
        <f>_xlfn.XLOOKUP(A637,Class_Players!$A:$A,Class_Players!$B:$B,"")</f>
        <v>Support</v>
      </c>
      <c r="C637" s="38" t="str" cm="1">
        <f t="array" ref="C637">INDEX(Lookups!$D$2:$D$10,MOD(ROW()-ROW($B$2),ROWS(Lookups!$D$2:$D$10))+1)</f>
        <v>Deployable Cover</v>
      </c>
      <c r="D637" s="38" t="str">
        <f>_xlfn.XLOOKUP(C637,Analysis_Gadgets!$C:$C,Analysis_Gadgets!$B:$B)</f>
        <v>Gadget</v>
      </c>
      <c r="E637" s="43">
        <v>491</v>
      </c>
      <c r="F637" s="43">
        <f>_xlfn.XLOOKUP(A637,Class_Players!A:A,Class_Players!G:G)</f>
        <v>305</v>
      </c>
      <c r="G637" s="43">
        <f t="shared" si="167"/>
        <v>1.6098360655737705</v>
      </c>
      <c r="H637" s="43">
        <f>_xlfn.XLOOKUP(A637,Class_Players!$A:$A,Class_Players!$F:$F,"")</f>
        <v>10567</v>
      </c>
      <c r="I637" s="44">
        <f t="shared" si="168"/>
        <v>4.6465411185767011E-2</v>
      </c>
      <c r="J637" s="43">
        <f t="shared" si="169"/>
        <v>0</v>
      </c>
      <c r="K637" s="44" cm="1">
        <f t="array" ref="K637">IF(D637="Gadget",_xlfn.IFS(I637&gt;=0.2,0.5,I637&gt;=0.1,0.35,I637&gt;=0.05,0.2,TRUE,0),IF(D637="Grenade",_xlfn.IFS(I637&gt;=0.2,1,I637&gt;=0.1,0.7,I637&gt;=0.05,0.4,TRUE,0),0))</f>
        <v>0</v>
      </c>
      <c r="L637" s="57">
        <f t="shared" si="171"/>
        <v>0</v>
      </c>
    </row>
    <row r="638" spans="1:12" ht="15" customHeight="1" x14ac:dyDescent="0.25">
      <c r="A638" s="42" t="str" cm="1">
        <f t="array" ref="A638">IFERROR(INDEX(_xlfn._xlws.FILTER(Class_Players!A:A,Class_Players!B:B="Support"),QUOTIENT(ROW()-ROW($A$2),9)+1),"")</f>
        <v>reme!</v>
      </c>
      <c r="B638" s="42" t="str">
        <f>_xlfn.XLOOKUP(A638,Class_Players!$A:$A,Class_Players!$B:$B,"")</f>
        <v>Support</v>
      </c>
      <c r="C638" s="38" t="str" cm="1">
        <f t="array" ref="C638">INDEX(Lookups!$D$2:$D$10,MOD(ROW()-ROW($B$2),ROWS(Lookups!$D$2:$D$10))+1)</f>
        <v>Supply Pouch</v>
      </c>
      <c r="D638" s="38" t="str">
        <f>_xlfn.XLOOKUP(C638,Analysis_Gadgets!$C:$C,Analysis_Gadgets!$B:$B)</f>
        <v>Gadget</v>
      </c>
      <c r="E638" s="43">
        <v>14438</v>
      </c>
      <c r="F638" s="43">
        <f>_xlfn.XLOOKUP(A638,Class_Players!A:A,Class_Players!G:G)</f>
        <v>305</v>
      </c>
      <c r="G638" s="43">
        <f t="shared" si="167"/>
        <v>47.337704918032784</v>
      </c>
      <c r="H638" s="43">
        <f>_xlfn.XLOOKUP(A638,Class_Players!$A:$A,Class_Players!$F:$F,"")</f>
        <v>10567</v>
      </c>
      <c r="I638" s="44">
        <f t="shared" si="168"/>
        <v>1.3663291378820857</v>
      </c>
      <c r="J638" s="43">
        <f t="shared" si="169"/>
        <v>1</v>
      </c>
      <c r="K638" s="44" cm="1">
        <f t="array" ref="K638">IF(D638="Gadget",_xlfn.IFS(I638&gt;=0.2,0.5,I638&gt;=0.1,0.35,I638&gt;=0.05,0.2,TRUE,0),IF(D638="Grenade",_xlfn.IFS(I638&gt;=0.2,1,I638&gt;=0.1,0.7,I638&gt;=0.05,0.4,TRUE,0),0))</f>
        <v>0.5</v>
      </c>
      <c r="L638" s="57">
        <f t="shared" si="171"/>
        <v>1</v>
      </c>
    </row>
    <row r="639" spans="1:12" ht="15" customHeight="1" x14ac:dyDescent="0.25">
      <c r="A639" s="42" t="str" cm="1">
        <f t="array" ref="A639">IFERROR(INDEX(_xlfn._xlws.FILTER(Class_Players!A:A,Class_Players!B:B="Support"),QUOTIENT(ROW()-ROW($A$2),9)+1),"")</f>
        <v>reme!</v>
      </c>
      <c r="B639" s="42" t="str">
        <f>_xlfn.XLOOKUP(A639,Class_Players!$A:$A,Class_Players!$B:$B,"")</f>
        <v>Support</v>
      </c>
      <c r="C639" s="38" t="str" cm="1">
        <f t="array" ref="C639">INDEX(Lookups!$D$2:$D$10,MOD(ROW()-ROW($B$2),ROWS(Lookups!$D$2:$D$10))+1)</f>
        <v>Smoke Grenade</v>
      </c>
      <c r="D639" s="38" t="str">
        <f>_xlfn.XLOOKUP(C639,Analysis_Gadgets!$C:$C,Analysis_Gadgets!$B:$B)</f>
        <v>Grenade</v>
      </c>
      <c r="E639" s="43">
        <v>515</v>
      </c>
      <c r="F639" s="43">
        <f>_xlfn.XLOOKUP(A639,Class_Players!A:A,Class_Players!G:G)</f>
        <v>305</v>
      </c>
      <c r="G639" s="43">
        <f t="shared" si="167"/>
        <v>1.6885245901639345</v>
      </c>
      <c r="H639" s="43">
        <f>_xlfn.XLOOKUP(A639,Class_Players!$A:$A,Class_Players!$F:$F,"")</f>
        <v>10567</v>
      </c>
      <c r="I639" s="44">
        <f t="shared" si="168"/>
        <v>4.8736632913788207E-2</v>
      </c>
      <c r="J639" s="43">
        <f t="shared" si="169"/>
        <v>0</v>
      </c>
      <c r="K639" s="44" cm="1">
        <f t="array" ref="K639">IF(D639="Gadget",_xlfn.IFS(I639&gt;=0.2,0.5,I639&gt;=0.1,0.35,I639&gt;=0.05,0.2,TRUE,0),IF(D639="Grenade",_xlfn.IFS(I639&gt;=0.2,1,I639&gt;=0.1,0.7,I639&gt;=0.05,0.4,TRUE,0),0))</f>
        <v>0</v>
      </c>
      <c r="L639" s="57">
        <f>IF($K639=0,0,$K639 / SUMIFS($K:$K,$A:$A,$A639,$D:$D,"Grenade"))</f>
        <v>0</v>
      </c>
    </row>
    <row r="640" spans="1:12" ht="15" customHeight="1" x14ac:dyDescent="0.25">
      <c r="A640" s="42" t="str" cm="1">
        <f t="array" ref="A640">IFERROR(INDEX(_xlfn._xlws.FILTER(Class_Players!A:A,Class_Players!B:B="Support"),QUOTIENT(ROW()-ROW($A$2),9)+1),"")</f>
        <v>reme!</v>
      </c>
      <c r="B640" s="42" t="str">
        <f>_xlfn.XLOOKUP(A640,Class_Players!$A:$A,Class_Players!$B:$B,"")</f>
        <v>Support</v>
      </c>
      <c r="C640" s="38" t="str" cm="1">
        <f t="array" ref="C640">INDEX(Lookups!$D$2:$D$10,MOD(ROW()-ROW($B$2),ROWS(Lookups!$D$2:$D$10))+1)</f>
        <v>Incendiary Grenade</v>
      </c>
      <c r="D640" s="38" t="str">
        <f>_xlfn.XLOOKUP(C640,Analysis_Gadgets!$C:$C,Analysis_Gadgets!$B:$B)</f>
        <v>Grenade</v>
      </c>
      <c r="E640" s="43">
        <v>804</v>
      </c>
      <c r="F640" s="43">
        <f>_xlfn.XLOOKUP(A640,Class_Players!A:A,Class_Players!G:G)</f>
        <v>305</v>
      </c>
      <c r="G640" s="43">
        <f t="shared" si="167"/>
        <v>2.6360655737704919</v>
      </c>
      <c r="H640" s="43">
        <f>_xlfn.XLOOKUP(A640,Class_Players!$A:$A,Class_Players!$F:$F,"")</f>
        <v>10567</v>
      </c>
      <c r="I640" s="44">
        <f t="shared" si="168"/>
        <v>7.6085927888710131E-2</v>
      </c>
      <c r="J640" s="43">
        <f t="shared" si="169"/>
        <v>0</v>
      </c>
      <c r="K640" s="44" cm="1">
        <f t="array" ref="K640">IF(D640="Gadget",_xlfn.IFS(I640&gt;=0.2,0.5,I640&gt;=0.1,0.35,I640&gt;=0.05,0.2,TRUE,0),IF(D640="Grenade",_xlfn.IFS(I640&gt;=0.2,1,I640&gt;=0.1,0.7,I640&gt;=0.05,0.4,TRUE,0),0))</f>
        <v>0.4</v>
      </c>
      <c r="L640" s="57">
        <f>IF($K640=0,0,$K640 / SUMIFS($K:$K,$A:$A,$A640,$D:$D,"Grenade"))</f>
        <v>1</v>
      </c>
    </row>
    <row r="641" spans="1:12" ht="15" customHeight="1" x14ac:dyDescent="0.25">
      <c r="A641" s="42" t="str" cm="1">
        <f t="array" ref="A641">IFERROR(INDEX(_xlfn._xlws.FILTER(Class_Players!A:A,Class_Players!B:B="Support"),QUOTIENT(ROW()-ROW($A$2),9)+1),"")</f>
        <v>Negima-2896</v>
      </c>
      <c r="B641" s="42" t="str">
        <f>_xlfn.XLOOKUP(A641,Class_Players!$A:$A,Class_Players!$B:$B,"")</f>
        <v>Support</v>
      </c>
      <c r="C641" s="38" t="str" cm="1">
        <f t="array" ref="C641">INDEX(Lookups!$D$2:$D$10,MOD(ROW()-ROW($B$2),ROWS(Lookups!$D$2:$D$10))+1)</f>
        <v>GPDIS (Grenade intercept system)</v>
      </c>
      <c r="D641" s="38" t="str">
        <f>_xlfn.XLOOKUP(C641,Analysis_Gadgets!$C:$C,Analysis_Gadgets!$B:$B)</f>
        <v>Gadget</v>
      </c>
      <c r="E641" s="43">
        <v>101</v>
      </c>
      <c r="F641" s="43">
        <f>_xlfn.XLOOKUP(A641,Class_Players!A:A,Class_Players!G:G)</f>
        <v>255</v>
      </c>
      <c r="G641" s="43">
        <f t="shared" ref="G641:G703" si="172">IF(F641=0,"",E641/(F641))</f>
        <v>0.396078431372549</v>
      </c>
      <c r="H641" s="43">
        <f>_xlfn.XLOOKUP(A641,Class_Players!$A:$A,Class_Players!$F:$F,"")</f>
        <v>10505</v>
      </c>
      <c r="I641" s="44">
        <f t="shared" ref="I641:I703" si="173">IF(H641=0,"",E641/H641)</f>
        <v>9.6144693003331755E-3</v>
      </c>
      <c r="J641" s="43">
        <f t="shared" ref="J641:J703" si="174">IF(I641&gt;=0.1,1,0)</f>
        <v>0</v>
      </c>
      <c r="K641" s="44" cm="1">
        <f t="array" ref="K641">IF(D641="Gadget",_xlfn.IFS(I641&gt;=0.2,0.5,I641&gt;=0.1,0.35,I641&gt;=0.05,0.2,TRUE,0),IF(D641="Grenade",_xlfn.IFS(I641&gt;=0.2,1,I641&gt;=0.1,0.7,I641&gt;=0.05,0.4,TRUE,0),0))</f>
        <v>0</v>
      </c>
      <c r="L641" s="57">
        <f t="shared" ref="L641:L647" si="175">IF($K641=0,0,$K641 / SUMIFS($K:$K,$A:$A,$A641,$D:$D,"Gadget"))</f>
        <v>0</v>
      </c>
    </row>
    <row r="642" spans="1:12" ht="15" customHeight="1" x14ac:dyDescent="0.25">
      <c r="A642" s="42" t="str" cm="1">
        <f t="array" ref="A642">IFERROR(INDEX(_xlfn._xlws.FILTER(Class_Players!A:A,Class_Players!B:B="Support"),QUOTIENT(ROW()-ROW($A$2),9)+1),"")</f>
        <v>Negima-2896</v>
      </c>
      <c r="B642" s="42" t="str">
        <f>_xlfn.XLOOKUP(A642,Class_Players!$A:$A,Class_Players!$B:$B,"")</f>
        <v>Support</v>
      </c>
      <c r="C642" s="38" t="str" cm="1">
        <f t="array" ref="C642">INDEX(Lookups!$D$2:$D$10,MOD(ROW()-ROW($B$2),ROWS(Lookups!$D$2:$D$10))+1)</f>
        <v>MP-APS (Missile intercept system)</v>
      </c>
      <c r="D642" s="38" t="str">
        <f>_xlfn.XLOOKUP(C642,Analysis_Gadgets!$C:$C,Analysis_Gadgets!$B:$B)</f>
        <v>Gadget</v>
      </c>
      <c r="E642" s="43">
        <v>0</v>
      </c>
      <c r="F642" s="43">
        <f>_xlfn.XLOOKUP(A642,Class_Players!A:A,Class_Players!G:G)</f>
        <v>255</v>
      </c>
      <c r="G642" s="43">
        <f t="shared" si="172"/>
        <v>0</v>
      </c>
      <c r="H642" s="43">
        <f>_xlfn.XLOOKUP(A642,Class_Players!$A:$A,Class_Players!$F:$F,"")</f>
        <v>10505</v>
      </c>
      <c r="I642" s="44">
        <f t="shared" si="173"/>
        <v>0</v>
      </c>
      <c r="J642" s="43">
        <f t="shared" si="174"/>
        <v>0</v>
      </c>
      <c r="K642" s="44" cm="1">
        <f t="array" ref="K642">IF(D642="Gadget",_xlfn.IFS(I642&gt;=0.2,0.5,I642&gt;=0.1,0.35,I642&gt;=0.05,0.2,TRUE,0),IF(D642="Grenade",_xlfn.IFS(I642&gt;=0.2,1,I642&gt;=0.1,0.7,I642&gt;=0.05,0.4,TRUE,0),0))</f>
        <v>0</v>
      </c>
      <c r="L642" s="57">
        <f t="shared" si="175"/>
        <v>0</v>
      </c>
    </row>
    <row r="643" spans="1:12" ht="15" customHeight="1" x14ac:dyDescent="0.25">
      <c r="A643" s="42" t="str" cm="1">
        <f t="array" ref="A643">IFERROR(INDEX(_xlfn._xlws.FILTER(Class_Players!A:A,Class_Players!B:B="Support"),QUOTIENT(ROW()-ROW($A$2),9)+1),"")</f>
        <v>Negima-2896</v>
      </c>
      <c r="B643" s="42" t="str">
        <f>_xlfn.XLOOKUP(A643,Class_Players!$A:$A,Class_Players!$B:$B,"")</f>
        <v>Support</v>
      </c>
      <c r="C643" s="38" t="str" cm="1">
        <f t="array" ref="C643">INDEX(Lookups!$D$2:$D$10,MOD(ROW()-ROW($B$2),ROWS(Lookups!$D$2:$D$10))+1)</f>
        <v>LWCMS (Mortar)</v>
      </c>
      <c r="D643" s="38" t="str">
        <f>_xlfn.XLOOKUP(C643,Analysis_Gadgets!$C:$C,Analysis_Gadgets!$B:$B)</f>
        <v>Gadget</v>
      </c>
      <c r="E643" s="43">
        <v>55</v>
      </c>
      <c r="F643" s="43">
        <f>_xlfn.XLOOKUP(A643,Class_Players!A:A,Class_Players!G:G)</f>
        <v>255</v>
      </c>
      <c r="G643" s="43">
        <f t="shared" si="172"/>
        <v>0.21568627450980393</v>
      </c>
      <c r="H643" s="43">
        <f>_xlfn.XLOOKUP(A643,Class_Players!$A:$A,Class_Players!$F:$F,"")</f>
        <v>10505</v>
      </c>
      <c r="I643" s="44">
        <f t="shared" si="173"/>
        <v>5.235602094240838E-3</v>
      </c>
      <c r="J643" s="43">
        <f t="shared" si="174"/>
        <v>0</v>
      </c>
      <c r="K643" s="44" cm="1">
        <f t="array" ref="K643">IF(D643="Gadget",_xlfn.IFS(I643&gt;=0.2,0.5,I643&gt;=0.1,0.35,I643&gt;=0.05,0.2,TRUE,0),IF(D643="Grenade",_xlfn.IFS(I643&gt;=0.2,1,I643&gt;=0.1,0.7,I643&gt;=0.05,0.4,TRUE,0),0))</f>
        <v>0</v>
      </c>
      <c r="L643" s="57">
        <f t="shared" si="175"/>
        <v>0</v>
      </c>
    </row>
    <row r="644" spans="1:12" ht="15" customHeight="1" x14ac:dyDescent="0.25">
      <c r="A644" s="42" t="str" cm="1">
        <f t="array" ref="A644">IFERROR(INDEX(_xlfn._xlws.FILTER(Class_Players!A:A,Class_Players!B:B="Support"),QUOTIENT(ROW()-ROW($A$2),9)+1),"")</f>
        <v>Negima-2896</v>
      </c>
      <c r="B644" s="42" t="str">
        <f>_xlfn.XLOOKUP(A644,Class_Players!$A:$A,Class_Players!$B:$B,"")</f>
        <v>Support</v>
      </c>
      <c r="C644" s="38" t="str" cm="1">
        <f t="array" ref="C644">INDEX(Lookups!$D$2:$D$10,MOD(ROW()-ROW($B$2),ROWS(Lookups!$D$2:$D$10))+1)</f>
        <v>M320A1 SMK (Smoke Grenade Launcher)</v>
      </c>
      <c r="D644" s="38" t="str">
        <f>_xlfn.XLOOKUP(C644,Analysis_Gadgets!$C:$C,Analysis_Gadgets!$B:$B)</f>
        <v>Gadget</v>
      </c>
      <c r="E644" s="43">
        <v>166</v>
      </c>
      <c r="F644" s="43">
        <f>_xlfn.XLOOKUP(A644,Class_Players!A:A,Class_Players!G:G)</f>
        <v>255</v>
      </c>
      <c r="G644" s="43">
        <f t="shared" si="172"/>
        <v>0.65098039215686276</v>
      </c>
      <c r="H644" s="43">
        <f>_xlfn.XLOOKUP(A644,Class_Players!$A:$A,Class_Players!$F:$F,"")</f>
        <v>10505</v>
      </c>
      <c r="I644" s="44">
        <f t="shared" si="173"/>
        <v>1.5801999048072345E-2</v>
      </c>
      <c r="J644" s="43">
        <f t="shared" si="174"/>
        <v>0</v>
      </c>
      <c r="K644" s="44" cm="1">
        <f t="array" ref="K644">IF(D644="Gadget",_xlfn.IFS(I644&gt;=0.2,0.5,I644&gt;=0.1,0.35,I644&gt;=0.05,0.2,TRUE,0),IF(D644="Grenade",_xlfn.IFS(I644&gt;=0.2,1,I644&gt;=0.1,0.7,I644&gt;=0.05,0.4,TRUE,0),0))</f>
        <v>0</v>
      </c>
      <c r="L644" s="57">
        <f t="shared" si="175"/>
        <v>0</v>
      </c>
    </row>
    <row r="645" spans="1:12" ht="15" customHeight="1" x14ac:dyDescent="0.25">
      <c r="A645" s="42" t="str" cm="1">
        <f t="array" ref="A645">IFERROR(INDEX(_xlfn._xlws.FILTER(Class_Players!A:A,Class_Players!B:B="Support"),QUOTIENT(ROW()-ROW($A$2),9)+1),"")</f>
        <v>Negima-2896</v>
      </c>
      <c r="B645" s="42" t="str">
        <f>_xlfn.XLOOKUP(A645,Class_Players!$A:$A,Class_Players!$B:$B,"")</f>
        <v>Support</v>
      </c>
      <c r="C645" s="38" t="str" cm="1">
        <f t="array" ref="C645">INDEX(Lookups!$D$2:$D$10,MOD(ROW()-ROW($B$2),ROWS(Lookups!$D$2:$D$10))+1)</f>
        <v>SICH G1 WP (Incendiary Airburst Launcher)</v>
      </c>
      <c r="D645" s="38" t="str">
        <f>_xlfn.XLOOKUP(C645,Analysis_Gadgets!$C:$C,Analysis_Gadgets!$B:$B)</f>
        <v>Gadget</v>
      </c>
      <c r="E645" s="43">
        <v>31</v>
      </c>
      <c r="F645" s="43">
        <f>_xlfn.XLOOKUP(A645,Class_Players!A:A,Class_Players!G:G)</f>
        <v>255</v>
      </c>
      <c r="G645" s="43">
        <f t="shared" si="172"/>
        <v>0.12156862745098039</v>
      </c>
      <c r="H645" s="43">
        <f>_xlfn.XLOOKUP(A645,Class_Players!$A:$A,Class_Players!$F:$F,"")</f>
        <v>10505</v>
      </c>
      <c r="I645" s="44">
        <f t="shared" si="173"/>
        <v>2.9509757258448358E-3</v>
      </c>
      <c r="J645" s="43">
        <f t="shared" si="174"/>
        <v>0</v>
      </c>
      <c r="K645" s="44" cm="1">
        <f t="array" ref="K645">IF(D645="Gadget",_xlfn.IFS(I645&gt;=0.2,0.5,I645&gt;=0.1,0.35,I645&gt;=0.05,0.2,TRUE,0),IF(D645="Grenade",_xlfn.IFS(I645&gt;=0.2,1,I645&gt;=0.1,0.7,I645&gt;=0.05,0.4,TRUE,0),0))</f>
        <v>0</v>
      </c>
      <c r="L645" s="57">
        <f t="shared" si="175"/>
        <v>0</v>
      </c>
    </row>
    <row r="646" spans="1:12" ht="15" customHeight="1" x14ac:dyDescent="0.25">
      <c r="A646" s="42" t="str" cm="1">
        <f t="array" ref="A646">IFERROR(INDEX(_xlfn._xlws.FILTER(Class_Players!A:A,Class_Players!B:B="Support"),QUOTIENT(ROW()-ROW($A$2),9)+1),"")</f>
        <v>Negima-2896</v>
      </c>
      <c r="B646" s="42" t="str">
        <f>_xlfn.XLOOKUP(A646,Class_Players!$A:$A,Class_Players!$B:$B,"")</f>
        <v>Support</v>
      </c>
      <c r="C646" s="38" t="str" cm="1">
        <f t="array" ref="C646">INDEX(Lookups!$D$2:$D$10,MOD(ROW()-ROW($B$2),ROWS(Lookups!$D$2:$D$10))+1)</f>
        <v>Deployable Cover</v>
      </c>
      <c r="D646" s="38" t="str">
        <f>_xlfn.XLOOKUP(C646,Analysis_Gadgets!$C:$C,Analysis_Gadgets!$B:$B)</f>
        <v>Gadget</v>
      </c>
      <c r="E646" s="43">
        <v>600</v>
      </c>
      <c r="F646" s="43">
        <f>_xlfn.XLOOKUP(A646,Class_Players!A:A,Class_Players!G:G)</f>
        <v>255</v>
      </c>
      <c r="G646" s="43">
        <f t="shared" si="172"/>
        <v>2.3529411764705883</v>
      </c>
      <c r="H646" s="43">
        <f>_xlfn.XLOOKUP(A646,Class_Players!$A:$A,Class_Players!$F:$F,"")</f>
        <v>10505</v>
      </c>
      <c r="I646" s="44">
        <f t="shared" si="173"/>
        <v>5.7115659209900048E-2</v>
      </c>
      <c r="J646" s="43">
        <f t="shared" si="174"/>
        <v>0</v>
      </c>
      <c r="K646" s="44" cm="1">
        <f t="array" ref="K646">IF(D646="Gadget",_xlfn.IFS(I646&gt;=0.2,0.5,I646&gt;=0.1,0.35,I646&gt;=0.05,0.2,TRUE,0),IF(D646="Grenade",_xlfn.IFS(I646&gt;=0.2,1,I646&gt;=0.1,0.7,I646&gt;=0.05,0.4,TRUE,0),0))</f>
        <v>0.2</v>
      </c>
      <c r="L646" s="57">
        <f t="shared" si="175"/>
        <v>0.28571428571428575</v>
      </c>
    </row>
    <row r="647" spans="1:12" ht="15" customHeight="1" x14ac:dyDescent="0.25">
      <c r="A647" s="42" t="str" cm="1">
        <f t="array" ref="A647">IFERROR(INDEX(_xlfn._xlws.FILTER(Class_Players!A:A,Class_Players!B:B="Support"),QUOTIENT(ROW()-ROW($A$2),9)+1),"")</f>
        <v>Negima-2896</v>
      </c>
      <c r="B647" s="42" t="str">
        <f>_xlfn.XLOOKUP(A647,Class_Players!$A:$A,Class_Players!$B:$B,"")</f>
        <v>Support</v>
      </c>
      <c r="C647" s="38" t="str" cm="1">
        <f t="array" ref="C647">INDEX(Lookups!$D$2:$D$10,MOD(ROW()-ROW($B$2),ROWS(Lookups!$D$2:$D$10))+1)</f>
        <v>Supply Pouch</v>
      </c>
      <c r="D647" s="38" t="str">
        <f>_xlfn.XLOOKUP(C647,Analysis_Gadgets!$C:$C,Analysis_Gadgets!$B:$B)</f>
        <v>Gadget</v>
      </c>
      <c r="E647" s="43">
        <v>3505</v>
      </c>
      <c r="F647" s="43">
        <f>_xlfn.XLOOKUP(A647,Class_Players!A:A,Class_Players!G:G)</f>
        <v>255</v>
      </c>
      <c r="G647" s="43">
        <f t="shared" si="172"/>
        <v>13.745098039215685</v>
      </c>
      <c r="H647" s="43">
        <f>_xlfn.XLOOKUP(A647,Class_Players!$A:$A,Class_Players!$F:$F,"")</f>
        <v>10505</v>
      </c>
      <c r="I647" s="44">
        <f t="shared" si="173"/>
        <v>0.33365064255116611</v>
      </c>
      <c r="J647" s="43">
        <f t="shared" si="174"/>
        <v>1</v>
      </c>
      <c r="K647" s="44" cm="1">
        <f t="array" ref="K647">IF(D647="Gadget",_xlfn.IFS(I647&gt;=0.2,0.5,I647&gt;=0.1,0.35,I647&gt;=0.05,0.2,TRUE,0),IF(D647="Grenade",_xlfn.IFS(I647&gt;=0.2,1,I647&gt;=0.1,0.7,I647&gt;=0.05,0.4,TRUE,0),0))</f>
        <v>0.5</v>
      </c>
      <c r="L647" s="57">
        <f t="shared" si="175"/>
        <v>0.7142857142857143</v>
      </c>
    </row>
    <row r="648" spans="1:12" ht="15" customHeight="1" x14ac:dyDescent="0.25">
      <c r="A648" s="42" t="str" cm="1">
        <f t="array" ref="A648">IFERROR(INDEX(_xlfn._xlws.FILTER(Class_Players!A:A,Class_Players!B:B="Support"),QUOTIENT(ROW()-ROW($A$2),9)+1),"")</f>
        <v>Negima-2896</v>
      </c>
      <c r="B648" s="42" t="str">
        <f>_xlfn.XLOOKUP(A648,Class_Players!$A:$A,Class_Players!$B:$B,"")</f>
        <v>Support</v>
      </c>
      <c r="C648" s="38" t="str" cm="1">
        <f t="array" ref="C648">INDEX(Lookups!$D$2:$D$10,MOD(ROW()-ROW($B$2),ROWS(Lookups!$D$2:$D$10))+1)</f>
        <v>Smoke Grenade</v>
      </c>
      <c r="D648" s="38" t="str">
        <f>_xlfn.XLOOKUP(C648,Analysis_Gadgets!$C:$C,Analysis_Gadgets!$B:$B)</f>
        <v>Grenade</v>
      </c>
      <c r="E648" s="43">
        <v>1663</v>
      </c>
      <c r="F648" s="43">
        <f>_xlfn.XLOOKUP(A648,Class_Players!A:A,Class_Players!G:G)</f>
        <v>255</v>
      </c>
      <c r="G648" s="43">
        <f t="shared" si="172"/>
        <v>6.5215686274509803</v>
      </c>
      <c r="H648" s="43">
        <f>_xlfn.XLOOKUP(A648,Class_Players!$A:$A,Class_Players!$F:$F,"")</f>
        <v>10505</v>
      </c>
      <c r="I648" s="44">
        <f t="shared" si="173"/>
        <v>0.15830556877677296</v>
      </c>
      <c r="J648" s="43">
        <f t="shared" si="174"/>
        <v>1</v>
      </c>
      <c r="K648" s="44" cm="1">
        <f t="array" ref="K648">IF(D648="Gadget",_xlfn.IFS(I648&gt;=0.2,0.5,I648&gt;=0.1,0.35,I648&gt;=0.05,0.2,TRUE,0),IF(D648="Grenade",_xlfn.IFS(I648&gt;=0.2,1,I648&gt;=0.1,0.7,I648&gt;=0.05,0.4,TRUE,0),0))</f>
        <v>0.7</v>
      </c>
      <c r="L648" s="57">
        <f t="shared" ref="L648:L649" si="176">IF($K648=0,0,$K648 / SUMIFS($K:$K,$A:$A,$A648,$D:$D,"Grenade"))</f>
        <v>0.63636363636363624</v>
      </c>
    </row>
    <row r="649" spans="1:12" ht="15" customHeight="1" x14ac:dyDescent="0.25">
      <c r="A649" s="42" t="str" cm="1">
        <f t="array" ref="A649">IFERROR(INDEX(_xlfn._xlws.FILTER(Class_Players!A:A,Class_Players!B:B="Support"),QUOTIENT(ROW()-ROW($A$2),9)+1),"")</f>
        <v>Negima-2896</v>
      </c>
      <c r="B649" s="42" t="str">
        <f>_xlfn.XLOOKUP(A649,Class_Players!$A:$A,Class_Players!$B:$B,"")</f>
        <v>Support</v>
      </c>
      <c r="C649" s="38" t="str" cm="1">
        <f t="array" ref="C649">INDEX(Lookups!$D$2:$D$10,MOD(ROW()-ROW($B$2),ROWS(Lookups!$D$2:$D$10))+1)</f>
        <v>Incendiary Grenade</v>
      </c>
      <c r="D649" s="38" t="str">
        <f>_xlfn.XLOOKUP(C649,Analysis_Gadgets!$C:$C,Analysis_Gadgets!$B:$B)</f>
        <v>Grenade</v>
      </c>
      <c r="E649" s="43">
        <v>985</v>
      </c>
      <c r="F649" s="43">
        <f>_xlfn.XLOOKUP(A649,Class_Players!A:A,Class_Players!G:G)</f>
        <v>255</v>
      </c>
      <c r="G649" s="43">
        <f t="shared" si="172"/>
        <v>3.8627450980392157</v>
      </c>
      <c r="H649" s="43">
        <f>_xlfn.XLOOKUP(A649,Class_Players!$A:$A,Class_Players!$F:$F,"")</f>
        <v>10505</v>
      </c>
      <c r="I649" s="44">
        <f t="shared" si="173"/>
        <v>9.3764873869585916E-2</v>
      </c>
      <c r="J649" s="43">
        <f t="shared" si="174"/>
        <v>0</v>
      </c>
      <c r="K649" s="44" cm="1">
        <f t="array" ref="K649">IF(D649="Gadget",_xlfn.IFS(I649&gt;=0.2,0.5,I649&gt;=0.1,0.35,I649&gt;=0.05,0.2,TRUE,0),IF(D649="Grenade",_xlfn.IFS(I649&gt;=0.2,1,I649&gt;=0.1,0.7,I649&gt;=0.05,0.4,TRUE,0),0))</f>
        <v>0.4</v>
      </c>
      <c r="L649" s="57">
        <f t="shared" si="176"/>
        <v>0.36363636363636365</v>
      </c>
    </row>
    <row r="650" spans="1:12" ht="15" customHeight="1" x14ac:dyDescent="0.25">
      <c r="A650" s="42" t="str" cm="1">
        <f t="array" ref="A650">IFERROR(INDEX(_xlfn._xlws.FILTER(Class_Players!A:A,Class_Players!B:B="Support"),QUOTIENT(ROW()-ROW($A$2),9)+1),"")</f>
        <v>XXXnqXXX</v>
      </c>
      <c r="B650" s="42" t="str">
        <f>_xlfn.XLOOKUP(A650,Class_Players!$A:$A,Class_Players!$B:$B,"")</f>
        <v>Support</v>
      </c>
      <c r="C650" s="38" t="str" cm="1">
        <f t="array" ref="C650">INDEX(Lookups!$D$2:$D$10,MOD(ROW()-ROW($B$2),ROWS(Lookups!$D$2:$D$10))+1)</f>
        <v>GPDIS (Grenade intercept system)</v>
      </c>
      <c r="D650" s="38" t="str">
        <f>_xlfn.XLOOKUP(C650,Analysis_Gadgets!$C:$C,Analysis_Gadgets!$B:$B)</f>
        <v>Gadget</v>
      </c>
      <c r="E650" s="43">
        <v>484</v>
      </c>
      <c r="F650" s="43">
        <f>_xlfn.XLOOKUP(A650,Class_Players!A:A,Class_Players!G:G)</f>
        <v>162</v>
      </c>
      <c r="G650" s="43">
        <f t="shared" si="172"/>
        <v>2.9876543209876543</v>
      </c>
      <c r="H650" s="43">
        <f>_xlfn.XLOOKUP(A650,Class_Players!$A:$A,Class_Players!$F:$F,"")</f>
        <v>10491</v>
      </c>
      <c r="I650" s="44">
        <f t="shared" si="173"/>
        <v>4.6134782194261745E-2</v>
      </c>
      <c r="J650" s="43">
        <f t="shared" si="174"/>
        <v>0</v>
      </c>
      <c r="K650" s="44" cm="1">
        <f t="array" ref="K650">IF(D650="Gadget",_xlfn.IFS(I650&gt;=0.2,0.5,I650&gt;=0.1,0.35,I650&gt;=0.05,0.2,TRUE,0),IF(D650="Grenade",_xlfn.IFS(I650&gt;=0.2,1,I650&gt;=0.1,0.7,I650&gt;=0.05,0.4,TRUE,0),0))</f>
        <v>0</v>
      </c>
      <c r="L650" s="57">
        <f t="shared" ref="L650:L656" si="177">IF($K650=0,0,$K650 / SUMIFS($K:$K,$A:$A,$A650,$D:$D,"Gadget"))</f>
        <v>0</v>
      </c>
    </row>
    <row r="651" spans="1:12" ht="15" customHeight="1" x14ac:dyDescent="0.25">
      <c r="A651" s="42" t="str" cm="1">
        <f t="array" ref="A651">IFERROR(INDEX(_xlfn._xlws.FILTER(Class_Players!A:A,Class_Players!B:B="Support"),QUOTIENT(ROW()-ROW($A$2),9)+1),"")</f>
        <v>XXXnqXXX</v>
      </c>
      <c r="B651" s="42" t="str">
        <f>_xlfn.XLOOKUP(A651,Class_Players!$A:$A,Class_Players!$B:$B,"")</f>
        <v>Support</v>
      </c>
      <c r="C651" s="38" t="str" cm="1">
        <f t="array" ref="C651">INDEX(Lookups!$D$2:$D$10,MOD(ROW()-ROW($B$2),ROWS(Lookups!$D$2:$D$10))+1)</f>
        <v>MP-APS (Missile intercept system)</v>
      </c>
      <c r="D651" s="38" t="str">
        <f>_xlfn.XLOOKUP(C651,Analysis_Gadgets!$C:$C,Analysis_Gadgets!$B:$B)</f>
        <v>Gadget</v>
      </c>
      <c r="E651" s="43">
        <v>1</v>
      </c>
      <c r="F651" s="43">
        <f>_xlfn.XLOOKUP(A651,Class_Players!A:A,Class_Players!G:G)</f>
        <v>162</v>
      </c>
      <c r="G651" s="43">
        <f t="shared" si="172"/>
        <v>6.1728395061728392E-3</v>
      </c>
      <c r="H651" s="43">
        <f>_xlfn.XLOOKUP(A651,Class_Players!$A:$A,Class_Players!$F:$F,"")</f>
        <v>10491</v>
      </c>
      <c r="I651" s="44">
        <f t="shared" si="173"/>
        <v>9.5319797922028404E-5</v>
      </c>
      <c r="J651" s="43">
        <f t="shared" si="174"/>
        <v>0</v>
      </c>
      <c r="K651" s="44" cm="1">
        <f t="array" ref="K651">IF(D651="Gadget",_xlfn.IFS(I651&gt;=0.2,0.5,I651&gt;=0.1,0.35,I651&gt;=0.05,0.2,TRUE,0),IF(D651="Grenade",_xlfn.IFS(I651&gt;=0.2,1,I651&gt;=0.1,0.7,I651&gt;=0.05,0.4,TRUE,0),0))</f>
        <v>0</v>
      </c>
      <c r="L651" s="57">
        <f t="shared" si="177"/>
        <v>0</v>
      </c>
    </row>
    <row r="652" spans="1:12" ht="15" customHeight="1" x14ac:dyDescent="0.25">
      <c r="A652" s="42" t="str" cm="1">
        <f t="array" ref="A652">IFERROR(INDEX(_xlfn._xlws.FILTER(Class_Players!A:A,Class_Players!B:B="Support"),QUOTIENT(ROW()-ROW($A$2),9)+1),"")</f>
        <v>XXXnqXXX</v>
      </c>
      <c r="B652" s="42" t="str">
        <f>_xlfn.XLOOKUP(A652,Class_Players!$A:$A,Class_Players!$B:$B,"")</f>
        <v>Support</v>
      </c>
      <c r="C652" s="38" t="str" cm="1">
        <f t="array" ref="C652">INDEX(Lookups!$D$2:$D$10,MOD(ROW()-ROW($B$2),ROWS(Lookups!$D$2:$D$10))+1)</f>
        <v>LWCMS (Mortar)</v>
      </c>
      <c r="D652" s="38" t="str">
        <f>_xlfn.XLOOKUP(C652,Analysis_Gadgets!$C:$C,Analysis_Gadgets!$B:$B)</f>
        <v>Gadget</v>
      </c>
      <c r="E652" s="43">
        <v>10</v>
      </c>
      <c r="F652" s="43">
        <f>_xlfn.XLOOKUP(A652,Class_Players!A:A,Class_Players!G:G)</f>
        <v>162</v>
      </c>
      <c r="G652" s="43">
        <f t="shared" si="172"/>
        <v>6.1728395061728392E-2</v>
      </c>
      <c r="H652" s="43">
        <f>_xlfn.XLOOKUP(A652,Class_Players!$A:$A,Class_Players!$F:$F,"")</f>
        <v>10491</v>
      </c>
      <c r="I652" s="44">
        <f t="shared" si="173"/>
        <v>9.531979792202841E-4</v>
      </c>
      <c r="J652" s="43">
        <f t="shared" si="174"/>
        <v>0</v>
      </c>
      <c r="K652" s="44" cm="1">
        <f t="array" ref="K652">IF(D652="Gadget",_xlfn.IFS(I652&gt;=0.2,0.5,I652&gt;=0.1,0.35,I652&gt;=0.05,0.2,TRUE,0),IF(D652="Grenade",_xlfn.IFS(I652&gt;=0.2,1,I652&gt;=0.1,0.7,I652&gt;=0.05,0.4,TRUE,0),0))</f>
        <v>0</v>
      </c>
      <c r="L652" s="57">
        <f t="shared" si="177"/>
        <v>0</v>
      </c>
    </row>
    <row r="653" spans="1:12" ht="15" customHeight="1" x14ac:dyDescent="0.25">
      <c r="A653" s="42" t="str" cm="1">
        <f t="array" ref="A653">IFERROR(INDEX(_xlfn._xlws.FILTER(Class_Players!A:A,Class_Players!B:B="Support"),QUOTIENT(ROW()-ROW($A$2),9)+1),"")</f>
        <v>XXXnqXXX</v>
      </c>
      <c r="B653" s="42" t="str">
        <f>_xlfn.XLOOKUP(A653,Class_Players!$A:$A,Class_Players!$B:$B,"")</f>
        <v>Support</v>
      </c>
      <c r="C653" s="38" t="str" cm="1">
        <f t="array" ref="C653">INDEX(Lookups!$D$2:$D$10,MOD(ROW()-ROW($B$2),ROWS(Lookups!$D$2:$D$10))+1)</f>
        <v>M320A1 SMK (Smoke Grenade Launcher)</v>
      </c>
      <c r="D653" s="38" t="str">
        <f>_xlfn.XLOOKUP(C653,Analysis_Gadgets!$C:$C,Analysis_Gadgets!$B:$B)</f>
        <v>Gadget</v>
      </c>
      <c r="E653" s="43">
        <v>71</v>
      </c>
      <c r="F653" s="43">
        <f>_xlfn.XLOOKUP(A653,Class_Players!A:A,Class_Players!G:G)</f>
        <v>162</v>
      </c>
      <c r="G653" s="43">
        <f t="shared" si="172"/>
        <v>0.43827160493827161</v>
      </c>
      <c r="H653" s="43">
        <f>_xlfn.XLOOKUP(A653,Class_Players!$A:$A,Class_Players!$F:$F,"")</f>
        <v>10491</v>
      </c>
      <c r="I653" s="44">
        <f t="shared" si="173"/>
        <v>6.7677056524640166E-3</v>
      </c>
      <c r="J653" s="43">
        <f t="shared" si="174"/>
        <v>0</v>
      </c>
      <c r="K653" s="44" cm="1">
        <f t="array" ref="K653">IF(D653="Gadget",_xlfn.IFS(I653&gt;=0.2,0.5,I653&gt;=0.1,0.35,I653&gt;=0.05,0.2,TRUE,0),IF(D653="Grenade",_xlfn.IFS(I653&gt;=0.2,1,I653&gt;=0.1,0.7,I653&gt;=0.05,0.4,TRUE,0),0))</f>
        <v>0</v>
      </c>
      <c r="L653" s="57">
        <f t="shared" si="177"/>
        <v>0</v>
      </c>
    </row>
    <row r="654" spans="1:12" ht="15" customHeight="1" x14ac:dyDescent="0.25">
      <c r="A654" s="42" t="str" cm="1">
        <f t="array" ref="A654">IFERROR(INDEX(_xlfn._xlws.FILTER(Class_Players!A:A,Class_Players!B:B="Support"),QUOTIENT(ROW()-ROW($A$2),9)+1),"")</f>
        <v>XXXnqXXX</v>
      </c>
      <c r="B654" s="42" t="str">
        <f>_xlfn.XLOOKUP(A654,Class_Players!$A:$A,Class_Players!$B:$B,"")</f>
        <v>Support</v>
      </c>
      <c r="C654" s="38" t="str" cm="1">
        <f t="array" ref="C654">INDEX(Lookups!$D$2:$D$10,MOD(ROW()-ROW($B$2),ROWS(Lookups!$D$2:$D$10))+1)</f>
        <v>SICH G1 WP (Incendiary Airburst Launcher)</v>
      </c>
      <c r="D654" s="38" t="str">
        <f>_xlfn.XLOOKUP(C654,Analysis_Gadgets!$C:$C,Analysis_Gadgets!$B:$B)</f>
        <v>Gadget</v>
      </c>
      <c r="E654" s="43">
        <v>2870</v>
      </c>
      <c r="F654" s="43">
        <f>_xlfn.XLOOKUP(A654,Class_Players!A:A,Class_Players!G:G)</f>
        <v>162</v>
      </c>
      <c r="G654" s="43">
        <f t="shared" si="172"/>
        <v>17.716049382716051</v>
      </c>
      <c r="H654" s="43">
        <f>_xlfn.XLOOKUP(A654,Class_Players!$A:$A,Class_Players!$F:$F,"")</f>
        <v>10491</v>
      </c>
      <c r="I654" s="44">
        <f t="shared" si="173"/>
        <v>0.27356782003622154</v>
      </c>
      <c r="J654" s="43">
        <f t="shared" si="174"/>
        <v>1</v>
      </c>
      <c r="K654" s="44" cm="1">
        <f t="array" ref="K654">IF(D654="Gadget",_xlfn.IFS(I654&gt;=0.2,0.5,I654&gt;=0.1,0.35,I654&gt;=0.05,0.2,TRUE,0),IF(D654="Grenade",_xlfn.IFS(I654&gt;=0.2,1,I654&gt;=0.1,0.7,I654&gt;=0.05,0.4,TRUE,0),0))</f>
        <v>0.5</v>
      </c>
      <c r="L654" s="57">
        <f t="shared" si="177"/>
        <v>1</v>
      </c>
    </row>
    <row r="655" spans="1:12" ht="15" customHeight="1" x14ac:dyDescent="0.25">
      <c r="A655" s="42" t="str" cm="1">
        <f t="array" ref="A655">IFERROR(INDEX(_xlfn._xlws.FILTER(Class_Players!A:A,Class_Players!B:B="Support"),QUOTIENT(ROW()-ROW($A$2),9)+1),"")</f>
        <v>XXXnqXXX</v>
      </c>
      <c r="B655" s="42" t="str">
        <f>_xlfn.XLOOKUP(A655,Class_Players!$A:$A,Class_Players!$B:$B,"")</f>
        <v>Support</v>
      </c>
      <c r="C655" s="38" t="str" cm="1">
        <f t="array" ref="C655">INDEX(Lookups!$D$2:$D$10,MOD(ROW()-ROW($B$2),ROWS(Lookups!$D$2:$D$10))+1)</f>
        <v>Deployable Cover</v>
      </c>
      <c r="D655" s="38" t="str">
        <f>_xlfn.XLOOKUP(C655,Analysis_Gadgets!$C:$C,Analysis_Gadgets!$B:$B)</f>
        <v>Gadget</v>
      </c>
      <c r="E655" s="43">
        <v>88</v>
      </c>
      <c r="F655" s="43">
        <f>_xlfn.XLOOKUP(A655,Class_Players!A:A,Class_Players!G:G)</f>
        <v>162</v>
      </c>
      <c r="G655" s="43">
        <f t="shared" si="172"/>
        <v>0.54320987654320985</v>
      </c>
      <c r="H655" s="43">
        <f>_xlfn.XLOOKUP(A655,Class_Players!$A:$A,Class_Players!$F:$F,"")</f>
        <v>10491</v>
      </c>
      <c r="I655" s="44">
        <f t="shared" si="173"/>
        <v>8.3881422171384994E-3</v>
      </c>
      <c r="J655" s="43">
        <f t="shared" si="174"/>
        <v>0</v>
      </c>
      <c r="K655" s="44" cm="1">
        <f t="array" ref="K655">IF(D655="Gadget",_xlfn.IFS(I655&gt;=0.2,0.5,I655&gt;=0.1,0.35,I655&gt;=0.05,0.2,TRUE,0),IF(D655="Grenade",_xlfn.IFS(I655&gt;=0.2,1,I655&gt;=0.1,0.7,I655&gt;=0.05,0.4,TRUE,0),0))</f>
        <v>0</v>
      </c>
      <c r="L655" s="57">
        <f t="shared" si="177"/>
        <v>0</v>
      </c>
    </row>
    <row r="656" spans="1:12" ht="15" customHeight="1" x14ac:dyDescent="0.25">
      <c r="A656" s="42" t="str" cm="1">
        <f t="array" ref="A656">IFERROR(INDEX(_xlfn._xlws.FILTER(Class_Players!A:A,Class_Players!B:B="Support"),QUOTIENT(ROW()-ROW($A$2),9)+1),"")</f>
        <v>XXXnqXXX</v>
      </c>
      <c r="B656" s="42" t="str">
        <f>_xlfn.XLOOKUP(A656,Class_Players!$A:$A,Class_Players!$B:$B,"")</f>
        <v>Support</v>
      </c>
      <c r="C656" s="38" t="str" cm="1">
        <f t="array" ref="C656">INDEX(Lookups!$D$2:$D$10,MOD(ROW()-ROW($B$2),ROWS(Lookups!$D$2:$D$10))+1)</f>
        <v>Supply Pouch</v>
      </c>
      <c r="D656" s="38" t="str">
        <f>_xlfn.XLOOKUP(C656,Analysis_Gadgets!$C:$C,Analysis_Gadgets!$B:$B)</f>
        <v>Gadget</v>
      </c>
      <c r="E656" s="43">
        <v>36</v>
      </c>
      <c r="F656" s="43">
        <f>_xlfn.XLOOKUP(A656,Class_Players!A:A,Class_Players!G:G)</f>
        <v>162</v>
      </c>
      <c r="G656" s="43">
        <f t="shared" si="172"/>
        <v>0.22222222222222221</v>
      </c>
      <c r="H656" s="43">
        <f>_xlfn.XLOOKUP(A656,Class_Players!$A:$A,Class_Players!$F:$F,"")</f>
        <v>10491</v>
      </c>
      <c r="I656" s="44">
        <f t="shared" si="173"/>
        <v>3.4315127251930227E-3</v>
      </c>
      <c r="J656" s="43">
        <f t="shared" si="174"/>
        <v>0</v>
      </c>
      <c r="K656" s="44" cm="1">
        <f t="array" ref="K656">IF(D656="Gadget",_xlfn.IFS(I656&gt;=0.2,0.5,I656&gt;=0.1,0.35,I656&gt;=0.05,0.2,TRUE,0),IF(D656="Grenade",_xlfn.IFS(I656&gt;=0.2,1,I656&gt;=0.1,0.7,I656&gt;=0.05,0.4,TRUE,0),0))</f>
        <v>0</v>
      </c>
      <c r="L656" s="57">
        <f t="shared" si="177"/>
        <v>0</v>
      </c>
    </row>
    <row r="657" spans="1:12" ht="15" customHeight="1" x14ac:dyDescent="0.25">
      <c r="A657" s="42" t="str" cm="1">
        <f t="array" ref="A657">IFERROR(INDEX(_xlfn._xlws.FILTER(Class_Players!A:A,Class_Players!B:B="Support"),QUOTIENT(ROW()-ROW($A$2),9)+1),"")</f>
        <v>XXXnqXXX</v>
      </c>
      <c r="B657" s="42" t="str">
        <f>_xlfn.XLOOKUP(A657,Class_Players!$A:$A,Class_Players!$B:$B,"")</f>
        <v>Support</v>
      </c>
      <c r="C657" s="38" t="str" cm="1">
        <f t="array" ref="C657">INDEX(Lookups!$D$2:$D$10,MOD(ROW()-ROW($B$2),ROWS(Lookups!$D$2:$D$10))+1)</f>
        <v>Smoke Grenade</v>
      </c>
      <c r="D657" s="38" t="str">
        <f>_xlfn.XLOOKUP(C657,Analysis_Gadgets!$C:$C,Analysis_Gadgets!$B:$B)</f>
        <v>Grenade</v>
      </c>
      <c r="E657" s="43">
        <v>2998</v>
      </c>
      <c r="F657" s="43">
        <f>_xlfn.XLOOKUP(A657,Class_Players!A:A,Class_Players!G:G)</f>
        <v>162</v>
      </c>
      <c r="G657" s="43">
        <f t="shared" si="172"/>
        <v>18.506172839506174</v>
      </c>
      <c r="H657" s="43">
        <f>_xlfn.XLOOKUP(A657,Class_Players!$A:$A,Class_Players!$F:$F,"")</f>
        <v>10491</v>
      </c>
      <c r="I657" s="44">
        <f t="shared" si="173"/>
        <v>0.28576875417024117</v>
      </c>
      <c r="J657" s="43">
        <f t="shared" si="174"/>
        <v>1</v>
      </c>
      <c r="K657" s="44" cm="1">
        <f t="array" ref="K657">IF(D657="Gadget",_xlfn.IFS(I657&gt;=0.2,0.5,I657&gt;=0.1,0.35,I657&gt;=0.05,0.2,TRUE,0),IF(D657="Grenade",_xlfn.IFS(I657&gt;=0.2,1,I657&gt;=0.1,0.7,I657&gt;=0.05,0.4,TRUE,0),0))</f>
        <v>1</v>
      </c>
      <c r="L657" s="57">
        <f t="shared" ref="L657:L658" si="178">IF($K657=0,0,$K657 / SUMIFS($K:$K,$A:$A,$A657,$D:$D,"Grenade"))</f>
        <v>1</v>
      </c>
    </row>
    <row r="658" spans="1:12" ht="15" customHeight="1" x14ac:dyDescent="0.25">
      <c r="A658" s="42" t="str" cm="1">
        <f t="array" ref="A658">IFERROR(INDEX(_xlfn._xlws.FILTER(Class_Players!A:A,Class_Players!B:B="Support"),QUOTIENT(ROW()-ROW($A$2),9)+1),"")</f>
        <v>XXXnqXXX</v>
      </c>
      <c r="B658" s="42" t="str">
        <f>_xlfn.XLOOKUP(A658,Class_Players!$A:$A,Class_Players!$B:$B,"")</f>
        <v>Support</v>
      </c>
      <c r="C658" s="38" t="str" cm="1">
        <f t="array" ref="C658">INDEX(Lookups!$D$2:$D$10,MOD(ROW()-ROW($B$2),ROWS(Lookups!$D$2:$D$10))+1)</f>
        <v>Incendiary Grenade</v>
      </c>
      <c r="D658" s="38" t="str">
        <f>_xlfn.XLOOKUP(C658,Analysis_Gadgets!$C:$C,Analysis_Gadgets!$B:$B)</f>
        <v>Grenade</v>
      </c>
      <c r="E658" s="43">
        <v>102</v>
      </c>
      <c r="F658" s="43">
        <f>_xlfn.XLOOKUP(A658,Class_Players!A:A,Class_Players!G:G)</f>
        <v>162</v>
      </c>
      <c r="G658" s="43">
        <f t="shared" si="172"/>
        <v>0.62962962962962965</v>
      </c>
      <c r="H658" s="43">
        <f>_xlfn.XLOOKUP(A658,Class_Players!$A:$A,Class_Players!$F:$F,"")</f>
        <v>10491</v>
      </c>
      <c r="I658" s="44">
        <f t="shared" si="173"/>
        <v>9.7226193880468968E-3</v>
      </c>
      <c r="J658" s="43">
        <f t="shared" si="174"/>
        <v>0</v>
      </c>
      <c r="K658" s="44" cm="1">
        <f t="array" ref="K658">IF(D658="Gadget",_xlfn.IFS(I658&gt;=0.2,0.5,I658&gt;=0.1,0.35,I658&gt;=0.05,0.2,TRUE,0),IF(D658="Grenade",_xlfn.IFS(I658&gt;=0.2,1,I658&gt;=0.1,0.7,I658&gt;=0.05,0.4,TRUE,0),0))</f>
        <v>0</v>
      </c>
      <c r="L658" s="57">
        <f t="shared" si="178"/>
        <v>0</v>
      </c>
    </row>
    <row r="659" spans="1:12" ht="15" customHeight="1" x14ac:dyDescent="0.25">
      <c r="A659" s="42" t="str" cm="1">
        <f t="array" ref="A659">IFERROR(INDEX(_xlfn._xlws.FILTER(Class_Players!A:A,Class_Players!B:B="Support"),QUOTIENT(ROW()-ROW($A$2),9)+1),"")</f>
        <v>HerrAutonom</v>
      </c>
      <c r="B659" s="42" t="str">
        <f>_xlfn.XLOOKUP(A659,Class_Players!$A:$A,Class_Players!$B:$B,"")</f>
        <v>Support</v>
      </c>
      <c r="C659" s="38" t="str" cm="1">
        <f t="array" ref="C659">INDEX(Lookups!$D$2:$D$10,MOD(ROW()-ROW($B$2),ROWS(Lookups!$D$2:$D$10))+1)</f>
        <v>GPDIS (Grenade intercept system)</v>
      </c>
      <c r="D659" s="38" t="str">
        <f>_xlfn.XLOOKUP(C659,Analysis_Gadgets!$C:$C,Analysis_Gadgets!$B:$B)</f>
        <v>Gadget</v>
      </c>
      <c r="E659" s="43">
        <v>105</v>
      </c>
      <c r="F659" s="43">
        <f>_xlfn.XLOOKUP(A659,Class_Players!A:A,Class_Players!G:G)</f>
        <v>156</v>
      </c>
      <c r="G659" s="43">
        <f t="shared" si="172"/>
        <v>0.67307692307692313</v>
      </c>
      <c r="H659" s="43">
        <f>_xlfn.XLOOKUP(A659,Class_Players!$A:$A,Class_Players!$F:$F,"")</f>
        <v>10388</v>
      </c>
      <c r="I659" s="44">
        <f t="shared" si="173"/>
        <v>1.0107816711590296E-2</v>
      </c>
      <c r="J659" s="43">
        <f t="shared" si="174"/>
        <v>0</v>
      </c>
      <c r="K659" s="44" cm="1">
        <f t="array" ref="K659">IF(D659="Gadget",_xlfn.IFS(I659&gt;=0.2,0.5,I659&gt;=0.1,0.35,I659&gt;=0.05,0.2,TRUE,0),IF(D659="Grenade",_xlfn.IFS(I659&gt;=0.2,1,I659&gt;=0.1,0.7,I659&gt;=0.05,0.4,TRUE,0),0))</f>
        <v>0</v>
      </c>
      <c r="L659" s="57">
        <f t="shared" ref="L659:L665" si="179">IF($K659=0,0,$K659 / SUMIFS($K:$K,$A:$A,$A659,$D:$D,"Gadget"))</f>
        <v>0</v>
      </c>
    </row>
    <row r="660" spans="1:12" ht="15" customHeight="1" x14ac:dyDescent="0.25">
      <c r="A660" s="42" t="str" cm="1">
        <f t="array" ref="A660">IFERROR(INDEX(_xlfn._xlws.FILTER(Class_Players!A:A,Class_Players!B:B="Support"),QUOTIENT(ROW()-ROW($A$2),9)+1),"")</f>
        <v>HerrAutonom</v>
      </c>
      <c r="B660" s="42" t="str">
        <f>_xlfn.XLOOKUP(A660,Class_Players!$A:$A,Class_Players!$B:$B,"")</f>
        <v>Support</v>
      </c>
      <c r="C660" s="38" t="str" cm="1">
        <f t="array" ref="C660">INDEX(Lookups!$D$2:$D$10,MOD(ROW()-ROW($B$2),ROWS(Lookups!$D$2:$D$10))+1)</f>
        <v>MP-APS (Missile intercept system)</v>
      </c>
      <c r="D660" s="38" t="str">
        <f>_xlfn.XLOOKUP(C660,Analysis_Gadgets!$C:$C,Analysis_Gadgets!$B:$B)</f>
        <v>Gadget</v>
      </c>
      <c r="E660" s="43">
        <v>0</v>
      </c>
      <c r="F660" s="43">
        <f>_xlfn.XLOOKUP(A660,Class_Players!A:A,Class_Players!G:G)</f>
        <v>156</v>
      </c>
      <c r="G660" s="43">
        <f t="shared" si="172"/>
        <v>0</v>
      </c>
      <c r="H660" s="43">
        <f>_xlfn.XLOOKUP(A660,Class_Players!$A:$A,Class_Players!$F:$F,"")</f>
        <v>10388</v>
      </c>
      <c r="I660" s="44">
        <f t="shared" si="173"/>
        <v>0</v>
      </c>
      <c r="J660" s="43">
        <f t="shared" si="174"/>
        <v>0</v>
      </c>
      <c r="K660" s="44" cm="1">
        <f t="array" ref="K660">IF(D660="Gadget",_xlfn.IFS(I660&gt;=0.2,0.5,I660&gt;=0.1,0.35,I660&gt;=0.05,0.2,TRUE,0),IF(D660="Grenade",_xlfn.IFS(I660&gt;=0.2,1,I660&gt;=0.1,0.7,I660&gt;=0.05,0.4,TRUE,0),0))</f>
        <v>0</v>
      </c>
      <c r="L660" s="57">
        <f t="shared" si="179"/>
        <v>0</v>
      </c>
    </row>
    <row r="661" spans="1:12" ht="15" customHeight="1" x14ac:dyDescent="0.25">
      <c r="A661" s="42" t="str" cm="1">
        <f t="array" ref="A661">IFERROR(INDEX(_xlfn._xlws.FILTER(Class_Players!A:A,Class_Players!B:B="Support"),QUOTIENT(ROW()-ROW($A$2),9)+1),"")</f>
        <v>HerrAutonom</v>
      </c>
      <c r="B661" s="42" t="str">
        <f>_xlfn.XLOOKUP(A661,Class_Players!$A:$A,Class_Players!$B:$B,"")</f>
        <v>Support</v>
      </c>
      <c r="C661" s="38" t="str" cm="1">
        <f t="array" ref="C661">INDEX(Lookups!$D$2:$D$10,MOD(ROW()-ROW($B$2),ROWS(Lookups!$D$2:$D$10))+1)</f>
        <v>LWCMS (Mortar)</v>
      </c>
      <c r="D661" s="38" t="str">
        <f>_xlfn.XLOOKUP(C661,Analysis_Gadgets!$C:$C,Analysis_Gadgets!$B:$B)</f>
        <v>Gadget</v>
      </c>
      <c r="E661" s="43">
        <v>32</v>
      </c>
      <c r="F661" s="43">
        <f>_xlfn.XLOOKUP(A661,Class_Players!A:A,Class_Players!G:G)</f>
        <v>156</v>
      </c>
      <c r="G661" s="43">
        <f t="shared" si="172"/>
        <v>0.20512820512820512</v>
      </c>
      <c r="H661" s="43">
        <f>_xlfn.XLOOKUP(A661,Class_Players!$A:$A,Class_Players!$F:$F,"")</f>
        <v>10388</v>
      </c>
      <c r="I661" s="44">
        <f t="shared" si="173"/>
        <v>3.0804774740084712E-3</v>
      </c>
      <c r="J661" s="43">
        <f t="shared" si="174"/>
        <v>0</v>
      </c>
      <c r="K661" s="44" cm="1">
        <f t="array" ref="K661">IF(D661="Gadget",_xlfn.IFS(I661&gt;=0.2,0.5,I661&gt;=0.1,0.35,I661&gt;=0.05,0.2,TRUE,0),IF(D661="Grenade",_xlfn.IFS(I661&gt;=0.2,1,I661&gt;=0.1,0.7,I661&gt;=0.05,0.4,TRUE,0),0))</f>
        <v>0</v>
      </c>
      <c r="L661" s="57">
        <f t="shared" si="179"/>
        <v>0</v>
      </c>
    </row>
    <row r="662" spans="1:12" ht="15" customHeight="1" x14ac:dyDescent="0.25">
      <c r="A662" s="42" t="str" cm="1">
        <f t="array" ref="A662">IFERROR(INDEX(_xlfn._xlws.FILTER(Class_Players!A:A,Class_Players!B:B="Support"),QUOTIENT(ROW()-ROW($A$2),9)+1),"")</f>
        <v>HerrAutonom</v>
      </c>
      <c r="B662" s="42" t="str">
        <f>_xlfn.XLOOKUP(A662,Class_Players!$A:$A,Class_Players!$B:$B,"")</f>
        <v>Support</v>
      </c>
      <c r="C662" s="38" t="str" cm="1">
        <f t="array" ref="C662">INDEX(Lookups!$D$2:$D$10,MOD(ROW()-ROW($B$2),ROWS(Lookups!$D$2:$D$10))+1)</f>
        <v>M320A1 SMK (Smoke Grenade Launcher)</v>
      </c>
      <c r="D662" s="38" t="str">
        <f>_xlfn.XLOOKUP(C662,Analysis_Gadgets!$C:$C,Analysis_Gadgets!$B:$B)</f>
        <v>Gadget</v>
      </c>
      <c r="E662" s="43">
        <v>60</v>
      </c>
      <c r="F662" s="43">
        <f>_xlfn.XLOOKUP(A662,Class_Players!A:A,Class_Players!G:G)</f>
        <v>156</v>
      </c>
      <c r="G662" s="43">
        <f t="shared" si="172"/>
        <v>0.38461538461538464</v>
      </c>
      <c r="H662" s="43">
        <f>_xlfn.XLOOKUP(A662,Class_Players!$A:$A,Class_Players!$F:$F,"")</f>
        <v>10388</v>
      </c>
      <c r="I662" s="44">
        <f t="shared" si="173"/>
        <v>5.7758952637658838E-3</v>
      </c>
      <c r="J662" s="43">
        <f t="shared" si="174"/>
        <v>0</v>
      </c>
      <c r="K662" s="44" cm="1">
        <f t="array" ref="K662">IF(D662="Gadget",_xlfn.IFS(I662&gt;=0.2,0.5,I662&gt;=0.1,0.35,I662&gt;=0.05,0.2,TRUE,0),IF(D662="Grenade",_xlfn.IFS(I662&gt;=0.2,1,I662&gt;=0.1,0.7,I662&gt;=0.05,0.4,TRUE,0),0))</f>
        <v>0</v>
      </c>
      <c r="L662" s="57">
        <f t="shared" si="179"/>
        <v>0</v>
      </c>
    </row>
    <row r="663" spans="1:12" ht="15" customHeight="1" x14ac:dyDescent="0.25">
      <c r="A663" s="42" t="str" cm="1">
        <f t="array" ref="A663">IFERROR(INDEX(_xlfn._xlws.FILTER(Class_Players!A:A,Class_Players!B:B="Support"),QUOTIENT(ROW()-ROW($A$2),9)+1),"")</f>
        <v>HerrAutonom</v>
      </c>
      <c r="B663" s="42" t="str">
        <f>_xlfn.XLOOKUP(A663,Class_Players!$A:$A,Class_Players!$B:$B,"")</f>
        <v>Support</v>
      </c>
      <c r="C663" s="38" t="str" cm="1">
        <f t="array" ref="C663">INDEX(Lookups!$D$2:$D$10,MOD(ROW()-ROW($B$2),ROWS(Lookups!$D$2:$D$10))+1)</f>
        <v>SICH G1 WP (Incendiary Airburst Launcher)</v>
      </c>
      <c r="D663" s="38" t="str">
        <f>_xlfn.XLOOKUP(C663,Analysis_Gadgets!$C:$C,Analysis_Gadgets!$B:$B)</f>
        <v>Gadget</v>
      </c>
      <c r="E663" s="43">
        <v>0</v>
      </c>
      <c r="F663" s="43">
        <f>_xlfn.XLOOKUP(A663,Class_Players!A:A,Class_Players!G:G)</f>
        <v>156</v>
      </c>
      <c r="G663" s="43">
        <f t="shared" si="172"/>
        <v>0</v>
      </c>
      <c r="H663" s="43">
        <f>_xlfn.XLOOKUP(A663,Class_Players!$A:$A,Class_Players!$F:$F,"")</f>
        <v>10388</v>
      </c>
      <c r="I663" s="44">
        <f t="shared" si="173"/>
        <v>0</v>
      </c>
      <c r="J663" s="43">
        <f t="shared" si="174"/>
        <v>0</v>
      </c>
      <c r="K663" s="44" cm="1">
        <f t="array" ref="K663">IF(D663="Gadget",_xlfn.IFS(I663&gt;=0.2,0.5,I663&gt;=0.1,0.35,I663&gt;=0.05,0.2,TRUE,0),IF(D663="Grenade",_xlfn.IFS(I663&gt;=0.2,1,I663&gt;=0.1,0.7,I663&gt;=0.05,0.4,TRUE,0),0))</f>
        <v>0</v>
      </c>
      <c r="L663" s="57">
        <f t="shared" si="179"/>
        <v>0</v>
      </c>
    </row>
    <row r="664" spans="1:12" ht="15" customHeight="1" x14ac:dyDescent="0.25">
      <c r="A664" s="42" t="str" cm="1">
        <f t="array" ref="A664">IFERROR(INDEX(_xlfn._xlws.FILTER(Class_Players!A:A,Class_Players!B:B="Support"),QUOTIENT(ROW()-ROW($A$2),9)+1),"")</f>
        <v>HerrAutonom</v>
      </c>
      <c r="B664" s="42" t="str">
        <f>_xlfn.XLOOKUP(A664,Class_Players!$A:$A,Class_Players!$B:$B,"")</f>
        <v>Support</v>
      </c>
      <c r="C664" s="38" t="str" cm="1">
        <f t="array" ref="C664">INDEX(Lookups!$D$2:$D$10,MOD(ROW()-ROW($B$2),ROWS(Lookups!$D$2:$D$10))+1)</f>
        <v>Deployable Cover</v>
      </c>
      <c r="D664" s="38" t="str">
        <f>_xlfn.XLOOKUP(C664,Analysis_Gadgets!$C:$C,Analysis_Gadgets!$B:$B)</f>
        <v>Gadget</v>
      </c>
      <c r="E664" s="43">
        <v>39</v>
      </c>
      <c r="F664" s="43">
        <f>_xlfn.XLOOKUP(A664,Class_Players!A:A,Class_Players!G:G)</f>
        <v>156</v>
      </c>
      <c r="G664" s="43">
        <f t="shared" si="172"/>
        <v>0.25</v>
      </c>
      <c r="H664" s="43">
        <f>_xlfn.XLOOKUP(A664,Class_Players!$A:$A,Class_Players!$F:$F,"")</f>
        <v>10388</v>
      </c>
      <c r="I664" s="44">
        <f t="shared" si="173"/>
        <v>3.7543319214478244E-3</v>
      </c>
      <c r="J664" s="43">
        <f t="shared" si="174"/>
        <v>0</v>
      </c>
      <c r="K664" s="44" cm="1">
        <f t="array" ref="K664">IF(D664="Gadget",_xlfn.IFS(I664&gt;=0.2,0.5,I664&gt;=0.1,0.35,I664&gt;=0.05,0.2,TRUE,0),IF(D664="Grenade",_xlfn.IFS(I664&gt;=0.2,1,I664&gt;=0.1,0.7,I664&gt;=0.05,0.4,TRUE,0),0))</f>
        <v>0</v>
      </c>
      <c r="L664" s="57">
        <f t="shared" si="179"/>
        <v>0</v>
      </c>
    </row>
    <row r="665" spans="1:12" ht="15" customHeight="1" x14ac:dyDescent="0.25">
      <c r="A665" s="42" t="str" cm="1">
        <f t="array" ref="A665">IFERROR(INDEX(_xlfn._xlws.FILTER(Class_Players!A:A,Class_Players!B:B="Support"),QUOTIENT(ROW()-ROW($A$2),9)+1),"")</f>
        <v>HerrAutonom</v>
      </c>
      <c r="B665" s="42" t="str">
        <f>_xlfn.XLOOKUP(A665,Class_Players!$A:$A,Class_Players!$B:$B,"")</f>
        <v>Support</v>
      </c>
      <c r="C665" s="38" t="str" cm="1">
        <f t="array" ref="C665">INDEX(Lookups!$D$2:$D$10,MOD(ROW()-ROW($B$2),ROWS(Lookups!$D$2:$D$10))+1)</f>
        <v>Supply Pouch</v>
      </c>
      <c r="D665" s="38" t="str">
        <f>_xlfn.XLOOKUP(C665,Analysis_Gadgets!$C:$C,Analysis_Gadgets!$B:$B)</f>
        <v>Gadget</v>
      </c>
      <c r="E665" s="43">
        <v>759</v>
      </c>
      <c r="F665" s="43">
        <f>_xlfn.XLOOKUP(A665,Class_Players!A:A,Class_Players!G:G)</f>
        <v>156</v>
      </c>
      <c r="G665" s="43">
        <f t="shared" si="172"/>
        <v>4.865384615384615</v>
      </c>
      <c r="H665" s="43">
        <f>_xlfn.XLOOKUP(A665,Class_Players!$A:$A,Class_Players!$F:$F,"")</f>
        <v>10388</v>
      </c>
      <c r="I665" s="44">
        <f t="shared" si="173"/>
        <v>7.3065075086638426E-2</v>
      </c>
      <c r="J665" s="43">
        <f t="shared" si="174"/>
        <v>0</v>
      </c>
      <c r="K665" s="44" cm="1">
        <f t="array" ref="K665">IF(D665="Gadget",_xlfn.IFS(I665&gt;=0.2,0.5,I665&gt;=0.1,0.35,I665&gt;=0.05,0.2,TRUE,0),IF(D665="Grenade",_xlfn.IFS(I665&gt;=0.2,1,I665&gt;=0.1,0.7,I665&gt;=0.05,0.4,TRUE,0),0))</f>
        <v>0.2</v>
      </c>
      <c r="L665" s="57">
        <f t="shared" si="179"/>
        <v>1</v>
      </c>
    </row>
    <row r="666" spans="1:12" ht="15" customHeight="1" x14ac:dyDescent="0.25">
      <c r="A666" s="42" t="str" cm="1">
        <f t="array" ref="A666">IFERROR(INDEX(_xlfn._xlws.FILTER(Class_Players!A:A,Class_Players!B:B="Support"),QUOTIENT(ROW()-ROW($A$2),9)+1),"")</f>
        <v>HerrAutonom</v>
      </c>
      <c r="B666" s="42" t="str">
        <f>_xlfn.XLOOKUP(A666,Class_Players!$A:$A,Class_Players!$B:$B,"")</f>
        <v>Support</v>
      </c>
      <c r="C666" s="38" t="str" cm="1">
        <f t="array" ref="C666">INDEX(Lookups!$D$2:$D$10,MOD(ROW()-ROW($B$2),ROWS(Lookups!$D$2:$D$10))+1)</f>
        <v>Smoke Grenade</v>
      </c>
      <c r="D666" s="38" t="str">
        <f>_xlfn.XLOOKUP(C666,Analysis_Gadgets!$C:$C,Analysis_Gadgets!$B:$B)</f>
        <v>Grenade</v>
      </c>
      <c r="E666" s="43">
        <v>290</v>
      </c>
      <c r="F666" s="43">
        <f>_xlfn.XLOOKUP(A666,Class_Players!A:A,Class_Players!G:G)</f>
        <v>156</v>
      </c>
      <c r="G666" s="43">
        <f t="shared" si="172"/>
        <v>1.858974358974359</v>
      </c>
      <c r="H666" s="43">
        <f>_xlfn.XLOOKUP(A666,Class_Players!$A:$A,Class_Players!$F:$F,"")</f>
        <v>10388</v>
      </c>
      <c r="I666" s="44">
        <f t="shared" si="173"/>
        <v>2.7916827108201772E-2</v>
      </c>
      <c r="J666" s="43">
        <f t="shared" si="174"/>
        <v>0</v>
      </c>
      <c r="K666" s="44" cm="1">
        <f t="array" ref="K666">IF(D666="Gadget",_xlfn.IFS(I666&gt;=0.2,0.5,I666&gt;=0.1,0.35,I666&gt;=0.05,0.2,TRUE,0),IF(D666="Grenade",_xlfn.IFS(I666&gt;=0.2,1,I666&gt;=0.1,0.7,I666&gt;=0.05,0.4,TRUE,0),0))</f>
        <v>0</v>
      </c>
      <c r="L666" s="57">
        <f t="shared" ref="L666:L667" si="180">IF($K666=0,0,$K666 / SUMIFS($K:$K,$A:$A,$A666,$D:$D,"Grenade"))</f>
        <v>0</v>
      </c>
    </row>
    <row r="667" spans="1:12" ht="15" customHeight="1" x14ac:dyDescent="0.25">
      <c r="A667" s="42" t="str" cm="1">
        <f t="array" ref="A667">IFERROR(INDEX(_xlfn._xlws.FILTER(Class_Players!A:A,Class_Players!B:B="Support"),QUOTIENT(ROW()-ROW($A$2),9)+1),"")</f>
        <v>HerrAutonom</v>
      </c>
      <c r="B667" s="42" t="str">
        <f>_xlfn.XLOOKUP(A667,Class_Players!$A:$A,Class_Players!$B:$B,"")</f>
        <v>Support</v>
      </c>
      <c r="C667" s="38" t="str" cm="1">
        <f t="array" ref="C667">INDEX(Lookups!$D$2:$D$10,MOD(ROW()-ROW($B$2),ROWS(Lookups!$D$2:$D$10))+1)</f>
        <v>Incendiary Grenade</v>
      </c>
      <c r="D667" s="38" t="str">
        <f>_xlfn.XLOOKUP(C667,Analysis_Gadgets!$C:$C,Analysis_Gadgets!$B:$B)</f>
        <v>Grenade</v>
      </c>
      <c r="E667" s="43">
        <v>589</v>
      </c>
      <c r="F667" s="43">
        <f>_xlfn.XLOOKUP(A667,Class_Players!A:A,Class_Players!G:G)</f>
        <v>156</v>
      </c>
      <c r="G667" s="43">
        <f t="shared" si="172"/>
        <v>3.7756410256410255</v>
      </c>
      <c r="H667" s="43">
        <f>_xlfn.XLOOKUP(A667,Class_Players!$A:$A,Class_Players!$F:$F,"")</f>
        <v>10388</v>
      </c>
      <c r="I667" s="44">
        <f t="shared" si="173"/>
        <v>5.6700038505968428E-2</v>
      </c>
      <c r="J667" s="43">
        <f t="shared" si="174"/>
        <v>0</v>
      </c>
      <c r="K667" s="44" cm="1">
        <f t="array" ref="K667">IF(D667="Gadget",_xlfn.IFS(I667&gt;=0.2,0.5,I667&gt;=0.1,0.35,I667&gt;=0.05,0.2,TRUE,0),IF(D667="Grenade",_xlfn.IFS(I667&gt;=0.2,1,I667&gt;=0.1,0.7,I667&gt;=0.05,0.4,TRUE,0),0))</f>
        <v>0.4</v>
      </c>
      <c r="L667" s="57">
        <f t="shared" si="180"/>
        <v>1</v>
      </c>
    </row>
    <row r="668" spans="1:12" ht="15" customHeight="1" x14ac:dyDescent="0.25">
      <c r="A668" s="42" t="str" cm="1">
        <f t="array" ref="A668">IFERROR(INDEX(_xlfn._xlws.FILTER(Class_Players!A:A,Class_Players!B:B="Support"),QUOTIENT(ROW()-ROW($A$2),9)+1),"")</f>
        <v>Enigmafication</v>
      </c>
      <c r="B668" s="42" t="str">
        <f>_xlfn.XLOOKUP(A668,Class_Players!$A:$A,Class_Players!$B:$B,"")</f>
        <v>Support</v>
      </c>
      <c r="C668" s="38" t="str" cm="1">
        <f t="array" ref="C668">INDEX(Lookups!$D$2:$D$10,MOD(ROW()-ROW($B$2),ROWS(Lookups!$D$2:$D$10))+1)</f>
        <v>GPDIS (Grenade intercept system)</v>
      </c>
      <c r="D668" s="38" t="str">
        <f>_xlfn.XLOOKUP(C668,Analysis_Gadgets!$C:$C,Analysis_Gadgets!$B:$B)</f>
        <v>Gadget</v>
      </c>
      <c r="E668" s="43">
        <v>43</v>
      </c>
      <c r="F668" s="43">
        <f>_xlfn.XLOOKUP(A668,Class_Players!A:A,Class_Players!G:G)</f>
        <v>161</v>
      </c>
      <c r="G668" s="43">
        <f t="shared" si="172"/>
        <v>0.26708074534161491</v>
      </c>
      <c r="H668" s="43">
        <f>_xlfn.XLOOKUP(A668,Class_Players!$A:$A,Class_Players!$F:$F,"")</f>
        <v>10631</v>
      </c>
      <c r="I668" s="44">
        <f t="shared" si="173"/>
        <v>4.0447747154548023E-3</v>
      </c>
      <c r="J668" s="43">
        <f t="shared" si="174"/>
        <v>0</v>
      </c>
      <c r="K668" s="44" cm="1">
        <f t="array" ref="K668">IF(D668="Gadget",_xlfn.IFS(I668&gt;=0.2,0.5,I668&gt;=0.1,0.35,I668&gt;=0.05,0.2,TRUE,0),IF(D668="Grenade",_xlfn.IFS(I668&gt;=0.2,1,I668&gt;=0.1,0.7,I668&gt;=0.05,0.4,TRUE,0),0))</f>
        <v>0</v>
      </c>
      <c r="L668" s="57">
        <f t="shared" ref="L668:L674" si="181">IF($K668=0,0,$K668 / SUMIFS($K:$K,$A:$A,$A668,$D:$D,"Gadget"))</f>
        <v>0</v>
      </c>
    </row>
    <row r="669" spans="1:12" ht="15" customHeight="1" x14ac:dyDescent="0.25">
      <c r="A669" s="42" t="str" cm="1">
        <f t="array" ref="A669">IFERROR(INDEX(_xlfn._xlws.FILTER(Class_Players!A:A,Class_Players!B:B="Support"),QUOTIENT(ROW()-ROW($A$2),9)+1),"")</f>
        <v>Enigmafication</v>
      </c>
      <c r="B669" s="42" t="str">
        <f>_xlfn.XLOOKUP(A669,Class_Players!$A:$A,Class_Players!$B:$B,"")</f>
        <v>Support</v>
      </c>
      <c r="C669" s="38" t="str" cm="1">
        <f t="array" ref="C669">INDEX(Lookups!$D$2:$D$10,MOD(ROW()-ROW($B$2),ROWS(Lookups!$D$2:$D$10))+1)</f>
        <v>MP-APS (Missile intercept system)</v>
      </c>
      <c r="D669" s="38" t="str">
        <f>_xlfn.XLOOKUP(C669,Analysis_Gadgets!$C:$C,Analysis_Gadgets!$B:$B)</f>
        <v>Gadget</v>
      </c>
      <c r="E669" s="43">
        <v>0</v>
      </c>
      <c r="F669" s="43">
        <f>_xlfn.XLOOKUP(A669,Class_Players!A:A,Class_Players!G:G)</f>
        <v>161</v>
      </c>
      <c r="G669" s="43">
        <f t="shared" si="172"/>
        <v>0</v>
      </c>
      <c r="H669" s="43">
        <f>_xlfn.XLOOKUP(A669,Class_Players!$A:$A,Class_Players!$F:$F,"")</f>
        <v>10631</v>
      </c>
      <c r="I669" s="44">
        <f t="shared" si="173"/>
        <v>0</v>
      </c>
      <c r="J669" s="43">
        <f t="shared" si="174"/>
        <v>0</v>
      </c>
      <c r="K669" s="44" cm="1">
        <f t="array" ref="K669">IF(D669="Gadget",_xlfn.IFS(I669&gt;=0.2,0.5,I669&gt;=0.1,0.35,I669&gt;=0.05,0.2,TRUE,0),IF(D669="Grenade",_xlfn.IFS(I669&gt;=0.2,1,I669&gt;=0.1,0.7,I669&gt;=0.05,0.4,TRUE,0),0))</f>
        <v>0</v>
      </c>
      <c r="L669" s="57">
        <f t="shared" si="181"/>
        <v>0</v>
      </c>
    </row>
    <row r="670" spans="1:12" ht="15" customHeight="1" x14ac:dyDescent="0.25">
      <c r="A670" s="42" t="str" cm="1">
        <f t="array" ref="A670">IFERROR(INDEX(_xlfn._xlws.FILTER(Class_Players!A:A,Class_Players!B:B="Support"),QUOTIENT(ROW()-ROW($A$2),9)+1),"")</f>
        <v>Enigmafication</v>
      </c>
      <c r="B670" s="42" t="str">
        <f>_xlfn.XLOOKUP(A670,Class_Players!$A:$A,Class_Players!$B:$B,"")</f>
        <v>Support</v>
      </c>
      <c r="C670" s="38" t="str" cm="1">
        <f t="array" ref="C670">INDEX(Lookups!$D$2:$D$10,MOD(ROW()-ROW($B$2),ROWS(Lookups!$D$2:$D$10))+1)</f>
        <v>LWCMS (Mortar)</v>
      </c>
      <c r="D670" s="38" t="str">
        <f>_xlfn.XLOOKUP(C670,Analysis_Gadgets!$C:$C,Analysis_Gadgets!$B:$B)</f>
        <v>Gadget</v>
      </c>
      <c r="E670" s="43">
        <v>13</v>
      </c>
      <c r="F670" s="43">
        <f>_xlfn.XLOOKUP(A670,Class_Players!A:A,Class_Players!G:G)</f>
        <v>161</v>
      </c>
      <c r="G670" s="43">
        <f t="shared" si="172"/>
        <v>8.0745341614906832E-2</v>
      </c>
      <c r="H670" s="43">
        <f>_xlfn.XLOOKUP(A670,Class_Players!$A:$A,Class_Players!$F:$F,"")</f>
        <v>10631</v>
      </c>
      <c r="I670" s="44">
        <f t="shared" si="173"/>
        <v>1.2228388674630796E-3</v>
      </c>
      <c r="J670" s="43">
        <f t="shared" si="174"/>
        <v>0</v>
      </c>
      <c r="K670" s="44" cm="1">
        <f t="array" ref="K670">IF(D670="Gadget",_xlfn.IFS(I670&gt;=0.2,0.5,I670&gt;=0.1,0.35,I670&gt;=0.05,0.2,TRUE,0),IF(D670="Grenade",_xlfn.IFS(I670&gt;=0.2,1,I670&gt;=0.1,0.7,I670&gt;=0.05,0.4,TRUE,0),0))</f>
        <v>0</v>
      </c>
      <c r="L670" s="57">
        <f t="shared" si="181"/>
        <v>0</v>
      </c>
    </row>
    <row r="671" spans="1:12" ht="15" customHeight="1" x14ac:dyDescent="0.25">
      <c r="A671" s="42" t="str" cm="1">
        <f t="array" ref="A671">IFERROR(INDEX(_xlfn._xlws.FILTER(Class_Players!A:A,Class_Players!B:B="Support"),QUOTIENT(ROW()-ROW($A$2),9)+1),"")</f>
        <v>Enigmafication</v>
      </c>
      <c r="B671" s="42" t="str">
        <f>_xlfn.XLOOKUP(A671,Class_Players!$A:$A,Class_Players!$B:$B,"")</f>
        <v>Support</v>
      </c>
      <c r="C671" s="38" t="str" cm="1">
        <f t="array" ref="C671">INDEX(Lookups!$D$2:$D$10,MOD(ROW()-ROW($B$2),ROWS(Lookups!$D$2:$D$10))+1)</f>
        <v>M320A1 SMK (Smoke Grenade Launcher)</v>
      </c>
      <c r="D671" s="38" t="str">
        <f>_xlfn.XLOOKUP(C671,Analysis_Gadgets!$C:$C,Analysis_Gadgets!$B:$B)</f>
        <v>Gadget</v>
      </c>
      <c r="E671" s="43">
        <v>65</v>
      </c>
      <c r="F671" s="43">
        <f>_xlfn.XLOOKUP(A671,Class_Players!A:A,Class_Players!G:G)</f>
        <v>161</v>
      </c>
      <c r="G671" s="43">
        <f t="shared" si="172"/>
        <v>0.40372670807453415</v>
      </c>
      <c r="H671" s="43">
        <f>_xlfn.XLOOKUP(A671,Class_Players!$A:$A,Class_Players!$F:$F,"")</f>
        <v>10631</v>
      </c>
      <c r="I671" s="44">
        <f t="shared" si="173"/>
        <v>6.1141943373153986E-3</v>
      </c>
      <c r="J671" s="43">
        <f t="shared" si="174"/>
        <v>0</v>
      </c>
      <c r="K671" s="44" cm="1">
        <f t="array" ref="K671">IF(D671="Gadget",_xlfn.IFS(I671&gt;=0.2,0.5,I671&gt;=0.1,0.35,I671&gt;=0.05,0.2,TRUE,0),IF(D671="Grenade",_xlfn.IFS(I671&gt;=0.2,1,I671&gt;=0.1,0.7,I671&gt;=0.05,0.4,TRUE,0),0))</f>
        <v>0</v>
      </c>
      <c r="L671" s="57">
        <f t="shared" si="181"/>
        <v>0</v>
      </c>
    </row>
    <row r="672" spans="1:12" ht="15" customHeight="1" x14ac:dyDescent="0.25">
      <c r="A672" s="42" t="str" cm="1">
        <f t="array" ref="A672">IFERROR(INDEX(_xlfn._xlws.FILTER(Class_Players!A:A,Class_Players!B:B="Support"),QUOTIENT(ROW()-ROW($A$2),9)+1),"")</f>
        <v>Enigmafication</v>
      </c>
      <c r="B672" s="42" t="str">
        <f>_xlfn.XLOOKUP(A672,Class_Players!$A:$A,Class_Players!$B:$B,"")</f>
        <v>Support</v>
      </c>
      <c r="C672" s="38" t="str" cm="1">
        <f t="array" ref="C672">INDEX(Lookups!$D$2:$D$10,MOD(ROW()-ROW($B$2),ROWS(Lookups!$D$2:$D$10))+1)</f>
        <v>SICH G1 WP (Incendiary Airburst Launcher)</v>
      </c>
      <c r="D672" s="38" t="str">
        <f>_xlfn.XLOOKUP(C672,Analysis_Gadgets!$C:$C,Analysis_Gadgets!$B:$B)</f>
        <v>Gadget</v>
      </c>
      <c r="E672" s="43">
        <v>47</v>
      </c>
      <c r="F672" s="43">
        <f>_xlfn.XLOOKUP(A672,Class_Players!A:A,Class_Players!G:G)</f>
        <v>161</v>
      </c>
      <c r="G672" s="43">
        <f t="shared" si="172"/>
        <v>0.29192546583850931</v>
      </c>
      <c r="H672" s="43">
        <f>_xlfn.XLOOKUP(A672,Class_Players!$A:$A,Class_Players!$F:$F,"")</f>
        <v>10631</v>
      </c>
      <c r="I672" s="44">
        <f t="shared" si="173"/>
        <v>4.4210328285203652E-3</v>
      </c>
      <c r="J672" s="43">
        <f t="shared" si="174"/>
        <v>0</v>
      </c>
      <c r="K672" s="44" cm="1">
        <f t="array" ref="K672">IF(D672="Gadget",_xlfn.IFS(I672&gt;=0.2,0.5,I672&gt;=0.1,0.35,I672&gt;=0.05,0.2,TRUE,0),IF(D672="Grenade",_xlfn.IFS(I672&gt;=0.2,1,I672&gt;=0.1,0.7,I672&gt;=0.05,0.4,TRUE,0),0))</f>
        <v>0</v>
      </c>
      <c r="L672" s="57">
        <f t="shared" si="181"/>
        <v>0</v>
      </c>
    </row>
    <row r="673" spans="1:12" ht="15" customHeight="1" x14ac:dyDescent="0.25">
      <c r="A673" s="42" t="str" cm="1">
        <f t="array" ref="A673">IFERROR(INDEX(_xlfn._xlws.FILTER(Class_Players!A:A,Class_Players!B:B="Support"),QUOTIENT(ROW()-ROW($A$2),9)+1),"")</f>
        <v>Enigmafication</v>
      </c>
      <c r="B673" s="42" t="str">
        <f>_xlfn.XLOOKUP(A673,Class_Players!$A:$A,Class_Players!$B:$B,"")</f>
        <v>Support</v>
      </c>
      <c r="C673" s="38" t="str" cm="1">
        <f t="array" ref="C673">INDEX(Lookups!$D$2:$D$10,MOD(ROW()-ROW($B$2),ROWS(Lookups!$D$2:$D$10))+1)</f>
        <v>Deployable Cover</v>
      </c>
      <c r="D673" s="38" t="str">
        <f>_xlfn.XLOOKUP(C673,Analysis_Gadgets!$C:$C,Analysis_Gadgets!$B:$B)</f>
        <v>Gadget</v>
      </c>
      <c r="E673" s="43">
        <v>1808</v>
      </c>
      <c r="F673" s="43">
        <f>_xlfn.XLOOKUP(A673,Class_Players!A:A,Class_Players!G:G)</f>
        <v>161</v>
      </c>
      <c r="G673" s="43">
        <f t="shared" si="172"/>
        <v>11.229813664596273</v>
      </c>
      <c r="H673" s="43">
        <f>_xlfn.XLOOKUP(A673,Class_Players!$A:$A,Class_Players!$F:$F,"")</f>
        <v>10631</v>
      </c>
      <c r="I673" s="44">
        <f t="shared" si="173"/>
        <v>0.17006866710563445</v>
      </c>
      <c r="J673" s="43">
        <f t="shared" si="174"/>
        <v>1</v>
      </c>
      <c r="K673" s="44" cm="1">
        <f t="array" ref="K673">IF(D673="Gadget",_xlfn.IFS(I673&gt;=0.2,0.5,I673&gt;=0.1,0.35,I673&gt;=0.05,0.2,TRUE,0),IF(D673="Grenade",_xlfn.IFS(I673&gt;=0.2,1,I673&gt;=0.1,0.7,I673&gt;=0.05,0.4,TRUE,0),0))</f>
        <v>0.35</v>
      </c>
      <c r="L673" s="57">
        <f t="shared" si="181"/>
        <v>1</v>
      </c>
    </row>
    <row r="674" spans="1:12" ht="15" customHeight="1" x14ac:dyDescent="0.25">
      <c r="A674" s="42" t="str" cm="1">
        <f t="array" ref="A674">IFERROR(INDEX(_xlfn._xlws.FILTER(Class_Players!A:A,Class_Players!B:B="Support"),QUOTIENT(ROW()-ROW($A$2),9)+1),"")</f>
        <v>Enigmafication</v>
      </c>
      <c r="B674" s="42" t="str">
        <f>_xlfn.XLOOKUP(A674,Class_Players!$A:$A,Class_Players!$B:$B,"")</f>
        <v>Support</v>
      </c>
      <c r="C674" s="38" t="str" cm="1">
        <f t="array" ref="C674">INDEX(Lookups!$D$2:$D$10,MOD(ROW()-ROW($B$2),ROWS(Lookups!$D$2:$D$10))+1)</f>
        <v>Supply Pouch</v>
      </c>
      <c r="D674" s="38" t="str">
        <f>_xlfn.XLOOKUP(C674,Analysis_Gadgets!$C:$C,Analysis_Gadgets!$B:$B)</f>
        <v>Gadget</v>
      </c>
      <c r="E674" s="43">
        <v>274</v>
      </c>
      <c r="F674" s="43">
        <f>_xlfn.XLOOKUP(A674,Class_Players!A:A,Class_Players!G:G)</f>
        <v>161</v>
      </c>
      <c r="G674" s="43">
        <f t="shared" si="172"/>
        <v>1.7018633540372672</v>
      </c>
      <c r="H674" s="43">
        <f>_xlfn.XLOOKUP(A674,Class_Players!$A:$A,Class_Players!$F:$F,"")</f>
        <v>10631</v>
      </c>
      <c r="I674" s="44">
        <f t="shared" si="173"/>
        <v>2.5773680744991066E-2</v>
      </c>
      <c r="J674" s="43">
        <f t="shared" si="174"/>
        <v>0</v>
      </c>
      <c r="K674" s="44" cm="1">
        <f t="array" ref="K674">IF(D674="Gadget",_xlfn.IFS(I674&gt;=0.2,0.5,I674&gt;=0.1,0.35,I674&gt;=0.05,0.2,TRUE,0),IF(D674="Grenade",_xlfn.IFS(I674&gt;=0.2,1,I674&gt;=0.1,0.7,I674&gt;=0.05,0.4,TRUE,0),0))</f>
        <v>0</v>
      </c>
      <c r="L674" s="57">
        <f t="shared" si="181"/>
        <v>0</v>
      </c>
    </row>
    <row r="675" spans="1:12" ht="15" customHeight="1" x14ac:dyDescent="0.25">
      <c r="A675" s="42" t="str" cm="1">
        <f t="array" ref="A675">IFERROR(INDEX(_xlfn._xlws.FILTER(Class_Players!A:A,Class_Players!B:B="Support"),QUOTIENT(ROW()-ROW($A$2),9)+1),"")</f>
        <v>Enigmafication</v>
      </c>
      <c r="B675" s="42" t="str">
        <f>_xlfn.XLOOKUP(A675,Class_Players!$A:$A,Class_Players!$B:$B,"")</f>
        <v>Support</v>
      </c>
      <c r="C675" s="38" t="str" cm="1">
        <f t="array" ref="C675">INDEX(Lookups!$D$2:$D$10,MOD(ROW()-ROW($B$2),ROWS(Lookups!$D$2:$D$10))+1)</f>
        <v>Smoke Grenade</v>
      </c>
      <c r="D675" s="38" t="str">
        <f>_xlfn.XLOOKUP(C675,Analysis_Gadgets!$C:$C,Analysis_Gadgets!$B:$B)</f>
        <v>Grenade</v>
      </c>
      <c r="E675" s="43">
        <v>2698</v>
      </c>
      <c r="F675" s="43">
        <f>_xlfn.XLOOKUP(A675,Class_Players!A:A,Class_Players!G:G)</f>
        <v>161</v>
      </c>
      <c r="G675" s="43">
        <f t="shared" si="172"/>
        <v>16.757763975155278</v>
      </c>
      <c r="H675" s="43">
        <f>_xlfn.XLOOKUP(A675,Class_Players!$A:$A,Class_Players!$F:$F,"")</f>
        <v>10631</v>
      </c>
      <c r="I675" s="44">
        <f t="shared" si="173"/>
        <v>0.25378609726272222</v>
      </c>
      <c r="J675" s="43">
        <f t="shared" si="174"/>
        <v>1</v>
      </c>
      <c r="K675" s="44" cm="1">
        <f t="array" ref="K675">IF(D675="Gadget",_xlfn.IFS(I675&gt;=0.2,0.5,I675&gt;=0.1,0.35,I675&gt;=0.05,0.2,TRUE,0),IF(D675="Grenade",_xlfn.IFS(I675&gt;=0.2,1,I675&gt;=0.1,0.7,I675&gt;=0.05,0.4,TRUE,0),0))</f>
        <v>1</v>
      </c>
      <c r="L675" s="57">
        <f t="shared" ref="L675:L676" si="182">IF($K675=0,0,$K675 / SUMIFS($K:$K,$A:$A,$A675,$D:$D,"Grenade"))</f>
        <v>1</v>
      </c>
    </row>
    <row r="676" spans="1:12" ht="15" customHeight="1" x14ac:dyDescent="0.25">
      <c r="A676" s="42" t="str" cm="1">
        <f t="array" ref="A676">IFERROR(INDEX(_xlfn._xlws.FILTER(Class_Players!A:A,Class_Players!B:B="Support"),QUOTIENT(ROW()-ROW($A$2),9)+1),"")</f>
        <v>Enigmafication</v>
      </c>
      <c r="B676" s="42" t="str">
        <f>_xlfn.XLOOKUP(A676,Class_Players!$A:$A,Class_Players!$B:$B,"")</f>
        <v>Support</v>
      </c>
      <c r="C676" s="38" t="str" cm="1">
        <f t="array" ref="C676">INDEX(Lookups!$D$2:$D$10,MOD(ROW()-ROW($B$2),ROWS(Lookups!$D$2:$D$10))+1)</f>
        <v>Incendiary Grenade</v>
      </c>
      <c r="D676" s="38" t="str">
        <f>_xlfn.XLOOKUP(C676,Analysis_Gadgets!$C:$C,Analysis_Gadgets!$B:$B)</f>
        <v>Grenade</v>
      </c>
      <c r="E676" s="43">
        <v>67</v>
      </c>
      <c r="F676" s="43">
        <f>_xlfn.XLOOKUP(A676,Class_Players!A:A,Class_Players!G:G)</f>
        <v>161</v>
      </c>
      <c r="G676" s="43">
        <f t="shared" si="172"/>
        <v>0.41614906832298137</v>
      </c>
      <c r="H676" s="43">
        <f>_xlfn.XLOOKUP(A676,Class_Players!$A:$A,Class_Players!$F:$F,"")</f>
        <v>10631</v>
      </c>
      <c r="I676" s="44">
        <f t="shared" si="173"/>
        <v>6.3023233938481801E-3</v>
      </c>
      <c r="J676" s="43">
        <f t="shared" si="174"/>
        <v>0</v>
      </c>
      <c r="K676" s="44" cm="1">
        <f t="array" ref="K676">IF(D676="Gadget",_xlfn.IFS(I676&gt;=0.2,0.5,I676&gt;=0.1,0.35,I676&gt;=0.05,0.2,TRUE,0),IF(D676="Grenade",_xlfn.IFS(I676&gt;=0.2,1,I676&gt;=0.1,0.7,I676&gt;=0.05,0.4,TRUE,0),0))</f>
        <v>0</v>
      </c>
      <c r="L676" s="57">
        <f t="shared" si="182"/>
        <v>0</v>
      </c>
    </row>
    <row r="677" spans="1:12" ht="15" customHeight="1" x14ac:dyDescent="0.25">
      <c r="A677" s="42" t="str" cm="1">
        <f t="array" ref="A677">IFERROR(INDEX(_xlfn._xlws.FILTER(Class_Players!A:A,Class_Players!B:B="Support"),QUOTIENT(ROW()-ROW($A$2),9)+1),"")</f>
        <v>baLzaN</v>
      </c>
      <c r="B677" s="42" t="str">
        <f>_xlfn.XLOOKUP(A677,Class_Players!$A:$A,Class_Players!$B:$B,"")</f>
        <v>Support</v>
      </c>
      <c r="C677" s="38" t="str" cm="1">
        <f t="array" ref="C677">INDEX(Lookups!$D$2:$D$10,MOD(ROW()-ROW($B$2),ROWS(Lookups!$D$2:$D$10))+1)</f>
        <v>GPDIS (Grenade intercept system)</v>
      </c>
      <c r="D677" s="38" t="str">
        <f>_xlfn.XLOOKUP(C677,Analysis_Gadgets!$C:$C,Analysis_Gadgets!$B:$B)</f>
        <v>Gadget</v>
      </c>
      <c r="E677" s="43">
        <v>99</v>
      </c>
      <c r="F677" s="43">
        <f>_xlfn.XLOOKUP(A677,Class_Players!A:A,Class_Players!G:G)</f>
        <v>176</v>
      </c>
      <c r="G677" s="43">
        <f t="shared" si="172"/>
        <v>0.5625</v>
      </c>
      <c r="H677" s="43">
        <f>_xlfn.XLOOKUP(A677,Class_Players!$A:$A,Class_Players!$F:$F,"")</f>
        <v>10223</v>
      </c>
      <c r="I677" s="44">
        <f t="shared" si="173"/>
        <v>9.6840457791255007E-3</v>
      </c>
      <c r="J677" s="43">
        <f t="shared" si="174"/>
        <v>0</v>
      </c>
      <c r="K677" s="44" cm="1">
        <f t="array" ref="K677">IF(D677="Gadget",_xlfn.IFS(I677&gt;=0.2,0.5,I677&gt;=0.1,0.35,I677&gt;=0.05,0.2,TRUE,0),IF(D677="Grenade",_xlfn.IFS(I677&gt;=0.2,1,I677&gt;=0.1,0.7,I677&gt;=0.05,0.4,TRUE,0),0))</f>
        <v>0</v>
      </c>
      <c r="L677" s="57">
        <f t="shared" ref="L677:L683" si="183">IF($K677=0,0,$K677 / SUMIFS($K:$K,$A:$A,$A677,$D:$D,"Gadget"))</f>
        <v>0</v>
      </c>
    </row>
    <row r="678" spans="1:12" ht="15" customHeight="1" x14ac:dyDescent="0.25">
      <c r="A678" s="42" t="str" cm="1">
        <f t="array" ref="A678">IFERROR(INDEX(_xlfn._xlws.FILTER(Class_Players!A:A,Class_Players!B:B="Support"),QUOTIENT(ROW()-ROW($A$2),9)+1),"")</f>
        <v>baLzaN</v>
      </c>
      <c r="B678" s="42" t="str">
        <f>_xlfn.XLOOKUP(A678,Class_Players!$A:$A,Class_Players!$B:$B,"")</f>
        <v>Support</v>
      </c>
      <c r="C678" s="38" t="str" cm="1">
        <f t="array" ref="C678">INDEX(Lookups!$D$2:$D$10,MOD(ROW()-ROW($B$2),ROWS(Lookups!$D$2:$D$10))+1)</f>
        <v>MP-APS (Missile intercept system)</v>
      </c>
      <c r="D678" s="38" t="str">
        <f>_xlfn.XLOOKUP(C678,Analysis_Gadgets!$C:$C,Analysis_Gadgets!$B:$B)</f>
        <v>Gadget</v>
      </c>
      <c r="E678" s="43">
        <v>0</v>
      </c>
      <c r="F678" s="43">
        <f>_xlfn.XLOOKUP(A678,Class_Players!A:A,Class_Players!G:G)</f>
        <v>176</v>
      </c>
      <c r="G678" s="43">
        <f t="shared" si="172"/>
        <v>0</v>
      </c>
      <c r="H678" s="43">
        <f>_xlfn.XLOOKUP(A678,Class_Players!$A:$A,Class_Players!$F:$F,"")</f>
        <v>10223</v>
      </c>
      <c r="I678" s="44">
        <f t="shared" si="173"/>
        <v>0</v>
      </c>
      <c r="J678" s="43">
        <f t="shared" si="174"/>
        <v>0</v>
      </c>
      <c r="K678" s="44" cm="1">
        <f t="array" ref="K678">IF(D678="Gadget",_xlfn.IFS(I678&gt;=0.2,0.5,I678&gt;=0.1,0.35,I678&gt;=0.05,0.2,TRUE,0),IF(D678="Grenade",_xlfn.IFS(I678&gt;=0.2,1,I678&gt;=0.1,0.7,I678&gt;=0.05,0.4,TRUE,0),0))</f>
        <v>0</v>
      </c>
      <c r="L678" s="57">
        <f t="shared" si="183"/>
        <v>0</v>
      </c>
    </row>
    <row r="679" spans="1:12" ht="15" customHeight="1" x14ac:dyDescent="0.25">
      <c r="A679" s="42" t="str" cm="1">
        <f t="array" ref="A679">IFERROR(INDEX(_xlfn._xlws.FILTER(Class_Players!A:A,Class_Players!B:B="Support"),QUOTIENT(ROW()-ROW($A$2),9)+1),"")</f>
        <v>baLzaN</v>
      </c>
      <c r="B679" s="42" t="str">
        <f>_xlfn.XLOOKUP(A679,Class_Players!$A:$A,Class_Players!$B:$B,"")</f>
        <v>Support</v>
      </c>
      <c r="C679" s="38" t="str" cm="1">
        <f t="array" ref="C679">INDEX(Lookups!$D$2:$D$10,MOD(ROW()-ROW($B$2),ROWS(Lookups!$D$2:$D$10))+1)</f>
        <v>LWCMS (Mortar)</v>
      </c>
      <c r="D679" s="38" t="str">
        <f>_xlfn.XLOOKUP(C679,Analysis_Gadgets!$C:$C,Analysis_Gadgets!$B:$B)</f>
        <v>Gadget</v>
      </c>
      <c r="E679" s="43">
        <v>0</v>
      </c>
      <c r="F679" s="43">
        <f>_xlfn.XLOOKUP(A679,Class_Players!A:A,Class_Players!G:G)</f>
        <v>176</v>
      </c>
      <c r="G679" s="43">
        <f t="shared" si="172"/>
        <v>0</v>
      </c>
      <c r="H679" s="43">
        <f>_xlfn.XLOOKUP(A679,Class_Players!$A:$A,Class_Players!$F:$F,"")</f>
        <v>10223</v>
      </c>
      <c r="I679" s="44">
        <f t="shared" si="173"/>
        <v>0</v>
      </c>
      <c r="J679" s="43">
        <f t="shared" si="174"/>
        <v>0</v>
      </c>
      <c r="K679" s="44" cm="1">
        <f t="array" ref="K679">IF(D679="Gadget",_xlfn.IFS(I679&gt;=0.2,0.5,I679&gt;=0.1,0.35,I679&gt;=0.05,0.2,TRUE,0),IF(D679="Grenade",_xlfn.IFS(I679&gt;=0.2,1,I679&gt;=0.1,0.7,I679&gt;=0.05,0.4,TRUE,0),0))</f>
        <v>0</v>
      </c>
      <c r="L679" s="57">
        <f t="shared" si="183"/>
        <v>0</v>
      </c>
    </row>
    <row r="680" spans="1:12" ht="15" customHeight="1" x14ac:dyDescent="0.25">
      <c r="A680" s="42" t="str" cm="1">
        <f t="array" ref="A680">IFERROR(INDEX(_xlfn._xlws.FILTER(Class_Players!A:A,Class_Players!B:B="Support"),QUOTIENT(ROW()-ROW($A$2),9)+1),"")</f>
        <v>baLzaN</v>
      </c>
      <c r="B680" s="42" t="str">
        <f>_xlfn.XLOOKUP(A680,Class_Players!$A:$A,Class_Players!$B:$B,"")</f>
        <v>Support</v>
      </c>
      <c r="C680" s="38" t="str" cm="1">
        <f t="array" ref="C680">INDEX(Lookups!$D$2:$D$10,MOD(ROW()-ROW($B$2),ROWS(Lookups!$D$2:$D$10))+1)</f>
        <v>M320A1 SMK (Smoke Grenade Launcher)</v>
      </c>
      <c r="D680" s="38" t="str">
        <f>_xlfn.XLOOKUP(C680,Analysis_Gadgets!$C:$C,Analysis_Gadgets!$B:$B)</f>
        <v>Gadget</v>
      </c>
      <c r="E680" s="43">
        <v>84</v>
      </c>
      <c r="F680" s="43">
        <f>_xlfn.XLOOKUP(A680,Class_Players!A:A,Class_Players!G:G)</f>
        <v>176</v>
      </c>
      <c r="G680" s="43">
        <f t="shared" si="172"/>
        <v>0.47727272727272729</v>
      </c>
      <c r="H680" s="43">
        <f>_xlfn.XLOOKUP(A680,Class_Players!$A:$A,Class_Players!$F:$F,"")</f>
        <v>10223</v>
      </c>
      <c r="I680" s="44">
        <f t="shared" si="173"/>
        <v>8.2167661156216376E-3</v>
      </c>
      <c r="J680" s="43">
        <f t="shared" si="174"/>
        <v>0</v>
      </c>
      <c r="K680" s="44" cm="1">
        <f t="array" ref="K680">IF(D680="Gadget",_xlfn.IFS(I680&gt;=0.2,0.5,I680&gt;=0.1,0.35,I680&gt;=0.05,0.2,TRUE,0),IF(D680="Grenade",_xlfn.IFS(I680&gt;=0.2,1,I680&gt;=0.1,0.7,I680&gt;=0.05,0.4,TRUE,0),0))</f>
        <v>0</v>
      </c>
      <c r="L680" s="57">
        <f t="shared" si="183"/>
        <v>0</v>
      </c>
    </row>
    <row r="681" spans="1:12" ht="15" customHeight="1" x14ac:dyDescent="0.25">
      <c r="A681" s="42" t="str" cm="1">
        <f t="array" ref="A681">IFERROR(INDEX(_xlfn._xlws.FILTER(Class_Players!A:A,Class_Players!B:B="Support"),QUOTIENT(ROW()-ROW($A$2),9)+1),"")</f>
        <v>baLzaN</v>
      </c>
      <c r="B681" s="42" t="str">
        <f>_xlfn.XLOOKUP(A681,Class_Players!$A:$A,Class_Players!$B:$B,"")</f>
        <v>Support</v>
      </c>
      <c r="C681" s="38" t="str" cm="1">
        <f t="array" ref="C681">INDEX(Lookups!$D$2:$D$10,MOD(ROW()-ROW($B$2),ROWS(Lookups!$D$2:$D$10))+1)</f>
        <v>SICH G1 WP (Incendiary Airburst Launcher)</v>
      </c>
      <c r="D681" s="38" t="str">
        <f>_xlfn.XLOOKUP(C681,Analysis_Gadgets!$C:$C,Analysis_Gadgets!$B:$B)</f>
        <v>Gadget</v>
      </c>
      <c r="E681" s="43">
        <v>892</v>
      </c>
      <c r="F681" s="43">
        <f>_xlfn.XLOOKUP(A681,Class_Players!A:A,Class_Players!G:G)</f>
        <v>176</v>
      </c>
      <c r="G681" s="43">
        <f t="shared" si="172"/>
        <v>5.0681818181818183</v>
      </c>
      <c r="H681" s="43">
        <f>_xlfn.XLOOKUP(A681,Class_Players!$A:$A,Class_Players!$F:$F,"")</f>
        <v>10223</v>
      </c>
      <c r="I681" s="44">
        <f t="shared" si="173"/>
        <v>8.7254230656363105E-2</v>
      </c>
      <c r="J681" s="43">
        <f t="shared" si="174"/>
        <v>0</v>
      </c>
      <c r="K681" s="44" cm="1">
        <f t="array" ref="K681">IF(D681="Gadget",_xlfn.IFS(I681&gt;=0.2,0.5,I681&gt;=0.1,0.35,I681&gt;=0.05,0.2,TRUE,0),IF(D681="Grenade",_xlfn.IFS(I681&gt;=0.2,1,I681&gt;=0.1,0.7,I681&gt;=0.05,0.4,TRUE,0),0))</f>
        <v>0.2</v>
      </c>
      <c r="L681" s="57">
        <f t="shared" si="183"/>
        <v>1</v>
      </c>
    </row>
    <row r="682" spans="1:12" ht="15" customHeight="1" x14ac:dyDescent="0.25">
      <c r="A682" s="42" t="str" cm="1">
        <f t="array" ref="A682">IFERROR(INDEX(_xlfn._xlws.FILTER(Class_Players!A:A,Class_Players!B:B="Support"),QUOTIENT(ROW()-ROW($A$2),9)+1),"")</f>
        <v>baLzaN</v>
      </c>
      <c r="B682" s="42" t="str">
        <f>_xlfn.XLOOKUP(A682,Class_Players!$A:$A,Class_Players!$B:$B,"")</f>
        <v>Support</v>
      </c>
      <c r="C682" s="38" t="str" cm="1">
        <f t="array" ref="C682">INDEX(Lookups!$D$2:$D$10,MOD(ROW()-ROW($B$2),ROWS(Lookups!$D$2:$D$10))+1)</f>
        <v>Deployable Cover</v>
      </c>
      <c r="D682" s="38" t="str">
        <f>_xlfn.XLOOKUP(C682,Analysis_Gadgets!$C:$C,Analysis_Gadgets!$B:$B)</f>
        <v>Gadget</v>
      </c>
      <c r="E682" s="43">
        <v>311</v>
      </c>
      <c r="F682" s="43">
        <f>_xlfn.XLOOKUP(A682,Class_Players!A:A,Class_Players!G:G)</f>
        <v>176</v>
      </c>
      <c r="G682" s="43">
        <f t="shared" si="172"/>
        <v>1.7670454545454546</v>
      </c>
      <c r="H682" s="43">
        <f>_xlfn.XLOOKUP(A682,Class_Players!$A:$A,Class_Players!$F:$F,"")</f>
        <v>10223</v>
      </c>
      <c r="I682" s="44">
        <f t="shared" si="173"/>
        <v>3.0421598356646776E-2</v>
      </c>
      <c r="J682" s="43">
        <f t="shared" si="174"/>
        <v>0</v>
      </c>
      <c r="K682" s="44" cm="1">
        <f t="array" ref="K682">IF(D682="Gadget",_xlfn.IFS(I682&gt;=0.2,0.5,I682&gt;=0.1,0.35,I682&gt;=0.05,0.2,TRUE,0),IF(D682="Grenade",_xlfn.IFS(I682&gt;=0.2,1,I682&gt;=0.1,0.7,I682&gt;=0.05,0.4,TRUE,0),0))</f>
        <v>0</v>
      </c>
      <c r="L682" s="57">
        <f t="shared" si="183"/>
        <v>0</v>
      </c>
    </row>
    <row r="683" spans="1:12" ht="15" customHeight="1" x14ac:dyDescent="0.25">
      <c r="A683" s="42" t="str" cm="1">
        <f t="array" ref="A683">IFERROR(INDEX(_xlfn._xlws.FILTER(Class_Players!A:A,Class_Players!B:B="Support"),QUOTIENT(ROW()-ROW($A$2),9)+1),"")</f>
        <v>baLzaN</v>
      </c>
      <c r="B683" s="42" t="str">
        <f>_xlfn.XLOOKUP(A683,Class_Players!$A:$A,Class_Players!$B:$B,"")</f>
        <v>Support</v>
      </c>
      <c r="C683" s="38" t="str" cm="1">
        <f t="array" ref="C683">INDEX(Lookups!$D$2:$D$10,MOD(ROW()-ROW($B$2),ROWS(Lookups!$D$2:$D$10))+1)</f>
        <v>Supply Pouch</v>
      </c>
      <c r="D683" s="38" t="str">
        <f>_xlfn.XLOOKUP(C683,Analysis_Gadgets!$C:$C,Analysis_Gadgets!$B:$B)</f>
        <v>Gadget</v>
      </c>
      <c r="E683" s="43">
        <v>17</v>
      </c>
      <c r="F683" s="43">
        <f>_xlfn.XLOOKUP(A683,Class_Players!A:A,Class_Players!G:G)</f>
        <v>176</v>
      </c>
      <c r="G683" s="43">
        <f t="shared" si="172"/>
        <v>9.6590909090909088E-2</v>
      </c>
      <c r="H683" s="43">
        <f>_xlfn.XLOOKUP(A683,Class_Players!$A:$A,Class_Players!$F:$F,"")</f>
        <v>10223</v>
      </c>
      <c r="I683" s="44">
        <f t="shared" si="173"/>
        <v>1.6629169519710458E-3</v>
      </c>
      <c r="J683" s="43">
        <f t="shared" si="174"/>
        <v>0</v>
      </c>
      <c r="K683" s="44" cm="1">
        <f t="array" ref="K683">IF(D683="Gadget",_xlfn.IFS(I683&gt;=0.2,0.5,I683&gt;=0.1,0.35,I683&gt;=0.05,0.2,TRUE,0),IF(D683="Grenade",_xlfn.IFS(I683&gt;=0.2,1,I683&gt;=0.1,0.7,I683&gt;=0.05,0.4,TRUE,0),0))</f>
        <v>0</v>
      </c>
      <c r="L683" s="57">
        <f t="shared" si="183"/>
        <v>0</v>
      </c>
    </row>
    <row r="684" spans="1:12" ht="15" customHeight="1" x14ac:dyDescent="0.25">
      <c r="A684" s="42" t="str" cm="1">
        <f t="array" ref="A684">IFERROR(INDEX(_xlfn._xlws.FILTER(Class_Players!A:A,Class_Players!B:B="Support"),QUOTIENT(ROW()-ROW($A$2),9)+1),"")</f>
        <v>baLzaN</v>
      </c>
      <c r="B684" s="42" t="str">
        <f>_xlfn.XLOOKUP(A684,Class_Players!$A:$A,Class_Players!$B:$B,"")</f>
        <v>Support</v>
      </c>
      <c r="C684" s="38" t="str" cm="1">
        <f t="array" ref="C684">INDEX(Lookups!$D$2:$D$10,MOD(ROW()-ROW($B$2),ROWS(Lookups!$D$2:$D$10))+1)</f>
        <v>Smoke Grenade</v>
      </c>
      <c r="D684" s="38" t="str">
        <f>_xlfn.XLOOKUP(C684,Analysis_Gadgets!$C:$C,Analysis_Gadgets!$B:$B)</f>
        <v>Grenade</v>
      </c>
      <c r="E684" s="43">
        <v>214</v>
      </c>
      <c r="F684" s="43">
        <f>_xlfn.XLOOKUP(A684,Class_Players!A:A,Class_Players!G:G)</f>
        <v>176</v>
      </c>
      <c r="G684" s="43">
        <f t="shared" si="172"/>
        <v>1.2159090909090908</v>
      </c>
      <c r="H684" s="43">
        <f>_xlfn.XLOOKUP(A684,Class_Players!$A:$A,Class_Players!$F:$F,"")</f>
        <v>10223</v>
      </c>
      <c r="I684" s="44">
        <f t="shared" si="173"/>
        <v>2.0933189865988456E-2</v>
      </c>
      <c r="J684" s="43">
        <f t="shared" si="174"/>
        <v>0</v>
      </c>
      <c r="K684" s="44" cm="1">
        <f t="array" ref="K684">IF(D684="Gadget",_xlfn.IFS(I684&gt;=0.2,0.5,I684&gt;=0.1,0.35,I684&gt;=0.05,0.2,TRUE,0),IF(D684="Grenade",_xlfn.IFS(I684&gt;=0.2,1,I684&gt;=0.1,0.7,I684&gt;=0.05,0.4,TRUE,0),0))</f>
        <v>0</v>
      </c>
      <c r="L684" s="57">
        <f t="shared" ref="L684:L685" si="184">IF($K684=0,0,$K684 / SUMIFS($K:$K,$A:$A,$A684,$D:$D,"Grenade"))</f>
        <v>0</v>
      </c>
    </row>
    <row r="685" spans="1:12" ht="15" customHeight="1" x14ac:dyDescent="0.25">
      <c r="A685" s="42" t="str" cm="1">
        <f t="array" ref="A685">IFERROR(INDEX(_xlfn._xlws.FILTER(Class_Players!A:A,Class_Players!B:B="Support"),QUOTIENT(ROW()-ROW($A$2),9)+1),"")</f>
        <v>baLzaN</v>
      </c>
      <c r="B685" s="42" t="str">
        <f>_xlfn.XLOOKUP(A685,Class_Players!$A:$A,Class_Players!$B:$B,"")</f>
        <v>Support</v>
      </c>
      <c r="C685" s="38" t="str" cm="1">
        <f t="array" ref="C685">INDEX(Lookups!$D$2:$D$10,MOD(ROW()-ROW($B$2),ROWS(Lookups!$D$2:$D$10))+1)</f>
        <v>Incendiary Grenade</v>
      </c>
      <c r="D685" s="38" t="str">
        <f>_xlfn.XLOOKUP(C685,Analysis_Gadgets!$C:$C,Analysis_Gadgets!$B:$B)</f>
        <v>Grenade</v>
      </c>
      <c r="E685" s="43">
        <v>1</v>
      </c>
      <c r="F685" s="43">
        <f>_xlfn.XLOOKUP(A685,Class_Players!A:A,Class_Players!G:G)</f>
        <v>176</v>
      </c>
      <c r="G685" s="43">
        <f t="shared" si="172"/>
        <v>5.681818181818182E-3</v>
      </c>
      <c r="H685" s="43">
        <f>_xlfn.XLOOKUP(A685,Class_Players!$A:$A,Class_Players!$F:$F,"")</f>
        <v>10223</v>
      </c>
      <c r="I685" s="44">
        <f t="shared" si="173"/>
        <v>9.7818644233590917E-5</v>
      </c>
      <c r="J685" s="43">
        <f t="shared" si="174"/>
        <v>0</v>
      </c>
      <c r="K685" s="44" cm="1">
        <f t="array" ref="K685">IF(D685="Gadget",_xlfn.IFS(I685&gt;=0.2,0.5,I685&gt;=0.1,0.35,I685&gt;=0.05,0.2,TRUE,0),IF(D685="Grenade",_xlfn.IFS(I685&gt;=0.2,1,I685&gt;=0.1,0.7,I685&gt;=0.05,0.4,TRUE,0),0))</f>
        <v>0</v>
      </c>
      <c r="L685" s="57">
        <f t="shared" si="184"/>
        <v>0</v>
      </c>
    </row>
    <row r="686" spans="1:12" ht="15" customHeight="1" x14ac:dyDescent="0.25">
      <c r="A686" s="42" t="str" cm="1">
        <f t="array" ref="A686">IFERROR(INDEX(_xlfn._xlws.FILTER(Class_Players!A:A,Class_Players!B:B="Support"),QUOTIENT(ROW()-ROW($A$2),9)+1),"")</f>
        <v>Markkkkkkk</v>
      </c>
      <c r="B686" s="42" t="str">
        <f>_xlfn.XLOOKUP(A686,Class_Players!$A:$A,Class_Players!$B:$B,"")</f>
        <v>Support</v>
      </c>
      <c r="C686" s="38" t="str" cm="1">
        <f t="array" ref="C686">INDEX(Lookups!$D$2:$D$10,MOD(ROW()-ROW($B$2),ROWS(Lookups!$D$2:$D$10))+1)</f>
        <v>GPDIS (Grenade intercept system)</v>
      </c>
      <c r="D686" s="38" t="str">
        <f>_xlfn.XLOOKUP(C686,Analysis_Gadgets!$C:$C,Analysis_Gadgets!$B:$B)</f>
        <v>Gadget</v>
      </c>
      <c r="E686" s="43">
        <v>123</v>
      </c>
      <c r="F686" s="43">
        <f>_xlfn.XLOOKUP(A686,Class_Players!A:A,Class_Players!G:G)</f>
        <v>141</v>
      </c>
      <c r="G686" s="43">
        <f t="shared" si="172"/>
        <v>0.87234042553191493</v>
      </c>
      <c r="H686" s="43">
        <f>_xlfn.XLOOKUP(A686,Class_Players!$A:$A,Class_Players!$F:$F,"")</f>
        <v>10268</v>
      </c>
      <c r="I686" s="44">
        <f t="shared" si="173"/>
        <v>1.1978963770938839E-2</v>
      </c>
      <c r="J686" s="43">
        <f t="shared" si="174"/>
        <v>0</v>
      </c>
      <c r="K686" s="44" cm="1">
        <f t="array" ref="K686">IF(D686="Gadget",_xlfn.IFS(I686&gt;=0.2,0.5,I686&gt;=0.1,0.35,I686&gt;=0.05,0.2,TRUE,0),IF(D686="Grenade",_xlfn.IFS(I686&gt;=0.2,1,I686&gt;=0.1,0.7,I686&gt;=0.05,0.4,TRUE,0),0))</f>
        <v>0</v>
      </c>
      <c r="L686" s="57">
        <f t="shared" ref="L686:L692" si="185">IF($K686=0,0,$K686 / SUMIFS($K:$K,$A:$A,$A686,$D:$D,"Gadget"))</f>
        <v>0</v>
      </c>
    </row>
    <row r="687" spans="1:12" ht="15" customHeight="1" x14ac:dyDescent="0.25">
      <c r="A687" s="42" t="str" cm="1">
        <f t="array" ref="A687">IFERROR(INDEX(_xlfn._xlws.FILTER(Class_Players!A:A,Class_Players!B:B="Support"),QUOTIENT(ROW()-ROW($A$2),9)+1),"")</f>
        <v>Markkkkkkk</v>
      </c>
      <c r="B687" s="42" t="str">
        <f>_xlfn.XLOOKUP(A687,Class_Players!$A:$A,Class_Players!$B:$B,"")</f>
        <v>Support</v>
      </c>
      <c r="C687" s="38" t="str" cm="1">
        <f t="array" ref="C687">INDEX(Lookups!$D$2:$D$10,MOD(ROW()-ROW($B$2),ROWS(Lookups!$D$2:$D$10))+1)</f>
        <v>MP-APS (Missile intercept system)</v>
      </c>
      <c r="D687" s="38" t="str">
        <f>_xlfn.XLOOKUP(C687,Analysis_Gadgets!$C:$C,Analysis_Gadgets!$B:$B)</f>
        <v>Gadget</v>
      </c>
      <c r="E687" s="43">
        <v>0</v>
      </c>
      <c r="F687" s="43">
        <f>_xlfn.XLOOKUP(A687,Class_Players!A:A,Class_Players!G:G)</f>
        <v>141</v>
      </c>
      <c r="G687" s="43">
        <f t="shared" si="172"/>
        <v>0</v>
      </c>
      <c r="H687" s="43">
        <f>_xlfn.XLOOKUP(A687,Class_Players!$A:$A,Class_Players!$F:$F,"")</f>
        <v>10268</v>
      </c>
      <c r="I687" s="44">
        <f t="shared" si="173"/>
        <v>0</v>
      </c>
      <c r="J687" s="43">
        <f t="shared" si="174"/>
        <v>0</v>
      </c>
      <c r="K687" s="44" cm="1">
        <f t="array" ref="K687">IF(D687="Gadget",_xlfn.IFS(I687&gt;=0.2,0.5,I687&gt;=0.1,0.35,I687&gt;=0.05,0.2,TRUE,0),IF(D687="Grenade",_xlfn.IFS(I687&gt;=0.2,1,I687&gt;=0.1,0.7,I687&gt;=0.05,0.4,TRUE,0),0))</f>
        <v>0</v>
      </c>
      <c r="L687" s="57">
        <f t="shared" si="185"/>
        <v>0</v>
      </c>
    </row>
    <row r="688" spans="1:12" ht="15" customHeight="1" x14ac:dyDescent="0.25">
      <c r="A688" s="42" t="str" cm="1">
        <f t="array" ref="A688">IFERROR(INDEX(_xlfn._xlws.FILTER(Class_Players!A:A,Class_Players!B:B="Support"),QUOTIENT(ROW()-ROW($A$2),9)+1),"")</f>
        <v>Markkkkkkk</v>
      </c>
      <c r="B688" s="42" t="str">
        <f>_xlfn.XLOOKUP(A688,Class_Players!$A:$A,Class_Players!$B:$B,"")</f>
        <v>Support</v>
      </c>
      <c r="C688" s="38" t="str" cm="1">
        <f t="array" ref="C688">INDEX(Lookups!$D$2:$D$10,MOD(ROW()-ROW($B$2),ROWS(Lookups!$D$2:$D$10))+1)</f>
        <v>LWCMS (Mortar)</v>
      </c>
      <c r="D688" s="38" t="str">
        <f>_xlfn.XLOOKUP(C688,Analysis_Gadgets!$C:$C,Analysis_Gadgets!$B:$B)</f>
        <v>Gadget</v>
      </c>
      <c r="E688" s="43">
        <v>0</v>
      </c>
      <c r="F688" s="43">
        <f>_xlfn.XLOOKUP(A688,Class_Players!A:A,Class_Players!G:G)</f>
        <v>141</v>
      </c>
      <c r="G688" s="43">
        <f t="shared" si="172"/>
        <v>0</v>
      </c>
      <c r="H688" s="43">
        <f>_xlfn.XLOOKUP(A688,Class_Players!$A:$A,Class_Players!$F:$F,"")</f>
        <v>10268</v>
      </c>
      <c r="I688" s="44">
        <f t="shared" si="173"/>
        <v>0</v>
      </c>
      <c r="J688" s="43">
        <f t="shared" si="174"/>
        <v>0</v>
      </c>
      <c r="K688" s="44" cm="1">
        <f t="array" ref="K688">IF(D688="Gadget",_xlfn.IFS(I688&gt;=0.2,0.5,I688&gt;=0.1,0.35,I688&gt;=0.05,0.2,TRUE,0),IF(D688="Grenade",_xlfn.IFS(I688&gt;=0.2,1,I688&gt;=0.1,0.7,I688&gt;=0.05,0.4,TRUE,0),0))</f>
        <v>0</v>
      </c>
      <c r="L688" s="57">
        <f t="shared" si="185"/>
        <v>0</v>
      </c>
    </row>
    <row r="689" spans="1:12" ht="15" customHeight="1" x14ac:dyDescent="0.25">
      <c r="A689" s="42" t="str" cm="1">
        <f t="array" ref="A689">IFERROR(INDEX(_xlfn._xlws.FILTER(Class_Players!A:A,Class_Players!B:B="Support"),QUOTIENT(ROW()-ROW($A$2),9)+1),"")</f>
        <v>Markkkkkkk</v>
      </c>
      <c r="B689" s="42" t="str">
        <f>_xlfn.XLOOKUP(A689,Class_Players!$A:$A,Class_Players!$B:$B,"")</f>
        <v>Support</v>
      </c>
      <c r="C689" s="38" t="str" cm="1">
        <f t="array" ref="C689">INDEX(Lookups!$D$2:$D$10,MOD(ROW()-ROW($B$2),ROWS(Lookups!$D$2:$D$10))+1)</f>
        <v>M320A1 SMK (Smoke Grenade Launcher)</v>
      </c>
      <c r="D689" s="38" t="str">
        <f>_xlfn.XLOOKUP(C689,Analysis_Gadgets!$C:$C,Analysis_Gadgets!$B:$B)</f>
        <v>Gadget</v>
      </c>
      <c r="E689" s="43">
        <v>924</v>
      </c>
      <c r="F689" s="43">
        <f>_xlfn.XLOOKUP(A689,Class_Players!A:A,Class_Players!G:G)</f>
        <v>141</v>
      </c>
      <c r="G689" s="43">
        <f t="shared" si="172"/>
        <v>6.5531914893617023</v>
      </c>
      <c r="H689" s="43">
        <f>_xlfn.XLOOKUP(A689,Class_Players!$A:$A,Class_Players!$F:$F,"")</f>
        <v>10268</v>
      </c>
      <c r="I689" s="44">
        <f t="shared" si="173"/>
        <v>8.9988313206077128E-2</v>
      </c>
      <c r="J689" s="43">
        <f t="shared" si="174"/>
        <v>0</v>
      </c>
      <c r="K689" s="44" cm="1">
        <f t="array" ref="K689">IF(D689="Gadget",_xlfn.IFS(I689&gt;=0.2,0.5,I689&gt;=0.1,0.35,I689&gt;=0.05,0.2,TRUE,0),IF(D689="Grenade",_xlfn.IFS(I689&gt;=0.2,1,I689&gt;=0.1,0.7,I689&gt;=0.05,0.4,TRUE,0),0))</f>
        <v>0.2</v>
      </c>
      <c r="L689" s="57">
        <f t="shared" si="185"/>
        <v>0.28571428571428575</v>
      </c>
    </row>
    <row r="690" spans="1:12" ht="15" customHeight="1" x14ac:dyDescent="0.25">
      <c r="A690" s="42" t="str" cm="1">
        <f t="array" ref="A690">IFERROR(INDEX(_xlfn._xlws.FILTER(Class_Players!A:A,Class_Players!B:B="Support"),QUOTIENT(ROW()-ROW($A$2),9)+1),"")</f>
        <v>Markkkkkkk</v>
      </c>
      <c r="B690" s="42" t="str">
        <f>_xlfn.XLOOKUP(A690,Class_Players!$A:$A,Class_Players!$B:$B,"")</f>
        <v>Support</v>
      </c>
      <c r="C690" s="38" t="str" cm="1">
        <f t="array" ref="C690">INDEX(Lookups!$D$2:$D$10,MOD(ROW()-ROW($B$2),ROWS(Lookups!$D$2:$D$10))+1)</f>
        <v>SICH G1 WP (Incendiary Airburst Launcher)</v>
      </c>
      <c r="D690" s="38" t="str">
        <f>_xlfn.XLOOKUP(C690,Analysis_Gadgets!$C:$C,Analysis_Gadgets!$B:$B)</f>
        <v>Gadget</v>
      </c>
      <c r="E690" s="43">
        <v>2</v>
      </c>
      <c r="F690" s="43">
        <f>_xlfn.XLOOKUP(A690,Class_Players!A:A,Class_Players!G:G)</f>
        <v>141</v>
      </c>
      <c r="G690" s="43">
        <f t="shared" si="172"/>
        <v>1.4184397163120567E-2</v>
      </c>
      <c r="H690" s="43">
        <f>_xlfn.XLOOKUP(A690,Class_Players!$A:$A,Class_Players!$F:$F,"")</f>
        <v>10268</v>
      </c>
      <c r="I690" s="44">
        <f t="shared" si="173"/>
        <v>1.9477989871445267E-4</v>
      </c>
      <c r="J690" s="43">
        <f t="shared" si="174"/>
        <v>0</v>
      </c>
      <c r="K690" s="44" cm="1">
        <f t="array" ref="K690">IF(D690="Gadget",_xlfn.IFS(I690&gt;=0.2,0.5,I690&gt;=0.1,0.35,I690&gt;=0.05,0.2,TRUE,0),IF(D690="Grenade",_xlfn.IFS(I690&gt;=0.2,1,I690&gt;=0.1,0.7,I690&gt;=0.05,0.4,TRUE,0),0))</f>
        <v>0</v>
      </c>
      <c r="L690" s="57">
        <f t="shared" si="185"/>
        <v>0</v>
      </c>
    </row>
    <row r="691" spans="1:12" ht="15" customHeight="1" x14ac:dyDescent="0.25">
      <c r="A691" s="42" t="str" cm="1">
        <f t="array" ref="A691">IFERROR(INDEX(_xlfn._xlws.FILTER(Class_Players!A:A,Class_Players!B:B="Support"),QUOTIENT(ROW()-ROW($A$2),9)+1),"")</f>
        <v>Markkkkkkk</v>
      </c>
      <c r="B691" s="42" t="str">
        <f>_xlfn.XLOOKUP(A691,Class_Players!$A:$A,Class_Players!$B:$B,"")</f>
        <v>Support</v>
      </c>
      <c r="C691" s="38" t="str" cm="1">
        <f t="array" ref="C691">INDEX(Lookups!$D$2:$D$10,MOD(ROW()-ROW($B$2),ROWS(Lookups!$D$2:$D$10))+1)</f>
        <v>Deployable Cover</v>
      </c>
      <c r="D691" s="38" t="str">
        <f>_xlfn.XLOOKUP(C691,Analysis_Gadgets!$C:$C,Analysis_Gadgets!$B:$B)</f>
        <v>Gadget</v>
      </c>
      <c r="E691" s="43">
        <v>315</v>
      </c>
      <c r="F691" s="43">
        <f>_xlfn.XLOOKUP(A691,Class_Players!A:A,Class_Players!G:G)</f>
        <v>141</v>
      </c>
      <c r="G691" s="43">
        <f t="shared" si="172"/>
        <v>2.2340425531914891</v>
      </c>
      <c r="H691" s="43">
        <f>_xlfn.XLOOKUP(A691,Class_Players!$A:$A,Class_Players!$F:$F,"")</f>
        <v>10268</v>
      </c>
      <c r="I691" s="44">
        <f t="shared" si="173"/>
        <v>3.0677834047526296E-2</v>
      </c>
      <c r="J691" s="43">
        <f t="shared" si="174"/>
        <v>0</v>
      </c>
      <c r="K691" s="44" cm="1">
        <f t="array" ref="K691">IF(D691="Gadget",_xlfn.IFS(I691&gt;=0.2,0.5,I691&gt;=0.1,0.35,I691&gt;=0.05,0.2,TRUE,0),IF(D691="Grenade",_xlfn.IFS(I691&gt;=0.2,1,I691&gt;=0.1,0.7,I691&gt;=0.05,0.4,TRUE,0),0))</f>
        <v>0</v>
      </c>
      <c r="L691" s="57">
        <f t="shared" si="185"/>
        <v>0</v>
      </c>
    </row>
    <row r="692" spans="1:12" ht="15" customHeight="1" x14ac:dyDescent="0.25">
      <c r="A692" s="42" t="str" cm="1">
        <f t="array" ref="A692">IFERROR(INDEX(_xlfn._xlws.FILTER(Class_Players!A:A,Class_Players!B:B="Support"),QUOTIENT(ROW()-ROW($A$2),9)+1),"")</f>
        <v>Markkkkkkk</v>
      </c>
      <c r="B692" s="42" t="str">
        <f>_xlfn.XLOOKUP(A692,Class_Players!$A:$A,Class_Players!$B:$B,"")</f>
        <v>Support</v>
      </c>
      <c r="C692" s="38" t="str" cm="1">
        <f t="array" ref="C692">INDEX(Lookups!$D$2:$D$10,MOD(ROW()-ROW($B$2),ROWS(Lookups!$D$2:$D$10))+1)</f>
        <v>Supply Pouch</v>
      </c>
      <c r="D692" s="38" t="str">
        <f>_xlfn.XLOOKUP(C692,Analysis_Gadgets!$C:$C,Analysis_Gadgets!$B:$B)</f>
        <v>Gadget</v>
      </c>
      <c r="E692" s="43">
        <v>3211</v>
      </c>
      <c r="F692" s="43">
        <f>_xlfn.XLOOKUP(A692,Class_Players!A:A,Class_Players!G:G)</f>
        <v>141</v>
      </c>
      <c r="G692" s="43">
        <f t="shared" si="172"/>
        <v>22.773049645390071</v>
      </c>
      <c r="H692" s="43">
        <f>_xlfn.XLOOKUP(A692,Class_Players!$A:$A,Class_Players!$F:$F,"")</f>
        <v>10268</v>
      </c>
      <c r="I692" s="44">
        <f t="shared" si="173"/>
        <v>0.31271912738605379</v>
      </c>
      <c r="J692" s="43">
        <f t="shared" si="174"/>
        <v>1</v>
      </c>
      <c r="K692" s="44" cm="1">
        <f t="array" ref="K692">IF(D692="Gadget",_xlfn.IFS(I692&gt;=0.2,0.5,I692&gt;=0.1,0.35,I692&gt;=0.05,0.2,TRUE,0),IF(D692="Grenade",_xlfn.IFS(I692&gt;=0.2,1,I692&gt;=0.1,0.7,I692&gt;=0.05,0.4,TRUE,0),0))</f>
        <v>0.5</v>
      </c>
      <c r="L692" s="57">
        <f t="shared" si="185"/>
        <v>0.7142857142857143</v>
      </c>
    </row>
    <row r="693" spans="1:12" ht="15" customHeight="1" x14ac:dyDescent="0.25">
      <c r="A693" s="42" t="str" cm="1">
        <f t="array" ref="A693">IFERROR(INDEX(_xlfn._xlws.FILTER(Class_Players!A:A,Class_Players!B:B="Support"),QUOTIENT(ROW()-ROW($A$2),9)+1),"")</f>
        <v>Markkkkkkk</v>
      </c>
      <c r="B693" s="42" t="str">
        <f>_xlfn.XLOOKUP(A693,Class_Players!$A:$A,Class_Players!$B:$B,"")</f>
        <v>Support</v>
      </c>
      <c r="C693" s="38" t="str" cm="1">
        <f t="array" ref="C693">INDEX(Lookups!$D$2:$D$10,MOD(ROW()-ROW($B$2),ROWS(Lookups!$D$2:$D$10))+1)</f>
        <v>Smoke Grenade</v>
      </c>
      <c r="D693" s="38" t="str">
        <f>_xlfn.XLOOKUP(C693,Analysis_Gadgets!$C:$C,Analysis_Gadgets!$B:$B)</f>
        <v>Grenade</v>
      </c>
      <c r="E693" s="43">
        <v>9925</v>
      </c>
      <c r="F693" s="43">
        <f>_xlfn.XLOOKUP(A693,Class_Players!A:A,Class_Players!G:G)</f>
        <v>141</v>
      </c>
      <c r="G693" s="43">
        <f t="shared" si="172"/>
        <v>70.39007092198581</v>
      </c>
      <c r="H693" s="43">
        <f>_xlfn.XLOOKUP(A693,Class_Players!$A:$A,Class_Players!$F:$F,"")</f>
        <v>10268</v>
      </c>
      <c r="I693" s="44">
        <f t="shared" si="173"/>
        <v>0.96659524737047142</v>
      </c>
      <c r="J693" s="43">
        <f t="shared" si="174"/>
        <v>1</v>
      </c>
      <c r="K693" s="44" cm="1">
        <f t="array" ref="K693">IF(D693="Gadget",_xlfn.IFS(I693&gt;=0.2,0.5,I693&gt;=0.1,0.35,I693&gt;=0.05,0.2,TRUE,0),IF(D693="Grenade",_xlfn.IFS(I693&gt;=0.2,1,I693&gt;=0.1,0.7,I693&gt;=0.05,0.4,TRUE,0),0))</f>
        <v>1</v>
      </c>
      <c r="L693" s="57">
        <f t="shared" ref="L693:L694" si="186">IF($K693=0,0,$K693 / SUMIFS($K:$K,$A:$A,$A693,$D:$D,"Grenade"))</f>
        <v>1</v>
      </c>
    </row>
    <row r="694" spans="1:12" ht="15" customHeight="1" x14ac:dyDescent="0.25">
      <c r="A694" s="42" t="str" cm="1">
        <f t="array" ref="A694">IFERROR(INDEX(_xlfn._xlws.FILTER(Class_Players!A:A,Class_Players!B:B="Support"),QUOTIENT(ROW()-ROW($A$2),9)+1),"")</f>
        <v>Markkkkkkk</v>
      </c>
      <c r="B694" s="42" t="str">
        <f>_xlfn.XLOOKUP(A694,Class_Players!$A:$A,Class_Players!$B:$B,"")</f>
        <v>Support</v>
      </c>
      <c r="C694" s="38" t="str" cm="1">
        <f t="array" ref="C694">INDEX(Lookups!$D$2:$D$10,MOD(ROW()-ROW($B$2),ROWS(Lookups!$D$2:$D$10))+1)</f>
        <v>Incendiary Grenade</v>
      </c>
      <c r="D694" s="38" t="str">
        <f>_xlfn.XLOOKUP(C694,Analysis_Gadgets!$C:$C,Analysis_Gadgets!$B:$B)</f>
        <v>Grenade</v>
      </c>
      <c r="E694" s="43">
        <v>11</v>
      </c>
      <c r="F694" s="43">
        <f>_xlfn.XLOOKUP(A694,Class_Players!A:A,Class_Players!G:G)</f>
        <v>141</v>
      </c>
      <c r="G694" s="43">
        <f t="shared" si="172"/>
        <v>7.8014184397163122E-2</v>
      </c>
      <c r="H694" s="43">
        <f>_xlfn.XLOOKUP(A694,Class_Players!$A:$A,Class_Players!$F:$F,"")</f>
        <v>10268</v>
      </c>
      <c r="I694" s="44">
        <f t="shared" si="173"/>
        <v>1.0712894429294898E-3</v>
      </c>
      <c r="J694" s="43">
        <f t="shared" si="174"/>
        <v>0</v>
      </c>
      <c r="K694" s="44" cm="1">
        <f t="array" ref="K694">IF(D694="Gadget",_xlfn.IFS(I694&gt;=0.2,0.5,I694&gt;=0.1,0.35,I694&gt;=0.05,0.2,TRUE,0),IF(D694="Grenade",_xlfn.IFS(I694&gt;=0.2,1,I694&gt;=0.1,0.7,I694&gt;=0.05,0.4,TRUE,0),0))</f>
        <v>0</v>
      </c>
      <c r="L694" s="57">
        <f t="shared" si="186"/>
        <v>0</v>
      </c>
    </row>
    <row r="695" spans="1:12" ht="15" customHeight="1" x14ac:dyDescent="0.25">
      <c r="A695" s="42" t="str" cm="1">
        <f t="array" ref="A695">IFERROR(INDEX(_xlfn._xlws.FILTER(Class_Players!A:A,Class_Players!B:B="Support"),QUOTIENT(ROW()-ROW($A$2),9)+1),"")</f>
        <v>ttvtntoftwie</v>
      </c>
      <c r="B695" s="42" t="str">
        <f>_xlfn.XLOOKUP(A695,Class_Players!$A:$A,Class_Players!$B:$B,"")</f>
        <v>Support</v>
      </c>
      <c r="C695" s="38" t="str" cm="1">
        <f t="array" ref="C695">INDEX(Lookups!$D$2:$D$10,MOD(ROW()-ROW($B$2),ROWS(Lookups!$D$2:$D$10))+1)</f>
        <v>GPDIS (Grenade intercept system)</v>
      </c>
      <c r="D695" s="38" t="str">
        <f>_xlfn.XLOOKUP(C695,Analysis_Gadgets!$C:$C,Analysis_Gadgets!$B:$B)</f>
        <v>Gadget</v>
      </c>
      <c r="E695" s="43">
        <v>158</v>
      </c>
      <c r="F695" s="43">
        <f>_xlfn.XLOOKUP(A695,Class_Players!A:A,Class_Players!G:G)</f>
        <v>263</v>
      </c>
      <c r="G695" s="43">
        <f t="shared" si="172"/>
        <v>0.60076045627376429</v>
      </c>
      <c r="H695" s="43">
        <f>_xlfn.XLOOKUP(A695,Class_Players!$A:$A,Class_Players!$F:$F,"")</f>
        <v>11235</v>
      </c>
      <c r="I695" s="44">
        <f t="shared" si="173"/>
        <v>1.4063195371606586E-2</v>
      </c>
      <c r="J695" s="43">
        <f t="shared" si="174"/>
        <v>0</v>
      </c>
      <c r="K695" s="44" cm="1">
        <f t="array" ref="K695">IF(D695="Gadget",_xlfn.IFS(I695&gt;=0.2,0.5,I695&gt;=0.1,0.35,I695&gt;=0.05,0.2,TRUE,0),IF(D695="Grenade",_xlfn.IFS(I695&gt;=0.2,1,I695&gt;=0.1,0.7,I695&gt;=0.05,0.4,TRUE,0),0))</f>
        <v>0</v>
      </c>
      <c r="L695" s="57">
        <f t="shared" ref="L695:L701" si="187">IF($K695=0,0,$K695 / SUMIFS($K:$K,$A:$A,$A695,$D:$D,"Gadget"))</f>
        <v>0</v>
      </c>
    </row>
    <row r="696" spans="1:12" ht="15" customHeight="1" x14ac:dyDescent="0.25">
      <c r="A696" s="42" t="str" cm="1">
        <f t="array" ref="A696">IFERROR(INDEX(_xlfn._xlws.FILTER(Class_Players!A:A,Class_Players!B:B="Support"),QUOTIENT(ROW()-ROW($A$2),9)+1),"")</f>
        <v>ttvtntoftwie</v>
      </c>
      <c r="B696" s="42" t="str">
        <f>_xlfn.XLOOKUP(A696,Class_Players!$A:$A,Class_Players!$B:$B,"")</f>
        <v>Support</v>
      </c>
      <c r="C696" s="38" t="str" cm="1">
        <f t="array" ref="C696">INDEX(Lookups!$D$2:$D$10,MOD(ROW()-ROW($B$2),ROWS(Lookups!$D$2:$D$10))+1)</f>
        <v>MP-APS (Missile intercept system)</v>
      </c>
      <c r="D696" s="38" t="str">
        <f>_xlfn.XLOOKUP(C696,Analysis_Gadgets!$C:$C,Analysis_Gadgets!$B:$B)</f>
        <v>Gadget</v>
      </c>
      <c r="E696" s="43">
        <v>1</v>
      </c>
      <c r="F696" s="43">
        <f>_xlfn.XLOOKUP(A696,Class_Players!A:A,Class_Players!G:G)</f>
        <v>263</v>
      </c>
      <c r="G696" s="43">
        <f t="shared" si="172"/>
        <v>3.8022813688212928E-3</v>
      </c>
      <c r="H696" s="43">
        <f>_xlfn.XLOOKUP(A696,Class_Players!$A:$A,Class_Players!$F:$F,"")</f>
        <v>11235</v>
      </c>
      <c r="I696" s="44">
        <f t="shared" si="173"/>
        <v>8.9007565643079667E-5</v>
      </c>
      <c r="J696" s="43">
        <f t="shared" si="174"/>
        <v>0</v>
      </c>
      <c r="K696" s="44" cm="1">
        <f t="array" ref="K696">IF(D696="Gadget",_xlfn.IFS(I696&gt;=0.2,0.5,I696&gt;=0.1,0.35,I696&gt;=0.05,0.2,TRUE,0),IF(D696="Grenade",_xlfn.IFS(I696&gt;=0.2,1,I696&gt;=0.1,0.7,I696&gt;=0.05,0.4,TRUE,0),0))</f>
        <v>0</v>
      </c>
      <c r="L696" s="57">
        <f t="shared" si="187"/>
        <v>0</v>
      </c>
    </row>
    <row r="697" spans="1:12" ht="15" customHeight="1" x14ac:dyDescent="0.25">
      <c r="A697" s="42" t="str" cm="1">
        <f t="array" ref="A697">IFERROR(INDEX(_xlfn._xlws.FILTER(Class_Players!A:A,Class_Players!B:B="Support"),QUOTIENT(ROW()-ROW($A$2),9)+1),"")</f>
        <v>ttvtntoftwie</v>
      </c>
      <c r="B697" s="42" t="str">
        <f>_xlfn.XLOOKUP(A697,Class_Players!$A:$A,Class_Players!$B:$B,"")</f>
        <v>Support</v>
      </c>
      <c r="C697" s="38" t="str" cm="1">
        <f t="array" ref="C697">INDEX(Lookups!$D$2:$D$10,MOD(ROW()-ROW($B$2),ROWS(Lookups!$D$2:$D$10))+1)</f>
        <v>LWCMS (Mortar)</v>
      </c>
      <c r="D697" s="38" t="str">
        <f>_xlfn.XLOOKUP(C697,Analysis_Gadgets!$C:$C,Analysis_Gadgets!$B:$B)</f>
        <v>Gadget</v>
      </c>
      <c r="E697" s="43">
        <v>5</v>
      </c>
      <c r="F697" s="43">
        <f>_xlfn.XLOOKUP(A697,Class_Players!A:A,Class_Players!G:G)</f>
        <v>263</v>
      </c>
      <c r="G697" s="43">
        <f t="shared" si="172"/>
        <v>1.9011406844106463E-2</v>
      </c>
      <c r="H697" s="43">
        <f>_xlfn.XLOOKUP(A697,Class_Players!$A:$A,Class_Players!$F:$F,"")</f>
        <v>11235</v>
      </c>
      <c r="I697" s="44">
        <f t="shared" si="173"/>
        <v>4.450378282153983E-4</v>
      </c>
      <c r="J697" s="43">
        <f t="shared" si="174"/>
        <v>0</v>
      </c>
      <c r="K697" s="44" cm="1">
        <f t="array" ref="K697">IF(D697="Gadget",_xlfn.IFS(I697&gt;=0.2,0.5,I697&gt;=0.1,0.35,I697&gt;=0.05,0.2,TRUE,0),IF(D697="Grenade",_xlfn.IFS(I697&gt;=0.2,1,I697&gt;=0.1,0.7,I697&gt;=0.05,0.4,TRUE,0),0))</f>
        <v>0</v>
      </c>
      <c r="L697" s="57">
        <f t="shared" si="187"/>
        <v>0</v>
      </c>
    </row>
    <row r="698" spans="1:12" ht="15" customHeight="1" x14ac:dyDescent="0.25">
      <c r="A698" s="42" t="str" cm="1">
        <f t="array" ref="A698">IFERROR(INDEX(_xlfn._xlws.FILTER(Class_Players!A:A,Class_Players!B:B="Support"),QUOTIENT(ROW()-ROW($A$2),9)+1),"")</f>
        <v>ttvtntoftwie</v>
      </c>
      <c r="B698" s="42" t="str">
        <f>_xlfn.XLOOKUP(A698,Class_Players!$A:$A,Class_Players!$B:$B,"")</f>
        <v>Support</v>
      </c>
      <c r="C698" s="38" t="str" cm="1">
        <f t="array" ref="C698">INDEX(Lookups!$D$2:$D$10,MOD(ROW()-ROW($B$2),ROWS(Lookups!$D$2:$D$10))+1)</f>
        <v>M320A1 SMK (Smoke Grenade Launcher)</v>
      </c>
      <c r="D698" s="38" t="str">
        <f>_xlfn.XLOOKUP(C698,Analysis_Gadgets!$C:$C,Analysis_Gadgets!$B:$B)</f>
        <v>Gadget</v>
      </c>
      <c r="E698" s="43">
        <v>9</v>
      </c>
      <c r="F698" s="43">
        <f>_xlfn.XLOOKUP(A698,Class_Players!A:A,Class_Players!G:G)</f>
        <v>263</v>
      </c>
      <c r="G698" s="43">
        <f t="shared" si="172"/>
        <v>3.4220532319391636E-2</v>
      </c>
      <c r="H698" s="43">
        <f>_xlfn.XLOOKUP(A698,Class_Players!$A:$A,Class_Players!$F:$F,"")</f>
        <v>11235</v>
      </c>
      <c r="I698" s="44">
        <f t="shared" si="173"/>
        <v>8.0106809078771691E-4</v>
      </c>
      <c r="J698" s="43">
        <f t="shared" si="174"/>
        <v>0</v>
      </c>
      <c r="K698" s="44" cm="1">
        <f t="array" ref="K698">IF(D698="Gadget",_xlfn.IFS(I698&gt;=0.2,0.5,I698&gt;=0.1,0.35,I698&gt;=0.05,0.2,TRUE,0),IF(D698="Grenade",_xlfn.IFS(I698&gt;=0.2,1,I698&gt;=0.1,0.7,I698&gt;=0.05,0.4,TRUE,0),0))</f>
        <v>0</v>
      </c>
      <c r="L698" s="57">
        <f t="shared" si="187"/>
        <v>0</v>
      </c>
    </row>
    <row r="699" spans="1:12" ht="15" customHeight="1" x14ac:dyDescent="0.25">
      <c r="A699" s="42" t="str" cm="1">
        <f t="array" ref="A699">IFERROR(INDEX(_xlfn._xlws.FILTER(Class_Players!A:A,Class_Players!B:B="Support"),QUOTIENT(ROW()-ROW($A$2),9)+1),"")</f>
        <v>ttvtntoftwie</v>
      </c>
      <c r="B699" s="42" t="str">
        <f>_xlfn.XLOOKUP(A699,Class_Players!$A:$A,Class_Players!$B:$B,"")</f>
        <v>Support</v>
      </c>
      <c r="C699" s="38" t="str" cm="1">
        <f t="array" ref="C699">INDEX(Lookups!$D$2:$D$10,MOD(ROW()-ROW($B$2),ROWS(Lookups!$D$2:$D$10))+1)</f>
        <v>SICH G1 WP (Incendiary Airburst Launcher)</v>
      </c>
      <c r="D699" s="38" t="str">
        <f>_xlfn.XLOOKUP(C699,Analysis_Gadgets!$C:$C,Analysis_Gadgets!$B:$B)</f>
        <v>Gadget</v>
      </c>
      <c r="E699" s="43">
        <v>659</v>
      </c>
      <c r="F699" s="43">
        <f>_xlfn.XLOOKUP(A699,Class_Players!A:A,Class_Players!G:G)</f>
        <v>263</v>
      </c>
      <c r="G699" s="43">
        <f t="shared" si="172"/>
        <v>2.5057034220532319</v>
      </c>
      <c r="H699" s="43">
        <f>_xlfn.XLOOKUP(A699,Class_Players!$A:$A,Class_Players!$F:$F,"")</f>
        <v>11235</v>
      </c>
      <c r="I699" s="44">
        <f t="shared" si="173"/>
        <v>5.8655985758789497E-2</v>
      </c>
      <c r="J699" s="43">
        <f t="shared" si="174"/>
        <v>0</v>
      </c>
      <c r="K699" s="44" cm="1">
        <f t="array" ref="K699">IF(D699="Gadget",_xlfn.IFS(I699&gt;=0.2,0.5,I699&gt;=0.1,0.35,I699&gt;=0.05,0.2,TRUE,0),IF(D699="Grenade",_xlfn.IFS(I699&gt;=0.2,1,I699&gt;=0.1,0.7,I699&gt;=0.05,0.4,TRUE,0),0))</f>
        <v>0.2</v>
      </c>
      <c r="L699" s="57">
        <f t="shared" si="187"/>
        <v>1</v>
      </c>
    </row>
    <row r="700" spans="1:12" ht="15" customHeight="1" x14ac:dyDescent="0.25">
      <c r="A700" s="42" t="str" cm="1">
        <f t="array" ref="A700">IFERROR(INDEX(_xlfn._xlws.FILTER(Class_Players!A:A,Class_Players!B:B="Support"),QUOTIENT(ROW()-ROW($A$2),9)+1),"")</f>
        <v>ttvtntoftwie</v>
      </c>
      <c r="B700" s="42" t="str">
        <f>_xlfn.XLOOKUP(A700,Class_Players!$A:$A,Class_Players!$B:$B,"")</f>
        <v>Support</v>
      </c>
      <c r="C700" s="38" t="str" cm="1">
        <f t="array" ref="C700">INDEX(Lookups!$D$2:$D$10,MOD(ROW()-ROW($B$2),ROWS(Lookups!$D$2:$D$10))+1)</f>
        <v>Deployable Cover</v>
      </c>
      <c r="D700" s="38" t="str">
        <f>_xlfn.XLOOKUP(C700,Analysis_Gadgets!$C:$C,Analysis_Gadgets!$B:$B)</f>
        <v>Gadget</v>
      </c>
      <c r="E700" s="43">
        <v>88</v>
      </c>
      <c r="F700" s="43">
        <f>_xlfn.XLOOKUP(A700,Class_Players!A:A,Class_Players!G:G)</f>
        <v>263</v>
      </c>
      <c r="G700" s="43">
        <f t="shared" si="172"/>
        <v>0.33460076045627374</v>
      </c>
      <c r="H700" s="43">
        <f>_xlfn.XLOOKUP(A700,Class_Players!$A:$A,Class_Players!$F:$F,"")</f>
        <v>11235</v>
      </c>
      <c r="I700" s="44">
        <f t="shared" si="173"/>
        <v>7.8326657765910111E-3</v>
      </c>
      <c r="J700" s="43">
        <f t="shared" si="174"/>
        <v>0</v>
      </c>
      <c r="K700" s="44" cm="1">
        <f t="array" ref="K700">IF(D700="Gadget",_xlfn.IFS(I700&gt;=0.2,0.5,I700&gt;=0.1,0.35,I700&gt;=0.05,0.2,TRUE,0),IF(D700="Grenade",_xlfn.IFS(I700&gt;=0.2,1,I700&gt;=0.1,0.7,I700&gt;=0.05,0.4,TRUE,0),0))</f>
        <v>0</v>
      </c>
      <c r="L700" s="57">
        <f t="shared" si="187"/>
        <v>0</v>
      </c>
    </row>
    <row r="701" spans="1:12" ht="15" customHeight="1" x14ac:dyDescent="0.25">
      <c r="A701" s="42" t="str" cm="1">
        <f t="array" ref="A701">IFERROR(INDEX(_xlfn._xlws.FILTER(Class_Players!A:A,Class_Players!B:B="Support"),QUOTIENT(ROW()-ROW($A$2),9)+1),"")</f>
        <v>ttvtntoftwie</v>
      </c>
      <c r="B701" s="42" t="str">
        <f>_xlfn.XLOOKUP(A701,Class_Players!$A:$A,Class_Players!$B:$B,"")</f>
        <v>Support</v>
      </c>
      <c r="C701" s="38" t="str" cm="1">
        <f t="array" ref="C701">INDEX(Lookups!$D$2:$D$10,MOD(ROW()-ROW($B$2),ROWS(Lookups!$D$2:$D$10))+1)</f>
        <v>Supply Pouch</v>
      </c>
      <c r="D701" s="38" t="str">
        <f>_xlfn.XLOOKUP(C701,Analysis_Gadgets!$C:$C,Analysis_Gadgets!$B:$B)</f>
        <v>Gadget</v>
      </c>
      <c r="E701" s="43">
        <v>410</v>
      </c>
      <c r="F701" s="43">
        <f>_xlfn.XLOOKUP(A701,Class_Players!A:A,Class_Players!G:G)</f>
        <v>263</v>
      </c>
      <c r="G701" s="43">
        <f t="shared" si="172"/>
        <v>1.55893536121673</v>
      </c>
      <c r="H701" s="43">
        <f>_xlfn.XLOOKUP(A701,Class_Players!$A:$A,Class_Players!$F:$F,"")</f>
        <v>11235</v>
      </c>
      <c r="I701" s="44">
        <f t="shared" si="173"/>
        <v>3.6493101913662659E-2</v>
      </c>
      <c r="J701" s="43">
        <f t="shared" si="174"/>
        <v>0</v>
      </c>
      <c r="K701" s="44" cm="1">
        <f t="array" ref="K701">IF(D701="Gadget",_xlfn.IFS(I701&gt;=0.2,0.5,I701&gt;=0.1,0.35,I701&gt;=0.05,0.2,TRUE,0),IF(D701="Grenade",_xlfn.IFS(I701&gt;=0.2,1,I701&gt;=0.1,0.7,I701&gt;=0.05,0.4,TRUE,0),0))</f>
        <v>0</v>
      </c>
      <c r="L701" s="57">
        <f t="shared" si="187"/>
        <v>0</v>
      </c>
    </row>
    <row r="702" spans="1:12" ht="15" customHeight="1" x14ac:dyDescent="0.25">
      <c r="A702" s="42" t="str" cm="1">
        <f t="array" ref="A702">IFERROR(INDEX(_xlfn._xlws.FILTER(Class_Players!A:A,Class_Players!B:B="Support"),QUOTIENT(ROW()-ROW($A$2),9)+1),"")</f>
        <v>ttvtntoftwie</v>
      </c>
      <c r="B702" s="42" t="str">
        <f>_xlfn.XLOOKUP(A702,Class_Players!$A:$A,Class_Players!$B:$B,"")</f>
        <v>Support</v>
      </c>
      <c r="C702" s="38" t="str" cm="1">
        <f t="array" ref="C702">INDEX(Lookups!$D$2:$D$10,MOD(ROW()-ROW($B$2),ROWS(Lookups!$D$2:$D$10))+1)</f>
        <v>Smoke Grenade</v>
      </c>
      <c r="D702" s="38" t="str">
        <f>_xlfn.XLOOKUP(C702,Analysis_Gadgets!$C:$C,Analysis_Gadgets!$B:$B)</f>
        <v>Grenade</v>
      </c>
      <c r="E702" s="43">
        <v>4209</v>
      </c>
      <c r="F702" s="43">
        <f>_xlfn.XLOOKUP(A702,Class_Players!A:A,Class_Players!G:G)</f>
        <v>263</v>
      </c>
      <c r="G702" s="43">
        <f t="shared" si="172"/>
        <v>16.00380228136882</v>
      </c>
      <c r="H702" s="43">
        <f>_xlfn.XLOOKUP(A702,Class_Players!$A:$A,Class_Players!$F:$F,"")</f>
        <v>11235</v>
      </c>
      <c r="I702" s="44">
        <f t="shared" si="173"/>
        <v>0.37463284379172229</v>
      </c>
      <c r="J702" s="43">
        <f t="shared" si="174"/>
        <v>1</v>
      </c>
      <c r="K702" s="44" cm="1">
        <f t="array" ref="K702">IF(D702="Gadget",_xlfn.IFS(I702&gt;=0.2,0.5,I702&gt;=0.1,0.35,I702&gt;=0.05,0.2,TRUE,0),IF(D702="Grenade",_xlfn.IFS(I702&gt;=0.2,1,I702&gt;=0.1,0.7,I702&gt;=0.05,0.4,TRUE,0),0))</f>
        <v>1</v>
      </c>
      <c r="L702" s="57">
        <f t="shared" ref="L702:L703" si="188">IF($K702=0,0,$K702 / SUMIFS($K:$K,$A:$A,$A702,$D:$D,"Grenade"))</f>
        <v>1</v>
      </c>
    </row>
    <row r="703" spans="1:12" ht="15" customHeight="1" x14ac:dyDescent="0.25">
      <c r="A703" s="42" t="str" cm="1">
        <f t="array" ref="A703">IFERROR(INDEX(_xlfn._xlws.FILTER(Class_Players!A:A,Class_Players!B:B="Support"),QUOTIENT(ROW()-ROW($A$2),9)+1),"")</f>
        <v>ttvtntoftwie</v>
      </c>
      <c r="B703" s="42" t="str">
        <f>_xlfn.XLOOKUP(A703,Class_Players!$A:$A,Class_Players!$B:$B,"")</f>
        <v>Support</v>
      </c>
      <c r="C703" s="38" t="str" cm="1">
        <f t="array" ref="C703">INDEX(Lookups!$D$2:$D$10,MOD(ROW()-ROW($B$2),ROWS(Lookups!$D$2:$D$10))+1)</f>
        <v>Incendiary Grenade</v>
      </c>
      <c r="D703" s="38" t="str">
        <f>_xlfn.XLOOKUP(C703,Analysis_Gadgets!$C:$C,Analysis_Gadgets!$B:$B)</f>
        <v>Grenade</v>
      </c>
      <c r="E703" s="43">
        <v>15</v>
      </c>
      <c r="F703" s="43">
        <f>_xlfn.XLOOKUP(A703,Class_Players!A:A,Class_Players!G:G)</f>
        <v>263</v>
      </c>
      <c r="G703" s="43">
        <f t="shared" si="172"/>
        <v>5.7034220532319393E-2</v>
      </c>
      <c r="H703" s="43">
        <f>_xlfn.XLOOKUP(A703,Class_Players!$A:$A,Class_Players!$F:$F,"")</f>
        <v>11235</v>
      </c>
      <c r="I703" s="44">
        <f t="shared" si="173"/>
        <v>1.3351134846461949E-3</v>
      </c>
      <c r="J703" s="43">
        <f t="shared" si="174"/>
        <v>0</v>
      </c>
      <c r="K703" s="44" cm="1">
        <f t="array" ref="K703">IF(D703="Gadget",_xlfn.IFS(I703&gt;=0.2,0.5,I703&gt;=0.1,0.35,I703&gt;=0.05,0.2,TRUE,0),IF(D703="Grenade",_xlfn.IFS(I703&gt;=0.2,1,I703&gt;=0.1,0.7,I703&gt;=0.05,0.4,TRUE,0),0))</f>
        <v>0</v>
      </c>
      <c r="L703" s="57">
        <f t="shared" si="188"/>
        <v>0</v>
      </c>
    </row>
    <row r="704" spans="1:12" ht="15" customHeight="1" x14ac:dyDescent="0.25">
      <c r="A704" s="42" t="str" cm="1">
        <f t="array" ref="A704">IFERROR(INDEX(_xlfn._xlws.FILTER(Class_Players!A:A,Class_Players!B:B="Support"),QUOTIENT(ROW()-ROW($A$2),9)+1),"")</f>
        <v>mazovenozo</v>
      </c>
      <c r="B704" s="42" t="str">
        <f>_xlfn.XLOOKUP(A704,Class_Players!$A:$A,Class_Players!$B:$B,"")</f>
        <v>Support</v>
      </c>
      <c r="C704" s="38" t="str" cm="1">
        <f t="array" ref="C704">INDEX(Lookups!$D$2:$D$10,MOD(ROW()-ROW($B$2),ROWS(Lookups!$D$2:$D$10))+1)</f>
        <v>GPDIS (Grenade intercept system)</v>
      </c>
      <c r="D704" s="38" t="str">
        <f>_xlfn.XLOOKUP(C704,Analysis_Gadgets!$C:$C,Analysis_Gadgets!$B:$B)</f>
        <v>Gadget</v>
      </c>
      <c r="E704" s="43">
        <v>9</v>
      </c>
      <c r="F704" s="43">
        <f>_xlfn.XLOOKUP(A704,Class_Players!A:A,Class_Players!G:G)</f>
        <v>147</v>
      </c>
      <c r="G704" s="43">
        <f t="shared" ref="G704:G712" si="189">IF(F704=0,"",E704/(F704))</f>
        <v>6.1224489795918366E-2</v>
      </c>
      <c r="H704" s="43">
        <f>_xlfn.XLOOKUP(A704,Class_Players!$A:$A,Class_Players!$F:$F,"")</f>
        <v>11864</v>
      </c>
      <c r="I704" s="44">
        <f t="shared" ref="I704:I712" si="190">IF(H704=0,"",E704/H704)</f>
        <v>7.5859743762643288E-4</v>
      </c>
      <c r="J704" s="43">
        <f t="shared" ref="J704:J712" si="191">IF(I704&gt;=0.1,1,0)</f>
        <v>0</v>
      </c>
      <c r="K704" s="44" cm="1">
        <f t="array" ref="K704">IF(D704="Gadget",_xlfn.IFS(I704&gt;=0.2,0.5,I704&gt;=0.1,0.35,I704&gt;=0.05,0.2,TRUE,0),IF(D704="Grenade",_xlfn.IFS(I704&gt;=0.2,1,I704&gt;=0.1,0.7,I704&gt;=0.05,0.4,TRUE,0),0))</f>
        <v>0</v>
      </c>
      <c r="L704" s="57">
        <f t="shared" ref="L704:L710" si="192">IF($K704=0,0,$K704 / SUMIFS($K:$K,$A:$A,$A704,$D:$D,"Gadget"))</f>
        <v>0</v>
      </c>
    </row>
    <row r="705" spans="1:12" ht="15" customHeight="1" x14ac:dyDescent="0.25">
      <c r="A705" s="42" t="str" cm="1">
        <f t="array" ref="A705">IFERROR(INDEX(_xlfn._xlws.FILTER(Class_Players!A:A,Class_Players!B:B="Support"),QUOTIENT(ROW()-ROW($A$2),9)+1),"")</f>
        <v>mazovenozo</v>
      </c>
      <c r="B705" s="42" t="str">
        <f>_xlfn.XLOOKUP(A705,Class_Players!$A:$A,Class_Players!$B:$B,"")</f>
        <v>Support</v>
      </c>
      <c r="C705" s="38" t="str" cm="1">
        <f t="array" ref="C705">INDEX(Lookups!$D$2:$D$10,MOD(ROW()-ROW($B$2),ROWS(Lookups!$D$2:$D$10))+1)</f>
        <v>MP-APS (Missile intercept system)</v>
      </c>
      <c r="D705" s="38" t="str">
        <f>_xlfn.XLOOKUP(C705,Analysis_Gadgets!$C:$C,Analysis_Gadgets!$B:$B)</f>
        <v>Gadget</v>
      </c>
      <c r="E705" s="43">
        <v>0</v>
      </c>
      <c r="F705" s="43">
        <f>_xlfn.XLOOKUP(A705,Class_Players!A:A,Class_Players!G:G)</f>
        <v>147</v>
      </c>
      <c r="G705" s="43">
        <f t="shared" si="189"/>
        <v>0</v>
      </c>
      <c r="H705" s="43">
        <f>_xlfn.XLOOKUP(A705,Class_Players!$A:$A,Class_Players!$F:$F,"")</f>
        <v>11864</v>
      </c>
      <c r="I705" s="44">
        <f t="shared" si="190"/>
        <v>0</v>
      </c>
      <c r="J705" s="43">
        <f t="shared" si="191"/>
        <v>0</v>
      </c>
      <c r="K705" s="44" cm="1">
        <f t="array" ref="K705">IF(D705="Gadget",_xlfn.IFS(I705&gt;=0.2,0.5,I705&gt;=0.1,0.35,I705&gt;=0.05,0.2,TRUE,0),IF(D705="Grenade",_xlfn.IFS(I705&gt;=0.2,1,I705&gt;=0.1,0.7,I705&gt;=0.05,0.4,TRUE,0),0))</f>
        <v>0</v>
      </c>
      <c r="L705" s="57">
        <f t="shared" si="192"/>
        <v>0</v>
      </c>
    </row>
    <row r="706" spans="1:12" ht="15" customHeight="1" x14ac:dyDescent="0.25">
      <c r="A706" s="42" t="str" cm="1">
        <f t="array" ref="A706">IFERROR(INDEX(_xlfn._xlws.FILTER(Class_Players!A:A,Class_Players!B:B="Support"),QUOTIENT(ROW()-ROW($A$2),9)+1),"")</f>
        <v>mazovenozo</v>
      </c>
      <c r="B706" s="42" t="str">
        <f>_xlfn.XLOOKUP(A706,Class_Players!$A:$A,Class_Players!$B:$B,"")</f>
        <v>Support</v>
      </c>
      <c r="C706" s="38" t="str" cm="1">
        <f t="array" ref="C706">INDEX(Lookups!$D$2:$D$10,MOD(ROW()-ROW($B$2),ROWS(Lookups!$D$2:$D$10))+1)</f>
        <v>LWCMS (Mortar)</v>
      </c>
      <c r="D706" s="38" t="str">
        <f>_xlfn.XLOOKUP(C706,Analysis_Gadgets!$C:$C,Analysis_Gadgets!$B:$B)</f>
        <v>Gadget</v>
      </c>
      <c r="E706" s="43">
        <v>2</v>
      </c>
      <c r="F706" s="43">
        <f>_xlfn.XLOOKUP(A706,Class_Players!A:A,Class_Players!G:G)</f>
        <v>147</v>
      </c>
      <c r="G706" s="43">
        <f t="shared" si="189"/>
        <v>1.3605442176870748E-2</v>
      </c>
      <c r="H706" s="43">
        <f>_xlfn.XLOOKUP(A706,Class_Players!$A:$A,Class_Players!$F:$F,"")</f>
        <v>11864</v>
      </c>
      <c r="I706" s="44">
        <f t="shared" si="190"/>
        <v>1.6857720836142953E-4</v>
      </c>
      <c r="J706" s="43">
        <f t="shared" si="191"/>
        <v>0</v>
      </c>
      <c r="K706" s="44" cm="1">
        <f t="array" ref="K706">IF(D706="Gadget",_xlfn.IFS(I706&gt;=0.2,0.5,I706&gt;=0.1,0.35,I706&gt;=0.05,0.2,TRUE,0),IF(D706="Grenade",_xlfn.IFS(I706&gt;=0.2,1,I706&gt;=0.1,0.7,I706&gt;=0.05,0.4,TRUE,0),0))</f>
        <v>0</v>
      </c>
      <c r="L706" s="57">
        <f t="shared" si="192"/>
        <v>0</v>
      </c>
    </row>
    <row r="707" spans="1:12" ht="15" customHeight="1" x14ac:dyDescent="0.25">
      <c r="A707" s="42" t="str" cm="1">
        <f t="array" ref="A707">IFERROR(INDEX(_xlfn._xlws.FILTER(Class_Players!A:A,Class_Players!B:B="Support"),QUOTIENT(ROW()-ROW($A$2),9)+1),"")</f>
        <v>mazovenozo</v>
      </c>
      <c r="B707" s="42" t="str">
        <f>_xlfn.XLOOKUP(A707,Class_Players!$A:$A,Class_Players!$B:$B,"")</f>
        <v>Support</v>
      </c>
      <c r="C707" s="38" t="str" cm="1">
        <f t="array" ref="C707">INDEX(Lookups!$D$2:$D$10,MOD(ROW()-ROW($B$2),ROWS(Lookups!$D$2:$D$10))+1)</f>
        <v>M320A1 SMK (Smoke Grenade Launcher)</v>
      </c>
      <c r="D707" s="38" t="str">
        <f>_xlfn.XLOOKUP(C707,Analysis_Gadgets!$C:$C,Analysis_Gadgets!$B:$B)</f>
        <v>Gadget</v>
      </c>
      <c r="E707" s="43">
        <v>5</v>
      </c>
      <c r="F707" s="43">
        <f>_xlfn.XLOOKUP(A707,Class_Players!A:A,Class_Players!G:G)</f>
        <v>147</v>
      </c>
      <c r="G707" s="43">
        <f t="shared" si="189"/>
        <v>3.4013605442176874E-2</v>
      </c>
      <c r="H707" s="43">
        <f>_xlfn.XLOOKUP(A707,Class_Players!$A:$A,Class_Players!$F:$F,"")</f>
        <v>11864</v>
      </c>
      <c r="I707" s="44">
        <f t="shared" si="190"/>
        <v>4.2144302090357382E-4</v>
      </c>
      <c r="J707" s="43">
        <f t="shared" si="191"/>
        <v>0</v>
      </c>
      <c r="K707" s="44" cm="1">
        <f t="array" ref="K707">IF(D707="Gadget",_xlfn.IFS(I707&gt;=0.2,0.5,I707&gt;=0.1,0.35,I707&gt;=0.05,0.2,TRUE,0),IF(D707="Grenade",_xlfn.IFS(I707&gt;=0.2,1,I707&gt;=0.1,0.7,I707&gt;=0.05,0.4,TRUE,0),0))</f>
        <v>0</v>
      </c>
      <c r="L707" s="57">
        <f t="shared" si="192"/>
        <v>0</v>
      </c>
    </row>
    <row r="708" spans="1:12" ht="15" customHeight="1" x14ac:dyDescent="0.25">
      <c r="A708" s="42" t="str" cm="1">
        <f t="array" ref="A708">IFERROR(INDEX(_xlfn._xlws.FILTER(Class_Players!A:A,Class_Players!B:B="Support"),QUOTIENT(ROW()-ROW($A$2),9)+1),"")</f>
        <v>mazovenozo</v>
      </c>
      <c r="B708" s="42" t="str">
        <f>_xlfn.XLOOKUP(A708,Class_Players!$A:$A,Class_Players!$B:$B,"")</f>
        <v>Support</v>
      </c>
      <c r="C708" s="38" t="str" cm="1">
        <f t="array" ref="C708">INDEX(Lookups!$D$2:$D$10,MOD(ROW()-ROW($B$2),ROWS(Lookups!$D$2:$D$10))+1)</f>
        <v>SICH G1 WP (Incendiary Airburst Launcher)</v>
      </c>
      <c r="D708" s="38" t="str">
        <f>_xlfn.XLOOKUP(C708,Analysis_Gadgets!$C:$C,Analysis_Gadgets!$B:$B)</f>
        <v>Gadget</v>
      </c>
      <c r="E708" s="43">
        <v>0</v>
      </c>
      <c r="F708" s="43">
        <f>_xlfn.XLOOKUP(A708,Class_Players!A:A,Class_Players!G:G)</f>
        <v>147</v>
      </c>
      <c r="G708" s="43">
        <f t="shared" si="189"/>
        <v>0</v>
      </c>
      <c r="H708" s="43">
        <f>_xlfn.XLOOKUP(A708,Class_Players!$A:$A,Class_Players!$F:$F,"")</f>
        <v>11864</v>
      </c>
      <c r="I708" s="44">
        <f t="shared" si="190"/>
        <v>0</v>
      </c>
      <c r="J708" s="43">
        <f t="shared" si="191"/>
        <v>0</v>
      </c>
      <c r="K708" s="44" cm="1">
        <f t="array" ref="K708">IF(D708="Gadget",_xlfn.IFS(I708&gt;=0.2,0.5,I708&gt;=0.1,0.35,I708&gt;=0.05,0.2,TRUE,0),IF(D708="Grenade",_xlfn.IFS(I708&gt;=0.2,1,I708&gt;=0.1,0.7,I708&gt;=0.05,0.4,TRUE,0),0))</f>
        <v>0</v>
      </c>
      <c r="L708" s="57">
        <f t="shared" si="192"/>
        <v>0</v>
      </c>
    </row>
    <row r="709" spans="1:12" ht="15" customHeight="1" x14ac:dyDescent="0.25">
      <c r="A709" s="42" t="str" cm="1">
        <f t="array" ref="A709">IFERROR(INDEX(_xlfn._xlws.FILTER(Class_Players!A:A,Class_Players!B:B="Support"),QUOTIENT(ROW()-ROW($A$2),9)+1),"")</f>
        <v>mazovenozo</v>
      </c>
      <c r="B709" s="42" t="str">
        <f>_xlfn.XLOOKUP(A709,Class_Players!$A:$A,Class_Players!$B:$B,"")</f>
        <v>Support</v>
      </c>
      <c r="C709" s="38" t="str" cm="1">
        <f t="array" ref="C709">INDEX(Lookups!$D$2:$D$10,MOD(ROW()-ROW($B$2),ROWS(Lookups!$D$2:$D$10))+1)</f>
        <v>Deployable Cover</v>
      </c>
      <c r="D709" s="38" t="str">
        <f>_xlfn.XLOOKUP(C709,Analysis_Gadgets!$C:$C,Analysis_Gadgets!$B:$B)</f>
        <v>Gadget</v>
      </c>
      <c r="E709" s="43">
        <v>2305</v>
      </c>
      <c r="F709" s="43">
        <f>_xlfn.XLOOKUP(A709,Class_Players!A:A,Class_Players!G:G)</f>
        <v>147</v>
      </c>
      <c r="G709" s="43">
        <f t="shared" si="189"/>
        <v>15.680272108843537</v>
      </c>
      <c r="H709" s="43">
        <f>_xlfn.XLOOKUP(A709,Class_Players!$A:$A,Class_Players!$F:$F,"")</f>
        <v>11864</v>
      </c>
      <c r="I709" s="44">
        <f t="shared" si="190"/>
        <v>0.19428523263654754</v>
      </c>
      <c r="J709" s="43">
        <f t="shared" si="191"/>
        <v>1</v>
      </c>
      <c r="K709" s="44" cm="1">
        <f t="array" ref="K709">IF(D709="Gadget",_xlfn.IFS(I709&gt;=0.2,0.5,I709&gt;=0.1,0.35,I709&gt;=0.05,0.2,TRUE,0),IF(D709="Grenade",_xlfn.IFS(I709&gt;=0.2,1,I709&gt;=0.1,0.7,I709&gt;=0.05,0.4,TRUE,0),0))</f>
        <v>0.35</v>
      </c>
      <c r="L709" s="57">
        <f t="shared" si="192"/>
        <v>1</v>
      </c>
    </row>
    <row r="710" spans="1:12" ht="15" customHeight="1" x14ac:dyDescent="0.25">
      <c r="A710" s="42" t="str" cm="1">
        <f t="array" ref="A710">IFERROR(INDEX(_xlfn._xlws.FILTER(Class_Players!A:A,Class_Players!B:B="Support"),QUOTIENT(ROW()-ROW($A$2),9)+1),"")</f>
        <v>mazovenozo</v>
      </c>
      <c r="B710" s="42" t="str">
        <f>_xlfn.XLOOKUP(A710,Class_Players!$A:$A,Class_Players!$B:$B,"")</f>
        <v>Support</v>
      </c>
      <c r="C710" s="38" t="str" cm="1">
        <f t="array" ref="C710">INDEX(Lookups!$D$2:$D$10,MOD(ROW()-ROW($B$2),ROWS(Lookups!$D$2:$D$10))+1)</f>
        <v>Supply Pouch</v>
      </c>
      <c r="D710" s="38" t="str">
        <f>_xlfn.XLOOKUP(C710,Analysis_Gadgets!$C:$C,Analysis_Gadgets!$B:$B)</f>
        <v>Gadget</v>
      </c>
      <c r="E710" s="43">
        <v>0</v>
      </c>
      <c r="F710" s="43">
        <f>_xlfn.XLOOKUP(A710,Class_Players!A:A,Class_Players!G:G)</f>
        <v>147</v>
      </c>
      <c r="G710" s="43">
        <f t="shared" si="189"/>
        <v>0</v>
      </c>
      <c r="H710" s="43">
        <f>_xlfn.XLOOKUP(A710,Class_Players!$A:$A,Class_Players!$F:$F,"")</f>
        <v>11864</v>
      </c>
      <c r="I710" s="44">
        <f t="shared" si="190"/>
        <v>0</v>
      </c>
      <c r="J710" s="43">
        <f t="shared" si="191"/>
        <v>0</v>
      </c>
      <c r="K710" s="44" cm="1">
        <f t="array" ref="K710">IF(D710="Gadget",_xlfn.IFS(I710&gt;=0.2,0.5,I710&gt;=0.1,0.35,I710&gt;=0.05,0.2,TRUE,0),IF(D710="Grenade",_xlfn.IFS(I710&gt;=0.2,1,I710&gt;=0.1,0.7,I710&gt;=0.05,0.4,TRUE,0),0))</f>
        <v>0</v>
      </c>
      <c r="L710" s="57">
        <f t="shared" si="192"/>
        <v>0</v>
      </c>
    </row>
    <row r="711" spans="1:12" ht="15" customHeight="1" x14ac:dyDescent="0.25">
      <c r="A711" s="42" t="str" cm="1">
        <f t="array" ref="A711">IFERROR(INDEX(_xlfn._xlws.FILTER(Class_Players!A:A,Class_Players!B:B="Support"),QUOTIENT(ROW()-ROW($A$2),9)+1),"")</f>
        <v>mazovenozo</v>
      </c>
      <c r="B711" s="42" t="str">
        <f>_xlfn.XLOOKUP(A711,Class_Players!$A:$A,Class_Players!$B:$B,"")</f>
        <v>Support</v>
      </c>
      <c r="C711" s="38" t="str" cm="1">
        <f t="array" ref="C711">INDEX(Lookups!$D$2:$D$10,MOD(ROW()-ROW($B$2),ROWS(Lookups!$D$2:$D$10))+1)</f>
        <v>Smoke Grenade</v>
      </c>
      <c r="D711" s="38" t="str">
        <f>_xlfn.XLOOKUP(C711,Analysis_Gadgets!$C:$C,Analysis_Gadgets!$B:$B)</f>
        <v>Grenade</v>
      </c>
      <c r="E711" s="43">
        <v>6</v>
      </c>
      <c r="F711" s="43">
        <f>_xlfn.XLOOKUP(A711,Class_Players!A:A,Class_Players!G:G)</f>
        <v>147</v>
      </c>
      <c r="G711" s="43">
        <f t="shared" si="189"/>
        <v>4.0816326530612242E-2</v>
      </c>
      <c r="H711" s="43">
        <f>_xlfn.XLOOKUP(A711,Class_Players!$A:$A,Class_Players!$F:$F,"")</f>
        <v>11864</v>
      </c>
      <c r="I711" s="44">
        <f t="shared" si="190"/>
        <v>5.0573162508428862E-4</v>
      </c>
      <c r="J711" s="43">
        <f t="shared" si="191"/>
        <v>0</v>
      </c>
      <c r="K711" s="44" cm="1">
        <f t="array" ref="K711">IF(D711="Gadget",_xlfn.IFS(I711&gt;=0.2,0.5,I711&gt;=0.1,0.35,I711&gt;=0.05,0.2,TRUE,0),IF(D711="Grenade",_xlfn.IFS(I711&gt;=0.2,1,I711&gt;=0.1,0.7,I711&gt;=0.05,0.4,TRUE,0),0))</f>
        <v>0</v>
      </c>
      <c r="L711" s="57">
        <f>IF($K711=0,0,$K711 / SUMIFS($K:$K,$A:$A,$A711,$D:$D,"Grenade"))</f>
        <v>0</v>
      </c>
    </row>
    <row r="712" spans="1:12" ht="15" customHeight="1" x14ac:dyDescent="0.25">
      <c r="A712" s="42" t="str" cm="1">
        <f t="array" ref="A712">IFERROR(INDEX(_xlfn._xlws.FILTER(Class_Players!A:A,Class_Players!B:B="Support"),QUOTIENT(ROW()-ROW($A$2),9)+1),"")</f>
        <v>mazovenozo</v>
      </c>
      <c r="B712" s="42" t="str">
        <f>_xlfn.XLOOKUP(A712,Class_Players!$A:$A,Class_Players!$B:$B,"")</f>
        <v>Support</v>
      </c>
      <c r="C712" s="38" t="str" cm="1">
        <f t="array" ref="C712">INDEX(Lookups!$D$2:$D$10,MOD(ROW()-ROW($B$2),ROWS(Lookups!$D$2:$D$10))+1)</f>
        <v>Incendiary Grenade</v>
      </c>
      <c r="D712" s="38" t="str">
        <f>_xlfn.XLOOKUP(C712,Analysis_Gadgets!$C:$C,Analysis_Gadgets!$B:$B)</f>
        <v>Grenade</v>
      </c>
      <c r="E712" s="43">
        <v>5177</v>
      </c>
      <c r="F712" s="43">
        <f>_xlfn.XLOOKUP(A712,Class_Players!A:A,Class_Players!G:G)</f>
        <v>147</v>
      </c>
      <c r="G712" s="43">
        <f t="shared" si="189"/>
        <v>35.217687074829932</v>
      </c>
      <c r="H712" s="43">
        <f>_xlfn.XLOOKUP(A712,Class_Players!$A:$A,Class_Players!$F:$F,"")</f>
        <v>11864</v>
      </c>
      <c r="I712" s="44">
        <f t="shared" si="190"/>
        <v>0.43636210384356033</v>
      </c>
      <c r="J712" s="43">
        <f t="shared" si="191"/>
        <v>1</v>
      </c>
      <c r="K712" s="44" cm="1">
        <f t="array" ref="K712">IF(D712="Gadget",_xlfn.IFS(I712&gt;=0.2,0.5,I712&gt;=0.1,0.35,I712&gt;=0.05,0.2,TRUE,0),IF(D712="Grenade",_xlfn.IFS(I712&gt;=0.2,1,I712&gt;=0.1,0.7,I712&gt;=0.05,0.4,TRUE,0),0))</f>
        <v>1</v>
      </c>
      <c r="L712" s="57">
        <f>IF($K712=0,0,$K712 / SUMIFS($K:$K,$A:$A,$A712,$D:$D,"Grenade"))</f>
        <v>1</v>
      </c>
    </row>
    <row r="713" spans="1:12" ht="15" customHeight="1" x14ac:dyDescent="0.25">
      <c r="A713" s="42" t="str" cm="1">
        <f t="array" ref="A713">IFERROR(INDEX(_xlfn._xlws.FILTER(Class_Players!A:A,Class_Players!B:B="Support"),QUOTIENT(ROW()-ROW($A$2),9)+1),"")</f>
        <v>DaLaoJM_233</v>
      </c>
      <c r="B713" s="42" t="str">
        <f>_xlfn.XLOOKUP(A713,Class_Players!$A:$A,Class_Players!$B:$B,"")</f>
        <v>Support</v>
      </c>
      <c r="C713" s="38" t="str" cm="1">
        <f t="array" ref="C713">INDEX(Lookups!$D$2:$D$10,MOD(ROW()-ROW($B$2),ROWS(Lookups!$D$2:$D$10))+1)</f>
        <v>GPDIS (Grenade intercept system)</v>
      </c>
      <c r="D713" s="38" t="str">
        <f>_xlfn.XLOOKUP(C713,Analysis_Gadgets!$C:$C,Analysis_Gadgets!$B:$B)</f>
        <v>Gadget</v>
      </c>
      <c r="E713" s="43">
        <v>77</v>
      </c>
      <c r="F713" s="43">
        <f>_xlfn.XLOOKUP(A713,Class_Players!A:A,Class_Players!G:G)</f>
        <v>220</v>
      </c>
      <c r="G713" s="43">
        <f t="shared" ref="G713:G748" si="193">IF(F713=0,"",E713/(F713))</f>
        <v>0.35</v>
      </c>
      <c r="H713" s="43">
        <f>_xlfn.XLOOKUP(A713,Class_Players!$A:$A,Class_Players!$F:$F,"")</f>
        <v>10006</v>
      </c>
      <c r="I713" s="44">
        <f t="shared" ref="I713:I748" si="194">IF(H713=0,"",E713/H713)</f>
        <v>7.6953827703377976E-3</v>
      </c>
      <c r="J713" s="43">
        <f t="shared" ref="J713:J748" si="195">IF(I713&gt;=0.1,1,0)</f>
        <v>0</v>
      </c>
      <c r="K713" s="44" cm="1">
        <f t="array" ref="K713">IF(D713="Gadget",_xlfn.IFS(I713&gt;=0.2,0.5,I713&gt;=0.1,0.35,I713&gt;=0.05,0.2,TRUE,0),IF(D713="Grenade",_xlfn.IFS(I713&gt;=0.2,1,I713&gt;=0.1,0.7,I713&gt;=0.05,0.4,TRUE,0),0))</f>
        <v>0</v>
      </c>
      <c r="L713" s="57">
        <f t="shared" ref="L713:L719" si="196">IF($K713=0,0,$K713 / SUMIFS($K:$K,$A:$A,$A713,$D:$D,"Gadget"))</f>
        <v>0</v>
      </c>
    </row>
    <row r="714" spans="1:12" ht="15" customHeight="1" x14ac:dyDescent="0.25">
      <c r="A714" s="42" t="str" cm="1">
        <f t="array" ref="A714">IFERROR(INDEX(_xlfn._xlws.FILTER(Class_Players!A:A,Class_Players!B:B="Support"),QUOTIENT(ROW()-ROW($A$2),9)+1),"")</f>
        <v>DaLaoJM_233</v>
      </c>
      <c r="B714" s="42" t="str">
        <f>_xlfn.XLOOKUP(A714,Class_Players!$A:$A,Class_Players!$B:$B,"")</f>
        <v>Support</v>
      </c>
      <c r="C714" s="38" t="str" cm="1">
        <f t="array" ref="C714">INDEX(Lookups!$D$2:$D$10,MOD(ROW()-ROW($B$2),ROWS(Lookups!$D$2:$D$10))+1)</f>
        <v>MP-APS (Missile intercept system)</v>
      </c>
      <c r="D714" s="38" t="str">
        <f>_xlfn.XLOOKUP(C714,Analysis_Gadgets!$C:$C,Analysis_Gadgets!$B:$B)</f>
        <v>Gadget</v>
      </c>
      <c r="E714" s="43">
        <v>34</v>
      </c>
      <c r="F714" s="43">
        <f>_xlfn.XLOOKUP(A714,Class_Players!A:A,Class_Players!G:G)</f>
        <v>220</v>
      </c>
      <c r="G714" s="43">
        <f t="shared" si="193"/>
        <v>0.15454545454545454</v>
      </c>
      <c r="H714" s="43">
        <f>_xlfn.XLOOKUP(A714,Class_Players!$A:$A,Class_Players!$F:$F,"")</f>
        <v>10006</v>
      </c>
      <c r="I714" s="44">
        <f t="shared" si="194"/>
        <v>3.3979612232660403E-3</v>
      </c>
      <c r="J714" s="43">
        <f t="shared" si="195"/>
        <v>0</v>
      </c>
      <c r="K714" s="44" cm="1">
        <f t="array" ref="K714">IF(D714="Gadget",_xlfn.IFS(I714&gt;=0.2,0.5,I714&gt;=0.1,0.35,I714&gt;=0.05,0.2,TRUE,0),IF(D714="Grenade",_xlfn.IFS(I714&gt;=0.2,1,I714&gt;=0.1,0.7,I714&gt;=0.05,0.4,TRUE,0),0))</f>
        <v>0</v>
      </c>
      <c r="L714" s="57">
        <f t="shared" si="196"/>
        <v>0</v>
      </c>
    </row>
    <row r="715" spans="1:12" ht="15" customHeight="1" x14ac:dyDescent="0.25">
      <c r="A715" s="42" t="str" cm="1">
        <f t="array" ref="A715">IFERROR(INDEX(_xlfn._xlws.FILTER(Class_Players!A:A,Class_Players!B:B="Support"),QUOTIENT(ROW()-ROW($A$2),9)+1),"")</f>
        <v>DaLaoJM_233</v>
      </c>
      <c r="B715" s="42" t="str">
        <f>_xlfn.XLOOKUP(A715,Class_Players!$A:$A,Class_Players!$B:$B,"")</f>
        <v>Support</v>
      </c>
      <c r="C715" s="38" t="str" cm="1">
        <f t="array" ref="C715">INDEX(Lookups!$D$2:$D$10,MOD(ROW()-ROW($B$2),ROWS(Lookups!$D$2:$D$10))+1)</f>
        <v>LWCMS (Mortar)</v>
      </c>
      <c r="D715" s="38" t="str">
        <f>_xlfn.XLOOKUP(C715,Analysis_Gadgets!$C:$C,Analysis_Gadgets!$B:$B)</f>
        <v>Gadget</v>
      </c>
      <c r="E715" s="43">
        <v>49</v>
      </c>
      <c r="F715" s="43">
        <f>_xlfn.XLOOKUP(A715,Class_Players!A:A,Class_Players!G:G)</f>
        <v>220</v>
      </c>
      <c r="G715" s="43">
        <f t="shared" si="193"/>
        <v>0.22272727272727272</v>
      </c>
      <c r="H715" s="43">
        <f>_xlfn.XLOOKUP(A715,Class_Players!$A:$A,Class_Players!$F:$F,"")</f>
        <v>10006</v>
      </c>
      <c r="I715" s="44">
        <f t="shared" si="194"/>
        <v>4.8970617629422349E-3</v>
      </c>
      <c r="J715" s="43">
        <f t="shared" si="195"/>
        <v>0</v>
      </c>
      <c r="K715" s="44" cm="1">
        <f t="array" ref="K715">IF(D715="Gadget",_xlfn.IFS(I715&gt;=0.2,0.5,I715&gt;=0.1,0.35,I715&gt;=0.05,0.2,TRUE,0),IF(D715="Grenade",_xlfn.IFS(I715&gt;=0.2,1,I715&gt;=0.1,0.7,I715&gt;=0.05,0.4,TRUE,0),0))</f>
        <v>0</v>
      </c>
      <c r="L715" s="57">
        <f t="shared" si="196"/>
        <v>0</v>
      </c>
    </row>
    <row r="716" spans="1:12" ht="15" customHeight="1" x14ac:dyDescent="0.25">
      <c r="A716" s="42" t="str" cm="1">
        <f t="array" ref="A716">IFERROR(INDEX(_xlfn._xlws.FILTER(Class_Players!A:A,Class_Players!B:B="Support"),QUOTIENT(ROW()-ROW($A$2),9)+1),"")</f>
        <v>DaLaoJM_233</v>
      </c>
      <c r="B716" s="42" t="str">
        <f>_xlfn.XLOOKUP(A716,Class_Players!$A:$A,Class_Players!$B:$B,"")</f>
        <v>Support</v>
      </c>
      <c r="C716" s="38" t="str" cm="1">
        <f t="array" ref="C716">INDEX(Lookups!$D$2:$D$10,MOD(ROW()-ROW($B$2),ROWS(Lookups!$D$2:$D$10))+1)</f>
        <v>M320A1 SMK (Smoke Grenade Launcher)</v>
      </c>
      <c r="D716" s="38" t="str">
        <f>_xlfn.XLOOKUP(C716,Analysis_Gadgets!$C:$C,Analysis_Gadgets!$B:$B)</f>
        <v>Gadget</v>
      </c>
      <c r="E716" s="43">
        <v>740</v>
      </c>
      <c r="F716" s="43">
        <f>_xlfn.XLOOKUP(A716,Class_Players!A:A,Class_Players!G:G)</f>
        <v>220</v>
      </c>
      <c r="G716" s="43">
        <f t="shared" si="193"/>
        <v>3.3636363636363638</v>
      </c>
      <c r="H716" s="43">
        <f>_xlfn.XLOOKUP(A716,Class_Players!$A:$A,Class_Players!$F:$F,"")</f>
        <v>10006</v>
      </c>
      <c r="I716" s="44">
        <f t="shared" si="194"/>
        <v>7.3955626624025578E-2</v>
      </c>
      <c r="J716" s="43">
        <f t="shared" si="195"/>
        <v>0</v>
      </c>
      <c r="K716" s="44" cm="1">
        <f t="array" ref="K716">IF(D716="Gadget",_xlfn.IFS(I716&gt;=0.2,0.5,I716&gt;=0.1,0.35,I716&gt;=0.05,0.2,TRUE,0),IF(D716="Grenade",_xlfn.IFS(I716&gt;=0.2,1,I716&gt;=0.1,0.7,I716&gt;=0.05,0.4,TRUE,0),0))</f>
        <v>0.2</v>
      </c>
      <c r="L716" s="57">
        <f t="shared" si="196"/>
        <v>0.16666666666666669</v>
      </c>
    </row>
    <row r="717" spans="1:12" ht="15" customHeight="1" x14ac:dyDescent="0.25">
      <c r="A717" s="42" t="str" cm="1">
        <f t="array" ref="A717">IFERROR(INDEX(_xlfn._xlws.FILTER(Class_Players!A:A,Class_Players!B:B="Support"),QUOTIENT(ROW()-ROW($A$2),9)+1),"")</f>
        <v>DaLaoJM_233</v>
      </c>
      <c r="B717" s="42" t="str">
        <f>_xlfn.XLOOKUP(A717,Class_Players!$A:$A,Class_Players!$B:$B,"")</f>
        <v>Support</v>
      </c>
      <c r="C717" s="38" t="str" cm="1">
        <f t="array" ref="C717">INDEX(Lookups!$D$2:$D$10,MOD(ROW()-ROW($B$2),ROWS(Lookups!$D$2:$D$10))+1)</f>
        <v>SICH G1 WP (Incendiary Airburst Launcher)</v>
      </c>
      <c r="D717" s="38" t="str">
        <f>_xlfn.XLOOKUP(C717,Analysis_Gadgets!$C:$C,Analysis_Gadgets!$B:$B)</f>
        <v>Gadget</v>
      </c>
      <c r="E717" s="43">
        <v>258</v>
      </c>
      <c r="F717" s="43">
        <f>_xlfn.XLOOKUP(A717,Class_Players!A:A,Class_Players!G:G)</f>
        <v>220</v>
      </c>
      <c r="G717" s="43">
        <f t="shared" si="193"/>
        <v>1.1727272727272726</v>
      </c>
      <c r="H717" s="43">
        <f>_xlfn.XLOOKUP(A717,Class_Players!$A:$A,Class_Players!$F:$F,"")</f>
        <v>10006</v>
      </c>
      <c r="I717" s="44">
        <f t="shared" si="194"/>
        <v>2.5784529282430541E-2</v>
      </c>
      <c r="J717" s="43">
        <f t="shared" si="195"/>
        <v>0</v>
      </c>
      <c r="K717" s="44" cm="1">
        <f t="array" ref="K717">IF(D717="Gadget",_xlfn.IFS(I717&gt;=0.2,0.5,I717&gt;=0.1,0.35,I717&gt;=0.05,0.2,TRUE,0),IF(D717="Grenade",_xlfn.IFS(I717&gt;=0.2,1,I717&gt;=0.1,0.7,I717&gt;=0.05,0.4,TRUE,0),0))</f>
        <v>0</v>
      </c>
      <c r="L717" s="57">
        <f t="shared" si="196"/>
        <v>0</v>
      </c>
    </row>
    <row r="718" spans="1:12" ht="15" customHeight="1" x14ac:dyDescent="0.25">
      <c r="A718" s="42" t="str" cm="1">
        <f t="array" ref="A718">IFERROR(INDEX(_xlfn._xlws.FILTER(Class_Players!A:A,Class_Players!B:B="Support"),QUOTIENT(ROW()-ROW($A$2),9)+1),"")</f>
        <v>DaLaoJM_233</v>
      </c>
      <c r="B718" s="42" t="str">
        <f>_xlfn.XLOOKUP(A718,Class_Players!$A:$A,Class_Players!$B:$B,"")</f>
        <v>Support</v>
      </c>
      <c r="C718" s="38" t="str" cm="1">
        <f t="array" ref="C718">INDEX(Lookups!$D$2:$D$10,MOD(ROW()-ROW($B$2),ROWS(Lookups!$D$2:$D$10))+1)</f>
        <v>Deployable Cover</v>
      </c>
      <c r="D718" s="38" t="str">
        <f>_xlfn.XLOOKUP(C718,Analysis_Gadgets!$C:$C,Analysis_Gadgets!$B:$B)</f>
        <v>Gadget</v>
      </c>
      <c r="E718" s="43">
        <v>2039</v>
      </c>
      <c r="F718" s="43">
        <f>_xlfn.XLOOKUP(A718,Class_Players!A:A,Class_Players!G:G)</f>
        <v>220</v>
      </c>
      <c r="G718" s="43">
        <f t="shared" si="193"/>
        <v>9.2681818181818176</v>
      </c>
      <c r="H718" s="43">
        <f>_xlfn.XLOOKUP(A718,Class_Players!$A:$A,Class_Players!$F:$F,"")</f>
        <v>10006</v>
      </c>
      <c r="I718" s="44">
        <f t="shared" si="194"/>
        <v>0.203777733359984</v>
      </c>
      <c r="J718" s="43">
        <f t="shared" si="195"/>
        <v>1</v>
      </c>
      <c r="K718" s="44" cm="1">
        <f t="array" ref="K718">IF(D718="Gadget",_xlfn.IFS(I718&gt;=0.2,0.5,I718&gt;=0.1,0.35,I718&gt;=0.05,0.2,TRUE,0),IF(D718="Grenade",_xlfn.IFS(I718&gt;=0.2,1,I718&gt;=0.1,0.7,I718&gt;=0.05,0.4,TRUE,0),0))</f>
        <v>0.5</v>
      </c>
      <c r="L718" s="57">
        <f t="shared" si="196"/>
        <v>0.41666666666666669</v>
      </c>
    </row>
    <row r="719" spans="1:12" ht="15" customHeight="1" x14ac:dyDescent="0.25">
      <c r="A719" s="42" t="str" cm="1">
        <f t="array" ref="A719">IFERROR(INDEX(_xlfn._xlws.FILTER(Class_Players!A:A,Class_Players!B:B="Support"),QUOTIENT(ROW()-ROW($A$2),9)+1),"")</f>
        <v>DaLaoJM_233</v>
      </c>
      <c r="B719" s="42" t="str">
        <f>_xlfn.XLOOKUP(A719,Class_Players!$A:$A,Class_Players!$B:$B,"")</f>
        <v>Support</v>
      </c>
      <c r="C719" s="38" t="str" cm="1">
        <f t="array" ref="C719">INDEX(Lookups!$D$2:$D$10,MOD(ROW()-ROW($B$2),ROWS(Lookups!$D$2:$D$10))+1)</f>
        <v>Supply Pouch</v>
      </c>
      <c r="D719" s="38" t="str">
        <f>_xlfn.XLOOKUP(C719,Analysis_Gadgets!$C:$C,Analysis_Gadgets!$B:$B)</f>
        <v>Gadget</v>
      </c>
      <c r="E719" s="43">
        <v>10515</v>
      </c>
      <c r="F719" s="43">
        <f>_xlfn.XLOOKUP(A719,Class_Players!A:A,Class_Players!G:G)</f>
        <v>220</v>
      </c>
      <c r="G719" s="43">
        <f t="shared" si="193"/>
        <v>47.795454545454547</v>
      </c>
      <c r="H719" s="43">
        <f>_xlfn.XLOOKUP(A719,Class_Players!$A:$A,Class_Players!$F:$F,"")</f>
        <v>10006</v>
      </c>
      <c r="I719" s="44">
        <f t="shared" si="194"/>
        <v>1.0508694783130121</v>
      </c>
      <c r="J719" s="43">
        <f t="shared" si="195"/>
        <v>1</v>
      </c>
      <c r="K719" s="44" cm="1">
        <f t="array" ref="K719">IF(D719="Gadget",_xlfn.IFS(I719&gt;=0.2,0.5,I719&gt;=0.1,0.35,I719&gt;=0.05,0.2,TRUE,0),IF(D719="Grenade",_xlfn.IFS(I719&gt;=0.2,1,I719&gt;=0.1,0.7,I719&gt;=0.05,0.4,TRUE,0),0))</f>
        <v>0.5</v>
      </c>
      <c r="L719" s="57">
        <f t="shared" si="196"/>
        <v>0.41666666666666669</v>
      </c>
    </row>
    <row r="720" spans="1:12" ht="15" customHeight="1" x14ac:dyDescent="0.25">
      <c r="A720" s="42" t="str" cm="1">
        <f t="array" ref="A720">IFERROR(INDEX(_xlfn._xlws.FILTER(Class_Players!A:A,Class_Players!B:B="Support"),QUOTIENT(ROW()-ROW($A$2),9)+1),"")</f>
        <v>DaLaoJM_233</v>
      </c>
      <c r="B720" s="42" t="str">
        <f>_xlfn.XLOOKUP(A720,Class_Players!$A:$A,Class_Players!$B:$B,"")</f>
        <v>Support</v>
      </c>
      <c r="C720" s="38" t="str" cm="1">
        <f t="array" ref="C720">INDEX(Lookups!$D$2:$D$10,MOD(ROW()-ROW($B$2),ROWS(Lookups!$D$2:$D$10))+1)</f>
        <v>Smoke Grenade</v>
      </c>
      <c r="D720" s="38" t="str">
        <f>_xlfn.XLOOKUP(C720,Analysis_Gadgets!$C:$C,Analysis_Gadgets!$B:$B)</f>
        <v>Grenade</v>
      </c>
      <c r="E720" s="43">
        <v>16367</v>
      </c>
      <c r="F720" s="43">
        <f>_xlfn.XLOOKUP(A720,Class_Players!A:A,Class_Players!G:G)</f>
        <v>220</v>
      </c>
      <c r="G720" s="43">
        <f t="shared" si="193"/>
        <v>74.395454545454541</v>
      </c>
      <c r="H720" s="43">
        <f>_xlfn.XLOOKUP(A720,Class_Players!$A:$A,Class_Players!$F:$F,"")</f>
        <v>10006</v>
      </c>
      <c r="I720" s="44">
        <f t="shared" si="194"/>
        <v>1.6357185688586848</v>
      </c>
      <c r="J720" s="43">
        <f t="shared" si="195"/>
        <v>1</v>
      </c>
      <c r="K720" s="44" cm="1">
        <f t="array" ref="K720">IF(D720="Gadget",_xlfn.IFS(I720&gt;=0.2,0.5,I720&gt;=0.1,0.35,I720&gt;=0.05,0.2,TRUE,0),IF(D720="Grenade",_xlfn.IFS(I720&gt;=0.2,1,I720&gt;=0.1,0.7,I720&gt;=0.05,0.4,TRUE,0),0))</f>
        <v>1</v>
      </c>
      <c r="L720" s="57">
        <f t="shared" ref="L720:L721" si="197">IF($K720=0,0,$K720 / SUMIFS($K:$K,$A:$A,$A720,$D:$D,"Grenade"))</f>
        <v>1</v>
      </c>
    </row>
    <row r="721" spans="1:12" ht="15" customHeight="1" x14ac:dyDescent="0.25">
      <c r="A721" s="42" t="str" cm="1">
        <f t="array" ref="A721">IFERROR(INDEX(_xlfn._xlws.FILTER(Class_Players!A:A,Class_Players!B:B="Support"),QUOTIENT(ROW()-ROW($A$2),9)+1),"")</f>
        <v>DaLaoJM_233</v>
      </c>
      <c r="B721" s="42" t="str">
        <f>_xlfn.XLOOKUP(A721,Class_Players!$A:$A,Class_Players!$B:$B,"")</f>
        <v>Support</v>
      </c>
      <c r="C721" s="38" t="str" cm="1">
        <f t="array" ref="C721">INDEX(Lookups!$D$2:$D$10,MOD(ROW()-ROW($B$2),ROWS(Lookups!$D$2:$D$10))+1)</f>
        <v>Incendiary Grenade</v>
      </c>
      <c r="D721" s="38" t="str">
        <f>_xlfn.XLOOKUP(C721,Analysis_Gadgets!$C:$C,Analysis_Gadgets!$B:$B)</f>
        <v>Grenade</v>
      </c>
      <c r="E721" s="43">
        <v>381</v>
      </c>
      <c r="F721" s="43">
        <f>_xlfn.XLOOKUP(A721,Class_Players!A:A,Class_Players!G:G)</f>
        <v>220</v>
      </c>
      <c r="G721" s="43">
        <f t="shared" si="193"/>
        <v>1.7318181818181819</v>
      </c>
      <c r="H721" s="43">
        <f>_xlfn.XLOOKUP(A721,Class_Players!$A:$A,Class_Players!$F:$F,"")</f>
        <v>10006</v>
      </c>
      <c r="I721" s="44">
        <f t="shared" si="194"/>
        <v>3.8077153707775334E-2</v>
      </c>
      <c r="J721" s="43">
        <f t="shared" si="195"/>
        <v>0</v>
      </c>
      <c r="K721" s="44" cm="1">
        <f t="array" ref="K721">IF(D721="Gadget",_xlfn.IFS(I721&gt;=0.2,0.5,I721&gt;=0.1,0.35,I721&gt;=0.05,0.2,TRUE,0),IF(D721="Grenade",_xlfn.IFS(I721&gt;=0.2,1,I721&gt;=0.1,0.7,I721&gt;=0.05,0.4,TRUE,0),0))</f>
        <v>0</v>
      </c>
      <c r="L721" s="57">
        <f t="shared" si="197"/>
        <v>0</v>
      </c>
    </row>
    <row r="722" spans="1:12" ht="15" customHeight="1" x14ac:dyDescent="0.25">
      <c r="A722" s="42" t="str" cm="1">
        <f t="array" ref="A722">IFERROR(INDEX(_xlfn._xlws.FILTER(Class_Players!A:A,Class_Players!B:B="Support"),QUOTIENT(ROW()-ROW($A$2),9)+1),"")</f>
        <v>Ptooey</v>
      </c>
      <c r="B722" s="42" t="str">
        <f>_xlfn.XLOOKUP(A722,Class_Players!$A:$A,Class_Players!$B:$B,"")</f>
        <v>Support</v>
      </c>
      <c r="C722" s="38" t="str" cm="1">
        <f t="array" ref="C722">INDEX(Lookups!$D$2:$D$10,MOD(ROW()-ROW($B$2),ROWS(Lookups!$D$2:$D$10))+1)</f>
        <v>GPDIS (Grenade intercept system)</v>
      </c>
      <c r="D722" s="38" t="str">
        <f>_xlfn.XLOOKUP(C722,Analysis_Gadgets!$C:$C,Analysis_Gadgets!$B:$B)</f>
        <v>Gadget</v>
      </c>
      <c r="E722" s="43">
        <v>48</v>
      </c>
      <c r="F722" s="43">
        <f>_xlfn.XLOOKUP(A722,Class_Players!A:A,Class_Players!G:G)</f>
        <v>226</v>
      </c>
      <c r="G722" s="43">
        <f t="shared" si="193"/>
        <v>0.21238938053097345</v>
      </c>
      <c r="H722" s="43">
        <f>_xlfn.XLOOKUP(A722,Class_Players!$A:$A,Class_Players!$F:$F,"")</f>
        <v>9967</v>
      </c>
      <c r="I722" s="44">
        <f t="shared" si="194"/>
        <v>4.8158924450687271E-3</v>
      </c>
      <c r="J722" s="43">
        <f t="shared" si="195"/>
        <v>0</v>
      </c>
      <c r="K722" s="44" cm="1">
        <f t="array" ref="K722">IF(D722="Gadget",_xlfn.IFS(I722&gt;=0.2,0.5,I722&gt;=0.1,0.35,I722&gt;=0.05,0.2,TRUE,0),IF(D722="Grenade",_xlfn.IFS(I722&gt;=0.2,1,I722&gt;=0.1,0.7,I722&gt;=0.05,0.4,TRUE,0),0))</f>
        <v>0</v>
      </c>
      <c r="L722" s="57">
        <f t="shared" ref="L722:L728" si="198">IF($K722=0,0,$K722 / SUMIFS($K:$K,$A:$A,$A722,$D:$D,"Gadget"))</f>
        <v>0</v>
      </c>
    </row>
    <row r="723" spans="1:12" ht="15" customHeight="1" x14ac:dyDescent="0.25">
      <c r="A723" s="42" t="str" cm="1">
        <f t="array" ref="A723">IFERROR(INDEX(_xlfn._xlws.FILTER(Class_Players!A:A,Class_Players!B:B="Support"),QUOTIENT(ROW()-ROW($A$2),9)+1),"")</f>
        <v>Ptooey</v>
      </c>
      <c r="B723" s="42" t="str">
        <f>_xlfn.XLOOKUP(A723,Class_Players!$A:$A,Class_Players!$B:$B,"")</f>
        <v>Support</v>
      </c>
      <c r="C723" s="38" t="str" cm="1">
        <f t="array" ref="C723">INDEX(Lookups!$D$2:$D$10,MOD(ROW()-ROW($B$2),ROWS(Lookups!$D$2:$D$10))+1)</f>
        <v>MP-APS (Missile intercept system)</v>
      </c>
      <c r="D723" s="38" t="str">
        <f>_xlfn.XLOOKUP(C723,Analysis_Gadgets!$C:$C,Analysis_Gadgets!$B:$B)</f>
        <v>Gadget</v>
      </c>
      <c r="E723" s="43">
        <v>0</v>
      </c>
      <c r="F723" s="43">
        <f>_xlfn.XLOOKUP(A723,Class_Players!A:A,Class_Players!G:G)</f>
        <v>226</v>
      </c>
      <c r="G723" s="43">
        <f t="shared" si="193"/>
        <v>0</v>
      </c>
      <c r="H723" s="43">
        <f>_xlfn.XLOOKUP(A723,Class_Players!$A:$A,Class_Players!$F:$F,"")</f>
        <v>9967</v>
      </c>
      <c r="I723" s="44">
        <f t="shared" si="194"/>
        <v>0</v>
      </c>
      <c r="J723" s="43">
        <f t="shared" si="195"/>
        <v>0</v>
      </c>
      <c r="K723" s="44" cm="1">
        <f t="array" ref="K723">IF(D723="Gadget",_xlfn.IFS(I723&gt;=0.2,0.5,I723&gt;=0.1,0.35,I723&gt;=0.05,0.2,TRUE,0),IF(D723="Grenade",_xlfn.IFS(I723&gt;=0.2,1,I723&gt;=0.1,0.7,I723&gt;=0.05,0.4,TRUE,0),0))</f>
        <v>0</v>
      </c>
      <c r="L723" s="57">
        <f t="shared" si="198"/>
        <v>0</v>
      </c>
    </row>
    <row r="724" spans="1:12" ht="15" customHeight="1" x14ac:dyDescent="0.25">
      <c r="A724" s="42" t="str" cm="1">
        <f t="array" ref="A724">IFERROR(INDEX(_xlfn._xlws.FILTER(Class_Players!A:A,Class_Players!B:B="Support"),QUOTIENT(ROW()-ROW($A$2),9)+1),"")</f>
        <v>Ptooey</v>
      </c>
      <c r="B724" s="42" t="str">
        <f>_xlfn.XLOOKUP(A724,Class_Players!$A:$A,Class_Players!$B:$B,"")</f>
        <v>Support</v>
      </c>
      <c r="C724" s="38" t="str" cm="1">
        <f t="array" ref="C724">INDEX(Lookups!$D$2:$D$10,MOD(ROW()-ROW($B$2),ROWS(Lookups!$D$2:$D$10))+1)</f>
        <v>LWCMS (Mortar)</v>
      </c>
      <c r="D724" s="38" t="str">
        <f>_xlfn.XLOOKUP(C724,Analysis_Gadgets!$C:$C,Analysis_Gadgets!$B:$B)</f>
        <v>Gadget</v>
      </c>
      <c r="E724" s="43">
        <v>1</v>
      </c>
      <c r="F724" s="43">
        <f>_xlfn.XLOOKUP(A724,Class_Players!A:A,Class_Players!G:G)</f>
        <v>226</v>
      </c>
      <c r="G724" s="43">
        <f t="shared" si="193"/>
        <v>4.4247787610619468E-3</v>
      </c>
      <c r="H724" s="43">
        <f>_xlfn.XLOOKUP(A724,Class_Players!$A:$A,Class_Players!$F:$F,"")</f>
        <v>9967</v>
      </c>
      <c r="I724" s="44">
        <f t="shared" si="194"/>
        <v>1.0033109260559848E-4</v>
      </c>
      <c r="J724" s="43">
        <f t="shared" si="195"/>
        <v>0</v>
      </c>
      <c r="K724" s="44" cm="1">
        <f t="array" ref="K724">IF(D724="Gadget",_xlfn.IFS(I724&gt;=0.2,0.5,I724&gt;=0.1,0.35,I724&gt;=0.05,0.2,TRUE,0),IF(D724="Grenade",_xlfn.IFS(I724&gt;=0.2,1,I724&gt;=0.1,0.7,I724&gt;=0.05,0.4,TRUE,0),0))</f>
        <v>0</v>
      </c>
      <c r="L724" s="57">
        <f t="shared" si="198"/>
        <v>0</v>
      </c>
    </row>
    <row r="725" spans="1:12" ht="15" customHeight="1" x14ac:dyDescent="0.25">
      <c r="A725" s="42" t="str" cm="1">
        <f t="array" ref="A725">IFERROR(INDEX(_xlfn._xlws.FILTER(Class_Players!A:A,Class_Players!B:B="Support"),QUOTIENT(ROW()-ROW($A$2),9)+1),"")</f>
        <v>Ptooey</v>
      </c>
      <c r="B725" s="42" t="str">
        <f>_xlfn.XLOOKUP(A725,Class_Players!$A:$A,Class_Players!$B:$B,"")</f>
        <v>Support</v>
      </c>
      <c r="C725" s="38" t="str" cm="1">
        <f t="array" ref="C725">INDEX(Lookups!$D$2:$D$10,MOD(ROW()-ROW($B$2),ROWS(Lookups!$D$2:$D$10))+1)</f>
        <v>M320A1 SMK (Smoke Grenade Launcher)</v>
      </c>
      <c r="D725" s="38" t="str">
        <f>_xlfn.XLOOKUP(C725,Analysis_Gadgets!$C:$C,Analysis_Gadgets!$B:$B)</f>
        <v>Gadget</v>
      </c>
      <c r="E725" s="43">
        <v>72</v>
      </c>
      <c r="F725" s="43">
        <f>_xlfn.XLOOKUP(A725,Class_Players!A:A,Class_Players!G:G)</f>
        <v>226</v>
      </c>
      <c r="G725" s="43">
        <f t="shared" si="193"/>
        <v>0.31858407079646017</v>
      </c>
      <c r="H725" s="43">
        <f>_xlfn.XLOOKUP(A725,Class_Players!$A:$A,Class_Players!$F:$F,"")</f>
        <v>9967</v>
      </c>
      <c r="I725" s="44">
        <f t="shared" si="194"/>
        <v>7.2238386676030898E-3</v>
      </c>
      <c r="J725" s="43">
        <f t="shared" si="195"/>
        <v>0</v>
      </c>
      <c r="K725" s="44" cm="1">
        <f t="array" ref="K725">IF(D725="Gadget",_xlfn.IFS(I725&gt;=0.2,0.5,I725&gt;=0.1,0.35,I725&gt;=0.05,0.2,TRUE,0),IF(D725="Grenade",_xlfn.IFS(I725&gt;=0.2,1,I725&gt;=0.1,0.7,I725&gt;=0.05,0.4,TRUE,0),0))</f>
        <v>0</v>
      </c>
      <c r="L725" s="57">
        <f t="shared" si="198"/>
        <v>0</v>
      </c>
    </row>
    <row r="726" spans="1:12" ht="15" customHeight="1" x14ac:dyDescent="0.25">
      <c r="A726" s="42" t="str" cm="1">
        <f t="array" ref="A726">IFERROR(INDEX(_xlfn._xlws.FILTER(Class_Players!A:A,Class_Players!B:B="Support"),QUOTIENT(ROW()-ROW($A$2),9)+1),"")</f>
        <v>Ptooey</v>
      </c>
      <c r="B726" s="42" t="str">
        <f>_xlfn.XLOOKUP(A726,Class_Players!$A:$A,Class_Players!$B:$B,"")</f>
        <v>Support</v>
      </c>
      <c r="C726" s="38" t="str" cm="1">
        <f t="array" ref="C726">INDEX(Lookups!$D$2:$D$10,MOD(ROW()-ROW($B$2),ROWS(Lookups!$D$2:$D$10))+1)</f>
        <v>SICH G1 WP (Incendiary Airburst Launcher)</v>
      </c>
      <c r="D726" s="38" t="str">
        <f>_xlfn.XLOOKUP(C726,Analysis_Gadgets!$C:$C,Analysis_Gadgets!$B:$B)</f>
        <v>Gadget</v>
      </c>
      <c r="E726" s="43">
        <v>0</v>
      </c>
      <c r="F726" s="43">
        <f>_xlfn.XLOOKUP(A726,Class_Players!A:A,Class_Players!G:G)</f>
        <v>226</v>
      </c>
      <c r="G726" s="43">
        <f t="shared" si="193"/>
        <v>0</v>
      </c>
      <c r="H726" s="43">
        <f>_xlfn.XLOOKUP(A726,Class_Players!$A:$A,Class_Players!$F:$F,"")</f>
        <v>9967</v>
      </c>
      <c r="I726" s="44">
        <f t="shared" si="194"/>
        <v>0</v>
      </c>
      <c r="J726" s="43">
        <f t="shared" si="195"/>
        <v>0</v>
      </c>
      <c r="K726" s="44" cm="1">
        <f t="array" ref="K726">IF(D726="Gadget",_xlfn.IFS(I726&gt;=0.2,0.5,I726&gt;=0.1,0.35,I726&gt;=0.05,0.2,TRUE,0),IF(D726="Grenade",_xlfn.IFS(I726&gt;=0.2,1,I726&gt;=0.1,0.7,I726&gt;=0.05,0.4,TRUE,0),0))</f>
        <v>0</v>
      </c>
      <c r="L726" s="57">
        <f t="shared" si="198"/>
        <v>0</v>
      </c>
    </row>
    <row r="727" spans="1:12" ht="15" customHeight="1" x14ac:dyDescent="0.25">
      <c r="A727" s="42" t="str" cm="1">
        <f t="array" ref="A727">IFERROR(INDEX(_xlfn._xlws.FILTER(Class_Players!A:A,Class_Players!B:B="Support"),QUOTIENT(ROW()-ROW($A$2),9)+1),"")</f>
        <v>Ptooey</v>
      </c>
      <c r="B727" s="42" t="str">
        <f>_xlfn.XLOOKUP(A727,Class_Players!$A:$A,Class_Players!$B:$B,"")</f>
        <v>Support</v>
      </c>
      <c r="C727" s="38" t="str" cm="1">
        <f t="array" ref="C727">INDEX(Lookups!$D$2:$D$10,MOD(ROW()-ROW($B$2),ROWS(Lookups!$D$2:$D$10))+1)</f>
        <v>Deployable Cover</v>
      </c>
      <c r="D727" s="38" t="str">
        <f>_xlfn.XLOOKUP(C727,Analysis_Gadgets!$C:$C,Analysis_Gadgets!$B:$B)</f>
        <v>Gadget</v>
      </c>
      <c r="E727" s="43">
        <v>2176</v>
      </c>
      <c r="F727" s="43">
        <f>_xlfn.XLOOKUP(A727,Class_Players!A:A,Class_Players!G:G)</f>
        <v>226</v>
      </c>
      <c r="G727" s="43">
        <f t="shared" si="193"/>
        <v>9.6283185840707972</v>
      </c>
      <c r="H727" s="43">
        <f>_xlfn.XLOOKUP(A727,Class_Players!$A:$A,Class_Players!$F:$F,"")</f>
        <v>9967</v>
      </c>
      <c r="I727" s="44">
        <f t="shared" si="194"/>
        <v>0.2183204575097823</v>
      </c>
      <c r="J727" s="43">
        <f t="shared" si="195"/>
        <v>1</v>
      </c>
      <c r="K727" s="44" cm="1">
        <f t="array" ref="K727">IF(D727="Gadget",_xlfn.IFS(I727&gt;=0.2,0.5,I727&gt;=0.1,0.35,I727&gt;=0.05,0.2,TRUE,0),IF(D727="Grenade",_xlfn.IFS(I727&gt;=0.2,1,I727&gt;=0.1,0.7,I727&gt;=0.05,0.4,TRUE,0),0))</f>
        <v>0.5</v>
      </c>
      <c r="L727" s="57">
        <f t="shared" si="198"/>
        <v>0.5</v>
      </c>
    </row>
    <row r="728" spans="1:12" ht="15" customHeight="1" x14ac:dyDescent="0.25">
      <c r="A728" s="42" t="str" cm="1">
        <f t="array" ref="A728">IFERROR(INDEX(_xlfn._xlws.FILTER(Class_Players!A:A,Class_Players!B:B="Support"),QUOTIENT(ROW()-ROW($A$2),9)+1),"")</f>
        <v>Ptooey</v>
      </c>
      <c r="B728" s="42" t="str">
        <f>_xlfn.XLOOKUP(A728,Class_Players!$A:$A,Class_Players!$B:$B,"")</f>
        <v>Support</v>
      </c>
      <c r="C728" s="38" t="str" cm="1">
        <f t="array" ref="C728">INDEX(Lookups!$D$2:$D$10,MOD(ROW()-ROW($B$2),ROWS(Lookups!$D$2:$D$10))+1)</f>
        <v>Supply Pouch</v>
      </c>
      <c r="D728" s="38" t="str">
        <f>_xlfn.XLOOKUP(C728,Analysis_Gadgets!$C:$C,Analysis_Gadgets!$B:$B)</f>
        <v>Gadget</v>
      </c>
      <c r="E728" s="43">
        <v>2492</v>
      </c>
      <c r="F728" s="43">
        <f>_xlfn.XLOOKUP(A728,Class_Players!A:A,Class_Players!G:G)</f>
        <v>226</v>
      </c>
      <c r="G728" s="43">
        <f t="shared" si="193"/>
        <v>11.026548672566372</v>
      </c>
      <c r="H728" s="43">
        <f>_xlfn.XLOOKUP(A728,Class_Players!$A:$A,Class_Players!$F:$F,"")</f>
        <v>9967</v>
      </c>
      <c r="I728" s="44">
        <f t="shared" si="194"/>
        <v>0.25002508277315139</v>
      </c>
      <c r="J728" s="43">
        <f t="shared" si="195"/>
        <v>1</v>
      </c>
      <c r="K728" s="44" cm="1">
        <f t="array" ref="K728">IF(D728="Gadget",_xlfn.IFS(I728&gt;=0.2,0.5,I728&gt;=0.1,0.35,I728&gt;=0.05,0.2,TRUE,0),IF(D728="Grenade",_xlfn.IFS(I728&gt;=0.2,1,I728&gt;=0.1,0.7,I728&gt;=0.05,0.4,TRUE,0),0))</f>
        <v>0.5</v>
      </c>
      <c r="L728" s="57">
        <f t="shared" si="198"/>
        <v>0.5</v>
      </c>
    </row>
    <row r="729" spans="1:12" ht="15" customHeight="1" x14ac:dyDescent="0.25">
      <c r="A729" s="42" t="str" cm="1">
        <f t="array" ref="A729">IFERROR(INDEX(_xlfn._xlws.FILTER(Class_Players!A:A,Class_Players!B:B="Support"),QUOTIENT(ROW()-ROW($A$2),9)+1),"")</f>
        <v>Ptooey</v>
      </c>
      <c r="B729" s="42" t="str">
        <f>_xlfn.XLOOKUP(A729,Class_Players!$A:$A,Class_Players!$B:$B,"")</f>
        <v>Support</v>
      </c>
      <c r="C729" s="38" t="str" cm="1">
        <f t="array" ref="C729">INDEX(Lookups!$D$2:$D$10,MOD(ROW()-ROW($B$2),ROWS(Lookups!$D$2:$D$10))+1)</f>
        <v>Smoke Grenade</v>
      </c>
      <c r="D729" s="38" t="str">
        <f>_xlfn.XLOOKUP(C729,Analysis_Gadgets!$C:$C,Analysis_Gadgets!$B:$B)</f>
        <v>Grenade</v>
      </c>
      <c r="E729" s="43">
        <v>6772</v>
      </c>
      <c r="F729" s="43">
        <f>_xlfn.XLOOKUP(A729,Class_Players!A:A,Class_Players!G:G)</f>
        <v>226</v>
      </c>
      <c r="G729" s="43">
        <f t="shared" si="193"/>
        <v>29.964601769911503</v>
      </c>
      <c r="H729" s="43">
        <f>_xlfn.XLOOKUP(A729,Class_Players!$A:$A,Class_Players!$F:$F,"")</f>
        <v>9967</v>
      </c>
      <c r="I729" s="44">
        <f t="shared" si="194"/>
        <v>0.67944215912511285</v>
      </c>
      <c r="J729" s="43">
        <f t="shared" si="195"/>
        <v>1</v>
      </c>
      <c r="K729" s="44" cm="1">
        <f t="array" ref="K729">IF(D729="Gadget",_xlfn.IFS(I729&gt;=0.2,0.5,I729&gt;=0.1,0.35,I729&gt;=0.05,0.2,TRUE,0),IF(D729="Grenade",_xlfn.IFS(I729&gt;=0.2,1,I729&gt;=0.1,0.7,I729&gt;=0.05,0.4,TRUE,0),0))</f>
        <v>1</v>
      </c>
      <c r="L729" s="57">
        <f t="shared" ref="L729:L730" si="199">IF($K729=0,0,$K729 / SUMIFS($K:$K,$A:$A,$A729,$D:$D,"Grenade"))</f>
        <v>1</v>
      </c>
    </row>
    <row r="730" spans="1:12" ht="15" customHeight="1" x14ac:dyDescent="0.25">
      <c r="A730" s="42" t="str" cm="1">
        <f t="array" ref="A730">IFERROR(INDEX(_xlfn._xlws.FILTER(Class_Players!A:A,Class_Players!B:B="Support"),QUOTIENT(ROW()-ROW($A$2),9)+1),"")</f>
        <v>Ptooey</v>
      </c>
      <c r="B730" s="42" t="str">
        <f>_xlfn.XLOOKUP(A730,Class_Players!$A:$A,Class_Players!$B:$B,"")</f>
        <v>Support</v>
      </c>
      <c r="C730" s="38" t="str" cm="1">
        <f t="array" ref="C730">INDEX(Lookups!$D$2:$D$10,MOD(ROW()-ROW($B$2),ROWS(Lookups!$D$2:$D$10))+1)</f>
        <v>Incendiary Grenade</v>
      </c>
      <c r="D730" s="38" t="str">
        <f>_xlfn.XLOOKUP(C730,Analysis_Gadgets!$C:$C,Analysis_Gadgets!$B:$B)</f>
        <v>Grenade</v>
      </c>
      <c r="E730" s="43">
        <v>11</v>
      </c>
      <c r="F730" s="43">
        <f>_xlfn.XLOOKUP(A730,Class_Players!A:A,Class_Players!G:G)</f>
        <v>226</v>
      </c>
      <c r="G730" s="43">
        <f t="shared" si="193"/>
        <v>4.8672566371681415E-2</v>
      </c>
      <c r="H730" s="43">
        <f>_xlfn.XLOOKUP(A730,Class_Players!$A:$A,Class_Players!$F:$F,"")</f>
        <v>9967</v>
      </c>
      <c r="I730" s="44">
        <f t="shared" si="194"/>
        <v>1.1036420186615833E-3</v>
      </c>
      <c r="J730" s="43">
        <f t="shared" si="195"/>
        <v>0</v>
      </c>
      <c r="K730" s="44" cm="1">
        <f t="array" ref="K730">IF(D730="Gadget",_xlfn.IFS(I730&gt;=0.2,0.5,I730&gt;=0.1,0.35,I730&gt;=0.05,0.2,TRUE,0),IF(D730="Grenade",_xlfn.IFS(I730&gt;=0.2,1,I730&gt;=0.1,0.7,I730&gt;=0.05,0.4,TRUE,0),0))</f>
        <v>0</v>
      </c>
      <c r="L730" s="57">
        <f t="shared" si="199"/>
        <v>0</v>
      </c>
    </row>
    <row r="731" spans="1:12" ht="15" customHeight="1" x14ac:dyDescent="0.25">
      <c r="A731" s="42" t="str" cm="1">
        <f t="array" ref="A731">IFERROR(INDEX(_xlfn._xlws.FILTER(Class_Players!A:A,Class_Players!B:B="Support"),QUOTIENT(ROW()-ROW($A$2),9)+1),"")</f>
        <v>DarthR0b</v>
      </c>
      <c r="B731" s="42" t="str">
        <f>_xlfn.XLOOKUP(A731,Class_Players!$A:$A,Class_Players!$B:$B,"")</f>
        <v>Support</v>
      </c>
      <c r="C731" s="38" t="str" cm="1">
        <f t="array" ref="C731">INDEX(Lookups!$D$2:$D$10,MOD(ROW()-ROW($B$2),ROWS(Lookups!$D$2:$D$10))+1)</f>
        <v>GPDIS (Grenade intercept system)</v>
      </c>
      <c r="D731" s="38" t="str">
        <f>_xlfn.XLOOKUP(C731,Analysis_Gadgets!$C:$C,Analysis_Gadgets!$B:$B)</f>
        <v>Gadget</v>
      </c>
      <c r="E731" s="43">
        <v>426</v>
      </c>
      <c r="F731" s="43">
        <f>_xlfn.XLOOKUP(A731,Class_Players!A:A,Class_Players!G:G)</f>
        <v>246</v>
      </c>
      <c r="G731" s="43">
        <f t="shared" si="193"/>
        <v>1.7317073170731707</v>
      </c>
      <c r="H731" s="43">
        <f>_xlfn.XLOOKUP(A731,Class_Players!$A:$A,Class_Players!$F:$F,"")</f>
        <v>9928</v>
      </c>
      <c r="I731" s="44">
        <f t="shared" si="194"/>
        <v>4.2908944399677677E-2</v>
      </c>
      <c r="J731" s="43">
        <f t="shared" si="195"/>
        <v>0</v>
      </c>
      <c r="K731" s="44" cm="1">
        <f t="array" ref="K731">IF(D731="Gadget",_xlfn.IFS(I731&gt;=0.2,0.5,I731&gt;=0.1,0.35,I731&gt;=0.05,0.2,TRUE,0),IF(D731="Grenade",_xlfn.IFS(I731&gt;=0.2,1,I731&gt;=0.1,0.7,I731&gt;=0.05,0.4,TRUE,0),0))</f>
        <v>0</v>
      </c>
      <c r="L731" s="57">
        <f t="shared" ref="L731:L737" si="200">IF($K731=0,0,$K731 / SUMIFS($K:$K,$A:$A,$A731,$D:$D,"Gadget"))</f>
        <v>0</v>
      </c>
    </row>
    <row r="732" spans="1:12" ht="15" customHeight="1" x14ac:dyDescent="0.25">
      <c r="A732" s="42" t="str" cm="1">
        <f t="array" ref="A732">IFERROR(INDEX(_xlfn._xlws.FILTER(Class_Players!A:A,Class_Players!B:B="Support"),QUOTIENT(ROW()-ROW($A$2),9)+1),"")</f>
        <v>DarthR0b</v>
      </c>
      <c r="B732" s="42" t="str">
        <f>_xlfn.XLOOKUP(A732,Class_Players!$A:$A,Class_Players!$B:$B,"")</f>
        <v>Support</v>
      </c>
      <c r="C732" s="38" t="str" cm="1">
        <f t="array" ref="C732">INDEX(Lookups!$D$2:$D$10,MOD(ROW()-ROW($B$2),ROWS(Lookups!$D$2:$D$10))+1)</f>
        <v>MP-APS (Missile intercept system)</v>
      </c>
      <c r="D732" s="38" t="str">
        <f>_xlfn.XLOOKUP(C732,Analysis_Gadgets!$C:$C,Analysis_Gadgets!$B:$B)</f>
        <v>Gadget</v>
      </c>
      <c r="E732" s="43">
        <v>23</v>
      </c>
      <c r="F732" s="43">
        <f>_xlfn.XLOOKUP(A732,Class_Players!A:A,Class_Players!G:G)</f>
        <v>246</v>
      </c>
      <c r="G732" s="43">
        <f t="shared" si="193"/>
        <v>9.3495934959349589E-2</v>
      </c>
      <c r="H732" s="43">
        <f>_xlfn.XLOOKUP(A732,Class_Players!$A:$A,Class_Players!$F:$F,"")</f>
        <v>9928</v>
      </c>
      <c r="I732" s="44">
        <f t="shared" si="194"/>
        <v>2.3166800966962129E-3</v>
      </c>
      <c r="J732" s="43">
        <f t="shared" si="195"/>
        <v>0</v>
      </c>
      <c r="K732" s="44" cm="1">
        <f t="array" ref="K732">IF(D732="Gadget",_xlfn.IFS(I732&gt;=0.2,0.5,I732&gt;=0.1,0.35,I732&gt;=0.05,0.2,TRUE,0),IF(D732="Grenade",_xlfn.IFS(I732&gt;=0.2,1,I732&gt;=0.1,0.7,I732&gt;=0.05,0.4,TRUE,0),0))</f>
        <v>0</v>
      </c>
      <c r="L732" s="57">
        <f t="shared" si="200"/>
        <v>0</v>
      </c>
    </row>
    <row r="733" spans="1:12" ht="15" customHeight="1" x14ac:dyDescent="0.25">
      <c r="A733" s="42" t="str" cm="1">
        <f t="array" ref="A733">IFERROR(INDEX(_xlfn._xlws.FILTER(Class_Players!A:A,Class_Players!B:B="Support"),QUOTIENT(ROW()-ROW($A$2),9)+1),"")</f>
        <v>DarthR0b</v>
      </c>
      <c r="B733" s="42" t="str">
        <f>_xlfn.XLOOKUP(A733,Class_Players!$A:$A,Class_Players!$B:$B,"")</f>
        <v>Support</v>
      </c>
      <c r="C733" s="38" t="str" cm="1">
        <f t="array" ref="C733">INDEX(Lookups!$D$2:$D$10,MOD(ROW()-ROW($B$2),ROWS(Lookups!$D$2:$D$10))+1)</f>
        <v>LWCMS (Mortar)</v>
      </c>
      <c r="D733" s="38" t="str">
        <f>_xlfn.XLOOKUP(C733,Analysis_Gadgets!$C:$C,Analysis_Gadgets!$B:$B)</f>
        <v>Gadget</v>
      </c>
      <c r="E733" s="43">
        <v>0</v>
      </c>
      <c r="F733" s="43">
        <f>_xlfn.XLOOKUP(A733,Class_Players!A:A,Class_Players!G:G)</f>
        <v>246</v>
      </c>
      <c r="G733" s="43">
        <f t="shared" si="193"/>
        <v>0</v>
      </c>
      <c r="H733" s="43">
        <f>_xlfn.XLOOKUP(A733,Class_Players!$A:$A,Class_Players!$F:$F,"")</f>
        <v>9928</v>
      </c>
      <c r="I733" s="44">
        <f t="shared" si="194"/>
        <v>0</v>
      </c>
      <c r="J733" s="43">
        <f t="shared" si="195"/>
        <v>0</v>
      </c>
      <c r="K733" s="44" cm="1">
        <f t="array" ref="K733">IF(D733="Gadget",_xlfn.IFS(I733&gt;=0.2,0.5,I733&gt;=0.1,0.35,I733&gt;=0.05,0.2,TRUE,0),IF(D733="Grenade",_xlfn.IFS(I733&gt;=0.2,1,I733&gt;=0.1,0.7,I733&gt;=0.05,0.4,TRUE,0),0))</f>
        <v>0</v>
      </c>
      <c r="L733" s="57">
        <f t="shared" si="200"/>
        <v>0</v>
      </c>
    </row>
    <row r="734" spans="1:12" ht="15" customHeight="1" x14ac:dyDescent="0.25">
      <c r="A734" s="42" t="str" cm="1">
        <f t="array" ref="A734">IFERROR(INDEX(_xlfn._xlws.FILTER(Class_Players!A:A,Class_Players!B:B="Support"),QUOTIENT(ROW()-ROW($A$2),9)+1),"")</f>
        <v>DarthR0b</v>
      </c>
      <c r="B734" s="42" t="str">
        <f>_xlfn.XLOOKUP(A734,Class_Players!$A:$A,Class_Players!$B:$B,"")</f>
        <v>Support</v>
      </c>
      <c r="C734" s="38" t="str" cm="1">
        <f t="array" ref="C734">INDEX(Lookups!$D$2:$D$10,MOD(ROW()-ROW($B$2),ROWS(Lookups!$D$2:$D$10))+1)</f>
        <v>M320A1 SMK (Smoke Grenade Launcher)</v>
      </c>
      <c r="D734" s="38" t="str">
        <f>_xlfn.XLOOKUP(C734,Analysis_Gadgets!$C:$C,Analysis_Gadgets!$B:$B)</f>
        <v>Gadget</v>
      </c>
      <c r="E734" s="43">
        <v>453</v>
      </c>
      <c r="F734" s="43">
        <f>_xlfn.XLOOKUP(A734,Class_Players!A:A,Class_Players!G:G)</f>
        <v>246</v>
      </c>
      <c r="G734" s="43">
        <f t="shared" si="193"/>
        <v>1.8414634146341464</v>
      </c>
      <c r="H734" s="43">
        <f>_xlfn.XLOOKUP(A734,Class_Players!$A:$A,Class_Players!$F:$F,"")</f>
        <v>9928</v>
      </c>
      <c r="I734" s="44">
        <f t="shared" si="194"/>
        <v>4.5628525382755844E-2</v>
      </c>
      <c r="J734" s="43">
        <f t="shared" si="195"/>
        <v>0</v>
      </c>
      <c r="K734" s="44" cm="1">
        <f t="array" ref="K734">IF(D734="Gadget",_xlfn.IFS(I734&gt;=0.2,0.5,I734&gt;=0.1,0.35,I734&gt;=0.05,0.2,TRUE,0),IF(D734="Grenade",_xlfn.IFS(I734&gt;=0.2,1,I734&gt;=0.1,0.7,I734&gt;=0.05,0.4,TRUE,0),0))</f>
        <v>0</v>
      </c>
      <c r="L734" s="57">
        <f t="shared" si="200"/>
        <v>0</v>
      </c>
    </row>
    <row r="735" spans="1:12" ht="15" customHeight="1" x14ac:dyDescent="0.25">
      <c r="A735" s="42" t="str" cm="1">
        <f t="array" ref="A735">IFERROR(INDEX(_xlfn._xlws.FILTER(Class_Players!A:A,Class_Players!B:B="Support"),QUOTIENT(ROW()-ROW($A$2),9)+1),"")</f>
        <v>DarthR0b</v>
      </c>
      <c r="B735" s="42" t="str">
        <f>_xlfn.XLOOKUP(A735,Class_Players!$A:$A,Class_Players!$B:$B,"")</f>
        <v>Support</v>
      </c>
      <c r="C735" s="38" t="str" cm="1">
        <f t="array" ref="C735">INDEX(Lookups!$D$2:$D$10,MOD(ROW()-ROW($B$2),ROWS(Lookups!$D$2:$D$10))+1)</f>
        <v>SICH G1 WP (Incendiary Airburst Launcher)</v>
      </c>
      <c r="D735" s="38" t="str">
        <f>_xlfn.XLOOKUP(C735,Analysis_Gadgets!$C:$C,Analysis_Gadgets!$B:$B)</f>
        <v>Gadget</v>
      </c>
      <c r="E735" s="43">
        <v>71</v>
      </c>
      <c r="F735" s="43">
        <f>_xlfn.XLOOKUP(A735,Class_Players!A:A,Class_Players!G:G)</f>
        <v>246</v>
      </c>
      <c r="G735" s="43">
        <f t="shared" si="193"/>
        <v>0.2886178861788618</v>
      </c>
      <c r="H735" s="43">
        <f>_xlfn.XLOOKUP(A735,Class_Players!$A:$A,Class_Players!$F:$F,"")</f>
        <v>9928</v>
      </c>
      <c r="I735" s="44">
        <f t="shared" si="194"/>
        <v>7.1514907332796132E-3</v>
      </c>
      <c r="J735" s="43">
        <f t="shared" si="195"/>
        <v>0</v>
      </c>
      <c r="K735" s="44" cm="1">
        <f t="array" ref="K735">IF(D735="Gadget",_xlfn.IFS(I735&gt;=0.2,0.5,I735&gt;=0.1,0.35,I735&gt;=0.05,0.2,TRUE,0),IF(D735="Grenade",_xlfn.IFS(I735&gt;=0.2,1,I735&gt;=0.1,0.7,I735&gt;=0.05,0.4,TRUE,0),0))</f>
        <v>0</v>
      </c>
      <c r="L735" s="57">
        <f t="shared" si="200"/>
        <v>0</v>
      </c>
    </row>
    <row r="736" spans="1:12" ht="15" customHeight="1" x14ac:dyDescent="0.25">
      <c r="A736" s="42" t="str" cm="1">
        <f t="array" ref="A736">IFERROR(INDEX(_xlfn._xlws.FILTER(Class_Players!A:A,Class_Players!B:B="Support"),QUOTIENT(ROW()-ROW($A$2),9)+1),"")</f>
        <v>DarthR0b</v>
      </c>
      <c r="B736" s="42" t="str">
        <f>_xlfn.XLOOKUP(A736,Class_Players!$A:$A,Class_Players!$B:$B,"")</f>
        <v>Support</v>
      </c>
      <c r="C736" s="38" t="str" cm="1">
        <f t="array" ref="C736">INDEX(Lookups!$D$2:$D$10,MOD(ROW()-ROW($B$2),ROWS(Lookups!$D$2:$D$10))+1)</f>
        <v>Deployable Cover</v>
      </c>
      <c r="D736" s="38" t="str">
        <f>_xlfn.XLOOKUP(C736,Analysis_Gadgets!$C:$C,Analysis_Gadgets!$B:$B)</f>
        <v>Gadget</v>
      </c>
      <c r="E736" s="43">
        <v>1188</v>
      </c>
      <c r="F736" s="43">
        <f>_xlfn.XLOOKUP(A736,Class_Players!A:A,Class_Players!G:G)</f>
        <v>246</v>
      </c>
      <c r="G736" s="43">
        <f t="shared" si="193"/>
        <v>4.8292682926829267</v>
      </c>
      <c r="H736" s="43">
        <f>_xlfn.XLOOKUP(A736,Class_Players!$A:$A,Class_Players!$F:$F,"")</f>
        <v>9928</v>
      </c>
      <c r="I736" s="44">
        <f t="shared" si="194"/>
        <v>0.11966156325543917</v>
      </c>
      <c r="J736" s="43">
        <f t="shared" si="195"/>
        <v>1</v>
      </c>
      <c r="K736" s="44" cm="1">
        <f t="array" ref="K736">IF(D736="Gadget",_xlfn.IFS(I736&gt;=0.2,0.5,I736&gt;=0.1,0.35,I736&gt;=0.05,0.2,TRUE,0),IF(D736="Grenade",_xlfn.IFS(I736&gt;=0.2,1,I736&gt;=0.1,0.7,I736&gt;=0.05,0.4,TRUE,0),0))</f>
        <v>0.35</v>
      </c>
      <c r="L736" s="57">
        <f t="shared" si="200"/>
        <v>0.5</v>
      </c>
    </row>
    <row r="737" spans="1:12" ht="15" customHeight="1" x14ac:dyDescent="0.25">
      <c r="A737" s="42" t="str" cm="1">
        <f t="array" ref="A737">IFERROR(INDEX(_xlfn._xlws.FILTER(Class_Players!A:A,Class_Players!B:B="Support"),QUOTIENT(ROW()-ROW($A$2),9)+1),"")</f>
        <v>DarthR0b</v>
      </c>
      <c r="B737" s="42" t="str">
        <f>_xlfn.XLOOKUP(A737,Class_Players!$A:$A,Class_Players!$B:$B,"")</f>
        <v>Support</v>
      </c>
      <c r="C737" s="38" t="str" cm="1">
        <f t="array" ref="C737">INDEX(Lookups!$D$2:$D$10,MOD(ROW()-ROW($B$2),ROWS(Lookups!$D$2:$D$10))+1)</f>
        <v>Supply Pouch</v>
      </c>
      <c r="D737" s="38" t="str">
        <f>_xlfn.XLOOKUP(C737,Analysis_Gadgets!$C:$C,Analysis_Gadgets!$B:$B)</f>
        <v>Gadget</v>
      </c>
      <c r="E737" s="43">
        <v>1416</v>
      </c>
      <c r="F737" s="43">
        <f>_xlfn.XLOOKUP(A737,Class_Players!A:A,Class_Players!G:G)</f>
        <v>246</v>
      </c>
      <c r="G737" s="43">
        <f t="shared" si="193"/>
        <v>5.7560975609756095</v>
      </c>
      <c r="H737" s="43">
        <f>_xlfn.XLOOKUP(A737,Class_Players!$A:$A,Class_Players!$F:$F,"")</f>
        <v>9928</v>
      </c>
      <c r="I737" s="44">
        <f t="shared" si="194"/>
        <v>0.1426269137792103</v>
      </c>
      <c r="J737" s="43">
        <f t="shared" si="195"/>
        <v>1</v>
      </c>
      <c r="K737" s="44" cm="1">
        <f t="array" ref="K737">IF(D737="Gadget",_xlfn.IFS(I737&gt;=0.2,0.5,I737&gt;=0.1,0.35,I737&gt;=0.05,0.2,TRUE,0),IF(D737="Grenade",_xlfn.IFS(I737&gt;=0.2,1,I737&gt;=0.1,0.7,I737&gt;=0.05,0.4,TRUE,0),0))</f>
        <v>0.35</v>
      </c>
      <c r="L737" s="57">
        <f t="shared" si="200"/>
        <v>0.5</v>
      </c>
    </row>
    <row r="738" spans="1:12" ht="15" customHeight="1" x14ac:dyDescent="0.25">
      <c r="A738" s="42" t="str" cm="1">
        <f t="array" ref="A738">IFERROR(INDEX(_xlfn._xlws.FILTER(Class_Players!A:A,Class_Players!B:B="Support"),QUOTIENT(ROW()-ROW($A$2),9)+1),"")</f>
        <v>DarthR0b</v>
      </c>
      <c r="B738" s="42" t="str">
        <f>_xlfn.XLOOKUP(A738,Class_Players!$A:$A,Class_Players!$B:$B,"")</f>
        <v>Support</v>
      </c>
      <c r="C738" s="38" t="str" cm="1">
        <f t="array" ref="C738">INDEX(Lookups!$D$2:$D$10,MOD(ROW()-ROW($B$2),ROWS(Lookups!$D$2:$D$10))+1)</f>
        <v>Smoke Grenade</v>
      </c>
      <c r="D738" s="38" t="str">
        <f>_xlfn.XLOOKUP(C738,Analysis_Gadgets!$C:$C,Analysis_Gadgets!$B:$B)</f>
        <v>Grenade</v>
      </c>
      <c r="E738" s="43">
        <v>504</v>
      </c>
      <c r="F738" s="43">
        <f>_xlfn.XLOOKUP(A738,Class_Players!A:A,Class_Players!G:G)</f>
        <v>246</v>
      </c>
      <c r="G738" s="43">
        <f t="shared" si="193"/>
        <v>2.0487804878048781</v>
      </c>
      <c r="H738" s="43">
        <f>_xlfn.XLOOKUP(A738,Class_Players!$A:$A,Class_Players!$F:$F,"")</f>
        <v>9928</v>
      </c>
      <c r="I738" s="44">
        <f t="shared" si="194"/>
        <v>5.0765511684125707E-2</v>
      </c>
      <c r="J738" s="43">
        <f t="shared" si="195"/>
        <v>0</v>
      </c>
      <c r="K738" s="44" cm="1">
        <f t="array" ref="K738">IF(D738="Gadget",_xlfn.IFS(I738&gt;=0.2,0.5,I738&gt;=0.1,0.35,I738&gt;=0.05,0.2,TRUE,0),IF(D738="Grenade",_xlfn.IFS(I738&gt;=0.2,1,I738&gt;=0.1,0.7,I738&gt;=0.05,0.4,TRUE,0),0))</f>
        <v>0.4</v>
      </c>
      <c r="L738" s="57">
        <f t="shared" ref="L738:L739" si="201">IF($K738=0,0,$K738 / SUMIFS($K:$K,$A:$A,$A738,$D:$D,"Grenade"))</f>
        <v>0.36363636363636365</v>
      </c>
    </row>
    <row r="739" spans="1:12" ht="15" customHeight="1" x14ac:dyDescent="0.25">
      <c r="A739" s="42" t="str" cm="1">
        <f t="array" ref="A739">IFERROR(INDEX(_xlfn._xlws.FILTER(Class_Players!A:A,Class_Players!B:B="Support"),QUOTIENT(ROW()-ROW($A$2),9)+1),"")</f>
        <v>DarthR0b</v>
      </c>
      <c r="B739" s="42" t="str">
        <f>_xlfn.XLOOKUP(A739,Class_Players!$A:$A,Class_Players!$B:$B,"")</f>
        <v>Support</v>
      </c>
      <c r="C739" s="38" t="str" cm="1">
        <f t="array" ref="C739">INDEX(Lookups!$D$2:$D$10,MOD(ROW()-ROW($B$2),ROWS(Lookups!$D$2:$D$10))+1)</f>
        <v>Incendiary Grenade</v>
      </c>
      <c r="D739" s="38" t="str">
        <f>_xlfn.XLOOKUP(C739,Analysis_Gadgets!$C:$C,Analysis_Gadgets!$B:$B)</f>
        <v>Grenade</v>
      </c>
      <c r="E739" s="43">
        <v>1632</v>
      </c>
      <c r="F739" s="43">
        <f>_xlfn.XLOOKUP(A739,Class_Players!A:A,Class_Players!G:G)</f>
        <v>246</v>
      </c>
      <c r="G739" s="43">
        <f t="shared" si="193"/>
        <v>6.6341463414634143</v>
      </c>
      <c r="H739" s="43">
        <f>_xlfn.XLOOKUP(A739,Class_Players!$A:$A,Class_Players!$F:$F,"")</f>
        <v>9928</v>
      </c>
      <c r="I739" s="44">
        <f t="shared" si="194"/>
        <v>0.16438356164383561</v>
      </c>
      <c r="J739" s="43">
        <f t="shared" si="195"/>
        <v>1</v>
      </c>
      <c r="K739" s="44" cm="1">
        <f t="array" ref="K739">IF(D739="Gadget",_xlfn.IFS(I739&gt;=0.2,0.5,I739&gt;=0.1,0.35,I739&gt;=0.05,0.2,TRUE,0),IF(D739="Grenade",_xlfn.IFS(I739&gt;=0.2,1,I739&gt;=0.1,0.7,I739&gt;=0.05,0.4,TRUE,0),0))</f>
        <v>0.7</v>
      </c>
      <c r="L739" s="57">
        <f t="shared" si="201"/>
        <v>0.63636363636363624</v>
      </c>
    </row>
    <row r="740" spans="1:12" ht="15" customHeight="1" x14ac:dyDescent="0.25">
      <c r="A740" s="42" t="str" cm="1">
        <f t="array" ref="A740">IFERROR(INDEX(_xlfn._xlws.FILTER(Class_Players!A:A,Class_Players!B:B="Support"),QUOTIENT(ROW()-ROW($A$2),9)+1),"")</f>
        <v>public_enemy_sa</v>
      </c>
      <c r="B740" s="42" t="str">
        <f>_xlfn.XLOOKUP(A740,Class_Players!$A:$A,Class_Players!$B:$B,"")</f>
        <v>Support</v>
      </c>
      <c r="C740" s="38" t="str" cm="1">
        <f t="array" ref="C740">INDEX(Lookups!$D$2:$D$10,MOD(ROW()-ROW($B$2),ROWS(Lookups!$D$2:$D$10))+1)</f>
        <v>GPDIS (Grenade intercept system)</v>
      </c>
      <c r="D740" s="38" t="str">
        <f>_xlfn.XLOOKUP(C740,Analysis_Gadgets!$C:$C,Analysis_Gadgets!$B:$B)</f>
        <v>Gadget</v>
      </c>
      <c r="E740" s="43">
        <v>258</v>
      </c>
      <c r="F740" s="43">
        <f>_xlfn.XLOOKUP(A740,Class_Players!A:A,Class_Players!G:G)</f>
        <v>257</v>
      </c>
      <c r="G740" s="43">
        <f t="shared" si="193"/>
        <v>1.0038910505836576</v>
      </c>
      <c r="H740" s="43">
        <f>_xlfn.XLOOKUP(A740,Class_Players!$A:$A,Class_Players!$F:$F,"")</f>
        <v>12178</v>
      </c>
      <c r="I740" s="44">
        <f t="shared" si="194"/>
        <v>2.1185744785679094E-2</v>
      </c>
      <c r="J740" s="43">
        <f t="shared" si="195"/>
        <v>0</v>
      </c>
      <c r="K740" s="44" cm="1">
        <f t="array" ref="K740">IF(D740="Gadget",_xlfn.IFS(I740&gt;=0.2,0.5,I740&gt;=0.1,0.35,I740&gt;=0.05,0.2,TRUE,0),IF(D740="Grenade",_xlfn.IFS(I740&gt;=0.2,1,I740&gt;=0.1,0.7,I740&gt;=0.05,0.4,TRUE,0),0))</f>
        <v>0</v>
      </c>
      <c r="L740" s="57">
        <f t="shared" ref="L740:L746" si="202">IF($K740=0,0,$K740 / SUMIFS($K:$K,$A:$A,$A740,$D:$D,"Gadget"))</f>
        <v>0</v>
      </c>
    </row>
    <row r="741" spans="1:12" ht="15" customHeight="1" x14ac:dyDescent="0.25">
      <c r="A741" s="42" t="str" cm="1">
        <f t="array" ref="A741">IFERROR(INDEX(_xlfn._xlws.FILTER(Class_Players!A:A,Class_Players!B:B="Support"),QUOTIENT(ROW()-ROW($A$2),9)+1),"")</f>
        <v>public_enemy_sa</v>
      </c>
      <c r="B741" s="42" t="str">
        <f>_xlfn.XLOOKUP(A741,Class_Players!$A:$A,Class_Players!$B:$B,"")</f>
        <v>Support</v>
      </c>
      <c r="C741" s="38" t="str" cm="1">
        <f t="array" ref="C741">INDEX(Lookups!$D$2:$D$10,MOD(ROW()-ROW($B$2),ROWS(Lookups!$D$2:$D$10))+1)</f>
        <v>MP-APS (Missile intercept system)</v>
      </c>
      <c r="D741" s="38" t="str">
        <f>_xlfn.XLOOKUP(C741,Analysis_Gadgets!$C:$C,Analysis_Gadgets!$B:$B)</f>
        <v>Gadget</v>
      </c>
      <c r="E741" s="43">
        <v>0</v>
      </c>
      <c r="F741" s="43">
        <f>_xlfn.XLOOKUP(A741,Class_Players!A:A,Class_Players!G:G)</f>
        <v>257</v>
      </c>
      <c r="G741" s="43">
        <f t="shared" si="193"/>
        <v>0</v>
      </c>
      <c r="H741" s="43">
        <f>_xlfn.XLOOKUP(A741,Class_Players!$A:$A,Class_Players!$F:$F,"")</f>
        <v>12178</v>
      </c>
      <c r="I741" s="44">
        <f t="shared" si="194"/>
        <v>0</v>
      </c>
      <c r="J741" s="43">
        <f t="shared" si="195"/>
        <v>0</v>
      </c>
      <c r="K741" s="44" cm="1">
        <f t="array" ref="K741">IF(D741="Gadget",_xlfn.IFS(I741&gt;=0.2,0.5,I741&gt;=0.1,0.35,I741&gt;=0.05,0.2,TRUE,0),IF(D741="Grenade",_xlfn.IFS(I741&gt;=0.2,1,I741&gt;=0.1,0.7,I741&gt;=0.05,0.4,TRUE,0),0))</f>
        <v>0</v>
      </c>
      <c r="L741" s="57">
        <f t="shared" si="202"/>
        <v>0</v>
      </c>
    </row>
    <row r="742" spans="1:12" ht="15" customHeight="1" x14ac:dyDescent="0.25">
      <c r="A742" s="42" t="str" cm="1">
        <f t="array" ref="A742">IFERROR(INDEX(_xlfn._xlws.FILTER(Class_Players!A:A,Class_Players!B:B="Support"),QUOTIENT(ROW()-ROW($A$2),9)+1),"")</f>
        <v>public_enemy_sa</v>
      </c>
      <c r="B742" s="42" t="str">
        <f>_xlfn.XLOOKUP(A742,Class_Players!$A:$A,Class_Players!$B:$B,"")</f>
        <v>Support</v>
      </c>
      <c r="C742" s="38" t="str" cm="1">
        <f t="array" ref="C742">INDEX(Lookups!$D$2:$D$10,MOD(ROW()-ROW($B$2),ROWS(Lookups!$D$2:$D$10))+1)</f>
        <v>LWCMS (Mortar)</v>
      </c>
      <c r="D742" s="38" t="str">
        <f>_xlfn.XLOOKUP(C742,Analysis_Gadgets!$C:$C,Analysis_Gadgets!$B:$B)</f>
        <v>Gadget</v>
      </c>
      <c r="E742" s="43">
        <v>9</v>
      </c>
      <c r="F742" s="43">
        <f>_xlfn.XLOOKUP(A742,Class_Players!A:A,Class_Players!G:G)</f>
        <v>257</v>
      </c>
      <c r="G742" s="43">
        <f t="shared" si="193"/>
        <v>3.5019455252918288E-2</v>
      </c>
      <c r="H742" s="43">
        <f>_xlfn.XLOOKUP(A742,Class_Players!$A:$A,Class_Players!$F:$F,"")</f>
        <v>12178</v>
      </c>
      <c r="I742" s="44">
        <f t="shared" si="194"/>
        <v>7.3903760880275908E-4</v>
      </c>
      <c r="J742" s="43">
        <f t="shared" si="195"/>
        <v>0</v>
      </c>
      <c r="K742" s="44" cm="1">
        <f t="array" ref="K742">IF(D742="Gadget",_xlfn.IFS(I742&gt;=0.2,0.5,I742&gt;=0.1,0.35,I742&gt;=0.05,0.2,TRUE,0),IF(D742="Grenade",_xlfn.IFS(I742&gt;=0.2,1,I742&gt;=0.1,0.7,I742&gt;=0.05,0.4,TRUE,0),0))</f>
        <v>0</v>
      </c>
      <c r="L742" s="57">
        <f t="shared" si="202"/>
        <v>0</v>
      </c>
    </row>
    <row r="743" spans="1:12" ht="15" customHeight="1" x14ac:dyDescent="0.25">
      <c r="A743" s="42" t="str" cm="1">
        <f t="array" ref="A743">IFERROR(INDEX(_xlfn._xlws.FILTER(Class_Players!A:A,Class_Players!B:B="Support"),QUOTIENT(ROW()-ROW($A$2),9)+1),"")</f>
        <v>public_enemy_sa</v>
      </c>
      <c r="B743" s="42" t="str">
        <f>_xlfn.XLOOKUP(A743,Class_Players!$A:$A,Class_Players!$B:$B,"")</f>
        <v>Support</v>
      </c>
      <c r="C743" s="38" t="str" cm="1">
        <f t="array" ref="C743">INDEX(Lookups!$D$2:$D$10,MOD(ROW()-ROW($B$2),ROWS(Lookups!$D$2:$D$10))+1)</f>
        <v>M320A1 SMK (Smoke Grenade Launcher)</v>
      </c>
      <c r="D743" s="38" t="str">
        <f>_xlfn.XLOOKUP(C743,Analysis_Gadgets!$C:$C,Analysis_Gadgets!$B:$B)</f>
        <v>Gadget</v>
      </c>
      <c r="E743" s="43">
        <v>335</v>
      </c>
      <c r="F743" s="43">
        <f>_xlfn.XLOOKUP(A743,Class_Players!A:A,Class_Players!G:G)</f>
        <v>257</v>
      </c>
      <c r="G743" s="43">
        <f t="shared" si="193"/>
        <v>1.3035019455252919</v>
      </c>
      <c r="H743" s="43">
        <f>_xlfn.XLOOKUP(A743,Class_Players!$A:$A,Class_Players!$F:$F,"")</f>
        <v>12178</v>
      </c>
      <c r="I743" s="44">
        <f t="shared" si="194"/>
        <v>2.7508622105436031E-2</v>
      </c>
      <c r="J743" s="43">
        <f t="shared" si="195"/>
        <v>0</v>
      </c>
      <c r="K743" s="44" cm="1">
        <f t="array" ref="K743">IF(D743="Gadget",_xlfn.IFS(I743&gt;=0.2,0.5,I743&gt;=0.1,0.35,I743&gt;=0.05,0.2,TRUE,0),IF(D743="Grenade",_xlfn.IFS(I743&gt;=0.2,1,I743&gt;=0.1,0.7,I743&gt;=0.05,0.4,TRUE,0),0))</f>
        <v>0</v>
      </c>
      <c r="L743" s="57">
        <f t="shared" si="202"/>
        <v>0</v>
      </c>
    </row>
    <row r="744" spans="1:12" ht="15" customHeight="1" x14ac:dyDescent="0.25">
      <c r="A744" s="42" t="str" cm="1">
        <f t="array" ref="A744">IFERROR(INDEX(_xlfn._xlws.FILTER(Class_Players!A:A,Class_Players!B:B="Support"),QUOTIENT(ROW()-ROW($A$2),9)+1),"")</f>
        <v>public_enemy_sa</v>
      </c>
      <c r="B744" s="42" t="str">
        <f>_xlfn.XLOOKUP(A744,Class_Players!$A:$A,Class_Players!$B:$B,"")</f>
        <v>Support</v>
      </c>
      <c r="C744" s="38" t="str" cm="1">
        <f t="array" ref="C744">INDEX(Lookups!$D$2:$D$10,MOD(ROW()-ROW($B$2),ROWS(Lookups!$D$2:$D$10))+1)</f>
        <v>SICH G1 WP (Incendiary Airburst Launcher)</v>
      </c>
      <c r="D744" s="38" t="str">
        <f>_xlfn.XLOOKUP(C744,Analysis_Gadgets!$C:$C,Analysis_Gadgets!$B:$B)</f>
        <v>Gadget</v>
      </c>
      <c r="E744" s="43">
        <v>31</v>
      </c>
      <c r="F744" s="43">
        <f>_xlfn.XLOOKUP(A744,Class_Players!A:A,Class_Players!G:G)</f>
        <v>257</v>
      </c>
      <c r="G744" s="43">
        <f t="shared" si="193"/>
        <v>0.12062256809338522</v>
      </c>
      <c r="H744" s="43">
        <f>_xlfn.XLOOKUP(A744,Class_Players!$A:$A,Class_Players!$F:$F,"")</f>
        <v>12178</v>
      </c>
      <c r="I744" s="44">
        <f t="shared" si="194"/>
        <v>2.54557398587617E-3</v>
      </c>
      <c r="J744" s="43">
        <f t="shared" si="195"/>
        <v>0</v>
      </c>
      <c r="K744" s="44" cm="1">
        <f t="array" ref="K744">IF(D744="Gadget",_xlfn.IFS(I744&gt;=0.2,0.5,I744&gt;=0.1,0.35,I744&gt;=0.05,0.2,TRUE,0),IF(D744="Grenade",_xlfn.IFS(I744&gt;=0.2,1,I744&gt;=0.1,0.7,I744&gt;=0.05,0.4,TRUE,0),0))</f>
        <v>0</v>
      </c>
      <c r="L744" s="57">
        <f t="shared" si="202"/>
        <v>0</v>
      </c>
    </row>
    <row r="745" spans="1:12" ht="15" customHeight="1" x14ac:dyDescent="0.25">
      <c r="A745" s="42" t="str" cm="1">
        <f t="array" ref="A745">IFERROR(INDEX(_xlfn._xlws.FILTER(Class_Players!A:A,Class_Players!B:B="Support"),QUOTIENT(ROW()-ROW($A$2),9)+1),"")</f>
        <v>public_enemy_sa</v>
      </c>
      <c r="B745" s="42" t="str">
        <f>_xlfn.XLOOKUP(A745,Class_Players!$A:$A,Class_Players!$B:$B,"")</f>
        <v>Support</v>
      </c>
      <c r="C745" s="38" t="str" cm="1">
        <f t="array" ref="C745">INDEX(Lookups!$D$2:$D$10,MOD(ROW()-ROW($B$2),ROWS(Lookups!$D$2:$D$10))+1)</f>
        <v>Deployable Cover</v>
      </c>
      <c r="D745" s="38" t="str">
        <f>_xlfn.XLOOKUP(C745,Analysis_Gadgets!$C:$C,Analysis_Gadgets!$B:$B)</f>
        <v>Gadget</v>
      </c>
      <c r="E745" s="43">
        <v>1493</v>
      </c>
      <c r="F745" s="43">
        <f>_xlfn.XLOOKUP(A745,Class_Players!A:A,Class_Players!G:G)</f>
        <v>257</v>
      </c>
      <c r="G745" s="43">
        <f t="shared" si="193"/>
        <v>5.809338521400778</v>
      </c>
      <c r="H745" s="43">
        <f>_xlfn.XLOOKUP(A745,Class_Players!$A:$A,Class_Players!$F:$F,"")</f>
        <v>12178</v>
      </c>
      <c r="I745" s="44">
        <f t="shared" si="194"/>
        <v>0.12259812777139104</v>
      </c>
      <c r="J745" s="43">
        <f t="shared" si="195"/>
        <v>1</v>
      </c>
      <c r="K745" s="44" cm="1">
        <f t="array" ref="K745">IF(D745="Gadget",_xlfn.IFS(I745&gt;=0.2,0.5,I745&gt;=0.1,0.35,I745&gt;=0.05,0.2,TRUE,0),IF(D745="Grenade",_xlfn.IFS(I745&gt;=0.2,1,I745&gt;=0.1,0.7,I745&gt;=0.05,0.4,TRUE,0),0))</f>
        <v>0.35</v>
      </c>
      <c r="L745" s="57">
        <f t="shared" si="202"/>
        <v>1</v>
      </c>
    </row>
    <row r="746" spans="1:12" ht="15" customHeight="1" x14ac:dyDescent="0.25">
      <c r="A746" s="42" t="str" cm="1">
        <f t="array" ref="A746">IFERROR(INDEX(_xlfn._xlws.FILTER(Class_Players!A:A,Class_Players!B:B="Support"),QUOTIENT(ROW()-ROW($A$2),9)+1),"")</f>
        <v>public_enemy_sa</v>
      </c>
      <c r="B746" s="42" t="str">
        <f>_xlfn.XLOOKUP(A746,Class_Players!$A:$A,Class_Players!$B:$B,"")</f>
        <v>Support</v>
      </c>
      <c r="C746" s="38" t="str" cm="1">
        <f t="array" ref="C746">INDEX(Lookups!$D$2:$D$10,MOD(ROW()-ROW($B$2),ROWS(Lookups!$D$2:$D$10))+1)</f>
        <v>Supply Pouch</v>
      </c>
      <c r="D746" s="38" t="str">
        <f>_xlfn.XLOOKUP(C746,Analysis_Gadgets!$C:$C,Analysis_Gadgets!$B:$B)</f>
        <v>Gadget</v>
      </c>
      <c r="E746" s="43">
        <v>0</v>
      </c>
      <c r="F746" s="43">
        <f>_xlfn.XLOOKUP(A746,Class_Players!A:A,Class_Players!G:G)</f>
        <v>257</v>
      </c>
      <c r="G746" s="43">
        <f t="shared" si="193"/>
        <v>0</v>
      </c>
      <c r="H746" s="43">
        <f>_xlfn.XLOOKUP(A746,Class_Players!$A:$A,Class_Players!$F:$F,"")</f>
        <v>12178</v>
      </c>
      <c r="I746" s="44">
        <f t="shared" si="194"/>
        <v>0</v>
      </c>
      <c r="J746" s="43">
        <f t="shared" si="195"/>
        <v>0</v>
      </c>
      <c r="K746" s="44" cm="1">
        <f t="array" ref="K746">IF(D746="Gadget",_xlfn.IFS(I746&gt;=0.2,0.5,I746&gt;=0.1,0.35,I746&gt;=0.05,0.2,TRUE,0),IF(D746="Grenade",_xlfn.IFS(I746&gt;=0.2,1,I746&gt;=0.1,0.7,I746&gt;=0.05,0.4,TRUE,0),0))</f>
        <v>0</v>
      </c>
      <c r="L746" s="57">
        <f t="shared" si="202"/>
        <v>0</v>
      </c>
    </row>
    <row r="747" spans="1:12" ht="15" customHeight="1" x14ac:dyDescent="0.25">
      <c r="A747" s="42" t="str" cm="1">
        <f t="array" ref="A747">IFERROR(INDEX(_xlfn._xlws.FILTER(Class_Players!A:A,Class_Players!B:B="Support"),QUOTIENT(ROW()-ROW($A$2),9)+1),"")</f>
        <v>public_enemy_sa</v>
      </c>
      <c r="B747" s="42" t="str">
        <f>_xlfn.XLOOKUP(A747,Class_Players!$A:$A,Class_Players!$B:$B,"")</f>
        <v>Support</v>
      </c>
      <c r="C747" s="38" t="str" cm="1">
        <f t="array" ref="C747">INDEX(Lookups!$D$2:$D$10,MOD(ROW()-ROW($B$2),ROWS(Lookups!$D$2:$D$10))+1)</f>
        <v>Smoke Grenade</v>
      </c>
      <c r="D747" s="38" t="str">
        <f>_xlfn.XLOOKUP(C747,Analysis_Gadgets!$C:$C,Analysis_Gadgets!$B:$B)</f>
        <v>Grenade</v>
      </c>
      <c r="E747" s="43">
        <v>98</v>
      </c>
      <c r="F747" s="43">
        <f>_xlfn.XLOOKUP(A747,Class_Players!A:A,Class_Players!G:G)</f>
        <v>257</v>
      </c>
      <c r="G747" s="43">
        <f t="shared" si="193"/>
        <v>0.38132295719844356</v>
      </c>
      <c r="H747" s="43">
        <f>_xlfn.XLOOKUP(A747,Class_Players!$A:$A,Class_Players!$F:$F,"")</f>
        <v>12178</v>
      </c>
      <c r="I747" s="44">
        <f t="shared" si="194"/>
        <v>8.0472984069633758E-3</v>
      </c>
      <c r="J747" s="43">
        <f t="shared" si="195"/>
        <v>0</v>
      </c>
      <c r="K747" s="44" cm="1">
        <f t="array" ref="K747">IF(D747="Gadget",_xlfn.IFS(I747&gt;=0.2,0.5,I747&gt;=0.1,0.35,I747&gt;=0.05,0.2,TRUE,0),IF(D747="Grenade",_xlfn.IFS(I747&gt;=0.2,1,I747&gt;=0.1,0.7,I747&gt;=0.05,0.4,TRUE,0),0))</f>
        <v>0</v>
      </c>
      <c r="L747" s="57">
        <f t="shared" ref="L747:L748" si="203">IF($K747=0,0,$K747 / SUMIFS($K:$K,$A:$A,$A747,$D:$D,"Grenade"))</f>
        <v>0</v>
      </c>
    </row>
    <row r="748" spans="1:12" ht="15" customHeight="1" x14ac:dyDescent="0.25">
      <c r="A748" s="42" t="str" cm="1">
        <f t="array" ref="A748">IFERROR(INDEX(_xlfn._xlws.FILTER(Class_Players!A:A,Class_Players!B:B="Support"),QUOTIENT(ROW()-ROW($A$2),9)+1),"")</f>
        <v>public_enemy_sa</v>
      </c>
      <c r="B748" s="42" t="str">
        <f>_xlfn.XLOOKUP(A748,Class_Players!$A:$A,Class_Players!$B:$B,"")</f>
        <v>Support</v>
      </c>
      <c r="C748" s="38" t="str" cm="1">
        <f t="array" ref="C748">INDEX(Lookups!$D$2:$D$10,MOD(ROW()-ROW($B$2),ROWS(Lookups!$D$2:$D$10))+1)</f>
        <v>Incendiary Grenade</v>
      </c>
      <c r="D748" s="38" t="str">
        <f>_xlfn.XLOOKUP(C748,Analysis_Gadgets!$C:$C,Analysis_Gadgets!$B:$B)</f>
        <v>Grenade</v>
      </c>
      <c r="E748" s="43">
        <v>4412</v>
      </c>
      <c r="F748" s="43">
        <f>_xlfn.XLOOKUP(A748,Class_Players!A:A,Class_Players!G:G)</f>
        <v>257</v>
      </c>
      <c r="G748" s="43">
        <f t="shared" si="193"/>
        <v>17.167315175097276</v>
      </c>
      <c r="H748" s="43">
        <f>_xlfn.XLOOKUP(A748,Class_Players!$A:$A,Class_Players!$F:$F,"")</f>
        <v>12178</v>
      </c>
      <c r="I748" s="44">
        <f t="shared" si="194"/>
        <v>0.36229265889308587</v>
      </c>
      <c r="J748" s="43">
        <f t="shared" si="195"/>
        <v>1</v>
      </c>
      <c r="K748" s="44" cm="1">
        <f t="array" ref="K748">IF(D748="Gadget",_xlfn.IFS(I748&gt;=0.2,0.5,I748&gt;=0.1,0.35,I748&gt;=0.05,0.2,TRUE,0),IF(D748="Grenade",_xlfn.IFS(I748&gt;=0.2,1,I748&gt;=0.1,0.7,I748&gt;=0.05,0.4,TRUE,0),0))</f>
        <v>1</v>
      </c>
      <c r="L748" s="57">
        <f t="shared" si="203"/>
        <v>1</v>
      </c>
    </row>
    <row r="749" spans="1:12" ht="15" customHeight="1" x14ac:dyDescent="0.25">
      <c r="A749" s="42" t="str" cm="1">
        <f t="array" ref="A749">IFERROR(INDEX(_xlfn._xlws.FILTER(Class_Players!A:A,Class_Players!B:B="Support"),QUOTIENT(ROW()-ROW($A$2),9)+1),"")</f>
        <v>peanut17</v>
      </c>
      <c r="B749" s="42" t="str">
        <f>_xlfn.XLOOKUP(A749,Class_Players!$A:$A,Class_Players!$B:$B,"")</f>
        <v>Support</v>
      </c>
      <c r="C749" s="38" t="str" cm="1">
        <f t="array" ref="C749">INDEX(Lookups!$D$2:$D$10,MOD(ROW()-ROW($B$2),ROWS(Lookups!$D$2:$D$10))+1)</f>
        <v>GPDIS (Grenade intercept system)</v>
      </c>
      <c r="D749" s="38" t="str">
        <f>_xlfn.XLOOKUP(C749,Analysis_Gadgets!$C:$C,Analysis_Gadgets!$B:$B)</f>
        <v>Gadget</v>
      </c>
      <c r="E749" s="43">
        <v>0</v>
      </c>
      <c r="F749" s="43">
        <f>_xlfn.XLOOKUP(A749,Class_Players!A:A,Class_Players!G:G)</f>
        <v>191</v>
      </c>
      <c r="G749" s="43">
        <f t="shared" ref="G749:G757" si="204">IF(F749=0,"",E749/(F749))</f>
        <v>0</v>
      </c>
      <c r="H749" s="43">
        <f>_xlfn.XLOOKUP(A749,Class_Players!$A:$A,Class_Players!$F:$F,"")</f>
        <v>10076</v>
      </c>
      <c r="I749" s="44">
        <f t="shared" ref="I749:I757" si="205">IF(H749=0,"",E749/H749)</f>
        <v>0</v>
      </c>
      <c r="J749" s="43">
        <f t="shared" ref="J749:J757" si="206">IF(I749&gt;=0.1,1,0)</f>
        <v>0</v>
      </c>
      <c r="K749" s="44" cm="1">
        <f t="array" ref="K749">IF(D749="Gadget",_xlfn.IFS(I749&gt;=0.2,0.5,I749&gt;=0.1,0.35,I749&gt;=0.05,0.2,TRUE,0),IF(D749="Grenade",_xlfn.IFS(I749&gt;=0.2,1,I749&gt;=0.1,0.7,I749&gt;=0.05,0.4,TRUE,0),0))</f>
        <v>0</v>
      </c>
      <c r="L749" s="57">
        <f t="shared" ref="L749:L755" si="207">IF($K749=0,0,$K749 / SUMIFS($K:$K,$A:$A,$A749,$D:$D,"Gadget"))</f>
        <v>0</v>
      </c>
    </row>
    <row r="750" spans="1:12" ht="15" customHeight="1" x14ac:dyDescent="0.25">
      <c r="A750" s="42" t="str" cm="1">
        <f t="array" ref="A750">IFERROR(INDEX(_xlfn._xlws.FILTER(Class_Players!A:A,Class_Players!B:B="Support"),QUOTIENT(ROW()-ROW($A$2),9)+1),"")</f>
        <v>peanut17</v>
      </c>
      <c r="B750" s="42" t="str">
        <f>_xlfn.XLOOKUP(A750,Class_Players!$A:$A,Class_Players!$B:$B,"")</f>
        <v>Support</v>
      </c>
      <c r="C750" s="38" t="str" cm="1">
        <f t="array" ref="C750">INDEX(Lookups!$D$2:$D$10,MOD(ROW()-ROW($B$2),ROWS(Lookups!$D$2:$D$10))+1)</f>
        <v>MP-APS (Missile intercept system)</v>
      </c>
      <c r="D750" s="38" t="str">
        <f>_xlfn.XLOOKUP(C750,Analysis_Gadgets!$C:$C,Analysis_Gadgets!$B:$B)</f>
        <v>Gadget</v>
      </c>
      <c r="E750" s="43">
        <v>0</v>
      </c>
      <c r="F750" s="43">
        <f>_xlfn.XLOOKUP(A750,Class_Players!A:A,Class_Players!G:G)</f>
        <v>191</v>
      </c>
      <c r="G750" s="43">
        <f t="shared" si="204"/>
        <v>0</v>
      </c>
      <c r="H750" s="43">
        <f>_xlfn.XLOOKUP(A750,Class_Players!$A:$A,Class_Players!$F:$F,"")</f>
        <v>10076</v>
      </c>
      <c r="I750" s="44">
        <f t="shared" si="205"/>
        <v>0</v>
      </c>
      <c r="J750" s="43">
        <f t="shared" si="206"/>
        <v>0</v>
      </c>
      <c r="K750" s="44" cm="1">
        <f t="array" ref="K750">IF(D750="Gadget",_xlfn.IFS(I750&gt;=0.2,0.5,I750&gt;=0.1,0.35,I750&gt;=0.05,0.2,TRUE,0),IF(D750="Grenade",_xlfn.IFS(I750&gt;=0.2,1,I750&gt;=0.1,0.7,I750&gt;=0.05,0.4,TRUE,0),0))</f>
        <v>0</v>
      </c>
      <c r="L750" s="57">
        <f t="shared" si="207"/>
        <v>0</v>
      </c>
    </row>
    <row r="751" spans="1:12" ht="15" customHeight="1" x14ac:dyDescent="0.25">
      <c r="A751" s="42" t="str" cm="1">
        <f t="array" ref="A751">IFERROR(INDEX(_xlfn._xlws.FILTER(Class_Players!A:A,Class_Players!B:B="Support"),QUOTIENT(ROW()-ROW($A$2),9)+1),"")</f>
        <v>peanut17</v>
      </c>
      <c r="B751" s="42" t="str">
        <f>_xlfn.XLOOKUP(A751,Class_Players!$A:$A,Class_Players!$B:$B,"")</f>
        <v>Support</v>
      </c>
      <c r="C751" s="38" t="str" cm="1">
        <f t="array" ref="C751">INDEX(Lookups!$D$2:$D$10,MOD(ROW()-ROW($B$2),ROWS(Lookups!$D$2:$D$10))+1)</f>
        <v>LWCMS (Mortar)</v>
      </c>
      <c r="D751" s="38" t="str">
        <f>_xlfn.XLOOKUP(C751,Analysis_Gadgets!$C:$C,Analysis_Gadgets!$B:$B)</f>
        <v>Gadget</v>
      </c>
      <c r="E751" s="43">
        <v>0</v>
      </c>
      <c r="F751" s="43">
        <f>_xlfn.XLOOKUP(A751,Class_Players!A:A,Class_Players!G:G)</f>
        <v>191</v>
      </c>
      <c r="G751" s="43">
        <f t="shared" si="204"/>
        <v>0</v>
      </c>
      <c r="H751" s="43">
        <f>_xlfn.XLOOKUP(A751,Class_Players!$A:$A,Class_Players!$F:$F,"")</f>
        <v>10076</v>
      </c>
      <c r="I751" s="44">
        <f t="shared" si="205"/>
        <v>0</v>
      </c>
      <c r="J751" s="43">
        <f t="shared" si="206"/>
        <v>0</v>
      </c>
      <c r="K751" s="44" cm="1">
        <f t="array" ref="K751">IF(D751="Gadget",_xlfn.IFS(I751&gt;=0.2,0.5,I751&gt;=0.1,0.35,I751&gt;=0.05,0.2,TRUE,0),IF(D751="Grenade",_xlfn.IFS(I751&gt;=0.2,1,I751&gt;=0.1,0.7,I751&gt;=0.05,0.4,TRUE,0),0))</f>
        <v>0</v>
      </c>
      <c r="L751" s="57">
        <f t="shared" si="207"/>
        <v>0</v>
      </c>
    </row>
    <row r="752" spans="1:12" ht="15" customHeight="1" x14ac:dyDescent="0.25">
      <c r="A752" s="42" t="str" cm="1">
        <f t="array" ref="A752">IFERROR(INDEX(_xlfn._xlws.FILTER(Class_Players!A:A,Class_Players!B:B="Support"),QUOTIENT(ROW()-ROW($A$2),9)+1),"")</f>
        <v>peanut17</v>
      </c>
      <c r="B752" s="42" t="str">
        <f>_xlfn.XLOOKUP(A752,Class_Players!$A:$A,Class_Players!$B:$B,"")</f>
        <v>Support</v>
      </c>
      <c r="C752" s="38" t="str" cm="1">
        <f t="array" ref="C752">INDEX(Lookups!$D$2:$D$10,MOD(ROW()-ROW($B$2),ROWS(Lookups!$D$2:$D$10))+1)</f>
        <v>M320A1 SMK (Smoke Grenade Launcher)</v>
      </c>
      <c r="D752" s="38" t="str">
        <f>_xlfn.XLOOKUP(C752,Analysis_Gadgets!$C:$C,Analysis_Gadgets!$B:$B)</f>
        <v>Gadget</v>
      </c>
      <c r="E752" s="43">
        <v>1</v>
      </c>
      <c r="F752" s="43">
        <f>_xlfn.XLOOKUP(A752,Class_Players!A:A,Class_Players!G:G)</f>
        <v>191</v>
      </c>
      <c r="G752" s="43">
        <f t="shared" si="204"/>
        <v>5.235602094240838E-3</v>
      </c>
      <c r="H752" s="43">
        <f>_xlfn.XLOOKUP(A752,Class_Players!$A:$A,Class_Players!$F:$F,"")</f>
        <v>10076</v>
      </c>
      <c r="I752" s="44">
        <f t="shared" si="205"/>
        <v>9.9245732433505355E-5</v>
      </c>
      <c r="J752" s="43">
        <f t="shared" si="206"/>
        <v>0</v>
      </c>
      <c r="K752" s="44" cm="1">
        <f t="array" ref="K752">IF(D752="Gadget",_xlfn.IFS(I752&gt;=0.2,0.5,I752&gt;=0.1,0.35,I752&gt;=0.05,0.2,TRUE,0),IF(D752="Grenade",_xlfn.IFS(I752&gt;=0.2,1,I752&gt;=0.1,0.7,I752&gt;=0.05,0.4,TRUE,0),0))</f>
        <v>0</v>
      </c>
      <c r="L752" s="57">
        <f t="shared" si="207"/>
        <v>0</v>
      </c>
    </row>
    <row r="753" spans="1:12" ht="15" customHeight="1" x14ac:dyDescent="0.25">
      <c r="A753" s="42" t="str" cm="1">
        <f t="array" ref="A753">IFERROR(INDEX(_xlfn._xlws.FILTER(Class_Players!A:A,Class_Players!B:B="Support"),QUOTIENT(ROW()-ROW($A$2),9)+1),"")</f>
        <v>peanut17</v>
      </c>
      <c r="B753" s="42" t="str">
        <f>_xlfn.XLOOKUP(A753,Class_Players!$A:$A,Class_Players!$B:$B,"")</f>
        <v>Support</v>
      </c>
      <c r="C753" s="38" t="str" cm="1">
        <f t="array" ref="C753">INDEX(Lookups!$D$2:$D$10,MOD(ROW()-ROW($B$2),ROWS(Lookups!$D$2:$D$10))+1)</f>
        <v>SICH G1 WP (Incendiary Airburst Launcher)</v>
      </c>
      <c r="D753" s="38" t="str">
        <f>_xlfn.XLOOKUP(C753,Analysis_Gadgets!$C:$C,Analysis_Gadgets!$B:$B)</f>
        <v>Gadget</v>
      </c>
      <c r="E753" s="43">
        <v>0</v>
      </c>
      <c r="F753" s="43">
        <f>_xlfn.XLOOKUP(A753,Class_Players!A:A,Class_Players!G:G)</f>
        <v>191</v>
      </c>
      <c r="G753" s="43">
        <f t="shared" si="204"/>
        <v>0</v>
      </c>
      <c r="H753" s="43">
        <f>_xlfn.XLOOKUP(A753,Class_Players!$A:$A,Class_Players!$F:$F,"")</f>
        <v>10076</v>
      </c>
      <c r="I753" s="44">
        <f t="shared" si="205"/>
        <v>0</v>
      </c>
      <c r="J753" s="43">
        <f t="shared" si="206"/>
        <v>0</v>
      </c>
      <c r="K753" s="44" cm="1">
        <f t="array" ref="K753">IF(D753="Gadget",_xlfn.IFS(I753&gt;=0.2,0.5,I753&gt;=0.1,0.35,I753&gt;=0.05,0.2,TRUE,0),IF(D753="Grenade",_xlfn.IFS(I753&gt;=0.2,1,I753&gt;=0.1,0.7,I753&gt;=0.05,0.4,TRUE,0),0))</f>
        <v>0</v>
      </c>
      <c r="L753" s="57">
        <f t="shared" si="207"/>
        <v>0</v>
      </c>
    </row>
    <row r="754" spans="1:12" ht="15" customHeight="1" x14ac:dyDescent="0.25">
      <c r="A754" s="42" t="str" cm="1">
        <f t="array" ref="A754">IFERROR(INDEX(_xlfn._xlws.FILTER(Class_Players!A:A,Class_Players!B:B="Support"),QUOTIENT(ROW()-ROW($A$2),9)+1),"")</f>
        <v>peanut17</v>
      </c>
      <c r="B754" s="42" t="str">
        <f>_xlfn.XLOOKUP(A754,Class_Players!$A:$A,Class_Players!$B:$B,"")</f>
        <v>Support</v>
      </c>
      <c r="C754" s="38" t="str" cm="1">
        <f t="array" ref="C754">INDEX(Lookups!$D$2:$D$10,MOD(ROW()-ROW($B$2),ROWS(Lookups!$D$2:$D$10))+1)</f>
        <v>Deployable Cover</v>
      </c>
      <c r="D754" s="38" t="str">
        <f>_xlfn.XLOOKUP(C754,Analysis_Gadgets!$C:$C,Analysis_Gadgets!$B:$B)</f>
        <v>Gadget</v>
      </c>
      <c r="E754" s="43">
        <v>3820</v>
      </c>
      <c r="F754" s="43">
        <f>_xlfn.XLOOKUP(A754,Class_Players!A:A,Class_Players!G:G)</f>
        <v>191</v>
      </c>
      <c r="G754" s="43">
        <f t="shared" si="204"/>
        <v>20</v>
      </c>
      <c r="H754" s="43">
        <f>_xlfn.XLOOKUP(A754,Class_Players!$A:$A,Class_Players!$F:$F,"")</f>
        <v>10076</v>
      </c>
      <c r="I754" s="44">
        <f t="shared" si="205"/>
        <v>0.37911869789599045</v>
      </c>
      <c r="J754" s="43">
        <f t="shared" si="206"/>
        <v>1</v>
      </c>
      <c r="K754" s="44" cm="1">
        <f t="array" ref="K754">IF(D754="Gadget",_xlfn.IFS(I754&gt;=0.2,0.5,I754&gt;=0.1,0.35,I754&gt;=0.05,0.2,TRUE,0),IF(D754="Grenade",_xlfn.IFS(I754&gt;=0.2,1,I754&gt;=0.1,0.7,I754&gt;=0.05,0.4,TRUE,0),0))</f>
        <v>0.5</v>
      </c>
      <c r="L754" s="57">
        <f t="shared" si="207"/>
        <v>1</v>
      </c>
    </row>
    <row r="755" spans="1:12" ht="15" customHeight="1" x14ac:dyDescent="0.25">
      <c r="A755" s="42" t="str" cm="1">
        <f t="array" ref="A755">IFERROR(INDEX(_xlfn._xlws.FILTER(Class_Players!A:A,Class_Players!B:B="Support"),QUOTIENT(ROW()-ROW($A$2),9)+1),"")</f>
        <v>peanut17</v>
      </c>
      <c r="B755" s="42" t="str">
        <f>_xlfn.XLOOKUP(A755,Class_Players!$A:$A,Class_Players!$B:$B,"")</f>
        <v>Support</v>
      </c>
      <c r="C755" s="38" t="str" cm="1">
        <f t="array" ref="C755">INDEX(Lookups!$D$2:$D$10,MOD(ROW()-ROW($B$2),ROWS(Lookups!$D$2:$D$10))+1)</f>
        <v>Supply Pouch</v>
      </c>
      <c r="D755" s="38" t="str">
        <f>_xlfn.XLOOKUP(C755,Analysis_Gadgets!$C:$C,Analysis_Gadgets!$B:$B)</f>
        <v>Gadget</v>
      </c>
      <c r="E755" s="43">
        <v>0</v>
      </c>
      <c r="F755" s="43">
        <f>_xlfn.XLOOKUP(A755,Class_Players!A:A,Class_Players!G:G)</f>
        <v>191</v>
      </c>
      <c r="G755" s="43">
        <f t="shared" si="204"/>
        <v>0</v>
      </c>
      <c r="H755" s="43">
        <f>_xlfn.XLOOKUP(A755,Class_Players!$A:$A,Class_Players!$F:$F,"")</f>
        <v>10076</v>
      </c>
      <c r="I755" s="44">
        <f t="shared" si="205"/>
        <v>0</v>
      </c>
      <c r="J755" s="43">
        <f t="shared" si="206"/>
        <v>0</v>
      </c>
      <c r="K755" s="44" cm="1">
        <f t="array" ref="K755">IF(D755="Gadget",_xlfn.IFS(I755&gt;=0.2,0.5,I755&gt;=0.1,0.35,I755&gt;=0.05,0.2,TRUE,0),IF(D755="Grenade",_xlfn.IFS(I755&gt;=0.2,1,I755&gt;=0.1,0.7,I755&gt;=0.05,0.4,TRUE,0),0))</f>
        <v>0</v>
      </c>
      <c r="L755" s="57">
        <f t="shared" si="207"/>
        <v>0</v>
      </c>
    </row>
    <row r="756" spans="1:12" ht="15" customHeight="1" x14ac:dyDescent="0.25">
      <c r="A756" s="42" t="str" cm="1">
        <f t="array" ref="A756">IFERROR(INDEX(_xlfn._xlws.FILTER(Class_Players!A:A,Class_Players!B:B="Support"),QUOTIENT(ROW()-ROW($A$2),9)+1),"")</f>
        <v>peanut17</v>
      </c>
      <c r="B756" s="42" t="str">
        <f>_xlfn.XLOOKUP(A756,Class_Players!$A:$A,Class_Players!$B:$B,"")</f>
        <v>Support</v>
      </c>
      <c r="C756" s="38" t="str" cm="1">
        <f t="array" ref="C756">INDEX(Lookups!$D$2:$D$10,MOD(ROW()-ROW($B$2),ROWS(Lookups!$D$2:$D$10))+1)</f>
        <v>Smoke Grenade</v>
      </c>
      <c r="D756" s="38" t="str">
        <f>_xlfn.XLOOKUP(C756,Analysis_Gadgets!$C:$C,Analysis_Gadgets!$B:$B)</f>
        <v>Grenade</v>
      </c>
      <c r="E756" s="43">
        <v>0</v>
      </c>
      <c r="F756" s="43">
        <f>_xlfn.XLOOKUP(A756,Class_Players!A:A,Class_Players!G:G)</f>
        <v>191</v>
      </c>
      <c r="G756" s="43">
        <f t="shared" si="204"/>
        <v>0</v>
      </c>
      <c r="H756" s="43">
        <f>_xlfn.XLOOKUP(A756,Class_Players!$A:$A,Class_Players!$F:$F,"")</f>
        <v>10076</v>
      </c>
      <c r="I756" s="44">
        <f t="shared" si="205"/>
        <v>0</v>
      </c>
      <c r="J756" s="43">
        <f t="shared" si="206"/>
        <v>0</v>
      </c>
      <c r="K756" s="44" cm="1">
        <f t="array" ref="K756">IF(D756="Gadget",_xlfn.IFS(I756&gt;=0.2,0.5,I756&gt;=0.1,0.35,I756&gt;=0.05,0.2,TRUE,0),IF(D756="Grenade",_xlfn.IFS(I756&gt;=0.2,1,I756&gt;=0.1,0.7,I756&gt;=0.05,0.4,TRUE,0),0))</f>
        <v>0</v>
      </c>
      <c r="L756" s="57">
        <f>IF($K756=0,0,$K756 / SUMIFS($K:$K,$A:$A,$A756,$D:$D,"Grenade"))</f>
        <v>0</v>
      </c>
    </row>
    <row r="757" spans="1:12" ht="15" customHeight="1" x14ac:dyDescent="0.25">
      <c r="A757" s="42" t="str" cm="1">
        <f t="array" ref="A757">IFERROR(INDEX(_xlfn._xlws.FILTER(Class_Players!A:A,Class_Players!B:B="Support"),QUOTIENT(ROW()-ROW($A$2),9)+1),"")</f>
        <v>peanut17</v>
      </c>
      <c r="B757" s="42" t="str">
        <f>_xlfn.XLOOKUP(A757,Class_Players!$A:$A,Class_Players!$B:$B,"")</f>
        <v>Support</v>
      </c>
      <c r="C757" s="38" t="str" cm="1">
        <f t="array" ref="C757">INDEX(Lookups!$D$2:$D$10,MOD(ROW()-ROW($B$2),ROWS(Lookups!$D$2:$D$10))+1)</f>
        <v>Incendiary Grenade</v>
      </c>
      <c r="D757" s="38" t="str">
        <f>_xlfn.XLOOKUP(C757,Analysis_Gadgets!$C:$C,Analysis_Gadgets!$B:$B)</f>
        <v>Grenade</v>
      </c>
      <c r="E757" s="43">
        <v>6897</v>
      </c>
      <c r="F757" s="43">
        <f>_xlfn.XLOOKUP(A757,Class_Players!A:A,Class_Players!G:G)</f>
        <v>191</v>
      </c>
      <c r="G757" s="43">
        <f t="shared" si="204"/>
        <v>36.109947643979055</v>
      </c>
      <c r="H757" s="43">
        <f>_xlfn.XLOOKUP(A757,Class_Players!$A:$A,Class_Players!$F:$F,"")</f>
        <v>10076</v>
      </c>
      <c r="I757" s="44">
        <f t="shared" si="205"/>
        <v>0.68449781659388642</v>
      </c>
      <c r="J757" s="43">
        <f t="shared" si="206"/>
        <v>1</v>
      </c>
      <c r="K757" s="44" cm="1">
        <f t="array" ref="K757">IF(D757="Gadget",_xlfn.IFS(I757&gt;=0.2,0.5,I757&gt;=0.1,0.35,I757&gt;=0.05,0.2,TRUE,0),IF(D757="Grenade",_xlfn.IFS(I757&gt;=0.2,1,I757&gt;=0.1,0.7,I757&gt;=0.05,0.4,TRUE,0),0))</f>
        <v>1</v>
      </c>
      <c r="L757" s="57">
        <f>IF($K757=0,0,$K757 / SUMIFS($K:$K,$A:$A,$A757,$D:$D,"Grenade"))</f>
        <v>1</v>
      </c>
    </row>
    <row r="758" spans="1:12" ht="15" customHeight="1" x14ac:dyDescent="0.25">
      <c r="A758" s="42" t="str" cm="1">
        <f t="array" ref="A758">IFERROR(INDEX(_xlfn._xlws.FILTER(Class_Players!A:A,Class_Players!B:B="Support"),QUOTIENT(ROW()-ROW($A$2),9)+1),"")</f>
        <v>xKobra1</v>
      </c>
      <c r="B758" s="42" t="str">
        <f>_xlfn.XLOOKUP(A758,Class_Players!$A:$A,Class_Players!$B:$B,"")</f>
        <v>Support</v>
      </c>
      <c r="C758" s="38" t="str" cm="1">
        <f t="array" ref="C758">INDEX(Lookups!$D$2:$D$10,MOD(ROW()-ROW($B$2),ROWS(Lookups!$D$2:$D$10))+1)</f>
        <v>GPDIS (Grenade intercept system)</v>
      </c>
      <c r="D758" s="38" t="str">
        <f>_xlfn.XLOOKUP(C758,Analysis_Gadgets!$C:$C,Analysis_Gadgets!$B:$B)</f>
        <v>Gadget</v>
      </c>
      <c r="E758" s="43">
        <v>35</v>
      </c>
      <c r="F758" s="43">
        <f>_xlfn.XLOOKUP(A758,Class_Players!A:A,Class_Players!G:G)</f>
        <v>278</v>
      </c>
      <c r="G758" s="43">
        <f t="shared" ref="G758:G775" si="208">IF(F758=0,"",E758/(F758))</f>
        <v>0.12589928057553956</v>
      </c>
      <c r="H758" s="43">
        <f>_xlfn.XLOOKUP(A758,Class_Players!$A:$A,Class_Players!$F:$F,"")</f>
        <v>9835</v>
      </c>
      <c r="I758" s="44">
        <f t="shared" ref="I758:I775" si="209">IF(H758=0,"",E758/H758)</f>
        <v>3.5587188612099642E-3</v>
      </c>
      <c r="J758" s="43">
        <f t="shared" ref="J758:J901" si="210">IF(I758&gt;=0.1,1,0)</f>
        <v>0</v>
      </c>
      <c r="K758" s="44" cm="1">
        <f t="array" ref="K758">IF(D758="Gadget",_xlfn.IFS(I758&gt;=0.2,0.5,I758&gt;=0.1,0.35,I758&gt;=0.05,0.2,TRUE,0),IF(D758="Grenade",_xlfn.IFS(I758&gt;=0.2,1,I758&gt;=0.1,0.7,I758&gt;=0.05,0.4,TRUE,0),0))</f>
        <v>0</v>
      </c>
      <c r="L758" s="57">
        <f t="shared" ref="L758:L764" si="211">IF($K758=0,0,$K758 / SUMIFS($K:$K,$A:$A,$A758,$D:$D,"Gadget"))</f>
        <v>0</v>
      </c>
    </row>
    <row r="759" spans="1:12" ht="15" customHeight="1" x14ac:dyDescent="0.25">
      <c r="A759" s="42" t="str" cm="1">
        <f t="array" ref="A759">IFERROR(INDEX(_xlfn._xlws.FILTER(Class_Players!A:A,Class_Players!B:B="Support"),QUOTIENT(ROW()-ROW($A$2),9)+1),"")</f>
        <v>xKobra1</v>
      </c>
      <c r="B759" s="42" t="str">
        <f>_xlfn.XLOOKUP(A759,Class_Players!$A:$A,Class_Players!$B:$B,"")</f>
        <v>Support</v>
      </c>
      <c r="C759" s="38" t="str" cm="1">
        <f t="array" ref="C759">INDEX(Lookups!$D$2:$D$10,MOD(ROW()-ROW($B$2),ROWS(Lookups!$D$2:$D$10))+1)</f>
        <v>MP-APS (Missile intercept system)</v>
      </c>
      <c r="D759" s="38" t="str">
        <f>_xlfn.XLOOKUP(C759,Analysis_Gadgets!$C:$C,Analysis_Gadgets!$B:$B)</f>
        <v>Gadget</v>
      </c>
      <c r="E759" s="43">
        <v>2</v>
      </c>
      <c r="F759" s="43">
        <f>_xlfn.XLOOKUP(A759,Class_Players!A:A,Class_Players!G:G)</f>
        <v>278</v>
      </c>
      <c r="G759" s="43">
        <f t="shared" si="208"/>
        <v>7.1942446043165471E-3</v>
      </c>
      <c r="H759" s="43">
        <f>_xlfn.XLOOKUP(A759,Class_Players!$A:$A,Class_Players!$F:$F,"")</f>
        <v>9835</v>
      </c>
      <c r="I759" s="44">
        <f t="shared" si="209"/>
        <v>2.0335536349771224E-4</v>
      </c>
      <c r="J759" s="43">
        <f t="shared" si="210"/>
        <v>0</v>
      </c>
      <c r="K759" s="44" cm="1">
        <f t="array" ref="K759">IF(D759="Gadget",_xlfn.IFS(I759&gt;=0.2,0.5,I759&gt;=0.1,0.35,I759&gt;=0.05,0.2,TRUE,0),IF(D759="Grenade",_xlfn.IFS(I759&gt;=0.2,1,I759&gt;=0.1,0.7,I759&gt;=0.05,0.4,TRUE,0),0))</f>
        <v>0</v>
      </c>
      <c r="L759" s="57">
        <f t="shared" si="211"/>
        <v>0</v>
      </c>
    </row>
    <row r="760" spans="1:12" ht="15" customHeight="1" x14ac:dyDescent="0.25">
      <c r="A760" s="42" t="str" cm="1">
        <f t="array" ref="A760">IFERROR(INDEX(_xlfn._xlws.FILTER(Class_Players!A:A,Class_Players!B:B="Support"),QUOTIENT(ROW()-ROW($A$2),9)+1),"")</f>
        <v>xKobra1</v>
      </c>
      <c r="B760" s="42" t="str">
        <f>_xlfn.XLOOKUP(A760,Class_Players!$A:$A,Class_Players!$B:$B,"")</f>
        <v>Support</v>
      </c>
      <c r="C760" s="38" t="str" cm="1">
        <f t="array" ref="C760">INDEX(Lookups!$D$2:$D$10,MOD(ROW()-ROW($B$2),ROWS(Lookups!$D$2:$D$10))+1)</f>
        <v>LWCMS (Mortar)</v>
      </c>
      <c r="D760" s="38" t="str">
        <f>_xlfn.XLOOKUP(C760,Analysis_Gadgets!$C:$C,Analysis_Gadgets!$B:$B)</f>
        <v>Gadget</v>
      </c>
      <c r="E760" s="43">
        <v>1</v>
      </c>
      <c r="F760" s="43">
        <f>_xlfn.XLOOKUP(A760,Class_Players!A:A,Class_Players!G:G)</f>
        <v>278</v>
      </c>
      <c r="G760" s="43">
        <f t="shared" si="208"/>
        <v>3.5971223021582736E-3</v>
      </c>
      <c r="H760" s="43">
        <f>_xlfn.XLOOKUP(A760,Class_Players!$A:$A,Class_Players!$F:$F,"")</f>
        <v>9835</v>
      </c>
      <c r="I760" s="44">
        <f t="shared" si="209"/>
        <v>1.0167768174885612E-4</v>
      </c>
      <c r="J760" s="43">
        <f t="shared" si="210"/>
        <v>0</v>
      </c>
      <c r="K760" s="44" cm="1">
        <f t="array" ref="K760">IF(D760="Gadget",_xlfn.IFS(I760&gt;=0.2,0.5,I760&gt;=0.1,0.35,I760&gt;=0.05,0.2,TRUE,0),IF(D760="Grenade",_xlfn.IFS(I760&gt;=0.2,1,I760&gt;=0.1,0.7,I760&gt;=0.05,0.4,TRUE,0),0))</f>
        <v>0</v>
      </c>
      <c r="L760" s="57">
        <f t="shared" si="211"/>
        <v>0</v>
      </c>
    </row>
    <row r="761" spans="1:12" ht="15" customHeight="1" x14ac:dyDescent="0.25">
      <c r="A761" s="42" t="str" cm="1">
        <f t="array" ref="A761">IFERROR(INDEX(_xlfn._xlws.FILTER(Class_Players!A:A,Class_Players!B:B="Support"),QUOTIENT(ROW()-ROW($A$2),9)+1),"")</f>
        <v>xKobra1</v>
      </c>
      <c r="B761" s="42" t="str">
        <f>_xlfn.XLOOKUP(A761,Class_Players!$A:$A,Class_Players!$B:$B,"")</f>
        <v>Support</v>
      </c>
      <c r="C761" s="38" t="str" cm="1">
        <f t="array" ref="C761">INDEX(Lookups!$D$2:$D$10,MOD(ROW()-ROW($B$2),ROWS(Lookups!$D$2:$D$10))+1)</f>
        <v>M320A1 SMK (Smoke Grenade Launcher)</v>
      </c>
      <c r="D761" s="38" t="str">
        <f>_xlfn.XLOOKUP(C761,Analysis_Gadgets!$C:$C,Analysis_Gadgets!$B:$B)</f>
        <v>Gadget</v>
      </c>
      <c r="E761" s="43">
        <v>99</v>
      </c>
      <c r="F761" s="43">
        <f>_xlfn.XLOOKUP(A761,Class_Players!A:A,Class_Players!G:G)</f>
        <v>278</v>
      </c>
      <c r="G761" s="43">
        <f t="shared" si="208"/>
        <v>0.35611510791366907</v>
      </c>
      <c r="H761" s="43">
        <f>_xlfn.XLOOKUP(A761,Class_Players!$A:$A,Class_Players!$F:$F,"")</f>
        <v>9835</v>
      </c>
      <c r="I761" s="44">
        <f t="shared" si="209"/>
        <v>1.0066090493136757E-2</v>
      </c>
      <c r="J761" s="43">
        <f t="shared" si="210"/>
        <v>0</v>
      </c>
      <c r="K761" s="44" cm="1">
        <f t="array" ref="K761">IF(D761="Gadget",_xlfn.IFS(I761&gt;=0.2,0.5,I761&gt;=0.1,0.35,I761&gt;=0.05,0.2,TRUE,0),IF(D761="Grenade",_xlfn.IFS(I761&gt;=0.2,1,I761&gt;=0.1,0.7,I761&gt;=0.05,0.4,TRUE,0),0))</f>
        <v>0</v>
      </c>
      <c r="L761" s="57">
        <f t="shared" si="211"/>
        <v>0</v>
      </c>
    </row>
    <row r="762" spans="1:12" ht="15" customHeight="1" x14ac:dyDescent="0.25">
      <c r="A762" s="42" t="str" cm="1">
        <f t="array" ref="A762">IFERROR(INDEX(_xlfn._xlws.FILTER(Class_Players!A:A,Class_Players!B:B="Support"),QUOTIENT(ROW()-ROW($A$2),9)+1),"")</f>
        <v>xKobra1</v>
      </c>
      <c r="B762" s="42" t="str">
        <f>_xlfn.XLOOKUP(A762,Class_Players!$A:$A,Class_Players!$B:$B,"")</f>
        <v>Support</v>
      </c>
      <c r="C762" s="38" t="str" cm="1">
        <f t="array" ref="C762">INDEX(Lookups!$D$2:$D$10,MOD(ROW()-ROW($B$2),ROWS(Lookups!$D$2:$D$10))+1)</f>
        <v>SICH G1 WP (Incendiary Airburst Launcher)</v>
      </c>
      <c r="D762" s="38" t="str">
        <f>_xlfn.XLOOKUP(C762,Analysis_Gadgets!$C:$C,Analysis_Gadgets!$B:$B)</f>
        <v>Gadget</v>
      </c>
      <c r="E762" s="43">
        <v>2</v>
      </c>
      <c r="F762" s="43">
        <f>_xlfn.XLOOKUP(A762,Class_Players!A:A,Class_Players!G:G)</f>
        <v>278</v>
      </c>
      <c r="G762" s="43">
        <f t="shared" si="208"/>
        <v>7.1942446043165471E-3</v>
      </c>
      <c r="H762" s="43">
        <f>_xlfn.XLOOKUP(A762,Class_Players!$A:$A,Class_Players!$F:$F,"")</f>
        <v>9835</v>
      </c>
      <c r="I762" s="44">
        <f t="shared" si="209"/>
        <v>2.0335536349771224E-4</v>
      </c>
      <c r="J762" s="43">
        <f t="shared" si="210"/>
        <v>0</v>
      </c>
      <c r="K762" s="44" cm="1">
        <f t="array" ref="K762">IF(D762="Gadget",_xlfn.IFS(I762&gt;=0.2,0.5,I762&gt;=0.1,0.35,I762&gt;=0.05,0.2,TRUE,0),IF(D762="Grenade",_xlfn.IFS(I762&gt;=0.2,1,I762&gt;=0.1,0.7,I762&gt;=0.05,0.4,TRUE,0),0))</f>
        <v>0</v>
      </c>
      <c r="L762" s="57">
        <f t="shared" si="211"/>
        <v>0</v>
      </c>
    </row>
    <row r="763" spans="1:12" ht="15" customHeight="1" x14ac:dyDescent="0.25">
      <c r="A763" s="42" t="str" cm="1">
        <f t="array" ref="A763">IFERROR(INDEX(_xlfn._xlws.FILTER(Class_Players!A:A,Class_Players!B:B="Support"),QUOTIENT(ROW()-ROW($A$2),9)+1),"")</f>
        <v>xKobra1</v>
      </c>
      <c r="B763" s="42" t="str">
        <f>_xlfn.XLOOKUP(A763,Class_Players!$A:$A,Class_Players!$B:$B,"")</f>
        <v>Support</v>
      </c>
      <c r="C763" s="38" t="str" cm="1">
        <f t="array" ref="C763">INDEX(Lookups!$D$2:$D$10,MOD(ROW()-ROW($B$2),ROWS(Lookups!$D$2:$D$10))+1)</f>
        <v>Deployable Cover</v>
      </c>
      <c r="D763" s="38" t="str">
        <f>_xlfn.XLOOKUP(C763,Analysis_Gadgets!$C:$C,Analysis_Gadgets!$B:$B)</f>
        <v>Gadget</v>
      </c>
      <c r="E763" s="43">
        <v>4603</v>
      </c>
      <c r="F763" s="43">
        <f>_xlfn.XLOOKUP(A763,Class_Players!A:A,Class_Players!G:G)</f>
        <v>278</v>
      </c>
      <c r="G763" s="43">
        <f t="shared" si="208"/>
        <v>16.557553956834532</v>
      </c>
      <c r="H763" s="43">
        <f>_xlfn.XLOOKUP(A763,Class_Players!$A:$A,Class_Players!$F:$F,"")</f>
        <v>9835</v>
      </c>
      <c r="I763" s="44">
        <f t="shared" si="209"/>
        <v>0.46802236908998474</v>
      </c>
      <c r="J763" s="43">
        <f t="shared" si="210"/>
        <v>1</v>
      </c>
      <c r="K763" s="44" cm="1">
        <f t="array" ref="K763">IF(D763="Gadget",_xlfn.IFS(I763&gt;=0.2,0.5,I763&gt;=0.1,0.35,I763&gt;=0.05,0.2,TRUE,0),IF(D763="Grenade",_xlfn.IFS(I763&gt;=0.2,1,I763&gt;=0.1,0.7,I763&gt;=0.05,0.4,TRUE,0),0))</f>
        <v>0.5</v>
      </c>
      <c r="L763" s="57">
        <f t="shared" si="211"/>
        <v>1</v>
      </c>
    </row>
    <row r="764" spans="1:12" ht="15" customHeight="1" x14ac:dyDescent="0.25">
      <c r="A764" s="42" t="str" cm="1">
        <f t="array" ref="A764">IFERROR(INDEX(_xlfn._xlws.FILTER(Class_Players!A:A,Class_Players!B:B="Support"),QUOTIENT(ROW()-ROW($A$2),9)+1),"")</f>
        <v>xKobra1</v>
      </c>
      <c r="B764" s="42" t="str">
        <f>_xlfn.XLOOKUP(A764,Class_Players!$A:$A,Class_Players!$B:$B,"")</f>
        <v>Support</v>
      </c>
      <c r="C764" s="38" t="str" cm="1">
        <f t="array" ref="C764">INDEX(Lookups!$D$2:$D$10,MOD(ROW()-ROW($B$2),ROWS(Lookups!$D$2:$D$10))+1)</f>
        <v>Supply Pouch</v>
      </c>
      <c r="D764" s="38" t="str">
        <f>_xlfn.XLOOKUP(C764,Analysis_Gadgets!$C:$C,Analysis_Gadgets!$B:$B)</f>
        <v>Gadget</v>
      </c>
      <c r="E764" s="43">
        <v>0</v>
      </c>
      <c r="F764" s="43">
        <f>_xlfn.XLOOKUP(A764,Class_Players!A:A,Class_Players!G:G)</f>
        <v>278</v>
      </c>
      <c r="G764" s="43">
        <f t="shared" si="208"/>
        <v>0</v>
      </c>
      <c r="H764" s="43">
        <f>_xlfn.XLOOKUP(A764,Class_Players!$A:$A,Class_Players!$F:$F,"")</f>
        <v>9835</v>
      </c>
      <c r="I764" s="44">
        <f t="shared" si="209"/>
        <v>0</v>
      </c>
      <c r="J764" s="43">
        <f t="shared" si="210"/>
        <v>0</v>
      </c>
      <c r="K764" s="44" cm="1">
        <f t="array" ref="K764">IF(D764="Gadget",_xlfn.IFS(I764&gt;=0.2,0.5,I764&gt;=0.1,0.35,I764&gt;=0.05,0.2,TRUE,0),IF(D764="Grenade",_xlfn.IFS(I764&gt;=0.2,1,I764&gt;=0.1,0.7,I764&gt;=0.05,0.4,TRUE,0),0))</f>
        <v>0</v>
      </c>
      <c r="L764" s="57">
        <f t="shared" si="211"/>
        <v>0</v>
      </c>
    </row>
    <row r="765" spans="1:12" ht="15" customHeight="1" x14ac:dyDescent="0.25">
      <c r="A765" s="42" t="str" cm="1">
        <f t="array" ref="A765">IFERROR(INDEX(_xlfn._xlws.FILTER(Class_Players!A:A,Class_Players!B:B="Support"),QUOTIENT(ROW()-ROW($A$2),9)+1),"")</f>
        <v>xKobra1</v>
      </c>
      <c r="B765" s="42" t="str">
        <f>_xlfn.XLOOKUP(A765,Class_Players!$A:$A,Class_Players!$B:$B,"")</f>
        <v>Support</v>
      </c>
      <c r="C765" s="38" t="str" cm="1">
        <f t="array" ref="C765">INDEX(Lookups!$D$2:$D$10,MOD(ROW()-ROW($B$2),ROWS(Lookups!$D$2:$D$10))+1)</f>
        <v>Smoke Grenade</v>
      </c>
      <c r="D765" s="38" t="str">
        <f>_xlfn.XLOOKUP(C765,Analysis_Gadgets!$C:$C,Analysis_Gadgets!$B:$B)</f>
        <v>Grenade</v>
      </c>
      <c r="E765" s="43">
        <v>1197</v>
      </c>
      <c r="F765" s="43">
        <f>_xlfn.XLOOKUP(A765,Class_Players!A:A,Class_Players!G:G)</f>
        <v>278</v>
      </c>
      <c r="G765" s="43">
        <f t="shared" si="208"/>
        <v>4.3057553956834536</v>
      </c>
      <c r="H765" s="43">
        <f>_xlfn.XLOOKUP(A765,Class_Players!$A:$A,Class_Players!$F:$F,"")</f>
        <v>9835</v>
      </c>
      <c r="I765" s="44">
        <f t="shared" si="209"/>
        <v>0.12170818505338078</v>
      </c>
      <c r="J765" s="43">
        <f t="shared" si="210"/>
        <v>1</v>
      </c>
      <c r="K765" s="44" cm="1">
        <f t="array" ref="K765">IF(D765="Gadget",_xlfn.IFS(I765&gt;=0.2,0.5,I765&gt;=0.1,0.35,I765&gt;=0.05,0.2,TRUE,0),IF(D765="Grenade",_xlfn.IFS(I765&gt;=0.2,1,I765&gt;=0.1,0.7,I765&gt;=0.05,0.4,TRUE,0),0))</f>
        <v>0.7</v>
      </c>
      <c r="L765" s="57">
        <f t="shared" ref="L765:L766" si="212">IF($K765=0,0,$K765 / SUMIFS($K:$K,$A:$A,$A765,$D:$D,"Grenade"))</f>
        <v>0.41176470588235292</v>
      </c>
    </row>
    <row r="766" spans="1:12" ht="15" customHeight="1" x14ac:dyDescent="0.25">
      <c r="A766" s="42" t="str" cm="1">
        <f t="array" ref="A766">IFERROR(INDEX(_xlfn._xlws.FILTER(Class_Players!A:A,Class_Players!B:B="Support"),QUOTIENT(ROW()-ROW($A$2),9)+1),"")</f>
        <v>xKobra1</v>
      </c>
      <c r="B766" s="42" t="str">
        <f>_xlfn.XLOOKUP(A766,Class_Players!$A:$A,Class_Players!$B:$B,"")</f>
        <v>Support</v>
      </c>
      <c r="C766" s="38" t="str" cm="1">
        <f t="array" ref="C766">INDEX(Lookups!$D$2:$D$10,MOD(ROW()-ROW($B$2),ROWS(Lookups!$D$2:$D$10))+1)</f>
        <v>Incendiary Grenade</v>
      </c>
      <c r="D766" s="38" t="str">
        <f>_xlfn.XLOOKUP(C766,Analysis_Gadgets!$C:$C,Analysis_Gadgets!$B:$B)</f>
        <v>Grenade</v>
      </c>
      <c r="E766" s="43">
        <v>6224</v>
      </c>
      <c r="F766" s="43">
        <f>_xlfn.XLOOKUP(A766,Class_Players!A:A,Class_Players!G:G)</f>
        <v>278</v>
      </c>
      <c r="G766" s="43">
        <f t="shared" si="208"/>
        <v>22.388489208633093</v>
      </c>
      <c r="H766" s="43">
        <f>_xlfn.XLOOKUP(A766,Class_Players!$A:$A,Class_Players!$F:$F,"")</f>
        <v>9835</v>
      </c>
      <c r="I766" s="44">
        <f t="shared" si="209"/>
        <v>0.63284189120488055</v>
      </c>
      <c r="J766" s="43">
        <f t="shared" si="210"/>
        <v>1</v>
      </c>
      <c r="K766" s="44" cm="1">
        <f t="array" ref="K766">IF(D766="Gadget",_xlfn.IFS(I766&gt;=0.2,0.5,I766&gt;=0.1,0.35,I766&gt;=0.05,0.2,TRUE,0),IF(D766="Grenade",_xlfn.IFS(I766&gt;=0.2,1,I766&gt;=0.1,0.7,I766&gt;=0.05,0.4,TRUE,0),0))</f>
        <v>1</v>
      </c>
      <c r="L766" s="57">
        <f t="shared" si="212"/>
        <v>0.58823529411764708</v>
      </c>
    </row>
    <row r="767" spans="1:12" ht="15" customHeight="1" x14ac:dyDescent="0.25">
      <c r="A767" s="42" t="str" cm="1">
        <f t="array" ref="A767">IFERROR(INDEX(_xlfn._xlws.FILTER(Class_Players!A:A,Class_Players!B:B="Support"),QUOTIENT(ROW()-ROW($A$2),9)+1),"")</f>
        <v>BenRoberts24</v>
      </c>
      <c r="B767" s="42" t="str">
        <f>_xlfn.XLOOKUP(A767,Class_Players!$A:$A,Class_Players!$B:$B,"")</f>
        <v>Support</v>
      </c>
      <c r="C767" s="38" t="str" cm="1">
        <f t="array" ref="C767">INDEX(Lookups!$D$2:$D$10,MOD(ROW()-ROW($B$2),ROWS(Lookups!$D$2:$D$10))+1)</f>
        <v>GPDIS (Grenade intercept system)</v>
      </c>
      <c r="D767" s="38" t="str">
        <f>_xlfn.XLOOKUP(C767,Analysis_Gadgets!$C:$C,Analysis_Gadgets!$B:$B)</f>
        <v>Gadget</v>
      </c>
      <c r="E767" s="43">
        <v>57</v>
      </c>
      <c r="F767" s="43">
        <f>_xlfn.XLOOKUP(A767,Class_Players!A:A,Class_Players!G:G)</f>
        <v>302</v>
      </c>
      <c r="G767" s="43">
        <f t="shared" si="208"/>
        <v>0.18874172185430463</v>
      </c>
      <c r="H767" s="43">
        <f>_xlfn.XLOOKUP(A767,Class_Players!$A:$A,Class_Players!$F:$F,"")</f>
        <v>10348</v>
      </c>
      <c r="I767" s="44">
        <f t="shared" si="209"/>
        <v>5.5083107846926943E-3</v>
      </c>
      <c r="J767" s="43">
        <f t="shared" si="210"/>
        <v>0</v>
      </c>
      <c r="K767" s="44" cm="1">
        <f t="array" ref="K767">IF(D767="Gadget",_xlfn.IFS(I767&gt;=0.2,0.5,I767&gt;=0.1,0.35,I767&gt;=0.05,0.2,TRUE,0),IF(D767="Grenade",_xlfn.IFS(I767&gt;=0.2,1,I767&gt;=0.1,0.7,I767&gt;=0.05,0.4,TRUE,0),0))</f>
        <v>0</v>
      </c>
      <c r="L767" s="57">
        <f t="shared" ref="L767:L782" si="213">IF($K767=0,0,$K767 / SUMIFS($K:$K,$A:$A,$A767,$D:$D,"Gadget"))</f>
        <v>0</v>
      </c>
    </row>
    <row r="768" spans="1:12" ht="15" customHeight="1" x14ac:dyDescent="0.25">
      <c r="A768" s="42" t="str" cm="1">
        <f t="array" ref="A768">IFERROR(INDEX(_xlfn._xlws.FILTER(Class_Players!A:A,Class_Players!B:B="Support"),QUOTIENT(ROW()-ROW($A$2),9)+1),"")</f>
        <v>BenRoberts24</v>
      </c>
      <c r="B768" s="42" t="str">
        <f>_xlfn.XLOOKUP(A768,Class_Players!$A:$A,Class_Players!$B:$B,"")</f>
        <v>Support</v>
      </c>
      <c r="C768" s="38" t="str" cm="1">
        <f t="array" ref="C768">INDEX(Lookups!$D$2:$D$10,MOD(ROW()-ROW($B$2),ROWS(Lookups!$D$2:$D$10))+1)</f>
        <v>MP-APS (Missile intercept system)</v>
      </c>
      <c r="D768" s="38" t="str">
        <f>_xlfn.XLOOKUP(C768,Analysis_Gadgets!$C:$C,Analysis_Gadgets!$B:$B)</f>
        <v>Gadget</v>
      </c>
      <c r="E768" s="43">
        <v>16</v>
      </c>
      <c r="F768" s="43">
        <f>_xlfn.XLOOKUP(A768,Class_Players!A:A,Class_Players!G:G)</f>
        <v>302</v>
      </c>
      <c r="G768" s="43">
        <f t="shared" si="208"/>
        <v>5.2980132450331126E-2</v>
      </c>
      <c r="H768" s="43">
        <f>_xlfn.XLOOKUP(A768,Class_Players!$A:$A,Class_Players!$F:$F,"")</f>
        <v>10348</v>
      </c>
      <c r="I768" s="44">
        <f t="shared" si="209"/>
        <v>1.5461925009663702E-3</v>
      </c>
      <c r="J768" s="43">
        <f t="shared" si="210"/>
        <v>0</v>
      </c>
      <c r="K768" s="44" cm="1">
        <f t="array" ref="K768">IF(D768="Gadget",_xlfn.IFS(I768&gt;=0.2,0.5,I768&gt;=0.1,0.35,I768&gt;=0.05,0.2,TRUE,0),IF(D768="Grenade",_xlfn.IFS(I768&gt;=0.2,1,I768&gt;=0.1,0.7,I768&gt;=0.05,0.4,TRUE,0),0))</f>
        <v>0</v>
      </c>
      <c r="L768" s="57">
        <f t="shared" si="213"/>
        <v>0</v>
      </c>
    </row>
    <row r="769" spans="1:12" ht="15" customHeight="1" x14ac:dyDescent="0.25">
      <c r="A769" s="42" t="str" cm="1">
        <f t="array" ref="A769">IFERROR(INDEX(_xlfn._xlws.FILTER(Class_Players!A:A,Class_Players!B:B="Support"),QUOTIENT(ROW()-ROW($A$2),9)+1),"")</f>
        <v>BenRoberts24</v>
      </c>
      <c r="B769" s="42" t="str">
        <f>_xlfn.XLOOKUP(A769,Class_Players!$A:$A,Class_Players!$B:$B,"")</f>
        <v>Support</v>
      </c>
      <c r="C769" s="38" t="str" cm="1">
        <f t="array" ref="C769">INDEX(Lookups!$D$2:$D$10,MOD(ROW()-ROW($B$2),ROWS(Lookups!$D$2:$D$10))+1)</f>
        <v>LWCMS (Mortar)</v>
      </c>
      <c r="D769" s="38" t="str">
        <f>_xlfn.XLOOKUP(C769,Analysis_Gadgets!$C:$C,Analysis_Gadgets!$B:$B)</f>
        <v>Gadget</v>
      </c>
      <c r="E769" s="43">
        <v>0</v>
      </c>
      <c r="F769" s="43">
        <f>_xlfn.XLOOKUP(A769,Class_Players!A:A,Class_Players!G:G)</f>
        <v>302</v>
      </c>
      <c r="G769" s="43">
        <f t="shared" si="208"/>
        <v>0</v>
      </c>
      <c r="H769" s="43">
        <f>_xlfn.XLOOKUP(A769,Class_Players!$A:$A,Class_Players!$F:$F,"")</f>
        <v>10348</v>
      </c>
      <c r="I769" s="44">
        <f t="shared" si="209"/>
        <v>0</v>
      </c>
      <c r="J769" s="43">
        <f t="shared" si="210"/>
        <v>0</v>
      </c>
      <c r="K769" s="44" cm="1">
        <f t="array" ref="K769">IF(D769="Gadget",_xlfn.IFS(I769&gt;=0.2,0.5,I769&gt;=0.1,0.35,I769&gt;=0.05,0.2,TRUE,0),IF(D769="Grenade",_xlfn.IFS(I769&gt;=0.2,1,I769&gt;=0.1,0.7,I769&gt;=0.05,0.4,TRUE,0),0))</f>
        <v>0</v>
      </c>
      <c r="L769" s="57">
        <f t="shared" si="213"/>
        <v>0</v>
      </c>
    </row>
    <row r="770" spans="1:12" ht="15" customHeight="1" x14ac:dyDescent="0.25">
      <c r="A770" s="42" t="str" cm="1">
        <f t="array" ref="A770">IFERROR(INDEX(_xlfn._xlws.FILTER(Class_Players!A:A,Class_Players!B:B="Support"),QUOTIENT(ROW()-ROW($A$2),9)+1),"")</f>
        <v>BenRoberts24</v>
      </c>
      <c r="B770" s="42" t="str">
        <f>_xlfn.XLOOKUP(A770,Class_Players!$A:$A,Class_Players!$B:$B,"")</f>
        <v>Support</v>
      </c>
      <c r="C770" s="38" t="str" cm="1">
        <f t="array" ref="C770">INDEX(Lookups!$D$2:$D$10,MOD(ROW()-ROW($B$2),ROWS(Lookups!$D$2:$D$10))+1)</f>
        <v>M320A1 SMK (Smoke Grenade Launcher)</v>
      </c>
      <c r="D770" s="38" t="str">
        <f>_xlfn.XLOOKUP(C770,Analysis_Gadgets!$C:$C,Analysis_Gadgets!$B:$B)</f>
        <v>Gadget</v>
      </c>
      <c r="E770" s="43">
        <v>2613</v>
      </c>
      <c r="F770" s="43">
        <f>_xlfn.XLOOKUP(A770,Class_Players!A:A,Class_Players!G:G)</f>
        <v>302</v>
      </c>
      <c r="G770" s="43">
        <f t="shared" si="208"/>
        <v>8.6523178807947012</v>
      </c>
      <c r="H770" s="43">
        <f>_xlfn.XLOOKUP(A770,Class_Players!$A:$A,Class_Players!$F:$F,"")</f>
        <v>10348</v>
      </c>
      <c r="I770" s="44">
        <f t="shared" si="209"/>
        <v>0.25251256281407036</v>
      </c>
      <c r="J770" s="43">
        <f t="shared" si="210"/>
        <v>1</v>
      </c>
      <c r="K770" s="44" cm="1">
        <f t="array" ref="K770">IF(D770="Gadget",_xlfn.IFS(I770&gt;=0.2,0.5,I770&gt;=0.1,0.35,I770&gt;=0.05,0.2,TRUE,0),IF(D770="Grenade",_xlfn.IFS(I770&gt;=0.2,1,I770&gt;=0.1,0.7,I770&gt;=0.05,0.4,TRUE,0),0))</f>
        <v>0.5</v>
      </c>
      <c r="L770" s="57">
        <f t="shared" si="213"/>
        <v>1</v>
      </c>
    </row>
    <row r="771" spans="1:12" ht="15" customHeight="1" x14ac:dyDescent="0.25">
      <c r="A771" s="42" t="str" cm="1">
        <f t="array" ref="A771">IFERROR(INDEX(_xlfn._xlws.FILTER(Class_Players!A:A,Class_Players!B:B="Support"),QUOTIENT(ROW()-ROW($A$2),9)+1),"")</f>
        <v>BenRoberts24</v>
      </c>
      <c r="B771" s="42" t="str">
        <f>_xlfn.XLOOKUP(A771,Class_Players!$A:$A,Class_Players!$B:$B,"")</f>
        <v>Support</v>
      </c>
      <c r="C771" s="38" t="str" cm="1">
        <f t="array" ref="C771">INDEX(Lookups!$D$2:$D$10,MOD(ROW()-ROW($B$2),ROWS(Lookups!$D$2:$D$10))+1)</f>
        <v>SICH G1 WP (Incendiary Airburst Launcher)</v>
      </c>
      <c r="D771" s="38" t="str">
        <f>_xlfn.XLOOKUP(C771,Analysis_Gadgets!$C:$C,Analysis_Gadgets!$B:$B)</f>
        <v>Gadget</v>
      </c>
      <c r="E771" s="43">
        <v>0</v>
      </c>
      <c r="F771" s="43">
        <f>_xlfn.XLOOKUP(A771,Class_Players!A:A,Class_Players!G:G)</f>
        <v>302</v>
      </c>
      <c r="G771" s="43">
        <f t="shared" si="208"/>
        <v>0</v>
      </c>
      <c r="H771" s="43">
        <f>_xlfn.XLOOKUP(A771,Class_Players!$A:$A,Class_Players!$F:$F,"")</f>
        <v>10348</v>
      </c>
      <c r="I771" s="44">
        <f t="shared" si="209"/>
        <v>0</v>
      </c>
      <c r="J771" s="43">
        <f t="shared" si="210"/>
        <v>0</v>
      </c>
      <c r="K771" s="44" cm="1">
        <f t="array" ref="K771">IF(D771="Gadget",_xlfn.IFS(I771&gt;=0.2,0.5,I771&gt;=0.1,0.35,I771&gt;=0.05,0.2,TRUE,0),IF(D771="Grenade",_xlfn.IFS(I771&gt;=0.2,1,I771&gt;=0.1,0.7,I771&gt;=0.05,0.4,TRUE,0),0))</f>
        <v>0</v>
      </c>
      <c r="L771" s="57">
        <f t="shared" si="213"/>
        <v>0</v>
      </c>
    </row>
    <row r="772" spans="1:12" ht="15" customHeight="1" x14ac:dyDescent="0.25">
      <c r="A772" s="42" t="str" cm="1">
        <f t="array" ref="A772">IFERROR(INDEX(_xlfn._xlws.FILTER(Class_Players!A:A,Class_Players!B:B="Support"),QUOTIENT(ROW()-ROW($A$2),9)+1),"")</f>
        <v>BenRoberts24</v>
      </c>
      <c r="B772" s="42" t="str">
        <f>_xlfn.XLOOKUP(A772,Class_Players!$A:$A,Class_Players!$B:$B,"")</f>
        <v>Support</v>
      </c>
      <c r="C772" s="38" t="str" cm="1">
        <f t="array" ref="C772">INDEX(Lookups!$D$2:$D$10,MOD(ROW()-ROW($B$2),ROWS(Lookups!$D$2:$D$10))+1)</f>
        <v>Deployable Cover</v>
      </c>
      <c r="D772" s="38" t="str">
        <f>_xlfn.XLOOKUP(C772,Analysis_Gadgets!$C:$C,Analysis_Gadgets!$B:$B)</f>
        <v>Gadget</v>
      </c>
      <c r="E772" s="43">
        <v>0</v>
      </c>
      <c r="F772" s="43">
        <f>_xlfn.XLOOKUP(A772,Class_Players!A:A,Class_Players!G:G)</f>
        <v>302</v>
      </c>
      <c r="G772" s="43">
        <f t="shared" si="208"/>
        <v>0</v>
      </c>
      <c r="H772" s="43">
        <f>_xlfn.XLOOKUP(A772,Class_Players!$A:$A,Class_Players!$F:$F,"")</f>
        <v>10348</v>
      </c>
      <c r="I772" s="44">
        <f t="shared" si="209"/>
        <v>0</v>
      </c>
      <c r="J772" s="43">
        <f t="shared" si="210"/>
        <v>0</v>
      </c>
      <c r="K772" s="44" cm="1">
        <f t="array" ref="K772">IF(D772="Gadget",_xlfn.IFS(I772&gt;=0.2,0.5,I772&gt;=0.1,0.35,I772&gt;=0.05,0.2,TRUE,0),IF(D772="Grenade",_xlfn.IFS(I772&gt;=0.2,1,I772&gt;=0.1,0.7,I772&gt;=0.05,0.4,TRUE,0),0))</f>
        <v>0</v>
      </c>
      <c r="L772" s="57">
        <f t="shared" si="213"/>
        <v>0</v>
      </c>
    </row>
    <row r="773" spans="1:12" ht="15" customHeight="1" x14ac:dyDescent="0.25">
      <c r="A773" s="42" t="str" cm="1">
        <f t="array" ref="A773">IFERROR(INDEX(_xlfn._xlws.FILTER(Class_Players!A:A,Class_Players!B:B="Support"),QUOTIENT(ROW()-ROW($A$2),9)+1),"")</f>
        <v>BenRoberts24</v>
      </c>
      <c r="B773" s="42" t="str">
        <f>_xlfn.XLOOKUP(A773,Class_Players!$A:$A,Class_Players!$B:$B,"")</f>
        <v>Support</v>
      </c>
      <c r="C773" s="38" t="str" cm="1">
        <f t="array" ref="C773">INDEX(Lookups!$D$2:$D$10,MOD(ROW()-ROW($B$2),ROWS(Lookups!$D$2:$D$10))+1)</f>
        <v>Supply Pouch</v>
      </c>
      <c r="D773" s="38" t="str">
        <f>_xlfn.XLOOKUP(C773,Analysis_Gadgets!$C:$C,Analysis_Gadgets!$B:$B)</f>
        <v>Gadget</v>
      </c>
      <c r="E773" s="43">
        <v>1</v>
      </c>
      <c r="F773" s="43">
        <f>_xlfn.XLOOKUP(A773,Class_Players!A:A,Class_Players!G:G)</f>
        <v>302</v>
      </c>
      <c r="G773" s="43">
        <f t="shared" si="208"/>
        <v>3.3112582781456954E-3</v>
      </c>
      <c r="H773" s="43">
        <f>_xlfn.XLOOKUP(A773,Class_Players!$A:$A,Class_Players!$F:$F,"")</f>
        <v>10348</v>
      </c>
      <c r="I773" s="44">
        <f t="shared" si="209"/>
        <v>9.6637031310398139E-5</v>
      </c>
      <c r="J773" s="43">
        <f t="shared" si="210"/>
        <v>0</v>
      </c>
      <c r="K773" s="44" cm="1">
        <f t="array" ref="K773">IF(D773="Gadget",_xlfn.IFS(I773&gt;=0.2,0.5,I773&gt;=0.1,0.35,I773&gt;=0.05,0.2,TRUE,0),IF(D773="Grenade",_xlfn.IFS(I773&gt;=0.2,1,I773&gt;=0.1,0.7,I773&gt;=0.05,0.4,TRUE,0),0))</f>
        <v>0</v>
      </c>
      <c r="L773" s="57">
        <f t="shared" si="213"/>
        <v>0</v>
      </c>
    </row>
    <row r="774" spans="1:12" ht="15" customHeight="1" x14ac:dyDescent="0.25">
      <c r="A774" s="42" t="str" cm="1">
        <f t="array" ref="A774">IFERROR(INDEX(_xlfn._xlws.FILTER(Class_Players!A:A,Class_Players!B:B="Support"),QUOTIENT(ROW()-ROW($A$2),9)+1),"")</f>
        <v>BenRoberts24</v>
      </c>
      <c r="B774" s="42" t="str">
        <f>_xlfn.XLOOKUP(A774,Class_Players!$A:$A,Class_Players!$B:$B,"")</f>
        <v>Support</v>
      </c>
      <c r="C774" s="38" t="str" cm="1">
        <f t="array" ref="C774">INDEX(Lookups!$D$2:$D$10,MOD(ROW()-ROW($B$2),ROWS(Lookups!$D$2:$D$10))+1)</f>
        <v>Smoke Grenade</v>
      </c>
      <c r="D774" s="38" t="str">
        <f>_xlfn.XLOOKUP(C774,Analysis_Gadgets!$C:$C,Analysis_Gadgets!$B:$B)</f>
        <v>Grenade</v>
      </c>
      <c r="E774" s="43">
        <v>12835</v>
      </c>
      <c r="F774" s="43">
        <f>_xlfn.XLOOKUP(A774,Class_Players!A:A,Class_Players!G:G)</f>
        <v>302</v>
      </c>
      <c r="G774" s="43">
        <f t="shared" si="208"/>
        <v>42.5</v>
      </c>
      <c r="H774" s="43">
        <f>_xlfn.XLOOKUP(A774,Class_Players!$A:$A,Class_Players!$F:$F,"")</f>
        <v>10348</v>
      </c>
      <c r="I774" s="44">
        <f t="shared" si="209"/>
        <v>1.2403362968689602</v>
      </c>
      <c r="J774" s="43">
        <f t="shared" si="210"/>
        <v>1</v>
      </c>
      <c r="K774" s="44" cm="1">
        <f t="array" ref="K774">IF(D774="Gadget",_xlfn.IFS(I774&gt;=0.2,0.5,I774&gt;=0.1,0.35,I774&gt;=0.05,0.2,TRUE,0),IF(D774="Grenade",_xlfn.IFS(I774&gt;=0.2,1,I774&gt;=0.1,0.7,I774&gt;=0.05,0.4,TRUE,0),0))</f>
        <v>1</v>
      </c>
      <c r="L774" s="57">
        <f t="shared" ref="L774:L775" si="214">IF($K774=0,0,$K774 / SUMIFS($K:$K,$A:$A,$A774,$D:$D,"Grenade"))</f>
        <v>1</v>
      </c>
    </row>
    <row r="775" spans="1:12" ht="15" customHeight="1" x14ac:dyDescent="0.25">
      <c r="A775" s="42" t="str" cm="1">
        <f t="array" ref="A775">IFERROR(INDEX(_xlfn._xlws.FILTER(Class_Players!A:A,Class_Players!B:B="Support"),QUOTIENT(ROW()-ROW($A$2),9)+1),"")</f>
        <v>BenRoberts24</v>
      </c>
      <c r="B775" s="42" t="str">
        <f>_xlfn.XLOOKUP(A775,Class_Players!$A:$A,Class_Players!$B:$B,"")</f>
        <v>Support</v>
      </c>
      <c r="C775" s="38" t="str" cm="1">
        <f t="array" ref="C775">INDEX(Lookups!$D$2:$D$10,MOD(ROW()-ROW($B$2),ROWS(Lookups!$D$2:$D$10))+1)</f>
        <v>Incendiary Grenade</v>
      </c>
      <c r="D775" s="38" t="str">
        <f>_xlfn.XLOOKUP(C775,Analysis_Gadgets!$C:$C,Analysis_Gadgets!$B:$B)</f>
        <v>Grenade</v>
      </c>
      <c r="E775" s="43">
        <v>1</v>
      </c>
      <c r="F775" s="43">
        <f>_xlfn.XLOOKUP(A775,Class_Players!A:A,Class_Players!G:G)</f>
        <v>302</v>
      </c>
      <c r="G775" s="43">
        <f t="shared" si="208"/>
        <v>3.3112582781456954E-3</v>
      </c>
      <c r="H775" s="43">
        <f>_xlfn.XLOOKUP(A775,Class_Players!$A:$A,Class_Players!$F:$F,"")</f>
        <v>10348</v>
      </c>
      <c r="I775" s="44">
        <f t="shared" si="209"/>
        <v>9.6637031310398139E-5</v>
      </c>
      <c r="J775" s="43">
        <f t="shared" si="210"/>
        <v>0</v>
      </c>
      <c r="K775" s="44" cm="1">
        <f t="array" ref="K775">IF(D775="Gadget",_xlfn.IFS(I775&gt;=0.2,0.5,I775&gt;=0.1,0.35,I775&gt;=0.05,0.2,TRUE,0),IF(D775="Grenade",_xlfn.IFS(I775&gt;=0.2,1,I775&gt;=0.1,0.7,I775&gt;=0.05,0.4,TRUE,0),0))</f>
        <v>0</v>
      </c>
      <c r="L775" s="57">
        <f t="shared" si="214"/>
        <v>0</v>
      </c>
    </row>
    <row r="776" spans="1:12" ht="15" customHeight="1" x14ac:dyDescent="0.25">
      <c r="A776" s="42" t="str" cm="1">
        <f t="array" ref="A776">IFERROR(INDEX(_xlfn._xlws.FILTER(Class_Players!A:A,Class_Players!B:B="Support"),QUOTIENT(ROW()-ROW($A$2),9)+1),"")</f>
        <v>SmokeyPac</v>
      </c>
      <c r="B776" s="42" t="str">
        <f>_xlfn.XLOOKUP(A776,Class_Players!$A:$A,Class_Players!$B:$B,"")</f>
        <v>Support</v>
      </c>
      <c r="C776" s="38" t="str" cm="1">
        <f t="array" ref="C776">INDEX(Lookups!$D$2:$D$10,MOD(ROW()-ROW($B$2),ROWS(Lookups!$D$2:$D$10))+1)</f>
        <v>GPDIS (Grenade intercept system)</v>
      </c>
      <c r="D776" s="38" t="str">
        <f>_xlfn.XLOOKUP(C776,Analysis_Gadgets!$C:$C,Analysis_Gadgets!$B:$B)</f>
        <v>Gadget</v>
      </c>
      <c r="E776" s="43">
        <v>169</v>
      </c>
      <c r="F776" s="43">
        <f>_xlfn.XLOOKUP(A776,Class_Players!A:A,Class_Players!G:G)</f>
        <v>249</v>
      </c>
      <c r="G776" s="43">
        <f t="shared" ref="G776:G784" si="215">IF(F776=0,"",E776/(F776))</f>
        <v>0.67871485943775101</v>
      </c>
      <c r="H776" s="43">
        <f>_xlfn.XLOOKUP(A776,Class_Players!$A:$A,Class_Players!$F:$F,"")</f>
        <v>9981</v>
      </c>
      <c r="I776" s="44">
        <f t="shared" ref="I776:I784" si="216">IF(H776=0,"",E776/H776)</f>
        <v>1.6932171125137761E-2</v>
      </c>
      <c r="J776" s="43">
        <f t="shared" si="210"/>
        <v>0</v>
      </c>
      <c r="K776" s="44" cm="1">
        <f t="array" ref="K776">IF(D776="Gadget",_xlfn.IFS(I776&gt;=0.2,0.5,I776&gt;=0.1,0.35,I776&gt;=0.05,0.2,TRUE,0),IF(D776="Grenade",_xlfn.IFS(I776&gt;=0.2,1,I776&gt;=0.1,0.7,I776&gt;=0.05,0.4,TRUE,0),0))</f>
        <v>0</v>
      </c>
      <c r="L776" s="57">
        <f t="shared" si="213"/>
        <v>0</v>
      </c>
    </row>
    <row r="777" spans="1:12" ht="15" customHeight="1" x14ac:dyDescent="0.25">
      <c r="A777" s="42" t="str" cm="1">
        <f t="array" ref="A777">IFERROR(INDEX(_xlfn._xlws.FILTER(Class_Players!A:A,Class_Players!B:B="Support"),QUOTIENT(ROW()-ROW($A$2),9)+1),"")</f>
        <v>SmokeyPac</v>
      </c>
      <c r="B777" s="42" t="str">
        <f>_xlfn.XLOOKUP(A777,Class_Players!$A:$A,Class_Players!$B:$B,"")</f>
        <v>Support</v>
      </c>
      <c r="C777" s="38" t="str" cm="1">
        <f t="array" ref="C777">INDEX(Lookups!$D$2:$D$10,MOD(ROW()-ROW($B$2),ROWS(Lookups!$D$2:$D$10))+1)</f>
        <v>MP-APS (Missile intercept system)</v>
      </c>
      <c r="D777" s="38" t="str">
        <f>_xlfn.XLOOKUP(C777,Analysis_Gadgets!$C:$C,Analysis_Gadgets!$B:$B)</f>
        <v>Gadget</v>
      </c>
      <c r="E777" s="43">
        <v>1</v>
      </c>
      <c r="F777" s="43">
        <f>_xlfn.XLOOKUP(A777,Class_Players!A:A,Class_Players!G:G)</f>
        <v>249</v>
      </c>
      <c r="G777" s="43">
        <f t="shared" si="215"/>
        <v>4.0160642570281121E-3</v>
      </c>
      <c r="H777" s="43">
        <f>_xlfn.XLOOKUP(A777,Class_Players!$A:$A,Class_Players!$F:$F,"")</f>
        <v>9981</v>
      </c>
      <c r="I777" s="44">
        <f t="shared" si="216"/>
        <v>1.0019036168720569E-4</v>
      </c>
      <c r="J777" s="43">
        <f t="shared" si="210"/>
        <v>0</v>
      </c>
      <c r="K777" s="44" cm="1">
        <f t="array" ref="K777">IF(D777="Gadget",_xlfn.IFS(I777&gt;=0.2,0.5,I777&gt;=0.1,0.35,I777&gt;=0.05,0.2,TRUE,0),IF(D777="Grenade",_xlfn.IFS(I777&gt;=0.2,1,I777&gt;=0.1,0.7,I777&gt;=0.05,0.4,TRUE,0),0))</f>
        <v>0</v>
      </c>
      <c r="L777" s="57">
        <f t="shared" si="213"/>
        <v>0</v>
      </c>
    </row>
    <row r="778" spans="1:12" ht="15" customHeight="1" x14ac:dyDescent="0.25">
      <c r="A778" s="42" t="str" cm="1">
        <f t="array" ref="A778">IFERROR(INDEX(_xlfn._xlws.FILTER(Class_Players!A:A,Class_Players!B:B="Support"),QUOTIENT(ROW()-ROW($A$2),9)+1),"")</f>
        <v>SmokeyPac</v>
      </c>
      <c r="B778" s="42" t="str">
        <f>_xlfn.XLOOKUP(A778,Class_Players!$A:$A,Class_Players!$B:$B,"")</f>
        <v>Support</v>
      </c>
      <c r="C778" s="38" t="str" cm="1">
        <f t="array" ref="C778">INDEX(Lookups!$D$2:$D$10,MOD(ROW()-ROW($B$2),ROWS(Lookups!$D$2:$D$10))+1)</f>
        <v>LWCMS (Mortar)</v>
      </c>
      <c r="D778" s="38" t="str">
        <f>_xlfn.XLOOKUP(C778,Analysis_Gadgets!$C:$C,Analysis_Gadgets!$B:$B)</f>
        <v>Gadget</v>
      </c>
      <c r="E778" s="43">
        <v>33</v>
      </c>
      <c r="F778" s="43">
        <f>_xlfn.XLOOKUP(A778,Class_Players!A:A,Class_Players!G:G)</f>
        <v>249</v>
      </c>
      <c r="G778" s="43">
        <f t="shared" si="215"/>
        <v>0.13253012048192772</v>
      </c>
      <c r="H778" s="43">
        <f>_xlfn.XLOOKUP(A778,Class_Players!$A:$A,Class_Players!$F:$F,"")</f>
        <v>9981</v>
      </c>
      <c r="I778" s="44">
        <f t="shared" si="216"/>
        <v>3.3062819356777877E-3</v>
      </c>
      <c r="J778" s="43">
        <f t="shared" si="210"/>
        <v>0</v>
      </c>
      <c r="K778" s="44" cm="1">
        <f t="array" ref="K778">IF(D778="Gadget",_xlfn.IFS(I778&gt;=0.2,0.5,I778&gt;=0.1,0.35,I778&gt;=0.05,0.2,TRUE,0),IF(D778="Grenade",_xlfn.IFS(I778&gt;=0.2,1,I778&gt;=0.1,0.7,I778&gt;=0.05,0.4,TRUE,0),0))</f>
        <v>0</v>
      </c>
      <c r="L778" s="57">
        <f t="shared" si="213"/>
        <v>0</v>
      </c>
    </row>
    <row r="779" spans="1:12" ht="15" customHeight="1" x14ac:dyDescent="0.25">
      <c r="A779" s="42" t="str" cm="1">
        <f t="array" ref="A779">IFERROR(INDEX(_xlfn._xlws.FILTER(Class_Players!A:A,Class_Players!B:B="Support"),QUOTIENT(ROW()-ROW($A$2),9)+1),"")</f>
        <v>SmokeyPac</v>
      </c>
      <c r="B779" s="42" t="str">
        <f>_xlfn.XLOOKUP(A779,Class_Players!$A:$A,Class_Players!$B:$B,"")</f>
        <v>Support</v>
      </c>
      <c r="C779" s="38" t="str" cm="1">
        <f t="array" ref="C779">INDEX(Lookups!$D$2:$D$10,MOD(ROW()-ROW($B$2),ROWS(Lookups!$D$2:$D$10))+1)</f>
        <v>M320A1 SMK (Smoke Grenade Launcher)</v>
      </c>
      <c r="D779" s="38" t="str">
        <f>_xlfn.XLOOKUP(C779,Analysis_Gadgets!$C:$C,Analysis_Gadgets!$B:$B)</f>
        <v>Gadget</v>
      </c>
      <c r="E779" s="43">
        <v>1469</v>
      </c>
      <c r="F779" s="43">
        <f>_xlfn.XLOOKUP(A779,Class_Players!A:A,Class_Players!G:G)</f>
        <v>249</v>
      </c>
      <c r="G779" s="43">
        <f t="shared" si="215"/>
        <v>5.8995983935742968</v>
      </c>
      <c r="H779" s="43">
        <f>_xlfn.XLOOKUP(A779,Class_Players!$A:$A,Class_Players!$F:$F,"")</f>
        <v>9981</v>
      </c>
      <c r="I779" s="44">
        <f t="shared" si="216"/>
        <v>0.14717964131850517</v>
      </c>
      <c r="J779" s="43">
        <f t="shared" si="210"/>
        <v>1</v>
      </c>
      <c r="K779" s="44" cm="1">
        <f t="array" ref="K779">IF(D779="Gadget",_xlfn.IFS(I779&gt;=0.2,0.5,I779&gt;=0.1,0.35,I779&gt;=0.05,0.2,TRUE,0),IF(D779="Grenade",_xlfn.IFS(I779&gt;=0.2,1,I779&gt;=0.1,0.7,I779&gt;=0.05,0.4,TRUE,0),0))</f>
        <v>0.35</v>
      </c>
      <c r="L779" s="57">
        <f t="shared" si="213"/>
        <v>0.41176470588235292</v>
      </c>
    </row>
    <row r="780" spans="1:12" ht="15" customHeight="1" x14ac:dyDescent="0.25">
      <c r="A780" s="42" t="str" cm="1">
        <f t="array" ref="A780">IFERROR(INDEX(_xlfn._xlws.FILTER(Class_Players!A:A,Class_Players!B:B="Support"),QUOTIENT(ROW()-ROW($A$2),9)+1),"")</f>
        <v>SmokeyPac</v>
      </c>
      <c r="B780" s="42" t="str">
        <f>_xlfn.XLOOKUP(A780,Class_Players!$A:$A,Class_Players!$B:$B,"")</f>
        <v>Support</v>
      </c>
      <c r="C780" s="38" t="str" cm="1">
        <f t="array" ref="C780">INDEX(Lookups!$D$2:$D$10,MOD(ROW()-ROW($B$2),ROWS(Lookups!$D$2:$D$10))+1)</f>
        <v>SICH G1 WP (Incendiary Airburst Launcher)</v>
      </c>
      <c r="D780" s="38" t="str">
        <f>_xlfn.XLOOKUP(C780,Analysis_Gadgets!$C:$C,Analysis_Gadgets!$B:$B)</f>
        <v>Gadget</v>
      </c>
      <c r="E780" s="43">
        <v>458</v>
      </c>
      <c r="F780" s="43">
        <f>_xlfn.XLOOKUP(A780,Class_Players!A:A,Class_Players!G:G)</f>
        <v>249</v>
      </c>
      <c r="G780" s="43">
        <f t="shared" si="215"/>
        <v>1.8393574297188755</v>
      </c>
      <c r="H780" s="43">
        <f>_xlfn.XLOOKUP(A780,Class_Players!$A:$A,Class_Players!$F:$F,"")</f>
        <v>9981</v>
      </c>
      <c r="I780" s="44">
        <f t="shared" si="216"/>
        <v>4.5887185652740206E-2</v>
      </c>
      <c r="J780" s="43">
        <f t="shared" si="210"/>
        <v>0</v>
      </c>
      <c r="K780" s="44" cm="1">
        <f t="array" ref="K780">IF(D780="Gadget",_xlfn.IFS(I780&gt;=0.2,0.5,I780&gt;=0.1,0.35,I780&gt;=0.05,0.2,TRUE,0),IF(D780="Grenade",_xlfn.IFS(I780&gt;=0.2,1,I780&gt;=0.1,0.7,I780&gt;=0.05,0.4,TRUE,0),0))</f>
        <v>0</v>
      </c>
      <c r="L780" s="57">
        <f t="shared" si="213"/>
        <v>0</v>
      </c>
    </row>
    <row r="781" spans="1:12" ht="15" customHeight="1" x14ac:dyDescent="0.25">
      <c r="A781" s="42" t="str" cm="1">
        <f t="array" ref="A781">IFERROR(INDEX(_xlfn._xlws.FILTER(Class_Players!A:A,Class_Players!B:B="Support"),QUOTIENT(ROW()-ROW($A$2),9)+1),"")</f>
        <v>SmokeyPac</v>
      </c>
      <c r="B781" s="42" t="str">
        <f>_xlfn.XLOOKUP(A781,Class_Players!$A:$A,Class_Players!$B:$B,"")</f>
        <v>Support</v>
      </c>
      <c r="C781" s="38" t="str" cm="1">
        <f t="array" ref="C781">INDEX(Lookups!$D$2:$D$10,MOD(ROW()-ROW($B$2),ROWS(Lookups!$D$2:$D$10))+1)</f>
        <v>Deployable Cover</v>
      </c>
      <c r="D781" s="38" t="str">
        <f>_xlfn.XLOOKUP(C781,Analysis_Gadgets!$C:$C,Analysis_Gadgets!$B:$B)</f>
        <v>Gadget</v>
      </c>
      <c r="E781" s="43">
        <v>180</v>
      </c>
      <c r="F781" s="43">
        <f>_xlfn.XLOOKUP(A781,Class_Players!A:A,Class_Players!G:G)</f>
        <v>249</v>
      </c>
      <c r="G781" s="43">
        <f t="shared" si="215"/>
        <v>0.72289156626506024</v>
      </c>
      <c r="H781" s="43">
        <f>_xlfn.XLOOKUP(A781,Class_Players!$A:$A,Class_Players!$F:$F,"")</f>
        <v>9981</v>
      </c>
      <c r="I781" s="44">
        <f t="shared" si="216"/>
        <v>1.8034265103697024E-2</v>
      </c>
      <c r="J781" s="43">
        <f t="shared" si="210"/>
        <v>0</v>
      </c>
      <c r="K781" s="44" cm="1">
        <f t="array" ref="K781">IF(D781="Gadget",_xlfn.IFS(I781&gt;=0.2,0.5,I781&gt;=0.1,0.35,I781&gt;=0.05,0.2,TRUE,0),IF(D781="Grenade",_xlfn.IFS(I781&gt;=0.2,1,I781&gt;=0.1,0.7,I781&gt;=0.05,0.4,TRUE,0),0))</f>
        <v>0</v>
      </c>
      <c r="L781" s="57">
        <f t="shared" si="213"/>
        <v>0</v>
      </c>
    </row>
    <row r="782" spans="1:12" ht="15" customHeight="1" x14ac:dyDescent="0.25">
      <c r="A782" s="42" t="str" cm="1">
        <f t="array" ref="A782">IFERROR(INDEX(_xlfn._xlws.FILTER(Class_Players!A:A,Class_Players!B:B="Support"),QUOTIENT(ROW()-ROW($A$2),9)+1),"")</f>
        <v>SmokeyPac</v>
      </c>
      <c r="B782" s="42" t="str">
        <f>_xlfn.XLOOKUP(A782,Class_Players!$A:$A,Class_Players!$B:$B,"")</f>
        <v>Support</v>
      </c>
      <c r="C782" s="38" t="str" cm="1">
        <f t="array" ref="C782">INDEX(Lookups!$D$2:$D$10,MOD(ROW()-ROW($B$2),ROWS(Lookups!$D$2:$D$10))+1)</f>
        <v>Supply Pouch</v>
      </c>
      <c r="D782" s="38" t="str">
        <f>_xlfn.XLOOKUP(C782,Analysis_Gadgets!$C:$C,Analysis_Gadgets!$B:$B)</f>
        <v>Gadget</v>
      </c>
      <c r="E782" s="43">
        <v>4280</v>
      </c>
      <c r="F782" s="43">
        <f>_xlfn.XLOOKUP(A782,Class_Players!A:A,Class_Players!G:G)</f>
        <v>249</v>
      </c>
      <c r="G782" s="43">
        <f t="shared" si="215"/>
        <v>17.188755020080322</v>
      </c>
      <c r="H782" s="43">
        <f>_xlfn.XLOOKUP(A782,Class_Players!$A:$A,Class_Players!$F:$F,"")</f>
        <v>9981</v>
      </c>
      <c r="I782" s="44">
        <f t="shared" si="216"/>
        <v>0.42881474802124037</v>
      </c>
      <c r="J782" s="43">
        <f t="shared" si="210"/>
        <v>1</v>
      </c>
      <c r="K782" s="44" cm="1">
        <f t="array" ref="K782">IF(D782="Gadget",_xlfn.IFS(I782&gt;=0.2,0.5,I782&gt;=0.1,0.35,I782&gt;=0.05,0.2,TRUE,0),IF(D782="Grenade",_xlfn.IFS(I782&gt;=0.2,1,I782&gt;=0.1,0.7,I782&gt;=0.05,0.4,TRUE,0),0))</f>
        <v>0.5</v>
      </c>
      <c r="L782" s="57">
        <f t="shared" si="213"/>
        <v>0.58823529411764708</v>
      </c>
    </row>
    <row r="783" spans="1:12" ht="15" customHeight="1" x14ac:dyDescent="0.25">
      <c r="A783" s="42" t="str" cm="1">
        <f t="array" ref="A783">IFERROR(INDEX(_xlfn._xlws.FILTER(Class_Players!A:A,Class_Players!B:B="Support"),QUOTIENT(ROW()-ROW($A$2),9)+1),"")</f>
        <v>SmokeyPac</v>
      </c>
      <c r="B783" s="42" t="str">
        <f>_xlfn.XLOOKUP(A783,Class_Players!$A:$A,Class_Players!$B:$B,"")</f>
        <v>Support</v>
      </c>
      <c r="C783" s="38" t="str" cm="1">
        <f t="array" ref="C783">INDEX(Lookups!$D$2:$D$10,MOD(ROW()-ROW($B$2),ROWS(Lookups!$D$2:$D$10))+1)</f>
        <v>Smoke Grenade</v>
      </c>
      <c r="D783" s="38" t="str">
        <f>_xlfn.XLOOKUP(C783,Analysis_Gadgets!$C:$C,Analysis_Gadgets!$B:$B)</f>
        <v>Grenade</v>
      </c>
      <c r="E783" s="43">
        <v>10745</v>
      </c>
      <c r="F783" s="43">
        <f>_xlfn.XLOOKUP(A783,Class_Players!A:A,Class_Players!G:G)</f>
        <v>249</v>
      </c>
      <c r="G783" s="43">
        <f t="shared" si="215"/>
        <v>43.152610441767067</v>
      </c>
      <c r="H783" s="43">
        <f>_xlfn.XLOOKUP(A783,Class_Players!$A:$A,Class_Players!$F:$F,"")</f>
        <v>9981</v>
      </c>
      <c r="I783" s="44">
        <f t="shared" si="216"/>
        <v>1.0765454363290252</v>
      </c>
      <c r="J783" s="43">
        <f t="shared" si="210"/>
        <v>1</v>
      </c>
      <c r="K783" s="44" cm="1">
        <f t="array" ref="K783">IF(D783="Gadget",_xlfn.IFS(I783&gt;=0.2,0.5,I783&gt;=0.1,0.35,I783&gt;=0.05,0.2,TRUE,0),IF(D783="Grenade",_xlfn.IFS(I783&gt;=0.2,1,I783&gt;=0.1,0.7,I783&gt;=0.05,0.4,TRUE,0),0))</f>
        <v>1</v>
      </c>
      <c r="L783" s="57">
        <f t="shared" ref="L783:L784" si="217">IF($K783=0,0,$K783 / SUMIFS($K:$K,$A:$A,$A783,$D:$D,"Grenade"))</f>
        <v>1</v>
      </c>
    </row>
    <row r="784" spans="1:12" ht="15" customHeight="1" x14ac:dyDescent="0.25">
      <c r="A784" s="42" t="str" cm="1">
        <f t="array" ref="A784">IFERROR(INDEX(_xlfn._xlws.FILTER(Class_Players!A:A,Class_Players!B:B="Support"),QUOTIENT(ROW()-ROW($A$2),9)+1),"")</f>
        <v>SmokeyPac</v>
      </c>
      <c r="B784" s="42" t="str">
        <f>_xlfn.XLOOKUP(A784,Class_Players!$A:$A,Class_Players!$B:$B,"")</f>
        <v>Support</v>
      </c>
      <c r="C784" s="38" t="str" cm="1">
        <f t="array" ref="C784">INDEX(Lookups!$D$2:$D$10,MOD(ROW()-ROW($B$2),ROWS(Lookups!$D$2:$D$10))+1)</f>
        <v>Incendiary Grenade</v>
      </c>
      <c r="D784" s="38" t="str">
        <f>_xlfn.XLOOKUP(C784,Analysis_Gadgets!$C:$C,Analysis_Gadgets!$B:$B)</f>
        <v>Grenade</v>
      </c>
      <c r="E784" s="43">
        <v>14</v>
      </c>
      <c r="F784" s="43">
        <f>_xlfn.XLOOKUP(A784,Class_Players!A:A,Class_Players!G:G)</f>
        <v>249</v>
      </c>
      <c r="G784" s="43">
        <f t="shared" si="215"/>
        <v>5.6224899598393573E-2</v>
      </c>
      <c r="H784" s="43">
        <f>_xlfn.XLOOKUP(A784,Class_Players!$A:$A,Class_Players!$F:$F,"")</f>
        <v>9981</v>
      </c>
      <c r="I784" s="44">
        <f t="shared" si="216"/>
        <v>1.4026650636208796E-3</v>
      </c>
      <c r="J784" s="43">
        <f t="shared" si="210"/>
        <v>0</v>
      </c>
      <c r="K784" s="44" cm="1">
        <f t="array" ref="K784">IF(D784="Gadget",_xlfn.IFS(I784&gt;=0.2,0.5,I784&gt;=0.1,0.35,I784&gt;=0.05,0.2,TRUE,0),IF(D784="Grenade",_xlfn.IFS(I784&gt;=0.2,1,I784&gt;=0.1,0.7,I784&gt;=0.05,0.4,TRUE,0),0))</f>
        <v>0</v>
      </c>
      <c r="L784" s="57">
        <f t="shared" si="217"/>
        <v>0</v>
      </c>
    </row>
    <row r="785" spans="1:12" ht="15" customHeight="1" x14ac:dyDescent="0.25">
      <c r="A785" s="42" t="str" cm="1">
        <f t="array" ref="A785">IFERROR(INDEX(_xlfn._xlws.FILTER(Class_Players!A:A,Class_Players!B:B="Support"),QUOTIENT(ROW()-ROW($A$2),9)+1),"")</f>
        <v>Sceptos-Tamai</v>
      </c>
      <c r="B785" s="42" t="str">
        <f>_xlfn.XLOOKUP(A785,Class_Players!$A:$A,Class_Players!$B:$B,"")</f>
        <v>Support</v>
      </c>
      <c r="C785" s="38" t="str" cm="1">
        <f t="array" ref="C785">INDEX(Lookups!$D$2:$D$10,MOD(ROW()-ROW($B$2),ROWS(Lookups!$D$2:$D$10))+1)</f>
        <v>GPDIS (Grenade intercept system)</v>
      </c>
      <c r="D785" s="38" t="str">
        <f>_xlfn.XLOOKUP(C785,Analysis_Gadgets!$C:$C,Analysis_Gadgets!$B:$B)</f>
        <v>Gadget</v>
      </c>
      <c r="E785" s="43">
        <v>114</v>
      </c>
      <c r="F785" s="43">
        <f>_xlfn.XLOOKUP(A785,Class_Players!A:A,Class_Players!G:G)</f>
        <v>320</v>
      </c>
      <c r="G785" s="43">
        <f t="shared" ref="G785:G848" si="218">IF(F785=0,"",E785/(F785))</f>
        <v>0.35625000000000001</v>
      </c>
      <c r="H785" s="43">
        <f>_xlfn.XLOOKUP(A785,Class_Players!$A:$A,Class_Players!$F:$F,"")</f>
        <v>9649</v>
      </c>
      <c r="I785" s="44">
        <f t="shared" ref="I785:I848" si="219">IF(H785=0,"",E785/H785)</f>
        <v>1.1814695823401389E-2</v>
      </c>
      <c r="J785" s="43">
        <f t="shared" si="210"/>
        <v>0</v>
      </c>
      <c r="K785" s="44" cm="1">
        <f t="array" ref="K785">IF(D785="Gadget",_xlfn.IFS(I785&gt;=0.2,0.5,I785&gt;=0.1,0.35,I785&gt;=0.05,0.2,TRUE,0),IF(D785="Grenade",_xlfn.IFS(I785&gt;=0.2,1,I785&gt;=0.1,0.7,I785&gt;=0.05,0.4,TRUE,0),0))</f>
        <v>0</v>
      </c>
      <c r="L785" s="57">
        <f t="shared" ref="L785:L791" si="220">IF($K785=0,0,$K785 / SUMIFS($K:$K,$A:$A,$A785,$D:$D,"Gadget"))</f>
        <v>0</v>
      </c>
    </row>
    <row r="786" spans="1:12" ht="15" customHeight="1" x14ac:dyDescent="0.25">
      <c r="A786" s="42" t="str" cm="1">
        <f t="array" ref="A786">IFERROR(INDEX(_xlfn._xlws.FILTER(Class_Players!A:A,Class_Players!B:B="Support"),QUOTIENT(ROW()-ROW($A$2),9)+1),"")</f>
        <v>Sceptos-Tamai</v>
      </c>
      <c r="B786" s="42" t="str">
        <f>_xlfn.XLOOKUP(A786,Class_Players!$A:$A,Class_Players!$B:$B,"")</f>
        <v>Support</v>
      </c>
      <c r="C786" s="38" t="str" cm="1">
        <f t="array" ref="C786">INDEX(Lookups!$D$2:$D$10,MOD(ROW()-ROW($B$2),ROWS(Lookups!$D$2:$D$10))+1)</f>
        <v>MP-APS (Missile intercept system)</v>
      </c>
      <c r="D786" s="38" t="str">
        <f>_xlfn.XLOOKUP(C786,Analysis_Gadgets!$C:$C,Analysis_Gadgets!$B:$B)</f>
        <v>Gadget</v>
      </c>
      <c r="E786" s="43">
        <v>0</v>
      </c>
      <c r="F786" s="43">
        <f>_xlfn.XLOOKUP(A786,Class_Players!A:A,Class_Players!G:G)</f>
        <v>320</v>
      </c>
      <c r="G786" s="43">
        <f t="shared" si="218"/>
        <v>0</v>
      </c>
      <c r="H786" s="43">
        <f>_xlfn.XLOOKUP(A786,Class_Players!$A:$A,Class_Players!$F:$F,"")</f>
        <v>9649</v>
      </c>
      <c r="I786" s="44">
        <f t="shared" si="219"/>
        <v>0</v>
      </c>
      <c r="J786" s="43">
        <f t="shared" si="210"/>
        <v>0</v>
      </c>
      <c r="K786" s="44" cm="1">
        <f t="array" ref="K786">IF(D786="Gadget",_xlfn.IFS(I786&gt;=0.2,0.5,I786&gt;=0.1,0.35,I786&gt;=0.05,0.2,TRUE,0),IF(D786="Grenade",_xlfn.IFS(I786&gt;=0.2,1,I786&gt;=0.1,0.7,I786&gt;=0.05,0.4,TRUE,0),0))</f>
        <v>0</v>
      </c>
      <c r="L786" s="57">
        <f t="shared" si="220"/>
        <v>0</v>
      </c>
    </row>
    <row r="787" spans="1:12" ht="15" customHeight="1" x14ac:dyDescent="0.25">
      <c r="A787" s="42" t="str" cm="1">
        <f t="array" ref="A787">IFERROR(INDEX(_xlfn._xlws.FILTER(Class_Players!A:A,Class_Players!B:B="Support"),QUOTIENT(ROW()-ROW($A$2),9)+1),"")</f>
        <v>Sceptos-Tamai</v>
      </c>
      <c r="B787" s="42" t="str">
        <f>_xlfn.XLOOKUP(A787,Class_Players!$A:$A,Class_Players!$B:$B,"")</f>
        <v>Support</v>
      </c>
      <c r="C787" s="38" t="str" cm="1">
        <f t="array" ref="C787">INDEX(Lookups!$D$2:$D$10,MOD(ROW()-ROW($B$2),ROWS(Lookups!$D$2:$D$10))+1)</f>
        <v>LWCMS (Mortar)</v>
      </c>
      <c r="D787" s="38" t="str">
        <f>_xlfn.XLOOKUP(C787,Analysis_Gadgets!$C:$C,Analysis_Gadgets!$B:$B)</f>
        <v>Gadget</v>
      </c>
      <c r="E787" s="43">
        <v>7</v>
      </c>
      <c r="F787" s="43">
        <f>_xlfn.XLOOKUP(A787,Class_Players!A:A,Class_Players!G:G)</f>
        <v>320</v>
      </c>
      <c r="G787" s="43">
        <f t="shared" si="218"/>
        <v>2.1874999999999999E-2</v>
      </c>
      <c r="H787" s="43">
        <f>_xlfn.XLOOKUP(A787,Class_Players!$A:$A,Class_Players!$F:$F,"")</f>
        <v>9649</v>
      </c>
      <c r="I787" s="44">
        <f t="shared" si="219"/>
        <v>7.2546377862990987E-4</v>
      </c>
      <c r="J787" s="43">
        <f t="shared" si="210"/>
        <v>0</v>
      </c>
      <c r="K787" s="44" cm="1">
        <f t="array" ref="K787">IF(D787="Gadget",_xlfn.IFS(I787&gt;=0.2,0.5,I787&gt;=0.1,0.35,I787&gt;=0.05,0.2,TRUE,0),IF(D787="Grenade",_xlfn.IFS(I787&gt;=0.2,1,I787&gt;=0.1,0.7,I787&gt;=0.05,0.4,TRUE,0),0))</f>
        <v>0</v>
      </c>
      <c r="L787" s="57">
        <f t="shared" si="220"/>
        <v>0</v>
      </c>
    </row>
    <row r="788" spans="1:12" ht="15" customHeight="1" x14ac:dyDescent="0.25">
      <c r="A788" s="42" t="str" cm="1">
        <f t="array" ref="A788">IFERROR(INDEX(_xlfn._xlws.FILTER(Class_Players!A:A,Class_Players!B:B="Support"),QUOTIENT(ROW()-ROW($A$2),9)+1),"")</f>
        <v>Sceptos-Tamai</v>
      </c>
      <c r="B788" s="42" t="str">
        <f>_xlfn.XLOOKUP(A788,Class_Players!$A:$A,Class_Players!$B:$B,"")</f>
        <v>Support</v>
      </c>
      <c r="C788" s="38" t="str" cm="1">
        <f t="array" ref="C788">INDEX(Lookups!$D$2:$D$10,MOD(ROW()-ROW($B$2),ROWS(Lookups!$D$2:$D$10))+1)</f>
        <v>M320A1 SMK (Smoke Grenade Launcher)</v>
      </c>
      <c r="D788" s="38" t="str">
        <f>_xlfn.XLOOKUP(C788,Analysis_Gadgets!$C:$C,Analysis_Gadgets!$B:$B)</f>
        <v>Gadget</v>
      </c>
      <c r="E788" s="43">
        <v>0</v>
      </c>
      <c r="F788" s="43">
        <f>_xlfn.XLOOKUP(A788,Class_Players!A:A,Class_Players!G:G)</f>
        <v>320</v>
      </c>
      <c r="G788" s="43">
        <f t="shared" si="218"/>
        <v>0</v>
      </c>
      <c r="H788" s="43">
        <f>_xlfn.XLOOKUP(A788,Class_Players!$A:$A,Class_Players!$F:$F,"")</f>
        <v>9649</v>
      </c>
      <c r="I788" s="44">
        <f t="shared" si="219"/>
        <v>0</v>
      </c>
      <c r="J788" s="43">
        <f t="shared" si="210"/>
        <v>0</v>
      </c>
      <c r="K788" s="44" cm="1">
        <f t="array" ref="K788">IF(D788="Gadget",_xlfn.IFS(I788&gt;=0.2,0.5,I788&gt;=0.1,0.35,I788&gt;=0.05,0.2,TRUE,0),IF(D788="Grenade",_xlfn.IFS(I788&gt;=0.2,1,I788&gt;=0.1,0.7,I788&gt;=0.05,0.4,TRUE,0),0))</f>
        <v>0</v>
      </c>
      <c r="L788" s="57">
        <f t="shared" si="220"/>
        <v>0</v>
      </c>
    </row>
    <row r="789" spans="1:12" ht="15" customHeight="1" x14ac:dyDescent="0.25">
      <c r="A789" s="42" t="str" cm="1">
        <f t="array" ref="A789">IFERROR(INDEX(_xlfn._xlws.FILTER(Class_Players!A:A,Class_Players!B:B="Support"),QUOTIENT(ROW()-ROW($A$2),9)+1),"")</f>
        <v>Sceptos-Tamai</v>
      </c>
      <c r="B789" s="42" t="str">
        <f>_xlfn.XLOOKUP(A789,Class_Players!$A:$A,Class_Players!$B:$B,"")</f>
        <v>Support</v>
      </c>
      <c r="C789" s="38" t="str" cm="1">
        <f t="array" ref="C789">INDEX(Lookups!$D$2:$D$10,MOD(ROW()-ROW($B$2),ROWS(Lookups!$D$2:$D$10))+1)</f>
        <v>SICH G1 WP (Incendiary Airburst Launcher)</v>
      </c>
      <c r="D789" s="38" t="str">
        <f>_xlfn.XLOOKUP(C789,Analysis_Gadgets!$C:$C,Analysis_Gadgets!$B:$B)</f>
        <v>Gadget</v>
      </c>
      <c r="E789" s="43">
        <v>59</v>
      </c>
      <c r="F789" s="43">
        <f>_xlfn.XLOOKUP(A789,Class_Players!A:A,Class_Players!G:G)</f>
        <v>320</v>
      </c>
      <c r="G789" s="43">
        <f t="shared" si="218"/>
        <v>0.18437500000000001</v>
      </c>
      <c r="H789" s="43">
        <f>_xlfn.XLOOKUP(A789,Class_Players!$A:$A,Class_Players!$F:$F,"")</f>
        <v>9649</v>
      </c>
      <c r="I789" s="44">
        <f t="shared" si="219"/>
        <v>6.1146232770235261E-3</v>
      </c>
      <c r="J789" s="43">
        <f t="shared" si="210"/>
        <v>0</v>
      </c>
      <c r="K789" s="44" cm="1">
        <f t="array" ref="K789">IF(D789="Gadget",_xlfn.IFS(I789&gt;=0.2,0.5,I789&gt;=0.1,0.35,I789&gt;=0.05,0.2,TRUE,0),IF(D789="Grenade",_xlfn.IFS(I789&gt;=0.2,1,I789&gt;=0.1,0.7,I789&gt;=0.05,0.4,TRUE,0),0))</f>
        <v>0</v>
      </c>
      <c r="L789" s="57">
        <f t="shared" si="220"/>
        <v>0</v>
      </c>
    </row>
    <row r="790" spans="1:12" ht="15" customHeight="1" x14ac:dyDescent="0.25">
      <c r="A790" s="42" t="str" cm="1">
        <f t="array" ref="A790">IFERROR(INDEX(_xlfn._xlws.FILTER(Class_Players!A:A,Class_Players!B:B="Support"),QUOTIENT(ROW()-ROW($A$2),9)+1),"")</f>
        <v>Sceptos-Tamai</v>
      </c>
      <c r="B790" s="42" t="str">
        <f>_xlfn.XLOOKUP(A790,Class_Players!$A:$A,Class_Players!$B:$B,"")</f>
        <v>Support</v>
      </c>
      <c r="C790" s="38" t="str" cm="1">
        <f t="array" ref="C790">INDEX(Lookups!$D$2:$D$10,MOD(ROW()-ROW($B$2),ROWS(Lookups!$D$2:$D$10))+1)</f>
        <v>Deployable Cover</v>
      </c>
      <c r="D790" s="38" t="str">
        <f>_xlfn.XLOOKUP(C790,Analysis_Gadgets!$C:$C,Analysis_Gadgets!$B:$B)</f>
        <v>Gadget</v>
      </c>
      <c r="E790" s="43">
        <v>1696</v>
      </c>
      <c r="F790" s="43">
        <f>_xlfn.XLOOKUP(A790,Class_Players!A:A,Class_Players!G:G)</f>
        <v>320</v>
      </c>
      <c r="G790" s="43">
        <f t="shared" si="218"/>
        <v>5.3</v>
      </c>
      <c r="H790" s="43">
        <f>_xlfn.XLOOKUP(A790,Class_Players!$A:$A,Class_Players!$F:$F,"")</f>
        <v>9649</v>
      </c>
      <c r="I790" s="44">
        <f t="shared" si="219"/>
        <v>0.17576950979376102</v>
      </c>
      <c r="J790" s="43">
        <f t="shared" si="210"/>
        <v>1</v>
      </c>
      <c r="K790" s="44" cm="1">
        <f t="array" ref="K790">IF(D790="Gadget",_xlfn.IFS(I790&gt;=0.2,0.5,I790&gt;=0.1,0.35,I790&gt;=0.05,0.2,TRUE,0),IF(D790="Grenade",_xlfn.IFS(I790&gt;=0.2,1,I790&gt;=0.1,0.7,I790&gt;=0.05,0.4,TRUE,0),0))</f>
        <v>0.35</v>
      </c>
      <c r="L790" s="57">
        <f t="shared" si="220"/>
        <v>1</v>
      </c>
    </row>
    <row r="791" spans="1:12" ht="15" customHeight="1" x14ac:dyDescent="0.25">
      <c r="A791" s="42" t="str" cm="1">
        <f t="array" ref="A791">IFERROR(INDEX(_xlfn._xlws.FILTER(Class_Players!A:A,Class_Players!B:B="Support"),QUOTIENT(ROW()-ROW($A$2),9)+1),"")</f>
        <v>Sceptos-Tamai</v>
      </c>
      <c r="B791" s="42" t="str">
        <f>_xlfn.XLOOKUP(A791,Class_Players!$A:$A,Class_Players!$B:$B,"")</f>
        <v>Support</v>
      </c>
      <c r="C791" s="38" t="str" cm="1">
        <f t="array" ref="C791">INDEX(Lookups!$D$2:$D$10,MOD(ROW()-ROW($B$2),ROWS(Lookups!$D$2:$D$10))+1)</f>
        <v>Supply Pouch</v>
      </c>
      <c r="D791" s="38" t="str">
        <f>_xlfn.XLOOKUP(C791,Analysis_Gadgets!$C:$C,Analysis_Gadgets!$B:$B)</f>
        <v>Gadget</v>
      </c>
      <c r="E791" s="43">
        <v>0</v>
      </c>
      <c r="F791" s="43">
        <f>_xlfn.XLOOKUP(A791,Class_Players!A:A,Class_Players!G:G)</f>
        <v>320</v>
      </c>
      <c r="G791" s="43">
        <f t="shared" si="218"/>
        <v>0</v>
      </c>
      <c r="H791" s="43">
        <f>_xlfn.XLOOKUP(A791,Class_Players!$A:$A,Class_Players!$F:$F,"")</f>
        <v>9649</v>
      </c>
      <c r="I791" s="44">
        <f t="shared" si="219"/>
        <v>0</v>
      </c>
      <c r="J791" s="43">
        <f t="shared" si="210"/>
        <v>0</v>
      </c>
      <c r="K791" s="44" cm="1">
        <f t="array" ref="K791">IF(D791="Gadget",_xlfn.IFS(I791&gt;=0.2,0.5,I791&gt;=0.1,0.35,I791&gt;=0.05,0.2,TRUE,0),IF(D791="Grenade",_xlfn.IFS(I791&gt;=0.2,1,I791&gt;=0.1,0.7,I791&gt;=0.05,0.4,TRUE,0),0))</f>
        <v>0</v>
      </c>
      <c r="L791" s="57">
        <f t="shared" si="220"/>
        <v>0</v>
      </c>
    </row>
    <row r="792" spans="1:12" ht="15" customHeight="1" x14ac:dyDescent="0.25">
      <c r="A792" s="42" t="str" cm="1">
        <f t="array" ref="A792">IFERROR(INDEX(_xlfn._xlws.FILTER(Class_Players!A:A,Class_Players!B:B="Support"),QUOTIENT(ROW()-ROW($A$2),9)+1),"")</f>
        <v>Sceptos-Tamai</v>
      </c>
      <c r="B792" s="42" t="str">
        <f>_xlfn.XLOOKUP(A792,Class_Players!$A:$A,Class_Players!$B:$B,"")</f>
        <v>Support</v>
      </c>
      <c r="C792" s="38" t="str" cm="1">
        <f t="array" ref="C792">INDEX(Lookups!$D$2:$D$10,MOD(ROW()-ROW($B$2),ROWS(Lookups!$D$2:$D$10))+1)</f>
        <v>Smoke Grenade</v>
      </c>
      <c r="D792" s="38" t="str">
        <f>_xlfn.XLOOKUP(C792,Analysis_Gadgets!$C:$C,Analysis_Gadgets!$B:$B)</f>
        <v>Grenade</v>
      </c>
      <c r="E792" s="43">
        <v>152</v>
      </c>
      <c r="F792" s="43">
        <f>_xlfn.XLOOKUP(A792,Class_Players!A:A,Class_Players!G:G)</f>
        <v>320</v>
      </c>
      <c r="G792" s="43">
        <f t="shared" si="218"/>
        <v>0.47499999999999998</v>
      </c>
      <c r="H792" s="43">
        <f>_xlfn.XLOOKUP(A792,Class_Players!$A:$A,Class_Players!$F:$F,"")</f>
        <v>9649</v>
      </c>
      <c r="I792" s="44">
        <f t="shared" si="219"/>
        <v>1.5752927764535185E-2</v>
      </c>
      <c r="J792" s="43">
        <f t="shared" si="210"/>
        <v>0</v>
      </c>
      <c r="K792" s="44" cm="1">
        <f t="array" ref="K792">IF(D792="Gadget",_xlfn.IFS(I792&gt;=0.2,0.5,I792&gt;=0.1,0.35,I792&gt;=0.05,0.2,TRUE,0),IF(D792="Grenade",_xlfn.IFS(I792&gt;=0.2,1,I792&gt;=0.1,0.7,I792&gt;=0.05,0.4,TRUE,0),0))</f>
        <v>0</v>
      </c>
      <c r="L792" s="57">
        <f t="shared" ref="L792:L793" si="221">IF($K792=0,0,$K792 / SUMIFS($K:$K,$A:$A,$A792,$D:$D,"Grenade"))</f>
        <v>0</v>
      </c>
    </row>
    <row r="793" spans="1:12" ht="15" customHeight="1" x14ac:dyDescent="0.25">
      <c r="A793" s="42" t="str" cm="1">
        <f t="array" ref="A793">IFERROR(INDEX(_xlfn._xlws.FILTER(Class_Players!A:A,Class_Players!B:B="Support"),QUOTIENT(ROW()-ROW($A$2),9)+1),"")</f>
        <v>Sceptos-Tamai</v>
      </c>
      <c r="B793" s="42" t="str">
        <f>_xlfn.XLOOKUP(A793,Class_Players!$A:$A,Class_Players!$B:$B,"")</f>
        <v>Support</v>
      </c>
      <c r="C793" s="38" t="str" cm="1">
        <f t="array" ref="C793">INDEX(Lookups!$D$2:$D$10,MOD(ROW()-ROW($B$2),ROWS(Lookups!$D$2:$D$10))+1)</f>
        <v>Incendiary Grenade</v>
      </c>
      <c r="D793" s="38" t="str">
        <f>_xlfn.XLOOKUP(C793,Analysis_Gadgets!$C:$C,Analysis_Gadgets!$B:$B)</f>
        <v>Grenade</v>
      </c>
      <c r="E793" s="43">
        <v>33</v>
      </c>
      <c r="F793" s="43">
        <f>_xlfn.XLOOKUP(A793,Class_Players!A:A,Class_Players!G:G)</f>
        <v>320</v>
      </c>
      <c r="G793" s="43">
        <f t="shared" si="218"/>
        <v>0.10312499999999999</v>
      </c>
      <c r="H793" s="43">
        <f>_xlfn.XLOOKUP(A793,Class_Players!$A:$A,Class_Players!$F:$F,"")</f>
        <v>9649</v>
      </c>
      <c r="I793" s="44">
        <f t="shared" si="219"/>
        <v>3.4200435278267179E-3</v>
      </c>
      <c r="J793" s="43">
        <f t="shared" si="210"/>
        <v>0</v>
      </c>
      <c r="K793" s="44" cm="1">
        <f t="array" ref="K793">IF(D793="Gadget",_xlfn.IFS(I793&gt;=0.2,0.5,I793&gt;=0.1,0.35,I793&gt;=0.05,0.2,TRUE,0),IF(D793="Grenade",_xlfn.IFS(I793&gt;=0.2,1,I793&gt;=0.1,0.7,I793&gt;=0.05,0.4,TRUE,0),0))</f>
        <v>0</v>
      </c>
      <c r="L793" s="57">
        <f t="shared" si="221"/>
        <v>0</v>
      </c>
    </row>
    <row r="794" spans="1:12" ht="15" customHeight="1" x14ac:dyDescent="0.25">
      <c r="A794" s="42" t="str" cm="1">
        <f t="array" ref="A794">IFERROR(INDEX(_xlfn._xlws.FILTER(Class_Players!A:A,Class_Players!B:B="Support"),QUOTIENT(ROW()-ROW($A$2),9)+1),"")</f>
        <v>NikitaTopStrelok</v>
      </c>
      <c r="B794" s="42" t="str">
        <f>_xlfn.XLOOKUP(A794,Class_Players!$A:$A,Class_Players!$B:$B,"")</f>
        <v>Support</v>
      </c>
      <c r="C794" s="38" t="str" cm="1">
        <f t="array" ref="C794">INDEX(Lookups!$D$2:$D$10,MOD(ROW()-ROW($B$2),ROWS(Lookups!$D$2:$D$10))+1)</f>
        <v>GPDIS (Grenade intercept system)</v>
      </c>
      <c r="D794" s="38" t="str">
        <f>_xlfn.XLOOKUP(C794,Analysis_Gadgets!$C:$C,Analysis_Gadgets!$B:$B)</f>
        <v>Gadget</v>
      </c>
      <c r="E794" s="43">
        <v>242</v>
      </c>
      <c r="F794" s="43">
        <f>_xlfn.XLOOKUP(A794,Class_Players!A:A,Class_Players!G:G)</f>
        <v>207</v>
      </c>
      <c r="G794" s="43">
        <f t="shared" si="218"/>
        <v>1.1690821256038648</v>
      </c>
      <c r="H794" s="43">
        <f>_xlfn.XLOOKUP(A794,Class_Players!$A:$A,Class_Players!$F:$F,"")</f>
        <v>9608</v>
      </c>
      <c r="I794" s="44">
        <f t="shared" si="219"/>
        <v>2.5187343880099917E-2</v>
      </c>
      <c r="J794" s="43">
        <f t="shared" si="210"/>
        <v>0</v>
      </c>
      <c r="K794" s="44" cm="1">
        <f t="array" ref="K794">IF(D794="Gadget",_xlfn.IFS(I794&gt;=0.2,0.5,I794&gt;=0.1,0.35,I794&gt;=0.05,0.2,TRUE,0),IF(D794="Grenade",_xlfn.IFS(I794&gt;=0.2,1,I794&gt;=0.1,0.7,I794&gt;=0.05,0.4,TRUE,0),0))</f>
        <v>0</v>
      </c>
      <c r="L794" s="57">
        <f t="shared" ref="L794:L800" si="222">IF($K794=0,0,$K794 / SUMIFS($K:$K,$A:$A,$A794,$D:$D,"Gadget"))</f>
        <v>0</v>
      </c>
    </row>
    <row r="795" spans="1:12" ht="15" customHeight="1" x14ac:dyDescent="0.25">
      <c r="A795" s="42" t="str" cm="1">
        <f t="array" ref="A795">IFERROR(INDEX(_xlfn._xlws.FILTER(Class_Players!A:A,Class_Players!B:B="Support"),QUOTIENT(ROW()-ROW($A$2),9)+1),"")</f>
        <v>NikitaTopStrelok</v>
      </c>
      <c r="B795" s="42" t="str">
        <f>_xlfn.XLOOKUP(A795,Class_Players!$A:$A,Class_Players!$B:$B,"")</f>
        <v>Support</v>
      </c>
      <c r="C795" s="38" t="str" cm="1">
        <f t="array" ref="C795">INDEX(Lookups!$D$2:$D$10,MOD(ROW()-ROW($B$2),ROWS(Lookups!$D$2:$D$10))+1)</f>
        <v>MP-APS (Missile intercept system)</v>
      </c>
      <c r="D795" s="38" t="str">
        <f>_xlfn.XLOOKUP(C795,Analysis_Gadgets!$C:$C,Analysis_Gadgets!$B:$B)</f>
        <v>Gadget</v>
      </c>
      <c r="E795" s="43">
        <v>8</v>
      </c>
      <c r="F795" s="43">
        <f>_xlfn.XLOOKUP(A795,Class_Players!A:A,Class_Players!G:G)</f>
        <v>207</v>
      </c>
      <c r="G795" s="43">
        <f t="shared" si="218"/>
        <v>3.864734299516908E-2</v>
      </c>
      <c r="H795" s="43">
        <f>_xlfn.XLOOKUP(A795,Class_Players!$A:$A,Class_Players!$F:$F,"")</f>
        <v>9608</v>
      </c>
      <c r="I795" s="44">
        <f t="shared" si="219"/>
        <v>8.3263946711074107E-4</v>
      </c>
      <c r="J795" s="43">
        <f t="shared" si="210"/>
        <v>0</v>
      </c>
      <c r="K795" s="44" cm="1">
        <f t="array" ref="K795">IF(D795="Gadget",_xlfn.IFS(I795&gt;=0.2,0.5,I795&gt;=0.1,0.35,I795&gt;=0.05,0.2,TRUE,0),IF(D795="Grenade",_xlfn.IFS(I795&gt;=0.2,1,I795&gt;=0.1,0.7,I795&gt;=0.05,0.4,TRUE,0),0))</f>
        <v>0</v>
      </c>
      <c r="L795" s="57">
        <f t="shared" si="222"/>
        <v>0</v>
      </c>
    </row>
    <row r="796" spans="1:12" ht="15" customHeight="1" x14ac:dyDescent="0.25">
      <c r="A796" s="42" t="str" cm="1">
        <f t="array" ref="A796">IFERROR(INDEX(_xlfn._xlws.FILTER(Class_Players!A:A,Class_Players!B:B="Support"),QUOTIENT(ROW()-ROW($A$2),9)+1),"")</f>
        <v>NikitaTopStrelok</v>
      </c>
      <c r="B796" s="42" t="str">
        <f>_xlfn.XLOOKUP(A796,Class_Players!$A:$A,Class_Players!$B:$B,"")</f>
        <v>Support</v>
      </c>
      <c r="C796" s="38" t="str" cm="1">
        <f t="array" ref="C796">INDEX(Lookups!$D$2:$D$10,MOD(ROW()-ROW($B$2),ROWS(Lookups!$D$2:$D$10))+1)</f>
        <v>LWCMS (Mortar)</v>
      </c>
      <c r="D796" s="38" t="str">
        <f>_xlfn.XLOOKUP(C796,Analysis_Gadgets!$C:$C,Analysis_Gadgets!$B:$B)</f>
        <v>Gadget</v>
      </c>
      <c r="E796" s="43">
        <v>4</v>
      </c>
      <c r="F796" s="43">
        <f>_xlfn.XLOOKUP(A796,Class_Players!A:A,Class_Players!G:G)</f>
        <v>207</v>
      </c>
      <c r="G796" s="43">
        <f t="shared" si="218"/>
        <v>1.932367149758454E-2</v>
      </c>
      <c r="H796" s="43">
        <f>_xlfn.XLOOKUP(A796,Class_Players!$A:$A,Class_Players!$F:$F,"")</f>
        <v>9608</v>
      </c>
      <c r="I796" s="44">
        <f t="shared" si="219"/>
        <v>4.1631973355537054E-4</v>
      </c>
      <c r="J796" s="43">
        <f t="shared" si="210"/>
        <v>0</v>
      </c>
      <c r="K796" s="44" cm="1">
        <f t="array" ref="K796">IF(D796="Gadget",_xlfn.IFS(I796&gt;=0.2,0.5,I796&gt;=0.1,0.35,I796&gt;=0.05,0.2,TRUE,0),IF(D796="Grenade",_xlfn.IFS(I796&gt;=0.2,1,I796&gt;=0.1,0.7,I796&gt;=0.05,0.4,TRUE,0),0))</f>
        <v>0</v>
      </c>
      <c r="L796" s="57">
        <f t="shared" si="222"/>
        <v>0</v>
      </c>
    </row>
    <row r="797" spans="1:12" ht="15" customHeight="1" x14ac:dyDescent="0.25">
      <c r="A797" s="42" t="str" cm="1">
        <f t="array" ref="A797">IFERROR(INDEX(_xlfn._xlws.FILTER(Class_Players!A:A,Class_Players!B:B="Support"),QUOTIENT(ROW()-ROW($A$2),9)+1),"")</f>
        <v>NikitaTopStrelok</v>
      </c>
      <c r="B797" s="42" t="str">
        <f>_xlfn.XLOOKUP(A797,Class_Players!$A:$A,Class_Players!$B:$B,"")</f>
        <v>Support</v>
      </c>
      <c r="C797" s="38" t="str" cm="1">
        <f t="array" ref="C797">INDEX(Lookups!$D$2:$D$10,MOD(ROW()-ROW($B$2),ROWS(Lookups!$D$2:$D$10))+1)</f>
        <v>M320A1 SMK (Smoke Grenade Launcher)</v>
      </c>
      <c r="D797" s="38" t="str">
        <f>_xlfn.XLOOKUP(C797,Analysis_Gadgets!$C:$C,Analysis_Gadgets!$B:$B)</f>
        <v>Gadget</v>
      </c>
      <c r="E797" s="43">
        <v>309</v>
      </c>
      <c r="F797" s="43">
        <f>_xlfn.XLOOKUP(A797,Class_Players!A:A,Class_Players!G:G)</f>
        <v>207</v>
      </c>
      <c r="G797" s="43">
        <f t="shared" si="218"/>
        <v>1.4927536231884058</v>
      </c>
      <c r="H797" s="43">
        <f>_xlfn.XLOOKUP(A797,Class_Players!$A:$A,Class_Players!$F:$F,"")</f>
        <v>9608</v>
      </c>
      <c r="I797" s="44">
        <f t="shared" si="219"/>
        <v>3.2160699417152376E-2</v>
      </c>
      <c r="J797" s="43">
        <f t="shared" si="210"/>
        <v>0</v>
      </c>
      <c r="K797" s="44" cm="1">
        <f t="array" ref="K797">IF(D797="Gadget",_xlfn.IFS(I797&gt;=0.2,0.5,I797&gt;=0.1,0.35,I797&gt;=0.05,0.2,TRUE,0),IF(D797="Grenade",_xlfn.IFS(I797&gt;=0.2,1,I797&gt;=0.1,0.7,I797&gt;=0.05,0.4,TRUE,0),0))</f>
        <v>0</v>
      </c>
      <c r="L797" s="57">
        <f t="shared" si="222"/>
        <v>0</v>
      </c>
    </row>
    <row r="798" spans="1:12" ht="15" customHeight="1" x14ac:dyDescent="0.25">
      <c r="A798" s="42" t="str" cm="1">
        <f t="array" ref="A798">IFERROR(INDEX(_xlfn._xlws.FILTER(Class_Players!A:A,Class_Players!B:B="Support"),QUOTIENT(ROW()-ROW($A$2),9)+1),"")</f>
        <v>NikitaTopStrelok</v>
      </c>
      <c r="B798" s="42" t="str">
        <f>_xlfn.XLOOKUP(A798,Class_Players!$A:$A,Class_Players!$B:$B,"")</f>
        <v>Support</v>
      </c>
      <c r="C798" s="38" t="str" cm="1">
        <f t="array" ref="C798">INDEX(Lookups!$D$2:$D$10,MOD(ROW()-ROW($B$2),ROWS(Lookups!$D$2:$D$10))+1)</f>
        <v>SICH G1 WP (Incendiary Airburst Launcher)</v>
      </c>
      <c r="D798" s="38" t="str">
        <f>_xlfn.XLOOKUP(C798,Analysis_Gadgets!$C:$C,Analysis_Gadgets!$B:$B)</f>
        <v>Gadget</v>
      </c>
      <c r="E798" s="43">
        <v>694</v>
      </c>
      <c r="F798" s="43">
        <f>_xlfn.XLOOKUP(A798,Class_Players!A:A,Class_Players!G:G)</f>
        <v>207</v>
      </c>
      <c r="G798" s="43">
        <f t="shared" si="218"/>
        <v>3.3526570048309177</v>
      </c>
      <c r="H798" s="43">
        <f>_xlfn.XLOOKUP(A798,Class_Players!$A:$A,Class_Players!$F:$F,"")</f>
        <v>9608</v>
      </c>
      <c r="I798" s="44">
        <f t="shared" si="219"/>
        <v>7.2231473771856791E-2</v>
      </c>
      <c r="J798" s="43">
        <f t="shared" si="210"/>
        <v>0</v>
      </c>
      <c r="K798" s="44" cm="1">
        <f t="array" ref="K798">IF(D798="Gadget",_xlfn.IFS(I798&gt;=0.2,0.5,I798&gt;=0.1,0.35,I798&gt;=0.05,0.2,TRUE,0),IF(D798="Grenade",_xlfn.IFS(I798&gt;=0.2,1,I798&gt;=0.1,0.7,I798&gt;=0.05,0.4,TRUE,0),0))</f>
        <v>0.2</v>
      </c>
      <c r="L798" s="57">
        <f t="shared" si="222"/>
        <v>0.28571428571428575</v>
      </c>
    </row>
    <row r="799" spans="1:12" ht="15" customHeight="1" x14ac:dyDescent="0.25">
      <c r="A799" s="42" t="str" cm="1">
        <f t="array" ref="A799">IFERROR(INDEX(_xlfn._xlws.FILTER(Class_Players!A:A,Class_Players!B:B="Support"),QUOTIENT(ROW()-ROW($A$2),9)+1),"")</f>
        <v>NikitaTopStrelok</v>
      </c>
      <c r="B799" s="42" t="str">
        <f>_xlfn.XLOOKUP(A799,Class_Players!$A:$A,Class_Players!$B:$B,"")</f>
        <v>Support</v>
      </c>
      <c r="C799" s="38" t="str" cm="1">
        <f t="array" ref="C799">INDEX(Lookups!$D$2:$D$10,MOD(ROW()-ROW($B$2),ROWS(Lookups!$D$2:$D$10))+1)</f>
        <v>Deployable Cover</v>
      </c>
      <c r="D799" s="38" t="str">
        <f>_xlfn.XLOOKUP(C799,Analysis_Gadgets!$C:$C,Analysis_Gadgets!$B:$B)</f>
        <v>Gadget</v>
      </c>
      <c r="E799" s="43">
        <v>411</v>
      </c>
      <c r="F799" s="43">
        <f>_xlfn.XLOOKUP(A799,Class_Players!A:A,Class_Players!G:G)</f>
        <v>207</v>
      </c>
      <c r="G799" s="43">
        <f t="shared" si="218"/>
        <v>1.9855072463768115</v>
      </c>
      <c r="H799" s="43">
        <f>_xlfn.XLOOKUP(A799,Class_Players!$A:$A,Class_Players!$F:$F,"")</f>
        <v>9608</v>
      </c>
      <c r="I799" s="44">
        <f t="shared" si="219"/>
        <v>4.2776852622814318E-2</v>
      </c>
      <c r="J799" s="43">
        <f t="shared" si="210"/>
        <v>0</v>
      </c>
      <c r="K799" s="44" cm="1">
        <f t="array" ref="K799">IF(D799="Gadget",_xlfn.IFS(I799&gt;=0.2,0.5,I799&gt;=0.1,0.35,I799&gt;=0.05,0.2,TRUE,0),IF(D799="Grenade",_xlfn.IFS(I799&gt;=0.2,1,I799&gt;=0.1,0.7,I799&gt;=0.05,0.4,TRUE,0),0))</f>
        <v>0</v>
      </c>
      <c r="L799" s="57">
        <f t="shared" si="222"/>
        <v>0</v>
      </c>
    </row>
    <row r="800" spans="1:12" ht="15" customHeight="1" x14ac:dyDescent="0.25">
      <c r="A800" s="42" t="str" cm="1">
        <f t="array" ref="A800">IFERROR(INDEX(_xlfn._xlws.FILTER(Class_Players!A:A,Class_Players!B:B="Support"),QUOTIENT(ROW()-ROW($A$2),9)+1),"")</f>
        <v>NikitaTopStrelok</v>
      </c>
      <c r="B800" s="42" t="str">
        <f>_xlfn.XLOOKUP(A800,Class_Players!$A:$A,Class_Players!$B:$B,"")</f>
        <v>Support</v>
      </c>
      <c r="C800" s="38" t="str" cm="1">
        <f t="array" ref="C800">INDEX(Lookups!$D$2:$D$10,MOD(ROW()-ROW($B$2),ROWS(Lookups!$D$2:$D$10))+1)</f>
        <v>Supply Pouch</v>
      </c>
      <c r="D800" s="38" t="str">
        <f>_xlfn.XLOOKUP(C800,Analysis_Gadgets!$C:$C,Analysis_Gadgets!$B:$B)</f>
        <v>Gadget</v>
      </c>
      <c r="E800" s="43">
        <v>5185</v>
      </c>
      <c r="F800" s="43">
        <f>_xlfn.XLOOKUP(A800,Class_Players!A:A,Class_Players!G:G)</f>
        <v>207</v>
      </c>
      <c r="G800" s="43">
        <f t="shared" si="218"/>
        <v>25.04830917874396</v>
      </c>
      <c r="H800" s="43">
        <f>_xlfn.XLOOKUP(A800,Class_Players!$A:$A,Class_Players!$F:$F,"")</f>
        <v>9608</v>
      </c>
      <c r="I800" s="44">
        <f t="shared" si="219"/>
        <v>0.53965445462114903</v>
      </c>
      <c r="J800" s="43">
        <f t="shared" si="210"/>
        <v>1</v>
      </c>
      <c r="K800" s="44" cm="1">
        <f t="array" ref="K800">IF(D800="Gadget",_xlfn.IFS(I800&gt;=0.2,0.5,I800&gt;=0.1,0.35,I800&gt;=0.05,0.2,TRUE,0),IF(D800="Grenade",_xlfn.IFS(I800&gt;=0.2,1,I800&gt;=0.1,0.7,I800&gt;=0.05,0.4,TRUE,0),0))</f>
        <v>0.5</v>
      </c>
      <c r="L800" s="57">
        <f t="shared" si="222"/>
        <v>0.7142857142857143</v>
      </c>
    </row>
    <row r="801" spans="1:12" ht="15" customHeight="1" x14ac:dyDescent="0.25">
      <c r="A801" s="42" t="str" cm="1">
        <f t="array" ref="A801">IFERROR(INDEX(_xlfn._xlws.FILTER(Class_Players!A:A,Class_Players!B:B="Support"),QUOTIENT(ROW()-ROW($A$2),9)+1),"")</f>
        <v>NikitaTopStrelok</v>
      </c>
      <c r="B801" s="42" t="str">
        <f>_xlfn.XLOOKUP(A801,Class_Players!$A:$A,Class_Players!$B:$B,"")</f>
        <v>Support</v>
      </c>
      <c r="C801" s="38" t="str" cm="1">
        <f t="array" ref="C801">INDEX(Lookups!$D$2:$D$10,MOD(ROW()-ROW($B$2),ROWS(Lookups!$D$2:$D$10))+1)</f>
        <v>Smoke Grenade</v>
      </c>
      <c r="D801" s="38" t="str">
        <f>_xlfn.XLOOKUP(C801,Analysis_Gadgets!$C:$C,Analysis_Gadgets!$B:$B)</f>
        <v>Grenade</v>
      </c>
      <c r="E801" s="43">
        <v>2532</v>
      </c>
      <c r="F801" s="43">
        <f>_xlfn.XLOOKUP(A801,Class_Players!A:A,Class_Players!G:G)</f>
        <v>207</v>
      </c>
      <c r="G801" s="43">
        <f t="shared" si="218"/>
        <v>12.231884057971014</v>
      </c>
      <c r="H801" s="43">
        <f>_xlfn.XLOOKUP(A801,Class_Players!$A:$A,Class_Players!$F:$F,"")</f>
        <v>9608</v>
      </c>
      <c r="I801" s="44">
        <f t="shared" si="219"/>
        <v>0.26353039134054956</v>
      </c>
      <c r="J801" s="43">
        <f t="shared" si="210"/>
        <v>1</v>
      </c>
      <c r="K801" s="44" cm="1">
        <f t="array" ref="K801">IF(D801="Gadget",_xlfn.IFS(I801&gt;=0.2,0.5,I801&gt;=0.1,0.35,I801&gt;=0.05,0.2,TRUE,0),IF(D801="Grenade",_xlfn.IFS(I801&gt;=0.2,1,I801&gt;=0.1,0.7,I801&gt;=0.05,0.4,TRUE,0),0))</f>
        <v>1</v>
      </c>
      <c r="L801" s="57">
        <f t="shared" ref="L801:L802" si="223">IF($K801=0,0,$K801 / SUMIFS($K:$K,$A:$A,$A801,$D:$D,"Grenade"))</f>
        <v>0.58823529411764708</v>
      </c>
    </row>
    <row r="802" spans="1:12" ht="15" customHeight="1" x14ac:dyDescent="0.25">
      <c r="A802" s="42" t="str" cm="1">
        <f t="array" ref="A802">IFERROR(INDEX(_xlfn._xlws.FILTER(Class_Players!A:A,Class_Players!B:B="Support"),QUOTIENT(ROW()-ROW($A$2),9)+1),"")</f>
        <v>NikitaTopStrelok</v>
      </c>
      <c r="B802" s="42" t="str">
        <f>_xlfn.XLOOKUP(A802,Class_Players!$A:$A,Class_Players!$B:$B,"")</f>
        <v>Support</v>
      </c>
      <c r="C802" s="38" t="str" cm="1">
        <f t="array" ref="C802">INDEX(Lookups!$D$2:$D$10,MOD(ROW()-ROW($B$2),ROWS(Lookups!$D$2:$D$10))+1)</f>
        <v>Incendiary Grenade</v>
      </c>
      <c r="D802" s="38" t="str">
        <f>_xlfn.XLOOKUP(C802,Analysis_Gadgets!$C:$C,Analysis_Gadgets!$B:$B)</f>
        <v>Grenade</v>
      </c>
      <c r="E802" s="43">
        <v>1860</v>
      </c>
      <c r="F802" s="43">
        <f>_xlfn.XLOOKUP(A802,Class_Players!A:A,Class_Players!G:G)</f>
        <v>207</v>
      </c>
      <c r="G802" s="43">
        <f t="shared" si="218"/>
        <v>8.9855072463768124</v>
      </c>
      <c r="H802" s="43">
        <f>_xlfn.XLOOKUP(A802,Class_Players!$A:$A,Class_Players!$F:$F,"")</f>
        <v>9608</v>
      </c>
      <c r="I802" s="44">
        <f t="shared" si="219"/>
        <v>0.19358867610324729</v>
      </c>
      <c r="J802" s="43">
        <f t="shared" si="210"/>
        <v>1</v>
      </c>
      <c r="K802" s="44" cm="1">
        <f t="array" ref="K802">IF(D802="Gadget",_xlfn.IFS(I802&gt;=0.2,0.5,I802&gt;=0.1,0.35,I802&gt;=0.05,0.2,TRUE,0),IF(D802="Grenade",_xlfn.IFS(I802&gt;=0.2,1,I802&gt;=0.1,0.7,I802&gt;=0.05,0.4,TRUE,0),0))</f>
        <v>0.7</v>
      </c>
      <c r="L802" s="57">
        <f t="shared" si="223"/>
        <v>0.41176470588235292</v>
      </c>
    </row>
    <row r="803" spans="1:12" ht="15" customHeight="1" x14ac:dyDescent="0.25">
      <c r="A803" s="42" t="str" cm="1">
        <f t="array" ref="A803">IFERROR(INDEX(_xlfn._xlws.FILTER(Class_Players!A:A,Class_Players!B:B="Support"),QUOTIENT(ROW()-ROW($A$2),9)+1),"")</f>
        <v>LegendaryChampion</v>
      </c>
      <c r="B803" s="42" t="str">
        <f>_xlfn.XLOOKUP(A803,Class_Players!$A:$A,Class_Players!$B:$B,"")</f>
        <v>Support</v>
      </c>
      <c r="C803" s="38" t="str" cm="1">
        <f t="array" ref="C803">INDEX(Lookups!$D$2:$D$10,MOD(ROW()-ROW($B$2),ROWS(Lookups!$D$2:$D$10))+1)</f>
        <v>GPDIS (Grenade intercept system)</v>
      </c>
      <c r="D803" s="38" t="str">
        <f>_xlfn.XLOOKUP(C803,Analysis_Gadgets!$C:$C,Analysis_Gadgets!$B:$B)</f>
        <v>Gadget</v>
      </c>
      <c r="E803" s="43">
        <v>99</v>
      </c>
      <c r="F803" s="43">
        <f>_xlfn.XLOOKUP(A803,Class_Players!A:A,Class_Players!G:G)</f>
        <v>288</v>
      </c>
      <c r="G803" s="43">
        <f t="shared" si="218"/>
        <v>0.34375</v>
      </c>
      <c r="H803" s="43">
        <f>_xlfn.XLOOKUP(A803,Class_Players!$A:$A,Class_Players!$F:$F,"")</f>
        <v>10519</v>
      </c>
      <c r="I803" s="44">
        <f t="shared" si="219"/>
        <v>9.411541021009601E-3</v>
      </c>
      <c r="J803" s="43">
        <f t="shared" si="210"/>
        <v>0</v>
      </c>
      <c r="K803" s="44" cm="1">
        <f t="array" ref="K803">IF(D803="Gadget",_xlfn.IFS(I803&gt;=0.2,0.5,I803&gt;=0.1,0.35,I803&gt;=0.05,0.2,TRUE,0),IF(D803="Grenade",_xlfn.IFS(I803&gt;=0.2,1,I803&gt;=0.1,0.7,I803&gt;=0.05,0.4,TRUE,0),0))</f>
        <v>0</v>
      </c>
      <c r="L803" s="57">
        <f t="shared" ref="L803:L809" si="224">IF($K803=0,0,$K803 / SUMIFS($K:$K,$A:$A,$A803,$D:$D,"Gadget"))</f>
        <v>0</v>
      </c>
    </row>
    <row r="804" spans="1:12" ht="15" customHeight="1" x14ac:dyDescent="0.25">
      <c r="A804" s="42" t="str" cm="1">
        <f t="array" ref="A804">IFERROR(INDEX(_xlfn._xlws.FILTER(Class_Players!A:A,Class_Players!B:B="Support"),QUOTIENT(ROW()-ROW($A$2),9)+1),"")</f>
        <v>LegendaryChampion</v>
      </c>
      <c r="B804" s="42" t="str">
        <f>_xlfn.XLOOKUP(A804,Class_Players!$A:$A,Class_Players!$B:$B,"")</f>
        <v>Support</v>
      </c>
      <c r="C804" s="38" t="str" cm="1">
        <f t="array" ref="C804">INDEX(Lookups!$D$2:$D$10,MOD(ROW()-ROW($B$2),ROWS(Lookups!$D$2:$D$10))+1)</f>
        <v>MP-APS (Missile intercept system)</v>
      </c>
      <c r="D804" s="38" t="str">
        <f>_xlfn.XLOOKUP(C804,Analysis_Gadgets!$C:$C,Analysis_Gadgets!$B:$B)</f>
        <v>Gadget</v>
      </c>
      <c r="E804" s="43">
        <v>308</v>
      </c>
      <c r="F804" s="43">
        <f>_xlfn.XLOOKUP(A804,Class_Players!A:A,Class_Players!G:G)</f>
        <v>288</v>
      </c>
      <c r="G804" s="43">
        <f t="shared" si="218"/>
        <v>1.0694444444444444</v>
      </c>
      <c r="H804" s="43">
        <f>_xlfn.XLOOKUP(A804,Class_Players!$A:$A,Class_Players!$F:$F,"")</f>
        <v>10519</v>
      </c>
      <c r="I804" s="44">
        <f t="shared" si="219"/>
        <v>2.9280349843140981E-2</v>
      </c>
      <c r="J804" s="43">
        <f t="shared" si="210"/>
        <v>0</v>
      </c>
      <c r="K804" s="44" cm="1">
        <f t="array" ref="K804">IF(D804="Gadget",_xlfn.IFS(I804&gt;=0.2,0.5,I804&gt;=0.1,0.35,I804&gt;=0.05,0.2,TRUE,0),IF(D804="Grenade",_xlfn.IFS(I804&gt;=0.2,1,I804&gt;=0.1,0.7,I804&gt;=0.05,0.4,TRUE,0),0))</f>
        <v>0</v>
      </c>
      <c r="L804" s="57">
        <f t="shared" si="224"/>
        <v>0</v>
      </c>
    </row>
    <row r="805" spans="1:12" ht="15" customHeight="1" x14ac:dyDescent="0.25">
      <c r="A805" s="42" t="str" cm="1">
        <f t="array" ref="A805">IFERROR(INDEX(_xlfn._xlws.FILTER(Class_Players!A:A,Class_Players!B:B="Support"),QUOTIENT(ROW()-ROW($A$2),9)+1),"")</f>
        <v>LegendaryChampion</v>
      </c>
      <c r="B805" s="42" t="str">
        <f>_xlfn.XLOOKUP(A805,Class_Players!$A:$A,Class_Players!$B:$B,"")</f>
        <v>Support</v>
      </c>
      <c r="C805" s="38" t="str" cm="1">
        <f t="array" ref="C805">INDEX(Lookups!$D$2:$D$10,MOD(ROW()-ROW($B$2),ROWS(Lookups!$D$2:$D$10))+1)</f>
        <v>LWCMS (Mortar)</v>
      </c>
      <c r="D805" s="38" t="str">
        <f>_xlfn.XLOOKUP(C805,Analysis_Gadgets!$C:$C,Analysis_Gadgets!$B:$B)</f>
        <v>Gadget</v>
      </c>
      <c r="E805" s="43">
        <v>0</v>
      </c>
      <c r="F805" s="43">
        <f>_xlfn.XLOOKUP(A805,Class_Players!A:A,Class_Players!G:G)</f>
        <v>288</v>
      </c>
      <c r="G805" s="43">
        <f t="shared" si="218"/>
        <v>0</v>
      </c>
      <c r="H805" s="43">
        <f>_xlfn.XLOOKUP(A805,Class_Players!$A:$A,Class_Players!$F:$F,"")</f>
        <v>10519</v>
      </c>
      <c r="I805" s="44">
        <f t="shared" si="219"/>
        <v>0</v>
      </c>
      <c r="J805" s="43">
        <f t="shared" si="210"/>
        <v>0</v>
      </c>
      <c r="K805" s="44" cm="1">
        <f t="array" ref="K805">IF(D805="Gadget",_xlfn.IFS(I805&gt;=0.2,0.5,I805&gt;=0.1,0.35,I805&gt;=0.05,0.2,TRUE,0),IF(D805="Grenade",_xlfn.IFS(I805&gt;=0.2,1,I805&gt;=0.1,0.7,I805&gt;=0.05,0.4,TRUE,0),0))</f>
        <v>0</v>
      </c>
      <c r="L805" s="57">
        <f t="shared" si="224"/>
        <v>0</v>
      </c>
    </row>
    <row r="806" spans="1:12" ht="15" customHeight="1" x14ac:dyDescent="0.25">
      <c r="A806" s="42" t="str" cm="1">
        <f t="array" ref="A806">IFERROR(INDEX(_xlfn._xlws.FILTER(Class_Players!A:A,Class_Players!B:B="Support"),QUOTIENT(ROW()-ROW($A$2),9)+1),"")</f>
        <v>LegendaryChampion</v>
      </c>
      <c r="B806" s="42" t="str">
        <f>_xlfn.XLOOKUP(A806,Class_Players!$A:$A,Class_Players!$B:$B,"")</f>
        <v>Support</v>
      </c>
      <c r="C806" s="38" t="str" cm="1">
        <f t="array" ref="C806">INDEX(Lookups!$D$2:$D$10,MOD(ROW()-ROW($B$2),ROWS(Lookups!$D$2:$D$10))+1)</f>
        <v>M320A1 SMK (Smoke Grenade Launcher)</v>
      </c>
      <c r="D806" s="38" t="str">
        <f>_xlfn.XLOOKUP(C806,Analysis_Gadgets!$C:$C,Analysis_Gadgets!$B:$B)</f>
        <v>Gadget</v>
      </c>
      <c r="E806" s="43">
        <v>3</v>
      </c>
      <c r="F806" s="43">
        <f>_xlfn.XLOOKUP(A806,Class_Players!A:A,Class_Players!G:G)</f>
        <v>288</v>
      </c>
      <c r="G806" s="43">
        <f t="shared" si="218"/>
        <v>1.0416666666666666E-2</v>
      </c>
      <c r="H806" s="43">
        <f>_xlfn.XLOOKUP(A806,Class_Players!$A:$A,Class_Players!$F:$F,"")</f>
        <v>10519</v>
      </c>
      <c r="I806" s="44">
        <f t="shared" si="219"/>
        <v>2.8519821275786673E-4</v>
      </c>
      <c r="J806" s="43">
        <f t="shared" si="210"/>
        <v>0</v>
      </c>
      <c r="K806" s="44" cm="1">
        <f t="array" ref="K806">IF(D806="Gadget",_xlfn.IFS(I806&gt;=0.2,0.5,I806&gt;=0.1,0.35,I806&gt;=0.05,0.2,TRUE,0),IF(D806="Grenade",_xlfn.IFS(I806&gt;=0.2,1,I806&gt;=0.1,0.7,I806&gt;=0.05,0.4,TRUE,0),0))</f>
        <v>0</v>
      </c>
      <c r="L806" s="57">
        <f t="shared" si="224"/>
        <v>0</v>
      </c>
    </row>
    <row r="807" spans="1:12" ht="15" customHeight="1" x14ac:dyDescent="0.25">
      <c r="A807" s="42" t="str" cm="1">
        <f t="array" ref="A807">IFERROR(INDEX(_xlfn._xlws.FILTER(Class_Players!A:A,Class_Players!B:B="Support"),QUOTIENT(ROW()-ROW($A$2),9)+1),"")</f>
        <v>LegendaryChampion</v>
      </c>
      <c r="B807" s="42" t="str">
        <f>_xlfn.XLOOKUP(A807,Class_Players!$A:$A,Class_Players!$B:$B,"")</f>
        <v>Support</v>
      </c>
      <c r="C807" s="38" t="str" cm="1">
        <f t="array" ref="C807">INDEX(Lookups!$D$2:$D$10,MOD(ROW()-ROW($B$2),ROWS(Lookups!$D$2:$D$10))+1)</f>
        <v>SICH G1 WP (Incendiary Airburst Launcher)</v>
      </c>
      <c r="D807" s="38" t="str">
        <f>_xlfn.XLOOKUP(C807,Analysis_Gadgets!$C:$C,Analysis_Gadgets!$B:$B)</f>
        <v>Gadget</v>
      </c>
      <c r="E807" s="43">
        <v>0</v>
      </c>
      <c r="F807" s="43">
        <f>_xlfn.XLOOKUP(A807,Class_Players!A:A,Class_Players!G:G)</f>
        <v>288</v>
      </c>
      <c r="G807" s="43">
        <f t="shared" si="218"/>
        <v>0</v>
      </c>
      <c r="H807" s="43">
        <f>_xlfn.XLOOKUP(A807,Class_Players!$A:$A,Class_Players!$F:$F,"")</f>
        <v>10519</v>
      </c>
      <c r="I807" s="44">
        <f t="shared" si="219"/>
        <v>0</v>
      </c>
      <c r="J807" s="43">
        <f t="shared" si="210"/>
        <v>0</v>
      </c>
      <c r="K807" s="44" cm="1">
        <f t="array" ref="K807">IF(D807="Gadget",_xlfn.IFS(I807&gt;=0.2,0.5,I807&gt;=0.1,0.35,I807&gt;=0.05,0.2,TRUE,0),IF(D807="Grenade",_xlfn.IFS(I807&gt;=0.2,1,I807&gt;=0.1,0.7,I807&gt;=0.05,0.4,TRUE,0),0))</f>
        <v>0</v>
      </c>
      <c r="L807" s="57">
        <f t="shared" si="224"/>
        <v>0</v>
      </c>
    </row>
    <row r="808" spans="1:12" ht="15" customHeight="1" x14ac:dyDescent="0.25">
      <c r="A808" s="42" t="str" cm="1">
        <f t="array" ref="A808">IFERROR(INDEX(_xlfn._xlws.FILTER(Class_Players!A:A,Class_Players!B:B="Support"),QUOTIENT(ROW()-ROW($A$2),9)+1),"")</f>
        <v>LegendaryChampion</v>
      </c>
      <c r="B808" s="42" t="str">
        <f>_xlfn.XLOOKUP(A808,Class_Players!$A:$A,Class_Players!$B:$B,"")</f>
        <v>Support</v>
      </c>
      <c r="C808" s="38" t="str" cm="1">
        <f t="array" ref="C808">INDEX(Lookups!$D$2:$D$10,MOD(ROW()-ROW($B$2),ROWS(Lookups!$D$2:$D$10))+1)</f>
        <v>Deployable Cover</v>
      </c>
      <c r="D808" s="38" t="str">
        <f>_xlfn.XLOOKUP(C808,Analysis_Gadgets!$C:$C,Analysis_Gadgets!$B:$B)</f>
        <v>Gadget</v>
      </c>
      <c r="E808" s="43">
        <v>1669</v>
      </c>
      <c r="F808" s="43">
        <f>_xlfn.XLOOKUP(A808,Class_Players!A:A,Class_Players!G:G)</f>
        <v>288</v>
      </c>
      <c r="G808" s="43">
        <f t="shared" si="218"/>
        <v>5.7951388888888893</v>
      </c>
      <c r="H808" s="43">
        <f>_xlfn.XLOOKUP(A808,Class_Players!$A:$A,Class_Players!$F:$F,"")</f>
        <v>10519</v>
      </c>
      <c r="I808" s="44">
        <f t="shared" si="219"/>
        <v>0.15866527236429318</v>
      </c>
      <c r="J808" s="43">
        <f t="shared" si="210"/>
        <v>1</v>
      </c>
      <c r="K808" s="44" cm="1">
        <f t="array" ref="K808">IF(D808="Gadget",_xlfn.IFS(I808&gt;=0.2,0.5,I808&gt;=0.1,0.35,I808&gt;=0.05,0.2,TRUE,0),IF(D808="Grenade",_xlfn.IFS(I808&gt;=0.2,1,I808&gt;=0.1,0.7,I808&gt;=0.05,0.4,TRUE,0),0))</f>
        <v>0.35</v>
      </c>
      <c r="L808" s="57">
        <f t="shared" si="224"/>
        <v>1</v>
      </c>
    </row>
    <row r="809" spans="1:12" ht="15" customHeight="1" x14ac:dyDescent="0.25">
      <c r="A809" s="42" t="str" cm="1">
        <f t="array" ref="A809">IFERROR(INDEX(_xlfn._xlws.FILTER(Class_Players!A:A,Class_Players!B:B="Support"),QUOTIENT(ROW()-ROW($A$2),9)+1),"")</f>
        <v>LegendaryChampion</v>
      </c>
      <c r="B809" s="42" t="str">
        <f>_xlfn.XLOOKUP(A809,Class_Players!$A:$A,Class_Players!$B:$B,"")</f>
        <v>Support</v>
      </c>
      <c r="C809" s="38" t="str" cm="1">
        <f t="array" ref="C809">INDEX(Lookups!$D$2:$D$10,MOD(ROW()-ROW($B$2),ROWS(Lookups!$D$2:$D$10))+1)</f>
        <v>Supply Pouch</v>
      </c>
      <c r="D809" s="38" t="str">
        <f>_xlfn.XLOOKUP(C809,Analysis_Gadgets!$C:$C,Analysis_Gadgets!$B:$B)</f>
        <v>Gadget</v>
      </c>
      <c r="E809" s="43">
        <v>2</v>
      </c>
      <c r="F809" s="43">
        <f>_xlfn.XLOOKUP(A809,Class_Players!A:A,Class_Players!G:G)</f>
        <v>288</v>
      </c>
      <c r="G809" s="43">
        <f t="shared" si="218"/>
        <v>6.9444444444444441E-3</v>
      </c>
      <c r="H809" s="43">
        <f>_xlfn.XLOOKUP(A809,Class_Players!$A:$A,Class_Players!$F:$F,"")</f>
        <v>10519</v>
      </c>
      <c r="I809" s="44">
        <f t="shared" si="219"/>
        <v>1.901321418385778E-4</v>
      </c>
      <c r="J809" s="43">
        <f t="shared" si="210"/>
        <v>0</v>
      </c>
      <c r="K809" s="44" cm="1">
        <f t="array" ref="K809">IF(D809="Gadget",_xlfn.IFS(I809&gt;=0.2,0.5,I809&gt;=0.1,0.35,I809&gt;=0.05,0.2,TRUE,0),IF(D809="Grenade",_xlfn.IFS(I809&gt;=0.2,1,I809&gt;=0.1,0.7,I809&gt;=0.05,0.4,TRUE,0),0))</f>
        <v>0</v>
      </c>
      <c r="L809" s="57">
        <f t="shared" si="224"/>
        <v>0</v>
      </c>
    </row>
    <row r="810" spans="1:12" ht="15" customHeight="1" x14ac:dyDescent="0.25">
      <c r="A810" s="42" t="str" cm="1">
        <f t="array" ref="A810">IFERROR(INDEX(_xlfn._xlws.FILTER(Class_Players!A:A,Class_Players!B:B="Support"),QUOTIENT(ROW()-ROW($A$2),9)+1),"")</f>
        <v>LegendaryChampion</v>
      </c>
      <c r="B810" s="42" t="str">
        <f>_xlfn.XLOOKUP(A810,Class_Players!$A:$A,Class_Players!$B:$B,"")</f>
        <v>Support</v>
      </c>
      <c r="C810" s="38" t="str" cm="1">
        <f t="array" ref="C810">INDEX(Lookups!$D$2:$D$10,MOD(ROW()-ROW($B$2),ROWS(Lookups!$D$2:$D$10))+1)</f>
        <v>Smoke Grenade</v>
      </c>
      <c r="D810" s="38" t="str">
        <f>_xlfn.XLOOKUP(C810,Analysis_Gadgets!$C:$C,Analysis_Gadgets!$B:$B)</f>
        <v>Grenade</v>
      </c>
      <c r="E810" s="43">
        <v>3867</v>
      </c>
      <c r="F810" s="43">
        <f>_xlfn.XLOOKUP(A810,Class_Players!A:A,Class_Players!G:G)</f>
        <v>288</v>
      </c>
      <c r="G810" s="43">
        <f t="shared" si="218"/>
        <v>13.427083333333334</v>
      </c>
      <c r="H810" s="43">
        <f>_xlfn.XLOOKUP(A810,Class_Players!$A:$A,Class_Players!$F:$F,"")</f>
        <v>10519</v>
      </c>
      <c r="I810" s="44">
        <f t="shared" si="219"/>
        <v>0.36762049624489018</v>
      </c>
      <c r="J810" s="43">
        <f t="shared" si="210"/>
        <v>1</v>
      </c>
      <c r="K810" s="44" cm="1">
        <f t="array" ref="K810">IF(D810="Gadget",_xlfn.IFS(I810&gt;=0.2,0.5,I810&gt;=0.1,0.35,I810&gt;=0.05,0.2,TRUE,0),IF(D810="Grenade",_xlfn.IFS(I810&gt;=0.2,1,I810&gt;=0.1,0.7,I810&gt;=0.05,0.4,TRUE,0),0))</f>
        <v>1</v>
      </c>
      <c r="L810" s="57">
        <f t="shared" ref="L810:L811" si="225">IF($K810=0,0,$K810 / SUMIFS($K:$K,$A:$A,$A810,$D:$D,"Grenade"))</f>
        <v>1</v>
      </c>
    </row>
    <row r="811" spans="1:12" ht="15" customHeight="1" x14ac:dyDescent="0.25">
      <c r="A811" s="42" t="str" cm="1">
        <f t="array" ref="A811">IFERROR(INDEX(_xlfn._xlws.FILTER(Class_Players!A:A,Class_Players!B:B="Support"),QUOTIENT(ROW()-ROW($A$2),9)+1),"")</f>
        <v>LegendaryChampion</v>
      </c>
      <c r="B811" s="42" t="str">
        <f>_xlfn.XLOOKUP(A811,Class_Players!$A:$A,Class_Players!$B:$B,"")</f>
        <v>Support</v>
      </c>
      <c r="C811" s="38" t="str" cm="1">
        <f t="array" ref="C811">INDEX(Lookups!$D$2:$D$10,MOD(ROW()-ROW($B$2),ROWS(Lookups!$D$2:$D$10))+1)</f>
        <v>Incendiary Grenade</v>
      </c>
      <c r="D811" s="38" t="str">
        <f>_xlfn.XLOOKUP(C811,Analysis_Gadgets!$C:$C,Analysis_Gadgets!$B:$B)</f>
        <v>Grenade</v>
      </c>
      <c r="E811" s="43">
        <v>0</v>
      </c>
      <c r="F811" s="43">
        <f>_xlfn.XLOOKUP(A811,Class_Players!A:A,Class_Players!G:G)</f>
        <v>288</v>
      </c>
      <c r="G811" s="43">
        <f t="shared" si="218"/>
        <v>0</v>
      </c>
      <c r="H811" s="43">
        <f>_xlfn.XLOOKUP(A811,Class_Players!$A:$A,Class_Players!$F:$F,"")</f>
        <v>10519</v>
      </c>
      <c r="I811" s="44">
        <f t="shared" si="219"/>
        <v>0</v>
      </c>
      <c r="J811" s="43">
        <f t="shared" si="210"/>
        <v>0</v>
      </c>
      <c r="K811" s="44" cm="1">
        <f t="array" ref="K811">IF(D811="Gadget",_xlfn.IFS(I811&gt;=0.2,0.5,I811&gt;=0.1,0.35,I811&gt;=0.05,0.2,TRUE,0),IF(D811="Grenade",_xlfn.IFS(I811&gt;=0.2,1,I811&gt;=0.1,0.7,I811&gt;=0.05,0.4,TRUE,0),0))</f>
        <v>0</v>
      </c>
      <c r="L811" s="57">
        <f t="shared" si="225"/>
        <v>0</v>
      </c>
    </row>
    <row r="812" spans="1:12" ht="15" customHeight="1" x14ac:dyDescent="0.25">
      <c r="A812" s="42" t="str" cm="1">
        <f t="array" ref="A812">IFERROR(INDEX(_xlfn._xlws.FILTER(Class_Players!A:A,Class_Players!B:B="Support"),QUOTIENT(ROW()-ROW($A$2),9)+1),"")</f>
        <v>THiRDEYEAiM</v>
      </c>
      <c r="B812" s="42" t="str">
        <f>_xlfn.XLOOKUP(A812,Class_Players!$A:$A,Class_Players!$B:$B,"")</f>
        <v>Support</v>
      </c>
      <c r="C812" s="38" t="str" cm="1">
        <f t="array" ref="C812">INDEX(Lookups!$D$2:$D$10,MOD(ROW()-ROW($B$2),ROWS(Lookups!$D$2:$D$10))+1)</f>
        <v>GPDIS (Grenade intercept system)</v>
      </c>
      <c r="D812" s="38" t="str">
        <f>_xlfn.XLOOKUP(C812,Analysis_Gadgets!$C:$C,Analysis_Gadgets!$B:$B)</f>
        <v>Gadget</v>
      </c>
      <c r="E812" s="43">
        <v>246</v>
      </c>
      <c r="F812" s="43">
        <f>_xlfn.XLOOKUP(A812,Class_Players!A:A,Class_Players!G:G)</f>
        <v>127</v>
      </c>
      <c r="G812" s="43">
        <f t="shared" si="218"/>
        <v>1.9370078740157479</v>
      </c>
      <c r="H812" s="43">
        <f>_xlfn.XLOOKUP(A812,Class_Players!$A:$A,Class_Players!$F:$F,"")</f>
        <v>9549</v>
      </c>
      <c r="I812" s="44">
        <f t="shared" si="219"/>
        <v>2.5761859880615773E-2</v>
      </c>
      <c r="J812" s="43">
        <f t="shared" si="210"/>
        <v>0</v>
      </c>
      <c r="K812" s="44" cm="1">
        <f t="array" ref="K812">IF(D812="Gadget",_xlfn.IFS(I812&gt;=0.2,0.5,I812&gt;=0.1,0.35,I812&gt;=0.05,0.2,TRUE,0),IF(D812="Grenade",_xlfn.IFS(I812&gt;=0.2,1,I812&gt;=0.1,0.7,I812&gt;=0.05,0.4,TRUE,0),0))</f>
        <v>0</v>
      </c>
      <c r="L812" s="57">
        <f t="shared" ref="L812:L818" si="226">IF($K812=0,0,$K812 / SUMIFS($K:$K,$A:$A,$A812,$D:$D,"Gadget"))</f>
        <v>0</v>
      </c>
    </row>
    <row r="813" spans="1:12" ht="15" customHeight="1" x14ac:dyDescent="0.25">
      <c r="A813" s="42" t="str" cm="1">
        <f t="array" ref="A813">IFERROR(INDEX(_xlfn._xlws.FILTER(Class_Players!A:A,Class_Players!B:B="Support"),QUOTIENT(ROW()-ROW($A$2),9)+1),"")</f>
        <v>THiRDEYEAiM</v>
      </c>
      <c r="B813" s="42" t="str">
        <f>_xlfn.XLOOKUP(A813,Class_Players!$A:$A,Class_Players!$B:$B,"")</f>
        <v>Support</v>
      </c>
      <c r="C813" s="38" t="str" cm="1">
        <f t="array" ref="C813">INDEX(Lookups!$D$2:$D$10,MOD(ROW()-ROW($B$2),ROWS(Lookups!$D$2:$D$10))+1)</f>
        <v>MP-APS (Missile intercept system)</v>
      </c>
      <c r="D813" s="38" t="str">
        <f>_xlfn.XLOOKUP(C813,Analysis_Gadgets!$C:$C,Analysis_Gadgets!$B:$B)</f>
        <v>Gadget</v>
      </c>
      <c r="E813" s="43">
        <v>6</v>
      </c>
      <c r="F813" s="43">
        <f>_xlfn.XLOOKUP(A813,Class_Players!A:A,Class_Players!G:G)</f>
        <v>127</v>
      </c>
      <c r="G813" s="43">
        <f t="shared" si="218"/>
        <v>4.7244094488188976E-2</v>
      </c>
      <c r="H813" s="43">
        <f>_xlfn.XLOOKUP(A813,Class_Players!$A:$A,Class_Players!$F:$F,"")</f>
        <v>9549</v>
      </c>
      <c r="I813" s="44">
        <f t="shared" si="219"/>
        <v>6.2833804586867733E-4</v>
      </c>
      <c r="J813" s="43">
        <f t="shared" si="210"/>
        <v>0</v>
      </c>
      <c r="K813" s="44" cm="1">
        <f t="array" ref="K813">IF(D813="Gadget",_xlfn.IFS(I813&gt;=0.2,0.5,I813&gt;=0.1,0.35,I813&gt;=0.05,0.2,TRUE,0),IF(D813="Grenade",_xlfn.IFS(I813&gt;=0.2,1,I813&gt;=0.1,0.7,I813&gt;=0.05,0.4,TRUE,0),0))</f>
        <v>0</v>
      </c>
      <c r="L813" s="57">
        <f t="shared" si="226"/>
        <v>0</v>
      </c>
    </row>
    <row r="814" spans="1:12" ht="15" customHeight="1" x14ac:dyDescent="0.25">
      <c r="A814" s="42" t="str" cm="1">
        <f t="array" ref="A814">IFERROR(INDEX(_xlfn._xlws.FILTER(Class_Players!A:A,Class_Players!B:B="Support"),QUOTIENT(ROW()-ROW($A$2),9)+1),"")</f>
        <v>THiRDEYEAiM</v>
      </c>
      <c r="B814" s="42" t="str">
        <f>_xlfn.XLOOKUP(A814,Class_Players!$A:$A,Class_Players!$B:$B,"")</f>
        <v>Support</v>
      </c>
      <c r="C814" s="38" t="str" cm="1">
        <f t="array" ref="C814">INDEX(Lookups!$D$2:$D$10,MOD(ROW()-ROW($B$2),ROWS(Lookups!$D$2:$D$10))+1)</f>
        <v>LWCMS (Mortar)</v>
      </c>
      <c r="D814" s="38" t="str">
        <f>_xlfn.XLOOKUP(C814,Analysis_Gadgets!$C:$C,Analysis_Gadgets!$B:$B)</f>
        <v>Gadget</v>
      </c>
      <c r="E814" s="43">
        <v>0</v>
      </c>
      <c r="F814" s="43">
        <f>_xlfn.XLOOKUP(A814,Class_Players!A:A,Class_Players!G:G)</f>
        <v>127</v>
      </c>
      <c r="G814" s="43">
        <f t="shared" si="218"/>
        <v>0</v>
      </c>
      <c r="H814" s="43">
        <f>_xlfn.XLOOKUP(A814,Class_Players!$A:$A,Class_Players!$F:$F,"")</f>
        <v>9549</v>
      </c>
      <c r="I814" s="44">
        <f t="shared" si="219"/>
        <v>0</v>
      </c>
      <c r="J814" s="43">
        <f t="shared" si="210"/>
        <v>0</v>
      </c>
      <c r="K814" s="44" cm="1">
        <f t="array" ref="K814">IF(D814="Gadget",_xlfn.IFS(I814&gt;=0.2,0.5,I814&gt;=0.1,0.35,I814&gt;=0.05,0.2,TRUE,0),IF(D814="Grenade",_xlfn.IFS(I814&gt;=0.2,1,I814&gt;=0.1,0.7,I814&gt;=0.05,0.4,TRUE,0),0))</f>
        <v>0</v>
      </c>
      <c r="L814" s="57">
        <f t="shared" si="226"/>
        <v>0</v>
      </c>
    </row>
    <row r="815" spans="1:12" ht="15" customHeight="1" x14ac:dyDescent="0.25">
      <c r="A815" s="42" t="str" cm="1">
        <f t="array" ref="A815">IFERROR(INDEX(_xlfn._xlws.FILTER(Class_Players!A:A,Class_Players!B:B="Support"),QUOTIENT(ROW()-ROW($A$2),9)+1),"")</f>
        <v>THiRDEYEAiM</v>
      </c>
      <c r="B815" s="42" t="str">
        <f>_xlfn.XLOOKUP(A815,Class_Players!$A:$A,Class_Players!$B:$B,"")</f>
        <v>Support</v>
      </c>
      <c r="C815" s="38" t="str" cm="1">
        <f t="array" ref="C815">INDEX(Lookups!$D$2:$D$10,MOD(ROW()-ROW($B$2),ROWS(Lookups!$D$2:$D$10))+1)</f>
        <v>M320A1 SMK (Smoke Grenade Launcher)</v>
      </c>
      <c r="D815" s="38" t="str">
        <f>_xlfn.XLOOKUP(C815,Analysis_Gadgets!$C:$C,Analysis_Gadgets!$B:$B)</f>
        <v>Gadget</v>
      </c>
      <c r="E815" s="43">
        <v>99</v>
      </c>
      <c r="F815" s="43">
        <f>_xlfn.XLOOKUP(A815,Class_Players!A:A,Class_Players!G:G)</f>
        <v>127</v>
      </c>
      <c r="G815" s="43">
        <f t="shared" si="218"/>
        <v>0.77952755905511806</v>
      </c>
      <c r="H815" s="43">
        <f>_xlfn.XLOOKUP(A815,Class_Players!$A:$A,Class_Players!$F:$F,"")</f>
        <v>9549</v>
      </c>
      <c r="I815" s="44">
        <f t="shared" si="219"/>
        <v>1.0367577756833177E-2</v>
      </c>
      <c r="J815" s="43">
        <f t="shared" si="210"/>
        <v>0</v>
      </c>
      <c r="K815" s="44" cm="1">
        <f t="array" ref="K815">IF(D815="Gadget",_xlfn.IFS(I815&gt;=0.2,0.5,I815&gt;=0.1,0.35,I815&gt;=0.05,0.2,TRUE,0),IF(D815="Grenade",_xlfn.IFS(I815&gt;=0.2,1,I815&gt;=0.1,0.7,I815&gt;=0.05,0.4,TRUE,0),0))</f>
        <v>0</v>
      </c>
      <c r="L815" s="57">
        <f t="shared" si="226"/>
        <v>0</v>
      </c>
    </row>
    <row r="816" spans="1:12" ht="15" customHeight="1" x14ac:dyDescent="0.25">
      <c r="A816" s="42" t="str" cm="1">
        <f t="array" ref="A816">IFERROR(INDEX(_xlfn._xlws.FILTER(Class_Players!A:A,Class_Players!B:B="Support"),QUOTIENT(ROW()-ROW($A$2),9)+1),"")</f>
        <v>THiRDEYEAiM</v>
      </c>
      <c r="B816" s="42" t="str">
        <f>_xlfn.XLOOKUP(A816,Class_Players!$A:$A,Class_Players!$B:$B,"")</f>
        <v>Support</v>
      </c>
      <c r="C816" s="38" t="str" cm="1">
        <f t="array" ref="C816">INDEX(Lookups!$D$2:$D$10,MOD(ROW()-ROW($B$2),ROWS(Lookups!$D$2:$D$10))+1)</f>
        <v>SICH G1 WP (Incendiary Airburst Launcher)</v>
      </c>
      <c r="D816" s="38" t="str">
        <f>_xlfn.XLOOKUP(C816,Analysis_Gadgets!$C:$C,Analysis_Gadgets!$B:$B)</f>
        <v>Gadget</v>
      </c>
      <c r="E816" s="43">
        <v>514</v>
      </c>
      <c r="F816" s="43">
        <f>_xlfn.XLOOKUP(A816,Class_Players!A:A,Class_Players!G:G)</f>
        <v>127</v>
      </c>
      <c r="G816" s="43">
        <f t="shared" si="218"/>
        <v>4.0472440944881889</v>
      </c>
      <c r="H816" s="43">
        <f>_xlfn.XLOOKUP(A816,Class_Players!$A:$A,Class_Players!$F:$F,"")</f>
        <v>9549</v>
      </c>
      <c r="I816" s="44">
        <f t="shared" si="219"/>
        <v>5.3827625929416693E-2</v>
      </c>
      <c r="J816" s="43">
        <f t="shared" si="210"/>
        <v>0</v>
      </c>
      <c r="K816" s="44" cm="1">
        <f t="array" ref="K816">IF(D816="Gadget",_xlfn.IFS(I816&gt;=0.2,0.5,I816&gt;=0.1,0.35,I816&gt;=0.05,0.2,TRUE,0),IF(D816="Grenade",_xlfn.IFS(I816&gt;=0.2,1,I816&gt;=0.1,0.7,I816&gt;=0.05,0.4,TRUE,0),0))</f>
        <v>0.2</v>
      </c>
      <c r="L816" s="57">
        <f t="shared" si="226"/>
        <v>0.28571428571428575</v>
      </c>
    </row>
    <row r="817" spans="1:12" ht="15" customHeight="1" x14ac:dyDescent="0.25">
      <c r="A817" s="42" t="str" cm="1">
        <f t="array" ref="A817">IFERROR(INDEX(_xlfn._xlws.FILTER(Class_Players!A:A,Class_Players!B:B="Support"),QUOTIENT(ROW()-ROW($A$2),9)+1),"")</f>
        <v>THiRDEYEAiM</v>
      </c>
      <c r="B817" s="42" t="str">
        <f>_xlfn.XLOOKUP(A817,Class_Players!$A:$A,Class_Players!$B:$B,"")</f>
        <v>Support</v>
      </c>
      <c r="C817" s="38" t="str" cm="1">
        <f t="array" ref="C817">INDEX(Lookups!$D$2:$D$10,MOD(ROW()-ROW($B$2),ROWS(Lookups!$D$2:$D$10))+1)</f>
        <v>Deployable Cover</v>
      </c>
      <c r="D817" s="38" t="str">
        <f>_xlfn.XLOOKUP(C817,Analysis_Gadgets!$C:$C,Analysis_Gadgets!$B:$B)</f>
        <v>Gadget</v>
      </c>
      <c r="E817" s="43">
        <v>173</v>
      </c>
      <c r="F817" s="43">
        <f>_xlfn.XLOOKUP(A817,Class_Players!A:A,Class_Players!G:G)</f>
        <v>127</v>
      </c>
      <c r="G817" s="43">
        <f t="shared" si="218"/>
        <v>1.3622047244094488</v>
      </c>
      <c r="H817" s="43">
        <f>_xlfn.XLOOKUP(A817,Class_Players!$A:$A,Class_Players!$F:$F,"")</f>
        <v>9549</v>
      </c>
      <c r="I817" s="44">
        <f t="shared" si="219"/>
        <v>1.8117080322546865E-2</v>
      </c>
      <c r="J817" s="43">
        <f t="shared" si="210"/>
        <v>0</v>
      </c>
      <c r="K817" s="44" cm="1">
        <f t="array" ref="K817">IF(D817="Gadget",_xlfn.IFS(I817&gt;=0.2,0.5,I817&gt;=0.1,0.35,I817&gt;=0.05,0.2,TRUE,0),IF(D817="Grenade",_xlfn.IFS(I817&gt;=0.2,1,I817&gt;=0.1,0.7,I817&gt;=0.05,0.4,TRUE,0),0))</f>
        <v>0</v>
      </c>
      <c r="L817" s="57">
        <f t="shared" si="226"/>
        <v>0</v>
      </c>
    </row>
    <row r="818" spans="1:12" ht="15" customHeight="1" x14ac:dyDescent="0.25">
      <c r="A818" s="42" t="str" cm="1">
        <f t="array" ref="A818">IFERROR(INDEX(_xlfn._xlws.FILTER(Class_Players!A:A,Class_Players!B:B="Support"),QUOTIENT(ROW()-ROW($A$2),9)+1),"")</f>
        <v>THiRDEYEAiM</v>
      </c>
      <c r="B818" s="42" t="str">
        <f>_xlfn.XLOOKUP(A818,Class_Players!$A:$A,Class_Players!$B:$B,"")</f>
        <v>Support</v>
      </c>
      <c r="C818" s="38" t="str" cm="1">
        <f t="array" ref="C818">INDEX(Lookups!$D$2:$D$10,MOD(ROW()-ROW($B$2),ROWS(Lookups!$D$2:$D$10))+1)</f>
        <v>Supply Pouch</v>
      </c>
      <c r="D818" s="38" t="str">
        <f>_xlfn.XLOOKUP(C818,Analysis_Gadgets!$C:$C,Analysis_Gadgets!$B:$B)</f>
        <v>Gadget</v>
      </c>
      <c r="E818" s="43">
        <v>2102</v>
      </c>
      <c r="F818" s="43">
        <f>_xlfn.XLOOKUP(A818,Class_Players!A:A,Class_Players!G:G)</f>
        <v>127</v>
      </c>
      <c r="G818" s="43">
        <f t="shared" si="218"/>
        <v>16.551181102362204</v>
      </c>
      <c r="H818" s="43">
        <f>_xlfn.XLOOKUP(A818,Class_Players!$A:$A,Class_Players!$F:$F,"")</f>
        <v>9549</v>
      </c>
      <c r="I818" s="44">
        <f t="shared" si="219"/>
        <v>0.22012776206932663</v>
      </c>
      <c r="J818" s="43">
        <f t="shared" si="210"/>
        <v>1</v>
      </c>
      <c r="K818" s="44" cm="1">
        <f t="array" ref="K818">IF(D818="Gadget",_xlfn.IFS(I818&gt;=0.2,0.5,I818&gt;=0.1,0.35,I818&gt;=0.05,0.2,TRUE,0),IF(D818="Grenade",_xlfn.IFS(I818&gt;=0.2,1,I818&gt;=0.1,0.7,I818&gt;=0.05,0.4,TRUE,0),0))</f>
        <v>0.5</v>
      </c>
      <c r="L818" s="57">
        <f t="shared" si="226"/>
        <v>0.7142857142857143</v>
      </c>
    </row>
    <row r="819" spans="1:12" ht="15" customHeight="1" x14ac:dyDescent="0.25">
      <c r="A819" s="42" t="str" cm="1">
        <f t="array" ref="A819">IFERROR(INDEX(_xlfn._xlws.FILTER(Class_Players!A:A,Class_Players!B:B="Support"),QUOTIENT(ROW()-ROW($A$2),9)+1),"")</f>
        <v>THiRDEYEAiM</v>
      </c>
      <c r="B819" s="42" t="str">
        <f>_xlfn.XLOOKUP(A819,Class_Players!$A:$A,Class_Players!$B:$B,"")</f>
        <v>Support</v>
      </c>
      <c r="C819" s="38" t="str" cm="1">
        <f t="array" ref="C819">INDEX(Lookups!$D$2:$D$10,MOD(ROW()-ROW($B$2),ROWS(Lookups!$D$2:$D$10))+1)</f>
        <v>Smoke Grenade</v>
      </c>
      <c r="D819" s="38" t="str">
        <f>_xlfn.XLOOKUP(C819,Analysis_Gadgets!$C:$C,Analysis_Gadgets!$B:$B)</f>
        <v>Grenade</v>
      </c>
      <c r="E819" s="43">
        <v>2224</v>
      </c>
      <c r="F819" s="43">
        <f>_xlfn.XLOOKUP(A819,Class_Players!A:A,Class_Players!G:G)</f>
        <v>127</v>
      </c>
      <c r="G819" s="43">
        <f t="shared" si="218"/>
        <v>17.511811023622048</v>
      </c>
      <c r="H819" s="43">
        <f>_xlfn.XLOOKUP(A819,Class_Players!$A:$A,Class_Players!$F:$F,"")</f>
        <v>9549</v>
      </c>
      <c r="I819" s="44">
        <f t="shared" si="219"/>
        <v>0.23290396900198973</v>
      </c>
      <c r="J819" s="43">
        <f t="shared" si="210"/>
        <v>1</v>
      </c>
      <c r="K819" s="44" cm="1">
        <f t="array" ref="K819">IF(D819="Gadget",_xlfn.IFS(I819&gt;=0.2,0.5,I819&gt;=0.1,0.35,I819&gt;=0.05,0.2,TRUE,0),IF(D819="Grenade",_xlfn.IFS(I819&gt;=0.2,1,I819&gt;=0.1,0.7,I819&gt;=0.05,0.4,TRUE,0),0))</f>
        <v>1</v>
      </c>
      <c r="L819" s="57">
        <f t="shared" ref="L819:L820" si="227">IF($K819=0,0,$K819 / SUMIFS($K:$K,$A:$A,$A819,$D:$D,"Grenade"))</f>
        <v>0.58823529411764708</v>
      </c>
    </row>
    <row r="820" spans="1:12" ht="15" customHeight="1" x14ac:dyDescent="0.25">
      <c r="A820" s="42" t="str" cm="1">
        <f t="array" ref="A820">IFERROR(INDEX(_xlfn._xlws.FILTER(Class_Players!A:A,Class_Players!B:B="Support"),QUOTIENT(ROW()-ROW($A$2),9)+1),"")</f>
        <v>THiRDEYEAiM</v>
      </c>
      <c r="B820" s="42" t="str">
        <f>_xlfn.XLOOKUP(A820,Class_Players!$A:$A,Class_Players!$B:$B,"")</f>
        <v>Support</v>
      </c>
      <c r="C820" s="38" t="str" cm="1">
        <f t="array" ref="C820">INDEX(Lookups!$D$2:$D$10,MOD(ROW()-ROW($B$2),ROWS(Lookups!$D$2:$D$10))+1)</f>
        <v>Incendiary Grenade</v>
      </c>
      <c r="D820" s="38" t="str">
        <f>_xlfn.XLOOKUP(C820,Analysis_Gadgets!$C:$C,Analysis_Gadgets!$B:$B)</f>
        <v>Grenade</v>
      </c>
      <c r="E820" s="43">
        <v>1172</v>
      </c>
      <c r="F820" s="43">
        <f>_xlfn.XLOOKUP(A820,Class_Players!A:A,Class_Players!G:G)</f>
        <v>127</v>
      </c>
      <c r="G820" s="43">
        <f t="shared" si="218"/>
        <v>9.228346456692913</v>
      </c>
      <c r="H820" s="43">
        <f>_xlfn.XLOOKUP(A820,Class_Players!$A:$A,Class_Players!$F:$F,"")</f>
        <v>9549</v>
      </c>
      <c r="I820" s="44">
        <f t="shared" si="219"/>
        <v>0.12273536495968164</v>
      </c>
      <c r="J820" s="43">
        <f t="shared" si="210"/>
        <v>1</v>
      </c>
      <c r="K820" s="44" cm="1">
        <f t="array" ref="K820">IF(D820="Gadget",_xlfn.IFS(I820&gt;=0.2,0.5,I820&gt;=0.1,0.35,I820&gt;=0.05,0.2,TRUE,0),IF(D820="Grenade",_xlfn.IFS(I820&gt;=0.2,1,I820&gt;=0.1,0.7,I820&gt;=0.05,0.4,TRUE,0),0))</f>
        <v>0.7</v>
      </c>
      <c r="L820" s="57">
        <f t="shared" si="227"/>
        <v>0.41176470588235292</v>
      </c>
    </row>
    <row r="821" spans="1:12" ht="15" customHeight="1" x14ac:dyDescent="0.25">
      <c r="A821" s="42" t="str" cm="1">
        <f t="array" ref="A821">IFERROR(INDEX(_xlfn._xlws.FILTER(Class_Players!A:A,Class_Players!B:B="Support"),QUOTIENT(ROW()-ROW($A$2),9)+1),"")</f>
        <v>trinity</v>
      </c>
      <c r="B821" s="42" t="str">
        <f>_xlfn.XLOOKUP(A821,Class_Players!$A:$A,Class_Players!$B:$B,"")</f>
        <v>Support</v>
      </c>
      <c r="C821" s="38" t="str" cm="1">
        <f t="array" ref="C821">INDEX(Lookups!$D$2:$D$10,MOD(ROW()-ROW($B$2),ROWS(Lookups!$D$2:$D$10))+1)</f>
        <v>GPDIS (Grenade intercept system)</v>
      </c>
      <c r="D821" s="38" t="str">
        <f>_xlfn.XLOOKUP(C821,Analysis_Gadgets!$C:$C,Analysis_Gadgets!$B:$B)</f>
        <v>Gadget</v>
      </c>
      <c r="E821" s="43">
        <v>0</v>
      </c>
      <c r="F821" s="43">
        <f>_xlfn.XLOOKUP(A821,Class_Players!A:A,Class_Players!G:G)</f>
        <v>137</v>
      </c>
      <c r="G821" s="43">
        <f t="shared" si="218"/>
        <v>0</v>
      </c>
      <c r="H821" s="43">
        <f>_xlfn.XLOOKUP(A821,Class_Players!$A:$A,Class_Players!$F:$F,"")</f>
        <v>9496</v>
      </c>
      <c r="I821" s="44">
        <f t="shared" si="219"/>
        <v>0</v>
      </c>
      <c r="J821" s="43">
        <f t="shared" si="210"/>
        <v>0</v>
      </c>
      <c r="K821" s="44" cm="1">
        <f t="array" ref="K821">IF(D821="Gadget",_xlfn.IFS(I821&gt;=0.2,0.5,I821&gt;=0.1,0.35,I821&gt;=0.05,0.2,TRUE,0),IF(D821="Grenade",_xlfn.IFS(I821&gt;=0.2,1,I821&gt;=0.1,0.7,I821&gt;=0.05,0.4,TRUE,0),0))</f>
        <v>0</v>
      </c>
      <c r="L821" s="57">
        <f t="shared" ref="L821:L827" si="228">IF($K821=0,0,$K821 / SUMIFS($K:$K,$A:$A,$A821,$D:$D,"Gadget"))</f>
        <v>0</v>
      </c>
    </row>
    <row r="822" spans="1:12" ht="15" customHeight="1" x14ac:dyDescent="0.25">
      <c r="A822" s="42" t="str" cm="1">
        <f t="array" ref="A822">IFERROR(INDEX(_xlfn._xlws.FILTER(Class_Players!A:A,Class_Players!B:B="Support"),QUOTIENT(ROW()-ROW($A$2),9)+1),"")</f>
        <v>trinity</v>
      </c>
      <c r="B822" s="42" t="str">
        <f>_xlfn.XLOOKUP(A822,Class_Players!$A:$A,Class_Players!$B:$B,"")</f>
        <v>Support</v>
      </c>
      <c r="C822" s="38" t="str" cm="1">
        <f t="array" ref="C822">INDEX(Lookups!$D$2:$D$10,MOD(ROW()-ROW($B$2),ROWS(Lookups!$D$2:$D$10))+1)</f>
        <v>MP-APS (Missile intercept system)</v>
      </c>
      <c r="D822" s="38" t="str">
        <f>_xlfn.XLOOKUP(C822,Analysis_Gadgets!$C:$C,Analysis_Gadgets!$B:$B)</f>
        <v>Gadget</v>
      </c>
      <c r="E822" s="43">
        <v>5</v>
      </c>
      <c r="F822" s="43">
        <f>_xlfn.XLOOKUP(A822,Class_Players!A:A,Class_Players!G:G)</f>
        <v>137</v>
      </c>
      <c r="G822" s="43">
        <f t="shared" si="218"/>
        <v>3.6496350364963501E-2</v>
      </c>
      <c r="H822" s="43">
        <f>_xlfn.XLOOKUP(A822,Class_Players!$A:$A,Class_Players!$F:$F,"")</f>
        <v>9496</v>
      </c>
      <c r="I822" s="44">
        <f t="shared" si="219"/>
        <v>5.2653748946925017E-4</v>
      </c>
      <c r="J822" s="43">
        <f t="shared" si="210"/>
        <v>0</v>
      </c>
      <c r="K822" s="44" cm="1">
        <f t="array" ref="K822">IF(D822="Gadget",_xlfn.IFS(I822&gt;=0.2,0.5,I822&gt;=0.1,0.35,I822&gt;=0.05,0.2,TRUE,0),IF(D822="Grenade",_xlfn.IFS(I822&gt;=0.2,1,I822&gt;=0.1,0.7,I822&gt;=0.05,0.4,TRUE,0),0))</f>
        <v>0</v>
      </c>
      <c r="L822" s="57">
        <f t="shared" si="228"/>
        <v>0</v>
      </c>
    </row>
    <row r="823" spans="1:12" ht="15" customHeight="1" x14ac:dyDescent="0.25">
      <c r="A823" s="42" t="str" cm="1">
        <f t="array" ref="A823">IFERROR(INDEX(_xlfn._xlws.FILTER(Class_Players!A:A,Class_Players!B:B="Support"),QUOTIENT(ROW()-ROW($A$2),9)+1),"")</f>
        <v>trinity</v>
      </c>
      <c r="B823" s="42" t="str">
        <f>_xlfn.XLOOKUP(A823,Class_Players!$A:$A,Class_Players!$B:$B,"")</f>
        <v>Support</v>
      </c>
      <c r="C823" s="38" t="str" cm="1">
        <f t="array" ref="C823">INDEX(Lookups!$D$2:$D$10,MOD(ROW()-ROW($B$2),ROWS(Lookups!$D$2:$D$10))+1)</f>
        <v>LWCMS (Mortar)</v>
      </c>
      <c r="D823" s="38" t="str">
        <f>_xlfn.XLOOKUP(C823,Analysis_Gadgets!$C:$C,Analysis_Gadgets!$B:$B)</f>
        <v>Gadget</v>
      </c>
      <c r="E823" s="43">
        <v>48</v>
      </c>
      <c r="F823" s="43">
        <f>_xlfn.XLOOKUP(A823,Class_Players!A:A,Class_Players!G:G)</f>
        <v>137</v>
      </c>
      <c r="G823" s="43">
        <f t="shared" si="218"/>
        <v>0.35036496350364965</v>
      </c>
      <c r="H823" s="43">
        <f>_xlfn.XLOOKUP(A823,Class_Players!$A:$A,Class_Players!$F:$F,"")</f>
        <v>9496</v>
      </c>
      <c r="I823" s="44">
        <f t="shared" si="219"/>
        <v>5.054759898904802E-3</v>
      </c>
      <c r="J823" s="43">
        <f t="shared" si="210"/>
        <v>0</v>
      </c>
      <c r="K823" s="44" cm="1">
        <f t="array" ref="K823">IF(D823="Gadget",_xlfn.IFS(I823&gt;=0.2,0.5,I823&gt;=0.1,0.35,I823&gt;=0.05,0.2,TRUE,0),IF(D823="Grenade",_xlfn.IFS(I823&gt;=0.2,1,I823&gt;=0.1,0.7,I823&gt;=0.05,0.4,TRUE,0),0))</f>
        <v>0</v>
      </c>
      <c r="L823" s="57">
        <f t="shared" si="228"/>
        <v>0</v>
      </c>
    </row>
    <row r="824" spans="1:12" ht="15" customHeight="1" x14ac:dyDescent="0.25">
      <c r="A824" s="42" t="str" cm="1">
        <f t="array" ref="A824">IFERROR(INDEX(_xlfn._xlws.FILTER(Class_Players!A:A,Class_Players!B:B="Support"),QUOTIENT(ROW()-ROW($A$2),9)+1),"")</f>
        <v>trinity</v>
      </c>
      <c r="B824" s="42" t="str">
        <f>_xlfn.XLOOKUP(A824,Class_Players!$A:$A,Class_Players!$B:$B,"")</f>
        <v>Support</v>
      </c>
      <c r="C824" s="38" t="str" cm="1">
        <f t="array" ref="C824">INDEX(Lookups!$D$2:$D$10,MOD(ROW()-ROW($B$2),ROWS(Lookups!$D$2:$D$10))+1)</f>
        <v>M320A1 SMK (Smoke Grenade Launcher)</v>
      </c>
      <c r="D824" s="38" t="str">
        <f>_xlfn.XLOOKUP(C824,Analysis_Gadgets!$C:$C,Analysis_Gadgets!$B:$B)</f>
        <v>Gadget</v>
      </c>
      <c r="E824" s="43">
        <v>26</v>
      </c>
      <c r="F824" s="43">
        <f>_xlfn.XLOOKUP(A824,Class_Players!A:A,Class_Players!G:G)</f>
        <v>137</v>
      </c>
      <c r="G824" s="43">
        <f t="shared" si="218"/>
        <v>0.18978102189781021</v>
      </c>
      <c r="H824" s="43">
        <f>_xlfn.XLOOKUP(A824,Class_Players!$A:$A,Class_Players!$F:$F,"")</f>
        <v>9496</v>
      </c>
      <c r="I824" s="44">
        <f t="shared" si="219"/>
        <v>2.7379949452401011E-3</v>
      </c>
      <c r="J824" s="43">
        <f t="shared" si="210"/>
        <v>0</v>
      </c>
      <c r="K824" s="44" cm="1">
        <f t="array" ref="K824">IF(D824="Gadget",_xlfn.IFS(I824&gt;=0.2,0.5,I824&gt;=0.1,0.35,I824&gt;=0.05,0.2,TRUE,0),IF(D824="Grenade",_xlfn.IFS(I824&gt;=0.2,1,I824&gt;=0.1,0.7,I824&gt;=0.05,0.4,TRUE,0),0))</f>
        <v>0</v>
      </c>
      <c r="L824" s="57">
        <f t="shared" si="228"/>
        <v>0</v>
      </c>
    </row>
    <row r="825" spans="1:12" ht="15" customHeight="1" x14ac:dyDescent="0.25">
      <c r="A825" s="42" t="str" cm="1">
        <f t="array" ref="A825">IFERROR(INDEX(_xlfn._xlws.FILTER(Class_Players!A:A,Class_Players!B:B="Support"),QUOTIENT(ROW()-ROW($A$2),9)+1),"")</f>
        <v>trinity</v>
      </c>
      <c r="B825" s="42" t="str">
        <f>_xlfn.XLOOKUP(A825,Class_Players!$A:$A,Class_Players!$B:$B,"")</f>
        <v>Support</v>
      </c>
      <c r="C825" s="38" t="str" cm="1">
        <f t="array" ref="C825">INDEX(Lookups!$D$2:$D$10,MOD(ROW()-ROW($B$2),ROWS(Lookups!$D$2:$D$10))+1)</f>
        <v>SICH G1 WP (Incendiary Airburst Launcher)</v>
      </c>
      <c r="D825" s="38" t="str">
        <f>_xlfn.XLOOKUP(C825,Analysis_Gadgets!$C:$C,Analysis_Gadgets!$B:$B)</f>
        <v>Gadget</v>
      </c>
      <c r="E825" s="43">
        <v>0</v>
      </c>
      <c r="F825" s="43">
        <f>_xlfn.XLOOKUP(A825,Class_Players!A:A,Class_Players!G:G)</f>
        <v>137</v>
      </c>
      <c r="G825" s="43">
        <f t="shared" si="218"/>
        <v>0</v>
      </c>
      <c r="H825" s="43">
        <f>_xlfn.XLOOKUP(A825,Class_Players!$A:$A,Class_Players!$F:$F,"")</f>
        <v>9496</v>
      </c>
      <c r="I825" s="44">
        <f t="shared" si="219"/>
        <v>0</v>
      </c>
      <c r="J825" s="43">
        <f t="shared" si="210"/>
        <v>0</v>
      </c>
      <c r="K825" s="44" cm="1">
        <f t="array" ref="K825">IF(D825="Gadget",_xlfn.IFS(I825&gt;=0.2,0.5,I825&gt;=0.1,0.35,I825&gt;=0.05,0.2,TRUE,0),IF(D825="Grenade",_xlfn.IFS(I825&gt;=0.2,1,I825&gt;=0.1,0.7,I825&gt;=0.05,0.4,TRUE,0),0))</f>
        <v>0</v>
      </c>
      <c r="L825" s="57">
        <f t="shared" si="228"/>
        <v>0</v>
      </c>
    </row>
    <row r="826" spans="1:12" ht="15" customHeight="1" x14ac:dyDescent="0.25">
      <c r="A826" s="42" t="str" cm="1">
        <f t="array" ref="A826">IFERROR(INDEX(_xlfn._xlws.FILTER(Class_Players!A:A,Class_Players!B:B="Support"),QUOTIENT(ROW()-ROW($A$2),9)+1),"")</f>
        <v>trinity</v>
      </c>
      <c r="B826" s="42" t="str">
        <f>_xlfn.XLOOKUP(A826,Class_Players!$A:$A,Class_Players!$B:$B,"")</f>
        <v>Support</v>
      </c>
      <c r="C826" s="38" t="str" cm="1">
        <f t="array" ref="C826">INDEX(Lookups!$D$2:$D$10,MOD(ROW()-ROW($B$2),ROWS(Lookups!$D$2:$D$10))+1)</f>
        <v>Deployable Cover</v>
      </c>
      <c r="D826" s="38" t="str">
        <f>_xlfn.XLOOKUP(C826,Analysis_Gadgets!$C:$C,Analysis_Gadgets!$B:$B)</f>
        <v>Gadget</v>
      </c>
      <c r="E826" s="43">
        <v>1478</v>
      </c>
      <c r="F826" s="43">
        <f>_xlfn.XLOOKUP(A826,Class_Players!A:A,Class_Players!G:G)</f>
        <v>137</v>
      </c>
      <c r="G826" s="43">
        <f t="shared" si="218"/>
        <v>10.788321167883211</v>
      </c>
      <c r="H826" s="43">
        <f>_xlfn.XLOOKUP(A826,Class_Players!$A:$A,Class_Players!$F:$F,"")</f>
        <v>9496</v>
      </c>
      <c r="I826" s="44">
        <f t="shared" si="219"/>
        <v>0.15564448188711036</v>
      </c>
      <c r="J826" s="43">
        <f t="shared" si="210"/>
        <v>1</v>
      </c>
      <c r="K826" s="44" cm="1">
        <f t="array" ref="K826">IF(D826="Gadget",_xlfn.IFS(I826&gt;=0.2,0.5,I826&gt;=0.1,0.35,I826&gt;=0.05,0.2,TRUE,0),IF(D826="Grenade",_xlfn.IFS(I826&gt;=0.2,1,I826&gt;=0.1,0.7,I826&gt;=0.05,0.4,TRUE,0),0))</f>
        <v>0.35</v>
      </c>
      <c r="L826" s="57">
        <f t="shared" si="228"/>
        <v>1</v>
      </c>
    </row>
    <row r="827" spans="1:12" ht="15" customHeight="1" x14ac:dyDescent="0.25">
      <c r="A827" s="42" t="str" cm="1">
        <f t="array" ref="A827">IFERROR(INDEX(_xlfn._xlws.FILTER(Class_Players!A:A,Class_Players!B:B="Support"),QUOTIENT(ROW()-ROW($A$2),9)+1),"")</f>
        <v>trinity</v>
      </c>
      <c r="B827" s="42" t="str">
        <f>_xlfn.XLOOKUP(A827,Class_Players!$A:$A,Class_Players!$B:$B,"")</f>
        <v>Support</v>
      </c>
      <c r="C827" s="38" t="str" cm="1">
        <f t="array" ref="C827">INDEX(Lookups!$D$2:$D$10,MOD(ROW()-ROW($B$2),ROWS(Lookups!$D$2:$D$10))+1)</f>
        <v>Supply Pouch</v>
      </c>
      <c r="D827" s="38" t="str">
        <f>_xlfn.XLOOKUP(C827,Analysis_Gadgets!$C:$C,Analysis_Gadgets!$B:$B)</f>
        <v>Gadget</v>
      </c>
      <c r="E827" s="43">
        <v>0</v>
      </c>
      <c r="F827" s="43">
        <f>_xlfn.XLOOKUP(A827,Class_Players!A:A,Class_Players!G:G)</f>
        <v>137</v>
      </c>
      <c r="G827" s="43">
        <f t="shared" si="218"/>
        <v>0</v>
      </c>
      <c r="H827" s="43">
        <f>_xlfn.XLOOKUP(A827,Class_Players!$A:$A,Class_Players!$F:$F,"")</f>
        <v>9496</v>
      </c>
      <c r="I827" s="44">
        <f t="shared" si="219"/>
        <v>0</v>
      </c>
      <c r="J827" s="43">
        <f t="shared" si="210"/>
        <v>0</v>
      </c>
      <c r="K827" s="44" cm="1">
        <f t="array" ref="K827">IF(D827="Gadget",_xlfn.IFS(I827&gt;=0.2,0.5,I827&gt;=0.1,0.35,I827&gt;=0.05,0.2,TRUE,0),IF(D827="Grenade",_xlfn.IFS(I827&gt;=0.2,1,I827&gt;=0.1,0.7,I827&gt;=0.05,0.4,TRUE,0),0))</f>
        <v>0</v>
      </c>
      <c r="L827" s="57">
        <f t="shared" si="228"/>
        <v>0</v>
      </c>
    </row>
    <row r="828" spans="1:12" ht="15" customHeight="1" x14ac:dyDescent="0.25">
      <c r="A828" s="42" t="str" cm="1">
        <f t="array" ref="A828">IFERROR(INDEX(_xlfn._xlws.FILTER(Class_Players!A:A,Class_Players!B:B="Support"),QUOTIENT(ROW()-ROW($A$2),9)+1),"")</f>
        <v>trinity</v>
      </c>
      <c r="B828" s="42" t="str">
        <f>_xlfn.XLOOKUP(A828,Class_Players!$A:$A,Class_Players!$B:$B,"")</f>
        <v>Support</v>
      </c>
      <c r="C828" s="38" t="str" cm="1">
        <f t="array" ref="C828">INDEX(Lookups!$D$2:$D$10,MOD(ROW()-ROW($B$2),ROWS(Lookups!$D$2:$D$10))+1)</f>
        <v>Smoke Grenade</v>
      </c>
      <c r="D828" s="38" t="str">
        <f>_xlfn.XLOOKUP(C828,Analysis_Gadgets!$C:$C,Analysis_Gadgets!$B:$B)</f>
        <v>Grenade</v>
      </c>
      <c r="E828" s="43">
        <v>5319</v>
      </c>
      <c r="F828" s="43">
        <f>_xlfn.XLOOKUP(A828,Class_Players!A:A,Class_Players!G:G)</f>
        <v>137</v>
      </c>
      <c r="G828" s="43">
        <f t="shared" si="218"/>
        <v>38.824817518248175</v>
      </c>
      <c r="H828" s="43">
        <f>_xlfn.XLOOKUP(A828,Class_Players!$A:$A,Class_Players!$F:$F,"")</f>
        <v>9496</v>
      </c>
      <c r="I828" s="44">
        <f t="shared" si="219"/>
        <v>0.56013058129738835</v>
      </c>
      <c r="J828" s="43">
        <f t="shared" si="210"/>
        <v>1</v>
      </c>
      <c r="K828" s="44" cm="1">
        <f t="array" ref="K828">IF(D828="Gadget",_xlfn.IFS(I828&gt;=0.2,0.5,I828&gt;=0.1,0.35,I828&gt;=0.05,0.2,TRUE,0),IF(D828="Grenade",_xlfn.IFS(I828&gt;=0.2,1,I828&gt;=0.1,0.7,I828&gt;=0.05,0.4,TRUE,0),0))</f>
        <v>1</v>
      </c>
      <c r="L828" s="57">
        <f t="shared" ref="L828:L829" si="229">IF($K828=0,0,$K828 / SUMIFS($K:$K,$A:$A,$A828,$D:$D,"Grenade"))</f>
        <v>1</v>
      </c>
    </row>
    <row r="829" spans="1:12" ht="15" customHeight="1" x14ac:dyDescent="0.25">
      <c r="A829" s="42" t="str" cm="1">
        <f t="array" ref="A829">IFERROR(INDEX(_xlfn._xlws.FILTER(Class_Players!A:A,Class_Players!B:B="Support"),QUOTIENT(ROW()-ROW($A$2),9)+1),"")</f>
        <v>trinity</v>
      </c>
      <c r="B829" s="42" t="str">
        <f>_xlfn.XLOOKUP(A829,Class_Players!$A:$A,Class_Players!$B:$B,"")</f>
        <v>Support</v>
      </c>
      <c r="C829" s="38" t="str" cm="1">
        <f t="array" ref="C829">INDEX(Lookups!$D$2:$D$10,MOD(ROW()-ROW($B$2),ROWS(Lookups!$D$2:$D$10))+1)</f>
        <v>Incendiary Grenade</v>
      </c>
      <c r="D829" s="38" t="str">
        <f>_xlfn.XLOOKUP(C829,Analysis_Gadgets!$C:$C,Analysis_Gadgets!$B:$B)</f>
        <v>Grenade</v>
      </c>
      <c r="E829" s="43">
        <v>0</v>
      </c>
      <c r="F829" s="43">
        <f>_xlfn.XLOOKUP(A829,Class_Players!A:A,Class_Players!G:G)</f>
        <v>137</v>
      </c>
      <c r="G829" s="43">
        <f t="shared" si="218"/>
        <v>0</v>
      </c>
      <c r="H829" s="43">
        <f>_xlfn.XLOOKUP(A829,Class_Players!$A:$A,Class_Players!$F:$F,"")</f>
        <v>9496</v>
      </c>
      <c r="I829" s="44">
        <f t="shared" si="219"/>
        <v>0</v>
      </c>
      <c r="J829" s="43">
        <f t="shared" si="210"/>
        <v>0</v>
      </c>
      <c r="K829" s="44" cm="1">
        <f t="array" ref="K829">IF(D829="Gadget",_xlfn.IFS(I829&gt;=0.2,0.5,I829&gt;=0.1,0.35,I829&gt;=0.05,0.2,TRUE,0),IF(D829="Grenade",_xlfn.IFS(I829&gt;=0.2,1,I829&gt;=0.1,0.7,I829&gt;=0.05,0.4,TRUE,0),0))</f>
        <v>0</v>
      </c>
      <c r="L829" s="57">
        <f t="shared" si="229"/>
        <v>0</v>
      </c>
    </row>
    <row r="830" spans="1:12" ht="15" customHeight="1" x14ac:dyDescent="0.25">
      <c r="A830" s="42" t="str" cm="1">
        <f t="array" ref="A830">IFERROR(INDEX(_xlfn._xlws.FILTER(Class_Players!A:A,Class_Players!B:B="Support"),QUOTIENT(ROW()-ROW($A$2),9)+1),"")</f>
        <v>DieselChad</v>
      </c>
      <c r="B830" s="42" t="str">
        <f>_xlfn.XLOOKUP(A830,Class_Players!$A:$A,Class_Players!$B:$B,"")</f>
        <v>Support</v>
      </c>
      <c r="C830" s="38" t="str" cm="1">
        <f t="array" ref="C830">INDEX(Lookups!$D$2:$D$10,MOD(ROW()-ROW($B$2),ROWS(Lookups!$D$2:$D$10))+1)</f>
        <v>GPDIS (Grenade intercept system)</v>
      </c>
      <c r="D830" s="38" t="str">
        <f>_xlfn.XLOOKUP(C830,Analysis_Gadgets!$C:$C,Analysis_Gadgets!$B:$B)</f>
        <v>Gadget</v>
      </c>
      <c r="E830" s="43">
        <v>179</v>
      </c>
      <c r="F830" s="43">
        <f>_xlfn.XLOOKUP(A830,Class_Players!A:A,Class_Players!G:G)</f>
        <v>140</v>
      </c>
      <c r="G830" s="43">
        <f t="shared" si="218"/>
        <v>1.2785714285714285</v>
      </c>
      <c r="H830" s="43">
        <f>_xlfn.XLOOKUP(A830,Class_Players!$A:$A,Class_Players!$F:$F,"")</f>
        <v>9453</v>
      </c>
      <c r="I830" s="44">
        <f t="shared" si="219"/>
        <v>1.8935787580662222E-2</v>
      </c>
      <c r="J830" s="43">
        <f t="shared" si="210"/>
        <v>0</v>
      </c>
      <c r="K830" s="44" cm="1">
        <f t="array" ref="K830">IF(D830="Gadget",_xlfn.IFS(I830&gt;=0.2,0.5,I830&gt;=0.1,0.35,I830&gt;=0.05,0.2,TRUE,0),IF(D830="Grenade",_xlfn.IFS(I830&gt;=0.2,1,I830&gt;=0.1,0.7,I830&gt;=0.05,0.4,TRUE,0),0))</f>
        <v>0</v>
      </c>
      <c r="L830" s="57">
        <f t="shared" ref="L830:L836" si="230">IF($K830=0,0,$K830 / SUMIFS($K:$K,$A:$A,$A830,$D:$D,"Gadget"))</f>
        <v>0</v>
      </c>
    </row>
    <row r="831" spans="1:12" ht="15" customHeight="1" x14ac:dyDescent="0.25">
      <c r="A831" s="42" t="str" cm="1">
        <f t="array" ref="A831">IFERROR(INDEX(_xlfn._xlws.FILTER(Class_Players!A:A,Class_Players!B:B="Support"),QUOTIENT(ROW()-ROW($A$2),9)+1),"")</f>
        <v>DieselChad</v>
      </c>
      <c r="B831" s="42" t="str">
        <f>_xlfn.XLOOKUP(A831,Class_Players!$A:$A,Class_Players!$B:$B,"")</f>
        <v>Support</v>
      </c>
      <c r="C831" s="38" t="str" cm="1">
        <f t="array" ref="C831">INDEX(Lookups!$D$2:$D$10,MOD(ROW()-ROW($B$2),ROWS(Lookups!$D$2:$D$10))+1)</f>
        <v>MP-APS (Missile intercept system)</v>
      </c>
      <c r="D831" s="38" t="str">
        <f>_xlfn.XLOOKUP(C831,Analysis_Gadgets!$C:$C,Analysis_Gadgets!$B:$B)</f>
        <v>Gadget</v>
      </c>
      <c r="E831" s="43">
        <v>0</v>
      </c>
      <c r="F831" s="43">
        <f>_xlfn.XLOOKUP(A831,Class_Players!A:A,Class_Players!G:G)</f>
        <v>140</v>
      </c>
      <c r="G831" s="43">
        <f t="shared" si="218"/>
        <v>0</v>
      </c>
      <c r="H831" s="43">
        <f>_xlfn.XLOOKUP(A831,Class_Players!$A:$A,Class_Players!$F:$F,"")</f>
        <v>9453</v>
      </c>
      <c r="I831" s="44">
        <f t="shared" si="219"/>
        <v>0</v>
      </c>
      <c r="J831" s="43">
        <f t="shared" si="210"/>
        <v>0</v>
      </c>
      <c r="K831" s="44" cm="1">
        <f t="array" ref="K831">IF(D831="Gadget",_xlfn.IFS(I831&gt;=0.2,0.5,I831&gt;=0.1,0.35,I831&gt;=0.05,0.2,TRUE,0),IF(D831="Grenade",_xlfn.IFS(I831&gt;=0.2,1,I831&gt;=0.1,0.7,I831&gt;=0.05,0.4,TRUE,0),0))</f>
        <v>0</v>
      </c>
      <c r="L831" s="57">
        <f t="shared" si="230"/>
        <v>0</v>
      </c>
    </row>
    <row r="832" spans="1:12" ht="15" customHeight="1" x14ac:dyDescent="0.25">
      <c r="A832" s="42" t="str" cm="1">
        <f t="array" ref="A832">IFERROR(INDEX(_xlfn._xlws.FILTER(Class_Players!A:A,Class_Players!B:B="Support"),QUOTIENT(ROW()-ROW($A$2),9)+1),"")</f>
        <v>DieselChad</v>
      </c>
      <c r="B832" s="42" t="str">
        <f>_xlfn.XLOOKUP(A832,Class_Players!$A:$A,Class_Players!$B:$B,"")</f>
        <v>Support</v>
      </c>
      <c r="C832" s="38" t="str" cm="1">
        <f t="array" ref="C832">INDEX(Lookups!$D$2:$D$10,MOD(ROW()-ROW($B$2),ROWS(Lookups!$D$2:$D$10))+1)</f>
        <v>LWCMS (Mortar)</v>
      </c>
      <c r="D832" s="38" t="str">
        <f>_xlfn.XLOOKUP(C832,Analysis_Gadgets!$C:$C,Analysis_Gadgets!$B:$B)</f>
        <v>Gadget</v>
      </c>
      <c r="E832" s="43">
        <v>0</v>
      </c>
      <c r="F832" s="43">
        <f>_xlfn.XLOOKUP(A832,Class_Players!A:A,Class_Players!G:G)</f>
        <v>140</v>
      </c>
      <c r="G832" s="43">
        <f t="shared" si="218"/>
        <v>0</v>
      </c>
      <c r="H832" s="43">
        <f>_xlfn.XLOOKUP(A832,Class_Players!$A:$A,Class_Players!$F:$F,"")</f>
        <v>9453</v>
      </c>
      <c r="I832" s="44">
        <f t="shared" si="219"/>
        <v>0</v>
      </c>
      <c r="J832" s="43">
        <f t="shared" si="210"/>
        <v>0</v>
      </c>
      <c r="K832" s="44" cm="1">
        <f t="array" ref="K832">IF(D832="Gadget",_xlfn.IFS(I832&gt;=0.2,0.5,I832&gt;=0.1,0.35,I832&gt;=0.05,0.2,TRUE,0),IF(D832="Grenade",_xlfn.IFS(I832&gt;=0.2,1,I832&gt;=0.1,0.7,I832&gt;=0.05,0.4,TRUE,0),0))</f>
        <v>0</v>
      </c>
      <c r="L832" s="57">
        <f t="shared" si="230"/>
        <v>0</v>
      </c>
    </row>
    <row r="833" spans="1:12" ht="15" customHeight="1" x14ac:dyDescent="0.25">
      <c r="A833" s="42" t="str" cm="1">
        <f t="array" ref="A833">IFERROR(INDEX(_xlfn._xlws.FILTER(Class_Players!A:A,Class_Players!B:B="Support"),QUOTIENT(ROW()-ROW($A$2),9)+1),"")</f>
        <v>DieselChad</v>
      </c>
      <c r="B833" s="42" t="str">
        <f>_xlfn.XLOOKUP(A833,Class_Players!$A:$A,Class_Players!$B:$B,"")</f>
        <v>Support</v>
      </c>
      <c r="C833" s="38" t="str" cm="1">
        <f t="array" ref="C833">INDEX(Lookups!$D$2:$D$10,MOD(ROW()-ROW($B$2),ROWS(Lookups!$D$2:$D$10))+1)</f>
        <v>M320A1 SMK (Smoke Grenade Launcher)</v>
      </c>
      <c r="D833" s="38" t="str">
        <f>_xlfn.XLOOKUP(C833,Analysis_Gadgets!$C:$C,Analysis_Gadgets!$B:$B)</f>
        <v>Gadget</v>
      </c>
      <c r="E833" s="43">
        <v>0</v>
      </c>
      <c r="F833" s="43">
        <f>_xlfn.XLOOKUP(A833,Class_Players!A:A,Class_Players!G:G)</f>
        <v>140</v>
      </c>
      <c r="G833" s="43">
        <f t="shared" si="218"/>
        <v>0</v>
      </c>
      <c r="H833" s="43">
        <f>_xlfn.XLOOKUP(A833,Class_Players!$A:$A,Class_Players!$F:$F,"")</f>
        <v>9453</v>
      </c>
      <c r="I833" s="44">
        <f t="shared" si="219"/>
        <v>0</v>
      </c>
      <c r="J833" s="43">
        <f t="shared" si="210"/>
        <v>0</v>
      </c>
      <c r="K833" s="44" cm="1">
        <f t="array" ref="K833">IF(D833="Gadget",_xlfn.IFS(I833&gt;=0.2,0.5,I833&gt;=0.1,0.35,I833&gt;=0.05,0.2,TRUE,0),IF(D833="Grenade",_xlfn.IFS(I833&gt;=0.2,1,I833&gt;=0.1,0.7,I833&gt;=0.05,0.4,TRUE,0),0))</f>
        <v>0</v>
      </c>
      <c r="L833" s="57">
        <f t="shared" si="230"/>
        <v>0</v>
      </c>
    </row>
    <row r="834" spans="1:12" ht="15" customHeight="1" x14ac:dyDescent="0.25">
      <c r="A834" s="42" t="str" cm="1">
        <f t="array" ref="A834">IFERROR(INDEX(_xlfn._xlws.FILTER(Class_Players!A:A,Class_Players!B:B="Support"),QUOTIENT(ROW()-ROW($A$2),9)+1),"")</f>
        <v>DieselChad</v>
      </c>
      <c r="B834" s="42" t="str">
        <f>_xlfn.XLOOKUP(A834,Class_Players!$A:$A,Class_Players!$B:$B,"")</f>
        <v>Support</v>
      </c>
      <c r="C834" s="38" t="str" cm="1">
        <f t="array" ref="C834">INDEX(Lookups!$D$2:$D$10,MOD(ROW()-ROW($B$2),ROWS(Lookups!$D$2:$D$10))+1)</f>
        <v>SICH G1 WP (Incendiary Airburst Launcher)</v>
      </c>
      <c r="D834" s="38" t="str">
        <f>_xlfn.XLOOKUP(C834,Analysis_Gadgets!$C:$C,Analysis_Gadgets!$B:$B)</f>
        <v>Gadget</v>
      </c>
      <c r="E834" s="43">
        <v>0</v>
      </c>
      <c r="F834" s="43">
        <f>_xlfn.XLOOKUP(A834,Class_Players!A:A,Class_Players!G:G)</f>
        <v>140</v>
      </c>
      <c r="G834" s="43">
        <f t="shared" si="218"/>
        <v>0</v>
      </c>
      <c r="H834" s="43">
        <f>_xlfn.XLOOKUP(A834,Class_Players!$A:$A,Class_Players!$F:$F,"")</f>
        <v>9453</v>
      </c>
      <c r="I834" s="44">
        <f t="shared" si="219"/>
        <v>0</v>
      </c>
      <c r="J834" s="43">
        <f t="shared" si="210"/>
        <v>0</v>
      </c>
      <c r="K834" s="44" cm="1">
        <f t="array" ref="K834">IF(D834="Gadget",_xlfn.IFS(I834&gt;=0.2,0.5,I834&gt;=0.1,0.35,I834&gt;=0.05,0.2,TRUE,0),IF(D834="Grenade",_xlfn.IFS(I834&gt;=0.2,1,I834&gt;=0.1,0.7,I834&gt;=0.05,0.4,TRUE,0),0))</f>
        <v>0</v>
      </c>
      <c r="L834" s="57">
        <f t="shared" si="230"/>
        <v>0</v>
      </c>
    </row>
    <row r="835" spans="1:12" ht="15" customHeight="1" x14ac:dyDescent="0.25">
      <c r="A835" s="42" t="str" cm="1">
        <f t="array" ref="A835">IFERROR(INDEX(_xlfn._xlws.FILTER(Class_Players!A:A,Class_Players!B:B="Support"),QUOTIENT(ROW()-ROW($A$2),9)+1),"")</f>
        <v>DieselChad</v>
      </c>
      <c r="B835" s="42" t="str">
        <f>_xlfn.XLOOKUP(A835,Class_Players!$A:$A,Class_Players!$B:$B,"")</f>
        <v>Support</v>
      </c>
      <c r="C835" s="38" t="str" cm="1">
        <f t="array" ref="C835">INDEX(Lookups!$D$2:$D$10,MOD(ROW()-ROW($B$2),ROWS(Lookups!$D$2:$D$10))+1)</f>
        <v>Deployable Cover</v>
      </c>
      <c r="D835" s="38" t="str">
        <f>_xlfn.XLOOKUP(C835,Analysis_Gadgets!$C:$C,Analysis_Gadgets!$B:$B)</f>
        <v>Gadget</v>
      </c>
      <c r="E835" s="43">
        <v>848</v>
      </c>
      <c r="F835" s="43">
        <f>_xlfn.XLOOKUP(A835,Class_Players!A:A,Class_Players!G:G)</f>
        <v>140</v>
      </c>
      <c r="G835" s="43">
        <f t="shared" si="218"/>
        <v>6.0571428571428569</v>
      </c>
      <c r="H835" s="43">
        <f>_xlfn.XLOOKUP(A835,Class_Players!$A:$A,Class_Players!$F:$F,"")</f>
        <v>9453</v>
      </c>
      <c r="I835" s="44">
        <f t="shared" si="219"/>
        <v>8.970697133185232E-2</v>
      </c>
      <c r="J835" s="43">
        <f t="shared" si="210"/>
        <v>0</v>
      </c>
      <c r="K835" s="44" cm="1">
        <f t="array" ref="K835">IF(D835="Gadget",_xlfn.IFS(I835&gt;=0.2,0.5,I835&gt;=0.1,0.35,I835&gt;=0.05,0.2,TRUE,0),IF(D835="Grenade",_xlfn.IFS(I835&gt;=0.2,1,I835&gt;=0.1,0.7,I835&gt;=0.05,0.4,TRUE,0),0))</f>
        <v>0.2</v>
      </c>
      <c r="L835" s="57">
        <f t="shared" si="230"/>
        <v>1</v>
      </c>
    </row>
    <row r="836" spans="1:12" ht="15" customHeight="1" x14ac:dyDescent="0.25">
      <c r="A836" s="42" t="str" cm="1">
        <f t="array" ref="A836">IFERROR(INDEX(_xlfn._xlws.FILTER(Class_Players!A:A,Class_Players!B:B="Support"),QUOTIENT(ROW()-ROW($A$2),9)+1),"")</f>
        <v>DieselChad</v>
      </c>
      <c r="B836" s="42" t="str">
        <f>_xlfn.XLOOKUP(A836,Class_Players!$A:$A,Class_Players!$B:$B,"")</f>
        <v>Support</v>
      </c>
      <c r="C836" s="38" t="str" cm="1">
        <f t="array" ref="C836">INDEX(Lookups!$D$2:$D$10,MOD(ROW()-ROW($B$2),ROWS(Lookups!$D$2:$D$10))+1)</f>
        <v>Supply Pouch</v>
      </c>
      <c r="D836" s="38" t="str">
        <f>_xlfn.XLOOKUP(C836,Analysis_Gadgets!$C:$C,Analysis_Gadgets!$B:$B)</f>
        <v>Gadget</v>
      </c>
      <c r="E836" s="43">
        <v>0</v>
      </c>
      <c r="F836" s="43">
        <f>_xlfn.XLOOKUP(A836,Class_Players!A:A,Class_Players!G:G)</f>
        <v>140</v>
      </c>
      <c r="G836" s="43">
        <f t="shared" si="218"/>
        <v>0</v>
      </c>
      <c r="H836" s="43">
        <f>_xlfn.XLOOKUP(A836,Class_Players!$A:$A,Class_Players!$F:$F,"")</f>
        <v>9453</v>
      </c>
      <c r="I836" s="44">
        <f t="shared" si="219"/>
        <v>0</v>
      </c>
      <c r="J836" s="43">
        <f t="shared" si="210"/>
        <v>0</v>
      </c>
      <c r="K836" s="44" cm="1">
        <f t="array" ref="K836">IF(D836="Gadget",_xlfn.IFS(I836&gt;=0.2,0.5,I836&gt;=0.1,0.35,I836&gt;=0.05,0.2,TRUE,0),IF(D836="Grenade",_xlfn.IFS(I836&gt;=0.2,1,I836&gt;=0.1,0.7,I836&gt;=0.05,0.4,TRUE,0),0))</f>
        <v>0</v>
      </c>
      <c r="L836" s="57">
        <f t="shared" si="230"/>
        <v>0</v>
      </c>
    </row>
    <row r="837" spans="1:12" ht="15" customHeight="1" x14ac:dyDescent="0.25">
      <c r="A837" s="42" t="str" cm="1">
        <f t="array" ref="A837">IFERROR(INDEX(_xlfn._xlws.FILTER(Class_Players!A:A,Class_Players!B:B="Support"),QUOTIENT(ROW()-ROW($A$2),9)+1),"")</f>
        <v>DieselChad</v>
      </c>
      <c r="B837" s="42" t="str">
        <f>_xlfn.XLOOKUP(A837,Class_Players!$A:$A,Class_Players!$B:$B,"")</f>
        <v>Support</v>
      </c>
      <c r="C837" s="38" t="str" cm="1">
        <f t="array" ref="C837">INDEX(Lookups!$D$2:$D$10,MOD(ROW()-ROW($B$2),ROWS(Lookups!$D$2:$D$10))+1)</f>
        <v>Smoke Grenade</v>
      </c>
      <c r="D837" s="38" t="str">
        <f>_xlfn.XLOOKUP(C837,Analysis_Gadgets!$C:$C,Analysis_Gadgets!$B:$B)</f>
        <v>Grenade</v>
      </c>
      <c r="E837" s="43">
        <v>4540</v>
      </c>
      <c r="F837" s="43">
        <f>_xlfn.XLOOKUP(A837,Class_Players!A:A,Class_Players!G:G)</f>
        <v>140</v>
      </c>
      <c r="G837" s="43">
        <f t="shared" si="218"/>
        <v>32.428571428571431</v>
      </c>
      <c r="H837" s="43">
        <f>_xlfn.XLOOKUP(A837,Class_Players!$A:$A,Class_Players!$F:$F,"")</f>
        <v>9453</v>
      </c>
      <c r="I837" s="44">
        <f t="shared" si="219"/>
        <v>0.48027081349836032</v>
      </c>
      <c r="J837" s="43">
        <f t="shared" si="210"/>
        <v>1</v>
      </c>
      <c r="K837" s="44" cm="1">
        <f t="array" ref="K837">IF(D837="Gadget",_xlfn.IFS(I837&gt;=0.2,0.5,I837&gt;=0.1,0.35,I837&gt;=0.05,0.2,TRUE,0),IF(D837="Grenade",_xlfn.IFS(I837&gt;=0.2,1,I837&gt;=0.1,0.7,I837&gt;=0.05,0.4,TRUE,0),0))</f>
        <v>1</v>
      </c>
      <c r="L837" s="57">
        <f t="shared" ref="L837:L838" si="231">IF($K837=0,0,$K837 / SUMIFS($K:$K,$A:$A,$A837,$D:$D,"Grenade"))</f>
        <v>1</v>
      </c>
    </row>
    <row r="838" spans="1:12" ht="15" customHeight="1" x14ac:dyDescent="0.25">
      <c r="A838" s="42" t="str" cm="1">
        <f t="array" ref="A838">IFERROR(INDEX(_xlfn._xlws.FILTER(Class_Players!A:A,Class_Players!B:B="Support"),QUOTIENT(ROW()-ROW($A$2),9)+1),"")</f>
        <v>DieselChad</v>
      </c>
      <c r="B838" s="42" t="str">
        <f>_xlfn.XLOOKUP(A838,Class_Players!$A:$A,Class_Players!$B:$B,"")</f>
        <v>Support</v>
      </c>
      <c r="C838" s="38" t="str" cm="1">
        <f t="array" ref="C838">INDEX(Lookups!$D$2:$D$10,MOD(ROW()-ROW($B$2),ROWS(Lookups!$D$2:$D$10))+1)</f>
        <v>Incendiary Grenade</v>
      </c>
      <c r="D838" s="38" t="str">
        <f>_xlfn.XLOOKUP(C838,Analysis_Gadgets!$C:$C,Analysis_Gadgets!$B:$B)</f>
        <v>Grenade</v>
      </c>
      <c r="E838" s="43">
        <v>0</v>
      </c>
      <c r="F838" s="43">
        <f>_xlfn.XLOOKUP(A838,Class_Players!A:A,Class_Players!G:G)</f>
        <v>140</v>
      </c>
      <c r="G838" s="43">
        <f t="shared" si="218"/>
        <v>0</v>
      </c>
      <c r="H838" s="43">
        <f>_xlfn.XLOOKUP(A838,Class_Players!$A:$A,Class_Players!$F:$F,"")</f>
        <v>9453</v>
      </c>
      <c r="I838" s="44">
        <f t="shared" si="219"/>
        <v>0</v>
      </c>
      <c r="J838" s="43">
        <f t="shared" si="210"/>
        <v>0</v>
      </c>
      <c r="K838" s="44" cm="1">
        <f t="array" ref="K838">IF(D838="Gadget",_xlfn.IFS(I838&gt;=0.2,0.5,I838&gt;=0.1,0.35,I838&gt;=0.05,0.2,TRUE,0),IF(D838="Grenade",_xlfn.IFS(I838&gt;=0.2,1,I838&gt;=0.1,0.7,I838&gt;=0.05,0.4,TRUE,0),0))</f>
        <v>0</v>
      </c>
      <c r="L838" s="57">
        <f t="shared" si="231"/>
        <v>0</v>
      </c>
    </row>
    <row r="839" spans="1:12" ht="15" customHeight="1" x14ac:dyDescent="0.25">
      <c r="A839" s="42" t="str" cm="1">
        <f t="array" ref="A839">IFERROR(INDEX(_xlfn._xlws.FILTER(Class_Players!A:A,Class_Players!B:B="Support"),QUOTIENT(ROW()-ROW($A$2),9)+1),"")</f>
        <v>偷屁眼儿</v>
      </c>
      <c r="B839" s="42" t="str">
        <f>_xlfn.XLOOKUP(A839,Class_Players!$A:$A,Class_Players!$B:$B,"")</f>
        <v>Support</v>
      </c>
      <c r="C839" s="38" t="str" cm="1">
        <f t="array" ref="C839">INDEX(Lookups!$D$2:$D$10,MOD(ROW()-ROW($B$2),ROWS(Lookups!$D$2:$D$10))+1)</f>
        <v>GPDIS (Grenade intercept system)</v>
      </c>
      <c r="D839" s="38" t="str">
        <f>_xlfn.XLOOKUP(C839,Analysis_Gadgets!$C:$C,Analysis_Gadgets!$B:$B)</f>
        <v>Gadget</v>
      </c>
      <c r="E839" s="43">
        <v>650</v>
      </c>
      <c r="F839" s="43">
        <f>_xlfn.XLOOKUP(A839,Class_Players!A:A,Class_Players!G:G)</f>
        <v>216</v>
      </c>
      <c r="G839" s="43">
        <f t="shared" si="218"/>
        <v>3.0092592592592591</v>
      </c>
      <c r="H839" s="43">
        <f>_xlfn.XLOOKUP(A839,Class_Players!$A:$A,Class_Players!$F:$F,"")</f>
        <v>12131</v>
      </c>
      <c r="I839" s="44">
        <f t="shared" si="219"/>
        <v>5.3581732750803725E-2</v>
      </c>
      <c r="J839" s="43">
        <f t="shared" si="210"/>
        <v>0</v>
      </c>
      <c r="K839" s="44" cm="1">
        <f t="array" ref="K839">IF(D839="Gadget",_xlfn.IFS(I839&gt;=0.2,0.5,I839&gt;=0.1,0.35,I839&gt;=0.05,0.2,TRUE,0),IF(D839="Grenade",_xlfn.IFS(I839&gt;=0.2,1,I839&gt;=0.1,0.7,I839&gt;=0.05,0.4,TRUE,0),0))</f>
        <v>0.2</v>
      </c>
      <c r="L839" s="57">
        <f t="shared" ref="L839:L845" si="232">IF($K839=0,0,$K839 / SUMIFS($K:$K,$A:$A,$A839,$D:$D,"Gadget"))</f>
        <v>0.15384615384615385</v>
      </c>
    </row>
    <row r="840" spans="1:12" ht="15" customHeight="1" x14ac:dyDescent="0.25">
      <c r="A840" s="42" t="str" cm="1">
        <f t="array" ref="A840">IFERROR(INDEX(_xlfn._xlws.FILTER(Class_Players!A:A,Class_Players!B:B="Support"),QUOTIENT(ROW()-ROW($A$2),9)+1),"")</f>
        <v>偷屁眼儿</v>
      </c>
      <c r="B840" s="42" t="str">
        <f>_xlfn.XLOOKUP(A840,Class_Players!$A:$A,Class_Players!$B:$B,"")</f>
        <v>Support</v>
      </c>
      <c r="C840" s="38" t="str" cm="1">
        <f t="array" ref="C840">INDEX(Lookups!$D$2:$D$10,MOD(ROW()-ROW($B$2),ROWS(Lookups!$D$2:$D$10))+1)</f>
        <v>MP-APS (Missile intercept system)</v>
      </c>
      <c r="D840" s="38" t="str">
        <f>_xlfn.XLOOKUP(C840,Analysis_Gadgets!$C:$C,Analysis_Gadgets!$B:$B)</f>
        <v>Gadget</v>
      </c>
      <c r="E840" s="43">
        <v>480</v>
      </c>
      <c r="F840" s="43">
        <f>_xlfn.XLOOKUP(A840,Class_Players!A:A,Class_Players!G:G)</f>
        <v>216</v>
      </c>
      <c r="G840" s="43">
        <f t="shared" si="218"/>
        <v>2.2222222222222223</v>
      </c>
      <c r="H840" s="43">
        <f>_xlfn.XLOOKUP(A840,Class_Players!$A:$A,Class_Players!$F:$F,"")</f>
        <v>12131</v>
      </c>
      <c r="I840" s="44">
        <f t="shared" si="219"/>
        <v>3.9568048800593524E-2</v>
      </c>
      <c r="J840" s="43">
        <f t="shared" si="210"/>
        <v>0</v>
      </c>
      <c r="K840" s="44" cm="1">
        <f t="array" ref="K840">IF(D840="Gadget",_xlfn.IFS(I840&gt;=0.2,0.5,I840&gt;=0.1,0.35,I840&gt;=0.05,0.2,TRUE,0),IF(D840="Grenade",_xlfn.IFS(I840&gt;=0.2,1,I840&gt;=0.1,0.7,I840&gt;=0.05,0.4,TRUE,0),0))</f>
        <v>0</v>
      </c>
      <c r="L840" s="57">
        <f t="shared" si="232"/>
        <v>0</v>
      </c>
    </row>
    <row r="841" spans="1:12" ht="15" customHeight="1" x14ac:dyDescent="0.25">
      <c r="A841" s="42" t="str" cm="1">
        <f t="array" ref="A841">IFERROR(INDEX(_xlfn._xlws.FILTER(Class_Players!A:A,Class_Players!B:B="Support"),QUOTIENT(ROW()-ROW($A$2),9)+1),"")</f>
        <v>偷屁眼儿</v>
      </c>
      <c r="B841" s="42" t="str">
        <f>_xlfn.XLOOKUP(A841,Class_Players!$A:$A,Class_Players!$B:$B,"")</f>
        <v>Support</v>
      </c>
      <c r="C841" s="38" t="str" cm="1">
        <f t="array" ref="C841">INDEX(Lookups!$D$2:$D$10,MOD(ROW()-ROW($B$2),ROWS(Lookups!$D$2:$D$10))+1)</f>
        <v>LWCMS (Mortar)</v>
      </c>
      <c r="D841" s="38" t="str">
        <f>_xlfn.XLOOKUP(C841,Analysis_Gadgets!$C:$C,Analysis_Gadgets!$B:$B)</f>
        <v>Gadget</v>
      </c>
      <c r="E841" s="43">
        <v>27</v>
      </c>
      <c r="F841" s="43">
        <f>_xlfn.XLOOKUP(A841,Class_Players!A:A,Class_Players!G:G)</f>
        <v>216</v>
      </c>
      <c r="G841" s="43">
        <f t="shared" si="218"/>
        <v>0.125</v>
      </c>
      <c r="H841" s="43">
        <f>_xlfn.XLOOKUP(A841,Class_Players!$A:$A,Class_Players!$F:$F,"")</f>
        <v>12131</v>
      </c>
      <c r="I841" s="44">
        <f t="shared" si="219"/>
        <v>2.2257027450333857E-3</v>
      </c>
      <c r="J841" s="43">
        <f t="shared" si="210"/>
        <v>0</v>
      </c>
      <c r="K841" s="44" cm="1">
        <f t="array" ref="K841">IF(D841="Gadget",_xlfn.IFS(I841&gt;=0.2,0.5,I841&gt;=0.1,0.35,I841&gt;=0.05,0.2,TRUE,0),IF(D841="Grenade",_xlfn.IFS(I841&gt;=0.2,1,I841&gt;=0.1,0.7,I841&gt;=0.05,0.4,TRUE,0),0))</f>
        <v>0</v>
      </c>
      <c r="L841" s="57">
        <f t="shared" si="232"/>
        <v>0</v>
      </c>
    </row>
    <row r="842" spans="1:12" ht="15" customHeight="1" x14ac:dyDescent="0.25">
      <c r="A842" s="42" t="str" cm="1">
        <f t="array" ref="A842">IFERROR(INDEX(_xlfn._xlws.FILTER(Class_Players!A:A,Class_Players!B:B="Support"),QUOTIENT(ROW()-ROW($A$2),9)+1),"")</f>
        <v>偷屁眼儿</v>
      </c>
      <c r="B842" s="42" t="str">
        <f>_xlfn.XLOOKUP(A842,Class_Players!$A:$A,Class_Players!$B:$B,"")</f>
        <v>Support</v>
      </c>
      <c r="C842" s="38" t="str" cm="1">
        <f t="array" ref="C842">INDEX(Lookups!$D$2:$D$10,MOD(ROW()-ROW($B$2),ROWS(Lookups!$D$2:$D$10))+1)</f>
        <v>M320A1 SMK (Smoke Grenade Launcher)</v>
      </c>
      <c r="D842" s="38" t="str">
        <f>_xlfn.XLOOKUP(C842,Analysis_Gadgets!$C:$C,Analysis_Gadgets!$B:$B)</f>
        <v>Gadget</v>
      </c>
      <c r="E842" s="43">
        <v>643</v>
      </c>
      <c r="F842" s="43">
        <f>_xlfn.XLOOKUP(A842,Class_Players!A:A,Class_Players!G:G)</f>
        <v>216</v>
      </c>
      <c r="G842" s="43">
        <f t="shared" si="218"/>
        <v>2.9768518518518516</v>
      </c>
      <c r="H842" s="43">
        <f>_xlfn.XLOOKUP(A842,Class_Players!$A:$A,Class_Players!$F:$F,"")</f>
        <v>12131</v>
      </c>
      <c r="I842" s="44">
        <f t="shared" si="219"/>
        <v>5.3004698705795071E-2</v>
      </c>
      <c r="J842" s="43">
        <f t="shared" si="210"/>
        <v>0</v>
      </c>
      <c r="K842" s="44" cm="1">
        <f t="array" ref="K842">IF(D842="Gadget",_xlfn.IFS(I842&gt;=0.2,0.5,I842&gt;=0.1,0.35,I842&gt;=0.05,0.2,TRUE,0),IF(D842="Grenade",_xlfn.IFS(I842&gt;=0.2,1,I842&gt;=0.1,0.7,I842&gt;=0.05,0.4,TRUE,0),0))</f>
        <v>0.2</v>
      </c>
      <c r="L842" s="57">
        <f t="shared" si="232"/>
        <v>0.15384615384615385</v>
      </c>
    </row>
    <row r="843" spans="1:12" ht="15" customHeight="1" x14ac:dyDescent="0.25">
      <c r="A843" s="42" t="str" cm="1">
        <f t="array" ref="A843">IFERROR(INDEX(_xlfn._xlws.FILTER(Class_Players!A:A,Class_Players!B:B="Support"),QUOTIENT(ROW()-ROW($A$2),9)+1),"")</f>
        <v>偷屁眼儿</v>
      </c>
      <c r="B843" s="42" t="str">
        <f>_xlfn.XLOOKUP(A843,Class_Players!$A:$A,Class_Players!$B:$B,"")</f>
        <v>Support</v>
      </c>
      <c r="C843" s="38" t="str" cm="1">
        <f t="array" ref="C843">INDEX(Lookups!$D$2:$D$10,MOD(ROW()-ROW($B$2),ROWS(Lookups!$D$2:$D$10))+1)</f>
        <v>SICH G1 WP (Incendiary Airburst Launcher)</v>
      </c>
      <c r="D843" s="38" t="str">
        <f>_xlfn.XLOOKUP(C843,Analysis_Gadgets!$C:$C,Analysis_Gadgets!$B:$B)</f>
        <v>Gadget</v>
      </c>
      <c r="E843" s="43">
        <v>967</v>
      </c>
      <c r="F843" s="43">
        <f>_xlfn.XLOOKUP(A843,Class_Players!A:A,Class_Players!G:G)</f>
        <v>216</v>
      </c>
      <c r="G843" s="43">
        <f t="shared" si="218"/>
        <v>4.4768518518518521</v>
      </c>
      <c r="H843" s="43">
        <f>_xlfn.XLOOKUP(A843,Class_Players!$A:$A,Class_Players!$F:$F,"")</f>
        <v>12131</v>
      </c>
      <c r="I843" s="44">
        <f t="shared" si="219"/>
        <v>7.9713131646195701E-2</v>
      </c>
      <c r="J843" s="43">
        <f t="shared" si="210"/>
        <v>0</v>
      </c>
      <c r="K843" s="44" cm="1">
        <f t="array" ref="K843">IF(D843="Gadget",_xlfn.IFS(I843&gt;=0.2,0.5,I843&gt;=0.1,0.35,I843&gt;=0.05,0.2,TRUE,0),IF(D843="Grenade",_xlfn.IFS(I843&gt;=0.2,1,I843&gt;=0.1,0.7,I843&gt;=0.05,0.4,TRUE,0),0))</f>
        <v>0.2</v>
      </c>
      <c r="L843" s="57">
        <f t="shared" si="232"/>
        <v>0.15384615384615385</v>
      </c>
    </row>
    <row r="844" spans="1:12" ht="15" customHeight="1" x14ac:dyDescent="0.25">
      <c r="A844" s="42" t="str" cm="1">
        <f t="array" ref="A844">IFERROR(INDEX(_xlfn._xlws.FILTER(Class_Players!A:A,Class_Players!B:B="Support"),QUOTIENT(ROW()-ROW($A$2),9)+1),"")</f>
        <v>偷屁眼儿</v>
      </c>
      <c r="B844" s="42" t="str">
        <f>_xlfn.XLOOKUP(A844,Class_Players!$A:$A,Class_Players!$B:$B,"")</f>
        <v>Support</v>
      </c>
      <c r="C844" s="38" t="str" cm="1">
        <f t="array" ref="C844">INDEX(Lookups!$D$2:$D$10,MOD(ROW()-ROW($B$2),ROWS(Lookups!$D$2:$D$10))+1)</f>
        <v>Deployable Cover</v>
      </c>
      <c r="D844" s="38" t="str">
        <f>_xlfn.XLOOKUP(C844,Analysis_Gadgets!$C:$C,Analysis_Gadgets!$B:$B)</f>
        <v>Gadget</v>
      </c>
      <c r="E844" s="43">
        <v>1099</v>
      </c>
      <c r="F844" s="43">
        <f>_xlfn.XLOOKUP(A844,Class_Players!A:A,Class_Players!G:G)</f>
        <v>216</v>
      </c>
      <c r="G844" s="43">
        <f t="shared" si="218"/>
        <v>5.0879629629629628</v>
      </c>
      <c r="H844" s="43">
        <f>_xlfn.XLOOKUP(A844,Class_Players!$A:$A,Class_Players!$F:$F,"")</f>
        <v>12131</v>
      </c>
      <c r="I844" s="44">
        <f t="shared" si="219"/>
        <v>9.0594345066358911E-2</v>
      </c>
      <c r="J844" s="43">
        <f t="shared" si="210"/>
        <v>0</v>
      </c>
      <c r="K844" s="44" cm="1">
        <f t="array" ref="K844">IF(D844="Gadget",_xlfn.IFS(I844&gt;=0.2,0.5,I844&gt;=0.1,0.35,I844&gt;=0.05,0.2,TRUE,0),IF(D844="Grenade",_xlfn.IFS(I844&gt;=0.2,1,I844&gt;=0.1,0.7,I844&gt;=0.05,0.4,TRUE,0),0))</f>
        <v>0.2</v>
      </c>
      <c r="L844" s="57">
        <f t="shared" si="232"/>
        <v>0.15384615384615385</v>
      </c>
    </row>
    <row r="845" spans="1:12" ht="15" customHeight="1" x14ac:dyDescent="0.25">
      <c r="A845" s="42" t="str" cm="1">
        <f t="array" ref="A845">IFERROR(INDEX(_xlfn._xlws.FILTER(Class_Players!A:A,Class_Players!B:B="Support"),QUOTIENT(ROW()-ROW($A$2),9)+1),"")</f>
        <v>偷屁眼儿</v>
      </c>
      <c r="B845" s="42" t="str">
        <f>_xlfn.XLOOKUP(A845,Class_Players!$A:$A,Class_Players!$B:$B,"")</f>
        <v>Support</v>
      </c>
      <c r="C845" s="38" t="str" cm="1">
        <f t="array" ref="C845">INDEX(Lookups!$D$2:$D$10,MOD(ROW()-ROW($B$2),ROWS(Lookups!$D$2:$D$10))+1)</f>
        <v>Supply Pouch</v>
      </c>
      <c r="D845" s="38" t="str">
        <f>_xlfn.XLOOKUP(C845,Analysis_Gadgets!$C:$C,Analysis_Gadgets!$B:$B)</f>
        <v>Gadget</v>
      </c>
      <c r="E845" s="43">
        <v>2826</v>
      </c>
      <c r="F845" s="43">
        <f>_xlfn.XLOOKUP(A845,Class_Players!A:A,Class_Players!G:G)</f>
        <v>216</v>
      </c>
      <c r="G845" s="43">
        <f t="shared" si="218"/>
        <v>13.083333333333334</v>
      </c>
      <c r="H845" s="43">
        <f>_xlfn.XLOOKUP(A845,Class_Players!$A:$A,Class_Players!$F:$F,"")</f>
        <v>12131</v>
      </c>
      <c r="I845" s="44">
        <f t="shared" si="219"/>
        <v>0.23295688731349434</v>
      </c>
      <c r="J845" s="43">
        <f t="shared" si="210"/>
        <v>1</v>
      </c>
      <c r="K845" s="44" cm="1">
        <f t="array" ref="K845">IF(D845="Gadget",_xlfn.IFS(I845&gt;=0.2,0.5,I845&gt;=0.1,0.35,I845&gt;=0.05,0.2,TRUE,0),IF(D845="Grenade",_xlfn.IFS(I845&gt;=0.2,1,I845&gt;=0.1,0.7,I845&gt;=0.05,0.4,TRUE,0),0))</f>
        <v>0.5</v>
      </c>
      <c r="L845" s="57">
        <f t="shared" si="232"/>
        <v>0.38461538461538458</v>
      </c>
    </row>
    <row r="846" spans="1:12" ht="15" customHeight="1" x14ac:dyDescent="0.25">
      <c r="A846" s="42" t="str" cm="1">
        <f t="array" ref="A846">IFERROR(INDEX(_xlfn._xlws.FILTER(Class_Players!A:A,Class_Players!B:B="Support"),QUOTIENT(ROW()-ROW($A$2),9)+1),"")</f>
        <v>偷屁眼儿</v>
      </c>
      <c r="B846" s="42" t="str">
        <f>_xlfn.XLOOKUP(A846,Class_Players!$A:$A,Class_Players!$B:$B,"")</f>
        <v>Support</v>
      </c>
      <c r="C846" s="38" t="str" cm="1">
        <f t="array" ref="C846">INDEX(Lookups!$D$2:$D$10,MOD(ROW()-ROW($B$2),ROWS(Lookups!$D$2:$D$10))+1)</f>
        <v>Smoke Grenade</v>
      </c>
      <c r="D846" s="38" t="str">
        <f>_xlfn.XLOOKUP(C846,Analysis_Gadgets!$C:$C,Analysis_Gadgets!$B:$B)</f>
        <v>Grenade</v>
      </c>
      <c r="E846" s="43">
        <v>2220</v>
      </c>
      <c r="F846" s="43">
        <f>_xlfn.XLOOKUP(A846,Class_Players!A:A,Class_Players!G:G)</f>
        <v>216</v>
      </c>
      <c r="G846" s="43">
        <f t="shared" si="218"/>
        <v>10.277777777777779</v>
      </c>
      <c r="H846" s="43">
        <f>_xlfn.XLOOKUP(A846,Class_Players!$A:$A,Class_Players!$F:$F,"")</f>
        <v>12131</v>
      </c>
      <c r="I846" s="44">
        <f t="shared" si="219"/>
        <v>0.18300222570274505</v>
      </c>
      <c r="J846" s="43">
        <f t="shared" si="210"/>
        <v>1</v>
      </c>
      <c r="K846" s="44" cm="1">
        <f t="array" ref="K846">IF(D846="Gadget",_xlfn.IFS(I846&gt;=0.2,0.5,I846&gt;=0.1,0.35,I846&gt;=0.05,0.2,TRUE,0),IF(D846="Grenade",_xlfn.IFS(I846&gt;=0.2,1,I846&gt;=0.1,0.7,I846&gt;=0.05,0.4,TRUE,0),0))</f>
        <v>0.7</v>
      </c>
      <c r="L846" s="57">
        <f t="shared" ref="L846:L847" si="233">IF($K846=0,0,$K846 / SUMIFS($K:$K,$A:$A,$A846,$D:$D,"Grenade"))</f>
        <v>0.63636363636363624</v>
      </c>
    </row>
    <row r="847" spans="1:12" ht="15" customHeight="1" x14ac:dyDescent="0.25">
      <c r="A847" s="42" t="str" cm="1">
        <f t="array" ref="A847">IFERROR(INDEX(_xlfn._xlws.FILTER(Class_Players!A:A,Class_Players!B:B="Support"),QUOTIENT(ROW()-ROW($A$2),9)+1),"")</f>
        <v>偷屁眼儿</v>
      </c>
      <c r="B847" s="42" t="str">
        <f>_xlfn.XLOOKUP(A847,Class_Players!$A:$A,Class_Players!$B:$B,"")</f>
        <v>Support</v>
      </c>
      <c r="C847" s="38" t="str" cm="1">
        <f t="array" ref="C847">INDEX(Lookups!$D$2:$D$10,MOD(ROW()-ROW($B$2),ROWS(Lookups!$D$2:$D$10))+1)</f>
        <v>Incendiary Grenade</v>
      </c>
      <c r="D847" s="38" t="str">
        <f>_xlfn.XLOOKUP(C847,Analysis_Gadgets!$C:$C,Analysis_Gadgets!$B:$B)</f>
        <v>Grenade</v>
      </c>
      <c r="E847" s="43">
        <v>636</v>
      </c>
      <c r="F847" s="43">
        <f>_xlfn.XLOOKUP(A847,Class_Players!A:A,Class_Players!G:G)</f>
        <v>216</v>
      </c>
      <c r="G847" s="43">
        <f t="shared" si="218"/>
        <v>2.9444444444444446</v>
      </c>
      <c r="H847" s="43">
        <f>_xlfn.XLOOKUP(A847,Class_Players!$A:$A,Class_Players!$F:$F,"")</f>
        <v>12131</v>
      </c>
      <c r="I847" s="44">
        <f t="shared" si="219"/>
        <v>5.2427664660786417E-2</v>
      </c>
      <c r="J847" s="43">
        <f t="shared" si="210"/>
        <v>0</v>
      </c>
      <c r="K847" s="44" cm="1">
        <f t="array" ref="K847">IF(D847="Gadget",_xlfn.IFS(I847&gt;=0.2,0.5,I847&gt;=0.1,0.35,I847&gt;=0.05,0.2,TRUE,0),IF(D847="Grenade",_xlfn.IFS(I847&gt;=0.2,1,I847&gt;=0.1,0.7,I847&gt;=0.05,0.4,TRUE,0),0))</f>
        <v>0.4</v>
      </c>
      <c r="L847" s="57">
        <f t="shared" si="233"/>
        <v>0.36363636363636365</v>
      </c>
    </row>
    <row r="848" spans="1:12" ht="15" customHeight="1" x14ac:dyDescent="0.25">
      <c r="A848" s="42" t="str" cm="1">
        <f t="array" ref="A848">IFERROR(INDEX(_xlfn._xlws.FILTER(Class_Players!A:A,Class_Players!B:B="Support"),QUOTIENT(ROW()-ROW($A$2),9)+1),"")</f>
        <v>x8_PRIMETlME_8x</v>
      </c>
      <c r="B848" s="42" t="str">
        <f>_xlfn.XLOOKUP(A848,Class_Players!$A:$A,Class_Players!$B:$B,"")</f>
        <v>Support</v>
      </c>
      <c r="C848" s="38" t="str" cm="1">
        <f t="array" ref="C848">INDEX(Lookups!$D$2:$D$10,MOD(ROW()-ROW($B$2),ROWS(Lookups!$D$2:$D$10))+1)</f>
        <v>GPDIS (Grenade intercept system)</v>
      </c>
      <c r="D848" s="38" t="str">
        <f>_xlfn.XLOOKUP(C848,Analysis_Gadgets!$C:$C,Analysis_Gadgets!$B:$B)</f>
        <v>Gadget</v>
      </c>
      <c r="E848" s="43">
        <v>167</v>
      </c>
      <c r="F848" s="43">
        <f>_xlfn.XLOOKUP(A848,Class_Players!A:A,Class_Players!G:G)</f>
        <v>150</v>
      </c>
      <c r="G848" s="43">
        <f t="shared" si="218"/>
        <v>1.1133333333333333</v>
      </c>
      <c r="H848" s="43">
        <f>_xlfn.XLOOKUP(A848,Class_Players!$A:$A,Class_Players!$F:$F,"")</f>
        <v>9627</v>
      </c>
      <c r="I848" s="44">
        <f t="shared" si="219"/>
        <v>1.7347044769917937E-2</v>
      </c>
      <c r="J848" s="43">
        <f t="shared" si="210"/>
        <v>0</v>
      </c>
      <c r="K848" s="44" cm="1">
        <f t="array" ref="K848">IF(D848="Gadget",_xlfn.IFS(I848&gt;=0.2,0.5,I848&gt;=0.1,0.35,I848&gt;=0.05,0.2,TRUE,0),IF(D848="Grenade",_xlfn.IFS(I848&gt;=0.2,1,I848&gt;=0.1,0.7,I848&gt;=0.05,0.4,TRUE,0),0))</f>
        <v>0</v>
      </c>
      <c r="L848" s="57">
        <f t="shared" ref="L848:L854" si="234">IF($K848=0,0,$K848 / SUMIFS($K:$K,$A:$A,$A848,$D:$D,"Gadget"))</f>
        <v>0</v>
      </c>
    </row>
    <row r="849" spans="1:12" ht="15" customHeight="1" x14ac:dyDescent="0.25">
      <c r="A849" s="42" t="str" cm="1">
        <f t="array" ref="A849">IFERROR(INDEX(_xlfn._xlws.FILTER(Class_Players!A:A,Class_Players!B:B="Support"),QUOTIENT(ROW()-ROW($A$2),9)+1),"")</f>
        <v>x8_PRIMETlME_8x</v>
      </c>
      <c r="B849" s="42" t="str">
        <f>_xlfn.XLOOKUP(A849,Class_Players!$A:$A,Class_Players!$B:$B,"")</f>
        <v>Support</v>
      </c>
      <c r="C849" s="38" t="str" cm="1">
        <f t="array" ref="C849">INDEX(Lookups!$D$2:$D$10,MOD(ROW()-ROW($B$2),ROWS(Lookups!$D$2:$D$10))+1)</f>
        <v>MP-APS (Missile intercept system)</v>
      </c>
      <c r="D849" s="38" t="str">
        <f>_xlfn.XLOOKUP(C849,Analysis_Gadgets!$C:$C,Analysis_Gadgets!$B:$B)</f>
        <v>Gadget</v>
      </c>
      <c r="E849" s="43">
        <v>0</v>
      </c>
      <c r="F849" s="43">
        <f>_xlfn.XLOOKUP(A849,Class_Players!A:A,Class_Players!G:G)</f>
        <v>150</v>
      </c>
      <c r="G849" s="43">
        <f t="shared" ref="G849:G901" si="235">IF(F849=0,"",E849/(F849))</f>
        <v>0</v>
      </c>
      <c r="H849" s="43">
        <f>_xlfn.XLOOKUP(A849,Class_Players!$A:$A,Class_Players!$F:$F,"")</f>
        <v>9627</v>
      </c>
      <c r="I849" s="44">
        <f t="shared" ref="I849:I901" si="236">IF(H849=0,"",E849/H849)</f>
        <v>0</v>
      </c>
      <c r="J849" s="43">
        <f t="shared" si="210"/>
        <v>0</v>
      </c>
      <c r="K849" s="44" cm="1">
        <f t="array" ref="K849">IF(D849="Gadget",_xlfn.IFS(I849&gt;=0.2,0.5,I849&gt;=0.1,0.35,I849&gt;=0.05,0.2,TRUE,0),IF(D849="Grenade",_xlfn.IFS(I849&gt;=0.2,1,I849&gt;=0.1,0.7,I849&gt;=0.05,0.4,TRUE,0),0))</f>
        <v>0</v>
      </c>
      <c r="L849" s="57">
        <f t="shared" si="234"/>
        <v>0</v>
      </c>
    </row>
    <row r="850" spans="1:12" ht="15" customHeight="1" x14ac:dyDescent="0.25">
      <c r="A850" s="42" t="str" cm="1">
        <f t="array" ref="A850">IFERROR(INDEX(_xlfn._xlws.FILTER(Class_Players!A:A,Class_Players!B:B="Support"),QUOTIENT(ROW()-ROW($A$2),9)+1),"")</f>
        <v>x8_PRIMETlME_8x</v>
      </c>
      <c r="B850" s="42" t="str">
        <f>_xlfn.XLOOKUP(A850,Class_Players!$A:$A,Class_Players!$B:$B,"")</f>
        <v>Support</v>
      </c>
      <c r="C850" s="38" t="str" cm="1">
        <f t="array" ref="C850">INDEX(Lookups!$D$2:$D$10,MOD(ROW()-ROW($B$2),ROWS(Lookups!$D$2:$D$10))+1)</f>
        <v>LWCMS (Mortar)</v>
      </c>
      <c r="D850" s="38" t="str">
        <f>_xlfn.XLOOKUP(C850,Analysis_Gadgets!$C:$C,Analysis_Gadgets!$B:$B)</f>
        <v>Gadget</v>
      </c>
      <c r="E850" s="43">
        <v>0</v>
      </c>
      <c r="F850" s="43">
        <f>_xlfn.XLOOKUP(A850,Class_Players!A:A,Class_Players!G:G)</f>
        <v>150</v>
      </c>
      <c r="G850" s="43">
        <f t="shared" si="235"/>
        <v>0</v>
      </c>
      <c r="H850" s="43">
        <f>_xlfn.XLOOKUP(A850,Class_Players!$A:$A,Class_Players!$F:$F,"")</f>
        <v>9627</v>
      </c>
      <c r="I850" s="44">
        <f t="shared" si="236"/>
        <v>0</v>
      </c>
      <c r="J850" s="43">
        <f t="shared" si="210"/>
        <v>0</v>
      </c>
      <c r="K850" s="44" cm="1">
        <f t="array" ref="K850">IF(D850="Gadget",_xlfn.IFS(I850&gt;=0.2,0.5,I850&gt;=0.1,0.35,I850&gt;=0.05,0.2,TRUE,0),IF(D850="Grenade",_xlfn.IFS(I850&gt;=0.2,1,I850&gt;=0.1,0.7,I850&gt;=0.05,0.4,TRUE,0),0))</f>
        <v>0</v>
      </c>
      <c r="L850" s="57">
        <f t="shared" si="234"/>
        <v>0</v>
      </c>
    </row>
    <row r="851" spans="1:12" ht="15" customHeight="1" x14ac:dyDescent="0.25">
      <c r="A851" s="42" t="str" cm="1">
        <f t="array" ref="A851">IFERROR(INDEX(_xlfn._xlws.FILTER(Class_Players!A:A,Class_Players!B:B="Support"),QUOTIENT(ROW()-ROW($A$2),9)+1),"")</f>
        <v>x8_PRIMETlME_8x</v>
      </c>
      <c r="B851" s="42" t="str">
        <f>_xlfn.XLOOKUP(A851,Class_Players!$A:$A,Class_Players!$B:$B,"")</f>
        <v>Support</v>
      </c>
      <c r="C851" s="38" t="str" cm="1">
        <f t="array" ref="C851">INDEX(Lookups!$D$2:$D$10,MOD(ROW()-ROW($B$2),ROWS(Lookups!$D$2:$D$10))+1)</f>
        <v>M320A1 SMK (Smoke Grenade Launcher)</v>
      </c>
      <c r="D851" s="38" t="str">
        <f>_xlfn.XLOOKUP(C851,Analysis_Gadgets!$C:$C,Analysis_Gadgets!$B:$B)</f>
        <v>Gadget</v>
      </c>
      <c r="E851" s="43">
        <v>83</v>
      </c>
      <c r="F851" s="43">
        <f>_xlfn.XLOOKUP(A851,Class_Players!A:A,Class_Players!G:G)</f>
        <v>150</v>
      </c>
      <c r="G851" s="43">
        <f t="shared" si="235"/>
        <v>0.55333333333333334</v>
      </c>
      <c r="H851" s="43">
        <f>_xlfn.XLOOKUP(A851,Class_Players!$A:$A,Class_Players!$F:$F,"")</f>
        <v>9627</v>
      </c>
      <c r="I851" s="44">
        <f t="shared" si="236"/>
        <v>8.6215851251687965E-3</v>
      </c>
      <c r="J851" s="43">
        <f t="shared" si="210"/>
        <v>0</v>
      </c>
      <c r="K851" s="44" cm="1">
        <f t="array" ref="K851">IF(D851="Gadget",_xlfn.IFS(I851&gt;=0.2,0.5,I851&gt;=0.1,0.35,I851&gt;=0.05,0.2,TRUE,0),IF(D851="Grenade",_xlfn.IFS(I851&gt;=0.2,1,I851&gt;=0.1,0.7,I851&gt;=0.05,0.4,TRUE,0),0))</f>
        <v>0</v>
      </c>
      <c r="L851" s="57">
        <f t="shared" si="234"/>
        <v>0</v>
      </c>
    </row>
    <row r="852" spans="1:12" ht="15" customHeight="1" x14ac:dyDescent="0.25">
      <c r="A852" s="42" t="str" cm="1">
        <f t="array" ref="A852">IFERROR(INDEX(_xlfn._xlws.FILTER(Class_Players!A:A,Class_Players!B:B="Support"),QUOTIENT(ROW()-ROW($A$2),9)+1),"")</f>
        <v>x8_PRIMETlME_8x</v>
      </c>
      <c r="B852" s="42" t="str">
        <f>_xlfn.XLOOKUP(A852,Class_Players!$A:$A,Class_Players!$B:$B,"")</f>
        <v>Support</v>
      </c>
      <c r="C852" s="38" t="str" cm="1">
        <f t="array" ref="C852">INDEX(Lookups!$D$2:$D$10,MOD(ROW()-ROW($B$2),ROWS(Lookups!$D$2:$D$10))+1)</f>
        <v>SICH G1 WP (Incendiary Airburst Launcher)</v>
      </c>
      <c r="D852" s="38" t="str">
        <f>_xlfn.XLOOKUP(C852,Analysis_Gadgets!$C:$C,Analysis_Gadgets!$B:$B)</f>
        <v>Gadget</v>
      </c>
      <c r="E852" s="43">
        <v>514</v>
      </c>
      <c r="F852" s="43">
        <f>_xlfn.XLOOKUP(A852,Class_Players!A:A,Class_Players!G:G)</f>
        <v>150</v>
      </c>
      <c r="G852" s="43">
        <f t="shared" si="235"/>
        <v>3.4266666666666667</v>
      </c>
      <c r="H852" s="43">
        <f>_xlfn.XLOOKUP(A852,Class_Players!$A:$A,Class_Players!$F:$F,"")</f>
        <v>9627</v>
      </c>
      <c r="I852" s="44">
        <f t="shared" si="236"/>
        <v>5.339150306429833E-2</v>
      </c>
      <c r="J852" s="43">
        <f t="shared" si="210"/>
        <v>0</v>
      </c>
      <c r="K852" s="44" cm="1">
        <f t="array" ref="K852">IF(D852="Gadget",_xlfn.IFS(I852&gt;=0.2,0.5,I852&gt;=0.1,0.35,I852&gt;=0.05,0.2,TRUE,0),IF(D852="Grenade",_xlfn.IFS(I852&gt;=0.2,1,I852&gt;=0.1,0.7,I852&gt;=0.05,0.4,TRUE,0),0))</f>
        <v>0.2</v>
      </c>
      <c r="L852" s="57">
        <f t="shared" si="234"/>
        <v>0.28571428571428575</v>
      </c>
    </row>
    <row r="853" spans="1:12" ht="15" customHeight="1" x14ac:dyDescent="0.25">
      <c r="A853" s="42" t="str" cm="1">
        <f t="array" ref="A853">IFERROR(INDEX(_xlfn._xlws.FILTER(Class_Players!A:A,Class_Players!B:B="Support"),QUOTIENT(ROW()-ROW($A$2),9)+1),"")</f>
        <v>x8_PRIMETlME_8x</v>
      </c>
      <c r="B853" s="42" t="str">
        <f>_xlfn.XLOOKUP(A853,Class_Players!$A:$A,Class_Players!$B:$B,"")</f>
        <v>Support</v>
      </c>
      <c r="C853" s="38" t="str" cm="1">
        <f t="array" ref="C853">INDEX(Lookups!$D$2:$D$10,MOD(ROW()-ROW($B$2),ROWS(Lookups!$D$2:$D$10))+1)</f>
        <v>Deployable Cover</v>
      </c>
      <c r="D853" s="38" t="str">
        <f>_xlfn.XLOOKUP(C853,Analysis_Gadgets!$C:$C,Analysis_Gadgets!$B:$B)</f>
        <v>Gadget</v>
      </c>
      <c r="E853" s="43">
        <v>3755</v>
      </c>
      <c r="F853" s="43">
        <f>_xlfn.XLOOKUP(A853,Class_Players!A:A,Class_Players!G:G)</f>
        <v>150</v>
      </c>
      <c r="G853" s="43">
        <f t="shared" si="235"/>
        <v>25.033333333333335</v>
      </c>
      <c r="H853" s="43">
        <f>_xlfn.XLOOKUP(A853,Class_Players!$A:$A,Class_Players!$F:$F,"")</f>
        <v>9627</v>
      </c>
      <c r="I853" s="44">
        <f t="shared" si="236"/>
        <v>0.39004882102420274</v>
      </c>
      <c r="J853" s="43">
        <f t="shared" si="210"/>
        <v>1</v>
      </c>
      <c r="K853" s="44" cm="1">
        <f t="array" ref="K853">IF(D853="Gadget",_xlfn.IFS(I853&gt;=0.2,0.5,I853&gt;=0.1,0.35,I853&gt;=0.05,0.2,TRUE,0),IF(D853="Grenade",_xlfn.IFS(I853&gt;=0.2,1,I853&gt;=0.1,0.7,I853&gt;=0.05,0.4,TRUE,0),0))</f>
        <v>0.5</v>
      </c>
      <c r="L853" s="57">
        <f t="shared" si="234"/>
        <v>0.7142857142857143</v>
      </c>
    </row>
    <row r="854" spans="1:12" ht="15" customHeight="1" x14ac:dyDescent="0.25">
      <c r="A854" s="42" t="str" cm="1">
        <f t="array" ref="A854">IFERROR(INDEX(_xlfn._xlws.FILTER(Class_Players!A:A,Class_Players!B:B="Support"),QUOTIENT(ROW()-ROW($A$2),9)+1),"")</f>
        <v>x8_PRIMETlME_8x</v>
      </c>
      <c r="B854" s="42" t="str">
        <f>_xlfn.XLOOKUP(A854,Class_Players!$A:$A,Class_Players!$B:$B,"")</f>
        <v>Support</v>
      </c>
      <c r="C854" s="38" t="str" cm="1">
        <f t="array" ref="C854">INDEX(Lookups!$D$2:$D$10,MOD(ROW()-ROW($B$2),ROWS(Lookups!$D$2:$D$10))+1)</f>
        <v>Supply Pouch</v>
      </c>
      <c r="D854" s="38" t="str">
        <f>_xlfn.XLOOKUP(C854,Analysis_Gadgets!$C:$C,Analysis_Gadgets!$B:$B)</f>
        <v>Gadget</v>
      </c>
      <c r="E854" s="43">
        <v>3</v>
      </c>
      <c r="F854" s="43">
        <f>_xlfn.XLOOKUP(A854,Class_Players!A:A,Class_Players!G:G)</f>
        <v>150</v>
      </c>
      <c r="G854" s="43">
        <f t="shared" si="235"/>
        <v>0.02</v>
      </c>
      <c r="H854" s="43">
        <f>_xlfn.XLOOKUP(A854,Class_Players!$A:$A,Class_Players!$F:$F,"")</f>
        <v>9627</v>
      </c>
      <c r="I854" s="44">
        <f t="shared" si="236"/>
        <v>3.1162355874104082E-4</v>
      </c>
      <c r="J854" s="43">
        <f t="shared" si="210"/>
        <v>0</v>
      </c>
      <c r="K854" s="44" cm="1">
        <f t="array" ref="K854">IF(D854="Gadget",_xlfn.IFS(I854&gt;=0.2,0.5,I854&gt;=0.1,0.35,I854&gt;=0.05,0.2,TRUE,0),IF(D854="Grenade",_xlfn.IFS(I854&gt;=0.2,1,I854&gt;=0.1,0.7,I854&gt;=0.05,0.4,TRUE,0),0))</f>
        <v>0</v>
      </c>
      <c r="L854" s="57">
        <f t="shared" si="234"/>
        <v>0</v>
      </c>
    </row>
    <row r="855" spans="1:12" ht="15" customHeight="1" x14ac:dyDescent="0.25">
      <c r="A855" s="42" t="str" cm="1">
        <f t="array" ref="A855">IFERROR(INDEX(_xlfn._xlws.FILTER(Class_Players!A:A,Class_Players!B:B="Support"),QUOTIENT(ROW()-ROW($A$2),9)+1),"")</f>
        <v>x8_PRIMETlME_8x</v>
      </c>
      <c r="B855" s="42" t="str">
        <f>_xlfn.XLOOKUP(A855,Class_Players!$A:$A,Class_Players!$B:$B,"")</f>
        <v>Support</v>
      </c>
      <c r="C855" s="38" t="str" cm="1">
        <f t="array" ref="C855">INDEX(Lookups!$D$2:$D$10,MOD(ROW()-ROW($B$2),ROWS(Lookups!$D$2:$D$10))+1)</f>
        <v>Smoke Grenade</v>
      </c>
      <c r="D855" s="38" t="str">
        <f>_xlfn.XLOOKUP(C855,Analysis_Gadgets!$C:$C,Analysis_Gadgets!$B:$B)</f>
        <v>Grenade</v>
      </c>
      <c r="E855" s="43">
        <v>12593</v>
      </c>
      <c r="F855" s="43">
        <f>_xlfn.XLOOKUP(A855,Class_Players!A:A,Class_Players!G:G)</f>
        <v>150</v>
      </c>
      <c r="G855" s="43">
        <f t="shared" si="235"/>
        <v>83.953333333333333</v>
      </c>
      <c r="H855" s="43">
        <f>_xlfn.XLOOKUP(A855,Class_Players!$A:$A,Class_Players!$F:$F,"")</f>
        <v>9627</v>
      </c>
      <c r="I855" s="44">
        <f t="shared" si="236"/>
        <v>1.3080918250753091</v>
      </c>
      <c r="J855" s="43">
        <f t="shared" si="210"/>
        <v>1</v>
      </c>
      <c r="K855" s="44" cm="1">
        <f t="array" ref="K855">IF(D855="Gadget",_xlfn.IFS(I855&gt;=0.2,0.5,I855&gt;=0.1,0.35,I855&gt;=0.05,0.2,TRUE,0),IF(D855="Grenade",_xlfn.IFS(I855&gt;=0.2,1,I855&gt;=0.1,0.7,I855&gt;=0.05,0.4,TRUE,0),0))</f>
        <v>1</v>
      </c>
      <c r="L855" s="57">
        <f t="shared" ref="L855:L856" si="237">IF($K855=0,0,$K855 / SUMIFS($K:$K,$A:$A,$A855,$D:$D,"Grenade"))</f>
        <v>1</v>
      </c>
    </row>
    <row r="856" spans="1:12" ht="15" customHeight="1" x14ac:dyDescent="0.25">
      <c r="A856" s="42" t="str" cm="1">
        <f t="array" ref="A856">IFERROR(INDEX(_xlfn._xlws.FILTER(Class_Players!A:A,Class_Players!B:B="Support"),QUOTIENT(ROW()-ROW($A$2),9)+1),"")</f>
        <v>x8_PRIMETlME_8x</v>
      </c>
      <c r="B856" s="42" t="str">
        <f>_xlfn.XLOOKUP(A856,Class_Players!$A:$A,Class_Players!$B:$B,"")</f>
        <v>Support</v>
      </c>
      <c r="C856" s="38" t="str" cm="1">
        <f t="array" ref="C856">INDEX(Lookups!$D$2:$D$10,MOD(ROW()-ROW($B$2),ROWS(Lookups!$D$2:$D$10))+1)</f>
        <v>Incendiary Grenade</v>
      </c>
      <c r="D856" s="38" t="str">
        <f>_xlfn.XLOOKUP(C856,Analysis_Gadgets!$C:$C,Analysis_Gadgets!$B:$B)</f>
        <v>Grenade</v>
      </c>
      <c r="E856" s="43">
        <v>279</v>
      </c>
      <c r="F856" s="43">
        <f>_xlfn.XLOOKUP(A856,Class_Players!A:A,Class_Players!G:G)</f>
        <v>150</v>
      </c>
      <c r="G856" s="43">
        <f t="shared" si="235"/>
        <v>1.86</v>
      </c>
      <c r="H856" s="43">
        <f>_xlfn.XLOOKUP(A856,Class_Players!$A:$A,Class_Players!$F:$F,"")</f>
        <v>9627</v>
      </c>
      <c r="I856" s="44">
        <f t="shared" si="236"/>
        <v>2.8980990962916797E-2</v>
      </c>
      <c r="J856" s="43">
        <f t="shared" si="210"/>
        <v>0</v>
      </c>
      <c r="K856" s="44" cm="1">
        <f t="array" ref="K856">IF(D856="Gadget",_xlfn.IFS(I856&gt;=0.2,0.5,I856&gt;=0.1,0.35,I856&gt;=0.05,0.2,TRUE,0),IF(D856="Grenade",_xlfn.IFS(I856&gt;=0.2,1,I856&gt;=0.1,0.7,I856&gt;=0.05,0.4,TRUE,0),0))</f>
        <v>0</v>
      </c>
      <c r="L856" s="57">
        <f t="shared" si="237"/>
        <v>0</v>
      </c>
    </row>
    <row r="857" spans="1:12" ht="15" customHeight="1" x14ac:dyDescent="0.25">
      <c r="A857" s="42" t="str" cm="1">
        <f t="array" ref="A857">IFERROR(INDEX(_xlfn._xlws.FILTER(Class_Players!A:A,Class_Players!B:B="Support"),QUOTIENT(ROW()-ROW($A$2),9)+1),"")</f>
        <v>Pisu_RGB_Defib</v>
      </c>
      <c r="B857" s="42" t="str">
        <f>_xlfn.XLOOKUP(A857,Class_Players!$A:$A,Class_Players!$B:$B,"")</f>
        <v>Support</v>
      </c>
      <c r="C857" s="38" t="str" cm="1">
        <f t="array" ref="C857">INDEX(Lookups!$D$2:$D$10,MOD(ROW()-ROW($B$2),ROWS(Lookups!$D$2:$D$10))+1)</f>
        <v>GPDIS (Grenade intercept system)</v>
      </c>
      <c r="D857" s="38" t="str">
        <f>_xlfn.XLOOKUP(C857,Analysis_Gadgets!$C:$C,Analysis_Gadgets!$B:$B)</f>
        <v>Gadget</v>
      </c>
      <c r="E857" s="43">
        <v>17</v>
      </c>
      <c r="F857" s="43">
        <f>_xlfn.XLOOKUP(A857,Class_Players!A:A,Class_Players!G:G)</f>
        <v>117</v>
      </c>
      <c r="G857" s="43">
        <f t="shared" si="235"/>
        <v>0.14529914529914531</v>
      </c>
      <c r="H857" s="43">
        <f>_xlfn.XLOOKUP(A857,Class_Players!$A:$A,Class_Players!$F:$F,"")</f>
        <v>10350</v>
      </c>
      <c r="I857" s="44">
        <f t="shared" si="236"/>
        <v>1.6425120772946859E-3</v>
      </c>
      <c r="J857" s="43">
        <f t="shared" si="210"/>
        <v>0</v>
      </c>
      <c r="K857" s="44" cm="1">
        <f t="array" ref="K857">IF(D857="Gadget",_xlfn.IFS(I857&gt;=0.2,0.5,I857&gt;=0.1,0.35,I857&gt;=0.05,0.2,TRUE,0),IF(D857="Grenade",_xlfn.IFS(I857&gt;=0.2,1,I857&gt;=0.1,0.7,I857&gt;=0.05,0.4,TRUE,0),0))</f>
        <v>0</v>
      </c>
      <c r="L857" s="57">
        <f t="shared" ref="L857:L863" si="238">IF($K857=0,0,$K857 / SUMIFS($K:$K,$A:$A,$A857,$D:$D,"Gadget"))</f>
        <v>0</v>
      </c>
    </row>
    <row r="858" spans="1:12" ht="15" customHeight="1" x14ac:dyDescent="0.25">
      <c r="A858" s="42" t="str" cm="1">
        <f t="array" ref="A858">IFERROR(INDEX(_xlfn._xlws.FILTER(Class_Players!A:A,Class_Players!B:B="Support"),QUOTIENT(ROW()-ROW($A$2),9)+1),"")</f>
        <v>Pisu_RGB_Defib</v>
      </c>
      <c r="B858" s="42" t="str">
        <f>_xlfn.XLOOKUP(A858,Class_Players!$A:$A,Class_Players!$B:$B,"")</f>
        <v>Support</v>
      </c>
      <c r="C858" s="38" t="str" cm="1">
        <f t="array" ref="C858">INDEX(Lookups!$D$2:$D$10,MOD(ROW()-ROW($B$2),ROWS(Lookups!$D$2:$D$10))+1)</f>
        <v>MP-APS (Missile intercept system)</v>
      </c>
      <c r="D858" s="38" t="str">
        <f>_xlfn.XLOOKUP(C858,Analysis_Gadgets!$C:$C,Analysis_Gadgets!$B:$B)</f>
        <v>Gadget</v>
      </c>
      <c r="E858" s="43">
        <v>0</v>
      </c>
      <c r="F858" s="43">
        <f>_xlfn.XLOOKUP(A858,Class_Players!A:A,Class_Players!G:G)</f>
        <v>117</v>
      </c>
      <c r="G858" s="43">
        <f t="shared" si="235"/>
        <v>0</v>
      </c>
      <c r="H858" s="43">
        <f>_xlfn.XLOOKUP(A858,Class_Players!$A:$A,Class_Players!$F:$F,"")</f>
        <v>10350</v>
      </c>
      <c r="I858" s="44">
        <f t="shared" si="236"/>
        <v>0</v>
      </c>
      <c r="J858" s="43">
        <f t="shared" si="210"/>
        <v>0</v>
      </c>
      <c r="K858" s="44" cm="1">
        <f t="array" ref="K858">IF(D858="Gadget",_xlfn.IFS(I858&gt;=0.2,0.5,I858&gt;=0.1,0.35,I858&gt;=0.05,0.2,TRUE,0),IF(D858="Grenade",_xlfn.IFS(I858&gt;=0.2,1,I858&gt;=0.1,0.7,I858&gt;=0.05,0.4,TRUE,0),0))</f>
        <v>0</v>
      </c>
      <c r="L858" s="57">
        <f t="shared" si="238"/>
        <v>0</v>
      </c>
    </row>
    <row r="859" spans="1:12" ht="15" customHeight="1" x14ac:dyDescent="0.25">
      <c r="A859" s="42" t="str" cm="1">
        <f t="array" ref="A859">IFERROR(INDEX(_xlfn._xlws.FILTER(Class_Players!A:A,Class_Players!B:B="Support"),QUOTIENT(ROW()-ROW($A$2),9)+1),"")</f>
        <v>Pisu_RGB_Defib</v>
      </c>
      <c r="B859" s="42" t="str">
        <f>_xlfn.XLOOKUP(A859,Class_Players!$A:$A,Class_Players!$B:$B,"")</f>
        <v>Support</v>
      </c>
      <c r="C859" s="38" t="str" cm="1">
        <f t="array" ref="C859">INDEX(Lookups!$D$2:$D$10,MOD(ROW()-ROW($B$2),ROWS(Lookups!$D$2:$D$10))+1)</f>
        <v>LWCMS (Mortar)</v>
      </c>
      <c r="D859" s="38" t="str">
        <f>_xlfn.XLOOKUP(C859,Analysis_Gadgets!$C:$C,Analysis_Gadgets!$B:$B)</f>
        <v>Gadget</v>
      </c>
      <c r="E859" s="43">
        <v>0</v>
      </c>
      <c r="F859" s="43">
        <f>_xlfn.XLOOKUP(A859,Class_Players!A:A,Class_Players!G:G)</f>
        <v>117</v>
      </c>
      <c r="G859" s="43">
        <f t="shared" si="235"/>
        <v>0</v>
      </c>
      <c r="H859" s="43">
        <f>_xlfn.XLOOKUP(A859,Class_Players!$A:$A,Class_Players!$F:$F,"")</f>
        <v>10350</v>
      </c>
      <c r="I859" s="44">
        <f t="shared" si="236"/>
        <v>0</v>
      </c>
      <c r="J859" s="43">
        <f t="shared" si="210"/>
        <v>0</v>
      </c>
      <c r="K859" s="44" cm="1">
        <f t="array" ref="K859">IF(D859="Gadget",_xlfn.IFS(I859&gt;=0.2,0.5,I859&gt;=0.1,0.35,I859&gt;=0.05,0.2,TRUE,0),IF(D859="Grenade",_xlfn.IFS(I859&gt;=0.2,1,I859&gt;=0.1,0.7,I859&gt;=0.05,0.4,TRUE,0),0))</f>
        <v>0</v>
      </c>
      <c r="L859" s="57">
        <f t="shared" si="238"/>
        <v>0</v>
      </c>
    </row>
    <row r="860" spans="1:12" ht="15" customHeight="1" x14ac:dyDescent="0.25">
      <c r="A860" s="42" t="str" cm="1">
        <f t="array" ref="A860">IFERROR(INDEX(_xlfn._xlws.FILTER(Class_Players!A:A,Class_Players!B:B="Support"),QUOTIENT(ROW()-ROW($A$2),9)+1),"")</f>
        <v>Pisu_RGB_Defib</v>
      </c>
      <c r="B860" s="42" t="str">
        <f>_xlfn.XLOOKUP(A860,Class_Players!$A:$A,Class_Players!$B:$B,"")</f>
        <v>Support</v>
      </c>
      <c r="C860" s="38" t="str" cm="1">
        <f t="array" ref="C860">INDEX(Lookups!$D$2:$D$10,MOD(ROW()-ROW($B$2),ROWS(Lookups!$D$2:$D$10))+1)</f>
        <v>M320A1 SMK (Smoke Grenade Launcher)</v>
      </c>
      <c r="D860" s="38" t="str">
        <f>_xlfn.XLOOKUP(C860,Analysis_Gadgets!$C:$C,Analysis_Gadgets!$B:$B)</f>
        <v>Gadget</v>
      </c>
      <c r="E860" s="43">
        <v>1</v>
      </c>
      <c r="F860" s="43">
        <f>_xlfn.XLOOKUP(A860,Class_Players!A:A,Class_Players!G:G)</f>
        <v>117</v>
      </c>
      <c r="G860" s="43">
        <f t="shared" si="235"/>
        <v>8.5470085470085479E-3</v>
      </c>
      <c r="H860" s="43">
        <f>_xlfn.XLOOKUP(A860,Class_Players!$A:$A,Class_Players!$F:$F,"")</f>
        <v>10350</v>
      </c>
      <c r="I860" s="44">
        <f t="shared" si="236"/>
        <v>9.6618357487922703E-5</v>
      </c>
      <c r="J860" s="43">
        <f t="shared" si="210"/>
        <v>0</v>
      </c>
      <c r="K860" s="44" cm="1">
        <f t="array" ref="K860">IF(D860="Gadget",_xlfn.IFS(I860&gt;=0.2,0.5,I860&gt;=0.1,0.35,I860&gt;=0.05,0.2,TRUE,0),IF(D860="Grenade",_xlfn.IFS(I860&gt;=0.2,1,I860&gt;=0.1,0.7,I860&gt;=0.05,0.4,TRUE,0),0))</f>
        <v>0</v>
      </c>
      <c r="L860" s="57">
        <f t="shared" si="238"/>
        <v>0</v>
      </c>
    </row>
    <row r="861" spans="1:12" ht="15" customHeight="1" x14ac:dyDescent="0.25">
      <c r="A861" s="42" t="str" cm="1">
        <f t="array" ref="A861">IFERROR(INDEX(_xlfn._xlws.FILTER(Class_Players!A:A,Class_Players!B:B="Support"),QUOTIENT(ROW()-ROW($A$2),9)+1),"")</f>
        <v>Pisu_RGB_Defib</v>
      </c>
      <c r="B861" s="42" t="str">
        <f>_xlfn.XLOOKUP(A861,Class_Players!$A:$A,Class_Players!$B:$B,"")</f>
        <v>Support</v>
      </c>
      <c r="C861" s="38" t="str" cm="1">
        <f t="array" ref="C861">INDEX(Lookups!$D$2:$D$10,MOD(ROW()-ROW($B$2),ROWS(Lookups!$D$2:$D$10))+1)</f>
        <v>SICH G1 WP (Incendiary Airburst Launcher)</v>
      </c>
      <c r="D861" s="38" t="str">
        <f>_xlfn.XLOOKUP(C861,Analysis_Gadgets!$C:$C,Analysis_Gadgets!$B:$B)</f>
        <v>Gadget</v>
      </c>
      <c r="E861" s="43">
        <v>0</v>
      </c>
      <c r="F861" s="43">
        <f>_xlfn.XLOOKUP(A861,Class_Players!A:A,Class_Players!G:G)</f>
        <v>117</v>
      </c>
      <c r="G861" s="43">
        <f t="shared" si="235"/>
        <v>0</v>
      </c>
      <c r="H861" s="43">
        <f>_xlfn.XLOOKUP(A861,Class_Players!$A:$A,Class_Players!$F:$F,"")</f>
        <v>10350</v>
      </c>
      <c r="I861" s="44">
        <f t="shared" si="236"/>
        <v>0</v>
      </c>
      <c r="J861" s="43">
        <f t="shared" si="210"/>
        <v>0</v>
      </c>
      <c r="K861" s="44" cm="1">
        <f t="array" ref="K861">IF(D861="Gadget",_xlfn.IFS(I861&gt;=0.2,0.5,I861&gt;=0.1,0.35,I861&gt;=0.05,0.2,TRUE,0),IF(D861="Grenade",_xlfn.IFS(I861&gt;=0.2,1,I861&gt;=0.1,0.7,I861&gt;=0.05,0.4,TRUE,0),0))</f>
        <v>0</v>
      </c>
      <c r="L861" s="57">
        <f t="shared" si="238"/>
        <v>0</v>
      </c>
    </row>
    <row r="862" spans="1:12" ht="15" customHeight="1" x14ac:dyDescent="0.25">
      <c r="A862" s="42" t="str" cm="1">
        <f t="array" ref="A862">IFERROR(INDEX(_xlfn._xlws.FILTER(Class_Players!A:A,Class_Players!B:B="Support"),QUOTIENT(ROW()-ROW($A$2),9)+1),"")</f>
        <v>Pisu_RGB_Defib</v>
      </c>
      <c r="B862" s="42" t="str">
        <f>_xlfn.XLOOKUP(A862,Class_Players!$A:$A,Class_Players!$B:$B,"")</f>
        <v>Support</v>
      </c>
      <c r="C862" s="38" t="str" cm="1">
        <f t="array" ref="C862">INDEX(Lookups!$D$2:$D$10,MOD(ROW()-ROW($B$2),ROWS(Lookups!$D$2:$D$10))+1)</f>
        <v>Deployable Cover</v>
      </c>
      <c r="D862" s="38" t="str">
        <f>_xlfn.XLOOKUP(C862,Analysis_Gadgets!$C:$C,Analysis_Gadgets!$B:$B)</f>
        <v>Gadget</v>
      </c>
      <c r="E862" s="43">
        <v>1576</v>
      </c>
      <c r="F862" s="43">
        <f>_xlfn.XLOOKUP(A862,Class_Players!A:A,Class_Players!G:G)</f>
        <v>117</v>
      </c>
      <c r="G862" s="43">
        <f t="shared" si="235"/>
        <v>13.47008547008547</v>
      </c>
      <c r="H862" s="43">
        <f>_xlfn.XLOOKUP(A862,Class_Players!$A:$A,Class_Players!$F:$F,"")</f>
        <v>10350</v>
      </c>
      <c r="I862" s="44">
        <f t="shared" si="236"/>
        <v>0.15227053140096619</v>
      </c>
      <c r="J862" s="43">
        <f t="shared" si="210"/>
        <v>1</v>
      </c>
      <c r="K862" s="44" cm="1">
        <f t="array" ref="K862">IF(D862="Gadget",_xlfn.IFS(I862&gt;=0.2,0.5,I862&gt;=0.1,0.35,I862&gt;=0.05,0.2,TRUE,0),IF(D862="Grenade",_xlfn.IFS(I862&gt;=0.2,1,I862&gt;=0.1,0.7,I862&gt;=0.05,0.4,TRUE,0),0))</f>
        <v>0.35</v>
      </c>
      <c r="L862" s="57">
        <f t="shared" si="238"/>
        <v>1</v>
      </c>
    </row>
    <row r="863" spans="1:12" ht="15" customHeight="1" x14ac:dyDescent="0.25">
      <c r="A863" s="42" t="str" cm="1">
        <f t="array" ref="A863">IFERROR(INDEX(_xlfn._xlws.FILTER(Class_Players!A:A,Class_Players!B:B="Support"),QUOTIENT(ROW()-ROW($A$2),9)+1),"")</f>
        <v>Pisu_RGB_Defib</v>
      </c>
      <c r="B863" s="42" t="str">
        <f>_xlfn.XLOOKUP(A863,Class_Players!$A:$A,Class_Players!$B:$B,"")</f>
        <v>Support</v>
      </c>
      <c r="C863" s="38" t="str" cm="1">
        <f t="array" ref="C863">INDEX(Lookups!$D$2:$D$10,MOD(ROW()-ROW($B$2),ROWS(Lookups!$D$2:$D$10))+1)</f>
        <v>Supply Pouch</v>
      </c>
      <c r="D863" s="38" t="str">
        <f>_xlfn.XLOOKUP(C863,Analysis_Gadgets!$C:$C,Analysis_Gadgets!$B:$B)</f>
        <v>Gadget</v>
      </c>
      <c r="E863" s="43">
        <v>0</v>
      </c>
      <c r="F863" s="43">
        <f>_xlfn.XLOOKUP(A863,Class_Players!A:A,Class_Players!G:G)</f>
        <v>117</v>
      </c>
      <c r="G863" s="43">
        <f t="shared" si="235"/>
        <v>0</v>
      </c>
      <c r="H863" s="43">
        <f>_xlfn.XLOOKUP(A863,Class_Players!$A:$A,Class_Players!$F:$F,"")</f>
        <v>10350</v>
      </c>
      <c r="I863" s="44">
        <f t="shared" si="236"/>
        <v>0</v>
      </c>
      <c r="J863" s="43">
        <f t="shared" si="210"/>
        <v>0</v>
      </c>
      <c r="K863" s="44" cm="1">
        <f t="array" ref="K863">IF(D863="Gadget",_xlfn.IFS(I863&gt;=0.2,0.5,I863&gt;=0.1,0.35,I863&gt;=0.05,0.2,TRUE,0),IF(D863="Grenade",_xlfn.IFS(I863&gt;=0.2,1,I863&gt;=0.1,0.7,I863&gt;=0.05,0.4,TRUE,0),0))</f>
        <v>0</v>
      </c>
      <c r="L863" s="57">
        <f t="shared" si="238"/>
        <v>0</v>
      </c>
    </row>
    <row r="864" spans="1:12" ht="15" customHeight="1" x14ac:dyDescent="0.25">
      <c r="A864" s="42" t="str" cm="1">
        <f t="array" ref="A864">IFERROR(INDEX(_xlfn._xlws.FILTER(Class_Players!A:A,Class_Players!B:B="Support"),QUOTIENT(ROW()-ROW($A$2),9)+1),"")</f>
        <v>Pisu_RGB_Defib</v>
      </c>
      <c r="B864" s="42" t="str">
        <f>_xlfn.XLOOKUP(A864,Class_Players!$A:$A,Class_Players!$B:$B,"")</f>
        <v>Support</v>
      </c>
      <c r="C864" s="38" t="str" cm="1">
        <f t="array" ref="C864">INDEX(Lookups!$D$2:$D$10,MOD(ROW()-ROW($B$2),ROWS(Lookups!$D$2:$D$10))+1)</f>
        <v>Smoke Grenade</v>
      </c>
      <c r="D864" s="38" t="str">
        <f>_xlfn.XLOOKUP(C864,Analysis_Gadgets!$C:$C,Analysis_Gadgets!$B:$B)</f>
        <v>Grenade</v>
      </c>
      <c r="E864" s="43">
        <v>2865</v>
      </c>
      <c r="F864" s="43">
        <f>_xlfn.XLOOKUP(A864,Class_Players!A:A,Class_Players!G:G)</f>
        <v>117</v>
      </c>
      <c r="G864" s="43">
        <f t="shared" si="235"/>
        <v>24.487179487179485</v>
      </c>
      <c r="H864" s="43">
        <f>_xlfn.XLOOKUP(A864,Class_Players!$A:$A,Class_Players!$F:$F,"")</f>
        <v>10350</v>
      </c>
      <c r="I864" s="44">
        <f t="shared" si="236"/>
        <v>0.27681159420289853</v>
      </c>
      <c r="J864" s="43">
        <f t="shared" si="210"/>
        <v>1</v>
      </c>
      <c r="K864" s="44" cm="1">
        <f t="array" ref="K864">IF(D864="Gadget",_xlfn.IFS(I864&gt;=0.2,0.5,I864&gt;=0.1,0.35,I864&gt;=0.05,0.2,TRUE,0),IF(D864="Grenade",_xlfn.IFS(I864&gt;=0.2,1,I864&gt;=0.1,0.7,I864&gt;=0.05,0.4,TRUE,0),0))</f>
        <v>1</v>
      </c>
      <c r="L864" s="57">
        <f t="shared" ref="L864:L865" si="239">IF($K864=0,0,$K864 / SUMIFS($K:$K,$A:$A,$A864,$D:$D,"Grenade"))</f>
        <v>0.58823529411764708</v>
      </c>
    </row>
    <row r="865" spans="1:12" ht="15" customHeight="1" x14ac:dyDescent="0.25">
      <c r="A865" s="42" t="str" cm="1">
        <f t="array" ref="A865">IFERROR(INDEX(_xlfn._xlws.FILTER(Class_Players!A:A,Class_Players!B:B="Support"),QUOTIENT(ROW()-ROW($A$2),9)+1),"")</f>
        <v>Pisu_RGB_Defib</v>
      </c>
      <c r="B865" s="42" t="str">
        <f>_xlfn.XLOOKUP(A865,Class_Players!$A:$A,Class_Players!$B:$B,"")</f>
        <v>Support</v>
      </c>
      <c r="C865" s="38" t="str" cm="1">
        <f t="array" ref="C865">INDEX(Lookups!$D$2:$D$10,MOD(ROW()-ROW($B$2),ROWS(Lookups!$D$2:$D$10))+1)</f>
        <v>Incendiary Grenade</v>
      </c>
      <c r="D865" s="38" t="str">
        <f>_xlfn.XLOOKUP(C865,Analysis_Gadgets!$C:$C,Analysis_Gadgets!$B:$B)</f>
        <v>Grenade</v>
      </c>
      <c r="E865" s="43">
        <v>2018</v>
      </c>
      <c r="F865" s="43">
        <f>_xlfn.XLOOKUP(A865,Class_Players!A:A,Class_Players!G:G)</f>
        <v>117</v>
      </c>
      <c r="G865" s="43">
        <f t="shared" si="235"/>
        <v>17.247863247863247</v>
      </c>
      <c r="H865" s="43">
        <f>_xlfn.XLOOKUP(A865,Class_Players!$A:$A,Class_Players!$F:$F,"")</f>
        <v>10350</v>
      </c>
      <c r="I865" s="44">
        <f t="shared" si="236"/>
        <v>0.19497584541062801</v>
      </c>
      <c r="J865" s="43">
        <f t="shared" si="210"/>
        <v>1</v>
      </c>
      <c r="K865" s="44" cm="1">
        <f t="array" ref="K865">IF(D865="Gadget",_xlfn.IFS(I865&gt;=0.2,0.5,I865&gt;=0.1,0.35,I865&gt;=0.05,0.2,TRUE,0),IF(D865="Grenade",_xlfn.IFS(I865&gt;=0.2,1,I865&gt;=0.1,0.7,I865&gt;=0.05,0.4,TRUE,0),0))</f>
        <v>0.7</v>
      </c>
      <c r="L865" s="57">
        <f t="shared" si="239"/>
        <v>0.41176470588235292</v>
      </c>
    </row>
    <row r="866" spans="1:12" ht="15" customHeight="1" x14ac:dyDescent="0.25">
      <c r="A866" s="42" t="str" cm="1">
        <f t="array" ref="A866">IFERROR(INDEX(_xlfn._xlws.FILTER(Class_Players!A:A,Class_Players!B:B="Support"),QUOTIENT(ROW()-ROW($A$2),9)+1),"")</f>
        <v>SKOWZER</v>
      </c>
      <c r="B866" s="42" t="str">
        <f>_xlfn.XLOOKUP(A866,Class_Players!$A:$A,Class_Players!$B:$B,"")</f>
        <v>Support</v>
      </c>
      <c r="C866" s="38" t="str" cm="1">
        <f t="array" ref="C866">INDEX(Lookups!$D$2:$D$10,MOD(ROW()-ROW($B$2),ROWS(Lookups!$D$2:$D$10))+1)</f>
        <v>GPDIS (Grenade intercept system)</v>
      </c>
      <c r="D866" s="38" t="str">
        <f>_xlfn.XLOOKUP(C866,Analysis_Gadgets!$C:$C,Analysis_Gadgets!$B:$B)</f>
        <v>Gadget</v>
      </c>
      <c r="E866" s="43">
        <v>3630</v>
      </c>
      <c r="F866" s="43">
        <f>_xlfn.XLOOKUP(A866,Class_Players!A:A,Class_Players!G:G)</f>
        <v>210</v>
      </c>
      <c r="G866" s="43">
        <f t="shared" si="235"/>
        <v>17.285714285714285</v>
      </c>
      <c r="H866" s="43">
        <f>_xlfn.XLOOKUP(A866,Class_Players!$A:$A,Class_Players!$F:$F,"")</f>
        <v>9436</v>
      </c>
      <c r="I866" s="44">
        <f t="shared" si="236"/>
        <v>0.38469690546841884</v>
      </c>
      <c r="J866" s="43">
        <f t="shared" si="210"/>
        <v>1</v>
      </c>
      <c r="K866" s="44" cm="1">
        <f t="array" ref="K866">IF(D866="Gadget",_xlfn.IFS(I866&gt;=0.2,0.5,I866&gt;=0.1,0.35,I866&gt;=0.05,0.2,TRUE,0),IF(D866="Grenade",_xlfn.IFS(I866&gt;=0.2,1,I866&gt;=0.1,0.7,I866&gt;=0.05,0.4,TRUE,0),0))</f>
        <v>0.5</v>
      </c>
      <c r="L866" s="57">
        <f t="shared" ref="L866:L872" si="240">IF($K866=0,0,$K866 / SUMIFS($K:$K,$A:$A,$A866,$D:$D,"Gadget"))</f>
        <v>1</v>
      </c>
    </row>
    <row r="867" spans="1:12" ht="15" customHeight="1" x14ac:dyDescent="0.25">
      <c r="A867" s="42" t="str" cm="1">
        <f t="array" ref="A867">IFERROR(INDEX(_xlfn._xlws.FILTER(Class_Players!A:A,Class_Players!B:B="Support"),QUOTIENT(ROW()-ROW($A$2),9)+1),"")</f>
        <v>SKOWZER</v>
      </c>
      <c r="B867" s="42" t="str">
        <f>_xlfn.XLOOKUP(A867,Class_Players!$A:$A,Class_Players!$B:$B,"")</f>
        <v>Support</v>
      </c>
      <c r="C867" s="38" t="str" cm="1">
        <f t="array" ref="C867">INDEX(Lookups!$D$2:$D$10,MOD(ROW()-ROW($B$2),ROWS(Lookups!$D$2:$D$10))+1)</f>
        <v>MP-APS (Missile intercept system)</v>
      </c>
      <c r="D867" s="38" t="str">
        <f>_xlfn.XLOOKUP(C867,Analysis_Gadgets!$C:$C,Analysis_Gadgets!$B:$B)</f>
        <v>Gadget</v>
      </c>
      <c r="E867" s="43">
        <v>16</v>
      </c>
      <c r="F867" s="43">
        <f>_xlfn.XLOOKUP(A867,Class_Players!A:A,Class_Players!G:G)</f>
        <v>210</v>
      </c>
      <c r="G867" s="43">
        <f t="shared" si="235"/>
        <v>7.6190476190476197E-2</v>
      </c>
      <c r="H867" s="43">
        <f>_xlfn.XLOOKUP(A867,Class_Players!$A:$A,Class_Players!$F:$F,"")</f>
        <v>9436</v>
      </c>
      <c r="I867" s="44">
        <f t="shared" si="236"/>
        <v>1.6956337431114879E-3</v>
      </c>
      <c r="J867" s="43">
        <f t="shared" si="210"/>
        <v>0</v>
      </c>
      <c r="K867" s="44" cm="1">
        <f t="array" ref="K867">IF(D867="Gadget",_xlfn.IFS(I867&gt;=0.2,0.5,I867&gt;=0.1,0.35,I867&gt;=0.05,0.2,TRUE,0),IF(D867="Grenade",_xlfn.IFS(I867&gt;=0.2,1,I867&gt;=0.1,0.7,I867&gt;=0.05,0.4,TRUE,0),0))</f>
        <v>0</v>
      </c>
      <c r="L867" s="57">
        <f t="shared" si="240"/>
        <v>0</v>
      </c>
    </row>
    <row r="868" spans="1:12" ht="15" customHeight="1" x14ac:dyDescent="0.25">
      <c r="A868" s="42" t="str" cm="1">
        <f t="array" ref="A868">IFERROR(INDEX(_xlfn._xlws.FILTER(Class_Players!A:A,Class_Players!B:B="Support"),QUOTIENT(ROW()-ROW($A$2),9)+1),"")</f>
        <v>SKOWZER</v>
      </c>
      <c r="B868" s="42" t="str">
        <f>_xlfn.XLOOKUP(A868,Class_Players!$A:$A,Class_Players!$B:$B,"")</f>
        <v>Support</v>
      </c>
      <c r="C868" s="38" t="str" cm="1">
        <f t="array" ref="C868">INDEX(Lookups!$D$2:$D$10,MOD(ROW()-ROW($B$2),ROWS(Lookups!$D$2:$D$10))+1)</f>
        <v>LWCMS (Mortar)</v>
      </c>
      <c r="D868" s="38" t="str">
        <f>_xlfn.XLOOKUP(C868,Analysis_Gadgets!$C:$C,Analysis_Gadgets!$B:$B)</f>
        <v>Gadget</v>
      </c>
      <c r="E868" s="43">
        <v>2</v>
      </c>
      <c r="F868" s="43">
        <f>_xlfn.XLOOKUP(A868,Class_Players!A:A,Class_Players!G:G)</f>
        <v>210</v>
      </c>
      <c r="G868" s="43">
        <f t="shared" si="235"/>
        <v>9.5238095238095247E-3</v>
      </c>
      <c r="H868" s="43">
        <f>_xlfn.XLOOKUP(A868,Class_Players!$A:$A,Class_Players!$F:$F,"")</f>
        <v>9436</v>
      </c>
      <c r="I868" s="44">
        <f t="shared" si="236"/>
        <v>2.1195421788893599E-4</v>
      </c>
      <c r="J868" s="43">
        <f t="shared" si="210"/>
        <v>0</v>
      </c>
      <c r="K868" s="44" cm="1">
        <f t="array" ref="K868">IF(D868="Gadget",_xlfn.IFS(I868&gt;=0.2,0.5,I868&gt;=0.1,0.35,I868&gt;=0.05,0.2,TRUE,0),IF(D868="Grenade",_xlfn.IFS(I868&gt;=0.2,1,I868&gt;=0.1,0.7,I868&gt;=0.05,0.4,TRUE,0),0))</f>
        <v>0</v>
      </c>
      <c r="L868" s="57">
        <f t="shared" si="240"/>
        <v>0</v>
      </c>
    </row>
    <row r="869" spans="1:12" ht="15" customHeight="1" x14ac:dyDescent="0.25">
      <c r="A869" s="42" t="str" cm="1">
        <f t="array" ref="A869">IFERROR(INDEX(_xlfn._xlws.FILTER(Class_Players!A:A,Class_Players!B:B="Support"),QUOTIENT(ROW()-ROW($A$2),9)+1),"")</f>
        <v>SKOWZER</v>
      </c>
      <c r="B869" s="42" t="str">
        <f>_xlfn.XLOOKUP(A869,Class_Players!$A:$A,Class_Players!$B:$B,"")</f>
        <v>Support</v>
      </c>
      <c r="C869" s="38" t="str" cm="1">
        <f t="array" ref="C869">INDEX(Lookups!$D$2:$D$10,MOD(ROW()-ROW($B$2),ROWS(Lookups!$D$2:$D$10))+1)</f>
        <v>M320A1 SMK (Smoke Grenade Launcher)</v>
      </c>
      <c r="D869" s="38" t="str">
        <f>_xlfn.XLOOKUP(C869,Analysis_Gadgets!$C:$C,Analysis_Gadgets!$B:$B)</f>
        <v>Gadget</v>
      </c>
      <c r="E869" s="43">
        <v>193</v>
      </c>
      <c r="F869" s="43">
        <f>_xlfn.XLOOKUP(A869,Class_Players!A:A,Class_Players!G:G)</f>
        <v>210</v>
      </c>
      <c r="G869" s="43">
        <f t="shared" si="235"/>
        <v>0.919047619047619</v>
      </c>
      <c r="H869" s="43">
        <f>_xlfn.XLOOKUP(A869,Class_Players!$A:$A,Class_Players!$F:$F,"")</f>
        <v>9436</v>
      </c>
      <c r="I869" s="44">
        <f t="shared" si="236"/>
        <v>2.0453582026282321E-2</v>
      </c>
      <c r="J869" s="43">
        <f t="shared" si="210"/>
        <v>0</v>
      </c>
      <c r="K869" s="44" cm="1">
        <f t="array" ref="K869">IF(D869="Gadget",_xlfn.IFS(I869&gt;=0.2,0.5,I869&gt;=0.1,0.35,I869&gt;=0.05,0.2,TRUE,0),IF(D869="Grenade",_xlfn.IFS(I869&gt;=0.2,1,I869&gt;=0.1,0.7,I869&gt;=0.05,0.4,TRUE,0),0))</f>
        <v>0</v>
      </c>
      <c r="L869" s="57">
        <f t="shared" si="240"/>
        <v>0</v>
      </c>
    </row>
    <row r="870" spans="1:12" ht="15" customHeight="1" x14ac:dyDescent="0.25">
      <c r="A870" s="42" t="str" cm="1">
        <f t="array" ref="A870">IFERROR(INDEX(_xlfn._xlws.FILTER(Class_Players!A:A,Class_Players!B:B="Support"),QUOTIENT(ROW()-ROW($A$2),9)+1),"")</f>
        <v>SKOWZER</v>
      </c>
      <c r="B870" s="42" t="str">
        <f>_xlfn.XLOOKUP(A870,Class_Players!$A:$A,Class_Players!$B:$B,"")</f>
        <v>Support</v>
      </c>
      <c r="C870" s="38" t="str" cm="1">
        <f t="array" ref="C870">INDEX(Lookups!$D$2:$D$10,MOD(ROW()-ROW($B$2),ROWS(Lookups!$D$2:$D$10))+1)</f>
        <v>SICH G1 WP (Incendiary Airburst Launcher)</v>
      </c>
      <c r="D870" s="38" t="str">
        <f>_xlfn.XLOOKUP(C870,Analysis_Gadgets!$C:$C,Analysis_Gadgets!$B:$B)</f>
        <v>Gadget</v>
      </c>
      <c r="E870" s="43">
        <v>172</v>
      </c>
      <c r="F870" s="43">
        <f>_xlfn.XLOOKUP(A870,Class_Players!A:A,Class_Players!G:G)</f>
        <v>210</v>
      </c>
      <c r="G870" s="43">
        <f t="shared" si="235"/>
        <v>0.81904761904761902</v>
      </c>
      <c r="H870" s="43">
        <f>_xlfn.XLOOKUP(A870,Class_Players!$A:$A,Class_Players!$F:$F,"")</f>
        <v>9436</v>
      </c>
      <c r="I870" s="44">
        <f t="shared" si="236"/>
        <v>1.8228062738448497E-2</v>
      </c>
      <c r="J870" s="43">
        <f t="shared" si="210"/>
        <v>0</v>
      </c>
      <c r="K870" s="44" cm="1">
        <f t="array" ref="K870">IF(D870="Gadget",_xlfn.IFS(I870&gt;=0.2,0.5,I870&gt;=0.1,0.35,I870&gt;=0.05,0.2,TRUE,0),IF(D870="Grenade",_xlfn.IFS(I870&gt;=0.2,1,I870&gt;=0.1,0.7,I870&gt;=0.05,0.4,TRUE,0),0))</f>
        <v>0</v>
      </c>
      <c r="L870" s="57">
        <f t="shared" si="240"/>
        <v>0</v>
      </c>
    </row>
    <row r="871" spans="1:12" ht="15" customHeight="1" x14ac:dyDescent="0.25">
      <c r="A871" s="42" t="str" cm="1">
        <f t="array" ref="A871">IFERROR(INDEX(_xlfn._xlws.FILTER(Class_Players!A:A,Class_Players!B:B="Support"),QUOTIENT(ROW()-ROW($A$2),9)+1),"")</f>
        <v>SKOWZER</v>
      </c>
      <c r="B871" s="42" t="str">
        <f>_xlfn.XLOOKUP(A871,Class_Players!$A:$A,Class_Players!$B:$B,"")</f>
        <v>Support</v>
      </c>
      <c r="C871" s="38" t="str" cm="1">
        <f t="array" ref="C871">INDEX(Lookups!$D$2:$D$10,MOD(ROW()-ROW($B$2),ROWS(Lookups!$D$2:$D$10))+1)</f>
        <v>Deployable Cover</v>
      </c>
      <c r="D871" s="38" t="str">
        <f>_xlfn.XLOOKUP(C871,Analysis_Gadgets!$C:$C,Analysis_Gadgets!$B:$B)</f>
        <v>Gadget</v>
      </c>
      <c r="E871" s="43">
        <v>85</v>
      </c>
      <c r="F871" s="43">
        <f>_xlfn.XLOOKUP(A871,Class_Players!A:A,Class_Players!G:G)</f>
        <v>210</v>
      </c>
      <c r="G871" s="43">
        <f t="shared" si="235"/>
        <v>0.40476190476190477</v>
      </c>
      <c r="H871" s="43">
        <f>_xlfn.XLOOKUP(A871,Class_Players!$A:$A,Class_Players!$F:$F,"")</f>
        <v>9436</v>
      </c>
      <c r="I871" s="44">
        <f t="shared" si="236"/>
        <v>9.0080542602797801E-3</v>
      </c>
      <c r="J871" s="43">
        <f t="shared" si="210"/>
        <v>0</v>
      </c>
      <c r="K871" s="44" cm="1">
        <f t="array" ref="K871">IF(D871="Gadget",_xlfn.IFS(I871&gt;=0.2,0.5,I871&gt;=0.1,0.35,I871&gt;=0.05,0.2,TRUE,0),IF(D871="Grenade",_xlfn.IFS(I871&gt;=0.2,1,I871&gt;=0.1,0.7,I871&gt;=0.05,0.4,TRUE,0),0))</f>
        <v>0</v>
      </c>
      <c r="L871" s="57">
        <f t="shared" si="240"/>
        <v>0</v>
      </c>
    </row>
    <row r="872" spans="1:12" ht="15" customHeight="1" x14ac:dyDescent="0.25">
      <c r="A872" s="42" t="str" cm="1">
        <f t="array" ref="A872">IFERROR(INDEX(_xlfn._xlws.FILTER(Class_Players!A:A,Class_Players!B:B="Support"),QUOTIENT(ROW()-ROW($A$2),9)+1),"")</f>
        <v>SKOWZER</v>
      </c>
      <c r="B872" s="42" t="str">
        <f>_xlfn.XLOOKUP(A872,Class_Players!$A:$A,Class_Players!$B:$B,"")</f>
        <v>Support</v>
      </c>
      <c r="C872" s="38" t="str" cm="1">
        <f t="array" ref="C872">INDEX(Lookups!$D$2:$D$10,MOD(ROW()-ROW($B$2),ROWS(Lookups!$D$2:$D$10))+1)</f>
        <v>Supply Pouch</v>
      </c>
      <c r="D872" s="38" t="str">
        <f>_xlfn.XLOOKUP(C872,Analysis_Gadgets!$C:$C,Analysis_Gadgets!$B:$B)</f>
        <v>Gadget</v>
      </c>
      <c r="E872" s="43">
        <v>89</v>
      </c>
      <c r="F872" s="43">
        <f>_xlfn.XLOOKUP(A872,Class_Players!A:A,Class_Players!G:G)</f>
        <v>210</v>
      </c>
      <c r="G872" s="43">
        <f t="shared" si="235"/>
        <v>0.4238095238095238</v>
      </c>
      <c r="H872" s="43">
        <f>_xlfn.XLOOKUP(A872,Class_Players!$A:$A,Class_Players!$F:$F,"")</f>
        <v>9436</v>
      </c>
      <c r="I872" s="44">
        <f t="shared" si="236"/>
        <v>9.4319626960576511E-3</v>
      </c>
      <c r="J872" s="43">
        <f t="shared" si="210"/>
        <v>0</v>
      </c>
      <c r="K872" s="44" cm="1">
        <f t="array" ref="K872">IF(D872="Gadget",_xlfn.IFS(I872&gt;=0.2,0.5,I872&gt;=0.1,0.35,I872&gt;=0.05,0.2,TRUE,0),IF(D872="Grenade",_xlfn.IFS(I872&gt;=0.2,1,I872&gt;=0.1,0.7,I872&gt;=0.05,0.4,TRUE,0),0))</f>
        <v>0</v>
      </c>
      <c r="L872" s="57">
        <f t="shared" si="240"/>
        <v>0</v>
      </c>
    </row>
    <row r="873" spans="1:12" ht="15" customHeight="1" x14ac:dyDescent="0.25">
      <c r="A873" s="42" t="str" cm="1">
        <f t="array" ref="A873">IFERROR(INDEX(_xlfn._xlws.FILTER(Class_Players!A:A,Class_Players!B:B="Support"),QUOTIENT(ROW()-ROW($A$2),9)+1),"")</f>
        <v>SKOWZER</v>
      </c>
      <c r="B873" s="42" t="str">
        <f>_xlfn.XLOOKUP(A873,Class_Players!$A:$A,Class_Players!$B:$B,"")</f>
        <v>Support</v>
      </c>
      <c r="C873" s="38" t="str" cm="1">
        <f t="array" ref="C873">INDEX(Lookups!$D$2:$D$10,MOD(ROW()-ROW($B$2),ROWS(Lookups!$D$2:$D$10))+1)</f>
        <v>Smoke Grenade</v>
      </c>
      <c r="D873" s="38" t="str">
        <f>_xlfn.XLOOKUP(C873,Analysis_Gadgets!$C:$C,Analysis_Gadgets!$B:$B)</f>
        <v>Grenade</v>
      </c>
      <c r="E873" s="43">
        <v>3623</v>
      </c>
      <c r="F873" s="43">
        <f>_xlfn.XLOOKUP(A873,Class_Players!A:A,Class_Players!G:G)</f>
        <v>210</v>
      </c>
      <c r="G873" s="43">
        <f t="shared" si="235"/>
        <v>17.252380952380953</v>
      </c>
      <c r="H873" s="43">
        <f>_xlfn.XLOOKUP(A873,Class_Players!$A:$A,Class_Players!$F:$F,"")</f>
        <v>9436</v>
      </c>
      <c r="I873" s="44">
        <f t="shared" si="236"/>
        <v>0.38395506570580756</v>
      </c>
      <c r="J873" s="43">
        <f t="shared" si="210"/>
        <v>1</v>
      </c>
      <c r="K873" s="44" cm="1">
        <f t="array" ref="K873">IF(D873="Gadget",_xlfn.IFS(I873&gt;=0.2,0.5,I873&gt;=0.1,0.35,I873&gt;=0.05,0.2,TRUE,0),IF(D873="Grenade",_xlfn.IFS(I873&gt;=0.2,1,I873&gt;=0.1,0.7,I873&gt;=0.05,0.4,TRUE,0),0))</f>
        <v>1</v>
      </c>
      <c r="L873" s="57">
        <f t="shared" ref="L873:L874" si="241">IF($K873=0,0,$K873 / SUMIFS($K:$K,$A:$A,$A873,$D:$D,"Grenade"))</f>
        <v>1</v>
      </c>
    </row>
    <row r="874" spans="1:12" ht="15" customHeight="1" x14ac:dyDescent="0.25">
      <c r="A874" s="42" t="str" cm="1">
        <f t="array" ref="A874">IFERROR(INDEX(_xlfn._xlws.FILTER(Class_Players!A:A,Class_Players!B:B="Support"),QUOTIENT(ROW()-ROW($A$2),9)+1),"")</f>
        <v>SKOWZER</v>
      </c>
      <c r="B874" s="42" t="str">
        <f>_xlfn.XLOOKUP(A874,Class_Players!$A:$A,Class_Players!$B:$B,"")</f>
        <v>Support</v>
      </c>
      <c r="C874" s="38" t="str" cm="1">
        <f t="array" ref="C874">INDEX(Lookups!$D$2:$D$10,MOD(ROW()-ROW($B$2),ROWS(Lookups!$D$2:$D$10))+1)</f>
        <v>Incendiary Grenade</v>
      </c>
      <c r="D874" s="38" t="str">
        <f>_xlfn.XLOOKUP(C874,Analysis_Gadgets!$C:$C,Analysis_Gadgets!$B:$B)</f>
        <v>Grenade</v>
      </c>
      <c r="E874" s="43">
        <v>2</v>
      </c>
      <c r="F874" s="43">
        <f>_xlfn.XLOOKUP(A874,Class_Players!A:A,Class_Players!G:G)</f>
        <v>210</v>
      </c>
      <c r="G874" s="43">
        <f t="shared" si="235"/>
        <v>9.5238095238095247E-3</v>
      </c>
      <c r="H874" s="43">
        <f>_xlfn.XLOOKUP(A874,Class_Players!$A:$A,Class_Players!$F:$F,"")</f>
        <v>9436</v>
      </c>
      <c r="I874" s="44">
        <f t="shared" si="236"/>
        <v>2.1195421788893599E-4</v>
      </c>
      <c r="J874" s="43">
        <f t="shared" si="210"/>
        <v>0</v>
      </c>
      <c r="K874" s="44" cm="1">
        <f t="array" ref="K874">IF(D874="Gadget",_xlfn.IFS(I874&gt;=0.2,0.5,I874&gt;=0.1,0.35,I874&gt;=0.05,0.2,TRUE,0),IF(D874="Grenade",_xlfn.IFS(I874&gt;=0.2,1,I874&gt;=0.1,0.7,I874&gt;=0.05,0.4,TRUE,0),0))</f>
        <v>0</v>
      </c>
      <c r="L874" s="57">
        <f t="shared" si="241"/>
        <v>0</v>
      </c>
    </row>
    <row r="875" spans="1:12" ht="15" customHeight="1" x14ac:dyDescent="0.25">
      <c r="A875" s="42" t="str" cm="1">
        <f t="array" ref="A875">IFERROR(INDEX(_xlfn._xlws.FILTER(Class_Players!A:A,Class_Players!B:B="Support"),QUOTIENT(ROW()-ROW($A$2),9)+1),"")</f>
        <v>DasBomsom</v>
      </c>
      <c r="B875" s="42" t="str">
        <f>_xlfn.XLOOKUP(A875,Class_Players!$A:$A,Class_Players!$B:$B,"")</f>
        <v>Support</v>
      </c>
      <c r="C875" s="38" t="str" cm="1">
        <f t="array" ref="C875">INDEX(Lookups!$D$2:$D$10,MOD(ROW()-ROW($B$2),ROWS(Lookups!$D$2:$D$10))+1)</f>
        <v>GPDIS (Grenade intercept system)</v>
      </c>
      <c r="D875" s="38" t="str">
        <f>_xlfn.XLOOKUP(C875,Analysis_Gadgets!$C:$C,Analysis_Gadgets!$B:$B)</f>
        <v>Gadget</v>
      </c>
      <c r="E875" s="43">
        <v>119</v>
      </c>
      <c r="F875" s="43">
        <f>_xlfn.XLOOKUP(A875,Class_Players!A:A,Class_Players!G:G)</f>
        <v>208</v>
      </c>
      <c r="G875" s="43">
        <f t="shared" si="235"/>
        <v>0.57211538461538458</v>
      </c>
      <c r="H875" s="43">
        <f>_xlfn.XLOOKUP(A875,Class_Players!$A:$A,Class_Players!$F:$F,"")</f>
        <v>9704</v>
      </c>
      <c r="I875" s="44">
        <f t="shared" si="236"/>
        <v>1.2262984336356142E-2</v>
      </c>
      <c r="J875" s="43">
        <f t="shared" si="210"/>
        <v>0</v>
      </c>
      <c r="K875" s="44" cm="1">
        <f t="array" ref="K875">IF(D875="Gadget",_xlfn.IFS(I875&gt;=0.2,0.5,I875&gt;=0.1,0.35,I875&gt;=0.05,0.2,TRUE,0),IF(D875="Grenade",_xlfn.IFS(I875&gt;=0.2,1,I875&gt;=0.1,0.7,I875&gt;=0.05,0.4,TRUE,0),0))</f>
        <v>0</v>
      </c>
      <c r="L875" s="57">
        <f t="shared" ref="L875:L881" si="242">IF($K875=0,0,$K875 / SUMIFS($K:$K,$A:$A,$A875,$D:$D,"Gadget"))</f>
        <v>0</v>
      </c>
    </row>
    <row r="876" spans="1:12" ht="15" customHeight="1" x14ac:dyDescent="0.25">
      <c r="A876" s="42" t="str" cm="1">
        <f t="array" ref="A876">IFERROR(INDEX(_xlfn._xlws.FILTER(Class_Players!A:A,Class_Players!B:B="Support"),QUOTIENT(ROW()-ROW($A$2),9)+1),"")</f>
        <v>DasBomsom</v>
      </c>
      <c r="B876" s="42" t="str">
        <f>_xlfn.XLOOKUP(A876,Class_Players!$A:$A,Class_Players!$B:$B,"")</f>
        <v>Support</v>
      </c>
      <c r="C876" s="38" t="str" cm="1">
        <f t="array" ref="C876">INDEX(Lookups!$D$2:$D$10,MOD(ROW()-ROW($B$2),ROWS(Lookups!$D$2:$D$10))+1)</f>
        <v>MP-APS (Missile intercept system)</v>
      </c>
      <c r="D876" s="38" t="str">
        <f>_xlfn.XLOOKUP(C876,Analysis_Gadgets!$C:$C,Analysis_Gadgets!$B:$B)</f>
        <v>Gadget</v>
      </c>
      <c r="E876" s="43">
        <v>0</v>
      </c>
      <c r="F876" s="43">
        <f>_xlfn.XLOOKUP(A876,Class_Players!A:A,Class_Players!G:G)</f>
        <v>208</v>
      </c>
      <c r="G876" s="43">
        <f t="shared" si="235"/>
        <v>0</v>
      </c>
      <c r="H876" s="43">
        <f>_xlfn.XLOOKUP(A876,Class_Players!$A:$A,Class_Players!$F:$F,"")</f>
        <v>9704</v>
      </c>
      <c r="I876" s="44">
        <f t="shared" si="236"/>
        <v>0</v>
      </c>
      <c r="J876" s="43">
        <f t="shared" si="210"/>
        <v>0</v>
      </c>
      <c r="K876" s="44" cm="1">
        <f t="array" ref="K876">IF(D876="Gadget",_xlfn.IFS(I876&gt;=0.2,0.5,I876&gt;=0.1,0.35,I876&gt;=0.05,0.2,TRUE,0),IF(D876="Grenade",_xlfn.IFS(I876&gt;=0.2,1,I876&gt;=0.1,0.7,I876&gt;=0.05,0.4,TRUE,0),0))</f>
        <v>0</v>
      </c>
      <c r="L876" s="57">
        <f t="shared" si="242"/>
        <v>0</v>
      </c>
    </row>
    <row r="877" spans="1:12" ht="15" customHeight="1" x14ac:dyDescent="0.25">
      <c r="A877" s="42" t="str" cm="1">
        <f t="array" ref="A877">IFERROR(INDEX(_xlfn._xlws.FILTER(Class_Players!A:A,Class_Players!B:B="Support"),QUOTIENT(ROW()-ROW($A$2),9)+1),"")</f>
        <v>DasBomsom</v>
      </c>
      <c r="B877" s="42" t="str">
        <f>_xlfn.XLOOKUP(A877,Class_Players!$A:$A,Class_Players!$B:$B,"")</f>
        <v>Support</v>
      </c>
      <c r="C877" s="38" t="str" cm="1">
        <f t="array" ref="C877">INDEX(Lookups!$D$2:$D$10,MOD(ROW()-ROW($B$2),ROWS(Lookups!$D$2:$D$10))+1)</f>
        <v>LWCMS (Mortar)</v>
      </c>
      <c r="D877" s="38" t="str">
        <f>_xlfn.XLOOKUP(C877,Analysis_Gadgets!$C:$C,Analysis_Gadgets!$B:$B)</f>
        <v>Gadget</v>
      </c>
      <c r="E877" s="43">
        <v>8</v>
      </c>
      <c r="F877" s="43">
        <f>_xlfn.XLOOKUP(A877,Class_Players!A:A,Class_Players!G:G)</f>
        <v>208</v>
      </c>
      <c r="G877" s="43">
        <f t="shared" si="235"/>
        <v>3.8461538461538464E-2</v>
      </c>
      <c r="H877" s="43">
        <f>_xlfn.XLOOKUP(A877,Class_Players!$A:$A,Class_Players!$F:$F,"")</f>
        <v>9704</v>
      </c>
      <c r="I877" s="44">
        <f t="shared" si="236"/>
        <v>8.2440230832646333E-4</v>
      </c>
      <c r="J877" s="43">
        <f t="shared" si="210"/>
        <v>0</v>
      </c>
      <c r="K877" s="44" cm="1">
        <f t="array" ref="K877">IF(D877="Gadget",_xlfn.IFS(I877&gt;=0.2,0.5,I877&gt;=0.1,0.35,I877&gt;=0.05,0.2,TRUE,0),IF(D877="Grenade",_xlfn.IFS(I877&gt;=0.2,1,I877&gt;=0.1,0.7,I877&gt;=0.05,0.4,TRUE,0),0))</f>
        <v>0</v>
      </c>
      <c r="L877" s="57">
        <f t="shared" si="242"/>
        <v>0</v>
      </c>
    </row>
    <row r="878" spans="1:12" ht="15" customHeight="1" x14ac:dyDescent="0.25">
      <c r="A878" s="42" t="str" cm="1">
        <f t="array" ref="A878">IFERROR(INDEX(_xlfn._xlws.FILTER(Class_Players!A:A,Class_Players!B:B="Support"),QUOTIENT(ROW()-ROW($A$2),9)+1),"")</f>
        <v>DasBomsom</v>
      </c>
      <c r="B878" s="42" t="str">
        <f>_xlfn.XLOOKUP(A878,Class_Players!$A:$A,Class_Players!$B:$B,"")</f>
        <v>Support</v>
      </c>
      <c r="C878" s="38" t="str" cm="1">
        <f t="array" ref="C878">INDEX(Lookups!$D$2:$D$10,MOD(ROW()-ROW($B$2),ROWS(Lookups!$D$2:$D$10))+1)</f>
        <v>M320A1 SMK (Smoke Grenade Launcher)</v>
      </c>
      <c r="D878" s="38" t="str">
        <f>_xlfn.XLOOKUP(C878,Analysis_Gadgets!$C:$C,Analysis_Gadgets!$B:$B)</f>
        <v>Gadget</v>
      </c>
      <c r="E878" s="43">
        <v>0</v>
      </c>
      <c r="F878" s="43">
        <f>_xlfn.XLOOKUP(A878,Class_Players!A:A,Class_Players!G:G)</f>
        <v>208</v>
      </c>
      <c r="G878" s="43">
        <f t="shared" si="235"/>
        <v>0</v>
      </c>
      <c r="H878" s="43">
        <f>_xlfn.XLOOKUP(A878,Class_Players!$A:$A,Class_Players!$F:$F,"")</f>
        <v>9704</v>
      </c>
      <c r="I878" s="44">
        <f t="shared" si="236"/>
        <v>0</v>
      </c>
      <c r="J878" s="43">
        <f t="shared" si="210"/>
        <v>0</v>
      </c>
      <c r="K878" s="44" cm="1">
        <f t="array" ref="K878">IF(D878="Gadget",_xlfn.IFS(I878&gt;=0.2,0.5,I878&gt;=0.1,0.35,I878&gt;=0.05,0.2,TRUE,0),IF(D878="Grenade",_xlfn.IFS(I878&gt;=0.2,1,I878&gt;=0.1,0.7,I878&gt;=0.05,0.4,TRUE,0),0))</f>
        <v>0</v>
      </c>
      <c r="L878" s="57">
        <f t="shared" si="242"/>
        <v>0</v>
      </c>
    </row>
    <row r="879" spans="1:12" ht="15" customHeight="1" x14ac:dyDescent="0.25">
      <c r="A879" s="42" t="str" cm="1">
        <f t="array" ref="A879">IFERROR(INDEX(_xlfn._xlws.FILTER(Class_Players!A:A,Class_Players!B:B="Support"),QUOTIENT(ROW()-ROW($A$2),9)+1),"")</f>
        <v>DasBomsom</v>
      </c>
      <c r="B879" s="42" t="str">
        <f>_xlfn.XLOOKUP(A879,Class_Players!$A:$A,Class_Players!$B:$B,"")</f>
        <v>Support</v>
      </c>
      <c r="C879" s="38" t="str" cm="1">
        <f t="array" ref="C879">INDEX(Lookups!$D$2:$D$10,MOD(ROW()-ROW($B$2),ROWS(Lookups!$D$2:$D$10))+1)</f>
        <v>SICH G1 WP (Incendiary Airburst Launcher)</v>
      </c>
      <c r="D879" s="38" t="str">
        <f>_xlfn.XLOOKUP(C879,Analysis_Gadgets!$C:$C,Analysis_Gadgets!$B:$B)</f>
        <v>Gadget</v>
      </c>
      <c r="E879" s="43">
        <v>1988</v>
      </c>
      <c r="F879" s="43">
        <f>_xlfn.XLOOKUP(A879,Class_Players!A:A,Class_Players!G:G)</f>
        <v>208</v>
      </c>
      <c r="G879" s="43">
        <f t="shared" si="235"/>
        <v>9.5576923076923084</v>
      </c>
      <c r="H879" s="43">
        <f>_xlfn.XLOOKUP(A879,Class_Players!$A:$A,Class_Players!$F:$F,"")</f>
        <v>9704</v>
      </c>
      <c r="I879" s="44">
        <f t="shared" si="236"/>
        <v>0.20486397361912614</v>
      </c>
      <c r="J879" s="43">
        <f t="shared" si="210"/>
        <v>1</v>
      </c>
      <c r="K879" s="44" cm="1">
        <f t="array" ref="K879">IF(D879="Gadget",_xlfn.IFS(I879&gt;=0.2,0.5,I879&gt;=0.1,0.35,I879&gt;=0.05,0.2,TRUE,0),IF(D879="Grenade",_xlfn.IFS(I879&gt;=0.2,1,I879&gt;=0.1,0.7,I879&gt;=0.05,0.4,TRUE,0),0))</f>
        <v>0.5</v>
      </c>
      <c r="L879" s="57">
        <f t="shared" si="242"/>
        <v>0.5</v>
      </c>
    </row>
    <row r="880" spans="1:12" ht="15" customHeight="1" x14ac:dyDescent="0.25">
      <c r="A880" s="42" t="str" cm="1">
        <f t="array" ref="A880">IFERROR(INDEX(_xlfn._xlws.FILTER(Class_Players!A:A,Class_Players!B:B="Support"),QUOTIENT(ROW()-ROW($A$2),9)+1),"")</f>
        <v>DasBomsom</v>
      </c>
      <c r="B880" s="42" t="str">
        <f>_xlfn.XLOOKUP(A880,Class_Players!$A:$A,Class_Players!$B:$B,"")</f>
        <v>Support</v>
      </c>
      <c r="C880" s="38" t="str" cm="1">
        <f t="array" ref="C880">INDEX(Lookups!$D$2:$D$10,MOD(ROW()-ROW($B$2),ROWS(Lookups!$D$2:$D$10))+1)</f>
        <v>Deployable Cover</v>
      </c>
      <c r="D880" s="38" t="str">
        <f>_xlfn.XLOOKUP(C880,Analysis_Gadgets!$C:$C,Analysis_Gadgets!$B:$B)</f>
        <v>Gadget</v>
      </c>
      <c r="E880" s="43">
        <v>324</v>
      </c>
      <c r="F880" s="43">
        <f>_xlfn.XLOOKUP(A880,Class_Players!A:A,Class_Players!G:G)</f>
        <v>208</v>
      </c>
      <c r="G880" s="43">
        <f t="shared" si="235"/>
        <v>1.5576923076923077</v>
      </c>
      <c r="H880" s="43">
        <f>_xlfn.XLOOKUP(A880,Class_Players!$A:$A,Class_Players!$F:$F,"")</f>
        <v>9704</v>
      </c>
      <c r="I880" s="44">
        <f t="shared" si="236"/>
        <v>3.3388293487221762E-2</v>
      </c>
      <c r="J880" s="43">
        <f t="shared" si="210"/>
        <v>0</v>
      </c>
      <c r="K880" s="44" cm="1">
        <f t="array" ref="K880">IF(D880="Gadget",_xlfn.IFS(I880&gt;=0.2,0.5,I880&gt;=0.1,0.35,I880&gt;=0.05,0.2,TRUE,0),IF(D880="Grenade",_xlfn.IFS(I880&gt;=0.2,1,I880&gt;=0.1,0.7,I880&gt;=0.05,0.4,TRUE,0),0))</f>
        <v>0</v>
      </c>
      <c r="L880" s="57">
        <f t="shared" si="242"/>
        <v>0</v>
      </c>
    </row>
    <row r="881" spans="1:12" ht="15" customHeight="1" x14ac:dyDescent="0.25">
      <c r="A881" s="42" t="str" cm="1">
        <f t="array" ref="A881">IFERROR(INDEX(_xlfn._xlws.FILTER(Class_Players!A:A,Class_Players!B:B="Support"),QUOTIENT(ROW()-ROW($A$2),9)+1),"")</f>
        <v>DasBomsom</v>
      </c>
      <c r="B881" s="42" t="str">
        <f>_xlfn.XLOOKUP(A881,Class_Players!$A:$A,Class_Players!$B:$B,"")</f>
        <v>Support</v>
      </c>
      <c r="C881" s="38" t="str" cm="1">
        <f t="array" ref="C881">INDEX(Lookups!$D$2:$D$10,MOD(ROW()-ROW($B$2),ROWS(Lookups!$D$2:$D$10))+1)</f>
        <v>Supply Pouch</v>
      </c>
      <c r="D881" s="38" t="str">
        <f>_xlfn.XLOOKUP(C881,Analysis_Gadgets!$C:$C,Analysis_Gadgets!$B:$B)</f>
        <v>Gadget</v>
      </c>
      <c r="E881" s="43">
        <v>6585</v>
      </c>
      <c r="F881" s="43">
        <f>_xlfn.XLOOKUP(A881,Class_Players!A:A,Class_Players!G:G)</f>
        <v>208</v>
      </c>
      <c r="G881" s="43">
        <f t="shared" si="235"/>
        <v>31.658653846153847</v>
      </c>
      <c r="H881" s="43">
        <f>_xlfn.XLOOKUP(A881,Class_Players!$A:$A,Class_Players!$F:$F,"")</f>
        <v>9704</v>
      </c>
      <c r="I881" s="44">
        <f t="shared" si="236"/>
        <v>0.67858615004122014</v>
      </c>
      <c r="J881" s="43">
        <f t="shared" si="210"/>
        <v>1</v>
      </c>
      <c r="K881" s="44" cm="1">
        <f t="array" ref="K881">IF(D881="Gadget",_xlfn.IFS(I881&gt;=0.2,0.5,I881&gt;=0.1,0.35,I881&gt;=0.05,0.2,TRUE,0),IF(D881="Grenade",_xlfn.IFS(I881&gt;=0.2,1,I881&gt;=0.1,0.7,I881&gt;=0.05,0.4,TRUE,0),0))</f>
        <v>0.5</v>
      </c>
      <c r="L881" s="57">
        <f t="shared" si="242"/>
        <v>0.5</v>
      </c>
    </row>
    <row r="882" spans="1:12" ht="15" customHeight="1" x14ac:dyDescent="0.25">
      <c r="A882" s="42" t="str" cm="1">
        <f t="array" ref="A882">IFERROR(INDEX(_xlfn._xlws.FILTER(Class_Players!A:A,Class_Players!B:B="Support"),QUOTIENT(ROW()-ROW($A$2),9)+1),"")</f>
        <v>DasBomsom</v>
      </c>
      <c r="B882" s="42" t="str">
        <f>_xlfn.XLOOKUP(A882,Class_Players!$A:$A,Class_Players!$B:$B,"")</f>
        <v>Support</v>
      </c>
      <c r="C882" s="38" t="str" cm="1">
        <f t="array" ref="C882">INDEX(Lookups!$D$2:$D$10,MOD(ROW()-ROW($B$2),ROWS(Lookups!$D$2:$D$10))+1)</f>
        <v>Smoke Grenade</v>
      </c>
      <c r="D882" s="38" t="str">
        <f>_xlfn.XLOOKUP(C882,Analysis_Gadgets!$C:$C,Analysis_Gadgets!$B:$B)</f>
        <v>Grenade</v>
      </c>
      <c r="E882" s="43">
        <v>3408</v>
      </c>
      <c r="F882" s="43">
        <f>_xlfn.XLOOKUP(A882,Class_Players!A:A,Class_Players!G:G)</f>
        <v>208</v>
      </c>
      <c r="G882" s="43">
        <f t="shared" si="235"/>
        <v>16.384615384615383</v>
      </c>
      <c r="H882" s="43">
        <f>_xlfn.XLOOKUP(A882,Class_Players!$A:$A,Class_Players!$F:$F,"")</f>
        <v>9704</v>
      </c>
      <c r="I882" s="44">
        <f t="shared" si="236"/>
        <v>0.3511953833470734</v>
      </c>
      <c r="J882" s="43">
        <f t="shared" si="210"/>
        <v>1</v>
      </c>
      <c r="K882" s="44" cm="1">
        <f t="array" ref="K882">IF(D882="Gadget",_xlfn.IFS(I882&gt;=0.2,0.5,I882&gt;=0.1,0.35,I882&gt;=0.05,0.2,TRUE,0),IF(D882="Grenade",_xlfn.IFS(I882&gt;=0.2,1,I882&gt;=0.1,0.7,I882&gt;=0.05,0.4,TRUE,0),0))</f>
        <v>1</v>
      </c>
      <c r="L882" s="57">
        <f t="shared" ref="L882:L883" si="243">IF($K882=0,0,$K882 / SUMIFS($K:$K,$A:$A,$A882,$D:$D,"Grenade"))</f>
        <v>1</v>
      </c>
    </row>
    <row r="883" spans="1:12" ht="15" customHeight="1" x14ac:dyDescent="0.25">
      <c r="A883" s="42" t="str" cm="1">
        <f t="array" ref="A883">IFERROR(INDEX(_xlfn._xlws.FILTER(Class_Players!A:A,Class_Players!B:B="Support"),QUOTIENT(ROW()-ROW($A$2),9)+1),"")</f>
        <v>DasBomsom</v>
      </c>
      <c r="B883" s="42" t="str">
        <f>_xlfn.XLOOKUP(A883,Class_Players!$A:$A,Class_Players!$B:$B,"")</f>
        <v>Support</v>
      </c>
      <c r="C883" s="38" t="str" cm="1">
        <f t="array" ref="C883">INDEX(Lookups!$D$2:$D$10,MOD(ROW()-ROW($B$2),ROWS(Lookups!$D$2:$D$10))+1)</f>
        <v>Incendiary Grenade</v>
      </c>
      <c r="D883" s="38" t="str">
        <f>_xlfn.XLOOKUP(C883,Analysis_Gadgets!$C:$C,Analysis_Gadgets!$B:$B)</f>
        <v>Grenade</v>
      </c>
      <c r="E883" s="43">
        <v>3</v>
      </c>
      <c r="F883" s="43">
        <f>_xlfn.XLOOKUP(A883,Class_Players!A:A,Class_Players!G:G)</f>
        <v>208</v>
      </c>
      <c r="G883" s="43">
        <f t="shared" si="235"/>
        <v>1.4423076923076924E-2</v>
      </c>
      <c r="H883" s="43">
        <f>_xlfn.XLOOKUP(A883,Class_Players!$A:$A,Class_Players!$F:$F,"")</f>
        <v>9704</v>
      </c>
      <c r="I883" s="44">
        <f t="shared" si="236"/>
        <v>3.0915086562242374E-4</v>
      </c>
      <c r="J883" s="43">
        <f t="shared" si="210"/>
        <v>0</v>
      </c>
      <c r="K883" s="44" cm="1">
        <f t="array" ref="K883">IF(D883="Gadget",_xlfn.IFS(I883&gt;=0.2,0.5,I883&gt;=0.1,0.35,I883&gt;=0.05,0.2,TRUE,0),IF(D883="Grenade",_xlfn.IFS(I883&gt;=0.2,1,I883&gt;=0.1,0.7,I883&gt;=0.05,0.4,TRUE,0),0))</f>
        <v>0</v>
      </c>
      <c r="L883" s="57">
        <f t="shared" si="243"/>
        <v>0</v>
      </c>
    </row>
    <row r="884" spans="1:12" ht="15" customHeight="1" x14ac:dyDescent="0.25">
      <c r="A884" s="42" t="str" cm="1">
        <f t="array" ref="A884">IFERROR(INDEX(_xlfn._xlws.FILTER(Class_Players!A:A,Class_Players!B:B="Support"),QUOTIENT(ROW()-ROW($A$2),9)+1),"")</f>
        <v>TheVAG4BOND</v>
      </c>
      <c r="B884" s="42" t="str">
        <f>_xlfn.XLOOKUP(A884,Class_Players!$A:$A,Class_Players!$B:$B,"")</f>
        <v>Support</v>
      </c>
      <c r="C884" s="38" t="str" cm="1">
        <f t="array" ref="C884">INDEX(Lookups!$D$2:$D$10,MOD(ROW()-ROW($B$2),ROWS(Lookups!$D$2:$D$10))+1)</f>
        <v>GPDIS (Grenade intercept system)</v>
      </c>
      <c r="D884" s="38" t="str">
        <f>_xlfn.XLOOKUP(C884,Analysis_Gadgets!$C:$C,Analysis_Gadgets!$B:$B)</f>
        <v>Gadget</v>
      </c>
      <c r="E884" s="43">
        <v>5</v>
      </c>
      <c r="F884" s="43">
        <f>_xlfn.XLOOKUP(A884,Class_Players!A:A,Class_Players!G:G)</f>
        <v>331</v>
      </c>
      <c r="G884" s="43">
        <f t="shared" si="235"/>
        <v>1.5105740181268883E-2</v>
      </c>
      <c r="H884" s="43">
        <f>_xlfn.XLOOKUP(A884,Class_Players!$A:$A,Class_Players!$F:$F,"")</f>
        <v>9234</v>
      </c>
      <c r="I884" s="44">
        <f t="shared" si="236"/>
        <v>5.4147714966428417E-4</v>
      </c>
      <c r="J884" s="43">
        <f t="shared" si="210"/>
        <v>0</v>
      </c>
      <c r="K884" s="44" cm="1">
        <f t="array" ref="K884">IF(D884="Gadget",_xlfn.IFS(I884&gt;=0.2,0.5,I884&gt;=0.1,0.35,I884&gt;=0.05,0.2,TRUE,0),IF(D884="Grenade",_xlfn.IFS(I884&gt;=0.2,1,I884&gt;=0.1,0.7,I884&gt;=0.05,0.4,TRUE,0),0))</f>
        <v>0</v>
      </c>
      <c r="L884" s="57">
        <f t="shared" ref="L884:L890" si="244">IF($K884=0,0,$K884 / SUMIFS($K:$K,$A:$A,$A884,$D:$D,"Gadget"))</f>
        <v>0</v>
      </c>
    </row>
    <row r="885" spans="1:12" ht="15" customHeight="1" x14ac:dyDescent="0.25">
      <c r="A885" s="42" t="str" cm="1">
        <f t="array" ref="A885">IFERROR(INDEX(_xlfn._xlws.FILTER(Class_Players!A:A,Class_Players!B:B="Support"),QUOTIENT(ROW()-ROW($A$2),9)+1),"")</f>
        <v>TheVAG4BOND</v>
      </c>
      <c r="B885" s="42" t="str">
        <f>_xlfn.XLOOKUP(A885,Class_Players!$A:$A,Class_Players!$B:$B,"")</f>
        <v>Support</v>
      </c>
      <c r="C885" s="38" t="str" cm="1">
        <f t="array" ref="C885">INDEX(Lookups!$D$2:$D$10,MOD(ROW()-ROW($B$2),ROWS(Lookups!$D$2:$D$10))+1)</f>
        <v>MP-APS (Missile intercept system)</v>
      </c>
      <c r="D885" s="38" t="str">
        <f>_xlfn.XLOOKUP(C885,Analysis_Gadgets!$C:$C,Analysis_Gadgets!$B:$B)</f>
        <v>Gadget</v>
      </c>
      <c r="E885" s="43">
        <v>0</v>
      </c>
      <c r="F885" s="43">
        <f>_xlfn.XLOOKUP(A885,Class_Players!A:A,Class_Players!G:G)</f>
        <v>331</v>
      </c>
      <c r="G885" s="43">
        <f t="shared" si="235"/>
        <v>0</v>
      </c>
      <c r="H885" s="43">
        <f>_xlfn.XLOOKUP(A885,Class_Players!$A:$A,Class_Players!$F:$F,"")</f>
        <v>9234</v>
      </c>
      <c r="I885" s="44">
        <f t="shared" si="236"/>
        <v>0</v>
      </c>
      <c r="J885" s="43">
        <f t="shared" si="210"/>
        <v>0</v>
      </c>
      <c r="K885" s="44" cm="1">
        <f t="array" ref="K885">IF(D885="Gadget",_xlfn.IFS(I885&gt;=0.2,0.5,I885&gt;=0.1,0.35,I885&gt;=0.05,0.2,TRUE,0),IF(D885="Grenade",_xlfn.IFS(I885&gt;=0.2,1,I885&gt;=0.1,0.7,I885&gt;=0.05,0.4,TRUE,0),0))</f>
        <v>0</v>
      </c>
      <c r="L885" s="57">
        <f t="shared" si="244"/>
        <v>0</v>
      </c>
    </row>
    <row r="886" spans="1:12" ht="15" customHeight="1" x14ac:dyDescent="0.25">
      <c r="A886" s="42" t="str" cm="1">
        <f t="array" ref="A886">IFERROR(INDEX(_xlfn._xlws.FILTER(Class_Players!A:A,Class_Players!B:B="Support"),QUOTIENT(ROW()-ROW($A$2),9)+1),"")</f>
        <v>TheVAG4BOND</v>
      </c>
      <c r="B886" s="42" t="str">
        <f>_xlfn.XLOOKUP(A886,Class_Players!$A:$A,Class_Players!$B:$B,"")</f>
        <v>Support</v>
      </c>
      <c r="C886" s="38" t="str" cm="1">
        <f t="array" ref="C886">INDEX(Lookups!$D$2:$D$10,MOD(ROW()-ROW($B$2),ROWS(Lookups!$D$2:$D$10))+1)</f>
        <v>LWCMS (Mortar)</v>
      </c>
      <c r="D886" s="38" t="str">
        <f>_xlfn.XLOOKUP(C886,Analysis_Gadgets!$C:$C,Analysis_Gadgets!$B:$B)</f>
        <v>Gadget</v>
      </c>
      <c r="E886" s="43">
        <v>0</v>
      </c>
      <c r="F886" s="43">
        <f>_xlfn.XLOOKUP(A886,Class_Players!A:A,Class_Players!G:G)</f>
        <v>331</v>
      </c>
      <c r="G886" s="43">
        <f t="shared" si="235"/>
        <v>0</v>
      </c>
      <c r="H886" s="43">
        <f>_xlfn.XLOOKUP(A886,Class_Players!$A:$A,Class_Players!$F:$F,"")</f>
        <v>9234</v>
      </c>
      <c r="I886" s="44">
        <f t="shared" si="236"/>
        <v>0</v>
      </c>
      <c r="J886" s="43">
        <f t="shared" si="210"/>
        <v>0</v>
      </c>
      <c r="K886" s="44" cm="1">
        <f t="array" ref="K886">IF(D886="Gadget",_xlfn.IFS(I886&gt;=0.2,0.5,I886&gt;=0.1,0.35,I886&gt;=0.05,0.2,TRUE,0),IF(D886="Grenade",_xlfn.IFS(I886&gt;=0.2,1,I886&gt;=0.1,0.7,I886&gt;=0.05,0.4,TRUE,0),0))</f>
        <v>0</v>
      </c>
      <c r="L886" s="57">
        <f t="shared" si="244"/>
        <v>0</v>
      </c>
    </row>
    <row r="887" spans="1:12" ht="15" customHeight="1" x14ac:dyDescent="0.25">
      <c r="A887" s="42" t="str" cm="1">
        <f t="array" ref="A887">IFERROR(INDEX(_xlfn._xlws.FILTER(Class_Players!A:A,Class_Players!B:B="Support"),QUOTIENT(ROW()-ROW($A$2),9)+1),"")</f>
        <v>TheVAG4BOND</v>
      </c>
      <c r="B887" s="42" t="str">
        <f>_xlfn.XLOOKUP(A887,Class_Players!$A:$A,Class_Players!$B:$B,"")</f>
        <v>Support</v>
      </c>
      <c r="C887" s="38" t="str" cm="1">
        <f t="array" ref="C887">INDEX(Lookups!$D$2:$D$10,MOD(ROW()-ROW($B$2),ROWS(Lookups!$D$2:$D$10))+1)</f>
        <v>M320A1 SMK (Smoke Grenade Launcher)</v>
      </c>
      <c r="D887" s="38" t="str">
        <f>_xlfn.XLOOKUP(C887,Analysis_Gadgets!$C:$C,Analysis_Gadgets!$B:$B)</f>
        <v>Gadget</v>
      </c>
      <c r="E887" s="43">
        <v>6</v>
      </c>
      <c r="F887" s="43">
        <f>_xlfn.XLOOKUP(A887,Class_Players!A:A,Class_Players!G:G)</f>
        <v>331</v>
      </c>
      <c r="G887" s="43">
        <f t="shared" si="235"/>
        <v>1.812688821752266E-2</v>
      </c>
      <c r="H887" s="43">
        <f>_xlfn.XLOOKUP(A887,Class_Players!$A:$A,Class_Players!$F:$F,"")</f>
        <v>9234</v>
      </c>
      <c r="I887" s="44">
        <f t="shared" si="236"/>
        <v>6.4977257959714096E-4</v>
      </c>
      <c r="J887" s="43">
        <f t="shared" si="210"/>
        <v>0</v>
      </c>
      <c r="K887" s="44" cm="1">
        <f t="array" ref="K887">IF(D887="Gadget",_xlfn.IFS(I887&gt;=0.2,0.5,I887&gt;=0.1,0.35,I887&gt;=0.05,0.2,TRUE,0),IF(D887="Grenade",_xlfn.IFS(I887&gt;=0.2,1,I887&gt;=0.1,0.7,I887&gt;=0.05,0.4,TRUE,0),0))</f>
        <v>0</v>
      </c>
      <c r="L887" s="57">
        <f t="shared" si="244"/>
        <v>0</v>
      </c>
    </row>
    <row r="888" spans="1:12" ht="15" customHeight="1" x14ac:dyDescent="0.25">
      <c r="A888" s="42" t="str" cm="1">
        <f t="array" ref="A888">IFERROR(INDEX(_xlfn._xlws.FILTER(Class_Players!A:A,Class_Players!B:B="Support"),QUOTIENT(ROW()-ROW($A$2),9)+1),"")</f>
        <v>TheVAG4BOND</v>
      </c>
      <c r="B888" s="42" t="str">
        <f>_xlfn.XLOOKUP(A888,Class_Players!$A:$A,Class_Players!$B:$B,"")</f>
        <v>Support</v>
      </c>
      <c r="C888" s="38" t="str" cm="1">
        <f t="array" ref="C888">INDEX(Lookups!$D$2:$D$10,MOD(ROW()-ROW($B$2),ROWS(Lookups!$D$2:$D$10))+1)</f>
        <v>SICH G1 WP (Incendiary Airburst Launcher)</v>
      </c>
      <c r="D888" s="38" t="str">
        <f>_xlfn.XLOOKUP(C888,Analysis_Gadgets!$C:$C,Analysis_Gadgets!$B:$B)</f>
        <v>Gadget</v>
      </c>
      <c r="E888" s="43">
        <v>0</v>
      </c>
      <c r="F888" s="43">
        <f>_xlfn.XLOOKUP(A888,Class_Players!A:A,Class_Players!G:G)</f>
        <v>331</v>
      </c>
      <c r="G888" s="43">
        <f t="shared" si="235"/>
        <v>0</v>
      </c>
      <c r="H888" s="43">
        <f>_xlfn.XLOOKUP(A888,Class_Players!$A:$A,Class_Players!$F:$F,"")</f>
        <v>9234</v>
      </c>
      <c r="I888" s="44">
        <f t="shared" si="236"/>
        <v>0</v>
      </c>
      <c r="J888" s="43">
        <f t="shared" si="210"/>
        <v>0</v>
      </c>
      <c r="K888" s="44" cm="1">
        <f t="array" ref="K888">IF(D888="Gadget",_xlfn.IFS(I888&gt;=0.2,0.5,I888&gt;=0.1,0.35,I888&gt;=0.05,0.2,TRUE,0),IF(D888="Grenade",_xlfn.IFS(I888&gt;=0.2,1,I888&gt;=0.1,0.7,I888&gt;=0.05,0.4,TRUE,0),0))</f>
        <v>0</v>
      </c>
      <c r="L888" s="57">
        <f t="shared" si="244"/>
        <v>0</v>
      </c>
    </row>
    <row r="889" spans="1:12" ht="15" customHeight="1" x14ac:dyDescent="0.25">
      <c r="A889" s="42" t="str" cm="1">
        <f t="array" ref="A889">IFERROR(INDEX(_xlfn._xlws.FILTER(Class_Players!A:A,Class_Players!B:B="Support"),QUOTIENT(ROW()-ROW($A$2),9)+1),"")</f>
        <v>TheVAG4BOND</v>
      </c>
      <c r="B889" s="42" t="str">
        <f>_xlfn.XLOOKUP(A889,Class_Players!$A:$A,Class_Players!$B:$B,"")</f>
        <v>Support</v>
      </c>
      <c r="C889" s="38" t="str" cm="1">
        <f t="array" ref="C889">INDEX(Lookups!$D$2:$D$10,MOD(ROW()-ROW($B$2),ROWS(Lookups!$D$2:$D$10))+1)</f>
        <v>Deployable Cover</v>
      </c>
      <c r="D889" s="38" t="str">
        <f>_xlfn.XLOOKUP(C889,Analysis_Gadgets!$C:$C,Analysis_Gadgets!$B:$B)</f>
        <v>Gadget</v>
      </c>
      <c r="E889" s="43">
        <v>4630</v>
      </c>
      <c r="F889" s="43">
        <f>_xlfn.XLOOKUP(A889,Class_Players!A:A,Class_Players!G:G)</f>
        <v>331</v>
      </c>
      <c r="G889" s="43">
        <f t="shared" si="235"/>
        <v>13.987915407854985</v>
      </c>
      <c r="H889" s="43">
        <f>_xlfn.XLOOKUP(A889,Class_Players!$A:$A,Class_Players!$F:$F,"")</f>
        <v>9234</v>
      </c>
      <c r="I889" s="44">
        <f t="shared" si="236"/>
        <v>0.50140784058912713</v>
      </c>
      <c r="J889" s="43">
        <f t="shared" si="210"/>
        <v>1</v>
      </c>
      <c r="K889" s="44" cm="1">
        <f t="array" ref="K889">IF(D889="Gadget",_xlfn.IFS(I889&gt;=0.2,0.5,I889&gt;=0.1,0.35,I889&gt;=0.05,0.2,TRUE,0),IF(D889="Grenade",_xlfn.IFS(I889&gt;=0.2,1,I889&gt;=0.1,0.7,I889&gt;=0.05,0.4,TRUE,0),0))</f>
        <v>0.5</v>
      </c>
      <c r="L889" s="57">
        <f t="shared" si="244"/>
        <v>1</v>
      </c>
    </row>
    <row r="890" spans="1:12" ht="15" customHeight="1" x14ac:dyDescent="0.25">
      <c r="A890" s="42" t="str" cm="1">
        <f t="array" ref="A890">IFERROR(INDEX(_xlfn._xlws.FILTER(Class_Players!A:A,Class_Players!B:B="Support"),QUOTIENT(ROW()-ROW($A$2),9)+1),"")</f>
        <v>TheVAG4BOND</v>
      </c>
      <c r="B890" s="42" t="str">
        <f>_xlfn.XLOOKUP(A890,Class_Players!$A:$A,Class_Players!$B:$B,"")</f>
        <v>Support</v>
      </c>
      <c r="C890" s="38" t="str" cm="1">
        <f t="array" ref="C890">INDEX(Lookups!$D$2:$D$10,MOD(ROW()-ROW($B$2),ROWS(Lookups!$D$2:$D$10))+1)</f>
        <v>Supply Pouch</v>
      </c>
      <c r="D890" s="38" t="str">
        <f>_xlfn.XLOOKUP(C890,Analysis_Gadgets!$C:$C,Analysis_Gadgets!$B:$B)</f>
        <v>Gadget</v>
      </c>
      <c r="E890" s="43">
        <v>1</v>
      </c>
      <c r="F890" s="43">
        <f>_xlfn.XLOOKUP(A890,Class_Players!A:A,Class_Players!G:G)</f>
        <v>331</v>
      </c>
      <c r="G890" s="43">
        <f t="shared" si="235"/>
        <v>3.0211480362537764E-3</v>
      </c>
      <c r="H890" s="43">
        <f>_xlfn.XLOOKUP(A890,Class_Players!$A:$A,Class_Players!$F:$F,"")</f>
        <v>9234</v>
      </c>
      <c r="I890" s="44">
        <f t="shared" si="236"/>
        <v>1.0829542993285683E-4</v>
      </c>
      <c r="J890" s="43">
        <f t="shared" si="210"/>
        <v>0</v>
      </c>
      <c r="K890" s="44" cm="1">
        <f t="array" ref="K890">IF(D890="Gadget",_xlfn.IFS(I890&gt;=0.2,0.5,I890&gt;=0.1,0.35,I890&gt;=0.05,0.2,TRUE,0),IF(D890="Grenade",_xlfn.IFS(I890&gt;=0.2,1,I890&gt;=0.1,0.7,I890&gt;=0.05,0.4,TRUE,0),0))</f>
        <v>0</v>
      </c>
      <c r="L890" s="57">
        <f t="shared" si="244"/>
        <v>0</v>
      </c>
    </row>
    <row r="891" spans="1:12" ht="15" customHeight="1" x14ac:dyDescent="0.25">
      <c r="A891" s="42" t="str" cm="1">
        <f t="array" ref="A891">IFERROR(INDEX(_xlfn._xlws.FILTER(Class_Players!A:A,Class_Players!B:B="Support"),QUOTIENT(ROW()-ROW($A$2),9)+1),"")</f>
        <v>TheVAG4BOND</v>
      </c>
      <c r="B891" s="42" t="str">
        <f>_xlfn.XLOOKUP(A891,Class_Players!$A:$A,Class_Players!$B:$B,"")</f>
        <v>Support</v>
      </c>
      <c r="C891" s="38" t="str" cm="1">
        <f t="array" ref="C891">INDEX(Lookups!$D$2:$D$10,MOD(ROW()-ROW($B$2),ROWS(Lookups!$D$2:$D$10))+1)</f>
        <v>Smoke Grenade</v>
      </c>
      <c r="D891" s="38" t="str">
        <f>_xlfn.XLOOKUP(C891,Analysis_Gadgets!$C:$C,Analysis_Gadgets!$B:$B)</f>
        <v>Grenade</v>
      </c>
      <c r="E891" s="43">
        <v>10</v>
      </c>
      <c r="F891" s="43">
        <f>_xlfn.XLOOKUP(A891,Class_Players!A:A,Class_Players!G:G)</f>
        <v>331</v>
      </c>
      <c r="G891" s="43">
        <f t="shared" si="235"/>
        <v>3.0211480362537766E-2</v>
      </c>
      <c r="H891" s="43">
        <f>_xlfn.XLOOKUP(A891,Class_Players!$A:$A,Class_Players!$F:$F,"")</f>
        <v>9234</v>
      </c>
      <c r="I891" s="44">
        <f t="shared" si="236"/>
        <v>1.0829542993285683E-3</v>
      </c>
      <c r="J891" s="43">
        <f t="shared" si="210"/>
        <v>0</v>
      </c>
      <c r="K891" s="44" cm="1">
        <f t="array" ref="K891">IF(D891="Gadget",_xlfn.IFS(I891&gt;=0.2,0.5,I891&gt;=0.1,0.35,I891&gt;=0.05,0.2,TRUE,0),IF(D891="Grenade",_xlfn.IFS(I891&gt;=0.2,1,I891&gt;=0.1,0.7,I891&gt;=0.05,0.4,TRUE,0),0))</f>
        <v>0</v>
      </c>
      <c r="L891" s="57">
        <f t="shared" ref="L891:L892" si="245">IF($K891=0,0,$K891 / SUMIFS($K:$K,$A:$A,$A891,$D:$D,"Grenade"))</f>
        <v>0</v>
      </c>
    </row>
    <row r="892" spans="1:12" ht="15" customHeight="1" x14ac:dyDescent="0.25">
      <c r="A892" s="42" t="str" cm="1">
        <f t="array" ref="A892">IFERROR(INDEX(_xlfn._xlws.FILTER(Class_Players!A:A,Class_Players!B:B="Support"),QUOTIENT(ROW()-ROW($A$2),9)+1),"")</f>
        <v>TheVAG4BOND</v>
      </c>
      <c r="B892" s="42" t="str">
        <f>_xlfn.XLOOKUP(A892,Class_Players!$A:$A,Class_Players!$B:$B,"")</f>
        <v>Support</v>
      </c>
      <c r="C892" s="38" t="str" cm="1">
        <f t="array" ref="C892">INDEX(Lookups!$D$2:$D$10,MOD(ROW()-ROW($B$2),ROWS(Lookups!$D$2:$D$10))+1)</f>
        <v>Incendiary Grenade</v>
      </c>
      <c r="D892" s="38" t="str">
        <f>_xlfn.XLOOKUP(C892,Analysis_Gadgets!$C:$C,Analysis_Gadgets!$B:$B)</f>
        <v>Grenade</v>
      </c>
      <c r="E892" s="43">
        <v>6172</v>
      </c>
      <c r="F892" s="43">
        <f>_xlfn.XLOOKUP(A892,Class_Players!A:A,Class_Players!G:G)</f>
        <v>331</v>
      </c>
      <c r="G892" s="43">
        <f t="shared" si="235"/>
        <v>18.646525679758309</v>
      </c>
      <c r="H892" s="43">
        <f>_xlfn.XLOOKUP(A892,Class_Players!$A:$A,Class_Players!$F:$F,"")</f>
        <v>9234</v>
      </c>
      <c r="I892" s="44">
        <f t="shared" si="236"/>
        <v>0.66839939354559241</v>
      </c>
      <c r="J892" s="43">
        <f t="shared" si="210"/>
        <v>1</v>
      </c>
      <c r="K892" s="44" cm="1">
        <f t="array" ref="K892">IF(D892="Gadget",_xlfn.IFS(I892&gt;=0.2,0.5,I892&gt;=0.1,0.35,I892&gt;=0.05,0.2,TRUE,0),IF(D892="Grenade",_xlfn.IFS(I892&gt;=0.2,1,I892&gt;=0.1,0.7,I892&gt;=0.05,0.4,TRUE,0),0))</f>
        <v>1</v>
      </c>
      <c r="L892" s="57">
        <f t="shared" si="245"/>
        <v>1</v>
      </c>
    </row>
    <row r="893" spans="1:12" ht="15" customHeight="1" x14ac:dyDescent="0.25">
      <c r="A893" s="42" t="str" cm="1">
        <f t="array" ref="A893">IFERROR(INDEX(_xlfn._xlws.FILTER(Class_Players!A:A,Class_Players!B:B="Support"),QUOTIENT(ROW()-ROW($A$2),9)+1),"")</f>
        <v>sF-S1D656TTV</v>
      </c>
      <c r="B893" s="42" t="str">
        <f>_xlfn.XLOOKUP(A893,Class_Players!$A:$A,Class_Players!$B:$B,"")</f>
        <v>Support</v>
      </c>
      <c r="C893" s="38" t="str" cm="1">
        <f t="array" ref="C893">INDEX(Lookups!$D$2:$D$10,MOD(ROW()-ROW($B$2),ROWS(Lookups!$D$2:$D$10))+1)</f>
        <v>GPDIS (Grenade intercept system)</v>
      </c>
      <c r="D893" s="38" t="str">
        <f>_xlfn.XLOOKUP(C893,Analysis_Gadgets!$C:$C,Analysis_Gadgets!$B:$B)</f>
        <v>Gadget</v>
      </c>
      <c r="E893" s="43">
        <v>57</v>
      </c>
      <c r="F893" s="43">
        <f>_xlfn.XLOOKUP(A893,Class_Players!A:A,Class_Players!G:G)</f>
        <v>154</v>
      </c>
      <c r="G893" s="43">
        <f t="shared" si="235"/>
        <v>0.37012987012987014</v>
      </c>
      <c r="H893" s="43">
        <f>_xlfn.XLOOKUP(A893,Class_Players!$A:$A,Class_Players!$F:$F,"")</f>
        <v>9192</v>
      </c>
      <c r="I893" s="44">
        <f t="shared" si="236"/>
        <v>6.2010443864229763E-3</v>
      </c>
      <c r="J893" s="43">
        <f t="shared" si="210"/>
        <v>0</v>
      </c>
      <c r="K893" s="44" cm="1">
        <f t="array" ref="K893">IF(D893="Gadget",_xlfn.IFS(I893&gt;=0.2,0.5,I893&gt;=0.1,0.35,I893&gt;=0.05,0.2,TRUE,0),IF(D893="Grenade",_xlfn.IFS(I893&gt;=0.2,1,I893&gt;=0.1,0.7,I893&gt;=0.05,0.4,TRUE,0),0))</f>
        <v>0</v>
      </c>
      <c r="L893" s="57">
        <f t="shared" ref="L893:L899" si="246">IF($K893=0,0,$K893 / SUMIFS($K:$K,$A:$A,$A893,$D:$D,"Gadget"))</f>
        <v>0</v>
      </c>
    </row>
    <row r="894" spans="1:12" ht="15" customHeight="1" x14ac:dyDescent="0.25">
      <c r="A894" s="42" t="str" cm="1">
        <f t="array" ref="A894">IFERROR(INDEX(_xlfn._xlws.FILTER(Class_Players!A:A,Class_Players!B:B="Support"),QUOTIENT(ROW()-ROW($A$2),9)+1),"")</f>
        <v>sF-S1D656TTV</v>
      </c>
      <c r="B894" s="42" t="str">
        <f>_xlfn.XLOOKUP(A894,Class_Players!$A:$A,Class_Players!$B:$B,"")</f>
        <v>Support</v>
      </c>
      <c r="C894" s="38" t="str" cm="1">
        <f t="array" ref="C894">INDEX(Lookups!$D$2:$D$10,MOD(ROW()-ROW($B$2),ROWS(Lookups!$D$2:$D$10))+1)</f>
        <v>MP-APS (Missile intercept system)</v>
      </c>
      <c r="D894" s="38" t="str">
        <f>_xlfn.XLOOKUP(C894,Analysis_Gadgets!$C:$C,Analysis_Gadgets!$B:$B)</f>
        <v>Gadget</v>
      </c>
      <c r="E894" s="43">
        <v>0</v>
      </c>
      <c r="F894" s="43">
        <f>_xlfn.XLOOKUP(A894,Class_Players!A:A,Class_Players!G:G)</f>
        <v>154</v>
      </c>
      <c r="G894" s="43">
        <f t="shared" si="235"/>
        <v>0</v>
      </c>
      <c r="H894" s="43">
        <f>_xlfn.XLOOKUP(A894,Class_Players!$A:$A,Class_Players!$F:$F,"")</f>
        <v>9192</v>
      </c>
      <c r="I894" s="44">
        <f t="shared" si="236"/>
        <v>0</v>
      </c>
      <c r="J894" s="43">
        <f t="shared" si="210"/>
        <v>0</v>
      </c>
      <c r="K894" s="44" cm="1">
        <f t="array" ref="K894">IF(D894="Gadget",_xlfn.IFS(I894&gt;=0.2,0.5,I894&gt;=0.1,0.35,I894&gt;=0.05,0.2,TRUE,0),IF(D894="Grenade",_xlfn.IFS(I894&gt;=0.2,1,I894&gt;=0.1,0.7,I894&gt;=0.05,0.4,TRUE,0),0))</f>
        <v>0</v>
      </c>
      <c r="L894" s="57">
        <f t="shared" si="246"/>
        <v>0</v>
      </c>
    </row>
    <row r="895" spans="1:12" ht="15" customHeight="1" x14ac:dyDescent="0.25">
      <c r="A895" s="42" t="str" cm="1">
        <f t="array" ref="A895">IFERROR(INDEX(_xlfn._xlws.FILTER(Class_Players!A:A,Class_Players!B:B="Support"),QUOTIENT(ROW()-ROW($A$2),9)+1),"")</f>
        <v>sF-S1D656TTV</v>
      </c>
      <c r="B895" s="42" t="str">
        <f>_xlfn.XLOOKUP(A895,Class_Players!$A:$A,Class_Players!$B:$B,"")</f>
        <v>Support</v>
      </c>
      <c r="C895" s="38" t="str" cm="1">
        <f t="array" ref="C895">INDEX(Lookups!$D$2:$D$10,MOD(ROW()-ROW($B$2),ROWS(Lookups!$D$2:$D$10))+1)</f>
        <v>LWCMS (Mortar)</v>
      </c>
      <c r="D895" s="38" t="str">
        <f>_xlfn.XLOOKUP(C895,Analysis_Gadgets!$C:$C,Analysis_Gadgets!$B:$B)</f>
        <v>Gadget</v>
      </c>
      <c r="E895" s="43">
        <v>18</v>
      </c>
      <c r="F895" s="43">
        <f>_xlfn.XLOOKUP(A895,Class_Players!A:A,Class_Players!G:G)</f>
        <v>154</v>
      </c>
      <c r="G895" s="43">
        <f t="shared" si="235"/>
        <v>0.11688311688311688</v>
      </c>
      <c r="H895" s="43">
        <f>_xlfn.XLOOKUP(A895,Class_Players!$A:$A,Class_Players!$F:$F,"")</f>
        <v>9192</v>
      </c>
      <c r="I895" s="44">
        <f t="shared" si="236"/>
        <v>1.9582245430809398E-3</v>
      </c>
      <c r="J895" s="43">
        <f t="shared" si="210"/>
        <v>0</v>
      </c>
      <c r="K895" s="44" cm="1">
        <f t="array" ref="K895">IF(D895="Gadget",_xlfn.IFS(I895&gt;=0.2,0.5,I895&gt;=0.1,0.35,I895&gt;=0.05,0.2,TRUE,0),IF(D895="Grenade",_xlfn.IFS(I895&gt;=0.2,1,I895&gt;=0.1,0.7,I895&gt;=0.05,0.4,TRUE,0),0))</f>
        <v>0</v>
      </c>
      <c r="L895" s="57">
        <f t="shared" si="246"/>
        <v>0</v>
      </c>
    </row>
    <row r="896" spans="1:12" ht="15" customHeight="1" x14ac:dyDescent="0.25">
      <c r="A896" s="42" t="str" cm="1">
        <f t="array" ref="A896">IFERROR(INDEX(_xlfn._xlws.FILTER(Class_Players!A:A,Class_Players!B:B="Support"),QUOTIENT(ROW()-ROW($A$2),9)+1),"")</f>
        <v>sF-S1D656TTV</v>
      </c>
      <c r="B896" s="42" t="str">
        <f>_xlfn.XLOOKUP(A896,Class_Players!$A:$A,Class_Players!$B:$B,"")</f>
        <v>Support</v>
      </c>
      <c r="C896" s="38" t="str" cm="1">
        <f t="array" ref="C896">INDEX(Lookups!$D$2:$D$10,MOD(ROW()-ROW($B$2),ROWS(Lookups!$D$2:$D$10))+1)</f>
        <v>M320A1 SMK (Smoke Grenade Launcher)</v>
      </c>
      <c r="D896" s="38" t="str">
        <f>_xlfn.XLOOKUP(C896,Analysis_Gadgets!$C:$C,Analysis_Gadgets!$B:$B)</f>
        <v>Gadget</v>
      </c>
      <c r="E896" s="43">
        <v>663</v>
      </c>
      <c r="F896" s="43">
        <f>_xlfn.XLOOKUP(A896,Class_Players!A:A,Class_Players!G:G)</f>
        <v>154</v>
      </c>
      <c r="G896" s="43">
        <f t="shared" si="235"/>
        <v>4.3051948051948052</v>
      </c>
      <c r="H896" s="43">
        <f>_xlfn.XLOOKUP(A896,Class_Players!$A:$A,Class_Players!$F:$F,"")</f>
        <v>9192</v>
      </c>
      <c r="I896" s="44">
        <f t="shared" si="236"/>
        <v>7.2127937336814621E-2</v>
      </c>
      <c r="J896" s="43">
        <f t="shared" si="210"/>
        <v>0</v>
      </c>
      <c r="K896" s="44" cm="1">
        <f t="array" ref="K896">IF(D896="Gadget",_xlfn.IFS(I896&gt;=0.2,0.5,I896&gt;=0.1,0.35,I896&gt;=0.05,0.2,TRUE,0),IF(D896="Grenade",_xlfn.IFS(I896&gt;=0.2,1,I896&gt;=0.1,0.7,I896&gt;=0.05,0.4,TRUE,0),0))</f>
        <v>0.2</v>
      </c>
      <c r="L896" s="57">
        <f t="shared" si="246"/>
        <v>0.28571428571428575</v>
      </c>
    </row>
    <row r="897" spans="1:12" ht="15" customHeight="1" x14ac:dyDescent="0.25">
      <c r="A897" s="42" t="str" cm="1">
        <f t="array" ref="A897">IFERROR(INDEX(_xlfn._xlws.FILTER(Class_Players!A:A,Class_Players!B:B="Support"),QUOTIENT(ROW()-ROW($A$2),9)+1),"")</f>
        <v>sF-S1D656TTV</v>
      </c>
      <c r="B897" s="42" t="str">
        <f>_xlfn.XLOOKUP(A897,Class_Players!$A:$A,Class_Players!$B:$B,"")</f>
        <v>Support</v>
      </c>
      <c r="C897" s="38" t="str" cm="1">
        <f t="array" ref="C897">INDEX(Lookups!$D$2:$D$10,MOD(ROW()-ROW($B$2),ROWS(Lookups!$D$2:$D$10))+1)</f>
        <v>SICH G1 WP (Incendiary Airburst Launcher)</v>
      </c>
      <c r="D897" s="38" t="str">
        <f>_xlfn.XLOOKUP(C897,Analysis_Gadgets!$C:$C,Analysis_Gadgets!$B:$B)</f>
        <v>Gadget</v>
      </c>
      <c r="E897" s="43">
        <v>0</v>
      </c>
      <c r="F897" s="43">
        <f>_xlfn.XLOOKUP(A897,Class_Players!A:A,Class_Players!G:G)</f>
        <v>154</v>
      </c>
      <c r="G897" s="43">
        <f t="shared" si="235"/>
        <v>0</v>
      </c>
      <c r="H897" s="43">
        <f>_xlfn.XLOOKUP(A897,Class_Players!$A:$A,Class_Players!$F:$F,"")</f>
        <v>9192</v>
      </c>
      <c r="I897" s="44">
        <f t="shared" si="236"/>
        <v>0</v>
      </c>
      <c r="J897" s="43">
        <f t="shared" si="210"/>
        <v>0</v>
      </c>
      <c r="K897" s="44" cm="1">
        <f t="array" ref="K897">IF(D897="Gadget",_xlfn.IFS(I897&gt;=0.2,0.5,I897&gt;=0.1,0.35,I897&gt;=0.05,0.2,TRUE,0),IF(D897="Grenade",_xlfn.IFS(I897&gt;=0.2,1,I897&gt;=0.1,0.7,I897&gt;=0.05,0.4,TRUE,0),0))</f>
        <v>0</v>
      </c>
      <c r="L897" s="57">
        <f t="shared" si="246"/>
        <v>0</v>
      </c>
    </row>
    <row r="898" spans="1:12" ht="15" customHeight="1" x14ac:dyDescent="0.25">
      <c r="A898" s="42" t="str" cm="1">
        <f t="array" ref="A898">IFERROR(INDEX(_xlfn._xlws.FILTER(Class_Players!A:A,Class_Players!B:B="Support"),QUOTIENT(ROW()-ROW($A$2),9)+1),"")</f>
        <v>sF-S1D656TTV</v>
      </c>
      <c r="B898" s="42" t="str">
        <f>_xlfn.XLOOKUP(A898,Class_Players!$A:$A,Class_Players!$B:$B,"")</f>
        <v>Support</v>
      </c>
      <c r="C898" s="38" t="str" cm="1">
        <f t="array" ref="C898">INDEX(Lookups!$D$2:$D$10,MOD(ROW()-ROW($B$2),ROWS(Lookups!$D$2:$D$10))+1)</f>
        <v>Deployable Cover</v>
      </c>
      <c r="D898" s="38" t="str">
        <f>_xlfn.XLOOKUP(C898,Analysis_Gadgets!$C:$C,Analysis_Gadgets!$B:$B)</f>
        <v>Gadget</v>
      </c>
      <c r="E898" s="43">
        <v>2761</v>
      </c>
      <c r="F898" s="43">
        <f>_xlfn.XLOOKUP(A898,Class_Players!A:A,Class_Players!G:G)</f>
        <v>154</v>
      </c>
      <c r="G898" s="43">
        <f t="shared" si="235"/>
        <v>17.928571428571427</v>
      </c>
      <c r="H898" s="43">
        <f>_xlfn.XLOOKUP(A898,Class_Players!$A:$A,Class_Players!$F:$F,"")</f>
        <v>9192</v>
      </c>
      <c r="I898" s="44">
        <f t="shared" si="236"/>
        <v>0.30036988685813754</v>
      </c>
      <c r="J898" s="43">
        <f t="shared" si="210"/>
        <v>1</v>
      </c>
      <c r="K898" s="44" cm="1">
        <f t="array" ref="K898">IF(D898="Gadget",_xlfn.IFS(I898&gt;=0.2,0.5,I898&gt;=0.1,0.35,I898&gt;=0.05,0.2,TRUE,0),IF(D898="Grenade",_xlfn.IFS(I898&gt;=0.2,1,I898&gt;=0.1,0.7,I898&gt;=0.05,0.4,TRUE,0),0))</f>
        <v>0.5</v>
      </c>
      <c r="L898" s="57">
        <f t="shared" si="246"/>
        <v>0.7142857142857143</v>
      </c>
    </row>
    <row r="899" spans="1:12" ht="15" customHeight="1" x14ac:dyDescent="0.25">
      <c r="A899" s="42" t="str" cm="1">
        <f t="array" ref="A899">IFERROR(INDEX(_xlfn._xlws.FILTER(Class_Players!A:A,Class_Players!B:B="Support"),QUOTIENT(ROW()-ROW($A$2),9)+1),"")</f>
        <v>sF-S1D656TTV</v>
      </c>
      <c r="B899" s="42" t="str">
        <f>_xlfn.XLOOKUP(A899,Class_Players!$A:$A,Class_Players!$B:$B,"")</f>
        <v>Support</v>
      </c>
      <c r="C899" s="38" t="str" cm="1">
        <f t="array" ref="C899">INDEX(Lookups!$D$2:$D$10,MOD(ROW()-ROW($B$2),ROWS(Lookups!$D$2:$D$10))+1)</f>
        <v>Supply Pouch</v>
      </c>
      <c r="D899" s="38" t="str">
        <f>_xlfn.XLOOKUP(C899,Analysis_Gadgets!$C:$C,Analysis_Gadgets!$B:$B)</f>
        <v>Gadget</v>
      </c>
      <c r="E899" s="43">
        <v>0</v>
      </c>
      <c r="F899" s="43">
        <f>_xlfn.XLOOKUP(A899,Class_Players!A:A,Class_Players!G:G)</f>
        <v>154</v>
      </c>
      <c r="G899" s="43">
        <f t="shared" si="235"/>
        <v>0</v>
      </c>
      <c r="H899" s="43">
        <f>_xlfn.XLOOKUP(A899,Class_Players!$A:$A,Class_Players!$F:$F,"")</f>
        <v>9192</v>
      </c>
      <c r="I899" s="44">
        <f t="shared" si="236"/>
        <v>0</v>
      </c>
      <c r="J899" s="43">
        <f t="shared" si="210"/>
        <v>0</v>
      </c>
      <c r="K899" s="44" cm="1">
        <f t="array" ref="K899">IF(D899="Gadget",_xlfn.IFS(I899&gt;=0.2,0.5,I899&gt;=0.1,0.35,I899&gt;=0.05,0.2,TRUE,0),IF(D899="Grenade",_xlfn.IFS(I899&gt;=0.2,1,I899&gt;=0.1,0.7,I899&gt;=0.05,0.4,TRUE,0),0))</f>
        <v>0</v>
      </c>
      <c r="L899" s="57">
        <f t="shared" si="246"/>
        <v>0</v>
      </c>
    </row>
    <row r="900" spans="1:12" ht="15" customHeight="1" x14ac:dyDescent="0.25">
      <c r="A900" s="42" t="str" cm="1">
        <f t="array" ref="A900">IFERROR(INDEX(_xlfn._xlws.FILTER(Class_Players!A:A,Class_Players!B:B="Support"),QUOTIENT(ROW()-ROW($A$2),9)+1),"")</f>
        <v>sF-S1D656TTV</v>
      </c>
      <c r="B900" s="42" t="str">
        <f>_xlfn.XLOOKUP(A900,Class_Players!$A:$A,Class_Players!$B:$B,"")</f>
        <v>Support</v>
      </c>
      <c r="C900" s="38" t="str" cm="1">
        <f t="array" ref="C900">INDEX(Lookups!$D$2:$D$10,MOD(ROW()-ROW($B$2),ROWS(Lookups!$D$2:$D$10))+1)</f>
        <v>Smoke Grenade</v>
      </c>
      <c r="D900" s="38" t="str">
        <f>_xlfn.XLOOKUP(C900,Analysis_Gadgets!$C:$C,Analysis_Gadgets!$B:$B)</f>
        <v>Grenade</v>
      </c>
      <c r="E900" s="43">
        <v>2588</v>
      </c>
      <c r="F900" s="43">
        <f>_xlfn.XLOOKUP(A900,Class_Players!A:A,Class_Players!G:G)</f>
        <v>154</v>
      </c>
      <c r="G900" s="43">
        <f t="shared" si="235"/>
        <v>16.805194805194805</v>
      </c>
      <c r="H900" s="43">
        <f>_xlfn.XLOOKUP(A900,Class_Players!$A:$A,Class_Players!$F:$F,"")</f>
        <v>9192</v>
      </c>
      <c r="I900" s="44">
        <f t="shared" si="236"/>
        <v>0.28154917319408179</v>
      </c>
      <c r="J900" s="43">
        <f t="shared" si="210"/>
        <v>1</v>
      </c>
      <c r="K900" s="44" cm="1">
        <f t="array" ref="K900">IF(D900="Gadget",_xlfn.IFS(I900&gt;=0.2,0.5,I900&gt;=0.1,0.35,I900&gt;=0.05,0.2,TRUE,0),IF(D900="Grenade",_xlfn.IFS(I900&gt;=0.2,1,I900&gt;=0.1,0.7,I900&gt;=0.05,0.4,TRUE,0),0))</f>
        <v>1</v>
      </c>
      <c r="L900" s="57">
        <f t="shared" ref="L900:L901" si="247">IF($K900=0,0,$K900 / SUMIFS($K:$K,$A:$A,$A900,$D:$D,"Grenade"))</f>
        <v>1</v>
      </c>
    </row>
    <row r="901" spans="1:12" ht="15" customHeight="1" x14ac:dyDescent="0.25">
      <c r="A901" s="42" t="str" cm="1">
        <f t="array" ref="A901">IFERROR(INDEX(_xlfn._xlws.FILTER(Class_Players!A:A,Class_Players!B:B="Support"),QUOTIENT(ROW()-ROW($A$2),9)+1),"")</f>
        <v>sF-S1D656TTV</v>
      </c>
      <c r="B901" s="42" t="str">
        <f>_xlfn.XLOOKUP(A901,Class_Players!$A:$A,Class_Players!$B:$B,"")</f>
        <v>Support</v>
      </c>
      <c r="C901" s="38" t="str" cm="1">
        <f t="array" ref="C901">INDEX(Lookups!$D$2:$D$10,MOD(ROW()-ROW($B$2),ROWS(Lookups!$D$2:$D$10))+1)</f>
        <v>Incendiary Grenade</v>
      </c>
      <c r="D901" s="38" t="str">
        <f>_xlfn.XLOOKUP(C901,Analysis_Gadgets!$C:$C,Analysis_Gadgets!$B:$B)</f>
        <v>Grenade</v>
      </c>
      <c r="E901" s="43">
        <v>3</v>
      </c>
      <c r="F901" s="43">
        <f>_xlfn.XLOOKUP(A901,Class_Players!A:A,Class_Players!G:G)</f>
        <v>154</v>
      </c>
      <c r="G901" s="43">
        <f t="shared" si="235"/>
        <v>1.948051948051948E-2</v>
      </c>
      <c r="H901" s="43">
        <f>_xlfn.XLOOKUP(A901,Class_Players!$A:$A,Class_Players!$F:$F,"")</f>
        <v>9192</v>
      </c>
      <c r="I901" s="44">
        <f t="shared" si="236"/>
        <v>3.2637075718015666E-4</v>
      </c>
      <c r="J901" s="43">
        <f t="shared" si="210"/>
        <v>0</v>
      </c>
      <c r="K901" s="44" cm="1">
        <f t="array" ref="K901">IF(D901="Gadget",_xlfn.IFS(I901&gt;=0.2,0.5,I901&gt;=0.1,0.35,I901&gt;=0.05,0.2,TRUE,0),IF(D901="Grenade",_xlfn.IFS(I901&gt;=0.2,1,I901&gt;=0.1,0.7,I901&gt;=0.05,0.4,TRUE,0),0))</f>
        <v>0</v>
      </c>
      <c r="L901" s="57">
        <f t="shared" si="247"/>
        <v>0</v>
      </c>
    </row>
    <row r="902" spans="1:12" ht="15" customHeight="1" x14ac:dyDescent="0.25">
      <c r="C902" s="38"/>
      <c r="D902" s="38"/>
      <c r="K902" s="44"/>
    </row>
    <row r="903" spans="1:12" ht="15" customHeight="1" x14ac:dyDescent="0.25">
      <c r="C903" s="38"/>
      <c r="D903" s="38"/>
      <c r="K903" s="44"/>
    </row>
    <row r="904" spans="1:12" ht="15" customHeight="1" x14ac:dyDescent="0.25">
      <c r="C904" s="38"/>
      <c r="D904" s="38"/>
      <c r="K904" s="44"/>
    </row>
    <row r="905" spans="1:12" ht="15" customHeight="1" x14ac:dyDescent="0.25">
      <c r="C905" s="38"/>
      <c r="D905" s="38"/>
      <c r="K905" s="44"/>
    </row>
    <row r="906" spans="1:12" ht="15" customHeight="1" x14ac:dyDescent="0.25">
      <c r="C906" s="38"/>
      <c r="D906" s="38"/>
      <c r="K906" s="44"/>
    </row>
    <row r="907" spans="1:12" ht="15" customHeight="1" x14ac:dyDescent="0.25">
      <c r="C907" s="38"/>
      <c r="D907" s="38"/>
      <c r="K907" s="44"/>
    </row>
    <row r="908" spans="1:12" ht="15" customHeight="1" x14ac:dyDescent="0.25">
      <c r="C908" s="38"/>
      <c r="D908" s="38"/>
      <c r="K908" s="44"/>
    </row>
    <row r="909" spans="1:12" ht="15" customHeight="1" x14ac:dyDescent="0.25">
      <c r="C909" s="38"/>
      <c r="D909" s="38"/>
      <c r="K909" s="44"/>
    </row>
    <row r="910" spans="1:12" ht="15" customHeight="1" x14ac:dyDescent="0.25">
      <c r="C910" s="38"/>
      <c r="D910" s="38"/>
      <c r="K910" s="44"/>
    </row>
    <row r="911" spans="1:12" ht="15" customHeight="1" x14ac:dyDescent="0.25">
      <c r="C911" s="38"/>
      <c r="D911" s="38"/>
      <c r="K911" s="44"/>
    </row>
    <row r="912" spans="1:12" ht="15" customHeight="1" x14ac:dyDescent="0.25">
      <c r="C912" s="38"/>
      <c r="D912" s="38"/>
      <c r="K912" s="44"/>
    </row>
    <row r="913" spans="3:11" ht="15" customHeight="1" x14ac:dyDescent="0.25">
      <c r="C913" s="38"/>
      <c r="D913" s="38"/>
      <c r="K913" s="44"/>
    </row>
    <row r="914" spans="3:11" ht="15" customHeight="1" x14ac:dyDescent="0.25">
      <c r="C914" s="38"/>
      <c r="D914" s="38"/>
      <c r="K914" s="44"/>
    </row>
    <row r="915" spans="3:11" ht="15" customHeight="1" x14ac:dyDescent="0.25">
      <c r="C915" s="38"/>
      <c r="D915" s="38"/>
      <c r="K915" s="44"/>
    </row>
    <row r="916" spans="3:11" ht="15" customHeight="1" x14ac:dyDescent="0.25">
      <c r="C916" s="38"/>
      <c r="D916" s="38"/>
      <c r="K916" s="44"/>
    </row>
    <row r="917" spans="3:11" ht="15" customHeight="1" x14ac:dyDescent="0.25">
      <c r="C917" s="38"/>
      <c r="D917" s="38"/>
      <c r="K917" s="44"/>
    </row>
    <row r="918" spans="3:11" ht="15" customHeight="1" x14ac:dyDescent="0.25">
      <c r="C918" s="38"/>
      <c r="D918" s="38"/>
      <c r="K918" s="44"/>
    </row>
    <row r="919" spans="3:11" ht="15" customHeight="1" x14ac:dyDescent="0.25">
      <c r="C919" s="38"/>
      <c r="D919" s="38"/>
      <c r="K919" s="44"/>
    </row>
    <row r="920" spans="3:11" ht="15" customHeight="1" x14ac:dyDescent="0.25">
      <c r="C920" s="38"/>
      <c r="D920" s="38"/>
      <c r="K920" s="44"/>
    </row>
    <row r="921" spans="3:11" ht="15" customHeight="1" x14ac:dyDescent="0.25">
      <c r="C921" s="38"/>
      <c r="D921" s="38"/>
      <c r="K921" s="44"/>
    </row>
    <row r="922" spans="3:11" ht="15" customHeight="1" x14ac:dyDescent="0.25">
      <c r="C922" s="38"/>
      <c r="D922" s="38"/>
      <c r="K922" s="44"/>
    </row>
    <row r="923" spans="3:11" ht="15" customHeight="1" x14ac:dyDescent="0.25">
      <c r="C923" s="38"/>
      <c r="D923" s="38"/>
      <c r="K923" s="44"/>
    </row>
    <row r="924" spans="3:11" ht="15" customHeight="1" x14ac:dyDescent="0.25">
      <c r="C924" s="38"/>
      <c r="D924" s="38"/>
      <c r="K924" s="44"/>
    </row>
    <row r="925" spans="3:11" ht="15" customHeight="1" x14ac:dyDescent="0.25">
      <c r="C925" s="38"/>
      <c r="D925" s="38"/>
      <c r="K925" s="44"/>
    </row>
    <row r="926" spans="3:11" ht="15" customHeight="1" x14ac:dyDescent="0.25">
      <c r="C926" s="38"/>
      <c r="D926" s="38"/>
      <c r="K926" s="44"/>
    </row>
    <row r="927" spans="3:11" ht="15" customHeight="1" x14ac:dyDescent="0.25">
      <c r="C927" s="38"/>
      <c r="D927" s="38"/>
      <c r="K927" s="44"/>
    </row>
    <row r="928" spans="3:11" ht="15" customHeight="1" x14ac:dyDescent="0.25">
      <c r="C928" s="38"/>
      <c r="D928" s="38"/>
      <c r="K928" s="44"/>
    </row>
  </sheetData>
  <conditionalFormatting sqref="A1:C1 E1:L1 A2:L1048576">
    <cfRule type="expression" dxfId="10" priority="6">
      <formula>MOD(ROW()-10,9)=0</formula>
    </cfRule>
  </conditionalFormatting>
  <conditionalFormatting sqref="D1">
    <cfRule type="expression" dxfId="9" priority="5">
      <formula>MOD(ROW()-8,7)=0</formula>
    </cfRule>
  </conditionalFormatting>
  <conditionalFormatting sqref="J1:J1048576">
    <cfRule type="colorScale" priority="7">
      <colorScale>
        <cfvo type="min"/>
        <cfvo type="max"/>
        <color rgb="FFFCFCFF"/>
        <color rgb="FF63BE7B"/>
      </colorScale>
    </cfRule>
  </conditionalFormatting>
  <conditionalFormatting sqref="K1:K1048576">
    <cfRule type="colorScale" priority="3">
      <colorScale>
        <cfvo type="min"/>
        <cfvo type="max"/>
        <color rgb="FFFCFCFF"/>
        <color rgb="FF63BE7B"/>
      </colorScale>
    </cfRule>
  </conditionalFormatting>
  <conditionalFormatting sqref="K1:L1">
    <cfRule type="colorScale" priority="4">
      <colorScale>
        <cfvo type="min"/>
        <cfvo type="max"/>
        <color rgb="FFFCFCFF"/>
        <color rgb="FF63BE7B"/>
      </colorScale>
    </cfRule>
  </conditionalFormatting>
  <conditionalFormatting sqref="L1">
    <cfRule type="colorScale" priority="2">
      <colorScale>
        <cfvo type="min"/>
        <cfvo type="max"/>
        <color rgb="FFFCFCFF"/>
        <color rgb="FF63BE7B"/>
      </colorScale>
    </cfRule>
  </conditionalFormatting>
  <conditionalFormatting sqref="L1:L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C4B9-B482-47CD-AB41-B01841B5BABB}">
  <dimension ref="A1:E102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6" bestFit="1" customWidth="1"/>
    <col min="2" max="2" width="30.7109375" bestFit="1" customWidth="1"/>
    <col min="3" max="3" width="31.28515625" customWidth="1"/>
    <col min="4" max="4" width="19.5703125" customWidth="1"/>
    <col min="5" max="5" width="18.85546875" customWidth="1"/>
  </cols>
  <sheetData>
    <row r="1" spans="1:5" ht="15.75" thickBot="1" x14ac:dyDescent="0.3">
      <c r="A1" s="9" t="s">
        <v>0</v>
      </c>
      <c r="B1" s="9" t="s">
        <v>194</v>
      </c>
      <c r="C1" s="9" t="s">
        <v>195</v>
      </c>
      <c r="D1" s="11" t="s">
        <v>196</v>
      </c>
      <c r="E1" s="9" t="s">
        <v>243</v>
      </c>
    </row>
    <row r="2" spans="1:5" x14ac:dyDescent="0.25">
      <c r="A2" t="str" cm="1">
        <f t="array" ref="A2:A102">_xlfn.UNIQUE(Gadget_Usage_Assault!$A$2:$A$9993)</f>
        <v>mirovampiro</v>
      </c>
      <c r="B2">
        <f>COUNTIFS(Gadget_Usage_Assault!$A:$A,$A2,Gadget_Usage_Assault!$D:$D,"Gadget",Gadget_Usage_Assault!$J:$J,1)</f>
        <v>1</v>
      </c>
      <c r="C2" s="53">
        <f>SUMIFS(Gadget_Usage_Assault!$I:$I,Gadget_Usage_Assault!$A:$A,$A2)</f>
        <v>0.29091603318407439</v>
      </c>
      <c r="D2" cm="1">
        <f t="array" ref="D2">_xlfn.IFS(B2=0,1,AND(B2&gt;=2,C2&gt;=$E$2),0,AND(B2=1,C2&lt;$E$2),0.8,AND(B2=1,C2&gt;=$E$2),0.6,TRUE,0)</f>
        <v>0.8</v>
      </c>
      <c r="E2" s="53" cm="1">
        <f t="array" ref="E2">_xlfn.PERCENTILE.INC(_xlfn._xlws.FILTER($C$2:$C$9999,($C$2:$C$9999&gt;0)*($B$2:$B$9999&gt;0)),0.4)</f>
        <v>0.53829115869166355</v>
      </c>
    </row>
    <row r="3" spans="1:5" x14ac:dyDescent="0.25">
      <c r="A3" t="str">
        <v>Francko Escobar</v>
      </c>
      <c r="B3">
        <f>COUNTIFS(Gadget_Usage_Assault!$A:$A,$A3,Gadget_Usage_Assault!$D:$D,"Gadget",Gadget_Usage_Assault!$J:$J,1)</f>
        <v>1</v>
      </c>
      <c r="C3" s="53">
        <f>SUMIFS(Gadget_Usage_Assault!$I:$I,Gadget_Usage_Assault!$A:$A,$A3)</f>
        <v>0.16262913339649029</v>
      </c>
      <c r="D3" cm="1">
        <f t="array" ref="D3">_xlfn.IFS(B3=0,1,AND(B3&gt;=2,C3&gt;=$E$2),0,AND(B3=1,C3&lt;$E$2),0.8,AND(B3=1,C3&gt;=$E$2),0.6,TRUE,0)</f>
        <v>0.8</v>
      </c>
    </row>
    <row r="4" spans="1:5" x14ac:dyDescent="0.25">
      <c r="A4" t="str">
        <v>CFGBOT</v>
      </c>
      <c r="B4">
        <f>COUNTIFS(Gadget_Usage_Assault!$A:$A,$A4,Gadget_Usage_Assault!$D:$D,"Gadget",Gadget_Usage_Assault!$J:$J,1)</f>
        <v>2</v>
      </c>
      <c r="C4" s="53">
        <f>SUMIFS(Gadget_Usage_Assault!$I:$I,Gadget_Usage_Assault!$A:$A,$A4)</f>
        <v>0.65959763313609465</v>
      </c>
      <c r="D4" cm="1">
        <f t="array" ref="D4">_xlfn.IFS(B4=0,1,AND(B4&gt;=2,C4&gt;=$E$2),0,AND(B4=1,C4&lt;$E$2),0.8,AND(B4=1,C4&gt;=$E$2),0.6,TRUE,0)</f>
        <v>0</v>
      </c>
    </row>
    <row r="5" spans="1:5" x14ac:dyDescent="0.25">
      <c r="A5" t="str">
        <v>avengerhawk</v>
      </c>
      <c r="B5">
        <f>COUNTIFS(Gadget_Usage_Assault!$A:$A,$A5,Gadget_Usage_Assault!$D:$D,"Gadget",Gadget_Usage_Assault!$J:$J,1)</f>
        <v>1</v>
      </c>
      <c r="C5" s="53">
        <f>SUMIFS(Gadget_Usage_Assault!$I:$I,Gadget_Usage_Assault!$A:$A,$A5)</f>
        <v>0.78711763242974386</v>
      </c>
      <c r="D5" cm="1">
        <f t="array" ref="D5">_xlfn.IFS(B5=0,1,AND(B5&gt;=2,C5&gt;=$E$2),0,AND(B5=1,C5&lt;$E$2),0.8,AND(B5=1,C5&gt;=$E$2),0.6,TRUE,0)</f>
        <v>0.6</v>
      </c>
    </row>
    <row r="6" spans="1:5" x14ac:dyDescent="0.25">
      <c r="A6" t="str">
        <v>Chopppppperrrrr</v>
      </c>
      <c r="B6">
        <f>COUNTIFS(Gadget_Usage_Assault!$A:$A,$A6,Gadget_Usage_Assault!$D:$D,"Gadget",Gadget_Usage_Assault!$J:$J,1)</f>
        <v>1</v>
      </c>
      <c r="C6" s="53">
        <f>SUMIFS(Gadget_Usage_Assault!$I:$I,Gadget_Usage_Assault!$A:$A,$A6)</f>
        <v>0.21983987716604519</v>
      </c>
      <c r="D6" cm="1">
        <f t="array" ref="D6">_xlfn.IFS(B6=0,1,AND(B6&gt;=2,C6&gt;=$E$2),0,AND(B6=1,C6&lt;$E$2),0.8,AND(B6=1,C6&gt;=$E$2),0.6,TRUE,0)</f>
        <v>0.8</v>
      </c>
    </row>
    <row r="7" spans="1:5" x14ac:dyDescent="0.25">
      <c r="A7" t="str">
        <v>d00hn!e+</v>
      </c>
      <c r="B7">
        <f>COUNTIFS(Gadget_Usage_Assault!$A:$A,$A7,Gadget_Usage_Assault!$D:$D,"Gadget",Gadget_Usage_Assault!$J:$J,1)</f>
        <v>1</v>
      </c>
      <c r="C7" s="53">
        <f>SUMIFS(Gadget_Usage_Assault!$I:$I,Gadget_Usage_Assault!$A:$A,$A7)</f>
        <v>0.51940281497521223</v>
      </c>
      <c r="D7" cm="1">
        <f t="array" ref="D7">_xlfn.IFS(B7=0,1,AND(B7&gt;=2,C7&gt;=$E$2),0,AND(B7=1,C7&lt;$E$2),0.8,AND(B7=1,C7&gt;=$E$2),0.6,TRUE,0)</f>
        <v>0.8</v>
      </c>
    </row>
    <row r="8" spans="1:5" x14ac:dyDescent="0.25">
      <c r="A8" t="str">
        <v>Wiesiu_PL</v>
      </c>
      <c r="B8">
        <f>COUNTIFS(Gadget_Usage_Assault!$A:$A,$A8,Gadget_Usage_Assault!$D:$D,"Gadget",Gadget_Usage_Assault!$J:$J,1)</f>
        <v>1</v>
      </c>
      <c r="C8" s="53">
        <f>SUMIFS(Gadget_Usage_Assault!$I:$I,Gadget_Usage_Assault!$A:$A,$A8)</f>
        <v>0.35829863176680549</v>
      </c>
      <c r="D8" cm="1">
        <f t="array" ref="D8">_xlfn.IFS(B8=0,1,AND(B8&gt;=2,C8&gt;=$E$2),0,AND(B8=1,C8&lt;$E$2),0.8,AND(B8=1,C8&gt;=$E$2),0.6,TRUE,0)</f>
        <v>0.8</v>
      </c>
    </row>
    <row r="9" spans="1:5" x14ac:dyDescent="0.25">
      <c r="A9" t="str">
        <v>Nathanchor</v>
      </c>
      <c r="B9">
        <f>COUNTIFS(Gadget_Usage_Assault!$A:$A,$A9,Gadget_Usage_Assault!$D:$D,"Gadget",Gadget_Usage_Assault!$J:$J,1)</f>
        <v>2</v>
      </c>
      <c r="C9" s="53">
        <f>SUMIFS(Gadget_Usage_Assault!$I:$I,Gadget_Usage_Assault!$A:$A,$A9)</f>
        <v>0.87471441803025629</v>
      </c>
      <c r="D9" cm="1">
        <f t="array" ref="D9">_xlfn.IFS(B9=0,1,AND(B9&gt;=2,C9&gt;=$E$2),0,AND(B9=1,C9&lt;$E$2),0.8,AND(B9=1,C9&gt;=$E$2),0.6,TRUE,0)</f>
        <v>0</v>
      </c>
    </row>
    <row r="10" spans="1:5" x14ac:dyDescent="0.25">
      <c r="A10" t="str">
        <v>Sempire90</v>
      </c>
      <c r="B10">
        <f>COUNTIFS(Gadget_Usage_Assault!$A:$A,$A10,Gadget_Usage_Assault!$D:$D,"Gadget",Gadget_Usage_Assault!$J:$J,1)</f>
        <v>1</v>
      </c>
      <c r="C10" s="53">
        <f>SUMIFS(Gadget_Usage_Assault!$I:$I,Gadget_Usage_Assault!$A:$A,$A10)</f>
        <v>0.41091899423649375</v>
      </c>
      <c r="D10" cm="1">
        <f t="array" ref="D10">_xlfn.IFS(B10=0,1,AND(B10&gt;=2,C10&gt;=$E$2),0,AND(B10=1,C10&lt;$E$2),0.8,AND(B10=1,C10&gt;=$E$2),0.6,TRUE,0)</f>
        <v>0.8</v>
      </c>
    </row>
    <row r="11" spans="1:5" x14ac:dyDescent="0.25">
      <c r="A11" t="str">
        <v>frothandbubble</v>
      </c>
      <c r="B11">
        <f>COUNTIFS(Gadget_Usage_Assault!$A:$A,$A11,Gadget_Usage_Assault!$D:$D,"Gadget",Gadget_Usage_Assault!$J:$J,1)</f>
        <v>1</v>
      </c>
      <c r="C11" s="53">
        <f>SUMIFS(Gadget_Usage_Assault!$I:$I,Gadget_Usage_Assault!$A:$A,$A11)</f>
        <v>0.19683257918552036</v>
      </c>
      <c r="D11" cm="1">
        <f t="array" ref="D11">_xlfn.IFS(B11=0,1,AND(B11&gt;=2,C11&gt;=$E$2),0,AND(B11=1,C11&lt;$E$2),0.8,AND(B11=1,C11&gt;=$E$2),0.6,TRUE,0)</f>
        <v>0.8</v>
      </c>
    </row>
    <row r="12" spans="1:5" x14ac:dyDescent="0.25">
      <c r="A12" t="str">
        <v>VARIIANT99</v>
      </c>
      <c r="B12">
        <f>COUNTIFS(Gadget_Usage_Assault!$A:$A,$A12,Gadget_Usage_Assault!$D:$D,"Gadget",Gadget_Usage_Assault!$J:$J,1)</f>
        <v>1</v>
      </c>
      <c r="C12" s="53">
        <f>SUMIFS(Gadget_Usage_Assault!$I:$I,Gadget_Usage_Assault!$A:$A,$A12)</f>
        <v>0.30834576227222615</v>
      </c>
      <c r="D12" cm="1">
        <f t="array" ref="D12">_xlfn.IFS(B12=0,1,AND(B12&gt;=2,C12&gt;=$E$2),0,AND(B12=1,C12&lt;$E$2),0.8,AND(B12=1,C12&gt;=$E$2),0.6,TRUE,0)</f>
        <v>0.8</v>
      </c>
    </row>
    <row r="13" spans="1:5" x14ac:dyDescent="0.25">
      <c r="A13" t="str">
        <v>Plasem</v>
      </c>
      <c r="B13">
        <f>COUNTIFS(Gadget_Usage_Assault!$A:$A,$A13,Gadget_Usage_Assault!$D:$D,"Gadget",Gadget_Usage_Assault!$J:$J,1)</f>
        <v>2</v>
      </c>
      <c r="C13" s="53">
        <f>SUMIFS(Gadget_Usage_Assault!$I:$I,Gadget_Usage_Assault!$A:$A,$A13)</f>
        <v>0.82116104868913853</v>
      </c>
      <c r="D13" cm="1">
        <f t="array" ref="D13">_xlfn.IFS(B13=0,1,AND(B13&gt;=2,C13&gt;=$E$2),0,AND(B13=1,C13&lt;$E$2),0.8,AND(B13=1,C13&gt;=$E$2),0.6,TRUE,0)</f>
        <v>0</v>
      </c>
    </row>
    <row r="14" spans="1:5" x14ac:dyDescent="0.25">
      <c r="A14" t="str">
        <v>devilferreira</v>
      </c>
      <c r="B14">
        <f>COUNTIFS(Gadget_Usage_Assault!$A:$A,$A14,Gadget_Usage_Assault!$D:$D,"Gadget",Gadget_Usage_Assault!$J:$J,1)</f>
        <v>2</v>
      </c>
      <c r="C14" s="53">
        <f>SUMIFS(Gadget_Usage_Assault!$I:$I,Gadget_Usage_Assault!$A:$A,$A14)</f>
        <v>0.80200998154098579</v>
      </c>
      <c r="D14" cm="1">
        <f t="array" ref="D14">_xlfn.IFS(B14=0,1,AND(B14&gt;=2,C14&gt;=$E$2),0,AND(B14=1,C14&lt;$E$2),0.8,AND(B14=1,C14&gt;=$E$2),0.6,TRUE,0)</f>
        <v>0</v>
      </c>
    </row>
    <row r="15" spans="1:5" x14ac:dyDescent="0.25">
      <c r="A15" t="str">
        <v>michieI</v>
      </c>
      <c r="B15">
        <f>COUNTIFS(Gadget_Usage_Assault!$A:$A,$A15,Gadget_Usage_Assault!$D:$D,"Gadget",Gadget_Usage_Assault!$J:$J,1)</f>
        <v>1</v>
      </c>
      <c r="C15" s="53">
        <f>SUMIFS(Gadget_Usage_Assault!$I:$I,Gadget_Usage_Assault!$A:$A,$A15)</f>
        <v>1.1543847487001733</v>
      </c>
      <c r="D15" cm="1">
        <f t="array" ref="D15">_xlfn.IFS(B15=0,1,AND(B15&gt;=2,C15&gt;=$E$2),0,AND(B15=1,C15&lt;$E$2),0.8,AND(B15=1,C15&gt;=$E$2),0.6,TRUE,0)</f>
        <v>0.6</v>
      </c>
    </row>
    <row r="16" spans="1:5" x14ac:dyDescent="0.25">
      <c r="A16" t="str">
        <v>呆呆梦末兽520</v>
      </c>
      <c r="B16">
        <f>COUNTIFS(Gadget_Usage_Assault!$A:$A,$A16,Gadget_Usage_Assault!$D:$D,"Gadget",Gadget_Usage_Assault!$J:$J,1)</f>
        <v>2</v>
      </c>
      <c r="C16" s="53">
        <f>SUMIFS(Gadget_Usage_Assault!$I:$I,Gadget_Usage_Assault!$A:$A,$A16)</f>
        <v>0.75233711048158636</v>
      </c>
      <c r="D16" cm="1">
        <f t="array" ref="D16">_xlfn.IFS(B16=0,1,AND(B16&gt;=2,C16&gt;=$E$2),0,AND(B16=1,C16&lt;$E$2),0.8,AND(B16=1,C16&gt;=$E$2),0.6,TRUE,0)</f>
        <v>0</v>
      </c>
    </row>
    <row r="17" spans="1:4" x14ac:dyDescent="0.25">
      <c r="A17" t="str">
        <v>Yuri__S94</v>
      </c>
      <c r="B17">
        <f>COUNTIFS(Gadget_Usage_Assault!$A:$A,$A17,Gadget_Usage_Assault!$D:$D,"Gadget",Gadget_Usage_Assault!$J:$J,1)</f>
        <v>1</v>
      </c>
      <c r="C17" s="53">
        <f>SUMIFS(Gadget_Usage_Assault!$I:$I,Gadget_Usage_Assault!$A:$A,$A17)</f>
        <v>0.19886363636363638</v>
      </c>
      <c r="D17" cm="1">
        <f t="array" ref="D17">_xlfn.IFS(B17=0,1,AND(B17&gt;=2,C17&gt;=$E$2),0,AND(B17=1,C17&lt;$E$2),0.8,AND(B17=1,C17&gt;=$E$2),0.6,TRUE,0)</f>
        <v>0.8</v>
      </c>
    </row>
    <row r="18" spans="1:4" x14ac:dyDescent="0.25">
      <c r="A18" t="str">
        <v>Morgue</v>
      </c>
      <c r="B18">
        <f>COUNTIFS(Gadget_Usage_Assault!$A:$A,$A18,Gadget_Usage_Assault!$D:$D,"Gadget",Gadget_Usage_Assault!$J:$J,1)</f>
        <v>1</v>
      </c>
      <c r="C18" s="53">
        <f>SUMIFS(Gadget_Usage_Assault!$I:$I,Gadget_Usage_Assault!$A:$A,$A18)</f>
        <v>0.50085824631669285</v>
      </c>
      <c r="D18" cm="1">
        <f t="array" ref="D18">_xlfn.IFS(B18=0,1,AND(B18&gt;=2,C18&gt;=$E$2),0,AND(B18=1,C18&lt;$E$2),0.8,AND(B18=1,C18&gt;=$E$2),0.6,TRUE,0)</f>
        <v>0.8</v>
      </c>
    </row>
    <row r="19" spans="1:4" x14ac:dyDescent="0.25">
      <c r="A19" t="str">
        <v>sukapower</v>
      </c>
      <c r="B19">
        <f>COUNTIFS(Gadget_Usage_Assault!$A:$A,$A19,Gadget_Usage_Assault!$D:$D,"Gadget",Gadget_Usage_Assault!$J:$J,1)</f>
        <v>1</v>
      </c>
      <c r="C19" s="53">
        <f>SUMIFS(Gadget_Usage_Assault!$I:$I,Gadget_Usage_Assault!$A:$A,$A19)</f>
        <v>0.63856495580479822</v>
      </c>
      <c r="D19" cm="1">
        <f t="array" ref="D19">_xlfn.IFS(B19=0,1,AND(B19&gt;=2,C19&gt;=$E$2),0,AND(B19=1,C19&lt;$E$2),0.8,AND(B19=1,C19&gt;=$E$2),0.6,TRUE,0)</f>
        <v>0.6</v>
      </c>
    </row>
    <row r="20" spans="1:4" x14ac:dyDescent="0.25">
      <c r="A20" t="str">
        <v>MiaoSangSSS</v>
      </c>
      <c r="B20">
        <f>COUNTIFS(Gadget_Usage_Assault!$A:$A,$A20,Gadget_Usage_Assault!$D:$D,"Gadget",Gadget_Usage_Assault!$J:$J,1)</f>
        <v>2</v>
      </c>
      <c r="C20" s="53">
        <f>SUMIFS(Gadget_Usage_Assault!$I:$I,Gadget_Usage_Assault!$A:$A,$A20)</f>
        <v>0.97978426491664772</v>
      </c>
      <c r="D20" cm="1">
        <f t="array" ref="D20">_xlfn.IFS(B20=0,1,AND(B20&gt;=2,C20&gt;=$E$2),0,AND(B20=1,C20&lt;$E$2),0.8,AND(B20=1,C20&gt;=$E$2),0.6,TRUE,0)</f>
        <v>0</v>
      </c>
    </row>
    <row r="21" spans="1:4" x14ac:dyDescent="0.25">
      <c r="A21" t="str">
        <v>1st1hautor</v>
      </c>
      <c r="B21">
        <f>COUNTIFS(Gadget_Usage_Assault!$A:$A,$A21,Gadget_Usage_Assault!$D:$D,"Gadget",Gadget_Usage_Assault!$J:$J,1)</f>
        <v>1</v>
      </c>
      <c r="C21" s="53">
        <f>SUMIFS(Gadget_Usage_Assault!$I:$I,Gadget_Usage_Assault!$A:$A,$A21)</f>
        <v>0.88962522851919557</v>
      </c>
      <c r="D21" cm="1">
        <f t="array" ref="D21">_xlfn.IFS(B21=0,1,AND(B21&gt;=2,C21&gt;=$E$2),0,AND(B21=1,C21&lt;$E$2),0.8,AND(B21=1,C21&gt;=$E$2),0.6,TRUE,0)</f>
        <v>0.6</v>
      </c>
    </row>
    <row r="22" spans="1:4" x14ac:dyDescent="0.25">
      <c r="A22" t="str">
        <v>ProngBastard</v>
      </c>
      <c r="B22">
        <f>COUNTIFS(Gadget_Usage_Assault!$A:$A,$A22,Gadget_Usage_Assault!$D:$D,"Gadget",Gadget_Usage_Assault!$J:$J,1)</f>
        <v>2</v>
      </c>
      <c r="C22" s="53">
        <f>SUMIFS(Gadget_Usage_Assault!$I:$I,Gadget_Usage_Assault!$A:$A,$A22)</f>
        <v>1.0880821078431373</v>
      </c>
      <c r="D22" cm="1">
        <f t="array" ref="D22">_xlfn.IFS(B22=0,1,AND(B22&gt;=2,C22&gt;=$E$2),0,AND(B22=1,C22&lt;$E$2),0.8,AND(B22=1,C22&gt;=$E$2),0.6,TRUE,0)</f>
        <v>0</v>
      </c>
    </row>
    <row r="23" spans="1:4" x14ac:dyDescent="0.25">
      <c r="A23" t="str">
        <v>Tboss_3000</v>
      </c>
      <c r="B23">
        <f>COUNTIFS(Gadget_Usage_Assault!$A:$A,$A23,Gadget_Usage_Assault!$D:$D,"Gadget",Gadget_Usage_Assault!$J:$J,1)</f>
        <v>0</v>
      </c>
      <c r="C23" s="53">
        <f>SUMIFS(Gadget_Usage_Assault!$I:$I,Gadget_Usage_Assault!$A:$A,$A23)</f>
        <v>5.3808098699077753E-2</v>
      </c>
      <c r="D23" cm="1">
        <f t="array" ref="D23">_xlfn.IFS(B23=0,1,AND(B23&gt;=2,C23&gt;=$E$2),0,AND(B23=1,C23&lt;$E$2),0.8,AND(B23=1,C23&gt;=$E$2),0.6,TRUE,0)</f>
        <v>1</v>
      </c>
    </row>
    <row r="24" spans="1:4" x14ac:dyDescent="0.25">
      <c r="A24" t="str">
        <v>手柄PRO哥</v>
      </c>
      <c r="B24">
        <f>COUNTIFS(Gadget_Usage_Assault!$A:$A,$A24,Gadget_Usage_Assault!$D:$D,"Gadget",Gadget_Usage_Assault!$J:$J,1)</f>
        <v>2</v>
      </c>
      <c r="C24" s="53">
        <f>SUMIFS(Gadget_Usage_Assault!$I:$I,Gadget_Usage_Assault!$A:$A,$A24)</f>
        <v>0.47855917667238423</v>
      </c>
      <c r="D24" cm="1">
        <f t="array" ref="D24">_xlfn.IFS(B24=0,1,AND(B24&gt;=2,C24&gt;=$E$2),0,AND(B24=1,C24&lt;$E$2),0.8,AND(B24=1,C24&gt;=$E$2),0.6,TRUE,0)</f>
        <v>0</v>
      </c>
    </row>
    <row r="25" spans="1:4" x14ac:dyDescent="0.25">
      <c r="A25" t="str">
        <v>11edenprod</v>
      </c>
      <c r="B25">
        <f>COUNTIFS(Gadget_Usage_Assault!$A:$A,$A25,Gadget_Usage_Assault!$D:$D,"Gadget",Gadget_Usage_Assault!$J:$J,1)</f>
        <v>1</v>
      </c>
      <c r="C25" s="53">
        <f>SUMIFS(Gadget_Usage_Assault!$I:$I,Gadget_Usage_Assault!$A:$A,$A25)</f>
        <v>0.35014721834805518</v>
      </c>
      <c r="D25" cm="1">
        <f t="array" ref="D25">_xlfn.IFS(B25=0,1,AND(B25&gt;=2,C25&gt;=$E$2),0,AND(B25=1,C25&lt;$E$2),0.8,AND(B25=1,C25&gt;=$E$2),0.6,TRUE,0)</f>
        <v>0.8</v>
      </c>
    </row>
    <row r="26" spans="1:4" x14ac:dyDescent="0.25">
      <c r="A26" t="str">
        <v>YunaTatski</v>
      </c>
      <c r="B26">
        <f>COUNTIFS(Gadget_Usage_Assault!$A:$A,$A26,Gadget_Usage_Assault!$D:$D,"Gadget",Gadget_Usage_Assault!$J:$J,1)</f>
        <v>2</v>
      </c>
      <c r="C26" s="53">
        <f>SUMIFS(Gadget_Usage_Assault!$I:$I,Gadget_Usage_Assault!$A:$A,$A26)</f>
        <v>1.3417377519438363</v>
      </c>
      <c r="D26" cm="1">
        <f t="array" ref="D26">_xlfn.IFS(B26=0,1,AND(B26&gt;=2,C26&gt;=$E$2),0,AND(B26=1,C26&lt;$E$2),0.8,AND(B26=1,C26&gt;=$E$2),0.6,TRUE,0)</f>
        <v>0</v>
      </c>
    </row>
    <row r="27" spans="1:4" x14ac:dyDescent="0.25">
      <c r="A27" t="str">
        <v>SilverVenom</v>
      </c>
      <c r="B27">
        <f>COUNTIFS(Gadget_Usage_Assault!$A:$A,$A27,Gadget_Usage_Assault!$D:$D,"Gadget",Gadget_Usage_Assault!$J:$J,1)</f>
        <v>2</v>
      </c>
      <c r="C27" s="53">
        <f>SUMIFS(Gadget_Usage_Assault!$I:$I,Gadget_Usage_Assault!$A:$A,$A27)</f>
        <v>0.34841904761904757</v>
      </c>
      <c r="D27" cm="1">
        <f t="array" ref="D27">_xlfn.IFS(B27=0,1,AND(B27&gt;=2,C27&gt;=$E$2),0,AND(B27=1,C27&lt;$E$2),0.8,AND(B27=1,C27&gt;=$E$2),0.6,TRUE,0)</f>
        <v>0</v>
      </c>
    </row>
    <row r="28" spans="1:4" x14ac:dyDescent="0.25">
      <c r="A28" t="str">
        <v>EL FARY 1986</v>
      </c>
      <c r="B28">
        <f>COUNTIFS(Gadget_Usage_Assault!$A:$A,$A28,Gadget_Usage_Assault!$D:$D,"Gadget",Gadget_Usage_Assault!$J:$J,1)</f>
        <v>1</v>
      </c>
      <c r="C28" s="53">
        <f>SUMIFS(Gadget_Usage_Assault!$I:$I,Gadget_Usage_Assault!$A:$A,$A28)</f>
        <v>0.19268657892662935</v>
      </c>
      <c r="D28" cm="1">
        <f t="array" ref="D28">_xlfn.IFS(B28=0,1,AND(B28&gt;=2,C28&gt;=$E$2),0,AND(B28=1,C28&lt;$E$2),0.8,AND(B28=1,C28&gt;=$E$2),0.6,TRUE,0)</f>
        <v>0.8</v>
      </c>
    </row>
    <row r="29" spans="1:4" x14ac:dyDescent="0.25">
      <c r="A29" t="str">
        <v>AlciroMadara</v>
      </c>
      <c r="B29">
        <f>COUNTIFS(Gadget_Usage_Assault!$A:$A,$A29,Gadget_Usage_Assault!$D:$D,"Gadget",Gadget_Usage_Assault!$J:$J,1)</f>
        <v>1</v>
      </c>
      <c r="C29" s="53">
        <f>SUMIFS(Gadget_Usage_Assault!$I:$I,Gadget_Usage_Assault!$A:$A,$A29)</f>
        <v>0.19858951755088955</v>
      </c>
      <c r="D29" cm="1">
        <f t="array" ref="D29">_xlfn.IFS(B29=0,1,AND(B29&gt;=2,C29&gt;=$E$2),0,AND(B29=1,C29&lt;$E$2),0.8,AND(B29=1,C29&gt;=$E$2),0.6,TRUE,0)</f>
        <v>0.8</v>
      </c>
    </row>
    <row r="30" spans="1:4" x14ac:dyDescent="0.25">
      <c r="A30" t="str">
        <v>Bentsen</v>
      </c>
      <c r="B30">
        <f>COUNTIFS(Gadget_Usage_Assault!$A:$A,$A30,Gadget_Usage_Assault!$D:$D,"Gadget",Gadget_Usage_Assault!$J:$J,1)</f>
        <v>1</v>
      </c>
      <c r="C30" s="53">
        <f>SUMIFS(Gadget_Usage_Assault!$I:$I,Gadget_Usage_Assault!$A:$A,$A30)</f>
        <v>0.29170110762109441</v>
      </c>
      <c r="D30" cm="1">
        <f t="array" ref="D30">_xlfn.IFS(B30=0,1,AND(B30&gt;=2,C30&gt;=$E$2),0,AND(B30=1,C30&lt;$E$2),0.8,AND(B30=1,C30&gt;=$E$2),0.6,TRUE,0)</f>
        <v>0.8</v>
      </c>
    </row>
    <row r="31" spans="1:4" x14ac:dyDescent="0.25">
      <c r="A31" t="str">
        <v>Rekyon</v>
      </c>
      <c r="B31">
        <f>COUNTIFS(Gadget_Usage_Assault!$A:$A,$A31,Gadget_Usage_Assault!$D:$D,"Gadget",Gadget_Usage_Assault!$J:$J,1)</f>
        <v>2</v>
      </c>
      <c r="C31" s="53">
        <f>SUMIFS(Gadget_Usage_Assault!$I:$I,Gadget_Usage_Assault!$A:$A,$A31)</f>
        <v>0.49364036910798903</v>
      </c>
      <c r="D31" cm="1">
        <f t="array" ref="D31">_xlfn.IFS(B31=0,1,AND(B31&gt;=2,C31&gt;=$E$2),0,AND(B31=1,C31&lt;$E$2),0.8,AND(B31=1,C31&gt;=$E$2),0.6,TRUE,0)</f>
        <v>0</v>
      </c>
    </row>
    <row r="32" spans="1:4" x14ac:dyDescent="0.25">
      <c r="A32" t="str">
        <v>Rinnez</v>
      </c>
      <c r="B32">
        <f>COUNTIFS(Gadget_Usage_Assault!$A:$A,$A32,Gadget_Usage_Assault!$D:$D,"Gadget",Gadget_Usage_Assault!$J:$J,1)</f>
        <v>1</v>
      </c>
      <c r="C32" s="53">
        <f>SUMIFS(Gadget_Usage_Assault!$I:$I,Gadget_Usage_Assault!$A:$A,$A32)</f>
        <v>0.94979784366576825</v>
      </c>
      <c r="D32" cm="1">
        <f t="array" ref="D32">_xlfn.IFS(B32=0,1,AND(B32&gt;=2,C32&gt;=$E$2),0,AND(B32=1,C32&lt;$E$2),0.8,AND(B32=1,C32&gt;=$E$2),0.6,TRUE,0)</f>
        <v>0.6</v>
      </c>
    </row>
    <row r="33" spans="1:4" x14ac:dyDescent="0.25">
      <c r="A33" t="str">
        <v>Aleksandr_rich</v>
      </c>
      <c r="B33">
        <f>COUNTIFS(Gadget_Usage_Assault!$A:$A,$A33,Gadget_Usage_Assault!$D:$D,"Gadget",Gadget_Usage_Assault!$J:$J,1)</f>
        <v>1</v>
      </c>
      <c r="C33" s="53">
        <f>SUMIFS(Gadget_Usage_Assault!$I:$I,Gadget_Usage_Assault!$A:$A,$A33)</f>
        <v>0.83400045313798055</v>
      </c>
      <c r="D33" cm="1">
        <f t="array" ref="D33">_xlfn.IFS(B33=0,1,AND(B33&gt;=2,C33&gt;=$E$2),0,AND(B33=1,C33&lt;$E$2),0.8,AND(B33=1,C33&gt;=$E$2),0.6,TRUE,0)</f>
        <v>0.6</v>
      </c>
    </row>
    <row r="34" spans="1:4" x14ac:dyDescent="0.25">
      <c r="A34" t="str">
        <v>Lukas Nguyen</v>
      </c>
      <c r="B34">
        <f>COUNTIFS(Gadget_Usage_Assault!$A:$A,$A34,Gadget_Usage_Assault!$D:$D,"Gadget",Gadget_Usage_Assault!$J:$J,1)</f>
        <v>1</v>
      </c>
      <c r="C34" s="53">
        <f>SUMIFS(Gadget_Usage_Assault!$I:$I,Gadget_Usage_Assault!$A:$A,$A34)</f>
        <v>0.56253199112779395</v>
      </c>
      <c r="D34" cm="1">
        <f t="array" ref="D34">_xlfn.IFS(B34=0,1,AND(B34&gt;=2,C34&gt;=$E$2),0,AND(B34=1,C34&lt;$E$2),0.8,AND(B34=1,C34&gt;=$E$2),0.6,TRUE,0)</f>
        <v>0.6</v>
      </c>
    </row>
    <row r="35" spans="1:4" x14ac:dyDescent="0.25">
      <c r="A35" t="str">
        <v>BoaConstrictor42</v>
      </c>
      <c r="B35">
        <f>COUNTIFS(Gadget_Usage_Assault!$A:$A,$A35,Gadget_Usage_Assault!$D:$D,"Gadget",Gadget_Usage_Assault!$J:$J,1)</f>
        <v>1</v>
      </c>
      <c r="C35" s="53">
        <f>SUMIFS(Gadget_Usage_Assault!$I:$I,Gadget_Usage_Assault!$A:$A,$A35)</f>
        <v>0.58629572385368367</v>
      </c>
      <c r="D35" cm="1">
        <f t="array" ref="D35">_xlfn.IFS(B35=0,1,AND(B35&gt;=2,C35&gt;=$E$2),0,AND(B35=1,C35&lt;$E$2),0.8,AND(B35=1,C35&gt;=$E$2),0.6,TRUE,0)</f>
        <v>0.6</v>
      </c>
    </row>
    <row r="36" spans="1:4" x14ac:dyDescent="0.25">
      <c r="A36" t="str">
        <v>-Duke-</v>
      </c>
      <c r="B36">
        <f>COUNTIFS(Gadget_Usage_Assault!$A:$A,$A36,Gadget_Usage_Assault!$D:$D,"Gadget",Gadget_Usage_Assault!$J:$J,1)</f>
        <v>1</v>
      </c>
      <c r="C36" s="53">
        <f>SUMIFS(Gadget_Usage_Assault!$I:$I,Gadget_Usage_Assault!$A:$A,$A36)</f>
        <v>0.27848632320859207</v>
      </c>
      <c r="D36" cm="1">
        <f t="array" ref="D36">_xlfn.IFS(B36=0,1,AND(B36&gt;=2,C36&gt;=$E$2),0,AND(B36=1,C36&lt;$E$2),0.8,AND(B36=1,C36&gt;=$E$2),0.6,TRUE,0)</f>
        <v>0.8</v>
      </c>
    </row>
    <row r="37" spans="1:4" x14ac:dyDescent="0.25">
      <c r="A37" t="str">
        <v>L1nniker</v>
      </c>
      <c r="B37">
        <f>COUNTIFS(Gadget_Usage_Assault!$A:$A,$A37,Gadget_Usage_Assault!$D:$D,"Gadget",Gadget_Usage_Assault!$J:$J,1)</f>
        <v>1</v>
      </c>
      <c r="C37" s="53">
        <f>SUMIFS(Gadget_Usage_Assault!$I:$I,Gadget_Usage_Assault!$A:$A,$A37)</f>
        <v>0.47721132897603491</v>
      </c>
      <c r="D37" cm="1">
        <f t="array" ref="D37">_xlfn.IFS(B37=0,1,AND(B37&gt;=2,C37&gt;=$E$2),0,AND(B37=1,C37&lt;$E$2),0.8,AND(B37=1,C37&gt;=$E$2),0.6,TRUE,0)</f>
        <v>0.8</v>
      </c>
    </row>
    <row r="38" spans="1:4" x14ac:dyDescent="0.25">
      <c r="A38" t="str">
        <v>besthua</v>
      </c>
      <c r="B38">
        <f>COUNTIFS(Gadget_Usage_Assault!$A:$A,$A38,Gadget_Usage_Assault!$D:$D,"Gadget",Gadget_Usage_Assault!$J:$J,1)</f>
        <v>1</v>
      </c>
      <c r="C38" s="53">
        <f>SUMIFS(Gadget_Usage_Assault!$I:$I,Gadget_Usage_Assault!$A:$A,$A38)</f>
        <v>0.72506887052341595</v>
      </c>
      <c r="D38" cm="1">
        <f t="array" ref="D38">_xlfn.IFS(B38=0,1,AND(B38&gt;=2,C38&gt;=$E$2),0,AND(B38=1,C38&lt;$E$2),0.8,AND(B38=1,C38&gt;=$E$2),0.6,TRUE,0)</f>
        <v>0.6</v>
      </c>
    </row>
    <row r="39" spans="1:4" x14ac:dyDescent="0.25">
      <c r="A39" t="str">
        <v>Teebeutel_D3luXE</v>
      </c>
      <c r="B39">
        <f>COUNTIFS(Gadget_Usage_Assault!$A:$A,$A39,Gadget_Usage_Assault!$D:$D,"Gadget",Gadget_Usage_Assault!$J:$J,1)</f>
        <v>3</v>
      </c>
      <c r="C39" s="53">
        <f>SUMIFS(Gadget_Usage_Assault!$I:$I,Gadget_Usage_Assault!$A:$A,$A39)</f>
        <v>1.3052029322367242</v>
      </c>
      <c r="D39" cm="1">
        <f t="array" ref="D39">_xlfn.IFS(B39=0,1,AND(B39&gt;=2,C39&gt;=$E$2),0,AND(B39=1,C39&lt;$E$2),0.8,AND(B39=1,C39&gt;=$E$2),0.6,TRUE,0)</f>
        <v>0</v>
      </c>
    </row>
    <row r="40" spans="1:4" x14ac:dyDescent="0.25">
      <c r="A40" t="str">
        <v>pittasmama</v>
      </c>
      <c r="B40">
        <f>COUNTIFS(Gadget_Usage_Assault!$A:$A,$A40,Gadget_Usage_Assault!$D:$D,"Gadget",Gadget_Usage_Assault!$J:$J,1)</f>
        <v>1</v>
      </c>
      <c r="C40" s="53">
        <f>SUMIFS(Gadget_Usage_Assault!$I:$I,Gadget_Usage_Assault!$A:$A,$A40)</f>
        <v>0.34297195771817945</v>
      </c>
      <c r="D40" cm="1">
        <f t="array" ref="D40">_xlfn.IFS(B40=0,1,AND(B40&gt;=2,C40&gt;=$E$2),0,AND(B40=1,C40&lt;$E$2),0.8,AND(B40=1,C40&gt;=$E$2),0.6,TRUE,0)</f>
        <v>0.8</v>
      </c>
    </row>
    <row r="41" spans="1:4" x14ac:dyDescent="0.25">
      <c r="A41" t="str">
        <v>Schulz_9393</v>
      </c>
      <c r="B41">
        <f>COUNTIFS(Gadget_Usage_Assault!$A:$A,$A41,Gadget_Usage_Assault!$D:$D,"Gadget",Gadget_Usage_Assault!$J:$J,1)</f>
        <v>0</v>
      </c>
      <c r="C41" s="53">
        <f>SUMIFS(Gadget_Usage_Assault!$I:$I,Gadget_Usage_Assault!$A:$A,$A41)</f>
        <v>0.12131385536702657</v>
      </c>
      <c r="D41" cm="1">
        <f t="array" ref="D41">_xlfn.IFS(B41=0,1,AND(B41&gt;=2,C41&gt;=$E$2),0,AND(B41=1,C41&lt;$E$2),0.8,AND(B41=1,C41&gt;=$E$2),0.6,TRUE,0)</f>
        <v>1</v>
      </c>
    </row>
    <row r="42" spans="1:4" x14ac:dyDescent="0.25">
      <c r="A42" t="str">
        <v>Bail</v>
      </c>
      <c r="B42">
        <f>COUNTIFS(Gadget_Usage_Assault!$A:$A,$A42,Gadget_Usage_Assault!$D:$D,"Gadget",Gadget_Usage_Assault!$J:$J,1)</f>
        <v>2</v>
      </c>
      <c r="C42" s="53">
        <f>SUMIFS(Gadget_Usage_Assault!$I:$I,Gadget_Usage_Assault!$A:$A,$A42)</f>
        <v>1.2534737989283444</v>
      </c>
      <c r="D42" cm="1">
        <f t="array" ref="D42">_xlfn.IFS(B42=0,1,AND(B42&gt;=2,C42&gt;=$E$2),0,AND(B42=1,C42&lt;$E$2),0.8,AND(B42=1,C42&gt;=$E$2),0.6,TRUE,0)</f>
        <v>0</v>
      </c>
    </row>
    <row r="43" spans="1:4" x14ac:dyDescent="0.25">
      <c r="A43" t="str">
        <v>BrewCitySiggy</v>
      </c>
      <c r="B43">
        <f>COUNTIFS(Gadget_Usage_Assault!$A:$A,$A43,Gadget_Usage_Assault!$D:$D,"Gadget",Gadget_Usage_Assault!$J:$J,1)</f>
        <v>2</v>
      </c>
      <c r="C43" s="53">
        <f>SUMIFS(Gadget_Usage_Assault!$I:$I,Gadget_Usage_Assault!$A:$A,$A43)</f>
        <v>0.31453085067542902</v>
      </c>
      <c r="D43" cm="1">
        <f t="array" ref="D43">_xlfn.IFS(B43=0,1,AND(B43&gt;=2,C43&gt;=$E$2),0,AND(B43=1,C43&lt;$E$2),0.8,AND(B43=1,C43&gt;=$E$2),0.6,TRUE,0)</f>
        <v>0</v>
      </c>
    </row>
    <row r="44" spans="1:4" x14ac:dyDescent="0.25">
      <c r="A44" t="str">
        <v>B站风雨连尘</v>
      </c>
      <c r="B44">
        <f>COUNTIFS(Gadget_Usage_Assault!$A:$A,$A44,Gadget_Usage_Assault!$D:$D,"Gadget",Gadget_Usage_Assault!$J:$J,1)</f>
        <v>2</v>
      </c>
      <c r="C44" s="53">
        <f>SUMIFS(Gadget_Usage_Assault!$I:$I,Gadget_Usage_Assault!$A:$A,$A44)</f>
        <v>1.318507490462455</v>
      </c>
      <c r="D44" cm="1">
        <f t="array" ref="D44">_xlfn.IFS(B44=0,1,AND(B44&gt;=2,C44&gt;=$E$2),0,AND(B44=1,C44&lt;$E$2),0.8,AND(B44=1,C44&gt;=$E$2),0.6,TRUE,0)</f>
        <v>0</v>
      </c>
    </row>
    <row r="45" spans="1:4" x14ac:dyDescent="0.25">
      <c r="A45" t="str">
        <v>AlchemistMac</v>
      </c>
      <c r="B45">
        <f>COUNTIFS(Gadget_Usage_Assault!$A:$A,$A45,Gadget_Usage_Assault!$D:$D,"Gadget",Gadget_Usage_Assault!$J:$J,1)</f>
        <v>1</v>
      </c>
      <c r="C45" s="53">
        <f>SUMIFS(Gadget_Usage_Assault!$I:$I,Gadget_Usage_Assault!$A:$A,$A45)</f>
        <v>0.35540174541077341</v>
      </c>
      <c r="D45" cm="1">
        <f t="array" ref="D45">_xlfn.IFS(B45=0,1,AND(B45&gt;=2,C45&gt;=$E$2),0,AND(B45=1,C45&lt;$E$2),0.8,AND(B45=1,C45&gt;=$E$2),0.6,TRUE,0)</f>
        <v>0.8</v>
      </c>
    </row>
    <row r="46" spans="1:4" x14ac:dyDescent="0.25">
      <c r="A46" t="str">
        <v>ManChild174790</v>
      </c>
      <c r="B46">
        <f>COUNTIFS(Gadget_Usage_Assault!$A:$A,$A46,Gadget_Usage_Assault!$D:$D,"Gadget",Gadget_Usage_Assault!$J:$J,1)</f>
        <v>1</v>
      </c>
      <c r="C46" s="53">
        <f>SUMIFS(Gadget_Usage_Assault!$I:$I,Gadget_Usage_Assault!$A:$A,$A46)</f>
        <v>0.73169151004536614</v>
      </c>
      <c r="D46" cm="1">
        <f t="array" ref="D46">_xlfn.IFS(B46=0,1,AND(B46&gt;=2,C46&gt;=$E$2),0,AND(B46=1,C46&lt;$E$2),0.8,AND(B46=1,C46&gt;=$E$2),0.6,TRUE,0)</f>
        <v>0.6</v>
      </c>
    </row>
    <row r="47" spans="1:4" x14ac:dyDescent="0.25">
      <c r="A47" t="str">
        <v>BlulessBlueberry</v>
      </c>
      <c r="B47">
        <f>COUNTIFS(Gadget_Usage_Assault!$A:$A,$A47,Gadget_Usage_Assault!$D:$D,"Gadget",Gadget_Usage_Assault!$J:$J,1)</f>
        <v>2</v>
      </c>
      <c r="C47" s="53">
        <f>SUMIFS(Gadget_Usage_Assault!$I:$I,Gadget_Usage_Assault!$A:$A,$A47)</f>
        <v>1.0216897139609775</v>
      </c>
      <c r="D47" cm="1">
        <f t="array" ref="D47">_xlfn.IFS(B47=0,1,AND(B47&gt;=2,C47&gt;=$E$2),0,AND(B47=1,C47&lt;$E$2),0.8,AND(B47=1,C47&gt;=$E$2),0.6,TRUE,0)</f>
        <v>0</v>
      </c>
    </row>
    <row r="48" spans="1:4" x14ac:dyDescent="0.25">
      <c r="A48" t="str">
        <v>Parashade</v>
      </c>
      <c r="B48">
        <f>COUNTIFS(Gadget_Usage_Assault!$A:$A,$A48,Gadget_Usage_Assault!$D:$D,"Gadget",Gadget_Usage_Assault!$J:$J,1)</f>
        <v>1</v>
      </c>
      <c r="C48" s="53">
        <f>SUMIFS(Gadget_Usage_Assault!$I:$I,Gadget_Usage_Assault!$A:$A,$A48)</f>
        <v>0.52213060373424336</v>
      </c>
      <c r="D48" cm="1">
        <f t="array" ref="D48">_xlfn.IFS(B48=0,1,AND(B48&gt;=2,C48&gt;=$E$2),0,AND(B48=1,C48&lt;$E$2),0.8,AND(B48=1,C48&gt;=$E$2),0.6,TRUE,0)</f>
        <v>0.8</v>
      </c>
    </row>
    <row r="49" spans="1:4" x14ac:dyDescent="0.25">
      <c r="A49" t="str">
        <v>KingEpyon1</v>
      </c>
      <c r="B49">
        <f>COUNTIFS(Gadget_Usage_Assault!$A:$A,$A49,Gadget_Usage_Assault!$D:$D,"Gadget",Gadget_Usage_Assault!$J:$J,1)</f>
        <v>2</v>
      </c>
      <c r="C49" s="53">
        <f>SUMIFS(Gadget_Usage_Assault!$I:$I,Gadget_Usage_Assault!$A:$A,$A49)</f>
        <v>0.89064801178203246</v>
      </c>
      <c r="D49" cm="1">
        <f t="array" ref="D49">_xlfn.IFS(B49=0,1,AND(B49&gt;=2,C49&gt;=$E$2),0,AND(B49=1,C49&lt;$E$2),0.8,AND(B49=1,C49&gt;=$E$2),0.6,TRUE,0)</f>
        <v>0</v>
      </c>
    </row>
    <row r="50" spans="1:4" x14ac:dyDescent="0.25">
      <c r="A50" t="str">
        <v>EMA.Losec</v>
      </c>
      <c r="B50">
        <f>COUNTIFS(Gadget_Usage_Assault!$A:$A,$A50,Gadget_Usage_Assault!$D:$D,"Gadget",Gadget_Usage_Assault!$J:$J,1)</f>
        <v>2</v>
      </c>
      <c r="C50" s="53">
        <f>SUMIFS(Gadget_Usage_Assault!$I:$I,Gadget_Usage_Assault!$A:$A,$A50)</f>
        <v>1.2897043243763844</v>
      </c>
      <c r="D50" cm="1">
        <f t="array" ref="D50">_xlfn.IFS(B50=0,1,AND(B50&gt;=2,C50&gt;=$E$2),0,AND(B50=1,C50&lt;$E$2),0.8,AND(B50=1,C50&gt;=$E$2),0.6,TRUE,0)</f>
        <v>0</v>
      </c>
    </row>
    <row r="51" spans="1:4" x14ac:dyDescent="0.25">
      <c r="A51" t="str">
        <v>NoEsc4pe</v>
      </c>
      <c r="B51">
        <f>COUNTIFS(Gadget_Usage_Assault!$A:$A,$A51,Gadget_Usage_Assault!$D:$D,"Gadget",Gadget_Usage_Assault!$J:$J,1)</f>
        <v>1</v>
      </c>
      <c r="C51" s="53">
        <f>SUMIFS(Gadget_Usage_Assault!$I:$I,Gadget_Usage_Assault!$A:$A,$A51)</f>
        <v>0.58270312197013763</v>
      </c>
      <c r="D51" cm="1">
        <f t="array" ref="D51">_xlfn.IFS(B51=0,1,AND(B51&gt;=2,C51&gt;=$E$2),0,AND(B51=1,C51&lt;$E$2),0.8,AND(B51=1,C51&gt;=$E$2),0.6,TRUE,0)</f>
        <v>0.6</v>
      </c>
    </row>
    <row r="52" spans="1:4" x14ac:dyDescent="0.25">
      <c r="A52" t="str">
        <v>Tonylovakmer</v>
      </c>
      <c r="B52">
        <f>COUNTIFS(Gadget_Usage_Assault!$A:$A,$A52,Gadget_Usage_Assault!$D:$D,"Gadget",Gadget_Usage_Assault!$J:$J,1)</f>
        <v>0</v>
      </c>
      <c r="C52" s="53">
        <f>SUMIFS(Gadget_Usage_Assault!$I:$I,Gadget_Usage_Assault!$A:$A,$A52)</f>
        <v>6.8486635594026445E-3</v>
      </c>
      <c r="D52" cm="1">
        <f t="array" ref="D52">_xlfn.IFS(B52=0,1,AND(B52&gt;=2,C52&gt;=$E$2),0,AND(B52=1,C52&lt;$E$2),0.8,AND(B52=1,C52&gt;=$E$2),0.6,TRUE,0)</f>
        <v>1</v>
      </c>
    </row>
    <row r="53" spans="1:4" x14ac:dyDescent="0.25">
      <c r="A53" t="str">
        <v>2Scrap</v>
      </c>
      <c r="B53">
        <f>COUNTIFS(Gadget_Usage_Assault!$A:$A,$A53,Gadget_Usage_Assault!$D:$D,"Gadget",Gadget_Usage_Assault!$J:$J,1)</f>
        <v>0</v>
      </c>
      <c r="C53" s="53">
        <f>SUMIFS(Gadget_Usage_Assault!$I:$I,Gadget_Usage_Assault!$A:$A,$A53)</f>
        <v>0.11151791015238473</v>
      </c>
      <c r="D53" cm="1">
        <f t="array" ref="D53">_xlfn.IFS(B53=0,1,AND(B53&gt;=2,C53&gt;=$E$2),0,AND(B53=1,C53&lt;$E$2),0.8,AND(B53=1,C53&gt;=$E$2),0.6,TRUE,0)</f>
        <v>1</v>
      </c>
    </row>
    <row r="54" spans="1:4" x14ac:dyDescent="0.25">
      <c r="A54" t="str">
        <v>Jason275</v>
      </c>
      <c r="B54">
        <f>COUNTIFS(Gadget_Usage_Assault!$A:$A,$A54,Gadget_Usage_Assault!$D:$D,"Gadget",Gadget_Usage_Assault!$J:$J,1)</f>
        <v>2</v>
      </c>
      <c r="C54" s="53">
        <f>SUMIFS(Gadget_Usage_Assault!$I:$I,Gadget_Usage_Assault!$A:$A,$A54)</f>
        <v>0.72221142635056357</v>
      </c>
      <c r="D54" cm="1">
        <f t="array" ref="D54">_xlfn.IFS(B54=0,1,AND(B54&gt;=2,C54&gt;=$E$2),0,AND(B54=1,C54&lt;$E$2),0.8,AND(B54=1,C54&gt;=$E$2),0.6,TRUE,0)</f>
        <v>0</v>
      </c>
    </row>
    <row r="55" spans="1:4" x14ac:dyDescent="0.25">
      <c r="A55" t="str">
        <v>MA5TER_D</v>
      </c>
      <c r="B55">
        <f>COUNTIFS(Gadget_Usage_Assault!$A:$A,$A55,Gadget_Usage_Assault!$D:$D,"Gadget",Gadget_Usage_Assault!$J:$J,1)</f>
        <v>1</v>
      </c>
      <c r="C55" s="53">
        <f>SUMIFS(Gadget_Usage_Assault!$I:$I,Gadget_Usage_Assault!$A:$A,$A55)</f>
        <v>0.71566653242045919</v>
      </c>
      <c r="D55" cm="1">
        <f t="array" ref="D55">_xlfn.IFS(B55=0,1,AND(B55&gt;=2,C55&gt;=$E$2),0,AND(B55=1,C55&lt;$E$2),0.8,AND(B55=1,C55&gt;=$E$2),0.6,TRUE,0)</f>
        <v>0.6</v>
      </c>
    </row>
    <row r="56" spans="1:4" x14ac:dyDescent="0.25">
      <c r="A56" t="str">
        <v>SynCole</v>
      </c>
      <c r="B56">
        <f>COUNTIFS(Gadget_Usage_Assault!$A:$A,$A56,Gadget_Usage_Assault!$D:$D,"Gadget",Gadget_Usage_Assault!$J:$J,1)</f>
        <v>1</v>
      </c>
      <c r="C56" s="53">
        <f>SUMIFS(Gadget_Usage_Assault!$I:$I,Gadget_Usage_Assault!$A:$A,$A56)</f>
        <v>0.34251078693240189</v>
      </c>
      <c r="D56" cm="1">
        <f t="array" ref="D56">_xlfn.IFS(B56=0,1,AND(B56&gt;=2,C56&gt;=$E$2),0,AND(B56=1,C56&lt;$E$2),0.8,AND(B56=1,C56&gt;=$E$2),0.6,TRUE,0)</f>
        <v>0.8</v>
      </c>
    </row>
    <row r="57" spans="1:4" x14ac:dyDescent="0.25">
      <c r="A57" t="str">
        <v>Arzabv</v>
      </c>
      <c r="B57">
        <f>COUNTIFS(Gadget_Usage_Assault!$A:$A,$A57,Gadget_Usage_Assault!$D:$D,"Gadget",Gadget_Usage_Assault!$J:$J,1)</f>
        <v>2</v>
      </c>
      <c r="C57" s="53">
        <f>SUMIFS(Gadget_Usage_Assault!$I:$I,Gadget_Usage_Assault!$A:$A,$A57)</f>
        <v>0.85617562576938866</v>
      </c>
      <c r="D57" cm="1">
        <f t="array" ref="D57">_xlfn.IFS(B57=0,1,AND(B57&gt;=2,C57&gt;=$E$2),0,AND(B57=1,C57&lt;$E$2),0.8,AND(B57=1,C57&gt;=$E$2),0.6,TRUE,0)</f>
        <v>0</v>
      </c>
    </row>
    <row r="58" spans="1:4" x14ac:dyDescent="0.25">
      <c r="A58" t="str">
        <v>CrazyHorsse13</v>
      </c>
      <c r="B58">
        <f>COUNTIFS(Gadget_Usage_Assault!$A:$A,$A58,Gadget_Usage_Assault!$D:$D,"Gadget",Gadget_Usage_Assault!$J:$J,1)</f>
        <v>2</v>
      </c>
      <c r="C58" s="53">
        <f>SUMIFS(Gadget_Usage_Assault!$I:$I,Gadget_Usage_Assault!$A:$A,$A58)</f>
        <v>0.39437887577515507</v>
      </c>
      <c r="D58" cm="1">
        <f t="array" ref="D58">_xlfn.IFS(B58=0,1,AND(B58&gt;=2,C58&gt;=$E$2),0,AND(B58=1,C58&lt;$E$2),0.8,AND(B58=1,C58&gt;=$E$2),0.6,TRUE,0)</f>
        <v>0</v>
      </c>
    </row>
    <row r="59" spans="1:4" x14ac:dyDescent="0.25">
      <c r="A59" t="str">
        <v>Night Fusion</v>
      </c>
      <c r="B59">
        <f>COUNTIFS(Gadget_Usage_Assault!$A:$A,$A59,Gadget_Usage_Assault!$D:$D,"Gadget",Gadget_Usage_Assault!$J:$J,1)</f>
        <v>2</v>
      </c>
      <c r="C59" s="53">
        <f>SUMIFS(Gadget_Usage_Assault!$I:$I,Gadget_Usage_Assault!$A:$A,$A59)</f>
        <v>0.94184756773886857</v>
      </c>
      <c r="D59" cm="1">
        <f t="array" ref="D59">_xlfn.IFS(B59=0,1,AND(B59&gt;=2,C59&gt;=$E$2),0,AND(B59=1,C59&lt;$E$2),0.8,AND(B59=1,C59&gt;=$E$2),0.6,TRUE,0)</f>
        <v>0</v>
      </c>
    </row>
    <row r="60" spans="1:4" x14ac:dyDescent="0.25">
      <c r="A60" t="str">
        <v>Captain Dell</v>
      </c>
      <c r="B60">
        <f>COUNTIFS(Gadget_Usage_Assault!$A:$A,$A60,Gadget_Usage_Assault!$D:$D,"Gadget",Gadget_Usage_Assault!$J:$J,1)</f>
        <v>2</v>
      </c>
      <c r="C60" s="53">
        <f>SUMIFS(Gadget_Usage_Assault!$I:$I,Gadget_Usage_Assault!$A:$A,$A60)</f>
        <v>0.72422320180625743</v>
      </c>
      <c r="D60" cm="1">
        <f t="array" ref="D60">_xlfn.IFS(B60=0,1,AND(B60&gt;=2,C60&gt;=$E$2),0,AND(B60=1,C60&lt;$E$2),0.8,AND(B60=1,C60&gt;=$E$2),0.6,TRUE,0)</f>
        <v>0</v>
      </c>
    </row>
    <row r="61" spans="1:4" x14ac:dyDescent="0.25">
      <c r="A61" t="str">
        <v>An Army of Kiel</v>
      </c>
      <c r="B61">
        <f>COUNTIFS(Gadget_Usage_Assault!$A:$A,$A61,Gadget_Usage_Assault!$D:$D,"Gadget",Gadget_Usage_Assault!$J:$J,1)</f>
        <v>1</v>
      </c>
      <c r="C61" s="53">
        <f>SUMIFS(Gadget_Usage_Assault!$I:$I,Gadget_Usage_Assault!$A:$A,$A61)</f>
        <v>0.50086692674469013</v>
      </c>
      <c r="D61" cm="1">
        <f t="array" ref="D61">_xlfn.IFS(B61=0,1,AND(B61&gt;=2,C61&gt;=$E$2),0,AND(B61=1,C61&lt;$E$2),0.8,AND(B61=1,C61&gt;=$E$2),0.6,TRUE,0)</f>
        <v>0.8</v>
      </c>
    </row>
    <row r="62" spans="1:4" x14ac:dyDescent="0.25">
      <c r="A62" t="str">
        <v>rOve_DeCOy</v>
      </c>
      <c r="B62">
        <f>COUNTIFS(Gadget_Usage_Assault!$A:$A,$A62,Gadget_Usage_Assault!$D:$D,"Gadget",Gadget_Usage_Assault!$J:$J,1)</f>
        <v>2</v>
      </c>
      <c r="C62" s="53">
        <f>SUMIFS(Gadget_Usage_Assault!$I:$I,Gadget_Usage_Assault!$A:$A,$A62)</f>
        <v>0.83088020274880592</v>
      </c>
      <c r="D62" cm="1">
        <f t="array" ref="D62">_xlfn.IFS(B62=0,1,AND(B62&gt;=2,C62&gt;=$E$2),0,AND(B62=1,C62&lt;$E$2),0.8,AND(B62=1,C62&gt;=$E$2),0.6,TRUE,0)</f>
        <v>0</v>
      </c>
    </row>
    <row r="63" spans="1:4" x14ac:dyDescent="0.25">
      <c r="A63" t="str">
        <v>Romacdc</v>
      </c>
      <c r="B63">
        <f>COUNTIFS(Gadget_Usage_Assault!$A:$A,$A63,Gadget_Usage_Assault!$D:$D,"Gadget",Gadget_Usage_Assault!$J:$J,1)</f>
        <v>2</v>
      </c>
      <c r="C63" s="53">
        <f>SUMIFS(Gadget_Usage_Assault!$I:$I,Gadget_Usage_Assault!$A:$A,$A63)</f>
        <v>0.48064880402422744</v>
      </c>
      <c r="D63" cm="1">
        <f t="array" ref="D63">_xlfn.IFS(B63=0,1,AND(B63&gt;=2,C63&gt;=$E$2),0,AND(B63=1,C63&lt;$E$2),0.8,AND(B63=1,C63&gt;=$E$2),0.6,TRUE,0)</f>
        <v>0</v>
      </c>
    </row>
    <row r="64" spans="1:4" x14ac:dyDescent="0.25">
      <c r="A64" t="str">
        <v>Vang-262</v>
      </c>
      <c r="B64">
        <f>COUNTIFS(Gadget_Usage_Assault!$A:$A,$A64,Gadget_Usage_Assault!$D:$D,"Gadget",Gadget_Usage_Assault!$J:$J,1)</f>
        <v>1</v>
      </c>
      <c r="C64" s="53">
        <f>SUMIFS(Gadget_Usage_Assault!$I:$I,Gadget_Usage_Assault!$A:$A,$A64)</f>
        <v>0.25354042941982641</v>
      </c>
      <c r="D64" cm="1">
        <f t="array" ref="D64">_xlfn.IFS(B64=0,1,AND(B64&gt;=2,C64&gt;=$E$2),0,AND(B64=1,C64&lt;$E$2),0.8,AND(B64=1,C64&gt;=$E$2),0.6,TRUE,0)</f>
        <v>0.8</v>
      </c>
    </row>
    <row r="65" spans="1:4" x14ac:dyDescent="0.25">
      <c r="A65" t="str">
        <v>milet</v>
      </c>
      <c r="B65">
        <f>COUNTIFS(Gadget_Usage_Assault!$A:$A,$A65,Gadget_Usage_Assault!$D:$D,"Gadget",Gadget_Usage_Assault!$J:$J,1)</f>
        <v>2</v>
      </c>
      <c r="C65" s="53">
        <f>SUMIFS(Gadget_Usage_Assault!$I:$I,Gadget_Usage_Assault!$A:$A,$A65)</f>
        <v>0.83798576902025168</v>
      </c>
      <c r="D65" cm="1">
        <f t="array" ref="D65">_xlfn.IFS(B65=0,1,AND(B65&gt;=2,C65&gt;=$E$2),0,AND(B65=1,C65&lt;$E$2),0.8,AND(B65=1,C65&gt;=$E$2),0.6,TRUE,0)</f>
        <v>0</v>
      </c>
    </row>
    <row r="66" spans="1:4" x14ac:dyDescent="0.25">
      <c r="A66" t="str">
        <v>adriacus11</v>
      </c>
      <c r="B66">
        <f>COUNTIFS(Gadget_Usage_Assault!$A:$A,$A66,Gadget_Usage_Assault!$D:$D,"Gadget",Gadget_Usage_Assault!$J:$J,1)</f>
        <v>1</v>
      </c>
      <c r="C66" s="53">
        <f>SUMIFS(Gadget_Usage_Assault!$I:$I,Gadget_Usage_Assault!$A:$A,$A66)</f>
        <v>0.2887887323943662</v>
      </c>
      <c r="D66" cm="1">
        <f t="array" ref="D66">_xlfn.IFS(B66=0,1,AND(B66&gt;=2,C66&gt;=$E$2),0,AND(B66=1,C66&lt;$E$2),0.8,AND(B66=1,C66&gt;=$E$2),0.6,TRUE,0)</f>
        <v>0.8</v>
      </c>
    </row>
    <row r="67" spans="1:4" x14ac:dyDescent="0.25">
      <c r="A67" t="str">
        <v>Flipovsy</v>
      </c>
      <c r="B67">
        <f>COUNTIFS(Gadget_Usage_Assault!$A:$A,$A67,Gadget_Usage_Assault!$D:$D,"Gadget",Gadget_Usage_Assault!$J:$J,1)</f>
        <v>1</v>
      </c>
      <c r="C67" s="53">
        <f>SUMIFS(Gadget_Usage_Assault!$I:$I,Gadget_Usage_Assault!$A:$A,$A67)</f>
        <v>0.4264651128155485</v>
      </c>
      <c r="D67" cm="1">
        <f t="array" ref="D67">_xlfn.IFS(B67=0,1,AND(B67&gt;=2,C67&gt;=$E$2),0,AND(B67=1,C67&lt;$E$2),0.8,AND(B67=1,C67&gt;=$E$2),0.6,TRUE,0)</f>
        <v>0.8</v>
      </c>
    </row>
    <row r="68" spans="1:4" x14ac:dyDescent="0.25">
      <c r="A68" t="str">
        <v>Ctrl</v>
      </c>
      <c r="B68">
        <f>COUNTIFS(Gadget_Usage_Assault!$A:$A,$A68,Gadget_Usage_Assault!$D:$D,"Gadget",Gadget_Usage_Assault!$J:$J,1)</f>
        <v>2</v>
      </c>
      <c r="C68" s="53">
        <f>SUMIFS(Gadget_Usage_Assault!$I:$I,Gadget_Usage_Assault!$A:$A,$A68)</f>
        <v>0.32938361626979606</v>
      </c>
      <c r="D68" cm="1">
        <f t="array" ref="D68">_xlfn.IFS(B68=0,1,AND(B68&gt;=2,C68&gt;=$E$2),0,AND(B68=1,C68&lt;$E$2),0.8,AND(B68=1,C68&gt;=$E$2),0.6,TRUE,0)</f>
        <v>0</v>
      </c>
    </row>
    <row r="69" spans="1:4" x14ac:dyDescent="0.25">
      <c r="A69" t="str">
        <v>Krzysiek--777</v>
      </c>
      <c r="B69">
        <f>COUNTIFS(Gadget_Usage_Assault!$A:$A,$A69,Gadget_Usage_Assault!$D:$D,"Gadget",Gadget_Usage_Assault!$J:$J,1)</f>
        <v>0</v>
      </c>
      <c r="C69" s="53">
        <f>SUMIFS(Gadget_Usage_Assault!$I:$I,Gadget_Usage_Assault!$A:$A,$A69)</f>
        <v>0.13852156947756339</v>
      </c>
      <c r="D69" cm="1">
        <f t="array" ref="D69">_xlfn.IFS(B69=0,1,AND(B69&gt;=2,C69&gt;=$E$2),0,AND(B69=1,C69&lt;$E$2),0.8,AND(B69=1,C69&gt;=$E$2),0.6,TRUE,0)</f>
        <v>1</v>
      </c>
    </row>
    <row r="70" spans="1:4" x14ac:dyDescent="0.25">
      <c r="A70" t="str">
        <v>DzzzNt</v>
      </c>
      <c r="B70">
        <f>COUNTIFS(Gadget_Usage_Assault!$A:$A,$A70,Gadget_Usage_Assault!$D:$D,"Gadget",Gadget_Usage_Assault!$J:$J,1)</f>
        <v>2</v>
      </c>
      <c r="C70" s="53">
        <f>SUMIFS(Gadget_Usage_Assault!$I:$I,Gadget_Usage_Assault!$A:$A,$A70)</f>
        <v>0.67681362257989264</v>
      </c>
      <c r="D70" cm="1">
        <f t="array" ref="D70">_xlfn.IFS(B70=0,1,AND(B70&gt;=2,C70&gt;=$E$2),0,AND(B70=1,C70&lt;$E$2),0.8,AND(B70=1,C70&gt;=$E$2),0.6,TRUE,0)</f>
        <v>0</v>
      </c>
    </row>
    <row r="71" spans="1:4" x14ac:dyDescent="0.25">
      <c r="A71" t="str">
        <v>Replenishment Oiler</v>
      </c>
      <c r="B71">
        <f>COUNTIFS(Gadget_Usage_Assault!$A:$A,$A71,Gadget_Usage_Assault!$D:$D,"Gadget",Gadget_Usage_Assault!$J:$J,1)</f>
        <v>2</v>
      </c>
      <c r="C71" s="53">
        <f>SUMIFS(Gadget_Usage_Assault!$I:$I,Gadget_Usage_Assault!$A:$A,$A71)</f>
        <v>1.2883628731343284</v>
      </c>
      <c r="D71" cm="1">
        <f t="array" ref="D71">_xlfn.IFS(B71=0,1,AND(B71&gt;=2,C71&gt;=$E$2),0,AND(B71=1,C71&lt;$E$2),0.8,AND(B71=1,C71&gt;=$E$2),0.6,TRUE,0)</f>
        <v>0</v>
      </c>
    </row>
    <row r="72" spans="1:4" x14ac:dyDescent="0.25">
      <c r="A72" t="str">
        <v>Situ Sifang</v>
      </c>
      <c r="B72">
        <f>COUNTIFS(Gadget_Usage_Assault!$A:$A,$A72,Gadget_Usage_Assault!$D:$D,"Gadget",Gadget_Usage_Assault!$J:$J,1)</f>
        <v>3</v>
      </c>
      <c r="C72" s="53">
        <f>SUMIFS(Gadget_Usage_Assault!$I:$I,Gadget_Usage_Assault!$A:$A,$A72)</f>
        <v>1.4319582740635373</v>
      </c>
      <c r="D72" cm="1">
        <f t="array" ref="D72">_xlfn.IFS(B72=0,1,AND(B72&gt;=2,C72&gt;=$E$2),0,AND(B72=1,C72&lt;$E$2),0.8,AND(B72=1,C72&gt;=$E$2),0.6,TRUE,0)</f>
        <v>0</v>
      </c>
    </row>
    <row r="73" spans="1:4" x14ac:dyDescent="0.25">
      <c r="A73" t="str">
        <v>TsaDiNi</v>
      </c>
      <c r="B73">
        <f>COUNTIFS(Gadget_Usage_Assault!$A:$A,$A73,Gadget_Usage_Assault!$D:$D,"Gadget",Gadget_Usage_Assault!$J:$J,1)</f>
        <v>2</v>
      </c>
      <c r="C73" s="53">
        <f>SUMIFS(Gadget_Usage_Assault!$I:$I,Gadget_Usage_Assault!$A:$A,$A73)</f>
        <v>1.2737955346651002</v>
      </c>
      <c r="D73" cm="1">
        <f t="array" ref="D73">_xlfn.IFS(B73=0,1,AND(B73&gt;=2,C73&gt;=$E$2),0,AND(B73=1,C73&lt;$E$2),0.8,AND(B73=1,C73&gt;=$E$2),0.6,TRUE,0)</f>
        <v>0</v>
      </c>
    </row>
    <row r="74" spans="1:4" x14ac:dyDescent="0.25">
      <c r="A74" t="str">
        <v>Villkiss</v>
      </c>
      <c r="B74">
        <f>COUNTIFS(Gadget_Usage_Assault!$A:$A,$A74,Gadget_Usage_Assault!$D:$D,"Gadget",Gadget_Usage_Assault!$J:$J,1)</f>
        <v>2</v>
      </c>
      <c r="C74" s="53">
        <f>SUMIFS(Gadget_Usage_Assault!$I:$I,Gadget_Usage_Assault!$A:$A,$A74)</f>
        <v>0.66586567343505954</v>
      </c>
      <c r="D74" cm="1">
        <f t="array" ref="D74">_xlfn.IFS(B74=0,1,AND(B74&gt;=2,C74&gt;=$E$2),0,AND(B74=1,C74&lt;$E$2),0.8,AND(B74=1,C74&gt;=$E$2),0.6,TRUE,0)</f>
        <v>0</v>
      </c>
    </row>
    <row r="75" spans="1:4" x14ac:dyDescent="0.25">
      <c r="A75" t="str">
        <v>L O V E</v>
      </c>
      <c r="B75">
        <f>COUNTIFS(Gadget_Usage_Assault!$A:$A,$A75,Gadget_Usage_Assault!$D:$D,"Gadget",Gadget_Usage_Assault!$J:$J,1)</f>
        <v>2</v>
      </c>
      <c r="C75" s="53">
        <f>SUMIFS(Gadget_Usage_Assault!$I:$I,Gadget_Usage_Assault!$A:$A,$A75)</f>
        <v>1.0202654657501777</v>
      </c>
      <c r="D75" cm="1">
        <f t="array" ref="D75">_xlfn.IFS(B75=0,1,AND(B75&gt;=2,C75&gt;=$E$2),0,AND(B75=1,C75&lt;$E$2),0.8,AND(B75=1,C75&gt;=$E$2),0.6,TRUE,0)</f>
        <v>0</v>
      </c>
    </row>
    <row r="76" spans="1:4" x14ac:dyDescent="0.25">
      <c r="A76" t="str">
        <v>theG</v>
      </c>
      <c r="B76">
        <f>COUNTIFS(Gadget_Usage_Assault!$A:$A,$A76,Gadget_Usage_Assault!$D:$D,"Gadget",Gadget_Usage_Assault!$J:$J,1)</f>
        <v>2</v>
      </c>
      <c r="C76" s="53">
        <f>SUMIFS(Gadget_Usage_Assault!$I:$I,Gadget_Usage_Assault!$A:$A,$A76)</f>
        <v>0.83227693807898584</v>
      </c>
      <c r="D76" cm="1">
        <f t="array" ref="D76">_xlfn.IFS(B76=0,1,AND(B76&gt;=2,C76&gt;=$E$2),0,AND(B76=1,C76&lt;$E$2),0.8,AND(B76=1,C76&gt;=$E$2),0.6,TRUE,0)</f>
        <v>0</v>
      </c>
    </row>
    <row r="77" spans="1:4" x14ac:dyDescent="0.25">
      <c r="A77" t="str">
        <v>Supaeydjent</v>
      </c>
      <c r="B77">
        <f>COUNTIFS(Gadget_Usage_Assault!$A:$A,$A77,Gadget_Usage_Assault!$D:$D,"Gadget",Gadget_Usage_Assault!$J:$J,1)</f>
        <v>1</v>
      </c>
      <c r="C77" s="53">
        <f>SUMIFS(Gadget_Usage_Assault!$I:$I,Gadget_Usage_Assault!$A:$A,$A77)</f>
        <v>0.67770293412490024</v>
      </c>
      <c r="D77" cm="1">
        <f t="array" ref="D77">_xlfn.IFS(B77=0,1,AND(B77&gt;=2,C77&gt;=$E$2),0,AND(B77=1,C77&lt;$E$2),0.8,AND(B77=1,C77&gt;=$E$2),0.6,TRUE,0)</f>
        <v>0.6</v>
      </c>
    </row>
    <row r="78" spans="1:4" x14ac:dyDescent="0.25">
      <c r="A78" t="str">
        <v>TwinTurbo86</v>
      </c>
      <c r="B78">
        <f>COUNTIFS(Gadget_Usage_Assault!$A:$A,$A78,Gadget_Usage_Assault!$D:$D,"Gadget",Gadget_Usage_Assault!$J:$J,1)</f>
        <v>2</v>
      </c>
      <c r="C78" s="53">
        <f>SUMIFS(Gadget_Usage_Assault!$I:$I,Gadget_Usage_Assault!$A:$A,$A78)</f>
        <v>1.944758163515836</v>
      </c>
      <c r="D78" cm="1">
        <f t="array" ref="D78">_xlfn.IFS(B78=0,1,AND(B78&gt;=2,C78&gt;=$E$2),0,AND(B78=1,C78&lt;$E$2),0.8,AND(B78=1,C78&gt;=$E$2),0.6,TRUE,0)</f>
        <v>0</v>
      </c>
    </row>
    <row r="79" spans="1:4" x14ac:dyDescent="0.25">
      <c r="A79" t="str">
        <v>xBeerMeJesus</v>
      </c>
      <c r="B79">
        <f>COUNTIFS(Gadget_Usage_Assault!$A:$A,$A79,Gadget_Usage_Assault!$D:$D,"Gadget",Gadget_Usage_Assault!$J:$J,1)</f>
        <v>2</v>
      </c>
      <c r="C79" s="53">
        <f>SUMIFS(Gadget_Usage_Assault!$I:$I,Gadget_Usage_Assault!$A:$A,$A79)</f>
        <v>0.62224657534246575</v>
      </c>
      <c r="D79" cm="1">
        <f t="array" ref="D79">_xlfn.IFS(B79=0,1,AND(B79&gt;=2,C79&gt;=$E$2),0,AND(B79=1,C79&lt;$E$2),0.8,AND(B79=1,C79&gt;=$E$2),0.6,TRUE,0)</f>
        <v>0</v>
      </c>
    </row>
    <row r="80" spans="1:4" x14ac:dyDescent="0.25">
      <c r="A80" t="str">
        <v>Ira</v>
      </c>
      <c r="B80">
        <f>COUNTIFS(Gadget_Usage_Assault!$A:$A,$A80,Gadget_Usage_Assault!$D:$D,"Gadget",Gadget_Usage_Assault!$J:$J,1)</f>
        <v>2</v>
      </c>
      <c r="C80" s="53">
        <f>SUMIFS(Gadget_Usage_Assault!$I:$I,Gadget_Usage_Assault!$A:$A,$A80)</f>
        <v>1.0251727541954589</v>
      </c>
      <c r="D80" cm="1">
        <f t="array" ref="D80">_xlfn.IFS(B80=0,1,AND(B80&gt;=2,C80&gt;=$E$2),0,AND(B80=1,C80&lt;$E$2),0.8,AND(B80=1,C80&gt;=$E$2),0.6,TRUE,0)</f>
        <v>0</v>
      </c>
    </row>
    <row r="81" spans="1:4" x14ac:dyDescent="0.25">
      <c r="A81" t="str">
        <v>Grey Poupon</v>
      </c>
      <c r="B81">
        <f>COUNTIFS(Gadget_Usage_Assault!$A:$A,$A81,Gadget_Usage_Assault!$D:$D,"Gadget",Gadget_Usage_Assault!$J:$J,1)</f>
        <v>2</v>
      </c>
      <c r="C81" s="53">
        <f>SUMIFS(Gadget_Usage_Assault!$I:$I,Gadget_Usage_Assault!$A:$A,$A81)</f>
        <v>1.5062523214064629</v>
      </c>
      <c r="D81" cm="1">
        <f t="array" ref="D81">_xlfn.IFS(B81=0,1,AND(B81&gt;=2,C81&gt;=$E$2),0,AND(B81=1,C81&lt;$E$2),0.8,AND(B81=1,C81&gt;=$E$2),0.6,TRUE,0)</f>
        <v>0</v>
      </c>
    </row>
    <row r="82" spans="1:4" x14ac:dyDescent="0.25">
      <c r="A82" t="str">
        <v>GHOST123</v>
      </c>
      <c r="B82">
        <f>COUNTIFS(Gadget_Usage_Assault!$A:$A,$A82,Gadget_Usage_Assault!$D:$D,"Gadget",Gadget_Usage_Assault!$J:$J,1)</f>
        <v>2</v>
      </c>
      <c r="C82" s="53">
        <f>SUMIFS(Gadget_Usage_Assault!$I:$I,Gadget_Usage_Assault!$A:$A,$A82)</f>
        <v>0.61018208844295796</v>
      </c>
      <c r="D82" cm="1">
        <f t="array" ref="D82">_xlfn.IFS(B82=0,1,AND(B82&gt;=2,C82&gt;=$E$2),0,AND(B82=1,C82&lt;$E$2),0.8,AND(B82=1,C82&gt;=$E$2),0.6,TRUE,0)</f>
        <v>0</v>
      </c>
    </row>
    <row r="83" spans="1:4" x14ac:dyDescent="0.25">
      <c r="A83" t="str">
        <v>MACTEP</v>
      </c>
      <c r="B83">
        <f>COUNTIFS(Gadget_Usage_Assault!$A:$A,$A83,Gadget_Usage_Assault!$D:$D,"Gadget",Gadget_Usage_Assault!$J:$J,1)</f>
        <v>2</v>
      </c>
      <c r="C83" s="53">
        <f>SUMIFS(Gadget_Usage_Assault!$I:$I,Gadget_Usage_Assault!$A:$A,$A83)</f>
        <v>0.30021307614668608</v>
      </c>
      <c r="D83" cm="1">
        <f t="array" ref="D83">_xlfn.IFS(B83=0,1,AND(B83&gt;=2,C83&gt;=$E$2),0,AND(B83=1,C83&lt;$E$2),0.8,AND(B83=1,C83&gt;=$E$2),0.6,TRUE,0)</f>
        <v>0</v>
      </c>
    </row>
    <row r="84" spans="1:4" x14ac:dyDescent="0.25">
      <c r="A84" t="str">
        <v>apt-foot49</v>
      </c>
      <c r="B84">
        <f>COUNTIFS(Gadget_Usage_Assault!$A:$A,$A84,Gadget_Usage_Assault!$D:$D,"Gadget",Gadget_Usage_Assault!$J:$J,1)</f>
        <v>0</v>
      </c>
      <c r="C84" s="53">
        <f>SUMIFS(Gadget_Usage_Assault!$I:$I,Gadget_Usage_Assault!$A:$A,$A84)</f>
        <v>0.17383035374667175</v>
      </c>
      <c r="D84" cm="1">
        <f t="array" ref="D84">_xlfn.IFS(B84=0,1,AND(B84&gt;=2,C84&gt;=$E$2),0,AND(B84=1,C84&lt;$E$2),0.8,AND(B84=1,C84&gt;=$E$2),0.6,TRUE,0)</f>
        <v>1</v>
      </c>
    </row>
    <row r="85" spans="1:4" x14ac:dyDescent="0.25">
      <c r="A85" t="str">
        <v>Blacha</v>
      </c>
      <c r="B85">
        <f>COUNTIFS(Gadget_Usage_Assault!$A:$A,$A85,Gadget_Usage_Assault!$D:$D,"Gadget",Gadget_Usage_Assault!$J:$J,1)</f>
        <v>2</v>
      </c>
      <c r="C85" s="53">
        <f>SUMIFS(Gadget_Usage_Assault!$I:$I,Gadget_Usage_Assault!$A:$A,$A85)</f>
        <v>1.3331175137584981</v>
      </c>
      <c r="D85" cm="1">
        <f t="array" ref="D85">_xlfn.IFS(B85=0,1,AND(B85&gt;=2,C85&gt;=$E$2),0,AND(B85=1,C85&lt;$E$2),0.8,AND(B85=1,C85&gt;=$E$2),0.6,TRUE,0)</f>
        <v>0</v>
      </c>
    </row>
    <row r="86" spans="1:4" x14ac:dyDescent="0.25">
      <c r="A86" t="str">
        <v>FiftyWeevil348</v>
      </c>
      <c r="B86">
        <f>COUNTIFS(Gadget_Usage_Assault!$A:$A,$A86,Gadget_Usage_Assault!$D:$D,"Gadget",Gadget_Usage_Assault!$J:$J,1)</f>
        <v>1</v>
      </c>
      <c r="C86" s="53">
        <f>SUMIFS(Gadget_Usage_Assault!$I:$I,Gadget_Usage_Assault!$A:$A,$A86)</f>
        <v>0.71341874578556985</v>
      </c>
      <c r="D86" cm="1">
        <f t="array" ref="D86">_xlfn.IFS(B86=0,1,AND(B86&gt;=2,C86&gt;=$E$2),0,AND(B86=1,C86&lt;$E$2),0.8,AND(B86=1,C86&gt;=$E$2),0.6,TRUE,0)</f>
        <v>0.6</v>
      </c>
    </row>
    <row r="87" spans="1:4" x14ac:dyDescent="0.25">
      <c r="A87" t="str">
        <v>Dellguy</v>
      </c>
      <c r="B87">
        <f>COUNTIFS(Gadget_Usage_Assault!$A:$A,$A87,Gadget_Usage_Assault!$D:$D,"Gadget",Gadget_Usage_Assault!$J:$J,1)</f>
        <v>1</v>
      </c>
      <c r="C87" s="53">
        <f>SUMIFS(Gadget_Usage_Assault!$I:$I,Gadget_Usage_Assault!$A:$A,$A87)</f>
        <v>0.38492580057276754</v>
      </c>
      <c r="D87" cm="1">
        <f t="array" ref="D87">_xlfn.IFS(B87=0,1,AND(B87&gt;=2,C87&gt;=$E$2),0,AND(B87=1,C87&lt;$E$2),0.8,AND(B87=1,C87&gt;=$E$2),0.6,TRUE,0)</f>
        <v>0.8</v>
      </c>
    </row>
    <row r="88" spans="1:4" x14ac:dyDescent="0.25">
      <c r="A88" t="str">
        <v>파워오버웰밍</v>
      </c>
      <c r="B88">
        <f>COUNTIFS(Gadget_Usage_Assault!$A:$A,$A88,Gadget_Usage_Assault!$D:$D,"Gadget",Gadget_Usage_Assault!$J:$J,1)</f>
        <v>2</v>
      </c>
      <c r="C88" s="53">
        <f>SUMIFS(Gadget_Usage_Assault!$I:$I,Gadget_Usage_Assault!$A:$A,$A88)</f>
        <v>0.4712930604093859</v>
      </c>
      <c r="D88" cm="1">
        <f t="array" ref="D88">_xlfn.IFS(B88=0,1,AND(B88&gt;=2,C88&gt;=$E$2),0,AND(B88=1,C88&lt;$E$2),0.8,AND(B88=1,C88&gt;=$E$2),0.6,TRUE,0)</f>
        <v>0</v>
      </c>
    </row>
    <row r="89" spans="1:4" x14ac:dyDescent="0.25">
      <c r="A89" t="str">
        <v>origamii</v>
      </c>
      <c r="B89">
        <f>COUNTIFS(Gadget_Usage_Assault!$A:$A,$A89,Gadget_Usage_Assault!$D:$D,"Gadget",Gadget_Usage_Assault!$J:$J,1)</f>
        <v>0</v>
      </c>
      <c r="C89" s="53">
        <f>SUMIFS(Gadget_Usage_Assault!$I:$I,Gadget_Usage_Assault!$A:$A,$A89)</f>
        <v>8.752462926475163E-2</v>
      </c>
      <c r="D89" cm="1">
        <f t="array" ref="D89">_xlfn.IFS(B89=0,1,AND(B89&gt;=2,C89&gt;=$E$2),0,AND(B89=1,C89&lt;$E$2),0.8,AND(B89=1,C89&gt;=$E$2),0.6,TRUE,0)</f>
        <v>1</v>
      </c>
    </row>
    <row r="90" spans="1:4" x14ac:dyDescent="0.25">
      <c r="A90" t="str">
        <v>TGR Alexz</v>
      </c>
      <c r="B90">
        <f>COUNTIFS(Gadget_Usage_Assault!$A:$A,$A90,Gadget_Usage_Assault!$D:$D,"Gadget",Gadget_Usage_Assault!$J:$J,1)</f>
        <v>3</v>
      </c>
      <c r="C90" s="53">
        <f>SUMIFS(Gadget_Usage_Assault!$I:$I,Gadget_Usage_Assault!$A:$A,$A90)</f>
        <v>0.95416666666666661</v>
      </c>
      <c r="D90" cm="1">
        <f t="array" ref="D90">_xlfn.IFS(B90=0,1,AND(B90&gt;=2,C90&gt;=$E$2),0,AND(B90=1,C90&lt;$E$2),0.8,AND(B90=1,C90&gt;=$E$2),0.6,TRUE,0)</f>
        <v>0</v>
      </c>
    </row>
    <row r="91" spans="1:4" x14ac:dyDescent="0.25">
      <c r="A91" t="str">
        <v>iAm_ineviTable66</v>
      </c>
      <c r="B91">
        <f>COUNTIFS(Gadget_Usage_Assault!$A:$A,$A91,Gadget_Usage_Assault!$D:$D,"Gadget",Gadget_Usage_Assault!$J:$J,1)</f>
        <v>2</v>
      </c>
      <c r="C91" s="53">
        <f>SUMIFS(Gadget_Usage_Assault!$I:$I,Gadget_Usage_Assault!$A:$A,$A91)</f>
        <v>0.93871866295264639</v>
      </c>
      <c r="D91" cm="1">
        <f t="array" ref="D91">_xlfn.IFS(B91=0,1,AND(B91&gt;=2,C91&gt;=$E$2),0,AND(B91=1,C91&lt;$E$2),0.8,AND(B91=1,C91&gt;=$E$2),0.6,TRUE,0)</f>
        <v>0</v>
      </c>
    </row>
    <row r="92" spans="1:4" x14ac:dyDescent="0.25">
      <c r="A92" t="str">
        <v>GoddMustaine</v>
      </c>
      <c r="B92">
        <f>COUNTIFS(Gadget_Usage_Assault!$A:$A,$A92,Gadget_Usage_Assault!$D:$D,"Gadget",Gadget_Usage_Assault!$J:$J,1)</f>
        <v>1</v>
      </c>
      <c r="C92" s="53">
        <f>SUMIFS(Gadget_Usage_Assault!$I:$I,Gadget_Usage_Assault!$A:$A,$A92)</f>
        <v>0.47027162348228813</v>
      </c>
      <c r="D92" cm="1">
        <f t="array" ref="D92">_xlfn.IFS(B92=0,1,AND(B92&gt;=2,C92&gt;=$E$2),0,AND(B92=1,C92&lt;$E$2),0.8,AND(B92=1,C92&gt;=$E$2),0.6,TRUE,0)</f>
        <v>0.8</v>
      </c>
    </row>
    <row r="93" spans="1:4" x14ac:dyDescent="0.25">
      <c r="A93" t="str">
        <v>ilovethisgameoko</v>
      </c>
      <c r="B93">
        <f>COUNTIFS(Gadget_Usage_Assault!$A:$A,$A93,Gadget_Usage_Assault!$D:$D,"Gadget",Gadget_Usage_Assault!$J:$J,1)</f>
        <v>0</v>
      </c>
      <c r="C93" s="53">
        <f>SUMIFS(Gadget_Usage_Assault!$I:$I,Gadget_Usage_Assault!$A:$A,$A93)</f>
        <v>0.14174705251875672</v>
      </c>
      <c r="D93" cm="1">
        <f t="array" ref="D93">_xlfn.IFS(B93=0,1,AND(B93&gt;=2,C93&gt;=$E$2),0,AND(B93=1,C93&lt;$E$2),0.8,AND(B93=1,C93&gt;=$E$2),0.6,TRUE,0)</f>
        <v>1</v>
      </c>
    </row>
    <row r="94" spans="1:4" x14ac:dyDescent="0.25">
      <c r="A94" t="str">
        <v>ZulCul</v>
      </c>
      <c r="B94">
        <f>COUNTIFS(Gadget_Usage_Assault!$A:$A,$A94,Gadget_Usage_Assault!$D:$D,"Gadget",Gadget_Usage_Assault!$J:$J,1)</f>
        <v>1</v>
      </c>
      <c r="C94" s="53">
        <f>SUMIFS(Gadget_Usage_Assault!$I:$I,Gadget_Usage_Assault!$A:$A,$A94)</f>
        <v>0.51278098908156711</v>
      </c>
      <c r="D94" cm="1">
        <f t="array" ref="D94">_xlfn.IFS(B94=0,1,AND(B94&gt;=2,C94&gt;=$E$2),0,AND(B94=1,C94&lt;$E$2),0.8,AND(B94=1,C94&gt;=$E$2),0.6,TRUE,0)</f>
        <v>0.8</v>
      </c>
    </row>
    <row r="95" spans="1:4" x14ac:dyDescent="0.25">
      <c r="A95" t="str">
        <v>amekpl</v>
      </c>
      <c r="B95">
        <f>COUNTIFS(Gadget_Usage_Assault!$A:$A,$A95,Gadget_Usage_Assault!$D:$D,"Gadget",Gadget_Usage_Assault!$J:$J,1)</f>
        <v>2</v>
      </c>
      <c r="C95" s="53">
        <f>SUMIFS(Gadget_Usage_Assault!$I:$I,Gadget_Usage_Assault!$A:$A,$A95)</f>
        <v>1.3361639034910364</v>
      </c>
      <c r="D95" cm="1">
        <f t="array" ref="D95">_xlfn.IFS(B95=0,1,AND(B95&gt;=2,C95&gt;=$E$2),0,AND(B95=1,C95&lt;$E$2),0.8,AND(B95=1,C95&gt;=$E$2),0.6,TRUE,0)</f>
        <v>0</v>
      </c>
    </row>
    <row r="96" spans="1:4" x14ac:dyDescent="0.25">
      <c r="A96" t="str">
        <v>xaRwN</v>
      </c>
      <c r="B96">
        <f>COUNTIFS(Gadget_Usage_Assault!$A:$A,$A96,Gadget_Usage_Assault!$D:$D,"Gadget",Gadget_Usage_Assault!$J:$J,1)</f>
        <v>1</v>
      </c>
      <c r="C96" s="53">
        <f>SUMIFS(Gadget_Usage_Assault!$I:$I,Gadget_Usage_Assault!$A:$A,$A96)</f>
        <v>0.34426229508196726</v>
      </c>
      <c r="D96" cm="1">
        <f t="array" ref="D96">_xlfn.IFS(B96=0,1,AND(B96&gt;=2,C96&gt;=$E$2),0,AND(B96=1,C96&lt;$E$2),0.8,AND(B96=1,C96&gt;=$E$2),0.6,TRUE,0)</f>
        <v>0.8</v>
      </c>
    </row>
    <row r="97" spans="1:4" x14ac:dyDescent="0.25">
      <c r="A97" t="str">
        <v>Krypt Monky</v>
      </c>
      <c r="B97">
        <f>COUNTIFS(Gadget_Usage_Assault!$A:$A,$A97,Gadget_Usage_Assault!$D:$D,"Gadget",Gadget_Usage_Assault!$J:$J,1)</f>
        <v>2</v>
      </c>
      <c r="C97" s="53">
        <f>SUMIFS(Gadget_Usage_Assault!$I:$I,Gadget_Usage_Assault!$A:$A,$A97)</f>
        <v>0.78693453601202679</v>
      </c>
      <c r="D97" cm="1">
        <f t="array" ref="D97">_xlfn.IFS(B97=0,1,AND(B97&gt;=2,C97&gt;=$E$2),0,AND(B97=1,C97&lt;$E$2),0.8,AND(B97=1,C97&gt;=$E$2),0.6,TRUE,0)</f>
        <v>0</v>
      </c>
    </row>
    <row r="98" spans="1:4" x14ac:dyDescent="0.25">
      <c r="A98" t="str">
        <v>ggenghis</v>
      </c>
      <c r="B98">
        <f>COUNTIFS(Gadget_Usage_Assault!$A:$A,$A98,Gadget_Usage_Assault!$D:$D,"Gadget",Gadget_Usage_Assault!$J:$J,1)</f>
        <v>2</v>
      </c>
      <c r="C98" s="53">
        <f>SUMIFS(Gadget_Usage_Assault!$I:$I,Gadget_Usage_Assault!$A:$A,$A98)</f>
        <v>1.0994215473608098</v>
      </c>
      <c r="D98" cm="1">
        <f t="array" ref="D98">_xlfn.IFS(B98=0,1,AND(B98&gt;=2,C98&gt;=$E$2),0,AND(B98=1,C98&lt;$E$2),0.8,AND(B98=1,C98&gt;=$E$2),0.6,TRUE,0)</f>
        <v>0</v>
      </c>
    </row>
    <row r="99" spans="1:4" x14ac:dyDescent="0.25">
      <c r="A99" t="str">
        <v>SalkiN</v>
      </c>
      <c r="B99">
        <f>COUNTIFS(Gadget_Usage_Assault!$A:$A,$A99,Gadget_Usage_Assault!$D:$D,"Gadget",Gadget_Usage_Assault!$J:$J,1)</f>
        <v>2</v>
      </c>
      <c r="C99" s="53">
        <f>SUMIFS(Gadget_Usage_Assault!$I:$I,Gadget_Usage_Assault!$A:$A,$A99)</f>
        <v>1.0837472406181015</v>
      </c>
      <c r="D99" cm="1">
        <f t="array" ref="D99">_xlfn.IFS(B99=0,1,AND(B99&gt;=2,C99&gt;=$E$2),0,AND(B99=1,C99&lt;$E$2),0.8,AND(B99=1,C99&gt;=$E$2),0.6,TRUE,0)</f>
        <v>0</v>
      </c>
    </row>
    <row r="100" spans="1:4" x14ac:dyDescent="0.25">
      <c r="A100" t="str">
        <v>zoppp</v>
      </c>
      <c r="B100">
        <f>COUNTIFS(Gadget_Usage_Assault!$A:$A,$A100,Gadget_Usage_Assault!$D:$D,"Gadget",Gadget_Usage_Assault!$J:$J,1)</f>
        <v>2</v>
      </c>
      <c r="C100" s="53">
        <f>SUMIFS(Gadget_Usage_Assault!$I:$I,Gadget_Usage_Assault!$A:$A,$A100)</f>
        <v>0.73823851203501101</v>
      </c>
      <c r="D100" cm="1">
        <f t="array" ref="D100">_xlfn.IFS(B100=0,1,AND(B100&gt;=2,C100&gt;=$E$2),0,AND(B100=1,C100&lt;$E$2),0.8,AND(B100=1,C100&gt;=$E$2),0.6,TRUE,0)</f>
        <v>0</v>
      </c>
    </row>
    <row r="101" spans="1:4" x14ac:dyDescent="0.25">
      <c r="A101" t="str">
        <v>ARMIS-INVAR-RUSH</v>
      </c>
      <c r="B101">
        <f>COUNTIFS(Gadget_Usage_Assault!$A:$A,$A101,Gadget_Usage_Assault!$D:$D,"Gadget",Gadget_Usage_Assault!$J:$J,1)</f>
        <v>2</v>
      </c>
      <c r="C101" s="53">
        <f>SUMIFS(Gadget_Usage_Assault!$I:$I,Gadget_Usage_Assault!$A:$A,$A101)</f>
        <v>1.2083623693379792</v>
      </c>
      <c r="D101" cm="1">
        <f t="array" ref="D101">_xlfn.IFS(B101=0,1,AND(B101&gt;=2,C101&gt;=$E$2),0,AND(B101=1,C101&lt;$E$2),0.8,AND(B101=1,C101&gt;=$E$2),0.6,TRUE,0)</f>
        <v>0</v>
      </c>
    </row>
    <row r="102" spans="1:4" x14ac:dyDescent="0.25">
      <c r="A102">
        <v>0</v>
      </c>
    </row>
  </sheetData>
  <conditionalFormatting sqref="A1:D1">
    <cfRule type="expression" dxfId="8" priority="1">
      <formula>MOD(ROW()-8,7)=0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E9AF-8406-4D6F-96D6-54ADE8AB4D16}">
  <dimension ref="A1:D5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8.5703125" bestFit="1" customWidth="1"/>
    <col min="2" max="2" width="12.85546875" style="7" bestFit="1" customWidth="1"/>
    <col min="3" max="3" width="24.7109375" style="7" bestFit="1" customWidth="1"/>
    <col min="4" max="4" width="14.5703125" style="55" bestFit="1" customWidth="1"/>
  </cols>
  <sheetData>
    <row r="1" spans="1:4" s="12" customFormat="1" ht="15.75" thickBot="1" x14ac:dyDescent="0.3">
      <c r="A1" s="49" t="s">
        <v>2</v>
      </c>
      <c r="B1" s="56" t="s">
        <v>197</v>
      </c>
      <c r="C1" s="56" t="s">
        <v>198</v>
      </c>
      <c r="D1" s="54" t="s">
        <v>199</v>
      </c>
    </row>
    <row r="2" spans="1:4" x14ac:dyDescent="0.25">
      <c r="A2" t="s">
        <v>19</v>
      </c>
      <c r="B2" s="7" cm="1">
        <f t="array" ref="B2">COUNTA(_xlfn.UNIQUE(_xlfn._xlws.FILTER(Class_Players!$A:$A,(Class_Players!$B:$B=$A2)*(Class_Players!$A:$A&lt;&gt;""))))</f>
        <v>100</v>
      </c>
      <c r="C2" s="7" cm="1">
        <f t="array" ref="C2">IFERROR(SUM(--(_xlfn.UNIQUE(_xlfn._xlws.FILTER(TRIM(Gadget_Usage_Assault!$A$2:$A$49993),(TRIM(Gadget_Usage_Assault!$D$2:$D$49993)="Grenade")*(Gadget_Usage_Assault!$J$2:$J$49993=1)))&lt;&gt;"")),0)</f>
        <v>4</v>
      </c>
      <c r="D2" s="55">
        <f>(B2-C2)/B2</f>
        <v>0.96</v>
      </c>
    </row>
    <row r="3" spans="1:4" x14ac:dyDescent="0.25">
      <c r="A3" t="s">
        <v>20</v>
      </c>
      <c r="B3" s="7" cm="1">
        <f t="array" ref="B3">COUNTA(_xlfn.UNIQUE(_xlfn._xlws.FILTER(Class_Players!$A:$A,(Class_Players!$B:$B=$A3)*(Class_Players!$A:$A&lt;&gt;""))))</f>
        <v>100</v>
      </c>
      <c r="C3" s="7" cm="1">
        <f t="array" ref="C3">IFERROR(SUM(--(_xlfn.UNIQUE(_xlfn._xlws.FILTER(TRIM(Gadget_Usage_Engineer!$A$2:$A$50000),(TRIM(Gadget_Usage_Engineer!$D$2:$D$50000)="Grenade")*(Gadget_Usage_Engineer!$J$2:$J$50000=1)))&lt;&gt;"")),0)</f>
        <v>7</v>
      </c>
      <c r="D3" s="55">
        <f t="shared" ref="D3:D4" si="0">(B3-C3)/B3</f>
        <v>0.93</v>
      </c>
    </row>
    <row r="4" spans="1:4" x14ac:dyDescent="0.25">
      <c r="A4" t="s">
        <v>22</v>
      </c>
      <c r="B4" s="7" cm="1">
        <f t="array" ref="B4">COUNTA(_xlfn.UNIQUE(_xlfn._xlws.FILTER(Class_Players!$A:$A,(Class_Players!$B:$B=$A4)*(Class_Players!$A:$A&lt;&gt;""))))</f>
        <v>100</v>
      </c>
      <c r="C4" s="7" cm="1">
        <f t="array" ref="C4">IFERROR(SUM(--(_xlfn.UNIQUE(_xlfn._xlws.FILTER(TRIM(Gadget_Usage_Recon!$A$2:$A$50000),(TRIM(Gadget_Usage_Recon!$D$2:$D$50000)="Grenade")*(Gadget_Usage_Recon!$J$2:$J$50000=1)))&lt;&gt;"")),0)</f>
        <v>12</v>
      </c>
      <c r="D4" s="55">
        <f t="shared" si="0"/>
        <v>0.88</v>
      </c>
    </row>
    <row r="5" spans="1:4" x14ac:dyDescent="0.25">
      <c r="A5" t="s">
        <v>21</v>
      </c>
      <c r="B5" s="7" cm="1">
        <f t="array" ref="B5">COUNTA(_xlfn.UNIQUE(_xlfn._xlws.FILTER(Class_Players!$A:$A,(Class_Players!$B:$B=$A5)*(Class_Players!$A:$A&lt;&gt;""))))</f>
        <v>100</v>
      </c>
      <c r="C5" s="7" cm="1">
        <f t="array" ref="C5">IFERROR(SUM(--(_xlfn.UNIQUE(_xlfn._xlws.FILTER(TRIM(Gadget_Usage_Support!$A$2:$A$50000),(TRIM(Gadget_Usage_Support!$D$2:$D$50000)="Grenade")*(Gadget_Usage_Support!$J$2:$J$50000=1)))&lt;&gt;"")),0)</f>
        <v>84</v>
      </c>
      <c r="D5" s="55">
        <f t="shared" ref="D5" si="1">(B5-C5)/B5</f>
        <v>0.16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5A899-CADC-4631-A5E4-EBB2087DA934}">
  <dimension ref="A1:E102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16" bestFit="1" customWidth="1"/>
    <col min="2" max="2" width="30.7109375" bestFit="1" customWidth="1"/>
    <col min="3" max="3" width="31.28515625" customWidth="1"/>
    <col min="4" max="4" width="19.5703125" customWidth="1"/>
    <col min="5" max="5" width="18.85546875" customWidth="1"/>
  </cols>
  <sheetData>
    <row r="1" spans="1:5" ht="15.75" thickBot="1" x14ac:dyDescent="0.3">
      <c r="A1" s="9" t="s">
        <v>0</v>
      </c>
      <c r="B1" s="9" t="s">
        <v>194</v>
      </c>
      <c r="C1" s="9" t="s">
        <v>195</v>
      </c>
      <c r="D1" s="11" t="s">
        <v>196</v>
      </c>
      <c r="E1" s="9" t="s">
        <v>243</v>
      </c>
    </row>
    <row r="2" spans="1:5" x14ac:dyDescent="0.25">
      <c r="A2" t="str" cm="1">
        <f t="array" ref="A2:A102">_xlfn.UNIQUE(Gadget_Usage_Support!$A$2:$A$10000)</f>
        <v>R3NAULT125</v>
      </c>
      <c r="B2">
        <f>COUNTIFS(Gadget_Usage_Support!$A:$A,$A2,Gadget_Usage_Support!$J:$J,"1",Gadget_Usage_Support!$D:$D,"Gadget")</f>
        <v>1</v>
      </c>
      <c r="C2" s="53">
        <f>SUMIFS(Gadget_Usage_Support!$I:$I,Gadget_Usage_Support!$A:$A,$A2)</f>
        <v>1.2897120850907757</v>
      </c>
      <c r="D2" cm="1">
        <f t="array" ref="D2">_xlfn.IFS(B2=0,1,AND(B2&gt;=2,C2&gt;=$E$2),0,AND(B2=1,C2&lt;$E$2),0.8,AND(B2=1,C2&gt;=$E$2),0.6,TRUE,0)</f>
        <v>0.6</v>
      </c>
      <c r="E2" s="53" cm="1">
        <f t="array" ref="E2">_xlfn.PERCENTILE.INC(_xlfn._xlws.FILTER($C$2:$C$9999,($C$2:$C$9999&gt;0)*($B$2:$B$9999&gt;0)),0.4)</f>
        <v>0.73934615581748486</v>
      </c>
    </row>
    <row r="3" spans="1:5" x14ac:dyDescent="0.25">
      <c r="A3" t="str">
        <v>HerEmpathy</v>
      </c>
      <c r="B3">
        <f>COUNTIFS(Gadget_Usage_Support!$A:$A,$A3,Gadget_Usage_Support!$J:$J,"1",Gadget_Usage_Support!$D:$D,"Gadget")</f>
        <v>3</v>
      </c>
      <c r="C3" s="53">
        <f>SUMIFS(Gadget_Usage_Support!$I:$I,Gadget_Usage_Support!$A:$A,$A3)</f>
        <v>3.4086710493467587</v>
      </c>
      <c r="D3" cm="1">
        <f t="array" ref="D3">_xlfn.IFS(B3=0,1,AND(B3&gt;=2,C3&gt;=$E$2),0,AND(B3=1,C3&lt;$E$2),0.8,AND(B3=1,C3&gt;=$E$2),0.6,TRUE,0)</f>
        <v>0</v>
      </c>
    </row>
    <row r="4" spans="1:5" x14ac:dyDescent="0.25">
      <c r="A4" t="str">
        <v>TricksterX21</v>
      </c>
      <c r="B4">
        <f>COUNTIFS(Gadget_Usage_Support!$A:$A,$A4,Gadget_Usage_Support!$J:$J,"1",Gadget_Usage_Support!$D:$D,"Gadget")</f>
        <v>2</v>
      </c>
      <c r="C4" s="53">
        <f>SUMIFS(Gadget_Usage_Support!$I:$I,Gadget_Usage_Support!$A:$A,$A4)</f>
        <v>0.56061157626501634</v>
      </c>
      <c r="D4" cm="1">
        <f t="array" ref="D4">_xlfn.IFS(B4=0,1,AND(B4&gt;=2,C4&gt;=$E$2),0,AND(B4=1,C4&lt;$E$2),0.8,AND(B4=1,C4&gt;=$E$2),0.6,TRUE,0)</f>
        <v>0</v>
      </c>
    </row>
    <row r="5" spans="1:5" x14ac:dyDescent="0.25">
      <c r="A5" t="str">
        <v>BREOGAN89</v>
      </c>
      <c r="B5">
        <f>COUNTIFS(Gadget_Usage_Support!$A:$A,$A5,Gadget_Usage_Support!$J:$J,"1",Gadget_Usage_Support!$D:$D,"Gadget")</f>
        <v>0</v>
      </c>
      <c r="C5" s="53">
        <f>SUMIFS(Gadget_Usage_Support!$I:$I,Gadget_Usage_Support!$A:$A,$A5)</f>
        <v>0.44941786517953236</v>
      </c>
      <c r="D5" cm="1">
        <f t="array" ref="D5">_xlfn.IFS(B5=0,1,AND(B5&gt;=2,C5&gt;=$E$2),0,AND(B5=1,C5&lt;$E$2),0.8,AND(B5=1,C5&gt;=$E$2),0.6,TRUE,0)</f>
        <v>1</v>
      </c>
    </row>
    <row r="6" spans="1:5" x14ac:dyDescent="0.25">
      <c r="A6" t="str">
        <v>CTGxCBLostSoulx</v>
      </c>
      <c r="B6">
        <f>COUNTIFS(Gadget_Usage_Support!$A:$A,$A6,Gadget_Usage_Support!$J:$J,"1",Gadget_Usage_Support!$D:$D,"Gadget")</f>
        <v>1</v>
      </c>
      <c r="C6" s="53">
        <f>SUMIFS(Gadget_Usage_Support!$I:$I,Gadget_Usage_Support!$A:$A,$A6)</f>
        <v>1.7365810817792011</v>
      </c>
      <c r="D6" cm="1">
        <f t="array" ref="D6">_xlfn.IFS(B6=0,1,AND(B6&gt;=2,C6&gt;=$E$2),0,AND(B6=1,C6&lt;$E$2),0.8,AND(B6=1,C6&gt;=$E$2),0.6,TRUE,0)</f>
        <v>0.6</v>
      </c>
    </row>
    <row r="7" spans="1:5" x14ac:dyDescent="0.25">
      <c r="A7" t="str">
        <v>1st-GrimReaper</v>
      </c>
      <c r="B7">
        <f>COUNTIFS(Gadget_Usage_Support!$A:$A,$A7,Gadget_Usage_Support!$J:$J,"1",Gadget_Usage_Support!$D:$D,"Gadget")</f>
        <v>1</v>
      </c>
      <c r="C7" s="53">
        <f>SUMIFS(Gadget_Usage_Support!$I:$I,Gadget_Usage_Support!$A:$A,$A7)</f>
        <v>0.47233351380617217</v>
      </c>
      <c r="D7" cm="1">
        <f t="array" ref="D7">_xlfn.IFS(B7=0,1,AND(B7&gt;=2,C7&gt;=$E$2),0,AND(B7=1,C7&lt;$E$2),0.8,AND(B7=1,C7&gt;=$E$2),0.6,TRUE,0)</f>
        <v>0.8</v>
      </c>
    </row>
    <row r="8" spans="1:5" x14ac:dyDescent="0.25">
      <c r="A8" t="str">
        <v>Clay-_-x</v>
      </c>
      <c r="B8">
        <f>COUNTIFS(Gadget_Usage_Support!$A:$A,$A8,Gadget_Usage_Support!$J:$J,"1",Gadget_Usage_Support!$D:$D,"Gadget")</f>
        <v>2</v>
      </c>
      <c r="C8" s="53">
        <f>SUMIFS(Gadget_Usage_Support!$I:$I,Gadget_Usage_Support!$A:$A,$A8)</f>
        <v>2.7035145524437123</v>
      </c>
      <c r="D8" cm="1">
        <f t="array" ref="D8">_xlfn.IFS(B8=0,1,AND(B8&gt;=2,C8&gt;=$E$2),0,AND(B8=1,C8&lt;$E$2),0.8,AND(B8=1,C8&gt;=$E$2),0.6,TRUE,0)</f>
        <v>0</v>
      </c>
    </row>
    <row r="9" spans="1:5" x14ac:dyDescent="0.25">
      <c r="A9" t="str">
        <v>o3koga</v>
      </c>
      <c r="B9">
        <f>COUNTIFS(Gadget_Usage_Support!$A:$A,$A9,Gadget_Usage_Support!$J:$J,"1",Gadget_Usage_Support!$D:$D,"Gadget")</f>
        <v>0</v>
      </c>
      <c r="C9" s="53">
        <f>SUMIFS(Gadget_Usage_Support!$I:$I,Gadget_Usage_Support!$A:$A,$A9)</f>
        <v>0.24476115367282561</v>
      </c>
      <c r="D9" cm="1">
        <f t="array" ref="D9">_xlfn.IFS(B9=0,1,AND(B9&gt;=2,C9&gt;=$E$2),0,AND(B9=1,C9&lt;$E$2),0.8,AND(B9=1,C9&gt;=$E$2),0.6,TRUE,0)</f>
        <v>1</v>
      </c>
    </row>
    <row r="10" spans="1:5" x14ac:dyDescent="0.25">
      <c r="A10" t="str">
        <v>Veh</v>
      </c>
      <c r="B10">
        <f>COUNTIFS(Gadget_Usage_Support!$A:$A,$A10,Gadget_Usage_Support!$J:$J,"1",Gadget_Usage_Support!$D:$D,"Gadget")</f>
        <v>0</v>
      </c>
      <c r="C10" s="53">
        <f>SUMIFS(Gadget_Usage_Support!$I:$I,Gadget_Usage_Support!$A:$A,$A10)</f>
        <v>0.19981265733856332</v>
      </c>
      <c r="D10" cm="1">
        <f t="array" ref="D10">_xlfn.IFS(B10=0,1,AND(B10&gt;=2,C10&gt;=$E$2),0,AND(B10=1,C10&lt;$E$2),0.8,AND(B10=1,C10&gt;=$E$2),0.6,TRUE,0)</f>
        <v>1</v>
      </c>
    </row>
    <row r="11" spans="1:5" x14ac:dyDescent="0.25">
      <c r="A11" t="str">
        <v>l_0NeaL_l</v>
      </c>
      <c r="B11">
        <f>COUNTIFS(Gadget_Usage_Support!$A:$A,$A11,Gadget_Usage_Support!$J:$J,"1",Gadget_Usage_Support!$D:$D,"Gadget")</f>
        <v>1</v>
      </c>
      <c r="C11" s="53">
        <f>SUMIFS(Gadget_Usage_Support!$I:$I,Gadget_Usage_Support!$A:$A,$A11)</f>
        <v>0.80584232754575313</v>
      </c>
      <c r="D11" cm="1">
        <f t="array" ref="D11">_xlfn.IFS(B11=0,1,AND(B11&gt;=2,C11&gt;=$E$2),0,AND(B11=1,C11&lt;$E$2),0.8,AND(B11=1,C11&gt;=$E$2),0.6,TRUE,0)</f>
        <v>0.6</v>
      </c>
    </row>
    <row r="12" spans="1:5" x14ac:dyDescent="0.25">
      <c r="A12" t="str">
        <v>CptShoook</v>
      </c>
      <c r="B12">
        <f>COUNTIFS(Gadget_Usage_Support!$A:$A,$A12,Gadget_Usage_Support!$J:$J,"1",Gadget_Usage_Support!$D:$D,"Gadget")</f>
        <v>0</v>
      </c>
      <c r="C12" s="53">
        <f>SUMIFS(Gadget_Usage_Support!$I:$I,Gadget_Usage_Support!$A:$A,$A12)</f>
        <v>0.10759309823970255</v>
      </c>
      <c r="D12" cm="1">
        <f t="array" ref="D12">_xlfn.IFS(B12=0,1,AND(B12&gt;=2,C12&gt;=$E$2),0,AND(B12=1,C12&lt;$E$2),0.8,AND(B12=1,C12&gt;=$E$2),0.6,TRUE,0)</f>
        <v>1</v>
      </c>
    </row>
    <row r="13" spans="1:5" x14ac:dyDescent="0.25">
      <c r="A13" t="str">
        <v>soju</v>
      </c>
      <c r="B13">
        <f>COUNTIFS(Gadget_Usage_Support!$A:$A,$A13,Gadget_Usage_Support!$J:$J,"1",Gadget_Usage_Support!$D:$D,"Gadget")</f>
        <v>2</v>
      </c>
      <c r="C13" s="53">
        <f>SUMIFS(Gadget_Usage_Support!$I:$I,Gadget_Usage_Support!$A:$A,$A13)</f>
        <v>1.0000615422487538</v>
      </c>
      <c r="D13" cm="1">
        <f t="array" ref="D13">_xlfn.IFS(B13=0,1,AND(B13&gt;=2,C13&gt;=$E$2),0,AND(B13=1,C13&lt;$E$2),0.8,AND(B13=1,C13&gt;=$E$2),0.6,TRUE,0)</f>
        <v>0</v>
      </c>
    </row>
    <row r="14" spans="1:5" x14ac:dyDescent="0.25">
      <c r="A14" t="str">
        <v>PEB ZeneK</v>
      </c>
      <c r="B14">
        <f>COUNTIFS(Gadget_Usage_Support!$A:$A,$A14,Gadget_Usage_Support!$J:$J,"1",Gadget_Usage_Support!$D:$D,"Gadget")</f>
        <v>0</v>
      </c>
      <c r="C14" s="53">
        <f>SUMIFS(Gadget_Usage_Support!$I:$I,Gadget_Usage_Support!$A:$A,$A14)</f>
        <v>0.54516806722689071</v>
      </c>
      <c r="D14" cm="1">
        <f t="array" ref="D14">_xlfn.IFS(B14=0,1,AND(B14&gt;=2,C14&gt;=$E$2),0,AND(B14=1,C14&lt;$E$2),0.8,AND(B14=1,C14&gt;=$E$2),0.6,TRUE,0)</f>
        <v>1</v>
      </c>
    </row>
    <row r="15" spans="1:5" x14ac:dyDescent="0.25">
      <c r="A15" t="str">
        <v>&lt;3 KANRA___TTV &lt;3</v>
      </c>
      <c r="B15">
        <f>COUNTIFS(Gadget_Usage_Support!$A:$A,$A15,Gadget_Usage_Support!$J:$J,"1",Gadget_Usage_Support!$D:$D,"Gadget")</f>
        <v>2</v>
      </c>
      <c r="C15" s="53">
        <f>SUMIFS(Gadget_Usage_Support!$I:$I,Gadget_Usage_Support!$A:$A,$A15)</f>
        <v>1.552486905394781</v>
      </c>
      <c r="D15" cm="1">
        <f t="array" ref="D15">_xlfn.IFS(B15=0,1,AND(B15&gt;=2,C15&gt;=$E$2),0,AND(B15=1,C15&lt;$E$2),0.8,AND(B15=1,C15&gt;=$E$2),0.6,TRUE,0)</f>
        <v>0</v>
      </c>
    </row>
    <row r="16" spans="1:5" x14ac:dyDescent="0.25">
      <c r="A16" t="str">
        <v>Nezmooo--</v>
      </c>
      <c r="B16">
        <f>COUNTIFS(Gadget_Usage_Support!$A:$A,$A16,Gadget_Usage_Support!$J:$J,"1",Gadget_Usage_Support!$D:$D,"Gadget")</f>
        <v>1</v>
      </c>
      <c r="C16" s="53">
        <f>SUMIFS(Gadget_Usage_Support!$I:$I,Gadget_Usage_Support!$A:$A,$A16)</f>
        <v>1.1682058467613528</v>
      </c>
      <c r="D16" cm="1">
        <f t="array" ref="D16">_xlfn.IFS(B16=0,1,AND(B16&gt;=2,C16&gt;=$E$2),0,AND(B16=1,C16&lt;$E$2),0.8,AND(B16=1,C16&gt;=$E$2),0.6,TRUE,0)</f>
        <v>0.6</v>
      </c>
    </row>
    <row r="17" spans="1:4" x14ac:dyDescent="0.25">
      <c r="A17" t="str">
        <v>GreatAlaskan_907</v>
      </c>
      <c r="B17">
        <f>COUNTIFS(Gadget_Usage_Support!$A:$A,$A17,Gadget_Usage_Support!$J:$J,"1",Gadget_Usage_Support!$D:$D,"Gadget")</f>
        <v>2</v>
      </c>
      <c r="C17" s="53">
        <f>SUMIFS(Gadget_Usage_Support!$I:$I,Gadget_Usage_Support!$A:$A,$A17)</f>
        <v>0.58801826027140258</v>
      </c>
      <c r="D17" cm="1">
        <f t="array" ref="D17">_xlfn.IFS(B17=0,1,AND(B17&gt;=2,C17&gt;=$E$2),0,AND(B17=1,C17&lt;$E$2),0.8,AND(B17=1,C17&gt;=$E$2),0.6,TRUE,0)</f>
        <v>0</v>
      </c>
    </row>
    <row r="18" spans="1:4" x14ac:dyDescent="0.25">
      <c r="A18" t="str">
        <v>TrapShotzTV</v>
      </c>
      <c r="B18">
        <f>COUNTIFS(Gadget_Usage_Support!$A:$A,$A18,Gadget_Usage_Support!$J:$J,"1",Gadget_Usage_Support!$D:$D,"Gadget")</f>
        <v>1</v>
      </c>
      <c r="C18" s="53">
        <f>SUMIFS(Gadget_Usage_Support!$I:$I,Gadget_Usage_Support!$A:$A,$A18)</f>
        <v>0.33620963136856796</v>
      </c>
      <c r="D18" cm="1">
        <f t="array" ref="D18">_xlfn.IFS(B18=0,1,AND(B18&gt;=2,C18&gt;=$E$2),0,AND(B18=1,C18&lt;$E$2),0.8,AND(B18=1,C18&gt;=$E$2),0.6,TRUE,0)</f>
        <v>0.8</v>
      </c>
    </row>
    <row r="19" spans="1:4" x14ac:dyDescent="0.25">
      <c r="A19" t="str">
        <v>Barylak.</v>
      </c>
      <c r="B19">
        <f>COUNTIFS(Gadget_Usage_Support!$A:$A,$A19,Gadget_Usage_Support!$J:$J,"1",Gadget_Usage_Support!$D:$D,"Gadget")</f>
        <v>2</v>
      </c>
      <c r="C19" s="53">
        <f>SUMIFS(Gadget_Usage_Support!$I:$I,Gadget_Usage_Support!$A:$A,$A19)</f>
        <v>1.3063851699279092</v>
      </c>
      <c r="D19" cm="1">
        <f t="array" ref="D19">_xlfn.IFS(B19=0,1,AND(B19&gt;=2,C19&gt;=$E$2),0,AND(B19=1,C19&lt;$E$2),0.8,AND(B19=1,C19&gt;=$E$2),0.6,TRUE,0)</f>
        <v>0</v>
      </c>
    </row>
    <row r="20" spans="1:4" x14ac:dyDescent="0.25">
      <c r="A20" t="str">
        <v>XX_Kichon_IV</v>
      </c>
      <c r="B20">
        <f>COUNTIFS(Gadget_Usage_Support!$A:$A,$A20,Gadget_Usage_Support!$J:$J,"1",Gadget_Usage_Support!$D:$D,"Gadget")</f>
        <v>2</v>
      </c>
      <c r="C20" s="53">
        <f>SUMIFS(Gadget_Usage_Support!$I:$I,Gadget_Usage_Support!$A:$A,$A20)</f>
        <v>1.1872006131442807</v>
      </c>
      <c r="D20" cm="1">
        <f t="array" ref="D20">_xlfn.IFS(B20=0,1,AND(B20&gt;=2,C20&gt;=$E$2),0,AND(B20=1,C20&lt;$E$2),0.8,AND(B20=1,C20&gt;=$E$2),0.6,TRUE,0)</f>
        <v>0</v>
      </c>
    </row>
    <row r="21" spans="1:4" x14ac:dyDescent="0.25">
      <c r="A21" t="str">
        <v>SadControllerPlayerOnPC</v>
      </c>
      <c r="B21">
        <f>COUNTIFS(Gadget_Usage_Support!$A:$A,$A21,Gadget_Usage_Support!$J:$J,"1",Gadget_Usage_Support!$D:$D,"Gadget")</f>
        <v>1</v>
      </c>
      <c r="C21" s="53">
        <f>SUMIFS(Gadget_Usage_Support!$I:$I,Gadget_Usage_Support!$A:$A,$A21)</f>
        <v>0.68236826396049277</v>
      </c>
      <c r="D21" cm="1">
        <f t="array" ref="D21">_xlfn.IFS(B21=0,1,AND(B21&gt;=2,C21&gt;=$E$2),0,AND(B21=1,C21&lt;$E$2),0.8,AND(B21=1,C21&gt;=$E$2),0.6,TRUE,0)</f>
        <v>0.8</v>
      </c>
    </row>
    <row r="22" spans="1:4" x14ac:dyDescent="0.25">
      <c r="A22" t="str">
        <v>SGT_KHALIL</v>
      </c>
      <c r="B22">
        <f>COUNTIFS(Gadget_Usage_Support!$A:$A,$A22,Gadget_Usage_Support!$J:$J,"1",Gadget_Usage_Support!$D:$D,"Gadget")</f>
        <v>0</v>
      </c>
      <c r="C22" s="53">
        <f>SUMIFS(Gadget_Usage_Support!$I:$I,Gadget_Usage_Support!$A:$A,$A22)</f>
        <v>0.29880022852789945</v>
      </c>
      <c r="D22" cm="1">
        <f t="array" ref="D22">_xlfn.IFS(B22=0,1,AND(B22&gt;=2,C22&gt;=$E$2),0,AND(B22=1,C22&lt;$E$2),0.8,AND(B22=1,C22&gt;=$E$2),0.6,TRUE,0)</f>
        <v>1</v>
      </c>
    </row>
    <row r="23" spans="1:4" x14ac:dyDescent="0.25">
      <c r="A23" t="str">
        <v>OCTOGUE</v>
      </c>
      <c r="B23">
        <f>COUNTIFS(Gadget_Usage_Support!$A:$A,$A23,Gadget_Usage_Support!$J:$J,"1",Gadget_Usage_Support!$D:$D,"Gadget")</f>
        <v>1</v>
      </c>
      <c r="C23" s="53">
        <f>SUMIFS(Gadget_Usage_Support!$I:$I,Gadget_Usage_Support!$A:$A,$A23)</f>
        <v>0.82189101699487455</v>
      </c>
      <c r="D23" cm="1">
        <f t="array" ref="D23">_xlfn.IFS(B23=0,1,AND(B23&gt;=2,C23&gt;=$E$2),0,AND(B23=1,C23&lt;$E$2),0.8,AND(B23=1,C23&gt;=$E$2),0.6,TRUE,0)</f>
        <v>0.6</v>
      </c>
    </row>
    <row r="24" spans="1:4" x14ac:dyDescent="0.25">
      <c r="A24" t="str">
        <v>Akrokaiser</v>
      </c>
      <c r="B24">
        <f>COUNTIFS(Gadget_Usage_Support!$A:$A,$A24,Gadget_Usage_Support!$J:$J,"1",Gadget_Usage_Support!$D:$D,"Gadget")</f>
        <v>0</v>
      </c>
      <c r="C24" s="53">
        <f>SUMIFS(Gadget_Usage_Support!$I:$I,Gadget_Usage_Support!$A:$A,$A24)</f>
        <v>9.5590014448769078E-2</v>
      </c>
      <c r="D24" cm="1">
        <f t="array" ref="D24">_xlfn.IFS(B24=0,1,AND(B24&gt;=2,C24&gt;=$E$2),0,AND(B24=1,C24&lt;$E$2),0.8,AND(B24=1,C24&gt;=$E$2),0.6,TRUE,0)</f>
        <v>1</v>
      </c>
    </row>
    <row r="25" spans="1:4" x14ac:dyDescent="0.25">
      <c r="A25" t="str">
        <v>DEMONIO1988</v>
      </c>
      <c r="B25">
        <f>COUNTIFS(Gadget_Usage_Support!$A:$A,$A25,Gadget_Usage_Support!$J:$J,"1",Gadget_Usage_Support!$D:$D,"Gadget")</f>
        <v>0</v>
      </c>
      <c r="C25" s="53">
        <f>SUMIFS(Gadget_Usage_Support!$I:$I,Gadget_Usage_Support!$A:$A,$A25)</f>
        <v>0.12743152044462086</v>
      </c>
      <c r="D25" cm="1">
        <f t="array" ref="D25">_xlfn.IFS(B25=0,1,AND(B25&gt;=2,C25&gt;=$E$2),0,AND(B25=1,C25&lt;$E$2),0.8,AND(B25=1,C25&gt;=$E$2),0.6,TRUE,0)</f>
        <v>1</v>
      </c>
    </row>
    <row r="26" spans="1:4" x14ac:dyDescent="0.25">
      <c r="A26" t="str">
        <v>R3V0LUTION</v>
      </c>
      <c r="B26">
        <f>COUNTIFS(Gadget_Usage_Support!$A:$A,$A26,Gadget_Usage_Support!$J:$J,"1",Gadget_Usage_Support!$D:$D,"Gadget")</f>
        <v>1</v>
      </c>
      <c r="C26" s="53">
        <f>SUMIFS(Gadget_Usage_Support!$I:$I,Gadget_Usage_Support!$A:$A,$A26)</f>
        <v>3.2324220095034777</v>
      </c>
      <c r="D26" cm="1">
        <f t="array" ref="D26">_xlfn.IFS(B26=0,1,AND(B26&gt;=2,C26&gt;=$E$2),0,AND(B26=1,C26&lt;$E$2),0.8,AND(B26=1,C26&gt;=$E$2),0.6,TRUE,0)</f>
        <v>0.6</v>
      </c>
    </row>
    <row r="27" spans="1:4" x14ac:dyDescent="0.25">
      <c r="A27" t="str">
        <v>Major-Quimby-5th</v>
      </c>
      <c r="B27">
        <f>COUNTIFS(Gadget_Usage_Support!$A:$A,$A27,Gadget_Usage_Support!$J:$J,"1",Gadget_Usage_Support!$D:$D,"Gadget")</f>
        <v>1</v>
      </c>
      <c r="C27" s="53">
        <f>SUMIFS(Gadget_Usage_Support!$I:$I,Gadget_Usage_Support!$A:$A,$A27)</f>
        <v>0.9962179576971566</v>
      </c>
      <c r="D27" cm="1">
        <f t="array" ref="D27">_xlfn.IFS(B27=0,1,AND(B27&gt;=2,C27&gt;=$E$2),0,AND(B27=1,C27&lt;$E$2),0.8,AND(B27=1,C27&gt;=$E$2),0.6,TRUE,0)</f>
        <v>0.6</v>
      </c>
    </row>
    <row r="28" spans="1:4" x14ac:dyDescent="0.25">
      <c r="A28" t="str">
        <v>Dezz</v>
      </c>
      <c r="B28">
        <f>COUNTIFS(Gadget_Usage_Support!$A:$A,$A28,Gadget_Usage_Support!$J:$J,"1",Gadget_Usage_Support!$D:$D,"Gadget")</f>
        <v>1</v>
      </c>
      <c r="C28" s="53">
        <f>SUMIFS(Gadget_Usage_Support!$I:$I,Gadget_Usage_Support!$A:$A,$A28)</f>
        <v>0.90325535512965061</v>
      </c>
      <c r="D28" cm="1">
        <f t="array" ref="D28">_xlfn.IFS(B28=0,1,AND(B28&gt;=2,C28&gt;=$E$2),0,AND(B28=1,C28&lt;$E$2),0.8,AND(B28=1,C28&gt;=$E$2),0.6,TRUE,0)</f>
        <v>0.6</v>
      </c>
    </row>
    <row r="29" spans="1:4" x14ac:dyDescent="0.25">
      <c r="A29" t="str">
        <v>sguglio</v>
      </c>
      <c r="B29">
        <f>COUNTIFS(Gadget_Usage_Support!$A:$A,$A29,Gadget_Usage_Support!$J:$J,"1",Gadget_Usage_Support!$D:$D,"Gadget")</f>
        <v>1</v>
      </c>
      <c r="C29" s="53">
        <f>SUMIFS(Gadget_Usage_Support!$I:$I,Gadget_Usage_Support!$A:$A,$A29)</f>
        <v>0.70674715909090902</v>
      </c>
      <c r="D29" cm="1">
        <f t="array" ref="D29">_xlfn.IFS(B29=0,1,AND(B29&gt;=2,C29&gt;=$E$2),0,AND(B29=1,C29&lt;$E$2),0.8,AND(B29=1,C29&gt;=$E$2),0.6,TRUE,0)</f>
        <v>0.8</v>
      </c>
    </row>
    <row r="30" spans="1:4" x14ac:dyDescent="0.25">
      <c r="A30" t="str">
        <v>Dodeyx</v>
      </c>
      <c r="B30">
        <f>COUNTIFS(Gadget_Usage_Support!$A:$A,$A30,Gadget_Usage_Support!$J:$J,"1",Gadget_Usage_Support!$D:$D,"Gadget")</f>
        <v>3</v>
      </c>
      <c r="C30" s="53">
        <f>SUMIFS(Gadget_Usage_Support!$I:$I,Gadget_Usage_Support!$A:$A,$A30)</f>
        <v>1.4235360598996962</v>
      </c>
      <c r="D30" cm="1">
        <f t="array" ref="D30">_xlfn.IFS(B30=0,1,AND(B30&gt;=2,C30&gt;=$E$2),0,AND(B30=1,C30&lt;$E$2),0.8,AND(B30=1,C30&gt;=$E$2),0.6,TRUE,0)</f>
        <v>0</v>
      </c>
    </row>
    <row r="31" spans="1:4" x14ac:dyDescent="0.25">
      <c r="A31" t="str">
        <v>ramikingx1</v>
      </c>
      <c r="B31">
        <f>COUNTIFS(Gadget_Usage_Support!$A:$A,$A31,Gadget_Usage_Support!$J:$J,"1",Gadget_Usage_Support!$D:$D,"Gadget")</f>
        <v>1</v>
      </c>
      <c r="C31" s="53">
        <f>SUMIFS(Gadget_Usage_Support!$I:$I,Gadget_Usage_Support!$A:$A,$A31)</f>
        <v>0.95833333333333326</v>
      </c>
      <c r="D31" cm="1">
        <f t="array" ref="D31">_xlfn.IFS(B31=0,1,AND(B31&gt;=2,C31&gt;=$E$2),0,AND(B31=1,C31&lt;$E$2),0.8,AND(B31=1,C31&gt;=$E$2),0.6,TRUE,0)</f>
        <v>0.6</v>
      </c>
    </row>
    <row r="32" spans="1:4" x14ac:dyDescent="0.25">
      <c r="A32" t="str">
        <v>ARMSQUADNYPD-TTV</v>
      </c>
      <c r="B32">
        <f>COUNTIFS(Gadget_Usage_Support!$A:$A,$A32,Gadget_Usage_Support!$J:$J,"1",Gadget_Usage_Support!$D:$D,"Gadget")</f>
        <v>1</v>
      </c>
      <c r="C32" s="53">
        <f>SUMIFS(Gadget_Usage_Support!$I:$I,Gadget_Usage_Support!$A:$A,$A32)</f>
        <v>1.917769581254068</v>
      </c>
      <c r="D32" cm="1">
        <f t="array" ref="D32">_xlfn.IFS(B32=0,1,AND(B32&gt;=2,C32&gt;=$E$2),0,AND(B32=1,C32&lt;$E$2),0.8,AND(B32=1,C32&gt;=$E$2),0.6,TRUE,0)</f>
        <v>0.6</v>
      </c>
    </row>
    <row r="33" spans="1:4" x14ac:dyDescent="0.25">
      <c r="A33" t="str">
        <v>Tsumarai</v>
      </c>
      <c r="B33">
        <f>COUNTIFS(Gadget_Usage_Support!$A:$A,$A33,Gadget_Usage_Support!$J:$J,"1",Gadget_Usage_Support!$D:$D,"Gadget")</f>
        <v>1</v>
      </c>
      <c r="C33" s="53">
        <f>SUMIFS(Gadget_Usage_Support!$I:$I,Gadget_Usage_Support!$A:$A,$A33)</f>
        <v>0.50249295469325816</v>
      </c>
      <c r="D33" cm="1">
        <f t="array" ref="D33">_xlfn.IFS(B33=0,1,AND(B33&gt;=2,C33&gt;=$E$2),0,AND(B33=1,C33&lt;$E$2),0.8,AND(B33=1,C33&gt;=$E$2),0.6,TRUE,0)</f>
        <v>0.8</v>
      </c>
    </row>
    <row r="34" spans="1:4" x14ac:dyDescent="0.25">
      <c r="A34" t="str">
        <v>lB-A-G-D-A-lD</v>
      </c>
      <c r="B34">
        <f>COUNTIFS(Gadget_Usage_Support!$A:$A,$A34,Gadget_Usage_Support!$J:$J,"1",Gadget_Usage_Support!$D:$D,"Gadget")</f>
        <v>3</v>
      </c>
      <c r="C34" s="53">
        <f>SUMIFS(Gadget_Usage_Support!$I:$I,Gadget_Usage_Support!$A:$A,$A34)</f>
        <v>1.1986867345433083</v>
      </c>
      <c r="D34" cm="1">
        <f t="array" ref="D34">_xlfn.IFS(B34=0,1,AND(B34&gt;=2,C34&gt;=$E$2),0,AND(B34=1,C34&lt;$E$2),0.8,AND(B34=1,C34&gt;=$E$2),0.6,TRUE,0)</f>
        <v>0</v>
      </c>
    </row>
    <row r="35" spans="1:4" x14ac:dyDescent="0.25">
      <c r="A35" t="str">
        <v>超威蓝猫Tom</v>
      </c>
      <c r="B35">
        <f>COUNTIFS(Gadget_Usage_Support!$A:$A,$A35,Gadget_Usage_Support!$J:$J,"1",Gadget_Usage_Support!$D:$D,"Gadget")</f>
        <v>1</v>
      </c>
      <c r="C35" s="53">
        <f>SUMIFS(Gadget_Usage_Support!$I:$I,Gadget_Usage_Support!$A:$A,$A35)</f>
        <v>1.4698562682991749</v>
      </c>
      <c r="D35" cm="1">
        <f t="array" ref="D35">_xlfn.IFS(B35=0,1,AND(B35&gt;=2,C35&gt;=$E$2),0,AND(B35=1,C35&lt;$E$2),0.8,AND(B35=1,C35&gt;=$E$2),0.6,TRUE,0)</f>
        <v>0.6</v>
      </c>
    </row>
    <row r="36" spans="1:4" x14ac:dyDescent="0.25">
      <c r="A36" t="str">
        <v>-VCOR-Akagami</v>
      </c>
      <c r="B36">
        <f>COUNTIFS(Gadget_Usage_Support!$A:$A,$A36,Gadget_Usage_Support!$J:$J,"1",Gadget_Usage_Support!$D:$D,"Gadget")</f>
        <v>1</v>
      </c>
      <c r="C36" s="53">
        <f>SUMIFS(Gadget_Usage_Support!$I:$I,Gadget_Usage_Support!$A:$A,$A36)</f>
        <v>1.1284999626670649</v>
      </c>
      <c r="D36" cm="1">
        <f t="array" ref="D36">_xlfn.IFS(B36=0,1,AND(B36&gt;=2,C36&gt;=$E$2),0,AND(B36=1,C36&lt;$E$2),0.8,AND(B36=1,C36&gt;=$E$2),0.6,TRUE,0)</f>
        <v>0.6</v>
      </c>
    </row>
    <row r="37" spans="1:4" x14ac:dyDescent="0.25">
      <c r="A37" t="str">
        <v>ego9__</v>
      </c>
      <c r="B37">
        <f>COUNTIFS(Gadget_Usage_Support!$A:$A,$A37,Gadget_Usage_Support!$J:$J,"1",Gadget_Usage_Support!$D:$D,"Gadget")</f>
        <v>1</v>
      </c>
      <c r="C37" s="53">
        <f>SUMIFS(Gadget_Usage_Support!$I:$I,Gadget_Usage_Support!$A:$A,$A37)</f>
        <v>0.62624981346067754</v>
      </c>
      <c r="D37" cm="1">
        <f t="array" ref="D37">_xlfn.IFS(B37=0,1,AND(B37&gt;=2,C37&gt;=$E$2),0,AND(B37=1,C37&lt;$E$2),0.8,AND(B37=1,C37&gt;=$E$2),0.6,TRUE,0)</f>
        <v>0.8</v>
      </c>
    </row>
    <row r="38" spans="1:4" x14ac:dyDescent="0.25">
      <c r="A38" t="str">
        <v>Man_of_SteeI_93</v>
      </c>
      <c r="B38">
        <f>COUNTIFS(Gadget_Usage_Support!$A:$A,$A38,Gadget_Usage_Support!$J:$J,"1",Gadget_Usage_Support!$D:$D,"Gadget")</f>
        <v>1</v>
      </c>
      <c r="C38" s="53">
        <f>SUMIFS(Gadget_Usage_Support!$I:$I,Gadget_Usage_Support!$A:$A,$A38)</f>
        <v>0.94483488249074288</v>
      </c>
      <c r="D38" cm="1">
        <f t="array" ref="D38">_xlfn.IFS(B38=0,1,AND(B38&gt;=2,C38&gt;=$E$2),0,AND(B38=1,C38&lt;$E$2),0.8,AND(B38=1,C38&gt;=$E$2),0.6,TRUE,0)</f>
        <v>0.6</v>
      </c>
    </row>
    <row r="39" spans="1:4" x14ac:dyDescent="0.25">
      <c r="A39" t="str">
        <v>invincibleKORE</v>
      </c>
      <c r="B39">
        <f>COUNTIFS(Gadget_Usage_Support!$A:$A,$A39,Gadget_Usage_Support!$J:$J,"1",Gadget_Usage_Support!$D:$D,"Gadget")</f>
        <v>0</v>
      </c>
      <c r="C39" s="53">
        <f>SUMIFS(Gadget_Usage_Support!$I:$I,Gadget_Usage_Support!$A:$A,$A39)</f>
        <v>0.311535090676195</v>
      </c>
      <c r="D39" cm="1">
        <f t="array" ref="D39">_xlfn.IFS(B39=0,1,AND(B39&gt;=2,C39&gt;=$E$2),0,AND(B39=1,C39&lt;$E$2),0.8,AND(B39=1,C39&gt;=$E$2),0.6,TRUE,0)</f>
        <v>1</v>
      </c>
    </row>
    <row r="40" spans="1:4" x14ac:dyDescent="0.25">
      <c r="A40" t="str">
        <v>NinjaDark34</v>
      </c>
      <c r="B40">
        <f>COUNTIFS(Gadget_Usage_Support!$A:$A,$A40,Gadget_Usage_Support!$J:$J,"1",Gadget_Usage_Support!$D:$D,"Gadget")</f>
        <v>2</v>
      </c>
      <c r="C40" s="53">
        <f>SUMIFS(Gadget_Usage_Support!$I:$I,Gadget_Usage_Support!$A:$A,$A40)</f>
        <v>2.9244519135283782</v>
      </c>
      <c r="D40" cm="1">
        <f t="array" ref="D40">_xlfn.IFS(B40=0,1,AND(B40&gt;=2,C40&gt;=$E$2),0,AND(B40=1,C40&lt;$E$2),0.8,AND(B40=1,C40&gt;=$E$2),0.6,TRUE,0)</f>
        <v>0</v>
      </c>
    </row>
    <row r="41" spans="1:4" x14ac:dyDescent="0.25">
      <c r="A41" t="str">
        <v>FinsWishes</v>
      </c>
      <c r="B41">
        <f>COUNTIFS(Gadget_Usage_Support!$A:$A,$A41,Gadget_Usage_Support!$J:$J,"1",Gadget_Usage_Support!$D:$D,"Gadget")</f>
        <v>1</v>
      </c>
      <c r="C41" s="53">
        <f>SUMIFS(Gadget_Usage_Support!$I:$I,Gadget_Usage_Support!$A:$A,$A41)</f>
        <v>0.77684307127561958</v>
      </c>
      <c r="D41" cm="1">
        <f t="array" ref="D41">_xlfn.IFS(B41=0,1,AND(B41&gt;=2,C41&gt;=$E$2),0,AND(B41=1,C41&lt;$E$2),0.8,AND(B41=1,C41&gt;=$E$2),0.6,TRUE,0)</f>
        <v>0.6</v>
      </c>
    </row>
    <row r="42" spans="1:4" x14ac:dyDescent="0.25">
      <c r="A42" t="str">
        <v>SaltyMtDew77</v>
      </c>
      <c r="B42">
        <f>COUNTIFS(Gadget_Usage_Support!$A:$A,$A42,Gadget_Usage_Support!$J:$J,"1",Gadget_Usage_Support!$D:$D,"Gadget")</f>
        <v>1</v>
      </c>
      <c r="C42" s="53">
        <f>SUMIFS(Gadget_Usage_Support!$I:$I,Gadget_Usage_Support!$A:$A,$A42)</f>
        <v>0.4218234797944943</v>
      </c>
      <c r="D42" cm="1">
        <f t="array" ref="D42">_xlfn.IFS(B42=0,1,AND(B42&gt;=2,C42&gt;=$E$2),0,AND(B42=1,C42&lt;$E$2),0.8,AND(B42=1,C42&gt;=$E$2),0.6,TRUE,0)</f>
        <v>0.8</v>
      </c>
    </row>
    <row r="43" spans="1:4" x14ac:dyDescent="0.25">
      <c r="A43" t="str">
        <v>AG3NTHauser</v>
      </c>
      <c r="B43">
        <f>COUNTIFS(Gadget_Usage_Support!$A:$A,$A43,Gadget_Usage_Support!$J:$J,"1",Gadget_Usage_Support!$D:$D,"Gadget")</f>
        <v>0</v>
      </c>
      <c r="C43" s="53">
        <f>SUMIFS(Gadget_Usage_Support!$I:$I,Gadget_Usage_Support!$A:$A,$A43)</f>
        <v>0.20195688732609696</v>
      </c>
      <c r="D43" cm="1">
        <f t="array" ref="D43">_xlfn.IFS(B43=0,1,AND(B43&gt;=2,C43&gt;=$E$2),0,AND(B43=1,C43&lt;$E$2),0.8,AND(B43=1,C43&gt;=$E$2),0.6,TRUE,0)</f>
        <v>1</v>
      </c>
    </row>
    <row r="44" spans="1:4" x14ac:dyDescent="0.25">
      <c r="A44" t="str">
        <v>YUZURU</v>
      </c>
      <c r="B44">
        <f>COUNTIFS(Gadget_Usage_Support!$A:$A,$A44,Gadget_Usage_Support!$J:$J,"1",Gadget_Usage_Support!$D:$D,"Gadget")</f>
        <v>3</v>
      </c>
      <c r="C44" s="53">
        <f>SUMIFS(Gadget_Usage_Support!$I:$I,Gadget_Usage_Support!$A:$A,$A44)</f>
        <v>2.2837115637828207</v>
      </c>
      <c r="D44" cm="1">
        <f t="array" ref="D44">_xlfn.IFS(B44=0,1,AND(B44&gt;=2,C44&gt;=$E$2),0,AND(B44=1,C44&lt;$E$2),0.8,AND(B44=1,C44&gt;=$E$2),0.6,TRUE,0)</f>
        <v>0</v>
      </c>
    </row>
    <row r="45" spans="1:4" x14ac:dyDescent="0.25">
      <c r="A45" t="str">
        <v>sasquatchseesu</v>
      </c>
      <c r="B45">
        <f>COUNTIFS(Gadget_Usage_Support!$A:$A,$A45,Gadget_Usage_Support!$J:$J,"1",Gadget_Usage_Support!$D:$D,"Gadget")</f>
        <v>2</v>
      </c>
      <c r="C45" s="53">
        <f>SUMIFS(Gadget_Usage_Support!$I:$I,Gadget_Usage_Support!$A:$A,$A45)</f>
        <v>0.75440776699029133</v>
      </c>
      <c r="D45" cm="1">
        <f t="array" ref="D45">_xlfn.IFS(B45=0,1,AND(B45&gt;=2,C45&gt;=$E$2),0,AND(B45=1,C45&lt;$E$2),0.8,AND(B45=1,C45&gt;=$E$2),0.6,TRUE,0)</f>
        <v>0</v>
      </c>
    </row>
    <row r="46" spans="1:4" x14ac:dyDescent="0.25">
      <c r="A46" t="str">
        <v>Unreal_Insanity</v>
      </c>
      <c r="B46">
        <f>COUNTIFS(Gadget_Usage_Support!$A:$A,$A46,Gadget_Usage_Support!$J:$J,"1",Gadget_Usage_Support!$D:$D,"Gadget")</f>
        <v>1</v>
      </c>
      <c r="C46" s="53">
        <f>SUMIFS(Gadget_Usage_Support!$I:$I,Gadget_Usage_Support!$A:$A,$A46)</f>
        <v>0.90196231725431941</v>
      </c>
      <c r="D46" cm="1">
        <f t="array" ref="D46">_xlfn.IFS(B46=0,1,AND(B46&gt;=2,C46&gt;=$E$2),0,AND(B46=1,C46&lt;$E$2),0.8,AND(B46=1,C46&gt;=$E$2),0.6,TRUE,0)</f>
        <v>0.6</v>
      </c>
    </row>
    <row r="47" spans="1:4" x14ac:dyDescent="0.25">
      <c r="A47" t="str">
        <v>danix1999x</v>
      </c>
      <c r="B47">
        <f>COUNTIFS(Gadget_Usage_Support!$A:$A,$A47,Gadget_Usage_Support!$J:$J,"1",Gadget_Usage_Support!$D:$D,"Gadget")</f>
        <v>0</v>
      </c>
      <c r="C47" s="53">
        <f>SUMIFS(Gadget_Usage_Support!$I:$I,Gadget_Usage_Support!$A:$A,$A47)</f>
        <v>0.54481243132946167</v>
      </c>
      <c r="D47" cm="1">
        <f t="array" ref="D47">_xlfn.IFS(B47=0,1,AND(B47&gt;=2,C47&gt;=$E$2),0,AND(B47=1,C47&lt;$E$2),0.8,AND(B47=1,C47&gt;=$E$2),0.6,TRUE,0)</f>
        <v>1</v>
      </c>
    </row>
    <row r="48" spans="1:4" x14ac:dyDescent="0.25">
      <c r="A48" t="str">
        <v>SMALLS1984XB</v>
      </c>
      <c r="B48">
        <f>COUNTIFS(Gadget_Usage_Support!$A:$A,$A48,Gadget_Usage_Support!$J:$J,"1",Gadget_Usage_Support!$D:$D,"Gadget")</f>
        <v>3</v>
      </c>
      <c r="C48" s="53">
        <f>SUMIFS(Gadget_Usage_Support!$I:$I,Gadget_Usage_Support!$A:$A,$A48)</f>
        <v>2.7517496264842336</v>
      </c>
      <c r="D48" cm="1">
        <f t="array" ref="D48">_xlfn.IFS(B48=0,1,AND(B48&gt;=2,C48&gt;=$E$2),0,AND(B48=1,C48&lt;$E$2),0.8,AND(B48=1,C48&gt;=$E$2),0.6,TRUE,0)</f>
        <v>0</v>
      </c>
    </row>
    <row r="49" spans="1:4" x14ac:dyDescent="0.25">
      <c r="A49" t="str">
        <v>IKISUGIA1M</v>
      </c>
      <c r="B49">
        <f>COUNTIFS(Gadget_Usage_Support!$A:$A,$A49,Gadget_Usage_Support!$J:$J,"1",Gadget_Usage_Support!$D:$D,"Gadget")</f>
        <v>1</v>
      </c>
      <c r="C49" s="53">
        <f>SUMIFS(Gadget_Usage_Support!$I:$I,Gadget_Usage_Support!$A:$A,$A49)</f>
        <v>0.60730377045292849</v>
      </c>
      <c r="D49" cm="1">
        <f t="array" ref="D49">_xlfn.IFS(B49=0,1,AND(B49&gt;=2,C49&gt;=$E$2),0,AND(B49=1,C49&lt;$E$2),0.8,AND(B49=1,C49&gt;=$E$2),0.6,TRUE,0)</f>
        <v>0.8</v>
      </c>
    </row>
    <row r="50" spans="1:4" x14ac:dyDescent="0.25">
      <c r="A50" t="str">
        <v>BeEatinU7533</v>
      </c>
      <c r="B50">
        <f>COUNTIFS(Gadget_Usage_Support!$A:$A,$A50,Gadget_Usage_Support!$J:$J,"1",Gadget_Usage_Support!$D:$D,"Gadget")</f>
        <v>1</v>
      </c>
      <c r="C50" s="53">
        <f>SUMIFS(Gadget_Usage_Support!$I:$I,Gadget_Usage_Support!$A:$A,$A50)</f>
        <v>0.45881416633505767</v>
      </c>
      <c r="D50" cm="1">
        <f t="array" ref="D50">_xlfn.IFS(B50=0,1,AND(B50&gt;=2,C50&gt;=$E$2),0,AND(B50=1,C50&lt;$E$2),0.8,AND(B50=1,C50&gt;=$E$2),0.6,TRUE,0)</f>
        <v>0.8</v>
      </c>
    </row>
    <row r="51" spans="1:4" x14ac:dyDescent="0.25">
      <c r="A51" t="str">
        <v>Ayye1985</v>
      </c>
      <c r="B51">
        <f>COUNTIFS(Gadget_Usage_Support!$A:$A,$A51,Gadget_Usage_Support!$J:$J,"1",Gadget_Usage_Support!$D:$D,"Gadget")</f>
        <v>0</v>
      </c>
      <c r="C51" s="53">
        <f>SUMIFS(Gadget_Usage_Support!$I:$I,Gadget_Usage_Support!$A:$A,$A51)</f>
        <v>0.1383872166480862</v>
      </c>
      <c r="D51" cm="1">
        <f t="array" ref="D51">_xlfn.IFS(B51=0,1,AND(B51&gt;=2,C51&gt;=$E$2),0,AND(B51=1,C51&lt;$E$2),0.8,AND(B51=1,C51&gt;=$E$2),0.6,TRUE,0)</f>
        <v>1</v>
      </c>
    </row>
    <row r="52" spans="1:4" x14ac:dyDescent="0.25">
      <c r="A52" t="str">
        <v>Mbalmer</v>
      </c>
      <c r="B52">
        <f>COUNTIFS(Gadget_Usage_Support!$A:$A,$A52,Gadget_Usage_Support!$J:$J,"1",Gadget_Usage_Support!$D:$D,"Gadget")</f>
        <v>1</v>
      </c>
      <c r="C52" s="53">
        <f>SUMIFS(Gadget_Usage_Support!$I:$I,Gadget_Usage_Support!$A:$A,$A52)</f>
        <v>0.20198503814532257</v>
      </c>
      <c r="D52" cm="1">
        <f t="array" ref="D52">_xlfn.IFS(B52=0,1,AND(B52&gt;=2,C52&gt;=$E$2),0,AND(B52=1,C52&lt;$E$2),0.8,AND(B52=1,C52&gt;=$E$2),0.6,TRUE,0)</f>
        <v>0.8</v>
      </c>
    </row>
    <row r="53" spans="1:4" x14ac:dyDescent="0.25">
      <c r="A53" t="str">
        <v>BabyFatherYC</v>
      </c>
      <c r="B53">
        <f>COUNTIFS(Gadget_Usage_Support!$A:$A,$A53,Gadget_Usage_Support!$J:$J,"1",Gadget_Usage_Support!$D:$D,"Gadget")</f>
        <v>1</v>
      </c>
      <c r="C53" s="53">
        <f>SUMIFS(Gadget_Usage_Support!$I:$I,Gadget_Usage_Support!$A:$A,$A53)</f>
        <v>1.4345291116689611</v>
      </c>
      <c r="D53" cm="1">
        <f t="array" ref="D53">_xlfn.IFS(B53=0,1,AND(B53&gt;=2,C53&gt;=$E$2),0,AND(B53=1,C53&lt;$E$2),0.8,AND(B53=1,C53&gt;=$E$2),0.6,TRUE,0)</f>
        <v>0.6</v>
      </c>
    </row>
    <row r="54" spans="1:4" x14ac:dyDescent="0.25">
      <c r="A54" t="str">
        <v>Twofastforum8</v>
      </c>
      <c r="B54">
        <f>COUNTIFS(Gadget_Usage_Support!$A:$A,$A54,Gadget_Usage_Support!$J:$J,"1",Gadget_Usage_Support!$D:$D,"Gadget")</f>
        <v>2</v>
      </c>
      <c r="C54" s="53">
        <f>SUMIFS(Gadget_Usage_Support!$I:$I,Gadget_Usage_Support!$A:$A,$A54)</f>
        <v>1.4824190135113138</v>
      </c>
      <c r="D54" cm="1">
        <f t="array" ref="D54">_xlfn.IFS(B54=0,1,AND(B54&gt;=2,C54&gt;=$E$2),0,AND(B54=1,C54&lt;$E$2),0.8,AND(B54=1,C54&gt;=$E$2),0.6,TRUE,0)</f>
        <v>0</v>
      </c>
    </row>
    <row r="55" spans="1:4" x14ac:dyDescent="0.25">
      <c r="A55" t="str">
        <v>esojguy</v>
      </c>
      <c r="B55">
        <f>COUNTIFS(Gadget_Usage_Support!$A:$A,$A55,Gadget_Usage_Support!$J:$J,"1",Gadget_Usage_Support!$D:$D,"Gadget")</f>
        <v>0</v>
      </c>
      <c r="C55" s="53">
        <f>SUMIFS(Gadget_Usage_Support!$I:$I,Gadget_Usage_Support!$A:$A,$A55)</f>
        <v>0.62470711804152856</v>
      </c>
      <c r="D55" cm="1">
        <f t="array" ref="D55">_xlfn.IFS(B55=0,1,AND(B55&gt;=2,C55&gt;=$E$2),0,AND(B55=1,C55&lt;$E$2),0.8,AND(B55=1,C55&gt;=$E$2),0.6,TRUE,0)</f>
        <v>1</v>
      </c>
    </row>
    <row r="56" spans="1:4" x14ac:dyDescent="0.25">
      <c r="A56" t="str">
        <v>ITyCE</v>
      </c>
      <c r="B56">
        <f>COUNTIFS(Gadget_Usage_Support!$A:$A,$A56,Gadget_Usage_Support!$J:$J,"1",Gadget_Usage_Support!$D:$D,"Gadget")</f>
        <v>1</v>
      </c>
      <c r="C56" s="53">
        <f>SUMIFS(Gadget_Usage_Support!$I:$I,Gadget_Usage_Support!$A:$A,$A56)</f>
        <v>0.47099459009571371</v>
      </c>
      <c r="D56" cm="1">
        <f t="array" ref="D56">_xlfn.IFS(B56=0,1,AND(B56&gt;=2,C56&gt;=$E$2),0,AND(B56=1,C56&lt;$E$2),0.8,AND(B56=1,C56&gt;=$E$2),0.6,TRUE,0)</f>
        <v>0.8</v>
      </c>
    </row>
    <row r="57" spans="1:4" x14ac:dyDescent="0.25">
      <c r="A57" t="str">
        <v>Nardong Putik</v>
      </c>
      <c r="B57">
        <f>COUNTIFS(Gadget_Usage_Support!$A:$A,$A57,Gadget_Usage_Support!$J:$J,"1",Gadget_Usage_Support!$D:$D,"Gadget")</f>
        <v>2</v>
      </c>
      <c r="C57" s="53">
        <f>SUMIFS(Gadget_Usage_Support!$I:$I,Gadget_Usage_Support!$A:$A,$A57)</f>
        <v>1.9028479946073473</v>
      </c>
      <c r="D57" cm="1">
        <f t="array" ref="D57">_xlfn.IFS(B57=0,1,AND(B57&gt;=2,C57&gt;=$E$2),0,AND(B57=1,C57&lt;$E$2),0.8,AND(B57=1,C57&gt;=$E$2),0.6,TRUE,0)</f>
        <v>0</v>
      </c>
    </row>
    <row r="58" spans="1:4" x14ac:dyDescent="0.25">
      <c r="A58" t="str">
        <v>xDLoadingx-</v>
      </c>
      <c r="B58">
        <f>COUNTIFS(Gadget_Usage_Support!$A:$A,$A58,Gadget_Usage_Support!$J:$J,"1",Gadget_Usage_Support!$D:$D,"Gadget")</f>
        <v>1</v>
      </c>
      <c r="C58" s="53">
        <f>SUMIFS(Gadget_Usage_Support!$I:$I,Gadget_Usage_Support!$A:$A,$A58)</f>
        <v>0.5318189552492768</v>
      </c>
      <c r="D58" cm="1">
        <f t="array" ref="D58">_xlfn.IFS(B58=0,1,AND(B58&gt;=2,C58&gt;=$E$2),0,AND(B58=1,C58&lt;$E$2),0.8,AND(B58=1,C58&gt;=$E$2),0.6,TRUE,0)</f>
        <v>0.8</v>
      </c>
    </row>
    <row r="59" spans="1:4" x14ac:dyDescent="0.25">
      <c r="A59" t="str">
        <v>OnE-N-OnLy-GREEN</v>
      </c>
      <c r="B59">
        <f>COUNTIFS(Gadget_Usage_Support!$A:$A,$A59,Gadget_Usage_Support!$J:$J,"1",Gadget_Usage_Support!$D:$D,"Gadget")</f>
        <v>1</v>
      </c>
      <c r="C59" s="53">
        <f>SUMIFS(Gadget_Usage_Support!$I:$I,Gadget_Usage_Support!$A:$A,$A59)</f>
        <v>0.48269940757276558</v>
      </c>
      <c r="D59" cm="1">
        <f t="array" ref="D59">_xlfn.IFS(B59=0,1,AND(B59&gt;=2,C59&gt;=$E$2),0,AND(B59=1,C59&lt;$E$2),0.8,AND(B59=1,C59&gt;=$E$2),0.6,TRUE,0)</f>
        <v>0.8</v>
      </c>
    </row>
    <row r="60" spans="1:4" x14ac:dyDescent="0.25">
      <c r="A60" t="str">
        <v>macdo12</v>
      </c>
      <c r="B60">
        <f>COUNTIFS(Gadget_Usage_Support!$A:$A,$A60,Gadget_Usage_Support!$J:$J,"1",Gadget_Usage_Support!$D:$D,"Gadget")</f>
        <v>0</v>
      </c>
      <c r="C60" s="53">
        <f>SUMIFS(Gadget_Usage_Support!$I:$I,Gadget_Usage_Support!$A:$A,$A60)</f>
        <v>0.2469509557996713</v>
      </c>
      <c r="D60" cm="1">
        <f t="array" ref="D60">_xlfn.IFS(B60=0,1,AND(B60&gt;=2,C60&gt;=$E$2),0,AND(B60=1,C60&lt;$E$2),0.8,AND(B60=1,C60&gt;=$E$2),0.6,TRUE,0)</f>
        <v>1</v>
      </c>
    </row>
    <row r="61" spans="1:4" x14ac:dyDescent="0.25">
      <c r="A61" t="str">
        <v>VII-PHASZR</v>
      </c>
      <c r="B61">
        <f>COUNTIFS(Gadget_Usage_Support!$A:$A,$A61,Gadget_Usage_Support!$J:$J,"1",Gadget_Usage_Support!$D:$D,"Gadget")</f>
        <v>3</v>
      </c>
      <c r="C61" s="53">
        <f>SUMIFS(Gadget_Usage_Support!$I:$I,Gadget_Usage_Support!$A:$A,$A61)</f>
        <v>2.2706490321450468</v>
      </c>
      <c r="D61" cm="1">
        <f t="array" ref="D61">_xlfn.IFS(B61=0,1,AND(B61&gt;=2,C61&gt;=$E$2),0,AND(B61=1,C61&lt;$E$2),0.8,AND(B61=1,C61&gt;=$E$2),0.6,TRUE,0)</f>
        <v>0</v>
      </c>
    </row>
    <row r="62" spans="1:4" x14ac:dyDescent="0.25">
      <c r="A62" t="str">
        <v>Tuffmiester</v>
      </c>
      <c r="B62">
        <f>COUNTIFS(Gadget_Usage_Support!$A:$A,$A62,Gadget_Usage_Support!$J:$J,"1",Gadget_Usage_Support!$D:$D,"Gadget")</f>
        <v>0</v>
      </c>
      <c r="C62" s="53">
        <f>SUMIFS(Gadget_Usage_Support!$I:$I,Gadget_Usage_Support!$A:$A,$A62)</f>
        <v>0.12438811188811189</v>
      </c>
      <c r="D62" cm="1">
        <f t="array" ref="D62">_xlfn.IFS(B62=0,1,AND(B62&gt;=2,C62&gt;=$E$2),0,AND(B62=1,C62&lt;$E$2),0.8,AND(B62=1,C62&gt;=$E$2),0.6,TRUE,0)</f>
        <v>1</v>
      </c>
    </row>
    <row r="63" spans="1:4" x14ac:dyDescent="0.25">
      <c r="A63" t="str">
        <v>I ain't gonna die today</v>
      </c>
      <c r="B63">
        <f>COUNTIFS(Gadget_Usage_Support!$A:$A,$A63,Gadget_Usage_Support!$J:$J,"1",Gadget_Usage_Support!$D:$D,"Gadget")</f>
        <v>0</v>
      </c>
      <c r="C63" s="53">
        <f>SUMIFS(Gadget_Usage_Support!$I:$I,Gadget_Usage_Support!$A:$A,$A63)</f>
        <v>1.2858220211161389</v>
      </c>
      <c r="D63" cm="1">
        <f t="array" ref="D63">_xlfn.IFS(B63=0,1,AND(B63&gt;=2,C63&gt;=$E$2),0,AND(B63=1,C63&lt;$E$2),0.8,AND(B63=1,C63&gt;=$E$2),0.6,TRUE,0)</f>
        <v>1</v>
      </c>
    </row>
    <row r="64" spans="1:4" x14ac:dyDescent="0.25">
      <c r="A64" t="str">
        <v>oHuey-</v>
      </c>
      <c r="B64">
        <f>COUNTIFS(Gadget_Usage_Support!$A:$A,$A64,Gadget_Usage_Support!$J:$J,"1",Gadget_Usage_Support!$D:$D,"Gadget")</f>
        <v>1</v>
      </c>
      <c r="C64" s="53">
        <f>SUMIFS(Gadget_Usage_Support!$I:$I,Gadget_Usage_Support!$A:$A,$A64)</f>
        <v>0.72930508170228048</v>
      </c>
      <c r="D64" cm="1">
        <f t="array" ref="D64">_xlfn.IFS(B64=0,1,AND(B64&gt;=2,C64&gt;=$E$2),0,AND(B64=1,C64&lt;$E$2),0.8,AND(B64=1,C64&gt;=$E$2),0.6,TRUE,0)</f>
        <v>0.8</v>
      </c>
    </row>
    <row r="65" spans="1:4" x14ac:dyDescent="0.25">
      <c r="A65" t="str">
        <v>PesoKNG</v>
      </c>
      <c r="B65">
        <f>COUNTIFS(Gadget_Usage_Support!$A:$A,$A65,Gadget_Usage_Support!$J:$J,"1",Gadget_Usage_Support!$D:$D,"Gadget")</f>
        <v>1</v>
      </c>
      <c r="C65" s="53">
        <f>SUMIFS(Gadget_Usage_Support!$I:$I,Gadget_Usage_Support!$A:$A,$A65)</f>
        <v>0.28678104720419595</v>
      </c>
      <c r="D65" cm="1">
        <f t="array" ref="D65">_xlfn.IFS(B65=0,1,AND(B65&gt;=2,C65&gt;=$E$2),0,AND(B65=1,C65&lt;$E$2),0.8,AND(B65=1,C65&gt;=$E$2),0.6,TRUE,0)</f>
        <v>0.8</v>
      </c>
    </row>
    <row r="66" spans="1:4" x14ac:dyDescent="0.25">
      <c r="A66" t="str">
        <v>etozhechase</v>
      </c>
      <c r="B66">
        <f>COUNTIFS(Gadget_Usage_Support!$A:$A,$A66,Gadget_Usage_Support!$J:$J,"1",Gadget_Usage_Support!$D:$D,"Gadget")</f>
        <v>2</v>
      </c>
      <c r="C66" s="53">
        <f>SUMIFS(Gadget_Usage_Support!$I:$I,Gadget_Usage_Support!$A:$A,$A66)</f>
        <v>0.67078895107420111</v>
      </c>
      <c r="D66" cm="1">
        <f t="array" ref="D66">_xlfn.IFS(B66=0,1,AND(B66&gt;=2,C66&gt;=$E$2),0,AND(B66=1,C66&lt;$E$2),0.8,AND(B66=1,C66&gt;=$E$2),0.6,TRUE,0)</f>
        <v>0</v>
      </c>
    </row>
    <row r="67" spans="1:4" x14ac:dyDescent="0.25">
      <c r="A67" t="str">
        <v>Buchanan008</v>
      </c>
      <c r="B67">
        <f>COUNTIFS(Gadget_Usage_Support!$A:$A,$A67,Gadget_Usage_Support!$J:$J,"1",Gadget_Usage_Support!$D:$D,"Gadget")</f>
        <v>1</v>
      </c>
      <c r="C67" s="53">
        <f>SUMIFS(Gadget_Usage_Support!$I:$I,Gadget_Usage_Support!$A:$A,$A67)</f>
        <v>0.31749816581071161</v>
      </c>
      <c r="D67" cm="1">
        <f t="array" ref="D67">_xlfn.IFS(B67=0,1,AND(B67&gt;=2,C67&gt;=$E$2),0,AND(B67=1,C67&lt;$E$2),0.8,AND(B67=1,C67&gt;=$E$2),0.6,TRUE,0)</f>
        <v>0.8</v>
      </c>
    </row>
    <row r="68" spans="1:4" x14ac:dyDescent="0.25">
      <c r="A68" t="str">
        <v>I-FriTuly-I</v>
      </c>
      <c r="B68">
        <f>COUNTIFS(Gadget_Usage_Support!$A:$A,$A68,Gadget_Usage_Support!$J:$J,"1",Gadget_Usage_Support!$D:$D,"Gadget")</f>
        <v>1</v>
      </c>
      <c r="C68" s="53">
        <f>SUMIFS(Gadget_Usage_Support!$I:$I,Gadget_Usage_Support!$A:$A,$A68)</f>
        <v>1.4045605001838912</v>
      </c>
      <c r="D68" cm="1">
        <f t="array" ref="D68">_xlfn.IFS(B68=0,1,AND(B68&gt;=2,C68&gt;=$E$2),0,AND(B68=1,C68&lt;$E$2),0.8,AND(B68=1,C68&gt;=$E$2),0.6,TRUE,0)</f>
        <v>0.6</v>
      </c>
    </row>
    <row r="69" spans="1:4" x14ac:dyDescent="0.25">
      <c r="A69" t="str">
        <v>A_S_H_L_E_Y__13</v>
      </c>
      <c r="B69">
        <f>COUNTIFS(Gadget_Usage_Support!$A:$A,$A69,Gadget_Usage_Support!$J:$J,"1",Gadget_Usage_Support!$D:$D,"Gadget")</f>
        <v>1</v>
      </c>
      <c r="C69" s="53">
        <f>SUMIFS(Gadget_Usage_Support!$I:$I,Gadget_Usage_Support!$A:$A,$A69)</f>
        <v>2.7572093023255815</v>
      </c>
      <c r="D69" cm="1">
        <f t="array" ref="D69">_xlfn.IFS(B69=0,1,AND(B69&gt;=2,C69&gt;=$E$2),0,AND(B69=1,C69&lt;$E$2),0.8,AND(B69=1,C69&gt;=$E$2),0.6,TRUE,0)</f>
        <v>0.6</v>
      </c>
    </row>
    <row r="70" spans="1:4" x14ac:dyDescent="0.25">
      <c r="A70" t="str">
        <v>AlpiMiami19</v>
      </c>
      <c r="B70">
        <f>COUNTIFS(Gadget_Usage_Support!$A:$A,$A70,Gadget_Usage_Support!$J:$J,"1",Gadget_Usage_Support!$D:$D,"Gadget")</f>
        <v>1</v>
      </c>
      <c r="C70" s="53">
        <f>SUMIFS(Gadget_Usage_Support!$I:$I,Gadget_Usage_Support!$A:$A,$A70)</f>
        <v>0.38502523836231073</v>
      </c>
      <c r="D70" cm="1">
        <f t="array" ref="D70">_xlfn.IFS(B70=0,1,AND(B70&gt;=2,C70&gt;=$E$2),0,AND(B70=1,C70&lt;$E$2),0.8,AND(B70=1,C70&gt;=$E$2),0.6,TRUE,0)</f>
        <v>0.8</v>
      </c>
    </row>
    <row r="71" spans="1:4" x14ac:dyDescent="0.25">
      <c r="A71" t="str">
        <v>xMirkax</v>
      </c>
      <c r="B71">
        <f>COUNTIFS(Gadget_Usage_Support!$A:$A,$A71,Gadget_Usage_Support!$J:$J,"1",Gadget_Usage_Support!$D:$D,"Gadget")</f>
        <v>1</v>
      </c>
      <c r="C71" s="53">
        <f>SUMIFS(Gadget_Usage_Support!$I:$I,Gadget_Usage_Support!$A:$A,$A71)</f>
        <v>0.51585246048048583</v>
      </c>
      <c r="D71" cm="1">
        <f t="array" ref="D71">_xlfn.IFS(B71=0,1,AND(B71&gt;=2,C71&gt;=$E$2),0,AND(B71=1,C71&lt;$E$2),0.8,AND(B71=1,C71&gt;=$E$2),0.6,TRUE,0)</f>
        <v>0.8</v>
      </c>
    </row>
    <row r="72" spans="1:4" x14ac:dyDescent="0.25">
      <c r="A72" t="str">
        <v>reme!</v>
      </c>
      <c r="B72">
        <f>COUNTIFS(Gadget_Usage_Support!$A:$A,$A72,Gadget_Usage_Support!$J:$J,"1",Gadget_Usage_Support!$D:$D,"Gadget")</f>
        <v>1</v>
      </c>
      <c r="C72" s="53">
        <f>SUMIFS(Gadget_Usage_Support!$I:$I,Gadget_Usage_Support!$A:$A,$A72)</f>
        <v>1.5742405602346927</v>
      </c>
      <c r="D72" cm="1">
        <f t="array" ref="D72">_xlfn.IFS(B72=0,1,AND(B72&gt;=2,C72&gt;=$E$2),0,AND(B72=1,C72&lt;$E$2),0.8,AND(B72=1,C72&gt;=$E$2),0.6,TRUE,0)</f>
        <v>0.6</v>
      </c>
    </row>
    <row r="73" spans="1:4" x14ac:dyDescent="0.25">
      <c r="A73" t="str">
        <v>Negima-2896</v>
      </c>
      <c r="B73">
        <f>COUNTIFS(Gadget_Usage_Support!$A:$A,$A73,Gadget_Usage_Support!$J:$J,"1",Gadget_Usage_Support!$D:$D,"Gadget")</f>
        <v>1</v>
      </c>
      <c r="C73" s="53">
        <f>SUMIFS(Gadget_Usage_Support!$I:$I,Gadget_Usage_Support!$A:$A,$A73)</f>
        <v>0.67643979057591619</v>
      </c>
      <c r="D73" cm="1">
        <f t="array" ref="D73">_xlfn.IFS(B73=0,1,AND(B73&gt;=2,C73&gt;=$E$2),0,AND(B73=1,C73&lt;$E$2),0.8,AND(B73=1,C73&gt;=$E$2),0.6,TRUE,0)</f>
        <v>0.8</v>
      </c>
    </row>
    <row r="74" spans="1:4" x14ac:dyDescent="0.25">
      <c r="A74" t="str">
        <v>XXXnqXXX</v>
      </c>
      <c r="B74">
        <f>COUNTIFS(Gadget_Usage_Support!$A:$A,$A74,Gadget_Usage_Support!$J:$J,"1",Gadget_Usage_Support!$D:$D,"Gadget")</f>
        <v>1</v>
      </c>
      <c r="C74" s="53">
        <f>SUMIFS(Gadget_Usage_Support!$I:$I,Gadget_Usage_Support!$A:$A,$A74)</f>
        <v>0.63482985416070914</v>
      </c>
      <c r="D74" cm="1">
        <f t="array" ref="D74">_xlfn.IFS(B74=0,1,AND(B74&gt;=2,C74&gt;=$E$2),0,AND(B74=1,C74&lt;$E$2),0.8,AND(B74=1,C74&gt;=$E$2),0.6,TRUE,0)</f>
        <v>0.8</v>
      </c>
    </row>
    <row r="75" spans="1:4" x14ac:dyDescent="0.25">
      <c r="A75" t="str">
        <v>HerrAutonom</v>
      </c>
      <c r="B75">
        <f>COUNTIFS(Gadget_Usage_Support!$A:$A,$A75,Gadget_Usage_Support!$J:$J,"1",Gadget_Usage_Support!$D:$D,"Gadget")</f>
        <v>0</v>
      </c>
      <c r="C75" s="53">
        <f>SUMIFS(Gadget_Usage_Support!$I:$I,Gadget_Usage_Support!$A:$A,$A75)</f>
        <v>0.18040046207162108</v>
      </c>
      <c r="D75" cm="1">
        <f t="array" ref="D75">_xlfn.IFS(B75=0,1,AND(B75&gt;=2,C75&gt;=$E$2),0,AND(B75=1,C75&lt;$E$2),0.8,AND(B75=1,C75&gt;=$E$2),0.6,TRUE,0)</f>
        <v>1</v>
      </c>
    </row>
    <row r="76" spans="1:4" x14ac:dyDescent="0.25">
      <c r="A76" t="str">
        <v>Enigmafication</v>
      </c>
      <c r="B76">
        <f>COUNTIFS(Gadget_Usage_Support!$A:$A,$A76,Gadget_Usage_Support!$J:$J,"1",Gadget_Usage_Support!$D:$D,"Gadget")</f>
        <v>1</v>
      </c>
      <c r="C76" s="53">
        <f>SUMIFS(Gadget_Usage_Support!$I:$I,Gadget_Usage_Support!$A:$A,$A76)</f>
        <v>0.47173360925594954</v>
      </c>
      <c r="D76" cm="1">
        <f t="array" ref="D76">_xlfn.IFS(B76=0,1,AND(B76&gt;=2,C76&gt;=$E$2),0,AND(B76=1,C76&lt;$E$2),0.8,AND(B76=1,C76&gt;=$E$2),0.6,TRUE,0)</f>
        <v>0.8</v>
      </c>
    </row>
    <row r="77" spans="1:4" x14ac:dyDescent="0.25">
      <c r="A77" t="str">
        <v>baLzaN</v>
      </c>
      <c r="B77">
        <f>COUNTIFS(Gadget_Usage_Support!$A:$A,$A77,Gadget_Usage_Support!$J:$J,"1",Gadget_Usage_Support!$D:$D,"Gadget")</f>
        <v>0</v>
      </c>
      <c r="C77" s="53">
        <f>SUMIFS(Gadget_Usage_Support!$I:$I,Gadget_Usage_Support!$A:$A,$A77)</f>
        <v>0.1582705663699501</v>
      </c>
      <c r="D77" cm="1">
        <f t="array" ref="D77">_xlfn.IFS(B77=0,1,AND(B77&gt;=2,C77&gt;=$E$2),0,AND(B77=1,C77&lt;$E$2),0.8,AND(B77=1,C77&gt;=$E$2),0.6,TRUE,0)</f>
        <v>1</v>
      </c>
    </row>
    <row r="78" spans="1:4" x14ac:dyDescent="0.25">
      <c r="A78" t="str">
        <v>Markkkkkkk</v>
      </c>
      <c r="B78">
        <f>COUNTIFS(Gadget_Usage_Support!$A:$A,$A78,Gadget_Usage_Support!$J:$J,"1",Gadget_Usage_Support!$D:$D,"Gadget")</f>
        <v>1</v>
      </c>
      <c r="C78" s="53">
        <f>SUMIFS(Gadget_Usage_Support!$I:$I,Gadget_Usage_Support!$A:$A,$A78)</f>
        <v>1.4132255551227113</v>
      </c>
      <c r="D78" cm="1">
        <f t="array" ref="D78">_xlfn.IFS(B78=0,1,AND(B78&gt;=2,C78&gt;=$E$2),0,AND(B78=1,C78&lt;$E$2),0.8,AND(B78=1,C78&gt;=$E$2),0.6,TRUE,0)</f>
        <v>0.6</v>
      </c>
    </row>
    <row r="79" spans="1:4" x14ac:dyDescent="0.25">
      <c r="A79" t="str">
        <v>ttvtntoftwie</v>
      </c>
      <c r="B79">
        <f>COUNTIFS(Gadget_Usage_Support!$A:$A,$A79,Gadget_Usage_Support!$J:$J,"1",Gadget_Usage_Support!$D:$D,"Gadget")</f>
        <v>0</v>
      </c>
      <c r="C79" s="53">
        <f>SUMIFS(Gadget_Usage_Support!$I:$I,Gadget_Usage_Support!$A:$A,$A79)</f>
        <v>0.49434801958166447</v>
      </c>
      <c r="D79" cm="1">
        <f t="array" ref="D79">_xlfn.IFS(B79=0,1,AND(B79&gt;=2,C79&gt;=$E$2),0,AND(B79=1,C79&lt;$E$2),0.8,AND(B79=1,C79&gt;=$E$2),0.6,TRUE,0)</f>
        <v>1</v>
      </c>
    </row>
    <row r="80" spans="1:4" x14ac:dyDescent="0.25">
      <c r="A80" t="str">
        <v>mazovenozo</v>
      </c>
      <c r="B80">
        <f>COUNTIFS(Gadget_Usage_Support!$A:$A,$A80,Gadget_Usage_Support!$J:$J,"1",Gadget_Usage_Support!$D:$D,"Gadget")</f>
        <v>1</v>
      </c>
      <c r="C80" s="53">
        <f>SUMIFS(Gadget_Usage_Support!$I:$I,Gadget_Usage_Support!$A:$A,$A80)</f>
        <v>0.63250168577208354</v>
      </c>
      <c r="D80" cm="1">
        <f t="array" ref="D80">_xlfn.IFS(B80=0,1,AND(B80&gt;=2,C80&gt;=$E$2),0,AND(B80=1,C80&lt;$E$2),0.8,AND(B80=1,C80&gt;=$E$2),0.6,TRUE,0)</f>
        <v>0.8</v>
      </c>
    </row>
    <row r="81" spans="1:4" x14ac:dyDescent="0.25">
      <c r="A81" t="str">
        <v>DaLaoJM_233</v>
      </c>
      <c r="B81">
        <f>COUNTIFS(Gadget_Usage_Support!$A:$A,$A81,Gadget_Usage_Support!$J:$J,"1",Gadget_Usage_Support!$D:$D,"Gadget")</f>
        <v>2</v>
      </c>
      <c r="C81" s="53">
        <f>SUMIFS(Gadget_Usage_Support!$I:$I,Gadget_Usage_Support!$A:$A,$A81)</f>
        <v>3.0441734959024584</v>
      </c>
      <c r="D81" cm="1">
        <f t="array" ref="D81">_xlfn.IFS(B81=0,1,AND(B81&gt;=2,C81&gt;=$E$2),0,AND(B81=1,C81&lt;$E$2),0.8,AND(B81=1,C81&gt;=$E$2),0.6,TRUE,0)</f>
        <v>0</v>
      </c>
    </row>
    <row r="82" spans="1:4" x14ac:dyDescent="0.25">
      <c r="A82" t="str">
        <v>Ptooey</v>
      </c>
      <c r="B82">
        <f>COUNTIFS(Gadget_Usage_Support!$A:$A,$A82,Gadget_Usage_Support!$J:$J,"1",Gadget_Usage_Support!$D:$D,"Gadget")</f>
        <v>2</v>
      </c>
      <c r="C82" s="53">
        <f>SUMIFS(Gadget_Usage_Support!$I:$I,Gadget_Usage_Support!$A:$A,$A82)</f>
        <v>1.1610314036319855</v>
      </c>
      <c r="D82" cm="1">
        <f t="array" ref="D82">_xlfn.IFS(B82=0,1,AND(B82&gt;=2,C82&gt;=$E$2),0,AND(B82=1,C82&lt;$E$2),0.8,AND(B82=1,C82&gt;=$E$2),0.6,TRUE,0)</f>
        <v>0</v>
      </c>
    </row>
    <row r="83" spans="1:4" x14ac:dyDescent="0.25">
      <c r="A83" t="str">
        <v>DarthR0b</v>
      </c>
      <c r="B83">
        <f>COUNTIFS(Gadget_Usage_Support!$A:$A,$A83,Gadget_Usage_Support!$J:$J,"1",Gadget_Usage_Support!$D:$D,"Gadget")</f>
        <v>2</v>
      </c>
      <c r="C83" s="53">
        <f>SUMIFS(Gadget_Usage_Support!$I:$I,Gadget_Usage_Support!$A:$A,$A83)</f>
        <v>0.57544319097502017</v>
      </c>
      <c r="D83" cm="1">
        <f t="array" ref="D83">_xlfn.IFS(B83=0,1,AND(B83&gt;=2,C83&gt;=$E$2),0,AND(B83=1,C83&lt;$E$2),0.8,AND(B83=1,C83&gt;=$E$2),0.6,TRUE,0)</f>
        <v>0</v>
      </c>
    </row>
    <row r="84" spans="1:4" x14ac:dyDescent="0.25">
      <c r="A84" t="str">
        <v>public_enemy_sa</v>
      </c>
      <c r="B84">
        <f>COUNTIFS(Gadget_Usage_Support!$A:$A,$A84,Gadget_Usage_Support!$J:$J,"1",Gadget_Usage_Support!$D:$D,"Gadget")</f>
        <v>1</v>
      </c>
      <c r="C84" s="53">
        <f>SUMIFS(Gadget_Usage_Support!$I:$I,Gadget_Usage_Support!$A:$A,$A84)</f>
        <v>0.54491706355723435</v>
      </c>
      <c r="D84" cm="1">
        <f t="array" ref="D84">_xlfn.IFS(B84=0,1,AND(B84&gt;=2,C84&gt;=$E$2),0,AND(B84=1,C84&lt;$E$2),0.8,AND(B84=1,C84&gt;=$E$2),0.6,TRUE,0)</f>
        <v>0.8</v>
      </c>
    </row>
    <row r="85" spans="1:4" x14ac:dyDescent="0.25">
      <c r="A85" t="str">
        <v>peanut17</v>
      </c>
      <c r="B85">
        <f>COUNTIFS(Gadget_Usage_Support!$A:$A,$A85,Gadget_Usage_Support!$J:$J,"1",Gadget_Usage_Support!$D:$D,"Gadget")</f>
        <v>1</v>
      </c>
      <c r="C85" s="53">
        <f>SUMIFS(Gadget_Usage_Support!$I:$I,Gadget_Usage_Support!$A:$A,$A85)</f>
        <v>1.0637157602223104</v>
      </c>
      <c r="D85" cm="1">
        <f t="array" ref="D85">_xlfn.IFS(B85=0,1,AND(B85&gt;=2,C85&gt;=$E$2),0,AND(B85=1,C85&lt;$E$2),0.8,AND(B85=1,C85&gt;=$E$2),0.6,TRUE,0)</f>
        <v>0.6</v>
      </c>
    </row>
    <row r="86" spans="1:4" x14ac:dyDescent="0.25">
      <c r="A86" t="str">
        <v>xKobra1</v>
      </c>
      <c r="B86">
        <f>COUNTIFS(Gadget_Usage_Support!$A:$A,$A86,Gadget_Usage_Support!$J:$J,"1",Gadget_Usage_Support!$D:$D,"Gadget")</f>
        <v>1</v>
      </c>
      <c r="C86" s="53">
        <f>SUMIFS(Gadget_Usage_Support!$I:$I,Gadget_Usage_Support!$A:$A,$A86)</f>
        <v>1.2367056431113372</v>
      </c>
      <c r="D86" cm="1">
        <f t="array" ref="D86">_xlfn.IFS(B86=0,1,AND(B86&gt;=2,C86&gt;=$E$2),0,AND(B86=1,C86&lt;$E$2),0.8,AND(B86=1,C86&gt;=$E$2),0.6,TRUE,0)</f>
        <v>0.6</v>
      </c>
    </row>
    <row r="87" spans="1:4" x14ac:dyDescent="0.25">
      <c r="A87" t="str">
        <v>BenRoberts24</v>
      </c>
      <c r="B87">
        <f>COUNTIFS(Gadget_Usage_Support!$A:$A,$A87,Gadget_Usage_Support!$J:$J,"1",Gadget_Usage_Support!$D:$D,"Gadget")</f>
        <v>1</v>
      </c>
      <c r="C87" s="53">
        <f>SUMIFS(Gadget_Usage_Support!$I:$I,Gadget_Usage_Support!$A:$A,$A87)</f>
        <v>1.5000966370313105</v>
      </c>
      <c r="D87" cm="1">
        <f t="array" ref="D87">_xlfn.IFS(B87=0,1,AND(B87&gt;=2,C87&gt;=$E$2),0,AND(B87=1,C87&lt;$E$2),0.8,AND(B87=1,C87&gt;=$E$2),0.6,TRUE,0)</f>
        <v>0.6</v>
      </c>
    </row>
    <row r="88" spans="1:4" x14ac:dyDescent="0.25">
      <c r="A88" t="str">
        <v>SmokeyPac</v>
      </c>
    </row>
    <row r="89" spans="1:4" x14ac:dyDescent="0.25">
      <c r="A89" t="str">
        <v>Sceptos-Tamai</v>
      </c>
    </row>
    <row r="90" spans="1:4" x14ac:dyDescent="0.25">
      <c r="A90" t="str">
        <v>NikitaTopStrelok</v>
      </c>
    </row>
    <row r="91" spans="1:4" x14ac:dyDescent="0.25">
      <c r="A91" t="str">
        <v>LegendaryChampion</v>
      </c>
    </row>
    <row r="92" spans="1:4" x14ac:dyDescent="0.25">
      <c r="A92" t="str">
        <v>THiRDEYEAiM</v>
      </c>
    </row>
    <row r="93" spans="1:4" x14ac:dyDescent="0.25">
      <c r="A93" t="str">
        <v>trinity</v>
      </c>
    </row>
    <row r="94" spans="1:4" x14ac:dyDescent="0.25">
      <c r="A94" t="str">
        <v>DieselChad</v>
      </c>
    </row>
    <row r="95" spans="1:4" x14ac:dyDescent="0.25">
      <c r="A95" t="str">
        <v>偷屁眼儿</v>
      </c>
    </row>
    <row r="96" spans="1:4" x14ac:dyDescent="0.25">
      <c r="A96" t="str">
        <v>x8_PRIMETlME_8x</v>
      </c>
    </row>
    <row r="97" spans="1:1" x14ac:dyDescent="0.25">
      <c r="A97" t="str">
        <v>Pisu_RGB_Defib</v>
      </c>
    </row>
    <row r="98" spans="1:1" x14ac:dyDescent="0.25">
      <c r="A98" t="str">
        <v>SKOWZER</v>
      </c>
    </row>
    <row r="99" spans="1:1" x14ac:dyDescent="0.25">
      <c r="A99" t="str">
        <v>DasBomsom</v>
      </c>
    </row>
    <row r="100" spans="1:1" x14ac:dyDescent="0.25">
      <c r="A100" t="str">
        <v>TheVAG4BOND</v>
      </c>
    </row>
    <row r="101" spans="1:1" x14ac:dyDescent="0.25">
      <c r="A101" t="str">
        <v>sF-S1D656TTV</v>
      </c>
    </row>
    <row r="102" spans="1:1" x14ac:dyDescent="0.25">
      <c r="A102">
        <v>0</v>
      </c>
    </row>
  </sheetData>
  <conditionalFormatting sqref="A1:D1">
    <cfRule type="expression" dxfId="7" priority="1">
      <formula>MOD(ROW()-8,7)=0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88B2-AE54-46E5-97DC-6C4138568C3A}">
  <dimension ref="A1:E102"/>
  <sheetViews>
    <sheetView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6" bestFit="1" customWidth="1"/>
    <col min="2" max="2" width="30.7109375" bestFit="1" customWidth="1"/>
    <col min="3" max="3" width="31.28515625" customWidth="1"/>
    <col min="4" max="4" width="19.5703125" customWidth="1"/>
    <col min="5" max="5" width="18.85546875" customWidth="1"/>
  </cols>
  <sheetData>
    <row r="1" spans="1:5" ht="15.75" thickBot="1" x14ac:dyDescent="0.3">
      <c r="A1" s="9" t="s">
        <v>0</v>
      </c>
      <c r="B1" s="9" t="s">
        <v>194</v>
      </c>
      <c r="C1" s="9" t="s">
        <v>195</v>
      </c>
      <c r="D1" s="11" t="s">
        <v>196</v>
      </c>
      <c r="E1" s="9" t="s">
        <v>243</v>
      </c>
    </row>
    <row r="2" spans="1:5" x14ac:dyDescent="0.25">
      <c r="A2" t="str" cm="1">
        <f t="array" ref="A2:A102">_xlfn.UNIQUE(Gadget_Usage_Engineer!$A$2:$A$10000)</f>
        <v>gym-imperator-ju</v>
      </c>
      <c r="B2">
        <f>COUNTIFS(Gadget_Usage_Engineer!$A:$A,$A2,Gadget_Usage_Engineer!$J:$J,"1",Gadget_Usage_Engineer!$D:$D,"Gadget")</f>
        <v>2</v>
      </c>
      <c r="C2" s="53">
        <f>SUMIFS(Gadget_Usage_Engineer!$I:$I,Gadget_Usage_Engineer!$A:$A,$A2)</f>
        <v>0.6362381522039201</v>
      </c>
      <c r="D2" cm="1">
        <f t="array" ref="D2">_xlfn.IFS(B2=0,1,AND(B2&gt;=2,C2&gt;=$E$2),0,AND(B2=1,C2&lt;$E$2),0.8,AND(B2=1,C2&gt;=$E$2),0.6,TRUE,0)</f>
        <v>0</v>
      </c>
      <c r="E2" s="53" cm="1">
        <f t="array" ref="E2">_xlfn.PERCENTILE.INC(_xlfn._xlws.FILTER($C$2:$C$9999,($C$2:$C$9999&gt;0)*($B$2:$B$9999&gt;0)),0.4)</f>
        <v>0.84441541967664258</v>
      </c>
    </row>
    <row r="3" spans="1:5" x14ac:dyDescent="0.25">
      <c r="A3" t="str">
        <v>Samyt4040</v>
      </c>
      <c r="B3">
        <f>COUNTIFS(Gadget_Usage_Engineer!$A:$A,$A3,Gadget_Usage_Engineer!$J:$J,"1",Gadget_Usage_Engineer!$D:$D,"Gadget")</f>
        <v>0</v>
      </c>
      <c r="C3" s="53">
        <f>SUMIFS(Gadget_Usage_Engineer!$I:$I,Gadget_Usage_Engineer!$A:$A,$A3)</f>
        <v>8.9603987214908726E-2</v>
      </c>
      <c r="D3" cm="1">
        <f t="array" ref="D3">_xlfn.IFS(B3=0,1,AND(B3&gt;=2,C3&gt;=$E$2),0,AND(B3=1,C3&lt;$E$2),0.8,AND(B3=1,C3&gt;=$E$2),0.6,TRUE,0)</f>
        <v>1</v>
      </c>
    </row>
    <row r="4" spans="1:5" x14ac:dyDescent="0.25">
      <c r="A4" t="str">
        <v>Dc-Duck</v>
      </c>
      <c r="B4">
        <f>COUNTIFS(Gadget_Usage_Engineer!$A:$A,$A4,Gadget_Usage_Engineer!$J:$J,"1",Gadget_Usage_Engineer!$D:$D,"Gadget")</f>
        <v>2</v>
      </c>
      <c r="C4" s="53">
        <f>SUMIFS(Gadget_Usage_Engineer!$I:$I,Gadget_Usage_Engineer!$A:$A,$A4)</f>
        <v>1.2779345541879314</v>
      </c>
      <c r="D4" cm="1">
        <f t="array" ref="D4">_xlfn.IFS(B4=0,1,AND(B4&gt;=2,C4&gt;=$E$2),0,AND(B4=1,C4&lt;$E$2),0.8,AND(B4=1,C4&gt;=$E$2),0.6,TRUE,0)</f>
        <v>0</v>
      </c>
    </row>
    <row r="5" spans="1:5" x14ac:dyDescent="0.25">
      <c r="A5" t="str">
        <v>BIGBaNANaBender</v>
      </c>
      <c r="B5">
        <f>COUNTIFS(Gadget_Usage_Engineer!$A:$A,$A5,Gadget_Usage_Engineer!$J:$J,"1",Gadget_Usage_Engineer!$D:$D,"Gadget")</f>
        <v>2</v>
      </c>
      <c r="C5" s="53">
        <f>SUMIFS(Gadget_Usage_Engineer!$I:$I,Gadget_Usage_Engineer!$A:$A,$A5)</f>
        <v>1.5342300615443183</v>
      </c>
      <c r="D5" cm="1">
        <f t="array" ref="D5">_xlfn.IFS(B5=0,1,AND(B5&gt;=2,C5&gt;=$E$2),0,AND(B5=1,C5&lt;$E$2),0.8,AND(B5=1,C5&gt;=$E$2),0.6,TRUE,0)</f>
        <v>0</v>
      </c>
    </row>
    <row r="6" spans="1:5" x14ac:dyDescent="0.25">
      <c r="A6" t="str">
        <v>tangsifuuu</v>
      </c>
      <c r="B6">
        <f>COUNTIFS(Gadget_Usage_Engineer!$A:$A,$A6,Gadget_Usage_Engineer!$J:$J,"1",Gadget_Usage_Engineer!$D:$D,"Gadget")</f>
        <v>2</v>
      </c>
      <c r="C6" s="53">
        <f>SUMIFS(Gadget_Usage_Engineer!$I:$I,Gadget_Usage_Engineer!$A:$A,$A6)</f>
        <v>0.88006076216894524</v>
      </c>
      <c r="D6" cm="1">
        <f t="array" ref="D6">_xlfn.IFS(B6=0,1,AND(B6&gt;=2,C6&gt;=$E$2),0,AND(B6=1,C6&lt;$E$2),0.8,AND(B6=1,C6&gt;=$E$2),0.6,TRUE,0)</f>
        <v>0</v>
      </c>
    </row>
    <row r="7" spans="1:5" x14ac:dyDescent="0.25">
      <c r="A7" t="str">
        <v>|bulletproof64</v>
      </c>
      <c r="B7">
        <f>COUNTIFS(Gadget_Usage_Engineer!$A:$A,$A7,Gadget_Usage_Engineer!$J:$J,"1",Gadget_Usage_Engineer!$D:$D,"Gadget")</f>
        <v>1</v>
      </c>
      <c r="C7" s="53">
        <f>SUMIFS(Gadget_Usage_Engineer!$I:$I,Gadget_Usage_Engineer!$A:$A,$A7)</f>
        <v>0.98546801538680728</v>
      </c>
      <c r="D7" cm="1">
        <f t="array" ref="D7">_xlfn.IFS(B7=0,1,AND(B7&gt;=2,C7&gt;=$E$2),0,AND(B7=1,C7&lt;$E$2),0.8,AND(B7=1,C7&gt;=$E$2),0.6,TRUE,0)</f>
        <v>0.6</v>
      </c>
    </row>
    <row r="8" spans="1:5" x14ac:dyDescent="0.25">
      <c r="A8" t="str">
        <v>SilverBullet479</v>
      </c>
      <c r="B8">
        <f>COUNTIFS(Gadget_Usage_Engineer!$A:$A,$A8,Gadget_Usage_Engineer!$J:$J,"1",Gadget_Usage_Engineer!$D:$D,"Gadget")</f>
        <v>1</v>
      </c>
      <c r="C8" s="53">
        <f>SUMIFS(Gadget_Usage_Engineer!$I:$I,Gadget_Usage_Engineer!$A:$A,$A8)</f>
        <v>0.43889537679466928</v>
      </c>
      <c r="D8" cm="1">
        <f t="array" ref="D8">_xlfn.IFS(B8=0,1,AND(B8&gt;=2,C8&gt;=$E$2),0,AND(B8=1,C8&lt;$E$2),0.8,AND(B8=1,C8&gt;=$E$2),0.6,TRUE,0)</f>
        <v>0.8</v>
      </c>
    </row>
    <row r="9" spans="1:5" x14ac:dyDescent="0.25">
      <c r="A9" t="str">
        <v>Formerly_AL</v>
      </c>
      <c r="B9">
        <f>COUNTIFS(Gadget_Usage_Engineer!$A:$A,$A9,Gadget_Usage_Engineer!$J:$J,"1",Gadget_Usage_Engineer!$D:$D,"Gadget")</f>
        <v>2</v>
      </c>
      <c r="C9" s="53">
        <f>SUMIFS(Gadget_Usage_Engineer!$I:$I,Gadget_Usage_Engineer!$A:$A,$A9)</f>
        <v>1.4138135907909397</v>
      </c>
      <c r="D9" cm="1">
        <f t="array" ref="D9">_xlfn.IFS(B9=0,1,AND(B9&gt;=2,C9&gt;=$E$2),0,AND(B9=1,C9&lt;$E$2),0.8,AND(B9=1,C9&gt;=$E$2),0.6,TRUE,0)</f>
        <v>0</v>
      </c>
    </row>
    <row r="10" spans="1:5" x14ac:dyDescent="0.25">
      <c r="A10" t="str">
        <v>OleksandrEighty9</v>
      </c>
      <c r="B10">
        <f>COUNTIFS(Gadget_Usage_Engineer!$A:$A,$A10,Gadget_Usage_Engineer!$J:$J,"1",Gadget_Usage_Engineer!$D:$D,"Gadget")</f>
        <v>2</v>
      </c>
      <c r="C10" s="53">
        <f>SUMIFS(Gadget_Usage_Engineer!$I:$I,Gadget_Usage_Engineer!$A:$A,$A10)</f>
        <v>1.0128803856583308</v>
      </c>
      <c r="D10" cm="1">
        <f t="array" ref="D10">_xlfn.IFS(B10=0,1,AND(B10&gt;=2,C10&gt;=$E$2),0,AND(B10=1,C10&lt;$E$2),0.8,AND(B10=1,C10&gt;=$E$2),0.6,TRUE,0)</f>
        <v>0</v>
      </c>
    </row>
    <row r="11" spans="1:5" x14ac:dyDescent="0.25">
      <c r="A11" t="str">
        <v>CubanMafia</v>
      </c>
      <c r="B11">
        <f>COUNTIFS(Gadget_Usage_Engineer!$A:$A,$A11,Gadget_Usage_Engineer!$J:$J,"1",Gadget_Usage_Engineer!$D:$D,"Gadget")</f>
        <v>2</v>
      </c>
      <c r="C11" s="53">
        <f>SUMIFS(Gadget_Usage_Engineer!$I:$I,Gadget_Usage_Engineer!$A:$A,$A11)</f>
        <v>0.87981364198878931</v>
      </c>
      <c r="D11" cm="1">
        <f t="array" ref="D11">_xlfn.IFS(B11=0,1,AND(B11&gt;=2,C11&gt;=$E$2),0,AND(B11=1,C11&lt;$E$2),0.8,AND(B11=1,C11&gt;=$E$2),0.6,TRUE,0)</f>
        <v>0</v>
      </c>
    </row>
    <row r="12" spans="1:5" x14ac:dyDescent="0.25">
      <c r="A12" t="str">
        <v>NooterzXD</v>
      </c>
      <c r="B12">
        <f>COUNTIFS(Gadget_Usage_Engineer!$A:$A,$A12,Gadget_Usage_Engineer!$J:$J,"1",Gadget_Usage_Engineer!$D:$D,"Gadget")</f>
        <v>1</v>
      </c>
      <c r="C12" s="53">
        <f>SUMIFS(Gadget_Usage_Engineer!$I:$I,Gadget_Usage_Engineer!$A:$A,$A12)</f>
        <v>0.99262687269589778</v>
      </c>
      <c r="D12" cm="1">
        <f t="array" ref="D12">_xlfn.IFS(B12=0,1,AND(B12&gt;=2,C12&gt;=$E$2),0,AND(B12=1,C12&lt;$E$2),0.8,AND(B12=1,C12&gt;=$E$2),0.6,TRUE,0)</f>
        <v>0.6</v>
      </c>
    </row>
    <row r="13" spans="1:5" x14ac:dyDescent="0.25">
      <c r="A13" t="str">
        <v>ylari</v>
      </c>
      <c r="B13">
        <f>COUNTIFS(Gadget_Usage_Engineer!$A:$A,$A13,Gadget_Usage_Engineer!$J:$J,"1",Gadget_Usage_Engineer!$D:$D,"Gadget")</f>
        <v>0</v>
      </c>
      <c r="C13" s="53">
        <f>SUMIFS(Gadget_Usage_Engineer!$I:$I,Gadget_Usage_Engineer!$A:$A,$A13)</f>
        <v>0.17843033974190148</v>
      </c>
      <c r="D13" cm="1">
        <f t="array" ref="D13">_xlfn.IFS(B13=0,1,AND(B13&gt;=2,C13&gt;=$E$2),0,AND(B13=1,C13&lt;$E$2),0.8,AND(B13=1,C13&gt;=$E$2),0.6,TRUE,0)</f>
        <v>1</v>
      </c>
    </row>
    <row r="14" spans="1:5" x14ac:dyDescent="0.25">
      <c r="A14" t="str">
        <v>ShamRkn</v>
      </c>
      <c r="B14">
        <f>COUNTIFS(Gadget_Usage_Engineer!$A:$A,$A14,Gadget_Usage_Engineer!$J:$J,"1",Gadget_Usage_Engineer!$D:$D,"Gadget")</f>
        <v>2</v>
      </c>
      <c r="C14" s="53">
        <f>SUMIFS(Gadget_Usage_Engineer!$I:$I,Gadget_Usage_Engineer!$A:$A,$A14)</f>
        <v>0.49109394062627082</v>
      </c>
      <c r="D14" cm="1">
        <f t="array" ref="D14">_xlfn.IFS(B14=0,1,AND(B14&gt;=2,C14&gt;=$E$2),0,AND(B14=1,C14&lt;$E$2),0.8,AND(B14=1,C14&gt;=$E$2),0.6,TRUE,0)</f>
        <v>0</v>
      </c>
    </row>
    <row r="15" spans="1:5" x14ac:dyDescent="0.25">
      <c r="A15" t="str">
        <v>xzvirus600</v>
      </c>
      <c r="B15">
        <f>COUNTIFS(Gadget_Usage_Engineer!$A:$A,$A15,Gadget_Usage_Engineer!$J:$J,"1",Gadget_Usage_Engineer!$D:$D,"Gadget")</f>
        <v>2</v>
      </c>
      <c r="C15" s="53">
        <f>SUMIFS(Gadget_Usage_Engineer!$I:$I,Gadget_Usage_Engineer!$A:$A,$A15)</f>
        <v>0.59553309422888823</v>
      </c>
      <c r="D15" cm="1">
        <f t="array" ref="D15">_xlfn.IFS(B15=0,1,AND(B15&gt;=2,C15&gt;=$E$2),0,AND(B15=1,C15&lt;$E$2),0.8,AND(B15=1,C15&gt;=$E$2),0.6,TRUE,0)</f>
        <v>0</v>
      </c>
    </row>
    <row r="16" spans="1:5" x14ac:dyDescent="0.25">
      <c r="A16" t="str">
        <v>OdinJens-Junior-</v>
      </c>
      <c r="B16">
        <f>COUNTIFS(Gadget_Usage_Engineer!$A:$A,$A16,Gadget_Usage_Engineer!$J:$J,"1",Gadget_Usage_Engineer!$D:$D,"Gadget")</f>
        <v>3</v>
      </c>
      <c r="C16" s="53">
        <f>SUMIFS(Gadget_Usage_Engineer!$I:$I,Gadget_Usage_Engineer!$A:$A,$A16)</f>
        <v>0.76567265333785151</v>
      </c>
      <c r="D16" cm="1">
        <f t="array" ref="D16">_xlfn.IFS(B16=0,1,AND(B16&gt;=2,C16&gt;=$E$2),0,AND(B16=1,C16&lt;$E$2),0.8,AND(B16=1,C16&gt;=$E$2),0.6,TRUE,0)</f>
        <v>0</v>
      </c>
    </row>
    <row r="17" spans="1:4" x14ac:dyDescent="0.25">
      <c r="A17" t="str">
        <v>EBV_LiptoN</v>
      </c>
      <c r="B17">
        <f>COUNTIFS(Gadget_Usage_Engineer!$A:$A,$A17,Gadget_Usage_Engineer!$J:$J,"1",Gadget_Usage_Engineer!$D:$D,"Gadget")</f>
        <v>1</v>
      </c>
      <c r="C17" s="53">
        <f>SUMIFS(Gadget_Usage_Engineer!$I:$I,Gadget_Usage_Engineer!$A:$A,$A17)</f>
        <v>0.46786389413988666</v>
      </c>
      <c r="D17" cm="1">
        <f t="array" ref="D17">_xlfn.IFS(B17=0,1,AND(B17&gt;=2,C17&gt;=$E$2),0,AND(B17=1,C17&lt;$E$2),0.8,AND(B17=1,C17&gt;=$E$2),0.6,TRUE,0)</f>
        <v>0.8</v>
      </c>
    </row>
    <row r="18" spans="1:4" x14ac:dyDescent="0.25">
      <c r="A18" t="str">
        <v>Robertois</v>
      </c>
      <c r="B18">
        <f>COUNTIFS(Gadget_Usage_Engineer!$A:$A,$A18,Gadget_Usage_Engineer!$J:$J,"1",Gadget_Usage_Engineer!$D:$D,"Gadget")</f>
        <v>1</v>
      </c>
      <c r="C18" s="53">
        <f>SUMIFS(Gadget_Usage_Engineer!$I:$I,Gadget_Usage_Engineer!$A:$A,$A18)</f>
        <v>0.30745803527161986</v>
      </c>
      <c r="D18" cm="1">
        <f t="array" ref="D18">_xlfn.IFS(B18=0,1,AND(B18&gt;=2,C18&gt;=$E$2),0,AND(B18=1,C18&lt;$E$2),0.8,AND(B18=1,C18&gt;=$E$2),0.6,TRUE,0)</f>
        <v>0.8</v>
      </c>
    </row>
    <row r="19" spans="1:4" x14ac:dyDescent="0.25">
      <c r="A19" t="str">
        <v>SrMuTe-</v>
      </c>
      <c r="B19">
        <f>COUNTIFS(Gadget_Usage_Engineer!$A:$A,$A19,Gadget_Usage_Engineer!$J:$J,"1",Gadget_Usage_Engineer!$D:$D,"Gadget")</f>
        <v>1</v>
      </c>
      <c r="C19" s="53">
        <f>SUMIFS(Gadget_Usage_Engineer!$I:$I,Gadget_Usage_Engineer!$A:$A,$A19)</f>
        <v>1.3666839724097013</v>
      </c>
      <c r="D19" cm="1">
        <f t="array" ref="D19">_xlfn.IFS(B19=0,1,AND(B19&gt;=2,C19&gt;=$E$2),0,AND(B19=1,C19&lt;$E$2),0.8,AND(B19=1,C19&gt;=$E$2),0.6,TRUE,0)</f>
        <v>0.6</v>
      </c>
    </row>
    <row r="20" spans="1:4" x14ac:dyDescent="0.25">
      <c r="A20" t="str">
        <v>Ricardo Milos</v>
      </c>
      <c r="B20">
        <f>COUNTIFS(Gadget_Usage_Engineer!$A:$A,$A20,Gadget_Usage_Engineer!$J:$J,"1",Gadget_Usage_Engineer!$D:$D,"Gadget")</f>
        <v>1</v>
      </c>
      <c r="C20" s="53">
        <f>SUMIFS(Gadget_Usage_Engineer!$I:$I,Gadget_Usage_Engineer!$A:$A,$A20)</f>
        <v>0.57402826855123668</v>
      </c>
      <c r="D20" cm="1">
        <f t="array" ref="D20">_xlfn.IFS(B20=0,1,AND(B20&gt;=2,C20&gt;=$E$2),0,AND(B20=1,C20&lt;$E$2),0.8,AND(B20=1,C20&gt;=$E$2),0.6,TRUE,0)</f>
        <v>0.8</v>
      </c>
    </row>
    <row r="21" spans="1:4" x14ac:dyDescent="0.25">
      <c r="A21" t="str">
        <v>Sphinx</v>
      </c>
      <c r="B21">
        <f>COUNTIFS(Gadget_Usage_Engineer!$A:$A,$A21,Gadget_Usage_Engineer!$J:$J,"1",Gadget_Usage_Engineer!$D:$D,"Gadget")</f>
        <v>2</v>
      </c>
      <c r="C21" s="53">
        <f>SUMIFS(Gadget_Usage_Engineer!$I:$I,Gadget_Usage_Engineer!$A:$A,$A21)</f>
        <v>0.7950672261711057</v>
      </c>
      <c r="D21" cm="1">
        <f t="array" ref="D21">_xlfn.IFS(B21=0,1,AND(B21&gt;=2,C21&gt;=$E$2),0,AND(B21=1,C21&lt;$E$2),0.8,AND(B21=1,C21&gt;=$E$2),0.6,TRUE,0)</f>
        <v>0</v>
      </c>
    </row>
    <row r="22" spans="1:4" x14ac:dyDescent="0.25">
      <c r="A22" t="str">
        <v>xCOMK-E-Streetx</v>
      </c>
      <c r="B22">
        <f>COUNTIFS(Gadget_Usage_Engineer!$A:$A,$A22,Gadget_Usage_Engineer!$J:$J,"1",Gadget_Usage_Engineer!$D:$D,"Gadget")</f>
        <v>2</v>
      </c>
      <c r="C22" s="53">
        <f>SUMIFS(Gadget_Usage_Engineer!$I:$I,Gadget_Usage_Engineer!$A:$A,$A22)</f>
        <v>0.63961186179377882</v>
      </c>
      <c r="D22" cm="1">
        <f t="array" ref="D22">_xlfn.IFS(B22=0,1,AND(B22&gt;=2,C22&gt;=$E$2),0,AND(B22=1,C22&lt;$E$2),0.8,AND(B22=1,C22&gt;=$E$2),0.6,TRUE,0)</f>
        <v>0</v>
      </c>
    </row>
    <row r="23" spans="1:4" x14ac:dyDescent="0.25">
      <c r="A23" t="str">
        <v>L_uka</v>
      </c>
      <c r="B23">
        <f>COUNTIFS(Gadget_Usage_Engineer!$A:$A,$A23,Gadget_Usage_Engineer!$J:$J,"1",Gadget_Usage_Engineer!$D:$D,"Gadget")</f>
        <v>2</v>
      </c>
      <c r="C23" s="53">
        <f>SUMIFS(Gadget_Usage_Engineer!$I:$I,Gadget_Usage_Engineer!$A:$A,$A23)</f>
        <v>1.2404380652119806</v>
      </c>
      <c r="D23" cm="1">
        <f t="array" ref="D23">_xlfn.IFS(B23=0,1,AND(B23&gt;=2,C23&gt;=$E$2),0,AND(B23=1,C23&lt;$E$2),0.8,AND(B23=1,C23&gt;=$E$2),0.6,TRUE,0)</f>
        <v>0</v>
      </c>
    </row>
    <row r="24" spans="1:4" x14ac:dyDescent="0.25">
      <c r="A24" t="str">
        <v>Korben__Dallas1</v>
      </c>
      <c r="B24">
        <f>COUNTIFS(Gadget_Usage_Engineer!$A:$A,$A24,Gadget_Usage_Engineer!$J:$J,"1",Gadget_Usage_Engineer!$D:$D,"Gadget")</f>
        <v>3</v>
      </c>
      <c r="C24" s="53">
        <f>SUMIFS(Gadget_Usage_Engineer!$I:$I,Gadget_Usage_Engineer!$A:$A,$A24)</f>
        <v>0.79846253588959903</v>
      </c>
      <c r="D24" cm="1">
        <f t="array" ref="D24">_xlfn.IFS(B24=0,1,AND(B24&gt;=2,C24&gt;=$E$2),0,AND(B24=1,C24&lt;$E$2),0.8,AND(B24=1,C24&gt;=$E$2),0.6,TRUE,0)</f>
        <v>0</v>
      </c>
    </row>
    <row r="25" spans="1:4" x14ac:dyDescent="0.25">
      <c r="A25" t="str">
        <v>FartOnCopz</v>
      </c>
      <c r="B25">
        <f>COUNTIFS(Gadget_Usage_Engineer!$A:$A,$A25,Gadget_Usage_Engineer!$J:$J,"1",Gadget_Usage_Engineer!$D:$D,"Gadget")</f>
        <v>1</v>
      </c>
      <c r="C25" s="53">
        <f>SUMIFS(Gadget_Usage_Engineer!$I:$I,Gadget_Usage_Engineer!$A:$A,$A25)</f>
        <v>0.84838589289046473</v>
      </c>
      <c r="D25" cm="1">
        <f t="array" ref="D25">_xlfn.IFS(B25=0,1,AND(B25&gt;=2,C25&gt;=$E$2),0,AND(B25=1,C25&lt;$E$2),0.8,AND(B25=1,C25&gt;=$E$2),0.6,TRUE,0)</f>
        <v>0.6</v>
      </c>
    </row>
    <row r="26" spans="1:4" x14ac:dyDescent="0.25">
      <c r="A26" t="str">
        <v>shabiru</v>
      </c>
      <c r="B26">
        <f>COUNTIFS(Gadget_Usage_Engineer!$A:$A,$A26,Gadget_Usage_Engineer!$J:$J,"1",Gadget_Usage_Engineer!$D:$D,"Gadget")</f>
        <v>2</v>
      </c>
      <c r="C26" s="53">
        <f>SUMIFS(Gadget_Usage_Engineer!$I:$I,Gadget_Usage_Engineer!$A:$A,$A26)</f>
        <v>1.3512177256912654</v>
      </c>
      <c r="D26" cm="1">
        <f t="array" ref="D26">_xlfn.IFS(B26=0,1,AND(B26&gt;=2,C26&gt;=$E$2),0,AND(B26=1,C26&lt;$E$2),0.8,AND(B26=1,C26&gt;=$E$2),0.6,TRUE,0)</f>
        <v>0</v>
      </c>
    </row>
    <row r="27" spans="1:4" x14ac:dyDescent="0.25">
      <c r="A27" t="str">
        <v>drchacal78</v>
      </c>
      <c r="B27">
        <f>COUNTIFS(Gadget_Usage_Engineer!$A:$A,$A27,Gadget_Usage_Engineer!$J:$J,"1",Gadget_Usage_Engineer!$D:$D,"Gadget")</f>
        <v>2</v>
      </c>
      <c r="C27" s="53">
        <f>SUMIFS(Gadget_Usage_Engineer!$I:$I,Gadget_Usage_Engineer!$A:$A,$A27)</f>
        <v>0.42325135182278029</v>
      </c>
      <c r="D27" cm="1">
        <f t="array" ref="D27">_xlfn.IFS(B27=0,1,AND(B27&gt;=2,C27&gt;=$E$2),0,AND(B27=1,C27&lt;$E$2),0.8,AND(B27=1,C27&gt;=$E$2),0.6,TRUE,0)</f>
        <v>0</v>
      </c>
    </row>
    <row r="28" spans="1:4" x14ac:dyDescent="0.25">
      <c r="A28" t="str">
        <v>RTuesdays-YT</v>
      </c>
      <c r="B28">
        <f>COUNTIFS(Gadget_Usage_Engineer!$A:$A,$A28,Gadget_Usage_Engineer!$J:$J,"1",Gadget_Usage_Engineer!$D:$D,"Gadget")</f>
        <v>3</v>
      </c>
      <c r="C28" s="53">
        <f>SUMIFS(Gadget_Usage_Engineer!$I:$I,Gadget_Usage_Engineer!$A:$A,$A28)</f>
        <v>0.82532347504621073</v>
      </c>
      <c r="D28" cm="1">
        <f t="array" ref="D28">_xlfn.IFS(B28=0,1,AND(B28&gt;=2,C28&gt;=$E$2),0,AND(B28=1,C28&lt;$E$2),0.8,AND(B28=1,C28&gt;=$E$2),0.6,TRUE,0)</f>
        <v>0</v>
      </c>
    </row>
    <row r="29" spans="1:4" x14ac:dyDescent="0.25">
      <c r="A29" t="str">
        <v>OndrejPCR</v>
      </c>
      <c r="B29">
        <f>COUNTIFS(Gadget_Usage_Engineer!$A:$A,$A29,Gadget_Usage_Engineer!$J:$J,"1",Gadget_Usage_Engineer!$D:$D,"Gadget")</f>
        <v>1</v>
      </c>
      <c r="C29" s="53">
        <f>SUMIFS(Gadget_Usage_Engineer!$I:$I,Gadget_Usage_Engineer!$A:$A,$A29)</f>
        <v>1.4988719684151157</v>
      </c>
      <c r="D29" cm="1">
        <f t="array" ref="D29">_xlfn.IFS(B29=0,1,AND(B29&gt;=2,C29&gt;=$E$2),0,AND(B29=1,C29&lt;$E$2),0.8,AND(B29=1,C29&gt;=$E$2),0.6,TRUE,0)</f>
        <v>0.6</v>
      </c>
    </row>
    <row r="30" spans="1:4" x14ac:dyDescent="0.25">
      <c r="A30" t="str">
        <v>giorgi92</v>
      </c>
      <c r="B30">
        <f>COUNTIFS(Gadget_Usage_Engineer!$A:$A,$A30,Gadget_Usage_Engineer!$J:$J,"1",Gadget_Usage_Engineer!$D:$D,"Gadget")</f>
        <v>2</v>
      </c>
      <c r="C30" s="53">
        <f>SUMIFS(Gadget_Usage_Engineer!$I:$I,Gadget_Usage_Engineer!$A:$A,$A30)</f>
        <v>0.84028223220012832</v>
      </c>
      <c r="D30" cm="1">
        <f t="array" ref="D30">_xlfn.IFS(B30=0,1,AND(B30&gt;=2,C30&gt;=$E$2),0,AND(B30=1,C30&lt;$E$2),0.8,AND(B30=1,C30&gt;=$E$2),0.6,TRUE,0)</f>
        <v>0</v>
      </c>
    </row>
    <row r="31" spans="1:4" x14ac:dyDescent="0.25">
      <c r="A31" t="str">
        <v>bbisTyLeZ</v>
      </c>
      <c r="B31">
        <f>COUNTIFS(Gadget_Usage_Engineer!$A:$A,$A31,Gadget_Usage_Engineer!$J:$J,"1",Gadget_Usage_Engineer!$D:$D,"Gadget")</f>
        <v>1</v>
      </c>
      <c r="C31" s="53">
        <f>SUMIFS(Gadget_Usage_Engineer!$I:$I,Gadget_Usage_Engineer!$A:$A,$A31)</f>
        <v>0.69762903697921741</v>
      </c>
      <c r="D31" cm="1">
        <f t="array" ref="D31">_xlfn.IFS(B31=0,1,AND(B31&gt;=2,C31&gt;=$E$2),0,AND(B31=1,C31&lt;$E$2),0.8,AND(B31=1,C31&gt;=$E$2),0.6,TRUE,0)</f>
        <v>0.8</v>
      </c>
    </row>
    <row r="32" spans="1:4" x14ac:dyDescent="0.25">
      <c r="A32" t="str">
        <v>csyphi</v>
      </c>
      <c r="B32">
        <f>COUNTIFS(Gadget_Usage_Engineer!$A:$A,$A32,Gadget_Usage_Engineer!$J:$J,"1",Gadget_Usage_Engineer!$D:$D,"Gadget")</f>
        <v>1</v>
      </c>
      <c r="C32" s="53">
        <f>SUMIFS(Gadget_Usage_Engineer!$I:$I,Gadget_Usage_Engineer!$A:$A,$A32)</f>
        <v>0.76345888384933924</v>
      </c>
      <c r="D32" cm="1">
        <f t="array" ref="D32">_xlfn.IFS(B32=0,1,AND(B32&gt;=2,C32&gt;=$E$2),0,AND(B32=1,C32&lt;$E$2),0.8,AND(B32=1,C32&gt;=$E$2),0.6,TRUE,0)</f>
        <v>0.8</v>
      </c>
    </row>
    <row r="33" spans="1:4" x14ac:dyDescent="0.25">
      <c r="A33" t="str">
        <v>Rakit</v>
      </c>
      <c r="B33">
        <f>COUNTIFS(Gadget_Usage_Engineer!$A:$A,$A33,Gadget_Usage_Engineer!$J:$J,"1",Gadget_Usage_Engineer!$D:$D,"Gadget")</f>
        <v>2</v>
      </c>
      <c r="C33" s="53">
        <f>SUMIFS(Gadget_Usage_Engineer!$I:$I,Gadget_Usage_Engineer!$A:$A,$A33)</f>
        <v>0.88714795715985728</v>
      </c>
      <c r="D33" cm="1">
        <f t="array" ref="D33">_xlfn.IFS(B33=0,1,AND(B33&gt;=2,C33&gt;=$E$2),0,AND(B33=1,C33&lt;$E$2),0.8,AND(B33=1,C33&gt;=$E$2),0.6,TRUE,0)</f>
        <v>0</v>
      </c>
    </row>
    <row r="34" spans="1:4" x14ac:dyDescent="0.25">
      <c r="A34" t="str">
        <v>53Zents</v>
      </c>
      <c r="B34">
        <f>COUNTIFS(Gadget_Usage_Engineer!$A:$A,$A34,Gadget_Usage_Engineer!$J:$J,"1",Gadget_Usage_Engineer!$D:$D,"Gadget")</f>
        <v>2</v>
      </c>
      <c r="C34" s="53">
        <f>SUMIFS(Gadget_Usage_Engineer!$I:$I,Gadget_Usage_Engineer!$A:$A,$A34)</f>
        <v>0.81313400961025084</v>
      </c>
      <c r="D34" cm="1">
        <f t="array" ref="D34">_xlfn.IFS(B34=0,1,AND(B34&gt;=2,C34&gt;=$E$2),0,AND(B34=1,C34&lt;$E$2),0.8,AND(B34=1,C34&gt;=$E$2),0.6,TRUE,0)</f>
        <v>0</v>
      </c>
    </row>
    <row r="35" spans="1:4" x14ac:dyDescent="0.25">
      <c r="A35" t="str">
        <v>Jah-Munkey</v>
      </c>
      <c r="B35">
        <f>COUNTIFS(Gadget_Usage_Engineer!$A:$A,$A35,Gadget_Usage_Engineer!$J:$J,"1",Gadget_Usage_Engineer!$D:$D,"Gadget")</f>
        <v>3</v>
      </c>
      <c r="C35" s="53">
        <f>SUMIFS(Gadget_Usage_Engineer!$I:$I,Gadget_Usage_Engineer!$A:$A,$A35)</f>
        <v>1.0553843094362139</v>
      </c>
      <c r="D35" cm="1">
        <f t="array" ref="D35">_xlfn.IFS(B35=0,1,AND(B35&gt;=2,C35&gt;=$E$2),0,AND(B35=1,C35&lt;$E$2),0.8,AND(B35=1,C35&gt;=$E$2),0.6,TRUE,0)</f>
        <v>0</v>
      </c>
    </row>
    <row r="36" spans="1:4" x14ac:dyDescent="0.25">
      <c r="A36" t="str">
        <v>SuBj3cT [Bot]</v>
      </c>
      <c r="B36">
        <f>COUNTIFS(Gadget_Usage_Engineer!$A:$A,$A36,Gadget_Usage_Engineer!$J:$J,"1",Gadget_Usage_Engineer!$D:$D,"Gadget")</f>
        <v>2</v>
      </c>
      <c r="C36" s="53">
        <f>SUMIFS(Gadget_Usage_Engineer!$I:$I,Gadget_Usage_Engineer!$A:$A,$A36)</f>
        <v>1.6908549728009852</v>
      </c>
      <c r="D36" cm="1">
        <f t="array" ref="D36">_xlfn.IFS(B36=0,1,AND(B36&gt;=2,C36&gt;=$E$2),0,AND(B36=1,C36&lt;$E$2),0.8,AND(B36=1,C36&gt;=$E$2),0.6,TRUE,0)</f>
        <v>0</v>
      </c>
    </row>
    <row r="37" spans="1:4" x14ac:dyDescent="0.25">
      <c r="A37" t="str">
        <v>CammedSS2015</v>
      </c>
      <c r="B37">
        <f>COUNTIFS(Gadget_Usage_Engineer!$A:$A,$A37,Gadget_Usage_Engineer!$J:$J,"1",Gadget_Usage_Engineer!$D:$D,"Gadget")</f>
        <v>2</v>
      </c>
      <c r="C37" s="53">
        <f>SUMIFS(Gadget_Usage_Engineer!$I:$I,Gadget_Usage_Engineer!$A:$A,$A37)</f>
        <v>0.66444163810211077</v>
      </c>
      <c r="D37" cm="1">
        <f t="array" ref="D37">_xlfn.IFS(B37=0,1,AND(B37&gt;=2,C37&gt;=$E$2),0,AND(B37=1,C37&lt;$E$2),0.8,AND(B37=1,C37&gt;=$E$2),0.6,TRUE,0)</f>
        <v>0</v>
      </c>
    </row>
    <row r="38" spans="1:4" x14ac:dyDescent="0.25">
      <c r="A38" t="str">
        <v>CtrlAltMatt</v>
      </c>
      <c r="B38">
        <f>COUNTIFS(Gadget_Usage_Engineer!$A:$A,$A38,Gadget_Usage_Engineer!$J:$J,"1",Gadget_Usage_Engineer!$D:$D,"Gadget")</f>
        <v>2</v>
      </c>
      <c r="C38" s="53">
        <f>SUMIFS(Gadget_Usage_Engineer!$I:$I,Gadget_Usage_Engineer!$A:$A,$A38)</f>
        <v>0.84064327485380108</v>
      </c>
      <c r="D38" cm="1">
        <f t="array" ref="D38">_xlfn.IFS(B38=0,1,AND(B38&gt;=2,C38&gt;=$E$2),0,AND(B38=1,C38&lt;$E$2),0.8,AND(B38=1,C38&gt;=$E$2),0.6,TRUE,0)</f>
        <v>0</v>
      </c>
    </row>
    <row r="39" spans="1:4" x14ac:dyDescent="0.25">
      <c r="A39" t="str">
        <v>Sledgehammer enjoyer</v>
      </c>
      <c r="B39">
        <f>COUNTIFS(Gadget_Usage_Engineer!$A:$A,$A39,Gadget_Usage_Engineer!$J:$J,"1",Gadget_Usage_Engineer!$D:$D,"Gadget")</f>
        <v>3</v>
      </c>
      <c r="C39" s="53">
        <f>SUMIFS(Gadget_Usage_Engineer!$I:$I,Gadget_Usage_Engineer!$A:$A,$A39)</f>
        <v>1.2569808943942893</v>
      </c>
      <c r="D39" cm="1">
        <f t="array" ref="D39">_xlfn.IFS(B39=0,1,AND(B39&gt;=2,C39&gt;=$E$2),0,AND(B39=1,C39&lt;$E$2),0.8,AND(B39=1,C39&gt;=$E$2),0.6,TRUE,0)</f>
        <v>0</v>
      </c>
    </row>
    <row r="40" spans="1:4" x14ac:dyDescent="0.25">
      <c r="A40" t="str">
        <v>ThicccjMartian</v>
      </c>
      <c r="B40">
        <f>COUNTIFS(Gadget_Usage_Engineer!$A:$A,$A40,Gadget_Usage_Engineer!$J:$J,"1",Gadget_Usage_Engineer!$D:$D,"Gadget")</f>
        <v>1</v>
      </c>
      <c r="C40" s="53">
        <f>SUMIFS(Gadget_Usage_Engineer!$I:$I,Gadget_Usage_Engineer!$A:$A,$A40)</f>
        <v>0.42466041907970936</v>
      </c>
      <c r="D40" cm="1">
        <f t="array" ref="D40">_xlfn.IFS(B40=0,1,AND(B40&gt;=2,C40&gt;=$E$2),0,AND(B40=1,C40&lt;$E$2),0.8,AND(B40=1,C40&gt;=$E$2),0.6,TRUE,0)</f>
        <v>0.8</v>
      </c>
    </row>
    <row r="41" spans="1:4" x14ac:dyDescent="0.25">
      <c r="A41" t="str">
        <v>psdarazum</v>
      </c>
      <c r="B41">
        <f>COUNTIFS(Gadget_Usage_Engineer!$A:$A,$A41,Gadget_Usage_Engineer!$J:$J,"1",Gadget_Usage_Engineer!$D:$D,"Gadget")</f>
        <v>2</v>
      </c>
      <c r="C41" s="53">
        <f>SUMIFS(Gadget_Usage_Engineer!$I:$I,Gadget_Usage_Engineer!$A:$A,$A41)</f>
        <v>0.88054753502299232</v>
      </c>
      <c r="D41" cm="1">
        <f t="array" ref="D41">_xlfn.IFS(B41=0,1,AND(B41&gt;=2,C41&gt;=$E$2),0,AND(B41=1,C41&lt;$E$2),0.8,AND(B41=1,C41&gt;=$E$2),0.6,TRUE,0)</f>
        <v>0</v>
      </c>
    </row>
    <row r="42" spans="1:4" x14ac:dyDescent="0.25">
      <c r="A42" t="str">
        <v>mzklopyu</v>
      </c>
      <c r="B42">
        <f>COUNTIFS(Gadget_Usage_Engineer!$A:$A,$A42,Gadget_Usage_Engineer!$J:$J,"1",Gadget_Usage_Engineer!$D:$D,"Gadget")</f>
        <v>2</v>
      </c>
      <c r="C42" s="53">
        <f>SUMIFS(Gadget_Usage_Engineer!$I:$I,Gadget_Usage_Engineer!$A:$A,$A42)</f>
        <v>0.49085387386114837</v>
      </c>
      <c r="D42" cm="1">
        <f t="array" ref="D42">_xlfn.IFS(B42=0,1,AND(B42&gt;=2,C42&gt;=$E$2),0,AND(B42=1,C42&lt;$E$2),0.8,AND(B42=1,C42&gt;=$E$2),0.6,TRUE,0)</f>
        <v>0</v>
      </c>
    </row>
    <row r="43" spans="1:4" x14ac:dyDescent="0.25">
      <c r="A43" t="str">
        <v>Ali-Productionz</v>
      </c>
      <c r="B43">
        <f>COUNTIFS(Gadget_Usage_Engineer!$A:$A,$A43,Gadget_Usage_Engineer!$J:$J,"1",Gadget_Usage_Engineer!$D:$D,"Gadget")</f>
        <v>2</v>
      </c>
      <c r="C43" s="53">
        <f>SUMIFS(Gadget_Usage_Engineer!$I:$I,Gadget_Usage_Engineer!$A:$A,$A43)</f>
        <v>0.9554338487972508</v>
      </c>
      <c r="D43" cm="1">
        <f t="array" ref="D43">_xlfn.IFS(B43=0,1,AND(B43&gt;=2,C43&gt;=$E$2),0,AND(B43=1,C43&lt;$E$2),0.8,AND(B43=1,C43&gt;=$E$2),0.6,TRUE,0)</f>
        <v>0</v>
      </c>
    </row>
    <row r="44" spans="1:4" x14ac:dyDescent="0.25">
      <c r="A44" t="str">
        <v>Remesso</v>
      </c>
      <c r="B44">
        <f>COUNTIFS(Gadget_Usage_Engineer!$A:$A,$A44,Gadget_Usage_Engineer!$J:$J,"1",Gadget_Usage_Engineer!$D:$D,"Gadget")</f>
        <v>1</v>
      </c>
      <c r="C44" s="53">
        <f>SUMIFS(Gadget_Usage_Engineer!$I:$I,Gadget_Usage_Engineer!$A:$A,$A44)</f>
        <v>0.33322768092974109</v>
      </c>
      <c r="D44" cm="1">
        <f t="array" ref="D44">_xlfn.IFS(B44=0,1,AND(B44&gt;=2,C44&gt;=$E$2),0,AND(B44=1,C44&lt;$E$2),0.8,AND(B44=1,C44&gt;=$E$2),0.6,TRUE,0)</f>
        <v>0.8</v>
      </c>
    </row>
    <row r="45" spans="1:4" x14ac:dyDescent="0.25">
      <c r="A45" t="str">
        <v>Reglope</v>
      </c>
      <c r="B45">
        <f>COUNTIFS(Gadget_Usage_Engineer!$A:$A,$A45,Gadget_Usage_Engineer!$J:$J,"1",Gadget_Usage_Engineer!$D:$D,"Gadget")</f>
        <v>3</v>
      </c>
      <c r="C45" s="53">
        <f>SUMIFS(Gadget_Usage_Engineer!$I:$I,Gadget_Usage_Engineer!$A:$A,$A45)</f>
        <v>2.06826178747361</v>
      </c>
      <c r="D45" cm="1">
        <f t="array" ref="D45">_xlfn.IFS(B45=0,1,AND(B45&gt;=2,C45&gt;=$E$2),0,AND(B45=1,C45&lt;$E$2),0.8,AND(B45=1,C45&gt;=$E$2),0.6,TRUE,0)</f>
        <v>0</v>
      </c>
    </row>
    <row r="46" spans="1:4" x14ac:dyDescent="0.25">
      <c r="A46" t="str">
        <v>jerjorey</v>
      </c>
      <c r="B46">
        <f>COUNTIFS(Gadget_Usage_Engineer!$A:$A,$A46,Gadget_Usage_Engineer!$J:$J,"1",Gadget_Usage_Engineer!$D:$D,"Gadget")</f>
        <v>1</v>
      </c>
      <c r="C46" s="53">
        <f>SUMIFS(Gadget_Usage_Engineer!$I:$I,Gadget_Usage_Engineer!$A:$A,$A46)</f>
        <v>0.5869091701154433</v>
      </c>
      <c r="D46" cm="1">
        <f t="array" ref="D46">_xlfn.IFS(B46=0,1,AND(B46&gt;=2,C46&gt;=$E$2),0,AND(B46=1,C46&lt;$E$2),0.8,AND(B46=1,C46&gt;=$E$2),0.6,TRUE,0)</f>
        <v>0.8</v>
      </c>
    </row>
    <row r="47" spans="1:4" x14ac:dyDescent="0.25">
      <c r="A47" t="str">
        <v>Пирожок</v>
      </c>
      <c r="B47">
        <f>COUNTIFS(Gadget_Usage_Engineer!$A:$A,$A47,Gadget_Usage_Engineer!$J:$J,"1",Gadget_Usage_Engineer!$D:$D,"Gadget")</f>
        <v>2</v>
      </c>
      <c r="C47" s="53">
        <f>SUMIFS(Gadget_Usage_Engineer!$I:$I,Gadget_Usage_Engineer!$A:$A,$A47)</f>
        <v>1.1095326333127447</v>
      </c>
      <c r="D47" cm="1">
        <f t="array" ref="D47">_xlfn.IFS(B47=0,1,AND(B47&gt;=2,C47&gt;=$E$2),0,AND(B47=1,C47&lt;$E$2),0.8,AND(B47=1,C47&gt;=$E$2),0.6,TRUE,0)</f>
        <v>0</v>
      </c>
    </row>
    <row r="48" spans="1:4" x14ac:dyDescent="0.25">
      <c r="A48" t="str">
        <v>Ta.Toki</v>
      </c>
      <c r="B48">
        <f>COUNTIFS(Gadget_Usage_Engineer!$A:$A,$A48,Gadget_Usage_Engineer!$J:$J,"1",Gadget_Usage_Engineer!$D:$D,"Gadget")</f>
        <v>1</v>
      </c>
      <c r="C48" s="53">
        <f>SUMIFS(Gadget_Usage_Engineer!$I:$I,Gadget_Usage_Engineer!$A:$A,$A48)</f>
        <v>0.91417129334668257</v>
      </c>
      <c r="D48" cm="1">
        <f t="array" ref="D48">_xlfn.IFS(B48=0,1,AND(B48&gt;=2,C48&gt;=$E$2),0,AND(B48=1,C48&lt;$E$2),0.8,AND(B48=1,C48&gt;=$E$2),0.6,TRUE,0)</f>
        <v>0.6</v>
      </c>
    </row>
    <row r="49" spans="1:4" x14ac:dyDescent="0.25">
      <c r="A49" t="str">
        <v>Unreal413</v>
      </c>
      <c r="B49">
        <f>COUNTIFS(Gadget_Usage_Engineer!$A:$A,$A49,Gadget_Usage_Engineer!$J:$J,"1",Gadget_Usage_Engineer!$D:$D,"Gadget")</f>
        <v>2</v>
      </c>
      <c r="C49" s="53">
        <f>SUMIFS(Gadget_Usage_Engineer!$I:$I,Gadget_Usage_Engineer!$A:$A,$A49)</f>
        <v>1.0875889817393996</v>
      </c>
      <c r="D49" cm="1">
        <f t="array" ref="D49">_xlfn.IFS(B49=0,1,AND(B49&gt;=2,C49&gt;=$E$2),0,AND(B49=1,C49&lt;$E$2),0.8,AND(B49=1,C49&gt;=$E$2),0.6,TRUE,0)</f>
        <v>0</v>
      </c>
    </row>
    <row r="50" spans="1:4" x14ac:dyDescent="0.25">
      <c r="A50" t="str">
        <v>Klerm</v>
      </c>
      <c r="B50">
        <f>COUNTIFS(Gadget_Usage_Engineer!$A:$A,$A50,Gadget_Usage_Engineer!$J:$J,"1",Gadget_Usage_Engineer!$D:$D,"Gadget")</f>
        <v>2</v>
      </c>
      <c r="C50" s="53">
        <f>SUMIFS(Gadget_Usage_Engineer!$I:$I,Gadget_Usage_Engineer!$A:$A,$A50)</f>
        <v>8.9535734072022173</v>
      </c>
      <c r="D50" cm="1">
        <f t="array" ref="D50">_xlfn.IFS(B50=0,1,AND(B50&gt;=2,C50&gt;=$E$2),0,AND(B50=1,C50&lt;$E$2),0.8,AND(B50=1,C50&gt;=$E$2),0.6,TRUE,0)</f>
        <v>0</v>
      </c>
    </row>
    <row r="51" spans="1:4" x14ac:dyDescent="0.25">
      <c r="A51" t="str">
        <v>HastyTh3 END</v>
      </c>
      <c r="B51">
        <f>COUNTIFS(Gadget_Usage_Engineer!$A:$A,$A51,Gadget_Usage_Engineer!$J:$J,"1",Gadget_Usage_Engineer!$D:$D,"Gadget")</f>
        <v>1</v>
      </c>
      <c r="C51" s="53">
        <f>SUMIFS(Gadget_Usage_Engineer!$I:$I,Gadget_Usage_Engineer!$A:$A,$A51)</f>
        <v>0.50955553128753961</v>
      </c>
      <c r="D51" cm="1">
        <f t="array" ref="D51">_xlfn.IFS(B51=0,1,AND(B51&gt;=2,C51&gt;=$E$2),0,AND(B51=1,C51&lt;$E$2),0.8,AND(B51=1,C51&gt;=$E$2),0.6,TRUE,0)</f>
        <v>0.8</v>
      </c>
    </row>
    <row r="52" spans="1:4" x14ac:dyDescent="0.25">
      <c r="A52" t="str">
        <v>Sir_Spongey_</v>
      </c>
      <c r="B52">
        <f>COUNTIFS(Gadget_Usage_Engineer!$A:$A,$A52,Gadget_Usage_Engineer!$J:$J,"1",Gadget_Usage_Engineer!$D:$D,"Gadget")</f>
        <v>2</v>
      </c>
      <c r="C52" s="53">
        <f>SUMIFS(Gadget_Usage_Engineer!$I:$I,Gadget_Usage_Engineer!$A:$A,$A52)</f>
        <v>1.01818382190875</v>
      </c>
      <c r="D52" cm="1">
        <f t="array" ref="D52">_xlfn.IFS(B52=0,1,AND(B52&gt;=2,C52&gt;=$E$2),0,AND(B52=1,C52&lt;$E$2),0.8,AND(B52=1,C52&gt;=$E$2),0.6,TRUE,0)</f>
        <v>0</v>
      </c>
    </row>
    <row r="53" spans="1:4" x14ac:dyDescent="0.25">
      <c r="A53" t="str">
        <v>Darth_Cloud</v>
      </c>
      <c r="B53">
        <f>COUNTIFS(Gadget_Usage_Engineer!$A:$A,$A53,Gadget_Usage_Engineer!$J:$J,"1",Gadget_Usage_Engineer!$D:$D,"Gadget")</f>
        <v>2</v>
      </c>
      <c r="C53" s="53">
        <f>SUMIFS(Gadget_Usage_Engineer!$I:$I,Gadget_Usage_Engineer!$A:$A,$A53)</f>
        <v>0.76673793181050964</v>
      </c>
      <c r="D53" cm="1">
        <f t="array" ref="D53">_xlfn.IFS(B53=0,1,AND(B53&gt;=2,C53&gt;=$E$2),0,AND(B53=1,C53&lt;$E$2),0.8,AND(B53=1,C53&gt;=$E$2),0.6,TRUE,0)</f>
        <v>0</v>
      </c>
    </row>
    <row r="54" spans="1:4" x14ac:dyDescent="0.25">
      <c r="A54" t="str">
        <v>Tx_Lightning</v>
      </c>
      <c r="B54">
        <f>COUNTIFS(Gadget_Usage_Engineer!$A:$A,$A54,Gadget_Usage_Engineer!$J:$J,"1",Gadget_Usage_Engineer!$D:$D,"Gadget")</f>
        <v>2</v>
      </c>
      <c r="C54" s="53">
        <f>SUMIFS(Gadget_Usage_Engineer!$I:$I,Gadget_Usage_Engineer!$A:$A,$A54)</f>
        <v>1.7102686703096541</v>
      </c>
      <c r="D54" cm="1">
        <f t="array" ref="D54">_xlfn.IFS(B54=0,1,AND(B54&gt;=2,C54&gt;=$E$2),0,AND(B54=1,C54&lt;$E$2),0.8,AND(B54=1,C54&gt;=$E$2),0.6,TRUE,0)</f>
        <v>0</v>
      </c>
    </row>
    <row r="55" spans="1:4" x14ac:dyDescent="0.25">
      <c r="A55" t="str">
        <v>-BC-pawel23nammu</v>
      </c>
      <c r="B55">
        <f>COUNTIFS(Gadget_Usage_Engineer!$A:$A,$A55,Gadget_Usage_Engineer!$J:$J,"1",Gadget_Usage_Engineer!$D:$D,"Gadget")</f>
        <v>2</v>
      </c>
      <c r="C55" s="53">
        <f>SUMIFS(Gadget_Usage_Engineer!$I:$I,Gadget_Usage_Engineer!$A:$A,$A55)</f>
        <v>1.1749152542372883</v>
      </c>
      <c r="D55" cm="1">
        <f t="array" ref="D55">_xlfn.IFS(B55=0,1,AND(B55&gt;=2,C55&gt;=$E$2),0,AND(B55=1,C55&lt;$E$2),0.8,AND(B55=1,C55&gt;=$E$2),0.6,TRUE,0)</f>
        <v>0</v>
      </c>
    </row>
    <row r="56" spans="1:4" x14ac:dyDescent="0.25">
      <c r="A56" t="str">
        <v>TexasAce</v>
      </c>
      <c r="B56">
        <f>COUNTIFS(Gadget_Usage_Engineer!$A:$A,$A56,Gadget_Usage_Engineer!$J:$J,"1",Gadget_Usage_Engineer!$D:$D,"Gadget")</f>
        <v>2</v>
      </c>
      <c r="C56" s="53">
        <f>SUMIFS(Gadget_Usage_Engineer!$I:$I,Gadget_Usage_Engineer!$A:$A,$A56)</f>
        <v>1.3424769464223181</v>
      </c>
      <c r="D56" cm="1">
        <f t="array" ref="D56">_xlfn.IFS(B56=0,1,AND(B56&gt;=2,C56&gt;=$E$2),0,AND(B56=1,C56&lt;$E$2),0.8,AND(B56=1,C56&gt;=$E$2),0.6,TRUE,0)</f>
        <v>0</v>
      </c>
    </row>
    <row r="57" spans="1:4" x14ac:dyDescent="0.25">
      <c r="A57" t="str">
        <v>Casios</v>
      </c>
      <c r="B57">
        <f>COUNTIFS(Gadget_Usage_Engineer!$A:$A,$A57,Gadget_Usage_Engineer!$J:$J,"1",Gadget_Usage_Engineer!$D:$D,"Gadget")</f>
        <v>2</v>
      </c>
      <c r="C57" s="53">
        <f>SUMIFS(Gadget_Usage_Engineer!$I:$I,Gadget_Usage_Engineer!$A:$A,$A57)</f>
        <v>0.66701232860928683</v>
      </c>
      <c r="D57" cm="1">
        <f t="array" ref="D57">_xlfn.IFS(B57=0,1,AND(B57&gt;=2,C57&gt;=$E$2),0,AND(B57=1,C57&lt;$E$2),0.8,AND(B57=1,C57&gt;=$E$2),0.6,TRUE,0)</f>
        <v>0</v>
      </c>
    </row>
    <row r="58" spans="1:4" x14ac:dyDescent="0.25">
      <c r="A58" t="str">
        <v>TICSoL9mm</v>
      </c>
      <c r="B58">
        <f>COUNTIFS(Gadget_Usage_Engineer!$A:$A,$A58,Gadget_Usage_Engineer!$J:$J,"1",Gadget_Usage_Engineer!$D:$D,"Gadget")</f>
        <v>2</v>
      </c>
      <c r="C58" s="53">
        <f>SUMIFS(Gadget_Usage_Engineer!$I:$I,Gadget_Usage_Engineer!$A:$A,$A58)</f>
        <v>0.68675559790376373</v>
      </c>
      <c r="D58" cm="1">
        <f t="array" ref="D58">_xlfn.IFS(B58=0,1,AND(B58&gt;=2,C58&gt;=$E$2),0,AND(B58=1,C58&lt;$E$2),0.8,AND(B58=1,C58&gt;=$E$2),0.6,TRUE,0)</f>
        <v>0</v>
      </c>
    </row>
    <row r="59" spans="1:4" x14ac:dyDescent="0.25">
      <c r="A59" t="str">
        <v>Timone311</v>
      </c>
      <c r="B59">
        <f>COUNTIFS(Gadget_Usage_Engineer!$A:$A,$A59,Gadget_Usage_Engineer!$J:$J,"1",Gadget_Usage_Engineer!$D:$D,"Gadget")</f>
        <v>2</v>
      </c>
      <c r="C59" s="53">
        <f>SUMIFS(Gadget_Usage_Engineer!$I:$I,Gadget_Usage_Engineer!$A:$A,$A59)</f>
        <v>1.5968356623166646</v>
      </c>
      <c r="D59" cm="1">
        <f t="array" ref="D59">_xlfn.IFS(B59=0,1,AND(B59&gt;=2,C59&gt;=$E$2),0,AND(B59=1,C59&lt;$E$2),0.8,AND(B59=1,C59&gt;=$E$2),0.6,TRUE,0)</f>
        <v>0</v>
      </c>
    </row>
    <row r="60" spans="1:4" x14ac:dyDescent="0.25">
      <c r="A60" t="str">
        <v>z_leo9</v>
      </c>
      <c r="B60">
        <f>COUNTIFS(Gadget_Usage_Engineer!$A:$A,$A60,Gadget_Usage_Engineer!$J:$J,"1",Gadget_Usage_Engineer!$D:$D,"Gadget")</f>
        <v>2</v>
      </c>
      <c r="C60" s="53">
        <f>SUMIFS(Gadget_Usage_Engineer!$I:$I,Gadget_Usage_Engineer!$A:$A,$A60)</f>
        <v>0.8535388927820603</v>
      </c>
      <c r="D60" cm="1">
        <f t="array" ref="D60">_xlfn.IFS(B60=0,1,AND(B60&gt;=2,C60&gt;=$E$2),0,AND(B60=1,C60&lt;$E$2),0.8,AND(B60=1,C60&gt;=$E$2),0.6,TRUE,0)</f>
        <v>0</v>
      </c>
    </row>
    <row r="61" spans="1:4" x14ac:dyDescent="0.25">
      <c r="A61" t="str">
        <v>SatterPL</v>
      </c>
      <c r="B61">
        <f>COUNTIFS(Gadget_Usage_Engineer!$A:$A,$A61,Gadget_Usage_Engineer!$J:$J,"1",Gadget_Usage_Engineer!$D:$D,"Gadget")</f>
        <v>2</v>
      </c>
      <c r="C61" s="53">
        <f>SUMIFS(Gadget_Usage_Engineer!$I:$I,Gadget_Usage_Engineer!$A:$A,$A61)</f>
        <v>0.82771804062126642</v>
      </c>
      <c r="D61" cm="1">
        <f t="array" ref="D61">_xlfn.IFS(B61=0,1,AND(B61&gt;=2,C61&gt;=$E$2),0,AND(B61=1,C61&lt;$E$2),0.8,AND(B61=1,C61&gt;=$E$2),0.6,TRUE,0)</f>
        <v>0</v>
      </c>
    </row>
    <row r="62" spans="1:4" x14ac:dyDescent="0.25">
      <c r="A62" t="str">
        <v>alexia_00</v>
      </c>
      <c r="B62">
        <f>COUNTIFS(Gadget_Usage_Engineer!$A:$A,$A62,Gadget_Usage_Engineer!$J:$J,"1",Gadget_Usage_Engineer!$D:$D,"Gadget")</f>
        <v>5</v>
      </c>
      <c r="C62" s="53">
        <f>SUMIFS(Gadget_Usage_Engineer!$I:$I,Gadget_Usage_Engineer!$A:$A,$A62)</f>
        <v>0.99407161489210361</v>
      </c>
      <c r="D62" cm="1">
        <f t="array" ref="D62">_xlfn.IFS(B62=0,1,AND(B62&gt;=2,C62&gt;=$E$2),0,AND(B62=1,C62&lt;$E$2),0.8,AND(B62=1,C62&gt;=$E$2),0.6,TRUE,0)</f>
        <v>0</v>
      </c>
    </row>
    <row r="63" spans="1:4" x14ac:dyDescent="0.25">
      <c r="A63" t="str">
        <v>Bronator_youtube</v>
      </c>
      <c r="B63">
        <f>COUNTIFS(Gadget_Usage_Engineer!$A:$A,$A63,Gadget_Usage_Engineer!$J:$J,"1",Gadget_Usage_Engineer!$D:$D,"Gadget")</f>
        <v>2</v>
      </c>
      <c r="C63" s="53">
        <f>SUMIFS(Gadget_Usage_Engineer!$I:$I,Gadget_Usage_Engineer!$A:$A,$A63)</f>
        <v>1.0409113179813818</v>
      </c>
      <c r="D63" cm="1">
        <f t="array" ref="D63">_xlfn.IFS(B63=0,1,AND(B63&gt;=2,C63&gt;=$E$2),0,AND(B63=1,C63&lt;$E$2),0.8,AND(B63=1,C63&gt;=$E$2),0.6,TRUE,0)</f>
        <v>0</v>
      </c>
    </row>
    <row r="64" spans="1:4" x14ac:dyDescent="0.25">
      <c r="A64" t="str">
        <v>JustCallMeCatt</v>
      </c>
      <c r="B64">
        <f>COUNTIFS(Gadget_Usage_Engineer!$A:$A,$A64,Gadget_Usage_Engineer!$J:$J,"1",Gadget_Usage_Engineer!$D:$D,"Gadget")</f>
        <v>2</v>
      </c>
      <c r="C64" s="53">
        <f>SUMIFS(Gadget_Usage_Engineer!$I:$I,Gadget_Usage_Engineer!$A:$A,$A64)</f>
        <v>1.384815275110157</v>
      </c>
      <c r="D64" cm="1">
        <f t="array" ref="D64">_xlfn.IFS(B64=0,1,AND(B64&gt;=2,C64&gt;=$E$2),0,AND(B64=1,C64&lt;$E$2),0.8,AND(B64=1,C64&gt;=$E$2),0.6,TRUE,0)</f>
        <v>0</v>
      </c>
    </row>
    <row r="65" spans="1:4" x14ac:dyDescent="0.25">
      <c r="A65" t="str">
        <v>Docquafina</v>
      </c>
      <c r="B65">
        <f>COUNTIFS(Gadget_Usage_Engineer!$A:$A,$A65,Gadget_Usage_Engineer!$J:$J,"1",Gadget_Usage_Engineer!$D:$D,"Gadget")</f>
        <v>2</v>
      </c>
      <c r="C65" s="53">
        <f>SUMIFS(Gadget_Usage_Engineer!$I:$I,Gadget_Usage_Engineer!$A:$A,$A65)</f>
        <v>0.81904650070455609</v>
      </c>
      <c r="D65" cm="1">
        <f t="array" ref="D65">_xlfn.IFS(B65=0,1,AND(B65&gt;=2,C65&gt;=$E$2),0,AND(B65=1,C65&lt;$E$2),0.8,AND(B65=1,C65&gt;=$E$2),0.6,TRUE,0)</f>
        <v>0</v>
      </c>
    </row>
    <row r="66" spans="1:4" x14ac:dyDescent="0.25">
      <c r="A66" t="str">
        <v>Cyrus Lupus</v>
      </c>
      <c r="B66">
        <f>COUNTIFS(Gadget_Usage_Engineer!$A:$A,$A66,Gadget_Usage_Engineer!$J:$J,"1",Gadget_Usage_Engineer!$D:$D,"Gadget")</f>
        <v>0</v>
      </c>
      <c r="C66" s="53">
        <f>SUMIFS(Gadget_Usage_Engineer!$I:$I,Gadget_Usage_Engineer!$A:$A,$A66)</f>
        <v>6.7042967400069126E-2</v>
      </c>
      <c r="D66" cm="1">
        <f t="array" ref="D66">_xlfn.IFS(B66=0,1,AND(B66&gt;=2,C66&gt;=$E$2),0,AND(B66=1,C66&lt;$E$2),0.8,AND(B66=1,C66&gt;=$E$2),0.6,TRUE,0)</f>
        <v>1</v>
      </c>
    </row>
    <row r="67" spans="1:4" x14ac:dyDescent="0.25">
      <c r="A67" t="str">
        <v>BruceWayne001</v>
      </c>
      <c r="B67">
        <f>COUNTIFS(Gadget_Usage_Engineer!$A:$A,$A67,Gadget_Usage_Engineer!$J:$J,"1",Gadget_Usage_Engineer!$D:$D,"Gadget")</f>
        <v>1</v>
      </c>
      <c r="C67" s="53">
        <f>SUMIFS(Gadget_Usage_Engineer!$I:$I,Gadget_Usage_Engineer!$A:$A,$A67)</f>
        <v>0.41602429338939501</v>
      </c>
      <c r="D67" cm="1">
        <f t="array" ref="D67">_xlfn.IFS(B67=0,1,AND(B67&gt;=2,C67&gt;=$E$2),0,AND(B67=1,C67&lt;$E$2),0.8,AND(B67=1,C67&gt;=$E$2),0.6,TRUE,0)</f>
        <v>0.8</v>
      </c>
    </row>
    <row r="68" spans="1:4" x14ac:dyDescent="0.25">
      <c r="A68" t="str">
        <v>xBakedKoalax</v>
      </c>
      <c r="B68">
        <f>COUNTIFS(Gadget_Usage_Engineer!$A:$A,$A68,Gadget_Usage_Engineer!$J:$J,"1",Gadget_Usage_Engineer!$D:$D,"Gadget")</f>
        <v>2</v>
      </c>
      <c r="C68" s="53">
        <f>SUMIFS(Gadget_Usage_Engineer!$I:$I,Gadget_Usage_Engineer!$A:$A,$A68)</f>
        <v>1.5067153628652217</v>
      </c>
      <c r="D68" cm="1">
        <f t="array" ref="D68">_xlfn.IFS(B68=0,1,AND(B68&gt;=2,C68&gt;=$E$2),0,AND(B68=1,C68&lt;$E$2),0.8,AND(B68=1,C68&gt;=$E$2),0.6,TRUE,0)</f>
        <v>0</v>
      </c>
    </row>
    <row r="69" spans="1:4" x14ac:dyDescent="0.25">
      <c r="A69" t="str">
        <v>jacklamatrakk</v>
      </c>
      <c r="B69">
        <f>COUNTIFS(Gadget_Usage_Engineer!$A:$A,$A69,Gadget_Usage_Engineer!$J:$J,"1",Gadget_Usage_Engineer!$D:$D,"Gadget")</f>
        <v>3</v>
      </c>
      <c r="C69" s="53">
        <f>SUMIFS(Gadget_Usage_Engineer!$I:$I,Gadget_Usage_Engineer!$A:$A,$A69)</f>
        <v>1.7031147181399431</v>
      </c>
      <c r="D69" cm="1">
        <f t="array" ref="D69">_xlfn.IFS(B69=0,1,AND(B69&gt;=2,C69&gt;=$E$2),0,AND(B69=1,C69&lt;$E$2),0.8,AND(B69=1,C69&gt;=$E$2),0.6,TRUE,0)</f>
        <v>0</v>
      </c>
    </row>
    <row r="70" spans="1:4" x14ac:dyDescent="0.25">
      <c r="A70" t="str">
        <v>McFlusher</v>
      </c>
      <c r="B70">
        <f>COUNTIFS(Gadget_Usage_Engineer!$A:$A,$A70,Gadget_Usage_Engineer!$J:$J,"1",Gadget_Usage_Engineer!$D:$D,"Gadget")</f>
        <v>2</v>
      </c>
      <c r="C70" s="53">
        <f>SUMIFS(Gadget_Usage_Engineer!$I:$I,Gadget_Usage_Engineer!$A:$A,$A70)</f>
        <v>0.93397203521491456</v>
      </c>
      <c r="D70" cm="1">
        <f t="array" ref="D70">_xlfn.IFS(B70=0,1,AND(B70&gt;=2,C70&gt;=$E$2),0,AND(B70=1,C70&lt;$E$2),0.8,AND(B70=1,C70&gt;=$E$2),0.6,TRUE,0)</f>
        <v>0</v>
      </c>
    </row>
    <row r="71" spans="1:4" x14ac:dyDescent="0.25">
      <c r="A71" t="str">
        <v>spicolli123</v>
      </c>
      <c r="B71">
        <f>COUNTIFS(Gadget_Usage_Engineer!$A:$A,$A71,Gadget_Usage_Engineer!$J:$J,"1",Gadget_Usage_Engineer!$D:$D,"Gadget")</f>
        <v>1</v>
      </c>
      <c r="C71" s="53">
        <f>SUMIFS(Gadget_Usage_Engineer!$I:$I,Gadget_Usage_Engineer!$A:$A,$A71)</f>
        <v>0.94276443867618431</v>
      </c>
      <c r="D71" cm="1">
        <f t="array" ref="D71">_xlfn.IFS(B71=0,1,AND(B71&gt;=2,C71&gt;=$E$2),0,AND(B71=1,C71&lt;$E$2),0.8,AND(B71=1,C71&gt;=$E$2),0.6,TRUE,0)</f>
        <v>0.6</v>
      </c>
    </row>
    <row r="72" spans="1:4" x14ac:dyDescent="0.25">
      <c r="A72" t="str">
        <v>NNJAkingbob</v>
      </c>
      <c r="B72">
        <f>COUNTIFS(Gadget_Usage_Engineer!$A:$A,$A72,Gadget_Usage_Engineer!$J:$J,"1",Gadget_Usage_Engineer!$D:$D,"Gadget")</f>
        <v>2</v>
      </c>
      <c r="C72" s="53">
        <f>SUMIFS(Gadget_Usage_Engineer!$I:$I,Gadget_Usage_Engineer!$A:$A,$A72)</f>
        <v>1.2319107025607352</v>
      </c>
      <c r="D72" cm="1">
        <f t="array" ref="D72">_xlfn.IFS(B72=0,1,AND(B72&gt;=2,C72&gt;=$E$2),0,AND(B72=1,C72&lt;$E$2),0.8,AND(B72=1,C72&gt;=$E$2),0.6,TRUE,0)</f>
        <v>0</v>
      </c>
    </row>
    <row r="73" spans="1:4" x14ac:dyDescent="0.25">
      <c r="A73" t="str">
        <v>GuyutesGhost</v>
      </c>
      <c r="B73">
        <f>COUNTIFS(Gadget_Usage_Engineer!$A:$A,$A73,Gadget_Usage_Engineer!$J:$J,"1",Gadget_Usage_Engineer!$D:$D,"Gadget")</f>
        <v>1</v>
      </c>
      <c r="C73" s="53">
        <f>SUMIFS(Gadget_Usage_Engineer!$I:$I,Gadget_Usage_Engineer!$A:$A,$A73)</f>
        <v>0.84535845588235292</v>
      </c>
      <c r="D73" cm="1">
        <f t="array" ref="D73">_xlfn.IFS(B73=0,1,AND(B73&gt;=2,C73&gt;=$E$2),0,AND(B73=1,C73&lt;$E$2),0.8,AND(B73=1,C73&gt;=$E$2),0.6,TRUE,0)</f>
        <v>0.6</v>
      </c>
    </row>
    <row r="74" spans="1:4" x14ac:dyDescent="0.25">
      <c r="A74" t="str">
        <v>Xiph1</v>
      </c>
      <c r="B74">
        <f>COUNTIFS(Gadget_Usage_Engineer!$A:$A,$A74,Gadget_Usage_Engineer!$J:$J,"1",Gadget_Usage_Engineer!$D:$D,"Gadget")</f>
        <v>2</v>
      </c>
      <c r="C74" s="53">
        <f>SUMIFS(Gadget_Usage_Engineer!$I:$I,Gadget_Usage_Engineer!$A:$A,$A74)</f>
        <v>0.91508305647840527</v>
      </c>
      <c r="D74" cm="1">
        <f t="array" ref="D74">_xlfn.IFS(B74=0,1,AND(B74&gt;=2,C74&gt;=$E$2),0,AND(B74=1,C74&lt;$E$2),0.8,AND(B74=1,C74&gt;=$E$2),0.6,TRUE,0)</f>
        <v>0</v>
      </c>
    </row>
    <row r="75" spans="1:4" x14ac:dyDescent="0.25">
      <c r="A75" t="str">
        <v>conway47</v>
      </c>
      <c r="B75">
        <f>COUNTIFS(Gadget_Usage_Engineer!$A:$A,$A75,Gadget_Usage_Engineer!$J:$J,"1",Gadget_Usage_Engineer!$D:$D,"Gadget")</f>
        <v>2</v>
      </c>
      <c r="C75" s="53">
        <f>SUMIFS(Gadget_Usage_Engineer!$I:$I,Gadget_Usage_Engineer!$A:$A,$A75)</f>
        <v>0.85578771952313804</v>
      </c>
      <c r="D75" cm="1">
        <f t="array" ref="D75">_xlfn.IFS(B75=0,1,AND(B75&gt;=2,C75&gt;=$E$2),0,AND(B75=1,C75&lt;$E$2),0.8,AND(B75=1,C75&gt;=$E$2),0.6,TRUE,0)</f>
        <v>0</v>
      </c>
    </row>
    <row r="76" spans="1:4" x14ac:dyDescent="0.25">
      <c r="A76" t="str">
        <v>Dodge1947</v>
      </c>
      <c r="B76">
        <f>COUNTIFS(Gadget_Usage_Engineer!$A:$A,$A76,Gadget_Usage_Engineer!$J:$J,"1",Gadget_Usage_Engineer!$D:$D,"Gadget")</f>
        <v>3</v>
      </c>
      <c r="C76" s="53">
        <f>SUMIFS(Gadget_Usage_Engineer!$I:$I,Gadget_Usage_Engineer!$A:$A,$A76)</f>
        <v>1.6122572815533982</v>
      </c>
      <c r="D76" cm="1">
        <f t="array" ref="D76">_xlfn.IFS(B76=0,1,AND(B76&gt;=2,C76&gt;=$E$2),0,AND(B76=1,C76&lt;$E$2),0.8,AND(B76=1,C76&gt;=$E$2),0.6,TRUE,0)</f>
        <v>0</v>
      </c>
    </row>
    <row r="77" spans="1:4" x14ac:dyDescent="0.25">
      <c r="A77" t="str">
        <v>240kmmh</v>
      </c>
      <c r="B77">
        <f>COUNTIFS(Gadget_Usage_Engineer!$A:$A,$A77,Gadget_Usage_Engineer!$J:$J,"1",Gadget_Usage_Engineer!$D:$D,"Gadget")</f>
        <v>2</v>
      </c>
      <c r="C77" s="53">
        <f>SUMIFS(Gadget_Usage_Engineer!$I:$I,Gadget_Usage_Engineer!$A:$A,$A77)</f>
        <v>1.1831576101649095</v>
      </c>
      <c r="D77" cm="1">
        <f t="array" ref="D77">_xlfn.IFS(B77=0,1,AND(B77&gt;=2,C77&gt;=$E$2),0,AND(B77=1,C77&lt;$E$2),0.8,AND(B77=1,C77&gt;=$E$2),0.6,TRUE,0)</f>
        <v>0</v>
      </c>
    </row>
    <row r="78" spans="1:4" x14ac:dyDescent="0.25">
      <c r="A78" t="str">
        <v>andy-eon</v>
      </c>
      <c r="B78">
        <f>COUNTIFS(Gadget_Usage_Engineer!$A:$A,$A78,Gadget_Usage_Engineer!$J:$J,"1",Gadget_Usage_Engineer!$D:$D,"Gadget")</f>
        <v>2</v>
      </c>
      <c r="C78" s="53">
        <f>SUMIFS(Gadget_Usage_Engineer!$I:$I,Gadget_Usage_Engineer!$A:$A,$A78)</f>
        <v>1.1119182136131289</v>
      </c>
      <c r="D78" cm="1">
        <f t="array" ref="D78">_xlfn.IFS(B78=0,1,AND(B78&gt;=2,C78&gt;=$E$2),0,AND(B78=1,C78&lt;$E$2),0.8,AND(B78=1,C78&gt;=$E$2),0.6,TRUE,0)</f>
        <v>0</v>
      </c>
    </row>
    <row r="79" spans="1:4" x14ac:dyDescent="0.25">
      <c r="A79" t="str">
        <v>M-o-e-r-d-e-r</v>
      </c>
      <c r="B79">
        <f>COUNTIFS(Gadget_Usage_Engineer!$A:$A,$A79,Gadget_Usage_Engineer!$J:$J,"1",Gadget_Usage_Engineer!$D:$D,"Gadget")</f>
        <v>2</v>
      </c>
      <c r="C79" s="53">
        <f>SUMIFS(Gadget_Usage_Engineer!$I:$I,Gadget_Usage_Engineer!$A:$A,$A79)</f>
        <v>0.99822815864794878</v>
      </c>
      <c r="D79" cm="1">
        <f t="array" ref="D79">_xlfn.IFS(B79=0,1,AND(B79&gt;=2,C79&gt;=$E$2),0,AND(B79=1,C79&lt;$E$2),0.8,AND(B79=1,C79&gt;=$E$2),0.6,TRUE,0)</f>
        <v>0</v>
      </c>
    </row>
    <row r="80" spans="1:4" x14ac:dyDescent="0.25">
      <c r="A80" t="str">
        <v>vladi6716</v>
      </c>
      <c r="B80">
        <f>COUNTIFS(Gadget_Usage_Engineer!$A:$A,$A80,Gadget_Usage_Engineer!$J:$J,"1",Gadget_Usage_Engineer!$D:$D,"Gadget")</f>
        <v>2</v>
      </c>
      <c r="C80" s="53">
        <f>SUMIFS(Gadget_Usage_Engineer!$I:$I,Gadget_Usage_Engineer!$A:$A,$A80)</f>
        <v>1.7618211294244801</v>
      </c>
      <c r="D80" cm="1">
        <f t="array" ref="D80">_xlfn.IFS(B80=0,1,AND(B80&gt;=2,C80&gt;=$E$2),0,AND(B80=1,C80&lt;$E$2),0.8,AND(B80=1,C80&gt;=$E$2),0.6,TRUE,0)</f>
        <v>0</v>
      </c>
    </row>
    <row r="81" spans="1:4" x14ac:dyDescent="0.25">
      <c r="A81" t="str">
        <v>DevilsReject170</v>
      </c>
      <c r="B81">
        <f>COUNTIFS(Gadget_Usage_Engineer!$A:$A,$A81,Gadget_Usage_Engineer!$J:$J,"1",Gadget_Usage_Engineer!$D:$D,"Gadget")</f>
        <v>3</v>
      </c>
      <c r="C81" s="53">
        <f>SUMIFS(Gadget_Usage_Engineer!$I:$I,Gadget_Usage_Engineer!$A:$A,$A81)</f>
        <v>1.1374507227332455</v>
      </c>
      <c r="D81" cm="1">
        <f t="array" ref="D81">_xlfn.IFS(B81=0,1,AND(B81&gt;=2,C81&gt;=$E$2),0,AND(B81=1,C81&lt;$E$2),0.8,AND(B81=1,C81&gt;=$E$2),0.6,TRUE,0)</f>
        <v>0</v>
      </c>
    </row>
    <row r="82" spans="1:4" x14ac:dyDescent="0.25">
      <c r="A82" t="str">
        <v>DESOLATION TREY</v>
      </c>
      <c r="B82">
        <f>COUNTIFS(Gadget_Usage_Engineer!$A:$A,$A82,Gadget_Usage_Engineer!$J:$J,"1",Gadget_Usage_Engineer!$D:$D,"Gadget")</f>
        <v>2</v>
      </c>
      <c r="C82" s="53">
        <f>SUMIFS(Gadget_Usage_Engineer!$I:$I,Gadget_Usage_Engineer!$A:$A,$A82)</f>
        <v>0.73766629711751652</v>
      </c>
      <c r="D82" cm="1">
        <f t="array" ref="D82">_xlfn.IFS(B82=0,1,AND(B82&gt;=2,C82&gt;=$E$2),0,AND(B82=1,C82&lt;$E$2),0.8,AND(B82=1,C82&gt;=$E$2),0.6,TRUE,0)</f>
        <v>0</v>
      </c>
    </row>
    <row r="83" spans="1:4" x14ac:dyDescent="0.25">
      <c r="A83" t="str">
        <v>firefighterdc74</v>
      </c>
      <c r="B83">
        <f>COUNTIFS(Gadget_Usage_Engineer!$A:$A,$A83,Gadget_Usage_Engineer!$J:$J,"1",Gadget_Usage_Engineer!$D:$D,"Gadget")</f>
        <v>2</v>
      </c>
      <c r="C83" s="53">
        <f>SUMIFS(Gadget_Usage_Engineer!$I:$I,Gadget_Usage_Engineer!$A:$A,$A83)</f>
        <v>1.255211881727756</v>
      </c>
      <c r="D83" cm="1">
        <f t="array" ref="D83">_xlfn.IFS(B83=0,1,AND(B83&gt;=2,C83&gt;=$E$2),0,AND(B83=1,C83&lt;$E$2),0.8,AND(B83=1,C83&gt;=$E$2),0.6,TRUE,0)</f>
        <v>0</v>
      </c>
    </row>
    <row r="84" spans="1:4" x14ac:dyDescent="0.25">
      <c r="A84" t="str">
        <v>Vovan-Fizruk</v>
      </c>
      <c r="B84">
        <f>COUNTIFS(Gadget_Usage_Engineer!$A:$A,$A84,Gadget_Usage_Engineer!$J:$J,"1",Gadget_Usage_Engineer!$D:$D,"Gadget")</f>
        <v>2</v>
      </c>
      <c r="C84" s="53">
        <f>SUMIFS(Gadget_Usage_Engineer!$I:$I,Gadget_Usage_Engineer!$A:$A,$A84)</f>
        <v>0.87785404118223842</v>
      </c>
      <c r="D84" cm="1">
        <f t="array" ref="D84">_xlfn.IFS(B84=0,1,AND(B84&gt;=2,C84&gt;=$E$2),0,AND(B84=1,C84&lt;$E$2),0.8,AND(B84=1,C84&gt;=$E$2),0.6,TRUE,0)</f>
        <v>0</v>
      </c>
    </row>
    <row r="85" spans="1:4" x14ac:dyDescent="0.25">
      <c r="A85" t="str">
        <v>Jonny_Deathbox</v>
      </c>
      <c r="B85">
        <f>COUNTIFS(Gadget_Usage_Engineer!$A:$A,$A85,Gadget_Usage_Engineer!$J:$J,"1",Gadget_Usage_Engineer!$D:$D,"Gadget")</f>
        <v>2</v>
      </c>
      <c r="C85" s="53">
        <f>SUMIFS(Gadget_Usage_Engineer!$I:$I,Gadget_Usage_Engineer!$A:$A,$A85)</f>
        <v>0.8368065333708814</v>
      </c>
      <c r="D85" cm="1">
        <f t="array" ref="D85">_xlfn.IFS(B85=0,1,AND(B85&gt;=2,C85&gt;=$E$2),0,AND(B85=1,C85&lt;$E$2),0.8,AND(B85=1,C85&gt;=$E$2),0.6,TRUE,0)</f>
        <v>0</v>
      </c>
    </row>
    <row r="86" spans="1:4" x14ac:dyDescent="0.25">
      <c r="A86" t="str">
        <v>ChaosReigns143</v>
      </c>
      <c r="B86">
        <f>COUNTIFS(Gadget_Usage_Engineer!$A:$A,$A86,Gadget_Usage_Engineer!$J:$J,"1",Gadget_Usage_Engineer!$D:$D,"Gadget")</f>
        <v>2</v>
      </c>
      <c r="C86" s="53">
        <f>SUMIFS(Gadget_Usage_Engineer!$I:$I,Gadget_Usage_Engineer!$A:$A,$A86)</f>
        <v>1.3683920704845816</v>
      </c>
      <c r="D86" cm="1">
        <f t="array" ref="D86">_xlfn.IFS(B86=0,1,AND(B86&gt;=2,C86&gt;=$E$2),0,AND(B86=1,C86&lt;$E$2),0.8,AND(B86=1,C86&gt;=$E$2),0.6,TRUE,0)</f>
        <v>0</v>
      </c>
    </row>
    <row r="87" spans="1:4" x14ac:dyDescent="0.25">
      <c r="A87" t="str">
        <v>rodrilondon10</v>
      </c>
      <c r="B87">
        <f>COUNTIFS(Gadget_Usage_Engineer!$A:$A,$A87,Gadget_Usage_Engineer!$J:$J,"1",Gadget_Usage_Engineer!$D:$D,"Gadget")</f>
        <v>1</v>
      </c>
      <c r="C87" s="53">
        <f>SUMIFS(Gadget_Usage_Engineer!$I:$I,Gadget_Usage_Engineer!$A:$A,$A87)</f>
        <v>0.20994764397905757</v>
      </c>
      <c r="D87" cm="1">
        <f t="array" ref="D87">_xlfn.IFS(B87=0,1,AND(B87&gt;=2,C87&gt;=$E$2),0,AND(B87=1,C87&lt;$E$2),0.8,AND(B87=1,C87&gt;=$E$2),0.6,TRUE,0)</f>
        <v>0.8</v>
      </c>
    </row>
    <row r="88" spans="1:4" x14ac:dyDescent="0.25">
      <c r="A88" t="str">
        <v>LRT-JEMSYS-787</v>
      </c>
    </row>
    <row r="89" spans="1:4" x14ac:dyDescent="0.25">
      <c r="A89" t="str">
        <v>CCB-PLAAF-咕噜咕噜</v>
      </c>
    </row>
    <row r="90" spans="1:4" x14ac:dyDescent="0.25">
      <c r="A90" t="str">
        <v>SYM-Shadowlerks</v>
      </c>
    </row>
    <row r="91" spans="1:4" x14ac:dyDescent="0.25">
      <c r="A91" t="str">
        <v>madmac80</v>
      </c>
    </row>
    <row r="92" spans="1:4" x14ac:dyDescent="0.25">
      <c r="A92" t="str">
        <v>DirtY Kiri</v>
      </c>
    </row>
    <row r="93" spans="1:4" x14ac:dyDescent="0.25">
      <c r="A93" t="str">
        <v>bunny bunny bunny bunny bunny</v>
      </c>
    </row>
    <row r="94" spans="1:4" x14ac:dyDescent="0.25">
      <c r="A94" t="str">
        <v>kaltkopf</v>
      </c>
    </row>
    <row r="95" spans="1:4" x14ac:dyDescent="0.25">
      <c r="A95" t="str">
        <v>John Maçarico</v>
      </c>
    </row>
    <row r="96" spans="1:4" x14ac:dyDescent="0.25">
      <c r="A96" t="str">
        <v>BIG2907</v>
      </c>
    </row>
    <row r="97" spans="1:1" x14ac:dyDescent="0.25">
      <c r="A97" t="str">
        <v>free_example9</v>
      </c>
    </row>
    <row r="98" spans="1:1" x14ac:dyDescent="0.25">
      <c r="A98" t="str">
        <v>duty7837</v>
      </c>
    </row>
    <row r="99" spans="1:1" x14ac:dyDescent="0.25">
      <c r="A99" t="str">
        <v>thredzzzz</v>
      </c>
    </row>
    <row r="100" spans="1:1" x14ac:dyDescent="0.25">
      <c r="A100" t="str">
        <v>MD-Trooper1984</v>
      </c>
    </row>
    <row r="101" spans="1:1" x14ac:dyDescent="0.25">
      <c r="A101" t="str">
        <v>II STRICK9 II</v>
      </c>
    </row>
    <row r="102" spans="1:1" x14ac:dyDescent="0.25">
      <c r="A102">
        <v>0</v>
      </c>
    </row>
  </sheetData>
  <conditionalFormatting sqref="A1:D1">
    <cfRule type="expression" dxfId="6" priority="1">
      <formula>MOD(ROW()-8,7)=0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F256-9CCB-478B-A549-A5F877A7D125}">
  <dimension ref="A1:K44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5" customHeight="1" x14ac:dyDescent="0.25"/>
  <cols>
    <col min="1" max="1" width="15.140625" customWidth="1"/>
    <col min="2" max="2" width="16.140625" bestFit="1" customWidth="1"/>
    <col min="3" max="3" width="25.7109375" customWidth="1"/>
    <col min="4" max="4" width="25.5703125" bestFit="1" customWidth="1"/>
    <col min="5" max="5" width="25.7109375" style="28" bestFit="1" customWidth="1"/>
    <col min="6" max="6" width="22.140625" bestFit="1" customWidth="1"/>
    <col min="7" max="7" width="30.5703125" customWidth="1"/>
  </cols>
  <sheetData>
    <row r="1" spans="1:11" s="52" customFormat="1" ht="15" customHeight="1" x14ac:dyDescent="0.25">
      <c r="A1" s="62" t="s">
        <v>2</v>
      </c>
      <c r="B1" s="62" t="s">
        <v>190</v>
      </c>
      <c r="C1" s="62" t="s">
        <v>189</v>
      </c>
      <c r="D1" s="62" t="s">
        <v>237</v>
      </c>
      <c r="E1" s="61" t="s">
        <v>236</v>
      </c>
      <c r="F1" s="62" t="s">
        <v>238</v>
      </c>
      <c r="G1" s="62" t="s">
        <v>210</v>
      </c>
    </row>
    <row r="2" spans="1:11" ht="15" customHeight="1" x14ac:dyDescent="0.25">
      <c r="A2" s="50" t="s">
        <v>19</v>
      </c>
      <c r="B2" s="50" t="s">
        <v>189</v>
      </c>
      <c r="C2" s="5" t="s">
        <v>29</v>
      </c>
      <c r="D2" s="51">
        <f>IFERROR(COUNTIFS(Gadget_Usage_Assault!$C:$C,$C2,Gadget_Usage_Assault!$J:$J,1)/COUNTIF(Gadget_Usage_Assault!$C:$C,$C2),"")</f>
        <v>0.11</v>
      </c>
      <c r="E2" s="66" cm="1">
        <f t="array" ref="E2">IFERROR(SUMIF(Gadget_Usage_Assault!$C$2:$C$50000,Analysis_Gadgets!C2,Gadget_Usage_Assault!$K$2:$K$50000)/COUNTA(_xlfn.UNIQUE(_xlfn._xlws.FILTER(Gadget_Usage_Assault!$A$2:$A$50000,Gadget_Usage_Assault!$A$2:$A$50000&lt;&gt;""))),0)</f>
        <v>5.7500000000000002E-2</v>
      </c>
      <c r="F2" s="50" t="str" cm="1">
        <f t="array" ref="F2">_xlfn.IFS(AND(D2=0,E2&gt;=0.1),"Experimental",D2&gt;=0.5,"Core",OR(D2&gt;=0.25,E2&gt;=0.25),"Situational",OR(D2&gt;=0.05,E2&gt;=0.05),"Niche",TRUE,"Minimal")</f>
        <v>Niche</v>
      </c>
      <c r="G2" t="s">
        <v>239</v>
      </c>
    </row>
    <row r="3" spans="1:11" ht="15" customHeight="1" x14ac:dyDescent="0.25">
      <c r="A3" s="50" t="s">
        <v>19</v>
      </c>
      <c r="B3" s="50" t="s">
        <v>189</v>
      </c>
      <c r="C3" s="5" t="s">
        <v>181</v>
      </c>
      <c r="D3" s="51">
        <f>IFERROR(COUNTIFS(Gadget_Usage_Assault!$C:$C,$C3,Gadget_Usage_Assault!$J:$J,1)/COUNTIF(Gadget_Usage_Assault!$C:$C,$C3),"")</f>
        <v>0</v>
      </c>
      <c r="E3" s="66" cm="1">
        <f t="array" ref="E3">IFERROR(SUMIF(Gadget_Usage_Assault!$C$2:$C$50000,Analysis_Gadgets!C3,Gadget_Usage_Assault!$K$2:$K$50000)/COUNTA(_xlfn.UNIQUE(_xlfn._xlws.FILTER(Gadget_Usage_Assault!$A$2:$A$50000,Gadget_Usage_Assault!$A$2:$A$50000&lt;&gt;""))),0)</f>
        <v>0</v>
      </c>
      <c r="F3" s="50" t="str" cm="1">
        <f t="array" ref="F3">_xlfn.IFS(AND(D3=0,E3&gt;=0.1),"Experimental",D3&gt;=0.5,"Core",OR(D3&gt;=0.25,E3&gt;=0.25),"Situational",OR(D3&gt;=0.05,E3&gt;=0.05),"Niche",TRUE,"Minimal")</f>
        <v>Minimal</v>
      </c>
      <c r="G3" t="s">
        <v>239</v>
      </c>
    </row>
    <row r="4" spans="1:11" ht="15" customHeight="1" x14ac:dyDescent="0.25">
      <c r="A4" s="50" t="s">
        <v>19</v>
      </c>
      <c r="B4" s="50" t="s">
        <v>189</v>
      </c>
      <c r="C4" s="5" t="s">
        <v>183</v>
      </c>
      <c r="D4" s="51">
        <f>IFERROR(COUNTIFS(Gadget_Usage_Assault!$C:$C,$C4,Gadget_Usage_Assault!$J:$J,1)/COUNTIF(Gadget_Usage_Assault!$C:$C,$C4),"")</f>
        <v>0.73</v>
      </c>
      <c r="E4" s="66" cm="1">
        <f t="array" ref="E4">IFERROR(SUMIF(Gadget_Usage_Assault!$C$2:$C$50000,Analysis_Gadgets!C4,Gadget_Usage_Assault!$K$2:$K$50000)/COUNTA(_xlfn.UNIQUE(_xlfn._xlws.FILTER(Gadget_Usage_Assault!$A$2:$A$50000,Gadget_Usage_Assault!$A$2:$A$50000&lt;&gt;""))),0)</f>
        <v>0.36400000000000005</v>
      </c>
      <c r="F4" s="50" t="str" cm="1">
        <f t="array" ref="F4">_xlfn.IFS(AND(D4=0,E4&gt;=0.1),"Experimental",D4&gt;=0.5,"Core",OR(D4&gt;=0.25,E4&gt;=0.25),"Situational",OR(D4&gt;=0.05,E4&gt;=0.05),"Niche",TRUE,"Minimal")</f>
        <v>Core</v>
      </c>
      <c r="G4" t="s">
        <v>239</v>
      </c>
    </row>
    <row r="5" spans="1:11" ht="15" customHeight="1" x14ac:dyDescent="0.25">
      <c r="A5" s="50" t="s">
        <v>19</v>
      </c>
      <c r="B5" s="50" t="s">
        <v>189</v>
      </c>
      <c r="C5" s="5" t="s">
        <v>185</v>
      </c>
      <c r="D5" s="51">
        <f>IFERROR(COUNTIFS(Gadget_Usage_Assault!$C:$C,$C5,Gadget_Usage_Assault!$J:$J,1)/COUNTIF(Gadget_Usage_Assault!$C:$C,$C5),"")</f>
        <v>7.0000000000000007E-2</v>
      </c>
      <c r="E5" s="66" cm="1">
        <f t="array" ref="E5">IFERROR(SUMIF(Gadget_Usage_Assault!$C$2:$C$50000,Analysis_Gadgets!C5,Gadget_Usage_Assault!$K$2:$K$50000)/COUNTA(_xlfn.UNIQUE(_xlfn._xlws.FILTER(Gadget_Usage_Assault!$A$2:$A$50000,Gadget_Usage_Assault!$A$2:$A$50000&lt;&gt;""))),0)</f>
        <v>3.9500000000000007E-2</v>
      </c>
      <c r="F5" s="50" t="str" cm="1">
        <f t="array" ref="F5">_xlfn.IFS(AND(D5=0,E5&gt;=0.1),"Experimental",D5&gt;=0.5,"Core",OR(D5&gt;=0.25,E5&gt;=0.25),"Situational",OR(D5&gt;=0.05,E5&gt;=0.05),"Niche",TRUE,"Minimal")</f>
        <v>Niche</v>
      </c>
      <c r="G5" t="s">
        <v>239</v>
      </c>
    </row>
    <row r="6" spans="1:11" ht="15" customHeight="1" x14ac:dyDescent="0.25">
      <c r="A6" s="50" t="s">
        <v>19</v>
      </c>
      <c r="B6" s="50" t="s">
        <v>189</v>
      </c>
      <c r="C6" s="5" t="s">
        <v>217</v>
      </c>
      <c r="D6" s="51">
        <f>IFERROR(COUNTIFS(Gadget_Usage_Assault!$C:$C,$C6,Gadget_Usage_Assault!$J:$J,1)/COUNTIF(Gadget_Usage_Assault!$C:$C,$C6),"")</f>
        <v>0.54</v>
      </c>
      <c r="E6" s="66" cm="1">
        <f t="array" ref="E6">IFERROR(SUMIF(Gadget_Usage_Assault!$C$2:$C$50000,Analysis_Gadgets!C6,Gadget_Usage_Assault!$K$2:$K$50000)/COUNTA(_xlfn.UNIQUE(_xlfn._xlws.FILTER(Gadget_Usage_Assault!$A$2:$A$50000,Gadget_Usage_Assault!$A$2:$A$50000&lt;&gt;""))),0)</f>
        <v>0.2674999999999999</v>
      </c>
      <c r="F6" s="50" t="str" cm="1">
        <f t="array" ref="F6">_xlfn.IFS(AND(D6=0,E6&gt;=0.1),"Experimental",D6&gt;=0.5,"Core",OR(D6&gt;=0.25,E6&gt;=0.25),"Situational",OR(D6&gt;=0.05,E6&gt;=0.05),"Niche",TRUE,"Minimal")</f>
        <v>Core</v>
      </c>
      <c r="G6" t="s">
        <v>239</v>
      </c>
    </row>
    <row r="7" spans="1:11" s="40" customFormat="1" ht="15" customHeight="1" x14ac:dyDescent="0.25">
      <c r="A7" s="67" t="s">
        <v>19</v>
      </c>
      <c r="B7" s="67" t="s">
        <v>189</v>
      </c>
      <c r="C7" s="81" t="s">
        <v>192</v>
      </c>
      <c r="D7" s="68">
        <f>AVERAGE(Analysis_Assault_Defaults!D2:D1048576)</f>
        <v>0.38800000000000007</v>
      </c>
      <c r="E7" s="82" cm="1">
        <f t="array" ref="E7">IFERROR(SUMIF(Gadget_Usage_Assault!$C$2:$C$50000,Analysis_Gadgets!C7,Gadget_Usage_Assault!$K$2:$K$50000)/COUNTA(_xlfn.UNIQUE(_xlfn._xlws.FILTER(Gadget_Usage_Assault!$A$2:$A$50000,Gadget_Usage_Assault!$A$2:$A$50000&lt;&gt;""))),0)</f>
        <v>0</v>
      </c>
      <c r="F7" s="83" t="str" cm="1">
        <f t="array" ref="F7">_xlfn.IFS(AND(D7=0,E7&gt;=0.1),"Experimental",D7&gt;=0.5,"Core",OR(D7&gt;=0.25,E7&gt;=0.25),"Situational",OR(D7&gt;=0.05,E7&gt;=0.05),"Niche",TRUE,"Minimal")</f>
        <v>Situational</v>
      </c>
      <c r="G7" s="84" t="s">
        <v>207</v>
      </c>
      <c r="K7" s="89"/>
    </row>
    <row r="8" spans="1:11" ht="15" customHeight="1" x14ac:dyDescent="0.25">
      <c r="A8" s="71" t="s">
        <v>19</v>
      </c>
      <c r="B8" s="71" t="s">
        <v>191</v>
      </c>
      <c r="C8" s="72" t="s">
        <v>59</v>
      </c>
      <c r="D8" s="73">
        <f>IFERROR(COUNTIFS(Gadget_Usage_Assault!$C:$C,$C8,Gadget_Usage_Assault!$J:$J,1)/COUNTIF(Gadget_Usage_Assault!$C:$C,$C8),"")</f>
        <v>0.04</v>
      </c>
      <c r="E8" s="80" cm="1">
        <f t="array" ref="E8">IFERROR(SUMIF(Gadget_Usage_Assault!$C$2:$C$50000,Analysis_Gadgets!C8,Gadget_Usage_Assault!$K$2:$K$50000)/COUNTA(_xlfn.UNIQUE(_xlfn._xlws.FILTER(Gadget_Usage_Assault!$A$2:$A$50000,Gadget_Usage_Assault!$A$2:$A$50000&lt;&gt;""))),0)</f>
        <v>3.9E-2</v>
      </c>
      <c r="F8" s="50" t="str" cm="1">
        <f t="array" ref="F8">_xlfn.IFS(AND(D8=0,E8&gt;=0.1),"Experimental",D8&gt;=0.5,"Core",OR(D8&gt;=0.25,E8&gt;=0.25),"Situational",OR(D8&gt;=0.05,E8&gt;=0.05),"Niche",TRUE,"Minimal")</f>
        <v>Minimal</v>
      </c>
      <c r="G8" t="s">
        <v>239</v>
      </c>
    </row>
    <row r="9" spans="1:11" ht="15" customHeight="1" x14ac:dyDescent="0.25">
      <c r="A9" s="71" t="s">
        <v>19</v>
      </c>
      <c r="B9" s="71" t="s">
        <v>191</v>
      </c>
      <c r="C9" s="72" t="s">
        <v>69</v>
      </c>
      <c r="D9" s="73">
        <f>IFERROR(COUNTIFS(Gadget_Usage_Assault!$C:$C,$C9,Gadget_Usage_Assault!$J:$J,1)/COUNTIF(Gadget_Usage_Assault!$C:$C,$C9),"")</f>
        <v>0</v>
      </c>
      <c r="E9" s="74" cm="1">
        <f t="array" ref="E9">IFERROR(SUMIF(Gadget_Usage_Assault!$C$2:$C$50000,Analysis_Gadgets!C9,Gadget_Usage_Assault!$K$2:$K$50000)/COUNTA(_xlfn.UNIQUE(_xlfn._xlws.FILTER(Gadget_Usage_Assault!$A$2:$A$50000,Gadget_Usage_Assault!$A$2:$A$50000&lt;&gt;""))),0)</f>
        <v>4.0000000000000001E-3</v>
      </c>
      <c r="F9" s="50" t="str" cm="1">
        <f t="array" ref="F9">_xlfn.IFS(AND(D9=0,E9&gt;=0.1),"Experimental",D9&gt;=0.5,"Core",OR(D9&gt;=0.25,E9&gt;=0.25),"Situational",OR(D9&gt;=0.05,E9&gt;=0.05),"Niche",TRUE,"Minimal")</f>
        <v>Minimal</v>
      </c>
      <c r="G9" t="s">
        <v>239</v>
      </c>
    </row>
    <row r="10" spans="1:11" ht="15" customHeight="1" thickBot="1" x14ac:dyDescent="0.3">
      <c r="A10" s="75" t="s">
        <v>19</v>
      </c>
      <c r="B10" s="75" t="s">
        <v>191</v>
      </c>
      <c r="C10" s="76" t="s">
        <v>193</v>
      </c>
      <c r="D10" s="77">
        <f>Analysis_Grenades!D2</f>
        <v>0.96</v>
      </c>
      <c r="E10" s="78" cm="1">
        <f t="array" ref="E10">IFERROR(SUMIF(Gadget_Usage_Assault!$C$2:$C$50000,Analysis_Gadgets!C10,Gadget_Usage_Assault!$K$2:$K$50000)/COUNTA(_xlfn.UNIQUE(_xlfn._xlws.FILTER(Gadget_Usage_Assault!$A$2:$A$50000,Gadget_Usage_Assault!$A$2:$A$50000&lt;&gt;""))),0)</f>
        <v>0</v>
      </c>
      <c r="F10" s="70" t="str" cm="1">
        <f t="array" ref="F10">_xlfn.IFS(AND(D10=0,E10&gt;=0.1),"Experimental",D10&gt;=0.5,"Core",OR(D10&gt;=0.25,E10&gt;=0.25),"Situational",OR(D10&gt;=0.05,E10&gt;=0.05),"Niche",TRUE,"Minimal")</f>
        <v>Core</v>
      </c>
      <c r="G10" s="79" t="s">
        <v>208</v>
      </c>
    </row>
    <row r="11" spans="1:11" ht="15" customHeight="1" x14ac:dyDescent="0.25">
      <c r="A11" s="50" t="s">
        <v>20</v>
      </c>
      <c r="B11" s="50" t="s">
        <v>189</v>
      </c>
      <c r="C11" s="38" t="s">
        <v>200</v>
      </c>
      <c r="D11" s="51">
        <f>IFERROR(COUNTIFS(Gadget_Usage_Engineer!$C:$C,$C11,Gadget_Usage_Engineer!$J:$J,1)/COUNTIF(Gadget_Usage_Engineer!$C:$C,$C11),"")</f>
        <v>0.03</v>
      </c>
      <c r="E11" s="66" cm="1">
        <f t="array" ref="E11">IFERROR(SUMIF(Gadget_Usage_Engineer!$C$2:$C$50000,Analysis_Gadgets!C11,Gadget_Usage_Engineer!$K$2:$K$50000)/COUNTA(_xlfn.UNIQUE(_xlfn._xlws.FILTER(Gadget_Usage_Engineer!$A$2:$A$50000,Gadget_Usage_Engineer!$A$2:$A$50000&lt;&gt;""))),0)</f>
        <v>2.2000000000000002E-2</v>
      </c>
      <c r="F11" s="50" t="str" cm="1">
        <f t="array" ref="F11">_xlfn.IFS(AND(D11=0,E11&gt;=0.1),"Experimental",D11&gt;=0.5,"Core",OR(D11&gt;=0.25,E11&gt;=0.25),"Situational",OR(D11&gt;=0.05,E11&gt;=0.05),"Niche",TRUE,"Minimal")</f>
        <v>Minimal</v>
      </c>
      <c r="G11" t="s">
        <v>240</v>
      </c>
    </row>
    <row r="12" spans="1:11" ht="15" customHeight="1" x14ac:dyDescent="0.25">
      <c r="A12" s="50" t="s">
        <v>20</v>
      </c>
      <c r="B12" s="50" t="s">
        <v>189</v>
      </c>
      <c r="C12" s="38" t="s">
        <v>201</v>
      </c>
      <c r="D12" s="51">
        <f>IFERROR(COUNTIFS(Gadget_Usage_Engineer!$C:$C,$C12,Gadget_Usage_Engineer!$J:$J,1)/COUNTIF(Gadget_Usage_Engineer!$C:$C,$C12),"")</f>
        <v>0.94</v>
      </c>
      <c r="E12" s="66" cm="1">
        <f t="array" ref="E12">IFERROR(SUMIF(Gadget_Usage_Engineer!$C$2:$C$50000,Analysis_Gadgets!C12,Gadget_Usage_Engineer!$K$2:$K$50000)/COUNTA(_xlfn.UNIQUE(_xlfn._xlws.FILTER(Gadget_Usage_Engineer!$A$2:$A$50000,Gadget_Usage_Engineer!$A$2:$A$50000&lt;&gt;""))),0)</f>
        <v>0.47450000000000003</v>
      </c>
      <c r="F12" s="50" t="str" cm="1">
        <f t="array" ref="F12">_xlfn.IFS(AND(D12=0,E12&gt;=0.1),"Experimental",D12&gt;=0.5,"Core",OR(D12&gt;=0.25,E12&gt;=0.25),"Situational",OR(D12&gt;=0.05,E12&gt;=0.05),"Niche",TRUE,"Minimal")</f>
        <v>Core</v>
      </c>
      <c r="G12" t="s">
        <v>240</v>
      </c>
    </row>
    <row r="13" spans="1:11" ht="15" customHeight="1" x14ac:dyDescent="0.25">
      <c r="A13" s="50" t="s">
        <v>20</v>
      </c>
      <c r="B13" s="50" t="s">
        <v>189</v>
      </c>
      <c r="C13" s="38" t="s">
        <v>202</v>
      </c>
      <c r="D13" s="51">
        <f>IFERROR(COUNTIFS(Gadget_Usage_Engineer!$C:$C,$C13,Gadget_Usage_Engineer!$J:$J,1)/COUNTIF(Gadget_Usage_Engineer!$C:$C,$C13),"")</f>
        <v>0.01</v>
      </c>
      <c r="E13" s="66" cm="1">
        <f t="array" ref="E13">IFERROR(SUMIF(Gadget_Usage_Engineer!$C$2:$C$50000,Analysis_Gadgets!C13,Gadget_Usage_Engineer!$K$2:$K$50000)/COUNTA(_xlfn.UNIQUE(_xlfn._xlws.FILTER(Gadget_Usage_Engineer!$A$2:$A$50000,Gadget_Usage_Engineer!$A$2:$A$50000&lt;&gt;""))),0)</f>
        <v>3.4999999999999996E-3</v>
      </c>
      <c r="F13" s="50" t="str" cm="1">
        <f t="array" ref="F13">_xlfn.IFS(AND(D13=0,E13&gt;=0.1),"Experimental",D13&gt;=0.5,"Core",OR(D13&gt;=0.25,E13&gt;=0.25),"Situational",OR(D13&gt;=0.05,E13&gt;=0.05),"Niche",TRUE,"Minimal")</f>
        <v>Minimal</v>
      </c>
      <c r="G13" t="s">
        <v>240</v>
      </c>
      <c r="K13" s="88"/>
    </row>
    <row r="14" spans="1:11" ht="15" customHeight="1" x14ac:dyDescent="0.25">
      <c r="A14" s="50" t="s">
        <v>20</v>
      </c>
      <c r="B14" s="50" t="s">
        <v>189</v>
      </c>
      <c r="C14" s="38" t="s">
        <v>203</v>
      </c>
      <c r="D14" s="51">
        <f>IFERROR(COUNTIFS(Gadget_Usage_Engineer!$C:$C,$C14,Gadget_Usage_Engineer!$J:$J,1)/COUNTIF(Gadget_Usage_Engineer!$C:$C,$C14),"")</f>
        <v>0.03</v>
      </c>
      <c r="E14" s="66" cm="1">
        <f t="array" ref="E14">IFERROR(SUMIF(Gadget_Usage_Engineer!$C$2:$C$50000,Analysis_Gadgets!C14,Gadget_Usage_Engineer!$K$2:$K$50000)/COUNTA(_xlfn.UNIQUE(_xlfn._xlws.FILTER(Gadget_Usage_Engineer!$A$2:$A$50000,Gadget_Usage_Engineer!$A$2:$A$50000&lt;&gt;""))),0)</f>
        <v>2.0499999999999997E-2</v>
      </c>
      <c r="F14" s="50" t="str" cm="1">
        <f t="array" ref="F14">_xlfn.IFS(AND(D14=0,E14&gt;=0.1),"Experimental",D14&gt;=0.5,"Core",OR(D14&gt;=0.25,E14&gt;=0.25),"Situational",OR(D14&gt;=0.05,E14&gt;=0.05),"Niche",TRUE,"Minimal")</f>
        <v>Minimal</v>
      </c>
      <c r="G14" t="s">
        <v>240</v>
      </c>
    </row>
    <row r="15" spans="1:11" ht="15" customHeight="1" x14ac:dyDescent="0.25">
      <c r="A15" s="50" t="s">
        <v>20</v>
      </c>
      <c r="B15" s="50" t="s">
        <v>189</v>
      </c>
      <c r="C15" s="37" t="s">
        <v>30</v>
      </c>
      <c r="D15" s="51">
        <f>IFERROR(COUNTIFS(Gadget_Usage_Engineer!$C:$C,$C15,Gadget_Usage_Engineer!$J:$J,1)/COUNTIF(Gadget_Usage_Engineer!$C:$C,$C15),"")</f>
        <v>0</v>
      </c>
      <c r="E15" s="66" cm="1">
        <f t="array" ref="E15">IFERROR(SUMIF(Gadget_Usage_Engineer!$C$2:$C$50000,Analysis_Gadgets!C15,Gadget_Usage_Engineer!$K$2:$K$50000)/COUNTA(_xlfn.UNIQUE(_xlfn._xlws.FILTER(Gadget_Usage_Engineer!$A$2:$A$50000,Gadget_Usage_Engineer!$A$2:$A$50000&lt;&gt;""))),0)</f>
        <v>4.0000000000000001E-3</v>
      </c>
      <c r="F15" s="50" t="str" cm="1">
        <f t="array" ref="F15">_xlfn.IFS(AND(D15=0,E15&gt;=0.1),"Experimental",D15&gt;=0.5,"Core",OR(D15&gt;=0.25,E15&gt;=0.25),"Situational",OR(D15&gt;=0.05,E15&gt;=0.05),"Niche",TRUE,"Minimal")</f>
        <v>Minimal</v>
      </c>
      <c r="G15" t="s">
        <v>240</v>
      </c>
    </row>
    <row r="16" spans="1:11" ht="15" customHeight="1" x14ac:dyDescent="0.25">
      <c r="A16" s="50" t="s">
        <v>20</v>
      </c>
      <c r="B16" s="50" t="s">
        <v>189</v>
      </c>
      <c r="C16" s="38" t="s">
        <v>204</v>
      </c>
      <c r="D16" s="51">
        <f>IFERROR(COUNTIFS(Gadget_Usage_Engineer!$C:$C,$C16,Gadget_Usage_Engineer!$J:$J,1)/COUNTIF(Gadget_Usage_Engineer!$C:$C,$C16),"")</f>
        <v>0.6</v>
      </c>
      <c r="E16" s="66" cm="1">
        <f t="array" ref="E16">IFERROR(SUMIF(Gadget_Usage_Engineer!$C$2:$C$50000,Analysis_Gadgets!C16,Gadget_Usage_Engineer!$K$2:$K$50000)/COUNTA(_xlfn.UNIQUE(_xlfn._xlws.FILTER(Gadget_Usage_Engineer!$A$2:$A$50000,Gadget_Usage_Engineer!$A$2:$A$50000&lt;&gt;""))),0)</f>
        <v>0.3085</v>
      </c>
      <c r="F16" s="50" t="str" cm="1">
        <f t="array" ref="F16">_xlfn.IFS(AND(D16=0,E16&gt;=0.1),"Experimental",D16&gt;=0.5,"Core",OR(D16&gt;=0.25,E16&gt;=0.25),"Situational",OR(D16&gt;=0.05,E16&gt;=0.05),"Niche",TRUE,"Minimal")</f>
        <v>Core</v>
      </c>
      <c r="G16" t="s">
        <v>240</v>
      </c>
    </row>
    <row r="17" spans="1:11" ht="15" customHeight="1" x14ac:dyDescent="0.25">
      <c r="A17" s="50" t="s">
        <v>20</v>
      </c>
      <c r="B17" s="50" t="s">
        <v>189</v>
      </c>
      <c r="C17" s="38" t="s">
        <v>205</v>
      </c>
      <c r="D17" s="51">
        <f>IFERROR(COUNTIFS(Gadget_Usage_Engineer!$C:$C,$C17,Gadget_Usage_Engineer!$J:$J,1)/COUNTIF(Gadget_Usage_Engineer!$C:$C,$C17),"")</f>
        <v>0.12</v>
      </c>
      <c r="E17" s="66" cm="1">
        <f t="array" ref="E17">IFERROR(SUMIF(Gadget_Usage_Engineer!$C$2:$C$50000,Analysis_Gadgets!C17,Gadget_Usage_Engineer!$K$2:$K$50000)/COUNTA(_xlfn.UNIQUE(_xlfn._xlws.FILTER(Gadget_Usage_Engineer!$A$2:$A$50000,Gadget_Usage_Engineer!$A$2:$A$50000&lt;&gt;""))),0)</f>
        <v>7.2499999999999995E-2</v>
      </c>
      <c r="F17" s="50" t="str" cm="1">
        <f t="array" ref="F17">_xlfn.IFS(AND(D17=0,E17&gt;=0.1),"Experimental",D17&gt;=0.5,"Core",OR(D17&gt;=0.25,E17&gt;=0.25),"Situational",OR(D17&gt;=0.05,E17&gt;=0.05),"Niche",TRUE,"Minimal")</f>
        <v>Niche</v>
      </c>
      <c r="G17" t="s">
        <v>240</v>
      </c>
    </row>
    <row r="18" spans="1:11" ht="15" customHeight="1" x14ac:dyDescent="0.25">
      <c r="A18" s="50" t="s">
        <v>20</v>
      </c>
      <c r="B18" s="50" t="s">
        <v>189</v>
      </c>
      <c r="C18" s="37" t="s">
        <v>31</v>
      </c>
      <c r="D18" s="51">
        <f>IFERROR(COUNTIFS(Gadget_Usage_Engineer!$C:$C,$C18,Gadget_Usage_Engineer!$J:$J,1)/COUNTIF(Gadget_Usage_Engineer!$C:$C,$C18),"")</f>
        <v>0.02</v>
      </c>
      <c r="E18" s="66" cm="1">
        <f t="array" ref="E18">IFERROR(SUMIF(Gadget_Usage_Engineer!$C$2:$C$50000,Analysis_Gadgets!C18,Gadget_Usage_Engineer!$K$2:$K$50000)/COUNTA(_xlfn.UNIQUE(_xlfn._xlws.FILTER(Gadget_Usage_Engineer!$A$2:$A$50000,Gadget_Usage_Engineer!$A$2:$A$50000&lt;&gt;""))),0)</f>
        <v>9.0000000000000011E-3</v>
      </c>
      <c r="F18" s="50" t="str" cm="1">
        <f t="array" ref="F18">_xlfn.IFS(AND(D18=0,E18&gt;=0.1),"Experimental",D18&gt;=0.5,"Core",OR(D18&gt;=0.25,E18&gt;=0.25),"Situational",OR(D18&gt;=0.05,E18&gt;=0.05),"Niche",TRUE,"Minimal")</f>
        <v>Minimal</v>
      </c>
      <c r="G18" t="s">
        <v>240</v>
      </c>
    </row>
    <row r="19" spans="1:11" ht="15" customHeight="1" x14ac:dyDescent="0.25">
      <c r="A19" s="50" t="s">
        <v>20</v>
      </c>
      <c r="B19" s="50" t="s">
        <v>189</v>
      </c>
      <c r="C19" s="38" t="s">
        <v>206</v>
      </c>
      <c r="D19" s="51">
        <f>IFERROR(COUNTIFS(Gadget_Usage_Engineer!$C:$C,$C19,Gadget_Usage_Engineer!$J:$J,1)/COUNTIF(Gadget_Usage_Engineer!$C:$C,$C19),"")</f>
        <v>0.05</v>
      </c>
      <c r="E19" s="69" cm="1">
        <f t="array" ref="E19">IFERROR(SUMIF(Gadget_Usage_Engineer!$C$2:$C$50000,Analysis_Gadgets!C19,Gadget_Usage_Engineer!$K$2:$K$50000)/COUNTA(_xlfn.UNIQUE(_xlfn._xlws.FILTER(Gadget_Usage_Engineer!$A$2:$A$50000,Gadget_Usage_Engineer!$A$2:$A$50000&lt;&gt;""))),0)</f>
        <v>2.7000000000000003E-2</v>
      </c>
      <c r="F19" s="50" t="str" cm="1">
        <f t="array" ref="F19">_xlfn.IFS(AND(D19=0,E19&gt;=0.1),"Experimental",D19&gt;=0.5,"Core",OR(D19&gt;=0.25,E19&gt;=0.25),"Situational",OR(D19&gt;=0.05,E19&gt;=0.05),"Niche",TRUE,"Minimal")</f>
        <v>Niche</v>
      </c>
      <c r="G19" t="s">
        <v>240</v>
      </c>
    </row>
    <row r="20" spans="1:11" s="64" customFormat="1" ht="15" customHeight="1" x14ac:dyDescent="0.25">
      <c r="A20" s="86" t="s">
        <v>20</v>
      </c>
      <c r="B20" s="86" t="s">
        <v>189</v>
      </c>
      <c r="C20" s="92" t="s">
        <v>585</v>
      </c>
      <c r="D20" s="87">
        <f>AVERAGE(Analysis_Engineer_Defaults!D2:D1048576)</f>
        <v>0.2023255813953489</v>
      </c>
      <c r="E20" s="91" cm="1">
        <f t="array" ref="E20">IFERROR(SUMIF(Gadget_Usage_Engineer!$C$2:$C$50000,Analysis_Gadgets!C20,Gadget_Usage_Engineer!$K$2:$K$50000)/COUNTA(_xlfn.UNIQUE(_xlfn._xlws.FILTER(Gadget_Usage_Engineer!$A$2:$A$50000,Gadget_Usage_Engineer!$A$2:$A$50000&lt;&gt;""))),0)</f>
        <v>0</v>
      </c>
      <c r="F20" s="83" t="str" cm="1">
        <f t="array" ref="F20">_xlfn.IFS(AND(D20=0,E20&gt;=0.1),"Experimental",D20&gt;=0.5,"Core",OR(D20&gt;=0.25,E20&gt;=0.25),"Situational",OR(D20&gt;=0.05,E20&gt;=0.05),"Niche",TRUE,"Minimal")</f>
        <v>Niche</v>
      </c>
      <c r="G20" s="84" t="s">
        <v>586</v>
      </c>
    </row>
    <row r="21" spans="1:11" ht="15" customHeight="1" x14ac:dyDescent="0.25">
      <c r="A21" s="71" t="s">
        <v>20</v>
      </c>
      <c r="B21" s="71" t="s">
        <v>191</v>
      </c>
      <c r="C21" s="72" t="s">
        <v>70</v>
      </c>
      <c r="D21" s="73">
        <f>IFERROR(COUNTIFS(Gadget_Usage_Engineer!$C:$C,$C21,Gadget_Usage_Engineer!$J:$J,1)/COUNTIF(Gadget_Usage_Engineer!$C:$C,$C21),"")</f>
        <v>7.0000000000000007E-2</v>
      </c>
      <c r="E21" s="80" cm="1">
        <f t="array" ref="E21">IFERROR(SUMIF(Gadget_Usage_Engineer!$C$2:$C$50000,Analysis_Gadgets!C21,Gadget_Usage_Engineer!$K$2:$K$50000)/COUNTA(_xlfn.UNIQUE(_xlfn._xlws.FILTER(Gadget_Usage_Engineer!$A$2:$A$50000,Gadget_Usage_Engineer!$A$2:$A$50000&lt;&gt;""))),0)</f>
        <v>9.0000000000000024E-2</v>
      </c>
      <c r="F21" s="50" t="str" cm="1">
        <f t="array" ref="F21">_xlfn.IFS(AND(D21=0,E21&gt;=0.1),"Experimental",D21&gt;=0.5,"Core",OR(D21&gt;=0.25,E21&gt;=0.25),"Situational",OR(D21&gt;=0.05,E21&gt;=0.05),"Niche",TRUE,"Minimal")</f>
        <v>Niche</v>
      </c>
      <c r="G21" t="s">
        <v>240</v>
      </c>
    </row>
    <row r="22" spans="1:11" ht="15" customHeight="1" x14ac:dyDescent="0.25">
      <c r="A22" s="71" t="s">
        <v>20</v>
      </c>
      <c r="B22" s="71" t="s">
        <v>191</v>
      </c>
      <c r="C22" s="72" t="s">
        <v>71</v>
      </c>
      <c r="D22" s="73">
        <f>IFERROR(COUNTIFS(Gadget_Usage_Engineer!$C:$C,$C22,Gadget_Usage_Engineer!$J:$J,1)/COUNTIF(Gadget_Usage_Engineer!$C:$C,$C22),"")</f>
        <v>0</v>
      </c>
      <c r="E22" s="74" cm="1">
        <f t="array" ref="E22">IFERROR(SUMIF(Gadget_Usage_Engineer!$C$2:$C$50000,Analysis_Gadgets!C22,Gadget_Usage_Engineer!$K$2:$K$50000)/COUNTA(_xlfn.UNIQUE(_xlfn._xlws.FILTER(Gadget_Usage_Engineer!$A$2:$A$50000,Gadget_Usage_Engineer!$A$2:$A$50000&lt;&gt;""))),0)</f>
        <v>0</v>
      </c>
      <c r="F22" s="50" t="str" cm="1">
        <f t="array" ref="F22">_xlfn.IFS(AND(D22=0,E22&gt;=0.1),"Experimental",D22&gt;=0.5,"Core",OR(D22&gt;=0.25,E22&gt;=0.25),"Situational",OR(D22&gt;=0.05,E22&gt;=0.05),"Niche",TRUE,"Minimal")</f>
        <v>Minimal</v>
      </c>
      <c r="G22" t="s">
        <v>240</v>
      </c>
    </row>
    <row r="23" spans="1:11" ht="15" customHeight="1" thickBot="1" x14ac:dyDescent="0.3">
      <c r="A23" s="75" t="s">
        <v>20</v>
      </c>
      <c r="B23" s="75" t="s">
        <v>191</v>
      </c>
      <c r="C23" s="76" t="s">
        <v>193</v>
      </c>
      <c r="D23" s="77">
        <f>Analysis_Grenades!D3</f>
        <v>0.93</v>
      </c>
      <c r="E23" s="78" cm="1">
        <f t="array" ref="E23">IFERROR(SUMIF(Gadget_Usage_Engineer!$C$2:$C$50000,Analysis_Gadgets!C23,Gadget_Usage_Engineer!$K$2:$K$50000)/COUNTA(_xlfn.UNIQUE(_xlfn._xlws.FILTER(Gadget_Usage_Engineer!$A$2:$A$50000,Gadget_Usage_Engineer!$A$2:$A$50000&lt;&gt;""))),0)</f>
        <v>0</v>
      </c>
      <c r="F23" s="70" t="str" cm="1">
        <f t="array" ref="F23">_xlfn.IFS(AND(D23=0,E23&gt;=0.1),"Experimental",D23&gt;=0.5,"Core",OR(D23&gt;=0.25,E23&gt;=0.25),"Situational",OR(D23&gt;=0.05,E23&gt;=0.05),"Niche",TRUE,"Minimal")</f>
        <v>Core</v>
      </c>
      <c r="G23" s="79" t="s">
        <v>208</v>
      </c>
    </row>
    <row r="24" spans="1:11" ht="15" customHeight="1" x14ac:dyDescent="0.25">
      <c r="A24" s="50" t="s">
        <v>22</v>
      </c>
      <c r="B24" s="50" t="s">
        <v>189</v>
      </c>
      <c r="C24" s="37" t="s">
        <v>47</v>
      </c>
      <c r="D24" s="51">
        <f>IFERROR(COUNTIFS(Gadget_Usage_Recon!$C:$C,$C24,Gadget_Usage_Recon!$J:$J,1)/COUNTIF(Gadget_Usage_Recon!$C:$C,$C24),"")</f>
        <v>7.0000000000000007E-2</v>
      </c>
      <c r="E24" s="66" cm="1">
        <f t="array" ref="E24">IFERROR(SUMIF(Gadget_Usage_Recon!$C$2:$C$50000,Analysis_Gadgets!C24,Gadget_Usage_Recon!$K$2:$K$50000)/COUNTA(_xlfn.UNIQUE(_xlfn._xlws.FILTER(Gadget_Usage_Recon!$A$2:$A$50000,Gadget_Usage_Recon!$A$2:$A$50000&lt;&gt;""))),0)</f>
        <v>4.9500000000000009E-2</v>
      </c>
      <c r="F24" s="50" t="str" cm="1">
        <f t="array" ref="F24">_xlfn.IFS(AND(D24=0,E24&gt;=0.1),"Experimental",D24&gt;=0.5,"Core",OR(D24&gt;=0.25,E24&gt;=0.25),"Situational",OR(D24&gt;=0.05,E24&gt;=0.05),"Niche",TRUE,"Minimal")</f>
        <v>Niche</v>
      </c>
      <c r="G24" t="s">
        <v>241</v>
      </c>
    </row>
    <row r="25" spans="1:11" ht="15" customHeight="1" x14ac:dyDescent="0.25">
      <c r="A25" s="50" t="s">
        <v>22</v>
      </c>
      <c r="B25" s="50" t="s">
        <v>189</v>
      </c>
      <c r="C25" s="37" t="s">
        <v>48</v>
      </c>
      <c r="D25" s="51">
        <f>IFERROR(COUNTIFS(Gadget_Usage_Recon!$C:$C,$C25,Gadget_Usage_Recon!$J:$J,1)/COUNTIF(Gadget_Usage_Recon!$C:$C,$C25),"")</f>
        <v>0.18</v>
      </c>
      <c r="E25" s="66" cm="1">
        <f t="array" ref="E25">IFERROR(SUMIF(Gadget_Usage_Recon!$C$2:$C$50000,Analysis_Gadgets!C25,Gadget_Usage_Recon!$K$2:$K$50000)/COUNTA(_xlfn.UNIQUE(_xlfn._xlws.FILTER(Gadget_Usage_Recon!$A$2:$A$50000,Gadget_Usage_Recon!$A$2:$A$50000&lt;&gt;""))),0)</f>
        <v>0.11149999999999999</v>
      </c>
      <c r="F25" s="50" t="str" cm="1">
        <f t="array" ref="F25">_xlfn.IFS(AND(D25=0,E25&gt;=0.1),"Experimental",D25&gt;=0.5,"Core",OR(D25&gt;=0.25,E25&gt;=0.25),"Situational",OR(D25&gt;=0.05,E25&gt;=0.05),"Niche",TRUE,"Minimal")</f>
        <v>Niche</v>
      </c>
      <c r="G25" t="s">
        <v>241</v>
      </c>
    </row>
    <row r="26" spans="1:11" ht="15" customHeight="1" x14ac:dyDescent="0.25">
      <c r="A26" s="50" t="s">
        <v>22</v>
      </c>
      <c r="B26" s="50" t="s">
        <v>189</v>
      </c>
      <c r="C26" s="37" t="s">
        <v>49</v>
      </c>
      <c r="D26" s="51">
        <f>IFERROR(COUNTIFS(Gadget_Usage_Recon!$C:$C,$C26,Gadget_Usage_Recon!$J:$J,1)/COUNTIF(Gadget_Usage_Recon!$C:$C,$C26),"")</f>
        <v>0.02</v>
      </c>
      <c r="E26" s="66" cm="1">
        <f t="array" ref="E26">IFERROR(SUMIF(Gadget_Usage_Recon!$C$2:$C$50000,Analysis_Gadgets!C26,Gadget_Usage_Recon!$K$2:$K$50000)/COUNTA(_xlfn.UNIQUE(_xlfn._xlws.FILTER(Gadget_Usage_Recon!$A$2:$A$50000,Gadget_Usage_Recon!$A$2:$A$50000&lt;&gt;""))),0)</f>
        <v>8.5000000000000006E-3</v>
      </c>
      <c r="F26" s="50" t="str" cm="1">
        <f t="array" ref="F26">_xlfn.IFS(AND(D26=0,E26&gt;=0.1),"Experimental",D26&gt;=0.5,"Core",OR(D26&gt;=0.25,E26&gt;=0.25),"Situational",OR(D26&gt;=0.05,E26&gt;=0.05),"Niche",TRUE,"Minimal")</f>
        <v>Minimal</v>
      </c>
      <c r="G26" t="s">
        <v>241</v>
      </c>
      <c r="K26" s="88"/>
    </row>
    <row r="27" spans="1:11" ht="15" customHeight="1" x14ac:dyDescent="0.25">
      <c r="A27" s="50" t="s">
        <v>22</v>
      </c>
      <c r="B27" s="50" t="s">
        <v>189</v>
      </c>
      <c r="C27" s="37" t="s">
        <v>179</v>
      </c>
      <c r="D27" s="51">
        <f>IFERROR(COUNTIFS(Gadget_Usage_Recon!$C:$C,$C27,Gadget_Usage_Recon!$J:$J,1)/COUNTIF(Gadget_Usage_Recon!$C:$C,$C27),"")</f>
        <v>0.67</v>
      </c>
      <c r="E27" s="66" cm="1">
        <f t="array" ref="E27">IFERROR(SUMIF(Gadget_Usage_Recon!$C$2:$C$50000,Analysis_Gadgets!C27,Gadget_Usage_Recon!$K$2:$K$50000)/COUNTA(_xlfn.UNIQUE(_xlfn._xlws.FILTER(Gadget_Usage_Recon!$A$2:$A$50000,Gadget_Usage_Recon!$A$2:$A$50000&lt;&gt;""))),0)</f>
        <v>0.33150000000000007</v>
      </c>
      <c r="F27" s="50" t="str" cm="1">
        <f t="array" ref="F27">_xlfn.IFS(AND(D27=0,E27&gt;=0.1),"Experimental",D27&gt;=0.5,"Core",OR(D27&gt;=0.25,E27&gt;=0.25),"Situational",OR(D27&gt;=0.05,E27&gt;=0.05),"Niche",TRUE,"Minimal")</f>
        <v>Core</v>
      </c>
      <c r="G27" t="s">
        <v>241</v>
      </c>
    </row>
    <row r="28" spans="1:11" ht="15" customHeight="1" x14ac:dyDescent="0.25">
      <c r="A28" s="50" t="s">
        <v>22</v>
      </c>
      <c r="B28" s="50" t="s">
        <v>189</v>
      </c>
      <c r="C28" s="37" t="s">
        <v>51</v>
      </c>
      <c r="D28" s="51">
        <f>IFERROR(COUNTIFS(Gadget_Usage_Recon!$C:$C,$C28,Gadget_Usage_Recon!$J:$J,1)/COUNTIF(Gadget_Usage_Recon!$C:$C,$C28),"")</f>
        <v>7.0000000000000007E-2</v>
      </c>
      <c r="E28" s="66" cm="1">
        <f t="array" ref="E28">IFERROR(SUMIF(Gadget_Usage_Recon!$C$2:$C$50000,Analysis_Gadgets!C28,Gadget_Usage_Recon!$K$2:$K$50000)/COUNTA(_xlfn.UNIQUE(_xlfn._xlws.FILTER(Gadget_Usage_Recon!$A$2:$A$50000,Gadget_Usage_Recon!$A$2:$A$50000&lt;&gt;""))),0)</f>
        <v>3.6500000000000005E-2</v>
      </c>
      <c r="F28" s="50" t="str" cm="1">
        <f t="array" ref="F28">_xlfn.IFS(AND(D28=0,E28&gt;=0.1),"Experimental",D28&gt;=0.5,"Core",OR(D28&gt;=0.25,E28&gt;=0.25),"Situational",OR(D28&gt;=0.05,E28&gt;=0.05),"Niche",TRUE,"Minimal")</f>
        <v>Niche</v>
      </c>
      <c r="G28" t="s">
        <v>241</v>
      </c>
    </row>
    <row r="29" spans="1:11" ht="15" customHeight="1" x14ac:dyDescent="0.25">
      <c r="A29" s="83" t="s">
        <v>22</v>
      </c>
      <c r="B29" s="83" t="s">
        <v>189</v>
      </c>
      <c r="C29" s="85" t="s">
        <v>52</v>
      </c>
      <c r="D29" s="65">
        <f>IFERROR(COUNTIFS(Gadget_Usage_Recon!$C:$C,$C29,Gadget_Usage_Recon!$J:$J,1)/COUNTIF(Gadget_Usage_Recon!$C:$C,$C29),"")</f>
        <v>0.84</v>
      </c>
      <c r="E29" s="82" cm="1">
        <f t="array" ref="E29">IFERROR(SUMIF(Gadget_Usage_Recon!$C$2:$C$50000,Analysis_Gadgets!C29,Gadget_Usage_Recon!$K$2:$K$50000)/COUNTA(_xlfn.UNIQUE(_xlfn._xlws.FILTER(Gadget_Usage_Recon!$A$2:$A$50000,Gadget_Usage_Recon!$A$2:$A$50000&lt;&gt;""))),0)</f>
        <v>0.41150000000000025</v>
      </c>
      <c r="F29" s="83" t="str" cm="1">
        <f t="array" ref="F29">_xlfn.IFS(AND(D29=0,E29&gt;=0.1),"Experimental",D29&gt;=0.5,"Core",OR(D29&gt;=0.25,E29&gt;=0.25),"Situational",OR(D29&gt;=0.05,E29&gt;=0.05),"Niche",TRUE,"Minimal")</f>
        <v>Core</v>
      </c>
      <c r="G29" s="64" t="s">
        <v>241</v>
      </c>
    </row>
    <row r="30" spans="1:11" ht="15" customHeight="1" x14ac:dyDescent="0.25">
      <c r="A30" s="71" t="s">
        <v>22</v>
      </c>
      <c r="B30" s="72" t="s">
        <v>191</v>
      </c>
      <c r="C30" s="72" t="s">
        <v>228</v>
      </c>
      <c r="D30" s="73">
        <f>IFERROR(COUNTIFS(Gadget_Usage_Recon!$C:$C,$C30,Gadget_Usage_Recon!$J:$J,1)/COUNTIF(Gadget_Usage_Recon!$C:$C,$C30),"")</f>
        <v>0.12</v>
      </c>
      <c r="E30" s="80" cm="1">
        <f t="array" ref="E30">IFERROR(SUMIF(Gadget_Usage_Recon!$C$2:$C$50000,Analysis_Gadgets!C30,Gadget_Usage_Recon!$K$2:$K$50000)/COUNTA(_xlfn.UNIQUE(_xlfn._xlws.FILTER(Gadget_Usage_Recon!$A$2:$A$50000,Gadget_Usage_Recon!$A$2:$A$50000&lt;&gt;""))),0)</f>
        <v>0.13200000000000001</v>
      </c>
      <c r="F30" s="50" t="str" cm="1">
        <f t="array" ref="F30">_xlfn.IFS(AND(D30=0,E30&gt;=0.1),"Experimental",D30&gt;=0.5,"Core",OR(D30&gt;=0.25,E30&gt;=0.25),"Situational",OR(D30&gt;=0.05,E30&gt;=0.05),"Niche",TRUE,"Minimal")</f>
        <v>Niche</v>
      </c>
      <c r="G30" t="s">
        <v>241</v>
      </c>
    </row>
    <row r="31" spans="1:11" ht="15" customHeight="1" x14ac:dyDescent="0.25">
      <c r="A31" s="71" t="s">
        <v>22</v>
      </c>
      <c r="B31" s="72" t="s">
        <v>191</v>
      </c>
      <c r="C31" s="72" t="s">
        <v>75</v>
      </c>
      <c r="D31" s="73">
        <f>IFERROR(COUNTIFS(Gadget_Usage_Recon!$C:$C,$C31,Gadget_Usage_Recon!$J:$J,1)/COUNTIF(Gadget_Usage_Recon!$C:$C,$C31),"")</f>
        <v>0</v>
      </c>
      <c r="E31" s="74" cm="1">
        <f t="array" ref="E31">IFERROR(SUMIF(Gadget_Usage_Recon!$C$2:$C$50000,Analysis_Gadgets!C31,Gadget_Usage_Recon!$K$2:$K$50000)/COUNTA(_xlfn.UNIQUE(_xlfn._xlws.FILTER(Gadget_Usage_Recon!$A$2:$A$50000,Gadget_Usage_Recon!$A$2:$A$50000&lt;&gt;""))),0)</f>
        <v>4.0000000000000001E-3</v>
      </c>
      <c r="F31" s="50" t="str" cm="1">
        <f t="array" ref="F31">_xlfn.IFS(AND(D31=0,E31&gt;=0.1),"Experimental",D31&gt;=0.5,"Core",OR(D31&gt;=0.25,E31&gt;=0.25),"Situational",OR(D31&gt;=0.05,E31&gt;=0.05),"Niche",TRUE,"Minimal")</f>
        <v>Minimal</v>
      </c>
      <c r="G31" t="s">
        <v>241</v>
      </c>
    </row>
    <row r="32" spans="1:11" ht="15" customHeight="1" thickBot="1" x14ac:dyDescent="0.3">
      <c r="A32" s="75" t="s">
        <v>22</v>
      </c>
      <c r="B32" s="76" t="s">
        <v>191</v>
      </c>
      <c r="C32" s="76" t="s">
        <v>193</v>
      </c>
      <c r="D32" s="77">
        <f>Analysis_Grenades!D4</f>
        <v>0.88</v>
      </c>
      <c r="E32" s="78" cm="1">
        <f t="array" ref="E32">IFERROR(SUMIF(Gadget_Usage_Recon!$C$2:$C$50000,Analysis_Gadgets!C32,Gadget_Usage_Recon!$K$2:$K$50000)/COUNTA(_xlfn.UNIQUE(_xlfn._xlws.FILTER(Gadget_Usage_Recon!$A$2:$A$50000,Gadget_Usage_Recon!$A$2:$A$50000&lt;&gt;""))),0)</f>
        <v>0</v>
      </c>
      <c r="F32" s="70" t="str" cm="1">
        <f t="array" ref="F32">_xlfn.IFS(AND(D32=0,E32&gt;=0.1),"Experimental",D32&gt;=0.5,"Core",OR(D32&gt;=0.25,E32&gt;=0.25),"Situational",OR(D32&gt;=0.05,E32&gt;=0.05),"Niche",TRUE,"Minimal")</f>
        <v>Core</v>
      </c>
      <c r="G32" s="79" t="s">
        <v>208</v>
      </c>
    </row>
    <row r="33" spans="1:11" ht="15" customHeight="1" x14ac:dyDescent="0.25">
      <c r="A33" s="50" t="s">
        <v>21</v>
      </c>
      <c r="B33" s="50" t="s">
        <v>189</v>
      </c>
      <c r="C33" s="37" t="s">
        <v>180</v>
      </c>
      <c r="D33" s="51">
        <f>IFERROR(COUNTIFS(Gadget_Usage_Support!$C:$C,$C33,Gadget_Usage_Support!$J:$J,1)/COUNTIF(Gadget_Usage_Support!$C:$C,$C33),"")</f>
        <v>0.09</v>
      </c>
      <c r="E33" s="66" cm="1">
        <f t="array" ref="E33">IFERROR(SUMIF(Gadget_Usage_Support!$C$2:$C$50000,Analysis_Gadgets!C33,Gadget_Usage_Support!$K$2:$K$50000)/COUNTA(_xlfn.UNIQUE(_xlfn._xlws.FILTER(Gadget_Usage_Support!$A$2:$A$50000,Gadget_Usage_Support!$A$2:$A$50000&lt;&gt;""))),0)</f>
        <v>4.8500000000000008E-2</v>
      </c>
      <c r="F33" s="50" t="str" cm="1">
        <f t="array" ref="F33">_xlfn.IFS(AND(D33=0,E33&gt;=0.1),"Experimental",D33&gt;=0.5,"Core",OR(D33&gt;=0.25,E33&gt;=0.25),"Situational",OR(D33&gt;=0.05,E33&gt;=0.05),"Niche",TRUE,"Minimal")</f>
        <v>Niche</v>
      </c>
      <c r="G33" t="s">
        <v>242</v>
      </c>
    </row>
    <row r="34" spans="1:11" ht="15" customHeight="1" x14ac:dyDescent="0.25">
      <c r="A34" s="50" t="s">
        <v>21</v>
      </c>
      <c r="B34" s="50" t="s">
        <v>189</v>
      </c>
      <c r="C34" s="37" t="s">
        <v>182</v>
      </c>
      <c r="D34" s="51">
        <f>IFERROR(COUNTIFS(Gadget_Usage_Support!$C:$C,$C34,Gadget_Usage_Support!$J:$J,1)/COUNTIF(Gadget_Usage_Support!$C:$C,$C34),"")</f>
        <v>0</v>
      </c>
      <c r="E34" s="66" cm="1">
        <f t="array" ref="E34">IFERROR(SUMIF(Gadget_Usage_Support!$C$2:$C$50000,Analysis_Gadgets!C34,Gadget_Usage_Support!$K$2:$K$50000)/COUNTA(_xlfn.UNIQUE(_xlfn._xlws.FILTER(Gadget_Usage_Support!$A$2:$A$50000,Gadget_Usage_Support!$A$2:$A$50000&lt;&gt;""))),0)</f>
        <v>0</v>
      </c>
      <c r="F34" s="50" t="str" cm="1">
        <f t="array" ref="F34">_xlfn.IFS(AND(D34=0,E34&gt;=0.1),"Experimental",D34&gt;=0.5,"Core",OR(D34&gt;=0.25,E34&gt;=0.25),"Situational",OR(D34&gt;=0.05,E34&gt;=0.05),"Niche",TRUE,"Minimal")</f>
        <v>Minimal</v>
      </c>
      <c r="G34" t="s">
        <v>242</v>
      </c>
      <c r="K34" s="88"/>
    </row>
    <row r="35" spans="1:11" ht="15" customHeight="1" x14ac:dyDescent="0.25">
      <c r="A35" s="50" t="s">
        <v>21</v>
      </c>
      <c r="B35" s="50" t="s">
        <v>189</v>
      </c>
      <c r="C35" s="37" t="s">
        <v>184</v>
      </c>
      <c r="D35" s="51">
        <f>IFERROR(COUNTIFS(Gadget_Usage_Support!$C:$C,$C35,Gadget_Usage_Support!$J:$J,1)/COUNTIF(Gadget_Usage_Support!$C:$C,$C35),"")</f>
        <v>0</v>
      </c>
      <c r="E35" s="66" cm="1">
        <f t="array" ref="E35">IFERROR(SUMIF(Gadget_Usage_Support!$C$2:$C$50000,Analysis_Gadgets!C35,Gadget_Usage_Support!$K$2:$K$50000)/COUNTA(_xlfn.UNIQUE(_xlfn._xlws.FILTER(Gadget_Usage_Support!$A$2:$A$50000,Gadget_Usage_Support!$A$2:$A$50000&lt;&gt;""))),0)</f>
        <v>0</v>
      </c>
      <c r="F35" s="50" t="str" cm="1">
        <f t="array" ref="F35">_xlfn.IFS(AND(D35=0,E35&gt;=0.1),"Experimental",D35&gt;=0.5,"Core",OR(D35&gt;=0.25,E35&gt;=0.25),"Situational",OR(D35&gt;=0.05,E35&gt;=0.05),"Niche",TRUE,"Minimal")</f>
        <v>Minimal</v>
      </c>
      <c r="G35" t="s">
        <v>242</v>
      </c>
    </row>
    <row r="36" spans="1:11" ht="15" customHeight="1" x14ac:dyDescent="0.25">
      <c r="A36" s="50" t="s">
        <v>21</v>
      </c>
      <c r="B36" s="50" t="s">
        <v>189</v>
      </c>
      <c r="C36" s="37" t="s">
        <v>186</v>
      </c>
      <c r="D36" s="51">
        <f>IFERROR(COUNTIFS(Gadget_Usage_Support!$C:$C,$C36,Gadget_Usage_Support!$J:$J,1)/COUNTIF(Gadget_Usage_Support!$C:$C,$C36),"")</f>
        <v>0.12</v>
      </c>
      <c r="E36" s="66" cm="1">
        <f t="array" ref="E36">IFERROR(SUMIF(Gadget_Usage_Support!$C$2:$C$50000,Analysis_Gadgets!C36,Gadget_Usage_Support!$K$2:$K$50000)/COUNTA(_xlfn.UNIQUE(_xlfn._xlws.FILTER(Gadget_Usage_Support!$A$2:$A$50000,Gadget_Usage_Support!$A$2:$A$50000&lt;&gt;""))),0)</f>
        <v>6.7500000000000004E-2</v>
      </c>
      <c r="F36" s="50" t="str" cm="1">
        <f t="array" ref="F36">_xlfn.IFS(AND(D36=0,E36&gt;=0.1),"Experimental",D36&gt;=0.5,"Core",OR(D36&gt;=0.25,E36&gt;=0.25),"Situational",OR(D36&gt;=0.05,E36&gt;=0.05),"Niche",TRUE,"Minimal")</f>
        <v>Niche</v>
      </c>
      <c r="G36" t="s">
        <v>242</v>
      </c>
    </row>
    <row r="37" spans="1:11" ht="15" customHeight="1" x14ac:dyDescent="0.25">
      <c r="A37" s="50" t="s">
        <v>21</v>
      </c>
      <c r="B37" s="50" t="s">
        <v>189</v>
      </c>
      <c r="C37" s="37" t="s">
        <v>187</v>
      </c>
      <c r="D37" s="51">
        <f>IFERROR(COUNTIFS(Gadget_Usage_Support!$C:$C,$C37,Gadget_Usage_Support!$J:$J,1)/COUNTIF(Gadget_Usage_Support!$C:$C,$C37),"")</f>
        <v>0.12</v>
      </c>
      <c r="E37" s="66" cm="1">
        <f t="array" ref="E37">IFERROR(SUMIF(Gadget_Usage_Support!$C$2:$C$50000,Analysis_Gadgets!C37,Gadget_Usage_Support!$K$2:$K$50000)/COUNTA(_xlfn.UNIQUE(_xlfn._xlws.FILTER(Gadget_Usage_Support!$A$2:$A$50000,Gadget_Usage_Support!$A$2:$A$50000&lt;&gt;""))),0)</f>
        <v>7.5500000000000012E-2</v>
      </c>
      <c r="F37" s="50" t="str" cm="1">
        <f t="array" ref="F37">_xlfn.IFS(AND(D37=0,E37&gt;=0.1),"Experimental",D37&gt;=0.5,"Core",OR(D37&gt;=0.25,E37&gt;=0.25),"Situational",OR(D37&gt;=0.05,E37&gt;=0.05),"Niche",TRUE,"Minimal")</f>
        <v>Niche</v>
      </c>
      <c r="G37" t="s">
        <v>242</v>
      </c>
    </row>
    <row r="38" spans="1:11" ht="15" customHeight="1" x14ac:dyDescent="0.25">
      <c r="A38" s="50" t="s">
        <v>21</v>
      </c>
      <c r="B38" s="50" t="s">
        <v>189</v>
      </c>
      <c r="C38" s="37" t="s">
        <v>34</v>
      </c>
      <c r="D38" s="51">
        <f>IFERROR(COUNTIFS(Gadget_Usage_Support!$C:$C,$C38,Gadget_Usage_Support!$J:$J,1)/COUNTIF(Gadget_Usage_Support!$C:$C,$C38),"")</f>
        <v>0.38</v>
      </c>
      <c r="E38" s="66" cm="1">
        <f t="array" ref="E38">IFERROR(SUMIF(Gadget_Usage_Support!$C$2:$C$50000,Analysis_Gadgets!C38,Gadget_Usage_Support!$K$2:$K$50000)/COUNTA(_xlfn.UNIQUE(_xlfn._xlws.FILTER(Gadget_Usage_Support!$A$2:$A$50000,Gadget_Usage_Support!$A$2:$A$50000&lt;&gt;""))),0)</f>
        <v>0.18049999999999994</v>
      </c>
      <c r="F38" s="50" t="str" cm="1">
        <f t="array" ref="F38">_xlfn.IFS(AND(D38=0,E38&gt;=0.1),"Experimental",D38&gt;=0.5,"Core",OR(D38&gt;=0.25,E38&gt;=0.25),"Situational",OR(D38&gt;=0.05,E38&gt;=0.05),"Niche",TRUE,"Minimal")</f>
        <v>Situational</v>
      </c>
      <c r="G38" t="s">
        <v>242</v>
      </c>
    </row>
    <row r="39" spans="1:11" ht="15" customHeight="1" x14ac:dyDescent="0.25">
      <c r="A39" s="50" t="s">
        <v>21</v>
      </c>
      <c r="B39" s="50" t="s">
        <v>189</v>
      </c>
      <c r="C39" s="37" t="s">
        <v>35</v>
      </c>
      <c r="D39" s="51">
        <f>IFERROR(COUNTIFS(Gadget_Usage_Support!$C:$C,$C39,Gadget_Usage_Support!$J:$J,1)/COUNTIF(Gadget_Usage_Support!$C:$C,$C39),"")</f>
        <v>0.37</v>
      </c>
      <c r="E39" s="66" cm="1">
        <f t="array" ref="E39">IFERROR(SUMIF(Gadget_Usage_Support!$C$2:$C$50000,Analysis_Gadgets!C39,Gadget_Usage_Support!$K$2:$K$50000)/COUNTA(_xlfn.UNIQUE(_xlfn._xlws.FILTER(Gadget_Usage_Support!$A$2:$A$50000,Gadget_Usage_Support!$A$2:$A$50000&lt;&gt;""))),0)</f>
        <v>0.18049999999999997</v>
      </c>
      <c r="F39" s="50" t="str" cm="1">
        <f t="array" ref="F39">_xlfn.IFS(AND(D39=0,E39&gt;=0.1),"Experimental",D39&gt;=0.5,"Core",OR(D39&gt;=0.25,E39&gt;=0.25),"Situational",OR(D39&gt;=0.05,E39&gt;=0.05),"Niche",TRUE,"Minimal")</f>
        <v>Situational</v>
      </c>
      <c r="G39" t="s">
        <v>242</v>
      </c>
    </row>
    <row r="40" spans="1:11" ht="15" customHeight="1" x14ac:dyDescent="0.25">
      <c r="A40" s="86" t="s">
        <v>21</v>
      </c>
      <c r="B40" s="86" t="s">
        <v>189</v>
      </c>
      <c r="C40" s="81" t="s">
        <v>33</v>
      </c>
      <c r="D40" s="87">
        <f>AVERAGE(Analysis_Support_Defaults!D2:D1048576)</f>
        <v>0.59534883720930232</v>
      </c>
      <c r="E40" s="82" cm="1">
        <f t="array" ref="E40">IFERROR(SUMIF(Gadget_Usage_Support!$C$2:$C$50000,Analysis_Gadgets!C40,Gadget_Usage_Support!$K$2:$K$50000)/COUNTA(_xlfn.UNIQUE(_xlfn._xlws.FILTER(Gadget_Usage_Support!$A$2:$A$50000,Gadget_Usage_Support!$A$2:$A$50000&lt;&gt;""))),0)</f>
        <v>0</v>
      </c>
      <c r="F40" s="83" t="str" cm="1">
        <f t="array" ref="F40">_xlfn.IFS(AND(D40=0,E40&gt;=0.1),"Experimental",D40&gt;=0.5,"Core",OR(D40&gt;=0.25,E40&gt;=0.25),"Situational",OR(D40&gt;=0.05,E40&gt;=0.05),"Niche",TRUE,"Minimal")</f>
        <v>Core</v>
      </c>
      <c r="G40" s="84" t="s">
        <v>209</v>
      </c>
    </row>
    <row r="41" spans="1:11" ht="15" customHeight="1" x14ac:dyDescent="0.25">
      <c r="A41" s="71" t="s">
        <v>21</v>
      </c>
      <c r="B41" s="71" t="s">
        <v>191</v>
      </c>
      <c r="C41" s="72" t="s">
        <v>72</v>
      </c>
      <c r="D41" s="73">
        <f>IFERROR(COUNTIFS(Gadget_Usage_Support!$C:$C,$C41,Gadget_Usage_Support!$J:$J,1)/COUNTIF(Gadget_Usage_Support!$C:$C,$C41),"")</f>
        <v>0.69</v>
      </c>
      <c r="E41" s="80" cm="1">
        <f t="array" ref="E41">IFERROR(SUMIF(Gadget_Usage_Support!$C$2:$C$50000,Analysis_Gadgets!C41,Gadget_Usage_Support!$K$2:$K$50000)/COUNTA(_xlfn.UNIQUE(_xlfn._xlws.FILTER(Gadget_Usage_Support!$A$2:$A$50000,Gadget_Usage_Support!$A$2:$A$50000&lt;&gt;""))),0)</f>
        <v>0.68300000000000016</v>
      </c>
      <c r="F41" s="50" t="str" cm="1">
        <f t="array" ref="F41">_xlfn.IFS(AND(D41=0,E41&gt;=0.1),"Experimental",D41&gt;=0.5,"Core",OR(D41&gt;=0.25,E41&gt;=0.25),"Situational",OR(D41&gt;=0.05,E41&gt;=0.05),"Niche",TRUE,"Minimal")</f>
        <v>Core</v>
      </c>
      <c r="G41" t="s">
        <v>242</v>
      </c>
    </row>
    <row r="42" spans="1:11" ht="15" customHeight="1" x14ac:dyDescent="0.25">
      <c r="A42" s="71" t="s">
        <v>21</v>
      </c>
      <c r="B42" s="71" t="s">
        <v>191</v>
      </c>
      <c r="C42" s="72" t="s">
        <v>73</v>
      </c>
      <c r="D42" s="73">
        <f>IFERROR(COUNTIFS(Gadget_Usage_Support!$C:$C,$C42,Gadget_Usage_Support!$J:$J,1)/COUNTIF(Gadget_Usage_Support!$C:$C,$C42),"")</f>
        <v>0.3</v>
      </c>
      <c r="E42" s="80" cm="1">
        <f t="array" ref="E42">IFERROR(SUMIF(Gadget_Usage_Support!$C$2:$C$50000,Analysis_Gadgets!C42,Gadget_Usage_Support!$K$2:$K$50000)/COUNTA(_xlfn.UNIQUE(_xlfn._xlws.FILTER(Gadget_Usage_Support!$A$2:$A$50000,Gadget_Usage_Support!$A$2:$A$50000&lt;&gt;""))),0)</f>
        <v>0.33299999999999985</v>
      </c>
      <c r="F42" s="50" t="str" cm="1">
        <f t="array" ref="F42">_xlfn.IFS(AND(D42=0,E42&gt;=0.1),"Experimental",D42&gt;=0.5,"Core",OR(D42&gt;=0.25,E42&gt;=0.25),"Situational",OR(D42&gt;=0.05,E42&gt;=0.05),"Niche",TRUE,"Minimal")</f>
        <v>Situational</v>
      </c>
      <c r="G42" t="s">
        <v>242</v>
      </c>
    </row>
    <row r="43" spans="1:11" ht="15" customHeight="1" thickBot="1" x14ac:dyDescent="0.3">
      <c r="A43" s="75" t="s">
        <v>21</v>
      </c>
      <c r="B43" s="75" t="s">
        <v>191</v>
      </c>
      <c r="C43" s="76" t="s">
        <v>193</v>
      </c>
      <c r="D43" s="77">
        <f>Analysis_Grenades!D5</f>
        <v>0.16</v>
      </c>
      <c r="E43" s="78" cm="1">
        <f t="array" ref="E43">IFERROR(SUMIF(Gadget_Usage_Support!$C$2:$C$50000,Analysis_Gadgets!C43,Gadget_Usage_Support!$K$2:$K$50000)/COUNTA(_xlfn.UNIQUE(_xlfn._xlws.FILTER(Gadget_Usage_Support!$A$2:$A$50000,Gadget_Usage_Support!$A$2:$A$50000&lt;&gt;""))),0)</f>
        <v>0</v>
      </c>
      <c r="F43" s="70" t="str" cm="1">
        <f t="array" ref="F43">_xlfn.IFS(AND(D43=0,E43&gt;=0.1),"Experimental",D43&gt;=0.5,"Core",OR(D43&gt;=0.25,E43&gt;=0.25),"Situational",OR(D43&gt;=0.05,E43&gt;=0.05),"Niche",TRUE,"Minimal")</f>
        <v>Niche</v>
      </c>
      <c r="G43" s="79" t="s">
        <v>208</v>
      </c>
    </row>
    <row r="44" spans="1:11" ht="15" customHeight="1" x14ac:dyDescent="0.25">
      <c r="D44" s="88"/>
      <c r="F44" s="50"/>
    </row>
  </sheetData>
  <conditionalFormatting sqref="E1">
    <cfRule type="colorScale" priority="6">
      <colorScale>
        <cfvo type="min"/>
        <cfvo type="max"/>
        <color rgb="FFFCFCFF"/>
        <color rgb="FF63BE7B"/>
      </colorScale>
    </cfRule>
    <cfRule type="colorScale" priority="7">
      <colorScale>
        <cfvo type="min"/>
        <cfvo type="max"/>
        <color rgb="FFFCFCFF"/>
        <color rgb="FF63BE7B"/>
      </colorScale>
    </cfRule>
    <cfRule type="expression" dxfId="5" priority="8">
      <formula>MOD(ROW()-10,9)=0</formula>
    </cfRule>
  </conditionalFormatting>
  <conditionalFormatting sqref="F1:F1048576">
    <cfRule type="containsText" dxfId="4" priority="1" operator="containsText" text="Minimal">
      <formula>NOT(ISERROR(SEARCH("Minimal",F1)))</formula>
    </cfRule>
    <cfRule type="containsText" dxfId="3" priority="2" operator="containsText" text="Niche">
      <formula>NOT(ISERROR(SEARCH("Niche",F1)))</formula>
    </cfRule>
    <cfRule type="containsText" dxfId="2" priority="3" operator="containsText" text="Experimental">
      <formula>NOT(ISERROR(SEARCH("Experimental",F1)))</formula>
    </cfRule>
    <cfRule type="containsText" dxfId="1" priority="4" operator="containsText" text="Situational">
      <formula>NOT(ISERROR(SEARCH("Situational",F1)))</formula>
    </cfRule>
    <cfRule type="containsText" dxfId="0" priority="5" operator="containsText" text="Core">
      <formula>NOT(ISERROR(SEARCH("Core",F1)))</formula>
    </cfRule>
  </conditionalFormatting>
  <pageMargins left="0.7" right="0.7" top="0.75" bottom="0.75" header="0.3" footer="0.3"/>
  <ignoredErrors>
    <ignoredError sqref="D7 D40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42EEC-3433-4FCB-8E8C-765DBD975AF7}">
  <dimension ref="A1:D14"/>
  <sheetViews>
    <sheetView workbookViewId="0">
      <pane ySplit="1" topLeftCell="A2" activePane="bottomLeft" state="frozen"/>
      <selection pane="bottomLeft" sqref="A1:XFD1"/>
    </sheetView>
  </sheetViews>
  <sheetFormatPr defaultRowHeight="15" customHeight="1" x14ac:dyDescent="0.25"/>
  <cols>
    <col min="1" max="2" width="23" customWidth="1"/>
    <col min="3" max="3" width="27.140625" customWidth="1"/>
    <col min="4" max="4" width="23" customWidth="1"/>
  </cols>
  <sheetData>
    <row r="1" spans="1:4" ht="15" customHeight="1" x14ac:dyDescent="0.25">
      <c r="A1" s="15" t="s">
        <v>57</v>
      </c>
      <c r="B1" s="15" t="s">
        <v>54</v>
      </c>
      <c r="C1" s="15" t="s">
        <v>55</v>
      </c>
      <c r="D1" s="15" t="s">
        <v>56</v>
      </c>
    </row>
    <row r="2" spans="1:4" ht="15" customHeight="1" x14ac:dyDescent="0.25">
      <c r="A2" s="5" t="s">
        <v>29</v>
      </c>
      <c r="B2" s="38" t="s">
        <v>60</v>
      </c>
      <c r="C2" s="37" t="s">
        <v>47</v>
      </c>
      <c r="D2" s="37" t="s">
        <v>42</v>
      </c>
    </row>
    <row r="3" spans="1:4" ht="15" customHeight="1" x14ac:dyDescent="0.25">
      <c r="A3" s="5" t="s">
        <v>37</v>
      </c>
      <c r="B3" s="38" t="s">
        <v>61</v>
      </c>
      <c r="C3" s="37" t="s">
        <v>48</v>
      </c>
      <c r="D3" s="37" t="s">
        <v>43</v>
      </c>
    </row>
    <row r="4" spans="1:4" ht="15" customHeight="1" x14ac:dyDescent="0.25">
      <c r="A4" s="5" t="s">
        <v>141</v>
      </c>
      <c r="B4" s="38" t="s">
        <v>62</v>
      </c>
      <c r="C4" s="37" t="s">
        <v>49</v>
      </c>
      <c r="D4" s="37" t="s">
        <v>44</v>
      </c>
    </row>
    <row r="5" spans="1:4" ht="15" customHeight="1" x14ac:dyDescent="0.25">
      <c r="A5" s="5" t="s">
        <v>140</v>
      </c>
      <c r="B5" s="38" t="s">
        <v>63</v>
      </c>
      <c r="C5" s="37" t="s">
        <v>179</v>
      </c>
      <c r="D5" s="37" t="s">
        <v>45</v>
      </c>
    </row>
    <row r="6" spans="1:4" ht="15" customHeight="1" x14ac:dyDescent="0.25">
      <c r="A6" s="5" t="s">
        <v>216</v>
      </c>
      <c r="B6" s="38" t="s">
        <v>64</v>
      </c>
      <c r="C6" s="37" t="s">
        <v>51</v>
      </c>
      <c r="D6" s="37" t="s">
        <v>46</v>
      </c>
    </row>
    <row r="7" spans="1:4" ht="15" customHeight="1" x14ac:dyDescent="0.25">
      <c r="A7" t="s">
        <v>59</v>
      </c>
      <c r="B7" s="37" t="s">
        <v>30</v>
      </c>
      <c r="C7" s="37" t="s">
        <v>52</v>
      </c>
      <c r="D7" s="37" t="s">
        <v>34</v>
      </c>
    </row>
    <row r="8" spans="1:4" ht="15" customHeight="1" x14ac:dyDescent="0.25">
      <c r="A8" t="s">
        <v>69</v>
      </c>
      <c r="B8" s="38" t="s">
        <v>65</v>
      </c>
      <c r="C8" t="s">
        <v>228</v>
      </c>
      <c r="D8" s="37" t="s">
        <v>35</v>
      </c>
    </row>
    <row r="9" spans="1:4" ht="15" customHeight="1" x14ac:dyDescent="0.25">
      <c r="A9" s="39" t="s">
        <v>135</v>
      </c>
      <c r="B9" s="38" t="s">
        <v>66</v>
      </c>
      <c r="C9" t="s">
        <v>75</v>
      </c>
      <c r="D9" t="s">
        <v>72</v>
      </c>
    </row>
    <row r="10" spans="1:4" ht="15" customHeight="1" x14ac:dyDescent="0.25">
      <c r="A10" s="39" t="s">
        <v>136</v>
      </c>
      <c r="B10" s="37" t="s">
        <v>31</v>
      </c>
      <c r="C10" s="40" t="s">
        <v>68</v>
      </c>
      <c r="D10" t="s">
        <v>73</v>
      </c>
    </row>
    <row r="11" spans="1:4" ht="15" customHeight="1" x14ac:dyDescent="0.25">
      <c r="A11" s="40" t="s">
        <v>68</v>
      </c>
      <c r="B11" s="38" t="s">
        <v>67</v>
      </c>
      <c r="D11" s="45" t="s">
        <v>33</v>
      </c>
    </row>
    <row r="12" spans="1:4" ht="15" customHeight="1" x14ac:dyDescent="0.25">
      <c r="B12" t="s">
        <v>70</v>
      </c>
      <c r="C12" s="40"/>
      <c r="D12" s="40" t="s">
        <v>68</v>
      </c>
    </row>
    <row r="13" spans="1:4" ht="15" customHeight="1" x14ac:dyDescent="0.25">
      <c r="B13" t="s">
        <v>71</v>
      </c>
      <c r="C13" s="40"/>
    </row>
    <row r="14" spans="1:4" ht="15" customHeight="1" x14ac:dyDescent="0.25">
      <c r="B14" s="40" t="s">
        <v>68</v>
      </c>
      <c r="D14" s="4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B3188-0DAA-4CEC-BDE9-24F51B59688D}">
  <dimension ref="A1:D36"/>
  <sheetViews>
    <sheetView showGridLines="0" workbookViewId="0">
      <selection activeCell="H33" sqref="H33"/>
    </sheetView>
  </sheetViews>
  <sheetFormatPr defaultRowHeight="15" x14ac:dyDescent="0.25"/>
  <cols>
    <col min="1" max="1" width="56.7109375" bestFit="1" customWidth="1"/>
    <col min="2" max="2" width="9.140625" style="8"/>
    <col min="3" max="3" width="16.5703125" style="8" bestFit="1" customWidth="1"/>
    <col min="4" max="4" width="21.42578125" style="8" customWidth="1"/>
  </cols>
  <sheetData>
    <row r="1" spans="1:4" ht="18" x14ac:dyDescent="0.25">
      <c r="A1" s="1" t="s">
        <v>86</v>
      </c>
      <c r="B1"/>
      <c r="C1"/>
      <c r="D1"/>
    </row>
    <row r="2" spans="1:4" x14ac:dyDescent="0.25">
      <c r="B2"/>
      <c r="C2"/>
      <c r="D2"/>
    </row>
    <row r="3" spans="1:4" ht="30" x14ac:dyDescent="0.25">
      <c r="A3" s="3" t="s">
        <v>87</v>
      </c>
      <c r="B3" s="3" t="s">
        <v>14</v>
      </c>
      <c r="C3" s="3" t="s">
        <v>88</v>
      </c>
      <c r="D3" s="3" t="s">
        <v>89</v>
      </c>
    </row>
    <row r="4" spans="1:4" x14ac:dyDescent="0.25">
      <c r="A4" s="4" t="s">
        <v>15</v>
      </c>
      <c r="B4" s="4">
        <v>10</v>
      </c>
      <c r="C4" s="4">
        <v>50</v>
      </c>
      <c r="D4" s="4" t="s">
        <v>90</v>
      </c>
    </row>
    <row r="5" spans="1:4" x14ac:dyDescent="0.25">
      <c r="A5" s="4" t="s">
        <v>16</v>
      </c>
      <c r="B5" s="4">
        <v>25</v>
      </c>
      <c r="C5" s="4">
        <v>60</v>
      </c>
      <c r="D5" s="4" t="s">
        <v>91</v>
      </c>
    </row>
    <row r="6" spans="1:4" x14ac:dyDescent="0.25">
      <c r="A6" s="4" t="s">
        <v>17</v>
      </c>
      <c r="B6" s="4">
        <v>50</v>
      </c>
      <c r="C6" s="4">
        <v>60</v>
      </c>
      <c r="D6" s="4" t="s">
        <v>92</v>
      </c>
    </row>
    <row r="7" spans="1:4" x14ac:dyDescent="0.25">
      <c r="A7" s="4" t="s">
        <v>18</v>
      </c>
      <c r="B7" s="4">
        <v>50</v>
      </c>
      <c r="C7" s="4">
        <v>80</v>
      </c>
      <c r="D7" s="4" t="s">
        <v>93</v>
      </c>
    </row>
    <row r="8" spans="1:4" x14ac:dyDescent="0.25">
      <c r="A8" s="5" t="s">
        <v>12</v>
      </c>
      <c r="B8" s="4"/>
      <c r="C8" s="5">
        <v>250</v>
      </c>
      <c r="D8" s="5" t="s">
        <v>23</v>
      </c>
    </row>
    <row r="9" spans="1:4" x14ac:dyDescent="0.25">
      <c r="A9" s="6"/>
      <c r="B9"/>
      <c r="C9"/>
      <c r="D9"/>
    </row>
    <row r="10" spans="1:4" x14ac:dyDescent="0.25">
      <c r="A10" s="6" t="s">
        <v>94</v>
      </c>
      <c r="B10"/>
      <c r="C10"/>
      <c r="D10"/>
    </row>
    <row r="11" spans="1:4" x14ac:dyDescent="0.25">
      <c r="A11" s="4"/>
      <c r="B11" s="2"/>
    </row>
    <row r="12" spans="1:4" ht="18" x14ac:dyDescent="0.25">
      <c r="A12" s="1" t="s">
        <v>95</v>
      </c>
      <c r="B12"/>
      <c r="C12"/>
      <c r="D12"/>
    </row>
    <row r="13" spans="1:4" x14ac:dyDescent="0.25">
      <c r="B13"/>
      <c r="C13"/>
      <c r="D13"/>
    </row>
    <row r="14" spans="1:4" x14ac:dyDescent="0.25">
      <c r="A14" s="3" t="s">
        <v>96</v>
      </c>
      <c r="B14" s="3" t="s">
        <v>14</v>
      </c>
      <c r="C14" s="3" t="s">
        <v>97</v>
      </c>
      <c r="D14" s="3" t="s">
        <v>98</v>
      </c>
    </row>
    <row r="15" spans="1:4" x14ac:dyDescent="0.25">
      <c r="A15" s="4" t="s">
        <v>99</v>
      </c>
      <c r="B15" s="4">
        <v>10</v>
      </c>
      <c r="C15" s="4">
        <v>7</v>
      </c>
      <c r="D15" s="4" t="s">
        <v>100</v>
      </c>
    </row>
    <row r="16" spans="1:4" x14ac:dyDescent="0.25">
      <c r="B16"/>
      <c r="C16"/>
      <c r="D16"/>
    </row>
    <row r="17" spans="1:4" x14ac:dyDescent="0.25">
      <c r="A17" t="s">
        <v>101</v>
      </c>
      <c r="B17"/>
      <c r="C17"/>
      <c r="D17"/>
    </row>
    <row r="18" spans="1:4" x14ac:dyDescent="0.25">
      <c r="B18"/>
      <c r="C18"/>
      <c r="D18"/>
    </row>
    <row r="19" spans="1:4" ht="18" x14ac:dyDescent="0.25">
      <c r="A19" s="1" t="s">
        <v>102</v>
      </c>
      <c r="B19"/>
      <c r="C19"/>
      <c r="D19"/>
    </row>
    <row r="20" spans="1:4" x14ac:dyDescent="0.25">
      <c r="B20"/>
      <c r="C20"/>
      <c r="D20"/>
    </row>
    <row r="21" spans="1:4" ht="30" x14ac:dyDescent="0.25">
      <c r="A21" s="3" t="s">
        <v>8</v>
      </c>
      <c r="B21" s="3" t="s">
        <v>103</v>
      </c>
      <c r="C21"/>
      <c r="D21"/>
    </row>
    <row r="22" spans="1:4" x14ac:dyDescent="0.25">
      <c r="A22" s="4" t="s">
        <v>9</v>
      </c>
      <c r="B22" s="4">
        <v>20</v>
      </c>
      <c r="C22"/>
      <c r="D22"/>
    </row>
    <row r="23" spans="1:4" x14ac:dyDescent="0.25">
      <c r="A23" s="4" t="s">
        <v>10</v>
      </c>
      <c r="B23" s="4">
        <v>30</v>
      </c>
      <c r="C23"/>
      <c r="D23"/>
    </row>
    <row r="24" spans="1:4" x14ac:dyDescent="0.25">
      <c r="A24" s="4" t="s">
        <v>11</v>
      </c>
      <c r="B24" s="4">
        <v>30</v>
      </c>
      <c r="C24"/>
      <c r="D24"/>
    </row>
    <row r="25" spans="1:4" x14ac:dyDescent="0.25">
      <c r="A25" s="4" t="s">
        <v>104</v>
      </c>
      <c r="B25" s="4">
        <v>20</v>
      </c>
      <c r="C25"/>
      <c r="D25"/>
    </row>
    <row r="26" spans="1:4" x14ac:dyDescent="0.25">
      <c r="A26" s="5" t="s">
        <v>12</v>
      </c>
      <c r="B26" s="5">
        <v>100</v>
      </c>
      <c r="C26"/>
      <c r="D26"/>
    </row>
    <row r="27" spans="1:4" x14ac:dyDescent="0.25">
      <c r="B27"/>
      <c r="C27"/>
      <c r="D27"/>
    </row>
    <row r="28" spans="1:4" x14ac:dyDescent="0.25">
      <c r="A28" t="s">
        <v>105</v>
      </c>
      <c r="B28"/>
      <c r="C28"/>
      <c r="D28"/>
    </row>
    <row r="29" spans="1:4" x14ac:dyDescent="0.25">
      <c r="B29"/>
      <c r="C29"/>
      <c r="D29"/>
    </row>
    <row r="30" spans="1:4" x14ac:dyDescent="0.25">
      <c r="A30" t="s">
        <v>81</v>
      </c>
    </row>
    <row r="32" spans="1:4" x14ac:dyDescent="0.25">
      <c r="A32" t="s">
        <v>83</v>
      </c>
    </row>
    <row r="34" spans="1:1" x14ac:dyDescent="0.25">
      <c r="A34" t="s">
        <v>137</v>
      </c>
    </row>
    <row r="36" spans="1:1" x14ac:dyDescent="0.25">
      <c r="A3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Global_Players</vt:lpstr>
      <vt:lpstr>Global_Player_Modes</vt:lpstr>
      <vt:lpstr>Class_Players</vt:lpstr>
      <vt:lpstr>Gadget_Usage_Assault</vt:lpstr>
      <vt:lpstr>Gadget_List</vt:lpstr>
      <vt:lpstr>Gadget_Usage_Engineer</vt:lpstr>
      <vt:lpstr>Gadget_Usage_Recon</vt:lpstr>
      <vt:lpstr>Gadget_Usage_Support</vt:lpstr>
      <vt:lpstr>Analysis_Assault_Defaults</vt:lpstr>
      <vt:lpstr>Analysis_Grenades</vt:lpstr>
      <vt:lpstr>Analysis_Support_Defaults</vt:lpstr>
      <vt:lpstr>Analysis_Engineer_Defaults</vt:lpstr>
      <vt:lpstr>Analysis_Gadgets</vt:lpstr>
      <vt:lpstr>Lookups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Aristotle Polites</dc:creator>
  <cp:lastModifiedBy>Aristotle Polites</cp:lastModifiedBy>
  <dcterms:created xsi:type="dcterms:W3CDTF">2026-01-23T16:09:18Z</dcterms:created>
  <dcterms:modified xsi:type="dcterms:W3CDTF">2026-02-17T19:32:10Z</dcterms:modified>
</cp:coreProperties>
</file>